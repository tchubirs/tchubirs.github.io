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bts" sheetId="2" state="visible" r:id="rId2"/>
    <sheet name="Snowball" sheetId="3" state="visible" r:id="rId3"/>
    <sheet name="Avalanche" sheetId="4" state="visible" r:id="rId4"/>
    <sheet name="Chart data" sheetId="5" state="hidden" r:id="rId5"/>
    <sheet name="Start He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MMM YYYY"/>
    <numFmt numFmtId="167" formatCode="MMMM YYYY"/>
  </numFmts>
  <fonts count="19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1E2A2F"/>
      <sz val="11"/>
    </font>
    <font>
      <name val="Arial"/>
      <b val="1"/>
      <color rgb="0015525A"/>
      <sz val="11"/>
    </font>
    <font>
      <name val="Arial"/>
      <b val="1"/>
      <color rgb="001E2A2F"/>
      <sz val="14"/>
    </font>
    <font>
      <name val="Arial"/>
      <i val="1"/>
      <color rgb="006B7B80"/>
      <sz val="10"/>
    </font>
    <font>
      <name val="Arial"/>
      <b val="1"/>
      <color rgb="00FFFFFF"/>
      <sz val="10"/>
    </font>
    <font>
      <name val="Arial"/>
      <color rgb="006B7B80"/>
      <sz val="8"/>
    </font>
    <font>
      <name val="Arial"/>
      <b val="1"/>
      <color rgb="00FFFFFF"/>
      <sz val="9"/>
    </font>
    <font>
      <name val="Arial"/>
      <b val="1"/>
      <color rgb="006B7B80"/>
      <sz val="10"/>
    </font>
    <font>
      <name val="Arial"/>
      <b val="1"/>
      <color rgb="00B4541F"/>
      <sz val="18"/>
    </font>
    <font>
      <name val="Arial"/>
      <b val="1"/>
      <color rgb="001F6F78"/>
      <sz val="18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b val="1"/>
      <color rgb="001E2A2F"/>
      <sz val="13"/>
    </font>
    <font>
      <name val="Arial"/>
      <color rgb="001E2A2F"/>
      <sz val="13"/>
    </font>
  </fonts>
  <fills count="8">
    <fill>
      <patternFill/>
    </fill>
    <fill>
      <patternFill patternType="gray125"/>
    </fill>
    <fill>
      <patternFill patternType="solid">
        <fgColor rgb="00F6F4EF"/>
        <bgColor rgb="00F6F4E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  <fill>
      <patternFill patternType="solid">
        <fgColor rgb="00FFFFFF"/>
        <bgColor rgb="00FFFFFF"/>
      </patternFill>
    </fill>
    <fill>
      <patternFill patternType="solid">
        <fgColor rgb="004F8A90"/>
        <bgColor rgb="004F8A90"/>
      </patternFill>
    </fill>
    <fill>
      <patternFill patternType="solid">
        <fgColor rgb="0015525A"/>
        <bgColor rgb="0015525A"/>
      </patternFill>
    </fill>
  </fills>
  <borders count="2">
    <border>
      <left/>
      <right/>
      <top/>
      <bottom/>
      <diagonal/>
    </border>
    <border>
      <left style="thin">
        <color rgb="00D9D4C7"/>
      </left>
      <right style="thin">
        <color rgb="00D9D4C7"/>
      </right>
      <top style="thin">
        <color rgb="00D9D4C7"/>
      </top>
      <bottom style="thin">
        <color rgb="00D9D4C7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2" fillId="5" borderId="1" pivotButton="0" quotePrefix="0" xfId="0"/>
    <xf numFmtId="0" fontId="3" fillId="7" borderId="0" applyAlignment="1" pivotButton="0" quotePrefix="0" xfId="0">
      <alignment horizontal="center" vertical="center"/>
    </xf>
    <xf numFmtId="4" fontId="13" fillId="5" borderId="1" pivotButton="0" quotePrefix="0" xfId="0"/>
    <xf numFmtId="4" fontId="14" fillId="5" borderId="1" pivotButton="0" quotePrefix="0" xfId="0"/>
    <xf numFmtId="1" fontId="14" fillId="5" borderId="1" pivotButton="0" quotePrefix="0" xfId="0"/>
    <xf numFmtId="167" fontId="15" fillId="7" borderId="0" applyAlignment="1" pivotButton="0" quotePrefix="0" xfId="0">
      <alignment horizontal="center" vertical="center"/>
    </xf>
    <xf numFmtId="0" fontId="16" fillId="3" borderId="0" pivotButton="0" quotePrefix="0" xfId="0"/>
    <xf numFmtId="0" fontId="17" fillId="5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5" borderId="1" pivotButton="0" quotePrefix="0" xfId="0"/>
    <xf numFmtId="1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4" fontId="4" fillId="5" borderId="1" pivotButton="0" quotePrefix="0" xfId="0"/>
    <xf numFmtId="0" fontId="4" fillId="5" borderId="1" pivotButton="0" quotePrefix="0" xfId="0"/>
    <xf numFmtId="164" fontId="4" fillId="5" borderId="1" applyAlignment="1" pivotButton="0" quotePrefix="0" xfId="0">
      <alignment horizontal="center" vertical="center"/>
    </xf>
    <xf numFmtId="0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4" fontId="5" fillId="5" borderId="1" pivotButton="0" quotePrefix="0" xfId="0"/>
    <xf numFmtId="0" fontId="6" fillId="2" borderId="0" pivotButton="0" quotePrefix="0" xfId="0"/>
    <xf numFmtId="4" fontId="7" fillId="4" borderId="1" pivotButton="0" quotePrefix="0" xfId="0"/>
    <xf numFmtId="0" fontId="7" fillId="4" borderId="1" pivotButton="0" quotePrefix="0" xfId="0"/>
    <xf numFmtId="166" fontId="7" fillId="4" borderId="1" pivotButton="0" quotePrefix="0" xfId="0"/>
    <xf numFmtId="0" fontId="8" fillId="2" borderId="0" pivotButton="0" quotePrefix="0" xfId="0"/>
    <xf numFmtId="0" fontId="5" fillId="2" borderId="0" pivotButton="0" quotePrefix="0" xfId="0"/>
    <xf numFmtId="0" fontId="10" fillId="2" borderId="0" pivotButton="0" quotePrefix="0" xfId="0"/>
    <xf numFmtId="0" fontId="9" fillId="3" borderId="0" applyAlignment="1" pivotButton="0" quotePrefix="0" xfId="0">
      <alignment horizontal="center" wrapText="1"/>
    </xf>
    <xf numFmtId="0" fontId="11" fillId="6" borderId="0" applyAlignment="1" pivotButton="0" quotePrefix="0" xfId="0">
      <alignment horizontal="center" wrapText="1"/>
    </xf>
    <xf numFmtId="0" fontId="11" fillId="3" borderId="0" applyAlignment="1" pivotButton="0" quotePrefix="0" xfId="0">
      <alignment horizontal="center" wrapText="1"/>
    </xf>
    <xf numFmtId="4" fontId="0" fillId="2" borderId="0" pivotButton="0" quotePrefix="0" xfId="0"/>
    <xf numFmtId="166" fontId="0" fillId="2" borderId="0" pivotButton="0" quotePrefix="0" xfId="0"/>
    <xf numFmtId="0" fontId="14" fillId="2" borderId="0" pivotButton="0" quotePrefix="0" xfId="0"/>
    <xf numFmtId="0" fontId="18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8F0DC"/>
          <bgColor rgb="00D8F0DC"/>
        </patternFill>
      </fill>
    </dxf>
    <dxf>
      <font>
        <name val="Arial"/>
        <b val="1"/>
        <color rgb="002F6B3A"/>
      </font>
      <fill>
        <patternFill patternType="solid">
          <fgColor rgb="00D8F0DC"/>
          <bgColor rgb="00D8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Watch each debt disappear</a:t>
            </a:r>
          </a:p>
        </rich>
      </tx>
    </title>
    <plotArea>
      <areaChart>
        <grouping val="stacked"/>
        <ser>
          <idx val="0"/>
          <order val="0"/>
          <tx>
            <strRef>
              <f>'Chart data'!B1</f>
            </strRef>
          </tx>
          <spPr>
            <a:solidFill>
              <a:srgbClr val="1F6F78"/>
            </a:solidFill>
            <a:ln>
              <a:noFill/>
              <a:prstDash val="solid"/>
            </a:ln>
          </spPr>
          <cat>
            <numRef>
              <f>'Chart data'!$A$2:$A$50</f>
            </numRef>
          </cat>
          <val>
            <numRef>
              <f>'Chart data'!$B$2:$B$50</f>
            </numRef>
          </val>
        </ser>
        <ser>
          <idx val="1"/>
          <order val="1"/>
          <tx>
            <strRef>
              <f>'Chart data'!C1</f>
            </strRef>
          </tx>
          <spPr>
            <a:solidFill>
              <a:srgbClr val="E0A21B"/>
            </a:solidFill>
            <a:ln>
              <a:noFill/>
              <a:prstDash val="solid"/>
            </a:ln>
          </spPr>
          <cat>
            <numRef>
              <f>'Chart data'!$A$2:$A$50</f>
            </numRef>
          </cat>
          <val>
            <numRef>
              <f>'Chart data'!$C$2:$C$50</f>
            </numRef>
          </val>
        </ser>
        <ser>
          <idx val="2"/>
          <order val="2"/>
          <tx>
            <strRef>
              <f>'Chart data'!D1</f>
            </strRef>
          </tx>
          <spPr>
            <a:solidFill>
              <a:srgbClr val="B4541F"/>
            </a:solidFill>
            <a:ln>
              <a:noFill/>
              <a:prstDash val="solid"/>
            </a:ln>
          </spPr>
          <cat>
            <numRef>
              <f>'Chart data'!$A$2:$A$50</f>
            </numRef>
          </cat>
          <val>
            <numRef>
              <f>'Chart data'!$D$2:$D$50</f>
            </numRef>
          </val>
        </ser>
        <ser>
          <idx val="3"/>
          <order val="3"/>
          <tx>
            <strRef>
              <f>'Chart data'!E1</f>
            </strRef>
          </tx>
          <spPr>
            <a:solidFill>
              <a:srgbClr val="6B8F71"/>
            </a:solidFill>
            <a:ln>
              <a:noFill/>
              <a:prstDash val="solid"/>
            </a:ln>
          </spPr>
          <cat>
            <numRef>
              <f>'Chart data'!$A$2:$A$50</f>
            </numRef>
          </cat>
          <val>
            <numRef>
              <f>'Chart data'!$E$2:$E$50</f>
            </numRef>
          </val>
        </ser>
        <ser>
          <idx val="4"/>
          <order val="4"/>
          <tx>
            <strRef>
              <f>'Chart data'!F1</f>
            </strRef>
          </tx>
          <spPr>
            <a:solidFill>
              <a:srgbClr val="8C6BB1"/>
            </a:solidFill>
            <a:ln>
              <a:noFill/>
              <a:prstDash val="solid"/>
            </a:ln>
          </spPr>
          <cat>
            <numRef>
              <f>'Chart data'!$A$2:$A$50</f>
            </numRef>
          </cat>
          <val>
            <numRef>
              <f>'Chart data'!$F$2:$F$50</f>
            </numRef>
          </val>
        </ser>
        <ser>
          <idx val="5"/>
          <order val="5"/>
          <tx>
            <strRef>
              <f>'Chart data'!G1</f>
            </strRef>
          </tx>
          <spPr>
            <a:solidFill>
              <a:srgbClr val="4F8A90"/>
            </a:solidFill>
            <a:ln>
              <a:noFill/>
              <a:prstDash val="solid"/>
            </a:ln>
          </spPr>
          <cat>
            <numRef>
              <f>'Chart data'!$A$2:$A$50</f>
            </numRef>
          </cat>
          <val>
            <numRef>
              <f>'Chart data'!$G$2:$G$50</f>
            </numRef>
          </val>
        </ser>
        <ser>
          <idx val="6"/>
          <order val="6"/>
          <tx>
            <strRef>
              <f>'Chart data'!H1</f>
            </strRef>
          </tx>
          <spPr>
            <a:solidFill>
              <a:srgbClr val="C98A0B"/>
            </a:solidFill>
            <a:ln>
              <a:noFill/>
              <a:prstDash val="solid"/>
            </a:ln>
          </spPr>
          <cat>
            <numRef>
              <f>'Chart data'!$A$2:$A$50</f>
            </numRef>
          </cat>
          <val>
            <numRef>
              <f>'Chart data'!$H$2:$H$50</f>
            </numRef>
          </val>
        </ser>
        <ser>
          <idx val="7"/>
          <order val="7"/>
          <tx>
            <strRef>
              <f>'Chart data'!I1</f>
            </strRef>
          </tx>
          <spPr>
            <a:solidFill>
              <a:srgbClr val="9B1C1C"/>
            </a:solidFill>
            <a:ln>
              <a:noFill/>
              <a:prstDash val="solid"/>
            </a:ln>
          </spPr>
          <cat>
            <numRef>
              <f>'Chart data'!$A$2:$A$50</f>
            </numRef>
          </cat>
          <val>
            <numRef>
              <f>'Chart data'!$I$2:$I$50</f>
            </numRef>
          </val>
        </ser>
        <ser>
          <idx val="8"/>
          <order val="8"/>
          <tx>
            <strRef>
              <f>'Chart data'!J1</f>
            </strRef>
          </tx>
          <spPr>
            <a:solidFill>
              <a:srgbClr val="5E6E72"/>
            </a:solidFill>
            <a:ln>
              <a:noFill/>
              <a:prstDash val="solid"/>
            </a:ln>
          </spPr>
          <cat>
            <numRef>
              <f>'Chart data'!$A$2:$A$50</f>
            </numRef>
          </cat>
          <val>
            <numRef>
              <f>'Chart data'!$J$2:$J$50</f>
            </numRef>
          </val>
        </ser>
        <ser>
          <idx val="9"/>
          <order val="9"/>
          <tx>
            <strRef>
              <f>'Chart data'!K1</f>
            </strRef>
          </tx>
          <spPr>
            <a:solidFill>
              <a:srgbClr val="2F6B3A"/>
            </a:solidFill>
            <a:ln>
              <a:noFill/>
              <a:prstDash val="solid"/>
            </a:ln>
          </spPr>
          <cat>
            <numRef>
              <f>'Chart data'!$A$2:$A$50</f>
            </numRef>
          </cat>
          <val>
            <numRef>
              <f>'Chart data'!$K$2:$K$50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Months from now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11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30" customWidth="1" min="6" max="6"/>
    <col width="3" customWidth="1" min="7" max="7"/>
    <col width="22" customWidth="1" min="8" max="8"/>
    <col width="18" customWidth="1" min="9" max="9"/>
    <col width="18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 t="inlineStr">
        <is>
          <t>Your way out of debt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Change the method or the extra amount on the Debts tab: everything updates.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4" t="inlineStr">
        <is>
          <t>Total debt now</t>
        </is>
      </c>
      <c r="C6" s="4" t="inlineStr">
        <is>
          <t>Paying per month</t>
        </is>
      </c>
      <c r="D6" s="4" t="inlineStr">
        <is>
          <t>Interest you will pay</t>
        </is>
      </c>
      <c r="E6" s="4" t="inlineStr">
        <is>
          <t>Months to go</t>
        </is>
      </c>
      <c r="F6" s="5" t="inlineStr">
        <is>
          <t>Debt-free in</t>
        </is>
      </c>
      <c r="G6" s="1" t="n"/>
      <c r="H6" s="1" t="n"/>
      <c r="I6" s="1" t="n"/>
      <c r="J6" s="1" t="n"/>
      <c r="K6" s="1" t="n"/>
    </row>
    <row r="7" ht="40" customHeight="1">
      <c r="A7" s="1" t="n"/>
      <c r="B7" s="6">
        <f>Debts!$C$16</f>
        <v/>
      </c>
      <c r="C7" s="7">
        <f>Debts!$E$16+Debts!$J$7</f>
        <v/>
      </c>
      <c r="D7" s="6">
        <f>IF(Debts!$J$10="Snowball",SUM(Snowball!$F$8:$F$187),SUM(Avalanche!$F$8:$F$187))</f>
        <v/>
      </c>
      <c r="E7" s="8">
        <f>IF(Debts!$J$10="Snowball",IF(COUNTIF(Snowball!$G$8:$G$187,"&gt;0.005")&gt;=180,"",COUNTIF(Snowball!$G$8:$G$187,"&gt;0.005")+1),IF(COUNTIF(Avalanche!$G$8:$G$187,"&gt;0.005")&gt;=180,"",COUNTIF(Avalanche!$G$8:$G$187,"&gt;0.005")+1))</f>
        <v/>
      </c>
      <c r="F7" s="9">
        <f>IF(IF(Debts!$J$10="Snowball",IF(COUNTIF(Snowball!$G$8:$G$187,"&gt;0.005")&gt;=180,"",COUNTIF(Snowball!$G$8:$G$187,"&gt;0.005")+1),IF(COUNTIF(Avalanche!$G$8:$G$187,"&gt;0.005")&gt;=180,"",COUNTIF(Avalanche!$G$8:$G$187,"&gt;0.005")+1))="","15+ years",EDATE(Debts!$J$13,IF(Debts!$J$10="Snowball",IF(COUNTIF(Snowball!$G$8:$G$187,"&gt;0.005")&gt;=180,"",COUNTIF(Snowball!$G$8:$G$187,"&gt;0.005")+1),IF(COUNTIF(Avalanche!$G$8:$G$187,"&gt;0.005")&gt;=180,"",COUNTIF(Avalanche!$G$8:$G$187,"&gt;0.005")+1))-1))</f>
        <v/>
      </c>
      <c r="G7" s="1" t="n"/>
      <c r="H7" s="1" t="n"/>
      <c r="I7" s="1" t="n"/>
      <c r="J7" s="1" t="n"/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s="1" t="n"/>
      <c r="B9" s="10" t="inlineStr">
        <is>
          <t>This month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30" customHeight="1">
      <c r="A10" s="1" t="n"/>
      <c r="B10" s="11">
        <f>IFERROR("Pay the minimum on every debt, and "&amp;FIXED(INDEX(Debts!$H$6:$H$15,MATCH(1,IF(Debts!$J$10="Snowball",Debts!$F$6:$F$15,Debts!$G$6:$G$15),0)),2)&amp;" on "&amp;INDEX(Debts!$B$6:$B$15,MATCH(1,IF(Debts!$J$10="Snowball",Debts!$F$6:$F$15,Debts!$G$6:$G$15),0))&amp;". That is your focus debt.","Add your debts on the Debts tab.")</f>
        <v/>
      </c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30" customHeight="1">
      <c r="A12" s="1" t="n"/>
      <c r="B12" s="12" t="inlineStr">
        <is>
          <t>Compare</t>
        </is>
      </c>
      <c r="C12" s="12" t="inlineStr">
        <is>
          <t>Months</t>
        </is>
      </c>
      <c r="D12" s="12" t="inlineStr">
        <is>
          <t>Debt-free</t>
        </is>
      </c>
      <c r="E12" s="12" t="inlineStr">
        <is>
          <t>Interest</t>
        </is>
      </c>
      <c r="F12" s="12" t="inlineStr">
        <is>
          <t>Difference</t>
        </is>
      </c>
      <c r="G12" s="1" t="n"/>
      <c r="H12" s="1" t="n"/>
      <c r="I12" s="1" t="n"/>
      <c r="J12" s="1" t="n"/>
      <c r="K12" s="1" t="n"/>
    </row>
    <row r="13">
      <c r="A13" s="1" t="n"/>
      <c r="B13" s="13" t="inlineStr">
        <is>
          <t>Avalanche</t>
        </is>
      </c>
      <c r="C13" s="14">
        <f>IF(COUNTIF(Avalanche!$G$8:$G$187,"&gt;0.005")&gt;=180,"",COUNTIF(Avalanche!$G$8:$G$187,"&gt;0.005")+1)</f>
        <v/>
      </c>
      <c r="D13" s="15">
        <f>IF(C13="","15+ years",EDATE(Debts!$J$13,C13-1))</f>
        <v/>
      </c>
      <c r="E13" s="16">
        <f>SUM(Avalanche!$F$8:$F$187)</f>
        <v/>
      </c>
      <c r="F13" s="17">
        <f>IF(E14-E13&gt;0.5,"saves "&amp;FIXED(E14-E13,0)&amp;" in interest","same interest")</f>
        <v/>
      </c>
      <c r="G13" s="1" t="n"/>
      <c r="H13" s="1" t="n"/>
      <c r="I13" s="1" t="n"/>
      <c r="J13" s="1" t="n"/>
      <c r="K13" s="1" t="n"/>
    </row>
    <row r="14">
      <c r="A14" s="1" t="n"/>
      <c r="B14" s="13" t="inlineStr">
        <is>
          <t>Snowball</t>
        </is>
      </c>
      <c r="C14" s="14">
        <f>IF(COUNTIF(Snowball!$G$8:$G$187,"&gt;0.005")&gt;=180,"",COUNTIF(Snowball!$G$8:$G$187,"&gt;0.005")+1)</f>
        <v/>
      </c>
      <c r="D14" s="15">
        <f>IF(C14="","15+ years",EDATE(Debts!$J$13,C14-1))</f>
        <v/>
      </c>
      <c r="E14" s="16">
        <f>SUM(Snowball!$F$8:$F$187)</f>
        <v/>
      </c>
      <c r="F14" s="17">
        <f>"1st debt gone in "&amp;MIN(Debts!$M$6:$M$15)&amp;" mo (vs "&amp;MIN(Debts!$N$6:$N$15)&amp;")"</f>
        <v/>
      </c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30" customHeight="1">
      <c r="A16" s="1" t="n"/>
      <c r="B16" s="12" t="inlineStr">
        <is>
          <t>Debt</t>
        </is>
      </c>
      <c r="C16" s="12" t="inlineStr">
        <is>
          <t>Balance now</t>
        </is>
      </c>
      <c r="D16" s="12" t="inlineStr">
        <is>
          <t>Interest %</t>
        </is>
      </c>
      <c r="E16" s="12" t="inlineStr">
        <is>
          <t>Paid off in</t>
        </is>
      </c>
      <c r="F16" s="12" t="inlineStr">
        <is>
          <t>Order</t>
        </is>
      </c>
      <c r="G16" s="1" t="n"/>
      <c r="H16" s="1" t="n"/>
      <c r="I16" s="1" t="n"/>
      <c r="J16" s="1" t="n"/>
      <c r="K16" s="1" t="n"/>
    </row>
    <row r="17">
      <c r="A17" s="1" t="n"/>
      <c r="B17" s="13">
        <f>IF(Debts!B6="","",Debts!B6)</f>
        <v/>
      </c>
      <c r="C17" s="16">
        <f>IF(Debts!B6="","",Debts!C6)</f>
        <v/>
      </c>
      <c r="D17" s="18">
        <f>IF(Debts!B6="","",Debts!D6)</f>
        <v/>
      </c>
      <c r="E17" s="15">
        <f>IF(OR(Debts!B6="",Debts!I6=""),"",EDATE(Debts!$J$13,Debts!I6-1))</f>
        <v/>
      </c>
      <c r="F17" s="14">
        <f>IF(Debts!B6="","",IF(Debts!$J$10="Snowball",Debts!F6,Debts!G6))</f>
        <v/>
      </c>
      <c r="G17" s="1" t="n"/>
      <c r="H17" s="1" t="n"/>
      <c r="I17" s="1" t="n"/>
      <c r="J17" s="1" t="n"/>
      <c r="K17" s="1" t="n"/>
    </row>
    <row r="18">
      <c r="A18" s="1" t="n"/>
      <c r="B18" s="13">
        <f>IF(Debts!B7="","",Debts!B7)</f>
        <v/>
      </c>
      <c r="C18" s="16">
        <f>IF(Debts!B7="","",Debts!C7)</f>
        <v/>
      </c>
      <c r="D18" s="18">
        <f>IF(Debts!B7="","",Debts!D7)</f>
        <v/>
      </c>
      <c r="E18" s="15">
        <f>IF(OR(Debts!B7="",Debts!I7=""),"",EDATE(Debts!$J$13,Debts!I7-1))</f>
        <v/>
      </c>
      <c r="F18" s="14">
        <f>IF(Debts!B7="","",IF(Debts!$J$10="Snowball",Debts!F7,Debts!G7))</f>
        <v/>
      </c>
      <c r="G18" s="1" t="n"/>
      <c r="H18" s="1" t="n"/>
      <c r="I18" s="1" t="n"/>
      <c r="J18" s="1" t="n"/>
      <c r="K18" s="1" t="n"/>
    </row>
    <row r="19">
      <c r="A19" s="1" t="n"/>
      <c r="B19" s="13">
        <f>IF(Debts!B8="","",Debts!B8)</f>
        <v/>
      </c>
      <c r="C19" s="16">
        <f>IF(Debts!B8="","",Debts!C8)</f>
        <v/>
      </c>
      <c r="D19" s="18">
        <f>IF(Debts!B8="","",Debts!D8)</f>
        <v/>
      </c>
      <c r="E19" s="15">
        <f>IF(OR(Debts!B8="",Debts!I8=""),"",EDATE(Debts!$J$13,Debts!I8-1))</f>
        <v/>
      </c>
      <c r="F19" s="14">
        <f>IF(Debts!B8="","",IF(Debts!$J$10="Snowball",Debts!F8,Debts!G8))</f>
        <v/>
      </c>
      <c r="G19" s="1" t="n"/>
      <c r="H19" s="1" t="n"/>
      <c r="I19" s="1" t="n"/>
      <c r="J19" s="1" t="n"/>
      <c r="K19" s="1" t="n"/>
    </row>
    <row r="20">
      <c r="A20" s="1" t="n"/>
      <c r="B20" s="13">
        <f>IF(Debts!B9="","",Debts!B9)</f>
        <v/>
      </c>
      <c r="C20" s="16">
        <f>IF(Debts!B9="","",Debts!C9)</f>
        <v/>
      </c>
      <c r="D20" s="18">
        <f>IF(Debts!B9="","",Debts!D9)</f>
        <v/>
      </c>
      <c r="E20" s="15">
        <f>IF(OR(Debts!B9="",Debts!I9=""),"",EDATE(Debts!$J$13,Debts!I9-1))</f>
        <v/>
      </c>
      <c r="F20" s="14">
        <f>IF(Debts!B9="","",IF(Debts!$J$10="Snowball",Debts!F9,Debts!G9))</f>
        <v/>
      </c>
      <c r="G20" s="1" t="n"/>
      <c r="H20" s="1" t="n"/>
      <c r="I20" s="1" t="n"/>
      <c r="J20" s="1" t="n"/>
      <c r="K20" s="1" t="n"/>
    </row>
    <row r="21">
      <c r="A21" s="1" t="n"/>
      <c r="B21" s="13">
        <f>IF(Debts!B10="","",Debts!B10)</f>
        <v/>
      </c>
      <c r="C21" s="16">
        <f>IF(Debts!B10="","",Debts!C10)</f>
        <v/>
      </c>
      <c r="D21" s="18">
        <f>IF(Debts!B10="","",Debts!D10)</f>
        <v/>
      </c>
      <c r="E21" s="15">
        <f>IF(OR(Debts!B10="",Debts!I10=""),"",EDATE(Debts!$J$13,Debts!I10-1))</f>
        <v/>
      </c>
      <c r="F21" s="14">
        <f>IF(Debts!B10="","",IF(Debts!$J$10="Snowball",Debts!F10,Debts!G10))</f>
        <v/>
      </c>
      <c r="G21" s="1" t="n"/>
      <c r="H21" s="1" t="n"/>
      <c r="I21" s="1" t="n"/>
      <c r="J21" s="1" t="n"/>
      <c r="K21" s="1" t="n"/>
    </row>
    <row r="22">
      <c r="A22" s="1" t="n"/>
      <c r="B22" s="13">
        <f>IF(Debts!B11="","",Debts!B11)</f>
        <v/>
      </c>
      <c r="C22" s="16">
        <f>IF(Debts!B11="","",Debts!C11)</f>
        <v/>
      </c>
      <c r="D22" s="18">
        <f>IF(Debts!B11="","",Debts!D11)</f>
        <v/>
      </c>
      <c r="E22" s="15">
        <f>IF(OR(Debts!B11="",Debts!I11=""),"",EDATE(Debts!$J$13,Debts!I11-1))</f>
        <v/>
      </c>
      <c r="F22" s="14">
        <f>IF(Debts!B11="","",IF(Debts!$J$10="Snowball",Debts!F11,Debts!G11))</f>
        <v/>
      </c>
      <c r="G22" s="1" t="n"/>
      <c r="H22" s="1" t="n"/>
      <c r="I22" s="1" t="n"/>
      <c r="J22" s="1" t="n"/>
      <c r="K22" s="1" t="n"/>
    </row>
    <row r="23">
      <c r="A23" s="1" t="n"/>
      <c r="B23" s="13">
        <f>IF(Debts!B12="","",Debts!B12)</f>
        <v/>
      </c>
      <c r="C23" s="16">
        <f>IF(Debts!B12="","",Debts!C12)</f>
        <v/>
      </c>
      <c r="D23" s="18">
        <f>IF(Debts!B12="","",Debts!D12)</f>
        <v/>
      </c>
      <c r="E23" s="15">
        <f>IF(OR(Debts!B12="",Debts!I12=""),"",EDATE(Debts!$J$13,Debts!I12-1))</f>
        <v/>
      </c>
      <c r="F23" s="14">
        <f>IF(Debts!B12="","",IF(Debts!$J$10="Snowball",Debts!F12,Debts!G12))</f>
        <v/>
      </c>
      <c r="G23" s="1" t="n"/>
      <c r="H23" s="1" t="n"/>
      <c r="I23" s="1" t="n"/>
      <c r="J23" s="1" t="n"/>
      <c r="K23" s="1" t="n"/>
    </row>
    <row r="24">
      <c r="A24" s="1" t="n"/>
      <c r="B24" s="13">
        <f>IF(Debts!B13="","",Debts!B13)</f>
        <v/>
      </c>
      <c r="C24" s="16">
        <f>IF(Debts!B13="","",Debts!C13)</f>
        <v/>
      </c>
      <c r="D24" s="18">
        <f>IF(Debts!B13="","",Debts!D13)</f>
        <v/>
      </c>
      <c r="E24" s="15">
        <f>IF(OR(Debts!B13="",Debts!I13=""),"",EDATE(Debts!$J$13,Debts!I13-1))</f>
        <v/>
      </c>
      <c r="F24" s="14">
        <f>IF(Debts!B13="","",IF(Debts!$J$10="Snowball",Debts!F13,Debts!G13))</f>
        <v/>
      </c>
      <c r="G24" s="1" t="n"/>
      <c r="H24" s="1" t="n"/>
      <c r="I24" s="1" t="n"/>
      <c r="J24" s="1" t="n"/>
      <c r="K24" s="1" t="n"/>
    </row>
    <row r="25">
      <c r="A25" s="1" t="n"/>
      <c r="B25" s="13">
        <f>IF(Debts!B14="","",Debts!B14)</f>
        <v/>
      </c>
      <c r="C25" s="16">
        <f>IF(Debts!B14="","",Debts!C14)</f>
        <v/>
      </c>
      <c r="D25" s="18">
        <f>IF(Debts!B14="","",Debts!D14)</f>
        <v/>
      </c>
      <c r="E25" s="15">
        <f>IF(OR(Debts!B14="",Debts!I14=""),"",EDATE(Debts!$J$13,Debts!I14-1))</f>
        <v/>
      </c>
      <c r="F25" s="14">
        <f>IF(Debts!B14="","",IF(Debts!$J$10="Snowball",Debts!F14,Debts!G14))</f>
        <v/>
      </c>
      <c r="G25" s="1" t="n"/>
      <c r="H25" s="1" t="n"/>
      <c r="I25" s="1" t="n"/>
      <c r="J25" s="1" t="n"/>
      <c r="K25" s="1" t="n"/>
    </row>
    <row r="26">
      <c r="A26" s="1" t="n"/>
      <c r="B26" s="13">
        <f>IF(Debts!B15="","",Debts!B15)</f>
        <v/>
      </c>
      <c r="C26" s="16">
        <f>IF(Debts!B15="","",Debts!C15)</f>
        <v/>
      </c>
      <c r="D26" s="18">
        <f>IF(Debts!B15="","",Debts!D15)</f>
        <v/>
      </c>
      <c r="E26" s="15">
        <f>IF(OR(Debts!B15="",Debts!I15=""),"",EDATE(Debts!$J$13,Debts!I15-1))</f>
        <v/>
      </c>
      <c r="F26" s="14">
        <f>IF(Debts!B15="","",IF(Debts!$J$10="Snowball",Debts!F15,Debts!G15))</f>
        <v/>
      </c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</sheetData>
  <mergeCells count="1">
    <mergeCell ref="B10:F10"/>
  </mergeCells>
  <conditionalFormatting sqref="B13:F14">
    <cfRule type="expression" priority="1" dxfId="0">
      <formula>$B13=INDIRECT("Debts!J10")</formula>
    </cfRule>
  </conditionalFormatting>
  <conditionalFormatting sqref="B17:F26">
    <cfRule type="expression" priority="2" dxfId="0">
      <formula>$F17=1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0" customWidth="1" min="4" max="4"/>
    <col width="14" customWidth="1" min="5" max="5"/>
    <col width="11" customWidth="1" min="6" max="6"/>
    <col width="11" customWidth="1" min="7" max="7"/>
    <col width="14" customWidth="1" min="8" max="8"/>
    <col hidden="1" width="3" customWidth="1" min="9" max="9"/>
    <col width="30" customWidth="1" min="10" max="10"/>
    <col width="16" customWidth="1" min="11" max="11"/>
    <col hidden="1" width="13" customWidth="1" min="13" max="13"/>
    <col hidden="1" width="13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Your debts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One line per debt. Only the yellow cells.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12" t="inlineStr">
        <is>
          <t>Debt</t>
        </is>
      </c>
      <c r="C5" s="12" t="inlineStr">
        <is>
          <t>Balance now</t>
        </is>
      </c>
      <c r="D5" s="12" t="inlineStr">
        <is>
          <t>Interest % per year</t>
        </is>
      </c>
      <c r="E5" s="12" t="inlineStr">
        <is>
          <t>Minimum payment</t>
        </is>
      </c>
      <c r="F5" s="12" t="inlineStr">
        <is>
          <t>Snowball order</t>
        </is>
      </c>
      <c r="G5" s="12" t="inlineStr">
        <is>
          <t>Avalanche order</t>
        </is>
      </c>
      <c r="H5" s="12" t="inlineStr">
        <is>
          <t>Pay this month</t>
        </is>
      </c>
      <c r="I5" s="1" t="inlineStr">
        <is>
          <t>Paid off (month #)</t>
        </is>
      </c>
      <c r="J5" s="1" t="n"/>
      <c r="K5" s="1" t="n"/>
      <c r="L5" s="1" t="n"/>
      <c r="M5" t="inlineStr">
        <is>
          <t>Snowball month #</t>
        </is>
      </c>
      <c r="N5" t="inlineStr">
        <is>
          <t>Avalanche month #</t>
        </is>
      </c>
    </row>
    <row r="6">
      <c r="A6" s="1" t="n"/>
      <c r="B6" s="19" t="inlineStr">
        <is>
          <t>Credit card</t>
        </is>
      </c>
      <c r="C6" s="20" t="n">
        <v>3200</v>
      </c>
      <c r="D6" s="21" t="n">
        <v>24.9</v>
      </c>
      <c r="E6" s="20" t="n">
        <v>96</v>
      </c>
      <c r="F6" s="14">
        <f>IF(AND($B6&lt;&gt;"",N($C6)&gt;0),COUNTIFS($C$6:$C$15,"&lt;"&amp;$C6,$B$6:$B$15,"&lt;&gt;",$C$6:$C$15,"&gt;0")+COUNTIFS($C$6:$C6,$C6,$B$6:$B6,"&lt;&gt;"),"")</f>
        <v/>
      </c>
      <c r="G6" s="14">
        <f>IF(AND($B6&lt;&gt;"",N($C6)&gt;0),COUNTIFS($D$6:$D$15,"&gt;"&amp;N($D6),$B$6:$B$15,"&lt;&gt;",$C$6:$C$15,"&gt;0")+COUNTIFS($D$6:$D6,N($D6),$B$6:$B6,"&lt;&gt;",$C$6:$C6,"&gt;0"),"")</f>
        <v/>
      </c>
      <c r="H6" s="22">
        <f>IF($B6="","",IF(Debts!$J$10="Snowball",Snowball!H8-Snowball!J8,Avalanche!H8-Avalanche!J8))</f>
        <v/>
      </c>
      <c r="I6" s="1">
        <f>IF($B6="","",IF(Debts!$J$10="Snowball",M6,N6))</f>
        <v/>
      </c>
      <c r="J6" s="23" t="inlineStr">
        <is>
          <t>Extra you can add every month</t>
        </is>
      </c>
      <c r="K6" s="1" t="n"/>
      <c r="L6" s="1" t="n"/>
      <c r="M6">
        <f>IF($B6="","",IF(COUNTIF(Snowball!$J$8:$J$187,"&gt;0.005")&gt;=180,"",COUNTIF(Snowball!$J$8:$J$187,"&gt;0.005")+1))</f>
        <v/>
      </c>
      <c r="N6">
        <f>IF($B6="","",IF(COUNTIF(Avalanche!$J$8:$J$187,"&gt;0.005")&gt;=180,"",COUNTIF(Avalanche!$J$8:$J$187,"&gt;0.005")+1))</f>
        <v/>
      </c>
    </row>
    <row r="7">
      <c r="A7" s="1" t="n"/>
      <c r="B7" s="19" t="inlineStr">
        <is>
          <t>Store card</t>
        </is>
      </c>
      <c r="C7" s="20" t="n">
        <v>850</v>
      </c>
      <c r="D7" s="21" t="n">
        <v>29.9</v>
      </c>
      <c r="E7" s="20" t="n">
        <v>35</v>
      </c>
      <c r="F7" s="14">
        <f>IF(AND($B7&lt;&gt;"",N($C7)&gt;0),COUNTIFS($C$6:$C$15,"&lt;"&amp;$C7,$B$6:$B$15,"&lt;&gt;",$C$6:$C$15,"&gt;0")+COUNTIFS($C$6:$C7,$C7,$B$6:$B7,"&lt;&gt;"),"")</f>
        <v/>
      </c>
      <c r="G7" s="14">
        <f>IF(AND($B7&lt;&gt;"",N($C7)&gt;0),COUNTIFS($D$6:$D$15,"&gt;"&amp;N($D7),$B$6:$B$15,"&lt;&gt;",$C$6:$C$15,"&gt;0")+COUNTIFS($D$6:$D7,N($D7),$B$6:$B7,"&lt;&gt;",$C$6:$C7,"&gt;0"),"")</f>
        <v/>
      </c>
      <c r="H7" s="22">
        <f>IF($B7="","",IF(Debts!$J$10="Snowball",Snowball!K8-Snowball!M8,Avalanche!K8-Avalanche!M8))</f>
        <v/>
      </c>
      <c r="I7" s="1">
        <f>IF($B7="","",IF(Debts!$J$10="Snowball",M7,N7))</f>
        <v/>
      </c>
      <c r="J7" s="24" t="n">
        <v>200</v>
      </c>
      <c r="K7" s="1" t="n"/>
      <c r="L7" s="1" t="n"/>
      <c r="M7">
        <f>IF($B7="","",IF(COUNTIF(Snowball!$M$8:$M$187,"&gt;0.005")&gt;=180,"",COUNTIF(Snowball!$M$8:$M$187,"&gt;0.005")+1))</f>
        <v/>
      </c>
      <c r="N7">
        <f>IF($B7="","",IF(COUNTIF(Avalanche!$M$8:$M$187,"&gt;0.005")&gt;=180,"",COUNTIF(Avalanche!$M$8:$M$187,"&gt;0.005")+1))</f>
        <v/>
      </c>
    </row>
    <row r="8">
      <c r="A8" s="1" t="n"/>
      <c r="B8" s="19" t="inlineStr">
        <is>
          <t>Car loan</t>
        </is>
      </c>
      <c r="C8" s="20" t="n">
        <v>7400</v>
      </c>
      <c r="D8" s="21" t="n">
        <v>6.9</v>
      </c>
      <c r="E8" s="20" t="n">
        <v>210</v>
      </c>
      <c r="F8" s="14">
        <f>IF(AND($B8&lt;&gt;"",N($C8)&gt;0),COUNTIFS($C$6:$C$15,"&lt;"&amp;$C8,$B$6:$B$15,"&lt;&gt;",$C$6:$C$15,"&gt;0")+COUNTIFS($C$6:$C8,$C8,$B$6:$B8,"&lt;&gt;"),"")</f>
        <v/>
      </c>
      <c r="G8" s="14">
        <f>IF(AND($B8&lt;&gt;"",N($C8)&gt;0),COUNTIFS($D$6:$D$15,"&gt;"&amp;N($D8),$B$6:$B$15,"&lt;&gt;",$C$6:$C$15,"&gt;0")+COUNTIFS($D$6:$D8,N($D8),$B$6:$B8,"&lt;&gt;",$C$6:$C8,"&gt;0"),"")</f>
        <v/>
      </c>
      <c r="H8" s="22">
        <f>IF($B8="","",IF(Debts!$J$10="Snowball",Snowball!N8-Snowball!P8,Avalanche!N8-Avalanche!P8))</f>
        <v/>
      </c>
      <c r="I8" s="1">
        <f>IF($B8="","",IF(Debts!$J$10="Snowball",M8,N8))</f>
        <v/>
      </c>
      <c r="J8" s="1" t="n"/>
      <c r="K8" s="1" t="n"/>
      <c r="L8" s="1" t="n"/>
      <c r="M8">
        <f>IF($B8="","",IF(COUNTIF(Snowball!$P$8:$P$187,"&gt;0.005")&gt;=180,"",COUNTIF(Snowball!$P$8:$P$187,"&gt;0.005")+1))</f>
        <v/>
      </c>
      <c r="N8">
        <f>IF($B8="","",IF(COUNTIF(Avalanche!$P$8:$P$187,"&gt;0.005")&gt;=180,"",COUNTIF(Avalanche!$P$8:$P$187,"&gt;0.005")+1))</f>
        <v/>
      </c>
    </row>
    <row r="9">
      <c r="A9" s="1" t="n"/>
      <c r="B9" s="19" t="inlineStr">
        <is>
          <t>Personal loan</t>
        </is>
      </c>
      <c r="C9" s="20" t="n">
        <v>2100</v>
      </c>
      <c r="D9" s="21" t="n">
        <v>11.5</v>
      </c>
      <c r="E9" s="20" t="n">
        <v>85</v>
      </c>
      <c r="F9" s="14">
        <f>IF(AND($B9&lt;&gt;"",N($C9)&gt;0),COUNTIFS($C$6:$C$15,"&lt;"&amp;$C9,$B$6:$B$15,"&lt;&gt;",$C$6:$C$15,"&gt;0")+COUNTIFS($C$6:$C9,$C9,$B$6:$B9,"&lt;&gt;"),"")</f>
        <v/>
      </c>
      <c r="G9" s="14">
        <f>IF(AND($B9&lt;&gt;"",N($C9)&gt;0),COUNTIFS($D$6:$D$15,"&gt;"&amp;N($D9),$B$6:$B$15,"&lt;&gt;",$C$6:$C$15,"&gt;0")+COUNTIFS($D$6:$D9,N($D9),$B$6:$B9,"&lt;&gt;",$C$6:$C9,"&gt;0"),"")</f>
        <v/>
      </c>
      <c r="H9" s="22">
        <f>IF($B9="","",IF(Debts!$J$10="Snowball",Snowball!Q8-Snowball!S8,Avalanche!Q8-Avalanche!S8))</f>
        <v/>
      </c>
      <c r="I9" s="1">
        <f>IF($B9="","",IF(Debts!$J$10="Snowball",M9,N9))</f>
        <v/>
      </c>
      <c r="J9" s="23" t="inlineStr">
        <is>
          <t>Method (Avalanche or Snowball)</t>
        </is>
      </c>
      <c r="K9" s="1" t="n"/>
      <c r="L9" s="1" t="n"/>
      <c r="M9">
        <f>IF($B9="","",IF(COUNTIF(Snowball!$S$8:$S$187,"&gt;0.005")&gt;=180,"",COUNTIF(Snowball!$S$8:$S$187,"&gt;0.005")+1))</f>
        <v/>
      </c>
      <c r="N9">
        <f>IF($B9="","",IF(COUNTIF(Avalanche!$S$8:$S$187,"&gt;0.005")&gt;=180,"",COUNTIF(Avalanche!$S$8:$S$187,"&gt;0.005")+1))</f>
        <v/>
      </c>
    </row>
    <row r="10">
      <c r="A10" s="1" t="n"/>
      <c r="B10" s="19" t="inlineStr">
        <is>
          <t>Medical bill</t>
        </is>
      </c>
      <c r="C10" s="20" t="n">
        <v>600</v>
      </c>
      <c r="D10" s="21" t="n">
        <v>0</v>
      </c>
      <c r="E10" s="20" t="n">
        <v>50</v>
      </c>
      <c r="F10" s="14">
        <f>IF(AND($B10&lt;&gt;"",N($C10)&gt;0),COUNTIFS($C$6:$C$15,"&lt;"&amp;$C10,$B$6:$B$15,"&lt;&gt;",$C$6:$C$15,"&gt;0")+COUNTIFS($C$6:$C10,$C10,$B$6:$B10,"&lt;&gt;"),"")</f>
        <v/>
      </c>
      <c r="G10" s="14">
        <f>IF(AND($B10&lt;&gt;"",N($C10)&gt;0),COUNTIFS($D$6:$D$15,"&gt;"&amp;N($D10),$B$6:$B$15,"&lt;&gt;",$C$6:$C$15,"&gt;0")+COUNTIFS($D$6:$D10,N($D10),$B$6:$B10,"&lt;&gt;",$C$6:$C10,"&gt;0"),"")</f>
        <v/>
      </c>
      <c r="H10" s="22">
        <f>IF($B10="","",IF(Debts!$J$10="Snowball",Snowball!T8-Snowball!V8,Avalanche!T8-Avalanche!V8))</f>
        <v/>
      </c>
      <c r="I10" s="1">
        <f>IF($B10="","",IF(Debts!$J$10="Snowball",M10,N10))</f>
        <v/>
      </c>
      <c r="J10" s="25" t="inlineStr">
        <is>
          <t>Avalanche</t>
        </is>
      </c>
      <c r="K10" s="1" t="n"/>
      <c r="L10" s="1" t="n"/>
      <c r="M10">
        <f>IF($B10="","",IF(COUNTIF(Snowball!$V$8:$V$187,"&gt;0.005")&gt;=180,"",COUNTIF(Snowball!$V$8:$V$187,"&gt;0.005")+1))</f>
        <v/>
      </c>
      <c r="N10">
        <f>IF($B10="","",IF(COUNTIF(Avalanche!$V$8:$V$187,"&gt;0.005")&gt;=180,"",COUNTIF(Avalanche!$V$8:$V$187,"&gt;0.005")+1))</f>
        <v/>
      </c>
    </row>
    <row r="11">
      <c r="A11" s="1" t="n"/>
      <c r="B11" s="19" t="n"/>
      <c r="C11" s="20" t="n"/>
      <c r="D11" s="21" t="n"/>
      <c r="E11" s="20" t="n"/>
      <c r="F11" s="14">
        <f>IF(AND($B11&lt;&gt;"",N($C11)&gt;0),COUNTIFS($C$6:$C$15,"&lt;"&amp;$C11,$B$6:$B$15,"&lt;&gt;",$C$6:$C$15,"&gt;0")+COUNTIFS($C$6:$C11,$C11,$B$6:$B11,"&lt;&gt;"),"")</f>
        <v/>
      </c>
      <c r="G11" s="14">
        <f>IF(AND($B11&lt;&gt;"",N($C11)&gt;0),COUNTIFS($D$6:$D$15,"&gt;"&amp;N($D11),$B$6:$B$15,"&lt;&gt;",$C$6:$C$15,"&gt;0")+COUNTIFS($D$6:$D11,N($D11),$B$6:$B11,"&lt;&gt;",$C$6:$C11,"&gt;0"),"")</f>
        <v/>
      </c>
      <c r="H11" s="22">
        <f>IF($B11="","",IF(Debts!$J$10="Snowball",Snowball!W8-Snowball!Y8,Avalanche!W8-Avalanche!Y8))</f>
        <v/>
      </c>
      <c r="I11" s="1">
        <f>IF($B11="","",IF(Debts!$J$10="Snowball",M11,N11))</f>
        <v/>
      </c>
      <c r="J11" s="1" t="n"/>
      <c r="K11" s="1" t="n"/>
      <c r="L11" s="1" t="n"/>
      <c r="M11">
        <f>IF($B11="","",IF(COUNTIF(Snowball!$Y$8:$Y$187,"&gt;0.005")&gt;=180,"",COUNTIF(Snowball!$Y$8:$Y$187,"&gt;0.005")+1))</f>
        <v/>
      </c>
      <c r="N11">
        <f>IF($B11="","",IF(COUNTIF(Avalanche!$Y$8:$Y$187,"&gt;0.005")&gt;=180,"",COUNTIF(Avalanche!$Y$8:$Y$187,"&gt;0.005")+1))</f>
        <v/>
      </c>
    </row>
    <row r="12">
      <c r="A12" s="1" t="n"/>
      <c r="B12" s="19" t="n"/>
      <c r="C12" s="20" t="n"/>
      <c r="D12" s="21" t="n"/>
      <c r="E12" s="20" t="n"/>
      <c r="F12" s="14">
        <f>IF(AND($B12&lt;&gt;"",N($C12)&gt;0),COUNTIFS($C$6:$C$15,"&lt;"&amp;$C12,$B$6:$B$15,"&lt;&gt;",$C$6:$C$15,"&gt;0")+COUNTIFS($C$6:$C12,$C12,$B$6:$B12,"&lt;&gt;"),"")</f>
        <v/>
      </c>
      <c r="G12" s="14">
        <f>IF(AND($B12&lt;&gt;"",N($C12)&gt;0),COUNTIFS($D$6:$D$15,"&gt;"&amp;N($D12),$B$6:$B$15,"&lt;&gt;",$C$6:$C$15,"&gt;0")+COUNTIFS($D$6:$D12,N($D12),$B$6:$B12,"&lt;&gt;",$C$6:$C12,"&gt;0"),"")</f>
        <v/>
      </c>
      <c r="H12" s="22">
        <f>IF($B12="","",IF(Debts!$J$10="Snowball",Snowball!Z8-Snowball!AB8,Avalanche!Z8-Avalanche!AB8))</f>
        <v/>
      </c>
      <c r="I12" s="1">
        <f>IF($B12="","",IF(Debts!$J$10="Snowball",M12,N12))</f>
        <v/>
      </c>
      <c r="J12" s="23" t="inlineStr">
        <is>
          <t>First payment month</t>
        </is>
      </c>
      <c r="K12" s="1" t="n"/>
      <c r="L12" s="1" t="n"/>
      <c r="M12">
        <f>IF($B12="","",IF(COUNTIF(Snowball!$AB$8:$AB$187,"&gt;0.005")&gt;=180,"",COUNTIF(Snowball!$AB$8:$AB$187,"&gt;0.005")+1))</f>
        <v/>
      </c>
      <c r="N12">
        <f>IF($B12="","",IF(COUNTIF(Avalanche!$AB$8:$AB$187,"&gt;0.005")&gt;=180,"",COUNTIF(Avalanche!$AB$8:$AB$187,"&gt;0.005")+1))</f>
        <v/>
      </c>
    </row>
    <row r="13">
      <c r="A13" s="1" t="n"/>
      <c r="B13" s="19" t="n"/>
      <c r="C13" s="20" t="n"/>
      <c r="D13" s="21" t="n"/>
      <c r="E13" s="20" t="n"/>
      <c r="F13" s="14">
        <f>IF(AND($B13&lt;&gt;"",N($C13)&gt;0),COUNTIFS($C$6:$C$15,"&lt;"&amp;$C13,$B$6:$B$15,"&lt;&gt;",$C$6:$C$15,"&gt;0")+COUNTIFS($C$6:$C13,$C13,$B$6:$B13,"&lt;&gt;"),"")</f>
        <v/>
      </c>
      <c r="G13" s="14">
        <f>IF(AND($B13&lt;&gt;"",N($C13)&gt;0),COUNTIFS($D$6:$D$15,"&gt;"&amp;N($D13),$B$6:$B$15,"&lt;&gt;",$C$6:$C$15,"&gt;0")+COUNTIFS($D$6:$D13,N($D13),$B$6:$B13,"&lt;&gt;",$C$6:$C13,"&gt;0"),"")</f>
        <v/>
      </c>
      <c r="H13" s="22">
        <f>IF($B13="","",IF(Debts!$J$10="Snowball",Snowball!AC8-Snowball!AE8,Avalanche!AC8-Avalanche!AE8))</f>
        <v/>
      </c>
      <c r="I13" s="1">
        <f>IF($B13="","",IF(Debts!$J$10="Snowball",M13,N13))</f>
        <v/>
      </c>
      <c r="J13" s="26" t="n">
        <v>46296</v>
      </c>
      <c r="K13" s="1" t="n"/>
      <c r="L13" s="1" t="n"/>
      <c r="M13">
        <f>IF($B13="","",IF(COUNTIF(Snowball!$AE$8:$AE$187,"&gt;0.005")&gt;=180,"",COUNTIF(Snowball!$AE$8:$AE$187,"&gt;0.005")+1))</f>
        <v/>
      </c>
      <c r="N13">
        <f>IF($B13="","",IF(COUNTIF(Avalanche!$AE$8:$AE$187,"&gt;0.005")&gt;=180,"",COUNTIF(Avalanche!$AE$8:$AE$187,"&gt;0.005")+1))</f>
        <v/>
      </c>
    </row>
    <row r="14">
      <c r="A14" s="1" t="n"/>
      <c r="B14" s="19" t="n"/>
      <c r="C14" s="20" t="n"/>
      <c r="D14" s="21" t="n"/>
      <c r="E14" s="20" t="n"/>
      <c r="F14" s="14">
        <f>IF(AND($B14&lt;&gt;"",N($C14)&gt;0),COUNTIFS($C$6:$C$15,"&lt;"&amp;$C14,$B$6:$B$15,"&lt;&gt;",$C$6:$C$15,"&gt;0")+COUNTIFS($C$6:$C14,$C14,$B$6:$B14,"&lt;&gt;"),"")</f>
        <v/>
      </c>
      <c r="G14" s="14">
        <f>IF(AND($B14&lt;&gt;"",N($C14)&gt;0),COUNTIFS($D$6:$D$15,"&gt;"&amp;N($D14),$B$6:$B$15,"&lt;&gt;",$C$6:$C$15,"&gt;0")+COUNTIFS($D$6:$D14,N($D14),$B$6:$B14,"&lt;&gt;",$C$6:$C14,"&gt;0"),"")</f>
        <v/>
      </c>
      <c r="H14" s="22">
        <f>IF($B14="","",IF(Debts!$J$10="Snowball",Snowball!AF8-Snowball!AH8,Avalanche!AF8-Avalanche!AH8))</f>
        <v/>
      </c>
      <c r="I14" s="1">
        <f>IF($B14="","",IF(Debts!$J$10="Snowball",M14,N14))</f>
        <v/>
      </c>
      <c r="J14" s="1" t="n"/>
      <c r="K14" s="1" t="n"/>
      <c r="L14" s="1" t="n"/>
      <c r="M14">
        <f>IF($B14="","",IF(COUNTIF(Snowball!$AH$8:$AH$187,"&gt;0.005")&gt;=180,"",COUNTIF(Snowball!$AH$8:$AH$187,"&gt;0.005")+1))</f>
        <v/>
      </c>
      <c r="N14">
        <f>IF($B14="","",IF(COUNTIF(Avalanche!$AH$8:$AH$187,"&gt;0.005")&gt;=180,"",COUNTIF(Avalanche!$AH$8:$AH$187,"&gt;0.005")+1))</f>
        <v/>
      </c>
    </row>
    <row r="15">
      <c r="A15" s="1" t="n"/>
      <c r="B15" s="19" t="n"/>
      <c r="C15" s="20" t="n"/>
      <c r="D15" s="21" t="n"/>
      <c r="E15" s="20" t="n"/>
      <c r="F15" s="14">
        <f>IF(AND($B15&lt;&gt;"",N($C15)&gt;0),COUNTIFS($C$6:$C$15,"&lt;"&amp;$C15,$B$6:$B$15,"&lt;&gt;",$C$6:$C$15,"&gt;0")+COUNTIFS($C$6:$C15,$C15,$B$6:$B15,"&lt;&gt;"),"")</f>
        <v/>
      </c>
      <c r="G15" s="14">
        <f>IF(AND($B15&lt;&gt;"",N($C15)&gt;0),COUNTIFS($D$6:$D$15,"&gt;"&amp;N($D15),$B$6:$B$15,"&lt;&gt;",$C$6:$C$15,"&gt;0")+COUNTIFS($D$6:$D15,N($D15),$B$6:$B15,"&lt;&gt;",$C$6:$C15,"&gt;0"),"")</f>
        <v/>
      </c>
      <c r="H15" s="22">
        <f>IF($B15="","",IF(Debts!$J$10="Snowball",Snowball!AI8-Snowball!AK8,Avalanche!AI8-Avalanche!AK8))</f>
        <v/>
      </c>
      <c r="I15" s="1">
        <f>IF($B15="","",IF(Debts!$J$10="Snowball",M15,N15))</f>
        <v/>
      </c>
      <c r="J15" s="27" t="inlineStr">
        <is>
          <t>Avalanche: highest interest first (saves the most money).</t>
        </is>
      </c>
      <c r="K15" s="1" t="n"/>
      <c r="L15" s="1" t="n"/>
      <c r="M15">
        <f>IF($B15="","",IF(COUNTIF(Snowball!$AK$8:$AK$187,"&gt;0.005")&gt;=180,"",COUNTIF(Snowball!$AK$8:$AK$187,"&gt;0.005")+1))</f>
        <v/>
      </c>
      <c r="N15">
        <f>IF($B15="","",IF(COUNTIF(Avalanche!$AK$8:$AK$187,"&gt;0.005")&gt;=180,"",COUNTIF(Avalanche!$AK$8:$AK$187,"&gt;0.005")+1))</f>
        <v/>
      </c>
    </row>
    <row r="16">
      <c r="A16" s="1" t="n"/>
      <c r="B16" s="28" t="inlineStr">
        <is>
          <t>Total</t>
        </is>
      </c>
      <c r="C16" s="22">
        <f>SUM(C6:C15)</f>
        <v/>
      </c>
      <c r="D16" s="1" t="n"/>
      <c r="E16" s="22">
        <f>SUMIFS(E6:E15,C6:C15,"&gt;0")</f>
        <v/>
      </c>
      <c r="F16" s="1" t="n"/>
      <c r="G16" s="1" t="n"/>
      <c r="H16" s="1" t="n"/>
      <c r="I16" s="1" t="n"/>
      <c r="J16" s="27" t="inlineStr">
        <is>
          <t>Snowball: smallest balance first (quick wins, more motivation).</t>
        </is>
      </c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</sheetData>
  <conditionalFormatting sqref="B6:H15">
    <cfRule type="expression" priority="1" dxfId="0">
      <formula>AND($B6&lt;&gt;"",IF($J$10="Snowball",$F6,$G6)=1)</formula>
    </cfRule>
  </conditionalFormatting>
  <dataValidations count="1">
    <dataValidation sqref="J10" showDropDown="0" showInputMessage="0" showErrorMessage="0" allowBlank="0" type="list">
      <formula1>"Avalanche,Snowball"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18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7" max="7"/>
    <col hidden="1" width="11" customWidth="1" min="8" max="8"/>
    <col hidden="1" width="11" customWidth="1" min="9" max="9"/>
    <col width="11" customWidth="1" min="10" max="10"/>
    <col hidden="1" width="11" customWidth="1" min="11" max="11"/>
    <col hidden="1" width="11" customWidth="1" min="12" max="12"/>
    <col width="11" customWidth="1" min="13" max="13"/>
    <col hidden="1" width="11" customWidth="1" min="14" max="14"/>
    <col hidden="1" width="11" customWidth="1" min="15" max="15"/>
    <col width="11" customWidth="1" min="16" max="16"/>
    <col hidden="1" width="11" customWidth="1" min="17" max="17"/>
    <col hidden="1" width="11" customWidth="1" min="18" max="18"/>
    <col width="11" customWidth="1" min="19" max="19"/>
    <col hidden="1" width="11" customWidth="1" min="20" max="20"/>
    <col hidden="1" width="11" customWidth="1" min="21" max="21"/>
    <col width="11" customWidth="1" min="22" max="22"/>
    <col hidden="1" width="11" customWidth="1" min="23" max="23"/>
    <col hidden="1" width="11" customWidth="1" min="24" max="24"/>
    <col width="11" customWidth="1" min="25" max="25"/>
    <col hidden="1" width="11" customWidth="1" min="26" max="26"/>
    <col hidden="1" width="11" customWidth="1" min="27" max="27"/>
    <col width="11" customWidth="1" min="28" max="28"/>
    <col hidden="1" width="11" customWidth="1" min="29" max="29"/>
    <col hidden="1" width="11" customWidth="1" min="30" max="30"/>
    <col width="11" customWidth="1" min="31" max="31"/>
    <col hidden="1" width="11" customWidth="1" min="32" max="32"/>
    <col hidden="1" width="11" customWidth="1" min="33" max="33"/>
    <col width="11" customWidth="1" min="34" max="34"/>
    <col hidden="1" width="11" customWidth="1" min="35" max="35"/>
    <col hidden="1" width="11" customWidth="1" min="36" max="36"/>
    <col width="11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 t="inlineStr">
        <is>
          <t>Snowball: month by month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Calculated for you. Nothing to type here.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29">
        <f>IF(Debts!$F$6="","",Debts!$F$6)</f>
        <v/>
      </c>
      <c r="I4" s="29">
        <f>IF(Debts!$F$6="","",Debts!$F$6)</f>
        <v/>
      </c>
      <c r="J4" s="29">
        <f>IF(Debts!$F$6="","",Debts!$F$6)</f>
        <v/>
      </c>
      <c r="K4" s="29">
        <f>IF(Debts!$F$7="","",Debts!$F$7)</f>
        <v/>
      </c>
      <c r="L4" s="29">
        <f>IF(Debts!$F$7="","",Debts!$F$7)</f>
        <v/>
      </c>
      <c r="M4" s="29">
        <f>IF(Debts!$F$7="","",Debts!$F$7)</f>
        <v/>
      </c>
      <c r="N4" s="29">
        <f>IF(Debts!$F$8="","",Debts!$F$8)</f>
        <v/>
      </c>
      <c r="O4" s="29">
        <f>IF(Debts!$F$8="","",Debts!$F$8)</f>
        <v/>
      </c>
      <c r="P4" s="29">
        <f>IF(Debts!$F$8="","",Debts!$F$8)</f>
        <v/>
      </c>
      <c r="Q4" s="29">
        <f>IF(Debts!$F$9="","",Debts!$F$9)</f>
        <v/>
      </c>
      <c r="R4" s="29">
        <f>IF(Debts!$F$9="","",Debts!$F$9)</f>
        <v/>
      </c>
      <c r="S4" s="29">
        <f>IF(Debts!$F$9="","",Debts!$F$9)</f>
        <v/>
      </c>
      <c r="T4" s="29">
        <f>IF(Debts!$F$10="","",Debts!$F$10)</f>
        <v/>
      </c>
      <c r="U4" s="29">
        <f>IF(Debts!$F$10="","",Debts!$F$10)</f>
        <v/>
      </c>
      <c r="V4" s="29">
        <f>IF(Debts!$F$10="","",Debts!$F$10)</f>
        <v/>
      </c>
      <c r="W4" s="29">
        <f>IF(Debts!$F$11="","",Debts!$F$11)</f>
        <v/>
      </c>
      <c r="X4" s="29">
        <f>IF(Debts!$F$11="","",Debts!$F$11)</f>
        <v/>
      </c>
      <c r="Y4" s="29">
        <f>IF(Debts!$F$11="","",Debts!$F$11)</f>
        <v/>
      </c>
      <c r="Z4" s="29">
        <f>IF(Debts!$F$12="","",Debts!$F$12)</f>
        <v/>
      </c>
      <c r="AA4" s="29">
        <f>IF(Debts!$F$12="","",Debts!$F$12)</f>
        <v/>
      </c>
      <c r="AB4" s="29">
        <f>IF(Debts!$F$12="","",Debts!$F$12)</f>
        <v/>
      </c>
      <c r="AC4" s="29">
        <f>IF(Debts!$F$13="","",Debts!$F$13)</f>
        <v/>
      </c>
      <c r="AD4" s="29">
        <f>IF(Debts!$F$13="","",Debts!$F$13)</f>
        <v/>
      </c>
      <c r="AE4" s="29">
        <f>IF(Debts!$F$13="","",Debts!$F$13)</f>
        <v/>
      </c>
      <c r="AF4" s="29">
        <f>IF(Debts!$F$14="","",Debts!$F$14)</f>
        <v/>
      </c>
      <c r="AG4" s="29">
        <f>IF(Debts!$F$14="","",Debts!$F$14)</f>
        <v/>
      </c>
      <c r="AH4" s="29">
        <f>IF(Debts!$F$14="","",Debts!$F$14)</f>
        <v/>
      </c>
      <c r="AI4" s="29">
        <f>IF(Debts!$F$15="","",Debts!$F$15)</f>
        <v/>
      </c>
      <c r="AJ4" s="29">
        <f>IF(Debts!$F$15="","",Debts!$F$15)</f>
        <v/>
      </c>
      <c r="AK4" s="29">
        <f>IF(Debts!$F$15="","",Debts!$F$15)</f>
        <v/>
      </c>
      <c r="AL4" s="1" t="n"/>
    </row>
    <row r="5">
      <c r="A5" s="1" t="n"/>
      <c r="B5" s="1" t="n"/>
      <c r="C5" s="1" t="n"/>
      <c r="D5" s="1" t="n"/>
      <c r="E5" s="1" t="n"/>
      <c r="F5" s="1" t="n"/>
      <c r="G5" s="1" t="n"/>
      <c r="H5" s="29" t="inlineStr">
        <is>
          <t>Due</t>
        </is>
      </c>
      <c r="I5" s="29" t="inlineStr">
        <is>
          <t>Rem</t>
        </is>
      </c>
      <c r="J5" s="29" t="inlineStr">
        <is>
          <t>Bal</t>
        </is>
      </c>
      <c r="K5" s="29" t="inlineStr">
        <is>
          <t>Due</t>
        </is>
      </c>
      <c r="L5" s="29" t="inlineStr">
        <is>
          <t>Rem</t>
        </is>
      </c>
      <c r="M5" s="29" t="inlineStr">
        <is>
          <t>Bal</t>
        </is>
      </c>
      <c r="N5" s="29" t="inlineStr">
        <is>
          <t>Due</t>
        </is>
      </c>
      <c r="O5" s="29" t="inlineStr">
        <is>
          <t>Rem</t>
        </is>
      </c>
      <c r="P5" s="29" t="inlineStr">
        <is>
          <t>Bal</t>
        </is>
      </c>
      <c r="Q5" s="29" t="inlineStr">
        <is>
          <t>Due</t>
        </is>
      </c>
      <c r="R5" s="29" t="inlineStr">
        <is>
          <t>Rem</t>
        </is>
      </c>
      <c r="S5" s="29" t="inlineStr">
        <is>
          <t>Bal</t>
        </is>
      </c>
      <c r="T5" s="29" t="inlineStr">
        <is>
          <t>Due</t>
        </is>
      </c>
      <c r="U5" s="29" t="inlineStr">
        <is>
          <t>Rem</t>
        </is>
      </c>
      <c r="V5" s="29" t="inlineStr">
        <is>
          <t>Bal</t>
        </is>
      </c>
      <c r="W5" s="29" t="inlineStr">
        <is>
          <t>Due</t>
        </is>
      </c>
      <c r="X5" s="29" t="inlineStr">
        <is>
          <t>Rem</t>
        </is>
      </c>
      <c r="Y5" s="29" t="inlineStr">
        <is>
          <t>Bal</t>
        </is>
      </c>
      <c r="Z5" s="29" t="inlineStr">
        <is>
          <t>Due</t>
        </is>
      </c>
      <c r="AA5" s="29" t="inlineStr">
        <is>
          <t>Rem</t>
        </is>
      </c>
      <c r="AB5" s="29" t="inlineStr">
        <is>
          <t>Bal</t>
        </is>
      </c>
      <c r="AC5" s="29" t="inlineStr">
        <is>
          <t>Due</t>
        </is>
      </c>
      <c r="AD5" s="29" t="inlineStr">
        <is>
          <t>Rem</t>
        </is>
      </c>
      <c r="AE5" s="29" t="inlineStr">
        <is>
          <t>Bal</t>
        </is>
      </c>
      <c r="AF5" s="29" t="inlineStr">
        <is>
          <t>Due</t>
        </is>
      </c>
      <c r="AG5" s="29" t="inlineStr">
        <is>
          <t>Rem</t>
        </is>
      </c>
      <c r="AH5" s="29" t="inlineStr">
        <is>
          <t>Bal</t>
        </is>
      </c>
      <c r="AI5" s="29" t="inlineStr">
        <is>
          <t>Due</t>
        </is>
      </c>
      <c r="AJ5" s="29" t="inlineStr">
        <is>
          <t>Rem</t>
        </is>
      </c>
      <c r="AK5" s="29" t="inlineStr">
        <is>
          <t>Bal</t>
        </is>
      </c>
      <c r="AL5" s="1" t="n"/>
    </row>
    <row r="6" ht="34" customHeight="1">
      <c r="A6" s="1" t="n"/>
      <c r="B6" s="30" t="inlineStr">
        <is>
          <t>Month</t>
        </is>
      </c>
      <c r="C6" s="30" t="inlineStr">
        <is>
          <t>Date</t>
        </is>
      </c>
      <c r="D6" s="30" t="inlineStr">
        <is>
          <t>Paying</t>
        </is>
      </c>
      <c r="E6" s="30" t="inlineStr">
        <is>
          <t>Extra left</t>
        </is>
      </c>
      <c r="F6" s="30" t="inlineStr">
        <is>
          <t>Interest</t>
        </is>
      </c>
      <c r="G6" s="30" t="inlineStr">
        <is>
          <t>Total owed</t>
        </is>
      </c>
      <c r="H6" s="31">
        <f>IF(Debts!$B$6="","",Debts!$B$6&amp;" · due")</f>
        <v/>
      </c>
      <c r="I6" s="31">
        <f>IF(Debts!$B$6="","",Debts!$B$6&amp;" · rem")</f>
        <v/>
      </c>
      <c r="J6" s="32">
        <f>IF(Debts!$B$6="","",Debts!$B$6)</f>
        <v/>
      </c>
      <c r="K6" s="31">
        <f>IF(Debts!$B$7="","",Debts!$B$7&amp;" · due")</f>
        <v/>
      </c>
      <c r="L6" s="31">
        <f>IF(Debts!$B$7="","",Debts!$B$7&amp;" · rem")</f>
        <v/>
      </c>
      <c r="M6" s="32">
        <f>IF(Debts!$B$7="","",Debts!$B$7)</f>
        <v/>
      </c>
      <c r="N6" s="31">
        <f>IF(Debts!$B$8="","",Debts!$B$8&amp;" · due")</f>
        <v/>
      </c>
      <c r="O6" s="31">
        <f>IF(Debts!$B$8="","",Debts!$B$8&amp;" · rem")</f>
        <v/>
      </c>
      <c r="P6" s="32">
        <f>IF(Debts!$B$8="","",Debts!$B$8)</f>
        <v/>
      </c>
      <c r="Q6" s="31">
        <f>IF(Debts!$B$9="","",Debts!$B$9&amp;" · due")</f>
        <v/>
      </c>
      <c r="R6" s="31">
        <f>IF(Debts!$B$9="","",Debts!$B$9&amp;" · rem")</f>
        <v/>
      </c>
      <c r="S6" s="32">
        <f>IF(Debts!$B$9="","",Debts!$B$9)</f>
        <v/>
      </c>
      <c r="T6" s="31">
        <f>IF(Debts!$B$10="","",Debts!$B$10&amp;" · due")</f>
        <v/>
      </c>
      <c r="U6" s="31">
        <f>IF(Debts!$B$10="","",Debts!$B$10&amp;" · rem")</f>
        <v/>
      </c>
      <c r="V6" s="32">
        <f>IF(Debts!$B$10="","",Debts!$B$10)</f>
        <v/>
      </c>
      <c r="W6" s="31">
        <f>IF(Debts!$B$11="","",Debts!$B$11&amp;" · due")</f>
        <v/>
      </c>
      <c r="X6" s="31">
        <f>IF(Debts!$B$11="","",Debts!$B$11&amp;" · rem")</f>
        <v/>
      </c>
      <c r="Y6" s="32">
        <f>IF(Debts!$B$11="","",Debts!$B$11)</f>
        <v/>
      </c>
      <c r="Z6" s="31">
        <f>IF(Debts!$B$12="","",Debts!$B$12&amp;" · due")</f>
        <v/>
      </c>
      <c r="AA6" s="31">
        <f>IF(Debts!$B$12="","",Debts!$B$12&amp;" · rem")</f>
        <v/>
      </c>
      <c r="AB6" s="32">
        <f>IF(Debts!$B$12="","",Debts!$B$12)</f>
        <v/>
      </c>
      <c r="AC6" s="31">
        <f>IF(Debts!$B$13="","",Debts!$B$13&amp;" · due")</f>
        <v/>
      </c>
      <c r="AD6" s="31">
        <f>IF(Debts!$B$13="","",Debts!$B$13&amp;" · rem")</f>
        <v/>
      </c>
      <c r="AE6" s="32">
        <f>IF(Debts!$B$13="","",Debts!$B$13)</f>
        <v/>
      </c>
      <c r="AF6" s="31">
        <f>IF(Debts!$B$14="","",Debts!$B$14&amp;" · due")</f>
        <v/>
      </c>
      <c r="AG6" s="31">
        <f>IF(Debts!$B$14="","",Debts!$B$14&amp;" · rem")</f>
        <v/>
      </c>
      <c r="AH6" s="32">
        <f>IF(Debts!$B$14="","",Debts!$B$14)</f>
        <v/>
      </c>
      <c r="AI6" s="31">
        <f>IF(Debts!$B$15="","",Debts!$B$15&amp;" · due")</f>
        <v/>
      </c>
      <c r="AJ6" s="31">
        <f>IF(Debts!$B$15="","",Debts!$B$15&amp;" · rem")</f>
        <v/>
      </c>
      <c r="AK6" s="32">
        <f>IF(Debts!$B$15="","",Debts!$B$15)</f>
        <v/>
      </c>
      <c r="AL6" s="1" t="n"/>
    </row>
    <row r="7">
      <c r="A7" s="1" t="n"/>
      <c r="B7" s="1" t="n">
        <v>0</v>
      </c>
      <c r="C7" s="1" t="n"/>
      <c r="D7" s="1" t="n"/>
      <c r="E7" s="1" t="n"/>
      <c r="F7" s="1" t="n"/>
      <c r="G7" s="33">
        <f>SUMIF($H$5:$AK$5,"Bal",H7:AK7)</f>
        <v/>
      </c>
      <c r="H7" s="1" t="n"/>
      <c r="I7" s="1" t="n"/>
      <c r="J7" s="33">
        <f>N(Debts!$C$6)</f>
        <v/>
      </c>
      <c r="K7" s="1" t="n"/>
      <c r="L7" s="1" t="n"/>
      <c r="M7" s="33">
        <f>N(Debts!$C$7)</f>
        <v/>
      </c>
      <c r="N7" s="1" t="n"/>
      <c r="O7" s="1" t="n"/>
      <c r="P7" s="33">
        <f>N(Debts!$C$8)</f>
        <v/>
      </c>
      <c r="Q7" s="1" t="n"/>
      <c r="R7" s="1" t="n"/>
      <c r="S7" s="33">
        <f>N(Debts!$C$9)</f>
        <v/>
      </c>
      <c r="T7" s="1" t="n"/>
      <c r="U7" s="1" t="n"/>
      <c r="V7" s="33">
        <f>N(Debts!$C$10)</f>
        <v/>
      </c>
      <c r="W7" s="1" t="n"/>
      <c r="X7" s="1" t="n"/>
      <c r="Y7" s="33">
        <f>N(Debts!$C$11)</f>
        <v/>
      </c>
      <c r="Z7" s="1" t="n"/>
      <c r="AA7" s="1" t="n"/>
      <c r="AB7" s="33">
        <f>N(Debts!$C$12)</f>
        <v/>
      </c>
      <c r="AC7" s="1" t="n"/>
      <c r="AD7" s="1" t="n"/>
      <c r="AE7" s="33">
        <f>N(Debts!$C$13)</f>
        <v/>
      </c>
      <c r="AF7" s="1" t="n"/>
      <c r="AG7" s="1" t="n"/>
      <c r="AH7" s="33">
        <f>N(Debts!$C$14)</f>
        <v/>
      </c>
      <c r="AI7" s="1" t="n"/>
      <c r="AJ7" s="1" t="n"/>
      <c r="AK7" s="33">
        <f>N(Debts!$C$15)</f>
        <v/>
      </c>
      <c r="AL7" s="1" t="n"/>
    </row>
    <row r="8">
      <c r="A8" s="1" t="n"/>
      <c r="B8" s="1" t="n">
        <v>1</v>
      </c>
      <c r="C8" s="34">
        <f>EDATE(Debts!$J$13,B8-1)</f>
        <v/>
      </c>
      <c r="D8" s="33">
        <f>IF(G7&lt;=0.005,0,Debts!$E$16+Debts!$J$7)</f>
        <v/>
      </c>
      <c r="E8" s="33">
        <f>MAX(0,D8-(SUMIF($H$5:$AK$5,"Due",H8:AK8)-SUMIF($H$5:$AK$5,"Rem",H8:AK8)))</f>
        <v/>
      </c>
      <c r="F8" s="33">
        <f>SUMIF($H$5:$AK$5,"Due",H8:AK8)-SUMIF($H$5:$AK$5,"Bal",H7:AK7)</f>
        <v/>
      </c>
      <c r="G8" s="33">
        <f>SUMIF($H$5:$AK$5,"Bal",H8:AK8)</f>
        <v/>
      </c>
      <c r="H8" s="33">
        <f>J7*(1+N(Debts!$D$6)/1200)</f>
        <v/>
      </c>
      <c r="I8" s="33">
        <f>H8-MIN(N(Debts!$E$6),H8)</f>
        <v/>
      </c>
      <c r="J8" s="33">
        <f>IF(I8&lt;=0.005,0,I8-MIN(I8,MAX(0,$E8-SUMIFS(H8:AK8,$H$5:$AK$5,"Rem",$H$4:$AK$4,"&lt;"&amp;J$4))))</f>
        <v/>
      </c>
      <c r="K8" s="33">
        <f>M7*(1+N(Debts!$D$7)/1200)</f>
        <v/>
      </c>
      <c r="L8" s="33">
        <f>K8-MIN(N(Debts!$E$7),K8)</f>
        <v/>
      </c>
      <c r="M8" s="33">
        <f>IF(L8&lt;=0.005,0,L8-MIN(L8,MAX(0,$E8-SUMIFS(H8:AK8,$H$5:$AK$5,"Rem",$H$4:$AK$4,"&lt;"&amp;M$4))))</f>
        <v/>
      </c>
      <c r="N8" s="33">
        <f>P7*(1+N(Debts!$D$8)/1200)</f>
        <v/>
      </c>
      <c r="O8" s="33">
        <f>N8-MIN(N(Debts!$E$8),N8)</f>
        <v/>
      </c>
      <c r="P8" s="33">
        <f>IF(O8&lt;=0.005,0,O8-MIN(O8,MAX(0,$E8-SUMIFS(H8:AK8,$H$5:$AK$5,"Rem",$H$4:$AK$4,"&lt;"&amp;P$4))))</f>
        <v/>
      </c>
      <c r="Q8" s="33">
        <f>S7*(1+N(Debts!$D$9)/1200)</f>
        <v/>
      </c>
      <c r="R8" s="33">
        <f>Q8-MIN(N(Debts!$E$9),Q8)</f>
        <v/>
      </c>
      <c r="S8" s="33">
        <f>IF(R8&lt;=0.005,0,R8-MIN(R8,MAX(0,$E8-SUMIFS(H8:AK8,$H$5:$AK$5,"Rem",$H$4:$AK$4,"&lt;"&amp;S$4))))</f>
        <v/>
      </c>
      <c r="T8" s="33">
        <f>V7*(1+N(Debts!$D$10)/1200)</f>
        <v/>
      </c>
      <c r="U8" s="33">
        <f>T8-MIN(N(Debts!$E$10),T8)</f>
        <v/>
      </c>
      <c r="V8" s="33">
        <f>IF(U8&lt;=0.005,0,U8-MIN(U8,MAX(0,$E8-SUMIFS(H8:AK8,$H$5:$AK$5,"Rem",$H$4:$AK$4,"&lt;"&amp;V$4))))</f>
        <v/>
      </c>
      <c r="W8" s="33">
        <f>Y7*(1+N(Debts!$D$11)/1200)</f>
        <v/>
      </c>
      <c r="X8" s="33">
        <f>W8-MIN(N(Debts!$E$11),W8)</f>
        <v/>
      </c>
      <c r="Y8" s="33">
        <f>IF(X8&lt;=0.005,0,X8-MIN(X8,MAX(0,$E8-SUMIFS(H8:AK8,$H$5:$AK$5,"Rem",$H$4:$AK$4,"&lt;"&amp;Y$4))))</f>
        <v/>
      </c>
      <c r="Z8" s="33">
        <f>AB7*(1+N(Debts!$D$12)/1200)</f>
        <v/>
      </c>
      <c r="AA8" s="33">
        <f>Z8-MIN(N(Debts!$E$12),Z8)</f>
        <v/>
      </c>
      <c r="AB8" s="33">
        <f>IF(AA8&lt;=0.005,0,AA8-MIN(AA8,MAX(0,$E8-SUMIFS(H8:AK8,$H$5:$AK$5,"Rem",$H$4:$AK$4,"&lt;"&amp;AB$4))))</f>
        <v/>
      </c>
      <c r="AC8" s="33">
        <f>AE7*(1+N(Debts!$D$13)/1200)</f>
        <v/>
      </c>
      <c r="AD8" s="33">
        <f>AC8-MIN(N(Debts!$E$13),AC8)</f>
        <v/>
      </c>
      <c r="AE8" s="33">
        <f>IF(AD8&lt;=0.005,0,AD8-MIN(AD8,MAX(0,$E8-SUMIFS(H8:AK8,$H$5:$AK$5,"Rem",$H$4:$AK$4,"&lt;"&amp;AE$4))))</f>
        <v/>
      </c>
      <c r="AF8" s="33">
        <f>AH7*(1+N(Debts!$D$14)/1200)</f>
        <v/>
      </c>
      <c r="AG8" s="33">
        <f>AF8-MIN(N(Debts!$E$14),AF8)</f>
        <v/>
      </c>
      <c r="AH8" s="33">
        <f>IF(AG8&lt;=0.005,0,AG8-MIN(AG8,MAX(0,$E8-SUMIFS(H8:AK8,$H$5:$AK$5,"Rem",$H$4:$AK$4,"&lt;"&amp;AH$4))))</f>
        <v/>
      </c>
      <c r="AI8" s="33">
        <f>AK7*(1+N(Debts!$D$15)/1200)</f>
        <v/>
      </c>
      <c r="AJ8" s="33">
        <f>AI8-MIN(N(Debts!$E$15),AI8)</f>
        <v/>
      </c>
      <c r="AK8" s="33">
        <f>IF(AJ8&lt;=0.005,0,AJ8-MIN(AJ8,MAX(0,$E8-SUMIFS(H8:AK8,$H$5:$AK$5,"Rem",$H$4:$AK$4,"&lt;"&amp;AK$4))))</f>
        <v/>
      </c>
      <c r="AL8" s="1" t="n"/>
    </row>
    <row r="9">
      <c r="A9" s="1" t="n"/>
      <c r="B9" s="1" t="n">
        <v>2</v>
      </c>
      <c r="C9" s="34">
        <f>EDATE(Debts!$J$13,B9-1)</f>
        <v/>
      </c>
      <c r="D9" s="33">
        <f>IF(G8&lt;=0.005,0,Debts!$E$16+Debts!$J$7)</f>
        <v/>
      </c>
      <c r="E9" s="33">
        <f>MAX(0,D9-(SUMIF($H$5:$AK$5,"Due",H9:AK9)-SUMIF($H$5:$AK$5,"Rem",H9:AK9)))</f>
        <v/>
      </c>
      <c r="F9" s="33">
        <f>SUMIF($H$5:$AK$5,"Due",H9:AK9)-SUMIF($H$5:$AK$5,"Bal",H8:AK8)</f>
        <v/>
      </c>
      <c r="G9" s="33">
        <f>SUMIF($H$5:$AK$5,"Bal",H9:AK9)</f>
        <v/>
      </c>
      <c r="H9" s="33">
        <f>J8*(1+N(Debts!$D$6)/1200)</f>
        <v/>
      </c>
      <c r="I9" s="33">
        <f>H9-MIN(N(Debts!$E$6),H9)</f>
        <v/>
      </c>
      <c r="J9" s="33">
        <f>IF(I9&lt;=0.005,0,I9-MIN(I9,MAX(0,$E9-SUMIFS(H9:AK9,$H$5:$AK$5,"Rem",$H$4:$AK$4,"&lt;"&amp;J$4))))</f>
        <v/>
      </c>
      <c r="K9" s="33">
        <f>M8*(1+N(Debts!$D$7)/1200)</f>
        <v/>
      </c>
      <c r="L9" s="33">
        <f>K9-MIN(N(Debts!$E$7),K9)</f>
        <v/>
      </c>
      <c r="M9" s="33">
        <f>IF(L9&lt;=0.005,0,L9-MIN(L9,MAX(0,$E9-SUMIFS(H9:AK9,$H$5:$AK$5,"Rem",$H$4:$AK$4,"&lt;"&amp;M$4))))</f>
        <v/>
      </c>
      <c r="N9" s="33">
        <f>P8*(1+N(Debts!$D$8)/1200)</f>
        <v/>
      </c>
      <c r="O9" s="33">
        <f>N9-MIN(N(Debts!$E$8),N9)</f>
        <v/>
      </c>
      <c r="P9" s="33">
        <f>IF(O9&lt;=0.005,0,O9-MIN(O9,MAX(0,$E9-SUMIFS(H9:AK9,$H$5:$AK$5,"Rem",$H$4:$AK$4,"&lt;"&amp;P$4))))</f>
        <v/>
      </c>
      <c r="Q9" s="33">
        <f>S8*(1+N(Debts!$D$9)/1200)</f>
        <v/>
      </c>
      <c r="R9" s="33">
        <f>Q9-MIN(N(Debts!$E$9),Q9)</f>
        <v/>
      </c>
      <c r="S9" s="33">
        <f>IF(R9&lt;=0.005,0,R9-MIN(R9,MAX(0,$E9-SUMIFS(H9:AK9,$H$5:$AK$5,"Rem",$H$4:$AK$4,"&lt;"&amp;S$4))))</f>
        <v/>
      </c>
      <c r="T9" s="33">
        <f>V8*(1+N(Debts!$D$10)/1200)</f>
        <v/>
      </c>
      <c r="U9" s="33">
        <f>T9-MIN(N(Debts!$E$10),T9)</f>
        <v/>
      </c>
      <c r="V9" s="33">
        <f>IF(U9&lt;=0.005,0,U9-MIN(U9,MAX(0,$E9-SUMIFS(H9:AK9,$H$5:$AK$5,"Rem",$H$4:$AK$4,"&lt;"&amp;V$4))))</f>
        <v/>
      </c>
      <c r="W9" s="33">
        <f>Y8*(1+N(Debts!$D$11)/1200)</f>
        <v/>
      </c>
      <c r="X9" s="33">
        <f>W9-MIN(N(Debts!$E$11),W9)</f>
        <v/>
      </c>
      <c r="Y9" s="33">
        <f>IF(X9&lt;=0.005,0,X9-MIN(X9,MAX(0,$E9-SUMIFS(H9:AK9,$H$5:$AK$5,"Rem",$H$4:$AK$4,"&lt;"&amp;Y$4))))</f>
        <v/>
      </c>
      <c r="Z9" s="33">
        <f>AB8*(1+N(Debts!$D$12)/1200)</f>
        <v/>
      </c>
      <c r="AA9" s="33">
        <f>Z9-MIN(N(Debts!$E$12),Z9)</f>
        <v/>
      </c>
      <c r="AB9" s="33">
        <f>IF(AA9&lt;=0.005,0,AA9-MIN(AA9,MAX(0,$E9-SUMIFS(H9:AK9,$H$5:$AK$5,"Rem",$H$4:$AK$4,"&lt;"&amp;AB$4))))</f>
        <v/>
      </c>
      <c r="AC9" s="33">
        <f>AE8*(1+N(Debts!$D$13)/1200)</f>
        <v/>
      </c>
      <c r="AD9" s="33">
        <f>AC9-MIN(N(Debts!$E$13),AC9)</f>
        <v/>
      </c>
      <c r="AE9" s="33">
        <f>IF(AD9&lt;=0.005,0,AD9-MIN(AD9,MAX(0,$E9-SUMIFS(H9:AK9,$H$5:$AK$5,"Rem",$H$4:$AK$4,"&lt;"&amp;AE$4))))</f>
        <v/>
      </c>
      <c r="AF9" s="33">
        <f>AH8*(1+N(Debts!$D$14)/1200)</f>
        <v/>
      </c>
      <c r="AG9" s="33">
        <f>AF9-MIN(N(Debts!$E$14),AF9)</f>
        <v/>
      </c>
      <c r="AH9" s="33">
        <f>IF(AG9&lt;=0.005,0,AG9-MIN(AG9,MAX(0,$E9-SUMIFS(H9:AK9,$H$5:$AK$5,"Rem",$H$4:$AK$4,"&lt;"&amp;AH$4))))</f>
        <v/>
      </c>
      <c r="AI9" s="33">
        <f>AK8*(1+N(Debts!$D$15)/1200)</f>
        <v/>
      </c>
      <c r="AJ9" s="33">
        <f>AI9-MIN(N(Debts!$E$15),AI9)</f>
        <v/>
      </c>
      <c r="AK9" s="33">
        <f>IF(AJ9&lt;=0.005,0,AJ9-MIN(AJ9,MAX(0,$E9-SUMIFS(H9:AK9,$H$5:$AK$5,"Rem",$H$4:$AK$4,"&lt;"&amp;AK$4))))</f>
        <v/>
      </c>
      <c r="AL9" s="1" t="n"/>
    </row>
    <row r="10">
      <c r="A10" s="1" t="n"/>
      <c r="B10" s="1" t="n">
        <v>3</v>
      </c>
      <c r="C10" s="34">
        <f>EDATE(Debts!$J$13,B10-1)</f>
        <v/>
      </c>
      <c r="D10" s="33">
        <f>IF(G9&lt;=0.005,0,Debts!$E$16+Debts!$J$7)</f>
        <v/>
      </c>
      <c r="E10" s="33">
        <f>MAX(0,D10-(SUMIF($H$5:$AK$5,"Due",H10:AK10)-SUMIF($H$5:$AK$5,"Rem",H10:AK10)))</f>
        <v/>
      </c>
      <c r="F10" s="33">
        <f>SUMIF($H$5:$AK$5,"Due",H10:AK10)-SUMIF($H$5:$AK$5,"Bal",H9:AK9)</f>
        <v/>
      </c>
      <c r="G10" s="33">
        <f>SUMIF($H$5:$AK$5,"Bal",H10:AK10)</f>
        <v/>
      </c>
      <c r="H10" s="33">
        <f>J9*(1+N(Debts!$D$6)/1200)</f>
        <v/>
      </c>
      <c r="I10" s="33">
        <f>H10-MIN(N(Debts!$E$6),H10)</f>
        <v/>
      </c>
      <c r="J10" s="33">
        <f>IF(I10&lt;=0.005,0,I10-MIN(I10,MAX(0,$E10-SUMIFS(H10:AK10,$H$5:$AK$5,"Rem",$H$4:$AK$4,"&lt;"&amp;J$4))))</f>
        <v/>
      </c>
      <c r="K10" s="33">
        <f>M9*(1+N(Debts!$D$7)/1200)</f>
        <v/>
      </c>
      <c r="L10" s="33">
        <f>K10-MIN(N(Debts!$E$7),K10)</f>
        <v/>
      </c>
      <c r="M10" s="33">
        <f>IF(L10&lt;=0.005,0,L10-MIN(L10,MAX(0,$E10-SUMIFS(H10:AK10,$H$5:$AK$5,"Rem",$H$4:$AK$4,"&lt;"&amp;M$4))))</f>
        <v/>
      </c>
      <c r="N10" s="33">
        <f>P9*(1+N(Debts!$D$8)/1200)</f>
        <v/>
      </c>
      <c r="O10" s="33">
        <f>N10-MIN(N(Debts!$E$8),N10)</f>
        <v/>
      </c>
      <c r="P10" s="33">
        <f>IF(O10&lt;=0.005,0,O10-MIN(O10,MAX(0,$E10-SUMIFS(H10:AK10,$H$5:$AK$5,"Rem",$H$4:$AK$4,"&lt;"&amp;P$4))))</f>
        <v/>
      </c>
      <c r="Q10" s="33">
        <f>S9*(1+N(Debts!$D$9)/1200)</f>
        <v/>
      </c>
      <c r="R10" s="33">
        <f>Q10-MIN(N(Debts!$E$9),Q10)</f>
        <v/>
      </c>
      <c r="S10" s="33">
        <f>IF(R10&lt;=0.005,0,R10-MIN(R10,MAX(0,$E10-SUMIFS(H10:AK10,$H$5:$AK$5,"Rem",$H$4:$AK$4,"&lt;"&amp;S$4))))</f>
        <v/>
      </c>
      <c r="T10" s="33">
        <f>V9*(1+N(Debts!$D$10)/1200)</f>
        <v/>
      </c>
      <c r="U10" s="33">
        <f>T10-MIN(N(Debts!$E$10),T10)</f>
        <v/>
      </c>
      <c r="V10" s="33">
        <f>IF(U10&lt;=0.005,0,U10-MIN(U10,MAX(0,$E10-SUMIFS(H10:AK10,$H$5:$AK$5,"Rem",$H$4:$AK$4,"&lt;"&amp;V$4))))</f>
        <v/>
      </c>
      <c r="W10" s="33">
        <f>Y9*(1+N(Debts!$D$11)/1200)</f>
        <v/>
      </c>
      <c r="X10" s="33">
        <f>W10-MIN(N(Debts!$E$11),W10)</f>
        <v/>
      </c>
      <c r="Y10" s="33">
        <f>IF(X10&lt;=0.005,0,X10-MIN(X10,MAX(0,$E10-SUMIFS(H10:AK10,$H$5:$AK$5,"Rem",$H$4:$AK$4,"&lt;"&amp;Y$4))))</f>
        <v/>
      </c>
      <c r="Z10" s="33">
        <f>AB9*(1+N(Debts!$D$12)/1200)</f>
        <v/>
      </c>
      <c r="AA10" s="33">
        <f>Z10-MIN(N(Debts!$E$12),Z10)</f>
        <v/>
      </c>
      <c r="AB10" s="33">
        <f>IF(AA10&lt;=0.005,0,AA10-MIN(AA10,MAX(0,$E10-SUMIFS(H10:AK10,$H$5:$AK$5,"Rem",$H$4:$AK$4,"&lt;"&amp;AB$4))))</f>
        <v/>
      </c>
      <c r="AC10" s="33">
        <f>AE9*(1+N(Debts!$D$13)/1200)</f>
        <v/>
      </c>
      <c r="AD10" s="33">
        <f>AC10-MIN(N(Debts!$E$13),AC10)</f>
        <v/>
      </c>
      <c r="AE10" s="33">
        <f>IF(AD10&lt;=0.005,0,AD10-MIN(AD10,MAX(0,$E10-SUMIFS(H10:AK10,$H$5:$AK$5,"Rem",$H$4:$AK$4,"&lt;"&amp;AE$4))))</f>
        <v/>
      </c>
      <c r="AF10" s="33">
        <f>AH9*(1+N(Debts!$D$14)/1200)</f>
        <v/>
      </c>
      <c r="AG10" s="33">
        <f>AF10-MIN(N(Debts!$E$14),AF10)</f>
        <v/>
      </c>
      <c r="AH10" s="33">
        <f>IF(AG10&lt;=0.005,0,AG10-MIN(AG10,MAX(0,$E10-SUMIFS(H10:AK10,$H$5:$AK$5,"Rem",$H$4:$AK$4,"&lt;"&amp;AH$4))))</f>
        <v/>
      </c>
      <c r="AI10" s="33">
        <f>AK9*(1+N(Debts!$D$15)/1200)</f>
        <v/>
      </c>
      <c r="AJ10" s="33">
        <f>AI10-MIN(N(Debts!$E$15),AI10)</f>
        <v/>
      </c>
      <c r="AK10" s="33">
        <f>IF(AJ10&lt;=0.005,0,AJ10-MIN(AJ10,MAX(0,$E10-SUMIFS(H10:AK10,$H$5:$AK$5,"Rem",$H$4:$AK$4,"&lt;"&amp;AK$4))))</f>
        <v/>
      </c>
      <c r="AL10" s="1" t="n"/>
    </row>
    <row r="11">
      <c r="A11" s="1" t="n"/>
      <c r="B11" s="1" t="n">
        <v>4</v>
      </c>
      <c r="C11" s="34">
        <f>EDATE(Debts!$J$13,B11-1)</f>
        <v/>
      </c>
      <c r="D11" s="33">
        <f>IF(G10&lt;=0.005,0,Debts!$E$16+Debts!$J$7)</f>
        <v/>
      </c>
      <c r="E11" s="33">
        <f>MAX(0,D11-(SUMIF($H$5:$AK$5,"Due",H11:AK11)-SUMIF($H$5:$AK$5,"Rem",H11:AK11)))</f>
        <v/>
      </c>
      <c r="F11" s="33">
        <f>SUMIF($H$5:$AK$5,"Due",H11:AK11)-SUMIF($H$5:$AK$5,"Bal",H10:AK10)</f>
        <v/>
      </c>
      <c r="G11" s="33">
        <f>SUMIF($H$5:$AK$5,"Bal",H11:AK11)</f>
        <v/>
      </c>
      <c r="H11" s="33">
        <f>J10*(1+N(Debts!$D$6)/1200)</f>
        <v/>
      </c>
      <c r="I11" s="33">
        <f>H11-MIN(N(Debts!$E$6),H11)</f>
        <v/>
      </c>
      <c r="J11" s="33">
        <f>IF(I11&lt;=0.005,0,I11-MIN(I11,MAX(0,$E11-SUMIFS(H11:AK11,$H$5:$AK$5,"Rem",$H$4:$AK$4,"&lt;"&amp;J$4))))</f>
        <v/>
      </c>
      <c r="K11" s="33">
        <f>M10*(1+N(Debts!$D$7)/1200)</f>
        <v/>
      </c>
      <c r="L11" s="33">
        <f>K11-MIN(N(Debts!$E$7),K11)</f>
        <v/>
      </c>
      <c r="M11" s="33">
        <f>IF(L11&lt;=0.005,0,L11-MIN(L11,MAX(0,$E11-SUMIFS(H11:AK11,$H$5:$AK$5,"Rem",$H$4:$AK$4,"&lt;"&amp;M$4))))</f>
        <v/>
      </c>
      <c r="N11" s="33">
        <f>P10*(1+N(Debts!$D$8)/1200)</f>
        <v/>
      </c>
      <c r="O11" s="33">
        <f>N11-MIN(N(Debts!$E$8),N11)</f>
        <v/>
      </c>
      <c r="P11" s="33">
        <f>IF(O11&lt;=0.005,0,O11-MIN(O11,MAX(0,$E11-SUMIFS(H11:AK11,$H$5:$AK$5,"Rem",$H$4:$AK$4,"&lt;"&amp;P$4))))</f>
        <v/>
      </c>
      <c r="Q11" s="33">
        <f>S10*(1+N(Debts!$D$9)/1200)</f>
        <v/>
      </c>
      <c r="R11" s="33">
        <f>Q11-MIN(N(Debts!$E$9),Q11)</f>
        <v/>
      </c>
      <c r="S11" s="33">
        <f>IF(R11&lt;=0.005,0,R11-MIN(R11,MAX(0,$E11-SUMIFS(H11:AK11,$H$5:$AK$5,"Rem",$H$4:$AK$4,"&lt;"&amp;S$4))))</f>
        <v/>
      </c>
      <c r="T11" s="33">
        <f>V10*(1+N(Debts!$D$10)/1200)</f>
        <v/>
      </c>
      <c r="U11" s="33">
        <f>T11-MIN(N(Debts!$E$10),T11)</f>
        <v/>
      </c>
      <c r="V11" s="33">
        <f>IF(U11&lt;=0.005,0,U11-MIN(U11,MAX(0,$E11-SUMIFS(H11:AK11,$H$5:$AK$5,"Rem",$H$4:$AK$4,"&lt;"&amp;V$4))))</f>
        <v/>
      </c>
      <c r="W11" s="33">
        <f>Y10*(1+N(Debts!$D$11)/1200)</f>
        <v/>
      </c>
      <c r="X11" s="33">
        <f>W11-MIN(N(Debts!$E$11),W11)</f>
        <v/>
      </c>
      <c r="Y11" s="33">
        <f>IF(X11&lt;=0.005,0,X11-MIN(X11,MAX(0,$E11-SUMIFS(H11:AK11,$H$5:$AK$5,"Rem",$H$4:$AK$4,"&lt;"&amp;Y$4))))</f>
        <v/>
      </c>
      <c r="Z11" s="33">
        <f>AB10*(1+N(Debts!$D$12)/1200)</f>
        <v/>
      </c>
      <c r="AA11" s="33">
        <f>Z11-MIN(N(Debts!$E$12),Z11)</f>
        <v/>
      </c>
      <c r="AB11" s="33">
        <f>IF(AA11&lt;=0.005,0,AA11-MIN(AA11,MAX(0,$E11-SUMIFS(H11:AK11,$H$5:$AK$5,"Rem",$H$4:$AK$4,"&lt;"&amp;AB$4))))</f>
        <v/>
      </c>
      <c r="AC11" s="33">
        <f>AE10*(1+N(Debts!$D$13)/1200)</f>
        <v/>
      </c>
      <c r="AD11" s="33">
        <f>AC11-MIN(N(Debts!$E$13),AC11)</f>
        <v/>
      </c>
      <c r="AE11" s="33">
        <f>IF(AD11&lt;=0.005,0,AD11-MIN(AD11,MAX(0,$E11-SUMIFS(H11:AK11,$H$5:$AK$5,"Rem",$H$4:$AK$4,"&lt;"&amp;AE$4))))</f>
        <v/>
      </c>
      <c r="AF11" s="33">
        <f>AH10*(1+N(Debts!$D$14)/1200)</f>
        <v/>
      </c>
      <c r="AG11" s="33">
        <f>AF11-MIN(N(Debts!$E$14),AF11)</f>
        <v/>
      </c>
      <c r="AH11" s="33">
        <f>IF(AG11&lt;=0.005,0,AG11-MIN(AG11,MAX(0,$E11-SUMIFS(H11:AK11,$H$5:$AK$5,"Rem",$H$4:$AK$4,"&lt;"&amp;AH$4))))</f>
        <v/>
      </c>
      <c r="AI11" s="33">
        <f>AK10*(1+N(Debts!$D$15)/1200)</f>
        <v/>
      </c>
      <c r="AJ11" s="33">
        <f>AI11-MIN(N(Debts!$E$15),AI11)</f>
        <v/>
      </c>
      <c r="AK11" s="33">
        <f>IF(AJ11&lt;=0.005,0,AJ11-MIN(AJ11,MAX(0,$E11-SUMIFS(H11:AK11,$H$5:$AK$5,"Rem",$H$4:$AK$4,"&lt;"&amp;AK$4))))</f>
        <v/>
      </c>
      <c r="AL11" s="1" t="n"/>
    </row>
    <row r="12">
      <c r="A12" s="1" t="n"/>
      <c r="B12" s="1" t="n">
        <v>5</v>
      </c>
      <c r="C12" s="34">
        <f>EDATE(Debts!$J$13,B12-1)</f>
        <v/>
      </c>
      <c r="D12" s="33">
        <f>IF(G11&lt;=0.005,0,Debts!$E$16+Debts!$J$7)</f>
        <v/>
      </c>
      <c r="E12" s="33">
        <f>MAX(0,D12-(SUMIF($H$5:$AK$5,"Due",H12:AK12)-SUMIF($H$5:$AK$5,"Rem",H12:AK12)))</f>
        <v/>
      </c>
      <c r="F12" s="33">
        <f>SUMIF($H$5:$AK$5,"Due",H12:AK12)-SUMIF($H$5:$AK$5,"Bal",H11:AK11)</f>
        <v/>
      </c>
      <c r="G12" s="33">
        <f>SUMIF($H$5:$AK$5,"Bal",H12:AK12)</f>
        <v/>
      </c>
      <c r="H12" s="33">
        <f>J11*(1+N(Debts!$D$6)/1200)</f>
        <v/>
      </c>
      <c r="I12" s="33">
        <f>H12-MIN(N(Debts!$E$6),H12)</f>
        <v/>
      </c>
      <c r="J12" s="33">
        <f>IF(I12&lt;=0.005,0,I12-MIN(I12,MAX(0,$E12-SUMIFS(H12:AK12,$H$5:$AK$5,"Rem",$H$4:$AK$4,"&lt;"&amp;J$4))))</f>
        <v/>
      </c>
      <c r="K12" s="33">
        <f>M11*(1+N(Debts!$D$7)/1200)</f>
        <v/>
      </c>
      <c r="L12" s="33">
        <f>K12-MIN(N(Debts!$E$7),K12)</f>
        <v/>
      </c>
      <c r="M12" s="33">
        <f>IF(L12&lt;=0.005,0,L12-MIN(L12,MAX(0,$E12-SUMIFS(H12:AK12,$H$5:$AK$5,"Rem",$H$4:$AK$4,"&lt;"&amp;M$4))))</f>
        <v/>
      </c>
      <c r="N12" s="33">
        <f>P11*(1+N(Debts!$D$8)/1200)</f>
        <v/>
      </c>
      <c r="O12" s="33">
        <f>N12-MIN(N(Debts!$E$8),N12)</f>
        <v/>
      </c>
      <c r="P12" s="33">
        <f>IF(O12&lt;=0.005,0,O12-MIN(O12,MAX(0,$E12-SUMIFS(H12:AK12,$H$5:$AK$5,"Rem",$H$4:$AK$4,"&lt;"&amp;P$4))))</f>
        <v/>
      </c>
      <c r="Q12" s="33">
        <f>S11*(1+N(Debts!$D$9)/1200)</f>
        <v/>
      </c>
      <c r="R12" s="33">
        <f>Q12-MIN(N(Debts!$E$9),Q12)</f>
        <v/>
      </c>
      <c r="S12" s="33">
        <f>IF(R12&lt;=0.005,0,R12-MIN(R12,MAX(0,$E12-SUMIFS(H12:AK12,$H$5:$AK$5,"Rem",$H$4:$AK$4,"&lt;"&amp;S$4))))</f>
        <v/>
      </c>
      <c r="T12" s="33">
        <f>V11*(1+N(Debts!$D$10)/1200)</f>
        <v/>
      </c>
      <c r="U12" s="33">
        <f>T12-MIN(N(Debts!$E$10),T12)</f>
        <v/>
      </c>
      <c r="V12" s="33">
        <f>IF(U12&lt;=0.005,0,U12-MIN(U12,MAX(0,$E12-SUMIFS(H12:AK12,$H$5:$AK$5,"Rem",$H$4:$AK$4,"&lt;"&amp;V$4))))</f>
        <v/>
      </c>
      <c r="W12" s="33">
        <f>Y11*(1+N(Debts!$D$11)/1200)</f>
        <v/>
      </c>
      <c r="X12" s="33">
        <f>W12-MIN(N(Debts!$E$11),W12)</f>
        <v/>
      </c>
      <c r="Y12" s="33">
        <f>IF(X12&lt;=0.005,0,X12-MIN(X12,MAX(0,$E12-SUMIFS(H12:AK12,$H$5:$AK$5,"Rem",$H$4:$AK$4,"&lt;"&amp;Y$4))))</f>
        <v/>
      </c>
      <c r="Z12" s="33">
        <f>AB11*(1+N(Debts!$D$12)/1200)</f>
        <v/>
      </c>
      <c r="AA12" s="33">
        <f>Z12-MIN(N(Debts!$E$12),Z12)</f>
        <v/>
      </c>
      <c r="AB12" s="33">
        <f>IF(AA12&lt;=0.005,0,AA12-MIN(AA12,MAX(0,$E12-SUMIFS(H12:AK12,$H$5:$AK$5,"Rem",$H$4:$AK$4,"&lt;"&amp;AB$4))))</f>
        <v/>
      </c>
      <c r="AC12" s="33">
        <f>AE11*(1+N(Debts!$D$13)/1200)</f>
        <v/>
      </c>
      <c r="AD12" s="33">
        <f>AC12-MIN(N(Debts!$E$13),AC12)</f>
        <v/>
      </c>
      <c r="AE12" s="33">
        <f>IF(AD12&lt;=0.005,0,AD12-MIN(AD12,MAX(0,$E12-SUMIFS(H12:AK12,$H$5:$AK$5,"Rem",$H$4:$AK$4,"&lt;"&amp;AE$4))))</f>
        <v/>
      </c>
      <c r="AF12" s="33">
        <f>AH11*(1+N(Debts!$D$14)/1200)</f>
        <v/>
      </c>
      <c r="AG12" s="33">
        <f>AF12-MIN(N(Debts!$E$14),AF12)</f>
        <v/>
      </c>
      <c r="AH12" s="33">
        <f>IF(AG12&lt;=0.005,0,AG12-MIN(AG12,MAX(0,$E12-SUMIFS(H12:AK12,$H$5:$AK$5,"Rem",$H$4:$AK$4,"&lt;"&amp;AH$4))))</f>
        <v/>
      </c>
      <c r="AI12" s="33">
        <f>AK11*(1+N(Debts!$D$15)/1200)</f>
        <v/>
      </c>
      <c r="AJ12" s="33">
        <f>AI12-MIN(N(Debts!$E$15),AI12)</f>
        <v/>
      </c>
      <c r="AK12" s="33">
        <f>IF(AJ12&lt;=0.005,0,AJ12-MIN(AJ12,MAX(0,$E12-SUMIFS(H12:AK12,$H$5:$AK$5,"Rem",$H$4:$AK$4,"&lt;"&amp;AK$4))))</f>
        <v/>
      </c>
      <c r="AL12" s="1" t="n"/>
    </row>
    <row r="13">
      <c r="A13" s="1" t="n"/>
      <c r="B13" s="1" t="n">
        <v>6</v>
      </c>
      <c r="C13" s="34">
        <f>EDATE(Debts!$J$13,B13-1)</f>
        <v/>
      </c>
      <c r="D13" s="33">
        <f>IF(G12&lt;=0.005,0,Debts!$E$16+Debts!$J$7)</f>
        <v/>
      </c>
      <c r="E13" s="33">
        <f>MAX(0,D13-(SUMIF($H$5:$AK$5,"Due",H13:AK13)-SUMIF($H$5:$AK$5,"Rem",H13:AK13)))</f>
        <v/>
      </c>
      <c r="F13" s="33">
        <f>SUMIF($H$5:$AK$5,"Due",H13:AK13)-SUMIF($H$5:$AK$5,"Bal",H12:AK12)</f>
        <v/>
      </c>
      <c r="G13" s="33">
        <f>SUMIF($H$5:$AK$5,"Bal",H13:AK13)</f>
        <v/>
      </c>
      <c r="H13" s="33">
        <f>J12*(1+N(Debts!$D$6)/1200)</f>
        <v/>
      </c>
      <c r="I13" s="33">
        <f>H13-MIN(N(Debts!$E$6),H13)</f>
        <v/>
      </c>
      <c r="J13" s="33">
        <f>IF(I13&lt;=0.005,0,I13-MIN(I13,MAX(0,$E13-SUMIFS(H13:AK13,$H$5:$AK$5,"Rem",$H$4:$AK$4,"&lt;"&amp;J$4))))</f>
        <v/>
      </c>
      <c r="K13" s="33">
        <f>M12*(1+N(Debts!$D$7)/1200)</f>
        <v/>
      </c>
      <c r="L13" s="33">
        <f>K13-MIN(N(Debts!$E$7),K13)</f>
        <v/>
      </c>
      <c r="M13" s="33">
        <f>IF(L13&lt;=0.005,0,L13-MIN(L13,MAX(0,$E13-SUMIFS(H13:AK13,$H$5:$AK$5,"Rem",$H$4:$AK$4,"&lt;"&amp;M$4))))</f>
        <v/>
      </c>
      <c r="N13" s="33">
        <f>P12*(1+N(Debts!$D$8)/1200)</f>
        <v/>
      </c>
      <c r="O13" s="33">
        <f>N13-MIN(N(Debts!$E$8),N13)</f>
        <v/>
      </c>
      <c r="P13" s="33">
        <f>IF(O13&lt;=0.005,0,O13-MIN(O13,MAX(0,$E13-SUMIFS(H13:AK13,$H$5:$AK$5,"Rem",$H$4:$AK$4,"&lt;"&amp;P$4))))</f>
        <v/>
      </c>
      <c r="Q13" s="33">
        <f>S12*(1+N(Debts!$D$9)/1200)</f>
        <v/>
      </c>
      <c r="R13" s="33">
        <f>Q13-MIN(N(Debts!$E$9),Q13)</f>
        <v/>
      </c>
      <c r="S13" s="33">
        <f>IF(R13&lt;=0.005,0,R13-MIN(R13,MAX(0,$E13-SUMIFS(H13:AK13,$H$5:$AK$5,"Rem",$H$4:$AK$4,"&lt;"&amp;S$4))))</f>
        <v/>
      </c>
      <c r="T13" s="33">
        <f>V12*(1+N(Debts!$D$10)/1200)</f>
        <v/>
      </c>
      <c r="U13" s="33">
        <f>T13-MIN(N(Debts!$E$10),T13)</f>
        <v/>
      </c>
      <c r="V13" s="33">
        <f>IF(U13&lt;=0.005,0,U13-MIN(U13,MAX(0,$E13-SUMIFS(H13:AK13,$H$5:$AK$5,"Rem",$H$4:$AK$4,"&lt;"&amp;V$4))))</f>
        <v/>
      </c>
      <c r="W13" s="33">
        <f>Y12*(1+N(Debts!$D$11)/1200)</f>
        <v/>
      </c>
      <c r="X13" s="33">
        <f>W13-MIN(N(Debts!$E$11),W13)</f>
        <v/>
      </c>
      <c r="Y13" s="33">
        <f>IF(X13&lt;=0.005,0,X13-MIN(X13,MAX(0,$E13-SUMIFS(H13:AK13,$H$5:$AK$5,"Rem",$H$4:$AK$4,"&lt;"&amp;Y$4))))</f>
        <v/>
      </c>
      <c r="Z13" s="33">
        <f>AB12*(1+N(Debts!$D$12)/1200)</f>
        <v/>
      </c>
      <c r="AA13" s="33">
        <f>Z13-MIN(N(Debts!$E$12),Z13)</f>
        <v/>
      </c>
      <c r="AB13" s="33">
        <f>IF(AA13&lt;=0.005,0,AA13-MIN(AA13,MAX(0,$E13-SUMIFS(H13:AK13,$H$5:$AK$5,"Rem",$H$4:$AK$4,"&lt;"&amp;AB$4))))</f>
        <v/>
      </c>
      <c r="AC13" s="33">
        <f>AE12*(1+N(Debts!$D$13)/1200)</f>
        <v/>
      </c>
      <c r="AD13" s="33">
        <f>AC13-MIN(N(Debts!$E$13),AC13)</f>
        <v/>
      </c>
      <c r="AE13" s="33">
        <f>IF(AD13&lt;=0.005,0,AD13-MIN(AD13,MAX(0,$E13-SUMIFS(H13:AK13,$H$5:$AK$5,"Rem",$H$4:$AK$4,"&lt;"&amp;AE$4))))</f>
        <v/>
      </c>
      <c r="AF13" s="33">
        <f>AH12*(1+N(Debts!$D$14)/1200)</f>
        <v/>
      </c>
      <c r="AG13" s="33">
        <f>AF13-MIN(N(Debts!$E$14),AF13)</f>
        <v/>
      </c>
      <c r="AH13" s="33">
        <f>IF(AG13&lt;=0.005,0,AG13-MIN(AG13,MAX(0,$E13-SUMIFS(H13:AK13,$H$5:$AK$5,"Rem",$H$4:$AK$4,"&lt;"&amp;AH$4))))</f>
        <v/>
      </c>
      <c r="AI13" s="33">
        <f>AK12*(1+N(Debts!$D$15)/1200)</f>
        <v/>
      </c>
      <c r="AJ13" s="33">
        <f>AI13-MIN(N(Debts!$E$15),AI13)</f>
        <v/>
      </c>
      <c r="AK13" s="33">
        <f>IF(AJ13&lt;=0.005,0,AJ13-MIN(AJ13,MAX(0,$E13-SUMIFS(H13:AK13,$H$5:$AK$5,"Rem",$H$4:$AK$4,"&lt;"&amp;AK$4))))</f>
        <v/>
      </c>
      <c r="AL13" s="1" t="n"/>
    </row>
    <row r="14">
      <c r="A14" s="1" t="n"/>
      <c r="B14" s="1" t="n">
        <v>7</v>
      </c>
      <c r="C14" s="34">
        <f>EDATE(Debts!$J$13,B14-1)</f>
        <v/>
      </c>
      <c r="D14" s="33">
        <f>IF(G13&lt;=0.005,0,Debts!$E$16+Debts!$J$7)</f>
        <v/>
      </c>
      <c r="E14" s="33">
        <f>MAX(0,D14-(SUMIF($H$5:$AK$5,"Due",H14:AK14)-SUMIF($H$5:$AK$5,"Rem",H14:AK14)))</f>
        <v/>
      </c>
      <c r="F14" s="33">
        <f>SUMIF($H$5:$AK$5,"Due",H14:AK14)-SUMIF($H$5:$AK$5,"Bal",H13:AK13)</f>
        <v/>
      </c>
      <c r="G14" s="33">
        <f>SUMIF($H$5:$AK$5,"Bal",H14:AK14)</f>
        <v/>
      </c>
      <c r="H14" s="33">
        <f>J13*(1+N(Debts!$D$6)/1200)</f>
        <v/>
      </c>
      <c r="I14" s="33">
        <f>H14-MIN(N(Debts!$E$6),H14)</f>
        <v/>
      </c>
      <c r="J14" s="33">
        <f>IF(I14&lt;=0.005,0,I14-MIN(I14,MAX(0,$E14-SUMIFS(H14:AK14,$H$5:$AK$5,"Rem",$H$4:$AK$4,"&lt;"&amp;J$4))))</f>
        <v/>
      </c>
      <c r="K14" s="33">
        <f>M13*(1+N(Debts!$D$7)/1200)</f>
        <v/>
      </c>
      <c r="L14" s="33">
        <f>K14-MIN(N(Debts!$E$7),K14)</f>
        <v/>
      </c>
      <c r="M14" s="33">
        <f>IF(L14&lt;=0.005,0,L14-MIN(L14,MAX(0,$E14-SUMIFS(H14:AK14,$H$5:$AK$5,"Rem",$H$4:$AK$4,"&lt;"&amp;M$4))))</f>
        <v/>
      </c>
      <c r="N14" s="33">
        <f>P13*(1+N(Debts!$D$8)/1200)</f>
        <v/>
      </c>
      <c r="O14" s="33">
        <f>N14-MIN(N(Debts!$E$8),N14)</f>
        <v/>
      </c>
      <c r="P14" s="33">
        <f>IF(O14&lt;=0.005,0,O14-MIN(O14,MAX(0,$E14-SUMIFS(H14:AK14,$H$5:$AK$5,"Rem",$H$4:$AK$4,"&lt;"&amp;P$4))))</f>
        <v/>
      </c>
      <c r="Q14" s="33">
        <f>S13*(1+N(Debts!$D$9)/1200)</f>
        <v/>
      </c>
      <c r="R14" s="33">
        <f>Q14-MIN(N(Debts!$E$9),Q14)</f>
        <v/>
      </c>
      <c r="S14" s="33">
        <f>IF(R14&lt;=0.005,0,R14-MIN(R14,MAX(0,$E14-SUMIFS(H14:AK14,$H$5:$AK$5,"Rem",$H$4:$AK$4,"&lt;"&amp;S$4))))</f>
        <v/>
      </c>
      <c r="T14" s="33">
        <f>V13*(1+N(Debts!$D$10)/1200)</f>
        <v/>
      </c>
      <c r="U14" s="33">
        <f>T14-MIN(N(Debts!$E$10),T14)</f>
        <v/>
      </c>
      <c r="V14" s="33">
        <f>IF(U14&lt;=0.005,0,U14-MIN(U14,MAX(0,$E14-SUMIFS(H14:AK14,$H$5:$AK$5,"Rem",$H$4:$AK$4,"&lt;"&amp;V$4))))</f>
        <v/>
      </c>
      <c r="W14" s="33">
        <f>Y13*(1+N(Debts!$D$11)/1200)</f>
        <v/>
      </c>
      <c r="X14" s="33">
        <f>W14-MIN(N(Debts!$E$11),W14)</f>
        <v/>
      </c>
      <c r="Y14" s="33">
        <f>IF(X14&lt;=0.005,0,X14-MIN(X14,MAX(0,$E14-SUMIFS(H14:AK14,$H$5:$AK$5,"Rem",$H$4:$AK$4,"&lt;"&amp;Y$4))))</f>
        <v/>
      </c>
      <c r="Z14" s="33">
        <f>AB13*(1+N(Debts!$D$12)/1200)</f>
        <v/>
      </c>
      <c r="AA14" s="33">
        <f>Z14-MIN(N(Debts!$E$12),Z14)</f>
        <v/>
      </c>
      <c r="AB14" s="33">
        <f>IF(AA14&lt;=0.005,0,AA14-MIN(AA14,MAX(0,$E14-SUMIFS(H14:AK14,$H$5:$AK$5,"Rem",$H$4:$AK$4,"&lt;"&amp;AB$4))))</f>
        <v/>
      </c>
      <c r="AC14" s="33">
        <f>AE13*(1+N(Debts!$D$13)/1200)</f>
        <v/>
      </c>
      <c r="AD14" s="33">
        <f>AC14-MIN(N(Debts!$E$13),AC14)</f>
        <v/>
      </c>
      <c r="AE14" s="33">
        <f>IF(AD14&lt;=0.005,0,AD14-MIN(AD14,MAX(0,$E14-SUMIFS(H14:AK14,$H$5:$AK$5,"Rem",$H$4:$AK$4,"&lt;"&amp;AE$4))))</f>
        <v/>
      </c>
      <c r="AF14" s="33">
        <f>AH13*(1+N(Debts!$D$14)/1200)</f>
        <v/>
      </c>
      <c r="AG14" s="33">
        <f>AF14-MIN(N(Debts!$E$14),AF14)</f>
        <v/>
      </c>
      <c r="AH14" s="33">
        <f>IF(AG14&lt;=0.005,0,AG14-MIN(AG14,MAX(0,$E14-SUMIFS(H14:AK14,$H$5:$AK$5,"Rem",$H$4:$AK$4,"&lt;"&amp;AH$4))))</f>
        <v/>
      </c>
      <c r="AI14" s="33">
        <f>AK13*(1+N(Debts!$D$15)/1200)</f>
        <v/>
      </c>
      <c r="AJ14" s="33">
        <f>AI14-MIN(N(Debts!$E$15),AI14)</f>
        <v/>
      </c>
      <c r="AK14" s="33">
        <f>IF(AJ14&lt;=0.005,0,AJ14-MIN(AJ14,MAX(0,$E14-SUMIFS(H14:AK14,$H$5:$AK$5,"Rem",$H$4:$AK$4,"&lt;"&amp;AK$4))))</f>
        <v/>
      </c>
      <c r="AL14" s="1" t="n"/>
    </row>
    <row r="15">
      <c r="A15" s="1" t="n"/>
      <c r="B15" s="1" t="n">
        <v>8</v>
      </c>
      <c r="C15" s="34">
        <f>EDATE(Debts!$J$13,B15-1)</f>
        <v/>
      </c>
      <c r="D15" s="33">
        <f>IF(G14&lt;=0.005,0,Debts!$E$16+Debts!$J$7)</f>
        <v/>
      </c>
      <c r="E15" s="33">
        <f>MAX(0,D15-(SUMIF($H$5:$AK$5,"Due",H15:AK15)-SUMIF($H$5:$AK$5,"Rem",H15:AK15)))</f>
        <v/>
      </c>
      <c r="F15" s="33">
        <f>SUMIF($H$5:$AK$5,"Due",H15:AK15)-SUMIF($H$5:$AK$5,"Bal",H14:AK14)</f>
        <v/>
      </c>
      <c r="G15" s="33">
        <f>SUMIF($H$5:$AK$5,"Bal",H15:AK15)</f>
        <v/>
      </c>
      <c r="H15" s="33">
        <f>J14*(1+N(Debts!$D$6)/1200)</f>
        <v/>
      </c>
      <c r="I15" s="33">
        <f>H15-MIN(N(Debts!$E$6),H15)</f>
        <v/>
      </c>
      <c r="J15" s="33">
        <f>IF(I15&lt;=0.005,0,I15-MIN(I15,MAX(0,$E15-SUMIFS(H15:AK15,$H$5:$AK$5,"Rem",$H$4:$AK$4,"&lt;"&amp;J$4))))</f>
        <v/>
      </c>
      <c r="K15" s="33">
        <f>M14*(1+N(Debts!$D$7)/1200)</f>
        <v/>
      </c>
      <c r="L15" s="33">
        <f>K15-MIN(N(Debts!$E$7),K15)</f>
        <v/>
      </c>
      <c r="M15" s="33">
        <f>IF(L15&lt;=0.005,0,L15-MIN(L15,MAX(0,$E15-SUMIFS(H15:AK15,$H$5:$AK$5,"Rem",$H$4:$AK$4,"&lt;"&amp;M$4))))</f>
        <v/>
      </c>
      <c r="N15" s="33">
        <f>P14*(1+N(Debts!$D$8)/1200)</f>
        <v/>
      </c>
      <c r="O15" s="33">
        <f>N15-MIN(N(Debts!$E$8),N15)</f>
        <v/>
      </c>
      <c r="P15" s="33">
        <f>IF(O15&lt;=0.005,0,O15-MIN(O15,MAX(0,$E15-SUMIFS(H15:AK15,$H$5:$AK$5,"Rem",$H$4:$AK$4,"&lt;"&amp;P$4))))</f>
        <v/>
      </c>
      <c r="Q15" s="33">
        <f>S14*(1+N(Debts!$D$9)/1200)</f>
        <v/>
      </c>
      <c r="R15" s="33">
        <f>Q15-MIN(N(Debts!$E$9),Q15)</f>
        <v/>
      </c>
      <c r="S15" s="33">
        <f>IF(R15&lt;=0.005,0,R15-MIN(R15,MAX(0,$E15-SUMIFS(H15:AK15,$H$5:$AK$5,"Rem",$H$4:$AK$4,"&lt;"&amp;S$4))))</f>
        <v/>
      </c>
      <c r="T15" s="33">
        <f>V14*(1+N(Debts!$D$10)/1200)</f>
        <v/>
      </c>
      <c r="U15" s="33">
        <f>T15-MIN(N(Debts!$E$10),T15)</f>
        <v/>
      </c>
      <c r="V15" s="33">
        <f>IF(U15&lt;=0.005,0,U15-MIN(U15,MAX(0,$E15-SUMIFS(H15:AK15,$H$5:$AK$5,"Rem",$H$4:$AK$4,"&lt;"&amp;V$4))))</f>
        <v/>
      </c>
      <c r="W15" s="33">
        <f>Y14*(1+N(Debts!$D$11)/1200)</f>
        <v/>
      </c>
      <c r="X15" s="33">
        <f>W15-MIN(N(Debts!$E$11),W15)</f>
        <v/>
      </c>
      <c r="Y15" s="33">
        <f>IF(X15&lt;=0.005,0,X15-MIN(X15,MAX(0,$E15-SUMIFS(H15:AK15,$H$5:$AK$5,"Rem",$H$4:$AK$4,"&lt;"&amp;Y$4))))</f>
        <v/>
      </c>
      <c r="Z15" s="33">
        <f>AB14*(1+N(Debts!$D$12)/1200)</f>
        <v/>
      </c>
      <c r="AA15" s="33">
        <f>Z15-MIN(N(Debts!$E$12),Z15)</f>
        <v/>
      </c>
      <c r="AB15" s="33">
        <f>IF(AA15&lt;=0.005,0,AA15-MIN(AA15,MAX(0,$E15-SUMIFS(H15:AK15,$H$5:$AK$5,"Rem",$H$4:$AK$4,"&lt;"&amp;AB$4))))</f>
        <v/>
      </c>
      <c r="AC15" s="33">
        <f>AE14*(1+N(Debts!$D$13)/1200)</f>
        <v/>
      </c>
      <c r="AD15" s="33">
        <f>AC15-MIN(N(Debts!$E$13),AC15)</f>
        <v/>
      </c>
      <c r="AE15" s="33">
        <f>IF(AD15&lt;=0.005,0,AD15-MIN(AD15,MAX(0,$E15-SUMIFS(H15:AK15,$H$5:$AK$5,"Rem",$H$4:$AK$4,"&lt;"&amp;AE$4))))</f>
        <v/>
      </c>
      <c r="AF15" s="33">
        <f>AH14*(1+N(Debts!$D$14)/1200)</f>
        <v/>
      </c>
      <c r="AG15" s="33">
        <f>AF15-MIN(N(Debts!$E$14),AF15)</f>
        <v/>
      </c>
      <c r="AH15" s="33">
        <f>IF(AG15&lt;=0.005,0,AG15-MIN(AG15,MAX(0,$E15-SUMIFS(H15:AK15,$H$5:$AK$5,"Rem",$H$4:$AK$4,"&lt;"&amp;AH$4))))</f>
        <v/>
      </c>
      <c r="AI15" s="33">
        <f>AK14*(1+N(Debts!$D$15)/1200)</f>
        <v/>
      </c>
      <c r="AJ15" s="33">
        <f>AI15-MIN(N(Debts!$E$15),AI15)</f>
        <v/>
      </c>
      <c r="AK15" s="33">
        <f>IF(AJ15&lt;=0.005,0,AJ15-MIN(AJ15,MAX(0,$E15-SUMIFS(H15:AK15,$H$5:$AK$5,"Rem",$H$4:$AK$4,"&lt;"&amp;AK$4))))</f>
        <v/>
      </c>
      <c r="AL15" s="1" t="n"/>
    </row>
    <row r="16">
      <c r="A16" s="1" t="n"/>
      <c r="B16" s="1" t="n">
        <v>9</v>
      </c>
      <c r="C16" s="34">
        <f>EDATE(Debts!$J$13,B16-1)</f>
        <v/>
      </c>
      <c r="D16" s="33">
        <f>IF(G15&lt;=0.005,0,Debts!$E$16+Debts!$J$7)</f>
        <v/>
      </c>
      <c r="E16" s="33">
        <f>MAX(0,D16-(SUMIF($H$5:$AK$5,"Due",H16:AK16)-SUMIF($H$5:$AK$5,"Rem",H16:AK16)))</f>
        <v/>
      </c>
      <c r="F16" s="33">
        <f>SUMIF($H$5:$AK$5,"Due",H16:AK16)-SUMIF($H$5:$AK$5,"Bal",H15:AK15)</f>
        <v/>
      </c>
      <c r="G16" s="33">
        <f>SUMIF($H$5:$AK$5,"Bal",H16:AK16)</f>
        <v/>
      </c>
      <c r="H16" s="33">
        <f>J15*(1+N(Debts!$D$6)/1200)</f>
        <v/>
      </c>
      <c r="I16" s="33">
        <f>H16-MIN(N(Debts!$E$6),H16)</f>
        <v/>
      </c>
      <c r="J16" s="33">
        <f>IF(I16&lt;=0.005,0,I16-MIN(I16,MAX(0,$E16-SUMIFS(H16:AK16,$H$5:$AK$5,"Rem",$H$4:$AK$4,"&lt;"&amp;J$4))))</f>
        <v/>
      </c>
      <c r="K16" s="33">
        <f>M15*(1+N(Debts!$D$7)/1200)</f>
        <v/>
      </c>
      <c r="L16" s="33">
        <f>K16-MIN(N(Debts!$E$7),K16)</f>
        <v/>
      </c>
      <c r="M16" s="33">
        <f>IF(L16&lt;=0.005,0,L16-MIN(L16,MAX(0,$E16-SUMIFS(H16:AK16,$H$5:$AK$5,"Rem",$H$4:$AK$4,"&lt;"&amp;M$4))))</f>
        <v/>
      </c>
      <c r="N16" s="33">
        <f>P15*(1+N(Debts!$D$8)/1200)</f>
        <v/>
      </c>
      <c r="O16" s="33">
        <f>N16-MIN(N(Debts!$E$8),N16)</f>
        <v/>
      </c>
      <c r="P16" s="33">
        <f>IF(O16&lt;=0.005,0,O16-MIN(O16,MAX(0,$E16-SUMIFS(H16:AK16,$H$5:$AK$5,"Rem",$H$4:$AK$4,"&lt;"&amp;P$4))))</f>
        <v/>
      </c>
      <c r="Q16" s="33">
        <f>S15*(1+N(Debts!$D$9)/1200)</f>
        <v/>
      </c>
      <c r="R16" s="33">
        <f>Q16-MIN(N(Debts!$E$9),Q16)</f>
        <v/>
      </c>
      <c r="S16" s="33">
        <f>IF(R16&lt;=0.005,0,R16-MIN(R16,MAX(0,$E16-SUMIFS(H16:AK16,$H$5:$AK$5,"Rem",$H$4:$AK$4,"&lt;"&amp;S$4))))</f>
        <v/>
      </c>
      <c r="T16" s="33">
        <f>V15*(1+N(Debts!$D$10)/1200)</f>
        <v/>
      </c>
      <c r="U16" s="33">
        <f>T16-MIN(N(Debts!$E$10),T16)</f>
        <v/>
      </c>
      <c r="V16" s="33">
        <f>IF(U16&lt;=0.005,0,U16-MIN(U16,MAX(0,$E16-SUMIFS(H16:AK16,$H$5:$AK$5,"Rem",$H$4:$AK$4,"&lt;"&amp;V$4))))</f>
        <v/>
      </c>
      <c r="W16" s="33">
        <f>Y15*(1+N(Debts!$D$11)/1200)</f>
        <v/>
      </c>
      <c r="X16" s="33">
        <f>W16-MIN(N(Debts!$E$11),W16)</f>
        <v/>
      </c>
      <c r="Y16" s="33">
        <f>IF(X16&lt;=0.005,0,X16-MIN(X16,MAX(0,$E16-SUMIFS(H16:AK16,$H$5:$AK$5,"Rem",$H$4:$AK$4,"&lt;"&amp;Y$4))))</f>
        <v/>
      </c>
      <c r="Z16" s="33">
        <f>AB15*(1+N(Debts!$D$12)/1200)</f>
        <v/>
      </c>
      <c r="AA16" s="33">
        <f>Z16-MIN(N(Debts!$E$12),Z16)</f>
        <v/>
      </c>
      <c r="AB16" s="33">
        <f>IF(AA16&lt;=0.005,0,AA16-MIN(AA16,MAX(0,$E16-SUMIFS(H16:AK16,$H$5:$AK$5,"Rem",$H$4:$AK$4,"&lt;"&amp;AB$4))))</f>
        <v/>
      </c>
      <c r="AC16" s="33">
        <f>AE15*(1+N(Debts!$D$13)/1200)</f>
        <v/>
      </c>
      <c r="AD16" s="33">
        <f>AC16-MIN(N(Debts!$E$13),AC16)</f>
        <v/>
      </c>
      <c r="AE16" s="33">
        <f>IF(AD16&lt;=0.005,0,AD16-MIN(AD16,MAX(0,$E16-SUMIFS(H16:AK16,$H$5:$AK$5,"Rem",$H$4:$AK$4,"&lt;"&amp;AE$4))))</f>
        <v/>
      </c>
      <c r="AF16" s="33">
        <f>AH15*(1+N(Debts!$D$14)/1200)</f>
        <v/>
      </c>
      <c r="AG16" s="33">
        <f>AF16-MIN(N(Debts!$E$14),AF16)</f>
        <v/>
      </c>
      <c r="AH16" s="33">
        <f>IF(AG16&lt;=0.005,0,AG16-MIN(AG16,MAX(0,$E16-SUMIFS(H16:AK16,$H$5:$AK$5,"Rem",$H$4:$AK$4,"&lt;"&amp;AH$4))))</f>
        <v/>
      </c>
      <c r="AI16" s="33">
        <f>AK15*(1+N(Debts!$D$15)/1200)</f>
        <v/>
      </c>
      <c r="AJ16" s="33">
        <f>AI16-MIN(N(Debts!$E$15),AI16)</f>
        <v/>
      </c>
      <c r="AK16" s="33">
        <f>IF(AJ16&lt;=0.005,0,AJ16-MIN(AJ16,MAX(0,$E16-SUMIFS(H16:AK16,$H$5:$AK$5,"Rem",$H$4:$AK$4,"&lt;"&amp;AK$4))))</f>
        <v/>
      </c>
      <c r="AL16" s="1" t="n"/>
    </row>
    <row r="17">
      <c r="A17" s="1" t="n"/>
      <c r="B17" s="1" t="n">
        <v>10</v>
      </c>
      <c r="C17" s="34">
        <f>EDATE(Debts!$J$13,B17-1)</f>
        <v/>
      </c>
      <c r="D17" s="33">
        <f>IF(G16&lt;=0.005,0,Debts!$E$16+Debts!$J$7)</f>
        <v/>
      </c>
      <c r="E17" s="33">
        <f>MAX(0,D17-(SUMIF($H$5:$AK$5,"Due",H17:AK17)-SUMIF($H$5:$AK$5,"Rem",H17:AK17)))</f>
        <v/>
      </c>
      <c r="F17" s="33">
        <f>SUMIF($H$5:$AK$5,"Due",H17:AK17)-SUMIF($H$5:$AK$5,"Bal",H16:AK16)</f>
        <v/>
      </c>
      <c r="G17" s="33">
        <f>SUMIF($H$5:$AK$5,"Bal",H17:AK17)</f>
        <v/>
      </c>
      <c r="H17" s="33">
        <f>J16*(1+N(Debts!$D$6)/1200)</f>
        <v/>
      </c>
      <c r="I17" s="33">
        <f>H17-MIN(N(Debts!$E$6),H17)</f>
        <v/>
      </c>
      <c r="J17" s="33">
        <f>IF(I17&lt;=0.005,0,I17-MIN(I17,MAX(0,$E17-SUMIFS(H17:AK17,$H$5:$AK$5,"Rem",$H$4:$AK$4,"&lt;"&amp;J$4))))</f>
        <v/>
      </c>
      <c r="K17" s="33">
        <f>M16*(1+N(Debts!$D$7)/1200)</f>
        <v/>
      </c>
      <c r="L17" s="33">
        <f>K17-MIN(N(Debts!$E$7),K17)</f>
        <v/>
      </c>
      <c r="M17" s="33">
        <f>IF(L17&lt;=0.005,0,L17-MIN(L17,MAX(0,$E17-SUMIFS(H17:AK17,$H$5:$AK$5,"Rem",$H$4:$AK$4,"&lt;"&amp;M$4))))</f>
        <v/>
      </c>
      <c r="N17" s="33">
        <f>P16*(1+N(Debts!$D$8)/1200)</f>
        <v/>
      </c>
      <c r="O17" s="33">
        <f>N17-MIN(N(Debts!$E$8),N17)</f>
        <v/>
      </c>
      <c r="P17" s="33">
        <f>IF(O17&lt;=0.005,0,O17-MIN(O17,MAX(0,$E17-SUMIFS(H17:AK17,$H$5:$AK$5,"Rem",$H$4:$AK$4,"&lt;"&amp;P$4))))</f>
        <v/>
      </c>
      <c r="Q17" s="33">
        <f>S16*(1+N(Debts!$D$9)/1200)</f>
        <v/>
      </c>
      <c r="R17" s="33">
        <f>Q17-MIN(N(Debts!$E$9),Q17)</f>
        <v/>
      </c>
      <c r="S17" s="33">
        <f>IF(R17&lt;=0.005,0,R17-MIN(R17,MAX(0,$E17-SUMIFS(H17:AK17,$H$5:$AK$5,"Rem",$H$4:$AK$4,"&lt;"&amp;S$4))))</f>
        <v/>
      </c>
      <c r="T17" s="33">
        <f>V16*(1+N(Debts!$D$10)/1200)</f>
        <v/>
      </c>
      <c r="U17" s="33">
        <f>T17-MIN(N(Debts!$E$10),T17)</f>
        <v/>
      </c>
      <c r="V17" s="33">
        <f>IF(U17&lt;=0.005,0,U17-MIN(U17,MAX(0,$E17-SUMIFS(H17:AK17,$H$5:$AK$5,"Rem",$H$4:$AK$4,"&lt;"&amp;V$4))))</f>
        <v/>
      </c>
      <c r="W17" s="33">
        <f>Y16*(1+N(Debts!$D$11)/1200)</f>
        <v/>
      </c>
      <c r="X17" s="33">
        <f>W17-MIN(N(Debts!$E$11),W17)</f>
        <v/>
      </c>
      <c r="Y17" s="33">
        <f>IF(X17&lt;=0.005,0,X17-MIN(X17,MAX(0,$E17-SUMIFS(H17:AK17,$H$5:$AK$5,"Rem",$H$4:$AK$4,"&lt;"&amp;Y$4))))</f>
        <v/>
      </c>
      <c r="Z17" s="33">
        <f>AB16*(1+N(Debts!$D$12)/1200)</f>
        <v/>
      </c>
      <c r="AA17" s="33">
        <f>Z17-MIN(N(Debts!$E$12),Z17)</f>
        <v/>
      </c>
      <c r="AB17" s="33">
        <f>IF(AA17&lt;=0.005,0,AA17-MIN(AA17,MAX(0,$E17-SUMIFS(H17:AK17,$H$5:$AK$5,"Rem",$H$4:$AK$4,"&lt;"&amp;AB$4))))</f>
        <v/>
      </c>
      <c r="AC17" s="33">
        <f>AE16*(1+N(Debts!$D$13)/1200)</f>
        <v/>
      </c>
      <c r="AD17" s="33">
        <f>AC17-MIN(N(Debts!$E$13),AC17)</f>
        <v/>
      </c>
      <c r="AE17" s="33">
        <f>IF(AD17&lt;=0.005,0,AD17-MIN(AD17,MAX(0,$E17-SUMIFS(H17:AK17,$H$5:$AK$5,"Rem",$H$4:$AK$4,"&lt;"&amp;AE$4))))</f>
        <v/>
      </c>
      <c r="AF17" s="33">
        <f>AH16*(1+N(Debts!$D$14)/1200)</f>
        <v/>
      </c>
      <c r="AG17" s="33">
        <f>AF17-MIN(N(Debts!$E$14),AF17)</f>
        <v/>
      </c>
      <c r="AH17" s="33">
        <f>IF(AG17&lt;=0.005,0,AG17-MIN(AG17,MAX(0,$E17-SUMIFS(H17:AK17,$H$5:$AK$5,"Rem",$H$4:$AK$4,"&lt;"&amp;AH$4))))</f>
        <v/>
      </c>
      <c r="AI17" s="33">
        <f>AK16*(1+N(Debts!$D$15)/1200)</f>
        <v/>
      </c>
      <c r="AJ17" s="33">
        <f>AI17-MIN(N(Debts!$E$15),AI17)</f>
        <v/>
      </c>
      <c r="AK17" s="33">
        <f>IF(AJ17&lt;=0.005,0,AJ17-MIN(AJ17,MAX(0,$E17-SUMIFS(H17:AK17,$H$5:$AK$5,"Rem",$H$4:$AK$4,"&lt;"&amp;AK$4))))</f>
        <v/>
      </c>
      <c r="AL17" s="1" t="n"/>
    </row>
    <row r="18">
      <c r="A18" s="1" t="n"/>
      <c r="B18" s="1" t="n">
        <v>11</v>
      </c>
      <c r="C18" s="34">
        <f>EDATE(Debts!$J$13,B18-1)</f>
        <v/>
      </c>
      <c r="D18" s="33">
        <f>IF(G17&lt;=0.005,0,Debts!$E$16+Debts!$J$7)</f>
        <v/>
      </c>
      <c r="E18" s="33">
        <f>MAX(0,D18-(SUMIF($H$5:$AK$5,"Due",H18:AK18)-SUMIF($H$5:$AK$5,"Rem",H18:AK18)))</f>
        <v/>
      </c>
      <c r="F18" s="33">
        <f>SUMIF($H$5:$AK$5,"Due",H18:AK18)-SUMIF($H$5:$AK$5,"Bal",H17:AK17)</f>
        <v/>
      </c>
      <c r="G18" s="33">
        <f>SUMIF($H$5:$AK$5,"Bal",H18:AK18)</f>
        <v/>
      </c>
      <c r="H18" s="33">
        <f>J17*(1+N(Debts!$D$6)/1200)</f>
        <v/>
      </c>
      <c r="I18" s="33">
        <f>H18-MIN(N(Debts!$E$6),H18)</f>
        <v/>
      </c>
      <c r="J18" s="33">
        <f>IF(I18&lt;=0.005,0,I18-MIN(I18,MAX(0,$E18-SUMIFS(H18:AK18,$H$5:$AK$5,"Rem",$H$4:$AK$4,"&lt;"&amp;J$4))))</f>
        <v/>
      </c>
      <c r="K18" s="33">
        <f>M17*(1+N(Debts!$D$7)/1200)</f>
        <v/>
      </c>
      <c r="L18" s="33">
        <f>K18-MIN(N(Debts!$E$7),K18)</f>
        <v/>
      </c>
      <c r="M18" s="33">
        <f>IF(L18&lt;=0.005,0,L18-MIN(L18,MAX(0,$E18-SUMIFS(H18:AK18,$H$5:$AK$5,"Rem",$H$4:$AK$4,"&lt;"&amp;M$4))))</f>
        <v/>
      </c>
      <c r="N18" s="33">
        <f>P17*(1+N(Debts!$D$8)/1200)</f>
        <v/>
      </c>
      <c r="O18" s="33">
        <f>N18-MIN(N(Debts!$E$8),N18)</f>
        <v/>
      </c>
      <c r="P18" s="33">
        <f>IF(O18&lt;=0.005,0,O18-MIN(O18,MAX(0,$E18-SUMIFS(H18:AK18,$H$5:$AK$5,"Rem",$H$4:$AK$4,"&lt;"&amp;P$4))))</f>
        <v/>
      </c>
      <c r="Q18" s="33">
        <f>S17*(1+N(Debts!$D$9)/1200)</f>
        <v/>
      </c>
      <c r="R18" s="33">
        <f>Q18-MIN(N(Debts!$E$9),Q18)</f>
        <v/>
      </c>
      <c r="S18" s="33">
        <f>IF(R18&lt;=0.005,0,R18-MIN(R18,MAX(0,$E18-SUMIFS(H18:AK18,$H$5:$AK$5,"Rem",$H$4:$AK$4,"&lt;"&amp;S$4))))</f>
        <v/>
      </c>
      <c r="T18" s="33">
        <f>V17*(1+N(Debts!$D$10)/1200)</f>
        <v/>
      </c>
      <c r="U18" s="33">
        <f>T18-MIN(N(Debts!$E$10),T18)</f>
        <v/>
      </c>
      <c r="V18" s="33">
        <f>IF(U18&lt;=0.005,0,U18-MIN(U18,MAX(0,$E18-SUMIFS(H18:AK18,$H$5:$AK$5,"Rem",$H$4:$AK$4,"&lt;"&amp;V$4))))</f>
        <v/>
      </c>
      <c r="W18" s="33">
        <f>Y17*(1+N(Debts!$D$11)/1200)</f>
        <v/>
      </c>
      <c r="X18" s="33">
        <f>W18-MIN(N(Debts!$E$11),W18)</f>
        <v/>
      </c>
      <c r="Y18" s="33">
        <f>IF(X18&lt;=0.005,0,X18-MIN(X18,MAX(0,$E18-SUMIFS(H18:AK18,$H$5:$AK$5,"Rem",$H$4:$AK$4,"&lt;"&amp;Y$4))))</f>
        <v/>
      </c>
      <c r="Z18" s="33">
        <f>AB17*(1+N(Debts!$D$12)/1200)</f>
        <v/>
      </c>
      <c r="AA18" s="33">
        <f>Z18-MIN(N(Debts!$E$12),Z18)</f>
        <v/>
      </c>
      <c r="AB18" s="33">
        <f>IF(AA18&lt;=0.005,0,AA18-MIN(AA18,MAX(0,$E18-SUMIFS(H18:AK18,$H$5:$AK$5,"Rem",$H$4:$AK$4,"&lt;"&amp;AB$4))))</f>
        <v/>
      </c>
      <c r="AC18" s="33">
        <f>AE17*(1+N(Debts!$D$13)/1200)</f>
        <v/>
      </c>
      <c r="AD18" s="33">
        <f>AC18-MIN(N(Debts!$E$13),AC18)</f>
        <v/>
      </c>
      <c r="AE18" s="33">
        <f>IF(AD18&lt;=0.005,0,AD18-MIN(AD18,MAX(0,$E18-SUMIFS(H18:AK18,$H$5:$AK$5,"Rem",$H$4:$AK$4,"&lt;"&amp;AE$4))))</f>
        <v/>
      </c>
      <c r="AF18" s="33">
        <f>AH17*(1+N(Debts!$D$14)/1200)</f>
        <v/>
      </c>
      <c r="AG18" s="33">
        <f>AF18-MIN(N(Debts!$E$14),AF18)</f>
        <v/>
      </c>
      <c r="AH18" s="33">
        <f>IF(AG18&lt;=0.005,0,AG18-MIN(AG18,MAX(0,$E18-SUMIFS(H18:AK18,$H$5:$AK$5,"Rem",$H$4:$AK$4,"&lt;"&amp;AH$4))))</f>
        <v/>
      </c>
      <c r="AI18" s="33">
        <f>AK17*(1+N(Debts!$D$15)/1200)</f>
        <v/>
      </c>
      <c r="AJ18" s="33">
        <f>AI18-MIN(N(Debts!$E$15),AI18)</f>
        <v/>
      </c>
      <c r="AK18" s="33">
        <f>IF(AJ18&lt;=0.005,0,AJ18-MIN(AJ18,MAX(0,$E18-SUMIFS(H18:AK18,$H$5:$AK$5,"Rem",$H$4:$AK$4,"&lt;"&amp;AK$4))))</f>
        <v/>
      </c>
      <c r="AL18" s="1" t="n"/>
    </row>
    <row r="19">
      <c r="A19" s="1" t="n"/>
      <c r="B19" s="1" t="n">
        <v>12</v>
      </c>
      <c r="C19" s="34">
        <f>EDATE(Debts!$J$13,B19-1)</f>
        <v/>
      </c>
      <c r="D19" s="33">
        <f>IF(G18&lt;=0.005,0,Debts!$E$16+Debts!$J$7)</f>
        <v/>
      </c>
      <c r="E19" s="33">
        <f>MAX(0,D19-(SUMIF($H$5:$AK$5,"Due",H19:AK19)-SUMIF($H$5:$AK$5,"Rem",H19:AK19)))</f>
        <v/>
      </c>
      <c r="F19" s="33">
        <f>SUMIF($H$5:$AK$5,"Due",H19:AK19)-SUMIF($H$5:$AK$5,"Bal",H18:AK18)</f>
        <v/>
      </c>
      <c r="G19" s="33">
        <f>SUMIF($H$5:$AK$5,"Bal",H19:AK19)</f>
        <v/>
      </c>
      <c r="H19" s="33">
        <f>J18*(1+N(Debts!$D$6)/1200)</f>
        <v/>
      </c>
      <c r="I19" s="33">
        <f>H19-MIN(N(Debts!$E$6),H19)</f>
        <v/>
      </c>
      <c r="J19" s="33">
        <f>IF(I19&lt;=0.005,0,I19-MIN(I19,MAX(0,$E19-SUMIFS(H19:AK19,$H$5:$AK$5,"Rem",$H$4:$AK$4,"&lt;"&amp;J$4))))</f>
        <v/>
      </c>
      <c r="K19" s="33">
        <f>M18*(1+N(Debts!$D$7)/1200)</f>
        <v/>
      </c>
      <c r="L19" s="33">
        <f>K19-MIN(N(Debts!$E$7),K19)</f>
        <v/>
      </c>
      <c r="M19" s="33">
        <f>IF(L19&lt;=0.005,0,L19-MIN(L19,MAX(0,$E19-SUMIFS(H19:AK19,$H$5:$AK$5,"Rem",$H$4:$AK$4,"&lt;"&amp;M$4))))</f>
        <v/>
      </c>
      <c r="N19" s="33">
        <f>P18*(1+N(Debts!$D$8)/1200)</f>
        <v/>
      </c>
      <c r="O19" s="33">
        <f>N19-MIN(N(Debts!$E$8),N19)</f>
        <v/>
      </c>
      <c r="P19" s="33">
        <f>IF(O19&lt;=0.005,0,O19-MIN(O19,MAX(0,$E19-SUMIFS(H19:AK19,$H$5:$AK$5,"Rem",$H$4:$AK$4,"&lt;"&amp;P$4))))</f>
        <v/>
      </c>
      <c r="Q19" s="33">
        <f>S18*(1+N(Debts!$D$9)/1200)</f>
        <v/>
      </c>
      <c r="R19" s="33">
        <f>Q19-MIN(N(Debts!$E$9),Q19)</f>
        <v/>
      </c>
      <c r="S19" s="33">
        <f>IF(R19&lt;=0.005,0,R19-MIN(R19,MAX(0,$E19-SUMIFS(H19:AK19,$H$5:$AK$5,"Rem",$H$4:$AK$4,"&lt;"&amp;S$4))))</f>
        <v/>
      </c>
      <c r="T19" s="33">
        <f>V18*(1+N(Debts!$D$10)/1200)</f>
        <v/>
      </c>
      <c r="U19" s="33">
        <f>T19-MIN(N(Debts!$E$10),T19)</f>
        <v/>
      </c>
      <c r="V19" s="33">
        <f>IF(U19&lt;=0.005,0,U19-MIN(U19,MAX(0,$E19-SUMIFS(H19:AK19,$H$5:$AK$5,"Rem",$H$4:$AK$4,"&lt;"&amp;V$4))))</f>
        <v/>
      </c>
      <c r="W19" s="33">
        <f>Y18*(1+N(Debts!$D$11)/1200)</f>
        <v/>
      </c>
      <c r="X19" s="33">
        <f>W19-MIN(N(Debts!$E$11),W19)</f>
        <v/>
      </c>
      <c r="Y19" s="33">
        <f>IF(X19&lt;=0.005,0,X19-MIN(X19,MAX(0,$E19-SUMIFS(H19:AK19,$H$5:$AK$5,"Rem",$H$4:$AK$4,"&lt;"&amp;Y$4))))</f>
        <v/>
      </c>
      <c r="Z19" s="33">
        <f>AB18*(1+N(Debts!$D$12)/1200)</f>
        <v/>
      </c>
      <c r="AA19" s="33">
        <f>Z19-MIN(N(Debts!$E$12),Z19)</f>
        <v/>
      </c>
      <c r="AB19" s="33">
        <f>IF(AA19&lt;=0.005,0,AA19-MIN(AA19,MAX(0,$E19-SUMIFS(H19:AK19,$H$5:$AK$5,"Rem",$H$4:$AK$4,"&lt;"&amp;AB$4))))</f>
        <v/>
      </c>
      <c r="AC19" s="33">
        <f>AE18*(1+N(Debts!$D$13)/1200)</f>
        <v/>
      </c>
      <c r="AD19" s="33">
        <f>AC19-MIN(N(Debts!$E$13),AC19)</f>
        <v/>
      </c>
      <c r="AE19" s="33">
        <f>IF(AD19&lt;=0.005,0,AD19-MIN(AD19,MAX(0,$E19-SUMIFS(H19:AK19,$H$5:$AK$5,"Rem",$H$4:$AK$4,"&lt;"&amp;AE$4))))</f>
        <v/>
      </c>
      <c r="AF19" s="33">
        <f>AH18*(1+N(Debts!$D$14)/1200)</f>
        <v/>
      </c>
      <c r="AG19" s="33">
        <f>AF19-MIN(N(Debts!$E$14),AF19)</f>
        <v/>
      </c>
      <c r="AH19" s="33">
        <f>IF(AG19&lt;=0.005,0,AG19-MIN(AG19,MAX(0,$E19-SUMIFS(H19:AK19,$H$5:$AK$5,"Rem",$H$4:$AK$4,"&lt;"&amp;AH$4))))</f>
        <v/>
      </c>
      <c r="AI19" s="33">
        <f>AK18*(1+N(Debts!$D$15)/1200)</f>
        <v/>
      </c>
      <c r="AJ19" s="33">
        <f>AI19-MIN(N(Debts!$E$15),AI19)</f>
        <v/>
      </c>
      <c r="AK19" s="33">
        <f>IF(AJ19&lt;=0.005,0,AJ19-MIN(AJ19,MAX(0,$E19-SUMIFS(H19:AK19,$H$5:$AK$5,"Rem",$H$4:$AK$4,"&lt;"&amp;AK$4))))</f>
        <v/>
      </c>
      <c r="AL19" s="1" t="n"/>
    </row>
    <row r="20">
      <c r="A20" s="1" t="n"/>
      <c r="B20" s="1" t="n">
        <v>13</v>
      </c>
      <c r="C20" s="34">
        <f>EDATE(Debts!$J$13,B20-1)</f>
        <v/>
      </c>
      <c r="D20" s="33">
        <f>IF(G19&lt;=0.005,0,Debts!$E$16+Debts!$J$7)</f>
        <v/>
      </c>
      <c r="E20" s="33">
        <f>MAX(0,D20-(SUMIF($H$5:$AK$5,"Due",H20:AK20)-SUMIF($H$5:$AK$5,"Rem",H20:AK20)))</f>
        <v/>
      </c>
      <c r="F20" s="33">
        <f>SUMIF($H$5:$AK$5,"Due",H20:AK20)-SUMIF($H$5:$AK$5,"Bal",H19:AK19)</f>
        <v/>
      </c>
      <c r="G20" s="33">
        <f>SUMIF($H$5:$AK$5,"Bal",H20:AK20)</f>
        <v/>
      </c>
      <c r="H20" s="33">
        <f>J19*(1+N(Debts!$D$6)/1200)</f>
        <v/>
      </c>
      <c r="I20" s="33">
        <f>H20-MIN(N(Debts!$E$6),H20)</f>
        <v/>
      </c>
      <c r="J20" s="33">
        <f>IF(I20&lt;=0.005,0,I20-MIN(I20,MAX(0,$E20-SUMIFS(H20:AK20,$H$5:$AK$5,"Rem",$H$4:$AK$4,"&lt;"&amp;J$4))))</f>
        <v/>
      </c>
      <c r="K20" s="33">
        <f>M19*(1+N(Debts!$D$7)/1200)</f>
        <v/>
      </c>
      <c r="L20" s="33">
        <f>K20-MIN(N(Debts!$E$7),K20)</f>
        <v/>
      </c>
      <c r="M20" s="33">
        <f>IF(L20&lt;=0.005,0,L20-MIN(L20,MAX(0,$E20-SUMIFS(H20:AK20,$H$5:$AK$5,"Rem",$H$4:$AK$4,"&lt;"&amp;M$4))))</f>
        <v/>
      </c>
      <c r="N20" s="33">
        <f>P19*(1+N(Debts!$D$8)/1200)</f>
        <v/>
      </c>
      <c r="O20" s="33">
        <f>N20-MIN(N(Debts!$E$8),N20)</f>
        <v/>
      </c>
      <c r="P20" s="33">
        <f>IF(O20&lt;=0.005,0,O20-MIN(O20,MAX(0,$E20-SUMIFS(H20:AK20,$H$5:$AK$5,"Rem",$H$4:$AK$4,"&lt;"&amp;P$4))))</f>
        <v/>
      </c>
      <c r="Q20" s="33">
        <f>S19*(1+N(Debts!$D$9)/1200)</f>
        <v/>
      </c>
      <c r="R20" s="33">
        <f>Q20-MIN(N(Debts!$E$9),Q20)</f>
        <v/>
      </c>
      <c r="S20" s="33">
        <f>IF(R20&lt;=0.005,0,R20-MIN(R20,MAX(0,$E20-SUMIFS(H20:AK20,$H$5:$AK$5,"Rem",$H$4:$AK$4,"&lt;"&amp;S$4))))</f>
        <v/>
      </c>
      <c r="T20" s="33">
        <f>V19*(1+N(Debts!$D$10)/1200)</f>
        <v/>
      </c>
      <c r="U20" s="33">
        <f>T20-MIN(N(Debts!$E$10),T20)</f>
        <v/>
      </c>
      <c r="V20" s="33">
        <f>IF(U20&lt;=0.005,0,U20-MIN(U20,MAX(0,$E20-SUMIFS(H20:AK20,$H$5:$AK$5,"Rem",$H$4:$AK$4,"&lt;"&amp;V$4))))</f>
        <v/>
      </c>
      <c r="W20" s="33">
        <f>Y19*(1+N(Debts!$D$11)/1200)</f>
        <v/>
      </c>
      <c r="X20" s="33">
        <f>W20-MIN(N(Debts!$E$11),W20)</f>
        <v/>
      </c>
      <c r="Y20" s="33">
        <f>IF(X20&lt;=0.005,0,X20-MIN(X20,MAX(0,$E20-SUMIFS(H20:AK20,$H$5:$AK$5,"Rem",$H$4:$AK$4,"&lt;"&amp;Y$4))))</f>
        <v/>
      </c>
      <c r="Z20" s="33">
        <f>AB19*(1+N(Debts!$D$12)/1200)</f>
        <v/>
      </c>
      <c r="AA20" s="33">
        <f>Z20-MIN(N(Debts!$E$12),Z20)</f>
        <v/>
      </c>
      <c r="AB20" s="33">
        <f>IF(AA20&lt;=0.005,0,AA20-MIN(AA20,MAX(0,$E20-SUMIFS(H20:AK20,$H$5:$AK$5,"Rem",$H$4:$AK$4,"&lt;"&amp;AB$4))))</f>
        <v/>
      </c>
      <c r="AC20" s="33">
        <f>AE19*(1+N(Debts!$D$13)/1200)</f>
        <v/>
      </c>
      <c r="AD20" s="33">
        <f>AC20-MIN(N(Debts!$E$13),AC20)</f>
        <v/>
      </c>
      <c r="AE20" s="33">
        <f>IF(AD20&lt;=0.005,0,AD20-MIN(AD20,MAX(0,$E20-SUMIFS(H20:AK20,$H$5:$AK$5,"Rem",$H$4:$AK$4,"&lt;"&amp;AE$4))))</f>
        <v/>
      </c>
      <c r="AF20" s="33">
        <f>AH19*(1+N(Debts!$D$14)/1200)</f>
        <v/>
      </c>
      <c r="AG20" s="33">
        <f>AF20-MIN(N(Debts!$E$14),AF20)</f>
        <v/>
      </c>
      <c r="AH20" s="33">
        <f>IF(AG20&lt;=0.005,0,AG20-MIN(AG20,MAX(0,$E20-SUMIFS(H20:AK20,$H$5:$AK$5,"Rem",$H$4:$AK$4,"&lt;"&amp;AH$4))))</f>
        <v/>
      </c>
      <c r="AI20" s="33">
        <f>AK19*(1+N(Debts!$D$15)/1200)</f>
        <v/>
      </c>
      <c r="AJ20" s="33">
        <f>AI20-MIN(N(Debts!$E$15),AI20)</f>
        <v/>
      </c>
      <c r="AK20" s="33">
        <f>IF(AJ20&lt;=0.005,0,AJ20-MIN(AJ20,MAX(0,$E20-SUMIFS(H20:AK20,$H$5:$AK$5,"Rem",$H$4:$AK$4,"&lt;"&amp;AK$4))))</f>
        <v/>
      </c>
      <c r="AL20" s="1" t="n"/>
    </row>
    <row r="21">
      <c r="A21" s="1" t="n"/>
      <c r="B21" s="1" t="n">
        <v>14</v>
      </c>
      <c r="C21" s="34">
        <f>EDATE(Debts!$J$13,B21-1)</f>
        <v/>
      </c>
      <c r="D21" s="33">
        <f>IF(G20&lt;=0.005,0,Debts!$E$16+Debts!$J$7)</f>
        <v/>
      </c>
      <c r="E21" s="33">
        <f>MAX(0,D21-(SUMIF($H$5:$AK$5,"Due",H21:AK21)-SUMIF($H$5:$AK$5,"Rem",H21:AK21)))</f>
        <v/>
      </c>
      <c r="F21" s="33">
        <f>SUMIF($H$5:$AK$5,"Due",H21:AK21)-SUMIF($H$5:$AK$5,"Bal",H20:AK20)</f>
        <v/>
      </c>
      <c r="G21" s="33">
        <f>SUMIF($H$5:$AK$5,"Bal",H21:AK21)</f>
        <v/>
      </c>
      <c r="H21" s="33">
        <f>J20*(1+N(Debts!$D$6)/1200)</f>
        <v/>
      </c>
      <c r="I21" s="33">
        <f>H21-MIN(N(Debts!$E$6),H21)</f>
        <v/>
      </c>
      <c r="J21" s="33">
        <f>IF(I21&lt;=0.005,0,I21-MIN(I21,MAX(0,$E21-SUMIFS(H21:AK21,$H$5:$AK$5,"Rem",$H$4:$AK$4,"&lt;"&amp;J$4))))</f>
        <v/>
      </c>
      <c r="K21" s="33">
        <f>M20*(1+N(Debts!$D$7)/1200)</f>
        <v/>
      </c>
      <c r="L21" s="33">
        <f>K21-MIN(N(Debts!$E$7),K21)</f>
        <v/>
      </c>
      <c r="M21" s="33">
        <f>IF(L21&lt;=0.005,0,L21-MIN(L21,MAX(0,$E21-SUMIFS(H21:AK21,$H$5:$AK$5,"Rem",$H$4:$AK$4,"&lt;"&amp;M$4))))</f>
        <v/>
      </c>
      <c r="N21" s="33">
        <f>P20*(1+N(Debts!$D$8)/1200)</f>
        <v/>
      </c>
      <c r="O21" s="33">
        <f>N21-MIN(N(Debts!$E$8),N21)</f>
        <v/>
      </c>
      <c r="P21" s="33">
        <f>IF(O21&lt;=0.005,0,O21-MIN(O21,MAX(0,$E21-SUMIFS(H21:AK21,$H$5:$AK$5,"Rem",$H$4:$AK$4,"&lt;"&amp;P$4))))</f>
        <v/>
      </c>
      <c r="Q21" s="33">
        <f>S20*(1+N(Debts!$D$9)/1200)</f>
        <v/>
      </c>
      <c r="R21" s="33">
        <f>Q21-MIN(N(Debts!$E$9),Q21)</f>
        <v/>
      </c>
      <c r="S21" s="33">
        <f>IF(R21&lt;=0.005,0,R21-MIN(R21,MAX(0,$E21-SUMIFS(H21:AK21,$H$5:$AK$5,"Rem",$H$4:$AK$4,"&lt;"&amp;S$4))))</f>
        <v/>
      </c>
      <c r="T21" s="33">
        <f>V20*(1+N(Debts!$D$10)/1200)</f>
        <v/>
      </c>
      <c r="U21" s="33">
        <f>T21-MIN(N(Debts!$E$10),T21)</f>
        <v/>
      </c>
      <c r="V21" s="33">
        <f>IF(U21&lt;=0.005,0,U21-MIN(U21,MAX(0,$E21-SUMIFS(H21:AK21,$H$5:$AK$5,"Rem",$H$4:$AK$4,"&lt;"&amp;V$4))))</f>
        <v/>
      </c>
      <c r="W21" s="33">
        <f>Y20*(1+N(Debts!$D$11)/1200)</f>
        <v/>
      </c>
      <c r="X21" s="33">
        <f>W21-MIN(N(Debts!$E$11),W21)</f>
        <v/>
      </c>
      <c r="Y21" s="33">
        <f>IF(X21&lt;=0.005,0,X21-MIN(X21,MAX(0,$E21-SUMIFS(H21:AK21,$H$5:$AK$5,"Rem",$H$4:$AK$4,"&lt;"&amp;Y$4))))</f>
        <v/>
      </c>
      <c r="Z21" s="33">
        <f>AB20*(1+N(Debts!$D$12)/1200)</f>
        <v/>
      </c>
      <c r="AA21" s="33">
        <f>Z21-MIN(N(Debts!$E$12),Z21)</f>
        <v/>
      </c>
      <c r="AB21" s="33">
        <f>IF(AA21&lt;=0.005,0,AA21-MIN(AA21,MAX(0,$E21-SUMIFS(H21:AK21,$H$5:$AK$5,"Rem",$H$4:$AK$4,"&lt;"&amp;AB$4))))</f>
        <v/>
      </c>
      <c r="AC21" s="33">
        <f>AE20*(1+N(Debts!$D$13)/1200)</f>
        <v/>
      </c>
      <c r="AD21" s="33">
        <f>AC21-MIN(N(Debts!$E$13),AC21)</f>
        <v/>
      </c>
      <c r="AE21" s="33">
        <f>IF(AD21&lt;=0.005,0,AD21-MIN(AD21,MAX(0,$E21-SUMIFS(H21:AK21,$H$5:$AK$5,"Rem",$H$4:$AK$4,"&lt;"&amp;AE$4))))</f>
        <v/>
      </c>
      <c r="AF21" s="33">
        <f>AH20*(1+N(Debts!$D$14)/1200)</f>
        <v/>
      </c>
      <c r="AG21" s="33">
        <f>AF21-MIN(N(Debts!$E$14),AF21)</f>
        <v/>
      </c>
      <c r="AH21" s="33">
        <f>IF(AG21&lt;=0.005,0,AG21-MIN(AG21,MAX(0,$E21-SUMIFS(H21:AK21,$H$5:$AK$5,"Rem",$H$4:$AK$4,"&lt;"&amp;AH$4))))</f>
        <v/>
      </c>
      <c r="AI21" s="33">
        <f>AK20*(1+N(Debts!$D$15)/1200)</f>
        <v/>
      </c>
      <c r="AJ21" s="33">
        <f>AI21-MIN(N(Debts!$E$15),AI21)</f>
        <v/>
      </c>
      <c r="AK21" s="33">
        <f>IF(AJ21&lt;=0.005,0,AJ21-MIN(AJ21,MAX(0,$E21-SUMIFS(H21:AK21,$H$5:$AK$5,"Rem",$H$4:$AK$4,"&lt;"&amp;AK$4))))</f>
        <v/>
      </c>
      <c r="AL21" s="1" t="n"/>
    </row>
    <row r="22">
      <c r="A22" s="1" t="n"/>
      <c r="B22" s="1" t="n">
        <v>15</v>
      </c>
      <c r="C22" s="34">
        <f>EDATE(Debts!$J$13,B22-1)</f>
        <v/>
      </c>
      <c r="D22" s="33">
        <f>IF(G21&lt;=0.005,0,Debts!$E$16+Debts!$J$7)</f>
        <v/>
      </c>
      <c r="E22" s="33">
        <f>MAX(0,D22-(SUMIF($H$5:$AK$5,"Due",H22:AK22)-SUMIF($H$5:$AK$5,"Rem",H22:AK22)))</f>
        <v/>
      </c>
      <c r="F22" s="33">
        <f>SUMIF($H$5:$AK$5,"Due",H22:AK22)-SUMIF($H$5:$AK$5,"Bal",H21:AK21)</f>
        <v/>
      </c>
      <c r="G22" s="33">
        <f>SUMIF($H$5:$AK$5,"Bal",H22:AK22)</f>
        <v/>
      </c>
      <c r="H22" s="33">
        <f>J21*(1+N(Debts!$D$6)/1200)</f>
        <v/>
      </c>
      <c r="I22" s="33">
        <f>H22-MIN(N(Debts!$E$6),H22)</f>
        <v/>
      </c>
      <c r="J22" s="33">
        <f>IF(I22&lt;=0.005,0,I22-MIN(I22,MAX(0,$E22-SUMIFS(H22:AK22,$H$5:$AK$5,"Rem",$H$4:$AK$4,"&lt;"&amp;J$4))))</f>
        <v/>
      </c>
      <c r="K22" s="33">
        <f>M21*(1+N(Debts!$D$7)/1200)</f>
        <v/>
      </c>
      <c r="L22" s="33">
        <f>K22-MIN(N(Debts!$E$7),K22)</f>
        <v/>
      </c>
      <c r="M22" s="33">
        <f>IF(L22&lt;=0.005,0,L22-MIN(L22,MAX(0,$E22-SUMIFS(H22:AK22,$H$5:$AK$5,"Rem",$H$4:$AK$4,"&lt;"&amp;M$4))))</f>
        <v/>
      </c>
      <c r="N22" s="33">
        <f>P21*(1+N(Debts!$D$8)/1200)</f>
        <v/>
      </c>
      <c r="O22" s="33">
        <f>N22-MIN(N(Debts!$E$8),N22)</f>
        <v/>
      </c>
      <c r="P22" s="33">
        <f>IF(O22&lt;=0.005,0,O22-MIN(O22,MAX(0,$E22-SUMIFS(H22:AK22,$H$5:$AK$5,"Rem",$H$4:$AK$4,"&lt;"&amp;P$4))))</f>
        <v/>
      </c>
      <c r="Q22" s="33">
        <f>S21*(1+N(Debts!$D$9)/1200)</f>
        <v/>
      </c>
      <c r="R22" s="33">
        <f>Q22-MIN(N(Debts!$E$9),Q22)</f>
        <v/>
      </c>
      <c r="S22" s="33">
        <f>IF(R22&lt;=0.005,0,R22-MIN(R22,MAX(0,$E22-SUMIFS(H22:AK22,$H$5:$AK$5,"Rem",$H$4:$AK$4,"&lt;"&amp;S$4))))</f>
        <v/>
      </c>
      <c r="T22" s="33">
        <f>V21*(1+N(Debts!$D$10)/1200)</f>
        <v/>
      </c>
      <c r="U22" s="33">
        <f>T22-MIN(N(Debts!$E$10),T22)</f>
        <v/>
      </c>
      <c r="V22" s="33">
        <f>IF(U22&lt;=0.005,0,U22-MIN(U22,MAX(0,$E22-SUMIFS(H22:AK22,$H$5:$AK$5,"Rem",$H$4:$AK$4,"&lt;"&amp;V$4))))</f>
        <v/>
      </c>
      <c r="W22" s="33">
        <f>Y21*(1+N(Debts!$D$11)/1200)</f>
        <v/>
      </c>
      <c r="X22" s="33">
        <f>W22-MIN(N(Debts!$E$11),W22)</f>
        <v/>
      </c>
      <c r="Y22" s="33">
        <f>IF(X22&lt;=0.005,0,X22-MIN(X22,MAX(0,$E22-SUMIFS(H22:AK22,$H$5:$AK$5,"Rem",$H$4:$AK$4,"&lt;"&amp;Y$4))))</f>
        <v/>
      </c>
      <c r="Z22" s="33">
        <f>AB21*(1+N(Debts!$D$12)/1200)</f>
        <v/>
      </c>
      <c r="AA22" s="33">
        <f>Z22-MIN(N(Debts!$E$12),Z22)</f>
        <v/>
      </c>
      <c r="AB22" s="33">
        <f>IF(AA22&lt;=0.005,0,AA22-MIN(AA22,MAX(0,$E22-SUMIFS(H22:AK22,$H$5:$AK$5,"Rem",$H$4:$AK$4,"&lt;"&amp;AB$4))))</f>
        <v/>
      </c>
      <c r="AC22" s="33">
        <f>AE21*(1+N(Debts!$D$13)/1200)</f>
        <v/>
      </c>
      <c r="AD22" s="33">
        <f>AC22-MIN(N(Debts!$E$13),AC22)</f>
        <v/>
      </c>
      <c r="AE22" s="33">
        <f>IF(AD22&lt;=0.005,0,AD22-MIN(AD22,MAX(0,$E22-SUMIFS(H22:AK22,$H$5:$AK$5,"Rem",$H$4:$AK$4,"&lt;"&amp;AE$4))))</f>
        <v/>
      </c>
      <c r="AF22" s="33">
        <f>AH21*(1+N(Debts!$D$14)/1200)</f>
        <v/>
      </c>
      <c r="AG22" s="33">
        <f>AF22-MIN(N(Debts!$E$14),AF22)</f>
        <v/>
      </c>
      <c r="AH22" s="33">
        <f>IF(AG22&lt;=0.005,0,AG22-MIN(AG22,MAX(0,$E22-SUMIFS(H22:AK22,$H$5:$AK$5,"Rem",$H$4:$AK$4,"&lt;"&amp;AH$4))))</f>
        <v/>
      </c>
      <c r="AI22" s="33">
        <f>AK21*(1+N(Debts!$D$15)/1200)</f>
        <v/>
      </c>
      <c r="AJ22" s="33">
        <f>AI22-MIN(N(Debts!$E$15),AI22)</f>
        <v/>
      </c>
      <c r="AK22" s="33">
        <f>IF(AJ22&lt;=0.005,0,AJ22-MIN(AJ22,MAX(0,$E22-SUMIFS(H22:AK22,$H$5:$AK$5,"Rem",$H$4:$AK$4,"&lt;"&amp;AK$4))))</f>
        <v/>
      </c>
      <c r="AL22" s="1" t="n"/>
    </row>
    <row r="23">
      <c r="A23" s="1" t="n"/>
      <c r="B23" s="1" t="n">
        <v>16</v>
      </c>
      <c r="C23" s="34">
        <f>EDATE(Debts!$J$13,B23-1)</f>
        <v/>
      </c>
      <c r="D23" s="33">
        <f>IF(G22&lt;=0.005,0,Debts!$E$16+Debts!$J$7)</f>
        <v/>
      </c>
      <c r="E23" s="33">
        <f>MAX(0,D23-(SUMIF($H$5:$AK$5,"Due",H23:AK23)-SUMIF($H$5:$AK$5,"Rem",H23:AK23)))</f>
        <v/>
      </c>
      <c r="F23" s="33">
        <f>SUMIF($H$5:$AK$5,"Due",H23:AK23)-SUMIF($H$5:$AK$5,"Bal",H22:AK22)</f>
        <v/>
      </c>
      <c r="G23" s="33">
        <f>SUMIF($H$5:$AK$5,"Bal",H23:AK23)</f>
        <v/>
      </c>
      <c r="H23" s="33">
        <f>J22*(1+N(Debts!$D$6)/1200)</f>
        <v/>
      </c>
      <c r="I23" s="33">
        <f>H23-MIN(N(Debts!$E$6),H23)</f>
        <v/>
      </c>
      <c r="J23" s="33">
        <f>IF(I23&lt;=0.005,0,I23-MIN(I23,MAX(0,$E23-SUMIFS(H23:AK23,$H$5:$AK$5,"Rem",$H$4:$AK$4,"&lt;"&amp;J$4))))</f>
        <v/>
      </c>
      <c r="K23" s="33">
        <f>M22*(1+N(Debts!$D$7)/1200)</f>
        <v/>
      </c>
      <c r="L23" s="33">
        <f>K23-MIN(N(Debts!$E$7),K23)</f>
        <v/>
      </c>
      <c r="M23" s="33">
        <f>IF(L23&lt;=0.005,0,L23-MIN(L23,MAX(0,$E23-SUMIFS(H23:AK23,$H$5:$AK$5,"Rem",$H$4:$AK$4,"&lt;"&amp;M$4))))</f>
        <v/>
      </c>
      <c r="N23" s="33">
        <f>P22*(1+N(Debts!$D$8)/1200)</f>
        <v/>
      </c>
      <c r="O23" s="33">
        <f>N23-MIN(N(Debts!$E$8),N23)</f>
        <v/>
      </c>
      <c r="P23" s="33">
        <f>IF(O23&lt;=0.005,0,O23-MIN(O23,MAX(0,$E23-SUMIFS(H23:AK23,$H$5:$AK$5,"Rem",$H$4:$AK$4,"&lt;"&amp;P$4))))</f>
        <v/>
      </c>
      <c r="Q23" s="33">
        <f>S22*(1+N(Debts!$D$9)/1200)</f>
        <v/>
      </c>
      <c r="R23" s="33">
        <f>Q23-MIN(N(Debts!$E$9),Q23)</f>
        <v/>
      </c>
      <c r="S23" s="33">
        <f>IF(R23&lt;=0.005,0,R23-MIN(R23,MAX(0,$E23-SUMIFS(H23:AK23,$H$5:$AK$5,"Rem",$H$4:$AK$4,"&lt;"&amp;S$4))))</f>
        <v/>
      </c>
      <c r="T23" s="33">
        <f>V22*(1+N(Debts!$D$10)/1200)</f>
        <v/>
      </c>
      <c r="U23" s="33">
        <f>T23-MIN(N(Debts!$E$10),T23)</f>
        <v/>
      </c>
      <c r="V23" s="33">
        <f>IF(U23&lt;=0.005,0,U23-MIN(U23,MAX(0,$E23-SUMIFS(H23:AK23,$H$5:$AK$5,"Rem",$H$4:$AK$4,"&lt;"&amp;V$4))))</f>
        <v/>
      </c>
      <c r="W23" s="33">
        <f>Y22*(1+N(Debts!$D$11)/1200)</f>
        <v/>
      </c>
      <c r="X23" s="33">
        <f>W23-MIN(N(Debts!$E$11),W23)</f>
        <v/>
      </c>
      <c r="Y23" s="33">
        <f>IF(X23&lt;=0.005,0,X23-MIN(X23,MAX(0,$E23-SUMIFS(H23:AK23,$H$5:$AK$5,"Rem",$H$4:$AK$4,"&lt;"&amp;Y$4))))</f>
        <v/>
      </c>
      <c r="Z23" s="33">
        <f>AB22*(1+N(Debts!$D$12)/1200)</f>
        <v/>
      </c>
      <c r="AA23" s="33">
        <f>Z23-MIN(N(Debts!$E$12),Z23)</f>
        <v/>
      </c>
      <c r="AB23" s="33">
        <f>IF(AA23&lt;=0.005,0,AA23-MIN(AA23,MAX(0,$E23-SUMIFS(H23:AK23,$H$5:$AK$5,"Rem",$H$4:$AK$4,"&lt;"&amp;AB$4))))</f>
        <v/>
      </c>
      <c r="AC23" s="33">
        <f>AE22*(1+N(Debts!$D$13)/1200)</f>
        <v/>
      </c>
      <c r="AD23" s="33">
        <f>AC23-MIN(N(Debts!$E$13),AC23)</f>
        <v/>
      </c>
      <c r="AE23" s="33">
        <f>IF(AD23&lt;=0.005,0,AD23-MIN(AD23,MAX(0,$E23-SUMIFS(H23:AK23,$H$5:$AK$5,"Rem",$H$4:$AK$4,"&lt;"&amp;AE$4))))</f>
        <v/>
      </c>
      <c r="AF23" s="33">
        <f>AH22*(1+N(Debts!$D$14)/1200)</f>
        <v/>
      </c>
      <c r="AG23" s="33">
        <f>AF23-MIN(N(Debts!$E$14),AF23)</f>
        <v/>
      </c>
      <c r="AH23" s="33">
        <f>IF(AG23&lt;=0.005,0,AG23-MIN(AG23,MAX(0,$E23-SUMIFS(H23:AK23,$H$5:$AK$5,"Rem",$H$4:$AK$4,"&lt;"&amp;AH$4))))</f>
        <v/>
      </c>
      <c r="AI23" s="33">
        <f>AK22*(1+N(Debts!$D$15)/1200)</f>
        <v/>
      </c>
      <c r="AJ23" s="33">
        <f>AI23-MIN(N(Debts!$E$15),AI23)</f>
        <v/>
      </c>
      <c r="AK23" s="33">
        <f>IF(AJ23&lt;=0.005,0,AJ23-MIN(AJ23,MAX(0,$E23-SUMIFS(H23:AK23,$H$5:$AK$5,"Rem",$H$4:$AK$4,"&lt;"&amp;AK$4))))</f>
        <v/>
      </c>
      <c r="AL23" s="1" t="n"/>
    </row>
    <row r="24">
      <c r="A24" s="1" t="n"/>
      <c r="B24" s="1" t="n">
        <v>17</v>
      </c>
      <c r="C24" s="34">
        <f>EDATE(Debts!$J$13,B24-1)</f>
        <v/>
      </c>
      <c r="D24" s="33">
        <f>IF(G23&lt;=0.005,0,Debts!$E$16+Debts!$J$7)</f>
        <v/>
      </c>
      <c r="E24" s="33">
        <f>MAX(0,D24-(SUMIF($H$5:$AK$5,"Due",H24:AK24)-SUMIF($H$5:$AK$5,"Rem",H24:AK24)))</f>
        <v/>
      </c>
      <c r="F24" s="33">
        <f>SUMIF($H$5:$AK$5,"Due",H24:AK24)-SUMIF($H$5:$AK$5,"Bal",H23:AK23)</f>
        <v/>
      </c>
      <c r="G24" s="33">
        <f>SUMIF($H$5:$AK$5,"Bal",H24:AK24)</f>
        <v/>
      </c>
      <c r="H24" s="33">
        <f>J23*(1+N(Debts!$D$6)/1200)</f>
        <v/>
      </c>
      <c r="I24" s="33">
        <f>H24-MIN(N(Debts!$E$6),H24)</f>
        <v/>
      </c>
      <c r="J24" s="33">
        <f>IF(I24&lt;=0.005,0,I24-MIN(I24,MAX(0,$E24-SUMIFS(H24:AK24,$H$5:$AK$5,"Rem",$H$4:$AK$4,"&lt;"&amp;J$4))))</f>
        <v/>
      </c>
      <c r="K24" s="33">
        <f>M23*(1+N(Debts!$D$7)/1200)</f>
        <v/>
      </c>
      <c r="L24" s="33">
        <f>K24-MIN(N(Debts!$E$7),K24)</f>
        <v/>
      </c>
      <c r="M24" s="33">
        <f>IF(L24&lt;=0.005,0,L24-MIN(L24,MAX(0,$E24-SUMIFS(H24:AK24,$H$5:$AK$5,"Rem",$H$4:$AK$4,"&lt;"&amp;M$4))))</f>
        <v/>
      </c>
      <c r="N24" s="33">
        <f>P23*(1+N(Debts!$D$8)/1200)</f>
        <v/>
      </c>
      <c r="O24" s="33">
        <f>N24-MIN(N(Debts!$E$8),N24)</f>
        <v/>
      </c>
      <c r="P24" s="33">
        <f>IF(O24&lt;=0.005,0,O24-MIN(O24,MAX(0,$E24-SUMIFS(H24:AK24,$H$5:$AK$5,"Rem",$H$4:$AK$4,"&lt;"&amp;P$4))))</f>
        <v/>
      </c>
      <c r="Q24" s="33">
        <f>S23*(1+N(Debts!$D$9)/1200)</f>
        <v/>
      </c>
      <c r="R24" s="33">
        <f>Q24-MIN(N(Debts!$E$9),Q24)</f>
        <v/>
      </c>
      <c r="S24" s="33">
        <f>IF(R24&lt;=0.005,0,R24-MIN(R24,MAX(0,$E24-SUMIFS(H24:AK24,$H$5:$AK$5,"Rem",$H$4:$AK$4,"&lt;"&amp;S$4))))</f>
        <v/>
      </c>
      <c r="T24" s="33">
        <f>V23*(1+N(Debts!$D$10)/1200)</f>
        <v/>
      </c>
      <c r="U24" s="33">
        <f>T24-MIN(N(Debts!$E$10),T24)</f>
        <v/>
      </c>
      <c r="V24" s="33">
        <f>IF(U24&lt;=0.005,0,U24-MIN(U24,MAX(0,$E24-SUMIFS(H24:AK24,$H$5:$AK$5,"Rem",$H$4:$AK$4,"&lt;"&amp;V$4))))</f>
        <v/>
      </c>
      <c r="W24" s="33">
        <f>Y23*(1+N(Debts!$D$11)/1200)</f>
        <v/>
      </c>
      <c r="X24" s="33">
        <f>W24-MIN(N(Debts!$E$11),W24)</f>
        <v/>
      </c>
      <c r="Y24" s="33">
        <f>IF(X24&lt;=0.005,0,X24-MIN(X24,MAX(0,$E24-SUMIFS(H24:AK24,$H$5:$AK$5,"Rem",$H$4:$AK$4,"&lt;"&amp;Y$4))))</f>
        <v/>
      </c>
      <c r="Z24" s="33">
        <f>AB23*(1+N(Debts!$D$12)/1200)</f>
        <v/>
      </c>
      <c r="AA24" s="33">
        <f>Z24-MIN(N(Debts!$E$12),Z24)</f>
        <v/>
      </c>
      <c r="AB24" s="33">
        <f>IF(AA24&lt;=0.005,0,AA24-MIN(AA24,MAX(0,$E24-SUMIFS(H24:AK24,$H$5:$AK$5,"Rem",$H$4:$AK$4,"&lt;"&amp;AB$4))))</f>
        <v/>
      </c>
      <c r="AC24" s="33">
        <f>AE23*(1+N(Debts!$D$13)/1200)</f>
        <v/>
      </c>
      <c r="AD24" s="33">
        <f>AC24-MIN(N(Debts!$E$13),AC24)</f>
        <v/>
      </c>
      <c r="AE24" s="33">
        <f>IF(AD24&lt;=0.005,0,AD24-MIN(AD24,MAX(0,$E24-SUMIFS(H24:AK24,$H$5:$AK$5,"Rem",$H$4:$AK$4,"&lt;"&amp;AE$4))))</f>
        <v/>
      </c>
      <c r="AF24" s="33">
        <f>AH23*(1+N(Debts!$D$14)/1200)</f>
        <v/>
      </c>
      <c r="AG24" s="33">
        <f>AF24-MIN(N(Debts!$E$14),AF24)</f>
        <v/>
      </c>
      <c r="AH24" s="33">
        <f>IF(AG24&lt;=0.005,0,AG24-MIN(AG24,MAX(0,$E24-SUMIFS(H24:AK24,$H$5:$AK$5,"Rem",$H$4:$AK$4,"&lt;"&amp;AH$4))))</f>
        <v/>
      </c>
      <c r="AI24" s="33">
        <f>AK23*(1+N(Debts!$D$15)/1200)</f>
        <v/>
      </c>
      <c r="AJ24" s="33">
        <f>AI24-MIN(N(Debts!$E$15),AI24)</f>
        <v/>
      </c>
      <c r="AK24" s="33">
        <f>IF(AJ24&lt;=0.005,0,AJ24-MIN(AJ24,MAX(0,$E24-SUMIFS(H24:AK24,$H$5:$AK$5,"Rem",$H$4:$AK$4,"&lt;"&amp;AK$4))))</f>
        <v/>
      </c>
      <c r="AL24" s="1" t="n"/>
    </row>
    <row r="25">
      <c r="A25" s="1" t="n"/>
      <c r="B25" s="1" t="n">
        <v>18</v>
      </c>
      <c r="C25" s="34">
        <f>EDATE(Debts!$J$13,B25-1)</f>
        <v/>
      </c>
      <c r="D25" s="33">
        <f>IF(G24&lt;=0.005,0,Debts!$E$16+Debts!$J$7)</f>
        <v/>
      </c>
      <c r="E25" s="33">
        <f>MAX(0,D25-(SUMIF($H$5:$AK$5,"Due",H25:AK25)-SUMIF($H$5:$AK$5,"Rem",H25:AK25)))</f>
        <v/>
      </c>
      <c r="F25" s="33">
        <f>SUMIF($H$5:$AK$5,"Due",H25:AK25)-SUMIF($H$5:$AK$5,"Bal",H24:AK24)</f>
        <v/>
      </c>
      <c r="G25" s="33">
        <f>SUMIF($H$5:$AK$5,"Bal",H25:AK25)</f>
        <v/>
      </c>
      <c r="H25" s="33">
        <f>J24*(1+N(Debts!$D$6)/1200)</f>
        <v/>
      </c>
      <c r="I25" s="33">
        <f>H25-MIN(N(Debts!$E$6),H25)</f>
        <v/>
      </c>
      <c r="J25" s="33">
        <f>IF(I25&lt;=0.005,0,I25-MIN(I25,MAX(0,$E25-SUMIFS(H25:AK25,$H$5:$AK$5,"Rem",$H$4:$AK$4,"&lt;"&amp;J$4))))</f>
        <v/>
      </c>
      <c r="K25" s="33">
        <f>M24*(1+N(Debts!$D$7)/1200)</f>
        <v/>
      </c>
      <c r="L25" s="33">
        <f>K25-MIN(N(Debts!$E$7),K25)</f>
        <v/>
      </c>
      <c r="M25" s="33">
        <f>IF(L25&lt;=0.005,0,L25-MIN(L25,MAX(0,$E25-SUMIFS(H25:AK25,$H$5:$AK$5,"Rem",$H$4:$AK$4,"&lt;"&amp;M$4))))</f>
        <v/>
      </c>
      <c r="N25" s="33">
        <f>P24*(1+N(Debts!$D$8)/1200)</f>
        <v/>
      </c>
      <c r="O25" s="33">
        <f>N25-MIN(N(Debts!$E$8),N25)</f>
        <v/>
      </c>
      <c r="P25" s="33">
        <f>IF(O25&lt;=0.005,0,O25-MIN(O25,MAX(0,$E25-SUMIFS(H25:AK25,$H$5:$AK$5,"Rem",$H$4:$AK$4,"&lt;"&amp;P$4))))</f>
        <v/>
      </c>
      <c r="Q25" s="33">
        <f>S24*(1+N(Debts!$D$9)/1200)</f>
        <v/>
      </c>
      <c r="R25" s="33">
        <f>Q25-MIN(N(Debts!$E$9),Q25)</f>
        <v/>
      </c>
      <c r="S25" s="33">
        <f>IF(R25&lt;=0.005,0,R25-MIN(R25,MAX(0,$E25-SUMIFS(H25:AK25,$H$5:$AK$5,"Rem",$H$4:$AK$4,"&lt;"&amp;S$4))))</f>
        <v/>
      </c>
      <c r="T25" s="33">
        <f>V24*(1+N(Debts!$D$10)/1200)</f>
        <v/>
      </c>
      <c r="U25" s="33">
        <f>T25-MIN(N(Debts!$E$10),T25)</f>
        <v/>
      </c>
      <c r="V25" s="33">
        <f>IF(U25&lt;=0.005,0,U25-MIN(U25,MAX(0,$E25-SUMIFS(H25:AK25,$H$5:$AK$5,"Rem",$H$4:$AK$4,"&lt;"&amp;V$4))))</f>
        <v/>
      </c>
      <c r="W25" s="33">
        <f>Y24*(1+N(Debts!$D$11)/1200)</f>
        <v/>
      </c>
      <c r="X25" s="33">
        <f>W25-MIN(N(Debts!$E$11),W25)</f>
        <v/>
      </c>
      <c r="Y25" s="33">
        <f>IF(X25&lt;=0.005,0,X25-MIN(X25,MAX(0,$E25-SUMIFS(H25:AK25,$H$5:$AK$5,"Rem",$H$4:$AK$4,"&lt;"&amp;Y$4))))</f>
        <v/>
      </c>
      <c r="Z25" s="33">
        <f>AB24*(1+N(Debts!$D$12)/1200)</f>
        <v/>
      </c>
      <c r="AA25" s="33">
        <f>Z25-MIN(N(Debts!$E$12),Z25)</f>
        <v/>
      </c>
      <c r="AB25" s="33">
        <f>IF(AA25&lt;=0.005,0,AA25-MIN(AA25,MAX(0,$E25-SUMIFS(H25:AK25,$H$5:$AK$5,"Rem",$H$4:$AK$4,"&lt;"&amp;AB$4))))</f>
        <v/>
      </c>
      <c r="AC25" s="33">
        <f>AE24*(1+N(Debts!$D$13)/1200)</f>
        <v/>
      </c>
      <c r="AD25" s="33">
        <f>AC25-MIN(N(Debts!$E$13),AC25)</f>
        <v/>
      </c>
      <c r="AE25" s="33">
        <f>IF(AD25&lt;=0.005,0,AD25-MIN(AD25,MAX(0,$E25-SUMIFS(H25:AK25,$H$5:$AK$5,"Rem",$H$4:$AK$4,"&lt;"&amp;AE$4))))</f>
        <v/>
      </c>
      <c r="AF25" s="33">
        <f>AH24*(1+N(Debts!$D$14)/1200)</f>
        <v/>
      </c>
      <c r="AG25" s="33">
        <f>AF25-MIN(N(Debts!$E$14),AF25)</f>
        <v/>
      </c>
      <c r="AH25" s="33">
        <f>IF(AG25&lt;=0.005,0,AG25-MIN(AG25,MAX(0,$E25-SUMIFS(H25:AK25,$H$5:$AK$5,"Rem",$H$4:$AK$4,"&lt;"&amp;AH$4))))</f>
        <v/>
      </c>
      <c r="AI25" s="33">
        <f>AK24*(1+N(Debts!$D$15)/1200)</f>
        <v/>
      </c>
      <c r="AJ25" s="33">
        <f>AI25-MIN(N(Debts!$E$15),AI25)</f>
        <v/>
      </c>
      <c r="AK25" s="33">
        <f>IF(AJ25&lt;=0.005,0,AJ25-MIN(AJ25,MAX(0,$E25-SUMIFS(H25:AK25,$H$5:$AK$5,"Rem",$H$4:$AK$4,"&lt;"&amp;AK$4))))</f>
        <v/>
      </c>
      <c r="AL25" s="1" t="n"/>
    </row>
    <row r="26">
      <c r="A26" s="1" t="n"/>
      <c r="B26" s="1" t="n">
        <v>19</v>
      </c>
      <c r="C26" s="34">
        <f>EDATE(Debts!$J$13,B26-1)</f>
        <v/>
      </c>
      <c r="D26" s="33">
        <f>IF(G25&lt;=0.005,0,Debts!$E$16+Debts!$J$7)</f>
        <v/>
      </c>
      <c r="E26" s="33">
        <f>MAX(0,D26-(SUMIF($H$5:$AK$5,"Due",H26:AK26)-SUMIF($H$5:$AK$5,"Rem",H26:AK26)))</f>
        <v/>
      </c>
      <c r="F26" s="33">
        <f>SUMIF($H$5:$AK$5,"Due",H26:AK26)-SUMIF($H$5:$AK$5,"Bal",H25:AK25)</f>
        <v/>
      </c>
      <c r="G26" s="33">
        <f>SUMIF($H$5:$AK$5,"Bal",H26:AK26)</f>
        <v/>
      </c>
      <c r="H26" s="33">
        <f>J25*(1+N(Debts!$D$6)/1200)</f>
        <v/>
      </c>
      <c r="I26" s="33">
        <f>H26-MIN(N(Debts!$E$6),H26)</f>
        <v/>
      </c>
      <c r="J26" s="33">
        <f>IF(I26&lt;=0.005,0,I26-MIN(I26,MAX(0,$E26-SUMIFS(H26:AK26,$H$5:$AK$5,"Rem",$H$4:$AK$4,"&lt;"&amp;J$4))))</f>
        <v/>
      </c>
      <c r="K26" s="33">
        <f>M25*(1+N(Debts!$D$7)/1200)</f>
        <v/>
      </c>
      <c r="L26" s="33">
        <f>K26-MIN(N(Debts!$E$7),K26)</f>
        <v/>
      </c>
      <c r="M26" s="33">
        <f>IF(L26&lt;=0.005,0,L26-MIN(L26,MAX(0,$E26-SUMIFS(H26:AK26,$H$5:$AK$5,"Rem",$H$4:$AK$4,"&lt;"&amp;M$4))))</f>
        <v/>
      </c>
      <c r="N26" s="33">
        <f>P25*(1+N(Debts!$D$8)/1200)</f>
        <v/>
      </c>
      <c r="O26" s="33">
        <f>N26-MIN(N(Debts!$E$8),N26)</f>
        <v/>
      </c>
      <c r="P26" s="33">
        <f>IF(O26&lt;=0.005,0,O26-MIN(O26,MAX(0,$E26-SUMIFS(H26:AK26,$H$5:$AK$5,"Rem",$H$4:$AK$4,"&lt;"&amp;P$4))))</f>
        <v/>
      </c>
      <c r="Q26" s="33">
        <f>S25*(1+N(Debts!$D$9)/1200)</f>
        <v/>
      </c>
      <c r="R26" s="33">
        <f>Q26-MIN(N(Debts!$E$9),Q26)</f>
        <v/>
      </c>
      <c r="S26" s="33">
        <f>IF(R26&lt;=0.005,0,R26-MIN(R26,MAX(0,$E26-SUMIFS(H26:AK26,$H$5:$AK$5,"Rem",$H$4:$AK$4,"&lt;"&amp;S$4))))</f>
        <v/>
      </c>
      <c r="T26" s="33">
        <f>V25*(1+N(Debts!$D$10)/1200)</f>
        <v/>
      </c>
      <c r="U26" s="33">
        <f>T26-MIN(N(Debts!$E$10),T26)</f>
        <v/>
      </c>
      <c r="V26" s="33">
        <f>IF(U26&lt;=0.005,0,U26-MIN(U26,MAX(0,$E26-SUMIFS(H26:AK26,$H$5:$AK$5,"Rem",$H$4:$AK$4,"&lt;"&amp;V$4))))</f>
        <v/>
      </c>
      <c r="W26" s="33">
        <f>Y25*(1+N(Debts!$D$11)/1200)</f>
        <v/>
      </c>
      <c r="X26" s="33">
        <f>W26-MIN(N(Debts!$E$11),W26)</f>
        <v/>
      </c>
      <c r="Y26" s="33">
        <f>IF(X26&lt;=0.005,0,X26-MIN(X26,MAX(0,$E26-SUMIFS(H26:AK26,$H$5:$AK$5,"Rem",$H$4:$AK$4,"&lt;"&amp;Y$4))))</f>
        <v/>
      </c>
      <c r="Z26" s="33">
        <f>AB25*(1+N(Debts!$D$12)/1200)</f>
        <v/>
      </c>
      <c r="AA26" s="33">
        <f>Z26-MIN(N(Debts!$E$12),Z26)</f>
        <v/>
      </c>
      <c r="AB26" s="33">
        <f>IF(AA26&lt;=0.005,0,AA26-MIN(AA26,MAX(0,$E26-SUMIFS(H26:AK26,$H$5:$AK$5,"Rem",$H$4:$AK$4,"&lt;"&amp;AB$4))))</f>
        <v/>
      </c>
      <c r="AC26" s="33">
        <f>AE25*(1+N(Debts!$D$13)/1200)</f>
        <v/>
      </c>
      <c r="AD26" s="33">
        <f>AC26-MIN(N(Debts!$E$13),AC26)</f>
        <v/>
      </c>
      <c r="AE26" s="33">
        <f>IF(AD26&lt;=0.005,0,AD26-MIN(AD26,MAX(0,$E26-SUMIFS(H26:AK26,$H$5:$AK$5,"Rem",$H$4:$AK$4,"&lt;"&amp;AE$4))))</f>
        <v/>
      </c>
      <c r="AF26" s="33">
        <f>AH25*(1+N(Debts!$D$14)/1200)</f>
        <v/>
      </c>
      <c r="AG26" s="33">
        <f>AF26-MIN(N(Debts!$E$14),AF26)</f>
        <v/>
      </c>
      <c r="AH26" s="33">
        <f>IF(AG26&lt;=0.005,0,AG26-MIN(AG26,MAX(0,$E26-SUMIFS(H26:AK26,$H$5:$AK$5,"Rem",$H$4:$AK$4,"&lt;"&amp;AH$4))))</f>
        <v/>
      </c>
      <c r="AI26" s="33">
        <f>AK25*(1+N(Debts!$D$15)/1200)</f>
        <v/>
      </c>
      <c r="AJ26" s="33">
        <f>AI26-MIN(N(Debts!$E$15),AI26)</f>
        <v/>
      </c>
      <c r="AK26" s="33">
        <f>IF(AJ26&lt;=0.005,0,AJ26-MIN(AJ26,MAX(0,$E26-SUMIFS(H26:AK26,$H$5:$AK$5,"Rem",$H$4:$AK$4,"&lt;"&amp;AK$4))))</f>
        <v/>
      </c>
      <c r="AL26" s="1" t="n"/>
    </row>
    <row r="27">
      <c r="A27" s="1" t="n"/>
      <c r="B27" s="1" t="n">
        <v>20</v>
      </c>
      <c r="C27" s="34">
        <f>EDATE(Debts!$J$13,B27-1)</f>
        <v/>
      </c>
      <c r="D27" s="33">
        <f>IF(G26&lt;=0.005,0,Debts!$E$16+Debts!$J$7)</f>
        <v/>
      </c>
      <c r="E27" s="33">
        <f>MAX(0,D27-(SUMIF($H$5:$AK$5,"Due",H27:AK27)-SUMIF($H$5:$AK$5,"Rem",H27:AK27)))</f>
        <v/>
      </c>
      <c r="F27" s="33">
        <f>SUMIF($H$5:$AK$5,"Due",H27:AK27)-SUMIF($H$5:$AK$5,"Bal",H26:AK26)</f>
        <v/>
      </c>
      <c r="G27" s="33">
        <f>SUMIF($H$5:$AK$5,"Bal",H27:AK27)</f>
        <v/>
      </c>
      <c r="H27" s="33">
        <f>J26*(1+N(Debts!$D$6)/1200)</f>
        <v/>
      </c>
      <c r="I27" s="33">
        <f>H27-MIN(N(Debts!$E$6),H27)</f>
        <v/>
      </c>
      <c r="J27" s="33">
        <f>IF(I27&lt;=0.005,0,I27-MIN(I27,MAX(0,$E27-SUMIFS(H27:AK27,$H$5:$AK$5,"Rem",$H$4:$AK$4,"&lt;"&amp;J$4))))</f>
        <v/>
      </c>
      <c r="K27" s="33">
        <f>M26*(1+N(Debts!$D$7)/1200)</f>
        <v/>
      </c>
      <c r="L27" s="33">
        <f>K27-MIN(N(Debts!$E$7),K27)</f>
        <v/>
      </c>
      <c r="M27" s="33">
        <f>IF(L27&lt;=0.005,0,L27-MIN(L27,MAX(0,$E27-SUMIFS(H27:AK27,$H$5:$AK$5,"Rem",$H$4:$AK$4,"&lt;"&amp;M$4))))</f>
        <v/>
      </c>
      <c r="N27" s="33">
        <f>P26*(1+N(Debts!$D$8)/1200)</f>
        <v/>
      </c>
      <c r="O27" s="33">
        <f>N27-MIN(N(Debts!$E$8),N27)</f>
        <v/>
      </c>
      <c r="P27" s="33">
        <f>IF(O27&lt;=0.005,0,O27-MIN(O27,MAX(0,$E27-SUMIFS(H27:AK27,$H$5:$AK$5,"Rem",$H$4:$AK$4,"&lt;"&amp;P$4))))</f>
        <v/>
      </c>
      <c r="Q27" s="33">
        <f>S26*(1+N(Debts!$D$9)/1200)</f>
        <v/>
      </c>
      <c r="R27" s="33">
        <f>Q27-MIN(N(Debts!$E$9),Q27)</f>
        <v/>
      </c>
      <c r="S27" s="33">
        <f>IF(R27&lt;=0.005,0,R27-MIN(R27,MAX(0,$E27-SUMIFS(H27:AK27,$H$5:$AK$5,"Rem",$H$4:$AK$4,"&lt;"&amp;S$4))))</f>
        <v/>
      </c>
      <c r="T27" s="33">
        <f>V26*(1+N(Debts!$D$10)/1200)</f>
        <v/>
      </c>
      <c r="U27" s="33">
        <f>T27-MIN(N(Debts!$E$10),T27)</f>
        <v/>
      </c>
      <c r="V27" s="33">
        <f>IF(U27&lt;=0.005,0,U27-MIN(U27,MAX(0,$E27-SUMIFS(H27:AK27,$H$5:$AK$5,"Rem",$H$4:$AK$4,"&lt;"&amp;V$4))))</f>
        <v/>
      </c>
      <c r="W27" s="33">
        <f>Y26*(1+N(Debts!$D$11)/1200)</f>
        <v/>
      </c>
      <c r="X27" s="33">
        <f>W27-MIN(N(Debts!$E$11),W27)</f>
        <v/>
      </c>
      <c r="Y27" s="33">
        <f>IF(X27&lt;=0.005,0,X27-MIN(X27,MAX(0,$E27-SUMIFS(H27:AK27,$H$5:$AK$5,"Rem",$H$4:$AK$4,"&lt;"&amp;Y$4))))</f>
        <v/>
      </c>
      <c r="Z27" s="33">
        <f>AB26*(1+N(Debts!$D$12)/1200)</f>
        <v/>
      </c>
      <c r="AA27" s="33">
        <f>Z27-MIN(N(Debts!$E$12),Z27)</f>
        <v/>
      </c>
      <c r="AB27" s="33">
        <f>IF(AA27&lt;=0.005,0,AA27-MIN(AA27,MAX(0,$E27-SUMIFS(H27:AK27,$H$5:$AK$5,"Rem",$H$4:$AK$4,"&lt;"&amp;AB$4))))</f>
        <v/>
      </c>
      <c r="AC27" s="33">
        <f>AE26*(1+N(Debts!$D$13)/1200)</f>
        <v/>
      </c>
      <c r="AD27" s="33">
        <f>AC27-MIN(N(Debts!$E$13),AC27)</f>
        <v/>
      </c>
      <c r="AE27" s="33">
        <f>IF(AD27&lt;=0.005,0,AD27-MIN(AD27,MAX(0,$E27-SUMIFS(H27:AK27,$H$5:$AK$5,"Rem",$H$4:$AK$4,"&lt;"&amp;AE$4))))</f>
        <v/>
      </c>
      <c r="AF27" s="33">
        <f>AH26*(1+N(Debts!$D$14)/1200)</f>
        <v/>
      </c>
      <c r="AG27" s="33">
        <f>AF27-MIN(N(Debts!$E$14),AF27)</f>
        <v/>
      </c>
      <c r="AH27" s="33">
        <f>IF(AG27&lt;=0.005,0,AG27-MIN(AG27,MAX(0,$E27-SUMIFS(H27:AK27,$H$5:$AK$5,"Rem",$H$4:$AK$4,"&lt;"&amp;AH$4))))</f>
        <v/>
      </c>
      <c r="AI27" s="33">
        <f>AK26*(1+N(Debts!$D$15)/1200)</f>
        <v/>
      </c>
      <c r="AJ27" s="33">
        <f>AI27-MIN(N(Debts!$E$15),AI27)</f>
        <v/>
      </c>
      <c r="AK27" s="33">
        <f>IF(AJ27&lt;=0.005,0,AJ27-MIN(AJ27,MAX(0,$E27-SUMIFS(H27:AK27,$H$5:$AK$5,"Rem",$H$4:$AK$4,"&lt;"&amp;AK$4))))</f>
        <v/>
      </c>
      <c r="AL27" s="1" t="n"/>
    </row>
    <row r="28">
      <c r="A28" s="1" t="n"/>
      <c r="B28" s="1" t="n">
        <v>21</v>
      </c>
      <c r="C28" s="34">
        <f>EDATE(Debts!$J$13,B28-1)</f>
        <v/>
      </c>
      <c r="D28" s="33">
        <f>IF(G27&lt;=0.005,0,Debts!$E$16+Debts!$J$7)</f>
        <v/>
      </c>
      <c r="E28" s="33">
        <f>MAX(0,D28-(SUMIF($H$5:$AK$5,"Due",H28:AK28)-SUMIF($H$5:$AK$5,"Rem",H28:AK28)))</f>
        <v/>
      </c>
      <c r="F28" s="33">
        <f>SUMIF($H$5:$AK$5,"Due",H28:AK28)-SUMIF($H$5:$AK$5,"Bal",H27:AK27)</f>
        <v/>
      </c>
      <c r="G28" s="33">
        <f>SUMIF($H$5:$AK$5,"Bal",H28:AK28)</f>
        <v/>
      </c>
      <c r="H28" s="33">
        <f>J27*(1+N(Debts!$D$6)/1200)</f>
        <v/>
      </c>
      <c r="I28" s="33">
        <f>H28-MIN(N(Debts!$E$6),H28)</f>
        <v/>
      </c>
      <c r="J28" s="33">
        <f>IF(I28&lt;=0.005,0,I28-MIN(I28,MAX(0,$E28-SUMIFS(H28:AK28,$H$5:$AK$5,"Rem",$H$4:$AK$4,"&lt;"&amp;J$4))))</f>
        <v/>
      </c>
      <c r="K28" s="33">
        <f>M27*(1+N(Debts!$D$7)/1200)</f>
        <v/>
      </c>
      <c r="L28" s="33">
        <f>K28-MIN(N(Debts!$E$7),K28)</f>
        <v/>
      </c>
      <c r="M28" s="33">
        <f>IF(L28&lt;=0.005,0,L28-MIN(L28,MAX(0,$E28-SUMIFS(H28:AK28,$H$5:$AK$5,"Rem",$H$4:$AK$4,"&lt;"&amp;M$4))))</f>
        <v/>
      </c>
      <c r="N28" s="33">
        <f>P27*(1+N(Debts!$D$8)/1200)</f>
        <v/>
      </c>
      <c r="O28" s="33">
        <f>N28-MIN(N(Debts!$E$8),N28)</f>
        <v/>
      </c>
      <c r="P28" s="33">
        <f>IF(O28&lt;=0.005,0,O28-MIN(O28,MAX(0,$E28-SUMIFS(H28:AK28,$H$5:$AK$5,"Rem",$H$4:$AK$4,"&lt;"&amp;P$4))))</f>
        <v/>
      </c>
      <c r="Q28" s="33">
        <f>S27*(1+N(Debts!$D$9)/1200)</f>
        <v/>
      </c>
      <c r="R28" s="33">
        <f>Q28-MIN(N(Debts!$E$9),Q28)</f>
        <v/>
      </c>
      <c r="S28" s="33">
        <f>IF(R28&lt;=0.005,0,R28-MIN(R28,MAX(0,$E28-SUMIFS(H28:AK28,$H$5:$AK$5,"Rem",$H$4:$AK$4,"&lt;"&amp;S$4))))</f>
        <v/>
      </c>
      <c r="T28" s="33">
        <f>V27*(1+N(Debts!$D$10)/1200)</f>
        <v/>
      </c>
      <c r="U28" s="33">
        <f>T28-MIN(N(Debts!$E$10),T28)</f>
        <v/>
      </c>
      <c r="V28" s="33">
        <f>IF(U28&lt;=0.005,0,U28-MIN(U28,MAX(0,$E28-SUMIFS(H28:AK28,$H$5:$AK$5,"Rem",$H$4:$AK$4,"&lt;"&amp;V$4))))</f>
        <v/>
      </c>
      <c r="W28" s="33">
        <f>Y27*(1+N(Debts!$D$11)/1200)</f>
        <v/>
      </c>
      <c r="X28" s="33">
        <f>W28-MIN(N(Debts!$E$11),W28)</f>
        <v/>
      </c>
      <c r="Y28" s="33">
        <f>IF(X28&lt;=0.005,0,X28-MIN(X28,MAX(0,$E28-SUMIFS(H28:AK28,$H$5:$AK$5,"Rem",$H$4:$AK$4,"&lt;"&amp;Y$4))))</f>
        <v/>
      </c>
      <c r="Z28" s="33">
        <f>AB27*(1+N(Debts!$D$12)/1200)</f>
        <v/>
      </c>
      <c r="AA28" s="33">
        <f>Z28-MIN(N(Debts!$E$12),Z28)</f>
        <v/>
      </c>
      <c r="AB28" s="33">
        <f>IF(AA28&lt;=0.005,0,AA28-MIN(AA28,MAX(0,$E28-SUMIFS(H28:AK28,$H$5:$AK$5,"Rem",$H$4:$AK$4,"&lt;"&amp;AB$4))))</f>
        <v/>
      </c>
      <c r="AC28" s="33">
        <f>AE27*(1+N(Debts!$D$13)/1200)</f>
        <v/>
      </c>
      <c r="AD28" s="33">
        <f>AC28-MIN(N(Debts!$E$13),AC28)</f>
        <v/>
      </c>
      <c r="AE28" s="33">
        <f>IF(AD28&lt;=0.005,0,AD28-MIN(AD28,MAX(0,$E28-SUMIFS(H28:AK28,$H$5:$AK$5,"Rem",$H$4:$AK$4,"&lt;"&amp;AE$4))))</f>
        <v/>
      </c>
      <c r="AF28" s="33">
        <f>AH27*(1+N(Debts!$D$14)/1200)</f>
        <v/>
      </c>
      <c r="AG28" s="33">
        <f>AF28-MIN(N(Debts!$E$14),AF28)</f>
        <v/>
      </c>
      <c r="AH28" s="33">
        <f>IF(AG28&lt;=0.005,0,AG28-MIN(AG28,MAX(0,$E28-SUMIFS(H28:AK28,$H$5:$AK$5,"Rem",$H$4:$AK$4,"&lt;"&amp;AH$4))))</f>
        <v/>
      </c>
      <c r="AI28" s="33">
        <f>AK27*(1+N(Debts!$D$15)/1200)</f>
        <v/>
      </c>
      <c r="AJ28" s="33">
        <f>AI28-MIN(N(Debts!$E$15),AI28)</f>
        <v/>
      </c>
      <c r="AK28" s="33">
        <f>IF(AJ28&lt;=0.005,0,AJ28-MIN(AJ28,MAX(0,$E28-SUMIFS(H28:AK28,$H$5:$AK$5,"Rem",$H$4:$AK$4,"&lt;"&amp;AK$4))))</f>
        <v/>
      </c>
      <c r="AL28" s="1" t="n"/>
    </row>
    <row r="29">
      <c r="A29" s="1" t="n"/>
      <c r="B29" s="1" t="n">
        <v>22</v>
      </c>
      <c r="C29" s="34">
        <f>EDATE(Debts!$J$13,B29-1)</f>
        <v/>
      </c>
      <c r="D29" s="33">
        <f>IF(G28&lt;=0.005,0,Debts!$E$16+Debts!$J$7)</f>
        <v/>
      </c>
      <c r="E29" s="33">
        <f>MAX(0,D29-(SUMIF($H$5:$AK$5,"Due",H29:AK29)-SUMIF($H$5:$AK$5,"Rem",H29:AK29)))</f>
        <v/>
      </c>
      <c r="F29" s="33">
        <f>SUMIF($H$5:$AK$5,"Due",H29:AK29)-SUMIF($H$5:$AK$5,"Bal",H28:AK28)</f>
        <v/>
      </c>
      <c r="G29" s="33">
        <f>SUMIF($H$5:$AK$5,"Bal",H29:AK29)</f>
        <v/>
      </c>
      <c r="H29" s="33">
        <f>J28*(1+N(Debts!$D$6)/1200)</f>
        <v/>
      </c>
      <c r="I29" s="33">
        <f>H29-MIN(N(Debts!$E$6),H29)</f>
        <v/>
      </c>
      <c r="J29" s="33">
        <f>IF(I29&lt;=0.005,0,I29-MIN(I29,MAX(0,$E29-SUMIFS(H29:AK29,$H$5:$AK$5,"Rem",$H$4:$AK$4,"&lt;"&amp;J$4))))</f>
        <v/>
      </c>
      <c r="K29" s="33">
        <f>M28*(1+N(Debts!$D$7)/1200)</f>
        <v/>
      </c>
      <c r="L29" s="33">
        <f>K29-MIN(N(Debts!$E$7),K29)</f>
        <v/>
      </c>
      <c r="M29" s="33">
        <f>IF(L29&lt;=0.005,0,L29-MIN(L29,MAX(0,$E29-SUMIFS(H29:AK29,$H$5:$AK$5,"Rem",$H$4:$AK$4,"&lt;"&amp;M$4))))</f>
        <v/>
      </c>
      <c r="N29" s="33">
        <f>P28*(1+N(Debts!$D$8)/1200)</f>
        <v/>
      </c>
      <c r="O29" s="33">
        <f>N29-MIN(N(Debts!$E$8),N29)</f>
        <v/>
      </c>
      <c r="P29" s="33">
        <f>IF(O29&lt;=0.005,0,O29-MIN(O29,MAX(0,$E29-SUMIFS(H29:AK29,$H$5:$AK$5,"Rem",$H$4:$AK$4,"&lt;"&amp;P$4))))</f>
        <v/>
      </c>
      <c r="Q29" s="33">
        <f>S28*(1+N(Debts!$D$9)/1200)</f>
        <v/>
      </c>
      <c r="R29" s="33">
        <f>Q29-MIN(N(Debts!$E$9),Q29)</f>
        <v/>
      </c>
      <c r="S29" s="33">
        <f>IF(R29&lt;=0.005,0,R29-MIN(R29,MAX(0,$E29-SUMIFS(H29:AK29,$H$5:$AK$5,"Rem",$H$4:$AK$4,"&lt;"&amp;S$4))))</f>
        <v/>
      </c>
      <c r="T29" s="33">
        <f>V28*(1+N(Debts!$D$10)/1200)</f>
        <v/>
      </c>
      <c r="U29" s="33">
        <f>T29-MIN(N(Debts!$E$10),T29)</f>
        <v/>
      </c>
      <c r="V29" s="33">
        <f>IF(U29&lt;=0.005,0,U29-MIN(U29,MAX(0,$E29-SUMIFS(H29:AK29,$H$5:$AK$5,"Rem",$H$4:$AK$4,"&lt;"&amp;V$4))))</f>
        <v/>
      </c>
      <c r="W29" s="33">
        <f>Y28*(1+N(Debts!$D$11)/1200)</f>
        <v/>
      </c>
      <c r="X29" s="33">
        <f>W29-MIN(N(Debts!$E$11),W29)</f>
        <v/>
      </c>
      <c r="Y29" s="33">
        <f>IF(X29&lt;=0.005,0,X29-MIN(X29,MAX(0,$E29-SUMIFS(H29:AK29,$H$5:$AK$5,"Rem",$H$4:$AK$4,"&lt;"&amp;Y$4))))</f>
        <v/>
      </c>
      <c r="Z29" s="33">
        <f>AB28*(1+N(Debts!$D$12)/1200)</f>
        <v/>
      </c>
      <c r="AA29" s="33">
        <f>Z29-MIN(N(Debts!$E$12),Z29)</f>
        <v/>
      </c>
      <c r="AB29" s="33">
        <f>IF(AA29&lt;=0.005,0,AA29-MIN(AA29,MAX(0,$E29-SUMIFS(H29:AK29,$H$5:$AK$5,"Rem",$H$4:$AK$4,"&lt;"&amp;AB$4))))</f>
        <v/>
      </c>
      <c r="AC29" s="33">
        <f>AE28*(1+N(Debts!$D$13)/1200)</f>
        <v/>
      </c>
      <c r="AD29" s="33">
        <f>AC29-MIN(N(Debts!$E$13),AC29)</f>
        <v/>
      </c>
      <c r="AE29" s="33">
        <f>IF(AD29&lt;=0.005,0,AD29-MIN(AD29,MAX(0,$E29-SUMIFS(H29:AK29,$H$5:$AK$5,"Rem",$H$4:$AK$4,"&lt;"&amp;AE$4))))</f>
        <v/>
      </c>
      <c r="AF29" s="33">
        <f>AH28*(1+N(Debts!$D$14)/1200)</f>
        <v/>
      </c>
      <c r="AG29" s="33">
        <f>AF29-MIN(N(Debts!$E$14),AF29)</f>
        <v/>
      </c>
      <c r="AH29" s="33">
        <f>IF(AG29&lt;=0.005,0,AG29-MIN(AG29,MAX(0,$E29-SUMIFS(H29:AK29,$H$5:$AK$5,"Rem",$H$4:$AK$4,"&lt;"&amp;AH$4))))</f>
        <v/>
      </c>
      <c r="AI29" s="33">
        <f>AK28*(1+N(Debts!$D$15)/1200)</f>
        <v/>
      </c>
      <c r="AJ29" s="33">
        <f>AI29-MIN(N(Debts!$E$15),AI29)</f>
        <v/>
      </c>
      <c r="AK29" s="33">
        <f>IF(AJ29&lt;=0.005,0,AJ29-MIN(AJ29,MAX(0,$E29-SUMIFS(H29:AK29,$H$5:$AK$5,"Rem",$H$4:$AK$4,"&lt;"&amp;AK$4))))</f>
        <v/>
      </c>
      <c r="AL29" s="1" t="n"/>
    </row>
    <row r="30">
      <c r="A30" s="1" t="n"/>
      <c r="B30" s="1" t="n">
        <v>23</v>
      </c>
      <c r="C30" s="34">
        <f>EDATE(Debts!$J$13,B30-1)</f>
        <v/>
      </c>
      <c r="D30" s="33">
        <f>IF(G29&lt;=0.005,0,Debts!$E$16+Debts!$J$7)</f>
        <v/>
      </c>
      <c r="E30" s="33">
        <f>MAX(0,D30-(SUMIF($H$5:$AK$5,"Due",H30:AK30)-SUMIF($H$5:$AK$5,"Rem",H30:AK30)))</f>
        <v/>
      </c>
      <c r="F30" s="33">
        <f>SUMIF($H$5:$AK$5,"Due",H30:AK30)-SUMIF($H$5:$AK$5,"Bal",H29:AK29)</f>
        <v/>
      </c>
      <c r="G30" s="33">
        <f>SUMIF($H$5:$AK$5,"Bal",H30:AK30)</f>
        <v/>
      </c>
      <c r="H30" s="33">
        <f>J29*(1+N(Debts!$D$6)/1200)</f>
        <v/>
      </c>
      <c r="I30" s="33">
        <f>H30-MIN(N(Debts!$E$6),H30)</f>
        <v/>
      </c>
      <c r="J30" s="33">
        <f>IF(I30&lt;=0.005,0,I30-MIN(I30,MAX(0,$E30-SUMIFS(H30:AK30,$H$5:$AK$5,"Rem",$H$4:$AK$4,"&lt;"&amp;J$4))))</f>
        <v/>
      </c>
      <c r="K30" s="33">
        <f>M29*(1+N(Debts!$D$7)/1200)</f>
        <v/>
      </c>
      <c r="L30" s="33">
        <f>K30-MIN(N(Debts!$E$7),K30)</f>
        <v/>
      </c>
      <c r="M30" s="33">
        <f>IF(L30&lt;=0.005,0,L30-MIN(L30,MAX(0,$E30-SUMIFS(H30:AK30,$H$5:$AK$5,"Rem",$H$4:$AK$4,"&lt;"&amp;M$4))))</f>
        <v/>
      </c>
      <c r="N30" s="33">
        <f>P29*(1+N(Debts!$D$8)/1200)</f>
        <v/>
      </c>
      <c r="O30" s="33">
        <f>N30-MIN(N(Debts!$E$8),N30)</f>
        <v/>
      </c>
      <c r="P30" s="33">
        <f>IF(O30&lt;=0.005,0,O30-MIN(O30,MAX(0,$E30-SUMIFS(H30:AK30,$H$5:$AK$5,"Rem",$H$4:$AK$4,"&lt;"&amp;P$4))))</f>
        <v/>
      </c>
      <c r="Q30" s="33">
        <f>S29*(1+N(Debts!$D$9)/1200)</f>
        <v/>
      </c>
      <c r="R30" s="33">
        <f>Q30-MIN(N(Debts!$E$9),Q30)</f>
        <v/>
      </c>
      <c r="S30" s="33">
        <f>IF(R30&lt;=0.005,0,R30-MIN(R30,MAX(0,$E30-SUMIFS(H30:AK30,$H$5:$AK$5,"Rem",$H$4:$AK$4,"&lt;"&amp;S$4))))</f>
        <v/>
      </c>
      <c r="T30" s="33">
        <f>V29*(1+N(Debts!$D$10)/1200)</f>
        <v/>
      </c>
      <c r="U30" s="33">
        <f>T30-MIN(N(Debts!$E$10),T30)</f>
        <v/>
      </c>
      <c r="V30" s="33">
        <f>IF(U30&lt;=0.005,0,U30-MIN(U30,MAX(0,$E30-SUMIFS(H30:AK30,$H$5:$AK$5,"Rem",$H$4:$AK$4,"&lt;"&amp;V$4))))</f>
        <v/>
      </c>
      <c r="W30" s="33">
        <f>Y29*(1+N(Debts!$D$11)/1200)</f>
        <v/>
      </c>
      <c r="X30" s="33">
        <f>W30-MIN(N(Debts!$E$11),W30)</f>
        <v/>
      </c>
      <c r="Y30" s="33">
        <f>IF(X30&lt;=0.005,0,X30-MIN(X30,MAX(0,$E30-SUMIFS(H30:AK30,$H$5:$AK$5,"Rem",$H$4:$AK$4,"&lt;"&amp;Y$4))))</f>
        <v/>
      </c>
      <c r="Z30" s="33">
        <f>AB29*(1+N(Debts!$D$12)/1200)</f>
        <v/>
      </c>
      <c r="AA30" s="33">
        <f>Z30-MIN(N(Debts!$E$12),Z30)</f>
        <v/>
      </c>
      <c r="AB30" s="33">
        <f>IF(AA30&lt;=0.005,0,AA30-MIN(AA30,MAX(0,$E30-SUMIFS(H30:AK30,$H$5:$AK$5,"Rem",$H$4:$AK$4,"&lt;"&amp;AB$4))))</f>
        <v/>
      </c>
      <c r="AC30" s="33">
        <f>AE29*(1+N(Debts!$D$13)/1200)</f>
        <v/>
      </c>
      <c r="AD30" s="33">
        <f>AC30-MIN(N(Debts!$E$13),AC30)</f>
        <v/>
      </c>
      <c r="AE30" s="33">
        <f>IF(AD30&lt;=0.005,0,AD30-MIN(AD30,MAX(0,$E30-SUMIFS(H30:AK30,$H$5:$AK$5,"Rem",$H$4:$AK$4,"&lt;"&amp;AE$4))))</f>
        <v/>
      </c>
      <c r="AF30" s="33">
        <f>AH29*(1+N(Debts!$D$14)/1200)</f>
        <v/>
      </c>
      <c r="AG30" s="33">
        <f>AF30-MIN(N(Debts!$E$14),AF30)</f>
        <v/>
      </c>
      <c r="AH30" s="33">
        <f>IF(AG30&lt;=0.005,0,AG30-MIN(AG30,MAX(0,$E30-SUMIFS(H30:AK30,$H$5:$AK$5,"Rem",$H$4:$AK$4,"&lt;"&amp;AH$4))))</f>
        <v/>
      </c>
      <c r="AI30" s="33">
        <f>AK29*(1+N(Debts!$D$15)/1200)</f>
        <v/>
      </c>
      <c r="AJ30" s="33">
        <f>AI30-MIN(N(Debts!$E$15),AI30)</f>
        <v/>
      </c>
      <c r="AK30" s="33">
        <f>IF(AJ30&lt;=0.005,0,AJ30-MIN(AJ30,MAX(0,$E30-SUMIFS(H30:AK30,$H$5:$AK$5,"Rem",$H$4:$AK$4,"&lt;"&amp;AK$4))))</f>
        <v/>
      </c>
      <c r="AL30" s="1" t="n"/>
    </row>
    <row r="31">
      <c r="A31" s="1" t="n"/>
      <c r="B31" s="1" t="n">
        <v>24</v>
      </c>
      <c r="C31" s="34">
        <f>EDATE(Debts!$J$13,B31-1)</f>
        <v/>
      </c>
      <c r="D31" s="33">
        <f>IF(G30&lt;=0.005,0,Debts!$E$16+Debts!$J$7)</f>
        <v/>
      </c>
      <c r="E31" s="33">
        <f>MAX(0,D31-(SUMIF($H$5:$AK$5,"Due",H31:AK31)-SUMIF($H$5:$AK$5,"Rem",H31:AK31)))</f>
        <v/>
      </c>
      <c r="F31" s="33">
        <f>SUMIF($H$5:$AK$5,"Due",H31:AK31)-SUMIF($H$5:$AK$5,"Bal",H30:AK30)</f>
        <v/>
      </c>
      <c r="G31" s="33">
        <f>SUMIF($H$5:$AK$5,"Bal",H31:AK31)</f>
        <v/>
      </c>
      <c r="H31" s="33">
        <f>J30*(1+N(Debts!$D$6)/1200)</f>
        <v/>
      </c>
      <c r="I31" s="33">
        <f>H31-MIN(N(Debts!$E$6),H31)</f>
        <v/>
      </c>
      <c r="J31" s="33">
        <f>IF(I31&lt;=0.005,0,I31-MIN(I31,MAX(0,$E31-SUMIFS(H31:AK31,$H$5:$AK$5,"Rem",$H$4:$AK$4,"&lt;"&amp;J$4))))</f>
        <v/>
      </c>
      <c r="K31" s="33">
        <f>M30*(1+N(Debts!$D$7)/1200)</f>
        <v/>
      </c>
      <c r="L31" s="33">
        <f>K31-MIN(N(Debts!$E$7),K31)</f>
        <v/>
      </c>
      <c r="M31" s="33">
        <f>IF(L31&lt;=0.005,0,L31-MIN(L31,MAX(0,$E31-SUMIFS(H31:AK31,$H$5:$AK$5,"Rem",$H$4:$AK$4,"&lt;"&amp;M$4))))</f>
        <v/>
      </c>
      <c r="N31" s="33">
        <f>P30*(1+N(Debts!$D$8)/1200)</f>
        <v/>
      </c>
      <c r="O31" s="33">
        <f>N31-MIN(N(Debts!$E$8),N31)</f>
        <v/>
      </c>
      <c r="P31" s="33">
        <f>IF(O31&lt;=0.005,0,O31-MIN(O31,MAX(0,$E31-SUMIFS(H31:AK31,$H$5:$AK$5,"Rem",$H$4:$AK$4,"&lt;"&amp;P$4))))</f>
        <v/>
      </c>
      <c r="Q31" s="33">
        <f>S30*(1+N(Debts!$D$9)/1200)</f>
        <v/>
      </c>
      <c r="R31" s="33">
        <f>Q31-MIN(N(Debts!$E$9),Q31)</f>
        <v/>
      </c>
      <c r="S31" s="33">
        <f>IF(R31&lt;=0.005,0,R31-MIN(R31,MAX(0,$E31-SUMIFS(H31:AK31,$H$5:$AK$5,"Rem",$H$4:$AK$4,"&lt;"&amp;S$4))))</f>
        <v/>
      </c>
      <c r="T31" s="33">
        <f>V30*(1+N(Debts!$D$10)/1200)</f>
        <v/>
      </c>
      <c r="U31" s="33">
        <f>T31-MIN(N(Debts!$E$10),T31)</f>
        <v/>
      </c>
      <c r="V31" s="33">
        <f>IF(U31&lt;=0.005,0,U31-MIN(U31,MAX(0,$E31-SUMIFS(H31:AK31,$H$5:$AK$5,"Rem",$H$4:$AK$4,"&lt;"&amp;V$4))))</f>
        <v/>
      </c>
      <c r="W31" s="33">
        <f>Y30*(1+N(Debts!$D$11)/1200)</f>
        <v/>
      </c>
      <c r="X31" s="33">
        <f>W31-MIN(N(Debts!$E$11),W31)</f>
        <v/>
      </c>
      <c r="Y31" s="33">
        <f>IF(X31&lt;=0.005,0,X31-MIN(X31,MAX(0,$E31-SUMIFS(H31:AK31,$H$5:$AK$5,"Rem",$H$4:$AK$4,"&lt;"&amp;Y$4))))</f>
        <v/>
      </c>
      <c r="Z31" s="33">
        <f>AB30*(1+N(Debts!$D$12)/1200)</f>
        <v/>
      </c>
      <c r="AA31" s="33">
        <f>Z31-MIN(N(Debts!$E$12),Z31)</f>
        <v/>
      </c>
      <c r="AB31" s="33">
        <f>IF(AA31&lt;=0.005,0,AA31-MIN(AA31,MAX(0,$E31-SUMIFS(H31:AK31,$H$5:$AK$5,"Rem",$H$4:$AK$4,"&lt;"&amp;AB$4))))</f>
        <v/>
      </c>
      <c r="AC31" s="33">
        <f>AE30*(1+N(Debts!$D$13)/1200)</f>
        <v/>
      </c>
      <c r="AD31" s="33">
        <f>AC31-MIN(N(Debts!$E$13),AC31)</f>
        <v/>
      </c>
      <c r="AE31" s="33">
        <f>IF(AD31&lt;=0.005,0,AD31-MIN(AD31,MAX(0,$E31-SUMIFS(H31:AK31,$H$5:$AK$5,"Rem",$H$4:$AK$4,"&lt;"&amp;AE$4))))</f>
        <v/>
      </c>
      <c r="AF31" s="33">
        <f>AH30*(1+N(Debts!$D$14)/1200)</f>
        <v/>
      </c>
      <c r="AG31" s="33">
        <f>AF31-MIN(N(Debts!$E$14),AF31)</f>
        <v/>
      </c>
      <c r="AH31" s="33">
        <f>IF(AG31&lt;=0.005,0,AG31-MIN(AG31,MAX(0,$E31-SUMIFS(H31:AK31,$H$5:$AK$5,"Rem",$H$4:$AK$4,"&lt;"&amp;AH$4))))</f>
        <v/>
      </c>
      <c r="AI31" s="33">
        <f>AK30*(1+N(Debts!$D$15)/1200)</f>
        <v/>
      </c>
      <c r="AJ31" s="33">
        <f>AI31-MIN(N(Debts!$E$15),AI31)</f>
        <v/>
      </c>
      <c r="AK31" s="33">
        <f>IF(AJ31&lt;=0.005,0,AJ31-MIN(AJ31,MAX(0,$E31-SUMIFS(H31:AK31,$H$5:$AK$5,"Rem",$H$4:$AK$4,"&lt;"&amp;AK$4))))</f>
        <v/>
      </c>
      <c r="AL31" s="1" t="n"/>
    </row>
    <row r="32">
      <c r="A32" s="1" t="n"/>
      <c r="B32" s="1" t="n">
        <v>25</v>
      </c>
      <c r="C32" s="34">
        <f>EDATE(Debts!$J$13,B32-1)</f>
        <v/>
      </c>
      <c r="D32" s="33">
        <f>IF(G31&lt;=0.005,0,Debts!$E$16+Debts!$J$7)</f>
        <v/>
      </c>
      <c r="E32" s="33">
        <f>MAX(0,D32-(SUMIF($H$5:$AK$5,"Due",H32:AK32)-SUMIF($H$5:$AK$5,"Rem",H32:AK32)))</f>
        <v/>
      </c>
      <c r="F32" s="33">
        <f>SUMIF($H$5:$AK$5,"Due",H32:AK32)-SUMIF($H$5:$AK$5,"Bal",H31:AK31)</f>
        <v/>
      </c>
      <c r="G32" s="33">
        <f>SUMIF($H$5:$AK$5,"Bal",H32:AK32)</f>
        <v/>
      </c>
      <c r="H32" s="33">
        <f>J31*(1+N(Debts!$D$6)/1200)</f>
        <v/>
      </c>
      <c r="I32" s="33">
        <f>H32-MIN(N(Debts!$E$6),H32)</f>
        <v/>
      </c>
      <c r="J32" s="33">
        <f>IF(I32&lt;=0.005,0,I32-MIN(I32,MAX(0,$E32-SUMIFS(H32:AK32,$H$5:$AK$5,"Rem",$H$4:$AK$4,"&lt;"&amp;J$4))))</f>
        <v/>
      </c>
      <c r="K32" s="33">
        <f>M31*(1+N(Debts!$D$7)/1200)</f>
        <v/>
      </c>
      <c r="L32" s="33">
        <f>K32-MIN(N(Debts!$E$7),K32)</f>
        <v/>
      </c>
      <c r="M32" s="33">
        <f>IF(L32&lt;=0.005,0,L32-MIN(L32,MAX(0,$E32-SUMIFS(H32:AK32,$H$5:$AK$5,"Rem",$H$4:$AK$4,"&lt;"&amp;M$4))))</f>
        <v/>
      </c>
      <c r="N32" s="33">
        <f>P31*(1+N(Debts!$D$8)/1200)</f>
        <v/>
      </c>
      <c r="O32" s="33">
        <f>N32-MIN(N(Debts!$E$8),N32)</f>
        <v/>
      </c>
      <c r="P32" s="33">
        <f>IF(O32&lt;=0.005,0,O32-MIN(O32,MAX(0,$E32-SUMIFS(H32:AK32,$H$5:$AK$5,"Rem",$H$4:$AK$4,"&lt;"&amp;P$4))))</f>
        <v/>
      </c>
      <c r="Q32" s="33">
        <f>S31*(1+N(Debts!$D$9)/1200)</f>
        <v/>
      </c>
      <c r="R32" s="33">
        <f>Q32-MIN(N(Debts!$E$9),Q32)</f>
        <v/>
      </c>
      <c r="S32" s="33">
        <f>IF(R32&lt;=0.005,0,R32-MIN(R32,MAX(0,$E32-SUMIFS(H32:AK32,$H$5:$AK$5,"Rem",$H$4:$AK$4,"&lt;"&amp;S$4))))</f>
        <v/>
      </c>
      <c r="T32" s="33">
        <f>V31*(1+N(Debts!$D$10)/1200)</f>
        <v/>
      </c>
      <c r="U32" s="33">
        <f>T32-MIN(N(Debts!$E$10),T32)</f>
        <v/>
      </c>
      <c r="V32" s="33">
        <f>IF(U32&lt;=0.005,0,U32-MIN(U32,MAX(0,$E32-SUMIFS(H32:AK32,$H$5:$AK$5,"Rem",$H$4:$AK$4,"&lt;"&amp;V$4))))</f>
        <v/>
      </c>
      <c r="W32" s="33">
        <f>Y31*(1+N(Debts!$D$11)/1200)</f>
        <v/>
      </c>
      <c r="X32" s="33">
        <f>W32-MIN(N(Debts!$E$11),W32)</f>
        <v/>
      </c>
      <c r="Y32" s="33">
        <f>IF(X32&lt;=0.005,0,X32-MIN(X32,MAX(0,$E32-SUMIFS(H32:AK32,$H$5:$AK$5,"Rem",$H$4:$AK$4,"&lt;"&amp;Y$4))))</f>
        <v/>
      </c>
      <c r="Z32" s="33">
        <f>AB31*(1+N(Debts!$D$12)/1200)</f>
        <v/>
      </c>
      <c r="AA32" s="33">
        <f>Z32-MIN(N(Debts!$E$12),Z32)</f>
        <v/>
      </c>
      <c r="AB32" s="33">
        <f>IF(AA32&lt;=0.005,0,AA32-MIN(AA32,MAX(0,$E32-SUMIFS(H32:AK32,$H$5:$AK$5,"Rem",$H$4:$AK$4,"&lt;"&amp;AB$4))))</f>
        <v/>
      </c>
      <c r="AC32" s="33">
        <f>AE31*(1+N(Debts!$D$13)/1200)</f>
        <v/>
      </c>
      <c r="AD32" s="33">
        <f>AC32-MIN(N(Debts!$E$13),AC32)</f>
        <v/>
      </c>
      <c r="AE32" s="33">
        <f>IF(AD32&lt;=0.005,0,AD32-MIN(AD32,MAX(0,$E32-SUMIFS(H32:AK32,$H$5:$AK$5,"Rem",$H$4:$AK$4,"&lt;"&amp;AE$4))))</f>
        <v/>
      </c>
      <c r="AF32" s="33">
        <f>AH31*(1+N(Debts!$D$14)/1200)</f>
        <v/>
      </c>
      <c r="AG32" s="33">
        <f>AF32-MIN(N(Debts!$E$14),AF32)</f>
        <v/>
      </c>
      <c r="AH32" s="33">
        <f>IF(AG32&lt;=0.005,0,AG32-MIN(AG32,MAX(0,$E32-SUMIFS(H32:AK32,$H$5:$AK$5,"Rem",$H$4:$AK$4,"&lt;"&amp;AH$4))))</f>
        <v/>
      </c>
      <c r="AI32" s="33">
        <f>AK31*(1+N(Debts!$D$15)/1200)</f>
        <v/>
      </c>
      <c r="AJ32" s="33">
        <f>AI32-MIN(N(Debts!$E$15),AI32)</f>
        <v/>
      </c>
      <c r="AK32" s="33">
        <f>IF(AJ32&lt;=0.005,0,AJ32-MIN(AJ32,MAX(0,$E32-SUMIFS(H32:AK32,$H$5:$AK$5,"Rem",$H$4:$AK$4,"&lt;"&amp;AK$4))))</f>
        <v/>
      </c>
      <c r="AL32" s="1" t="n"/>
    </row>
    <row r="33">
      <c r="A33" s="1" t="n"/>
      <c r="B33" s="1" t="n">
        <v>26</v>
      </c>
      <c r="C33" s="34">
        <f>EDATE(Debts!$J$13,B33-1)</f>
        <v/>
      </c>
      <c r="D33" s="33">
        <f>IF(G32&lt;=0.005,0,Debts!$E$16+Debts!$J$7)</f>
        <v/>
      </c>
      <c r="E33" s="33">
        <f>MAX(0,D33-(SUMIF($H$5:$AK$5,"Due",H33:AK33)-SUMIF($H$5:$AK$5,"Rem",H33:AK33)))</f>
        <v/>
      </c>
      <c r="F33" s="33">
        <f>SUMIF($H$5:$AK$5,"Due",H33:AK33)-SUMIF($H$5:$AK$5,"Bal",H32:AK32)</f>
        <v/>
      </c>
      <c r="G33" s="33">
        <f>SUMIF($H$5:$AK$5,"Bal",H33:AK33)</f>
        <v/>
      </c>
      <c r="H33" s="33">
        <f>J32*(1+N(Debts!$D$6)/1200)</f>
        <v/>
      </c>
      <c r="I33" s="33">
        <f>H33-MIN(N(Debts!$E$6),H33)</f>
        <v/>
      </c>
      <c r="J33" s="33">
        <f>IF(I33&lt;=0.005,0,I33-MIN(I33,MAX(0,$E33-SUMIFS(H33:AK33,$H$5:$AK$5,"Rem",$H$4:$AK$4,"&lt;"&amp;J$4))))</f>
        <v/>
      </c>
      <c r="K33" s="33">
        <f>M32*(1+N(Debts!$D$7)/1200)</f>
        <v/>
      </c>
      <c r="L33" s="33">
        <f>K33-MIN(N(Debts!$E$7),K33)</f>
        <v/>
      </c>
      <c r="M33" s="33">
        <f>IF(L33&lt;=0.005,0,L33-MIN(L33,MAX(0,$E33-SUMIFS(H33:AK33,$H$5:$AK$5,"Rem",$H$4:$AK$4,"&lt;"&amp;M$4))))</f>
        <v/>
      </c>
      <c r="N33" s="33">
        <f>P32*(1+N(Debts!$D$8)/1200)</f>
        <v/>
      </c>
      <c r="O33" s="33">
        <f>N33-MIN(N(Debts!$E$8),N33)</f>
        <v/>
      </c>
      <c r="P33" s="33">
        <f>IF(O33&lt;=0.005,0,O33-MIN(O33,MAX(0,$E33-SUMIFS(H33:AK33,$H$5:$AK$5,"Rem",$H$4:$AK$4,"&lt;"&amp;P$4))))</f>
        <v/>
      </c>
      <c r="Q33" s="33">
        <f>S32*(1+N(Debts!$D$9)/1200)</f>
        <v/>
      </c>
      <c r="R33" s="33">
        <f>Q33-MIN(N(Debts!$E$9),Q33)</f>
        <v/>
      </c>
      <c r="S33" s="33">
        <f>IF(R33&lt;=0.005,0,R33-MIN(R33,MAX(0,$E33-SUMIFS(H33:AK33,$H$5:$AK$5,"Rem",$H$4:$AK$4,"&lt;"&amp;S$4))))</f>
        <v/>
      </c>
      <c r="T33" s="33">
        <f>V32*(1+N(Debts!$D$10)/1200)</f>
        <v/>
      </c>
      <c r="U33" s="33">
        <f>T33-MIN(N(Debts!$E$10),T33)</f>
        <v/>
      </c>
      <c r="V33" s="33">
        <f>IF(U33&lt;=0.005,0,U33-MIN(U33,MAX(0,$E33-SUMIFS(H33:AK33,$H$5:$AK$5,"Rem",$H$4:$AK$4,"&lt;"&amp;V$4))))</f>
        <v/>
      </c>
      <c r="W33" s="33">
        <f>Y32*(1+N(Debts!$D$11)/1200)</f>
        <v/>
      </c>
      <c r="X33" s="33">
        <f>W33-MIN(N(Debts!$E$11),W33)</f>
        <v/>
      </c>
      <c r="Y33" s="33">
        <f>IF(X33&lt;=0.005,0,X33-MIN(X33,MAX(0,$E33-SUMIFS(H33:AK33,$H$5:$AK$5,"Rem",$H$4:$AK$4,"&lt;"&amp;Y$4))))</f>
        <v/>
      </c>
      <c r="Z33" s="33">
        <f>AB32*(1+N(Debts!$D$12)/1200)</f>
        <v/>
      </c>
      <c r="AA33" s="33">
        <f>Z33-MIN(N(Debts!$E$12),Z33)</f>
        <v/>
      </c>
      <c r="AB33" s="33">
        <f>IF(AA33&lt;=0.005,0,AA33-MIN(AA33,MAX(0,$E33-SUMIFS(H33:AK33,$H$5:$AK$5,"Rem",$H$4:$AK$4,"&lt;"&amp;AB$4))))</f>
        <v/>
      </c>
      <c r="AC33" s="33">
        <f>AE32*(1+N(Debts!$D$13)/1200)</f>
        <v/>
      </c>
      <c r="AD33" s="33">
        <f>AC33-MIN(N(Debts!$E$13),AC33)</f>
        <v/>
      </c>
      <c r="AE33" s="33">
        <f>IF(AD33&lt;=0.005,0,AD33-MIN(AD33,MAX(0,$E33-SUMIFS(H33:AK33,$H$5:$AK$5,"Rem",$H$4:$AK$4,"&lt;"&amp;AE$4))))</f>
        <v/>
      </c>
      <c r="AF33" s="33">
        <f>AH32*(1+N(Debts!$D$14)/1200)</f>
        <v/>
      </c>
      <c r="AG33" s="33">
        <f>AF33-MIN(N(Debts!$E$14),AF33)</f>
        <v/>
      </c>
      <c r="AH33" s="33">
        <f>IF(AG33&lt;=0.005,0,AG33-MIN(AG33,MAX(0,$E33-SUMIFS(H33:AK33,$H$5:$AK$5,"Rem",$H$4:$AK$4,"&lt;"&amp;AH$4))))</f>
        <v/>
      </c>
      <c r="AI33" s="33">
        <f>AK32*(1+N(Debts!$D$15)/1200)</f>
        <v/>
      </c>
      <c r="AJ33" s="33">
        <f>AI33-MIN(N(Debts!$E$15),AI33)</f>
        <v/>
      </c>
      <c r="AK33" s="33">
        <f>IF(AJ33&lt;=0.005,0,AJ33-MIN(AJ33,MAX(0,$E33-SUMIFS(H33:AK33,$H$5:$AK$5,"Rem",$H$4:$AK$4,"&lt;"&amp;AK$4))))</f>
        <v/>
      </c>
      <c r="AL33" s="1" t="n"/>
    </row>
    <row r="34">
      <c r="A34" s="1" t="n"/>
      <c r="B34" s="1" t="n">
        <v>27</v>
      </c>
      <c r="C34" s="34">
        <f>EDATE(Debts!$J$13,B34-1)</f>
        <v/>
      </c>
      <c r="D34" s="33">
        <f>IF(G33&lt;=0.005,0,Debts!$E$16+Debts!$J$7)</f>
        <v/>
      </c>
      <c r="E34" s="33">
        <f>MAX(0,D34-(SUMIF($H$5:$AK$5,"Due",H34:AK34)-SUMIF($H$5:$AK$5,"Rem",H34:AK34)))</f>
        <v/>
      </c>
      <c r="F34" s="33">
        <f>SUMIF($H$5:$AK$5,"Due",H34:AK34)-SUMIF($H$5:$AK$5,"Bal",H33:AK33)</f>
        <v/>
      </c>
      <c r="G34" s="33">
        <f>SUMIF($H$5:$AK$5,"Bal",H34:AK34)</f>
        <v/>
      </c>
      <c r="H34" s="33">
        <f>J33*(1+N(Debts!$D$6)/1200)</f>
        <v/>
      </c>
      <c r="I34" s="33">
        <f>H34-MIN(N(Debts!$E$6),H34)</f>
        <v/>
      </c>
      <c r="J34" s="33">
        <f>IF(I34&lt;=0.005,0,I34-MIN(I34,MAX(0,$E34-SUMIFS(H34:AK34,$H$5:$AK$5,"Rem",$H$4:$AK$4,"&lt;"&amp;J$4))))</f>
        <v/>
      </c>
      <c r="K34" s="33">
        <f>M33*(1+N(Debts!$D$7)/1200)</f>
        <v/>
      </c>
      <c r="L34" s="33">
        <f>K34-MIN(N(Debts!$E$7),K34)</f>
        <v/>
      </c>
      <c r="M34" s="33">
        <f>IF(L34&lt;=0.005,0,L34-MIN(L34,MAX(0,$E34-SUMIFS(H34:AK34,$H$5:$AK$5,"Rem",$H$4:$AK$4,"&lt;"&amp;M$4))))</f>
        <v/>
      </c>
      <c r="N34" s="33">
        <f>P33*(1+N(Debts!$D$8)/1200)</f>
        <v/>
      </c>
      <c r="O34" s="33">
        <f>N34-MIN(N(Debts!$E$8),N34)</f>
        <v/>
      </c>
      <c r="P34" s="33">
        <f>IF(O34&lt;=0.005,0,O34-MIN(O34,MAX(0,$E34-SUMIFS(H34:AK34,$H$5:$AK$5,"Rem",$H$4:$AK$4,"&lt;"&amp;P$4))))</f>
        <v/>
      </c>
      <c r="Q34" s="33">
        <f>S33*(1+N(Debts!$D$9)/1200)</f>
        <v/>
      </c>
      <c r="R34" s="33">
        <f>Q34-MIN(N(Debts!$E$9),Q34)</f>
        <v/>
      </c>
      <c r="S34" s="33">
        <f>IF(R34&lt;=0.005,0,R34-MIN(R34,MAX(0,$E34-SUMIFS(H34:AK34,$H$5:$AK$5,"Rem",$H$4:$AK$4,"&lt;"&amp;S$4))))</f>
        <v/>
      </c>
      <c r="T34" s="33">
        <f>V33*(1+N(Debts!$D$10)/1200)</f>
        <v/>
      </c>
      <c r="U34" s="33">
        <f>T34-MIN(N(Debts!$E$10),T34)</f>
        <v/>
      </c>
      <c r="V34" s="33">
        <f>IF(U34&lt;=0.005,0,U34-MIN(U34,MAX(0,$E34-SUMIFS(H34:AK34,$H$5:$AK$5,"Rem",$H$4:$AK$4,"&lt;"&amp;V$4))))</f>
        <v/>
      </c>
      <c r="W34" s="33">
        <f>Y33*(1+N(Debts!$D$11)/1200)</f>
        <v/>
      </c>
      <c r="X34" s="33">
        <f>W34-MIN(N(Debts!$E$11),W34)</f>
        <v/>
      </c>
      <c r="Y34" s="33">
        <f>IF(X34&lt;=0.005,0,X34-MIN(X34,MAX(0,$E34-SUMIFS(H34:AK34,$H$5:$AK$5,"Rem",$H$4:$AK$4,"&lt;"&amp;Y$4))))</f>
        <v/>
      </c>
      <c r="Z34" s="33">
        <f>AB33*(1+N(Debts!$D$12)/1200)</f>
        <v/>
      </c>
      <c r="AA34" s="33">
        <f>Z34-MIN(N(Debts!$E$12),Z34)</f>
        <v/>
      </c>
      <c r="AB34" s="33">
        <f>IF(AA34&lt;=0.005,0,AA34-MIN(AA34,MAX(0,$E34-SUMIFS(H34:AK34,$H$5:$AK$5,"Rem",$H$4:$AK$4,"&lt;"&amp;AB$4))))</f>
        <v/>
      </c>
      <c r="AC34" s="33">
        <f>AE33*(1+N(Debts!$D$13)/1200)</f>
        <v/>
      </c>
      <c r="AD34" s="33">
        <f>AC34-MIN(N(Debts!$E$13),AC34)</f>
        <v/>
      </c>
      <c r="AE34" s="33">
        <f>IF(AD34&lt;=0.005,0,AD34-MIN(AD34,MAX(0,$E34-SUMIFS(H34:AK34,$H$5:$AK$5,"Rem",$H$4:$AK$4,"&lt;"&amp;AE$4))))</f>
        <v/>
      </c>
      <c r="AF34" s="33">
        <f>AH33*(1+N(Debts!$D$14)/1200)</f>
        <v/>
      </c>
      <c r="AG34" s="33">
        <f>AF34-MIN(N(Debts!$E$14),AF34)</f>
        <v/>
      </c>
      <c r="AH34" s="33">
        <f>IF(AG34&lt;=0.005,0,AG34-MIN(AG34,MAX(0,$E34-SUMIFS(H34:AK34,$H$5:$AK$5,"Rem",$H$4:$AK$4,"&lt;"&amp;AH$4))))</f>
        <v/>
      </c>
      <c r="AI34" s="33">
        <f>AK33*(1+N(Debts!$D$15)/1200)</f>
        <v/>
      </c>
      <c r="AJ34" s="33">
        <f>AI34-MIN(N(Debts!$E$15),AI34)</f>
        <v/>
      </c>
      <c r="AK34" s="33">
        <f>IF(AJ34&lt;=0.005,0,AJ34-MIN(AJ34,MAX(0,$E34-SUMIFS(H34:AK34,$H$5:$AK$5,"Rem",$H$4:$AK$4,"&lt;"&amp;AK$4))))</f>
        <v/>
      </c>
      <c r="AL34" s="1" t="n"/>
    </row>
    <row r="35">
      <c r="A35" s="1" t="n"/>
      <c r="B35" s="1" t="n">
        <v>28</v>
      </c>
      <c r="C35" s="34">
        <f>EDATE(Debts!$J$13,B35-1)</f>
        <v/>
      </c>
      <c r="D35" s="33">
        <f>IF(G34&lt;=0.005,0,Debts!$E$16+Debts!$J$7)</f>
        <v/>
      </c>
      <c r="E35" s="33">
        <f>MAX(0,D35-(SUMIF($H$5:$AK$5,"Due",H35:AK35)-SUMIF($H$5:$AK$5,"Rem",H35:AK35)))</f>
        <v/>
      </c>
      <c r="F35" s="33">
        <f>SUMIF($H$5:$AK$5,"Due",H35:AK35)-SUMIF($H$5:$AK$5,"Bal",H34:AK34)</f>
        <v/>
      </c>
      <c r="G35" s="33">
        <f>SUMIF($H$5:$AK$5,"Bal",H35:AK35)</f>
        <v/>
      </c>
      <c r="H35" s="33">
        <f>J34*(1+N(Debts!$D$6)/1200)</f>
        <v/>
      </c>
      <c r="I35" s="33">
        <f>H35-MIN(N(Debts!$E$6),H35)</f>
        <v/>
      </c>
      <c r="J35" s="33">
        <f>IF(I35&lt;=0.005,0,I35-MIN(I35,MAX(0,$E35-SUMIFS(H35:AK35,$H$5:$AK$5,"Rem",$H$4:$AK$4,"&lt;"&amp;J$4))))</f>
        <v/>
      </c>
      <c r="K35" s="33">
        <f>M34*(1+N(Debts!$D$7)/1200)</f>
        <v/>
      </c>
      <c r="L35" s="33">
        <f>K35-MIN(N(Debts!$E$7),K35)</f>
        <v/>
      </c>
      <c r="M35" s="33">
        <f>IF(L35&lt;=0.005,0,L35-MIN(L35,MAX(0,$E35-SUMIFS(H35:AK35,$H$5:$AK$5,"Rem",$H$4:$AK$4,"&lt;"&amp;M$4))))</f>
        <v/>
      </c>
      <c r="N35" s="33">
        <f>P34*(1+N(Debts!$D$8)/1200)</f>
        <v/>
      </c>
      <c r="O35" s="33">
        <f>N35-MIN(N(Debts!$E$8),N35)</f>
        <v/>
      </c>
      <c r="P35" s="33">
        <f>IF(O35&lt;=0.005,0,O35-MIN(O35,MAX(0,$E35-SUMIFS(H35:AK35,$H$5:$AK$5,"Rem",$H$4:$AK$4,"&lt;"&amp;P$4))))</f>
        <v/>
      </c>
      <c r="Q35" s="33">
        <f>S34*(1+N(Debts!$D$9)/1200)</f>
        <v/>
      </c>
      <c r="R35" s="33">
        <f>Q35-MIN(N(Debts!$E$9),Q35)</f>
        <v/>
      </c>
      <c r="S35" s="33">
        <f>IF(R35&lt;=0.005,0,R35-MIN(R35,MAX(0,$E35-SUMIFS(H35:AK35,$H$5:$AK$5,"Rem",$H$4:$AK$4,"&lt;"&amp;S$4))))</f>
        <v/>
      </c>
      <c r="T35" s="33">
        <f>V34*(1+N(Debts!$D$10)/1200)</f>
        <v/>
      </c>
      <c r="U35" s="33">
        <f>T35-MIN(N(Debts!$E$10),T35)</f>
        <v/>
      </c>
      <c r="V35" s="33">
        <f>IF(U35&lt;=0.005,0,U35-MIN(U35,MAX(0,$E35-SUMIFS(H35:AK35,$H$5:$AK$5,"Rem",$H$4:$AK$4,"&lt;"&amp;V$4))))</f>
        <v/>
      </c>
      <c r="W35" s="33">
        <f>Y34*(1+N(Debts!$D$11)/1200)</f>
        <v/>
      </c>
      <c r="X35" s="33">
        <f>W35-MIN(N(Debts!$E$11),W35)</f>
        <v/>
      </c>
      <c r="Y35" s="33">
        <f>IF(X35&lt;=0.005,0,X35-MIN(X35,MAX(0,$E35-SUMIFS(H35:AK35,$H$5:$AK$5,"Rem",$H$4:$AK$4,"&lt;"&amp;Y$4))))</f>
        <v/>
      </c>
      <c r="Z35" s="33">
        <f>AB34*(1+N(Debts!$D$12)/1200)</f>
        <v/>
      </c>
      <c r="AA35" s="33">
        <f>Z35-MIN(N(Debts!$E$12),Z35)</f>
        <v/>
      </c>
      <c r="AB35" s="33">
        <f>IF(AA35&lt;=0.005,0,AA35-MIN(AA35,MAX(0,$E35-SUMIFS(H35:AK35,$H$5:$AK$5,"Rem",$H$4:$AK$4,"&lt;"&amp;AB$4))))</f>
        <v/>
      </c>
      <c r="AC35" s="33">
        <f>AE34*(1+N(Debts!$D$13)/1200)</f>
        <v/>
      </c>
      <c r="AD35" s="33">
        <f>AC35-MIN(N(Debts!$E$13),AC35)</f>
        <v/>
      </c>
      <c r="AE35" s="33">
        <f>IF(AD35&lt;=0.005,0,AD35-MIN(AD35,MAX(0,$E35-SUMIFS(H35:AK35,$H$5:$AK$5,"Rem",$H$4:$AK$4,"&lt;"&amp;AE$4))))</f>
        <v/>
      </c>
      <c r="AF35" s="33">
        <f>AH34*(1+N(Debts!$D$14)/1200)</f>
        <v/>
      </c>
      <c r="AG35" s="33">
        <f>AF35-MIN(N(Debts!$E$14),AF35)</f>
        <v/>
      </c>
      <c r="AH35" s="33">
        <f>IF(AG35&lt;=0.005,0,AG35-MIN(AG35,MAX(0,$E35-SUMIFS(H35:AK35,$H$5:$AK$5,"Rem",$H$4:$AK$4,"&lt;"&amp;AH$4))))</f>
        <v/>
      </c>
      <c r="AI35" s="33">
        <f>AK34*(1+N(Debts!$D$15)/1200)</f>
        <v/>
      </c>
      <c r="AJ35" s="33">
        <f>AI35-MIN(N(Debts!$E$15),AI35)</f>
        <v/>
      </c>
      <c r="AK35" s="33">
        <f>IF(AJ35&lt;=0.005,0,AJ35-MIN(AJ35,MAX(0,$E35-SUMIFS(H35:AK35,$H$5:$AK$5,"Rem",$H$4:$AK$4,"&lt;"&amp;AK$4))))</f>
        <v/>
      </c>
      <c r="AL35" s="1" t="n"/>
    </row>
    <row r="36">
      <c r="A36" s="1" t="n"/>
      <c r="B36" s="1" t="n">
        <v>29</v>
      </c>
      <c r="C36" s="34">
        <f>EDATE(Debts!$J$13,B36-1)</f>
        <v/>
      </c>
      <c r="D36" s="33">
        <f>IF(G35&lt;=0.005,0,Debts!$E$16+Debts!$J$7)</f>
        <v/>
      </c>
      <c r="E36" s="33">
        <f>MAX(0,D36-(SUMIF($H$5:$AK$5,"Due",H36:AK36)-SUMIF($H$5:$AK$5,"Rem",H36:AK36)))</f>
        <v/>
      </c>
      <c r="F36" s="33">
        <f>SUMIF($H$5:$AK$5,"Due",H36:AK36)-SUMIF($H$5:$AK$5,"Bal",H35:AK35)</f>
        <v/>
      </c>
      <c r="G36" s="33">
        <f>SUMIF($H$5:$AK$5,"Bal",H36:AK36)</f>
        <v/>
      </c>
      <c r="H36" s="33">
        <f>J35*(1+N(Debts!$D$6)/1200)</f>
        <v/>
      </c>
      <c r="I36" s="33">
        <f>H36-MIN(N(Debts!$E$6),H36)</f>
        <v/>
      </c>
      <c r="J36" s="33">
        <f>IF(I36&lt;=0.005,0,I36-MIN(I36,MAX(0,$E36-SUMIFS(H36:AK36,$H$5:$AK$5,"Rem",$H$4:$AK$4,"&lt;"&amp;J$4))))</f>
        <v/>
      </c>
      <c r="K36" s="33">
        <f>M35*(1+N(Debts!$D$7)/1200)</f>
        <v/>
      </c>
      <c r="L36" s="33">
        <f>K36-MIN(N(Debts!$E$7),K36)</f>
        <v/>
      </c>
      <c r="M36" s="33">
        <f>IF(L36&lt;=0.005,0,L36-MIN(L36,MAX(0,$E36-SUMIFS(H36:AK36,$H$5:$AK$5,"Rem",$H$4:$AK$4,"&lt;"&amp;M$4))))</f>
        <v/>
      </c>
      <c r="N36" s="33">
        <f>P35*(1+N(Debts!$D$8)/1200)</f>
        <v/>
      </c>
      <c r="O36" s="33">
        <f>N36-MIN(N(Debts!$E$8),N36)</f>
        <v/>
      </c>
      <c r="P36" s="33">
        <f>IF(O36&lt;=0.005,0,O36-MIN(O36,MAX(0,$E36-SUMIFS(H36:AK36,$H$5:$AK$5,"Rem",$H$4:$AK$4,"&lt;"&amp;P$4))))</f>
        <v/>
      </c>
      <c r="Q36" s="33">
        <f>S35*(1+N(Debts!$D$9)/1200)</f>
        <v/>
      </c>
      <c r="R36" s="33">
        <f>Q36-MIN(N(Debts!$E$9),Q36)</f>
        <v/>
      </c>
      <c r="S36" s="33">
        <f>IF(R36&lt;=0.005,0,R36-MIN(R36,MAX(0,$E36-SUMIFS(H36:AK36,$H$5:$AK$5,"Rem",$H$4:$AK$4,"&lt;"&amp;S$4))))</f>
        <v/>
      </c>
      <c r="T36" s="33">
        <f>V35*(1+N(Debts!$D$10)/1200)</f>
        <v/>
      </c>
      <c r="U36" s="33">
        <f>T36-MIN(N(Debts!$E$10),T36)</f>
        <v/>
      </c>
      <c r="V36" s="33">
        <f>IF(U36&lt;=0.005,0,U36-MIN(U36,MAX(0,$E36-SUMIFS(H36:AK36,$H$5:$AK$5,"Rem",$H$4:$AK$4,"&lt;"&amp;V$4))))</f>
        <v/>
      </c>
      <c r="W36" s="33">
        <f>Y35*(1+N(Debts!$D$11)/1200)</f>
        <v/>
      </c>
      <c r="X36" s="33">
        <f>W36-MIN(N(Debts!$E$11),W36)</f>
        <v/>
      </c>
      <c r="Y36" s="33">
        <f>IF(X36&lt;=0.005,0,X36-MIN(X36,MAX(0,$E36-SUMIFS(H36:AK36,$H$5:$AK$5,"Rem",$H$4:$AK$4,"&lt;"&amp;Y$4))))</f>
        <v/>
      </c>
      <c r="Z36" s="33">
        <f>AB35*(1+N(Debts!$D$12)/1200)</f>
        <v/>
      </c>
      <c r="AA36" s="33">
        <f>Z36-MIN(N(Debts!$E$12),Z36)</f>
        <v/>
      </c>
      <c r="AB36" s="33">
        <f>IF(AA36&lt;=0.005,0,AA36-MIN(AA36,MAX(0,$E36-SUMIFS(H36:AK36,$H$5:$AK$5,"Rem",$H$4:$AK$4,"&lt;"&amp;AB$4))))</f>
        <v/>
      </c>
      <c r="AC36" s="33">
        <f>AE35*(1+N(Debts!$D$13)/1200)</f>
        <v/>
      </c>
      <c r="AD36" s="33">
        <f>AC36-MIN(N(Debts!$E$13),AC36)</f>
        <v/>
      </c>
      <c r="AE36" s="33">
        <f>IF(AD36&lt;=0.005,0,AD36-MIN(AD36,MAX(0,$E36-SUMIFS(H36:AK36,$H$5:$AK$5,"Rem",$H$4:$AK$4,"&lt;"&amp;AE$4))))</f>
        <v/>
      </c>
      <c r="AF36" s="33">
        <f>AH35*(1+N(Debts!$D$14)/1200)</f>
        <v/>
      </c>
      <c r="AG36" s="33">
        <f>AF36-MIN(N(Debts!$E$14),AF36)</f>
        <v/>
      </c>
      <c r="AH36" s="33">
        <f>IF(AG36&lt;=0.005,0,AG36-MIN(AG36,MAX(0,$E36-SUMIFS(H36:AK36,$H$5:$AK$5,"Rem",$H$4:$AK$4,"&lt;"&amp;AH$4))))</f>
        <v/>
      </c>
      <c r="AI36" s="33">
        <f>AK35*(1+N(Debts!$D$15)/1200)</f>
        <v/>
      </c>
      <c r="AJ36" s="33">
        <f>AI36-MIN(N(Debts!$E$15),AI36)</f>
        <v/>
      </c>
      <c r="AK36" s="33">
        <f>IF(AJ36&lt;=0.005,0,AJ36-MIN(AJ36,MAX(0,$E36-SUMIFS(H36:AK36,$H$5:$AK$5,"Rem",$H$4:$AK$4,"&lt;"&amp;AK$4))))</f>
        <v/>
      </c>
      <c r="AL36" s="1" t="n"/>
    </row>
    <row r="37">
      <c r="A37" s="1" t="n"/>
      <c r="B37" s="1" t="n">
        <v>30</v>
      </c>
      <c r="C37" s="34">
        <f>EDATE(Debts!$J$13,B37-1)</f>
        <v/>
      </c>
      <c r="D37" s="33">
        <f>IF(G36&lt;=0.005,0,Debts!$E$16+Debts!$J$7)</f>
        <v/>
      </c>
      <c r="E37" s="33">
        <f>MAX(0,D37-(SUMIF($H$5:$AK$5,"Due",H37:AK37)-SUMIF($H$5:$AK$5,"Rem",H37:AK37)))</f>
        <v/>
      </c>
      <c r="F37" s="33">
        <f>SUMIF($H$5:$AK$5,"Due",H37:AK37)-SUMIF($H$5:$AK$5,"Bal",H36:AK36)</f>
        <v/>
      </c>
      <c r="G37" s="33">
        <f>SUMIF($H$5:$AK$5,"Bal",H37:AK37)</f>
        <v/>
      </c>
      <c r="H37" s="33">
        <f>J36*(1+N(Debts!$D$6)/1200)</f>
        <v/>
      </c>
      <c r="I37" s="33">
        <f>H37-MIN(N(Debts!$E$6),H37)</f>
        <v/>
      </c>
      <c r="J37" s="33">
        <f>IF(I37&lt;=0.005,0,I37-MIN(I37,MAX(0,$E37-SUMIFS(H37:AK37,$H$5:$AK$5,"Rem",$H$4:$AK$4,"&lt;"&amp;J$4))))</f>
        <v/>
      </c>
      <c r="K37" s="33">
        <f>M36*(1+N(Debts!$D$7)/1200)</f>
        <v/>
      </c>
      <c r="L37" s="33">
        <f>K37-MIN(N(Debts!$E$7),K37)</f>
        <v/>
      </c>
      <c r="M37" s="33">
        <f>IF(L37&lt;=0.005,0,L37-MIN(L37,MAX(0,$E37-SUMIFS(H37:AK37,$H$5:$AK$5,"Rem",$H$4:$AK$4,"&lt;"&amp;M$4))))</f>
        <v/>
      </c>
      <c r="N37" s="33">
        <f>P36*(1+N(Debts!$D$8)/1200)</f>
        <v/>
      </c>
      <c r="O37" s="33">
        <f>N37-MIN(N(Debts!$E$8),N37)</f>
        <v/>
      </c>
      <c r="P37" s="33">
        <f>IF(O37&lt;=0.005,0,O37-MIN(O37,MAX(0,$E37-SUMIFS(H37:AK37,$H$5:$AK$5,"Rem",$H$4:$AK$4,"&lt;"&amp;P$4))))</f>
        <v/>
      </c>
      <c r="Q37" s="33">
        <f>S36*(1+N(Debts!$D$9)/1200)</f>
        <v/>
      </c>
      <c r="R37" s="33">
        <f>Q37-MIN(N(Debts!$E$9),Q37)</f>
        <v/>
      </c>
      <c r="S37" s="33">
        <f>IF(R37&lt;=0.005,0,R37-MIN(R37,MAX(0,$E37-SUMIFS(H37:AK37,$H$5:$AK$5,"Rem",$H$4:$AK$4,"&lt;"&amp;S$4))))</f>
        <v/>
      </c>
      <c r="T37" s="33">
        <f>V36*(1+N(Debts!$D$10)/1200)</f>
        <v/>
      </c>
      <c r="U37" s="33">
        <f>T37-MIN(N(Debts!$E$10),T37)</f>
        <v/>
      </c>
      <c r="V37" s="33">
        <f>IF(U37&lt;=0.005,0,U37-MIN(U37,MAX(0,$E37-SUMIFS(H37:AK37,$H$5:$AK$5,"Rem",$H$4:$AK$4,"&lt;"&amp;V$4))))</f>
        <v/>
      </c>
      <c r="W37" s="33">
        <f>Y36*(1+N(Debts!$D$11)/1200)</f>
        <v/>
      </c>
      <c r="X37" s="33">
        <f>W37-MIN(N(Debts!$E$11),W37)</f>
        <v/>
      </c>
      <c r="Y37" s="33">
        <f>IF(X37&lt;=0.005,0,X37-MIN(X37,MAX(0,$E37-SUMIFS(H37:AK37,$H$5:$AK$5,"Rem",$H$4:$AK$4,"&lt;"&amp;Y$4))))</f>
        <v/>
      </c>
      <c r="Z37" s="33">
        <f>AB36*(1+N(Debts!$D$12)/1200)</f>
        <v/>
      </c>
      <c r="AA37" s="33">
        <f>Z37-MIN(N(Debts!$E$12),Z37)</f>
        <v/>
      </c>
      <c r="AB37" s="33">
        <f>IF(AA37&lt;=0.005,0,AA37-MIN(AA37,MAX(0,$E37-SUMIFS(H37:AK37,$H$5:$AK$5,"Rem",$H$4:$AK$4,"&lt;"&amp;AB$4))))</f>
        <v/>
      </c>
      <c r="AC37" s="33">
        <f>AE36*(1+N(Debts!$D$13)/1200)</f>
        <v/>
      </c>
      <c r="AD37" s="33">
        <f>AC37-MIN(N(Debts!$E$13),AC37)</f>
        <v/>
      </c>
      <c r="AE37" s="33">
        <f>IF(AD37&lt;=0.005,0,AD37-MIN(AD37,MAX(0,$E37-SUMIFS(H37:AK37,$H$5:$AK$5,"Rem",$H$4:$AK$4,"&lt;"&amp;AE$4))))</f>
        <v/>
      </c>
      <c r="AF37" s="33">
        <f>AH36*(1+N(Debts!$D$14)/1200)</f>
        <v/>
      </c>
      <c r="AG37" s="33">
        <f>AF37-MIN(N(Debts!$E$14),AF37)</f>
        <v/>
      </c>
      <c r="AH37" s="33">
        <f>IF(AG37&lt;=0.005,0,AG37-MIN(AG37,MAX(0,$E37-SUMIFS(H37:AK37,$H$5:$AK$5,"Rem",$H$4:$AK$4,"&lt;"&amp;AH$4))))</f>
        <v/>
      </c>
      <c r="AI37" s="33">
        <f>AK36*(1+N(Debts!$D$15)/1200)</f>
        <v/>
      </c>
      <c r="AJ37" s="33">
        <f>AI37-MIN(N(Debts!$E$15),AI37)</f>
        <v/>
      </c>
      <c r="AK37" s="33">
        <f>IF(AJ37&lt;=0.005,0,AJ37-MIN(AJ37,MAX(0,$E37-SUMIFS(H37:AK37,$H$5:$AK$5,"Rem",$H$4:$AK$4,"&lt;"&amp;AK$4))))</f>
        <v/>
      </c>
      <c r="AL37" s="1" t="n"/>
    </row>
    <row r="38">
      <c r="A38" s="1" t="n"/>
      <c r="B38" s="1" t="n">
        <v>31</v>
      </c>
      <c r="C38" s="34">
        <f>EDATE(Debts!$J$13,B38-1)</f>
        <v/>
      </c>
      <c r="D38" s="33">
        <f>IF(G37&lt;=0.005,0,Debts!$E$16+Debts!$J$7)</f>
        <v/>
      </c>
      <c r="E38" s="33">
        <f>MAX(0,D38-(SUMIF($H$5:$AK$5,"Due",H38:AK38)-SUMIF($H$5:$AK$5,"Rem",H38:AK38)))</f>
        <v/>
      </c>
      <c r="F38" s="33">
        <f>SUMIF($H$5:$AK$5,"Due",H38:AK38)-SUMIF($H$5:$AK$5,"Bal",H37:AK37)</f>
        <v/>
      </c>
      <c r="G38" s="33">
        <f>SUMIF($H$5:$AK$5,"Bal",H38:AK38)</f>
        <v/>
      </c>
      <c r="H38" s="33">
        <f>J37*(1+N(Debts!$D$6)/1200)</f>
        <v/>
      </c>
      <c r="I38" s="33">
        <f>H38-MIN(N(Debts!$E$6),H38)</f>
        <v/>
      </c>
      <c r="J38" s="33">
        <f>IF(I38&lt;=0.005,0,I38-MIN(I38,MAX(0,$E38-SUMIFS(H38:AK38,$H$5:$AK$5,"Rem",$H$4:$AK$4,"&lt;"&amp;J$4))))</f>
        <v/>
      </c>
      <c r="K38" s="33">
        <f>M37*(1+N(Debts!$D$7)/1200)</f>
        <v/>
      </c>
      <c r="L38" s="33">
        <f>K38-MIN(N(Debts!$E$7),K38)</f>
        <v/>
      </c>
      <c r="M38" s="33">
        <f>IF(L38&lt;=0.005,0,L38-MIN(L38,MAX(0,$E38-SUMIFS(H38:AK38,$H$5:$AK$5,"Rem",$H$4:$AK$4,"&lt;"&amp;M$4))))</f>
        <v/>
      </c>
      <c r="N38" s="33">
        <f>P37*(1+N(Debts!$D$8)/1200)</f>
        <v/>
      </c>
      <c r="O38" s="33">
        <f>N38-MIN(N(Debts!$E$8),N38)</f>
        <v/>
      </c>
      <c r="P38" s="33">
        <f>IF(O38&lt;=0.005,0,O38-MIN(O38,MAX(0,$E38-SUMIFS(H38:AK38,$H$5:$AK$5,"Rem",$H$4:$AK$4,"&lt;"&amp;P$4))))</f>
        <v/>
      </c>
      <c r="Q38" s="33">
        <f>S37*(1+N(Debts!$D$9)/1200)</f>
        <v/>
      </c>
      <c r="R38" s="33">
        <f>Q38-MIN(N(Debts!$E$9),Q38)</f>
        <v/>
      </c>
      <c r="S38" s="33">
        <f>IF(R38&lt;=0.005,0,R38-MIN(R38,MAX(0,$E38-SUMIFS(H38:AK38,$H$5:$AK$5,"Rem",$H$4:$AK$4,"&lt;"&amp;S$4))))</f>
        <v/>
      </c>
      <c r="T38" s="33">
        <f>V37*(1+N(Debts!$D$10)/1200)</f>
        <v/>
      </c>
      <c r="U38" s="33">
        <f>T38-MIN(N(Debts!$E$10),T38)</f>
        <v/>
      </c>
      <c r="V38" s="33">
        <f>IF(U38&lt;=0.005,0,U38-MIN(U38,MAX(0,$E38-SUMIFS(H38:AK38,$H$5:$AK$5,"Rem",$H$4:$AK$4,"&lt;"&amp;V$4))))</f>
        <v/>
      </c>
      <c r="W38" s="33">
        <f>Y37*(1+N(Debts!$D$11)/1200)</f>
        <v/>
      </c>
      <c r="X38" s="33">
        <f>W38-MIN(N(Debts!$E$11),W38)</f>
        <v/>
      </c>
      <c r="Y38" s="33">
        <f>IF(X38&lt;=0.005,0,X38-MIN(X38,MAX(0,$E38-SUMIFS(H38:AK38,$H$5:$AK$5,"Rem",$H$4:$AK$4,"&lt;"&amp;Y$4))))</f>
        <v/>
      </c>
      <c r="Z38" s="33">
        <f>AB37*(1+N(Debts!$D$12)/1200)</f>
        <v/>
      </c>
      <c r="AA38" s="33">
        <f>Z38-MIN(N(Debts!$E$12),Z38)</f>
        <v/>
      </c>
      <c r="AB38" s="33">
        <f>IF(AA38&lt;=0.005,0,AA38-MIN(AA38,MAX(0,$E38-SUMIFS(H38:AK38,$H$5:$AK$5,"Rem",$H$4:$AK$4,"&lt;"&amp;AB$4))))</f>
        <v/>
      </c>
      <c r="AC38" s="33">
        <f>AE37*(1+N(Debts!$D$13)/1200)</f>
        <v/>
      </c>
      <c r="AD38" s="33">
        <f>AC38-MIN(N(Debts!$E$13),AC38)</f>
        <v/>
      </c>
      <c r="AE38" s="33">
        <f>IF(AD38&lt;=0.005,0,AD38-MIN(AD38,MAX(0,$E38-SUMIFS(H38:AK38,$H$5:$AK$5,"Rem",$H$4:$AK$4,"&lt;"&amp;AE$4))))</f>
        <v/>
      </c>
      <c r="AF38" s="33">
        <f>AH37*(1+N(Debts!$D$14)/1200)</f>
        <v/>
      </c>
      <c r="AG38" s="33">
        <f>AF38-MIN(N(Debts!$E$14),AF38)</f>
        <v/>
      </c>
      <c r="AH38" s="33">
        <f>IF(AG38&lt;=0.005,0,AG38-MIN(AG38,MAX(0,$E38-SUMIFS(H38:AK38,$H$5:$AK$5,"Rem",$H$4:$AK$4,"&lt;"&amp;AH$4))))</f>
        <v/>
      </c>
      <c r="AI38" s="33">
        <f>AK37*(1+N(Debts!$D$15)/1200)</f>
        <v/>
      </c>
      <c r="AJ38" s="33">
        <f>AI38-MIN(N(Debts!$E$15),AI38)</f>
        <v/>
      </c>
      <c r="AK38" s="33">
        <f>IF(AJ38&lt;=0.005,0,AJ38-MIN(AJ38,MAX(0,$E38-SUMIFS(H38:AK38,$H$5:$AK$5,"Rem",$H$4:$AK$4,"&lt;"&amp;AK$4))))</f>
        <v/>
      </c>
      <c r="AL38" s="1" t="n"/>
    </row>
    <row r="39">
      <c r="A39" s="1" t="n"/>
      <c r="B39" s="1" t="n">
        <v>32</v>
      </c>
      <c r="C39" s="34">
        <f>EDATE(Debts!$J$13,B39-1)</f>
        <v/>
      </c>
      <c r="D39" s="33">
        <f>IF(G38&lt;=0.005,0,Debts!$E$16+Debts!$J$7)</f>
        <v/>
      </c>
      <c r="E39" s="33">
        <f>MAX(0,D39-(SUMIF($H$5:$AK$5,"Due",H39:AK39)-SUMIF($H$5:$AK$5,"Rem",H39:AK39)))</f>
        <v/>
      </c>
      <c r="F39" s="33">
        <f>SUMIF($H$5:$AK$5,"Due",H39:AK39)-SUMIF($H$5:$AK$5,"Bal",H38:AK38)</f>
        <v/>
      </c>
      <c r="G39" s="33">
        <f>SUMIF($H$5:$AK$5,"Bal",H39:AK39)</f>
        <v/>
      </c>
      <c r="H39" s="33">
        <f>J38*(1+N(Debts!$D$6)/1200)</f>
        <v/>
      </c>
      <c r="I39" s="33">
        <f>H39-MIN(N(Debts!$E$6),H39)</f>
        <v/>
      </c>
      <c r="J39" s="33">
        <f>IF(I39&lt;=0.005,0,I39-MIN(I39,MAX(0,$E39-SUMIFS(H39:AK39,$H$5:$AK$5,"Rem",$H$4:$AK$4,"&lt;"&amp;J$4))))</f>
        <v/>
      </c>
      <c r="K39" s="33">
        <f>M38*(1+N(Debts!$D$7)/1200)</f>
        <v/>
      </c>
      <c r="L39" s="33">
        <f>K39-MIN(N(Debts!$E$7),K39)</f>
        <v/>
      </c>
      <c r="M39" s="33">
        <f>IF(L39&lt;=0.005,0,L39-MIN(L39,MAX(0,$E39-SUMIFS(H39:AK39,$H$5:$AK$5,"Rem",$H$4:$AK$4,"&lt;"&amp;M$4))))</f>
        <v/>
      </c>
      <c r="N39" s="33">
        <f>P38*(1+N(Debts!$D$8)/1200)</f>
        <v/>
      </c>
      <c r="O39" s="33">
        <f>N39-MIN(N(Debts!$E$8),N39)</f>
        <v/>
      </c>
      <c r="P39" s="33">
        <f>IF(O39&lt;=0.005,0,O39-MIN(O39,MAX(0,$E39-SUMIFS(H39:AK39,$H$5:$AK$5,"Rem",$H$4:$AK$4,"&lt;"&amp;P$4))))</f>
        <v/>
      </c>
      <c r="Q39" s="33">
        <f>S38*(1+N(Debts!$D$9)/1200)</f>
        <v/>
      </c>
      <c r="R39" s="33">
        <f>Q39-MIN(N(Debts!$E$9),Q39)</f>
        <v/>
      </c>
      <c r="S39" s="33">
        <f>IF(R39&lt;=0.005,0,R39-MIN(R39,MAX(0,$E39-SUMIFS(H39:AK39,$H$5:$AK$5,"Rem",$H$4:$AK$4,"&lt;"&amp;S$4))))</f>
        <v/>
      </c>
      <c r="T39" s="33">
        <f>V38*(1+N(Debts!$D$10)/1200)</f>
        <v/>
      </c>
      <c r="U39" s="33">
        <f>T39-MIN(N(Debts!$E$10),T39)</f>
        <v/>
      </c>
      <c r="V39" s="33">
        <f>IF(U39&lt;=0.005,0,U39-MIN(U39,MAX(0,$E39-SUMIFS(H39:AK39,$H$5:$AK$5,"Rem",$H$4:$AK$4,"&lt;"&amp;V$4))))</f>
        <v/>
      </c>
      <c r="W39" s="33">
        <f>Y38*(1+N(Debts!$D$11)/1200)</f>
        <v/>
      </c>
      <c r="X39" s="33">
        <f>W39-MIN(N(Debts!$E$11),W39)</f>
        <v/>
      </c>
      <c r="Y39" s="33">
        <f>IF(X39&lt;=0.005,0,X39-MIN(X39,MAX(0,$E39-SUMIFS(H39:AK39,$H$5:$AK$5,"Rem",$H$4:$AK$4,"&lt;"&amp;Y$4))))</f>
        <v/>
      </c>
      <c r="Z39" s="33">
        <f>AB38*(1+N(Debts!$D$12)/1200)</f>
        <v/>
      </c>
      <c r="AA39" s="33">
        <f>Z39-MIN(N(Debts!$E$12),Z39)</f>
        <v/>
      </c>
      <c r="AB39" s="33">
        <f>IF(AA39&lt;=0.005,0,AA39-MIN(AA39,MAX(0,$E39-SUMIFS(H39:AK39,$H$5:$AK$5,"Rem",$H$4:$AK$4,"&lt;"&amp;AB$4))))</f>
        <v/>
      </c>
      <c r="AC39" s="33">
        <f>AE38*(1+N(Debts!$D$13)/1200)</f>
        <v/>
      </c>
      <c r="AD39" s="33">
        <f>AC39-MIN(N(Debts!$E$13),AC39)</f>
        <v/>
      </c>
      <c r="AE39" s="33">
        <f>IF(AD39&lt;=0.005,0,AD39-MIN(AD39,MAX(0,$E39-SUMIFS(H39:AK39,$H$5:$AK$5,"Rem",$H$4:$AK$4,"&lt;"&amp;AE$4))))</f>
        <v/>
      </c>
      <c r="AF39" s="33">
        <f>AH38*(1+N(Debts!$D$14)/1200)</f>
        <v/>
      </c>
      <c r="AG39" s="33">
        <f>AF39-MIN(N(Debts!$E$14),AF39)</f>
        <v/>
      </c>
      <c r="AH39" s="33">
        <f>IF(AG39&lt;=0.005,0,AG39-MIN(AG39,MAX(0,$E39-SUMIFS(H39:AK39,$H$5:$AK$5,"Rem",$H$4:$AK$4,"&lt;"&amp;AH$4))))</f>
        <v/>
      </c>
      <c r="AI39" s="33">
        <f>AK38*(1+N(Debts!$D$15)/1200)</f>
        <v/>
      </c>
      <c r="AJ39" s="33">
        <f>AI39-MIN(N(Debts!$E$15),AI39)</f>
        <v/>
      </c>
      <c r="AK39" s="33">
        <f>IF(AJ39&lt;=0.005,0,AJ39-MIN(AJ39,MAX(0,$E39-SUMIFS(H39:AK39,$H$5:$AK$5,"Rem",$H$4:$AK$4,"&lt;"&amp;AK$4))))</f>
        <v/>
      </c>
      <c r="AL39" s="1" t="n"/>
    </row>
    <row r="40">
      <c r="A40" s="1" t="n"/>
      <c r="B40" s="1" t="n">
        <v>33</v>
      </c>
      <c r="C40" s="34">
        <f>EDATE(Debts!$J$13,B40-1)</f>
        <v/>
      </c>
      <c r="D40" s="33">
        <f>IF(G39&lt;=0.005,0,Debts!$E$16+Debts!$J$7)</f>
        <v/>
      </c>
      <c r="E40" s="33">
        <f>MAX(0,D40-(SUMIF($H$5:$AK$5,"Due",H40:AK40)-SUMIF($H$5:$AK$5,"Rem",H40:AK40)))</f>
        <v/>
      </c>
      <c r="F40" s="33">
        <f>SUMIF($H$5:$AK$5,"Due",H40:AK40)-SUMIF($H$5:$AK$5,"Bal",H39:AK39)</f>
        <v/>
      </c>
      <c r="G40" s="33">
        <f>SUMIF($H$5:$AK$5,"Bal",H40:AK40)</f>
        <v/>
      </c>
      <c r="H40" s="33">
        <f>J39*(1+N(Debts!$D$6)/1200)</f>
        <v/>
      </c>
      <c r="I40" s="33">
        <f>H40-MIN(N(Debts!$E$6),H40)</f>
        <v/>
      </c>
      <c r="J40" s="33">
        <f>IF(I40&lt;=0.005,0,I40-MIN(I40,MAX(0,$E40-SUMIFS(H40:AK40,$H$5:$AK$5,"Rem",$H$4:$AK$4,"&lt;"&amp;J$4))))</f>
        <v/>
      </c>
      <c r="K40" s="33">
        <f>M39*(1+N(Debts!$D$7)/1200)</f>
        <v/>
      </c>
      <c r="L40" s="33">
        <f>K40-MIN(N(Debts!$E$7),K40)</f>
        <v/>
      </c>
      <c r="M40" s="33">
        <f>IF(L40&lt;=0.005,0,L40-MIN(L40,MAX(0,$E40-SUMIFS(H40:AK40,$H$5:$AK$5,"Rem",$H$4:$AK$4,"&lt;"&amp;M$4))))</f>
        <v/>
      </c>
      <c r="N40" s="33">
        <f>P39*(1+N(Debts!$D$8)/1200)</f>
        <v/>
      </c>
      <c r="O40" s="33">
        <f>N40-MIN(N(Debts!$E$8),N40)</f>
        <v/>
      </c>
      <c r="P40" s="33">
        <f>IF(O40&lt;=0.005,0,O40-MIN(O40,MAX(0,$E40-SUMIFS(H40:AK40,$H$5:$AK$5,"Rem",$H$4:$AK$4,"&lt;"&amp;P$4))))</f>
        <v/>
      </c>
      <c r="Q40" s="33">
        <f>S39*(1+N(Debts!$D$9)/1200)</f>
        <v/>
      </c>
      <c r="R40" s="33">
        <f>Q40-MIN(N(Debts!$E$9),Q40)</f>
        <v/>
      </c>
      <c r="S40" s="33">
        <f>IF(R40&lt;=0.005,0,R40-MIN(R40,MAX(0,$E40-SUMIFS(H40:AK40,$H$5:$AK$5,"Rem",$H$4:$AK$4,"&lt;"&amp;S$4))))</f>
        <v/>
      </c>
      <c r="T40" s="33">
        <f>V39*(1+N(Debts!$D$10)/1200)</f>
        <v/>
      </c>
      <c r="U40" s="33">
        <f>T40-MIN(N(Debts!$E$10),T40)</f>
        <v/>
      </c>
      <c r="V40" s="33">
        <f>IF(U40&lt;=0.005,0,U40-MIN(U40,MAX(0,$E40-SUMIFS(H40:AK40,$H$5:$AK$5,"Rem",$H$4:$AK$4,"&lt;"&amp;V$4))))</f>
        <v/>
      </c>
      <c r="W40" s="33">
        <f>Y39*(1+N(Debts!$D$11)/1200)</f>
        <v/>
      </c>
      <c r="X40" s="33">
        <f>W40-MIN(N(Debts!$E$11),W40)</f>
        <v/>
      </c>
      <c r="Y40" s="33">
        <f>IF(X40&lt;=0.005,0,X40-MIN(X40,MAX(0,$E40-SUMIFS(H40:AK40,$H$5:$AK$5,"Rem",$H$4:$AK$4,"&lt;"&amp;Y$4))))</f>
        <v/>
      </c>
      <c r="Z40" s="33">
        <f>AB39*(1+N(Debts!$D$12)/1200)</f>
        <v/>
      </c>
      <c r="AA40" s="33">
        <f>Z40-MIN(N(Debts!$E$12),Z40)</f>
        <v/>
      </c>
      <c r="AB40" s="33">
        <f>IF(AA40&lt;=0.005,0,AA40-MIN(AA40,MAX(0,$E40-SUMIFS(H40:AK40,$H$5:$AK$5,"Rem",$H$4:$AK$4,"&lt;"&amp;AB$4))))</f>
        <v/>
      </c>
      <c r="AC40" s="33">
        <f>AE39*(1+N(Debts!$D$13)/1200)</f>
        <v/>
      </c>
      <c r="AD40" s="33">
        <f>AC40-MIN(N(Debts!$E$13),AC40)</f>
        <v/>
      </c>
      <c r="AE40" s="33">
        <f>IF(AD40&lt;=0.005,0,AD40-MIN(AD40,MAX(0,$E40-SUMIFS(H40:AK40,$H$5:$AK$5,"Rem",$H$4:$AK$4,"&lt;"&amp;AE$4))))</f>
        <v/>
      </c>
      <c r="AF40" s="33">
        <f>AH39*(1+N(Debts!$D$14)/1200)</f>
        <v/>
      </c>
      <c r="AG40" s="33">
        <f>AF40-MIN(N(Debts!$E$14),AF40)</f>
        <v/>
      </c>
      <c r="AH40" s="33">
        <f>IF(AG40&lt;=0.005,0,AG40-MIN(AG40,MAX(0,$E40-SUMIFS(H40:AK40,$H$5:$AK$5,"Rem",$H$4:$AK$4,"&lt;"&amp;AH$4))))</f>
        <v/>
      </c>
      <c r="AI40" s="33">
        <f>AK39*(1+N(Debts!$D$15)/1200)</f>
        <v/>
      </c>
      <c r="AJ40" s="33">
        <f>AI40-MIN(N(Debts!$E$15),AI40)</f>
        <v/>
      </c>
      <c r="AK40" s="33">
        <f>IF(AJ40&lt;=0.005,0,AJ40-MIN(AJ40,MAX(0,$E40-SUMIFS(H40:AK40,$H$5:$AK$5,"Rem",$H$4:$AK$4,"&lt;"&amp;AK$4))))</f>
        <v/>
      </c>
      <c r="AL40" s="1" t="n"/>
    </row>
    <row r="41">
      <c r="A41" s="1" t="n"/>
      <c r="B41" s="1" t="n">
        <v>34</v>
      </c>
      <c r="C41" s="34">
        <f>EDATE(Debts!$J$13,B41-1)</f>
        <v/>
      </c>
      <c r="D41" s="33">
        <f>IF(G40&lt;=0.005,0,Debts!$E$16+Debts!$J$7)</f>
        <v/>
      </c>
      <c r="E41" s="33">
        <f>MAX(0,D41-(SUMIF($H$5:$AK$5,"Due",H41:AK41)-SUMIF($H$5:$AK$5,"Rem",H41:AK41)))</f>
        <v/>
      </c>
      <c r="F41" s="33">
        <f>SUMIF($H$5:$AK$5,"Due",H41:AK41)-SUMIF($H$5:$AK$5,"Bal",H40:AK40)</f>
        <v/>
      </c>
      <c r="G41" s="33">
        <f>SUMIF($H$5:$AK$5,"Bal",H41:AK41)</f>
        <v/>
      </c>
      <c r="H41" s="33">
        <f>J40*(1+N(Debts!$D$6)/1200)</f>
        <v/>
      </c>
      <c r="I41" s="33">
        <f>H41-MIN(N(Debts!$E$6),H41)</f>
        <v/>
      </c>
      <c r="J41" s="33">
        <f>IF(I41&lt;=0.005,0,I41-MIN(I41,MAX(0,$E41-SUMIFS(H41:AK41,$H$5:$AK$5,"Rem",$H$4:$AK$4,"&lt;"&amp;J$4))))</f>
        <v/>
      </c>
      <c r="K41" s="33">
        <f>M40*(1+N(Debts!$D$7)/1200)</f>
        <v/>
      </c>
      <c r="L41" s="33">
        <f>K41-MIN(N(Debts!$E$7),K41)</f>
        <v/>
      </c>
      <c r="M41" s="33">
        <f>IF(L41&lt;=0.005,0,L41-MIN(L41,MAX(0,$E41-SUMIFS(H41:AK41,$H$5:$AK$5,"Rem",$H$4:$AK$4,"&lt;"&amp;M$4))))</f>
        <v/>
      </c>
      <c r="N41" s="33">
        <f>P40*(1+N(Debts!$D$8)/1200)</f>
        <v/>
      </c>
      <c r="O41" s="33">
        <f>N41-MIN(N(Debts!$E$8),N41)</f>
        <v/>
      </c>
      <c r="P41" s="33">
        <f>IF(O41&lt;=0.005,0,O41-MIN(O41,MAX(0,$E41-SUMIFS(H41:AK41,$H$5:$AK$5,"Rem",$H$4:$AK$4,"&lt;"&amp;P$4))))</f>
        <v/>
      </c>
      <c r="Q41" s="33">
        <f>S40*(1+N(Debts!$D$9)/1200)</f>
        <v/>
      </c>
      <c r="R41" s="33">
        <f>Q41-MIN(N(Debts!$E$9),Q41)</f>
        <v/>
      </c>
      <c r="S41" s="33">
        <f>IF(R41&lt;=0.005,0,R41-MIN(R41,MAX(0,$E41-SUMIFS(H41:AK41,$H$5:$AK$5,"Rem",$H$4:$AK$4,"&lt;"&amp;S$4))))</f>
        <v/>
      </c>
      <c r="T41" s="33">
        <f>V40*(1+N(Debts!$D$10)/1200)</f>
        <v/>
      </c>
      <c r="U41" s="33">
        <f>T41-MIN(N(Debts!$E$10),T41)</f>
        <v/>
      </c>
      <c r="V41" s="33">
        <f>IF(U41&lt;=0.005,0,U41-MIN(U41,MAX(0,$E41-SUMIFS(H41:AK41,$H$5:$AK$5,"Rem",$H$4:$AK$4,"&lt;"&amp;V$4))))</f>
        <v/>
      </c>
      <c r="W41" s="33">
        <f>Y40*(1+N(Debts!$D$11)/1200)</f>
        <v/>
      </c>
      <c r="X41" s="33">
        <f>W41-MIN(N(Debts!$E$11),W41)</f>
        <v/>
      </c>
      <c r="Y41" s="33">
        <f>IF(X41&lt;=0.005,0,X41-MIN(X41,MAX(0,$E41-SUMIFS(H41:AK41,$H$5:$AK$5,"Rem",$H$4:$AK$4,"&lt;"&amp;Y$4))))</f>
        <v/>
      </c>
      <c r="Z41" s="33">
        <f>AB40*(1+N(Debts!$D$12)/1200)</f>
        <v/>
      </c>
      <c r="AA41" s="33">
        <f>Z41-MIN(N(Debts!$E$12),Z41)</f>
        <v/>
      </c>
      <c r="AB41" s="33">
        <f>IF(AA41&lt;=0.005,0,AA41-MIN(AA41,MAX(0,$E41-SUMIFS(H41:AK41,$H$5:$AK$5,"Rem",$H$4:$AK$4,"&lt;"&amp;AB$4))))</f>
        <v/>
      </c>
      <c r="AC41" s="33">
        <f>AE40*(1+N(Debts!$D$13)/1200)</f>
        <v/>
      </c>
      <c r="AD41" s="33">
        <f>AC41-MIN(N(Debts!$E$13),AC41)</f>
        <v/>
      </c>
      <c r="AE41" s="33">
        <f>IF(AD41&lt;=0.005,0,AD41-MIN(AD41,MAX(0,$E41-SUMIFS(H41:AK41,$H$5:$AK$5,"Rem",$H$4:$AK$4,"&lt;"&amp;AE$4))))</f>
        <v/>
      </c>
      <c r="AF41" s="33">
        <f>AH40*(1+N(Debts!$D$14)/1200)</f>
        <v/>
      </c>
      <c r="AG41" s="33">
        <f>AF41-MIN(N(Debts!$E$14),AF41)</f>
        <v/>
      </c>
      <c r="AH41" s="33">
        <f>IF(AG41&lt;=0.005,0,AG41-MIN(AG41,MAX(0,$E41-SUMIFS(H41:AK41,$H$5:$AK$5,"Rem",$H$4:$AK$4,"&lt;"&amp;AH$4))))</f>
        <v/>
      </c>
      <c r="AI41" s="33">
        <f>AK40*(1+N(Debts!$D$15)/1200)</f>
        <v/>
      </c>
      <c r="AJ41" s="33">
        <f>AI41-MIN(N(Debts!$E$15),AI41)</f>
        <v/>
      </c>
      <c r="AK41" s="33">
        <f>IF(AJ41&lt;=0.005,0,AJ41-MIN(AJ41,MAX(0,$E41-SUMIFS(H41:AK41,$H$5:$AK$5,"Rem",$H$4:$AK$4,"&lt;"&amp;AK$4))))</f>
        <v/>
      </c>
      <c r="AL41" s="1" t="n"/>
    </row>
    <row r="42">
      <c r="A42" s="1" t="n"/>
      <c r="B42" s="1" t="n">
        <v>35</v>
      </c>
      <c r="C42" s="34">
        <f>EDATE(Debts!$J$13,B42-1)</f>
        <v/>
      </c>
      <c r="D42" s="33">
        <f>IF(G41&lt;=0.005,0,Debts!$E$16+Debts!$J$7)</f>
        <v/>
      </c>
      <c r="E42" s="33">
        <f>MAX(0,D42-(SUMIF($H$5:$AK$5,"Due",H42:AK42)-SUMIF($H$5:$AK$5,"Rem",H42:AK42)))</f>
        <v/>
      </c>
      <c r="F42" s="33">
        <f>SUMIF($H$5:$AK$5,"Due",H42:AK42)-SUMIF($H$5:$AK$5,"Bal",H41:AK41)</f>
        <v/>
      </c>
      <c r="G42" s="33">
        <f>SUMIF($H$5:$AK$5,"Bal",H42:AK42)</f>
        <v/>
      </c>
      <c r="H42" s="33">
        <f>J41*(1+N(Debts!$D$6)/1200)</f>
        <v/>
      </c>
      <c r="I42" s="33">
        <f>H42-MIN(N(Debts!$E$6),H42)</f>
        <v/>
      </c>
      <c r="J42" s="33">
        <f>IF(I42&lt;=0.005,0,I42-MIN(I42,MAX(0,$E42-SUMIFS(H42:AK42,$H$5:$AK$5,"Rem",$H$4:$AK$4,"&lt;"&amp;J$4))))</f>
        <v/>
      </c>
      <c r="K42" s="33">
        <f>M41*(1+N(Debts!$D$7)/1200)</f>
        <v/>
      </c>
      <c r="L42" s="33">
        <f>K42-MIN(N(Debts!$E$7),K42)</f>
        <v/>
      </c>
      <c r="M42" s="33">
        <f>IF(L42&lt;=0.005,0,L42-MIN(L42,MAX(0,$E42-SUMIFS(H42:AK42,$H$5:$AK$5,"Rem",$H$4:$AK$4,"&lt;"&amp;M$4))))</f>
        <v/>
      </c>
      <c r="N42" s="33">
        <f>P41*(1+N(Debts!$D$8)/1200)</f>
        <v/>
      </c>
      <c r="O42" s="33">
        <f>N42-MIN(N(Debts!$E$8),N42)</f>
        <v/>
      </c>
      <c r="P42" s="33">
        <f>IF(O42&lt;=0.005,0,O42-MIN(O42,MAX(0,$E42-SUMIFS(H42:AK42,$H$5:$AK$5,"Rem",$H$4:$AK$4,"&lt;"&amp;P$4))))</f>
        <v/>
      </c>
      <c r="Q42" s="33">
        <f>S41*(1+N(Debts!$D$9)/1200)</f>
        <v/>
      </c>
      <c r="R42" s="33">
        <f>Q42-MIN(N(Debts!$E$9),Q42)</f>
        <v/>
      </c>
      <c r="S42" s="33">
        <f>IF(R42&lt;=0.005,0,R42-MIN(R42,MAX(0,$E42-SUMIFS(H42:AK42,$H$5:$AK$5,"Rem",$H$4:$AK$4,"&lt;"&amp;S$4))))</f>
        <v/>
      </c>
      <c r="T42" s="33">
        <f>V41*(1+N(Debts!$D$10)/1200)</f>
        <v/>
      </c>
      <c r="U42" s="33">
        <f>T42-MIN(N(Debts!$E$10),T42)</f>
        <v/>
      </c>
      <c r="V42" s="33">
        <f>IF(U42&lt;=0.005,0,U42-MIN(U42,MAX(0,$E42-SUMIFS(H42:AK42,$H$5:$AK$5,"Rem",$H$4:$AK$4,"&lt;"&amp;V$4))))</f>
        <v/>
      </c>
      <c r="W42" s="33">
        <f>Y41*(1+N(Debts!$D$11)/1200)</f>
        <v/>
      </c>
      <c r="X42" s="33">
        <f>W42-MIN(N(Debts!$E$11),W42)</f>
        <v/>
      </c>
      <c r="Y42" s="33">
        <f>IF(X42&lt;=0.005,0,X42-MIN(X42,MAX(0,$E42-SUMIFS(H42:AK42,$H$5:$AK$5,"Rem",$H$4:$AK$4,"&lt;"&amp;Y$4))))</f>
        <v/>
      </c>
      <c r="Z42" s="33">
        <f>AB41*(1+N(Debts!$D$12)/1200)</f>
        <v/>
      </c>
      <c r="AA42" s="33">
        <f>Z42-MIN(N(Debts!$E$12),Z42)</f>
        <v/>
      </c>
      <c r="AB42" s="33">
        <f>IF(AA42&lt;=0.005,0,AA42-MIN(AA42,MAX(0,$E42-SUMIFS(H42:AK42,$H$5:$AK$5,"Rem",$H$4:$AK$4,"&lt;"&amp;AB$4))))</f>
        <v/>
      </c>
      <c r="AC42" s="33">
        <f>AE41*(1+N(Debts!$D$13)/1200)</f>
        <v/>
      </c>
      <c r="AD42" s="33">
        <f>AC42-MIN(N(Debts!$E$13),AC42)</f>
        <v/>
      </c>
      <c r="AE42" s="33">
        <f>IF(AD42&lt;=0.005,0,AD42-MIN(AD42,MAX(0,$E42-SUMIFS(H42:AK42,$H$5:$AK$5,"Rem",$H$4:$AK$4,"&lt;"&amp;AE$4))))</f>
        <v/>
      </c>
      <c r="AF42" s="33">
        <f>AH41*(1+N(Debts!$D$14)/1200)</f>
        <v/>
      </c>
      <c r="AG42" s="33">
        <f>AF42-MIN(N(Debts!$E$14),AF42)</f>
        <v/>
      </c>
      <c r="AH42" s="33">
        <f>IF(AG42&lt;=0.005,0,AG42-MIN(AG42,MAX(0,$E42-SUMIFS(H42:AK42,$H$5:$AK$5,"Rem",$H$4:$AK$4,"&lt;"&amp;AH$4))))</f>
        <v/>
      </c>
      <c r="AI42" s="33">
        <f>AK41*(1+N(Debts!$D$15)/1200)</f>
        <v/>
      </c>
      <c r="AJ42" s="33">
        <f>AI42-MIN(N(Debts!$E$15),AI42)</f>
        <v/>
      </c>
      <c r="AK42" s="33">
        <f>IF(AJ42&lt;=0.005,0,AJ42-MIN(AJ42,MAX(0,$E42-SUMIFS(H42:AK42,$H$5:$AK$5,"Rem",$H$4:$AK$4,"&lt;"&amp;AK$4))))</f>
        <v/>
      </c>
      <c r="AL42" s="1" t="n"/>
    </row>
    <row r="43">
      <c r="A43" s="1" t="n"/>
      <c r="B43" s="1" t="n">
        <v>36</v>
      </c>
      <c r="C43" s="34">
        <f>EDATE(Debts!$J$13,B43-1)</f>
        <v/>
      </c>
      <c r="D43" s="33">
        <f>IF(G42&lt;=0.005,0,Debts!$E$16+Debts!$J$7)</f>
        <v/>
      </c>
      <c r="E43" s="33">
        <f>MAX(0,D43-(SUMIF($H$5:$AK$5,"Due",H43:AK43)-SUMIF($H$5:$AK$5,"Rem",H43:AK43)))</f>
        <v/>
      </c>
      <c r="F43" s="33">
        <f>SUMIF($H$5:$AK$5,"Due",H43:AK43)-SUMIF($H$5:$AK$5,"Bal",H42:AK42)</f>
        <v/>
      </c>
      <c r="G43" s="33">
        <f>SUMIF($H$5:$AK$5,"Bal",H43:AK43)</f>
        <v/>
      </c>
      <c r="H43" s="33">
        <f>J42*(1+N(Debts!$D$6)/1200)</f>
        <v/>
      </c>
      <c r="I43" s="33">
        <f>H43-MIN(N(Debts!$E$6),H43)</f>
        <v/>
      </c>
      <c r="J43" s="33">
        <f>IF(I43&lt;=0.005,0,I43-MIN(I43,MAX(0,$E43-SUMIFS(H43:AK43,$H$5:$AK$5,"Rem",$H$4:$AK$4,"&lt;"&amp;J$4))))</f>
        <v/>
      </c>
      <c r="K43" s="33">
        <f>M42*(1+N(Debts!$D$7)/1200)</f>
        <v/>
      </c>
      <c r="L43" s="33">
        <f>K43-MIN(N(Debts!$E$7),K43)</f>
        <v/>
      </c>
      <c r="M43" s="33">
        <f>IF(L43&lt;=0.005,0,L43-MIN(L43,MAX(0,$E43-SUMIFS(H43:AK43,$H$5:$AK$5,"Rem",$H$4:$AK$4,"&lt;"&amp;M$4))))</f>
        <v/>
      </c>
      <c r="N43" s="33">
        <f>P42*(1+N(Debts!$D$8)/1200)</f>
        <v/>
      </c>
      <c r="O43" s="33">
        <f>N43-MIN(N(Debts!$E$8),N43)</f>
        <v/>
      </c>
      <c r="P43" s="33">
        <f>IF(O43&lt;=0.005,0,O43-MIN(O43,MAX(0,$E43-SUMIFS(H43:AK43,$H$5:$AK$5,"Rem",$H$4:$AK$4,"&lt;"&amp;P$4))))</f>
        <v/>
      </c>
      <c r="Q43" s="33">
        <f>S42*(1+N(Debts!$D$9)/1200)</f>
        <v/>
      </c>
      <c r="R43" s="33">
        <f>Q43-MIN(N(Debts!$E$9),Q43)</f>
        <v/>
      </c>
      <c r="S43" s="33">
        <f>IF(R43&lt;=0.005,0,R43-MIN(R43,MAX(0,$E43-SUMIFS(H43:AK43,$H$5:$AK$5,"Rem",$H$4:$AK$4,"&lt;"&amp;S$4))))</f>
        <v/>
      </c>
      <c r="T43" s="33">
        <f>V42*(1+N(Debts!$D$10)/1200)</f>
        <v/>
      </c>
      <c r="U43" s="33">
        <f>T43-MIN(N(Debts!$E$10),T43)</f>
        <v/>
      </c>
      <c r="V43" s="33">
        <f>IF(U43&lt;=0.005,0,U43-MIN(U43,MAX(0,$E43-SUMIFS(H43:AK43,$H$5:$AK$5,"Rem",$H$4:$AK$4,"&lt;"&amp;V$4))))</f>
        <v/>
      </c>
      <c r="W43" s="33">
        <f>Y42*(1+N(Debts!$D$11)/1200)</f>
        <v/>
      </c>
      <c r="X43" s="33">
        <f>W43-MIN(N(Debts!$E$11),W43)</f>
        <v/>
      </c>
      <c r="Y43" s="33">
        <f>IF(X43&lt;=0.005,0,X43-MIN(X43,MAX(0,$E43-SUMIFS(H43:AK43,$H$5:$AK$5,"Rem",$H$4:$AK$4,"&lt;"&amp;Y$4))))</f>
        <v/>
      </c>
      <c r="Z43" s="33">
        <f>AB42*(1+N(Debts!$D$12)/1200)</f>
        <v/>
      </c>
      <c r="AA43" s="33">
        <f>Z43-MIN(N(Debts!$E$12),Z43)</f>
        <v/>
      </c>
      <c r="AB43" s="33">
        <f>IF(AA43&lt;=0.005,0,AA43-MIN(AA43,MAX(0,$E43-SUMIFS(H43:AK43,$H$5:$AK$5,"Rem",$H$4:$AK$4,"&lt;"&amp;AB$4))))</f>
        <v/>
      </c>
      <c r="AC43" s="33">
        <f>AE42*(1+N(Debts!$D$13)/1200)</f>
        <v/>
      </c>
      <c r="AD43" s="33">
        <f>AC43-MIN(N(Debts!$E$13),AC43)</f>
        <v/>
      </c>
      <c r="AE43" s="33">
        <f>IF(AD43&lt;=0.005,0,AD43-MIN(AD43,MAX(0,$E43-SUMIFS(H43:AK43,$H$5:$AK$5,"Rem",$H$4:$AK$4,"&lt;"&amp;AE$4))))</f>
        <v/>
      </c>
      <c r="AF43" s="33">
        <f>AH42*(1+N(Debts!$D$14)/1200)</f>
        <v/>
      </c>
      <c r="AG43" s="33">
        <f>AF43-MIN(N(Debts!$E$14),AF43)</f>
        <v/>
      </c>
      <c r="AH43" s="33">
        <f>IF(AG43&lt;=0.005,0,AG43-MIN(AG43,MAX(0,$E43-SUMIFS(H43:AK43,$H$5:$AK$5,"Rem",$H$4:$AK$4,"&lt;"&amp;AH$4))))</f>
        <v/>
      </c>
      <c r="AI43" s="33">
        <f>AK42*(1+N(Debts!$D$15)/1200)</f>
        <v/>
      </c>
      <c r="AJ43" s="33">
        <f>AI43-MIN(N(Debts!$E$15),AI43)</f>
        <v/>
      </c>
      <c r="AK43" s="33">
        <f>IF(AJ43&lt;=0.005,0,AJ43-MIN(AJ43,MAX(0,$E43-SUMIFS(H43:AK43,$H$5:$AK$5,"Rem",$H$4:$AK$4,"&lt;"&amp;AK$4))))</f>
        <v/>
      </c>
      <c r="AL43" s="1" t="n"/>
    </row>
    <row r="44">
      <c r="A44" s="1" t="n"/>
      <c r="B44" s="1" t="n">
        <v>37</v>
      </c>
      <c r="C44" s="34">
        <f>EDATE(Debts!$J$13,B44-1)</f>
        <v/>
      </c>
      <c r="D44" s="33">
        <f>IF(G43&lt;=0.005,0,Debts!$E$16+Debts!$J$7)</f>
        <v/>
      </c>
      <c r="E44" s="33">
        <f>MAX(0,D44-(SUMIF($H$5:$AK$5,"Due",H44:AK44)-SUMIF($H$5:$AK$5,"Rem",H44:AK44)))</f>
        <v/>
      </c>
      <c r="F44" s="33">
        <f>SUMIF($H$5:$AK$5,"Due",H44:AK44)-SUMIF($H$5:$AK$5,"Bal",H43:AK43)</f>
        <v/>
      </c>
      <c r="G44" s="33">
        <f>SUMIF($H$5:$AK$5,"Bal",H44:AK44)</f>
        <v/>
      </c>
      <c r="H44" s="33">
        <f>J43*(1+N(Debts!$D$6)/1200)</f>
        <v/>
      </c>
      <c r="I44" s="33">
        <f>H44-MIN(N(Debts!$E$6),H44)</f>
        <v/>
      </c>
      <c r="J44" s="33">
        <f>IF(I44&lt;=0.005,0,I44-MIN(I44,MAX(0,$E44-SUMIFS(H44:AK44,$H$5:$AK$5,"Rem",$H$4:$AK$4,"&lt;"&amp;J$4))))</f>
        <v/>
      </c>
      <c r="K44" s="33">
        <f>M43*(1+N(Debts!$D$7)/1200)</f>
        <v/>
      </c>
      <c r="L44" s="33">
        <f>K44-MIN(N(Debts!$E$7),K44)</f>
        <v/>
      </c>
      <c r="M44" s="33">
        <f>IF(L44&lt;=0.005,0,L44-MIN(L44,MAX(0,$E44-SUMIFS(H44:AK44,$H$5:$AK$5,"Rem",$H$4:$AK$4,"&lt;"&amp;M$4))))</f>
        <v/>
      </c>
      <c r="N44" s="33">
        <f>P43*(1+N(Debts!$D$8)/1200)</f>
        <v/>
      </c>
      <c r="O44" s="33">
        <f>N44-MIN(N(Debts!$E$8),N44)</f>
        <v/>
      </c>
      <c r="P44" s="33">
        <f>IF(O44&lt;=0.005,0,O44-MIN(O44,MAX(0,$E44-SUMIFS(H44:AK44,$H$5:$AK$5,"Rem",$H$4:$AK$4,"&lt;"&amp;P$4))))</f>
        <v/>
      </c>
      <c r="Q44" s="33">
        <f>S43*(1+N(Debts!$D$9)/1200)</f>
        <v/>
      </c>
      <c r="R44" s="33">
        <f>Q44-MIN(N(Debts!$E$9),Q44)</f>
        <v/>
      </c>
      <c r="S44" s="33">
        <f>IF(R44&lt;=0.005,0,R44-MIN(R44,MAX(0,$E44-SUMIFS(H44:AK44,$H$5:$AK$5,"Rem",$H$4:$AK$4,"&lt;"&amp;S$4))))</f>
        <v/>
      </c>
      <c r="T44" s="33">
        <f>V43*(1+N(Debts!$D$10)/1200)</f>
        <v/>
      </c>
      <c r="U44" s="33">
        <f>T44-MIN(N(Debts!$E$10),T44)</f>
        <v/>
      </c>
      <c r="V44" s="33">
        <f>IF(U44&lt;=0.005,0,U44-MIN(U44,MAX(0,$E44-SUMIFS(H44:AK44,$H$5:$AK$5,"Rem",$H$4:$AK$4,"&lt;"&amp;V$4))))</f>
        <v/>
      </c>
      <c r="W44" s="33">
        <f>Y43*(1+N(Debts!$D$11)/1200)</f>
        <v/>
      </c>
      <c r="X44" s="33">
        <f>W44-MIN(N(Debts!$E$11),W44)</f>
        <v/>
      </c>
      <c r="Y44" s="33">
        <f>IF(X44&lt;=0.005,0,X44-MIN(X44,MAX(0,$E44-SUMIFS(H44:AK44,$H$5:$AK$5,"Rem",$H$4:$AK$4,"&lt;"&amp;Y$4))))</f>
        <v/>
      </c>
      <c r="Z44" s="33">
        <f>AB43*(1+N(Debts!$D$12)/1200)</f>
        <v/>
      </c>
      <c r="AA44" s="33">
        <f>Z44-MIN(N(Debts!$E$12),Z44)</f>
        <v/>
      </c>
      <c r="AB44" s="33">
        <f>IF(AA44&lt;=0.005,0,AA44-MIN(AA44,MAX(0,$E44-SUMIFS(H44:AK44,$H$5:$AK$5,"Rem",$H$4:$AK$4,"&lt;"&amp;AB$4))))</f>
        <v/>
      </c>
      <c r="AC44" s="33">
        <f>AE43*(1+N(Debts!$D$13)/1200)</f>
        <v/>
      </c>
      <c r="AD44" s="33">
        <f>AC44-MIN(N(Debts!$E$13),AC44)</f>
        <v/>
      </c>
      <c r="AE44" s="33">
        <f>IF(AD44&lt;=0.005,0,AD44-MIN(AD44,MAX(0,$E44-SUMIFS(H44:AK44,$H$5:$AK$5,"Rem",$H$4:$AK$4,"&lt;"&amp;AE$4))))</f>
        <v/>
      </c>
      <c r="AF44" s="33">
        <f>AH43*(1+N(Debts!$D$14)/1200)</f>
        <v/>
      </c>
      <c r="AG44" s="33">
        <f>AF44-MIN(N(Debts!$E$14),AF44)</f>
        <v/>
      </c>
      <c r="AH44" s="33">
        <f>IF(AG44&lt;=0.005,0,AG44-MIN(AG44,MAX(0,$E44-SUMIFS(H44:AK44,$H$5:$AK$5,"Rem",$H$4:$AK$4,"&lt;"&amp;AH$4))))</f>
        <v/>
      </c>
      <c r="AI44" s="33">
        <f>AK43*(1+N(Debts!$D$15)/1200)</f>
        <v/>
      </c>
      <c r="AJ44" s="33">
        <f>AI44-MIN(N(Debts!$E$15),AI44)</f>
        <v/>
      </c>
      <c r="AK44" s="33">
        <f>IF(AJ44&lt;=0.005,0,AJ44-MIN(AJ44,MAX(0,$E44-SUMIFS(H44:AK44,$H$5:$AK$5,"Rem",$H$4:$AK$4,"&lt;"&amp;AK$4))))</f>
        <v/>
      </c>
      <c r="AL44" s="1" t="n"/>
    </row>
    <row r="45">
      <c r="A45" s="1" t="n"/>
      <c r="B45" s="1" t="n">
        <v>38</v>
      </c>
      <c r="C45" s="34">
        <f>EDATE(Debts!$J$13,B45-1)</f>
        <v/>
      </c>
      <c r="D45" s="33">
        <f>IF(G44&lt;=0.005,0,Debts!$E$16+Debts!$J$7)</f>
        <v/>
      </c>
      <c r="E45" s="33">
        <f>MAX(0,D45-(SUMIF($H$5:$AK$5,"Due",H45:AK45)-SUMIF($H$5:$AK$5,"Rem",H45:AK45)))</f>
        <v/>
      </c>
      <c r="F45" s="33">
        <f>SUMIF($H$5:$AK$5,"Due",H45:AK45)-SUMIF($H$5:$AK$5,"Bal",H44:AK44)</f>
        <v/>
      </c>
      <c r="G45" s="33">
        <f>SUMIF($H$5:$AK$5,"Bal",H45:AK45)</f>
        <v/>
      </c>
      <c r="H45" s="33">
        <f>J44*(1+N(Debts!$D$6)/1200)</f>
        <v/>
      </c>
      <c r="I45" s="33">
        <f>H45-MIN(N(Debts!$E$6),H45)</f>
        <v/>
      </c>
      <c r="J45" s="33">
        <f>IF(I45&lt;=0.005,0,I45-MIN(I45,MAX(0,$E45-SUMIFS(H45:AK45,$H$5:$AK$5,"Rem",$H$4:$AK$4,"&lt;"&amp;J$4))))</f>
        <v/>
      </c>
      <c r="K45" s="33">
        <f>M44*(1+N(Debts!$D$7)/1200)</f>
        <v/>
      </c>
      <c r="L45" s="33">
        <f>K45-MIN(N(Debts!$E$7),K45)</f>
        <v/>
      </c>
      <c r="M45" s="33">
        <f>IF(L45&lt;=0.005,0,L45-MIN(L45,MAX(0,$E45-SUMIFS(H45:AK45,$H$5:$AK$5,"Rem",$H$4:$AK$4,"&lt;"&amp;M$4))))</f>
        <v/>
      </c>
      <c r="N45" s="33">
        <f>P44*(1+N(Debts!$D$8)/1200)</f>
        <v/>
      </c>
      <c r="O45" s="33">
        <f>N45-MIN(N(Debts!$E$8),N45)</f>
        <v/>
      </c>
      <c r="P45" s="33">
        <f>IF(O45&lt;=0.005,0,O45-MIN(O45,MAX(0,$E45-SUMIFS(H45:AK45,$H$5:$AK$5,"Rem",$H$4:$AK$4,"&lt;"&amp;P$4))))</f>
        <v/>
      </c>
      <c r="Q45" s="33">
        <f>S44*(1+N(Debts!$D$9)/1200)</f>
        <v/>
      </c>
      <c r="R45" s="33">
        <f>Q45-MIN(N(Debts!$E$9),Q45)</f>
        <v/>
      </c>
      <c r="S45" s="33">
        <f>IF(R45&lt;=0.005,0,R45-MIN(R45,MAX(0,$E45-SUMIFS(H45:AK45,$H$5:$AK$5,"Rem",$H$4:$AK$4,"&lt;"&amp;S$4))))</f>
        <v/>
      </c>
      <c r="T45" s="33">
        <f>V44*(1+N(Debts!$D$10)/1200)</f>
        <v/>
      </c>
      <c r="U45" s="33">
        <f>T45-MIN(N(Debts!$E$10),T45)</f>
        <v/>
      </c>
      <c r="V45" s="33">
        <f>IF(U45&lt;=0.005,0,U45-MIN(U45,MAX(0,$E45-SUMIFS(H45:AK45,$H$5:$AK$5,"Rem",$H$4:$AK$4,"&lt;"&amp;V$4))))</f>
        <v/>
      </c>
      <c r="W45" s="33">
        <f>Y44*(1+N(Debts!$D$11)/1200)</f>
        <v/>
      </c>
      <c r="X45" s="33">
        <f>W45-MIN(N(Debts!$E$11),W45)</f>
        <v/>
      </c>
      <c r="Y45" s="33">
        <f>IF(X45&lt;=0.005,0,X45-MIN(X45,MAX(0,$E45-SUMIFS(H45:AK45,$H$5:$AK$5,"Rem",$H$4:$AK$4,"&lt;"&amp;Y$4))))</f>
        <v/>
      </c>
      <c r="Z45" s="33">
        <f>AB44*(1+N(Debts!$D$12)/1200)</f>
        <v/>
      </c>
      <c r="AA45" s="33">
        <f>Z45-MIN(N(Debts!$E$12),Z45)</f>
        <v/>
      </c>
      <c r="AB45" s="33">
        <f>IF(AA45&lt;=0.005,0,AA45-MIN(AA45,MAX(0,$E45-SUMIFS(H45:AK45,$H$5:$AK$5,"Rem",$H$4:$AK$4,"&lt;"&amp;AB$4))))</f>
        <v/>
      </c>
      <c r="AC45" s="33">
        <f>AE44*(1+N(Debts!$D$13)/1200)</f>
        <v/>
      </c>
      <c r="AD45" s="33">
        <f>AC45-MIN(N(Debts!$E$13),AC45)</f>
        <v/>
      </c>
      <c r="AE45" s="33">
        <f>IF(AD45&lt;=0.005,0,AD45-MIN(AD45,MAX(0,$E45-SUMIFS(H45:AK45,$H$5:$AK$5,"Rem",$H$4:$AK$4,"&lt;"&amp;AE$4))))</f>
        <v/>
      </c>
      <c r="AF45" s="33">
        <f>AH44*(1+N(Debts!$D$14)/1200)</f>
        <v/>
      </c>
      <c r="AG45" s="33">
        <f>AF45-MIN(N(Debts!$E$14),AF45)</f>
        <v/>
      </c>
      <c r="AH45" s="33">
        <f>IF(AG45&lt;=0.005,0,AG45-MIN(AG45,MAX(0,$E45-SUMIFS(H45:AK45,$H$5:$AK$5,"Rem",$H$4:$AK$4,"&lt;"&amp;AH$4))))</f>
        <v/>
      </c>
      <c r="AI45" s="33">
        <f>AK44*(1+N(Debts!$D$15)/1200)</f>
        <v/>
      </c>
      <c r="AJ45" s="33">
        <f>AI45-MIN(N(Debts!$E$15),AI45)</f>
        <v/>
      </c>
      <c r="AK45" s="33">
        <f>IF(AJ45&lt;=0.005,0,AJ45-MIN(AJ45,MAX(0,$E45-SUMIFS(H45:AK45,$H$5:$AK$5,"Rem",$H$4:$AK$4,"&lt;"&amp;AK$4))))</f>
        <v/>
      </c>
      <c r="AL45" s="1" t="n"/>
    </row>
    <row r="46">
      <c r="A46" s="1" t="n"/>
      <c r="B46" s="1" t="n">
        <v>39</v>
      </c>
      <c r="C46" s="34">
        <f>EDATE(Debts!$J$13,B46-1)</f>
        <v/>
      </c>
      <c r="D46" s="33">
        <f>IF(G45&lt;=0.005,0,Debts!$E$16+Debts!$J$7)</f>
        <v/>
      </c>
      <c r="E46" s="33">
        <f>MAX(0,D46-(SUMIF($H$5:$AK$5,"Due",H46:AK46)-SUMIF($H$5:$AK$5,"Rem",H46:AK46)))</f>
        <v/>
      </c>
      <c r="F46" s="33">
        <f>SUMIF($H$5:$AK$5,"Due",H46:AK46)-SUMIF($H$5:$AK$5,"Bal",H45:AK45)</f>
        <v/>
      </c>
      <c r="G46" s="33">
        <f>SUMIF($H$5:$AK$5,"Bal",H46:AK46)</f>
        <v/>
      </c>
      <c r="H46" s="33">
        <f>J45*(1+N(Debts!$D$6)/1200)</f>
        <v/>
      </c>
      <c r="I46" s="33">
        <f>H46-MIN(N(Debts!$E$6),H46)</f>
        <v/>
      </c>
      <c r="J46" s="33">
        <f>IF(I46&lt;=0.005,0,I46-MIN(I46,MAX(0,$E46-SUMIFS(H46:AK46,$H$5:$AK$5,"Rem",$H$4:$AK$4,"&lt;"&amp;J$4))))</f>
        <v/>
      </c>
      <c r="K46" s="33">
        <f>M45*(1+N(Debts!$D$7)/1200)</f>
        <v/>
      </c>
      <c r="L46" s="33">
        <f>K46-MIN(N(Debts!$E$7),K46)</f>
        <v/>
      </c>
      <c r="M46" s="33">
        <f>IF(L46&lt;=0.005,0,L46-MIN(L46,MAX(0,$E46-SUMIFS(H46:AK46,$H$5:$AK$5,"Rem",$H$4:$AK$4,"&lt;"&amp;M$4))))</f>
        <v/>
      </c>
      <c r="N46" s="33">
        <f>P45*(1+N(Debts!$D$8)/1200)</f>
        <v/>
      </c>
      <c r="O46" s="33">
        <f>N46-MIN(N(Debts!$E$8),N46)</f>
        <v/>
      </c>
      <c r="P46" s="33">
        <f>IF(O46&lt;=0.005,0,O46-MIN(O46,MAX(0,$E46-SUMIFS(H46:AK46,$H$5:$AK$5,"Rem",$H$4:$AK$4,"&lt;"&amp;P$4))))</f>
        <v/>
      </c>
      <c r="Q46" s="33">
        <f>S45*(1+N(Debts!$D$9)/1200)</f>
        <v/>
      </c>
      <c r="R46" s="33">
        <f>Q46-MIN(N(Debts!$E$9),Q46)</f>
        <v/>
      </c>
      <c r="S46" s="33">
        <f>IF(R46&lt;=0.005,0,R46-MIN(R46,MAX(0,$E46-SUMIFS(H46:AK46,$H$5:$AK$5,"Rem",$H$4:$AK$4,"&lt;"&amp;S$4))))</f>
        <v/>
      </c>
      <c r="T46" s="33">
        <f>V45*(1+N(Debts!$D$10)/1200)</f>
        <v/>
      </c>
      <c r="U46" s="33">
        <f>T46-MIN(N(Debts!$E$10),T46)</f>
        <v/>
      </c>
      <c r="V46" s="33">
        <f>IF(U46&lt;=0.005,0,U46-MIN(U46,MAX(0,$E46-SUMIFS(H46:AK46,$H$5:$AK$5,"Rem",$H$4:$AK$4,"&lt;"&amp;V$4))))</f>
        <v/>
      </c>
      <c r="W46" s="33">
        <f>Y45*(1+N(Debts!$D$11)/1200)</f>
        <v/>
      </c>
      <c r="X46" s="33">
        <f>W46-MIN(N(Debts!$E$11),W46)</f>
        <v/>
      </c>
      <c r="Y46" s="33">
        <f>IF(X46&lt;=0.005,0,X46-MIN(X46,MAX(0,$E46-SUMIFS(H46:AK46,$H$5:$AK$5,"Rem",$H$4:$AK$4,"&lt;"&amp;Y$4))))</f>
        <v/>
      </c>
      <c r="Z46" s="33">
        <f>AB45*(1+N(Debts!$D$12)/1200)</f>
        <v/>
      </c>
      <c r="AA46" s="33">
        <f>Z46-MIN(N(Debts!$E$12),Z46)</f>
        <v/>
      </c>
      <c r="AB46" s="33">
        <f>IF(AA46&lt;=0.005,0,AA46-MIN(AA46,MAX(0,$E46-SUMIFS(H46:AK46,$H$5:$AK$5,"Rem",$H$4:$AK$4,"&lt;"&amp;AB$4))))</f>
        <v/>
      </c>
      <c r="AC46" s="33">
        <f>AE45*(1+N(Debts!$D$13)/1200)</f>
        <v/>
      </c>
      <c r="AD46" s="33">
        <f>AC46-MIN(N(Debts!$E$13),AC46)</f>
        <v/>
      </c>
      <c r="AE46" s="33">
        <f>IF(AD46&lt;=0.005,0,AD46-MIN(AD46,MAX(0,$E46-SUMIFS(H46:AK46,$H$5:$AK$5,"Rem",$H$4:$AK$4,"&lt;"&amp;AE$4))))</f>
        <v/>
      </c>
      <c r="AF46" s="33">
        <f>AH45*(1+N(Debts!$D$14)/1200)</f>
        <v/>
      </c>
      <c r="AG46" s="33">
        <f>AF46-MIN(N(Debts!$E$14),AF46)</f>
        <v/>
      </c>
      <c r="AH46" s="33">
        <f>IF(AG46&lt;=0.005,0,AG46-MIN(AG46,MAX(0,$E46-SUMIFS(H46:AK46,$H$5:$AK$5,"Rem",$H$4:$AK$4,"&lt;"&amp;AH$4))))</f>
        <v/>
      </c>
      <c r="AI46" s="33">
        <f>AK45*(1+N(Debts!$D$15)/1200)</f>
        <v/>
      </c>
      <c r="AJ46" s="33">
        <f>AI46-MIN(N(Debts!$E$15),AI46)</f>
        <v/>
      </c>
      <c r="AK46" s="33">
        <f>IF(AJ46&lt;=0.005,0,AJ46-MIN(AJ46,MAX(0,$E46-SUMIFS(H46:AK46,$H$5:$AK$5,"Rem",$H$4:$AK$4,"&lt;"&amp;AK$4))))</f>
        <v/>
      </c>
      <c r="AL46" s="1" t="n"/>
    </row>
    <row r="47">
      <c r="A47" s="1" t="n"/>
      <c r="B47" s="1" t="n">
        <v>40</v>
      </c>
      <c r="C47" s="34">
        <f>EDATE(Debts!$J$13,B47-1)</f>
        <v/>
      </c>
      <c r="D47" s="33">
        <f>IF(G46&lt;=0.005,0,Debts!$E$16+Debts!$J$7)</f>
        <v/>
      </c>
      <c r="E47" s="33">
        <f>MAX(0,D47-(SUMIF($H$5:$AK$5,"Due",H47:AK47)-SUMIF($H$5:$AK$5,"Rem",H47:AK47)))</f>
        <v/>
      </c>
      <c r="F47" s="33">
        <f>SUMIF($H$5:$AK$5,"Due",H47:AK47)-SUMIF($H$5:$AK$5,"Bal",H46:AK46)</f>
        <v/>
      </c>
      <c r="G47" s="33">
        <f>SUMIF($H$5:$AK$5,"Bal",H47:AK47)</f>
        <v/>
      </c>
      <c r="H47" s="33">
        <f>J46*(1+N(Debts!$D$6)/1200)</f>
        <v/>
      </c>
      <c r="I47" s="33">
        <f>H47-MIN(N(Debts!$E$6),H47)</f>
        <v/>
      </c>
      <c r="J47" s="33">
        <f>IF(I47&lt;=0.005,0,I47-MIN(I47,MAX(0,$E47-SUMIFS(H47:AK47,$H$5:$AK$5,"Rem",$H$4:$AK$4,"&lt;"&amp;J$4))))</f>
        <v/>
      </c>
      <c r="K47" s="33">
        <f>M46*(1+N(Debts!$D$7)/1200)</f>
        <v/>
      </c>
      <c r="L47" s="33">
        <f>K47-MIN(N(Debts!$E$7),K47)</f>
        <v/>
      </c>
      <c r="M47" s="33">
        <f>IF(L47&lt;=0.005,0,L47-MIN(L47,MAX(0,$E47-SUMIFS(H47:AK47,$H$5:$AK$5,"Rem",$H$4:$AK$4,"&lt;"&amp;M$4))))</f>
        <v/>
      </c>
      <c r="N47" s="33">
        <f>P46*(1+N(Debts!$D$8)/1200)</f>
        <v/>
      </c>
      <c r="O47" s="33">
        <f>N47-MIN(N(Debts!$E$8),N47)</f>
        <v/>
      </c>
      <c r="P47" s="33">
        <f>IF(O47&lt;=0.005,0,O47-MIN(O47,MAX(0,$E47-SUMIFS(H47:AK47,$H$5:$AK$5,"Rem",$H$4:$AK$4,"&lt;"&amp;P$4))))</f>
        <v/>
      </c>
      <c r="Q47" s="33">
        <f>S46*(1+N(Debts!$D$9)/1200)</f>
        <v/>
      </c>
      <c r="R47" s="33">
        <f>Q47-MIN(N(Debts!$E$9),Q47)</f>
        <v/>
      </c>
      <c r="S47" s="33">
        <f>IF(R47&lt;=0.005,0,R47-MIN(R47,MAX(0,$E47-SUMIFS(H47:AK47,$H$5:$AK$5,"Rem",$H$4:$AK$4,"&lt;"&amp;S$4))))</f>
        <v/>
      </c>
      <c r="T47" s="33">
        <f>V46*(1+N(Debts!$D$10)/1200)</f>
        <v/>
      </c>
      <c r="U47" s="33">
        <f>T47-MIN(N(Debts!$E$10),T47)</f>
        <v/>
      </c>
      <c r="V47" s="33">
        <f>IF(U47&lt;=0.005,0,U47-MIN(U47,MAX(0,$E47-SUMIFS(H47:AK47,$H$5:$AK$5,"Rem",$H$4:$AK$4,"&lt;"&amp;V$4))))</f>
        <v/>
      </c>
      <c r="W47" s="33">
        <f>Y46*(1+N(Debts!$D$11)/1200)</f>
        <v/>
      </c>
      <c r="X47" s="33">
        <f>W47-MIN(N(Debts!$E$11),W47)</f>
        <v/>
      </c>
      <c r="Y47" s="33">
        <f>IF(X47&lt;=0.005,0,X47-MIN(X47,MAX(0,$E47-SUMIFS(H47:AK47,$H$5:$AK$5,"Rem",$H$4:$AK$4,"&lt;"&amp;Y$4))))</f>
        <v/>
      </c>
      <c r="Z47" s="33">
        <f>AB46*(1+N(Debts!$D$12)/1200)</f>
        <v/>
      </c>
      <c r="AA47" s="33">
        <f>Z47-MIN(N(Debts!$E$12),Z47)</f>
        <v/>
      </c>
      <c r="AB47" s="33">
        <f>IF(AA47&lt;=0.005,0,AA47-MIN(AA47,MAX(0,$E47-SUMIFS(H47:AK47,$H$5:$AK$5,"Rem",$H$4:$AK$4,"&lt;"&amp;AB$4))))</f>
        <v/>
      </c>
      <c r="AC47" s="33">
        <f>AE46*(1+N(Debts!$D$13)/1200)</f>
        <v/>
      </c>
      <c r="AD47" s="33">
        <f>AC47-MIN(N(Debts!$E$13),AC47)</f>
        <v/>
      </c>
      <c r="AE47" s="33">
        <f>IF(AD47&lt;=0.005,0,AD47-MIN(AD47,MAX(0,$E47-SUMIFS(H47:AK47,$H$5:$AK$5,"Rem",$H$4:$AK$4,"&lt;"&amp;AE$4))))</f>
        <v/>
      </c>
      <c r="AF47" s="33">
        <f>AH46*(1+N(Debts!$D$14)/1200)</f>
        <v/>
      </c>
      <c r="AG47" s="33">
        <f>AF47-MIN(N(Debts!$E$14),AF47)</f>
        <v/>
      </c>
      <c r="AH47" s="33">
        <f>IF(AG47&lt;=0.005,0,AG47-MIN(AG47,MAX(0,$E47-SUMIFS(H47:AK47,$H$5:$AK$5,"Rem",$H$4:$AK$4,"&lt;"&amp;AH$4))))</f>
        <v/>
      </c>
      <c r="AI47" s="33">
        <f>AK46*(1+N(Debts!$D$15)/1200)</f>
        <v/>
      </c>
      <c r="AJ47" s="33">
        <f>AI47-MIN(N(Debts!$E$15),AI47)</f>
        <v/>
      </c>
      <c r="AK47" s="33">
        <f>IF(AJ47&lt;=0.005,0,AJ47-MIN(AJ47,MAX(0,$E47-SUMIFS(H47:AK47,$H$5:$AK$5,"Rem",$H$4:$AK$4,"&lt;"&amp;AK$4))))</f>
        <v/>
      </c>
      <c r="AL47" s="1" t="n"/>
    </row>
    <row r="48">
      <c r="A48" s="1" t="n"/>
      <c r="B48" s="1" t="n">
        <v>41</v>
      </c>
      <c r="C48" s="34">
        <f>EDATE(Debts!$J$13,B48-1)</f>
        <v/>
      </c>
      <c r="D48" s="33">
        <f>IF(G47&lt;=0.005,0,Debts!$E$16+Debts!$J$7)</f>
        <v/>
      </c>
      <c r="E48" s="33">
        <f>MAX(0,D48-(SUMIF($H$5:$AK$5,"Due",H48:AK48)-SUMIF($H$5:$AK$5,"Rem",H48:AK48)))</f>
        <v/>
      </c>
      <c r="F48" s="33">
        <f>SUMIF($H$5:$AK$5,"Due",H48:AK48)-SUMIF($H$5:$AK$5,"Bal",H47:AK47)</f>
        <v/>
      </c>
      <c r="G48" s="33">
        <f>SUMIF($H$5:$AK$5,"Bal",H48:AK48)</f>
        <v/>
      </c>
      <c r="H48" s="33">
        <f>J47*(1+N(Debts!$D$6)/1200)</f>
        <v/>
      </c>
      <c r="I48" s="33">
        <f>H48-MIN(N(Debts!$E$6),H48)</f>
        <v/>
      </c>
      <c r="J48" s="33">
        <f>IF(I48&lt;=0.005,0,I48-MIN(I48,MAX(0,$E48-SUMIFS(H48:AK48,$H$5:$AK$5,"Rem",$H$4:$AK$4,"&lt;"&amp;J$4))))</f>
        <v/>
      </c>
      <c r="K48" s="33">
        <f>M47*(1+N(Debts!$D$7)/1200)</f>
        <v/>
      </c>
      <c r="L48" s="33">
        <f>K48-MIN(N(Debts!$E$7),K48)</f>
        <v/>
      </c>
      <c r="M48" s="33">
        <f>IF(L48&lt;=0.005,0,L48-MIN(L48,MAX(0,$E48-SUMIFS(H48:AK48,$H$5:$AK$5,"Rem",$H$4:$AK$4,"&lt;"&amp;M$4))))</f>
        <v/>
      </c>
      <c r="N48" s="33">
        <f>P47*(1+N(Debts!$D$8)/1200)</f>
        <v/>
      </c>
      <c r="O48" s="33">
        <f>N48-MIN(N(Debts!$E$8),N48)</f>
        <v/>
      </c>
      <c r="P48" s="33">
        <f>IF(O48&lt;=0.005,0,O48-MIN(O48,MAX(0,$E48-SUMIFS(H48:AK48,$H$5:$AK$5,"Rem",$H$4:$AK$4,"&lt;"&amp;P$4))))</f>
        <v/>
      </c>
      <c r="Q48" s="33">
        <f>S47*(1+N(Debts!$D$9)/1200)</f>
        <v/>
      </c>
      <c r="R48" s="33">
        <f>Q48-MIN(N(Debts!$E$9),Q48)</f>
        <v/>
      </c>
      <c r="S48" s="33">
        <f>IF(R48&lt;=0.005,0,R48-MIN(R48,MAX(0,$E48-SUMIFS(H48:AK48,$H$5:$AK$5,"Rem",$H$4:$AK$4,"&lt;"&amp;S$4))))</f>
        <v/>
      </c>
      <c r="T48" s="33">
        <f>V47*(1+N(Debts!$D$10)/1200)</f>
        <v/>
      </c>
      <c r="U48" s="33">
        <f>T48-MIN(N(Debts!$E$10),T48)</f>
        <v/>
      </c>
      <c r="V48" s="33">
        <f>IF(U48&lt;=0.005,0,U48-MIN(U48,MAX(0,$E48-SUMIFS(H48:AK48,$H$5:$AK$5,"Rem",$H$4:$AK$4,"&lt;"&amp;V$4))))</f>
        <v/>
      </c>
      <c r="W48" s="33">
        <f>Y47*(1+N(Debts!$D$11)/1200)</f>
        <v/>
      </c>
      <c r="X48" s="33">
        <f>W48-MIN(N(Debts!$E$11),W48)</f>
        <v/>
      </c>
      <c r="Y48" s="33">
        <f>IF(X48&lt;=0.005,0,X48-MIN(X48,MAX(0,$E48-SUMIFS(H48:AK48,$H$5:$AK$5,"Rem",$H$4:$AK$4,"&lt;"&amp;Y$4))))</f>
        <v/>
      </c>
      <c r="Z48" s="33">
        <f>AB47*(1+N(Debts!$D$12)/1200)</f>
        <v/>
      </c>
      <c r="AA48" s="33">
        <f>Z48-MIN(N(Debts!$E$12),Z48)</f>
        <v/>
      </c>
      <c r="AB48" s="33">
        <f>IF(AA48&lt;=0.005,0,AA48-MIN(AA48,MAX(0,$E48-SUMIFS(H48:AK48,$H$5:$AK$5,"Rem",$H$4:$AK$4,"&lt;"&amp;AB$4))))</f>
        <v/>
      </c>
      <c r="AC48" s="33">
        <f>AE47*(1+N(Debts!$D$13)/1200)</f>
        <v/>
      </c>
      <c r="AD48" s="33">
        <f>AC48-MIN(N(Debts!$E$13),AC48)</f>
        <v/>
      </c>
      <c r="AE48" s="33">
        <f>IF(AD48&lt;=0.005,0,AD48-MIN(AD48,MAX(0,$E48-SUMIFS(H48:AK48,$H$5:$AK$5,"Rem",$H$4:$AK$4,"&lt;"&amp;AE$4))))</f>
        <v/>
      </c>
      <c r="AF48" s="33">
        <f>AH47*(1+N(Debts!$D$14)/1200)</f>
        <v/>
      </c>
      <c r="AG48" s="33">
        <f>AF48-MIN(N(Debts!$E$14),AF48)</f>
        <v/>
      </c>
      <c r="AH48" s="33">
        <f>IF(AG48&lt;=0.005,0,AG48-MIN(AG48,MAX(0,$E48-SUMIFS(H48:AK48,$H$5:$AK$5,"Rem",$H$4:$AK$4,"&lt;"&amp;AH$4))))</f>
        <v/>
      </c>
      <c r="AI48" s="33">
        <f>AK47*(1+N(Debts!$D$15)/1200)</f>
        <v/>
      </c>
      <c r="AJ48" s="33">
        <f>AI48-MIN(N(Debts!$E$15),AI48)</f>
        <v/>
      </c>
      <c r="AK48" s="33">
        <f>IF(AJ48&lt;=0.005,0,AJ48-MIN(AJ48,MAX(0,$E48-SUMIFS(H48:AK48,$H$5:$AK$5,"Rem",$H$4:$AK$4,"&lt;"&amp;AK$4))))</f>
        <v/>
      </c>
      <c r="AL48" s="1" t="n"/>
    </row>
    <row r="49">
      <c r="A49" s="1" t="n"/>
      <c r="B49" s="1" t="n">
        <v>42</v>
      </c>
      <c r="C49" s="34">
        <f>EDATE(Debts!$J$13,B49-1)</f>
        <v/>
      </c>
      <c r="D49" s="33">
        <f>IF(G48&lt;=0.005,0,Debts!$E$16+Debts!$J$7)</f>
        <v/>
      </c>
      <c r="E49" s="33">
        <f>MAX(0,D49-(SUMIF($H$5:$AK$5,"Due",H49:AK49)-SUMIF($H$5:$AK$5,"Rem",H49:AK49)))</f>
        <v/>
      </c>
      <c r="F49" s="33">
        <f>SUMIF($H$5:$AK$5,"Due",H49:AK49)-SUMIF($H$5:$AK$5,"Bal",H48:AK48)</f>
        <v/>
      </c>
      <c r="G49" s="33">
        <f>SUMIF($H$5:$AK$5,"Bal",H49:AK49)</f>
        <v/>
      </c>
      <c r="H49" s="33">
        <f>J48*(1+N(Debts!$D$6)/1200)</f>
        <v/>
      </c>
      <c r="I49" s="33">
        <f>H49-MIN(N(Debts!$E$6),H49)</f>
        <v/>
      </c>
      <c r="J49" s="33">
        <f>IF(I49&lt;=0.005,0,I49-MIN(I49,MAX(0,$E49-SUMIFS(H49:AK49,$H$5:$AK$5,"Rem",$H$4:$AK$4,"&lt;"&amp;J$4))))</f>
        <v/>
      </c>
      <c r="K49" s="33">
        <f>M48*(1+N(Debts!$D$7)/1200)</f>
        <v/>
      </c>
      <c r="L49" s="33">
        <f>K49-MIN(N(Debts!$E$7),K49)</f>
        <v/>
      </c>
      <c r="M49" s="33">
        <f>IF(L49&lt;=0.005,0,L49-MIN(L49,MAX(0,$E49-SUMIFS(H49:AK49,$H$5:$AK$5,"Rem",$H$4:$AK$4,"&lt;"&amp;M$4))))</f>
        <v/>
      </c>
      <c r="N49" s="33">
        <f>P48*(1+N(Debts!$D$8)/1200)</f>
        <v/>
      </c>
      <c r="O49" s="33">
        <f>N49-MIN(N(Debts!$E$8),N49)</f>
        <v/>
      </c>
      <c r="P49" s="33">
        <f>IF(O49&lt;=0.005,0,O49-MIN(O49,MAX(0,$E49-SUMIFS(H49:AK49,$H$5:$AK$5,"Rem",$H$4:$AK$4,"&lt;"&amp;P$4))))</f>
        <v/>
      </c>
      <c r="Q49" s="33">
        <f>S48*(1+N(Debts!$D$9)/1200)</f>
        <v/>
      </c>
      <c r="R49" s="33">
        <f>Q49-MIN(N(Debts!$E$9),Q49)</f>
        <v/>
      </c>
      <c r="S49" s="33">
        <f>IF(R49&lt;=0.005,0,R49-MIN(R49,MAX(0,$E49-SUMIFS(H49:AK49,$H$5:$AK$5,"Rem",$H$4:$AK$4,"&lt;"&amp;S$4))))</f>
        <v/>
      </c>
      <c r="T49" s="33">
        <f>V48*(1+N(Debts!$D$10)/1200)</f>
        <v/>
      </c>
      <c r="U49" s="33">
        <f>T49-MIN(N(Debts!$E$10),T49)</f>
        <v/>
      </c>
      <c r="V49" s="33">
        <f>IF(U49&lt;=0.005,0,U49-MIN(U49,MAX(0,$E49-SUMIFS(H49:AK49,$H$5:$AK$5,"Rem",$H$4:$AK$4,"&lt;"&amp;V$4))))</f>
        <v/>
      </c>
      <c r="W49" s="33">
        <f>Y48*(1+N(Debts!$D$11)/1200)</f>
        <v/>
      </c>
      <c r="X49" s="33">
        <f>W49-MIN(N(Debts!$E$11),W49)</f>
        <v/>
      </c>
      <c r="Y49" s="33">
        <f>IF(X49&lt;=0.005,0,X49-MIN(X49,MAX(0,$E49-SUMIFS(H49:AK49,$H$5:$AK$5,"Rem",$H$4:$AK$4,"&lt;"&amp;Y$4))))</f>
        <v/>
      </c>
      <c r="Z49" s="33">
        <f>AB48*(1+N(Debts!$D$12)/1200)</f>
        <v/>
      </c>
      <c r="AA49" s="33">
        <f>Z49-MIN(N(Debts!$E$12),Z49)</f>
        <v/>
      </c>
      <c r="AB49" s="33">
        <f>IF(AA49&lt;=0.005,0,AA49-MIN(AA49,MAX(0,$E49-SUMIFS(H49:AK49,$H$5:$AK$5,"Rem",$H$4:$AK$4,"&lt;"&amp;AB$4))))</f>
        <v/>
      </c>
      <c r="AC49" s="33">
        <f>AE48*(1+N(Debts!$D$13)/1200)</f>
        <v/>
      </c>
      <c r="AD49" s="33">
        <f>AC49-MIN(N(Debts!$E$13),AC49)</f>
        <v/>
      </c>
      <c r="AE49" s="33">
        <f>IF(AD49&lt;=0.005,0,AD49-MIN(AD49,MAX(0,$E49-SUMIFS(H49:AK49,$H$5:$AK$5,"Rem",$H$4:$AK$4,"&lt;"&amp;AE$4))))</f>
        <v/>
      </c>
      <c r="AF49" s="33">
        <f>AH48*(1+N(Debts!$D$14)/1200)</f>
        <v/>
      </c>
      <c r="AG49" s="33">
        <f>AF49-MIN(N(Debts!$E$14),AF49)</f>
        <v/>
      </c>
      <c r="AH49" s="33">
        <f>IF(AG49&lt;=0.005,0,AG49-MIN(AG49,MAX(0,$E49-SUMIFS(H49:AK49,$H$5:$AK$5,"Rem",$H$4:$AK$4,"&lt;"&amp;AH$4))))</f>
        <v/>
      </c>
      <c r="AI49" s="33">
        <f>AK48*(1+N(Debts!$D$15)/1200)</f>
        <v/>
      </c>
      <c r="AJ49" s="33">
        <f>AI49-MIN(N(Debts!$E$15),AI49)</f>
        <v/>
      </c>
      <c r="AK49" s="33">
        <f>IF(AJ49&lt;=0.005,0,AJ49-MIN(AJ49,MAX(0,$E49-SUMIFS(H49:AK49,$H$5:$AK$5,"Rem",$H$4:$AK$4,"&lt;"&amp;AK$4))))</f>
        <v/>
      </c>
      <c r="AL49" s="1" t="n"/>
    </row>
    <row r="50">
      <c r="A50" s="1" t="n"/>
      <c r="B50" s="1" t="n">
        <v>43</v>
      </c>
      <c r="C50" s="34">
        <f>EDATE(Debts!$J$13,B50-1)</f>
        <v/>
      </c>
      <c r="D50" s="33">
        <f>IF(G49&lt;=0.005,0,Debts!$E$16+Debts!$J$7)</f>
        <v/>
      </c>
      <c r="E50" s="33">
        <f>MAX(0,D50-(SUMIF($H$5:$AK$5,"Due",H50:AK50)-SUMIF($H$5:$AK$5,"Rem",H50:AK50)))</f>
        <v/>
      </c>
      <c r="F50" s="33">
        <f>SUMIF($H$5:$AK$5,"Due",H50:AK50)-SUMIF($H$5:$AK$5,"Bal",H49:AK49)</f>
        <v/>
      </c>
      <c r="G50" s="33">
        <f>SUMIF($H$5:$AK$5,"Bal",H50:AK50)</f>
        <v/>
      </c>
      <c r="H50" s="33">
        <f>J49*(1+N(Debts!$D$6)/1200)</f>
        <v/>
      </c>
      <c r="I50" s="33">
        <f>H50-MIN(N(Debts!$E$6),H50)</f>
        <v/>
      </c>
      <c r="J50" s="33">
        <f>IF(I50&lt;=0.005,0,I50-MIN(I50,MAX(0,$E50-SUMIFS(H50:AK50,$H$5:$AK$5,"Rem",$H$4:$AK$4,"&lt;"&amp;J$4))))</f>
        <v/>
      </c>
      <c r="K50" s="33">
        <f>M49*(1+N(Debts!$D$7)/1200)</f>
        <v/>
      </c>
      <c r="L50" s="33">
        <f>K50-MIN(N(Debts!$E$7),K50)</f>
        <v/>
      </c>
      <c r="M50" s="33">
        <f>IF(L50&lt;=0.005,0,L50-MIN(L50,MAX(0,$E50-SUMIFS(H50:AK50,$H$5:$AK$5,"Rem",$H$4:$AK$4,"&lt;"&amp;M$4))))</f>
        <v/>
      </c>
      <c r="N50" s="33">
        <f>P49*(1+N(Debts!$D$8)/1200)</f>
        <v/>
      </c>
      <c r="O50" s="33">
        <f>N50-MIN(N(Debts!$E$8),N50)</f>
        <v/>
      </c>
      <c r="P50" s="33">
        <f>IF(O50&lt;=0.005,0,O50-MIN(O50,MAX(0,$E50-SUMIFS(H50:AK50,$H$5:$AK$5,"Rem",$H$4:$AK$4,"&lt;"&amp;P$4))))</f>
        <v/>
      </c>
      <c r="Q50" s="33">
        <f>S49*(1+N(Debts!$D$9)/1200)</f>
        <v/>
      </c>
      <c r="R50" s="33">
        <f>Q50-MIN(N(Debts!$E$9),Q50)</f>
        <v/>
      </c>
      <c r="S50" s="33">
        <f>IF(R50&lt;=0.005,0,R50-MIN(R50,MAX(0,$E50-SUMIFS(H50:AK50,$H$5:$AK$5,"Rem",$H$4:$AK$4,"&lt;"&amp;S$4))))</f>
        <v/>
      </c>
      <c r="T50" s="33">
        <f>V49*(1+N(Debts!$D$10)/1200)</f>
        <v/>
      </c>
      <c r="U50" s="33">
        <f>T50-MIN(N(Debts!$E$10),T50)</f>
        <v/>
      </c>
      <c r="V50" s="33">
        <f>IF(U50&lt;=0.005,0,U50-MIN(U50,MAX(0,$E50-SUMIFS(H50:AK50,$H$5:$AK$5,"Rem",$H$4:$AK$4,"&lt;"&amp;V$4))))</f>
        <v/>
      </c>
      <c r="W50" s="33">
        <f>Y49*(1+N(Debts!$D$11)/1200)</f>
        <v/>
      </c>
      <c r="X50" s="33">
        <f>W50-MIN(N(Debts!$E$11),W50)</f>
        <v/>
      </c>
      <c r="Y50" s="33">
        <f>IF(X50&lt;=0.005,0,X50-MIN(X50,MAX(0,$E50-SUMIFS(H50:AK50,$H$5:$AK$5,"Rem",$H$4:$AK$4,"&lt;"&amp;Y$4))))</f>
        <v/>
      </c>
      <c r="Z50" s="33">
        <f>AB49*(1+N(Debts!$D$12)/1200)</f>
        <v/>
      </c>
      <c r="AA50" s="33">
        <f>Z50-MIN(N(Debts!$E$12),Z50)</f>
        <v/>
      </c>
      <c r="AB50" s="33">
        <f>IF(AA50&lt;=0.005,0,AA50-MIN(AA50,MAX(0,$E50-SUMIFS(H50:AK50,$H$5:$AK$5,"Rem",$H$4:$AK$4,"&lt;"&amp;AB$4))))</f>
        <v/>
      </c>
      <c r="AC50" s="33">
        <f>AE49*(1+N(Debts!$D$13)/1200)</f>
        <v/>
      </c>
      <c r="AD50" s="33">
        <f>AC50-MIN(N(Debts!$E$13),AC50)</f>
        <v/>
      </c>
      <c r="AE50" s="33">
        <f>IF(AD50&lt;=0.005,0,AD50-MIN(AD50,MAX(0,$E50-SUMIFS(H50:AK50,$H$5:$AK$5,"Rem",$H$4:$AK$4,"&lt;"&amp;AE$4))))</f>
        <v/>
      </c>
      <c r="AF50" s="33">
        <f>AH49*(1+N(Debts!$D$14)/1200)</f>
        <v/>
      </c>
      <c r="AG50" s="33">
        <f>AF50-MIN(N(Debts!$E$14),AF50)</f>
        <v/>
      </c>
      <c r="AH50" s="33">
        <f>IF(AG50&lt;=0.005,0,AG50-MIN(AG50,MAX(0,$E50-SUMIFS(H50:AK50,$H$5:$AK$5,"Rem",$H$4:$AK$4,"&lt;"&amp;AH$4))))</f>
        <v/>
      </c>
      <c r="AI50" s="33">
        <f>AK49*(1+N(Debts!$D$15)/1200)</f>
        <v/>
      </c>
      <c r="AJ50" s="33">
        <f>AI50-MIN(N(Debts!$E$15),AI50)</f>
        <v/>
      </c>
      <c r="AK50" s="33">
        <f>IF(AJ50&lt;=0.005,0,AJ50-MIN(AJ50,MAX(0,$E50-SUMIFS(H50:AK50,$H$5:$AK$5,"Rem",$H$4:$AK$4,"&lt;"&amp;AK$4))))</f>
        <v/>
      </c>
      <c r="AL50" s="1" t="n"/>
    </row>
    <row r="51">
      <c r="A51" s="1" t="n"/>
      <c r="B51" s="1" t="n">
        <v>44</v>
      </c>
      <c r="C51" s="34">
        <f>EDATE(Debts!$J$13,B51-1)</f>
        <v/>
      </c>
      <c r="D51" s="33">
        <f>IF(G50&lt;=0.005,0,Debts!$E$16+Debts!$J$7)</f>
        <v/>
      </c>
      <c r="E51" s="33">
        <f>MAX(0,D51-(SUMIF($H$5:$AK$5,"Due",H51:AK51)-SUMIF($H$5:$AK$5,"Rem",H51:AK51)))</f>
        <v/>
      </c>
      <c r="F51" s="33">
        <f>SUMIF($H$5:$AK$5,"Due",H51:AK51)-SUMIF($H$5:$AK$5,"Bal",H50:AK50)</f>
        <v/>
      </c>
      <c r="G51" s="33">
        <f>SUMIF($H$5:$AK$5,"Bal",H51:AK51)</f>
        <v/>
      </c>
      <c r="H51" s="33">
        <f>J50*(1+N(Debts!$D$6)/1200)</f>
        <v/>
      </c>
      <c r="I51" s="33">
        <f>H51-MIN(N(Debts!$E$6),H51)</f>
        <v/>
      </c>
      <c r="J51" s="33">
        <f>IF(I51&lt;=0.005,0,I51-MIN(I51,MAX(0,$E51-SUMIFS(H51:AK51,$H$5:$AK$5,"Rem",$H$4:$AK$4,"&lt;"&amp;J$4))))</f>
        <v/>
      </c>
      <c r="K51" s="33">
        <f>M50*(1+N(Debts!$D$7)/1200)</f>
        <v/>
      </c>
      <c r="L51" s="33">
        <f>K51-MIN(N(Debts!$E$7),K51)</f>
        <v/>
      </c>
      <c r="M51" s="33">
        <f>IF(L51&lt;=0.005,0,L51-MIN(L51,MAX(0,$E51-SUMIFS(H51:AK51,$H$5:$AK$5,"Rem",$H$4:$AK$4,"&lt;"&amp;M$4))))</f>
        <v/>
      </c>
      <c r="N51" s="33">
        <f>P50*(1+N(Debts!$D$8)/1200)</f>
        <v/>
      </c>
      <c r="O51" s="33">
        <f>N51-MIN(N(Debts!$E$8),N51)</f>
        <v/>
      </c>
      <c r="P51" s="33">
        <f>IF(O51&lt;=0.005,0,O51-MIN(O51,MAX(0,$E51-SUMIFS(H51:AK51,$H$5:$AK$5,"Rem",$H$4:$AK$4,"&lt;"&amp;P$4))))</f>
        <v/>
      </c>
      <c r="Q51" s="33">
        <f>S50*(1+N(Debts!$D$9)/1200)</f>
        <v/>
      </c>
      <c r="R51" s="33">
        <f>Q51-MIN(N(Debts!$E$9),Q51)</f>
        <v/>
      </c>
      <c r="S51" s="33">
        <f>IF(R51&lt;=0.005,0,R51-MIN(R51,MAX(0,$E51-SUMIFS(H51:AK51,$H$5:$AK$5,"Rem",$H$4:$AK$4,"&lt;"&amp;S$4))))</f>
        <v/>
      </c>
      <c r="T51" s="33">
        <f>V50*(1+N(Debts!$D$10)/1200)</f>
        <v/>
      </c>
      <c r="U51" s="33">
        <f>T51-MIN(N(Debts!$E$10),T51)</f>
        <v/>
      </c>
      <c r="V51" s="33">
        <f>IF(U51&lt;=0.005,0,U51-MIN(U51,MAX(0,$E51-SUMIFS(H51:AK51,$H$5:$AK$5,"Rem",$H$4:$AK$4,"&lt;"&amp;V$4))))</f>
        <v/>
      </c>
      <c r="W51" s="33">
        <f>Y50*(1+N(Debts!$D$11)/1200)</f>
        <v/>
      </c>
      <c r="X51" s="33">
        <f>W51-MIN(N(Debts!$E$11),W51)</f>
        <v/>
      </c>
      <c r="Y51" s="33">
        <f>IF(X51&lt;=0.005,0,X51-MIN(X51,MAX(0,$E51-SUMIFS(H51:AK51,$H$5:$AK$5,"Rem",$H$4:$AK$4,"&lt;"&amp;Y$4))))</f>
        <v/>
      </c>
      <c r="Z51" s="33">
        <f>AB50*(1+N(Debts!$D$12)/1200)</f>
        <v/>
      </c>
      <c r="AA51" s="33">
        <f>Z51-MIN(N(Debts!$E$12),Z51)</f>
        <v/>
      </c>
      <c r="AB51" s="33">
        <f>IF(AA51&lt;=0.005,0,AA51-MIN(AA51,MAX(0,$E51-SUMIFS(H51:AK51,$H$5:$AK$5,"Rem",$H$4:$AK$4,"&lt;"&amp;AB$4))))</f>
        <v/>
      </c>
      <c r="AC51" s="33">
        <f>AE50*(1+N(Debts!$D$13)/1200)</f>
        <v/>
      </c>
      <c r="AD51" s="33">
        <f>AC51-MIN(N(Debts!$E$13),AC51)</f>
        <v/>
      </c>
      <c r="AE51" s="33">
        <f>IF(AD51&lt;=0.005,0,AD51-MIN(AD51,MAX(0,$E51-SUMIFS(H51:AK51,$H$5:$AK$5,"Rem",$H$4:$AK$4,"&lt;"&amp;AE$4))))</f>
        <v/>
      </c>
      <c r="AF51" s="33">
        <f>AH50*(1+N(Debts!$D$14)/1200)</f>
        <v/>
      </c>
      <c r="AG51" s="33">
        <f>AF51-MIN(N(Debts!$E$14),AF51)</f>
        <v/>
      </c>
      <c r="AH51" s="33">
        <f>IF(AG51&lt;=0.005,0,AG51-MIN(AG51,MAX(0,$E51-SUMIFS(H51:AK51,$H$5:$AK$5,"Rem",$H$4:$AK$4,"&lt;"&amp;AH$4))))</f>
        <v/>
      </c>
      <c r="AI51" s="33">
        <f>AK50*(1+N(Debts!$D$15)/1200)</f>
        <v/>
      </c>
      <c r="AJ51" s="33">
        <f>AI51-MIN(N(Debts!$E$15),AI51)</f>
        <v/>
      </c>
      <c r="AK51" s="33">
        <f>IF(AJ51&lt;=0.005,0,AJ51-MIN(AJ51,MAX(0,$E51-SUMIFS(H51:AK51,$H$5:$AK$5,"Rem",$H$4:$AK$4,"&lt;"&amp;AK$4))))</f>
        <v/>
      </c>
      <c r="AL51" s="1" t="n"/>
    </row>
    <row r="52">
      <c r="A52" s="1" t="n"/>
      <c r="B52" s="1" t="n">
        <v>45</v>
      </c>
      <c r="C52" s="34">
        <f>EDATE(Debts!$J$13,B52-1)</f>
        <v/>
      </c>
      <c r="D52" s="33">
        <f>IF(G51&lt;=0.005,0,Debts!$E$16+Debts!$J$7)</f>
        <v/>
      </c>
      <c r="E52" s="33">
        <f>MAX(0,D52-(SUMIF($H$5:$AK$5,"Due",H52:AK52)-SUMIF($H$5:$AK$5,"Rem",H52:AK52)))</f>
        <v/>
      </c>
      <c r="F52" s="33">
        <f>SUMIF($H$5:$AK$5,"Due",H52:AK52)-SUMIF($H$5:$AK$5,"Bal",H51:AK51)</f>
        <v/>
      </c>
      <c r="G52" s="33">
        <f>SUMIF($H$5:$AK$5,"Bal",H52:AK52)</f>
        <v/>
      </c>
      <c r="H52" s="33">
        <f>J51*(1+N(Debts!$D$6)/1200)</f>
        <v/>
      </c>
      <c r="I52" s="33">
        <f>H52-MIN(N(Debts!$E$6),H52)</f>
        <v/>
      </c>
      <c r="J52" s="33">
        <f>IF(I52&lt;=0.005,0,I52-MIN(I52,MAX(0,$E52-SUMIFS(H52:AK52,$H$5:$AK$5,"Rem",$H$4:$AK$4,"&lt;"&amp;J$4))))</f>
        <v/>
      </c>
      <c r="K52" s="33">
        <f>M51*(1+N(Debts!$D$7)/1200)</f>
        <v/>
      </c>
      <c r="L52" s="33">
        <f>K52-MIN(N(Debts!$E$7),K52)</f>
        <v/>
      </c>
      <c r="M52" s="33">
        <f>IF(L52&lt;=0.005,0,L52-MIN(L52,MAX(0,$E52-SUMIFS(H52:AK52,$H$5:$AK$5,"Rem",$H$4:$AK$4,"&lt;"&amp;M$4))))</f>
        <v/>
      </c>
      <c r="N52" s="33">
        <f>P51*(1+N(Debts!$D$8)/1200)</f>
        <v/>
      </c>
      <c r="O52" s="33">
        <f>N52-MIN(N(Debts!$E$8),N52)</f>
        <v/>
      </c>
      <c r="P52" s="33">
        <f>IF(O52&lt;=0.005,0,O52-MIN(O52,MAX(0,$E52-SUMIFS(H52:AK52,$H$5:$AK$5,"Rem",$H$4:$AK$4,"&lt;"&amp;P$4))))</f>
        <v/>
      </c>
      <c r="Q52" s="33">
        <f>S51*(1+N(Debts!$D$9)/1200)</f>
        <v/>
      </c>
      <c r="R52" s="33">
        <f>Q52-MIN(N(Debts!$E$9),Q52)</f>
        <v/>
      </c>
      <c r="S52" s="33">
        <f>IF(R52&lt;=0.005,0,R52-MIN(R52,MAX(0,$E52-SUMIFS(H52:AK52,$H$5:$AK$5,"Rem",$H$4:$AK$4,"&lt;"&amp;S$4))))</f>
        <v/>
      </c>
      <c r="T52" s="33">
        <f>V51*(1+N(Debts!$D$10)/1200)</f>
        <v/>
      </c>
      <c r="U52" s="33">
        <f>T52-MIN(N(Debts!$E$10),T52)</f>
        <v/>
      </c>
      <c r="V52" s="33">
        <f>IF(U52&lt;=0.005,0,U52-MIN(U52,MAX(0,$E52-SUMIFS(H52:AK52,$H$5:$AK$5,"Rem",$H$4:$AK$4,"&lt;"&amp;V$4))))</f>
        <v/>
      </c>
      <c r="W52" s="33">
        <f>Y51*(1+N(Debts!$D$11)/1200)</f>
        <v/>
      </c>
      <c r="X52" s="33">
        <f>W52-MIN(N(Debts!$E$11),W52)</f>
        <v/>
      </c>
      <c r="Y52" s="33">
        <f>IF(X52&lt;=0.005,0,X52-MIN(X52,MAX(0,$E52-SUMIFS(H52:AK52,$H$5:$AK$5,"Rem",$H$4:$AK$4,"&lt;"&amp;Y$4))))</f>
        <v/>
      </c>
      <c r="Z52" s="33">
        <f>AB51*(1+N(Debts!$D$12)/1200)</f>
        <v/>
      </c>
      <c r="AA52" s="33">
        <f>Z52-MIN(N(Debts!$E$12),Z52)</f>
        <v/>
      </c>
      <c r="AB52" s="33">
        <f>IF(AA52&lt;=0.005,0,AA52-MIN(AA52,MAX(0,$E52-SUMIFS(H52:AK52,$H$5:$AK$5,"Rem",$H$4:$AK$4,"&lt;"&amp;AB$4))))</f>
        <v/>
      </c>
      <c r="AC52" s="33">
        <f>AE51*(1+N(Debts!$D$13)/1200)</f>
        <v/>
      </c>
      <c r="AD52" s="33">
        <f>AC52-MIN(N(Debts!$E$13),AC52)</f>
        <v/>
      </c>
      <c r="AE52" s="33">
        <f>IF(AD52&lt;=0.005,0,AD52-MIN(AD52,MAX(0,$E52-SUMIFS(H52:AK52,$H$5:$AK$5,"Rem",$H$4:$AK$4,"&lt;"&amp;AE$4))))</f>
        <v/>
      </c>
      <c r="AF52" s="33">
        <f>AH51*(1+N(Debts!$D$14)/1200)</f>
        <v/>
      </c>
      <c r="AG52" s="33">
        <f>AF52-MIN(N(Debts!$E$14),AF52)</f>
        <v/>
      </c>
      <c r="AH52" s="33">
        <f>IF(AG52&lt;=0.005,0,AG52-MIN(AG52,MAX(0,$E52-SUMIFS(H52:AK52,$H$5:$AK$5,"Rem",$H$4:$AK$4,"&lt;"&amp;AH$4))))</f>
        <v/>
      </c>
      <c r="AI52" s="33">
        <f>AK51*(1+N(Debts!$D$15)/1200)</f>
        <v/>
      </c>
      <c r="AJ52" s="33">
        <f>AI52-MIN(N(Debts!$E$15),AI52)</f>
        <v/>
      </c>
      <c r="AK52" s="33">
        <f>IF(AJ52&lt;=0.005,0,AJ52-MIN(AJ52,MAX(0,$E52-SUMIFS(H52:AK52,$H$5:$AK$5,"Rem",$H$4:$AK$4,"&lt;"&amp;AK$4))))</f>
        <v/>
      </c>
      <c r="AL52" s="1" t="n"/>
    </row>
    <row r="53">
      <c r="A53" s="1" t="n"/>
      <c r="B53" s="1" t="n">
        <v>46</v>
      </c>
      <c r="C53" s="34">
        <f>EDATE(Debts!$J$13,B53-1)</f>
        <v/>
      </c>
      <c r="D53" s="33">
        <f>IF(G52&lt;=0.005,0,Debts!$E$16+Debts!$J$7)</f>
        <v/>
      </c>
      <c r="E53" s="33">
        <f>MAX(0,D53-(SUMIF($H$5:$AK$5,"Due",H53:AK53)-SUMIF($H$5:$AK$5,"Rem",H53:AK53)))</f>
        <v/>
      </c>
      <c r="F53" s="33">
        <f>SUMIF($H$5:$AK$5,"Due",H53:AK53)-SUMIF($H$5:$AK$5,"Bal",H52:AK52)</f>
        <v/>
      </c>
      <c r="G53" s="33">
        <f>SUMIF($H$5:$AK$5,"Bal",H53:AK53)</f>
        <v/>
      </c>
      <c r="H53" s="33">
        <f>J52*(1+N(Debts!$D$6)/1200)</f>
        <v/>
      </c>
      <c r="I53" s="33">
        <f>H53-MIN(N(Debts!$E$6),H53)</f>
        <v/>
      </c>
      <c r="J53" s="33">
        <f>IF(I53&lt;=0.005,0,I53-MIN(I53,MAX(0,$E53-SUMIFS(H53:AK53,$H$5:$AK$5,"Rem",$H$4:$AK$4,"&lt;"&amp;J$4))))</f>
        <v/>
      </c>
      <c r="K53" s="33">
        <f>M52*(1+N(Debts!$D$7)/1200)</f>
        <v/>
      </c>
      <c r="L53" s="33">
        <f>K53-MIN(N(Debts!$E$7),K53)</f>
        <v/>
      </c>
      <c r="M53" s="33">
        <f>IF(L53&lt;=0.005,0,L53-MIN(L53,MAX(0,$E53-SUMIFS(H53:AK53,$H$5:$AK$5,"Rem",$H$4:$AK$4,"&lt;"&amp;M$4))))</f>
        <v/>
      </c>
      <c r="N53" s="33">
        <f>P52*(1+N(Debts!$D$8)/1200)</f>
        <v/>
      </c>
      <c r="O53" s="33">
        <f>N53-MIN(N(Debts!$E$8),N53)</f>
        <v/>
      </c>
      <c r="P53" s="33">
        <f>IF(O53&lt;=0.005,0,O53-MIN(O53,MAX(0,$E53-SUMIFS(H53:AK53,$H$5:$AK$5,"Rem",$H$4:$AK$4,"&lt;"&amp;P$4))))</f>
        <v/>
      </c>
      <c r="Q53" s="33">
        <f>S52*(1+N(Debts!$D$9)/1200)</f>
        <v/>
      </c>
      <c r="R53" s="33">
        <f>Q53-MIN(N(Debts!$E$9),Q53)</f>
        <v/>
      </c>
      <c r="S53" s="33">
        <f>IF(R53&lt;=0.005,0,R53-MIN(R53,MAX(0,$E53-SUMIFS(H53:AK53,$H$5:$AK$5,"Rem",$H$4:$AK$4,"&lt;"&amp;S$4))))</f>
        <v/>
      </c>
      <c r="T53" s="33">
        <f>V52*(1+N(Debts!$D$10)/1200)</f>
        <v/>
      </c>
      <c r="U53" s="33">
        <f>T53-MIN(N(Debts!$E$10),T53)</f>
        <v/>
      </c>
      <c r="V53" s="33">
        <f>IF(U53&lt;=0.005,0,U53-MIN(U53,MAX(0,$E53-SUMIFS(H53:AK53,$H$5:$AK$5,"Rem",$H$4:$AK$4,"&lt;"&amp;V$4))))</f>
        <v/>
      </c>
      <c r="W53" s="33">
        <f>Y52*(1+N(Debts!$D$11)/1200)</f>
        <v/>
      </c>
      <c r="X53" s="33">
        <f>W53-MIN(N(Debts!$E$11),W53)</f>
        <v/>
      </c>
      <c r="Y53" s="33">
        <f>IF(X53&lt;=0.005,0,X53-MIN(X53,MAX(0,$E53-SUMIFS(H53:AK53,$H$5:$AK$5,"Rem",$H$4:$AK$4,"&lt;"&amp;Y$4))))</f>
        <v/>
      </c>
      <c r="Z53" s="33">
        <f>AB52*(1+N(Debts!$D$12)/1200)</f>
        <v/>
      </c>
      <c r="AA53" s="33">
        <f>Z53-MIN(N(Debts!$E$12),Z53)</f>
        <v/>
      </c>
      <c r="AB53" s="33">
        <f>IF(AA53&lt;=0.005,0,AA53-MIN(AA53,MAX(0,$E53-SUMIFS(H53:AK53,$H$5:$AK$5,"Rem",$H$4:$AK$4,"&lt;"&amp;AB$4))))</f>
        <v/>
      </c>
      <c r="AC53" s="33">
        <f>AE52*(1+N(Debts!$D$13)/1200)</f>
        <v/>
      </c>
      <c r="AD53" s="33">
        <f>AC53-MIN(N(Debts!$E$13),AC53)</f>
        <v/>
      </c>
      <c r="AE53" s="33">
        <f>IF(AD53&lt;=0.005,0,AD53-MIN(AD53,MAX(0,$E53-SUMIFS(H53:AK53,$H$5:$AK$5,"Rem",$H$4:$AK$4,"&lt;"&amp;AE$4))))</f>
        <v/>
      </c>
      <c r="AF53" s="33">
        <f>AH52*(1+N(Debts!$D$14)/1200)</f>
        <v/>
      </c>
      <c r="AG53" s="33">
        <f>AF53-MIN(N(Debts!$E$14),AF53)</f>
        <v/>
      </c>
      <c r="AH53" s="33">
        <f>IF(AG53&lt;=0.005,0,AG53-MIN(AG53,MAX(0,$E53-SUMIFS(H53:AK53,$H$5:$AK$5,"Rem",$H$4:$AK$4,"&lt;"&amp;AH$4))))</f>
        <v/>
      </c>
      <c r="AI53" s="33">
        <f>AK52*(1+N(Debts!$D$15)/1200)</f>
        <v/>
      </c>
      <c r="AJ53" s="33">
        <f>AI53-MIN(N(Debts!$E$15),AI53)</f>
        <v/>
      </c>
      <c r="AK53" s="33">
        <f>IF(AJ53&lt;=0.005,0,AJ53-MIN(AJ53,MAX(0,$E53-SUMIFS(H53:AK53,$H$5:$AK$5,"Rem",$H$4:$AK$4,"&lt;"&amp;AK$4))))</f>
        <v/>
      </c>
      <c r="AL53" s="1" t="n"/>
    </row>
    <row r="54">
      <c r="A54" s="1" t="n"/>
      <c r="B54" s="1" t="n">
        <v>47</v>
      </c>
      <c r="C54" s="34">
        <f>EDATE(Debts!$J$13,B54-1)</f>
        <v/>
      </c>
      <c r="D54" s="33">
        <f>IF(G53&lt;=0.005,0,Debts!$E$16+Debts!$J$7)</f>
        <v/>
      </c>
      <c r="E54" s="33">
        <f>MAX(0,D54-(SUMIF($H$5:$AK$5,"Due",H54:AK54)-SUMIF($H$5:$AK$5,"Rem",H54:AK54)))</f>
        <v/>
      </c>
      <c r="F54" s="33">
        <f>SUMIF($H$5:$AK$5,"Due",H54:AK54)-SUMIF($H$5:$AK$5,"Bal",H53:AK53)</f>
        <v/>
      </c>
      <c r="G54" s="33">
        <f>SUMIF($H$5:$AK$5,"Bal",H54:AK54)</f>
        <v/>
      </c>
      <c r="H54" s="33">
        <f>J53*(1+N(Debts!$D$6)/1200)</f>
        <v/>
      </c>
      <c r="I54" s="33">
        <f>H54-MIN(N(Debts!$E$6),H54)</f>
        <v/>
      </c>
      <c r="J54" s="33">
        <f>IF(I54&lt;=0.005,0,I54-MIN(I54,MAX(0,$E54-SUMIFS(H54:AK54,$H$5:$AK$5,"Rem",$H$4:$AK$4,"&lt;"&amp;J$4))))</f>
        <v/>
      </c>
      <c r="K54" s="33">
        <f>M53*(1+N(Debts!$D$7)/1200)</f>
        <v/>
      </c>
      <c r="L54" s="33">
        <f>K54-MIN(N(Debts!$E$7),K54)</f>
        <v/>
      </c>
      <c r="M54" s="33">
        <f>IF(L54&lt;=0.005,0,L54-MIN(L54,MAX(0,$E54-SUMIFS(H54:AK54,$H$5:$AK$5,"Rem",$H$4:$AK$4,"&lt;"&amp;M$4))))</f>
        <v/>
      </c>
      <c r="N54" s="33">
        <f>P53*(1+N(Debts!$D$8)/1200)</f>
        <v/>
      </c>
      <c r="O54" s="33">
        <f>N54-MIN(N(Debts!$E$8),N54)</f>
        <v/>
      </c>
      <c r="P54" s="33">
        <f>IF(O54&lt;=0.005,0,O54-MIN(O54,MAX(0,$E54-SUMIFS(H54:AK54,$H$5:$AK$5,"Rem",$H$4:$AK$4,"&lt;"&amp;P$4))))</f>
        <v/>
      </c>
      <c r="Q54" s="33">
        <f>S53*(1+N(Debts!$D$9)/1200)</f>
        <v/>
      </c>
      <c r="R54" s="33">
        <f>Q54-MIN(N(Debts!$E$9),Q54)</f>
        <v/>
      </c>
      <c r="S54" s="33">
        <f>IF(R54&lt;=0.005,0,R54-MIN(R54,MAX(0,$E54-SUMIFS(H54:AK54,$H$5:$AK$5,"Rem",$H$4:$AK$4,"&lt;"&amp;S$4))))</f>
        <v/>
      </c>
      <c r="T54" s="33">
        <f>V53*(1+N(Debts!$D$10)/1200)</f>
        <v/>
      </c>
      <c r="U54" s="33">
        <f>T54-MIN(N(Debts!$E$10),T54)</f>
        <v/>
      </c>
      <c r="V54" s="33">
        <f>IF(U54&lt;=0.005,0,U54-MIN(U54,MAX(0,$E54-SUMIFS(H54:AK54,$H$5:$AK$5,"Rem",$H$4:$AK$4,"&lt;"&amp;V$4))))</f>
        <v/>
      </c>
      <c r="W54" s="33">
        <f>Y53*(1+N(Debts!$D$11)/1200)</f>
        <v/>
      </c>
      <c r="X54" s="33">
        <f>W54-MIN(N(Debts!$E$11),W54)</f>
        <v/>
      </c>
      <c r="Y54" s="33">
        <f>IF(X54&lt;=0.005,0,X54-MIN(X54,MAX(0,$E54-SUMIFS(H54:AK54,$H$5:$AK$5,"Rem",$H$4:$AK$4,"&lt;"&amp;Y$4))))</f>
        <v/>
      </c>
      <c r="Z54" s="33">
        <f>AB53*(1+N(Debts!$D$12)/1200)</f>
        <v/>
      </c>
      <c r="AA54" s="33">
        <f>Z54-MIN(N(Debts!$E$12),Z54)</f>
        <v/>
      </c>
      <c r="AB54" s="33">
        <f>IF(AA54&lt;=0.005,0,AA54-MIN(AA54,MAX(0,$E54-SUMIFS(H54:AK54,$H$5:$AK$5,"Rem",$H$4:$AK$4,"&lt;"&amp;AB$4))))</f>
        <v/>
      </c>
      <c r="AC54" s="33">
        <f>AE53*(1+N(Debts!$D$13)/1200)</f>
        <v/>
      </c>
      <c r="AD54" s="33">
        <f>AC54-MIN(N(Debts!$E$13),AC54)</f>
        <v/>
      </c>
      <c r="AE54" s="33">
        <f>IF(AD54&lt;=0.005,0,AD54-MIN(AD54,MAX(0,$E54-SUMIFS(H54:AK54,$H$5:$AK$5,"Rem",$H$4:$AK$4,"&lt;"&amp;AE$4))))</f>
        <v/>
      </c>
      <c r="AF54" s="33">
        <f>AH53*(1+N(Debts!$D$14)/1200)</f>
        <v/>
      </c>
      <c r="AG54" s="33">
        <f>AF54-MIN(N(Debts!$E$14),AF54)</f>
        <v/>
      </c>
      <c r="AH54" s="33">
        <f>IF(AG54&lt;=0.005,0,AG54-MIN(AG54,MAX(0,$E54-SUMIFS(H54:AK54,$H$5:$AK$5,"Rem",$H$4:$AK$4,"&lt;"&amp;AH$4))))</f>
        <v/>
      </c>
      <c r="AI54" s="33">
        <f>AK53*(1+N(Debts!$D$15)/1200)</f>
        <v/>
      </c>
      <c r="AJ54" s="33">
        <f>AI54-MIN(N(Debts!$E$15),AI54)</f>
        <v/>
      </c>
      <c r="AK54" s="33">
        <f>IF(AJ54&lt;=0.005,0,AJ54-MIN(AJ54,MAX(0,$E54-SUMIFS(H54:AK54,$H$5:$AK$5,"Rem",$H$4:$AK$4,"&lt;"&amp;AK$4))))</f>
        <v/>
      </c>
      <c r="AL54" s="1" t="n"/>
    </row>
    <row r="55">
      <c r="A55" s="1" t="n"/>
      <c r="B55" s="1" t="n">
        <v>48</v>
      </c>
      <c r="C55" s="34">
        <f>EDATE(Debts!$J$13,B55-1)</f>
        <v/>
      </c>
      <c r="D55" s="33">
        <f>IF(G54&lt;=0.005,0,Debts!$E$16+Debts!$J$7)</f>
        <v/>
      </c>
      <c r="E55" s="33">
        <f>MAX(0,D55-(SUMIF($H$5:$AK$5,"Due",H55:AK55)-SUMIF($H$5:$AK$5,"Rem",H55:AK55)))</f>
        <v/>
      </c>
      <c r="F55" s="33">
        <f>SUMIF($H$5:$AK$5,"Due",H55:AK55)-SUMIF($H$5:$AK$5,"Bal",H54:AK54)</f>
        <v/>
      </c>
      <c r="G55" s="33">
        <f>SUMIF($H$5:$AK$5,"Bal",H55:AK55)</f>
        <v/>
      </c>
      <c r="H55" s="33">
        <f>J54*(1+N(Debts!$D$6)/1200)</f>
        <v/>
      </c>
      <c r="I55" s="33">
        <f>H55-MIN(N(Debts!$E$6),H55)</f>
        <v/>
      </c>
      <c r="J55" s="33">
        <f>IF(I55&lt;=0.005,0,I55-MIN(I55,MAX(0,$E55-SUMIFS(H55:AK55,$H$5:$AK$5,"Rem",$H$4:$AK$4,"&lt;"&amp;J$4))))</f>
        <v/>
      </c>
      <c r="K55" s="33">
        <f>M54*(1+N(Debts!$D$7)/1200)</f>
        <v/>
      </c>
      <c r="L55" s="33">
        <f>K55-MIN(N(Debts!$E$7),K55)</f>
        <v/>
      </c>
      <c r="M55" s="33">
        <f>IF(L55&lt;=0.005,0,L55-MIN(L55,MAX(0,$E55-SUMIFS(H55:AK55,$H$5:$AK$5,"Rem",$H$4:$AK$4,"&lt;"&amp;M$4))))</f>
        <v/>
      </c>
      <c r="N55" s="33">
        <f>P54*(1+N(Debts!$D$8)/1200)</f>
        <v/>
      </c>
      <c r="O55" s="33">
        <f>N55-MIN(N(Debts!$E$8),N55)</f>
        <v/>
      </c>
      <c r="P55" s="33">
        <f>IF(O55&lt;=0.005,0,O55-MIN(O55,MAX(0,$E55-SUMIFS(H55:AK55,$H$5:$AK$5,"Rem",$H$4:$AK$4,"&lt;"&amp;P$4))))</f>
        <v/>
      </c>
      <c r="Q55" s="33">
        <f>S54*(1+N(Debts!$D$9)/1200)</f>
        <v/>
      </c>
      <c r="R55" s="33">
        <f>Q55-MIN(N(Debts!$E$9),Q55)</f>
        <v/>
      </c>
      <c r="S55" s="33">
        <f>IF(R55&lt;=0.005,0,R55-MIN(R55,MAX(0,$E55-SUMIFS(H55:AK55,$H$5:$AK$5,"Rem",$H$4:$AK$4,"&lt;"&amp;S$4))))</f>
        <v/>
      </c>
      <c r="T55" s="33">
        <f>V54*(1+N(Debts!$D$10)/1200)</f>
        <v/>
      </c>
      <c r="U55" s="33">
        <f>T55-MIN(N(Debts!$E$10),T55)</f>
        <v/>
      </c>
      <c r="V55" s="33">
        <f>IF(U55&lt;=0.005,0,U55-MIN(U55,MAX(0,$E55-SUMIFS(H55:AK55,$H$5:$AK$5,"Rem",$H$4:$AK$4,"&lt;"&amp;V$4))))</f>
        <v/>
      </c>
      <c r="W55" s="33">
        <f>Y54*(1+N(Debts!$D$11)/1200)</f>
        <v/>
      </c>
      <c r="X55" s="33">
        <f>W55-MIN(N(Debts!$E$11),W55)</f>
        <v/>
      </c>
      <c r="Y55" s="33">
        <f>IF(X55&lt;=0.005,0,X55-MIN(X55,MAX(0,$E55-SUMIFS(H55:AK55,$H$5:$AK$5,"Rem",$H$4:$AK$4,"&lt;"&amp;Y$4))))</f>
        <v/>
      </c>
      <c r="Z55" s="33">
        <f>AB54*(1+N(Debts!$D$12)/1200)</f>
        <v/>
      </c>
      <c r="AA55" s="33">
        <f>Z55-MIN(N(Debts!$E$12),Z55)</f>
        <v/>
      </c>
      <c r="AB55" s="33">
        <f>IF(AA55&lt;=0.005,0,AA55-MIN(AA55,MAX(0,$E55-SUMIFS(H55:AK55,$H$5:$AK$5,"Rem",$H$4:$AK$4,"&lt;"&amp;AB$4))))</f>
        <v/>
      </c>
      <c r="AC55" s="33">
        <f>AE54*(1+N(Debts!$D$13)/1200)</f>
        <v/>
      </c>
      <c r="AD55" s="33">
        <f>AC55-MIN(N(Debts!$E$13),AC55)</f>
        <v/>
      </c>
      <c r="AE55" s="33">
        <f>IF(AD55&lt;=0.005,0,AD55-MIN(AD55,MAX(0,$E55-SUMIFS(H55:AK55,$H$5:$AK$5,"Rem",$H$4:$AK$4,"&lt;"&amp;AE$4))))</f>
        <v/>
      </c>
      <c r="AF55" s="33">
        <f>AH54*(1+N(Debts!$D$14)/1200)</f>
        <v/>
      </c>
      <c r="AG55" s="33">
        <f>AF55-MIN(N(Debts!$E$14),AF55)</f>
        <v/>
      </c>
      <c r="AH55" s="33">
        <f>IF(AG55&lt;=0.005,0,AG55-MIN(AG55,MAX(0,$E55-SUMIFS(H55:AK55,$H$5:$AK$5,"Rem",$H$4:$AK$4,"&lt;"&amp;AH$4))))</f>
        <v/>
      </c>
      <c r="AI55" s="33">
        <f>AK54*(1+N(Debts!$D$15)/1200)</f>
        <v/>
      </c>
      <c r="AJ55" s="33">
        <f>AI55-MIN(N(Debts!$E$15),AI55)</f>
        <v/>
      </c>
      <c r="AK55" s="33">
        <f>IF(AJ55&lt;=0.005,0,AJ55-MIN(AJ55,MAX(0,$E55-SUMIFS(H55:AK55,$H$5:$AK$5,"Rem",$H$4:$AK$4,"&lt;"&amp;AK$4))))</f>
        <v/>
      </c>
      <c r="AL55" s="1" t="n"/>
    </row>
    <row r="56">
      <c r="A56" s="1" t="n"/>
      <c r="B56" s="1" t="n">
        <v>49</v>
      </c>
      <c r="C56" s="34">
        <f>EDATE(Debts!$J$13,B56-1)</f>
        <v/>
      </c>
      <c r="D56" s="33">
        <f>IF(G55&lt;=0.005,0,Debts!$E$16+Debts!$J$7)</f>
        <v/>
      </c>
      <c r="E56" s="33">
        <f>MAX(0,D56-(SUMIF($H$5:$AK$5,"Due",H56:AK56)-SUMIF($H$5:$AK$5,"Rem",H56:AK56)))</f>
        <v/>
      </c>
      <c r="F56" s="33">
        <f>SUMIF($H$5:$AK$5,"Due",H56:AK56)-SUMIF($H$5:$AK$5,"Bal",H55:AK55)</f>
        <v/>
      </c>
      <c r="G56" s="33">
        <f>SUMIF($H$5:$AK$5,"Bal",H56:AK56)</f>
        <v/>
      </c>
      <c r="H56" s="33">
        <f>J55*(1+N(Debts!$D$6)/1200)</f>
        <v/>
      </c>
      <c r="I56" s="33">
        <f>H56-MIN(N(Debts!$E$6),H56)</f>
        <v/>
      </c>
      <c r="J56" s="33">
        <f>IF(I56&lt;=0.005,0,I56-MIN(I56,MAX(0,$E56-SUMIFS(H56:AK56,$H$5:$AK$5,"Rem",$H$4:$AK$4,"&lt;"&amp;J$4))))</f>
        <v/>
      </c>
      <c r="K56" s="33">
        <f>M55*(1+N(Debts!$D$7)/1200)</f>
        <v/>
      </c>
      <c r="L56" s="33">
        <f>K56-MIN(N(Debts!$E$7),K56)</f>
        <v/>
      </c>
      <c r="M56" s="33">
        <f>IF(L56&lt;=0.005,0,L56-MIN(L56,MAX(0,$E56-SUMIFS(H56:AK56,$H$5:$AK$5,"Rem",$H$4:$AK$4,"&lt;"&amp;M$4))))</f>
        <v/>
      </c>
      <c r="N56" s="33">
        <f>P55*(1+N(Debts!$D$8)/1200)</f>
        <v/>
      </c>
      <c r="O56" s="33">
        <f>N56-MIN(N(Debts!$E$8),N56)</f>
        <v/>
      </c>
      <c r="P56" s="33">
        <f>IF(O56&lt;=0.005,0,O56-MIN(O56,MAX(0,$E56-SUMIFS(H56:AK56,$H$5:$AK$5,"Rem",$H$4:$AK$4,"&lt;"&amp;P$4))))</f>
        <v/>
      </c>
      <c r="Q56" s="33">
        <f>S55*(1+N(Debts!$D$9)/1200)</f>
        <v/>
      </c>
      <c r="R56" s="33">
        <f>Q56-MIN(N(Debts!$E$9),Q56)</f>
        <v/>
      </c>
      <c r="S56" s="33">
        <f>IF(R56&lt;=0.005,0,R56-MIN(R56,MAX(0,$E56-SUMIFS(H56:AK56,$H$5:$AK$5,"Rem",$H$4:$AK$4,"&lt;"&amp;S$4))))</f>
        <v/>
      </c>
      <c r="T56" s="33">
        <f>V55*(1+N(Debts!$D$10)/1200)</f>
        <v/>
      </c>
      <c r="U56" s="33">
        <f>T56-MIN(N(Debts!$E$10),T56)</f>
        <v/>
      </c>
      <c r="V56" s="33">
        <f>IF(U56&lt;=0.005,0,U56-MIN(U56,MAX(0,$E56-SUMIFS(H56:AK56,$H$5:$AK$5,"Rem",$H$4:$AK$4,"&lt;"&amp;V$4))))</f>
        <v/>
      </c>
      <c r="W56" s="33">
        <f>Y55*(1+N(Debts!$D$11)/1200)</f>
        <v/>
      </c>
      <c r="X56" s="33">
        <f>W56-MIN(N(Debts!$E$11),W56)</f>
        <v/>
      </c>
      <c r="Y56" s="33">
        <f>IF(X56&lt;=0.005,0,X56-MIN(X56,MAX(0,$E56-SUMIFS(H56:AK56,$H$5:$AK$5,"Rem",$H$4:$AK$4,"&lt;"&amp;Y$4))))</f>
        <v/>
      </c>
      <c r="Z56" s="33">
        <f>AB55*(1+N(Debts!$D$12)/1200)</f>
        <v/>
      </c>
      <c r="AA56" s="33">
        <f>Z56-MIN(N(Debts!$E$12),Z56)</f>
        <v/>
      </c>
      <c r="AB56" s="33">
        <f>IF(AA56&lt;=0.005,0,AA56-MIN(AA56,MAX(0,$E56-SUMIFS(H56:AK56,$H$5:$AK$5,"Rem",$H$4:$AK$4,"&lt;"&amp;AB$4))))</f>
        <v/>
      </c>
      <c r="AC56" s="33">
        <f>AE55*(1+N(Debts!$D$13)/1200)</f>
        <v/>
      </c>
      <c r="AD56" s="33">
        <f>AC56-MIN(N(Debts!$E$13),AC56)</f>
        <v/>
      </c>
      <c r="AE56" s="33">
        <f>IF(AD56&lt;=0.005,0,AD56-MIN(AD56,MAX(0,$E56-SUMIFS(H56:AK56,$H$5:$AK$5,"Rem",$H$4:$AK$4,"&lt;"&amp;AE$4))))</f>
        <v/>
      </c>
      <c r="AF56" s="33">
        <f>AH55*(1+N(Debts!$D$14)/1200)</f>
        <v/>
      </c>
      <c r="AG56" s="33">
        <f>AF56-MIN(N(Debts!$E$14),AF56)</f>
        <v/>
      </c>
      <c r="AH56" s="33">
        <f>IF(AG56&lt;=0.005,0,AG56-MIN(AG56,MAX(0,$E56-SUMIFS(H56:AK56,$H$5:$AK$5,"Rem",$H$4:$AK$4,"&lt;"&amp;AH$4))))</f>
        <v/>
      </c>
      <c r="AI56" s="33">
        <f>AK55*(1+N(Debts!$D$15)/1200)</f>
        <v/>
      </c>
      <c r="AJ56" s="33">
        <f>AI56-MIN(N(Debts!$E$15),AI56)</f>
        <v/>
      </c>
      <c r="AK56" s="33">
        <f>IF(AJ56&lt;=0.005,0,AJ56-MIN(AJ56,MAX(0,$E56-SUMIFS(H56:AK56,$H$5:$AK$5,"Rem",$H$4:$AK$4,"&lt;"&amp;AK$4))))</f>
        <v/>
      </c>
      <c r="AL56" s="1" t="n"/>
    </row>
    <row r="57">
      <c r="A57" s="1" t="n"/>
      <c r="B57" s="1" t="n">
        <v>50</v>
      </c>
      <c r="C57" s="34">
        <f>EDATE(Debts!$J$13,B57-1)</f>
        <v/>
      </c>
      <c r="D57" s="33">
        <f>IF(G56&lt;=0.005,0,Debts!$E$16+Debts!$J$7)</f>
        <v/>
      </c>
      <c r="E57" s="33">
        <f>MAX(0,D57-(SUMIF($H$5:$AK$5,"Due",H57:AK57)-SUMIF($H$5:$AK$5,"Rem",H57:AK57)))</f>
        <v/>
      </c>
      <c r="F57" s="33">
        <f>SUMIF($H$5:$AK$5,"Due",H57:AK57)-SUMIF($H$5:$AK$5,"Bal",H56:AK56)</f>
        <v/>
      </c>
      <c r="G57" s="33">
        <f>SUMIF($H$5:$AK$5,"Bal",H57:AK57)</f>
        <v/>
      </c>
      <c r="H57" s="33">
        <f>J56*(1+N(Debts!$D$6)/1200)</f>
        <v/>
      </c>
      <c r="I57" s="33">
        <f>H57-MIN(N(Debts!$E$6),H57)</f>
        <v/>
      </c>
      <c r="J57" s="33">
        <f>IF(I57&lt;=0.005,0,I57-MIN(I57,MAX(0,$E57-SUMIFS(H57:AK57,$H$5:$AK$5,"Rem",$H$4:$AK$4,"&lt;"&amp;J$4))))</f>
        <v/>
      </c>
      <c r="K57" s="33">
        <f>M56*(1+N(Debts!$D$7)/1200)</f>
        <v/>
      </c>
      <c r="L57" s="33">
        <f>K57-MIN(N(Debts!$E$7),K57)</f>
        <v/>
      </c>
      <c r="M57" s="33">
        <f>IF(L57&lt;=0.005,0,L57-MIN(L57,MAX(0,$E57-SUMIFS(H57:AK57,$H$5:$AK$5,"Rem",$H$4:$AK$4,"&lt;"&amp;M$4))))</f>
        <v/>
      </c>
      <c r="N57" s="33">
        <f>P56*(1+N(Debts!$D$8)/1200)</f>
        <v/>
      </c>
      <c r="O57" s="33">
        <f>N57-MIN(N(Debts!$E$8),N57)</f>
        <v/>
      </c>
      <c r="P57" s="33">
        <f>IF(O57&lt;=0.005,0,O57-MIN(O57,MAX(0,$E57-SUMIFS(H57:AK57,$H$5:$AK$5,"Rem",$H$4:$AK$4,"&lt;"&amp;P$4))))</f>
        <v/>
      </c>
      <c r="Q57" s="33">
        <f>S56*(1+N(Debts!$D$9)/1200)</f>
        <v/>
      </c>
      <c r="R57" s="33">
        <f>Q57-MIN(N(Debts!$E$9),Q57)</f>
        <v/>
      </c>
      <c r="S57" s="33">
        <f>IF(R57&lt;=0.005,0,R57-MIN(R57,MAX(0,$E57-SUMIFS(H57:AK57,$H$5:$AK$5,"Rem",$H$4:$AK$4,"&lt;"&amp;S$4))))</f>
        <v/>
      </c>
      <c r="T57" s="33">
        <f>V56*(1+N(Debts!$D$10)/1200)</f>
        <v/>
      </c>
      <c r="U57" s="33">
        <f>T57-MIN(N(Debts!$E$10),T57)</f>
        <v/>
      </c>
      <c r="V57" s="33">
        <f>IF(U57&lt;=0.005,0,U57-MIN(U57,MAX(0,$E57-SUMIFS(H57:AK57,$H$5:$AK$5,"Rem",$H$4:$AK$4,"&lt;"&amp;V$4))))</f>
        <v/>
      </c>
      <c r="W57" s="33">
        <f>Y56*(1+N(Debts!$D$11)/1200)</f>
        <v/>
      </c>
      <c r="X57" s="33">
        <f>W57-MIN(N(Debts!$E$11),W57)</f>
        <v/>
      </c>
      <c r="Y57" s="33">
        <f>IF(X57&lt;=0.005,0,X57-MIN(X57,MAX(0,$E57-SUMIFS(H57:AK57,$H$5:$AK$5,"Rem",$H$4:$AK$4,"&lt;"&amp;Y$4))))</f>
        <v/>
      </c>
      <c r="Z57" s="33">
        <f>AB56*(1+N(Debts!$D$12)/1200)</f>
        <v/>
      </c>
      <c r="AA57" s="33">
        <f>Z57-MIN(N(Debts!$E$12),Z57)</f>
        <v/>
      </c>
      <c r="AB57" s="33">
        <f>IF(AA57&lt;=0.005,0,AA57-MIN(AA57,MAX(0,$E57-SUMIFS(H57:AK57,$H$5:$AK$5,"Rem",$H$4:$AK$4,"&lt;"&amp;AB$4))))</f>
        <v/>
      </c>
      <c r="AC57" s="33">
        <f>AE56*(1+N(Debts!$D$13)/1200)</f>
        <v/>
      </c>
      <c r="AD57" s="33">
        <f>AC57-MIN(N(Debts!$E$13),AC57)</f>
        <v/>
      </c>
      <c r="AE57" s="33">
        <f>IF(AD57&lt;=0.005,0,AD57-MIN(AD57,MAX(0,$E57-SUMIFS(H57:AK57,$H$5:$AK$5,"Rem",$H$4:$AK$4,"&lt;"&amp;AE$4))))</f>
        <v/>
      </c>
      <c r="AF57" s="33">
        <f>AH56*(1+N(Debts!$D$14)/1200)</f>
        <v/>
      </c>
      <c r="AG57" s="33">
        <f>AF57-MIN(N(Debts!$E$14),AF57)</f>
        <v/>
      </c>
      <c r="AH57" s="33">
        <f>IF(AG57&lt;=0.005,0,AG57-MIN(AG57,MAX(0,$E57-SUMIFS(H57:AK57,$H$5:$AK$5,"Rem",$H$4:$AK$4,"&lt;"&amp;AH$4))))</f>
        <v/>
      </c>
      <c r="AI57" s="33">
        <f>AK56*(1+N(Debts!$D$15)/1200)</f>
        <v/>
      </c>
      <c r="AJ57" s="33">
        <f>AI57-MIN(N(Debts!$E$15),AI57)</f>
        <v/>
      </c>
      <c r="AK57" s="33">
        <f>IF(AJ57&lt;=0.005,0,AJ57-MIN(AJ57,MAX(0,$E57-SUMIFS(H57:AK57,$H$5:$AK$5,"Rem",$H$4:$AK$4,"&lt;"&amp;AK$4))))</f>
        <v/>
      </c>
      <c r="AL57" s="1" t="n"/>
    </row>
    <row r="58">
      <c r="A58" s="1" t="n"/>
      <c r="B58" s="1" t="n">
        <v>51</v>
      </c>
      <c r="C58" s="34">
        <f>EDATE(Debts!$J$13,B58-1)</f>
        <v/>
      </c>
      <c r="D58" s="33">
        <f>IF(G57&lt;=0.005,0,Debts!$E$16+Debts!$J$7)</f>
        <v/>
      </c>
      <c r="E58" s="33">
        <f>MAX(0,D58-(SUMIF($H$5:$AK$5,"Due",H58:AK58)-SUMIF($H$5:$AK$5,"Rem",H58:AK58)))</f>
        <v/>
      </c>
      <c r="F58" s="33">
        <f>SUMIF($H$5:$AK$5,"Due",H58:AK58)-SUMIF($H$5:$AK$5,"Bal",H57:AK57)</f>
        <v/>
      </c>
      <c r="G58" s="33">
        <f>SUMIF($H$5:$AK$5,"Bal",H58:AK58)</f>
        <v/>
      </c>
      <c r="H58" s="33">
        <f>J57*(1+N(Debts!$D$6)/1200)</f>
        <v/>
      </c>
      <c r="I58" s="33">
        <f>H58-MIN(N(Debts!$E$6),H58)</f>
        <v/>
      </c>
      <c r="J58" s="33">
        <f>IF(I58&lt;=0.005,0,I58-MIN(I58,MAX(0,$E58-SUMIFS(H58:AK58,$H$5:$AK$5,"Rem",$H$4:$AK$4,"&lt;"&amp;J$4))))</f>
        <v/>
      </c>
      <c r="K58" s="33">
        <f>M57*(1+N(Debts!$D$7)/1200)</f>
        <v/>
      </c>
      <c r="L58" s="33">
        <f>K58-MIN(N(Debts!$E$7),K58)</f>
        <v/>
      </c>
      <c r="M58" s="33">
        <f>IF(L58&lt;=0.005,0,L58-MIN(L58,MAX(0,$E58-SUMIFS(H58:AK58,$H$5:$AK$5,"Rem",$H$4:$AK$4,"&lt;"&amp;M$4))))</f>
        <v/>
      </c>
      <c r="N58" s="33">
        <f>P57*(1+N(Debts!$D$8)/1200)</f>
        <v/>
      </c>
      <c r="O58" s="33">
        <f>N58-MIN(N(Debts!$E$8),N58)</f>
        <v/>
      </c>
      <c r="P58" s="33">
        <f>IF(O58&lt;=0.005,0,O58-MIN(O58,MAX(0,$E58-SUMIFS(H58:AK58,$H$5:$AK$5,"Rem",$H$4:$AK$4,"&lt;"&amp;P$4))))</f>
        <v/>
      </c>
      <c r="Q58" s="33">
        <f>S57*(1+N(Debts!$D$9)/1200)</f>
        <v/>
      </c>
      <c r="R58" s="33">
        <f>Q58-MIN(N(Debts!$E$9),Q58)</f>
        <v/>
      </c>
      <c r="S58" s="33">
        <f>IF(R58&lt;=0.005,0,R58-MIN(R58,MAX(0,$E58-SUMIFS(H58:AK58,$H$5:$AK$5,"Rem",$H$4:$AK$4,"&lt;"&amp;S$4))))</f>
        <v/>
      </c>
      <c r="T58" s="33">
        <f>V57*(1+N(Debts!$D$10)/1200)</f>
        <v/>
      </c>
      <c r="U58" s="33">
        <f>T58-MIN(N(Debts!$E$10),T58)</f>
        <v/>
      </c>
      <c r="V58" s="33">
        <f>IF(U58&lt;=0.005,0,U58-MIN(U58,MAX(0,$E58-SUMIFS(H58:AK58,$H$5:$AK$5,"Rem",$H$4:$AK$4,"&lt;"&amp;V$4))))</f>
        <v/>
      </c>
      <c r="W58" s="33">
        <f>Y57*(1+N(Debts!$D$11)/1200)</f>
        <v/>
      </c>
      <c r="X58" s="33">
        <f>W58-MIN(N(Debts!$E$11),W58)</f>
        <v/>
      </c>
      <c r="Y58" s="33">
        <f>IF(X58&lt;=0.005,0,X58-MIN(X58,MAX(0,$E58-SUMIFS(H58:AK58,$H$5:$AK$5,"Rem",$H$4:$AK$4,"&lt;"&amp;Y$4))))</f>
        <v/>
      </c>
      <c r="Z58" s="33">
        <f>AB57*(1+N(Debts!$D$12)/1200)</f>
        <v/>
      </c>
      <c r="AA58" s="33">
        <f>Z58-MIN(N(Debts!$E$12),Z58)</f>
        <v/>
      </c>
      <c r="AB58" s="33">
        <f>IF(AA58&lt;=0.005,0,AA58-MIN(AA58,MAX(0,$E58-SUMIFS(H58:AK58,$H$5:$AK$5,"Rem",$H$4:$AK$4,"&lt;"&amp;AB$4))))</f>
        <v/>
      </c>
      <c r="AC58" s="33">
        <f>AE57*(1+N(Debts!$D$13)/1200)</f>
        <v/>
      </c>
      <c r="AD58" s="33">
        <f>AC58-MIN(N(Debts!$E$13),AC58)</f>
        <v/>
      </c>
      <c r="AE58" s="33">
        <f>IF(AD58&lt;=0.005,0,AD58-MIN(AD58,MAX(0,$E58-SUMIFS(H58:AK58,$H$5:$AK$5,"Rem",$H$4:$AK$4,"&lt;"&amp;AE$4))))</f>
        <v/>
      </c>
      <c r="AF58" s="33">
        <f>AH57*(1+N(Debts!$D$14)/1200)</f>
        <v/>
      </c>
      <c r="AG58" s="33">
        <f>AF58-MIN(N(Debts!$E$14),AF58)</f>
        <v/>
      </c>
      <c r="AH58" s="33">
        <f>IF(AG58&lt;=0.005,0,AG58-MIN(AG58,MAX(0,$E58-SUMIFS(H58:AK58,$H$5:$AK$5,"Rem",$H$4:$AK$4,"&lt;"&amp;AH$4))))</f>
        <v/>
      </c>
      <c r="AI58" s="33">
        <f>AK57*(1+N(Debts!$D$15)/1200)</f>
        <v/>
      </c>
      <c r="AJ58" s="33">
        <f>AI58-MIN(N(Debts!$E$15),AI58)</f>
        <v/>
      </c>
      <c r="AK58" s="33">
        <f>IF(AJ58&lt;=0.005,0,AJ58-MIN(AJ58,MAX(0,$E58-SUMIFS(H58:AK58,$H$5:$AK$5,"Rem",$H$4:$AK$4,"&lt;"&amp;AK$4))))</f>
        <v/>
      </c>
      <c r="AL58" s="1" t="n"/>
    </row>
    <row r="59">
      <c r="A59" s="1" t="n"/>
      <c r="B59" s="1" t="n">
        <v>52</v>
      </c>
      <c r="C59" s="34">
        <f>EDATE(Debts!$J$13,B59-1)</f>
        <v/>
      </c>
      <c r="D59" s="33">
        <f>IF(G58&lt;=0.005,0,Debts!$E$16+Debts!$J$7)</f>
        <v/>
      </c>
      <c r="E59" s="33">
        <f>MAX(0,D59-(SUMIF($H$5:$AK$5,"Due",H59:AK59)-SUMIF($H$5:$AK$5,"Rem",H59:AK59)))</f>
        <v/>
      </c>
      <c r="F59" s="33">
        <f>SUMIF($H$5:$AK$5,"Due",H59:AK59)-SUMIF($H$5:$AK$5,"Bal",H58:AK58)</f>
        <v/>
      </c>
      <c r="G59" s="33">
        <f>SUMIF($H$5:$AK$5,"Bal",H59:AK59)</f>
        <v/>
      </c>
      <c r="H59" s="33">
        <f>J58*(1+N(Debts!$D$6)/1200)</f>
        <v/>
      </c>
      <c r="I59" s="33">
        <f>H59-MIN(N(Debts!$E$6),H59)</f>
        <v/>
      </c>
      <c r="J59" s="33">
        <f>IF(I59&lt;=0.005,0,I59-MIN(I59,MAX(0,$E59-SUMIFS(H59:AK59,$H$5:$AK$5,"Rem",$H$4:$AK$4,"&lt;"&amp;J$4))))</f>
        <v/>
      </c>
      <c r="K59" s="33">
        <f>M58*(1+N(Debts!$D$7)/1200)</f>
        <v/>
      </c>
      <c r="L59" s="33">
        <f>K59-MIN(N(Debts!$E$7),K59)</f>
        <v/>
      </c>
      <c r="M59" s="33">
        <f>IF(L59&lt;=0.005,0,L59-MIN(L59,MAX(0,$E59-SUMIFS(H59:AK59,$H$5:$AK$5,"Rem",$H$4:$AK$4,"&lt;"&amp;M$4))))</f>
        <v/>
      </c>
      <c r="N59" s="33">
        <f>P58*(1+N(Debts!$D$8)/1200)</f>
        <v/>
      </c>
      <c r="O59" s="33">
        <f>N59-MIN(N(Debts!$E$8),N59)</f>
        <v/>
      </c>
      <c r="P59" s="33">
        <f>IF(O59&lt;=0.005,0,O59-MIN(O59,MAX(0,$E59-SUMIFS(H59:AK59,$H$5:$AK$5,"Rem",$H$4:$AK$4,"&lt;"&amp;P$4))))</f>
        <v/>
      </c>
      <c r="Q59" s="33">
        <f>S58*(1+N(Debts!$D$9)/1200)</f>
        <v/>
      </c>
      <c r="R59" s="33">
        <f>Q59-MIN(N(Debts!$E$9),Q59)</f>
        <v/>
      </c>
      <c r="S59" s="33">
        <f>IF(R59&lt;=0.005,0,R59-MIN(R59,MAX(0,$E59-SUMIFS(H59:AK59,$H$5:$AK$5,"Rem",$H$4:$AK$4,"&lt;"&amp;S$4))))</f>
        <v/>
      </c>
      <c r="T59" s="33">
        <f>V58*(1+N(Debts!$D$10)/1200)</f>
        <v/>
      </c>
      <c r="U59" s="33">
        <f>T59-MIN(N(Debts!$E$10),T59)</f>
        <v/>
      </c>
      <c r="V59" s="33">
        <f>IF(U59&lt;=0.005,0,U59-MIN(U59,MAX(0,$E59-SUMIFS(H59:AK59,$H$5:$AK$5,"Rem",$H$4:$AK$4,"&lt;"&amp;V$4))))</f>
        <v/>
      </c>
      <c r="W59" s="33">
        <f>Y58*(1+N(Debts!$D$11)/1200)</f>
        <v/>
      </c>
      <c r="X59" s="33">
        <f>W59-MIN(N(Debts!$E$11),W59)</f>
        <v/>
      </c>
      <c r="Y59" s="33">
        <f>IF(X59&lt;=0.005,0,X59-MIN(X59,MAX(0,$E59-SUMIFS(H59:AK59,$H$5:$AK$5,"Rem",$H$4:$AK$4,"&lt;"&amp;Y$4))))</f>
        <v/>
      </c>
      <c r="Z59" s="33">
        <f>AB58*(1+N(Debts!$D$12)/1200)</f>
        <v/>
      </c>
      <c r="AA59" s="33">
        <f>Z59-MIN(N(Debts!$E$12),Z59)</f>
        <v/>
      </c>
      <c r="AB59" s="33">
        <f>IF(AA59&lt;=0.005,0,AA59-MIN(AA59,MAX(0,$E59-SUMIFS(H59:AK59,$H$5:$AK$5,"Rem",$H$4:$AK$4,"&lt;"&amp;AB$4))))</f>
        <v/>
      </c>
      <c r="AC59" s="33">
        <f>AE58*(1+N(Debts!$D$13)/1200)</f>
        <v/>
      </c>
      <c r="AD59" s="33">
        <f>AC59-MIN(N(Debts!$E$13),AC59)</f>
        <v/>
      </c>
      <c r="AE59" s="33">
        <f>IF(AD59&lt;=0.005,0,AD59-MIN(AD59,MAX(0,$E59-SUMIFS(H59:AK59,$H$5:$AK$5,"Rem",$H$4:$AK$4,"&lt;"&amp;AE$4))))</f>
        <v/>
      </c>
      <c r="AF59" s="33">
        <f>AH58*(1+N(Debts!$D$14)/1200)</f>
        <v/>
      </c>
      <c r="AG59" s="33">
        <f>AF59-MIN(N(Debts!$E$14),AF59)</f>
        <v/>
      </c>
      <c r="AH59" s="33">
        <f>IF(AG59&lt;=0.005,0,AG59-MIN(AG59,MAX(0,$E59-SUMIFS(H59:AK59,$H$5:$AK$5,"Rem",$H$4:$AK$4,"&lt;"&amp;AH$4))))</f>
        <v/>
      </c>
      <c r="AI59" s="33">
        <f>AK58*(1+N(Debts!$D$15)/1200)</f>
        <v/>
      </c>
      <c r="AJ59" s="33">
        <f>AI59-MIN(N(Debts!$E$15),AI59)</f>
        <v/>
      </c>
      <c r="AK59" s="33">
        <f>IF(AJ59&lt;=0.005,0,AJ59-MIN(AJ59,MAX(0,$E59-SUMIFS(H59:AK59,$H$5:$AK$5,"Rem",$H$4:$AK$4,"&lt;"&amp;AK$4))))</f>
        <v/>
      </c>
      <c r="AL59" s="1" t="n"/>
    </row>
    <row r="60">
      <c r="A60" s="1" t="n"/>
      <c r="B60" s="1" t="n">
        <v>53</v>
      </c>
      <c r="C60" s="34">
        <f>EDATE(Debts!$J$13,B60-1)</f>
        <v/>
      </c>
      <c r="D60" s="33">
        <f>IF(G59&lt;=0.005,0,Debts!$E$16+Debts!$J$7)</f>
        <v/>
      </c>
      <c r="E60" s="33">
        <f>MAX(0,D60-(SUMIF($H$5:$AK$5,"Due",H60:AK60)-SUMIF($H$5:$AK$5,"Rem",H60:AK60)))</f>
        <v/>
      </c>
      <c r="F60" s="33">
        <f>SUMIF($H$5:$AK$5,"Due",H60:AK60)-SUMIF($H$5:$AK$5,"Bal",H59:AK59)</f>
        <v/>
      </c>
      <c r="G60" s="33">
        <f>SUMIF($H$5:$AK$5,"Bal",H60:AK60)</f>
        <v/>
      </c>
      <c r="H60" s="33">
        <f>J59*(1+N(Debts!$D$6)/1200)</f>
        <v/>
      </c>
      <c r="I60" s="33">
        <f>H60-MIN(N(Debts!$E$6),H60)</f>
        <v/>
      </c>
      <c r="J60" s="33">
        <f>IF(I60&lt;=0.005,0,I60-MIN(I60,MAX(0,$E60-SUMIFS(H60:AK60,$H$5:$AK$5,"Rem",$H$4:$AK$4,"&lt;"&amp;J$4))))</f>
        <v/>
      </c>
      <c r="K60" s="33">
        <f>M59*(1+N(Debts!$D$7)/1200)</f>
        <v/>
      </c>
      <c r="L60" s="33">
        <f>K60-MIN(N(Debts!$E$7),K60)</f>
        <v/>
      </c>
      <c r="M60" s="33">
        <f>IF(L60&lt;=0.005,0,L60-MIN(L60,MAX(0,$E60-SUMIFS(H60:AK60,$H$5:$AK$5,"Rem",$H$4:$AK$4,"&lt;"&amp;M$4))))</f>
        <v/>
      </c>
      <c r="N60" s="33">
        <f>P59*(1+N(Debts!$D$8)/1200)</f>
        <v/>
      </c>
      <c r="O60" s="33">
        <f>N60-MIN(N(Debts!$E$8),N60)</f>
        <v/>
      </c>
      <c r="P60" s="33">
        <f>IF(O60&lt;=0.005,0,O60-MIN(O60,MAX(0,$E60-SUMIFS(H60:AK60,$H$5:$AK$5,"Rem",$H$4:$AK$4,"&lt;"&amp;P$4))))</f>
        <v/>
      </c>
      <c r="Q60" s="33">
        <f>S59*(1+N(Debts!$D$9)/1200)</f>
        <v/>
      </c>
      <c r="R60" s="33">
        <f>Q60-MIN(N(Debts!$E$9),Q60)</f>
        <v/>
      </c>
      <c r="S60" s="33">
        <f>IF(R60&lt;=0.005,0,R60-MIN(R60,MAX(0,$E60-SUMIFS(H60:AK60,$H$5:$AK$5,"Rem",$H$4:$AK$4,"&lt;"&amp;S$4))))</f>
        <v/>
      </c>
      <c r="T60" s="33">
        <f>V59*(1+N(Debts!$D$10)/1200)</f>
        <v/>
      </c>
      <c r="U60" s="33">
        <f>T60-MIN(N(Debts!$E$10),T60)</f>
        <v/>
      </c>
      <c r="V60" s="33">
        <f>IF(U60&lt;=0.005,0,U60-MIN(U60,MAX(0,$E60-SUMIFS(H60:AK60,$H$5:$AK$5,"Rem",$H$4:$AK$4,"&lt;"&amp;V$4))))</f>
        <v/>
      </c>
      <c r="W60" s="33">
        <f>Y59*(1+N(Debts!$D$11)/1200)</f>
        <v/>
      </c>
      <c r="X60" s="33">
        <f>W60-MIN(N(Debts!$E$11),W60)</f>
        <v/>
      </c>
      <c r="Y60" s="33">
        <f>IF(X60&lt;=0.005,0,X60-MIN(X60,MAX(0,$E60-SUMIFS(H60:AK60,$H$5:$AK$5,"Rem",$H$4:$AK$4,"&lt;"&amp;Y$4))))</f>
        <v/>
      </c>
      <c r="Z60" s="33">
        <f>AB59*(1+N(Debts!$D$12)/1200)</f>
        <v/>
      </c>
      <c r="AA60" s="33">
        <f>Z60-MIN(N(Debts!$E$12),Z60)</f>
        <v/>
      </c>
      <c r="AB60" s="33">
        <f>IF(AA60&lt;=0.005,0,AA60-MIN(AA60,MAX(0,$E60-SUMIFS(H60:AK60,$H$5:$AK$5,"Rem",$H$4:$AK$4,"&lt;"&amp;AB$4))))</f>
        <v/>
      </c>
      <c r="AC60" s="33">
        <f>AE59*(1+N(Debts!$D$13)/1200)</f>
        <v/>
      </c>
      <c r="AD60" s="33">
        <f>AC60-MIN(N(Debts!$E$13),AC60)</f>
        <v/>
      </c>
      <c r="AE60" s="33">
        <f>IF(AD60&lt;=0.005,0,AD60-MIN(AD60,MAX(0,$E60-SUMIFS(H60:AK60,$H$5:$AK$5,"Rem",$H$4:$AK$4,"&lt;"&amp;AE$4))))</f>
        <v/>
      </c>
      <c r="AF60" s="33">
        <f>AH59*(1+N(Debts!$D$14)/1200)</f>
        <v/>
      </c>
      <c r="AG60" s="33">
        <f>AF60-MIN(N(Debts!$E$14),AF60)</f>
        <v/>
      </c>
      <c r="AH60" s="33">
        <f>IF(AG60&lt;=0.005,0,AG60-MIN(AG60,MAX(0,$E60-SUMIFS(H60:AK60,$H$5:$AK$5,"Rem",$H$4:$AK$4,"&lt;"&amp;AH$4))))</f>
        <v/>
      </c>
      <c r="AI60" s="33">
        <f>AK59*(1+N(Debts!$D$15)/1200)</f>
        <v/>
      </c>
      <c r="AJ60" s="33">
        <f>AI60-MIN(N(Debts!$E$15),AI60)</f>
        <v/>
      </c>
      <c r="AK60" s="33">
        <f>IF(AJ60&lt;=0.005,0,AJ60-MIN(AJ60,MAX(0,$E60-SUMIFS(H60:AK60,$H$5:$AK$5,"Rem",$H$4:$AK$4,"&lt;"&amp;AK$4))))</f>
        <v/>
      </c>
      <c r="AL60" s="1" t="n"/>
    </row>
    <row r="61">
      <c r="A61" s="1" t="n"/>
      <c r="B61" s="1" t="n">
        <v>54</v>
      </c>
      <c r="C61" s="34">
        <f>EDATE(Debts!$J$13,B61-1)</f>
        <v/>
      </c>
      <c r="D61" s="33">
        <f>IF(G60&lt;=0.005,0,Debts!$E$16+Debts!$J$7)</f>
        <v/>
      </c>
      <c r="E61" s="33">
        <f>MAX(0,D61-(SUMIF($H$5:$AK$5,"Due",H61:AK61)-SUMIF($H$5:$AK$5,"Rem",H61:AK61)))</f>
        <v/>
      </c>
      <c r="F61" s="33">
        <f>SUMIF($H$5:$AK$5,"Due",H61:AK61)-SUMIF($H$5:$AK$5,"Bal",H60:AK60)</f>
        <v/>
      </c>
      <c r="G61" s="33">
        <f>SUMIF($H$5:$AK$5,"Bal",H61:AK61)</f>
        <v/>
      </c>
      <c r="H61" s="33">
        <f>J60*(1+N(Debts!$D$6)/1200)</f>
        <v/>
      </c>
      <c r="I61" s="33">
        <f>H61-MIN(N(Debts!$E$6),H61)</f>
        <v/>
      </c>
      <c r="J61" s="33">
        <f>IF(I61&lt;=0.005,0,I61-MIN(I61,MAX(0,$E61-SUMIFS(H61:AK61,$H$5:$AK$5,"Rem",$H$4:$AK$4,"&lt;"&amp;J$4))))</f>
        <v/>
      </c>
      <c r="K61" s="33">
        <f>M60*(1+N(Debts!$D$7)/1200)</f>
        <v/>
      </c>
      <c r="L61" s="33">
        <f>K61-MIN(N(Debts!$E$7),K61)</f>
        <v/>
      </c>
      <c r="M61" s="33">
        <f>IF(L61&lt;=0.005,0,L61-MIN(L61,MAX(0,$E61-SUMIFS(H61:AK61,$H$5:$AK$5,"Rem",$H$4:$AK$4,"&lt;"&amp;M$4))))</f>
        <v/>
      </c>
      <c r="N61" s="33">
        <f>P60*(1+N(Debts!$D$8)/1200)</f>
        <v/>
      </c>
      <c r="O61" s="33">
        <f>N61-MIN(N(Debts!$E$8),N61)</f>
        <v/>
      </c>
      <c r="P61" s="33">
        <f>IF(O61&lt;=0.005,0,O61-MIN(O61,MAX(0,$E61-SUMIFS(H61:AK61,$H$5:$AK$5,"Rem",$H$4:$AK$4,"&lt;"&amp;P$4))))</f>
        <v/>
      </c>
      <c r="Q61" s="33">
        <f>S60*(1+N(Debts!$D$9)/1200)</f>
        <v/>
      </c>
      <c r="R61" s="33">
        <f>Q61-MIN(N(Debts!$E$9),Q61)</f>
        <v/>
      </c>
      <c r="S61" s="33">
        <f>IF(R61&lt;=0.005,0,R61-MIN(R61,MAX(0,$E61-SUMIFS(H61:AK61,$H$5:$AK$5,"Rem",$H$4:$AK$4,"&lt;"&amp;S$4))))</f>
        <v/>
      </c>
      <c r="T61" s="33">
        <f>V60*(1+N(Debts!$D$10)/1200)</f>
        <v/>
      </c>
      <c r="U61" s="33">
        <f>T61-MIN(N(Debts!$E$10),T61)</f>
        <v/>
      </c>
      <c r="V61" s="33">
        <f>IF(U61&lt;=0.005,0,U61-MIN(U61,MAX(0,$E61-SUMIFS(H61:AK61,$H$5:$AK$5,"Rem",$H$4:$AK$4,"&lt;"&amp;V$4))))</f>
        <v/>
      </c>
      <c r="W61" s="33">
        <f>Y60*(1+N(Debts!$D$11)/1200)</f>
        <v/>
      </c>
      <c r="X61" s="33">
        <f>W61-MIN(N(Debts!$E$11),W61)</f>
        <v/>
      </c>
      <c r="Y61" s="33">
        <f>IF(X61&lt;=0.005,0,X61-MIN(X61,MAX(0,$E61-SUMIFS(H61:AK61,$H$5:$AK$5,"Rem",$H$4:$AK$4,"&lt;"&amp;Y$4))))</f>
        <v/>
      </c>
      <c r="Z61" s="33">
        <f>AB60*(1+N(Debts!$D$12)/1200)</f>
        <v/>
      </c>
      <c r="AA61" s="33">
        <f>Z61-MIN(N(Debts!$E$12),Z61)</f>
        <v/>
      </c>
      <c r="AB61" s="33">
        <f>IF(AA61&lt;=0.005,0,AA61-MIN(AA61,MAX(0,$E61-SUMIFS(H61:AK61,$H$5:$AK$5,"Rem",$H$4:$AK$4,"&lt;"&amp;AB$4))))</f>
        <v/>
      </c>
      <c r="AC61" s="33">
        <f>AE60*(1+N(Debts!$D$13)/1200)</f>
        <v/>
      </c>
      <c r="AD61" s="33">
        <f>AC61-MIN(N(Debts!$E$13),AC61)</f>
        <v/>
      </c>
      <c r="AE61" s="33">
        <f>IF(AD61&lt;=0.005,0,AD61-MIN(AD61,MAX(0,$E61-SUMIFS(H61:AK61,$H$5:$AK$5,"Rem",$H$4:$AK$4,"&lt;"&amp;AE$4))))</f>
        <v/>
      </c>
      <c r="AF61" s="33">
        <f>AH60*(1+N(Debts!$D$14)/1200)</f>
        <v/>
      </c>
      <c r="AG61" s="33">
        <f>AF61-MIN(N(Debts!$E$14),AF61)</f>
        <v/>
      </c>
      <c r="AH61" s="33">
        <f>IF(AG61&lt;=0.005,0,AG61-MIN(AG61,MAX(0,$E61-SUMIFS(H61:AK61,$H$5:$AK$5,"Rem",$H$4:$AK$4,"&lt;"&amp;AH$4))))</f>
        <v/>
      </c>
      <c r="AI61" s="33">
        <f>AK60*(1+N(Debts!$D$15)/1200)</f>
        <v/>
      </c>
      <c r="AJ61" s="33">
        <f>AI61-MIN(N(Debts!$E$15),AI61)</f>
        <v/>
      </c>
      <c r="AK61" s="33">
        <f>IF(AJ61&lt;=0.005,0,AJ61-MIN(AJ61,MAX(0,$E61-SUMIFS(H61:AK61,$H$5:$AK$5,"Rem",$H$4:$AK$4,"&lt;"&amp;AK$4))))</f>
        <v/>
      </c>
      <c r="AL61" s="1" t="n"/>
    </row>
    <row r="62">
      <c r="A62" s="1" t="n"/>
      <c r="B62" s="1" t="n">
        <v>55</v>
      </c>
      <c r="C62" s="34">
        <f>EDATE(Debts!$J$13,B62-1)</f>
        <v/>
      </c>
      <c r="D62" s="33">
        <f>IF(G61&lt;=0.005,0,Debts!$E$16+Debts!$J$7)</f>
        <v/>
      </c>
      <c r="E62" s="33">
        <f>MAX(0,D62-(SUMIF($H$5:$AK$5,"Due",H62:AK62)-SUMIF($H$5:$AK$5,"Rem",H62:AK62)))</f>
        <v/>
      </c>
      <c r="F62" s="33">
        <f>SUMIF($H$5:$AK$5,"Due",H62:AK62)-SUMIF($H$5:$AK$5,"Bal",H61:AK61)</f>
        <v/>
      </c>
      <c r="G62" s="33">
        <f>SUMIF($H$5:$AK$5,"Bal",H62:AK62)</f>
        <v/>
      </c>
      <c r="H62" s="33">
        <f>J61*(1+N(Debts!$D$6)/1200)</f>
        <v/>
      </c>
      <c r="I62" s="33">
        <f>H62-MIN(N(Debts!$E$6),H62)</f>
        <v/>
      </c>
      <c r="J62" s="33">
        <f>IF(I62&lt;=0.005,0,I62-MIN(I62,MAX(0,$E62-SUMIFS(H62:AK62,$H$5:$AK$5,"Rem",$H$4:$AK$4,"&lt;"&amp;J$4))))</f>
        <v/>
      </c>
      <c r="K62" s="33">
        <f>M61*(1+N(Debts!$D$7)/1200)</f>
        <v/>
      </c>
      <c r="L62" s="33">
        <f>K62-MIN(N(Debts!$E$7),K62)</f>
        <v/>
      </c>
      <c r="M62" s="33">
        <f>IF(L62&lt;=0.005,0,L62-MIN(L62,MAX(0,$E62-SUMIFS(H62:AK62,$H$5:$AK$5,"Rem",$H$4:$AK$4,"&lt;"&amp;M$4))))</f>
        <v/>
      </c>
      <c r="N62" s="33">
        <f>P61*(1+N(Debts!$D$8)/1200)</f>
        <v/>
      </c>
      <c r="O62" s="33">
        <f>N62-MIN(N(Debts!$E$8),N62)</f>
        <v/>
      </c>
      <c r="P62" s="33">
        <f>IF(O62&lt;=0.005,0,O62-MIN(O62,MAX(0,$E62-SUMIFS(H62:AK62,$H$5:$AK$5,"Rem",$H$4:$AK$4,"&lt;"&amp;P$4))))</f>
        <v/>
      </c>
      <c r="Q62" s="33">
        <f>S61*(1+N(Debts!$D$9)/1200)</f>
        <v/>
      </c>
      <c r="R62" s="33">
        <f>Q62-MIN(N(Debts!$E$9),Q62)</f>
        <v/>
      </c>
      <c r="S62" s="33">
        <f>IF(R62&lt;=0.005,0,R62-MIN(R62,MAX(0,$E62-SUMIFS(H62:AK62,$H$5:$AK$5,"Rem",$H$4:$AK$4,"&lt;"&amp;S$4))))</f>
        <v/>
      </c>
      <c r="T62" s="33">
        <f>V61*(1+N(Debts!$D$10)/1200)</f>
        <v/>
      </c>
      <c r="U62" s="33">
        <f>T62-MIN(N(Debts!$E$10),T62)</f>
        <v/>
      </c>
      <c r="V62" s="33">
        <f>IF(U62&lt;=0.005,0,U62-MIN(U62,MAX(0,$E62-SUMIFS(H62:AK62,$H$5:$AK$5,"Rem",$H$4:$AK$4,"&lt;"&amp;V$4))))</f>
        <v/>
      </c>
      <c r="W62" s="33">
        <f>Y61*(1+N(Debts!$D$11)/1200)</f>
        <v/>
      </c>
      <c r="X62" s="33">
        <f>W62-MIN(N(Debts!$E$11),W62)</f>
        <v/>
      </c>
      <c r="Y62" s="33">
        <f>IF(X62&lt;=0.005,0,X62-MIN(X62,MAX(0,$E62-SUMIFS(H62:AK62,$H$5:$AK$5,"Rem",$H$4:$AK$4,"&lt;"&amp;Y$4))))</f>
        <v/>
      </c>
      <c r="Z62" s="33">
        <f>AB61*(1+N(Debts!$D$12)/1200)</f>
        <v/>
      </c>
      <c r="AA62" s="33">
        <f>Z62-MIN(N(Debts!$E$12),Z62)</f>
        <v/>
      </c>
      <c r="AB62" s="33">
        <f>IF(AA62&lt;=0.005,0,AA62-MIN(AA62,MAX(0,$E62-SUMIFS(H62:AK62,$H$5:$AK$5,"Rem",$H$4:$AK$4,"&lt;"&amp;AB$4))))</f>
        <v/>
      </c>
      <c r="AC62" s="33">
        <f>AE61*(1+N(Debts!$D$13)/1200)</f>
        <v/>
      </c>
      <c r="AD62" s="33">
        <f>AC62-MIN(N(Debts!$E$13),AC62)</f>
        <v/>
      </c>
      <c r="AE62" s="33">
        <f>IF(AD62&lt;=0.005,0,AD62-MIN(AD62,MAX(0,$E62-SUMIFS(H62:AK62,$H$5:$AK$5,"Rem",$H$4:$AK$4,"&lt;"&amp;AE$4))))</f>
        <v/>
      </c>
      <c r="AF62" s="33">
        <f>AH61*(1+N(Debts!$D$14)/1200)</f>
        <v/>
      </c>
      <c r="AG62" s="33">
        <f>AF62-MIN(N(Debts!$E$14),AF62)</f>
        <v/>
      </c>
      <c r="AH62" s="33">
        <f>IF(AG62&lt;=0.005,0,AG62-MIN(AG62,MAX(0,$E62-SUMIFS(H62:AK62,$H$5:$AK$5,"Rem",$H$4:$AK$4,"&lt;"&amp;AH$4))))</f>
        <v/>
      </c>
      <c r="AI62" s="33">
        <f>AK61*(1+N(Debts!$D$15)/1200)</f>
        <v/>
      </c>
      <c r="AJ62" s="33">
        <f>AI62-MIN(N(Debts!$E$15),AI62)</f>
        <v/>
      </c>
      <c r="AK62" s="33">
        <f>IF(AJ62&lt;=0.005,0,AJ62-MIN(AJ62,MAX(0,$E62-SUMIFS(H62:AK62,$H$5:$AK$5,"Rem",$H$4:$AK$4,"&lt;"&amp;AK$4))))</f>
        <v/>
      </c>
      <c r="AL62" s="1" t="n"/>
    </row>
    <row r="63">
      <c r="A63" s="1" t="n"/>
      <c r="B63" s="1" t="n">
        <v>56</v>
      </c>
      <c r="C63" s="34">
        <f>EDATE(Debts!$J$13,B63-1)</f>
        <v/>
      </c>
      <c r="D63" s="33">
        <f>IF(G62&lt;=0.005,0,Debts!$E$16+Debts!$J$7)</f>
        <v/>
      </c>
      <c r="E63" s="33">
        <f>MAX(0,D63-(SUMIF($H$5:$AK$5,"Due",H63:AK63)-SUMIF($H$5:$AK$5,"Rem",H63:AK63)))</f>
        <v/>
      </c>
      <c r="F63" s="33">
        <f>SUMIF($H$5:$AK$5,"Due",H63:AK63)-SUMIF($H$5:$AK$5,"Bal",H62:AK62)</f>
        <v/>
      </c>
      <c r="G63" s="33">
        <f>SUMIF($H$5:$AK$5,"Bal",H63:AK63)</f>
        <v/>
      </c>
      <c r="H63" s="33">
        <f>J62*(1+N(Debts!$D$6)/1200)</f>
        <v/>
      </c>
      <c r="I63" s="33">
        <f>H63-MIN(N(Debts!$E$6),H63)</f>
        <v/>
      </c>
      <c r="J63" s="33">
        <f>IF(I63&lt;=0.005,0,I63-MIN(I63,MAX(0,$E63-SUMIFS(H63:AK63,$H$5:$AK$5,"Rem",$H$4:$AK$4,"&lt;"&amp;J$4))))</f>
        <v/>
      </c>
      <c r="K63" s="33">
        <f>M62*(1+N(Debts!$D$7)/1200)</f>
        <v/>
      </c>
      <c r="L63" s="33">
        <f>K63-MIN(N(Debts!$E$7),K63)</f>
        <v/>
      </c>
      <c r="M63" s="33">
        <f>IF(L63&lt;=0.005,0,L63-MIN(L63,MAX(0,$E63-SUMIFS(H63:AK63,$H$5:$AK$5,"Rem",$H$4:$AK$4,"&lt;"&amp;M$4))))</f>
        <v/>
      </c>
      <c r="N63" s="33">
        <f>P62*(1+N(Debts!$D$8)/1200)</f>
        <v/>
      </c>
      <c r="O63" s="33">
        <f>N63-MIN(N(Debts!$E$8),N63)</f>
        <v/>
      </c>
      <c r="P63" s="33">
        <f>IF(O63&lt;=0.005,0,O63-MIN(O63,MAX(0,$E63-SUMIFS(H63:AK63,$H$5:$AK$5,"Rem",$H$4:$AK$4,"&lt;"&amp;P$4))))</f>
        <v/>
      </c>
      <c r="Q63" s="33">
        <f>S62*(1+N(Debts!$D$9)/1200)</f>
        <v/>
      </c>
      <c r="R63" s="33">
        <f>Q63-MIN(N(Debts!$E$9),Q63)</f>
        <v/>
      </c>
      <c r="S63" s="33">
        <f>IF(R63&lt;=0.005,0,R63-MIN(R63,MAX(0,$E63-SUMIFS(H63:AK63,$H$5:$AK$5,"Rem",$H$4:$AK$4,"&lt;"&amp;S$4))))</f>
        <v/>
      </c>
      <c r="T63" s="33">
        <f>V62*(1+N(Debts!$D$10)/1200)</f>
        <v/>
      </c>
      <c r="U63" s="33">
        <f>T63-MIN(N(Debts!$E$10),T63)</f>
        <v/>
      </c>
      <c r="V63" s="33">
        <f>IF(U63&lt;=0.005,0,U63-MIN(U63,MAX(0,$E63-SUMIFS(H63:AK63,$H$5:$AK$5,"Rem",$H$4:$AK$4,"&lt;"&amp;V$4))))</f>
        <v/>
      </c>
      <c r="W63" s="33">
        <f>Y62*(1+N(Debts!$D$11)/1200)</f>
        <v/>
      </c>
      <c r="X63" s="33">
        <f>W63-MIN(N(Debts!$E$11),W63)</f>
        <v/>
      </c>
      <c r="Y63" s="33">
        <f>IF(X63&lt;=0.005,0,X63-MIN(X63,MAX(0,$E63-SUMIFS(H63:AK63,$H$5:$AK$5,"Rem",$H$4:$AK$4,"&lt;"&amp;Y$4))))</f>
        <v/>
      </c>
      <c r="Z63" s="33">
        <f>AB62*(1+N(Debts!$D$12)/1200)</f>
        <v/>
      </c>
      <c r="AA63" s="33">
        <f>Z63-MIN(N(Debts!$E$12),Z63)</f>
        <v/>
      </c>
      <c r="AB63" s="33">
        <f>IF(AA63&lt;=0.005,0,AA63-MIN(AA63,MAX(0,$E63-SUMIFS(H63:AK63,$H$5:$AK$5,"Rem",$H$4:$AK$4,"&lt;"&amp;AB$4))))</f>
        <v/>
      </c>
      <c r="AC63" s="33">
        <f>AE62*(1+N(Debts!$D$13)/1200)</f>
        <v/>
      </c>
      <c r="AD63" s="33">
        <f>AC63-MIN(N(Debts!$E$13),AC63)</f>
        <v/>
      </c>
      <c r="AE63" s="33">
        <f>IF(AD63&lt;=0.005,0,AD63-MIN(AD63,MAX(0,$E63-SUMIFS(H63:AK63,$H$5:$AK$5,"Rem",$H$4:$AK$4,"&lt;"&amp;AE$4))))</f>
        <v/>
      </c>
      <c r="AF63" s="33">
        <f>AH62*(1+N(Debts!$D$14)/1200)</f>
        <v/>
      </c>
      <c r="AG63" s="33">
        <f>AF63-MIN(N(Debts!$E$14),AF63)</f>
        <v/>
      </c>
      <c r="AH63" s="33">
        <f>IF(AG63&lt;=0.005,0,AG63-MIN(AG63,MAX(0,$E63-SUMIFS(H63:AK63,$H$5:$AK$5,"Rem",$H$4:$AK$4,"&lt;"&amp;AH$4))))</f>
        <v/>
      </c>
      <c r="AI63" s="33">
        <f>AK62*(1+N(Debts!$D$15)/1200)</f>
        <v/>
      </c>
      <c r="AJ63" s="33">
        <f>AI63-MIN(N(Debts!$E$15),AI63)</f>
        <v/>
      </c>
      <c r="AK63" s="33">
        <f>IF(AJ63&lt;=0.005,0,AJ63-MIN(AJ63,MAX(0,$E63-SUMIFS(H63:AK63,$H$5:$AK$5,"Rem",$H$4:$AK$4,"&lt;"&amp;AK$4))))</f>
        <v/>
      </c>
      <c r="AL63" s="1" t="n"/>
    </row>
    <row r="64">
      <c r="A64" s="1" t="n"/>
      <c r="B64" s="1" t="n">
        <v>57</v>
      </c>
      <c r="C64" s="34">
        <f>EDATE(Debts!$J$13,B64-1)</f>
        <v/>
      </c>
      <c r="D64" s="33">
        <f>IF(G63&lt;=0.005,0,Debts!$E$16+Debts!$J$7)</f>
        <v/>
      </c>
      <c r="E64" s="33">
        <f>MAX(0,D64-(SUMIF($H$5:$AK$5,"Due",H64:AK64)-SUMIF($H$5:$AK$5,"Rem",H64:AK64)))</f>
        <v/>
      </c>
      <c r="F64" s="33">
        <f>SUMIF($H$5:$AK$5,"Due",H64:AK64)-SUMIF($H$5:$AK$5,"Bal",H63:AK63)</f>
        <v/>
      </c>
      <c r="G64" s="33">
        <f>SUMIF($H$5:$AK$5,"Bal",H64:AK64)</f>
        <v/>
      </c>
      <c r="H64" s="33">
        <f>J63*(1+N(Debts!$D$6)/1200)</f>
        <v/>
      </c>
      <c r="I64" s="33">
        <f>H64-MIN(N(Debts!$E$6),H64)</f>
        <v/>
      </c>
      <c r="J64" s="33">
        <f>IF(I64&lt;=0.005,0,I64-MIN(I64,MAX(0,$E64-SUMIFS(H64:AK64,$H$5:$AK$5,"Rem",$H$4:$AK$4,"&lt;"&amp;J$4))))</f>
        <v/>
      </c>
      <c r="K64" s="33">
        <f>M63*(1+N(Debts!$D$7)/1200)</f>
        <v/>
      </c>
      <c r="L64" s="33">
        <f>K64-MIN(N(Debts!$E$7),K64)</f>
        <v/>
      </c>
      <c r="M64" s="33">
        <f>IF(L64&lt;=0.005,0,L64-MIN(L64,MAX(0,$E64-SUMIFS(H64:AK64,$H$5:$AK$5,"Rem",$H$4:$AK$4,"&lt;"&amp;M$4))))</f>
        <v/>
      </c>
      <c r="N64" s="33">
        <f>P63*(1+N(Debts!$D$8)/1200)</f>
        <v/>
      </c>
      <c r="O64" s="33">
        <f>N64-MIN(N(Debts!$E$8),N64)</f>
        <v/>
      </c>
      <c r="P64" s="33">
        <f>IF(O64&lt;=0.005,0,O64-MIN(O64,MAX(0,$E64-SUMIFS(H64:AK64,$H$5:$AK$5,"Rem",$H$4:$AK$4,"&lt;"&amp;P$4))))</f>
        <v/>
      </c>
      <c r="Q64" s="33">
        <f>S63*(1+N(Debts!$D$9)/1200)</f>
        <v/>
      </c>
      <c r="R64" s="33">
        <f>Q64-MIN(N(Debts!$E$9),Q64)</f>
        <v/>
      </c>
      <c r="S64" s="33">
        <f>IF(R64&lt;=0.005,0,R64-MIN(R64,MAX(0,$E64-SUMIFS(H64:AK64,$H$5:$AK$5,"Rem",$H$4:$AK$4,"&lt;"&amp;S$4))))</f>
        <v/>
      </c>
      <c r="T64" s="33">
        <f>V63*(1+N(Debts!$D$10)/1200)</f>
        <v/>
      </c>
      <c r="U64" s="33">
        <f>T64-MIN(N(Debts!$E$10),T64)</f>
        <v/>
      </c>
      <c r="V64" s="33">
        <f>IF(U64&lt;=0.005,0,U64-MIN(U64,MAX(0,$E64-SUMIFS(H64:AK64,$H$5:$AK$5,"Rem",$H$4:$AK$4,"&lt;"&amp;V$4))))</f>
        <v/>
      </c>
      <c r="W64" s="33">
        <f>Y63*(1+N(Debts!$D$11)/1200)</f>
        <v/>
      </c>
      <c r="X64" s="33">
        <f>W64-MIN(N(Debts!$E$11),W64)</f>
        <v/>
      </c>
      <c r="Y64" s="33">
        <f>IF(X64&lt;=0.005,0,X64-MIN(X64,MAX(0,$E64-SUMIFS(H64:AK64,$H$5:$AK$5,"Rem",$H$4:$AK$4,"&lt;"&amp;Y$4))))</f>
        <v/>
      </c>
      <c r="Z64" s="33">
        <f>AB63*(1+N(Debts!$D$12)/1200)</f>
        <v/>
      </c>
      <c r="AA64" s="33">
        <f>Z64-MIN(N(Debts!$E$12),Z64)</f>
        <v/>
      </c>
      <c r="AB64" s="33">
        <f>IF(AA64&lt;=0.005,0,AA64-MIN(AA64,MAX(0,$E64-SUMIFS(H64:AK64,$H$5:$AK$5,"Rem",$H$4:$AK$4,"&lt;"&amp;AB$4))))</f>
        <v/>
      </c>
      <c r="AC64" s="33">
        <f>AE63*(1+N(Debts!$D$13)/1200)</f>
        <v/>
      </c>
      <c r="AD64" s="33">
        <f>AC64-MIN(N(Debts!$E$13),AC64)</f>
        <v/>
      </c>
      <c r="AE64" s="33">
        <f>IF(AD64&lt;=0.005,0,AD64-MIN(AD64,MAX(0,$E64-SUMIFS(H64:AK64,$H$5:$AK$5,"Rem",$H$4:$AK$4,"&lt;"&amp;AE$4))))</f>
        <v/>
      </c>
      <c r="AF64" s="33">
        <f>AH63*(1+N(Debts!$D$14)/1200)</f>
        <v/>
      </c>
      <c r="AG64" s="33">
        <f>AF64-MIN(N(Debts!$E$14),AF64)</f>
        <v/>
      </c>
      <c r="AH64" s="33">
        <f>IF(AG64&lt;=0.005,0,AG64-MIN(AG64,MAX(0,$E64-SUMIFS(H64:AK64,$H$5:$AK$5,"Rem",$H$4:$AK$4,"&lt;"&amp;AH$4))))</f>
        <v/>
      </c>
      <c r="AI64" s="33">
        <f>AK63*(1+N(Debts!$D$15)/1200)</f>
        <v/>
      </c>
      <c r="AJ64" s="33">
        <f>AI64-MIN(N(Debts!$E$15),AI64)</f>
        <v/>
      </c>
      <c r="AK64" s="33">
        <f>IF(AJ64&lt;=0.005,0,AJ64-MIN(AJ64,MAX(0,$E64-SUMIFS(H64:AK64,$H$5:$AK$5,"Rem",$H$4:$AK$4,"&lt;"&amp;AK$4))))</f>
        <v/>
      </c>
      <c r="AL64" s="1" t="n"/>
    </row>
    <row r="65">
      <c r="A65" s="1" t="n"/>
      <c r="B65" s="1" t="n">
        <v>58</v>
      </c>
      <c r="C65" s="34">
        <f>EDATE(Debts!$J$13,B65-1)</f>
        <v/>
      </c>
      <c r="D65" s="33">
        <f>IF(G64&lt;=0.005,0,Debts!$E$16+Debts!$J$7)</f>
        <v/>
      </c>
      <c r="E65" s="33">
        <f>MAX(0,D65-(SUMIF($H$5:$AK$5,"Due",H65:AK65)-SUMIF($H$5:$AK$5,"Rem",H65:AK65)))</f>
        <v/>
      </c>
      <c r="F65" s="33">
        <f>SUMIF($H$5:$AK$5,"Due",H65:AK65)-SUMIF($H$5:$AK$5,"Bal",H64:AK64)</f>
        <v/>
      </c>
      <c r="G65" s="33">
        <f>SUMIF($H$5:$AK$5,"Bal",H65:AK65)</f>
        <v/>
      </c>
      <c r="H65" s="33">
        <f>J64*(1+N(Debts!$D$6)/1200)</f>
        <v/>
      </c>
      <c r="I65" s="33">
        <f>H65-MIN(N(Debts!$E$6),H65)</f>
        <v/>
      </c>
      <c r="J65" s="33">
        <f>IF(I65&lt;=0.005,0,I65-MIN(I65,MAX(0,$E65-SUMIFS(H65:AK65,$H$5:$AK$5,"Rem",$H$4:$AK$4,"&lt;"&amp;J$4))))</f>
        <v/>
      </c>
      <c r="K65" s="33">
        <f>M64*(1+N(Debts!$D$7)/1200)</f>
        <v/>
      </c>
      <c r="L65" s="33">
        <f>K65-MIN(N(Debts!$E$7),K65)</f>
        <v/>
      </c>
      <c r="M65" s="33">
        <f>IF(L65&lt;=0.005,0,L65-MIN(L65,MAX(0,$E65-SUMIFS(H65:AK65,$H$5:$AK$5,"Rem",$H$4:$AK$4,"&lt;"&amp;M$4))))</f>
        <v/>
      </c>
      <c r="N65" s="33">
        <f>P64*(1+N(Debts!$D$8)/1200)</f>
        <v/>
      </c>
      <c r="O65" s="33">
        <f>N65-MIN(N(Debts!$E$8),N65)</f>
        <v/>
      </c>
      <c r="P65" s="33">
        <f>IF(O65&lt;=0.005,0,O65-MIN(O65,MAX(0,$E65-SUMIFS(H65:AK65,$H$5:$AK$5,"Rem",$H$4:$AK$4,"&lt;"&amp;P$4))))</f>
        <v/>
      </c>
      <c r="Q65" s="33">
        <f>S64*(1+N(Debts!$D$9)/1200)</f>
        <v/>
      </c>
      <c r="R65" s="33">
        <f>Q65-MIN(N(Debts!$E$9),Q65)</f>
        <v/>
      </c>
      <c r="S65" s="33">
        <f>IF(R65&lt;=0.005,0,R65-MIN(R65,MAX(0,$E65-SUMIFS(H65:AK65,$H$5:$AK$5,"Rem",$H$4:$AK$4,"&lt;"&amp;S$4))))</f>
        <v/>
      </c>
      <c r="T65" s="33">
        <f>V64*(1+N(Debts!$D$10)/1200)</f>
        <v/>
      </c>
      <c r="U65" s="33">
        <f>T65-MIN(N(Debts!$E$10),T65)</f>
        <v/>
      </c>
      <c r="V65" s="33">
        <f>IF(U65&lt;=0.005,0,U65-MIN(U65,MAX(0,$E65-SUMIFS(H65:AK65,$H$5:$AK$5,"Rem",$H$4:$AK$4,"&lt;"&amp;V$4))))</f>
        <v/>
      </c>
      <c r="W65" s="33">
        <f>Y64*(1+N(Debts!$D$11)/1200)</f>
        <v/>
      </c>
      <c r="X65" s="33">
        <f>W65-MIN(N(Debts!$E$11),W65)</f>
        <v/>
      </c>
      <c r="Y65" s="33">
        <f>IF(X65&lt;=0.005,0,X65-MIN(X65,MAX(0,$E65-SUMIFS(H65:AK65,$H$5:$AK$5,"Rem",$H$4:$AK$4,"&lt;"&amp;Y$4))))</f>
        <v/>
      </c>
      <c r="Z65" s="33">
        <f>AB64*(1+N(Debts!$D$12)/1200)</f>
        <v/>
      </c>
      <c r="AA65" s="33">
        <f>Z65-MIN(N(Debts!$E$12),Z65)</f>
        <v/>
      </c>
      <c r="AB65" s="33">
        <f>IF(AA65&lt;=0.005,0,AA65-MIN(AA65,MAX(0,$E65-SUMIFS(H65:AK65,$H$5:$AK$5,"Rem",$H$4:$AK$4,"&lt;"&amp;AB$4))))</f>
        <v/>
      </c>
      <c r="AC65" s="33">
        <f>AE64*(1+N(Debts!$D$13)/1200)</f>
        <v/>
      </c>
      <c r="AD65" s="33">
        <f>AC65-MIN(N(Debts!$E$13),AC65)</f>
        <v/>
      </c>
      <c r="AE65" s="33">
        <f>IF(AD65&lt;=0.005,0,AD65-MIN(AD65,MAX(0,$E65-SUMIFS(H65:AK65,$H$5:$AK$5,"Rem",$H$4:$AK$4,"&lt;"&amp;AE$4))))</f>
        <v/>
      </c>
      <c r="AF65" s="33">
        <f>AH64*(1+N(Debts!$D$14)/1200)</f>
        <v/>
      </c>
      <c r="AG65" s="33">
        <f>AF65-MIN(N(Debts!$E$14),AF65)</f>
        <v/>
      </c>
      <c r="AH65" s="33">
        <f>IF(AG65&lt;=0.005,0,AG65-MIN(AG65,MAX(0,$E65-SUMIFS(H65:AK65,$H$5:$AK$5,"Rem",$H$4:$AK$4,"&lt;"&amp;AH$4))))</f>
        <v/>
      </c>
      <c r="AI65" s="33">
        <f>AK64*(1+N(Debts!$D$15)/1200)</f>
        <v/>
      </c>
      <c r="AJ65" s="33">
        <f>AI65-MIN(N(Debts!$E$15),AI65)</f>
        <v/>
      </c>
      <c r="AK65" s="33">
        <f>IF(AJ65&lt;=0.005,0,AJ65-MIN(AJ65,MAX(0,$E65-SUMIFS(H65:AK65,$H$5:$AK$5,"Rem",$H$4:$AK$4,"&lt;"&amp;AK$4))))</f>
        <v/>
      </c>
      <c r="AL65" s="1" t="n"/>
    </row>
    <row r="66">
      <c r="A66" s="1" t="n"/>
      <c r="B66" s="1" t="n">
        <v>59</v>
      </c>
      <c r="C66" s="34">
        <f>EDATE(Debts!$J$13,B66-1)</f>
        <v/>
      </c>
      <c r="D66" s="33">
        <f>IF(G65&lt;=0.005,0,Debts!$E$16+Debts!$J$7)</f>
        <v/>
      </c>
      <c r="E66" s="33">
        <f>MAX(0,D66-(SUMIF($H$5:$AK$5,"Due",H66:AK66)-SUMIF($H$5:$AK$5,"Rem",H66:AK66)))</f>
        <v/>
      </c>
      <c r="F66" s="33">
        <f>SUMIF($H$5:$AK$5,"Due",H66:AK66)-SUMIF($H$5:$AK$5,"Bal",H65:AK65)</f>
        <v/>
      </c>
      <c r="G66" s="33">
        <f>SUMIF($H$5:$AK$5,"Bal",H66:AK66)</f>
        <v/>
      </c>
      <c r="H66" s="33">
        <f>J65*(1+N(Debts!$D$6)/1200)</f>
        <v/>
      </c>
      <c r="I66" s="33">
        <f>H66-MIN(N(Debts!$E$6),H66)</f>
        <v/>
      </c>
      <c r="J66" s="33">
        <f>IF(I66&lt;=0.005,0,I66-MIN(I66,MAX(0,$E66-SUMIFS(H66:AK66,$H$5:$AK$5,"Rem",$H$4:$AK$4,"&lt;"&amp;J$4))))</f>
        <v/>
      </c>
      <c r="K66" s="33">
        <f>M65*(1+N(Debts!$D$7)/1200)</f>
        <v/>
      </c>
      <c r="L66" s="33">
        <f>K66-MIN(N(Debts!$E$7),K66)</f>
        <v/>
      </c>
      <c r="M66" s="33">
        <f>IF(L66&lt;=0.005,0,L66-MIN(L66,MAX(0,$E66-SUMIFS(H66:AK66,$H$5:$AK$5,"Rem",$H$4:$AK$4,"&lt;"&amp;M$4))))</f>
        <v/>
      </c>
      <c r="N66" s="33">
        <f>P65*(1+N(Debts!$D$8)/1200)</f>
        <v/>
      </c>
      <c r="O66" s="33">
        <f>N66-MIN(N(Debts!$E$8),N66)</f>
        <v/>
      </c>
      <c r="P66" s="33">
        <f>IF(O66&lt;=0.005,0,O66-MIN(O66,MAX(0,$E66-SUMIFS(H66:AK66,$H$5:$AK$5,"Rem",$H$4:$AK$4,"&lt;"&amp;P$4))))</f>
        <v/>
      </c>
      <c r="Q66" s="33">
        <f>S65*(1+N(Debts!$D$9)/1200)</f>
        <v/>
      </c>
      <c r="R66" s="33">
        <f>Q66-MIN(N(Debts!$E$9),Q66)</f>
        <v/>
      </c>
      <c r="S66" s="33">
        <f>IF(R66&lt;=0.005,0,R66-MIN(R66,MAX(0,$E66-SUMIFS(H66:AK66,$H$5:$AK$5,"Rem",$H$4:$AK$4,"&lt;"&amp;S$4))))</f>
        <v/>
      </c>
      <c r="T66" s="33">
        <f>V65*(1+N(Debts!$D$10)/1200)</f>
        <v/>
      </c>
      <c r="U66" s="33">
        <f>T66-MIN(N(Debts!$E$10),T66)</f>
        <v/>
      </c>
      <c r="V66" s="33">
        <f>IF(U66&lt;=0.005,0,U66-MIN(U66,MAX(0,$E66-SUMIFS(H66:AK66,$H$5:$AK$5,"Rem",$H$4:$AK$4,"&lt;"&amp;V$4))))</f>
        <v/>
      </c>
      <c r="W66" s="33">
        <f>Y65*(1+N(Debts!$D$11)/1200)</f>
        <v/>
      </c>
      <c r="X66" s="33">
        <f>W66-MIN(N(Debts!$E$11),W66)</f>
        <v/>
      </c>
      <c r="Y66" s="33">
        <f>IF(X66&lt;=0.005,0,X66-MIN(X66,MAX(0,$E66-SUMIFS(H66:AK66,$H$5:$AK$5,"Rem",$H$4:$AK$4,"&lt;"&amp;Y$4))))</f>
        <v/>
      </c>
      <c r="Z66" s="33">
        <f>AB65*(1+N(Debts!$D$12)/1200)</f>
        <v/>
      </c>
      <c r="AA66" s="33">
        <f>Z66-MIN(N(Debts!$E$12),Z66)</f>
        <v/>
      </c>
      <c r="AB66" s="33">
        <f>IF(AA66&lt;=0.005,0,AA66-MIN(AA66,MAX(0,$E66-SUMIFS(H66:AK66,$H$5:$AK$5,"Rem",$H$4:$AK$4,"&lt;"&amp;AB$4))))</f>
        <v/>
      </c>
      <c r="AC66" s="33">
        <f>AE65*(1+N(Debts!$D$13)/1200)</f>
        <v/>
      </c>
      <c r="AD66" s="33">
        <f>AC66-MIN(N(Debts!$E$13),AC66)</f>
        <v/>
      </c>
      <c r="AE66" s="33">
        <f>IF(AD66&lt;=0.005,0,AD66-MIN(AD66,MAX(0,$E66-SUMIFS(H66:AK66,$H$5:$AK$5,"Rem",$H$4:$AK$4,"&lt;"&amp;AE$4))))</f>
        <v/>
      </c>
      <c r="AF66" s="33">
        <f>AH65*(1+N(Debts!$D$14)/1200)</f>
        <v/>
      </c>
      <c r="AG66" s="33">
        <f>AF66-MIN(N(Debts!$E$14),AF66)</f>
        <v/>
      </c>
      <c r="AH66" s="33">
        <f>IF(AG66&lt;=0.005,0,AG66-MIN(AG66,MAX(0,$E66-SUMIFS(H66:AK66,$H$5:$AK$5,"Rem",$H$4:$AK$4,"&lt;"&amp;AH$4))))</f>
        <v/>
      </c>
      <c r="AI66" s="33">
        <f>AK65*(1+N(Debts!$D$15)/1200)</f>
        <v/>
      </c>
      <c r="AJ66" s="33">
        <f>AI66-MIN(N(Debts!$E$15),AI66)</f>
        <v/>
      </c>
      <c r="AK66" s="33">
        <f>IF(AJ66&lt;=0.005,0,AJ66-MIN(AJ66,MAX(0,$E66-SUMIFS(H66:AK66,$H$5:$AK$5,"Rem",$H$4:$AK$4,"&lt;"&amp;AK$4))))</f>
        <v/>
      </c>
      <c r="AL66" s="1" t="n"/>
    </row>
    <row r="67">
      <c r="A67" s="1" t="n"/>
      <c r="B67" s="1" t="n">
        <v>60</v>
      </c>
      <c r="C67" s="34">
        <f>EDATE(Debts!$J$13,B67-1)</f>
        <v/>
      </c>
      <c r="D67" s="33">
        <f>IF(G66&lt;=0.005,0,Debts!$E$16+Debts!$J$7)</f>
        <v/>
      </c>
      <c r="E67" s="33">
        <f>MAX(0,D67-(SUMIF($H$5:$AK$5,"Due",H67:AK67)-SUMIF($H$5:$AK$5,"Rem",H67:AK67)))</f>
        <v/>
      </c>
      <c r="F67" s="33">
        <f>SUMIF($H$5:$AK$5,"Due",H67:AK67)-SUMIF($H$5:$AK$5,"Bal",H66:AK66)</f>
        <v/>
      </c>
      <c r="G67" s="33">
        <f>SUMIF($H$5:$AK$5,"Bal",H67:AK67)</f>
        <v/>
      </c>
      <c r="H67" s="33">
        <f>J66*(1+N(Debts!$D$6)/1200)</f>
        <v/>
      </c>
      <c r="I67" s="33">
        <f>H67-MIN(N(Debts!$E$6),H67)</f>
        <v/>
      </c>
      <c r="J67" s="33">
        <f>IF(I67&lt;=0.005,0,I67-MIN(I67,MAX(0,$E67-SUMIFS(H67:AK67,$H$5:$AK$5,"Rem",$H$4:$AK$4,"&lt;"&amp;J$4))))</f>
        <v/>
      </c>
      <c r="K67" s="33">
        <f>M66*(1+N(Debts!$D$7)/1200)</f>
        <v/>
      </c>
      <c r="L67" s="33">
        <f>K67-MIN(N(Debts!$E$7),K67)</f>
        <v/>
      </c>
      <c r="M67" s="33">
        <f>IF(L67&lt;=0.005,0,L67-MIN(L67,MAX(0,$E67-SUMIFS(H67:AK67,$H$5:$AK$5,"Rem",$H$4:$AK$4,"&lt;"&amp;M$4))))</f>
        <v/>
      </c>
      <c r="N67" s="33">
        <f>P66*(1+N(Debts!$D$8)/1200)</f>
        <v/>
      </c>
      <c r="O67" s="33">
        <f>N67-MIN(N(Debts!$E$8),N67)</f>
        <v/>
      </c>
      <c r="P67" s="33">
        <f>IF(O67&lt;=0.005,0,O67-MIN(O67,MAX(0,$E67-SUMIFS(H67:AK67,$H$5:$AK$5,"Rem",$H$4:$AK$4,"&lt;"&amp;P$4))))</f>
        <v/>
      </c>
      <c r="Q67" s="33">
        <f>S66*(1+N(Debts!$D$9)/1200)</f>
        <v/>
      </c>
      <c r="R67" s="33">
        <f>Q67-MIN(N(Debts!$E$9),Q67)</f>
        <v/>
      </c>
      <c r="S67" s="33">
        <f>IF(R67&lt;=0.005,0,R67-MIN(R67,MAX(0,$E67-SUMIFS(H67:AK67,$H$5:$AK$5,"Rem",$H$4:$AK$4,"&lt;"&amp;S$4))))</f>
        <v/>
      </c>
      <c r="T67" s="33">
        <f>V66*(1+N(Debts!$D$10)/1200)</f>
        <v/>
      </c>
      <c r="U67" s="33">
        <f>T67-MIN(N(Debts!$E$10),T67)</f>
        <v/>
      </c>
      <c r="V67" s="33">
        <f>IF(U67&lt;=0.005,0,U67-MIN(U67,MAX(0,$E67-SUMIFS(H67:AK67,$H$5:$AK$5,"Rem",$H$4:$AK$4,"&lt;"&amp;V$4))))</f>
        <v/>
      </c>
      <c r="W67" s="33">
        <f>Y66*(1+N(Debts!$D$11)/1200)</f>
        <v/>
      </c>
      <c r="X67" s="33">
        <f>W67-MIN(N(Debts!$E$11),W67)</f>
        <v/>
      </c>
      <c r="Y67" s="33">
        <f>IF(X67&lt;=0.005,0,X67-MIN(X67,MAX(0,$E67-SUMIFS(H67:AK67,$H$5:$AK$5,"Rem",$H$4:$AK$4,"&lt;"&amp;Y$4))))</f>
        <v/>
      </c>
      <c r="Z67" s="33">
        <f>AB66*(1+N(Debts!$D$12)/1200)</f>
        <v/>
      </c>
      <c r="AA67" s="33">
        <f>Z67-MIN(N(Debts!$E$12),Z67)</f>
        <v/>
      </c>
      <c r="AB67" s="33">
        <f>IF(AA67&lt;=0.005,0,AA67-MIN(AA67,MAX(0,$E67-SUMIFS(H67:AK67,$H$5:$AK$5,"Rem",$H$4:$AK$4,"&lt;"&amp;AB$4))))</f>
        <v/>
      </c>
      <c r="AC67" s="33">
        <f>AE66*(1+N(Debts!$D$13)/1200)</f>
        <v/>
      </c>
      <c r="AD67" s="33">
        <f>AC67-MIN(N(Debts!$E$13),AC67)</f>
        <v/>
      </c>
      <c r="AE67" s="33">
        <f>IF(AD67&lt;=0.005,0,AD67-MIN(AD67,MAX(0,$E67-SUMIFS(H67:AK67,$H$5:$AK$5,"Rem",$H$4:$AK$4,"&lt;"&amp;AE$4))))</f>
        <v/>
      </c>
      <c r="AF67" s="33">
        <f>AH66*(1+N(Debts!$D$14)/1200)</f>
        <v/>
      </c>
      <c r="AG67" s="33">
        <f>AF67-MIN(N(Debts!$E$14),AF67)</f>
        <v/>
      </c>
      <c r="AH67" s="33">
        <f>IF(AG67&lt;=0.005,0,AG67-MIN(AG67,MAX(0,$E67-SUMIFS(H67:AK67,$H$5:$AK$5,"Rem",$H$4:$AK$4,"&lt;"&amp;AH$4))))</f>
        <v/>
      </c>
      <c r="AI67" s="33">
        <f>AK66*(1+N(Debts!$D$15)/1200)</f>
        <v/>
      </c>
      <c r="AJ67" s="33">
        <f>AI67-MIN(N(Debts!$E$15),AI67)</f>
        <v/>
      </c>
      <c r="AK67" s="33">
        <f>IF(AJ67&lt;=0.005,0,AJ67-MIN(AJ67,MAX(0,$E67-SUMIFS(H67:AK67,$H$5:$AK$5,"Rem",$H$4:$AK$4,"&lt;"&amp;AK$4))))</f>
        <v/>
      </c>
      <c r="AL67" s="1" t="n"/>
    </row>
    <row r="68">
      <c r="A68" s="1" t="n"/>
      <c r="B68" s="1" t="n">
        <v>61</v>
      </c>
      <c r="C68" s="34">
        <f>EDATE(Debts!$J$13,B68-1)</f>
        <v/>
      </c>
      <c r="D68" s="33">
        <f>IF(G67&lt;=0.005,0,Debts!$E$16+Debts!$J$7)</f>
        <v/>
      </c>
      <c r="E68" s="33">
        <f>MAX(0,D68-(SUMIF($H$5:$AK$5,"Due",H68:AK68)-SUMIF($H$5:$AK$5,"Rem",H68:AK68)))</f>
        <v/>
      </c>
      <c r="F68" s="33">
        <f>SUMIF($H$5:$AK$5,"Due",H68:AK68)-SUMIF($H$5:$AK$5,"Bal",H67:AK67)</f>
        <v/>
      </c>
      <c r="G68" s="33">
        <f>SUMIF($H$5:$AK$5,"Bal",H68:AK68)</f>
        <v/>
      </c>
      <c r="H68" s="33">
        <f>J67*(1+N(Debts!$D$6)/1200)</f>
        <v/>
      </c>
      <c r="I68" s="33">
        <f>H68-MIN(N(Debts!$E$6),H68)</f>
        <v/>
      </c>
      <c r="J68" s="33">
        <f>IF(I68&lt;=0.005,0,I68-MIN(I68,MAX(0,$E68-SUMIFS(H68:AK68,$H$5:$AK$5,"Rem",$H$4:$AK$4,"&lt;"&amp;J$4))))</f>
        <v/>
      </c>
      <c r="K68" s="33">
        <f>M67*(1+N(Debts!$D$7)/1200)</f>
        <v/>
      </c>
      <c r="L68" s="33">
        <f>K68-MIN(N(Debts!$E$7),K68)</f>
        <v/>
      </c>
      <c r="M68" s="33">
        <f>IF(L68&lt;=0.005,0,L68-MIN(L68,MAX(0,$E68-SUMIFS(H68:AK68,$H$5:$AK$5,"Rem",$H$4:$AK$4,"&lt;"&amp;M$4))))</f>
        <v/>
      </c>
      <c r="N68" s="33">
        <f>P67*(1+N(Debts!$D$8)/1200)</f>
        <v/>
      </c>
      <c r="O68" s="33">
        <f>N68-MIN(N(Debts!$E$8),N68)</f>
        <v/>
      </c>
      <c r="P68" s="33">
        <f>IF(O68&lt;=0.005,0,O68-MIN(O68,MAX(0,$E68-SUMIFS(H68:AK68,$H$5:$AK$5,"Rem",$H$4:$AK$4,"&lt;"&amp;P$4))))</f>
        <v/>
      </c>
      <c r="Q68" s="33">
        <f>S67*(1+N(Debts!$D$9)/1200)</f>
        <v/>
      </c>
      <c r="R68" s="33">
        <f>Q68-MIN(N(Debts!$E$9),Q68)</f>
        <v/>
      </c>
      <c r="S68" s="33">
        <f>IF(R68&lt;=0.005,0,R68-MIN(R68,MAX(0,$E68-SUMIFS(H68:AK68,$H$5:$AK$5,"Rem",$H$4:$AK$4,"&lt;"&amp;S$4))))</f>
        <v/>
      </c>
      <c r="T68" s="33">
        <f>V67*(1+N(Debts!$D$10)/1200)</f>
        <v/>
      </c>
      <c r="U68" s="33">
        <f>T68-MIN(N(Debts!$E$10),T68)</f>
        <v/>
      </c>
      <c r="V68" s="33">
        <f>IF(U68&lt;=0.005,0,U68-MIN(U68,MAX(0,$E68-SUMIFS(H68:AK68,$H$5:$AK$5,"Rem",$H$4:$AK$4,"&lt;"&amp;V$4))))</f>
        <v/>
      </c>
      <c r="W68" s="33">
        <f>Y67*(1+N(Debts!$D$11)/1200)</f>
        <v/>
      </c>
      <c r="X68" s="33">
        <f>W68-MIN(N(Debts!$E$11),W68)</f>
        <v/>
      </c>
      <c r="Y68" s="33">
        <f>IF(X68&lt;=0.005,0,X68-MIN(X68,MAX(0,$E68-SUMIFS(H68:AK68,$H$5:$AK$5,"Rem",$H$4:$AK$4,"&lt;"&amp;Y$4))))</f>
        <v/>
      </c>
      <c r="Z68" s="33">
        <f>AB67*(1+N(Debts!$D$12)/1200)</f>
        <v/>
      </c>
      <c r="AA68" s="33">
        <f>Z68-MIN(N(Debts!$E$12),Z68)</f>
        <v/>
      </c>
      <c r="AB68" s="33">
        <f>IF(AA68&lt;=0.005,0,AA68-MIN(AA68,MAX(0,$E68-SUMIFS(H68:AK68,$H$5:$AK$5,"Rem",$H$4:$AK$4,"&lt;"&amp;AB$4))))</f>
        <v/>
      </c>
      <c r="AC68" s="33">
        <f>AE67*(1+N(Debts!$D$13)/1200)</f>
        <v/>
      </c>
      <c r="AD68" s="33">
        <f>AC68-MIN(N(Debts!$E$13),AC68)</f>
        <v/>
      </c>
      <c r="AE68" s="33">
        <f>IF(AD68&lt;=0.005,0,AD68-MIN(AD68,MAX(0,$E68-SUMIFS(H68:AK68,$H$5:$AK$5,"Rem",$H$4:$AK$4,"&lt;"&amp;AE$4))))</f>
        <v/>
      </c>
      <c r="AF68" s="33">
        <f>AH67*(1+N(Debts!$D$14)/1200)</f>
        <v/>
      </c>
      <c r="AG68" s="33">
        <f>AF68-MIN(N(Debts!$E$14),AF68)</f>
        <v/>
      </c>
      <c r="AH68" s="33">
        <f>IF(AG68&lt;=0.005,0,AG68-MIN(AG68,MAX(0,$E68-SUMIFS(H68:AK68,$H$5:$AK$5,"Rem",$H$4:$AK$4,"&lt;"&amp;AH$4))))</f>
        <v/>
      </c>
      <c r="AI68" s="33">
        <f>AK67*(1+N(Debts!$D$15)/1200)</f>
        <v/>
      </c>
      <c r="AJ68" s="33">
        <f>AI68-MIN(N(Debts!$E$15),AI68)</f>
        <v/>
      </c>
      <c r="AK68" s="33">
        <f>IF(AJ68&lt;=0.005,0,AJ68-MIN(AJ68,MAX(0,$E68-SUMIFS(H68:AK68,$H$5:$AK$5,"Rem",$H$4:$AK$4,"&lt;"&amp;AK$4))))</f>
        <v/>
      </c>
      <c r="AL68" s="1" t="n"/>
    </row>
    <row r="69">
      <c r="A69" s="1" t="n"/>
      <c r="B69" s="1" t="n">
        <v>62</v>
      </c>
      <c r="C69" s="34">
        <f>EDATE(Debts!$J$13,B69-1)</f>
        <v/>
      </c>
      <c r="D69" s="33">
        <f>IF(G68&lt;=0.005,0,Debts!$E$16+Debts!$J$7)</f>
        <v/>
      </c>
      <c r="E69" s="33">
        <f>MAX(0,D69-(SUMIF($H$5:$AK$5,"Due",H69:AK69)-SUMIF($H$5:$AK$5,"Rem",H69:AK69)))</f>
        <v/>
      </c>
      <c r="F69" s="33">
        <f>SUMIF($H$5:$AK$5,"Due",H69:AK69)-SUMIF($H$5:$AK$5,"Bal",H68:AK68)</f>
        <v/>
      </c>
      <c r="G69" s="33">
        <f>SUMIF($H$5:$AK$5,"Bal",H69:AK69)</f>
        <v/>
      </c>
      <c r="H69" s="33">
        <f>J68*(1+N(Debts!$D$6)/1200)</f>
        <v/>
      </c>
      <c r="I69" s="33">
        <f>H69-MIN(N(Debts!$E$6),H69)</f>
        <v/>
      </c>
      <c r="J69" s="33">
        <f>IF(I69&lt;=0.005,0,I69-MIN(I69,MAX(0,$E69-SUMIFS(H69:AK69,$H$5:$AK$5,"Rem",$H$4:$AK$4,"&lt;"&amp;J$4))))</f>
        <v/>
      </c>
      <c r="K69" s="33">
        <f>M68*(1+N(Debts!$D$7)/1200)</f>
        <v/>
      </c>
      <c r="L69" s="33">
        <f>K69-MIN(N(Debts!$E$7),K69)</f>
        <v/>
      </c>
      <c r="M69" s="33">
        <f>IF(L69&lt;=0.005,0,L69-MIN(L69,MAX(0,$E69-SUMIFS(H69:AK69,$H$5:$AK$5,"Rem",$H$4:$AK$4,"&lt;"&amp;M$4))))</f>
        <v/>
      </c>
      <c r="N69" s="33">
        <f>P68*(1+N(Debts!$D$8)/1200)</f>
        <v/>
      </c>
      <c r="O69" s="33">
        <f>N69-MIN(N(Debts!$E$8),N69)</f>
        <v/>
      </c>
      <c r="P69" s="33">
        <f>IF(O69&lt;=0.005,0,O69-MIN(O69,MAX(0,$E69-SUMIFS(H69:AK69,$H$5:$AK$5,"Rem",$H$4:$AK$4,"&lt;"&amp;P$4))))</f>
        <v/>
      </c>
      <c r="Q69" s="33">
        <f>S68*(1+N(Debts!$D$9)/1200)</f>
        <v/>
      </c>
      <c r="R69" s="33">
        <f>Q69-MIN(N(Debts!$E$9),Q69)</f>
        <v/>
      </c>
      <c r="S69" s="33">
        <f>IF(R69&lt;=0.005,0,R69-MIN(R69,MAX(0,$E69-SUMIFS(H69:AK69,$H$5:$AK$5,"Rem",$H$4:$AK$4,"&lt;"&amp;S$4))))</f>
        <v/>
      </c>
      <c r="T69" s="33">
        <f>V68*(1+N(Debts!$D$10)/1200)</f>
        <v/>
      </c>
      <c r="U69" s="33">
        <f>T69-MIN(N(Debts!$E$10),T69)</f>
        <v/>
      </c>
      <c r="V69" s="33">
        <f>IF(U69&lt;=0.005,0,U69-MIN(U69,MAX(0,$E69-SUMIFS(H69:AK69,$H$5:$AK$5,"Rem",$H$4:$AK$4,"&lt;"&amp;V$4))))</f>
        <v/>
      </c>
      <c r="W69" s="33">
        <f>Y68*(1+N(Debts!$D$11)/1200)</f>
        <v/>
      </c>
      <c r="X69" s="33">
        <f>W69-MIN(N(Debts!$E$11),W69)</f>
        <v/>
      </c>
      <c r="Y69" s="33">
        <f>IF(X69&lt;=0.005,0,X69-MIN(X69,MAX(0,$E69-SUMIFS(H69:AK69,$H$5:$AK$5,"Rem",$H$4:$AK$4,"&lt;"&amp;Y$4))))</f>
        <v/>
      </c>
      <c r="Z69" s="33">
        <f>AB68*(1+N(Debts!$D$12)/1200)</f>
        <v/>
      </c>
      <c r="AA69" s="33">
        <f>Z69-MIN(N(Debts!$E$12),Z69)</f>
        <v/>
      </c>
      <c r="AB69" s="33">
        <f>IF(AA69&lt;=0.005,0,AA69-MIN(AA69,MAX(0,$E69-SUMIFS(H69:AK69,$H$5:$AK$5,"Rem",$H$4:$AK$4,"&lt;"&amp;AB$4))))</f>
        <v/>
      </c>
      <c r="AC69" s="33">
        <f>AE68*(1+N(Debts!$D$13)/1200)</f>
        <v/>
      </c>
      <c r="AD69" s="33">
        <f>AC69-MIN(N(Debts!$E$13),AC69)</f>
        <v/>
      </c>
      <c r="AE69" s="33">
        <f>IF(AD69&lt;=0.005,0,AD69-MIN(AD69,MAX(0,$E69-SUMIFS(H69:AK69,$H$5:$AK$5,"Rem",$H$4:$AK$4,"&lt;"&amp;AE$4))))</f>
        <v/>
      </c>
      <c r="AF69" s="33">
        <f>AH68*(1+N(Debts!$D$14)/1200)</f>
        <v/>
      </c>
      <c r="AG69" s="33">
        <f>AF69-MIN(N(Debts!$E$14),AF69)</f>
        <v/>
      </c>
      <c r="AH69" s="33">
        <f>IF(AG69&lt;=0.005,0,AG69-MIN(AG69,MAX(0,$E69-SUMIFS(H69:AK69,$H$5:$AK$5,"Rem",$H$4:$AK$4,"&lt;"&amp;AH$4))))</f>
        <v/>
      </c>
      <c r="AI69" s="33">
        <f>AK68*(1+N(Debts!$D$15)/1200)</f>
        <v/>
      </c>
      <c r="AJ69" s="33">
        <f>AI69-MIN(N(Debts!$E$15),AI69)</f>
        <v/>
      </c>
      <c r="AK69" s="33">
        <f>IF(AJ69&lt;=0.005,0,AJ69-MIN(AJ69,MAX(0,$E69-SUMIFS(H69:AK69,$H$5:$AK$5,"Rem",$H$4:$AK$4,"&lt;"&amp;AK$4))))</f>
        <v/>
      </c>
      <c r="AL69" s="1" t="n"/>
    </row>
    <row r="70">
      <c r="A70" s="1" t="n"/>
      <c r="B70" s="1" t="n">
        <v>63</v>
      </c>
      <c r="C70" s="34">
        <f>EDATE(Debts!$J$13,B70-1)</f>
        <v/>
      </c>
      <c r="D70" s="33">
        <f>IF(G69&lt;=0.005,0,Debts!$E$16+Debts!$J$7)</f>
        <v/>
      </c>
      <c r="E70" s="33">
        <f>MAX(0,D70-(SUMIF($H$5:$AK$5,"Due",H70:AK70)-SUMIF($H$5:$AK$5,"Rem",H70:AK70)))</f>
        <v/>
      </c>
      <c r="F70" s="33">
        <f>SUMIF($H$5:$AK$5,"Due",H70:AK70)-SUMIF($H$5:$AK$5,"Bal",H69:AK69)</f>
        <v/>
      </c>
      <c r="G70" s="33">
        <f>SUMIF($H$5:$AK$5,"Bal",H70:AK70)</f>
        <v/>
      </c>
      <c r="H70" s="33">
        <f>J69*(1+N(Debts!$D$6)/1200)</f>
        <v/>
      </c>
      <c r="I70" s="33">
        <f>H70-MIN(N(Debts!$E$6),H70)</f>
        <v/>
      </c>
      <c r="J70" s="33">
        <f>IF(I70&lt;=0.005,0,I70-MIN(I70,MAX(0,$E70-SUMIFS(H70:AK70,$H$5:$AK$5,"Rem",$H$4:$AK$4,"&lt;"&amp;J$4))))</f>
        <v/>
      </c>
      <c r="K70" s="33">
        <f>M69*(1+N(Debts!$D$7)/1200)</f>
        <v/>
      </c>
      <c r="L70" s="33">
        <f>K70-MIN(N(Debts!$E$7),K70)</f>
        <v/>
      </c>
      <c r="M70" s="33">
        <f>IF(L70&lt;=0.005,0,L70-MIN(L70,MAX(0,$E70-SUMIFS(H70:AK70,$H$5:$AK$5,"Rem",$H$4:$AK$4,"&lt;"&amp;M$4))))</f>
        <v/>
      </c>
      <c r="N70" s="33">
        <f>P69*(1+N(Debts!$D$8)/1200)</f>
        <v/>
      </c>
      <c r="O70" s="33">
        <f>N70-MIN(N(Debts!$E$8),N70)</f>
        <v/>
      </c>
      <c r="P70" s="33">
        <f>IF(O70&lt;=0.005,0,O70-MIN(O70,MAX(0,$E70-SUMIFS(H70:AK70,$H$5:$AK$5,"Rem",$H$4:$AK$4,"&lt;"&amp;P$4))))</f>
        <v/>
      </c>
      <c r="Q70" s="33">
        <f>S69*(1+N(Debts!$D$9)/1200)</f>
        <v/>
      </c>
      <c r="R70" s="33">
        <f>Q70-MIN(N(Debts!$E$9),Q70)</f>
        <v/>
      </c>
      <c r="S70" s="33">
        <f>IF(R70&lt;=0.005,0,R70-MIN(R70,MAX(0,$E70-SUMIFS(H70:AK70,$H$5:$AK$5,"Rem",$H$4:$AK$4,"&lt;"&amp;S$4))))</f>
        <v/>
      </c>
      <c r="T70" s="33">
        <f>V69*(1+N(Debts!$D$10)/1200)</f>
        <v/>
      </c>
      <c r="U70" s="33">
        <f>T70-MIN(N(Debts!$E$10),T70)</f>
        <v/>
      </c>
      <c r="V70" s="33">
        <f>IF(U70&lt;=0.005,0,U70-MIN(U70,MAX(0,$E70-SUMIFS(H70:AK70,$H$5:$AK$5,"Rem",$H$4:$AK$4,"&lt;"&amp;V$4))))</f>
        <v/>
      </c>
      <c r="W70" s="33">
        <f>Y69*(1+N(Debts!$D$11)/1200)</f>
        <v/>
      </c>
      <c r="X70" s="33">
        <f>W70-MIN(N(Debts!$E$11),W70)</f>
        <v/>
      </c>
      <c r="Y70" s="33">
        <f>IF(X70&lt;=0.005,0,X70-MIN(X70,MAX(0,$E70-SUMIFS(H70:AK70,$H$5:$AK$5,"Rem",$H$4:$AK$4,"&lt;"&amp;Y$4))))</f>
        <v/>
      </c>
      <c r="Z70" s="33">
        <f>AB69*(1+N(Debts!$D$12)/1200)</f>
        <v/>
      </c>
      <c r="AA70" s="33">
        <f>Z70-MIN(N(Debts!$E$12),Z70)</f>
        <v/>
      </c>
      <c r="AB70" s="33">
        <f>IF(AA70&lt;=0.005,0,AA70-MIN(AA70,MAX(0,$E70-SUMIFS(H70:AK70,$H$5:$AK$5,"Rem",$H$4:$AK$4,"&lt;"&amp;AB$4))))</f>
        <v/>
      </c>
      <c r="AC70" s="33">
        <f>AE69*(1+N(Debts!$D$13)/1200)</f>
        <v/>
      </c>
      <c r="AD70" s="33">
        <f>AC70-MIN(N(Debts!$E$13),AC70)</f>
        <v/>
      </c>
      <c r="AE70" s="33">
        <f>IF(AD70&lt;=0.005,0,AD70-MIN(AD70,MAX(0,$E70-SUMIFS(H70:AK70,$H$5:$AK$5,"Rem",$H$4:$AK$4,"&lt;"&amp;AE$4))))</f>
        <v/>
      </c>
      <c r="AF70" s="33">
        <f>AH69*(1+N(Debts!$D$14)/1200)</f>
        <v/>
      </c>
      <c r="AG70" s="33">
        <f>AF70-MIN(N(Debts!$E$14),AF70)</f>
        <v/>
      </c>
      <c r="AH70" s="33">
        <f>IF(AG70&lt;=0.005,0,AG70-MIN(AG70,MAX(0,$E70-SUMIFS(H70:AK70,$H$5:$AK$5,"Rem",$H$4:$AK$4,"&lt;"&amp;AH$4))))</f>
        <v/>
      </c>
      <c r="AI70" s="33">
        <f>AK69*(1+N(Debts!$D$15)/1200)</f>
        <v/>
      </c>
      <c r="AJ70" s="33">
        <f>AI70-MIN(N(Debts!$E$15),AI70)</f>
        <v/>
      </c>
      <c r="AK70" s="33">
        <f>IF(AJ70&lt;=0.005,0,AJ70-MIN(AJ70,MAX(0,$E70-SUMIFS(H70:AK70,$H$5:$AK$5,"Rem",$H$4:$AK$4,"&lt;"&amp;AK$4))))</f>
        <v/>
      </c>
      <c r="AL70" s="1" t="n"/>
    </row>
    <row r="71">
      <c r="A71" s="1" t="n"/>
      <c r="B71" s="1" t="n">
        <v>64</v>
      </c>
      <c r="C71" s="34">
        <f>EDATE(Debts!$J$13,B71-1)</f>
        <v/>
      </c>
      <c r="D71" s="33">
        <f>IF(G70&lt;=0.005,0,Debts!$E$16+Debts!$J$7)</f>
        <v/>
      </c>
      <c r="E71" s="33">
        <f>MAX(0,D71-(SUMIF($H$5:$AK$5,"Due",H71:AK71)-SUMIF($H$5:$AK$5,"Rem",H71:AK71)))</f>
        <v/>
      </c>
      <c r="F71" s="33">
        <f>SUMIF($H$5:$AK$5,"Due",H71:AK71)-SUMIF($H$5:$AK$5,"Bal",H70:AK70)</f>
        <v/>
      </c>
      <c r="G71" s="33">
        <f>SUMIF($H$5:$AK$5,"Bal",H71:AK71)</f>
        <v/>
      </c>
      <c r="H71" s="33">
        <f>J70*(1+N(Debts!$D$6)/1200)</f>
        <v/>
      </c>
      <c r="I71" s="33">
        <f>H71-MIN(N(Debts!$E$6),H71)</f>
        <v/>
      </c>
      <c r="J71" s="33">
        <f>IF(I71&lt;=0.005,0,I71-MIN(I71,MAX(0,$E71-SUMIFS(H71:AK71,$H$5:$AK$5,"Rem",$H$4:$AK$4,"&lt;"&amp;J$4))))</f>
        <v/>
      </c>
      <c r="K71" s="33">
        <f>M70*(1+N(Debts!$D$7)/1200)</f>
        <v/>
      </c>
      <c r="L71" s="33">
        <f>K71-MIN(N(Debts!$E$7),K71)</f>
        <v/>
      </c>
      <c r="M71" s="33">
        <f>IF(L71&lt;=0.005,0,L71-MIN(L71,MAX(0,$E71-SUMIFS(H71:AK71,$H$5:$AK$5,"Rem",$H$4:$AK$4,"&lt;"&amp;M$4))))</f>
        <v/>
      </c>
      <c r="N71" s="33">
        <f>P70*(1+N(Debts!$D$8)/1200)</f>
        <v/>
      </c>
      <c r="O71" s="33">
        <f>N71-MIN(N(Debts!$E$8),N71)</f>
        <v/>
      </c>
      <c r="P71" s="33">
        <f>IF(O71&lt;=0.005,0,O71-MIN(O71,MAX(0,$E71-SUMIFS(H71:AK71,$H$5:$AK$5,"Rem",$H$4:$AK$4,"&lt;"&amp;P$4))))</f>
        <v/>
      </c>
      <c r="Q71" s="33">
        <f>S70*(1+N(Debts!$D$9)/1200)</f>
        <v/>
      </c>
      <c r="R71" s="33">
        <f>Q71-MIN(N(Debts!$E$9),Q71)</f>
        <v/>
      </c>
      <c r="S71" s="33">
        <f>IF(R71&lt;=0.005,0,R71-MIN(R71,MAX(0,$E71-SUMIFS(H71:AK71,$H$5:$AK$5,"Rem",$H$4:$AK$4,"&lt;"&amp;S$4))))</f>
        <v/>
      </c>
      <c r="T71" s="33">
        <f>V70*(1+N(Debts!$D$10)/1200)</f>
        <v/>
      </c>
      <c r="U71" s="33">
        <f>T71-MIN(N(Debts!$E$10),T71)</f>
        <v/>
      </c>
      <c r="V71" s="33">
        <f>IF(U71&lt;=0.005,0,U71-MIN(U71,MAX(0,$E71-SUMIFS(H71:AK71,$H$5:$AK$5,"Rem",$H$4:$AK$4,"&lt;"&amp;V$4))))</f>
        <v/>
      </c>
      <c r="W71" s="33">
        <f>Y70*(1+N(Debts!$D$11)/1200)</f>
        <v/>
      </c>
      <c r="X71" s="33">
        <f>W71-MIN(N(Debts!$E$11),W71)</f>
        <v/>
      </c>
      <c r="Y71" s="33">
        <f>IF(X71&lt;=0.005,0,X71-MIN(X71,MAX(0,$E71-SUMIFS(H71:AK71,$H$5:$AK$5,"Rem",$H$4:$AK$4,"&lt;"&amp;Y$4))))</f>
        <v/>
      </c>
      <c r="Z71" s="33">
        <f>AB70*(1+N(Debts!$D$12)/1200)</f>
        <v/>
      </c>
      <c r="AA71" s="33">
        <f>Z71-MIN(N(Debts!$E$12),Z71)</f>
        <v/>
      </c>
      <c r="AB71" s="33">
        <f>IF(AA71&lt;=0.005,0,AA71-MIN(AA71,MAX(0,$E71-SUMIFS(H71:AK71,$H$5:$AK$5,"Rem",$H$4:$AK$4,"&lt;"&amp;AB$4))))</f>
        <v/>
      </c>
      <c r="AC71" s="33">
        <f>AE70*(1+N(Debts!$D$13)/1200)</f>
        <v/>
      </c>
      <c r="AD71" s="33">
        <f>AC71-MIN(N(Debts!$E$13),AC71)</f>
        <v/>
      </c>
      <c r="AE71" s="33">
        <f>IF(AD71&lt;=0.005,0,AD71-MIN(AD71,MAX(0,$E71-SUMIFS(H71:AK71,$H$5:$AK$5,"Rem",$H$4:$AK$4,"&lt;"&amp;AE$4))))</f>
        <v/>
      </c>
      <c r="AF71" s="33">
        <f>AH70*(1+N(Debts!$D$14)/1200)</f>
        <v/>
      </c>
      <c r="AG71" s="33">
        <f>AF71-MIN(N(Debts!$E$14),AF71)</f>
        <v/>
      </c>
      <c r="AH71" s="33">
        <f>IF(AG71&lt;=0.005,0,AG71-MIN(AG71,MAX(0,$E71-SUMIFS(H71:AK71,$H$5:$AK$5,"Rem",$H$4:$AK$4,"&lt;"&amp;AH$4))))</f>
        <v/>
      </c>
      <c r="AI71" s="33">
        <f>AK70*(1+N(Debts!$D$15)/1200)</f>
        <v/>
      </c>
      <c r="AJ71" s="33">
        <f>AI71-MIN(N(Debts!$E$15),AI71)</f>
        <v/>
      </c>
      <c r="AK71" s="33">
        <f>IF(AJ71&lt;=0.005,0,AJ71-MIN(AJ71,MAX(0,$E71-SUMIFS(H71:AK71,$H$5:$AK$5,"Rem",$H$4:$AK$4,"&lt;"&amp;AK$4))))</f>
        <v/>
      </c>
      <c r="AL71" s="1" t="n"/>
    </row>
    <row r="72">
      <c r="A72" s="1" t="n"/>
      <c r="B72" s="1" t="n">
        <v>65</v>
      </c>
      <c r="C72" s="34">
        <f>EDATE(Debts!$J$13,B72-1)</f>
        <v/>
      </c>
      <c r="D72" s="33">
        <f>IF(G71&lt;=0.005,0,Debts!$E$16+Debts!$J$7)</f>
        <v/>
      </c>
      <c r="E72" s="33">
        <f>MAX(0,D72-(SUMIF($H$5:$AK$5,"Due",H72:AK72)-SUMIF($H$5:$AK$5,"Rem",H72:AK72)))</f>
        <v/>
      </c>
      <c r="F72" s="33">
        <f>SUMIF($H$5:$AK$5,"Due",H72:AK72)-SUMIF($H$5:$AK$5,"Bal",H71:AK71)</f>
        <v/>
      </c>
      <c r="G72" s="33">
        <f>SUMIF($H$5:$AK$5,"Bal",H72:AK72)</f>
        <v/>
      </c>
      <c r="H72" s="33">
        <f>J71*(1+N(Debts!$D$6)/1200)</f>
        <v/>
      </c>
      <c r="I72" s="33">
        <f>H72-MIN(N(Debts!$E$6),H72)</f>
        <v/>
      </c>
      <c r="J72" s="33">
        <f>IF(I72&lt;=0.005,0,I72-MIN(I72,MAX(0,$E72-SUMIFS(H72:AK72,$H$5:$AK$5,"Rem",$H$4:$AK$4,"&lt;"&amp;J$4))))</f>
        <v/>
      </c>
      <c r="K72" s="33">
        <f>M71*(1+N(Debts!$D$7)/1200)</f>
        <v/>
      </c>
      <c r="L72" s="33">
        <f>K72-MIN(N(Debts!$E$7),K72)</f>
        <v/>
      </c>
      <c r="M72" s="33">
        <f>IF(L72&lt;=0.005,0,L72-MIN(L72,MAX(0,$E72-SUMIFS(H72:AK72,$H$5:$AK$5,"Rem",$H$4:$AK$4,"&lt;"&amp;M$4))))</f>
        <v/>
      </c>
      <c r="N72" s="33">
        <f>P71*(1+N(Debts!$D$8)/1200)</f>
        <v/>
      </c>
      <c r="O72" s="33">
        <f>N72-MIN(N(Debts!$E$8),N72)</f>
        <v/>
      </c>
      <c r="P72" s="33">
        <f>IF(O72&lt;=0.005,0,O72-MIN(O72,MAX(0,$E72-SUMIFS(H72:AK72,$H$5:$AK$5,"Rem",$H$4:$AK$4,"&lt;"&amp;P$4))))</f>
        <v/>
      </c>
      <c r="Q72" s="33">
        <f>S71*(1+N(Debts!$D$9)/1200)</f>
        <v/>
      </c>
      <c r="R72" s="33">
        <f>Q72-MIN(N(Debts!$E$9),Q72)</f>
        <v/>
      </c>
      <c r="S72" s="33">
        <f>IF(R72&lt;=0.005,0,R72-MIN(R72,MAX(0,$E72-SUMIFS(H72:AK72,$H$5:$AK$5,"Rem",$H$4:$AK$4,"&lt;"&amp;S$4))))</f>
        <v/>
      </c>
      <c r="T72" s="33">
        <f>V71*(1+N(Debts!$D$10)/1200)</f>
        <v/>
      </c>
      <c r="U72" s="33">
        <f>T72-MIN(N(Debts!$E$10),T72)</f>
        <v/>
      </c>
      <c r="V72" s="33">
        <f>IF(U72&lt;=0.005,0,U72-MIN(U72,MAX(0,$E72-SUMIFS(H72:AK72,$H$5:$AK$5,"Rem",$H$4:$AK$4,"&lt;"&amp;V$4))))</f>
        <v/>
      </c>
      <c r="W72" s="33">
        <f>Y71*(1+N(Debts!$D$11)/1200)</f>
        <v/>
      </c>
      <c r="X72" s="33">
        <f>W72-MIN(N(Debts!$E$11),W72)</f>
        <v/>
      </c>
      <c r="Y72" s="33">
        <f>IF(X72&lt;=0.005,0,X72-MIN(X72,MAX(0,$E72-SUMIFS(H72:AK72,$H$5:$AK$5,"Rem",$H$4:$AK$4,"&lt;"&amp;Y$4))))</f>
        <v/>
      </c>
      <c r="Z72" s="33">
        <f>AB71*(1+N(Debts!$D$12)/1200)</f>
        <v/>
      </c>
      <c r="AA72" s="33">
        <f>Z72-MIN(N(Debts!$E$12),Z72)</f>
        <v/>
      </c>
      <c r="AB72" s="33">
        <f>IF(AA72&lt;=0.005,0,AA72-MIN(AA72,MAX(0,$E72-SUMIFS(H72:AK72,$H$5:$AK$5,"Rem",$H$4:$AK$4,"&lt;"&amp;AB$4))))</f>
        <v/>
      </c>
      <c r="AC72" s="33">
        <f>AE71*(1+N(Debts!$D$13)/1200)</f>
        <v/>
      </c>
      <c r="AD72" s="33">
        <f>AC72-MIN(N(Debts!$E$13),AC72)</f>
        <v/>
      </c>
      <c r="AE72" s="33">
        <f>IF(AD72&lt;=0.005,0,AD72-MIN(AD72,MAX(0,$E72-SUMIFS(H72:AK72,$H$5:$AK$5,"Rem",$H$4:$AK$4,"&lt;"&amp;AE$4))))</f>
        <v/>
      </c>
      <c r="AF72" s="33">
        <f>AH71*(1+N(Debts!$D$14)/1200)</f>
        <v/>
      </c>
      <c r="AG72" s="33">
        <f>AF72-MIN(N(Debts!$E$14),AF72)</f>
        <v/>
      </c>
      <c r="AH72" s="33">
        <f>IF(AG72&lt;=0.005,0,AG72-MIN(AG72,MAX(0,$E72-SUMIFS(H72:AK72,$H$5:$AK$5,"Rem",$H$4:$AK$4,"&lt;"&amp;AH$4))))</f>
        <v/>
      </c>
      <c r="AI72" s="33">
        <f>AK71*(1+N(Debts!$D$15)/1200)</f>
        <v/>
      </c>
      <c r="AJ72" s="33">
        <f>AI72-MIN(N(Debts!$E$15),AI72)</f>
        <v/>
      </c>
      <c r="AK72" s="33">
        <f>IF(AJ72&lt;=0.005,0,AJ72-MIN(AJ72,MAX(0,$E72-SUMIFS(H72:AK72,$H$5:$AK$5,"Rem",$H$4:$AK$4,"&lt;"&amp;AK$4))))</f>
        <v/>
      </c>
      <c r="AL72" s="1" t="n"/>
    </row>
    <row r="73">
      <c r="A73" s="1" t="n"/>
      <c r="B73" s="1" t="n">
        <v>66</v>
      </c>
      <c r="C73" s="34">
        <f>EDATE(Debts!$J$13,B73-1)</f>
        <v/>
      </c>
      <c r="D73" s="33">
        <f>IF(G72&lt;=0.005,0,Debts!$E$16+Debts!$J$7)</f>
        <v/>
      </c>
      <c r="E73" s="33">
        <f>MAX(0,D73-(SUMIF($H$5:$AK$5,"Due",H73:AK73)-SUMIF($H$5:$AK$5,"Rem",H73:AK73)))</f>
        <v/>
      </c>
      <c r="F73" s="33">
        <f>SUMIF($H$5:$AK$5,"Due",H73:AK73)-SUMIF($H$5:$AK$5,"Bal",H72:AK72)</f>
        <v/>
      </c>
      <c r="G73" s="33">
        <f>SUMIF($H$5:$AK$5,"Bal",H73:AK73)</f>
        <v/>
      </c>
      <c r="H73" s="33">
        <f>J72*(1+N(Debts!$D$6)/1200)</f>
        <v/>
      </c>
      <c r="I73" s="33">
        <f>H73-MIN(N(Debts!$E$6),H73)</f>
        <v/>
      </c>
      <c r="J73" s="33">
        <f>IF(I73&lt;=0.005,0,I73-MIN(I73,MAX(0,$E73-SUMIFS(H73:AK73,$H$5:$AK$5,"Rem",$H$4:$AK$4,"&lt;"&amp;J$4))))</f>
        <v/>
      </c>
      <c r="K73" s="33">
        <f>M72*(1+N(Debts!$D$7)/1200)</f>
        <v/>
      </c>
      <c r="L73" s="33">
        <f>K73-MIN(N(Debts!$E$7),K73)</f>
        <v/>
      </c>
      <c r="M73" s="33">
        <f>IF(L73&lt;=0.005,0,L73-MIN(L73,MAX(0,$E73-SUMIFS(H73:AK73,$H$5:$AK$5,"Rem",$H$4:$AK$4,"&lt;"&amp;M$4))))</f>
        <v/>
      </c>
      <c r="N73" s="33">
        <f>P72*(1+N(Debts!$D$8)/1200)</f>
        <v/>
      </c>
      <c r="O73" s="33">
        <f>N73-MIN(N(Debts!$E$8),N73)</f>
        <v/>
      </c>
      <c r="P73" s="33">
        <f>IF(O73&lt;=0.005,0,O73-MIN(O73,MAX(0,$E73-SUMIFS(H73:AK73,$H$5:$AK$5,"Rem",$H$4:$AK$4,"&lt;"&amp;P$4))))</f>
        <v/>
      </c>
      <c r="Q73" s="33">
        <f>S72*(1+N(Debts!$D$9)/1200)</f>
        <v/>
      </c>
      <c r="R73" s="33">
        <f>Q73-MIN(N(Debts!$E$9),Q73)</f>
        <v/>
      </c>
      <c r="S73" s="33">
        <f>IF(R73&lt;=0.005,0,R73-MIN(R73,MAX(0,$E73-SUMIFS(H73:AK73,$H$5:$AK$5,"Rem",$H$4:$AK$4,"&lt;"&amp;S$4))))</f>
        <v/>
      </c>
      <c r="T73" s="33">
        <f>V72*(1+N(Debts!$D$10)/1200)</f>
        <v/>
      </c>
      <c r="U73" s="33">
        <f>T73-MIN(N(Debts!$E$10),T73)</f>
        <v/>
      </c>
      <c r="V73" s="33">
        <f>IF(U73&lt;=0.005,0,U73-MIN(U73,MAX(0,$E73-SUMIFS(H73:AK73,$H$5:$AK$5,"Rem",$H$4:$AK$4,"&lt;"&amp;V$4))))</f>
        <v/>
      </c>
      <c r="W73" s="33">
        <f>Y72*(1+N(Debts!$D$11)/1200)</f>
        <v/>
      </c>
      <c r="X73" s="33">
        <f>W73-MIN(N(Debts!$E$11),W73)</f>
        <v/>
      </c>
      <c r="Y73" s="33">
        <f>IF(X73&lt;=0.005,0,X73-MIN(X73,MAX(0,$E73-SUMIFS(H73:AK73,$H$5:$AK$5,"Rem",$H$4:$AK$4,"&lt;"&amp;Y$4))))</f>
        <v/>
      </c>
      <c r="Z73" s="33">
        <f>AB72*(1+N(Debts!$D$12)/1200)</f>
        <v/>
      </c>
      <c r="AA73" s="33">
        <f>Z73-MIN(N(Debts!$E$12),Z73)</f>
        <v/>
      </c>
      <c r="AB73" s="33">
        <f>IF(AA73&lt;=0.005,0,AA73-MIN(AA73,MAX(0,$E73-SUMIFS(H73:AK73,$H$5:$AK$5,"Rem",$H$4:$AK$4,"&lt;"&amp;AB$4))))</f>
        <v/>
      </c>
      <c r="AC73" s="33">
        <f>AE72*(1+N(Debts!$D$13)/1200)</f>
        <v/>
      </c>
      <c r="AD73" s="33">
        <f>AC73-MIN(N(Debts!$E$13),AC73)</f>
        <v/>
      </c>
      <c r="AE73" s="33">
        <f>IF(AD73&lt;=0.005,0,AD73-MIN(AD73,MAX(0,$E73-SUMIFS(H73:AK73,$H$5:$AK$5,"Rem",$H$4:$AK$4,"&lt;"&amp;AE$4))))</f>
        <v/>
      </c>
      <c r="AF73" s="33">
        <f>AH72*(1+N(Debts!$D$14)/1200)</f>
        <v/>
      </c>
      <c r="AG73" s="33">
        <f>AF73-MIN(N(Debts!$E$14),AF73)</f>
        <v/>
      </c>
      <c r="AH73" s="33">
        <f>IF(AG73&lt;=0.005,0,AG73-MIN(AG73,MAX(0,$E73-SUMIFS(H73:AK73,$H$5:$AK$5,"Rem",$H$4:$AK$4,"&lt;"&amp;AH$4))))</f>
        <v/>
      </c>
      <c r="AI73" s="33">
        <f>AK72*(1+N(Debts!$D$15)/1200)</f>
        <v/>
      </c>
      <c r="AJ73" s="33">
        <f>AI73-MIN(N(Debts!$E$15),AI73)</f>
        <v/>
      </c>
      <c r="AK73" s="33">
        <f>IF(AJ73&lt;=0.005,0,AJ73-MIN(AJ73,MAX(0,$E73-SUMIFS(H73:AK73,$H$5:$AK$5,"Rem",$H$4:$AK$4,"&lt;"&amp;AK$4))))</f>
        <v/>
      </c>
      <c r="AL73" s="1" t="n"/>
    </row>
    <row r="74">
      <c r="A74" s="1" t="n"/>
      <c r="B74" s="1" t="n">
        <v>67</v>
      </c>
      <c r="C74" s="34">
        <f>EDATE(Debts!$J$13,B74-1)</f>
        <v/>
      </c>
      <c r="D74" s="33">
        <f>IF(G73&lt;=0.005,0,Debts!$E$16+Debts!$J$7)</f>
        <v/>
      </c>
      <c r="E74" s="33">
        <f>MAX(0,D74-(SUMIF($H$5:$AK$5,"Due",H74:AK74)-SUMIF($H$5:$AK$5,"Rem",H74:AK74)))</f>
        <v/>
      </c>
      <c r="F74" s="33">
        <f>SUMIF($H$5:$AK$5,"Due",H74:AK74)-SUMIF($H$5:$AK$5,"Bal",H73:AK73)</f>
        <v/>
      </c>
      <c r="G74" s="33">
        <f>SUMIF($H$5:$AK$5,"Bal",H74:AK74)</f>
        <v/>
      </c>
      <c r="H74" s="33">
        <f>J73*(1+N(Debts!$D$6)/1200)</f>
        <v/>
      </c>
      <c r="I74" s="33">
        <f>H74-MIN(N(Debts!$E$6),H74)</f>
        <v/>
      </c>
      <c r="J74" s="33">
        <f>IF(I74&lt;=0.005,0,I74-MIN(I74,MAX(0,$E74-SUMIFS(H74:AK74,$H$5:$AK$5,"Rem",$H$4:$AK$4,"&lt;"&amp;J$4))))</f>
        <v/>
      </c>
      <c r="K74" s="33">
        <f>M73*(1+N(Debts!$D$7)/1200)</f>
        <v/>
      </c>
      <c r="L74" s="33">
        <f>K74-MIN(N(Debts!$E$7),K74)</f>
        <v/>
      </c>
      <c r="M74" s="33">
        <f>IF(L74&lt;=0.005,0,L74-MIN(L74,MAX(0,$E74-SUMIFS(H74:AK74,$H$5:$AK$5,"Rem",$H$4:$AK$4,"&lt;"&amp;M$4))))</f>
        <v/>
      </c>
      <c r="N74" s="33">
        <f>P73*(1+N(Debts!$D$8)/1200)</f>
        <v/>
      </c>
      <c r="O74" s="33">
        <f>N74-MIN(N(Debts!$E$8),N74)</f>
        <v/>
      </c>
      <c r="P74" s="33">
        <f>IF(O74&lt;=0.005,0,O74-MIN(O74,MAX(0,$E74-SUMIFS(H74:AK74,$H$5:$AK$5,"Rem",$H$4:$AK$4,"&lt;"&amp;P$4))))</f>
        <v/>
      </c>
      <c r="Q74" s="33">
        <f>S73*(1+N(Debts!$D$9)/1200)</f>
        <v/>
      </c>
      <c r="R74" s="33">
        <f>Q74-MIN(N(Debts!$E$9),Q74)</f>
        <v/>
      </c>
      <c r="S74" s="33">
        <f>IF(R74&lt;=0.005,0,R74-MIN(R74,MAX(0,$E74-SUMIFS(H74:AK74,$H$5:$AK$5,"Rem",$H$4:$AK$4,"&lt;"&amp;S$4))))</f>
        <v/>
      </c>
      <c r="T74" s="33">
        <f>V73*(1+N(Debts!$D$10)/1200)</f>
        <v/>
      </c>
      <c r="U74" s="33">
        <f>T74-MIN(N(Debts!$E$10),T74)</f>
        <v/>
      </c>
      <c r="V74" s="33">
        <f>IF(U74&lt;=0.005,0,U74-MIN(U74,MAX(0,$E74-SUMIFS(H74:AK74,$H$5:$AK$5,"Rem",$H$4:$AK$4,"&lt;"&amp;V$4))))</f>
        <v/>
      </c>
      <c r="W74" s="33">
        <f>Y73*(1+N(Debts!$D$11)/1200)</f>
        <v/>
      </c>
      <c r="X74" s="33">
        <f>W74-MIN(N(Debts!$E$11),W74)</f>
        <v/>
      </c>
      <c r="Y74" s="33">
        <f>IF(X74&lt;=0.005,0,X74-MIN(X74,MAX(0,$E74-SUMIFS(H74:AK74,$H$5:$AK$5,"Rem",$H$4:$AK$4,"&lt;"&amp;Y$4))))</f>
        <v/>
      </c>
      <c r="Z74" s="33">
        <f>AB73*(1+N(Debts!$D$12)/1200)</f>
        <v/>
      </c>
      <c r="AA74" s="33">
        <f>Z74-MIN(N(Debts!$E$12),Z74)</f>
        <v/>
      </c>
      <c r="AB74" s="33">
        <f>IF(AA74&lt;=0.005,0,AA74-MIN(AA74,MAX(0,$E74-SUMIFS(H74:AK74,$H$5:$AK$5,"Rem",$H$4:$AK$4,"&lt;"&amp;AB$4))))</f>
        <v/>
      </c>
      <c r="AC74" s="33">
        <f>AE73*(1+N(Debts!$D$13)/1200)</f>
        <v/>
      </c>
      <c r="AD74" s="33">
        <f>AC74-MIN(N(Debts!$E$13),AC74)</f>
        <v/>
      </c>
      <c r="AE74" s="33">
        <f>IF(AD74&lt;=0.005,0,AD74-MIN(AD74,MAX(0,$E74-SUMIFS(H74:AK74,$H$5:$AK$5,"Rem",$H$4:$AK$4,"&lt;"&amp;AE$4))))</f>
        <v/>
      </c>
      <c r="AF74" s="33">
        <f>AH73*(1+N(Debts!$D$14)/1200)</f>
        <v/>
      </c>
      <c r="AG74" s="33">
        <f>AF74-MIN(N(Debts!$E$14),AF74)</f>
        <v/>
      </c>
      <c r="AH74" s="33">
        <f>IF(AG74&lt;=0.005,0,AG74-MIN(AG74,MAX(0,$E74-SUMIFS(H74:AK74,$H$5:$AK$5,"Rem",$H$4:$AK$4,"&lt;"&amp;AH$4))))</f>
        <v/>
      </c>
      <c r="AI74" s="33">
        <f>AK73*(1+N(Debts!$D$15)/1200)</f>
        <v/>
      </c>
      <c r="AJ74" s="33">
        <f>AI74-MIN(N(Debts!$E$15),AI74)</f>
        <v/>
      </c>
      <c r="AK74" s="33">
        <f>IF(AJ74&lt;=0.005,0,AJ74-MIN(AJ74,MAX(0,$E74-SUMIFS(H74:AK74,$H$5:$AK$5,"Rem",$H$4:$AK$4,"&lt;"&amp;AK$4))))</f>
        <v/>
      </c>
      <c r="AL74" s="1" t="n"/>
    </row>
    <row r="75">
      <c r="A75" s="1" t="n"/>
      <c r="B75" s="1" t="n">
        <v>68</v>
      </c>
      <c r="C75" s="34">
        <f>EDATE(Debts!$J$13,B75-1)</f>
        <v/>
      </c>
      <c r="D75" s="33">
        <f>IF(G74&lt;=0.005,0,Debts!$E$16+Debts!$J$7)</f>
        <v/>
      </c>
      <c r="E75" s="33">
        <f>MAX(0,D75-(SUMIF($H$5:$AK$5,"Due",H75:AK75)-SUMIF($H$5:$AK$5,"Rem",H75:AK75)))</f>
        <v/>
      </c>
      <c r="F75" s="33">
        <f>SUMIF($H$5:$AK$5,"Due",H75:AK75)-SUMIF($H$5:$AK$5,"Bal",H74:AK74)</f>
        <v/>
      </c>
      <c r="G75" s="33">
        <f>SUMIF($H$5:$AK$5,"Bal",H75:AK75)</f>
        <v/>
      </c>
      <c r="H75" s="33">
        <f>J74*(1+N(Debts!$D$6)/1200)</f>
        <v/>
      </c>
      <c r="I75" s="33">
        <f>H75-MIN(N(Debts!$E$6),H75)</f>
        <v/>
      </c>
      <c r="J75" s="33">
        <f>IF(I75&lt;=0.005,0,I75-MIN(I75,MAX(0,$E75-SUMIFS(H75:AK75,$H$5:$AK$5,"Rem",$H$4:$AK$4,"&lt;"&amp;J$4))))</f>
        <v/>
      </c>
      <c r="K75" s="33">
        <f>M74*(1+N(Debts!$D$7)/1200)</f>
        <v/>
      </c>
      <c r="L75" s="33">
        <f>K75-MIN(N(Debts!$E$7),K75)</f>
        <v/>
      </c>
      <c r="M75" s="33">
        <f>IF(L75&lt;=0.005,0,L75-MIN(L75,MAX(0,$E75-SUMIFS(H75:AK75,$H$5:$AK$5,"Rem",$H$4:$AK$4,"&lt;"&amp;M$4))))</f>
        <v/>
      </c>
      <c r="N75" s="33">
        <f>P74*(1+N(Debts!$D$8)/1200)</f>
        <v/>
      </c>
      <c r="O75" s="33">
        <f>N75-MIN(N(Debts!$E$8),N75)</f>
        <v/>
      </c>
      <c r="P75" s="33">
        <f>IF(O75&lt;=0.005,0,O75-MIN(O75,MAX(0,$E75-SUMIFS(H75:AK75,$H$5:$AK$5,"Rem",$H$4:$AK$4,"&lt;"&amp;P$4))))</f>
        <v/>
      </c>
      <c r="Q75" s="33">
        <f>S74*(1+N(Debts!$D$9)/1200)</f>
        <v/>
      </c>
      <c r="R75" s="33">
        <f>Q75-MIN(N(Debts!$E$9),Q75)</f>
        <v/>
      </c>
      <c r="S75" s="33">
        <f>IF(R75&lt;=0.005,0,R75-MIN(R75,MAX(0,$E75-SUMIFS(H75:AK75,$H$5:$AK$5,"Rem",$H$4:$AK$4,"&lt;"&amp;S$4))))</f>
        <v/>
      </c>
      <c r="T75" s="33">
        <f>V74*(1+N(Debts!$D$10)/1200)</f>
        <v/>
      </c>
      <c r="U75" s="33">
        <f>T75-MIN(N(Debts!$E$10),T75)</f>
        <v/>
      </c>
      <c r="V75" s="33">
        <f>IF(U75&lt;=0.005,0,U75-MIN(U75,MAX(0,$E75-SUMIFS(H75:AK75,$H$5:$AK$5,"Rem",$H$4:$AK$4,"&lt;"&amp;V$4))))</f>
        <v/>
      </c>
      <c r="W75" s="33">
        <f>Y74*(1+N(Debts!$D$11)/1200)</f>
        <v/>
      </c>
      <c r="X75" s="33">
        <f>W75-MIN(N(Debts!$E$11),W75)</f>
        <v/>
      </c>
      <c r="Y75" s="33">
        <f>IF(X75&lt;=0.005,0,X75-MIN(X75,MAX(0,$E75-SUMIFS(H75:AK75,$H$5:$AK$5,"Rem",$H$4:$AK$4,"&lt;"&amp;Y$4))))</f>
        <v/>
      </c>
      <c r="Z75" s="33">
        <f>AB74*(1+N(Debts!$D$12)/1200)</f>
        <v/>
      </c>
      <c r="AA75" s="33">
        <f>Z75-MIN(N(Debts!$E$12),Z75)</f>
        <v/>
      </c>
      <c r="AB75" s="33">
        <f>IF(AA75&lt;=0.005,0,AA75-MIN(AA75,MAX(0,$E75-SUMIFS(H75:AK75,$H$5:$AK$5,"Rem",$H$4:$AK$4,"&lt;"&amp;AB$4))))</f>
        <v/>
      </c>
      <c r="AC75" s="33">
        <f>AE74*(1+N(Debts!$D$13)/1200)</f>
        <v/>
      </c>
      <c r="AD75" s="33">
        <f>AC75-MIN(N(Debts!$E$13),AC75)</f>
        <v/>
      </c>
      <c r="AE75" s="33">
        <f>IF(AD75&lt;=0.005,0,AD75-MIN(AD75,MAX(0,$E75-SUMIFS(H75:AK75,$H$5:$AK$5,"Rem",$H$4:$AK$4,"&lt;"&amp;AE$4))))</f>
        <v/>
      </c>
      <c r="AF75" s="33">
        <f>AH74*(1+N(Debts!$D$14)/1200)</f>
        <v/>
      </c>
      <c r="AG75" s="33">
        <f>AF75-MIN(N(Debts!$E$14),AF75)</f>
        <v/>
      </c>
      <c r="AH75" s="33">
        <f>IF(AG75&lt;=0.005,0,AG75-MIN(AG75,MAX(0,$E75-SUMIFS(H75:AK75,$H$5:$AK$5,"Rem",$H$4:$AK$4,"&lt;"&amp;AH$4))))</f>
        <v/>
      </c>
      <c r="AI75" s="33">
        <f>AK74*(1+N(Debts!$D$15)/1200)</f>
        <v/>
      </c>
      <c r="AJ75" s="33">
        <f>AI75-MIN(N(Debts!$E$15),AI75)</f>
        <v/>
      </c>
      <c r="AK75" s="33">
        <f>IF(AJ75&lt;=0.005,0,AJ75-MIN(AJ75,MAX(0,$E75-SUMIFS(H75:AK75,$H$5:$AK$5,"Rem",$H$4:$AK$4,"&lt;"&amp;AK$4))))</f>
        <v/>
      </c>
      <c r="AL75" s="1" t="n"/>
    </row>
    <row r="76">
      <c r="A76" s="1" t="n"/>
      <c r="B76" s="1" t="n">
        <v>69</v>
      </c>
      <c r="C76" s="34">
        <f>EDATE(Debts!$J$13,B76-1)</f>
        <v/>
      </c>
      <c r="D76" s="33">
        <f>IF(G75&lt;=0.005,0,Debts!$E$16+Debts!$J$7)</f>
        <v/>
      </c>
      <c r="E76" s="33">
        <f>MAX(0,D76-(SUMIF($H$5:$AK$5,"Due",H76:AK76)-SUMIF($H$5:$AK$5,"Rem",H76:AK76)))</f>
        <v/>
      </c>
      <c r="F76" s="33">
        <f>SUMIF($H$5:$AK$5,"Due",H76:AK76)-SUMIF($H$5:$AK$5,"Bal",H75:AK75)</f>
        <v/>
      </c>
      <c r="G76" s="33">
        <f>SUMIF($H$5:$AK$5,"Bal",H76:AK76)</f>
        <v/>
      </c>
      <c r="H76" s="33">
        <f>J75*(1+N(Debts!$D$6)/1200)</f>
        <v/>
      </c>
      <c r="I76" s="33">
        <f>H76-MIN(N(Debts!$E$6),H76)</f>
        <v/>
      </c>
      <c r="J76" s="33">
        <f>IF(I76&lt;=0.005,0,I76-MIN(I76,MAX(0,$E76-SUMIFS(H76:AK76,$H$5:$AK$5,"Rem",$H$4:$AK$4,"&lt;"&amp;J$4))))</f>
        <v/>
      </c>
      <c r="K76" s="33">
        <f>M75*(1+N(Debts!$D$7)/1200)</f>
        <v/>
      </c>
      <c r="L76" s="33">
        <f>K76-MIN(N(Debts!$E$7),K76)</f>
        <v/>
      </c>
      <c r="M76" s="33">
        <f>IF(L76&lt;=0.005,0,L76-MIN(L76,MAX(0,$E76-SUMIFS(H76:AK76,$H$5:$AK$5,"Rem",$H$4:$AK$4,"&lt;"&amp;M$4))))</f>
        <v/>
      </c>
      <c r="N76" s="33">
        <f>P75*(1+N(Debts!$D$8)/1200)</f>
        <v/>
      </c>
      <c r="O76" s="33">
        <f>N76-MIN(N(Debts!$E$8),N76)</f>
        <v/>
      </c>
      <c r="P76" s="33">
        <f>IF(O76&lt;=0.005,0,O76-MIN(O76,MAX(0,$E76-SUMIFS(H76:AK76,$H$5:$AK$5,"Rem",$H$4:$AK$4,"&lt;"&amp;P$4))))</f>
        <v/>
      </c>
      <c r="Q76" s="33">
        <f>S75*(1+N(Debts!$D$9)/1200)</f>
        <v/>
      </c>
      <c r="R76" s="33">
        <f>Q76-MIN(N(Debts!$E$9),Q76)</f>
        <v/>
      </c>
      <c r="S76" s="33">
        <f>IF(R76&lt;=0.005,0,R76-MIN(R76,MAX(0,$E76-SUMIFS(H76:AK76,$H$5:$AK$5,"Rem",$H$4:$AK$4,"&lt;"&amp;S$4))))</f>
        <v/>
      </c>
      <c r="T76" s="33">
        <f>V75*(1+N(Debts!$D$10)/1200)</f>
        <v/>
      </c>
      <c r="U76" s="33">
        <f>T76-MIN(N(Debts!$E$10),T76)</f>
        <v/>
      </c>
      <c r="V76" s="33">
        <f>IF(U76&lt;=0.005,0,U76-MIN(U76,MAX(0,$E76-SUMIFS(H76:AK76,$H$5:$AK$5,"Rem",$H$4:$AK$4,"&lt;"&amp;V$4))))</f>
        <v/>
      </c>
      <c r="W76" s="33">
        <f>Y75*(1+N(Debts!$D$11)/1200)</f>
        <v/>
      </c>
      <c r="X76" s="33">
        <f>W76-MIN(N(Debts!$E$11),W76)</f>
        <v/>
      </c>
      <c r="Y76" s="33">
        <f>IF(X76&lt;=0.005,0,X76-MIN(X76,MAX(0,$E76-SUMIFS(H76:AK76,$H$5:$AK$5,"Rem",$H$4:$AK$4,"&lt;"&amp;Y$4))))</f>
        <v/>
      </c>
      <c r="Z76" s="33">
        <f>AB75*(1+N(Debts!$D$12)/1200)</f>
        <v/>
      </c>
      <c r="AA76" s="33">
        <f>Z76-MIN(N(Debts!$E$12),Z76)</f>
        <v/>
      </c>
      <c r="AB76" s="33">
        <f>IF(AA76&lt;=0.005,0,AA76-MIN(AA76,MAX(0,$E76-SUMIFS(H76:AK76,$H$5:$AK$5,"Rem",$H$4:$AK$4,"&lt;"&amp;AB$4))))</f>
        <v/>
      </c>
      <c r="AC76" s="33">
        <f>AE75*(1+N(Debts!$D$13)/1200)</f>
        <v/>
      </c>
      <c r="AD76" s="33">
        <f>AC76-MIN(N(Debts!$E$13),AC76)</f>
        <v/>
      </c>
      <c r="AE76" s="33">
        <f>IF(AD76&lt;=0.005,0,AD76-MIN(AD76,MAX(0,$E76-SUMIFS(H76:AK76,$H$5:$AK$5,"Rem",$H$4:$AK$4,"&lt;"&amp;AE$4))))</f>
        <v/>
      </c>
      <c r="AF76" s="33">
        <f>AH75*(1+N(Debts!$D$14)/1200)</f>
        <v/>
      </c>
      <c r="AG76" s="33">
        <f>AF76-MIN(N(Debts!$E$14),AF76)</f>
        <v/>
      </c>
      <c r="AH76" s="33">
        <f>IF(AG76&lt;=0.005,0,AG76-MIN(AG76,MAX(0,$E76-SUMIFS(H76:AK76,$H$5:$AK$5,"Rem",$H$4:$AK$4,"&lt;"&amp;AH$4))))</f>
        <v/>
      </c>
      <c r="AI76" s="33">
        <f>AK75*(1+N(Debts!$D$15)/1200)</f>
        <v/>
      </c>
      <c r="AJ76" s="33">
        <f>AI76-MIN(N(Debts!$E$15),AI76)</f>
        <v/>
      </c>
      <c r="AK76" s="33">
        <f>IF(AJ76&lt;=0.005,0,AJ76-MIN(AJ76,MAX(0,$E76-SUMIFS(H76:AK76,$H$5:$AK$5,"Rem",$H$4:$AK$4,"&lt;"&amp;AK$4))))</f>
        <v/>
      </c>
      <c r="AL76" s="1" t="n"/>
    </row>
    <row r="77">
      <c r="A77" s="1" t="n"/>
      <c r="B77" s="1" t="n">
        <v>70</v>
      </c>
      <c r="C77" s="34">
        <f>EDATE(Debts!$J$13,B77-1)</f>
        <v/>
      </c>
      <c r="D77" s="33">
        <f>IF(G76&lt;=0.005,0,Debts!$E$16+Debts!$J$7)</f>
        <v/>
      </c>
      <c r="E77" s="33">
        <f>MAX(0,D77-(SUMIF($H$5:$AK$5,"Due",H77:AK77)-SUMIF($H$5:$AK$5,"Rem",H77:AK77)))</f>
        <v/>
      </c>
      <c r="F77" s="33">
        <f>SUMIF($H$5:$AK$5,"Due",H77:AK77)-SUMIF($H$5:$AK$5,"Bal",H76:AK76)</f>
        <v/>
      </c>
      <c r="G77" s="33">
        <f>SUMIF($H$5:$AK$5,"Bal",H77:AK77)</f>
        <v/>
      </c>
      <c r="H77" s="33">
        <f>J76*(1+N(Debts!$D$6)/1200)</f>
        <v/>
      </c>
      <c r="I77" s="33">
        <f>H77-MIN(N(Debts!$E$6),H77)</f>
        <v/>
      </c>
      <c r="J77" s="33">
        <f>IF(I77&lt;=0.005,0,I77-MIN(I77,MAX(0,$E77-SUMIFS(H77:AK77,$H$5:$AK$5,"Rem",$H$4:$AK$4,"&lt;"&amp;J$4))))</f>
        <v/>
      </c>
      <c r="K77" s="33">
        <f>M76*(1+N(Debts!$D$7)/1200)</f>
        <v/>
      </c>
      <c r="L77" s="33">
        <f>K77-MIN(N(Debts!$E$7),K77)</f>
        <v/>
      </c>
      <c r="M77" s="33">
        <f>IF(L77&lt;=0.005,0,L77-MIN(L77,MAX(0,$E77-SUMIFS(H77:AK77,$H$5:$AK$5,"Rem",$H$4:$AK$4,"&lt;"&amp;M$4))))</f>
        <v/>
      </c>
      <c r="N77" s="33">
        <f>P76*(1+N(Debts!$D$8)/1200)</f>
        <v/>
      </c>
      <c r="O77" s="33">
        <f>N77-MIN(N(Debts!$E$8),N77)</f>
        <v/>
      </c>
      <c r="P77" s="33">
        <f>IF(O77&lt;=0.005,0,O77-MIN(O77,MAX(0,$E77-SUMIFS(H77:AK77,$H$5:$AK$5,"Rem",$H$4:$AK$4,"&lt;"&amp;P$4))))</f>
        <v/>
      </c>
      <c r="Q77" s="33">
        <f>S76*(1+N(Debts!$D$9)/1200)</f>
        <v/>
      </c>
      <c r="R77" s="33">
        <f>Q77-MIN(N(Debts!$E$9),Q77)</f>
        <v/>
      </c>
      <c r="S77" s="33">
        <f>IF(R77&lt;=0.005,0,R77-MIN(R77,MAX(0,$E77-SUMIFS(H77:AK77,$H$5:$AK$5,"Rem",$H$4:$AK$4,"&lt;"&amp;S$4))))</f>
        <v/>
      </c>
      <c r="T77" s="33">
        <f>V76*(1+N(Debts!$D$10)/1200)</f>
        <v/>
      </c>
      <c r="U77" s="33">
        <f>T77-MIN(N(Debts!$E$10),T77)</f>
        <v/>
      </c>
      <c r="V77" s="33">
        <f>IF(U77&lt;=0.005,0,U77-MIN(U77,MAX(0,$E77-SUMIFS(H77:AK77,$H$5:$AK$5,"Rem",$H$4:$AK$4,"&lt;"&amp;V$4))))</f>
        <v/>
      </c>
      <c r="W77" s="33">
        <f>Y76*(1+N(Debts!$D$11)/1200)</f>
        <v/>
      </c>
      <c r="X77" s="33">
        <f>W77-MIN(N(Debts!$E$11),W77)</f>
        <v/>
      </c>
      <c r="Y77" s="33">
        <f>IF(X77&lt;=0.005,0,X77-MIN(X77,MAX(0,$E77-SUMIFS(H77:AK77,$H$5:$AK$5,"Rem",$H$4:$AK$4,"&lt;"&amp;Y$4))))</f>
        <v/>
      </c>
      <c r="Z77" s="33">
        <f>AB76*(1+N(Debts!$D$12)/1200)</f>
        <v/>
      </c>
      <c r="AA77" s="33">
        <f>Z77-MIN(N(Debts!$E$12),Z77)</f>
        <v/>
      </c>
      <c r="AB77" s="33">
        <f>IF(AA77&lt;=0.005,0,AA77-MIN(AA77,MAX(0,$E77-SUMIFS(H77:AK77,$H$5:$AK$5,"Rem",$H$4:$AK$4,"&lt;"&amp;AB$4))))</f>
        <v/>
      </c>
      <c r="AC77" s="33">
        <f>AE76*(1+N(Debts!$D$13)/1200)</f>
        <v/>
      </c>
      <c r="AD77" s="33">
        <f>AC77-MIN(N(Debts!$E$13),AC77)</f>
        <v/>
      </c>
      <c r="AE77" s="33">
        <f>IF(AD77&lt;=0.005,0,AD77-MIN(AD77,MAX(0,$E77-SUMIFS(H77:AK77,$H$5:$AK$5,"Rem",$H$4:$AK$4,"&lt;"&amp;AE$4))))</f>
        <v/>
      </c>
      <c r="AF77" s="33">
        <f>AH76*(1+N(Debts!$D$14)/1200)</f>
        <v/>
      </c>
      <c r="AG77" s="33">
        <f>AF77-MIN(N(Debts!$E$14),AF77)</f>
        <v/>
      </c>
      <c r="AH77" s="33">
        <f>IF(AG77&lt;=0.005,0,AG77-MIN(AG77,MAX(0,$E77-SUMIFS(H77:AK77,$H$5:$AK$5,"Rem",$H$4:$AK$4,"&lt;"&amp;AH$4))))</f>
        <v/>
      </c>
      <c r="AI77" s="33">
        <f>AK76*(1+N(Debts!$D$15)/1200)</f>
        <v/>
      </c>
      <c r="AJ77" s="33">
        <f>AI77-MIN(N(Debts!$E$15),AI77)</f>
        <v/>
      </c>
      <c r="AK77" s="33">
        <f>IF(AJ77&lt;=0.005,0,AJ77-MIN(AJ77,MAX(0,$E77-SUMIFS(H77:AK77,$H$5:$AK$5,"Rem",$H$4:$AK$4,"&lt;"&amp;AK$4))))</f>
        <v/>
      </c>
      <c r="AL77" s="1" t="n"/>
    </row>
    <row r="78">
      <c r="A78" s="1" t="n"/>
      <c r="B78" s="1" t="n">
        <v>71</v>
      </c>
      <c r="C78" s="34">
        <f>EDATE(Debts!$J$13,B78-1)</f>
        <v/>
      </c>
      <c r="D78" s="33">
        <f>IF(G77&lt;=0.005,0,Debts!$E$16+Debts!$J$7)</f>
        <v/>
      </c>
      <c r="E78" s="33">
        <f>MAX(0,D78-(SUMIF($H$5:$AK$5,"Due",H78:AK78)-SUMIF($H$5:$AK$5,"Rem",H78:AK78)))</f>
        <v/>
      </c>
      <c r="F78" s="33">
        <f>SUMIF($H$5:$AK$5,"Due",H78:AK78)-SUMIF($H$5:$AK$5,"Bal",H77:AK77)</f>
        <v/>
      </c>
      <c r="G78" s="33">
        <f>SUMIF($H$5:$AK$5,"Bal",H78:AK78)</f>
        <v/>
      </c>
      <c r="H78" s="33">
        <f>J77*(1+N(Debts!$D$6)/1200)</f>
        <v/>
      </c>
      <c r="I78" s="33">
        <f>H78-MIN(N(Debts!$E$6),H78)</f>
        <v/>
      </c>
      <c r="J78" s="33">
        <f>IF(I78&lt;=0.005,0,I78-MIN(I78,MAX(0,$E78-SUMIFS(H78:AK78,$H$5:$AK$5,"Rem",$H$4:$AK$4,"&lt;"&amp;J$4))))</f>
        <v/>
      </c>
      <c r="K78" s="33">
        <f>M77*(1+N(Debts!$D$7)/1200)</f>
        <v/>
      </c>
      <c r="L78" s="33">
        <f>K78-MIN(N(Debts!$E$7),K78)</f>
        <v/>
      </c>
      <c r="M78" s="33">
        <f>IF(L78&lt;=0.005,0,L78-MIN(L78,MAX(0,$E78-SUMIFS(H78:AK78,$H$5:$AK$5,"Rem",$H$4:$AK$4,"&lt;"&amp;M$4))))</f>
        <v/>
      </c>
      <c r="N78" s="33">
        <f>P77*(1+N(Debts!$D$8)/1200)</f>
        <v/>
      </c>
      <c r="O78" s="33">
        <f>N78-MIN(N(Debts!$E$8),N78)</f>
        <v/>
      </c>
      <c r="P78" s="33">
        <f>IF(O78&lt;=0.005,0,O78-MIN(O78,MAX(0,$E78-SUMIFS(H78:AK78,$H$5:$AK$5,"Rem",$H$4:$AK$4,"&lt;"&amp;P$4))))</f>
        <v/>
      </c>
      <c r="Q78" s="33">
        <f>S77*(1+N(Debts!$D$9)/1200)</f>
        <v/>
      </c>
      <c r="R78" s="33">
        <f>Q78-MIN(N(Debts!$E$9),Q78)</f>
        <v/>
      </c>
      <c r="S78" s="33">
        <f>IF(R78&lt;=0.005,0,R78-MIN(R78,MAX(0,$E78-SUMIFS(H78:AK78,$H$5:$AK$5,"Rem",$H$4:$AK$4,"&lt;"&amp;S$4))))</f>
        <v/>
      </c>
      <c r="T78" s="33">
        <f>V77*(1+N(Debts!$D$10)/1200)</f>
        <v/>
      </c>
      <c r="U78" s="33">
        <f>T78-MIN(N(Debts!$E$10),T78)</f>
        <v/>
      </c>
      <c r="V78" s="33">
        <f>IF(U78&lt;=0.005,0,U78-MIN(U78,MAX(0,$E78-SUMIFS(H78:AK78,$H$5:$AK$5,"Rem",$H$4:$AK$4,"&lt;"&amp;V$4))))</f>
        <v/>
      </c>
      <c r="W78" s="33">
        <f>Y77*(1+N(Debts!$D$11)/1200)</f>
        <v/>
      </c>
      <c r="X78" s="33">
        <f>W78-MIN(N(Debts!$E$11),W78)</f>
        <v/>
      </c>
      <c r="Y78" s="33">
        <f>IF(X78&lt;=0.005,0,X78-MIN(X78,MAX(0,$E78-SUMIFS(H78:AK78,$H$5:$AK$5,"Rem",$H$4:$AK$4,"&lt;"&amp;Y$4))))</f>
        <v/>
      </c>
      <c r="Z78" s="33">
        <f>AB77*(1+N(Debts!$D$12)/1200)</f>
        <v/>
      </c>
      <c r="AA78" s="33">
        <f>Z78-MIN(N(Debts!$E$12),Z78)</f>
        <v/>
      </c>
      <c r="AB78" s="33">
        <f>IF(AA78&lt;=0.005,0,AA78-MIN(AA78,MAX(0,$E78-SUMIFS(H78:AK78,$H$5:$AK$5,"Rem",$H$4:$AK$4,"&lt;"&amp;AB$4))))</f>
        <v/>
      </c>
      <c r="AC78" s="33">
        <f>AE77*(1+N(Debts!$D$13)/1200)</f>
        <v/>
      </c>
      <c r="AD78" s="33">
        <f>AC78-MIN(N(Debts!$E$13),AC78)</f>
        <v/>
      </c>
      <c r="AE78" s="33">
        <f>IF(AD78&lt;=0.005,0,AD78-MIN(AD78,MAX(0,$E78-SUMIFS(H78:AK78,$H$5:$AK$5,"Rem",$H$4:$AK$4,"&lt;"&amp;AE$4))))</f>
        <v/>
      </c>
      <c r="AF78" s="33">
        <f>AH77*(1+N(Debts!$D$14)/1200)</f>
        <v/>
      </c>
      <c r="AG78" s="33">
        <f>AF78-MIN(N(Debts!$E$14),AF78)</f>
        <v/>
      </c>
      <c r="AH78" s="33">
        <f>IF(AG78&lt;=0.005,0,AG78-MIN(AG78,MAX(0,$E78-SUMIFS(H78:AK78,$H$5:$AK$5,"Rem",$H$4:$AK$4,"&lt;"&amp;AH$4))))</f>
        <v/>
      </c>
      <c r="AI78" s="33">
        <f>AK77*(1+N(Debts!$D$15)/1200)</f>
        <v/>
      </c>
      <c r="AJ78" s="33">
        <f>AI78-MIN(N(Debts!$E$15),AI78)</f>
        <v/>
      </c>
      <c r="AK78" s="33">
        <f>IF(AJ78&lt;=0.005,0,AJ78-MIN(AJ78,MAX(0,$E78-SUMIFS(H78:AK78,$H$5:$AK$5,"Rem",$H$4:$AK$4,"&lt;"&amp;AK$4))))</f>
        <v/>
      </c>
      <c r="AL78" s="1" t="n"/>
    </row>
    <row r="79">
      <c r="A79" s="1" t="n"/>
      <c r="B79" s="1" t="n">
        <v>72</v>
      </c>
      <c r="C79" s="34">
        <f>EDATE(Debts!$J$13,B79-1)</f>
        <v/>
      </c>
      <c r="D79" s="33">
        <f>IF(G78&lt;=0.005,0,Debts!$E$16+Debts!$J$7)</f>
        <v/>
      </c>
      <c r="E79" s="33">
        <f>MAX(0,D79-(SUMIF($H$5:$AK$5,"Due",H79:AK79)-SUMIF($H$5:$AK$5,"Rem",H79:AK79)))</f>
        <v/>
      </c>
      <c r="F79" s="33">
        <f>SUMIF($H$5:$AK$5,"Due",H79:AK79)-SUMIF($H$5:$AK$5,"Bal",H78:AK78)</f>
        <v/>
      </c>
      <c r="G79" s="33">
        <f>SUMIF($H$5:$AK$5,"Bal",H79:AK79)</f>
        <v/>
      </c>
      <c r="H79" s="33">
        <f>J78*(1+N(Debts!$D$6)/1200)</f>
        <v/>
      </c>
      <c r="I79" s="33">
        <f>H79-MIN(N(Debts!$E$6),H79)</f>
        <v/>
      </c>
      <c r="J79" s="33">
        <f>IF(I79&lt;=0.005,0,I79-MIN(I79,MAX(0,$E79-SUMIFS(H79:AK79,$H$5:$AK$5,"Rem",$H$4:$AK$4,"&lt;"&amp;J$4))))</f>
        <v/>
      </c>
      <c r="K79" s="33">
        <f>M78*(1+N(Debts!$D$7)/1200)</f>
        <v/>
      </c>
      <c r="L79" s="33">
        <f>K79-MIN(N(Debts!$E$7),K79)</f>
        <v/>
      </c>
      <c r="M79" s="33">
        <f>IF(L79&lt;=0.005,0,L79-MIN(L79,MAX(0,$E79-SUMIFS(H79:AK79,$H$5:$AK$5,"Rem",$H$4:$AK$4,"&lt;"&amp;M$4))))</f>
        <v/>
      </c>
      <c r="N79" s="33">
        <f>P78*(1+N(Debts!$D$8)/1200)</f>
        <v/>
      </c>
      <c r="O79" s="33">
        <f>N79-MIN(N(Debts!$E$8),N79)</f>
        <v/>
      </c>
      <c r="P79" s="33">
        <f>IF(O79&lt;=0.005,0,O79-MIN(O79,MAX(0,$E79-SUMIFS(H79:AK79,$H$5:$AK$5,"Rem",$H$4:$AK$4,"&lt;"&amp;P$4))))</f>
        <v/>
      </c>
      <c r="Q79" s="33">
        <f>S78*(1+N(Debts!$D$9)/1200)</f>
        <v/>
      </c>
      <c r="R79" s="33">
        <f>Q79-MIN(N(Debts!$E$9),Q79)</f>
        <v/>
      </c>
      <c r="S79" s="33">
        <f>IF(R79&lt;=0.005,0,R79-MIN(R79,MAX(0,$E79-SUMIFS(H79:AK79,$H$5:$AK$5,"Rem",$H$4:$AK$4,"&lt;"&amp;S$4))))</f>
        <v/>
      </c>
      <c r="T79" s="33">
        <f>V78*(1+N(Debts!$D$10)/1200)</f>
        <v/>
      </c>
      <c r="U79" s="33">
        <f>T79-MIN(N(Debts!$E$10),T79)</f>
        <v/>
      </c>
      <c r="V79" s="33">
        <f>IF(U79&lt;=0.005,0,U79-MIN(U79,MAX(0,$E79-SUMIFS(H79:AK79,$H$5:$AK$5,"Rem",$H$4:$AK$4,"&lt;"&amp;V$4))))</f>
        <v/>
      </c>
      <c r="W79" s="33">
        <f>Y78*(1+N(Debts!$D$11)/1200)</f>
        <v/>
      </c>
      <c r="X79" s="33">
        <f>W79-MIN(N(Debts!$E$11),W79)</f>
        <v/>
      </c>
      <c r="Y79" s="33">
        <f>IF(X79&lt;=0.005,0,X79-MIN(X79,MAX(0,$E79-SUMIFS(H79:AK79,$H$5:$AK$5,"Rem",$H$4:$AK$4,"&lt;"&amp;Y$4))))</f>
        <v/>
      </c>
      <c r="Z79" s="33">
        <f>AB78*(1+N(Debts!$D$12)/1200)</f>
        <v/>
      </c>
      <c r="AA79" s="33">
        <f>Z79-MIN(N(Debts!$E$12),Z79)</f>
        <v/>
      </c>
      <c r="AB79" s="33">
        <f>IF(AA79&lt;=0.005,0,AA79-MIN(AA79,MAX(0,$E79-SUMIFS(H79:AK79,$H$5:$AK$5,"Rem",$H$4:$AK$4,"&lt;"&amp;AB$4))))</f>
        <v/>
      </c>
      <c r="AC79" s="33">
        <f>AE78*(1+N(Debts!$D$13)/1200)</f>
        <v/>
      </c>
      <c r="AD79" s="33">
        <f>AC79-MIN(N(Debts!$E$13),AC79)</f>
        <v/>
      </c>
      <c r="AE79" s="33">
        <f>IF(AD79&lt;=0.005,0,AD79-MIN(AD79,MAX(0,$E79-SUMIFS(H79:AK79,$H$5:$AK$5,"Rem",$H$4:$AK$4,"&lt;"&amp;AE$4))))</f>
        <v/>
      </c>
      <c r="AF79" s="33">
        <f>AH78*(1+N(Debts!$D$14)/1200)</f>
        <v/>
      </c>
      <c r="AG79" s="33">
        <f>AF79-MIN(N(Debts!$E$14),AF79)</f>
        <v/>
      </c>
      <c r="AH79" s="33">
        <f>IF(AG79&lt;=0.005,0,AG79-MIN(AG79,MAX(0,$E79-SUMIFS(H79:AK79,$H$5:$AK$5,"Rem",$H$4:$AK$4,"&lt;"&amp;AH$4))))</f>
        <v/>
      </c>
      <c r="AI79" s="33">
        <f>AK78*(1+N(Debts!$D$15)/1200)</f>
        <v/>
      </c>
      <c r="AJ79" s="33">
        <f>AI79-MIN(N(Debts!$E$15),AI79)</f>
        <v/>
      </c>
      <c r="AK79" s="33">
        <f>IF(AJ79&lt;=0.005,0,AJ79-MIN(AJ79,MAX(0,$E79-SUMIFS(H79:AK79,$H$5:$AK$5,"Rem",$H$4:$AK$4,"&lt;"&amp;AK$4))))</f>
        <v/>
      </c>
      <c r="AL79" s="1" t="n"/>
    </row>
    <row r="80">
      <c r="A80" s="1" t="n"/>
      <c r="B80" s="1" t="n">
        <v>73</v>
      </c>
      <c r="C80" s="34">
        <f>EDATE(Debts!$J$13,B80-1)</f>
        <v/>
      </c>
      <c r="D80" s="33">
        <f>IF(G79&lt;=0.005,0,Debts!$E$16+Debts!$J$7)</f>
        <v/>
      </c>
      <c r="E80" s="33">
        <f>MAX(0,D80-(SUMIF($H$5:$AK$5,"Due",H80:AK80)-SUMIF($H$5:$AK$5,"Rem",H80:AK80)))</f>
        <v/>
      </c>
      <c r="F80" s="33">
        <f>SUMIF($H$5:$AK$5,"Due",H80:AK80)-SUMIF($H$5:$AK$5,"Bal",H79:AK79)</f>
        <v/>
      </c>
      <c r="G80" s="33">
        <f>SUMIF($H$5:$AK$5,"Bal",H80:AK80)</f>
        <v/>
      </c>
      <c r="H80" s="33">
        <f>J79*(1+N(Debts!$D$6)/1200)</f>
        <v/>
      </c>
      <c r="I80" s="33">
        <f>H80-MIN(N(Debts!$E$6),H80)</f>
        <v/>
      </c>
      <c r="J80" s="33">
        <f>IF(I80&lt;=0.005,0,I80-MIN(I80,MAX(0,$E80-SUMIFS(H80:AK80,$H$5:$AK$5,"Rem",$H$4:$AK$4,"&lt;"&amp;J$4))))</f>
        <v/>
      </c>
      <c r="K80" s="33">
        <f>M79*(1+N(Debts!$D$7)/1200)</f>
        <v/>
      </c>
      <c r="L80" s="33">
        <f>K80-MIN(N(Debts!$E$7),K80)</f>
        <v/>
      </c>
      <c r="M80" s="33">
        <f>IF(L80&lt;=0.005,0,L80-MIN(L80,MAX(0,$E80-SUMIFS(H80:AK80,$H$5:$AK$5,"Rem",$H$4:$AK$4,"&lt;"&amp;M$4))))</f>
        <v/>
      </c>
      <c r="N80" s="33">
        <f>P79*(1+N(Debts!$D$8)/1200)</f>
        <v/>
      </c>
      <c r="O80" s="33">
        <f>N80-MIN(N(Debts!$E$8),N80)</f>
        <v/>
      </c>
      <c r="P80" s="33">
        <f>IF(O80&lt;=0.005,0,O80-MIN(O80,MAX(0,$E80-SUMIFS(H80:AK80,$H$5:$AK$5,"Rem",$H$4:$AK$4,"&lt;"&amp;P$4))))</f>
        <v/>
      </c>
      <c r="Q80" s="33">
        <f>S79*(1+N(Debts!$D$9)/1200)</f>
        <v/>
      </c>
      <c r="R80" s="33">
        <f>Q80-MIN(N(Debts!$E$9),Q80)</f>
        <v/>
      </c>
      <c r="S80" s="33">
        <f>IF(R80&lt;=0.005,0,R80-MIN(R80,MAX(0,$E80-SUMIFS(H80:AK80,$H$5:$AK$5,"Rem",$H$4:$AK$4,"&lt;"&amp;S$4))))</f>
        <v/>
      </c>
      <c r="T80" s="33">
        <f>V79*(1+N(Debts!$D$10)/1200)</f>
        <v/>
      </c>
      <c r="U80" s="33">
        <f>T80-MIN(N(Debts!$E$10),T80)</f>
        <v/>
      </c>
      <c r="V80" s="33">
        <f>IF(U80&lt;=0.005,0,U80-MIN(U80,MAX(0,$E80-SUMIFS(H80:AK80,$H$5:$AK$5,"Rem",$H$4:$AK$4,"&lt;"&amp;V$4))))</f>
        <v/>
      </c>
      <c r="W80" s="33">
        <f>Y79*(1+N(Debts!$D$11)/1200)</f>
        <v/>
      </c>
      <c r="X80" s="33">
        <f>W80-MIN(N(Debts!$E$11),W80)</f>
        <v/>
      </c>
      <c r="Y80" s="33">
        <f>IF(X80&lt;=0.005,0,X80-MIN(X80,MAX(0,$E80-SUMIFS(H80:AK80,$H$5:$AK$5,"Rem",$H$4:$AK$4,"&lt;"&amp;Y$4))))</f>
        <v/>
      </c>
      <c r="Z80" s="33">
        <f>AB79*(1+N(Debts!$D$12)/1200)</f>
        <v/>
      </c>
      <c r="AA80" s="33">
        <f>Z80-MIN(N(Debts!$E$12),Z80)</f>
        <v/>
      </c>
      <c r="AB80" s="33">
        <f>IF(AA80&lt;=0.005,0,AA80-MIN(AA80,MAX(0,$E80-SUMIFS(H80:AK80,$H$5:$AK$5,"Rem",$H$4:$AK$4,"&lt;"&amp;AB$4))))</f>
        <v/>
      </c>
      <c r="AC80" s="33">
        <f>AE79*(1+N(Debts!$D$13)/1200)</f>
        <v/>
      </c>
      <c r="AD80" s="33">
        <f>AC80-MIN(N(Debts!$E$13),AC80)</f>
        <v/>
      </c>
      <c r="AE80" s="33">
        <f>IF(AD80&lt;=0.005,0,AD80-MIN(AD80,MAX(0,$E80-SUMIFS(H80:AK80,$H$5:$AK$5,"Rem",$H$4:$AK$4,"&lt;"&amp;AE$4))))</f>
        <v/>
      </c>
      <c r="AF80" s="33">
        <f>AH79*(1+N(Debts!$D$14)/1200)</f>
        <v/>
      </c>
      <c r="AG80" s="33">
        <f>AF80-MIN(N(Debts!$E$14),AF80)</f>
        <v/>
      </c>
      <c r="AH80" s="33">
        <f>IF(AG80&lt;=0.005,0,AG80-MIN(AG80,MAX(0,$E80-SUMIFS(H80:AK80,$H$5:$AK$5,"Rem",$H$4:$AK$4,"&lt;"&amp;AH$4))))</f>
        <v/>
      </c>
      <c r="AI80" s="33">
        <f>AK79*(1+N(Debts!$D$15)/1200)</f>
        <v/>
      </c>
      <c r="AJ80" s="33">
        <f>AI80-MIN(N(Debts!$E$15),AI80)</f>
        <v/>
      </c>
      <c r="AK80" s="33">
        <f>IF(AJ80&lt;=0.005,0,AJ80-MIN(AJ80,MAX(0,$E80-SUMIFS(H80:AK80,$H$5:$AK$5,"Rem",$H$4:$AK$4,"&lt;"&amp;AK$4))))</f>
        <v/>
      </c>
      <c r="AL80" s="1" t="n"/>
    </row>
    <row r="81">
      <c r="A81" s="1" t="n"/>
      <c r="B81" s="1" t="n">
        <v>74</v>
      </c>
      <c r="C81" s="34">
        <f>EDATE(Debts!$J$13,B81-1)</f>
        <v/>
      </c>
      <c r="D81" s="33">
        <f>IF(G80&lt;=0.005,0,Debts!$E$16+Debts!$J$7)</f>
        <v/>
      </c>
      <c r="E81" s="33">
        <f>MAX(0,D81-(SUMIF($H$5:$AK$5,"Due",H81:AK81)-SUMIF($H$5:$AK$5,"Rem",H81:AK81)))</f>
        <v/>
      </c>
      <c r="F81" s="33">
        <f>SUMIF($H$5:$AK$5,"Due",H81:AK81)-SUMIF($H$5:$AK$5,"Bal",H80:AK80)</f>
        <v/>
      </c>
      <c r="G81" s="33">
        <f>SUMIF($H$5:$AK$5,"Bal",H81:AK81)</f>
        <v/>
      </c>
      <c r="H81" s="33">
        <f>J80*(1+N(Debts!$D$6)/1200)</f>
        <v/>
      </c>
      <c r="I81" s="33">
        <f>H81-MIN(N(Debts!$E$6),H81)</f>
        <v/>
      </c>
      <c r="J81" s="33">
        <f>IF(I81&lt;=0.005,0,I81-MIN(I81,MAX(0,$E81-SUMIFS(H81:AK81,$H$5:$AK$5,"Rem",$H$4:$AK$4,"&lt;"&amp;J$4))))</f>
        <v/>
      </c>
      <c r="K81" s="33">
        <f>M80*(1+N(Debts!$D$7)/1200)</f>
        <v/>
      </c>
      <c r="L81" s="33">
        <f>K81-MIN(N(Debts!$E$7),K81)</f>
        <v/>
      </c>
      <c r="M81" s="33">
        <f>IF(L81&lt;=0.005,0,L81-MIN(L81,MAX(0,$E81-SUMIFS(H81:AK81,$H$5:$AK$5,"Rem",$H$4:$AK$4,"&lt;"&amp;M$4))))</f>
        <v/>
      </c>
      <c r="N81" s="33">
        <f>P80*(1+N(Debts!$D$8)/1200)</f>
        <v/>
      </c>
      <c r="O81" s="33">
        <f>N81-MIN(N(Debts!$E$8),N81)</f>
        <v/>
      </c>
      <c r="P81" s="33">
        <f>IF(O81&lt;=0.005,0,O81-MIN(O81,MAX(0,$E81-SUMIFS(H81:AK81,$H$5:$AK$5,"Rem",$H$4:$AK$4,"&lt;"&amp;P$4))))</f>
        <v/>
      </c>
      <c r="Q81" s="33">
        <f>S80*(1+N(Debts!$D$9)/1200)</f>
        <v/>
      </c>
      <c r="R81" s="33">
        <f>Q81-MIN(N(Debts!$E$9),Q81)</f>
        <v/>
      </c>
      <c r="S81" s="33">
        <f>IF(R81&lt;=0.005,0,R81-MIN(R81,MAX(0,$E81-SUMIFS(H81:AK81,$H$5:$AK$5,"Rem",$H$4:$AK$4,"&lt;"&amp;S$4))))</f>
        <v/>
      </c>
      <c r="T81" s="33">
        <f>V80*(1+N(Debts!$D$10)/1200)</f>
        <v/>
      </c>
      <c r="U81" s="33">
        <f>T81-MIN(N(Debts!$E$10),T81)</f>
        <v/>
      </c>
      <c r="V81" s="33">
        <f>IF(U81&lt;=0.005,0,U81-MIN(U81,MAX(0,$E81-SUMIFS(H81:AK81,$H$5:$AK$5,"Rem",$H$4:$AK$4,"&lt;"&amp;V$4))))</f>
        <v/>
      </c>
      <c r="W81" s="33">
        <f>Y80*(1+N(Debts!$D$11)/1200)</f>
        <v/>
      </c>
      <c r="X81" s="33">
        <f>W81-MIN(N(Debts!$E$11),W81)</f>
        <v/>
      </c>
      <c r="Y81" s="33">
        <f>IF(X81&lt;=0.005,0,X81-MIN(X81,MAX(0,$E81-SUMIFS(H81:AK81,$H$5:$AK$5,"Rem",$H$4:$AK$4,"&lt;"&amp;Y$4))))</f>
        <v/>
      </c>
      <c r="Z81" s="33">
        <f>AB80*(1+N(Debts!$D$12)/1200)</f>
        <v/>
      </c>
      <c r="AA81" s="33">
        <f>Z81-MIN(N(Debts!$E$12),Z81)</f>
        <v/>
      </c>
      <c r="AB81" s="33">
        <f>IF(AA81&lt;=0.005,0,AA81-MIN(AA81,MAX(0,$E81-SUMIFS(H81:AK81,$H$5:$AK$5,"Rem",$H$4:$AK$4,"&lt;"&amp;AB$4))))</f>
        <v/>
      </c>
      <c r="AC81" s="33">
        <f>AE80*(1+N(Debts!$D$13)/1200)</f>
        <v/>
      </c>
      <c r="AD81" s="33">
        <f>AC81-MIN(N(Debts!$E$13),AC81)</f>
        <v/>
      </c>
      <c r="AE81" s="33">
        <f>IF(AD81&lt;=0.005,0,AD81-MIN(AD81,MAX(0,$E81-SUMIFS(H81:AK81,$H$5:$AK$5,"Rem",$H$4:$AK$4,"&lt;"&amp;AE$4))))</f>
        <v/>
      </c>
      <c r="AF81" s="33">
        <f>AH80*(1+N(Debts!$D$14)/1200)</f>
        <v/>
      </c>
      <c r="AG81" s="33">
        <f>AF81-MIN(N(Debts!$E$14),AF81)</f>
        <v/>
      </c>
      <c r="AH81" s="33">
        <f>IF(AG81&lt;=0.005,0,AG81-MIN(AG81,MAX(0,$E81-SUMIFS(H81:AK81,$H$5:$AK$5,"Rem",$H$4:$AK$4,"&lt;"&amp;AH$4))))</f>
        <v/>
      </c>
      <c r="AI81" s="33">
        <f>AK80*(1+N(Debts!$D$15)/1200)</f>
        <v/>
      </c>
      <c r="AJ81" s="33">
        <f>AI81-MIN(N(Debts!$E$15),AI81)</f>
        <v/>
      </c>
      <c r="AK81" s="33">
        <f>IF(AJ81&lt;=0.005,0,AJ81-MIN(AJ81,MAX(0,$E81-SUMIFS(H81:AK81,$H$5:$AK$5,"Rem",$H$4:$AK$4,"&lt;"&amp;AK$4))))</f>
        <v/>
      </c>
      <c r="AL81" s="1" t="n"/>
    </row>
    <row r="82">
      <c r="A82" s="1" t="n"/>
      <c r="B82" s="1" t="n">
        <v>75</v>
      </c>
      <c r="C82" s="34">
        <f>EDATE(Debts!$J$13,B82-1)</f>
        <v/>
      </c>
      <c r="D82" s="33">
        <f>IF(G81&lt;=0.005,0,Debts!$E$16+Debts!$J$7)</f>
        <v/>
      </c>
      <c r="E82" s="33">
        <f>MAX(0,D82-(SUMIF($H$5:$AK$5,"Due",H82:AK82)-SUMIF($H$5:$AK$5,"Rem",H82:AK82)))</f>
        <v/>
      </c>
      <c r="F82" s="33">
        <f>SUMIF($H$5:$AK$5,"Due",H82:AK82)-SUMIF($H$5:$AK$5,"Bal",H81:AK81)</f>
        <v/>
      </c>
      <c r="G82" s="33">
        <f>SUMIF($H$5:$AK$5,"Bal",H82:AK82)</f>
        <v/>
      </c>
      <c r="H82" s="33">
        <f>J81*(1+N(Debts!$D$6)/1200)</f>
        <v/>
      </c>
      <c r="I82" s="33">
        <f>H82-MIN(N(Debts!$E$6),H82)</f>
        <v/>
      </c>
      <c r="J82" s="33">
        <f>IF(I82&lt;=0.005,0,I82-MIN(I82,MAX(0,$E82-SUMIFS(H82:AK82,$H$5:$AK$5,"Rem",$H$4:$AK$4,"&lt;"&amp;J$4))))</f>
        <v/>
      </c>
      <c r="K82" s="33">
        <f>M81*(1+N(Debts!$D$7)/1200)</f>
        <v/>
      </c>
      <c r="L82" s="33">
        <f>K82-MIN(N(Debts!$E$7),K82)</f>
        <v/>
      </c>
      <c r="M82" s="33">
        <f>IF(L82&lt;=0.005,0,L82-MIN(L82,MAX(0,$E82-SUMIFS(H82:AK82,$H$5:$AK$5,"Rem",$H$4:$AK$4,"&lt;"&amp;M$4))))</f>
        <v/>
      </c>
      <c r="N82" s="33">
        <f>P81*(1+N(Debts!$D$8)/1200)</f>
        <v/>
      </c>
      <c r="O82" s="33">
        <f>N82-MIN(N(Debts!$E$8),N82)</f>
        <v/>
      </c>
      <c r="P82" s="33">
        <f>IF(O82&lt;=0.005,0,O82-MIN(O82,MAX(0,$E82-SUMIFS(H82:AK82,$H$5:$AK$5,"Rem",$H$4:$AK$4,"&lt;"&amp;P$4))))</f>
        <v/>
      </c>
      <c r="Q82" s="33">
        <f>S81*(1+N(Debts!$D$9)/1200)</f>
        <v/>
      </c>
      <c r="R82" s="33">
        <f>Q82-MIN(N(Debts!$E$9),Q82)</f>
        <v/>
      </c>
      <c r="S82" s="33">
        <f>IF(R82&lt;=0.005,0,R82-MIN(R82,MAX(0,$E82-SUMIFS(H82:AK82,$H$5:$AK$5,"Rem",$H$4:$AK$4,"&lt;"&amp;S$4))))</f>
        <v/>
      </c>
      <c r="T82" s="33">
        <f>V81*(1+N(Debts!$D$10)/1200)</f>
        <v/>
      </c>
      <c r="U82" s="33">
        <f>T82-MIN(N(Debts!$E$10),T82)</f>
        <v/>
      </c>
      <c r="V82" s="33">
        <f>IF(U82&lt;=0.005,0,U82-MIN(U82,MAX(0,$E82-SUMIFS(H82:AK82,$H$5:$AK$5,"Rem",$H$4:$AK$4,"&lt;"&amp;V$4))))</f>
        <v/>
      </c>
      <c r="W82" s="33">
        <f>Y81*(1+N(Debts!$D$11)/1200)</f>
        <v/>
      </c>
      <c r="X82" s="33">
        <f>W82-MIN(N(Debts!$E$11),W82)</f>
        <v/>
      </c>
      <c r="Y82" s="33">
        <f>IF(X82&lt;=0.005,0,X82-MIN(X82,MAX(0,$E82-SUMIFS(H82:AK82,$H$5:$AK$5,"Rem",$H$4:$AK$4,"&lt;"&amp;Y$4))))</f>
        <v/>
      </c>
      <c r="Z82" s="33">
        <f>AB81*(1+N(Debts!$D$12)/1200)</f>
        <v/>
      </c>
      <c r="AA82" s="33">
        <f>Z82-MIN(N(Debts!$E$12),Z82)</f>
        <v/>
      </c>
      <c r="AB82" s="33">
        <f>IF(AA82&lt;=0.005,0,AA82-MIN(AA82,MAX(0,$E82-SUMIFS(H82:AK82,$H$5:$AK$5,"Rem",$H$4:$AK$4,"&lt;"&amp;AB$4))))</f>
        <v/>
      </c>
      <c r="AC82" s="33">
        <f>AE81*(1+N(Debts!$D$13)/1200)</f>
        <v/>
      </c>
      <c r="AD82" s="33">
        <f>AC82-MIN(N(Debts!$E$13),AC82)</f>
        <v/>
      </c>
      <c r="AE82" s="33">
        <f>IF(AD82&lt;=0.005,0,AD82-MIN(AD82,MAX(0,$E82-SUMIFS(H82:AK82,$H$5:$AK$5,"Rem",$H$4:$AK$4,"&lt;"&amp;AE$4))))</f>
        <v/>
      </c>
      <c r="AF82" s="33">
        <f>AH81*(1+N(Debts!$D$14)/1200)</f>
        <v/>
      </c>
      <c r="AG82" s="33">
        <f>AF82-MIN(N(Debts!$E$14),AF82)</f>
        <v/>
      </c>
      <c r="AH82" s="33">
        <f>IF(AG82&lt;=0.005,0,AG82-MIN(AG82,MAX(0,$E82-SUMIFS(H82:AK82,$H$5:$AK$5,"Rem",$H$4:$AK$4,"&lt;"&amp;AH$4))))</f>
        <v/>
      </c>
      <c r="AI82" s="33">
        <f>AK81*(1+N(Debts!$D$15)/1200)</f>
        <v/>
      </c>
      <c r="AJ82" s="33">
        <f>AI82-MIN(N(Debts!$E$15),AI82)</f>
        <v/>
      </c>
      <c r="AK82" s="33">
        <f>IF(AJ82&lt;=0.005,0,AJ82-MIN(AJ82,MAX(0,$E82-SUMIFS(H82:AK82,$H$5:$AK$5,"Rem",$H$4:$AK$4,"&lt;"&amp;AK$4))))</f>
        <v/>
      </c>
      <c r="AL82" s="1" t="n"/>
    </row>
    <row r="83">
      <c r="A83" s="1" t="n"/>
      <c r="B83" s="1" t="n">
        <v>76</v>
      </c>
      <c r="C83" s="34">
        <f>EDATE(Debts!$J$13,B83-1)</f>
        <v/>
      </c>
      <c r="D83" s="33">
        <f>IF(G82&lt;=0.005,0,Debts!$E$16+Debts!$J$7)</f>
        <v/>
      </c>
      <c r="E83" s="33">
        <f>MAX(0,D83-(SUMIF($H$5:$AK$5,"Due",H83:AK83)-SUMIF($H$5:$AK$5,"Rem",H83:AK83)))</f>
        <v/>
      </c>
      <c r="F83" s="33">
        <f>SUMIF($H$5:$AK$5,"Due",H83:AK83)-SUMIF($H$5:$AK$5,"Bal",H82:AK82)</f>
        <v/>
      </c>
      <c r="G83" s="33">
        <f>SUMIF($H$5:$AK$5,"Bal",H83:AK83)</f>
        <v/>
      </c>
      <c r="H83" s="33">
        <f>J82*(1+N(Debts!$D$6)/1200)</f>
        <v/>
      </c>
      <c r="I83" s="33">
        <f>H83-MIN(N(Debts!$E$6),H83)</f>
        <v/>
      </c>
      <c r="J83" s="33">
        <f>IF(I83&lt;=0.005,0,I83-MIN(I83,MAX(0,$E83-SUMIFS(H83:AK83,$H$5:$AK$5,"Rem",$H$4:$AK$4,"&lt;"&amp;J$4))))</f>
        <v/>
      </c>
      <c r="K83" s="33">
        <f>M82*(1+N(Debts!$D$7)/1200)</f>
        <v/>
      </c>
      <c r="L83" s="33">
        <f>K83-MIN(N(Debts!$E$7),K83)</f>
        <v/>
      </c>
      <c r="M83" s="33">
        <f>IF(L83&lt;=0.005,0,L83-MIN(L83,MAX(0,$E83-SUMIFS(H83:AK83,$H$5:$AK$5,"Rem",$H$4:$AK$4,"&lt;"&amp;M$4))))</f>
        <v/>
      </c>
      <c r="N83" s="33">
        <f>P82*(1+N(Debts!$D$8)/1200)</f>
        <v/>
      </c>
      <c r="O83" s="33">
        <f>N83-MIN(N(Debts!$E$8),N83)</f>
        <v/>
      </c>
      <c r="P83" s="33">
        <f>IF(O83&lt;=0.005,0,O83-MIN(O83,MAX(0,$E83-SUMIFS(H83:AK83,$H$5:$AK$5,"Rem",$H$4:$AK$4,"&lt;"&amp;P$4))))</f>
        <v/>
      </c>
      <c r="Q83" s="33">
        <f>S82*(1+N(Debts!$D$9)/1200)</f>
        <v/>
      </c>
      <c r="R83" s="33">
        <f>Q83-MIN(N(Debts!$E$9),Q83)</f>
        <v/>
      </c>
      <c r="S83" s="33">
        <f>IF(R83&lt;=0.005,0,R83-MIN(R83,MAX(0,$E83-SUMIFS(H83:AK83,$H$5:$AK$5,"Rem",$H$4:$AK$4,"&lt;"&amp;S$4))))</f>
        <v/>
      </c>
      <c r="T83" s="33">
        <f>V82*(1+N(Debts!$D$10)/1200)</f>
        <v/>
      </c>
      <c r="U83" s="33">
        <f>T83-MIN(N(Debts!$E$10),T83)</f>
        <v/>
      </c>
      <c r="V83" s="33">
        <f>IF(U83&lt;=0.005,0,U83-MIN(U83,MAX(0,$E83-SUMIFS(H83:AK83,$H$5:$AK$5,"Rem",$H$4:$AK$4,"&lt;"&amp;V$4))))</f>
        <v/>
      </c>
      <c r="W83" s="33">
        <f>Y82*(1+N(Debts!$D$11)/1200)</f>
        <v/>
      </c>
      <c r="X83" s="33">
        <f>W83-MIN(N(Debts!$E$11),W83)</f>
        <v/>
      </c>
      <c r="Y83" s="33">
        <f>IF(X83&lt;=0.005,0,X83-MIN(X83,MAX(0,$E83-SUMIFS(H83:AK83,$H$5:$AK$5,"Rem",$H$4:$AK$4,"&lt;"&amp;Y$4))))</f>
        <v/>
      </c>
      <c r="Z83" s="33">
        <f>AB82*(1+N(Debts!$D$12)/1200)</f>
        <v/>
      </c>
      <c r="AA83" s="33">
        <f>Z83-MIN(N(Debts!$E$12),Z83)</f>
        <v/>
      </c>
      <c r="AB83" s="33">
        <f>IF(AA83&lt;=0.005,0,AA83-MIN(AA83,MAX(0,$E83-SUMIFS(H83:AK83,$H$5:$AK$5,"Rem",$H$4:$AK$4,"&lt;"&amp;AB$4))))</f>
        <v/>
      </c>
      <c r="AC83" s="33">
        <f>AE82*(1+N(Debts!$D$13)/1200)</f>
        <v/>
      </c>
      <c r="AD83" s="33">
        <f>AC83-MIN(N(Debts!$E$13),AC83)</f>
        <v/>
      </c>
      <c r="AE83" s="33">
        <f>IF(AD83&lt;=0.005,0,AD83-MIN(AD83,MAX(0,$E83-SUMIFS(H83:AK83,$H$5:$AK$5,"Rem",$H$4:$AK$4,"&lt;"&amp;AE$4))))</f>
        <v/>
      </c>
      <c r="AF83" s="33">
        <f>AH82*(1+N(Debts!$D$14)/1200)</f>
        <v/>
      </c>
      <c r="AG83" s="33">
        <f>AF83-MIN(N(Debts!$E$14),AF83)</f>
        <v/>
      </c>
      <c r="AH83" s="33">
        <f>IF(AG83&lt;=0.005,0,AG83-MIN(AG83,MAX(0,$E83-SUMIFS(H83:AK83,$H$5:$AK$5,"Rem",$H$4:$AK$4,"&lt;"&amp;AH$4))))</f>
        <v/>
      </c>
      <c r="AI83" s="33">
        <f>AK82*(1+N(Debts!$D$15)/1200)</f>
        <v/>
      </c>
      <c r="AJ83" s="33">
        <f>AI83-MIN(N(Debts!$E$15),AI83)</f>
        <v/>
      </c>
      <c r="AK83" s="33">
        <f>IF(AJ83&lt;=0.005,0,AJ83-MIN(AJ83,MAX(0,$E83-SUMIFS(H83:AK83,$H$5:$AK$5,"Rem",$H$4:$AK$4,"&lt;"&amp;AK$4))))</f>
        <v/>
      </c>
      <c r="AL83" s="1" t="n"/>
    </row>
    <row r="84">
      <c r="A84" s="1" t="n"/>
      <c r="B84" s="1" t="n">
        <v>77</v>
      </c>
      <c r="C84" s="34">
        <f>EDATE(Debts!$J$13,B84-1)</f>
        <v/>
      </c>
      <c r="D84" s="33">
        <f>IF(G83&lt;=0.005,0,Debts!$E$16+Debts!$J$7)</f>
        <v/>
      </c>
      <c r="E84" s="33">
        <f>MAX(0,D84-(SUMIF($H$5:$AK$5,"Due",H84:AK84)-SUMIF($H$5:$AK$5,"Rem",H84:AK84)))</f>
        <v/>
      </c>
      <c r="F84" s="33">
        <f>SUMIF($H$5:$AK$5,"Due",H84:AK84)-SUMIF($H$5:$AK$5,"Bal",H83:AK83)</f>
        <v/>
      </c>
      <c r="G84" s="33">
        <f>SUMIF($H$5:$AK$5,"Bal",H84:AK84)</f>
        <v/>
      </c>
      <c r="H84" s="33">
        <f>J83*(1+N(Debts!$D$6)/1200)</f>
        <v/>
      </c>
      <c r="I84" s="33">
        <f>H84-MIN(N(Debts!$E$6),H84)</f>
        <v/>
      </c>
      <c r="J84" s="33">
        <f>IF(I84&lt;=0.005,0,I84-MIN(I84,MAX(0,$E84-SUMIFS(H84:AK84,$H$5:$AK$5,"Rem",$H$4:$AK$4,"&lt;"&amp;J$4))))</f>
        <v/>
      </c>
      <c r="K84" s="33">
        <f>M83*(1+N(Debts!$D$7)/1200)</f>
        <v/>
      </c>
      <c r="L84" s="33">
        <f>K84-MIN(N(Debts!$E$7),K84)</f>
        <v/>
      </c>
      <c r="M84" s="33">
        <f>IF(L84&lt;=0.005,0,L84-MIN(L84,MAX(0,$E84-SUMIFS(H84:AK84,$H$5:$AK$5,"Rem",$H$4:$AK$4,"&lt;"&amp;M$4))))</f>
        <v/>
      </c>
      <c r="N84" s="33">
        <f>P83*(1+N(Debts!$D$8)/1200)</f>
        <v/>
      </c>
      <c r="O84" s="33">
        <f>N84-MIN(N(Debts!$E$8),N84)</f>
        <v/>
      </c>
      <c r="P84" s="33">
        <f>IF(O84&lt;=0.005,0,O84-MIN(O84,MAX(0,$E84-SUMIFS(H84:AK84,$H$5:$AK$5,"Rem",$H$4:$AK$4,"&lt;"&amp;P$4))))</f>
        <v/>
      </c>
      <c r="Q84" s="33">
        <f>S83*(1+N(Debts!$D$9)/1200)</f>
        <v/>
      </c>
      <c r="R84" s="33">
        <f>Q84-MIN(N(Debts!$E$9),Q84)</f>
        <v/>
      </c>
      <c r="S84" s="33">
        <f>IF(R84&lt;=0.005,0,R84-MIN(R84,MAX(0,$E84-SUMIFS(H84:AK84,$H$5:$AK$5,"Rem",$H$4:$AK$4,"&lt;"&amp;S$4))))</f>
        <v/>
      </c>
      <c r="T84" s="33">
        <f>V83*(1+N(Debts!$D$10)/1200)</f>
        <v/>
      </c>
      <c r="U84" s="33">
        <f>T84-MIN(N(Debts!$E$10),T84)</f>
        <v/>
      </c>
      <c r="V84" s="33">
        <f>IF(U84&lt;=0.005,0,U84-MIN(U84,MAX(0,$E84-SUMIFS(H84:AK84,$H$5:$AK$5,"Rem",$H$4:$AK$4,"&lt;"&amp;V$4))))</f>
        <v/>
      </c>
      <c r="W84" s="33">
        <f>Y83*(1+N(Debts!$D$11)/1200)</f>
        <v/>
      </c>
      <c r="X84" s="33">
        <f>W84-MIN(N(Debts!$E$11),W84)</f>
        <v/>
      </c>
      <c r="Y84" s="33">
        <f>IF(X84&lt;=0.005,0,X84-MIN(X84,MAX(0,$E84-SUMIFS(H84:AK84,$H$5:$AK$5,"Rem",$H$4:$AK$4,"&lt;"&amp;Y$4))))</f>
        <v/>
      </c>
      <c r="Z84" s="33">
        <f>AB83*(1+N(Debts!$D$12)/1200)</f>
        <v/>
      </c>
      <c r="AA84" s="33">
        <f>Z84-MIN(N(Debts!$E$12),Z84)</f>
        <v/>
      </c>
      <c r="AB84" s="33">
        <f>IF(AA84&lt;=0.005,0,AA84-MIN(AA84,MAX(0,$E84-SUMIFS(H84:AK84,$H$5:$AK$5,"Rem",$H$4:$AK$4,"&lt;"&amp;AB$4))))</f>
        <v/>
      </c>
      <c r="AC84" s="33">
        <f>AE83*(1+N(Debts!$D$13)/1200)</f>
        <v/>
      </c>
      <c r="AD84" s="33">
        <f>AC84-MIN(N(Debts!$E$13),AC84)</f>
        <v/>
      </c>
      <c r="AE84" s="33">
        <f>IF(AD84&lt;=0.005,0,AD84-MIN(AD84,MAX(0,$E84-SUMIFS(H84:AK84,$H$5:$AK$5,"Rem",$H$4:$AK$4,"&lt;"&amp;AE$4))))</f>
        <v/>
      </c>
      <c r="AF84" s="33">
        <f>AH83*(1+N(Debts!$D$14)/1200)</f>
        <v/>
      </c>
      <c r="AG84" s="33">
        <f>AF84-MIN(N(Debts!$E$14),AF84)</f>
        <v/>
      </c>
      <c r="AH84" s="33">
        <f>IF(AG84&lt;=0.005,0,AG84-MIN(AG84,MAX(0,$E84-SUMIFS(H84:AK84,$H$5:$AK$5,"Rem",$H$4:$AK$4,"&lt;"&amp;AH$4))))</f>
        <v/>
      </c>
      <c r="AI84" s="33">
        <f>AK83*(1+N(Debts!$D$15)/1200)</f>
        <v/>
      </c>
      <c r="AJ84" s="33">
        <f>AI84-MIN(N(Debts!$E$15),AI84)</f>
        <v/>
      </c>
      <c r="AK84" s="33">
        <f>IF(AJ84&lt;=0.005,0,AJ84-MIN(AJ84,MAX(0,$E84-SUMIFS(H84:AK84,$H$5:$AK$5,"Rem",$H$4:$AK$4,"&lt;"&amp;AK$4))))</f>
        <v/>
      </c>
      <c r="AL84" s="1" t="n"/>
    </row>
    <row r="85">
      <c r="A85" s="1" t="n"/>
      <c r="B85" s="1" t="n">
        <v>78</v>
      </c>
      <c r="C85" s="34">
        <f>EDATE(Debts!$J$13,B85-1)</f>
        <v/>
      </c>
      <c r="D85" s="33">
        <f>IF(G84&lt;=0.005,0,Debts!$E$16+Debts!$J$7)</f>
        <v/>
      </c>
      <c r="E85" s="33">
        <f>MAX(0,D85-(SUMIF($H$5:$AK$5,"Due",H85:AK85)-SUMIF($H$5:$AK$5,"Rem",H85:AK85)))</f>
        <v/>
      </c>
      <c r="F85" s="33">
        <f>SUMIF($H$5:$AK$5,"Due",H85:AK85)-SUMIF($H$5:$AK$5,"Bal",H84:AK84)</f>
        <v/>
      </c>
      <c r="G85" s="33">
        <f>SUMIF($H$5:$AK$5,"Bal",H85:AK85)</f>
        <v/>
      </c>
      <c r="H85" s="33">
        <f>J84*(1+N(Debts!$D$6)/1200)</f>
        <v/>
      </c>
      <c r="I85" s="33">
        <f>H85-MIN(N(Debts!$E$6),H85)</f>
        <v/>
      </c>
      <c r="J85" s="33">
        <f>IF(I85&lt;=0.005,0,I85-MIN(I85,MAX(0,$E85-SUMIFS(H85:AK85,$H$5:$AK$5,"Rem",$H$4:$AK$4,"&lt;"&amp;J$4))))</f>
        <v/>
      </c>
      <c r="K85" s="33">
        <f>M84*(1+N(Debts!$D$7)/1200)</f>
        <v/>
      </c>
      <c r="L85" s="33">
        <f>K85-MIN(N(Debts!$E$7),K85)</f>
        <v/>
      </c>
      <c r="M85" s="33">
        <f>IF(L85&lt;=0.005,0,L85-MIN(L85,MAX(0,$E85-SUMIFS(H85:AK85,$H$5:$AK$5,"Rem",$H$4:$AK$4,"&lt;"&amp;M$4))))</f>
        <v/>
      </c>
      <c r="N85" s="33">
        <f>P84*(1+N(Debts!$D$8)/1200)</f>
        <v/>
      </c>
      <c r="O85" s="33">
        <f>N85-MIN(N(Debts!$E$8),N85)</f>
        <v/>
      </c>
      <c r="P85" s="33">
        <f>IF(O85&lt;=0.005,0,O85-MIN(O85,MAX(0,$E85-SUMIFS(H85:AK85,$H$5:$AK$5,"Rem",$H$4:$AK$4,"&lt;"&amp;P$4))))</f>
        <v/>
      </c>
      <c r="Q85" s="33">
        <f>S84*(1+N(Debts!$D$9)/1200)</f>
        <v/>
      </c>
      <c r="R85" s="33">
        <f>Q85-MIN(N(Debts!$E$9),Q85)</f>
        <v/>
      </c>
      <c r="S85" s="33">
        <f>IF(R85&lt;=0.005,0,R85-MIN(R85,MAX(0,$E85-SUMIFS(H85:AK85,$H$5:$AK$5,"Rem",$H$4:$AK$4,"&lt;"&amp;S$4))))</f>
        <v/>
      </c>
      <c r="T85" s="33">
        <f>V84*(1+N(Debts!$D$10)/1200)</f>
        <v/>
      </c>
      <c r="U85" s="33">
        <f>T85-MIN(N(Debts!$E$10),T85)</f>
        <v/>
      </c>
      <c r="V85" s="33">
        <f>IF(U85&lt;=0.005,0,U85-MIN(U85,MAX(0,$E85-SUMIFS(H85:AK85,$H$5:$AK$5,"Rem",$H$4:$AK$4,"&lt;"&amp;V$4))))</f>
        <v/>
      </c>
      <c r="W85" s="33">
        <f>Y84*(1+N(Debts!$D$11)/1200)</f>
        <v/>
      </c>
      <c r="X85" s="33">
        <f>W85-MIN(N(Debts!$E$11),W85)</f>
        <v/>
      </c>
      <c r="Y85" s="33">
        <f>IF(X85&lt;=0.005,0,X85-MIN(X85,MAX(0,$E85-SUMIFS(H85:AK85,$H$5:$AK$5,"Rem",$H$4:$AK$4,"&lt;"&amp;Y$4))))</f>
        <v/>
      </c>
      <c r="Z85" s="33">
        <f>AB84*(1+N(Debts!$D$12)/1200)</f>
        <v/>
      </c>
      <c r="AA85" s="33">
        <f>Z85-MIN(N(Debts!$E$12),Z85)</f>
        <v/>
      </c>
      <c r="AB85" s="33">
        <f>IF(AA85&lt;=0.005,0,AA85-MIN(AA85,MAX(0,$E85-SUMIFS(H85:AK85,$H$5:$AK$5,"Rem",$H$4:$AK$4,"&lt;"&amp;AB$4))))</f>
        <v/>
      </c>
      <c r="AC85" s="33">
        <f>AE84*(1+N(Debts!$D$13)/1200)</f>
        <v/>
      </c>
      <c r="AD85" s="33">
        <f>AC85-MIN(N(Debts!$E$13),AC85)</f>
        <v/>
      </c>
      <c r="AE85" s="33">
        <f>IF(AD85&lt;=0.005,0,AD85-MIN(AD85,MAX(0,$E85-SUMIFS(H85:AK85,$H$5:$AK$5,"Rem",$H$4:$AK$4,"&lt;"&amp;AE$4))))</f>
        <v/>
      </c>
      <c r="AF85" s="33">
        <f>AH84*(1+N(Debts!$D$14)/1200)</f>
        <v/>
      </c>
      <c r="AG85" s="33">
        <f>AF85-MIN(N(Debts!$E$14),AF85)</f>
        <v/>
      </c>
      <c r="AH85" s="33">
        <f>IF(AG85&lt;=0.005,0,AG85-MIN(AG85,MAX(0,$E85-SUMIFS(H85:AK85,$H$5:$AK$5,"Rem",$H$4:$AK$4,"&lt;"&amp;AH$4))))</f>
        <v/>
      </c>
      <c r="AI85" s="33">
        <f>AK84*(1+N(Debts!$D$15)/1200)</f>
        <v/>
      </c>
      <c r="AJ85" s="33">
        <f>AI85-MIN(N(Debts!$E$15),AI85)</f>
        <v/>
      </c>
      <c r="AK85" s="33">
        <f>IF(AJ85&lt;=0.005,0,AJ85-MIN(AJ85,MAX(0,$E85-SUMIFS(H85:AK85,$H$5:$AK$5,"Rem",$H$4:$AK$4,"&lt;"&amp;AK$4))))</f>
        <v/>
      </c>
      <c r="AL85" s="1" t="n"/>
    </row>
    <row r="86">
      <c r="A86" s="1" t="n"/>
      <c r="B86" s="1" t="n">
        <v>79</v>
      </c>
      <c r="C86" s="34">
        <f>EDATE(Debts!$J$13,B86-1)</f>
        <v/>
      </c>
      <c r="D86" s="33">
        <f>IF(G85&lt;=0.005,0,Debts!$E$16+Debts!$J$7)</f>
        <v/>
      </c>
      <c r="E86" s="33">
        <f>MAX(0,D86-(SUMIF($H$5:$AK$5,"Due",H86:AK86)-SUMIF($H$5:$AK$5,"Rem",H86:AK86)))</f>
        <v/>
      </c>
      <c r="F86" s="33">
        <f>SUMIF($H$5:$AK$5,"Due",H86:AK86)-SUMIF($H$5:$AK$5,"Bal",H85:AK85)</f>
        <v/>
      </c>
      <c r="G86" s="33">
        <f>SUMIF($H$5:$AK$5,"Bal",H86:AK86)</f>
        <v/>
      </c>
      <c r="H86" s="33">
        <f>J85*(1+N(Debts!$D$6)/1200)</f>
        <v/>
      </c>
      <c r="I86" s="33">
        <f>H86-MIN(N(Debts!$E$6),H86)</f>
        <v/>
      </c>
      <c r="J86" s="33">
        <f>IF(I86&lt;=0.005,0,I86-MIN(I86,MAX(0,$E86-SUMIFS(H86:AK86,$H$5:$AK$5,"Rem",$H$4:$AK$4,"&lt;"&amp;J$4))))</f>
        <v/>
      </c>
      <c r="K86" s="33">
        <f>M85*(1+N(Debts!$D$7)/1200)</f>
        <v/>
      </c>
      <c r="L86" s="33">
        <f>K86-MIN(N(Debts!$E$7),K86)</f>
        <v/>
      </c>
      <c r="M86" s="33">
        <f>IF(L86&lt;=0.005,0,L86-MIN(L86,MAX(0,$E86-SUMIFS(H86:AK86,$H$5:$AK$5,"Rem",$H$4:$AK$4,"&lt;"&amp;M$4))))</f>
        <v/>
      </c>
      <c r="N86" s="33">
        <f>P85*(1+N(Debts!$D$8)/1200)</f>
        <v/>
      </c>
      <c r="O86" s="33">
        <f>N86-MIN(N(Debts!$E$8),N86)</f>
        <v/>
      </c>
      <c r="P86" s="33">
        <f>IF(O86&lt;=0.005,0,O86-MIN(O86,MAX(0,$E86-SUMIFS(H86:AK86,$H$5:$AK$5,"Rem",$H$4:$AK$4,"&lt;"&amp;P$4))))</f>
        <v/>
      </c>
      <c r="Q86" s="33">
        <f>S85*(1+N(Debts!$D$9)/1200)</f>
        <v/>
      </c>
      <c r="R86" s="33">
        <f>Q86-MIN(N(Debts!$E$9),Q86)</f>
        <v/>
      </c>
      <c r="S86" s="33">
        <f>IF(R86&lt;=0.005,0,R86-MIN(R86,MAX(0,$E86-SUMIFS(H86:AK86,$H$5:$AK$5,"Rem",$H$4:$AK$4,"&lt;"&amp;S$4))))</f>
        <v/>
      </c>
      <c r="T86" s="33">
        <f>V85*(1+N(Debts!$D$10)/1200)</f>
        <v/>
      </c>
      <c r="U86" s="33">
        <f>T86-MIN(N(Debts!$E$10),T86)</f>
        <v/>
      </c>
      <c r="V86" s="33">
        <f>IF(U86&lt;=0.005,0,U86-MIN(U86,MAX(0,$E86-SUMIFS(H86:AK86,$H$5:$AK$5,"Rem",$H$4:$AK$4,"&lt;"&amp;V$4))))</f>
        <v/>
      </c>
      <c r="W86" s="33">
        <f>Y85*(1+N(Debts!$D$11)/1200)</f>
        <v/>
      </c>
      <c r="X86" s="33">
        <f>W86-MIN(N(Debts!$E$11),W86)</f>
        <v/>
      </c>
      <c r="Y86" s="33">
        <f>IF(X86&lt;=0.005,0,X86-MIN(X86,MAX(0,$E86-SUMIFS(H86:AK86,$H$5:$AK$5,"Rem",$H$4:$AK$4,"&lt;"&amp;Y$4))))</f>
        <v/>
      </c>
      <c r="Z86" s="33">
        <f>AB85*(1+N(Debts!$D$12)/1200)</f>
        <v/>
      </c>
      <c r="AA86" s="33">
        <f>Z86-MIN(N(Debts!$E$12),Z86)</f>
        <v/>
      </c>
      <c r="AB86" s="33">
        <f>IF(AA86&lt;=0.005,0,AA86-MIN(AA86,MAX(0,$E86-SUMIFS(H86:AK86,$H$5:$AK$5,"Rem",$H$4:$AK$4,"&lt;"&amp;AB$4))))</f>
        <v/>
      </c>
      <c r="AC86" s="33">
        <f>AE85*(1+N(Debts!$D$13)/1200)</f>
        <v/>
      </c>
      <c r="AD86" s="33">
        <f>AC86-MIN(N(Debts!$E$13),AC86)</f>
        <v/>
      </c>
      <c r="AE86" s="33">
        <f>IF(AD86&lt;=0.005,0,AD86-MIN(AD86,MAX(0,$E86-SUMIFS(H86:AK86,$H$5:$AK$5,"Rem",$H$4:$AK$4,"&lt;"&amp;AE$4))))</f>
        <v/>
      </c>
      <c r="AF86" s="33">
        <f>AH85*(1+N(Debts!$D$14)/1200)</f>
        <v/>
      </c>
      <c r="AG86" s="33">
        <f>AF86-MIN(N(Debts!$E$14),AF86)</f>
        <v/>
      </c>
      <c r="AH86" s="33">
        <f>IF(AG86&lt;=0.005,0,AG86-MIN(AG86,MAX(0,$E86-SUMIFS(H86:AK86,$H$5:$AK$5,"Rem",$H$4:$AK$4,"&lt;"&amp;AH$4))))</f>
        <v/>
      </c>
      <c r="AI86" s="33">
        <f>AK85*(1+N(Debts!$D$15)/1200)</f>
        <v/>
      </c>
      <c r="AJ86" s="33">
        <f>AI86-MIN(N(Debts!$E$15),AI86)</f>
        <v/>
      </c>
      <c r="AK86" s="33">
        <f>IF(AJ86&lt;=0.005,0,AJ86-MIN(AJ86,MAX(0,$E86-SUMIFS(H86:AK86,$H$5:$AK$5,"Rem",$H$4:$AK$4,"&lt;"&amp;AK$4))))</f>
        <v/>
      </c>
      <c r="AL86" s="1" t="n"/>
    </row>
    <row r="87">
      <c r="A87" s="1" t="n"/>
      <c r="B87" s="1" t="n">
        <v>80</v>
      </c>
      <c r="C87" s="34">
        <f>EDATE(Debts!$J$13,B87-1)</f>
        <v/>
      </c>
      <c r="D87" s="33">
        <f>IF(G86&lt;=0.005,0,Debts!$E$16+Debts!$J$7)</f>
        <v/>
      </c>
      <c r="E87" s="33">
        <f>MAX(0,D87-(SUMIF($H$5:$AK$5,"Due",H87:AK87)-SUMIF($H$5:$AK$5,"Rem",H87:AK87)))</f>
        <v/>
      </c>
      <c r="F87" s="33">
        <f>SUMIF($H$5:$AK$5,"Due",H87:AK87)-SUMIF($H$5:$AK$5,"Bal",H86:AK86)</f>
        <v/>
      </c>
      <c r="G87" s="33">
        <f>SUMIF($H$5:$AK$5,"Bal",H87:AK87)</f>
        <v/>
      </c>
      <c r="H87" s="33">
        <f>J86*(1+N(Debts!$D$6)/1200)</f>
        <v/>
      </c>
      <c r="I87" s="33">
        <f>H87-MIN(N(Debts!$E$6),H87)</f>
        <v/>
      </c>
      <c r="J87" s="33">
        <f>IF(I87&lt;=0.005,0,I87-MIN(I87,MAX(0,$E87-SUMIFS(H87:AK87,$H$5:$AK$5,"Rem",$H$4:$AK$4,"&lt;"&amp;J$4))))</f>
        <v/>
      </c>
      <c r="K87" s="33">
        <f>M86*(1+N(Debts!$D$7)/1200)</f>
        <v/>
      </c>
      <c r="L87" s="33">
        <f>K87-MIN(N(Debts!$E$7),K87)</f>
        <v/>
      </c>
      <c r="M87" s="33">
        <f>IF(L87&lt;=0.005,0,L87-MIN(L87,MAX(0,$E87-SUMIFS(H87:AK87,$H$5:$AK$5,"Rem",$H$4:$AK$4,"&lt;"&amp;M$4))))</f>
        <v/>
      </c>
      <c r="N87" s="33">
        <f>P86*(1+N(Debts!$D$8)/1200)</f>
        <v/>
      </c>
      <c r="O87" s="33">
        <f>N87-MIN(N(Debts!$E$8),N87)</f>
        <v/>
      </c>
      <c r="P87" s="33">
        <f>IF(O87&lt;=0.005,0,O87-MIN(O87,MAX(0,$E87-SUMIFS(H87:AK87,$H$5:$AK$5,"Rem",$H$4:$AK$4,"&lt;"&amp;P$4))))</f>
        <v/>
      </c>
      <c r="Q87" s="33">
        <f>S86*(1+N(Debts!$D$9)/1200)</f>
        <v/>
      </c>
      <c r="R87" s="33">
        <f>Q87-MIN(N(Debts!$E$9),Q87)</f>
        <v/>
      </c>
      <c r="S87" s="33">
        <f>IF(R87&lt;=0.005,0,R87-MIN(R87,MAX(0,$E87-SUMIFS(H87:AK87,$H$5:$AK$5,"Rem",$H$4:$AK$4,"&lt;"&amp;S$4))))</f>
        <v/>
      </c>
      <c r="T87" s="33">
        <f>V86*(1+N(Debts!$D$10)/1200)</f>
        <v/>
      </c>
      <c r="U87" s="33">
        <f>T87-MIN(N(Debts!$E$10),T87)</f>
        <v/>
      </c>
      <c r="V87" s="33">
        <f>IF(U87&lt;=0.005,0,U87-MIN(U87,MAX(0,$E87-SUMIFS(H87:AK87,$H$5:$AK$5,"Rem",$H$4:$AK$4,"&lt;"&amp;V$4))))</f>
        <v/>
      </c>
      <c r="W87" s="33">
        <f>Y86*(1+N(Debts!$D$11)/1200)</f>
        <v/>
      </c>
      <c r="X87" s="33">
        <f>W87-MIN(N(Debts!$E$11),W87)</f>
        <v/>
      </c>
      <c r="Y87" s="33">
        <f>IF(X87&lt;=0.005,0,X87-MIN(X87,MAX(0,$E87-SUMIFS(H87:AK87,$H$5:$AK$5,"Rem",$H$4:$AK$4,"&lt;"&amp;Y$4))))</f>
        <v/>
      </c>
      <c r="Z87" s="33">
        <f>AB86*(1+N(Debts!$D$12)/1200)</f>
        <v/>
      </c>
      <c r="AA87" s="33">
        <f>Z87-MIN(N(Debts!$E$12),Z87)</f>
        <v/>
      </c>
      <c r="AB87" s="33">
        <f>IF(AA87&lt;=0.005,0,AA87-MIN(AA87,MAX(0,$E87-SUMIFS(H87:AK87,$H$5:$AK$5,"Rem",$H$4:$AK$4,"&lt;"&amp;AB$4))))</f>
        <v/>
      </c>
      <c r="AC87" s="33">
        <f>AE86*(1+N(Debts!$D$13)/1200)</f>
        <v/>
      </c>
      <c r="AD87" s="33">
        <f>AC87-MIN(N(Debts!$E$13),AC87)</f>
        <v/>
      </c>
      <c r="AE87" s="33">
        <f>IF(AD87&lt;=0.005,0,AD87-MIN(AD87,MAX(0,$E87-SUMIFS(H87:AK87,$H$5:$AK$5,"Rem",$H$4:$AK$4,"&lt;"&amp;AE$4))))</f>
        <v/>
      </c>
      <c r="AF87" s="33">
        <f>AH86*(1+N(Debts!$D$14)/1200)</f>
        <v/>
      </c>
      <c r="AG87" s="33">
        <f>AF87-MIN(N(Debts!$E$14),AF87)</f>
        <v/>
      </c>
      <c r="AH87" s="33">
        <f>IF(AG87&lt;=0.005,0,AG87-MIN(AG87,MAX(0,$E87-SUMIFS(H87:AK87,$H$5:$AK$5,"Rem",$H$4:$AK$4,"&lt;"&amp;AH$4))))</f>
        <v/>
      </c>
      <c r="AI87" s="33">
        <f>AK86*(1+N(Debts!$D$15)/1200)</f>
        <v/>
      </c>
      <c r="AJ87" s="33">
        <f>AI87-MIN(N(Debts!$E$15),AI87)</f>
        <v/>
      </c>
      <c r="AK87" s="33">
        <f>IF(AJ87&lt;=0.005,0,AJ87-MIN(AJ87,MAX(0,$E87-SUMIFS(H87:AK87,$H$5:$AK$5,"Rem",$H$4:$AK$4,"&lt;"&amp;AK$4))))</f>
        <v/>
      </c>
      <c r="AL87" s="1" t="n"/>
    </row>
    <row r="88">
      <c r="A88" s="1" t="n"/>
      <c r="B88" s="1" t="n">
        <v>81</v>
      </c>
      <c r="C88" s="34">
        <f>EDATE(Debts!$J$13,B88-1)</f>
        <v/>
      </c>
      <c r="D88" s="33">
        <f>IF(G87&lt;=0.005,0,Debts!$E$16+Debts!$J$7)</f>
        <v/>
      </c>
      <c r="E88" s="33">
        <f>MAX(0,D88-(SUMIF($H$5:$AK$5,"Due",H88:AK88)-SUMIF($H$5:$AK$5,"Rem",H88:AK88)))</f>
        <v/>
      </c>
      <c r="F88" s="33">
        <f>SUMIF($H$5:$AK$5,"Due",H88:AK88)-SUMIF($H$5:$AK$5,"Bal",H87:AK87)</f>
        <v/>
      </c>
      <c r="G88" s="33">
        <f>SUMIF($H$5:$AK$5,"Bal",H88:AK88)</f>
        <v/>
      </c>
      <c r="H88" s="33">
        <f>J87*(1+N(Debts!$D$6)/1200)</f>
        <v/>
      </c>
      <c r="I88" s="33">
        <f>H88-MIN(N(Debts!$E$6),H88)</f>
        <v/>
      </c>
      <c r="J88" s="33">
        <f>IF(I88&lt;=0.005,0,I88-MIN(I88,MAX(0,$E88-SUMIFS(H88:AK88,$H$5:$AK$5,"Rem",$H$4:$AK$4,"&lt;"&amp;J$4))))</f>
        <v/>
      </c>
      <c r="K88" s="33">
        <f>M87*(1+N(Debts!$D$7)/1200)</f>
        <v/>
      </c>
      <c r="L88" s="33">
        <f>K88-MIN(N(Debts!$E$7),K88)</f>
        <v/>
      </c>
      <c r="M88" s="33">
        <f>IF(L88&lt;=0.005,0,L88-MIN(L88,MAX(0,$E88-SUMIFS(H88:AK88,$H$5:$AK$5,"Rem",$H$4:$AK$4,"&lt;"&amp;M$4))))</f>
        <v/>
      </c>
      <c r="N88" s="33">
        <f>P87*(1+N(Debts!$D$8)/1200)</f>
        <v/>
      </c>
      <c r="O88" s="33">
        <f>N88-MIN(N(Debts!$E$8),N88)</f>
        <v/>
      </c>
      <c r="P88" s="33">
        <f>IF(O88&lt;=0.005,0,O88-MIN(O88,MAX(0,$E88-SUMIFS(H88:AK88,$H$5:$AK$5,"Rem",$H$4:$AK$4,"&lt;"&amp;P$4))))</f>
        <v/>
      </c>
      <c r="Q88" s="33">
        <f>S87*(1+N(Debts!$D$9)/1200)</f>
        <v/>
      </c>
      <c r="R88" s="33">
        <f>Q88-MIN(N(Debts!$E$9),Q88)</f>
        <v/>
      </c>
      <c r="S88" s="33">
        <f>IF(R88&lt;=0.005,0,R88-MIN(R88,MAX(0,$E88-SUMIFS(H88:AK88,$H$5:$AK$5,"Rem",$H$4:$AK$4,"&lt;"&amp;S$4))))</f>
        <v/>
      </c>
      <c r="T88" s="33">
        <f>V87*(1+N(Debts!$D$10)/1200)</f>
        <v/>
      </c>
      <c r="U88" s="33">
        <f>T88-MIN(N(Debts!$E$10),T88)</f>
        <v/>
      </c>
      <c r="V88" s="33">
        <f>IF(U88&lt;=0.005,0,U88-MIN(U88,MAX(0,$E88-SUMIFS(H88:AK88,$H$5:$AK$5,"Rem",$H$4:$AK$4,"&lt;"&amp;V$4))))</f>
        <v/>
      </c>
      <c r="W88" s="33">
        <f>Y87*(1+N(Debts!$D$11)/1200)</f>
        <v/>
      </c>
      <c r="X88" s="33">
        <f>W88-MIN(N(Debts!$E$11),W88)</f>
        <v/>
      </c>
      <c r="Y88" s="33">
        <f>IF(X88&lt;=0.005,0,X88-MIN(X88,MAX(0,$E88-SUMIFS(H88:AK88,$H$5:$AK$5,"Rem",$H$4:$AK$4,"&lt;"&amp;Y$4))))</f>
        <v/>
      </c>
      <c r="Z88" s="33">
        <f>AB87*(1+N(Debts!$D$12)/1200)</f>
        <v/>
      </c>
      <c r="AA88" s="33">
        <f>Z88-MIN(N(Debts!$E$12),Z88)</f>
        <v/>
      </c>
      <c r="AB88" s="33">
        <f>IF(AA88&lt;=0.005,0,AA88-MIN(AA88,MAX(0,$E88-SUMIFS(H88:AK88,$H$5:$AK$5,"Rem",$H$4:$AK$4,"&lt;"&amp;AB$4))))</f>
        <v/>
      </c>
      <c r="AC88" s="33">
        <f>AE87*(1+N(Debts!$D$13)/1200)</f>
        <v/>
      </c>
      <c r="AD88" s="33">
        <f>AC88-MIN(N(Debts!$E$13),AC88)</f>
        <v/>
      </c>
      <c r="AE88" s="33">
        <f>IF(AD88&lt;=0.005,0,AD88-MIN(AD88,MAX(0,$E88-SUMIFS(H88:AK88,$H$5:$AK$5,"Rem",$H$4:$AK$4,"&lt;"&amp;AE$4))))</f>
        <v/>
      </c>
      <c r="AF88" s="33">
        <f>AH87*(1+N(Debts!$D$14)/1200)</f>
        <v/>
      </c>
      <c r="AG88" s="33">
        <f>AF88-MIN(N(Debts!$E$14),AF88)</f>
        <v/>
      </c>
      <c r="AH88" s="33">
        <f>IF(AG88&lt;=0.005,0,AG88-MIN(AG88,MAX(0,$E88-SUMIFS(H88:AK88,$H$5:$AK$5,"Rem",$H$4:$AK$4,"&lt;"&amp;AH$4))))</f>
        <v/>
      </c>
      <c r="AI88" s="33">
        <f>AK87*(1+N(Debts!$D$15)/1200)</f>
        <v/>
      </c>
      <c r="AJ88" s="33">
        <f>AI88-MIN(N(Debts!$E$15),AI88)</f>
        <v/>
      </c>
      <c r="AK88" s="33">
        <f>IF(AJ88&lt;=0.005,0,AJ88-MIN(AJ88,MAX(0,$E88-SUMIFS(H88:AK88,$H$5:$AK$5,"Rem",$H$4:$AK$4,"&lt;"&amp;AK$4))))</f>
        <v/>
      </c>
      <c r="AL88" s="1" t="n"/>
    </row>
    <row r="89">
      <c r="A89" s="1" t="n"/>
      <c r="B89" s="1" t="n">
        <v>82</v>
      </c>
      <c r="C89" s="34">
        <f>EDATE(Debts!$J$13,B89-1)</f>
        <v/>
      </c>
      <c r="D89" s="33">
        <f>IF(G88&lt;=0.005,0,Debts!$E$16+Debts!$J$7)</f>
        <v/>
      </c>
      <c r="E89" s="33">
        <f>MAX(0,D89-(SUMIF($H$5:$AK$5,"Due",H89:AK89)-SUMIF($H$5:$AK$5,"Rem",H89:AK89)))</f>
        <v/>
      </c>
      <c r="F89" s="33">
        <f>SUMIF($H$5:$AK$5,"Due",H89:AK89)-SUMIF($H$5:$AK$5,"Bal",H88:AK88)</f>
        <v/>
      </c>
      <c r="G89" s="33">
        <f>SUMIF($H$5:$AK$5,"Bal",H89:AK89)</f>
        <v/>
      </c>
      <c r="H89" s="33">
        <f>J88*(1+N(Debts!$D$6)/1200)</f>
        <v/>
      </c>
      <c r="I89" s="33">
        <f>H89-MIN(N(Debts!$E$6),H89)</f>
        <v/>
      </c>
      <c r="J89" s="33">
        <f>IF(I89&lt;=0.005,0,I89-MIN(I89,MAX(0,$E89-SUMIFS(H89:AK89,$H$5:$AK$5,"Rem",$H$4:$AK$4,"&lt;"&amp;J$4))))</f>
        <v/>
      </c>
      <c r="K89" s="33">
        <f>M88*(1+N(Debts!$D$7)/1200)</f>
        <v/>
      </c>
      <c r="L89" s="33">
        <f>K89-MIN(N(Debts!$E$7),K89)</f>
        <v/>
      </c>
      <c r="M89" s="33">
        <f>IF(L89&lt;=0.005,0,L89-MIN(L89,MAX(0,$E89-SUMIFS(H89:AK89,$H$5:$AK$5,"Rem",$H$4:$AK$4,"&lt;"&amp;M$4))))</f>
        <v/>
      </c>
      <c r="N89" s="33">
        <f>P88*(1+N(Debts!$D$8)/1200)</f>
        <v/>
      </c>
      <c r="O89" s="33">
        <f>N89-MIN(N(Debts!$E$8),N89)</f>
        <v/>
      </c>
      <c r="P89" s="33">
        <f>IF(O89&lt;=0.005,0,O89-MIN(O89,MAX(0,$E89-SUMIFS(H89:AK89,$H$5:$AK$5,"Rem",$H$4:$AK$4,"&lt;"&amp;P$4))))</f>
        <v/>
      </c>
      <c r="Q89" s="33">
        <f>S88*(1+N(Debts!$D$9)/1200)</f>
        <v/>
      </c>
      <c r="R89" s="33">
        <f>Q89-MIN(N(Debts!$E$9),Q89)</f>
        <v/>
      </c>
      <c r="S89" s="33">
        <f>IF(R89&lt;=0.005,0,R89-MIN(R89,MAX(0,$E89-SUMIFS(H89:AK89,$H$5:$AK$5,"Rem",$H$4:$AK$4,"&lt;"&amp;S$4))))</f>
        <v/>
      </c>
      <c r="T89" s="33">
        <f>V88*(1+N(Debts!$D$10)/1200)</f>
        <v/>
      </c>
      <c r="U89" s="33">
        <f>T89-MIN(N(Debts!$E$10),T89)</f>
        <v/>
      </c>
      <c r="V89" s="33">
        <f>IF(U89&lt;=0.005,0,U89-MIN(U89,MAX(0,$E89-SUMIFS(H89:AK89,$H$5:$AK$5,"Rem",$H$4:$AK$4,"&lt;"&amp;V$4))))</f>
        <v/>
      </c>
      <c r="W89" s="33">
        <f>Y88*(1+N(Debts!$D$11)/1200)</f>
        <v/>
      </c>
      <c r="X89" s="33">
        <f>W89-MIN(N(Debts!$E$11),W89)</f>
        <v/>
      </c>
      <c r="Y89" s="33">
        <f>IF(X89&lt;=0.005,0,X89-MIN(X89,MAX(0,$E89-SUMIFS(H89:AK89,$H$5:$AK$5,"Rem",$H$4:$AK$4,"&lt;"&amp;Y$4))))</f>
        <v/>
      </c>
      <c r="Z89" s="33">
        <f>AB88*(1+N(Debts!$D$12)/1200)</f>
        <v/>
      </c>
      <c r="AA89" s="33">
        <f>Z89-MIN(N(Debts!$E$12),Z89)</f>
        <v/>
      </c>
      <c r="AB89" s="33">
        <f>IF(AA89&lt;=0.005,0,AA89-MIN(AA89,MAX(0,$E89-SUMIFS(H89:AK89,$H$5:$AK$5,"Rem",$H$4:$AK$4,"&lt;"&amp;AB$4))))</f>
        <v/>
      </c>
      <c r="AC89" s="33">
        <f>AE88*(1+N(Debts!$D$13)/1200)</f>
        <v/>
      </c>
      <c r="AD89" s="33">
        <f>AC89-MIN(N(Debts!$E$13),AC89)</f>
        <v/>
      </c>
      <c r="AE89" s="33">
        <f>IF(AD89&lt;=0.005,0,AD89-MIN(AD89,MAX(0,$E89-SUMIFS(H89:AK89,$H$5:$AK$5,"Rem",$H$4:$AK$4,"&lt;"&amp;AE$4))))</f>
        <v/>
      </c>
      <c r="AF89" s="33">
        <f>AH88*(1+N(Debts!$D$14)/1200)</f>
        <v/>
      </c>
      <c r="AG89" s="33">
        <f>AF89-MIN(N(Debts!$E$14),AF89)</f>
        <v/>
      </c>
      <c r="AH89" s="33">
        <f>IF(AG89&lt;=0.005,0,AG89-MIN(AG89,MAX(0,$E89-SUMIFS(H89:AK89,$H$5:$AK$5,"Rem",$H$4:$AK$4,"&lt;"&amp;AH$4))))</f>
        <v/>
      </c>
      <c r="AI89" s="33">
        <f>AK88*(1+N(Debts!$D$15)/1200)</f>
        <v/>
      </c>
      <c r="AJ89" s="33">
        <f>AI89-MIN(N(Debts!$E$15),AI89)</f>
        <v/>
      </c>
      <c r="AK89" s="33">
        <f>IF(AJ89&lt;=0.005,0,AJ89-MIN(AJ89,MAX(0,$E89-SUMIFS(H89:AK89,$H$5:$AK$5,"Rem",$H$4:$AK$4,"&lt;"&amp;AK$4))))</f>
        <v/>
      </c>
      <c r="AL89" s="1" t="n"/>
    </row>
    <row r="90">
      <c r="A90" s="1" t="n"/>
      <c r="B90" s="1" t="n">
        <v>83</v>
      </c>
      <c r="C90" s="34">
        <f>EDATE(Debts!$J$13,B90-1)</f>
        <v/>
      </c>
      <c r="D90" s="33">
        <f>IF(G89&lt;=0.005,0,Debts!$E$16+Debts!$J$7)</f>
        <v/>
      </c>
      <c r="E90" s="33">
        <f>MAX(0,D90-(SUMIF($H$5:$AK$5,"Due",H90:AK90)-SUMIF($H$5:$AK$5,"Rem",H90:AK90)))</f>
        <v/>
      </c>
      <c r="F90" s="33">
        <f>SUMIF($H$5:$AK$5,"Due",H90:AK90)-SUMIF($H$5:$AK$5,"Bal",H89:AK89)</f>
        <v/>
      </c>
      <c r="G90" s="33">
        <f>SUMIF($H$5:$AK$5,"Bal",H90:AK90)</f>
        <v/>
      </c>
      <c r="H90" s="33">
        <f>J89*(1+N(Debts!$D$6)/1200)</f>
        <v/>
      </c>
      <c r="I90" s="33">
        <f>H90-MIN(N(Debts!$E$6),H90)</f>
        <v/>
      </c>
      <c r="J90" s="33">
        <f>IF(I90&lt;=0.005,0,I90-MIN(I90,MAX(0,$E90-SUMIFS(H90:AK90,$H$5:$AK$5,"Rem",$H$4:$AK$4,"&lt;"&amp;J$4))))</f>
        <v/>
      </c>
      <c r="K90" s="33">
        <f>M89*(1+N(Debts!$D$7)/1200)</f>
        <v/>
      </c>
      <c r="L90" s="33">
        <f>K90-MIN(N(Debts!$E$7),K90)</f>
        <v/>
      </c>
      <c r="M90" s="33">
        <f>IF(L90&lt;=0.005,0,L90-MIN(L90,MAX(0,$E90-SUMIFS(H90:AK90,$H$5:$AK$5,"Rem",$H$4:$AK$4,"&lt;"&amp;M$4))))</f>
        <v/>
      </c>
      <c r="N90" s="33">
        <f>P89*(1+N(Debts!$D$8)/1200)</f>
        <v/>
      </c>
      <c r="O90" s="33">
        <f>N90-MIN(N(Debts!$E$8),N90)</f>
        <v/>
      </c>
      <c r="P90" s="33">
        <f>IF(O90&lt;=0.005,0,O90-MIN(O90,MAX(0,$E90-SUMIFS(H90:AK90,$H$5:$AK$5,"Rem",$H$4:$AK$4,"&lt;"&amp;P$4))))</f>
        <v/>
      </c>
      <c r="Q90" s="33">
        <f>S89*(1+N(Debts!$D$9)/1200)</f>
        <v/>
      </c>
      <c r="R90" s="33">
        <f>Q90-MIN(N(Debts!$E$9),Q90)</f>
        <v/>
      </c>
      <c r="S90" s="33">
        <f>IF(R90&lt;=0.005,0,R90-MIN(R90,MAX(0,$E90-SUMIFS(H90:AK90,$H$5:$AK$5,"Rem",$H$4:$AK$4,"&lt;"&amp;S$4))))</f>
        <v/>
      </c>
      <c r="T90" s="33">
        <f>V89*(1+N(Debts!$D$10)/1200)</f>
        <v/>
      </c>
      <c r="U90" s="33">
        <f>T90-MIN(N(Debts!$E$10),T90)</f>
        <v/>
      </c>
      <c r="V90" s="33">
        <f>IF(U90&lt;=0.005,0,U90-MIN(U90,MAX(0,$E90-SUMIFS(H90:AK90,$H$5:$AK$5,"Rem",$H$4:$AK$4,"&lt;"&amp;V$4))))</f>
        <v/>
      </c>
      <c r="W90" s="33">
        <f>Y89*(1+N(Debts!$D$11)/1200)</f>
        <v/>
      </c>
      <c r="X90" s="33">
        <f>W90-MIN(N(Debts!$E$11),W90)</f>
        <v/>
      </c>
      <c r="Y90" s="33">
        <f>IF(X90&lt;=0.005,0,X90-MIN(X90,MAX(0,$E90-SUMIFS(H90:AK90,$H$5:$AK$5,"Rem",$H$4:$AK$4,"&lt;"&amp;Y$4))))</f>
        <v/>
      </c>
      <c r="Z90" s="33">
        <f>AB89*(1+N(Debts!$D$12)/1200)</f>
        <v/>
      </c>
      <c r="AA90" s="33">
        <f>Z90-MIN(N(Debts!$E$12),Z90)</f>
        <v/>
      </c>
      <c r="AB90" s="33">
        <f>IF(AA90&lt;=0.005,0,AA90-MIN(AA90,MAX(0,$E90-SUMIFS(H90:AK90,$H$5:$AK$5,"Rem",$H$4:$AK$4,"&lt;"&amp;AB$4))))</f>
        <v/>
      </c>
      <c r="AC90" s="33">
        <f>AE89*(1+N(Debts!$D$13)/1200)</f>
        <v/>
      </c>
      <c r="AD90" s="33">
        <f>AC90-MIN(N(Debts!$E$13),AC90)</f>
        <v/>
      </c>
      <c r="AE90" s="33">
        <f>IF(AD90&lt;=0.005,0,AD90-MIN(AD90,MAX(0,$E90-SUMIFS(H90:AK90,$H$5:$AK$5,"Rem",$H$4:$AK$4,"&lt;"&amp;AE$4))))</f>
        <v/>
      </c>
      <c r="AF90" s="33">
        <f>AH89*(1+N(Debts!$D$14)/1200)</f>
        <v/>
      </c>
      <c r="AG90" s="33">
        <f>AF90-MIN(N(Debts!$E$14),AF90)</f>
        <v/>
      </c>
      <c r="AH90" s="33">
        <f>IF(AG90&lt;=0.005,0,AG90-MIN(AG90,MAX(0,$E90-SUMIFS(H90:AK90,$H$5:$AK$5,"Rem",$H$4:$AK$4,"&lt;"&amp;AH$4))))</f>
        <v/>
      </c>
      <c r="AI90" s="33">
        <f>AK89*(1+N(Debts!$D$15)/1200)</f>
        <v/>
      </c>
      <c r="AJ90" s="33">
        <f>AI90-MIN(N(Debts!$E$15),AI90)</f>
        <v/>
      </c>
      <c r="AK90" s="33">
        <f>IF(AJ90&lt;=0.005,0,AJ90-MIN(AJ90,MAX(0,$E90-SUMIFS(H90:AK90,$H$5:$AK$5,"Rem",$H$4:$AK$4,"&lt;"&amp;AK$4))))</f>
        <v/>
      </c>
      <c r="AL90" s="1" t="n"/>
    </row>
    <row r="91">
      <c r="A91" s="1" t="n"/>
      <c r="B91" s="1" t="n">
        <v>84</v>
      </c>
      <c r="C91" s="34">
        <f>EDATE(Debts!$J$13,B91-1)</f>
        <v/>
      </c>
      <c r="D91" s="33">
        <f>IF(G90&lt;=0.005,0,Debts!$E$16+Debts!$J$7)</f>
        <v/>
      </c>
      <c r="E91" s="33">
        <f>MAX(0,D91-(SUMIF($H$5:$AK$5,"Due",H91:AK91)-SUMIF($H$5:$AK$5,"Rem",H91:AK91)))</f>
        <v/>
      </c>
      <c r="F91" s="33">
        <f>SUMIF($H$5:$AK$5,"Due",H91:AK91)-SUMIF($H$5:$AK$5,"Bal",H90:AK90)</f>
        <v/>
      </c>
      <c r="G91" s="33">
        <f>SUMIF($H$5:$AK$5,"Bal",H91:AK91)</f>
        <v/>
      </c>
      <c r="H91" s="33">
        <f>J90*(1+N(Debts!$D$6)/1200)</f>
        <v/>
      </c>
      <c r="I91" s="33">
        <f>H91-MIN(N(Debts!$E$6),H91)</f>
        <v/>
      </c>
      <c r="J91" s="33">
        <f>IF(I91&lt;=0.005,0,I91-MIN(I91,MAX(0,$E91-SUMIFS(H91:AK91,$H$5:$AK$5,"Rem",$H$4:$AK$4,"&lt;"&amp;J$4))))</f>
        <v/>
      </c>
      <c r="K91" s="33">
        <f>M90*(1+N(Debts!$D$7)/1200)</f>
        <v/>
      </c>
      <c r="L91" s="33">
        <f>K91-MIN(N(Debts!$E$7),K91)</f>
        <v/>
      </c>
      <c r="M91" s="33">
        <f>IF(L91&lt;=0.005,0,L91-MIN(L91,MAX(0,$E91-SUMIFS(H91:AK91,$H$5:$AK$5,"Rem",$H$4:$AK$4,"&lt;"&amp;M$4))))</f>
        <v/>
      </c>
      <c r="N91" s="33">
        <f>P90*(1+N(Debts!$D$8)/1200)</f>
        <v/>
      </c>
      <c r="O91" s="33">
        <f>N91-MIN(N(Debts!$E$8),N91)</f>
        <v/>
      </c>
      <c r="P91" s="33">
        <f>IF(O91&lt;=0.005,0,O91-MIN(O91,MAX(0,$E91-SUMIFS(H91:AK91,$H$5:$AK$5,"Rem",$H$4:$AK$4,"&lt;"&amp;P$4))))</f>
        <v/>
      </c>
      <c r="Q91" s="33">
        <f>S90*(1+N(Debts!$D$9)/1200)</f>
        <v/>
      </c>
      <c r="R91" s="33">
        <f>Q91-MIN(N(Debts!$E$9),Q91)</f>
        <v/>
      </c>
      <c r="S91" s="33">
        <f>IF(R91&lt;=0.005,0,R91-MIN(R91,MAX(0,$E91-SUMIFS(H91:AK91,$H$5:$AK$5,"Rem",$H$4:$AK$4,"&lt;"&amp;S$4))))</f>
        <v/>
      </c>
      <c r="T91" s="33">
        <f>V90*(1+N(Debts!$D$10)/1200)</f>
        <v/>
      </c>
      <c r="U91" s="33">
        <f>T91-MIN(N(Debts!$E$10),T91)</f>
        <v/>
      </c>
      <c r="V91" s="33">
        <f>IF(U91&lt;=0.005,0,U91-MIN(U91,MAX(0,$E91-SUMIFS(H91:AK91,$H$5:$AK$5,"Rem",$H$4:$AK$4,"&lt;"&amp;V$4))))</f>
        <v/>
      </c>
      <c r="W91" s="33">
        <f>Y90*(1+N(Debts!$D$11)/1200)</f>
        <v/>
      </c>
      <c r="X91" s="33">
        <f>W91-MIN(N(Debts!$E$11),W91)</f>
        <v/>
      </c>
      <c r="Y91" s="33">
        <f>IF(X91&lt;=0.005,0,X91-MIN(X91,MAX(0,$E91-SUMIFS(H91:AK91,$H$5:$AK$5,"Rem",$H$4:$AK$4,"&lt;"&amp;Y$4))))</f>
        <v/>
      </c>
      <c r="Z91" s="33">
        <f>AB90*(1+N(Debts!$D$12)/1200)</f>
        <v/>
      </c>
      <c r="AA91" s="33">
        <f>Z91-MIN(N(Debts!$E$12),Z91)</f>
        <v/>
      </c>
      <c r="AB91" s="33">
        <f>IF(AA91&lt;=0.005,0,AA91-MIN(AA91,MAX(0,$E91-SUMIFS(H91:AK91,$H$5:$AK$5,"Rem",$H$4:$AK$4,"&lt;"&amp;AB$4))))</f>
        <v/>
      </c>
      <c r="AC91" s="33">
        <f>AE90*(1+N(Debts!$D$13)/1200)</f>
        <v/>
      </c>
      <c r="AD91" s="33">
        <f>AC91-MIN(N(Debts!$E$13),AC91)</f>
        <v/>
      </c>
      <c r="AE91" s="33">
        <f>IF(AD91&lt;=0.005,0,AD91-MIN(AD91,MAX(0,$E91-SUMIFS(H91:AK91,$H$5:$AK$5,"Rem",$H$4:$AK$4,"&lt;"&amp;AE$4))))</f>
        <v/>
      </c>
      <c r="AF91" s="33">
        <f>AH90*(1+N(Debts!$D$14)/1200)</f>
        <v/>
      </c>
      <c r="AG91" s="33">
        <f>AF91-MIN(N(Debts!$E$14),AF91)</f>
        <v/>
      </c>
      <c r="AH91" s="33">
        <f>IF(AG91&lt;=0.005,0,AG91-MIN(AG91,MAX(0,$E91-SUMIFS(H91:AK91,$H$5:$AK$5,"Rem",$H$4:$AK$4,"&lt;"&amp;AH$4))))</f>
        <v/>
      </c>
      <c r="AI91" s="33">
        <f>AK90*(1+N(Debts!$D$15)/1200)</f>
        <v/>
      </c>
      <c r="AJ91" s="33">
        <f>AI91-MIN(N(Debts!$E$15),AI91)</f>
        <v/>
      </c>
      <c r="AK91" s="33">
        <f>IF(AJ91&lt;=0.005,0,AJ91-MIN(AJ91,MAX(0,$E91-SUMIFS(H91:AK91,$H$5:$AK$5,"Rem",$H$4:$AK$4,"&lt;"&amp;AK$4))))</f>
        <v/>
      </c>
      <c r="AL91" s="1" t="n"/>
    </row>
    <row r="92">
      <c r="A92" s="1" t="n"/>
      <c r="B92" s="1" t="n">
        <v>85</v>
      </c>
      <c r="C92" s="34">
        <f>EDATE(Debts!$J$13,B92-1)</f>
        <v/>
      </c>
      <c r="D92" s="33">
        <f>IF(G91&lt;=0.005,0,Debts!$E$16+Debts!$J$7)</f>
        <v/>
      </c>
      <c r="E92" s="33">
        <f>MAX(0,D92-(SUMIF($H$5:$AK$5,"Due",H92:AK92)-SUMIF($H$5:$AK$5,"Rem",H92:AK92)))</f>
        <v/>
      </c>
      <c r="F92" s="33">
        <f>SUMIF($H$5:$AK$5,"Due",H92:AK92)-SUMIF($H$5:$AK$5,"Bal",H91:AK91)</f>
        <v/>
      </c>
      <c r="G92" s="33">
        <f>SUMIF($H$5:$AK$5,"Bal",H92:AK92)</f>
        <v/>
      </c>
      <c r="H92" s="33">
        <f>J91*(1+N(Debts!$D$6)/1200)</f>
        <v/>
      </c>
      <c r="I92" s="33">
        <f>H92-MIN(N(Debts!$E$6),H92)</f>
        <v/>
      </c>
      <c r="J92" s="33">
        <f>IF(I92&lt;=0.005,0,I92-MIN(I92,MAX(0,$E92-SUMIFS(H92:AK92,$H$5:$AK$5,"Rem",$H$4:$AK$4,"&lt;"&amp;J$4))))</f>
        <v/>
      </c>
      <c r="K92" s="33">
        <f>M91*(1+N(Debts!$D$7)/1200)</f>
        <v/>
      </c>
      <c r="L92" s="33">
        <f>K92-MIN(N(Debts!$E$7),K92)</f>
        <v/>
      </c>
      <c r="M92" s="33">
        <f>IF(L92&lt;=0.005,0,L92-MIN(L92,MAX(0,$E92-SUMIFS(H92:AK92,$H$5:$AK$5,"Rem",$H$4:$AK$4,"&lt;"&amp;M$4))))</f>
        <v/>
      </c>
      <c r="N92" s="33">
        <f>P91*(1+N(Debts!$D$8)/1200)</f>
        <v/>
      </c>
      <c r="O92" s="33">
        <f>N92-MIN(N(Debts!$E$8),N92)</f>
        <v/>
      </c>
      <c r="P92" s="33">
        <f>IF(O92&lt;=0.005,0,O92-MIN(O92,MAX(0,$E92-SUMIFS(H92:AK92,$H$5:$AK$5,"Rem",$H$4:$AK$4,"&lt;"&amp;P$4))))</f>
        <v/>
      </c>
      <c r="Q92" s="33">
        <f>S91*(1+N(Debts!$D$9)/1200)</f>
        <v/>
      </c>
      <c r="R92" s="33">
        <f>Q92-MIN(N(Debts!$E$9),Q92)</f>
        <v/>
      </c>
      <c r="S92" s="33">
        <f>IF(R92&lt;=0.005,0,R92-MIN(R92,MAX(0,$E92-SUMIFS(H92:AK92,$H$5:$AK$5,"Rem",$H$4:$AK$4,"&lt;"&amp;S$4))))</f>
        <v/>
      </c>
      <c r="T92" s="33">
        <f>V91*(1+N(Debts!$D$10)/1200)</f>
        <v/>
      </c>
      <c r="U92" s="33">
        <f>T92-MIN(N(Debts!$E$10),T92)</f>
        <v/>
      </c>
      <c r="V92" s="33">
        <f>IF(U92&lt;=0.005,0,U92-MIN(U92,MAX(0,$E92-SUMIFS(H92:AK92,$H$5:$AK$5,"Rem",$H$4:$AK$4,"&lt;"&amp;V$4))))</f>
        <v/>
      </c>
      <c r="W92" s="33">
        <f>Y91*(1+N(Debts!$D$11)/1200)</f>
        <v/>
      </c>
      <c r="X92" s="33">
        <f>W92-MIN(N(Debts!$E$11),W92)</f>
        <v/>
      </c>
      <c r="Y92" s="33">
        <f>IF(X92&lt;=0.005,0,X92-MIN(X92,MAX(0,$E92-SUMIFS(H92:AK92,$H$5:$AK$5,"Rem",$H$4:$AK$4,"&lt;"&amp;Y$4))))</f>
        <v/>
      </c>
      <c r="Z92" s="33">
        <f>AB91*(1+N(Debts!$D$12)/1200)</f>
        <v/>
      </c>
      <c r="AA92" s="33">
        <f>Z92-MIN(N(Debts!$E$12),Z92)</f>
        <v/>
      </c>
      <c r="AB92" s="33">
        <f>IF(AA92&lt;=0.005,0,AA92-MIN(AA92,MAX(0,$E92-SUMIFS(H92:AK92,$H$5:$AK$5,"Rem",$H$4:$AK$4,"&lt;"&amp;AB$4))))</f>
        <v/>
      </c>
      <c r="AC92" s="33">
        <f>AE91*(1+N(Debts!$D$13)/1200)</f>
        <v/>
      </c>
      <c r="AD92" s="33">
        <f>AC92-MIN(N(Debts!$E$13),AC92)</f>
        <v/>
      </c>
      <c r="AE92" s="33">
        <f>IF(AD92&lt;=0.005,0,AD92-MIN(AD92,MAX(0,$E92-SUMIFS(H92:AK92,$H$5:$AK$5,"Rem",$H$4:$AK$4,"&lt;"&amp;AE$4))))</f>
        <v/>
      </c>
      <c r="AF92" s="33">
        <f>AH91*(1+N(Debts!$D$14)/1200)</f>
        <v/>
      </c>
      <c r="AG92" s="33">
        <f>AF92-MIN(N(Debts!$E$14),AF92)</f>
        <v/>
      </c>
      <c r="AH92" s="33">
        <f>IF(AG92&lt;=0.005,0,AG92-MIN(AG92,MAX(0,$E92-SUMIFS(H92:AK92,$H$5:$AK$5,"Rem",$H$4:$AK$4,"&lt;"&amp;AH$4))))</f>
        <v/>
      </c>
      <c r="AI92" s="33">
        <f>AK91*(1+N(Debts!$D$15)/1200)</f>
        <v/>
      </c>
      <c r="AJ92" s="33">
        <f>AI92-MIN(N(Debts!$E$15),AI92)</f>
        <v/>
      </c>
      <c r="AK92" s="33">
        <f>IF(AJ92&lt;=0.005,0,AJ92-MIN(AJ92,MAX(0,$E92-SUMIFS(H92:AK92,$H$5:$AK$5,"Rem",$H$4:$AK$4,"&lt;"&amp;AK$4))))</f>
        <v/>
      </c>
      <c r="AL92" s="1" t="n"/>
    </row>
    <row r="93">
      <c r="A93" s="1" t="n"/>
      <c r="B93" s="1" t="n">
        <v>86</v>
      </c>
      <c r="C93" s="34">
        <f>EDATE(Debts!$J$13,B93-1)</f>
        <v/>
      </c>
      <c r="D93" s="33">
        <f>IF(G92&lt;=0.005,0,Debts!$E$16+Debts!$J$7)</f>
        <v/>
      </c>
      <c r="E93" s="33">
        <f>MAX(0,D93-(SUMIF($H$5:$AK$5,"Due",H93:AK93)-SUMIF($H$5:$AK$5,"Rem",H93:AK93)))</f>
        <v/>
      </c>
      <c r="F93" s="33">
        <f>SUMIF($H$5:$AK$5,"Due",H93:AK93)-SUMIF($H$5:$AK$5,"Bal",H92:AK92)</f>
        <v/>
      </c>
      <c r="G93" s="33">
        <f>SUMIF($H$5:$AK$5,"Bal",H93:AK93)</f>
        <v/>
      </c>
      <c r="H93" s="33">
        <f>J92*(1+N(Debts!$D$6)/1200)</f>
        <v/>
      </c>
      <c r="I93" s="33">
        <f>H93-MIN(N(Debts!$E$6),H93)</f>
        <v/>
      </c>
      <c r="J93" s="33">
        <f>IF(I93&lt;=0.005,0,I93-MIN(I93,MAX(0,$E93-SUMIFS(H93:AK93,$H$5:$AK$5,"Rem",$H$4:$AK$4,"&lt;"&amp;J$4))))</f>
        <v/>
      </c>
      <c r="K93" s="33">
        <f>M92*(1+N(Debts!$D$7)/1200)</f>
        <v/>
      </c>
      <c r="L93" s="33">
        <f>K93-MIN(N(Debts!$E$7),K93)</f>
        <v/>
      </c>
      <c r="M93" s="33">
        <f>IF(L93&lt;=0.005,0,L93-MIN(L93,MAX(0,$E93-SUMIFS(H93:AK93,$H$5:$AK$5,"Rem",$H$4:$AK$4,"&lt;"&amp;M$4))))</f>
        <v/>
      </c>
      <c r="N93" s="33">
        <f>P92*(1+N(Debts!$D$8)/1200)</f>
        <v/>
      </c>
      <c r="O93" s="33">
        <f>N93-MIN(N(Debts!$E$8),N93)</f>
        <v/>
      </c>
      <c r="P93" s="33">
        <f>IF(O93&lt;=0.005,0,O93-MIN(O93,MAX(0,$E93-SUMIFS(H93:AK93,$H$5:$AK$5,"Rem",$H$4:$AK$4,"&lt;"&amp;P$4))))</f>
        <v/>
      </c>
      <c r="Q93" s="33">
        <f>S92*(1+N(Debts!$D$9)/1200)</f>
        <v/>
      </c>
      <c r="R93" s="33">
        <f>Q93-MIN(N(Debts!$E$9),Q93)</f>
        <v/>
      </c>
      <c r="S93" s="33">
        <f>IF(R93&lt;=0.005,0,R93-MIN(R93,MAX(0,$E93-SUMIFS(H93:AK93,$H$5:$AK$5,"Rem",$H$4:$AK$4,"&lt;"&amp;S$4))))</f>
        <v/>
      </c>
      <c r="T93" s="33">
        <f>V92*(1+N(Debts!$D$10)/1200)</f>
        <v/>
      </c>
      <c r="U93" s="33">
        <f>T93-MIN(N(Debts!$E$10),T93)</f>
        <v/>
      </c>
      <c r="V93" s="33">
        <f>IF(U93&lt;=0.005,0,U93-MIN(U93,MAX(0,$E93-SUMIFS(H93:AK93,$H$5:$AK$5,"Rem",$H$4:$AK$4,"&lt;"&amp;V$4))))</f>
        <v/>
      </c>
      <c r="W93" s="33">
        <f>Y92*(1+N(Debts!$D$11)/1200)</f>
        <v/>
      </c>
      <c r="X93" s="33">
        <f>W93-MIN(N(Debts!$E$11),W93)</f>
        <v/>
      </c>
      <c r="Y93" s="33">
        <f>IF(X93&lt;=0.005,0,X93-MIN(X93,MAX(0,$E93-SUMIFS(H93:AK93,$H$5:$AK$5,"Rem",$H$4:$AK$4,"&lt;"&amp;Y$4))))</f>
        <v/>
      </c>
      <c r="Z93" s="33">
        <f>AB92*(1+N(Debts!$D$12)/1200)</f>
        <v/>
      </c>
      <c r="AA93" s="33">
        <f>Z93-MIN(N(Debts!$E$12),Z93)</f>
        <v/>
      </c>
      <c r="AB93" s="33">
        <f>IF(AA93&lt;=0.005,0,AA93-MIN(AA93,MAX(0,$E93-SUMIFS(H93:AK93,$H$5:$AK$5,"Rem",$H$4:$AK$4,"&lt;"&amp;AB$4))))</f>
        <v/>
      </c>
      <c r="AC93" s="33">
        <f>AE92*(1+N(Debts!$D$13)/1200)</f>
        <v/>
      </c>
      <c r="AD93" s="33">
        <f>AC93-MIN(N(Debts!$E$13),AC93)</f>
        <v/>
      </c>
      <c r="AE93" s="33">
        <f>IF(AD93&lt;=0.005,0,AD93-MIN(AD93,MAX(0,$E93-SUMIFS(H93:AK93,$H$5:$AK$5,"Rem",$H$4:$AK$4,"&lt;"&amp;AE$4))))</f>
        <v/>
      </c>
      <c r="AF93" s="33">
        <f>AH92*(1+N(Debts!$D$14)/1200)</f>
        <v/>
      </c>
      <c r="AG93" s="33">
        <f>AF93-MIN(N(Debts!$E$14),AF93)</f>
        <v/>
      </c>
      <c r="AH93" s="33">
        <f>IF(AG93&lt;=0.005,0,AG93-MIN(AG93,MAX(0,$E93-SUMIFS(H93:AK93,$H$5:$AK$5,"Rem",$H$4:$AK$4,"&lt;"&amp;AH$4))))</f>
        <v/>
      </c>
      <c r="AI93" s="33">
        <f>AK92*(1+N(Debts!$D$15)/1200)</f>
        <v/>
      </c>
      <c r="AJ93" s="33">
        <f>AI93-MIN(N(Debts!$E$15),AI93)</f>
        <v/>
      </c>
      <c r="AK93" s="33">
        <f>IF(AJ93&lt;=0.005,0,AJ93-MIN(AJ93,MAX(0,$E93-SUMIFS(H93:AK93,$H$5:$AK$5,"Rem",$H$4:$AK$4,"&lt;"&amp;AK$4))))</f>
        <v/>
      </c>
      <c r="AL93" s="1" t="n"/>
    </row>
    <row r="94">
      <c r="A94" s="1" t="n"/>
      <c r="B94" s="1" t="n">
        <v>87</v>
      </c>
      <c r="C94" s="34">
        <f>EDATE(Debts!$J$13,B94-1)</f>
        <v/>
      </c>
      <c r="D94" s="33">
        <f>IF(G93&lt;=0.005,0,Debts!$E$16+Debts!$J$7)</f>
        <v/>
      </c>
      <c r="E94" s="33">
        <f>MAX(0,D94-(SUMIF($H$5:$AK$5,"Due",H94:AK94)-SUMIF($H$5:$AK$5,"Rem",H94:AK94)))</f>
        <v/>
      </c>
      <c r="F94" s="33">
        <f>SUMIF($H$5:$AK$5,"Due",H94:AK94)-SUMIF($H$5:$AK$5,"Bal",H93:AK93)</f>
        <v/>
      </c>
      <c r="G94" s="33">
        <f>SUMIF($H$5:$AK$5,"Bal",H94:AK94)</f>
        <v/>
      </c>
      <c r="H94" s="33">
        <f>J93*(1+N(Debts!$D$6)/1200)</f>
        <v/>
      </c>
      <c r="I94" s="33">
        <f>H94-MIN(N(Debts!$E$6),H94)</f>
        <v/>
      </c>
      <c r="J94" s="33">
        <f>IF(I94&lt;=0.005,0,I94-MIN(I94,MAX(0,$E94-SUMIFS(H94:AK94,$H$5:$AK$5,"Rem",$H$4:$AK$4,"&lt;"&amp;J$4))))</f>
        <v/>
      </c>
      <c r="K94" s="33">
        <f>M93*(1+N(Debts!$D$7)/1200)</f>
        <v/>
      </c>
      <c r="L94" s="33">
        <f>K94-MIN(N(Debts!$E$7),K94)</f>
        <v/>
      </c>
      <c r="M94" s="33">
        <f>IF(L94&lt;=0.005,0,L94-MIN(L94,MAX(0,$E94-SUMIFS(H94:AK94,$H$5:$AK$5,"Rem",$H$4:$AK$4,"&lt;"&amp;M$4))))</f>
        <v/>
      </c>
      <c r="N94" s="33">
        <f>P93*(1+N(Debts!$D$8)/1200)</f>
        <v/>
      </c>
      <c r="O94" s="33">
        <f>N94-MIN(N(Debts!$E$8),N94)</f>
        <v/>
      </c>
      <c r="P94" s="33">
        <f>IF(O94&lt;=0.005,0,O94-MIN(O94,MAX(0,$E94-SUMIFS(H94:AK94,$H$5:$AK$5,"Rem",$H$4:$AK$4,"&lt;"&amp;P$4))))</f>
        <v/>
      </c>
      <c r="Q94" s="33">
        <f>S93*(1+N(Debts!$D$9)/1200)</f>
        <v/>
      </c>
      <c r="R94" s="33">
        <f>Q94-MIN(N(Debts!$E$9),Q94)</f>
        <v/>
      </c>
      <c r="S94" s="33">
        <f>IF(R94&lt;=0.005,0,R94-MIN(R94,MAX(0,$E94-SUMIFS(H94:AK94,$H$5:$AK$5,"Rem",$H$4:$AK$4,"&lt;"&amp;S$4))))</f>
        <v/>
      </c>
      <c r="T94" s="33">
        <f>V93*(1+N(Debts!$D$10)/1200)</f>
        <v/>
      </c>
      <c r="U94" s="33">
        <f>T94-MIN(N(Debts!$E$10),T94)</f>
        <v/>
      </c>
      <c r="V94" s="33">
        <f>IF(U94&lt;=0.005,0,U94-MIN(U94,MAX(0,$E94-SUMIFS(H94:AK94,$H$5:$AK$5,"Rem",$H$4:$AK$4,"&lt;"&amp;V$4))))</f>
        <v/>
      </c>
      <c r="W94" s="33">
        <f>Y93*(1+N(Debts!$D$11)/1200)</f>
        <v/>
      </c>
      <c r="X94" s="33">
        <f>W94-MIN(N(Debts!$E$11),W94)</f>
        <v/>
      </c>
      <c r="Y94" s="33">
        <f>IF(X94&lt;=0.005,0,X94-MIN(X94,MAX(0,$E94-SUMIFS(H94:AK94,$H$5:$AK$5,"Rem",$H$4:$AK$4,"&lt;"&amp;Y$4))))</f>
        <v/>
      </c>
      <c r="Z94" s="33">
        <f>AB93*(1+N(Debts!$D$12)/1200)</f>
        <v/>
      </c>
      <c r="AA94" s="33">
        <f>Z94-MIN(N(Debts!$E$12),Z94)</f>
        <v/>
      </c>
      <c r="AB94" s="33">
        <f>IF(AA94&lt;=0.005,0,AA94-MIN(AA94,MAX(0,$E94-SUMIFS(H94:AK94,$H$5:$AK$5,"Rem",$H$4:$AK$4,"&lt;"&amp;AB$4))))</f>
        <v/>
      </c>
      <c r="AC94" s="33">
        <f>AE93*(1+N(Debts!$D$13)/1200)</f>
        <v/>
      </c>
      <c r="AD94" s="33">
        <f>AC94-MIN(N(Debts!$E$13),AC94)</f>
        <v/>
      </c>
      <c r="AE94" s="33">
        <f>IF(AD94&lt;=0.005,0,AD94-MIN(AD94,MAX(0,$E94-SUMIFS(H94:AK94,$H$5:$AK$5,"Rem",$H$4:$AK$4,"&lt;"&amp;AE$4))))</f>
        <v/>
      </c>
      <c r="AF94" s="33">
        <f>AH93*(1+N(Debts!$D$14)/1200)</f>
        <v/>
      </c>
      <c r="AG94" s="33">
        <f>AF94-MIN(N(Debts!$E$14),AF94)</f>
        <v/>
      </c>
      <c r="AH94" s="33">
        <f>IF(AG94&lt;=0.005,0,AG94-MIN(AG94,MAX(0,$E94-SUMIFS(H94:AK94,$H$5:$AK$5,"Rem",$H$4:$AK$4,"&lt;"&amp;AH$4))))</f>
        <v/>
      </c>
      <c r="AI94" s="33">
        <f>AK93*(1+N(Debts!$D$15)/1200)</f>
        <v/>
      </c>
      <c r="AJ94" s="33">
        <f>AI94-MIN(N(Debts!$E$15),AI94)</f>
        <v/>
      </c>
      <c r="AK94" s="33">
        <f>IF(AJ94&lt;=0.005,0,AJ94-MIN(AJ94,MAX(0,$E94-SUMIFS(H94:AK94,$H$5:$AK$5,"Rem",$H$4:$AK$4,"&lt;"&amp;AK$4))))</f>
        <v/>
      </c>
      <c r="AL94" s="1" t="n"/>
    </row>
    <row r="95">
      <c r="A95" s="1" t="n"/>
      <c r="B95" s="1" t="n">
        <v>88</v>
      </c>
      <c r="C95" s="34">
        <f>EDATE(Debts!$J$13,B95-1)</f>
        <v/>
      </c>
      <c r="D95" s="33">
        <f>IF(G94&lt;=0.005,0,Debts!$E$16+Debts!$J$7)</f>
        <v/>
      </c>
      <c r="E95" s="33">
        <f>MAX(0,D95-(SUMIF($H$5:$AK$5,"Due",H95:AK95)-SUMIF($H$5:$AK$5,"Rem",H95:AK95)))</f>
        <v/>
      </c>
      <c r="F95" s="33">
        <f>SUMIF($H$5:$AK$5,"Due",H95:AK95)-SUMIF($H$5:$AK$5,"Bal",H94:AK94)</f>
        <v/>
      </c>
      <c r="G95" s="33">
        <f>SUMIF($H$5:$AK$5,"Bal",H95:AK95)</f>
        <v/>
      </c>
      <c r="H95" s="33">
        <f>J94*(1+N(Debts!$D$6)/1200)</f>
        <v/>
      </c>
      <c r="I95" s="33">
        <f>H95-MIN(N(Debts!$E$6),H95)</f>
        <v/>
      </c>
      <c r="J95" s="33">
        <f>IF(I95&lt;=0.005,0,I95-MIN(I95,MAX(0,$E95-SUMIFS(H95:AK95,$H$5:$AK$5,"Rem",$H$4:$AK$4,"&lt;"&amp;J$4))))</f>
        <v/>
      </c>
      <c r="K95" s="33">
        <f>M94*(1+N(Debts!$D$7)/1200)</f>
        <v/>
      </c>
      <c r="L95" s="33">
        <f>K95-MIN(N(Debts!$E$7),K95)</f>
        <v/>
      </c>
      <c r="M95" s="33">
        <f>IF(L95&lt;=0.005,0,L95-MIN(L95,MAX(0,$E95-SUMIFS(H95:AK95,$H$5:$AK$5,"Rem",$H$4:$AK$4,"&lt;"&amp;M$4))))</f>
        <v/>
      </c>
      <c r="N95" s="33">
        <f>P94*(1+N(Debts!$D$8)/1200)</f>
        <v/>
      </c>
      <c r="O95" s="33">
        <f>N95-MIN(N(Debts!$E$8),N95)</f>
        <v/>
      </c>
      <c r="P95" s="33">
        <f>IF(O95&lt;=0.005,0,O95-MIN(O95,MAX(0,$E95-SUMIFS(H95:AK95,$H$5:$AK$5,"Rem",$H$4:$AK$4,"&lt;"&amp;P$4))))</f>
        <v/>
      </c>
      <c r="Q95" s="33">
        <f>S94*(1+N(Debts!$D$9)/1200)</f>
        <v/>
      </c>
      <c r="R95" s="33">
        <f>Q95-MIN(N(Debts!$E$9),Q95)</f>
        <v/>
      </c>
      <c r="S95" s="33">
        <f>IF(R95&lt;=0.005,0,R95-MIN(R95,MAX(0,$E95-SUMIFS(H95:AK95,$H$5:$AK$5,"Rem",$H$4:$AK$4,"&lt;"&amp;S$4))))</f>
        <v/>
      </c>
      <c r="T95" s="33">
        <f>V94*(1+N(Debts!$D$10)/1200)</f>
        <v/>
      </c>
      <c r="U95" s="33">
        <f>T95-MIN(N(Debts!$E$10),T95)</f>
        <v/>
      </c>
      <c r="V95" s="33">
        <f>IF(U95&lt;=0.005,0,U95-MIN(U95,MAX(0,$E95-SUMIFS(H95:AK95,$H$5:$AK$5,"Rem",$H$4:$AK$4,"&lt;"&amp;V$4))))</f>
        <v/>
      </c>
      <c r="W95" s="33">
        <f>Y94*(1+N(Debts!$D$11)/1200)</f>
        <v/>
      </c>
      <c r="X95" s="33">
        <f>W95-MIN(N(Debts!$E$11),W95)</f>
        <v/>
      </c>
      <c r="Y95" s="33">
        <f>IF(X95&lt;=0.005,0,X95-MIN(X95,MAX(0,$E95-SUMIFS(H95:AK95,$H$5:$AK$5,"Rem",$H$4:$AK$4,"&lt;"&amp;Y$4))))</f>
        <v/>
      </c>
      <c r="Z95" s="33">
        <f>AB94*(1+N(Debts!$D$12)/1200)</f>
        <v/>
      </c>
      <c r="AA95" s="33">
        <f>Z95-MIN(N(Debts!$E$12),Z95)</f>
        <v/>
      </c>
      <c r="AB95" s="33">
        <f>IF(AA95&lt;=0.005,0,AA95-MIN(AA95,MAX(0,$E95-SUMIFS(H95:AK95,$H$5:$AK$5,"Rem",$H$4:$AK$4,"&lt;"&amp;AB$4))))</f>
        <v/>
      </c>
      <c r="AC95" s="33">
        <f>AE94*(1+N(Debts!$D$13)/1200)</f>
        <v/>
      </c>
      <c r="AD95" s="33">
        <f>AC95-MIN(N(Debts!$E$13),AC95)</f>
        <v/>
      </c>
      <c r="AE95" s="33">
        <f>IF(AD95&lt;=0.005,0,AD95-MIN(AD95,MAX(0,$E95-SUMIFS(H95:AK95,$H$5:$AK$5,"Rem",$H$4:$AK$4,"&lt;"&amp;AE$4))))</f>
        <v/>
      </c>
      <c r="AF95" s="33">
        <f>AH94*(1+N(Debts!$D$14)/1200)</f>
        <v/>
      </c>
      <c r="AG95" s="33">
        <f>AF95-MIN(N(Debts!$E$14),AF95)</f>
        <v/>
      </c>
      <c r="AH95" s="33">
        <f>IF(AG95&lt;=0.005,0,AG95-MIN(AG95,MAX(0,$E95-SUMIFS(H95:AK95,$H$5:$AK$5,"Rem",$H$4:$AK$4,"&lt;"&amp;AH$4))))</f>
        <v/>
      </c>
      <c r="AI95" s="33">
        <f>AK94*(1+N(Debts!$D$15)/1200)</f>
        <v/>
      </c>
      <c r="AJ95" s="33">
        <f>AI95-MIN(N(Debts!$E$15),AI95)</f>
        <v/>
      </c>
      <c r="AK95" s="33">
        <f>IF(AJ95&lt;=0.005,0,AJ95-MIN(AJ95,MAX(0,$E95-SUMIFS(H95:AK95,$H$5:$AK$5,"Rem",$H$4:$AK$4,"&lt;"&amp;AK$4))))</f>
        <v/>
      </c>
      <c r="AL95" s="1" t="n"/>
    </row>
    <row r="96">
      <c r="A96" s="1" t="n"/>
      <c r="B96" s="1" t="n">
        <v>89</v>
      </c>
      <c r="C96" s="34">
        <f>EDATE(Debts!$J$13,B96-1)</f>
        <v/>
      </c>
      <c r="D96" s="33">
        <f>IF(G95&lt;=0.005,0,Debts!$E$16+Debts!$J$7)</f>
        <v/>
      </c>
      <c r="E96" s="33">
        <f>MAX(0,D96-(SUMIF($H$5:$AK$5,"Due",H96:AK96)-SUMIF($H$5:$AK$5,"Rem",H96:AK96)))</f>
        <v/>
      </c>
      <c r="F96" s="33">
        <f>SUMIF($H$5:$AK$5,"Due",H96:AK96)-SUMIF($H$5:$AK$5,"Bal",H95:AK95)</f>
        <v/>
      </c>
      <c r="G96" s="33">
        <f>SUMIF($H$5:$AK$5,"Bal",H96:AK96)</f>
        <v/>
      </c>
      <c r="H96" s="33">
        <f>J95*(1+N(Debts!$D$6)/1200)</f>
        <v/>
      </c>
      <c r="I96" s="33">
        <f>H96-MIN(N(Debts!$E$6),H96)</f>
        <v/>
      </c>
      <c r="J96" s="33">
        <f>IF(I96&lt;=0.005,0,I96-MIN(I96,MAX(0,$E96-SUMIFS(H96:AK96,$H$5:$AK$5,"Rem",$H$4:$AK$4,"&lt;"&amp;J$4))))</f>
        <v/>
      </c>
      <c r="K96" s="33">
        <f>M95*(1+N(Debts!$D$7)/1200)</f>
        <v/>
      </c>
      <c r="L96" s="33">
        <f>K96-MIN(N(Debts!$E$7),K96)</f>
        <v/>
      </c>
      <c r="M96" s="33">
        <f>IF(L96&lt;=0.005,0,L96-MIN(L96,MAX(0,$E96-SUMIFS(H96:AK96,$H$5:$AK$5,"Rem",$H$4:$AK$4,"&lt;"&amp;M$4))))</f>
        <v/>
      </c>
      <c r="N96" s="33">
        <f>P95*(1+N(Debts!$D$8)/1200)</f>
        <v/>
      </c>
      <c r="O96" s="33">
        <f>N96-MIN(N(Debts!$E$8),N96)</f>
        <v/>
      </c>
      <c r="P96" s="33">
        <f>IF(O96&lt;=0.005,0,O96-MIN(O96,MAX(0,$E96-SUMIFS(H96:AK96,$H$5:$AK$5,"Rem",$H$4:$AK$4,"&lt;"&amp;P$4))))</f>
        <v/>
      </c>
      <c r="Q96" s="33">
        <f>S95*(1+N(Debts!$D$9)/1200)</f>
        <v/>
      </c>
      <c r="R96" s="33">
        <f>Q96-MIN(N(Debts!$E$9),Q96)</f>
        <v/>
      </c>
      <c r="S96" s="33">
        <f>IF(R96&lt;=0.005,0,R96-MIN(R96,MAX(0,$E96-SUMIFS(H96:AK96,$H$5:$AK$5,"Rem",$H$4:$AK$4,"&lt;"&amp;S$4))))</f>
        <v/>
      </c>
      <c r="T96" s="33">
        <f>V95*(1+N(Debts!$D$10)/1200)</f>
        <v/>
      </c>
      <c r="U96" s="33">
        <f>T96-MIN(N(Debts!$E$10),T96)</f>
        <v/>
      </c>
      <c r="V96" s="33">
        <f>IF(U96&lt;=0.005,0,U96-MIN(U96,MAX(0,$E96-SUMIFS(H96:AK96,$H$5:$AK$5,"Rem",$H$4:$AK$4,"&lt;"&amp;V$4))))</f>
        <v/>
      </c>
      <c r="W96" s="33">
        <f>Y95*(1+N(Debts!$D$11)/1200)</f>
        <v/>
      </c>
      <c r="X96" s="33">
        <f>W96-MIN(N(Debts!$E$11),W96)</f>
        <v/>
      </c>
      <c r="Y96" s="33">
        <f>IF(X96&lt;=0.005,0,X96-MIN(X96,MAX(0,$E96-SUMIFS(H96:AK96,$H$5:$AK$5,"Rem",$H$4:$AK$4,"&lt;"&amp;Y$4))))</f>
        <v/>
      </c>
      <c r="Z96" s="33">
        <f>AB95*(1+N(Debts!$D$12)/1200)</f>
        <v/>
      </c>
      <c r="AA96" s="33">
        <f>Z96-MIN(N(Debts!$E$12),Z96)</f>
        <v/>
      </c>
      <c r="AB96" s="33">
        <f>IF(AA96&lt;=0.005,0,AA96-MIN(AA96,MAX(0,$E96-SUMIFS(H96:AK96,$H$5:$AK$5,"Rem",$H$4:$AK$4,"&lt;"&amp;AB$4))))</f>
        <v/>
      </c>
      <c r="AC96" s="33">
        <f>AE95*(1+N(Debts!$D$13)/1200)</f>
        <v/>
      </c>
      <c r="AD96" s="33">
        <f>AC96-MIN(N(Debts!$E$13),AC96)</f>
        <v/>
      </c>
      <c r="AE96" s="33">
        <f>IF(AD96&lt;=0.005,0,AD96-MIN(AD96,MAX(0,$E96-SUMIFS(H96:AK96,$H$5:$AK$5,"Rem",$H$4:$AK$4,"&lt;"&amp;AE$4))))</f>
        <v/>
      </c>
      <c r="AF96" s="33">
        <f>AH95*(1+N(Debts!$D$14)/1200)</f>
        <v/>
      </c>
      <c r="AG96" s="33">
        <f>AF96-MIN(N(Debts!$E$14),AF96)</f>
        <v/>
      </c>
      <c r="AH96" s="33">
        <f>IF(AG96&lt;=0.005,0,AG96-MIN(AG96,MAX(0,$E96-SUMIFS(H96:AK96,$H$5:$AK$5,"Rem",$H$4:$AK$4,"&lt;"&amp;AH$4))))</f>
        <v/>
      </c>
      <c r="AI96" s="33">
        <f>AK95*(1+N(Debts!$D$15)/1200)</f>
        <v/>
      </c>
      <c r="AJ96" s="33">
        <f>AI96-MIN(N(Debts!$E$15),AI96)</f>
        <v/>
      </c>
      <c r="AK96" s="33">
        <f>IF(AJ96&lt;=0.005,0,AJ96-MIN(AJ96,MAX(0,$E96-SUMIFS(H96:AK96,$H$5:$AK$5,"Rem",$H$4:$AK$4,"&lt;"&amp;AK$4))))</f>
        <v/>
      </c>
      <c r="AL96" s="1" t="n"/>
    </row>
    <row r="97">
      <c r="A97" s="1" t="n"/>
      <c r="B97" s="1" t="n">
        <v>90</v>
      </c>
      <c r="C97" s="34">
        <f>EDATE(Debts!$J$13,B97-1)</f>
        <v/>
      </c>
      <c r="D97" s="33">
        <f>IF(G96&lt;=0.005,0,Debts!$E$16+Debts!$J$7)</f>
        <v/>
      </c>
      <c r="E97" s="33">
        <f>MAX(0,D97-(SUMIF($H$5:$AK$5,"Due",H97:AK97)-SUMIF($H$5:$AK$5,"Rem",H97:AK97)))</f>
        <v/>
      </c>
      <c r="F97" s="33">
        <f>SUMIF($H$5:$AK$5,"Due",H97:AK97)-SUMIF($H$5:$AK$5,"Bal",H96:AK96)</f>
        <v/>
      </c>
      <c r="G97" s="33">
        <f>SUMIF($H$5:$AK$5,"Bal",H97:AK97)</f>
        <v/>
      </c>
      <c r="H97" s="33">
        <f>J96*(1+N(Debts!$D$6)/1200)</f>
        <v/>
      </c>
      <c r="I97" s="33">
        <f>H97-MIN(N(Debts!$E$6),H97)</f>
        <v/>
      </c>
      <c r="J97" s="33">
        <f>IF(I97&lt;=0.005,0,I97-MIN(I97,MAX(0,$E97-SUMIFS(H97:AK97,$H$5:$AK$5,"Rem",$H$4:$AK$4,"&lt;"&amp;J$4))))</f>
        <v/>
      </c>
      <c r="K97" s="33">
        <f>M96*(1+N(Debts!$D$7)/1200)</f>
        <v/>
      </c>
      <c r="L97" s="33">
        <f>K97-MIN(N(Debts!$E$7),K97)</f>
        <v/>
      </c>
      <c r="M97" s="33">
        <f>IF(L97&lt;=0.005,0,L97-MIN(L97,MAX(0,$E97-SUMIFS(H97:AK97,$H$5:$AK$5,"Rem",$H$4:$AK$4,"&lt;"&amp;M$4))))</f>
        <v/>
      </c>
      <c r="N97" s="33">
        <f>P96*(1+N(Debts!$D$8)/1200)</f>
        <v/>
      </c>
      <c r="O97" s="33">
        <f>N97-MIN(N(Debts!$E$8),N97)</f>
        <v/>
      </c>
      <c r="P97" s="33">
        <f>IF(O97&lt;=0.005,0,O97-MIN(O97,MAX(0,$E97-SUMIFS(H97:AK97,$H$5:$AK$5,"Rem",$H$4:$AK$4,"&lt;"&amp;P$4))))</f>
        <v/>
      </c>
      <c r="Q97" s="33">
        <f>S96*(1+N(Debts!$D$9)/1200)</f>
        <v/>
      </c>
      <c r="R97" s="33">
        <f>Q97-MIN(N(Debts!$E$9),Q97)</f>
        <v/>
      </c>
      <c r="S97" s="33">
        <f>IF(R97&lt;=0.005,0,R97-MIN(R97,MAX(0,$E97-SUMIFS(H97:AK97,$H$5:$AK$5,"Rem",$H$4:$AK$4,"&lt;"&amp;S$4))))</f>
        <v/>
      </c>
      <c r="T97" s="33">
        <f>V96*(1+N(Debts!$D$10)/1200)</f>
        <v/>
      </c>
      <c r="U97" s="33">
        <f>T97-MIN(N(Debts!$E$10),T97)</f>
        <v/>
      </c>
      <c r="V97" s="33">
        <f>IF(U97&lt;=0.005,0,U97-MIN(U97,MAX(0,$E97-SUMIFS(H97:AK97,$H$5:$AK$5,"Rem",$H$4:$AK$4,"&lt;"&amp;V$4))))</f>
        <v/>
      </c>
      <c r="W97" s="33">
        <f>Y96*(1+N(Debts!$D$11)/1200)</f>
        <v/>
      </c>
      <c r="X97" s="33">
        <f>W97-MIN(N(Debts!$E$11),W97)</f>
        <v/>
      </c>
      <c r="Y97" s="33">
        <f>IF(X97&lt;=0.005,0,X97-MIN(X97,MAX(0,$E97-SUMIFS(H97:AK97,$H$5:$AK$5,"Rem",$H$4:$AK$4,"&lt;"&amp;Y$4))))</f>
        <v/>
      </c>
      <c r="Z97" s="33">
        <f>AB96*(1+N(Debts!$D$12)/1200)</f>
        <v/>
      </c>
      <c r="AA97" s="33">
        <f>Z97-MIN(N(Debts!$E$12),Z97)</f>
        <v/>
      </c>
      <c r="AB97" s="33">
        <f>IF(AA97&lt;=0.005,0,AA97-MIN(AA97,MAX(0,$E97-SUMIFS(H97:AK97,$H$5:$AK$5,"Rem",$H$4:$AK$4,"&lt;"&amp;AB$4))))</f>
        <v/>
      </c>
      <c r="AC97" s="33">
        <f>AE96*(1+N(Debts!$D$13)/1200)</f>
        <v/>
      </c>
      <c r="AD97" s="33">
        <f>AC97-MIN(N(Debts!$E$13),AC97)</f>
        <v/>
      </c>
      <c r="AE97" s="33">
        <f>IF(AD97&lt;=0.005,0,AD97-MIN(AD97,MAX(0,$E97-SUMIFS(H97:AK97,$H$5:$AK$5,"Rem",$H$4:$AK$4,"&lt;"&amp;AE$4))))</f>
        <v/>
      </c>
      <c r="AF97" s="33">
        <f>AH96*(1+N(Debts!$D$14)/1200)</f>
        <v/>
      </c>
      <c r="AG97" s="33">
        <f>AF97-MIN(N(Debts!$E$14),AF97)</f>
        <v/>
      </c>
      <c r="AH97" s="33">
        <f>IF(AG97&lt;=0.005,0,AG97-MIN(AG97,MAX(0,$E97-SUMIFS(H97:AK97,$H$5:$AK$5,"Rem",$H$4:$AK$4,"&lt;"&amp;AH$4))))</f>
        <v/>
      </c>
      <c r="AI97" s="33">
        <f>AK96*(1+N(Debts!$D$15)/1200)</f>
        <v/>
      </c>
      <c r="AJ97" s="33">
        <f>AI97-MIN(N(Debts!$E$15),AI97)</f>
        <v/>
      </c>
      <c r="AK97" s="33">
        <f>IF(AJ97&lt;=0.005,0,AJ97-MIN(AJ97,MAX(0,$E97-SUMIFS(H97:AK97,$H$5:$AK$5,"Rem",$H$4:$AK$4,"&lt;"&amp;AK$4))))</f>
        <v/>
      </c>
      <c r="AL97" s="1" t="n"/>
    </row>
    <row r="98">
      <c r="A98" s="1" t="n"/>
      <c r="B98" s="1" t="n">
        <v>91</v>
      </c>
      <c r="C98" s="34">
        <f>EDATE(Debts!$J$13,B98-1)</f>
        <v/>
      </c>
      <c r="D98" s="33">
        <f>IF(G97&lt;=0.005,0,Debts!$E$16+Debts!$J$7)</f>
        <v/>
      </c>
      <c r="E98" s="33">
        <f>MAX(0,D98-(SUMIF($H$5:$AK$5,"Due",H98:AK98)-SUMIF($H$5:$AK$5,"Rem",H98:AK98)))</f>
        <v/>
      </c>
      <c r="F98" s="33">
        <f>SUMIF($H$5:$AK$5,"Due",H98:AK98)-SUMIF($H$5:$AK$5,"Bal",H97:AK97)</f>
        <v/>
      </c>
      <c r="G98" s="33">
        <f>SUMIF($H$5:$AK$5,"Bal",H98:AK98)</f>
        <v/>
      </c>
      <c r="H98" s="33">
        <f>J97*(1+N(Debts!$D$6)/1200)</f>
        <v/>
      </c>
      <c r="I98" s="33">
        <f>H98-MIN(N(Debts!$E$6),H98)</f>
        <v/>
      </c>
      <c r="J98" s="33">
        <f>IF(I98&lt;=0.005,0,I98-MIN(I98,MAX(0,$E98-SUMIFS(H98:AK98,$H$5:$AK$5,"Rem",$H$4:$AK$4,"&lt;"&amp;J$4))))</f>
        <v/>
      </c>
      <c r="K98" s="33">
        <f>M97*(1+N(Debts!$D$7)/1200)</f>
        <v/>
      </c>
      <c r="L98" s="33">
        <f>K98-MIN(N(Debts!$E$7),K98)</f>
        <v/>
      </c>
      <c r="M98" s="33">
        <f>IF(L98&lt;=0.005,0,L98-MIN(L98,MAX(0,$E98-SUMIFS(H98:AK98,$H$5:$AK$5,"Rem",$H$4:$AK$4,"&lt;"&amp;M$4))))</f>
        <v/>
      </c>
      <c r="N98" s="33">
        <f>P97*(1+N(Debts!$D$8)/1200)</f>
        <v/>
      </c>
      <c r="O98" s="33">
        <f>N98-MIN(N(Debts!$E$8),N98)</f>
        <v/>
      </c>
      <c r="P98" s="33">
        <f>IF(O98&lt;=0.005,0,O98-MIN(O98,MAX(0,$E98-SUMIFS(H98:AK98,$H$5:$AK$5,"Rem",$H$4:$AK$4,"&lt;"&amp;P$4))))</f>
        <v/>
      </c>
      <c r="Q98" s="33">
        <f>S97*(1+N(Debts!$D$9)/1200)</f>
        <v/>
      </c>
      <c r="R98" s="33">
        <f>Q98-MIN(N(Debts!$E$9),Q98)</f>
        <v/>
      </c>
      <c r="S98" s="33">
        <f>IF(R98&lt;=0.005,0,R98-MIN(R98,MAX(0,$E98-SUMIFS(H98:AK98,$H$5:$AK$5,"Rem",$H$4:$AK$4,"&lt;"&amp;S$4))))</f>
        <v/>
      </c>
      <c r="T98" s="33">
        <f>V97*(1+N(Debts!$D$10)/1200)</f>
        <v/>
      </c>
      <c r="U98" s="33">
        <f>T98-MIN(N(Debts!$E$10),T98)</f>
        <v/>
      </c>
      <c r="V98" s="33">
        <f>IF(U98&lt;=0.005,0,U98-MIN(U98,MAX(0,$E98-SUMIFS(H98:AK98,$H$5:$AK$5,"Rem",$H$4:$AK$4,"&lt;"&amp;V$4))))</f>
        <v/>
      </c>
      <c r="W98" s="33">
        <f>Y97*(1+N(Debts!$D$11)/1200)</f>
        <v/>
      </c>
      <c r="X98" s="33">
        <f>W98-MIN(N(Debts!$E$11),W98)</f>
        <v/>
      </c>
      <c r="Y98" s="33">
        <f>IF(X98&lt;=0.005,0,X98-MIN(X98,MAX(0,$E98-SUMIFS(H98:AK98,$H$5:$AK$5,"Rem",$H$4:$AK$4,"&lt;"&amp;Y$4))))</f>
        <v/>
      </c>
      <c r="Z98" s="33">
        <f>AB97*(1+N(Debts!$D$12)/1200)</f>
        <v/>
      </c>
      <c r="AA98" s="33">
        <f>Z98-MIN(N(Debts!$E$12),Z98)</f>
        <v/>
      </c>
      <c r="AB98" s="33">
        <f>IF(AA98&lt;=0.005,0,AA98-MIN(AA98,MAX(0,$E98-SUMIFS(H98:AK98,$H$5:$AK$5,"Rem",$H$4:$AK$4,"&lt;"&amp;AB$4))))</f>
        <v/>
      </c>
      <c r="AC98" s="33">
        <f>AE97*(1+N(Debts!$D$13)/1200)</f>
        <v/>
      </c>
      <c r="AD98" s="33">
        <f>AC98-MIN(N(Debts!$E$13),AC98)</f>
        <v/>
      </c>
      <c r="AE98" s="33">
        <f>IF(AD98&lt;=0.005,0,AD98-MIN(AD98,MAX(0,$E98-SUMIFS(H98:AK98,$H$5:$AK$5,"Rem",$H$4:$AK$4,"&lt;"&amp;AE$4))))</f>
        <v/>
      </c>
      <c r="AF98" s="33">
        <f>AH97*(1+N(Debts!$D$14)/1200)</f>
        <v/>
      </c>
      <c r="AG98" s="33">
        <f>AF98-MIN(N(Debts!$E$14),AF98)</f>
        <v/>
      </c>
      <c r="AH98" s="33">
        <f>IF(AG98&lt;=0.005,0,AG98-MIN(AG98,MAX(0,$E98-SUMIFS(H98:AK98,$H$5:$AK$5,"Rem",$H$4:$AK$4,"&lt;"&amp;AH$4))))</f>
        <v/>
      </c>
      <c r="AI98" s="33">
        <f>AK97*(1+N(Debts!$D$15)/1200)</f>
        <v/>
      </c>
      <c r="AJ98" s="33">
        <f>AI98-MIN(N(Debts!$E$15),AI98)</f>
        <v/>
      </c>
      <c r="AK98" s="33">
        <f>IF(AJ98&lt;=0.005,0,AJ98-MIN(AJ98,MAX(0,$E98-SUMIFS(H98:AK98,$H$5:$AK$5,"Rem",$H$4:$AK$4,"&lt;"&amp;AK$4))))</f>
        <v/>
      </c>
      <c r="AL98" s="1" t="n"/>
    </row>
    <row r="99">
      <c r="A99" s="1" t="n"/>
      <c r="B99" s="1" t="n">
        <v>92</v>
      </c>
      <c r="C99" s="34">
        <f>EDATE(Debts!$J$13,B99-1)</f>
        <v/>
      </c>
      <c r="D99" s="33">
        <f>IF(G98&lt;=0.005,0,Debts!$E$16+Debts!$J$7)</f>
        <v/>
      </c>
      <c r="E99" s="33">
        <f>MAX(0,D99-(SUMIF($H$5:$AK$5,"Due",H99:AK99)-SUMIF($H$5:$AK$5,"Rem",H99:AK99)))</f>
        <v/>
      </c>
      <c r="F99" s="33">
        <f>SUMIF($H$5:$AK$5,"Due",H99:AK99)-SUMIF($H$5:$AK$5,"Bal",H98:AK98)</f>
        <v/>
      </c>
      <c r="G99" s="33">
        <f>SUMIF($H$5:$AK$5,"Bal",H99:AK99)</f>
        <v/>
      </c>
      <c r="H99" s="33">
        <f>J98*(1+N(Debts!$D$6)/1200)</f>
        <v/>
      </c>
      <c r="I99" s="33">
        <f>H99-MIN(N(Debts!$E$6),H99)</f>
        <v/>
      </c>
      <c r="J99" s="33">
        <f>IF(I99&lt;=0.005,0,I99-MIN(I99,MAX(0,$E99-SUMIFS(H99:AK99,$H$5:$AK$5,"Rem",$H$4:$AK$4,"&lt;"&amp;J$4))))</f>
        <v/>
      </c>
      <c r="K99" s="33">
        <f>M98*(1+N(Debts!$D$7)/1200)</f>
        <v/>
      </c>
      <c r="L99" s="33">
        <f>K99-MIN(N(Debts!$E$7),K99)</f>
        <v/>
      </c>
      <c r="M99" s="33">
        <f>IF(L99&lt;=0.005,0,L99-MIN(L99,MAX(0,$E99-SUMIFS(H99:AK99,$H$5:$AK$5,"Rem",$H$4:$AK$4,"&lt;"&amp;M$4))))</f>
        <v/>
      </c>
      <c r="N99" s="33">
        <f>P98*(1+N(Debts!$D$8)/1200)</f>
        <v/>
      </c>
      <c r="O99" s="33">
        <f>N99-MIN(N(Debts!$E$8),N99)</f>
        <v/>
      </c>
      <c r="P99" s="33">
        <f>IF(O99&lt;=0.005,0,O99-MIN(O99,MAX(0,$E99-SUMIFS(H99:AK99,$H$5:$AK$5,"Rem",$H$4:$AK$4,"&lt;"&amp;P$4))))</f>
        <v/>
      </c>
      <c r="Q99" s="33">
        <f>S98*(1+N(Debts!$D$9)/1200)</f>
        <v/>
      </c>
      <c r="R99" s="33">
        <f>Q99-MIN(N(Debts!$E$9),Q99)</f>
        <v/>
      </c>
      <c r="S99" s="33">
        <f>IF(R99&lt;=0.005,0,R99-MIN(R99,MAX(0,$E99-SUMIFS(H99:AK99,$H$5:$AK$5,"Rem",$H$4:$AK$4,"&lt;"&amp;S$4))))</f>
        <v/>
      </c>
      <c r="T99" s="33">
        <f>V98*(1+N(Debts!$D$10)/1200)</f>
        <v/>
      </c>
      <c r="U99" s="33">
        <f>T99-MIN(N(Debts!$E$10),T99)</f>
        <v/>
      </c>
      <c r="V99" s="33">
        <f>IF(U99&lt;=0.005,0,U99-MIN(U99,MAX(0,$E99-SUMIFS(H99:AK99,$H$5:$AK$5,"Rem",$H$4:$AK$4,"&lt;"&amp;V$4))))</f>
        <v/>
      </c>
      <c r="W99" s="33">
        <f>Y98*(1+N(Debts!$D$11)/1200)</f>
        <v/>
      </c>
      <c r="X99" s="33">
        <f>W99-MIN(N(Debts!$E$11),W99)</f>
        <v/>
      </c>
      <c r="Y99" s="33">
        <f>IF(X99&lt;=0.005,0,X99-MIN(X99,MAX(0,$E99-SUMIFS(H99:AK99,$H$5:$AK$5,"Rem",$H$4:$AK$4,"&lt;"&amp;Y$4))))</f>
        <v/>
      </c>
      <c r="Z99" s="33">
        <f>AB98*(1+N(Debts!$D$12)/1200)</f>
        <v/>
      </c>
      <c r="AA99" s="33">
        <f>Z99-MIN(N(Debts!$E$12),Z99)</f>
        <v/>
      </c>
      <c r="AB99" s="33">
        <f>IF(AA99&lt;=0.005,0,AA99-MIN(AA99,MAX(0,$E99-SUMIFS(H99:AK99,$H$5:$AK$5,"Rem",$H$4:$AK$4,"&lt;"&amp;AB$4))))</f>
        <v/>
      </c>
      <c r="AC99" s="33">
        <f>AE98*(1+N(Debts!$D$13)/1200)</f>
        <v/>
      </c>
      <c r="AD99" s="33">
        <f>AC99-MIN(N(Debts!$E$13),AC99)</f>
        <v/>
      </c>
      <c r="AE99" s="33">
        <f>IF(AD99&lt;=0.005,0,AD99-MIN(AD99,MAX(0,$E99-SUMIFS(H99:AK99,$H$5:$AK$5,"Rem",$H$4:$AK$4,"&lt;"&amp;AE$4))))</f>
        <v/>
      </c>
      <c r="AF99" s="33">
        <f>AH98*(1+N(Debts!$D$14)/1200)</f>
        <v/>
      </c>
      <c r="AG99" s="33">
        <f>AF99-MIN(N(Debts!$E$14),AF99)</f>
        <v/>
      </c>
      <c r="AH99" s="33">
        <f>IF(AG99&lt;=0.005,0,AG99-MIN(AG99,MAX(0,$E99-SUMIFS(H99:AK99,$H$5:$AK$5,"Rem",$H$4:$AK$4,"&lt;"&amp;AH$4))))</f>
        <v/>
      </c>
      <c r="AI99" s="33">
        <f>AK98*(1+N(Debts!$D$15)/1200)</f>
        <v/>
      </c>
      <c r="AJ99" s="33">
        <f>AI99-MIN(N(Debts!$E$15),AI99)</f>
        <v/>
      </c>
      <c r="AK99" s="33">
        <f>IF(AJ99&lt;=0.005,0,AJ99-MIN(AJ99,MAX(0,$E99-SUMIFS(H99:AK99,$H$5:$AK$5,"Rem",$H$4:$AK$4,"&lt;"&amp;AK$4))))</f>
        <v/>
      </c>
      <c r="AL99" s="1" t="n"/>
    </row>
    <row r="100">
      <c r="A100" s="1" t="n"/>
      <c r="B100" s="1" t="n">
        <v>93</v>
      </c>
      <c r="C100" s="34">
        <f>EDATE(Debts!$J$13,B100-1)</f>
        <v/>
      </c>
      <c r="D100" s="33">
        <f>IF(G99&lt;=0.005,0,Debts!$E$16+Debts!$J$7)</f>
        <v/>
      </c>
      <c r="E100" s="33">
        <f>MAX(0,D100-(SUMIF($H$5:$AK$5,"Due",H100:AK100)-SUMIF($H$5:$AK$5,"Rem",H100:AK100)))</f>
        <v/>
      </c>
      <c r="F100" s="33">
        <f>SUMIF($H$5:$AK$5,"Due",H100:AK100)-SUMIF($H$5:$AK$5,"Bal",H99:AK99)</f>
        <v/>
      </c>
      <c r="G100" s="33">
        <f>SUMIF($H$5:$AK$5,"Bal",H100:AK100)</f>
        <v/>
      </c>
      <c r="H100" s="33">
        <f>J99*(1+N(Debts!$D$6)/1200)</f>
        <v/>
      </c>
      <c r="I100" s="33">
        <f>H100-MIN(N(Debts!$E$6),H100)</f>
        <v/>
      </c>
      <c r="J100" s="33">
        <f>IF(I100&lt;=0.005,0,I100-MIN(I100,MAX(0,$E100-SUMIFS(H100:AK100,$H$5:$AK$5,"Rem",$H$4:$AK$4,"&lt;"&amp;J$4))))</f>
        <v/>
      </c>
      <c r="K100" s="33">
        <f>M99*(1+N(Debts!$D$7)/1200)</f>
        <v/>
      </c>
      <c r="L100" s="33">
        <f>K100-MIN(N(Debts!$E$7),K100)</f>
        <v/>
      </c>
      <c r="M100" s="33">
        <f>IF(L100&lt;=0.005,0,L100-MIN(L100,MAX(0,$E100-SUMIFS(H100:AK100,$H$5:$AK$5,"Rem",$H$4:$AK$4,"&lt;"&amp;M$4))))</f>
        <v/>
      </c>
      <c r="N100" s="33">
        <f>P99*(1+N(Debts!$D$8)/1200)</f>
        <v/>
      </c>
      <c r="O100" s="33">
        <f>N100-MIN(N(Debts!$E$8),N100)</f>
        <v/>
      </c>
      <c r="P100" s="33">
        <f>IF(O100&lt;=0.005,0,O100-MIN(O100,MAX(0,$E100-SUMIFS(H100:AK100,$H$5:$AK$5,"Rem",$H$4:$AK$4,"&lt;"&amp;P$4))))</f>
        <v/>
      </c>
      <c r="Q100" s="33">
        <f>S99*(1+N(Debts!$D$9)/1200)</f>
        <v/>
      </c>
      <c r="R100" s="33">
        <f>Q100-MIN(N(Debts!$E$9),Q100)</f>
        <v/>
      </c>
      <c r="S100" s="33">
        <f>IF(R100&lt;=0.005,0,R100-MIN(R100,MAX(0,$E100-SUMIFS(H100:AK100,$H$5:$AK$5,"Rem",$H$4:$AK$4,"&lt;"&amp;S$4))))</f>
        <v/>
      </c>
      <c r="T100" s="33">
        <f>V99*(1+N(Debts!$D$10)/1200)</f>
        <v/>
      </c>
      <c r="U100" s="33">
        <f>T100-MIN(N(Debts!$E$10),T100)</f>
        <v/>
      </c>
      <c r="V100" s="33">
        <f>IF(U100&lt;=0.005,0,U100-MIN(U100,MAX(0,$E100-SUMIFS(H100:AK100,$H$5:$AK$5,"Rem",$H$4:$AK$4,"&lt;"&amp;V$4))))</f>
        <v/>
      </c>
      <c r="W100" s="33">
        <f>Y99*(1+N(Debts!$D$11)/1200)</f>
        <v/>
      </c>
      <c r="X100" s="33">
        <f>W100-MIN(N(Debts!$E$11),W100)</f>
        <v/>
      </c>
      <c r="Y100" s="33">
        <f>IF(X100&lt;=0.005,0,X100-MIN(X100,MAX(0,$E100-SUMIFS(H100:AK100,$H$5:$AK$5,"Rem",$H$4:$AK$4,"&lt;"&amp;Y$4))))</f>
        <v/>
      </c>
      <c r="Z100" s="33">
        <f>AB99*(1+N(Debts!$D$12)/1200)</f>
        <v/>
      </c>
      <c r="AA100" s="33">
        <f>Z100-MIN(N(Debts!$E$12),Z100)</f>
        <v/>
      </c>
      <c r="AB100" s="33">
        <f>IF(AA100&lt;=0.005,0,AA100-MIN(AA100,MAX(0,$E100-SUMIFS(H100:AK100,$H$5:$AK$5,"Rem",$H$4:$AK$4,"&lt;"&amp;AB$4))))</f>
        <v/>
      </c>
      <c r="AC100" s="33">
        <f>AE99*(1+N(Debts!$D$13)/1200)</f>
        <v/>
      </c>
      <c r="AD100" s="33">
        <f>AC100-MIN(N(Debts!$E$13),AC100)</f>
        <v/>
      </c>
      <c r="AE100" s="33">
        <f>IF(AD100&lt;=0.005,0,AD100-MIN(AD100,MAX(0,$E100-SUMIFS(H100:AK100,$H$5:$AK$5,"Rem",$H$4:$AK$4,"&lt;"&amp;AE$4))))</f>
        <v/>
      </c>
      <c r="AF100" s="33">
        <f>AH99*(1+N(Debts!$D$14)/1200)</f>
        <v/>
      </c>
      <c r="AG100" s="33">
        <f>AF100-MIN(N(Debts!$E$14),AF100)</f>
        <v/>
      </c>
      <c r="AH100" s="33">
        <f>IF(AG100&lt;=0.005,0,AG100-MIN(AG100,MAX(0,$E100-SUMIFS(H100:AK100,$H$5:$AK$5,"Rem",$H$4:$AK$4,"&lt;"&amp;AH$4))))</f>
        <v/>
      </c>
      <c r="AI100" s="33">
        <f>AK99*(1+N(Debts!$D$15)/1200)</f>
        <v/>
      </c>
      <c r="AJ100" s="33">
        <f>AI100-MIN(N(Debts!$E$15),AI100)</f>
        <v/>
      </c>
      <c r="AK100" s="33">
        <f>IF(AJ100&lt;=0.005,0,AJ100-MIN(AJ100,MAX(0,$E100-SUMIFS(H100:AK100,$H$5:$AK$5,"Rem",$H$4:$AK$4,"&lt;"&amp;AK$4))))</f>
        <v/>
      </c>
      <c r="AL100" s="1" t="n"/>
    </row>
    <row r="101">
      <c r="A101" s="1" t="n"/>
      <c r="B101" s="1" t="n">
        <v>94</v>
      </c>
      <c r="C101" s="34">
        <f>EDATE(Debts!$J$13,B101-1)</f>
        <v/>
      </c>
      <c r="D101" s="33">
        <f>IF(G100&lt;=0.005,0,Debts!$E$16+Debts!$J$7)</f>
        <v/>
      </c>
      <c r="E101" s="33">
        <f>MAX(0,D101-(SUMIF($H$5:$AK$5,"Due",H101:AK101)-SUMIF($H$5:$AK$5,"Rem",H101:AK101)))</f>
        <v/>
      </c>
      <c r="F101" s="33">
        <f>SUMIF($H$5:$AK$5,"Due",H101:AK101)-SUMIF($H$5:$AK$5,"Bal",H100:AK100)</f>
        <v/>
      </c>
      <c r="G101" s="33">
        <f>SUMIF($H$5:$AK$5,"Bal",H101:AK101)</f>
        <v/>
      </c>
      <c r="H101" s="33">
        <f>J100*(1+N(Debts!$D$6)/1200)</f>
        <v/>
      </c>
      <c r="I101" s="33">
        <f>H101-MIN(N(Debts!$E$6),H101)</f>
        <v/>
      </c>
      <c r="J101" s="33">
        <f>IF(I101&lt;=0.005,0,I101-MIN(I101,MAX(0,$E101-SUMIFS(H101:AK101,$H$5:$AK$5,"Rem",$H$4:$AK$4,"&lt;"&amp;J$4))))</f>
        <v/>
      </c>
      <c r="K101" s="33">
        <f>M100*(1+N(Debts!$D$7)/1200)</f>
        <v/>
      </c>
      <c r="L101" s="33">
        <f>K101-MIN(N(Debts!$E$7),K101)</f>
        <v/>
      </c>
      <c r="M101" s="33">
        <f>IF(L101&lt;=0.005,0,L101-MIN(L101,MAX(0,$E101-SUMIFS(H101:AK101,$H$5:$AK$5,"Rem",$H$4:$AK$4,"&lt;"&amp;M$4))))</f>
        <v/>
      </c>
      <c r="N101" s="33">
        <f>P100*(1+N(Debts!$D$8)/1200)</f>
        <v/>
      </c>
      <c r="O101" s="33">
        <f>N101-MIN(N(Debts!$E$8),N101)</f>
        <v/>
      </c>
      <c r="P101" s="33">
        <f>IF(O101&lt;=0.005,0,O101-MIN(O101,MAX(0,$E101-SUMIFS(H101:AK101,$H$5:$AK$5,"Rem",$H$4:$AK$4,"&lt;"&amp;P$4))))</f>
        <v/>
      </c>
      <c r="Q101" s="33">
        <f>S100*(1+N(Debts!$D$9)/1200)</f>
        <v/>
      </c>
      <c r="R101" s="33">
        <f>Q101-MIN(N(Debts!$E$9),Q101)</f>
        <v/>
      </c>
      <c r="S101" s="33">
        <f>IF(R101&lt;=0.005,0,R101-MIN(R101,MAX(0,$E101-SUMIFS(H101:AK101,$H$5:$AK$5,"Rem",$H$4:$AK$4,"&lt;"&amp;S$4))))</f>
        <v/>
      </c>
      <c r="T101" s="33">
        <f>V100*(1+N(Debts!$D$10)/1200)</f>
        <v/>
      </c>
      <c r="U101" s="33">
        <f>T101-MIN(N(Debts!$E$10),T101)</f>
        <v/>
      </c>
      <c r="V101" s="33">
        <f>IF(U101&lt;=0.005,0,U101-MIN(U101,MAX(0,$E101-SUMIFS(H101:AK101,$H$5:$AK$5,"Rem",$H$4:$AK$4,"&lt;"&amp;V$4))))</f>
        <v/>
      </c>
      <c r="W101" s="33">
        <f>Y100*(1+N(Debts!$D$11)/1200)</f>
        <v/>
      </c>
      <c r="X101" s="33">
        <f>W101-MIN(N(Debts!$E$11),W101)</f>
        <v/>
      </c>
      <c r="Y101" s="33">
        <f>IF(X101&lt;=0.005,0,X101-MIN(X101,MAX(0,$E101-SUMIFS(H101:AK101,$H$5:$AK$5,"Rem",$H$4:$AK$4,"&lt;"&amp;Y$4))))</f>
        <v/>
      </c>
      <c r="Z101" s="33">
        <f>AB100*(1+N(Debts!$D$12)/1200)</f>
        <v/>
      </c>
      <c r="AA101" s="33">
        <f>Z101-MIN(N(Debts!$E$12),Z101)</f>
        <v/>
      </c>
      <c r="AB101" s="33">
        <f>IF(AA101&lt;=0.005,0,AA101-MIN(AA101,MAX(0,$E101-SUMIFS(H101:AK101,$H$5:$AK$5,"Rem",$H$4:$AK$4,"&lt;"&amp;AB$4))))</f>
        <v/>
      </c>
      <c r="AC101" s="33">
        <f>AE100*(1+N(Debts!$D$13)/1200)</f>
        <v/>
      </c>
      <c r="AD101" s="33">
        <f>AC101-MIN(N(Debts!$E$13),AC101)</f>
        <v/>
      </c>
      <c r="AE101" s="33">
        <f>IF(AD101&lt;=0.005,0,AD101-MIN(AD101,MAX(0,$E101-SUMIFS(H101:AK101,$H$5:$AK$5,"Rem",$H$4:$AK$4,"&lt;"&amp;AE$4))))</f>
        <v/>
      </c>
      <c r="AF101" s="33">
        <f>AH100*(1+N(Debts!$D$14)/1200)</f>
        <v/>
      </c>
      <c r="AG101" s="33">
        <f>AF101-MIN(N(Debts!$E$14),AF101)</f>
        <v/>
      </c>
      <c r="AH101" s="33">
        <f>IF(AG101&lt;=0.005,0,AG101-MIN(AG101,MAX(0,$E101-SUMIFS(H101:AK101,$H$5:$AK$5,"Rem",$H$4:$AK$4,"&lt;"&amp;AH$4))))</f>
        <v/>
      </c>
      <c r="AI101" s="33">
        <f>AK100*(1+N(Debts!$D$15)/1200)</f>
        <v/>
      </c>
      <c r="AJ101" s="33">
        <f>AI101-MIN(N(Debts!$E$15),AI101)</f>
        <v/>
      </c>
      <c r="AK101" s="33">
        <f>IF(AJ101&lt;=0.005,0,AJ101-MIN(AJ101,MAX(0,$E101-SUMIFS(H101:AK101,$H$5:$AK$5,"Rem",$H$4:$AK$4,"&lt;"&amp;AK$4))))</f>
        <v/>
      </c>
      <c r="AL101" s="1" t="n"/>
    </row>
    <row r="102">
      <c r="A102" s="1" t="n"/>
      <c r="B102" s="1" t="n">
        <v>95</v>
      </c>
      <c r="C102" s="34">
        <f>EDATE(Debts!$J$13,B102-1)</f>
        <v/>
      </c>
      <c r="D102" s="33">
        <f>IF(G101&lt;=0.005,0,Debts!$E$16+Debts!$J$7)</f>
        <v/>
      </c>
      <c r="E102" s="33">
        <f>MAX(0,D102-(SUMIF($H$5:$AK$5,"Due",H102:AK102)-SUMIF($H$5:$AK$5,"Rem",H102:AK102)))</f>
        <v/>
      </c>
      <c r="F102" s="33">
        <f>SUMIF($H$5:$AK$5,"Due",H102:AK102)-SUMIF($H$5:$AK$5,"Bal",H101:AK101)</f>
        <v/>
      </c>
      <c r="G102" s="33">
        <f>SUMIF($H$5:$AK$5,"Bal",H102:AK102)</f>
        <v/>
      </c>
      <c r="H102" s="33">
        <f>J101*(1+N(Debts!$D$6)/1200)</f>
        <v/>
      </c>
      <c r="I102" s="33">
        <f>H102-MIN(N(Debts!$E$6),H102)</f>
        <v/>
      </c>
      <c r="J102" s="33">
        <f>IF(I102&lt;=0.005,0,I102-MIN(I102,MAX(0,$E102-SUMIFS(H102:AK102,$H$5:$AK$5,"Rem",$H$4:$AK$4,"&lt;"&amp;J$4))))</f>
        <v/>
      </c>
      <c r="K102" s="33">
        <f>M101*(1+N(Debts!$D$7)/1200)</f>
        <v/>
      </c>
      <c r="L102" s="33">
        <f>K102-MIN(N(Debts!$E$7),K102)</f>
        <v/>
      </c>
      <c r="M102" s="33">
        <f>IF(L102&lt;=0.005,0,L102-MIN(L102,MAX(0,$E102-SUMIFS(H102:AK102,$H$5:$AK$5,"Rem",$H$4:$AK$4,"&lt;"&amp;M$4))))</f>
        <v/>
      </c>
      <c r="N102" s="33">
        <f>P101*(1+N(Debts!$D$8)/1200)</f>
        <v/>
      </c>
      <c r="O102" s="33">
        <f>N102-MIN(N(Debts!$E$8),N102)</f>
        <v/>
      </c>
      <c r="P102" s="33">
        <f>IF(O102&lt;=0.005,0,O102-MIN(O102,MAX(0,$E102-SUMIFS(H102:AK102,$H$5:$AK$5,"Rem",$H$4:$AK$4,"&lt;"&amp;P$4))))</f>
        <v/>
      </c>
      <c r="Q102" s="33">
        <f>S101*(1+N(Debts!$D$9)/1200)</f>
        <v/>
      </c>
      <c r="R102" s="33">
        <f>Q102-MIN(N(Debts!$E$9),Q102)</f>
        <v/>
      </c>
      <c r="S102" s="33">
        <f>IF(R102&lt;=0.005,0,R102-MIN(R102,MAX(0,$E102-SUMIFS(H102:AK102,$H$5:$AK$5,"Rem",$H$4:$AK$4,"&lt;"&amp;S$4))))</f>
        <v/>
      </c>
      <c r="T102" s="33">
        <f>V101*(1+N(Debts!$D$10)/1200)</f>
        <v/>
      </c>
      <c r="U102" s="33">
        <f>T102-MIN(N(Debts!$E$10),T102)</f>
        <v/>
      </c>
      <c r="V102" s="33">
        <f>IF(U102&lt;=0.005,0,U102-MIN(U102,MAX(0,$E102-SUMIFS(H102:AK102,$H$5:$AK$5,"Rem",$H$4:$AK$4,"&lt;"&amp;V$4))))</f>
        <v/>
      </c>
      <c r="W102" s="33">
        <f>Y101*(1+N(Debts!$D$11)/1200)</f>
        <v/>
      </c>
      <c r="X102" s="33">
        <f>W102-MIN(N(Debts!$E$11),W102)</f>
        <v/>
      </c>
      <c r="Y102" s="33">
        <f>IF(X102&lt;=0.005,0,X102-MIN(X102,MAX(0,$E102-SUMIFS(H102:AK102,$H$5:$AK$5,"Rem",$H$4:$AK$4,"&lt;"&amp;Y$4))))</f>
        <v/>
      </c>
      <c r="Z102" s="33">
        <f>AB101*(1+N(Debts!$D$12)/1200)</f>
        <v/>
      </c>
      <c r="AA102" s="33">
        <f>Z102-MIN(N(Debts!$E$12),Z102)</f>
        <v/>
      </c>
      <c r="AB102" s="33">
        <f>IF(AA102&lt;=0.005,0,AA102-MIN(AA102,MAX(0,$E102-SUMIFS(H102:AK102,$H$5:$AK$5,"Rem",$H$4:$AK$4,"&lt;"&amp;AB$4))))</f>
        <v/>
      </c>
      <c r="AC102" s="33">
        <f>AE101*(1+N(Debts!$D$13)/1200)</f>
        <v/>
      </c>
      <c r="AD102" s="33">
        <f>AC102-MIN(N(Debts!$E$13),AC102)</f>
        <v/>
      </c>
      <c r="AE102" s="33">
        <f>IF(AD102&lt;=0.005,0,AD102-MIN(AD102,MAX(0,$E102-SUMIFS(H102:AK102,$H$5:$AK$5,"Rem",$H$4:$AK$4,"&lt;"&amp;AE$4))))</f>
        <v/>
      </c>
      <c r="AF102" s="33">
        <f>AH101*(1+N(Debts!$D$14)/1200)</f>
        <v/>
      </c>
      <c r="AG102" s="33">
        <f>AF102-MIN(N(Debts!$E$14),AF102)</f>
        <v/>
      </c>
      <c r="AH102" s="33">
        <f>IF(AG102&lt;=0.005,0,AG102-MIN(AG102,MAX(0,$E102-SUMIFS(H102:AK102,$H$5:$AK$5,"Rem",$H$4:$AK$4,"&lt;"&amp;AH$4))))</f>
        <v/>
      </c>
      <c r="AI102" s="33">
        <f>AK101*(1+N(Debts!$D$15)/1200)</f>
        <v/>
      </c>
      <c r="AJ102" s="33">
        <f>AI102-MIN(N(Debts!$E$15),AI102)</f>
        <v/>
      </c>
      <c r="AK102" s="33">
        <f>IF(AJ102&lt;=0.005,0,AJ102-MIN(AJ102,MAX(0,$E102-SUMIFS(H102:AK102,$H$5:$AK$5,"Rem",$H$4:$AK$4,"&lt;"&amp;AK$4))))</f>
        <v/>
      </c>
      <c r="AL102" s="1" t="n"/>
    </row>
    <row r="103">
      <c r="A103" s="1" t="n"/>
      <c r="B103" s="1" t="n">
        <v>96</v>
      </c>
      <c r="C103" s="34">
        <f>EDATE(Debts!$J$13,B103-1)</f>
        <v/>
      </c>
      <c r="D103" s="33">
        <f>IF(G102&lt;=0.005,0,Debts!$E$16+Debts!$J$7)</f>
        <v/>
      </c>
      <c r="E103" s="33">
        <f>MAX(0,D103-(SUMIF($H$5:$AK$5,"Due",H103:AK103)-SUMIF($H$5:$AK$5,"Rem",H103:AK103)))</f>
        <v/>
      </c>
      <c r="F103" s="33">
        <f>SUMIF($H$5:$AK$5,"Due",H103:AK103)-SUMIF($H$5:$AK$5,"Bal",H102:AK102)</f>
        <v/>
      </c>
      <c r="G103" s="33">
        <f>SUMIF($H$5:$AK$5,"Bal",H103:AK103)</f>
        <v/>
      </c>
      <c r="H103" s="33">
        <f>J102*(1+N(Debts!$D$6)/1200)</f>
        <v/>
      </c>
      <c r="I103" s="33">
        <f>H103-MIN(N(Debts!$E$6),H103)</f>
        <v/>
      </c>
      <c r="J103" s="33">
        <f>IF(I103&lt;=0.005,0,I103-MIN(I103,MAX(0,$E103-SUMIFS(H103:AK103,$H$5:$AK$5,"Rem",$H$4:$AK$4,"&lt;"&amp;J$4))))</f>
        <v/>
      </c>
      <c r="K103" s="33">
        <f>M102*(1+N(Debts!$D$7)/1200)</f>
        <v/>
      </c>
      <c r="L103" s="33">
        <f>K103-MIN(N(Debts!$E$7),K103)</f>
        <v/>
      </c>
      <c r="M103" s="33">
        <f>IF(L103&lt;=0.005,0,L103-MIN(L103,MAX(0,$E103-SUMIFS(H103:AK103,$H$5:$AK$5,"Rem",$H$4:$AK$4,"&lt;"&amp;M$4))))</f>
        <v/>
      </c>
      <c r="N103" s="33">
        <f>P102*(1+N(Debts!$D$8)/1200)</f>
        <v/>
      </c>
      <c r="O103" s="33">
        <f>N103-MIN(N(Debts!$E$8),N103)</f>
        <v/>
      </c>
      <c r="P103" s="33">
        <f>IF(O103&lt;=0.005,0,O103-MIN(O103,MAX(0,$E103-SUMIFS(H103:AK103,$H$5:$AK$5,"Rem",$H$4:$AK$4,"&lt;"&amp;P$4))))</f>
        <v/>
      </c>
      <c r="Q103" s="33">
        <f>S102*(1+N(Debts!$D$9)/1200)</f>
        <v/>
      </c>
      <c r="R103" s="33">
        <f>Q103-MIN(N(Debts!$E$9),Q103)</f>
        <v/>
      </c>
      <c r="S103" s="33">
        <f>IF(R103&lt;=0.005,0,R103-MIN(R103,MAX(0,$E103-SUMIFS(H103:AK103,$H$5:$AK$5,"Rem",$H$4:$AK$4,"&lt;"&amp;S$4))))</f>
        <v/>
      </c>
      <c r="T103" s="33">
        <f>V102*(1+N(Debts!$D$10)/1200)</f>
        <v/>
      </c>
      <c r="U103" s="33">
        <f>T103-MIN(N(Debts!$E$10),T103)</f>
        <v/>
      </c>
      <c r="V103" s="33">
        <f>IF(U103&lt;=0.005,0,U103-MIN(U103,MAX(0,$E103-SUMIFS(H103:AK103,$H$5:$AK$5,"Rem",$H$4:$AK$4,"&lt;"&amp;V$4))))</f>
        <v/>
      </c>
      <c r="W103" s="33">
        <f>Y102*(1+N(Debts!$D$11)/1200)</f>
        <v/>
      </c>
      <c r="X103" s="33">
        <f>W103-MIN(N(Debts!$E$11),W103)</f>
        <v/>
      </c>
      <c r="Y103" s="33">
        <f>IF(X103&lt;=0.005,0,X103-MIN(X103,MAX(0,$E103-SUMIFS(H103:AK103,$H$5:$AK$5,"Rem",$H$4:$AK$4,"&lt;"&amp;Y$4))))</f>
        <v/>
      </c>
      <c r="Z103" s="33">
        <f>AB102*(1+N(Debts!$D$12)/1200)</f>
        <v/>
      </c>
      <c r="AA103" s="33">
        <f>Z103-MIN(N(Debts!$E$12),Z103)</f>
        <v/>
      </c>
      <c r="AB103" s="33">
        <f>IF(AA103&lt;=0.005,0,AA103-MIN(AA103,MAX(0,$E103-SUMIFS(H103:AK103,$H$5:$AK$5,"Rem",$H$4:$AK$4,"&lt;"&amp;AB$4))))</f>
        <v/>
      </c>
      <c r="AC103" s="33">
        <f>AE102*(1+N(Debts!$D$13)/1200)</f>
        <v/>
      </c>
      <c r="AD103" s="33">
        <f>AC103-MIN(N(Debts!$E$13),AC103)</f>
        <v/>
      </c>
      <c r="AE103" s="33">
        <f>IF(AD103&lt;=0.005,0,AD103-MIN(AD103,MAX(0,$E103-SUMIFS(H103:AK103,$H$5:$AK$5,"Rem",$H$4:$AK$4,"&lt;"&amp;AE$4))))</f>
        <v/>
      </c>
      <c r="AF103" s="33">
        <f>AH102*(1+N(Debts!$D$14)/1200)</f>
        <v/>
      </c>
      <c r="AG103" s="33">
        <f>AF103-MIN(N(Debts!$E$14),AF103)</f>
        <v/>
      </c>
      <c r="AH103" s="33">
        <f>IF(AG103&lt;=0.005,0,AG103-MIN(AG103,MAX(0,$E103-SUMIFS(H103:AK103,$H$5:$AK$5,"Rem",$H$4:$AK$4,"&lt;"&amp;AH$4))))</f>
        <v/>
      </c>
      <c r="AI103" s="33">
        <f>AK102*(1+N(Debts!$D$15)/1200)</f>
        <v/>
      </c>
      <c r="AJ103" s="33">
        <f>AI103-MIN(N(Debts!$E$15),AI103)</f>
        <v/>
      </c>
      <c r="AK103" s="33">
        <f>IF(AJ103&lt;=0.005,0,AJ103-MIN(AJ103,MAX(0,$E103-SUMIFS(H103:AK103,$H$5:$AK$5,"Rem",$H$4:$AK$4,"&lt;"&amp;AK$4))))</f>
        <v/>
      </c>
      <c r="AL103" s="1" t="n"/>
    </row>
    <row r="104">
      <c r="A104" s="1" t="n"/>
      <c r="B104" s="1" t="n">
        <v>97</v>
      </c>
      <c r="C104" s="34">
        <f>EDATE(Debts!$J$13,B104-1)</f>
        <v/>
      </c>
      <c r="D104" s="33">
        <f>IF(G103&lt;=0.005,0,Debts!$E$16+Debts!$J$7)</f>
        <v/>
      </c>
      <c r="E104" s="33">
        <f>MAX(0,D104-(SUMIF($H$5:$AK$5,"Due",H104:AK104)-SUMIF($H$5:$AK$5,"Rem",H104:AK104)))</f>
        <v/>
      </c>
      <c r="F104" s="33">
        <f>SUMIF($H$5:$AK$5,"Due",H104:AK104)-SUMIF($H$5:$AK$5,"Bal",H103:AK103)</f>
        <v/>
      </c>
      <c r="G104" s="33">
        <f>SUMIF($H$5:$AK$5,"Bal",H104:AK104)</f>
        <v/>
      </c>
      <c r="H104" s="33">
        <f>J103*(1+N(Debts!$D$6)/1200)</f>
        <v/>
      </c>
      <c r="I104" s="33">
        <f>H104-MIN(N(Debts!$E$6),H104)</f>
        <v/>
      </c>
      <c r="J104" s="33">
        <f>IF(I104&lt;=0.005,0,I104-MIN(I104,MAX(0,$E104-SUMIFS(H104:AK104,$H$5:$AK$5,"Rem",$H$4:$AK$4,"&lt;"&amp;J$4))))</f>
        <v/>
      </c>
      <c r="K104" s="33">
        <f>M103*(1+N(Debts!$D$7)/1200)</f>
        <v/>
      </c>
      <c r="L104" s="33">
        <f>K104-MIN(N(Debts!$E$7),K104)</f>
        <v/>
      </c>
      <c r="M104" s="33">
        <f>IF(L104&lt;=0.005,0,L104-MIN(L104,MAX(0,$E104-SUMIFS(H104:AK104,$H$5:$AK$5,"Rem",$H$4:$AK$4,"&lt;"&amp;M$4))))</f>
        <v/>
      </c>
      <c r="N104" s="33">
        <f>P103*(1+N(Debts!$D$8)/1200)</f>
        <v/>
      </c>
      <c r="O104" s="33">
        <f>N104-MIN(N(Debts!$E$8),N104)</f>
        <v/>
      </c>
      <c r="P104" s="33">
        <f>IF(O104&lt;=0.005,0,O104-MIN(O104,MAX(0,$E104-SUMIFS(H104:AK104,$H$5:$AK$5,"Rem",$H$4:$AK$4,"&lt;"&amp;P$4))))</f>
        <v/>
      </c>
      <c r="Q104" s="33">
        <f>S103*(1+N(Debts!$D$9)/1200)</f>
        <v/>
      </c>
      <c r="R104" s="33">
        <f>Q104-MIN(N(Debts!$E$9),Q104)</f>
        <v/>
      </c>
      <c r="S104" s="33">
        <f>IF(R104&lt;=0.005,0,R104-MIN(R104,MAX(0,$E104-SUMIFS(H104:AK104,$H$5:$AK$5,"Rem",$H$4:$AK$4,"&lt;"&amp;S$4))))</f>
        <v/>
      </c>
      <c r="T104" s="33">
        <f>V103*(1+N(Debts!$D$10)/1200)</f>
        <v/>
      </c>
      <c r="U104" s="33">
        <f>T104-MIN(N(Debts!$E$10),T104)</f>
        <v/>
      </c>
      <c r="V104" s="33">
        <f>IF(U104&lt;=0.005,0,U104-MIN(U104,MAX(0,$E104-SUMIFS(H104:AK104,$H$5:$AK$5,"Rem",$H$4:$AK$4,"&lt;"&amp;V$4))))</f>
        <v/>
      </c>
      <c r="W104" s="33">
        <f>Y103*(1+N(Debts!$D$11)/1200)</f>
        <v/>
      </c>
      <c r="X104" s="33">
        <f>W104-MIN(N(Debts!$E$11),W104)</f>
        <v/>
      </c>
      <c r="Y104" s="33">
        <f>IF(X104&lt;=0.005,0,X104-MIN(X104,MAX(0,$E104-SUMIFS(H104:AK104,$H$5:$AK$5,"Rem",$H$4:$AK$4,"&lt;"&amp;Y$4))))</f>
        <v/>
      </c>
      <c r="Z104" s="33">
        <f>AB103*(1+N(Debts!$D$12)/1200)</f>
        <v/>
      </c>
      <c r="AA104" s="33">
        <f>Z104-MIN(N(Debts!$E$12),Z104)</f>
        <v/>
      </c>
      <c r="AB104" s="33">
        <f>IF(AA104&lt;=0.005,0,AA104-MIN(AA104,MAX(0,$E104-SUMIFS(H104:AK104,$H$5:$AK$5,"Rem",$H$4:$AK$4,"&lt;"&amp;AB$4))))</f>
        <v/>
      </c>
      <c r="AC104" s="33">
        <f>AE103*(1+N(Debts!$D$13)/1200)</f>
        <v/>
      </c>
      <c r="AD104" s="33">
        <f>AC104-MIN(N(Debts!$E$13),AC104)</f>
        <v/>
      </c>
      <c r="AE104" s="33">
        <f>IF(AD104&lt;=0.005,0,AD104-MIN(AD104,MAX(0,$E104-SUMIFS(H104:AK104,$H$5:$AK$5,"Rem",$H$4:$AK$4,"&lt;"&amp;AE$4))))</f>
        <v/>
      </c>
      <c r="AF104" s="33">
        <f>AH103*(1+N(Debts!$D$14)/1200)</f>
        <v/>
      </c>
      <c r="AG104" s="33">
        <f>AF104-MIN(N(Debts!$E$14),AF104)</f>
        <v/>
      </c>
      <c r="AH104" s="33">
        <f>IF(AG104&lt;=0.005,0,AG104-MIN(AG104,MAX(0,$E104-SUMIFS(H104:AK104,$H$5:$AK$5,"Rem",$H$4:$AK$4,"&lt;"&amp;AH$4))))</f>
        <v/>
      </c>
      <c r="AI104" s="33">
        <f>AK103*(1+N(Debts!$D$15)/1200)</f>
        <v/>
      </c>
      <c r="AJ104" s="33">
        <f>AI104-MIN(N(Debts!$E$15),AI104)</f>
        <v/>
      </c>
      <c r="AK104" s="33">
        <f>IF(AJ104&lt;=0.005,0,AJ104-MIN(AJ104,MAX(0,$E104-SUMIFS(H104:AK104,$H$5:$AK$5,"Rem",$H$4:$AK$4,"&lt;"&amp;AK$4))))</f>
        <v/>
      </c>
      <c r="AL104" s="1" t="n"/>
    </row>
    <row r="105">
      <c r="A105" s="1" t="n"/>
      <c r="B105" s="1" t="n">
        <v>98</v>
      </c>
      <c r="C105" s="34">
        <f>EDATE(Debts!$J$13,B105-1)</f>
        <v/>
      </c>
      <c r="D105" s="33">
        <f>IF(G104&lt;=0.005,0,Debts!$E$16+Debts!$J$7)</f>
        <v/>
      </c>
      <c r="E105" s="33">
        <f>MAX(0,D105-(SUMIF($H$5:$AK$5,"Due",H105:AK105)-SUMIF($H$5:$AK$5,"Rem",H105:AK105)))</f>
        <v/>
      </c>
      <c r="F105" s="33">
        <f>SUMIF($H$5:$AK$5,"Due",H105:AK105)-SUMIF($H$5:$AK$5,"Bal",H104:AK104)</f>
        <v/>
      </c>
      <c r="G105" s="33">
        <f>SUMIF($H$5:$AK$5,"Bal",H105:AK105)</f>
        <v/>
      </c>
      <c r="H105" s="33">
        <f>J104*(1+N(Debts!$D$6)/1200)</f>
        <v/>
      </c>
      <c r="I105" s="33">
        <f>H105-MIN(N(Debts!$E$6),H105)</f>
        <v/>
      </c>
      <c r="J105" s="33">
        <f>IF(I105&lt;=0.005,0,I105-MIN(I105,MAX(0,$E105-SUMIFS(H105:AK105,$H$5:$AK$5,"Rem",$H$4:$AK$4,"&lt;"&amp;J$4))))</f>
        <v/>
      </c>
      <c r="K105" s="33">
        <f>M104*(1+N(Debts!$D$7)/1200)</f>
        <v/>
      </c>
      <c r="L105" s="33">
        <f>K105-MIN(N(Debts!$E$7),K105)</f>
        <v/>
      </c>
      <c r="M105" s="33">
        <f>IF(L105&lt;=0.005,0,L105-MIN(L105,MAX(0,$E105-SUMIFS(H105:AK105,$H$5:$AK$5,"Rem",$H$4:$AK$4,"&lt;"&amp;M$4))))</f>
        <v/>
      </c>
      <c r="N105" s="33">
        <f>P104*(1+N(Debts!$D$8)/1200)</f>
        <v/>
      </c>
      <c r="O105" s="33">
        <f>N105-MIN(N(Debts!$E$8),N105)</f>
        <v/>
      </c>
      <c r="P105" s="33">
        <f>IF(O105&lt;=0.005,0,O105-MIN(O105,MAX(0,$E105-SUMIFS(H105:AK105,$H$5:$AK$5,"Rem",$H$4:$AK$4,"&lt;"&amp;P$4))))</f>
        <v/>
      </c>
      <c r="Q105" s="33">
        <f>S104*(1+N(Debts!$D$9)/1200)</f>
        <v/>
      </c>
      <c r="R105" s="33">
        <f>Q105-MIN(N(Debts!$E$9),Q105)</f>
        <v/>
      </c>
      <c r="S105" s="33">
        <f>IF(R105&lt;=0.005,0,R105-MIN(R105,MAX(0,$E105-SUMIFS(H105:AK105,$H$5:$AK$5,"Rem",$H$4:$AK$4,"&lt;"&amp;S$4))))</f>
        <v/>
      </c>
      <c r="T105" s="33">
        <f>V104*(1+N(Debts!$D$10)/1200)</f>
        <v/>
      </c>
      <c r="U105" s="33">
        <f>T105-MIN(N(Debts!$E$10),T105)</f>
        <v/>
      </c>
      <c r="V105" s="33">
        <f>IF(U105&lt;=0.005,0,U105-MIN(U105,MAX(0,$E105-SUMIFS(H105:AK105,$H$5:$AK$5,"Rem",$H$4:$AK$4,"&lt;"&amp;V$4))))</f>
        <v/>
      </c>
      <c r="W105" s="33">
        <f>Y104*(1+N(Debts!$D$11)/1200)</f>
        <v/>
      </c>
      <c r="X105" s="33">
        <f>W105-MIN(N(Debts!$E$11),W105)</f>
        <v/>
      </c>
      <c r="Y105" s="33">
        <f>IF(X105&lt;=0.005,0,X105-MIN(X105,MAX(0,$E105-SUMIFS(H105:AK105,$H$5:$AK$5,"Rem",$H$4:$AK$4,"&lt;"&amp;Y$4))))</f>
        <v/>
      </c>
      <c r="Z105" s="33">
        <f>AB104*(1+N(Debts!$D$12)/1200)</f>
        <v/>
      </c>
      <c r="AA105" s="33">
        <f>Z105-MIN(N(Debts!$E$12),Z105)</f>
        <v/>
      </c>
      <c r="AB105" s="33">
        <f>IF(AA105&lt;=0.005,0,AA105-MIN(AA105,MAX(0,$E105-SUMIFS(H105:AK105,$H$5:$AK$5,"Rem",$H$4:$AK$4,"&lt;"&amp;AB$4))))</f>
        <v/>
      </c>
      <c r="AC105" s="33">
        <f>AE104*(1+N(Debts!$D$13)/1200)</f>
        <v/>
      </c>
      <c r="AD105" s="33">
        <f>AC105-MIN(N(Debts!$E$13),AC105)</f>
        <v/>
      </c>
      <c r="AE105" s="33">
        <f>IF(AD105&lt;=0.005,0,AD105-MIN(AD105,MAX(0,$E105-SUMIFS(H105:AK105,$H$5:$AK$5,"Rem",$H$4:$AK$4,"&lt;"&amp;AE$4))))</f>
        <v/>
      </c>
      <c r="AF105" s="33">
        <f>AH104*(1+N(Debts!$D$14)/1200)</f>
        <v/>
      </c>
      <c r="AG105" s="33">
        <f>AF105-MIN(N(Debts!$E$14),AF105)</f>
        <v/>
      </c>
      <c r="AH105" s="33">
        <f>IF(AG105&lt;=0.005,0,AG105-MIN(AG105,MAX(0,$E105-SUMIFS(H105:AK105,$H$5:$AK$5,"Rem",$H$4:$AK$4,"&lt;"&amp;AH$4))))</f>
        <v/>
      </c>
      <c r="AI105" s="33">
        <f>AK104*(1+N(Debts!$D$15)/1200)</f>
        <v/>
      </c>
      <c r="AJ105" s="33">
        <f>AI105-MIN(N(Debts!$E$15),AI105)</f>
        <v/>
      </c>
      <c r="AK105" s="33">
        <f>IF(AJ105&lt;=0.005,0,AJ105-MIN(AJ105,MAX(0,$E105-SUMIFS(H105:AK105,$H$5:$AK$5,"Rem",$H$4:$AK$4,"&lt;"&amp;AK$4))))</f>
        <v/>
      </c>
      <c r="AL105" s="1" t="n"/>
    </row>
    <row r="106">
      <c r="A106" s="1" t="n"/>
      <c r="B106" s="1" t="n">
        <v>99</v>
      </c>
      <c r="C106" s="34">
        <f>EDATE(Debts!$J$13,B106-1)</f>
        <v/>
      </c>
      <c r="D106" s="33">
        <f>IF(G105&lt;=0.005,0,Debts!$E$16+Debts!$J$7)</f>
        <v/>
      </c>
      <c r="E106" s="33">
        <f>MAX(0,D106-(SUMIF($H$5:$AK$5,"Due",H106:AK106)-SUMIF($H$5:$AK$5,"Rem",H106:AK106)))</f>
        <v/>
      </c>
      <c r="F106" s="33">
        <f>SUMIF($H$5:$AK$5,"Due",H106:AK106)-SUMIF($H$5:$AK$5,"Bal",H105:AK105)</f>
        <v/>
      </c>
      <c r="G106" s="33">
        <f>SUMIF($H$5:$AK$5,"Bal",H106:AK106)</f>
        <v/>
      </c>
      <c r="H106" s="33">
        <f>J105*(1+N(Debts!$D$6)/1200)</f>
        <v/>
      </c>
      <c r="I106" s="33">
        <f>H106-MIN(N(Debts!$E$6),H106)</f>
        <v/>
      </c>
      <c r="J106" s="33">
        <f>IF(I106&lt;=0.005,0,I106-MIN(I106,MAX(0,$E106-SUMIFS(H106:AK106,$H$5:$AK$5,"Rem",$H$4:$AK$4,"&lt;"&amp;J$4))))</f>
        <v/>
      </c>
      <c r="K106" s="33">
        <f>M105*(1+N(Debts!$D$7)/1200)</f>
        <v/>
      </c>
      <c r="L106" s="33">
        <f>K106-MIN(N(Debts!$E$7),K106)</f>
        <v/>
      </c>
      <c r="M106" s="33">
        <f>IF(L106&lt;=0.005,0,L106-MIN(L106,MAX(0,$E106-SUMIFS(H106:AK106,$H$5:$AK$5,"Rem",$H$4:$AK$4,"&lt;"&amp;M$4))))</f>
        <v/>
      </c>
      <c r="N106" s="33">
        <f>P105*(1+N(Debts!$D$8)/1200)</f>
        <v/>
      </c>
      <c r="O106" s="33">
        <f>N106-MIN(N(Debts!$E$8),N106)</f>
        <v/>
      </c>
      <c r="P106" s="33">
        <f>IF(O106&lt;=0.005,0,O106-MIN(O106,MAX(0,$E106-SUMIFS(H106:AK106,$H$5:$AK$5,"Rem",$H$4:$AK$4,"&lt;"&amp;P$4))))</f>
        <v/>
      </c>
      <c r="Q106" s="33">
        <f>S105*(1+N(Debts!$D$9)/1200)</f>
        <v/>
      </c>
      <c r="R106" s="33">
        <f>Q106-MIN(N(Debts!$E$9),Q106)</f>
        <v/>
      </c>
      <c r="S106" s="33">
        <f>IF(R106&lt;=0.005,0,R106-MIN(R106,MAX(0,$E106-SUMIFS(H106:AK106,$H$5:$AK$5,"Rem",$H$4:$AK$4,"&lt;"&amp;S$4))))</f>
        <v/>
      </c>
      <c r="T106" s="33">
        <f>V105*(1+N(Debts!$D$10)/1200)</f>
        <v/>
      </c>
      <c r="U106" s="33">
        <f>T106-MIN(N(Debts!$E$10),T106)</f>
        <v/>
      </c>
      <c r="V106" s="33">
        <f>IF(U106&lt;=0.005,0,U106-MIN(U106,MAX(0,$E106-SUMIFS(H106:AK106,$H$5:$AK$5,"Rem",$H$4:$AK$4,"&lt;"&amp;V$4))))</f>
        <v/>
      </c>
      <c r="W106" s="33">
        <f>Y105*(1+N(Debts!$D$11)/1200)</f>
        <v/>
      </c>
      <c r="X106" s="33">
        <f>W106-MIN(N(Debts!$E$11),W106)</f>
        <v/>
      </c>
      <c r="Y106" s="33">
        <f>IF(X106&lt;=0.005,0,X106-MIN(X106,MAX(0,$E106-SUMIFS(H106:AK106,$H$5:$AK$5,"Rem",$H$4:$AK$4,"&lt;"&amp;Y$4))))</f>
        <v/>
      </c>
      <c r="Z106" s="33">
        <f>AB105*(1+N(Debts!$D$12)/1200)</f>
        <v/>
      </c>
      <c r="AA106" s="33">
        <f>Z106-MIN(N(Debts!$E$12),Z106)</f>
        <v/>
      </c>
      <c r="AB106" s="33">
        <f>IF(AA106&lt;=0.005,0,AA106-MIN(AA106,MAX(0,$E106-SUMIFS(H106:AK106,$H$5:$AK$5,"Rem",$H$4:$AK$4,"&lt;"&amp;AB$4))))</f>
        <v/>
      </c>
      <c r="AC106" s="33">
        <f>AE105*(1+N(Debts!$D$13)/1200)</f>
        <v/>
      </c>
      <c r="AD106" s="33">
        <f>AC106-MIN(N(Debts!$E$13),AC106)</f>
        <v/>
      </c>
      <c r="AE106" s="33">
        <f>IF(AD106&lt;=0.005,0,AD106-MIN(AD106,MAX(0,$E106-SUMIFS(H106:AK106,$H$5:$AK$5,"Rem",$H$4:$AK$4,"&lt;"&amp;AE$4))))</f>
        <v/>
      </c>
      <c r="AF106" s="33">
        <f>AH105*(1+N(Debts!$D$14)/1200)</f>
        <v/>
      </c>
      <c r="AG106" s="33">
        <f>AF106-MIN(N(Debts!$E$14),AF106)</f>
        <v/>
      </c>
      <c r="AH106" s="33">
        <f>IF(AG106&lt;=0.005,0,AG106-MIN(AG106,MAX(0,$E106-SUMIFS(H106:AK106,$H$5:$AK$5,"Rem",$H$4:$AK$4,"&lt;"&amp;AH$4))))</f>
        <v/>
      </c>
      <c r="AI106" s="33">
        <f>AK105*(1+N(Debts!$D$15)/1200)</f>
        <v/>
      </c>
      <c r="AJ106" s="33">
        <f>AI106-MIN(N(Debts!$E$15),AI106)</f>
        <v/>
      </c>
      <c r="AK106" s="33">
        <f>IF(AJ106&lt;=0.005,0,AJ106-MIN(AJ106,MAX(0,$E106-SUMIFS(H106:AK106,$H$5:$AK$5,"Rem",$H$4:$AK$4,"&lt;"&amp;AK$4))))</f>
        <v/>
      </c>
      <c r="AL106" s="1" t="n"/>
    </row>
    <row r="107">
      <c r="A107" s="1" t="n"/>
      <c r="B107" s="1" t="n">
        <v>100</v>
      </c>
      <c r="C107" s="34">
        <f>EDATE(Debts!$J$13,B107-1)</f>
        <v/>
      </c>
      <c r="D107" s="33">
        <f>IF(G106&lt;=0.005,0,Debts!$E$16+Debts!$J$7)</f>
        <v/>
      </c>
      <c r="E107" s="33">
        <f>MAX(0,D107-(SUMIF($H$5:$AK$5,"Due",H107:AK107)-SUMIF($H$5:$AK$5,"Rem",H107:AK107)))</f>
        <v/>
      </c>
      <c r="F107" s="33">
        <f>SUMIF($H$5:$AK$5,"Due",H107:AK107)-SUMIF($H$5:$AK$5,"Bal",H106:AK106)</f>
        <v/>
      </c>
      <c r="G107" s="33">
        <f>SUMIF($H$5:$AK$5,"Bal",H107:AK107)</f>
        <v/>
      </c>
      <c r="H107" s="33">
        <f>J106*(1+N(Debts!$D$6)/1200)</f>
        <v/>
      </c>
      <c r="I107" s="33">
        <f>H107-MIN(N(Debts!$E$6),H107)</f>
        <v/>
      </c>
      <c r="J107" s="33">
        <f>IF(I107&lt;=0.005,0,I107-MIN(I107,MAX(0,$E107-SUMIFS(H107:AK107,$H$5:$AK$5,"Rem",$H$4:$AK$4,"&lt;"&amp;J$4))))</f>
        <v/>
      </c>
      <c r="K107" s="33">
        <f>M106*(1+N(Debts!$D$7)/1200)</f>
        <v/>
      </c>
      <c r="L107" s="33">
        <f>K107-MIN(N(Debts!$E$7),K107)</f>
        <v/>
      </c>
      <c r="M107" s="33">
        <f>IF(L107&lt;=0.005,0,L107-MIN(L107,MAX(0,$E107-SUMIFS(H107:AK107,$H$5:$AK$5,"Rem",$H$4:$AK$4,"&lt;"&amp;M$4))))</f>
        <v/>
      </c>
      <c r="N107" s="33">
        <f>P106*(1+N(Debts!$D$8)/1200)</f>
        <v/>
      </c>
      <c r="O107" s="33">
        <f>N107-MIN(N(Debts!$E$8),N107)</f>
        <v/>
      </c>
      <c r="P107" s="33">
        <f>IF(O107&lt;=0.005,0,O107-MIN(O107,MAX(0,$E107-SUMIFS(H107:AK107,$H$5:$AK$5,"Rem",$H$4:$AK$4,"&lt;"&amp;P$4))))</f>
        <v/>
      </c>
      <c r="Q107" s="33">
        <f>S106*(1+N(Debts!$D$9)/1200)</f>
        <v/>
      </c>
      <c r="R107" s="33">
        <f>Q107-MIN(N(Debts!$E$9),Q107)</f>
        <v/>
      </c>
      <c r="S107" s="33">
        <f>IF(R107&lt;=0.005,0,R107-MIN(R107,MAX(0,$E107-SUMIFS(H107:AK107,$H$5:$AK$5,"Rem",$H$4:$AK$4,"&lt;"&amp;S$4))))</f>
        <v/>
      </c>
      <c r="T107" s="33">
        <f>V106*(1+N(Debts!$D$10)/1200)</f>
        <v/>
      </c>
      <c r="U107" s="33">
        <f>T107-MIN(N(Debts!$E$10),T107)</f>
        <v/>
      </c>
      <c r="V107" s="33">
        <f>IF(U107&lt;=0.005,0,U107-MIN(U107,MAX(0,$E107-SUMIFS(H107:AK107,$H$5:$AK$5,"Rem",$H$4:$AK$4,"&lt;"&amp;V$4))))</f>
        <v/>
      </c>
      <c r="W107" s="33">
        <f>Y106*(1+N(Debts!$D$11)/1200)</f>
        <v/>
      </c>
      <c r="X107" s="33">
        <f>W107-MIN(N(Debts!$E$11),W107)</f>
        <v/>
      </c>
      <c r="Y107" s="33">
        <f>IF(X107&lt;=0.005,0,X107-MIN(X107,MAX(0,$E107-SUMIFS(H107:AK107,$H$5:$AK$5,"Rem",$H$4:$AK$4,"&lt;"&amp;Y$4))))</f>
        <v/>
      </c>
      <c r="Z107" s="33">
        <f>AB106*(1+N(Debts!$D$12)/1200)</f>
        <v/>
      </c>
      <c r="AA107" s="33">
        <f>Z107-MIN(N(Debts!$E$12),Z107)</f>
        <v/>
      </c>
      <c r="AB107" s="33">
        <f>IF(AA107&lt;=0.005,0,AA107-MIN(AA107,MAX(0,$E107-SUMIFS(H107:AK107,$H$5:$AK$5,"Rem",$H$4:$AK$4,"&lt;"&amp;AB$4))))</f>
        <v/>
      </c>
      <c r="AC107" s="33">
        <f>AE106*(1+N(Debts!$D$13)/1200)</f>
        <v/>
      </c>
      <c r="AD107" s="33">
        <f>AC107-MIN(N(Debts!$E$13),AC107)</f>
        <v/>
      </c>
      <c r="AE107" s="33">
        <f>IF(AD107&lt;=0.005,0,AD107-MIN(AD107,MAX(0,$E107-SUMIFS(H107:AK107,$H$5:$AK$5,"Rem",$H$4:$AK$4,"&lt;"&amp;AE$4))))</f>
        <v/>
      </c>
      <c r="AF107" s="33">
        <f>AH106*(1+N(Debts!$D$14)/1200)</f>
        <v/>
      </c>
      <c r="AG107" s="33">
        <f>AF107-MIN(N(Debts!$E$14),AF107)</f>
        <v/>
      </c>
      <c r="AH107" s="33">
        <f>IF(AG107&lt;=0.005,0,AG107-MIN(AG107,MAX(0,$E107-SUMIFS(H107:AK107,$H$5:$AK$5,"Rem",$H$4:$AK$4,"&lt;"&amp;AH$4))))</f>
        <v/>
      </c>
      <c r="AI107" s="33">
        <f>AK106*(1+N(Debts!$D$15)/1200)</f>
        <v/>
      </c>
      <c r="AJ107" s="33">
        <f>AI107-MIN(N(Debts!$E$15),AI107)</f>
        <v/>
      </c>
      <c r="AK107" s="33">
        <f>IF(AJ107&lt;=0.005,0,AJ107-MIN(AJ107,MAX(0,$E107-SUMIFS(H107:AK107,$H$5:$AK$5,"Rem",$H$4:$AK$4,"&lt;"&amp;AK$4))))</f>
        <v/>
      </c>
      <c r="AL107" s="1" t="n"/>
    </row>
    <row r="108">
      <c r="A108" s="1" t="n"/>
      <c r="B108" s="1" t="n">
        <v>101</v>
      </c>
      <c r="C108" s="34">
        <f>EDATE(Debts!$J$13,B108-1)</f>
        <v/>
      </c>
      <c r="D108" s="33">
        <f>IF(G107&lt;=0.005,0,Debts!$E$16+Debts!$J$7)</f>
        <v/>
      </c>
      <c r="E108" s="33">
        <f>MAX(0,D108-(SUMIF($H$5:$AK$5,"Due",H108:AK108)-SUMIF($H$5:$AK$5,"Rem",H108:AK108)))</f>
        <v/>
      </c>
      <c r="F108" s="33">
        <f>SUMIF($H$5:$AK$5,"Due",H108:AK108)-SUMIF($H$5:$AK$5,"Bal",H107:AK107)</f>
        <v/>
      </c>
      <c r="G108" s="33">
        <f>SUMIF($H$5:$AK$5,"Bal",H108:AK108)</f>
        <v/>
      </c>
      <c r="H108" s="33">
        <f>J107*(1+N(Debts!$D$6)/1200)</f>
        <v/>
      </c>
      <c r="I108" s="33">
        <f>H108-MIN(N(Debts!$E$6),H108)</f>
        <v/>
      </c>
      <c r="J108" s="33">
        <f>IF(I108&lt;=0.005,0,I108-MIN(I108,MAX(0,$E108-SUMIFS(H108:AK108,$H$5:$AK$5,"Rem",$H$4:$AK$4,"&lt;"&amp;J$4))))</f>
        <v/>
      </c>
      <c r="K108" s="33">
        <f>M107*(1+N(Debts!$D$7)/1200)</f>
        <v/>
      </c>
      <c r="L108" s="33">
        <f>K108-MIN(N(Debts!$E$7),K108)</f>
        <v/>
      </c>
      <c r="M108" s="33">
        <f>IF(L108&lt;=0.005,0,L108-MIN(L108,MAX(0,$E108-SUMIFS(H108:AK108,$H$5:$AK$5,"Rem",$H$4:$AK$4,"&lt;"&amp;M$4))))</f>
        <v/>
      </c>
      <c r="N108" s="33">
        <f>P107*(1+N(Debts!$D$8)/1200)</f>
        <v/>
      </c>
      <c r="O108" s="33">
        <f>N108-MIN(N(Debts!$E$8),N108)</f>
        <v/>
      </c>
      <c r="P108" s="33">
        <f>IF(O108&lt;=0.005,0,O108-MIN(O108,MAX(0,$E108-SUMIFS(H108:AK108,$H$5:$AK$5,"Rem",$H$4:$AK$4,"&lt;"&amp;P$4))))</f>
        <v/>
      </c>
      <c r="Q108" s="33">
        <f>S107*(1+N(Debts!$D$9)/1200)</f>
        <v/>
      </c>
      <c r="R108" s="33">
        <f>Q108-MIN(N(Debts!$E$9),Q108)</f>
        <v/>
      </c>
      <c r="S108" s="33">
        <f>IF(R108&lt;=0.005,0,R108-MIN(R108,MAX(0,$E108-SUMIFS(H108:AK108,$H$5:$AK$5,"Rem",$H$4:$AK$4,"&lt;"&amp;S$4))))</f>
        <v/>
      </c>
      <c r="T108" s="33">
        <f>V107*(1+N(Debts!$D$10)/1200)</f>
        <v/>
      </c>
      <c r="U108" s="33">
        <f>T108-MIN(N(Debts!$E$10),T108)</f>
        <v/>
      </c>
      <c r="V108" s="33">
        <f>IF(U108&lt;=0.005,0,U108-MIN(U108,MAX(0,$E108-SUMIFS(H108:AK108,$H$5:$AK$5,"Rem",$H$4:$AK$4,"&lt;"&amp;V$4))))</f>
        <v/>
      </c>
      <c r="W108" s="33">
        <f>Y107*(1+N(Debts!$D$11)/1200)</f>
        <v/>
      </c>
      <c r="X108" s="33">
        <f>W108-MIN(N(Debts!$E$11),W108)</f>
        <v/>
      </c>
      <c r="Y108" s="33">
        <f>IF(X108&lt;=0.005,0,X108-MIN(X108,MAX(0,$E108-SUMIFS(H108:AK108,$H$5:$AK$5,"Rem",$H$4:$AK$4,"&lt;"&amp;Y$4))))</f>
        <v/>
      </c>
      <c r="Z108" s="33">
        <f>AB107*(1+N(Debts!$D$12)/1200)</f>
        <v/>
      </c>
      <c r="AA108" s="33">
        <f>Z108-MIN(N(Debts!$E$12),Z108)</f>
        <v/>
      </c>
      <c r="AB108" s="33">
        <f>IF(AA108&lt;=0.005,0,AA108-MIN(AA108,MAX(0,$E108-SUMIFS(H108:AK108,$H$5:$AK$5,"Rem",$H$4:$AK$4,"&lt;"&amp;AB$4))))</f>
        <v/>
      </c>
      <c r="AC108" s="33">
        <f>AE107*(1+N(Debts!$D$13)/1200)</f>
        <v/>
      </c>
      <c r="AD108" s="33">
        <f>AC108-MIN(N(Debts!$E$13),AC108)</f>
        <v/>
      </c>
      <c r="AE108" s="33">
        <f>IF(AD108&lt;=0.005,0,AD108-MIN(AD108,MAX(0,$E108-SUMIFS(H108:AK108,$H$5:$AK$5,"Rem",$H$4:$AK$4,"&lt;"&amp;AE$4))))</f>
        <v/>
      </c>
      <c r="AF108" s="33">
        <f>AH107*(1+N(Debts!$D$14)/1200)</f>
        <v/>
      </c>
      <c r="AG108" s="33">
        <f>AF108-MIN(N(Debts!$E$14),AF108)</f>
        <v/>
      </c>
      <c r="AH108" s="33">
        <f>IF(AG108&lt;=0.005,0,AG108-MIN(AG108,MAX(0,$E108-SUMIFS(H108:AK108,$H$5:$AK$5,"Rem",$H$4:$AK$4,"&lt;"&amp;AH$4))))</f>
        <v/>
      </c>
      <c r="AI108" s="33">
        <f>AK107*(1+N(Debts!$D$15)/1200)</f>
        <v/>
      </c>
      <c r="AJ108" s="33">
        <f>AI108-MIN(N(Debts!$E$15),AI108)</f>
        <v/>
      </c>
      <c r="AK108" s="33">
        <f>IF(AJ108&lt;=0.005,0,AJ108-MIN(AJ108,MAX(0,$E108-SUMIFS(H108:AK108,$H$5:$AK$5,"Rem",$H$4:$AK$4,"&lt;"&amp;AK$4))))</f>
        <v/>
      </c>
      <c r="AL108" s="1" t="n"/>
    </row>
    <row r="109">
      <c r="A109" s="1" t="n"/>
      <c r="B109" s="1" t="n">
        <v>102</v>
      </c>
      <c r="C109" s="34">
        <f>EDATE(Debts!$J$13,B109-1)</f>
        <v/>
      </c>
      <c r="D109" s="33">
        <f>IF(G108&lt;=0.005,0,Debts!$E$16+Debts!$J$7)</f>
        <v/>
      </c>
      <c r="E109" s="33">
        <f>MAX(0,D109-(SUMIF($H$5:$AK$5,"Due",H109:AK109)-SUMIF($H$5:$AK$5,"Rem",H109:AK109)))</f>
        <v/>
      </c>
      <c r="F109" s="33">
        <f>SUMIF($H$5:$AK$5,"Due",H109:AK109)-SUMIF($H$5:$AK$5,"Bal",H108:AK108)</f>
        <v/>
      </c>
      <c r="G109" s="33">
        <f>SUMIF($H$5:$AK$5,"Bal",H109:AK109)</f>
        <v/>
      </c>
      <c r="H109" s="33">
        <f>J108*(1+N(Debts!$D$6)/1200)</f>
        <v/>
      </c>
      <c r="I109" s="33">
        <f>H109-MIN(N(Debts!$E$6),H109)</f>
        <v/>
      </c>
      <c r="J109" s="33">
        <f>IF(I109&lt;=0.005,0,I109-MIN(I109,MAX(0,$E109-SUMIFS(H109:AK109,$H$5:$AK$5,"Rem",$H$4:$AK$4,"&lt;"&amp;J$4))))</f>
        <v/>
      </c>
      <c r="K109" s="33">
        <f>M108*(1+N(Debts!$D$7)/1200)</f>
        <v/>
      </c>
      <c r="L109" s="33">
        <f>K109-MIN(N(Debts!$E$7),K109)</f>
        <v/>
      </c>
      <c r="M109" s="33">
        <f>IF(L109&lt;=0.005,0,L109-MIN(L109,MAX(0,$E109-SUMIFS(H109:AK109,$H$5:$AK$5,"Rem",$H$4:$AK$4,"&lt;"&amp;M$4))))</f>
        <v/>
      </c>
      <c r="N109" s="33">
        <f>P108*(1+N(Debts!$D$8)/1200)</f>
        <v/>
      </c>
      <c r="O109" s="33">
        <f>N109-MIN(N(Debts!$E$8),N109)</f>
        <v/>
      </c>
      <c r="P109" s="33">
        <f>IF(O109&lt;=0.005,0,O109-MIN(O109,MAX(0,$E109-SUMIFS(H109:AK109,$H$5:$AK$5,"Rem",$H$4:$AK$4,"&lt;"&amp;P$4))))</f>
        <v/>
      </c>
      <c r="Q109" s="33">
        <f>S108*(1+N(Debts!$D$9)/1200)</f>
        <v/>
      </c>
      <c r="R109" s="33">
        <f>Q109-MIN(N(Debts!$E$9),Q109)</f>
        <v/>
      </c>
      <c r="S109" s="33">
        <f>IF(R109&lt;=0.005,0,R109-MIN(R109,MAX(0,$E109-SUMIFS(H109:AK109,$H$5:$AK$5,"Rem",$H$4:$AK$4,"&lt;"&amp;S$4))))</f>
        <v/>
      </c>
      <c r="T109" s="33">
        <f>V108*(1+N(Debts!$D$10)/1200)</f>
        <v/>
      </c>
      <c r="U109" s="33">
        <f>T109-MIN(N(Debts!$E$10),T109)</f>
        <v/>
      </c>
      <c r="V109" s="33">
        <f>IF(U109&lt;=0.005,0,U109-MIN(U109,MAX(0,$E109-SUMIFS(H109:AK109,$H$5:$AK$5,"Rem",$H$4:$AK$4,"&lt;"&amp;V$4))))</f>
        <v/>
      </c>
      <c r="W109" s="33">
        <f>Y108*(1+N(Debts!$D$11)/1200)</f>
        <v/>
      </c>
      <c r="X109" s="33">
        <f>W109-MIN(N(Debts!$E$11),W109)</f>
        <v/>
      </c>
      <c r="Y109" s="33">
        <f>IF(X109&lt;=0.005,0,X109-MIN(X109,MAX(0,$E109-SUMIFS(H109:AK109,$H$5:$AK$5,"Rem",$H$4:$AK$4,"&lt;"&amp;Y$4))))</f>
        <v/>
      </c>
      <c r="Z109" s="33">
        <f>AB108*(1+N(Debts!$D$12)/1200)</f>
        <v/>
      </c>
      <c r="AA109" s="33">
        <f>Z109-MIN(N(Debts!$E$12),Z109)</f>
        <v/>
      </c>
      <c r="AB109" s="33">
        <f>IF(AA109&lt;=0.005,0,AA109-MIN(AA109,MAX(0,$E109-SUMIFS(H109:AK109,$H$5:$AK$5,"Rem",$H$4:$AK$4,"&lt;"&amp;AB$4))))</f>
        <v/>
      </c>
      <c r="AC109" s="33">
        <f>AE108*(1+N(Debts!$D$13)/1200)</f>
        <v/>
      </c>
      <c r="AD109" s="33">
        <f>AC109-MIN(N(Debts!$E$13),AC109)</f>
        <v/>
      </c>
      <c r="AE109" s="33">
        <f>IF(AD109&lt;=0.005,0,AD109-MIN(AD109,MAX(0,$E109-SUMIFS(H109:AK109,$H$5:$AK$5,"Rem",$H$4:$AK$4,"&lt;"&amp;AE$4))))</f>
        <v/>
      </c>
      <c r="AF109" s="33">
        <f>AH108*(1+N(Debts!$D$14)/1200)</f>
        <v/>
      </c>
      <c r="AG109" s="33">
        <f>AF109-MIN(N(Debts!$E$14),AF109)</f>
        <v/>
      </c>
      <c r="AH109" s="33">
        <f>IF(AG109&lt;=0.005,0,AG109-MIN(AG109,MAX(0,$E109-SUMIFS(H109:AK109,$H$5:$AK$5,"Rem",$H$4:$AK$4,"&lt;"&amp;AH$4))))</f>
        <v/>
      </c>
      <c r="AI109" s="33">
        <f>AK108*(1+N(Debts!$D$15)/1200)</f>
        <v/>
      </c>
      <c r="AJ109" s="33">
        <f>AI109-MIN(N(Debts!$E$15),AI109)</f>
        <v/>
      </c>
      <c r="AK109" s="33">
        <f>IF(AJ109&lt;=0.005,0,AJ109-MIN(AJ109,MAX(0,$E109-SUMIFS(H109:AK109,$H$5:$AK$5,"Rem",$H$4:$AK$4,"&lt;"&amp;AK$4))))</f>
        <v/>
      </c>
      <c r="AL109" s="1" t="n"/>
    </row>
    <row r="110">
      <c r="A110" s="1" t="n"/>
      <c r="B110" s="1" t="n">
        <v>103</v>
      </c>
      <c r="C110" s="34">
        <f>EDATE(Debts!$J$13,B110-1)</f>
        <v/>
      </c>
      <c r="D110" s="33">
        <f>IF(G109&lt;=0.005,0,Debts!$E$16+Debts!$J$7)</f>
        <v/>
      </c>
      <c r="E110" s="33">
        <f>MAX(0,D110-(SUMIF($H$5:$AK$5,"Due",H110:AK110)-SUMIF($H$5:$AK$5,"Rem",H110:AK110)))</f>
        <v/>
      </c>
      <c r="F110" s="33">
        <f>SUMIF($H$5:$AK$5,"Due",H110:AK110)-SUMIF($H$5:$AK$5,"Bal",H109:AK109)</f>
        <v/>
      </c>
      <c r="G110" s="33">
        <f>SUMIF($H$5:$AK$5,"Bal",H110:AK110)</f>
        <v/>
      </c>
      <c r="H110" s="33">
        <f>J109*(1+N(Debts!$D$6)/1200)</f>
        <v/>
      </c>
      <c r="I110" s="33">
        <f>H110-MIN(N(Debts!$E$6),H110)</f>
        <v/>
      </c>
      <c r="J110" s="33">
        <f>IF(I110&lt;=0.005,0,I110-MIN(I110,MAX(0,$E110-SUMIFS(H110:AK110,$H$5:$AK$5,"Rem",$H$4:$AK$4,"&lt;"&amp;J$4))))</f>
        <v/>
      </c>
      <c r="K110" s="33">
        <f>M109*(1+N(Debts!$D$7)/1200)</f>
        <v/>
      </c>
      <c r="L110" s="33">
        <f>K110-MIN(N(Debts!$E$7),K110)</f>
        <v/>
      </c>
      <c r="M110" s="33">
        <f>IF(L110&lt;=0.005,0,L110-MIN(L110,MAX(0,$E110-SUMIFS(H110:AK110,$H$5:$AK$5,"Rem",$H$4:$AK$4,"&lt;"&amp;M$4))))</f>
        <v/>
      </c>
      <c r="N110" s="33">
        <f>P109*(1+N(Debts!$D$8)/1200)</f>
        <v/>
      </c>
      <c r="O110" s="33">
        <f>N110-MIN(N(Debts!$E$8),N110)</f>
        <v/>
      </c>
      <c r="P110" s="33">
        <f>IF(O110&lt;=0.005,0,O110-MIN(O110,MAX(0,$E110-SUMIFS(H110:AK110,$H$5:$AK$5,"Rem",$H$4:$AK$4,"&lt;"&amp;P$4))))</f>
        <v/>
      </c>
      <c r="Q110" s="33">
        <f>S109*(1+N(Debts!$D$9)/1200)</f>
        <v/>
      </c>
      <c r="R110" s="33">
        <f>Q110-MIN(N(Debts!$E$9),Q110)</f>
        <v/>
      </c>
      <c r="S110" s="33">
        <f>IF(R110&lt;=0.005,0,R110-MIN(R110,MAX(0,$E110-SUMIFS(H110:AK110,$H$5:$AK$5,"Rem",$H$4:$AK$4,"&lt;"&amp;S$4))))</f>
        <v/>
      </c>
      <c r="T110" s="33">
        <f>V109*(1+N(Debts!$D$10)/1200)</f>
        <v/>
      </c>
      <c r="U110" s="33">
        <f>T110-MIN(N(Debts!$E$10),T110)</f>
        <v/>
      </c>
      <c r="V110" s="33">
        <f>IF(U110&lt;=0.005,0,U110-MIN(U110,MAX(0,$E110-SUMIFS(H110:AK110,$H$5:$AK$5,"Rem",$H$4:$AK$4,"&lt;"&amp;V$4))))</f>
        <v/>
      </c>
      <c r="W110" s="33">
        <f>Y109*(1+N(Debts!$D$11)/1200)</f>
        <v/>
      </c>
      <c r="X110" s="33">
        <f>W110-MIN(N(Debts!$E$11),W110)</f>
        <v/>
      </c>
      <c r="Y110" s="33">
        <f>IF(X110&lt;=0.005,0,X110-MIN(X110,MAX(0,$E110-SUMIFS(H110:AK110,$H$5:$AK$5,"Rem",$H$4:$AK$4,"&lt;"&amp;Y$4))))</f>
        <v/>
      </c>
      <c r="Z110" s="33">
        <f>AB109*(1+N(Debts!$D$12)/1200)</f>
        <v/>
      </c>
      <c r="AA110" s="33">
        <f>Z110-MIN(N(Debts!$E$12),Z110)</f>
        <v/>
      </c>
      <c r="AB110" s="33">
        <f>IF(AA110&lt;=0.005,0,AA110-MIN(AA110,MAX(0,$E110-SUMIFS(H110:AK110,$H$5:$AK$5,"Rem",$H$4:$AK$4,"&lt;"&amp;AB$4))))</f>
        <v/>
      </c>
      <c r="AC110" s="33">
        <f>AE109*(1+N(Debts!$D$13)/1200)</f>
        <v/>
      </c>
      <c r="AD110" s="33">
        <f>AC110-MIN(N(Debts!$E$13),AC110)</f>
        <v/>
      </c>
      <c r="AE110" s="33">
        <f>IF(AD110&lt;=0.005,0,AD110-MIN(AD110,MAX(0,$E110-SUMIFS(H110:AK110,$H$5:$AK$5,"Rem",$H$4:$AK$4,"&lt;"&amp;AE$4))))</f>
        <v/>
      </c>
      <c r="AF110" s="33">
        <f>AH109*(1+N(Debts!$D$14)/1200)</f>
        <v/>
      </c>
      <c r="AG110" s="33">
        <f>AF110-MIN(N(Debts!$E$14),AF110)</f>
        <v/>
      </c>
      <c r="AH110" s="33">
        <f>IF(AG110&lt;=0.005,0,AG110-MIN(AG110,MAX(0,$E110-SUMIFS(H110:AK110,$H$5:$AK$5,"Rem",$H$4:$AK$4,"&lt;"&amp;AH$4))))</f>
        <v/>
      </c>
      <c r="AI110" s="33">
        <f>AK109*(1+N(Debts!$D$15)/1200)</f>
        <v/>
      </c>
      <c r="AJ110" s="33">
        <f>AI110-MIN(N(Debts!$E$15),AI110)</f>
        <v/>
      </c>
      <c r="AK110" s="33">
        <f>IF(AJ110&lt;=0.005,0,AJ110-MIN(AJ110,MAX(0,$E110-SUMIFS(H110:AK110,$H$5:$AK$5,"Rem",$H$4:$AK$4,"&lt;"&amp;AK$4))))</f>
        <v/>
      </c>
      <c r="AL110" s="1" t="n"/>
    </row>
    <row r="111">
      <c r="A111" s="1" t="n"/>
      <c r="B111" s="1" t="n">
        <v>104</v>
      </c>
      <c r="C111" s="34">
        <f>EDATE(Debts!$J$13,B111-1)</f>
        <v/>
      </c>
      <c r="D111" s="33">
        <f>IF(G110&lt;=0.005,0,Debts!$E$16+Debts!$J$7)</f>
        <v/>
      </c>
      <c r="E111" s="33">
        <f>MAX(0,D111-(SUMIF($H$5:$AK$5,"Due",H111:AK111)-SUMIF($H$5:$AK$5,"Rem",H111:AK111)))</f>
        <v/>
      </c>
      <c r="F111" s="33">
        <f>SUMIF($H$5:$AK$5,"Due",H111:AK111)-SUMIF($H$5:$AK$5,"Bal",H110:AK110)</f>
        <v/>
      </c>
      <c r="G111" s="33">
        <f>SUMIF($H$5:$AK$5,"Bal",H111:AK111)</f>
        <v/>
      </c>
      <c r="H111" s="33">
        <f>J110*(1+N(Debts!$D$6)/1200)</f>
        <v/>
      </c>
      <c r="I111" s="33">
        <f>H111-MIN(N(Debts!$E$6),H111)</f>
        <v/>
      </c>
      <c r="J111" s="33">
        <f>IF(I111&lt;=0.005,0,I111-MIN(I111,MAX(0,$E111-SUMIFS(H111:AK111,$H$5:$AK$5,"Rem",$H$4:$AK$4,"&lt;"&amp;J$4))))</f>
        <v/>
      </c>
      <c r="K111" s="33">
        <f>M110*(1+N(Debts!$D$7)/1200)</f>
        <v/>
      </c>
      <c r="L111" s="33">
        <f>K111-MIN(N(Debts!$E$7),K111)</f>
        <v/>
      </c>
      <c r="M111" s="33">
        <f>IF(L111&lt;=0.005,0,L111-MIN(L111,MAX(0,$E111-SUMIFS(H111:AK111,$H$5:$AK$5,"Rem",$H$4:$AK$4,"&lt;"&amp;M$4))))</f>
        <v/>
      </c>
      <c r="N111" s="33">
        <f>P110*(1+N(Debts!$D$8)/1200)</f>
        <v/>
      </c>
      <c r="O111" s="33">
        <f>N111-MIN(N(Debts!$E$8),N111)</f>
        <v/>
      </c>
      <c r="P111" s="33">
        <f>IF(O111&lt;=0.005,0,O111-MIN(O111,MAX(0,$E111-SUMIFS(H111:AK111,$H$5:$AK$5,"Rem",$H$4:$AK$4,"&lt;"&amp;P$4))))</f>
        <v/>
      </c>
      <c r="Q111" s="33">
        <f>S110*(1+N(Debts!$D$9)/1200)</f>
        <v/>
      </c>
      <c r="R111" s="33">
        <f>Q111-MIN(N(Debts!$E$9),Q111)</f>
        <v/>
      </c>
      <c r="S111" s="33">
        <f>IF(R111&lt;=0.005,0,R111-MIN(R111,MAX(0,$E111-SUMIFS(H111:AK111,$H$5:$AK$5,"Rem",$H$4:$AK$4,"&lt;"&amp;S$4))))</f>
        <v/>
      </c>
      <c r="T111" s="33">
        <f>V110*(1+N(Debts!$D$10)/1200)</f>
        <v/>
      </c>
      <c r="U111" s="33">
        <f>T111-MIN(N(Debts!$E$10),T111)</f>
        <v/>
      </c>
      <c r="V111" s="33">
        <f>IF(U111&lt;=0.005,0,U111-MIN(U111,MAX(0,$E111-SUMIFS(H111:AK111,$H$5:$AK$5,"Rem",$H$4:$AK$4,"&lt;"&amp;V$4))))</f>
        <v/>
      </c>
      <c r="W111" s="33">
        <f>Y110*(1+N(Debts!$D$11)/1200)</f>
        <v/>
      </c>
      <c r="X111" s="33">
        <f>W111-MIN(N(Debts!$E$11),W111)</f>
        <v/>
      </c>
      <c r="Y111" s="33">
        <f>IF(X111&lt;=0.005,0,X111-MIN(X111,MAX(0,$E111-SUMIFS(H111:AK111,$H$5:$AK$5,"Rem",$H$4:$AK$4,"&lt;"&amp;Y$4))))</f>
        <v/>
      </c>
      <c r="Z111" s="33">
        <f>AB110*(1+N(Debts!$D$12)/1200)</f>
        <v/>
      </c>
      <c r="AA111" s="33">
        <f>Z111-MIN(N(Debts!$E$12),Z111)</f>
        <v/>
      </c>
      <c r="AB111" s="33">
        <f>IF(AA111&lt;=0.005,0,AA111-MIN(AA111,MAX(0,$E111-SUMIFS(H111:AK111,$H$5:$AK$5,"Rem",$H$4:$AK$4,"&lt;"&amp;AB$4))))</f>
        <v/>
      </c>
      <c r="AC111" s="33">
        <f>AE110*(1+N(Debts!$D$13)/1200)</f>
        <v/>
      </c>
      <c r="AD111" s="33">
        <f>AC111-MIN(N(Debts!$E$13),AC111)</f>
        <v/>
      </c>
      <c r="AE111" s="33">
        <f>IF(AD111&lt;=0.005,0,AD111-MIN(AD111,MAX(0,$E111-SUMIFS(H111:AK111,$H$5:$AK$5,"Rem",$H$4:$AK$4,"&lt;"&amp;AE$4))))</f>
        <v/>
      </c>
      <c r="AF111" s="33">
        <f>AH110*(1+N(Debts!$D$14)/1200)</f>
        <v/>
      </c>
      <c r="AG111" s="33">
        <f>AF111-MIN(N(Debts!$E$14),AF111)</f>
        <v/>
      </c>
      <c r="AH111" s="33">
        <f>IF(AG111&lt;=0.005,0,AG111-MIN(AG111,MAX(0,$E111-SUMIFS(H111:AK111,$H$5:$AK$5,"Rem",$H$4:$AK$4,"&lt;"&amp;AH$4))))</f>
        <v/>
      </c>
      <c r="AI111" s="33">
        <f>AK110*(1+N(Debts!$D$15)/1200)</f>
        <v/>
      </c>
      <c r="AJ111" s="33">
        <f>AI111-MIN(N(Debts!$E$15),AI111)</f>
        <v/>
      </c>
      <c r="AK111" s="33">
        <f>IF(AJ111&lt;=0.005,0,AJ111-MIN(AJ111,MAX(0,$E111-SUMIFS(H111:AK111,$H$5:$AK$5,"Rem",$H$4:$AK$4,"&lt;"&amp;AK$4))))</f>
        <v/>
      </c>
      <c r="AL111" s="1" t="n"/>
    </row>
    <row r="112">
      <c r="A112" s="1" t="n"/>
      <c r="B112" s="1" t="n">
        <v>105</v>
      </c>
      <c r="C112" s="34">
        <f>EDATE(Debts!$J$13,B112-1)</f>
        <v/>
      </c>
      <c r="D112" s="33">
        <f>IF(G111&lt;=0.005,0,Debts!$E$16+Debts!$J$7)</f>
        <v/>
      </c>
      <c r="E112" s="33">
        <f>MAX(0,D112-(SUMIF($H$5:$AK$5,"Due",H112:AK112)-SUMIF($H$5:$AK$5,"Rem",H112:AK112)))</f>
        <v/>
      </c>
      <c r="F112" s="33">
        <f>SUMIF($H$5:$AK$5,"Due",H112:AK112)-SUMIF($H$5:$AK$5,"Bal",H111:AK111)</f>
        <v/>
      </c>
      <c r="G112" s="33">
        <f>SUMIF($H$5:$AK$5,"Bal",H112:AK112)</f>
        <v/>
      </c>
      <c r="H112" s="33">
        <f>J111*(1+N(Debts!$D$6)/1200)</f>
        <v/>
      </c>
      <c r="I112" s="33">
        <f>H112-MIN(N(Debts!$E$6),H112)</f>
        <v/>
      </c>
      <c r="J112" s="33">
        <f>IF(I112&lt;=0.005,0,I112-MIN(I112,MAX(0,$E112-SUMIFS(H112:AK112,$H$5:$AK$5,"Rem",$H$4:$AK$4,"&lt;"&amp;J$4))))</f>
        <v/>
      </c>
      <c r="K112" s="33">
        <f>M111*(1+N(Debts!$D$7)/1200)</f>
        <v/>
      </c>
      <c r="L112" s="33">
        <f>K112-MIN(N(Debts!$E$7),K112)</f>
        <v/>
      </c>
      <c r="M112" s="33">
        <f>IF(L112&lt;=0.005,0,L112-MIN(L112,MAX(0,$E112-SUMIFS(H112:AK112,$H$5:$AK$5,"Rem",$H$4:$AK$4,"&lt;"&amp;M$4))))</f>
        <v/>
      </c>
      <c r="N112" s="33">
        <f>P111*(1+N(Debts!$D$8)/1200)</f>
        <v/>
      </c>
      <c r="O112" s="33">
        <f>N112-MIN(N(Debts!$E$8),N112)</f>
        <v/>
      </c>
      <c r="P112" s="33">
        <f>IF(O112&lt;=0.005,0,O112-MIN(O112,MAX(0,$E112-SUMIFS(H112:AK112,$H$5:$AK$5,"Rem",$H$4:$AK$4,"&lt;"&amp;P$4))))</f>
        <v/>
      </c>
      <c r="Q112" s="33">
        <f>S111*(1+N(Debts!$D$9)/1200)</f>
        <v/>
      </c>
      <c r="R112" s="33">
        <f>Q112-MIN(N(Debts!$E$9),Q112)</f>
        <v/>
      </c>
      <c r="S112" s="33">
        <f>IF(R112&lt;=0.005,0,R112-MIN(R112,MAX(0,$E112-SUMIFS(H112:AK112,$H$5:$AK$5,"Rem",$H$4:$AK$4,"&lt;"&amp;S$4))))</f>
        <v/>
      </c>
      <c r="T112" s="33">
        <f>V111*(1+N(Debts!$D$10)/1200)</f>
        <v/>
      </c>
      <c r="U112" s="33">
        <f>T112-MIN(N(Debts!$E$10),T112)</f>
        <v/>
      </c>
      <c r="V112" s="33">
        <f>IF(U112&lt;=0.005,0,U112-MIN(U112,MAX(0,$E112-SUMIFS(H112:AK112,$H$5:$AK$5,"Rem",$H$4:$AK$4,"&lt;"&amp;V$4))))</f>
        <v/>
      </c>
      <c r="W112" s="33">
        <f>Y111*(1+N(Debts!$D$11)/1200)</f>
        <v/>
      </c>
      <c r="X112" s="33">
        <f>W112-MIN(N(Debts!$E$11),W112)</f>
        <v/>
      </c>
      <c r="Y112" s="33">
        <f>IF(X112&lt;=0.005,0,X112-MIN(X112,MAX(0,$E112-SUMIFS(H112:AK112,$H$5:$AK$5,"Rem",$H$4:$AK$4,"&lt;"&amp;Y$4))))</f>
        <v/>
      </c>
      <c r="Z112" s="33">
        <f>AB111*(1+N(Debts!$D$12)/1200)</f>
        <v/>
      </c>
      <c r="AA112" s="33">
        <f>Z112-MIN(N(Debts!$E$12),Z112)</f>
        <v/>
      </c>
      <c r="AB112" s="33">
        <f>IF(AA112&lt;=0.005,0,AA112-MIN(AA112,MAX(0,$E112-SUMIFS(H112:AK112,$H$5:$AK$5,"Rem",$H$4:$AK$4,"&lt;"&amp;AB$4))))</f>
        <v/>
      </c>
      <c r="AC112" s="33">
        <f>AE111*(1+N(Debts!$D$13)/1200)</f>
        <v/>
      </c>
      <c r="AD112" s="33">
        <f>AC112-MIN(N(Debts!$E$13),AC112)</f>
        <v/>
      </c>
      <c r="AE112" s="33">
        <f>IF(AD112&lt;=0.005,0,AD112-MIN(AD112,MAX(0,$E112-SUMIFS(H112:AK112,$H$5:$AK$5,"Rem",$H$4:$AK$4,"&lt;"&amp;AE$4))))</f>
        <v/>
      </c>
      <c r="AF112" s="33">
        <f>AH111*(1+N(Debts!$D$14)/1200)</f>
        <v/>
      </c>
      <c r="AG112" s="33">
        <f>AF112-MIN(N(Debts!$E$14),AF112)</f>
        <v/>
      </c>
      <c r="AH112" s="33">
        <f>IF(AG112&lt;=0.005,0,AG112-MIN(AG112,MAX(0,$E112-SUMIFS(H112:AK112,$H$5:$AK$5,"Rem",$H$4:$AK$4,"&lt;"&amp;AH$4))))</f>
        <v/>
      </c>
      <c r="AI112" s="33">
        <f>AK111*(1+N(Debts!$D$15)/1200)</f>
        <v/>
      </c>
      <c r="AJ112" s="33">
        <f>AI112-MIN(N(Debts!$E$15),AI112)</f>
        <v/>
      </c>
      <c r="AK112" s="33">
        <f>IF(AJ112&lt;=0.005,0,AJ112-MIN(AJ112,MAX(0,$E112-SUMIFS(H112:AK112,$H$5:$AK$5,"Rem",$H$4:$AK$4,"&lt;"&amp;AK$4))))</f>
        <v/>
      </c>
      <c r="AL112" s="1" t="n"/>
    </row>
    <row r="113">
      <c r="A113" s="1" t="n"/>
      <c r="B113" s="1" t="n">
        <v>106</v>
      </c>
      <c r="C113" s="34">
        <f>EDATE(Debts!$J$13,B113-1)</f>
        <v/>
      </c>
      <c r="D113" s="33">
        <f>IF(G112&lt;=0.005,0,Debts!$E$16+Debts!$J$7)</f>
        <v/>
      </c>
      <c r="E113" s="33">
        <f>MAX(0,D113-(SUMIF($H$5:$AK$5,"Due",H113:AK113)-SUMIF($H$5:$AK$5,"Rem",H113:AK113)))</f>
        <v/>
      </c>
      <c r="F113" s="33">
        <f>SUMIF($H$5:$AK$5,"Due",H113:AK113)-SUMIF($H$5:$AK$5,"Bal",H112:AK112)</f>
        <v/>
      </c>
      <c r="G113" s="33">
        <f>SUMIF($H$5:$AK$5,"Bal",H113:AK113)</f>
        <v/>
      </c>
      <c r="H113" s="33">
        <f>J112*(1+N(Debts!$D$6)/1200)</f>
        <v/>
      </c>
      <c r="I113" s="33">
        <f>H113-MIN(N(Debts!$E$6),H113)</f>
        <v/>
      </c>
      <c r="J113" s="33">
        <f>IF(I113&lt;=0.005,0,I113-MIN(I113,MAX(0,$E113-SUMIFS(H113:AK113,$H$5:$AK$5,"Rem",$H$4:$AK$4,"&lt;"&amp;J$4))))</f>
        <v/>
      </c>
      <c r="K113" s="33">
        <f>M112*(1+N(Debts!$D$7)/1200)</f>
        <v/>
      </c>
      <c r="L113" s="33">
        <f>K113-MIN(N(Debts!$E$7),K113)</f>
        <v/>
      </c>
      <c r="M113" s="33">
        <f>IF(L113&lt;=0.005,0,L113-MIN(L113,MAX(0,$E113-SUMIFS(H113:AK113,$H$5:$AK$5,"Rem",$H$4:$AK$4,"&lt;"&amp;M$4))))</f>
        <v/>
      </c>
      <c r="N113" s="33">
        <f>P112*(1+N(Debts!$D$8)/1200)</f>
        <v/>
      </c>
      <c r="O113" s="33">
        <f>N113-MIN(N(Debts!$E$8),N113)</f>
        <v/>
      </c>
      <c r="P113" s="33">
        <f>IF(O113&lt;=0.005,0,O113-MIN(O113,MAX(0,$E113-SUMIFS(H113:AK113,$H$5:$AK$5,"Rem",$H$4:$AK$4,"&lt;"&amp;P$4))))</f>
        <v/>
      </c>
      <c r="Q113" s="33">
        <f>S112*(1+N(Debts!$D$9)/1200)</f>
        <v/>
      </c>
      <c r="R113" s="33">
        <f>Q113-MIN(N(Debts!$E$9),Q113)</f>
        <v/>
      </c>
      <c r="S113" s="33">
        <f>IF(R113&lt;=0.005,0,R113-MIN(R113,MAX(0,$E113-SUMIFS(H113:AK113,$H$5:$AK$5,"Rem",$H$4:$AK$4,"&lt;"&amp;S$4))))</f>
        <v/>
      </c>
      <c r="T113" s="33">
        <f>V112*(1+N(Debts!$D$10)/1200)</f>
        <v/>
      </c>
      <c r="U113" s="33">
        <f>T113-MIN(N(Debts!$E$10),T113)</f>
        <v/>
      </c>
      <c r="V113" s="33">
        <f>IF(U113&lt;=0.005,0,U113-MIN(U113,MAX(0,$E113-SUMIFS(H113:AK113,$H$5:$AK$5,"Rem",$H$4:$AK$4,"&lt;"&amp;V$4))))</f>
        <v/>
      </c>
      <c r="W113" s="33">
        <f>Y112*(1+N(Debts!$D$11)/1200)</f>
        <v/>
      </c>
      <c r="X113" s="33">
        <f>W113-MIN(N(Debts!$E$11),W113)</f>
        <v/>
      </c>
      <c r="Y113" s="33">
        <f>IF(X113&lt;=0.005,0,X113-MIN(X113,MAX(0,$E113-SUMIFS(H113:AK113,$H$5:$AK$5,"Rem",$H$4:$AK$4,"&lt;"&amp;Y$4))))</f>
        <v/>
      </c>
      <c r="Z113" s="33">
        <f>AB112*(1+N(Debts!$D$12)/1200)</f>
        <v/>
      </c>
      <c r="AA113" s="33">
        <f>Z113-MIN(N(Debts!$E$12),Z113)</f>
        <v/>
      </c>
      <c r="AB113" s="33">
        <f>IF(AA113&lt;=0.005,0,AA113-MIN(AA113,MAX(0,$E113-SUMIFS(H113:AK113,$H$5:$AK$5,"Rem",$H$4:$AK$4,"&lt;"&amp;AB$4))))</f>
        <v/>
      </c>
      <c r="AC113" s="33">
        <f>AE112*(1+N(Debts!$D$13)/1200)</f>
        <v/>
      </c>
      <c r="AD113" s="33">
        <f>AC113-MIN(N(Debts!$E$13),AC113)</f>
        <v/>
      </c>
      <c r="AE113" s="33">
        <f>IF(AD113&lt;=0.005,0,AD113-MIN(AD113,MAX(0,$E113-SUMIFS(H113:AK113,$H$5:$AK$5,"Rem",$H$4:$AK$4,"&lt;"&amp;AE$4))))</f>
        <v/>
      </c>
      <c r="AF113" s="33">
        <f>AH112*(1+N(Debts!$D$14)/1200)</f>
        <v/>
      </c>
      <c r="AG113" s="33">
        <f>AF113-MIN(N(Debts!$E$14),AF113)</f>
        <v/>
      </c>
      <c r="AH113" s="33">
        <f>IF(AG113&lt;=0.005,0,AG113-MIN(AG113,MAX(0,$E113-SUMIFS(H113:AK113,$H$5:$AK$5,"Rem",$H$4:$AK$4,"&lt;"&amp;AH$4))))</f>
        <v/>
      </c>
      <c r="AI113" s="33">
        <f>AK112*(1+N(Debts!$D$15)/1200)</f>
        <v/>
      </c>
      <c r="AJ113" s="33">
        <f>AI113-MIN(N(Debts!$E$15),AI113)</f>
        <v/>
      </c>
      <c r="AK113" s="33">
        <f>IF(AJ113&lt;=0.005,0,AJ113-MIN(AJ113,MAX(0,$E113-SUMIFS(H113:AK113,$H$5:$AK$5,"Rem",$H$4:$AK$4,"&lt;"&amp;AK$4))))</f>
        <v/>
      </c>
      <c r="AL113" s="1" t="n"/>
    </row>
    <row r="114">
      <c r="A114" s="1" t="n"/>
      <c r="B114" s="1" t="n">
        <v>107</v>
      </c>
      <c r="C114" s="34">
        <f>EDATE(Debts!$J$13,B114-1)</f>
        <v/>
      </c>
      <c r="D114" s="33">
        <f>IF(G113&lt;=0.005,0,Debts!$E$16+Debts!$J$7)</f>
        <v/>
      </c>
      <c r="E114" s="33">
        <f>MAX(0,D114-(SUMIF($H$5:$AK$5,"Due",H114:AK114)-SUMIF($H$5:$AK$5,"Rem",H114:AK114)))</f>
        <v/>
      </c>
      <c r="F114" s="33">
        <f>SUMIF($H$5:$AK$5,"Due",H114:AK114)-SUMIF($H$5:$AK$5,"Bal",H113:AK113)</f>
        <v/>
      </c>
      <c r="G114" s="33">
        <f>SUMIF($H$5:$AK$5,"Bal",H114:AK114)</f>
        <v/>
      </c>
      <c r="H114" s="33">
        <f>J113*(1+N(Debts!$D$6)/1200)</f>
        <v/>
      </c>
      <c r="I114" s="33">
        <f>H114-MIN(N(Debts!$E$6),H114)</f>
        <v/>
      </c>
      <c r="J114" s="33">
        <f>IF(I114&lt;=0.005,0,I114-MIN(I114,MAX(0,$E114-SUMIFS(H114:AK114,$H$5:$AK$5,"Rem",$H$4:$AK$4,"&lt;"&amp;J$4))))</f>
        <v/>
      </c>
      <c r="K114" s="33">
        <f>M113*(1+N(Debts!$D$7)/1200)</f>
        <v/>
      </c>
      <c r="L114" s="33">
        <f>K114-MIN(N(Debts!$E$7),K114)</f>
        <v/>
      </c>
      <c r="M114" s="33">
        <f>IF(L114&lt;=0.005,0,L114-MIN(L114,MAX(0,$E114-SUMIFS(H114:AK114,$H$5:$AK$5,"Rem",$H$4:$AK$4,"&lt;"&amp;M$4))))</f>
        <v/>
      </c>
      <c r="N114" s="33">
        <f>P113*(1+N(Debts!$D$8)/1200)</f>
        <v/>
      </c>
      <c r="O114" s="33">
        <f>N114-MIN(N(Debts!$E$8),N114)</f>
        <v/>
      </c>
      <c r="P114" s="33">
        <f>IF(O114&lt;=0.005,0,O114-MIN(O114,MAX(0,$E114-SUMIFS(H114:AK114,$H$5:$AK$5,"Rem",$H$4:$AK$4,"&lt;"&amp;P$4))))</f>
        <v/>
      </c>
      <c r="Q114" s="33">
        <f>S113*(1+N(Debts!$D$9)/1200)</f>
        <v/>
      </c>
      <c r="R114" s="33">
        <f>Q114-MIN(N(Debts!$E$9),Q114)</f>
        <v/>
      </c>
      <c r="S114" s="33">
        <f>IF(R114&lt;=0.005,0,R114-MIN(R114,MAX(0,$E114-SUMIFS(H114:AK114,$H$5:$AK$5,"Rem",$H$4:$AK$4,"&lt;"&amp;S$4))))</f>
        <v/>
      </c>
      <c r="T114" s="33">
        <f>V113*(1+N(Debts!$D$10)/1200)</f>
        <v/>
      </c>
      <c r="U114" s="33">
        <f>T114-MIN(N(Debts!$E$10),T114)</f>
        <v/>
      </c>
      <c r="V114" s="33">
        <f>IF(U114&lt;=0.005,0,U114-MIN(U114,MAX(0,$E114-SUMIFS(H114:AK114,$H$5:$AK$5,"Rem",$H$4:$AK$4,"&lt;"&amp;V$4))))</f>
        <v/>
      </c>
      <c r="W114" s="33">
        <f>Y113*(1+N(Debts!$D$11)/1200)</f>
        <v/>
      </c>
      <c r="X114" s="33">
        <f>W114-MIN(N(Debts!$E$11),W114)</f>
        <v/>
      </c>
      <c r="Y114" s="33">
        <f>IF(X114&lt;=0.005,0,X114-MIN(X114,MAX(0,$E114-SUMIFS(H114:AK114,$H$5:$AK$5,"Rem",$H$4:$AK$4,"&lt;"&amp;Y$4))))</f>
        <v/>
      </c>
      <c r="Z114" s="33">
        <f>AB113*(1+N(Debts!$D$12)/1200)</f>
        <v/>
      </c>
      <c r="AA114" s="33">
        <f>Z114-MIN(N(Debts!$E$12),Z114)</f>
        <v/>
      </c>
      <c r="AB114" s="33">
        <f>IF(AA114&lt;=0.005,0,AA114-MIN(AA114,MAX(0,$E114-SUMIFS(H114:AK114,$H$5:$AK$5,"Rem",$H$4:$AK$4,"&lt;"&amp;AB$4))))</f>
        <v/>
      </c>
      <c r="AC114" s="33">
        <f>AE113*(1+N(Debts!$D$13)/1200)</f>
        <v/>
      </c>
      <c r="AD114" s="33">
        <f>AC114-MIN(N(Debts!$E$13),AC114)</f>
        <v/>
      </c>
      <c r="AE114" s="33">
        <f>IF(AD114&lt;=0.005,0,AD114-MIN(AD114,MAX(0,$E114-SUMIFS(H114:AK114,$H$5:$AK$5,"Rem",$H$4:$AK$4,"&lt;"&amp;AE$4))))</f>
        <v/>
      </c>
      <c r="AF114" s="33">
        <f>AH113*(1+N(Debts!$D$14)/1200)</f>
        <v/>
      </c>
      <c r="AG114" s="33">
        <f>AF114-MIN(N(Debts!$E$14),AF114)</f>
        <v/>
      </c>
      <c r="AH114" s="33">
        <f>IF(AG114&lt;=0.005,0,AG114-MIN(AG114,MAX(0,$E114-SUMIFS(H114:AK114,$H$5:$AK$5,"Rem",$H$4:$AK$4,"&lt;"&amp;AH$4))))</f>
        <v/>
      </c>
      <c r="AI114" s="33">
        <f>AK113*(1+N(Debts!$D$15)/1200)</f>
        <v/>
      </c>
      <c r="AJ114" s="33">
        <f>AI114-MIN(N(Debts!$E$15),AI114)</f>
        <v/>
      </c>
      <c r="AK114" s="33">
        <f>IF(AJ114&lt;=0.005,0,AJ114-MIN(AJ114,MAX(0,$E114-SUMIFS(H114:AK114,$H$5:$AK$5,"Rem",$H$4:$AK$4,"&lt;"&amp;AK$4))))</f>
        <v/>
      </c>
      <c r="AL114" s="1" t="n"/>
    </row>
    <row r="115">
      <c r="A115" s="1" t="n"/>
      <c r="B115" s="1" t="n">
        <v>108</v>
      </c>
      <c r="C115" s="34">
        <f>EDATE(Debts!$J$13,B115-1)</f>
        <v/>
      </c>
      <c r="D115" s="33">
        <f>IF(G114&lt;=0.005,0,Debts!$E$16+Debts!$J$7)</f>
        <v/>
      </c>
      <c r="E115" s="33">
        <f>MAX(0,D115-(SUMIF($H$5:$AK$5,"Due",H115:AK115)-SUMIF($H$5:$AK$5,"Rem",H115:AK115)))</f>
        <v/>
      </c>
      <c r="F115" s="33">
        <f>SUMIF($H$5:$AK$5,"Due",H115:AK115)-SUMIF($H$5:$AK$5,"Bal",H114:AK114)</f>
        <v/>
      </c>
      <c r="G115" s="33">
        <f>SUMIF($H$5:$AK$5,"Bal",H115:AK115)</f>
        <v/>
      </c>
      <c r="H115" s="33">
        <f>J114*(1+N(Debts!$D$6)/1200)</f>
        <v/>
      </c>
      <c r="I115" s="33">
        <f>H115-MIN(N(Debts!$E$6),H115)</f>
        <v/>
      </c>
      <c r="J115" s="33">
        <f>IF(I115&lt;=0.005,0,I115-MIN(I115,MAX(0,$E115-SUMIFS(H115:AK115,$H$5:$AK$5,"Rem",$H$4:$AK$4,"&lt;"&amp;J$4))))</f>
        <v/>
      </c>
      <c r="K115" s="33">
        <f>M114*(1+N(Debts!$D$7)/1200)</f>
        <v/>
      </c>
      <c r="L115" s="33">
        <f>K115-MIN(N(Debts!$E$7),K115)</f>
        <v/>
      </c>
      <c r="M115" s="33">
        <f>IF(L115&lt;=0.005,0,L115-MIN(L115,MAX(0,$E115-SUMIFS(H115:AK115,$H$5:$AK$5,"Rem",$H$4:$AK$4,"&lt;"&amp;M$4))))</f>
        <v/>
      </c>
      <c r="N115" s="33">
        <f>P114*(1+N(Debts!$D$8)/1200)</f>
        <v/>
      </c>
      <c r="O115" s="33">
        <f>N115-MIN(N(Debts!$E$8),N115)</f>
        <v/>
      </c>
      <c r="P115" s="33">
        <f>IF(O115&lt;=0.005,0,O115-MIN(O115,MAX(0,$E115-SUMIFS(H115:AK115,$H$5:$AK$5,"Rem",$H$4:$AK$4,"&lt;"&amp;P$4))))</f>
        <v/>
      </c>
      <c r="Q115" s="33">
        <f>S114*(1+N(Debts!$D$9)/1200)</f>
        <v/>
      </c>
      <c r="R115" s="33">
        <f>Q115-MIN(N(Debts!$E$9),Q115)</f>
        <v/>
      </c>
      <c r="S115" s="33">
        <f>IF(R115&lt;=0.005,0,R115-MIN(R115,MAX(0,$E115-SUMIFS(H115:AK115,$H$5:$AK$5,"Rem",$H$4:$AK$4,"&lt;"&amp;S$4))))</f>
        <v/>
      </c>
      <c r="T115" s="33">
        <f>V114*(1+N(Debts!$D$10)/1200)</f>
        <v/>
      </c>
      <c r="U115" s="33">
        <f>T115-MIN(N(Debts!$E$10),T115)</f>
        <v/>
      </c>
      <c r="V115" s="33">
        <f>IF(U115&lt;=0.005,0,U115-MIN(U115,MAX(0,$E115-SUMIFS(H115:AK115,$H$5:$AK$5,"Rem",$H$4:$AK$4,"&lt;"&amp;V$4))))</f>
        <v/>
      </c>
      <c r="W115" s="33">
        <f>Y114*(1+N(Debts!$D$11)/1200)</f>
        <v/>
      </c>
      <c r="X115" s="33">
        <f>W115-MIN(N(Debts!$E$11),W115)</f>
        <v/>
      </c>
      <c r="Y115" s="33">
        <f>IF(X115&lt;=0.005,0,X115-MIN(X115,MAX(0,$E115-SUMIFS(H115:AK115,$H$5:$AK$5,"Rem",$H$4:$AK$4,"&lt;"&amp;Y$4))))</f>
        <v/>
      </c>
      <c r="Z115" s="33">
        <f>AB114*(1+N(Debts!$D$12)/1200)</f>
        <v/>
      </c>
      <c r="AA115" s="33">
        <f>Z115-MIN(N(Debts!$E$12),Z115)</f>
        <v/>
      </c>
      <c r="AB115" s="33">
        <f>IF(AA115&lt;=0.005,0,AA115-MIN(AA115,MAX(0,$E115-SUMIFS(H115:AK115,$H$5:$AK$5,"Rem",$H$4:$AK$4,"&lt;"&amp;AB$4))))</f>
        <v/>
      </c>
      <c r="AC115" s="33">
        <f>AE114*(1+N(Debts!$D$13)/1200)</f>
        <v/>
      </c>
      <c r="AD115" s="33">
        <f>AC115-MIN(N(Debts!$E$13),AC115)</f>
        <v/>
      </c>
      <c r="AE115" s="33">
        <f>IF(AD115&lt;=0.005,0,AD115-MIN(AD115,MAX(0,$E115-SUMIFS(H115:AK115,$H$5:$AK$5,"Rem",$H$4:$AK$4,"&lt;"&amp;AE$4))))</f>
        <v/>
      </c>
      <c r="AF115" s="33">
        <f>AH114*(1+N(Debts!$D$14)/1200)</f>
        <v/>
      </c>
      <c r="AG115" s="33">
        <f>AF115-MIN(N(Debts!$E$14),AF115)</f>
        <v/>
      </c>
      <c r="AH115" s="33">
        <f>IF(AG115&lt;=0.005,0,AG115-MIN(AG115,MAX(0,$E115-SUMIFS(H115:AK115,$H$5:$AK$5,"Rem",$H$4:$AK$4,"&lt;"&amp;AH$4))))</f>
        <v/>
      </c>
      <c r="AI115" s="33">
        <f>AK114*(1+N(Debts!$D$15)/1200)</f>
        <v/>
      </c>
      <c r="AJ115" s="33">
        <f>AI115-MIN(N(Debts!$E$15),AI115)</f>
        <v/>
      </c>
      <c r="AK115" s="33">
        <f>IF(AJ115&lt;=0.005,0,AJ115-MIN(AJ115,MAX(0,$E115-SUMIFS(H115:AK115,$H$5:$AK$5,"Rem",$H$4:$AK$4,"&lt;"&amp;AK$4))))</f>
        <v/>
      </c>
      <c r="AL115" s="1" t="n"/>
    </row>
    <row r="116">
      <c r="A116" s="1" t="n"/>
      <c r="B116" s="1" t="n">
        <v>109</v>
      </c>
      <c r="C116" s="34">
        <f>EDATE(Debts!$J$13,B116-1)</f>
        <v/>
      </c>
      <c r="D116" s="33">
        <f>IF(G115&lt;=0.005,0,Debts!$E$16+Debts!$J$7)</f>
        <v/>
      </c>
      <c r="E116" s="33">
        <f>MAX(0,D116-(SUMIF($H$5:$AK$5,"Due",H116:AK116)-SUMIF($H$5:$AK$5,"Rem",H116:AK116)))</f>
        <v/>
      </c>
      <c r="F116" s="33">
        <f>SUMIF($H$5:$AK$5,"Due",H116:AK116)-SUMIF($H$5:$AK$5,"Bal",H115:AK115)</f>
        <v/>
      </c>
      <c r="G116" s="33">
        <f>SUMIF($H$5:$AK$5,"Bal",H116:AK116)</f>
        <v/>
      </c>
      <c r="H116" s="33">
        <f>J115*(1+N(Debts!$D$6)/1200)</f>
        <v/>
      </c>
      <c r="I116" s="33">
        <f>H116-MIN(N(Debts!$E$6),H116)</f>
        <v/>
      </c>
      <c r="J116" s="33">
        <f>IF(I116&lt;=0.005,0,I116-MIN(I116,MAX(0,$E116-SUMIFS(H116:AK116,$H$5:$AK$5,"Rem",$H$4:$AK$4,"&lt;"&amp;J$4))))</f>
        <v/>
      </c>
      <c r="K116" s="33">
        <f>M115*(1+N(Debts!$D$7)/1200)</f>
        <v/>
      </c>
      <c r="L116" s="33">
        <f>K116-MIN(N(Debts!$E$7),K116)</f>
        <v/>
      </c>
      <c r="M116" s="33">
        <f>IF(L116&lt;=0.005,0,L116-MIN(L116,MAX(0,$E116-SUMIFS(H116:AK116,$H$5:$AK$5,"Rem",$H$4:$AK$4,"&lt;"&amp;M$4))))</f>
        <v/>
      </c>
      <c r="N116" s="33">
        <f>P115*(1+N(Debts!$D$8)/1200)</f>
        <v/>
      </c>
      <c r="O116" s="33">
        <f>N116-MIN(N(Debts!$E$8),N116)</f>
        <v/>
      </c>
      <c r="P116" s="33">
        <f>IF(O116&lt;=0.005,0,O116-MIN(O116,MAX(0,$E116-SUMIFS(H116:AK116,$H$5:$AK$5,"Rem",$H$4:$AK$4,"&lt;"&amp;P$4))))</f>
        <v/>
      </c>
      <c r="Q116" s="33">
        <f>S115*(1+N(Debts!$D$9)/1200)</f>
        <v/>
      </c>
      <c r="R116" s="33">
        <f>Q116-MIN(N(Debts!$E$9),Q116)</f>
        <v/>
      </c>
      <c r="S116" s="33">
        <f>IF(R116&lt;=0.005,0,R116-MIN(R116,MAX(0,$E116-SUMIFS(H116:AK116,$H$5:$AK$5,"Rem",$H$4:$AK$4,"&lt;"&amp;S$4))))</f>
        <v/>
      </c>
      <c r="T116" s="33">
        <f>V115*(1+N(Debts!$D$10)/1200)</f>
        <v/>
      </c>
      <c r="U116" s="33">
        <f>T116-MIN(N(Debts!$E$10),T116)</f>
        <v/>
      </c>
      <c r="V116" s="33">
        <f>IF(U116&lt;=0.005,0,U116-MIN(U116,MAX(0,$E116-SUMIFS(H116:AK116,$H$5:$AK$5,"Rem",$H$4:$AK$4,"&lt;"&amp;V$4))))</f>
        <v/>
      </c>
      <c r="W116" s="33">
        <f>Y115*(1+N(Debts!$D$11)/1200)</f>
        <v/>
      </c>
      <c r="X116" s="33">
        <f>W116-MIN(N(Debts!$E$11),W116)</f>
        <v/>
      </c>
      <c r="Y116" s="33">
        <f>IF(X116&lt;=0.005,0,X116-MIN(X116,MAX(0,$E116-SUMIFS(H116:AK116,$H$5:$AK$5,"Rem",$H$4:$AK$4,"&lt;"&amp;Y$4))))</f>
        <v/>
      </c>
      <c r="Z116" s="33">
        <f>AB115*(1+N(Debts!$D$12)/1200)</f>
        <v/>
      </c>
      <c r="AA116" s="33">
        <f>Z116-MIN(N(Debts!$E$12),Z116)</f>
        <v/>
      </c>
      <c r="AB116" s="33">
        <f>IF(AA116&lt;=0.005,0,AA116-MIN(AA116,MAX(0,$E116-SUMIFS(H116:AK116,$H$5:$AK$5,"Rem",$H$4:$AK$4,"&lt;"&amp;AB$4))))</f>
        <v/>
      </c>
      <c r="AC116" s="33">
        <f>AE115*(1+N(Debts!$D$13)/1200)</f>
        <v/>
      </c>
      <c r="AD116" s="33">
        <f>AC116-MIN(N(Debts!$E$13),AC116)</f>
        <v/>
      </c>
      <c r="AE116" s="33">
        <f>IF(AD116&lt;=0.005,0,AD116-MIN(AD116,MAX(0,$E116-SUMIFS(H116:AK116,$H$5:$AK$5,"Rem",$H$4:$AK$4,"&lt;"&amp;AE$4))))</f>
        <v/>
      </c>
      <c r="AF116" s="33">
        <f>AH115*(1+N(Debts!$D$14)/1200)</f>
        <v/>
      </c>
      <c r="AG116" s="33">
        <f>AF116-MIN(N(Debts!$E$14),AF116)</f>
        <v/>
      </c>
      <c r="AH116" s="33">
        <f>IF(AG116&lt;=0.005,0,AG116-MIN(AG116,MAX(0,$E116-SUMIFS(H116:AK116,$H$5:$AK$5,"Rem",$H$4:$AK$4,"&lt;"&amp;AH$4))))</f>
        <v/>
      </c>
      <c r="AI116" s="33">
        <f>AK115*(1+N(Debts!$D$15)/1200)</f>
        <v/>
      </c>
      <c r="AJ116" s="33">
        <f>AI116-MIN(N(Debts!$E$15),AI116)</f>
        <v/>
      </c>
      <c r="AK116" s="33">
        <f>IF(AJ116&lt;=0.005,0,AJ116-MIN(AJ116,MAX(0,$E116-SUMIFS(H116:AK116,$H$5:$AK$5,"Rem",$H$4:$AK$4,"&lt;"&amp;AK$4))))</f>
        <v/>
      </c>
      <c r="AL116" s="1" t="n"/>
    </row>
    <row r="117">
      <c r="A117" s="1" t="n"/>
      <c r="B117" s="1" t="n">
        <v>110</v>
      </c>
      <c r="C117" s="34">
        <f>EDATE(Debts!$J$13,B117-1)</f>
        <v/>
      </c>
      <c r="D117" s="33">
        <f>IF(G116&lt;=0.005,0,Debts!$E$16+Debts!$J$7)</f>
        <v/>
      </c>
      <c r="E117" s="33">
        <f>MAX(0,D117-(SUMIF($H$5:$AK$5,"Due",H117:AK117)-SUMIF($H$5:$AK$5,"Rem",H117:AK117)))</f>
        <v/>
      </c>
      <c r="F117" s="33">
        <f>SUMIF($H$5:$AK$5,"Due",H117:AK117)-SUMIF($H$5:$AK$5,"Bal",H116:AK116)</f>
        <v/>
      </c>
      <c r="G117" s="33">
        <f>SUMIF($H$5:$AK$5,"Bal",H117:AK117)</f>
        <v/>
      </c>
      <c r="H117" s="33">
        <f>J116*(1+N(Debts!$D$6)/1200)</f>
        <v/>
      </c>
      <c r="I117" s="33">
        <f>H117-MIN(N(Debts!$E$6),H117)</f>
        <v/>
      </c>
      <c r="J117" s="33">
        <f>IF(I117&lt;=0.005,0,I117-MIN(I117,MAX(0,$E117-SUMIFS(H117:AK117,$H$5:$AK$5,"Rem",$H$4:$AK$4,"&lt;"&amp;J$4))))</f>
        <v/>
      </c>
      <c r="K117" s="33">
        <f>M116*(1+N(Debts!$D$7)/1200)</f>
        <v/>
      </c>
      <c r="L117" s="33">
        <f>K117-MIN(N(Debts!$E$7),K117)</f>
        <v/>
      </c>
      <c r="M117" s="33">
        <f>IF(L117&lt;=0.005,0,L117-MIN(L117,MAX(0,$E117-SUMIFS(H117:AK117,$H$5:$AK$5,"Rem",$H$4:$AK$4,"&lt;"&amp;M$4))))</f>
        <v/>
      </c>
      <c r="N117" s="33">
        <f>P116*(1+N(Debts!$D$8)/1200)</f>
        <v/>
      </c>
      <c r="O117" s="33">
        <f>N117-MIN(N(Debts!$E$8),N117)</f>
        <v/>
      </c>
      <c r="P117" s="33">
        <f>IF(O117&lt;=0.005,0,O117-MIN(O117,MAX(0,$E117-SUMIFS(H117:AK117,$H$5:$AK$5,"Rem",$H$4:$AK$4,"&lt;"&amp;P$4))))</f>
        <v/>
      </c>
      <c r="Q117" s="33">
        <f>S116*(1+N(Debts!$D$9)/1200)</f>
        <v/>
      </c>
      <c r="R117" s="33">
        <f>Q117-MIN(N(Debts!$E$9),Q117)</f>
        <v/>
      </c>
      <c r="S117" s="33">
        <f>IF(R117&lt;=0.005,0,R117-MIN(R117,MAX(0,$E117-SUMIFS(H117:AK117,$H$5:$AK$5,"Rem",$H$4:$AK$4,"&lt;"&amp;S$4))))</f>
        <v/>
      </c>
      <c r="T117" s="33">
        <f>V116*(1+N(Debts!$D$10)/1200)</f>
        <v/>
      </c>
      <c r="U117" s="33">
        <f>T117-MIN(N(Debts!$E$10),T117)</f>
        <v/>
      </c>
      <c r="V117" s="33">
        <f>IF(U117&lt;=0.005,0,U117-MIN(U117,MAX(0,$E117-SUMIFS(H117:AK117,$H$5:$AK$5,"Rem",$H$4:$AK$4,"&lt;"&amp;V$4))))</f>
        <v/>
      </c>
      <c r="W117" s="33">
        <f>Y116*(1+N(Debts!$D$11)/1200)</f>
        <v/>
      </c>
      <c r="X117" s="33">
        <f>W117-MIN(N(Debts!$E$11),W117)</f>
        <v/>
      </c>
      <c r="Y117" s="33">
        <f>IF(X117&lt;=0.005,0,X117-MIN(X117,MAX(0,$E117-SUMIFS(H117:AK117,$H$5:$AK$5,"Rem",$H$4:$AK$4,"&lt;"&amp;Y$4))))</f>
        <v/>
      </c>
      <c r="Z117" s="33">
        <f>AB116*(1+N(Debts!$D$12)/1200)</f>
        <v/>
      </c>
      <c r="AA117" s="33">
        <f>Z117-MIN(N(Debts!$E$12),Z117)</f>
        <v/>
      </c>
      <c r="AB117" s="33">
        <f>IF(AA117&lt;=0.005,0,AA117-MIN(AA117,MAX(0,$E117-SUMIFS(H117:AK117,$H$5:$AK$5,"Rem",$H$4:$AK$4,"&lt;"&amp;AB$4))))</f>
        <v/>
      </c>
      <c r="AC117" s="33">
        <f>AE116*(1+N(Debts!$D$13)/1200)</f>
        <v/>
      </c>
      <c r="AD117" s="33">
        <f>AC117-MIN(N(Debts!$E$13),AC117)</f>
        <v/>
      </c>
      <c r="AE117" s="33">
        <f>IF(AD117&lt;=0.005,0,AD117-MIN(AD117,MAX(0,$E117-SUMIFS(H117:AK117,$H$5:$AK$5,"Rem",$H$4:$AK$4,"&lt;"&amp;AE$4))))</f>
        <v/>
      </c>
      <c r="AF117" s="33">
        <f>AH116*(1+N(Debts!$D$14)/1200)</f>
        <v/>
      </c>
      <c r="AG117" s="33">
        <f>AF117-MIN(N(Debts!$E$14),AF117)</f>
        <v/>
      </c>
      <c r="AH117" s="33">
        <f>IF(AG117&lt;=0.005,0,AG117-MIN(AG117,MAX(0,$E117-SUMIFS(H117:AK117,$H$5:$AK$5,"Rem",$H$4:$AK$4,"&lt;"&amp;AH$4))))</f>
        <v/>
      </c>
      <c r="AI117" s="33">
        <f>AK116*(1+N(Debts!$D$15)/1200)</f>
        <v/>
      </c>
      <c r="AJ117" s="33">
        <f>AI117-MIN(N(Debts!$E$15),AI117)</f>
        <v/>
      </c>
      <c r="AK117" s="33">
        <f>IF(AJ117&lt;=0.005,0,AJ117-MIN(AJ117,MAX(0,$E117-SUMIFS(H117:AK117,$H$5:$AK$5,"Rem",$H$4:$AK$4,"&lt;"&amp;AK$4))))</f>
        <v/>
      </c>
      <c r="AL117" s="1" t="n"/>
    </row>
    <row r="118">
      <c r="A118" s="1" t="n"/>
      <c r="B118" s="1" t="n">
        <v>111</v>
      </c>
      <c r="C118" s="34">
        <f>EDATE(Debts!$J$13,B118-1)</f>
        <v/>
      </c>
      <c r="D118" s="33">
        <f>IF(G117&lt;=0.005,0,Debts!$E$16+Debts!$J$7)</f>
        <v/>
      </c>
      <c r="E118" s="33">
        <f>MAX(0,D118-(SUMIF($H$5:$AK$5,"Due",H118:AK118)-SUMIF($H$5:$AK$5,"Rem",H118:AK118)))</f>
        <v/>
      </c>
      <c r="F118" s="33">
        <f>SUMIF($H$5:$AK$5,"Due",H118:AK118)-SUMIF($H$5:$AK$5,"Bal",H117:AK117)</f>
        <v/>
      </c>
      <c r="G118" s="33">
        <f>SUMIF($H$5:$AK$5,"Bal",H118:AK118)</f>
        <v/>
      </c>
      <c r="H118" s="33">
        <f>J117*(1+N(Debts!$D$6)/1200)</f>
        <v/>
      </c>
      <c r="I118" s="33">
        <f>H118-MIN(N(Debts!$E$6),H118)</f>
        <v/>
      </c>
      <c r="J118" s="33">
        <f>IF(I118&lt;=0.005,0,I118-MIN(I118,MAX(0,$E118-SUMIFS(H118:AK118,$H$5:$AK$5,"Rem",$H$4:$AK$4,"&lt;"&amp;J$4))))</f>
        <v/>
      </c>
      <c r="K118" s="33">
        <f>M117*(1+N(Debts!$D$7)/1200)</f>
        <v/>
      </c>
      <c r="L118" s="33">
        <f>K118-MIN(N(Debts!$E$7),K118)</f>
        <v/>
      </c>
      <c r="M118" s="33">
        <f>IF(L118&lt;=0.005,0,L118-MIN(L118,MAX(0,$E118-SUMIFS(H118:AK118,$H$5:$AK$5,"Rem",$H$4:$AK$4,"&lt;"&amp;M$4))))</f>
        <v/>
      </c>
      <c r="N118" s="33">
        <f>P117*(1+N(Debts!$D$8)/1200)</f>
        <v/>
      </c>
      <c r="O118" s="33">
        <f>N118-MIN(N(Debts!$E$8),N118)</f>
        <v/>
      </c>
      <c r="P118" s="33">
        <f>IF(O118&lt;=0.005,0,O118-MIN(O118,MAX(0,$E118-SUMIFS(H118:AK118,$H$5:$AK$5,"Rem",$H$4:$AK$4,"&lt;"&amp;P$4))))</f>
        <v/>
      </c>
      <c r="Q118" s="33">
        <f>S117*(1+N(Debts!$D$9)/1200)</f>
        <v/>
      </c>
      <c r="R118" s="33">
        <f>Q118-MIN(N(Debts!$E$9),Q118)</f>
        <v/>
      </c>
      <c r="S118" s="33">
        <f>IF(R118&lt;=0.005,0,R118-MIN(R118,MAX(0,$E118-SUMIFS(H118:AK118,$H$5:$AK$5,"Rem",$H$4:$AK$4,"&lt;"&amp;S$4))))</f>
        <v/>
      </c>
      <c r="T118" s="33">
        <f>V117*(1+N(Debts!$D$10)/1200)</f>
        <v/>
      </c>
      <c r="U118" s="33">
        <f>T118-MIN(N(Debts!$E$10),T118)</f>
        <v/>
      </c>
      <c r="V118" s="33">
        <f>IF(U118&lt;=0.005,0,U118-MIN(U118,MAX(0,$E118-SUMIFS(H118:AK118,$H$5:$AK$5,"Rem",$H$4:$AK$4,"&lt;"&amp;V$4))))</f>
        <v/>
      </c>
      <c r="W118" s="33">
        <f>Y117*(1+N(Debts!$D$11)/1200)</f>
        <v/>
      </c>
      <c r="X118" s="33">
        <f>W118-MIN(N(Debts!$E$11),W118)</f>
        <v/>
      </c>
      <c r="Y118" s="33">
        <f>IF(X118&lt;=0.005,0,X118-MIN(X118,MAX(0,$E118-SUMIFS(H118:AK118,$H$5:$AK$5,"Rem",$H$4:$AK$4,"&lt;"&amp;Y$4))))</f>
        <v/>
      </c>
      <c r="Z118" s="33">
        <f>AB117*(1+N(Debts!$D$12)/1200)</f>
        <v/>
      </c>
      <c r="AA118" s="33">
        <f>Z118-MIN(N(Debts!$E$12),Z118)</f>
        <v/>
      </c>
      <c r="AB118" s="33">
        <f>IF(AA118&lt;=0.005,0,AA118-MIN(AA118,MAX(0,$E118-SUMIFS(H118:AK118,$H$5:$AK$5,"Rem",$H$4:$AK$4,"&lt;"&amp;AB$4))))</f>
        <v/>
      </c>
      <c r="AC118" s="33">
        <f>AE117*(1+N(Debts!$D$13)/1200)</f>
        <v/>
      </c>
      <c r="AD118" s="33">
        <f>AC118-MIN(N(Debts!$E$13),AC118)</f>
        <v/>
      </c>
      <c r="AE118" s="33">
        <f>IF(AD118&lt;=0.005,0,AD118-MIN(AD118,MAX(0,$E118-SUMIFS(H118:AK118,$H$5:$AK$5,"Rem",$H$4:$AK$4,"&lt;"&amp;AE$4))))</f>
        <v/>
      </c>
      <c r="AF118" s="33">
        <f>AH117*(1+N(Debts!$D$14)/1200)</f>
        <v/>
      </c>
      <c r="AG118" s="33">
        <f>AF118-MIN(N(Debts!$E$14),AF118)</f>
        <v/>
      </c>
      <c r="AH118" s="33">
        <f>IF(AG118&lt;=0.005,0,AG118-MIN(AG118,MAX(0,$E118-SUMIFS(H118:AK118,$H$5:$AK$5,"Rem",$H$4:$AK$4,"&lt;"&amp;AH$4))))</f>
        <v/>
      </c>
      <c r="AI118" s="33">
        <f>AK117*(1+N(Debts!$D$15)/1200)</f>
        <v/>
      </c>
      <c r="AJ118" s="33">
        <f>AI118-MIN(N(Debts!$E$15),AI118)</f>
        <v/>
      </c>
      <c r="AK118" s="33">
        <f>IF(AJ118&lt;=0.005,0,AJ118-MIN(AJ118,MAX(0,$E118-SUMIFS(H118:AK118,$H$5:$AK$5,"Rem",$H$4:$AK$4,"&lt;"&amp;AK$4))))</f>
        <v/>
      </c>
      <c r="AL118" s="1" t="n"/>
    </row>
    <row r="119">
      <c r="A119" s="1" t="n"/>
      <c r="B119" s="1" t="n">
        <v>112</v>
      </c>
      <c r="C119" s="34">
        <f>EDATE(Debts!$J$13,B119-1)</f>
        <v/>
      </c>
      <c r="D119" s="33">
        <f>IF(G118&lt;=0.005,0,Debts!$E$16+Debts!$J$7)</f>
        <v/>
      </c>
      <c r="E119" s="33">
        <f>MAX(0,D119-(SUMIF($H$5:$AK$5,"Due",H119:AK119)-SUMIF($H$5:$AK$5,"Rem",H119:AK119)))</f>
        <v/>
      </c>
      <c r="F119" s="33">
        <f>SUMIF($H$5:$AK$5,"Due",H119:AK119)-SUMIF($H$5:$AK$5,"Bal",H118:AK118)</f>
        <v/>
      </c>
      <c r="G119" s="33">
        <f>SUMIF($H$5:$AK$5,"Bal",H119:AK119)</f>
        <v/>
      </c>
      <c r="H119" s="33">
        <f>J118*(1+N(Debts!$D$6)/1200)</f>
        <v/>
      </c>
      <c r="I119" s="33">
        <f>H119-MIN(N(Debts!$E$6),H119)</f>
        <v/>
      </c>
      <c r="J119" s="33">
        <f>IF(I119&lt;=0.005,0,I119-MIN(I119,MAX(0,$E119-SUMIFS(H119:AK119,$H$5:$AK$5,"Rem",$H$4:$AK$4,"&lt;"&amp;J$4))))</f>
        <v/>
      </c>
      <c r="K119" s="33">
        <f>M118*(1+N(Debts!$D$7)/1200)</f>
        <v/>
      </c>
      <c r="L119" s="33">
        <f>K119-MIN(N(Debts!$E$7),K119)</f>
        <v/>
      </c>
      <c r="M119" s="33">
        <f>IF(L119&lt;=0.005,0,L119-MIN(L119,MAX(0,$E119-SUMIFS(H119:AK119,$H$5:$AK$5,"Rem",$H$4:$AK$4,"&lt;"&amp;M$4))))</f>
        <v/>
      </c>
      <c r="N119" s="33">
        <f>P118*(1+N(Debts!$D$8)/1200)</f>
        <v/>
      </c>
      <c r="O119" s="33">
        <f>N119-MIN(N(Debts!$E$8),N119)</f>
        <v/>
      </c>
      <c r="P119" s="33">
        <f>IF(O119&lt;=0.005,0,O119-MIN(O119,MAX(0,$E119-SUMIFS(H119:AK119,$H$5:$AK$5,"Rem",$H$4:$AK$4,"&lt;"&amp;P$4))))</f>
        <v/>
      </c>
      <c r="Q119" s="33">
        <f>S118*(1+N(Debts!$D$9)/1200)</f>
        <v/>
      </c>
      <c r="R119" s="33">
        <f>Q119-MIN(N(Debts!$E$9),Q119)</f>
        <v/>
      </c>
      <c r="S119" s="33">
        <f>IF(R119&lt;=0.005,0,R119-MIN(R119,MAX(0,$E119-SUMIFS(H119:AK119,$H$5:$AK$5,"Rem",$H$4:$AK$4,"&lt;"&amp;S$4))))</f>
        <v/>
      </c>
      <c r="T119" s="33">
        <f>V118*(1+N(Debts!$D$10)/1200)</f>
        <v/>
      </c>
      <c r="U119" s="33">
        <f>T119-MIN(N(Debts!$E$10),T119)</f>
        <v/>
      </c>
      <c r="V119" s="33">
        <f>IF(U119&lt;=0.005,0,U119-MIN(U119,MAX(0,$E119-SUMIFS(H119:AK119,$H$5:$AK$5,"Rem",$H$4:$AK$4,"&lt;"&amp;V$4))))</f>
        <v/>
      </c>
      <c r="W119" s="33">
        <f>Y118*(1+N(Debts!$D$11)/1200)</f>
        <v/>
      </c>
      <c r="X119" s="33">
        <f>W119-MIN(N(Debts!$E$11),W119)</f>
        <v/>
      </c>
      <c r="Y119" s="33">
        <f>IF(X119&lt;=0.005,0,X119-MIN(X119,MAX(0,$E119-SUMIFS(H119:AK119,$H$5:$AK$5,"Rem",$H$4:$AK$4,"&lt;"&amp;Y$4))))</f>
        <v/>
      </c>
      <c r="Z119" s="33">
        <f>AB118*(1+N(Debts!$D$12)/1200)</f>
        <v/>
      </c>
      <c r="AA119" s="33">
        <f>Z119-MIN(N(Debts!$E$12),Z119)</f>
        <v/>
      </c>
      <c r="AB119" s="33">
        <f>IF(AA119&lt;=0.005,0,AA119-MIN(AA119,MAX(0,$E119-SUMIFS(H119:AK119,$H$5:$AK$5,"Rem",$H$4:$AK$4,"&lt;"&amp;AB$4))))</f>
        <v/>
      </c>
      <c r="AC119" s="33">
        <f>AE118*(1+N(Debts!$D$13)/1200)</f>
        <v/>
      </c>
      <c r="AD119" s="33">
        <f>AC119-MIN(N(Debts!$E$13),AC119)</f>
        <v/>
      </c>
      <c r="AE119" s="33">
        <f>IF(AD119&lt;=0.005,0,AD119-MIN(AD119,MAX(0,$E119-SUMIFS(H119:AK119,$H$5:$AK$5,"Rem",$H$4:$AK$4,"&lt;"&amp;AE$4))))</f>
        <v/>
      </c>
      <c r="AF119" s="33">
        <f>AH118*(1+N(Debts!$D$14)/1200)</f>
        <v/>
      </c>
      <c r="AG119" s="33">
        <f>AF119-MIN(N(Debts!$E$14),AF119)</f>
        <v/>
      </c>
      <c r="AH119" s="33">
        <f>IF(AG119&lt;=0.005,0,AG119-MIN(AG119,MAX(0,$E119-SUMIFS(H119:AK119,$H$5:$AK$5,"Rem",$H$4:$AK$4,"&lt;"&amp;AH$4))))</f>
        <v/>
      </c>
      <c r="AI119" s="33">
        <f>AK118*(1+N(Debts!$D$15)/1200)</f>
        <v/>
      </c>
      <c r="AJ119" s="33">
        <f>AI119-MIN(N(Debts!$E$15),AI119)</f>
        <v/>
      </c>
      <c r="AK119" s="33">
        <f>IF(AJ119&lt;=0.005,0,AJ119-MIN(AJ119,MAX(0,$E119-SUMIFS(H119:AK119,$H$5:$AK$5,"Rem",$H$4:$AK$4,"&lt;"&amp;AK$4))))</f>
        <v/>
      </c>
      <c r="AL119" s="1" t="n"/>
    </row>
    <row r="120">
      <c r="A120" s="1" t="n"/>
      <c r="B120" s="1" t="n">
        <v>113</v>
      </c>
      <c r="C120" s="34">
        <f>EDATE(Debts!$J$13,B120-1)</f>
        <v/>
      </c>
      <c r="D120" s="33">
        <f>IF(G119&lt;=0.005,0,Debts!$E$16+Debts!$J$7)</f>
        <v/>
      </c>
      <c r="E120" s="33">
        <f>MAX(0,D120-(SUMIF($H$5:$AK$5,"Due",H120:AK120)-SUMIF($H$5:$AK$5,"Rem",H120:AK120)))</f>
        <v/>
      </c>
      <c r="F120" s="33">
        <f>SUMIF($H$5:$AK$5,"Due",H120:AK120)-SUMIF($H$5:$AK$5,"Bal",H119:AK119)</f>
        <v/>
      </c>
      <c r="G120" s="33">
        <f>SUMIF($H$5:$AK$5,"Bal",H120:AK120)</f>
        <v/>
      </c>
      <c r="H120" s="33">
        <f>J119*(1+N(Debts!$D$6)/1200)</f>
        <v/>
      </c>
      <c r="I120" s="33">
        <f>H120-MIN(N(Debts!$E$6),H120)</f>
        <v/>
      </c>
      <c r="J120" s="33">
        <f>IF(I120&lt;=0.005,0,I120-MIN(I120,MAX(0,$E120-SUMIFS(H120:AK120,$H$5:$AK$5,"Rem",$H$4:$AK$4,"&lt;"&amp;J$4))))</f>
        <v/>
      </c>
      <c r="K120" s="33">
        <f>M119*(1+N(Debts!$D$7)/1200)</f>
        <v/>
      </c>
      <c r="L120" s="33">
        <f>K120-MIN(N(Debts!$E$7),K120)</f>
        <v/>
      </c>
      <c r="M120" s="33">
        <f>IF(L120&lt;=0.005,0,L120-MIN(L120,MAX(0,$E120-SUMIFS(H120:AK120,$H$5:$AK$5,"Rem",$H$4:$AK$4,"&lt;"&amp;M$4))))</f>
        <v/>
      </c>
      <c r="N120" s="33">
        <f>P119*(1+N(Debts!$D$8)/1200)</f>
        <v/>
      </c>
      <c r="O120" s="33">
        <f>N120-MIN(N(Debts!$E$8),N120)</f>
        <v/>
      </c>
      <c r="P120" s="33">
        <f>IF(O120&lt;=0.005,0,O120-MIN(O120,MAX(0,$E120-SUMIFS(H120:AK120,$H$5:$AK$5,"Rem",$H$4:$AK$4,"&lt;"&amp;P$4))))</f>
        <v/>
      </c>
      <c r="Q120" s="33">
        <f>S119*(1+N(Debts!$D$9)/1200)</f>
        <v/>
      </c>
      <c r="R120" s="33">
        <f>Q120-MIN(N(Debts!$E$9),Q120)</f>
        <v/>
      </c>
      <c r="S120" s="33">
        <f>IF(R120&lt;=0.005,0,R120-MIN(R120,MAX(0,$E120-SUMIFS(H120:AK120,$H$5:$AK$5,"Rem",$H$4:$AK$4,"&lt;"&amp;S$4))))</f>
        <v/>
      </c>
      <c r="T120" s="33">
        <f>V119*(1+N(Debts!$D$10)/1200)</f>
        <v/>
      </c>
      <c r="U120" s="33">
        <f>T120-MIN(N(Debts!$E$10),T120)</f>
        <v/>
      </c>
      <c r="V120" s="33">
        <f>IF(U120&lt;=0.005,0,U120-MIN(U120,MAX(0,$E120-SUMIFS(H120:AK120,$H$5:$AK$5,"Rem",$H$4:$AK$4,"&lt;"&amp;V$4))))</f>
        <v/>
      </c>
      <c r="W120" s="33">
        <f>Y119*(1+N(Debts!$D$11)/1200)</f>
        <v/>
      </c>
      <c r="X120" s="33">
        <f>W120-MIN(N(Debts!$E$11),W120)</f>
        <v/>
      </c>
      <c r="Y120" s="33">
        <f>IF(X120&lt;=0.005,0,X120-MIN(X120,MAX(0,$E120-SUMIFS(H120:AK120,$H$5:$AK$5,"Rem",$H$4:$AK$4,"&lt;"&amp;Y$4))))</f>
        <v/>
      </c>
      <c r="Z120" s="33">
        <f>AB119*(1+N(Debts!$D$12)/1200)</f>
        <v/>
      </c>
      <c r="AA120" s="33">
        <f>Z120-MIN(N(Debts!$E$12),Z120)</f>
        <v/>
      </c>
      <c r="AB120" s="33">
        <f>IF(AA120&lt;=0.005,0,AA120-MIN(AA120,MAX(0,$E120-SUMIFS(H120:AK120,$H$5:$AK$5,"Rem",$H$4:$AK$4,"&lt;"&amp;AB$4))))</f>
        <v/>
      </c>
      <c r="AC120" s="33">
        <f>AE119*(1+N(Debts!$D$13)/1200)</f>
        <v/>
      </c>
      <c r="AD120" s="33">
        <f>AC120-MIN(N(Debts!$E$13),AC120)</f>
        <v/>
      </c>
      <c r="AE120" s="33">
        <f>IF(AD120&lt;=0.005,0,AD120-MIN(AD120,MAX(0,$E120-SUMIFS(H120:AK120,$H$5:$AK$5,"Rem",$H$4:$AK$4,"&lt;"&amp;AE$4))))</f>
        <v/>
      </c>
      <c r="AF120" s="33">
        <f>AH119*(1+N(Debts!$D$14)/1200)</f>
        <v/>
      </c>
      <c r="AG120" s="33">
        <f>AF120-MIN(N(Debts!$E$14),AF120)</f>
        <v/>
      </c>
      <c r="AH120" s="33">
        <f>IF(AG120&lt;=0.005,0,AG120-MIN(AG120,MAX(0,$E120-SUMIFS(H120:AK120,$H$5:$AK$5,"Rem",$H$4:$AK$4,"&lt;"&amp;AH$4))))</f>
        <v/>
      </c>
      <c r="AI120" s="33">
        <f>AK119*(1+N(Debts!$D$15)/1200)</f>
        <v/>
      </c>
      <c r="AJ120" s="33">
        <f>AI120-MIN(N(Debts!$E$15),AI120)</f>
        <v/>
      </c>
      <c r="AK120" s="33">
        <f>IF(AJ120&lt;=0.005,0,AJ120-MIN(AJ120,MAX(0,$E120-SUMIFS(H120:AK120,$H$5:$AK$5,"Rem",$H$4:$AK$4,"&lt;"&amp;AK$4))))</f>
        <v/>
      </c>
      <c r="AL120" s="1" t="n"/>
    </row>
    <row r="121">
      <c r="A121" s="1" t="n"/>
      <c r="B121" s="1" t="n">
        <v>114</v>
      </c>
      <c r="C121" s="34">
        <f>EDATE(Debts!$J$13,B121-1)</f>
        <v/>
      </c>
      <c r="D121" s="33">
        <f>IF(G120&lt;=0.005,0,Debts!$E$16+Debts!$J$7)</f>
        <v/>
      </c>
      <c r="E121" s="33">
        <f>MAX(0,D121-(SUMIF($H$5:$AK$5,"Due",H121:AK121)-SUMIF($H$5:$AK$5,"Rem",H121:AK121)))</f>
        <v/>
      </c>
      <c r="F121" s="33">
        <f>SUMIF($H$5:$AK$5,"Due",H121:AK121)-SUMIF($H$5:$AK$5,"Bal",H120:AK120)</f>
        <v/>
      </c>
      <c r="G121" s="33">
        <f>SUMIF($H$5:$AK$5,"Bal",H121:AK121)</f>
        <v/>
      </c>
      <c r="H121" s="33">
        <f>J120*(1+N(Debts!$D$6)/1200)</f>
        <v/>
      </c>
      <c r="I121" s="33">
        <f>H121-MIN(N(Debts!$E$6),H121)</f>
        <v/>
      </c>
      <c r="J121" s="33">
        <f>IF(I121&lt;=0.005,0,I121-MIN(I121,MAX(0,$E121-SUMIFS(H121:AK121,$H$5:$AK$5,"Rem",$H$4:$AK$4,"&lt;"&amp;J$4))))</f>
        <v/>
      </c>
      <c r="K121" s="33">
        <f>M120*(1+N(Debts!$D$7)/1200)</f>
        <v/>
      </c>
      <c r="L121" s="33">
        <f>K121-MIN(N(Debts!$E$7),K121)</f>
        <v/>
      </c>
      <c r="M121" s="33">
        <f>IF(L121&lt;=0.005,0,L121-MIN(L121,MAX(0,$E121-SUMIFS(H121:AK121,$H$5:$AK$5,"Rem",$H$4:$AK$4,"&lt;"&amp;M$4))))</f>
        <v/>
      </c>
      <c r="N121" s="33">
        <f>P120*(1+N(Debts!$D$8)/1200)</f>
        <v/>
      </c>
      <c r="O121" s="33">
        <f>N121-MIN(N(Debts!$E$8),N121)</f>
        <v/>
      </c>
      <c r="P121" s="33">
        <f>IF(O121&lt;=0.005,0,O121-MIN(O121,MAX(0,$E121-SUMIFS(H121:AK121,$H$5:$AK$5,"Rem",$H$4:$AK$4,"&lt;"&amp;P$4))))</f>
        <v/>
      </c>
      <c r="Q121" s="33">
        <f>S120*(1+N(Debts!$D$9)/1200)</f>
        <v/>
      </c>
      <c r="R121" s="33">
        <f>Q121-MIN(N(Debts!$E$9),Q121)</f>
        <v/>
      </c>
      <c r="S121" s="33">
        <f>IF(R121&lt;=0.005,0,R121-MIN(R121,MAX(0,$E121-SUMIFS(H121:AK121,$H$5:$AK$5,"Rem",$H$4:$AK$4,"&lt;"&amp;S$4))))</f>
        <v/>
      </c>
      <c r="T121" s="33">
        <f>V120*(1+N(Debts!$D$10)/1200)</f>
        <v/>
      </c>
      <c r="U121" s="33">
        <f>T121-MIN(N(Debts!$E$10),T121)</f>
        <v/>
      </c>
      <c r="V121" s="33">
        <f>IF(U121&lt;=0.005,0,U121-MIN(U121,MAX(0,$E121-SUMIFS(H121:AK121,$H$5:$AK$5,"Rem",$H$4:$AK$4,"&lt;"&amp;V$4))))</f>
        <v/>
      </c>
      <c r="W121" s="33">
        <f>Y120*(1+N(Debts!$D$11)/1200)</f>
        <v/>
      </c>
      <c r="X121" s="33">
        <f>W121-MIN(N(Debts!$E$11),W121)</f>
        <v/>
      </c>
      <c r="Y121" s="33">
        <f>IF(X121&lt;=0.005,0,X121-MIN(X121,MAX(0,$E121-SUMIFS(H121:AK121,$H$5:$AK$5,"Rem",$H$4:$AK$4,"&lt;"&amp;Y$4))))</f>
        <v/>
      </c>
      <c r="Z121" s="33">
        <f>AB120*(1+N(Debts!$D$12)/1200)</f>
        <v/>
      </c>
      <c r="AA121" s="33">
        <f>Z121-MIN(N(Debts!$E$12),Z121)</f>
        <v/>
      </c>
      <c r="AB121" s="33">
        <f>IF(AA121&lt;=0.005,0,AA121-MIN(AA121,MAX(0,$E121-SUMIFS(H121:AK121,$H$5:$AK$5,"Rem",$H$4:$AK$4,"&lt;"&amp;AB$4))))</f>
        <v/>
      </c>
      <c r="AC121" s="33">
        <f>AE120*(1+N(Debts!$D$13)/1200)</f>
        <v/>
      </c>
      <c r="AD121" s="33">
        <f>AC121-MIN(N(Debts!$E$13),AC121)</f>
        <v/>
      </c>
      <c r="AE121" s="33">
        <f>IF(AD121&lt;=0.005,0,AD121-MIN(AD121,MAX(0,$E121-SUMIFS(H121:AK121,$H$5:$AK$5,"Rem",$H$4:$AK$4,"&lt;"&amp;AE$4))))</f>
        <v/>
      </c>
      <c r="AF121" s="33">
        <f>AH120*(1+N(Debts!$D$14)/1200)</f>
        <v/>
      </c>
      <c r="AG121" s="33">
        <f>AF121-MIN(N(Debts!$E$14),AF121)</f>
        <v/>
      </c>
      <c r="AH121" s="33">
        <f>IF(AG121&lt;=0.005,0,AG121-MIN(AG121,MAX(0,$E121-SUMIFS(H121:AK121,$H$5:$AK$5,"Rem",$H$4:$AK$4,"&lt;"&amp;AH$4))))</f>
        <v/>
      </c>
      <c r="AI121" s="33">
        <f>AK120*(1+N(Debts!$D$15)/1200)</f>
        <v/>
      </c>
      <c r="AJ121" s="33">
        <f>AI121-MIN(N(Debts!$E$15),AI121)</f>
        <v/>
      </c>
      <c r="AK121" s="33">
        <f>IF(AJ121&lt;=0.005,0,AJ121-MIN(AJ121,MAX(0,$E121-SUMIFS(H121:AK121,$H$5:$AK$5,"Rem",$H$4:$AK$4,"&lt;"&amp;AK$4))))</f>
        <v/>
      </c>
      <c r="AL121" s="1" t="n"/>
    </row>
    <row r="122">
      <c r="A122" s="1" t="n"/>
      <c r="B122" s="1" t="n">
        <v>115</v>
      </c>
      <c r="C122" s="34">
        <f>EDATE(Debts!$J$13,B122-1)</f>
        <v/>
      </c>
      <c r="D122" s="33">
        <f>IF(G121&lt;=0.005,0,Debts!$E$16+Debts!$J$7)</f>
        <v/>
      </c>
      <c r="E122" s="33">
        <f>MAX(0,D122-(SUMIF($H$5:$AK$5,"Due",H122:AK122)-SUMIF($H$5:$AK$5,"Rem",H122:AK122)))</f>
        <v/>
      </c>
      <c r="F122" s="33">
        <f>SUMIF($H$5:$AK$5,"Due",H122:AK122)-SUMIF($H$5:$AK$5,"Bal",H121:AK121)</f>
        <v/>
      </c>
      <c r="G122" s="33">
        <f>SUMIF($H$5:$AK$5,"Bal",H122:AK122)</f>
        <v/>
      </c>
      <c r="H122" s="33">
        <f>J121*(1+N(Debts!$D$6)/1200)</f>
        <v/>
      </c>
      <c r="I122" s="33">
        <f>H122-MIN(N(Debts!$E$6),H122)</f>
        <v/>
      </c>
      <c r="J122" s="33">
        <f>IF(I122&lt;=0.005,0,I122-MIN(I122,MAX(0,$E122-SUMIFS(H122:AK122,$H$5:$AK$5,"Rem",$H$4:$AK$4,"&lt;"&amp;J$4))))</f>
        <v/>
      </c>
      <c r="K122" s="33">
        <f>M121*(1+N(Debts!$D$7)/1200)</f>
        <v/>
      </c>
      <c r="L122" s="33">
        <f>K122-MIN(N(Debts!$E$7),K122)</f>
        <v/>
      </c>
      <c r="M122" s="33">
        <f>IF(L122&lt;=0.005,0,L122-MIN(L122,MAX(0,$E122-SUMIFS(H122:AK122,$H$5:$AK$5,"Rem",$H$4:$AK$4,"&lt;"&amp;M$4))))</f>
        <v/>
      </c>
      <c r="N122" s="33">
        <f>P121*(1+N(Debts!$D$8)/1200)</f>
        <v/>
      </c>
      <c r="O122" s="33">
        <f>N122-MIN(N(Debts!$E$8),N122)</f>
        <v/>
      </c>
      <c r="P122" s="33">
        <f>IF(O122&lt;=0.005,0,O122-MIN(O122,MAX(0,$E122-SUMIFS(H122:AK122,$H$5:$AK$5,"Rem",$H$4:$AK$4,"&lt;"&amp;P$4))))</f>
        <v/>
      </c>
      <c r="Q122" s="33">
        <f>S121*(1+N(Debts!$D$9)/1200)</f>
        <v/>
      </c>
      <c r="R122" s="33">
        <f>Q122-MIN(N(Debts!$E$9),Q122)</f>
        <v/>
      </c>
      <c r="S122" s="33">
        <f>IF(R122&lt;=0.005,0,R122-MIN(R122,MAX(0,$E122-SUMIFS(H122:AK122,$H$5:$AK$5,"Rem",$H$4:$AK$4,"&lt;"&amp;S$4))))</f>
        <v/>
      </c>
      <c r="T122" s="33">
        <f>V121*(1+N(Debts!$D$10)/1200)</f>
        <v/>
      </c>
      <c r="U122" s="33">
        <f>T122-MIN(N(Debts!$E$10),T122)</f>
        <v/>
      </c>
      <c r="V122" s="33">
        <f>IF(U122&lt;=0.005,0,U122-MIN(U122,MAX(0,$E122-SUMIFS(H122:AK122,$H$5:$AK$5,"Rem",$H$4:$AK$4,"&lt;"&amp;V$4))))</f>
        <v/>
      </c>
      <c r="W122" s="33">
        <f>Y121*(1+N(Debts!$D$11)/1200)</f>
        <v/>
      </c>
      <c r="X122" s="33">
        <f>W122-MIN(N(Debts!$E$11),W122)</f>
        <v/>
      </c>
      <c r="Y122" s="33">
        <f>IF(X122&lt;=0.005,0,X122-MIN(X122,MAX(0,$E122-SUMIFS(H122:AK122,$H$5:$AK$5,"Rem",$H$4:$AK$4,"&lt;"&amp;Y$4))))</f>
        <v/>
      </c>
      <c r="Z122" s="33">
        <f>AB121*(1+N(Debts!$D$12)/1200)</f>
        <v/>
      </c>
      <c r="AA122" s="33">
        <f>Z122-MIN(N(Debts!$E$12),Z122)</f>
        <v/>
      </c>
      <c r="AB122" s="33">
        <f>IF(AA122&lt;=0.005,0,AA122-MIN(AA122,MAX(0,$E122-SUMIFS(H122:AK122,$H$5:$AK$5,"Rem",$H$4:$AK$4,"&lt;"&amp;AB$4))))</f>
        <v/>
      </c>
      <c r="AC122" s="33">
        <f>AE121*(1+N(Debts!$D$13)/1200)</f>
        <v/>
      </c>
      <c r="AD122" s="33">
        <f>AC122-MIN(N(Debts!$E$13),AC122)</f>
        <v/>
      </c>
      <c r="AE122" s="33">
        <f>IF(AD122&lt;=0.005,0,AD122-MIN(AD122,MAX(0,$E122-SUMIFS(H122:AK122,$H$5:$AK$5,"Rem",$H$4:$AK$4,"&lt;"&amp;AE$4))))</f>
        <v/>
      </c>
      <c r="AF122" s="33">
        <f>AH121*(1+N(Debts!$D$14)/1200)</f>
        <v/>
      </c>
      <c r="AG122" s="33">
        <f>AF122-MIN(N(Debts!$E$14),AF122)</f>
        <v/>
      </c>
      <c r="AH122" s="33">
        <f>IF(AG122&lt;=0.005,0,AG122-MIN(AG122,MAX(0,$E122-SUMIFS(H122:AK122,$H$5:$AK$5,"Rem",$H$4:$AK$4,"&lt;"&amp;AH$4))))</f>
        <v/>
      </c>
      <c r="AI122" s="33">
        <f>AK121*(1+N(Debts!$D$15)/1200)</f>
        <v/>
      </c>
      <c r="AJ122" s="33">
        <f>AI122-MIN(N(Debts!$E$15),AI122)</f>
        <v/>
      </c>
      <c r="AK122" s="33">
        <f>IF(AJ122&lt;=0.005,0,AJ122-MIN(AJ122,MAX(0,$E122-SUMIFS(H122:AK122,$H$5:$AK$5,"Rem",$H$4:$AK$4,"&lt;"&amp;AK$4))))</f>
        <v/>
      </c>
      <c r="AL122" s="1" t="n"/>
    </row>
    <row r="123">
      <c r="A123" s="1" t="n"/>
      <c r="B123" s="1" t="n">
        <v>116</v>
      </c>
      <c r="C123" s="34">
        <f>EDATE(Debts!$J$13,B123-1)</f>
        <v/>
      </c>
      <c r="D123" s="33">
        <f>IF(G122&lt;=0.005,0,Debts!$E$16+Debts!$J$7)</f>
        <v/>
      </c>
      <c r="E123" s="33">
        <f>MAX(0,D123-(SUMIF($H$5:$AK$5,"Due",H123:AK123)-SUMIF($H$5:$AK$5,"Rem",H123:AK123)))</f>
        <v/>
      </c>
      <c r="F123" s="33">
        <f>SUMIF($H$5:$AK$5,"Due",H123:AK123)-SUMIF($H$5:$AK$5,"Bal",H122:AK122)</f>
        <v/>
      </c>
      <c r="G123" s="33">
        <f>SUMIF($H$5:$AK$5,"Bal",H123:AK123)</f>
        <v/>
      </c>
      <c r="H123" s="33">
        <f>J122*(1+N(Debts!$D$6)/1200)</f>
        <v/>
      </c>
      <c r="I123" s="33">
        <f>H123-MIN(N(Debts!$E$6),H123)</f>
        <v/>
      </c>
      <c r="J123" s="33">
        <f>IF(I123&lt;=0.005,0,I123-MIN(I123,MAX(0,$E123-SUMIFS(H123:AK123,$H$5:$AK$5,"Rem",$H$4:$AK$4,"&lt;"&amp;J$4))))</f>
        <v/>
      </c>
      <c r="K123" s="33">
        <f>M122*(1+N(Debts!$D$7)/1200)</f>
        <v/>
      </c>
      <c r="L123" s="33">
        <f>K123-MIN(N(Debts!$E$7),K123)</f>
        <v/>
      </c>
      <c r="M123" s="33">
        <f>IF(L123&lt;=0.005,0,L123-MIN(L123,MAX(0,$E123-SUMIFS(H123:AK123,$H$5:$AK$5,"Rem",$H$4:$AK$4,"&lt;"&amp;M$4))))</f>
        <v/>
      </c>
      <c r="N123" s="33">
        <f>P122*(1+N(Debts!$D$8)/1200)</f>
        <v/>
      </c>
      <c r="O123" s="33">
        <f>N123-MIN(N(Debts!$E$8),N123)</f>
        <v/>
      </c>
      <c r="P123" s="33">
        <f>IF(O123&lt;=0.005,0,O123-MIN(O123,MAX(0,$E123-SUMIFS(H123:AK123,$H$5:$AK$5,"Rem",$H$4:$AK$4,"&lt;"&amp;P$4))))</f>
        <v/>
      </c>
      <c r="Q123" s="33">
        <f>S122*(1+N(Debts!$D$9)/1200)</f>
        <v/>
      </c>
      <c r="R123" s="33">
        <f>Q123-MIN(N(Debts!$E$9),Q123)</f>
        <v/>
      </c>
      <c r="S123" s="33">
        <f>IF(R123&lt;=0.005,0,R123-MIN(R123,MAX(0,$E123-SUMIFS(H123:AK123,$H$5:$AK$5,"Rem",$H$4:$AK$4,"&lt;"&amp;S$4))))</f>
        <v/>
      </c>
      <c r="T123" s="33">
        <f>V122*(1+N(Debts!$D$10)/1200)</f>
        <v/>
      </c>
      <c r="U123" s="33">
        <f>T123-MIN(N(Debts!$E$10),T123)</f>
        <v/>
      </c>
      <c r="V123" s="33">
        <f>IF(U123&lt;=0.005,0,U123-MIN(U123,MAX(0,$E123-SUMIFS(H123:AK123,$H$5:$AK$5,"Rem",$H$4:$AK$4,"&lt;"&amp;V$4))))</f>
        <v/>
      </c>
      <c r="W123" s="33">
        <f>Y122*(1+N(Debts!$D$11)/1200)</f>
        <v/>
      </c>
      <c r="X123" s="33">
        <f>W123-MIN(N(Debts!$E$11),W123)</f>
        <v/>
      </c>
      <c r="Y123" s="33">
        <f>IF(X123&lt;=0.005,0,X123-MIN(X123,MAX(0,$E123-SUMIFS(H123:AK123,$H$5:$AK$5,"Rem",$H$4:$AK$4,"&lt;"&amp;Y$4))))</f>
        <v/>
      </c>
      <c r="Z123" s="33">
        <f>AB122*(1+N(Debts!$D$12)/1200)</f>
        <v/>
      </c>
      <c r="AA123" s="33">
        <f>Z123-MIN(N(Debts!$E$12),Z123)</f>
        <v/>
      </c>
      <c r="AB123" s="33">
        <f>IF(AA123&lt;=0.005,0,AA123-MIN(AA123,MAX(0,$E123-SUMIFS(H123:AK123,$H$5:$AK$5,"Rem",$H$4:$AK$4,"&lt;"&amp;AB$4))))</f>
        <v/>
      </c>
      <c r="AC123" s="33">
        <f>AE122*(1+N(Debts!$D$13)/1200)</f>
        <v/>
      </c>
      <c r="AD123" s="33">
        <f>AC123-MIN(N(Debts!$E$13),AC123)</f>
        <v/>
      </c>
      <c r="AE123" s="33">
        <f>IF(AD123&lt;=0.005,0,AD123-MIN(AD123,MAX(0,$E123-SUMIFS(H123:AK123,$H$5:$AK$5,"Rem",$H$4:$AK$4,"&lt;"&amp;AE$4))))</f>
        <v/>
      </c>
      <c r="AF123" s="33">
        <f>AH122*(1+N(Debts!$D$14)/1200)</f>
        <v/>
      </c>
      <c r="AG123" s="33">
        <f>AF123-MIN(N(Debts!$E$14),AF123)</f>
        <v/>
      </c>
      <c r="AH123" s="33">
        <f>IF(AG123&lt;=0.005,0,AG123-MIN(AG123,MAX(0,$E123-SUMIFS(H123:AK123,$H$5:$AK$5,"Rem",$H$4:$AK$4,"&lt;"&amp;AH$4))))</f>
        <v/>
      </c>
      <c r="AI123" s="33">
        <f>AK122*(1+N(Debts!$D$15)/1200)</f>
        <v/>
      </c>
      <c r="AJ123" s="33">
        <f>AI123-MIN(N(Debts!$E$15),AI123)</f>
        <v/>
      </c>
      <c r="AK123" s="33">
        <f>IF(AJ123&lt;=0.005,0,AJ123-MIN(AJ123,MAX(0,$E123-SUMIFS(H123:AK123,$H$5:$AK$5,"Rem",$H$4:$AK$4,"&lt;"&amp;AK$4))))</f>
        <v/>
      </c>
      <c r="AL123" s="1" t="n"/>
    </row>
    <row r="124">
      <c r="A124" s="1" t="n"/>
      <c r="B124" s="1" t="n">
        <v>117</v>
      </c>
      <c r="C124" s="34">
        <f>EDATE(Debts!$J$13,B124-1)</f>
        <v/>
      </c>
      <c r="D124" s="33">
        <f>IF(G123&lt;=0.005,0,Debts!$E$16+Debts!$J$7)</f>
        <v/>
      </c>
      <c r="E124" s="33">
        <f>MAX(0,D124-(SUMIF($H$5:$AK$5,"Due",H124:AK124)-SUMIF($H$5:$AK$5,"Rem",H124:AK124)))</f>
        <v/>
      </c>
      <c r="F124" s="33">
        <f>SUMIF($H$5:$AK$5,"Due",H124:AK124)-SUMIF($H$5:$AK$5,"Bal",H123:AK123)</f>
        <v/>
      </c>
      <c r="G124" s="33">
        <f>SUMIF($H$5:$AK$5,"Bal",H124:AK124)</f>
        <v/>
      </c>
      <c r="H124" s="33">
        <f>J123*(1+N(Debts!$D$6)/1200)</f>
        <v/>
      </c>
      <c r="I124" s="33">
        <f>H124-MIN(N(Debts!$E$6),H124)</f>
        <v/>
      </c>
      <c r="J124" s="33">
        <f>IF(I124&lt;=0.005,0,I124-MIN(I124,MAX(0,$E124-SUMIFS(H124:AK124,$H$5:$AK$5,"Rem",$H$4:$AK$4,"&lt;"&amp;J$4))))</f>
        <v/>
      </c>
      <c r="K124" s="33">
        <f>M123*(1+N(Debts!$D$7)/1200)</f>
        <v/>
      </c>
      <c r="L124" s="33">
        <f>K124-MIN(N(Debts!$E$7),K124)</f>
        <v/>
      </c>
      <c r="M124" s="33">
        <f>IF(L124&lt;=0.005,0,L124-MIN(L124,MAX(0,$E124-SUMIFS(H124:AK124,$H$5:$AK$5,"Rem",$H$4:$AK$4,"&lt;"&amp;M$4))))</f>
        <v/>
      </c>
      <c r="N124" s="33">
        <f>P123*(1+N(Debts!$D$8)/1200)</f>
        <v/>
      </c>
      <c r="O124" s="33">
        <f>N124-MIN(N(Debts!$E$8),N124)</f>
        <v/>
      </c>
      <c r="P124" s="33">
        <f>IF(O124&lt;=0.005,0,O124-MIN(O124,MAX(0,$E124-SUMIFS(H124:AK124,$H$5:$AK$5,"Rem",$H$4:$AK$4,"&lt;"&amp;P$4))))</f>
        <v/>
      </c>
      <c r="Q124" s="33">
        <f>S123*(1+N(Debts!$D$9)/1200)</f>
        <v/>
      </c>
      <c r="R124" s="33">
        <f>Q124-MIN(N(Debts!$E$9),Q124)</f>
        <v/>
      </c>
      <c r="S124" s="33">
        <f>IF(R124&lt;=0.005,0,R124-MIN(R124,MAX(0,$E124-SUMIFS(H124:AK124,$H$5:$AK$5,"Rem",$H$4:$AK$4,"&lt;"&amp;S$4))))</f>
        <v/>
      </c>
      <c r="T124" s="33">
        <f>V123*(1+N(Debts!$D$10)/1200)</f>
        <v/>
      </c>
      <c r="U124" s="33">
        <f>T124-MIN(N(Debts!$E$10),T124)</f>
        <v/>
      </c>
      <c r="V124" s="33">
        <f>IF(U124&lt;=0.005,0,U124-MIN(U124,MAX(0,$E124-SUMIFS(H124:AK124,$H$5:$AK$5,"Rem",$H$4:$AK$4,"&lt;"&amp;V$4))))</f>
        <v/>
      </c>
      <c r="W124" s="33">
        <f>Y123*(1+N(Debts!$D$11)/1200)</f>
        <v/>
      </c>
      <c r="X124" s="33">
        <f>W124-MIN(N(Debts!$E$11),W124)</f>
        <v/>
      </c>
      <c r="Y124" s="33">
        <f>IF(X124&lt;=0.005,0,X124-MIN(X124,MAX(0,$E124-SUMIFS(H124:AK124,$H$5:$AK$5,"Rem",$H$4:$AK$4,"&lt;"&amp;Y$4))))</f>
        <v/>
      </c>
      <c r="Z124" s="33">
        <f>AB123*(1+N(Debts!$D$12)/1200)</f>
        <v/>
      </c>
      <c r="AA124" s="33">
        <f>Z124-MIN(N(Debts!$E$12),Z124)</f>
        <v/>
      </c>
      <c r="AB124" s="33">
        <f>IF(AA124&lt;=0.005,0,AA124-MIN(AA124,MAX(0,$E124-SUMIFS(H124:AK124,$H$5:$AK$5,"Rem",$H$4:$AK$4,"&lt;"&amp;AB$4))))</f>
        <v/>
      </c>
      <c r="AC124" s="33">
        <f>AE123*(1+N(Debts!$D$13)/1200)</f>
        <v/>
      </c>
      <c r="AD124" s="33">
        <f>AC124-MIN(N(Debts!$E$13),AC124)</f>
        <v/>
      </c>
      <c r="AE124" s="33">
        <f>IF(AD124&lt;=0.005,0,AD124-MIN(AD124,MAX(0,$E124-SUMIFS(H124:AK124,$H$5:$AK$5,"Rem",$H$4:$AK$4,"&lt;"&amp;AE$4))))</f>
        <v/>
      </c>
      <c r="AF124" s="33">
        <f>AH123*(1+N(Debts!$D$14)/1200)</f>
        <v/>
      </c>
      <c r="AG124" s="33">
        <f>AF124-MIN(N(Debts!$E$14),AF124)</f>
        <v/>
      </c>
      <c r="AH124" s="33">
        <f>IF(AG124&lt;=0.005,0,AG124-MIN(AG124,MAX(0,$E124-SUMIFS(H124:AK124,$H$5:$AK$5,"Rem",$H$4:$AK$4,"&lt;"&amp;AH$4))))</f>
        <v/>
      </c>
      <c r="AI124" s="33">
        <f>AK123*(1+N(Debts!$D$15)/1200)</f>
        <v/>
      </c>
      <c r="AJ124" s="33">
        <f>AI124-MIN(N(Debts!$E$15),AI124)</f>
        <v/>
      </c>
      <c r="AK124" s="33">
        <f>IF(AJ124&lt;=0.005,0,AJ124-MIN(AJ124,MAX(0,$E124-SUMIFS(H124:AK124,$H$5:$AK$5,"Rem",$H$4:$AK$4,"&lt;"&amp;AK$4))))</f>
        <v/>
      </c>
      <c r="AL124" s="1" t="n"/>
    </row>
    <row r="125">
      <c r="A125" s="1" t="n"/>
      <c r="B125" s="1" t="n">
        <v>118</v>
      </c>
      <c r="C125" s="34">
        <f>EDATE(Debts!$J$13,B125-1)</f>
        <v/>
      </c>
      <c r="D125" s="33">
        <f>IF(G124&lt;=0.005,0,Debts!$E$16+Debts!$J$7)</f>
        <v/>
      </c>
      <c r="E125" s="33">
        <f>MAX(0,D125-(SUMIF($H$5:$AK$5,"Due",H125:AK125)-SUMIF($H$5:$AK$5,"Rem",H125:AK125)))</f>
        <v/>
      </c>
      <c r="F125" s="33">
        <f>SUMIF($H$5:$AK$5,"Due",H125:AK125)-SUMIF($H$5:$AK$5,"Bal",H124:AK124)</f>
        <v/>
      </c>
      <c r="G125" s="33">
        <f>SUMIF($H$5:$AK$5,"Bal",H125:AK125)</f>
        <v/>
      </c>
      <c r="H125" s="33">
        <f>J124*(1+N(Debts!$D$6)/1200)</f>
        <v/>
      </c>
      <c r="I125" s="33">
        <f>H125-MIN(N(Debts!$E$6),H125)</f>
        <v/>
      </c>
      <c r="J125" s="33">
        <f>IF(I125&lt;=0.005,0,I125-MIN(I125,MAX(0,$E125-SUMIFS(H125:AK125,$H$5:$AK$5,"Rem",$H$4:$AK$4,"&lt;"&amp;J$4))))</f>
        <v/>
      </c>
      <c r="K125" s="33">
        <f>M124*(1+N(Debts!$D$7)/1200)</f>
        <v/>
      </c>
      <c r="L125" s="33">
        <f>K125-MIN(N(Debts!$E$7),K125)</f>
        <v/>
      </c>
      <c r="M125" s="33">
        <f>IF(L125&lt;=0.005,0,L125-MIN(L125,MAX(0,$E125-SUMIFS(H125:AK125,$H$5:$AK$5,"Rem",$H$4:$AK$4,"&lt;"&amp;M$4))))</f>
        <v/>
      </c>
      <c r="N125" s="33">
        <f>P124*(1+N(Debts!$D$8)/1200)</f>
        <v/>
      </c>
      <c r="O125" s="33">
        <f>N125-MIN(N(Debts!$E$8),N125)</f>
        <v/>
      </c>
      <c r="P125" s="33">
        <f>IF(O125&lt;=0.005,0,O125-MIN(O125,MAX(0,$E125-SUMIFS(H125:AK125,$H$5:$AK$5,"Rem",$H$4:$AK$4,"&lt;"&amp;P$4))))</f>
        <v/>
      </c>
      <c r="Q125" s="33">
        <f>S124*(1+N(Debts!$D$9)/1200)</f>
        <v/>
      </c>
      <c r="R125" s="33">
        <f>Q125-MIN(N(Debts!$E$9),Q125)</f>
        <v/>
      </c>
      <c r="S125" s="33">
        <f>IF(R125&lt;=0.005,0,R125-MIN(R125,MAX(0,$E125-SUMIFS(H125:AK125,$H$5:$AK$5,"Rem",$H$4:$AK$4,"&lt;"&amp;S$4))))</f>
        <v/>
      </c>
      <c r="T125" s="33">
        <f>V124*(1+N(Debts!$D$10)/1200)</f>
        <v/>
      </c>
      <c r="U125" s="33">
        <f>T125-MIN(N(Debts!$E$10),T125)</f>
        <v/>
      </c>
      <c r="V125" s="33">
        <f>IF(U125&lt;=0.005,0,U125-MIN(U125,MAX(0,$E125-SUMIFS(H125:AK125,$H$5:$AK$5,"Rem",$H$4:$AK$4,"&lt;"&amp;V$4))))</f>
        <v/>
      </c>
      <c r="W125" s="33">
        <f>Y124*(1+N(Debts!$D$11)/1200)</f>
        <v/>
      </c>
      <c r="X125" s="33">
        <f>W125-MIN(N(Debts!$E$11),W125)</f>
        <v/>
      </c>
      <c r="Y125" s="33">
        <f>IF(X125&lt;=0.005,0,X125-MIN(X125,MAX(0,$E125-SUMIFS(H125:AK125,$H$5:$AK$5,"Rem",$H$4:$AK$4,"&lt;"&amp;Y$4))))</f>
        <v/>
      </c>
      <c r="Z125" s="33">
        <f>AB124*(1+N(Debts!$D$12)/1200)</f>
        <v/>
      </c>
      <c r="AA125" s="33">
        <f>Z125-MIN(N(Debts!$E$12),Z125)</f>
        <v/>
      </c>
      <c r="AB125" s="33">
        <f>IF(AA125&lt;=0.005,0,AA125-MIN(AA125,MAX(0,$E125-SUMIFS(H125:AK125,$H$5:$AK$5,"Rem",$H$4:$AK$4,"&lt;"&amp;AB$4))))</f>
        <v/>
      </c>
      <c r="AC125" s="33">
        <f>AE124*(1+N(Debts!$D$13)/1200)</f>
        <v/>
      </c>
      <c r="AD125" s="33">
        <f>AC125-MIN(N(Debts!$E$13),AC125)</f>
        <v/>
      </c>
      <c r="AE125" s="33">
        <f>IF(AD125&lt;=0.005,0,AD125-MIN(AD125,MAX(0,$E125-SUMIFS(H125:AK125,$H$5:$AK$5,"Rem",$H$4:$AK$4,"&lt;"&amp;AE$4))))</f>
        <v/>
      </c>
      <c r="AF125" s="33">
        <f>AH124*(1+N(Debts!$D$14)/1200)</f>
        <v/>
      </c>
      <c r="AG125" s="33">
        <f>AF125-MIN(N(Debts!$E$14),AF125)</f>
        <v/>
      </c>
      <c r="AH125" s="33">
        <f>IF(AG125&lt;=0.005,0,AG125-MIN(AG125,MAX(0,$E125-SUMIFS(H125:AK125,$H$5:$AK$5,"Rem",$H$4:$AK$4,"&lt;"&amp;AH$4))))</f>
        <v/>
      </c>
      <c r="AI125" s="33">
        <f>AK124*(1+N(Debts!$D$15)/1200)</f>
        <v/>
      </c>
      <c r="AJ125" s="33">
        <f>AI125-MIN(N(Debts!$E$15),AI125)</f>
        <v/>
      </c>
      <c r="AK125" s="33">
        <f>IF(AJ125&lt;=0.005,0,AJ125-MIN(AJ125,MAX(0,$E125-SUMIFS(H125:AK125,$H$5:$AK$5,"Rem",$H$4:$AK$4,"&lt;"&amp;AK$4))))</f>
        <v/>
      </c>
      <c r="AL125" s="1" t="n"/>
    </row>
    <row r="126">
      <c r="A126" s="1" t="n"/>
      <c r="B126" s="1" t="n">
        <v>119</v>
      </c>
      <c r="C126" s="34">
        <f>EDATE(Debts!$J$13,B126-1)</f>
        <v/>
      </c>
      <c r="D126" s="33">
        <f>IF(G125&lt;=0.005,0,Debts!$E$16+Debts!$J$7)</f>
        <v/>
      </c>
      <c r="E126" s="33">
        <f>MAX(0,D126-(SUMIF($H$5:$AK$5,"Due",H126:AK126)-SUMIF($H$5:$AK$5,"Rem",H126:AK126)))</f>
        <v/>
      </c>
      <c r="F126" s="33">
        <f>SUMIF($H$5:$AK$5,"Due",H126:AK126)-SUMIF($H$5:$AK$5,"Bal",H125:AK125)</f>
        <v/>
      </c>
      <c r="G126" s="33">
        <f>SUMIF($H$5:$AK$5,"Bal",H126:AK126)</f>
        <v/>
      </c>
      <c r="H126" s="33">
        <f>J125*(1+N(Debts!$D$6)/1200)</f>
        <v/>
      </c>
      <c r="I126" s="33">
        <f>H126-MIN(N(Debts!$E$6),H126)</f>
        <v/>
      </c>
      <c r="J126" s="33">
        <f>IF(I126&lt;=0.005,0,I126-MIN(I126,MAX(0,$E126-SUMIFS(H126:AK126,$H$5:$AK$5,"Rem",$H$4:$AK$4,"&lt;"&amp;J$4))))</f>
        <v/>
      </c>
      <c r="K126" s="33">
        <f>M125*(1+N(Debts!$D$7)/1200)</f>
        <v/>
      </c>
      <c r="L126" s="33">
        <f>K126-MIN(N(Debts!$E$7),K126)</f>
        <v/>
      </c>
      <c r="M126" s="33">
        <f>IF(L126&lt;=0.005,0,L126-MIN(L126,MAX(0,$E126-SUMIFS(H126:AK126,$H$5:$AK$5,"Rem",$H$4:$AK$4,"&lt;"&amp;M$4))))</f>
        <v/>
      </c>
      <c r="N126" s="33">
        <f>P125*(1+N(Debts!$D$8)/1200)</f>
        <v/>
      </c>
      <c r="O126" s="33">
        <f>N126-MIN(N(Debts!$E$8),N126)</f>
        <v/>
      </c>
      <c r="P126" s="33">
        <f>IF(O126&lt;=0.005,0,O126-MIN(O126,MAX(0,$E126-SUMIFS(H126:AK126,$H$5:$AK$5,"Rem",$H$4:$AK$4,"&lt;"&amp;P$4))))</f>
        <v/>
      </c>
      <c r="Q126" s="33">
        <f>S125*(1+N(Debts!$D$9)/1200)</f>
        <v/>
      </c>
      <c r="R126" s="33">
        <f>Q126-MIN(N(Debts!$E$9),Q126)</f>
        <v/>
      </c>
      <c r="S126" s="33">
        <f>IF(R126&lt;=0.005,0,R126-MIN(R126,MAX(0,$E126-SUMIFS(H126:AK126,$H$5:$AK$5,"Rem",$H$4:$AK$4,"&lt;"&amp;S$4))))</f>
        <v/>
      </c>
      <c r="T126" s="33">
        <f>V125*(1+N(Debts!$D$10)/1200)</f>
        <v/>
      </c>
      <c r="U126" s="33">
        <f>T126-MIN(N(Debts!$E$10),T126)</f>
        <v/>
      </c>
      <c r="V126" s="33">
        <f>IF(U126&lt;=0.005,0,U126-MIN(U126,MAX(0,$E126-SUMIFS(H126:AK126,$H$5:$AK$5,"Rem",$H$4:$AK$4,"&lt;"&amp;V$4))))</f>
        <v/>
      </c>
      <c r="W126" s="33">
        <f>Y125*(1+N(Debts!$D$11)/1200)</f>
        <v/>
      </c>
      <c r="X126" s="33">
        <f>W126-MIN(N(Debts!$E$11),W126)</f>
        <v/>
      </c>
      <c r="Y126" s="33">
        <f>IF(X126&lt;=0.005,0,X126-MIN(X126,MAX(0,$E126-SUMIFS(H126:AK126,$H$5:$AK$5,"Rem",$H$4:$AK$4,"&lt;"&amp;Y$4))))</f>
        <v/>
      </c>
      <c r="Z126" s="33">
        <f>AB125*(1+N(Debts!$D$12)/1200)</f>
        <v/>
      </c>
      <c r="AA126" s="33">
        <f>Z126-MIN(N(Debts!$E$12),Z126)</f>
        <v/>
      </c>
      <c r="AB126" s="33">
        <f>IF(AA126&lt;=0.005,0,AA126-MIN(AA126,MAX(0,$E126-SUMIFS(H126:AK126,$H$5:$AK$5,"Rem",$H$4:$AK$4,"&lt;"&amp;AB$4))))</f>
        <v/>
      </c>
      <c r="AC126" s="33">
        <f>AE125*(1+N(Debts!$D$13)/1200)</f>
        <v/>
      </c>
      <c r="AD126" s="33">
        <f>AC126-MIN(N(Debts!$E$13),AC126)</f>
        <v/>
      </c>
      <c r="AE126" s="33">
        <f>IF(AD126&lt;=0.005,0,AD126-MIN(AD126,MAX(0,$E126-SUMIFS(H126:AK126,$H$5:$AK$5,"Rem",$H$4:$AK$4,"&lt;"&amp;AE$4))))</f>
        <v/>
      </c>
      <c r="AF126" s="33">
        <f>AH125*(1+N(Debts!$D$14)/1200)</f>
        <v/>
      </c>
      <c r="AG126" s="33">
        <f>AF126-MIN(N(Debts!$E$14),AF126)</f>
        <v/>
      </c>
      <c r="AH126" s="33">
        <f>IF(AG126&lt;=0.005,0,AG126-MIN(AG126,MAX(0,$E126-SUMIFS(H126:AK126,$H$5:$AK$5,"Rem",$H$4:$AK$4,"&lt;"&amp;AH$4))))</f>
        <v/>
      </c>
      <c r="AI126" s="33">
        <f>AK125*(1+N(Debts!$D$15)/1200)</f>
        <v/>
      </c>
      <c r="AJ126" s="33">
        <f>AI126-MIN(N(Debts!$E$15),AI126)</f>
        <v/>
      </c>
      <c r="AK126" s="33">
        <f>IF(AJ126&lt;=0.005,0,AJ126-MIN(AJ126,MAX(0,$E126-SUMIFS(H126:AK126,$H$5:$AK$5,"Rem",$H$4:$AK$4,"&lt;"&amp;AK$4))))</f>
        <v/>
      </c>
      <c r="AL126" s="1" t="n"/>
    </row>
    <row r="127">
      <c r="A127" s="1" t="n"/>
      <c r="B127" s="1" t="n">
        <v>120</v>
      </c>
      <c r="C127" s="34">
        <f>EDATE(Debts!$J$13,B127-1)</f>
        <v/>
      </c>
      <c r="D127" s="33">
        <f>IF(G126&lt;=0.005,0,Debts!$E$16+Debts!$J$7)</f>
        <v/>
      </c>
      <c r="E127" s="33">
        <f>MAX(0,D127-(SUMIF($H$5:$AK$5,"Due",H127:AK127)-SUMIF($H$5:$AK$5,"Rem",H127:AK127)))</f>
        <v/>
      </c>
      <c r="F127" s="33">
        <f>SUMIF($H$5:$AK$5,"Due",H127:AK127)-SUMIF($H$5:$AK$5,"Bal",H126:AK126)</f>
        <v/>
      </c>
      <c r="G127" s="33">
        <f>SUMIF($H$5:$AK$5,"Bal",H127:AK127)</f>
        <v/>
      </c>
      <c r="H127" s="33">
        <f>J126*(1+N(Debts!$D$6)/1200)</f>
        <v/>
      </c>
      <c r="I127" s="33">
        <f>H127-MIN(N(Debts!$E$6),H127)</f>
        <v/>
      </c>
      <c r="J127" s="33">
        <f>IF(I127&lt;=0.005,0,I127-MIN(I127,MAX(0,$E127-SUMIFS(H127:AK127,$H$5:$AK$5,"Rem",$H$4:$AK$4,"&lt;"&amp;J$4))))</f>
        <v/>
      </c>
      <c r="K127" s="33">
        <f>M126*(1+N(Debts!$D$7)/1200)</f>
        <v/>
      </c>
      <c r="L127" s="33">
        <f>K127-MIN(N(Debts!$E$7),K127)</f>
        <v/>
      </c>
      <c r="M127" s="33">
        <f>IF(L127&lt;=0.005,0,L127-MIN(L127,MAX(0,$E127-SUMIFS(H127:AK127,$H$5:$AK$5,"Rem",$H$4:$AK$4,"&lt;"&amp;M$4))))</f>
        <v/>
      </c>
      <c r="N127" s="33">
        <f>P126*(1+N(Debts!$D$8)/1200)</f>
        <v/>
      </c>
      <c r="O127" s="33">
        <f>N127-MIN(N(Debts!$E$8),N127)</f>
        <v/>
      </c>
      <c r="P127" s="33">
        <f>IF(O127&lt;=0.005,0,O127-MIN(O127,MAX(0,$E127-SUMIFS(H127:AK127,$H$5:$AK$5,"Rem",$H$4:$AK$4,"&lt;"&amp;P$4))))</f>
        <v/>
      </c>
      <c r="Q127" s="33">
        <f>S126*(1+N(Debts!$D$9)/1200)</f>
        <v/>
      </c>
      <c r="R127" s="33">
        <f>Q127-MIN(N(Debts!$E$9),Q127)</f>
        <v/>
      </c>
      <c r="S127" s="33">
        <f>IF(R127&lt;=0.005,0,R127-MIN(R127,MAX(0,$E127-SUMIFS(H127:AK127,$H$5:$AK$5,"Rem",$H$4:$AK$4,"&lt;"&amp;S$4))))</f>
        <v/>
      </c>
      <c r="T127" s="33">
        <f>V126*(1+N(Debts!$D$10)/1200)</f>
        <v/>
      </c>
      <c r="U127" s="33">
        <f>T127-MIN(N(Debts!$E$10),T127)</f>
        <v/>
      </c>
      <c r="V127" s="33">
        <f>IF(U127&lt;=0.005,0,U127-MIN(U127,MAX(0,$E127-SUMIFS(H127:AK127,$H$5:$AK$5,"Rem",$H$4:$AK$4,"&lt;"&amp;V$4))))</f>
        <v/>
      </c>
      <c r="W127" s="33">
        <f>Y126*(1+N(Debts!$D$11)/1200)</f>
        <v/>
      </c>
      <c r="X127" s="33">
        <f>W127-MIN(N(Debts!$E$11),W127)</f>
        <v/>
      </c>
      <c r="Y127" s="33">
        <f>IF(X127&lt;=0.005,0,X127-MIN(X127,MAX(0,$E127-SUMIFS(H127:AK127,$H$5:$AK$5,"Rem",$H$4:$AK$4,"&lt;"&amp;Y$4))))</f>
        <v/>
      </c>
      <c r="Z127" s="33">
        <f>AB126*(1+N(Debts!$D$12)/1200)</f>
        <v/>
      </c>
      <c r="AA127" s="33">
        <f>Z127-MIN(N(Debts!$E$12),Z127)</f>
        <v/>
      </c>
      <c r="AB127" s="33">
        <f>IF(AA127&lt;=0.005,0,AA127-MIN(AA127,MAX(0,$E127-SUMIFS(H127:AK127,$H$5:$AK$5,"Rem",$H$4:$AK$4,"&lt;"&amp;AB$4))))</f>
        <v/>
      </c>
      <c r="AC127" s="33">
        <f>AE126*(1+N(Debts!$D$13)/1200)</f>
        <v/>
      </c>
      <c r="AD127" s="33">
        <f>AC127-MIN(N(Debts!$E$13),AC127)</f>
        <v/>
      </c>
      <c r="AE127" s="33">
        <f>IF(AD127&lt;=0.005,0,AD127-MIN(AD127,MAX(0,$E127-SUMIFS(H127:AK127,$H$5:$AK$5,"Rem",$H$4:$AK$4,"&lt;"&amp;AE$4))))</f>
        <v/>
      </c>
      <c r="AF127" s="33">
        <f>AH126*(1+N(Debts!$D$14)/1200)</f>
        <v/>
      </c>
      <c r="AG127" s="33">
        <f>AF127-MIN(N(Debts!$E$14),AF127)</f>
        <v/>
      </c>
      <c r="AH127" s="33">
        <f>IF(AG127&lt;=0.005,0,AG127-MIN(AG127,MAX(0,$E127-SUMIFS(H127:AK127,$H$5:$AK$5,"Rem",$H$4:$AK$4,"&lt;"&amp;AH$4))))</f>
        <v/>
      </c>
      <c r="AI127" s="33">
        <f>AK126*(1+N(Debts!$D$15)/1200)</f>
        <v/>
      </c>
      <c r="AJ127" s="33">
        <f>AI127-MIN(N(Debts!$E$15),AI127)</f>
        <v/>
      </c>
      <c r="AK127" s="33">
        <f>IF(AJ127&lt;=0.005,0,AJ127-MIN(AJ127,MAX(0,$E127-SUMIFS(H127:AK127,$H$5:$AK$5,"Rem",$H$4:$AK$4,"&lt;"&amp;AK$4))))</f>
        <v/>
      </c>
      <c r="AL127" s="1" t="n"/>
    </row>
    <row r="128">
      <c r="A128" s="1" t="n"/>
      <c r="B128" s="1" t="n">
        <v>121</v>
      </c>
      <c r="C128" s="34">
        <f>EDATE(Debts!$J$13,B128-1)</f>
        <v/>
      </c>
      <c r="D128" s="33">
        <f>IF(G127&lt;=0.005,0,Debts!$E$16+Debts!$J$7)</f>
        <v/>
      </c>
      <c r="E128" s="33">
        <f>MAX(0,D128-(SUMIF($H$5:$AK$5,"Due",H128:AK128)-SUMIF($H$5:$AK$5,"Rem",H128:AK128)))</f>
        <v/>
      </c>
      <c r="F128" s="33">
        <f>SUMIF($H$5:$AK$5,"Due",H128:AK128)-SUMIF($H$5:$AK$5,"Bal",H127:AK127)</f>
        <v/>
      </c>
      <c r="G128" s="33">
        <f>SUMIF($H$5:$AK$5,"Bal",H128:AK128)</f>
        <v/>
      </c>
      <c r="H128" s="33">
        <f>J127*(1+N(Debts!$D$6)/1200)</f>
        <v/>
      </c>
      <c r="I128" s="33">
        <f>H128-MIN(N(Debts!$E$6),H128)</f>
        <v/>
      </c>
      <c r="J128" s="33">
        <f>IF(I128&lt;=0.005,0,I128-MIN(I128,MAX(0,$E128-SUMIFS(H128:AK128,$H$5:$AK$5,"Rem",$H$4:$AK$4,"&lt;"&amp;J$4))))</f>
        <v/>
      </c>
      <c r="K128" s="33">
        <f>M127*(1+N(Debts!$D$7)/1200)</f>
        <v/>
      </c>
      <c r="L128" s="33">
        <f>K128-MIN(N(Debts!$E$7),K128)</f>
        <v/>
      </c>
      <c r="M128" s="33">
        <f>IF(L128&lt;=0.005,0,L128-MIN(L128,MAX(0,$E128-SUMIFS(H128:AK128,$H$5:$AK$5,"Rem",$H$4:$AK$4,"&lt;"&amp;M$4))))</f>
        <v/>
      </c>
      <c r="N128" s="33">
        <f>P127*(1+N(Debts!$D$8)/1200)</f>
        <v/>
      </c>
      <c r="O128" s="33">
        <f>N128-MIN(N(Debts!$E$8),N128)</f>
        <v/>
      </c>
      <c r="P128" s="33">
        <f>IF(O128&lt;=0.005,0,O128-MIN(O128,MAX(0,$E128-SUMIFS(H128:AK128,$H$5:$AK$5,"Rem",$H$4:$AK$4,"&lt;"&amp;P$4))))</f>
        <v/>
      </c>
      <c r="Q128" s="33">
        <f>S127*(1+N(Debts!$D$9)/1200)</f>
        <v/>
      </c>
      <c r="R128" s="33">
        <f>Q128-MIN(N(Debts!$E$9),Q128)</f>
        <v/>
      </c>
      <c r="S128" s="33">
        <f>IF(R128&lt;=0.005,0,R128-MIN(R128,MAX(0,$E128-SUMIFS(H128:AK128,$H$5:$AK$5,"Rem",$H$4:$AK$4,"&lt;"&amp;S$4))))</f>
        <v/>
      </c>
      <c r="T128" s="33">
        <f>V127*(1+N(Debts!$D$10)/1200)</f>
        <v/>
      </c>
      <c r="U128" s="33">
        <f>T128-MIN(N(Debts!$E$10),T128)</f>
        <v/>
      </c>
      <c r="V128" s="33">
        <f>IF(U128&lt;=0.005,0,U128-MIN(U128,MAX(0,$E128-SUMIFS(H128:AK128,$H$5:$AK$5,"Rem",$H$4:$AK$4,"&lt;"&amp;V$4))))</f>
        <v/>
      </c>
      <c r="W128" s="33">
        <f>Y127*(1+N(Debts!$D$11)/1200)</f>
        <v/>
      </c>
      <c r="X128" s="33">
        <f>W128-MIN(N(Debts!$E$11),W128)</f>
        <v/>
      </c>
      <c r="Y128" s="33">
        <f>IF(X128&lt;=0.005,0,X128-MIN(X128,MAX(0,$E128-SUMIFS(H128:AK128,$H$5:$AK$5,"Rem",$H$4:$AK$4,"&lt;"&amp;Y$4))))</f>
        <v/>
      </c>
      <c r="Z128" s="33">
        <f>AB127*(1+N(Debts!$D$12)/1200)</f>
        <v/>
      </c>
      <c r="AA128" s="33">
        <f>Z128-MIN(N(Debts!$E$12),Z128)</f>
        <v/>
      </c>
      <c r="AB128" s="33">
        <f>IF(AA128&lt;=0.005,0,AA128-MIN(AA128,MAX(0,$E128-SUMIFS(H128:AK128,$H$5:$AK$5,"Rem",$H$4:$AK$4,"&lt;"&amp;AB$4))))</f>
        <v/>
      </c>
      <c r="AC128" s="33">
        <f>AE127*(1+N(Debts!$D$13)/1200)</f>
        <v/>
      </c>
      <c r="AD128" s="33">
        <f>AC128-MIN(N(Debts!$E$13),AC128)</f>
        <v/>
      </c>
      <c r="AE128" s="33">
        <f>IF(AD128&lt;=0.005,0,AD128-MIN(AD128,MAX(0,$E128-SUMIFS(H128:AK128,$H$5:$AK$5,"Rem",$H$4:$AK$4,"&lt;"&amp;AE$4))))</f>
        <v/>
      </c>
      <c r="AF128" s="33">
        <f>AH127*(1+N(Debts!$D$14)/1200)</f>
        <v/>
      </c>
      <c r="AG128" s="33">
        <f>AF128-MIN(N(Debts!$E$14),AF128)</f>
        <v/>
      </c>
      <c r="AH128" s="33">
        <f>IF(AG128&lt;=0.005,0,AG128-MIN(AG128,MAX(0,$E128-SUMIFS(H128:AK128,$H$5:$AK$5,"Rem",$H$4:$AK$4,"&lt;"&amp;AH$4))))</f>
        <v/>
      </c>
      <c r="AI128" s="33">
        <f>AK127*(1+N(Debts!$D$15)/1200)</f>
        <v/>
      </c>
      <c r="AJ128" s="33">
        <f>AI128-MIN(N(Debts!$E$15),AI128)</f>
        <v/>
      </c>
      <c r="AK128" s="33">
        <f>IF(AJ128&lt;=0.005,0,AJ128-MIN(AJ128,MAX(0,$E128-SUMIFS(H128:AK128,$H$5:$AK$5,"Rem",$H$4:$AK$4,"&lt;"&amp;AK$4))))</f>
        <v/>
      </c>
      <c r="AL128" s="1" t="n"/>
    </row>
    <row r="129">
      <c r="A129" s="1" t="n"/>
      <c r="B129" s="1" t="n">
        <v>122</v>
      </c>
      <c r="C129" s="34">
        <f>EDATE(Debts!$J$13,B129-1)</f>
        <v/>
      </c>
      <c r="D129" s="33">
        <f>IF(G128&lt;=0.005,0,Debts!$E$16+Debts!$J$7)</f>
        <v/>
      </c>
      <c r="E129" s="33">
        <f>MAX(0,D129-(SUMIF($H$5:$AK$5,"Due",H129:AK129)-SUMIF($H$5:$AK$5,"Rem",H129:AK129)))</f>
        <v/>
      </c>
      <c r="F129" s="33">
        <f>SUMIF($H$5:$AK$5,"Due",H129:AK129)-SUMIF($H$5:$AK$5,"Bal",H128:AK128)</f>
        <v/>
      </c>
      <c r="G129" s="33">
        <f>SUMIF($H$5:$AK$5,"Bal",H129:AK129)</f>
        <v/>
      </c>
      <c r="H129" s="33">
        <f>J128*(1+N(Debts!$D$6)/1200)</f>
        <v/>
      </c>
      <c r="I129" s="33">
        <f>H129-MIN(N(Debts!$E$6),H129)</f>
        <v/>
      </c>
      <c r="J129" s="33">
        <f>IF(I129&lt;=0.005,0,I129-MIN(I129,MAX(0,$E129-SUMIFS(H129:AK129,$H$5:$AK$5,"Rem",$H$4:$AK$4,"&lt;"&amp;J$4))))</f>
        <v/>
      </c>
      <c r="K129" s="33">
        <f>M128*(1+N(Debts!$D$7)/1200)</f>
        <v/>
      </c>
      <c r="L129" s="33">
        <f>K129-MIN(N(Debts!$E$7),K129)</f>
        <v/>
      </c>
      <c r="M129" s="33">
        <f>IF(L129&lt;=0.005,0,L129-MIN(L129,MAX(0,$E129-SUMIFS(H129:AK129,$H$5:$AK$5,"Rem",$H$4:$AK$4,"&lt;"&amp;M$4))))</f>
        <v/>
      </c>
      <c r="N129" s="33">
        <f>P128*(1+N(Debts!$D$8)/1200)</f>
        <v/>
      </c>
      <c r="O129" s="33">
        <f>N129-MIN(N(Debts!$E$8),N129)</f>
        <v/>
      </c>
      <c r="P129" s="33">
        <f>IF(O129&lt;=0.005,0,O129-MIN(O129,MAX(0,$E129-SUMIFS(H129:AK129,$H$5:$AK$5,"Rem",$H$4:$AK$4,"&lt;"&amp;P$4))))</f>
        <v/>
      </c>
      <c r="Q129" s="33">
        <f>S128*(1+N(Debts!$D$9)/1200)</f>
        <v/>
      </c>
      <c r="R129" s="33">
        <f>Q129-MIN(N(Debts!$E$9),Q129)</f>
        <v/>
      </c>
      <c r="S129" s="33">
        <f>IF(R129&lt;=0.005,0,R129-MIN(R129,MAX(0,$E129-SUMIFS(H129:AK129,$H$5:$AK$5,"Rem",$H$4:$AK$4,"&lt;"&amp;S$4))))</f>
        <v/>
      </c>
      <c r="T129" s="33">
        <f>V128*(1+N(Debts!$D$10)/1200)</f>
        <v/>
      </c>
      <c r="U129" s="33">
        <f>T129-MIN(N(Debts!$E$10),T129)</f>
        <v/>
      </c>
      <c r="V129" s="33">
        <f>IF(U129&lt;=0.005,0,U129-MIN(U129,MAX(0,$E129-SUMIFS(H129:AK129,$H$5:$AK$5,"Rem",$H$4:$AK$4,"&lt;"&amp;V$4))))</f>
        <v/>
      </c>
      <c r="W129" s="33">
        <f>Y128*(1+N(Debts!$D$11)/1200)</f>
        <v/>
      </c>
      <c r="X129" s="33">
        <f>W129-MIN(N(Debts!$E$11),W129)</f>
        <v/>
      </c>
      <c r="Y129" s="33">
        <f>IF(X129&lt;=0.005,0,X129-MIN(X129,MAX(0,$E129-SUMIFS(H129:AK129,$H$5:$AK$5,"Rem",$H$4:$AK$4,"&lt;"&amp;Y$4))))</f>
        <v/>
      </c>
      <c r="Z129" s="33">
        <f>AB128*(1+N(Debts!$D$12)/1200)</f>
        <v/>
      </c>
      <c r="AA129" s="33">
        <f>Z129-MIN(N(Debts!$E$12),Z129)</f>
        <v/>
      </c>
      <c r="AB129" s="33">
        <f>IF(AA129&lt;=0.005,0,AA129-MIN(AA129,MAX(0,$E129-SUMIFS(H129:AK129,$H$5:$AK$5,"Rem",$H$4:$AK$4,"&lt;"&amp;AB$4))))</f>
        <v/>
      </c>
      <c r="AC129" s="33">
        <f>AE128*(1+N(Debts!$D$13)/1200)</f>
        <v/>
      </c>
      <c r="AD129" s="33">
        <f>AC129-MIN(N(Debts!$E$13),AC129)</f>
        <v/>
      </c>
      <c r="AE129" s="33">
        <f>IF(AD129&lt;=0.005,0,AD129-MIN(AD129,MAX(0,$E129-SUMIFS(H129:AK129,$H$5:$AK$5,"Rem",$H$4:$AK$4,"&lt;"&amp;AE$4))))</f>
        <v/>
      </c>
      <c r="AF129" s="33">
        <f>AH128*(1+N(Debts!$D$14)/1200)</f>
        <v/>
      </c>
      <c r="AG129" s="33">
        <f>AF129-MIN(N(Debts!$E$14),AF129)</f>
        <v/>
      </c>
      <c r="AH129" s="33">
        <f>IF(AG129&lt;=0.005,0,AG129-MIN(AG129,MAX(0,$E129-SUMIFS(H129:AK129,$H$5:$AK$5,"Rem",$H$4:$AK$4,"&lt;"&amp;AH$4))))</f>
        <v/>
      </c>
      <c r="AI129" s="33">
        <f>AK128*(1+N(Debts!$D$15)/1200)</f>
        <v/>
      </c>
      <c r="AJ129" s="33">
        <f>AI129-MIN(N(Debts!$E$15),AI129)</f>
        <v/>
      </c>
      <c r="AK129" s="33">
        <f>IF(AJ129&lt;=0.005,0,AJ129-MIN(AJ129,MAX(0,$E129-SUMIFS(H129:AK129,$H$5:$AK$5,"Rem",$H$4:$AK$4,"&lt;"&amp;AK$4))))</f>
        <v/>
      </c>
      <c r="AL129" s="1" t="n"/>
    </row>
    <row r="130">
      <c r="A130" s="1" t="n"/>
      <c r="B130" s="1" t="n">
        <v>123</v>
      </c>
      <c r="C130" s="34">
        <f>EDATE(Debts!$J$13,B130-1)</f>
        <v/>
      </c>
      <c r="D130" s="33">
        <f>IF(G129&lt;=0.005,0,Debts!$E$16+Debts!$J$7)</f>
        <v/>
      </c>
      <c r="E130" s="33">
        <f>MAX(0,D130-(SUMIF($H$5:$AK$5,"Due",H130:AK130)-SUMIF($H$5:$AK$5,"Rem",H130:AK130)))</f>
        <v/>
      </c>
      <c r="F130" s="33">
        <f>SUMIF($H$5:$AK$5,"Due",H130:AK130)-SUMIF($H$5:$AK$5,"Bal",H129:AK129)</f>
        <v/>
      </c>
      <c r="G130" s="33">
        <f>SUMIF($H$5:$AK$5,"Bal",H130:AK130)</f>
        <v/>
      </c>
      <c r="H130" s="33">
        <f>J129*(1+N(Debts!$D$6)/1200)</f>
        <v/>
      </c>
      <c r="I130" s="33">
        <f>H130-MIN(N(Debts!$E$6),H130)</f>
        <v/>
      </c>
      <c r="J130" s="33">
        <f>IF(I130&lt;=0.005,0,I130-MIN(I130,MAX(0,$E130-SUMIFS(H130:AK130,$H$5:$AK$5,"Rem",$H$4:$AK$4,"&lt;"&amp;J$4))))</f>
        <v/>
      </c>
      <c r="K130" s="33">
        <f>M129*(1+N(Debts!$D$7)/1200)</f>
        <v/>
      </c>
      <c r="L130" s="33">
        <f>K130-MIN(N(Debts!$E$7),K130)</f>
        <v/>
      </c>
      <c r="M130" s="33">
        <f>IF(L130&lt;=0.005,0,L130-MIN(L130,MAX(0,$E130-SUMIFS(H130:AK130,$H$5:$AK$5,"Rem",$H$4:$AK$4,"&lt;"&amp;M$4))))</f>
        <v/>
      </c>
      <c r="N130" s="33">
        <f>P129*(1+N(Debts!$D$8)/1200)</f>
        <v/>
      </c>
      <c r="O130" s="33">
        <f>N130-MIN(N(Debts!$E$8),N130)</f>
        <v/>
      </c>
      <c r="P130" s="33">
        <f>IF(O130&lt;=0.005,0,O130-MIN(O130,MAX(0,$E130-SUMIFS(H130:AK130,$H$5:$AK$5,"Rem",$H$4:$AK$4,"&lt;"&amp;P$4))))</f>
        <v/>
      </c>
      <c r="Q130" s="33">
        <f>S129*(1+N(Debts!$D$9)/1200)</f>
        <v/>
      </c>
      <c r="R130" s="33">
        <f>Q130-MIN(N(Debts!$E$9),Q130)</f>
        <v/>
      </c>
      <c r="S130" s="33">
        <f>IF(R130&lt;=0.005,0,R130-MIN(R130,MAX(0,$E130-SUMIFS(H130:AK130,$H$5:$AK$5,"Rem",$H$4:$AK$4,"&lt;"&amp;S$4))))</f>
        <v/>
      </c>
      <c r="T130" s="33">
        <f>V129*(1+N(Debts!$D$10)/1200)</f>
        <v/>
      </c>
      <c r="U130" s="33">
        <f>T130-MIN(N(Debts!$E$10),T130)</f>
        <v/>
      </c>
      <c r="V130" s="33">
        <f>IF(U130&lt;=0.005,0,U130-MIN(U130,MAX(0,$E130-SUMIFS(H130:AK130,$H$5:$AK$5,"Rem",$H$4:$AK$4,"&lt;"&amp;V$4))))</f>
        <v/>
      </c>
      <c r="W130" s="33">
        <f>Y129*(1+N(Debts!$D$11)/1200)</f>
        <v/>
      </c>
      <c r="X130" s="33">
        <f>W130-MIN(N(Debts!$E$11),W130)</f>
        <v/>
      </c>
      <c r="Y130" s="33">
        <f>IF(X130&lt;=0.005,0,X130-MIN(X130,MAX(0,$E130-SUMIFS(H130:AK130,$H$5:$AK$5,"Rem",$H$4:$AK$4,"&lt;"&amp;Y$4))))</f>
        <v/>
      </c>
      <c r="Z130" s="33">
        <f>AB129*(1+N(Debts!$D$12)/1200)</f>
        <v/>
      </c>
      <c r="AA130" s="33">
        <f>Z130-MIN(N(Debts!$E$12),Z130)</f>
        <v/>
      </c>
      <c r="AB130" s="33">
        <f>IF(AA130&lt;=0.005,0,AA130-MIN(AA130,MAX(0,$E130-SUMIFS(H130:AK130,$H$5:$AK$5,"Rem",$H$4:$AK$4,"&lt;"&amp;AB$4))))</f>
        <v/>
      </c>
      <c r="AC130" s="33">
        <f>AE129*(1+N(Debts!$D$13)/1200)</f>
        <v/>
      </c>
      <c r="AD130" s="33">
        <f>AC130-MIN(N(Debts!$E$13),AC130)</f>
        <v/>
      </c>
      <c r="AE130" s="33">
        <f>IF(AD130&lt;=0.005,0,AD130-MIN(AD130,MAX(0,$E130-SUMIFS(H130:AK130,$H$5:$AK$5,"Rem",$H$4:$AK$4,"&lt;"&amp;AE$4))))</f>
        <v/>
      </c>
      <c r="AF130" s="33">
        <f>AH129*(1+N(Debts!$D$14)/1200)</f>
        <v/>
      </c>
      <c r="AG130" s="33">
        <f>AF130-MIN(N(Debts!$E$14),AF130)</f>
        <v/>
      </c>
      <c r="AH130" s="33">
        <f>IF(AG130&lt;=0.005,0,AG130-MIN(AG130,MAX(0,$E130-SUMIFS(H130:AK130,$H$5:$AK$5,"Rem",$H$4:$AK$4,"&lt;"&amp;AH$4))))</f>
        <v/>
      </c>
      <c r="AI130" s="33">
        <f>AK129*(1+N(Debts!$D$15)/1200)</f>
        <v/>
      </c>
      <c r="AJ130" s="33">
        <f>AI130-MIN(N(Debts!$E$15),AI130)</f>
        <v/>
      </c>
      <c r="AK130" s="33">
        <f>IF(AJ130&lt;=0.005,0,AJ130-MIN(AJ130,MAX(0,$E130-SUMIFS(H130:AK130,$H$5:$AK$5,"Rem",$H$4:$AK$4,"&lt;"&amp;AK$4))))</f>
        <v/>
      </c>
      <c r="AL130" s="1" t="n"/>
    </row>
    <row r="131">
      <c r="A131" s="1" t="n"/>
      <c r="B131" s="1" t="n">
        <v>124</v>
      </c>
      <c r="C131" s="34">
        <f>EDATE(Debts!$J$13,B131-1)</f>
        <v/>
      </c>
      <c r="D131" s="33">
        <f>IF(G130&lt;=0.005,0,Debts!$E$16+Debts!$J$7)</f>
        <v/>
      </c>
      <c r="E131" s="33">
        <f>MAX(0,D131-(SUMIF($H$5:$AK$5,"Due",H131:AK131)-SUMIF($H$5:$AK$5,"Rem",H131:AK131)))</f>
        <v/>
      </c>
      <c r="F131" s="33">
        <f>SUMIF($H$5:$AK$5,"Due",H131:AK131)-SUMIF($H$5:$AK$5,"Bal",H130:AK130)</f>
        <v/>
      </c>
      <c r="G131" s="33">
        <f>SUMIF($H$5:$AK$5,"Bal",H131:AK131)</f>
        <v/>
      </c>
      <c r="H131" s="33">
        <f>J130*(1+N(Debts!$D$6)/1200)</f>
        <v/>
      </c>
      <c r="I131" s="33">
        <f>H131-MIN(N(Debts!$E$6),H131)</f>
        <v/>
      </c>
      <c r="J131" s="33">
        <f>IF(I131&lt;=0.005,0,I131-MIN(I131,MAX(0,$E131-SUMIFS(H131:AK131,$H$5:$AK$5,"Rem",$H$4:$AK$4,"&lt;"&amp;J$4))))</f>
        <v/>
      </c>
      <c r="K131" s="33">
        <f>M130*(1+N(Debts!$D$7)/1200)</f>
        <v/>
      </c>
      <c r="L131" s="33">
        <f>K131-MIN(N(Debts!$E$7),K131)</f>
        <v/>
      </c>
      <c r="M131" s="33">
        <f>IF(L131&lt;=0.005,0,L131-MIN(L131,MAX(0,$E131-SUMIFS(H131:AK131,$H$5:$AK$5,"Rem",$H$4:$AK$4,"&lt;"&amp;M$4))))</f>
        <v/>
      </c>
      <c r="N131" s="33">
        <f>P130*(1+N(Debts!$D$8)/1200)</f>
        <v/>
      </c>
      <c r="O131" s="33">
        <f>N131-MIN(N(Debts!$E$8),N131)</f>
        <v/>
      </c>
      <c r="P131" s="33">
        <f>IF(O131&lt;=0.005,0,O131-MIN(O131,MAX(0,$E131-SUMIFS(H131:AK131,$H$5:$AK$5,"Rem",$H$4:$AK$4,"&lt;"&amp;P$4))))</f>
        <v/>
      </c>
      <c r="Q131" s="33">
        <f>S130*(1+N(Debts!$D$9)/1200)</f>
        <v/>
      </c>
      <c r="R131" s="33">
        <f>Q131-MIN(N(Debts!$E$9),Q131)</f>
        <v/>
      </c>
      <c r="S131" s="33">
        <f>IF(R131&lt;=0.005,0,R131-MIN(R131,MAX(0,$E131-SUMIFS(H131:AK131,$H$5:$AK$5,"Rem",$H$4:$AK$4,"&lt;"&amp;S$4))))</f>
        <v/>
      </c>
      <c r="T131" s="33">
        <f>V130*(1+N(Debts!$D$10)/1200)</f>
        <v/>
      </c>
      <c r="U131" s="33">
        <f>T131-MIN(N(Debts!$E$10),T131)</f>
        <v/>
      </c>
      <c r="V131" s="33">
        <f>IF(U131&lt;=0.005,0,U131-MIN(U131,MAX(0,$E131-SUMIFS(H131:AK131,$H$5:$AK$5,"Rem",$H$4:$AK$4,"&lt;"&amp;V$4))))</f>
        <v/>
      </c>
      <c r="W131" s="33">
        <f>Y130*(1+N(Debts!$D$11)/1200)</f>
        <v/>
      </c>
      <c r="X131" s="33">
        <f>W131-MIN(N(Debts!$E$11),W131)</f>
        <v/>
      </c>
      <c r="Y131" s="33">
        <f>IF(X131&lt;=0.005,0,X131-MIN(X131,MAX(0,$E131-SUMIFS(H131:AK131,$H$5:$AK$5,"Rem",$H$4:$AK$4,"&lt;"&amp;Y$4))))</f>
        <v/>
      </c>
      <c r="Z131" s="33">
        <f>AB130*(1+N(Debts!$D$12)/1200)</f>
        <v/>
      </c>
      <c r="AA131" s="33">
        <f>Z131-MIN(N(Debts!$E$12),Z131)</f>
        <v/>
      </c>
      <c r="AB131" s="33">
        <f>IF(AA131&lt;=0.005,0,AA131-MIN(AA131,MAX(0,$E131-SUMIFS(H131:AK131,$H$5:$AK$5,"Rem",$H$4:$AK$4,"&lt;"&amp;AB$4))))</f>
        <v/>
      </c>
      <c r="AC131" s="33">
        <f>AE130*(1+N(Debts!$D$13)/1200)</f>
        <v/>
      </c>
      <c r="AD131" s="33">
        <f>AC131-MIN(N(Debts!$E$13),AC131)</f>
        <v/>
      </c>
      <c r="AE131" s="33">
        <f>IF(AD131&lt;=0.005,0,AD131-MIN(AD131,MAX(0,$E131-SUMIFS(H131:AK131,$H$5:$AK$5,"Rem",$H$4:$AK$4,"&lt;"&amp;AE$4))))</f>
        <v/>
      </c>
      <c r="AF131" s="33">
        <f>AH130*(1+N(Debts!$D$14)/1200)</f>
        <v/>
      </c>
      <c r="AG131" s="33">
        <f>AF131-MIN(N(Debts!$E$14),AF131)</f>
        <v/>
      </c>
      <c r="AH131" s="33">
        <f>IF(AG131&lt;=0.005,0,AG131-MIN(AG131,MAX(0,$E131-SUMIFS(H131:AK131,$H$5:$AK$5,"Rem",$H$4:$AK$4,"&lt;"&amp;AH$4))))</f>
        <v/>
      </c>
      <c r="AI131" s="33">
        <f>AK130*(1+N(Debts!$D$15)/1200)</f>
        <v/>
      </c>
      <c r="AJ131" s="33">
        <f>AI131-MIN(N(Debts!$E$15),AI131)</f>
        <v/>
      </c>
      <c r="AK131" s="33">
        <f>IF(AJ131&lt;=0.005,0,AJ131-MIN(AJ131,MAX(0,$E131-SUMIFS(H131:AK131,$H$5:$AK$5,"Rem",$H$4:$AK$4,"&lt;"&amp;AK$4))))</f>
        <v/>
      </c>
      <c r="AL131" s="1" t="n"/>
    </row>
    <row r="132">
      <c r="A132" s="1" t="n"/>
      <c r="B132" s="1" t="n">
        <v>125</v>
      </c>
      <c r="C132" s="34">
        <f>EDATE(Debts!$J$13,B132-1)</f>
        <v/>
      </c>
      <c r="D132" s="33">
        <f>IF(G131&lt;=0.005,0,Debts!$E$16+Debts!$J$7)</f>
        <v/>
      </c>
      <c r="E132" s="33">
        <f>MAX(0,D132-(SUMIF($H$5:$AK$5,"Due",H132:AK132)-SUMIF($H$5:$AK$5,"Rem",H132:AK132)))</f>
        <v/>
      </c>
      <c r="F132" s="33">
        <f>SUMIF($H$5:$AK$5,"Due",H132:AK132)-SUMIF($H$5:$AK$5,"Bal",H131:AK131)</f>
        <v/>
      </c>
      <c r="G132" s="33">
        <f>SUMIF($H$5:$AK$5,"Bal",H132:AK132)</f>
        <v/>
      </c>
      <c r="H132" s="33">
        <f>J131*(1+N(Debts!$D$6)/1200)</f>
        <v/>
      </c>
      <c r="I132" s="33">
        <f>H132-MIN(N(Debts!$E$6),H132)</f>
        <v/>
      </c>
      <c r="J132" s="33">
        <f>IF(I132&lt;=0.005,0,I132-MIN(I132,MAX(0,$E132-SUMIFS(H132:AK132,$H$5:$AK$5,"Rem",$H$4:$AK$4,"&lt;"&amp;J$4))))</f>
        <v/>
      </c>
      <c r="K132" s="33">
        <f>M131*(1+N(Debts!$D$7)/1200)</f>
        <v/>
      </c>
      <c r="L132" s="33">
        <f>K132-MIN(N(Debts!$E$7),K132)</f>
        <v/>
      </c>
      <c r="M132" s="33">
        <f>IF(L132&lt;=0.005,0,L132-MIN(L132,MAX(0,$E132-SUMIFS(H132:AK132,$H$5:$AK$5,"Rem",$H$4:$AK$4,"&lt;"&amp;M$4))))</f>
        <v/>
      </c>
      <c r="N132" s="33">
        <f>P131*(1+N(Debts!$D$8)/1200)</f>
        <v/>
      </c>
      <c r="O132" s="33">
        <f>N132-MIN(N(Debts!$E$8),N132)</f>
        <v/>
      </c>
      <c r="P132" s="33">
        <f>IF(O132&lt;=0.005,0,O132-MIN(O132,MAX(0,$E132-SUMIFS(H132:AK132,$H$5:$AK$5,"Rem",$H$4:$AK$4,"&lt;"&amp;P$4))))</f>
        <v/>
      </c>
      <c r="Q132" s="33">
        <f>S131*(1+N(Debts!$D$9)/1200)</f>
        <v/>
      </c>
      <c r="R132" s="33">
        <f>Q132-MIN(N(Debts!$E$9),Q132)</f>
        <v/>
      </c>
      <c r="S132" s="33">
        <f>IF(R132&lt;=0.005,0,R132-MIN(R132,MAX(0,$E132-SUMIFS(H132:AK132,$H$5:$AK$5,"Rem",$H$4:$AK$4,"&lt;"&amp;S$4))))</f>
        <v/>
      </c>
      <c r="T132" s="33">
        <f>V131*(1+N(Debts!$D$10)/1200)</f>
        <v/>
      </c>
      <c r="U132" s="33">
        <f>T132-MIN(N(Debts!$E$10),T132)</f>
        <v/>
      </c>
      <c r="V132" s="33">
        <f>IF(U132&lt;=0.005,0,U132-MIN(U132,MAX(0,$E132-SUMIFS(H132:AK132,$H$5:$AK$5,"Rem",$H$4:$AK$4,"&lt;"&amp;V$4))))</f>
        <v/>
      </c>
      <c r="W132" s="33">
        <f>Y131*(1+N(Debts!$D$11)/1200)</f>
        <v/>
      </c>
      <c r="X132" s="33">
        <f>W132-MIN(N(Debts!$E$11),W132)</f>
        <v/>
      </c>
      <c r="Y132" s="33">
        <f>IF(X132&lt;=0.005,0,X132-MIN(X132,MAX(0,$E132-SUMIFS(H132:AK132,$H$5:$AK$5,"Rem",$H$4:$AK$4,"&lt;"&amp;Y$4))))</f>
        <v/>
      </c>
      <c r="Z132" s="33">
        <f>AB131*(1+N(Debts!$D$12)/1200)</f>
        <v/>
      </c>
      <c r="AA132" s="33">
        <f>Z132-MIN(N(Debts!$E$12),Z132)</f>
        <v/>
      </c>
      <c r="AB132" s="33">
        <f>IF(AA132&lt;=0.005,0,AA132-MIN(AA132,MAX(0,$E132-SUMIFS(H132:AK132,$H$5:$AK$5,"Rem",$H$4:$AK$4,"&lt;"&amp;AB$4))))</f>
        <v/>
      </c>
      <c r="AC132" s="33">
        <f>AE131*(1+N(Debts!$D$13)/1200)</f>
        <v/>
      </c>
      <c r="AD132" s="33">
        <f>AC132-MIN(N(Debts!$E$13),AC132)</f>
        <v/>
      </c>
      <c r="AE132" s="33">
        <f>IF(AD132&lt;=0.005,0,AD132-MIN(AD132,MAX(0,$E132-SUMIFS(H132:AK132,$H$5:$AK$5,"Rem",$H$4:$AK$4,"&lt;"&amp;AE$4))))</f>
        <v/>
      </c>
      <c r="AF132" s="33">
        <f>AH131*(1+N(Debts!$D$14)/1200)</f>
        <v/>
      </c>
      <c r="AG132" s="33">
        <f>AF132-MIN(N(Debts!$E$14),AF132)</f>
        <v/>
      </c>
      <c r="AH132" s="33">
        <f>IF(AG132&lt;=0.005,0,AG132-MIN(AG132,MAX(0,$E132-SUMIFS(H132:AK132,$H$5:$AK$5,"Rem",$H$4:$AK$4,"&lt;"&amp;AH$4))))</f>
        <v/>
      </c>
      <c r="AI132" s="33">
        <f>AK131*(1+N(Debts!$D$15)/1200)</f>
        <v/>
      </c>
      <c r="AJ132" s="33">
        <f>AI132-MIN(N(Debts!$E$15),AI132)</f>
        <v/>
      </c>
      <c r="AK132" s="33">
        <f>IF(AJ132&lt;=0.005,0,AJ132-MIN(AJ132,MAX(0,$E132-SUMIFS(H132:AK132,$H$5:$AK$5,"Rem",$H$4:$AK$4,"&lt;"&amp;AK$4))))</f>
        <v/>
      </c>
      <c r="AL132" s="1" t="n"/>
    </row>
    <row r="133">
      <c r="A133" s="1" t="n"/>
      <c r="B133" s="1" t="n">
        <v>126</v>
      </c>
      <c r="C133" s="34">
        <f>EDATE(Debts!$J$13,B133-1)</f>
        <v/>
      </c>
      <c r="D133" s="33">
        <f>IF(G132&lt;=0.005,0,Debts!$E$16+Debts!$J$7)</f>
        <v/>
      </c>
      <c r="E133" s="33">
        <f>MAX(0,D133-(SUMIF($H$5:$AK$5,"Due",H133:AK133)-SUMIF($H$5:$AK$5,"Rem",H133:AK133)))</f>
        <v/>
      </c>
      <c r="F133" s="33">
        <f>SUMIF($H$5:$AK$5,"Due",H133:AK133)-SUMIF($H$5:$AK$5,"Bal",H132:AK132)</f>
        <v/>
      </c>
      <c r="G133" s="33">
        <f>SUMIF($H$5:$AK$5,"Bal",H133:AK133)</f>
        <v/>
      </c>
      <c r="H133" s="33">
        <f>J132*(1+N(Debts!$D$6)/1200)</f>
        <v/>
      </c>
      <c r="I133" s="33">
        <f>H133-MIN(N(Debts!$E$6),H133)</f>
        <v/>
      </c>
      <c r="J133" s="33">
        <f>IF(I133&lt;=0.005,0,I133-MIN(I133,MAX(0,$E133-SUMIFS(H133:AK133,$H$5:$AK$5,"Rem",$H$4:$AK$4,"&lt;"&amp;J$4))))</f>
        <v/>
      </c>
      <c r="K133" s="33">
        <f>M132*(1+N(Debts!$D$7)/1200)</f>
        <v/>
      </c>
      <c r="L133" s="33">
        <f>K133-MIN(N(Debts!$E$7),K133)</f>
        <v/>
      </c>
      <c r="M133" s="33">
        <f>IF(L133&lt;=0.005,0,L133-MIN(L133,MAX(0,$E133-SUMIFS(H133:AK133,$H$5:$AK$5,"Rem",$H$4:$AK$4,"&lt;"&amp;M$4))))</f>
        <v/>
      </c>
      <c r="N133" s="33">
        <f>P132*(1+N(Debts!$D$8)/1200)</f>
        <v/>
      </c>
      <c r="O133" s="33">
        <f>N133-MIN(N(Debts!$E$8),N133)</f>
        <v/>
      </c>
      <c r="P133" s="33">
        <f>IF(O133&lt;=0.005,0,O133-MIN(O133,MAX(0,$E133-SUMIFS(H133:AK133,$H$5:$AK$5,"Rem",$H$4:$AK$4,"&lt;"&amp;P$4))))</f>
        <v/>
      </c>
      <c r="Q133" s="33">
        <f>S132*(1+N(Debts!$D$9)/1200)</f>
        <v/>
      </c>
      <c r="R133" s="33">
        <f>Q133-MIN(N(Debts!$E$9),Q133)</f>
        <v/>
      </c>
      <c r="S133" s="33">
        <f>IF(R133&lt;=0.005,0,R133-MIN(R133,MAX(0,$E133-SUMIFS(H133:AK133,$H$5:$AK$5,"Rem",$H$4:$AK$4,"&lt;"&amp;S$4))))</f>
        <v/>
      </c>
      <c r="T133" s="33">
        <f>V132*(1+N(Debts!$D$10)/1200)</f>
        <v/>
      </c>
      <c r="U133" s="33">
        <f>T133-MIN(N(Debts!$E$10),T133)</f>
        <v/>
      </c>
      <c r="V133" s="33">
        <f>IF(U133&lt;=0.005,0,U133-MIN(U133,MAX(0,$E133-SUMIFS(H133:AK133,$H$5:$AK$5,"Rem",$H$4:$AK$4,"&lt;"&amp;V$4))))</f>
        <v/>
      </c>
      <c r="W133" s="33">
        <f>Y132*(1+N(Debts!$D$11)/1200)</f>
        <v/>
      </c>
      <c r="X133" s="33">
        <f>W133-MIN(N(Debts!$E$11),W133)</f>
        <v/>
      </c>
      <c r="Y133" s="33">
        <f>IF(X133&lt;=0.005,0,X133-MIN(X133,MAX(0,$E133-SUMIFS(H133:AK133,$H$5:$AK$5,"Rem",$H$4:$AK$4,"&lt;"&amp;Y$4))))</f>
        <v/>
      </c>
      <c r="Z133" s="33">
        <f>AB132*(1+N(Debts!$D$12)/1200)</f>
        <v/>
      </c>
      <c r="AA133" s="33">
        <f>Z133-MIN(N(Debts!$E$12),Z133)</f>
        <v/>
      </c>
      <c r="AB133" s="33">
        <f>IF(AA133&lt;=0.005,0,AA133-MIN(AA133,MAX(0,$E133-SUMIFS(H133:AK133,$H$5:$AK$5,"Rem",$H$4:$AK$4,"&lt;"&amp;AB$4))))</f>
        <v/>
      </c>
      <c r="AC133" s="33">
        <f>AE132*(1+N(Debts!$D$13)/1200)</f>
        <v/>
      </c>
      <c r="AD133" s="33">
        <f>AC133-MIN(N(Debts!$E$13),AC133)</f>
        <v/>
      </c>
      <c r="AE133" s="33">
        <f>IF(AD133&lt;=0.005,0,AD133-MIN(AD133,MAX(0,$E133-SUMIFS(H133:AK133,$H$5:$AK$5,"Rem",$H$4:$AK$4,"&lt;"&amp;AE$4))))</f>
        <v/>
      </c>
      <c r="AF133" s="33">
        <f>AH132*(1+N(Debts!$D$14)/1200)</f>
        <v/>
      </c>
      <c r="AG133" s="33">
        <f>AF133-MIN(N(Debts!$E$14),AF133)</f>
        <v/>
      </c>
      <c r="AH133" s="33">
        <f>IF(AG133&lt;=0.005,0,AG133-MIN(AG133,MAX(0,$E133-SUMIFS(H133:AK133,$H$5:$AK$5,"Rem",$H$4:$AK$4,"&lt;"&amp;AH$4))))</f>
        <v/>
      </c>
      <c r="AI133" s="33">
        <f>AK132*(1+N(Debts!$D$15)/1200)</f>
        <v/>
      </c>
      <c r="AJ133" s="33">
        <f>AI133-MIN(N(Debts!$E$15),AI133)</f>
        <v/>
      </c>
      <c r="AK133" s="33">
        <f>IF(AJ133&lt;=0.005,0,AJ133-MIN(AJ133,MAX(0,$E133-SUMIFS(H133:AK133,$H$5:$AK$5,"Rem",$H$4:$AK$4,"&lt;"&amp;AK$4))))</f>
        <v/>
      </c>
      <c r="AL133" s="1" t="n"/>
    </row>
    <row r="134">
      <c r="A134" s="1" t="n"/>
      <c r="B134" s="1" t="n">
        <v>127</v>
      </c>
      <c r="C134" s="34">
        <f>EDATE(Debts!$J$13,B134-1)</f>
        <v/>
      </c>
      <c r="D134" s="33">
        <f>IF(G133&lt;=0.005,0,Debts!$E$16+Debts!$J$7)</f>
        <v/>
      </c>
      <c r="E134" s="33">
        <f>MAX(0,D134-(SUMIF($H$5:$AK$5,"Due",H134:AK134)-SUMIF($H$5:$AK$5,"Rem",H134:AK134)))</f>
        <v/>
      </c>
      <c r="F134" s="33">
        <f>SUMIF($H$5:$AK$5,"Due",H134:AK134)-SUMIF($H$5:$AK$5,"Bal",H133:AK133)</f>
        <v/>
      </c>
      <c r="G134" s="33">
        <f>SUMIF($H$5:$AK$5,"Bal",H134:AK134)</f>
        <v/>
      </c>
      <c r="H134" s="33">
        <f>J133*(1+N(Debts!$D$6)/1200)</f>
        <v/>
      </c>
      <c r="I134" s="33">
        <f>H134-MIN(N(Debts!$E$6),H134)</f>
        <v/>
      </c>
      <c r="J134" s="33">
        <f>IF(I134&lt;=0.005,0,I134-MIN(I134,MAX(0,$E134-SUMIFS(H134:AK134,$H$5:$AK$5,"Rem",$H$4:$AK$4,"&lt;"&amp;J$4))))</f>
        <v/>
      </c>
      <c r="K134" s="33">
        <f>M133*(1+N(Debts!$D$7)/1200)</f>
        <v/>
      </c>
      <c r="L134" s="33">
        <f>K134-MIN(N(Debts!$E$7),K134)</f>
        <v/>
      </c>
      <c r="M134" s="33">
        <f>IF(L134&lt;=0.005,0,L134-MIN(L134,MAX(0,$E134-SUMIFS(H134:AK134,$H$5:$AK$5,"Rem",$H$4:$AK$4,"&lt;"&amp;M$4))))</f>
        <v/>
      </c>
      <c r="N134" s="33">
        <f>P133*(1+N(Debts!$D$8)/1200)</f>
        <v/>
      </c>
      <c r="O134" s="33">
        <f>N134-MIN(N(Debts!$E$8),N134)</f>
        <v/>
      </c>
      <c r="P134" s="33">
        <f>IF(O134&lt;=0.005,0,O134-MIN(O134,MAX(0,$E134-SUMIFS(H134:AK134,$H$5:$AK$5,"Rem",$H$4:$AK$4,"&lt;"&amp;P$4))))</f>
        <v/>
      </c>
      <c r="Q134" s="33">
        <f>S133*(1+N(Debts!$D$9)/1200)</f>
        <v/>
      </c>
      <c r="R134" s="33">
        <f>Q134-MIN(N(Debts!$E$9),Q134)</f>
        <v/>
      </c>
      <c r="S134" s="33">
        <f>IF(R134&lt;=0.005,0,R134-MIN(R134,MAX(0,$E134-SUMIFS(H134:AK134,$H$5:$AK$5,"Rem",$H$4:$AK$4,"&lt;"&amp;S$4))))</f>
        <v/>
      </c>
      <c r="T134" s="33">
        <f>V133*(1+N(Debts!$D$10)/1200)</f>
        <v/>
      </c>
      <c r="U134" s="33">
        <f>T134-MIN(N(Debts!$E$10),T134)</f>
        <v/>
      </c>
      <c r="V134" s="33">
        <f>IF(U134&lt;=0.005,0,U134-MIN(U134,MAX(0,$E134-SUMIFS(H134:AK134,$H$5:$AK$5,"Rem",$H$4:$AK$4,"&lt;"&amp;V$4))))</f>
        <v/>
      </c>
      <c r="W134" s="33">
        <f>Y133*(1+N(Debts!$D$11)/1200)</f>
        <v/>
      </c>
      <c r="X134" s="33">
        <f>W134-MIN(N(Debts!$E$11),W134)</f>
        <v/>
      </c>
      <c r="Y134" s="33">
        <f>IF(X134&lt;=0.005,0,X134-MIN(X134,MAX(0,$E134-SUMIFS(H134:AK134,$H$5:$AK$5,"Rem",$H$4:$AK$4,"&lt;"&amp;Y$4))))</f>
        <v/>
      </c>
      <c r="Z134" s="33">
        <f>AB133*(1+N(Debts!$D$12)/1200)</f>
        <v/>
      </c>
      <c r="AA134" s="33">
        <f>Z134-MIN(N(Debts!$E$12),Z134)</f>
        <v/>
      </c>
      <c r="AB134" s="33">
        <f>IF(AA134&lt;=0.005,0,AA134-MIN(AA134,MAX(0,$E134-SUMIFS(H134:AK134,$H$5:$AK$5,"Rem",$H$4:$AK$4,"&lt;"&amp;AB$4))))</f>
        <v/>
      </c>
      <c r="AC134" s="33">
        <f>AE133*(1+N(Debts!$D$13)/1200)</f>
        <v/>
      </c>
      <c r="AD134" s="33">
        <f>AC134-MIN(N(Debts!$E$13),AC134)</f>
        <v/>
      </c>
      <c r="AE134" s="33">
        <f>IF(AD134&lt;=0.005,0,AD134-MIN(AD134,MAX(0,$E134-SUMIFS(H134:AK134,$H$5:$AK$5,"Rem",$H$4:$AK$4,"&lt;"&amp;AE$4))))</f>
        <v/>
      </c>
      <c r="AF134" s="33">
        <f>AH133*(1+N(Debts!$D$14)/1200)</f>
        <v/>
      </c>
      <c r="AG134" s="33">
        <f>AF134-MIN(N(Debts!$E$14),AF134)</f>
        <v/>
      </c>
      <c r="AH134" s="33">
        <f>IF(AG134&lt;=0.005,0,AG134-MIN(AG134,MAX(0,$E134-SUMIFS(H134:AK134,$H$5:$AK$5,"Rem",$H$4:$AK$4,"&lt;"&amp;AH$4))))</f>
        <v/>
      </c>
      <c r="AI134" s="33">
        <f>AK133*(1+N(Debts!$D$15)/1200)</f>
        <v/>
      </c>
      <c r="AJ134" s="33">
        <f>AI134-MIN(N(Debts!$E$15),AI134)</f>
        <v/>
      </c>
      <c r="AK134" s="33">
        <f>IF(AJ134&lt;=0.005,0,AJ134-MIN(AJ134,MAX(0,$E134-SUMIFS(H134:AK134,$H$5:$AK$5,"Rem",$H$4:$AK$4,"&lt;"&amp;AK$4))))</f>
        <v/>
      </c>
      <c r="AL134" s="1" t="n"/>
    </row>
    <row r="135">
      <c r="A135" s="1" t="n"/>
      <c r="B135" s="1" t="n">
        <v>128</v>
      </c>
      <c r="C135" s="34">
        <f>EDATE(Debts!$J$13,B135-1)</f>
        <v/>
      </c>
      <c r="D135" s="33">
        <f>IF(G134&lt;=0.005,0,Debts!$E$16+Debts!$J$7)</f>
        <v/>
      </c>
      <c r="E135" s="33">
        <f>MAX(0,D135-(SUMIF($H$5:$AK$5,"Due",H135:AK135)-SUMIF($H$5:$AK$5,"Rem",H135:AK135)))</f>
        <v/>
      </c>
      <c r="F135" s="33">
        <f>SUMIF($H$5:$AK$5,"Due",H135:AK135)-SUMIF($H$5:$AK$5,"Bal",H134:AK134)</f>
        <v/>
      </c>
      <c r="G135" s="33">
        <f>SUMIF($H$5:$AK$5,"Bal",H135:AK135)</f>
        <v/>
      </c>
      <c r="H135" s="33">
        <f>J134*(1+N(Debts!$D$6)/1200)</f>
        <v/>
      </c>
      <c r="I135" s="33">
        <f>H135-MIN(N(Debts!$E$6),H135)</f>
        <v/>
      </c>
      <c r="J135" s="33">
        <f>IF(I135&lt;=0.005,0,I135-MIN(I135,MAX(0,$E135-SUMIFS(H135:AK135,$H$5:$AK$5,"Rem",$H$4:$AK$4,"&lt;"&amp;J$4))))</f>
        <v/>
      </c>
      <c r="K135" s="33">
        <f>M134*(1+N(Debts!$D$7)/1200)</f>
        <v/>
      </c>
      <c r="L135" s="33">
        <f>K135-MIN(N(Debts!$E$7),K135)</f>
        <v/>
      </c>
      <c r="M135" s="33">
        <f>IF(L135&lt;=0.005,0,L135-MIN(L135,MAX(0,$E135-SUMIFS(H135:AK135,$H$5:$AK$5,"Rem",$H$4:$AK$4,"&lt;"&amp;M$4))))</f>
        <v/>
      </c>
      <c r="N135" s="33">
        <f>P134*(1+N(Debts!$D$8)/1200)</f>
        <v/>
      </c>
      <c r="O135" s="33">
        <f>N135-MIN(N(Debts!$E$8),N135)</f>
        <v/>
      </c>
      <c r="P135" s="33">
        <f>IF(O135&lt;=0.005,0,O135-MIN(O135,MAX(0,$E135-SUMIFS(H135:AK135,$H$5:$AK$5,"Rem",$H$4:$AK$4,"&lt;"&amp;P$4))))</f>
        <v/>
      </c>
      <c r="Q135" s="33">
        <f>S134*(1+N(Debts!$D$9)/1200)</f>
        <v/>
      </c>
      <c r="R135" s="33">
        <f>Q135-MIN(N(Debts!$E$9),Q135)</f>
        <v/>
      </c>
      <c r="S135" s="33">
        <f>IF(R135&lt;=0.005,0,R135-MIN(R135,MAX(0,$E135-SUMIFS(H135:AK135,$H$5:$AK$5,"Rem",$H$4:$AK$4,"&lt;"&amp;S$4))))</f>
        <v/>
      </c>
      <c r="T135" s="33">
        <f>V134*(1+N(Debts!$D$10)/1200)</f>
        <v/>
      </c>
      <c r="U135" s="33">
        <f>T135-MIN(N(Debts!$E$10),T135)</f>
        <v/>
      </c>
      <c r="V135" s="33">
        <f>IF(U135&lt;=0.005,0,U135-MIN(U135,MAX(0,$E135-SUMIFS(H135:AK135,$H$5:$AK$5,"Rem",$H$4:$AK$4,"&lt;"&amp;V$4))))</f>
        <v/>
      </c>
      <c r="W135" s="33">
        <f>Y134*(1+N(Debts!$D$11)/1200)</f>
        <v/>
      </c>
      <c r="X135" s="33">
        <f>W135-MIN(N(Debts!$E$11),W135)</f>
        <v/>
      </c>
      <c r="Y135" s="33">
        <f>IF(X135&lt;=0.005,0,X135-MIN(X135,MAX(0,$E135-SUMIFS(H135:AK135,$H$5:$AK$5,"Rem",$H$4:$AK$4,"&lt;"&amp;Y$4))))</f>
        <v/>
      </c>
      <c r="Z135" s="33">
        <f>AB134*(1+N(Debts!$D$12)/1200)</f>
        <v/>
      </c>
      <c r="AA135" s="33">
        <f>Z135-MIN(N(Debts!$E$12),Z135)</f>
        <v/>
      </c>
      <c r="AB135" s="33">
        <f>IF(AA135&lt;=0.005,0,AA135-MIN(AA135,MAX(0,$E135-SUMIFS(H135:AK135,$H$5:$AK$5,"Rem",$H$4:$AK$4,"&lt;"&amp;AB$4))))</f>
        <v/>
      </c>
      <c r="AC135" s="33">
        <f>AE134*(1+N(Debts!$D$13)/1200)</f>
        <v/>
      </c>
      <c r="AD135" s="33">
        <f>AC135-MIN(N(Debts!$E$13),AC135)</f>
        <v/>
      </c>
      <c r="AE135" s="33">
        <f>IF(AD135&lt;=0.005,0,AD135-MIN(AD135,MAX(0,$E135-SUMIFS(H135:AK135,$H$5:$AK$5,"Rem",$H$4:$AK$4,"&lt;"&amp;AE$4))))</f>
        <v/>
      </c>
      <c r="AF135" s="33">
        <f>AH134*(1+N(Debts!$D$14)/1200)</f>
        <v/>
      </c>
      <c r="AG135" s="33">
        <f>AF135-MIN(N(Debts!$E$14),AF135)</f>
        <v/>
      </c>
      <c r="AH135" s="33">
        <f>IF(AG135&lt;=0.005,0,AG135-MIN(AG135,MAX(0,$E135-SUMIFS(H135:AK135,$H$5:$AK$5,"Rem",$H$4:$AK$4,"&lt;"&amp;AH$4))))</f>
        <v/>
      </c>
      <c r="AI135" s="33">
        <f>AK134*(1+N(Debts!$D$15)/1200)</f>
        <v/>
      </c>
      <c r="AJ135" s="33">
        <f>AI135-MIN(N(Debts!$E$15),AI135)</f>
        <v/>
      </c>
      <c r="AK135" s="33">
        <f>IF(AJ135&lt;=0.005,0,AJ135-MIN(AJ135,MAX(0,$E135-SUMIFS(H135:AK135,$H$5:$AK$5,"Rem",$H$4:$AK$4,"&lt;"&amp;AK$4))))</f>
        <v/>
      </c>
      <c r="AL135" s="1" t="n"/>
    </row>
    <row r="136">
      <c r="A136" s="1" t="n"/>
      <c r="B136" s="1" t="n">
        <v>129</v>
      </c>
      <c r="C136" s="34">
        <f>EDATE(Debts!$J$13,B136-1)</f>
        <v/>
      </c>
      <c r="D136" s="33">
        <f>IF(G135&lt;=0.005,0,Debts!$E$16+Debts!$J$7)</f>
        <v/>
      </c>
      <c r="E136" s="33">
        <f>MAX(0,D136-(SUMIF($H$5:$AK$5,"Due",H136:AK136)-SUMIF($H$5:$AK$5,"Rem",H136:AK136)))</f>
        <v/>
      </c>
      <c r="F136" s="33">
        <f>SUMIF($H$5:$AK$5,"Due",H136:AK136)-SUMIF($H$5:$AK$5,"Bal",H135:AK135)</f>
        <v/>
      </c>
      <c r="G136" s="33">
        <f>SUMIF($H$5:$AK$5,"Bal",H136:AK136)</f>
        <v/>
      </c>
      <c r="H136" s="33">
        <f>J135*(1+N(Debts!$D$6)/1200)</f>
        <v/>
      </c>
      <c r="I136" s="33">
        <f>H136-MIN(N(Debts!$E$6),H136)</f>
        <v/>
      </c>
      <c r="J136" s="33">
        <f>IF(I136&lt;=0.005,0,I136-MIN(I136,MAX(0,$E136-SUMIFS(H136:AK136,$H$5:$AK$5,"Rem",$H$4:$AK$4,"&lt;"&amp;J$4))))</f>
        <v/>
      </c>
      <c r="K136" s="33">
        <f>M135*(1+N(Debts!$D$7)/1200)</f>
        <v/>
      </c>
      <c r="L136" s="33">
        <f>K136-MIN(N(Debts!$E$7),K136)</f>
        <v/>
      </c>
      <c r="M136" s="33">
        <f>IF(L136&lt;=0.005,0,L136-MIN(L136,MAX(0,$E136-SUMIFS(H136:AK136,$H$5:$AK$5,"Rem",$H$4:$AK$4,"&lt;"&amp;M$4))))</f>
        <v/>
      </c>
      <c r="N136" s="33">
        <f>P135*(1+N(Debts!$D$8)/1200)</f>
        <v/>
      </c>
      <c r="O136" s="33">
        <f>N136-MIN(N(Debts!$E$8),N136)</f>
        <v/>
      </c>
      <c r="P136" s="33">
        <f>IF(O136&lt;=0.005,0,O136-MIN(O136,MAX(0,$E136-SUMIFS(H136:AK136,$H$5:$AK$5,"Rem",$H$4:$AK$4,"&lt;"&amp;P$4))))</f>
        <v/>
      </c>
      <c r="Q136" s="33">
        <f>S135*(1+N(Debts!$D$9)/1200)</f>
        <v/>
      </c>
      <c r="R136" s="33">
        <f>Q136-MIN(N(Debts!$E$9),Q136)</f>
        <v/>
      </c>
      <c r="S136" s="33">
        <f>IF(R136&lt;=0.005,0,R136-MIN(R136,MAX(0,$E136-SUMIFS(H136:AK136,$H$5:$AK$5,"Rem",$H$4:$AK$4,"&lt;"&amp;S$4))))</f>
        <v/>
      </c>
      <c r="T136" s="33">
        <f>V135*(1+N(Debts!$D$10)/1200)</f>
        <v/>
      </c>
      <c r="U136" s="33">
        <f>T136-MIN(N(Debts!$E$10),T136)</f>
        <v/>
      </c>
      <c r="V136" s="33">
        <f>IF(U136&lt;=0.005,0,U136-MIN(U136,MAX(0,$E136-SUMIFS(H136:AK136,$H$5:$AK$5,"Rem",$H$4:$AK$4,"&lt;"&amp;V$4))))</f>
        <v/>
      </c>
      <c r="W136" s="33">
        <f>Y135*(1+N(Debts!$D$11)/1200)</f>
        <v/>
      </c>
      <c r="X136" s="33">
        <f>W136-MIN(N(Debts!$E$11),W136)</f>
        <v/>
      </c>
      <c r="Y136" s="33">
        <f>IF(X136&lt;=0.005,0,X136-MIN(X136,MAX(0,$E136-SUMIFS(H136:AK136,$H$5:$AK$5,"Rem",$H$4:$AK$4,"&lt;"&amp;Y$4))))</f>
        <v/>
      </c>
      <c r="Z136" s="33">
        <f>AB135*(1+N(Debts!$D$12)/1200)</f>
        <v/>
      </c>
      <c r="AA136" s="33">
        <f>Z136-MIN(N(Debts!$E$12),Z136)</f>
        <v/>
      </c>
      <c r="AB136" s="33">
        <f>IF(AA136&lt;=0.005,0,AA136-MIN(AA136,MAX(0,$E136-SUMIFS(H136:AK136,$H$5:$AK$5,"Rem",$H$4:$AK$4,"&lt;"&amp;AB$4))))</f>
        <v/>
      </c>
      <c r="AC136" s="33">
        <f>AE135*(1+N(Debts!$D$13)/1200)</f>
        <v/>
      </c>
      <c r="AD136" s="33">
        <f>AC136-MIN(N(Debts!$E$13),AC136)</f>
        <v/>
      </c>
      <c r="AE136" s="33">
        <f>IF(AD136&lt;=0.005,0,AD136-MIN(AD136,MAX(0,$E136-SUMIFS(H136:AK136,$H$5:$AK$5,"Rem",$H$4:$AK$4,"&lt;"&amp;AE$4))))</f>
        <v/>
      </c>
      <c r="AF136" s="33">
        <f>AH135*(1+N(Debts!$D$14)/1200)</f>
        <v/>
      </c>
      <c r="AG136" s="33">
        <f>AF136-MIN(N(Debts!$E$14),AF136)</f>
        <v/>
      </c>
      <c r="AH136" s="33">
        <f>IF(AG136&lt;=0.005,0,AG136-MIN(AG136,MAX(0,$E136-SUMIFS(H136:AK136,$H$5:$AK$5,"Rem",$H$4:$AK$4,"&lt;"&amp;AH$4))))</f>
        <v/>
      </c>
      <c r="AI136" s="33">
        <f>AK135*(1+N(Debts!$D$15)/1200)</f>
        <v/>
      </c>
      <c r="AJ136" s="33">
        <f>AI136-MIN(N(Debts!$E$15),AI136)</f>
        <v/>
      </c>
      <c r="AK136" s="33">
        <f>IF(AJ136&lt;=0.005,0,AJ136-MIN(AJ136,MAX(0,$E136-SUMIFS(H136:AK136,$H$5:$AK$5,"Rem",$H$4:$AK$4,"&lt;"&amp;AK$4))))</f>
        <v/>
      </c>
      <c r="AL136" s="1" t="n"/>
    </row>
    <row r="137">
      <c r="A137" s="1" t="n"/>
      <c r="B137" s="1" t="n">
        <v>130</v>
      </c>
      <c r="C137" s="34">
        <f>EDATE(Debts!$J$13,B137-1)</f>
        <v/>
      </c>
      <c r="D137" s="33">
        <f>IF(G136&lt;=0.005,0,Debts!$E$16+Debts!$J$7)</f>
        <v/>
      </c>
      <c r="E137" s="33">
        <f>MAX(0,D137-(SUMIF($H$5:$AK$5,"Due",H137:AK137)-SUMIF($H$5:$AK$5,"Rem",H137:AK137)))</f>
        <v/>
      </c>
      <c r="F137" s="33">
        <f>SUMIF($H$5:$AK$5,"Due",H137:AK137)-SUMIF($H$5:$AK$5,"Bal",H136:AK136)</f>
        <v/>
      </c>
      <c r="G137" s="33">
        <f>SUMIF($H$5:$AK$5,"Bal",H137:AK137)</f>
        <v/>
      </c>
      <c r="H137" s="33">
        <f>J136*(1+N(Debts!$D$6)/1200)</f>
        <v/>
      </c>
      <c r="I137" s="33">
        <f>H137-MIN(N(Debts!$E$6),H137)</f>
        <v/>
      </c>
      <c r="J137" s="33">
        <f>IF(I137&lt;=0.005,0,I137-MIN(I137,MAX(0,$E137-SUMIFS(H137:AK137,$H$5:$AK$5,"Rem",$H$4:$AK$4,"&lt;"&amp;J$4))))</f>
        <v/>
      </c>
      <c r="K137" s="33">
        <f>M136*(1+N(Debts!$D$7)/1200)</f>
        <v/>
      </c>
      <c r="L137" s="33">
        <f>K137-MIN(N(Debts!$E$7),K137)</f>
        <v/>
      </c>
      <c r="M137" s="33">
        <f>IF(L137&lt;=0.005,0,L137-MIN(L137,MAX(0,$E137-SUMIFS(H137:AK137,$H$5:$AK$5,"Rem",$H$4:$AK$4,"&lt;"&amp;M$4))))</f>
        <v/>
      </c>
      <c r="N137" s="33">
        <f>P136*(1+N(Debts!$D$8)/1200)</f>
        <v/>
      </c>
      <c r="O137" s="33">
        <f>N137-MIN(N(Debts!$E$8),N137)</f>
        <v/>
      </c>
      <c r="P137" s="33">
        <f>IF(O137&lt;=0.005,0,O137-MIN(O137,MAX(0,$E137-SUMIFS(H137:AK137,$H$5:$AK$5,"Rem",$H$4:$AK$4,"&lt;"&amp;P$4))))</f>
        <v/>
      </c>
      <c r="Q137" s="33">
        <f>S136*(1+N(Debts!$D$9)/1200)</f>
        <v/>
      </c>
      <c r="R137" s="33">
        <f>Q137-MIN(N(Debts!$E$9),Q137)</f>
        <v/>
      </c>
      <c r="S137" s="33">
        <f>IF(R137&lt;=0.005,0,R137-MIN(R137,MAX(0,$E137-SUMIFS(H137:AK137,$H$5:$AK$5,"Rem",$H$4:$AK$4,"&lt;"&amp;S$4))))</f>
        <v/>
      </c>
      <c r="T137" s="33">
        <f>V136*(1+N(Debts!$D$10)/1200)</f>
        <v/>
      </c>
      <c r="U137" s="33">
        <f>T137-MIN(N(Debts!$E$10),T137)</f>
        <v/>
      </c>
      <c r="V137" s="33">
        <f>IF(U137&lt;=0.005,0,U137-MIN(U137,MAX(0,$E137-SUMIFS(H137:AK137,$H$5:$AK$5,"Rem",$H$4:$AK$4,"&lt;"&amp;V$4))))</f>
        <v/>
      </c>
      <c r="W137" s="33">
        <f>Y136*(1+N(Debts!$D$11)/1200)</f>
        <v/>
      </c>
      <c r="X137" s="33">
        <f>W137-MIN(N(Debts!$E$11),W137)</f>
        <v/>
      </c>
      <c r="Y137" s="33">
        <f>IF(X137&lt;=0.005,0,X137-MIN(X137,MAX(0,$E137-SUMIFS(H137:AK137,$H$5:$AK$5,"Rem",$H$4:$AK$4,"&lt;"&amp;Y$4))))</f>
        <v/>
      </c>
      <c r="Z137" s="33">
        <f>AB136*(1+N(Debts!$D$12)/1200)</f>
        <v/>
      </c>
      <c r="AA137" s="33">
        <f>Z137-MIN(N(Debts!$E$12),Z137)</f>
        <v/>
      </c>
      <c r="AB137" s="33">
        <f>IF(AA137&lt;=0.005,0,AA137-MIN(AA137,MAX(0,$E137-SUMIFS(H137:AK137,$H$5:$AK$5,"Rem",$H$4:$AK$4,"&lt;"&amp;AB$4))))</f>
        <v/>
      </c>
      <c r="AC137" s="33">
        <f>AE136*(1+N(Debts!$D$13)/1200)</f>
        <v/>
      </c>
      <c r="AD137" s="33">
        <f>AC137-MIN(N(Debts!$E$13),AC137)</f>
        <v/>
      </c>
      <c r="AE137" s="33">
        <f>IF(AD137&lt;=0.005,0,AD137-MIN(AD137,MAX(0,$E137-SUMIFS(H137:AK137,$H$5:$AK$5,"Rem",$H$4:$AK$4,"&lt;"&amp;AE$4))))</f>
        <v/>
      </c>
      <c r="AF137" s="33">
        <f>AH136*(1+N(Debts!$D$14)/1200)</f>
        <v/>
      </c>
      <c r="AG137" s="33">
        <f>AF137-MIN(N(Debts!$E$14),AF137)</f>
        <v/>
      </c>
      <c r="AH137" s="33">
        <f>IF(AG137&lt;=0.005,0,AG137-MIN(AG137,MAX(0,$E137-SUMIFS(H137:AK137,$H$5:$AK$5,"Rem",$H$4:$AK$4,"&lt;"&amp;AH$4))))</f>
        <v/>
      </c>
      <c r="AI137" s="33">
        <f>AK136*(1+N(Debts!$D$15)/1200)</f>
        <v/>
      </c>
      <c r="AJ137" s="33">
        <f>AI137-MIN(N(Debts!$E$15),AI137)</f>
        <v/>
      </c>
      <c r="AK137" s="33">
        <f>IF(AJ137&lt;=0.005,0,AJ137-MIN(AJ137,MAX(0,$E137-SUMIFS(H137:AK137,$H$5:$AK$5,"Rem",$H$4:$AK$4,"&lt;"&amp;AK$4))))</f>
        <v/>
      </c>
      <c r="AL137" s="1" t="n"/>
    </row>
    <row r="138">
      <c r="A138" s="1" t="n"/>
      <c r="B138" s="1" t="n">
        <v>131</v>
      </c>
      <c r="C138" s="34">
        <f>EDATE(Debts!$J$13,B138-1)</f>
        <v/>
      </c>
      <c r="D138" s="33">
        <f>IF(G137&lt;=0.005,0,Debts!$E$16+Debts!$J$7)</f>
        <v/>
      </c>
      <c r="E138" s="33">
        <f>MAX(0,D138-(SUMIF($H$5:$AK$5,"Due",H138:AK138)-SUMIF($H$5:$AK$5,"Rem",H138:AK138)))</f>
        <v/>
      </c>
      <c r="F138" s="33">
        <f>SUMIF($H$5:$AK$5,"Due",H138:AK138)-SUMIF($H$5:$AK$5,"Bal",H137:AK137)</f>
        <v/>
      </c>
      <c r="G138" s="33">
        <f>SUMIF($H$5:$AK$5,"Bal",H138:AK138)</f>
        <v/>
      </c>
      <c r="H138" s="33">
        <f>J137*(1+N(Debts!$D$6)/1200)</f>
        <v/>
      </c>
      <c r="I138" s="33">
        <f>H138-MIN(N(Debts!$E$6),H138)</f>
        <v/>
      </c>
      <c r="J138" s="33">
        <f>IF(I138&lt;=0.005,0,I138-MIN(I138,MAX(0,$E138-SUMIFS(H138:AK138,$H$5:$AK$5,"Rem",$H$4:$AK$4,"&lt;"&amp;J$4))))</f>
        <v/>
      </c>
      <c r="K138" s="33">
        <f>M137*(1+N(Debts!$D$7)/1200)</f>
        <v/>
      </c>
      <c r="L138" s="33">
        <f>K138-MIN(N(Debts!$E$7),K138)</f>
        <v/>
      </c>
      <c r="M138" s="33">
        <f>IF(L138&lt;=0.005,0,L138-MIN(L138,MAX(0,$E138-SUMIFS(H138:AK138,$H$5:$AK$5,"Rem",$H$4:$AK$4,"&lt;"&amp;M$4))))</f>
        <v/>
      </c>
      <c r="N138" s="33">
        <f>P137*(1+N(Debts!$D$8)/1200)</f>
        <v/>
      </c>
      <c r="O138" s="33">
        <f>N138-MIN(N(Debts!$E$8),N138)</f>
        <v/>
      </c>
      <c r="P138" s="33">
        <f>IF(O138&lt;=0.005,0,O138-MIN(O138,MAX(0,$E138-SUMIFS(H138:AK138,$H$5:$AK$5,"Rem",$H$4:$AK$4,"&lt;"&amp;P$4))))</f>
        <v/>
      </c>
      <c r="Q138" s="33">
        <f>S137*(1+N(Debts!$D$9)/1200)</f>
        <v/>
      </c>
      <c r="R138" s="33">
        <f>Q138-MIN(N(Debts!$E$9),Q138)</f>
        <v/>
      </c>
      <c r="S138" s="33">
        <f>IF(R138&lt;=0.005,0,R138-MIN(R138,MAX(0,$E138-SUMIFS(H138:AK138,$H$5:$AK$5,"Rem",$H$4:$AK$4,"&lt;"&amp;S$4))))</f>
        <v/>
      </c>
      <c r="T138" s="33">
        <f>V137*(1+N(Debts!$D$10)/1200)</f>
        <v/>
      </c>
      <c r="U138" s="33">
        <f>T138-MIN(N(Debts!$E$10),T138)</f>
        <v/>
      </c>
      <c r="V138" s="33">
        <f>IF(U138&lt;=0.005,0,U138-MIN(U138,MAX(0,$E138-SUMIFS(H138:AK138,$H$5:$AK$5,"Rem",$H$4:$AK$4,"&lt;"&amp;V$4))))</f>
        <v/>
      </c>
      <c r="W138" s="33">
        <f>Y137*(1+N(Debts!$D$11)/1200)</f>
        <v/>
      </c>
      <c r="X138" s="33">
        <f>W138-MIN(N(Debts!$E$11),W138)</f>
        <v/>
      </c>
      <c r="Y138" s="33">
        <f>IF(X138&lt;=0.005,0,X138-MIN(X138,MAX(0,$E138-SUMIFS(H138:AK138,$H$5:$AK$5,"Rem",$H$4:$AK$4,"&lt;"&amp;Y$4))))</f>
        <v/>
      </c>
      <c r="Z138" s="33">
        <f>AB137*(1+N(Debts!$D$12)/1200)</f>
        <v/>
      </c>
      <c r="AA138" s="33">
        <f>Z138-MIN(N(Debts!$E$12),Z138)</f>
        <v/>
      </c>
      <c r="AB138" s="33">
        <f>IF(AA138&lt;=0.005,0,AA138-MIN(AA138,MAX(0,$E138-SUMIFS(H138:AK138,$H$5:$AK$5,"Rem",$H$4:$AK$4,"&lt;"&amp;AB$4))))</f>
        <v/>
      </c>
      <c r="AC138" s="33">
        <f>AE137*(1+N(Debts!$D$13)/1200)</f>
        <v/>
      </c>
      <c r="AD138" s="33">
        <f>AC138-MIN(N(Debts!$E$13),AC138)</f>
        <v/>
      </c>
      <c r="AE138" s="33">
        <f>IF(AD138&lt;=0.005,0,AD138-MIN(AD138,MAX(0,$E138-SUMIFS(H138:AK138,$H$5:$AK$5,"Rem",$H$4:$AK$4,"&lt;"&amp;AE$4))))</f>
        <v/>
      </c>
      <c r="AF138" s="33">
        <f>AH137*(1+N(Debts!$D$14)/1200)</f>
        <v/>
      </c>
      <c r="AG138" s="33">
        <f>AF138-MIN(N(Debts!$E$14),AF138)</f>
        <v/>
      </c>
      <c r="AH138" s="33">
        <f>IF(AG138&lt;=0.005,0,AG138-MIN(AG138,MAX(0,$E138-SUMIFS(H138:AK138,$H$5:$AK$5,"Rem",$H$4:$AK$4,"&lt;"&amp;AH$4))))</f>
        <v/>
      </c>
      <c r="AI138" s="33">
        <f>AK137*(1+N(Debts!$D$15)/1200)</f>
        <v/>
      </c>
      <c r="AJ138" s="33">
        <f>AI138-MIN(N(Debts!$E$15),AI138)</f>
        <v/>
      </c>
      <c r="AK138" s="33">
        <f>IF(AJ138&lt;=0.005,0,AJ138-MIN(AJ138,MAX(0,$E138-SUMIFS(H138:AK138,$H$5:$AK$5,"Rem",$H$4:$AK$4,"&lt;"&amp;AK$4))))</f>
        <v/>
      </c>
      <c r="AL138" s="1" t="n"/>
    </row>
    <row r="139">
      <c r="A139" s="1" t="n"/>
      <c r="B139" s="1" t="n">
        <v>132</v>
      </c>
      <c r="C139" s="34">
        <f>EDATE(Debts!$J$13,B139-1)</f>
        <v/>
      </c>
      <c r="D139" s="33">
        <f>IF(G138&lt;=0.005,0,Debts!$E$16+Debts!$J$7)</f>
        <v/>
      </c>
      <c r="E139" s="33">
        <f>MAX(0,D139-(SUMIF($H$5:$AK$5,"Due",H139:AK139)-SUMIF($H$5:$AK$5,"Rem",H139:AK139)))</f>
        <v/>
      </c>
      <c r="F139" s="33">
        <f>SUMIF($H$5:$AK$5,"Due",H139:AK139)-SUMIF($H$5:$AK$5,"Bal",H138:AK138)</f>
        <v/>
      </c>
      <c r="G139" s="33">
        <f>SUMIF($H$5:$AK$5,"Bal",H139:AK139)</f>
        <v/>
      </c>
      <c r="H139" s="33">
        <f>J138*(1+N(Debts!$D$6)/1200)</f>
        <v/>
      </c>
      <c r="I139" s="33">
        <f>H139-MIN(N(Debts!$E$6),H139)</f>
        <v/>
      </c>
      <c r="J139" s="33">
        <f>IF(I139&lt;=0.005,0,I139-MIN(I139,MAX(0,$E139-SUMIFS(H139:AK139,$H$5:$AK$5,"Rem",$H$4:$AK$4,"&lt;"&amp;J$4))))</f>
        <v/>
      </c>
      <c r="K139" s="33">
        <f>M138*(1+N(Debts!$D$7)/1200)</f>
        <v/>
      </c>
      <c r="L139" s="33">
        <f>K139-MIN(N(Debts!$E$7),K139)</f>
        <v/>
      </c>
      <c r="M139" s="33">
        <f>IF(L139&lt;=0.005,0,L139-MIN(L139,MAX(0,$E139-SUMIFS(H139:AK139,$H$5:$AK$5,"Rem",$H$4:$AK$4,"&lt;"&amp;M$4))))</f>
        <v/>
      </c>
      <c r="N139" s="33">
        <f>P138*(1+N(Debts!$D$8)/1200)</f>
        <v/>
      </c>
      <c r="O139" s="33">
        <f>N139-MIN(N(Debts!$E$8),N139)</f>
        <v/>
      </c>
      <c r="P139" s="33">
        <f>IF(O139&lt;=0.005,0,O139-MIN(O139,MAX(0,$E139-SUMIFS(H139:AK139,$H$5:$AK$5,"Rem",$H$4:$AK$4,"&lt;"&amp;P$4))))</f>
        <v/>
      </c>
      <c r="Q139" s="33">
        <f>S138*(1+N(Debts!$D$9)/1200)</f>
        <v/>
      </c>
      <c r="R139" s="33">
        <f>Q139-MIN(N(Debts!$E$9),Q139)</f>
        <v/>
      </c>
      <c r="S139" s="33">
        <f>IF(R139&lt;=0.005,0,R139-MIN(R139,MAX(0,$E139-SUMIFS(H139:AK139,$H$5:$AK$5,"Rem",$H$4:$AK$4,"&lt;"&amp;S$4))))</f>
        <v/>
      </c>
      <c r="T139" s="33">
        <f>V138*(1+N(Debts!$D$10)/1200)</f>
        <v/>
      </c>
      <c r="U139" s="33">
        <f>T139-MIN(N(Debts!$E$10),T139)</f>
        <v/>
      </c>
      <c r="V139" s="33">
        <f>IF(U139&lt;=0.005,0,U139-MIN(U139,MAX(0,$E139-SUMIFS(H139:AK139,$H$5:$AK$5,"Rem",$H$4:$AK$4,"&lt;"&amp;V$4))))</f>
        <v/>
      </c>
      <c r="W139" s="33">
        <f>Y138*(1+N(Debts!$D$11)/1200)</f>
        <v/>
      </c>
      <c r="X139" s="33">
        <f>W139-MIN(N(Debts!$E$11),W139)</f>
        <v/>
      </c>
      <c r="Y139" s="33">
        <f>IF(X139&lt;=0.005,0,X139-MIN(X139,MAX(0,$E139-SUMIFS(H139:AK139,$H$5:$AK$5,"Rem",$H$4:$AK$4,"&lt;"&amp;Y$4))))</f>
        <v/>
      </c>
      <c r="Z139" s="33">
        <f>AB138*(1+N(Debts!$D$12)/1200)</f>
        <v/>
      </c>
      <c r="AA139" s="33">
        <f>Z139-MIN(N(Debts!$E$12),Z139)</f>
        <v/>
      </c>
      <c r="AB139" s="33">
        <f>IF(AA139&lt;=0.005,0,AA139-MIN(AA139,MAX(0,$E139-SUMIFS(H139:AK139,$H$5:$AK$5,"Rem",$H$4:$AK$4,"&lt;"&amp;AB$4))))</f>
        <v/>
      </c>
      <c r="AC139" s="33">
        <f>AE138*(1+N(Debts!$D$13)/1200)</f>
        <v/>
      </c>
      <c r="AD139" s="33">
        <f>AC139-MIN(N(Debts!$E$13),AC139)</f>
        <v/>
      </c>
      <c r="AE139" s="33">
        <f>IF(AD139&lt;=0.005,0,AD139-MIN(AD139,MAX(0,$E139-SUMIFS(H139:AK139,$H$5:$AK$5,"Rem",$H$4:$AK$4,"&lt;"&amp;AE$4))))</f>
        <v/>
      </c>
      <c r="AF139" s="33">
        <f>AH138*(1+N(Debts!$D$14)/1200)</f>
        <v/>
      </c>
      <c r="AG139" s="33">
        <f>AF139-MIN(N(Debts!$E$14),AF139)</f>
        <v/>
      </c>
      <c r="AH139" s="33">
        <f>IF(AG139&lt;=0.005,0,AG139-MIN(AG139,MAX(0,$E139-SUMIFS(H139:AK139,$H$5:$AK$5,"Rem",$H$4:$AK$4,"&lt;"&amp;AH$4))))</f>
        <v/>
      </c>
      <c r="AI139" s="33">
        <f>AK138*(1+N(Debts!$D$15)/1200)</f>
        <v/>
      </c>
      <c r="AJ139" s="33">
        <f>AI139-MIN(N(Debts!$E$15),AI139)</f>
        <v/>
      </c>
      <c r="AK139" s="33">
        <f>IF(AJ139&lt;=0.005,0,AJ139-MIN(AJ139,MAX(0,$E139-SUMIFS(H139:AK139,$H$5:$AK$5,"Rem",$H$4:$AK$4,"&lt;"&amp;AK$4))))</f>
        <v/>
      </c>
      <c r="AL139" s="1" t="n"/>
    </row>
    <row r="140">
      <c r="A140" s="1" t="n"/>
      <c r="B140" s="1" t="n">
        <v>133</v>
      </c>
      <c r="C140" s="34">
        <f>EDATE(Debts!$J$13,B140-1)</f>
        <v/>
      </c>
      <c r="D140" s="33">
        <f>IF(G139&lt;=0.005,0,Debts!$E$16+Debts!$J$7)</f>
        <v/>
      </c>
      <c r="E140" s="33">
        <f>MAX(0,D140-(SUMIF($H$5:$AK$5,"Due",H140:AK140)-SUMIF($H$5:$AK$5,"Rem",H140:AK140)))</f>
        <v/>
      </c>
      <c r="F140" s="33">
        <f>SUMIF($H$5:$AK$5,"Due",H140:AK140)-SUMIF($H$5:$AK$5,"Bal",H139:AK139)</f>
        <v/>
      </c>
      <c r="G140" s="33">
        <f>SUMIF($H$5:$AK$5,"Bal",H140:AK140)</f>
        <v/>
      </c>
      <c r="H140" s="33">
        <f>J139*(1+N(Debts!$D$6)/1200)</f>
        <v/>
      </c>
      <c r="I140" s="33">
        <f>H140-MIN(N(Debts!$E$6),H140)</f>
        <v/>
      </c>
      <c r="J140" s="33">
        <f>IF(I140&lt;=0.005,0,I140-MIN(I140,MAX(0,$E140-SUMIFS(H140:AK140,$H$5:$AK$5,"Rem",$H$4:$AK$4,"&lt;"&amp;J$4))))</f>
        <v/>
      </c>
      <c r="K140" s="33">
        <f>M139*(1+N(Debts!$D$7)/1200)</f>
        <v/>
      </c>
      <c r="L140" s="33">
        <f>K140-MIN(N(Debts!$E$7),K140)</f>
        <v/>
      </c>
      <c r="M140" s="33">
        <f>IF(L140&lt;=0.005,0,L140-MIN(L140,MAX(0,$E140-SUMIFS(H140:AK140,$H$5:$AK$5,"Rem",$H$4:$AK$4,"&lt;"&amp;M$4))))</f>
        <v/>
      </c>
      <c r="N140" s="33">
        <f>P139*(1+N(Debts!$D$8)/1200)</f>
        <v/>
      </c>
      <c r="O140" s="33">
        <f>N140-MIN(N(Debts!$E$8),N140)</f>
        <v/>
      </c>
      <c r="P140" s="33">
        <f>IF(O140&lt;=0.005,0,O140-MIN(O140,MAX(0,$E140-SUMIFS(H140:AK140,$H$5:$AK$5,"Rem",$H$4:$AK$4,"&lt;"&amp;P$4))))</f>
        <v/>
      </c>
      <c r="Q140" s="33">
        <f>S139*(1+N(Debts!$D$9)/1200)</f>
        <v/>
      </c>
      <c r="R140" s="33">
        <f>Q140-MIN(N(Debts!$E$9),Q140)</f>
        <v/>
      </c>
      <c r="S140" s="33">
        <f>IF(R140&lt;=0.005,0,R140-MIN(R140,MAX(0,$E140-SUMIFS(H140:AK140,$H$5:$AK$5,"Rem",$H$4:$AK$4,"&lt;"&amp;S$4))))</f>
        <v/>
      </c>
      <c r="T140" s="33">
        <f>V139*(1+N(Debts!$D$10)/1200)</f>
        <v/>
      </c>
      <c r="U140" s="33">
        <f>T140-MIN(N(Debts!$E$10),T140)</f>
        <v/>
      </c>
      <c r="V140" s="33">
        <f>IF(U140&lt;=0.005,0,U140-MIN(U140,MAX(0,$E140-SUMIFS(H140:AK140,$H$5:$AK$5,"Rem",$H$4:$AK$4,"&lt;"&amp;V$4))))</f>
        <v/>
      </c>
      <c r="W140" s="33">
        <f>Y139*(1+N(Debts!$D$11)/1200)</f>
        <v/>
      </c>
      <c r="X140" s="33">
        <f>W140-MIN(N(Debts!$E$11),W140)</f>
        <v/>
      </c>
      <c r="Y140" s="33">
        <f>IF(X140&lt;=0.005,0,X140-MIN(X140,MAX(0,$E140-SUMIFS(H140:AK140,$H$5:$AK$5,"Rem",$H$4:$AK$4,"&lt;"&amp;Y$4))))</f>
        <v/>
      </c>
      <c r="Z140" s="33">
        <f>AB139*(1+N(Debts!$D$12)/1200)</f>
        <v/>
      </c>
      <c r="AA140" s="33">
        <f>Z140-MIN(N(Debts!$E$12),Z140)</f>
        <v/>
      </c>
      <c r="AB140" s="33">
        <f>IF(AA140&lt;=0.005,0,AA140-MIN(AA140,MAX(0,$E140-SUMIFS(H140:AK140,$H$5:$AK$5,"Rem",$H$4:$AK$4,"&lt;"&amp;AB$4))))</f>
        <v/>
      </c>
      <c r="AC140" s="33">
        <f>AE139*(1+N(Debts!$D$13)/1200)</f>
        <v/>
      </c>
      <c r="AD140" s="33">
        <f>AC140-MIN(N(Debts!$E$13),AC140)</f>
        <v/>
      </c>
      <c r="AE140" s="33">
        <f>IF(AD140&lt;=0.005,0,AD140-MIN(AD140,MAX(0,$E140-SUMIFS(H140:AK140,$H$5:$AK$5,"Rem",$H$4:$AK$4,"&lt;"&amp;AE$4))))</f>
        <v/>
      </c>
      <c r="AF140" s="33">
        <f>AH139*(1+N(Debts!$D$14)/1200)</f>
        <v/>
      </c>
      <c r="AG140" s="33">
        <f>AF140-MIN(N(Debts!$E$14),AF140)</f>
        <v/>
      </c>
      <c r="AH140" s="33">
        <f>IF(AG140&lt;=0.005,0,AG140-MIN(AG140,MAX(0,$E140-SUMIFS(H140:AK140,$H$5:$AK$5,"Rem",$H$4:$AK$4,"&lt;"&amp;AH$4))))</f>
        <v/>
      </c>
      <c r="AI140" s="33">
        <f>AK139*(1+N(Debts!$D$15)/1200)</f>
        <v/>
      </c>
      <c r="AJ140" s="33">
        <f>AI140-MIN(N(Debts!$E$15),AI140)</f>
        <v/>
      </c>
      <c r="AK140" s="33">
        <f>IF(AJ140&lt;=0.005,0,AJ140-MIN(AJ140,MAX(0,$E140-SUMIFS(H140:AK140,$H$5:$AK$5,"Rem",$H$4:$AK$4,"&lt;"&amp;AK$4))))</f>
        <v/>
      </c>
      <c r="AL140" s="1" t="n"/>
    </row>
    <row r="141">
      <c r="A141" s="1" t="n"/>
      <c r="B141" s="1" t="n">
        <v>134</v>
      </c>
      <c r="C141" s="34">
        <f>EDATE(Debts!$J$13,B141-1)</f>
        <v/>
      </c>
      <c r="D141" s="33">
        <f>IF(G140&lt;=0.005,0,Debts!$E$16+Debts!$J$7)</f>
        <v/>
      </c>
      <c r="E141" s="33">
        <f>MAX(0,D141-(SUMIF($H$5:$AK$5,"Due",H141:AK141)-SUMIF($H$5:$AK$5,"Rem",H141:AK141)))</f>
        <v/>
      </c>
      <c r="F141" s="33">
        <f>SUMIF($H$5:$AK$5,"Due",H141:AK141)-SUMIF($H$5:$AK$5,"Bal",H140:AK140)</f>
        <v/>
      </c>
      <c r="G141" s="33">
        <f>SUMIF($H$5:$AK$5,"Bal",H141:AK141)</f>
        <v/>
      </c>
      <c r="H141" s="33">
        <f>J140*(1+N(Debts!$D$6)/1200)</f>
        <v/>
      </c>
      <c r="I141" s="33">
        <f>H141-MIN(N(Debts!$E$6),H141)</f>
        <v/>
      </c>
      <c r="J141" s="33">
        <f>IF(I141&lt;=0.005,0,I141-MIN(I141,MAX(0,$E141-SUMIFS(H141:AK141,$H$5:$AK$5,"Rem",$H$4:$AK$4,"&lt;"&amp;J$4))))</f>
        <v/>
      </c>
      <c r="K141" s="33">
        <f>M140*(1+N(Debts!$D$7)/1200)</f>
        <v/>
      </c>
      <c r="L141" s="33">
        <f>K141-MIN(N(Debts!$E$7),K141)</f>
        <v/>
      </c>
      <c r="M141" s="33">
        <f>IF(L141&lt;=0.005,0,L141-MIN(L141,MAX(0,$E141-SUMIFS(H141:AK141,$H$5:$AK$5,"Rem",$H$4:$AK$4,"&lt;"&amp;M$4))))</f>
        <v/>
      </c>
      <c r="N141" s="33">
        <f>P140*(1+N(Debts!$D$8)/1200)</f>
        <v/>
      </c>
      <c r="O141" s="33">
        <f>N141-MIN(N(Debts!$E$8),N141)</f>
        <v/>
      </c>
      <c r="P141" s="33">
        <f>IF(O141&lt;=0.005,0,O141-MIN(O141,MAX(0,$E141-SUMIFS(H141:AK141,$H$5:$AK$5,"Rem",$H$4:$AK$4,"&lt;"&amp;P$4))))</f>
        <v/>
      </c>
      <c r="Q141" s="33">
        <f>S140*(1+N(Debts!$D$9)/1200)</f>
        <v/>
      </c>
      <c r="R141" s="33">
        <f>Q141-MIN(N(Debts!$E$9),Q141)</f>
        <v/>
      </c>
      <c r="S141" s="33">
        <f>IF(R141&lt;=0.005,0,R141-MIN(R141,MAX(0,$E141-SUMIFS(H141:AK141,$H$5:$AK$5,"Rem",$H$4:$AK$4,"&lt;"&amp;S$4))))</f>
        <v/>
      </c>
      <c r="T141" s="33">
        <f>V140*(1+N(Debts!$D$10)/1200)</f>
        <v/>
      </c>
      <c r="U141" s="33">
        <f>T141-MIN(N(Debts!$E$10),T141)</f>
        <v/>
      </c>
      <c r="V141" s="33">
        <f>IF(U141&lt;=0.005,0,U141-MIN(U141,MAX(0,$E141-SUMIFS(H141:AK141,$H$5:$AK$5,"Rem",$H$4:$AK$4,"&lt;"&amp;V$4))))</f>
        <v/>
      </c>
      <c r="W141" s="33">
        <f>Y140*(1+N(Debts!$D$11)/1200)</f>
        <v/>
      </c>
      <c r="X141" s="33">
        <f>W141-MIN(N(Debts!$E$11),W141)</f>
        <v/>
      </c>
      <c r="Y141" s="33">
        <f>IF(X141&lt;=0.005,0,X141-MIN(X141,MAX(0,$E141-SUMIFS(H141:AK141,$H$5:$AK$5,"Rem",$H$4:$AK$4,"&lt;"&amp;Y$4))))</f>
        <v/>
      </c>
      <c r="Z141" s="33">
        <f>AB140*(1+N(Debts!$D$12)/1200)</f>
        <v/>
      </c>
      <c r="AA141" s="33">
        <f>Z141-MIN(N(Debts!$E$12),Z141)</f>
        <v/>
      </c>
      <c r="AB141" s="33">
        <f>IF(AA141&lt;=0.005,0,AA141-MIN(AA141,MAX(0,$E141-SUMIFS(H141:AK141,$H$5:$AK$5,"Rem",$H$4:$AK$4,"&lt;"&amp;AB$4))))</f>
        <v/>
      </c>
      <c r="AC141" s="33">
        <f>AE140*(1+N(Debts!$D$13)/1200)</f>
        <v/>
      </c>
      <c r="AD141" s="33">
        <f>AC141-MIN(N(Debts!$E$13),AC141)</f>
        <v/>
      </c>
      <c r="AE141" s="33">
        <f>IF(AD141&lt;=0.005,0,AD141-MIN(AD141,MAX(0,$E141-SUMIFS(H141:AK141,$H$5:$AK$5,"Rem",$H$4:$AK$4,"&lt;"&amp;AE$4))))</f>
        <v/>
      </c>
      <c r="AF141" s="33">
        <f>AH140*(1+N(Debts!$D$14)/1200)</f>
        <v/>
      </c>
      <c r="AG141" s="33">
        <f>AF141-MIN(N(Debts!$E$14),AF141)</f>
        <v/>
      </c>
      <c r="AH141" s="33">
        <f>IF(AG141&lt;=0.005,0,AG141-MIN(AG141,MAX(0,$E141-SUMIFS(H141:AK141,$H$5:$AK$5,"Rem",$H$4:$AK$4,"&lt;"&amp;AH$4))))</f>
        <v/>
      </c>
      <c r="AI141" s="33">
        <f>AK140*(1+N(Debts!$D$15)/1200)</f>
        <v/>
      </c>
      <c r="AJ141" s="33">
        <f>AI141-MIN(N(Debts!$E$15),AI141)</f>
        <v/>
      </c>
      <c r="AK141" s="33">
        <f>IF(AJ141&lt;=0.005,0,AJ141-MIN(AJ141,MAX(0,$E141-SUMIFS(H141:AK141,$H$5:$AK$5,"Rem",$H$4:$AK$4,"&lt;"&amp;AK$4))))</f>
        <v/>
      </c>
      <c r="AL141" s="1" t="n"/>
    </row>
    <row r="142">
      <c r="A142" s="1" t="n"/>
      <c r="B142" s="1" t="n">
        <v>135</v>
      </c>
      <c r="C142" s="34">
        <f>EDATE(Debts!$J$13,B142-1)</f>
        <v/>
      </c>
      <c r="D142" s="33">
        <f>IF(G141&lt;=0.005,0,Debts!$E$16+Debts!$J$7)</f>
        <v/>
      </c>
      <c r="E142" s="33">
        <f>MAX(0,D142-(SUMIF($H$5:$AK$5,"Due",H142:AK142)-SUMIF($H$5:$AK$5,"Rem",H142:AK142)))</f>
        <v/>
      </c>
      <c r="F142" s="33">
        <f>SUMIF($H$5:$AK$5,"Due",H142:AK142)-SUMIF($H$5:$AK$5,"Bal",H141:AK141)</f>
        <v/>
      </c>
      <c r="G142" s="33">
        <f>SUMIF($H$5:$AK$5,"Bal",H142:AK142)</f>
        <v/>
      </c>
      <c r="H142" s="33">
        <f>J141*(1+N(Debts!$D$6)/1200)</f>
        <v/>
      </c>
      <c r="I142" s="33">
        <f>H142-MIN(N(Debts!$E$6),H142)</f>
        <v/>
      </c>
      <c r="J142" s="33">
        <f>IF(I142&lt;=0.005,0,I142-MIN(I142,MAX(0,$E142-SUMIFS(H142:AK142,$H$5:$AK$5,"Rem",$H$4:$AK$4,"&lt;"&amp;J$4))))</f>
        <v/>
      </c>
      <c r="K142" s="33">
        <f>M141*(1+N(Debts!$D$7)/1200)</f>
        <v/>
      </c>
      <c r="L142" s="33">
        <f>K142-MIN(N(Debts!$E$7),K142)</f>
        <v/>
      </c>
      <c r="M142" s="33">
        <f>IF(L142&lt;=0.005,0,L142-MIN(L142,MAX(0,$E142-SUMIFS(H142:AK142,$H$5:$AK$5,"Rem",$H$4:$AK$4,"&lt;"&amp;M$4))))</f>
        <v/>
      </c>
      <c r="N142" s="33">
        <f>P141*(1+N(Debts!$D$8)/1200)</f>
        <v/>
      </c>
      <c r="O142" s="33">
        <f>N142-MIN(N(Debts!$E$8),N142)</f>
        <v/>
      </c>
      <c r="P142" s="33">
        <f>IF(O142&lt;=0.005,0,O142-MIN(O142,MAX(0,$E142-SUMIFS(H142:AK142,$H$5:$AK$5,"Rem",$H$4:$AK$4,"&lt;"&amp;P$4))))</f>
        <v/>
      </c>
      <c r="Q142" s="33">
        <f>S141*(1+N(Debts!$D$9)/1200)</f>
        <v/>
      </c>
      <c r="R142" s="33">
        <f>Q142-MIN(N(Debts!$E$9),Q142)</f>
        <v/>
      </c>
      <c r="S142" s="33">
        <f>IF(R142&lt;=0.005,0,R142-MIN(R142,MAX(0,$E142-SUMIFS(H142:AK142,$H$5:$AK$5,"Rem",$H$4:$AK$4,"&lt;"&amp;S$4))))</f>
        <v/>
      </c>
      <c r="T142" s="33">
        <f>V141*(1+N(Debts!$D$10)/1200)</f>
        <v/>
      </c>
      <c r="U142" s="33">
        <f>T142-MIN(N(Debts!$E$10),T142)</f>
        <v/>
      </c>
      <c r="V142" s="33">
        <f>IF(U142&lt;=0.005,0,U142-MIN(U142,MAX(0,$E142-SUMIFS(H142:AK142,$H$5:$AK$5,"Rem",$H$4:$AK$4,"&lt;"&amp;V$4))))</f>
        <v/>
      </c>
      <c r="W142" s="33">
        <f>Y141*(1+N(Debts!$D$11)/1200)</f>
        <v/>
      </c>
      <c r="X142" s="33">
        <f>W142-MIN(N(Debts!$E$11),W142)</f>
        <v/>
      </c>
      <c r="Y142" s="33">
        <f>IF(X142&lt;=0.005,0,X142-MIN(X142,MAX(0,$E142-SUMIFS(H142:AK142,$H$5:$AK$5,"Rem",$H$4:$AK$4,"&lt;"&amp;Y$4))))</f>
        <v/>
      </c>
      <c r="Z142" s="33">
        <f>AB141*(1+N(Debts!$D$12)/1200)</f>
        <v/>
      </c>
      <c r="AA142" s="33">
        <f>Z142-MIN(N(Debts!$E$12),Z142)</f>
        <v/>
      </c>
      <c r="AB142" s="33">
        <f>IF(AA142&lt;=0.005,0,AA142-MIN(AA142,MAX(0,$E142-SUMIFS(H142:AK142,$H$5:$AK$5,"Rem",$H$4:$AK$4,"&lt;"&amp;AB$4))))</f>
        <v/>
      </c>
      <c r="AC142" s="33">
        <f>AE141*(1+N(Debts!$D$13)/1200)</f>
        <v/>
      </c>
      <c r="AD142" s="33">
        <f>AC142-MIN(N(Debts!$E$13),AC142)</f>
        <v/>
      </c>
      <c r="AE142" s="33">
        <f>IF(AD142&lt;=0.005,0,AD142-MIN(AD142,MAX(0,$E142-SUMIFS(H142:AK142,$H$5:$AK$5,"Rem",$H$4:$AK$4,"&lt;"&amp;AE$4))))</f>
        <v/>
      </c>
      <c r="AF142" s="33">
        <f>AH141*(1+N(Debts!$D$14)/1200)</f>
        <v/>
      </c>
      <c r="AG142" s="33">
        <f>AF142-MIN(N(Debts!$E$14),AF142)</f>
        <v/>
      </c>
      <c r="AH142" s="33">
        <f>IF(AG142&lt;=0.005,0,AG142-MIN(AG142,MAX(0,$E142-SUMIFS(H142:AK142,$H$5:$AK$5,"Rem",$H$4:$AK$4,"&lt;"&amp;AH$4))))</f>
        <v/>
      </c>
      <c r="AI142" s="33">
        <f>AK141*(1+N(Debts!$D$15)/1200)</f>
        <v/>
      </c>
      <c r="AJ142" s="33">
        <f>AI142-MIN(N(Debts!$E$15),AI142)</f>
        <v/>
      </c>
      <c r="AK142" s="33">
        <f>IF(AJ142&lt;=0.005,0,AJ142-MIN(AJ142,MAX(0,$E142-SUMIFS(H142:AK142,$H$5:$AK$5,"Rem",$H$4:$AK$4,"&lt;"&amp;AK$4))))</f>
        <v/>
      </c>
      <c r="AL142" s="1" t="n"/>
    </row>
    <row r="143">
      <c r="A143" s="1" t="n"/>
      <c r="B143" s="1" t="n">
        <v>136</v>
      </c>
      <c r="C143" s="34">
        <f>EDATE(Debts!$J$13,B143-1)</f>
        <v/>
      </c>
      <c r="D143" s="33">
        <f>IF(G142&lt;=0.005,0,Debts!$E$16+Debts!$J$7)</f>
        <v/>
      </c>
      <c r="E143" s="33">
        <f>MAX(0,D143-(SUMIF($H$5:$AK$5,"Due",H143:AK143)-SUMIF($H$5:$AK$5,"Rem",H143:AK143)))</f>
        <v/>
      </c>
      <c r="F143" s="33">
        <f>SUMIF($H$5:$AK$5,"Due",H143:AK143)-SUMIF($H$5:$AK$5,"Bal",H142:AK142)</f>
        <v/>
      </c>
      <c r="G143" s="33">
        <f>SUMIF($H$5:$AK$5,"Bal",H143:AK143)</f>
        <v/>
      </c>
      <c r="H143" s="33">
        <f>J142*(1+N(Debts!$D$6)/1200)</f>
        <v/>
      </c>
      <c r="I143" s="33">
        <f>H143-MIN(N(Debts!$E$6),H143)</f>
        <v/>
      </c>
      <c r="J143" s="33">
        <f>IF(I143&lt;=0.005,0,I143-MIN(I143,MAX(0,$E143-SUMIFS(H143:AK143,$H$5:$AK$5,"Rem",$H$4:$AK$4,"&lt;"&amp;J$4))))</f>
        <v/>
      </c>
      <c r="K143" s="33">
        <f>M142*(1+N(Debts!$D$7)/1200)</f>
        <v/>
      </c>
      <c r="L143" s="33">
        <f>K143-MIN(N(Debts!$E$7),K143)</f>
        <v/>
      </c>
      <c r="M143" s="33">
        <f>IF(L143&lt;=0.005,0,L143-MIN(L143,MAX(0,$E143-SUMIFS(H143:AK143,$H$5:$AK$5,"Rem",$H$4:$AK$4,"&lt;"&amp;M$4))))</f>
        <v/>
      </c>
      <c r="N143" s="33">
        <f>P142*(1+N(Debts!$D$8)/1200)</f>
        <v/>
      </c>
      <c r="O143" s="33">
        <f>N143-MIN(N(Debts!$E$8),N143)</f>
        <v/>
      </c>
      <c r="P143" s="33">
        <f>IF(O143&lt;=0.005,0,O143-MIN(O143,MAX(0,$E143-SUMIFS(H143:AK143,$H$5:$AK$5,"Rem",$H$4:$AK$4,"&lt;"&amp;P$4))))</f>
        <v/>
      </c>
      <c r="Q143" s="33">
        <f>S142*(1+N(Debts!$D$9)/1200)</f>
        <v/>
      </c>
      <c r="R143" s="33">
        <f>Q143-MIN(N(Debts!$E$9),Q143)</f>
        <v/>
      </c>
      <c r="S143" s="33">
        <f>IF(R143&lt;=0.005,0,R143-MIN(R143,MAX(0,$E143-SUMIFS(H143:AK143,$H$5:$AK$5,"Rem",$H$4:$AK$4,"&lt;"&amp;S$4))))</f>
        <v/>
      </c>
      <c r="T143" s="33">
        <f>V142*(1+N(Debts!$D$10)/1200)</f>
        <v/>
      </c>
      <c r="U143" s="33">
        <f>T143-MIN(N(Debts!$E$10),T143)</f>
        <v/>
      </c>
      <c r="V143" s="33">
        <f>IF(U143&lt;=0.005,0,U143-MIN(U143,MAX(0,$E143-SUMIFS(H143:AK143,$H$5:$AK$5,"Rem",$H$4:$AK$4,"&lt;"&amp;V$4))))</f>
        <v/>
      </c>
      <c r="W143" s="33">
        <f>Y142*(1+N(Debts!$D$11)/1200)</f>
        <v/>
      </c>
      <c r="X143" s="33">
        <f>W143-MIN(N(Debts!$E$11),W143)</f>
        <v/>
      </c>
      <c r="Y143" s="33">
        <f>IF(X143&lt;=0.005,0,X143-MIN(X143,MAX(0,$E143-SUMIFS(H143:AK143,$H$5:$AK$5,"Rem",$H$4:$AK$4,"&lt;"&amp;Y$4))))</f>
        <v/>
      </c>
      <c r="Z143" s="33">
        <f>AB142*(1+N(Debts!$D$12)/1200)</f>
        <v/>
      </c>
      <c r="AA143" s="33">
        <f>Z143-MIN(N(Debts!$E$12),Z143)</f>
        <v/>
      </c>
      <c r="AB143" s="33">
        <f>IF(AA143&lt;=0.005,0,AA143-MIN(AA143,MAX(0,$E143-SUMIFS(H143:AK143,$H$5:$AK$5,"Rem",$H$4:$AK$4,"&lt;"&amp;AB$4))))</f>
        <v/>
      </c>
      <c r="AC143" s="33">
        <f>AE142*(1+N(Debts!$D$13)/1200)</f>
        <v/>
      </c>
      <c r="AD143" s="33">
        <f>AC143-MIN(N(Debts!$E$13),AC143)</f>
        <v/>
      </c>
      <c r="AE143" s="33">
        <f>IF(AD143&lt;=0.005,0,AD143-MIN(AD143,MAX(0,$E143-SUMIFS(H143:AK143,$H$5:$AK$5,"Rem",$H$4:$AK$4,"&lt;"&amp;AE$4))))</f>
        <v/>
      </c>
      <c r="AF143" s="33">
        <f>AH142*(1+N(Debts!$D$14)/1200)</f>
        <v/>
      </c>
      <c r="AG143" s="33">
        <f>AF143-MIN(N(Debts!$E$14),AF143)</f>
        <v/>
      </c>
      <c r="AH143" s="33">
        <f>IF(AG143&lt;=0.005,0,AG143-MIN(AG143,MAX(0,$E143-SUMIFS(H143:AK143,$H$5:$AK$5,"Rem",$H$4:$AK$4,"&lt;"&amp;AH$4))))</f>
        <v/>
      </c>
      <c r="AI143" s="33">
        <f>AK142*(1+N(Debts!$D$15)/1200)</f>
        <v/>
      </c>
      <c r="AJ143" s="33">
        <f>AI143-MIN(N(Debts!$E$15),AI143)</f>
        <v/>
      </c>
      <c r="AK143" s="33">
        <f>IF(AJ143&lt;=0.005,0,AJ143-MIN(AJ143,MAX(0,$E143-SUMIFS(H143:AK143,$H$5:$AK$5,"Rem",$H$4:$AK$4,"&lt;"&amp;AK$4))))</f>
        <v/>
      </c>
      <c r="AL143" s="1" t="n"/>
    </row>
    <row r="144">
      <c r="A144" s="1" t="n"/>
      <c r="B144" s="1" t="n">
        <v>137</v>
      </c>
      <c r="C144" s="34">
        <f>EDATE(Debts!$J$13,B144-1)</f>
        <v/>
      </c>
      <c r="D144" s="33">
        <f>IF(G143&lt;=0.005,0,Debts!$E$16+Debts!$J$7)</f>
        <v/>
      </c>
      <c r="E144" s="33">
        <f>MAX(0,D144-(SUMIF($H$5:$AK$5,"Due",H144:AK144)-SUMIF($H$5:$AK$5,"Rem",H144:AK144)))</f>
        <v/>
      </c>
      <c r="F144" s="33">
        <f>SUMIF($H$5:$AK$5,"Due",H144:AK144)-SUMIF($H$5:$AK$5,"Bal",H143:AK143)</f>
        <v/>
      </c>
      <c r="G144" s="33">
        <f>SUMIF($H$5:$AK$5,"Bal",H144:AK144)</f>
        <v/>
      </c>
      <c r="H144" s="33">
        <f>J143*(1+N(Debts!$D$6)/1200)</f>
        <v/>
      </c>
      <c r="I144" s="33">
        <f>H144-MIN(N(Debts!$E$6),H144)</f>
        <v/>
      </c>
      <c r="J144" s="33">
        <f>IF(I144&lt;=0.005,0,I144-MIN(I144,MAX(0,$E144-SUMIFS(H144:AK144,$H$5:$AK$5,"Rem",$H$4:$AK$4,"&lt;"&amp;J$4))))</f>
        <v/>
      </c>
      <c r="K144" s="33">
        <f>M143*(1+N(Debts!$D$7)/1200)</f>
        <v/>
      </c>
      <c r="L144" s="33">
        <f>K144-MIN(N(Debts!$E$7),K144)</f>
        <v/>
      </c>
      <c r="M144" s="33">
        <f>IF(L144&lt;=0.005,0,L144-MIN(L144,MAX(0,$E144-SUMIFS(H144:AK144,$H$5:$AK$5,"Rem",$H$4:$AK$4,"&lt;"&amp;M$4))))</f>
        <v/>
      </c>
      <c r="N144" s="33">
        <f>P143*(1+N(Debts!$D$8)/1200)</f>
        <v/>
      </c>
      <c r="O144" s="33">
        <f>N144-MIN(N(Debts!$E$8),N144)</f>
        <v/>
      </c>
      <c r="P144" s="33">
        <f>IF(O144&lt;=0.005,0,O144-MIN(O144,MAX(0,$E144-SUMIFS(H144:AK144,$H$5:$AK$5,"Rem",$H$4:$AK$4,"&lt;"&amp;P$4))))</f>
        <v/>
      </c>
      <c r="Q144" s="33">
        <f>S143*(1+N(Debts!$D$9)/1200)</f>
        <v/>
      </c>
      <c r="R144" s="33">
        <f>Q144-MIN(N(Debts!$E$9),Q144)</f>
        <v/>
      </c>
      <c r="S144" s="33">
        <f>IF(R144&lt;=0.005,0,R144-MIN(R144,MAX(0,$E144-SUMIFS(H144:AK144,$H$5:$AK$5,"Rem",$H$4:$AK$4,"&lt;"&amp;S$4))))</f>
        <v/>
      </c>
      <c r="T144" s="33">
        <f>V143*(1+N(Debts!$D$10)/1200)</f>
        <v/>
      </c>
      <c r="U144" s="33">
        <f>T144-MIN(N(Debts!$E$10),T144)</f>
        <v/>
      </c>
      <c r="V144" s="33">
        <f>IF(U144&lt;=0.005,0,U144-MIN(U144,MAX(0,$E144-SUMIFS(H144:AK144,$H$5:$AK$5,"Rem",$H$4:$AK$4,"&lt;"&amp;V$4))))</f>
        <v/>
      </c>
      <c r="W144" s="33">
        <f>Y143*(1+N(Debts!$D$11)/1200)</f>
        <v/>
      </c>
      <c r="X144" s="33">
        <f>W144-MIN(N(Debts!$E$11),W144)</f>
        <v/>
      </c>
      <c r="Y144" s="33">
        <f>IF(X144&lt;=0.005,0,X144-MIN(X144,MAX(0,$E144-SUMIFS(H144:AK144,$H$5:$AK$5,"Rem",$H$4:$AK$4,"&lt;"&amp;Y$4))))</f>
        <v/>
      </c>
      <c r="Z144" s="33">
        <f>AB143*(1+N(Debts!$D$12)/1200)</f>
        <v/>
      </c>
      <c r="AA144" s="33">
        <f>Z144-MIN(N(Debts!$E$12),Z144)</f>
        <v/>
      </c>
      <c r="AB144" s="33">
        <f>IF(AA144&lt;=0.005,0,AA144-MIN(AA144,MAX(0,$E144-SUMIFS(H144:AK144,$H$5:$AK$5,"Rem",$H$4:$AK$4,"&lt;"&amp;AB$4))))</f>
        <v/>
      </c>
      <c r="AC144" s="33">
        <f>AE143*(1+N(Debts!$D$13)/1200)</f>
        <v/>
      </c>
      <c r="AD144" s="33">
        <f>AC144-MIN(N(Debts!$E$13),AC144)</f>
        <v/>
      </c>
      <c r="AE144" s="33">
        <f>IF(AD144&lt;=0.005,0,AD144-MIN(AD144,MAX(0,$E144-SUMIFS(H144:AK144,$H$5:$AK$5,"Rem",$H$4:$AK$4,"&lt;"&amp;AE$4))))</f>
        <v/>
      </c>
      <c r="AF144" s="33">
        <f>AH143*(1+N(Debts!$D$14)/1200)</f>
        <v/>
      </c>
      <c r="AG144" s="33">
        <f>AF144-MIN(N(Debts!$E$14),AF144)</f>
        <v/>
      </c>
      <c r="AH144" s="33">
        <f>IF(AG144&lt;=0.005,0,AG144-MIN(AG144,MAX(0,$E144-SUMIFS(H144:AK144,$H$5:$AK$5,"Rem",$H$4:$AK$4,"&lt;"&amp;AH$4))))</f>
        <v/>
      </c>
      <c r="AI144" s="33">
        <f>AK143*(1+N(Debts!$D$15)/1200)</f>
        <v/>
      </c>
      <c r="AJ144" s="33">
        <f>AI144-MIN(N(Debts!$E$15),AI144)</f>
        <v/>
      </c>
      <c r="AK144" s="33">
        <f>IF(AJ144&lt;=0.005,0,AJ144-MIN(AJ144,MAX(0,$E144-SUMIFS(H144:AK144,$H$5:$AK$5,"Rem",$H$4:$AK$4,"&lt;"&amp;AK$4))))</f>
        <v/>
      </c>
      <c r="AL144" s="1" t="n"/>
    </row>
    <row r="145">
      <c r="A145" s="1" t="n"/>
      <c r="B145" s="1" t="n">
        <v>138</v>
      </c>
      <c r="C145" s="34">
        <f>EDATE(Debts!$J$13,B145-1)</f>
        <v/>
      </c>
      <c r="D145" s="33">
        <f>IF(G144&lt;=0.005,0,Debts!$E$16+Debts!$J$7)</f>
        <v/>
      </c>
      <c r="E145" s="33">
        <f>MAX(0,D145-(SUMIF($H$5:$AK$5,"Due",H145:AK145)-SUMIF($H$5:$AK$5,"Rem",H145:AK145)))</f>
        <v/>
      </c>
      <c r="F145" s="33">
        <f>SUMIF($H$5:$AK$5,"Due",H145:AK145)-SUMIF($H$5:$AK$5,"Bal",H144:AK144)</f>
        <v/>
      </c>
      <c r="G145" s="33">
        <f>SUMIF($H$5:$AK$5,"Bal",H145:AK145)</f>
        <v/>
      </c>
      <c r="H145" s="33">
        <f>J144*(1+N(Debts!$D$6)/1200)</f>
        <v/>
      </c>
      <c r="I145" s="33">
        <f>H145-MIN(N(Debts!$E$6),H145)</f>
        <v/>
      </c>
      <c r="J145" s="33">
        <f>IF(I145&lt;=0.005,0,I145-MIN(I145,MAX(0,$E145-SUMIFS(H145:AK145,$H$5:$AK$5,"Rem",$H$4:$AK$4,"&lt;"&amp;J$4))))</f>
        <v/>
      </c>
      <c r="K145" s="33">
        <f>M144*(1+N(Debts!$D$7)/1200)</f>
        <v/>
      </c>
      <c r="L145" s="33">
        <f>K145-MIN(N(Debts!$E$7),K145)</f>
        <v/>
      </c>
      <c r="M145" s="33">
        <f>IF(L145&lt;=0.005,0,L145-MIN(L145,MAX(0,$E145-SUMIFS(H145:AK145,$H$5:$AK$5,"Rem",$H$4:$AK$4,"&lt;"&amp;M$4))))</f>
        <v/>
      </c>
      <c r="N145" s="33">
        <f>P144*(1+N(Debts!$D$8)/1200)</f>
        <v/>
      </c>
      <c r="O145" s="33">
        <f>N145-MIN(N(Debts!$E$8),N145)</f>
        <v/>
      </c>
      <c r="P145" s="33">
        <f>IF(O145&lt;=0.005,0,O145-MIN(O145,MAX(0,$E145-SUMIFS(H145:AK145,$H$5:$AK$5,"Rem",$H$4:$AK$4,"&lt;"&amp;P$4))))</f>
        <v/>
      </c>
      <c r="Q145" s="33">
        <f>S144*(1+N(Debts!$D$9)/1200)</f>
        <v/>
      </c>
      <c r="R145" s="33">
        <f>Q145-MIN(N(Debts!$E$9),Q145)</f>
        <v/>
      </c>
      <c r="S145" s="33">
        <f>IF(R145&lt;=0.005,0,R145-MIN(R145,MAX(0,$E145-SUMIFS(H145:AK145,$H$5:$AK$5,"Rem",$H$4:$AK$4,"&lt;"&amp;S$4))))</f>
        <v/>
      </c>
      <c r="T145" s="33">
        <f>V144*(1+N(Debts!$D$10)/1200)</f>
        <v/>
      </c>
      <c r="U145" s="33">
        <f>T145-MIN(N(Debts!$E$10),T145)</f>
        <v/>
      </c>
      <c r="V145" s="33">
        <f>IF(U145&lt;=0.005,0,U145-MIN(U145,MAX(0,$E145-SUMIFS(H145:AK145,$H$5:$AK$5,"Rem",$H$4:$AK$4,"&lt;"&amp;V$4))))</f>
        <v/>
      </c>
      <c r="W145" s="33">
        <f>Y144*(1+N(Debts!$D$11)/1200)</f>
        <v/>
      </c>
      <c r="X145" s="33">
        <f>W145-MIN(N(Debts!$E$11),W145)</f>
        <v/>
      </c>
      <c r="Y145" s="33">
        <f>IF(X145&lt;=0.005,0,X145-MIN(X145,MAX(0,$E145-SUMIFS(H145:AK145,$H$5:$AK$5,"Rem",$H$4:$AK$4,"&lt;"&amp;Y$4))))</f>
        <v/>
      </c>
      <c r="Z145" s="33">
        <f>AB144*(1+N(Debts!$D$12)/1200)</f>
        <v/>
      </c>
      <c r="AA145" s="33">
        <f>Z145-MIN(N(Debts!$E$12),Z145)</f>
        <v/>
      </c>
      <c r="AB145" s="33">
        <f>IF(AA145&lt;=0.005,0,AA145-MIN(AA145,MAX(0,$E145-SUMIFS(H145:AK145,$H$5:$AK$5,"Rem",$H$4:$AK$4,"&lt;"&amp;AB$4))))</f>
        <v/>
      </c>
      <c r="AC145" s="33">
        <f>AE144*(1+N(Debts!$D$13)/1200)</f>
        <v/>
      </c>
      <c r="AD145" s="33">
        <f>AC145-MIN(N(Debts!$E$13),AC145)</f>
        <v/>
      </c>
      <c r="AE145" s="33">
        <f>IF(AD145&lt;=0.005,0,AD145-MIN(AD145,MAX(0,$E145-SUMIFS(H145:AK145,$H$5:$AK$5,"Rem",$H$4:$AK$4,"&lt;"&amp;AE$4))))</f>
        <v/>
      </c>
      <c r="AF145" s="33">
        <f>AH144*(1+N(Debts!$D$14)/1200)</f>
        <v/>
      </c>
      <c r="AG145" s="33">
        <f>AF145-MIN(N(Debts!$E$14),AF145)</f>
        <v/>
      </c>
      <c r="AH145" s="33">
        <f>IF(AG145&lt;=0.005,0,AG145-MIN(AG145,MAX(0,$E145-SUMIFS(H145:AK145,$H$5:$AK$5,"Rem",$H$4:$AK$4,"&lt;"&amp;AH$4))))</f>
        <v/>
      </c>
      <c r="AI145" s="33">
        <f>AK144*(1+N(Debts!$D$15)/1200)</f>
        <v/>
      </c>
      <c r="AJ145" s="33">
        <f>AI145-MIN(N(Debts!$E$15),AI145)</f>
        <v/>
      </c>
      <c r="AK145" s="33">
        <f>IF(AJ145&lt;=0.005,0,AJ145-MIN(AJ145,MAX(0,$E145-SUMIFS(H145:AK145,$H$5:$AK$5,"Rem",$H$4:$AK$4,"&lt;"&amp;AK$4))))</f>
        <v/>
      </c>
      <c r="AL145" s="1" t="n"/>
    </row>
    <row r="146">
      <c r="A146" s="1" t="n"/>
      <c r="B146" s="1" t="n">
        <v>139</v>
      </c>
      <c r="C146" s="34">
        <f>EDATE(Debts!$J$13,B146-1)</f>
        <v/>
      </c>
      <c r="D146" s="33">
        <f>IF(G145&lt;=0.005,0,Debts!$E$16+Debts!$J$7)</f>
        <v/>
      </c>
      <c r="E146" s="33">
        <f>MAX(0,D146-(SUMIF($H$5:$AK$5,"Due",H146:AK146)-SUMIF($H$5:$AK$5,"Rem",H146:AK146)))</f>
        <v/>
      </c>
      <c r="F146" s="33">
        <f>SUMIF($H$5:$AK$5,"Due",H146:AK146)-SUMIF($H$5:$AK$5,"Bal",H145:AK145)</f>
        <v/>
      </c>
      <c r="G146" s="33">
        <f>SUMIF($H$5:$AK$5,"Bal",H146:AK146)</f>
        <v/>
      </c>
      <c r="H146" s="33">
        <f>J145*(1+N(Debts!$D$6)/1200)</f>
        <v/>
      </c>
      <c r="I146" s="33">
        <f>H146-MIN(N(Debts!$E$6),H146)</f>
        <v/>
      </c>
      <c r="J146" s="33">
        <f>IF(I146&lt;=0.005,0,I146-MIN(I146,MAX(0,$E146-SUMIFS(H146:AK146,$H$5:$AK$5,"Rem",$H$4:$AK$4,"&lt;"&amp;J$4))))</f>
        <v/>
      </c>
      <c r="K146" s="33">
        <f>M145*(1+N(Debts!$D$7)/1200)</f>
        <v/>
      </c>
      <c r="L146" s="33">
        <f>K146-MIN(N(Debts!$E$7),K146)</f>
        <v/>
      </c>
      <c r="M146" s="33">
        <f>IF(L146&lt;=0.005,0,L146-MIN(L146,MAX(0,$E146-SUMIFS(H146:AK146,$H$5:$AK$5,"Rem",$H$4:$AK$4,"&lt;"&amp;M$4))))</f>
        <v/>
      </c>
      <c r="N146" s="33">
        <f>P145*(1+N(Debts!$D$8)/1200)</f>
        <v/>
      </c>
      <c r="O146" s="33">
        <f>N146-MIN(N(Debts!$E$8),N146)</f>
        <v/>
      </c>
      <c r="P146" s="33">
        <f>IF(O146&lt;=0.005,0,O146-MIN(O146,MAX(0,$E146-SUMIFS(H146:AK146,$H$5:$AK$5,"Rem",$H$4:$AK$4,"&lt;"&amp;P$4))))</f>
        <v/>
      </c>
      <c r="Q146" s="33">
        <f>S145*(1+N(Debts!$D$9)/1200)</f>
        <v/>
      </c>
      <c r="R146" s="33">
        <f>Q146-MIN(N(Debts!$E$9),Q146)</f>
        <v/>
      </c>
      <c r="S146" s="33">
        <f>IF(R146&lt;=0.005,0,R146-MIN(R146,MAX(0,$E146-SUMIFS(H146:AK146,$H$5:$AK$5,"Rem",$H$4:$AK$4,"&lt;"&amp;S$4))))</f>
        <v/>
      </c>
      <c r="T146" s="33">
        <f>V145*(1+N(Debts!$D$10)/1200)</f>
        <v/>
      </c>
      <c r="U146" s="33">
        <f>T146-MIN(N(Debts!$E$10),T146)</f>
        <v/>
      </c>
      <c r="V146" s="33">
        <f>IF(U146&lt;=0.005,0,U146-MIN(U146,MAX(0,$E146-SUMIFS(H146:AK146,$H$5:$AK$5,"Rem",$H$4:$AK$4,"&lt;"&amp;V$4))))</f>
        <v/>
      </c>
      <c r="W146" s="33">
        <f>Y145*(1+N(Debts!$D$11)/1200)</f>
        <v/>
      </c>
      <c r="X146" s="33">
        <f>W146-MIN(N(Debts!$E$11),W146)</f>
        <v/>
      </c>
      <c r="Y146" s="33">
        <f>IF(X146&lt;=0.005,0,X146-MIN(X146,MAX(0,$E146-SUMIFS(H146:AK146,$H$5:$AK$5,"Rem",$H$4:$AK$4,"&lt;"&amp;Y$4))))</f>
        <v/>
      </c>
      <c r="Z146" s="33">
        <f>AB145*(1+N(Debts!$D$12)/1200)</f>
        <v/>
      </c>
      <c r="AA146" s="33">
        <f>Z146-MIN(N(Debts!$E$12),Z146)</f>
        <v/>
      </c>
      <c r="AB146" s="33">
        <f>IF(AA146&lt;=0.005,0,AA146-MIN(AA146,MAX(0,$E146-SUMIFS(H146:AK146,$H$5:$AK$5,"Rem",$H$4:$AK$4,"&lt;"&amp;AB$4))))</f>
        <v/>
      </c>
      <c r="AC146" s="33">
        <f>AE145*(1+N(Debts!$D$13)/1200)</f>
        <v/>
      </c>
      <c r="AD146" s="33">
        <f>AC146-MIN(N(Debts!$E$13),AC146)</f>
        <v/>
      </c>
      <c r="AE146" s="33">
        <f>IF(AD146&lt;=0.005,0,AD146-MIN(AD146,MAX(0,$E146-SUMIFS(H146:AK146,$H$5:$AK$5,"Rem",$H$4:$AK$4,"&lt;"&amp;AE$4))))</f>
        <v/>
      </c>
      <c r="AF146" s="33">
        <f>AH145*(1+N(Debts!$D$14)/1200)</f>
        <v/>
      </c>
      <c r="AG146" s="33">
        <f>AF146-MIN(N(Debts!$E$14),AF146)</f>
        <v/>
      </c>
      <c r="AH146" s="33">
        <f>IF(AG146&lt;=0.005,0,AG146-MIN(AG146,MAX(0,$E146-SUMIFS(H146:AK146,$H$5:$AK$5,"Rem",$H$4:$AK$4,"&lt;"&amp;AH$4))))</f>
        <v/>
      </c>
      <c r="AI146" s="33">
        <f>AK145*(1+N(Debts!$D$15)/1200)</f>
        <v/>
      </c>
      <c r="AJ146" s="33">
        <f>AI146-MIN(N(Debts!$E$15),AI146)</f>
        <v/>
      </c>
      <c r="AK146" s="33">
        <f>IF(AJ146&lt;=0.005,0,AJ146-MIN(AJ146,MAX(0,$E146-SUMIFS(H146:AK146,$H$5:$AK$5,"Rem",$H$4:$AK$4,"&lt;"&amp;AK$4))))</f>
        <v/>
      </c>
      <c r="AL146" s="1" t="n"/>
    </row>
    <row r="147">
      <c r="A147" s="1" t="n"/>
      <c r="B147" s="1" t="n">
        <v>140</v>
      </c>
      <c r="C147" s="34">
        <f>EDATE(Debts!$J$13,B147-1)</f>
        <v/>
      </c>
      <c r="D147" s="33">
        <f>IF(G146&lt;=0.005,0,Debts!$E$16+Debts!$J$7)</f>
        <v/>
      </c>
      <c r="E147" s="33">
        <f>MAX(0,D147-(SUMIF($H$5:$AK$5,"Due",H147:AK147)-SUMIF($H$5:$AK$5,"Rem",H147:AK147)))</f>
        <v/>
      </c>
      <c r="F147" s="33">
        <f>SUMIF($H$5:$AK$5,"Due",H147:AK147)-SUMIF($H$5:$AK$5,"Bal",H146:AK146)</f>
        <v/>
      </c>
      <c r="G147" s="33">
        <f>SUMIF($H$5:$AK$5,"Bal",H147:AK147)</f>
        <v/>
      </c>
      <c r="H147" s="33">
        <f>J146*(1+N(Debts!$D$6)/1200)</f>
        <v/>
      </c>
      <c r="I147" s="33">
        <f>H147-MIN(N(Debts!$E$6),H147)</f>
        <v/>
      </c>
      <c r="J147" s="33">
        <f>IF(I147&lt;=0.005,0,I147-MIN(I147,MAX(0,$E147-SUMIFS(H147:AK147,$H$5:$AK$5,"Rem",$H$4:$AK$4,"&lt;"&amp;J$4))))</f>
        <v/>
      </c>
      <c r="K147" s="33">
        <f>M146*(1+N(Debts!$D$7)/1200)</f>
        <v/>
      </c>
      <c r="L147" s="33">
        <f>K147-MIN(N(Debts!$E$7),K147)</f>
        <v/>
      </c>
      <c r="M147" s="33">
        <f>IF(L147&lt;=0.005,0,L147-MIN(L147,MAX(0,$E147-SUMIFS(H147:AK147,$H$5:$AK$5,"Rem",$H$4:$AK$4,"&lt;"&amp;M$4))))</f>
        <v/>
      </c>
      <c r="N147" s="33">
        <f>P146*(1+N(Debts!$D$8)/1200)</f>
        <v/>
      </c>
      <c r="O147" s="33">
        <f>N147-MIN(N(Debts!$E$8),N147)</f>
        <v/>
      </c>
      <c r="P147" s="33">
        <f>IF(O147&lt;=0.005,0,O147-MIN(O147,MAX(0,$E147-SUMIFS(H147:AK147,$H$5:$AK$5,"Rem",$H$4:$AK$4,"&lt;"&amp;P$4))))</f>
        <v/>
      </c>
      <c r="Q147" s="33">
        <f>S146*(1+N(Debts!$D$9)/1200)</f>
        <v/>
      </c>
      <c r="R147" s="33">
        <f>Q147-MIN(N(Debts!$E$9),Q147)</f>
        <v/>
      </c>
      <c r="S147" s="33">
        <f>IF(R147&lt;=0.005,0,R147-MIN(R147,MAX(0,$E147-SUMIFS(H147:AK147,$H$5:$AK$5,"Rem",$H$4:$AK$4,"&lt;"&amp;S$4))))</f>
        <v/>
      </c>
      <c r="T147" s="33">
        <f>V146*(1+N(Debts!$D$10)/1200)</f>
        <v/>
      </c>
      <c r="U147" s="33">
        <f>T147-MIN(N(Debts!$E$10),T147)</f>
        <v/>
      </c>
      <c r="V147" s="33">
        <f>IF(U147&lt;=0.005,0,U147-MIN(U147,MAX(0,$E147-SUMIFS(H147:AK147,$H$5:$AK$5,"Rem",$H$4:$AK$4,"&lt;"&amp;V$4))))</f>
        <v/>
      </c>
      <c r="W147" s="33">
        <f>Y146*(1+N(Debts!$D$11)/1200)</f>
        <v/>
      </c>
      <c r="X147" s="33">
        <f>W147-MIN(N(Debts!$E$11),W147)</f>
        <v/>
      </c>
      <c r="Y147" s="33">
        <f>IF(X147&lt;=0.005,0,X147-MIN(X147,MAX(0,$E147-SUMIFS(H147:AK147,$H$5:$AK$5,"Rem",$H$4:$AK$4,"&lt;"&amp;Y$4))))</f>
        <v/>
      </c>
      <c r="Z147" s="33">
        <f>AB146*(1+N(Debts!$D$12)/1200)</f>
        <v/>
      </c>
      <c r="AA147" s="33">
        <f>Z147-MIN(N(Debts!$E$12),Z147)</f>
        <v/>
      </c>
      <c r="AB147" s="33">
        <f>IF(AA147&lt;=0.005,0,AA147-MIN(AA147,MAX(0,$E147-SUMIFS(H147:AK147,$H$5:$AK$5,"Rem",$H$4:$AK$4,"&lt;"&amp;AB$4))))</f>
        <v/>
      </c>
      <c r="AC147" s="33">
        <f>AE146*(1+N(Debts!$D$13)/1200)</f>
        <v/>
      </c>
      <c r="AD147" s="33">
        <f>AC147-MIN(N(Debts!$E$13),AC147)</f>
        <v/>
      </c>
      <c r="AE147" s="33">
        <f>IF(AD147&lt;=0.005,0,AD147-MIN(AD147,MAX(0,$E147-SUMIFS(H147:AK147,$H$5:$AK$5,"Rem",$H$4:$AK$4,"&lt;"&amp;AE$4))))</f>
        <v/>
      </c>
      <c r="AF147" s="33">
        <f>AH146*(1+N(Debts!$D$14)/1200)</f>
        <v/>
      </c>
      <c r="AG147" s="33">
        <f>AF147-MIN(N(Debts!$E$14),AF147)</f>
        <v/>
      </c>
      <c r="AH147" s="33">
        <f>IF(AG147&lt;=0.005,0,AG147-MIN(AG147,MAX(0,$E147-SUMIFS(H147:AK147,$H$5:$AK$5,"Rem",$H$4:$AK$4,"&lt;"&amp;AH$4))))</f>
        <v/>
      </c>
      <c r="AI147" s="33">
        <f>AK146*(1+N(Debts!$D$15)/1200)</f>
        <v/>
      </c>
      <c r="AJ147" s="33">
        <f>AI147-MIN(N(Debts!$E$15),AI147)</f>
        <v/>
      </c>
      <c r="AK147" s="33">
        <f>IF(AJ147&lt;=0.005,0,AJ147-MIN(AJ147,MAX(0,$E147-SUMIFS(H147:AK147,$H$5:$AK$5,"Rem",$H$4:$AK$4,"&lt;"&amp;AK$4))))</f>
        <v/>
      </c>
      <c r="AL147" s="1" t="n"/>
    </row>
    <row r="148">
      <c r="A148" s="1" t="n"/>
      <c r="B148" s="1" t="n">
        <v>141</v>
      </c>
      <c r="C148" s="34">
        <f>EDATE(Debts!$J$13,B148-1)</f>
        <v/>
      </c>
      <c r="D148" s="33">
        <f>IF(G147&lt;=0.005,0,Debts!$E$16+Debts!$J$7)</f>
        <v/>
      </c>
      <c r="E148" s="33">
        <f>MAX(0,D148-(SUMIF($H$5:$AK$5,"Due",H148:AK148)-SUMIF($H$5:$AK$5,"Rem",H148:AK148)))</f>
        <v/>
      </c>
      <c r="F148" s="33">
        <f>SUMIF($H$5:$AK$5,"Due",H148:AK148)-SUMIF($H$5:$AK$5,"Bal",H147:AK147)</f>
        <v/>
      </c>
      <c r="G148" s="33">
        <f>SUMIF($H$5:$AK$5,"Bal",H148:AK148)</f>
        <v/>
      </c>
      <c r="H148" s="33">
        <f>J147*(1+N(Debts!$D$6)/1200)</f>
        <v/>
      </c>
      <c r="I148" s="33">
        <f>H148-MIN(N(Debts!$E$6),H148)</f>
        <v/>
      </c>
      <c r="J148" s="33">
        <f>IF(I148&lt;=0.005,0,I148-MIN(I148,MAX(0,$E148-SUMIFS(H148:AK148,$H$5:$AK$5,"Rem",$H$4:$AK$4,"&lt;"&amp;J$4))))</f>
        <v/>
      </c>
      <c r="K148" s="33">
        <f>M147*(1+N(Debts!$D$7)/1200)</f>
        <v/>
      </c>
      <c r="L148" s="33">
        <f>K148-MIN(N(Debts!$E$7),K148)</f>
        <v/>
      </c>
      <c r="M148" s="33">
        <f>IF(L148&lt;=0.005,0,L148-MIN(L148,MAX(0,$E148-SUMIFS(H148:AK148,$H$5:$AK$5,"Rem",$H$4:$AK$4,"&lt;"&amp;M$4))))</f>
        <v/>
      </c>
      <c r="N148" s="33">
        <f>P147*(1+N(Debts!$D$8)/1200)</f>
        <v/>
      </c>
      <c r="O148" s="33">
        <f>N148-MIN(N(Debts!$E$8),N148)</f>
        <v/>
      </c>
      <c r="P148" s="33">
        <f>IF(O148&lt;=0.005,0,O148-MIN(O148,MAX(0,$E148-SUMIFS(H148:AK148,$H$5:$AK$5,"Rem",$H$4:$AK$4,"&lt;"&amp;P$4))))</f>
        <v/>
      </c>
      <c r="Q148" s="33">
        <f>S147*(1+N(Debts!$D$9)/1200)</f>
        <v/>
      </c>
      <c r="R148" s="33">
        <f>Q148-MIN(N(Debts!$E$9),Q148)</f>
        <v/>
      </c>
      <c r="S148" s="33">
        <f>IF(R148&lt;=0.005,0,R148-MIN(R148,MAX(0,$E148-SUMIFS(H148:AK148,$H$5:$AK$5,"Rem",$H$4:$AK$4,"&lt;"&amp;S$4))))</f>
        <v/>
      </c>
      <c r="T148" s="33">
        <f>V147*(1+N(Debts!$D$10)/1200)</f>
        <v/>
      </c>
      <c r="U148" s="33">
        <f>T148-MIN(N(Debts!$E$10),T148)</f>
        <v/>
      </c>
      <c r="V148" s="33">
        <f>IF(U148&lt;=0.005,0,U148-MIN(U148,MAX(0,$E148-SUMIFS(H148:AK148,$H$5:$AK$5,"Rem",$H$4:$AK$4,"&lt;"&amp;V$4))))</f>
        <v/>
      </c>
      <c r="W148" s="33">
        <f>Y147*(1+N(Debts!$D$11)/1200)</f>
        <v/>
      </c>
      <c r="X148" s="33">
        <f>W148-MIN(N(Debts!$E$11),W148)</f>
        <v/>
      </c>
      <c r="Y148" s="33">
        <f>IF(X148&lt;=0.005,0,X148-MIN(X148,MAX(0,$E148-SUMIFS(H148:AK148,$H$5:$AK$5,"Rem",$H$4:$AK$4,"&lt;"&amp;Y$4))))</f>
        <v/>
      </c>
      <c r="Z148" s="33">
        <f>AB147*(1+N(Debts!$D$12)/1200)</f>
        <v/>
      </c>
      <c r="AA148" s="33">
        <f>Z148-MIN(N(Debts!$E$12),Z148)</f>
        <v/>
      </c>
      <c r="AB148" s="33">
        <f>IF(AA148&lt;=0.005,0,AA148-MIN(AA148,MAX(0,$E148-SUMIFS(H148:AK148,$H$5:$AK$5,"Rem",$H$4:$AK$4,"&lt;"&amp;AB$4))))</f>
        <v/>
      </c>
      <c r="AC148" s="33">
        <f>AE147*(1+N(Debts!$D$13)/1200)</f>
        <v/>
      </c>
      <c r="AD148" s="33">
        <f>AC148-MIN(N(Debts!$E$13),AC148)</f>
        <v/>
      </c>
      <c r="AE148" s="33">
        <f>IF(AD148&lt;=0.005,0,AD148-MIN(AD148,MAX(0,$E148-SUMIFS(H148:AK148,$H$5:$AK$5,"Rem",$H$4:$AK$4,"&lt;"&amp;AE$4))))</f>
        <v/>
      </c>
      <c r="AF148" s="33">
        <f>AH147*(1+N(Debts!$D$14)/1200)</f>
        <v/>
      </c>
      <c r="AG148" s="33">
        <f>AF148-MIN(N(Debts!$E$14),AF148)</f>
        <v/>
      </c>
      <c r="AH148" s="33">
        <f>IF(AG148&lt;=0.005,0,AG148-MIN(AG148,MAX(0,$E148-SUMIFS(H148:AK148,$H$5:$AK$5,"Rem",$H$4:$AK$4,"&lt;"&amp;AH$4))))</f>
        <v/>
      </c>
      <c r="AI148" s="33">
        <f>AK147*(1+N(Debts!$D$15)/1200)</f>
        <v/>
      </c>
      <c r="AJ148" s="33">
        <f>AI148-MIN(N(Debts!$E$15),AI148)</f>
        <v/>
      </c>
      <c r="AK148" s="33">
        <f>IF(AJ148&lt;=0.005,0,AJ148-MIN(AJ148,MAX(0,$E148-SUMIFS(H148:AK148,$H$5:$AK$5,"Rem",$H$4:$AK$4,"&lt;"&amp;AK$4))))</f>
        <v/>
      </c>
      <c r="AL148" s="1" t="n"/>
    </row>
    <row r="149">
      <c r="A149" s="1" t="n"/>
      <c r="B149" s="1" t="n">
        <v>142</v>
      </c>
      <c r="C149" s="34">
        <f>EDATE(Debts!$J$13,B149-1)</f>
        <v/>
      </c>
      <c r="D149" s="33">
        <f>IF(G148&lt;=0.005,0,Debts!$E$16+Debts!$J$7)</f>
        <v/>
      </c>
      <c r="E149" s="33">
        <f>MAX(0,D149-(SUMIF($H$5:$AK$5,"Due",H149:AK149)-SUMIF($H$5:$AK$5,"Rem",H149:AK149)))</f>
        <v/>
      </c>
      <c r="F149" s="33">
        <f>SUMIF($H$5:$AK$5,"Due",H149:AK149)-SUMIF($H$5:$AK$5,"Bal",H148:AK148)</f>
        <v/>
      </c>
      <c r="G149" s="33">
        <f>SUMIF($H$5:$AK$5,"Bal",H149:AK149)</f>
        <v/>
      </c>
      <c r="H149" s="33">
        <f>J148*(1+N(Debts!$D$6)/1200)</f>
        <v/>
      </c>
      <c r="I149" s="33">
        <f>H149-MIN(N(Debts!$E$6),H149)</f>
        <v/>
      </c>
      <c r="J149" s="33">
        <f>IF(I149&lt;=0.005,0,I149-MIN(I149,MAX(0,$E149-SUMIFS(H149:AK149,$H$5:$AK$5,"Rem",$H$4:$AK$4,"&lt;"&amp;J$4))))</f>
        <v/>
      </c>
      <c r="K149" s="33">
        <f>M148*(1+N(Debts!$D$7)/1200)</f>
        <v/>
      </c>
      <c r="L149" s="33">
        <f>K149-MIN(N(Debts!$E$7),K149)</f>
        <v/>
      </c>
      <c r="M149" s="33">
        <f>IF(L149&lt;=0.005,0,L149-MIN(L149,MAX(0,$E149-SUMIFS(H149:AK149,$H$5:$AK$5,"Rem",$H$4:$AK$4,"&lt;"&amp;M$4))))</f>
        <v/>
      </c>
      <c r="N149" s="33">
        <f>P148*(1+N(Debts!$D$8)/1200)</f>
        <v/>
      </c>
      <c r="O149" s="33">
        <f>N149-MIN(N(Debts!$E$8),N149)</f>
        <v/>
      </c>
      <c r="P149" s="33">
        <f>IF(O149&lt;=0.005,0,O149-MIN(O149,MAX(0,$E149-SUMIFS(H149:AK149,$H$5:$AK$5,"Rem",$H$4:$AK$4,"&lt;"&amp;P$4))))</f>
        <v/>
      </c>
      <c r="Q149" s="33">
        <f>S148*(1+N(Debts!$D$9)/1200)</f>
        <v/>
      </c>
      <c r="R149" s="33">
        <f>Q149-MIN(N(Debts!$E$9),Q149)</f>
        <v/>
      </c>
      <c r="S149" s="33">
        <f>IF(R149&lt;=0.005,0,R149-MIN(R149,MAX(0,$E149-SUMIFS(H149:AK149,$H$5:$AK$5,"Rem",$H$4:$AK$4,"&lt;"&amp;S$4))))</f>
        <v/>
      </c>
      <c r="T149" s="33">
        <f>V148*(1+N(Debts!$D$10)/1200)</f>
        <v/>
      </c>
      <c r="U149" s="33">
        <f>T149-MIN(N(Debts!$E$10),T149)</f>
        <v/>
      </c>
      <c r="V149" s="33">
        <f>IF(U149&lt;=0.005,0,U149-MIN(U149,MAX(0,$E149-SUMIFS(H149:AK149,$H$5:$AK$5,"Rem",$H$4:$AK$4,"&lt;"&amp;V$4))))</f>
        <v/>
      </c>
      <c r="W149" s="33">
        <f>Y148*(1+N(Debts!$D$11)/1200)</f>
        <v/>
      </c>
      <c r="X149" s="33">
        <f>W149-MIN(N(Debts!$E$11),W149)</f>
        <v/>
      </c>
      <c r="Y149" s="33">
        <f>IF(X149&lt;=0.005,0,X149-MIN(X149,MAX(0,$E149-SUMIFS(H149:AK149,$H$5:$AK$5,"Rem",$H$4:$AK$4,"&lt;"&amp;Y$4))))</f>
        <v/>
      </c>
      <c r="Z149" s="33">
        <f>AB148*(1+N(Debts!$D$12)/1200)</f>
        <v/>
      </c>
      <c r="AA149" s="33">
        <f>Z149-MIN(N(Debts!$E$12),Z149)</f>
        <v/>
      </c>
      <c r="AB149" s="33">
        <f>IF(AA149&lt;=0.005,0,AA149-MIN(AA149,MAX(0,$E149-SUMIFS(H149:AK149,$H$5:$AK$5,"Rem",$H$4:$AK$4,"&lt;"&amp;AB$4))))</f>
        <v/>
      </c>
      <c r="AC149" s="33">
        <f>AE148*(1+N(Debts!$D$13)/1200)</f>
        <v/>
      </c>
      <c r="AD149" s="33">
        <f>AC149-MIN(N(Debts!$E$13),AC149)</f>
        <v/>
      </c>
      <c r="AE149" s="33">
        <f>IF(AD149&lt;=0.005,0,AD149-MIN(AD149,MAX(0,$E149-SUMIFS(H149:AK149,$H$5:$AK$5,"Rem",$H$4:$AK$4,"&lt;"&amp;AE$4))))</f>
        <v/>
      </c>
      <c r="AF149" s="33">
        <f>AH148*(1+N(Debts!$D$14)/1200)</f>
        <v/>
      </c>
      <c r="AG149" s="33">
        <f>AF149-MIN(N(Debts!$E$14),AF149)</f>
        <v/>
      </c>
      <c r="AH149" s="33">
        <f>IF(AG149&lt;=0.005,0,AG149-MIN(AG149,MAX(0,$E149-SUMIFS(H149:AK149,$H$5:$AK$5,"Rem",$H$4:$AK$4,"&lt;"&amp;AH$4))))</f>
        <v/>
      </c>
      <c r="AI149" s="33">
        <f>AK148*(1+N(Debts!$D$15)/1200)</f>
        <v/>
      </c>
      <c r="AJ149" s="33">
        <f>AI149-MIN(N(Debts!$E$15),AI149)</f>
        <v/>
      </c>
      <c r="AK149" s="33">
        <f>IF(AJ149&lt;=0.005,0,AJ149-MIN(AJ149,MAX(0,$E149-SUMIFS(H149:AK149,$H$5:$AK$5,"Rem",$H$4:$AK$4,"&lt;"&amp;AK$4))))</f>
        <v/>
      </c>
      <c r="AL149" s="1" t="n"/>
    </row>
    <row r="150">
      <c r="A150" s="1" t="n"/>
      <c r="B150" s="1" t="n">
        <v>143</v>
      </c>
      <c r="C150" s="34">
        <f>EDATE(Debts!$J$13,B150-1)</f>
        <v/>
      </c>
      <c r="D150" s="33">
        <f>IF(G149&lt;=0.005,0,Debts!$E$16+Debts!$J$7)</f>
        <v/>
      </c>
      <c r="E150" s="33">
        <f>MAX(0,D150-(SUMIF($H$5:$AK$5,"Due",H150:AK150)-SUMIF($H$5:$AK$5,"Rem",H150:AK150)))</f>
        <v/>
      </c>
      <c r="F150" s="33">
        <f>SUMIF($H$5:$AK$5,"Due",H150:AK150)-SUMIF($H$5:$AK$5,"Bal",H149:AK149)</f>
        <v/>
      </c>
      <c r="G150" s="33">
        <f>SUMIF($H$5:$AK$5,"Bal",H150:AK150)</f>
        <v/>
      </c>
      <c r="H150" s="33">
        <f>J149*(1+N(Debts!$D$6)/1200)</f>
        <v/>
      </c>
      <c r="I150" s="33">
        <f>H150-MIN(N(Debts!$E$6),H150)</f>
        <v/>
      </c>
      <c r="J150" s="33">
        <f>IF(I150&lt;=0.005,0,I150-MIN(I150,MAX(0,$E150-SUMIFS(H150:AK150,$H$5:$AK$5,"Rem",$H$4:$AK$4,"&lt;"&amp;J$4))))</f>
        <v/>
      </c>
      <c r="K150" s="33">
        <f>M149*(1+N(Debts!$D$7)/1200)</f>
        <v/>
      </c>
      <c r="L150" s="33">
        <f>K150-MIN(N(Debts!$E$7),K150)</f>
        <v/>
      </c>
      <c r="M150" s="33">
        <f>IF(L150&lt;=0.005,0,L150-MIN(L150,MAX(0,$E150-SUMIFS(H150:AK150,$H$5:$AK$5,"Rem",$H$4:$AK$4,"&lt;"&amp;M$4))))</f>
        <v/>
      </c>
      <c r="N150" s="33">
        <f>P149*(1+N(Debts!$D$8)/1200)</f>
        <v/>
      </c>
      <c r="O150" s="33">
        <f>N150-MIN(N(Debts!$E$8),N150)</f>
        <v/>
      </c>
      <c r="P150" s="33">
        <f>IF(O150&lt;=0.005,0,O150-MIN(O150,MAX(0,$E150-SUMIFS(H150:AK150,$H$5:$AK$5,"Rem",$H$4:$AK$4,"&lt;"&amp;P$4))))</f>
        <v/>
      </c>
      <c r="Q150" s="33">
        <f>S149*(1+N(Debts!$D$9)/1200)</f>
        <v/>
      </c>
      <c r="R150" s="33">
        <f>Q150-MIN(N(Debts!$E$9),Q150)</f>
        <v/>
      </c>
      <c r="S150" s="33">
        <f>IF(R150&lt;=0.005,0,R150-MIN(R150,MAX(0,$E150-SUMIFS(H150:AK150,$H$5:$AK$5,"Rem",$H$4:$AK$4,"&lt;"&amp;S$4))))</f>
        <v/>
      </c>
      <c r="T150" s="33">
        <f>V149*(1+N(Debts!$D$10)/1200)</f>
        <v/>
      </c>
      <c r="U150" s="33">
        <f>T150-MIN(N(Debts!$E$10),T150)</f>
        <v/>
      </c>
      <c r="V150" s="33">
        <f>IF(U150&lt;=0.005,0,U150-MIN(U150,MAX(0,$E150-SUMIFS(H150:AK150,$H$5:$AK$5,"Rem",$H$4:$AK$4,"&lt;"&amp;V$4))))</f>
        <v/>
      </c>
      <c r="W150" s="33">
        <f>Y149*(1+N(Debts!$D$11)/1200)</f>
        <v/>
      </c>
      <c r="X150" s="33">
        <f>W150-MIN(N(Debts!$E$11),W150)</f>
        <v/>
      </c>
      <c r="Y150" s="33">
        <f>IF(X150&lt;=0.005,0,X150-MIN(X150,MAX(0,$E150-SUMIFS(H150:AK150,$H$5:$AK$5,"Rem",$H$4:$AK$4,"&lt;"&amp;Y$4))))</f>
        <v/>
      </c>
      <c r="Z150" s="33">
        <f>AB149*(1+N(Debts!$D$12)/1200)</f>
        <v/>
      </c>
      <c r="AA150" s="33">
        <f>Z150-MIN(N(Debts!$E$12),Z150)</f>
        <v/>
      </c>
      <c r="AB150" s="33">
        <f>IF(AA150&lt;=0.005,0,AA150-MIN(AA150,MAX(0,$E150-SUMIFS(H150:AK150,$H$5:$AK$5,"Rem",$H$4:$AK$4,"&lt;"&amp;AB$4))))</f>
        <v/>
      </c>
      <c r="AC150" s="33">
        <f>AE149*(1+N(Debts!$D$13)/1200)</f>
        <v/>
      </c>
      <c r="AD150" s="33">
        <f>AC150-MIN(N(Debts!$E$13),AC150)</f>
        <v/>
      </c>
      <c r="AE150" s="33">
        <f>IF(AD150&lt;=0.005,0,AD150-MIN(AD150,MAX(0,$E150-SUMIFS(H150:AK150,$H$5:$AK$5,"Rem",$H$4:$AK$4,"&lt;"&amp;AE$4))))</f>
        <v/>
      </c>
      <c r="AF150" s="33">
        <f>AH149*(1+N(Debts!$D$14)/1200)</f>
        <v/>
      </c>
      <c r="AG150" s="33">
        <f>AF150-MIN(N(Debts!$E$14),AF150)</f>
        <v/>
      </c>
      <c r="AH150" s="33">
        <f>IF(AG150&lt;=0.005,0,AG150-MIN(AG150,MAX(0,$E150-SUMIFS(H150:AK150,$H$5:$AK$5,"Rem",$H$4:$AK$4,"&lt;"&amp;AH$4))))</f>
        <v/>
      </c>
      <c r="AI150" s="33">
        <f>AK149*(1+N(Debts!$D$15)/1200)</f>
        <v/>
      </c>
      <c r="AJ150" s="33">
        <f>AI150-MIN(N(Debts!$E$15),AI150)</f>
        <v/>
      </c>
      <c r="AK150" s="33">
        <f>IF(AJ150&lt;=0.005,0,AJ150-MIN(AJ150,MAX(0,$E150-SUMIFS(H150:AK150,$H$5:$AK$5,"Rem",$H$4:$AK$4,"&lt;"&amp;AK$4))))</f>
        <v/>
      </c>
      <c r="AL150" s="1" t="n"/>
    </row>
    <row r="151">
      <c r="A151" s="1" t="n"/>
      <c r="B151" s="1" t="n">
        <v>144</v>
      </c>
      <c r="C151" s="34">
        <f>EDATE(Debts!$J$13,B151-1)</f>
        <v/>
      </c>
      <c r="D151" s="33">
        <f>IF(G150&lt;=0.005,0,Debts!$E$16+Debts!$J$7)</f>
        <v/>
      </c>
      <c r="E151" s="33">
        <f>MAX(0,D151-(SUMIF($H$5:$AK$5,"Due",H151:AK151)-SUMIF($H$5:$AK$5,"Rem",H151:AK151)))</f>
        <v/>
      </c>
      <c r="F151" s="33">
        <f>SUMIF($H$5:$AK$5,"Due",H151:AK151)-SUMIF($H$5:$AK$5,"Bal",H150:AK150)</f>
        <v/>
      </c>
      <c r="G151" s="33">
        <f>SUMIF($H$5:$AK$5,"Bal",H151:AK151)</f>
        <v/>
      </c>
      <c r="H151" s="33">
        <f>J150*(1+N(Debts!$D$6)/1200)</f>
        <v/>
      </c>
      <c r="I151" s="33">
        <f>H151-MIN(N(Debts!$E$6),H151)</f>
        <v/>
      </c>
      <c r="J151" s="33">
        <f>IF(I151&lt;=0.005,0,I151-MIN(I151,MAX(0,$E151-SUMIFS(H151:AK151,$H$5:$AK$5,"Rem",$H$4:$AK$4,"&lt;"&amp;J$4))))</f>
        <v/>
      </c>
      <c r="K151" s="33">
        <f>M150*(1+N(Debts!$D$7)/1200)</f>
        <v/>
      </c>
      <c r="L151" s="33">
        <f>K151-MIN(N(Debts!$E$7),K151)</f>
        <v/>
      </c>
      <c r="M151" s="33">
        <f>IF(L151&lt;=0.005,0,L151-MIN(L151,MAX(0,$E151-SUMIFS(H151:AK151,$H$5:$AK$5,"Rem",$H$4:$AK$4,"&lt;"&amp;M$4))))</f>
        <v/>
      </c>
      <c r="N151" s="33">
        <f>P150*(1+N(Debts!$D$8)/1200)</f>
        <v/>
      </c>
      <c r="O151" s="33">
        <f>N151-MIN(N(Debts!$E$8),N151)</f>
        <v/>
      </c>
      <c r="P151" s="33">
        <f>IF(O151&lt;=0.005,0,O151-MIN(O151,MAX(0,$E151-SUMIFS(H151:AK151,$H$5:$AK$5,"Rem",$H$4:$AK$4,"&lt;"&amp;P$4))))</f>
        <v/>
      </c>
      <c r="Q151" s="33">
        <f>S150*(1+N(Debts!$D$9)/1200)</f>
        <v/>
      </c>
      <c r="R151" s="33">
        <f>Q151-MIN(N(Debts!$E$9),Q151)</f>
        <v/>
      </c>
      <c r="S151" s="33">
        <f>IF(R151&lt;=0.005,0,R151-MIN(R151,MAX(0,$E151-SUMIFS(H151:AK151,$H$5:$AK$5,"Rem",$H$4:$AK$4,"&lt;"&amp;S$4))))</f>
        <v/>
      </c>
      <c r="T151" s="33">
        <f>V150*(1+N(Debts!$D$10)/1200)</f>
        <v/>
      </c>
      <c r="U151" s="33">
        <f>T151-MIN(N(Debts!$E$10),T151)</f>
        <v/>
      </c>
      <c r="V151" s="33">
        <f>IF(U151&lt;=0.005,0,U151-MIN(U151,MAX(0,$E151-SUMIFS(H151:AK151,$H$5:$AK$5,"Rem",$H$4:$AK$4,"&lt;"&amp;V$4))))</f>
        <v/>
      </c>
      <c r="W151" s="33">
        <f>Y150*(1+N(Debts!$D$11)/1200)</f>
        <v/>
      </c>
      <c r="X151" s="33">
        <f>W151-MIN(N(Debts!$E$11),W151)</f>
        <v/>
      </c>
      <c r="Y151" s="33">
        <f>IF(X151&lt;=0.005,0,X151-MIN(X151,MAX(0,$E151-SUMIFS(H151:AK151,$H$5:$AK$5,"Rem",$H$4:$AK$4,"&lt;"&amp;Y$4))))</f>
        <v/>
      </c>
      <c r="Z151" s="33">
        <f>AB150*(1+N(Debts!$D$12)/1200)</f>
        <v/>
      </c>
      <c r="AA151" s="33">
        <f>Z151-MIN(N(Debts!$E$12),Z151)</f>
        <v/>
      </c>
      <c r="AB151" s="33">
        <f>IF(AA151&lt;=0.005,0,AA151-MIN(AA151,MAX(0,$E151-SUMIFS(H151:AK151,$H$5:$AK$5,"Rem",$H$4:$AK$4,"&lt;"&amp;AB$4))))</f>
        <v/>
      </c>
      <c r="AC151" s="33">
        <f>AE150*(1+N(Debts!$D$13)/1200)</f>
        <v/>
      </c>
      <c r="AD151" s="33">
        <f>AC151-MIN(N(Debts!$E$13),AC151)</f>
        <v/>
      </c>
      <c r="AE151" s="33">
        <f>IF(AD151&lt;=0.005,0,AD151-MIN(AD151,MAX(0,$E151-SUMIFS(H151:AK151,$H$5:$AK$5,"Rem",$H$4:$AK$4,"&lt;"&amp;AE$4))))</f>
        <v/>
      </c>
      <c r="AF151" s="33">
        <f>AH150*(1+N(Debts!$D$14)/1200)</f>
        <v/>
      </c>
      <c r="AG151" s="33">
        <f>AF151-MIN(N(Debts!$E$14),AF151)</f>
        <v/>
      </c>
      <c r="AH151" s="33">
        <f>IF(AG151&lt;=0.005,0,AG151-MIN(AG151,MAX(0,$E151-SUMIFS(H151:AK151,$H$5:$AK$5,"Rem",$H$4:$AK$4,"&lt;"&amp;AH$4))))</f>
        <v/>
      </c>
      <c r="AI151" s="33">
        <f>AK150*(1+N(Debts!$D$15)/1200)</f>
        <v/>
      </c>
      <c r="AJ151" s="33">
        <f>AI151-MIN(N(Debts!$E$15),AI151)</f>
        <v/>
      </c>
      <c r="AK151" s="33">
        <f>IF(AJ151&lt;=0.005,0,AJ151-MIN(AJ151,MAX(0,$E151-SUMIFS(H151:AK151,$H$5:$AK$5,"Rem",$H$4:$AK$4,"&lt;"&amp;AK$4))))</f>
        <v/>
      </c>
      <c r="AL151" s="1" t="n"/>
    </row>
    <row r="152">
      <c r="A152" s="1" t="n"/>
      <c r="B152" s="1" t="n">
        <v>145</v>
      </c>
      <c r="C152" s="34">
        <f>EDATE(Debts!$J$13,B152-1)</f>
        <v/>
      </c>
      <c r="D152" s="33">
        <f>IF(G151&lt;=0.005,0,Debts!$E$16+Debts!$J$7)</f>
        <v/>
      </c>
      <c r="E152" s="33">
        <f>MAX(0,D152-(SUMIF($H$5:$AK$5,"Due",H152:AK152)-SUMIF($H$5:$AK$5,"Rem",H152:AK152)))</f>
        <v/>
      </c>
      <c r="F152" s="33">
        <f>SUMIF($H$5:$AK$5,"Due",H152:AK152)-SUMIF($H$5:$AK$5,"Bal",H151:AK151)</f>
        <v/>
      </c>
      <c r="G152" s="33">
        <f>SUMIF($H$5:$AK$5,"Bal",H152:AK152)</f>
        <v/>
      </c>
      <c r="H152" s="33">
        <f>J151*(1+N(Debts!$D$6)/1200)</f>
        <v/>
      </c>
      <c r="I152" s="33">
        <f>H152-MIN(N(Debts!$E$6),H152)</f>
        <v/>
      </c>
      <c r="J152" s="33">
        <f>IF(I152&lt;=0.005,0,I152-MIN(I152,MAX(0,$E152-SUMIFS(H152:AK152,$H$5:$AK$5,"Rem",$H$4:$AK$4,"&lt;"&amp;J$4))))</f>
        <v/>
      </c>
      <c r="K152" s="33">
        <f>M151*(1+N(Debts!$D$7)/1200)</f>
        <v/>
      </c>
      <c r="L152" s="33">
        <f>K152-MIN(N(Debts!$E$7),K152)</f>
        <v/>
      </c>
      <c r="M152" s="33">
        <f>IF(L152&lt;=0.005,0,L152-MIN(L152,MAX(0,$E152-SUMIFS(H152:AK152,$H$5:$AK$5,"Rem",$H$4:$AK$4,"&lt;"&amp;M$4))))</f>
        <v/>
      </c>
      <c r="N152" s="33">
        <f>P151*(1+N(Debts!$D$8)/1200)</f>
        <v/>
      </c>
      <c r="O152" s="33">
        <f>N152-MIN(N(Debts!$E$8),N152)</f>
        <v/>
      </c>
      <c r="P152" s="33">
        <f>IF(O152&lt;=0.005,0,O152-MIN(O152,MAX(0,$E152-SUMIFS(H152:AK152,$H$5:$AK$5,"Rem",$H$4:$AK$4,"&lt;"&amp;P$4))))</f>
        <v/>
      </c>
      <c r="Q152" s="33">
        <f>S151*(1+N(Debts!$D$9)/1200)</f>
        <v/>
      </c>
      <c r="R152" s="33">
        <f>Q152-MIN(N(Debts!$E$9),Q152)</f>
        <v/>
      </c>
      <c r="S152" s="33">
        <f>IF(R152&lt;=0.005,0,R152-MIN(R152,MAX(0,$E152-SUMIFS(H152:AK152,$H$5:$AK$5,"Rem",$H$4:$AK$4,"&lt;"&amp;S$4))))</f>
        <v/>
      </c>
      <c r="T152" s="33">
        <f>V151*(1+N(Debts!$D$10)/1200)</f>
        <v/>
      </c>
      <c r="U152" s="33">
        <f>T152-MIN(N(Debts!$E$10),T152)</f>
        <v/>
      </c>
      <c r="V152" s="33">
        <f>IF(U152&lt;=0.005,0,U152-MIN(U152,MAX(0,$E152-SUMIFS(H152:AK152,$H$5:$AK$5,"Rem",$H$4:$AK$4,"&lt;"&amp;V$4))))</f>
        <v/>
      </c>
      <c r="W152" s="33">
        <f>Y151*(1+N(Debts!$D$11)/1200)</f>
        <v/>
      </c>
      <c r="X152" s="33">
        <f>W152-MIN(N(Debts!$E$11),W152)</f>
        <v/>
      </c>
      <c r="Y152" s="33">
        <f>IF(X152&lt;=0.005,0,X152-MIN(X152,MAX(0,$E152-SUMIFS(H152:AK152,$H$5:$AK$5,"Rem",$H$4:$AK$4,"&lt;"&amp;Y$4))))</f>
        <v/>
      </c>
      <c r="Z152" s="33">
        <f>AB151*(1+N(Debts!$D$12)/1200)</f>
        <v/>
      </c>
      <c r="AA152" s="33">
        <f>Z152-MIN(N(Debts!$E$12),Z152)</f>
        <v/>
      </c>
      <c r="AB152" s="33">
        <f>IF(AA152&lt;=0.005,0,AA152-MIN(AA152,MAX(0,$E152-SUMIFS(H152:AK152,$H$5:$AK$5,"Rem",$H$4:$AK$4,"&lt;"&amp;AB$4))))</f>
        <v/>
      </c>
      <c r="AC152" s="33">
        <f>AE151*(1+N(Debts!$D$13)/1200)</f>
        <v/>
      </c>
      <c r="AD152" s="33">
        <f>AC152-MIN(N(Debts!$E$13),AC152)</f>
        <v/>
      </c>
      <c r="AE152" s="33">
        <f>IF(AD152&lt;=0.005,0,AD152-MIN(AD152,MAX(0,$E152-SUMIFS(H152:AK152,$H$5:$AK$5,"Rem",$H$4:$AK$4,"&lt;"&amp;AE$4))))</f>
        <v/>
      </c>
      <c r="AF152" s="33">
        <f>AH151*(1+N(Debts!$D$14)/1200)</f>
        <v/>
      </c>
      <c r="AG152" s="33">
        <f>AF152-MIN(N(Debts!$E$14),AF152)</f>
        <v/>
      </c>
      <c r="AH152" s="33">
        <f>IF(AG152&lt;=0.005,0,AG152-MIN(AG152,MAX(0,$E152-SUMIFS(H152:AK152,$H$5:$AK$5,"Rem",$H$4:$AK$4,"&lt;"&amp;AH$4))))</f>
        <v/>
      </c>
      <c r="AI152" s="33">
        <f>AK151*(1+N(Debts!$D$15)/1200)</f>
        <v/>
      </c>
      <c r="AJ152" s="33">
        <f>AI152-MIN(N(Debts!$E$15),AI152)</f>
        <v/>
      </c>
      <c r="AK152" s="33">
        <f>IF(AJ152&lt;=0.005,0,AJ152-MIN(AJ152,MAX(0,$E152-SUMIFS(H152:AK152,$H$5:$AK$5,"Rem",$H$4:$AK$4,"&lt;"&amp;AK$4))))</f>
        <v/>
      </c>
      <c r="AL152" s="1" t="n"/>
    </row>
    <row r="153">
      <c r="A153" s="1" t="n"/>
      <c r="B153" s="1" t="n">
        <v>146</v>
      </c>
      <c r="C153" s="34">
        <f>EDATE(Debts!$J$13,B153-1)</f>
        <v/>
      </c>
      <c r="D153" s="33">
        <f>IF(G152&lt;=0.005,0,Debts!$E$16+Debts!$J$7)</f>
        <v/>
      </c>
      <c r="E153" s="33">
        <f>MAX(0,D153-(SUMIF($H$5:$AK$5,"Due",H153:AK153)-SUMIF($H$5:$AK$5,"Rem",H153:AK153)))</f>
        <v/>
      </c>
      <c r="F153" s="33">
        <f>SUMIF($H$5:$AK$5,"Due",H153:AK153)-SUMIF($H$5:$AK$5,"Bal",H152:AK152)</f>
        <v/>
      </c>
      <c r="G153" s="33">
        <f>SUMIF($H$5:$AK$5,"Bal",H153:AK153)</f>
        <v/>
      </c>
      <c r="H153" s="33">
        <f>J152*(1+N(Debts!$D$6)/1200)</f>
        <v/>
      </c>
      <c r="I153" s="33">
        <f>H153-MIN(N(Debts!$E$6),H153)</f>
        <v/>
      </c>
      <c r="J153" s="33">
        <f>IF(I153&lt;=0.005,0,I153-MIN(I153,MAX(0,$E153-SUMIFS(H153:AK153,$H$5:$AK$5,"Rem",$H$4:$AK$4,"&lt;"&amp;J$4))))</f>
        <v/>
      </c>
      <c r="K153" s="33">
        <f>M152*(1+N(Debts!$D$7)/1200)</f>
        <v/>
      </c>
      <c r="L153" s="33">
        <f>K153-MIN(N(Debts!$E$7),K153)</f>
        <v/>
      </c>
      <c r="M153" s="33">
        <f>IF(L153&lt;=0.005,0,L153-MIN(L153,MAX(0,$E153-SUMIFS(H153:AK153,$H$5:$AK$5,"Rem",$H$4:$AK$4,"&lt;"&amp;M$4))))</f>
        <v/>
      </c>
      <c r="N153" s="33">
        <f>P152*(1+N(Debts!$D$8)/1200)</f>
        <v/>
      </c>
      <c r="O153" s="33">
        <f>N153-MIN(N(Debts!$E$8),N153)</f>
        <v/>
      </c>
      <c r="P153" s="33">
        <f>IF(O153&lt;=0.005,0,O153-MIN(O153,MAX(0,$E153-SUMIFS(H153:AK153,$H$5:$AK$5,"Rem",$H$4:$AK$4,"&lt;"&amp;P$4))))</f>
        <v/>
      </c>
      <c r="Q153" s="33">
        <f>S152*(1+N(Debts!$D$9)/1200)</f>
        <v/>
      </c>
      <c r="R153" s="33">
        <f>Q153-MIN(N(Debts!$E$9),Q153)</f>
        <v/>
      </c>
      <c r="S153" s="33">
        <f>IF(R153&lt;=0.005,0,R153-MIN(R153,MAX(0,$E153-SUMIFS(H153:AK153,$H$5:$AK$5,"Rem",$H$4:$AK$4,"&lt;"&amp;S$4))))</f>
        <v/>
      </c>
      <c r="T153" s="33">
        <f>V152*(1+N(Debts!$D$10)/1200)</f>
        <v/>
      </c>
      <c r="U153" s="33">
        <f>T153-MIN(N(Debts!$E$10),T153)</f>
        <v/>
      </c>
      <c r="V153" s="33">
        <f>IF(U153&lt;=0.005,0,U153-MIN(U153,MAX(0,$E153-SUMIFS(H153:AK153,$H$5:$AK$5,"Rem",$H$4:$AK$4,"&lt;"&amp;V$4))))</f>
        <v/>
      </c>
      <c r="W153" s="33">
        <f>Y152*(1+N(Debts!$D$11)/1200)</f>
        <v/>
      </c>
      <c r="X153" s="33">
        <f>W153-MIN(N(Debts!$E$11),W153)</f>
        <v/>
      </c>
      <c r="Y153" s="33">
        <f>IF(X153&lt;=0.005,0,X153-MIN(X153,MAX(0,$E153-SUMIFS(H153:AK153,$H$5:$AK$5,"Rem",$H$4:$AK$4,"&lt;"&amp;Y$4))))</f>
        <v/>
      </c>
      <c r="Z153" s="33">
        <f>AB152*(1+N(Debts!$D$12)/1200)</f>
        <v/>
      </c>
      <c r="AA153" s="33">
        <f>Z153-MIN(N(Debts!$E$12),Z153)</f>
        <v/>
      </c>
      <c r="AB153" s="33">
        <f>IF(AA153&lt;=0.005,0,AA153-MIN(AA153,MAX(0,$E153-SUMIFS(H153:AK153,$H$5:$AK$5,"Rem",$H$4:$AK$4,"&lt;"&amp;AB$4))))</f>
        <v/>
      </c>
      <c r="AC153" s="33">
        <f>AE152*(1+N(Debts!$D$13)/1200)</f>
        <v/>
      </c>
      <c r="AD153" s="33">
        <f>AC153-MIN(N(Debts!$E$13),AC153)</f>
        <v/>
      </c>
      <c r="AE153" s="33">
        <f>IF(AD153&lt;=0.005,0,AD153-MIN(AD153,MAX(0,$E153-SUMIFS(H153:AK153,$H$5:$AK$5,"Rem",$H$4:$AK$4,"&lt;"&amp;AE$4))))</f>
        <v/>
      </c>
      <c r="AF153" s="33">
        <f>AH152*(1+N(Debts!$D$14)/1200)</f>
        <v/>
      </c>
      <c r="AG153" s="33">
        <f>AF153-MIN(N(Debts!$E$14),AF153)</f>
        <v/>
      </c>
      <c r="AH153" s="33">
        <f>IF(AG153&lt;=0.005,0,AG153-MIN(AG153,MAX(0,$E153-SUMIFS(H153:AK153,$H$5:$AK$5,"Rem",$H$4:$AK$4,"&lt;"&amp;AH$4))))</f>
        <v/>
      </c>
      <c r="AI153" s="33">
        <f>AK152*(1+N(Debts!$D$15)/1200)</f>
        <v/>
      </c>
      <c r="AJ153" s="33">
        <f>AI153-MIN(N(Debts!$E$15),AI153)</f>
        <v/>
      </c>
      <c r="AK153" s="33">
        <f>IF(AJ153&lt;=0.005,0,AJ153-MIN(AJ153,MAX(0,$E153-SUMIFS(H153:AK153,$H$5:$AK$5,"Rem",$H$4:$AK$4,"&lt;"&amp;AK$4))))</f>
        <v/>
      </c>
      <c r="AL153" s="1" t="n"/>
    </row>
    <row r="154">
      <c r="A154" s="1" t="n"/>
      <c r="B154" s="1" t="n">
        <v>147</v>
      </c>
      <c r="C154" s="34">
        <f>EDATE(Debts!$J$13,B154-1)</f>
        <v/>
      </c>
      <c r="D154" s="33">
        <f>IF(G153&lt;=0.005,0,Debts!$E$16+Debts!$J$7)</f>
        <v/>
      </c>
      <c r="E154" s="33">
        <f>MAX(0,D154-(SUMIF($H$5:$AK$5,"Due",H154:AK154)-SUMIF($H$5:$AK$5,"Rem",H154:AK154)))</f>
        <v/>
      </c>
      <c r="F154" s="33">
        <f>SUMIF($H$5:$AK$5,"Due",H154:AK154)-SUMIF($H$5:$AK$5,"Bal",H153:AK153)</f>
        <v/>
      </c>
      <c r="G154" s="33">
        <f>SUMIF($H$5:$AK$5,"Bal",H154:AK154)</f>
        <v/>
      </c>
      <c r="H154" s="33">
        <f>J153*(1+N(Debts!$D$6)/1200)</f>
        <v/>
      </c>
      <c r="I154" s="33">
        <f>H154-MIN(N(Debts!$E$6),H154)</f>
        <v/>
      </c>
      <c r="J154" s="33">
        <f>IF(I154&lt;=0.005,0,I154-MIN(I154,MAX(0,$E154-SUMIFS(H154:AK154,$H$5:$AK$5,"Rem",$H$4:$AK$4,"&lt;"&amp;J$4))))</f>
        <v/>
      </c>
      <c r="K154" s="33">
        <f>M153*(1+N(Debts!$D$7)/1200)</f>
        <v/>
      </c>
      <c r="L154" s="33">
        <f>K154-MIN(N(Debts!$E$7),K154)</f>
        <v/>
      </c>
      <c r="M154" s="33">
        <f>IF(L154&lt;=0.005,0,L154-MIN(L154,MAX(0,$E154-SUMIFS(H154:AK154,$H$5:$AK$5,"Rem",$H$4:$AK$4,"&lt;"&amp;M$4))))</f>
        <v/>
      </c>
      <c r="N154" s="33">
        <f>P153*(1+N(Debts!$D$8)/1200)</f>
        <v/>
      </c>
      <c r="O154" s="33">
        <f>N154-MIN(N(Debts!$E$8),N154)</f>
        <v/>
      </c>
      <c r="P154" s="33">
        <f>IF(O154&lt;=0.005,0,O154-MIN(O154,MAX(0,$E154-SUMIFS(H154:AK154,$H$5:$AK$5,"Rem",$H$4:$AK$4,"&lt;"&amp;P$4))))</f>
        <v/>
      </c>
      <c r="Q154" s="33">
        <f>S153*(1+N(Debts!$D$9)/1200)</f>
        <v/>
      </c>
      <c r="R154" s="33">
        <f>Q154-MIN(N(Debts!$E$9),Q154)</f>
        <v/>
      </c>
      <c r="S154" s="33">
        <f>IF(R154&lt;=0.005,0,R154-MIN(R154,MAX(0,$E154-SUMIFS(H154:AK154,$H$5:$AK$5,"Rem",$H$4:$AK$4,"&lt;"&amp;S$4))))</f>
        <v/>
      </c>
      <c r="T154" s="33">
        <f>V153*(1+N(Debts!$D$10)/1200)</f>
        <v/>
      </c>
      <c r="U154" s="33">
        <f>T154-MIN(N(Debts!$E$10),T154)</f>
        <v/>
      </c>
      <c r="V154" s="33">
        <f>IF(U154&lt;=0.005,0,U154-MIN(U154,MAX(0,$E154-SUMIFS(H154:AK154,$H$5:$AK$5,"Rem",$H$4:$AK$4,"&lt;"&amp;V$4))))</f>
        <v/>
      </c>
      <c r="W154" s="33">
        <f>Y153*(1+N(Debts!$D$11)/1200)</f>
        <v/>
      </c>
      <c r="X154" s="33">
        <f>W154-MIN(N(Debts!$E$11),W154)</f>
        <v/>
      </c>
      <c r="Y154" s="33">
        <f>IF(X154&lt;=0.005,0,X154-MIN(X154,MAX(0,$E154-SUMIFS(H154:AK154,$H$5:$AK$5,"Rem",$H$4:$AK$4,"&lt;"&amp;Y$4))))</f>
        <v/>
      </c>
      <c r="Z154" s="33">
        <f>AB153*(1+N(Debts!$D$12)/1200)</f>
        <v/>
      </c>
      <c r="AA154" s="33">
        <f>Z154-MIN(N(Debts!$E$12),Z154)</f>
        <v/>
      </c>
      <c r="AB154" s="33">
        <f>IF(AA154&lt;=0.005,0,AA154-MIN(AA154,MAX(0,$E154-SUMIFS(H154:AK154,$H$5:$AK$5,"Rem",$H$4:$AK$4,"&lt;"&amp;AB$4))))</f>
        <v/>
      </c>
      <c r="AC154" s="33">
        <f>AE153*(1+N(Debts!$D$13)/1200)</f>
        <v/>
      </c>
      <c r="AD154" s="33">
        <f>AC154-MIN(N(Debts!$E$13),AC154)</f>
        <v/>
      </c>
      <c r="AE154" s="33">
        <f>IF(AD154&lt;=0.005,0,AD154-MIN(AD154,MAX(0,$E154-SUMIFS(H154:AK154,$H$5:$AK$5,"Rem",$H$4:$AK$4,"&lt;"&amp;AE$4))))</f>
        <v/>
      </c>
      <c r="AF154" s="33">
        <f>AH153*(1+N(Debts!$D$14)/1200)</f>
        <v/>
      </c>
      <c r="AG154" s="33">
        <f>AF154-MIN(N(Debts!$E$14),AF154)</f>
        <v/>
      </c>
      <c r="AH154" s="33">
        <f>IF(AG154&lt;=0.005,0,AG154-MIN(AG154,MAX(0,$E154-SUMIFS(H154:AK154,$H$5:$AK$5,"Rem",$H$4:$AK$4,"&lt;"&amp;AH$4))))</f>
        <v/>
      </c>
      <c r="AI154" s="33">
        <f>AK153*(1+N(Debts!$D$15)/1200)</f>
        <v/>
      </c>
      <c r="AJ154" s="33">
        <f>AI154-MIN(N(Debts!$E$15),AI154)</f>
        <v/>
      </c>
      <c r="AK154" s="33">
        <f>IF(AJ154&lt;=0.005,0,AJ154-MIN(AJ154,MAX(0,$E154-SUMIFS(H154:AK154,$H$5:$AK$5,"Rem",$H$4:$AK$4,"&lt;"&amp;AK$4))))</f>
        <v/>
      </c>
      <c r="AL154" s="1" t="n"/>
    </row>
    <row r="155">
      <c r="A155" s="1" t="n"/>
      <c r="B155" s="1" t="n">
        <v>148</v>
      </c>
      <c r="C155" s="34">
        <f>EDATE(Debts!$J$13,B155-1)</f>
        <v/>
      </c>
      <c r="D155" s="33">
        <f>IF(G154&lt;=0.005,0,Debts!$E$16+Debts!$J$7)</f>
        <v/>
      </c>
      <c r="E155" s="33">
        <f>MAX(0,D155-(SUMIF($H$5:$AK$5,"Due",H155:AK155)-SUMIF($H$5:$AK$5,"Rem",H155:AK155)))</f>
        <v/>
      </c>
      <c r="F155" s="33">
        <f>SUMIF($H$5:$AK$5,"Due",H155:AK155)-SUMIF($H$5:$AK$5,"Bal",H154:AK154)</f>
        <v/>
      </c>
      <c r="G155" s="33">
        <f>SUMIF($H$5:$AK$5,"Bal",H155:AK155)</f>
        <v/>
      </c>
      <c r="H155" s="33">
        <f>J154*(1+N(Debts!$D$6)/1200)</f>
        <v/>
      </c>
      <c r="I155" s="33">
        <f>H155-MIN(N(Debts!$E$6),H155)</f>
        <v/>
      </c>
      <c r="J155" s="33">
        <f>IF(I155&lt;=0.005,0,I155-MIN(I155,MAX(0,$E155-SUMIFS(H155:AK155,$H$5:$AK$5,"Rem",$H$4:$AK$4,"&lt;"&amp;J$4))))</f>
        <v/>
      </c>
      <c r="K155" s="33">
        <f>M154*(1+N(Debts!$D$7)/1200)</f>
        <v/>
      </c>
      <c r="L155" s="33">
        <f>K155-MIN(N(Debts!$E$7),K155)</f>
        <v/>
      </c>
      <c r="M155" s="33">
        <f>IF(L155&lt;=0.005,0,L155-MIN(L155,MAX(0,$E155-SUMIFS(H155:AK155,$H$5:$AK$5,"Rem",$H$4:$AK$4,"&lt;"&amp;M$4))))</f>
        <v/>
      </c>
      <c r="N155" s="33">
        <f>P154*(1+N(Debts!$D$8)/1200)</f>
        <v/>
      </c>
      <c r="O155" s="33">
        <f>N155-MIN(N(Debts!$E$8),N155)</f>
        <v/>
      </c>
      <c r="P155" s="33">
        <f>IF(O155&lt;=0.005,0,O155-MIN(O155,MAX(0,$E155-SUMIFS(H155:AK155,$H$5:$AK$5,"Rem",$H$4:$AK$4,"&lt;"&amp;P$4))))</f>
        <v/>
      </c>
      <c r="Q155" s="33">
        <f>S154*(1+N(Debts!$D$9)/1200)</f>
        <v/>
      </c>
      <c r="R155" s="33">
        <f>Q155-MIN(N(Debts!$E$9),Q155)</f>
        <v/>
      </c>
      <c r="S155" s="33">
        <f>IF(R155&lt;=0.005,0,R155-MIN(R155,MAX(0,$E155-SUMIFS(H155:AK155,$H$5:$AK$5,"Rem",$H$4:$AK$4,"&lt;"&amp;S$4))))</f>
        <v/>
      </c>
      <c r="T155" s="33">
        <f>V154*(1+N(Debts!$D$10)/1200)</f>
        <v/>
      </c>
      <c r="U155" s="33">
        <f>T155-MIN(N(Debts!$E$10),T155)</f>
        <v/>
      </c>
      <c r="V155" s="33">
        <f>IF(U155&lt;=0.005,0,U155-MIN(U155,MAX(0,$E155-SUMIFS(H155:AK155,$H$5:$AK$5,"Rem",$H$4:$AK$4,"&lt;"&amp;V$4))))</f>
        <v/>
      </c>
      <c r="W155" s="33">
        <f>Y154*(1+N(Debts!$D$11)/1200)</f>
        <v/>
      </c>
      <c r="X155" s="33">
        <f>W155-MIN(N(Debts!$E$11),W155)</f>
        <v/>
      </c>
      <c r="Y155" s="33">
        <f>IF(X155&lt;=0.005,0,X155-MIN(X155,MAX(0,$E155-SUMIFS(H155:AK155,$H$5:$AK$5,"Rem",$H$4:$AK$4,"&lt;"&amp;Y$4))))</f>
        <v/>
      </c>
      <c r="Z155" s="33">
        <f>AB154*(1+N(Debts!$D$12)/1200)</f>
        <v/>
      </c>
      <c r="AA155" s="33">
        <f>Z155-MIN(N(Debts!$E$12),Z155)</f>
        <v/>
      </c>
      <c r="AB155" s="33">
        <f>IF(AA155&lt;=0.005,0,AA155-MIN(AA155,MAX(0,$E155-SUMIFS(H155:AK155,$H$5:$AK$5,"Rem",$H$4:$AK$4,"&lt;"&amp;AB$4))))</f>
        <v/>
      </c>
      <c r="AC155" s="33">
        <f>AE154*(1+N(Debts!$D$13)/1200)</f>
        <v/>
      </c>
      <c r="AD155" s="33">
        <f>AC155-MIN(N(Debts!$E$13),AC155)</f>
        <v/>
      </c>
      <c r="AE155" s="33">
        <f>IF(AD155&lt;=0.005,0,AD155-MIN(AD155,MAX(0,$E155-SUMIFS(H155:AK155,$H$5:$AK$5,"Rem",$H$4:$AK$4,"&lt;"&amp;AE$4))))</f>
        <v/>
      </c>
      <c r="AF155" s="33">
        <f>AH154*(1+N(Debts!$D$14)/1200)</f>
        <v/>
      </c>
      <c r="AG155" s="33">
        <f>AF155-MIN(N(Debts!$E$14),AF155)</f>
        <v/>
      </c>
      <c r="AH155" s="33">
        <f>IF(AG155&lt;=0.005,0,AG155-MIN(AG155,MAX(0,$E155-SUMIFS(H155:AK155,$H$5:$AK$5,"Rem",$H$4:$AK$4,"&lt;"&amp;AH$4))))</f>
        <v/>
      </c>
      <c r="AI155" s="33">
        <f>AK154*(1+N(Debts!$D$15)/1200)</f>
        <v/>
      </c>
      <c r="AJ155" s="33">
        <f>AI155-MIN(N(Debts!$E$15),AI155)</f>
        <v/>
      </c>
      <c r="AK155" s="33">
        <f>IF(AJ155&lt;=0.005,0,AJ155-MIN(AJ155,MAX(0,$E155-SUMIFS(H155:AK155,$H$5:$AK$5,"Rem",$H$4:$AK$4,"&lt;"&amp;AK$4))))</f>
        <v/>
      </c>
      <c r="AL155" s="1" t="n"/>
    </row>
    <row r="156">
      <c r="A156" s="1" t="n"/>
      <c r="B156" s="1" t="n">
        <v>149</v>
      </c>
      <c r="C156" s="34">
        <f>EDATE(Debts!$J$13,B156-1)</f>
        <v/>
      </c>
      <c r="D156" s="33">
        <f>IF(G155&lt;=0.005,0,Debts!$E$16+Debts!$J$7)</f>
        <v/>
      </c>
      <c r="E156" s="33">
        <f>MAX(0,D156-(SUMIF($H$5:$AK$5,"Due",H156:AK156)-SUMIF($H$5:$AK$5,"Rem",H156:AK156)))</f>
        <v/>
      </c>
      <c r="F156" s="33">
        <f>SUMIF($H$5:$AK$5,"Due",H156:AK156)-SUMIF($H$5:$AK$5,"Bal",H155:AK155)</f>
        <v/>
      </c>
      <c r="G156" s="33">
        <f>SUMIF($H$5:$AK$5,"Bal",H156:AK156)</f>
        <v/>
      </c>
      <c r="H156" s="33">
        <f>J155*(1+N(Debts!$D$6)/1200)</f>
        <v/>
      </c>
      <c r="I156" s="33">
        <f>H156-MIN(N(Debts!$E$6),H156)</f>
        <v/>
      </c>
      <c r="J156" s="33">
        <f>IF(I156&lt;=0.005,0,I156-MIN(I156,MAX(0,$E156-SUMIFS(H156:AK156,$H$5:$AK$5,"Rem",$H$4:$AK$4,"&lt;"&amp;J$4))))</f>
        <v/>
      </c>
      <c r="K156" s="33">
        <f>M155*(1+N(Debts!$D$7)/1200)</f>
        <v/>
      </c>
      <c r="L156" s="33">
        <f>K156-MIN(N(Debts!$E$7),K156)</f>
        <v/>
      </c>
      <c r="M156" s="33">
        <f>IF(L156&lt;=0.005,0,L156-MIN(L156,MAX(0,$E156-SUMIFS(H156:AK156,$H$5:$AK$5,"Rem",$H$4:$AK$4,"&lt;"&amp;M$4))))</f>
        <v/>
      </c>
      <c r="N156" s="33">
        <f>P155*(1+N(Debts!$D$8)/1200)</f>
        <v/>
      </c>
      <c r="O156" s="33">
        <f>N156-MIN(N(Debts!$E$8),N156)</f>
        <v/>
      </c>
      <c r="P156" s="33">
        <f>IF(O156&lt;=0.005,0,O156-MIN(O156,MAX(0,$E156-SUMIFS(H156:AK156,$H$5:$AK$5,"Rem",$H$4:$AK$4,"&lt;"&amp;P$4))))</f>
        <v/>
      </c>
      <c r="Q156" s="33">
        <f>S155*(1+N(Debts!$D$9)/1200)</f>
        <v/>
      </c>
      <c r="R156" s="33">
        <f>Q156-MIN(N(Debts!$E$9),Q156)</f>
        <v/>
      </c>
      <c r="S156" s="33">
        <f>IF(R156&lt;=0.005,0,R156-MIN(R156,MAX(0,$E156-SUMIFS(H156:AK156,$H$5:$AK$5,"Rem",$H$4:$AK$4,"&lt;"&amp;S$4))))</f>
        <v/>
      </c>
      <c r="T156" s="33">
        <f>V155*(1+N(Debts!$D$10)/1200)</f>
        <v/>
      </c>
      <c r="U156" s="33">
        <f>T156-MIN(N(Debts!$E$10),T156)</f>
        <v/>
      </c>
      <c r="V156" s="33">
        <f>IF(U156&lt;=0.005,0,U156-MIN(U156,MAX(0,$E156-SUMIFS(H156:AK156,$H$5:$AK$5,"Rem",$H$4:$AK$4,"&lt;"&amp;V$4))))</f>
        <v/>
      </c>
      <c r="W156" s="33">
        <f>Y155*(1+N(Debts!$D$11)/1200)</f>
        <v/>
      </c>
      <c r="X156" s="33">
        <f>W156-MIN(N(Debts!$E$11),W156)</f>
        <v/>
      </c>
      <c r="Y156" s="33">
        <f>IF(X156&lt;=0.005,0,X156-MIN(X156,MAX(0,$E156-SUMIFS(H156:AK156,$H$5:$AK$5,"Rem",$H$4:$AK$4,"&lt;"&amp;Y$4))))</f>
        <v/>
      </c>
      <c r="Z156" s="33">
        <f>AB155*(1+N(Debts!$D$12)/1200)</f>
        <v/>
      </c>
      <c r="AA156" s="33">
        <f>Z156-MIN(N(Debts!$E$12),Z156)</f>
        <v/>
      </c>
      <c r="AB156" s="33">
        <f>IF(AA156&lt;=0.005,0,AA156-MIN(AA156,MAX(0,$E156-SUMIFS(H156:AK156,$H$5:$AK$5,"Rem",$H$4:$AK$4,"&lt;"&amp;AB$4))))</f>
        <v/>
      </c>
      <c r="AC156" s="33">
        <f>AE155*(1+N(Debts!$D$13)/1200)</f>
        <v/>
      </c>
      <c r="AD156" s="33">
        <f>AC156-MIN(N(Debts!$E$13),AC156)</f>
        <v/>
      </c>
      <c r="AE156" s="33">
        <f>IF(AD156&lt;=0.005,0,AD156-MIN(AD156,MAX(0,$E156-SUMIFS(H156:AK156,$H$5:$AK$5,"Rem",$H$4:$AK$4,"&lt;"&amp;AE$4))))</f>
        <v/>
      </c>
      <c r="AF156" s="33">
        <f>AH155*(1+N(Debts!$D$14)/1200)</f>
        <v/>
      </c>
      <c r="AG156" s="33">
        <f>AF156-MIN(N(Debts!$E$14),AF156)</f>
        <v/>
      </c>
      <c r="AH156" s="33">
        <f>IF(AG156&lt;=0.005,0,AG156-MIN(AG156,MAX(0,$E156-SUMIFS(H156:AK156,$H$5:$AK$5,"Rem",$H$4:$AK$4,"&lt;"&amp;AH$4))))</f>
        <v/>
      </c>
      <c r="AI156" s="33">
        <f>AK155*(1+N(Debts!$D$15)/1200)</f>
        <v/>
      </c>
      <c r="AJ156" s="33">
        <f>AI156-MIN(N(Debts!$E$15),AI156)</f>
        <v/>
      </c>
      <c r="AK156" s="33">
        <f>IF(AJ156&lt;=0.005,0,AJ156-MIN(AJ156,MAX(0,$E156-SUMIFS(H156:AK156,$H$5:$AK$5,"Rem",$H$4:$AK$4,"&lt;"&amp;AK$4))))</f>
        <v/>
      </c>
      <c r="AL156" s="1" t="n"/>
    </row>
    <row r="157">
      <c r="A157" s="1" t="n"/>
      <c r="B157" s="1" t="n">
        <v>150</v>
      </c>
      <c r="C157" s="34">
        <f>EDATE(Debts!$J$13,B157-1)</f>
        <v/>
      </c>
      <c r="D157" s="33">
        <f>IF(G156&lt;=0.005,0,Debts!$E$16+Debts!$J$7)</f>
        <v/>
      </c>
      <c r="E157" s="33">
        <f>MAX(0,D157-(SUMIF($H$5:$AK$5,"Due",H157:AK157)-SUMIF($H$5:$AK$5,"Rem",H157:AK157)))</f>
        <v/>
      </c>
      <c r="F157" s="33">
        <f>SUMIF($H$5:$AK$5,"Due",H157:AK157)-SUMIF($H$5:$AK$5,"Bal",H156:AK156)</f>
        <v/>
      </c>
      <c r="G157" s="33">
        <f>SUMIF($H$5:$AK$5,"Bal",H157:AK157)</f>
        <v/>
      </c>
      <c r="H157" s="33">
        <f>J156*(1+N(Debts!$D$6)/1200)</f>
        <v/>
      </c>
      <c r="I157" s="33">
        <f>H157-MIN(N(Debts!$E$6),H157)</f>
        <v/>
      </c>
      <c r="J157" s="33">
        <f>IF(I157&lt;=0.005,0,I157-MIN(I157,MAX(0,$E157-SUMIFS(H157:AK157,$H$5:$AK$5,"Rem",$H$4:$AK$4,"&lt;"&amp;J$4))))</f>
        <v/>
      </c>
      <c r="K157" s="33">
        <f>M156*(1+N(Debts!$D$7)/1200)</f>
        <v/>
      </c>
      <c r="L157" s="33">
        <f>K157-MIN(N(Debts!$E$7),K157)</f>
        <v/>
      </c>
      <c r="M157" s="33">
        <f>IF(L157&lt;=0.005,0,L157-MIN(L157,MAX(0,$E157-SUMIFS(H157:AK157,$H$5:$AK$5,"Rem",$H$4:$AK$4,"&lt;"&amp;M$4))))</f>
        <v/>
      </c>
      <c r="N157" s="33">
        <f>P156*(1+N(Debts!$D$8)/1200)</f>
        <v/>
      </c>
      <c r="O157" s="33">
        <f>N157-MIN(N(Debts!$E$8),N157)</f>
        <v/>
      </c>
      <c r="P157" s="33">
        <f>IF(O157&lt;=0.005,0,O157-MIN(O157,MAX(0,$E157-SUMIFS(H157:AK157,$H$5:$AK$5,"Rem",$H$4:$AK$4,"&lt;"&amp;P$4))))</f>
        <v/>
      </c>
      <c r="Q157" s="33">
        <f>S156*(1+N(Debts!$D$9)/1200)</f>
        <v/>
      </c>
      <c r="R157" s="33">
        <f>Q157-MIN(N(Debts!$E$9),Q157)</f>
        <v/>
      </c>
      <c r="S157" s="33">
        <f>IF(R157&lt;=0.005,0,R157-MIN(R157,MAX(0,$E157-SUMIFS(H157:AK157,$H$5:$AK$5,"Rem",$H$4:$AK$4,"&lt;"&amp;S$4))))</f>
        <v/>
      </c>
      <c r="T157" s="33">
        <f>V156*(1+N(Debts!$D$10)/1200)</f>
        <v/>
      </c>
      <c r="U157" s="33">
        <f>T157-MIN(N(Debts!$E$10),T157)</f>
        <v/>
      </c>
      <c r="V157" s="33">
        <f>IF(U157&lt;=0.005,0,U157-MIN(U157,MAX(0,$E157-SUMIFS(H157:AK157,$H$5:$AK$5,"Rem",$H$4:$AK$4,"&lt;"&amp;V$4))))</f>
        <v/>
      </c>
      <c r="W157" s="33">
        <f>Y156*(1+N(Debts!$D$11)/1200)</f>
        <v/>
      </c>
      <c r="X157" s="33">
        <f>W157-MIN(N(Debts!$E$11),W157)</f>
        <v/>
      </c>
      <c r="Y157" s="33">
        <f>IF(X157&lt;=0.005,0,X157-MIN(X157,MAX(0,$E157-SUMIFS(H157:AK157,$H$5:$AK$5,"Rem",$H$4:$AK$4,"&lt;"&amp;Y$4))))</f>
        <v/>
      </c>
      <c r="Z157" s="33">
        <f>AB156*(1+N(Debts!$D$12)/1200)</f>
        <v/>
      </c>
      <c r="AA157" s="33">
        <f>Z157-MIN(N(Debts!$E$12),Z157)</f>
        <v/>
      </c>
      <c r="AB157" s="33">
        <f>IF(AA157&lt;=0.005,0,AA157-MIN(AA157,MAX(0,$E157-SUMIFS(H157:AK157,$H$5:$AK$5,"Rem",$H$4:$AK$4,"&lt;"&amp;AB$4))))</f>
        <v/>
      </c>
      <c r="AC157" s="33">
        <f>AE156*(1+N(Debts!$D$13)/1200)</f>
        <v/>
      </c>
      <c r="AD157" s="33">
        <f>AC157-MIN(N(Debts!$E$13),AC157)</f>
        <v/>
      </c>
      <c r="AE157" s="33">
        <f>IF(AD157&lt;=0.005,0,AD157-MIN(AD157,MAX(0,$E157-SUMIFS(H157:AK157,$H$5:$AK$5,"Rem",$H$4:$AK$4,"&lt;"&amp;AE$4))))</f>
        <v/>
      </c>
      <c r="AF157" s="33">
        <f>AH156*(1+N(Debts!$D$14)/1200)</f>
        <v/>
      </c>
      <c r="AG157" s="33">
        <f>AF157-MIN(N(Debts!$E$14),AF157)</f>
        <v/>
      </c>
      <c r="AH157" s="33">
        <f>IF(AG157&lt;=0.005,0,AG157-MIN(AG157,MAX(0,$E157-SUMIFS(H157:AK157,$H$5:$AK$5,"Rem",$H$4:$AK$4,"&lt;"&amp;AH$4))))</f>
        <v/>
      </c>
      <c r="AI157" s="33">
        <f>AK156*(1+N(Debts!$D$15)/1200)</f>
        <v/>
      </c>
      <c r="AJ157" s="33">
        <f>AI157-MIN(N(Debts!$E$15),AI157)</f>
        <v/>
      </c>
      <c r="AK157" s="33">
        <f>IF(AJ157&lt;=0.005,0,AJ157-MIN(AJ157,MAX(0,$E157-SUMIFS(H157:AK157,$H$5:$AK$5,"Rem",$H$4:$AK$4,"&lt;"&amp;AK$4))))</f>
        <v/>
      </c>
      <c r="AL157" s="1" t="n"/>
    </row>
    <row r="158">
      <c r="A158" s="1" t="n"/>
      <c r="B158" s="1" t="n">
        <v>151</v>
      </c>
      <c r="C158" s="34">
        <f>EDATE(Debts!$J$13,B158-1)</f>
        <v/>
      </c>
      <c r="D158" s="33">
        <f>IF(G157&lt;=0.005,0,Debts!$E$16+Debts!$J$7)</f>
        <v/>
      </c>
      <c r="E158" s="33">
        <f>MAX(0,D158-(SUMIF($H$5:$AK$5,"Due",H158:AK158)-SUMIF($H$5:$AK$5,"Rem",H158:AK158)))</f>
        <v/>
      </c>
      <c r="F158" s="33">
        <f>SUMIF($H$5:$AK$5,"Due",H158:AK158)-SUMIF($H$5:$AK$5,"Bal",H157:AK157)</f>
        <v/>
      </c>
      <c r="G158" s="33">
        <f>SUMIF($H$5:$AK$5,"Bal",H158:AK158)</f>
        <v/>
      </c>
      <c r="H158" s="33">
        <f>J157*(1+N(Debts!$D$6)/1200)</f>
        <v/>
      </c>
      <c r="I158" s="33">
        <f>H158-MIN(N(Debts!$E$6),H158)</f>
        <v/>
      </c>
      <c r="J158" s="33">
        <f>IF(I158&lt;=0.005,0,I158-MIN(I158,MAX(0,$E158-SUMIFS(H158:AK158,$H$5:$AK$5,"Rem",$H$4:$AK$4,"&lt;"&amp;J$4))))</f>
        <v/>
      </c>
      <c r="K158" s="33">
        <f>M157*(1+N(Debts!$D$7)/1200)</f>
        <v/>
      </c>
      <c r="L158" s="33">
        <f>K158-MIN(N(Debts!$E$7),K158)</f>
        <v/>
      </c>
      <c r="M158" s="33">
        <f>IF(L158&lt;=0.005,0,L158-MIN(L158,MAX(0,$E158-SUMIFS(H158:AK158,$H$5:$AK$5,"Rem",$H$4:$AK$4,"&lt;"&amp;M$4))))</f>
        <v/>
      </c>
      <c r="N158" s="33">
        <f>P157*(1+N(Debts!$D$8)/1200)</f>
        <v/>
      </c>
      <c r="O158" s="33">
        <f>N158-MIN(N(Debts!$E$8),N158)</f>
        <v/>
      </c>
      <c r="P158" s="33">
        <f>IF(O158&lt;=0.005,0,O158-MIN(O158,MAX(0,$E158-SUMIFS(H158:AK158,$H$5:$AK$5,"Rem",$H$4:$AK$4,"&lt;"&amp;P$4))))</f>
        <v/>
      </c>
      <c r="Q158" s="33">
        <f>S157*(1+N(Debts!$D$9)/1200)</f>
        <v/>
      </c>
      <c r="R158" s="33">
        <f>Q158-MIN(N(Debts!$E$9),Q158)</f>
        <v/>
      </c>
      <c r="S158" s="33">
        <f>IF(R158&lt;=0.005,0,R158-MIN(R158,MAX(0,$E158-SUMIFS(H158:AK158,$H$5:$AK$5,"Rem",$H$4:$AK$4,"&lt;"&amp;S$4))))</f>
        <v/>
      </c>
      <c r="T158" s="33">
        <f>V157*(1+N(Debts!$D$10)/1200)</f>
        <v/>
      </c>
      <c r="U158" s="33">
        <f>T158-MIN(N(Debts!$E$10),T158)</f>
        <v/>
      </c>
      <c r="V158" s="33">
        <f>IF(U158&lt;=0.005,0,U158-MIN(U158,MAX(0,$E158-SUMIFS(H158:AK158,$H$5:$AK$5,"Rem",$H$4:$AK$4,"&lt;"&amp;V$4))))</f>
        <v/>
      </c>
      <c r="W158" s="33">
        <f>Y157*(1+N(Debts!$D$11)/1200)</f>
        <v/>
      </c>
      <c r="X158" s="33">
        <f>W158-MIN(N(Debts!$E$11),W158)</f>
        <v/>
      </c>
      <c r="Y158" s="33">
        <f>IF(X158&lt;=0.005,0,X158-MIN(X158,MAX(0,$E158-SUMIFS(H158:AK158,$H$5:$AK$5,"Rem",$H$4:$AK$4,"&lt;"&amp;Y$4))))</f>
        <v/>
      </c>
      <c r="Z158" s="33">
        <f>AB157*(1+N(Debts!$D$12)/1200)</f>
        <v/>
      </c>
      <c r="AA158" s="33">
        <f>Z158-MIN(N(Debts!$E$12),Z158)</f>
        <v/>
      </c>
      <c r="AB158" s="33">
        <f>IF(AA158&lt;=0.005,0,AA158-MIN(AA158,MAX(0,$E158-SUMIFS(H158:AK158,$H$5:$AK$5,"Rem",$H$4:$AK$4,"&lt;"&amp;AB$4))))</f>
        <v/>
      </c>
      <c r="AC158" s="33">
        <f>AE157*(1+N(Debts!$D$13)/1200)</f>
        <v/>
      </c>
      <c r="AD158" s="33">
        <f>AC158-MIN(N(Debts!$E$13),AC158)</f>
        <v/>
      </c>
      <c r="AE158" s="33">
        <f>IF(AD158&lt;=0.005,0,AD158-MIN(AD158,MAX(0,$E158-SUMIFS(H158:AK158,$H$5:$AK$5,"Rem",$H$4:$AK$4,"&lt;"&amp;AE$4))))</f>
        <v/>
      </c>
      <c r="AF158" s="33">
        <f>AH157*(1+N(Debts!$D$14)/1200)</f>
        <v/>
      </c>
      <c r="AG158" s="33">
        <f>AF158-MIN(N(Debts!$E$14),AF158)</f>
        <v/>
      </c>
      <c r="AH158" s="33">
        <f>IF(AG158&lt;=0.005,0,AG158-MIN(AG158,MAX(0,$E158-SUMIFS(H158:AK158,$H$5:$AK$5,"Rem",$H$4:$AK$4,"&lt;"&amp;AH$4))))</f>
        <v/>
      </c>
      <c r="AI158" s="33">
        <f>AK157*(1+N(Debts!$D$15)/1200)</f>
        <v/>
      </c>
      <c r="AJ158" s="33">
        <f>AI158-MIN(N(Debts!$E$15),AI158)</f>
        <v/>
      </c>
      <c r="AK158" s="33">
        <f>IF(AJ158&lt;=0.005,0,AJ158-MIN(AJ158,MAX(0,$E158-SUMIFS(H158:AK158,$H$5:$AK$5,"Rem",$H$4:$AK$4,"&lt;"&amp;AK$4))))</f>
        <v/>
      </c>
      <c r="AL158" s="1" t="n"/>
    </row>
    <row r="159">
      <c r="A159" s="1" t="n"/>
      <c r="B159" s="1" t="n">
        <v>152</v>
      </c>
      <c r="C159" s="34">
        <f>EDATE(Debts!$J$13,B159-1)</f>
        <v/>
      </c>
      <c r="D159" s="33">
        <f>IF(G158&lt;=0.005,0,Debts!$E$16+Debts!$J$7)</f>
        <v/>
      </c>
      <c r="E159" s="33">
        <f>MAX(0,D159-(SUMIF($H$5:$AK$5,"Due",H159:AK159)-SUMIF($H$5:$AK$5,"Rem",H159:AK159)))</f>
        <v/>
      </c>
      <c r="F159" s="33">
        <f>SUMIF($H$5:$AK$5,"Due",H159:AK159)-SUMIF($H$5:$AK$5,"Bal",H158:AK158)</f>
        <v/>
      </c>
      <c r="G159" s="33">
        <f>SUMIF($H$5:$AK$5,"Bal",H159:AK159)</f>
        <v/>
      </c>
      <c r="H159" s="33">
        <f>J158*(1+N(Debts!$D$6)/1200)</f>
        <v/>
      </c>
      <c r="I159" s="33">
        <f>H159-MIN(N(Debts!$E$6),H159)</f>
        <v/>
      </c>
      <c r="J159" s="33">
        <f>IF(I159&lt;=0.005,0,I159-MIN(I159,MAX(0,$E159-SUMIFS(H159:AK159,$H$5:$AK$5,"Rem",$H$4:$AK$4,"&lt;"&amp;J$4))))</f>
        <v/>
      </c>
      <c r="K159" s="33">
        <f>M158*(1+N(Debts!$D$7)/1200)</f>
        <v/>
      </c>
      <c r="L159" s="33">
        <f>K159-MIN(N(Debts!$E$7),K159)</f>
        <v/>
      </c>
      <c r="M159" s="33">
        <f>IF(L159&lt;=0.005,0,L159-MIN(L159,MAX(0,$E159-SUMIFS(H159:AK159,$H$5:$AK$5,"Rem",$H$4:$AK$4,"&lt;"&amp;M$4))))</f>
        <v/>
      </c>
      <c r="N159" s="33">
        <f>P158*(1+N(Debts!$D$8)/1200)</f>
        <v/>
      </c>
      <c r="O159" s="33">
        <f>N159-MIN(N(Debts!$E$8),N159)</f>
        <v/>
      </c>
      <c r="P159" s="33">
        <f>IF(O159&lt;=0.005,0,O159-MIN(O159,MAX(0,$E159-SUMIFS(H159:AK159,$H$5:$AK$5,"Rem",$H$4:$AK$4,"&lt;"&amp;P$4))))</f>
        <v/>
      </c>
      <c r="Q159" s="33">
        <f>S158*(1+N(Debts!$D$9)/1200)</f>
        <v/>
      </c>
      <c r="R159" s="33">
        <f>Q159-MIN(N(Debts!$E$9),Q159)</f>
        <v/>
      </c>
      <c r="S159" s="33">
        <f>IF(R159&lt;=0.005,0,R159-MIN(R159,MAX(0,$E159-SUMIFS(H159:AK159,$H$5:$AK$5,"Rem",$H$4:$AK$4,"&lt;"&amp;S$4))))</f>
        <v/>
      </c>
      <c r="T159" s="33">
        <f>V158*(1+N(Debts!$D$10)/1200)</f>
        <v/>
      </c>
      <c r="U159" s="33">
        <f>T159-MIN(N(Debts!$E$10),T159)</f>
        <v/>
      </c>
      <c r="V159" s="33">
        <f>IF(U159&lt;=0.005,0,U159-MIN(U159,MAX(0,$E159-SUMIFS(H159:AK159,$H$5:$AK$5,"Rem",$H$4:$AK$4,"&lt;"&amp;V$4))))</f>
        <v/>
      </c>
      <c r="W159" s="33">
        <f>Y158*(1+N(Debts!$D$11)/1200)</f>
        <v/>
      </c>
      <c r="X159" s="33">
        <f>W159-MIN(N(Debts!$E$11),W159)</f>
        <v/>
      </c>
      <c r="Y159" s="33">
        <f>IF(X159&lt;=0.005,0,X159-MIN(X159,MAX(0,$E159-SUMIFS(H159:AK159,$H$5:$AK$5,"Rem",$H$4:$AK$4,"&lt;"&amp;Y$4))))</f>
        <v/>
      </c>
      <c r="Z159" s="33">
        <f>AB158*(1+N(Debts!$D$12)/1200)</f>
        <v/>
      </c>
      <c r="AA159" s="33">
        <f>Z159-MIN(N(Debts!$E$12),Z159)</f>
        <v/>
      </c>
      <c r="AB159" s="33">
        <f>IF(AA159&lt;=0.005,0,AA159-MIN(AA159,MAX(0,$E159-SUMIFS(H159:AK159,$H$5:$AK$5,"Rem",$H$4:$AK$4,"&lt;"&amp;AB$4))))</f>
        <v/>
      </c>
      <c r="AC159" s="33">
        <f>AE158*(1+N(Debts!$D$13)/1200)</f>
        <v/>
      </c>
      <c r="AD159" s="33">
        <f>AC159-MIN(N(Debts!$E$13),AC159)</f>
        <v/>
      </c>
      <c r="AE159" s="33">
        <f>IF(AD159&lt;=0.005,0,AD159-MIN(AD159,MAX(0,$E159-SUMIFS(H159:AK159,$H$5:$AK$5,"Rem",$H$4:$AK$4,"&lt;"&amp;AE$4))))</f>
        <v/>
      </c>
      <c r="AF159" s="33">
        <f>AH158*(1+N(Debts!$D$14)/1200)</f>
        <v/>
      </c>
      <c r="AG159" s="33">
        <f>AF159-MIN(N(Debts!$E$14),AF159)</f>
        <v/>
      </c>
      <c r="AH159" s="33">
        <f>IF(AG159&lt;=0.005,0,AG159-MIN(AG159,MAX(0,$E159-SUMIFS(H159:AK159,$H$5:$AK$5,"Rem",$H$4:$AK$4,"&lt;"&amp;AH$4))))</f>
        <v/>
      </c>
      <c r="AI159" s="33">
        <f>AK158*(1+N(Debts!$D$15)/1200)</f>
        <v/>
      </c>
      <c r="AJ159" s="33">
        <f>AI159-MIN(N(Debts!$E$15),AI159)</f>
        <v/>
      </c>
      <c r="AK159" s="33">
        <f>IF(AJ159&lt;=0.005,0,AJ159-MIN(AJ159,MAX(0,$E159-SUMIFS(H159:AK159,$H$5:$AK$5,"Rem",$H$4:$AK$4,"&lt;"&amp;AK$4))))</f>
        <v/>
      </c>
      <c r="AL159" s="1" t="n"/>
    </row>
    <row r="160">
      <c r="A160" s="1" t="n"/>
      <c r="B160" s="1" t="n">
        <v>153</v>
      </c>
      <c r="C160" s="34">
        <f>EDATE(Debts!$J$13,B160-1)</f>
        <v/>
      </c>
      <c r="D160" s="33">
        <f>IF(G159&lt;=0.005,0,Debts!$E$16+Debts!$J$7)</f>
        <v/>
      </c>
      <c r="E160" s="33">
        <f>MAX(0,D160-(SUMIF($H$5:$AK$5,"Due",H160:AK160)-SUMIF($H$5:$AK$5,"Rem",H160:AK160)))</f>
        <v/>
      </c>
      <c r="F160" s="33">
        <f>SUMIF($H$5:$AK$5,"Due",H160:AK160)-SUMIF($H$5:$AK$5,"Bal",H159:AK159)</f>
        <v/>
      </c>
      <c r="G160" s="33">
        <f>SUMIF($H$5:$AK$5,"Bal",H160:AK160)</f>
        <v/>
      </c>
      <c r="H160" s="33">
        <f>J159*(1+N(Debts!$D$6)/1200)</f>
        <v/>
      </c>
      <c r="I160" s="33">
        <f>H160-MIN(N(Debts!$E$6),H160)</f>
        <v/>
      </c>
      <c r="J160" s="33">
        <f>IF(I160&lt;=0.005,0,I160-MIN(I160,MAX(0,$E160-SUMIFS(H160:AK160,$H$5:$AK$5,"Rem",$H$4:$AK$4,"&lt;"&amp;J$4))))</f>
        <v/>
      </c>
      <c r="K160" s="33">
        <f>M159*(1+N(Debts!$D$7)/1200)</f>
        <v/>
      </c>
      <c r="L160" s="33">
        <f>K160-MIN(N(Debts!$E$7),K160)</f>
        <v/>
      </c>
      <c r="M160" s="33">
        <f>IF(L160&lt;=0.005,0,L160-MIN(L160,MAX(0,$E160-SUMIFS(H160:AK160,$H$5:$AK$5,"Rem",$H$4:$AK$4,"&lt;"&amp;M$4))))</f>
        <v/>
      </c>
      <c r="N160" s="33">
        <f>P159*(1+N(Debts!$D$8)/1200)</f>
        <v/>
      </c>
      <c r="O160" s="33">
        <f>N160-MIN(N(Debts!$E$8),N160)</f>
        <v/>
      </c>
      <c r="P160" s="33">
        <f>IF(O160&lt;=0.005,0,O160-MIN(O160,MAX(0,$E160-SUMIFS(H160:AK160,$H$5:$AK$5,"Rem",$H$4:$AK$4,"&lt;"&amp;P$4))))</f>
        <v/>
      </c>
      <c r="Q160" s="33">
        <f>S159*(1+N(Debts!$D$9)/1200)</f>
        <v/>
      </c>
      <c r="R160" s="33">
        <f>Q160-MIN(N(Debts!$E$9),Q160)</f>
        <v/>
      </c>
      <c r="S160" s="33">
        <f>IF(R160&lt;=0.005,0,R160-MIN(R160,MAX(0,$E160-SUMIFS(H160:AK160,$H$5:$AK$5,"Rem",$H$4:$AK$4,"&lt;"&amp;S$4))))</f>
        <v/>
      </c>
      <c r="T160" s="33">
        <f>V159*(1+N(Debts!$D$10)/1200)</f>
        <v/>
      </c>
      <c r="U160" s="33">
        <f>T160-MIN(N(Debts!$E$10),T160)</f>
        <v/>
      </c>
      <c r="V160" s="33">
        <f>IF(U160&lt;=0.005,0,U160-MIN(U160,MAX(0,$E160-SUMIFS(H160:AK160,$H$5:$AK$5,"Rem",$H$4:$AK$4,"&lt;"&amp;V$4))))</f>
        <v/>
      </c>
      <c r="W160" s="33">
        <f>Y159*(1+N(Debts!$D$11)/1200)</f>
        <v/>
      </c>
      <c r="X160" s="33">
        <f>W160-MIN(N(Debts!$E$11),W160)</f>
        <v/>
      </c>
      <c r="Y160" s="33">
        <f>IF(X160&lt;=0.005,0,X160-MIN(X160,MAX(0,$E160-SUMIFS(H160:AK160,$H$5:$AK$5,"Rem",$H$4:$AK$4,"&lt;"&amp;Y$4))))</f>
        <v/>
      </c>
      <c r="Z160" s="33">
        <f>AB159*(1+N(Debts!$D$12)/1200)</f>
        <v/>
      </c>
      <c r="AA160" s="33">
        <f>Z160-MIN(N(Debts!$E$12),Z160)</f>
        <v/>
      </c>
      <c r="AB160" s="33">
        <f>IF(AA160&lt;=0.005,0,AA160-MIN(AA160,MAX(0,$E160-SUMIFS(H160:AK160,$H$5:$AK$5,"Rem",$H$4:$AK$4,"&lt;"&amp;AB$4))))</f>
        <v/>
      </c>
      <c r="AC160" s="33">
        <f>AE159*(1+N(Debts!$D$13)/1200)</f>
        <v/>
      </c>
      <c r="AD160" s="33">
        <f>AC160-MIN(N(Debts!$E$13),AC160)</f>
        <v/>
      </c>
      <c r="AE160" s="33">
        <f>IF(AD160&lt;=0.005,0,AD160-MIN(AD160,MAX(0,$E160-SUMIFS(H160:AK160,$H$5:$AK$5,"Rem",$H$4:$AK$4,"&lt;"&amp;AE$4))))</f>
        <v/>
      </c>
      <c r="AF160" s="33">
        <f>AH159*(1+N(Debts!$D$14)/1200)</f>
        <v/>
      </c>
      <c r="AG160" s="33">
        <f>AF160-MIN(N(Debts!$E$14),AF160)</f>
        <v/>
      </c>
      <c r="AH160" s="33">
        <f>IF(AG160&lt;=0.005,0,AG160-MIN(AG160,MAX(0,$E160-SUMIFS(H160:AK160,$H$5:$AK$5,"Rem",$H$4:$AK$4,"&lt;"&amp;AH$4))))</f>
        <v/>
      </c>
      <c r="AI160" s="33">
        <f>AK159*(1+N(Debts!$D$15)/1200)</f>
        <v/>
      </c>
      <c r="AJ160" s="33">
        <f>AI160-MIN(N(Debts!$E$15),AI160)</f>
        <v/>
      </c>
      <c r="AK160" s="33">
        <f>IF(AJ160&lt;=0.005,0,AJ160-MIN(AJ160,MAX(0,$E160-SUMIFS(H160:AK160,$H$5:$AK$5,"Rem",$H$4:$AK$4,"&lt;"&amp;AK$4))))</f>
        <v/>
      </c>
      <c r="AL160" s="1" t="n"/>
    </row>
    <row r="161">
      <c r="A161" s="1" t="n"/>
      <c r="B161" s="1" t="n">
        <v>154</v>
      </c>
      <c r="C161" s="34">
        <f>EDATE(Debts!$J$13,B161-1)</f>
        <v/>
      </c>
      <c r="D161" s="33">
        <f>IF(G160&lt;=0.005,0,Debts!$E$16+Debts!$J$7)</f>
        <v/>
      </c>
      <c r="E161" s="33">
        <f>MAX(0,D161-(SUMIF($H$5:$AK$5,"Due",H161:AK161)-SUMIF($H$5:$AK$5,"Rem",H161:AK161)))</f>
        <v/>
      </c>
      <c r="F161" s="33">
        <f>SUMIF($H$5:$AK$5,"Due",H161:AK161)-SUMIF($H$5:$AK$5,"Bal",H160:AK160)</f>
        <v/>
      </c>
      <c r="G161" s="33">
        <f>SUMIF($H$5:$AK$5,"Bal",H161:AK161)</f>
        <v/>
      </c>
      <c r="H161" s="33">
        <f>J160*(1+N(Debts!$D$6)/1200)</f>
        <v/>
      </c>
      <c r="I161" s="33">
        <f>H161-MIN(N(Debts!$E$6),H161)</f>
        <v/>
      </c>
      <c r="J161" s="33">
        <f>IF(I161&lt;=0.005,0,I161-MIN(I161,MAX(0,$E161-SUMIFS(H161:AK161,$H$5:$AK$5,"Rem",$H$4:$AK$4,"&lt;"&amp;J$4))))</f>
        <v/>
      </c>
      <c r="K161" s="33">
        <f>M160*(1+N(Debts!$D$7)/1200)</f>
        <v/>
      </c>
      <c r="L161" s="33">
        <f>K161-MIN(N(Debts!$E$7),K161)</f>
        <v/>
      </c>
      <c r="M161" s="33">
        <f>IF(L161&lt;=0.005,0,L161-MIN(L161,MAX(0,$E161-SUMIFS(H161:AK161,$H$5:$AK$5,"Rem",$H$4:$AK$4,"&lt;"&amp;M$4))))</f>
        <v/>
      </c>
      <c r="N161" s="33">
        <f>P160*(1+N(Debts!$D$8)/1200)</f>
        <v/>
      </c>
      <c r="O161" s="33">
        <f>N161-MIN(N(Debts!$E$8),N161)</f>
        <v/>
      </c>
      <c r="P161" s="33">
        <f>IF(O161&lt;=0.005,0,O161-MIN(O161,MAX(0,$E161-SUMIFS(H161:AK161,$H$5:$AK$5,"Rem",$H$4:$AK$4,"&lt;"&amp;P$4))))</f>
        <v/>
      </c>
      <c r="Q161" s="33">
        <f>S160*(1+N(Debts!$D$9)/1200)</f>
        <v/>
      </c>
      <c r="R161" s="33">
        <f>Q161-MIN(N(Debts!$E$9),Q161)</f>
        <v/>
      </c>
      <c r="S161" s="33">
        <f>IF(R161&lt;=0.005,0,R161-MIN(R161,MAX(0,$E161-SUMIFS(H161:AK161,$H$5:$AK$5,"Rem",$H$4:$AK$4,"&lt;"&amp;S$4))))</f>
        <v/>
      </c>
      <c r="T161" s="33">
        <f>V160*(1+N(Debts!$D$10)/1200)</f>
        <v/>
      </c>
      <c r="U161" s="33">
        <f>T161-MIN(N(Debts!$E$10),T161)</f>
        <v/>
      </c>
      <c r="V161" s="33">
        <f>IF(U161&lt;=0.005,0,U161-MIN(U161,MAX(0,$E161-SUMIFS(H161:AK161,$H$5:$AK$5,"Rem",$H$4:$AK$4,"&lt;"&amp;V$4))))</f>
        <v/>
      </c>
      <c r="W161" s="33">
        <f>Y160*(1+N(Debts!$D$11)/1200)</f>
        <v/>
      </c>
      <c r="X161" s="33">
        <f>W161-MIN(N(Debts!$E$11),W161)</f>
        <v/>
      </c>
      <c r="Y161" s="33">
        <f>IF(X161&lt;=0.005,0,X161-MIN(X161,MAX(0,$E161-SUMIFS(H161:AK161,$H$5:$AK$5,"Rem",$H$4:$AK$4,"&lt;"&amp;Y$4))))</f>
        <v/>
      </c>
      <c r="Z161" s="33">
        <f>AB160*(1+N(Debts!$D$12)/1200)</f>
        <v/>
      </c>
      <c r="AA161" s="33">
        <f>Z161-MIN(N(Debts!$E$12),Z161)</f>
        <v/>
      </c>
      <c r="AB161" s="33">
        <f>IF(AA161&lt;=0.005,0,AA161-MIN(AA161,MAX(0,$E161-SUMIFS(H161:AK161,$H$5:$AK$5,"Rem",$H$4:$AK$4,"&lt;"&amp;AB$4))))</f>
        <v/>
      </c>
      <c r="AC161" s="33">
        <f>AE160*(1+N(Debts!$D$13)/1200)</f>
        <v/>
      </c>
      <c r="AD161" s="33">
        <f>AC161-MIN(N(Debts!$E$13),AC161)</f>
        <v/>
      </c>
      <c r="AE161" s="33">
        <f>IF(AD161&lt;=0.005,0,AD161-MIN(AD161,MAX(0,$E161-SUMIFS(H161:AK161,$H$5:$AK$5,"Rem",$H$4:$AK$4,"&lt;"&amp;AE$4))))</f>
        <v/>
      </c>
      <c r="AF161" s="33">
        <f>AH160*(1+N(Debts!$D$14)/1200)</f>
        <v/>
      </c>
      <c r="AG161" s="33">
        <f>AF161-MIN(N(Debts!$E$14),AF161)</f>
        <v/>
      </c>
      <c r="AH161" s="33">
        <f>IF(AG161&lt;=0.005,0,AG161-MIN(AG161,MAX(0,$E161-SUMIFS(H161:AK161,$H$5:$AK$5,"Rem",$H$4:$AK$4,"&lt;"&amp;AH$4))))</f>
        <v/>
      </c>
      <c r="AI161" s="33">
        <f>AK160*(1+N(Debts!$D$15)/1200)</f>
        <v/>
      </c>
      <c r="AJ161" s="33">
        <f>AI161-MIN(N(Debts!$E$15),AI161)</f>
        <v/>
      </c>
      <c r="AK161" s="33">
        <f>IF(AJ161&lt;=0.005,0,AJ161-MIN(AJ161,MAX(0,$E161-SUMIFS(H161:AK161,$H$5:$AK$5,"Rem",$H$4:$AK$4,"&lt;"&amp;AK$4))))</f>
        <v/>
      </c>
      <c r="AL161" s="1" t="n"/>
    </row>
    <row r="162">
      <c r="A162" s="1" t="n"/>
      <c r="B162" s="1" t="n">
        <v>155</v>
      </c>
      <c r="C162" s="34">
        <f>EDATE(Debts!$J$13,B162-1)</f>
        <v/>
      </c>
      <c r="D162" s="33">
        <f>IF(G161&lt;=0.005,0,Debts!$E$16+Debts!$J$7)</f>
        <v/>
      </c>
      <c r="E162" s="33">
        <f>MAX(0,D162-(SUMIF($H$5:$AK$5,"Due",H162:AK162)-SUMIF($H$5:$AK$5,"Rem",H162:AK162)))</f>
        <v/>
      </c>
      <c r="F162" s="33">
        <f>SUMIF($H$5:$AK$5,"Due",H162:AK162)-SUMIF($H$5:$AK$5,"Bal",H161:AK161)</f>
        <v/>
      </c>
      <c r="G162" s="33">
        <f>SUMIF($H$5:$AK$5,"Bal",H162:AK162)</f>
        <v/>
      </c>
      <c r="H162" s="33">
        <f>J161*(1+N(Debts!$D$6)/1200)</f>
        <v/>
      </c>
      <c r="I162" s="33">
        <f>H162-MIN(N(Debts!$E$6),H162)</f>
        <v/>
      </c>
      <c r="J162" s="33">
        <f>IF(I162&lt;=0.005,0,I162-MIN(I162,MAX(0,$E162-SUMIFS(H162:AK162,$H$5:$AK$5,"Rem",$H$4:$AK$4,"&lt;"&amp;J$4))))</f>
        <v/>
      </c>
      <c r="K162" s="33">
        <f>M161*(1+N(Debts!$D$7)/1200)</f>
        <v/>
      </c>
      <c r="L162" s="33">
        <f>K162-MIN(N(Debts!$E$7),K162)</f>
        <v/>
      </c>
      <c r="M162" s="33">
        <f>IF(L162&lt;=0.005,0,L162-MIN(L162,MAX(0,$E162-SUMIFS(H162:AK162,$H$5:$AK$5,"Rem",$H$4:$AK$4,"&lt;"&amp;M$4))))</f>
        <v/>
      </c>
      <c r="N162" s="33">
        <f>P161*(1+N(Debts!$D$8)/1200)</f>
        <v/>
      </c>
      <c r="O162" s="33">
        <f>N162-MIN(N(Debts!$E$8),N162)</f>
        <v/>
      </c>
      <c r="P162" s="33">
        <f>IF(O162&lt;=0.005,0,O162-MIN(O162,MAX(0,$E162-SUMIFS(H162:AK162,$H$5:$AK$5,"Rem",$H$4:$AK$4,"&lt;"&amp;P$4))))</f>
        <v/>
      </c>
      <c r="Q162" s="33">
        <f>S161*(1+N(Debts!$D$9)/1200)</f>
        <v/>
      </c>
      <c r="R162" s="33">
        <f>Q162-MIN(N(Debts!$E$9),Q162)</f>
        <v/>
      </c>
      <c r="S162" s="33">
        <f>IF(R162&lt;=0.005,0,R162-MIN(R162,MAX(0,$E162-SUMIFS(H162:AK162,$H$5:$AK$5,"Rem",$H$4:$AK$4,"&lt;"&amp;S$4))))</f>
        <v/>
      </c>
      <c r="T162" s="33">
        <f>V161*(1+N(Debts!$D$10)/1200)</f>
        <v/>
      </c>
      <c r="U162" s="33">
        <f>T162-MIN(N(Debts!$E$10),T162)</f>
        <v/>
      </c>
      <c r="V162" s="33">
        <f>IF(U162&lt;=0.005,0,U162-MIN(U162,MAX(0,$E162-SUMIFS(H162:AK162,$H$5:$AK$5,"Rem",$H$4:$AK$4,"&lt;"&amp;V$4))))</f>
        <v/>
      </c>
      <c r="W162" s="33">
        <f>Y161*(1+N(Debts!$D$11)/1200)</f>
        <v/>
      </c>
      <c r="X162" s="33">
        <f>W162-MIN(N(Debts!$E$11),W162)</f>
        <v/>
      </c>
      <c r="Y162" s="33">
        <f>IF(X162&lt;=0.005,0,X162-MIN(X162,MAX(0,$E162-SUMIFS(H162:AK162,$H$5:$AK$5,"Rem",$H$4:$AK$4,"&lt;"&amp;Y$4))))</f>
        <v/>
      </c>
      <c r="Z162" s="33">
        <f>AB161*(1+N(Debts!$D$12)/1200)</f>
        <v/>
      </c>
      <c r="AA162" s="33">
        <f>Z162-MIN(N(Debts!$E$12),Z162)</f>
        <v/>
      </c>
      <c r="AB162" s="33">
        <f>IF(AA162&lt;=0.005,0,AA162-MIN(AA162,MAX(0,$E162-SUMIFS(H162:AK162,$H$5:$AK$5,"Rem",$H$4:$AK$4,"&lt;"&amp;AB$4))))</f>
        <v/>
      </c>
      <c r="AC162" s="33">
        <f>AE161*(1+N(Debts!$D$13)/1200)</f>
        <v/>
      </c>
      <c r="AD162" s="33">
        <f>AC162-MIN(N(Debts!$E$13),AC162)</f>
        <v/>
      </c>
      <c r="AE162" s="33">
        <f>IF(AD162&lt;=0.005,0,AD162-MIN(AD162,MAX(0,$E162-SUMIFS(H162:AK162,$H$5:$AK$5,"Rem",$H$4:$AK$4,"&lt;"&amp;AE$4))))</f>
        <v/>
      </c>
      <c r="AF162" s="33">
        <f>AH161*(1+N(Debts!$D$14)/1200)</f>
        <v/>
      </c>
      <c r="AG162" s="33">
        <f>AF162-MIN(N(Debts!$E$14),AF162)</f>
        <v/>
      </c>
      <c r="AH162" s="33">
        <f>IF(AG162&lt;=0.005,0,AG162-MIN(AG162,MAX(0,$E162-SUMIFS(H162:AK162,$H$5:$AK$5,"Rem",$H$4:$AK$4,"&lt;"&amp;AH$4))))</f>
        <v/>
      </c>
      <c r="AI162" s="33">
        <f>AK161*(1+N(Debts!$D$15)/1200)</f>
        <v/>
      </c>
      <c r="AJ162" s="33">
        <f>AI162-MIN(N(Debts!$E$15),AI162)</f>
        <v/>
      </c>
      <c r="AK162" s="33">
        <f>IF(AJ162&lt;=0.005,0,AJ162-MIN(AJ162,MAX(0,$E162-SUMIFS(H162:AK162,$H$5:$AK$5,"Rem",$H$4:$AK$4,"&lt;"&amp;AK$4))))</f>
        <v/>
      </c>
      <c r="AL162" s="1" t="n"/>
    </row>
    <row r="163">
      <c r="A163" s="1" t="n"/>
      <c r="B163" s="1" t="n">
        <v>156</v>
      </c>
      <c r="C163" s="34">
        <f>EDATE(Debts!$J$13,B163-1)</f>
        <v/>
      </c>
      <c r="D163" s="33">
        <f>IF(G162&lt;=0.005,0,Debts!$E$16+Debts!$J$7)</f>
        <v/>
      </c>
      <c r="E163" s="33">
        <f>MAX(0,D163-(SUMIF($H$5:$AK$5,"Due",H163:AK163)-SUMIF($H$5:$AK$5,"Rem",H163:AK163)))</f>
        <v/>
      </c>
      <c r="F163" s="33">
        <f>SUMIF($H$5:$AK$5,"Due",H163:AK163)-SUMIF($H$5:$AK$5,"Bal",H162:AK162)</f>
        <v/>
      </c>
      <c r="G163" s="33">
        <f>SUMIF($H$5:$AK$5,"Bal",H163:AK163)</f>
        <v/>
      </c>
      <c r="H163" s="33">
        <f>J162*(1+N(Debts!$D$6)/1200)</f>
        <v/>
      </c>
      <c r="I163" s="33">
        <f>H163-MIN(N(Debts!$E$6),H163)</f>
        <v/>
      </c>
      <c r="J163" s="33">
        <f>IF(I163&lt;=0.005,0,I163-MIN(I163,MAX(0,$E163-SUMIFS(H163:AK163,$H$5:$AK$5,"Rem",$H$4:$AK$4,"&lt;"&amp;J$4))))</f>
        <v/>
      </c>
      <c r="K163" s="33">
        <f>M162*(1+N(Debts!$D$7)/1200)</f>
        <v/>
      </c>
      <c r="L163" s="33">
        <f>K163-MIN(N(Debts!$E$7),K163)</f>
        <v/>
      </c>
      <c r="M163" s="33">
        <f>IF(L163&lt;=0.005,0,L163-MIN(L163,MAX(0,$E163-SUMIFS(H163:AK163,$H$5:$AK$5,"Rem",$H$4:$AK$4,"&lt;"&amp;M$4))))</f>
        <v/>
      </c>
      <c r="N163" s="33">
        <f>P162*(1+N(Debts!$D$8)/1200)</f>
        <v/>
      </c>
      <c r="O163" s="33">
        <f>N163-MIN(N(Debts!$E$8),N163)</f>
        <v/>
      </c>
      <c r="P163" s="33">
        <f>IF(O163&lt;=0.005,0,O163-MIN(O163,MAX(0,$E163-SUMIFS(H163:AK163,$H$5:$AK$5,"Rem",$H$4:$AK$4,"&lt;"&amp;P$4))))</f>
        <v/>
      </c>
      <c r="Q163" s="33">
        <f>S162*(1+N(Debts!$D$9)/1200)</f>
        <v/>
      </c>
      <c r="R163" s="33">
        <f>Q163-MIN(N(Debts!$E$9),Q163)</f>
        <v/>
      </c>
      <c r="S163" s="33">
        <f>IF(R163&lt;=0.005,0,R163-MIN(R163,MAX(0,$E163-SUMIFS(H163:AK163,$H$5:$AK$5,"Rem",$H$4:$AK$4,"&lt;"&amp;S$4))))</f>
        <v/>
      </c>
      <c r="T163" s="33">
        <f>V162*(1+N(Debts!$D$10)/1200)</f>
        <v/>
      </c>
      <c r="U163" s="33">
        <f>T163-MIN(N(Debts!$E$10),T163)</f>
        <v/>
      </c>
      <c r="V163" s="33">
        <f>IF(U163&lt;=0.005,0,U163-MIN(U163,MAX(0,$E163-SUMIFS(H163:AK163,$H$5:$AK$5,"Rem",$H$4:$AK$4,"&lt;"&amp;V$4))))</f>
        <v/>
      </c>
      <c r="W163" s="33">
        <f>Y162*(1+N(Debts!$D$11)/1200)</f>
        <v/>
      </c>
      <c r="X163" s="33">
        <f>W163-MIN(N(Debts!$E$11),W163)</f>
        <v/>
      </c>
      <c r="Y163" s="33">
        <f>IF(X163&lt;=0.005,0,X163-MIN(X163,MAX(0,$E163-SUMIFS(H163:AK163,$H$5:$AK$5,"Rem",$H$4:$AK$4,"&lt;"&amp;Y$4))))</f>
        <v/>
      </c>
      <c r="Z163" s="33">
        <f>AB162*(1+N(Debts!$D$12)/1200)</f>
        <v/>
      </c>
      <c r="AA163" s="33">
        <f>Z163-MIN(N(Debts!$E$12),Z163)</f>
        <v/>
      </c>
      <c r="AB163" s="33">
        <f>IF(AA163&lt;=0.005,0,AA163-MIN(AA163,MAX(0,$E163-SUMIFS(H163:AK163,$H$5:$AK$5,"Rem",$H$4:$AK$4,"&lt;"&amp;AB$4))))</f>
        <v/>
      </c>
      <c r="AC163" s="33">
        <f>AE162*(1+N(Debts!$D$13)/1200)</f>
        <v/>
      </c>
      <c r="AD163" s="33">
        <f>AC163-MIN(N(Debts!$E$13),AC163)</f>
        <v/>
      </c>
      <c r="AE163" s="33">
        <f>IF(AD163&lt;=0.005,0,AD163-MIN(AD163,MAX(0,$E163-SUMIFS(H163:AK163,$H$5:$AK$5,"Rem",$H$4:$AK$4,"&lt;"&amp;AE$4))))</f>
        <v/>
      </c>
      <c r="AF163" s="33">
        <f>AH162*(1+N(Debts!$D$14)/1200)</f>
        <v/>
      </c>
      <c r="AG163" s="33">
        <f>AF163-MIN(N(Debts!$E$14),AF163)</f>
        <v/>
      </c>
      <c r="AH163" s="33">
        <f>IF(AG163&lt;=0.005,0,AG163-MIN(AG163,MAX(0,$E163-SUMIFS(H163:AK163,$H$5:$AK$5,"Rem",$H$4:$AK$4,"&lt;"&amp;AH$4))))</f>
        <v/>
      </c>
      <c r="AI163" s="33">
        <f>AK162*(1+N(Debts!$D$15)/1200)</f>
        <v/>
      </c>
      <c r="AJ163" s="33">
        <f>AI163-MIN(N(Debts!$E$15),AI163)</f>
        <v/>
      </c>
      <c r="AK163" s="33">
        <f>IF(AJ163&lt;=0.005,0,AJ163-MIN(AJ163,MAX(0,$E163-SUMIFS(H163:AK163,$H$5:$AK$5,"Rem",$H$4:$AK$4,"&lt;"&amp;AK$4))))</f>
        <v/>
      </c>
      <c r="AL163" s="1" t="n"/>
    </row>
    <row r="164">
      <c r="A164" s="1" t="n"/>
      <c r="B164" s="1" t="n">
        <v>157</v>
      </c>
      <c r="C164" s="34">
        <f>EDATE(Debts!$J$13,B164-1)</f>
        <v/>
      </c>
      <c r="D164" s="33">
        <f>IF(G163&lt;=0.005,0,Debts!$E$16+Debts!$J$7)</f>
        <v/>
      </c>
      <c r="E164" s="33">
        <f>MAX(0,D164-(SUMIF($H$5:$AK$5,"Due",H164:AK164)-SUMIF($H$5:$AK$5,"Rem",H164:AK164)))</f>
        <v/>
      </c>
      <c r="F164" s="33">
        <f>SUMIF($H$5:$AK$5,"Due",H164:AK164)-SUMIF($H$5:$AK$5,"Bal",H163:AK163)</f>
        <v/>
      </c>
      <c r="G164" s="33">
        <f>SUMIF($H$5:$AK$5,"Bal",H164:AK164)</f>
        <v/>
      </c>
      <c r="H164" s="33">
        <f>J163*(1+N(Debts!$D$6)/1200)</f>
        <v/>
      </c>
      <c r="I164" s="33">
        <f>H164-MIN(N(Debts!$E$6),H164)</f>
        <v/>
      </c>
      <c r="J164" s="33">
        <f>IF(I164&lt;=0.005,0,I164-MIN(I164,MAX(0,$E164-SUMIFS(H164:AK164,$H$5:$AK$5,"Rem",$H$4:$AK$4,"&lt;"&amp;J$4))))</f>
        <v/>
      </c>
      <c r="K164" s="33">
        <f>M163*(1+N(Debts!$D$7)/1200)</f>
        <v/>
      </c>
      <c r="L164" s="33">
        <f>K164-MIN(N(Debts!$E$7),K164)</f>
        <v/>
      </c>
      <c r="M164" s="33">
        <f>IF(L164&lt;=0.005,0,L164-MIN(L164,MAX(0,$E164-SUMIFS(H164:AK164,$H$5:$AK$5,"Rem",$H$4:$AK$4,"&lt;"&amp;M$4))))</f>
        <v/>
      </c>
      <c r="N164" s="33">
        <f>P163*(1+N(Debts!$D$8)/1200)</f>
        <v/>
      </c>
      <c r="O164" s="33">
        <f>N164-MIN(N(Debts!$E$8),N164)</f>
        <v/>
      </c>
      <c r="P164" s="33">
        <f>IF(O164&lt;=0.005,0,O164-MIN(O164,MAX(0,$E164-SUMIFS(H164:AK164,$H$5:$AK$5,"Rem",$H$4:$AK$4,"&lt;"&amp;P$4))))</f>
        <v/>
      </c>
      <c r="Q164" s="33">
        <f>S163*(1+N(Debts!$D$9)/1200)</f>
        <v/>
      </c>
      <c r="R164" s="33">
        <f>Q164-MIN(N(Debts!$E$9),Q164)</f>
        <v/>
      </c>
      <c r="S164" s="33">
        <f>IF(R164&lt;=0.005,0,R164-MIN(R164,MAX(0,$E164-SUMIFS(H164:AK164,$H$5:$AK$5,"Rem",$H$4:$AK$4,"&lt;"&amp;S$4))))</f>
        <v/>
      </c>
      <c r="T164" s="33">
        <f>V163*(1+N(Debts!$D$10)/1200)</f>
        <v/>
      </c>
      <c r="U164" s="33">
        <f>T164-MIN(N(Debts!$E$10),T164)</f>
        <v/>
      </c>
      <c r="V164" s="33">
        <f>IF(U164&lt;=0.005,0,U164-MIN(U164,MAX(0,$E164-SUMIFS(H164:AK164,$H$5:$AK$5,"Rem",$H$4:$AK$4,"&lt;"&amp;V$4))))</f>
        <v/>
      </c>
      <c r="W164" s="33">
        <f>Y163*(1+N(Debts!$D$11)/1200)</f>
        <v/>
      </c>
      <c r="X164" s="33">
        <f>W164-MIN(N(Debts!$E$11),W164)</f>
        <v/>
      </c>
      <c r="Y164" s="33">
        <f>IF(X164&lt;=0.005,0,X164-MIN(X164,MAX(0,$E164-SUMIFS(H164:AK164,$H$5:$AK$5,"Rem",$H$4:$AK$4,"&lt;"&amp;Y$4))))</f>
        <v/>
      </c>
      <c r="Z164" s="33">
        <f>AB163*(1+N(Debts!$D$12)/1200)</f>
        <v/>
      </c>
      <c r="AA164" s="33">
        <f>Z164-MIN(N(Debts!$E$12),Z164)</f>
        <v/>
      </c>
      <c r="AB164" s="33">
        <f>IF(AA164&lt;=0.005,0,AA164-MIN(AA164,MAX(0,$E164-SUMIFS(H164:AK164,$H$5:$AK$5,"Rem",$H$4:$AK$4,"&lt;"&amp;AB$4))))</f>
        <v/>
      </c>
      <c r="AC164" s="33">
        <f>AE163*(1+N(Debts!$D$13)/1200)</f>
        <v/>
      </c>
      <c r="AD164" s="33">
        <f>AC164-MIN(N(Debts!$E$13),AC164)</f>
        <v/>
      </c>
      <c r="AE164" s="33">
        <f>IF(AD164&lt;=0.005,0,AD164-MIN(AD164,MAX(0,$E164-SUMIFS(H164:AK164,$H$5:$AK$5,"Rem",$H$4:$AK$4,"&lt;"&amp;AE$4))))</f>
        <v/>
      </c>
      <c r="AF164" s="33">
        <f>AH163*(1+N(Debts!$D$14)/1200)</f>
        <v/>
      </c>
      <c r="AG164" s="33">
        <f>AF164-MIN(N(Debts!$E$14),AF164)</f>
        <v/>
      </c>
      <c r="AH164" s="33">
        <f>IF(AG164&lt;=0.005,0,AG164-MIN(AG164,MAX(0,$E164-SUMIFS(H164:AK164,$H$5:$AK$5,"Rem",$H$4:$AK$4,"&lt;"&amp;AH$4))))</f>
        <v/>
      </c>
      <c r="AI164" s="33">
        <f>AK163*(1+N(Debts!$D$15)/1200)</f>
        <v/>
      </c>
      <c r="AJ164" s="33">
        <f>AI164-MIN(N(Debts!$E$15),AI164)</f>
        <v/>
      </c>
      <c r="AK164" s="33">
        <f>IF(AJ164&lt;=0.005,0,AJ164-MIN(AJ164,MAX(0,$E164-SUMIFS(H164:AK164,$H$5:$AK$5,"Rem",$H$4:$AK$4,"&lt;"&amp;AK$4))))</f>
        <v/>
      </c>
      <c r="AL164" s="1" t="n"/>
    </row>
    <row r="165">
      <c r="A165" s="1" t="n"/>
      <c r="B165" s="1" t="n">
        <v>158</v>
      </c>
      <c r="C165" s="34">
        <f>EDATE(Debts!$J$13,B165-1)</f>
        <v/>
      </c>
      <c r="D165" s="33">
        <f>IF(G164&lt;=0.005,0,Debts!$E$16+Debts!$J$7)</f>
        <v/>
      </c>
      <c r="E165" s="33">
        <f>MAX(0,D165-(SUMIF($H$5:$AK$5,"Due",H165:AK165)-SUMIF($H$5:$AK$5,"Rem",H165:AK165)))</f>
        <v/>
      </c>
      <c r="F165" s="33">
        <f>SUMIF($H$5:$AK$5,"Due",H165:AK165)-SUMIF($H$5:$AK$5,"Bal",H164:AK164)</f>
        <v/>
      </c>
      <c r="G165" s="33">
        <f>SUMIF($H$5:$AK$5,"Bal",H165:AK165)</f>
        <v/>
      </c>
      <c r="H165" s="33">
        <f>J164*(1+N(Debts!$D$6)/1200)</f>
        <v/>
      </c>
      <c r="I165" s="33">
        <f>H165-MIN(N(Debts!$E$6),H165)</f>
        <v/>
      </c>
      <c r="J165" s="33">
        <f>IF(I165&lt;=0.005,0,I165-MIN(I165,MAX(0,$E165-SUMIFS(H165:AK165,$H$5:$AK$5,"Rem",$H$4:$AK$4,"&lt;"&amp;J$4))))</f>
        <v/>
      </c>
      <c r="K165" s="33">
        <f>M164*(1+N(Debts!$D$7)/1200)</f>
        <v/>
      </c>
      <c r="L165" s="33">
        <f>K165-MIN(N(Debts!$E$7),K165)</f>
        <v/>
      </c>
      <c r="M165" s="33">
        <f>IF(L165&lt;=0.005,0,L165-MIN(L165,MAX(0,$E165-SUMIFS(H165:AK165,$H$5:$AK$5,"Rem",$H$4:$AK$4,"&lt;"&amp;M$4))))</f>
        <v/>
      </c>
      <c r="N165" s="33">
        <f>P164*(1+N(Debts!$D$8)/1200)</f>
        <v/>
      </c>
      <c r="O165" s="33">
        <f>N165-MIN(N(Debts!$E$8),N165)</f>
        <v/>
      </c>
      <c r="P165" s="33">
        <f>IF(O165&lt;=0.005,0,O165-MIN(O165,MAX(0,$E165-SUMIFS(H165:AK165,$H$5:$AK$5,"Rem",$H$4:$AK$4,"&lt;"&amp;P$4))))</f>
        <v/>
      </c>
      <c r="Q165" s="33">
        <f>S164*(1+N(Debts!$D$9)/1200)</f>
        <v/>
      </c>
      <c r="R165" s="33">
        <f>Q165-MIN(N(Debts!$E$9),Q165)</f>
        <v/>
      </c>
      <c r="S165" s="33">
        <f>IF(R165&lt;=0.005,0,R165-MIN(R165,MAX(0,$E165-SUMIFS(H165:AK165,$H$5:$AK$5,"Rem",$H$4:$AK$4,"&lt;"&amp;S$4))))</f>
        <v/>
      </c>
      <c r="T165" s="33">
        <f>V164*(1+N(Debts!$D$10)/1200)</f>
        <v/>
      </c>
      <c r="U165" s="33">
        <f>T165-MIN(N(Debts!$E$10),T165)</f>
        <v/>
      </c>
      <c r="V165" s="33">
        <f>IF(U165&lt;=0.005,0,U165-MIN(U165,MAX(0,$E165-SUMIFS(H165:AK165,$H$5:$AK$5,"Rem",$H$4:$AK$4,"&lt;"&amp;V$4))))</f>
        <v/>
      </c>
      <c r="W165" s="33">
        <f>Y164*(1+N(Debts!$D$11)/1200)</f>
        <v/>
      </c>
      <c r="X165" s="33">
        <f>W165-MIN(N(Debts!$E$11),W165)</f>
        <v/>
      </c>
      <c r="Y165" s="33">
        <f>IF(X165&lt;=0.005,0,X165-MIN(X165,MAX(0,$E165-SUMIFS(H165:AK165,$H$5:$AK$5,"Rem",$H$4:$AK$4,"&lt;"&amp;Y$4))))</f>
        <v/>
      </c>
      <c r="Z165" s="33">
        <f>AB164*(1+N(Debts!$D$12)/1200)</f>
        <v/>
      </c>
      <c r="AA165" s="33">
        <f>Z165-MIN(N(Debts!$E$12),Z165)</f>
        <v/>
      </c>
      <c r="AB165" s="33">
        <f>IF(AA165&lt;=0.005,0,AA165-MIN(AA165,MAX(0,$E165-SUMIFS(H165:AK165,$H$5:$AK$5,"Rem",$H$4:$AK$4,"&lt;"&amp;AB$4))))</f>
        <v/>
      </c>
      <c r="AC165" s="33">
        <f>AE164*(1+N(Debts!$D$13)/1200)</f>
        <v/>
      </c>
      <c r="AD165" s="33">
        <f>AC165-MIN(N(Debts!$E$13),AC165)</f>
        <v/>
      </c>
      <c r="AE165" s="33">
        <f>IF(AD165&lt;=0.005,0,AD165-MIN(AD165,MAX(0,$E165-SUMIFS(H165:AK165,$H$5:$AK$5,"Rem",$H$4:$AK$4,"&lt;"&amp;AE$4))))</f>
        <v/>
      </c>
      <c r="AF165" s="33">
        <f>AH164*(1+N(Debts!$D$14)/1200)</f>
        <v/>
      </c>
      <c r="AG165" s="33">
        <f>AF165-MIN(N(Debts!$E$14),AF165)</f>
        <v/>
      </c>
      <c r="AH165" s="33">
        <f>IF(AG165&lt;=0.005,0,AG165-MIN(AG165,MAX(0,$E165-SUMIFS(H165:AK165,$H$5:$AK$5,"Rem",$H$4:$AK$4,"&lt;"&amp;AH$4))))</f>
        <v/>
      </c>
      <c r="AI165" s="33">
        <f>AK164*(1+N(Debts!$D$15)/1200)</f>
        <v/>
      </c>
      <c r="AJ165" s="33">
        <f>AI165-MIN(N(Debts!$E$15),AI165)</f>
        <v/>
      </c>
      <c r="AK165" s="33">
        <f>IF(AJ165&lt;=0.005,0,AJ165-MIN(AJ165,MAX(0,$E165-SUMIFS(H165:AK165,$H$5:$AK$5,"Rem",$H$4:$AK$4,"&lt;"&amp;AK$4))))</f>
        <v/>
      </c>
      <c r="AL165" s="1" t="n"/>
    </row>
    <row r="166">
      <c r="A166" s="1" t="n"/>
      <c r="B166" s="1" t="n">
        <v>159</v>
      </c>
      <c r="C166" s="34">
        <f>EDATE(Debts!$J$13,B166-1)</f>
        <v/>
      </c>
      <c r="D166" s="33">
        <f>IF(G165&lt;=0.005,0,Debts!$E$16+Debts!$J$7)</f>
        <v/>
      </c>
      <c r="E166" s="33">
        <f>MAX(0,D166-(SUMIF($H$5:$AK$5,"Due",H166:AK166)-SUMIF($H$5:$AK$5,"Rem",H166:AK166)))</f>
        <v/>
      </c>
      <c r="F166" s="33">
        <f>SUMIF($H$5:$AK$5,"Due",H166:AK166)-SUMIF($H$5:$AK$5,"Bal",H165:AK165)</f>
        <v/>
      </c>
      <c r="G166" s="33">
        <f>SUMIF($H$5:$AK$5,"Bal",H166:AK166)</f>
        <v/>
      </c>
      <c r="H166" s="33">
        <f>J165*(1+N(Debts!$D$6)/1200)</f>
        <v/>
      </c>
      <c r="I166" s="33">
        <f>H166-MIN(N(Debts!$E$6),H166)</f>
        <v/>
      </c>
      <c r="J166" s="33">
        <f>IF(I166&lt;=0.005,0,I166-MIN(I166,MAX(0,$E166-SUMIFS(H166:AK166,$H$5:$AK$5,"Rem",$H$4:$AK$4,"&lt;"&amp;J$4))))</f>
        <v/>
      </c>
      <c r="K166" s="33">
        <f>M165*(1+N(Debts!$D$7)/1200)</f>
        <v/>
      </c>
      <c r="L166" s="33">
        <f>K166-MIN(N(Debts!$E$7),K166)</f>
        <v/>
      </c>
      <c r="M166" s="33">
        <f>IF(L166&lt;=0.005,0,L166-MIN(L166,MAX(0,$E166-SUMIFS(H166:AK166,$H$5:$AK$5,"Rem",$H$4:$AK$4,"&lt;"&amp;M$4))))</f>
        <v/>
      </c>
      <c r="N166" s="33">
        <f>P165*(1+N(Debts!$D$8)/1200)</f>
        <v/>
      </c>
      <c r="O166" s="33">
        <f>N166-MIN(N(Debts!$E$8),N166)</f>
        <v/>
      </c>
      <c r="P166" s="33">
        <f>IF(O166&lt;=0.005,0,O166-MIN(O166,MAX(0,$E166-SUMIFS(H166:AK166,$H$5:$AK$5,"Rem",$H$4:$AK$4,"&lt;"&amp;P$4))))</f>
        <v/>
      </c>
      <c r="Q166" s="33">
        <f>S165*(1+N(Debts!$D$9)/1200)</f>
        <v/>
      </c>
      <c r="R166" s="33">
        <f>Q166-MIN(N(Debts!$E$9),Q166)</f>
        <v/>
      </c>
      <c r="S166" s="33">
        <f>IF(R166&lt;=0.005,0,R166-MIN(R166,MAX(0,$E166-SUMIFS(H166:AK166,$H$5:$AK$5,"Rem",$H$4:$AK$4,"&lt;"&amp;S$4))))</f>
        <v/>
      </c>
      <c r="T166" s="33">
        <f>V165*(1+N(Debts!$D$10)/1200)</f>
        <v/>
      </c>
      <c r="U166" s="33">
        <f>T166-MIN(N(Debts!$E$10),T166)</f>
        <v/>
      </c>
      <c r="V166" s="33">
        <f>IF(U166&lt;=0.005,0,U166-MIN(U166,MAX(0,$E166-SUMIFS(H166:AK166,$H$5:$AK$5,"Rem",$H$4:$AK$4,"&lt;"&amp;V$4))))</f>
        <v/>
      </c>
      <c r="W166" s="33">
        <f>Y165*(1+N(Debts!$D$11)/1200)</f>
        <v/>
      </c>
      <c r="X166" s="33">
        <f>W166-MIN(N(Debts!$E$11),W166)</f>
        <v/>
      </c>
      <c r="Y166" s="33">
        <f>IF(X166&lt;=0.005,0,X166-MIN(X166,MAX(0,$E166-SUMIFS(H166:AK166,$H$5:$AK$5,"Rem",$H$4:$AK$4,"&lt;"&amp;Y$4))))</f>
        <v/>
      </c>
      <c r="Z166" s="33">
        <f>AB165*(1+N(Debts!$D$12)/1200)</f>
        <v/>
      </c>
      <c r="AA166" s="33">
        <f>Z166-MIN(N(Debts!$E$12),Z166)</f>
        <v/>
      </c>
      <c r="AB166" s="33">
        <f>IF(AA166&lt;=0.005,0,AA166-MIN(AA166,MAX(0,$E166-SUMIFS(H166:AK166,$H$5:$AK$5,"Rem",$H$4:$AK$4,"&lt;"&amp;AB$4))))</f>
        <v/>
      </c>
      <c r="AC166" s="33">
        <f>AE165*(1+N(Debts!$D$13)/1200)</f>
        <v/>
      </c>
      <c r="AD166" s="33">
        <f>AC166-MIN(N(Debts!$E$13),AC166)</f>
        <v/>
      </c>
      <c r="AE166" s="33">
        <f>IF(AD166&lt;=0.005,0,AD166-MIN(AD166,MAX(0,$E166-SUMIFS(H166:AK166,$H$5:$AK$5,"Rem",$H$4:$AK$4,"&lt;"&amp;AE$4))))</f>
        <v/>
      </c>
      <c r="AF166" s="33">
        <f>AH165*(1+N(Debts!$D$14)/1200)</f>
        <v/>
      </c>
      <c r="AG166" s="33">
        <f>AF166-MIN(N(Debts!$E$14),AF166)</f>
        <v/>
      </c>
      <c r="AH166" s="33">
        <f>IF(AG166&lt;=0.005,0,AG166-MIN(AG166,MAX(0,$E166-SUMIFS(H166:AK166,$H$5:$AK$5,"Rem",$H$4:$AK$4,"&lt;"&amp;AH$4))))</f>
        <v/>
      </c>
      <c r="AI166" s="33">
        <f>AK165*(1+N(Debts!$D$15)/1200)</f>
        <v/>
      </c>
      <c r="AJ166" s="33">
        <f>AI166-MIN(N(Debts!$E$15),AI166)</f>
        <v/>
      </c>
      <c r="AK166" s="33">
        <f>IF(AJ166&lt;=0.005,0,AJ166-MIN(AJ166,MAX(0,$E166-SUMIFS(H166:AK166,$H$5:$AK$5,"Rem",$H$4:$AK$4,"&lt;"&amp;AK$4))))</f>
        <v/>
      </c>
      <c r="AL166" s="1" t="n"/>
    </row>
    <row r="167">
      <c r="A167" s="1" t="n"/>
      <c r="B167" s="1" t="n">
        <v>160</v>
      </c>
      <c r="C167" s="34">
        <f>EDATE(Debts!$J$13,B167-1)</f>
        <v/>
      </c>
      <c r="D167" s="33">
        <f>IF(G166&lt;=0.005,0,Debts!$E$16+Debts!$J$7)</f>
        <v/>
      </c>
      <c r="E167" s="33">
        <f>MAX(0,D167-(SUMIF($H$5:$AK$5,"Due",H167:AK167)-SUMIF($H$5:$AK$5,"Rem",H167:AK167)))</f>
        <v/>
      </c>
      <c r="F167" s="33">
        <f>SUMIF($H$5:$AK$5,"Due",H167:AK167)-SUMIF($H$5:$AK$5,"Bal",H166:AK166)</f>
        <v/>
      </c>
      <c r="G167" s="33">
        <f>SUMIF($H$5:$AK$5,"Bal",H167:AK167)</f>
        <v/>
      </c>
      <c r="H167" s="33">
        <f>J166*(1+N(Debts!$D$6)/1200)</f>
        <v/>
      </c>
      <c r="I167" s="33">
        <f>H167-MIN(N(Debts!$E$6),H167)</f>
        <v/>
      </c>
      <c r="J167" s="33">
        <f>IF(I167&lt;=0.005,0,I167-MIN(I167,MAX(0,$E167-SUMIFS(H167:AK167,$H$5:$AK$5,"Rem",$H$4:$AK$4,"&lt;"&amp;J$4))))</f>
        <v/>
      </c>
      <c r="K167" s="33">
        <f>M166*(1+N(Debts!$D$7)/1200)</f>
        <v/>
      </c>
      <c r="L167" s="33">
        <f>K167-MIN(N(Debts!$E$7),K167)</f>
        <v/>
      </c>
      <c r="M167" s="33">
        <f>IF(L167&lt;=0.005,0,L167-MIN(L167,MAX(0,$E167-SUMIFS(H167:AK167,$H$5:$AK$5,"Rem",$H$4:$AK$4,"&lt;"&amp;M$4))))</f>
        <v/>
      </c>
      <c r="N167" s="33">
        <f>P166*(1+N(Debts!$D$8)/1200)</f>
        <v/>
      </c>
      <c r="O167" s="33">
        <f>N167-MIN(N(Debts!$E$8),N167)</f>
        <v/>
      </c>
      <c r="P167" s="33">
        <f>IF(O167&lt;=0.005,0,O167-MIN(O167,MAX(0,$E167-SUMIFS(H167:AK167,$H$5:$AK$5,"Rem",$H$4:$AK$4,"&lt;"&amp;P$4))))</f>
        <v/>
      </c>
      <c r="Q167" s="33">
        <f>S166*(1+N(Debts!$D$9)/1200)</f>
        <v/>
      </c>
      <c r="R167" s="33">
        <f>Q167-MIN(N(Debts!$E$9),Q167)</f>
        <v/>
      </c>
      <c r="S167" s="33">
        <f>IF(R167&lt;=0.005,0,R167-MIN(R167,MAX(0,$E167-SUMIFS(H167:AK167,$H$5:$AK$5,"Rem",$H$4:$AK$4,"&lt;"&amp;S$4))))</f>
        <v/>
      </c>
      <c r="T167" s="33">
        <f>V166*(1+N(Debts!$D$10)/1200)</f>
        <v/>
      </c>
      <c r="U167" s="33">
        <f>T167-MIN(N(Debts!$E$10),T167)</f>
        <v/>
      </c>
      <c r="V167" s="33">
        <f>IF(U167&lt;=0.005,0,U167-MIN(U167,MAX(0,$E167-SUMIFS(H167:AK167,$H$5:$AK$5,"Rem",$H$4:$AK$4,"&lt;"&amp;V$4))))</f>
        <v/>
      </c>
      <c r="W167" s="33">
        <f>Y166*(1+N(Debts!$D$11)/1200)</f>
        <v/>
      </c>
      <c r="X167" s="33">
        <f>W167-MIN(N(Debts!$E$11),W167)</f>
        <v/>
      </c>
      <c r="Y167" s="33">
        <f>IF(X167&lt;=0.005,0,X167-MIN(X167,MAX(0,$E167-SUMIFS(H167:AK167,$H$5:$AK$5,"Rem",$H$4:$AK$4,"&lt;"&amp;Y$4))))</f>
        <v/>
      </c>
      <c r="Z167" s="33">
        <f>AB166*(1+N(Debts!$D$12)/1200)</f>
        <v/>
      </c>
      <c r="AA167" s="33">
        <f>Z167-MIN(N(Debts!$E$12),Z167)</f>
        <v/>
      </c>
      <c r="AB167" s="33">
        <f>IF(AA167&lt;=0.005,0,AA167-MIN(AA167,MAX(0,$E167-SUMIFS(H167:AK167,$H$5:$AK$5,"Rem",$H$4:$AK$4,"&lt;"&amp;AB$4))))</f>
        <v/>
      </c>
      <c r="AC167" s="33">
        <f>AE166*(1+N(Debts!$D$13)/1200)</f>
        <v/>
      </c>
      <c r="AD167" s="33">
        <f>AC167-MIN(N(Debts!$E$13),AC167)</f>
        <v/>
      </c>
      <c r="AE167" s="33">
        <f>IF(AD167&lt;=0.005,0,AD167-MIN(AD167,MAX(0,$E167-SUMIFS(H167:AK167,$H$5:$AK$5,"Rem",$H$4:$AK$4,"&lt;"&amp;AE$4))))</f>
        <v/>
      </c>
      <c r="AF167" s="33">
        <f>AH166*(1+N(Debts!$D$14)/1200)</f>
        <v/>
      </c>
      <c r="AG167" s="33">
        <f>AF167-MIN(N(Debts!$E$14),AF167)</f>
        <v/>
      </c>
      <c r="AH167" s="33">
        <f>IF(AG167&lt;=0.005,0,AG167-MIN(AG167,MAX(0,$E167-SUMIFS(H167:AK167,$H$5:$AK$5,"Rem",$H$4:$AK$4,"&lt;"&amp;AH$4))))</f>
        <v/>
      </c>
      <c r="AI167" s="33">
        <f>AK166*(1+N(Debts!$D$15)/1200)</f>
        <v/>
      </c>
      <c r="AJ167" s="33">
        <f>AI167-MIN(N(Debts!$E$15),AI167)</f>
        <v/>
      </c>
      <c r="AK167" s="33">
        <f>IF(AJ167&lt;=0.005,0,AJ167-MIN(AJ167,MAX(0,$E167-SUMIFS(H167:AK167,$H$5:$AK$5,"Rem",$H$4:$AK$4,"&lt;"&amp;AK$4))))</f>
        <v/>
      </c>
      <c r="AL167" s="1" t="n"/>
    </row>
    <row r="168">
      <c r="A168" s="1" t="n"/>
      <c r="B168" s="1" t="n">
        <v>161</v>
      </c>
      <c r="C168" s="34">
        <f>EDATE(Debts!$J$13,B168-1)</f>
        <v/>
      </c>
      <c r="D168" s="33">
        <f>IF(G167&lt;=0.005,0,Debts!$E$16+Debts!$J$7)</f>
        <v/>
      </c>
      <c r="E168" s="33">
        <f>MAX(0,D168-(SUMIF($H$5:$AK$5,"Due",H168:AK168)-SUMIF($H$5:$AK$5,"Rem",H168:AK168)))</f>
        <v/>
      </c>
      <c r="F168" s="33">
        <f>SUMIF($H$5:$AK$5,"Due",H168:AK168)-SUMIF($H$5:$AK$5,"Bal",H167:AK167)</f>
        <v/>
      </c>
      <c r="G168" s="33">
        <f>SUMIF($H$5:$AK$5,"Bal",H168:AK168)</f>
        <v/>
      </c>
      <c r="H168" s="33">
        <f>J167*(1+N(Debts!$D$6)/1200)</f>
        <v/>
      </c>
      <c r="I168" s="33">
        <f>H168-MIN(N(Debts!$E$6),H168)</f>
        <v/>
      </c>
      <c r="J168" s="33">
        <f>IF(I168&lt;=0.005,0,I168-MIN(I168,MAX(0,$E168-SUMIFS(H168:AK168,$H$5:$AK$5,"Rem",$H$4:$AK$4,"&lt;"&amp;J$4))))</f>
        <v/>
      </c>
      <c r="K168" s="33">
        <f>M167*(1+N(Debts!$D$7)/1200)</f>
        <v/>
      </c>
      <c r="L168" s="33">
        <f>K168-MIN(N(Debts!$E$7),K168)</f>
        <v/>
      </c>
      <c r="M168" s="33">
        <f>IF(L168&lt;=0.005,0,L168-MIN(L168,MAX(0,$E168-SUMIFS(H168:AK168,$H$5:$AK$5,"Rem",$H$4:$AK$4,"&lt;"&amp;M$4))))</f>
        <v/>
      </c>
      <c r="N168" s="33">
        <f>P167*(1+N(Debts!$D$8)/1200)</f>
        <v/>
      </c>
      <c r="O168" s="33">
        <f>N168-MIN(N(Debts!$E$8),N168)</f>
        <v/>
      </c>
      <c r="P168" s="33">
        <f>IF(O168&lt;=0.005,0,O168-MIN(O168,MAX(0,$E168-SUMIFS(H168:AK168,$H$5:$AK$5,"Rem",$H$4:$AK$4,"&lt;"&amp;P$4))))</f>
        <v/>
      </c>
      <c r="Q168" s="33">
        <f>S167*(1+N(Debts!$D$9)/1200)</f>
        <v/>
      </c>
      <c r="R168" s="33">
        <f>Q168-MIN(N(Debts!$E$9),Q168)</f>
        <v/>
      </c>
      <c r="S168" s="33">
        <f>IF(R168&lt;=0.005,0,R168-MIN(R168,MAX(0,$E168-SUMIFS(H168:AK168,$H$5:$AK$5,"Rem",$H$4:$AK$4,"&lt;"&amp;S$4))))</f>
        <v/>
      </c>
      <c r="T168" s="33">
        <f>V167*(1+N(Debts!$D$10)/1200)</f>
        <v/>
      </c>
      <c r="U168" s="33">
        <f>T168-MIN(N(Debts!$E$10),T168)</f>
        <v/>
      </c>
      <c r="V168" s="33">
        <f>IF(U168&lt;=0.005,0,U168-MIN(U168,MAX(0,$E168-SUMIFS(H168:AK168,$H$5:$AK$5,"Rem",$H$4:$AK$4,"&lt;"&amp;V$4))))</f>
        <v/>
      </c>
      <c r="W168" s="33">
        <f>Y167*(1+N(Debts!$D$11)/1200)</f>
        <v/>
      </c>
      <c r="X168" s="33">
        <f>W168-MIN(N(Debts!$E$11),W168)</f>
        <v/>
      </c>
      <c r="Y168" s="33">
        <f>IF(X168&lt;=0.005,0,X168-MIN(X168,MAX(0,$E168-SUMIFS(H168:AK168,$H$5:$AK$5,"Rem",$H$4:$AK$4,"&lt;"&amp;Y$4))))</f>
        <v/>
      </c>
      <c r="Z168" s="33">
        <f>AB167*(1+N(Debts!$D$12)/1200)</f>
        <v/>
      </c>
      <c r="AA168" s="33">
        <f>Z168-MIN(N(Debts!$E$12),Z168)</f>
        <v/>
      </c>
      <c r="AB168" s="33">
        <f>IF(AA168&lt;=0.005,0,AA168-MIN(AA168,MAX(0,$E168-SUMIFS(H168:AK168,$H$5:$AK$5,"Rem",$H$4:$AK$4,"&lt;"&amp;AB$4))))</f>
        <v/>
      </c>
      <c r="AC168" s="33">
        <f>AE167*(1+N(Debts!$D$13)/1200)</f>
        <v/>
      </c>
      <c r="AD168" s="33">
        <f>AC168-MIN(N(Debts!$E$13),AC168)</f>
        <v/>
      </c>
      <c r="AE168" s="33">
        <f>IF(AD168&lt;=0.005,0,AD168-MIN(AD168,MAX(0,$E168-SUMIFS(H168:AK168,$H$5:$AK$5,"Rem",$H$4:$AK$4,"&lt;"&amp;AE$4))))</f>
        <v/>
      </c>
      <c r="AF168" s="33">
        <f>AH167*(1+N(Debts!$D$14)/1200)</f>
        <v/>
      </c>
      <c r="AG168" s="33">
        <f>AF168-MIN(N(Debts!$E$14),AF168)</f>
        <v/>
      </c>
      <c r="AH168" s="33">
        <f>IF(AG168&lt;=0.005,0,AG168-MIN(AG168,MAX(0,$E168-SUMIFS(H168:AK168,$H$5:$AK$5,"Rem",$H$4:$AK$4,"&lt;"&amp;AH$4))))</f>
        <v/>
      </c>
      <c r="AI168" s="33">
        <f>AK167*(1+N(Debts!$D$15)/1200)</f>
        <v/>
      </c>
      <c r="AJ168" s="33">
        <f>AI168-MIN(N(Debts!$E$15),AI168)</f>
        <v/>
      </c>
      <c r="AK168" s="33">
        <f>IF(AJ168&lt;=0.005,0,AJ168-MIN(AJ168,MAX(0,$E168-SUMIFS(H168:AK168,$H$5:$AK$5,"Rem",$H$4:$AK$4,"&lt;"&amp;AK$4))))</f>
        <v/>
      </c>
      <c r="AL168" s="1" t="n"/>
    </row>
    <row r="169">
      <c r="A169" s="1" t="n"/>
      <c r="B169" s="1" t="n">
        <v>162</v>
      </c>
      <c r="C169" s="34">
        <f>EDATE(Debts!$J$13,B169-1)</f>
        <v/>
      </c>
      <c r="D169" s="33">
        <f>IF(G168&lt;=0.005,0,Debts!$E$16+Debts!$J$7)</f>
        <v/>
      </c>
      <c r="E169" s="33">
        <f>MAX(0,D169-(SUMIF($H$5:$AK$5,"Due",H169:AK169)-SUMIF($H$5:$AK$5,"Rem",H169:AK169)))</f>
        <v/>
      </c>
      <c r="F169" s="33">
        <f>SUMIF($H$5:$AK$5,"Due",H169:AK169)-SUMIF($H$5:$AK$5,"Bal",H168:AK168)</f>
        <v/>
      </c>
      <c r="G169" s="33">
        <f>SUMIF($H$5:$AK$5,"Bal",H169:AK169)</f>
        <v/>
      </c>
      <c r="H169" s="33">
        <f>J168*(1+N(Debts!$D$6)/1200)</f>
        <v/>
      </c>
      <c r="I169" s="33">
        <f>H169-MIN(N(Debts!$E$6),H169)</f>
        <v/>
      </c>
      <c r="J169" s="33">
        <f>IF(I169&lt;=0.005,0,I169-MIN(I169,MAX(0,$E169-SUMIFS(H169:AK169,$H$5:$AK$5,"Rem",$H$4:$AK$4,"&lt;"&amp;J$4))))</f>
        <v/>
      </c>
      <c r="K169" s="33">
        <f>M168*(1+N(Debts!$D$7)/1200)</f>
        <v/>
      </c>
      <c r="L169" s="33">
        <f>K169-MIN(N(Debts!$E$7),K169)</f>
        <v/>
      </c>
      <c r="M169" s="33">
        <f>IF(L169&lt;=0.005,0,L169-MIN(L169,MAX(0,$E169-SUMIFS(H169:AK169,$H$5:$AK$5,"Rem",$H$4:$AK$4,"&lt;"&amp;M$4))))</f>
        <v/>
      </c>
      <c r="N169" s="33">
        <f>P168*(1+N(Debts!$D$8)/1200)</f>
        <v/>
      </c>
      <c r="O169" s="33">
        <f>N169-MIN(N(Debts!$E$8),N169)</f>
        <v/>
      </c>
      <c r="P169" s="33">
        <f>IF(O169&lt;=0.005,0,O169-MIN(O169,MAX(0,$E169-SUMIFS(H169:AK169,$H$5:$AK$5,"Rem",$H$4:$AK$4,"&lt;"&amp;P$4))))</f>
        <v/>
      </c>
      <c r="Q169" s="33">
        <f>S168*(1+N(Debts!$D$9)/1200)</f>
        <v/>
      </c>
      <c r="R169" s="33">
        <f>Q169-MIN(N(Debts!$E$9),Q169)</f>
        <v/>
      </c>
      <c r="S169" s="33">
        <f>IF(R169&lt;=0.005,0,R169-MIN(R169,MAX(0,$E169-SUMIFS(H169:AK169,$H$5:$AK$5,"Rem",$H$4:$AK$4,"&lt;"&amp;S$4))))</f>
        <v/>
      </c>
      <c r="T169" s="33">
        <f>V168*(1+N(Debts!$D$10)/1200)</f>
        <v/>
      </c>
      <c r="U169" s="33">
        <f>T169-MIN(N(Debts!$E$10),T169)</f>
        <v/>
      </c>
      <c r="V169" s="33">
        <f>IF(U169&lt;=0.005,0,U169-MIN(U169,MAX(0,$E169-SUMIFS(H169:AK169,$H$5:$AK$5,"Rem",$H$4:$AK$4,"&lt;"&amp;V$4))))</f>
        <v/>
      </c>
      <c r="W169" s="33">
        <f>Y168*(1+N(Debts!$D$11)/1200)</f>
        <v/>
      </c>
      <c r="X169" s="33">
        <f>W169-MIN(N(Debts!$E$11),W169)</f>
        <v/>
      </c>
      <c r="Y169" s="33">
        <f>IF(X169&lt;=0.005,0,X169-MIN(X169,MAX(0,$E169-SUMIFS(H169:AK169,$H$5:$AK$5,"Rem",$H$4:$AK$4,"&lt;"&amp;Y$4))))</f>
        <v/>
      </c>
      <c r="Z169" s="33">
        <f>AB168*(1+N(Debts!$D$12)/1200)</f>
        <v/>
      </c>
      <c r="AA169" s="33">
        <f>Z169-MIN(N(Debts!$E$12),Z169)</f>
        <v/>
      </c>
      <c r="AB169" s="33">
        <f>IF(AA169&lt;=0.005,0,AA169-MIN(AA169,MAX(0,$E169-SUMIFS(H169:AK169,$H$5:$AK$5,"Rem",$H$4:$AK$4,"&lt;"&amp;AB$4))))</f>
        <v/>
      </c>
      <c r="AC169" s="33">
        <f>AE168*(1+N(Debts!$D$13)/1200)</f>
        <v/>
      </c>
      <c r="AD169" s="33">
        <f>AC169-MIN(N(Debts!$E$13),AC169)</f>
        <v/>
      </c>
      <c r="AE169" s="33">
        <f>IF(AD169&lt;=0.005,0,AD169-MIN(AD169,MAX(0,$E169-SUMIFS(H169:AK169,$H$5:$AK$5,"Rem",$H$4:$AK$4,"&lt;"&amp;AE$4))))</f>
        <v/>
      </c>
      <c r="AF169" s="33">
        <f>AH168*(1+N(Debts!$D$14)/1200)</f>
        <v/>
      </c>
      <c r="AG169" s="33">
        <f>AF169-MIN(N(Debts!$E$14),AF169)</f>
        <v/>
      </c>
      <c r="AH169" s="33">
        <f>IF(AG169&lt;=0.005,0,AG169-MIN(AG169,MAX(0,$E169-SUMIFS(H169:AK169,$H$5:$AK$5,"Rem",$H$4:$AK$4,"&lt;"&amp;AH$4))))</f>
        <v/>
      </c>
      <c r="AI169" s="33">
        <f>AK168*(1+N(Debts!$D$15)/1200)</f>
        <v/>
      </c>
      <c r="AJ169" s="33">
        <f>AI169-MIN(N(Debts!$E$15),AI169)</f>
        <v/>
      </c>
      <c r="AK169" s="33">
        <f>IF(AJ169&lt;=0.005,0,AJ169-MIN(AJ169,MAX(0,$E169-SUMIFS(H169:AK169,$H$5:$AK$5,"Rem",$H$4:$AK$4,"&lt;"&amp;AK$4))))</f>
        <v/>
      </c>
      <c r="AL169" s="1" t="n"/>
    </row>
    <row r="170">
      <c r="A170" s="1" t="n"/>
      <c r="B170" s="1" t="n">
        <v>163</v>
      </c>
      <c r="C170" s="34">
        <f>EDATE(Debts!$J$13,B170-1)</f>
        <v/>
      </c>
      <c r="D170" s="33">
        <f>IF(G169&lt;=0.005,0,Debts!$E$16+Debts!$J$7)</f>
        <v/>
      </c>
      <c r="E170" s="33">
        <f>MAX(0,D170-(SUMIF($H$5:$AK$5,"Due",H170:AK170)-SUMIF($H$5:$AK$5,"Rem",H170:AK170)))</f>
        <v/>
      </c>
      <c r="F170" s="33">
        <f>SUMIF($H$5:$AK$5,"Due",H170:AK170)-SUMIF($H$5:$AK$5,"Bal",H169:AK169)</f>
        <v/>
      </c>
      <c r="G170" s="33">
        <f>SUMIF($H$5:$AK$5,"Bal",H170:AK170)</f>
        <v/>
      </c>
      <c r="H170" s="33">
        <f>J169*(1+N(Debts!$D$6)/1200)</f>
        <v/>
      </c>
      <c r="I170" s="33">
        <f>H170-MIN(N(Debts!$E$6),H170)</f>
        <v/>
      </c>
      <c r="J170" s="33">
        <f>IF(I170&lt;=0.005,0,I170-MIN(I170,MAX(0,$E170-SUMIFS(H170:AK170,$H$5:$AK$5,"Rem",$H$4:$AK$4,"&lt;"&amp;J$4))))</f>
        <v/>
      </c>
      <c r="K170" s="33">
        <f>M169*(1+N(Debts!$D$7)/1200)</f>
        <v/>
      </c>
      <c r="L170" s="33">
        <f>K170-MIN(N(Debts!$E$7),K170)</f>
        <v/>
      </c>
      <c r="M170" s="33">
        <f>IF(L170&lt;=0.005,0,L170-MIN(L170,MAX(0,$E170-SUMIFS(H170:AK170,$H$5:$AK$5,"Rem",$H$4:$AK$4,"&lt;"&amp;M$4))))</f>
        <v/>
      </c>
      <c r="N170" s="33">
        <f>P169*(1+N(Debts!$D$8)/1200)</f>
        <v/>
      </c>
      <c r="O170" s="33">
        <f>N170-MIN(N(Debts!$E$8),N170)</f>
        <v/>
      </c>
      <c r="P170" s="33">
        <f>IF(O170&lt;=0.005,0,O170-MIN(O170,MAX(0,$E170-SUMIFS(H170:AK170,$H$5:$AK$5,"Rem",$H$4:$AK$4,"&lt;"&amp;P$4))))</f>
        <v/>
      </c>
      <c r="Q170" s="33">
        <f>S169*(1+N(Debts!$D$9)/1200)</f>
        <v/>
      </c>
      <c r="R170" s="33">
        <f>Q170-MIN(N(Debts!$E$9),Q170)</f>
        <v/>
      </c>
      <c r="S170" s="33">
        <f>IF(R170&lt;=0.005,0,R170-MIN(R170,MAX(0,$E170-SUMIFS(H170:AK170,$H$5:$AK$5,"Rem",$H$4:$AK$4,"&lt;"&amp;S$4))))</f>
        <v/>
      </c>
      <c r="T170" s="33">
        <f>V169*(1+N(Debts!$D$10)/1200)</f>
        <v/>
      </c>
      <c r="U170" s="33">
        <f>T170-MIN(N(Debts!$E$10),T170)</f>
        <v/>
      </c>
      <c r="V170" s="33">
        <f>IF(U170&lt;=0.005,0,U170-MIN(U170,MAX(0,$E170-SUMIFS(H170:AK170,$H$5:$AK$5,"Rem",$H$4:$AK$4,"&lt;"&amp;V$4))))</f>
        <v/>
      </c>
      <c r="W170" s="33">
        <f>Y169*(1+N(Debts!$D$11)/1200)</f>
        <v/>
      </c>
      <c r="X170" s="33">
        <f>W170-MIN(N(Debts!$E$11),W170)</f>
        <v/>
      </c>
      <c r="Y170" s="33">
        <f>IF(X170&lt;=0.005,0,X170-MIN(X170,MAX(0,$E170-SUMIFS(H170:AK170,$H$5:$AK$5,"Rem",$H$4:$AK$4,"&lt;"&amp;Y$4))))</f>
        <v/>
      </c>
      <c r="Z170" s="33">
        <f>AB169*(1+N(Debts!$D$12)/1200)</f>
        <v/>
      </c>
      <c r="AA170" s="33">
        <f>Z170-MIN(N(Debts!$E$12),Z170)</f>
        <v/>
      </c>
      <c r="AB170" s="33">
        <f>IF(AA170&lt;=0.005,0,AA170-MIN(AA170,MAX(0,$E170-SUMIFS(H170:AK170,$H$5:$AK$5,"Rem",$H$4:$AK$4,"&lt;"&amp;AB$4))))</f>
        <v/>
      </c>
      <c r="AC170" s="33">
        <f>AE169*(1+N(Debts!$D$13)/1200)</f>
        <v/>
      </c>
      <c r="AD170" s="33">
        <f>AC170-MIN(N(Debts!$E$13),AC170)</f>
        <v/>
      </c>
      <c r="AE170" s="33">
        <f>IF(AD170&lt;=0.005,0,AD170-MIN(AD170,MAX(0,$E170-SUMIFS(H170:AK170,$H$5:$AK$5,"Rem",$H$4:$AK$4,"&lt;"&amp;AE$4))))</f>
        <v/>
      </c>
      <c r="AF170" s="33">
        <f>AH169*(1+N(Debts!$D$14)/1200)</f>
        <v/>
      </c>
      <c r="AG170" s="33">
        <f>AF170-MIN(N(Debts!$E$14),AF170)</f>
        <v/>
      </c>
      <c r="AH170" s="33">
        <f>IF(AG170&lt;=0.005,0,AG170-MIN(AG170,MAX(0,$E170-SUMIFS(H170:AK170,$H$5:$AK$5,"Rem",$H$4:$AK$4,"&lt;"&amp;AH$4))))</f>
        <v/>
      </c>
      <c r="AI170" s="33">
        <f>AK169*(1+N(Debts!$D$15)/1200)</f>
        <v/>
      </c>
      <c r="AJ170" s="33">
        <f>AI170-MIN(N(Debts!$E$15),AI170)</f>
        <v/>
      </c>
      <c r="AK170" s="33">
        <f>IF(AJ170&lt;=0.005,0,AJ170-MIN(AJ170,MAX(0,$E170-SUMIFS(H170:AK170,$H$5:$AK$5,"Rem",$H$4:$AK$4,"&lt;"&amp;AK$4))))</f>
        <v/>
      </c>
      <c r="AL170" s="1" t="n"/>
    </row>
    <row r="171">
      <c r="A171" s="1" t="n"/>
      <c r="B171" s="1" t="n">
        <v>164</v>
      </c>
      <c r="C171" s="34">
        <f>EDATE(Debts!$J$13,B171-1)</f>
        <v/>
      </c>
      <c r="D171" s="33">
        <f>IF(G170&lt;=0.005,0,Debts!$E$16+Debts!$J$7)</f>
        <v/>
      </c>
      <c r="E171" s="33">
        <f>MAX(0,D171-(SUMIF($H$5:$AK$5,"Due",H171:AK171)-SUMIF($H$5:$AK$5,"Rem",H171:AK171)))</f>
        <v/>
      </c>
      <c r="F171" s="33">
        <f>SUMIF($H$5:$AK$5,"Due",H171:AK171)-SUMIF($H$5:$AK$5,"Bal",H170:AK170)</f>
        <v/>
      </c>
      <c r="G171" s="33">
        <f>SUMIF($H$5:$AK$5,"Bal",H171:AK171)</f>
        <v/>
      </c>
      <c r="H171" s="33">
        <f>J170*(1+N(Debts!$D$6)/1200)</f>
        <v/>
      </c>
      <c r="I171" s="33">
        <f>H171-MIN(N(Debts!$E$6),H171)</f>
        <v/>
      </c>
      <c r="J171" s="33">
        <f>IF(I171&lt;=0.005,0,I171-MIN(I171,MAX(0,$E171-SUMIFS(H171:AK171,$H$5:$AK$5,"Rem",$H$4:$AK$4,"&lt;"&amp;J$4))))</f>
        <v/>
      </c>
      <c r="K171" s="33">
        <f>M170*(1+N(Debts!$D$7)/1200)</f>
        <v/>
      </c>
      <c r="L171" s="33">
        <f>K171-MIN(N(Debts!$E$7),K171)</f>
        <v/>
      </c>
      <c r="M171" s="33">
        <f>IF(L171&lt;=0.005,0,L171-MIN(L171,MAX(0,$E171-SUMIFS(H171:AK171,$H$5:$AK$5,"Rem",$H$4:$AK$4,"&lt;"&amp;M$4))))</f>
        <v/>
      </c>
      <c r="N171" s="33">
        <f>P170*(1+N(Debts!$D$8)/1200)</f>
        <v/>
      </c>
      <c r="O171" s="33">
        <f>N171-MIN(N(Debts!$E$8),N171)</f>
        <v/>
      </c>
      <c r="P171" s="33">
        <f>IF(O171&lt;=0.005,0,O171-MIN(O171,MAX(0,$E171-SUMIFS(H171:AK171,$H$5:$AK$5,"Rem",$H$4:$AK$4,"&lt;"&amp;P$4))))</f>
        <v/>
      </c>
      <c r="Q171" s="33">
        <f>S170*(1+N(Debts!$D$9)/1200)</f>
        <v/>
      </c>
      <c r="R171" s="33">
        <f>Q171-MIN(N(Debts!$E$9),Q171)</f>
        <v/>
      </c>
      <c r="S171" s="33">
        <f>IF(R171&lt;=0.005,0,R171-MIN(R171,MAX(0,$E171-SUMIFS(H171:AK171,$H$5:$AK$5,"Rem",$H$4:$AK$4,"&lt;"&amp;S$4))))</f>
        <v/>
      </c>
      <c r="T171" s="33">
        <f>V170*(1+N(Debts!$D$10)/1200)</f>
        <v/>
      </c>
      <c r="U171" s="33">
        <f>T171-MIN(N(Debts!$E$10),T171)</f>
        <v/>
      </c>
      <c r="V171" s="33">
        <f>IF(U171&lt;=0.005,0,U171-MIN(U171,MAX(0,$E171-SUMIFS(H171:AK171,$H$5:$AK$5,"Rem",$H$4:$AK$4,"&lt;"&amp;V$4))))</f>
        <v/>
      </c>
      <c r="W171" s="33">
        <f>Y170*(1+N(Debts!$D$11)/1200)</f>
        <v/>
      </c>
      <c r="X171" s="33">
        <f>W171-MIN(N(Debts!$E$11),W171)</f>
        <v/>
      </c>
      <c r="Y171" s="33">
        <f>IF(X171&lt;=0.005,0,X171-MIN(X171,MAX(0,$E171-SUMIFS(H171:AK171,$H$5:$AK$5,"Rem",$H$4:$AK$4,"&lt;"&amp;Y$4))))</f>
        <v/>
      </c>
      <c r="Z171" s="33">
        <f>AB170*(1+N(Debts!$D$12)/1200)</f>
        <v/>
      </c>
      <c r="AA171" s="33">
        <f>Z171-MIN(N(Debts!$E$12),Z171)</f>
        <v/>
      </c>
      <c r="AB171" s="33">
        <f>IF(AA171&lt;=0.005,0,AA171-MIN(AA171,MAX(0,$E171-SUMIFS(H171:AK171,$H$5:$AK$5,"Rem",$H$4:$AK$4,"&lt;"&amp;AB$4))))</f>
        <v/>
      </c>
      <c r="AC171" s="33">
        <f>AE170*(1+N(Debts!$D$13)/1200)</f>
        <v/>
      </c>
      <c r="AD171" s="33">
        <f>AC171-MIN(N(Debts!$E$13),AC171)</f>
        <v/>
      </c>
      <c r="AE171" s="33">
        <f>IF(AD171&lt;=0.005,0,AD171-MIN(AD171,MAX(0,$E171-SUMIFS(H171:AK171,$H$5:$AK$5,"Rem",$H$4:$AK$4,"&lt;"&amp;AE$4))))</f>
        <v/>
      </c>
      <c r="AF171" s="33">
        <f>AH170*(1+N(Debts!$D$14)/1200)</f>
        <v/>
      </c>
      <c r="AG171" s="33">
        <f>AF171-MIN(N(Debts!$E$14),AF171)</f>
        <v/>
      </c>
      <c r="AH171" s="33">
        <f>IF(AG171&lt;=0.005,0,AG171-MIN(AG171,MAX(0,$E171-SUMIFS(H171:AK171,$H$5:$AK$5,"Rem",$H$4:$AK$4,"&lt;"&amp;AH$4))))</f>
        <v/>
      </c>
      <c r="AI171" s="33">
        <f>AK170*(1+N(Debts!$D$15)/1200)</f>
        <v/>
      </c>
      <c r="AJ171" s="33">
        <f>AI171-MIN(N(Debts!$E$15),AI171)</f>
        <v/>
      </c>
      <c r="AK171" s="33">
        <f>IF(AJ171&lt;=0.005,0,AJ171-MIN(AJ171,MAX(0,$E171-SUMIFS(H171:AK171,$H$5:$AK$5,"Rem",$H$4:$AK$4,"&lt;"&amp;AK$4))))</f>
        <v/>
      </c>
      <c r="AL171" s="1" t="n"/>
    </row>
    <row r="172">
      <c r="A172" s="1" t="n"/>
      <c r="B172" s="1" t="n">
        <v>165</v>
      </c>
      <c r="C172" s="34">
        <f>EDATE(Debts!$J$13,B172-1)</f>
        <v/>
      </c>
      <c r="D172" s="33">
        <f>IF(G171&lt;=0.005,0,Debts!$E$16+Debts!$J$7)</f>
        <v/>
      </c>
      <c r="E172" s="33">
        <f>MAX(0,D172-(SUMIF($H$5:$AK$5,"Due",H172:AK172)-SUMIF($H$5:$AK$5,"Rem",H172:AK172)))</f>
        <v/>
      </c>
      <c r="F172" s="33">
        <f>SUMIF($H$5:$AK$5,"Due",H172:AK172)-SUMIF($H$5:$AK$5,"Bal",H171:AK171)</f>
        <v/>
      </c>
      <c r="G172" s="33">
        <f>SUMIF($H$5:$AK$5,"Bal",H172:AK172)</f>
        <v/>
      </c>
      <c r="H172" s="33">
        <f>J171*(1+N(Debts!$D$6)/1200)</f>
        <v/>
      </c>
      <c r="I172" s="33">
        <f>H172-MIN(N(Debts!$E$6),H172)</f>
        <v/>
      </c>
      <c r="J172" s="33">
        <f>IF(I172&lt;=0.005,0,I172-MIN(I172,MAX(0,$E172-SUMIFS(H172:AK172,$H$5:$AK$5,"Rem",$H$4:$AK$4,"&lt;"&amp;J$4))))</f>
        <v/>
      </c>
      <c r="K172" s="33">
        <f>M171*(1+N(Debts!$D$7)/1200)</f>
        <v/>
      </c>
      <c r="L172" s="33">
        <f>K172-MIN(N(Debts!$E$7),K172)</f>
        <v/>
      </c>
      <c r="M172" s="33">
        <f>IF(L172&lt;=0.005,0,L172-MIN(L172,MAX(0,$E172-SUMIFS(H172:AK172,$H$5:$AK$5,"Rem",$H$4:$AK$4,"&lt;"&amp;M$4))))</f>
        <v/>
      </c>
      <c r="N172" s="33">
        <f>P171*(1+N(Debts!$D$8)/1200)</f>
        <v/>
      </c>
      <c r="O172" s="33">
        <f>N172-MIN(N(Debts!$E$8),N172)</f>
        <v/>
      </c>
      <c r="P172" s="33">
        <f>IF(O172&lt;=0.005,0,O172-MIN(O172,MAX(0,$E172-SUMIFS(H172:AK172,$H$5:$AK$5,"Rem",$H$4:$AK$4,"&lt;"&amp;P$4))))</f>
        <v/>
      </c>
      <c r="Q172" s="33">
        <f>S171*(1+N(Debts!$D$9)/1200)</f>
        <v/>
      </c>
      <c r="R172" s="33">
        <f>Q172-MIN(N(Debts!$E$9),Q172)</f>
        <v/>
      </c>
      <c r="S172" s="33">
        <f>IF(R172&lt;=0.005,0,R172-MIN(R172,MAX(0,$E172-SUMIFS(H172:AK172,$H$5:$AK$5,"Rem",$H$4:$AK$4,"&lt;"&amp;S$4))))</f>
        <v/>
      </c>
      <c r="T172" s="33">
        <f>V171*(1+N(Debts!$D$10)/1200)</f>
        <v/>
      </c>
      <c r="U172" s="33">
        <f>T172-MIN(N(Debts!$E$10),T172)</f>
        <v/>
      </c>
      <c r="V172" s="33">
        <f>IF(U172&lt;=0.005,0,U172-MIN(U172,MAX(0,$E172-SUMIFS(H172:AK172,$H$5:$AK$5,"Rem",$H$4:$AK$4,"&lt;"&amp;V$4))))</f>
        <v/>
      </c>
      <c r="W172" s="33">
        <f>Y171*(1+N(Debts!$D$11)/1200)</f>
        <v/>
      </c>
      <c r="X172" s="33">
        <f>W172-MIN(N(Debts!$E$11),W172)</f>
        <v/>
      </c>
      <c r="Y172" s="33">
        <f>IF(X172&lt;=0.005,0,X172-MIN(X172,MAX(0,$E172-SUMIFS(H172:AK172,$H$5:$AK$5,"Rem",$H$4:$AK$4,"&lt;"&amp;Y$4))))</f>
        <v/>
      </c>
      <c r="Z172" s="33">
        <f>AB171*(1+N(Debts!$D$12)/1200)</f>
        <v/>
      </c>
      <c r="AA172" s="33">
        <f>Z172-MIN(N(Debts!$E$12),Z172)</f>
        <v/>
      </c>
      <c r="AB172" s="33">
        <f>IF(AA172&lt;=0.005,0,AA172-MIN(AA172,MAX(0,$E172-SUMIFS(H172:AK172,$H$5:$AK$5,"Rem",$H$4:$AK$4,"&lt;"&amp;AB$4))))</f>
        <v/>
      </c>
      <c r="AC172" s="33">
        <f>AE171*(1+N(Debts!$D$13)/1200)</f>
        <v/>
      </c>
      <c r="AD172" s="33">
        <f>AC172-MIN(N(Debts!$E$13),AC172)</f>
        <v/>
      </c>
      <c r="AE172" s="33">
        <f>IF(AD172&lt;=0.005,0,AD172-MIN(AD172,MAX(0,$E172-SUMIFS(H172:AK172,$H$5:$AK$5,"Rem",$H$4:$AK$4,"&lt;"&amp;AE$4))))</f>
        <v/>
      </c>
      <c r="AF172" s="33">
        <f>AH171*(1+N(Debts!$D$14)/1200)</f>
        <v/>
      </c>
      <c r="AG172" s="33">
        <f>AF172-MIN(N(Debts!$E$14),AF172)</f>
        <v/>
      </c>
      <c r="AH172" s="33">
        <f>IF(AG172&lt;=0.005,0,AG172-MIN(AG172,MAX(0,$E172-SUMIFS(H172:AK172,$H$5:$AK$5,"Rem",$H$4:$AK$4,"&lt;"&amp;AH$4))))</f>
        <v/>
      </c>
      <c r="AI172" s="33">
        <f>AK171*(1+N(Debts!$D$15)/1200)</f>
        <v/>
      </c>
      <c r="AJ172" s="33">
        <f>AI172-MIN(N(Debts!$E$15),AI172)</f>
        <v/>
      </c>
      <c r="AK172" s="33">
        <f>IF(AJ172&lt;=0.005,0,AJ172-MIN(AJ172,MAX(0,$E172-SUMIFS(H172:AK172,$H$5:$AK$5,"Rem",$H$4:$AK$4,"&lt;"&amp;AK$4))))</f>
        <v/>
      </c>
      <c r="AL172" s="1" t="n"/>
    </row>
    <row r="173">
      <c r="A173" s="1" t="n"/>
      <c r="B173" s="1" t="n">
        <v>166</v>
      </c>
      <c r="C173" s="34">
        <f>EDATE(Debts!$J$13,B173-1)</f>
        <v/>
      </c>
      <c r="D173" s="33">
        <f>IF(G172&lt;=0.005,0,Debts!$E$16+Debts!$J$7)</f>
        <v/>
      </c>
      <c r="E173" s="33">
        <f>MAX(0,D173-(SUMIF($H$5:$AK$5,"Due",H173:AK173)-SUMIF($H$5:$AK$5,"Rem",H173:AK173)))</f>
        <v/>
      </c>
      <c r="F173" s="33">
        <f>SUMIF($H$5:$AK$5,"Due",H173:AK173)-SUMIF($H$5:$AK$5,"Bal",H172:AK172)</f>
        <v/>
      </c>
      <c r="G173" s="33">
        <f>SUMIF($H$5:$AK$5,"Bal",H173:AK173)</f>
        <v/>
      </c>
      <c r="H173" s="33">
        <f>J172*(1+N(Debts!$D$6)/1200)</f>
        <v/>
      </c>
      <c r="I173" s="33">
        <f>H173-MIN(N(Debts!$E$6),H173)</f>
        <v/>
      </c>
      <c r="J173" s="33">
        <f>IF(I173&lt;=0.005,0,I173-MIN(I173,MAX(0,$E173-SUMIFS(H173:AK173,$H$5:$AK$5,"Rem",$H$4:$AK$4,"&lt;"&amp;J$4))))</f>
        <v/>
      </c>
      <c r="K173" s="33">
        <f>M172*(1+N(Debts!$D$7)/1200)</f>
        <v/>
      </c>
      <c r="L173" s="33">
        <f>K173-MIN(N(Debts!$E$7),K173)</f>
        <v/>
      </c>
      <c r="M173" s="33">
        <f>IF(L173&lt;=0.005,0,L173-MIN(L173,MAX(0,$E173-SUMIFS(H173:AK173,$H$5:$AK$5,"Rem",$H$4:$AK$4,"&lt;"&amp;M$4))))</f>
        <v/>
      </c>
      <c r="N173" s="33">
        <f>P172*(1+N(Debts!$D$8)/1200)</f>
        <v/>
      </c>
      <c r="O173" s="33">
        <f>N173-MIN(N(Debts!$E$8),N173)</f>
        <v/>
      </c>
      <c r="P173" s="33">
        <f>IF(O173&lt;=0.005,0,O173-MIN(O173,MAX(0,$E173-SUMIFS(H173:AK173,$H$5:$AK$5,"Rem",$H$4:$AK$4,"&lt;"&amp;P$4))))</f>
        <v/>
      </c>
      <c r="Q173" s="33">
        <f>S172*(1+N(Debts!$D$9)/1200)</f>
        <v/>
      </c>
      <c r="R173" s="33">
        <f>Q173-MIN(N(Debts!$E$9),Q173)</f>
        <v/>
      </c>
      <c r="S173" s="33">
        <f>IF(R173&lt;=0.005,0,R173-MIN(R173,MAX(0,$E173-SUMIFS(H173:AK173,$H$5:$AK$5,"Rem",$H$4:$AK$4,"&lt;"&amp;S$4))))</f>
        <v/>
      </c>
      <c r="T173" s="33">
        <f>V172*(1+N(Debts!$D$10)/1200)</f>
        <v/>
      </c>
      <c r="U173" s="33">
        <f>T173-MIN(N(Debts!$E$10),T173)</f>
        <v/>
      </c>
      <c r="V173" s="33">
        <f>IF(U173&lt;=0.005,0,U173-MIN(U173,MAX(0,$E173-SUMIFS(H173:AK173,$H$5:$AK$5,"Rem",$H$4:$AK$4,"&lt;"&amp;V$4))))</f>
        <v/>
      </c>
      <c r="W173" s="33">
        <f>Y172*(1+N(Debts!$D$11)/1200)</f>
        <v/>
      </c>
      <c r="X173" s="33">
        <f>W173-MIN(N(Debts!$E$11),W173)</f>
        <v/>
      </c>
      <c r="Y173" s="33">
        <f>IF(X173&lt;=0.005,0,X173-MIN(X173,MAX(0,$E173-SUMIFS(H173:AK173,$H$5:$AK$5,"Rem",$H$4:$AK$4,"&lt;"&amp;Y$4))))</f>
        <v/>
      </c>
      <c r="Z173" s="33">
        <f>AB172*(1+N(Debts!$D$12)/1200)</f>
        <v/>
      </c>
      <c r="AA173" s="33">
        <f>Z173-MIN(N(Debts!$E$12),Z173)</f>
        <v/>
      </c>
      <c r="AB173" s="33">
        <f>IF(AA173&lt;=0.005,0,AA173-MIN(AA173,MAX(0,$E173-SUMIFS(H173:AK173,$H$5:$AK$5,"Rem",$H$4:$AK$4,"&lt;"&amp;AB$4))))</f>
        <v/>
      </c>
      <c r="AC173" s="33">
        <f>AE172*(1+N(Debts!$D$13)/1200)</f>
        <v/>
      </c>
      <c r="AD173" s="33">
        <f>AC173-MIN(N(Debts!$E$13),AC173)</f>
        <v/>
      </c>
      <c r="AE173" s="33">
        <f>IF(AD173&lt;=0.005,0,AD173-MIN(AD173,MAX(0,$E173-SUMIFS(H173:AK173,$H$5:$AK$5,"Rem",$H$4:$AK$4,"&lt;"&amp;AE$4))))</f>
        <v/>
      </c>
      <c r="AF173" s="33">
        <f>AH172*(1+N(Debts!$D$14)/1200)</f>
        <v/>
      </c>
      <c r="AG173" s="33">
        <f>AF173-MIN(N(Debts!$E$14),AF173)</f>
        <v/>
      </c>
      <c r="AH173" s="33">
        <f>IF(AG173&lt;=0.005,0,AG173-MIN(AG173,MAX(0,$E173-SUMIFS(H173:AK173,$H$5:$AK$5,"Rem",$H$4:$AK$4,"&lt;"&amp;AH$4))))</f>
        <v/>
      </c>
      <c r="AI173" s="33">
        <f>AK172*(1+N(Debts!$D$15)/1200)</f>
        <v/>
      </c>
      <c r="AJ173" s="33">
        <f>AI173-MIN(N(Debts!$E$15),AI173)</f>
        <v/>
      </c>
      <c r="AK173" s="33">
        <f>IF(AJ173&lt;=0.005,0,AJ173-MIN(AJ173,MAX(0,$E173-SUMIFS(H173:AK173,$H$5:$AK$5,"Rem",$H$4:$AK$4,"&lt;"&amp;AK$4))))</f>
        <v/>
      </c>
      <c r="AL173" s="1" t="n"/>
    </row>
    <row r="174">
      <c r="A174" s="1" t="n"/>
      <c r="B174" s="1" t="n">
        <v>167</v>
      </c>
      <c r="C174" s="34">
        <f>EDATE(Debts!$J$13,B174-1)</f>
        <v/>
      </c>
      <c r="D174" s="33">
        <f>IF(G173&lt;=0.005,0,Debts!$E$16+Debts!$J$7)</f>
        <v/>
      </c>
      <c r="E174" s="33">
        <f>MAX(0,D174-(SUMIF($H$5:$AK$5,"Due",H174:AK174)-SUMIF($H$5:$AK$5,"Rem",H174:AK174)))</f>
        <v/>
      </c>
      <c r="F174" s="33">
        <f>SUMIF($H$5:$AK$5,"Due",H174:AK174)-SUMIF($H$5:$AK$5,"Bal",H173:AK173)</f>
        <v/>
      </c>
      <c r="G174" s="33">
        <f>SUMIF($H$5:$AK$5,"Bal",H174:AK174)</f>
        <v/>
      </c>
      <c r="H174" s="33">
        <f>J173*(1+N(Debts!$D$6)/1200)</f>
        <v/>
      </c>
      <c r="I174" s="33">
        <f>H174-MIN(N(Debts!$E$6),H174)</f>
        <v/>
      </c>
      <c r="J174" s="33">
        <f>IF(I174&lt;=0.005,0,I174-MIN(I174,MAX(0,$E174-SUMIFS(H174:AK174,$H$5:$AK$5,"Rem",$H$4:$AK$4,"&lt;"&amp;J$4))))</f>
        <v/>
      </c>
      <c r="K174" s="33">
        <f>M173*(1+N(Debts!$D$7)/1200)</f>
        <v/>
      </c>
      <c r="L174" s="33">
        <f>K174-MIN(N(Debts!$E$7),K174)</f>
        <v/>
      </c>
      <c r="M174" s="33">
        <f>IF(L174&lt;=0.005,0,L174-MIN(L174,MAX(0,$E174-SUMIFS(H174:AK174,$H$5:$AK$5,"Rem",$H$4:$AK$4,"&lt;"&amp;M$4))))</f>
        <v/>
      </c>
      <c r="N174" s="33">
        <f>P173*(1+N(Debts!$D$8)/1200)</f>
        <v/>
      </c>
      <c r="O174" s="33">
        <f>N174-MIN(N(Debts!$E$8),N174)</f>
        <v/>
      </c>
      <c r="P174" s="33">
        <f>IF(O174&lt;=0.005,0,O174-MIN(O174,MAX(0,$E174-SUMIFS(H174:AK174,$H$5:$AK$5,"Rem",$H$4:$AK$4,"&lt;"&amp;P$4))))</f>
        <v/>
      </c>
      <c r="Q174" s="33">
        <f>S173*(1+N(Debts!$D$9)/1200)</f>
        <v/>
      </c>
      <c r="R174" s="33">
        <f>Q174-MIN(N(Debts!$E$9),Q174)</f>
        <v/>
      </c>
      <c r="S174" s="33">
        <f>IF(R174&lt;=0.005,0,R174-MIN(R174,MAX(0,$E174-SUMIFS(H174:AK174,$H$5:$AK$5,"Rem",$H$4:$AK$4,"&lt;"&amp;S$4))))</f>
        <v/>
      </c>
      <c r="T174" s="33">
        <f>V173*(1+N(Debts!$D$10)/1200)</f>
        <v/>
      </c>
      <c r="U174" s="33">
        <f>T174-MIN(N(Debts!$E$10),T174)</f>
        <v/>
      </c>
      <c r="V174" s="33">
        <f>IF(U174&lt;=0.005,0,U174-MIN(U174,MAX(0,$E174-SUMIFS(H174:AK174,$H$5:$AK$5,"Rem",$H$4:$AK$4,"&lt;"&amp;V$4))))</f>
        <v/>
      </c>
      <c r="W174" s="33">
        <f>Y173*(1+N(Debts!$D$11)/1200)</f>
        <v/>
      </c>
      <c r="X174" s="33">
        <f>W174-MIN(N(Debts!$E$11),W174)</f>
        <v/>
      </c>
      <c r="Y174" s="33">
        <f>IF(X174&lt;=0.005,0,X174-MIN(X174,MAX(0,$E174-SUMIFS(H174:AK174,$H$5:$AK$5,"Rem",$H$4:$AK$4,"&lt;"&amp;Y$4))))</f>
        <v/>
      </c>
      <c r="Z174" s="33">
        <f>AB173*(1+N(Debts!$D$12)/1200)</f>
        <v/>
      </c>
      <c r="AA174" s="33">
        <f>Z174-MIN(N(Debts!$E$12),Z174)</f>
        <v/>
      </c>
      <c r="AB174" s="33">
        <f>IF(AA174&lt;=0.005,0,AA174-MIN(AA174,MAX(0,$E174-SUMIFS(H174:AK174,$H$5:$AK$5,"Rem",$H$4:$AK$4,"&lt;"&amp;AB$4))))</f>
        <v/>
      </c>
      <c r="AC174" s="33">
        <f>AE173*(1+N(Debts!$D$13)/1200)</f>
        <v/>
      </c>
      <c r="AD174" s="33">
        <f>AC174-MIN(N(Debts!$E$13),AC174)</f>
        <v/>
      </c>
      <c r="AE174" s="33">
        <f>IF(AD174&lt;=0.005,0,AD174-MIN(AD174,MAX(0,$E174-SUMIFS(H174:AK174,$H$5:$AK$5,"Rem",$H$4:$AK$4,"&lt;"&amp;AE$4))))</f>
        <v/>
      </c>
      <c r="AF174" s="33">
        <f>AH173*(1+N(Debts!$D$14)/1200)</f>
        <v/>
      </c>
      <c r="AG174" s="33">
        <f>AF174-MIN(N(Debts!$E$14),AF174)</f>
        <v/>
      </c>
      <c r="AH174" s="33">
        <f>IF(AG174&lt;=0.005,0,AG174-MIN(AG174,MAX(0,$E174-SUMIFS(H174:AK174,$H$5:$AK$5,"Rem",$H$4:$AK$4,"&lt;"&amp;AH$4))))</f>
        <v/>
      </c>
      <c r="AI174" s="33">
        <f>AK173*(1+N(Debts!$D$15)/1200)</f>
        <v/>
      </c>
      <c r="AJ174" s="33">
        <f>AI174-MIN(N(Debts!$E$15),AI174)</f>
        <v/>
      </c>
      <c r="AK174" s="33">
        <f>IF(AJ174&lt;=0.005,0,AJ174-MIN(AJ174,MAX(0,$E174-SUMIFS(H174:AK174,$H$5:$AK$5,"Rem",$H$4:$AK$4,"&lt;"&amp;AK$4))))</f>
        <v/>
      </c>
      <c r="AL174" s="1" t="n"/>
    </row>
    <row r="175">
      <c r="A175" s="1" t="n"/>
      <c r="B175" s="1" t="n">
        <v>168</v>
      </c>
      <c r="C175" s="34">
        <f>EDATE(Debts!$J$13,B175-1)</f>
        <v/>
      </c>
      <c r="D175" s="33">
        <f>IF(G174&lt;=0.005,0,Debts!$E$16+Debts!$J$7)</f>
        <v/>
      </c>
      <c r="E175" s="33">
        <f>MAX(0,D175-(SUMIF($H$5:$AK$5,"Due",H175:AK175)-SUMIF($H$5:$AK$5,"Rem",H175:AK175)))</f>
        <v/>
      </c>
      <c r="F175" s="33">
        <f>SUMIF($H$5:$AK$5,"Due",H175:AK175)-SUMIF($H$5:$AK$5,"Bal",H174:AK174)</f>
        <v/>
      </c>
      <c r="G175" s="33">
        <f>SUMIF($H$5:$AK$5,"Bal",H175:AK175)</f>
        <v/>
      </c>
      <c r="H175" s="33">
        <f>J174*(1+N(Debts!$D$6)/1200)</f>
        <v/>
      </c>
      <c r="I175" s="33">
        <f>H175-MIN(N(Debts!$E$6),H175)</f>
        <v/>
      </c>
      <c r="J175" s="33">
        <f>IF(I175&lt;=0.005,0,I175-MIN(I175,MAX(0,$E175-SUMIFS(H175:AK175,$H$5:$AK$5,"Rem",$H$4:$AK$4,"&lt;"&amp;J$4))))</f>
        <v/>
      </c>
      <c r="K175" s="33">
        <f>M174*(1+N(Debts!$D$7)/1200)</f>
        <v/>
      </c>
      <c r="L175" s="33">
        <f>K175-MIN(N(Debts!$E$7),K175)</f>
        <v/>
      </c>
      <c r="M175" s="33">
        <f>IF(L175&lt;=0.005,0,L175-MIN(L175,MAX(0,$E175-SUMIFS(H175:AK175,$H$5:$AK$5,"Rem",$H$4:$AK$4,"&lt;"&amp;M$4))))</f>
        <v/>
      </c>
      <c r="N175" s="33">
        <f>P174*(1+N(Debts!$D$8)/1200)</f>
        <v/>
      </c>
      <c r="O175" s="33">
        <f>N175-MIN(N(Debts!$E$8),N175)</f>
        <v/>
      </c>
      <c r="P175" s="33">
        <f>IF(O175&lt;=0.005,0,O175-MIN(O175,MAX(0,$E175-SUMIFS(H175:AK175,$H$5:$AK$5,"Rem",$H$4:$AK$4,"&lt;"&amp;P$4))))</f>
        <v/>
      </c>
      <c r="Q175" s="33">
        <f>S174*(1+N(Debts!$D$9)/1200)</f>
        <v/>
      </c>
      <c r="R175" s="33">
        <f>Q175-MIN(N(Debts!$E$9),Q175)</f>
        <v/>
      </c>
      <c r="S175" s="33">
        <f>IF(R175&lt;=0.005,0,R175-MIN(R175,MAX(0,$E175-SUMIFS(H175:AK175,$H$5:$AK$5,"Rem",$H$4:$AK$4,"&lt;"&amp;S$4))))</f>
        <v/>
      </c>
      <c r="T175" s="33">
        <f>V174*(1+N(Debts!$D$10)/1200)</f>
        <v/>
      </c>
      <c r="U175" s="33">
        <f>T175-MIN(N(Debts!$E$10),T175)</f>
        <v/>
      </c>
      <c r="V175" s="33">
        <f>IF(U175&lt;=0.005,0,U175-MIN(U175,MAX(0,$E175-SUMIFS(H175:AK175,$H$5:$AK$5,"Rem",$H$4:$AK$4,"&lt;"&amp;V$4))))</f>
        <v/>
      </c>
      <c r="W175" s="33">
        <f>Y174*(1+N(Debts!$D$11)/1200)</f>
        <v/>
      </c>
      <c r="X175" s="33">
        <f>W175-MIN(N(Debts!$E$11),W175)</f>
        <v/>
      </c>
      <c r="Y175" s="33">
        <f>IF(X175&lt;=0.005,0,X175-MIN(X175,MAX(0,$E175-SUMIFS(H175:AK175,$H$5:$AK$5,"Rem",$H$4:$AK$4,"&lt;"&amp;Y$4))))</f>
        <v/>
      </c>
      <c r="Z175" s="33">
        <f>AB174*(1+N(Debts!$D$12)/1200)</f>
        <v/>
      </c>
      <c r="AA175" s="33">
        <f>Z175-MIN(N(Debts!$E$12),Z175)</f>
        <v/>
      </c>
      <c r="AB175" s="33">
        <f>IF(AA175&lt;=0.005,0,AA175-MIN(AA175,MAX(0,$E175-SUMIFS(H175:AK175,$H$5:$AK$5,"Rem",$H$4:$AK$4,"&lt;"&amp;AB$4))))</f>
        <v/>
      </c>
      <c r="AC175" s="33">
        <f>AE174*(1+N(Debts!$D$13)/1200)</f>
        <v/>
      </c>
      <c r="AD175" s="33">
        <f>AC175-MIN(N(Debts!$E$13),AC175)</f>
        <v/>
      </c>
      <c r="AE175" s="33">
        <f>IF(AD175&lt;=0.005,0,AD175-MIN(AD175,MAX(0,$E175-SUMIFS(H175:AK175,$H$5:$AK$5,"Rem",$H$4:$AK$4,"&lt;"&amp;AE$4))))</f>
        <v/>
      </c>
      <c r="AF175" s="33">
        <f>AH174*(1+N(Debts!$D$14)/1200)</f>
        <v/>
      </c>
      <c r="AG175" s="33">
        <f>AF175-MIN(N(Debts!$E$14),AF175)</f>
        <v/>
      </c>
      <c r="AH175" s="33">
        <f>IF(AG175&lt;=0.005,0,AG175-MIN(AG175,MAX(0,$E175-SUMIFS(H175:AK175,$H$5:$AK$5,"Rem",$H$4:$AK$4,"&lt;"&amp;AH$4))))</f>
        <v/>
      </c>
      <c r="AI175" s="33">
        <f>AK174*(1+N(Debts!$D$15)/1200)</f>
        <v/>
      </c>
      <c r="AJ175" s="33">
        <f>AI175-MIN(N(Debts!$E$15),AI175)</f>
        <v/>
      </c>
      <c r="AK175" s="33">
        <f>IF(AJ175&lt;=0.005,0,AJ175-MIN(AJ175,MAX(0,$E175-SUMIFS(H175:AK175,$H$5:$AK$5,"Rem",$H$4:$AK$4,"&lt;"&amp;AK$4))))</f>
        <v/>
      </c>
      <c r="AL175" s="1" t="n"/>
    </row>
    <row r="176">
      <c r="A176" s="1" t="n"/>
      <c r="B176" s="1" t="n">
        <v>169</v>
      </c>
      <c r="C176" s="34">
        <f>EDATE(Debts!$J$13,B176-1)</f>
        <v/>
      </c>
      <c r="D176" s="33">
        <f>IF(G175&lt;=0.005,0,Debts!$E$16+Debts!$J$7)</f>
        <v/>
      </c>
      <c r="E176" s="33">
        <f>MAX(0,D176-(SUMIF($H$5:$AK$5,"Due",H176:AK176)-SUMIF($H$5:$AK$5,"Rem",H176:AK176)))</f>
        <v/>
      </c>
      <c r="F176" s="33">
        <f>SUMIF($H$5:$AK$5,"Due",H176:AK176)-SUMIF($H$5:$AK$5,"Bal",H175:AK175)</f>
        <v/>
      </c>
      <c r="G176" s="33">
        <f>SUMIF($H$5:$AK$5,"Bal",H176:AK176)</f>
        <v/>
      </c>
      <c r="H176" s="33">
        <f>J175*(1+N(Debts!$D$6)/1200)</f>
        <v/>
      </c>
      <c r="I176" s="33">
        <f>H176-MIN(N(Debts!$E$6),H176)</f>
        <v/>
      </c>
      <c r="J176" s="33">
        <f>IF(I176&lt;=0.005,0,I176-MIN(I176,MAX(0,$E176-SUMIFS(H176:AK176,$H$5:$AK$5,"Rem",$H$4:$AK$4,"&lt;"&amp;J$4))))</f>
        <v/>
      </c>
      <c r="K176" s="33">
        <f>M175*(1+N(Debts!$D$7)/1200)</f>
        <v/>
      </c>
      <c r="L176" s="33">
        <f>K176-MIN(N(Debts!$E$7),K176)</f>
        <v/>
      </c>
      <c r="M176" s="33">
        <f>IF(L176&lt;=0.005,0,L176-MIN(L176,MAX(0,$E176-SUMIFS(H176:AK176,$H$5:$AK$5,"Rem",$H$4:$AK$4,"&lt;"&amp;M$4))))</f>
        <v/>
      </c>
      <c r="N176" s="33">
        <f>P175*(1+N(Debts!$D$8)/1200)</f>
        <v/>
      </c>
      <c r="O176" s="33">
        <f>N176-MIN(N(Debts!$E$8),N176)</f>
        <v/>
      </c>
      <c r="P176" s="33">
        <f>IF(O176&lt;=0.005,0,O176-MIN(O176,MAX(0,$E176-SUMIFS(H176:AK176,$H$5:$AK$5,"Rem",$H$4:$AK$4,"&lt;"&amp;P$4))))</f>
        <v/>
      </c>
      <c r="Q176" s="33">
        <f>S175*(1+N(Debts!$D$9)/1200)</f>
        <v/>
      </c>
      <c r="R176" s="33">
        <f>Q176-MIN(N(Debts!$E$9),Q176)</f>
        <v/>
      </c>
      <c r="S176" s="33">
        <f>IF(R176&lt;=0.005,0,R176-MIN(R176,MAX(0,$E176-SUMIFS(H176:AK176,$H$5:$AK$5,"Rem",$H$4:$AK$4,"&lt;"&amp;S$4))))</f>
        <v/>
      </c>
      <c r="T176" s="33">
        <f>V175*(1+N(Debts!$D$10)/1200)</f>
        <v/>
      </c>
      <c r="U176" s="33">
        <f>T176-MIN(N(Debts!$E$10),T176)</f>
        <v/>
      </c>
      <c r="V176" s="33">
        <f>IF(U176&lt;=0.005,0,U176-MIN(U176,MAX(0,$E176-SUMIFS(H176:AK176,$H$5:$AK$5,"Rem",$H$4:$AK$4,"&lt;"&amp;V$4))))</f>
        <v/>
      </c>
      <c r="W176" s="33">
        <f>Y175*(1+N(Debts!$D$11)/1200)</f>
        <v/>
      </c>
      <c r="X176" s="33">
        <f>W176-MIN(N(Debts!$E$11),W176)</f>
        <v/>
      </c>
      <c r="Y176" s="33">
        <f>IF(X176&lt;=0.005,0,X176-MIN(X176,MAX(0,$E176-SUMIFS(H176:AK176,$H$5:$AK$5,"Rem",$H$4:$AK$4,"&lt;"&amp;Y$4))))</f>
        <v/>
      </c>
      <c r="Z176" s="33">
        <f>AB175*(1+N(Debts!$D$12)/1200)</f>
        <v/>
      </c>
      <c r="AA176" s="33">
        <f>Z176-MIN(N(Debts!$E$12),Z176)</f>
        <v/>
      </c>
      <c r="AB176" s="33">
        <f>IF(AA176&lt;=0.005,0,AA176-MIN(AA176,MAX(0,$E176-SUMIFS(H176:AK176,$H$5:$AK$5,"Rem",$H$4:$AK$4,"&lt;"&amp;AB$4))))</f>
        <v/>
      </c>
      <c r="AC176" s="33">
        <f>AE175*(1+N(Debts!$D$13)/1200)</f>
        <v/>
      </c>
      <c r="AD176" s="33">
        <f>AC176-MIN(N(Debts!$E$13),AC176)</f>
        <v/>
      </c>
      <c r="AE176" s="33">
        <f>IF(AD176&lt;=0.005,0,AD176-MIN(AD176,MAX(0,$E176-SUMIFS(H176:AK176,$H$5:$AK$5,"Rem",$H$4:$AK$4,"&lt;"&amp;AE$4))))</f>
        <v/>
      </c>
      <c r="AF176" s="33">
        <f>AH175*(1+N(Debts!$D$14)/1200)</f>
        <v/>
      </c>
      <c r="AG176" s="33">
        <f>AF176-MIN(N(Debts!$E$14),AF176)</f>
        <v/>
      </c>
      <c r="AH176" s="33">
        <f>IF(AG176&lt;=0.005,0,AG176-MIN(AG176,MAX(0,$E176-SUMIFS(H176:AK176,$H$5:$AK$5,"Rem",$H$4:$AK$4,"&lt;"&amp;AH$4))))</f>
        <v/>
      </c>
      <c r="AI176" s="33">
        <f>AK175*(1+N(Debts!$D$15)/1200)</f>
        <v/>
      </c>
      <c r="AJ176" s="33">
        <f>AI176-MIN(N(Debts!$E$15),AI176)</f>
        <v/>
      </c>
      <c r="AK176" s="33">
        <f>IF(AJ176&lt;=0.005,0,AJ176-MIN(AJ176,MAX(0,$E176-SUMIFS(H176:AK176,$H$5:$AK$5,"Rem",$H$4:$AK$4,"&lt;"&amp;AK$4))))</f>
        <v/>
      </c>
      <c r="AL176" s="1" t="n"/>
    </row>
    <row r="177">
      <c r="A177" s="1" t="n"/>
      <c r="B177" s="1" t="n">
        <v>170</v>
      </c>
      <c r="C177" s="34">
        <f>EDATE(Debts!$J$13,B177-1)</f>
        <v/>
      </c>
      <c r="D177" s="33">
        <f>IF(G176&lt;=0.005,0,Debts!$E$16+Debts!$J$7)</f>
        <v/>
      </c>
      <c r="E177" s="33">
        <f>MAX(0,D177-(SUMIF($H$5:$AK$5,"Due",H177:AK177)-SUMIF($H$5:$AK$5,"Rem",H177:AK177)))</f>
        <v/>
      </c>
      <c r="F177" s="33">
        <f>SUMIF($H$5:$AK$5,"Due",H177:AK177)-SUMIF($H$5:$AK$5,"Bal",H176:AK176)</f>
        <v/>
      </c>
      <c r="G177" s="33">
        <f>SUMIF($H$5:$AK$5,"Bal",H177:AK177)</f>
        <v/>
      </c>
      <c r="H177" s="33">
        <f>J176*(1+N(Debts!$D$6)/1200)</f>
        <v/>
      </c>
      <c r="I177" s="33">
        <f>H177-MIN(N(Debts!$E$6),H177)</f>
        <v/>
      </c>
      <c r="J177" s="33">
        <f>IF(I177&lt;=0.005,0,I177-MIN(I177,MAX(0,$E177-SUMIFS(H177:AK177,$H$5:$AK$5,"Rem",$H$4:$AK$4,"&lt;"&amp;J$4))))</f>
        <v/>
      </c>
      <c r="K177" s="33">
        <f>M176*(1+N(Debts!$D$7)/1200)</f>
        <v/>
      </c>
      <c r="L177" s="33">
        <f>K177-MIN(N(Debts!$E$7),K177)</f>
        <v/>
      </c>
      <c r="M177" s="33">
        <f>IF(L177&lt;=0.005,0,L177-MIN(L177,MAX(0,$E177-SUMIFS(H177:AK177,$H$5:$AK$5,"Rem",$H$4:$AK$4,"&lt;"&amp;M$4))))</f>
        <v/>
      </c>
      <c r="N177" s="33">
        <f>P176*(1+N(Debts!$D$8)/1200)</f>
        <v/>
      </c>
      <c r="O177" s="33">
        <f>N177-MIN(N(Debts!$E$8),N177)</f>
        <v/>
      </c>
      <c r="P177" s="33">
        <f>IF(O177&lt;=0.005,0,O177-MIN(O177,MAX(0,$E177-SUMIFS(H177:AK177,$H$5:$AK$5,"Rem",$H$4:$AK$4,"&lt;"&amp;P$4))))</f>
        <v/>
      </c>
      <c r="Q177" s="33">
        <f>S176*(1+N(Debts!$D$9)/1200)</f>
        <v/>
      </c>
      <c r="R177" s="33">
        <f>Q177-MIN(N(Debts!$E$9),Q177)</f>
        <v/>
      </c>
      <c r="S177" s="33">
        <f>IF(R177&lt;=0.005,0,R177-MIN(R177,MAX(0,$E177-SUMIFS(H177:AK177,$H$5:$AK$5,"Rem",$H$4:$AK$4,"&lt;"&amp;S$4))))</f>
        <v/>
      </c>
      <c r="T177" s="33">
        <f>V176*(1+N(Debts!$D$10)/1200)</f>
        <v/>
      </c>
      <c r="U177" s="33">
        <f>T177-MIN(N(Debts!$E$10),T177)</f>
        <v/>
      </c>
      <c r="V177" s="33">
        <f>IF(U177&lt;=0.005,0,U177-MIN(U177,MAX(0,$E177-SUMIFS(H177:AK177,$H$5:$AK$5,"Rem",$H$4:$AK$4,"&lt;"&amp;V$4))))</f>
        <v/>
      </c>
      <c r="W177" s="33">
        <f>Y176*(1+N(Debts!$D$11)/1200)</f>
        <v/>
      </c>
      <c r="X177" s="33">
        <f>W177-MIN(N(Debts!$E$11),W177)</f>
        <v/>
      </c>
      <c r="Y177" s="33">
        <f>IF(X177&lt;=0.005,0,X177-MIN(X177,MAX(0,$E177-SUMIFS(H177:AK177,$H$5:$AK$5,"Rem",$H$4:$AK$4,"&lt;"&amp;Y$4))))</f>
        <v/>
      </c>
      <c r="Z177" s="33">
        <f>AB176*(1+N(Debts!$D$12)/1200)</f>
        <v/>
      </c>
      <c r="AA177" s="33">
        <f>Z177-MIN(N(Debts!$E$12),Z177)</f>
        <v/>
      </c>
      <c r="AB177" s="33">
        <f>IF(AA177&lt;=0.005,0,AA177-MIN(AA177,MAX(0,$E177-SUMIFS(H177:AK177,$H$5:$AK$5,"Rem",$H$4:$AK$4,"&lt;"&amp;AB$4))))</f>
        <v/>
      </c>
      <c r="AC177" s="33">
        <f>AE176*(1+N(Debts!$D$13)/1200)</f>
        <v/>
      </c>
      <c r="AD177" s="33">
        <f>AC177-MIN(N(Debts!$E$13),AC177)</f>
        <v/>
      </c>
      <c r="AE177" s="33">
        <f>IF(AD177&lt;=0.005,0,AD177-MIN(AD177,MAX(0,$E177-SUMIFS(H177:AK177,$H$5:$AK$5,"Rem",$H$4:$AK$4,"&lt;"&amp;AE$4))))</f>
        <v/>
      </c>
      <c r="AF177" s="33">
        <f>AH176*(1+N(Debts!$D$14)/1200)</f>
        <v/>
      </c>
      <c r="AG177" s="33">
        <f>AF177-MIN(N(Debts!$E$14),AF177)</f>
        <v/>
      </c>
      <c r="AH177" s="33">
        <f>IF(AG177&lt;=0.005,0,AG177-MIN(AG177,MAX(0,$E177-SUMIFS(H177:AK177,$H$5:$AK$5,"Rem",$H$4:$AK$4,"&lt;"&amp;AH$4))))</f>
        <v/>
      </c>
      <c r="AI177" s="33">
        <f>AK176*(1+N(Debts!$D$15)/1200)</f>
        <v/>
      </c>
      <c r="AJ177" s="33">
        <f>AI177-MIN(N(Debts!$E$15),AI177)</f>
        <v/>
      </c>
      <c r="AK177" s="33">
        <f>IF(AJ177&lt;=0.005,0,AJ177-MIN(AJ177,MAX(0,$E177-SUMIFS(H177:AK177,$H$5:$AK$5,"Rem",$H$4:$AK$4,"&lt;"&amp;AK$4))))</f>
        <v/>
      </c>
      <c r="AL177" s="1" t="n"/>
    </row>
    <row r="178">
      <c r="A178" s="1" t="n"/>
      <c r="B178" s="1" t="n">
        <v>171</v>
      </c>
      <c r="C178" s="34">
        <f>EDATE(Debts!$J$13,B178-1)</f>
        <v/>
      </c>
      <c r="D178" s="33">
        <f>IF(G177&lt;=0.005,0,Debts!$E$16+Debts!$J$7)</f>
        <v/>
      </c>
      <c r="E178" s="33">
        <f>MAX(0,D178-(SUMIF($H$5:$AK$5,"Due",H178:AK178)-SUMIF($H$5:$AK$5,"Rem",H178:AK178)))</f>
        <v/>
      </c>
      <c r="F178" s="33">
        <f>SUMIF($H$5:$AK$5,"Due",H178:AK178)-SUMIF($H$5:$AK$5,"Bal",H177:AK177)</f>
        <v/>
      </c>
      <c r="G178" s="33">
        <f>SUMIF($H$5:$AK$5,"Bal",H178:AK178)</f>
        <v/>
      </c>
      <c r="H178" s="33">
        <f>J177*(1+N(Debts!$D$6)/1200)</f>
        <v/>
      </c>
      <c r="I178" s="33">
        <f>H178-MIN(N(Debts!$E$6),H178)</f>
        <v/>
      </c>
      <c r="J178" s="33">
        <f>IF(I178&lt;=0.005,0,I178-MIN(I178,MAX(0,$E178-SUMIFS(H178:AK178,$H$5:$AK$5,"Rem",$H$4:$AK$4,"&lt;"&amp;J$4))))</f>
        <v/>
      </c>
      <c r="K178" s="33">
        <f>M177*(1+N(Debts!$D$7)/1200)</f>
        <v/>
      </c>
      <c r="L178" s="33">
        <f>K178-MIN(N(Debts!$E$7),K178)</f>
        <v/>
      </c>
      <c r="M178" s="33">
        <f>IF(L178&lt;=0.005,0,L178-MIN(L178,MAX(0,$E178-SUMIFS(H178:AK178,$H$5:$AK$5,"Rem",$H$4:$AK$4,"&lt;"&amp;M$4))))</f>
        <v/>
      </c>
      <c r="N178" s="33">
        <f>P177*(1+N(Debts!$D$8)/1200)</f>
        <v/>
      </c>
      <c r="O178" s="33">
        <f>N178-MIN(N(Debts!$E$8),N178)</f>
        <v/>
      </c>
      <c r="P178" s="33">
        <f>IF(O178&lt;=0.005,0,O178-MIN(O178,MAX(0,$E178-SUMIFS(H178:AK178,$H$5:$AK$5,"Rem",$H$4:$AK$4,"&lt;"&amp;P$4))))</f>
        <v/>
      </c>
      <c r="Q178" s="33">
        <f>S177*(1+N(Debts!$D$9)/1200)</f>
        <v/>
      </c>
      <c r="R178" s="33">
        <f>Q178-MIN(N(Debts!$E$9),Q178)</f>
        <v/>
      </c>
      <c r="S178" s="33">
        <f>IF(R178&lt;=0.005,0,R178-MIN(R178,MAX(0,$E178-SUMIFS(H178:AK178,$H$5:$AK$5,"Rem",$H$4:$AK$4,"&lt;"&amp;S$4))))</f>
        <v/>
      </c>
      <c r="T178" s="33">
        <f>V177*(1+N(Debts!$D$10)/1200)</f>
        <v/>
      </c>
      <c r="U178" s="33">
        <f>T178-MIN(N(Debts!$E$10),T178)</f>
        <v/>
      </c>
      <c r="V178" s="33">
        <f>IF(U178&lt;=0.005,0,U178-MIN(U178,MAX(0,$E178-SUMIFS(H178:AK178,$H$5:$AK$5,"Rem",$H$4:$AK$4,"&lt;"&amp;V$4))))</f>
        <v/>
      </c>
      <c r="W178" s="33">
        <f>Y177*(1+N(Debts!$D$11)/1200)</f>
        <v/>
      </c>
      <c r="X178" s="33">
        <f>W178-MIN(N(Debts!$E$11),W178)</f>
        <v/>
      </c>
      <c r="Y178" s="33">
        <f>IF(X178&lt;=0.005,0,X178-MIN(X178,MAX(0,$E178-SUMIFS(H178:AK178,$H$5:$AK$5,"Rem",$H$4:$AK$4,"&lt;"&amp;Y$4))))</f>
        <v/>
      </c>
      <c r="Z178" s="33">
        <f>AB177*(1+N(Debts!$D$12)/1200)</f>
        <v/>
      </c>
      <c r="AA178" s="33">
        <f>Z178-MIN(N(Debts!$E$12),Z178)</f>
        <v/>
      </c>
      <c r="AB178" s="33">
        <f>IF(AA178&lt;=0.005,0,AA178-MIN(AA178,MAX(0,$E178-SUMIFS(H178:AK178,$H$5:$AK$5,"Rem",$H$4:$AK$4,"&lt;"&amp;AB$4))))</f>
        <v/>
      </c>
      <c r="AC178" s="33">
        <f>AE177*(1+N(Debts!$D$13)/1200)</f>
        <v/>
      </c>
      <c r="AD178" s="33">
        <f>AC178-MIN(N(Debts!$E$13),AC178)</f>
        <v/>
      </c>
      <c r="AE178" s="33">
        <f>IF(AD178&lt;=0.005,0,AD178-MIN(AD178,MAX(0,$E178-SUMIFS(H178:AK178,$H$5:$AK$5,"Rem",$H$4:$AK$4,"&lt;"&amp;AE$4))))</f>
        <v/>
      </c>
      <c r="AF178" s="33">
        <f>AH177*(1+N(Debts!$D$14)/1200)</f>
        <v/>
      </c>
      <c r="AG178" s="33">
        <f>AF178-MIN(N(Debts!$E$14),AF178)</f>
        <v/>
      </c>
      <c r="AH178" s="33">
        <f>IF(AG178&lt;=0.005,0,AG178-MIN(AG178,MAX(0,$E178-SUMIFS(H178:AK178,$H$5:$AK$5,"Rem",$H$4:$AK$4,"&lt;"&amp;AH$4))))</f>
        <v/>
      </c>
      <c r="AI178" s="33">
        <f>AK177*(1+N(Debts!$D$15)/1200)</f>
        <v/>
      </c>
      <c r="AJ178" s="33">
        <f>AI178-MIN(N(Debts!$E$15),AI178)</f>
        <v/>
      </c>
      <c r="AK178" s="33">
        <f>IF(AJ178&lt;=0.005,0,AJ178-MIN(AJ178,MAX(0,$E178-SUMIFS(H178:AK178,$H$5:$AK$5,"Rem",$H$4:$AK$4,"&lt;"&amp;AK$4))))</f>
        <v/>
      </c>
      <c r="AL178" s="1" t="n"/>
    </row>
    <row r="179">
      <c r="A179" s="1" t="n"/>
      <c r="B179" s="1" t="n">
        <v>172</v>
      </c>
      <c r="C179" s="34">
        <f>EDATE(Debts!$J$13,B179-1)</f>
        <v/>
      </c>
      <c r="D179" s="33">
        <f>IF(G178&lt;=0.005,0,Debts!$E$16+Debts!$J$7)</f>
        <v/>
      </c>
      <c r="E179" s="33">
        <f>MAX(0,D179-(SUMIF($H$5:$AK$5,"Due",H179:AK179)-SUMIF($H$5:$AK$5,"Rem",H179:AK179)))</f>
        <v/>
      </c>
      <c r="F179" s="33">
        <f>SUMIF($H$5:$AK$5,"Due",H179:AK179)-SUMIF($H$5:$AK$5,"Bal",H178:AK178)</f>
        <v/>
      </c>
      <c r="G179" s="33">
        <f>SUMIF($H$5:$AK$5,"Bal",H179:AK179)</f>
        <v/>
      </c>
      <c r="H179" s="33">
        <f>J178*(1+N(Debts!$D$6)/1200)</f>
        <v/>
      </c>
      <c r="I179" s="33">
        <f>H179-MIN(N(Debts!$E$6),H179)</f>
        <v/>
      </c>
      <c r="J179" s="33">
        <f>IF(I179&lt;=0.005,0,I179-MIN(I179,MAX(0,$E179-SUMIFS(H179:AK179,$H$5:$AK$5,"Rem",$H$4:$AK$4,"&lt;"&amp;J$4))))</f>
        <v/>
      </c>
      <c r="K179" s="33">
        <f>M178*(1+N(Debts!$D$7)/1200)</f>
        <v/>
      </c>
      <c r="L179" s="33">
        <f>K179-MIN(N(Debts!$E$7),K179)</f>
        <v/>
      </c>
      <c r="M179" s="33">
        <f>IF(L179&lt;=0.005,0,L179-MIN(L179,MAX(0,$E179-SUMIFS(H179:AK179,$H$5:$AK$5,"Rem",$H$4:$AK$4,"&lt;"&amp;M$4))))</f>
        <v/>
      </c>
      <c r="N179" s="33">
        <f>P178*(1+N(Debts!$D$8)/1200)</f>
        <v/>
      </c>
      <c r="O179" s="33">
        <f>N179-MIN(N(Debts!$E$8),N179)</f>
        <v/>
      </c>
      <c r="P179" s="33">
        <f>IF(O179&lt;=0.005,0,O179-MIN(O179,MAX(0,$E179-SUMIFS(H179:AK179,$H$5:$AK$5,"Rem",$H$4:$AK$4,"&lt;"&amp;P$4))))</f>
        <v/>
      </c>
      <c r="Q179" s="33">
        <f>S178*(1+N(Debts!$D$9)/1200)</f>
        <v/>
      </c>
      <c r="R179" s="33">
        <f>Q179-MIN(N(Debts!$E$9),Q179)</f>
        <v/>
      </c>
      <c r="S179" s="33">
        <f>IF(R179&lt;=0.005,0,R179-MIN(R179,MAX(0,$E179-SUMIFS(H179:AK179,$H$5:$AK$5,"Rem",$H$4:$AK$4,"&lt;"&amp;S$4))))</f>
        <v/>
      </c>
      <c r="T179" s="33">
        <f>V178*(1+N(Debts!$D$10)/1200)</f>
        <v/>
      </c>
      <c r="U179" s="33">
        <f>T179-MIN(N(Debts!$E$10),T179)</f>
        <v/>
      </c>
      <c r="V179" s="33">
        <f>IF(U179&lt;=0.005,0,U179-MIN(U179,MAX(0,$E179-SUMIFS(H179:AK179,$H$5:$AK$5,"Rem",$H$4:$AK$4,"&lt;"&amp;V$4))))</f>
        <v/>
      </c>
      <c r="W179" s="33">
        <f>Y178*(1+N(Debts!$D$11)/1200)</f>
        <v/>
      </c>
      <c r="X179" s="33">
        <f>W179-MIN(N(Debts!$E$11),W179)</f>
        <v/>
      </c>
      <c r="Y179" s="33">
        <f>IF(X179&lt;=0.005,0,X179-MIN(X179,MAX(0,$E179-SUMIFS(H179:AK179,$H$5:$AK$5,"Rem",$H$4:$AK$4,"&lt;"&amp;Y$4))))</f>
        <v/>
      </c>
      <c r="Z179" s="33">
        <f>AB178*(1+N(Debts!$D$12)/1200)</f>
        <v/>
      </c>
      <c r="AA179" s="33">
        <f>Z179-MIN(N(Debts!$E$12),Z179)</f>
        <v/>
      </c>
      <c r="AB179" s="33">
        <f>IF(AA179&lt;=0.005,0,AA179-MIN(AA179,MAX(0,$E179-SUMIFS(H179:AK179,$H$5:$AK$5,"Rem",$H$4:$AK$4,"&lt;"&amp;AB$4))))</f>
        <v/>
      </c>
      <c r="AC179" s="33">
        <f>AE178*(1+N(Debts!$D$13)/1200)</f>
        <v/>
      </c>
      <c r="AD179" s="33">
        <f>AC179-MIN(N(Debts!$E$13),AC179)</f>
        <v/>
      </c>
      <c r="AE179" s="33">
        <f>IF(AD179&lt;=0.005,0,AD179-MIN(AD179,MAX(0,$E179-SUMIFS(H179:AK179,$H$5:$AK$5,"Rem",$H$4:$AK$4,"&lt;"&amp;AE$4))))</f>
        <v/>
      </c>
      <c r="AF179" s="33">
        <f>AH178*(1+N(Debts!$D$14)/1200)</f>
        <v/>
      </c>
      <c r="AG179" s="33">
        <f>AF179-MIN(N(Debts!$E$14),AF179)</f>
        <v/>
      </c>
      <c r="AH179" s="33">
        <f>IF(AG179&lt;=0.005,0,AG179-MIN(AG179,MAX(0,$E179-SUMIFS(H179:AK179,$H$5:$AK$5,"Rem",$H$4:$AK$4,"&lt;"&amp;AH$4))))</f>
        <v/>
      </c>
      <c r="AI179" s="33">
        <f>AK178*(1+N(Debts!$D$15)/1200)</f>
        <v/>
      </c>
      <c r="AJ179" s="33">
        <f>AI179-MIN(N(Debts!$E$15),AI179)</f>
        <v/>
      </c>
      <c r="AK179" s="33">
        <f>IF(AJ179&lt;=0.005,0,AJ179-MIN(AJ179,MAX(0,$E179-SUMIFS(H179:AK179,$H$5:$AK$5,"Rem",$H$4:$AK$4,"&lt;"&amp;AK$4))))</f>
        <v/>
      </c>
      <c r="AL179" s="1" t="n"/>
    </row>
    <row r="180">
      <c r="A180" s="1" t="n"/>
      <c r="B180" s="1" t="n">
        <v>173</v>
      </c>
      <c r="C180" s="34">
        <f>EDATE(Debts!$J$13,B180-1)</f>
        <v/>
      </c>
      <c r="D180" s="33">
        <f>IF(G179&lt;=0.005,0,Debts!$E$16+Debts!$J$7)</f>
        <v/>
      </c>
      <c r="E180" s="33">
        <f>MAX(0,D180-(SUMIF($H$5:$AK$5,"Due",H180:AK180)-SUMIF($H$5:$AK$5,"Rem",H180:AK180)))</f>
        <v/>
      </c>
      <c r="F180" s="33">
        <f>SUMIF($H$5:$AK$5,"Due",H180:AK180)-SUMIF($H$5:$AK$5,"Bal",H179:AK179)</f>
        <v/>
      </c>
      <c r="G180" s="33">
        <f>SUMIF($H$5:$AK$5,"Bal",H180:AK180)</f>
        <v/>
      </c>
      <c r="H180" s="33">
        <f>J179*(1+N(Debts!$D$6)/1200)</f>
        <v/>
      </c>
      <c r="I180" s="33">
        <f>H180-MIN(N(Debts!$E$6),H180)</f>
        <v/>
      </c>
      <c r="J180" s="33">
        <f>IF(I180&lt;=0.005,0,I180-MIN(I180,MAX(0,$E180-SUMIFS(H180:AK180,$H$5:$AK$5,"Rem",$H$4:$AK$4,"&lt;"&amp;J$4))))</f>
        <v/>
      </c>
      <c r="K180" s="33">
        <f>M179*(1+N(Debts!$D$7)/1200)</f>
        <v/>
      </c>
      <c r="L180" s="33">
        <f>K180-MIN(N(Debts!$E$7),K180)</f>
        <v/>
      </c>
      <c r="M180" s="33">
        <f>IF(L180&lt;=0.005,0,L180-MIN(L180,MAX(0,$E180-SUMIFS(H180:AK180,$H$5:$AK$5,"Rem",$H$4:$AK$4,"&lt;"&amp;M$4))))</f>
        <v/>
      </c>
      <c r="N180" s="33">
        <f>P179*(1+N(Debts!$D$8)/1200)</f>
        <v/>
      </c>
      <c r="O180" s="33">
        <f>N180-MIN(N(Debts!$E$8),N180)</f>
        <v/>
      </c>
      <c r="P180" s="33">
        <f>IF(O180&lt;=0.005,0,O180-MIN(O180,MAX(0,$E180-SUMIFS(H180:AK180,$H$5:$AK$5,"Rem",$H$4:$AK$4,"&lt;"&amp;P$4))))</f>
        <v/>
      </c>
      <c r="Q180" s="33">
        <f>S179*(1+N(Debts!$D$9)/1200)</f>
        <v/>
      </c>
      <c r="R180" s="33">
        <f>Q180-MIN(N(Debts!$E$9),Q180)</f>
        <v/>
      </c>
      <c r="S180" s="33">
        <f>IF(R180&lt;=0.005,0,R180-MIN(R180,MAX(0,$E180-SUMIFS(H180:AK180,$H$5:$AK$5,"Rem",$H$4:$AK$4,"&lt;"&amp;S$4))))</f>
        <v/>
      </c>
      <c r="T180" s="33">
        <f>V179*(1+N(Debts!$D$10)/1200)</f>
        <v/>
      </c>
      <c r="U180" s="33">
        <f>T180-MIN(N(Debts!$E$10),T180)</f>
        <v/>
      </c>
      <c r="V180" s="33">
        <f>IF(U180&lt;=0.005,0,U180-MIN(U180,MAX(0,$E180-SUMIFS(H180:AK180,$H$5:$AK$5,"Rem",$H$4:$AK$4,"&lt;"&amp;V$4))))</f>
        <v/>
      </c>
      <c r="W180" s="33">
        <f>Y179*(1+N(Debts!$D$11)/1200)</f>
        <v/>
      </c>
      <c r="X180" s="33">
        <f>W180-MIN(N(Debts!$E$11),W180)</f>
        <v/>
      </c>
      <c r="Y180" s="33">
        <f>IF(X180&lt;=0.005,0,X180-MIN(X180,MAX(0,$E180-SUMIFS(H180:AK180,$H$5:$AK$5,"Rem",$H$4:$AK$4,"&lt;"&amp;Y$4))))</f>
        <v/>
      </c>
      <c r="Z180" s="33">
        <f>AB179*(1+N(Debts!$D$12)/1200)</f>
        <v/>
      </c>
      <c r="AA180" s="33">
        <f>Z180-MIN(N(Debts!$E$12),Z180)</f>
        <v/>
      </c>
      <c r="AB180" s="33">
        <f>IF(AA180&lt;=0.005,0,AA180-MIN(AA180,MAX(0,$E180-SUMIFS(H180:AK180,$H$5:$AK$5,"Rem",$H$4:$AK$4,"&lt;"&amp;AB$4))))</f>
        <v/>
      </c>
      <c r="AC180" s="33">
        <f>AE179*(1+N(Debts!$D$13)/1200)</f>
        <v/>
      </c>
      <c r="AD180" s="33">
        <f>AC180-MIN(N(Debts!$E$13),AC180)</f>
        <v/>
      </c>
      <c r="AE180" s="33">
        <f>IF(AD180&lt;=0.005,0,AD180-MIN(AD180,MAX(0,$E180-SUMIFS(H180:AK180,$H$5:$AK$5,"Rem",$H$4:$AK$4,"&lt;"&amp;AE$4))))</f>
        <v/>
      </c>
      <c r="AF180" s="33">
        <f>AH179*(1+N(Debts!$D$14)/1200)</f>
        <v/>
      </c>
      <c r="AG180" s="33">
        <f>AF180-MIN(N(Debts!$E$14),AF180)</f>
        <v/>
      </c>
      <c r="AH180" s="33">
        <f>IF(AG180&lt;=0.005,0,AG180-MIN(AG180,MAX(0,$E180-SUMIFS(H180:AK180,$H$5:$AK$5,"Rem",$H$4:$AK$4,"&lt;"&amp;AH$4))))</f>
        <v/>
      </c>
      <c r="AI180" s="33">
        <f>AK179*(1+N(Debts!$D$15)/1200)</f>
        <v/>
      </c>
      <c r="AJ180" s="33">
        <f>AI180-MIN(N(Debts!$E$15),AI180)</f>
        <v/>
      </c>
      <c r="AK180" s="33">
        <f>IF(AJ180&lt;=0.005,0,AJ180-MIN(AJ180,MAX(0,$E180-SUMIFS(H180:AK180,$H$5:$AK$5,"Rem",$H$4:$AK$4,"&lt;"&amp;AK$4))))</f>
        <v/>
      </c>
      <c r="AL180" s="1" t="n"/>
    </row>
    <row r="181">
      <c r="A181" s="1" t="n"/>
      <c r="B181" s="1" t="n">
        <v>174</v>
      </c>
      <c r="C181" s="34">
        <f>EDATE(Debts!$J$13,B181-1)</f>
        <v/>
      </c>
      <c r="D181" s="33">
        <f>IF(G180&lt;=0.005,0,Debts!$E$16+Debts!$J$7)</f>
        <v/>
      </c>
      <c r="E181" s="33">
        <f>MAX(0,D181-(SUMIF($H$5:$AK$5,"Due",H181:AK181)-SUMIF($H$5:$AK$5,"Rem",H181:AK181)))</f>
        <v/>
      </c>
      <c r="F181" s="33">
        <f>SUMIF($H$5:$AK$5,"Due",H181:AK181)-SUMIF($H$5:$AK$5,"Bal",H180:AK180)</f>
        <v/>
      </c>
      <c r="G181" s="33">
        <f>SUMIF($H$5:$AK$5,"Bal",H181:AK181)</f>
        <v/>
      </c>
      <c r="H181" s="33">
        <f>J180*(1+N(Debts!$D$6)/1200)</f>
        <v/>
      </c>
      <c r="I181" s="33">
        <f>H181-MIN(N(Debts!$E$6),H181)</f>
        <v/>
      </c>
      <c r="J181" s="33">
        <f>IF(I181&lt;=0.005,0,I181-MIN(I181,MAX(0,$E181-SUMIFS(H181:AK181,$H$5:$AK$5,"Rem",$H$4:$AK$4,"&lt;"&amp;J$4))))</f>
        <v/>
      </c>
      <c r="K181" s="33">
        <f>M180*(1+N(Debts!$D$7)/1200)</f>
        <v/>
      </c>
      <c r="L181" s="33">
        <f>K181-MIN(N(Debts!$E$7),K181)</f>
        <v/>
      </c>
      <c r="M181" s="33">
        <f>IF(L181&lt;=0.005,0,L181-MIN(L181,MAX(0,$E181-SUMIFS(H181:AK181,$H$5:$AK$5,"Rem",$H$4:$AK$4,"&lt;"&amp;M$4))))</f>
        <v/>
      </c>
      <c r="N181" s="33">
        <f>P180*(1+N(Debts!$D$8)/1200)</f>
        <v/>
      </c>
      <c r="O181" s="33">
        <f>N181-MIN(N(Debts!$E$8),N181)</f>
        <v/>
      </c>
      <c r="P181" s="33">
        <f>IF(O181&lt;=0.005,0,O181-MIN(O181,MAX(0,$E181-SUMIFS(H181:AK181,$H$5:$AK$5,"Rem",$H$4:$AK$4,"&lt;"&amp;P$4))))</f>
        <v/>
      </c>
      <c r="Q181" s="33">
        <f>S180*(1+N(Debts!$D$9)/1200)</f>
        <v/>
      </c>
      <c r="R181" s="33">
        <f>Q181-MIN(N(Debts!$E$9),Q181)</f>
        <v/>
      </c>
      <c r="S181" s="33">
        <f>IF(R181&lt;=0.005,0,R181-MIN(R181,MAX(0,$E181-SUMIFS(H181:AK181,$H$5:$AK$5,"Rem",$H$4:$AK$4,"&lt;"&amp;S$4))))</f>
        <v/>
      </c>
      <c r="T181" s="33">
        <f>V180*(1+N(Debts!$D$10)/1200)</f>
        <v/>
      </c>
      <c r="U181" s="33">
        <f>T181-MIN(N(Debts!$E$10),T181)</f>
        <v/>
      </c>
      <c r="V181" s="33">
        <f>IF(U181&lt;=0.005,0,U181-MIN(U181,MAX(0,$E181-SUMIFS(H181:AK181,$H$5:$AK$5,"Rem",$H$4:$AK$4,"&lt;"&amp;V$4))))</f>
        <v/>
      </c>
      <c r="W181" s="33">
        <f>Y180*(1+N(Debts!$D$11)/1200)</f>
        <v/>
      </c>
      <c r="X181" s="33">
        <f>W181-MIN(N(Debts!$E$11),W181)</f>
        <v/>
      </c>
      <c r="Y181" s="33">
        <f>IF(X181&lt;=0.005,0,X181-MIN(X181,MAX(0,$E181-SUMIFS(H181:AK181,$H$5:$AK$5,"Rem",$H$4:$AK$4,"&lt;"&amp;Y$4))))</f>
        <v/>
      </c>
      <c r="Z181" s="33">
        <f>AB180*(1+N(Debts!$D$12)/1200)</f>
        <v/>
      </c>
      <c r="AA181" s="33">
        <f>Z181-MIN(N(Debts!$E$12),Z181)</f>
        <v/>
      </c>
      <c r="AB181" s="33">
        <f>IF(AA181&lt;=0.005,0,AA181-MIN(AA181,MAX(0,$E181-SUMIFS(H181:AK181,$H$5:$AK$5,"Rem",$H$4:$AK$4,"&lt;"&amp;AB$4))))</f>
        <v/>
      </c>
      <c r="AC181" s="33">
        <f>AE180*(1+N(Debts!$D$13)/1200)</f>
        <v/>
      </c>
      <c r="AD181" s="33">
        <f>AC181-MIN(N(Debts!$E$13),AC181)</f>
        <v/>
      </c>
      <c r="AE181" s="33">
        <f>IF(AD181&lt;=0.005,0,AD181-MIN(AD181,MAX(0,$E181-SUMIFS(H181:AK181,$H$5:$AK$5,"Rem",$H$4:$AK$4,"&lt;"&amp;AE$4))))</f>
        <v/>
      </c>
      <c r="AF181" s="33">
        <f>AH180*(1+N(Debts!$D$14)/1200)</f>
        <v/>
      </c>
      <c r="AG181" s="33">
        <f>AF181-MIN(N(Debts!$E$14),AF181)</f>
        <v/>
      </c>
      <c r="AH181" s="33">
        <f>IF(AG181&lt;=0.005,0,AG181-MIN(AG181,MAX(0,$E181-SUMIFS(H181:AK181,$H$5:$AK$5,"Rem",$H$4:$AK$4,"&lt;"&amp;AH$4))))</f>
        <v/>
      </c>
      <c r="AI181" s="33">
        <f>AK180*(1+N(Debts!$D$15)/1200)</f>
        <v/>
      </c>
      <c r="AJ181" s="33">
        <f>AI181-MIN(N(Debts!$E$15),AI181)</f>
        <v/>
      </c>
      <c r="AK181" s="33">
        <f>IF(AJ181&lt;=0.005,0,AJ181-MIN(AJ181,MAX(0,$E181-SUMIFS(H181:AK181,$H$5:$AK$5,"Rem",$H$4:$AK$4,"&lt;"&amp;AK$4))))</f>
        <v/>
      </c>
      <c r="AL181" s="1" t="n"/>
    </row>
    <row r="182">
      <c r="A182" s="1" t="n"/>
      <c r="B182" s="1" t="n">
        <v>175</v>
      </c>
      <c r="C182" s="34">
        <f>EDATE(Debts!$J$13,B182-1)</f>
        <v/>
      </c>
      <c r="D182" s="33">
        <f>IF(G181&lt;=0.005,0,Debts!$E$16+Debts!$J$7)</f>
        <v/>
      </c>
      <c r="E182" s="33">
        <f>MAX(0,D182-(SUMIF($H$5:$AK$5,"Due",H182:AK182)-SUMIF($H$5:$AK$5,"Rem",H182:AK182)))</f>
        <v/>
      </c>
      <c r="F182" s="33">
        <f>SUMIF($H$5:$AK$5,"Due",H182:AK182)-SUMIF($H$5:$AK$5,"Bal",H181:AK181)</f>
        <v/>
      </c>
      <c r="G182" s="33">
        <f>SUMIF($H$5:$AK$5,"Bal",H182:AK182)</f>
        <v/>
      </c>
      <c r="H182" s="33">
        <f>J181*(1+N(Debts!$D$6)/1200)</f>
        <v/>
      </c>
      <c r="I182" s="33">
        <f>H182-MIN(N(Debts!$E$6),H182)</f>
        <v/>
      </c>
      <c r="J182" s="33">
        <f>IF(I182&lt;=0.005,0,I182-MIN(I182,MAX(0,$E182-SUMIFS(H182:AK182,$H$5:$AK$5,"Rem",$H$4:$AK$4,"&lt;"&amp;J$4))))</f>
        <v/>
      </c>
      <c r="K182" s="33">
        <f>M181*(1+N(Debts!$D$7)/1200)</f>
        <v/>
      </c>
      <c r="L182" s="33">
        <f>K182-MIN(N(Debts!$E$7),K182)</f>
        <v/>
      </c>
      <c r="M182" s="33">
        <f>IF(L182&lt;=0.005,0,L182-MIN(L182,MAX(0,$E182-SUMIFS(H182:AK182,$H$5:$AK$5,"Rem",$H$4:$AK$4,"&lt;"&amp;M$4))))</f>
        <v/>
      </c>
      <c r="N182" s="33">
        <f>P181*(1+N(Debts!$D$8)/1200)</f>
        <v/>
      </c>
      <c r="O182" s="33">
        <f>N182-MIN(N(Debts!$E$8),N182)</f>
        <v/>
      </c>
      <c r="P182" s="33">
        <f>IF(O182&lt;=0.005,0,O182-MIN(O182,MAX(0,$E182-SUMIFS(H182:AK182,$H$5:$AK$5,"Rem",$H$4:$AK$4,"&lt;"&amp;P$4))))</f>
        <v/>
      </c>
      <c r="Q182" s="33">
        <f>S181*(1+N(Debts!$D$9)/1200)</f>
        <v/>
      </c>
      <c r="R182" s="33">
        <f>Q182-MIN(N(Debts!$E$9),Q182)</f>
        <v/>
      </c>
      <c r="S182" s="33">
        <f>IF(R182&lt;=0.005,0,R182-MIN(R182,MAX(0,$E182-SUMIFS(H182:AK182,$H$5:$AK$5,"Rem",$H$4:$AK$4,"&lt;"&amp;S$4))))</f>
        <v/>
      </c>
      <c r="T182" s="33">
        <f>V181*(1+N(Debts!$D$10)/1200)</f>
        <v/>
      </c>
      <c r="U182" s="33">
        <f>T182-MIN(N(Debts!$E$10),T182)</f>
        <v/>
      </c>
      <c r="V182" s="33">
        <f>IF(U182&lt;=0.005,0,U182-MIN(U182,MAX(0,$E182-SUMIFS(H182:AK182,$H$5:$AK$5,"Rem",$H$4:$AK$4,"&lt;"&amp;V$4))))</f>
        <v/>
      </c>
      <c r="W182" s="33">
        <f>Y181*(1+N(Debts!$D$11)/1200)</f>
        <v/>
      </c>
      <c r="X182" s="33">
        <f>W182-MIN(N(Debts!$E$11),W182)</f>
        <v/>
      </c>
      <c r="Y182" s="33">
        <f>IF(X182&lt;=0.005,0,X182-MIN(X182,MAX(0,$E182-SUMIFS(H182:AK182,$H$5:$AK$5,"Rem",$H$4:$AK$4,"&lt;"&amp;Y$4))))</f>
        <v/>
      </c>
      <c r="Z182" s="33">
        <f>AB181*(1+N(Debts!$D$12)/1200)</f>
        <v/>
      </c>
      <c r="AA182" s="33">
        <f>Z182-MIN(N(Debts!$E$12),Z182)</f>
        <v/>
      </c>
      <c r="AB182" s="33">
        <f>IF(AA182&lt;=0.005,0,AA182-MIN(AA182,MAX(0,$E182-SUMIFS(H182:AK182,$H$5:$AK$5,"Rem",$H$4:$AK$4,"&lt;"&amp;AB$4))))</f>
        <v/>
      </c>
      <c r="AC182" s="33">
        <f>AE181*(1+N(Debts!$D$13)/1200)</f>
        <v/>
      </c>
      <c r="AD182" s="33">
        <f>AC182-MIN(N(Debts!$E$13),AC182)</f>
        <v/>
      </c>
      <c r="AE182" s="33">
        <f>IF(AD182&lt;=0.005,0,AD182-MIN(AD182,MAX(0,$E182-SUMIFS(H182:AK182,$H$5:$AK$5,"Rem",$H$4:$AK$4,"&lt;"&amp;AE$4))))</f>
        <v/>
      </c>
      <c r="AF182" s="33">
        <f>AH181*(1+N(Debts!$D$14)/1200)</f>
        <v/>
      </c>
      <c r="AG182" s="33">
        <f>AF182-MIN(N(Debts!$E$14),AF182)</f>
        <v/>
      </c>
      <c r="AH182" s="33">
        <f>IF(AG182&lt;=0.005,0,AG182-MIN(AG182,MAX(0,$E182-SUMIFS(H182:AK182,$H$5:$AK$5,"Rem",$H$4:$AK$4,"&lt;"&amp;AH$4))))</f>
        <v/>
      </c>
      <c r="AI182" s="33">
        <f>AK181*(1+N(Debts!$D$15)/1200)</f>
        <v/>
      </c>
      <c r="AJ182" s="33">
        <f>AI182-MIN(N(Debts!$E$15),AI182)</f>
        <v/>
      </c>
      <c r="AK182" s="33">
        <f>IF(AJ182&lt;=0.005,0,AJ182-MIN(AJ182,MAX(0,$E182-SUMIFS(H182:AK182,$H$5:$AK$5,"Rem",$H$4:$AK$4,"&lt;"&amp;AK$4))))</f>
        <v/>
      </c>
      <c r="AL182" s="1" t="n"/>
    </row>
    <row r="183">
      <c r="A183" s="1" t="n"/>
      <c r="B183" s="1" t="n">
        <v>176</v>
      </c>
      <c r="C183" s="34">
        <f>EDATE(Debts!$J$13,B183-1)</f>
        <v/>
      </c>
      <c r="D183" s="33">
        <f>IF(G182&lt;=0.005,0,Debts!$E$16+Debts!$J$7)</f>
        <v/>
      </c>
      <c r="E183" s="33">
        <f>MAX(0,D183-(SUMIF($H$5:$AK$5,"Due",H183:AK183)-SUMIF($H$5:$AK$5,"Rem",H183:AK183)))</f>
        <v/>
      </c>
      <c r="F183" s="33">
        <f>SUMIF($H$5:$AK$5,"Due",H183:AK183)-SUMIF($H$5:$AK$5,"Bal",H182:AK182)</f>
        <v/>
      </c>
      <c r="G183" s="33">
        <f>SUMIF($H$5:$AK$5,"Bal",H183:AK183)</f>
        <v/>
      </c>
      <c r="H183" s="33">
        <f>J182*(1+N(Debts!$D$6)/1200)</f>
        <v/>
      </c>
      <c r="I183" s="33">
        <f>H183-MIN(N(Debts!$E$6),H183)</f>
        <v/>
      </c>
      <c r="J183" s="33">
        <f>IF(I183&lt;=0.005,0,I183-MIN(I183,MAX(0,$E183-SUMIFS(H183:AK183,$H$5:$AK$5,"Rem",$H$4:$AK$4,"&lt;"&amp;J$4))))</f>
        <v/>
      </c>
      <c r="K183" s="33">
        <f>M182*(1+N(Debts!$D$7)/1200)</f>
        <v/>
      </c>
      <c r="L183" s="33">
        <f>K183-MIN(N(Debts!$E$7),K183)</f>
        <v/>
      </c>
      <c r="M183" s="33">
        <f>IF(L183&lt;=0.005,0,L183-MIN(L183,MAX(0,$E183-SUMIFS(H183:AK183,$H$5:$AK$5,"Rem",$H$4:$AK$4,"&lt;"&amp;M$4))))</f>
        <v/>
      </c>
      <c r="N183" s="33">
        <f>P182*(1+N(Debts!$D$8)/1200)</f>
        <v/>
      </c>
      <c r="O183" s="33">
        <f>N183-MIN(N(Debts!$E$8),N183)</f>
        <v/>
      </c>
      <c r="P183" s="33">
        <f>IF(O183&lt;=0.005,0,O183-MIN(O183,MAX(0,$E183-SUMIFS(H183:AK183,$H$5:$AK$5,"Rem",$H$4:$AK$4,"&lt;"&amp;P$4))))</f>
        <v/>
      </c>
      <c r="Q183" s="33">
        <f>S182*(1+N(Debts!$D$9)/1200)</f>
        <v/>
      </c>
      <c r="R183" s="33">
        <f>Q183-MIN(N(Debts!$E$9),Q183)</f>
        <v/>
      </c>
      <c r="S183" s="33">
        <f>IF(R183&lt;=0.005,0,R183-MIN(R183,MAX(0,$E183-SUMIFS(H183:AK183,$H$5:$AK$5,"Rem",$H$4:$AK$4,"&lt;"&amp;S$4))))</f>
        <v/>
      </c>
      <c r="T183" s="33">
        <f>V182*(1+N(Debts!$D$10)/1200)</f>
        <v/>
      </c>
      <c r="U183" s="33">
        <f>T183-MIN(N(Debts!$E$10),T183)</f>
        <v/>
      </c>
      <c r="V183" s="33">
        <f>IF(U183&lt;=0.005,0,U183-MIN(U183,MAX(0,$E183-SUMIFS(H183:AK183,$H$5:$AK$5,"Rem",$H$4:$AK$4,"&lt;"&amp;V$4))))</f>
        <v/>
      </c>
      <c r="W183" s="33">
        <f>Y182*(1+N(Debts!$D$11)/1200)</f>
        <v/>
      </c>
      <c r="X183" s="33">
        <f>W183-MIN(N(Debts!$E$11),W183)</f>
        <v/>
      </c>
      <c r="Y183" s="33">
        <f>IF(X183&lt;=0.005,0,X183-MIN(X183,MAX(0,$E183-SUMIFS(H183:AK183,$H$5:$AK$5,"Rem",$H$4:$AK$4,"&lt;"&amp;Y$4))))</f>
        <v/>
      </c>
      <c r="Z183" s="33">
        <f>AB182*(1+N(Debts!$D$12)/1200)</f>
        <v/>
      </c>
      <c r="AA183" s="33">
        <f>Z183-MIN(N(Debts!$E$12),Z183)</f>
        <v/>
      </c>
      <c r="AB183" s="33">
        <f>IF(AA183&lt;=0.005,0,AA183-MIN(AA183,MAX(0,$E183-SUMIFS(H183:AK183,$H$5:$AK$5,"Rem",$H$4:$AK$4,"&lt;"&amp;AB$4))))</f>
        <v/>
      </c>
      <c r="AC183" s="33">
        <f>AE182*(1+N(Debts!$D$13)/1200)</f>
        <v/>
      </c>
      <c r="AD183" s="33">
        <f>AC183-MIN(N(Debts!$E$13),AC183)</f>
        <v/>
      </c>
      <c r="AE183" s="33">
        <f>IF(AD183&lt;=0.005,0,AD183-MIN(AD183,MAX(0,$E183-SUMIFS(H183:AK183,$H$5:$AK$5,"Rem",$H$4:$AK$4,"&lt;"&amp;AE$4))))</f>
        <v/>
      </c>
      <c r="AF183" s="33">
        <f>AH182*(1+N(Debts!$D$14)/1200)</f>
        <v/>
      </c>
      <c r="AG183" s="33">
        <f>AF183-MIN(N(Debts!$E$14),AF183)</f>
        <v/>
      </c>
      <c r="AH183" s="33">
        <f>IF(AG183&lt;=0.005,0,AG183-MIN(AG183,MAX(0,$E183-SUMIFS(H183:AK183,$H$5:$AK$5,"Rem",$H$4:$AK$4,"&lt;"&amp;AH$4))))</f>
        <v/>
      </c>
      <c r="AI183" s="33">
        <f>AK182*(1+N(Debts!$D$15)/1200)</f>
        <v/>
      </c>
      <c r="AJ183" s="33">
        <f>AI183-MIN(N(Debts!$E$15),AI183)</f>
        <v/>
      </c>
      <c r="AK183" s="33">
        <f>IF(AJ183&lt;=0.005,0,AJ183-MIN(AJ183,MAX(0,$E183-SUMIFS(H183:AK183,$H$5:$AK$5,"Rem",$H$4:$AK$4,"&lt;"&amp;AK$4))))</f>
        <v/>
      </c>
      <c r="AL183" s="1" t="n"/>
    </row>
    <row r="184">
      <c r="A184" s="1" t="n"/>
      <c r="B184" s="1" t="n">
        <v>177</v>
      </c>
      <c r="C184" s="34">
        <f>EDATE(Debts!$J$13,B184-1)</f>
        <v/>
      </c>
      <c r="D184" s="33">
        <f>IF(G183&lt;=0.005,0,Debts!$E$16+Debts!$J$7)</f>
        <v/>
      </c>
      <c r="E184" s="33">
        <f>MAX(0,D184-(SUMIF($H$5:$AK$5,"Due",H184:AK184)-SUMIF($H$5:$AK$5,"Rem",H184:AK184)))</f>
        <v/>
      </c>
      <c r="F184" s="33">
        <f>SUMIF($H$5:$AK$5,"Due",H184:AK184)-SUMIF($H$5:$AK$5,"Bal",H183:AK183)</f>
        <v/>
      </c>
      <c r="G184" s="33">
        <f>SUMIF($H$5:$AK$5,"Bal",H184:AK184)</f>
        <v/>
      </c>
      <c r="H184" s="33">
        <f>J183*(1+N(Debts!$D$6)/1200)</f>
        <v/>
      </c>
      <c r="I184" s="33">
        <f>H184-MIN(N(Debts!$E$6),H184)</f>
        <v/>
      </c>
      <c r="J184" s="33">
        <f>IF(I184&lt;=0.005,0,I184-MIN(I184,MAX(0,$E184-SUMIFS(H184:AK184,$H$5:$AK$5,"Rem",$H$4:$AK$4,"&lt;"&amp;J$4))))</f>
        <v/>
      </c>
      <c r="K184" s="33">
        <f>M183*(1+N(Debts!$D$7)/1200)</f>
        <v/>
      </c>
      <c r="L184" s="33">
        <f>K184-MIN(N(Debts!$E$7),K184)</f>
        <v/>
      </c>
      <c r="M184" s="33">
        <f>IF(L184&lt;=0.005,0,L184-MIN(L184,MAX(0,$E184-SUMIFS(H184:AK184,$H$5:$AK$5,"Rem",$H$4:$AK$4,"&lt;"&amp;M$4))))</f>
        <v/>
      </c>
      <c r="N184" s="33">
        <f>P183*(1+N(Debts!$D$8)/1200)</f>
        <v/>
      </c>
      <c r="O184" s="33">
        <f>N184-MIN(N(Debts!$E$8),N184)</f>
        <v/>
      </c>
      <c r="P184" s="33">
        <f>IF(O184&lt;=0.005,0,O184-MIN(O184,MAX(0,$E184-SUMIFS(H184:AK184,$H$5:$AK$5,"Rem",$H$4:$AK$4,"&lt;"&amp;P$4))))</f>
        <v/>
      </c>
      <c r="Q184" s="33">
        <f>S183*(1+N(Debts!$D$9)/1200)</f>
        <v/>
      </c>
      <c r="R184" s="33">
        <f>Q184-MIN(N(Debts!$E$9),Q184)</f>
        <v/>
      </c>
      <c r="S184" s="33">
        <f>IF(R184&lt;=0.005,0,R184-MIN(R184,MAX(0,$E184-SUMIFS(H184:AK184,$H$5:$AK$5,"Rem",$H$4:$AK$4,"&lt;"&amp;S$4))))</f>
        <v/>
      </c>
      <c r="T184" s="33">
        <f>V183*(1+N(Debts!$D$10)/1200)</f>
        <v/>
      </c>
      <c r="U184" s="33">
        <f>T184-MIN(N(Debts!$E$10),T184)</f>
        <v/>
      </c>
      <c r="V184" s="33">
        <f>IF(U184&lt;=0.005,0,U184-MIN(U184,MAX(0,$E184-SUMIFS(H184:AK184,$H$5:$AK$5,"Rem",$H$4:$AK$4,"&lt;"&amp;V$4))))</f>
        <v/>
      </c>
      <c r="W184" s="33">
        <f>Y183*(1+N(Debts!$D$11)/1200)</f>
        <v/>
      </c>
      <c r="X184" s="33">
        <f>W184-MIN(N(Debts!$E$11),W184)</f>
        <v/>
      </c>
      <c r="Y184" s="33">
        <f>IF(X184&lt;=0.005,0,X184-MIN(X184,MAX(0,$E184-SUMIFS(H184:AK184,$H$5:$AK$5,"Rem",$H$4:$AK$4,"&lt;"&amp;Y$4))))</f>
        <v/>
      </c>
      <c r="Z184" s="33">
        <f>AB183*(1+N(Debts!$D$12)/1200)</f>
        <v/>
      </c>
      <c r="AA184" s="33">
        <f>Z184-MIN(N(Debts!$E$12),Z184)</f>
        <v/>
      </c>
      <c r="AB184" s="33">
        <f>IF(AA184&lt;=0.005,0,AA184-MIN(AA184,MAX(0,$E184-SUMIFS(H184:AK184,$H$5:$AK$5,"Rem",$H$4:$AK$4,"&lt;"&amp;AB$4))))</f>
        <v/>
      </c>
      <c r="AC184" s="33">
        <f>AE183*(1+N(Debts!$D$13)/1200)</f>
        <v/>
      </c>
      <c r="AD184" s="33">
        <f>AC184-MIN(N(Debts!$E$13),AC184)</f>
        <v/>
      </c>
      <c r="AE184" s="33">
        <f>IF(AD184&lt;=0.005,0,AD184-MIN(AD184,MAX(0,$E184-SUMIFS(H184:AK184,$H$5:$AK$5,"Rem",$H$4:$AK$4,"&lt;"&amp;AE$4))))</f>
        <v/>
      </c>
      <c r="AF184" s="33">
        <f>AH183*(1+N(Debts!$D$14)/1200)</f>
        <v/>
      </c>
      <c r="AG184" s="33">
        <f>AF184-MIN(N(Debts!$E$14),AF184)</f>
        <v/>
      </c>
      <c r="AH184" s="33">
        <f>IF(AG184&lt;=0.005,0,AG184-MIN(AG184,MAX(0,$E184-SUMIFS(H184:AK184,$H$5:$AK$5,"Rem",$H$4:$AK$4,"&lt;"&amp;AH$4))))</f>
        <v/>
      </c>
      <c r="AI184" s="33">
        <f>AK183*(1+N(Debts!$D$15)/1200)</f>
        <v/>
      </c>
      <c r="AJ184" s="33">
        <f>AI184-MIN(N(Debts!$E$15),AI184)</f>
        <v/>
      </c>
      <c r="AK184" s="33">
        <f>IF(AJ184&lt;=0.005,0,AJ184-MIN(AJ184,MAX(0,$E184-SUMIFS(H184:AK184,$H$5:$AK$5,"Rem",$H$4:$AK$4,"&lt;"&amp;AK$4))))</f>
        <v/>
      </c>
      <c r="AL184" s="1" t="n"/>
    </row>
    <row r="185">
      <c r="A185" s="1" t="n"/>
      <c r="B185" s="1" t="n">
        <v>178</v>
      </c>
      <c r="C185" s="34">
        <f>EDATE(Debts!$J$13,B185-1)</f>
        <v/>
      </c>
      <c r="D185" s="33">
        <f>IF(G184&lt;=0.005,0,Debts!$E$16+Debts!$J$7)</f>
        <v/>
      </c>
      <c r="E185" s="33">
        <f>MAX(0,D185-(SUMIF($H$5:$AK$5,"Due",H185:AK185)-SUMIF($H$5:$AK$5,"Rem",H185:AK185)))</f>
        <v/>
      </c>
      <c r="F185" s="33">
        <f>SUMIF($H$5:$AK$5,"Due",H185:AK185)-SUMIF($H$5:$AK$5,"Bal",H184:AK184)</f>
        <v/>
      </c>
      <c r="G185" s="33">
        <f>SUMIF($H$5:$AK$5,"Bal",H185:AK185)</f>
        <v/>
      </c>
      <c r="H185" s="33">
        <f>J184*(1+N(Debts!$D$6)/1200)</f>
        <v/>
      </c>
      <c r="I185" s="33">
        <f>H185-MIN(N(Debts!$E$6),H185)</f>
        <v/>
      </c>
      <c r="J185" s="33">
        <f>IF(I185&lt;=0.005,0,I185-MIN(I185,MAX(0,$E185-SUMIFS(H185:AK185,$H$5:$AK$5,"Rem",$H$4:$AK$4,"&lt;"&amp;J$4))))</f>
        <v/>
      </c>
      <c r="K185" s="33">
        <f>M184*(1+N(Debts!$D$7)/1200)</f>
        <v/>
      </c>
      <c r="L185" s="33">
        <f>K185-MIN(N(Debts!$E$7),K185)</f>
        <v/>
      </c>
      <c r="M185" s="33">
        <f>IF(L185&lt;=0.005,0,L185-MIN(L185,MAX(0,$E185-SUMIFS(H185:AK185,$H$5:$AK$5,"Rem",$H$4:$AK$4,"&lt;"&amp;M$4))))</f>
        <v/>
      </c>
      <c r="N185" s="33">
        <f>P184*(1+N(Debts!$D$8)/1200)</f>
        <v/>
      </c>
      <c r="O185" s="33">
        <f>N185-MIN(N(Debts!$E$8),N185)</f>
        <v/>
      </c>
      <c r="P185" s="33">
        <f>IF(O185&lt;=0.005,0,O185-MIN(O185,MAX(0,$E185-SUMIFS(H185:AK185,$H$5:$AK$5,"Rem",$H$4:$AK$4,"&lt;"&amp;P$4))))</f>
        <v/>
      </c>
      <c r="Q185" s="33">
        <f>S184*(1+N(Debts!$D$9)/1200)</f>
        <v/>
      </c>
      <c r="R185" s="33">
        <f>Q185-MIN(N(Debts!$E$9),Q185)</f>
        <v/>
      </c>
      <c r="S185" s="33">
        <f>IF(R185&lt;=0.005,0,R185-MIN(R185,MAX(0,$E185-SUMIFS(H185:AK185,$H$5:$AK$5,"Rem",$H$4:$AK$4,"&lt;"&amp;S$4))))</f>
        <v/>
      </c>
      <c r="T185" s="33">
        <f>V184*(1+N(Debts!$D$10)/1200)</f>
        <v/>
      </c>
      <c r="U185" s="33">
        <f>T185-MIN(N(Debts!$E$10),T185)</f>
        <v/>
      </c>
      <c r="V185" s="33">
        <f>IF(U185&lt;=0.005,0,U185-MIN(U185,MAX(0,$E185-SUMIFS(H185:AK185,$H$5:$AK$5,"Rem",$H$4:$AK$4,"&lt;"&amp;V$4))))</f>
        <v/>
      </c>
      <c r="W185" s="33">
        <f>Y184*(1+N(Debts!$D$11)/1200)</f>
        <v/>
      </c>
      <c r="X185" s="33">
        <f>W185-MIN(N(Debts!$E$11),W185)</f>
        <v/>
      </c>
      <c r="Y185" s="33">
        <f>IF(X185&lt;=0.005,0,X185-MIN(X185,MAX(0,$E185-SUMIFS(H185:AK185,$H$5:$AK$5,"Rem",$H$4:$AK$4,"&lt;"&amp;Y$4))))</f>
        <v/>
      </c>
      <c r="Z185" s="33">
        <f>AB184*(1+N(Debts!$D$12)/1200)</f>
        <v/>
      </c>
      <c r="AA185" s="33">
        <f>Z185-MIN(N(Debts!$E$12),Z185)</f>
        <v/>
      </c>
      <c r="AB185" s="33">
        <f>IF(AA185&lt;=0.005,0,AA185-MIN(AA185,MAX(0,$E185-SUMIFS(H185:AK185,$H$5:$AK$5,"Rem",$H$4:$AK$4,"&lt;"&amp;AB$4))))</f>
        <v/>
      </c>
      <c r="AC185" s="33">
        <f>AE184*(1+N(Debts!$D$13)/1200)</f>
        <v/>
      </c>
      <c r="AD185" s="33">
        <f>AC185-MIN(N(Debts!$E$13),AC185)</f>
        <v/>
      </c>
      <c r="AE185" s="33">
        <f>IF(AD185&lt;=0.005,0,AD185-MIN(AD185,MAX(0,$E185-SUMIFS(H185:AK185,$H$5:$AK$5,"Rem",$H$4:$AK$4,"&lt;"&amp;AE$4))))</f>
        <v/>
      </c>
      <c r="AF185" s="33">
        <f>AH184*(1+N(Debts!$D$14)/1200)</f>
        <v/>
      </c>
      <c r="AG185" s="33">
        <f>AF185-MIN(N(Debts!$E$14),AF185)</f>
        <v/>
      </c>
      <c r="AH185" s="33">
        <f>IF(AG185&lt;=0.005,0,AG185-MIN(AG185,MAX(0,$E185-SUMIFS(H185:AK185,$H$5:$AK$5,"Rem",$H$4:$AK$4,"&lt;"&amp;AH$4))))</f>
        <v/>
      </c>
      <c r="AI185" s="33">
        <f>AK184*(1+N(Debts!$D$15)/1200)</f>
        <v/>
      </c>
      <c r="AJ185" s="33">
        <f>AI185-MIN(N(Debts!$E$15),AI185)</f>
        <v/>
      </c>
      <c r="AK185" s="33">
        <f>IF(AJ185&lt;=0.005,0,AJ185-MIN(AJ185,MAX(0,$E185-SUMIFS(H185:AK185,$H$5:$AK$5,"Rem",$H$4:$AK$4,"&lt;"&amp;AK$4))))</f>
        <v/>
      </c>
      <c r="AL185" s="1" t="n"/>
    </row>
    <row r="186">
      <c r="A186" s="1" t="n"/>
      <c r="B186" s="1" t="n">
        <v>179</v>
      </c>
      <c r="C186" s="34">
        <f>EDATE(Debts!$J$13,B186-1)</f>
        <v/>
      </c>
      <c r="D186" s="33">
        <f>IF(G185&lt;=0.005,0,Debts!$E$16+Debts!$J$7)</f>
        <v/>
      </c>
      <c r="E186" s="33">
        <f>MAX(0,D186-(SUMIF($H$5:$AK$5,"Due",H186:AK186)-SUMIF($H$5:$AK$5,"Rem",H186:AK186)))</f>
        <v/>
      </c>
      <c r="F186" s="33">
        <f>SUMIF($H$5:$AK$5,"Due",H186:AK186)-SUMIF($H$5:$AK$5,"Bal",H185:AK185)</f>
        <v/>
      </c>
      <c r="G186" s="33">
        <f>SUMIF($H$5:$AK$5,"Bal",H186:AK186)</f>
        <v/>
      </c>
      <c r="H186" s="33">
        <f>J185*(1+N(Debts!$D$6)/1200)</f>
        <v/>
      </c>
      <c r="I186" s="33">
        <f>H186-MIN(N(Debts!$E$6),H186)</f>
        <v/>
      </c>
      <c r="J186" s="33">
        <f>IF(I186&lt;=0.005,0,I186-MIN(I186,MAX(0,$E186-SUMIFS(H186:AK186,$H$5:$AK$5,"Rem",$H$4:$AK$4,"&lt;"&amp;J$4))))</f>
        <v/>
      </c>
      <c r="K186" s="33">
        <f>M185*(1+N(Debts!$D$7)/1200)</f>
        <v/>
      </c>
      <c r="L186" s="33">
        <f>K186-MIN(N(Debts!$E$7),K186)</f>
        <v/>
      </c>
      <c r="M186" s="33">
        <f>IF(L186&lt;=0.005,0,L186-MIN(L186,MAX(0,$E186-SUMIFS(H186:AK186,$H$5:$AK$5,"Rem",$H$4:$AK$4,"&lt;"&amp;M$4))))</f>
        <v/>
      </c>
      <c r="N186" s="33">
        <f>P185*(1+N(Debts!$D$8)/1200)</f>
        <v/>
      </c>
      <c r="O186" s="33">
        <f>N186-MIN(N(Debts!$E$8),N186)</f>
        <v/>
      </c>
      <c r="P186" s="33">
        <f>IF(O186&lt;=0.005,0,O186-MIN(O186,MAX(0,$E186-SUMIFS(H186:AK186,$H$5:$AK$5,"Rem",$H$4:$AK$4,"&lt;"&amp;P$4))))</f>
        <v/>
      </c>
      <c r="Q186" s="33">
        <f>S185*(1+N(Debts!$D$9)/1200)</f>
        <v/>
      </c>
      <c r="R186" s="33">
        <f>Q186-MIN(N(Debts!$E$9),Q186)</f>
        <v/>
      </c>
      <c r="S186" s="33">
        <f>IF(R186&lt;=0.005,0,R186-MIN(R186,MAX(0,$E186-SUMIFS(H186:AK186,$H$5:$AK$5,"Rem",$H$4:$AK$4,"&lt;"&amp;S$4))))</f>
        <v/>
      </c>
      <c r="T186" s="33">
        <f>V185*(1+N(Debts!$D$10)/1200)</f>
        <v/>
      </c>
      <c r="U186" s="33">
        <f>T186-MIN(N(Debts!$E$10),T186)</f>
        <v/>
      </c>
      <c r="V186" s="33">
        <f>IF(U186&lt;=0.005,0,U186-MIN(U186,MAX(0,$E186-SUMIFS(H186:AK186,$H$5:$AK$5,"Rem",$H$4:$AK$4,"&lt;"&amp;V$4))))</f>
        <v/>
      </c>
      <c r="W186" s="33">
        <f>Y185*(1+N(Debts!$D$11)/1200)</f>
        <v/>
      </c>
      <c r="X186" s="33">
        <f>W186-MIN(N(Debts!$E$11),W186)</f>
        <v/>
      </c>
      <c r="Y186" s="33">
        <f>IF(X186&lt;=0.005,0,X186-MIN(X186,MAX(0,$E186-SUMIFS(H186:AK186,$H$5:$AK$5,"Rem",$H$4:$AK$4,"&lt;"&amp;Y$4))))</f>
        <v/>
      </c>
      <c r="Z186" s="33">
        <f>AB185*(1+N(Debts!$D$12)/1200)</f>
        <v/>
      </c>
      <c r="AA186" s="33">
        <f>Z186-MIN(N(Debts!$E$12),Z186)</f>
        <v/>
      </c>
      <c r="AB186" s="33">
        <f>IF(AA186&lt;=0.005,0,AA186-MIN(AA186,MAX(0,$E186-SUMIFS(H186:AK186,$H$5:$AK$5,"Rem",$H$4:$AK$4,"&lt;"&amp;AB$4))))</f>
        <v/>
      </c>
      <c r="AC186" s="33">
        <f>AE185*(1+N(Debts!$D$13)/1200)</f>
        <v/>
      </c>
      <c r="AD186" s="33">
        <f>AC186-MIN(N(Debts!$E$13),AC186)</f>
        <v/>
      </c>
      <c r="AE186" s="33">
        <f>IF(AD186&lt;=0.005,0,AD186-MIN(AD186,MAX(0,$E186-SUMIFS(H186:AK186,$H$5:$AK$5,"Rem",$H$4:$AK$4,"&lt;"&amp;AE$4))))</f>
        <v/>
      </c>
      <c r="AF186" s="33">
        <f>AH185*(1+N(Debts!$D$14)/1200)</f>
        <v/>
      </c>
      <c r="AG186" s="33">
        <f>AF186-MIN(N(Debts!$E$14),AF186)</f>
        <v/>
      </c>
      <c r="AH186" s="33">
        <f>IF(AG186&lt;=0.005,0,AG186-MIN(AG186,MAX(0,$E186-SUMIFS(H186:AK186,$H$5:$AK$5,"Rem",$H$4:$AK$4,"&lt;"&amp;AH$4))))</f>
        <v/>
      </c>
      <c r="AI186" s="33">
        <f>AK185*(1+N(Debts!$D$15)/1200)</f>
        <v/>
      </c>
      <c r="AJ186" s="33">
        <f>AI186-MIN(N(Debts!$E$15),AI186)</f>
        <v/>
      </c>
      <c r="AK186" s="33">
        <f>IF(AJ186&lt;=0.005,0,AJ186-MIN(AJ186,MAX(0,$E186-SUMIFS(H186:AK186,$H$5:$AK$5,"Rem",$H$4:$AK$4,"&lt;"&amp;AK$4))))</f>
        <v/>
      </c>
      <c r="AL186" s="1" t="n"/>
    </row>
    <row r="187">
      <c r="A187" s="1" t="n"/>
      <c r="B187" s="1" t="n">
        <v>180</v>
      </c>
      <c r="C187" s="34">
        <f>EDATE(Debts!$J$13,B187-1)</f>
        <v/>
      </c>
      <c r="D187" s="33">
        <f>IF(G186&lt;=0.005,0,Debts!$E$16+Debts!$J$7)</f>
        <v/>
      </c>
      <c r="E187" s="33">
        <f>MAX(0,D187-(SUMIF($H$5:$AK$5,"Due",H187:AK187)-SUMIF($H$5:$AK$5,"Rem",H187:AK187)))</f>
        <v/>
      </c>
      <c r="F187" s="33">
        <f>SUMIF($H$5:$AK$5,"Due",H187:AK187)-SUMIF($H$5:$AK$5,"Bal",H186:AK186)</f>
        <v/>
      </c>
      <c r="G187" s="33">
        <f>SUMIF($H$5:$AK$5,"Bal",H187:AK187)</f>
        <v/>
      </c>
      <c r="H187" s="33">
        <f>J186*(1+N(Debts!$D$6)/1200)</f>
        <v/>
      </c>
      <c r="I187" s="33">
        <f>H187-MIN(N(Debts!$E$6),H187)</f>
        <v/>
      </c>
      <c r="J187" s="33">
        <f>IF(I187&lt;=0.005,0,I187-MIN(I187,MAX(0,$E187-SUMIFS(H187:AK187,$H$5:$AK$5,"Rem",$H$4:$AK$4,"&lt;"&amp;J$4))))</f>
        <v/>
      </c>
      <c r="K187" s="33">
        <f>M186*(1+N(Debts!$D$7)/1200)</f>
        <v/>
      </c>
      <c r="L187" s="33">
        <f>K187-MIN(N(Debts!$E$7),K187)</f>
        <v/>
      </c>
      <c r="M187" s="33">
        <f>IF(L187&lt;=0.005,0,L187-MIN(L187,MAX(0,$E187-SUMIFS(H187:AK187,$H$5:$AK$5,"Rem",$H$4:$AK$4,"&lt;"&amp;M$4))))</f>
        <v/>
      </c>
      <c r="N187" s="33">
        <f>P186*(1+N(Debts!$D$8)/1200)</f>
        <v/>
      </c>
      <c r="O187" s="33">
        <f>N187-MIN(N(Debts!$E$8),N187)</f>
        <v/>
      </c>
      <c r="P187" s="33">
        <f>IF(O187&lt;=0.005,0,O187-MIN(O187,MAX(0,$E187-SUMIFS(H187:AK187,$H$5:$AK$5,"Rem",$H$4:$AK$4,"&lt;"&amp;P$4))))</f>
        <v/>
      </c>
      <c r="Q187" s="33">
        <f>S186*(1+N(Debts!$D$9)/1200)</f>
        <v/>
      </c>
      <c r="R187" s="33">
        <f>Q187-MIN(N(Debts!$E$9),Q187)</f>
        <v/>
      </c>
      <c r="S187" s="33">
        <f>IF(R187&lt;=0.005,0,R187-MIN(R187,MAX(0,$E187-SUMIFS(H187:AK187,$H$5:$AK$5,"Rem",$H$4:$AK$4,"&lt;"&amp;S$4))))</f>
        <v/>
      </c>
      <c r="T187" s="33">
        <f>V186*(1+N(Debts!$D$10)/1200)</f>
        <v/>
      </c>
      <c r="U187" s="33">
        <f>T187-MIN(N(Debts!$E$10),T187)</f>
        <v/>
      </c>
      <c r="V187" s="33">
        <f>IF(U187&lt;=0.005,0,U187-MIN(U187,MAX(0,$E187-SUMIFS(H187:AK187,$H$5:$AK$5,"Rem",$H$4:$AK$4,"&lt;"&amp;V$4))))</f>
        <v/>
      </c>
      <c r="W187" s="33">
        <f>Y186*(1+N(Debts!$D$11)/1200)</f>
        <v/>
      </c>
      <c r="X187" s="33">
        <f>W187-MIN(N(Debts!$E$11),W187)</f>
        <v/>
      </c>
      <c r="Y187" s="33">
        <f>IF(X187&lt;=0.005,0,X187-MIN(X187,MAX(0,$E187-SUMIFS(H187:AK187,$H$5:$AK$5,"Rem",$H$4:$AK$4,"&lt;"&amp;Y$4))))</f>
        <v/>
      </c>
      <c r="Z187" s="33">
        <f>AB186*(1+N(Debts!$D$12)/1200)</f>
        <v/>
      </c>
      <c r="AA187" s="33">
        <f>Z187-MIN(N(Debts!$E$12),Z187)</f>
        <v/>
      </c>
      <c r="AB187" s="33">
        <f>IF(AA187&lt;=0.005,0,AA187-MIN(AA187,MAX(0,$E187-SUMIFS(H187:AK187,$H$5:$AK$5,"Rem",$H$4:$AK$4,"&lt;"&amp;AB$4))))</f>
        <v/>
      </c>
      <c r="AC187" s="33">
        <f>AE186*(1+N(Debts!$D$13)/1200)</f>
        <v/>
      </c>
      <c r="AD187" s="33">
        <f>AC187-MIN(N(Debts!$E$13),AC187)</f>
        <v/>
      </c>
      <c r="AE187" s="33">
        <f>IF(AD187&lt;=0.005,0,AD187-MIN(AD187,MAX(0,$E187-SUMIFS(H187:AK187,$H$5:$AK$5,"Rem",$H$4:$AK$4,"&lt;"&amp;AE$4))))</f>
        <v/>
      </c>
      <c r="AF187" s="33">
        <f>AH186*(1+N(Debts!$D$14)/1200)</f>
        <v/>
      </c>
      <c r="AG187" s="33">
        <f>AF187-MIN(N(Debts!$E$14),AF187)</f>
        <v/>
      </c>
      <c r="AH187" s="33">
        <f>IF(AG187&lt;=0.005,0,AG187-MIN(AG187,MAX(0,$E187-SUMIFS(H187:AK187,$H$5:$AK$5,"Rem",$H$4:$AK$4,"&lt;"&amp;AH$4))))</f>
        <v/>
      </c>
      <c r="AI187" s="33">
        <f>AK186*(1+N(Debts!$D$15)/1200)</f>
        <v/>
      </c>
      <c r="AJ187" s="33">
        <f>AI187-MIN(N(Debts!$E$15),AI187)</f>
        <v/>
      </c>
      <c r="AK187" s="33">
        <f>IF(AJ187&lt;=0.005,0,AJ187-MIN(AJ187,MAX(0,$E187-SUMIFS(H187:AK187,$H$5:$AK$5,"Rem",$H$4:$AK$4,"&lt;"&amp;AK$4))))</f>
        <v/>
      </c>
      <c r="AL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</row>
  </sheetData>
  <conditionalFormatting sqref="H8:AK187">
    <cfRule type="expression" priority="1" dxfId="1">
      <formula>AND(H$5="Bal",H8&lt;=0.005,H7&gt;0.005)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8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7" max="7"/>
    <col hidden="1" width="11" customWidth="1" min="8" max="8"/>
    <col hidden="1" width="11" customWidth="1" min="9" max="9"/>
    <col width="11" customWidth="1" min="10" max="10"/>
    <col hidden="1" width="11" customWidth="1" min="11" max="11"/>
    <col hidden="1" width="11" customWidth="1" min="12" max="12"/>
    <col width="11" customWidth="1" min="13" max="13"/>
    <col hidden="1" width="11" customWidth="1" min="14" max="14"/>
    <col hidden="1" width="11" customWidth="1" min="15" max="15"/>
    <col width="11" customWidth="1" min="16" max="16"/>
    <col hidden="1" width="11" customWidth="1" min="17" max="17"/>
    <col hidden="1" width="11" customWidth="1" min="18" max="18"/>
    <col width="11" customWidth="1" min="19" max="19"/>
    <col hidden="1" width="11" customWidth="1" min="20" max="20"/>
    <col hidden="1" width="11" customWidth="1" min="21" max="21"/>
    <col width="11" customWidth="1" min="22" max="22"/>
    <col hidden="1" width="11" customWidth="1" min="23" max="23"/>
    <col hidden="1" width="11" customWidth="1" min="24" max="24"/>
    <col width="11" customWidth="1" min="25" max="25"/>
    <col hidden="1" width="11" customWidth="1" min="26" max="26"/>
    <col hidden="1" width="11" customWidth="1" min="27" max="27"/>
    <col width="11" customWidth="1" min="28" max="28"/>
    <col hidden="1" width="11" customWidth="1" min="29" max="29"/>
    <col hidden="1" width="11" customWidth="1" min="30" max="30"/>
    <col width="11" customWidth="1" min="31" max="31"/>
    <col hidden="1" width="11" customWidth="1" min="32" max="32"/>
    <col hidden="1" width="11" customWidth="1" min="33" max="33"/>
    <col width="11" customWidth="1" min="34" max="34"/>
    <col hidden="1" width="11" customWidth="1" min="35" max="35"/>
    <col hidden="1" width="11" customWidth="1" min="36" max="36"/>
    <col width="11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 t="inlineStr">
        <is>
          <t>Avalanche: month by month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Calculated for you. Nothing to type here.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29">
        <f>IF(Debts!$G$6="","",Debts!$G$6)</f>
        <v/>
      </c>
      <c r="I4" s="29">
        <f>IF(Debts!$G$6="","",Debts!$G$6)</f>
        <v/>
      </c>
      <c r="J4" s="29">
        <f>IF(Debts!$G$6="","",Debts!$G$6)</f>
        <v/>
      </c>
      <c r="K4" s="29">
        <f>IF(Debts!$G$7="","",Debts!$G$7)</f>
        <v/>
      </c>
      <c r="L4" s="29">
        <f>IF(Debts!$G$7="","",Debts!$G$7)</f>
        <v/>
      </c>
      <c r="M4" s="29">
        <f>IF(Debts!$G$7="","",Debts!$G$7)</f>
        <v/>
      </c>
      <c r="N4" s="29">
        <f>IF(Debts!$G$8="","",Debts!$G$8)</f>
        <v/>
      </c>
      <c r="O4" s="29">
        <f>IF(Debts!$G$8="","",Debts!$G$8)</f>
        <v/>
      </c>
      <c r="P4" s="29">
        <f>IF(Debts!$G$8="","",Debts!$G$8)</f>
        <v/>
      </c>
      <c r="Q4" s="29">
        <f>IF(Debts!$G$9="","",Debts!$G$9)</f>
        <v/>
      </c>
      <c r="R4" s="29">
        <f>IF(Debts!$G$9="","",Debts!$G$9)</f>
        <v/>
      </c>
      <c r="S4" s="29">
        <f>IF(Debts!$G$9="","",Debts!$G$9)</f>
        <v/>
      </c>
      <c r="T4" s="29">
        <f>IF(Debts!$G$10="","",Debts!$G$10)</f>
        <v/>
      </c>
      <c r="U4" s="29">
        <f>IF(Debts!$G$10="","",Debts!$G$10)</f>
        <v/>
      </c>
      <c r="V4" s="29">
        <f>IF(Debts!$G$10="","",Debts!$G$10)</f>
        <v/>
      </c>
      <c r="W4" s="29">
        <f>IF(Debts!$G$11="","",Debts!$G$11)</f>
        <v/>
      </c>
      <c r="X4" s="29">
        <f>IF(Debts!$G$11="","",Debts!$G$11)</f>
        <v/>
      </c>
      <c r="Y4" s="29">
        <f>IF(Debts!$G$11="","",Debts!$G$11)</f>
        <v/>
      </c>
      <c r="Z4" s="29">
        <f>IF(Debts!$G$12="","",Debts!$G$12)</f>
        <v/>
      </c>
      <c r="AA4" s="29">
        <f>IF(Debts!$G$12="","",Debts!$G$12)</f>
        <v/>
      </c>
      <c r="AB4" s="29">
        <f>IF(Debts!$G$12="","",Debts!$G$12)</f>
        <v/>
      </c>
      <c r="AC4" s="29">
        <f>IF(Debts!$G$13="","",Debts!$G$13)</f>
        <v/>
      </c>
      <c r="AD4" s="29">
        <f>IF(Debts!$G$13="","",Debts!$G$13)</f>
        <v/>
      </c>
      <c r="AE4" s="29">
        <f>IF(Debts!$G$13="","",Debts!$G$13)</f>
        <v/>
      </c>
      <c r="AF4" s="29">
        <f>IF(Debts!$G$14="","",Debts!$G$14)</f>
        <v/>
      </c>
      <c r="AG4" s="29">
        <f>IF(Debts!$G$14="","",Debts!$G$14)</f>
        <v/>
      </c>
      <c r="AH4" s="29">
        <f>IF(Debts!$G$14="","",Debts!$G$14)</f>
        <v/>
      </c>
      <c r="AI4" s="29">
        <f>IF(Debts!$G$15="","",Debts!$G$15)</f>
        <v/>
      </c>
      <c r="AJ4" s="29">
        <f>IF(Debts!$G$15="","",Debts!$G$15)</f>
        <v/>
      </c>
      <c r="AK4" s="29">
        <f>IF(Debts!$G$15="","",Debts!$G$15)</f>
        <v/>
      </c>
      <c r="AL4" s="1" t="n"/>
    </row>
    <row r="5">
      <c r="A5" s="1" t="n"/>
      <c r="B5" s="1" t="n"/>
      <c r="C5" s="1" t="n"/>
      <c r="D5" s="1" t="n"/>
      <c r="E5" s="1" t="n"/>
      <c r="F5" s="1" t="n"/>
      <c r="G5" s="1" t="n"/>
      <c r="H5" s="29" t="inlineStr">
        <is>
          <t>Due</t>
        </is>
      </c>
      <c r="I5" s="29" t="inlineStr">
        <is>
          <t>Rem</t>
        </is>
      </c>
      <c r="J5" s="29" t="inlineStr">
        <is>
          <t>Bal</t>
        </is>
      </c>
      <c r="K5" s="29" t="inlineStr">
        <is>
          <t>Due</t>
        </is>
      </c>
      <c r="L5" s="29" t="inlineStr">
        <is>
          <t>Rem</t>
        </is>
      </c>
      <c r="M5" s="29" t="inlineStr">
        <is>
          <t>Bal</t>
        </is>
      </c>
      <c r="N5" s="29" t="inlineStr">
        <is>
          <t>Due</t>
        </is>
      </c>
      <c r="O5" s="29" t="inlineStr">
        <is>
          <t>Rem</t>
        </is>
      </c>
      <c r="P5" s="29" t="inlineStr">
        <is>
          <t>Bal</t>
        </is>
      </c>
      <c r="Q5" s="29" t="inlineStr">
        <is>
          <t>Due</t>
        </is>
      </c>
      <c r="R5" s="29" t="inlineStr">
        <is>
          <t>Rem</t>
        </is>
      </c>
      <c r="S5" s="29" t="inlineStr">
        <is>
          <t>Bal</t>
        </is>
      </c>
      <c r="T5" s="29" t="inlineStr">
        <is>
          <t>Due</t>
        </is>
      </c>
      <c r="U5" s="29" t="inlineStr">
        <is>
          <t>Rem</t>
        </is>
      </c>
      <c r="V5" s="29" t="inlineStr">
        <is>
          <t>Bal</t>
        </is>
      </c>
      <c r="W5" s="29" t="inlineStr">
        <is>
          <t>Due</t>
        </is>
      </c>
      <c r="X5" s="29" t="inlineStr">
        <is>
          <t>Rem</t>
        </is>
      </c>
      <c r="Y5" s="29" t="inlineStr">
        <is>
          <t>Bal</t>
        </is>
      </c>
      <c r="Z5" s="29" t="inlineStr">
        <is>
          <t>Due</t>
        </is>
      </c>
      <c r="AA5" s="29" t="inlineStr">
        <is>
          <t>Rem</t>
        </is>
      </c>
      <c r="AB5" s="29" t="inlineStr">
        <is>
          <t>Bal</t>
        </is>
      </c>
      <c r="AC5" s="29" t="inlineStr">
        <is>
          <t>Due</t>
        </is>
      </c>
      <c r="AD5" s="29" t="inlineStr">
        <is>
          <t>Rem</t>
        </is>
      </c>
      <c r="AE5" s="29" t="inlineStr">
        <is>
          <t>Bal</t>
        </is>
      </c>
      <c r="AF5" s="29" t="inlineStr">
        <is>
          <t>Due</t>
        </is>
      </c>
      <c r="AG5" s="29" t="inlineStr">
        <is>
          <t>Rem</t>
        </is>
      </c>
      <c r="AH5" s="29" t="inlineStr">
        <is>
          <t>Bal</t>
        </is>
      </c>
      <c r="AI5" s="29" t="inlineStr">
        <is>
          <t>Due</t>
        </is>
      </c>
      <c r="AJ5" s="29" t="inlineStr">
        <is>
          <t>Rem</t>
        </is>
      </c>
      <c r="AK5" s="29" t="inlineStr">
        <is>
          <t>Bal</t>
        </is>
      </c>
      <c r="AL5" s="1" t="n"/>
    </row>
    <row r="6" ht="34" customHeight="1">
      <c r="A6" s="1" t="n"/>
      <c r="B6" s="30" t="inlineStr">
        <is>
          <t>Month</t>
        </is>
      </c>
      <c r="C6" s="30" t="inlineStr">
        <is>
          <t>Date</t>
        </is>
      </c>
      <c r="D6" s="30" t="inlineStr">
        <is>
          <t>Paying</t>
        </is>
      </c>
      <c r="E6" s="30" t="inlineStr">
        <is>
          <t>Extra left</t>
        </is>
      </c>
      <c r="F6" s="30" t="inlineStr">
        <is>
          <t>Interest</t>
        </is>
      </c>
      <c r="G6" s="30" t="inlineStr">
        <is>
          <t>Total owed</t>
        </is>
      </c>
      <c r="H6" s="31">
        <f>IF(Debts!$B$6="","",Debts!$B$6&amp;" · due")</f>
        <v/>
      </c>
      <c r="I6" s="31">
        <f>IF(Debts!$B$6="","",Debts!$B$6&amp;" · rem")</f>
        <v/>
      </c>
      <c r="J6" s="32">
        <f>IF(Debts!$B$6="","",Debts!$B$6)</f>
        <v/>
      </c>
      <c r="K6" s="31">
        <f>IF(Debts!$B$7="","",Debts!$B$7&amp;" · due")</f>
        <v/>
      </c>
      <c r="L6" s="31">
        <f>IF(Debts!$B$7="","",Debts!$B$7&amp;" · rem")</f>
        <v/>
      </c>
      <c r="M6" s="32">
        <f>IF(Debts!$B$7="","",Debts!$B$7)</f>
        <v/>
      </c>
      <c r="N6" s="31">
        <f>IF(Debts!$B$8="","",Debts!$B$8&amp;" · due")</f>
        <v/>
      </c>
      <c r="O6" s="31">
        <f>IF(Debts!$B$8="","",Debts!$B$8&amp;" · rem")</f>
        <v/>
      </c>
      <c r="P6" s="32">
        <f>IF(Debts!$B$8="","",Debts!$B$8)</f>
        <v/>
      </c>
      <c r="Q6" s="31">
        <f>IF(Debts!$B$9="","",Debts!$B$9&amp;" · due")</f>
        <v/>
      </c>
      <c r="R6" s="31">
        <f>IF(Debts!$B$9="","",Debts!$B$9&amp;" · rem")</f>
        <v/>
      </c>
      <c r="S6" s="32">
        <f>IF(Debts!$B$9="","",Debts!$B$9)</f>
        <v/>
      </c>
      <c r="T6" s="31">
        <f>IF(Debts!$B$10="","",Debts!$B$10&amp;" · due")</f>
        <v/>
      </c>
      <c r="U6" s="31">
        <f>IF(Debts!$B$10="","",Debts!$B$10&amp;" · rem")</f>
        <v/>
      </c>
      <c r="V6" s="32">
        <f>IF(Debts!$B$10="","",Debts!$B$10)</f>
        <v/>
      </c>
      <c r="W6" s="31">
        <f>IF(Debts!$B$11="","",Debts!$B$11&amp;" · due")</f>
        <v/>
      </c>
      <c r="X6" s="31">
        <f>IF(Debts!$B$11="","",Debts!$B$11&amp;" · rem")</f>
        <v/>
      </c>
      <c r="Y6" s="32">
        <f>IF(Debts!$B$11="","",Debts!$B$11)</f>
        <v/>
      </c>
      <c r="Z6" s="31">
        <f>IF(Debts!$B$12="","",Debts!$B$12&amp;" · due")</f>
        <v/>
      </c>
      <c r="AA6" s="31">
        <f>IF(Debts!$B$12="","",Debts!$B$12&amp;" · rem")</f>
        <v/>
      </c>
      <c r="AB6" s="32">
        <f>IF(Debts!$B$12="","",Debts!$B$12)</f>
        <v/>
      </c>
      <c r="AC6" s="31">
        <f>IF(Debts!$B$13="","",Debts!$B$13&amp;" · due")</f>
        <v/>
      </c>
      <c r="AD6" s="31">
        <f>IF(Debts!$B$13="","",Debts!$B$13&amp;" · rem")</f>
        <v/>
      </c>
      <c r="AE6" s="32">
        <f>IF(Debts!$B$13="","",Debts!$B$13)</f>
        <v/>
      </c>
      <c r="AF6" s="31">
        <f>IF(Debts!$B$14="","",Debts!$B$14&amp;" · due")</f>
        <v/>
      </c>
      <c r="AG6" s="31">
        <f>IF(Debts!$B$14="","",Debts!$B$14&amp;" · rem")</f>
        <v/>
      </c>
      <c r="AH6" s="32">
        <f>IF(Debts!$B$14="","",Debts!$B$14)</f>
        <v/>
      </c>
      <c r="AI6" s="31">
        <f>IF(Debts!$B$15="","",Debts!$B$15&amp;" · due")</f>
        <v/>
      </c>
      <c r="AJ6" s="31">
        <f>IF(Debts!$B$15="","",Debts!$B$15&amp;" · rem")</f>
        <v/>
      </c>
      <c r="AK6" s="32">
        <f>IF(Debts!$B$15="","",Debts!$B$15)</f>
        <v/>
      </c>
      <c r="AL6" s="1" t="n"/>
    </row>
    <row r="7">
      <c r="A7" s="1" t="n"/>
      <c r="B7" s="1" t="n">
        <v>0</v>
      </c>
      <c r="C7" s="1" t="n"/>
      <c r="D7" s="1" t="n"/>
      <c r="E7" s="1" t="n"/>
      <c r="F7" s="1" t="n"/>
      <c r="G7" s="33">
        <f>SUMIF($H$5:$AK$5,"Bal",H7:AK7)</f>
        <v/>
      </c>
      <c r="H7" s="1" t="n"/>
      <c r="I7" s="1" t="n"/>
      <c r="J7" s="33">
        <f>N(Debts!$C$6)</f>
        <v/>
      </c>
      <c r="K7" s="1" t="n"/>
      <c r="L7" s="1" t="n"/>
      <c r="M7" s="33">
        <f>N(Debts!$C$7)</f>
        <v/>
      </c>
      <c r="N7" s="1" t="n"/>
      <c r="O7" s="1" t="n"/>
      <c r="P7" s="33">
        <f>N(Debts!$C$8)</f>
        <v/>
      </c>
      <c r="Q7" s="1" t="n"/>
      <c r="R7" s="1" t="n"/>
      <c r="S7" s="33">
        <f>N(Debts!$C$9)</f>
        <v/>
      </c>
      <c r="T7" s="1" t="n"/>
      <c r="U7" s="1" t="n"/>
      <c r="V7" s="33">
        <f>N(Debts!$C$10)</f>
        <v/>
      </c>
      <c r="W7" s="1" t="n"/>
      <c r="X7" s="1" t="n"/>
      <c r="Y7" s="33">
        <f>N(Debts!$C$11)</f>
        <v/>
      </c>
      <c r="Z7" s="1" t="n"/>
      <c r="AA7" s="1" t="n"/>
      <c r="AB7" s="33">
        <f>N(Debts!$C$12)</f>
        <v/>
      </c>
      <c r="AC7" s="1" t="n"/>
      <c r="AD7" s="1" t="n"/>
      <c r="AE7" s="33">
        <f>N(Debts!$C$13)</f>
        <v/>
      </c>
      <c r="AF7" s="1" t="n"/>
      <c r="AG7" s="1" t="n"/>
      <c r="AH7" s="33">
        <f>N(Debts!$C$14)</f>
        <v/>
      </c>
      <c r="AI7" s="1" t="n"/>
      <c r="AJ7" s="1" t="n"/>
      <c r="AK7" s="33">
        <f>N(Debts!$C$15)</f>
        <v/>
      </c>
      <c r="AL7" s="1" t="n"/>
    </row>
    <row r="8">
      <c r="A8" s="1" t="n"/>
      <c r="B8" s="1" t="n">
        <v>1</v>
      </c>
      <c r="C8" s="34">
        <f>EDATE(Debts!$J$13,B8-1)</f>
        <v/>
      </c>
      <c r="D8" s="33">
        <f>IF(G7&lt;=0.005,0,Debts!$E$16+Debts!$J$7)</f>
        <v/>
      </c>
      <c r="E8" s="33">
        <f>MAX(0,D8-(SUMIF($H$5:$AK$5,"Due",H8:AK8)-SUMIF($H$5:$AK$5,"Rem",H8:AK8)))</f>
        <v/>
      </c>
      <c r="F8" s="33">
        <f>SUMIF($H$5:$AK$5,"Due",H8:AK8)-SUMIF($H$5:$AK$5,"Bal",H7:AK7)</f>
        <v/>
      </c>
      <c r="G8" s="33">
        <f>SUMIF($H$5:$AK$5,"Bal",H8:AK8)</f>
        <v/>
      </c>
      <c r="H8" s="33">
        <f>J7*(1+N(Debts!$D$6)/1200)</f>
        <v/>
      </c>
      <c r="I8" s="33">
        <f>H8-MIN(N(Debts!$E$6),H8)</f>
        <v/>
      </c>
      <c r="J8" s="33">
        <f>IF(I8&lt;=0.005,0,I8-MIN(I8,MAX(0,$E8-SUMIFS(H8:AK8,$H$5:$AK$5,"Rem",$H$4:$AK$4,"&lt;"&amp;J$4))))</f>
        <v/>
      </c>
      <c r="K8" s="33">
        <f>M7*(1+N(Debts!$D$7)/1200)</f>
        <v/>
      </c>
      <c r="L8" s="33">
        <f>K8-MIN(N(Debts!$E$7),K8)</f>
        <v/>
      </c>
      <c r="M8" s="33">
        <f>IF(L8&lt;=0.005,0,L8-MIN(L8,MAX(0,$E8-SUMIFS(H8:AK8,$H$5:$AK$5,"Rem",$H$4:$AK$4,"&lt;"&amp;M$4))))</f>
        <v/>
      </c>
      <c r="N8" s="33">
        <f>P7*(1+N(Debts!$D$8)/1200)</f>
        <v/>
      </c>
      <c r="O8" s="33">
        <f>N8-MIN(N(Debts!$E$8),N8)</f>
        <v/>
      </c>
      <c r="P8" s="33">
        <f>IF(O8&lt;=0.005,0,O8-MIN(O8,MAX(0,$E8-SUMIFS(H8:AK8,$H$5:$AK$5,"Rem",$H$4:$AK$4,"&lt;"&amp;P$4))))</f>
        <v/>
      </c>
      <c r="Q8" s="33">
        <f>S7*(1+N(Debts!$D$9)/1200)</f>
        <v/>
      </c>
      <c r="R8" s="33">
        <f>Q8-MIN(N(Debts!$E$9),Q8)</f>
        <v/>
      </c>
      <c r="S8" s="33">
        <f>IF(R8&lt;=0.005,0,R8-MIN(R8,MAX(0,$E8-SUMIFS(H8:AK8,$H$5:$AK$5,"Rem",$H$4:$AK$4,"&lt;"&amp;S$4))))</f>
        <v/>
      </c>
      <c r="T8" s="33">
        <f>V7*(1+N(Debts!$D$10)/1200)</f>
        <v/>
      </c>
      <c r="U8" s="33">
        <f>T8-MIN(N(Debts!$E$10),T8)</f>
        <v/>
      </c>
      <c r="V8" s="33">
        <f>IF(U8&lt;=0.005,0,U8-MIN(U8,MAX(0,$E8-SUMIFS(H8:AK8,$H$5:$AK$5,"Rem",$H$4:$AK$4,"&lt;"&amp;V$4))))</f>
        <v/>
      </c>
      <c r="W8" s="33">
        <f>Y7*(1+N(Debts!$D$11)/1200)</f>
        <v/>
      </c>
      <c r="X8" s="33">
        <f>W8-MIN(N(Debts!$E$11),W8)</f>
        <v/>
      </c>
      <c r="Y8" s="33">
        <f>IF(X8&lt;=0.005,0,X8-MIN(X8,MAX(0,$E8-SUMIFS(H8:AK8,$H$5:$AK$5,"Rem",$H$4:$AK$4,"&lt;"&amp;Y$4))))</f>
        <v/>
      </c>
      <c r="Z8" s="33">
        <f>AB7*(1+N(Debts!$D$12)/1200)</f>
        <v/>
      </c>
      <c r="AA8" s="33">
        <f>Z8-MIN(N(Debts!$E$12),Z8)</f>
        <v/>
      </c>
      <c r="AB8" s="33">
        <f>IF(AA8&lt;=0.005,0,AA8-MIN(AA8,MAX(0,$E8-SUMIFS(H8:AK8,$H$5:$AK$5,"Rem",$H$4:$AK$4,"&lt;"&amp;AB$4))))</f>
        <v/>
      </c>
      <c r="AC8" s="33">
        <f>AE7*(1+N(Debts!$D$13)/1200)</f>
        <v/>
      </c>
      <c r="AD8" s="33">
        <f>AC8-MIN(N(Debts!$E$13),AC8)</f>
        <v/>
      </c>
      <c r="AE8" s="33">
        <f>IF(AD8&lt;=0.005,0,AD8-MIN(AD8,MAX(0,$E8-SUMIFS(H8:AK8,$H$5:$AK$5,"Rem",$H$4:$AK$4,"&lt;"&amp;AE$4))))</f>
        <v/>
      </c>
      <c r="AF8" s="33">
        <f>AH7*(1+N(Debts!$D$14)/1200)</f>
        <v/>
      </c>
      <c r="AG8" s="33">
        <f>AF8-MIN(N(Debts!$E$14),AF8)</f>
        <v/>
      </c>
      <c r="AH8" s="33">
        <f>IF(AG8&lt;=0.005,0,AG8-MIN(AG8,MAX(0,$E8-SUMIFS(H8:AK8,$H$5:$AK$5,"Rem",$H$4:$AK$4,"&lt;"&amp;AH$4))))</f>
        <v/>
      </c>
      <c r="AI8" s="33">
        <f>AK7*(1+N(Debts!$D$15)/1200)</f>
        <v/>
      </c>
      <c r="AJ8" s="33">
        <f>AI8-MIN(N(Debts!$E$15),AI8)</f>
        <v/>
      </c>
      <c r="AK8" s="33">
        <f>IF(AJ8&lt;=0.005,0,AJ8-MIN(AJ8,MAX(0,$E8-SUMIFS(H8:AK8,$H$5:$AK$5,"Rem",$H$4:$AK$4,"&lt;"&amp;AK$4))))</f>
        <v/>
      </c>
      <c r="AL8" s="1" t="n"/>
    </row>
    <row r="9">
      <c r="A9" s="1" t="n"/>
      <c r="B9" s="1" t="n">
        <v>2</v>
      </c>
      <c r="C9" s="34">
        <f>EDATE(Debts!$J$13,B9-1)</f>
        <v/>
      </c>
      <c r="D9" s="33">
        <f>IF(G8&lt;=0.005,0,Debts!$E$16+Debts!$J$7)</f>
        <v/>
      </c>
      <c r="E9" s="33">
        <f>MAX(0,D9-(SUMIF($H$5:$AK$5,"Due",H9:AK9)-SUMIF($H$5:$AK$5,"Rem",H9:AK9)))</f>
        <v/>
      </c>
      <c r="F9" s="33">
        <f>SUMIF($H$5:$AK$5,"Due",H9:AK9)-SUMIF($H$5:$AK$5,"Bal",H8:AK8)</f>
        <v/>
      </c>
      <c r="G9" s="33">
        <f>SUMIF($H$5:$AK$5,"Bal",H9:AK9)</f>
        <v/>
      </c>
      <c r="H9" s="33">
        <f>J8*(1+N(Debts!$D$6)/1200)</f>
        <v/>
      </c>
      <c r="I9" s="33">
        <f>H9-MIN(N(Debts!$E$6),H9)</f>
        <v/>
      </c>
      <c r="J9" s="33">
        <f>IF(I9&lt;=0.005,0,I9-MIN(I9,MAX(0,$E9-SUMIFS(H9:AK9,$H$5:$AK$5,"Rem",$H$4:$AK$4,"&lt;"&amp;J$4))))</f>
        <v/>
      </c>
      <c r="K9" s="33">
        <f>M8*(1+N(Debts!$D$7)/1200)</f>
        <v/>
      </c>
      <c r="L9" s="33">
        <f>K9-MIN(N(Debts!$E$7),K9)</f>
        <v/>
      </c>
      <c r="M9" s="33">
        <f>IF(L9&lt;=0.005,0,L9-MIN(L9,MAX(0,$E9-SUMIFS(H9:AK9,$H$5:$AK$5,"Rem",$H$4:$AK$4,"&lt;"&amp;M$4))))</f>
        <v/>
      </c>
      <c r="N9" s="33">
        <f>P8*(1+N(Debts!$D$8)/1200)</f>
        <v/>
      </c>
      <c r="O9" s="33">
        <f>N9-MIN(N(Debts!$E$8),N9)</f>
        <v/>
      </c>
      <c r="P9" s="33">
        <f>IF(O9&lt;=0.005,0,O9-MIN(O9,MAX(0,$E9-SUMIFS(H9:AK9,$H$5:$AK$5,"Rem",$H$4:$AK$4,"&lt;"&amp;P$4))))</f>
        <v/>
      </c>
      <c r="Q9" s="33">
        <f>S8*(1+N(Debts!$D$9)/1200)</f>
        <v/>
      </c>
      <c r="R9" s="33">
        <f>Q9-MIN(N(Debts!$E$9),Q9)</f>
        <v/>
      </c>
      <c r="S9" s="33">
        <f>IF(R9&lt;=0.005,0,R9-MIN(R9,MAX(0,$E9-SUMIFS(H9:AK9,$H$5:$AK$5,"Rem",$H$4:$AK$4,"&lt;"&amp;S$4))))</f>
        <v/>
      </c>
      <c r="T9" s="33">
        <f>V8*(1+N(Debts!$D$10)/1200)</f>
        <v/>
      </c>
      <c r="U9" s="33">
        <f>T9-MIN(N(Debts!$E$10),T9)</f>
        <v/>
      </c>
      <c r="V9" s="33">
        <f>IF(U9&lt;=0.005,0,U9-MIN(U9,MAX(0,$E9-SUMIFS(H9:AK9,$H$5:$AK$5,"Rem",$H$4:$AK$4,"&lt;"&amp;V$4))))</f>
        <v/>
      </c>
      <c r="W9" s="33">
        <f>Y8*(1+N(Debts!$D$11)/1200)</f>
        <v/>
      </c>
      <c r="X9" s="33">
        <f>W9-MIN(N(Debts!$E$11),W9)</f>
        <v/>
      </c>
      <c r="Y9" s="33">
        <f>IF(X9&lt;=0.005,0,X9-MIN(X9,MAX(0,$E9-SUMIFS(H9:AK9,$H$5:$AK$5,"Rem",$H$4:$AK$4,"&lt;"&amp;Y$4))))</f>
        <v/>
      </c>
      <c r="Z9" s="33">
        <f>AB8*(1+N(Debts!$D$12)/1200)</f>
        <v/>
      </c>
      <c r="AA9" s="33">
        <f>Z9-MIN(N(Debts!$E$12),Z9)</f>
        <v/>
      </c>
      <c r="AB9" s="33">
        <f>IF(AA9&lt;=0.005,0,AA9-MIN(AA9,MAX(0,$E9-SUMIFS(H9:AK9,$H$5:$AK$5,"Rem",$H$4:$AK$4,"&lt;"&amp;AB$4))))</f>
        <v/>
      </c>
      <c r="AC9" s="33">
        <f>AE8*(1+N(Debts!$D$13)/1200)</f>
        <v/>
      </c>
      <c r="AD9" s="33">
        <f>AC9-MIN(N(Debts!$E$13),AC9)</f>
        <v/>
      </c>
      <c r="AE9" s="33">
        <f>IF(AD9&lt;=0.005,0,AD9-MIN(AD9,MAX(0,$E9-SUMIFS(H9:AK9,$H$5:$AK$5,"Rem",$H$4:$AK$4,"&lt;"&amp;AE$4))))</f>
        <v/>
      </c>
      <c r="AF9" s="33">
        <f>AH8*(1+N(Debts!$D$14)/1200)</f>
        <v/>
      </c>
      <c r="AG9" s="33">
        <f>AF9-MIN(N(Debts!$E$14),AF9)</f>
        <v/>
      </c>
      <c r="AH9" s="33">
        <f>IF(AG9&lt;=0.005,0,AG9-MIN(AG9,MAX(0,$E9-SUMIFS(H9:AK9,$H$5:$AK$5,"Rem",$H$4:$AK$4,"&lt;"&amp;AH$4))))</f>
        <v/>
      </c>
      <c r="AI9" s="33">
        <f>AK8*(1+N(Debts!$D$15)/1200)</f>
        <v/>
      </c>
      <c r="AJ9" s="33">
        <f>AI9-MIN(N(Debts!$E$15),AI9)</f>
        <v/>
      </c>
      <c r="AK9" s="33">
        <f>IF(AJ9&lt;=0.005,0,AJ9-MIN(AJ9,MAX(0,$E9-SUMIFS(H9:AK9,$H$5:$AK$5,"Rem",$H$4:$AK$4,"&lt;"&amp;AK$4))))</f>
        <v/>
      </c>
      <c r="AL9" s="1" t="n"/>
    </row>
    <row r="10">
      <c r="A10" s="1" t="n"/>
      <c r="B10" s="1" t="n">
        <v>3</v>
      </c>
      <c r="C10" s="34">
        <f>EDATE(Debts!$J$13,B10-1)</f>
        <v/>
      </c>
      <c r="D10" s="33">
        <f>IF(G9&lt;=0.005,0,Debts!$E$16+Debts!$J$7)</f>
        <v/>
      </c>
      <c r="E10" s="33">
        <f>MAX(0,D10-(SUMIF($H$5:$AK$5,"Due",H10:AK10)-SUMIF($H$5:$AK$5,"Rem",H10:AK10)))</f>
        <v/>
      </c>
      <c r="F10" s="33">
        <f>SUMIF($H$5:$AK$5,"Due",H10:AK10)-SUMIF($H$5:$AK$5,"Bal",H9:AK9)</f>
        <v/>
      </c>
      <c r="G10" s="33">
        <f>SUMIF($H$5:$AK$5,"Bal",H10:AK10)</f>
        <v/>
      </c>
      <c r="H10" s="33">
        <f>J9*(1+N(Debts!$D$6)/1200)</f>
        <v/>
      </c>
      <c r="I10" s="33">
        <f>H10-MIN(N(Debts!$E$6),H10)</f>
        <v/>
      </c>
      <c r="J10" s="33">
        <f>IF(I10&lt;=0.005,0,I10-MIN(I10,MAX(0,$E10-SUMIFS(H10:AK10,$H$5:$AK$5,"Rem",$H$4:$AK$4,"&lt;"&amp;J$4))))</f>
        <v/>
      </c>
      <c r="K10" s="33">
        <f>M9*(1+N(Debts!$D$7)/1200)</f>
        <v/>
      </c>
      <c r="L10" s="33">
        <f>K10-MIN(N(Debts!$E$7),K10)</f>
        <v/>
      </c>
      <c r="M10" s="33">
        <f>IF(L10&lt;=0.005,0,L10-MIN(L10,MAX(0,$E10-SUMIFS(H10:AK10,$H$5:$AK$5,"Rem",$H$4:$AK$4,"&lt;"&amp;M$4))))</f>
        <v/>
      </c>
      <c r="N10" s="33">
        <f>P9*(1+N(Debts!$D$8)/1200)</f>
        <v/>
      </c>
      <c r="O10" s="33">
        <f>N10-MIN(N(Debts!$E$8),N10)</f>
        <v/>
      </c>
      <c r="P10" s="33">
        <f>IF(O10&lt;=0.005,0,O10-MIN(O10,MAX(0,$E10-SUMIFS(H10:AK10,$H$5:$AK$5,"Rem",$H$4:$AK$4,"&lt;"&amp;P$4))))</f>
        <v/>
      </c>
      <c r="Q10" s="33">
        <f>S9*(1+N(Debts!$D$9)/1200)</f>
        <v/>
      </c>
      <c r="R10" s="33">
        <f>Q10-MIN(N(Debts!$E$9),Q10)</f>
        <v/>
      </c>
      <c r="S10" s="33">
        <f>IF(R10&lt;=0.005,0,R10-MIN(R10,MAX(0,$E10-SUMIFS(H10:AK10,$H$5:$AK$5,"Rem",$H$4:$AK$4,"&lt;"&amp;S$4))))</f>
        <v/>
      </c>
      <c r="T10" s="33">
        <f>V9*(1+N(Debts!$D$10)/1200)</f>
        <v/>
      </c>
      <c r="U10" s="33">
        <f>T10-MIN(N(Debts!$E$10),T10)</f>
        <v/>
      </c>
      <c r="V10" s="33">
        <f>IF(U10&lt;=0.005,0,U10-MIN(U10,MAX(0,$E10-SUMIFS(H10:AK10,$H$5:$AK$5,"Rem",$H$4:$AK$4,"&lt;"&amp;V$4))))</f>
        <v/>
      </c>
      <c r="W10" s="33">
        <f>Y9*(1+N(Debts!$D$11)/1200)</f>
        <v/>
      </c>
      <c r="X10" s="33">
        <f>W10-MIN(N(Debts!$E$11),W10)</f>
        <v/>
      </c>
      <c r="Y10" s="33">
        <f>IF(X10&lt;=0.005,0,X10-MIN(X10,MAX(0,$E10-SUMIFS(H10:AK10,$H$5:$AK$5,"Rem",$H$4:$AK$4,"&lt;"&amp;Y$4))))</f>
        <v/>
      </c>
      <c r="Z10" s="33">
        <f>AB9*(1+N(Debts!$D$12)/1200)</f>
        <v/>
      </c>
      <c r="AA10" s="33">
        <f>Z10-MIN(N(Debts!$E$12),Z10)</f>
        <v/>
      </c>
      <c r="AB10" s="33">
        <f>IF(AA10&lt;=0.005,0,AA10-MIN(AA10,MAX(0,$E10-SUMIFS(H10:AK10,$H$5:$AK$5,"Rem",$H$4:$AK$4,"&lt;"&amp;AB$4))))</f>
        <v/>
      </c>
      <c r="AC10" s="33">
        <f>AE9*(1+N(Debts!$D$13)/1200)</f>
        <v/>
      </c>
      <c r="AD10" s="33">
        <f>AC10-MIN(N(Debts!$E$13),AC10)</f>
        <v/>
      </c>
      <c r="AE10" s="33">
        <f>IF(AD10&lt;=0.005,0,AD10-MIN(AD10,MAX(0,$E10-SUMIFS(H10:AK10,$H$5:$AK$5,"Rem",$H$4:$AK$4,"&lt;"&amp;AE$4))))</f>
        <v/>
      </c>
      <c r="AF10" s="33">
        <f>AH9*(1+N(Debts!$D$14)/1200)</f>
        <v/>
      </c>
      <c r="AG10" s="33">
        <f>AF10-MIN(N(Debts!$E$14),AF10)</f>
        <v/>
      </c>
      <c r="AH10" s="33">
        <f>IF(AG10&lt;=0.005,0,AG10-MIN(AG10,MAX(0,$E10-SUMIFS(H10:AK10,$H$5:$AK$5,"Rem",$H$4:$AK$4,"&lt;"&amp;AH$4))))</f>
        <v/>
      </c>
      <c r="AI10" s="33">
        <f>AK9*(1+N(Debts!$D$15)/1200)</f>
        <v/>
      </c>
      <c r="AJ10" s="33">
        <f>AI10-MIN(N(Debts!$E$15),AI10)</f>
        <v/>
      </c>
      <c r="AK10" s="33">
        <f>IF(AJ10&lt;=0.005,0,AJ10-MIN(AJ10,MAX(0,$E10-SUMIFS(H10:AK10,$H$5:$AK$5,"Rem",$H$4:$AK$4,"&lt;"&amp;AK$4))))</f>
        <v/>
      </c>
      <c r="AL10" s="1" t="n"/>
    </row>
    <row r="11">
      <c r="A11" s="1" t="n"/>
      <c r="B11" s="1" t="n">
        <v>4</v>
      </c>
      <c r="C11" s="34">
        <f>EDATE(Debts!$J$13,B11-1)</f>
        <v/>
      </c>
      <c r="D11" s="33">
        <f>IF(G10&lt;=0.005,0,Debts!$E$16+Debts!$J$7)</f>
        <v/>
      </c>
      <c r="E11" s="33">
        <f>MAX(0,D11-(SUMIF($H$5:$AK$5,"Due",H11:AK11)-SUMIF($H$5:$AK$5,"Rem",H11:AK11)))</f>
        <v/>
      </c>
      <c r="F11" s="33">
        <f>SUMIF($H$5:$AK$5,"Due",H11:AK11)-SUMIF($H$5:$AK$5,"Bal",H10:AK10)</f>
        <v/>
      </c>
      <c r="G11" s="33">
        <f>SUMIF($H$5:$AK$5,"Bal",H11:AK11)</f>
        <v/>
      </c>
      <c r="H11" s="33">
        <f>J10*(1+N(Debts!$D$6)/1200)</f>
        <v/>
      </c>
      <c r="I11" s="33">
        <f>H11-MIN(N(Debts!$E$6),H11)</f>
        <v/>
      </c>
      <c r="J11" s="33">
        <f>IF(I11&lt;=0.005,0,I11-MIN(I11,MAX(0,$E11-SUMIFS(H11:AK11,$H$5:$AK$5,"Rem",$H$4:$AK$4,"&lt;"&amp;J$4))))</f>
        <v/>
      </c>
      <c r="K11" s="33">
        <f>M10*(1+N(Debts!$D$7)/1200)</f>
        <v/>
      </c>
      <c r="L11" s="33">
        <f>K11-MIN(N(Debts!$E$7),K11)</f>
        <v/>
      </c>
      <c r="M11" s="33">
        <f>IF(L11&lt;=0.005,0,L11-MIN(L11,MAX(0,$E11-SUMIFS(H11:AK11,$H$5:$AK$5,"Rem",$H$4:$AK$4,"&lt;"&amp;M$4))))</f>
        <v/>
      </c>
      <c r="N11" s="33">
        <f>P10*(1+N(Debts!$D$8)/1200)</f>
        <v/>
      </c>
      <c r="O11" s="33">
        <f>N11-MIN(N(Debts!$E$8),N11)</f>
        <v/>
      </c>
      <c r="P11" s="33">
        <f>IF(O11&lt;=0.005,0,O11-MIN(O11,MAX(0,$E11-SUMIFS(H11:AK11,$H$5:$AK$5,"Rem",$H$4:$AK$4,"&lt;"&amp;P$4))))</f>
        <v/>
      </c>
      <c r="Q11" s="33">
        <f>S10*(1+N(Debts!$D$9)/1200)</f>
        <v/>
      </c>
      <c r="R11" s="33">
        <f>Q11-MIN(N(Debts!$E$9),Q11)</f>
        <v/>
      </c>
      <c r="S11" s="33">
        <f>IF(R11&lt;=0.005,0,R11-MIN(R11,MAX(0,$E11-SUMIFS(H11:AK11,$H$5:$AK$5,"Rem",$H$4:$AK$4,"&lt;"&amp;S$4))))</f>
        <v/>
      </c>
      <c r="T11" s="33">
        <f>V10*(1+N(Debts!$D$10)/1200)</f>
        <v/>
      </c>
      <c r="U11" s="33">
        <f>T11-MIN(N(Debts!$E$10),T11)</f>
        <v/>
      </c>
      <c r="V11" s="33">
        <f>IF(U11&lt;=0.005,0,U11-MIN(U11,MAX(0,$E11-SUMIFS(H11:AK11,$H$5:$AK$5,"Rem",$H$4:$AK$4,"&lt;"&amp;V$4))))</f>
        <v/>
      </c>
      <c r="W11" s="33">
        <f>Y10*(1+N(Debts!$D$11)/1200)</f>
        <v/>
      </c>
      <c r="X11" s="33">
        <f>W11-MIN(N(Debts!$E$11),W11)</f>
        <v/>
      </c>
      <c r="Y11" s="33">
        <f>IF(X11&lt;=0.005,0,X11-MIN(X11,MAX(0,$E11-SUMIFS(H11:AK11,$H$5:$AK$5,"Rem",$H$4:$AK$4,"&lt;"&amp;Y$4))))</f>
        <v/>
      </c>
      <c r="Z11" s="33">
        <f>AB10*(1+N(Debts!$D$12)/1200)</f>
        <v/>
      </c>
      <c r="AA11" s="33">
        <f>Z11-MIN(N(Debts!$E$12),Z11)</f>
        <v/>
      </c>
      <c r="AB11" s="33">
        <f>IF(AA11&lt;=0.005,0,AA11-MIN(AA11,MAX(0,$E11-SUMIFS(H11:AK11,$H$5:$AK$5,"Rem",$H$4:$AK$4,"&lt;"&amp;AB$4))))</f>
        <v/>
      </c>
      <c r="AC11" s="33">
        <f>AE10*(1+N(Debts!$D$13)/1200)</f>
        <v/>
      </c>
      <c r="AD11" s="33">
        <f>AC11-MIN(N(Debts!$E$13),AC11)</f>
        <v/>
      </c>
      <c r="AE11" s="33">
        <f>IF(AD11&lt;=0.005,0,AD11-MIN(AD11,MAX(0,$E11-SUMIFS(H11:AK11,$H$5:$AK$5,"Rem",$H$4:$AK$4,"&lt;"&amp;AE$4))))</f>
        <v/>
      </c>
      <c r="AF11" s="33">
        <f>AH10*(1+N(Debts!$D$14)/1200)</f>
        <v/>
      </c>
      <c r="AG11" s="33">
        <f>AF11-MIN(N(Debts!$E$14),AF11)</f>
        <v/>
      </c>
      <c r="AH11" s="33">
        <f>IF(AG11&lt;=0.005,0,AG11-MIN(AG11,MAX(0,$E11-SUMIFS(H11:AK11,$H$5:$AK$5,"Rem",$H$4:$AK$4,"&lt;"&amp;AH$4))))</f>
        <v/>
      </c>
      <c r="AI11" s="33">
        <f>AK10*(1+N(Debts!$D$15)/1200)</f>
        <v/>
      </c>
      <c r="AJ11" s="33">
        <f>AI11-MIN(N(Debts!$E$15),AI11)</f>
        <v/>
      </c>
      <c r="AK11" s="33">
        <f>IF(AJ11&lt;=0.005,0,AJ11-MIN(AJ11,MAX(0,$E11-SUMIFS(H11:AK11,$H$5:$AK$5,"Rem",$H$4:$AK$4,"&lt;"&amp;AK$4))))</f>
        <v/>
      </c>
      <c r="AL11" s="1" t="n"/>
    </row>
    <row r="12">
      <c r="A12" s="1" t="n"/>
      <c r="B12" s="1" t="n">
        <v>5</v>
      </c>
      <c r="C12" s="34">
        <f>EDATE(Debts!$J$13,B12-1)</f>
        <v/>
      </c>
      <c r="D12" s="33">
        <f>IF(G11&lt;=0.005,0,Debts!$E$16+Debts!$J$7)</f>
        <v/>
      </c>
      <c r="E12" s="33">
        <f>MAX(0,D12-(SUMIF($H$5:$AK$5,"Due",H12:AK12)-SUMIF($H$5:$AK$5,"Rem",H12:AK12)))</f>
        <v/>
      </c>
      <c r="F12" s="33">
        <f>SUMIF($H$5:$AK$5,"Due",H12:AK12)-SUMIF($H$5:$AK$5,"Bal",H11:AK11)</f>
        <v/>
      </c>
      <c r="G12" s="33">
        <f>SUMIF($H$5:$AK$5,"Bal",H12:AK12)</f>
        <v/>
      </c>
      <c r="H12" s="33">
        <f>J11*(1+N(Debts!$D$6)/1200)</f>
        <v/>
      </c>
      <c r="I12" s="33">
        <f>H12-MIN(N(Debts!$E$6),H12)</f>
        <v/>
      </c>
      <c r="J12" s="33">
        <f>IF(I12&lt;=0.005,0,I12-MIN(I12,MAX(0,$E12-SUMIFS(H12:AK12,$H$5:$AK$5,"Rem",$H$4:$AK$4,"&lt;"&amp;J$4))))</f>
        <v/>
      </c>
      <c r="K12" s="33">
        <f>M11*(1+N(Debts!$D$7)/1200)</f>
        <v/>
      </c>
      <c r="L12" s="33">
        <f>K12-MIN(N(Debts!$E$7),K12)</f>
        <v/>
      </c>
      <c r="M12" s="33">
        <f>IF(L12&lt;=0.005,0,L12-MIN(L12,MAX(0,$E12-SUMIFS(H12:AK12,$H$5:$AK$5,"Rem",$H$4:$AK$4,"&lt;"&amp;M$4))))</f>
        <v/>
      </c>
      <c r="N12" s="33">
        <f>P11*(1+N(Debts!$D$8)/1200)</f>
        <v/>
      </c>
      <c r="O12" s="33">
        <f>N12-MIN(N(Debts!$E$8),N12)</f>
        <v/>
      </c>
      <c r="P12" s="33">
        <f>IF(O12&lt;=0.005,0,O12-MIN(O12,MAX(0,$E12-SUMIFS(H12:AK12,$H$5:$AK$5,"Rem",$H$4:$AK$4,"&lt;"&amp;P$4))))</f>
        <v/>
      </c>
      <c r="Q12" s="33">
        <f>S11*(1+N(Debts!$D$9)/1200)</f>
        <v/>
      </c>
      <c r="R12" s="33">
        <f>Q12-MIN(N(Debts!$E$9),Q12)</f>
        <v/>
      </c>
      <c r="S12" s="33">
        <f>IF(R12&lt;=0.005,0,R12-MIN(R12,MAX(0,$E12-SUMIFS(H12:AK12,$H$5:$AK$5,"Rem",$H$4:$AK$4,"&lt;"&amp;S$4))))</f>
        <v/>
      </c>
      <c r="T12" s="33">
        <f>V11*(1+N(Debts!$D$10)/1200)</f>
        <v/>
      </c>
      <c r="U12" s="33">
        <f>T12-MIN(N(Debts!$E$10),T12)</f>
        <v/>
      </c>
      <c r="V12" s="33">
        <f>IF(U12&lt;=0.005,0,U12-MIN(U12,MAX(0,$E12-SUMIFS(H12:AK12,$H$5:$AK$5,"Rem",$H$4:$AK$4,"&lt;"&amp;V$4))))</f>
        <v/>
      </c>
      <c r="W12" s="33">
        <f>Y11*(1+N(Debts!$D$11)/1200)</f>
        <v/>
      </c>
      <c r="X12" s="33">
        <f>W12-MIN(N(Debts!$E$11),W12)</f>
        <v/>
      </c>
      <c r="Y12" s="33">
        <f>IF(X12&lt;=0.005,0,X12-MIN(X12,MAX(0,$E12-SUMIFS(H12:AK12,$H$5:$AK$5,"Rem",$H$4:$AK$4,"&lt;"&amp;Y$4))))</f>
        <v/>
      </c>
      <c r="Z12" s="33">
        <f>AB11*(1+N(Debts!$D$12)/1200)</f>
        <v/>
      </c>
      <c r="AA12" s="33">
        <f>Z12-MIN(N(Debts!$E$12),Z12)</f>
        <v/>
      </c>
      <c r="AB12" s="33">
        <f>IF(AA12&lt;=0.005,0,AA12-MIN(AA12,MAX(0,$E12-SUMIFS(H12:AK12,$H$5:$AK$5,"Rem",$H$4:$AK$4,"&lt;"&amp;AB$4))))</f>
        <v/>
      </c>
      <c r="AC12" s="33">
        <f>AE11*(1+N(Debts!$D$13)/1200)</f>
        <v/>
      </c>
      <c r="AD12" s="33">
        <f>AC12-MIN(N(Debts!$E$13),AC12)</f>
        <v/>
      </c>
      <c r="AE12" s="33">
        <f>IF(AD12&lt;=0.005,0,AD12-MIN(AD12,MAX(0,$E12-SUMIFS(H12:AK12,$H$5:$AK$5,"Rem",$H$4:$AK$4,"&lt;"&amp;AE$4))))</f>
        <v/>
      </c>
      <c r="AF12" s="33">
        <f>AH11*(1+N(Debts!$D$14)/1200)</f>
        <v/>
      </c>
      <c r="AG12" s="33">
        <f>AF12-MIN(N(Debts!$E$14),AF12)</f>
        <v/>
      </c>
      <c r="AH12" s="33">
        <f>IF(AG12&lt;=0.005,0,AG12-MIN(AG12,MAX(0,$E12-SUMIFS(H12:AK12,$H$5:$AK$5,"Rem",$H$4:$AK$4,"&lt;"&amp;AH$4))))</f>
        <v/>
      </c>
      <c r="AI12" s="33">
        <f>AK11*(1+N(Debts!$D$15)/1200)</f>
        <v/>
      </c>
      <c r="AJ12" s="33">
        <f>AI12-MIN(N(Debts!$E$15),AI12)</f>
        <v/>
      </c>
      <c r="AK12" s="33">
        <f>IF(AJ12&lt;=0.005,0,AJ12-MIN(AJ12,MAX(0,$E12-SUMIFS(H12:AK12,$H$5:$AK$5,"Rem",$H$4:$AK$4,"&lt;"&amp;AK$4))))</f>
        <v/>
      </c>
      <c r="AL12" s="1" t="n"/>
    </row>
    <row r="13">
      <c r="A13" s="1" t="n"/>
      <c r="B13" s="1" t="n">
        <v>6</v>
      </c>
      <c r="C13" s="34">
        <f>EDATE(Debts!$J$13,B13-1)</f>
        <v/>
      </c>
      <c r="D13" s="33">
        <f>IF(G12&lt;=0.005,0,Debts!$E$16+Debts!$J$7)</f>
        <v/>
      </c>
      <c r="E13" s="33">
        <f>MAX(0,D13-(SUMIF($H$5:$AK$5,"Due",H13:AK13)-SUMIF($H$5:$AK$5,"Rem",H13:AK13)))</f>
        <v/>
      </c>
      <c r="F13" s="33">
        <f>SUMIF($H$5:$AK$5,"Due",H13:AK13)-SUMIF($H$5:$AK$5,"Bal",H12:AK12)</f>
        <v/>
      </c>
      <c r="G13" s="33">
        <f>SUMIF($H$5:$AK$5,"Bal",H13:AK13)</f>
        <v/>
      </c>
      <c r="H13" s="33">
        <f>J12*(1+N(Debts!$D$6)/1200)</f>
        <v/>
      </c>
      <c r="I13" s="33">
        <f>H13-MIN(N(Debts!$E$6),H13)</f>
        <v/>
      </c>
      <c r="J13" s="33">
        <f>IF(I13&lt;=0.005,0,I13-MIN(I13,MAX(0,$E13-SUMIFS(H13:AK13,$H$5:$AK$5,"Rem",$H$4:$AK$4,"&lt;"&amp;J$4))))</f>
        <v/>
      </c>
      <c r="K13" s="33">
        <f>M12*(1+N(Debts!$D$7)/1200)</f>
        <v/>
      </c>
      <c r="L13" s="33">
        <f>K13-MIN(N(Debts!$E$7),K13)</f>
        <v/>
      </c>
      <c r="M13" s="33">
        <f>IF(L13&lt;=0.005,0,L13-MIN(L13,MAX(0,$E13-SUMIFS(H13:AK13,$H$5:$AK$5,"Rem",$H$4:$AK$4,"&lt;"&amp;M$4))))</f>
        <v/>
      </c>
      <c r="N13" s="33">
        <f>P12*(1+N(Debts!$D$8)/1200)</f>
        <v/>
      </c>
      <c r="O13" s="33">
        <f>N13-MIN(N(Debts!$E$8),N13)</f>
        <v/>
      </c>
      <c r="P13" s="33">
        <f>IF(O13&lt;=0.005,0,O13-MIN(O13,MAX(0,$E13-SUMIFS(H13:AK13,$H$5:$AK$5,"Rem",$H$4:$AK$4,"&lt;"&amp;P$4))))</f>
        <v/>
      </c>
      <c r="Q13" s="33">
        <f>S12*(1+N(Debts!$D$9)/1200)</f>
        <v/>
      </c>
      <c r="R13" s="33">
        <f>Q13-MIN(N(Debts!$E$9),Q13)</f>
        <v/>
      </c>
      <c r="S13" s="33">
        <f>IF(R13&lt;=0.005,0,R13-MIN(R13,MAX(0,$E13-SUMIFS(H13:AK13,$H$5:$AK$5,"Rem",$H$4:$AK$4,"&lt;"&amp;S$4))))</f>
        <v/>
      </c>
      <c r="T13" s="33">
        <f>V12*(1+N(Debts!$D$10)/1200)</f>
        <v/>
      </c>
      <c r="U13" s="33">
        <f>T13-MIN(N(Debts!$E$10),T13)</f>
        <v/>
      </c>
      <c r="V13" s="33">
        <f>IF(U13&lt;=0.005,0,U13-MIN(U13,MAX(0,$E13-SUMIFS(H13:AK13,$H$5:$AK$5,"Rem",$H$4:$AK$4,"&lt;"&amp;V$4))))</f>
        <v/>
      </c>
      <c r="W13" s="33">
        <f>Y12*(1+N(Debts!$D$11)/1200)</f>
        <v/>
      </c>
      <c r="X13" s="33">
        <f>W13-MIN(N(Debts!$E$11),W13)</f>
        <v/>
      </c>
      <c r="Y13" s="33">
        <f>IF(X13&lt;=0.005,0,X13-MIN(X13,MAX(0,$E13-SUMIFS(H13:AK13,$H$5:$AK$5,"Rem",$H$4:$AK$4,"&lt;"&amp;Y$4))))</f>
        <v/>
      </c>
      <c r="Z13" s="33">
        <f>AB12*(1+N(Debts!$D$12)/1200)</f>
        <v/>
      </c>
      <c r="AA13" s="33">
        <f>Z13-MIN(N(Debts!$E$12),Z13)</f>
        <v/>
      </c>
      <c r="AB13" s="33">
        <f>IF(AA13&lt;=0.005,0,AA13-MIN(AA13,MAX(0,$E13-SUMIFS(H13:AK13,$H$5:$AK$5,"Rem",$H$4:$AK$4,"&lt;"&amp;AB$4))))</f>
        <v/>
      </c>
      <c r="AC13" s="33">
        <f>AE12*(1+N(Debts!$D$13)/1200)</f>
        <v/>
      </c>
      <c r="AD13" s="33">
        <f>AC13-MIN(N(Debts!$E$13),AC13)</f>
        <v/>
      </c>
      <c r="AE13" s="33">
        <f>IF(AD13&lt;=0.005,0,AD13-MIN(AD13,MAX(0,$E13-SUMIFS(H13:AK13,$H$5:$AK$5,"Rem",$H$4:$AK$4,"&lt;"&amp;AE$4))))</f>
        <v/>
      </c>
      <c r="AF13" s="33">
        <f>AH12*(1+N(Debts!$D$14)/1200)</f>
        <v/>
      </c>
      <c r="AG13" s="33">
        <f>AF13-MIN(N(Debts!$E$14),AF13)</f>
        <v/>
      </c>
      <c r="AH13" s="33">
        <f>IF(AG13&lt;=0.005,0,AG13-MIN(AG13,MAX(0,$E13-SUMIFS(H13:AK13,$H$5:$AK$5,"Rem",$H$4:$AK$4,"&lt;"&amp;AH$4))))</f>
        <v/>
      </c>
      <c r="AI13" s="33">
        <f>AK12*(1+N(Debts!$D$15)/1200)</f>
        <v/>
      </c>
      <c r="AJ13" s="33">
        <f>AI13-MIN(N(Debts!$E$15),AI13)</f>
        <v/>
      </c>
      <c r="AK13" s="33">
        <f>IF(AJ13&lt;=0.005,0,AJ13-MIN(AJ13,MAX(0,$E13-SUMIFS(H13:AK13,$H$5:$AK$5,"Rem",$H$4:$AK$4,"&lt;"&amp;AK$4))))</f>
        <v/>
      </c>
      <c r="AL13" s="1" t="n"/>
    </row>
    <row r="14">
      <c r="A14" s="1" t="n"/>
      <c r="B14" s="1" t="n">
        <v>7</v>
      </c>
      <c r="C14" s="34">
        <f>EDATE(Debts!$J$13,B14-1)</f>
        <v/>
      </c>
      <c r="D14" s="33">
        <f>IF(G13&lt;=0.005,0,Debts!$E$16+Debts!$J$7)</f>
        <v/>
      </c>
      <c r="E14" s="33">
        <f>MAX(0,D14-(SUMIF($H$5:$AK$5,"Due",H14:AK14)-SUMIF($H$5:$AK$5,"Rem",H14:AK14)))</f>
        <v/>
      </c>
      <c r="F14" s="33">
        <f>SUMIF($H$5:$AK$5,"Due",H14:AK14)-SUMIF($H$5:$AK$5,"Bal",H13:AK13)</f>
        <v/>
      </c>
      <c r="G14" s="33">
        <f>SUMIF($H$5:$AK$5,"Bal",H14:AK14)</f>
        <v/>
      </c>
      <c r="H14" s="33">
        <f>J13*(1+N(Debts!$D$6)/1200)</f>
        <v/>
      </c>
      <c r="I14" s="33">
        <f>H14-MIN(N(Debts!$E$6),H14)</f>
        <v/>
      </c>
      <c r="J14" s="33">
        <f>IF(I14&lt;=0.005,0,I14-MIN(I14,MAX(0,$E14-SUMIFS(H14:AK14,$H$5:$AK$5,"Rem",$H$4:$AK$4,"&lt;"&amp;J$4))))</f>
        <v/>
      </c>
      <c r="K14" s="33">
        <f>M13*(1+N(Debts!$D$7)/1200)</f>
        <v/>
      </c>
      <c r="L14" s="33">
        <f>K14-MIN(N(Debts!$E$7),K14)</f>
        <v/>
      </c>
      <c r="M14" s="33">
        <f>IF(L14&lt;=0.005,0,L14-MIN(L14,MAX(0,$E14-SUMIFS(H14:AK14,$H$5:$AK$5,"Rem",$H$4:$AK$4,"&lt;"&amp;M$4))))</f>
        <v/>
      </c>
      <c r="N14" s="33">
        <f>P13*(1+N(Debts!$D$8)/1200)</f>
        <v/>
      </c>
      <c r="O14" s="33">
        <f>N14-MIN(N(Debts!$E$8),N14)</f>
        <v/>
      </c>
      <c r="P14" s="33">
        <f>IF(O14&lt;=0.005,0,O14-MIN(O14,MAX(0,$E14-SUMIFS(H14:AK14,$H$5:$AK$5,"Rem",$H$4:$AK$4,"&lt;"&amp;P$4))))</f>
        <v/>
      </c>
      <c r="Q14" s="33">
        <f>S13*(1+N(Debts!$D$9)/1200)</f>
        <v/>
      </c>
      <c r="R14" s="33">
        <f>Q14-MIN(N(Debts!$E$9),Q14)</f>
        <v/>
      </c>
      <c r="S14" s="33">
        <f>IF(R14&lt;=0.005,0,R14-MIN(R14,MAX(0,$E14-SUMIFS(H14:AK14,$H$5:$AK$5,"Rem",$H$4:$AK$4,"&lt;"&amp;S$4))))</f>
        <v/>
      </c>
      <c r="T14" s="33">
        <f>V13*(1+N(Debts!$D$10)/1200)</f>
        <v/>
      </c>
      <c r="U14" s="33">
        <f>T14-MIN(N(Debts!$E$10),T14)</f>
        <v/>
      </c>
      <c r="V14" s="33">
        <f>IF(U14&lt;=0.005,0,U14-MIN(U14,MAX(0,$E14-SUMIFS(H14:AK14,$H$5:$AK$5,"Rem",$H$4:$AK$4,"&lt;"&amp;V$4))))</f>
        <v/>
      </c>
      <c r="W14" s="33">
        <f>Y13*(1+N(Debts!$D$11)/1200)</f>
        <v/>
      </c>
      <c r="X14" s="33">
        <f>W14-MIN(N(Debts!$E$11),W14)</f>
        <v/>
      </c>
      <c r="Y14" s="33">
        <f>IF(X14&lt;=0.005,0,X14-MIN(X14,MAX(0,$E14-SUMIFS(H14:AK14,$H$5:$AK$5,"Rem",$H$4:$AK$4,"&lt;"&amp;Y$4))))</f>
        <v/>
      </c>
      <c r="Z14" s="33">
        <f>AB13*(1+N(Debts!$D$12)/1200)</f>
        <v/>
      </c>
      <c r="AA14" s="33">
        <f>Z14-MIN(N(Debts!$E$12),Z14)</f>
        <v/>
      </c>
      <c r="AB14" s="33">
        <f>IF(AA14&lt;=0.005,0,AA14-MIN(AA14,MAX(0,$E14-SUMIFS(H14:AK14,$H$5:$AK$5,"Rem",$H$4:$AK$4,"&lt;"&amp;AB$4))))</f>
        <v/>
      </c>
      <c r="AC14" s="33">
        <f>AE13*(1+N(Debts!$D$13)/1200)</f>
        <v/>
      </c>
      <c r="AD14" s="33">
        <f>AC14-MIN(N(Debts!$E$13),AC14)</f>
        <v/>
      </c>
      <c r="AE14" s="33">
        <f>IF(AD14&lt;=0.005,0,AD14-MIN(AD14,MAX(0,$E14-SUMIFS(H14:AK14,$H$5:$AK$5,"Rem",$H$4:$AK$4,"&lt;"&amp;AE$4))))</f>
        <v/>
      </c>
      <c r="AF14" s="33">
        <f>AH13*(1+N(Debts!$D$14)/1200)</f>
        <v/>
      </c>
      <c r="AG14" s="33">
        <f>AF14-MIN(N(Debts!$E$14),AF14)</f>
        <v/>
      </c>
      <c r="AH14" s="33">
        <f>IF(AG14&lt;=0.005,0,AG14-MIN(AG14,MAX(0,$E14-SUMIFS(H14:AK14,$H$5:$AK$5,"Rem",$H$4:$AK$4,"&lt;"&amp;AH$4))))</f>
        <v/>
      </c>
      <c r="AI14" s="33">
        <f>AK13*(1+N(Debts!$D$15)/1200)</f>
        <v/>
      </c>
      <c r="AJ14" s="33">
        <f>AI14-MIN(N(Debts!$E$15),AI14)</f>
        <v/>
      </c>
      <c r="AK14" s="33">
        <f>IF(AJ14&lt;=0.005,0,AJ14-MIN(AJ14,MAX(0,$E14-SUMIFS(H14:AK14,$H$5:$AK$5,"Rem",$H$4:$AK$4,"&lt;"&amp;AK$4))))</f>
        <v/>
      </c>
      <c r="AL14" s="1" t="n"/>
    </row>
    <row r="15">
      <c r="A15" s="1" t="n"/>
      <c r="B15" s="1" t="n">
        <v>8</v>
      </c>
      <c r="C15" s="34">
        <f>EDATE(Debts!$J$13,B15-1)</f>
        <v/>
      </c>
      <c r="D15" s="33">
        <f>IF(G14&lt;=0.005,0,Debts!$E$16+Debts!$J$7)</f>
        <v/>
      </c>
      <c r="E15" s="33">
        <f>MAX(0,D15-(SUMIF($H$5:$AK$5,"Due",H15:AK15)-SUMIF($H$5:$AK$5,"Rem",H15:AK15)))</f>
        <v/>
      </c>
      <c r="F15" s="33">
        <f>SUMIF($H$5:$AK$5,"Due",H15:AK15)-SUMIF($H$5:$AK$5,"Bal",H14:AK14)</f>
        <v/>
      </c>
      <c r="G15" s="33">
        <f>SUMIF($H$5:$AK$5,"Bal",H15:AK15)</f>
        <v/>
      </c>
      <c r="H15" s="33">
        <f>J14*(1+N(Debts!$D$6)/1200)</f>
        <v/>
      </c>
      <c r="I15" s="33">
        <f>H15-MIN(N(Debts!$E$6),H15)</f>
        <v/>
      </c>
      <c r="J15" s="33">
        <f>IF(I15&lt;=0.005,0,I15-MIN(I15,MAX(0,$E15-SUMIFS(H15:AK15,$H$5:$AK$5,"Rem",$H$4:$AK$4,"&lt;"&amp;J$4))))</f>
        <v/>
      </c>
      <c r="K15" s="33">
        <f>M14*(1+N(Debts!$D$7)/1200)</f>
        <v/>
      </c>
      <c r="L15" s="33">
        <f>K15-MIN(N(Debts!$E$7),K15)</f>
        <v/>
      </c>
      <c r="M15" s="33">
        <f>IF(L15&lt;=0.005,0,L15-MIN(L15,MAX(0,$E15-SUMIFS(H15:AK15,$H$5:$AK$5,"Rem",$H$4:$AK$4,"&lt;"&amp;M$4))))</f>
        <v/>
      </c>
      <c r="N15" s="33">
        <f>P14*(1+N(Debts!$D$8)/1200)</f>
        <v/>
      </c>
      <c r="O15" s="33">
        <f>N15-MIN(N(Debts!$E$8),N15)</f>
        <v/>
      </c>
      <c r="P15" s="33">
        <f>IF(O15&lt;=0.005,0,O15-MIN(O15,MAX(0,$E15-SUMIFS(H15:AK15,$H$5:$AK$5,"Rem",$H$4:$AK$4,"&lt;"&amp;P$4))))</f>
        <v/>
      </c>
      <c r="Q15" s="33">
        <f>S14*(1+N(Debts!$D$9)/1200)</f>
        <v/>
      </c>
      <c r="R15" s="33">
        <f>Q15-MIN(N(Debts!$E$9),Q15)</f>
        <v/>
      </c>
      <c r="S15" s="33">
        <f>IF(R15&lt;=0.005,0,R15-MIN(R15,MAX(0,$E15-SUMIFS(H15:AK15,$H$5:$AK$5,"Rem",$H$4:$AK$4,"&lt;"&amp;S$4))))</f>
        <v/>
      </c>
      <c r="T15" s="33">
        <f>V14*(1+N(Debts!$D$10)/1200)</f>
        <v/>
      </c>
      <c r="U15" s="33">
        <f>T15-MIN(N(Debts!$E$10),T15)</f>
        <v/>
      </c>
      <c r="V15" s="33">
        <f>IF(U15&lt;=0.005,0,U15-MIN(U15,MAX(0,$E15-SUMIFS(H15:AK15,$H$5:$AK$5,"Rem",$H$4:$AK$4,"&lt;"&amp;V$4))))</f>
        <v/>
      </c>
      <c r="W15" s="33">
        <f>Y14*(1+N(Debts!$D$11)/1200)</f>
        <v/>
      </c>
      <c r="X15" s="33">
        <f>W15-MIN(N(Debts!$E$11),W15)</f>
        <v/>
      </c>
      <c r="Y15" s="33">
        <f>IF(X15&lt;=0.005,0,X15-MIN(X15,MAX(0,$E15-SUMIFS(H15:AK15,$H$5:$AK$5,"Rem",$H$4:$AK$4,"&lt;"&amp;Y$4))))</f>
        <v/>
      </c>
      <c r="Z15" s="33">
        <f>AB14*(1+N(Debts!$D$12)/1200)</f>
        <v/>
      </c>
      <c r="AA15" s="33">
        <f>Z15-MIN(N(Debts!$E$12),Z15)</f>
        <v/>
      </c>
      <c r="AB15" s="33">
        <f>IF(AA15&lt;=0.005,0,AA15-MIN(AA15,MAX(0,$E15-SUMIFS(H15:AK15,$H$5:$AK$5,"Rem",$H$4:$AK$4,"&lt;"&amp;AB$4))))</f>
        <v/>
      </c>
      <c r="AC15" s="33">
        <f>AE14*(1+N(Debts!$D$13)/1200)</f>
        <v/>
      </c>
      <c r="AD15" s="33">
        <f>AC15-MIN(N(Debts!$E$13),AC15)</f>
        <v/>
      </c>
      <c r="AE15" s="33">
        <f>IF(AD15&lt;=0.005,0,AD15-MIN(AD15,MAX(0,$E15-SUMIFS(H15:AK15,$H$5:$AK$5,"Rem",$H$4:$AK$4,"&lt;"&amp;AE$4))))</f>
        <v/>
      </c>
      <c r="AF15" s="33">
        <f>AH14*(1+N(Debts!$D$14)/1200)</f>
        <v/>
      </c>
      <c r="AG15" s="33">
        <f>AF15-MIN(N(Debts!$E$14),AF15)</f>
        <v/>
      </c>
      <c r="AH15" s="33">
        <f>IF(AG15&lt;=0.005,0,AG15-MIN(AG15,MAX(0,$E15-SUMIFS(H15:AK15,$H$5:$AK$5,"Rem",$H$4:$AK$4,"&lt;"&amp;AH$4))))</f>
        <v/>
      </c>
      <c r="AI15" s="33">
        <f>AK14*(1+N(Debts!$D$15)/1200)</f>
        <v/>
      </c>
      <c r="AJ15" s="33">
        <f>AI15-MIN(N(Debts!$E$15),AI15)</f>
        <v/>
      </c>
      <c r="AK15" s="33">
        <f>IF(AJ15&lt;=0.005,0,AJ15-MIN(AJ15,MAX(0,$E15-SUMIFS(H15:AK15,$H$5:$AK$5,"Rem",$H$4:$AK$4,"&lt;"&amp;AK$4))))</f>
        <v/>
      </c>
      <c r="AL15" s="1" t="n"/>
    </row>
    <row r="16">
      <c r="A16" s="1" t="n"/>
      <c r="B16" s="1" t="n">
        <v>9</v>
      </c>
      <c r="C16" s="34">
        <f>EDATE(Debts!$J$13,B16-1)</f>
        <v/>
      </c>
      <c r="D16" s="33">
        <f>IF(G15&lt;=0.005,0,Debts!$E$16+Debts!$J$7)</f>
        <v/>
      </c>
      <c r="E16" s="33">
        <f>MAX(0,D16-(SUMIF($H$5:$AK$5,"Due",H16:AK16)-SUMIF($H$5:$AK$5,"Rem",H16:AK16)))</f>
        <v/>
      </c>
      <c r="F16" s="33">
        <f>SUMIF($H$5:$AK$5,"Due",H16:AK16)-SUMIF($H$5:$AK$5,"Bal",H15:AK15)</f>
        <v/>
      </c>
      <c r="G16" s="33">
        <f>SUMIF($H$5:$AK$5,"Bal",H16:AK16)</f>
        <v/>
      </c>
      <c r="H16" s="33">
        <f>J15*(1+N(Debts!$D$6)/1200)</f>
        <v/>
      </c>
      <c r="I16" s="33">
        <f>H16-MIN(N(Debts!$E$6),H16)</f>
        <v/>
      </c>
      <c r="J16" s="33">
        <f>IF(I16&lt;=0.005,0,I16-MIN(I16,MAX(0,$E16-SUMIFS(H16:AK16,$H$5:$AK$5,"Rem",$H$4:$AK$4,"&lt;"&amp;J$4))))</f>
        <v/>
      </c>
      <c r="K16" s="33">
        <f>M15*(1+N(Debts!$D$7)/1200)</f>
        <v/>
      </c>
      <c r="L16" s="33">
        <f>K16-MIN(N(Debts!$E$7),K16)</f>
        <v/>
      </c>
      <c r="M16" s="33">
        <f>IF(L16&lt;=0.005,0,L16-MIN(L16,MAX(0,$E16-SUMIFS(H16:AK16,$H$5:$AK$5,"Rem",$H$4:$AK$4,"&lt;"&amp;M$4))))</f>
        <v/>
      </c>
      <c r="N16" s="33">
        <f>P15*(1+N(Debts!$D$8)/1200)</f>
        <v/>
      </c>
      <c r="O16" s="33">
        <f>N16-MIN(N(Debts!$E$8),N16)</f>
        <v/>
      </c>
      <c r="P16" s="33">
        <f>IF(O16&lt;=0.005,0,O16-MIN(O16,MAX(0,$E16-SUMIFS(H16:AK16,$H$5:$AK$5,"Rem",$H$4:$AK$4,"&lt;"&amp;P$4))))</f>
        <v/>
      </c>
      <c r="Q16" s="33">
        <f>S15*(1+N(Debts!$D$9)/1200)</f>
        <v/>
      </c>
      <c r="R16" s="33">
        <f>Q16-MIN(N(Debts!$E$9),Q16)</f>
        <v/>
      </c>
      <c r="S16" s="33">
        <f>IF(R16&lt;=0.005,0,R16-MIN(R16,MAX(0,$E16-SUMIFS(H16:AK16,$H$5:$AK$5,"Rem",$H$4:$AK$4,"&lt;"&amp;S$4))))</f>
        <v/>
      </c>
      <c r="T16" s="33">
        <f>V15*(1+N(Debts!$D$10)/1200)</f>
        <v/>
      </c>
      <c r="U16" s="33">
        <f>T16-MIN(N(Debts!$E$10),T16)</f>
        <v/>
      </c>
      <c r="V16" s="33">
        <f>IF(U16&lt;=0.005,0,U16-MIN(U16,MAX(0,$E16-SUMIFS(H16:AK16,$H$5:$AK$5,"Rem",$H$4:$AK$4,"&lt;"&amp;V$4))))</f>
        <v/>
      </c>
      <c r="W16" s="33">
        <f>Y15*(1+N(Debts!$D$11)/1200)</f>
        <v/>
      </c>
      <c r="X16" s="33">
        <f>W16-MIN(N(Debts!$E$11),W16)</f>
        <v/>
      </c>
      <c r="Y16" s="33">
        <f>IF(X16&lt;=0.005,0,X16-MIN(X16,MAX(0,$E16-SUMIFS(H16:AK16,$H$5:$AK$5,"Rem",$H$4:$AK$4,"&lt;"&amp;Y$4))))</f>
        <v/>
      </c>
      <c r="Z16" s="33">
        <f>AB15*(1+N(Debts!$D$12)/1200)</f>
        <v/>
      </c>
      <c r="AA16" s="33">
        <f>Z16-MIN(N(Debts!$E$12),Z16)</f>
        <v/>
      </c>
      <c r="AB16" s="33">
        <f>IF(AA16&lt;=0.005,0,AA16-MIN(AA16,MAX(0,$E16-SUMIFS(H16:AK16,$H$5:$AK$5,"Rem",$H$4:$AK$4,"&lt;"&amp;AB$4))))</f>
        <v/>
      </c>
      <c r="AC16" s="33">
        <f>AE15*(1+N(Debts!$D$13)/1200)</f>
        <v/>
      </c>
      <c r="AD16" s="33">
        <f>AC16-MIN(N(Debts!$E$13),AC16)</f>
        <v/>
      </c>
      <c r="AE16" s="33">
        <f>IF(AD16&lt;=0.005,0,AD16-MIN(AD16,MAX(0,$E16-SUMIFS(H16:AK16,$H$5:$AK$5,"Rem",$H$4:$AK$4,"&lt;"&amp;AE$4))))</f>
        <v/>
      </c>
      <c r="AF16" s="33">
        <f>AH15*(1+N(Debts!$D$14)/1200)</f>
        <v/>
      </c>
      <c r="AG16" s="33">
        <f>AF16-MIN(N(Debts!$E$14),AF16)</f>
        <v/>
      </c>
      <c r="AH16" s="33">
        <f>IF(AG16&lt;=0.005,0,AG16-MIN(AG16,MAX(0,$E16-SUMIFS(H16:AK16,$H$5:$AK$5,"Rem",$H$4:$AK$4,"&lt;"&amp;AH$4))))</f>
        <v/>
      </c>
      <c r="AI16" s="33">
        <f>AK15*(1+N(Debts!$D$15)/1200)</f>
        <v/>
      </c>
      <c r="AJ16" s="33">
        <f>AI16-MIN(N(Debts!$E$15),AI16)</f>
        <v/>
      </c>
      <c r="AK16" s="33">
        <f>IF(AJ16&lt;=0.005,0,AJ16-MIN(AJ16,MAX(0,$E16-SUMIFS(H16:AK16,$H$5:$AK$5,"Rem",$H$4:$AK$4,"&lt;"&amp;AK$4))))</f>
        <v/>
      </c>
      <c r="AL16" s="1" t="n"/>
    </row>
    <row r="17">
      <c r="A17" s="1" t="n"/>
      <c r="B17" s="1" t="n">
        <v>10</v>
      </c>
      <c r="C17" s="34">
        <f>EDATE(Debts!$J$13,B17-1)</f>
        <v/>
      </c>
      <c r="D17" s="33">
        <f>IF(G16&lt;=0.005,0,Debts!$E$16+Debts!$J$7)</f>
        <v/>
      </c>
      <c r="E17" s="33">
        <f>MAX(0,D17-(SUMIF($H$5:$AK$5,"Due",H17:AK17)-SUMIF($H$5:$AK$5,"Rem",H17:AK17)))</f>
        <v/>
      </c>
      <c r="F17" s="33">
        <f>SUMIF($H$5:$AK$5,"Due",H17:AK17)-SUMIF($H$5:$AK$5,"Bal",H16:AK16)</f>
        <v/>
      </c>
      <c r="G17" s="33">
        <f>SUMIF($H$5:$AK$5,"Bal",H17:AK17)</f>
        <v/>
      </c>
      <c r="H17" s="33">
        <f>J16*(1+N(Debts!$D$6)/1200)</f>
        <v/>
      </c>
      <c r="I17" s="33">
        <f>H17-MIN(N(Debts!$E$6),H17)</f>
        <v/>
      </c>
      <c r="J17" s="33">
        <f>IF(I17&lt;=0.005,0,I17-MIN(I17,MAX(0,$E17-SUMIFS(H17:AK17,$H$5:$AK$5,"Rem",$H$4:$AK$4,"&lt;"&amp;J$4))))</f>
        <v/>
      </c>
      <c r="K17" s="33">
        <f>M16*(1+N(Debts!$D$7)/1200)</f>
        <v/>
      </c>
      <c r="L17" s="33">
        <f>K17-MIN(N(Debts!$E$7),K17)</f>
        <v/>
      </c>
      <c r="M17" s="33">
        <f>IF(L17&lt;=0.005,0,L17-MIN(L17,MAX(0,$E17-SUMIFS(H17:AK17,$H$5:$AK$5,"Rem",$H$4:$AK$4,"&lt;"&amp;M$4))))</f>
        <v/>
      </c>
      <c r="N17" s="33">
        <f>P16*(1+N(Debts!$D$8)/1200)</f>
        <v/>
      </c>
      <c r="O17" s="33">
        <f>N17-MIN(N(Debts!$E$8),N17)</f>
        <v/>
      </c>
      <c r="P17" s="33">
        <f>IF(O17&lt;=0.005,0,O17-MIN(O17,MAX(0,$E17-SUMIFS(H17:AK17,$H$5:$AK$5,"Rem",$H$4:$AK$4,"&lt;"&amp;P$4))))</f>
        <v/>
      </c>
      <c r="Q17" s="33">
        <f>S16*(1+N(Debts!$D$9)/1200)</f>
        <v/>
      </c>
      <c r="R17" s="33">
        <f>Q17-MIN(N(Debts!$E$9),Q17)</f>
        <v/>
      </c>
      <c r="S17" s="33">
        <f>IF(R17&lt;=0.005,0,R17-MIN(R17,MAX(0,$E17-SUMIFS(H17:AK17,$H$5:$AK$5,"Rem",$H$4:$AK$4,"&lt;"&amp;S$4))))</f>
        <v/>
      </c>
      <c r="T17" s="33">
        <f>V16*(1+N(Debts!$D$10)/1200)</f>
        <v/>
      </c>
      <c r="U17" s="33">
        <f>T17-MIN(N(Debts!$E$10),T17)</f>
        <v/>
      </c>
      <c r="V17" s="33">
        <f>IF(U17&lt;=0.005,0,U17-MIN(U17,MAX(0,$E17-SUMIFS(H17:AK17,$H$5:$AK$5,"Rem",$H$4:$AK$4,"&lt;"&amp;V$4))))</f>
        <v/>
      </c>
      <c r="W17" s="33">
        <f>Y16*(1+N(Debts!$D$11)/1200)</f>
        <v/>
      </c>
      <c r="X17" s="33">
        <f>W17-MIN(N(Debts!$E$11),W17)</f>
        <v/>
      </c>
      <c r="Y17" s="33">
        <f>IF(X17&lt;=0.005,0,X17-MIN(X17,MAX(0,$E17-SUMIFS(H17:AK17,$H$5:$AK$5,"Rem",$H$4:$AK$4,"&lt;"&amp;Y$4))))</f>
        <v/>
      </c>
      <c r="Z17" s="33">
        <f>AB16*(1+N(Debts!$D$12)/1200)</f>
        <v/>
      </c>
      <c r="AA17" s="33">
        <f>Z17-MIN(N(Debts!$E$12),Z17)</f>
        <v/>
      </c>
      <c r="AB17" s="33">
        <f>IF(AA17&lt;=0.005,0,AA17-MIN(AA17,MAX(0,$E17-SUMIFS(H17:AK17,$H$5:$AK$5,"Rem",$H$4:$AK$4,"&lt;"&amp;AB$4))))</f>
        <v/>
      </c>
      <c r="AC17" s="33">
        <f>AE16*(1+N(Debts!$D$13)/1200)</f>
        <v/>
      </c>
      <c r="AD17" s="33">
        <f>AC17-MIN(N(Debts!$E$13),AC17)</f>
        <v/>
      </c>
      <c r="AE17" s="33">
        <f>IF(AD17&lt;=0.005,0,AD17-MIN(AD17,MAX(0,$E17-SUMIFS(H17:AK17,$H$5:$AK$5,"Rem",$H$4:$AK$4,"&lt;"&amp;AE$4))))</f>
        <v/>
      </c>
      <c r="AF17" s="33">
        <f>AH16*(1+N(Debts!$D$14)/1200)</f>
        <v/>
      </c>
      <c r="AG17" s="33">
        <f>AF17-MIN(N(Debts!$E$14),AF17)</f>
        <v/>
      </c>
      <c r="AH17" s="33">
        <f>IF(AG17&lt;=0.005,0,AG17-MIN(AG17,MAX(0,$E17-SUMIFS(H17:AK17,$H$5:$AK$5,"Rem",$H$4:$AK$4,"&lt;"&amp;AH$4))))</f>
        <v/>
      </c>
      <c r="AI17" s="33">
        <f>AK16*(1+N(Debts!$D$15)/1200)</f>
        <v/>
      </c>
      <c r="AJ17" s="33">
        <f>AI17-MIN(N(Debts!$E$15),AI17)</f>
        <v/>
      </c>
      <c r="AK17" s="33">
        <f>IF(AJ17&lt;=0.005,0,AJ17-MIN(AJ17,MAX(0,$E17-SUMIFS(H17:AK17,$H$5:$AK$5,"Rem",$H$4:$AK$4,"&lt;"&amp;AK$4))))</f>
        <v/>
      </c>
      <c r="AL17" s="1" t="n"/>
    </row>
    <row r="18">
      <c r="A18" s="1" t="n"/>
      <c r="B18" s="1" t="n">
        <v>11</v>
      </c>
      <c r="C18" s="34">
        <f>EDATE(Debts!$J$13,B18-1)</f>
        <v/>
      </c>
      <c r="D18" s="33">
        <f>IF(G17&lt;=0.005,0,Debts!$E$16+Debts!$J$7)</f>
        <v/>
      </c>
      <c r="E18" s="33">
        <f>MAX(0,D18-(SUMIF($H$5:$AK$5,"Due",H18:AK18)-SUMIF($H$5:$AK$5,"Rem",H18:AK18)))</f>
        <v/>
      </c>
      <c r="F18" s="33">
        <f>SUMIF($H$5:$AK$5,"Due",H18:AK18)-SUMIF($H$5:$AK$5,"Bal",H17:AK17)</f>
        <v/>
      </c>
      <c r="G18" s="33">
        <f>SUMIF($H$5:$AK$5,"Bal",H18:AK18)</f>
        <v/>
      </c>
      <c r="H18" s="33">
        <f>J17*(1+N(Debts!$D$6)/1200)</f>
        <v/>
      </c>
      <c r="I18" s="33">
        <f>H18-MIN(N(Debts!$E$6),H18)</f>
        <v/>
      </c>
      <c r="J18" s="33">
        <f>IF(I18&lt;=0.005,0,I18-MIN(I18,MAX(0,$E18-SUMIFS(H18:AK18,$H$5:$AK$5,"Rem",$H$4:$AK$4,"&lt;"&amp;J$4))))</f>
        <v/>
      </c>
      <c r="K18" s="33">
        <f>M17*(1+N(Debts!$D$7)/1200)</f>
        <v/>
      </c>
      <c r="L18" s="33">
        <f>K18-MIN(N(Debts!$E$7),K18)</f>
        <v/>
      </c>
      <c r="M18" s="33">
        <f>IF(L18&lt;=0.005,0,L18-MIN(L18,MAX(0,$E18-SUMIFS(H18:AK18,$H$5:$AK$5,"Rem",$H$4:$AK$4,"&lt;"&amp;M$4))))</f>
        <v/>
      </c>
      <c r="N18" s="33">
        <f>P17*(1+N(Debts!$D$8)/1200)</f>
        <v/>
      </c>
      <c r="O18" s="33">
        <f>N18-MIN(N(Debts!$E$8),N18)</f>
        <v/>
      </c>
      <c r="P18" s="33">
        <f>IF(O18&lt;=0.005,0,O18-MIN(O18,MAX(0,$E18-SUMIFS(H18:AK18,$H$5:$AK$5,"Rem",$H$4:$AK$4,"&lt;"&amp;P$4))))</f>
        <v/>
      </c>
      <c r="Q18" s="33">
        <f>S17*(1+N(Debts!$D$9)/1200)</f>
        <v/>
      </c>
      <c r="R18" s="33">
        <f>Q18-MIN(N(Debts!$E$9),Q18)</f>
        <v/>
      </c>
      <c r="S18" s="33">
        <f>IF(R18&lt;=0.005,0,R18-MIN(R18,MAX(0,$E18-SUMIFS(H18:AK18,$H$5:$AK$5,"Rem",$H$4:$AK$4,"&lt;"&amp;S$4))))</f>
        <v/>
      </c>
      <c r="T18" s="33">
        <f>V17*(1+N(Debts!$D$10)/1200)</f>
        <v/>
      </c>
      <c r="U18" s="33">
        <f>T18-MIN(N(Debts!$E$10),T18)</f>
        <v/>
      </c>
      <c r="V18" s="33">
        <f>IF(U18&lt;=0.005,0,U18-MIN(U18,MAX(0,$E18-SUMIFS(H18:AK18,$H$5:$AK$5,"Rem",$H$4:$AK$4,"&lt;"&amp;V$4))))</f>
        <v/>
      </c>
      <c r="W18" s="33">
        <f>Y17*(1+N(Debts!$D$11)/1200)</f>
        <v/>
      </c>
      <c r="X18" s="33">
        <f>W18-MIN(N(Debts!$E$11),W18)</f>
        <v/>
      </c>
      <c r="Y18" s="33">
        <f>IF(X18&lt;=0.005,0,X18-MIN(X18,MAX(0,$E18-SUMIFS(H18:AK18,$H$5:$AK$5,"Rem",$H$4:$AK$4,"&lt;"&amp;Y$4))))</f>
        <v/>
      </c>
      <c r="Z18" s="33">
        <f>AB17*(1+N(Debts!$D$12)/1200)</f>
        <v/>
      </c>
      <c r="AA18" s="33">
        <f>Z18-MIN(N(Debts!$E$12),Z18)</f>
        <v/>
      </c>
      <c r="AB18" s="33">
        <f>IF(AA18&lt;=0.005,0,AA18-MIN(AA18,MAX(0,$E18-SUMIFS(H18:AK18,$H$5:$AK$5,"Rem",$H$4:$AK$4,"&lt;"&amp;AB$4))))</f>
        <v/>
      </c>
      <c r="AC18" s="33">
        <f>AE17*(1+N(Debts!$D$13)/1200)</f>
        <v/>
      </c>
      <c r="AD18" s="33">
        <f>AC18-MIN(N(Debts!$E$13),AC18)</f>
        <v/>
      </c>
      <c r="AE18" s="33">
        <f>IF(AD18&lt;=0.005,0,AD18-MIN(AD18,MAX(0,$E18-SUMIFS(H18:AK18,$H$5:$AK$5,"Rem",$H$4:$AK$4,"&lt;"&amp;AE$4))))</f>
        <v/>
      </c>
      <c r="AF18" s="33">
        <f>AH17*(1+N(Debts!$D$14)/1200)</f>
        <v/>
      </c>
      <c r="AG18" s="33">
        <f>AF18-MIN(N(Debts!$E$14),AF18)</f>
        <v/>
      </c>
      <c r="AH18" s="33">
        <f>IF(AG18&lt;=0.005,0,AG18-MIN(AG18,MAX(0,$E18-SUMIFS(H18:AK18,$H$5:$AK$5,"Rem",$H$4:$AK$4,"&lt;"&amp;AH$4))))</f>
        <v/>
      </c>
      <c r="AI18" s="33">
        <f>AK17*(1+N(Debts!$D$15)/1200)</f>
        <v/>
      </c>
      <c r="AJ18" s="33">
        <f>AI18-MIN(N(Debts!$E$15),AI18)</f>
        <v/>
      </c>
      <c r="AK18" s="33">
        <f>IF(AJ18&lt;=0.005,0,AJ18-MIN(AJ18,MAX(0,$E18-SUMIFS(H18:AK18,$H$5:$AK$5,"Rem",$H$4:$AK$4,"&lt;"&amp;AK$4))))</f>
        <v/>
      </c>
      <c r="AL18" s="1" t="n"/>
    </row>
    <row r="19">
      <c r="A19" s="1" t="n"/>
      <c r="B19" s="1" t="n">
        <v>12</v>
      </c>
      <c r="C19" s="34">
        <f>EDATE(Debts!$J$13,B19-1)</f>
        <v/>
      </c>
      <c r="D19" s="33">
        <f>IF(G18&lt;=0.005,0,Debts!$E$16+Debts!$J$7)</f>
        <v/>
      </c>
      <c r="E19" s="33">
        <f>MAX(0,D19-(SUMIF($H$5:$AK$5,"Due",H19:AK19)-SUMIF($H$5:$AK$5,"Rem",H19:AK19)))</f>
        <v/>
      </c>
      <c r="F19" s="33">
        <f>SUMIF($H$5:$AK$5,"Due",H19:AK19)-SUMIF($H$5:$AK$5,"Bal",H18:AK18)</f>
        <v/>
      </c>
      <c r="G19" s="33">
        <f>SUMIF($H$5:$AK$5,"Bal",H19:AK19)</f>
        <v/>
      </c>
      <c r="H19" s="33">
        <f>J18*(1+N(Debts!$D$6)/1200)</f>
        <v/>
      </c>
      <c r="I19" s="33">
        <f>H19-MIN(N(Debts!$E$6),H19)</f>
        <v/>
      </c>
      <c r="J19" s="33">
        <f>IF(I19&lt;=0.005,0,I19-MIN(I19,MAX(0,$E19-SUMIFS(H19:AK19,$H$5:$AK$5,"Rem",$H$4:$AK$4,"&lt;"&amp;J$4))))</f>
        <v/>
      </c>
      <c r="K19" s="33">
        <f>M18*(1+N(Debts!$D$7)/1200)</f>
        <v/>
      </c>
      <c r="L19" s="33">
        <f>K19-MIN(N(Debts!$E$7),K19)</f>
        <v/>
      </c>
      <c r="M19" s="33">
        <f>IF(L19&lt;=0.005,0,L19-MIN(L19,MAX(0,$E19-SUMIFS(H19:AK19,$H$5:$AK$5,"Rem",$H$4:$AK$4,"&lt;"&amp;M$4))))</f>
        <v/>
      </c>
      <c r="N19" s="33">
        <f>P18*(1+N(Debts!$D$8)/1200)</f>
        <v/>
      </c>
      <c r="O19" s="33">
        <f>N19-MIN(N(Debts!$E$8),N19)</f>
        <v/>
      </c>
      <c r="P19" s="33">
        <f>IF(O19&lt;=0.005,0,O19-MIN(O19,MAX(0,$E19-SUMIFS(H19:AK19,$H$5:$AK$5,"Rem",$H$4:$AK$4,"&lt;"&amp;P$4))))</f>
        <v/>
      </c>
      <c r="Q19" s="33">
        <f>S18*(1+N(Debts!$D$9)/1200)</f>
        <v/>
      </c>
      <c r="R19" s="33">
        <f>Q19-MIN(N(Debts!$E$9),Q19)</f>
        <v/>
      </c>
      <c r="S19" s="33">
        <f>IF(R19&lt;=0.005,0,R19-MIN(R19,MAX(0,$E19-SUMIFS(H19:AK19,$H$5:$AK$5,"Rem",$H$4:$AK$4,"&lt;"&amp;S$4))))</f>
        <v/>
      </c>
      <c r="T19" s="33">
        <f>V18*(1+N(Debts!$D$10)/1200)</f>
        <v/>
      </c>
      <c r="U19" s="33">
        <f>T19-MIN(N(Debts!$E$10),T19)</f>
        <v/>
      </c>
      <c r="V19" s="33">
        <f>IF(U19&lt;=0.005,0,U19-MIN(U19,MAX(0,$E19-SUMIFS(H19:AK19,$H$5:$AK$5,"Rem",$H$4:$AK$4,"&lt;"&amp;V$4))))</f>
        <v/>
      </c>
      <c r="W19" s="33">
        <f>Y18*(1+N(Debts!$D$11)/1200)</f>
        <v/>
      </c>
      <c r="X19" s="33">
        <f>W19-MIN(N(Debts!$E$11),W19)</f>
        <v/>
      </c>
      <c r="Y19" s="33">
        <f>IF(X19&lt;=0.005,0,X19-MIN(X19,MAX(0,$E19-SUMIFS(H19:AK19,$H$5:$AK$5,"Rem",$H$4:$AK$4,"&lt;"&amp;Y$4))))</f>
        <v/>
      </c>
      <c r="Z19" s="33">
        <f>AB18*(1+N(Debts!$D$12)/1200)</f>
        <v/>
      </c>
      <c r="AA19" s="33">
        <f>Z19-MIN(N(Debts!$E$12),Z19)</f>
        <v/>
      </c>
      <c r="AB19" s="33">
        <f>IF(AA19&lt;=0.005,0,AA19-MIN(AA19,MAX(0,$E19-SUMIFS(H19:AK19,$H$5:$AK$5,"Rem",$H$4:$AK$4,"&lt;"&amp;AB$4))))</f>
        <v/>
      </c>
      <c r="AC19" s="33">
        <f>AE18*(1+N(Debts!$D$13)/1200)</f>
        <v/>
      </c>
      <c r="AD19" s="33">
        <f>AC19-MIN(N(Debts!$E$13),AC19)</f>
        <v/>
      </c>
      <c r="AE19" s="33">
        <f>IF(AD19&lt;=0.005,0,AD19-MIN(AD19,MAX(0,$E19-SUMIFS(H19:AK19,$H$5:$AK$5,"Rem",$H$4:$AK$4,"&lt;"&amp;AE$4))))</f>
        <v/>
      </c>
      <c r="AF19" s="33">
        <f>AH18*(1+N(Debts!$D$14)/1200)</f>
        <v/>
      </c>
      <c r="AG19" s="33">
        <f>AF19-MIN(N(Debts!$E$14),AF19)</f>
        <v/>
      </c>
      <c r="AH19" s="33">
        <f>IF(AG19&lt;=0.005,0,AG19-MIN(AG19,MAX(0,$E19-SUMIFS(H19:AK19,$H$5:$AK$5,"Rem",$H$4:$AK$4,"&lt;"&amp;AH$4))))</f>
        <v/>
      </c>
      <c r="AI19" s="33">
        <f>AK18*(1+N(Debts!$D$15)/1200)</f>
        <v/>
      </c>
      <c r="AJ19" s="33">
        <f>AI19-MIN(N(Debts!$E$15),AI19)</f>
        <v/>
      </c>
      <c r="AK19" s="33">
        <f>IF(AJ19&lt;=0.005,0,AJ19-MIN(AJ19,MAX(0,$E19-SUMIFS(H19:AK19,$H$5:$AK$5,"Rem",$H$4:$AK$4,"&lt;"&amp;AK$4))))</f>
        <v/>
      </c>
      <c r="AL19" s="1" t="n"/>
    </row>
    <row r="20">
      <c r="A20" s="1" t="n"/>
      <c r="B20" s="1" t="n">
        <v>13</v>
      </c>
      <c r="C20" s="34">
        <f>EDATE(Debts!$J$13,B20-1)</f>
        <v/>
      </c>
      <c r="D20" s="33">
        <f>IF(G19&lt;=0.005,0,Debts!$E$16+Debts!$J$7)</f>
        <v/>
      </c>
      <c r="E20" s="33">
        <f>MAX(0,D20-(SUMIF($H$5:$AK$5,"Due",H20:AK20)-SUMIF($H$5:$AK$5,"Rem",H20:AK20)))</f>
        <v/>
      </c>
      <c r="F20" s="33">
        <f>SUMIF($H$5:$AK$5,"Due",H20:AK20)-SUMIF($H$5:$AK$5,"Bal",H19:AK19)</f>
        <v/>
      </c>
      <c r="G20" s="33">
        <f>SUMIF($H$5:$AK$5,"Bal",H20:AK20)</f>
        <v/>
      </c>
      <c r="H20" s="33">
        <f>J19*(1+N(Debts!$D$6)/1200)</f>
        <v/>
      </c>
      <c r="I20" s="33">
        <f>H20-MIN(N(Debts!$E$6),H20)</f>
        <v/>
      </c>
      <c r="J20" s="33">
        <f>IF(I20&lt;=0.005,0,I20-MIN(I20,MAX(0,$E20-SUMIFS(H20:AK20,$H$5:$AK$5,"Rem",$H$4:$AK$4,"&lt;"&amp;J$4))))</f>
        <v/>
      </c>
      <c r="K20" s="33">
        <f>M19*(1+N(Debts!$D$7)/1200)</f>
        <v/>
      </c>
      <c r="L20" s="33">
        <f>K20-MIN(N(Debts!$E$7),K20)</f>
        <v/>
      </c>
      <c r="M20" s="33">
        <f>IF(L20&lt;=0.005,0,L20-MIN(L20,MAX(0,$E20-SUMIFS(H20:AK20,$H$5:$AK$5,"Rem",$H$4:$AK$4,"&lt;"&amp;M$4))))</f>
        <v/>
      </c>
      <c r="N20" s="33">
        <f>P19*(1+N(Debts!$D$8)/1200)</f>
        <v/>
      </c>
      <c r="O20" s="33">
        <f>N20-MIN(N(Debts!$E$8),N20)</f>
        <v/>
      </c>
      <c r="P20" s="33">
        <f>IF(O20&lt;=0.005,0,O20-MIN(O20,MAX(0,$E20-SUMIFS(H20:AK20,$H$5:$AK$5,"Rem",$H$4:$AK$4,"&lt;"&amp;P$4))))</f>
        <v/>
      </c>
      <c r="Q20" s="33">
        <f>S19*(1+N(Debts!$D$9)/1200)</f>
        <v/>
      </c>
      <c r="R20" s="33">
        <f>Q20-MIN(N(Debts!$E$9),Q20)</f>
        <v/>
      </c>
      <c r="S20" s="33">
        <f>IF(R20&lt;=0.005,0,R20-MIN(R20,MAX(0,$E20-SUMIFS(H20:AK20,$H$5:$AK$5,"Rem",$H$4:$AK$4,"&lt;"&amp;S$4))))</f>
        <v/>
      </c>
      <c r="T20" s="33">
        <f>V19*(1+N(Debts!$D$10)/1200)</f>
        <v/>
      </c>
      <c r="U20" s="33">
        <f>T20-MIN(N(Debts!$E$10),T20)</f>
        <v/>
      </c>
      <c r="V20" s="33">
        <f>IF(U20&lt;=0.005,0,U20-MIN(U20,MAX(0,$E20-SUMIFS(H20:AK20,$H$5:$AK$5,"Rem",$H$4:$AK$4,"&lt;"&amp;V$4))))</f>
        <v/>
      </c>
      <c r="W20" s="33">
        <f>Y19*(1+N(Debts!$D$11)/1200)</f>
        <v/>
      </c>
      <c r="X20" s="33">
        <f>W20-MIN(N(Debts!$E$11),W20)</f>
        <v/>
      </c>
      <c r="Y20" s="33">
        <f>IF(X20&lt;=0.005,0,X20-MIN(X20,MAX(0,$E20-SUMIFS(H20:AK20,$H$5:$AK$5,"Rem",$H$4:$AK$4,"&lt;"&amp;Y$4))))</f>
        <v/>
      </c>
      <c r="Z20" s="33">
        <f>AB19*(1+N(Debts!$D$12)/1200)</f>
        <v/>
      </c>
      <c r="AA20" s="33">
        <f>Z20-MIN(N(Debts!$E$12),Z20)</f>
        <v/>
      </c>
      <c r="AB20" s="33">
        <f>IF(AA20&lt;=0.005,0,AA20-MIN(AA20,MAX(0,$E20-SUMIFS(H20:AK20,$H$5:$AK$5,"Rem",$H$4:$AK$4,"&lt;"&amp;AB$4))))</f>
        <v/>
      </c>
      <c r="AC20" s="33">
        <f>AE19*(1+N(Debts!$D$13)/1200)</f>
        <v/>
      </c>
      <c r="AD20" s="33">
        <f>AC20-MIN(N(Debts!$E$13),AC20)</f>
        <v/>
      </c>
      <c r="AE20" s="33">
        <f>IF(AD20&lt;=0.005,0,AD20-MIN(AD20,MAX(0,$E20-SUMIFS(H20:AK20,$H$5:$AK$5,"Rem",$H$4:$AK$4,"&lt;"&amp;AE$4))))</f>
        <v/>
      </c>
      <c r="AF20" s="33">
        <f>AH19*(1+N(Debts!$D$14)/1200)</f>
        <v/>
      </c>
      <c r="AG20" s="33">
        <f>AF20-MIN(N(Debts!$E$14),AF20)</f>
        <v/>
      </c>
      <c r="AH20" s="33">
        <f>IF(AG20&lt;=0.005,0,AG20-MIN(AG20,MAX(0,$E20-SUMIFS(H20:AK20,$H$5:$AK$5,"Rem",$H$4:$AK$4,"&lt;"&amp;AH$4))))</f>
        <v/>
      </c>
      <c r="AI20" s="33">
        <f>AK19*(1+N(Debts!$D$15)/1200)</f>
        <v/>
      </c>
      <c r="AJ20" s="33">
        <f>AI20-MIN(N(Debts!$E$15),AI20)</f>
        <v/>
      </c>
      <c r="AK20" s="33">
        <f>IF(AJ20&lt;=0.005,0,AJ20-MIN(AJ20,MAX(0,$E20-SUMIFS(H20:AK20,$H$5:$AK$5,"Rem",$H$4:$AK$4,"&lt;"&amp;AK$4))))</f>
        <v/>
      </c>
      <c r="AL20" s="1" t="n"/>
    </row>
    <row r="21">
      <c r="A21" s="1" t="n"/>
      <c r="B21" s="1" t="n">
        <v>14</v>
      </c>
      <c r="C21" s="34">
        <f>EDATE(Debts!$J$13,B21-1)</f>
        <v/>
      </c>
      <c r="D21" s="33">
        <f>IF(G20&lt;=0.005,0,Debts!$E$16+Debts!$J$7)</f>
        <v/>
      </c>
      <c r="E21" s="33">
        <f>MAX(0,D21-(SUMIF($H$5:$AK$5,"Due",H21:AK21)-SUMIF($H$5:$AK$5,"Rem",H21:AK21)))</f>
        <v/>
      </c>
      <c r="F21" s="33">
        <f>SUMIF($H$5:$AK$5,"Due",H21:AK21)-SUMIF($H$5:$AK$5,"Bal",H20:AK20)</f>
        <v/>
      </c>
      <c r="G21" s="33">
        <f>SUMIF($H$5:$AK$5,"Bal",H21:AK21)</f>
        <v/>
      </c>
      <c r="H21" s="33">
        <f>J20*(1+N(Debts!$D$6)/1200)</f>
        <v/>
      </c>
      <c r="I21" s="33">
        <f>H21-MIN(N(Debts!$E$6),H21)</f>
        <v/>
      </c>
      <c r="J21" s="33">
        <f>IF(I21&lt;=0.005,0,I21-MIN(I21,MAX(0,$E21-SUMIFS(H21:AK21,$H$5:$AK$5,"Rem",$H$4:$AK$4,"&lt;"&amp;J$4))))</f>
        <v/>
      </c>
      <c r="K21" s="33">
        <f>M20*(1+N(Debts!$D$7)/1200)</f>
        <v/>
      </c>
      <c r="L21" s="33">
        <f>K21-MIN(N(Debts!$E$7),K21)</f>
        <v/>
      </c>
      <c r="M21" s="33">
        <f>IF(L21&lt;=0.005,0,L21-MIN(L21,MAX(0,$E21-SUMIFS(H21:AK21,$H$5:$AK$5,"Rem",$H$4:$AK$4,"&lt;"&amp;M$4))))</f>
        <v/>
      </c>
      <c r="N21" s="33">
        <f>P20*(1+N(Debts!$D$8)/1200)</f>
        <v/>
      </c>
      <c r="O21" s="33">
        <f>N21-MIN(N(Debts!$E$8),N21)</f>
        <v/>
      </c>
      <c r="P21" s="33">
        <f>IF(O21&lt;=0.005,0,O21-MIN(O21,MAX(0,$E21-SUMIFS(H21:AK21,$H$5:$AK$5,"Rem",$H$4:$AK$4,"&lt;"&amp;P$4))))</f>
        <v/>
      </c>
      <c r="Q21" s="33">
        <f>S20*(1+N(Debts!$D$9)/1200)</f>
        <v/>
      </c>
      <c r="R21" s="33">
        <f>Q21-MIN(N(Debts!$E$9),Q21)</f>
        <v/>
      </c>
      <c r="S21" s="33">
        <f>IF(R21&lt;=0.005,0,R21-MIN(R21,MAX(0,$E21-SUMIFS(H21:AK21,$H$5:$AK$5,"Rem",$H$4:$AK$4,"&lt;"&amp;S$4))))</f>
        <v/>
      </c>
      <c r="T21" s="33">
        <f>V20*(1+N(Debts!$D$10)/1200)</f>
        <v/>
      </c>
      <c r="U21" s="33">
        <f>T21-MIN(N(Debts!$E$10),T21)</f>
        <v/>
      </c>
      <c r="V21" s="33">
        <f>IF(U21&lt;=0.005,0,U21-MIN(U21,MAX(0,$E21-SUMIFS(H21:AK21,$H$5:$AK$5,"Rem",$H$4:$AK$4,"&lt;"&amp;V$4))))</f>
        <v/>
      </c>
      <c r="W21" s="33">
        <f>Y20*(1+N(Debts!$D$11)/1200)</f>
        <v/>
      </c>
      <c r="X21" s="33">
        <f>W21-MIN(N(Debts!$E$11),W21)</f>
        <v/>
      </c>
      <c r="Y21" s="33">
        <f>IF(X21&lt;=0.005,0,X21-MIN(X21,MAX(0,$E21-SUMIFS(H21:AK21,$H$5:$AK$5,"Rem",$H$4:$AK$4,"&lt;"&amp;Y$4))))</f>
        <v/>
      </c>
      <c r="Z21" s="33">
        <f>AB20*(1+N(Debts!$D$12)/1200)</f>
        <v/>
      </c>
      <c r="AA21" s="33">
        <f>Z21-MIN(N(Debts!$E$12),Z21)</f>
        <v/>
      </c>
      <c r="AB21" s="33">
        <f>IF(AA21&lt;=0.005,0,AA21-MIN(AA21,MAX(0,$E21-SUMIFS(H21:AK21,$H$5:$AK$5,"Rem",$H$4:$AK$4,"&lt;"&amp;AB$4))))</f>
        <v/>
      </c>
      <c r="AC21" s="33">
        <f>AE20*(1+N(Debts!$D$13)/1200)</f>
        <v/>
      </c>
      <c r="AD21" s="33">
        <f>AC21-MIN(N(Debts!$E$13),AC21)</f>
        <v/>
      </c>
      <c r="AE21" s="33">
        <f>IF(AD21&lt;=0.005,0,AD21-MIN(AD21,MAX(0,$E21-SUMIFS(H21:AK21,$H$5:$AK$5,"Rem",$H$4:$AK$4,"&lt;"&amp;AE$4))))</f>
        <v/>
      </c>
      <c r="AF21" s="33">
        <f>AH20*(1+N(Debts!$D$14)/1200)</f>
        <v/>
      </c>
      <c r="AG21" s="33">
        <f>AF21-MIN(N(Debts!$E$14),AF21)</f>
        <v/>
      </c>
      <c r="AH21" s="33">
        <f>IF(AG21&lt;=0.005,0,AG21-MIN(AG21,MAX(0,$E21-SUMIFS(H21:AK21,$H$5:$AK$5,"Rem",$H$4:$AK$4,"&lt;"&amp;AH$4))))</f>
        <v/>
      </c>
      <c r="AI21" s="33">
        <f>AK20*(1+N(Debts!$D$15)/1200)</f>
        <v/>
      </c>
      <c r="AJ21" s="33">
        <f>AI21-MIN(N(Debts!$E$15),AI21)</f>
        <v/>
      </c>
      <c r="AK21" s="33">
        <f>IF(AJ21&lt;=0.005,0,AJ21-MIN(AJ21,MAX(0,$E21-SUMIFS(H21:AK21,$H$5:$AK$5,"Rem",$H$4:$AK$4,"&lt;"&amp;AK$4))))</f>
        <v/>
      </c>
      <c r="AL21" s="1" t="n"/>
    </row>
    <row r="22">
      <c r="A22" s="1" t="n"/>
      <c r="B22" s="1" t="n">
        <v>15</v>
      </c>
      <c r="C22" s="34">
        <f>EDATE(Debts!$J$13,B22-1)</f>
        <v/>
      </c>
      <c r="D22" s="33">
        <f>IF(G21&lt;=0.005,0,Debts!$E$16+Debts!$J$7)</f>
        <v/>
      </c>
      <c r="E22" s="33">
        <f>MAX(0,D22-(SUMIF($H$5:$AK$5,"Due",H22:AK22)-SUMIF($H$5:$AK$5,"Rem",H22:AK22)))</f>
        <v/>
      </c>
      <c r="F22" s="33">
        <f>SUMIF($H$5:$AK$5,"Due",H22:AK22)-SUMIF($H$5:$AK$5,"Bal",H21:AK21)</f>
        <v/>
      </c>
      <c r="G22" s="33">
        <f>SUMIF($H$5:$AK$5,"Bal",H22:AK22)</f>
        <v/>
      </c>
      <c r="H22" s="33">
        <f>J21*(1+N(Debts!$D$6)/1200)</f>
        <v/>
      </c>
      <c r="I22" s="33">
        <f>H22-MIN(N(Debts!$E$6),H22)</f>
        <v/>
      </c>
      <c r="J22" s="33">
        <f>IF(I22&lt;=0.005,0,I22-MIN(I22,MAX(0,$E22-SUMIFS(H22:AK22,$H$5:$AK$5,"Rem",$H$4:$AK$4,"&lt;"&amp;J$4))))</f>
        <v/>
      </c>
      <c r="K22" s="33">
        <f>M21*(1+N(Debts!$D$7)/1200)</f>
        <v/>
      </c>
      <c r="L22" s="33">
        <f>K22-MIN(N(Debts!$E$7),K22)</f>
        <v/>
      </c>
      <c r="M22" s="33">
        <f>IF(L22&lt;=0.005,0,L22-MIN(L22,MAX(0,$E22-SUMIFS(H22:AK22,$H$5:$AK$5,"Rem",$H$4:$AK$4,"&lt;"&amp;M$4))))</f>
        <v/>
      </c>
      <c r="N22" s="33">
        <f>P21*(1+N(Debts!$D$8)/1200)</f>
        <v/>
      </c>
      <c r="O22" s="33">
        <f>N22-MIN(N(Debts!$E$8),N22)</f>
        <v/>
      </c>
      <c r="P22" s="33">
        <f>IF(O22&lt;=0.005,0,O22-MIN(O22,MAX(0,$E22-SUMIFS(H22:AK22,$H$5:$AK$5,"Rem",$H$4:$AK$4,"&lt;"&amp;P$4))))</f>
        <v/>
      </c>
      <c r="Q22" s="33">
        <f>S21*(1+N(Debts!$D$9)/1200)</f>
        <v/>
      </c>
      <c r="R22" s="33">
        <f>Q22-MIN(N(Debts!$E$9),Q22)</f>
        <v/>
      </c>
      <c r="S22" s="33">
        <f>IF(R22&lt;=0.005,0,R22-MIN(R22,MAX(0,$E22-SUMIFS(H22:AK22,$H$5:$AK$5,"Rem",$H$4:$AK$4,"&lt;"&amp;S$4))))</f>
        <v/>
      </c>
      <c r="T22" s="33">
        <f>V21*(1+N(Debts!$D$10)/1200)</f>
        <v/>
      </c>
      <c r="U22" s="33">
        <f>T22-MIN(N(Debts!$E$10),T22)</f>
        <v/>
      </c>
      <c r="V22" s="33">
        <f>IF(U22&lt;=0.005,0,U22-MIN(U22,MAX(0,$E22-SUMIFS(H22:AK22,$H$5:$AK$5,"Rem",$H$4:$AK$4,"&lt;"&amp;V$4))))</f>
        <v/>
      </c>
      <c r="W22" s="33">
        <f>Y21*(1+N(Debts!$D$11)/1200)</f>
        <v/>
      </c>
      <c r="X22" s="33">
        <f>W22-MIN(N(Debts!$E$11),W22)</f>
        <v/>
      </c>
      <c r="Y22" s="33">
        <f>IF(X22&lt;=0.005,0,X22-MIN(X22,MAX(0,$E22-SUMIFS(H22:AK22,$H$5:$AK$5,"Rem",$H$4:$AK$4,"&lt;"&amp;Y$4))))</f>
        <v/>
      </c>
      <c r="Z22" s="33">
        <f>AB21*(1+N(Debts!$D$12)/1200)</f>
        <v/>
      </c>
      <c r="AA22" s="33">
        <f>Z22-MIN(N(Debts!$E$12),Z22)</f>
        <v/>
      </c>
      <c r="AB22" s="33">
        <f>IF(AA22&lt;=0.005,0,AA22-MIN(AA22,MAX(0,$E22-SUMIFS(H22:AK22,$H$5:$AK$5,"Rem",$H$4:$AK$4,"&lt;"&amp;AB$4))))</f>
        <v/>
      </c>
      <c r="AC22" s="33">
        <f>AE21*(1+N(Debts!$D$13)/1200)</f>
        <v/>
      </c>
      <c r="AD22" s="33">
        <f>AC22-MIN(N(Debts!$E$13),AC22)</f>
        <v/>
      </c>
      <c r="AE22" s="33">
        <f>IF(AD22&lt;=0.005,0,AD22-MIN(AD22,MAX(0,$E22-SUMIFS(H22:AK22,$H$5:$AK$5,"Rem",$H$4:$AK$4,"&lt;"&amp;AE$4))))</f>
        <v/>
      </c>
      <c r="AF22" s="33">
        <f>AH21*(1+N(Debts!$D$14)/1200)</f>
        <v/>
      </c>
      <c r="AG22" s="33">
        <f>AF22-MIN(N(Debts!$E$14),AF22)</f>
        <v/>
      </c>
      <c r="AH22" s="33">
        <f>IF(AG22&lt;=0.005,0,AG22-MIN(AG22,MAX(0,$E22-SUMIFS(H22:AK22,$H$5:$AK$5,"Rem",$H$4:$AK$4,"&lt;"&amp;AH$4))))</f>
        <v/>
      </c>
      <c r="AI22" s="33">
        <f>AK21*(1+N(Debts!$D$15)/1200)</f>
        <v/>
      </c>
      <c r="AJ22" s="33">
        <f>AI22-MIN(N(Debts!$E$15),AI22)</f>
        <v/>
      </c>
      <c r="AK22" s="33">
        <f>IF(AJ22&lt;=0.005,0,AJ22-MIN(AJ22,MAX(0,$E22-SUMIFS(H22:AK22,$H$5:$AK$5,"Rem",$H$4:$AK$4,"&lt;"&amp;AK$4))))</f>
        <v/>
      </c>
      <c r="AL22" s="1" t="n"/>
    </row>
    <row r="23">
      <c r="A23" s="1" t="n"/>
      <c r="B23" s="1" t="n">
        <v>16</v>
      </c>
      <c r="C23" s="34">
        <f>EDATE(Debts!$J$13,B23-1)</f>
        <v/>
      </c>
      <c r="D23" s="33">
        <f>IF(G22&lt;=0.005,0,Debts!$E$16+Debts!$J$7)</f>
        <v/>
      </c>
      <c r="E23" s="33">
        <f>MAX(0,D23-(SUMIF($H$5:$AK$5,"Due",H23:AK23)-SUMIF($H$5:$AK$5,"Rem",H23:AK23)))</f>
        <v/>
      </c>
      <c r="F23" s="33">
        <f>SUMIF($H$5:$AK$5,"Due",H23:AK23)-SUMIF($H$5:$AK$5,"Bal",H22:AK22)</f>
        <v/>
      </c>
      <c r="G23" s="33">
        <f>SUMIF($H$5:$AK$5,"Bal",H23:AK23)</f>
        <v/>
      </c>
      <c r="H23" s="33">
        <f>J22*(1+N(Debts!$D$6)/1200)</f>
        <v/>
      </c>
      <c r="I23" s="33">
        <f>H23-MIN(N(Debts!$E$6),H23)</f>
        <v/>
      </c>
      <c r="J23" s="33">
        <f>IF(I23&lt;=0.005,0,I23-MIN(I23,MAX(0,$E23-SUMIFS(H23:AK23,$H$5:$AK$5,"Rem",$H$4:$AK$4,"&lt;"&amp;J$4))))</f>
        <v/>
      </c>
      <c r="K23" s="33">
        <f>M22*(1+N(Debts!$D$7)/1200)</f>
        <v/>
      </c>
      <c r="L23" s="33">
        <f>K23-MIN(N(Debts!$E$7),K23)</f>
        <v/>
      </c>
      <c r="M23" s="33">
        <f>IF(L23&lt;=0.005,0,L23-MIN(L23,MAX(0,$E23-SUMIFS(H23:AK23,$H$5:$AK$5,"Rem",$H$4:$AK$4,"&lt;"&amp;M$4))))</f>
        <v/>
      </c>
      <c r="N23" s="33">
        <f>P22*(1+N(Debts!$D$8)/1200)</f>
        <v/>
      </c>
      <c r="O23" s="33">
        <f>N23-MIN(N(Debts!$E$8),N23)</f>
        <v/>
      </c>
      <c r="P23" s="33">
        <f>IF(O23&lt;=0.005,0,O23-MIN(O23,MAX(0,$E23-SUMIFS(H23:AK23,$H$5:$AK$5,"Rem",$H$4:$AK$4,"&lt;"&amp;P$4))))</f>
        <v/>
      </c>
      <c r="Q23" s="33">
        <f>S22*(1+N(Debts!$D$9)/1200)</f>
        <v/>
      </c>
      <c r="R23" s="33">
        <f>Q23-MIN(N(Debts!$E$9),Q23)</f>
        <v/>
      </c>
      <c r="S23" s="33">
        <f>IF(R23&lt;=0.005,0,R23-MIN(R23,MAX(0,$E23-SUMIFS(H23:AK23,$H$5:$AK$5,"Rem",$H$4:$AK$4,"&lt;"&amp;S$4))))</f>
        <v/>
      </c>
      <c r="T23" s="33">
        <f>V22*(1+N(Debts!$D$10)/1200)</f>
        <v/>
      </c>
      <c r="U23" s="33">
        <f>T23-MIN(N(Debts!$E$10),T23)</f>
        <v/>
      </c>
      <c r="V23" s="33">
        <f>IF(U23&lt;=0.005,0,U23-MIN(U23,MAX(0,$E23-SUMIFS(H23:AK23,$H$5:$AK$5,"Rem",$H$4:$AK$4,"&lt;"&amp;V$4))))</f>
        <v/>
      </c>
      <c r="W23" s="33">
        <f>Y22*(1+N(Debts!$D$11)/1200)</f>
        <v/>
      </c>
      <c r="X23" s="33">
        <f>W23-MIN(N(Debts!$E$11),W23)</f>
        <v/>
      </c>
      <c r="Y23" s="33">
        <f>IF(X23&lt;=0.005,0,X23-MIN(X23,MAX(0,$E23-SUMIFS(H23:AK23,$H$5:$AK$5,"Rem",$H$4:$AK$4,"&lt;"&amp;Y$4))))</f>
        <v/>
      </c>
      <c r="Z23" s="33">
        <f>AB22*(1+N(Debts!$D$12)/1200)</f>
        <v/>
      </c>
      <c r="AA23" s="33">
        <f>Z23-MIN(N(Debts!$E$12),Z23)</f>
        <v/>
      </c>
      <c r="AB23" s="33">
        <f>IF(AA23&lt;=0.005,0,AA23-MIN(AA23,MAX(0,$E23-SUMIFS(H23:AK23,$H$5:$AK$5,"Rem",$H$4:$AK$4,"&lt;"&amp;AB$4))))</f>
        <v/>
      </c>
      <c r="AC23" s="33">
        <f>AE22*(1+N(Debts!$D$13)/1200)</f>
        <v/>
      </c>
      <c r="AD23" s="33">
        <f>AC23-MIN(N(Debts!$E$13),AC23)</f>
        <v/>
      </c>
      <c r="AE23" s="33">
        <f>IF(AD23&lt;=0.005,0,AD23-MIN(AD23,MAX(0,$E23-SUMIFS(H23:AK23,$H$5:$AK$5,"Rem",$H$4:$AK$4,"&lt;"&amp;AE$4))))</f>
        <v/>
      </c>
      <c r="AF23" s="33">
        <f>AH22*(1+N(Debts!$D$14)/1200)</f>
        <v/>
      </c>
      <c r="AG23" s="33">
        <f>AF23-MIN(N(Debts!$E$14),AF23)</f>
        <v/>
      </c>
      <c r="AH23" s="33">
        <f>IF(AG23&lt;=0.005,0,AG23-MIN(AG23,MAX(0,$E23-SUMIFS(H23:AK23,$H$5:$AK$5,"Rem",$H$4:$AK$4,"&lt;"&amp;AH$4))))</f>
        <v/>
      </c>
      <c r="AI23" s="33">
        <f>AK22*(1+N(Debts!$D$15)/1200)</f>
        <v/>
      </c>
      <c r="AJ23" s="33">
        <f>AI23-MIN(N(Debts!$E$15),AI23)</f>
        <v/>
      </c>
      <c r="AK23" s="33">
        <f>IF(AJ23&lt;=0.005,0,AJ23-MIN(AJ23,MAX(0,$E23-SUMIFS(H23:AK23,$H$5:$AK$5,"Rem",$H$4:$AK$4,"&lt;"&amp;AK$4))))</f>
        <v/>
      </c>
      <c r="AL23" s="1" t="n"/>
    </row>
    <row r="24">
      <c r="A24" s="1" t="n"/>
      <c r="B24" s="1" t="n">
        <v>17</v>
      </c>
      <c r="C24" s="34">
        <f>EDATE(Debts!$J$13,B24-1)</f>
        <v/>
      </c>
      <c r="D24" s="33">
        <f>IF(G23&lt;=0.005,0,Debts!$E$16+Debts!$J$7)</f>
        <v/>
      </c>
      <c r="E24" s="33">
        <f>MAX(0,D24-(SUMIF($H$5:$AK$5,"Due",H24:AK24)-SUMIF($H$5:$AK$5,"Rem",H24:AK24)))</f>
        <v/>
      </c>
      <c r="F24" s="33">
        <f>SUMIF($H$5:$AK$5,"Due",H24:AK24)-SUMIF($H$5:$AK$5,"Bal",H23:AK23)</f>
        <v/>
      </c>
      <c r="G24" s="33">
        <f>SUMIF($H$5:$AK$5,"Bal",H24:AK24)</f>
        <v/>
      </c>
      <c r="H24" s="33">
        <f>J23*(1+N(Debts!$D$6)/1200)</f>
        <v/>
      </c>
      <c r="I24" s="33">
        <f>H24-MIN(N(Debts!$E$6),H24)</f>
        <v/>
      </c>
      <c r="J24" s="33">
        <f>IF(I24&lt;=0.005,0,I24-MIN(I24,MAX(0,$E24-SUMIFS(H24:AK24,$H$5:$AK$5,"Rem",$H$4:$AK$4,"&lt;"&amp;J$4))))</f>
        <v/>
      </c>
      <c r="K24" s="33">
        <f>M23*(1+N(Debts!$D$7)/1200)</f>
        <v/>
      </c>
      <c r="L24" s="33">
        <f>K24-MIN(N(Debts!$E$7),K24)</f>
        <v/>
      </c>
      <c r="M24" s="33">
        <f>IF(L24&lt;=0.005,0,L24-MIN(L24,MAX(0,$E24-SUMIFS(H24:AK24,$H$5:$AK$5,"Rem",$H$4:$AK$4,"&lt;"&amp;M$4))))</f>
        <v/>
      </c>
      <c r="N24" s="33">
        <f>P23*(1+N(Debts!$D$8)/1200)</f>
        <v/>
      </c>
      <c r="O24" s="33">
        <f>N24-MIN(N(Debts!$E$8),N24)</f>
        <v/>
      </c>
      <c r="P24" s="33">
        <f>IF(O24&lt;=0.005,0,O24-MIN(O24,MAX(0,$E24-SUMIFS(H24:AK24,$H$5:$AK$5,"Rem",$H$4:$AK$4,"&lt;"&amp;P$4))))</f>
        <v/>
      </c>
      <c r="Q24" s="33">
        <f>S23*(1+N(Debts!$D$9)/1200)</f>
        <v/>
      </c>
      <c r="R24" s="33">
        <f>Q24-MIN(N(Debts!$E$9),Q24)</f>
        <v/>
      </c>
      <c r="S24" s="33">
        <f>IF(R24&lt;=0.005,0,R24-MIN(R24,MAX(0,$E24-SUMIFS(H24:AK24,$H$5:$AK$5,"Rem",$H$4:$AK$4,"&lt;"&amp;S$4))))</f>
        <v/>
      </c>
      <c r="T24" s="33">
        <f>V23*(1+N(Debts!$D$10)/1200)</f>
        <v/>
      </c>
      <c r="U24" s="33">
        <f>T24-MIN(N(Debts!$E$10),T24)</f>
        <v/>
      </c>
      <c r="V24" s="33">
        <f>IF(U24&lt;=0.005,0,U24-MIN(U24,MAX(0,$E24-SUMIFS(H24:AK24,$H$5:$AK$5,"Rem",$H$4:$AK$4,"&lt;"&amp;V$4))))</f>
        <v/>
      </c>
      <c r="W24" s="33">
        <f>Y23*(1+N(Debts!$D$11)/1200)</f>
        <v/>
      </c>
      <c r="X24" s="33">
        <f>W24-MIN(N(Debts!$E$11),W24)</f>
        <v/>
      </c>
      <c r="Y24" s="33">
        <f>IF(X24&lt;=0.005,0,X24-MIN(X24,MAX(0,$E24-SUMIFS(H24:AK24,$H$5:$AK$5,"Rem",$H$4:$AK$4,"&lt;"&amp;Y$4))))</f>
        <v/>
      </c>
      <c r="Z24" s="33">
        <f>AB23*(1+N(Debts!$D$12)/1200)</f>
        <v/>
      </c>
      <c r="AA24" s="33">
        <f>Z24-MIN(N(Debts!$E$12),Z24)</f>
        <v/>
      </c>
      <c r="AB24" s="33">
        <f>IF(AA24&lt;=0.005,0,AA24-MIN(AA24,MAX(0,$E24-SUMIFS(H24:AK24,$H$5:$AK$5,"Rem",$H$4:$AK$4,"&lt;"&amp;AB$4))))</f>
        <v/>
      </c>
      <c r="AC24" s="33">
        <f>AE23*(1+N(Debts!$D$13)/1200)</f>
        <v/>
      </c>
      <c r="AD24" s="33">
        <f>AC24-MIN(N(Debts!$E$13),AC24)</f>
        <v/>
      </c>
      <c r="AE24" s="33">
        <f>IF(AD24&lt;=0.005,0,AD24-MIN(AD24,MAX(0,$E24-SUMIFS(H24:AK24,$H$5:$AK$5,"Rem",$H$4:$AK$4,"&lt;"&amp;AE$4))))</f>
        <v/>
      </c>
      <c r="AF24" s="33">
        <f>AH23*(1+N(Debts!$D$14)/1200)</f>
        <v/>
      </c>
      <c r="AG24" s="33">
        <f>AF24-MIN(N(Debts!$E$14),AF24)</f>
        <v/>
      </c>
      <c r="AH24" s="33">
        <f>IF(AG24&lt;=0.005,0,AG24-MIN(AG24,MAX(0,$E24-SUMIFS(H24:AK24,$H$5:$AK$5,"Rem",$H$4:$AK$4,"&lt;"&amp;AH$4))))</f>
        <v/>
      </c>
      <c r="AI24" s="33">
        <f>AK23*(1+N(Debts!$D$15)/1200)</f>
        <v/>
      </c>
      <c r="AJ24" s="33">
        <f>AI24-MIN(N(Debts!$E$15),AI24)</f>
        <v/>
      </c>
      <c r="AK24" s="33">
        <f>IF(AJ24&lt;=0.005,0,AJ24-MIN(AJ24,MAX(0,$E24-SUMIFS(H24:AK24,$H$5:$AK$5,"Rem",$H$4:$AK$4,"&lt;"&amp;AK$4))))</f>
        <v/>
      </c>
      <c r="AL24" s="1" t="n"/>
    </row>
    <row r="25">
      <c r="A25" s="1" t="n"/>
      <c r="B25" s="1" t="n">
        <v>18</v>
      </c>
      <c r="C25" s="34">
        <f>EDATE(Debts!$J$13,B25-1)</f>
        <v/>
      </c>
      <c r="D25" s="33">
        <f>IF(G24&lt;=0.005,0,Debts!$E$16+Debts!$J$7)</f>
        <v/>
      </c>
      <c r="E25" s="33">
        <f>MAX(0,D25-(SUMIF($H$5:$AK$5,"Due",H25:AK25)-SUMIF($H$5:$AK$5,"Rem",H25:AK25)))</f>
        <v/>
      </c>
      <c r="F25" s="33">
        <f>SUMIF($H$5:$AK$5,"Due",H25:AK25)-SUMIF($H$5:$AK$5,"Bal",H24:AK24)</f>
        <v/>
      </c>
      <c r="G25" s="33">
        <f>SUMIF($H$5:$AK$5,"Bal",H25:AK25)</f>
        <v/>
      </c>
      <c r="H25" s="33">
        <f>J24*(1+N(Debts!$D$6)/1200)</f>
        <v/>
      </c>
      <c r="I25" s="33">
        <f>H25-MIN(N(Debts!$E$6),H25)</f>
        <v/>
      </c>
      <c r="J25" s="33">
        <f>IF(I25&lt;=0.005,0,I25-MIN(I25,MAX(0,$E25-SUMIFS(H25:AK25,$H$5:$AK$5,"Rem",$H$4:$AK$4,"&lt;"&amp;J$4))))</f>
        <v/>
      </c>
      <c r="K25" s="33">
        <f>M24*(1+N(Debts!$D$7)/1200)</f>
        <v/>
      </c>
      <c r="L25" s="33">
        <f>K25-MIN(N(Debts!$E$7),K25)</f>
        <v/>
      </c>
      <c r="M25" s="33">
        <f>IF(L25&lt;=0.005,0,L25-MIN(L25,MAX(0,$E25-SUMIFS(H25:AK25,$H$5:$AK$5,"Rem",$H$4:$AK$4,"&lt;"&amp;M$4))))</f>
        <v/>
      </c>
      <c r="N25" s="33">
        <f>P24*(1+N(Debts!$D$8)/1200)</f>
        <v/>
      </c>
      <c r="O25" s="33">
        <f>N25-MIN(N(Debts!$E$8),N25)</f>
        <v/>
      </c>
      <c r="P25" s="33">
        <f>IF(O25&lt;=0.005,0,O25-MIN(O25,MAX(0,$E25-SUMIFS(H25:AK25,$H$5:$AK$5,"Rem",$H$4:$AK$4,"&lt;"&amp;P$4))))</f>
        <v/>
      </c>
      <c r="Q25" s="33">
        <f>S24*(1+N(Debts!$D$9)/1200)</f>
        <v/>
      </c>
      <c r="R25" s="33">
        <f>Q25-MIN(N(Debts!$E$9),Q25)</f>
        <v/>
      </c>
      <c r="S25" s="33">
        <f>IF(R25&lt;=0.005,0,R25-MIN(R25,MAX(0,$E25-SUMIFS(H25:AK25,$H$5:$AK$5,"Rem",$H$4:$AK$4,"&lt;"&amp;S$4))))</f>
        <v/>
      </c>
      <c r="T25" s="33">
        <f>V24*(1+N(Debts!$D$10)/1200)</f>
        <v/>
      </c>
      <c r="U25" s="33">
        <f>T25-MIN(N(Debts!$E$10),T25)</f>
        <v/>
      </c>
      <c r="V25" s="33">
        <f>IF(U25&lt;=0.005,0,U25-MIN(U25,MAX(0,$E25-SUMIFS(H25:AK25,$H$5:$AK$5,"Rem",$H$4:$AK$4,"&lt;"&amp;V$4))))</f>
        <v/>
      </c>
      <c r="W25" s="33">
        <f>Y24*(1+N(Debts!$D$11)/1200)</f>
        <v/>
      </c>
      <c r="X25" s="33">
        <f>W25-MIN(N(Debts!$E$11),W25)</f>
        <v/>
      </c>
      <c r="Y25" s="33">
        <f>IF(X25&lt;=0.005,0,X25-MIN(X25,MAX(0,$E25-SUMIFS(H25:AK25,$H$5:$AK$5,"Rem",$H$4:$AK$4,"&lt;"&amp;Y$4))))</f>
        <v/>
      </c>
      <c r="Z25" s="33">
        <f>AB24*(1+N(Debts!$D$12)/1200)</f>
        <v/>
      </c>
      <c r="AA25" s="33">
        <f>Z25-MIN(N(Debts!$E$12),Z25)</f>
        <v/>
      </c>
      <c r="AB25" s="33">
        <f>IF(AA25&lt;=0.005,0,AA25-MIN(AA25,MAX(0,$E25-SUMIFS(H25:AK25,$H$5:$AK$5,"Rem",$H$4:$AK$4,"&lt;"&amp;AB$4))))</f>
        <v/>
      </c>
      <c r="AC25" s="33">
        <f>AE24*(1+N(Debts!$D$13)/1200)</f>
        <v/>
      </c>
      <c r="AD25" s="33">
        <f>AC25-MIN(N(Debts!$E$13),AC25)</f>
        <v/>
      </c>
      <c r="AE25" s="33">
        <f>IF(AD25&lt;=0.005,0,AD25-MIN(AD25,MAX(0,$E25-SUMIFS(H25:AK25,$H$5:$AK$5,"Rem",$H$4:$AK$4,"&lt;"&amp;AE$4))))</f>
        <v/>
      </c>
      <c r="AF25" s="33">
        <f>AH24*(1+N(Debts!$D$14)/1200)</f>
        <v/>
      </c>
      <c r="AG25" s="33">
        <f>AF25-MIN(N(Debts!$E$14),AF25)</f>
        <v/>
      </c>
      <c r="AH25" s="33">
        <f>IF(AG25&lt;=0.005,0,AG25-MIN(AG25,MAX(0,$E25-SUMIFS(H25:AK25,$H$5:$AK$5,"Rem",$H$4:$AK$4,"&lt;"&amp;AH$4))))</f>
        <v/>
      </c>
      <c r="AI25" s="33">
        <f>AK24*(1+N(Debts!$D$15)/1200)</f>
        <v/>
      </c>
      <c r="AJ25" s="33">
        <f>AI25-MIN(N(Debts!$E$15),AI25)</f>
        <v/>
      </c>
      <c r="AK25" s="33">
        <f>IF(AJ25&lt;=0.005,0,AJ25-MIN(AJ25,MAX(0,$E25-SUMIFS(H25:AK25,$H$5:$AK$5,"Rem",$H$4:$AK$4,"&lt;"&amp;AK$4))))</f>
        <v/>
      </c>
      <c r="AL25" s="1" t="n"/>
    </row>
    <row r="26">
      <c r="A26" s="1" t="n"/>
      <c r="B26" s="1" t="n">
        <v>19</v>
      </c>
      <c r="C26" s="34">
        <f>EDATE(Debts!$J$13,B26-1)</f>
        <v/>
      </c>
      <c r="D26" s="33">
        <f>IF(G25&lt;=0.005,0,Debts!$E$16+Debts!$J$7)</f>
        <v/>
      </c>
      <c r="E26" s="33">
        <f>MAX(0,D26-(SUMIF($H$5:$AK$5,"Due",H26:AK26)-SUMIF($H$5:$AK$5,"Rem",H26:AK26)))</f>
        <v/>
      </c>
      <c r="F26" s="33">
        <f>SUMIF($H$5:$AK$5,"Due",H26:AK26)-SUMIF($H$5:$AK$5,"Bal",H25:AK25)</f>
        <v/>
      </c>
      <c r="G26" s="33">
        <f>SUMIF($H$5:$AK$5,"Bal",H26:AK26)</f>
        <v/>
      </c>
      <c r="H26" s="33">
        <f>J25*(1+N(Debts!$D$6)/1200)</f>
        <v/>
      </c>
      <c r="I26" s="33">
        <f>H26-MIN(N(Debts!$E$6),H26)</f>
        <v/>
      </c>
      <c r="J26" s="33">
        <f>IF(I26&lt;=0.005,0,I26-MIN(I26,MAX(0,$E26-SUMIFS(H26:AK26,$H$5:$AK$5,"Rem",$H$4:$AK$4,"&lt;"&amp;J$4))))</f>
        <v/>
      </c>
      <c r="K26" s="33">
        <f>M25*(1+N(Debts!$D$7)/1200)</f>
        <v/>
      </c>
      <c r="L26" s="33">
        <f>K26-MIN(N(Debts!$E$7),K26)</f>
        <v/>
      </c>
      <c r="M26" s="33">
        <f>IF(L26&lt;=0.005,0,L26-MIN(L26,MAX(0,$E26-SUMIFS(H26:AK26,$H$5:$AK$5,"Rem",$H$4:$AK$4,"&lt;"&amp;M$4))))</f>
        <v/>
      </c>
      <c r="N26" s="33">
        <f>P25*(1+N(Debts!$D$8)/1200)</f>
        <v/>
      </c>
      <c r="O26" s="33">
        <f>N26-MIN(N(Debts!$E$8),N26)</f>
        <v/>
      </c>
      <c r="P26" s="33">
        <f>IF(O26&lt;=0.005,0,O26-MIN(O26,MAX(0,$E26-SUMIFS(H26:AK26,$H$5:$AK$5,"Rem",$H$4:$AK$4,"&lt;"&amp;P$4))))</f>
        <v/>
      </c>
      <c r="Q26" s="33">
        <f>S25*(1+N(Debts!$D$9)/1200)</f>
        <v/>
      </c>
      <c r="R26" s="33">
        <f>Q26-MIN(N(Debts!$E$9),Q26)</f>
        <v/>
      </c>
      <c r="S26" s="33">
        <f>IF(R26&lt;=0.005,0,R26-MIN(R26,MAX(0,$E26-SUMIFS(H26:AK26,$H$5:$AK$5,"Rem",$H$4:$AK$4,"&lt;"&amp;S$4))))</f>
        <v/>
      </c>
      <c r="T26" s="33">
        <f>V25*(1+N(Debts!$D$10)/1200)</f>
        <v/>
      </c>
      <c r="U26" s="33">
        <f>T26-MIN(N(Debts!$E$10),T26)</f>
        <v/>
      </c>
      <c r="V26" s="33">
        <f>IF(U26&lt;=0.005,0,U26-MIN(U26,MAX(0,$E26-SUMIFS(H26:AK26,$H$5:$AK$5,"Rem",$H$4:$AK$4,"&lt;"&amp;V$4))))</f>
        <v/>
      </c>
      <c r="W26" s="33">
        <f>Y25*(1+N(Debts!$D$11)/1200)</f>
        <v/>
      </c>
      <c r="X26" s="33">
        <f>W26-MIN(N(Debts!$E$11),W26)</f>
        <v/>
      </c>
      <c r="Y26" s="33">
        <f>IF(X26&lt;=0.005,0,X26-MIN(X26,MAX(0,$E26-SUMIFS(H26:AK26,$H$5:$AK$5,"Rem",$H$4:$AK$4,"&lt;"&amp;Y$4))))</f>
        <v/>
      </c>
      <c r="Z26" s="33">
        <f>AB25*(1+N(Debts!$D$12)/1200)</f>
        <v/>
      </c>
      <c r="AA26" s="33">
        <f>Z26-MIN(N(Debts!$E$12),Z26)</f>
        <v/>
      </c>
      <c r="AB26" s="33">
        <f>IF(AA26&lt;=0.005,0,AA26-MIN(AA26,MAX(0,$E26-SUMIFS(H26:AK26,$H$5:$AK$5,"Rem",$H$4:$AK$4,"&lt;"&amp;AB$4))))</f>
        <v/>
      </c>
      <c r="AC26" s="33">
        <f>AE25*(1+N(Debts!$D$13)/1200)</f>
        <v/>
      </c>
      <c r="AD26" s="33">
        <f>AC26-MIN(N(Debts!$E$13),AC26)</f>
        <v/>
      </c>
      <c r="AE26" s="33">
        <f>IF(AD26&lt;=0.005,0,AD26-MIN(AD26,MAX(0,$E26-SUMIFS(H26:AK26,$H$5:$AK$5,"Rem",$H$4:$AK$4,"&lt;"&amp;AE$4))))</f>
        <v/>
      </c>
      <c r="AF26" s="33">
        <f>AH25*(1+N(Debts!$D$14)/1200)</f>
        <v/>
      </c>
      <c r="AG26" s="33">
        <f>AF26-MIN(N(Debts!$E$14),AF26)</f>
        <v/>
      </c>
      <c r="AH26" s="33">
        <f>IF(AG26&lt;=0.005,0,AG26-MIN(AG26,MAX(0,$E26-SUMIFS(H26:AK26,$H$5:$AK$5,"Rem",$H$4:$AK$4,"&lt;"&amp;AH$4))))</f>
        <v/>
      </c>
      <c r="AI26" s="33">
        <f>AK25*(1+N(Debts!$D$15)/1200)</f>
        <v/>
      </c>
      <c r="AJ26" s="33">
        <f>AI26-MIN(N(Debts!$E$15),AI26)</f>
        <v/>
      </c>
      <c r="AK26" s="33">
        <f>IF(AJ26&lt;=0.005,0,AJ26-MIN(AJ26,MAX(0,$E26-SUMIFS(H26:AK26,$H$5:$AK$5,"Rem",$H$4:$AK$4,"&lt;"&amp;AK$4))))</f>
        <v/>
      </c>
      <c r="AL26" s="1" t="n"/>
    </row>
    <row r="27">
      <c r="A27" s="1" t="n"/>
      <c r="B27" s="1" t="n">
        <v>20</v>
      </c>
      <c r="C27" s="34">
        <f>EDATE(Debts!$J$13,B27-1)</f>
        <v/>
      </c>
      <c r="D27" s="33">
        <f>IF(G26&lt;=0.005,0,Debts!$E$16+Debts!$J$7)</f>
        <v/>
      </c>
      <c r="E27" s="33">
        <f>MAX(0,D27-(SUMIF($H$5:$AK$5,"Due",H27:AK27)-SUMIF($H$5:$AK$5,"Rem",H27:AK27)))</f>
        <v/>
      </c>
      <c r="F27" s="33">
        <f>SUMIF($H$5:$AK$5,"Due",H27:AK27)-SUMIF($H$5:$AK$5,"Bal",H26:AK26)</f>
        <v/>
      </c>
      <c r="G27" s="33">
        <f>SUMIF($H$5:$AK$5,"Bal",H27:AK27)</f>
        <v/>
      </c>
      <c r="H27" s="33">
        <f>J26*(1+N(Debts!$D$6)/1200)</f>
        <v/>
      </c>
      <c r="I27" s="33">
        <f>H27-MIN(N(Debts!$E$6),H27)</f>
        <v/>
      </c>
      <c r="J27" s="33">
        <f>IF(I27&lt;=0.005,0,I27-MIN(I27,MAX(0,$E27-SUMIFS(H27:AK27,$H$5:$AK$5,"Rem",$H$4:$AK$4,"&lt;"&amp;J$4))))</f>
        <v/>
      </c>
      <c r="K27" s="33">
        <f>M26*(1+N(Debts!$D$7)/1200)</f>
        <v/>
      </c>
      <c r="L27" s="33">
        <f>K27-MIN(N(Debts!$E$7),K27)</f>
        <v/>
      </c>
      <c r="M27" s="33">
        <f>IF(L27&lt;=0.005,0,L27-MIN(L27,MAX(0,$E27-SUMIFS(H27:AK27,$H$5:$AK$5,"Rem",$H$4:$AK$4,"&lt;"&amp;M$4))))</f>
        <v/>
      </c>
      <c r="N27" s="33">
        <f>P26*(1+N(Debts!$D$8)/1200)</f>
        <v/>
      </c>
      <c r="O27" s="33">
        <f>N27-MIN(N(Debts!$E$8),N27)</f>
        <v/>
      </c>
      <c r="P27" s="33">
        <f>IF(O27&lt;=0.005,0,O27-MIN(O27,MAX(0,$E27-SUMIFS(H27:AK27,$H$5:$AK$5,"Rem",$H$4:$AK$4,"&lt;"&amp;P$4))))</f>
        <v/>
      </c>
      <c r="Q27" s="33">
        <f>S26*(1+N(Debts!$D$9)/1200)</f>
        <v/>
      </c>
      <c r="R27" s="33">
        <f>Q27-MIN(N(Debts!$E$9),Q27)</f>
        <v/>
      </c>
      <c r="S27" s="33">
        <f>IF(R27&lt;=0.005,0,R27-MIN(R27,MAX(0,$E27-SUMIFS(H27:AK27,$H$5:$AK$5,"Rem",$H$4:$AK$4,"&lt;"&amp;S$4))))</f>
        <v/>
      </c>
      <c r="T27" s="33">
        <f>V26*(1+N(Debts!$D$10)/1200)</f>
        <v/>
      </c>
      <c r="U27" s="33">
        <f>T27-MIN(N(Debts!$E$10),T27)</f>
        <v/>
      </c>
      <c r="V27" s="33">
        <f>IF(U27&lt;=0.005,0,U27-MIN(U27,MAX(0,$E27-SUMIFS(H27:AK27,$H$5:$AK$5,"Rem",$H$4:$AK$4,"&lt;"&amp;V$4))))</f>
        <v/>
      </c>
      <c r="W27" s="33">
        <f>Y26*(1+N(Debts!$D$11)/1200)</f>
        <v/>
      </c>
      <c r="X27" s="33">
        <f>W27-MIN(N(Debts!$E$11),W27)</f>
        <v/>
      </c>
      <c r="Y27" s="33">
        <f>IF(X27&lt;=0.005,0,X27-MIN(X27,MAX(0,$E27-SUMIFS(H27:AK27,$H$5:$AK$5,"Rem",$H$4:$AK$4,"&lt;"&amp;Y$4))))</f>
        <v/>
      </c>
      <c r="Z27" s="33">
        <f>AB26*(1+N(Debts!$D$12)/1200)</f>
        <v/>
      </c>
      <c r="AA27" s="33">
        <f>Z27-MIN(N(Debts!$E$12),Z27)</f>
        <v/>
      </c>
      <c r="AB27" s="33">
        <f>IF(AA27&lt;=0.005,0,AA27-MIN(AA27,MAX(0,$E27-SUMIFS(H27:AK27,$H$5:$AK$5,"Rem",$H$4:$AK$4,"&lt;"&amp;AB$4))))</f>
        <v/>
      </c>
      <c r="AC27" s="33">
        <f>AE26*(1+N(Debts!$D$13)/1200)</f>
        <v/>
      </c>
      <c r="AD27" s="33">
        <f>AC27-MIN(N(Debts!$E$13),AC27)</f>
        <v/>
      </c>
      <c r="AE27" s="33">
        <f>IF(AD27&lt;=0.005,0,AD27-MIN(AD27,MAX(0,$E27-SUMIFS(H27:AK27,$H$5:$AK$5,"Rem",$H$4:$AK$4,"&lt;"&amp;AE$4))))</f>
        <v/>
      </c>
      <c r="AF27" s="33">
        <f>AH26*(1+N(Debts!$D$14)/1200)</f>
        <v/>
      </c>
      <c r="AG27" s="33">
        <f>AF27-MIN(N(Debts!$E$14),AF27)</f>
        <v/>
      </c>
      <c r="AH27" s="33">
        <f>IF(AG27&lt;=0.005,0,AG27-MIN(AG27,MAX(0,$E27-SUMIFS(H27:AK27,$H$5:$AK$5,"Rem",$H$4:$AK$4,"&lt;"&amp;AH$4))))</f>
        <v/>
      </c>
      <c r="AI27" s="33">
        <f>AK26*(1+N(Debts!$D$15)/1200)</f>
        <v/>
      </c>
      <c r="AJ27" s="33">
        <f>AI27-MIN(N(Debts!$E$15),AI27)</f>
        <v/>
      </c>
      <c r="AK27" s="33">
        <f>IF(AJ27&lt;=0.005,0,AJ27-MIN(AJ27,MAX(0,$E27-SUMIFS(H27:AK27,$H$5:$AK$5,"Rem",$H$4:$AK$4,"&lt;"&amp;AK$4))))</f>
        <v/>
      </c>
      <c r="AL27" s="1" t="n"/>
    </row>
    <row r="28">
      <c r="A28" s="1" t="n"/>
      <c r="B28" s="1" t="n">
        <v>21</v>
      </c>
      <c r="C28" s="34">
        <f>EDATE(Debts!$J$13,B28-1)</f>
        <v/>
      </c>
      <c r="D28" s="33">
        <f>IF(G27&lt;=0.005,0,Debts!$E$16+Debts!$J$7)</f>
        <v/>
      </c>
      <c r="E28" s="33">
        <f>MAX(0,D28-(SUMIF($H$5:$AK$5,"Due",H28:AK28)-SUMIF($H$5:$AK$5,"Rem",H28:AK28)))</f>
        <v/>
      </c>
      <c r="F28" s="33">
        <f>SUMIF($H$5:$AK$5,"Due",H28:AK28)-SUMIF($H$5:$AK$5,"Bal",H27:AK27)</f>
        <v/>
      </c>
      <c r="G28" s="33">
        <f>SUMIF($H$5:$AK$5,"Bal",H28:AK28)</f>
        <v/>
      </c>
      <c r="H28" s="33">
        <f>J27*(1+N(Debts!$D$6)/1200)</f>
        <v/>
      </c>
      <c r="I28" s="33">
        <f>H28-MIN(N(Debts!$E$6),H28)</f>
        <v/>
      </c>
      <c r="J28" s="33">
        <f>IF(I28&lt;=0.005,0,I28-MIN(I28,MAX(0,$E28-SUMIFS(H28:AK28,$H$5:$AK$5,"Rem",$H$4:$AK$4,"&lt;"&amp;J$4))))</f>
        <v/>
      </c>
      <c r="K28" s="33">
        <f>M27*(1+N(Debts!$D$7)/1200)</f>
        <v/>
      </c>
      <c r="L28" s="33">
        <f>K28-MIN(N(Debts!$E$7),K28)</f>
        <v/>
      </c>
      <c r="M28" s="33">
        <f>IF(L28&lt;=0.005,0,L28-MIN(L28,MAX(0,$E28-SUMIFS(H28:AK28,$H$5:$AK$5,"Rem",$H$4:$AK$4,"&lt;"&amp;M$4))))</f>
        <v/>
      </c>
      <c r="N28" s="33">
        <f>P27*(1+N(Debts!$D$8)/1200)</f>
        <v/>
      </c>
      <c r="O28" s="33">
        <f>N28-MIN(N(Debts!$E$8),N28)</f>
        <v/>
      </c>
      <c r="P28" s="33">
        <f>IF(O28&lt;=0.005,0,O28-MIN(O28,MAX(0,$E28-SUMIFS(H28:AK28,$H$5:$AK$5,"Rem",$H$4:$AK$4,"&lt;"&amp;P$4))))</f>
        <v/>
      </c>
      <c r="Q28" s="33">
        <f>S27*(1+N(Debts!$D$9)/1200)</f>
        <v/>
      </c>
      <c r="R28" s="33">
        <f>Q28-MIN(N(Debts!$E$9),Q28)</f>
        <v/>
      </c>
      <c r="S28" s="33">
        <f>IF(R28&lt;=0.005,0,R28-MIN(R28,MAX(0,$E28-SUMIFS(H28:AK28,$H$5:$AK$5,"Rem",$H$4:$AK$4,"&lt;"&amp;S$4))))</f>
        <v/>
      </c>
      <c r="T28" s="33">
        <f>V27*(1+N(Debts!$D$10)/1200)</f>
        <v/>
      </c>
      <c r="U28" s="33">
        <f>T28-MIN(N(Debts!$E$10),T28)</f>
        <v/>
      </c>
      <c r="V28" s="33">
        <f>IF(U28&lt;=0.005,0,U28-MIN(U28,MAX(0,$E28-SUMIFS(H28:AK28,$H$5:$AK$5,"Rem",$H$4:$AK$4,"&lt;"&amp;V$4))))</f>
        <v/>
      </c>
      <c r="W28" s="33">
        <f>Y27*(1+N(Debts!$D$11)/1200)</f>
        <v/>
      </c>
      <c r="X28" s="33">
        <f>W28-MIN(N(Debts!$E$11),W28)</f>
        <v/>
      </c>
      <c r="Y28" s="33">
        <f>IF(X28&lt;=0.005,0,X28-MIN(X28,MAX(0,$E28-SUMIFS(H28:AK28,$H$5:$AK$5,"Rem",$H$4:$AK$4,"&lt;"&amp;Y$4))))</f>
        <v/>
      </c>
      <c r="Z28" s="33">
        <f>AB27*(1+N(Debts!$D$12)/1200)</f>
        <v/>
      </c>
      <c r="AA28" s="33">
        <f>Z28-MIN(N(Debts!$E$12),Z28)</f>
        <v/>
      </c>
      <c r="AB28" s="33">
        <f>IF(AA28&lt;=0.005,0,AA28-MIN(AA28,MAX(0,$E28-SUMIFS(H28:AK28,$H$5:$AK$5,"Rem",$H$4:$AK$4,"&lt;"&amp;AB$4))))</f>
        <v/>
      </c>
      <c r="AC28" s="33">
        <f>AE27*(1+N(Debts!$D$13)/1200)</f>
        <v/>
      </c>
      <c r="AD28" s="33">
        <f>AC28-MIN(N(Debts!$E$13),AC28)</f>
        <v/>
      </c>
      <c r="AE28" s="33">
        <f>IF(AD28&lt;=0.005,0,AD28-MIN(AD28,MAX(0,$E28-SUMIFS(H28:AK28,$H$5:$AK$5,"Rem",$H$4:$AK$4,"&lt;"&amp;AE$4))))</f>
        <v/>
      </c>
      <c r="AF28" s="33">
        <f>AH27*(1+N(Debts!$D$14)/1200)</f>
        <v/>
      </c>
      <c r="AG28" s="33">
        <f>AF28-MIN(N(Debts!$E$14),AF28)</f>
        <v/>
      </c>
      <c r="AH28" s="33">
        <f>IF(AG28&lt;=0.005,0,AG28-MIN(AG28,MAX(0,$E28-SUMIFS(H28:AK28,$H$5:$AK$5,"Rem",$H$4:$AK$4,"&lt;"&amp;AH$4))))</f>
        <v/>
      </c>
      <c r="AI28" s="33">
        <f>AK27*(1+N(Debts!$D$15)/1200)</f>
        <v/>
      </c>
      <c r="AJ28" s="33">
        <f>AI28-MIN(N(Debts!$E$15),AI28)</f>
        <v/>
      </c>
      <c r="AK28" s="33">
        <f>IF(AJ28&lt;=0.005,0,AJ28-MIN(AJ28,MAX(0,$E28-SUMIFS(H28:AK28,$H$5:$AK$5,"Rem",$H$4:$AK$4,"&lt;"&amp;AK$4))))</f>
        <v/>
      </c>
      <c r="AL28" s="1" t="n"/>
    </row>
    <row r="29">
      <c r="A29" s="1" t="n"/>
      <c r="B29" s="1" t="n">
        <v>22</v>
      </c>
      <c r="C29" s="34">
        <f>EDATE(Debts!$J$13,B29-1)</f>
        <v/>
      </c>
      <c r="D29" s="33">
        <f>IF(G28&lt;=0.005,0,Debts!$E$16+Debts!$J$7)</f>
        <v/>
      </c>
      <c r="E29" s="33">
        <f>MAX(0,D29-(SUMIF($H$5:$AK$5,"Due",H29:AK29)-SUMIF($H$5:$AK$5,"Rem",H29:AK29)))</f>
        <v/>
      </c>
      <c r="F29" s="33">
        <f>SUMIF($H$5:$AK$5,"Due",H29:AK29)-SUMIF($H$5:$AK$5,"Bal",H28:AK28)</f>
        <v/>
      </c>
      <c r="G29" s="33">
        <f>SUMIF($H$5:$AK$5,"Bal",H29:AK29)</f>
        <v/>
      </c>
      <c r="H29" s="33">
        <f>J28*(1+N(Debts!$D$6)/1200)</f>
        <v/>
      </c>
      <c r="I29" s="33">
        <f>H29-MIN(N(Debts!$E$6),H29)</f>
        <v/>
      </c>
      <c r="J29" s="33">
        <f>IF(I29&lt;=0.005,0,I29-MIN(I29,MAX(0,$E29-SUMIFS(H29:AK29,$H$5:$AK$5,"Rem",$H$4:$AK$4,"&lt;"&amp;J$4))))</f>
        <v/>
      </c>
      <c r="K29" s="33">
        <f>M28*(1+N(Debts!$D$7)/1200)</f>
        <v/>
      </c>
      <c r="L29" s="33">
        <f>K29-MIN(N(Debts!$E$7),K29)</f>
        <v/>
      </c>
      <c r="M29" s="33">
        <f>IF(L29&lt;=0.005,0,L29-MIN(L29,MAX(0,$E29-SUMIFS(H29:AK29,$H$5:$AK$5,"Rem",$H$4:$AK$4,"&lt;"&amp;M$4))))</f>
        <v/>
      </c>
      <c r="N29" s="33">
        <f>P28*(1+N(Debts!$D$8)/1200)</f>
        <v/>
      </c>
      <c r="O29" s="33">
        <f>N29-MIN(N(Debts!$E$8),N29)</f>
        <v/>
      </c>
      <c r="P29" s="33">
        <f>IF(O29&lt;=0.005,0,O29-MIN(O29,MAX(0,$E29-SUMIFS(H29:AK29,$H$5:$AK$5,"Rem",$H$4:$AK$4,"&lt;"&amp;P$4))))</f>
        <v/>
      </c>
      <c r="Q29" s="33">
        <f>S28*(1+N(Debts!$D$9)/1200)</f>
        <v/>
      </c>
      <c r="R29" s="33">
        <f>Q29-MIN(N(Debts!$E$9),Q29)</f>
        <v/>
      </c>
      <c r="S29" s="33">
        <f>IF(R29&lt;=0.005,0,R29-MIN(R29,MAX(0,$E29-SUMIFS(H29:AK29,$H$5:$AK$5,"Rem",$H$4:$AK$4,"&lt;"&amp;S$4))))</f>
        <v/>
      </c>
      <c r="T29" s="33">
        <f>V28*(1+N(Debts!$D$10)/1200)</f>
        <v/>
      </c>
      <c r="U29" s="33">
        <f>T29-MIN(N(Debts!$E$10),T29)</f>
        <v/>
      </c>
      <c r="V29" s="33">
        <f>IF(U29&lt;=0.005,0,U29-MIN(U29,MAX(0,$E29-SUMIFS(H29:AK29,$H$5:$AK$5,"Rem",$H$4:$AK$4,"&lt;"&amp;V$4))))</f>
        <v/>
      </c>
      <c r="W29" s="33">
        <f>Y28*(1+N(Debts!$D$11)/1200)</f>
        <v/>
      </c>
      <c r="X29" s="33">
        <f>W29-MIN(N(Debts!$E$11),W29)</f>
        <v/>
      </c>
      <c r="Y29" s="33">
        <f>IF(X29&lt;=0.005,0,X29-MIN(X29,MAX(0,$E29-SUMIFS(H29:AK29,$H$5:$AK$5,"Rem",$H$4:$AK$4,"&lt;"&amp;Y$4))))</f>
        <v/>
      </c>
      <c r="Z29" s="33">
        <f>AB28*(1+N(Debts!$D$12)/1200)</f>
        <v/>
      </c>
      <c r="AA29" s="33">
        <f>Z29-MIN(N(Debts!$E$12),Z29)</f>
        <v/>
      </c>
      <c r="AB29" s="33">
        <f>IF(AA29&lt;=0.005,0,AA29-MIN(AA29,MAX(0,$E29-SUMIFS(H29:AK29,$H$5:$AK$5,"Rem",$H$4:$AK$4,"&lt;"&amp;AB$4))))</f>
        <v/>
      </c>
      <c r="AC29" s="33">
        <f>AE28*(1+N(Debts!$D$13)/1200)</f>
        <v/>
      </c>
      <c r="AD29" s="33">
        <f>AC29-MIN(N(Debts!$E$13),AC29)</f>
        <v/>
      </c>
      <c r="AE29" s="33">
        <f>IF(AD29&lt;=0.005,0,AD29-MIN(AD29,MAX(0,$E29-SUMIFS(H29:AK29,$H$5:$AK$5,"Rem",$H$4:$AK$4,"&lt;"&amp;AE$4))))</f>
        <v/>
      </c>
      <c r="AF29" s="33">
        <f>AH28*(1+N(Debts!$D$14)/1200)</f>
        <v/>
      </c>
      <c r="AG29" s="33">
        <f>AF29-MIN(N(Debts!$E$14),AF29)</f>
        <v/>
      </c>
      <c r="AH29" s="33">
        <f>IF(AG29&lt;=0.005,0,AG29-MIN(AG29,MAX(0,$E29-SUMIFS(H29:AK29,$H$5:$AK$5,"Rem",$H$4:$AK$4,"&lt;"&amp;AH$4))))</f>
        <v/>
      </c>
      <c r="AI29" s="33">
        <f>AK28*(1+N(Debts!$D$15)/1200)</f>
        <v/>
      </c>
      <c r="AJ29" s="33">
        <f>AI29-MIN(N(Debts!$E$15),AI29)</f>
        <v/>
      </c>
      <c r="AK29" s="33">
        <f>IF(AJ29&lt;=0.005,0,AJ29-MIN(AJ29,MAX(0,$E29-SUMIFS(H29:AK29,$H$5:$AK$5,"Rem",$H$4:$AK$4,"&lt;"&amp;AK$4))))</f>
        <v/>
      </c>
      <c r="AL29" s="1" t="n"/>
    </row>
    <row r="30">
      <c r="A30" s="1" t="n"/>
      <c r="B30" s="1" t="n">
        <v>23</v>
      </c>
      <c r="C30" s="34">
        <f>EDATE(Debts!$J$13,B30-1)</f>
        <v/>
      </c>
      <c r="D30" s="33">
        <f>IF(G29&lt;=0.005,0,Debts!$E$16+Debts!$J$7)</f>
        <v/>
      </c>
      <c r="E30" s="33">
        <f>MAX(0,D30-(SUMIF($H$5:$AK$5,"Due",H30:AK30)-SUMIF($H$5:$AK$5,"Rem",H30:AK30)))</f>
        <v/>
      </c>
      <c r="F30" s="33">
        <f>SUMIF($H$5:$AK$5,"Due",H30:AK30)-SUMIF($H$5:$AK$5,"Bal",H29:AK29)</f>
        <v/>
      </c>
      <c r="G30" s="33">
        <f>SUMIF($H$5:$AK$5,"Bal",H30:AK30)</f>
        <v/>
      </c>
      <c r="H30" s="33">
        <f>J29*(1+N(Debts!$D$6)/1200)</f>
        <v/>
      </c>
      <c r="I30" s="33">
        <f>H30-MIN(N(Debts!$E$6),H30)</f>
        <v/>
      </c>
      <c r="J30" s="33">
        <f>IF(I30&lt;=0.005,0,I30-MIN(I30,MAX(0,$E30-SUMIFS(H30:AK30,$H$5:$AK$5,"Rem",$H$4:$AK$4,"&lt;"&amp;J$4))))</f>
        <v/>
      </c>
      <c r="K30" s="33">
        <f>M29*(1+N(Debts!$D$7)/1200)</f>
        <v/>
      </c>
      <c r="L30" s="33">
        <f>K30-MIN(N(Debts!$E$7),K30)</f>
        <v/>
      </c>
      <c r="M30" s="33">
        <f>IF(L30&lt;=0.005,0,L30-MIN(L30,MAX(0,$E30-SUMIFS(H30:AK30,$H$5:$AK$5,"Rem",$H$4:$AK$4,"&lt;"&amp;M$4))))</f>
        <v/>
      </c>
      <c r="N30" s="33">
        <f>P29*(1+N(Debts!$D$8)/1200)</f>
        <v/>
      </c>
      <c r="O30" s="33">
        <f>N30-MIN(N(Debts!$E$8),N30)</f>
        <v/>
      </c>
      <c r="P30" s="33">
        <f>IF(O30&lt;=0.005,0,O30-MIN(O30,MAX(0,$E30-SUMIFS(H30:AK30,$H$5:$AK$5,"Rem",$H$4:$AK$4,"&lt;"&amp;P$4))))</f>
        <v/>
      </c>
      <c r="Q30" s="33">
        <f>S29*(1+N(Debts!$D$9)/1200)</f>
        <v/>
      </c>
      <c r="R30" s="33">
        <f>Q30-MIN(N(Debts!$E$9),Q30)</f>
        <v/>
      </c>
      <c r="S30" s="33">
        <f>IF(R30&lt;=0.005,0,R30-MIN(R30,MAX(0,$E30-SUMIFS(H30:AK30,$H$5:$AK$5,"Rem",$H$4:$AK$4,"&lt;"&amp;S$4))))</f>
        <v/>
      </c>
      <c r="T30" s="33">
        <f>V29*(1+N(Debts!$D$10)/1200)</f>
        <v/>
      </c>
      <c r="U30" s="33">
        <f>T30-MIN(N(Debts!$E$10),T30)</f>
        <v/>
      </c>
      <c r="V30" s="33">
        <f>IF(U30&lt;=0.005,0,U30-MIN(U30,MAX(0,$E30-SUMIFS(H30:AK30,$H$5:$AK$5,"Rem",$H$4:$AK$4,"&lt;"&amp;V$4))))</f>
        <v/>
      </c>
      <c r="W30" s="33">
        <f>Y29*(1+N(Debts!$D$11)/1200)</f>
        <v/>
      </c>
      <c r="X30" s="33">
        <f>W30-MIN(N(Debts!$E$11),W30)</f>
        <v/>
      </c>
      <c r="Y30" s="33">
        <f>IF(X30&lt;=0.005,0,X30-MIN(X30,MAX(0,$E30-SUMIFS(H30:AK30,$H$5:$AK$5,"Rem",$H$4:$AK$4,"&lt;"&amp;Y$4))))</f>
        <v/>
      </c>
      <c r="Z30" s="33">
        <f>AB29*(1+N(Debts!$D$12)/1200)</f>
        <v/>
      </c>
      <c r="AA30" s="33">
        <f>Z30-MIN(N(Debts!$E$12),Z30)</f>
        <v/>
      </c>
      <c r="AB30" s="33">
        <f>IF(AA30&lt;=0.005,0,AA30-MIN(AA30,MAX(0,$E30-SUMIFS(H30:AK30,$H$5:$AK$5,"Rem",$H$4:$AK$4,"&lt;"&amp;AB$4))))</f>
        <v/>
      </c>
      <c r="AC30" s="33">
        <f>AE29*(1+N(Debts!$D$13)/1200)</f>
        <v/>
      </c>
      <c r="AD30" s="33">
        <f>AC30-MIN(N(Debts!$E$13),AC30)</f>
        <v/>
      </c>
      <c r="AE30" s="33">
        <f>IF(AD30&lt;=0.005,0,AD30-MIN(AD30,MAX(0,$E30-SUMIFS(H30:AK30,$H$5:$AK$5,"Rem",$H$4:$AK$4,"&lt;"&amp;AE$4))))</f>
        <v/>
      </c>
      <c r="AF30" s="33">
        <f>AH29*(1+N(Debts!$D$14)/1200)</f>
        <v/>
      </c>
      <c r="AG30" s="33">
        <f>AF30-MIN(N(Debts!$E$14),AF30)</f>
        <v/>
      </c>
      <c r="AH30" s="33">
        <f>IF(AG30&lt;=0.005,0,AG30-MIN(AG30,MAX(0,$E30-SUMIFS(H30:AK30,$H$5:$AK$5,"Rem",$H$4:$AK$4,"&lt;"&amp;AH$4))))</f>
        <v/>
      </c>
      <c r="AI30" s="33">
        <f>AK29*(1+N(Debts!$D$15)/1200)</f>
        <v/>
      </c>
      <c r="AJ30" s="33">
        <f>AI30-MIN(N(Debts!$E$15),AI30)</f>
        <v/>
      </c>
      <c r="AK30" s="33">
        <f>IF(AJ30&lt;=0.005,0,AJ30-MIN(AJ30,MAX(0,$E30-SUMIFS(H30:AK30,$H$5:$AK$5,"Rem",$H$4:$AK$4,"&lt;"&amp;AK$4))))</f>
        <v/>
      </c>
      <c r="AL30" s="1" t="n"/>
    </row>
    <row r="31">
      <c r="A31" s="1" t="n"/>
      <c r="B31" s="1" t="n">
        <v>24</v>
      </c>
      <c r="C31" s="34">
        <f>EDATE(Debts!$J$13,B31-1)</f>
        <v/>
      </c>
      <c r="D31" s="33">
        <f>IF(G30&lt;=0.005,0,Debts!$E$16+Debts!$J$7)</f>
        <v/>
      </c>
      <c r="E31" s="33">
        <f>MAX(0,D31-(SUMIF($H$5:$AK$5,"Due",H31:AK31)-SUMIF($H$5:$AK$5,"Rem",H31:AK31)))</f>
        <v/>
      </c>
      <c r="F31" s="33">
        <f>SUMIF($H$5:$AK$5,"Due",H31:AK31)-SUMIF($H$5:$AK$5,"Bal",H30:AK30)</f>
        <v/>
      </c>
      <c r="G31" s="33">
        <f>SUMIF($H$5:$AK$5,"Bal",H31:AK31)</f>
        <v/>
      </c>
      <c r="H31" s="33">
        <f>J30*(1+N(Debts!$D$6)/1200)</f>
        <v/>
      </c>
      <c r="I31" s="33">
        <f>H31-MIN(N(Debts!$E$6),H31)</f>
        <v/>
      </c>
      <c r="J31" s="33">
        <f>IF(I31&lt;=0.005,0,I31-MIN(I31,MAX(0,$E31-SUMIFS(H31:AK31,$H$5:$AK$5,"Rem",$H$4:$AK$4,"&lt;"&amp;J$4))))</f>
        <v/>
      </c>
      <c r="K31" s="33">
        <f>M30*(1+N(Debts!$D$7)/1200)</f>
        <v/>
      </c>
      <c r="L31" s="33">
        <f>K31-MIN(N(Debts!$E$7),K31)</f>
        <v/>
      </c>
      <c r="M31" s="33">
        <f>IF(L31&lt;=0.005,0,L31-MIN(L31,MAX(0,$E31-SUMIFS(H31:AK31,$H$5:$AK$5,"Rem",$H$4:$AK$4,"&lt;"&amp;M$4))))</f>
        <v/>
      </c>
      <c r="N31" s="33">
        <f>P30*(1+N(Debts!$D$8)/1200)</f>
        <v/>
      </c>
      <c r="O31" s="33">
        <f>N31-MIN(N(Debts!$E$8),N31)</f>
        <v/>
      </c>
      <c r="P31" s="33">
        <f>IF(O31&lt;=0.005,0,O31-MIN(O31,MAX(0,$E31-SUMIFS(H31:AK31,$H$5:$AK$5,"Rem",$H$4:$AK$4,"&lt;"&amp;P$4))))</f>
        <v/>
      </c>
      <c r="Q31" s="33">
        <f>S30*(1+N(Debts!$D$9)/1200)</f>
        <v/>
      </c>
      <c r="R31" s="33">
        <f>Q31-MIN(N(Debts!$E$9),Q31)</f>
        <v/>
      </c>
      <c r="S31" s="33">
        <f>IF(R31&lt;=0.005,0,R31-MIN(R31,MAX(0,$E31-SUMIFS(H31:AK31,$H$5:$AK$5,"Rem",$H$4:$AK$4,"&lt;"&amp;S$4))))</f>
        <v/>
      </c>
      <c r="T31" s="33">
        <f>V30*(1+N(Debts!$D$10)/1200)</f>
        <v/>
      </c>
      <c r="U31" s="33">
        <f>T31-MIN(N(Debts!$E$10),T31)</f>
        <v/>
      </c>
      <c r="V31" s="33">
        <f>IF(U31&lt;=0.005,0,U31-MIN(U31,MAX(0,$E31-SUMIFS(H31:AK31,$H$5:$AK$5,"Rem",$H$4:$AK$4,"&lt;"&amp;V$4))))</f>
        <v/>
      </c>
      <c r="W31" s="33">
        <f>Y30*(1+N(Debts!$D$11)/1200)</f>
        <v/>
      </c>
      <c r="X31" s="33">
        <f>W31-MIN(N(Debts!$E$11),W31)</f>
        <v/>
      </c>
      <c r="Y31" s="33">
        <f>IF(X31&lt;=0.005,0,X31-MIN(X31,MAX(0,$E31-SUMIFS(H31:AK31,$H$5:$AK$5,"Rem",$H$4:$AK$4,"&lt;"&amp;Y$4))))</f>
        <v/>
      </c>
      <c r="Z31" s="33">
        <f>AB30*(1+N(Debts!$D$12)/1200)</f>
        <v/>
      </c>
      <c r="AA31" s="33">
        <f>Z31-MIN(N(Debts!$E$12),Z31)</f>
        <v/>
      </c>
      <c r="AB31" s="33">
        <f>IF(AA31&lt;=0.005,0,AA31-MIN(AA31,MAX(0,$E31-SUMIFS(H31:AK31,$H$5:$AK$5,"Rem",$H$4:$AK$4,"&lt;"&amp;AB$4))))</f>
        <v/>
      </c>
      <c r="AC31" s="33">
        <f>AE30*(1+N(Debts!$D$13)/1200)</f>
        <v/>
      </c>
      <c r="AD31" s="33">
        <f>AC31-MIN(N(Debts!$E$13),AC31)</f>
        <v/>
      </c>
      <c r="AE31" s="33">
        <f>IF(AD31&lt;=0.005,0,AD31-MIN(AD31,MAX(0,$E31-SUMIFS(H31:AK31,$H$5:$AK$5,"Rem",$H$4:$AK$4,"&lt;"&amp;AE$4))))</f>
        <v/>
      </c>
      <c r="AF31" s="33">
        <f>AH30*(1+N(Debts!$D$14)/1200)</f>
        <v/>
      </c>
      <c r="AG31" s="33">
        <f>AF31-MIN(N(Debts!$E$14),AF31)</f>
        <v/>
      </c>
      <c r="AH31" s="33">
        <f>IF(AG31&lt;=0.005,0,AG31-MIN(AG31,MAX(0,$E31-SUMIFS(H31:AK31,$H$5:$AK$5,"Rem",$H$4:$AK$4,"&lt;"&amp;AH$4))))</f>
        <v/>
      </c>
      <c r="AI31" s="33">
        <f>AK30*(1+N(Debts!$D$15)/1200)</f>
        <v/>
      </c>
      <c r="AJ31" s="33">
        <f>AI31-MIN(N(Debts!$E$15),AI31)</f>
        <v/>
      </c>
      <c r="AK31" s="33">
        <f>IF(AJ31&lt;=0.005,0,AJ31-MIN(AJ31,MAX(0,$E31-SUMIFS(H31:AK31,$H$5:$AK$5,"Rem",$H$4:$AK$4,"&lt;"&amp;AK$4))))</f>
        <v/>
      </c>
      <c r="AL31" s="1" t="n"/>
    </row>
    <row r="32">
      <c r="A32" s="1" t="n"/>
      <c r="B32" s="1" t="n">
        <v>25</v>
      </c>
      <c r="C32" s="34">
        <f>EDATE(Debts!$J$13,B32-1)</f>
        <v/>
      </c>
      <c r="D32" s="33">
        <f>IF(G31&lt;=0.005,0,Debts!$E$16+Debts!$J$7)</f>
        <v/>
      </c>
      <c r="E32" s="33">
        <f>MAX(0,D32-(SUMIF($H$5:$AK$5,"Due",H32:AK32)-SUMIF($H$5:$AK$5,"Rem",H32:AK32)))</f>
        <v/>
      </c>
      <c r="F32" s="33">
        <f>SUMIF($H$5:$AK$5,"Due",H32:AK32)-SUMIF($H$5:$AK$5,"Bal",H31:AK31)</f>
        <v/>
      </c>
      <c r="G32" s="33">
        <f>SUMIF($H$5:$AK$5,"Bal",H32:AK32)</f>
        <v/>
      </c>
      <c r="H32" s="33">
        <f>J31*(1+N(Debts!$D$6)/1200)</f>
        <v/>
      </c>
      <c r="I32" s="33">
        <f>H32-MIN(N(Debts!$E$6),H32)</f>
        <v/>
      </c>
      <c r="J32" s="33">
        <f>IF(I32&lt;=0.005,0,I32-MIN(I32,MAX(0,$E32-SUMIFS(H32:AK32,$H$5:$AK$5,"Rem",$H$4:$AK$4,"&lt;"&amp;J$4))))</f>
        <v/>
      </c>
      <c r="K32" s="33">
        <f>M31*(1+N(Debts!$D$7)/1200)</f>
        <v/>
      </c>
      <c r="L32" s="33">
        <f>K32-MIN(N(Debts!$E$7),K32)</f>
        <v/>
      </c>
      <c r="M32" s="33">
        <f>IF(L32&lt;=0.005,0,L32-MIN(L32,MAX(0,$E32-SUMIFS(H32:AK32,$H$5:$AK$5,"Rem",$H$4:$AK$4,"&lt;"&amp;M$4))))</f>
        <v/>
      </c>
      <c r="N32" s="33">
        <f>P31*(1+N(Debts!$D$8)/1200)</f>
        <v/>
      </c>
      <c r="O32" s="33">
        <f>N32-MIN(N(Debts!$E$8),N32)</f>
        <v/>
      </c>
      <c r="P32" s="33">
        <f>IF(O32&lt;=0.005,0,O32-MIN(O32,MAX(0,$E32-SUMIFS(H32:AK32,$H$5:$AK$5,"Rem",$H$4:$AK$4,"&lt;"&amp;P$4))))</f>
        <v/>
      </c>
      <c r="Q32" s="33">
        <f>S31*(1+N(Debts!$D$9)/1200)</f>
        <v/>
      </c>
      <c r="R32" s="33">
        <f>Q32-MIN(N(Debts!$E$9),Q32)</f>
        <v/>
      </c>
      <c r="S32" s="33">
        <f>IF(R32&lt;=0.005,0,R32-MIN(R32,MAX(0,$E32-SUMIFS(H32:AK32,$H$5:$AK$5,"Rem",$H$4:$AK$4,"&lt;"&amp;S$4))))</f>
        <v/>
      </c>
      <c r="T32" s="33">
        <f>V31*(1+N(Debts!$D$10)/1200)</f>
        <v/>
      </c>
      <c r="U32" s="33">
        <f>T32-MIN(N(Debts!$E$10),T32)</f>
        <v/>
      </c>
      <c r="V32" s="33">
        <f>IF(U32&lt;=0.005,0,U32-MIN(U32,MAX(0,$E32-SUMIFS(H32:AK32,$H$5:$AK$5,"Rem",$H$4:$AK$4,"&lt;"&amp;V$4))))</f>
        <v/>
      </c>
      <c r="W32" s="33">
        <f>Y31*(1+N(Debts!$D$11)/1200)</f>
        <v/>
      </c>
      <c r="X32" s="33">
        <f>W32-MIN(N(Debts!$E$11),W32)</f>
        <v/>
      </c>
      <c r="Y32" s="33">
        <f>IF(X32&lt;=0.005,0,X32-MIN(X32,MAX(0,$E32-SUMIFS(H32:AK32,$H$5:$AK$5,"Rem",$H$4:$AK$4,"&lt;"&amp;Y$4))))</f>
        <v/>
      </c>
      <c r="Z32" s="33">
        <f>AB31*(1+N(Debts!$D$12)/1200)</f>
        <v/>
      </c>
      <c r="AA32" s="33">
        <f>Z32-MIN(N(Debts!$E$12),Z32)</f>
        <v/>
      </c>
      <c r="AB32" s="33">
        <f>IF(AA32&lt;=0.005,0,AA32-MIN(AA32,MAX(0,$E32-SUMIFS(H32:AK32,$H$5:$AK$5,"Rem",$H$4:$AK$4,"&lt;"&amp;AB$4))))</f>
        <v/>
      </c>
      <c r="AC32" s="33">
        <f>AE31*(1+N(Debts!$D$13)/1200)</f>
        <v/>
      </c>
      <c r="AD32" s="33">
        <f>AC32-MIN(N(Debts!$E$13),AC32)</f>
        <v/>
      </c>
      <c r="AE32" s="33">
        <f>IF(AD32&lt;=0.005,0,AD32-MIN(AD32,MAX(0,$E32-SUMIFS(H32:AK32,$H$5:$AK$5,"Rem",$H$4:$AK$4,"&lt;"&amp;AE$4))))</f>
        <v/>
      </c>
      <c r="AF32" s="33">
        <f>AH31*(1+N(Debts!$D$14)/1200)</f>
        <v/>
      </c>
      <c r="AG32" s="33">
        <f>AF32-MIN(N(Debts!$E$14),AF32)</f>
        <v/>
      </c>
      <c r="AH32" s="33">
        <f>IF(AG32&lt;=0.005,0,AG32-MIN(AG32,MAX(0,$E32-SUMIFS(H32:AK32,$H$5:$AK$5,"Rem",$H$4:$AK$4,"&lt;"&amp;AH$4))))</f>
        <v/>
      </c>
      <c r="AI32" s="33">
        <f>AK31*(1+N(Debts!$D$15)/1200)</f>
        <v/>
      </c>
      <c r="AJ32" s="33">
        <f>AI32-MIN(N(Debts!$E$15),AI32)</f>
        <v/>
      </c>
      <c r="AK32" s="33">
        <f>IF(AJ32&lt;=0.005,0,AJ32-MIN(AJ32,MAX(0,$E32-SUMIFS(H32:AK32,$H$5:$AK$5,"Rem",$H$4:$AK$4,"&lt;"&amp;AK$4))))</f>
        <v/>
      </c>
      <c r="AL32" s="1" t="n"/>
    </row>
    <row r="33">
      <c r="A33" s="1" t="n"/>
      <c r="B33" s="1" t="n">
        <v>26</v>
      </c>
      <c r="C33" s="34">
        <f>EDATE(Debts!$J$13,B33-1)</f>
        <v/>
      </c>
      <c r="D33" s="33">
        <f>IF(G32&lt;=0.005,0,Debts!$E$16+Debts!$J$7)</f>
        <v/>
      </c>
      <c r="E33" s="33">
        <f>MAX(0,D33-(SUMIF($H$5:$AK$5,"Due",H33:AK33)-SUMIF($H$5:$AK$5,"Rem",H33:AK33)))</f>
        <v/>
      </c>
      <c r="F33" s="33">
        <f>SUMIF($H$5:$AK$5,"Due",H33:AK33)-SUMIF($H$5:$AK$5,"Bal",H32:AK32)</f>
        <v/>
      </c>
      <c r="G33" s="33">
        <f>SUMIF($H$5:$AK$5,"Bal",H33:AK33)</f>
        <v/>
      </c>
      <c r="H33" s="33">
        <f>J32*(1+N(Debts!$D$6)/1200)</f>
        <v/>
      </c>
      <c r="I33" s="33">
        <f>H33-MIN(N(Debts!$E$6),H33)</f>
        <v/>
      </c>
      <c r="J33" s="33">
        <f>IF(I33&lt;=0.005,0,I33-MIN(I33,MAX(0,$E33-SUMIFS(H33:AK33,$H$5:$AK$5,"Rem",$H$4:$AK$4,"&lt;"&amp;J$4))))</f>
        <v/>
      </c>
      <c r="K33" s="33">
        <f>M32*(1+N(Debts!$D$7)/1200)</f>
        <v/>
      </c>
      <c r="L33" s="33">
        <f>K33-MIN(N(Debts!$E$7),K33)</f>
        <v/>
      </c>
      <c r="M33" s="33">
        <f>IF(L33&lt;=0.005,0,L33-MIN(L33,MAX(0,$E33-SUMIFS(H33:AK33,$H$5:$AK$5,"Rem",$H$4:$AK$4,"&lt;"&amp;M$4))))</f>
        <v/>
      </c>
      <c r="N33" s="33">
        <f>P32*(1+N(Debts!$D$8)/1200)</f>
        <v/>
      </c>
      <c r="O33" s="33">
        <f>N33-MIN(N(Debts!$E$8),N33)</f>
        <v/>
      </c>
      <c r="P33" s="33">
        <f>IF(O33&lt;=0.005,0,O33-MIN(O33,MAX(0,$E33-SUMIFS(H33:AK33,$H$5:$AK$5,"Rem",$H$4:$AK$4,"&lt;"&amp;P$4))))</f>
        <v/>
      </c>
      <c r="Q33" s="33">
        <f>S32*(1+N(Debts!$D$9)/1200)</f>
        <v/>
      </c>
      <c r="R33" s="33">
        <f>Q33-MIN(N(Debts!$E$9),Q33)</f>
        <v/>
      </c>
      <c r="S33" s="33">
        <f>IF(R33&lt;=0.005,0,R33-MIN(R33,MAX(0,$E33-SUMIFS(H33:AK33,$H$5:$AK$5,"Rem",$H$4:$AK$4,"&lt;"&amp;S$4))))</f>
        <v/>
      </c>
      <c r="T33" s="33">
        <f>V32*(1+N(Debts!$D$10)/1200)</f>
        <v/>
      </c>
      <c r="U33" s="33">
        <f>T33-MIN(N(Debts!$E$10),T33)</f>
        <v/>
      </c>
      <c r="V33" s="33">
        <f>IF(U33&lt;=0.005,0,U33-MIN(U33,MAX(0,$E33-SUMIFS(H33:AK33,$H$5:$AK$5,"Rem",$H$4:$AK$4,"&lt;"&amp;V$4))))</f>
        <v/>
      </c>
      <c r="W33" s="33">
        <f>Y32*(1+N(Debts!$D$11)/1200)</f>
        <v/>
      </c>
      <c r="X33" s="33">
        <f>W33-MIN(N(Debts!$E$11),W33)</f>
        <v/>
      </c>
      <c r="Y33" s="33">
        <f>IF(X33&lt;=0.005,0,X33-MIN(X33,MAX(0,$E33-SUMIFS(H33:AK33,$H$5:$AK$5,"Rem",$H$4:$AK$4,"&lt;"&amp;Y$4))))</f>
        <v/>
      </c>
      <c r="Z33" s="33">
        <f>AB32*(1+N(Debts!$D$12)/1200)</f>
        <v/>
      </c>
      <c r="AA33" s="33">
        <f>Z33-MIN(N(Debts!$E$12),Z33)</f>
        <v/>
      </c>
      <c r="AB33" s="33">
        <f>IF(AA33&lt;=0.005,0,AA33-MIN(AA33,MAX(0,$E33-SUMIFS(H33:AK33,$H$5:$AK$5,"Rem",$H$4:$AK$4,"&lt;"&amp;AB$4))))</f>
        <v/>
      </c>
      <c r="AC33" s="33">
        <f>AE32*(1+N(Debts!$D$13)/1200)</f>
        <v/>
      </c>
      <c r="AD33" s="33">
        <f>AC33-MIN(N(Debts!$E$13),AC33)</f>
        <v/>
      </c>
      <c r="AE33" s="33">
        <f>IF(AD33&lt;=0.005,0,AD33-MIN(AD33,MAX(0,$E33-SUMIFS(H33:AK33,$H$5:$AK$5,"Rem",$H$4:$AK$4,"&lt;"&amp;AE$4))))</f>
        <v/>
      </c>
      <c r="AF33" s="33">
        <f>AH32*(1+N(Debts!$D$14)/1200)</f>
        <v/>
      </c>
      <c r="AG33" s="33">
        <f>AF33-MIN(N(Debts!$E$14),AF33)</f>
        <v/>
      </c>
      <c r="AH33" s="33">
        <f>IF(AG33&lt;=0.005,0,AG33-MIN(AG33,MAX(0,$E33-SUMIFS(H33:AK33,$H$5:$AK$5,"Rem",$H$4:$AK$4,"&lt;"&amp;AH$4))))</f>
        <v/>
      </c>
      <c r="AI33" s="33">
        <f>AK32*(1+N(Debts!$D$15)/1200)</f>
        <v/>
      </c>
      <c r="AJ33" s="33">
        <f>AI33-MIN(N(Debts!$E$15),AI33)</f>
        <v/>
      </c>
      <c r="AK33" s="33">
        <f>IF(AJ33&lt;=0.005,0,AJ33-MIN(AJ33,MAX(0,$E33-SUMIFS(H33:AK33,$H$5:$AK$5,"Rem",$H$4:$AK$4,"&lt;"&amp;AK$4))))</f>
        <v/>
      </c>
      <c r="AL33" s="1" t="n"/>
    </row>
    <row r="34">
      <c r="A34" s="1" t="n"/>
      <c r="B34" s="1" t="n">
        <v>27</v>
      </c>
      <c r="C34" s="34">
        <f>EDATE(Debts!$J$13,B34-1)</f>
        <v/>
      </c>
      <c r="D34" s="33">
        <f>IF(G33&lt;=0.005,0,Debts!$E$16+Debts!$J$7)</f>
        <v/>
      </c>
      <c r="E34" s="33">
        <f>MAX(0,D34-(SUMIF($H$5:$AK$5,"Due",H34:AK34)-SUMIF($H$5:$AK$5,"Rem",H34:AK34)))</f>
        <v/>
      </c>
      <c r="F34" s="33">
        <f>SUMIF($H$5:$AK$5,"Due",H34:AK34)-SUMIF($H$5:$AK$5,"Bal",H33:AK33)</f>
        <v/>
      </c>
      <c r="G34" s="33">
        <f>SUMIF($H$5:$AK$5,"Bal",H34:AK34)</f>
        <v/>
      </c>
      <c r="H34" s="33">
        <f>J33*(1+N(Debts!$D$6)/1200)</f>
        <v/>
      </c>
      <c r="I34" s="33">
        <f>H34-MIN(N(Debts!$E$6),H34)</f>
        <v/>
      </c>
      <c r="J34" s="33">
        <f>IF(I34&lt;=0.005,0,I34-MIN(I34,MAX(0,$E34-SUMIFS(H34:AK34,$H$5:$AK$5,"Rem",$H$4:$AK$4,"&lt;"&amp;J$4))))</f>
        <v/>
      </c>
      <c r="K34" s="33">
        <f>M33*(1+N(Debts!$D$7)/1200)</f>
        <v/>
      </c>
      <c r="L34" s="33">
        <f>K34-MIN(N(Debts!$E$7),K34)</f>
        <v/>
      </c>
      <c r="M34" s="33">
        <f>IF(L34&lt;=0.005,0,L34-MIN(L34,MAX(0,$E34-SUMIFS(H34:AK34,$H$5:$AK$5,"Rem",$H$4:$AK$4,"&lt;"&amp;M$4))))</f>
        <v/>
      </c>
      <c r="N34" s="33">
        <f>P33*(1+N(Debts!$D$8)/1200)</f>
        <v/>
      </c>
      <c r="O34" s="33">
        <f>N34-MIN(N(Debts!$E$8),N34)</f>
        <v/>
      </c>
      <c r="P34" s="33">
        <f>IF(O34&lt;=0.005,0,O34-MIN(O34,MAX(0,$E34-SUMIFS(H34:AK34,$H$5:$AK$5,"Rem",$H$4:$AK$4,"&lt;"&amp;P$4))))</f>
        <v/>
      </c>
      <c r="Q34" s="33">
        <f>S33*(1+N(Debts!$D$9)/1200)</f>
        <v/>
      </c>
      <c r="R34" s="33">
        <f>Q34-MIN(N(Debts!$E$9),Q34)</f>
        <v/>
      </c>
      <c r="S34" s="33">
        <f>IF(R34&lt;=0.005,0,R34-MIN(R34,MAX(0,$E34-SUMIFS(H34:AK34,$H$5:$AK$5,"Rem",$H$4:$AK$4,"&lt;"&amp;S$4))))</f>
        <v/>
      </c>
      <c r="T34" s="33">
        <f>V33*(1+N(Debts!$D$10)/1200)</f>
        <v/>
      </c>
      <c r="U34" s="33">
        <f>T34-MIN(N(Debts!$E$10),T34)</f>
        <v/>
      </c>
      <c r="V34" s="33">
        <f>IF(U34&lt;=0.005,0,U34-MIN(U34,MAX(0,$E34-SUMIFS(H34:AK34,$H$5:$AK$5,"Rem",$H$4:$AK$4,"&lt;"&amp;V$4))))</f>
        <v/>
      </c>
      <c r="W34" s="33">
        <f>Y33*(1+N(Debts!$D$11)/1200)</f>
        <v/>
      </c>
      <c r="X34" s="33">
        <f>W34-MIN(N(Debts!$E$11),W34)</f>
        <v/>
      </c>
      <c r="Y34" s="33">
        <f>IF(X34&lt;=0.005,0,X34-MIN(X34,MAX(0,$E34-SUMIFS(H34:AK34,$H$5:$AK$5,"Rem",$H$4:$AK$4,"&lt;"&amp;Y$4))))</f>
        <v/>
      </c>
      <c r="Z34" s="33">
        <f>AB33*(1+N(Debts!$D$12)/1200)</f>
        <v/>
      </c>
      <c r="AA34" s="33">
        <f>Z34-MIN(N(Debts!$E$12),Z34)</f>
        <v/>
      </c>
      <c r="AB34" s="33">
        <f>IF(AA34&lt;=0.005,0,AA34-MIN(AA34,MAX(0,$E34-SUMIFS(H34:AK34,$H$5:$AK$5,"Rem",$H$4:$AK$4,"&lt;"&amp;AB$4))))</f>
        <v/>
      </c>
      <c r="AC34" s="33">
        <f>AE33*(1+N(Debts!$D$13)/1200)</f>
        <v/>
      </c>
      <c r="AD34" s="33">
        <f>AC34-MIN(N(Debts!$E$13),AC34)</f>
        <v/>
      </c>
      <c r="AE34" s="33">
        <f>IF(AD34&lt;=0.005,0,AD34-MIN(AD34,MAX(0,$E34-SUMIFS(H34:AK34,$H$5:$AK$5,"Rem",$H$4:$AK$4,"&lt;"&amp;AE$4))))</f>
        <v/>
      </c>
      <c r="AF34" s="33">
        <f>AH33*(1+N(Debts!$D$14)/1200)</f>
        <v/>
      </c>
      <c r="AG34" s="33">
        <f>AF34-MIN(N(Debts!$E$14),AF34)</f>
        <v/>
      </c>
      <c r="AH34" s="33">
        <f>IF(AG34&lt;=0.005,0,AG34-MIN(AG34,MAX(0,$E34-SUMIFS(H34:AK34,$H$5:$AK$5,"Rem",$H$4:$AK$4,"&lt;"&amp;AH$4))))</f>
        <v/>
      </c>
      <c r="AI34" s="33">
        <f>AK33*(1+N(Debts!$D$15)/1200)</f>
        <v/>
      </c>
      <c r="AJ34" s="33">
        <f>AI34-MIN(N(Debts!$E$15),AI34)</f>
        <v/>
      </c>
      <c r="AK34" s="33">
        <f>IF(AJ34&lt;=0.005,0,AJ34-MIN(AJ34,MAX(0,$E34-SUMIFS(H34:AK34,$H$5:$AK$5,"Rem",$H$4:$AK$4,"&lt;"&amp;AK$4))))</f>
        <v/>
      </c>
      <c r="AL34" s="1" t="n"/>
    </row>
    <row r="35">
      <c r="A35" s="1" t="n"/>
      <c r="B35" s="1" t="n">
        <v>28</v>
      </c>
      <c r="C35" s="34">
        <f>EDATE(Debts!$J$13,B35-1)</f>
        <v/>
      </c>
      <c r="D35" s="33">
        <f>IF(G34&lt;=0.005,0,Debts!$E$16+Debts!$J$7)</f>
        <v/>
      </c>
      <c r="E35" s="33">
        <f>MAX(0,D35-(SUMIF($H$5:$AK$5,"Due",H35:AK35)-SUMIF($H$5:$AK$5,"Rem",H35:AK35)))</f>
        <v/>
      </c>
      <c r="F35" s="33">
        <f>SUMIF($H$5:$AK$5,"Due",H35:AK35)-SUMIF($H$5:$AK$5,"Bal",H34:AK34)</f>
        <v/>
      </c>
      <c r="G35" s="33">
        <f>SUMIF($H$5:$AK$5,"Bal",H35:AK35)</f>
        <v/>
      </c>
      <c r="H35" s="33">
        <f>J34*(1+N(Debts!$D$6)/1200)</f>
        <v/>
      </c>
      <c r="I35" s="33">
        <f>H35-MIN(N(Debts!$E$6),H35)</f>
        <v/>
      </c>
      <c r="J35" s="33">
        <f>IF(I35&lt;=0.005,0,I35-MIN(I35,MAX(0,$E35-SUMIFS(H35:AK35,$H$5:$AK$5,"Rem",$H$4:$AK$4,"&lt;"&amp;J$4))))</f>
        <v/>
      </c>
      <c r="K35" s="33">
        <f>M34*(1+N(Debts!$D$7)/1200)</f>
        <v/>
      </c>
      <c r="L35" s="33">
        <f>K35-MIN(N(Debts!$E$7),K35)</f>
        <v/>
      </c>
      <c r="M35" s="33">
        <f>IF(L35&lt;=0.005,0,L35-MIN(L35,MAX(0,$E35-SUMIFS(H35:AK35,$H$5:$AK$5,"Rem",$H$4:$AK$4,"&lt;"&amp;M$4))))</f>
        <v/>
      </c>
      <c r="N35" s="33">
        <f>P34*(1+N(Debts!$D$8)/1200)</f>
        <v/>
      </c>
      <c r="O35" s="33">
        <f>N35-MIN(N(Debts!$E$8),N35)</f>
        <v/>
      </c>
      <c r="P35" s="33">
        <f>IF(O35&lt;=0.005,0,O35-MIN(O35,MAX(0,$E35-SUMIFS(H35:AK35,$H$5:$AK$5,"Rem",$H$4:$AK$4,"&lt;"&amp;P$4))))</f>
        <v/>
      </c>
      <c r="Q35" s="33">
        <f>S34*(1+N(Debts!$D$9)/1200)</f>
        <v/>
      </c>
      <c r="R35" s="33">
        <f>Q35-MIN(N(Debts!$E$9),Q35)</f>
        <v/>
      </c>
      <c r="S35" s="33">
        <f>IF(R35&lt;=0.005,0,R35-MIN(R35,MAX(0,$E35-SUMIFS(H35:AK35,$H$5:$AK$5,"Rem",$H$4:$AK$4,"&lt;"&amp;S$4))))</f>
        <v/>
      </c>
      <c r="T35" s="33">
        <f>V34*(1+N(Debts!$D$10)/1200)</f>
        <v/>
      </c>
      <c r="U35" s="33">
        <f>T35-MIN(N(Debts!$E$10),T35)</f>
        <v/>
      </c>
      <c r="V35" s="33">
        <f>IF(U35&lt;=0.005,0,U35-MIN(U35,MAX(0,$E35-SUMIFS(H35:AK35,$H$5:$AK$5,"Rem",$H$4:$AK$4,"&lt;"&amp;V$4))))</f>
        <v/>
      </c>
      <c r="W35" s="33">
        <f>Y34*(1+N(Debts!$D$11)/1200)</f>
        <v/>
      </c>
      <c r="X35" s="33">
        <f>W35-MIN(N(Debts!$E$11),W35)</f>
        <v/>
      </c>
      <c r="Y35" s="33">
        <f>IF(X35&lt;=0.005,0,X35-MIN(X35,MAX(0,$E35-SUMIFS(H35:AK35,$H$5:$AK$5,"Rem",$H$4:$AK$4,"&lt;"&amp;Y$4))))</f>
        <v/>
      </c>
      <c r="Z35" s="33">
        <f>AB34*(1+N(Debts!$D$12)/1200)</f>
        <v/>
      </c>
      <c r="AA35" s="33">
        <f>Z35-MIN(N(Debts!$E$12),Z35)</f>
        <v/>
      </c>
      <c r="AB35" s="33">
        <f>IF(AA35&lt;=0.005,0,AA35-MIN(AA35,MAX(0,$E35-SUMIFS(H35:AK35,$H$5:$AK$5,"Rem",$H$4:$AK$4,"&lt;"&amp;AB$4))))</f>
        <v/>
      </c>
      <c r="AC35" s="33">
        <f>AE34*(1+N(Debts!$D$13)/1200)</f>
        <v/>
      </c>
      <c r="AD35" s="33">
        <f>AC35-MIN(N(Debts!$E$13),AC35)</f>
        <v/>
      </c>
      <c r="AE35" s="33">
        <f>IF(AD35&lt;=0.005,0,AD35-MIN(AD35,MAX(0,$E35-SUMIFS(H35:AK35,$H$5:$AK$5,"Rem",$H$4:$AK$4,"&lt;"&amp;AE$4))))</f>
        <v/>
      </c>
      <c r="AF35" s="33">
        <f>AH34*(1+N(Debts!$D$14)/1200)</f>
        <v/>
      </c>
      <c r="AG35" s="33">
        <f>AF35-MIN(N(Debts!$E$14),AF35)</f>
        <v/>
      </c>
      <c r="AH35" s="33">
        <f>IF(AG35&lt;=0.005,0,AG35-MIN(AG35,MAX(0,$E35-SUMIFS(H35:AK35,$H$5:$AK$5,"Rem",$H$4:$AK$4,"&lt;"&amp;AH$4))))</f>
        <v/>
      </c>
      <c r="AI35" s="33">
        <f>AK34*(1+N(Debts!$D$15)/1200)</f>
        <v/>
      </c>
      <c r="AJ35" s="33">
        <f>AI35-MIN(N(Debts!$E$15),AI35)</f>
        <v/>
      </c>
      <c r="AK35" s="33">
        <f>IF(AJ35&lt;=0.005,0,AJ35-MIN(AJ35,MAX(0,$E35-SUMIFS(H35:AK35,$H$5:$AK$5,"Rem",$H$4:$AK$4,"&lt;"&amp;AK$4))))</f>
        <v/>
      </c>
      <c r="AL35" s="1" t="n"/>
    </row>
    <row r="36">
      <c r="A36" s="1" t="n"/>
      <c r="B36" s="1" t="n">
        <v>29</v>
      </c>
      <c r="C36" s="34">
        <f>EDATE(Debts!$J$13,B36-1)</f>
        <v/>
      </c>
      <c r="D36" s="33">
        <f>IF(G35&lt;=0.005,0,Debts!$E$16+Debts!$J$7)</f>
        <v/>
      </c>
      <c r="E36" s="33">
        <f>MAX(0,D36-(SUMIF($H$5:$AK$5,"Due",H36:AK36)-SUMIF($H$5:$AK$5,"Rem",H36:AK36)))</f>
        <v/>
      </c>
      <c r="F36" s="33">
        <f>SUMIF($H$5:$AK$5,"Due",H36:AK36)-SUMIF($H$5:$AK$5,"Bal",H35:AK35)</f>
        <v/>
      </c>
      <c r="G36" s="33">
        <f>SUMIF($H$5:$AK$5,"Bal",H36:AK36)</f>
        <v/>
      </c>
      <c r="H36" s="33">
        <f>J35*(1+N(Debts!$D$6)/1200)</f>
        <v/>
      </c>
      <c r="I36" s="33">
        <f>H36-MIN(N(Debts!$E$6),H36)</f>
        <v/>
      </c>
      <c r="J36" s="33">
        <f>IF(I36&lt;=0.005,0,I36-MIN(I36,MAX(0,$E36-SUMIFS(H36:AK36,$H$5:$AK$5,"Rem",$H$4:$AK$4,"&lt;"&amp;J$4))))</f>
        <v/>
      </c>
      <c r="K36" s="33">
        <f>M35*(1+N(Debts!$D$7)/1200)</f>
        <v/>
      </c>
      <c r="L36" s="33">
        <f>K36-MIN(N(Debts!$E$7),K36)</f>
        <v/>
      </c>
      <c r="M36" s="33">
        <f>IF(L36&lt;=0.005,0,L36-MIN(L36,MAX(0,$E36-SUMIFS(H36:AK36,$H$5:$AK$5,"Rem",$H$4:$AK$4,"&lt;"&amp;M$4))))</f>
        <v/>
      </c>
      <c r="N36" s="33">
        <f>P35*(1+N(Debts!$D$8)/1200)</f>
        <v/>
      </c>
      <c r="O36" s="33">
        <f>N36-MIN(N(Debts!$E$8),N36)</f>
        <v/>
      </c>
      <c r="P36" s="33">
        <f>IF(O36&lt;=0.005,0,O36-MIN(O36,MAX(0,$E36-SUMIFS(H36:AK36,$H$5:$AK$5,"Rem",$H$4:$AK$4,"&lt;"&amp;P$4))))</f>
        <v/>
      </c>
      <c r="Q36" s="33">
        <f>S35*(1+N(Debts!$D$9)/1200)</f>
        <v/>
      </c>
      <c r="R36" s="33">
        <f>Q36-MIN(N(Debts!$E$9),Q36)</f>
        <v/>
      </c>
      <c r="S36" s="33">
        <f>IF(R36&lt;=0.005,0,R36-MIN(R36,MAX(0,$E36-SUMIFS(H36:AK36,$H$5:$AK$5,"Rem",$H$4:$AK$4,"&lt;"&amp;S$4))))</f>
        <v/>
      </c>
      <c r="T36" s="33">
        <f>V35*(1+N(Debts!$D$10)/1200)</f>
        <v/>
      </c>
      <c r="U36" s="33">
        <f>T36-MIN(N(Debts!$E$10),T36)</f>
        <v/>
      </c>
      <c r="V36" s="33">
        <f>IF(U36&lt;=0.005,0,U36-MIN(U36,MAX(0,$E36-SUMIFS(H36:AK36,$H$5:$AK$5,"Rem",$H$4:$AK$4,"&lt;"&amp;V$4))))</f>
        <v/>
      </c>
      <c r="W36" s="33">
        <f>Y35*(1+N(Debts!$D$11)/1200)</f>
        <v/>
      </c>
      <c r="X36" s="33">
        <f>W36-MIN(N(Debts!$E$11),W36)</f>
        <v/>
      </c>
      <c r="Y36" s="33">
        <f>IF(X36&lt;=0.005,0,X36-MIN(X36,MAX(0,$E36-SUMIFS(H36:AK36,$H$5:$AK$5,"Rem",$H$4:$AK$4,"&lt;"&amp;Y$4))))</f>
        <v/>
      </c>
      <c r="Z36" s="33">
        <f>AB35*(1+N(Debts!$D$12)/1200)</f>
        <v/>
      </c>
      <c r="AA36" s="33">
        <f>Z36-MIN(N(Debts!$E$12),Z36)</f>
        <v/>
      </c>
      <c r="AB36" s="33">
        <f>IF(AA36&lt;=0.005,0,AA36-MIN(AA36,MAX(0,$E36-SUMIFS(H36:AK36,$H$5:$AK$5,"Rem",$H$4:$AK$4,"&lt;"&amp;AB$4))))</f>
        <v/>
      </c>
      <c r="AC36" s="33">
        <f>AE35*(1+N(Debts!$D$13)/1200)</f>
        <v/>
      </c>
      <c r="AD36" s="33">
        <f>AC36-MIN(N(Debts!$E$13),AC36)</f>
        <v/>
      </c>
      <c r="AE36" s="33">
        <f>IF(AD36&lt;=0.005,0,AD36-MIN(AD36,MAX(0,$E36-SUMIFS(H36:AK36,$H$5:$AK$5,"Rem",$H$4:$AK$4,"&lt;"&amp;AE$4))))</f>
        <v/>
      </c>
      <c r="AF36" s="33">
        <f>AH35*(1+N(Debts!$D$14)/1200)</f>
        <v/>
      </c>
      <c r="AG36" s="33">
        <f>AF36-MIN(N(Debts!$E$14),AF36)</f>
        <v/>
      </c>
      <c r="AH36" s="33">
        <f>IF(AG36&lt;=0.005,0,AG36-MIN(AG36,MAX(0,$E36-SUMIFS(H36:AK36,$H$5:$AK$5,"Rem",$H$4:$AK$4,"&lt;"&amp;AH$4))))</f>
        <v/>
      </c>
      <c r="AI36" s="33">
        <f>AK35*(1+N(Debts!$D$15)/1200)</f>
        <v/>
      </c>
      <c r="AJ36" s="33">
        <f>AI36-MIN(N(Debts!$E$15),AI36)</f>
        <v/>
      </c>
      <c r="AK36" s="33">
        <f>IF(AJ36&lt;=0.005,0,AJ36-MIN(AJ36,MAX(0,$E36-SUMIFS(H36:AK36,$H$5:$AK$5,"Rem",$H$4:$AK$4,"&lt;"&amp;AK$4))))</f>
        <v/>
      </c>
      <c r="AL36" s="1" t="n"/>
    </row>
    <row r="37">
      <c r="A37" s="1" t="n"/>
      <c r="B37" s="1" t="n">
        <v>30</v>
      </c>
      <c r="C37" s="34">
        <f>EDATE(Debts!$J$13,B37-1)</f>
        <v/>
      </c>
      <c r="D37" s="33">
        <f>IF(G36&lt;=0.005,0,Debts!$E$16+Debts!$J$7)</f>
        <v/>
      </c>
      <c r="E37" s="33">
        <f>MAX(0,D37-(SUMIF($H$5:$AK$5,"Due",H37:AK37)-SUMIF($H$5:$AK$5,"Rem",H37:AK37)))</f>
        <v/>
      </c>
      <c r="F37" s="33">
        <f>SUMIF($H$5:$AK$5,"Due",H37:AK37)-SUMIF($H$5:$AK$5,"Bal",H36:AK36)</f>
        <v/>
      </c>
      <c r="G37" s="33">
        <f>SUMIF($H$5:$AK$5,"Bal",H37:AK37)</f>
        <v/>
      </c>
      <c r="H37" s="33">
        <f>J36*(1+N(Debts!$D$6)/1200)</f>
        <v/>
      </c>
      <c r="I37" s="33">
        <f>H37-MIN(N(Debts!$E$6),H37)</f>
        <v/>
      </c>
      <c r="J37" s="33">
        <f>IF(I37&lt;=0.005,0,I37-MIN(I37,MAX(0,$E37-SUMIFS(H37:AK37,$H$5:$AK$5,"Rem",$H$4:$AK$4,"&lt;"&amp;J$4))))</f>
        <v/>
      </c>
      <c r="K37" s="33">
        <f>M36*(1+N(Debts!$D$7)/1200)</f>
        <v/>
      </c>
      <c r="L37" s="33">
        <f>K37-MIN(N(Debts!$E$7),K37)</f>
        <v/>
      </c>
      <c r="M37" s="33">
        <f>IF(L37&lt;=0.005,0,L37-MIN(L37,MAX(0,$E37-SUMIFS(H37:AK37,$H$5:$AK$5,"Rem",$H$4:$AK$4,"&lt;"&amp;M$4))))</f>
        <v/>
      </c>
      <c r="N37" s="33">
        <f>P36*(1+N(Debts!$D$8)/1200)</f>
        <v/>
      </c>
      <c r="O37" s="33">
        <f>N37-MIN(N(Debts!$E$8),N37)</f>
        <v/>
      </c>
      <c r="P37" s="33">
        <f>IF(O37&lt;=0.005,0,O37-MIN(O37,MAX(0,$E37-SUMIFS(H37:AK37,$H$5:$AK$5,"Rem",$H$4:$AK$4,"&lt;"&amp;P$4))))</f>
        <v/>
      </c>
      <c r="Q37" s="33">
        <f>S36*(1+N(Debts!$D$9)/1200)</f>
        <v/>
      </c>
      <c r="R37" s="33">
        <f>Q37-MIN(N(Debts!$E$9),Q37)</f>
        <v/>
      </c>
      <c r="S37" s="33">
        <f>IF(R37&lt;=0.005,0,R37-MIN(R37,MAX(0,$E37-SUMIFS(H37:AK37,$H$5:$AK$5,"Rem",$H$4:$AK$4,"&lt;"&amp;S$4))))</f>
        <v/>
      </c>
      <c r="T37" s="33">
        <f>V36*(1+N(Debts!$D$10)/1200)</f>
        <v/>
      </c>
      <c r="U37" s="33">
        <f>T37-MIN(N(Debts!$E$10),T37)</f>
        <v/>
      </c>
      <c r="V37" s="33">
        <f>IF(U37&lt;=0.005,0,U37-MIN(U37,MAX(0,$E37-SUMIFS(H37:AK37,$H$5:$AK$5,"Rem",$H$4:$AK$4,"&lt;"&amp;V$4))))</f>
        <v/>
      </c>
      <c r="W37" s="33">
        <f>Y36*(1+N(Debts!$D$11)/1200)</f>
        <v/>
      </c>
      <c r="X37" s="33">
        <f>W37-MIN(N(Debts!$E$11),W37)</f>
        <v/>
      </c>
      <c r="Y37" s="33">
        <f>IF(X37&lt;=0.005,0,X37-MIN(X37,MAX(0,$E37-SUMIFS(H37:AK37,$H$5:$AK$5,"Rem",$H$4:$AK$4,"&lt;"&amp;Y$4))))</f>
        <v/>
      </c>
      <c r="Z37" s="33">
        <f>AB36*(1+N(Debts!$D$12)/1200)</f>
        <v/>
      </c>
      <c r="AA37" s="33">
        <f>Z37-MIN(N(Debts!$E$12),Z37)</f>
        <v/>
      </c>
      <c r="AB37" s="33">
        <f>IF(AA37&lt;=0.005,0,AA37-MIN(AA37,MAX(0,$E37-SUMIFS(H37:AK37,$H$5:$AK$5,"Rem",$H$4:$AK$4,"&lt;"&amp;AB$4))))</f>
        <v/>
      </c>
      <c r="AC37" s="33">
        <f>AE36*(1+N(Debts!$D$13)/1200)</f>
        <v/>
      </c>
      <c r="AD37" s="33">
        <f>AC37-MIN(N(Debts!$E$13),AC37)</f>
        <v/>
      </c>
      <c r="AE37" s="33">
        <f>IF(AD37&lt;=0.005,0,AD37-MIN(AD37,MAX(0,$E37-SUMIFS(H37:AK37,$H$5:$AK$5,"Rem",$H$4:$AK$4,"&lt;"&amp;AE$4))))</f>
        <v/>
      </c>
      <c r="AF37" s="33">
        <f>AH36*(1+N(Debts!$D$14)/1200)</f>
        <v/>
      </c>
      <c r="AG37" s="33">
        <f>AF37-MIN(N(Debts!$E$14),AF37)</f>
        <v/>
      </c>
      <c r="AH37" s="33">
        <f>IF(AG37&lt;=0.005,0,AG37-MIN(AG37,MAX(0,$E37-SUMIFS(H37:AK37,$H$5:$AK$5,"Rem",$H$4:$AK$4,"&lt;"&amp;AH$4))))</f>
        <v/>
      </c>
      <c r="AI37" s="33">
        <f>AK36*(1+N(Debts!$D$15)/1200)</f>
        <v/>
      </c>
      <c r="AJ37" s="33">
        <f>AI37-MIN(N(Debts!$E$15),AI37)</f>
        <v/>
      </c>
      <c r="AK37" s="33">
        <f>IF(AJ37&lt;=0.005,0,AJ37-MIN(AJ37,MAX(0,$E37-SUMIFS(H37:AK37,$H$5:$AK$5,"Rem",$H$4:$AK$4,"&lt;"&amp;AK$4))))</f>
        <v/>
      </c>
      <c r="AL37" s="1" t="n"/>
    </row>
    <row r="38">
      <c r="A38" s="1" t="n"/>
      <c r="B38" s="1" t="n">
        <v>31</v>
      </c>
      <c r="C38" s="34">
        <f>EDATE(Debts!$J$13,B38-1)</f>
        <v/>
      </c>
      <c r="D38" s="33">
        <f>IF(G37&lt;=0.005,0,Debts!$E$16+Debts!$J$7)</f>
        <v/>
      </c>
      <c r="E38" s="33">
        <f>MAX(0,D38-(SUMIF($H$5:$AK$5,"Due",H38:AK38)-SUMIF($H$5:$AK$5,"Rem",H38:AK38)))</f>
        <v/>
      </c>
      <c r="F38" s="33">
        <f>SUMIF($H$5:$AK$5,"Due",H38:AK38)-SUMIF($H$5:$AK$5,"Bal",H37:AK37)</f>
        <v/>
      </c>
      <c r="G38" s="33">
        <f>SUMIF($H$5:$AK$5,"Bal",H38:AK38)</f>
        <v/>
      </c>
      <c r="H38" s="33">
        <f>J37*(1+N(Debts!$D$6)/1200)</f>
        <v/>
      </c>
      <c r="I38" s="33">
        <f>H38-MIN(N(Debts!$E$6),H38)</f>
        <v/>
      </c>
      <c r="J38" s="33">
        <f>IF(I38&lt;=0.005,0,I38-MIN(I38,MAX(0,$E38-SUMIFS(H38:AK38,$H$5:$AK$5,"Rem",$H$4:$AK$4,"&lt;"&amp;J$4))))</f>
        <v/>
      </c>
      <c r="K38" s="33">
        <f>M37*(1+N(Debts!$D$7)/1200)</f>
        <v/>
      </c>
      <c r="L38" s="33">
        <f>K38-MIN(N(Debts!$E$7),K38)</f>
        <v/>
      </c>
      <c r="M38" s="33">
        <f>IF(L38&lt;=0.005,0,L38-MIN(L38,MAX(0,$E38-SUMIFS(H38:AK38,$H$5:$AK$5,"Rem",$H$4:$AK$4,"&lt;"&amp;M$4))))</f>
        <v/>
      </c>
      <c r="N38" s="33">
        <f>P37*(1+N(Debts!$D$8)/1200)</f>
        <v/>
      </c>
      <c r="O38" s="33">
        <f>N38-MIN(N(Debts!$E$8),N38)</f>
        <v/>
      </c>
      <c r="P38" s="33">
        <f>IF(O38&lt;=0.005,0,O38-MIN(O38,MAX(0,$E38-SUMIFS(H38:AK38,$H$5:$AK$5,"Rem",$H$4:$AK$4,"&lt;"&amp;P$4))))</f>
        <v/>
      </c>
      <c r="Q38" s="33">
        <f>S37*(1+N(Debts!$D$9)/1200)</f>
        <v/>
      </c>
      <c r="R38" s="33">
        <f>Q38-MIN(N(Debts!$E$9),Q38)</f>
        <v/>
      </c>
      <c r="S38" s="33">
        <f>IF(R38&lt;=0.005,0,R38-MIN(R38,MAX(0,$E38-SUMIFS(H38:AK38,$H$5:$AK$5,"Rem",$H$4:$AK$4,"&lt;"&amp;S$4))))</f>
        <v/>
      </c>
      <c r="T38" s="33">
        <f>V37*(1+N(Debts!$D$10)/1200)</f>
        <v/>
      </c>
      <c r="U38" s="33">
        <f>T38-MIN(N(Debts!$E$10),T38)</f>
        <v/>
      </c>
      <c r="V38" s="33">
        <f>IF(U38&lt;=0.005,0,U38-MIN(U38,MAX(0,$E38-SUMIFS(H38:AK38,$H$5:$AK$5,"Rem",$H$4:$AK$4,"&lt;"&amp;V$4))))</f>
        <v/>
      </c>
      <c r="W38" s="33">
        <f>Y37*(1+N(Debts!$D$11)/1200)</f>
        <v/>
      </c>
      <c r="X38" s="33">
        <f>W38-MIN(N(Debts!$E$11),W38)</f>
        <v/>
      </c>
      <c r="Y38" s="33">
        <f>IF(X38&lt;=0.005,0,X38-MIN(X38,MAX(0,$E38-SUMIFS(H38:AK38,$H$5:$AK$5,"Rem",$H$4:$AK$4,"&lt;"&amp;Y$4))))</f>
        <v/>
      </c>
      <c r="Z38" s="33">
        <f>AB37*(1+N(Debts!$D$12)/1200)</f>
        <v/>
      </c>
      <c r="AA38" s="33">
        <f>Z38-MIN(N(Debts!$E$12),Z38)</f>
        <v/>
      </c>
      <c r="AB38" s="33">
        <f>IF(AA38&lt;=0.005,0,AA38-MIN(AA38,MAX(0,$E38-SUMIFS(H38:AK38,$H$5:$AK$5,"Rem",$H$4:$AK$4,"&lt;"&amp;AB$4))))</f>
        <v/>
      </c>
      <c r="AC38" s="33">
        <f>AE37*(1+N(Debts!$D$13)/1200)</f>
        <v/>
      </c>
      <c r="AD38" s="33">
        <f>AC38-MIN(N(Debts!$E$13),AC38)</f>
        <v/>
      </c>
      <c r="AE38" s="33">
        <f>IF(AD38&lt;=0.005,0,AD38-MIN(AD38,MAX(0,$E38-SUMIFS(H38:AK38,$H$5:$AK$5,"Rem",$H$4:$AK$4,"&lt;"&amp;AE$4))))</f>
        <v/>
      </c>
      <c r="AF38" s="33">
        <f>AH37*(1+N(Debts!$D$14)/1200)</f>
        <v/>
      </c>
      <c r="AG38" s="33">
        <f>AF38-MIN(N(Debts!$E$14),AF38)</f>
        <v/>
      </c>
      <c r="AH38" s="33">
        <f>IF(AG38&lt;=0.005,0,AG38-MIN(AG38,MAX(0,$E38-SUMIFS(H38:AK38,$H$5:$AK$5,"Rem",$H$4:$AK$4,"&lt;"&amp;AH$4))))</f>
        <v/>
      </c>
      <c r="AI38" s="33">
        <f>AK37*(1+N(Debts!$D$15)/1200)</f>
        <v/>
      </c>
      <c r="AJ38" s="33">
        <f>AI38-MIN(N(Debts!$E$15),AI38)</f>
        <v/>
      </c>
      <c r="AK38" s="33">
        <f>IF(AJ38&lt;=0.005,0,AJ38-MIN(AJ38,MAX(0,$E38-SUMIFS(H38:AK38,$H$5:$AK$5,"Rem",$H$4:$AK$4,"&lt;"&amp;AK$4))))</f>
        <v/>
      </c>
      <c r="AL38" s="1" t="n"/>
    </row>
    <row r="39">
      <c r="A39" s="1" t="n"/>
      <c r="B39" s="1" t="n">
        <v>32</v>
      </c>
      <c r="C39" s="34">
        <f>EDATE(Debts!$J$13,B39-1)</f>
        <v/>
      </c>
      <c r="D39" s="33">
        <f>IF(G38&lt;=0.005,0,Debts!$E$16+Debts!$J$7)</f>
        <v/>
      </c>
      <c r="E39" s="33">
        <f>MAX(0,D39-(SUMIF($H$5:$AK$5,"Due",H39:AK39)-SUMIF($H$5:$AK$5,"Rem",H39:AK39)))</f>
        <v/>
      </c>
      <c r="F39" s="33">
        <f>SUMIF($H$5:$AK$5,"Due",H39:AK39)-SUMIF($H$5:$AK$5,"Bal",H38:AK38)</f>
        <v/>
      </c>
      <c r="G39" s="33">
        <f>SUMIF($H$5:$AK$5,"Bal",H39:AK39)</f>
        <v/>
      </c>
      <c r="H39" s="33">
        <f>J38*(1+N(Debts!$D$6)/1200)</f>
        <v/>
      </c>
      <c r="I39" s="33">
        <f>H39-MIN(N(Debts!$E$6),H39)</f>
        <v/>
      </c>
      <c r="J39" s="33">
        <f>IF(I39&lt;=0.005,0,I39-MIN(I39,MAX(0,$E39-SUMIFS(H39:AK39,$H$5:$AK$5,"Rem",$H$4:$AK$4,"&lt;"&amp;J$4))))</f>
        <v/>
      </c>
      <c r="K39" s="33">
        <f>M38*(1+N(Debts!$D$7)/1200)</f>
        <v/>
      </c>
      <c r="L39" s="33">
        <f>K39-MIN(N(Debts!$E$7),K39)</f>
        <v/>
      </c>
      <c r="M39" s="33">
        <f>IF(L39&lt;=0.005,0,L39-MIN(L39,MAX(0,$E39-SUMIFS(H39:AK39,$H$5:$AK$5,"Rem",$H$4:$AK$4,"&lt;"&amp;M$4))))</f>
        <v/>
      </c>
      <c r="N39" s="33">
        <f>P38*(1+N(Debts!$D$8)/1200)</f>
        <v/>
      </c>
      <c r="O39" s="33">
        <f>N39-MIN(N(Debts!$E$8),N39)</f>
        <v/>
      </c>
      <c r="P39" s="33">
        <f>IF(O39&lt;=0.005,0,O39-MIN(O39,MAX(0,$E39-SUMIFS(H39:AK39,$H$5:$AK$5,"Rem",$H$4:$AK$4,"&lt;"&amp;P$4))))</f>
        <v/>
      </c>
      <c r="Q39" s="33">
        <f>S38*(1+N(Debts!$D$9)/1200)</f>
        <v/>
      </c>
      <c r="R39" s="33">
        <f>Q39-MIN(N(Debts!$E$9),Q39)</f>
        <v/>
      </c>
      <c r="S39" s="33">
        <f>IF(R39&lt;=0.005,0,R39-MIN(R39,MAX(0,$E39-SUMIFS(H39:AK39,$H$5:$AK$5,"Rem",$H$4:$AK$4,"&lt;"&amp;S$4))))</f>
        <v/>
      </c>
      <c r="T39" s="33">
        <f>V38*(1+N(Debts!$D$10)/1200)</f>
        <v/>
      </c>
      <c r="U39" s="33">
        <f>T39-MIN(N(Debts!$E$10),T39)</f>
        <v/>
      </c>
      <c r="V39" s="33">
        <f>IF(U39&lt;=0.005,0,U39-MIN(U39,MAX(0,$E39-SUMIFS(H39:AK39,$H$5:$AK$5,"Rem",$H$4:$AK$4,"&lt;"&amp;V$4))))</f>
        <v/>
      </c>
      <c r="W39" s="33">
        <f>Y38*(1+N(Debts!$D$11)/1200)</f>
        <v/>
      </c>
      <c r="X39" s="33">
        <f>W39-MIN(N(Debts!$E$11),W39)</f>
        <v/>
      </c>
      <c r="Y39" s="33">
        <f>IF(X39&lt;=0.005,0,X39-MIN(X39,MAX(0,$E39-SUMIFS(H39:AK39,$H$5:$AK$5,"Rem",$H$4:$AK$4,"&lt;"&amp;Y$4))))</f>
        <v/>
      </c>
      <c r="Z39" s="33">
        <f>AB38*(1+N(Debts!$D$12)/1200)</f>
        <v/>
      </c>
      <c r="AA39" s="33">
        <f>Z39-MIN(N(Debts!$E$12),Z39)</f>
        <v/>
      </c>
      <c r="AB39" s="33">
        <f>IF(AA39&lt;=0.005,0,AA39-MIN(AA39,MAX(0,$E39-SUMIFS(H39:AK39,$H$5:$AK$5,"Rem",$H$4:$AK$4,"&lt;"&amp;AB$4))))</f>
        <v/>
      </c>
      <c r="AC39" s="33">
        <f>AE38*(1+N(Debts!$D$13)/1200)</f>
        <v/>
      </c>
      <c r="AD39" s="33">
        <f>AC39-MIN(N(Debts!$E$13),AC39)</f>
        <v/>
      </c>
      <c r="AE39" s="33">
        <f>IF(AD39&lt;=0.005,0,AD39-MIN(AD39,MAX(0,$E39-SUMIFS(H39:AK39,$H$5:$AK$5,"Rem",$H$4:$AK$4,"&lt;"&amp;AE$4))))</f>
        <v/>
      </c>
      <c r="AF39" s="33">
        <f>AH38*(1+N(Debts!$D$14)/1200)</f>
        <v/>
      </c>
      <c r="AG39" s="33">
        <f>AF39-MIN(N(Debts!$E$14),AF39)</f>
        <v/>
      </c>
      <c r="AH39" s="33">
        <f>IF(AG39&lt;=0.005,0,AG39-MIN(AG39,MAX(0,$E39-SUMIFS(H39:AK39,$H$5:$AK$5,"Rem",$H$4:$AK$4,"&lt;"&amp;AH$4))))</f>
        <v/>
      </c>
      <c r="AI39" s="33">
        <f>AK38*(1+N(Debts!$D$15)/1200)</f>
        <v/>
      </c>
      <c r="AJ39" s="33">
        <f>AI39-MIN(N(Debts!$E$15),AI39)</f>
        <v/>
      </c>
      <c r="AK39" s="33">
        <f>IF(AJ39&lt;=0.005,0,AJ39-MIN(AJ39,MAX(0,$E39-SUMIFS(H39:AK39,$H$5:$AK$5,"Rem",$H$4:$AK$4,"&lt;"&amp;AK$4))))</f>
        <v/>
      </c>
      <c r="AL39" s="1" t="n"/>
    </row>
    <row r="40">
      <c r="A40" s="1" t="n"/>
      <c r="B40" s="1" t="n">
        <v>33</v>
      </c>
      <c r="C40" s="34">
        <f>EDATE(Debts!$J$13,B40-1)</f>
        <v/>
      </c>
      <c r="D40" s="33">
        <f>IF(G39&lt;=0.005,0,Debts!$E$16+Debts!$J$7)</f>
        <v/>
      </c>
      <c r="E40" s="33">
        <f>MAX(0,D40-(SUMIF($H$5:$AK$5,"Due",H40:AK40)-SUMIF($H$5:$AK$5,"Rem",H40:AK40)))</f>
        <v/>
      </c>
      <c r="F40" s="33">
        <f>SUMIF($H$5:$AK$5,"Due",H40:AK40)-SUMIF($H$5:$AK$5,"Bal",H39:AK39)</f>
        <v/>
      </c>
      <c r="G40" s="33">
        <f>SUMIF($H$5:$AK$5,"Bal",H40:AK40)</f>
        <v/>
      </c>
      <c r="H40" s="33">
        <f>J39*(1+N(Debts!$D$6)/1200)</f>
        <v/>
      </c>
      <c r="I40" s="33">
        <f>H40-MIN(N(Debts!$E$6),H40)</f>
        <v/>
      </c>
      <c r="J40" s="33">
        <f>IF(I40&lt;=0.005,0,I40-MIN(I40,MAX(0,$E40-SUMIFS(H40:AK40,$H$5:$AK$5,"Rem",$H$4:$AK$4,"&lt;"&amp;J$4))))</f>
        <v/>
      </c>
      <c r="K40" s="33">
        <f>M39*(1+N(Debts!$D$7)/1200)</f>
        <v/>
      </c>
      <c r="L40" s="33">
        <f>K40-MIN(N(Debts!$E$7),K40)</f>
        <v/>
      </c>
      <c r="M40" s="33">
        <f>IF(L40&lt;=0.005,0,L40-MIN(L40,MAX(0,$E40-SUMIFS(H40:AK40,$H$5:$AK$5,"Rem",$H$4:$AK$4,"&lt;"&amp;M$4))))</f>
        <v/>
      </c>
      <c r="N40" s="33">
        <f>P39*(1+N(Debts!$D$8)/1200)</f>
        <v/>
      </c>
      <c r="O40" s="33">
        <f>N40-MIN(N(Debts!$E$8),N40)</f>
        <v/>
      </c>
      <c r="P40" s="33">
        <f>IF(O40&lt;=0.005,0,O40-MIN(O40,MAX(0,$E40-SUMIFS(H40:AK40,$H$5:$AK$5,"Rem",$H$4:$AK$4,"&lt;"&amp;P$4))))</f>
        <v/>
      </c>
      <c r="Q40" s="33">
        <f>S39*(1+N(Debts!$D$9)/1200)</f>
        <v/>
      </c>
      <c r="R40" s="33">
        <f>Q40-MIN(N(Debts!$E$9),Q40)</f>
        <v/>
      </c>
      <c r="S40" s="33">
        <f>IF(R40&lt;=0.005,0,R40-MIN(R40,MAX(0,$E40-SUMIFS(H40:AK40,$H$5:$AK$5,"Rem",$H$4:$AK$4,"&lt;"&amp;S$4))))</f>
        <v/>
      </c>
      <c r="T40" s="33">
        <f>V39*(1+N(Debts!$D$10)/1200)</f>
        <v/>
      </c>
      <c r="U40" s="33">
        <f>T40-MIN(N(Debts!$E$10),T40)</f>
        <v/>
      </c>
      <c r="V40" s="33">
        <f>IF(U40&lt;=0.005,0,U40-MIN(U40,MAX(0,$E40-SUMIFS(H40:AK40,$H$5:$AK$5,"Rem",$H$4:$AK$4,"&lt;"&amp;V$4))))</f>
        <v/>
      </c>
      <c r="W40" s="33">
        <f>Y39*(1+N(Debts!$D$11)/1200)</f>
        <v/>
      </c>
      <c r="X40" s="33">
        <f>W40-MIN(N(Debts!$E$11),W40)</f>
        <v/>
      </c>
      <c r="Y40" s="33">
        <f>IF(X40&lt;=0.005,0,X40-MIN(X40,MAX(0,$E40-SUMIFS(H40:AK40,$H$5:$AK$5,"Rem",$H$4:$AK$4,"&lt;"&amp;Y$4))))</f>
        <v/>
      </c>
      <c r="Z40" s="33">
        <f>AB39*(1+N(Debts!$D$12)/1200)</f>
        <v/>
      </c>
      <c r="AA40" s="33">
        <f>Z40-MIN(N(Debts!$E$12),Z40)</f>
        <v/>
      </c>
      <c r="AB40" s="33">
        <f>IF(AA40&lt;=0.005,0,AA40-MIN(AA40,MAX(0,$E40-SUMIFS(H40:AK40,$H$5:$AK$5,"Rem",$H$4:$AK$4,"&lt;"&amp;AB$4))))</f>
        <v/>
      </c>
      <c r="AC40" s="33">
        <f>AE39*(1+N(Debts!$D$13)/1200)</f>
        <v/>
      </c>
      <c r="AD40" s="33">
        <f>AC40-MIN(N(Debts!$E$13),AC40)</f>
        <v/>
      </c>
      <c r="AE40" s="33">
        <f>IF(AD40&lt;=0.005,0,AD40-MIN(AD40,MAX(0,$E40-SUMIFS(H40:AK40,$H$5:$AK$5,"Rem",$H$4:$AK$4,"&lt;"&amp;AE$4))))</f>
        <v/>
      </c>
      <c r="AF40" s="33">
        <f>AH39*(1+N(Debts!$D$14)/1200)</f>
        <v/>
      </c>
      <c r="AG40" s="33">
        <f>AF40-MIN(N(Debts!$E$14),AF40)</f>
        <v/>
      </c>
      <c r="AH40" s="33">
        <f>IF(AG40&lt;=0.005,0,AG40-MIN(AG40,MAX(0,$E40-SUMIFS(H40:AK40,$H$5:$AK$5,"Rem",$H$4:$AK$4,"&lt;"&amp;AH$4))))</f>
        <v/>
      </c>
      <c r="AI40" s="33">
        <f>AK39*(1+N(Debts!$D$15)/1200)</f>
        <v/>
      </c>
      <c r="AJ40" s="33">
        <f>AI40-MIN(N(Debts!$E$15),AI40)</f>
        <v/>
      </c>
      <c r="AK40" s="33">
        <f>IF(AJ40&lt;=0.005,0,AJ40-MIN(AJ40,MAX(0,$E40-SUMIFS(H40:AK40,$H$5:$AK$5,"Rem",$H$4:$AK$4,"&lt;"&amp;AK$4))))</f>
        <v/>
      </c>
      <c r="AL40" s="1" t="n"/>
    </row>
    <row r="41">
      <c r="A41" s="1" t="n"/>
      <c r="B41" s="1" t="n">
        <v>34</v>
      </c>
      <c r="C41" s="34">
        <f>EDATE(Debts!$J$13,B41-1)</f>
        <v/>
      </c>
      <c r="D41" s="33">
        <f>IF(G40&lt;=0.005,0,Debts!$E$16+Debts!$J$7)</f>
        <v/>
      </c>
      <c r="E41" s="33">
        <f>MAX(0,D41-(SUMIF($H$5:$AK$5,"Due",H41:AK41)-SUMIF($H$5:$AK$5,"Rem",H41:AK41)))</f>
        <v/>
      </c>
      <c r="F41" s="33">
        <f>SUMIF($H$5:$AK$5,"Due",H41:AK41)-SUMIF($H$5:$AK$5,"Bal",H40:AK40)</f>
        <v/>
      </c>
      <c r="G41" s="33">
        <f>SUMIF($H$5:$AK$5,"Bal",H41:AK41)</f>
        <v/>
      </c>
      <c r="H41" s="33">
        <f>J40*(1+N(Debts!$D$6)/1200)</f>
        <v/>
      </c>
      <c r="I41" s="33">
        <f>H41-MIN(N(Debts!$E$6),H41)</f>
        <v/>
      </c>
      <c r="J41" s="33">
        <f>IF(I41&lt;=0.005,0,I41-MIN(I41,MAX(0,$E41-SUMIFS(H41:AK41,$H$5:$AK$5,"Rem",$H$4:$AK$4,"&lt;"&amp;J$4))))</f>
        <v/>
      </c>
      <c r="K41" s="33">
        <f>M40*(1+N(Debts!$D$7)/1200)</f>
        <v/>
      </c>
      <c r="L41" s="33">
        <f>K41-MIN(N(Debts!$E$7),K41)</f>
        <v/>
      </c>
      <c r="M41" s="33">
        <f>IF(L41&lt;=0.005,0,L41-MIN(L41,MAX(0,$E41-SUMIFS(H41:AK41,$H$5:$AK$5,"Rem",$H$4:$AK$4,"&lt;"&amp;M$4))))</f>
        <v/>
      </c>
      <c r="N41" s="33">
        <f>P40*(1+N(Debts!$D$8)/1200)</f>
        <v/>
      </c>
      <c r="O41" s="33">
        <f>N41-MIN(N(Debts!$E$8),N41)</f>
        <v/>
      </c>
      <c r="P41" s="33">
        <f>IF(O41&lt;=0.005,0,O41-MIN(O41,MAX(0,$E41-SUMIFS(H41:AK41,$H$5:$AK$5,"Rem",$H$4:$AK$4,"&lt;"&amp;P$4))))</f>
        <v/>
      </c>
      <c r="Q41" s="33">
        <f>S40*(1+N(Debts!$D$9)/1200)</f>
        <v/>
      </c>
      <c r="R41" s="33">
        <f>Q41-MIN(N(Debts!$E$9),Q41)</f>
        <v/>
      </c>
      <c r="S41" s="33">
        <f>IF(R41&lt;=0.005,0,R41-MIN(R41,MAX(0,$E41-SUMIFS(H41:AK41,$H$5:$AK$5,"Rem",$H$4:$AK$4,"&lt;"&amp;S$4))))</f>
        <v/>
      </c>
      <c r="T41" s="33">
        <f>V40*(1+N(Debts!$D$10)/1200)</f>
        <v/>
      </c>
      <c r="U41" s="33">
        <f>T41-MIN(N(Debts!$E$10),T41)</f>
        <v/>
      </c>
      <c r="V41" s="33">
        <f>IF(U41&lt;=0.005,0,U41-MIN(U41,MAX(0,$E41-SUMIFS(H41:AK41,$H$5:$AK$5,"Rem",$H$4:$AK$4,"&lt;"&amp;V$4))))</f>
        <v/>
      </c>
      <c r="W41" s="33">
        <f>Y40*(1+N(Debts!$D$11)/1200)</f>
        <v/>
      </c>
      <c r="X41" s="33">
        <f>W41-MIN(N(Debts!$E$11),W41)</f>
        <v/>
      </c>
      <c r="Y41" s="33">
        <f>IF(X41&lt;=0.005,0,X41-MIN(X41,MAX(0,$E41-SUMIFS(H41:AK41,$H$5:$AK$5,"Rem",$H$4:$AK$4,"&lt;"&amp;Y$4))))</f>
        <v/>
      </c>
      <c r="Z41" s="33">
        <f>AB40*(1+N(Debts!$D$12)/1200)</f>
        <v/>
      </c>
      <c r="AA41" s="33">
        <f>Z41-MIN(N(Debts!$E$12),Z41)</f>
        <v/>
      </c>
      <c r="AB41" s="33">
        <f>IF(AA41&lt;=0.005,0,AA41-MIN(AA41,MAX(0,$E41-SUMIFS(H41:AK41,$H$5:$AK$5,"Rem",$H$4:$AK$4,"&lt;"&amp;AB$4))))</f>
        <v/>
      </c>
      <c r="AC41" s="33">
        <f>AE40*(1+N(Debts!$D$13)/1200)</f>
        <v/>
      </c>
      <c r="AD41" s="33">
        <f>AC41-MIN(N(Debts!$E$13),AC41)</f>
        <v/>
      </c>
      <c r="AE41" s="33">
        <f>IF(AD41&lt;=0.005,0,AD41-MIN(AD41,MAX(0,$E41-SUMIFS(H41:AK41,$H$5:$AK$5,"Rem",$H$4:$AK$4,"&lt;"&amp;AE$4))))</f>
        <v/>
      </c>
      <c r="AF41" s="33">
        <f>AH40*(1+N(Debts!$D$14)/1200)</f>
        <v/>
      </c>
      <c r="AG41" s="33">
        <f>AF41-MIN(N(Debts!$E$14),AF41)</f>
        <v/>
      </c>
      <c r="AH41" s="33">
        <f>IF(AG41&lt;=0.005,0,AG41-MIN(AG41,MAX(0,$E41-SUMIFS(H41:AK41,$H$5:$AK$5,"Rem",$H$4:$AK$4,"&lt;"&amp;AH$4))))</f>
        <v/>
      </c>
      <c r="AI41" s="33">
        <f>AK40*(1+N(Debts!$D$15)/1200)</f>
        <v/>
      </c>
      <c r="AJ41" s="33">
        <f>AI41-MIN(N(Debts!$E$15),AI41)</f>
        <v/>
      </c>
      <c r="AK41" s="33">
        <f>IF(AJ41&lt;=0.005,0,AJ41-MIN(AJ41,MAX(0,$E41-SUMIFS(H41:AK41,$H$5:$AK$5,"Rem",$H$4:$AK$4,"&lt;"&amp;AK$4))))</f>
        <v/>
      </c>
      <c r="AL41" s="1" t="n"/>
    </row>
    <row r="42">
      <c r="A42" s="1" t="n"/>
      <c r="B42" s="1" t="n">
        <v>35</v>
      </c>
      <c r="C42" s="34">
        <f>EDATE(Debts!$J$13,B42-1)</f>
        <v/>
      </c>
      <c r="D42" s="33">
        <f>IF(G41&lt;=0.005,0,Debts!$E$16+Debts!$J$7)</f>
        <v/>
      </c>
      <c r="E42" s="33">
        <f>MAX(0,D42-(SUMIF($H$5:$AK$5,"Due",H42:AK42)-SUMIF($H$5:$AK$5,"Rem",H42:AK42)))</f>
        <v/>
      </c>
      <c r="F42" s="33">
        <f>SUMIF($H$5:$AK$5,"Due",H42:AK42)-SUMIF($H$5:$AK$5,"Bal",H41:AK41)</f>
        <v/>
      </c>
      <c r="G42" s="33">
        <f>SUMIF($H$5:$AK$5,"Bal",H42:AK42)</f>
        <v/>
      </c>
      <c r="H42" s="33">
        <f>J41*(1+N(Debts!$D$6)/1200)</f>
        <v/>
      </c>
      <c r="I42" s="33">
        <f>H42-MIN(N(Debts!$E$6),H42)</f>
        <v/>
      </c>
      <c r="J42" s="33">
        <f>IF(I42&lt;=0.005,0,I42-MIN(I42,MAX(0,$E42-SUMIFS(H42:AK42,$H$5:$AK$5,"Rem",$H$4:$AK$4,"&lt;"&amp;J$4))))</f>
        <v/>
      </c>
      <c r="K42" s="33">
        <f>M41*(1+N(Debts!$D$7)/1200)</f>
        <v/>
      </c>
      <c r="L42" s="33">
        <f>K42-MIN(N(Debts!$E$7),K42)</f>
        <v/>
      </c>
      <c r="M42" s="33">
        <f>IF(L42&lt;=0.005,0,L42-MIN(L42,MAX(0,$E42-SUMIFS(H42:AK42,$H$5:$AK$5,"Rem",$H$4:$AK$4,"&lt;"&amp;M$4))))</f>
        <v/>
      </c>
      <c r="N42" s="33">
        <f>P41*(1+N(Debts!$D$8)/1200)</f>
        <v/>
      </c>
      <c r="O42" s="33">
        <f>N42-MIN(N(Debts!$E$8),N42)</f>
        <v/>
      </c>
      <c r="P42" s="33">
        <f>IF(O42&lt;=0.005,0,O42-MIN(O42,MAX(0,$E42-SUMIFS(H42:AK42,$H$5:$AK$5,"Rem",$H$4:$AK$4,"&lt;"&amp;P$4))))</f>
        <v/>
      </c>
      <c r="Q42" s="33">
        <f>S41*(1+N(Debts!$D$9)/1200)</f>
        <v/>
      </c>
      <c r="R42" s="33">
        <f>Q42-MIN(N(Debts!$E$9),Q42)</f>
        <v/>
      </c>
      <c r="S42" s="33">
        <f>IF(R42&lt;=0.005,0,R42-MIN(R42,MAX(0,$E42-SUMIFS(H42:AK42,$H$5:$AK$5,"Rem",$H$4:$AK$4,"&lt;"&amp;S$4))))</f>
        <v/>
      </c>
      <c r="T42" s="33">
        <f>V41*(1+N(Debts!$D$10)/1200)</f>
        <v/>
      </c>
      <c r="U42" s="33">
        <f>T42-MIN(N(Debts!$E$10),T42)</f>
        <v/>
      </c>
      <c r="V42" s="33">
        <f>IF(U42&lt;=0.005,0,U42-MIN(U42,MAX(0,$E42-SUMIFS(H42:AK42,$H$5:$AK$5,"Rem",$H$4:$AK$4,"&lt;"&amp;V$4))))</f>
        <v/>
      </c>
      <c r="W42" s="33">
        <f>Y41*(1+N(Debts!$D$11)/1200)</f>
        <v/>
      </c>
      <c r="X42" s="33">
        <f>W42-MIN(N(Debts!$E$11),W42)</f>
        <v/>
      </c>
      <c r="Y42" s="33">
        <f>IF(X42&lt;=0.005,0,X42-MIN(X42,MAX(0,$E42-SUMIFS(H42:AK42,$H$5:$AK$5,"Rem",$H$4:$AK$4,"&lt;"&amp;Y$4))))</f>
        <v/>
      </c>
      <c r="Z42" s="33">
        <f>AB41*(1+N(Debts!$D$12)/1200)</f>
        <v/>
      </c>
      <c r="AA42" s="33">
        <f>Z42-MIN(N(Debts!$E$12),Z42)</f>
        <v/>
      </c>
      <c r="AB42" s="33">
        <f>IF(AA42&lt;=0.005,0,AA42-MIN(AA42,MAX(0,$E42-SUMIFS(H42:AK42,$H$5:$AK$5,"Rem",$H$4:$AK$4,"&lt;"&amp;AB$4))))</f>
        <v/>
      </c>
      <c r="AC42" s="33">
        <f>AE41*(1+N(Debts!$D$13)/1200)</f>
        <v/>
      </c>
      <c r="AD42" s="33">
        <f>AC42-MIN(N(Debts!$E$13),AC42)</f>
        <v/>
      </c>
      <c r="AE42" s="33">
        <f>IF(AD42&lt;=0.005,0,AD42-MIN(AD42,MAX(0,$E42-SUMIFS(H42:AK42,$H$5:$AK$5,"Rem",$H$4:$AK$4,"&lt;"&amp;AE$4))))</f>
        <v/>
      </c>
      <c r="AF42" s="33">
        <f>AH41*(1+N(Debts!$D$14)/1200)</f>
        <v/>
      </c>
      <c r="AG42" s="33">
        <f>AF42-MIN(N(Debts!$E$14),AF42)</f>
        <v/>
      </c>
      <c r="AH42" s="33">
        <f>IF(AG42&lt;=0.005,0,AG42-MIN(AG42,MAX(0,$E42-SUMIFS(H42:AK42,$H$5:$AK$5,"Rem",$H$4:$AK$4,"&lt;"&amp;AH$4))))</f>
        <v/>
      </c>
      <c r="AI42" s="33">
        <f>AK41*(1+N(Debts!$D$15)/1200)</f>
        <v/>
      </c>
      <c r="AJ42" s="33">
        <f>AI42-MIN(N(Debts!$E$15),AI42)</f>
        <v/>
      </c>
      <c r="AK42" s="33">
        <f>IF(AJ42&lt;=0.005,0,AJ42-MIN(AJ42,MAX(0,$E42-SUMIFS(H42:AK42,$H$5:$AK$5,"Rem",$H$4:$AK$4,"&lt;"&amp;AK$4))))</f>
        <v/>
      </c>
      <c r="AL42" s="1" t="n"/>
    </row>
    <row r="43">
      <c r="A43" s="1" t="n"/>
      <c r="B43" s="1" t="n">
        <v>36</v>
      </c>
      <c r="C43" s="34">
        <f>EDATE(Debts!$J$13,B43-1)</f>
        <v/>
      </c>
      <c r="D43" s="33">
        <f>IF(G42&lt;=0.005,0,Debts!$E$16+Debts!$J$7)</f>
        <v/>
      </c>
      <c r="E43" s="33">
        <f>MAX(0,D43-(SUMIF($H$5:$AK$5,"Due",H43:AK43)-SUMIF($H$5:$AK$5,"Rem",H43:AK43)))</f>
        <v/>
      </c>
      <c r="F43" s="33">
        <f>SUMIF($H$5:$AK$5,"Due",H43:AK43)-SUMIF($H$5:$AK$5,"Bal",H42:AK42)</f>
        <v/>
      </c>
      <c r="G43" s="33">
        <f>SUMIF($H$5:$AK$5,"Bal",H43:AK43)</f>
        <v/>
      </c>
      <c r="H43" s="33">
        <f>J42*(1+N(Debts!$D$6)/1200)</f>
        <v/>
      </c>
      <c r="I43" s="33">
        <f>H43-MIN(N(Debts!$E$6),H43)</f>
        <v/>
      </c>
      <c r="J43" s="33">
        <f>IF(I43&lt;=0.005,0,I43-MIN(I43,MAX(0,$E43-SUMIFS(H43:AK43,$H$5:$AK$5,"Rem",$H$4:$AK$4,"&lt;"&amp;J$4))))</f>
        <v/>
      </c>
      <c r="K43" s="33">
        <f>M42*(1+N(Debts!$D$7)/1200)</f>
        <v/>
      </c>
      <c r="L43" s="33">
        <f>K43-MIN(N(Debts!$E$7),K43)</f>
        <v/>
      </c>
      <c r="M43" s="33">
        <f>IF(L43&lt;=0.005,0,L43-MIN(L43,MAX(0,$E43-SUMIFS(H43:AK43,$H$5:$AK$5,"Rem",$H$4:$AK$4,"&lt;"&amp;M$4))))</f>
        <v/>
      </c>
      <c r="N43" s="33">
        <f>P42*(1+N(Debts!$D$8)/1200)</f>
        <v/>
      </c>
      <c r="O43" s="33">
        <f>N43-MIN(N(Debts!$E$8),N43)</f>
        <v/>
      </c>
      <c r="P43" s="33">
        <f>IF(O43&lt;=0.005,0,O43-MIN(O43,MAX(0,$E43-SUMIFS(H43:AK43,$H$5:$AK$5,"Rem",$H$4:$AK$4,"&lt;"&amp;P$4))))</f>
        <v/>
      </c>
      <c r="Q43" s="33">
        <f>S42*(1+N(Debts!$D$9)/1200)</f>
        <v/>
      </c>
      <c r="R43" s="33">
        <f>Q43-MIN(N(Debts!$E$9),Q43)</f>
        <v/>
      </c>
      <c r="S43" s="33">
        <f>IF(R43&lt;=0.005,0,R43-MIN(R43,MAX(0,$E43-SUMIFS(H43:AK43,$H$5:$AK$5,"Rem",$H$4:$AK$4,"&lt;"&amp;S$4))))</f>
        <v/>
      </c>
      <c r="T43" s="33">
        <f>V42*(1+N(Debts!$D$10)/1200)</f>
        <v/>
      </c>
      <c r="U43" s="33">
        <f>T43-MIN(N(Debts!$E$10),T43)</f>
        <v/>
      </c>
      <c r="V43" s="33">
        <f>IF(U43&lt;=0.005,0,U43-MIN(U43,MAX(0,$E43-SUMIFS(H43:AK43,$H$5:$AK$5,"Rem",$H$4:$AK$4,"&lt;"&amp;V$4))))</f>
        <v/>
      </c>
      <c r="W43" s="33">
        <f>Y42*(1+N(Debts!$D$11)/1200)</f>
        <v/>
      </c>
      <c r="X43" s="33">
        <f>W43-MIN(N(Debts!$E$11),W43)</f>
        <v/>
      </c>
      <c r="Y43" s="33">
        <f>IF(X43&lt;=0.005,0,X43-MIN(X43,MAX(0,$E43-SUMIFS(H43:AK43,$H$5:$AK$5,"Rem",$H$4:$AK$4,"&lt;"&amp;Y$4))))</f>
        <v/>
      </c>
      <c r="Z43" s="33">
        <f>AB42*(1+N(Debts!$D$12)/1200)</f>
        <v/>
      </c>
      <c r="AA43" s="33">
        <f>Z43-MIN(N(Debts!$E$12),Z43)</f>
        <v/>
      </c>
      <c r="AB43" s="33">
        <f>IF(AA43&lt;=0.005,0,AA43-MIN(AA43,MAX(0,$E43-SUMIFS(H43:AK43,$H$5:$AK$5,"Rem",$H$4:$AK$4,"&lt;"&amp;AB$4))))</f>
        <v/>
      </c>
      <c r="AC43" s="33">
        <f>AE42*(1+N(Debts!$D$13)/1200)</f>
        <v/>
      </c>
      <c r="AD43" s="33">
        <f>AC43-MIN(N(Debts!$E$13),AC43)</f>
        <v/>
      </c>
      <c r="AE43" s="33">
        <f>IF(AD43&lt;=0.005,0,AD43-MIN(AD43,MAX(0,$E43-SUMIFS(H43:AK43,$H$5:$AK$5,"Rem",$H$4:$AK$4,"&lt;"&amp;AE$4))))</f>
        <v/>
      </c>
      <c r="AF43" s="33">
        <f>AH42*(1+N(Debts!$D$14)/1200)</f>
        <v/>
      </c>
      <c r="AG43" s="33">
        <f>AF43-MIN(N(Debts!$E$14),AF43)</f>
        <v/>
      </c>
      <c r="AH43" s="33">
        <f>IF(AG43&lt;=0.005,0,AG43-MIN(AG43,MAX(0,$E43-SUMIFS(H43:AK43,$H$5:$AK$5,"Rem",$H$4:$AK$4,"&lt;"&amp;AH$4))))</f>
        <v/>
      </c>
      <c r="AI43" s="33">
        <f>AK42*(1+N(Debts!$D$15)/1200)</f>
        <v/>
      </c>
      <c r="AJ43" s="33">
        <f>AI43-MIN(N(Debts!$E$15),AI43)</f>
        <v/>
      </c>
      <c r="AK43" s="33">
        <f>IF(AJ43&lt;=0.005,0,AJ43-MIN(AJ43,MAX(0,$E43-SUMIFS(H43:AK43,$H$5:$AK$5,"Rem",$H$4:$AK$4,"&lt;"&amp;AK$4))))</f>
        <v/>
      </c>
      <c r="AL43" s="1" t="n"/>
    </row>
    <row r="44">
      <c r="A44" s="1" t="n"/>
      <c r="B44" s="1" t="n">
        <v>37</v>
      </c>
      <c r="C44" s="34">
        <f>EDATE(Debts!$J$13,B44-1)</f>
        <v/>
      </c>
      <c r="D44" s="33">
        <f>IF(G43&lt;=0.005,0,Debts!$E$16+Debts!$J$7)</f>
        <v/>
      </c>
      <c r="E44" s="33">
        <f>MAX(0,D44-(SUMIF($H$5:$AK$5,"Due",H44:AK44)-SUMIF($H$5:$AK$5,"Rem",H44:AK44)))</f>
        <v/>
      </c>
      <c r="F44" s="33">
        <f>SUMIF($H$5:$AK$5,"Due",H44:AK44)-SUMIF($H$5:$AK$5,"Bal",H43:AK43)</f>
        <v/>
      </c>
      <c r="G44" s="33">
        <f>SUMIF($H$5:$AK$5,"Bal",H44:AK44)</f>
        <v/>
      </c>
      <c r="H44" s="33">
        <f>J43*(1+N(Debts!$D$6)/1200)</f>
        <v/>
      </c>
      <c r="I44" s="33">
        <f>H44-MIN(N(Debts!$E$6),H44)</f>
        <v/>
      </c>
      <c r="J44" s="33">
        <f>IF(I44&lt;=0.005,0,I44-MIN(I44,MAX(0,$E44-SUMIFS(H44:AK44,$H$5:$AK$5,"Rem",$H$4:$AK$4,"&lt;"&amp;J$4))))</f>
        <v/>
      </c>
      <c r="K44" s="33">
        <f>M43*(1+N(Debts!$D$7)/1200)</f>
        <v/>
      </c>
      <c r="L44" s="33">
        <f>K44-MIN(N(Debts!$E$7),K44)</f>
        <v/>
      </c>
      <c r="M44" s="33">
        <f>IF(L44&lt;=0.005,0,L44-MIN(L44,MAX(0,$E44-SUMIFS(H44:AK44,$H$5:$AK$5,"Rem",$H$4:$AK$4,"&lt;"&amp;M$4))))</f>
        <v/>
      </c>
      <c r="N44" s="33">
        <f>P43*(1+N(Debts!$D$8)/1200)</f>
        <v/>
      </c>
      <c r="O44" s="33">
        <f>N44-MIN(N(Debts!$E$8),N44)</f>
        <v/>
      </c>
      <c r="P44" s="33">
        <f>IF(O44&lt;=0.005,0,O44-MIN(O44,MAX(0,$E44-SUMIFS(H44:AK44,$H$5:$AK$5,"Rem",$H$4:$AK$4,"&lt;"&amp;P$4))))</f>
        <v/>
      </c>
      <c r="Q44" s="33">
        <f>S43*(1+N(Debts!$D$9)/1200)</f>
        <v/>
      </c>
      <c r="R44" s="33">
        <f>Q44-MIN(N(Debts!$E$9),Q44)</f>
        <v/>
      </c>
      <c r="S44" s="33">
        <f>IF(R44&lt;=0.005,0,R44-MIN(R44,MAX(0,$E44-SUMIFS(H44:AK44,$H$5:$AK$5,"Rem",$H$4:$AK$4,"&lt;"&amp;S$4))))</f>
        <v/>
      </c>
      <c r="T44" s="33">
        <f>V43*(1+N(Debts!$D$10)/1200)</f>
        <v/>
      </c>
      <c r="U44" s="33">
        <f>T44-MIN(N(Debts!$E$10),T44)</f>
        <v/>
      </c>
      <c r="V44" s="33">
        <f>IF(U44&lt;=0.005,0,U44-MIN(U44,MAX(0,$E44-SUMIFS(H44:AK44,$H$5:$AK$5,"Rem",$H$4:$AK$4,"&lt;"&amp;V$4))))</f>
        <v/>
      </c>
      <c r="W44" s="33">
        <f>Y43*(1+N(Debts!$D$11)/1200)</f>
        <v/>
      </c>
      <c r="X44" s="33">
        <f>W44-MIN(N(Debts!$E$11),W44)</f>
        <v/>
      </c>
      <c r="Y44" s="33">
        <f>IF(X44&lt;=0.005,0,X44-MIN(X44,MAX(0,$E44-SUMIFS(H44:AK44,$H$5:$AK$5,"Rem",$H$4:$AK$4,"&lt;"&amp;Y$4))))</f>
        <v/>
      </c>
      <c r="Z44" s="33">
        <f>AB43*(1+N(Debts!$D$12)/1200)</f>
        <v/>
      </c>
      <c r="AA44" s="33">
        <f>Z44-MIN(N(Debts!$E$12),Z44)</f>
        <v/>
      </c>
      <c r="AB44" s="33">
        <f>IF(AA44&lt;=0.005,0,AA44-MIN(AA44,MAX(0,$E44-SUMIFS(H44:AK44,$H$5:$AK$5,"Rem",$H$4:$AK$4,"&lt;"&amp;AB$4))))</f>
        <v/>
      </c>
      <c r="AC44" s="33">
        <f>AE43*(1+N(Debts!$D$13)/1200)</f>
        <v/>
      </c>
      <c r="AD44" s="33">
        <f>AC44-MIN(N(Debts!$E$13),AC44)</f>
        <v/>
      </c>
      <c r="AE44" s="33">
        <f>IF(AD44&lt;=0.005,0,AD44-MIN(AD44,MAX(0,$E44-SUMIFS(H44:AK44,$H$5:$AK$5,"Rem",$H$4:$AK$4,"&lt;"&amp;AE$4))))</f>
        <v/>
      </c>
      <c r="AF44" s="33">
        <f>AH43*(1+N(Debts!$D$14)/1200)</f>
        <v/>
      </c>
      <c r="AG44" s="33">
        <f>AF44-MIN(N(Debts!$E$14),AF44)</f>
        <v/>
      </c>
      <c r="AH44" s="33">
        <f>IF(AG44&lt;=0.005,0,AG44-MIN(AG44,MAX(0,$E44-SUMIFS(H44:AK44,$H$5:$AK$5,"Rem",$H$4:$AK$4,"&lt;"&amp;AH$4))))</f>
        <v/>
      </c>
      <c r="AI44" s="33">
        <f>AK43*(1+N(Debts!$D$15)/1200)</f>
        <v/>
      </c>
      <c r="AJ44" s="33">
        <f>AI44-MIN(N(Debts!$E$15),AI44)</f>
        <v/>
      </c>
      <c r="AK44" s="33">
        <f>IF(AJ44&lt;=0.005,0,AJ44-MIN(AJ44,MAX(0,$E44-SUMIFS(H44:AK44,$H$5:$AK$5,"Rem",$H$4:$AK$4,"&lt;"&amp;AK$4))))</f>
        <v/>
      </c>
      <c r="AL44" s="1" t="n"/>
    </row>
    <row r="45">
      <c r="A45" s="1" t="n"/>
      <c r="B45" s="1" t="n">
        <v>38</v>
      </c>
      <c r="C45" s="34">
        <f>EDATE(Debts!$J$13,B45-1)</f>
        <v/>
      </c>
      <c r="D45" s="33">
        <f>IF(G44&lt;=0.005,0,Debts!$E$16+Debts!$J$7)</f>
        <v/>
      </c>
      <c r="E45" s="33">
        <f>MAX(0,D45-(SUMIF($H$5:$AK$5,"Due",H45:AK45)-SUMIF($H$5:$AK$5,"Rem",H45:AK45)))</f>
        <v/>
      </c>
      <c r="F45" s="33">
        <f>SUMIF($H$5:$AK$5,"Due",H45:AK45)-SUMIF($H$5:$AK$5,"Bal",H44:AK44)</f>
        <v/>
      </c>
      <c r="G45" s="33">
        <f>SUMIF($H$5:$AK$5,"Bal",H45:AK45)</f>
        <v/>
      </c>
      <c r="H45" s="33">
        <f>J44*(1+N(Debts!$D$6)/1200)</f>
        <v/>
      </c>
      <c r="I45" s="33">
        <f>H45-MIN(N(Debts!$E$6),H45)</f>
        <v/>
      </c>
      <c r="J45" s="33">
        <f>IF(I45&lt;=0.005,0,I45-MIN(I45,MAX(0,$E45-SUMIFS(H45:AK45,$H$5:$AK$5,"Rem",$H$4:$AK$4,"&lt;"&amp;J$4))))</f>
        <v/>
      </c>
      <c r="K45" s="33">
        <f>M44*(1+N(Debts!$D$7)/1200)</f>
        <v/>
      </c>
      <c r="L45" s="33">
        <f>K45-MIN(N(Debts!$E$7),K45)</f>
        <v/>
      </c>
      <c r="M45" s="33">
        <f>IF(L45&lt;=0.005,0,L45-MIN(L45,MAX(0,$E45-SUMIFS(H45:AK45,$H$5:$AK$5,"Rem",$H$4:$AK$4,"&lt;"&amp;M$4))))</f>
        <v/>
      </c>
      <c r="N45" s="33">
        <f>P44*(1+N(Debts!$D$8)/1200)</f>
        <v/>
      </c>
      <c r="O45" s="33">
        <f>N45-MIN(N(Debts!$E$8),N45)</f>
        <v/>
      </c>
      <c r="P45" s="33">
        <f>IF(O45&lt;=0.005,0,O45-MIN(O45,MAX(0,$E45-SUMIFS(H45:AK45,$H$5:$AK$5,"Rem",$H$4:$AK$4,"&lt;"&amp;P$4))))</f>
        <v/>
      </c>
      <c r="Q45" s="33">
        <f>S44*(1+N(Debts!$D$9)/1200)</f>
        <v/>
      </c>
      <c r="R45" s="33">
        <f>Q45-MIN(N(Debts!$E$9),Q45)</f>
        <v/>
      </c>
      <c r="S45" s="33">
        <f>IF(R45&lt;=0.005,0,R45-MIN(R45,MAX(0,$E45-SUMIFS(H45:AK45,$H$5:$AK$5,"Rem",$H$4:$AK$4,"&lt;"&amp;S$4))))</f>
        <v/>
      </c>
      <c r="T45" s="33">
        <f>V44*(1+N(Debts!$D$10)/1200)</f>
        <v/>
      </c>
      <c r="U45" s="33">
        <f>T45-MIN(N(Debts!$E$10),T45)</f>
        <v/>
      </c>
      <c r="V45" s="33">
        <f>IF(U45&lt;=0.005,0,U45-MIN(U45,MAX(0,$E45-SUMIFS(H45:AK45,$H$5:$AK$5,"Rem",$H$4:$AK$4,"&lt;"&amp;V$4))))</f>
        <v/>
      </c>
      <c r="W45" s="33">
        <f>Y44*(1+N(Debts!$D$11)/1200)</f>
        <v/>
      </c>
      <c r="X45" s="33">
        <f>W45-MIN(N(Debts!$E$11),W45)</f>
        <v/>
      </c>
      <c r="Y45" s="33">
        <f>IF(X45&lt;=0.005,0,X45-MIN(X45,MAX(0,$E45-SUMIFS(H45:AK45,$H$5:$AK$5,"Rem",$H$4:$AK$4,"&lt;"&amp;Y$4))))</f>
        <v/>
      </c>
      <c r="Z45" s="33">
        <f>AB44*(1+N(Debts!$D$12)/1200)</f>
        <v/>
      </c>
      <c r="AA45" s="33">
        <f>Z45-MIN(N(Debts!$E$12),Z45)</f>
        <v/>
      </c>
      <c r="AB45" s="33">
        <f>IF(AA45&lt;=0.005,0,AA45-MIN(AA45,MAX(0,$E45-SUMIFS(H45:AK45,$H$5:$AK$5,"Rem",$H$4:$AK$4,"&lt;"&amp;AB$4))))</f>
        <v/>
      </c>
      <c r="AC45" s="33">
        <f>AE44*(1+N(Debts!$D$13)/1200)</f>
        <v/>
      </c>
      <c r="AD45" s="33">
        <f>AC45-MIN(N(Debts!$E$13),AC45)</f>
        <v/>
      </c>
      <c r="AE45" s="33">
        <f>IF(AD45&lt;=0.005,0,AD45-MIN(AD45,MAX(0,$E45-SUMIFS(H45:AK45,$H$5:$AK$5,"Rem",$H$4:$AK$4,"&lt;"&amp;AE$4))))</f>
        <v/>
      </c>
      <c r="AF45" s="33">
        <f>AH44*(1+N(Debts!$D$14)/1200)</f>
        <v/>
      </c>
      <c r="AG45" s="33">
        <f>AF45-MIN(N(Debts!$E$14),AF45)</f>
        <v/>
      </c>
      <c r="AH45" s="33">
        <f>IF(AG45&lt;=0.005,0,AG45-MIN(AG45,MAX(0,$E45-SUMIFS(H45:AK45,$H$5:$AK$5,"Rem",$H$4:$AK$4,"&lt;"&amp;AH$4))))</f>
        <v/>
      </c>
      <c r="AI45" s="33">
        <f>AK44*(1+N(Debts!$D$15)/1200)</f>
        <v/>
      </c>
      <c r="AJ45" s="33">
        <f>AI45-MIN(N(Debts!$E$15),AI45)</f>
        <v/>
      </c>
      <c r="AK45" s="33">
        <f>IF(AJ45&lt;=0.005,0,AJ45-MIN(AJ45,MAX(0,$E45-SUMIFS(H45:AK45,$H$5:$AK$5,"Rem",$H$4:$AK$4,"&lt;"&amp;AK$4))))</f>
        <v/>
      </c>
      <c r="AL45" s="1" t="n"/>
    </row>
    <row r="46">
      <c r="A46" s="1" t="n"/>
      <c r="B46" s="1" t="n">
        <v>39</v>
      </c>
      <c r="C46" s="34">
        <f>EDATE(Debts!$J$13,B46-1)</f>
        <v/>
      </c>
      <c r="D46" s="33">
        <f>IF(G45&lt;=0.005,0,Debts!$E$16+Debts!$J$7)</f>
        <v/>
      </c>
      <c r="E46" s="33">
        <f>MAX(0,D46-(SUMIF($H$5:$AK$5,"Due",H46:AK46)-SUMIF($H$5:$AK$5,"Rem",H46:AK46)))</f>
        <v/>
      </c>
      <c r="F46" s="33">
        <f>SUMIF($H$5:$AK$5,"Due",H46:AK46)-SUMIF($H$5:$AK$5,"Bal",H45:AK45)</f>
        <v/>
      </c>
      <c r="G46" s="33">
        <f>SUMIF($H$5:$AK$5,"Bal",H46:AK46)</f>
        <v/>
      </c>
      <c r="H46" s="33">
        <f>J45*(1+N(Debts!$D$6)/1200)</f>
        <v/>
      </c>
      <c r="I46" s="33">
        <f>H46-MIN(N(Debts!$E$6),H46)</f>
        <v/>
      </c>
      <c r="J46" s="33">
        <f>IF(I46&lt;=0.005,0,I46-MIN(I46,MAX(0,$E46-SUMIFS(H46:AK46,$H$5:$AK$5,"Rem",$H$4:$AK$4,"&lt;"&amp;J$4))))</f>
        <v/>
      </c>
      <c r="K46" s="33">
        <f>M45*(1+N(Debts!$D$7)/1200)</f>
        <v/>
      </c>
      <c r="L46" s="33">
        <f>K46-MIN(N(Debts!$E$7),K46)</f>
        <v/>
      </c>
      <c r="M46" s="33">
        <f>IF(L46&lt;=0.005,0,L46-MIN(L46,MAX(0,$E46-SUMIFS(H46:AK46,$H$5:$AK$5,"Rem",$H$4:$AK$4,"&lt;"&amp;M$4))))</f>
        <v/>
      </c>
      <c r="N46" s="33">
        <f>P45*(1+N(Debts!$D$8)/1200)</f>
        <v/>
      </c>
      <c r="O46" s="33">
        <f>N46-MIN(N(Debts!$E$8),N46)</f>
        <v/>
      </c>
      <c r="P46" s="33">
        <f>IF(O46&lt;=0.005,0,O46-MIN(O46,MAX(0,$E46-SUMIFS(H46:AK46,$H$5:$AK$5,"Rem",$H$4:$AK$4,"&lt;"&amp;P$4))))</f>
        <v/>
      </c>
      <c r="Q46" s="33">
        <f>S45*(1+N(Debts!$D$9)/1200)</f>
        <v/>
      </c>
      <c r="R46" s="33">
        <f>Q46-MIN(N(Debts!$E$9),Q46)</f>
        <v/>
      </c>
      <c r="S46" s="33">
        <f>IF(R46&lt;=0.005,0,R46-MIN(R46,MAX(0,$E46-SUMIFS(H46:AK46,$H$5:$AK$5,"Rem",$H$4:$AK$4,"&lt;"&amp;S$4))))</f>
        <v/>
      </c>
      <c r="T46" s="33">
        <f>V45*(1+N(Debts!$D$10)/1200)</f>
        <v/>
      </c>
      <c r="U46" s="33">
        <f>T46-MIN(N(Debts!$E$10),T46)</f>
        <v/>
      </c>
      <c r="V46" s="33">
        <f>IF(U46&lt;=0.005,0,U46-MIN(U46,MAX(0,$E46-SUMIFS(H46:AK46,$H$5:$AK$5,"Rem",$H$4:$AK$4,"&lt;"&amp;V$4))))</f>
        <v/>
      </c>
      <c r="W46" s="33">
        <f>Y45*(1+N(Debts!$D$11)/1200)</f>
        <v/>
      </c>
      <c r="X46" s="33">
        <f>W46-MIN(N(Debts!$E$11),W46)</f>
        <v/>
      </c>
      <c r="Y46" s="33">
        <f>IF(X46&lt;=0.005,0,X46-MIN(X46,MAX(0,$E46-SUMIFS(H46:AK46,$H$5:$AK$5,"Rem",$H$4:$AK$4,"&lt;"&amp;Y$4))))</f>
        <v/>
      </c>
      <c r="Z46" s="33">
        <f>AB45*(1+N(Debts!$D$12)/1200)</f>
        <v/>
      </c>
      <c r="AA46" s="33">
        <f>Z46-MIN(N(Debts!$E$12),Z46)</f>
        <v/>
      </c>
      <c r="AB46" s="33">
        <f>IF(AA46&lt;=0.005,0,AA46-MIN(AA46,MAX(0,$E46-SUMIFS(H46:AK46,$H$5:$AK$5,"Rem",$H$4:$AK$4,"&lt;"&amp;AB$4))))</f>
        <v/>
      </c>
      <c r="AC46" s="33">
        <f>AE45*(1+N(Debts!$D$13)/1200)</f>
        <v/>
      </c>
      <c r="AD46" s="33">
        <f>AC46-MIN(N(Debts!$E$13),AC46)</f>
        <v/>
      </c>
      <c r="AE46" s="33">
        <f>IF(AD46&lt;=0.005,0,AD46-MIN(AD46,MAX(0,$E46-SUMIFS(H46:AK46,$H$5:$AK$5,"Rem",$H$4:$AK$4,"&lt;"&amp;AE$4))))</f>
        <v/>
      </c>
      <c r="AF46" s="33">
        <f>AH45*(1+N(Debts!$D$14)/1200)</f>
        <v/>
      </c>
      <c r="AG46" s="33">
        <f>AF46-MIN(N(Debts!$E$14),AF46)</f>
        <v/>
      </c>
      <c r="AH46" s="33">
        <f>IF(AG46&lt;=0.005,0,AG46-MIN(AG46,MAX(0,$E46-SUMIFS(H46:AK46,$H$5:$AK$5,"Rem",$H$4:$AK$4,"&lt;"&amp;AH$4))))</f>
        <v/>
      </c>
      <c r="AI46" s="33">
        <f>AK45*(1+N(Debts!$D$15)/1200)</f>
        <v/>
      </c>
      <c r="AJ46" s="33">
        <f>AI46-MIN(N(Debts!$E$15),AI46)</f>
        <v/>
      </c>
      <c r="AK46" s="33">
        <f>IF(AJ46&lt;=0.005,0,AJ46-MIN(AJ46,MAX(0,$E46-SUMIFS(H46:AK46,$H$5:$AK$5,"Rem",$H$4:$AK$4,"&lt;"&amp;AK$4))))</f>
        <v/>
      </c>
      <c r="AL46" s="1" t="n"/>
    </row>
    <row r="47">
      <c r="A47" s="1" t="n"/>
      <c r="B47" s="1" t="n">
        <v>40</v>
      </c>
      <c r="C47" s="34">
        <f>EDATE(Debts!$J$13,B47-1)</f>
        <v/>
      </c>
      <c r="D47" s="33">
        <f>IF(G46&lt;=0.005,0,Debts!$E$16+Debts!$J$7)</f>
        <v/>
      </c>
      <c r="E47" s="33">
        <f>MAX(0,D47-(SUMIF($H$5:$AK$5,"Due",H47:AK47)-SUMIF($H$5:$AK$5,"Rem",H47:AK47)))</f>
        <v/>
      </c>
      <c r="F47" s="33">
        <f>SUMIF($H$5:$AK$5,"Due",H47:AK47)-SUMIF($H$5:$AK$5,"Bal",H46:AK46)</f>
        <v/>
      </c>
      <c r="G47" s="33">
        <f>SUMIF($H$5:$AK$5,"Bal",H47:AK47)</f>
        <v/>
      </c>
      <c r="H47" s="33">
        <f>J46*(1+N(Debts!$D$6)/1200)</f>
        <v/>
      </c>
      <c r="I47" s="33">
        <f>H47-MIN(N(Debts!$E$6),H47)</f>
        <v/>
      </c>
      <c r="J47" s="33">
        <f>IF(I47&lt;=0.005,0,I47-MIN(I47,MAX(0,$E47-SUMIFS(H47:AK47,$H$5:$AK$5,"Rem",$H$4:$AK$4,"&lt;"&amp;J$4))))</f>
        <v/>
      </c>
      <c r="K47" s="33">
        <f>M46*(1+N(Debts!$D$7)/1200)</f>
        <v/>
      </c>
      <c r="L47" s="33">
        <f>K47-MIN(N(Debts!$E$7),K47)</f>
        <v/>
      </c>
      <c r="M47" s="33">
        <f>IF(L47&lt;=0.005,0,L47-MIN(L47,MAX(0,$E47-SUMIFS(H47:AK47,$H$5:$AK$5,"Rem",$H$4:$AK$4,"&lt;"&amp;M$4))))</f>
        <v/>
      </c>
      <c r="N47" s="33">
        <f>P46*(1+N(Debts!$D$8)/1200)</f>
        <v/>
      </c>
      <c r="O47" s="33">
        <f>N47-MIN(N(Debts!$E$8),N47)</f>
        <v/>
      </c>
      <c r="P47" s="33">
        <f>IF(O47&lt;=0.005,0,O47-MIN(O47,MAX(0,$E47-SUMIFS(H47:AK47,$H$5:$AK$5,"Rem",$H$4:$AK$4,"&lt;"&amp;P$4))))</f>
        <v/>
      </c>
      <c r="Q47" s="33">
        <f>S46*(1+N(Debts!$D$9)/1200)</f>
        <v/>
      </c>
      <c r="R47" s="33">
        <f>Q47-MIN(N(Debts!$E$9),Q47)</f>
        <v/>
      </c>
      <c r="S47" s="33">
        <f>IF(R47&lt;=0.005,0,R47-MIN(R47,MAX(0,$E47-SUMIFS(H47:AK47,$H$5:$AK$5,"Rem",$H$4:$AK$4,"&lt;"&amp;S$4))))</f>
        <v/>
      </c>
      <c r="T47" s="33">
        <f>V46*(1+N(Debts!$D$10)/1200)</f>
        <v/>
      </c>
      <c r="U47" s="33">
        <f>T47-MIN(N(Debts!$E$10),T47)</f>
        <v/>
      </c>
      <c r="V47" s="33">
        <f>IF(U47&lt;=0.005,0,U47-MIN(U47,MAX(0,$E47-SUMIFS(H47:AK47,$H$5:$AK$5,"Rem",$H$4:$AK$4,"&lt;"&amp;V$4))))</f>
        <v/>
      </c>
      <c r="W47" s="33">
        <f>Y46*(1+N(Debts!$D$11)/1200)</f>
        <v/>
      </c>
      <c r="X47" s="33">
        <f>W47-MIN(N(Debts!$E$11),W47)</f>
        <v/>
      </c>
      <c r="Y47" s="33">
        <f>IF(X47&lt;=0.005,0,X47-MIN(X47,MAX(0,$E47-SUMIFS(H47:AK47,$H$5:$AK$5,"Rem",$H$4:$AK$4,"&lt;"&amp;Y$4))))</f>
        <v/>
      </c>
      <c r="Z47" s="33">
        <f>AB46*(1+N(Debts!$D$12)/1200)</f>
        <v/>
      </c>
      <c r="AA47" s="33">
        <f>Z47-MIN(N(Debts!$E$12),Z47)</f>
        <v/>
      </c>
      <c r="AB47" s="33">
        <f>IF(AA47&lt;=0.005,0,AA47-MIN(AA47,MAX(0,$E47-SUMIFS(H47:AK47,$H$5:$AK$5,"Rem",$H$4:$AK$4,"&lt;"&amp;AB$4))))</f>
        <v/>
      </c>
      <c r="AC47" s="33">
        <f>AE46*(1+N(Debts!$D$13)/1200)</f>
        <v/>
      </c>
      <c r="AD47" s="33">
        <f>AC47-MIN(N(Debts!$E$13),AC47)</f>
        <v/>
      </c>
      <c r="AE47" s="33">
        <f>IF(AD47&lt;=0.005,0,AD47-MIN(AD47,MAX(0,$E47-SUMIFS(H47:AK47,$H$5:$AK$5,"Rem",$H$4:$AK$4,"&lt;"&amp;AE$4))))</f>
        <v/>
      </c>
      <c r="AF47" s="33">
        <f>AH46*(1+N(Debts!$D$14)/1200)</f>
        <v/>
      </c>
      <c r="AG47" s="33">
        <f>AF47-MIN(N(Debts!$E$14),AF47)</f>
        <v/>
      </c>
      <c r="AH47" s="33">
        <f>IF(AG47&lt;=0.005,0,AG47-MIN(AG47,MAX(0,$E47-SUMIFS(H47:AK47,$H$5:$AK$5,"Rem",$H$4:$AK$4,"&lt;"&amp;AH$4))))</f>
        <v/>
      </c>
      <c r="AI47" s="33">
        <f>AK46*(1+N(Debts!$D$15)/1200)</f>
        <v/>
      </c>
      <c r="AJ47" s="33">
        <f>AI47-MIN(N(Debts!$E$15),AI47)</f>
        <v/>
      </c>
      <c r="AK47" s="33">
        <f>IF(AJ47&lt;=0.005,0,AJ47-MIN(AJ47,MAX(0,$E47-SUMIFS(H47:AK47,$H$5:$AK$5,"Rem",$H$4:$AK$4,"&lt;"&amp;AK$4))))</f>
        <v/>
      </c>
      <c r="AL47" s="1" t="n"/>
    </row>
    <row r="48">
      <c r="A48" s="1" t="n"/>
      <c r="B48" s="1" t="n">
        <v>41</v>
      </c>
      <c r="C48" s="34">
        <f>EDATE(Debts!$J$13,B48-1)</f>
        <v/>
      </c>
      <c r="D48" s="33">
        <f>IF(G47&lt;=0.005,0,Debts!$E$16+Debts!$J$7)</f>
        <v/>
      </c>
      <c r="E48" s="33">
        <f>MAX(0,D48-(SUMIF($H$5:$AK$5,"Due",H48:AK48)-SUMIF($H$5:$AK$5,"Rem",H48:AK48)))</f>
        <v/>
      </c>
      <c r="F48" s="33">
        <f>SUMIF($H$5:$AK$5,"Due",H48:AK48)-SUMIF($H$5:$AK$5,"Bal",H47:AK47)</f>
        <v/>
      </c>
      <c r="G48" s="33">
        <f>SUMIF($H$5:$AK$5,"Bal",H48:AK48)</f>
        <v/>
      </c>
      <c r="H48" s="33">
        <f>J47*(1+N(Debts!$D$6)/1200)</f>
        <v/>
      </c>
      <c r="I48" s="33">
        <f>H48-MIN(N(Debts!$E$6),H48)</f>
        <v/>
      </c>
      <c r="J48" s="33">
        <f>IF(I48&lt;=0.005,0,I48-MIN(I48,MAX(0,$E48-SUMIFS(H48:AK48,$H$5:$AK$5,"Rem",$H$4:$AK$4,"&lt;"&amp;J$4))))</f>
        <v/>
      </c>
      <c r="K48" s="33">
        <f>M47*(1+N(Debts!$D$7)/1200)</f>
        <v/>
      </c>
      <c r="L48" s="33">
        <f>K48-MIN(N(Debts!$E$7),K48)</f>
        <v/>
      </c>
      <c r="M48" s="33">
        <f>IF(L48&lt;=0.005,0,L48-MIN(L48,MAX(0,$E48-SUMIFS(H48:AK48,$H$5:$AK$5,"Rem",$H$4:$AK$4,"&lt;"&amp;M$4))))</f>
        <v/>
      </c>
      <c r="N48" s="33">
        <f>P47*(1+N(Debts!$D$8)/1200)</f>
        <v/>
      </c>
      <c r="O48" s="33">
        <f>N48-MIN(N(Debts!$E$8),N48)</f>
        <v/>
      </c>
      <c r="P48" s="33">
        <f>IF(O48&lt;=0.005,0,O48-MIN(O48,MAX(0,$E48-SUMIFS(H48:AK48,$H$5:$AK$5,"Rem",$H$4:$AK$4,"&lt;"&amp;P$4))))</f>
        <v/>
      </c>
      <c r="Q48" s="33">
        <f>S47*(1+N(Debts!$D$9)/1200)</f>
        <v/>
      </c>
      <c r="R48" s="33">
        <f>Q48-MIN(N(Debts!$E$9),Q48)</f>
        <v/>
      </c>
      <c r="S48" s="33">
        <f>IF(R48&lt;=0.005,0,R48-MIN(R48,MAX(0,$E48-SUMIFS(H48:AK48,$H$5:$AK$5,"Rem",$H$4:$AK$4,"&lt;"&amp;S$4))))</f>
        <v/>
      </c>
      <c r="T48" s="33">
        <f>V47*(1+N(Debts!$D$10)/1200)</f>
        <v/>
      </c>
      <c r="U48" s="33">
        <f>T48-MIN(N(Debts!$E$10),T48)</f>
        <v/>
      </c>
      <c r="V48" s="33">
        <f>IF(U48&lt;=0.005,0,U48-MIN(U48,MAX(0,$E48-SUMIFS(H48:AK48,$H$5:$AK$5,"Rem",$H$4:$AK$4,"&lt;"&amp;V$4))))</f>
        <v/>
      </c>
      <c r="W48" s="33">
        <f>Y47*(1+N(Debts!$D$11)/1200)</f>
        <v/>
      </c>
      <c r="X48" s="33">
        <f>W48-MIN(N(Debts!$E$11),W48)</f>
        <v/>
      </c>
      <c r="Y48" s="33">
        <f>IF(X48&lt;=0.005,0,X48-MIN(X48,MAX(0,$E48-SUMIFS(H48:AK48,$H$5:$AK$5,"Rem",$H$4:$AK$4,"&lt;"&amp;Y$4))))</f>
        <v/>
      </c>
      <c r="Z48" s="33">
        <f>AB47*(1+N(Debts!$D$12)/1200)</f>
        <v/>
      </c>
      <c r="AA48" s="33">
        <f>Z48-MIN(N(Debts!$E$12),Z48)</f>
        <v/>
      </c>
      <c r="AB48" s="33">
        <f>IF(AA48&lt;=0.005,0,AA48-MIN(AA48,MAX(0,$E48-SUMIFS(H48:AK48,$H$5:$AK$5,"Rem",$H$4:$AK$4,"&lt;"&amp;AB$4))))</f>
        <v/>
      </c>
      <c r="AC48" s="33">
        <f>AE47*(1+N(Debts!$D$13)/1200)</f>
        <v/>
      </c>
      <c r="AD48" s="33">
        <f>AC48-MIN(N(Debts!$E$13),AC48)</f>
        <v/>
      </c>
      <c r="AE48" s="33">
        <f>IF(AD48&lt;=0.005,0,AD48-MIN(AD48,MAX(0,$E48-SUMIFS(H48:AK48,$H$5:$AK$5,"Rem",$H$4:$AK$4,"&lt;"&amp;AE$4))))</f>
        <v/>
      </c>
      <c r="AF48" s="33">
        <f>AH47*(1+N(Debts!$D$14)/1200)</f>
        <v/>
      </c>
      <c r="AG48" s="33">
        <f>AF48-MIN(N(Debts!$E$14),AF48)</f>
        <v/>
      </c>
      <c r="AH48" s="33">
        <f>IF(AG48&lt;=0.005,0,AG48-MIN(AG48,MAX(0,$E48-SUMIFS(H48:AK48,$H$5:$AK$5,"Rem",$H$4:$AK$4,"&lt;"&amp;AH$4))))</f>
        <v/>
      </c>
      <c r="AI48" s="33">
        <f>AK47*(1+N(Debts!$D$15)/1200)</f>
        <v/>
      </c>
      <c r="AJ48" s="33">
        <f>AI48-MIN(N(Debts!$E$15),AI48)</f>
        <v/>
      </c>
      <c r="AK48" s="33">
        <f>IF(AJ48&lt;=0.005,0,AJ48-MIN(AJ48,MAX(0,$E48-SUMIFS(H48:AK48,$H$5:$AK$5,"Rem",$H$4:$AK$4,"&lt;"&amp;AK$4))))</f>
        <v/>
      </c>
      <c r="AL48" s="1" t="n"/>
    </row>
    <row r="49">
      <c r="A49" s="1" t="n"/>
      <c r="B49" s="1" t="n">
        <v>42</v>
      </c>
      <c r="C49" s="34">
        <f>EDATE(Debts!$J$13,B49-1)</f>
        <v/>
      </c>
      <c r="D49" s="33">
        <f>IF(G48&lt;=0.005,0,Debts!$E$16+Debts!$J$7)</f>
        <v/>
      </c>
      <c r="E49" s="33">
        <f>MAX(0,D49-(SUMIF($H$5:$AK$5,"Due",H49:AK49)-SUMIF($H$5:$AK$5,"Rem",H49:AK49)))</f>
        <v/>
      </c>
      <c r="F49" s="33">
        <f>SUMIF($H$5:$AK$5,"Due",H49:AK49)-SUMIF($H$5:$AK$5,"Bal",H48:AK48)</f>
        <v/>
      </c>
      <c r="G49" s="33">
        <f>SUMIF($H$5:$AK$5,"Bal",H49:AK49)</f>
        <v/>
      </c>
      <c r="H49" s="33">
        <f>J48*(1+N(Debts!$D$6)/1200)</f>
        <v/>
      </c>
      <c r="I49" s="33">
        <f>H49-MIN(N(Debts!$E$6),H49)</f>
        <v/>
      </c>
      <c r="J49" s="33">
        <f>IF(I49&lt;=0.005,0,I49-MIN(I49,MAX(0,$E49-SUMIFS(H49:AK49,$H$5:$AK$5,"Rem",$H$4:$AK$4,"&lt;"&amp;J$4))))</f>
        <v/>
      </c>
      <c r="K49" s="33">
        <f>M48*(1+N(Debts!$D$7)/1200)</f>
        <v/>
      </c>
      <c r="L49" s="33">
        <f>K49-MIN(N(Debts!$E$7),K49)</f>
        <v/>
      </c>
      <c r="M49" s="33">
        <f>IF(L49&lt;=0.005,0,L49-MIN(L49,MAX(0,$E49-SUMIFS(H49:AK49,$H$5:$AK$5,"Rem",$H$4:$AK$4,"&lt;"&amp;M$4))))</f>
        <v/>
      </c>
      <c r="N49" s="33">
        <f>P48*(1+N(Debts!$D$8)/1200)</f>
        <v/>
      </c>
      <c r="O49" s="33">
        <f>N49-MIN(N(Debts!$E$8),N49)</f>
        <v/>
      </c>
      <c r="P49" s="33">
        <f>IF(O49&lt;=0.005,0,O49-MIN(O49,MAX(0,$E49-SUMIFS(H49:AK49,$H$5:$AK$5,"Rem",$H$4:$AK$4,"&lt;"&amp;P$4))))</f>
        <v/>
      </c>
      <c r="Q49" s="33">
        <f>S48*(1+N(Debts!$D$9)/1200)</f>
        <v/>
      </c>
      <c r="R49" s="33">
        <f>Q49-MIN(N(Debts!$E$9),Q49)</f>
        <v/>
      </c>
      <c r="S49" s="33">
        <f>IF(R49&lt;=0.005,0,R49-MIN(R49,MAX(0,$E49-SUMIFS(H49:AK49,$H$5:$AK$5,"Rem",$H$4:$AK$4,"&lt;"&amp;S$4))))</f>
        <v/>
      </c>
      <c r="T49" s="33">
        <f>V48*(1+N(Debts!$D$10)/1200)</f>
        <v/>
      </c>
      <c r="U49" s="33">
        <f>T49-MIN(N(Debts!$E$10),T49)</f>
        <v/>
      </c>
      <c r="V49" s="33">
        <f>IF(U49&lt;=0.005,0,U49-MIN(U49,MAX(0,$E49-SUMIFS(H49:AK49,$H$5:$AK$5,"Rem",$H$4:$AK$4,"&lt;"&amp;V$4))))</f>
        <v/>
      </c>
      <c r="W49" s="33">
        <f>Y48*(1+N(Debts!$D$11)/1200)</f>
        <v/>
      </c>
      <c r="X49" s="33">
        <f>W49-MIN(N(Debts!$E$11),W49)</f>
        <v/>
      </c>
      <c r="Y49" s="33">
        <f>IF(X49&lt;=0.005,0,X49-MIN(X49,MAX(0,$E49-SUMIFS(H49:AK49,$H$5:$AK$5,"Rem",$H$4:$AK$4,"&lt;"&amp;Y$4))))</f>
        <v/>
      </c>
      <c r="Z49" s="33">
        <f>AB48*(1+N(Debts!$D$12)/1200)</f>
        <v/>
      </c>
      <c r="AA49" s="33">
        <f>Z49-MIN(N(Debts!$E$12),Z49)</f>
        <v/>
      </c>
      <c r="AB49" s="33">
        <f>IF(AA49&lt;=0.005,0,AA49-MIN(AA49,MAX(0,$E49-SUMIFS(H49:AK49,$H$5:$AK$5,"Rem",$H$4:$AK$4,"&lt;"&amp;AB$4))))</f>
        <v/>
      </c>
      <c r="AC49" s="33">
        <f>AE48*(1+N(Debts!$D$13)/1200)</f>
        <v/>
      </c>
      <c r="AD49" s="33">
        <f>AC49-MIN(N(Debts!$E$13),AC49)</f>
        <v/>
      </c>
      <c r="AE49" s="33">
        <f>IF(AD49&lt;=0.005,0,AD49-MIN(AD49,MAX(0,$E49-SUMIFS(H49:AK49,$H$5:$AK$5,"Rem",$H$4:$AK$4,"&lt;"&amp;AE$4))))</f>
        <v/>
      </c>
      <c r="AF49" s="33">
        <f>AH48*(1+N(Debts!$D$14)/1200)</f>
        <v/>
      </c>
      <c r="AG49" s="33">
        <f>AF49-MIN(N(Debts!$E$14),AF49)</f>
        <v/>
      </c>
      <c r="AH49" s="33">
        <f>IF(AG49&lt;=0.005,0,AG49-MIN(AG49,MAX(0,$E49-SUMIFS(H49:AK49,$H$5:$AK$5,"Rem",$H$4:$AK$4,"&lt;"&amp;AH$4))))</f>
        <v/>
      </c>
      <c r="AI49" s="33">
        <f>AK48*(1+N(Debts!$D$15)/1200)</f>
        <v/>
      </c>
      <c r="AJ49" s="33">
        <f>AI49-MIN(N(Debts!$E$15),AI49)</f>
        <v/>
      </c>
      <c r="AK49" s="33">
        <f>IF(AJ49&lt;=0.005,0,AJ49-MIN(AJ49,MAX(0,$E49-SUMIFS(H49:AK49,$H$5:$AK$5,"Rem",$H$4:$AK$4,"&lt;"&amp;AK$4))))</f>
        <v/>
      </c>
      <c r="AL49" s="1" t="n"/>
    </row>
    <row r="50">
      <c r="A50" s="1" t="n"/>
      <c r="B50" s="1" t="n">
        <v>43</v>
      </c>
      <c r="C50" s="34">
        <f>EDATE(Debts!$J$13,B50-1)</f>
        <v/>
      </c>
      <c r="D50" s="33">
        <f>IF(G49&lt;=0.005,0,Debts!$E$16+Debts!$J$7)</f>
        <v/>
      </c>
      <c r="E50" s="33">
        <f>MAX(0,D50-(SUMIF($H$5:$AK$5,"Due",H50:AK50)-SUMIF($H$5:$AK$5,"Rem",H50:AK50)))</f>
        <v/>
      </c>
      <c r="F50" s="33">
        <f>SUMIF($H$5:$AK$5,"Due",H50:AK50)-SUMIF($H$5:$AK$5,"Bal",H49:AK49)</f>
        <v/>
      </c>
      <c r="G50" s="33">
        <f>SUMIF($H$5:$AK$5,"Bal",H50:AK50)</f>
        <v/>
      </c>
      <c r="H50" s="33">
        <f>J49*(1+N(Debts!$D$6)/1200)</f>
        <v/>
      </c>
      <c r="I50" s="33">
        <f>H50-MIN(N(Debts!$E$6),H50)</f>
        <v/>
      </c>
      <c r="J50" s="33">
        <f>IF(I50&lt;=0.005,0,I50-MIN(I50,MAX(0,$E50-SUMIFS(H50:AK50,$H$5:$AK$5,"Rem",$H$4:$AK$4,"&lt;"&amp;J$4))))</f>
        <v/>
      </c>
      <c r="K50" s="33">
        <f>M49*(1+N(Debts!$D$7)/1200)</f>
        <v/>
      </c>
      <c r="L50" s="33">
        <f>K50-MIN(N(Debts!$E$7),K50)</f>
        <v/>
      </c>
      <c r="M50" s="33">
        <f>IF(L50&lt;=0.005,0,L50-MIN(L50,MAX(0,$E50-SUMIFS(H50:AK50,$H$5:$AK$5,"Rem",$H$4:$AK$4,"&lt;"&amp;M$4))))</f>
        <v/>
      </c>
      <c r="N50" s="33">
        <f>P49*(1+N(Debts!$D$8)/1200)</f>
        <v/>
      </c>
      <c r="O50" s="33">
        <f>N50-MIN(N(Debts!$E$8),N50)</f>
        <v/>
      </c>
      <c r="P50" s="33">
        <f>IF(O50&lt;=0.005,0,O50-MIN(O50,MAX(0,$E50-SUMIFS(H50:AK50,$H$5:$AK$5,"Rem",$H$4:$AK$4,"&lt;"&amp;P$4))))</f>
        <v/>
      </c>
      <c r="Q50" s="33">
        <f>S49*(1+N(Debts!$D$9)/1200)</f>
        <v/>
      </c>
      <c r="R50" s="33">
        <f>Q50-MIN(N(Debts!$E$9),Q50)</f>
        <v/>
      </c>
      <c r="S50" s="33">
        <f>IF(R50&lt;=0.005,0,R50-MIN(R50,MAX(0,$E50-SUMIFS(H50:AK50,$H$5:$AK$5,"Rem",$H$4:$AK$4,"&lt;"&amp;S$4))))</f>
        <v/>
      </c>
      <c r="T50" s="33">
        <f>V49*(1+N(Debts!$D$10)/1200)</f>
        <v/>
      </c>
      <c r="U50" s="33">
        <f>T50-MIN(N(Debts!$E$10),T50)</f>
        <v/>
      </c>
      <c r="V50" s="33">
        <f>IF(U50&lt;=0.005,0,U50-MIN(U50,MAX(0,$E50-SUMIFS(H50:AK50,$H$5:$AK$5,"Rem",$H$4:$AK$4,"&lt;"&amp;V$4))))</f>
        <v/>
      </c>
      <c r="W50" s="33">
        <f>Y49*(1+N(Debts!$D$11)/1200)</f>
        <v/>
      </c>
      <c r="X50" s="33">
        <f>W50-MIN(N(Debts!$E$11),W50)</f>
        <v/>
      </c>
      <c r="Y50" s="33">
        <f>IF(X50&lt;=0.005,0,X50-MIN(X50,MAX(0,$E50-SUMIFS(H50:AK50,$H$5:$AK$5,"Rem",$H$4:$AK$4,"&lt;"&amp;Y$4))))</f>
        <v/>
      </c>
      <c r="Z50" s="33">
        <f>AB49*(1+N(Debts!$D$12)/1200)</f>
        <v/>
      </c>
      <c r="AA50" s="33">
        <f>Z50-MIN(N(Debts!$E$12),Z50)</f>
        <v/>
      </c>
      <c r="AB50" s="33">
        <f>IF(AA50&lt;=0.005,0,AA50-MIN(AA50,MAX(0,$E50-SUMIFS(H50:AK50,$H$5:$AK$5,"Rem",$H$4:$AK$4,"&lt;"&amp;AB$4))))</f>
        <v/>
      </c>
      <c r="AC50" s="33">
        <f>AE49*(1+N(Debts!$D$13)/1200)</f>
        <v/>
      </c>
      <c r="AD50" s="33">
        <f>AC50-MIN(N(Debts!$E$13),AC50)</f>
        <v/>
      </c>
      <c r="AE50" s="33">
        <f>IF(AD50&lt;=0.005,0,AD50-MIN(AD50,MAX(0,$E50-SUMIFS(H50:AK50,$H$5:$AK$5,"Rem",$H$4:$AK$4,"&lt;"&amp;AE$4))))</f>
        <v/>
      </c>
      <c r="AF50" s="33">
        <f>AH49*(1+N(Debts!$D$14)/1200)</f>
        <v/>
      </c>
      <c r="AG50" s="33">
        <f>AF50-MIN(N(Debts!$E$14),AF50)</f>
        <v/>
      </c>
      <c r="AH50" s="33">
        <f>IF(AG50&lt;=0.005,0,AG50-MIN(AG50,MAX(0,$E50-SUMIFS(H50:AK50,$H$5:$AK$5,"Rem",$H$4:$AK$4,"&lt;"&amp;AH$4))))</f>
        <v/>
      </c>
      <c r="AI50" s="33">
        <f>AK49*(1+N(Debts!$D$15)/1200)</f>
        <v/>
      </c>
      <c r="AJ50" s="33">
        <f>AI50-MIN(N(Debts!$E$15),AI50)</f>
        <v/>
      </c>
      <c r="AK50" s="33">
        <f>IF(AJ50&lt;=0.005,0,AJ50-MIN(AJ50,MAX(0,$E50-SUMIFS(H50:AK50,$H$5:$AK$5,"Rem",$H$4:$AK$4,"&lt;"&amp;AK$4))))</f>
        <v/>
      </c>
      <c r="AL50" s="1" t="n"/>
    </row>
    <row r="51">
      <c r="A51" s="1" t="n"/>
      <c r="B51" s="1" t="n">
        <v>44</v>
      </c>
      <c r="C51" s="34">
        <f>EDATE(Debts!$J$13,B51-1)</f>
        <v/>
      </c>
      <c r="D51" s="33">
        <f>IF(G50&lt;=0.005,0,Debts!$E$16+Debts!$J$7)</f>
        <v/>
      </c>
      <c r="E51" s="33">
        <f>MAX(0,D51-(SUMIF($H$5:$AK$5,"Due",H51:AK51)-SUMIF($H$5:$AK$5,"Rem",H51:AK51)))</f>
        <v/>
      </c>
      <c r="F51" s="33">
        <f>SUMIF($H$5:$AK$5,"Due",H51:AK51)-SUMIF($H$5:$AK$5,"Bal",H50:AK50)</f>
        <v/>
      </c>
      <c r="G51" s="33">
        <f>SUMIF($H$5:$AK$5,"Bal",H51:AK51)</f>
        <v/>
      </c>
      <c r="H51" s="33">
        <f>J50*(1+N(Debts!$D$6)/1200)</f>
        <v/>
      </c>
      <c r="I51" s="33">
        <f>H51-MIN(N(Debts!$E$6),H51)</f>
        <v/>
      </c>
      <c r="J51" s="33">
        <f>IF(I51&lt;=0.005,0,I51-MIN(I51,MAX(0,$E51-SUMIFS(H51:AK51,$H$5:$AK$5,"Rem",$H$4:$AK$4,"&lt;"&amp;J$4))))</f>
        <v/>
      </c>
      <c r="K51" s="33">
        <f>M50*(1+N(Debts!$D$7)/1200)</f>
        <v/>
      </c>
      <c r="L51" s="33">
        <f>K51-MIN(N(Debts!$E$7),K51)</f>
        <v/>
      </c>
      <c r="M51" s="33">
        <f>IF(L51&lt;=0.005,0,L51-MIN(L51,MAX(0,$E51-SUMIFS(H51:AK51,$H$5:$AK$5,"Rem",$H$4:$AK$4,"&lt;"&amp;M$4))))</f>
        <v/>
      </c>
      <c r="N51" s="33">
        <f>P50*(1+N(Debts!$D$8)/1200)</f>
        <v/>
      </c>
      <c r="O51" s="33">
        <f>N51-MIN(N(Debts!$E$8),N51)</f>
        <v/>
      </c>
      <c r="P51" s="33">
        <f>IF(O51&lt;=0.005,0,O51-MIN(O51,MAX(0,$E51-SUMIFS(H51:AK51,$H$5:$AK$5,"Rem",$H$4:$AK$4,"&lt;"&amp;P$4))))</f>
        <v/>
      </c>
      <c r="Q51" s="33">
        <f>S50*(1+N(Debts!$D$9)/1200)</f>
        <v/>
      </c>
      <c r="R51" s="33">
        <f>Q51-MIN(N(Debts!$E$9),Q51)</f>
        <v/>
      </c>
      <c r="S51" s="33">
        <f>IF(R51&lt;=0.005,0,R51-MIN(R51,MAX(0,$E51-SUMIFS(H51:AK51,$H$5:$AK$5,"Rem",$H$4:$AK$4,"&lt;"&amp;S$4))))</f>
        <v/>
      </c>
      <c r="T51" s="33">
        <f>V50*(1+N(Debts!$D$10)/1200)</f>
        <v/>
      </c>
      <c r="U51" s="33">
        <f>T51-MIN(N(Debts!$E$10),T51)</f>
        <v/>
      </c>
      <c r="V51" s="33">
        <f>IF(U51&lt;=0.005,0,U51-MIN(U51,MAX(0,$E51-SUMIFS(H51:AK51,$H$5:$AK$5,"Rem",$H$4:$AK$4,"&lt;"&amp;V$4))))</f>
        <v/>
      </c>
      <c r="W51" s="33">
        <f>Y50*(1+N(Debts!$D$11)/1200)</f>
        <v/>
      </c>
      <c r="X51" s="33">
        <f>W51-MIN(N(Debts!$E$11),W51)</f>
        <v/>
      </c>
      <c r="Y51" s="33">
        <f>IF(X51&lt;=0.005,0,X51-MIN(X51,MAX(0,$E51-SUMIFS(H51:AK51,$H$5:$AK$5,"Rem",$H$4:$AK$4,"&lt;"&amp;Y$4))))</f>
        <v/>
      </c>
      <c r="Z51" s="33">
        <f>AB50*(1+N(Debts!$D$12)/1200)</f>
        <v/>
      </c>
      <c r="AA51" s="33">
        <f>Z51-MIN(N(Debts!$E$12),Z51)</f>
        <v/>
      </c>
      <c r="AB51" s="33">
        <f>IF(AA51&lt;=0.005,0,AA51-MIN(AA51,MAX(0,$E51-SUMIFS(H51:AK51,$H$5:$AK$5,"Rem",$H$4:$AK$4,"&lt;"&amp;AB$4))))</f>
        <v/>
      </c>
      <c r="AC51" s="33">
        <f>AE50*(1+N(Debts!$D$13)/1200)</f>
        <v/>
      </c>
      <c r="AD51" s="33">
        <f>AC51-MIN(N(Debts!$E$13),AC51)</f>
        <v/>
      </c>
      <c r="AE51" s="33">
        <f>IF(AD51&lt;=0.005,0,AD51-MIN(AD51,MAX(0,$E51-SUMIFS(H51:AK51,$H$5:$AK$5,"Rem",$H$4:$AK$4,"&lt;"&amp;AE$4))))</f>
        <v/>
      </c>
      <c r="AF51" s="33">
        <f>AH50*(1+N(Debts!$D$14)/1200)</f>
        <v/>
      </c>
      <c r="AG51" s="33">
        <f>AF51-MIN(N(Debts!$E$14),AF51)</f>
        <v/>
      </c>
      <c r="AH51" s="33">
        <f>IF(AG51&lt;=0.005,0,AG51-MIN(AG51,MAX(0,$E51-SUMIFS(H51:AK51,$H$5:$AK$5,"Rem",$H$4:$AK$4,"&lt;"&amp;AH$4))))</f>
        <v/>
      </c>
      <c r="AI51" s="33">
        <f>AK50*(1+N(Debts!$D$15)/1200)</f>
        <v/>
      </c>
      <c r="AJ51" s="33">
        <f>AI51-MIN(N(Debts!$E$15),AI51)</f>
        <v/>
      </c>
      <c r="AK51" s="33">
        <f>IF(AJ51&lt;=0.005,0,AJ51-MIN(AJ51,MAX(0,$E51-SUMIFS(H51:AK51,$H$5:$AK$5,"Rem",$H$4:$AK$4,"&lt;"&amp;AK$4))))</f>
        <v/>
      </c>
      <c r="AL51" s="1" t="n"/>
    </row>
    <row r="52">
      <c r="A52" s="1" t="n"/>
      <c r="B52" s="1" t="n">
        <v>45</v>
      </c>
      <c r="C52" s="34">
        <f>EDATE(Debts!$J$13,B52-1)</f>
        <v/>
      </c>
      <c r="D52" s="33">
        <f>IF(G51&lt;=0.005,0,Debts!$E$16+Debts!$J$7)</f>
        <v/>
      </c>
      <c r="E52" s="33">
        <f>MAX(0,D52-(SUMIF($H$5:$AK$5,"Due",H52:AK52)-SUMIF($H$5:$AK$5,"Rem",H52:AK52)))</f>
        <v/>
      </c>
      <c r="F52" s="33">
        <f>SUMIF($H$5:$AK$5,"Due",H52:AK52)-SUMIF($H$5:$AK$5,"Bal",H51:AK51)</f>
        <v/>
      </c>
      <c r="G52" s="33">
        <f>SUMIF($H$5:$AK$5,"Bal",H52:AK52)</f>
        <v/>
      </c>
      <c r="H52" s="33">
        <f>J51*(1+N(Debts!$D$6)/1200)</f>
        <v/>
      </c>
      <c r="I52" s="33">
        <f>H52-MIN(N(Debts!$E$6),H52)</f>
        <v/>
      </c>
      <c r="J52" s="33">
        <f>IF(I52&lt;=0.005,0,I52-MIN(I52,MAX(0,$E52-SUMIFS(H52:AK52,$H$5:$AK$5,"Rem",$H$4:$AK$4,"&lt;"&amp;J$4))))</f>
        <v/>
      </c>
      <c r="K52" s="33">
        <f>M51*(1+N(Debts!$D$7)/1200)</f>
        <v/>
      </c>
      <c r="L52" s="33">
        <f>K52-MIN(N(Debts!$E$7),K52)</f>
        <v/>
      </c>
      <c r="M52" s="33">
        <f>IF(L52&lt;=0.005,0,L52-MIN(L52,MAX(0,$E52-SUMIFS(H52:AK52,$H$5:$AK$5,"Rem",$H$4:$AK$4,"&lt;"&amp;M$4))))</f>
        <v/>
      </c>
      <c r="N52" s="33">
        <f>P51*(1+N(Debts!$D$8)/1200)</f>
        <v/>
      </c>
      <c r="O52" s="33">
        <f>N52-MIN(N(Debts!$E$8),N52)</f>
        <v/>
      </c>
      <c r="P52" s="33">
        <f>IF(O52&lt;=0.005,0,O52-MIN(O52,MAX(0,$E52-SUMIFS(H52:AK52,$H$5:$AK$5,"Rem",$H$4:$AK$4,"&lt;"&amp;P$4))))</f>
        <v/>
      </c>
      <c r="Q52" s="33">
        <f>S51*(1+N(Debts!$D$9)/1200)</f>
        <v/>
      </c>
      <c r="R52" s="33">
        <f>Q52-MIN(N(Debts!$E$9),Q52)</f>
        <v/>
      </c>
      <c r="S52" s="33">
        <f>IF(R52&lt;=0.005,0,R52-MIN(R52,MAX(0,$E52-SUMIFS(H52:AK52,$H$5:$AK$5,"Rem",$H$4:$AK$4,"&lt;"&amp;S$4))))</f>
        <v/>
      </c>
      <c r="T52" s="33">
        <f>V51*(1+N(Debts!$D$10)/1200)</f>
        <v/>
      </c>
      <c r="U52" s="33">
        <f>T52-MIN(N(Debts!$E$10),T52)</f>
        <v/>
      </c>
      <c r="V52" s="33">
        <f>IF(U52&lt;=0.005,0,U52-MIN(U52,MAX(0,$E52-SUMIFS(H52:AK52,$H$5:$AK$5,"Rem",$H$4:$AK$4,"&lt;"&amp;V$4))))</f>
        <v/>
      </c>
      <c r="W52" s="33">
        <f>Y51*(1+N(Debts!$D$11)/1200)</f>
        <v/>
      </c>
      <c r="X52" s="33">
        <f>W52-MIN(N(Debts!$E$11),W52)</f>
        <v/>
      </c>
      <c r="Y52" s="33">
        <f>IF(X52&lt;=0.005,0,X52-MIN(X52,MAX(0,$E52-SUMIFS(H52:AK52,$H$5:$AK$5,"Rem",$H$4:$AK$4,"&lt;"&amp;Y$4))))</f>
        <v/>
      </c>
      <c r="Z52" s="33">
        <f>AB51*(1+N(Debts!$D$12)/1200)</f>
        <v/>
      </c>
      <c r="AA52" s="33">
        <f>Z52-MIN(N(Debts!$E$12),Z52)</f>
        <v/>
      </c>
      <c r="AB52" s="33">
        <f>IF(AA52&lt;=0.005,0,AA52-MIN(AA52,MAX(0,$E52-SUMIFS(H52:AK52,$H$5:$AK$5,"Rem",$H$4:$AK$4,"&lt;"&amp;AB$4))))</f>
        <v/>
      </c>
      <c r="AC52" s="33">
        <f>AE51*(1+N(Debts!$D$13)/1200)</f>
        <v/>
      </c>
      <c r="AD52" s="33">
        <f>AC52-MIN(N(Debts!$E$13),AC52)</f>
        <v/>
      </c>
      <c r="AE52" s="33">
        <f>IF(AD52&lt;=0.005,0,AD52-MIN(AD52,MAX(0,$E52-SUMIFS(H52:AK52,$H$5:$AK$5,"Rem",$H$4:$AK$4,"&lt;"&amp;AE$4))))</f>
        <v/>
      </c>
      <c r="AF52" s="33">
        <f>AH51*(1+N(Debts!$D$14)/1200)</f>
        <v/>
      </c>
      <c r="AG52" s="33">
        <f>AF52-MIN(N(Debts!$E$14),AF52)</f>
        <v/>
      </c>
      <c r="AH52" s="33">
        <f>IF(AG52&lt;=0.005,0,AG52-MIN(AG52,MAX(0,$E52-SUMIFS(H52:AK52,$H$5:$AK$5,"Rem",$H$4:$AK$4,"&lt;"&amp;AH$4))))</f>
        <v/>
      </c>
      <c r="AI52" s="33">
        <f>AK51*(1+N(Debts!$D$15)/1200)</f>
        <v/>
      </c>
      <c r="AJ52" s="33">
        <f>AI52-MIN(N(Debts!$E$15),AI52)</f>
        <v/>
      </c>
      <c r="AK52" s="33">
        <f>IF(AJ52&lt;=0.005,0,AJ52-MIN(AJ52,MAX(0,$E52-SUMIFS(H52:AK52,$H$5:$AK$5,"Rem",$H$4:$AK$4,"&lt;"&amp;AK$4))))</f>
        <v/>
      </c>
      <c r="AL52" s="1" t="n"/>
    </row>
    <row r="53">
      <c r="A53" s="1" t="n"/>
      <c r="B53" s="1" t="n">
        <v>46</v>
      </c>
      <c r="C53" s="34">
        <f>EDATE(Debts!$J$13,B53-1)</f>
        <v/>
      </c>
      <c r="D53" s="33">
        <f>IF(G52&lt;=0.005,0,Debts!$E$16+Debts!$J$7)</f>
        <v/>
      </c>
      <c r="E53" s="33">
        <f>MAX(0,D53-(SUMIF($H$5:$AK$5,"Due",H53:AK53)-SUMIF($H$5:$AK$5,"Rem",H53:AK53)))</f>
        <v/>
      </c>
      <c r="F53" s="33">
        <f>SUMIF($H$5:$AK$5,"Due",H53:AK53)-SUMIF($H$5:$AK$5,"Bal",H52:AK52)</f>
        <v/>
      </c>
      <c r="G53" s="33">
        <f>SUMIF($H$5:$AK$5,"Bal",H53:AK53)</f>
        <v/>
      </c>
      <c r="H53" s="33">
        <f>J52*(1+N(Debts!$D$6)/1200)</f>
        <v/>
      </c>
      <c r="I53" s="33">
        <f>H53-MIN(N(Debts!$E$6),H53)</f>
        <v/>
      </c>
      <c r="J53" s="33">
        <f>IF(I53&lt;=0.005,0,I53-MIN(I53,MAX(0,$E53-SUMIFS(H53:AK53,$H$5:$AK$5,"Rem",$H$4:$AK$4,"&lt;"&amp;J$4))))</f>
        <v/>
      </c>
      <c r="K53" s="33">
        <f>M52*(1+N(Debts!$D$7)/1200)</f>
        <v/>
      </c>
      <c r="L53" s="33">
        <f>K53-MIN(N(Debts!$E$7),K53)</f>
        <v/>
      </c>
      <c r="M53" s="33">
        <f>IF(L53&lt;=0.005,0,L53-MIN(L53,MAX(0,$E53-SUMIFS(H53:AK53,$H$5:$AK$5,"Rem",$H$4:$AK$4,"&lt;"&amp;M$4))))</f>
        <v/>
      </c>
      <c r="N53" s="33">
        <f>P52*(1+N(Debts!$D$8)/1200)</f>
        <v/>
      </c>
      <c r="O53" s="33">
        <f>N53-MIN(N(Debts!$E$8),N53)</f>
        <v/>
      </c>
      <c r="P53" s="33">
        <f>IF(O53&lt;=0.005,0,O53-MIN(O53,MAX(0,$E53-SUMIFS(H53:AK53,$H$5:$AK$5,"Rem",$H$4:$AK$4,"&lt;"&amp;P$4))))</f>
        <v/>
      </c>
      <c r="Q53" s="33">
        <f>S52*(1+N(Debts!$D$9)/1200)</f>
        <v/>
      </c>
      <c r="R53" s="33">
        <f>Q53-MIN(N(Debts!$E$9),Q53)</f>
        <v/>
      </c>
      <c r="S53" s="33">
        <f>IF(R53&lt;=0.005,0,R53-MIN(R53,MAX(0,$E53-SUMIFS(H53:AK53,$H$5:$AK$5,"Rem",$H$4:$AK$4,"&lt;"&amp;S$4))))</f>
        <v/>
      </c>
      <c r="T53" s="33">
        <f>V52*(1+N(Debts!$D$10)/1200)</f>
        <v/>
      </c>
      <c r="U53" s="33">
        <f>T53-MIN(N(Debts!$E$10),T53)</f>
        <v/>
      </c>
      <c r="V53" s="33">
        <f>IF(U53&lt;=0.005,0,U53-MIN(U53,MAX(0,$E53-SUMIFS(H53:AK53,$H$5:$AK$5,"Rem",$H$4:$AK$4,"&lt;"&amp;V$4))))</f>
        <v/>
      </c>
      <c r="W53" s="33">
        <f>Y52*(1+N(Debts!$D$11)/1200)</f>
        <v/>
      </c>
      <c r="X53" s="33">
        <f>W53-MIN(N(Debts!$E$11),W53)</f>
        <v/>
      </c>
      <c r="Y53" s="33">
        <f>IF(X53&lt;=0.005,0,X53-MIN(X53,MAX(0,$E53-SUMIFS(H53:AK53,$H$5:$AK$5,"Rem",$H$4:$AK$4,"&lt;"&amp;Y$4))))</f>
        <v/>
      </c>
      <c r="Z53" s="33">
        <f>AB52*(1+N(Debts!$D$12)/1200)</f>
        <v/>
      </c>
      <c r="AA53" s="33">
        <f>Z53-MIN(N(Debts!$E$12),Z53)</f>
        <v/>
      </c>
      <c r="AB53" s="33">
        <f>IF(AA53&lt;=0.005,0,AA53-MIN(AA53,MAX(0,$E53-SUMIFS(H53:AK53,$H$5:$AK$5,"Rem",$H$4:$AK$4,"&lt;"&amp;AB$4))))</f>
        <v/>
      </c>
      <c r="AC53" s="33">
        <f>AE52*(1+N(Debts!$D$13)/1200)</f>
        <v/>
      </c>
      <c r="AD53" s="33">
        <f>AC53-MIN(N(Debts!$E$13),AC53)</f>
        <v/>
      </c>
      <c r="AE53" s="33">
        <f>IF(AD53&lt;=0.005,0,AD53-MIN(AD53,MAX(0,$E53-SUMIFS(H53:AK53,$H$5:$AK$5,"Rem",$H$4:$AK$4,"&lt;"&amp;AE$4))))</f>
        <v/>
      </c>
      <c r="AF53" s="33">
        <f>AH52*(1+N(Debts!$D$14)/1200)</f>
        <v/>
      </c>
      <c r="AG53" s="33">
        <f>AF53-MIN(N(Debts!$E$14),AF53)</f>
        <v/>
      </c>
      <c r="AH53" s="33">
        <f>IF(AG53&lt;=0.005,0,AG53-MIN(AG53,MAX(0,$E53-SUMIFS(H53:AK53,$H$5:$AK$5,"Rem",$H$4:$AK$4,"&lt;"&amp;AH$4))))</f>
        <v/>
      </c>
      <c r="AI53" s="33">
        <f>AK52*(1+N(Debts!$D$15)/1200)</f>
        <v/>
      </c>
      <c r="AJ53" s="33">
        <f>AI53-MIN(N(Debts!$E$15),AI53)</f>
        <v/>
      </c>
      <c r="AK53" s="33">
        <f>IF(AJ53&lt;=0.005,0,AJ53-MIN(AJ53,MAX(0,$E53-SUMIFS(H53:AK53,$H$5:$AK$5,"Rem",$H$4:$AK$4,"&lt;"&amp;AK$4))))</f>
        <v/>
      </c>
      <c r="AL53" s="1" t="n"/>
    </row>
    <row r="54">
      <c r="A54" s="1" t="n"/>
      <c r="B54" s="1" t="n">
        <v>47</v>
      </c>
      <c r="C54" s="34">
        <f>EDATE(Debts!$J$13,B54-1)</f>
        <v/>
      </c>
      <c r="D54" s="33">
        <f>IF(G53&lt;=0.005,0,Debts!$E$16+Debts!$J$7)</f>
        <v/>
      </c>
      <c r="E54" s="33">
        <f>MAX(0,D54-(SUMIF($H$5:$AK$5,"Due",H54:AK54)-SUMIF($H$5:$AK$5,"Rem",H54:AK54)))</f>
        <v/>
      </c>
      <c r="F54" s="33">
        <f>SUMIF($H$5:$AK$5,"Due",H54:AK54)-SUMIF($H$5:$AK$5,"Bal",H53:AK53)</f>
        <v/>
      </c>
      <c r="G54" s="33">
        <f>SUMIF($H$5:$AK$5,"Bal",H54:AK54)</f>
        <v/>
      </c>
      <c r="H54" s="33">
        <f>J53*(1+N(Debts!$D$6)/1200)</f>
        <v/>
      </c>
      <c r="I54" s="33">
        <f>H54-MIN(N(Debts!$E$6),H54)</f>
        <v/>
      </c>
      <c r="J54" s="33">
        <f>IF(I54&lt;=0.005,0,I54-MIN(I54,MAX(0,$E54-SUMIFS(H54:AK54,$H$5:$AK$5,"Rem",$H$4:$AK$4,"&lt;"&amp;J$4))))</f>
        <v/>
      </c>
      <c r="K54" s="33">
        <f>M53*(1+N(Debts!$D$7)/1200)</f>
        <v/>
      </c>
      <c r="L54" s="33">
        <f>K54-MIN(N(Debts!$E$7),K54)</f>
        <v/>
      </c>
      <c r="M54" s="33">
        <f>IF(L54&lt;=0.005,0,L54-MIN(L54,MAX(0,$E54-SUMIFS(H54:AK54,$H$5:$AK$5,"Rem",$H$4:$AK$4,"&lt;"&amp;M$4))))</f>
        <v/>
      </c>
      <c r="N54" s="33">
        <f>P53*(1+N(Debts!$D$8)/1200)</f>
        <v/>
      </c>
      <c r="O54" s="33">
        <f>N54-MIN(N(Debts!$E$8),N54)</f>
        <v/>
      </c>
      <c r="P54" s="33">
        <f>IF(O54&lt;=0.005,0,O54-MIN(O54,MAX(0,$E54-SUMIFS(H54:AK54,$H$5:$AK$5,"Rem",$H$4:$AK$4,"&lt;"&amp;P$4))))</f>
        <v/>
      </c>
      <c r="Q54" s="33">
        <f>S53*(1+N(Debts!$D$9)/1200)</f>
        <v/>
      </c>
      <c r="R54" s="33">
        <f>Q54-MIN(N(Debts!$E$9),Q54)</f>
        <v/>
      </c>
      <c r="S54" s="33">
        <f>IF(R54&lt;=0.005,0,R54-MIN(R54,MAX(0,$E54-SUMIFS(H54:AK54,$H$5:$AK$5,"Rem",$H$4:$AK$4,"&lt;"&amp;S$4))))</f>
        <v/>
      </c>
      <c r="T54" s="33">
        <f>V53*(1+N(Debts!$D$10)/1200)</f>
        <v/>
      </c>
      <c r="U54" s="33">
        <f>T54-MIN(N(Debts!$E$10),T54)</f>
        <v/>
      </c>
      <c r="V54" s="33">
        <f>IF(U54&lt;=0.005,0,U54-MIN(U54,MAX(0,$E54-SUMIFS(H54:AK54,$H$5:$AK$5,"Rem",$H$4:$AK$4,"&lt;"&amp;V$4))))</f>
        <v/>
      </c>
      <c r="W54" s="33">
        <f>Y53*(1+N(Debts!$D$11)/1200)</f>
        <v/>
      </c>
      <c r="X54" s="33">
        <f>W54-MIN(N(Debts!$E$11),W54)</f>
        <v/>
      </c>
      <c r="Y54" s="33">
        <f>IF(X54&lt;=0.005,0,X54-MIN(X54,MAX(0,$E54-SUMIFS(H54:AK54,$H$5:$AK$5,"Rem",$H$4:$AK$4,"&lt;"&amp;Y$4))))</f>
        <v/>
      </c>
      <c r="Z54" s="33">
        <f>AB53*(1+N(Debts!$D$12)/1200)</f>
        <v/>
      </c>
      <c r="AA54" s="33">
        <f>Z54-MIN(N(Debts!$E$12),Z54)</f>
        <v/>
      </c>
      <c r="AB54" s="33">
        <f>IF(AA54&lt;=0.005,0,AA54-MIN(AA54,MAX(0,$E54-SUMIFS(H54:AK54,$H$5:$AK$5,"Rem",$H$4:$AK$4,"&lt;"&amp;AB$4))))</f>
        <v/>
      </c>
      <c r="AC54" s="33">
        <f>AE53*(1+N(Debts!$D$13)/1200)</f>
        <v/>
      </c>
      <c r="AD54" s="33">
        <f>AC54-MIN(N(Debts!$E$13),AC54)</f>
        <v/>
      </c>
      <c r="AE54" s="33">
        <f>IF(AD54&lt;=0.005,0,AD54-MIN(AD54,MAX(0,$E54-SUMIFS(H54:AK54,$H$5:$AK$5,"Rem",$H$4:$AK$4,"&lt;"&amp;AE$4))))</f>
        <v/>
      </c>
      <c r="AF54" s="33">
        <f>AH53*(1+N(Debts!$D$14)/1200)</f>
        <v/>
      </c>
      <c r="AG54" s="33">
        <f>AF54-MIN(N(Debts!$E$14),AF54)</f>
        <v/>
      </c>
      <c r="AH54" s="33">
        <f>IF(AG54&lt;=0.005,0,AG54-MIN(AG54,MAX(0,$E54-SUMIFS(H54:AK54,$H$5:$AK$5,"Rem",$H$4:$AK$4,"&lt;"&amp;AH$4))))</f>
        <v/>
      </c>
      <c r="AI54" s="33">
        <f>AK53*(1+N(Debts!$D$15)/1200)</f>
        <v/>
      </c>
      <c r="AJ54" s="33">
        <f>AI54-MIN(N(Debts!$E$15),AI54)</f>
        <v/>
      </c>
      <c r="AK54" s="33">
        <f>IF(AJ54&lt;=0.005,0,AJ54-MIN(AJ54,MAX(0,$E54-SUMIFS(H54:AK54,$H$5:$AK$5,"Rem",$H$4:$AK$4,"&lt;"&amp;AK$4))))</f>
        <v/>
      </c>
      <c r="AL54" s="1" t="n"/>
    </row>
    <row r="55">
      <c r="A55" s="1" t="n"/>
      <c r="B55" s="1" t="n">
        <v>48</v>
      </c>
      <c r="C55" s="34">
        <f>EDATE(Debts!$J$13,B55-1)</f>
        <v/>
      </c>
      <c r="D55" s="33">
        <f>IF(G54&lt;=0.005,0,Debts!$E$16+Debts!$J$7)</f>
        <v/>
      </c>
      <c r="E55" s="33">
        <f>MAX(0,D55-(SUMIF($H$5:$AK$5,"Due",H55:AK55)-SUMIF($H$5:$AK$5,"Rem",H55:AK55)))</f>
        <v/>
      </c>
      <c r="F55" s="33">
        <f>SUMIF($H$5:$AK$5,"Due",H55:AK55)-SUMIF($H$5:$AK$5,"Bal",H54:AK54)</f>
        <v/>
      </c>
      <c r="G55" s="33">
        <f>SUMIF($H$5:$AK$5,"Bal",H55:AK55)</f>
        <v/>
      </c>
      <c r="H55" s="33">
        <f>J54*(1+N(Debts!$D$6)/1200)</f>
        <v/>
      </c>
      <c r="I55" s="33">
        <f>H55-MIN(N(Debts!$E$6),H55)</f>
        <v/>
      </c>
      <c r="J55" s="33">
        <f>IF(I55&lt;=0.005,0,I55-MIN(I55,MAX(0,$E55-SUMIFS(H55:AK55,$H$5:$AK$5,"Rem",$H$4:$AK$4,"&lt;"&amp;J$4))))</f>
        <v/>
      </c>
      <c r="K55" s="33">
        <f>M54*(1+N(Debts!$D$7)/1200)</f>
        <v/>
      </c>
      <c r="L55" s="33">
        <f>K55-MIN(N(Debts!$E$7),K55)</f>
        <v/>
      </c>
      <c r="M55" s="33">
        <f>IF(L55&lt;=0.005,0,L55-MIN(L55,MAX(0,$E55-SUMIFS(H55:AK55,$H$5:$AK$5,"Rem",$H$4:$AK$4,"&lt;"&amp;M$4))))</f>
        <v/>
      </c>
      <c r="N55" s="33">
        <f>P54*(1+N(Debts!$D$8)/1200)</f>
        <v/>
      </c>
      <c r="O55" s="33">
        <f>N55-MIN(N(Debts!$E$8),N55)</f>
        <v/>
      </c>
      <c r="P55" s="33">
        <f>IF(O55&lt;=0.005,0,O55-MIN(O55,MAX(0,$E55-SUMIFS(H55:AK55,$H$5:$AK$5,"Rem",$H$4:$AK$4,"&lt;"&amp;P$4))))</f>
        <v/>
      </c>
      <c r="Q55" s="33">
        <f>S54*(1+N(Debts!$D$9)/1200)</f>
        <v/>
      </c>
      <c r="R55" s="33">
        <f>Q55-MIN(N(Debts!$E$9),Q55)</f>
        <v/>
      </c>
      <c r="S55" s="33">
        <f>IF(R55&lt;=0.005,0,R55-MIN(R55,MAX(0,$E55-SUMIFS(H55:AK55,$H$5:$AK$5,"Rem",$H$4:$AK$4,"&lt;"&amp;S$4))))</f>
        <v/>
      </c>
      <c r="T55" s="33">
        <f>V54*(1+N(Debts!$D$10)/1200)</f>
        <v/>
      </c>
      <c r="U55" s="33">
        <f>T55-MIN(N(Debts!$E$10),T55)</f>
        <v/>
      </c>
      <c r="V55" s="33">
        <f>IF(U55&lt;=0.005,0,U55-MIN(U55,MAX(0,$E55-SUMIFS(H55:AK55,$H$5:$AK$5,"Rem",$H$4:$AK$4,"&lt;"&amp;V$4))))</f>
        <v/>
      </c>
      <c r="W55" s="33">
        <f>Y54*(1+N(Debts!$D$11)/1200)</f>
        <v/>
      </c>
      <c r="X55" s="33">
        <f>W55-MIN(N(Debts!$E$11),W55)</f>
        <v/>
      </c>
      <c r="Y55" s="33">
        <f>IF(X55&lt;=0.005,0,X55-MIN(X55,MAX(0,$E55-SUMIFS(H55:AK55,$H$5:$AK$5,"Rem",$H$4:$AK$4,"&lt;"&amp;Y$4))))</f>
        <v/>
      </c>
      <c r="Z55" s="33">
        <f>AB54*(1+N(Debts!$D$12)/1200)</f>
        <v/>
      </c>
      <c r="AA55" s="33">
        <f>Z55-MIN(N(Debts!$E$12),Z55)</f>
        <v/>
      </c>
      <c r="AB55" s="33">
        <f>IF(AA55&lt;=0.005,0,AA55-MIN(AA55,MAX(0,$E55-SUMIFS(H55:AK55,$H$5:$AK$5,"Rem",$H$4:$AK$4,"&lt;"&amp;AB$4))))</f>
        <v/>
      </c>
      <c r="AC55" s="33">
        <f>AE54*(1+N(Debts!$D$13)/1200)</f>
        <v/>
      </c>
      <c r="AD55" s="33">
        <f>AC55-MIN(N(Debts!$E$13),AC55)</f>
        <v/>
      </c>
      <c r="AE55" s="33">
        <f>IF(AD55&lt;=0.005,0,AD55-MIN(AD55,MAX(0,$E55-SUMIFS(H55:AK55,$H$5:$AK$5,"Rem",$H$4:$AK$4,"&lt;"&amp;AE$4))))</f>
        <v/>
      </c>
      <c r="AF55" s="33">
        <f>AH54*(1+N(Debts!$D$14)/1200)</f>
        <v/>
      </c>
      <c r="AG55" s="33">
        <f>AF55-MIN(N(Debts!$E$14),AF55)</f>
        <v/>
      </c>
      <c r="AH55" s="33">
        <f>IF(AG55&lt;=0.005,0,AG55-MIN(AG55,MAX(0,$E55-SUMIFS(H55:AK55,$H$5:$AK$5,"Rem",$H$4:$AK$4,"&lt;"&amp;AH$4))))</f>
        <v/>
      </c>
      <c r="AI55" s="33">
        <f>AK54*(1+N(Debts!$D$15)/1200)</f>
        <v/>
      </c>
      <c r="AJ55" s="33">
        <f>AI55-MIN(N(Debts!$E$15),AI55)</f>
        <v/>
      </c>
      <c r="AK55" s="33">
        <f>IF(AJ55&lt;=0.005,0,AJ55-MIN(AJ55,MAX(0,$E55-SUMIFS(H55:AK55,$H$5:$AK$5,"Rem",$H$4:$AK$4,"&lt;"&amp;AK$4))))</f>
        <v/>
      </c>
      <c r="AL55" s="1" t="n"/>
    </row>
    <row r="56">
      <c r="A56" s="1" t="n"/>
      <c r="B56" s="1" t="n">
        <v>49</v>
      </c>
      <c r="C56" s="34">
        <f>EDATE(Debts!$J$13,B56-1)</f>
        <v/>
      </c>
      <c r="D56" s="33">
        <f>IF(G55&lt;=0.005,0,Debts!$E$16+Debts!$J$7)</f>
        <v/>
      </c>
      <c r="E56" s="33">
        <f>MAX(0,D56-(SUMIF($H$5:$AK$5,"Due",H56:AK56)-SUMIF($H$5:$AK$5,"Rem",H56:AK56)))</f>
        <v/>
      </c>
      <c r="F56" s="33">
        <f>SUMIF($H$5:$AK$5,"Due",H56:AK56)-SUMIF($H$5:$AK$5,"Bal",H55:AK55)</f>
        <v/>
      </c>
      <c r="G56" s="33">
        <f>SUMIF($H$5:$AK$5,"Bal",H56:AK56)</f>
        <v/>
      </c>
      <c r="H56" s="33">
        <f>J55*(1+N(Debts!$D$6)/1200)</f>
        <v/>
      </c>
      <c r="I56" s="33">
        <f>H56-MIN(N(Debts!$E$6),H56)</f>
        <v/>
      </c>
      <c r="J56" s="33">
        <f>IF(I56&lt;=0.005,0,I56-MIN(I56,MAX(0,$E56-SUMIFS(H56:AK56,$H$5:$AK$5,"Rem",$H$4:$AK$4,"&lt;"&amp;J$4))))</f>
        <v/>
      </c>
      <c r="K56" s="33">
        <f>M55*(1+N(Debts!$D$7)/1200)</f>
        <v/>
      </c>
      <c r="L56" s="33">
        <f>K56-MIN(N(Debts!$E$7),K56)</f>
        <v/>
      </c>
      <c r="M56" s="33">
        <f>IF(L56&lt;=0.005,0,L56-MIN(L56,MAX(0,$E56-SUMIFS(H56:AK56,$H$5:$AK$5,"Rem",$H$4:$AK$4,"&lt;"&amp;M$4))))</f>
        <v/>
      </c>
      <c r="N56" s="33">
        <f>P55*(1+N(Debts!$D$8)/1200)</f>
        <v/>
      </c>
      <c r="O56" s="33">
        <f>N56-MIN(N(Debts!$E$8),N56)</f>
        <v/>
      </c>
      <c r="P56" s="33">
        <f>IF(O56&lt;=0.005,0,O56-MIN(O56,MAX(0,$E56-SUMIFS(H56:AK56,$H$5:$AK$5,"Rem",$H$4:$AK$4,"&lt;"&amp;P$4))))</f>
        <v/>
      </c>
      <c r="Q56" s="33">
        <f>S55*(1+N(Debts!$D$9)/1200)</f>
        <v/>
      </c>
      <c r="R56" s="33">
        <f>Q56-MIN(N(Debts!$E$9),Q56)</f>
        <v/>
      </c>
      <c r="S56" s="33">
        <f>IF(R56&lt;=0.005,0,R56-MIN(R56,MAX(0,$E56-SUMIFS(H56:AK56,$H$5:$AK$5,"Rem",$H$4:$AK$4,"&lt;"&amp;S$4))))</f>
        <v/>
      </c>
      <c r="T56" s="33">
        <f>V55*(1+N(Debts!$D$10)/1200)</f>
        <v/>
      </c>
      <c r="U56" s="33">
        <f>T56-MIN(N(Debts!$E$10),T56)</f>
        <v/>
      </c>
      <c r="V56" s="33">
        <f>IF(U56&lt;=0.005,0,U56-MIN(U56,MAX(0,$E56-SUMIFS(H56:AK56,$H$5:$AK$5,"Rem",$H$4:$AK$4,"&lt;"&amp;V$4))))</f>
        <v/>
      </c>
      <c r="W56" s="33">
        <f>Y55*(1+N(Debts!$D$11)/1200)</f>
        <v/>
      </c>
      <c r="X56" s="33">
        <f>W56-MIN(N(Debts!$E$11),W56)</f>
        <v/>
      </c>
      <c r="Y56" s="33">
        <f>IF(X56&lt;=0.005,0,X56-MIN(X56,MAX(0,$E56-SUMIFS(H56:AK56,$H$5:$AK$5,"Rem",$H$4:$AK$4,"&lt;"&amp;Y$4))))</f>
        <v/>
      </c>
      <c r="Z56" s="33">
        <f>AB55*(1+N(Debts!$D$12)/1200)</f>
        <v/>
      </c>
      <c r="AA56" s="33">
        <f>Z56-MIN(N(Debts!$E$12),Z56)</f>
        <v/>
      </c>
      <c r="AB56" s="33">
        <f>IF(AA56&lt;=0.005,0,AA56-MIN(AA56,MAX(0,$E56-SUMIFS(H56:AK56,$H$5:$AK$5,"Rem",$H$4:$AK$4,"&lt;"&amp;AB$4))))</f>
        <v/>
      </c>
      <c r="AC56" s="33">
        <f>AE55*(1+N(Debts!$D$13)/1200)</f>
        <v/>
      </c>
      <c r="AD56" s="33">
        <f>AC56-MIN(N(Debts!$E$13),AC56)</f>
        <v/>
      </c>
      <c r="AE56" s="33">
        <f>IF(AD56&lt;=0.005,0,AD56-MIN(AD56,MAX(0,$E56-SUMIFS(H56:AK56,$H$5:$AK$5,"Rem",$H$4:$AK$4,"&lt;"&amp;AE$4))))</f>
        <v/>
      </c>
      <c r="AF56" s="33">
        <f>AH55*(1+N(Debts!$D$14)/1200)</f>
        <v/>
      </c>
      <c r="AG56" s="33">
        <f>AF56-MIN(N(Debts!$E$14),AF56)</f>
        <v/>
      </c>
      <c r="AH56" s="33">
        <f>IF(AG56&lt;=0.005,0,AG56-MIN(AG56,MAX(0,$E56-SUMIFS(H56:AK56,$H$5:$AK$5,"Rem",$H$4:$AK$4,"&lt;"&amp;AH$4))))</f>
        <v/>
      </c>
      <c r="AI56" s="33">
        <f>AK55*(1+N(Debts!$D$15)/1200)</f>
        <v/>
      </c>
      <c r="AJ56" s="33">
        <f>AI56-MIN(N(Debts!$E$15),AI56)</f>
        <v/>
      </c>
      <c r="AK56" s="33">
        <f>IF(AJ56&lt;=0.005,0,AJ56-MIN(AJ56,MAX(0,$E56-SUMIFS(H56:AK56,$H$5:$AK$5,"Rem",$H$4:$AK$4,"&lt;"&amp;AK$4))))</f>
        <v/>
      </c>
      <c r="AL56" s="1" t="n"/>
    </row>
    <row r="57">
      <c r="A57" s="1" t="n"/>
      <c r="B57" s="1" t="n">
        <v>50</v>
      </c>
      <c r="C57" s="34">
        <f>EDATE(Debts!$J$13,B57-1)</f>
        <v/>
      </c>
      <c r="D57" s="33">
        <f>IF(G56&lt;=0.005,0,Debts!$E$16+Debts!$J$7)</f>
        <v/>
      </c>
      <c r="E57" s="33">
        <f>MAX(0,D57-(SUMIF($H$5:$AK$5,"Due",H57:AK57)-SUMIF($H$5:$AK$5,"Rem",H57:AK57)))</f>
        <v/>
      </c>
      <c r="F57" s="33">
        <f>SUMIF($H$5:$AK$5,"Due",H57:AK57)-SUMIF($H$5:$AK$5,"Bal",H56:AK56)</f>
        <v/>
      </c>
      <c r="G57" s="33">
        <f>SUMIF($H$5:$AK$5,"Bal",H57:AK57)</f>
        <v/>
      </c>
      <c r="H57" s="33">
        <f>J56*(1+N(Debts!$D$6)/1200)</f>
        <v/>
      </c>
      <c r="I57" s="33">
        <f>H57-MIN(N(Debts!$E$6),H57)</f>
        <v/>
      </c>
      <c r="J57" s="33">
        <f>IF(I57&lt;=0.005,0,I57-MIN(I57,MAX(0,$E57-SUMIFS(H57:AK57,$H$5:$AK$5,"Rem",$H$4:$AK$4,"&lt;"&amp;J$4))))</f>
        <v/>
      </c>
      <c r="K57" s="33">
        <f>M56*(1+N(Debts!$D$7)/1200)</f>
        <v/>
      </c>
      <c r="L57" s="33">
        <f>K57-MIN(N(Debts!$E$7),K57)</f>
        <v/>
      </c>
      <c r="M57" s="33">
        <f>IF(L57&lt;=0.005,0,L57-MIN(L57,MAX(0,$E57-SUMIFS(H57:AK57,$H$5:$AK$5,"Rem",$H$4:$AK$4,"&lt;"&amp;M$4))))</f>
        <v/>
      </c>
      <c r="N57" s="33">
        <f>P56*(1+N(Debts!$D$8)/1200)</f>
        <v/>
      </c>
      <c r="O57" s="33">
        <f>N57-MIN(N(Debts!$E$8),N57)</f>
        <v/>
      </c>
      <c r="P57" s="33">
        <f>IF(O57&lt;=0.005,0,O57-MIN(O57,MAX(0,$E57-SUMIFS(H57:AK57,$H$5:$AK$5,"Rem",$H$4:$AK$4,"&lt;"&amp;P$4))))</f>
        <v/>
      </c>
      <c r="Q57" s="33">
        <f>S56*(1+N(Debts!$D$9)/1200)</f>
        <v/>
      </c>
      <c r="R57" s="33">
        <f>Q57-MIN(N(Debts!$E$9),Q57)</f>
        <v/>
      </c>
      <c r="S57" s="33">
        <f>IF(R57&lt;=0.005,0,R57-MIN(R57,MAX(0,$E57-SUMIFS(H57:AK57,$H$5:$AK$5,"Rem",$H$4:$AK$4,"&lt;"&amp;S$4))))</f>
        <v/>
      </c>
      <c r="T57" s="33">
        <f>V56*(1+N(Debts!$D$10)/1200)</f>
        <v/>
      </c>
      <c r="U57" s="33">
        <f>T57-MIN(N(Debts!$E$10),T57)</f>
        <v/>
      </c>
      <c r="V57" s="33">
        <f>IF(U57&lt;=0.005,0,U57-MIN(U57,MAX(0,$E57-SUMIFS(H57:AK57,$H$5:$AK$5,"Rem",$H$4:$AK$4,"&lt;"&amp;V$4))))</f>
        <v/>
      </c>
      <c r="W57" s="33">
        <f>Y56*(1+N(Debts!$D$11)/1200)</f>
        <v/>
      </c>
      <c r="X57" s="33">
        <f>W57-MIN(N(Debts!$E$11),W57)</f>
        <v/>
      </c>
      <c r="Y57" s="33">
        <f>IF(X57&lt;=0.005,0,X57-MIN(X57,MAX(0,$E57-SUMIFS(H57:AK57,$H$5:$AK$5,"Rem",$H$4:$AK$4,"&lt;"&amp;Y$4))))</f>
        <v/>
      </c>
      <c r="Z57" s="33">
        <f>AB56*(1+N(Debts!$D$12)/1200)</f>
        <v/>
      </c>
      <c r="AA57" s="33">
        <f>Z57-MIN(N(Debts!$E$12),Z57)</f>
        <v/>
      </c>
      <c r="AB57" s="33">
        <f>IF(AA57&lt;=0.005,0,AA57-MIN(AA57,MAX(0,$E57-SUMIFS(H57:AK57,$H$5:$AK$5,"Rem",$H$4:$AK$4,"&lt;"&amp;AB$4))))</f>
        <v/>
      </c>
      <c r="AC57" s="33">
        <f>AE56*(1+N(Debts!$D$13)/1200)</f>
        <v/>
      </c>
      <c r="AD57" s="33">
        <f>AC57-MIN(N(Debts!$E$13),AC57)</f>
        <v/>
      </c>
      <c r="AE57" s="33">
        <f>IF(AD57&lt;=0.005,0,AD57-MIN(AD57,MAX(0,$E57-SUMIFS(H57:AK57,$H$5:$AK$5,"Rem",$H$4:$AK$4,"&lt;"&amp;AE$4))))</f>
        <v/>
      </c>
      <c r="AF57" s="33">
        <f>AH56*(1+N(Debts!$D$14)/1200)</f>
        <v/>
      </c>
      <c r="AG57" s="33">
        <f>AF57-MIN(N(Debts!$E$14),AF57)</f>
        <v/>
      </c>
      <c r="AH57" s="33">
        <f>IF(AG57&lt;=0.005,0,AG57-MIN(AG57,MAX(0,$E57-SUMIFS(H57:AK57,$H$5:$AK$5,"Rem",$H$4:$AK$4,"&lt;"&amp;AH$4))))</f>
        <v/>
      </c>
      <c r="AI57" s="33">
        <f>AK56*(1+N(Debts!$D$15)/1200)</f>
        <v/>
      </c>
      <c r="AJ57" s="33">
        <f>AI57-MIN(N(Debts!$E$15),AI57)</f>
        <v/>
      </c>
      <c r="AK57" s="33">
        <f>IF(AJ57&lt;=0.005,0,AJ57-MIN(AJ57,MAX(0,$E57-SUMIFS(H57:AK57,$H$5:$AK$5,"Rem",$H$4:$AK$4,"&lt;"&amp;AK$4))))</f>
        <v/>
      </c>
      <c r="AL57" s="1" t="n"/>
    </row>
    <row r="58">
      <c r="A58" s="1" t="n"/>
      <c r="B58" s="1" t="n">
        <v>51</v>
      </c>
      <c r="C58" s="34">
        <f>EDATE(Debts!$J$13,B58-1)</f>
        <v/>
      </c>
      <c r="D58" s="33">
        <f>IF(G57&lt;=0.005,0,Debts!$E$16+Debts!$J$7)</f>
        <v/>
      </c>
      <c r="E58" s="33">
        <f>MAX(0,D58-(SUMIF($H$5:$AK$5,"Due",H58:AK58)-SUMIF($H$5:$AK$5,"Rem",H58:AK58)))</f>
        <v/>
      </c>
      <c r="F58" s="33">
        <f>SUMIF($H$5:$AK$5,"Due",H58:AK58)-SUMIF($H$5:$AK$5,"Bal",H57:AK57)</f>
        <v/>
      </c>
      <c r="G58" s="33">
        <f>SUMIF($H$5:$AK$5,"Bal",H58:AK58)</f>
        <v/>
      </c>
      <c r="H58" s="33">
        <f>J57*(1+N(Debts!$D$6)/1200)</f>
        <v/>
      </c>
      <c r="I58" s="33">
        <f>H58-MIN(N(Debts!$E$6),H58)</f>
        <v/>
      </c>
      <c r="J58" s="33">
        <f>IF(I58&lt;=0.005,0,I58-MIN(I58,MAX(0,$E58-SUMIFS(H58:AK58,$H$5:$AK$5,"Rem",$H$4:$AK$4,"&lt;"&amp;J$4))))</f>
        <v/>
      </c>
      <c r="K58" s="33">
        <f>M57*(1+N(Debts!$D$7)/1200)</f>
        <v/>
      </c>
      <c r="L58" s="33">
        <f>K58-MIN(N(Debts!$E$7),K58)</f>
        <v/>
      </c>
      <c r="M58" s="33">
        <f>IF(L58&lt;=0.005,0,L58-MIN(L58,MAX(0,$E58-SUMIFS(H58:AK58,$H$5:$AK$5,"Rem",$H$4:$AK$4,"&lt;"&amp;M$4))))</f>
        <v/>
      </c>
      <c r="N58" s="33">
        <f>P57*(1+N(Debts!$D$8)/1200)</f>
        <v/>
      </c>
      <c r="O58" s="33">
        <f>N58-MIN(N(Debts!$E$8),N58)</f>
        <v/>
      </c>
      <c r="P58" s="33">
        <f>IF(O58&lt;=0.005,0,O58-MIN(O58,MAX(0,$E58-SUMIFS(H58:AK58,$H$5:$AK$5,"Rem",$H$4:$AK$4,"&lt;"&amp;P$4))))</f>
        <v/>
      </c>
      <c r="Q58" s="33">
        <f>S57*(1+N(Debts!$D$9)/1200)</f>
        <v/>
      </c>
      <c r="R58" s="33">
        <f>Q58-MIN(N(Debts!$E$9),Q58)</f>
        <v/>
      </c>
      <c r="S58" s="33">
        <f>IF(R58&lt;=0.005,0,R58-MIN(R58,MAX(0,$E58-SUMIFS(H58:AK58,$H$5:$AK$5,"Rem",$H$4:$AK$4,"&lt;"&amp;S$4))))</f>
        <v/>
      </c>
      <c r="T58" s="33">
        <f>V57*(1+N(Debts!$D$10)/1200)</f>
        <v/>
      </c>
      <c r="U58" s="33">
        <f>T58-MIN(N(Debts!$E$10),T58)</f>
        <v/>
      </c>
      <c r="V58" s="33">
        <f>IF(U58&lt;=0.005,0,U58-MIN(U58,MAX(0,$E58-SUMIFS(H58:AK58,$H$5:$AK$5,"Rem",$H$4:$AK$4,"&lt;"&amp;V$4))))</f>
        <v/>
      </c>
      <c r="W58" s="33">
        <f>Y57*(1+N(Debts!$D$11)/1200)</f>
        <v/>
      </c>
      <c r="X58" s="33">
        <f>W58-MIN(N(Debts!$E$11),W58)</f>
        <v/>
      </c>
      <c r="Y58" s="33">
        <f>IF(X58&lt;=0.005,0,X58-MIN(X58,MAX(0,$E58-SUMIFS(H58:AK58,$H$5:$AK$5,"Rem",$H$4:$AK$4,"&lt;"&amp;Y$4))))</f>
        <v/>
      </c>
      <c r="Z58" s="33">
        <f>AB57*(1+N(Debts!$D$12)/1200)</f>
        <v/>
      </c>
      <c r="AA58" s="33">
        <f>Z58-MIN(N(Debts!$E$12),Z58)</f>
        <v/>
      </c>
      <c r="AB58" s="33">
        <f>IF(AA58&lt;=0.005,0,AA58-MIN(AA58,MAX(0,$E58-SUMIFS(H58:AK58,$H$5:$AK$5,"Rem",$H$4:$AK$4,"&lt;"&amp;AB$4))))</f>
        <v/>
      </c>
      <c r="AC58" s="33">
        <f>AE57*(1+N(Debts!$D$13)/1200)</f>
        <v/>
      </c>
      <c r="AD58" s="33">
        <f>AC58-MIN(N(Debts!$E$13),AC58)</f>
        <v/>
      </c>
      <c r="AE58" s="33">
        <f>IF(AD58&lt;=0.005,0,AD58-MIN(AD58,MAX(0,$E58-SUMIFS(H58:AK58,$H$5:$AK$5,"Rem",$H$4:$AK$4,"&lt;"&amp;AE$4))))</f>
        <v/>
      </c>
      <c r="AF58" s="33">
        <f>AH57*(1+N(Debts!$D$14)/1200)</f>
        <v/>
      </c>
      <c r="AG58" s="33">
        <f>AF58-MIN(N(Debts!$E$14),AF58)</f>
        <v/>
      </c>
      <c r="AH58" s="33">
        <f>IF(AG58&lt;=0.005,0,AG58-MIN(AG58,MAX(0,$E58-SUMIFS(H58:AK58,$H$5:$AK$5,"Rem",$H$4:$AK$4,"&lt;"&amp;AH$4))))</f>
        <v/>
      </c>
      <c r="AI58" s="33">
        <f>AK57*(1+N(Debts!$D$15)/1200)</f>
        <v/>
      </c>
      <c r="AJ58" s="33">
        <f>AI58-MIN(N(Debts!$E$15),AI58)</f>
        <v/>
      </c>
      <c r="AK58" s="33">
        <f>IF(AJ58&lt;=0.005,0,AJ58-MIN(AJ58,MAX(0,$E58-SUMIFS(H58:AK58,$H$5:$AK$5,"Rem",$H$4:$AK$4,"&lt;"&amp;AK$4))))</f>
        <v/>
      </c>
      <c r="AL58" s="1" t="n"/>
    </row>
    <row r="59">
      <c r="A59" s="1" t="n"/>
      <c r="B59" s="1" t="n">
        <v>52</v>
      </c>
      <c r="C59" s="34">
        <f>EDATE(Debts!$J$13,B59-1)</f>
        <v/>
      </c>
      <c r="D59" s="33">
        <f>IF(G58&lt;=0.005,0,Debts!$E$16+Debts!$J$7)</f>
        <v/>
      </c>
      <c r="E59" s="33">
        <f>MAX(0,D59-(SUMIF($H$5:$AK$5,"Due",H59:AK59)-SUMIF($H$5:$AK$5,"Rem",H59:AK59)))</f>
        <v/>
      </c>
      <c r="F59" s="33">
        <f>SUMIF($H$5:$AK$5,"Due",H59:AK59)-SUMIF($H$5:$AK$5,"Bal",H58:AK58)</f>
        <v/>
      </c>
      <c r="G59" s="33">
        <f>SUMIF($H$5:$AK$5,"Bal",H59:AK59)</f>
        <v/>
      </c>
      <c r="H59" s="33">
        <f>J58*(1+N(Debts!$D$6)/1200)</f>
        <v/>
      </c>
      <c r="I59" s="33">
        <f>H59-MIN(N(Debts!$E$6),H59)</f>
        <v/>
      </c>
      <c r="J59" s="33">
        <f>IF(I59&lt;=0.005,0,I59-MIN(I59,MAX(0,$E59-SUMIFS(H59:AK59,$H$5:$AK$5,"Rem",$H$4:$AK$4,"&lt;"&amp;J$4))))</f>
        <v/>
      </c>
      <c r="K59" s="33">
        <f>M58*(1+N(Debts!$D$7)/1200)</f>
        <v/>
      </c>
      <c r="L59" s="33">
        <f>K59-MIN(N(Debts!$E$7),K59)</f>
        <v/>
      </c>
      <c r="M59" s="33">
        <f>IF(L59&lt;=0.005,0,L59-MIN(L59,MAX(0,$E59-SUMIFS(H59:AK59,$H$5:$AK$5,"Rem",$H$4:$AK$4,"&lt;"&amp;M$4))))</f>
        <v/>
      </c>
      <c r="N59" s="33">
        <f>P58*(1+N(Debts!$D$8)/1200)</f>
        <v/>
      </c>
      <c r="O59" s="33">
        <f>N59-MIN(N(Debts!$E$8),N59)</f>
        <v/>
      </c>
      <c r="P59" s="33">
        <f>IF(O59&lt;=0.005,0,O59-MIN(O59,MAX(0,$E59-SUMIFS(H59:AK59,$H$5:$AK$5,"Rem",$H$4:$AK$4,"&lt;"&amp;P$4))))</f>
        <v/>
      </c>
      <c r="Q59" s="33">
        <f>S58*(1+N(Debts!$D$9)/1200)</f>
        <v/>
      </c>
      <c r="R59" s="33">
        <f>Q59-MIN(N(Debts!$E$9),Q59)</f>
        <v/>
      </c>
      <c r="S59" s="33">
        <f>IF(R59&lt;=0.005,0,R59-MIN(R59,MAX(0,$E59-SUMIFS(H59:AK59,$H$5:$AK$5,"Rem",$H$4:$AK$4,"&lt;"&amp;S$4))))</f>
        <v/>
      </c>
      <c r="T59" s="33">
        <f>V58*(1+N(Debts!$D$10)/1200)</f>
        <v/>
      </c>
      <c r="U59" s="33">
        <f>T59-MIN(N(Debts!$E$10),T59)</f>
        <v/>
      </c>
      <c r="V59" s="33">
        <f>IF(U59&lt;=0.005,0,U59-MIN(U59,MAX(0,$E59-SUMIFS(H59:AK59,$H$5:$AK$5,"Rem",$H$4:$AK$4,"&lt;"&amp;V$4))))</f>
        <v/>
      </c>
      <c r="W59" s="33">
        <f>Y58*(1+N(Debts!$D$11)/1200)</f>
        <v/>
      </c>
      <c r="X59" s="33">
        <f>W59-MIN(N(Debts!$E$11),W59)</f>
        <v/>
      </c>
      <c r="Y59" s="33">
        <f>IF(X59&lt;=0.005,0,X59-MIN(X59,MAX(0,$E59-SUMIFS(H59:AK59,$H$5:$AK$5,"Rem",$H$4:$AK$4,"&lt;"&amp;Y$4))))</f>
        <v/>
      </c>
      <c r="Z59" s="33">
        <f>AB58*(1+N(Debts!$D$12)/1200)</f>
        <v/>
      </c>
      <c r="AA59" s="33">
        <f>Z59-MIN(N(Debts!$E$12),Z59)</f>
        <v/>
      </c>
      <c r="AB59" s="33">
        <f>IF(AA59&lt;=0.005,0,AA59-MIN(AA59,MAX(0,$E59-SUMIFS(H59:AK59,$H$5:$AK$5,"Rem",$H$4:$AK$4,"&lt;"&amp;AB$4))))</f>
        <v/>
      </c>
      <c r="AC59" s="33">
        <f>AE58*(1+N(Debts!$D$13)/1200)</f>
        <v/>
      </c>
      <c r="AD59" s="33">
        <f>AC59-MIN(N(Debts!$E$13),AC59)</f>
        <v/>
      </c>
      <c r="AE59" s="33">
        <f>IF(AD59&lt;=0.005,0,AD59-MIN(AD59,MAX(0,$E59-SUMIFS(H59:AK59,$H$5:$AK$5,"Rem",$H$4:$AK$4,"&lt;"&amp;AE$4))))</f>
        <v/>
      </c>
      <c r="AF59" s="33">
        <f>AH58*(1+N(Debts!$D$14)/1200)</f>
        <v/>
      </c>
      <c r="AG59" s="33">
        <f>AF59-MIN(N(Debts!$E$14),AF59)</f>
        <v/>
      </c>
      <c r="AH59" s="33">
        <f>IF(AG59&lt;=0.005,0,AG59-MIN(AG59,MAX(0,$E59-SUMIFS(H59:AK59,$H$5:$AK$5,"Rem",$H$4:$AK$4,"&lt;"&amp;AH$4))))</f>
        <v/>
      </c>
      <c r="AI59" s="33">
        <f>AK58*(1+N(Debts!$D$15)/1200)</f>
        <v/>
      </c>
      <c r="AJ59" s="33">
        <f>AI59-MIN(N(Debts!$E$15),AI59)</f>
        <v/>
      </c>
      <c r="AK59" s="33">
        <f>IF(AJ59&lt;=0.005,0,AJ59-MIN(AJ59,MAX(0,$E59-SUMIFS(H59:AK59,$H$5:$AK$5,"Rem",$H$4:$AK$4,"&lt;"&amp;AK$4))))</f>
        <v/>
      </c>
      <c r="AL59" s="1" t="n"/>
    </row>
    <row r="60">
      <c r="A60" s="1" t="n"/>
      <c r="B60" s="1" t="n">
        <v>53</v>
      </c>
      <c r="C60" s="34">
        <f>EDATE(Debts!$J$13,B60-1)</f>
        <v/>
      </c>
      <c r="D60" s="33">
        <f>IF(G59&lt;=0.005,0,Debts!$E$16+Debts!$J$7)</f>
        <v/>
      </c>
      <c r="E60" s="33">
        <f>MAX(0,D60-(SUMIF($H$5:$AK$5,"Due",H60:AK60)-SUMIF($H$5:$AK$5,"Rem",H60:AK60)))</f>
        <v/>
      </c>
      <c r="F60" s="33">
        <f>SUMIF($H$5:$AK$5,"Due",H60:AK60)-SUMIF($H$5:$AK$5,"Bal",H59:AK59)</f>
        <v/>
      </c>
      <c r="G60" s="33">
        <f>SUMIF($H$5:$AK$5,"Bal",H60:AK60)</f>
        <v/>
      </c>
      <c r="H60" s="33">
        <f>J59*(1+N(Debts!$D$6)/1200)</f>
        <v/>
      </c>
      <c r="I60" s="33">
        <f>H60-MIN(N(Debts!$E$6),H60)</f>
        <v/>
      </c>
      <c r="J60" s="33">
        <f>IF(I60&lt;=0.005,0,I60-MIN(I60,MAX(0,$E60-SUMIFS(H60:AK60,$H$5:$AK$5,"Rem",$H$4:$AK$4,"&lt;"&amp;J$4))))</f>
        <v/>
      </c>
      <c r="K60" s="33">
        <f>M59*(1+N(Debts!$D$7)/1200)</f>
        <v/>
      </c>
      <c r="L60" s="33">
        <f>K60-MIN(N(Debts!$E$7),K60)</f>
        <v/>
      </c>
      <c r="M60" s="33">
        <f>IF(L60&lt;=0.005,0,L60-MIN(L60,MAX(0,$E60-SUMIFS(H60:AK60,$H$5:$AK$5,"Rem",$H$4:$AK$4,"&lt;"&amp;M$4))))</f>
        <v/>
      </c>
      <c r="N60" s="33">
        <f>P59*(1+N(Debts!$D$8)/1200)</f>
        <v/>
      </c>
      <c r="O60" s="33">
        <f>N60-MIN(N(Debts!$E$8),N60)</f>
        <v/>
      </c>
      <c r="P60" s="33">
        <f>IF(O60&lt;=0.005,0,O60-MIN(O60,MAX(0,$E60-SUMIFS(H60:AK60,$H$5:$AK$5,"Rem",$H$4:$AK$4,"&lt;"&amp;P$4))))</f>
        <v/>
      </c>
      <c r="Q60" s="33">
        <f>S59*(1+N(Debts!$D$9)/1200)</f>
        <v/>
      </c>
      <c r="R60" s="33">
        <f>Q60-MIN(N(Debts!$E$9),Q60)</f>
        <v/>
      </c>
      <c r="S60" s="33">
        <f>IF(R60&lt;=0.005,0,R60-MIN(R60,MAX(0,$E60-SUMIFS(H60:AK60,$H$5:$AK$5,"Rem",$H$4:$AK$4,"&lt;"&amp;S$4))))</f>
        <v/>
      </c>
      <c r="T60" s="33">
        <f>V59*(1+N(Debts!$D$10)/1200)</f>
        <v/>
      </c>
      <c r="U60" s="33">
        <f>T60-MIN(N(Debts!$E$10),T60)</f>
        <v/>
      </c>
      <c r="V60" s="33">
        <f>IF(U60&lt;=0.005,0,U60-MIN(U60,MAX(0,$E60-SUMIFS(H60:AK60,$H$5:$AK$5,"Rem",$H$4:$AK$4,"&lt;"&amp;V$4))))</f>
        <v/>
      </c>
      <c r="W60" s="33">
        <f>Y59*(1+N(Debts!$D$11)/1200)</f>
        <v/>
      </c>
      <c r="X60" s="33">
        <f>W60-MIN(N(Debts!$E$11),W60)</f>
        <v/>
      </c>
      <c r="Y60" s="33">
        <f>IF(X60&lt;=0.005,0,X60-MIN(X60,MAX(0,$E60-SUMIFS(H60:AK60,$H$5:$AK$5,"Rem",$H$4:$AK$4,"&lt;"&amp;Y$4))))</f>
        <v/>
      </c>
      <c r="Z60" s="33">
        <f>AB59*(1+N(Debts!$D$12)/1200)</f>
        <v/>
      </c>
      <c r="AA60" s="33">
        <f>Z60-MIN(N(Debts!$E$12),Z60)</f>
        <v/>
      </c>
      <c r="AB60" s="33">
        <f>IF(AA60&lt;=0.005,0,AA60-MIN(AA60,MAX(0,$E60-SUMIFS(H60:AK60,$H$5:$AK$5,"Rem",$H$4:$AK$4,"&lt;"&amp;AB$4))))</f>
        <v/>
      </c>
      <c r="AC60" s="33">
        <f>AE59*(1+N(Debts!$D$13)/1200)</f>
        <v/>
      </c>
      <c r="AD60" s="33">
        <f>AC60-MIN(N(Debts!$E$13),AC60)</f>
        <v/>
      </c>
      <c r="AE60" s="33">
        <f>IF(AD60&lt;=0.005,0,AD60-MIN(AD60,MAX(0,$E60-SUMIFS(H60:AK60,$H$5:$AK$5,"Rem",$H$4:$AK$4,"&lt;"&amp;AE$4))))</f>
        <v/>
      </c>
      <c r="AF60" s="33">
        <f>AH59*(1+N(Debts!$D$14)/1200)</f>
        <v/>
      </c>
      <c r="AG60" s="33">
        <f>AF60-MIN(N(Debts!$E$14),AF60)</f>
        <v/>
      </c>
      <c r="AH60" s="33">
        <f>IF(AG60&lt;=0.005,0,AG60-MIN(AG60,MAX(0,$E60-SUMIFS(H60:AK60,$H$5:$AK$5,"Rem",$H$4:$AK$4,"&lt;"&amp;AH$4))))</f>
        <v/>
      </c>
      <c r="AI60" s="33">
        <f>AK59*(1+N(Debts!$D$15)/1200)</f>
        <v/>
      </c>
      <c r="AJ60" s="33">
        <f>AI60-MIN(N(Debts!$E$15),AI60)</f>
        <v/>
      </c>
      <c r="AK60" s="33">
        <f>IF(AJ60&lt;=0.005,0,AJ60-MIN(AJ60,MAX(0,$E60-SUMIFS(H60:AK60,$H$5:$AK$5,"Rem",$H$4:$AK$4,"&lt;"&amp;AK$4))))</f>
        <v/>
      </c>
      <c r="AL60" s="1" t="n"/>
    </row>
    <row r="61">
      <c r="A61" s="1" t="n"/>
      <c r="B61" s="1" t="n">
        <v>54</v>
      </c>
      <c r="C61" s="34">
        <f>EDATE(Debts!$J$13,B61-1)</f>
        <v/>
      </c>
      <c r="D61" s="33">
        <f>IF(G60&lt;=0.005,0,Debts!$E$16+Debts!$J$7)</f>
        <v/>
      </c>
      <c r="E61" s="33">
        <f>MAX(0,D61-(SUMIF($H$5:$AK$5,"Due",H61:AK61)-SUMIF($H$5:$AK$5,"Rem",H61:AK61)))</f>
        <v/>
      </c>
      <c r="F61" s="33">
        <f>SUMIF($H$5:$AK$5,"Due",H61:AK61)-SUMIF($H$5:$AK$5,"Bal",H60:AK60)</f>
        <v/>
      </c>
      <c r="G61" s="33">
        <f>SUMIF($H$5:$AK$5,"Bal",H61:AK61)</f>
        <v/>
      </c>
      <c r="H61" s="33">
        <f>J60*(1+N(Debts!$D$6)/1200)</f>
        <v/>
      </c>
      <c r="I61" s="33">
        <f>H61-MIN(N(Debts!$E$6),H61)</f>
        <v/>
      </c>
      <c r="J61" s="33">
        <f>IF(I61&lt;=0.005,0,I61-MIN(I61,MAX(0,$E61-SUMIFS(H61:AK61,$H$5:$AK$5,"Rem",$H$4:$AK$4,"&lt;"&amp;J$4))))</f>
        <v/>
      </c>
      <c r="K61" s="33">
        <f>M60*(1+N(Debts!$D$7)/1200)</f>
        <v/>
      </c>
      <c r="L61" s="33">
        <f>K61-MIN(N(Debts!$E$7),K61)</f>
        <v/>
      </c>
      <c r="M61" s="33">
        <f>IF(L61&lt;=0.005,0,L61-MIN(L61,MAX(0,$E61-SUMIFS(H61:AK61,$H$5:$AK$5,"Rem",$H$4:$AK$4,"&lt;"&amp;M$4))))</f>
        <v/>
      </c>
      <c r="N61" s="33">
        <f>P60*(1+N(Debts!$D$8)/1200)</f>
        <v/>
      </c>
      <c r="O61" s="33">
        <f>N61-MIN(N(Debts!$E$8),N61)</f>
        <v/>
      </c>
      <c r="P61" s="33">
        <f>IF(O61&lt;=0.005,0,O61-MIN(O61,MAX(0,$E61-SUMIFS(H61:AK61,$H$5:$AK$5,"Rem",$H$4:$AK$4,"&lt;"&amp;P$4))))</f>
        <v/>
      </c>
      <c r="Q61" s="33">
        <f>S60*(1+N(Debts!$D$9)/1200)</f>
        <v/>
      </c>
      <c r="R61" s="33">
        <f>Q61-MIN(N(Debts!$E$9),Q61)</f>
        <v/>
      </c>
      <c r="S61" s="33">
        <f>IF(R61&lt;=0.005,0,R61-MIN(R61,MAX(0,$E61-SUMIFS(H61:AK61,$H$5:$AK$5,"Rem",$H$4:$AK$4,"&lt;"&amp;S$4))))</f>
        <v/>
      </c>
      <c r="T61" s="33">
        <f>V60*(1+N(Debts!$D$10)/1200)</f>
        <v/>
      </c>
      <c r="U61" s="33">
        <f>T61-MIN(N(Debts!$E$10),T61)</f>
        <v/>
      </c>
      <c r="V61" s="33">
        <f>IF(U61&lt;=0.005,0,U61-MIN(U61,MAX(0,$E61-SUMIFS(H61:AK61,$H$5:$AK$5,"Rem",$H$4:$AK$4,"&lt;"&amp;V$4))))</f>
        <v/>
      </c>
      <c r="W61" s="33">
        <f>Y60*(1+N(Debts!$D$11)/1200)</f>
        <v/>
      </c>
      <c r="X61" s="33">
        <f>W61-MIN(N(Debts!$E$11),W61)</f>
        <v/>
      </c>
      <c r="Y61" s="33">
        <f>IF(X61&lt;=0.005,0,X61-MIN(X61,MAX(0,$E61-SUMIFS(H61:AK61,$H$5:$AK$5,"Rem",$H$4:$AK$4,"&lt;"&amp;Y$4))))</f>
        <v/>
      </c>
      <c r="Z61" s="33">
        <f>AB60*(1+N(Debts!$D$12)/1200)</f>
        <v/>
      </c>
      <c r="AA61" s="33">
        <f>Z61-MIN(N(Debts!$E$12),Z61)</f>
        <v/>
      </c>
      <c r="AB61" s="33">
        <f>IF(AA61&lt;=0.005,0,AA61-MIN(AA61,MAX(0,$E61-SUMIFS(H61:AK61,$H$5:$AK$5,"Rem",$H$4:$AK$4,"&lt;"&amp;AB$4))))</f>
        <v/>
      </c>
      <c r="AC61" s="33">
        <f>AE60*(1+N(Debts!$D$13)/1200)</f>
        <v/>
      </c>
      <c r="AD61" s="33">
        <f>AC61-MIN(N(Debts!$E$13),AC61)</f>
        <v/>
      </c>
      <c r="AE61" s="33">
        <f>IF(AD61&lt;=0.005,0,AD61-MIN(AD61,MAX(0,$E61-SUMIFS(H61:AK61,$H$5:$AK$5,"Rem",$H$4:$AK$4,"&lt;"&amp;AE$4))))</f>
        <v/>
      </c>
      <c r="AF61" s="33">
        <f>AH60*(1+N(Debts!$D$14)/1200)</f>
        <v/>
      </c>
      <c r="AG61" s="33">
        <f>AF61-MIN(N(Debts!$E$14),AF61)</f>
        <v/>
      </c>
      <c r="AH61" s="33">
        <f>IF(AG61&lt;=0.005,0,AG61-MIN(AG61,MAX(0,$E61-SUMIFS(H61:AK61,$H$5:$AK$5,"Rem",$H$4:$AK$4,"&lt;"&amp;AH$4))))</f>
        <v/>
      </c>
      <c r="AI61" s="33">
        <f>AK60*(1+N(Debts!$D$15)/1200)</f>
        <v/>
      </c>
      <c r="AJ61" s="33">
        <f>AI61-MIN(N(Debts!$E$15),AI61)</f>
        <v/>
      </c>
      <c r="AK61" s="33">
        <f>IF(AJ61&lt;=0.005,0,AJ61-MIN(AJ61,MAX(0,$E61-SUMIFS(H61:AK61,$H$5:$AK$5,"Rem",$H$4:$AK$4,"&lt;"&amp;AK$4))))</f>
        <v/>
      </c>
      <c r="AL61" s="1" t="n"/>
    </row>
    <row r="62">
      <c r="A62" s="1" t="n"/>
      <c r="B62" s="1" t="n">
        <v>55</v>
      </c>
      <c r="C62" s="34">
        <f>EDATE(Debts!$J$13,B62-1)</f>
        <v/>
      </c>
      <c r="D62" s="33">
        <f>IF(G61&lt;=0.005,0,Debts!$E$16+Debts!$J$7)</f>
        <v/>
      </c>
      <c r="E62" s="33">
        <f>MAX(0,D62-(SUMIF($H$5:$AK$5,"Due",H62:AK62)-SUMIF($H$5:$AK$5,"Rem",H62:AK62)))</f>
        <v/>
      </c>
      <c r="F62" s="33">
        <f>SUMIF($H$5:$AK$5,"Due",H62:AK62)-SUMIF($H$5:$AK$5,"Bal",H61:AK61)</f>
        <v/>
      </c>
      <c r="G62" s="33">
        <f>SUMIF($H$5:$AK$5,"Bal",H62:AK62)</f>
        <v/>
      </c>
      <c r="H62" s="33">
        <f>J61*(1+N(Debts!$D$6)/1200)</f>
        <v/>
      </c>
      <c r="I62" s="33">
        <f>H62-MIN(N(Debts!$E$6),H62)</f>
        <v/>
      </c>
      <c r="J62" s="33">
        <f>IF(I62&lt;=0.005,0,I62-MIN(I62,MAX(0,$E62-SUMIFS(H62:AK62,$H$5:$AK$5,"Rem",$H$4:$AK$4,"&lt;"&amp;J$4))))</f>
        <v/>
      </c>
      <c r="K62" s="33">
        <f>M61*(1+N(Debts!$D$7)/1200)</f>
        <v/>
      </c>
      <c r="L62" s="33">
        <f>K62-MIN(N(Debts!$E$7),K62)</f>
        <v/>
      </c>
      <c r="M62" s="33">
        <f>IF(L62&lt;=0.005,0,L62-MIN(L62,MAX(0,$E62-SUMIFS(H62:AK62,$H$5:$AK$5,"Rem",$H$4:$AK$4,"&lt;"&amp;M$4))))</f>
        <v/>
      </c>
      <c r="N62" s="33">
        <f>P61*(1+N(Debts!$D$8)/1200)</f>
        <v/>
      </c>
      <c r="O62" s="33">
        <f>N62-MIN(N(Debts!$E$8),N62)</f>
        <v/>
      </c>
      <c r="P62" s="33">
        <f>IF(O62&lt;=0.005,0,O62-MIN(O62,MAX(0,$E62-SUMIFS(H62:AK62,$H$5:$AK$5,"Rem",$H$4:$AK$4,"&lt;"&amp;P$4))))</f>
        <v/>
      </c>
      <c r="Q62" s="33">
        <f>S61*(1+N(Debts!$D$9)/1200)</f>
        <v/>
      </c>
      <c r="R62" s="33">
        <f>Q62-MIN(N(Debts!$E$9),Q62)</f>
        <v/>
      </c>
      <c r="S62" s="33">
        <f>IF(R62&lt;=0.005,0,R62-MIN(R62,MAX(0,$E62-SUMIFS(H62:AK62,$H$5:$AK$5,"Rem",$H$4:$AK$4,"&lt;"&amp;S$4))))</f>
        <v/>
      </c>
      <c r="T62" s="33">
        <f>V61*(1+N(Debts!$D$10)/1200)</f>
        <v/>
      </c>
      <c r="U62" s="33">
        <f>T62-MIN(N(Debts!$E$10),T62)</f>
        <v/>
      </c>
      <c r="V62" s="33">
        <f>IF(U62&lt;=0.005,0,U62-MIN(U62,MAX(0,$E62-SUMIFS(H62:AK62,$H$5:$AK$5,"Rem",$H$4:$AK$4,"&lt;"&amp;V$4))))</f>
        <v/>
      </c>
      <c r="W62" s="33">
        <f>Y61*(1+N(Debts!$D$11)/1200)</f>
        <v/>
      </c>
      <c r="X62" s="33">
        <f>W62-MIN(N(Debts!$E$11),W62)</f>
        <v/>
      </c>
      <c r="Y62" s="33">
        <f>IF(X62&lt;=0.005,0,X62-MIN(X62,MAX(0,$E62-SUMIFS(H62:AK62,$H$5:$AK$5,"Rem",$H$4:$AK$4,"&lt;"&amp;Y$4))))</f>
        <v/>
      </c>
      <c r="Z62" s="33">
        <f>AB61*(1+N(Debts!$D$12)/1200)</f>
        <v/>
      </c>
      <c r="AA62" s="33">
        <f>Z62-MIN(N(Debts!$E$12),Z62)</f>
        <v/>
      </c>
      <c r="AB62" s="33">
        <f>IF(AA62&lt;=0.005,0,AA62-MIN(AA62,MAX(0,$E62-SUMIFS(H62:AK62,$H$5:$AK$5,"Rem",$H$4:$AK$4,"&lt;"&amp;AB$4))))</f>
        <v/>
      </c>
      <c r="AC62" s="33">
        <f>AE61*(1+N(Debts!$D$13)/1200)</f>
        <v/>
      </c>
      <c r="AD62" s="33">
        <f>AC62-MIN(N(Debts!$E$13),AC62)</f>
        <v/>
      </c>
      <c r="AE62" s="33">
        <f>IF(AD62&lt;=0.005,0,AD62-MIN(AD62,MAX(0,$E62-SUMIFS(H62:AK62,$H$5:$AK$5,"Rem",$H$4:$AK$4,"&lt;"&amp;AE$4))))</f>
        <v/>
      </c>
      <c r="AF62" s="33">
        <f>AH61*(1+N(Debts!$D$14)/1200)</f>
        <v/>
      </c>
      <c r="AG62" s="33">
        <f>AF62-MIN(N(Debts!$E$14),AF62)</f>
        <v/>
      </c>
      <c r="AH62" s="33">
        <f>IF(AG62&lt;=0.005,0,AG62-MIN(AG62,MAX(0,$E62-SUMIFS(H62:AK62,$H$5:$AK$5,"Rem",$H$4:$AK$4,"&lt;"&amp;AH$4))))</f>
        <v/>
      </c>
      <c r="AI62" s="33">
        <f>AK61*(1+N(Debts!$D$15)/1200)</f>
        <v/>
      </c>
      <c r="AJ62" s="33">
        <f>AI62-MIN(N(Debts!$E$15),AI62)</f>
        <v/>
      </c>
      <c r="AK62" s="33">
        <f>IF(AJ62&lt;=0.005,0,AJ62-MIN(AJ62,MAX(0,$E62-SUMIFS(H62:AK62,$H$5:$AK$5,"Rem",$H$4:$AK$4,"&lt;"&amp;AK$4))))</f>
        <v/>
      </c>
      <c r="AL62" s="1" t="n"/>
    </row>
    <row r="63">
      <c r="A63" s="1" t="n"/>
      <c r="B63" s="1" t="n">
        <v>56</v>
      </c>
      <c r="C63" s="34">
        <f>EDATE(Debts!$J$13,B63-1)</f>
        <v/>
      </c>
      <c r="D63" s="33">
        <f>IF(G62&lt;=0.005,0,Debts!$E$16+Debts!$J$7)</f>
        <v/>
      </c>
      <c r="E63" s="33">
        <f>MAX(0,D63-(SUMIF($H$5:$AK$5,"Due",H63:AK63)-SUMIF($H$5:$AK$5,"Rem",H63:AK63)))</f>
        <v/>
      </c>
      <c r="F63" s="33">
        <f>SUMIF($H$5:$AK$5,"Due",H63:AK63)-SUMIF($H$5:$AK$5,"Bal",H62:AK62)</f>
        <v/>
      </c>
      <c r="G63" s="33">
        <f>SUMIF($H$5:$AK$5,"Bal",H63:AK63)</f>
        <v/>
      </c>
      <c r="H63" s="33">
        <f>J62*(1+N(Debts!$D$6)/1200)</f>
        <v/>
      </c>
      <c r="I63" s="33">
        <f>H63-MIN(N(Debts!$E$6),H63)</f>
        <v/>
      </c>
      <c r="J63" s="33">
        <f>IF(I63&lt;=0.005,0,I63-MIN(I63,MAX(0,$E63-SUMIFS(H63:AK63,$H$5:$AK$5,"Rem",$H$4:$AK$4,"&lt;"&amp;J$4))))</f>
        <v/>
      </c>
      <c r="K63" s="33">
        <f>M62*(1+N(Debts!$D$7)/1200)</f>
        <v/>
      </c>
      <c r="L63" s="33">
        <f>K63-MIN(N(Debts!$E$7),K63)</f>
        <v/>
      </c>
      <c r="M63" s="33">
        <f>IF(L63&lt;=0.005,0,L63-MIN(L63,MAX(0,$E63-SUMIFS(H63:AK63,$H$5:$AK$5,"Rem",$H$4:$AK$4,"&lt;"&amp;M$4))))</f>
        <v/>
      </c>
      <c r="N63" s="33">
        <f>P62*(1+N(Debts!$D$8)/1200)</f>
        <v/>
      </c>
      <c r="O63" s="33">
        <f>N63-MIN(N(Debts!$E$8),N63)</f>
        <v/>
      </c>
      <c r="P63" s="33">
        <f>IF(O63&lt;=0.005,0,O63-MIN(O63,MAX(0,$E63-SUMIFS(H63:AK63,$H$5:$AK$5,"Rem",$H$4:$AK$4,"&lt;"&amp;P$4))))</f>
        <v/>
      </c>
      <c r="Q63" s="33">
        <f>S62*(1+N(Debts!$D$9)/1200)</f>
        <v/>
      </c>
      <c r="R63" s="33">
        <f>Q63-MIN(N(Debts!$E$9),Q63)</f>
        <v/>
      </c>
      <c r="S63" s="33">
        <f>IF(R63&lt;=0.005,0,R63-MIN(R63,MAX(0,$E63-SUMIFS(H63:AK63,$H$5:$AK$5,"Rem",$H$4:$AK$4,"&lt;"&amp;S$4))))</f>
        <v/>
      </c>
      <c r="T63" s="33">
        <f>V62*(1+N(Debts!$D$10)/1200)</f>
        <v/>
      </c>
      <c r="U63" s="33">
        <f>T63-MIN(N(Debts!$E$10),T63)</f>
        <v/>
      </c>
      <c r="V63" s="33">
        <f>IF(U63&lt;=0.005,0,U63-MIN(U63,MAX(0,$E63-SUMIFS(H63:AK63,$H$5:$AK$5,"Rem",$H$4:$AK$4,"&lt;"&amp;V$4))))</f>
        <v/>
      </c>
      <c r="W63" s="33">
        <f>Y62*(1+N(Debts!$D$11)/1200)</f>
        <v/>
      </c>
      <c r="X63" s="33">
        <f>W63-MIN(N(Debts!$E$11),W63)</f>
        <v/>
      </c>
      <c r="Y63" s="33">
        <f>IF(X63&lt;=0.005,0,X63-MIN(X63,MAX(0,$E63-SUMIFS(H63:AK63,$H$5:$AK$5,"Rem",$H$4:$AK$4,"&lt;"&amp;Y$4))))</f>
        <v/>
      </c>
      <c r="Z63" s="33">
        <f>AB62*(1+N(Debts!$D$12)/1200)</f>
        <v/>
      </c>
      <c r="AA63" s="33">
        <f>Z63-MIN(N(Debts!$E$12),Z63)</f>
        <v/>
      </c>
      <c r="AB63" s="33">
        <f>IF(AA63&lt;=0.005,0,AA63-MIN(AA63,MAX(0,$E63-SUMIFS(H63:AK63,$H$5:$AK$5,"Rem",$H$4:$AK$4,"&lt;"&amp;AB$4))))</f>
        <v/>
      </c>
      <c r="AC63" s="33">
        <f>AE62*(1+N(Debts!$D$13)/1200)</f>
        <v/>
      </c>
      <c r="AD63" s="33">
        <f>AC63-MIN(N(Debts!$E$13),AC63)</f>
        <v/>
      </c>
      <c r="AE63" s="33">
        <f>IF(AD63&lt;=0.005,0,AD63-MIN(AD63,MAX(0,$E63-SUMIFS(H63:AK63,$H$5:$AK$5,"Rem",$H$4:$AK$4,"&lt;"&amp;AE$4))))</f>
        <v/>
      </c>
      <c r="AF63" s="33">
        <f>AH62*(1+N(Debts!$D$14)/1200)</f>
        <v/>
      </c>
      <c r="AG63" s="33">
        <f>AF63-MIN(N(Debts!$E$14),AF63)</f>
        <v/>
      </c>
      <c r="AH63" s="33">
        <f>IF(AG63&lt;=0.005,0,AG63-MIN(AG63,MAX(0,$E63-SUMIFS(H63:AK63,$H$5:$AK$5,"Rem",$H$4:$AK$4,"&lt;"&amp;AH$4))))</f>
        <v/>
      </c>
      <c r="AI63" s="33">
        <f>AK62*(1+N(Debts!$D$15)/1200)</f>
        <v/>
      </c>
      <c r="AJ63" s="33">
        <f>AI63-MIN(N(Debts!$E$15),AI63)</f>
        <v/>
      </c>
      <c r="AK63" s="33">
        <f>IF(AJ63&lt;=0.005,0,AJ63-MIN(AJ63,MAX(0,$E63-SUMIFS(H63:AK63,$H$5:$AK$5,"Rem",$H$4:$AK$4,"&lt;"&amp;AK$4))))</f>
        <v/>
      </c>
      <c r="AL63" s="1" t="n"/>
    </row>
    <row r="64">
      <c r="A64" s="1" t="n"/>
      <c r="B64" s="1" t="n">
        <v>57</v>
      </c>
      <c r="C64" s="34">
        <f>EDATE(Debts!$J$13,B64-1)</f>
        <v/>
      </c>
      <c r="D64" s="33">
        <f>IF(G63&lt;=0.005,0,Debts!$E$16+Debts!$J$7)</f>
        <v/>
      </c>
      <c r="E64" s="33">
        <f>MAX(0,D64-(SUMIF($H$5:$AK$5,"Due",H64:AK64)-SUMIF($H$5:$AK$5,"Rem",H64:AK64)))</f>
        <v/>
      </c>
      <c r="F64" s="33">
        <f>SUMIF($H$5:$AK$5,"Due",H64:AK64)-SUMIF($H$5:$AK$5,"Bal",H63:AK63)</f>
        <v/>
      </c>
      <c r="G64" s="33">
        <f>SUMIF($H$5:$AK$5,"Bal",H64:AK64)</f>
        <v/>
      </c>
      <c r="H64" s="33">
        <f>J63*(1+N(Debts!$D$6)/1200)</f>
        <v/>
      </c>
      <c r="I64" s="33">
        <f>H64-MIN(N(Debts!$E$6),H64)</f>
        <v/>
      </c>
      <c r="J64" s="33">
        <f>IF(I64&lt;=0.005,0,I64-MIN(I64,MAX(0,$E64-SUMIFS(H64:AK64,$H$5:$AK$5,"Rem",$H$4:$AK$4,"&lt;"&amp;J$4))))</f>
        <v/>
      </c>
      <c r="K64" s="33">
        <f>M63*(1+N(Debts!$D$7)/1200)</f>
        <v/>
      </c>
      <c r="L64" s="33">
        <f>K64-MIN(N(Debts!$E$7),K64)</f>
        <v/>
      </c>
      <c r="M64" s="33">
        <f>IF(L64&lt;=0.005,0,L64-MIN(L64,MAX(0,$E64-SUMIFS(H64:AK64,$H$5:$AK$5,"Rem",$H$4:$AK$4,"&lt;"&amp;M$4))))</f>
        <v/>
      </c>
      <c r="N64" s="33">
        <f>P63*(1+N(Debts!$D$8)/1200)</f>
        <v/>
      </c>
      <c r="O64" s="33">
        <f>N64-MIN(N(Debts!$E$8),N64)</f>
        <v/>
      </c>
      <c r="P64" s="33">
        <f>IF(O64&lt;=0.005,0,O64-MIN(O64,MAX(0,$E64-SUMIFS(H64:AK64,$H$5:$AK$5,"Rem",$H$4:$AK$4,"&lt;"&amp;P$4))))</f>
        <v/>
      </c>
      <c r="Q64" s="33">
        <f>S63*(1+N(Debts!$D$9)/1200)</f>
        <v/>
      </c>
      <c r="R64" s="33">
        <f>Q64-MIN(N(Debts!$E$9),Q64)</f>
        <v/>
      </c>
      <c r="S64" s="33">
        <f>IF(R64&lt;=0.005,0,R64-MIN(R64,MAX(0,$E64-SUMIFS(H64:AK64,$H$5:$AK$5,"Rem",$H$4:$AK$4,"&lt;"&amp;S$4))))</f>
        <v/>
      </c>
      <c r="T64" s="33">
        <f>V63*(1+N(Debts!$D$10)/1200)</f>
        <v/>
      </c>
      <c r="U64" s="33">
        <f>T64-MIN(N(Debts!$E$10),T64)</f>
        <v/>
      </c>
      <c r="V64" s="33">
        <f>IF(U64&lt;=0.005,0,U64-MIN(U64,MAX(0,$E64-SUMIFS(H64:AK64,$H$5:$AK$5,"Rem",$H$4:$AK$4,"&lt;"&amp;V$4))))</f>
        <v/>
      </c>
      <c r="W64" s="33">
        <f>Y63*(1+N(Debts!$D$11)/1200)</f>
        <v/>
      </c>
      <c r="X64" s="33">
        <f>W64-MIN(N(Debts!$E$11),W64)</f>
        <v/>
      </c>
      <c r="Y64" s="33">
        <f>IF(X64&lt;=0.005,0,X64-MIN(X64,MAX(0,$E64-SUMIFS(H64:AK64,$H$5:$AK$5,"Rem",$H$4:$AK$4,"&lt;"&amp;Y$4))))</f>
        <v/>
      </c>
      <c r="Z64" s="33">
        <f>AB63*(1+N(Debts!$D$12)/1200)</f>
        <v/>
      </c>
      <c r="AA64" s="33">
        <f>Z64-MIN(N(Debts!$E$12),Z64)</f>
        <v/>
      </c>
      <c r="AB64" s="33">
        <f>IF(AA64&lt;=0.005,0,AA64-MIN(AA64,MAX(0,$E64-SUMIFS(H64:AK64,$H$5:$AK$5,"Rem",$H$4:$AK$4,"&lt;"&amp;AB$4))))</f>
        <v/>
      </c>
      <c r="AC64" s="33">
        <f>AE63*(1+N(Debts!$D$13)/1200)</f>
        <v/>
      </c>
      <c r="AD64" s="33">
        <f>AC64-MIN(N(Debts!$E$13),AC64)</f>
        <v/>
      </c>
      <c r="AE64" s="33">
        <f>IF(AD64&lt;=0.005,0,AD64-MIN(AD64,MAX(0,$E64-SUMIFS(H64:AK64,$H$5:$AK$5,"Rem",$H$4:$AK$4,"&lt;"&amp;AE$4))))</f>
        <v/>
      </c>
      <c r="AF64" s="33">
        <f>AH63*(1+N(Debts!$D$14)/1200)</f>
        <v/>
      </c>
      <c r="AG64" s="33">
        <f>AF64-MIN(N(Debts!$E$14),AF64)</f>
        <v/>
      </c>
      <c r="AH64" s="33">
        <f>IF(AG64&lt;=0.005,0,AG64-MIN(AG64,MAX(0,$E64-SUMIFS(H64:AK64,$H$5:$AK$5,"Rem",$H$4:$AK$4,"&lt;"&amp;AH$4))))</f>
        <v/>
      </c>
      <c r="AI64" s="33">
        <f>AK63*(1+N(Debts!$D$15)/1200)</f>
        <v/>
      </c>
      <c r="AJ64" s="33">
        <f>AI64-MIN(N(Debts!$E$15),AI64)</f>
        <v/>
      </c>
      <c r="AK64" s="33">
        <f>IF(AJ64&lt;=0.005,0,AJ64-MIN(AJ64,MAX(0,$E64-SUMIFS(H64:AK64,$H$5:$AK$5,"Rem",$H$4:$AK$4,"&lt;"&amp;AK$4))))</f>
        <v/>
      </c>
      <c r="AL64" s="1" t="n"/>
    </row>
    <row r="65">
      <c r="A65" s="1" t="n"/>
      <c r="B65" s="1" t="n">
        <v>58</v>
      </c>
      <c r="C65" s="34">
        <f>EDATE(Debts!$J$13,B65-1)</f>
        <v/>
      </c>
      <c r="D65" s="33">
        <f>IF(G64&lt;=0.005,0,Debts!$E$16+Debts!$J$7)</f>
        <v/>
      </c>
      <c r="E65" s="33">
        <f>MAX(0,D65-(SUMIF($H$5:$AK$5,"Due",H65:AK65)-SUMIF($H$5:$AK$5,"Rem",H65:AK65)))</f>
        <v/>
      </c>
      <c r="F65" s="33">
        <f>SUMIF($H$5:$AK$5,"Due",H65:AK65)-SUMIF($H$5:$AK$5,"Bal",H64:AK64)</f>
        <v/>
      </c>
      <c r="G65" s="33">
        <f>SUMIF($H$5:$AK$5,"Bal",H65:AK65)</f>
        <v/>
      </c>
      <c r="H65" s="33">
        <f>J64*(1+N(Debts!$D$6)/1200)</f>
        <v/>
      </c>
      <c r="I65" s="33">
        <f>H65-MIN(N(Debts!$E$6),H65)</f>
        <v/>
      </c>
      <c r="J65" s="33">
        <f>IF(I65&lt;=0.005,0,I65-MIN(I65,MAX(0,$E65-SUMIFS(H65:AK65,$H$5:$AK$5,"Rem",$H$4:$AK$4,"&lt;"&amp;J$4))))</f>
        <v/>
      </c>
      <c r="K65" s="33">
        <f>M64*(1+N(Debts!$D$7)/1200)</f>
        <v/>
      </c>
      <c r="L65" s="33">
        <f>K65-MIN(N(Debts!$E$7),K65)</f>
        <v/>
      </c>
      <c r="M65" s="33">
        <f>IF(L65&lt;=0.005,0,L65-MIN(L65,MAX(0,$E65-SUMIFS(H65:AK65,$H$5:$AK$5,"Rem",$H$4:$AK$4,"&lt;"&amp;M$4))))</f>
        <v/>
      </c>
      <c r="N65" s="33">
        <f>P64*(1+N(Debts!$D$8)/1200)</f>
        <v/>
      </c>
      <c r="O65" s="33">
        <f>N65-MIN(N(Debts!$E$8),N65)</f>
        <v/>
      </c>
      <c r="P65" s="33">
        <f>IF(O65&lt;=0.005,0,O65-MIN(O65,MAX(0,$E65-SUMIFS(H65:AK65,$H$5:$AK$5,"Rem",$H$4:$AK$4,"&lt;"&amp;P$4))))</f>
        <v/>
      </c>
      <c r="Q65" s="33">
        <f>S64*(1+N(Debts!$D$9)/1200)</f>
        <v/>
      </c>
      <c r="R65" s="33">
        <f>Q65-MIN(N(Debts!$E$9),Q65)</f>
        <v/>
      </c>
      <c r="S65" s="33">
        <f>IF(R65&lt;=0.005,0,R65-MIN(R65,MAX(0,$E65-SUMIFS(H65:AK65,$H$5:$AK$5,"Rem",$H$4:$AK$4,"&lt;"&amp;S$4))))</f>
        <v/>
      </c>
      <c r="T65" s="33">
        <f>V64*(1+N(Debts!$D$10)/1200)</f>
        <v/>
      </c>
      <c r="U65" s="33">
        <f>T65-MIN(N(Debts!$E$10),T65)</f>
        <v/>
      </c>
      <c r="V65" s="33">
        <f>IF(U65&lt;=0.005,0,U65-MIN(U65,MAX(0,$E65-SUMIFS(H65:AK65,$H$5:$AK$5,"Rem",$H$4:$AK$4,"&lt;"&amp;V$4))))</f>
        <v/>
      </c>
      <c r="W65" s="33">
        <f>Y64*(1+N(Debts!$D$11)/1200)</f>
        <v/>
      </c>
      <c r="X65" s="33">
        <f>W65-MIN(N(Debts!$E$11),W65)</f>
        <v/>
      </c>
      <c r="Y65" s="33">
        <f>IF(X65&lt;=0.005,0,X65-MIN(X65,MAX(0,$E65-SUMIFS(H65:AK65,$H$5:$AK$5,"Rem",$H$4:$AK$4,"&lt;"&amp;Y$4))))</f>
        <v/>
      </c>
      <c r="Z65" s="33">
        <f>AB64*(1+N(Debts!$D$12)/1200)</f>
        <v/>
      </c>
      <c r="AA65" s="33">
        <f>Z65-MIN(N(Debts!$E$12),Z65)</f>
        <v/>
      </c>
      <c r="AB65" s="33">
        <f>IF(AA65&lt;=0.005,0,AA65-MIN(AA65,MAX(0,$E65-SUMIFS(H65:AK65,$H$5:$AK$5,"Rem",$H$4:$AK$4,"&lt;"&amp;AB$4))))</f>
        <v/>
      </c>
      <c r="AC65" s="33">
        <f>AE64*(1+N(Debts!$D$13)/1200)</f>
        <v/>
      </c>
      <c r="AD65" s="33">
        <f>AC65-MIN(N(Debts!$E$13),AC65)</f>
        <v/>
      </c>
      <c r="AE65" s="33">
        <f>IF(AD65&lt;=0.005,0,AD65-MIN(AD65,MAX(0,$E65-SUMIFS(H65:AK65,$H$5:$AK$5,"Rem",$H$4:$AK$4,"&lt;"&amp;AE$4))))</f>
        <v/>
      </c>
      <c r="AF65" s="33">
        <f>AH64*(1+N(Debts!$D$14)/1200)</f>
        <v/>
      </c>
      <c r="AG65" s="33">
        <f>AF65-MIN(N(Debts!$E$14),AF65)</f>
        <v/>
      </c>
      <c r="AH65" s="33">
        <f>IF(AG65&lt;=0.005,0,AG65-MIN(AG65,MAX(0,$E65-SUMIFS(H65:AK65,$H$5:$AK$5,"Rem",$H$4:$AK$4,"&lt;"&amp;AH$4))))</f>
        <v/>
      </c>
      <c r="AI65" s="33">
        <f>AK64*(1+N(Debts!$D$15)/1200)</f>
        <v/>
      </c>
      <c r="AJ65" s="33">
        <f>AI65-MIN(N(Debts!$E$15),AI65)</f>
        <v/>
      </c>
      <c r="AK65" s="33">
        <f>IF(AJ65&lt;=0.005,0,AJ65-MIN(AJ65,MAX(0,$E65-SUMIFS(H65:AK65,$H$5:$AK$5,"Rem",$H$4:$AK$4,"&lt;"&amp;AK$4))))</f>
        <v/>
      </c>
      <c r="AL65" s="1" t="n"/>
    </row>
    <row r="66">
      <c r="A66" s="1" t="n"/>
      <c r="B66" s="1" t="n">
        <v>59</v>
      </c>
      <c r="C66" s="34">
        <f>EDATE(Debts!$J$13,B66-1)</f>
        <v/>
      </c>
      <c r="D66" s="33">
        <f>IF(G65&lt;=0.005,0,Debts!$E$16+Debts!$J$7)</f>
        <v/>
      </c>
      <c r="E66" s="33">
        <f>MAX(0,D66-(SUMIF($H$5:$AK$5,"Due",H66:AK66)-SUMIF($H$5:$AK$5,"Rem",H66:AK66)))</f>
        <v/>
      </c>
      <c r="F66" s="33">
        <f>SUMIF($H$5:$AK$5,"Due",H66:AK66)-SUMIF($H$5:$AK$5,"Bal",H65:AK65)</f>
        <v/>
      </c>
      <c r="G66" s="33">
        <f>SUMIF($H$5:$AK$5,"Bal",H66:AK66)</f>
        <v/>
      </c>
      <c r="H66" s="33">
        <f>J65*(1+N(Debts!$D$6)/1200)</f>
        <v/>
      </c>
      <c r="I66" s="33">
        <f>H66-MIN(N(Debts!$E$6),H66)</f>
        <v/>
      </c>
      <c r="J66" s="33">
        <f>IF(I66&lt;=0.005,0,I66-MIN(I66,MAX(0,$E66-SUMIFS(H66:AK66,$H$5:$AK$5,"Rem",$H$4:$AK$4,"&lt;"&amp;J$4))))</f>
        <v/>
      </c>
      <c r="K66" s="33">
        <f>M65*(1+N(Debts!$D$7)/1200)</f>
        <v/>
      </c>
      <c r="L66" s="33">
        <f>K66-MIN(N(Debts!$E$7),K66)</f>
        <v/>
      </c>
      <c r="M66" s="33">
        <f>IF(L66&lt;=0.005,0,L66-MIN(L66,MAX(0,$E66-SUMIFS(H66:AK66,$H$5:$AK$5,"Rem",$H$4:$AK$4,"&lt;"&amp;M$4))))</f>
        <v/>
      </c>
      <c r="N66" s="33">
        <f>P65*(1+N(Debts!$D$8)/1200)</f>
        <v/>
      </c>
      <c r="O66" s="33">
        <f>N66-MIN(N(Debts!$E$8),N66)</f>
        <v/>
      </c>
      <c r="P66" s="33">
        <f>IF(O66&lt;=0.005,0,O66-MIN(O66,MAX(0,$E66-SUMIFS(H66:AK66,$H$5:$AK$5,"Rem",$H$4:$AK$4,"&lt;"&amp;P$4))))</f>
        <v/>
      </c>
      <c r="Q66" s="33">
        <f>S65*(1+N(Debts!$D$9)/1200)</f>
        <v/>
      </c>
      <c r="R66" s="33">
        <f>Q66-MIN(N(Debts!$E$9),Q66)</f>
        <v/>
      </c>
      <c r="S66" s="33">
        <f>IF(R66&lt;=0.005,0,R66-MIN(R66,MAX(0,$E66-SUMIFS(H66:AK66,$H$5:$AK$5,"Rem",$H$4:$AK$4,"&lt;"&amp;S$4))))</f>
        <v/>
      </c>
      <c r="T66" s="33">
        <f>V65*(1+N(Debts!$D$10)/1200)</f>
        <v/>
      </c>
      <c r="U66" s="33">
        <f>T66-MIN(N(Debts!$E$10),T66)</f>
        <v/>
      </c>
      <c r="V66" s="33">
        <f>IF(U66&lt;=0.005,0,U66-MIN(U66,MAX(0,$E66-SUMIFS(H66:AK66,$H$5:$AK$5,"Rem",$H$4:$AK$4,"&lt;"&amp;V$4))))</f>
        <v/>
      </c>
      <c r="W66" s="33">
        <f>Y65*(1+N(Debts!$D$11)/1200)</f>
        <v/>
      </c>
      <c r="X66" s="33">
        <f>W66-MIN(N(Debts!$E$11),W66)</f>
        <v/>
      </c>
      <c r="Y66" s="33">
        <f>IF(X66&lt;=0.005,0,X66-MIN(X66,MAX(0,$E66-SUMIFS(H66:AK66,$H$5:$AK$5,"Rem",$H$4:$AK$4,"&lt;"&amp;Y$4))))</f>
        <v/>
      </c>
      <c r="Z66" s="33">
        <f>AB65*(1+N(Debts!$D$12)/1200)</f>
        <v/>
      </c>
      <c r="AA66" s="33">
        <f>Z66-MIN(N(Debts!$E$12),Z66)</f>
        <v/>
      </c>
      <c r="AB66" s="33">
        <f>IF(AA66&lt;=0.005,0,AA66-MIN(AA66,MAX(0,$E66-SUMIFS(H66:AK66,$H$5:$AK$5,"Rem",$H$4:$AK$4,"&lt;"&amp;AB$4))))</f>
        <v/>
      </c>
      <c r="AC66" s="33">
        <f>AE65*(1+N(Debts!$D$13)/1200)</f>
        <v/>
      </c>
      <c r="AD66" s="33">
        <f>AC66-MIN(N(Debts!$E$13),AC66)</f>
        <v/>
      </c>
      <c r="AE66" s="33">
        <f>IF(AD66&lt;=0.005,0,AD66-MIN(AD66,MAX(0,$E66-SUMIFS(H66:AK66,$H$5:$AK$5,"Rem",$H$4:$AK$4,"&lt;"&amp;AE$4))))</f>
        <v/>
      </c>
      <c r="AF66" s="33">
        <f>AH65*(1+N(Debts!$D$14)/1200)</f>
        <v/>
      </c>
      <c r="AG66" s="33">
        <f>AF66-MIN(N(Debts!$E$14),AF66)</f>
        <v/>
      </c>
      <c r="AH66" s="33">
        <f>IF(AG66&lt;=0.005,0,AG66-MIN(AG66,MAX(0,$E66-SUMIFS(H66:AK66,$H$5:$AK$5,"Rem",$H$4:$AK$4,"&lt;"&amp;AH$4))))</f>
        <v/>
      </c>
      <c r="AI66" s="33">
        <f>AK65*(1+N(Debts!$D$15)/1200)</f>
        <v/>
      </c>
      <c r="AJ66" s="33">
        <f>AI66-MIN(N(Debts!$E$15),AI66)</f>
        <v/>
      </c>
      <c r="AK66" s="33">
        <f>IF(AJ66&lt;=0.005,0,AJ66-MIN(AJ66,MAX(0,$E66-SUMIFS(H66:AK66,$H$5:$AK$5,"Rem",$H$4:$AK$4,"&lt;"&amp;AK$4))))</f>
        <v/>
      </c>
      <c r="AL66" s="1" t="n"/>
    </row>
    <row r="67">
      <c r="A67" s="1" t="n"/>
      <c r="B67" s="1" t="n">
        <v>60</v>
      </c>
      <c r="C67" s="34">
        <f>EDATE(Debts!$J$13,B67-1)</f>
        <v/>
      </c>
      <c r="D67" s="33">
        <f>IF(G66&lt;=0.005,0,Debts!$E$16+Debts!$J$7)</f>
        <v/>
      </c>
      <c r="E67" s="33">
        <f>MAX(0,D67-(SUMIF($H$5:$AK$5,"Due",H67:AK67)-SUMIF($H$5:$AK$5,"Rem",H67:AK67)))</f>
        <v/>
      </c>
      <c r="F67" s="33">
        <f>SUMIF($H$5:$AK$5,"Due",H67:AK67)-SUMIF($H$5:$AK$5,"Bal",H66:AK66)</f>
        <v/>
      </c>
      <c r="G67" s="33">
        <f>SUMIF($H$5:$AK$5,"Bal",H67:AK67)</f>
        <v/>
      </c>
      <c r="H67" s="33">
        <f>J66*(1+N(Debts!$D$6)/1200)</f>
        <v/>
      </c>
      <c r="I67" s="33">
        <f>H67-MIN(N(Debts!$E$6),H67)</f>
        <v/>
      </c>
      <c r="J67" s="33">
        <f>IF(I67&lt;=0.005,0,I67-MIN(I67,MAX(0,$E67-SUMIFS(H67:AK67,$H$5:$AK$5,"Rem",$H$4:$AK$4,"&lt;"&amp;J$4))))</f>
        <v/>
      </c>
      <c r="K67" s="33">
        <f>M66*(1+N(Debts!$D$7)/1200)</f>
        <v/>
      </c>
      <c r="L67" s="33">
        <f>K67-MIN(N(Debts!$E$7),K67)</f>
        <v/>
      </c>
      <c r="M67" s="33">
        <f>IF(L67&lt;=0.005,0,L67-MIN(L67,MAX(0,$E67-SUMIFS(H67:AK67,$H$5:$AK$5,"Rem",$H$4:$AK$4,"&lt;"&amp;M$4))))</f>
        <v/>
      </c>
      <c r="N67" s="33">
        <f>P66*(1+N(Debts!$D$8)/1200)</f>
        <v/>
      </c>
      <c r="O67" s="33">
        <f>N67-MIN(N(Debts!$E$8),N67)</f>
        <v/>
      </c>
      <c r="P67" s="33">
        <f>IF(O67&lt;=0.005,0,O67-MIN(O67,MAX(0,$E67-SUMIFS(H67:AK67,$H$5:$AK$5,"Rem",$H$4:$AK$4,"&lt;"&amp;P$4))))</f>
        <v/>
      </c>
      <c r="Q67" s="33">
        <f>S66*(1+N(Debts!$D$9)/1200)</f>
        <v/>
      </c>
      <c r="R67" s="33">
        <f>Q67-MIN(N(Debts!$E$9),Q67)</f>
        <v/>
      </c>
      <c r="S67" s="33">
        <f>IF(R67&lt;=0.005,0,R67-MIN(R67,MAX(0,$E67-SUMIFS(H67:AK67,$H$5:$AK$5,"Rem",$H$4:$AK$4,"&lt;"&amp;S$4))))</f>
        <v/>
      </c>
      <c r="T67" s="33">
        <f>V66*(1+N(Debts!$D$10)/1200)</f>
        <v/>
      </c>
      <c r="U67" s="33">
        <f>T67-MIN(N(Debts!$E$10),T67)</f>
        <v/>
      </c>
      <c r="V67" s="33">
        <f>IF(U67&lt;=0.005,0,U67-MIN(U67,MAX(0,$E67-SUMIFS(H67:AK67,$H$5:$AK$5,"Rem",$H$4:$AK$4,"&lt;"&amp;V$4))))</f>
        <v/>
      </c>
      <c r="W67" s="33">
        <f>Y66*(1+N(Debts!$D$11)/1200)</f>
        <v/>
      </c>
      <c r="X67" s="33">
        <f>W67-MIN(N(Debts!$E$11),W67)</f>
        <v/>
      </c>
      <c r="Y67" s="33">
        <f>IF(X67&lt;=0.005,0,X67-MIN(X67,MAX(0,$E67-SUMIFS(H67:AK67,$H$5:$AK$5,"Rem",$H$4:$AK$4,"&lt;"&amp;Y$4))))</f>
        <v/>
      </c>
      <c r="Z67" s="33">
        <f>AB66*(1+N(Debts!$D$12)/1200)</f>
        <v/>
      </c>
      <c r="AA67" s="33">
        <f>Z67-MIN(N(Debts!$E$12),Z67)</f>
        <v/>
      </c>
      <c r="AB67" s="33">
        <f>IF(AA67&lt;=0.005,0,AA67-MIN(AA67,MAX(0,$E67-SUMIFS(H67:AK67,$H$5:$AK$5,"Rem",$H$4:$AK$4,"&lt;"&amp;AB$4))))</f>
        <v/>
      </c>
      <c r="AC67" s="33">
        <f>AE66*(1+N(Debts!$D$13)/1200)</f>
        <v/>
      </c>
      <c r="AD67" s="33">
        <f>AC67-MIN(N(Debts!$E$13),AC67)</f>
        <v/>
      </c>
      <c r="AE67" s="33">
        <f>IF(AD67&lt;=0.005,0,AD67-MIN(AD67,MAX(0,$E67-SUMIFS(H67:AK67,$H$5:$AK$5,"Rem",$H$4:$AK$4,"&lt;"&amp;AE$4))))</f>
        <v/>
      </c>
      <c r="AF67" s="33">
        <f>AH66*(1+N(Debts!$D$14)/1200)</f>
        <v/>
      </c>
      <c r="AG67" s="33">
        <f>AF67-MIN(N(Debts!$E$14),AF67)</f>
        <v/>
      </c>
      <c r="AH67" s="33">
        <f>IF(AG67&lt;=0.005,0,AG67-MIN(AG67,MAX(0,$E67-SUMIFS(H67:AK67,$H$5:$AK$5,"Rem",$H$4:$AK$4,"&lt;"&amp;AH$4))))</f>
        <v/>
      </c>
      <c r="AI67" s="33">
        <f>AK66*(1+N(Debts!$D$15)/1200)</f>
        <v/>
      </c>
      <c r="AJ67" s="33">
        <f>AI67-MIN(N(Debts!$E$15),AI67)</f>
        <v/>
      </c>
      <c r="AK67" s="33">
        <f>IF(AJ67&lt;=0.005,0,AJ67-MIN(AJ67,MAX(0,$E67-SUMIFS(H67:AK67,$H$5:$AK$5,"Rem",$H$4:$AK$4,"&lt;"&amp;AK$4))))</f>
        <v/>
      </c>
      <c r="AL67" s="1" t="n"/>
    </row>
    <row r="68">
      <c r="A68" s="1" t="n"/>
      <c r="B68" s="1" t="n">
        <v>61</v>
      </c>
      <c r="C68" s="34">
        <f>EDATE(Debts!$J$13,B68-1)</f>
        <v/>
      </c>
      <c r="D68" s="33">
        <f>IF(G67&lt;=0.005,0,Debts!$E$16+Debts!$J$7)</f>
        <v/>
      </c>
      <c r="E68" s="33">
        <f>MAX(0,D68-(SUMIF($H$5:$AK$5,"Due",H68:AK68)-SUMIF($H$5:$AK$5,"Rem",H68:AK68)))</f>
        <v/>
      </c>
      <c r="F68" s="33">
        <f>SUMIF($H$5:$AK$5,"Due",H68:AK68)-SUMIF($H$5:$AK$5,"Bal",H67:AK67)</f>
        <v/>
      </c>
      <c r="G68" s="33">
        <f>SUMIF($H$5:$AK$5,"Bal",H68:AK68)</f>
        <v/>
      </c>
      <c r="H68" s="33">
        <f>J67*(1+N(Debts!$D$6)/1200)</f>
        <v/>
      </c>
      <c r="I68" s="33">
        <f>H68-MIN(N(Debts!$E$6),H68)</f>
        <v/>
      </c>
      <c r="J68" s="33">
        <f>IF(I68&lt;=0.005,0,I68-MIN(I68,MAX(0,$E68-SUMIFS(H68:AK68,$H$5:$AK$5,"Rem",$H$4:$AK$4,"&lt;"&amp;J$4))))</f>
        <v/>
      </c>
      <c r="K68" s="33">
        <f>M67*(1+N(Debts!$D$7)/1200)</f>
        <v/>
      </c>
      <c r="L68" s="33">
        <f>K68-MIN(N(Debts!$E$7),K68)</f>
        <v/>
      </c>
      <c r="M68" s="33">
        <f>IF(L68&lt;=0.005,0,L68-MIN(L68,MAX(0,$E68-SUMIFS(H68:AK68,$H$5:$AK$5,"Rem",$H$4:$AK$4,"&lt;"&amp;M$4))))</f>
        <v/>
      </c>
      <c r="N68" s="33">
        <f>P67*(1+N(Debts!$D$8)/1200)</f>
        <v/>
      </c>
      <c r="O68" s="33">
        <f>N68-MIN(N(Debts!$E$8),N68)</f>
        <v/>
      </c>
      <c r="P68" s="33">
        <f>IF(O68&lt;=0.005,0,O68-MIN(O68,MAX(0,$E68-SUMIFS(H68:AK68,$H$5:$AK$5,"Rem",$H$4:$AK$4,"&lt;"&amp;P$4))))</f>
        <v/>
      </c>
      <c r="Q68" s="33">
        <f>S67*(1+N(Debts!$D$9)/1200)</f>
        <v/>
      </c>
      <c r="R68" s="33">
        <f>Q68-MIN(N(Debts!$E$9),Q68)</f>
        <v/>
      </c>
      <c r="S68" s="33">
        <f>IF(R68&lt;=0.005,0,R68-MIN(R68,MAX(0,$E68-SUMIFS(H68:AK68,$H$5:$AK$5,"Rem",$H$4:$AK$4,"&lt;"&amp;S$4))))</f>
        <v/>
      </c>
      <c r="T68" s="33">
        <f>V67*(1+N(Debts!$D$10)/1200)</f>
        <v/>
      </c>
      <c r="U68" s="33">
        <f>T68-MIN(N(Debts!$E$10),T68)</f>
        <v/>
      </c>
      <c r="V68" s="33">
        <f>IF(U68&lt;=0.005,0,U68-MIN(U68,MAX(0,$E68-SUMIFS(H68:AK68,$H$5:$AK$5,"Rem",$H$4:$AK$4,"&lt;"&amp;V$4))))</f>
        <v/>
      </c>
      <c r="W68" s="33">
        <f>Y67*(1+N(Debts!$D$11)/1200)</f>
        <v/>
      </c>
      <c r="X68" s="33">
        <f>W68-MIN(N(Debts!$E$11),W68)</f>
        <v/>
      </c>
      <c r="Y68" s="33">
        <f>IF(X68&lt;=0.005,0,X68-MIN(X68,MAX(0,$E68-SUMIFS(H68:AK68,$H$5:$AK$5,"Rem",$H$4:$AK$4,"&lt;"&amp;Y$4))))</f>
        <v/>
      </c>
      <c r="Z68" s="33">
        <f>AB67*(1+N(Debts!$D$12)/1200)</f>
        <v/>
      </c>
      <c r="AA68" s="33">
        <f>Z68-MIN(N(Debts!$E$12),Z68)</f>
        <v/>
      </c>
      <c r="AB68" s="33">
        <f>IF(AA68&lt;=0.005,0,AA68-MIN(AA68,MAX(0,$E68-SUMIFS(H68:AK68,$H$5:$AK$5,"Rem",$H$4:$AK$4,"&lt;"&amp;AB$4))))</f>
        <v/>
      </c>
      <c r="AC68" s="33">
        <f>AE67*(1+N(Debts!$D$13)/1200)</f>
        <v/>
      </c>
      <c r="AD68" s="33">
        <f>AC68-MIN(N(Debts!$E$13),AC68)</f>
        <v/>
      </c>
      <c r="AE68" s="33">
        <f>IF(AD68&lt;=0.005,0,AD68-MIN(AD68,MAX(0,$E68-SUMIFS(H68:AK68,$H$5:$AK$5,"Rem",$H$4:$AK$4,"&lt;"&amp;AE$4))))</f>
        <v/>
      </c>
      <c r="AF68" s="33">
        <f>AH67*(1+N(Debts!$D$14)/1200)</f>
        <v/>
      </c>
      <c r="AG68" s="33">
        <f>AF68-MIN(N(Debts!$E$14),AF68)</f>
        <v/>
      </c>
      <c r="AH68" s="33">
        <f>IF(AG68&lt;=0.005,0,AG68-MIN(AG68,MAX(0,$E68-SUMIFS(H68:AK68,$H$5:$AK$5,"Rem",$H$4:$AK$4,"&lt;"&amp;AH$4))))</f>
        <v/>
      </c>
      <c r="AI68" s="33">
        <f>AK67*(1+N(Debts!$D$15)/1200)</f>
        <v/>
      </c>
      <c r="AJ68" s="33">
        <f>AI68-MIN(N(Debts!$E$15),AI68)</f>
        <v/>
      </c>
      <c r="AK68" s="33">
        <f>IF(AJ68&lt;=0.005,0,AJ68-MIN(AJ68,MAX(0,$E68-SUMIFS(H68:AK68,$H$5:$AK$5,"Rem",$H$4:$AK$4,"&lt;"&amp;AK$4))))</f>
        <v/>
      </c>
      <c r="AL68" s="1" t="n"/>
    </row>
    <row r="69">
      <c r="A69" s="1" t="n"/>
      <c r="B69" s="1" t="n">
        <v>62</v>
      </c>
      <c r="C69" s="34">
        <f>EDATE(Debts!$J$13,B69-1)</f>
        <v/>
      </c>
      <c r="D69" s="33">
        <f>IF(G68&lt;=0.005,0,Debts!$E$16+Debts!$J$7)</f>
        <v/>
      </c>
      <c r="E69" s="33">
        <f>MAX(0,D69-(SUMIF($H$5:$AK$5,"Due",H69:AK69)-SUMIF($H$5:$AK$5,"Rem",H69:AK69)))</f>
        <v/>
      </c>
      <c r="F69" s="33">
        <f>SUMIF($H$5:$AK$5,"Due",H69:AK69)-SUMIF($H$5:$AK$5,"Bal",H68:AK68)</f>
        <v/>
      </c>
      <c r="G69" s="33">
        <f>SUMIF($H$5:$AK$5,"Bal",H69:AK69)</f>
        <v/>
      </c>
      <c r="H69" s="33">
        <f>J68*(1+N(Debts!$D$6)/1200)</f>
        <v/>
      </c>
      <c r="I69" s="33">
        <f>H69-MIN(N(Debts!$E$6),H69)</f>
        <v/>
      </c>
      <c r="J69" s="33">
        <f>IF(I69&lt;=0.005,0,I69-MIN(I69,MAX(0,$E69-SUMIFS(H69:AK69,$H$5:$AK$5,"Rem",$H$4:$AK$4,"&lt;"&amp;J$4))))</f>
        <v/>
      </c>
      <c r="K69" s="33">
        <f>M68*(1+N(Debts!$D$7)/1200)</f>
        <v/>
      </c>
      <c r="L69" s="33">
        <f>K69-MIN(N(Debts!$E$7),K69)</f>
        <v/>
      </c>
      <c r="M69" s="33">
        <f>IF(L69&lt;=0.005,0,L69-MIN(L69,MAX(0,$E69-SUMIFS(H69:AK69,$H$5:$AK$5,"Rem",$H$4:$AK$4,"&lt;"&amp;M$4))))</f>
        <v/>
      </c>
      <c r="N69" s="33">
        <f>P68*(1+N(Debts!$D$8)/1200)</f>
        <v/>
      </c>
      <c r="O69" s="33">
        <f>N69-MIN(N(Debts!$E$8),N69)</f>
        <v/>
      </c>
      <c r="P69" s="33">
        <f>IF(O69&lt;=0.005,0,O69-MIN(O69,MAX(0,$E69-SUMIFS(H69:AK69,$H$5:$AK$5,"Rem",$H$4:$AK$4,"&lt;"&amp;P$4))))</f>
        <v/>
      </c>
      <c r="Q69" s="33">
        <f>S68*(1+N(Debts!$D$9)/1200)</f>
        <v/>
      </c>
      <c r="R69" s="33">
        <f>Q69-MIN(N(Debts!$E$9),Q69)</f>
        <v/>
      </c>
      <c r="S69" s="33">
        <f>IF(R69&lt;=0.005,0,R69-MIN(R69,MAX(0,$E69-SUMIFS(H69:AK69,$H$5:$AK$5,"Rem",$H$4:$AK$4,"&lt;"&amp;S$4))))</f>
        <v/>
      </c>
      <c r="T69" s="33">
        <f>V68*(1+N(Debts!$D$10)/1200)</f>
        <v/>
      </c>
      <c r="U69" s="33">
        <f>T69-MIN(N(Debts!$E$10),T69)</f>
        <v/>
      </c>
      <c r="V69" s="33">
        <f>IF(U69&lt;=0.005,0,U69-MIN(U69,MAX(0,$E69-SUMIFS(H69:AK69,$H$5:$AK$5,"Rem",$H$4:$AK$4,"&lt;"&amp;V$4))))</f>
        <v/>
      </c>
      <c r="W69" s="33">
        <f>Y68*(1+N(Debts!$D$11)/1200)</f>
        <v/>
      </c>
      <c r="X69" s="33">
        <f>W69-MIN(N(Debts!$E$11),W69)</f>
        <v/>
      </c>
      <c r="Y69" s="33">
        <f>IF(X69&lt;=0.005,0,X69-MIN(X69,MAX(0,$E69-SUMIFS(H69:AK69,$H$5:$AK$5,"Rem",$H$4:$AK$4,"&lt;"&amp;Y$4))))</f>
        <v/>
      </c>
      <c r="Z69" s="33">
        <f>AB68*(1+N(Debts!$D$12)/1200)</f>
        <v/>
      </c>
      <c r="AA69" s="33">
        <f>Z69-MIN(N(Debts!$E$12),Z69)</f>
        <v/>
      </c>
      <c r="AB69" s="33">
        <f>IF(AA69&lt;=0.005,0,AA69-MIN(AA69,MAX(0,$E69-SUMIFS(H69:AK69,$H$5:$AK$5,"Rem",$H$4:$AK$4,"&lt;"&amp;AB$4))))</f>
        <v/>
      </c>
      <c r="AC69" s="33">
        <f>AE68*(1+N(Debts!$D$13)/1200)</f>
        <v/>
      </c>
      <c r="AD69" s="33">
        <f>AC69-MIN(N(Debts!$E$13),AC69)</f>
        <v/>
      </c>
      <c r="AE69" s="33">
        <f>IF(AD69&lt;=0.005,0,AD69-MIN(AD69,MAX(0,$E69-SUMIFS(H69:AK69,$H$5:$AK$5,"Rem",$H$4:$AK$4,"&lt;"&amp;AE$4))))</f>
        <v/>
      </c>
      <c r="AF69" s="33">
        <f>AH68*(1+N(Debts!$D$14)/1200)</f>
        <v/>
      </c>
      <c r="AG69" s="33">
        <f>AF69-MIN(N(Debts!$E$14),AF69)</f>
        <v/>
      </c>
      <c r="AH69" s="33">
        <f>IF(AG69&lt;=0.005,0,AG69-MIN(AG69,MAX(0,$E69-SUMIFS(H69:AK69,$H$5:$AK$5,"Rem",$H$4:$AK$4,"&lt;"&amp;AH$4))))</f>
        <v/>
      </c>
      <c r="AI69" s="33">
        <f>AK68*(1+N(Debts!$D$15)/1200)</f>
        <v/>
      </c>
      <c r="AJ69" s="33">
        <f>AI69-MIN(N(Debts!$E$15),AI69)</f>
        <v/>
      </c>
      <c r="AK69" s="33">
        <f>IF(AJ69&lt;=0.005,0,AJ69-MIN(AJ69,MAX(0,$E69-SUMIFS(H69:AK69,$H$5:$AK$5,"Rem",$H$4:$AK$4,"&lt;"&amp;AK$4))))</f>
        <v/>
      </c>
      <c r="AL69" s="1" t="n"/>
    </row>
    <row r="70">
      <c r="A70" s="1" t="n"/>
      <c r="B70" s="1" t="n">
        <v>63</v>
      </c>
      <c r="C70" s="34">
        <f>EDATE(Debts!$J$13,B70-1)</f>
        <v/>
      </c>
      <c r="D70" s="33">
        <f>IF(G69&lt;=0.005,0,Debts!$E$16+Debts!$J$7)</f>
        <v/>
      </c>
      <c r="E70" s="33">
        <f>MAX(0,D70-(SUMIF($H$5:$AK$5,"Due",H70:AK70)-SUMIF($H$5:$AK$5,"Rem",H70:AK70)))</f>
        <v/>
      </c>
      <c r="F70" s="33">
        <f>SUMIF($H$5:$AK$5,"Due",H70:AK70)-SUMIF($H$5:$AK$5,"Bal",H69:AK69)</f>
        <v/>
      </c>
      <c r="G70" s="33">
        <f>SUMIF($H$5:$AK$5,"Bal",H70:AK70)</f>
        <v/>
      </c>
      <c r="H70" s="33">
        <f>J69*(1+N(Debts!$D$6)/1200)</f>
        <v/>
      </c>
      <c r="I70" s="33">
        <f>H70-MIN(N(Debts!$E$6),H70)</f>
        <v/>
      </c>
      <c r="J70" s="33">
        <f>IF(I70&lt;=0.005,0,I70-MIN(I70,MAX(0,$E70-SUMIFS(H70:AK70,$H$5:$AK$5,"Rem",$H$4:$AK$4,"&lt;"&amp;J$4))))</f>
        <v/>
      </c>
      <c r="K70" s="33">
        <f>M69*(1+N(Debts!$D$7)/1200)</f>
        <v/>
      </c>
      <c r="L70" s="33">
        <f>K70-MIN(N(Debts!$E$7),K70)</f>
        <v/>
      </c>
      <c r="M70" s="33">
        <f>IF(L70&lt;=0.005,0,L70-MIN(L70,MAX(0,$E70-SUMIFS(H70:AK70,$H$5:$AK$5,"Rem",$H$4:$AK$4,"&lt;"&amp;M$4))))</f>
        <v/>
      </c>
      <c r="N70" s="33">
        <f>P69*(1+N(Debts!$D$8)/1200)</f>
        <v/>
      </c>
      <c r="O70" s="33">
        <f>N70-MIN(N(Debts!$E$8),N70)</f>
        <v/>
      </c>
      <c r="P70" s="33">
        <f>IF(O70&lt;=0.005,0,O70-MIN(O70,MAX(0,$E70-SUMIFS(H70:AK70,$H$5:$AK$5,"Rem",$H$4:$AK$4,"&lt;"&amp;P$4))))</f>
        <v/>
      </c>
      <c r="Q70" s="33">
        <f>S69*(1+N(Debts!$D$9)/1200)</f>
        <v/>
      </c>
      <c r="R70" s="33">
        <f>Q70-MIN(N(Debts!$E$9),Q70)</f>
        <v/>
      </c>
      <c r="S70" s="33">
        <f>IF(R70&lt;=0.005,0,R70-MIN(R70,MAX(0,$E70-SUMIFS(H70:AK70,$H$5:$AK$5,"Rem",$H$4:$AK$4,"&lt;"&amp;S$4))))</f>
        <v/>
      </c>
      <c r="T70" s="33">
        <f>V69*(1+N(Debts!$D$10)/1200)</f>
        <v/>
      </c>
      <c r="U70" s="33">
        <f>T70-MIN(N(Debts!$E$10),T70)</f>
        <v/>
      </c>
      <c r="V70" s="33">
        <f>IF(U70&lt;=0.005,0,U70-MIN(U70,MAX(0,$E70-SUMIFS(H70:AK70,$H$5:$AK$5,"Rem",$H$4:$AK$4,"&lt;"&amp;V$4))))</f>
        <v/>
      </c>
      <c r="W70" s="33">
        <f>Y69*(1+N(Debts!$D$11)/1200)</f>
        <v/>
      </c>
      <c r="X70" s="33">
        <f>W70-MIN(N(Debts!$E$11),W70)</f>
        <v/>
      </c>
      <c r="Y70" s="33">
        <f>IF(X70&lt;=0.005,0,X70-MIN(X70,MAX(0,$E70-SUMIFS(H70:AK70,$H$5:$AK$5,"Rem",$H$4:$AK$4,"&lt;"&amp;Y$4))))</f>
        <v/>
      </c>
      <c r="Z70" s="33">
        <f>AB69*(1+N(Debts!$D$12)/1200)</f>
        <v/>
      </c>
      <c r="AA70" s="33">
        <f>Z70-MIN(N(Debts!$E$12),Z70)</f>
        <v/>
      </c>
      <c r="AB70" s="33">
        <f>IF(AA70&lt;=0.005,0,AA70-MIN(AA70,MAX(0,$E70-SUMIFS(H70:AK70,$H$5:$AK$5,"Rem",$H$4:$AK$4,"&lt;"&amp;AB$4))))</f>
        <v/>
      </c>
      <c r="AC70" s="33">
        <f>AE69*(1+N(Debts!$D$13)/1200)</f>
        <v/>
      </c>
      <c r="AD70" s="33">
        <f>AC70-MIN(N(Debts!$E$13),AC70)</f>
        <v/>
      </c>
      <c r="AE70" s="33">
        <f>IF(AD70&lt;=0.005,0,AD70-MIN(AD70,MAX(0,$E70-SUMIFS(H70:AK70,$H$5:$AK$5,"Rem",$H$4:$AK$4,"&lt;"&amp;AE$4))))</f>
        <v/>
      </c>
      <c r="AF70" s="33">
        <f>AH69*(1+N(Debts!$D$14)/1200)</f>
        <v/>
      </c>
      <c r="AG70" s="33">
        <f>AF70-MIN(N(Debts!$E$14),AF70)</f>
        <v/>
      </c>
      <c r="AH70" s="33">
        <f>IF(AG70&lt;=0.005,0,AG70-MIN(AG70,MAX(0,$E70-SUMIFS(H70:AK70,$H$5:$AK$5,"Rem",$H$4:$AK$4,"&lt;"&amp;AH$4))))</f>
        <v/>
      </c>
      <c r="AI70" s="33">
        <f>AK69*(1+N(Debts!$D$15)/1200)</f>
        <v/>
      </c>
      <c r="AJ70" s="33">
        <f>AI70-MIN(N(Debts!$E$15),AI70)</f>
        <v/>
      </c>
      <c r="AK70" s="33">
        <f>IF(AJ70&lt;=0.005,0,AJ70-MIN(AJ70,MAX(0,$E70-SUMIFS(H70:AK70,$H$5:$AK$5,"Rem",$H$4:$AK$4,"&lt;"&amp;AK$4))))</f>
        <v/>
      </c>
      <c r="AL70" s="1" t="n"/>
    </row>
    <row r="71">
      <c r="A71" s="1" t="n"/>
      <c r="B71" s="1" t="n">
        <v>64</v>
      </c>
      <c r="C71" s="34">
        <f>EDATE(Debts!$J$13,B71-1)</f>
        <v/>
      </c>
      <c r="D71" s="33">
        <f>IF(G70&lt;=0.005,0,Debts!$E$16+Debts!$J$7)</f>
        <v/>
      </c>
      <c r="E71" s="33">
        <f>MAX(0,D71-(SUMIF($H$5:$AK$5,"Due",H71:AK71)-SUMIF($H$5:$AK$5,"Rem",H71:AK71)))</f>
        <v/>
      </c>
      <c r="F71" s="33">
        <f>SUMIF($H$5:$AK$5,"Due",H71:AK71)-SUMIF($H$5:$AK$5,"Bal",H70:AK70)</f>
        <v/>
      </c>
      <c r="G71" s="33">
        <f>SUMIF($H$5:$AK$5,"Bal",H71:AK71)</f>
        <v/>
      </c>
      <c r="H71" s="33">
        <f>J70*(1+N(Debts!$D$6)/1200)</f>
        <v/>
      </c>
      <c r="I71" s="33">
        <f>H71-MIN(N(Debts!$E$6),H71)</f>
        <v/>
      </c>
      <c r="J71" s="33">
        <f>IF(I71&lt;=0.005,0,I71-MIN(I71,MAX(0,$E71-SUMIFS(H71:AK71,$H$5:$AK$5,"Rem",$H$4:$AK$4,"&lt;"&amp;J$4))))</f>
        <v/>
      </c>
      <c r="K71" s="33">
        <f>M70*(1+N(Debts!$D$7)/1200)</f>
        <v/>
      </c>
      <c r="L71" s="33">
        <f>K71-MIN(N(Debts!$E$7),K71)</f>
        <v/>
      </c>
      <c r="M71" s="33">
        <f>IF(L71&lt;=0.005,0,L71-MIN(L71,MAX(0,$E71-SUMIFS(H71:AK71,$H$5:$AK$5,"Rem",$H$4:$AK$4,"&lt;"&amp;M$4))))</f>
        <v/>
      </c>
      <c r="N71" s="33">
        <f>P70*(1+N(Debts!$D$8)/1200)</f>
        <v/>
      </c>
      <c r="O71" s="33">
        <f>N71-MIN(N(Debts!$E$8),N71)</f>
        <v/>
      </c>
      <c r="P71" s="33">
        <f>IF(O71&lt;=0.005,0,O71-MIN(O71,MAX(0,$E71-SUMIFS(H71:AK71,$H$5:$AK$5,"Rem",$H$4:$AK$4,"&lt;"&amp;P$4))))</f>
        <v/>
      </c>
      <c r="Q71" s="33">
        <f>S70*(1+N(Debts!$D$9)/1200)</f>
        <v/>
      </c>
      <c r="R71" s="33">
        <f>Q71-MIN(N(Debts!$E$9),Q71)</f>
        <v/>
      </c>
      <c r="S71" s="33">
        <f>IF(R71&lt;=0.005,0,R71-MIN(R71,MAX(0,$E71-SUMIFS(H71:AK71,$H$5:$AK$5,"Rem",$H$4:$AK$4,"&lt;"&amp;S$4))))</f>
        <v/>
      </c>
      <c r="T71" s="33">
        <f>V70*(1+N(Debts!$D$10)/1200)</f>
        <v/>
      </c>
      <c r="U71" s="33">
        <f>T71-MIN(N(Debts!$E$10),T71)</f>
        <v/>
      </c>
      <c r="V71" s="33">
        <f>IF(U71&lt;=0.005,0,U71-MIN(U71,MAX(0,$E71-SUMIFS(H71:AK71,$H$5:$AK$5,"Rem",$H$4:$AK$4,"&lt;"&amp;V$4))))</f>
        <v/>
      </c>
      <c r="W71" s="33">
        <f>Y70*(1+N(Debts!$D$11)/1200)</f>
        <v/>
      </c>
      <c r="X71" s="33">
        <f>W71-MIN(N(Debts!$E$11),W71)</f>
        <v/>
      </c>
      <c r="Y71" s="33">
        <f>IF(X71&lt;=0.005,0,X71-MIN(X71,MAX(0,$E71-SUMIFS(H71:AK71,$H$5:$AK$5,"Rem",$H$4:$AK$4,"&lt;"&amp;Y$4))))</f>
        <v/>
      </c>
      <c r="Z71" s="33">
        <f>AB70*(1+N(Debts!$D$12)/1200)</f>
        <v/>
      </c>
      <c r="AA71" s="33">
        <f>Z71-MIN(N(Debts!$E$12),Z71)</f>
        <v/>
      </c>
      <c r="AB71" s="33">
        <f>IF(AA71&lt;=0.005,0,AA71-MIN(AA71,MAX(0,$E71-SUMIFS(H71:AK71,$H$5:$AK$5,"Rem",$H$4:$AK$4,"&lt;"&amp;AB$4))))</f>
        <v/>
      </c>
      <c r="AC71" s="33">
        <f>AE70*(1+N(Debts!$D$13)/1200)</f>
        <v/>
      </c>
      <c r="AD71" s="33">
        <f>AC71-MIN(N(Debts!$E$13),AC71)</f>
        <v/>
      </c>
      <c r="AE71" s="33">
        <f>IF(AD71&lt;=0.005,0,AD71-MIN(AD71,MAX(0,$E71-SUMIFS(H71:AK71,$H$5:$AK$5,"Rem",$H$4:$AK$4,"&lt;"&amp;AE$4))))</f>
        <v/>
      </c>
      <c r="AF71" s="33">
        <f>AH70*(1+N(Debts!$D$14)/1200)</f>
        <v/>
      </c>
      <c r="AG71" s="33">
        <f>AF71-MIN(N(Debts!$E$14),AF71)</f>
        <v/>
      </c>
      <c r="AH71" s="33">
        <f>IF(AG71&lt;=0.005,0,AG71-MIN(AG71,MAX(0,$E71-SUMIFS(H71:AK71,$H$5:$AK$5,"Rem",$H$4:$AK$4,"&lt;"&amp;AH$4))))</f>
        <v/>
      </c>
      <c r="AI71" s="33">
        <f>AK70*(1+N(Debts!$D$15)/1200)</f>
        <v/>
      </c>
      <c r="AJ71" s="33">
        <f>AI71-MIN(N(Debts!$E$15),AI71)</f>
        <v/>
      </c>
      <c r="AK71" s="33">
        <f>IF(AJ71&lt;=0.005,0,AJ71-MIN(AJ71,MAX(0,$E71-SUMIFS(H71:AK71,$H$5:$AK$5,"Rem",$H$4:$AK$4,"&lt;"&amp;AK$4))))</f>
        <v/>
      </c>
      <c r="AL71" s="1" t="n"/>
    </row>
    <row r="72">
      <c r="A72" s="1" t="n"/>
      <c r="B72" s="1" t="n">
        <v>65</v>
      </c>
      <c r="C72" s="34">
        <f>EDATE(Debts!$J$13,B72-1)</f>
        <v/>
      </c>
      <c r="D72" s="33">
        <f>IF(G71&lt;=0.005,0,Debts!$E$16+Debts!$J$7)</f>
        <v/>
      </c>
      <c r="E72" s="33">
        <f>MAX(0,D72-(SUMIF($H$5:$AK$5,"Due",H72:AK72)-SUMIF($H$5:$AK$5,"Rem",H72:AK72)))</f>
        <v/>
      </c>
      <c r="F72" s="33">
        <f>SUMIF($H$5:$AK$5,"Due",H72:AK72)-SUMIF($H$5:$AK$5,"Bal",H71:AK71)</f>
        <v/>
      </c>
      <c r="G72" s="33">
        <f>SUMIF($H$5:$AK$5,"Bal",H72:AK72)</f>
        <v/>
      </c>
      <c r="H72" s="33">
        <f>J71*(1+N(Debts!$D$6)/1200)</f>
        <v/>
      </c>
      <c r="I72" s="33">
        <f>H72-MIN(N(Debts!$E$6),H72)</f>
        <v/>
      </c>
      <c r="J72" s="33">
        <f>IF(I72&lt;=0.005,0,I72-MIN(I72,MAX(0,$E72-SUMIFS(H72:AK72,$H$5:$AK$5,"Rem",$H$4:$AK$4,"&lt;"&amp;J$4))))</f>
        <v/>
      </c>
      <c r="K72" s="33">
        <f>M71*(1+N(Debts!$D$7)/1200)</f>
        <v/>
      </c>
      <c r="L72" s="33">
        <f>K72-MIN(N(Debts!$E$7),K72)</f>
        <v/>
      </c>
      <c r="M72" s="33">
        <f>IF(L72&lt;=0.005,0,L72-MIN(L72,MAX(0,$E72-SUMIFS(H72:AK72,$H$5:$AK$5,"Rem",$H$4:$AK$4,"&lt;"&amp;M$4))))</f>
        <v/>
      </c>
      <c r="N72" s="33">
        <f>P71*(1+N(Debts!$D$8)/1200)</f>
        <v/>
      </c>
      <c r="O72" s="33">
        <f>N72-MIN(N(Debts!$E$8),N72)</f>
        <v/>
      </c>
      <c r="P72" s="33">
        <f>IF(O72&lt;=0.005,0,O72-MIN(O72,MAX(0,$E72-SUMIFS(H72:AK72,$H$5:$AK$5,"Rem",$H$4:$AK$4,"&lt;"&amp;P$4))))</f>
        <v/>
      </c>
      <c r="Q72" s="33">
        <f>S71*(1+N(Debts!$D$9)/1200)</f>
        <v/>
      </c>
      <c r="R72" s="33">
        <f>Q72-MIN(N(Debts!$E$9),Q72)</f>
        <v/>
      </c>
      <c r="S72" s="33">
        <f>IF(R72&lt;=0.005,0,R72-MIN(R72,MAX(0,$E72-SUMIFS(H72:AK72,$H$5:$AK$5,"Rem",$H$4:$AK$4,"&lt;"&amp;S$4))))</f>
        <v/>
      </c>
      <c r="T72" s="33">
        <f>V71*(1+N(Debts!$D$10)/1200)</f>
        <v/>
      </c>
      <c r="U72" s="33">
        <f>T72-MIN(N(Debts!$E$10),T72)</f>
        <v/>
      </c>
      <c r="V72" s="33">
        <f>IF(U72&lt;=0.005,0,U72-MIN(U72,MAX(0,$E72-SUMIFS(H72:AK72,$H$5:$AK$5,"Rem",$H$4:$AK$4,"&lt;"&amp;V$4))))</f>
        <v/>
      </c>
      <c r="W72" s="33">
        <f>Y71*(1+N(Debts!$D$11)/1200)</f>
        <v/>
      </c>
      <c r="X72" s="33">
        <f>W72-MIN(N(Debts!$E$11),W72)</f>
        <v/>
      </c>
      <c r="Y72" s="33">
        <f>IF(X72&lt;=0.005,0,X72-MIN(X72,MAX(0,$E72-SUMIFS(H72:AK72,$H$5:$AK$5,"Rem",$H$4:$AK$4,"&lt;"&amp;Y$4))))</f>
        <v/>
      </c>
      <c r="Z72" s="33">
        <f>AB71*(1+N(Debts!$D$12)/1200)</f>
        <v/>
      </c>
      <c r="AA72" s="33">
        <f>Z72-MIN(N(Debts!$E$12),Z72)</f>
        <v/>
      </c>
      <c r="AB72" s="33">
        <f>IF(AA72&lt;=0.005,0,AA72-MIN(AA72,MAX(0,$E72-SUMIFS(H72:AK72,$H$5:$AK$5,"Rem",$H$4:$AK$4,"&lt;"&amp;AB$4))))</f>
        <v/>
      </c>
      <c r="AC72" s="33">
        <f>AE71*(1+N(Debts!$D$13)/1200)</f>
        <v/>
      </c>
      <c r="AD72" s="33">
        <f>AC72-MIN(N(Debts!$E$13),AC72)</f>
        <v/>
      </c>
      <c r="AE72" s="33">
        <f>IF(AD72&lt;=0.005,0,AD72-MIN(AD72,MAX(0,$E72-SUMIFS(H72:AK72,$H$5:$AK$5,"Rem",$H$4:$AK$4,"&lt;"&amp;AE$4))))</f>
        <v/>
      </c>
      <c r="AF72" s="33">
        <f>AH71*(1+N(Debts!$D$14)/1200)</f>
        <v/>
      </c>
      <c r="AG72" s="33">
        <f>AF72-MIN(N(Debts!$E$14),AF72)</f>
        <v/>
      </c>
      <c r="AH72" s="33">
        <f>IF(AG72&lt;=0.005,0,AG72-MIN(AG72,MAX(0,$E72-SUMIFS(H72:AK72,$H$5:$AK$5,"Rem",$H$4:$AK$4,"&lt;"&amp;AH$4))))</f>
        <v/>
      </c>
      <c r="AI72" s="33">
        <f>AK71*(1+N(Debts!$D$15)/1200)</f>
        <v/>
      </c>
      <c r="AJ72" s="33">
        <f>AI72-MIN(N(Debts!$E$15),AI72)</f>
        <v/>
      </c>
      <c r="AK72" s="33">
        <f>IF(AJ72&lt;=0.005,0,AJ72-MIN(AJ72,MAX(0,$E72-SUMIFS(H72:AK72,$H$5:$AK$5,"Rem",$H$4:$AK$4,"&lt;"&amp;AK$4))))</f>
        <v/>
      </c>
      <c r="AL72" s="1" t="n"/>
    </row>
    <row r="73">
      <c r="A73" s="1" t="n"/>
      <c r="B73" s="1" t="n">
        <v>66</v>
      </c>
      <c r="C73" s="34">
        <f>EDATE(Debts!$J$13,B73-1)</f>
        <v/>
      </c>
      <c r="D73" s="33">
        <f>IF(G72&lt;=0.005,0,Debts!$E$16+Debts!$J$7)</f>
        <v/>
      </c>
      <c r="E73" s="33">
        <f>MAX(0,D73-(SUMIF($H$5:$AK$5,"Due",H73:AK73)-SUMIF($H$5:$AK$5,"Rem",H73:AK73)))</f>
        <v/>
      </c>
      <c r="F73" s="33">
        <f>SUMIF($H$5:$AK$5,"Due",H73:AK73)-SUMIF($H$5:$AK$5,"Bal",H72:AK72)</f>
        <v/>
      </c>
      <c r="G73" s="33">
        <f>SUMIF($H$5:$AK$5,"Bal",H73:AK73)</f>
        <v/>
      </c>
      <c r="H73" s="33">
        <f>J72*(1+N(Debts!$D$6)/1200)</f>
        <v/>
      </c>
      <c r="I73" s="33">
        <f>H73-MIN(N(Debts!$E$6),H73)</f>
        <v/>
      </c>
      <c r="J73" s="33">
        <f>IF(I73&lt;=0.005,0,I73-MIN(I73,MAX(0,$E73-SUMIFS(H73:AK73,$H$5:$AK$5,"Rem",$H$4:$AK$4,"&lt;"&amp;J$4))))</f>
        <v/>
      </c>
      <c r="K73" s="33">
        <f>M72*(1+N(Debts!$D$7)/1200)</f>
        <v/>
      </c>
      <c r="L73" s="33">
        <f>K73-MIN(N(Debts!$E$7),K73)</f>
        <v/>
      </c>
      <c r="M73" s="33">
        <f>IF(L73&lt;=0.005,0,L73-MIN(L73,MAX(0,$E73-SUMIFS(H73:AK73,$H$5:$AK$5,"Rem",$H$4:$AK$4,"&lt;"&amp;M$4))))</f>
        <v/>
      </c>
      <c r="N73" s="33">
        <f>P72*(1+N(Debts!$D$8)/1200)</f>
        <v/>
      </c>
      <c r="O73" s="33">
        <f>N73-MIN(N(Debts!$E$8),N73)</f>
        <v/>
      </c>
      <c r="P73" s="33">
        <f>IF(O73&lt;=0.005,0,O73-MIN(O73,MAX(0,$E73-SUMIFS(H73:AK73,$H$5:$AK$5,"Rem",$H$4:$AK$4,"&lt;"&amp;P$4))))</f>
        <v/>
      </c>
      <c r="Q73" s="33">
        <f>S72*(1+N(Debts!$D$9)/1200)</f>
        <v/>
      </c>
      <c r="R73" s="33">
        <f>Q73-MIN(N(Debts!$E$9),Q73)</f>
        <v/>
      </c>
      <c r="S73" s="33">
        <f>IF(R73&lt;=0.005,0,R73-MIN(R73,MAX(0,$E73-SUMIFS(H73:AK73,$H$5:$AK$5,"Rem",$H$4:$AK$4,"&lt;"&amp;S$4))))</f>
        <v/>
      </c>
      <c r="T73" s="33">
        <f>V72*(1+N(Debts!$D$10)/1200)</f>
        <v/>
      </c>
      <c r="U73" s="33">
        <f>T73-MIN(N(Debts!$E$10),T73)</f>
        <v/>
      </c>
      <c r="V73" s="33">
        <f>IF(U73&lt;=0.005,0,U73-MIN(U73,MAX(0,$E73-SUMIFS(H73:AK73,$H$5:$AK$5,"Rem",$H$4:$AK$4,"&lt;"&amp;V$4))))</f>
        <v/>
      </c>
      <c r="W73" s="33">
        <f>Y72*(1+N(Debts!$D$11)/1200)</f>
        <v/>
      </c>
      <c r="X73" s="33">
        <f>W73-MIN(N(Debts!$E$11),W73)</f>
        <v/>
      </c>
      <c r="Y73" s="33">
        <f>IF(X73&lt;=0.005,0,X73-MIN(X73,MAX(0,$E73-SUMIFS(H73:AK73,$H$5:$AK$5,"Rem",$H$4:$AK$4,"&lt;"&amp;Y$4))))</f>
        <v/>
      </c>
      <c r="Z73" s="33">
        <f>AB72*(1+N(Debts!$D$12)/1200)</f>
        <v/>
      </c>
      <c r="AA73" s="33">
        <f>Z73-MIN(N(Debts!$E$12),Z73)</f>
        <v/>
      </c>
      <c r="AB73" s="33">
        <f>IF(AA73&lt;=0.005,0,AA73-MIN(AA73,MAX(0,$E73-SUMIFS(H73:AK73,$H$5:$AK$5,"Rem",$H$4:$AK$4,"&lt;"&amp;AB$4))))</f>
        <v/>
      </c>
      <c r="AC73" s="33">
        <f>AE72*(1+N(Debts!$D$13)/1200)</f>
        <v/>
      </c>
      <c r="AD73" s="33">
        <f>AC73-MIN(N(Debts!$E$13),AC73)</f>
        <v/>
      </c>
      <c r="AE73" s="33">
        <f>IF(AD73&lt;=0.005,0,AD73-MIN(AD73,MAX(0,$E73-SUMIFS(H73:AK73,$H$5:$AK$5,"Rem",$H$4:$AK$4,"&lt;"&amp;AE$4))))</f>
        <v/>
      </c>
      <c r="AF73" s="33">
        <f>AH72*(1+N(Debts!$D$14)/1200)</f>
        <v/>
      </c>
      <c r="AG73" s="33">
        <f>AF73-MIN(N(Debts!$E$14),AF73)</f>
        <v/>
      </c>
      <c r="AH73" s="33">
        <f>IF(AG73&lt;=0.005,0,AG73-MIN(AG73,MAX(0,$E73-SUMIFS(H73:AK73,$H$5:$AK$5,"Rem",$H$4:$AK$4,"&lt;"&amp;AH$4))))</f>
        <v/>
      </c>
      <c r="AI73" s="33">
        <f>AK72*(1+N(Debts!$D$15)/1200)</f>
        <v/>
      </c>
      <c r="AJ73" s="33">
        <f>AI73-MIN(N(Debts!$E$15),AI73)</f>
        <v/>
      </c>
      <c r="AK73" s="33">
        <f>IF(AJ73&lt;=0.005,0,AJ73-MIN(AJ73,MAX(0,$E73-SUMIFS(H73:AK73,$H$5:$AK$5,"Rem",$H$4:$AK$4,"&lt;"&amp;AK$4))))</f>
        <v/>
      </c>
      <c r="AL73" s="1" t="n"/>
    </row>
    <row r="74">
      <c r="A74" s="1" t="n"/>
      <c r="B74" s="1" t="n">
        <v>67</v>
      </c>
      <c r="C74" s="34">
        <f>EDATE(Debts!$J$13,B74-1)</f>
        <v/>
      </c>
      <c r="D74" s="33">
        <f>IF(G73&lt;=0.005,0,Debts!$E$16+Debts!$J$7)</f>
        <v/>
      </c>
      <c r="E74" s="33">
        <f>MAX(0,D74-(SUMIF($H$5:$AK$5,"Due",H74:AK74)-SUMIF($H$5:$AK$5,"Rem",H74:AK74)))</f>
        <v/>
      </c>
      <c r="F74" s="33">
        <f>SUMIF($H$5:$AK$5,"Due",H74:AK74)-SUMIF($H$5:$AK$5,"Bal",H73:AK73)</f>
        <v/>
      </c>
      <c r="G74" s="33">
        <f>SUMIF($H$5:$AK$5,"Bal",H74:AK74)</f>
        <v/>
      </c>
      <c r="H74" s="33">
        <f>J73*(1+N(Debts!$D$6)/1200)</f>
        <v/>
      </c>
      <c r="I74" s="33">
        <f>H74-MIN(N(Debts!$E$6),H74)</f>
        <v/>
      </c>
      <c r="J74" s="33">
        <f>IF(I74&lt;=0.005,0,I74-MIN(I74,MAX(0,$E74-SUMIFS(H74:AK74,$H$5:$AK$5,"Rem",$H$4:$AK$4,"&lt;"&amp;J$4))))</f>
        <v/>
      </c>
      <c r="K74" s="33">
        <f>M73*(1+N(Debts!$D$7)/1200)</f>
        <v/>
      </c>
      <c r="L74" s="33">
        <f>K74-MIN(N(Debts!$E$7),K74)</f>
        <v/>
      </c>
      <c r="M74" s="33">
        <f>IF(L74&lt;=0.005,0,L74-MIN(L74,MAX(0,$E74-SUMIFS(H74:AK74,$H$5:$AK$5,"Rem",$H$4:$AK$4,"&lt;"&amp;M$4))))</f>
        <v/>
      </c>
      <c r="N74" s="33">
        <f>P73*(1+N(Debts!$D$8)/1200)</f>
        <v/>
      </c>
      <c r="O74" s="33">
        <f>N74-MIN(N(Debts!$E$8),N74)</f>
        <v/>
      </c>
      <c r="P74" s="33">
        <f>IF(O74&lt;=0.005,0,O74-MIN(O74,MAX(0,$E74-SUMIFS(H74:AK74,$H$5:$AK$5,"Rem",$H$4:$AK$4,"&lt;"&amp;P$4))))</f>
        <v/>
      </c>
      <c r="Q74" s="33">
        <f>S73*(1+N(Debts!$D$9)/1200)</f>
        <v/>
      </c>
      <c r="R74" s="33">
        <f>Q74-MIN(N(Debts!$E$9),Q74)</f>
        <v/>
      </c>
      <c r="S74" s="33">
        <f>IF(R74&lt;=0.005,0,R74-MIN(R74,MAX(0,$E74-SUMIFS(H74:AK74,$H$5:$AK$5,"Rem",$H$4:$AK$4,"&lt;"&amp;S$4))))</f>
        <v/>
      </c>
      <c r="T74" s="33">
        <f>V73*(1+N(Debts!$D$10)/1200)</f>
        <v/>
      </c>
      <c r="U74" s="33">
        <f>T74-MIN(N(Debts!$E$10),T74)</f>
        <v/>
      </c>
      <c r="V74" s="33">
        <f>IF(U74&lt;=0.005,0,U74-MIN(U74,MAX(0,$E74-SUMIFS(H74:AK74,$H$5:$AK$5,"Rem",$H$4:$AK$4,"&lt;"&amp;V$4))))</f>
        <v/>
      </c>
      <c r="W74" s="33">
        <f>Y73*(1+N(Debts!$D$11)/1200)</f>
        <v/>
      </c>
      <c r="X74" s="33">
        <f>W74-MIN(N(Debts!$E$11),W74)</f>
        <v/>
      </c>
      <c r="Y74" s="33">
        <f>IF(X74&lt;=0.005,0,X74-MIN(X74,MAX(0,$E74-SUMIFS(H74:AK74,$H$5:$AK$5,"Rem",$H$4:$AK$4,"&lt;"&amp;Y$4))))</f>
        <v/>
      </c>
      <c r="Z74" s="33">
        <f>AB73*(1+N(Debts!$D$12)/1200)</f>
        <v/>
      </c>
      <c r="AA74" s="33">
        <f>Z74-MIN(N(Debts!$E$12),Z74)</f>
        <v/>
      </c>
      <c r="AB74" s="33">
        <f>IF(AA74&lt;=0.005,0,AA74-MIN(AA74,MAX(0,$E74-SUMIFS(H74:AK74,$H$5:$AK$5,"Rem",$H$4:$AK$4,"&lt;"&amp;AB$4))))</f>
        <v/>
      </c>
      <c r="AC74" s="33">
        <f>AE73*(1+N(Debts!$D$13)/1200)</f>
        <v/>
      </c>
      <c r="AD74" s="33">
        <f>AC74-MIN(N(Debts!$E$13),AC74)</f>
        <v/>
      </c>
      <c r="AE74" s="33">
        <f>IF(AD74&lt;=0.005,0,AD74-MIN(AD74,MAX(0,$E74-SUMIFS(H74:AK74,$H$5:$AK$5,"Rem",$H$4:$AK$4,"&lt;"&amp;AE$4))))</f>
        <v/>
      </c>
      <c r="AF74" s="33">
        <f>AH73*(1+N(Debts!$D$14)/1200)</f>
        <v/>
      </c>
      <c r="AG74" s="33">
        <f>AF74-MIN(N(Debts!$E$14),AF74)</f>
        <v/>
      </c>
      <c r="AH74" s="33">
        <f>IF(AG74&lt;=0.005,0,AG74-MIN(AG74,MAX(0,$E74-SUMIFS(H74:AK74,$H$5:$AK$5,"Rem",$H$4:$AK$4,"&lt;"&amp;AH$4))))</f>
        <v/>
      </c>
      <c r="AI74" s="33">
        <f>AK73*(1+N(Debts!$D$15)/1200)</f>
        <v/>
      </c>
      <c r="AJ74" s="33">
        <f>AI74-MIN(N(Debts!$E$15),AI74)</f>
        <v/>
      </c>
      <c r="AK74" s="33">
        <f>IF(AJ74&lt;=0.005,0,AJ74-MIN(AJ74,MAX(0,$E74-SUMIFS(H74:AK74,$H$5:$AK$5,"Rem",$H$4:$AK$4,"&lt;"&amp;AK$4))))</f>
        <v/>
      </c>
      <c r="AL74" s="1" t="n"/>
    </row>
    <row r="75">
      <c r="A75" s="1" t="n"/>
      <c r="B75" s="1" t="n">
        <v>68</v>
      </c>
      <c r="C75" s="34">
        <f>EDATE(Debts!$J$13,B75-1)</f>
        <v/>
      </c>
      <c r="D75" s="33">
        <f>IF(G74&lt;=0.005,0,Debts!$E$16+Debts!$J$7)</f>
        <v/>
      </c>
      <c r="E75" s="33">
        <f>MAX(0,D75-(SUMIF($H$5:$AK$5,"Due",H75:AK75)-SUMIF($H$5:$AK$5,"Rem",H75:AK75)))</f>
        <v/>
      </c>
      <c r="F75" s="33">
        <f>SUMIF($H$5:$AK$5,"Due",H75:AK75)-SUMIF($H$5:$AK$5,"Bal",H74:AK74)</f>
        <v/>
      </c>
      <c r="G75" s="33">
        <f>SUMIF($H$5:$AK$5,"Bal",H75:AK75)</f>
        <v/>
      </c>
      <c r="H75" s="33">
        <f>J74*(1+N(Debts!$D$6)/1200)</f>
        <v/>
      </c>
      <c r="I75" s="33">
        <f>H75-MIN(N(Debts!$E$6),H75)</f>
        <v/>
      </c>
      <c r="J75" s="33">
        <f>IF(I75&lt;=0.005,0,I75-MIN(I75,MAX(0,$E75-SUMIFS(H75:AK75,$H$5:$AK$5,"Rem",$H$4:$AK$4,"&lt;"&amp;J$4))))</f>
        <v/>
      </c>
      <c r="K75" s="33">
        <f>M74*(1+N(Debts!$D$7)/1200)</f>
        <v/>
      </c>
      <c r="L75" s="33">
        <f>K75-MIN(N(Debts!$E$7),K75)</f>
        <v/>
      </c>
      <c r="M75" s="33">
        <f>IF(L75&lt;=0.005,0,L75-MIN(L75,MAX(0,$E75-SUMIFS(H75:AK75,$H$5:$AK$5,"Rem",$H$4:$AK$4,"&lt;"&amp;M$4))))</f>
        <v/>
      </c>
      <c r="N75" s="33">
        <f>P74*(1+N(Debts!$D$8)/1200)</f>
        <v/>
      </c>
      <c r="O75" s="33">
        <f>N75-MIN(N(Debts!$E$8),N75)</f>
        <v/>
      </c>
      <c r="P75" s="33">
        <f>IF(O75&lt;=0.005,0,O75-MIN(O75,MAX(0,$E75-SUMIFS(H75:AK75,$H$5:$AK$5,"Rem",$H$4:$AK$4,"&lt;"&amp;P$4))))</f>
        <v/>
      </c>
      <c r="Q75" s="33">
        <f>S74*(1+N(Debts!$D$9)/1200)</f>
        <v/>
      </c>
      <c r="R75" s="33">
        <f>Q75-MIN(N(Debts!$E$9),Q75)</f>
        <v/>
      </c>
      <c r="S75" s="33">
        <f>IF(R75&lt;=0.005,0,R75-MIN(R75,MAX(0,$E75-SUMIFS(H75:AK75,$H$5:$AK$5,"Rem",$H$4:$AK$4,"&lt;"&amp;S$4))))</f>
        <v/>
      </c>
      <c r="T75" s="33">
        <f>V74*(1+N(Debts!$D$10)/1200)</f>
        <v/>
      </c>
      <c r="U75" s="33">
        <f>T75-MIN(N(Debts!$E$10),T75)</f>
        <v/>
      </c>
      <c r="V75" s="33">
        <f>IF(U75&lt;=0.005,0,U75-MIN(U75,MAX(0,$E75-SUMIFS(H75:AK75,$H$5:$AK$5,"Rem",$H$4:$AK$4,"&lt;"&amp;V$4))))</f>
        <v/>
      </c>
      <c r="W75" s="33">
        <f>Y74*(1+N(Debts!$D$11)/1200)</f>
        <v/>
      </c>
      <c r="X75" s="33">
        <f>W75-MIN(N(Debts!$E$11),W75)</f>
        <v/>
      </c>
      <c r="Y75" s="33">
        <f>IF(X75&lt;=0.005,0,X75-MIN(X75,MAX(0,$E75-SUMIFS(H75:AK75,$H$5:$AK$5,"Rem",$H$4:$AK$4,"&lt;"&amp;Y$4))))</f>
        <v/>
      </c>
      <c r="Z75" s="33">
        <f>AB74*(1+N(Debts!$D$12)/1200)</f>
        <v/>
      </c>
      <c r="AA75" s="33">
        <f>Z75-MIN(N(Debts!$E$12),Z75)</f>
        <v/>
      </c>
      <c r="AB75" s="33">
        <f>IF(AA75&lt;=0.005,0,AA75-MIN(AA75,MAX(0,$E75-SUMIFS(H75:AK75,$H$5:$AK$5,"Rem",$H$4:$AK$4,"&lt;"&amp;AB$4))))</f>
        <v/>
      </c>
      <c r="AC75" s="33">
        <f>AE74*(1+N(Debts!$D$13)/1200)</f>
        <v/>
      </c>
      <c r="AD75" s="33">
        <f>AC75-MIN(N(Debts!$E$13),AC75)</f>
        <v/>
      </c>
      <c r="AE75" s="33">
        <f>IF(AD75&lt;=0.005,0,AD75-MIN(AD75,MAX(0,$E75-SUMIFS(H75:AK75,$H$5:$AK$5,"Rem",$H$4:$AK$4,"&lt;"&amp;AE$4))))</f>
        <v/>
      </c>
      <c r="AF75" s="33">
        <f>AH74*(1+N(Debts!$D$14)/1200)</f>
        <v/>
      </c>
      <c r="AG75" s="33">
        <f>AF75-MIN(N(Debts!$E$14),AF75)</f>
        <v/>
      </c>
      <c r="AH75" s="33">
        <f>IF(AG75&lt;=0.005,0,AG75-MIN(AG75,MAX(0,$E75-SUMIFS(H75:AK75,$H$5:$AK$5,"Rem",$H$4:$AK$4,"&lt;"&amp;AH$4))))</f>
        <v/>
      </c>
      <c r="AI75" s="33">
        <f>AK74*(1+N(Debts!$D$15)/1200)</f>
        <v/>
      </c>
      <c r="AJ75" s="33">
        <f>AI75-MIN(N(Debts!$E$15),AI75)</f>
        <v/>
      </c>
      <c r="AK75" s="33">
        <f>IF(AJ75&lt;=0.005,0,AJ75-MIN(AJ75,MAX(0,$E75-SUMIFS(H75:AK75,$H$5:$AK$5,"Rem",$H$4:$AK$4,"&lt;"&amp;AK$4))))</f>
        <v/>
      </c>
      <c r="AL75" s="1" t="n"/>
    </row>
    <row r="76">
      <c r="A76" s="1" t="n"/>
      <c r="B76" s="1" t="n">
        <v>69</v>
      </c>
      <c r="C76" s="34">
        <f>EDATE(Debts!$J$13,B76-1)</f>
        <v/>
      </c>
      <c r="D76" s="33">
        <f>IF(G75&lt;=0.005,0,Debts!$E$16+Debts!$J$7)</f>
        <v/>
      </c>
      <c r="E76" s="33">
        <f>MAX(0,D76-(SUMIF($H$5:$AK$5,"Due",H76:AK76)-SUMIF($H$5:$AK$5,"Rem",H76:AK76)))</f>
        <v/>
      </c>
      <c r="F76" s="33">
        <f>SUMIF($H$5:$AK$5,"Due",H76:AK76)-SUMIF($H$5:$AK$5,"Bal",H75:AK75)</f>
        <v/>
      </c>
      <c r="G76" s="33">
        <f>SUMIF($H$5:$AK$5,"Bal",H76:AK76)</f>
        <v/>
      </c>
      <c r="H76" s="33">
        <f>J75*(1+N(Debts!$D$6)/1200)</f>
        <v/>
      </c>
      <c r="I76" s="33">
        <f>H76-MIN(N(Debts!$E$6),H76)</f>
        <v/>
      </c>
      <c r="J76" s="33">
        <f>IF(I76&lt;=0.005,0,I76-MIN(I76,MAX(0,$E76-SUMIFS(H76:AK76,$H$5:$AK$5,"Rem",$H$4:$AK$4,"&lt;"&amp;J$4))))</f>
        <v/>
      </c>
      <c r="K76" s="33">
        <f>M75*(1+N(Debts!$D$7)/1200)</f>
        <v/>
      </c>
      <c r="L76" s="33">
        <f>K76-MIN(N(Debts!$E$7),K76)</f>
        <v/>
      </c>
      <c r="M76" s="33">
        <f>IF(L76&lt;=0.005,0,L76-MIN(L76,MAX(0,$E76-SUMIFS(H76:AK76,$H$5:$AK$5,"Rem",$H$4:$AK$4,"&lt;"&amp;M$4))))</f>
        <v/>
      </c>
      <c r="N76" s="33">
        <f>P75*(1+N(Debts!$D$8)/1200)</f>
        <v/>
      </c>
      <c r="O76" s="33">
        <f>N76-MIN(N(Debts!$E$8),N76)</f>
        <v/>
      </c>
      <c r="P76" s="33">
        <f>IF(O76&lt;=0.005,0,O76-MIN(O76,MAX(0,$E76-SUMIFS(H76:AK76,$H$5:$AK$5,"Rem",$H$4:$AK$4,"&lt;"&amp;P$4))))</f>
        <v/>
      </c>
      <c r="Q76" s="33">
        <f>S75*(1+N(Debts!$D$9)/1200)</f>
        <v/>
      </c>
      <c r="R76" s="33">
        <f>Q76-MIN(N(Debts!$E$9),Q76)</f>
        <v/>
      </c>
      <c r="S76" s="33">
        <f>IF(R76&lt;=0.005,0,R76-MIN(R76,MAX(0,$E76-SUMIFS(H76:AK76,$H$5:$AK$5,"Rem",$H$4:$AK$4,"&lt;"&amp;S$4))))</f>
        <v/>
      </c>
      <c r="T76" s="33">
        <f>V75*(1+N(Debts!$D$10)/1200)</f>
        <v/>
      </c>
      <c r="U76" s="33">
        <f>T76-MIN(N(Debts!$E$10),T76)</f>
        <v/>
      </c>
      <c r="V76" s="33">
        <f>IF(U76&lt;=0.005,0,U76-MIN(U76,MAX(0,$E76-SUMIFS(H76:AK76,$H$5:$AK$5,"Rem",$H$4:$AK$4,"&lt;"&amp;V$4))))</f>
        <v/>
      </c>
      <c r="W76" s="33">
        <f>Y75*(1+N(Debts!$D$11)/1200)</f>
        <v/>
      </c>
      <c r="X76" s="33">
        <f>W76-MIN(N(Debts!$E$11),W76)</f>
        <v/>
      </c>
      <c r="Y76" s="33">
        <f>IF(X76&lt;=0.005,0,X76-MIN(X76,MAX(0,$E76-SUMIFS(H76:AK76,$H$5:$AK$5,"Rem",$H$4:$AK$4,"&lt;"&amp;Y$4))))</f>
        <v/>
      </c>
      <c r="Z76" s="33">
        <f>AB75*(1+N(Debts!$D$12)/1200)</f>
        <v/>
      </c>
      <c r="AA76" s="33">
        <f>Z76-MIN(N(Debts!$E$12),Z76)</f>
        <v/>
      </c>
      <c r="AB76" s="33">
        <f>IF(AA76&lt;=0.005,0,AA76-MIN(AA76,MAX(0,$E76-SUMIFS(H76:AK76,$H$5:$AK$5,"Rem",$H$4:$AK$4,"&lt;"&amp;AB$4))))</f>
        <v/>
      </c>
      <c r="AC76" s="33">
        <f>AE75*(1+N(Debts!$D$13)/1200)</f>
        <v/>
      </c>
      <c r="AD76" s="33">
        <f>AC76-MIN(N(Debts!$E$13),AC76)</f>
        <v/>
      </c>
      <c r="AE76" s="33">
        <f>IF(AD76&lt;=0.005,0,AD76-MIN(AD76,MAX(0,$E76-SUMIFS(H76:AK76,$H$5:$AK$5,"Rem",$H$4:$AK$4,"&lt;"&amp;AE$4))))</f>
        <v/>
      </c>
      <c r="AF76" s="33">
        <f>AH75*(1+N(Debts!$D$14)/1200)</f>
        <v/>
      </c>
      <c r="AG76" s="33">
        <f>AF76-MIN(N(Debts!$E$14),AF76)</f>
        <v/>
      </c>
      <c r="AH76" s="33">
        <f>IF(AG76&lt;=0.005,0,AG76-MIN(AG76,MAX(0,$E76-SUMIFS(H76:AK76,$H$5:$AK$5,"Rem",$H$4:$AK$4,"&lt;"&amp;AH$4))))</f>
        <v/>
      </c>
      <c r="AI76" s="33">
        <f>AK75*(1+N(Debts!$D$15)/1200)</f>
        <v/>
      </c>
      <c r="AJ76" s="33">
        <f>AI76-MIN(N(Debts!$E$15),AI76)</f>
        <v/>
      </c>
      <c r="AK76" s="33">
        <f>IF(AJ76&lt;=0.005,0,AJ76-MIN(AJ76,MAX(0,$E76-SUMIFS(H76:AK76,$H$5:$AK$5,"Rem",$H$4:$AK$4,"&lt;"&amp;AK$4))))</f>
        <v/>
      </c>
      <c r="AL76" s="1" t="n"/>
    </row>
    <row r="77">
      <c r="A77" s="1" t="n"/>
      <c r="B77" s="1" t="n">
        <v>70</v>
      </c>
      <c r="C77" s="34">
        <f>EDATE(Debts!$J$13,B77-1)</f>
        <v/>
      </c>
      <c r="D77" s="33">
        <f>IF(G76&lt;=0.005,0,Debts!$E$16+Debts!$J$7)</f>
        <v/>
      </c>
      <c r="E77" s="33">
        <f>MAX(0,D77-(SUMIF($H$5:$AK$5,"Due",H77:AK77)-SUMIF($H$5:$AK$5,"Rem",H77:AK77)))</f>
        <v/>
      </c>
      <c r="F77" s="33">
        <f>SUMIF($H$5:$AK$5,"Due",H77:AK77)-SUMIF($H$5:$AK$5,"Bal",H76:AK76)</f>
        <v/>
      </c>
      <c r="G77" s="33">
        <f>SUMIF($H$5:$AK$5,"Bal",H77:AK77)</f>
        <v/>
      </c>
      <c r="H77" s="33">
        <f>J76*(1+N(Debts!$D$6)/1200)</f>
        <v/>
      </c>
      <c r="I77" s="33">
        <f>H77-MIN(N(Debts!$E$6),H77)</f>
        <v/>
      </c>
      <c r="J77" s="33">
        <f>IF(I77&lt;=0.005,0,I77-MIN(I77,MAX(0,$E77-SUMIFS(H77:AK77,$H$5:$AK$5,"Rem",$H$4:$AK$4,"&lt;"&amp;J$4))))</f>
        <v/>
      </c>
      <c r="K77" s="33">
        <f>M76*(1+N(Debts!$D$7)/1200)</f>
        <v/>
      </c>
      <c r="L77" s="33">
        <f>K77-MIN(N(Debts!$E$7),K77)</f>
        <v/>
      </c>
      <c r="M77" s="33">
        <f>IF(L77&lt;=0.005,0,L77-MIN(L77,MAX(0,$E77-SUMIFS(H77:AK77,$H$5:$AK$5,"Rem",$H$4:$AK$4,"&lt;"&amp;M$4))))</f>
        <v/>
      </c>
      <c r="N77" s="33">
        <f>P76*(1+N(Debts!$D$8)/1200)</f>
        <v/>
      </c>
      <c r="O77" s="33">
        <f>N77-MIN(N(Debts!$E$8),N77)</f>
        <v/>
      </c>
      <c r="P77" s="33">
        <f>IF(O77&lt;=0.005,0,O77-MIN(O77,MAX(0,$E77-SUMIFS(H77:AK77,$H$5:$AK$5,"Rem",$H$4:$AK$4,"&lt;"&amp;P$4))))</f>
        <v/>
      </c>
      <c r="Q77" s="33">
        <f>S76*(1+N(Debts!$D$9)/1200)</f>
        <v/>
      </c>
      <c r="R77" s="33">
        <f>Q77-MIN(N(Debts!$E$9),Q77)</f>
        <v/>
      </c>
      <c r="S77" s="33">
        <f>IF(R77&lt;=0.005,0,R77-MIN(R77,MAX(0,$E77-SUMIFS(H77:AK77,$H$5:$AK$5,"Rem",$H$4:$AK$4,"&lt;"&amp;S$4))))</f>
        <v/>
      </c>
      <c r="T77" s="33">
        <f>V76*(1+N(Debts!$D$10)/1200)</f>
        <v/>
      </c>
      <c r="U77" s="33">
        <f>T77-MIN(N(Debts!$E$10),T77)</f>
        <v/>
      </c>
      <c r="V77" s="33">
        <f>IF(U77&lt;=0.005,0,U77-MIN(U77,MAX(0,$E77-SUMIFS(H77:AK77,$H$5:$AK$5,"Rem",$H$4:$AK$4,"&lt;"&amp;V$4))))</f>
        <v/>
      </c>
      <c r="W77" s="33">
        <f>Y76*(1+N(Debts!$D$11)/1200)</f>
        <v/>
      </c>
      <c r="X77" s="33">
        <f>W77-MIN(N(Debts!$E$11),W77)</f>
        <v/>
      </c>
      <c r="Y77" s="33">
        <f>IF(X77&lt;=0.005,0,X77-MIN(X77,MAX(0,$E77-SUMIFS(H77:AK77,$H$5:$AK$5,"Rem",$H$4:$AK$4,"&lt;"&amp;Y$4))))</f>
        <v/>
      </c>
      <c r="Z77" s="33">
        <f>AB76*(1+N(Debts!$D$12)/1200)</f>
        <v/>
      </c>
      <c r="AA77" s="33">
        <f>Z77-MIN(N(Debts!$E$12),Z77)</f>
        <v/>
      </c>
      <c r="AB77" s="33">
        <f>IF(AA77&lt;=0.005,0,AA77-MIN(AA77,MAX(0,$E77-SUMIFS(H77:AK77,$H$5:$AK$5,"Rem",$H$4:$AK$4,"&lt;"&amp;AB$4))))</f>
        <v/>
      </c>
      <c r="AC77" s="33">
        <f>AE76*(1+N(Debts!$D$13)/1200)</f>
        <v/>
      </c>
      <c r="AD77" s="33">
        <f>AC77-MIN(N(Debts!$E$13),AC77)</f>
        <v/>
      </c>
      <c r="AE77" s="33">
        <f>IF(AD77&lt;=0.005,0,AD77-MIN(AD77,MAX(0,$E77-SUMIFS(H77:AK77,$H$5:$AK$5,"Rem",$H$4:$AK$4,"&lt;"&amp;AE$4))))</f>
        <v/>
      </c>
      <c r="AF77" s="33">
        <f>AH76*(1+N(Debts!$D$14)/1200)</f>
        <v/>
      </c>
      <c r="AG77" s="33">
        <f>AF77-MIN(N(Debts!$E$14),AF77)</f>
        <v/>
      </c>
      <c r="AH77" s="33">
        <f>IF(AG77&lt;=0.005,0,AG77-MIN(AG77,MAX(0,$E77-SUMIFS(H77:AK77,$H$5:$AK$5,"Rem",$H$4:$AK$4,"&lt;"&amp;AH$4))))</f>
        <v/>
      </c>
      <c r="AI77" s="33">
        <f>AK76*(1+N(Debts!$D$15)/1200)</f>
        <v/>
      </c>
      <c r="AJ77" s="33">
        <f>AI77-MIN(N(Debts!$E$15),AI77)</f>
        <v/>
      </c>
      <c r="AK77" s="33">
        <f>IF(AJ77&lt;=0.005,0,AJ77-MIN(AJ77,MAX(0,$E77-SUMIFS(H77:AK77,$H$5:$AK$5,"Rem",$H$4:$AK$4,"&lt;"&amp;AK$4))))</f>
        <v/>
      </c>
      <c r="AL77" s="1" t="n"/>
    </row>
    <row r="78">
      <c r="A78" s="1" t="n"/>
      <c r="B78" s="1" t="n">
        <v>71</v>
      </c>
      <c r="C78" s="34">
        <f>EDATE(Debts!$J$13,B78-1)</f>
        <v/>
      </c>
      <c r="D78" s="33">
        <f>IF(G77&lt;=0.005,0,Debts!$E$16+Debts!$J$7)</f>
        <v/>
      </c>
      <c r="E78" s="33">
        <f>MAX(0,D78-(SUMIF($H$5:$AK$5,"Due",H78:AK78)-SUMIF($H$5:$AK$5,"Rem",H78:AK78)))</f>
        <v/>
      </c>
      <c r="F78" s="33">
        <f>SUMIF($H$5:$AK$5,"Due",H78:AK78)-SUMIF($H$5:$AK$5,"Bal",H77:AK77)</f>
        <v/>
      </c>
      <c r="G78" s="33">
        <f>SUMIF($H$5:$AK$5,"Bal",H78:AK78)</f>
        <v/>
      </c>
      <c r="H78" s="33">
        <f>J77*(1+N(Debts!$D$6)/1200)</f>
        <v/>
      </c>
      <c r="I78" s="33">
        <f>H78-MIN(N(Debts!$E$6),H78)</f>
        <v/>
      </c>
      <c r="J78" s="33">
        <f>IF(I78&lt;=0.005,0,I78-MIN(I78,MAX(0,$E78-SUMIFS(H78:AK78,$H$5:$AK$5,"Rem",$H$4:$AK$4,"&lt;"&amp;J$4))))</f>
        <v/>
      </c>
      <c r="K78" s="33">
        <f>M77*(1+N(Debts!$D$7)/1200)</f>
        <v/>
      </c>
      <c r="L78" s="33">
        <f>K78-MIN(N(Debts!$E$7),K78)</f>
        <v/>
      </c>
      <c r="M78" s="33">
        <f>IF(L78&lt;=0.005,0,L78-MIN(L78,MAX(0,$E78-SUMIFS(H78:AK78,$H$5:$AK$5,"Rem",$H$4:$AK$4,"&lt;"&amp;M$4))))</f>
        <v/>
      </c>
      <c r="N78" s="33">
        <f>P77*(1+N(Debts!$D$8)/1200)</f>
        <v/>
      </c>
      <c r="O78" s="33">
        <f>N78-MIN(N(Debts!$E$8),N78)</f>
        <v/>
      </c>
      <c r="P78" s="33">
        <f>IF(O78&lt;=0.005,0,O78-MIN(O78,MAX(0,$E78-SUMIFS(H78:AK78,$H$5:$AK$5,"Rem",$H$4:$AK$4,"&lt;"&amp;P$4))))</f>
        <v/>
      </c>
      <c r="Q78" s="33">
        <f>S77*(1+N(Debts!$D$9)/1200)</f>
        <v/>
      </c>
      <c r="R78" s="33">
        <f>Q78-MIN(N(Debts!$E$9),Q78)</f>
        <v/>
      </c>
      <c r="S78" s="33">
        <f>IF(R78&lt;=0.005,0,R78-MIN(R78,MAX(0,$E78-SUMIFS(H78:AK78,$H$5:$AK$5,"Rem",$H$4:$AK$4,"&lt;"&amp;S$4))))</f>
        <v/>
      </c>
      <c r="T78" s="33">
        <f>V77*(1+N(Debts!$D$10)/1200)</f>
        <v/>
      </c>
      <c r="U78" s="33">
        <f>T78-MIN(N(Debts!$E$10),T78)</f>
        <v/>
      </c>
      <c r="V78" s="33">
        <f>IF(U78&lt;=0.005,0,U78-MIN(U78,MAX(0,$E78-SUMIFS(H78:AK78,$H$5:$AK$5,"Rem",$H$4:$AK$4,"&lt;"&amp;V$4))))</f>
        <v/>
      </c>
      <c r="W78" s="33">
        <f>Y77*(1+N(Debts!$D$11)/1200)</f>
        <v/>
      </c>
      <c r="X78" s="33">
        <f>W78-MIN(N(Debts!$E$11),W78)</f>
        <v/>
      </c>
      <c r="Y78" s="33">
        <f>IF(X78&lt;=0.005,0,X78-MIN(X78,MAX(0,$E78-SUMIFS(H78:AK78,$H$5:$AK$5,"Rem",$H$4:$AK$4,"&lt;"&amp;Y$4))))</f>
        <v/>
      </c>
      <c r="Z78" s="33">
        <f>AB77*(1+N(Debts!$D$12)/1200)</f>
        <v/>
      </c>
      <c r="AA78" s="33">
        <f>Z78-MIN(N(Debts!$E$12),Z78)</f>
        <v/>
      </c>
      <c r="AB78" s="33">
        <f>IF(AA78&lt;=0.005,0,AA78-MIN(AA78,MAX(0,$E78-SUMIFS(H78:AK78,$H$5:$AK$5,"Rem",$H$4:$AK$4,"&lt;"&amp;AB$4))))</f>
        <v/>
      </c>
      <c r="AC78" s="33">
        <f>AE77*(1+N(Debts!$D$13)/1200)</f>
        <v/>
      </c>
      <c r="AD78" s="33">
        <f>AC78-MIN(N(Debts!$E$13),AC78)</f>
        <v/>
      </c>
      <c r="AE78" s="33">
        <f>IF(AD78&lt;=0.005,0,AD78-MIN(AD78,MAX(0,$E78-SUMIFS(H78:AK78,$H$5:$AK$5,"Rem",$H$4:$AK$4,"&lt;"&amp;AE$4))))</f>
        <v/>
      </c>
      <c r="AF78" s="33">
        <f>AH77*(1+N(Debts!$D$14)/1200)</f>
        <v/>
      </c>
      <c r="AG78" s="33">
        <f>AF78-MIN(N(Debts!$E$14),AF78)</f>
        <v/>
      </c>
      <c r="AH78" s="33">
        <f>IF(AG78&lt;=0.005,0,AG78-MIN(AG78,MAX(0,$E78-SUMIFS(H78:AK78,$H$5:$AK$5,"Rem",$H$4:$AK$4,"&lt;"&amp;AH$4))))</f>
        <v/>
      </c>
      <c r="AI78" s="33">
        <f>AK77*(1+N(Debts!$D$15)/1200)</f>
        <v/>
      </c>
      <c r="AJ78" s="33">
        <f>AI78-MIN(N(Debts!$E$15),AI78)</f>
        <v/>
      </c>
      <c r="AK78" s="33">
        <f>IF(AJ78&lt;=0.005,0,AJ78-MIN(AJ78,MAX(0,$E78-SUMIFS(H78:AK78,$H$5:$AK$5,"Rem",$H$4:$AK$4,"&lt;"&amp;AK$4))))</f>
        <v/>
      </c>
      <c r="AL78" s="1" t="n"/>
    </row>
    <row r="79">
      <c r="A79" s="1" t="n"/>
      <c r="B79" s="1" t="n">
        <v>72</v>
      </c>
      <c r="C79" s="34">
        <f>EDATE(Debts!$J$13,B79-1)</f>
        <v/>
      </c>
      <c r="D79" s="33">
        <f>IF(G78&lt;=0.005,0,Debts!$E$16+Debts!$J$7)</f>
        <v/>
      </c>
      <c r="E79" s="33">
        <f>MAX(0,D79-(SUMIF($H$5:$AK$5,"Due",H79:AK79)-SUMIF($H$5:$AK$5,"Rem",H79:AK79)))</f>
        <v/>
      </c>
      <c r="F79" s="33">
        <f>SUMIF($H$5:$AK$5,"Due",H79:AK79)-SUMIF($H$5:$AK$5,"Bal",H78:AK78)</f>
        <v/>
      </c>
      <c r="G79" s="33">
        <f>SUMIF($H$5:$AK$5,"Bal",H79:AK79)</f>
        <v/>
      </c>
      <c r="H79" s="33">
        <f>J78*(1+N(Debts!$D$6)/1200)</f>
        <v/>
      </c>
      <c r="I79" s="33">
        <f>H79-MIN(N(Debts!$E$6),H79)</f>
        <v/>
      </c>
      <c r="J79" s="33">
        <f>IF(I79&lt;=0.005,0,I79-MIN(I79,MAX(0,$E79-SUMIFS(H79:AK79,$H$5:$AK$5,"Rem",$H$4:$AK$4,"&lt;"&amp;J$4))))</f>
        <v/>
      </c>
      <c r="K79" s="33">
        <f>M78*(1+N(Debts!$D$7)/1200)</f>
        <v/>
      </c>
      <c r="L79" s="33">
        <f>K79-MIN(N(Debts!$E$7),K79)</f>
        <v/>
      </c>
      <c r="M79" s="33">
        <f>IF(L79&lt;=0.005,0,L79-MIN(L79,MAX(0,$E79-SUMIFS(H79:AK79,$H$5:$AK$5,"Rem",$H$4:$AK$4,"&lt;"&amp;M$4))))</f>
        <v/>
      </c>
      <c r="N79" s="33">
        <f>P78*(1+N(Debts!$D$8)/1200)</f>
        <v/>
      </c>
      <c r="O79" s="33">
        <f>N79-MIN(N(Debts!$E$8),N79)</f>
        <v/>
      </c>
      <c r="P79" s="33">
        <f>IF(O79&lt;=0.005,0,O79-MIN(O79,MAX(0,$E79-SUMIFS(H79:AK79,$H$5:$AK$5,"Rem",$H$4:$AK$4,"&lt;"&amp;P$4))))</f>
        <v/>
      </c>
      <c r="Q79" s="33">
        <f>S78*(1+N(Debts!$D$9)/1200)</f>
        <v/>
      </c>
      <c r="R79" s="33">
        <f>Q79-MIN(N(Debts!$E$9),Q79)</f>
        <v/>
      </c>
      <c r="S79" s="33">
        <f>IF(R79&lt;=0.005,0,R79-MIN(R79,MAX(0,$E79-SUMIFS(H79:AK79,$H$5:$AK$5,"Rem",$H$4:$AK$4,"&lt;"&amp;S$4))))</f>
        <v/>
      </c>
      <c r="T79" s="33">
        <f>V78*(1+N(Debts!$D$10)/1200)</f>
        <v/>
      </c>
      <c r="U79" s="33">
        <f>T79-MIN(N(Debts!$E$10),T79)</f>
        <v/>
      </c>
      <c r="V79" s="33">
        <f>IF(U79&lt;=0.005,0,U79-MIN(U79,MAX(0,$E79-SUMIFS(H79:AK79,$H$5:$AK$5,"Rem",$H$4:$AK$4,"&lt;"&amp;V$4))))</f>
        <v/>
      </c>
      <c r="W79" s="33">
        <f>Y78*(1+N(Debts!$D$11)/1200)</f>
        <v/>
      </c>
      <c r="X79" s="33">
        <f>W79-MIN(N(Debts!$E$11),W79)</f>
        <v/>
      </c>
      <c r="Y79" s="33">
        <f>IF(X79&lt;=0.005,0,X79-MIN(X79,MAX(0,$E79-SUMIFS(H79:AK79,$H$5:$AK$5,"Rem",$H$4:$AK$4,"&lt;"&amp;Y$4))))</f>
        <v/>
      </c>
      <c r="Z79" s="33">
        <f>AB78*(1+N(Debts!$D$12)/1200)</f>
        <v/>
      </c>
      <c r="AA79" s="33">
        <f>Z79-MIN(N(Debts!$E$12),Z79)</f>
        <v/>
      </c>
      <c r="AB79" s="33">
        <f>IF(AA79&lt;=0.005,0,AA79-MIN(AA79,MAX(0,$E79-SUMIFS(H79:AK79,$H$5:$AK$5,"Rem",$H$4:$AK$4,"&lt;"&amp;AB$4))))</f>
        <v/>
      </c>
      <c r="AC79" s="33">
        <f>AE78*(1+N(Debts!$D$13)/1200)</f>
        <v/>
      </c>
      <c r="AD79" s="33">
        <f>AC79-MIN(N(Debts!$E$13),AC79)</f>
        <v/>
      </c>
      <c r="AE79" s="33">
        <f>IF(AD79&lt;=0.005,0,AD79-MIN(AD79,MAX(0,$E79-SUMIFS(H79:AK79,$H$5:$AK$5,"Rem",$H$4:$AK$4,"&lt;"&amp;AE$4))))</f>
        <v/>
      </c>
      <c r="AF79" s="33">
        <f>AH78*(1+N(Debts!$D$14)/1200)</f>
        <v/>
      </c>
      <c r="AG79" s="33">
        <f>AF79-MIN(N(Debts!$E$14),AF79)</f>
        <v/>
      </c>
      <c r="AH79" s="33">
        <f>IF(AG79&lt;=0.005,0,AG79-MIN(AG79,MAX(0,$E79-SUMIFS(H79:AK79,$H$5:$AK$5,"Rem",$H$4:$AK$4,"&lt;"&amp;AH$4))))</f>
        <v/>
      </c>
      <c r="AI79" s="33">
        <f>AK78*(1+N(Debts!$D$15)/1200)</f>
        <v/>
      </c>
      <c r="AJ79" s="33">
        <f>AI79-MIN(N(Debts!$E$15),AI79)</f>
        <v/>
      </c>
      <c r="AK79" s="33">
        <f>IF(AJ79&lt;=0.005,0,AJ79-MIN(AJ79,MAX(0,$E79-SUMIFS(H79:AK79,$H$5:$AK$5,"Rem",$H$4:$AK$4,"&lt;"&amp;AK$4))))</f>
        <v/>
      </c>
      <c r="AL79" s="1" t="n"/>
    </row>
    <row r="80">
      <c r="A80" s="1" t="n"/>
      <c r="B80" s="1" t="n">
        <v>73</v>
      </c>
      <c r="C80" s="34">
        <f>EDATE(Debts!$J$13,B80-1)</f>
        <v/>
      </c>
      <c r="D80" s="33">
        <f>IF(G79&lt;=0.005,0,Debts!$E$16+Debts!$J$7)</f>
        <v/>
      </c>
      <c r="E80" s="33">
        <f>MAX(0,D80-(SUMIF($H$5:$AK$5,"Due",H80:AK80)-SUMIF($H$5:$AK$5,"Rem",H80:AK80)))</f>
        <v/>
      </c>
      <c r="F80" s="33">
        <f>SUMIF($H$5:$AK$5,"Due",H80:AK80)-SUMIF($H$5:$AK$5,"Bal",H79:AK79)</f>
        <v/>
      </c>
      <c r="G80" s="33">
        <f>SUMIF($H$5:$AK$5,"Bal",H80:AK80)</f>
        <v/>
      </c>
      <c r="H80" s="33">
        <f>J79*(1+N(Debts!$D$6)/1200)</f>
        <v/>
      </c>
      <c r="I80" s="33">
        <f>H80-MIN(N(Debts!$E$6),H80)</f>
        <v/>
      </c>
      <c r="J80" s="33">
        <f>IF(I80&lt;=0.005,0,I80-MIN(I80,MAX(0,$E80-SUMIFS(H80:AK80,$H$5:$AK$5,"Rem",$H$4:$AK$4,"&lt;"&amp;J$4))))</f>
        <v/>
      </c>
      <c r="K80" s="33">
        <f>M79*(1+N(Debts!$D$7)/1200)</f>
        <v/>
      </c>
      <c r="L80" s="33">
        <f>K80-MIN(N(Debts!$E$7),K80)</f>
        <v/>
      </c>
      <c r="M80" s="33">
        <f>IF(L80&lt;=0.005,0,L80-MIN(L80,MAX(0,$E80-SUMIFS(H80:AK80,$H$5:$AK$5,"Rem",$H$4:$AK$4,"&lt;"&amp;M$4))))</f>
        <v/>
      </c>
      <c r="N80" s="33">
        <f>P79*(1+N(Debts!$D$8)/1200)</f>
        <v/>
      </c>
      <c r="O80" s="33">
        <f>N80-MIN(N(Debts!$E$8),N80)</f>
        <v/>
      </c>
      <c r="P80" s="33">
        <f>IF(O80&lt;=0.005,0,O80-MIN(O80,MAX(0,$E80-SUMIFS(H80:AK80,$H$5:$AK$5,"Rem",$H$4:$AK$4,"&lt;"&amp;P$4))))</f>
        <v/>
      </c>
      <c r="Q80" s="33">
        <f>S79*(1+N(Debts!$D$9)/1200)</f>
        <v/>
      </c>
      <c r="R80" s="33">
        <f>Q80-MIN(N(Debts!$E$9),Q80)</f>
        <v/>
      </c>
      <c r="S80" s="33">
        <f>IF(R80&lt;=0.005,0,R80-MIN(R80,MAX(0,$E80-SUMIFS(H80:AK80,$H$5:$AK$5,"Rem",$H$4:$AK$4,"&lt;"&amp;S$4))))</f>
        <v/>
      </c>
      <c r="T80" s="33">
        <f>V79*(1+N(Debts!$D$10)/1200)</f>
        <v/>
      </c>
      <c r="U80" s="33">
        <f>T80-MIN(N(Debts!$E$10),T80)</f>
        <v/>
      </c>
      <c r="V80" s="33">
        <f>IF(U80&lt;=0.005,0,U80-MIN(U80,MAX(0,$E80-SUMIFS(H80:AK80,$H$5:$AK$5,"Rem",$H$4:$AK$4,"&lt;"&amp;V$4))))</f>
        <v/>
      </c>
      <c r="W80" s="33">
        <f>Y79*(1+N(Debts!$D$11)/1200)</f>
        <v/>
      </c>
      <c r="X80" s="33">
        <f>W80-MIN(N(Debts!$E$11),W80)</f>
        <v/>
      </c>
      <c r="Y80" s="33">
        <f>IF(X80&lt;=0.005,0,X80-MIN(X80,MAX(0,$E80-SUMIFS(H80:AK80,$H$5:$AK$5,"Rem",$H$4:$AK$4,"&lt;"&amp;Y$4))))</f>
        <v/>
      </c>
      <c r="Z80" s="33">
        <f>AB79*(1+N(Debts!$D$12)/1200)</f>
        <v/>
      </c>
      <c r="AA80" s="33">
        <f>Z80-MIN(N(Debts!$E$12),Z80)</f>
        <v/>
      </c>
      <c r="AB80" s="33">
        <f>IF(AA80&lt;=0.005,0,AA80-MIN(AA80,MAX(0,$E80-SUMIFS(H80:AK80,$H$5:$AK$5,"Rem",$H$4:$AK$4,"&lt;"&amp;AB$4))))</f>
        <v/>
      </c>
      <c r="AC80" s="33">
        <f>AE79*(1+N(Debts!$D$13)/1200)</f>
        <v/>
      </c>
      <c r="AD80" s="33">
        <f>AC80-MIN(N(Debts!$E$13),AC80)</f>
        <v/>
      </c>
      <c r="AE80" s="33">
        <f>IF(AD80&lt;=0.005,0,AD80-MIN(AD80,MAX(0,$E80-SUMIFS(H80:AK80,$H$5:$AK$5,"Rem",$H$4:$AK$4,"&lt;"&amp;AE$4))))</f>
        <v/>
      </c>
      <c r="AF80" s="33">
        <f>AH79*(1+N(Debts!$D$14)/1200)</f>
        <v/>
      </c>
      <c r="AG80" s="33">
        <f>AF80-MIN(N(Debts!$E$14),AF80)</f>
        <v/>
      </c>
      <c r="AH80" s="33">
        <f>IF(AG80&lt;=0.005,0,AG80-MIN(AG80,MAX(0,$E80-SUMIFS(H80:AK80,$H$5:$AK$5,"Rem",$H$4:$AK$4,"&lt;"&amp;AH$4))))</f>
        <v/>
      </c>
      <c r="AI80" s="33">
        <f>AK79*(1+N(Debts!$D$15)/1200)</f>
        <v/>
      </c>
      <c r="AJ80" s="33">
        <f>AI80-MIN(N(Debts!$E$15),AI80)</f>
        <v/>
      </c>
      <c r="AK80" s="33">
        <f>IF(AJ80&lt;=0.005,0,AJ80-MIN(AJ80,MAX(0,$E80-SUMIFS(H80:AK80,$H$5:$AK$5,"Rem",$H$4:$AK$4,"&lt;"&amp;AK$4))))</f>
        <v/>
      </c>
      <c r="AL80" s="1" t="n"/>
    </row>
    <row r="81">
      <c r="A81" s="1" t="n"/>
      <c r="B81" s="1" t="n">
        <v>74</v>
      </c>
      <c r="C81" s="34">
        <f>EDATE(Debts!$J$13,B81-1)</f>
        <v/>
      </c>
      <c r="D81" s="33">
        <f>IF(G80&lt;=0.005,0,Debts!$E$16+Debts!$J$7)</f>
        <v/>
      </c>
      <c r="E81" s="33">
        <f>MAX(0,D81-(SUMIF($H$5:$AK$5,"Due",H81:AK81)-SUMIF($H$5:$AK$5,"Rem",H81:AK81)))</f>
        <v/>
      </c>
      <c r="F81" s="33">
        <f>SUMIF($H$5:$AK$5,"Due",H81:AK81)-SUMIF($H$5:$AK$5,"Bal",H80:AK80)</f>
        <v/>
      </c>
      <c r="G81" s="33">
        <f>SUMIF($H$5:$AK$5,"Bal",H81:AK81)</f>
        <v/>
      </c>
      <c r="H81" s="33">
        <f>J80*(1+N(Debts!$D$6)/1200)</f>
        <v/>
      </c>
      <c r="I81" s="33">
        <f>H81-MIN(N(Debts!$E$6),H81)</f>
        <v/>
      </c>
      <c r="J81" s="33">
        <f>IF(I81&lt;=0.005,0,I81-MIN(I81,MAX(0,$E81-SUMIFS(H81:AK81,$H$5:$AK$5,"Rem",$H$4:$AK$4,"&lt;"&amp;J$4))))</f>
        <v/>
      </c>
      <c r="K81" s="33">
        <f>M80*(1+N(Debts!$D$7)/1200)</f>
        <v/>
      </c>
      <c r="L81" s="33">
        <f>K81-MIN(N(Debts!$E$7),K81)</f>
        <v/>
      </c>
      <c r="M81" s="33">
        <f>IF(L81&lt;=0.005,0,L81-MIN(L81,MAX(0,$E81-SUMIFS(H81:AK81,$H$5:$AK$5,"Rem",$H$4:$AK$4,"&lt;"&amp;M$4))))</f>
        <v/>
      </c>
      <c r="N81" s="33">
        <f>P80*(1+N(Debts!$D$8)/1200)</f>
        <v/>
      </c>
      <c r="O81" s="33">
        <f>N81-MIN(N(Debts!$E$8),N81)</f>
        <v/>
      </c>
      <c r="P81" s="33">
        <f>IF(O81&lt;=0.005,0,O81-MIN(O81,MAX(0,$E81-SUMIFS(H81:AK81,$H$5:$AK$5,"Rem",$H$4:$AK$4,"&lt;"&amp;P$4))))</f>
        <v/>
      </c>
      <c r="Q81" s="33">
        <f>S80*(1+N(Debts!$D$9)/1200)</f>
        <v/>
      </c>
      <c r="R81" s="33">
        <f>Q81-MIN(N(Debts!$E$9),Q81)</f>
        <v/>
      </c>
      <c r="S81" s="33">
        <f>IF(R81&lt;=0.005,0,R81-MIN(R81,MAX(0,$E81-SUMIFS(H81:AK81,$H$5:$AK$5,"Rem",$H$4:$AK$4,"&lt;"&amp;S$4))))</f>
        <v/>
      </c>
      <c r="T81" s="33">
        <f>V80*(1+N(Debts!$D$10)/1200)</f>
        <v/>
      </c>
      <c r="U81" s="33">
        <f>T81-MIN(N(Debts!$E$10),T81)</f>
        <v/>
      </c>
      <c r="V81" s="33">
        <f>IF(U81&lt;=0.005,0,U81-MIN(U81,MAX(0,$E81-SUMIFS(H81:AK81,$H$5:$AK$5,"Rem",$H$4:$AK$4,"&lt;"&amp;V$4))))</f>
        <v/>
      </c>
      <c r="W81" s="33">
        <f>Y80*(1+N(Debts!$D$11)/1200)</f>
        <v/>
      </c>
      <c r="X81" s="33">
        <f>W81-MIN(N(Debts!$E$11),W81)</f>
        <v/>
      </c>
      <c r="Y81" s="33">
        <f>IF(X81&lt;=0.005,0,X81-MIN(X81,MAX(0,$E81-SUMIFS(H81:AK81,$H$5:$AK$5,"Rem",$H$4:$AK$4,"&lt;"&amp;Y$4))))</f>
        <v/>
      </c>
      <c r="Z81" s="33">
        <f>AB80*(1+N(Debts!$D$12)/1200)</f>
        <v/>
      </c>
      <c r="AA81" s="33">
        <f>Z81-MIN(N(Debts!$E$12),Z81)</f>
        <v/>
      </c>
      <c r="AB81" s="33">
        <f>IF(AA81&lt;=0.005,0,AA81-MIN(AA81,MAX(0,$E81-SUMIFS(H81:AK81,$H$5:$AK$5,"Rem",$H$4:$AK$4,"&lt;"&amp;AB$4))))</f>
        <v/>
      </c>
      <c r="AC81" s="33">
        <f>AE80*(1+N(Debts!$D$13)/1200)</f>
        <v/>
      </c>
      <c r="AD81" s="33">
        <f>AC81-MIN(N(Debts!$E$13),AC81)</f>
        <v/>
      </c>
      <c r="AE81" s="33">
        <f>IF(AD81&lt;=0.005,0,AD81-MIN(AD81,MAX(0,$E81-SUMIFS(H81:AK81,$H$5:$AK$5,"Rem",$H$4:$AK$4,"&lt;"&amp;AE$4))))</f>
        <v/>
      </c>
      <c r="AF81" s="33">
        <f>AH80*(1+N(Debts!$D$14)/1200)</f>
        <v/>
      </c>
      <c r="AG81" s="33">
        <f>AF81-MIN(N(Debts!$E$14),AF81)</f>
        <v/>
      </c>
      <c r="AH81" s="33">
        <f>IF(AG81&lt;=0.005,0,AG81-MIN(AG81,MAX(0,$E81-SUMIFS(H81:AK81,$H$5:$AK$5,"Rem",$H$4:$AK$4,"&lt;"&amp;AH$4))))</f>
        <v/>
      </c>
      <c r="AI81" s="33">
        <f>AK80*(1+N(Debts!$D$15)/1200)</f>
        <v/>
      </c>
      <c r="AJ81" s="33">
        <f>AI81-MIN(N(Debts!$E$15),AI81)</f>
        <v/>
      </c>
      <c r="AK81" s="33">
        <f>IF(AJ81&lt;=0.005,0,AJ81-MIN(AJ81,MAX(0,$E81-SUMIFS(H81:AK81,$H$5:$AK$5,"Rem",$H$4:$AK$4,"&lt;"&amp;AK$4))))</f>
        <v/>
      </c>
      <c r="AL81" s="1" t="n"/>
    </row>
    <row r="82">
      <c r="A82" s="1" t="n"/>
      <c r="B82" s="1" t="n">
        <v>75</v>
      </c>
      <c r="C82" s="34">
        <f>EDATE(Debts!$J$13,B82-1)</f>
        <v/>
      </c>
      <c r="D82" s="33">
        <f>IF(G81&lt;=0.005,0,Debts!$E$16+Debts!$J$7)</f>
        <v/>
      </c>
      <c r="E82" s="33">
        <f>MAX(0,D82-(SUMIF($H$5:$AK$5,"Due",H82:AK82)-SUMIF($H$5:$AK$5,"Rem",H82:AK82)))</f>
        <v/>
      </c>
      <c r="F82" s="33">
        <f>SUMIF($H$5:$AK$5,"Due",H82:AK82)-SUMIF($H$5:$AK$5,"Bal",H81:AK81)</f>
        <v/>
      </c>
      <c r="G82" s="33">
        <f>SUMIF($H$5:$AK$5,"Bal",H82:AK82)</f>
        <v/>
      </c>
      <c r="H82" s="33">
        <f>J81*(1+N(Debts!$D$6)/1200)</f>
        <v/>
      </c>
      <c r="I82" s="33">
        <f>H82-MIN(N(Debts!$E$6),H82)</f>
        <v/>
      </c>
      <c r="J82" s="33">
        <f>IF(I82&lt;=0.005,0,I82-MIN(I82,MAX(0,$E82-SUMIFS(H82:AK82,$H$5:$AK$5,"Rem",$H$4:$AK$4,"&lt;"&amp;J$4))))</f>
        <v/>
      </c>
      <c r="K82" s="33">
        <f>M81*(1+N(Debts!$D$7)/1200)</f>
        <v/>
      </c>
      <c r="L82" s="33">
        <f>K82-MIN(N(Debts!$E$7),K82)</f>
        <v/>
      </c>
      <c r="M82" s="33">
        <f>IF(L82&lt;=0.005,0,L82-MIN(L82,MAX(0,$E82-SUMIFS(H82:AK82,$H$5:$AK$5,"Rem",$H$4:$AK$4,"&lt;"&amp;M$4))))</f>
        <v/>
      </c>
      <c r="N82" s="33">
        <f>P81*(1+N(Debts!$D$8)/1200)</f>
        <v/>
      </c>
      <c r="O82" s="33">
        <f>N82-MIN(N(Debts!$E$8),N82)</f>
        <v/>
      </c>
      <c r="P82" s="33">
        <f>IF(O82&lt;=0.005,0,O82-MIN(O82,MAX(0,$E82-SUMIFS(H82:AK82,$H$5:$AK$5,"Rem",$H$4:$AK$4,"&lt;"&amp;P$4))))</f>
        <v/>
      </c>
      <c r="Q82" s="33">
        <f>S81*(1+N(Debts!$D$9)/1200)</f>
        <v/>
      </c>
      <c r="R82" s="33">
        <f>Q82-MIN(N(Debts!$E$9),Q82)</f>
        <v/>
      </c>
      <c r="S82" s="33">
        <f>IF(R82&lt;=0.005,0,R82-MIN(R82,MAX(0,$E82-SUMIFS(H82:AK82,$H$5:$AK$5,"Rem",$H$4:$AK$4,"&lt;"&amp;S$4))))</f>
        <v/>
      </c>
      <c r="T82" s="33">
        <f>V81*(1+N(Debts!$D$10)/1200)</f>
        <v/>
      </c>
      <c r="U82" s="33">
        <f>T82-MIN(N(Debts!$E$10),T82)</f>
        <v/>
      </c>
      <c r="V82" s="33">
        <f>IF(U82&lt;=0.005,0,U82-MIN(U82,MAX(0,$E82-SUMIFS(H82:AK82,$H$5:$AK$5,"Rem",$H$4:$AK$4,"&lt;"&amp;V$4))))</f>
        <v/>
      </c>
      <c r="W82" s="33">
        <f>Y81*(1+N(Debts!$D$11)/1200)</f>
        <v/>
      </c>
      <c r="X82" s="33">
        <f>W82-MIN(N(Debts!$E$11),W82)</f>
        <v/>
      </c>
      <c r="Y82" s="33">
        <f>IF(X82&lt;=0.005,0,X82-MIN(X82,MAX(0,$E82-SUMIFS(H82:AK82,$H$5:$AK$5,"Rem",$H$4:$AK$4,"&lt;"&amp;Y$4))))</f>
        <v/>
      </c>
      <c r="Z82" s="33">
        <f>AB81*(1+N(Debts!$D$12)/1200)</f>
        <v/>
      </c>
      <c r="AA82" s="33">
        <f>Z82-MIN(N(Debts!$E$12),Z82)</f>
        <v/>
      </c>
      <c r="AB82" s="33">
        <f>IF(AA82&lt;=0.005,0,AA82-MIN(AA82,MAX(0,$E82-SUMIFS(H82:AK82,$H$5:$AK$5,"Rem",$H$4:$AK$4,"&lt;"&amp;AB$4))))</f>
        <v/>
      </c>
      <c r="AC82" s="33">
        <f>AE81*(1+N(Debts!$D$13)/1200)</f>
        <v/>
      </c>
      <c r="AD82" s="33">
        <f>AC82-MIN(N(Debts!$E$13),AC82)</f>
        <v/>
      </c>
      <c r="AE82" s="33">
        <f>IF(AD82&lt;=0.005,0,AD82-MIN(AD82,MAX(0,$E82-SUMIFS(H82:AK82,$H$5:$AK$5,"Rem",$H$4:$AK$4,"&lt;"&amp;AE$4))))</f>
        <v/>
      </c>
      <c r="AF82" s="33">
        <f>AH81*(1+N(Debts!$D$14)/1200)</f>
        <v/>
      </c>
      <c r="AG82" s="33">
        <f>AF82-MIN(N(Debts!$E$14),AF82)</f>
        <v/>
      </c>
      <c r="AH82" s="33">
        <f>IF(AG82&lt;=0.005,0,AG82-MIN(AG82,MAX(0,$E82-SUMIFS(H82:AK82,$H$5:$AK$5,"Rem",$H$4:$AK$4,"&lt;"&amp;AH$4))))</f>
        <v/>
      </c>
      <c r="AI82" s="33">
        <f>AK81*(1+N(Debts!$D$15)/1200)</f>
        <v/>
      </c>
      <c r="AJ82" s="33">
        <f>AI82-MIN(N(Debts!$E$15),AI82)</f>
        <v/>
      </c>
      <c r="AK82" s="33">
        <f>IF(AJ82&lt;=0.005,0,AJ82-MIN(AJ82,MAX(0,$E82-SUMIFS(H82:AK82,$H$5:$AK$5,"Rem",$H$4:$AK$4,"&lt;"&amp;AK$4))))</f>
        <v/>
      </c>
      <c r="AL82" s="1" t="n"/>
    </row>
    <row r="83">
      <c r="A83" s="1" t="n"/>
      <c r="B83" s="1" t="n">
        <v>76</v>
      </c>
      <c r="C83" s="34">
        <f>EDATE(Debts!$J$13,B83-1)</f>
        <v/>
      </c>
      <c r="D83" s="33">
        <f>IF(G82&lt;=0.005,0,Debts!$E$16+Debts!$J$7)</f>
        <v/>
      </c>
      <c r="E83" s="33">
        <f>MAX(0,D83-(SUMIF($H$5:$AK$5,"Due",H83:AK83)-SUMIF($H$5:$AK$5,"Rem",H83:AK83)))</f>
        <v/>
      </c>
      <c r="F83" s="33">
        <f>SUMIF($H$5:$AK$5,"Due",H83:AK83)-SUMIF($H$5:$AK$5,"Bal",H82:AK82)</f>
        <v/>
      </c>
      <c r="G83" s="33">
        <f>SUMIF($H$5:$AK$5,"Bal",H83:AK83)</f>
        <v/>
      </c>
      <c r="H83" s="33">
        <f>J82*(1+N(Debts!$D$6)/1200)</f>
        <v/>
      </c>
      <c r="I83" s="33">
        <f>H83-MIN(N(Debts!$E$6),H83)</f>
        <v/>
      </c>
      <c r="J83" s="33">
        <f>IF(I83&lt;=0.005,0,I83-MIN(I83,MAX(0,$E83-SUMIFS(H83:AK83,$H$5:$AK$5,"Rem",$H$4:$AK$4,"&lt;"&amp;J$4))))</f>
        <v/>
      </c>
      <c r="K83" s="33">
        <f>M82*(1+N(Debts!$D$7)/1200)</f>
        <v/>
      </c>
      <c r="L83" s="33">
        <f>K83-MIN(N(Debts!$E$7),K83)</f>
        <v/>
      </c>
      <c r="M83" s="33">
        <f>IF(L83&lt;=0.005,0,L83-MIN(L83,MAX(0,$E83-SUMIFS(H83:AK83,$H$5:$AK$5,"Rem",$H$4:$AK$4,"&lt;"&amp;M$4))))</f>
        <v/>
      </c>
      <c r="N83" s="33">
        <f>P82*(1+N(Debts!$D$8)/1200)</f>
        <v/>
      </c>
      <c r="O83" s="33">
        <f>N83-MIN(N(Debts!$E$8),N83)</f>
        <v/>
      </c>
      <c r="P83" s="33">
        <f>IF(O83&lt;=0.005,0,O83-MIN(O83,MAX(0,$E83-SUMIFS(H83:AK83,$H$5:$AK$5,"Rem",$H$4:$AK$4,"&lt;"&amp;P$4))))</f>
        <v/>
      </c>
      <c r="Q83" s="33">
        <f>S82*(1+N(Debts!$D$9)/1200)</f>
        <v/>
      </c>
      <c r="R83" s="33">
        <f>Q83-MIN(N(Debts!$E$9),Q83)</f>
        <v/>
      </c>
      <c r="S83" s="33">
        <f>IF(R83&lt;=0.005,0,R83-MIN(R83,MAX(0,$E83-SUMIFS(H83:AK83,$H$5:$AK$5,"Rem",$H$4:$AK$4,"&lt;"&amp;S$4))))</f>
        <v/>
      </c>
      <c r="T83" s="33">
        <f>V82*(1+N(Debts!$D$10)/1200)</f>
        <v/>
      </c>
      <c r="U83" s="33">
        <f>T83-MIN(N(Debts!$E$10),T83)</f>
        <v/>
      </c>
      <c r="V83" s="33">
        <f>IF(U83&lt;=0.005,0,U83-MIN(U83,MAX(0,$E83-SUMIFS(H83:AK83,$H$5:$AK$5,"Rem",$H$4:$AK$4,"&lt;"&amp;V$4))))</f>
        <v/>
      </c>
      <c r="W83" s="33">
        <f>Y82*(1+N(Debts!$D$11)/1200)</f>
        <v/>
      </c>
      <c r="X83" s="33">
        <f>W83-MIN(N(Debts!$E$11),W83)</f>
        <v/>
      </c>
      <c r="Y83" s="33">
        <f>IF(X83&lt;=0.005,0,X83-MIN(X83,MAX(0,$E83-SUMIFS(H83:AK83,$H$5:$AK$5,"Rem",$H$4:$AK$4,"&lt;"&amp;Y$4))))</f>
        <v/>
      </c>
      <c r="Z83" s="33">
        <f>AB82*(1+N(Debts!$D$12)/1200)</f>
        <v/>
      </c>
      <c r="AA83" s="33">
        <f>Z83-MIN(N(Debts!$E$12),Z83)</f>
        <v/>
      </c>
      <c r="AB83" s="33">
        <f>IF(AA83&lt;=0.005,0,AA83-MIN(AA83,MAX(0,$E83-SUMIFS(H83:AK83,$H$5:$AK$5,"Rem",$H$4:$AK$4,"&lt;"&amp;AB$4))))</f>
        <v/>
      </c>
      <c r="AC83" s="33">
        <f>AE82*(1+N(Debts!$D$13)/1200)</f>
        <v/>
      </c>
      <c r="AD83" s="33">
        <f>AC83-MIN(N(Debts!$E$13),AC83)</f>
        <v/>
      </c>
      <c r="AE83" s="33">
        <f>IF(AD83&lt;=0.005,0,AD83-MIN(AD83,MAX(0,$E83-SUMIFS(H83:AK83,$H$5:$AK$5,"Rem",$H$4:$AK$4,"&lt;"&amp;AE$4))))</f>
        <v/>
      </c>
      <c r="AF83" s="33">
        <f>AH82*(1+N(Debts!$D$14)/1200)</f>
        <v/>
      </c>
      <c r="AG83" s="33">
        <f>AF83-MIN(N(Debts!$E$14),AF83)</f>
        <v/>
      </c>
      <c r="AH83" s="33">
        <f>IF(AG83&lt;=0.005,0,AG83-MIN(AG83,MAX(0,$E83-SUMIFS(H83:AK83,$H$5:$AK$5,"Rem",$H$4:$AK$4,"&lt;"&amp;AH$4))))</f>
        <v/>
      </c>
      <c r="AI83" s="33">
        <f>AK82*(1+N(Debts!$D$15)/1200)</f>
        <v/>
      </c>
      <c r="AJ83" s="33">
        <f>AI83-MIN(N(Debts!$E$15),AI83)</f>
        <v/>
      </c>
      <c r="AK83" s="33">
        <f>IF(AJ83&lt;=0.005,0,AJ83-MIN(AJ83,MAX(0,$E83-SUMIFS(H83:AK83,$H$5:$AK$5,"Rem",$H$4:$AK$4,"&lt;"&amp;AK$4))))</f>
        <v/>
      </c>
      <c r="AL83" s="1" t="n"/>
    </row>
    <row r="84">
      <c r="A84" s="1" t="n"/>
      <c r="B84" s="1" t="n">
        <v>77</v>
      </c>
      <c r="C84" s="34">
        <f>EDATE(Debts!$J$13,B84-1)</f>
        <v/>
      </c>
      <c r="D84" s="33">
        <f>IF(G83&lt;=0.005,0,Debts!$E$16+Debts!$J$7)</f>
        <v/>
      </c>
      <c r="E84" s="33">
        <f>MAX(0,D84-(SUMIF($H$5:$AK$5,"Due",H84:AK84)-SUMIF($H$5:$AK$5,"Rem",H84:AK84)))</f>
        <v/>
      </c>
      <c r="F84" s="33">
        <f>SUMIF($H$5:$AK$5,"Due",H84:AK84)-SUMIF($H$5:$AK$5,"Bal",H83:AK83)</f>
        <v/>
      </c>
      <c r="G84" s="33">
        <f>SUMIF($H$5:$AK$5,"Bal",H84:AK84)</f>
        <v/>
      </c>
      <c r="H84" s="33">
        <f>J83*(1+N(Debts!$D$6)/1200)</f>
        <v/>
      </c>
      <c r="I84" s="33">
        <f>H84-MIN(N(Debts!$E$6),H84)</f>
        <v/>
      </c>
      <c r="J84" s="33">
        <f>IF(I84&lt;=0.005,0,I84-MIN(I84,MAX(0,$E84-SUMIFS(H84:AK84,$H$5:$AK$5,"Rem",$H$4:$AK$4,"&lt;"&amp;J$4))))</f>
        <v/>
      </c>
      <c r="K84" s="33">
        <f>M83*(1+N(Debts!$D$7)/1200)</f>
        <v/>
      </c>
      <c r="L84" s="33">
        <f>K84-MIN(N(Debts!$E$7),K84)</f>
        <v/>
      </c>
      <c r="M84" s="33">
        <f>IF(L84&lt;=0.005,0,L84-MIN(L84,MAX(0,$E84-SUMIFS(H84:AK84,$H$5:$AK$5,"Rem",$H$4:$AK$4,"&lt;"&amp;M$4))))</f>
        <v/>
      </c>
      <c r="N84" s="33">
        <f>P83*(1+N(Debts!$D$8)/1200)</f>
        <v/>
      </c>
      <c r="O84" s="33">
        <f>N84-MIN(N(Debts!$E$8),N84)</f>
        <v/>
      </c>
      <c r="P84" s="33">
        <f>IF(O84&lt;=0.005,0,O84-MIN(O84,MAX(0,$E84-SUMIFS(H84:AK84,$H$5:$AK$5,"Rem",$H$4:$AK$4,"&lt;"&amp;P$4))))</f>
        <v/>
      </c>
      <c r="Q84" s="33">
        <f>S83*(1+N(Debts!$D$9)/1200)</f>
        <v/>
      </c>
      <c r="R84" s="33">
        <f>Q84-MIN(N(Debts!$E$9),Q84)</f>
        <v/>
      </c>
      <c r="S84" s="33">
        <f>IF(R84&lt;=0.005,0,R84-MIN(R84,MAX(0,$E84-SUMIFS(H84:AK84,$H$5:$AK$5,"Rem",$H$4:$AK$4,"&lt;"&amp;S$4))))</f>
        <v/>
      </c>
      <c r="T84" s="33">
        <f>V83*(1+N(Debts!$D$10)/1200)</f>
        <v/>
      </c>
      <c r="U84" s="33">
        <f>T84-MIN(N(Debts!$E$10),T84)</f>
        <v/>
      </c>
      <c r="V84" s="33">
        <f>IF(U84&lt;=0.005,0,U84-MIN(U84,MAX(0,$E84-SUMIFS(H84:AK84,$H$5:$AK$5,"Rem",$H$4:$AK$4,"&lt;"&amp;V$4))))</f>
        <v/>
      </c>
      <c r="W84" s="33">
        <f>Y83*(1+N(Debts!$D$11)/1200)</f>
        <v/>
      </c>
      <c r="X84" s="33">
        <f>W84-MIN(N(Debts!$E$11),W84)</f>
        <v/>
      </c>
      <c r="Y84" s="33">
        <f>IF(X84&lt;=0.005,0,X84-MIN(X84,MAX(0,$E84-SUMIFS(H84:AK84,$H$5:$AK$5,"Rem",$H$4:$AK$4,"&lt;"&amp;Y$4))))</f>
        <v/>
      </c>
      <c r="Z84" s="33">
        <f>AB83*(1+N(Debts!$D$12)/1200)</f>
        <v/>
      </c>
      <c r="AA84" s="33">
        <f>Z84-MIN(N(Debts!$E$12),Z84)</f>
        <v/>
      </c>
      <c r="AB84" s="33">
        <f>IF(AA84&lt;=0.005,0,AA84-MIN(AA84,MAX(0,$E84-SUMIFS(H84:AK84,$H$5:$AK$5,"Rem",$H$4:$AK$4,"&lt;"&amp;AB$4))))</f>
        <v/>
      </c>
      <c r="AC84" s="33">
        <f>AE83*(1+N(Debts!$D$13)/1200)</f>
        <v/>
      </c>
      <c r="AD84" s="33">
        <f>AC84-MIN(N(Debts!$E$13),AC84)</f>
        <v/>
      </c>
      <c r="AE84" s="33">
        <f>IF(AD84&lt;=0.005,0,AD84-MIN(AD84,MAX(0,$E84-SUMIFS(H84:AK84,$H$5:$AK$5,"Rem",$H$4:$AK$4,"&lt;"&amp;AE$4))))</f>
        <v/>
      </c>
      <c r="AF84" s="33">
        <f>AH83*(1+N(Debts!$D$14)/1200)</f>
        <v/>
      </c>
      <c r="AG84" s="33">
        <f>AF84-MIN(N(Debts!$E$14),AF84)</f>
        <v/>
      </c>
      <c r="AH84" s="33">
        <f>IF(AG84&lt;=0.005,0,AG84-MIN(AG84,MAX(0,$E84-SUMIFS(H84:AK84,$H$5:$AK$5,"Rem",$H$4:$AK$4,"&lt;"&amp;AH$4))))</f>
        <v/>
      </c>
      <c r="AI84" s="33">
        <f>AK83*(1+N(Debts!$D$15)/1200)</f>
        <v/>
      </c>
      <c r="AJ84" s="33">
        <f>AI84-MIN(N(Debts!$E$15),AI84)</f>
        <v/>
      </c>
      <c r="AK84" s="33">
        <f>IF(AJ84&lt;=0.005,0,AJ84-MIN(AJ84,MAX(0,$E84-SUMIFS(H84:AK84,$H$5:$AK$5,"Rem",$H$4:$AK$4,"&lt;"&amp;AK$4))))</f>
        <v/>
      </c>
      <c r="AL84" s="1" t="n"/>
    </row>
    <row r="85">
      <c r="A85" s="1" t="n"/>
      <c r="B85" s="1" t="n">
        <v>78</v>
      </c>
      <c r="C85" s="34">
        <f>EDATE(Debts!$J$13,B85-1)</f>
        <v/>
      </c>
      <c r="D85" s="33">
        <f>IF(G84&lt;=0.005,0,Debts!$E$16+Debts!$J$7)</f>
        <v/>
      </c>
      <c r="E85" s="33">
        <f>MAX(0,D85-(SUMIF($H$5:$AK$5,"Due",H85:AK85)-SUMIF($H$5:$AK$5,"Rem",H85:AK85)))</f>
        <v/>
      </c>
      <c r="F85" s="33">
        <f>SUMIF($H$5:$AK$5,"Due",H85:AK85)-SUMIF($H$5:$AK$5,"Bal",H84:AK84)</f>
        <v/>
      </c>
      <c r="G85" s="33">
        <f>SUMIF($H$5:$AK$5,"Bal",H85:AK85)</f>
        <v/>
      </c>
      <c r="H85" s="33">
        <f>J84*(1+N(Debts!$D$6)/1200)</f>
        <v/>
      </c>
      <c r="I85" s="33">
        <f>H85-MIN(N(Debts!$E$6),H85)</f>
        <v/>
      </c>
      <c r="J85" s="33">
        <f>IF(I85&lt;=0.005,0,I85-MIN(I85,MAX(0,$E85-SUMIFS(H85:AK85,$H$5:$AK$5,"Rem",$H$4:$AK$4,"&lt;"&amp;J$4))))</f>
        <v/>
      </c>
      <c r="K85" s="33">
        <f>M84*(1+N(Debts!$D$7)/1200)</f>
        <v/>
      </c>
      <c r="L85" s="33">
        <f>K85-MIN(N(Debts!$E$7),K85)</f>
        <v/>
      </c>
      <c r="M85" s="33">
        <f>IF(L85&lt;=0.005,0,L85-MIN(L85,MAX(0,$E85-SUMIFS(H85:AK85,$H$5:$AK$5,"Rem",$H$4:$AK$4,"&lt;"&amp;M$4))))</f>
        <v/>
      </c>
      <c r="N85" s="33">
        <f>P84*(1+N(Debts!$D$8)/1200)</f>
        <v/>
      </c>
      <c r="O85" s="33">
        <f>N85-MIN(N(Debts!$E$8),N85)</f>
        <v/>
      </c>
      <c r="P85" s="33">
        <f>IF(O85&lt;=0.005,0,O85-MIN(O85,MAX(0,$E85-SUMIFS(H85:AK85,$H$5:$AK$5,"Rem",$H$4:$AK$4,"&lt;"&amp;P$4))))</f>
        <v/>
      </c>
      <c r="Q85" s="33">
        <f>S84*(1+N(Debts!$D$9)/1200)</f>
        <v/>
      </c>
      <c r="R85" s="33">
        <f>Q85-MIN(N(Debts!$E$9),Q85)</f>
        <v/>
      </c>
      <c r="S85" s="33">
        <f>IF(R85&lt;=0.005,0,R85-MIN(R85,MAX(0,$E85-SUMIFS(H85:AK85,$H$5:$AK$5,"Rem",$H$4:$AK$4,"&lt;"&amp;S$4))))</f>
        <v/>
      </c>
      <c r="T85" s="33">
        <f>V84*(1+N(Debts!$D$10)/1200)</f>
        <v/>
      </c>
      <c r="U85" s="33">
        <f>T85-MIN(N(Debts!$E$10),T85)</f>
        <v/>
      </c>
      <c r="V85" s="33">
        <f>IF(U85&lt;=0.005,0,U85-MIN(U85,MAX(0,$E85-SUMIFS(H85:AK85,$H$5:$AK$5,"Rem",$H$4:$AK$4,"&lt;"&amp;V$4))))</f>
        <v/>
      </c>
      <c r="W85" s="33">
        <f>Y84*(1+N(Debts!$D$11)/1200)</f>
        <v/>
      </c>
      <c r="X85" s="33">
        <f>W85-MIN(N(Debts!$E$11),W85)</f>
        <v/>
      </c>
      <c r="Y85" s="33">
        <f>IF(X85&lt;=0.005,0,X85-MIN(X85,MAX(0,$E85-SUMIFS(H85:AK85,$H$5:$AK$5,"Rem",$H$4:$AK$4,"&lt;"&amp;Y$4))))</f>
        <v/>
      </c>
      <c r="Z85" s="33">
        <f>AB84*(1+N(Debts!$D$12)/1200)</f>
        <v/>
      </c>
      <c r="AA85" s="33">
        <f>Z85-MIN(N(Debts!$E$12),Z85)</f>
        <v/>
      </c>
      <c r="AB85" s="33">
        <f>IF(AA85&lt;=0.005,0,AA85-MIN(AA85,MAX(0,$E85-SUMIFS(H85:AK85,$H$5:$AK$5,"Rem",$H$4:$AK$4,"&lt;"&amp;AB$4))))</f>
        <v/>
      </c>
      <c r="AC85" s="33">
        <f>AE84*(1+N(Debts!$D$13)/1200)</f>
        <v/>
      </c>
      <c r="AD85" s="33">
        <f>AC85-MIN(N(Debts!$E$13),AC85)</f>
        <v/>
      </c>
      <c r="AE85" s="33">
        <f>IF(AD85&lt;=0.005,0,AD85-MIN(AD85,MAX(0,$E85-SUMIFS(H85:AK85,$H$5:$AK$5,"Rem",$H$4:$AK$4,"&lt;"&amp;AE$4))))</f>
        <v/>
      </c>
      <c r="AF85" s="33">
        <f>AH84*(1+N(Debts!$D$14)/1200)</f>
        <v/>
      </c>
      <c r="AG85" s="33">
        <f>AF85-MIN(N(Debts!$E$14),AF85)</f>
        <v/>
      </c>
      <c r="AH85" s="33">
        <f>IF(AG85&lt;=0.005,0,AG85-MIN(AG85,MAX(0,$E85-SUMIFS(H85:AK85,$H$5:$AK$5,"Rem",$H$4:$AK$4,"&lt;"&amp;AH$4))))</f>
        <v/>
      </c>
      <c r="AI85" s="33">
        <f>AK84*(1+N(Debts!$D$15)/1200)</f>
        <v/>
      </c>
      <c r="AJ85" s="33">
        <f>AI85-MIN(N(Debts!$E$15),AI85)</f>
        <v/>
      </c>
      <c r="AK85" s="33">
        <f>IF(AJ85&lt;=0.005,0,AJ85-MIN(AJ85,MAX(0,$E85-SUMIFS(H85:AK85,$H$5:$AK$5,"Rem",$H$4:$AK$4,"&lt;"&amp;AK$4))))</f>
        <v/>
      </c>
      <c r="AL85" s="1" t="n"/>
    </row>
    <row r="86">
      <c r="A86" s="1" t="n"/>
      <c r="B86" s="1" t="n">
        <v>79</v>
      </c>
      <c r="C86" s="34">
        <f>EDATE(Debts!$J$13,B86-1)</f>
        <v/>
      </c>
      <c r="D86" s="33">
        <f>IF(G85&lt;=0.005,0,Debts!$E$16+Debts!$J$7)</f>
        <v/>
      </c>
      <c r="E86" s="33">
        <f>MAX(0,D86-(SUMIF($H$5:$AK$5,"Due",H86:AK86)-SUMIF($H$5:$AK$5,"Rem",H86:AK86)))</f>
        <v/>
      </c>
      <c r="F86" s="33">
        <f>SUMIF($H$5:$AK$5,"Due",H86:AK86)-SUMIF($H$5:$AK$5,"Bal",H85:AK85)</f>
        <v/>
      </c>
      <c r="G86" s="33">
        <f>SUMIF($H$5:$AK$5,"Bal",H86:AK86)</f>
        <v/>
      </c>
      <c r="H86" s="33">
        <f>J85*(1+N(Debts!$D$6)/1200)</f>
        <v/>
      </c>
      <c r="I86" s="33">
        <f>H86-MIN(N(Debts!$E$6),H86)</f>
        <v/>
      </c>
      <c r="J86" s="33">
        <f>IF(I86&lt;=0.005,0,I86-MIN(I86,MAX(0,$E86-SUMIFS(H86:AK86,$H$5:$AK$5,"Rem",$H$4:$AK$4,"&lt;"&amp;J$4))))</f>
        <v/>
      </c>
      <c r="K86" s="33">
        <f>M85*(1+N(Debts!$D$7)/1200)</f>
        <v/>
      </c>
      <c r="L86" s="33">
        <f>K86-MIN(N(Debts!$E$7),K86)</f>
        <v/>
      </c>
      <c r="M86" s="33">
        <f>IF(L86&lt;=0.005,0,L86-MIN(L86,MAX(0,$E86-SUMIFS(H86:AK86,$H$5:$AK$5,"Rem",$H$4:$AK$4,"&lt;"&amp;M$4))))</f>
        <v/>
      </c>
      <c r="N86" s="33">
        <f>P85*(1+N(Debts!$D$8)/1200)</f>
        <v/>
      </c>
      <c r="O86" s="33">
        <f>N86-MIN(N(Debts!$E$8),N86)</f>
        <v/>
      </c>
      <c r="P86" s="33">
        <f>IF(O86&lt;=0.005,0,O86-MIN(O86,MAX(0,$E86-SUMIFS(H86:AK86,$H$5:$AK$5,"Rem",$H$4:$AK$4,"&lt;"&amp;P$4))))</f>
        <v/>
      </c>
      <c r="Q86" s="33">
        <f>S85*(1+N(Debts!$D$9)/1200)</f>
        <v/>
      </c>
      <c r="R86" s="33">
        <f>Q86-MIN(N(Debts!$E$9),Q86)</f>
        <v/>
      </c>
      <c r="S86" s="33">
        <f>IF(R86&lt;=0.005,0,R86-MIN(R86,MAX(0,$E86-SUMIFS(H86:AK86,$H$5:$AK$5,"Rem",$H$4:$AK$4,"&lt;"&amp;S$4))))</f>
        <v/>
      </c>
      <c r="T86" s="33">
        <f>V85*(1+N(Debts!$D$10)/1200)</f>
        <v/>
      </c>
      <c r="U86" s="33">
        <f>T86-MIN(N(Debts!$E$10),T86)</f>
        <v/>
      </c>
      <c r="V86" s="33">
        <f>IF(U86&lt;=0.005,0,U86-MIN(U86,MAX(0,$E86-SUMIFS(H86:AK86,$H$5:$AK$5,"Rem",$H$4:$AK$4,"&lt;"&amp;V$4))))</f>
        <v/>
      </c>
      <c r="W86" s="33">
        <f>Y85*(1+N(Debts!$D$11)/1200)</f>
        <v/>
      </c>
      <c r="X86" s="33">
        <f>W86-MIN(N(Debts!$E$11),W86)</f>
        <v/>
      </c>
      <c r="Y86" s="33">
        <f>IF(X86&lt;=0.005,0,X86-MIN(X86,MAX(0,$E86-SUMIFS(H86:AK86,$H$5:$AK$5,"Rem",$H$4:$AK$4,"&lt;"&amp;Y$4))))</f>
        <v/>
      </c>
      <c r="Z86" s="33">
        <f>AB85*(1+N(Debts!$D$12)/1200)</f>
        <v/>
      </c>
      <c r="AA86" s="33">
        <f>Z86-MIN(N(Debts!$E$12),Z86)</f>
        <v/>
      </c>
      <c r="AB86" s="33">
        <f>IF(AA86&lt;=0.005,0,AA86-MIN(AA86,MAX(0,$E86-SUMIFS(H86:AK86,$H$5:$AK$5,"Rem",$H$4:$AK$4,"&lt;"&amp;AB$4))))</f>
        <v/>
      </c>
      <c r="AC86" s="33">
        <f>AE85*(1+N(Debts!$D$13)/1200)</f>
        <v/>
      </c>
      <c r="AD86" s="33">
        <f>AC86-MIN(N(Debts!$E$13),AC86)</f>
        <v/>
      </c>
      <c r="AE86" s="33">
        <f>IF(AD86&lt;=0.005,0,AD86-MIN(AD86,MAX(0,$E86-SUMIFS(H86:AK86,$H$5:$AK$5,"Rem",$H$4:$AK$4,"&lt;"&amp;AE$4))))</f>
        <v/>
      </c>
      <c r="AF86" s="33">
        <f>AH85*(1+N(Debts!$D$14)/1200)</f>
        <v/>
      </c>
      <c r="AG86" s="33">
        <f>AF86-MIN(N(Debts!$E$14),AF86)</f>
        <v/>
      </c>
      <c r="AH86" s="33">
        <f>IF(AG86&lt;=0.005,0,AG86-MIN(AG86,MAX(0,$E86-SUMIFS(H86:AK86,$H$5:$AK$5,"Rem",$H$4:$AK$4,"&lt;"&amp;AH$4))))</f>
        <v/>
      </c>
      <c r="AI86" s="33">
        <f>AK85*(1+N(Debts!$D$15)/1200)</f>
        <v/>
      </c>
      <c r="AJ86" s="33">
        <f>AI86-MIN(N(Debts!$E$15),AI86)</f>
        <v/>
      </c>
      <c r="AK86" s="33">
        <f>IF(AJ86&lt;=0.005,0,AJ86-MIN(AJ86,MAX(0,$E86-SUMIFS(H86:AK86,$H$5:$AK$5,"Rem",$H$4:$AK$4,"&lt;"&amp;AK$4))))</f>
        <v/>
      </c>
      <c r="AL86" s="1" t="n"/>
    </row>
    <row r="87">
      <c r="A87" s="1" t="n"/>
      <c r="B87" s="1" t="n">
        <v>80</v>
      </c>
      <c r="C87" s="34">
        <f>EDATE(Debts!$J$13,B87-1)</f>
        <v/>
      </c>
      <c r="D87" s="33">
        <f>IF(G86&lt;=0.005,0,Debts!$E$16+Debts!$J$7)</f>
        <v/>
      </c>
      <c r="E87" s="33">
        <f>MAX(0,D87-(SUMIF($H$5:$AK$5,"Due",H87:AK87)-SUMIF($H$5:$AK$5,"Rem",H87:AK87)))</f>
        <v/>
      </c>
      <c r="F87" s="33">
        <f>SUMIF($H$5:$AK$5,"Due",H87:AK87)-SUMIF($H$5:$AK$5,"Bal",H86:AK86)</f>
        <v/>
      </c>
      <c r="G87" s="33">
        <f>SUMIF($H$5:$AK$5,"Bal",H87:AK87)</f>
        <v/>
      </c>
      <c r="H87" s="33">
        <f>J86*(1+N(Debts!$D$6)/1200)</f>
        <v/>
      </c>
      <c r="I87" s="33">
        <f>H87-MIN(N(Debts!$E$6),H87)</f>
        <v/>
      </c>
      <c r="J87" s="33">
        <f>IF(I87&lt;=0.005,0,I87-MIN(I87,MAX(0,$E87-SUMIFS(H87:AK87,$H$5:$AK$5,"Rem",$H$4:$AK$4,"&lt;"&amp;J$4))))</f>
        <v/>
      </c>
      <c r="K87" s="33">
        <f>M86*(1+N(Debts!$D$7)/1200)</f>
        <v/>
      </c>
      <c r="L87" s="33">
        <f>K87-MIN(N(Debts!$E$7),K87)</f>
        <v/>
      </c>
      <c r="M87" s="33">
        <f>IF(L87&lt;=0.005,0,L87-MIN(L87,MAX(0,$E87-SUMIFS(H87:AK87,$H$5:$AK$5,"Rem",$H$4:$AK$4,"&lt;"&amp;M$4))))</f>
        <v/>
      </c>
      <c r="N87" s="33">
        <f>P86*(1+N(Debts!$D$8)/1200)</f>
        <v/>
      </c>
      <c r="O87" s="33">
        <f>N87-MIN(N(Debts!$E$8),N87)</f>
        <v/>
      </c>
      <c r="P87" s="33">
        <f>IF(O87&lt;=0.005,0,O87-MIN(O87,MAX(0,$E87-SUMIFS(H87:AK87,$H$5:$AK$5,"Rem",$H$4:$AK$4,"&lt;"&amp;P$4))))</f>
        <v/>
      </c>
      <c r="Q87" s="33">
        <f>S86*(1+N(Debts!$D$9)/1200)</f>
        <v/>
      </c>
      <c r="R87" s="33">
        <f>Q87-MIN(N(Debts!$E$9),Q87)</f>
        <v/>
      </c>
      <c r="S87" s="33">
        <f>IF(R87&lt;=0.005,0,R87-MIN(R87,MAX(0,$E87-SUMIFS(H87:AK87,$H$5:$AK$5,"Rem",$H$4:$AK$4,"&lt;"&amp;S$4))))</f>
        <v/>
      </c>
      <c r="T87" s="33">
        <f>V86*(1+N(Debts!$D$10)/1200)</f>
        <v/>
      </c>
      <c r="U87" s="33">
        <f>T87-MIN(N(Debts!$E$10),T87)</f>
        <v/>
      </c>
      <c r="V87" s="33">
        <f>IF(U87&lt;=0.005,0,U87-MIN(U87,MAX(0,$E87-SUMIFS(H87:AK87,$H$5:$AK$5,"Rem",$H$4:$AK$4,"&lt;"&amp;V$4))))</f>
        <v/>
      </c>
      <c r="W87" s="33">
        <f>Y86*(1+N(Debts!$D$11)/1200)</f>
        <v/>
      </c>
      <c r="X87" s="33">
        <f>W87-MIN(N(Debts!$E$11),W87)</f>
        <v/>
      </c>
      <c r="Y87" s="33">
        <f>IF(X87&lt;=0.005,0,X87-MIN(X87,MAX(0,$E87-SUMIFS(H87:AK87,$H$5:$AK$5,"Rem",$H$4:$AK$4,"&lt;"&amp;Y$4))))</f>
        <v/>
      </c>
      <c r="Z87" s="33">
        <f>AB86*(1+N(Debts!$D$12)/1200)</f>
        <v/>
      </c>
      <c r="AA87" s="33">
        <f>Z87-MIN(N(Debts!$E$12),Z87)</f>
        <v/>
      </c>
      <c r="AB87" s="33">
        <f>IF(AA87&lt;=0.005,0,AA87-MIN(AA87,MAX(0,$E87-SUMIFS(H87:AK87,$H$5:$AK$5,"Rem",$H$4:$AK$4,"&lt;"&amp;AB$4))))</f>
        <v/>
      </c>
      <c r="AC87" s="33">
        <f>AE86*(1+N(Debts!$D$13)/1200)</f>
        <v/>
      </c>
      <c r="AD87" s="33">
        <f>AC87-MIN(N(Debts!$E$13),AC87)</f>
        <v/>
      </c>
      <c r="AE87" s="33">
        <f>IF(AD87&lt;=0.005,0,AD87-MIN(AD87,MAX(0,$E87-SUMIFS(H87:AK87,$H$5:$AK$5,"Rem",$H$4:$AK$4,"&lt;"&amp;AE$4))))</f>
        <v/>
      </c>
      <c r="AF87" s="33">
        <f>AH86*(1+N(Debts!$D$14)/1200)</f>
        <v/>
      </c>
      <c r="AG87" s="33">
        <f>AF87-MIN(N(Debts!$E$14),AF87)</f>
        <v/>
      </c>
      <c r="AH87" s="33">
        <f>IF(AG87&lt;=0.005,0,AG87-MIN(AG87,MAX(0,$E87-SUMIFS(H87:AK87,$H$5:$AK$5,"Rem",$H$4:$AK$4,"&lt;"&amp;AH$4))))</f>
        <v/>
      </c>
      <c r="AI87" s="33">
        <f>AK86*(1+N(Debts!$D$15)/1200)</f>
        <v/>
      </c>
      <c r="AJ87" s="33">
        <f>AI87-MIN(N(Debts!$E$15),AI87)</f>
        <v/>
      </c>
      <c r="AK87" s="33">
        <f>IF(AJ87&lt;=0.005,0,AJ87-MIN(AJ87,MAX(0,$E87-SUMIFS(H87:AK87,$H$5:$AK$5,"Rem",$H$4:$AK$4,"&lt;"&amp;AK$4))))</f>
        <v/>
      </c>
      <c r="AL87" s="1" t="n"/>
    </row>
    <row r="88">
      <c r="A88" s="1" t="n"/>
      <c r="B88" s="1" t="n">
        <v>81</v>
      </c>
      <c r="C88" s="34">
        <f>EDATE(Debts!$J$13,B88-1)</f>
        <v/>
      </c>
      <c r="D88" s="33">
        <f>IF(G87&lt;=0.005,0,Debts!$E$16+Debts!$J$7)</f>
        <v/>
      </c>
      <c r="E88" s="33">
        <f>MAX(0,D88-(SUMIF($H$5:$AK$5,"Due",H88:AK88)-SUMIF($H$5:$AK$5,"Rem",H88:AK88)))</f>
        <v/>
      </c>
      <c r="F88" s="33">
        <f>SUMIF($H$5:$AK$5,"Due",H88:AK88)-SUMIF($H$5:$AK$5,"Bal",H87:AK87)</f>
        <v/>
      </c>
      <c r="G88" s="33">
        <f>SUMIF($H$5:$AK$5,"Bal",H88:AK88)</f>
        <v/>
      </c>
      <c r="H88" s="33">
        <f>J87*(1+N(Debts!$D$6)/1200)</f>
        <v/>
      </c>
      <c r="I88" s="33">
        <f>H88-MIN(N(Debts!$E$6),H88)</f>
        <v/>
      </c>
      <c r="J88" s="33">
        <f>IF(I88&lt;=0.005,0,I88-MIN(I88,MAX(0,$E88-SUMIFS(H88:AK88,$H$5:$AK$5,"Rem",$H$4:$AK$4,"&lt;"&amp;J$4))))</f>
        <v/>
      </c>
      <c r="K88" s="33">
        <f>M87*(1+N(Debts!$D$7)/1200)</f>
        <v/>
      </c>
      <c r="L88" s="33">
        <f>K88-MIN(N(Debts!$E$7),K88)</f>
        <v/>
      </c>
      <c r="M88" s="33">
        <f>IF(L88&lt;=0.005,0,L88-MIN(L88,MAX(0,$E88-SUMIFS(H88:AK88,$H$5:$AK$5,"Rem",$H$4:$AK$4,"&lt;"&amp;M$4))))</f>
        <v/>
      </c>
      <c r="N88" s="33">
        <f>P87*(1+N(Debts!$D$8)/1200)</f>
        <v/>
      </c>
      <c r="O88" s="33">
        <f>N88-MIN(N(Debts!$E$8),N88)</f>
        <v/>
      </c>
      <c r="P88" s="33">
        <f>IF(O88&lt;=0.005,0,O88-MIN(O88,MAX(0,$E88-SUMIFS(H88:AK88,$H$5:$AK$5,"Rem",$H$4:$AK$4,"&lt;"&amp;P$4))))</f>
        <v/>
      </c>
      <c r="Q88" s="33">
        <f>S87*(1+N(Debts!$D$9)/1200)</f>
        <v/>
      </c>
      <c r="R88" s="33">
        <f>Q88-MIN(N(Debts!$E$9),Q88)</f>
        <v/>
      </c>
      <c r="S88" s="33">
        <f>IF(R88&lt;=0.005,0,R88-MIN(R88,MAX(0,$E88-SUMIFS(H88:AK88,$H$5:$AK$5,"Rem",$H$4:$AK$4,"&lt;"&amp;S$4))))</f>
        <v/>
      </c>
      <c r="T88" s="33">
        <f>V87*(1+N(Debts!$D$10)/1200)</f>
        <v/>
      </c>
      <c r="U88" s="33">
        <f>T88-MIN(N(Debts!$E$10),T88)</f>
        <v/>
      </c>
      <c r="V88" s="33">
        <f>IF(U88&lt;=0.005,0,U88-MIN(U88,MAX(0,$E88-SUMIFS(H88:AK88,$H$5:$AK$5,"Rem",$H$4:$AK$4,"&lt;"&amp;V$4))))</f>
        <v/>
      </c>
      <c r="W88" s="33">
        <f>Y87*(1+N(Debts!$D$11)/1200)</f>
        <v/>
      </c>
      <c r="X88" s="33">
        <f>W88-MIN(N(Debts!$E$11),W88)</f>
        <v/>
      </c>
      <c r="Y88" s="33">
        <f>IF(X88&lt;=0.005,0,X88-MIN(X88,MAX(0,$E88-SUMIFS(H88:AK88,$H$5:$AK$5,"Rem",$H$4:$AK$4,"&lt;"&amp;Y$4))))</f>
        <v/>
      </c>
      <c r="Z88" s="33">
        <f>AB87*(1+N(Debts!$D$12)/1200)</f>
        <v/>
      </c>
      <c r="AA88" s="33">
        <f>Z88-MIN(N(Debts!$E$12),Z88)</f>
        <v/>
      </c>
      <c r="AB88" s="33">
        <f>IF(AA88&lt;=0.005,0,AA88-MIN(AA88,MAX(0,$E88-SUMIFS(H88:AK88,$H$5:$AK$5,"Rem",$H$4:$AK$4,"&lt;"&amp;AB$4))))</f>
        <v/>
      </c>
      <c r="AC88" s="33">
        <f>AE87*(1+N(Debts!$D$13)/1200)</f>
        <v/>
      </c>
      <c r="AD88" s="33">
        <f>AC88-MIN(N(Debts!$E$13),AC88)</f>
        <v/>
      </c>
      <c r="AE88" s="33">
        <f>IF(AD88&lt;=0.005,0,AD88-MIN(AD88,MAX(0,$E88-SUMIFS(H88:AK88,$H$5:$AK$5,"Rem",$H$4:$AK$4,"&lt;"&amp;AE$4))))</f>
        <v/>
      </c>
      <c r="AF88" s="33">
        <f>AH87*(1+N(Debts!$D$14)/1200)</f>
        <v/>
      </c>
      <c r="AG88" s="33">
        <f>AF88-MIN(N(Debts!$E$14),AF88)</f>
        <v/>
      </c>
      <c r="AH88" s="33">
        <f>IF(AG88&lt;=0.005,0,AG88-MIN(AG88,MAX(0,$E88-SUMIFS(H88:AK88,$H$5:$AK$5,"Rem",$H$4:$AK$4,"&lt;"&amp;AH$4))))</f>
        <v/>
      </c>
      <c r="AI88" s="33">
        <f>AK87*(1+N(Debts!$D$15)/1200)</f>
        <v/>
      </c>
      <c r="AJ88" s="33">
        <f>AI88-MIN(N(Debts!$E$15),AI88)</f>
        <v/>
      </c>
      <c r="AK88" s="33">
        <f>IF(AJ88&lt;=0.005,0,AJ88-MIN(AJ88,MAX(0,$E88-SUMIFS(H88:AK88,$H$5:$AK$5,"Rem",$H$4:$AK$4,"&lt;"&amp;AK$4))))</f>
        <v/>
      </c>
      <c r="AL88" s="1" t="n"/>
    </row>
    <row r="89">
      <c r="A89" s="1" t="n"/>
      <c r="B89" s="1" t="n">
        <v>82</v>
      </c>
      <c r="C89" s="34">
        <f>EDATE(Debts!$J$13,B89-1)</f>
        <v/>
      </c>
      <c r="D89" s="33">
        <f>IF(G88&lt;=0.005,0,Debts!$E$16+Debts!$J$7)</f>
        <v/>
      </c>
      <c r="E89" s="33">
        <f>MAX(0,D89-(SUMIF($H$5:$AK$5,"Due",H89:AK89)-SUMIF($H$5:$AK$5,"Rem",H89:AK89)))</f>
        <v/>
      </c>
      <c r="F89" s="33">
        <f>SUMIF($H$5:$AK$5,"Due",H89:AK89)-SUMIF($H$5:$AK$5,"Bal",H88:AK88)</f>
        <v/>
      </c>
      <c r="G89" s="33">
        <f>SUMIF($H$5:$AK$5,"Bal",H89:AK89)</f>
        <v/>
      </c>
      <c r="H89" s="33">
        <f>J88*(1+N(Debts!$D$6)/1200)</f>
        <v/>
      </c>
      <c r="I89" s="33">
        <f>H89-MIN(N(Debts!$E$6),H89)</f>
        <v/>
      </c>
      <c r="J89" s="33">
        <f>IF(I89&lt;=0.005,0,I89-MIN(I89,MAX(0,$E89-SUMIFS(H89:AK89,$H$5:$AK$5,"Rem",$H$4:$AK$4,"&lt;"&amp;J$4))))</f>
        <v/>
      </c>
      <c r="K89" s="33">
        <f>M88*(1+N(Debts!$D$7)/1200)</f>
        <v/>
      </c>
      <c r="L89" s="33">
        <f>K89-MIN(N(Debts!$E$7),K89)</f>
        <v/>
      </c>
      <c r="M89" s="33">
        <f>IF(L89&lt;=0.005,0,L89-MIN(L89,MAX(0,$E89-SUMIFS(H89:AK89,$H$5:$AK$5,"Rem",$H$4:$AK$4,"&lt;"&amp;M$4))))</f>
        <v/>
      </c>
      <c r="N89" s="33">
        <f>P88*(1+N(Debts!$D$8)/1200)</f>
        <v/>
      </c>
      <c r="O89" s="33">
        <f>N89-MIN(N(Debts!$E$8),N89)</f>
        <v/>
      </c>
      <c r="P89" s="33">
        <f>IF(O89&lt;=0.005,0,O89-MIN(O89,MAX(0,$E89-SUMIFS(H89:AK89,$H$5:$AK$5,"Rem",$H$4:$AK$4,"&lt;"&amp;P$4))))</f>
        <v/>
      </c>
      <c r="Q89" s="33">
        <f>S88*(1+N(Debts!$D$9)/1200)</f>
        <v/>
      </c>
      <c r="R89" s="33">
        <f>Q89-MIN(N(Debts!$E$9),Q89)</f>
        <v/>
      </c>
      <c r="S89" s="33">
        <f>IF(R89&lt;=0.005,0,R89-MIN(R89,MAX(0,$E89-SUMIFS(H89:AK89,$H$5:$AK$5,"Rem",$H$4:$AK$4,"&lt;"&amp;S$4))))</f>
        <v/>
      </c>
      <c r="T89" s="33">
        <f>V88*(1+N(Debts!$D$10)/1200)</f>
        <v/>
      </c>
      <c r="U89" s="33">
        <f>T89-MIN(N(Debts!$E$10),T89)</f>
        <v/>
      </c>
      <c r="V89" s="33">
        <f>IF(U89&lt;=0.005,0,U89-MIN(U89,MAX(0,$E89-SUMIFS(H89:AK89,$H$5:$AK$5,"Rem",$H$4:$AK$4,"&lt;"&amp;V$4))))</f>
        <v/>
      </c>
      <c r="W89" s="33">
        <f>Y88*(1+N(Debts!$D$11)/1200)</f>
        <v/>
      </c>
      <c r="X89" s="33">
        <f>W89-MIN(N(Debts!$E$11),W89)</f>
        <v/>
      </c>
      <c r="Y89" s="33">
        <f>IF(X89&lt;=0.005,0,X89-MIN(X89,MAX(0,$E89-SUMIFS(H89:AK89,$H$5:$AK$5,"Rem",$H$4:$AK$4,"&lt;"&amp;Y$4))))</f>
        <v/>
      </c>
      <c r="Z89" s="33">
        <f>AB88*(1+N(Debts!$D$12)/1200)</f>
        <v/>
      </c>
      <c r="AA89" s="33">
        <f>Z89-MIN(N(Debts!$E$12),Z89)</f>
        <v/>
      </c>
      <c r="AB89" s="33">
        <f>IF(AA89&lt;=0.005,0,AA89-MIN(AA89,MAX(0,$E89-SUMIFS(H89:AK89,$H$5:$AK$5,"Rem",$H$4:$AK$4,"&lt;"&amp;AB$4))))</f>
        <v/>
      </c>
      <c r="AC89" s="33">
        <f>AE88*(1+N(Debts!$D$13)/1200)</f>
        <v/>
      </c>
      <c r="AD89" s="33">
        <f>AC89-MIN(N(Debts!$E$13),AC89)</f>
        <v/>
      </c>
      <c r="AE89" s="33">
        <f>IF(AD89&lt;=0.005,0,AD89-MIN(AD89,MAX(0,$E89-SUMIFS(H89:AK89,$H$5:$AK$5,"Rem",$H$4:$AK$4,"&lt;"&amp;AE$4))))</f>
        <v/>
      </c>
      <c r="AF89" s="33">
        <f>AH88*(1+N(Debts!$D$14)/1200)</f>
        <v/>
      </c>
      <c r="AG89" s="33">
        <f>AF89-MIN(N(Debts!$E$14),AF89)</f>
        <v/>
      </c>
      <c r="AH89" s="33">
        <f>IF(AG89&lt;=0.005,0,AG89-MIN(AG89,MAX(0,$E89-SUMIFS(H89:AK89,$H$5:$AK$5,"Rem",$H$4:$AK$4,"&lt;"&amp;AH$4))))</f>
        <v/>
      </c>
      <c r="AI89" s="33">
        <f>AK88*(1+N(Debts!$D$15)/1200)</f>
        <v/>
      </c>
      <c r="AJ89" s="33">
        <f>AI89-MIN(N(Debts!$E$15),AI89)</f>
        <v/>
      </c>
      <c r="AK89" s="33">
        <f>IF(AJ89&lt;=0.005,0,AJ89-MIN(AJ89,MAX(0,$E89-SUMIFS(H89:AK89,$H$5:$AK$5,"Rem",$H$4:$AK$4,"&lt;"&amp;AK$4))))</f>
        <v/>
      </c>
      <c r="AL89" s="1" t="n"/>
    </row>
    <row r="90">
      <c r="A90" s="1" t="n"/>
      <c r="B90" s="1" t="n">
        <v>83</v>
      </c>
      <c r="C90" s="34">
        <f>EDATE(Debts!$J$13,B90-1)</f>
        <v/>
      </c>
      <c r="D90" s="33">
        <f>IF(G89&lt;=0.005,0,Debts!$E$16+Debts!$J$7)</f>
        <v/>
      </c>
      <c r="E90" s="33">
        <f>MAX(0,D90-(SUMIF($H$5:$AK$5,"Due",H90:AK90)-SUMIF($H$5:$AK$5,"Rem",H90:AK90)))</f>
        <v/>
      </c>
      <c r="F90" s="33">
        <f>SUMIF($H$5:$AK$5,"Due",H90:AK90)-SUMIF($H$5:$AK$5,"Bal",H89:AK89)</f>
        <v/>
      </c>
      <c r="G90" s="33">
        <f>SUMIF($H$5:$AK$5,"Bal",H90:AK90)</f>
        <v/>
      </c>
      <c r="H90" s="33">
        <f>J89*(1+N(Debts!$D$6)/1200)</f>
        <v/>
      </c>
      <c r="I90" s="33">
        <f>H90-MIN(N(Debts!$E$6),H90)</f>
        <v/>
      </c>
      <c r="J90" s="33">
        <f>IF(I90&lt;=0.005,0,I90-MIN(I90,MAX(0,$E90-SUMIFS(H90:AK90,$H$5:$AK$5,"Rem",$H$4:$AK$4,"&lt;"&amp;J$4))))</f>
        <v/>
      </c>
      <c r="K90" s="33">
        <f>M89*(1+N(Debts!$D$7)/1200)</f>
        <v/>
      </c>
      <c r="L90" s="33">
        <f>K90-MIN(N(Debts!$E$7),K90)</f>
        <v/>
      </c>
      <c r="M90" s="33">
        <f>IF(L90&lt;=0.005,0,L90-MIN(L90,MAX(0,$E90-SUMIFS(H90:AK90,$H$5:$AK$5,"Rem",$H$4:$AK$4,"&lt;"&amp;M$4))))</f>
        <v/>
      </c>
      <c r="N90" s="33">
        <f>P89*(1+N(Debts!$D$8)/1200)</f>
        <v/>
      </c>
      <c r="O90" s="33">
        <f>N90-MIN(N(Debts!$E$8),N90)</f>
        <v/>
      </c>
      <c r="P90" s="33">
        <f>IF(O90&lt;=0.005,0,O90-MIN(O90,MAX(0,$E90-SUMIFS(H90:AK90,$H$5:$AK$5,"Rem",$H$4:$AK$4,"&lt;"&amp;P$4))))</f>
        <v/>
      </c>
      <c r="Q90" s="33">
        <f>S89*(1+N(Debts!$D$9)/1200)</f>
        <v/>
      </c>
      <c r="R90" s="33">
        <f>Q90-MIN(N(Debts!$E$9),Q90)</f>
        <v/>
      </c>
      <c r="S90" s="33">
        <f>IF(R90&lt;=0.005,0,R90-MIN(R90,MAX(0,$E90-SUMIFS(H90:AK90,$H$5:$AK$5,"Rem",$H$4:$AK$4,"&lt;"&amp;S$4))))</f>
        <v/>
      </c>
      <c r="T90" s="33">
        <f>V89*(1+N(Debts!$D$10)/1200)</f>
        <v/>
      </c>
      <c r="U90" s="33">
        <f>T90-MIN(N(Debts!$E$10),T90)</f>
        <v/>
      </c>
      <c r="V90" s="33">
        <f>IF(U90&lt;=0.005,0,U90-MIN(U90,MAX(0,$E90-SUMIFS(H90:AK90,$H$5:$AK$5,"Rem",$H$4:$AK$4,"&lt;"&amp;V$4))))</f>
        <v/>
      </c>
      <c r="W90" s="33">
        <f>Y89*(1+N(Debts!$D$11)/1200)</f>
        <v/>
      </c>
      <c r="X90" s="33">
        <f>W90-MIN(N(Debts!$E$11),W90)</f>
        <v/>
      </c>
      <c r="Y90" s="33">
        <f>IF(X90&lt;=0.005,0,X90-MIN(X90,MAX(0,$E90-SUMIFS(H90:AK90,$H$5:$AK$5,"Rem",$H$4:$AK$4,"&lt;"&amp;Y$4))))</f>
        <v/>
      </c>
      <c r="Z90" s="33">
        <f>AB89*(1+N(Debts!$D$12)/1200)</f>
        <v/>
      </c>
      <c r="AA90" s="33">
        <f>Z90-MIN(N(Debts!$E$12),Z90)</f>
        <v/>
      </c>
      <c r="AB90" s="33">
        <f>IF(AA90&lt;=0.005,0,AA90-MIN(AA90,MAX(0,$E90-SUMIFS(H90:AK90,$H$5:$AK$5,"Rem",$H$4:$AK$4,"&lt;"&amp;AB$4))))</f>
        <v/>
      </c>
      <c r="AC90" s="33">
        <f>AE89*(1+N(Debts!$D$13)/1200)</f>
        <v/>
      </c>
      <c r="AD90" s="33">
        <f>AC90-MIN(N(Debts!$E$13),AC90)</f>
        <v/>
      </c>
      <c r="AE90" s="33">
        <f>IF(AD90&lt;=0.005,0,AD90-MIN(AD90,MAX(0,$E90-SUMIFS(H90:AK90,$H$5:$AK$5,"Rem",$H$4:$AK$4,"&lt;"&amp;AE$4))))</f>
        <v/>
      </c>
      <c r="AF90" s="33">
        <f>AH89*(1+N(Debts!$D$14)/1200)</f>
        <v/>
      </c>
      <c r="AG90" s="33">
        <f>AF90-MIN(N(Debts!$E$14),AF90)</f>
        <v/>
      </c>
      <c r="AH90" s="33">
        <f>IF(AG90&lt;=0.005,0,AG90-MIN(AG90,MAX(0,$E90-SUMIFS(H90:AK90,$H$5:$AK$5,"Rem",$H$4:$AK$4,"&lt;"&amp;AH$4))))</f>
        <v/>
      </c>
      <c r="AI90" s="33">
        <f>AK89*(1+N(Debts!$D$15)/1200)</f>
        <v/>
      </c>
      <c r="AJ90" s="33">
        <f>AI90-MIN(N(Debts!$E$15),AI90)</f>
        <v/>
      </c>
      <c r="AK90" s="33">
        <f>IF(AJ90&lt;=0.005,0,AJ90-MIN(AJ90,MAX(0,$E90-SUMIFS(H90:AK90,$H$5:$AK$5,"Rem",$H$4:$AK$4,"&lt;"&amp;AK$4))))</f>
        <v/>
      </c>
      <c r="AL90" s="1" t="n"/>
    </row>
    <row r="91">
      <c r="A91" s="1" t="n"/>
      <c r="B91" s="1" t="n">
        <v>84</v>
      </c>
      <c r="C91" s="34">
        <f>EDATE(Debts!$J$13,B91-1)</f>
        <v/>
      </c>
      <c r="D91" s="33">
        <f>IF(G90&lt;=0.005,0,Debts!$E$16+Debts!$J$7)</f>
        <v/>
      </c>
      <c r="E91" s="33">
        <f>MAX(0,D91-(SUMIF($H$5:$AK$5,"Due",H91:AK91)-SUMIF($H$5:$AK$5,"Rem",H91:AK91)))</f>
        <v/>
      </c>
      <c r="F91" s="33">
        <f>SUMIF($H$5:$AK$5,"Due",H91:AK91)-SUMIF($H$5:$AK$5,"Bal",H90:AK90)</f>
        <v/>
      </c>
      <c r="G91" s="33">
        <f>SUMIF($H$5:$AK$5,"Bal",H91:AK91)</f>
        <v/>
      </c>
      <c r="H91" s="33">
        <f>J90*(1+N(Debts!$D$6)/1200)</f>
        <v/>
      </c>
      <c r="I91" s="33">
        <f>H91-MIN(N(Debts!$E$6),H91)</f>
        <v/>
      </c>
      <c r="J91" s="33">
        <f>IF(I91&lt;=0.005,0,I91-MIN(I91,MAX(0,$E91-SUMIFS(H91:AK91,$H$5:$AK$5,"Rem",$H$4:$AK$4,"&lt;"&amp;J$4))))</f>
        <v/>
      </c>
      <c r="K91" s="33">
        <f>M90*(1+N(Debts!$D$7)/1200)</f>
        <v/>
      </c>
      <c r="L91" s="33">
        <f>K91-MIN(N(Debts!$E$7),K91)</f>
        <v/>
      </c>
      <c r="M91" s="33">
        <f>IF(L91&lt;=0.005,0,L91-MIN(L91,MAX(0,$E91-SUMIFS(H91:AK91,$H$5:$AK$5,"Rem",$H$4:$AK$4,"&lt;"&amp;M$4))))</f>
        <v/>
      </c>
      <c r="N91" s="33">
        <f>P90*(1+N(Debts!$D$8)/1200)</f>
        <v/>
      </c>
      <c r="O91" s="33">
        <f>N91-MIN(N(Debts!$E$8),N91)</f>
        <v/>
      </c>
      <c r="P91" s="33">
        <f>IF(O91&lt;=0.005,0,O91-MIN(O91,MAX(0,$E91-SUMIFS(H91:AK91,$H$5:$AK$5,"Rem",$H$4:$AK$4,"&lt;"&amp;P$4))))</f>
        <v/>
      </c>
      <c r="Q91" s="33">
        <f>S90*(1+N(Debts!$D$9)/1200)</f>
        <v/>
      </c>
      <c r="R91" s="33">
        <f>Q91-MIN(N(Debts!$E$9),Q91)</f>
        <v/>
      </c>
      <c r="S91" s="33">
        <f>IF(R91&lt;=0.005,0,R91-MIN(R91,MAX(0,$E91-SUMIFS(H91:AK91,$H$5:$AK$5,"Rem",$H$4:$AK$4,"&lt;"&amp;S$4))))</f>
        <v/>
      </c>
      <c r="T91" s="33">
        <f>V90*(1+N(Debts!$D$10)/1200)</f>
        <v/>
      </c>
      <c r="U91" s="33">
        <f>T91-MIN(N(Debts!$E$10),T91)</f>
        <v/>
      </c>
      <c r="V91" s="33">
        <f>IF(U91&lt;=0.005,0,U91-MIN(U91,MAX(0,$E91-SUMIFS(H91:AK91,$H$5:$AK$5,"Rem",$H$4:$AK$4,"&lt;"&amp;V$4))))</f>
        <v/>
      </c>
      <c r="W91" s="33">
        <f>Y90*(1+N(Debts!$D$11)/1200)</f>
        <v/>
      </c>
      <c r="X91" s="33">
        <f>W91-MIN(N(Debts!$E$11),W91)</f>
        <v/>
      </c>
      <c r="Y91" s="33">
        <f>IF(X91&lt;=0.005,0,X91-MIN(X91,MAX(0,$E91-SUMIFS(H91:AK91,$H$5:$AK$5,"Rem",$H$4:$AK$4,"&lt;"&amp;Y$4))))</f>
        <v/>
      </c>
      <c r="Z91" s="33">
        <f>AB90*(1+N(Debts!$D$12)/1200)</f>
        <v/>
      </c>
      <c r="AA91" s="33">
        <f>Z91-MIN(N(Debts!$E$12),Z91)</f>
        <v/>
      </c>
      <c r="AB91" s="33">
        <f>IF(AA91&lt;=0.005,0,AA91-MIN(AA91,MAX(0,$E91-SUMIFS(H91:AK91,$H$5:$AK$5,"Rem",$H$4:$AK$4,"&lt;"&amp;AB$4))))</f>
        <v/>
      </c>
      <c r="AC91" s="33">
        <f>AE90*(1+N(Debts!$D$13)/1200)</f>
        <v/>
      </c>
      <c r="AD91" s="33">
        <f>AC91-MIN(N(Debts!$E$13),AC91)</f>
        <v/>
      </c>
      <c r="AE91" s="33">
        <f>IF(AD91&lt;=0.005,0,AD91-MIN(AD91,MAX(0,$E91-SUMIFS(H91:AK91,$H$5:$AK$5,"Rem",$H$4:$AK$4,"&lt;"&amp;AE$4))))</f>
        <v/>
      </c>
      <c r="AF91" s="33">
        <f>AH90*(1+N(Debts!$D$14)/1200)</f>
        <v/>
      </c>
      <c r="AG91" s="33">
        <f>AF91-MIN(N(Debts!$E$14),AF91)</f>
        <v/>
      </c>
      <c r="AH91" s="33">
        <f>IF(AG91&lt;=0.005,0,AG91-MIN(AG91,MAX(0,$E91-SUMIFS(H91:AK91,$H$5:$AK$5,"Rem",$H$4:$AK$4,"&lt;"&amp;AH$4))))</f>
        <v/>
      </c>
      <c r="AI91" s="33">
        <f>AK90*(1+N(Debts!$D$15)/1200)</f>
        <v/>
      </c>
      <c r="AJ91" s="33">
        <f>AI91-MIN(N(Debts!$E$15),AI91)</f>
        <v/>
      </c>
      <c r="AK91" s="33">
        <f>IF(AJ91&lt;=0.005,0,AJ91-MIN(AJ91,MAX(0,$E91-SUMIFS(H91:AK91,$H$5:$AK$5,"Rem",$H$4:$AK$4,"&lt;"&amp;AK$4))))</f>
        <v/>
      </c>
      <c r="AL91" s="1" t="n"/>
    </row>
    <row r="92">
      <c r="A92" s="1" t="n"/>
      <c r="B92" s="1" t="n">
        <v>85</v>
      </c>
      <c r="C92" s="34">
        <f>EDATE(Debts!$J$13,B92-1)</f>
        <v/>
      </c>
      <c r="D92" s="33">
        <f>IF(G91&lt;=0.005,0,Debts!$E$16+Debts!$J$7)</f>
        <v/>
      </c>
      <c r="E92" s="33">
        <f>MAX(0,D92-(SUMIF($H$5:$AK$5,"Due",H92:AK92)-SUMIF($H$5:$AK$5,"Rem",H92:AK92)))</f>
        <v/>
      </c>
      <c r="F92" s="33">
        <f>SUMIF($H$5:$AK$5,"Due",H92:AK92)-SUMIF($H$5:$AK$5,"Bal",H91:AK91)</f>
        <v/>
      </c>
      <c r="G92" s="33">
        <f>SUMIF($H$5:$AK$5,"Bal",H92:AK92)</f>
        <v/>
      </c>
      <c r="H92" s="33">
        <f>J91*(1+N(Debts!$D$6)/1200)</f>
        <v/>
      </c>
      <c r="I92" s="33">
        <f>H92-MIN(N(Debts!$E$6),H92)</f>
        <v/>
      </c>
      <c r="J92" s="33">
        <f>IF(I92&lt;=0.005,0,I92-MIN(I92,MAX(0,$E92-SUMIFS(H92:AK92,$H$5:$AK$5,"Rem",$H$4:$AK$4,"&lt;"&amp;J$4))))</f>
        <v/>
      </c>
      <c r="K92" s="33">
        <f>M91*(1+N(Debts!$D$7)/1200)</f>
        <v/>
      </c>
      <c r="L92" s="33">
        <f>K92-MIN(N(Debts!$E$7),K92)</f>
        <v/>
      </c>
      <c r="M92" s="33">
        <f>IF(L92&lt;=0.005,0,L92-MIN(L92,MAX(0,$E92-SUMIFS(H92:AK92,$H$5:$AK$5,"Rem",$H$4:$AK$4,"&lt;"&amp;M$4))))</f>
        <v/>
      </c>
      <c r="N92" s="33">
        <f>P91*(1+N(Debts!$D$8)/1200)</f>
        <v/>
      </c>
      <c r="O92" s="33">
        <f>N92-MIN(N(Debts!$E$8),N92)</f>
        <v/>
      </c>
      <c r="P92" s="33">
        <f>IF(O92&lt;=0.005,0,O92-MIN(O92,MAX(0,$E92-SUMIFS(H92:AK92,$H$5:$AK$5,"Rem",$H$4:$AK$4,"&lt;"&amp;P$4))))</f>
        <v/>
      </c>
      <c r="Q92" s="33">
        <f>S91*(1+N(Debts!$D$9)/1200)</f>
        <v/>
      </c>
      <c r="R92" s="33">
        <f>Q92-MIN(N(Debts!$E$9),Q92)</f>
        <v/>
      </c>
      <c r="S92" s="33">
        <f>IF(R92&lt;=0.005,0,R92-MIN(R92,MAX(0,$E92-SUMIFS(H92:AK92,$H$5:$AK$5,"Rem",$H$4:$AK$4,"&lt;"&amp;S$4))))</f>
        <v/>
      </c>
      <c r="T92" s="33">
        <f>V91*(1+N(Debts!$D$10)/1200)</f>
        <v/>
      </c>
      <c r="U92" s="33">
        <f>T92-MIN(N(Debts!$E$10),T92)</f>
        <v/>
      </c>
      <c r="V92" s="33">
        <f>IF(U92&lt;=0.005,0,U92-MIN(U92,MAX(0,$E92-SUMIFS(H92:AK92,$H$5:$AK$5,"Rem",$H$4:$AK$4,"&lt;"&amp;V$4))))</f>
        <v/>
      </c>
      <c r="W92" s="33">
        <f>Y91*(1+N(Debts!$D$11)/1200)</f>
        <v/>
      </c>
      <c r="X92" s="33">
        <f>W92-MIN(N(Debts!$E$11),W92)</f>
        <v/>
      </c>
      <c r="Y92" s="33">
        <f>IF(X92&lt;=0.005,0,X92-MIN(X92,MAX(0,$E92-SUMIFS(H92:AK92,$H$5:$AK$5,"Rem",$H$4:$AK$4,"&lt;"&amp;Y$4))))</f>
        <v/>
      </c>
      <c r="Z92" s="33">
        <f>AB91*(1+N(Debts!$D$12)/1200)</f>
        <v/>
      </c>
      <c r="AA92" s="33">
        <f>Z92-MIN(N(Debts!$E$12),Z92)</f>
        <v/>
      </c>
      <c r="AB92" s="33">
        <f>IF(AA92&lt;=0.005,0,AA92-MIN(AA92,MAX(0,$E92-SUMIFS(H92:AK92,$H$5:$AK$5,"Rem",$H$4:$AK$4,"&lt;"&amp;AB$4))))</f>
        <v/>
      </c>
      <c r="AC92" s="33">
        <f>AE91*(1+N(Debts!$D$13)/1200)</f>
        <v/>
      </c>
      <c r="AD92" s="33">
        <f>AC92-MIN(N(Debts!$E$13),AC92)</f>
        <v/>
      </c>
      <c r="AE92" s="33">
        <f>IF(AD92&lt;=0.005,0,AD92-MIN(AD92,MAX(0,$E92-SUMIFS(H92:AK92,$H$5:$AK$5,"Rem",$H$4:$AK$4,"&lt;"&amp;AE$4))))</f>
        <v/>
      </c>
      <c r="AF92" s="33">
        <f>AH91*(1+N(Debts!$D$14)/1200)</f>
        <v/>
      </c>
      <c r="AG92" s="33">
        <f>AF92-MIN(N(Debts!$E$14),AF92)</f>
        <v/>
      </c>
      <c r="AH92" s="33">
        <f>IF(AG92&lt;=0.005,0,AG92-MIN(AG92,MAX(0,$E92-SUMIFS(H92:AK92,$H$5:$AK$5,"Rem",$H$4:$AK$4,"&lt;"&amp;AH$4))))</f>
        <v/>
      </c>
      <c r="AI92" s="33">
        <f>AK91*(1+N(Debts!$D$15)/1200)</f>
        <v/>
      </c>
      <c r="AJ92" s="33">
        <f>AI92-MIN(N(Debts!$E$15),AI92)</f>
        <v/>
      </c>
      <c r="AK92" s="33">
        <f>IF(AJ92&lt;=0.005,0,AJ92-MIN(AJ92,MAX(0,$E92-SUMIFS(H92:AK92,$H$5:$AK$5,"Rem",$H$4:$AK$4,"&lt;"&amp;AK$4))))</f>
        <v/>
      </c>
      <c r="AL92" s="1" t="n"/>
    </row>
    <row r="93">
      <c r="A93" s="1" t="n"/>
      <c r="B93" s="1" t="n">
        <v>86</v>
      </c>
      <c r="C93" s="34">
        <f>EDATE(Debts!$J$13,B93-1)</f>
        <v/>
      </c>
      <c r="D93" s="33">
        <f>IF(G92&lt;=0.005,0,Debts!$E$16+Debts!$J$7)</f>
        <v/>
      </c>
      <c r="E93" s="33">
        <f>MAX(0,D93-(SUMIF($H$5:$AK$5,"Due",H93:AK93)-SUMIF($H$5:$AK$5,"Rem",H93:AK93)))</f>
        <v/>
      </c>
      <c r="F93" s="33">
        <f>SUMIF($H$5:$AK$5,"Due",H93:AK93)-SUMIF($H$5:$AK$5,"Bal",H92:AK92)</f>
        <v/>
      </c>
      <c r="G93" s="33">
        <f>SUMIF($H$5:$AK$5,"Bal",H93:AK93)</f>
        <v/>
      </c>
      <c r="H93" s="33">
        <f>J92*(1+N(Debts!$D$6)/1200)</f>
        <v/>
      </c>
      <c r="I93" s="33">
        <f>H93-MIN(N(Debts!$E$6),H93)</f>
        <v/>
      </c>
      <c r="J93" s="33">
        <f>IF(I93&lt;=0.005,0,I93-MIN(I93,MAX(0,$E93-SUMIFS(H93:AK93,$H$5:$AK$5,"Rem",$H$4:$AK$4,"&lt;"&amp;J$4))))</f>
        <v/>
      </c>
      <c r="K93" s="33">
        <f>M92*(1+N(Debts!$D$7)/1200)</f>
        <v/>
      </c>
      <c r="L93" s="33">
        <f>K93-MIN(N(Debts!$E$7),K93)</f>
        <v/>
      </c>
      <c r="M93" s="33">
        <f>IF(L93&lt;=0.005,0,L93-MIN(L93,MAX(0,$E93-SUMIFS(H93:AK93,$H$5:$AK$5,"Rem",$H$4:$AK$4,"&lt;"&amp;M$4))))</f>
        <v/>
      </c>
      <c r="N93" s="33">
        <f>P92*(1+N(Debts!$D$8)/1200)</f>
        <v/>
      </c>
      <c r="O93" s="33">
        <f>N93-MIN(N(Debts!$E$8),N93)</f>
        <v/>
      </c>
      <c r="P93" s="33">
        <f>IF(O93&lt;=0.005,0,O93-MIN(O93,MAX(0,$E93-SUMIFS(H93:AK93,$H$5:$AK$5,"Rem",$H$4:$AK$4,"&lt;"&amp;P$4))))</f>
        <v/>
      </c>
      <c r="Q93" s="33">
        <f>S92*(1+N(Debts!$D$9)/1200)</f>
        <v/>
      </c>
      <c r="R93" s="33">
        <f>Q93-MIN(N(Debts!$E$9),Q93)</f>
        <v/>
      </c>
      <c r="S93" s="33">
        <f>IF(R93&lt;=0.005,0,R93-MIN(R93,MAX(0,$E93-SUMIFS(H93:AK93,$H$5:$AK$5,"Rem",$H$4:$AK$4,"&lt;"&amp;S$4))))</f>
        <v/>
      </c>
      <c r="T93" s="33">
        <f>V92*(1+N(Debts!$D$10)/1200)</f>
        <v/>
      </c>
      <c r="U93" s="33">
        <f>T93-MIN(N(Debts!$E$10),T93)</f>
        <v/>
      </c>
      <c r="V93" s="33">
        <f>IF(U93&lt;=0.005,0,U93-MIN(U93,MAX(0,$E93-SUMIFS(H93:AK93,$H$5:$AK$5,"Rem",$H$4:$AK$4,"&lt;"&amp;V$4))))</f>
        <v/>
      </c>
      <c r="W93" s="33">
        <f>Y92*(1+N(Debts!$D$11)/1200)</f>
        <v/>
      </c>
      <c r="X93" s="33">
        <f>W93-MIN(N(Debts!$E$11),W93)</f>
        <v/>
      </c>
      <c r="Y93" s="33">
        <f>IF(X93&lt;=0.005,0,X93-MIN(X93,MAX(0,$E93-SUMIFS(H93:AK93,$H$5:$AK$5,"Rem",$H$4:$AK$4,"&lt;"&amp;Y$4))))</f>
        <v/>
      </c>
      <c r="Z93" s="33">
        <f>AB92*(1+N(Debts!$D$12)/1200)</f>
        <v/>
      </c>
      <c r="AA93" s="33">
        <f>Z93-MIN(N(Debts!$E$12),Z93)</f>
        <v/>
      </c>
      <c r="AB93" s="33">
        <f>IF(AA93&lt;=0.005,0,AA93-MIN(AA93,MAX(0,$E93-SUMIFS(H93:AK93,$H$5:$AK$5,"Rem",$H$4:$AK$4,"&lt;"&amp;AB$4))))</f>
        <v/>
      </c>
      <c r="AC93" s="33">
        <f>AE92*(1+N(Debts!$D$13)/1200)</f>
        <v/>
      </c>
      <c r="AD93" s="33">
        <f>AC93-MIN(N(Debts!$E$13),AC93)</f>
        <v/>
      </c>
      <c r="AE93" s="33">
        <f>IF(AD93&lt;=0.005,0,AD93-MIN(AD93,MAX(0,$E93-SUMIFS(H93:AK93,$H$5:$AK$5,"Rem",$H$4:$AK$4,"&lt;"&amp;AE$4))))</f>
        <v/>
      </c>
      <c r="AF93" s="33">
        <f>AH92*(1+N(Debts!$D$14)/1200)</f>
        <v/>
      </c>
      <c r="AG93" s="33">
        <f>AF93-MIN(N(Debts!$E$14),AF93)</f>
        <v/>
      </c>
      <c r="AH93" s="33">
        <f>IF(AG93&lt;=0.005,0,AG93-MIN(AG93,MAX(0,$E93-SUMIFS(H93:AK93,$H$5:$AK$5,"Rem",$H$4:$AK$4,"&lt;"&amp;AH$4))))</f>
        <v/>
      </c>
      <c r="AI93" s="33">
        <f>AK92*(1+N(Debts!$D$15)/1200)</f>
        <v/>
      </c>
      <c r="AJ93" s="33">
        <f>AI93-MIN(N(Debts!$E$15),AI93)</f>
        <v/>
      </c>
      <c r="AK93" s="33">
        <f>IF(AJ93&lt;=0.005,0,AJ93-MIN(AJ93,MAX(0,$E93-SUMIFS(H93:AK93,$H$5:$AK$5,"Rem",$H$4:$AK$4,"&lt;"&amp;AK$4))))</f>
        <v/>
      </c>
      <c r="AL93" s="1" t="n"/>
    </row>
    <row r="94">
      <c r="A94" s="1" t="n"/>
      <c r="B94" s="1" t="n">
        <v>87</v>
      </c>
      <c r="C94" s="34">
        <f>EDATE(Debts!$J$13,B94-1)</f>
        <v/>
      </c>
      <c r="D94" s="33">
        <f>IF(G93&lt;=0.005,0,Debts!$E$16+Debts!$J$7)</f>
        <v/>
      </c>
      <c r="E94" s="33">
        <f>MAX(0,D94-(SUMIF($H$5:$AK$5,"Due",H94:AK94)-SUMIF($H$5:$AK$5,"Rem",H94:AK94)))</f>
        <v/>
      </c>
      <c r="F94" s="33">
        <f>SUMIF($H$5:$AK$5,"Due",H94:AK94)-SUMIF($H$5:$AK$5,"Bal",H93:AK93)</f>
        <v/>
      </c>
      <c r="G94" s="33">
        <f>SUMIF($H$5:$AK$5,"Bal",H94:AK94)</f>
        <v/>
      </c>
      <c r="H94" s="33">
        <f>J93*(1+N(Debts!$D$6)/1200)</f>
        <v/>
      </c>
      <c r="I94" s="33">
        <f>H94-MIN(N(Debts!$E$6),H94)</f>
        <v/>
      </c>
      <c r="J94" s="33">
        <f>IF(I94&lt;=0.005,0,I94-MIN(I94,MAX(0,$E94-SUMIFS(H94:AK94,$H$5:$AK$5,"Rem",$H$4:$AK$4,"&lt;"&amp;J$4))))</f>
        <v/>
      </c>
      <c r="K94" s="33">
        <f>M93*(1+N(Debts!$D$7)/1200)</f>
        <v/>
      </c>
      <c r="L94" s="33">
        <f>K94-MIN(N(Debts!$E$7),K94)</f>
        <v/>
      </c>
      <c r="M94" s="33">
        <f>IF(L94&lt;=0.005,0,L94-MIN(L94,MAX(0,$E94-SUMIFS(H94:AK94,$H$5:$AK$5,"Rem",$H$4:$AK$4,"&lt;"&amp;M$4))))</f>
        <v/>
      </c>
      <c r="N94" s="33">
        <f>P93*(1+N(Debts!$D$8)/1200)</f>
        <v/>
      </c>
      <c r="O94" s="33">
        <f>N94-MIN(N(Debts!$E$8),N94)</f>
        <v/>
      </c>
      <c r="P94" s="33">
        <f>IF(O94&lt;=0.005,0,O94-MIN(O94,MAX(0,$E94-SUMIFS(H94:AK94,$H$5:$AK$5,"Rem",$H$4:$AK$4,"&lt;"&amp;P$4))))</f>
        <v/>
      </c>
      <c r="Q94" s="33">
        <f>S93*(1+N(Debts!$D$9)/1200)</f>
        <v/>
      </c>
      <c r="R94" s="33">
        <f>Q94-MIN(N(Debts!$E$9),Q94)</f>
        <v/>
      </c>
      <c r="S94" s="33">
        <f>IF(R94&lt;=0.005,0,R94-MIN(R94,MAX(0,$E94-SUMIFS(H94:AK94,$H$5:$AK$5,"Rem",$H$4:$AK$4,"&lt;"&amp;S$4))))</f>
        <v/>
      </c>
      <c r="T94" s="33">
        <f>V93*(1+N(Debts!$D$10)/1200)</f>
        <v/>
      </c>
      <c r="U94" s="33">
        <f>T94-MIN(N(Debts!$E$10),T94)</f>
        <v/>
      </c>
      <c r="V94" s="33">
        <f>IF(U94&lt;=0.005,0,U94-MIN(U94,MAX(0,$E94-SUMIFS(H94:AK94,$H$5:$AK$5,"Rem",$H$4:$AK$4,"&lt;"&amp;V$4))))</f>
        <v/>
      </c>
      <c r="W94" s="33">
        <f>Y93*(1+N(Debts!$D$11)/1200)</f>
        <v/>
      </c>
      <c r="X94" s="33">
        <f>W94-MIN(N(Debts!$E$11),W94)</f>
        <v/>
      </c>
      <c r="Y94" s="33">
        <f>IF(X94&lt;=0.005,0,X94-MIN(X94,MAX(0,$E94-SUMIFS(H94:AK94,$H$5:$AK$5,"Rem",$H$4:$AK$4,"&lt;"&amp;Y$4))))</f>
        <v/>
      </c>
      <c r="Z94" s="33">
        <f>AB93*(1+N(Debts!$D$12)/1200)</f>
        <v/>
      </c>
      <c r="AA94" s="33">
        <f>Z94-MIN(N(Debts!$E$12),Z94)</f>
        <v/>
      </c>
      <c r="AB94" s="33">
        <f>IF(AA94&lt;=0.005,0,AA94-MIN(AA94,MAX(0,$E94-SUMIFS(H94:AK94,$H$5:$AK$5,"Rem",$H$4:$AK$4,"&lt;"&amp;AB$4))))</f>
        <v/>
      </c>
      <c r="AC94" s="33">
        <f>AE93*(1+N(Debts!$D$13)/1200)</f>
        <v/>
      </c>
      <c r="AD94" s="33">
        <f>AC94-MIN(N(Debts!$E$13),AC94)</f>
        <v/>
      </c>
      <c r="AE94" s="33">
        <f>IF(AD94&lt;=0.005,0,AD94-MIN(AD94,MAX(0,$E94-SUMIFS(H94:AK94,$H$5:$AK$5,"Rem",$H$4:$AK$4,"&lt;"&amp;AE$4))))</f>
        <v/>
      </c>
      <c r="AF94" s="33">
        <f>AH93*(1+N(Debts!$D$14)/1200)</f>
        <v/>
      </c>
      <c r="AG94" s="33">
        <f>AF94-MIN(N(Debts!$E$14),AF94)</f>
        <v/>
      </c>
      <c r="AH94" s="33">
        <f>IF(AG94&lt;=0.005,0,AG94-MIN(AG94,MAX(0,$E94-SUMIFS(H94:AK94,$H$5:$AK$5,"Rem",$H$4:$AK$4,"&lt;"&amp;AH$4))))</f>
        <v/>
      </c>
      <c r="AI94" s="33">
        <f>AK93*(1+N(Debts!$D$15)/1200)</f>
        <v/>
      </c>
      <c r="AJ94" s="33">
        <f>AI94-MIN(N(Debts!$E$15),AI94)</f>
        <v/>
      </c>
      <c r="AK94" s="33">
        <f>IF(AJ94&lt;=0.005,0,AJ94-MIN(AJ94,MAX(0,$E94-SUMIFS(H94:AK94,$H$5:$AK$5,"Rem",$H$4:$AK$4,"&lt;"&amp;AK$4))))</f>
        <v/>
      </c>
      <c r="AL94" s="1" t="n"/>
    </row>
    <row r="95">
      <c r="A95" s="1" t="n"/>
      <c r="B95" s="1" t="n">
        <v>88</v>
      </c>
      <c r="C95" s="34">
        <f>EDATE(Debts!$J$13,B95-1)</f>
        <v/>
      </c>
      <c r="D95" s="33">
        <f>IF(G94&lt;=0.005,0,Debts!$E$16+Debts!$J$7)</f>
        <v/>
      </c>
      <c r="E95" s="33">
        <f>MAX(0,D95-(SUMIF($H$5:$AK$5,"Due",H95:AK95)-SUMIF($H$5:$AK$5,"Rem",H95:AK95)))</f>
        <v/>
      </c>
      <c r="F95" s="33">
        <f>SUMIF($H$5:$AK$5,"Due",H95:AK95)-SUMIF($H$5:$AK$5,"Bal",H94:AK94)</f>
        <v/>
      </c>
      <c r="G95" s="33">
        <f>SUMIF($H$5:$AK$5,"Bal",H95:AK95)</f>
        <v/>
      </c>
      <c r="H95" s="33">
        <f>J94*(1+N(Debts!$D$6)/1200)</f>
        <v/>
      </c>
      <c r="I95" s="33">
        <f>H95-MIN(N(Debts!$E$6),H95)</f>
        <v/>
      </c>
      <c r="J95" s="33">
        <f>IF(I95&lt;=0.005,0,I95-MIN(I95,MAX(0,$E95-SUMIFS(H95:AK95,$H$5:$AK$5,"Rem",$H$4:$AK$4,"&lt;"&amp;J$4))))</f>
        <v/>
      </c>
      <c r="K95" s="33">
        <f>M94*(1+N(Debts!$D$7)/1200)</f>
        <v/>
      </c>
      <c r="L95" s="33">
        <f>K95-MIN(N(Debts!$E$7),K95)</f>
        <v/>
      </c>
      <c r="M95" s="33">
        <f>IF(L95&lt;=0.005,0,L95-MIN(L95,MAX(0,$E95-SUMIFS(H95:AK95,$H$5:$AK$5,"Rem",$H$4:$AK$4,"&lt;"&amp;M$4))))</f>
        <v/>
      </c>
      <c r="N95" s="33">
        <f>P94*(1+N(Debts!$D$8)/1200)</f>
        <v/>
      </c>
      <c r="O95" s="33">
        <f>N95-MIN(N(Debts!$E$8),N95)</f>
        <v/>
      </c>
      <c r="P95" s="33">
        <f>IF(O95&lt;=0.005,0,O95-MIN(O95,MAX(0,$E95-SUMIFS(H95:AK95,$H$5:$AK$5,"Rem",$H$4:$AK$4,"&lt;"&amp;P$4))))</f>
        <v/>
      </c>
      <c r="Q95" s="33">
        <f>S94*(1+N(Debts!$D$9)/1200)</f>
        <v/>
      </c>
      <c r="R95" s="33">
        <f>Q95-MIN(N(Debts!$E$9),Q95)</f>
        <v/>
      </c>
      <c r="S95" s="33">
        <f>IF(R95&lt;=0.005,0,R95-MIN(R95,MAX(0,$E95-SUMIFS(H95:AK95,$H$5:$AK$5,"Rem",$H$4:$AK$4,"&lt;"&amp;S$4))))</f>
        <v/>
      </c>
      <c r="T95" s="33">
        <f>V94*(1+N(Debts!$D$10)/1200)</f>
        <v/>
      </c>
      <c r="U95" s="33">
        <f>T95-MIN(N(Debts!$E$10),T95)</f>
        <v/>
      </c>
      <c r="V95" s="33">
        <f>IF(U95&lt;=0.005,0,U95-MIN(U95,MAX(0,$E95-SUMIFS(H95:AK95,$H$5:$AK$5,"Rem",$H$4:$AK$4,"&lt;"&amp;V$4))))</f>
        <v/>
      </c>
      <c r="W95" s="33">
        <f>Y94*(1+N(Debts!$D$11)/1200)</f>
        <v/>
      </c>
      <c r="X95" s="33">
        <f>W95-MIN(N(Debts!$E$11),W95)</f>
        <v/>
      </c>
      <c r="Y95" s="33">
        <f>IF(X95&lt;=0.005,0,X95-MIN(X95,MAX(0,$E95-SUMIFS(H95:AK95,$H$5:$AK$5,"Rem",$H$4:$AK$4,"&lt;"&amp;Y$4))))</f>
        <v/>
      </c>
      <c r="Z95" s="33">
        <f>AB94*(1+N(Debts!$D$12)/1200)</f>
        <v/>
      </c>
      <c r="AA95" s="33">
        <f>Z95-MIN(N(Debts!$E$12),Z95)</f>
        <v/>
      </c>
      <c r="AB95" s="33">
        <f>IF(AA95&lt;=0.005,0,AA95-MIN(AA95,MAX(0,$E95-SUMIFS(H95:AK95,$H$5:$AK$5,"Rem",$H$4:$AK$4,"&lt;"&amp;AB$4))))</f>
        <v/>
      </c>
      <c r="AC95" s="33">
        <f>AE94*(1+N(Debts!$D$13)/1200)</f>
        <v/>
      </c>
      <c r="AD95" s="33">
        <f>AC95-MIN(N(Debts!$E$13),AC95)</f>
        <v/>
      </c>
      <c r="AE95" s="33">
        <f>IF(AD95&lt;=0.005,0,AD95-MIN(AD95,MAX(0,$E95-SUMIFS(H95:AK95,$H$5:$AK$5,"Rem",$H$4:$AK$4,"&lt;"&amp;AE$4))))</f>
        <v/>
      </c>
      <c r="AF95" s="33">
        <f>AH94*(1+N(Debts!$D$14)/1200)</f>
        <v/>
      </c>
      <c r="AG95" s="33">
        <f>AF95-MIN(N(Debts!$E$14),AF95)</f>
        <v/>
      </c>
      <c r="AH95" s="33">
        <f>IF(AG95&lt;=0.005,0,AG95-MIN(AG95,MAX(0,$E95-SUMIFS(H95:AK95,$H$5:$AK$5,"Rem",$H$4:$AK$4,"&lt;"&amp;AH$4))))</f>
        <v/>
      </c>
      <c r="AI95" s="33">
        <f>AK94*(1+N(Debts!$D$15)/1200)</f>
        <v/>
      </c>
      <c r="AJ95" s="33">
        <f>AI95-MIN(N(Debts!$E$15),AI95)</f>
        <v/>
      </c>
      <c r="AK95" s="33">
        <f>IF(AJ95&lt;=0.005,0,AJ95-MIN(AJ95,MAX(0,$E95-SUMIFS(H95:AK95,$H$5:$AK$5,"Rem",$H$4:$AK$4,"&lt;"&amp;AK$4))))</f>
        <v/>
      </c>
      <c r="AL95" s="1" t="n"/>
    </row>
    <row r="96">
      <c r="A96" s="1" t="n"/>
      <c r="B96" s="1" t="n">
        <v>89</v>
      </c>
      <c r="C96" s="34">
        <f>EDATE(Debts!$J$13,B96-1)</f>
        <v/>
      </c>
      <c r="D96" s="33">
        <f>IF(G95&lt;=0.005,0,Debts!$E$16+Debts!$J$7)</f>
        <v/>
      </c>
      <c r="E96" s="33">
        <f>MAX(0,D96-(SUMIF($H$5:$AK$5,"Due",H96:AK96)-SUMIF($H$5:$AK$5,"Rem",H96:AK96)))</f>
        <v/>
      </c>
      <c r="F96" s="33">
        <f>SUMIF($H$5:$AK$5,"Due",H96:AK96)-SUMIF($H$5:$AK$5,"Bal",H95:AK95)</f>
        <v/>
      </c>
      <c r="G96" s="33">
        <f>SUMIF($H$5:$AK$5,"Bal",H96:AK96)</f>
        <v/>
      </c>
      <c r="H96" s="33">
        <f>J95*(1+N(Debts!$D$6)/1200)</f>
        <v/>
      </c>
      <c r="I96" s="33">
        <f>H96-MIN(N(Debts!$E$6),H96)</f>
        <v/>
      </c>
      <c r="J96" s="33">
        <f>IF(I96&lt;=0.005,0,I96-MIN(I96,MAX(0,$E96-SUMIFS(H96:AK96,$H$5:$AK$5,"Rem",$H$4:$AK$4,"&lt;"&amp;J$4))))</f>
        <v/>
      </c>
      <c r="K96" s="33">
        <f>M95*(1+N(Debts!$D$7)/1200)</f>
        <v/>
      </c>
      <c r="L96" s="33">
        <f>K96-MIN(N(Debts!$E$7),K96)</f>
        <v/>
      </c>
      <c r="M96" s="33">
        <f>IF(L96&lt;=0.005,0,L96-MIN(L96,MAX(0,$E96-SUMIFS(H96:AK96,$H$5:$AK$5,"Rem",$H$4:$AK$4,"&lt;"&amp;M$4))))</f>
        <v/>
      </c>
      <c r="N96" s="33">
        <f>P95*(1+N(Debts!$D$8)/1200)</f>
        <v/>
      </c>
      <c r="O96" s="33">
        <f>N96-MIN(N(Debts!$E$8),N96)</f>
        <v/>
      </c>
      <c r="P96" s="33">
        <f>IF(O96&lt;=0.005,0,O96-MIN(O96,MAX(0,$E96-SUMIFS(H96:AK96,$H$5:$AK$5,"Rem",$H$4:$AK$4,"&lt;"&amp;P$4))))</f>
        <v/>
      </c>
      <c r="Q96" s="33">
        <f>S95*(1+N(Debts!$D$9)/1200)</f>
        <v/>
      </c>
      <c r="R96" s="33">
        <f>Q96-MIN(N(Debts!$E$9),Q96)</f>
        <v/>
      </c>
      <c r="S96" s="33">
        <f>IF(R96&lt;=0.005,0,R96-MIN(R96,MAX(0,$E96-SUMIFS(H96:AK96,$H$5:$AK$5,"Rem",$H$4:$AK$4,"&lt;"&amp;S$4))))</f>
        <v/>
      </c>
      <c r="T96" s="33">
        <f>V95*(1+N(Debts!$D$10)/1200)</f>
        <v/>
      </c>
      <c r="U96" s="33">
        <f>T96-MIN(N(Debts!$E$10),T96)</f>
        <v/>
      </c>
      <c r="V96" s="33">
        <f>IF(U96&lt;=0.005,0,U96-MIN(U96,MAX(0,$E96-SUMIFS(H96:AK96,$H$5:$AK$5,"Rem",$H$4:$AK$4,"&lt;"&amp;V$4))))</f>
        <v/>
      </c>
      <c r="W96" s="33">
        <f>Y95*(1+N(Debts!$D$11)/1200)</f>
        <v/>
      </c>
      <c r="X96" s="33">
        <f>W96-MIN(N(Debts!$E$11),W96)</f>
        <v/>
      </c>
      <c r="Y96" s="33">
        <f>IF(X96&lt;=0.005,0,X96-MIN(X96,MAX(0,$E96-SUMIFS(H96:AK96,$H$5:$AK$5,"Rem",$H$4:$AK$4,"&lt;"&amp;Y$4))))</f>
        <v/>
      </c>
      <c r="Z96" s="33">
        <f>AB95*(1+N(Debts!$D$12)/1200)</f>
        <v/>
      </c>
      <c r="AA96" s="33">
        <f>Z96-MIN(N(Debts!$E$12),Z96)</f>
        <v/>
      </c>
      <c r="AB96" s="33">
        <f>IF(AA96&lt;=0.005,0,AA96-MIN(AA96,MAX(0,$E96-SUMIFS(H96:AK96,$H$5:$AK$5,"Rem",$H$4:$AK$4,"&lt;"&amp;AB$4))))</f>
        <v/>
      </c>
      <c r="AC96" s="33">
        <f>AE95*(1+N(Debts!$D$13)/1200)</f>
        <v/>
      </c>
      <c r="AD96" s="33">
        <f>AC96-MIN(N(Debts!$E$13),AC96)</f>
        <v/>
      </c>
      <c r="AE96" s="33">
        <f>IF(AD96&lt;=0.005,0,AD96-MIN(AD96,MAX(0,$E96-SUMIFS(H96:AK96,$H$5:$AK$5,"Rem",$H$4:$AK$4,"&lt;"&amp;AE$4))))</f>
        <v/>
      </c>
      <c r="AF96" s="33">
        <f>AH95*(1+N(Debts!$D$14)/1200)</f>
        <v/>
      </c>
      <c r="AG96" s="33">
        <f>AF96-MIN(N(Debts!$E$14),AF96)</f>
        <v/>
      </c>
      <c r="AH96" s="33">
        <f>IF(AG96&lt;=0.005,0,AG96-MIN(AG96,MAX(0,$E96-SUMIFS(H96:AK96,$H$5:$AK$5,"Rem",$H$4:$AK$4,"&lt;"&amp;AH$4))))</f>
        <v/>
      </c>
      <c r="AI96" s="33">
        <f>AK95*(1+N(Debts!$D$15)/1200)</f>
        <v/>
      </c>
      <c r="AJ96" s="33">
        <f>AI96-MIN(N(Debts!$E$15),AI96)</f>
        <v/>
      </c>
      <c r="AK96" s="33">
        <f>IF(AJ96&lt;=0.005,0,AJ96-MIN(AJ96,MAX(0,$E96-SUMIFS(H96:AK96,$H$5:$AK$5,"Rem",$H$4:$AK$4,"&lt;"&amp;AK$4))))</f>
        <v/>
      </c>
      <c r="AL96" s="1" t="n"/>
    </row>
    <row r="97">
      <c r="A97" s="1" t="n"/>
      <c r="B97" s="1" t="n">
        <v>90</v>
      </c>
      <c r="C97" s="34">
        <f>EDATE(Debts!$J$13,B97-1)</f>
        <v/>
      </c>
      <c r="D97" s="33">
        <f>IF(G96&lt;=0.005,0,Debts!$E$16+Debts!$J$7)</f>
        <v/>
      </c>
      <c r="E97" s="33">
        <f>MAX(0,D97-(SUMIF($H$5:$AK$5,"Due",H97:AK97)-SUMIF($H$5:$AK$5,"Rem",H97:AK97)))</f>
        <v/>
      </c>
      <c r="F97" s="33">
        <f>SUMIF($H$5:$AK$5,"Due",H97:AK97)-SUMIF($H$5:$AK$5,"Bal",H96:AK96)</f>
        <v/>
      </c>
      <c r="G97" s="33">
        <f>SUMIF($H$5:$AK$5,"Bal",H97:AK97)</f>
        <v/>
      </c>
      <c r="H97" s="33">
        <f>J96*(1+N(Debts!$D$6)/1200)</f>
        <v/>
      </c>
      <c r="I97" s="33">
        <f>H97-MIN(N(Debts!$E$6),H97)</f>
        <v/>
      </c>
      <c r="J97" s="33">
        <f>IF(I97&lt;=0.005,0,I97-MIN(I97,MAX(0,$E97-SUMIFS(H97:AK97,$H$5:$AK$5,"Rem",$H$4:$AK$4,"&lt;"&amp;J$4))))</f>
        <v/>
      </c>
      <c r="K97" s="33">
        <f>M96*(1+N(Debts!$D$7)/1200)</f>
        <v/>
      </c>
      <c r="L97" s="33">
        <f>K97-MIN(N(Debts!$E$7),K97)</f>
        <v/>
      </c>
      <c r="M97" s="33">
        <f>IF(L97&lt;=0.005,0,L97-MIN(L97,MAX(0,$E97-SUMIFS(H97:AK97,$H$5:$AK$5,"Rem",$H$4:$AK$4,"&lt;"&amp;M$4))))</f>
        <v/>
      </c>
      <c r="N97" s="33">
        <f>P96*(1+N(Debts!$D$8)/1200)</f>
        <v/>
      </c>
      <c r="O97" s="33">
        <f>N97-MIN(N(Debts!$E$8),N97)</f>
        <v/>
      </c>
      <c r="P97" s="33">
        <f>IF(O97&lt;=0.005,0,O97-MIN(O97,MAX(0,$E97-SUMIFS(H97:AK97,$H$5:$AK$5,"Rem",$H$4:$AK$4,"&lt;"&amp;P$4))))</f>
        <v/>
      </c>
      <c r="Q97" s="33">
        <f>S96*(1+N(Debts!$D$9)/1200)</f>
        <v/>
      </c>
      <c r="R97" s="33">
        <f>Q97-MIN(N(Debts!$E$9),Q97)</f>
        <v/>
      </c>
      <c r="S97" s="33">
        <f>IF(R97&lt;=0.005,0,R97-MIN(R97,MAX(0,$E97-SUMIFS(H97:AK97,$H$5:$AK$5,"Rem",$H$4:$AK$4,"&lt;"&amp;S$4))))</f>
        <v/>
      </c>
      <c r="T97" s="33">
        <f>V96*(1+N(Debts!$D$10)/1200)</f>
        <v/>
      </c>
      <c r="U97" s="33">
        <f>T97-MIN(N(Debts!$E$10),T97)</f>
        <v/>
      </c>
      <c r="V97" s="33">
        <f>IF(U97&lt;=0.005,0,U97-MIN(U97,MAX(0,$E97-SUMIFS(H97:AK97,$H$5:$AK$5,"Rem",$H$4:$AK$4,"&lt;"&amp;V$4))))</f>
        <v/>
      </c>
      <c r="W97" s="33">
        <f>Y96*(1+N(Debts!$D$11)/1200)</f>
        <v/>
      </c>
      <c r="X97" s="33">
        <f>W97-MIN(N(Debts!$E$11),W97)</f>
        <v/>
      </c>
      <c r="Y97" s="33">
        <f>IF(X97&lt;=0.005,0,X97-MIN(X97,MAX(0,$E97-SUMIFS(H97:AK97,$H$5:$AK$5,"Rem",$H$4:$AK$4,"&lt;"&amp;Y$4))))</f>
        <v/>
      </c>
      <c r="Z97" s="33">
        <f>AB96*(1+N(Debts!$D$12)/1200)</f>
        <v/>
      </c>
      <c r="AA97" s="33">
        <f>Z97-MIN(N(Debts!$E$12),Z97)</f>
        <v/>
      </c>
      <c r="AB97" s="33">
        <f>IF(AA97&lt;=0.005,0,AA97-MIN(AA97,MAX(0,$E97-SUMIFS(H97:AK97,$H$5:$AK$5,"Rem",$H$4:$AK$4,"&lt;"&amp;AB$4))))</f>
        <v/>
      </c>
      <c r="AC97" s="33">
        <f>AE96*(1+N(Debts!$D$13)/1200)</f>
        <v/>
      </c>
      <c r="AD97" s="33">
        <f>AC97-MIN(N(Debts!$E$13),AC97)</f>
        <v/>
      </c>
      <c r="AE97" s="33">
        <f>IF(AD97&lt;=0.005,0,AD97-MIN(AD97,MAX(0,$E97-SUMIFS(H97:AK97,$H$5:$AK$5,"Rem",$H$4:$AK$4,"&lt;"&amp;AE$4))))</f>
        <v/>
      </c>
      <c r="AF97" s="33">
        <f>AH96*(1+N(Debts!$D$14)/1200)</f>
        <v/>
      </c>
      <c r="AG97" s="33">
        <f>AF97-MIN(N(Debts!$E$14),AF97)</f>
        <v/>
      </c>
      <c r="AH97" s="33">
        <f>IF(AG97&lt;=0.005,0,AG97-MIN(AG97,MAX(0,$E97-SUMIFS(H97:AK97,$H$5:$AK$5,"Rem",$H$4:$AK$4,"&lt;"&amp;AH$4))))</f>
        <v/>
      </c>
      <c r="AI97" s="33">
        <f>AK96*(1+N(Debts!$D$15)/1200)</f>
        <v/>
      </c>
      <c r="AJ97" s="33">
        <f>AI97-MIN(N(Debts!$E$15),AI97)</f>
        <v/>
      </c>
      <c r="AK97" s="33">
        <f>IF(AJ97&lt;=0.005,0,AJ97-MIN(AJ97,MAX(0,$E97-SUMIFS(H97:AK97,$H$5:$AK$5,"Rem",$H$4:$AK$4,"&lt;"&amp;AK$4))))</f>
        <v/>
      </c>
      <c r="AL97" s="1" t="n"/>
    </row>
    <row r="98">
      <c r="A98" s="1" t="n"/>
      <c r="B98" s="1" t="n">
        <v>91</v>
      </c>
      <c r="C98" s="34">
        <f>EDATE(Debts!$J$13,B98-1)</f>
        <v/>
      </c>
      <c r="D98" s="33">
        <f>IF(G97&lt;=0.005,0,Debts!$E$16+Debts!$J$7)</f>
        <v/>
      </c>
      <c r="E98" s="33">
        <f>MAX(0,D98-(SUMIF($H$5:$AK$5,"Due",H98:AK98)-SUMIF($H$5:$AK$5,"Rem",H98:AK98)))</f>
        <v/>
      </c>
      <c r="F98" s="33">
        <f>SUMIF($H$5:$AK$5,"Due",H98:AK98)-SUMIF($H$5:$AK$5,"Bal",H97:AK97)</f>
        <v/>
      </c>
      <c r="G98" s="33">
        <f>SUMIF($H$5:$AK$5,"Bal",H98:AK98)</f>
        <v/>
      </c>
      <c r="H98" s="33">
        <f>J97*(1+N(Debts!$D$6)/1200)</f>
        <v/>
      </c>
      <c r="I98" s="33">
        <f>H98-MIN(N(Debts!$E$6),H98)</f>
        <v/>
      </c>
      <c r="J98" s="33">
        <f>IF(I98&lt;=0.005,0,I98-MIN(I98,MAX(0,$E98-SUMIFS(H98:AK98,$H$5:$AK$5,"Rem",$H$4:$AK$4,"&lt;"&amp;J$4))))</f>
        <v/>
      </c>
      <c r="K98" s="33">
        <f>M97*(1+N(Debts!$D$7)/1200)</f>
        <v/>
      </c>
      <c r="L98" s="33">
        <f>K98-MIN(N(Debts!$E$7),K98)</f>
        <v/>
      </c>
      <c r="M98" s="33">
        <f>IF(L98&lt;=0.005,0,L98-MIN(L98,MAX(0,$E98-SUMIFS(H98:AK98,$H$5:$AK$5,"Rem",$H$4:$AK$4,"&lt;"&amp;M$4))))</f>
        <v/>
      </c>
      <c r="N98" s="33">
        <f>P97*(1+N(Debts!$D$8)/1200)</f>
        <v/>
      </c>
      <c r="O98" s="33">
        <f>N98-MIN(N(Debts!$E$8),N98)</f>
        <v/>
      </c>
      <c r="P98" s="33">
        <f>IF(O98&lt;=0.005,0,O98-MIN(O98,MAX(0,$E98-SUMIFS(H98:AK98,$H$5:$AK$5,"Rem",$H$4:$AK$4,"&lt;"&amp;P$4))))</f>
        <v/>
      </c>
      <c r="Q98" s="33">
        <f>S97*(1+N(Debts!$D$9)/1200)</f>
        <v/>
      </c>
      <c r="R98" s="33">
        <f>Q98-MIN(N(Debts!$E$9),Q98)</f>
        <v/>
      </c>
      <c r="S98" s="33">
        <f>IF(R98&lt;=0.005,0,R98-MIN(R98,MAX(0,$E98-SUMIFS(H98:AK98,$H$5:$AK$5,"Rem",$H$4:$AK$4,"&lt;"&amp;S$4))))</f>
        <v/>
      </c>
      <c r="T98" s="33">
        <f>V97*(1+N(Debts!$D$10)/1200)</f>
        <v/>
      </c>
      <c r="U98" s="33">
        <f>T98-MIN(N(Debts!$E$10),T98)</f>
        <v/>
      </c>
      <c r="V98" s="33">
        <f>IF(U98&lt;=0.005,0,U98-MIN(U98,MAX(0,$E98-SUMIFS(H98:AK98,$H$5:$AK$5,"Rem",$H$4:$AK$4,"&lt;"&amp;V$4))))</f>
        <v/>
      </c>
      <c r="W98" s="33">
        <f>Y97*(1+N(Debts!$D$11)/1200)</f>
        <v/>
      </c>
      <c r="X98" s="33">
        <f>W98-MIN(N(Debts!$E$11),W98)</f>
        <v/>
      </c>
      <c r="Y98" s="33">
        <f>IF(X98&lt;=0.005,0,X98-MIN(X98,MAX(0,$E98-SUMIFS(H98:AK98,$H$5:$AK$5,"Rem",$H$4:$AK$4,"&lt;"&amp;Y$4))))</f>
        <v/>
      </c>
      <c r="Z98" s="33">
        <f>AB97*(1+N(Debts!$D$12)/1200)</f>
        <v/>
      </c>
      <c r="AA98" s="33">
        <f>Z98-MIN(N(Debts!$E$12),Z98)</f>
        <v/>
      </c>
      <c r="AB98" s="33">
        <f>IF(AA98&lt;=0.005,0,AA98-MIN(AA98,MAX(0,$E98-SUMIFS(H98:AK98,$H$5:$AK$5,"Rem",$H$4:$AK$4,"&lt;"&amp;AB$4))))</f>
        <v/>
      </c>
      <c r="AC98" s="33">
        <f>AE97*(1+N(Debts!$D$13)/1200)</f>
        <v/>
      </c>
      <c r="AD98" s="33">
        <f>AC98-MIN(N(Debts!$E$13),AC98)</f>
        <v/>
      </c>
      <c r="AE98" s="33">
        <f>IF(AD98&lt;=0.005,0,AD98-MIN(AD98,MAX(0,$E98-SUMIFS(H98:AK98,$H$5:$AK$5,"Rem",$H$4:$AK$4,"&lt;"&amp;AE$4))))</f>
        <v/>
      </c>
      <c r="AF98" s="33">
        <f>AH97*(1+N(Debts!$D$14)/1200)</f>
        <v/>
      </c>
      <c r="AG98" s="33">
        <f>AF98-MIN(N(Debts!$E$14),AF98)</f>
        <v/>
      </c>
      <c r="AH98" s="33">
        <f>IF(AG98&lt;=0.005,0,AG98-MIN(AG98,MAX(0,$E98-SUMIFS(H98:AK98,$H$5:$AK$5,"Rem",$H$4:$AK$4,"&lt;"&amp;AH$4))))</f>
        <v/>
      </c>
      <c r="AI98" s="33">
        <f>AK97*(1+N(Debts!$D$15)/1200)</f>
        <v/>
      </c>
      <c r="AJ98" s="33">
        <f>AI98-MIN(N(Debts!$E$15),AI98)</f>
        <v/>
      </c>
      <c r="AK98" s="33">
        <f>IF(AJ98&lt;=0.005,0,AJ98-MIN(AJ98,MAX(0,$E98-SUMIFS(H98:AK98,$H$5:$AK$5,"Rem",$H$4:$AK$4,"&lt;"&amp;AK$4))))</f>
        <v/>
      </c>
      <c r="AL98" s="1" t="n"/>
    </row>
    <row r="99">
      <c r="A99" s="1" t="n"/>
      <c r="B99" s="1" t="n">
        <v>92</v>
      </c>
      <c r="C99" s="34">
        <f>EDATE(Debts!$J$13,B99-1)</f>
        <v/>
      </c>
      <c r="D99" s="33">
        <f>IF(G98&lt;=0.005,0,Debts!$E$16+Debts!$J$7)</f>
        <v/>
      </c>
      <c r="E99" s="33">
        <f>MAX(0,D99-(SUMIF($H$5:$AK$5,"Due",H99:AK99)-SUMIF($H$5:$AK$5,"Rem",H99:AK99)))</f>
        <v/>
      </c>
      <c r="F99" s="33">
        <f>SUMIF($H$5:$AK$5,"Due",H99:AK99)-SUMIF($H$5:$AK$5,"Bal",H98:AK98)</f>
        <v/>
      </c>
      <c r="G99" s="33">
        <f>SUMIF($H$5:$AK$5,"Bal",H99:AK99)</f>
        <v/>
      </c>
      <c r="H99" s="33">
        <f>J98*(1+N(Debts!$D$6)/1200)</f>
        <v/>
      </c>
      <c r="I99" s="33">
        <f>H99-MIN(N(Debts!$E$6),H99)</f>
        <v/>
      </c>
      <c r="J99" s="33">
        <f>IF(I99&lt;=0.005,0,I99-MIN(I99,MAX(0,$E99-SUMIFS(H99:AK99,$H$5:$AK$5,"Rem",$H$4:$AK$4,"&lt;"&amp;J$4))))</f>
        <v/>
      </c>
      <c r="K99" s="33">
        <f>M98*(1+N(Debts!$D$7)/1200)</f>
        <v/>
      </c>
      <c r="L99" s="33">
        <f>K99-MIN(N(Debts!$E$7),K99)</f>
        <v/>
      </c>
      <c r="M99" s="33">
        <f>IF(L99&lt;=0.005,0,L99-MIN(L99,MAX(0,$E99-SUMIFS(H99:AK99,$H$5:$AK$5,"Rem",$H$4:$AK$4,"&lt;"&amp;M$4))))</f>
        <v/>
      </c>
      <c r="N99" s="33">
        <f>P98*(1+N(Debts!$D$8)/1200)</f>
        <v/>
      </c>
      <c r="O99" s="33">
        <f>N99-MIN(N(Debts!$E$8),N99)</f>
        <v/>
      </c>
      <c r="P99" s="33">
        <f>IF(O99&lt;=0.005,0,O99-MIN(O99,MAX(0,$E99-SUMIFS(H99:AK99,$H$5:$AK$5,"Rem",$H$4:$AK$4,"&lt;"&amp;P$4))))</f>
        <v/>
      </c>
      <c r="Q99" s="33">
        <f>S98*(1+N(Debts!$D$9)/1200)</f>
        <v/>
      </c>
      <c r="R99" s="33">
        <f>Q99-MIN(N(Debts!$E$9),Q99)</f>
        <v/>
      </c>
      <c r="S99" s="33">
        <f>IF(R99&lt;=0.005,0,R99-MIN(R99,MAX(0,$E99-SUMIFS(H99:AK99,$H$5:$AK$5,"Rem",$H$4:$AK$4,"&lt;"&amp;S$4))))</f>
        <v/>
      </c>
      <c r="T99" s="33">
        <f>V98*(1+N(Debts!$D$10)/1200)</f>
        <v/>
      </c>
      <c r="U99" s="33">
        <f>T99-MIN(N(Debts!$E$10),T99)</f>
        <v/>
      </c>
      <c r="V99" s="33">
        <f>IF(U99&lt;=0.005,0,U99-MIN(U99,MAX(0,$E99-SUMIFS(H99:AK99,$H$5:$AK$5,"Rem",$H$4:$AK$4,"&lt;"&amp;V$4))))</f>
        <v/>
      </c>
      <c r="W99" s="33">
        <f>Y98*(1+N(Debts!$D$11)/1200)</f>
        <v/>
      </c>
      <c r="X99" s="33">
        <f>W99-MIN(N(Debts!$E$11),W99)</f>
        <v/>
      </c>
      <c r="Y99" s="33">
        <f>IF(X99&lt;=0.005,0,X99-MIN(X99,MAX(0,$E99-SUMIFS(H99:AK99,$H$5:$AK$5,"Rem",$H$4:$AK$4,"&lt;"&amp;Y$4))))</f>
        <v/>
      </c>
      <c r="Z99" s="33">
        <f>AB98*(1+N(Debts!$D$12)/1200)</f>
        <v/>
      </c>
      <c r="AA99" s="33">
        <f>Z99-MIN(N(Debts!$E$12),Z99)</f>
        <v/>
      </c>
      <c r="AB99" s="33">
        <f>IF(AA99&lt;=0.005,0,AA99-MIN(AA99,MAX(0,$E99-SUMIFS(H99:AK99,$H$5:$AK$5,"Rem",$H$4:$AK$4,"&lt;"&amp;AB$4))))</f>
        <v/>
      </c>
      <c r="AC99" s="33">
        <f>AE98*(1+N(Debts!$D$13)/1200)</f>
        <v/>
      </c>
      <c r="AD99" s="33">
        <f>AC99-MIN(N(Debts!$E$13),AC99)</f>
        <v/>
      </c>
      <c r="AE99" s="33">
        <f>IF(AD99&lt;=0.005,0,AD99-MIN(AD99,MAX(0,$E99-SUMIFS(H99:AK99,$H$5:$AK$5,"Rem",$H$4:$AK$4,"&lt;"&amp;AE$4))))</f>
        <v/>
      </c>
      <c r="AF99" s="33">
        <f>AH98*(1+N(Debts!$D$14)/1200)</f>
        <v/>
      </c>
      <c r="AG99" s="33">
        <f>AF99-MIN(N(Debts!$E$14),AF99)</f>
        <v/>
      </c>
      <c r="AH99" s="33">
        <f>IF(AG99&lt;=0.005,0,AG99-MIN(AG99,MAX(0,$E99-SUMIFS(H99:AK99,$H$5:$AK$5,"Rem",$H$4:$AK$4,"&lt;"&amp;AH$4))))</f>
        <v/>
      </c>
      <c r="AI99" s="33">
        <f>AK98*(1+N(Debts!$D$15)/1200)</f>
        <v/>
      </c>
      <c r="AJ99" s="33">
        <f>AI99-MIN(N(Debts!$E$15),AI99)</f>
        <v/>
      </c>
      <c r="AK99" s="33">
        <f>IF(AJ99&lt;=0.005,0,AJ99-MIN(AJ99,MAX(0,$E99-SUMIFS(H99:AK99,$H$5:$AK$5,"Rem",$H$4:$AK$4,"&lt;"&amp;AK$4))))</f>
        <v/>
      </c>
      <c r="AL99" s="1" t="n"/>
    </row>
    <row r="100">
      <c r="A100" s="1" t="n"/>
      <c r="B100" s="1" t="n">
        <v>93</v>
      </c>
      <c r="C100" s="34">
        <f>EDATE(Debts!$J$13,B100-1)</f>
        <v/>
      </c>
      <c r="D100" s="33">
        <f>IF(G99&lt;=0.005,0,Debts!$E$16+Debts!$J$7)</f>
        <v/>
      </c>
      <c r="E100" s="33">
        <f>MAX(0,D100-(SUMIF($H$5:$AK$5,"Due",H100:AK100)-SUMIF($H$5:$AK$5,"Rem",H100:AK100)))</f>
        <v/>
      </c>
      <c r="F100" s="33">
        <f>SUMIF($H$5:$AK$5,"Due",H100:AK100)-SUMIF($H$5:$AK$5,"Bal",H99:AK99)</f>
        <v/>
      </c>
      <c r="G100" s="33">
        <f>SUMIF($H$5:$AK$5,"Bal",H100:AK100)</f>
        <v/>
      </c>
      <c r="H100" s="33">
        <f>J99*(1+N(Debts!$D$6)/1200)</f>
        <v/>
      </c>
      <c r="I100" s="33">
        <f>H100-MIN(N(Debts!$E$6),H100)</f>
        <v/>
      </c>
      <c r="J100" s="33">
        <f>IF(I100&lt;=0.005,0,I100-MIN(I100,MAX(0,$E100-SUMIFS(H100:AK100,$H$5:$AK$5,"Rem",$H$4:$AK$4,"&lt;"&amp;J$4))))</f>
        <v/>
      </c>
      <c r="K100" s="33">
        <f>M99*(1+N(Debts!$D$7)/1200)</f>
        <v/>
      </c>
      <c r="L100" s="33">
        <f>K100-MIN(N(Debts!$E$7),K100)</f>
        <v/>
      </c>
      <c r="M100" s="33">
        <f>IF(L100&lt;=0.005,0,L100-MIN(L100,MAX(0,$E100-SUMIFS(H100:AK100,$H$5:$AK$5,"Rem",$H$4:$AK$4,"&lt;"&amp;M$4))))</f>
        <v/>
      </c>
      <c r="N100" s="33">
        <f>P99*(1+N(Debts!$D$8)/1200)</f>
        <v/>
      </c>
      <c r="O100" s="33">
        <f>N100-MIN(N(Debts!$E$8),N100)</f>
        <v/>
      </c>
      <c r="P100" s="33">
        <f>IF(O100&lt;=0.005,0,O100-MIN(O100,MAX(0,$E100-SUMIFS(H100:AK100,$H$5:$AK$5,"Rem",$H$4:$AK$4,"&lt;"&amp;P$4))))</f>
        <v/>
      </c>
      <c r="Q100" s="33">
        <f>S99*(1+N(Debts!$D$9)/1200)</f>
        <v/>
      </c>
      <c r="R100" s="33">
        <f>Q100-MIN(N(Debts!$E$9),Q100)</f>
        <v/>
      </c>
      <c r="S100" s="33">
        <f>IF(R100&lt;=0.005,0,R100-MIN(R100,MAX(0,$E100-SUMIFS(H100:AK100,$H$5:$AK$5,"Rem",$H$4:$AK$4,"&lt;"&amp;S$4))))</f>
        <v/>
      </c>
      <c r="T100" s="33">
        <f>V99*(1+N(Debts!$D$10)/1200)</f>
        <v/>
      </c>
      <c r="U100" s="33">
        <f>T100-MIN(N(Debts!$E$10),T100)</f>
        <v/>
      </c>
      <c r="V100" s="33">
        <f>IF(U100&lt;=0.005,0,U100-MIN(U100,MAX(0,$E100-SUMIFS(H100:AK100,$H$5:$AK$5,"Rem",$H$4:$AK$4,"&lt;"&amp;V$4))))</f>
        <v/>
      </c>
      <c r="W100" s="33">
        <f>Y99*(1+N(Debts!$D$11)/1200)</f>
        <v/>
      </c>
      <c r="X100" s="33">
        <f>W100-MIN(N(Debts!$E$11),W100)</f>
        <v/>
      </c>
      <c r="Y100" s="33">
        <f>IF(X100&lt;=0.005,0,X100-MIN(X100,MAX(0,$E100-SUMIFS(H100:AK100,$H$5:$AK$5,"Rem",$H$4:$AK$4,"&lt;"&amp;Y$4))))</f>
        <v/>
      </c>
      <c r="Z100" s="33">
        <f>AB99*(1+N(Debts!$D$12)/1200)</f>
        <v/>
      </c>
      <c r="AA100" s="33">
        <f>Z100-MIN(N(Debts!$E$12),Z100)</f>
        <v/>
      </c>
      <c r="AB100" s="33">
        <f>IF(AA100&lt;=0.005,0,AA100-MIN(AA100,MAX(0,$E100-SUMIFS(H100:AK100,$H$5:$AK$5,"Rem",$H$4:$AK$4,"&lt;"&amp;AB$4))))</f>
        <v/>
      </c>
      <c r="AC100" s="33">
        <f>AE99*(1+N(Debts!$D$13)/1200)</f>
        <v/>
      </c>
      <c r="AD100" s="33">
        <f>AC100-MIN(N(Debts!$E$13),AC100)</f>
        <v/>
      </c>
      <c r="AE100" s="33">
        <f>IF(AD100&lt;=0.005,0,AD100-MIN(AD100,MAX(0,$E100-SUMIFS(H100:AK100,$H$5:$AK$5,"Rem",$H$4:$AK$4,"&lt;"&amp;AE$4))))</f>
        <v/>
      </c>
      <c r="AF100" s="33">
        <f>AH99*(1+N(Debts!$D$14)/1200)</f>
        <v/>
      </c>
      <c r="AG100" s="33">
        <f>AF100-MIN(N(Debts!$E$14),AF100)</f>
        <v/>
      </c>
      <c r="AH100" s="33">
        <f>IF(AG100&lt;=0.005,0,AG100-MIN(AG100,MAX(0,$E100-SUMIFS(H100:AK100,$H$5:$AK$5,"Rem",$H$4:$AK$4,"&lt;"&amp;AH$4))))</f>
        <v/>
      </c>
      <c r="AI100" s="33">
        <f>AK99*(1+N(Debts!$D$15)/1200)</f>
        <v/>
      </c>
      <c r="AJ100" s="33">
        <f>AI100-MIN(N(Debts!$E$15),AI100)</f>
        <v/>
      </c>
      <c r="AK100" s="33">
        <f>IF(AJ100&lt;=0.005,0,AJ100-MIN(AJ100,MAX(0,$E100-SUMIFS(H100:AK100,$H$5:$AK$5,"Rem",$H$4:$AK$4,"&lt;"&amp;AK$4))))</f>
        <v/>
      </c>
      <c r="AL100" s="1" t="n"/>
    </row>
    <row r="101">
      <c r="A101" s="1" t="n"/>
      <c r="B101" s="1" t="n">
        <v>94</v>
      </c>
      <c r="C101" s="34">
        <f>EDATE(Debts!$J$13,B101-1)</f>
        <v/>
      </c>
      <c r="D101" s="33">
        <f>IF(G100&lt;=0.005,0,Debts!$E$16+Debts!$J$7)</f>
        <v/>
      </c>
      <c r="E101" s="33">
        <f>MAX(0,D101-(SUMIF($H$5:$AK$5,"Due",H101:AK101)-SUMIF($H$5:$AK$5,"Rem",H101:AK101)))</f>
        <v/>
      </c>
      <c r="F101" s="33">
        <f>SUMIF($H$5:$AK$5,"Due",H101:AK101)-SUMIF($H$5:$AK$5,"Bal",H100:AK100)</f>
        <v/>
      </c>
      <c r="G101" s="33">
        <f>SUMIF($H$5:$AK$5,"Bal",H101:AK101)</f>
        <v/>
      </c>
      <c r="H101" s="33">
        <f>J100*(1+N(Debts!$D$6)/1200)</f>
        <v/>
      </c>
      <c r="I101" s="33">
        <f>H101-MIN(N(Debts!$E$6),H101)</f>
        <v/>
      </c>
      <c r="J101" s="33">
        <f>IF(I101&lt;=0.005,0,I101-MIN(I101,MAX(0,$E101-SUMIFS(H101:AK101,$H$5:$AK$5,"Rem",$H$4:$AK$4,"&lt;"&amp;J$4))))</f>
        <v/>
      </c>
      <c r="K101" s="33">
        <f>M100*(1+N(Debts!$D$7)/1200)</f>
        <v/>
      </c>
      <c r="L101" s="33">
        <f>K101-MIN(N(Debts!$E$7),K101)</f>
        <v/>
      </c>
      <c r="M101" s="33">
        <f>IF(L101&lt;=0.005,0,L101-MIN(L101,MAX(0,$E101-SUMIFS(H101:AK101,$H$5:$AK$5,"Rem",$H$4:$AK$4,"&lt;"&amp;M$4))))</f>
        <v/>
      </c>
      <c r="N101" s="33">
        <f>P100*(1+N(Debts!$D$8)/1200)</f>
        <v/>
      </c>
      <c r="O101" s="33">
        <f>N101-MIN(N(Debts!$E$8),N101)</f>
        <v/>
      </c>
      <c r="P101" s="33">
        <f>IF(O101&lt;=0.005,0,O101-MIN(O101,MAX(0,$E101-SUMIFS(H101:AK101,$H$5:$AK$5,"Rem",$H$4:$AK$4,"&lt;"&amp;P$4))))</f>
        <v/>
      </c>
      <c r="Q101" s="33">
        <f>S100*(1+N(Debts!$D$9)/1200)</f>
        <v/>
      </c>
      <c r="R101" s="33">
        <f>Q101-MIN(N(Debts!$E$9),Q101)</f>
        <v/>
      </c>
      <c r="S101" s="33">
        <f>IF(R101&lt;=0.005,0,R101-MIN(R101,MAX(0,$E101-SUMIFS(H101:AK101,$H$5:$AK$5,"Rem",$H$4:$AK$4,"&lt;"&amp;S$4))))</f>
        <v/>
      </c>
      <c r="T101" s="33">
        <f>V100*(1+N(Debts!$D$10)/1200)</f>
        <v/>
      </c>
      <c r="U101" s="33">
        <f>T101-MIN(N(Debts!$E$10),T101)</f>
        <v/>
      </c>
      <c r="V101" s="33">
        <f>IF(U101&lt;=0.005,0,U101-MIN(U101,MAX(0,$E101-SUMIFS(H101:AK101,$H$5:$AK$5,"Rem",$H$4:$AK$4,"&lt;"&amp;V$4))))</f>
        <v/>
      </c>
      <c r="W101" s="33">
        <f>Y100*(1+N(Debts!$D$11)/1200)</f>
        <v/>
      </c>
      <c r="X101" s="33">
        <f>W101-MIN(N(Debts!$E$11),W101)</f>
        <v/>
      </c>
      <c r="Y101" s="33">
        <f>IF(X101&lt;=0.005,0,X101-MIN(X101,MAX(0,$E101-SUMIFS(H101:AK101,$H$5:$AK$5,"Rem",$H$4:$AK$4,"&lt;"&amp;Y$4))))</f>
        <v/>
      </c>
      <c r="Z101" s="33">
        <f>AB100*(1+N(Debts!$D$12)/1200)</f>
        <v/>
      </c>
      <c r="AA101" s="33">
        <f>Z101-MIN(N(Debts!$E$12),Z101)</f>
        <v/>
      </c>
      <c r="AB101" s="33">
        <f>IF(AA101&lt;=0.005,0,AA101-MIN(AA101,MAX(0,$E101-SUMIFS(H101:AK101,$H$5:$AK$5,"Rem",$H$4:$AK$4,"&lt;"&amp;AB$4))))</f>
        <v/>
      </c>
      <c r="AC101" s="33">
        <f>AE100*(1+N(Debts!$D$13)/1200)</f>
        <v/>
      </c>
      <c r="AD101" s="33">
        <f>AC101-MIN(N(Debts!$E$13),AC101)</f>
        <v/>
      </c>
      <c r="AE101" s="33">
        <f>IF(AD101&lt;=0.005,0,AD101-MIN(AD101,MAX(0,$E101-SUMIFS(H101:AK101,$H$5:$AK$5,"Rem",$H$4:$AK$4,"&lt;"&amp;AE$4))))</f>
        <v/>
      </c>
      <c r="AF101" s="33">
        <f>AH100*(1+N(Debts!$D$14)/1200)</f>
        <v/>
      </c>
      <c r="AG101" s="33">
        <f>AF101-MIN(N(Debts!$E$14),AF101)</f>
        <v/>
      </c>
      <c r="AH101" s="33">
        <f>IF(AG101&lt;=0.005,0,AG101-MIN(AG101,MAX(0,$E101-SUMIFS(H101:AK101,$H$5:$AK$5,"Rem",$H$4:$AK$4,"&lt;"&amp;AH$4))))</f>
        <v/>
      </c>
      <c r="AI101" s="33">
        <f>AK100*(1+N(Debts!$D$15)/1200)</f>
        <v/>
      </c>
      <c r="AJ101" s="33">
        <f>AI101-MIN(N(Debts!$E$15),AI101)</f>
        <v/>
      </c>
      <c r="AK101" s="33">
        <f>IF(AJ101&lt;=0.005,0,AJ101-MIN(AJ101,MAX(0,$E101-SUMIFS(H101:AK101,$H$5:$AK$5,"Rem",$H$4:$AK$4,"&lt;"&amp;AK$4))))</f>
        <v/>
      </c>
      <c r="AL101" s="1" t="n"/>
    </row>
    <row r="102">
      <c r="A102" s="1" t="n"/>
      <c r="B102" s="1" t="n">
        <v>95</v>
      </c>
      <c r="C102" s="34">
        <f>EDATE(Debts!$J$13,B102-1)</f>
        <v/>
      </c>
      <c r="D102" s="33">
        <f>IF(G101&lt;=0.005,0,Debts!$E$16+Debts!$J$7)</f>
        <v/>
      </c>
      <c r="E102" s="33">
        <f>MAX(0,D102-(SUMIF($H$5:$AK$5,"Due",H102:AK102)-SUMIF($H$5:$AK$5,"Rem",H102:AK102)))</f>
        <v/>
      </c>
      <c r="F102" s="33">
        <f>SUMIF($H$5:$AK$5,"Due",H102:AK102)-SUMIF($H$5:$AK$5,"Bal",H101:AK101)</f>
        <v/>
      </c>
      <c r="G102" s="33">
        <f>SUMIF($H$5:$AK$5,"Bal",H102:AK102)</f>
        <v/>
      </c>
      <c r="H102" s="33">
        <f>J101*(1+N(Debts!$D$6)/1200)</f>
        <v/>
      </c>
      <c r="I102" s="33">
        <f>H102-MIN(N(Debts!$E$6),H102)</f>
        <v/>
      </c>
      <c r="J102" s="33">
        <f>IF(I102&lt;=0.005,0,I102-MIN(I102,MAX(0,$E102-SUMIFS(H102:AK102,$H$5:$AK$5,"Rem",$H$4:$AK$4,"&lt;"&amp;J$4))))</f>
        <v/>
      </c>
      <c r="K102" s="33">
        <f>M101*(1+N(Debts!$D$7)/1200)</f>
        <v/>
      </c>
      <c r="L102" s="33">
        <f>K102-MIN(N(Debts!$E$7),K102)</f>
        <v/>
      </c>
      <c r="M102" s="33">
        <f>IF(L102&lt;=0.005,0,L102-MIN(L102,MAX(0,$E102-SUMIFS(H102:AK102,$H$5:$AK$5,"Rem",$H$4:$AK$4,"&lt;"&amp;M$4))))</f>
        <v/>
      </c>
      <c r="N102" s="33">
        <f>P101*(1+N(Debts!$D$8)/1200)</f>
        <v/>
      </c>
      <c r="O102" s="33">
        <f>N102-MIN(N(Debts!$E$8),N102)</f>
        <v/>
      </c>
      <c r="P102" s="33">
        <f>IF(O102&lt;=0.005,0,O102-MIN(O102,MAX(0,$E102-SUMIFS(H102:AK102,$H$5:$AK$5,"Rem",$H$4:$AK$4,"&lt;"&amp;P$4))))</f>
        <v/>
      </c>
      <c r="Q102" s="33">
        <f>S101*(1+N(Debts!$D$9)/1200)</f>
        <v/>
      </c>
      <c r="R102" s="33">
        <f>Q102-MIN(N(Debts!$E$9),Q102)</f>
        <v/>
      </c>
      <c r="S102" s="33">
        <f>IF(R102&lt;=0.005,0,R102-MIN(R102,MAX(0,$E102-SUMIFS(H102:AK102,$H$5:$AK$5,"Rem",$H$4:$AK$4,"&lt;"&amp;S$4))))</f>
        <v/>
      </c>
      <c r="T102" s="33">
        <f>V101*(1+N(Debts!$D$10)/1200)</f>
        <v/>
      </c>
      <c r="U102" s="33">
        <f>T102-MIN(N(Debts!$E$10),T102)</f>
        <v/>
      </c>
      <c r="V102" s="33">
        <f>IF(U102&lt;=0.005,0,U102-MIN(U102,MAX(0,$E102-SUMIFS(H102:AK102,$H$5:$AK$5,"Rem",$H$4:$AK$4,"&lt;"&amp;V$4))))</f>
        <v/>
      </c>
      <c r="W102" s="33">
        <f>Y101*(1+N(Debts!$D$11)/1200)</f>
        <v/>
      </c>
      <c r="X102" s="33">
        <f>W102-MIN(N(Debts!$E$11),W102)</f>
        <v/>
      </c>
      <c r="Y102" s="33">
        <f>IF(X102&lt;=0.005,0,X102-MIN(X102,MAX(0,$E102-SUMIFS(H102:AK102,$H$5:$AK$5,"Rem",$H$4:$AK$4,"&lt;"&amp;Y$4))))</f>
        <v/>
      </c>
      <c r="Z102" s="33">
        <f>AB101*(1+N(Debts!$D$12)/1200)</f>
        <v/>
      </c>
      <c r="AA102" s="33">
        <f>Z102-MIN(N(Debts!$E$12),Z102)</f>
        <v/>
      </c>
      <c r="AB102" s="33">
        <f>IF(AA102&lt;=0.005,0,AA102-MIN(AA102,MAX(0,$E102-SUMIFS(H102:AK102,$H$5:$AK$5,"Rem",$H$4:$AK$4,"&lt;"&amp;AB$4))))</f>
        <v/>
      </c>
      <c r="AC102" s="33">
        <f>AE101*(1+N(Debts!$D$13)/1200)</f>
        <v/>
      </c>
      <c r="AD102" s="33">
        <f>AC102-MIN(N(Debts!$E$13),AC102)</f>
        <v/>
      </c>
      <c r="AE102" s="33">
        <f>IF(AD102&lt;=0.005,0,AD102-MIN(AD102,MAX(0,$E102-SUMIFS(H102:AK102,$H$5:$AK$5,"Rem",$H$4:$AK$4,"&lt;"&amp;AE$4))))</f>
        <v/>
      </c>
      <c r="AF102" s="33">
        <f>AH101*(1+N(Debts!$D$14)/1200)</f>
        <v/>
      </c>
      <c r="AG102" s="33">
        <f>AF102-MIN(N(Debts!$E$14),AF102)</f>
        <v/>
      </c>
      <c r="AH102" s="33">
        <f>IF(AG102&lt;=0.005,0,AG102-MIN(AG102,MAX(0,$E102-SUMIFS(H102:AK102,$H$5:$AK$5,"Rem",$H$4:$AK$4,"&lt;"&amp;AH$4))))</f>
        <v/>
      </c>
      <c r="AI102" s="33">
        <f>AK101*(1+N(Debts!$D$15)/1200)</f>
        <v/>
      </c>
      <c r="AJ102" s="33">
        <f>AI102-MIN(N(Debts!$E$15),AI102)</f>
        <v/>
      </c>
      <c r="AK102" s="33">
        <f>IF(AJ102&lt;=0.005,0,AJ102-MIN(AJ102,MAX(0,$E102-SUMIFS(H102:AK102,$H$5:$AK$5,"Rem",$H$4:$AK$4,"&lt;"&amp;AK$4))))</f>
        <v/>
      </c>
      <c r="AL102" s="1" t="n"/>
    </row>
    <row r="103">
      <c r="A103" s="1" t="n"/>
      <c r="B103" s="1" t="n">
        <v>96</v>
      </c>
      <c r="C103" s="34">
        <f>EDATE(Debts!$J$13,B103-1)</f>
        <v/>
      </c>
      <c r="D103" s="33">
        <f>IF(G102&lt;=0.005,0,Debts!$E$16+Debts!$J$7)</f>
        <v/>
      </c>
      <c r="E103" s="33">
        <f>MAX(0,D103-(SUMIF($H$5:$AK$5,"Due",H103:AK103)-SUMIF($H$5:$AK$5,"Rem",H103:AK103)))</f>
        <v/>
      </c>
      <c r="F103" s="33">
        <f>SUMIF($H$5:$AK$5,"Due",H103:AK103)-SUMIF($H$5:$AK$5,"Bal",H102:AK102)</f>
        <v/>
      </c>
      <c r="G103" s="33">
        <f>SUMIF($H$5:$AK$5,"Bal",H103:AK103)</f>
        <v/>
      </c>
      <c r="H103" s="33">
        <f>J102*(1+N(Debts!$D$6)/1200)</f>
        <v/>
      </c>
      <c r="I103" s="33">
        <f>H103-MIN(N(Debts!$E$6),H103)</f>
        <v/>
      </c>
      <c r="J103" s="33">
        <f>IF(I103&lt;=0.005,0,I103-MIN(I103,MAX(0,$E103-SUMIFS(H103:AK103,$H$5:$AK$5,"Rem",$H$4:$AK$4,"&lt;"&amp;J$4))))</f>
        <v/>
      </c>
      <c r="K103" s="33">
        <f>M102*(1+N(Debts!$D$7)/1200)</f>
        <v/>
      </c>
      <c r="L103" s="33">
        <f>K103-MIN(N(Debts!$E$7),K103)</f>
        <v/>
      </c>
      <c r="M103" s="33">
        <f>IF(L103&lt;=0.005,0,L103-MIN(L103,MAX(0,$E103-SUMIFS(H103:AK103,$H$5:$AK$5,"Rem",$H$4:$AK$4,"&lt;"&amp;M$4))))</f>
        <v/>
      </c>
      <c r="N103" s="33">
        <f>P102*(1+N(Debts!$D$8)/1200)</f>
        <v/>
      </c>
      <c r="O103" s="33">
        <f>N103-MIN(N(Debts!$E$8),N103)</f>
        <v/>
      </c>
      <c r="P103" s="33">
        <f>IF(O103&lt;=0.005,0,O103-MIN(O103,MAX(0,$E103-SUMIFS(H103:AK103,$H$5:$AK$5,"Rem",$H$4:$AK$4,"&lt;"&amp;P$4))))</f>
        <v/>
      </c>
      <c r="Q103" s="33">
        <f>S102*(1+N(Debts!$D$9)/1200)</f>
        <v/>
      </c>
      <c r="R103" s="33">
        <f>Q103-MIN(N(Debts!$E$9),Q103)</f>
        <v/>
      </c>
      <c r="S103" s="33">
        <f>IF(R103&lt;=0.005,0,R103-MIN(R103,MAX(0,$E103-SUMIFS(H103:AK103,$H$5:$AK$5,"Rem",$H$4:$AK$4,"&lt;"&amp;S$4))))</f>
        <v/>
      </c>
      <c r="T103" s="33">
        <f>V102*(1+N(Debts!$D$10)/1200)</f>
        <v/>
      </c>
      <c r="U103" s="33">
        <f>T103-MIN(N(Debts!$E$10),T103)</f>
        <v/>
      </c>
      <c r="V103" s="33">
        <f>IF(U103&lt;=0.005,0,U103-MIN(U103,MAX(0,$E103-SUMIFS(H103:AK103,$H$5:$AK$5,"Rem",$H$4:$AK$4,"&lt;"&amp;V$4))))</f>
        <v/>
      </c>
      <c r="W103" s="33">
        <f>Y102*(1+N(Debts!$D$11)/1200)</f>
        <v/>
      </c>
      <c r="X103" s="33">
        <f>W103-MIN(N(Debts!$E$11),W103)</f>
        <v/>
      </c>
      <c r="Y103" s="33">
        <f>IF(X103&lt;=0.005,0,X103-MIN(X103,MAX(0,$E103-SUMIFS(H103:AK103,$H$5:$AK$5,"Rem",$H$4:$AK$4,"&lt;"&amp;Y$4))))</f>
        <v/>
      </c>
      <c r="Z103" s="33">
        <f>AB102*(1+N(Debts!$D$12)/1200)</f>
        <v/>
      </c>
      <c r="AA103" s="33">
        <f>Z103-MIN(N(Debts!$E$12),Z103)</f>
        <v/>
      </c>
      <c r="AB103" s="33">
        <f>IF(AA103&lt;=0.005,0,AA103-MIN(AA103,MAX(0,$E103-SUMIFS(H103:AK103,$H$5:$AK$5,"Rem",$H$4:$AK$4,"&lt;"&amp;AB$4))))</f>
        <v/>
      </c>
      <c r="AC103" s="33">
        <f>AE102*(1+N(Debts!$D$13)/1200)</f>
        <v/>
      </c>
      <c r="AD103" s="33">
        <f>AC103-MIN(N(Debts!$E$13),AC103)</f>
        <v/>
      </c>
      <c r="AE103" s="33">
        <f>IF(AD103&lt;=0.005,0,AD103-MIN(AD103,MAX(0,$E103-SUMIFS(H103:AK103,$H$5:$AK$5,"Rem",$H$4:$AK$4,"&lt;"&amp;AE$4))))</f>
        <v/>
      </c>
      <c r="AF103" s="33">
        <f>AH102*(1+N(Debts!$D$14)/1200)</f>
        <v/>
      </c>
      <c r="AG103" s="33">
        <f>AF103-MIN(N(Debts!$E$14),AF103)</f>
        <v/>
      </c>
      <c r="AH103" s="33">
        <f>IF(AG103&lt;=0.005,0,AG103-MIN(AG103,MAX(0,$E103-SUMIFS(H103:AK103,$H$5:$AK$5,"Rem",$H$4:$AK$4,"&lt;"&amp;AH$4))))</f>
        <v/>
      </c>
      <c r="AI103" s="33">
        <f>AK102*(1+N(Debts!$D$15)/1200)</f>
        <v/>
      </c>
      <c r="AJ103" s="33">
        <f>AI103-MIN(N(Debts!$E$15),AI103)</f>
        <v/>
      </c>
      <c r="AK103" s="33">
        <f>IF(AJ103&lt;=0.005,0,AJ103-MIN(AJ103,MAX(0,$E103-SUMIFS(H103:AK103,$H$5:$AK$5,"Rem",$H$4:$AK$4,"&lt;"&amp;AK$4))))</f>
        <v/>
      </c>
      <c r="AL103" s="1" t="n"/>
    </row>
    <row r="104">
      <c r="A104" s="1" t="n"/>
      <c r="B104" s="1" t="n">
        <v>97</v>
      </c>
      <c r="C104" s="34">
        <f>EDATE(Debts!$J$13,B104-1)</f>
        <v/>
      </c>
      <c r="D104" s="33">
        <f>IF(G103&lt;=0.005,0,Debts!$E$16+Debts!$J$7)</f>
        <v/>
      </c>
      <c r="E104" s="33">
        <f>MAX(0,D104-(SUMIF($H$5:$AK$5,"Due",H104:AK104)-SUMIF($H$5:$AK$5,"Rem",H104:AK104)))</f>
        <v/>
      </c>
      <c r="F104" s="33">
        <f>SUMIF($H$5:$AK$5,"Due",H104:AK104)-SUMIF($H$5:$AK$5,"Bal",H103:AK103)</f>
        <v/>
      </c>
      <c r="G104" s="33">
        <f>SUMIF($H$5:$AK$5,"Bal",H104:AK104)</f>
        <v/>
      </c>
      <c r="H104" s="33">
        <f>J103*(1+N(Debts!$D$6)/1200)</f>
        <v/>
      </c>
      <c r="I104" s="33">
        <f>H104-MIN(N(Debts!$E$6),H104)</f>
        <v/>
      </c>
      <c r="J104" s="33">
        <f>IF(I104&lt;=0.005,0,I104-MIN(I104,MAX(0,$E104-SUMIFS(H104:AK104,$H$5:$AK$5,"Rem",$H$4:$AK$4,"&lt;"&amp;J$4))))</f>
        <v/>
      </c>
      <c r="K104" s="33">
        <f>M103*(1+N(Debts!$D$7)/1200)</f>
        <v/>
      </c>
      <c r="L104" s="33">
        <f>K104-MIN(N(Debts!$E$7),K104)</f>
        <v/>
      </c>
      <c r="M104" s="33">
        <f>IF(L104&lt;=0.005,0,L104-MIN(L104,MAX(0,$E104-SUMIFS(H104:AK104,$H$5:$AK$5,"Rem",$H$4:$AK$4,"&lt;"&amp;M$4))))</f>
        <v/>
      </c>
      <c r="N104" s="33">
        <f>P103*(1+N(Debts!$D$8)/1200)</f>
        <v/>
      </c>
      <c r="O104" s="33">
        <f>N104-MIN(N(Debts!$E$8),N104)</f>
        <v/>
      </c>
      <c r="P104" s="33">
        <f>IF(O104&lt;=0.005,0,O104-MIN(O104,MAX(0,$E104-SUMIFS(H104:AK104,$H$5:$AK$5,"Rem",$H$4:$AK$4,"&lt;"&amp;P$4))))</f>
        <v/>
      </c>
      <c r="Q104" s="33">
        <f>S103*(1+N(Debts!$D$9)/1200)</f>
        <v/>
      </c>
      <c r="R104" s="33">
        <f>Q104-MIN(N(Debts!$E$9),Q104)</f>
        <v/>
      </c>
      <c r="S104" s="33">
        <f>IF(R104&lt;=0.005,0,R104-MIN(R104,MAX(0,$E104-SUMIFS(H104:AK104,$H$5:$AK$5,"Rem",$H$4:$AK$4,"&lt;"&amp;S$4))))</f>
        <v/>
      </c>
      <c r="T104" s="33">
        <f>V103*(1+N(Debts!$D$10)/1200)</f>
        <v/>
      </c>
      <c r="U104" s="33">
        <f>T104-MIN(N(Debts!$E$10),T104)</f>
        <v/>
      </c>
      <c r="V104" s="33">
        <f>IF(U104&lt;=0.005,0,U104-MIN(U104,MAX(0,$E104-SUMIFS(H104:AK104,$H$5:$AK$5,"Rem",$H$4:$AK$4,"&lt;"&amp;V$4))))</f>
        <v/>
      </c>
      <c r="W104" s="33">
        <f>Y103*(1+N(Debts!$D$11)/1200)</f>
        <v/>
      </c>
      <c r="X104" s="33">
        <f>W104-MIN(N(Debts!$E$11),W104)</f>
        <v/>
      </c>
      <c r="Y104" s="33">
        <f>IF(X104&lt;=0.005,0,X104-MIN(X104,MAX(0,$E104-SUMIFS(H104:AK104,$H$5:$AK$5,"Rem",$H$4:$AK$4,"&lt;"&amp;Y$4))))</f>
        <v/>
      </c>
      <c r="Z104" s="33">
        <f>AB103*(1+N(Debts!$D$12)/1200)</f>
        <v/>
      </c>
      <c r="AA104" s="33">
        <f>Z104-MIN(N(Debts!$E$12),Z104)</f>
        <v/>
      </c>
      <c r="AB104" s="33">
        <f>IF(AA104&lt;=0.005,0,AA104-MIN(AA104,MAX(0,$E104-SUMIFS(H104:AK104,$H$5:$AK$5,"Rem",$H$4:$AK$4,"&lt;"&amp;AB$4))))</f>
        <v/>
      </c>
      <c r="AC104" s="33">
        <f>AE103*(1+N(Debts!$D$13)/1200)</f>
        <v/>
      </c>
      <c r="AD104" s="33">
        <f>AC104-MIN(N(Debts!$E$13),AC104)</f>
        <v/>
      </c>
      <c r="AE104" s="33">
        <f>IF(AD104&lt;=0.005,0,AD104-MIN(AD104,MAX(0,$E104-SUMIFS(H104:AK104,$H$5:$AK$5,"Rem",$H$4:$AK$4,"&lt;"&amp;AE$4))))</f>
        <v/>
      </c>
      <c r="AF104" s="33">
        <f>AH103*(1+N(Debts!$D$14)/1200)</f>
        <v/>
      </c>
      <c r="AG104" s="33">
        <f>AF104-MIN(N(Debts!$E$14),AF104)</f>
        <v/>
      </c>
      <c r="AH104" s="33">
        <f>IF(AG104&lt;=0.005,0,AG104-MIN(AG104,MAX(0,$E104-SUMIFS(H104:AK104,$H$5:$AK$5,"Rem",$H$4:$AK$4,"&lt;"&amp;AH$4))))</f>
        <v/>
      </c>
      <c r="AI104" s="33">
        <f>AK103*(1+N(Debts!$D$15)/1200)</f>
        <v/>
      </c>
      <c r="AJ104" s="33">
        <f>AI104-MIN(N(Debts!$E$15),AI104)</f>
        <v/>
      </c>
      <c r="AK104" s="33">
        <f>IF(AJ104&lt;=0.005,0,AJ104-MIN(AJ104,MAX(0,$E104-SUMIFS(H104:AK104,$H$5:$AK$5,"Rem",$H$4:$AK$4,"&lt;"&amp;AK$4))))</f>
        <v/>
      </c>
      <c r="AL104" s="1" t="n"/>
    </row>
    <row r="105">
      <c r="A105" s="1" t="n"/>
      <c r="B105" s="1" t="n">
        <v>98</v>
      </c>
      <c r="C105" s="34">
        <f>EDATE(Debts!$J$13,B105-1)</f>
        <v/>
      </c>
      <c r="D105" s="33">
        <f>IF(G104&lt;=0.005,0,Debts!$E$16+Debts!$J$7)</f>
        <v/>
      </c>
      <c r="E105" s="33">
        <f>MAX(0,D105-(SUMIF($H$5:$AK$5,"Due",H105:AK105)-SUMIF($H$5:$AK$5,"Rem",H105:AK105)))</f>
        <v/>
      </c>
      <c r="F105" s="33">
        <f>SUMIF($H$5:$AK$5,"Due",H105:AK105)-SUMIF($H$5:$AK$5,"Bal",H104:AK104)</f>
        <v/>
      </c>
      <c r="G105" s="33">
        <f>SUMIF($H$5:$AK$5,"Bal",H105:AK105)</f>
        <v/>
      </c>
      <c r="H105" s="33">
        <f>J104*(1+N(Debts!$D$6)/1200)</f>
        <v/>
      </c>
      <c r="I105" s="33">
        <f>H105-MIN(N(Debts!$E$6),H105)</f>
        <v/>
      </c>
      <c r="J105" s="33">
        <f>IF(I105&lt;=0.005,0,I105-MIN(I105,MAX(0,$E105-SUMIFS(H105:AK105,$H$5:$AK$5,"Rem",$H$4:$AK$4,"&lt;"&amp;J$4))))</f>
        <v/>
      </c>
      <c r="K105" s="33">
        <f>M104*(1+N(Debts!$D$7)/1200)</f>
        <v/>
      </c>
      <c r="L105" s="33">
        <f>K105-MIN(N(Debts!$E$7),K105)</f>
        <v/>
      </c>
      <c r="M105" s="33">
        <f>IF(L105&lt;=0.005,0,L105-MIN(L105,MAX(0,$E105-SUMIFS(H105:AK105,$H$5:$AK$5,"Rem",$H$4:$AK$4,"&lt;"&amp;M$4))))</f>
        <v/>
      </c>
      <c r="N105" s="33">
        <f>P104*(1+N(Debts!$D$8)/1200)</f>
        <v/>
      </c>
      <c r="O105" s="33">
        <f>N105-MIN(N(Debts!$E$8),N105)</f>
        <v/>
      </c>
      <c r="P105" s="33">
        <f>IF(O105&lt;=0.005,0,O105-MIN(O105,MAX(0,$E105-SUMIFS(H105:AK105,$H$5:$AK$5,"Rem",$H$4:$AK$4,"&lt;"&amp;P$4))))</f>
        <v/>
      </c>
      <c r="Q105" s="33">
        <f>S104*(1+N(Debts!$D$9)/1200)</f>
        <v/>
      </c>
      <c r="R105" s="33">
        <f>Q105-MIN(N(Debts!$E$9),Q105)</f>
        <v/>
      </c>
      <c r="S105" s="33">
        <f>IF(R105&lt;=0.005,0,R105-MIN(R105,MAX(0,$E105-SUMIFS(H105:AK105,$H$5:$AK$5,"Rem",$H$4:$AK$4,"&lt;"&amp;S$4))))</f>
        <v/>
      </c>
      <c r="T105" s="33">
        <f>V104*(1+N(Debts!$D$10)/1200)</f>
        <v/>
      </c>
      <c r="U105" s="33">
        <f>T105-MIN(N(Debts!$E$10),T105)</f>
        <v/>
      </c>
      <c r="V105" s="33">
        <f>IF(U105&lt;=0.005,0,U105-MIN(U105,MAX(0,$E105-SUMIFS(H105:AK105,$H$5:$AK$5,"Rem",$H$4:$AK$4,"&lt;"&amp;V$4))))</f>
        <v/>
      </c>
      <c r="W105" s="33">
        <f>Y104*(1+N(Debts!$D$11)/1200)</f>
        <v/>
      </c>
      <c r="X105" s="33">
        <f>W105-MIN(N(Debts!$E$11),W105)</f>
        <v/>
      </c>
      <c r="Y105" s="33">
        <f>IF(X105&lt;=0.005,0,X105-MIN(X105,MAX(0,$E105-SUMIFS(H105:AK105,$H$5:$AK$5,"Rem",$H$4:$AK$4,"&lt;"&amp;Y$4))))</f>
        <v/>
      </c>
      <c r="Z105" s="33">
        <f>AB104*(1+N(Debts!$D$12)/1200)</f>
        <v/>
      </c>
      <c r="AA105" s="33">
        <f>Z105-MIN(N(Debts!$E$12),Z105)</f>
        <v/>
      </c>
      <c r="AB105" s="33">
        <f>IF(AA105&lt;=0.005,0,AA105-MIN(AA105,MAX(0,$E105-SUMIFS(H105:AK105,$H$5:$AK$5,"Rem",$H$4:$AK$4,"&lt;"&amp;AB$4))))</f>
        <v/>
      </c>
      <c r="AC105" s="33">
        <f>AE104*(1+N(Debts!$D$13)/1200)</f>
        <v/>
      </c>
      <c r="AD105" s="33">
        <f>AC105-MIN(N(Debts!$E$13),AC105)</f>
        <v/>
      </c>
      <c r="AE105" s="33">
        <f>IF(AD105&lt;=0.005,0,AD105-MIN(AD105,MAX(0,$E105-SUMIFS(H105:AK105,$H$5:$AK$5,"Rem",$H$4:$AK$4,"&lt;"&amp;AE$4))))</f>
        <v/>
      </c>
      <c r="AF105" s="33">
        <f>AH104*(1+N(Debts!$D$14)/1200)</f>
        <v/>
      </c>
      <c r="AG105" s="33">
        <f>AF105-MIN(N(Debts!$E$14),AF105)</f>
        <v/>
      </c>
      <c r="AH105" s="33">
        <f>IF(AG105&lt;=0.005,0,AG105-MIN(AG105,MAX(0,$E105-SUMIFS(H105:AK105,$H$5:$AK$5,"Rem",$H$4:$AK$4,"&lt;"&amp;AH$4))))</f>
        <v/>
      </c>
      <c r="AI105" s="33">
        <f>AK104*(1+N(Debts!$D$15)/1200)</f>
        <v/>
      </c>
      <c r="AJ105" s="33">
        <f>AI105-MIN(N(Debts!$E$15),AI105)</f>
        <v/>
      </c>
      <c r="AK105" s="33">
        <f>IF(AJ105&lt;=0.005,0,AJ105-MIN(AJ105,MAX(0,$E105-SUMIFS(H105:AK105,$H$5:$AK$5,"Rem",$H$4:$AK$4,"&lt;"&amp;AK$4))))</f>
        <v/>
      </c>
      <c r="AL105" s="1" t="n"/>
    </row>
    <row r="106">
      <c r="A106" s="1" t="n"/>
      <c r="B106" s="1" t="n">
        <v>99</v>
      </c>
      <c r="C106" s="34">
        <f>EDATE(Debts!$J$13,B106-1)</f>
        <v/>
      </c>
      <c r="D106" s="33">
        <f>IF(G105&lt;=0.005,0,Debts!$E$16+Debts!$J$7)</f>
        <v/>
      </c>
      <c r="E106" s="33">
        <f>MAX(0,D106-(SUMIF($H$5:$AK$5,"Due",H106:AK106)-SUMIF($H$5:$AK$5,"Rem",H106:AK106)))</f>
        <v/>
      </c>
      <c r="F106" s="33">
        <f>SUMIF($H$5:$AK$5,"Due",H106:AK106)-SUMIF($H$5:$AK$5,"Bal",H105:AK105)</f>
        <v/>
      </c>
      <c r="G106" s="33">
        <f>SUMIF($H$5:$AK$5,"Bal",H106:AK106)</f>
        <v/>
      </c>
      <c r="H106" s="33">
        <f>J105*(1+N(Debts!$D$6)/1200)</f>
        <v/>
      </c>
      <c r="I106" s="33">
        <f>H106-MIN(N(Debts!$E$6),H106)</f>
        <v/>
      </c>
      <c r="J106" s="33">
        <f>IF(I106&lt;=0.005,0,I106-MIN(I106,MAX(0,$E106-SUMIFS(H106:AK106,$H$5:$AK$5,"Rem",$H$4:$AK$4,"&lt;"&amp;J$4))))</f>
        <v/>
      </c>
      <c r="K106" s="33">
        <f>M105*(1+N(Debts!$D$7)/1200)</f>
        <v/>
      </c>
      <c r="L106" s="33">
        <f>K106-MIN(N(Debts!$E$7),K106)</f>
        <v/>
      </c>
      <c r="M106" s="33">
        <f>IF(L106&lt;=0.005,0,L106-MIN(L106,MAX(0,$E106-SUMIFS(H106:AK106,$H$5:$AK$5,"Rem",$H$4:$AK$4,"&lt;"&amp;M$4))))</f>
        <v/>
      </c>
      <c r="N106" s="33">
        <f>P105*(1+N(Debts!$D$8)/1200)</f>
        <v/>
      </c>
      <c r="O106" s="33">
        <f>N106-MIN(N(Debts!$E$8),N106)</f>
        <v/>
      </c>
      <c r="P106" s="33">
        <f>IF(O106&lt;=0.005,0,O106-MIN(O106,MAX(0,$E106-SUMIFS(H106:AK106,$H$5:$AK$5,"Rem",$H$4:$AK$4,"&lt;"&amp;P$4))))</f>
        <v/>
      </c>
      <c r="Q106" s="33">
        <f>S105*(1+N(Debts!$D$9)/1200)</f>
        <v/>
      </c>
      <c r="R106" s="33">
        <f>Q106-MIN(N(Debts!$E$9),Q106)</f>
        <v/>
      </c>
      <c r="S106" s="33">
        <f>IF(R106&lt;=0.005,0,R106-MIN(R106,MAX(0,$E106-SUMIFS(H106:AK106,$H$5:$AK$5,"Rem",$H$4:$AK$4,"&lt;"&amp;S$4))))</f>
        <v/>
      </c>
      <c r="T106" s="33">
        <f>V105*(1+N(Debts!$D$10)/1200)</f>
        <v/>
      </c>
      <c r="U106" s="33">
        <f>T106-MIN(N(Debts!$E$10),T106)</f>
        <v/>
      </c>
      <c r="V106" s="33">
        <f>IF(U106&lt;=0.005,0,U106-MIN(U106,MAX(0,$E106-SUMIFS(H106:AK106,$H$5:$AK$5,"Rem",$H$4:$AK$4,"&lt;"&amp;V$4))))</f>
        <v/>
      </c>
      <c r="W106" s="33">
        <f>Y105*(1+N(Debts!$D$11)/1200)</f>
        <v/>
      </c>
      <c r="X106" s="33">
        <f>W106-MIN(N(Debts!$E$11),W106)</f>
        <v/>
      </c>
      <c r="Y106" s="33">
        <f>IF(X106&lt;=0.005,0,X106-MIN(X106,MAX(0,$E106-SUMIFS(H106:AK106,$H$5:$AK$5,"Rem",$H$4:$AK$4,"&lt;"&amp;Y$4))))</f>
        <v/>
      </c>
      <c r="Z106" s="33">
        <f>AB105*(1+N(Debts!$D$12)/1200)</f>
        <v/>
      </c>
      <c r="AA106" s="33">
        <f>Z106-MIN(N(Debts!$E$12),Z106)</f>
        <v/>
      </c>
      <c r="AB106" s="33">
        <f>IF(AA106&lt;=0.005,0,AA106-MIN(AA106,MAX(0,$E106-SUMIFS(H106:AK106,$H$5:$AK$5,"Rem",$H$4:$AK$4,"&lt;"&amp;AB$4))))</f>
        <v/>
      </c>
      <c r="AC106" s="33">
        <f>AE105*(1+N(Debts!$D$13)/1200)</f>
        <v/>
      </c>
      <c r="AD106" s="33">
        <f>AC106-MIN(N(Debts!$E$13),AC106)</f>
        <v/>
      </c>
      <c r="AE106" s="33">
        <f>IF(AD106&lt;=0.005,0,AD106-MIN(AD106,MAX(0,$E106-SUMIFS(H106:AK106,$H$5:$AK$5,"Rem",$H$4:$AK$4,"&lt;"&amp;AE$4))))</f>
        <v/>
      </c>
      <c r="AF106" s="33">
        <f>AH105*(1+N(Debts!$D$14)/1200)</f>
        <v/>
      </c>
      <c r="AG106" s="33">
        <f>AF106-MIN(N(Debts!$E$14),AF106)</f>
        <v/>
      </c>
      <c r="AH106" s="33">
        <f>IF(AG106&lt;=0.005,0,AG106-MIN(AG106,MAX(0,$E106-SUMIFS(H106:AK106,$H$5:$AK$5,"Rem",$H$4:$AK$4,"&lt;"&amp;AH$4))))</f>
        <v/>
      </c>
      <c r="AI106" s="33">
        <f>AK105*(1+N(Debts!$D$15)/1200)</f>
        <v/>
      </c>
      <c r="AJ106" s="33">
        <f>AI106-MIN(N(Debts!$E$15),AI106)</f>
        <v/>
      </c>
      <c r="AK106" s="33">
        <f>IF(AJ106&lt;=0.005,0,AJ106-MIN(AJ106,MAX(0,$E106-SUMIFS(H106:AK106,$H$5:$AK$5,"Rem",$H$4:$AK$4,"&lt;"&amp;AK$4))))</f>
        <v/>
      </c>
      <c r="AL106" s="1" t="n"/>
    </row>
    <row r="107">
      <c r="A107" s="1" t="n"/>
      <c r="B107" s="1" t="n">
        <v>100</v>
      </c>
      <c r="C107" s="34">
        <f>EDATE(Debts!$J$13,B107-1)</f>
        <v/>
      </c>
      <c r="D107" s="33">
        <f>IF(G106&lt;=0.005,0,Debts!$E$16+Debts!$J$7)</f>
        <v/>
      </c>
      <c r="E107" s="33">
        <f>MAX(0,D107-(SUMIF($H$5:$AK$5,"Due",H107:AK107)-SUMIF($H$5:$AK$5,"Rem",H107:AK107)))</f>
        <v/>
      </c>
      <c r="F107" s="33">
        <f>SUMIF($H$5:$AK$5,"Due",H107:AK107)-SUMIF($H$5:$AK$5,"Bal",H106:AK106)</f>
        <v/>
      </c>
      <c r="G107" s="33">
        <f>SUMIF($H$5:$AK$5,"Bal",H107:AK107)</f>
        <v/>
      </c>
      <c r="H107" s="33">
        <f>J106*(1+N(Debts!$D$6)/1200)</f>
        <v/>
      </c>
      <c r="I107" s="33">
        <f>H107-MIN(N(Debts!$E$6),H107)</f>
        <v/>
      </c>
      <c r="J107" s="33">
        <f>IF(I107&lt;=0.005,0,I107-MIN(I107,MAX(0,$E107-SUMIFS(H107:AK107,$H$5:$AK$5,"Rem",$H$4:$AK$4,"&lt;"&amp;J$4))))</f>
        <v/>
      </c>
      <c r="K107" s="33">
        <f>M106*(1+N(Debts!$D$7)/1200)</f>
        <v/>
      </c>
      <c r="L107" s="33">
        <f>K107-MIN(N(Debts!$E$7),K107)</f>
        <v/>
      </c>
      <c r="M107" s="33">
        <f>IF(L107&lt;=0.005,0,L107-MIN(L107,MAX(0,$E107-SUMIFS(H107:AK107,$H$5:$AK$5,"Rem",$H$4:$AK$4,"&lt;"&amp;M$4))))</f>
        <v/>
      </c>
      <c r="N107" s="33">
        <f>P106*(1+N(Debts!$D$8)/1200)</f>
        <v/>
      </c>
      <c r="O107" s="33">
        <f>N107-MIN(N(Debts!$E$8),N107)</f>
        <v/>
      </c>
      <c r="P107" s="33">
        <f>IF(O107&lt;=0.005,0,O107-MIN(O107,MAX(0,$E107-SUMIFS(H107:AK107,$H$5:$AK$5,"Rem",$H$4:$AK$4,"&lt;"&amp;P$4))))</f>
        <v/>
      </c>
      <c r="Q107" s="33">
        <f>S106*(1+N(Debts!$D$9)/1200)</f>
        <v/>
      </c>
      <c r="R107" s="33">
        <f>Q107-MIN(N(Debts!$E$9),Q107)</f>
        <v/>
      </c>
      <c r="S107" s="33">
        <f>IF(R107&lt;=0.005,0,R107-MIN(R107,MAX(0,$E107-SUMIFS(H107:AK107,$H$5:$AK$5,"Rem",$H$4:$AK$4,"&lt;"&amp;S$4))))</f>
        <v/>
      </c>
      <c r="T107" s="33">
        <f>V106*(1+N(Debts!$D$10)/1200)</f>
        <v/>
      </c>
      <c r="U107" s="33">
        <f>T107-MIN(N(Debts!$E$10),T107)</f>
        <v/>
      </c>
      <c r="V107" s="33">
        <f>IF(U107&lt;=0.005,0,U107-MIN(U107,MAX(0,$E107-SUMIFS(H107:AK107,$H$5:$AK$5,"Rem",$H$4:$AK$4,"&lt;"&amp;V$4))))</f>
        <v/>
      </c>
      <c r="W107" s="33">
        <f>Y106*(1+N(Debts!$D$11)/1200)</f>
        <v/>
      </c>
      <c r="X107" s="33">
        <f>W107-MIN(N(Debts!$E$11),W107)</f>
        <v/>
      </c>
      <c r="Y107" s="33">
        <f>IF(X107&lt;=0.005,0,X107-MIN(X107,MAX(0,$E107-SUMIFS(H107:AK107,$H$5:$AK$5,"Rem",$H$4:$AK$4,"&lt;"&amp;Y$4))))</f>
        <v/>
      </c>
      <c r="Z107" s="33">
        <f>AB106*(1+N(Debts!$D$12)/1200)</f>
        <v/>
      </c>
      <c r="AA107" s="33">
        <f>Z107-MIN(N(Debts!$E$12),Z107)</f>
        <v/>
      </c>
      <c r="AB107" s="33">
        <f>IF(AA107&lt;=0.005,0,AA107-MIN(AA107,MAX(0,$E107-SUMIFS(H107:AK107,$H$5:$AK$5,"Rem",$H$4:$AK$4,"&lt;"&amp;AB$4))))</f>
        <v/>
      </c>
      <c r="AC107" s="33">
        <f>AE106*(1+N(Debts!$D$13)/1200)</f>
        <v/>
      </c>
      <c r="AD107" s="33">
        <f>AC107-MIN(N(Debts!$E$13),AC107)</f>
        <v/>
      </c>
      <c r="AE107" s="33">
        <f>IF(AD107&lt;=0.005,0,AD107-MIN(AD107,MAX(0,$E107-SUMIFS(H107:AK107,$H$5:$AK$5,"Rem",$H$4:$AK$4,"&lt;"&amp;AE$4))))</f>
        <v/>
      </c>
      <c r="AF107" s="33">
        <f>AH106*(1+N(Debts!$D$14)/1200)</f>
        <v/>
      </c>
      <c r="AG107" s="33">
        <f>AF107-MIN(N(Debts!$E$14),AF107)</f>
        <v/>
      </c>
      <c r="AH107" s="33">
        <f>IF(AG107&lt;=0.005,0,AG107-MIN(AG107,MAX(0,$E107-SUMIFS(H107:AK107,$H$5:$AK$5,"Rem",$H$4:$AK$4,"&lt;"&amp;AH$4))))</f>
        <v/>
      </c>
      <c r="AI107" s="33">
        <f>AK106*(1+N(Debts!$D$15)/1200)</f>
        <v/>
      </c>
      <c r="AJ107" s="33">
        <f>AI107-MIN(N(Debts!$E$15),AI107)</f>
        <v/>
      </c>
      <c r="AK107" s="33">
        <f>IF(AJ107&lt;=0.005,0,AJ107-MIN(AJ107,MAX(0,$E107-SUMIFS(H107:AK107,$H$5:$AK$5,"Rem",$H$4:$AK$4,"&lt;"&amp;AK$4))))</f>
        <v/>
      </c>
      <c r="AL107" s="1" t="n"/>
    </row>
    <row r="108">
      <c r="A108" s="1" t="n"/>
      <c r="B108" s="1" t="n">
        <v>101</v>
      </c>
      <c r="C108" s="34">
        <f>EDATE(Debts!$J$13,B108-1)</f>
        <v/>
      </c>
      <c r="D108" s="33">
        <f>IF(G107&lt;=0.005,0,Debts!$E$16+Debts!$J$7)</f>
        <v/>
      </c>
      <c r="E108" s="33">
        <f>MAX(0,D108-(SUMIF($H$5:$AK$5,"Due",H108:AK108)-SUMIF($H$5:$AK$5,"Rem",H108:AK108)))</f>
        <v/>
      </c>
      <c r="F108" s="33">
        <f>SUMIF($H$5:$AK$5,"Due",H108:AK108)-SUMIF($H$5:$AK$5,"Bal",H107:AK107)</f>
        <v/>
      </c>
      <c r="G108" s="33">
        <f>SUMIF($H$5:$AK$5,"Bal",H108:AK108)</f>
        <v/>
      </c>
      <c r="H108" s="33">
        <f>J107*(1+N(Debts!$D$6)/1200)</f>
        <v/>
      </c>
      <c r="I108" s="33">
        <f>H108-MIN(N(Debts!$E$6),H108)</f>
        <v/>
      </c>
      <c r="J108" s="33">
        <f>IF(I108&lt;=0.005,0,I108-MIN(I108,MAX(0,$E108-SUMIFS(H108:AK108,$H$5:$AK$5,"Rem",$H$4:$AK$4,"&lt;"&amp;J$4))))</f>
        <v/>
      </c>
      <c r="K108" s="33">
        <f>M107*(1+N(Debts!$D$7)/1200)</f>
        <v/>
      </c>
      <c r="L108" s="33">
        <f>K108-MIN(N(Debts!$E$7),K108)</f>
        <v/>
      </c>
      <c r="M108" s="33">
        <f>IF(L108&lt;=0.005,0,L108-MIN(L108,MAX(0,$E108-SUMIFS(H108:AK108,$H$5:$AK$5,"Rem",$H$4:$AK$4,"&lt;"&amp;M$4))))</f>
        <v/>
      </c>
      <c r="N108" s="33">
        <f>P107*(1+N(Debts!$D$8)/1200)</f>
        <v/>
      </c>
      <c r="O108" s="33">
        <f>N108-MIN(N(Debts!$E$8),N108)</f>
        <v/>
      </c>
      <c r="P108" s="33">
        <f>IF(O108&lt;=0.005,0,O108-MIN(O108,MAX(0,$E108-SUMIFS(H108:AK108,$H$5:$AK$5,"Rem",$H$4:$AK$4,"&lt;"&amp;P$4))))</f>
        <v/>
      </c>
      <c r="Q108" s="33">
        <f>S107*(1+N(Debts!$D$9)/1200)</f>
        <v/>
      </c>
      <c r="R108" s="33">
        <f>Q108-MIN(N(Debts!$E$9),Q108)</f>
        <v/>
      </c>
      <c r="S108" s="33">
        <f>IF(R108&lt;=0.005,0,R108-MIN(R108,MAX(0,$E108-SUMIFS(H108:AK108,$H$5:$AK$5,"Rem",$H$4:$AK$4,"&lt;"&amp;S$4))))</f>
        <v/>
      </c>
      <c r="T108" s="33">
        <f>V107*(1+N(Debts!$D$10)/1200)</f>
        <v/>
      </c>
      <c r="U108" s="33">
        <f>T108-MIN(N(Debts!$E$10),T108)</f>
        <v/>
      </c>
      <c r="V108" s="33">
        <f>IF(U108&lt;=0.005,0,U108-MIN(U108,MAX(0,$E108-SUMIFS(H108:AK108,$H$5:$AK$5,"Rem",$H$4:$AK$4,"&lt;"&amp;V$4))))</f>
        <v/>
      </c>
      <c r="W108" s="33">
        <f>Y107*(1+N(Debts!$D$11)/1200)</f>
        <v/>
      </c>
      <c r="X108" s="33">
        <f>W108-MIN(N(Debts!$E$11),W108)</f>
        <v/>
      </c>
      <c r="Y108" s="33">
        <f>IF(X108&lt;=0.005,0,X108-MIN(X108,MAX(0,$E108-SUMIFS(H108:AK108,$H$5:$AK$5,"Rem",$H$4:$AK$4,"&lt;"&amp;Y$4))))</f>
        <v/>
      </c>
      <c r="Z108" s="33">
        <f>AB107*(1+N(Debts!$D$12)/1200)</f>
        <v/>
      </c>
      <c r="AA108" s="33">
        <f>Z108-MIN(N(Debts!$E$12),Z108)</f>
        <v/>
      </c>
      <c r="AB108" s="33">
        <f>IF(AA108&lt;=0.005,0,AA108-MIN(AA108,MAX(0,$E108-SUMIFS(H108:AK108,$H$5:$AK$5,"Rem",$H$4:$AK$4,"&lt;"&amp;AB$4))))</f>
        <v/>
      </c>
      <c r="AC108" s="33">
        <f>AE107*(1+N(Debts!$D$13)/1200)</f>
        <v/>
      </c>
      <c r="AD108" s="33">
        <f>AC108-MIN(N(Debts!$E$13),AC108)</f>
        <v/>
      </c>
      <c r="AE108" s="33">
        <f>IF(AD108&lt;=0.005,0,AD108-MIN(AD108,MAX(0,$E108-SUMIFS(H108:AK108,$H$5:$AK$5,"Rem",$H$4:$AK$4,"&lt;"&amp;AE$4))))</f>
        <v/>
      </c>
      <c r="AF108" s="33">
        <f>AH107*(1+N(Debts!$D$14)/1200)</f>
        <v/>
      </c>
      <c r="AG108" s="33">
        <f>AF108-MIN(N(Debts!$E$14),AF108)</f>
        <v/>
      </c>
      <c r="AH108" s="33">
        <f>IF(AG108&lt;=0.005,0,AG108-MIN(AG108,MAX(0,$E108-SUMIFS(H108:AK108,$H$5:$AK$5,"Rem",$H$4:$AK$4,"&lt;"&amp;AH$4))))</f>
        <v/>
      </c>
      <c r="AI108" s="33">
        <f>AK107*(1+N(Debts!$D$15)/1200)</f>
        <v/>
      </c>
      <c r="AJ108" s="33">
        <f>AI108-MIN(N(Debts!$E$15),AI108)</f>
        <v/>
      </c>
      <c r="AK108" s="33">
        <f>IF(AJ108&lt;=0.005,0,AJ108-MIN(AJ108,MAX(0,$E108-SUMIFS(H108:AK108,$H$5:$AK$5,"Rem",$H$4:$AK$4,"&lt;"&amp;AK$4))))</f>
        <v/>
      </c>
      <c r="AL108" s="1" t="n"/>
    </row>
    <row r="109">
      <c r="A109" s="1" t="n"/>
      <c r="B109" s="1" t="n">
        <v>102</v>
      </c>
      <c r="C109" s="34">
        <f>EDATE(Debts!$J$13,B109-1)</f>
        <v/>
      </c>
      <c r="D109" s="33">
        <f>IF(G108&lt;=0.005,0,Debts!$E$16+Debts!$J$7)</f>
        <v/>
      </c>
      <c r="E109" s="33">
        <f>MAX(0,D109-(SUMIF($H$5:$AK$5,"Due",H109:AK109)-SUMIF($H$5:$AK$5,"Rem",H109:AK109)))</f>
        <v/>
      </c>
      <c r="F109" s="33">
        <f>SUMIF($H$5:$AK$5,"Due",H109:AK109)-SUMIF($H$5:$AK$5,"Bal",H108:AK108)</f>
        <v/>
      </c>
      <c r="G109" s="33">
        <f>SUMIF($H$5:$AK$5,"Bal",H109:AK109)</f>
        <v/>
      </c>
      <c r="H109" s="33">
        <f>J108*(1+N(Debts!$D$6)/1200)</f>
        <v/>
      </c>
      <c r="I109" s="33">
        <f>H109-MIN(N(Debts!$E$6),H109)</f>
        <v/>
      </c>
      <c r="J109" s="33">
        <f>IF(I109&lt;=0.005,0,I109-MIN(I109,MAX(0,$E109-SUMIFS(H109:AK109,$H$5:$AK$5,"Rem",$H$4:$AK$4,"&lt;"&amp;J$4))))</f>
        <v/>
      </c>
      <c r="K109" s="33">
        <f>M108*(1+N(Debts!$D$7)/1200)</f>
        <v/>
      </c>
      <c r="L109" s="33">
        <f>K109-MIN(N(Debts!$E$7),K109)</f>
        <v/>
      </c>
      <c r="M109" s="33">
        <f>IF(L109&lt;=0.005,0,L109-MIN(L109,MAX(0,$E109-SUMIFS(H109:AK109,$H$5:$AK$5,"Rem",$H$4:$AK$4,"&lt;"&amp;M$4))))</f>
        <v/>
      </c>
      <c r="N109" s="33">
        <f>P108*(1+N(Debts!$D$8)/1200)</f>
        <v/>
      </c>
      <c r="O109" s="33">
        <f>N109-MIN(N(Debts!$E$8),N109)</f>
        <v/>
      </c>
      <c r="P109" s="33">
        <f>IF(O109&lt;=0.005,0,O109-MIN(O109,MAX(0,$E109-SUMIFS(H109:AK109,$H$5:$AK$5,"Rem",$H$4:$AK$4,"&lt;"&amp;P$4))))</f>
        <v/>
      </c>
      <c r="Q109" s="33">
        <f>S108*(1+N(Debts!$D$9)/1200)</f>
        <v/>
      </c>
      <c r="R109" s="33">
        <f>Q109-MIN(N(Debts!$E$9),Q109)</f>
        <v/>
      </c>
      <c r="S109" s="33">
        <f>IF(R109&lt;=0.005,0,R109-MIN(R109,MAX(0,$E109-SUMIFS(H109:AK109,$H$5:$AK$5,"Rem",$H$4:$AK$4,"&lt;"&amp;S$4))))</f>
        <v/>
      </c>
      <c r="T109" s="33">
        <f>V108*(1+N(Debts!$D$10)/1200)</f>
        <v/>
      </c>
      <c r="U109" s="33">
        <f>T109-MIN(N(Debts!$E$10),T109)</f>
        <v/>
      </c>
      <c r="V109" s="33">
        <f>IF(U109&lt;=0.005,0,U109-MIN(U109,MAX(0,$E109-SUMIFS(H109:AK109,$H$5:$AK$5,"Rem",$H$4:$AK$4,"&lt;"&amp;V$4))))</f>
        <v/>
      </c>
      <c r="W109" s="33">
        <f>Y108*(1+N(Debts!$D$11)/1200)</f>
        <v/>
      </c>
      <c r="X109" s="33">
        <f>W109-MIN(N(Debts!$E$11),W109)</f>
        <v/>
      </c>
      <c r="Y109" s="33">
        <f>IF(X109&lt;=0.005,0,X109-MIN(X109,MAX(0,$E109-SUMIFS(H109:AK109,$H$5:$AK$5,"Rem",$H$4:$AK$4,"&lt;"&amp;Y$4))))</f>
        <v/>
      </c>
      <c r="Z109" s="33">
        <f>AB108*(1+N(Debts!$D$12)/1200)</f>
        <v/>
      </c>
      <c r="AA109" s="33">
        <f>Z109-MIN(N(Debts!$E$12),Z109)</f>
        <v/>
      </c>
      <c r="AB109" s="33">
        <f>IF(AA109&lt;=0.005,0,AA109-MIN(AA109,MAX(0,$E109-SUMIFS(H109:AK109,$H$5:$AK$5,"Rem",$H$4:$AK$4,"&lt;"&amp;AB$4))))</f>
        <v/>
      </c>
      <c r="AC109" s="33">
        <f>AE108*(1+N(Debts!$D$13)/1200)</f>
        <v/>
      </c>
      <c r="AD109" s="33">
        <f>AC109-MIN(N(Debts!$E$13),AC109)</f>
        <v/>
      </c>
      <c r="AE109" s="33">
        <f>IF(AD109&lt;=0.005,0,AD109-MIN(AD109,MAX(0,$E109-SUMIFS(H109:AK109,$H$5:$AK$5,"Rem",$H$4:$AK$4,"&lt;"&amp;AE$4))))</f>
        <v/>
      </c>
      <c r="AF109" s="33">
        <f>AH108*(1+N(Debts!$D$14)/1200)</f>
        <v/>
      </c>
      <c r="AG109" s="33">
        <f>AF109-MIN(N(Debts!$E$14),AF109)</f>
        <v/>
      </c>
      <c r="AH109" s="33">
        <f>IF(AG109&lt;=0.005,0,AG109-MIN(AG109,MAX(0,$E109-SUMIFS(H109:AK109,$H$5:$AK$5,"Rem",$H$4:$AK$4,"&lt;"&amp;AH$4))))</f>
        <v/>
      </c>
      <c r="AI109" s="33">
        <f>AK108*(1+N(Debts!$D$15)/1200)</f>
        <v/>
      </c>
      <c r="AJ109" s="33">
        <f>AI109-MIN(N(Debts!$E$15),AI109)</f>
        <v/>
      </c>
      <c r="AK109" s="33">
        <f>IF(AJ109&lt;=0.005,0,AJ109-MIN(AJ109,MAX(0,$E109-SUMIFS(H109:AK109,$H$5:$AK$5,"Rem",$H$4:$AK$4,"&lt;"&amp;AK$4))))</f>
        <v/>
      </c>
      <c r="AL109" s="1" t="n"/>
    </row>
    <row r="110">
      <c r="A110" s="1" t="n"/>
      <c r="B110" s="1" t="n">
        <v>103</v>
      </c>
      <c r="C110" s="34">
        <f>EDATE(Debts!$J$13,B110-1)</f>
        <v/>
      </c>
      <c r="D110" s="33">
        <f>IF(G109&lt;=0.005,0,Debts!$E$16+Debts!$J$7)</f>
        <v/>
      </c>
      <c r="E110" s="33">
        <f>MAX(0,D110-(SUMIF($H$5:$AK$5,"Due",H110:AK110)-SUMIF($H$5:$AK$5,"Rem",H110:AK110)))</f>
        <v/>
      </c>
      <c r="F110" s="33">
        <f>SUMIF($H$5:$AK$5,"Due",H110:AK110)-SUMIF($H$5:$AK$5,"Bal",H109:AK109)</f>
        <v/>
      </c>
      <c r="G110" s="33">
        <f>SUMIF($H$5:$AK$5,"Bal",H110:AK110)</f>
        <v/>
      </c>
      <c r="H110" s="33">
        <f>J109*(1+N(Debts!$D$6)/1200)</f>
        <v/>
      </c>
      <c r="I110" s="33">
        <f>H110-MIN(N(Debts!$E$6),H110)</f>
        <v/>
      </c>
      <c r="J110" s="33">
        <f>IF(I110&lt;=0.005,0,I110-MIN(I110,MAX(0,$E110-SUMIFS(H110:AK110,$H$5:$AK$5,"Rem",$H$4:$AK$4,"&lt;"&amp;J$4))))</f>
        <v/>
      </c>
      <c r="K110" s="33">
        <f>M109*(1+N(Debts!$D$7)/1200)</f>
        <v/>
      </c>
      <c r="L110" s="33">
        <f>K110-MIN(N(Debts!$E$7),K110)</f>
        <v/>
      </c>
      <c r="M110" s="33">
        <f>IF(L110&lt;=0.005,0,L110-MIN(L110,MAX(0,$E110-SUMIFS(H110:AK110,$H$5:$AK$5,"Rem",$H$4:$AK$4,"&lt;"&amp;M$4))))</f>
        <v/>
      </c>
      <c r="N110" s="33">
        <f>P109*(1+N(Debts!$D$8)/1200)</f>
        <v/>
      </c>
      <c r="O110" s="33">
        <f>N110-MIN(N(Debts!$E$8),N110)</f>
        <v/>
      </c>
      <c r="P110" s="33">
        <f>IF(O110&lt;=0.005,0,O110-MIN(O110,MAX(0,$E110-SUMIFS(H110:AK110,$H$5:$AK$5,"Rem",$H$4:$AK$4,"&lt;"&amp;P$4))))</f>
        <v/>
      </c>
      <c r="Q110" s="33">
        <f>S109*(1+N(Debts!$D$9)/1200)</f>
        <v/>
      </c>
      <c r="R110" s="33">
        <f>Q110-MIN(N(Debts!$E$9),Q110)</f>
        <v/>
      </c>
      <c r="S110" s="33">
        <f>IF(R110&lt;=0.005,0,R110-MIN(R110,MAX(0,$E110-SUMIFS(H110:AK110,$H$5:$AK$5,"Rem",$H$4:$AK$4,"&lt;"&amp;S$4))))</f>
        <v/>
      </c>
      <c r="T110" s="33">
        <f>V109*(1+N(Debts!$D$10)/1200)</f>
        <v/>
      </c>
      <c r="U110" s="33">
        <f>T110-MIN(N(Debts!$E$10),T110)</f>
        <v/>
      </c>
      <c r="V110" s="33">
        <f>IF(U110&lt;=0.005,0,U110-MIN(U110,MAX(0,$E110-SUMIFS(H110:AK110,$H$5:$AK$5,"Rem",$H$4:$AK$4,"&lt;"&amp;V$4))))</f>
        <v/>
      </c>
      <c r="W110" s="33">
        <f>Y109*(1+N(Debts!$D$11)/1200)</f>
        <v/>
      </c>
      <c r="X110" s="33">
        <f>W110-MIN(N(Debts!$E$11),W110)</f>
        <v/>
      </c>
      <c r="Y110" s="33">
        <f>IF(X110&lt;=0.005,0,X110-MIN(X110,MAX(0,$E110-SUMIFS(H110:AK110,$H$5:$AK$5,"Rem",$H$4:$AK$4,"&lt;"&amp;Y$4))))</f>
        <v/>
      </c>
      <c r="Z110" s="33">
        <f>AB109*(1+N(Debts!$D$12)/1200)</f>
        <v/>
      </c>
      <c r="AA110" s="33">
        <f>Z110-MIN(N(Debts!$E$12),Z110)</f>
        <v/>
      </c>
      <c r="AB110" s="33">
        <f>IF(AA110&lt;=0.005,0,AA110-MIN(AA110,MAX(0,$E110-SUMIFS(H110:AK110,$H$5:$AK$5,"Rem",$H$4:$AK$4,"&lt;"&amp;AB$4))))</f>
        <v/>
      </c>
      <c r="AC110" s="33">
        <f>AE109*(1+N(Debts!$D$13)/1200)</f>
        <v/>
      </c>
      <c r="AD110" s="33">
        <f>AC110-MIN(N(Debts!$E$13),AC110)</f>
        <v/>
      </c>
      <c r="AE110" s="33">
        <f>IF(AD110&lt;=0.005,0,AD110-MIN(AD110,MAX(0,$E110-SUMIFS(H110:AK110,$H$5:$AK$5,"Rem",$H$4:$AK$4,"&lt;"&amp;AE$4))))</f>
        <v/>
      </c>
      <c r="AF110" s="33">
        <f>AH109*(1+N(Debts!$D$14)/1200)</f>
        <v/>
      </c>
      <c r="AG110" s="33">
        <f>AF110-MIN(N(Debts!$E$14),AF110)</f>
        <v/>
      </c>
      <c r="AH110" s="33">
        <f>IF(AG110&lt;=0.005,0,AG110-MIN(AG110,MAX(0,$E110-SUMIFS(H110:AK110,$H$5:$AK$5,"Rem",$H$4:$AK$4,"&lt;"&amp;AH$4))))</f>
        <v/>
      </c>
      <c r="AI110" s="33">
        <f>AK109*(1+N(Debts!$D$15)/1200)</f>
        <v/>
      </c>
      <c r="AJ110" s="33">
        <f>AI110-MIN(N(Debts!$E$15),AI110)</f>
        <v/>
      </c>
      <c r="AK110" s="33">
        <f>IF(AJ110&lt;=0.005,0,AJ110-MIN(AJ110,MAX(0,$E110-SUMIFS(H110:AK110,$H$5:$AK$5,"Rem",$H$4:$AK$4,"&lt;"&amp;AK$4))))</f>
        <v/>
      </c>
      <c r="AL110" s="1" t="n"/>
    </row>
    <row r="111">
      <c r="A111" s="1" t="n"/>
      <c r="B111" s="1" t="n">
        <v>104</v>
      </c>
      <c r="C111" s="34">
        <f>EDATE(Debts!$J$13,B111-1)</f>
        <v/>
      </c>
      <c r="D111" s="33">
        <f>IF(G110&lt;=0.005,0,Debts!$E$16+Debts!$J$7)</f>
        <v/>
      </c>
      <c r="E111" s="33">
        <f>MAX(0,D111-(SUMIF($H$5:$AK$5,"Due",H111:AK111)-SUMIF($H$5:$AK$5,"Rem",H111:AK111)))</f>
        <v/>
      </c>
      <c r="F111" s="33">
        <f>SUMIF($H$5:$AK$5,"Due",H111:AK111)-SUMIF($H$5:$AK$5,"Bal",H110:AK110)</f>
        <v/>
      </c>
      <c r="G111" s="33">
        <f>SUMIF($H$5:$AK$5,"Bal",H111:AK111)</f>
        <v/>
      </c>
      <c r="H111" s="33">
        <f>J110*(1+N(Debts!$D$6)/1200)</f>
        <v/>
      </c>
      <c r="I111" s="33">
        <f>H111-MIN(N(Debts!$E$6),H111)</f>
        <v/>
      </c>
      <c r="J111" s="33">
        <f>IF(I111&lt;=0.005,0,I111-MIN(I111,MAX(0,$E111-SUMIFS(H111:AK111,$H$5:$AK$5,"Rem",$H$4:$AK$4,"&lt;"&amp;J$4))))</f>
        <v/>
      </c>
      <c r="K111" s="33">
        <f>M110*(1+N(Debts!$D$7)/1200)</f>
        <v/>
      </c>
      <c r="L111" s="33">
        <f>K111-MIN(N(Debts!$E$7),K111)</f>
        <v/>
      </c>
      <c r="M111" s="33">
        <f>IF(L111&lt;=0.005,0,L111-MIN(L111,MAX(0,$E111-SUMIFS(H111:AK111,$H$5:$AK$5,"Rem",$H$4:$AK$4,"&lt;"&amp;M$4))))</f>
        <v/>
      </c>
      <c r="N111" s="33">
        <f>P110*(1+N(Debts!$D$8)/1200)</f>
        <v/>
      </c>
      <c r="O111" s="33">
        <f>N111-MIN(N(Debts!$E$8),N111)</f>
        <v/>
      </c>
      <c r="P111" s="33">
        <f>IF(O111&lt;=0.005,0,O111-MIN(O111,MAX(0,$E111-SUMIFS(H111:AK111,$H$5:$AK$5,"Rem",$H$4:$AK$4,"&lt;"&amp;P$4))))</f>
        <v/>
      </c>
      <c r="Q111" s="33">
        <f>S110*(1+N(Debts!$D$9)/1200)</f>
        <v/>
      </c>
      <c r="R111" s="33">
        <f>Q111-MIN(N(Debts!$E$9),Q111)</f>
        <v/>
      </c>
      <c r="S111" s="33">
        <f>IF(R111&lt;=0.005,0,R111-MIN(R111,MAX(0,$E111-SUMIFS(H111:AK111,$H$5:$AK$5,"Rem",$H$4:$AK$4,"&lt;"&amp;S$4))))</f>
        <v/>
      </c>
      <c r="T111" s="33">
        <f>V110*(1+N(Debts!$D$10)/1200)</f>
        <v/>
      </c>
      <c r="U111" s="33">
        <f>T111-MIN(N(Debts!$E$10),T111)</f>
        <v/>
      </c>
      <c r="V111" s="33">
        <f>IF(U111&lt;=0.005,0,U111-MIN(U111,MAX(0,$E111-SUMIFS(H111:AK111,$H$5:$AK$5,"Rem",$H$4:$AK$4,"&lt;"&amp;V$4))))</f>
        <v/>
      </c>
      <c r="W111" s="33">
        <f>Y110*(1+N(Debts!$D$11)/1200)</f>
        <v/>
      </c>
      <c r="X111" s="33">
        <f>W111-MIN(N(Debts!$E$11),W111)</f>
        <v/>
      </c>
      <c r="Y111" s="33">
        <f>IF(X111&lt;=0.005,0,X111-MIN(X111,MAX(0,$E111-SUMIFS(H111:AK111,$H$5:$AK$5,"Rem",$H$4:$AK$4,"&lt;"&amp;Y$4))))</f>
        <v/>
      </c>
      <c r="Z111" s="33">
        <f>AB110*(1+N(Debts!$D$12)/1200)</f>
        <v/>
      </c>
      <c r="AA111" s="33">
        <f>Z111-MIN(N(Debts!$E$12),Z111)</f>
        <v/>
      </c>
      <c r="AB111" s="33">
        <f>IF(AA111&lt;=0.005,0,AA111-MIN(AA111,MAX(0,$E111-SUMIFS(H111:AK111,$H$5:$AK$5,"Rem",$H$4:$AK$4,"&lt;"&amp;AB$4))))</f>
        <v/>
      </c>
      <c r="AC111" s="33">
        <f>AE110*(1+N(Debts!$D$13)/1200)</f>
        <v/>
      </c>
      <c r="AD111" s="33">
        <f>AC111-MIN(N(Debts!$E$13),AC111)</f>
        <v/>
      </c>
      <c r="AE111" s="33">
        <f>IF(AD111&lt;=0.005,0,AD111-MIN(AD111,MAX(0,$E111-SUMIFS(H111:AK111,$H$5:$AK$5,"Rem",$H$4:$AK$4,"&lt;"&amp;AE$4))))</f>
        <v/>
      </c>
      <c r="AF111" s="33">
        <f>AH110*(1+N(Debts!$D$14)/1200)</f>
        <v/>
      </c>
      <c r="AG111" s="33">
        <f>AF111-MIN(N(Debts!$E$14),AF111)</f>
        <v/>
      </c>
      <c r="AH111" s="33">
        <f>IF(AG111&lt;=0.005,0,AG111-MIN(AG111,MAX(0,$E111-SUMIFS(H111:AK111,$H$5:$AK$5,"Rem",$H$4:$AK$4,"&lt;"&amp;AH$4))))</f>
        <v/>
      </c>
      <c r="AI111" s="33">
        <f>AK110*(1+N(Debts!$D$15)/1200)</f>
        <v/>
      </c>
      <c r="AJ111" s="33">
        <f>AI111-MIN(N(Debts!$E$15),AI111)</f>
        <v/>
      </c>
      <c r="AK111" s="33">
        <f>IF(AJ111&lt;=0.005,0,AJ111-MIN(AJ111,MAX(0,$E111-SUMIFS(H111:AK111,$H$5:$AK$5,"Rem",$H$4:$AK$4,"&lt;"&amp;AK$4))))</f>
        <v/>
      </c>
      <c r="AL111" s="1" t="n"/>
    </row>
    <row r="112">
      <c r="A112" s="1" t="n"/>
      <c r="B112" s="1" t="n">
        <v>105</v>
      </c>
      <c r="C112" s="34">
        <f>EDATE(Debts!$J$13,B112-1)</f>
        <v/>
      </c>
      <c r="D112" s="33">
        <f>IF(G111&lt;=0.005,0,Debts!$E$16+Debts!$J$7)</f>
        <v/>
      </c>
      <c r="E112" s="33">
        <f>MAX(0,D112-(SUMIF($H$5:$AK$5,"Due",H112:AK112)-SUMIF($H$5:$AK$5,"Rem",H112:AK112)))</f>
        <v/>
      </c>
      <c r="F112" s="33">
        <f>SUMIF($H$5:$AK$5,"Due",H112:AK112)-SUMIF($H$5:$AK$5,"Bal",H111:AK111)</f>
        <v/>
      </c>
      <c r="G112" s="33">
        <f>SUMIF($H$5:$AK$5,"Bal",H112:AK112)</f>
        <v/>
      </c>
      <c r="H112" s="33">
        <f>J111*(1+N(Debts!$D$6)/1200)</f>
        <v/>
      </c>
      <c r="I112" s="33">
        <f>H112-MIN(N(Debts!$E$6),H112)</f>
        <v/>
      </c>
      <c r="J112" s="33">
        <f>IF(I112&lt;=0.005,0,I112-MIN(I112,MAX(0,$E112-SUMIFS(H112:AK112,$H$5:$AK$5,"Rem",$H$4:$AK$4,"&lt;"&amp;J$4))))</f>
        <v/>
      </c>
      <c r="K112" s="33">
        <f>M111*(1+N(Debts!$D$7)/1200)</f>
        <v/>
      </c>
      <c r="L112" s="33">
        <f>K112-MIN(N(Debts!$E$7),K112)</f>
        <v/>
      </c>
      <c r="M112" s="33">
        <f>IF(L112&lt;=0.005,0,L112-MIN(L112,MAX(0,$E112-SUMIFS(H112:AK112,$H$5:$AK$5,"Rem",$H$4:$AK$4,"&lt;"&amp;M$4))))</f>
        <v/>
      </c>
      <c r="N112" s="33">
        <f>P111*(1+N(Debts!$D$8)/1200)</f>
        <v/>
      </c>
      <c r="O112" s="33">
        <f>N112-MIN(N(Debts!$E$8),N112)</f>
        <v/>
      </c>
      <c r="P112" s="33">
        <f>IF(O112&lt;=0.005,0,O112-MIN(O112,MAX(0,$E112-SUMIFS(H112:AK112,$H$5:$AK$5,"Rem",$H$4:$AK$4,"&lt;"&amp;P$4))))</f>
        <v/>
      </c>
      <c r="Q112" s="33">
        <f>S111*(1+N(Debts!$D$9)/1200)</f>
        <v/>
      </c>
      <c r="R112" s="33">
        <f>Q112-MIN(N(Debts!$E$9),Q112)</f>
        <v/>
      </c>
      <c r="S112" s="33">
        <f>IF(R112&lt;=0.005,0,R112-MIN(R112,MAX(0,$E112-SUMIFS(H112:AK112,$H$5:$AK$5,"Rem",$H$4:$AK$4,"&lt;"&amp;S$4))))</f>
        <v/>
      </c>
      <c r="T112" s="33">
        <f>V111*(1+N(Debts!$D$10)/1200)</f>
        <v/>
      </c>
      <c r="U112" s="33">
        <f>T112-MIN(N(Debts!$E$10),T112)</f>
        <v/>
      </c>
      <c r="V112" s="33">
        <f>IF(U112&lt;=0.005,0,U112-MIN(U112,MAX(0,$E112-SUMIFS(H112:AK112,$H$5:$AK$5,"Rem",$H$4:$AK$4,"&lt;"&amp;V$4))))</f>
        <v/>
      </c>
      <c r="W112" s="33">
        <f>Y111*(1+N(Debts!$D$11)/1200)</f>
        <v/>
      </c>
      <c r="X112" s="33">
        <f>W112-MIN(N(Debts!$E$11),W112)</f>
        <v/>
      </c>
      <c r="Y112" s="33">
        <f>IF(X112&lt;=0.005,0,X112-MIN(X112,MAX(0,$E112-SUMIFS(H112:AK112,$H$5:$AK$5,"Rem",$H$4:$AK$4,"&lt;"&amp;Y$4))))</f>
        <v/>
      </c>
      <c r="Z112" s="33">
        <f>AB111*(1+N(Debts!$D$12)/1200)</f>
        <v/>
      </c>
      <c r="AA112" s="33">
        <f>Z112-MIN(N(Debts!$E$12),Z112)</f>
        <v/>
      </c>
      <c r="AB112" s="33">
        <f>IF(AA112&lt;=0.005,0,AA112-MIN(AA112,MAX(0,$E112-SUMIFS(H112:AK112,$H$5:$AK$5,"Rem",$H$4:$AK$4,"&lt;"&amp;AB$4))))</f>
        <v/>
      </c>
      <c r="AC112" s="33">
        <f>AE111*(1+N(Debts!$D$13)/1200)</f>
        <v/>
      </c>
      <c r="AD112" s="33">
        <f>AC112-MIN(N(Debts!$E$13),AC112)</f>
        <v/>
      </c>
      <c r="AE112" s="33">
        <f>IF(AD112&lt;=0.005,0,AD112-MIN(AD112,MAX(0,$E112-SUMIFS(H112:AK112,$H$5:$AK$5,"Rem",$H$4:$AK$4,"&lt;"&amp;AE$4))))</f>
        <v/>
      </c>
      <c r="AF112" s="33">
        <f>AH111*(1+N(Debts!$D$14)/1200)</f>
        <v/>
      </c>
      <c r="AG112" s="33">
        <f>AF112-MIN(N(Debts!$E$14),AF112)</f>
        <v/>
      </c>
      <c r="AH112" s="33">
        <f>IF(AG112&lt;=0.005,0,AG112-MIN(AG112,MAX(0,$E112-SUMIFS(H112:AK112,$H$5:$AK$5,"Rem",$H$4:$AK$4,"&lt;"&amp;AH$4))))</f>
        <v/>
      </c>
      <c r="AI112" s="33">
        <f>AK111*(1+N(Debts!$D$15)/1200)</f>
        <v/>
      </c>
      <c r="AJ112" s="33">
        <f>AI112-MIN(N(Debts!$E$15),AI112)</f>
        <v/>
      </c>
      <c r="AK112" s="33">
        <f>IF(AJ112&lt;=0.005,0,AJ112-MIN(AJ112,MAX(0,$E112-SUMIFS(H112:AK112,$H$5:$AK$5,"Rem",$H$4:$AK$4,"&lt;"&amp;AK$4))))</f>
        <v/>
      </c>
      <c r="AL112" s="1" t="n"/>
    </row>
    <row r="113">
      <c r="A113" s="1" t="n"/>
      <c r="B113" s="1" t="n">
        <v>106</v>
      </c>
      <c r="C113" s="34">
        <f>EDATE(Debts!$J$13,B113-1)</f>
        <v/>
      </c>
      <c r="D113" s="33">
        <f>IF(G112&lt;=0.005,0,Debts!$E$16+Debts!$J$7)</f>
        <v/>
      </c>
      <c r="E113" s="33">
        <f>MAX(0,D113-(SUMIF($H$5:$AK$5,"Due",H113:AK113)-SUMIF($H$5:$AK$5,"Rem",H113:AK113)))</f>
        <v/>
      </c>
      <c r="F113" s="33">
        <f>SUMIF($H$5:$AK$5,"Due",H113:AK113)-SUMIF($H$5:$AK$5,"Bal",H112:AK112)</f>
        <v/>
      </c>
      <c r="G113" s="33">
        <f>SUMIF($H$5:$AK$5,"Bal",H113:AK113)</f>
        <v/>
      </c>
      <c r="H113" s="33">
        <f>J112*(1+N(Debts!$D$6)/1200)</f>
        <v/>
      </c>
      <c r="I113" s="33">
        <f>H113-MIN(N(Debts!$E$6),H113)</f>
        <v/>
      </c>
      <c r="J113" s="33">
        <f>IF(I113&lt;=0.005,0,I113-MIN(I113,MAX(0,$E113-SUMIFS(H113:AK113,$H$5:$AK$5,"Rem",$H$4:$AK$4,"&lt;"&amp;J$4))))</f>
        <v/>
      </c>
      <c r="K113" s="33">
        <f>M112*(1+N(Debts!$D$7)/1200)</f>
        <v/>
      </c>
      <c r="L113" s="33">
        <f>K113-MIN(N(Debts!$E$7),K113)</f>
        <v/>
      </c>
      <c r="M113" s="33">
        <f>IF(L113&lt;=0.005,0,L113-MIN(L113,MAX(0,$E113-SUMIFS(H113:AK113,$H$5:$AK$5,"Rem",$H$4:$AK$4,"&lt;"&amp;M$4))))</f>
        <v/>
      </c>
      <c r="N113" s="33">
        <f>P112*(1+N(Debts!$D$8)/1200)</f>
        <v/>
      </c>
      <c r="O113" s="33">
        <f>N113-MIN(N(Debts!$E$8),N113)</f>
        <v/>
      </c>
      <c r="P113" s="33">
        <f>IF(O113&lt;=0.005,0,O113-MIN(O113,MAX(0,$E113-SUMIFS(H113:AK113,$H$5:$AK$5,"Rem",$H$4:$AK$4,"&lt;"&amp;P$4))))</f>
        <v/>
      </c>
      <c r="Q113" s="33">
        <f>S112*(1+N(Debts!$D$9)/1200)</f>
        <v/>
      </c>
      <c r="R113" s="33">
        <f>Q113-MIN(N(Debts!$E$9),Q113)</f>
        <v/>
      </c>
      <c r="S113" s="33">
        <f>IF(R113&lt;=0.005,0,R113-MIN(R113,MAX(0,$E113-SUMIFS(H113:AK113,$H$5:$AK$5,"Rem",$H$4:$AK$4,"&lt;"&amp;S$4))))</f>
        <v/>
      </c>
      <c r="T113" s="33">
        <f>V112*(1+N(Debts!$D$10)/1200)</f>
        <v/>
      </c>
      <c r="U113" s="33">
        <f>T113-MIN(N(Debts!$E$10),T113)</f>
        <v/>
      </c>
      <c r="V113" s="33">
        <f>IF(U113&lt;=0.005,0,U113-MIN(U113,MAX(0,$E113-SUMIFS(H113:AK113,$H$5:$AK$5,"Rem",$H$4:$AK$4,"&lt;"&amp;V$4))))</f>
        <v/>
      </c>
      <c r="W113" s="33">
        <f>Y112*(1+N(Debts!$D$11)/1200)</f>
        <v/>
      </c>
      <c r="X113" s="33">
        <f>W113-MIN(N(Debts!$E$11),W113)</f>
        <v/>
      </c>
      <c r="Y113" s="33">
        <f>IF(X113&lt;=0.005,0,X113-MIN(X113,MAX(0,$E113-SUMIFS(H113:AK113,$H$5:$AK$5,"Rem",$H$4:$AK$4,"&lt;"&amp;Y$4))))</f>
        <v/>
      </c>
      <c r="Z113" s="33">
        <f>AB112*(1+N(Debts!$D$12)/1200)</f>
        <v/>
      </c>
      <c r="AA113" s="33">
        <f>Z113-MIN(N(Debts!$E$12),Z113)</f>
        <v/>
      </c>
      <c r="AB113" s="33">
        <f>IF(AA113&lt;=0.005,0,AA113-MIN(AA113,MAX(0,$E113-SUMIFS(H113:AK113,$H$5:$AK$5,"Rem",$H$4:$AK$4,"&lt;"&amp;AB$4))))</f>
        <v/>
      </c>
      <c r="AC113" s="33">
        <f>AE112*(1+N(Debts!$D$13)/1200)</f>
        <v/>
      </c>
      <c r="AD113" s="33">
        <f>AC113-MIN(N(Debts!$E$13),AC113)</f>
        <v/>
      </c>
      <c r="AE113" s="33">
        <f>IF(AD113&lt;=0.005,0,AD113-MIN(AD113,MAX(0,$E113-SUMIFS(H113:AK113,$H$5:$AK$5,"Rem",$H$4:$AK$4,"&lt;"&amp;AE$4))))</f>
        <v/>
      </c>
      <c r="AF113" s="33">
        <f>AH112*(1+N(Debts!$D$14)/1200)</f>
        <v/>
      </c>
      <c r="AG113" s="33">
        <f>AF113-MIN(N(Debts!$E$14),AF113)</f>
        <v/>
      </c>
      <c r="AH113" s="33">
        <f>IF(AG113&lt;=0.005,0,AG113-MIN(AG113,MAX(0,$E113-SUMIFS(H113:AK113,$H$5:$AK$5,"Rem",$H$4:$AK$4,"&lt;"&amp;AH$4))))</f>
        <v/>
      </c>
      <c r="AI113" s="33">
        <f>AK112*(1+N(Debts!$D$15)/1200)</f>
        <v/>
      </c>
      <c r="AJ113" s="33">
        <f>AI113-MIN(N(Debts!$E$15),AI113)</f>
        <v/>
      </c>
      <c r="AK113" s="33">
        <f>IF(AJ113&lt;=0.005,0,AJ113-MIN(AJ113,MAX(0,$E113-SUMIFS(H113:AK113,$H$5:$AK$5,"Rem",$H$4:$AK$4,"&lt;"&amp;AK$4))))</f>
        <v/>
      </c>
      <c r="AL113" s="1" t="n"/>
    </row>
    <row r="114">
      <c r="A114" s="1" t="n"/>
      <c r="B114" s="1" t="n">
        <v>107</v>
      </c>
      <c r="C114" s="34">
        <f>EDATE(Debts!$J$13,B114-1)</f>
        <v/>
      </c>
      <c r="D114" s="33">
        <f>IF(G113&lt;=0.005,0,Debts!$E$16+Debts!$J$7)</f>
        <v/>
      </c>
      <c r="E114" s="33">
        <f>MAX(0,D114-(SUMIF($H$5:$AK$5,"Due",H114:AK114)-SUMIF($H$5:$AK$5,"Rem",H114:AK114)))</f>
        <v/>
      </c>
      <c r="F114" s="33">
        <f>SUMIF($H$5:$AK$5,"Due",H114:AK114)-SUMIF($H$5:$AK$5,"Bal",H113:AK113)</f>
        <v/>
      </c>
      <c r="G114" s="33">
        <f>SUMIF($H$5:$AK$5,"Bal",H114:AK114)</f>
        <v/>
      </c>
      <c r="H114" s="33">
        <f>J113*(1+N(Debts!$D$6)/1200)</f>
        <v/>
      </c>
      <c r="I114" s="33">
        <f>H114-MIN(N(Debts!$E$6),H114)</f>
        <v/>
      </c>
      <c r="J114" s="33">
        <f>IF(I114&lt;=0.005,0,I114-MIN(I114,MAX(0,$E114-SUMIFS(H114:AK114,$H$5:$AK$5,"Rem",$H$4:$AK$4,"&lt;"&amp;J$4))))</f>
        <v/>
      </c>
      <c r="K114" s="33">
        <f>M113*(1+N(Debts!$D$7)/1200)</f>
        <v/>
      </c>
      <c r="L114" s="33">
        <f>K114-MIN(N(Debts!$E$7),K114)</f>
        <v/>
      </c>
      <c r="M114" s="33">
        <f>IF(L114&lt;=0.005,0,L114-MIN(L114,MAX(0,$E114-SUMIFS(H114:AK114,$H$5:$AK$5,"Rem",$H$4:$AK$4,"&lt;"&amp;M$4))))</f>
        <v/>
      </c>
      <c r="N114" s="33">
        <f>P113*(1+N(Debts!$D$8)/1200)</f>
        <v/>
      </c>
      <c r="O114" s="33">
        <f>N114-MIN(N(Debts!$E$8),N114)</f>
        <v/>
      </c>
      <c r="P114" s="33">
        <f>IF(O114&lt;=0.005,0,O114-MIN(O114,MAX(0,$E114-SUMIFS(H114:AK114,$H$5:$AK$5,"Rem",$H$4:$AK$4,"&lt;"&amp;P$4))))</f>
        <v/>
      </c>
      <c r="Q114" s="33">
        <f>S113*(1+N(Debts!$D$9)/1200)</f>
        <v/>
      </c>
      <c r="R114" s="33">
        <f>Q114-MIN(N(Debts!$E$9),Q114)</f>
        <v/>
      </c>
      <c r="S114" s="33">
        <f>IF(R114&lt;=0.005,0,R114-MIN(R114,MAX(0,$E114-SUMIFS(H114:AK114,$H$5:$AK$5,"Rem",$H$4:$AK$4,"&lt;"&amp;S$4))))</f>
        <v/>
      </c>
      <c r="T114" s="33">
        <f>V113*(1+N(Debts!$D$10)/1200)</f>
        <v/>
      </c>
      <c r="U114" s="33">
        <f>T114-MIN(N(Debts!$E$10),T114)</f>
        <v/>
      </c>
      <c r="V114" s="33">
        <f>IF(U114&lt;=0.005,0,U114-MIN(U114,MAX(0,$E114-SUMIFS(H114:AK114,$H$5:$AK$5,"Rem",$H$4:$AK$4,"&lt;"&amp;V$4))))</f>
        <v/>
      </c>
      <c r="W114" s="33">
        <f>Y113*(1+N(Debts!$D$11)/1200)</f>
        <v/>
      </c>
      <c r="X114" s="33">
        <f>W114-MIN(N(Debts!$E$11),W114)</f>
        <v/>
      </c>
      <c r="Y114" s="33">
        <f>IF(X114&lt;=0.005,0,X114-MIN(X114,MAX(0,$E114-SUMIFS(H114:AK114,$H$5:$AK$5,"Rem",$H$4:$AK$4,"&lt;"&amp;Y$4))))</f>
        <v/>
      </c>
      <c r="Z114" s="33">
        <f>AB113*(1+N(Debts!$D$12)/1200)</f>
        <v/>
      </c>
      <c r="AA114" s="33">
        <f>Z114-MIN(N(Debts!$E$12),Z114)</f>
        <v/>
      </c>
      <c r="AB114" s="33">
        <f>IF(AA114&lt;=0.005,0,AA114-MIN(AA114,MAX(0,$E114-SUMIFS(H114:AK114,$H$5:$AK$5,"Rem",$H$4:$AK$4,"&lt;"&amp;AB$4))))</f>
        <v/>
      </c>
      <c r="AC114" s="33">
        <f>AE113*(1+N(Debts!$D$13)/1200)</f>
        <v/>
      </c>
      <c r="AD114" s="33">
        <f>AC114-MIN(N(Debts!$E$13),AC114)</f>
        <v/>
      </c>
      <c r="AE114" s="33">
        <f>IF(AD114&lt;=0.005,0,AD114-MIN(AD114,MAX(0,$E114-SUMIFS(H114:AK114,$H$5:$AK$5,"Rem",$H$4:$AK$4,"&lt;"&amp;AE$4))))</f>
        <v/>
      </c>
      <c r="AF114" s="33">
        <f>AH113*(1+N(Debts!$D$14)/1200)</f>
        <v/>
      </c>
      <c r="AG114" s="33">
        <f>AF114-MIN(N(Debts!$E$14),AF114)</f>
        <v/>
      </c>
      <c r="AH114" s="33">
        <f>IF(AG114&lt;=0.005,0,AG114-MIN(AG114,MAX(0,$E114-SUMIFS(H114:AK114,$H$5:$AK$5,"Rem",$H$4:$AK$4,"&lt;"&amp;AH$4))))</f>
        <v/>
      </c>
      <c r="AI114" s="33">
        <f>AK113*(1+N(Debts!$D$15)/1200)</f>
        <v/>
      </c>
      <c r="AJ114" s="33">
        <f>AI114-MIN(N(Debts!$E$15),AI114)</f>
        <v/>
      </c>
      <c r="AK114" s="33">
        <f>IF(AJ114&lt;=0.005,0,AJ114-MIN(AJ114,MAX(0,$E114-SUMIFS(H114:AK114,$H$5:$AK$5,"Rem",$H$4:$AK$4,"&lt;"&amp;AK$4))))</f>
        <v/>
      </c>
      <c r="AL114" s="1" t="n"/>
    </row>
    <row r="115">
      <c r="A115" s="1" t="n"/>
      <c r="B115" s="1" t="n">
        <v>108</v>
      </c>
      <c r="C115" s="34">
        <f>EDATE(Debts!$J$13,B115-1)</f>
        <v/>
      </c>
      <c r="D115" s="33">
        <f>IF(G114&lt;=0.005,0,Debts!$E$16+Debts!$J$7)</f>
        <v/>
      </c>
      <c r="E115" s="33">
        <f>MAX(0,D115-(SUMIF($H$5:$AK$5,"Due",H115:AK115)-SUMIF($H$5:$AK$5,"Rem",H115:AK115)))</f>
        <v/>
      </c>
      <c r="F115" s="33">
        <f>SUMIF($H$5:$AK$5,"Due",H115:AK115)-SUMIF($H$5:$AK$5,"Bal",H114:AK114)</f>
        <v/>
      </c>
      <c r="G115" s="33">
        <f>SUMIF($H$5:$AK$5,"Bal",H115:AK115)</f>
        <v/>
      </c>
      <c r="H115" s="33">
        <f>J114*(1+N(Debts!$D$6)/1200)</f>
        <v/>
      </c>
      <c r="I115" s="33">
        <f>H115-MIN(N(Debts!$E$6),H115)</f>
        <v/>
      </c>
      <c r="J115" s="33">
        <f>IF(I115&lt;=0.005,0,I115-MIN(I115,MAX(0,$E115-SUMIFS(H115:AK115,$H$5:$AK$5,"Rem",$H$4:$AK$4,"&lt;"&amp;J$4))))</f>
        <v/>
      </c>
      <c r="K115" s="33">
        <f>M114*(1+N(Debts!$D$7)/1200)</f>
        <v/>
      </c>
      <c r="L115" s="33">
        <f>K115-MIN(N(Debts!$E$7),K115)</f>
        <v/>
      </c>
      <c r="M115" s="33">
        <f>IF(L115&lt;=0.005,0,L115-MIN(L115,MAX(0,$E115-SUMIFS(H115:AK115,$H$5:$AK$5,"Rem",$H$4:$AK$4,"&lt;"&amp;M$4))))</f>
        <v/>
      </c>
      <c r="N115" s="33">
        <f>P114*(1+N(Debts!$D$8)/1200)</f>
        <v/>
      </c>
      <c r="O115" s="33">
        <f>N115-MIN(N(Debts!$E$8),N115)</f>
        <v/>
      </c>
      <c r="P115" s="33">
        <f>IF(O115&lt;=0.005,0,O115-MIN(O115,MAX(0,$E115-SUMIFS(H115:AK115,$H$5:$AK$5,"Rem",$H$4:$AK$4,"&lt;"&amp;P$4))))</f>
        <v/>
      </c>
      <c r="Q115" s="33">
        <f>S114*(1+N(Debts!$D$9)/1200)</f>
        <v/>
      </c>
      <c r="R115" s="33">
        <f>Q115-MIN(N(Debts!$E$9),Q115)</f>
        <v/>
      </c>
      <c r="S115" s="33">
        <f>IF(R115&lt;=0.005,0,R115-MIN(R115,MAX(0,$E115-SUMIFS(H115:AK115,$H$5:$AK$5,"Rem",$H$4:$AK$4,"&lt;"&amp;S$4))))</f>
        <v/>
      </c>
      <c r="T115" s="33">
        <f>V114*(1+N(Debts!$D$10)/1200)</f>
        <v/>
      </c>
      <c r="U115" s="33">
        <f>T115-MIN(N(Debts!$E$10),T115)</f>
        <v/>
      </c>
      <c r="V115" s="33">
        <f>IF(U115&lt;=0.005,0,U115-MIN(U115,MAX(0,$E115-SUMIFS(H115:AK115,$H$5:$AK$5,"Rem",$H$4:$AK$4,"&lt;"&amp;V$4))))</f>
        <v/>
      </c>
      <c r="W115" s="33">
        <f>Y114*(1+N(Debts!$D$11)/1200)</f>
        <v/>
      </c>
      <c r="X115" s="33">
        <f>W115-MIN(N(Debts!$E$11),W115)</f>
        <v/>
      </c>
      <c r="Y115" s="33">
        <f>IF(X115&lt;=0.005,0,X115-MIN(X115,MAX(0,$E115-SUMIFS(H115:AK115,$H$5:$AK$5,"Rem",$H$4:$AK$4,"&lt;"&amp;Y$4))))</f>
        <v/>
      </c>
      <c r="Z115" s="33">
        <f>AB114*(1+N(Debts!$D$12)/1200)</f>
        <v/>
      </c>
      <c r="AA115" s="33">
        <f>Z115-MIN(N(Debts!$E$12),Z115)</f>
        <v/>
      </c>
      <c r="AB115" s="33">
        <f>IF(AA115&lt;=0.005,0,AA115-MIN(AA115,MAX(0,$E115-SUMIFS(H115:AK115,$H$5:$AK$5,"Rem",$H$4:$AK$4,"&lt;"&amp;AB$4))))</f>
        <v/>
      </c>
      <c r="AC115" s="33">
        <f>AE114*(1+N(Debts!$D$13)/1200)</f>
        <v/>
      </c>
      <c r="AD115" s="33">
        <f>AC115-MIN(N(Debts!$E$13),AC115)</f>
        <v/>
      </c>
      <c r="AE115" s="33">
        <f>IF(AD115&lt;=0.005,0,AD115-MIN(AD115,MAX(0,$E115-SUMIFS(H115:AK115,$H$5:$AK$5,"Rem",$H$4:$AK$4,"&lt;"&amp;AE$4))))</f>
        <v/>
      </c>
      <c r="AF115" s="33">
        <f>AH114*(1+N(Debts!$D$14)/1200)</f>
        <v/>
      </c>
      <c r="AG115" s="33">
        <f>AF115-MIN(N(Debts!$E$14),AF115)</f>
        <v/>
      </c>
      <c r="AH115" s="33">
        <f>IF(AG115&lt;=0.005,0,AG115-MIN(AG115,MAX(0,$E115-SUMIFS(H115:AK115,$H$5:$AK$5,"Rem",$H$4:$AK$4,"&lt;"&amp;AH$4))))</f>
        <v/>
      </c>
      <c r="AI115" s="33">
        <f>AK114*(1+N(Debts!$D$15)/1200)</f>
        <v/>
      </c>
      <c r="AJ115" s="33">
        <f>AI115-MIN(N(Debts!$E$15),AI115)</f>
        <v/>
      </c>
      <c r="AK115" s="33">
        <f>IF(AJ115&lt;=0.005,0,AJ115-MIN(AJ115,MAX(0,$E115-SUMIFS(H115:AK115,$H$5:$AK$5,"Rem",$H$4:$AK$4,"&lt;"&amp;AK$4))))</f>
        <v/>
      </c>
      <c r="AL115" s="1" t="n"/>
    </row>
    <row r="116">
      <c r="A116" s="1" t="n"/>
      <c r="B116" s="1" t="n">
        <v>109</v>
      </c>
      <c r="C116" s="34">
        <f>EDATE(Debts!$J$13,B116-1)</f>
        <v/>
      </c>
      <c r="D116" s="33">
        <f>IF(G115&lt;=0.005,0,Debts!$E$16+Debts!$J$7)</f>
        <v/>
      </c>
      <c r="E116" s="33">
        <f>MAX(0,D116-(SUMIF($H$5:$AK$5,"Due",H116:AK116)-SUMIF($H$5:$AK$5,"Rem",H116:AK116)))</f>
        <v/>
      </c>
      <c r="F116" s="33">
        <f>SUMIF($H$5:$AK$5,"Due",H116:AK116)-SUMIF($H$5:$AK$5,"Bal",H115:AK115)</f>
        <v/>
      </c>
      <c r="G116" s="33">
        <f>SUMIF($H$5:$AK$5,"Bal",H116:AK116)</f>
        <v/>
      </c>
      <c r="H116" s="33">
        <f>J115*(1+N(Debts!$D$6)/1200)</f>
        <v/>
      </c>
      <c r="I116" s="33">
        <f>H116-MIN(N(Debts!$E$6),H116)</f>
        <v/>
      </c>
      <c r="J116" s="33">
        <f>IF(I116&lt;=0.005,0,I116-MIN(I116,MAX(0,$E116-SUMIFS(H116:AK116,$H$5:$AK$5,"Rem",$H$4:$AK$4,"&lt;"&amp;J$4))))</f>
        <v/>
      </c>
      <c r="K116" s="33">
        <f>M115*(1+N(Debts!$D$7)/1200)</f>
        <v/>
      </c>
      <c r="L116" s="33">
        <f>K116-MIN(N(Debts!$E$7),K116)</f>
        <v/>
      </c>
      <c r="M116" s="33">
        <f>IF(L116&lt;=0.005,0,L116-MIN(L116,MAX(0,$E116-SUMIFS(H116:AK116,$H$5:$AK$5,"Rem",$H$4:$AK$4,"&lt;"&amp;M$4))))</f>
        <v/>
      </c>
      <c r="N116" s="33">
        <f>P115*(1+N(Debts!$D$8)/1200)</f>
        <v/>
      </c>
      <c r="O116" s="33">
        <f>N116-MIN(N(Debts!$E$8),N116)</f>
        <v/>
      </c>
      <c r="P116" s="33">
        <f>IF(O116&lt;=0.005,0,O116-MIN(O116,MAX(0,$E116-SUMIFS(H116:AK116,$H$5:$AK$5,"Rem",$H$4:$AK$4,"&lt;"&amp;P$4))))</f>
        <v/>
      </c>
      <c r="Q116" s="33">
        <f>S115*(1+N(Debts!$D$9)/1200)</f>
        <v/>
      </c>
      <c r="R116" s="33">
        <f>Q116-MIN(N(Debts!$E$9),Q116)</f>
        <v/>
      </c>
      <c r="S116" s="33">
        <f>IF(R116&lt;=0.005,0,R116-MIN(R116,MAX(0,$E116-SUMIFS(H116:AK116,$H$5:$AK$5,"Rem",$H$4:$AK$4,"&lt;"&amp;S$4))))</f>
        <v/>
      </c>
      <c r="T116" s="33">
        <f>V115*(1+N(Debts!$D$10)/1200)</f>
        <v/>
      </c>
      <c r="U116" s="33">
        <f>T116-MIN(N(Debts!$E$10),T116)</f>
        <v/>
      </c>
      <c r="V116" s="33">
        <f>IF(U116&lt;=0.005,0,U116-MIN(U116,MAX(0,$E116-SUMIFS(H116:AK116,$H$5:$AK$5,"Rem",$H$4:$AK$4,"&lt;"&amp;V$4))))</f>
        <v/>
      </c>
      <c r="W116" s="33">
        <f>Y115*(1+N(Debts!$D$11)/1200)</f>
        <v/>
      </c>
      <c r="X116" s="33">
        <f>W116-MIN(N(Debts!$E$11),W116)</f>
        <v/>
      </c>
      <c r="Y116" s="33">
        <f>IF(X116&lt;=0.005,0,X116-MIN(X116,MAX(0,$E116-SUMIFS(H116:AK116,$H$5:$AK$5,"Rem",$H$4:$AK$4,"&lt;"&amp;Y$4))))</f>
        <v/>
      </c>
      <c r="Z116" s="33">
        <f>AB115*(1+N(Debts!$D$12)/1200)</f>
        <v/>
      </c>
      <c r="AA116" s="33">
        <f>Z116-MIN(N(Debts!$E$12),Z116)</f>
        <v/>
      </c>
      <c r="AB116" s="33">
        <f>IF(AA116&lt;=0.005,0,AA116-MIN(AA116,MAX(0,$E116-SUMIFS(H116:AK116,$H$5:$AK$5,"Rem",$H$4:$AK$4,"&lt;"&amp;AB$4))))</f>
        <v/>
      </c>
      <c r="AC116" s="33">
        <f>AE115*(1+N(Debts!$D$13)/1200)</f>
        <v/>
      </c>
      <c r="AD116" s="33">
        <f>AC116-MIN(N(Debts!$E$13),AC116)</f>
        <v/>
      </c>
      <c r="AE116" s="33">
        <f>IF(AD116&lt;=0.005,0,AD116-MIN(AD116,MAX(0,$E116-SUMIFS(H116:AK116,$H$5:$AK$5,"Rem",$H$4:$AK$4,"&lt;"&amp;AE$4))))</f>
        <v/>
      </c>
      <c r="AF116" s="33">
        <f>AH115*(1+N(Debts!$D$14)/1200)</f>
        <v/>
      </c>
      <c r="AG116" s="33">
        <f>AF116-MIN(N(Debts!$E$14),AF116)</f>
        <v/>
      </c>
      <c r="AH116" s="33">
        <f>IF(AG116&lt;=0.005,0,AG116-MIN(AG116,MAX(0,$E116-SUMIFS(H116:AK116,$H$5:$AK$5,"Rem",$H$4:$AK$4,"&lt;"&amp;AH$4))))</f>
        <v/>
      </c>
      <c r="AI116" s="33">
        <f>AK115*(1+N(Debts!$D$15)/1200)</f>
        <v/>
      </c>
      <c r="AJ116" s="33">
        <f>AI116-MIN(N(Debts!$E$15),AI116)</f>
        <v/>
      </c>
      <c r="AK116" s="33">
        <f>IF(AJ116&lt;=0.005,0,AJ116-MIN(AJ116,MAX(0,$E116-SUMIFS(H116:AK116,$H$5:$AK$5,"Rem",$H$4:$AK$4,"&lt;"&amp;AK$4))))</f>
        <v/>
      </c>
      <c r="AL116" s="1" t="n"/>
    </row>
    <row r="117">
      <c r="A117" s="1" t="n"/>
      <c r="B117" s="1" t="n">
        <v>110</v>
      </c>
      <c r="C117" s="34">
        <f>EDATE(Debts!$J$13,B117-1)</f>
        <v/>
      </c>
      <c r="D117" s="33">
        <f>IF(G116&lt;=0.005,0,Debts!$E$16+Debts!$J$7)</f>
        <v/>
      </c>
      <c r="E117" s="33">
        <f>MAX(0,D117-(SUMIF($H$5:$AK$5,"Due",H117:AK117)-SUMIF($H$5:$AK$5,"Rem",H117:AK117)))</f>
        <v/>
      </c>
      <c r="F117" s="33">
        <f>SUMIF($H$5:$AK$5,"Due",H117:AK117)-SUMIF($H$5:$AK$5,"Bal",H116:AK116)</f>
        <v/>
      </c>
      <c r="G117" s="33">
        <f>SUMIF($H$5:$AK$5,"Bal",H117:AK117)</f>
        <v/>
      </c>
      <c r="H117" s="33">
        <f>J116*(1+N(Debts!$D$6)/1200)</f>
        <v/>
      </c>
      <c r="I117" s="33">
        <f>H117-MIN(N(Debts!$E$6),H117)</f>
        <v/>
      </c>
      <c r="J117" s="33">
        <f>IF(I117&lt;=0.005,0,I117-MIN(I117,MAX(0,$E117-SUMIFS(H117:AK117,$H$5:$AK$5,"Rem",$H$4:$AK$4,"&lt;"&amp;J$4))))</f>
        <v/>
      </c>
      <c r="K117" s="33">
        <f>M116*(1+N(Debts!$D$7)/1200)</f>
        <v/>
      </c>
      <c r="L117" s="33">
        <f>K117-MIN(N(Debts!$E$7),K117)</f>
        <v/>
      </c>
      <c r="M117" s="33">
        <f>IF(L117&lt;=0.005,0,L117-MIN(L117,MAX(0,$E117-SUMIFS(H117:AK117,$H$5:$AK$5,"Rem",$H$4:$AK$4,"&lt;"&amp;M$4))))</f>
        <v/>
      </c>
      <c r="N117" s="33">
        <f>P116*(1+N(Debts!$D$8)/1200)</f>
        <v/>
      </c>
      <c r="O117" s="33">
        <f>N117-MIN(N(Debts!$E$8),N117)</f>
        <v/>
      </c>
      <c r="P117" s="33">
        <f>IF(O117&lt;=0.005,0,O117-MIN(O117,MAX(0,$E117-SUMIFS(H117:AK117,$H$5:$AK$5,"Rem",$H$4:$AK$4,"&lt;"&amp;P$4))))</f>
        <v/>
      </c>
      <c r="Q117" s="33">
        <f>S116*(1+N(Debts!$D$9)/1200)</f>
        <v/>
      </c>
      <c r="R117" s="33">
        <f>Q117-MIN(N(Debts!$E$9),Q117)</f>
        <v/>
      </c>
      <c r="S117" s="33">
        <f>IF(R117&lt;=0.005,0,R117-MIN(R117,MAX(0,$E117-SUMIFS(H117:AK117,$H$5:$AK$5,"Rem",$H$4:$AK$4,"&lt;"&amp;S$4))))</f>
        <v/>
      </c>
      <c r="T117" s="33">
        <f>V116*(1+N(Debts!$D$10)/1200)</f>
        <v/>
      </c>
      <c r="U117" s="33">
        <f>T117-MIN(N(Debts!$E$10),T117)</f>
        <v/>
      </c>
      <c r="V117" s="33">
        <f>IF(U117&lt;=0.005,0,U117-MIN(U117,MAX(0,$E117-SUMIFS(H117:AK117,$H$5:$AK$5,"Rem",$H$4:$AK$4,"&lt;"&amp;V$4))))</f>
        <v/>
      </c>
      <c r="W117" s="33">
        <f>Y116*(1+N(Debts!$D$11)/1200)</f>
        <v/>
      </c>
      <c r="X117" s="33">
        <f>W117-MIN(N(Debts!$E$11),W117)</f>
        <v/>
      </c>
      <c r="Y117" s="33">
        <f>IF(X117&lt;=0.005,0,X117-MIN(X117,MAX(0,$E117-SUMIFS(H117:AK117,$H$5:$AK$5,"Rem",$H$4:$AK$4,"&lt;"&amp;Y$4))))</f>
        <v/>
      </c>
      <c r="Z117" s="33">
        <f>AB116*(1+N(Debts!$D$12)/1200)</f>
        <v/>
      </c>
      <c r="AA117" s="33">
        <f>Z117-MIN(N(Debts!$E$12),Z117)</f>
        <v/>
      </c>
      <c r="AB117" s="33">
        <f>IF(AA117&lt;=0.005,0,AA117-MIN(AA117,MAX(0,$E117-SUMIFS(H117:AK117,$H$5:$AK$5,"Rem",$H$4:$AK$4,"&lt;"&amp;AB$4))))</f>
        <v/>
      </c>
      <c r="AC117" s="33">
        <f>AE116*(1+N(Debts!$D$13)/1200)</f>
        <v/>
      </c>
      <c r="AD117" s="33">
        <f>AC117-MIN(N(Debts!$E$13),AC117)</f>
        <v/>
      </c>
      <c r="AE117" s="33">
        <f>IF(AD117&lt;=0.005,0,AD117-MIN(AD117,MAX(0,$E117-SUMIFS(H117:AK117,$H$5:$AK$5,"Rem",$H$4:$AK$4,"&lt;"&amp;AE$4))))</f>
        <v/>
      </c>
      <c r="AF117" s="33">
        <f>AH116*(1+N(Debts!$D$14)/1200)</f>
        <v/>
      </c>
      <c r="AG117" s="33">
        <f>AF117-MIN(N(Debts!$E$14),AF117)</f>
        <v/>
      </c>
      <c r="AH117" s="33">
        <f>IF(AG117&lt;=0.005,0,AG117-MIN(AG117,MAX(0,$E117-SUMIFS(H117:AK117,$H$5:$AK$5,"Rem",$H$4:$AK$4,"&lt;"&amp;AH$4))))</f>
        <v/>
      </c>
      <c r="AI117" s="33">
        <f>AK116*(1+N(Debts!$D$15)/1200)</f>
        <v/>
      </c>
      <c r="AJ117" s="33">
        <f>AI117-MIN(N(Debts!$E$15),AI117)</f>
        <v/>
      </c>
      <c r="AK117" s="33">
        <f>IF(AJ117&lt;=0.005,0,AJ117-MIN(AJ117,MAX(0,$E117-SUMIFS(H117:AK117,$H$5:$AK$5,"Rem",$H$4:$AK$4,"&lt;"&amp;AK$4))))</f>
        <v/>
      </c>
      <c r="AL117" s="1" t="n"/>
    </row>
    <row r="118">
      <c r="A118" s="1" t="n"/>
      <c r="B118" s="1" t="n">
        <v>111</v>
      </c>
      <c r="C118" s="34">
        <f>EDATE(Debts!$J$13,B118-1)</f>
        <v/>
      </c>
      <c r="D118" s="33">
        <f>IF(G117&lt;=0.005,0,Debts!$E$16+Debts!$J$7)</f>
        <v/>
      </c>
      <c r="E118" s="33">
        <f>MAX(0,D118-(SUMIF($H$5:$AK$5,"Due",H118:AK118)-SUMIF($H$5:$AK$5,"Rem",H118:AK118)))</f>
        <v/>
      </c>
      <c r="F118" s="33">
        <f>SUMIF($H$5:$AK$5,"Due",H118:AK118)-SUMIF($H$5:$AK$5,"Bal",H117:AK117)</f>
        <v/>
      </c>
      <c r="G118" s="33">
        <f>SUMIF($H$5:$AK$5,"Bal",H118:AK118)</f>
        <v/>
      </c>
      <c r="H118" s="33">
        <f>J117*(1+N(Debts!$D$6)/1200)</f>
        <v/>
      </c>
      <c r="I118" s="33">
        <f>H118-MIN(N(Debts!$E$6),H118)</f>
        <v/>
      </c>
      <c r="J118" s="33">
        <f>IF(I118&lt;=0.005,0,I118-MIN(I118,MAX(0,$E118-SUMIFS(H118:AK118,$H$5:$AK$5,"Rem",$H$4:$AK$4,"&lt;"&amp;J$4))))</f>
        <v/>
      </c>
      <c r="K118" s="33">
        <f>M117*(1+N(Debts!$D$7)/1200)</f>
        <v/>
      </c>
      <c r="L118" s="33">
        <f>K118-MIN(N(Debts!$E$7),K118)</f>
        <v/>
      </c>
      <c r="M118" s="33">
        <f>IF(L118&lt;=0.005,0,L118-MIN(L118,MAX(0,$E118-SUMIFS(H118:AK118,$H$5:$AK$5,"Rem",$H$4:$AK$4,"&lt;"&amp;M$4))))</f>
        <v/>
      </c>
      <c r="N118" s="33">
        <f>P117*(1+N(Debts!$D$8)/1200)</f>
        <v/>
      </c>
      <c r="O118" s="33">
        <f>N118-MIN(N(Debts!$E$8),N118)</f>
        <v/>
      </c>
      <c r="P118" s="33">
        <f>IF(O118&lt;=0.005,0,O118-MIN(O118,MAX(0,$E118-SUMIFS(H118:AK118,$H$5:$AK$5,"Rem",$H$4:$AK$4,"&lt;"&amp;P$4))))</f>
        <v/>
      </c>
      <c r="Q118" s="33">
        <f>S117*(1+N(Debts!$D$9)/1200)</f>
        <v/>
      </c>
      <c r="R118" s="33">
        <f>Q118-MIN(N(Debts!$E$9),Q118)</f>
        <v/>
      </c>
      <c r="S118" s="33">
        <f>IF(R118&lt;=0.005,0,R118-MIN(R118,MAX(0,$E118-SUMIFS(H118:AK118,$H$5:$AK$5,"Rem",$H$4:$AK$4,"&lt;"&amp;S$4))))</f>
        <v/>
      </c>
      <c r="T118" s="33">
        <f>V117*(1+N(Debts!$D$10)/1200)</f>
        <v/>
      </c>
      <c r="U118" s="33">
        <f>T118-MIN(N(Debts!$E$10),T118)</f>
        <v/>
      </c>
      <c r="V118" s="33">
        <f>IF(U118&lt;=0.005,0,U118-MIN(U118,MAX(0,$E118-SUMIFS(H118:AK118,$H$5:$AK$5,"Rem",$H$4:$AK$4,"&lt;"&amp;V$4))))</f>
        <v/>
      </c>
      <c r="W118" s="33">
        <f>Y117*(1+N(Debts!$D$11)/1200)</f>
        <v/>
      </c>
      <c r="X118" s="33">
        <f>W118-MIN(N(Debts!$E$11),W118)</f>
        <v/>
      </c>
      <c r="Y118" s="33">
        <f>IF(X118&lt;=0.005,0,X118-MIN(X118,MAX(0,$E118-SUMIFS(H118:AK118,$H$5:$AK$5,"Rem",$H$4:$AK$4,"&lt;"&amp;Y$4))))</f>
        <v/>
      </c>
      <c r="Z118" s="33">
        <f>AB117*(1+N(Debts!$D$12)/1200)</f>
        <v/>
      </c>
      <c r="AA118" s="33">
        <f>Z118-MIN(N(Debts!$E$12),Z118)</f>
        <v/>
      </c>
      <c r="AB118" s="33">
        <f>IF(AA118&lt;=0.005,0,AA118-MIN(AA118,MAX(0,$E118-SUMIFS(H118:AK118,$H$5:$AK$5,"Rem",$H$4:$AK$4,"&lt;"&amp;AB$4))))</f>
        <v/>
      </c>
      <c r="AC118" s="33">
        <f>AE117*(1+N(Debts!$D$13)/1200)</f>
        <v/>
      </c>
      <c r="AD118" s="33">
        <f>AC118-MIN(N(Debts!$E$13),AC118)</f>
        <v/>
      </c>
      <c r="AE118" s="33">
        <f>IF(AD118&lt;=0.005,0,AD118-MIN(AD118,MAX(0,$E118-SUMIFS(H118:AK118,$H$5:$AK$5,"Rem",$H$4:$AK$4,"&lt;"&amp;AE$4))))</f>
        <v/>
      </c>
      <c r="AF118" s="33">
        <f>AH117*(1+N(Debts!$D$14)/1200)</f>
        <v/>
      </c>
      <c r="AG118" s="33">
        <f>AF118-MIN(N(Debts!$E$14),AF118)</f>
        <v/>
      </c>
      <c r="AH118" s="33">
        <f>IF(AG118&lt;=0.005,0,AG118-MIN(AG118,MAX(0,$E118-SUMIFS(H118:AK118,$H$5:$AK$5,"Rem",$H$4:$AK$4,"&lt;"&amp;AH$4))))</f>
        <v/>
      </c>
      <c r="AI118" s="33">
        <f>AK117*(1+N(Debts!$D$15)/1200)</f>
        <v/>
      </c>
      <c r="AJ118" s="33">
        <f>AI118-MIN(N(Debts!$E$15),AI118)</f>
        <v/>
      </c>
      <c r="AK118" s="33">
        <f>IF(AJ118&lt;=0.005,0,AJ118-MIN(AJ118,MAX(0,$E118-SUMIFS(H118:AK118,$H$5:$AK$5,"Rem",$H$4:$AK$4,"&lt;"&amp;AK$4))))</f>
        <v/>
      </c>
      <c r="AL118" s="1" t="n"/>
    </row>
    <row r="119">
      <c r="A119" s="1" t="n"/>
      <c r="B119" s="1" t="n">
        <v>112</v>
      </c>
      <c r="C119" s="34">
        <f>EDATE(Debts!$J$13,B119-1)</f>
        <v/>
      </c>
      <c r="D119" s="33">
        <f>IF(G118&lt;=0.005,0,Debts!$E$16+Debts!$J$7)</f>
        <v/>
      </c>
      <c r="E119" s="33">
        <f>MAX(0,D119-(SUMIF($H$5:$AK$5,"Due",H119:AK119)-SUMIF($H$5:$AK$5,"Rem",H119:AK119)))</f>
        <v/>
      </c>
      <c r="F119" s="33">
        <f>SUMIF($H$5:$AK$5,"Due",H119:AK119)-SUMIF($H$5:$AK$5,"Bal",H118:AK118)</f>
        <v/>
      </c>
      <c r="G119" s="33">
        <f>SUMIF($H$5:$AK$5,"Bal",H119:AK119)</f>
        <v/>
      </c>
      <c r="H119" s="33">
        <f>J118*(1+N(Debts!$D$6)/1200)</f>
        <v/>
      </c>
      <c r="I119" s="33">
        <f>H119-MIN(N(Debts!$E$6),H119)</f>
        <v/>
      </c>
      <c r="J119" s="33">
        <f>IF(I119&lt;=0.005,0,I119-MIN(I119,MAX(0,$E119-SUMIFS(H119:AK119,$H$5:$AK$5,"Rem",$H$4:$AK$4,"&lt;"&amp;J$4))))</f>
        <v/>
      </c>
      <c r="K119" s="33">
        <f>M118*(1+N(Debts!$D$7)/1200)</f>
        <v/>
      </c>
      <c r="L119" s="33">
        <f>K119-MIN(N(Debts!$E$7),K119)</f>
        <v/>
      </c>
      <c r="M119" s="33">
        <f>IF(L119&lt;=0.005,0,L119-MIN(L119,MAX(0,$E119-SUMIFS(H119:AK119,$H$5:$AK$5,"Rem",$H$4:$AK$4,"&lt;"&amp;M$4))))</f>
        <v/>
      </c>
      <c r="N119" s="33">
        <f>P118*(1+N(Debts!$D$8)/1200)</f>
        <v/>
      </c>
      <c r="O119" s="33">
        <f>N119-MIN(N(Debts!$E$8),N119)</f>
        <v/>
      </c>
      <c r="P119" s="33">
        <f>IF(O119&lt;=0.005,0,O119-MIN(O119,MAX(0,$E119-SUMIFS(H119:AK119,$H$5:$AK$5,"Rem",$H$4:$AK$4,"&lt;"&amp;P$4))))</f>
        <v/>
      </c>
      <c r="Q119" s="33">
        <f>S118*(1+N(Debts!$D$9)/1200)</f>
        <v/>
      </c>
      <c r="R119" s="33">
        <f>Q119-MIN(N(Debts!$E$9),Q119)</f>
        <v/>
      </c>
      <c r="S119" s="33">
        <f>IF(R119&lt;=0.005,0,R119-MIN(R119,MAX(0,$E119-SUMIFS(H119:AK119,$H$5:$AK$5,"Rem",$H$4:$AK$4,"&lt;"&amp;S$4))))</f>
        <v/>
      </c>
      <c r="T119" s="33">
        <f>V118*(1+N(Debts!$D$10)/1200)</f>
        <v/>
      </c>
      <c r="U119" s="33">
        <f>T119-MIN(N(Debts!$E$10),T119)</f>
        <v/>
      </c>
      <c r="V119" s="33">
        <f>IF(U119&lt;=0.005,0,U119-MIN(U119,MAX(0,$E119-SUMIFS(H119:AK119,$H$5:$AK$5,"Rem",$H$4:$AK$4,"&lt;"&amp;V$4))))</f>
        <v/>
      </c>
      <c r="W119" s="33">
        <f>Y118*(1+N(Debts!$D$11)/1200)</f>
        <v/>
      </c>
      <c r="X119" s="33">
        <f>W119-MIN(N(Debts!$E$11),W119)</f>
        <v/>
      </c>
      <c r="Y119" s="33">
        <f>IF(X119&lt;=0.005,0,X119-MIN(X119,MAX(0,$E119-SUMIFS(H119:AK119,$H$5:$AK$5,"Rem",$H$4:$AK$4,"&lt;"&amp;Y$4))))</f>
        <v/>
      </c>
      <c r="Z119" s="33">
        <f>AB118*(1+N(Debts!$D$12)/1200)</f>
        <v/>
      </c>
      <c r="AA119" s="33">
        <f>Z119-MIN(N(Debts!$E$12),Z119)</f>
        <v/>
      </c>
      <c r="AB119" s="33">
        <f>IF(AA119&lt;=0.005,0,AA119-MIN(AA119,MAX(0,$E119-SUMIFS(H119:AK119,$H$5:$AK$5,"Rem",$H$4:$AK$4,"&lt;"&amp;AB$4))))</f>
        <v/>
      </c>
      <c r="AC119" s="33">
        <f>AE118*(1+N(Debts!$D$13)/1200)</f>
        <v/>
      </c>
      <c r="AD119" s="33">
        <f>AC119-MIN(N(Debts!$E$13),AC119)</f>
        <v/>
      </c>
      <c r="AE119" s="33">
        <f>IF(AD119&lt;=0.005,0,AD119-MIN(AD119,MAX(0,$E119-SUMIFS(H119:AK119,$H$5:$AK$5,"Rem",$H$4:$AK$4,"&lt;"&amp;AE$4))))</f>
        <v/>
      </c>
      <c r="AF119" s="33">
        <f>AH118*(1+N(Debts!$D$14)/1200)</f>
        <v/>
      </c>
      <c r="AG119" s="33">
        <f>AF119-MIN(N(Debts!$E$14),AF119)</f>
        <v/>
      </c>
      <c r="AH119" s="33">
        <f>IF(AG119&lt;=0.005,0,AG119-MIN(AG119,MAX(0,$E119-SUMIFS(H119:AK119,$H$5:$AK$5,"Rem",$H$4:$AK$4,"&lt;"&amp;AH$4))))</f>
        <v/>
      </c>
      <c r="AI119" s="33">
        <f>AK118*(1+N(Debts!$D$15)/1200)</f>
        <v/>
      </c>
      <c r="AJ119" s="33">
        <f>AI119-MIN(N(Debts!$E$15),AI119)</f>
        <v/>
      </c>
      <c r="AK119" s="33">
        <f>IF(AJ119&lt;=0.005,0,AJ119-MIN(AJ119,MAX(0,$E119-SUMIFS(H119:AK119,$H$5:$AK$5,"Rem",$H$4:$AK$4,"&lt;"&amp;AK$4))))</f>
        <v/>
      </c>
      <c r="AL119" s="1" t="n"/>
    </row>
    <row r="120">
      <c r="A120" s="1" t="n"/>
      <c r="B120" s="1" t="n">
        <v>113</v>
      </c>
      <c r="C120" s="34">
        <f>EDATE(Debts!$J$13,B120-1)</f>
        <v/>
      </c>
      <c r="D120" s="33">
        <f>IF(G119&lt;=0.005,0,Debts!$E$16+Debts!$J$7)</f>
        <v/>
      </c>
      <c r="E120" s="33">
        <f>MAX(0,D120-(SUMIF($H$5:$AK$5,"Due",H120:AK120)-SUMIF($H$5:$AK$5,"Rem",H120:AK120)))</f>
        <v/>
      </c>
      <c r="F120" s="33">
        <f>SUMIF($H$5:$AK$5,"Due",H120:AK120)-SUMIF($H$5:$AK$5,"Bal",H119:AK119)</f>
        <v/>
      </c>
      <c r="G120" s="33">
        <f>SUMIF($H$5:$AK$5,"Bal",H120:AK120)</f>
        <v/>
      </c>
      <c r="H120" s="33">
        <f>J119*(1+N(Debts!$D$6)/1200)</f>
        <v/>
      </c>
      <c r="I120" s="33">
        <f>H120-MIN(N(Debts!$E$6),H120)</f>
        <v/>
      </c>
      <c r="J120" s="33">
        <f>IF(I120&lt;=0.005,0,I120-MIN(I120,MAX(0,$E120-SUMIFS(H120:AK120,$H$5:$AK$5,"Rem",$H$4:$AK$4,"&lt;"&amp;J$4))))</f>
        <v/>
      </c>
      <c r="K120" s="33">
        <f>M119*(1+N(Debts!$D$7)/1200)</f>
        <v/>
      </c>
      <c r="L120" s="33">
        <f>K120-MIN(N(Debts!$E$7),K120)</f>
        <v/>
      </c>
      <c r="M120" s="33">
        <f>IF(L120&lt;=0.005,0,L120-MIN(L120,MAX(0,$E120-SUMIFS(H120:AK120,$H$5:$AK$5,"Rem",$H$4:$AK$4,"&lt;"&amp;M$4))))</f>
        <v/>
      </c>
      <c r="N120" s="33">
        <f>P119*(1+N(Debts!$D$8)/1200)</f>
        <v/>
      </c>
      <c r="O120" s="33">
        <f>N120-MIN(N(Debts!$E$8),N120)</f>
        <v/>
      </c>
      <c r="P120" s="33">
        <f>IF(O120&lt;=0.005,0,O120-MIN(O120,MAX(0,$E120-SUMIFS(H120:AK120,$H$5:$AK$5,"Rem",$H$4:$AK$4,"&lt;"&amp;P$4))))</f>
        <v/>
      </c>
      <c r="Q120" s="33">
        <f>S119*(1+N(Debts!$D$9)/1200)</f>
        <v/>
      </c>
      <c r="R120" s="33">
        <f>Q120-MIN(N(Debts!$E$9),Q120)</f>
        <v/>
      </c>
      <c r="S120" s="33">
        <f>IF(R120&lt;=0.005,0,R120-MIN(R120,MAX(0,$E120-SUMIFS(H120:AK120,$H$5:$AK$5,"Rem",$H$4:$AK$4,"&lt;"&amp;S$4))))</f>
        <v/>
      </c>
      <c r="T120" s="33">
        <f>V119*(1+N(Debts!$D$10)/1200)</f>
        <v/>
      </c>
      <c r="U120" s="33">
        <f>T120-MIN(N(Debts!$E$10),T120)</f>
        <v/>
      </c>
      <c r="V120" s="33">
        <f>IF(U120&lt;=0.005,0,U120-MIN(U120,MAX(0,$E120-SUMIFS(H120:AK120,$H$5:$AK$5,"Rem",$H$4:$AK$4,"&lt;"&amp;V$4))))</f>
        <v/>
      </c>
      <c r="W120" s="33">
        <f>Y119*(1+N(Debts!$D$11)/1200)</f>
        <v/>
      </c>
      <c r="X120" s="33">
        <f>W120-MIN(N(Debts!$E$11),W120)</f>
        <v/>
      </c>
      <c r="Y120" s="33">
        <f>IF(X120&lt;=0.005,0,X120-MIN(X120,MAX(0,$E120-SUMIFS(H120:AK120,$H$5:$AK$5,"Rem",$H$4:$AK$4,"&lt;"&amp;Y$4))))</f>
        <v/>
      </c>
      <c r="Z120" s="33">
        <f>AB119*(1+N(Debts!$D$12)/1200)</f>
        <v/>
      </c>
      <c r="AA120" s="33">
        <f>Z120-MIN(N(Debts!$E$12),Z120)</f>
        <v/>
      </c>
      <c r="AB120" s="33">
        <f>IF(AA120&lt;=0.005,0,AA120-MIN(AA120,MAX(0,$E120-SUMIFS(H120:AK120,$H$5:$AK$5,"Rem",$H$4:$AK$4,"&lt;"&amp;AB$4))))</f>
        <v/>
      </c>
      <c r="AC120" s="33">
        <f>AE119*(1+N(Debts!$D$13)/1200)</f>
        <v/>
      </c>
      <c r="AD120" s="33">
        <f>AC120-MIN(N(Debts!$E$13),AC120)</f>
        <v/>
      </c>
      <c r="AE120" s="33">
        <f>IF(AD120&lt;=0.005,0,AD120-MIN(AD120,MAX(0,$E120-SUMIFS(H120:AK120,$H$5:$AK$5,"Rem",$H$4:$AK$4,"&lt;"&amp;AE$4))))</f>
        <v/>
      </c>
      <c r="AF120" s="33">
        <f>AH119*(1+N(Debts!$D$14)/1200)</f>
        <v/>
      </c>
      <c r="AG120" s="33">
        <f>AF120-MIN(N(Debts!$E$14),AF120)</f>
        <v/>
      </c>
      <c r="AH120" s="33">
        <f>IF(AG120&lt;=0.005,0,AG120-MIN(AG120,MAX(0,$E120-SUMIFS(H120:AK120,$H$5:$AK$5,"Rem",$H$4:$AK$4,"&lt;"&amp;AH$4))))</f>
        <v/>
      </c>
      <c r="AI120" s="33">
        <f>AK119*(1+N(Debts!$D$15)/1200)</f>
        <v/>
      </c>
      <c r="AJ120" s="33">
        <f>AI120-MIN(N(Debts!$E$15),AI120)</f>
        <v/>
      </c>
      <c r="AK120" s="33">
        <f>IF(AJ120&lt;=0.005,0,AJ120-MIN(AJ120,MAX(0,$E120-SUMIFS(H120:AK120,$H$5:$AK$5,"Rem",$H$4:$AK$4,"&lt;"&amp;AK$4))))</f>
        <v/>
      </c>
      <c r="AL120" s="1" t="n"/>
    </row>
    <row r="121">
      <c r="A121" s="1" t="n"/>
      <c r="B121" s="1" t="n">
        <v>114</v>
      </c>
      <c r="C121" s="34">
        <f>EDATE(Debts!$J$13,B121-1)</f>
        <v/>
      </c>
      <c r="D121" s="33">
        <f>IF(G120&lt;=0.005,0,Debts!$E$16+Debts!$J$7)</f>
        <v/>
      </c>
      <c r="E121" s="33">
        <f>MAX(0,D121-(SUMIF($H$5:$AK$5,"Due",H121:AK121)-SUMIF($H$5:$AK$5,"Rem",H121:AK121)))</f>
        <v/>
      </c>
      <c r="F121" s="33">
        <f>SUMIF($H$5:$AK$5,"Due",H121:AK121)-SUMIF($H$5:$AK$5,"Bal",H120:AK120)</f>
        <v/>
      </c>
      <c r="G121" s="33">
        <f>SUMIF($H$5:$AK$5,"Bal",H121:AK121)</f>
        <v/>
      </c>
      <c r="H121" s="33">
        <f>J120*(1+N(Debts!$D$6)/1200)</f>
        <v/>
      </c>
      <c r="I121" s="33">
        <f>H121-MIN(N(Debts!$E$6),H121)</f>
        <v/>
      </c>
      <c r="J121" s="33">
        <f>IF(I121&lt;=0.005,0,I121-MIN(I121,MAX(0,$E121-SUMIFS(H121:AK121,$H$5:$AK$5,"Rem",$H$4:$AK$4,"&lt;"&amp;J$4))))</f>
        <v/>
      </c>
      <c r="K121" s="33">
        <f>M120*(1+N(Debts!$D$7)/1200)</f>
        <v/>
      </c>
      <c r="L121" s="33">
        <f>K121-MIN(N(Debts!$E$7),K121)</f>
        <v/>
      </c>
      <c r="M121" s="33">
        <f>IF(L121&lt;=0.005,0,L121-MIN(L121,MAX(0,$E121-SUMIFS(H121:AK121,$H$5:$AK$5,"Rem",$H$4:$AK$4,"&lt;"&amp;M$4))))</f>
        <v/>
      </c>
      <c r="N121" s="33">
        <f>P120*(1+N(Debts!$D$8)/1200)</f>
        <v/>
      </c>
      <c r="O121" s="33">
        <f>N121-MIN(N(Debts!$E$8),N121)</f>
        <v/>
      </c>
      <c r="P121" s="33">
        <f>IF(O121&lt;=0.005,0,O121-MIN(O121,MAX(0,$E121-SUMIFS(H121:AK121,$H$5:$AK$5,"Rem",$H$4:$AK$4,"&lt;"&amp;P$4))))</f>
        <v/>
      </c>
      <c r="Q121" s="33">
        <f>S120*(1+N(Debts!$D$9)/1200)</f>
        <v/>
      </c>
      <c r="R121" s="33">
        <f>Q121-MIN(N(Debts!$E$9),Q121)</f>
        <v/>
      </c>
      <c r="S121" s="33">
        <f>IF(R121&lt;=0.005,0,R121-MIN(R121,MAX(0,$E121-SUMIFS(H121:AK121,$H$5:$AK$5,"Rem",$H$4:$AK$4,"&lt;"&amp;S$4))))</f>
        <v/>
      </c>
      <c r="T121" s="33">
        <f>V120*(1+N(Debts!$D$10)/1200)</f>
        <v/>
      </c>
      <c r="U121" s="33">
        <f>T121-MIN(N(Debts!$E$10),T121)</f>
        <v/>
      </c>
      <c r="V121" s="33">
        <f>IF(U121&lt;=0.005,0,U121-MIN(U121,MAX(0,$E121-SUMIFS(H121:AK121,$H$5:$AK$5,"Rem",$H$4:$AK$4,"&lt;"&amp;V$4))))</f>
        <v/>
      </c>
      <c r="W121" s="33">
        <f>Y120*(1+N(Debts!$D$11)/1200)</f>
        <v/>
      </c>
      <c r="X121" s="33">
        <f>W121-MIN(N(Debts!$E$11),W121)</f>
        <v/>
      </c>
      <c r="Y121" s="33">
        <f>IF(X121&lt;=0.005,0,X121-MIN(X121,MAX(0,$E121-SUMIFS(H121:AK121,$H$5:$AK$5,"Rem",$H$4:$AK$4,"&lt;"&amp;Y$4))))</f>
        <v/>
      </c>
      <c r="Z121" s="33">
        <f>AB120*(1+N(Debts!$D$12)/1200)</f>
        <v/>
      </c>
      <c r="AA121" s="33">
        <f>Z121-MIN(N(Debts!$E$12),Z121)</f>
        <v/>
      </c>
      <c r="AB121" s="33">
        <f>IF(AA121&lt;=0.005,0,AA121-MIN(AA121,MAX(0,$E121-SUMIFS(H121:AK121,$H$5:$AK$5,"Rem",$H$4:$AK$4,"&lt;"&amp;AB$4))))</f>
        <v/>
      </c>
      <c r="AC121" s="33">
        <f>AE120*(1+N(Debts!$D$13)/1200)</f>
        <v/>
      </c>
      <c r="AD121" s="33">
        <f>AC121-MIN(N(Debts!$E$13),AC121)</f>
        <v/>
      </c>
      <c r="AE121" s="33">
        <f>IF(AD121&lt;=0.005,0,AD121-MIN(AD121,MAX(0,$E121-SUMIFS(H121:AK121,$H$5:$AK$5,"Rem",$H$4:$AK$4,"&lt;"&amp;AE$4))))</f>
        <v/>
      </c>
      <c r="AF121" s="33">
        <f>AH120*(1+N(Debts!$D$14)/1200)</f>
        <v/>
      </c>
      <c r="AG121" s="33">
        <f>AF121-MIN(N(Debts!$E$14),AF121)</f>
        <v/>
      </c>
      <c r="AH121" s="33">
        <f>IF(AG121&lt;=0.005,0,AG121-MIN(AG121,MAX(0,$E121-SUMIFS(H121:AK121,$H$5:$AK$5,"Rem",$H$4:$AK$4,"&lt;"&amp;AH$4))))</f>
        <v/>
      </c>
      <c r="AI121" s="33">
        <f>AK120*(1+N(Debts!$D$15)/1200)</f>
        <v/>
      </c>
      <c r="AJ121" s="33">
        <f>AI121-MIN(N(Debts!$E$15),AI121)</f>
        <v/>
      </c>
      <c r="AK121" s="33">
        <f>IF(AJ121&lt;=0.005,0,AJ121-MIN(AJ121,MAX(0,$E121-SUMIFS(H121:AK121,$H$5:$AK$5,"Rem",$H$4:$AK$4,"&lt;"&amp;AK$4))))</f>
        <v/>
      </c>
      <c r="AL121" s="1" t="n"/>
    </row>
    <row r="122">
      <c r="A122" s="1" t="n"/>
      <c r="B122" s="1" t="n">
        <v>115</v>
      </c>
      <c r="C122" s="34">
        <f>EDATE(Debts!$J$13,B122-1)</f>
        <v/>
      </c>
      <c r="D122" s="33">
        <f>IF(G121&lt;=0.005,0,Debts!$E$16+Debts!$J$7)</f>
        <v/>
      </c>
      <c r="E122" s="33">
        <f>MAX(0,D122-(SUMIF($H$5:$AK$5,"Due",H122:AK122)-SUMIF($H$5:$AK$5,"Rem",H122:AK122)))</f>
        <v/>
      </c>
      <c r="F122" s="33">
        <f>SUMIF($H$5:$AK$5,"Due",H122:AK122)-SUMIF($H$5:$AK$5,"Bal",H121:AK121)</f>
        <v/>
      </c>
      <c r="G122" s="33">
        <f>SUMIF($H$5:$AK$5,"Bal",H122:AK122)</f>
        <v/>
      </c>
      <c r="H122" s="33">
        <f>J121*(1+N(Debts!$D$6)/1200)</f>
        <v/>
      </c>
      <c r="I122" s="33">
        <f>H122-MIN(N(Debts!$E$6),H122)</f>
        <v/>
      </c>
      <c r="J122" s="33">
        <f>IF(I122&lt;=0.005,0,I122-MIN(I122,MAX(0,$E122-SUMIFS(H122:AK122,$H$5:$AK$5,"Rem",$H$4:$AK$4,"&lt;"&amp;J$4))))</f>
        <v/>
      </c>
      <c r="K122" s="33">
        <f>M121*(1+N(Debts!$D$7)/1200)</f>
        <v/>
      </c>
      <c r="L122" s="33">
        <f>K122-MIN(N(Debts!$E$7),K122)</f>
        <v/>
      </c>
      <c r="M122" s="33">
        <f>IF(L122&lt;=0.005,0,L122-MIN(L122,MAX(0,$E122-SUMIFS(H122:AK122,$H$5:$AK$5,"Rem",$H$4:$AK$4,"&lt;"&amp;M$4))))</f>
        <v/>
      </c>
      <c r="N122" s="33">
        <f>P121*(1+N(Debts!$D$8)/1200)</f>
        <v/>
      </c>
      <c r="O122" s="33">
        <f>N122-MIN(N(Debts!$E$8),N122)</f>
        <v/>
      </c>
      <c r="P122" s="33">
        <f>IF(O122&lt;=0.005,0,O122-MIN(O122,MAX(0,$E122-SUMIFS(H122:AK122,$H$5:$AK$5,"Rem",$H$4:$AK$4,"&lt;"&amp;P$4))))</f>
        <v/>
      </c>
      <c r="Q122" s="33">
        <f>S121*(1+N(Debts!$D$9)/1200)</f>
        <v/>
      </c>
      <c r="R122" s="33">
        <f>Q122-MIN(N(Debts!$E$9),Q122)</f>
        <v/>
      </c>
      <c r="S122" s="33">
        <f>IF(R122&lt;=0.005,0,R122-MIN(R122,MAX(0,$E122-SUMIFS(H122:AK122,$H$5:$AK$5,"Rem",$H$4:$AK$4,"&lt;"&amp;S$4))))</f>
        <v/>
      </c>
      <c r="T122" s="33">
        <f>V121*(1+N(Debts!$D$10)/1200)</f>
        <v/>
      </c>
      <c r="U122" s="33">
        <f>T122-MIN(N(Debts!$E$10),T122)</f>
        <v/>
      </c>
      <c r="V122" s="33">
        <f>IF(U122&lt;=0.005,0,U122-MIN(U122,MAX(0,$E122-SUMIFS(H122:AK122,$H$5:$AK$5,"Rem",$H$4:$AK$4,"&lt;"&amp;V$4))))</f>
        <v/>
      </c>
      <c r="W122" s="33">
        <f>Y121*(1+N(Debts!$D$11)/1200)</f>
        <v/>
      </c>
      <c r="X122" s="33">
        <f>W122-MIN(N(Debts!$E$11),W122)</f>
        <v/>
      </c>
      <c r="Y122" s="33">
        <f>IF(X122&lt;=0.005,0,X122-MIN(X122,MAX(0,$E122-SUMIFS(H122:AK122,$H$5:$AK$5,"Rem",$H$4:$AK$4,"&lt;"&amp;Y$4))))</f>
        <v/>
      </c>
      <c r="Z122" s="33">
        <f>AB121*(1+N(Debts!$D$12)/1200)</f>
        <v/>
      </c>
      <c r="AA122" s="33">
        <f>Z122-MIN(N(Debts!$E$12),Z122)</f>
        <v/>
      </c>
      <c r="AB122" s="33">
        <f>IF(AA122&lt;=0.005,0,AA122-MIN(AA122,MAX(0,$E122-SUMIFS(H122:AK122,$H$5:$AK$5,"Rem",$H$4:$AK$4,"&lt;"&amp;AB$4))))</f>
        <v/>
      </c>
      <c r="AC122" s="33">
        <f>AE121*(1+N(Debts!$D$13)/1200)</f>
        <v/>
      </c>
      <c r="AD122" s="33">
        <f>AC122-MIN(N(Debts!$E$13),AC122)</f>
        <v/>
      </c>
      <c r="AE122" s="33">
        <f>IF(AD122&lt;=0.005,0,AD122-MIN(AD122,MAX(0,$E122-SUMIFS(H122:AK122,$H$5:$AK$5,"Rem",$H$4:$AK$4,"&lt;"&amp;AE$4))))</f>
        <v/>
      </c>
      <c r="AF122" s="33">
        <f>AH121*(1+N(Debts!$D$14)/1200)</f>
        <v/>
      </c>
      <c r="AG122" s="33">
        <f>AF122-MIN(N(Debts!$E$14),AF122)</f>
        <v/>
      </c>
      <c r="AH122" s="33">
        <f>IF(AG122&lt;=0.005,0,AG122-MIN(AG122,MAX(0,$E122-SUMIFS(H122:AK122,$H$5:$AK$5,"Rem",$H$4:$AK$4,"&lt;"&amp;AH$4))))</f>
        <v/>
      </c>
      <c r="AI122" s="33">
        <f>AK121*(1+N(Debts!$D$15)/1200)</f>
        <v/>
      </c>
      <c r="AJ122" s="33">
        <f>AI122-MIN(N(Debts!$E$15),AI122)</f>
        <v/>
      </c>
      <c r="AK122" s="33">
        <f>IF(AJ122&lt;=0.005,0,AJ122-MIN(AJ122,MAX(0,$E122-SUMIFS(H122:AK122,$H$5:$AK$5,"Rem",$H$4:$AK$4,"&lt;"&amp;AK$4))))</f>
        <v/>
      </c>
      <c r="AL122" s="1" t="n"/>
    </row>
    <row r="123">
      <c r="A123" s="1" t="n"/>
      <c r="B123" s="1" t="n">
        <v>116</v>
      </c>
      <c r="C123" s="34">
        <f>EDATE(Debts!$J$13,B123-1)</f>
        <v/>
      </c>
      <c r="D123" s="33">
        <f>IF(G122&lt;=0.005,0,Debts!$E$16+Debts!$J$7)</f>
        <v/>
      </c>
      <c r="E123" s="33">
        <f>MAX(0,D123-(SUMIF($H$5:$AK$5,"Due",H123:AK123)-SUMIF($H$5:$AK$5,"Rem",H123:AK123)))</f>
        <v/>
      </c>
      <c r="F123" s="33">
        <f>SUMIF($H$5:$AK$5,"Due",H123:AK123)-SUMIF($H$5:$AK$5,"Bal",H122:AK122)</f>
        <v/>
      </c>
      <c r="G123" s="33">
        <f>SUMIF($H$5:$AK$5,"Bal",H123:AK123)</f>
        <v/>
      </c>
      <c r="H123" s="33">
        <f>J122*(1+N(Debts!$D$6)/1200)</f>
        <v/>
      </c>
      <c r="I123" s="33">
        <f>H123-MIN(N(Debts!$E$6),H123)</f>
        <v/>
      </c>
      <c r="J123" s="33">
        <f>IF(I123&lt;=0.005,0,I123-MIN(I123,MAX(0,$E123-SUMIFS(H123:AK123,$H$5:$AK$5,"Rem",$H$4:$AK$4,"&lt;"&amp;J$4))))</f>
        <v/>
      </c>
      <c r="K123" s="33">
        <f>M122*(1+N(Debts!$D$7)/1200)</f>
        <v/>
      </c>
      <c r="L123" s="33">
        <f>K123-MIN(N(Debts!$E$7),K123)</f>
        <v/>
      </c>
      <c r="M123" s="33">
        <f>IF(L123&lt;=0.005,0,L123-MIN(L123,MAX(0,$E123-SUMIFS(H123:AK123,$H$5:$AK$5,"Rem",$H$4:$AK$4,"&lt;"&amp;M$4))))</f>
        <v/>
      </c>
      <c r="N123" s="33">
        <f>P122*(1+N(Debts!$D$8)/1200)</f>
        <v/>
      </c>
      <c r="O123" s="33">
        <f>N123-MIN(N(Debts!$E$8),N123)</f>
        <v/>
      </c>
      <c r="P123" s="33">
        <f>IF(O123&lt;=0.005,0,O123-MIN(O123,MAX(0,$E123-SUMIFS(H123:AK123,$H$5:$AK$5,"Rem",$H$4:$AK$4,"&lt;"&amp;P$4))))</f>
        <v/>
      </c>
      <c r="Q123" s="33">
        <f>S122*(1+N(Debts!$D$9)/1200)</f>
        <v/>
      </c>
      <c r="R123" s="33">
        <f>Q123-MIN(N(Debts!$E$9),Q123)</f>
        <v/>
      </c>
      <c r="S123" s="33">
        <f>IF(R123&lt;=0.005,0,R123-MIN(R123,MAX(0,$E123-SUMIFS(H123:AK123,$H$5:$AK$5,"Rem",$H$4:$AK$4,"&lt;"&amp;S$4))))</f>
        <v/>
      </c>
      <c r="T123" s="33">
        <f>V122*(1+N(Debts!$D$10)/1200)</f>
        <v/>
      </c>
      <c r="U123" s="33">
        <f>T123-MIN(N(Debts!$E$10),T123)</f>
        <v/>
      </c>
      <c r="V123" s="33">
        <f>IF(U123&lt;=0.005,0,U123-MIN(U123,MAX(0,$E123-SUMIFS(H123:AK123,$H$5:$AK$5,"Rem",$H$4:$AK$4,"&lt;"&amp;V$4))))</f>
        <v/>
      </c>
      <c r="W123" s="33">
        <f>Y122*(1+N(Debts!$D$11)/1200)</f>
        <v/>
      </c>
      <c r="X123" s="33">
        <f>W123-MIN(N(Debts!$E$11),W123)</f>
        <v/>
      </c>
      <c r="Y123" s="33">
        <f>IF(X123&lt;=0.005,0,X123-MIN(X123,MAX(0,$E123-SUMIFS(H123:AK123,$H$5:$AK$5,"Rem",$H$4:$AK$4,"&lt;"&amp;Y$4))))</f>
        <v/>
      </c>
      <c r="Z123" s="33">
        <f>AB122*(1+N(Debts!$D$12)/1200)</f>
        <v/>
      </c>
      <c r="AA123" s="33">
        <f>Z123-MIN(N(Debts!$E$12),Z123)</f>
        <v/>
      </c>
      <c r="AB123" s="33">
        <f>IF(AA123&lt;=0.005,0,AA123-MIN(AA123,MAX(0,$E123-SUMIFS(H123:AK123,$H$5:$AK$5,"Rem",$H$4:$AK$4,"&lt;"&amp;AB$4))))</f>
        <v/>
      </c>
      <c r="AC123" s="33">
        <f>AE122*(1+N(Debts!$D$13)/1200)</f>
        <v/>
      </c>
      <c r="AD123" s="33">
        <f>AC123-MIN(N(Debts!$E$13),AC123)</f>
        <v/>
      </c>
      <c r="AE123" s="33">
        <f>IF(AD123&lt;=0.005,0,AD123-MIN(AD123,MAX(0,$E123-SUMIFS(H123:AK123,$H$5:$AK$5,"Rem",$H$4:$AK$4,"&lt;"&amp;AE$4))))</f>
        <v/>
      </c>
      <c r="AF123" s="33">
        <f>AH122*(1+N(Debts!$D$14)/1200)</f>
        <v/>
      </c>
      <c r="AG123" s="33">
        <f>AF123-MIN(N(Debts!$E$14),AF123)</f>
        <v/>
      </c>
      <c r="AH123" s="33">
        <f>IF(AG123&lt;=0.005,0,AG123-MIN(AG123,MAX(0,$E123-SUMIFS(H123:AK123,$H$5:$AK$5,"Rem",$H$4:$AK$4,"&lt;"&amp;AH$4))))</f>
        <v/>
      </c>
      <c r="AI123" s="33">
        <f>AK122*(1+N(Debts!$D$15)/1200)</f>
        <v/>
      </c>
      <c r="AJ123" s="33">
        <f>AI123-MIN(N(Debts!$E$15),AI123)</f>
        <v/>
      </c>
      <c r="AK123" s="33">
        <f>IF(AJ123&lt;=0.005,0,AJ123-MIN(AJ123,MAX(0,$E123-SUMIFS(H123:AK123,$H$5:$AK$5,"Rem",$H$4:$AK$4,"&lt;"&amp;AK$4))))</f>
        <v/>
      </c>
      <c r="AL123" s="1" t="n"/>
    </row>
    <row r="124">
      <c r="A124" s="1" t="n"/>
      <c r="B124" s="1" t="n">
        <v>117</v>
      </c>
      <c r="C124" s="34">
        <f>EDATE(Debts!$J$13,B124-1)</f>
        <v/>
      </c>
      <c r="D124" s="33">
        <f>IF(G123&lt;=0.005,0,Debts!$E$16+Debts!$J$7)</f>
        <v/>
      </c>
      <c r="E124" s="33">
        <f>MAX(0,D124-(SUMIF($H$5:$AK$5,"Due",H124:AK124)-SUMIF($H$5:$AK$5,"Rem",H124:AK124)))</f>
        <v/>
      </c>
      <c r="F124" s="33">
        <f>SUMIF($H$5:$AK$5,"Due",H124:AK124)-SUMIF($H$5:$AK$5,"Bal",H123:AK123)</f>
        <v/>
      </c>
      <c r="G124" s="33">
        <f>SUMIF($H$5:$AK$5,"Bal",H124:AK124)</f>
        <v/>
      </c>
      <c r="H124" s="33">
        <f>J123*(1+N(Debts!$D$6)/1200)</f>
        <v/>
      </c>
      <c r="I124" s="33">
        <f>H124-MIN(N(Debts!$E$6),H124)</f>
        <v/>
      </c>
      <c r="J124" s="33">
        <f>IF(I124&lt;=0.005,0,I124-MIN(I124,MAX(0,$E124-SUMIFS(H124:AK124,$H$5:$AK$5,"Rem",$H$4:$AK$4,"&lt;"&amp;J$4))))</f>
        <v/>
      </c>
      <c r="K124" s="33">
        <f>M123*(1+N(Debts!$D$7)/1200)</f>
        <v/>
      </c>
      <c r="L124" s="33">
        <f>K124-MIN(N(Debts!$E$7),K124)</f>
        <v/>
      </c>
      <c r="M124" s="33">
        <f>IF(L124&lt;=0.005,0,L124-MIN(L124,MAX(0,$E124-SUMIFS(H124:AK124,$H$5:$AK$5,"Rem",$H$4:$AK$4,"&lt;"&amp;M$4))))</f>
        <v/>
      </c>
      <c r="N124" s="33">
        <f>P123*(1+N(Debts!$D$8)/1200)</f>
        <v/>
      </c>
      <c r="O124" s="33">
        <f>N124-MIN(N(Debts!$E$8),N124)</f>
        <v/>
      </c>
      <c r="P124" s="33">
        <f>IF(O124&lt;=0.005,0,O124-MIN(O124,MAX(0,$E124-SUMIFS(H124:AK124,$H$5:$AK$5,"Rem",$H$4:$AK$4,"&lt;"&amp;P$4))))</f>
        <v/>
      </c>
      <c r="Q124" s="33">
        <f>S123*(1+N(Debts!$D$9)/1200)</f>
        <v/>
      </c>
      <c r="R124" s="33">
        <f>Q124-MIN(N(Debts!$E$9),Q124)</f>
        <v/>
      </c>
      <c r="S124" s="33">
        <f>IF(R124&lt;=0.005,0,R124-MIN(R124,MAX(0,$E124-SUMIFS(H124:AK124,$H$5:$AK$5,"Rem",$H$4:$AK$4,"&lt;"&amp;S$4))))</f>
        <v/>
      </c>
      <c r="T124" s="33">
        <f>V123*(1+N(Debts!$D$10)/1200)</f>
        <v/>
      </c>
      <c r="U124" s="33">
        <f>T124-MIN(N(Debts!$E$10),T124)</f>
        <v/>
      </c>
      <c r="V124" s="33">
        <f>IF(U124&lt;=0.005,0,U124-MIN(U124,MAX(0,$E124-SUMIFS(H124:AK124,$H$5:$AK$5,"Rem",$H$4:$AK$4,"&lt;"&amp;V$4))))</f>
        <v/>
      </c>
      <c r="W124" s="33">
        <f>Y123*(1+N(Debts!$D$11)/1200)</f>
        <v/>
      </c>
      <c r="X124" s="33">
        <f>W124-MIN(N(Debts!$E$11),W124)</f>
        <v/>
      </c>
      <c r="Y124" s="33">
        <f>IF(X124&lt;=0.005,0,X124-MIN(X124,MAX(0,$E124-SUMIFS(H124:AK124,$H$5:$AK$5,"Rem",$H$4:$AK$4,"&lt;"&amp;Y$4))))</f>
        <v/>
      </c>
      <c r="Z124" s="33">
        <f>AB123*(1+N(Debts!$D$12)/1200)</f>
        <v/>
      </c>
      <c r="AA124" s="33">
        <f>Z124-MIN(N(Debts!$E$12),Z124)</f>
        <v/>
      </c>
      <c r="AB124" s="33">
        <f>IF(AA124&lt;=0.005,0,AA124-MIN(AA124,MAX(0,$E124-SUMIFS(H124:AK124,$H$5:$AK$5,"Rem",$H$4:$AK$4,"&lt;"&amp;AB$4))))</f>
        <v/>
      </c>
      <c r="AC124" s="33">
        <f>AE123*(1+N(Debts!$D$13)/1200)</f>
        <v/>
      </c>
      <c r="AD124" s="33">
        <f>AC124-MIN(N(Debts!$E$13),AC124)</f>
        <v/>
      </c>
      <c r="AE124" s="33">
        <f>IF(AD124&lt;=0.005,0,AD124-MIN(AD124,MAX(0,$E124-SUMIFS(H124:AK124,$H$5:$AK$5,"Rem",$H$4:$AK$4,"&lt;"&amp;AE$4))))</f>
        <v/>
      </c>
      <c r="AF124" s="33">
        <f>AH123*(1+N(Debts!$D$14)/1200)</f>
        <v/>
      </c>
      <c r="AG124" s="33">
        <f>AF124-MIN(N(Debts!$E$14),AF124)</f>
        <v/>
      </c>
      <c r="AH124" s="33">
        <f>IF(AG124&lt;=0.005,0,AG124-MIN(AG124,MAX(0,$E124-SUMIFS(H124:AK124,$H$5:$AK$5,"Rem",$H$4:$AK$4,"&lt;"&amp;AH$4))))</f>
        <v/>
      </c>
      <c r="AI124" s="33">
        <f>AK123*(1+N(Debts!$D$15)/1200)</f>
        <v/>
      </c>
      <c r="AJ124" s="33">
        <f>AI124-MIN(N(Debts!$E$15),AI124)</f>
        <v/>
      </c>
      <c r="AK124" s="33">
        <f>IF(AJ124&lt;=0.005,0,AJ124-MIN(AJ124,MAX(0,$E124-SUMIFS(H124:AK124,$H$5:$AK$5,"Rem",$H$4:$AK$4,"&lt;"&amp;AK$4))))</f>
        <v/>
      </c>
      <c r="AL124" s="1" t="n"/>
    </row>
    <row r="125">
      <c r="A125" s="1" t="n"/>
      <c r="B125" s="1" t="n">
        <v>118</v>
      </c>
      <c r="C125" s="34">
        <f>EDATE(Debts!$J$13,B125-1)</f>
        <v/>
      </c>
      <c r="D125" s="33">
        <f>IF(G124&lt;=0.005,0,Debts!$E$16+Debts!$J$7)</f>
        <v/>
      </c>
      <c r="E125" s="33">
        <f>MAX(0,D125-(SUMIF($H$5:$AK$5,"Due",H125:AK125)-SUMIF($H$5:$AK$5,"Rem",H125:AK125)))</f>
        <v/>
      </c>
      <c r="F125" s="33">
        <f>SUMIF($H$5:$AK$5,"Due",H125:AK125)-SUMIF($H$5:$AK$5,"Bal",H124:AK124)</f>
        <v/>
      </c>
      <c r="G125" s="33">
        <f>SUMIF($H$5:$AK$5,"Bal",H125:AK125)</f>
        <v/>
      </c>
      <c r="H125" s="33">
        <f>J124*(1+N(Debts!$D$6)/1200)</f>
        <v/>
      </c>
      <c r="I125" s="33">
        <f>H125-MIN(N(Debts!$E$6),H125)</f>
        <v/>
      </c>
      <c r="J125" s="33">
        <f>IF(I125&lt;=0.005,0,I125-MIN(I125,MAX(0,$E125-SUMIFS(H125:AK125,$H$5:$AK$5,"Rem",$H$4:$AK$4,"&lt;"&amp;J$4))))</f>
        <v/>
      </c>
      <c r="K125" s="33">
        <f>M124*(1+N(Debts!$D$7)/1200)</f>
        <v/>
      </c>
      <c r="L125" s="33">
        <f>K125-MIN(N(Debts!$E$7),K125)</f>
        <v/>
      </c>
      <c r="M125" s="33">
        <f>IF(L125&lt;=0.005,0,L125-MIN(L125,MAX(0,$E125-SUMIFS(H125:AK125,$H$5:$AK$5,"Rem",$H$4:$AK$4,"&lt;"&amp;M$4))))</f>
        <v/>
      </c>
      <c r="N125" s="33">
        <f>P124*(1+N(Debts!$D$8)/1200)</f>
        <v/>
      </c>
      <c r="O125" s="33">
        <f>N125-MIN(N(Debts!$E$8),N125)</f>
        <v/>
      </c>
      <c r="P125" s="33">
        <f>IF(O125&lt;=0.005,0,O125-MIN(O125,MAX(0,$E125-SUMIFS(H125:AK125,$H$5:$AK$5,"Rem",$H$4:$AK$4,"&lt;"&amp;P$4))))</f>
        <v/>
      </c>
      <c r="Q125" s="33">
        <f>S124*(1+N(Debts!$D$9)/1200)</f>
        <v/>
      </c>
      <c r="R125" s="33">
        <f>Q125-MIN(N(Debts!$E$9),Q125)</f>
        <v/>
      </c>
      <c r="S125" s="33">
        <f>IF(R125&lt;=0.005,0,R125-MIN(R125,MAX(0,$E125-SUMIFS(H125:AK125,$H$5:$AK$5,"Rem",$H$4:$AK$4,"&lt;"&amp;S$4))))</f>
        <v/>
      </c>
      <c r="T125" s="33">
        <f>V124*(1+N(Debts!$D$10)/1200)</f>
        <v/>
      </c>
      <c r="U125" s="33">
        <f>T125-MIN(N(Debts!$E$10),T125)</f>
        <v/>
      </c>
      <c r="V125" s="33">
        <f>IF(U125&lt;=0.005,0,U125-MIN(U125,MAX(0,$E125-SUMIFS(H125:AK125,$H$5:$AK$5,"Rem",$H$4:$AK$4,"&lt;"&amp;V$4))))</f>
        <v/>
      </c>
      <c r="W125" s="33">
        <f>Y124*(1+N(Debts!$D$11)/1200)</f>
        <v/>
      </c>
      <c r="X125" s="33">
        <f>W125-MIN(N(Debts!$E$11),W125)</f>
        <v/>
      </c>
      <c r="Y125" s="33">
        <f>IF(X125&lt;=0.005,0,X125-MIN(X125,MAX(0,$E125-SUMIFS(H125:AK125,$H$5:$AK$5,"Rem",$H$4:$AK$4,"&lt;"&amp;Y$4))))</f>
        <v/>
      </c>
      <c r="Z125" s="33">
        <f>AB124*(1+N(Debts!$D$12)/1200)</f>
        <v/>
      </c>
      <c r="AA125" s="33">
        <f>Z125-MIN(N(Debts!$E$12),Z125)</f>
        <v/>
      </c>
      <c r="AB125" s="33">
        <f>IF(AA125&lt;=0.005,0,AA125-MIN(AA125,MAX(0,$E125-SUMIFS(H125:AK125,$H$5:$AK$5,"Rem",$H$4:$AK$4,"&lt;"&amp;AB$4))))</f>
        <v/>
      </c>
      <c r="AC125" s="33">
        <f>AE124*(1+N(Debts!$D$13)/1200)</f>
        <v/>
      </c>
      <c r="AD125" s="33">
        <f>AC125-MIN(N(Debts!$E$13),AC125)</f>
        <v/>
      </c>
      <c r="AE125" s="33">
        <f>IF(AD125&lt;=0.005,0,AD125-MIN(AD125,MAX(0,$E125-SUMIFS(H125:AK125,$H$5:$AK$5,"Rem",$H$4:$AK$4,"&lt;"&amp;AE$4))))</f>
        <v/>
      </c>
      <c r="AF125" s="33">
        <f>AH124*(1+N(Debts!$D$14)/1200)</f>
        <v/>
      </c>
      <c r="AG125" s="33">
        <f>AF125-MIN(N(Debts!$E$14),AF125)</f>
        <v/>
      </c>
      <c r="AH125" s="33">
        <f>IF(AG125&lt;=0.005,0,AG125-MIN(AG125,MAX(0,$E125-SUMIFS(H125:AK125,$H$5:$AK$5,"Rem",$H$4:$AK$4,"&lt;"&amp;AH$4))))</f>
        <v/>
      </c>
      <c r="AI125" s="33">
        <f>AK124*(1+N(Debts!$D$15)/1200)</f>
        <v/>
      </c>
      <c r="AJ125" s="33">
        <f>AI125-MIN(N(Debts!$E$15),AI125)</f>
        <v/>
      </c>
      <c r="AK125" s="33">
        <f>IF(AJ125&lt;=0.005,0,AJ125-MIN(AJ125,MAX(0,$E125-SUMIFS(H125:AK125,$H$5:$AK$5,"Rem",$H$4:$AK$4,"&lt;"&amp;AK$4))))</f>
        <v/>
      </c>
      <c r="AL125" s="1" t="n"/>
    </row>
    <row r="126">
      <c r="A126" s="1" t="n"/>
      <c r="B126" s="1" t="n">
        <v>119</v>
      </c>
      <c r="C126" s="34">
        <f>EDATE(Debts!$J$13,B126-1)</f>
        <v/>
      </c>
      <c r="D126" s="33">
        <f>IF(G125&lt;=0.005,0,Debts!$E$16+Debts!$J$7)</f>
        <v/>
      </c>
      <c r="E126" s="33">
        <f>MAX(0,D126-(SUMIF($H$5:$AK$5,"Due",H126:AK126)-SUMIF($H$5:$AK$5,"Rem",H126:AK126)))</f>
        <v/>
      </c>
      <c r="F126" s="33">
        <f>SUMIF($H$5:$AK$5,"Due",H126:AK126)-SUMIF($H$5:$AK$5,"Bal",H125:AK125)</f>
        <v/>
      </c>
      <c r="G126" s="33">
        <f>SUMIF($H$5:$AK$5,"Bal",H126:AK126)</f>
        <v/>
      </c>
      <c r="H126" s="33">
        <f>J125*(1+N(Debts!$D$6)/1200)</f>
        <v/>
      </c>
      <c r="I126" s="33">
        <f>H126-MIN(N(Debts!$E$6),H126)</f>
        <v/>
      </c>
      <c r="J126" s="33">
        <f>IF(I126&lt;=0.005,0,I126-MIN(I126,MAX(0,$E126-SUMIFS(H126:AK126,$H$5:$AK$5,"Rem",$H$4:$AK$4,"&lt;"&amp;J$4))))</f>
        <v/>
      </c>
      <c r="K126" s="33">
        <f>M125*(1+N(Debts!$D$7)/1200)</f>
        <v/>
      </c>
      <c r="L126" s="33">
        <f>K126-MIN(N(Debts!$E$7),K126)</f>
        <v/>
      </c>
      <c r="M126" s="33">
        <f>IF(L126&lt;=0.005,0,L126-MIN(L126,MAX(0,$E126-SUMIFS(H126:AK126,$H$5:$AK$5,"Rem",$H$4:$AK$4,"&lt;"&amp;M$4))))</f>
        <v/>
      </c>
      <c r="N126" s="33">
        <f>P125*(1+N(Debts!$D$8)/1200)</f>
        <v/>
      </c>
      <c r="O126" s="33">
        <f>N126-MIN(N(Debts!$E$8),N126)</f>
        <v/>
      </c>
      <c r="P126" s="33">
        <f>IF(O126&lt;=0.005,0,O126-MIN(O126,MAX(0,$E126-SUMIFS(H126:AK126,$H$5:$AK$5,"Rem",$H$4:$AK$4,"&lt;"&amp;P$4))))</f>
        <v/>
      </c>
      <c r="Q126" s="33">
        <f>S125*(1+N(Debts!$D$9)/1200)</f>
        <v/>
      </c>
      <c r="R126" s="33">
        <f>Q126-MIN(N(Debts!$E$9),Q126)</f>
        <v/>
      </c>
      <c r="S126" s="33">
        <f>IF(R126&lt;=0.005,0,R126-MIN(R126,MAX(0,$E126-SUMIFS(H126:AK126,$H$5:$AK$5,"Rem",$H$4:$AK$4,"&lt;"&amp;S$4))))</f>
        <v/>
      </c>
      <c r="T126" s="33">
        <f>V125*(1+N(Debts!$D$10)/1200)</f>
        <v/>
      </c>
      <c r="U126" s="33">
        <f>T126-MIN(N(Debts!$E$10),T126)</f>
        <v/>
      </c>
      <c r="V126" s="33">
        <f>IF(U126&lt;=0.005,0,U126-MIN(U126,MAX(0,$E126-SUMIFS(H126:AK126,$H$5:$AK$5,"Rem",$H$4:$AK$4,"&lt;"&amp;V$4))))</f>
        <v/>
      </c>
      <c r="W126" s="33">
        <f>Y125*(1+N(Debts!$D$11)/1200)</f>
        <v/>
      </c>
      <c r="X126" s="33">
        <f>W126-MIN(N(Debts!$E$11),W126)</f>
        <v/>
      </c>
      <c r="Y126" s="33">
        <f>IF(X126&lt;=0.005,0,X126-MIN(X126,MAX(0,$E126-SUMIFS(H126:AK126,$H$5:$AK$5,"Rem",$H$4:$AK$4,"&lt;"&amp;Y$4))))</f>
        <v/>
      </c>
      <c r="Z126" s="33">
        <f>AB125*(1+N(Debts!$D$12)/1200)</f>
        <v/>
      </c>
      <c r="AA126" s="33">
        <f>Z126-MIN(N(Debts!$E$12),Z126)</f>
        <v/>
      </c>
      <c r="AB126" s="33">
        <f>IF(AA126&lt;=0.005,0,AA126-MIN(AA126,MAX(0,$E126-SUMIFS(H126:AK126,$H$5:$AK$5,"Rem",$H$4:$AK$4,"&lt;"&amp;AB$4))))</f>
        <v/>
      </c>
      <c r="AC126" s="33">
        <f>AE125*(1+N(Debts!$D$13)/1200)</f>
        <v/>
      </c>
      <c r="AD126" s="33">
        <f>AC126-MIN(N(Debts!$E$13),AC126)</f>
        <v/>
      </c>
      <c r="AE126" s="33">
        <f>IF(AD126&lt;=0.005,0,AD126-MIN(AD126,MAX(0,$E126-SUMIFS(H126:AK126,$H$5:$AK$5,"Rem",$H$4:$AK$4,"&lt;"&amp;AE$4))))</f>
        <v/>
      </c>
      <c r="AF126" s="33">
        <f>AH125*(1+N(Debts!$D$14)/1200)</f>
        <v/>
      </c>
      <c r="AG126" s="33">
        <f>AF126-MIN(N(Debts!$E$14),AF126)</f>
        <v/>
      </c>
      <c r="AH126" s="33">
        <f>IF(AG126&lt;=0.005,0,AG126-MIN(AG126,MAX(0,$E126-SUMIFS(H126:AK126,$H$5:$AK$5,"Rem",$H$4:$AK$4,"&lt;"&amp;AH$4))))</f>
        <v/>
      </c>
      <c r="AI126" s="33">
        <f>AK125*(1+N(Debts!$D$15)/1200)</f>
        <v/>
      </c>
      <c r="AJ126" s="33">
        <f>AI126-MIN(N(Debts!$E$15),AI126)</f>
        <v/>
      </c>
      <c r="AK126" s="33">
        <f>IF(AJ126&lt;=0.005,0,AJ126-MIN(AJ126,MAX(0,$E126-SUMIFS(H126:AK126,$H$5:$AK$5,"Rem",$H$4:$AK$4,"&lt;"&amp;AK$4))))</f>
        <v/>
      </c>
      <c r="AL126" s="1" t="n"/>
    </row>
    <row r="127">
      <c r="A127" s="1" t="n"/>
      <c r="B127" s="1" t="n">
        <v>120</v>
      </c>
      <c r="C127" s="34">
        <f>EDATE(Debts!$J$13,B127-1)</f>
        <v/>
      </c>
      <c r="D127" s="33">
        <f>IF(G126&lt;=0.005,0,Debts!$E$16+Debts!$J$7)</f>
        <v/>
      </c>
      <c r="E127" s="33">
        <f>MAX(0,D127-(SUMIF($H$5:$AK$5,"Due",H127:AK127)-SUMIF($H$5:$AK$5,"Rem",H127:AK127)))</f>
        <v/>
      </c>
      <c r="F127" s="33">
        <f>SUMIF($H$5:$AK$5,"Due",H127:AK127)-SUMIF($H$5:$AK$5,"Bal",H126:AK126)</f>
        <v/>
      </c>
      <c r="G127" s="33">
        <f>SUMIF($H$5:$AK$5,"Bal",H127:AK127)</f>
        <v/>
      </c>
      <c r="H127" s="33">
        <f>J126*(1+N(Debts!$D$6)/1200)</f>
        <v/>
      </c>
      <c r="I127" s="33">
        <f>H127-MIN(N(Debts!$E$6),H127)</f>
        <v/>
      </c>
      <c r="J127" s="33">
        <f>IF(I127&lt;=0.005,0,I127-MIN(I127,MAX(0,$E127-SUMIFS(H127:AK127,$H$5:$AK$5,"Rem",$H$4:$AK$4,"&lt;"&amp;J$4))))</f>
        <v/>
      </c>
      <c r="K127" s="33">
        <f>M126*(1+N(Debts!$D$7)/1200)</f>
        <v/>
      </c>
      <c r="L127" s="33">
        <f>K127-MIN(N(Debts!$E$7),K127)</f>
        <v/>
      </c>
      <c r="M127" s="33">
        <f>IF(L127&lt;=0.005,0,L127-MIN(L127,MAX(0,$E127-SUMIFS(H127:AK127,$H$5:$AK$5,"Rem",$H$4:$AK$4,"&lt;"&amp;M$4))))</f>
        <v/>
      </c>
      <c r="N127" s="33">
        <f>P126*(1+N(Debts!$D$8)/1200)</f>
        <v/>
      </c>
      <c r="O127" s="33">
        <f>N127-MIN(N(Debts!$E$8),N127)</f>
        <v/>
      </c>
      <c r="P127" s="33">
        <f>IF(O127&lt;=0.005,0,O127-MIN(O127,MAX(0,$E127-SUMIFS(H127:AK127,$H$5:$AK$5,"Rem",$H$4:$AK$4,"&lt;"&amp;P$4))))</f>
        <v/>
      </c>
      <c r="Q127" s="33">
        <f>S126*(1+N(Debts!$D$9)/1200)</f>
        <v/>
      </c>
      <c r="R127" s="33">
        <f>Q127-MIN(N(Debts!$E$9),Q127)</f>
        <v/>
      </c>
      <c r="S127" s="33">
        <f>IF(R127&lt;=0.005,0,R127-MIN(R127,MAX(0,$E127-SUMIFS(H127:AK127,$H$5:$AK$5,"Rem",$H$4:$AK$4,"&lt;"&amp;S$4))))</f>
        <v/>
      </c>
      <c r="T127" s="33">
        <f>V126*(1+N(Debts!$D$10)/1200)</f>
        <v/>
      </c>
      <c r="U127" s="33">
        <f>T127-MIN(N(Debts!$E$10),T127)</f>
        <v/>
      </c>
      <c r="V127" s="33">
        <f>IF(U127&lt;=0.005,0,U127-MIN(U127,MAX(0,$E127-SUMIFS(H127:AK127,$H$5:$AK$5,"Rem",$H$4:$AK$4,"&lt;"&amp;V$4))))</f>
        <v/>
      </c>
      <c r="W127" s="33">
        <f>Y126*(1+N(Debts!$D$11)/1200)</f>
        <v/>
      </c>
      <c r="X127" s="33">
        <f>W127-MIN(N(Debts!$E$11),W127)</f>
        <v/>
      </c>
      <c r="Y127" s="33">
        <f>IF(X127&lt;=0.005,0,X127-MIN(X127,MAX(0,$E127-SUMIFS(H127:AK127,$H$5:$AK$5,"Rem",$H$4:$AK$4,"&lt;"&amp;Y$4))))</f>
        <v/>
      </c>
      <c r="Z127" s="33">
        <f>AB126*(1+N(Debts!$D$12)/1200)</f>
        <v/>
      </c>
      <c r="AA127" s="33">
        <f>Z127-MIN(N(Debts!$E$12),Z127)</f>
        <v/>
      </c>
      <c r="AB127" s="33">
        <f>IF(AA127&lt;=0.005,0,AA127-MIN(AA127,MAX(0,$E127-SUMIFS(H127:AK127,$H$5:$AK$5,"Rem",$H$4:$AK$4,"&lt;"&amp;AB$4))))</f>
        <v/>
      </c>
      <c r="AC127" s="33">
        <f>AE126*(1+N(Debts!$D$13)/1200)</f>
        <v/>
      </c>
      <c r="AD127" s="33">
        <f>AC127-MIN(N(Debts!$E$13),AC127)</f>
        <v/>
      </c>
      <c r="AE127" s="33">
        <f>IF(AD127&lt;=0.005,0,AD127-MIN(AD127,MAX(0,$E127-SUMIFS(H127:AK127,$H$5:$AK$5,"Rem",$H$4:$AK$4,"&lt;"&amp;AE$4))))</f>
        <v/>
      </c>
      <c r="AF127" s="33">
        <f>AH126*(1+N(Debts!$D$14)/1200)</f>
        <v/>
      </c>
      <c r="AG127" s="33">
        <f>AF127-MIN(N(Debts!$E$14),AF127)</f>
        <v/>
      </c>
      <c r="AH127" s="33">
        <f>IF(AG127&lt;=0.005,0,AG127-MIN(AG127,MAX(0,$E127-SUMIFS(H127:AK127,$H$5:$AK$5,"Rem",$H$4:$AK$4,"&lt;"&amp;AH$4))))</f>
        <v/>
      </c>
      <c r="AI127" s="33">
        <f>AK126*(1+N(Debts!$D$15)/1200)</f>
        <v/>
      </c>
      <c r="AJ127" s="33">
        <f>AI127-MIN(N(Debts!$E$15),AI127)</f>
        <v/>
      </c>
      <c r="AK127" s="33">
        <f>IF(AJ127&lt;=0.005,0,AJ127-MIN(AJ127,MAX(0,$E127-SUMIFS(H127:AK127,$H$5:$AK$5,"Rem",$H$4:$AK$4,"&lt;"&amp;AK$4))))</f>
        <v/>
      </c>
      <c r="AL127" s="1" t="n"/>
    </row>
    <row r="128">
      <c r="A128" s="1" t="n"/>
      <c r="B128" s="1" t="n">
        <v>121</v>
      </c>
      <c r="C128" s="34">
        <f>EDATE(Debts!$J$13,B128-1)</f>
        <v/>
      </c>
      <c r="D128" s="33">
        <f>IF(G127&lt;=0.005,0,Debts!$E$16+Debts!$J$7)</f>
        <v/>
      </c>
      <c r="E128" s="33">
        <f>MAX(0,D128-(SUMIF($H$5:$AK$5,"Due",H128:AK128)-SUMIF($H$5:$AK$5,"Rem",H128:AK128)))</f>
        <v/>
      </c>
      <c r="F128" s="33">
        <f>SUMIF($H$5:$AK$5,"Due",H128:AK128)-SUMIF($H$5:$AK$5,"Bal",H127:AK127)</f>
        <v/>
      </c>
      <c r="G128" s="33">
        <f>SUMIF($H$5:$AK$5,"Bal",H128:AK128)</f>
        <v/>
      </c>
      <c r="H128" s="33">
        <f>J127*(1+N(Debts!$D$6)/1200)</f>
        <v/>
      </c>
      <c r="I128" s="33">
        <f>H128-MIN(N(Debts!$E$6),H128)</f>
        <v/>
      </c>
      <c r="J128" s="33">
        <f>IF(I128&lt;=0.005,0,I128-MIN(I128,MAX(0,$E128-SUMIFS(H128:AK128,$H$5:$AK$5,"Rem",$H$4:$AK$4,"&lt;"&amp;J$4))))</f>
        <v/>
      </c>
      <c r="K128" s="33">
        <f>M127*(1+N(Debts!$D$7)/1200)</f>
        <v/>
      </c>
      <c r="L128" s="33">
        <f>K128-MIN(N(Debts!$E$7),K128)</f>
        <v/>
      </c>
      <c r="M128" s="33">
        <f>IF(L128&lt;=0.005,0,L128-MIN(L128,MAX(0,$E128-SUMIFS(H128:AK128,$H$5:$AK$5,"Rem",$H$4:$AK$4,"&lt;"&amp;M$4))))</f>
        <v/>
      </c>
      <c r="N128" s="33">
        <f>P127*(1+N(Debts!$D$8)/1200)</f>
        <v/>
      </c>
      <c r="O128" s="33">
        <f>N128-MIN(N(Debts!$E$8),N128)</f>
        <v/>
      </c>
      <c r="P128" s="33">
        <f>IF(O128&lt;=0.005,0,O128-MIN(O128,MAX(0,$E128-SUMIFS(H128:AK128,$H$5:$AK$5,"Rem",$H$4:$AK$4,"&lt;"&amp;P$4))))</f>
        <v/>
      </c>
      <c r="Q128" s="33">
        <f>S127*(1+N(Debts!$D$9)/1200)</f>
        <v/>
      </c>
      <c r="R128" s="33">
        <f>Q128-MIN(N(Debts!$E$9),Q128)</f>
        <v/>
      </c>
      <c r="S128" s="33">
        <f>IF(R128&lt;=0.005,0,R128-MIN(R128,MAX(0,$E128-SUMIFS(H128:AK128,$H$5:$AK$5,"Rem",$H$4:$AK$4,"&lt;"&amp;S$4))))</f>
        <v/>
      </c>
      <c r="T128" s="33">
        <f>V127*(1+N(Debts!$D$10)/1200)</f>
        <v/>
      </c>
      <c r="U128" s="33">
        <f>T128-MIN(N(Debts!$E$10),T128)</f>
        <v/>
      </c>
      <c r="V128" s="33">
        <f>IF(U128&lt;=0.005,0,U128-MIN(U128,MAX(0,$E128-SUMIFS(H128:AK128,$H$5:$AK$5,"Rem",$H$4:$AK$4,"&lt;"&amp;V$4))))</f>
        <v/>
      </c>
      <c r="W128" s="33">
        <f>Y127*(1+N(Debts!$D$11)/1200)</f>
        <v/>
      </c>
      <c r="X128" s="33">
        <f>W128-MIN(N(Debts!$E$11),W128)</f>
        <v/>
      </c>
      <c r="Y128" s="33">
        <f>IF(X128&lt;=0.005,0,X128-MIN(X128,MAX(0,$E128-SUMIFS(H128:AK128,$H$5:$AK$5,"Rem",$H$4:$AK$4,"&lt;"&amp;Y$4))))</f>
        <v/>
      </c>
      <c r="Z128" s="33">
        <f>AB127*(1+N(Debts!$D$12)/1200)</f>
        <v/>
      </c>
      <c r="AA128" s="33">
        <f>Z128-MIN(N(Debts!$E$12),Z128)</f>
        <v/>
      </c>
      <c r="AB128" s="33">
        <f>IF(AA128&lt;=0.005,0,AA128-MIN(AA128,MAX(0,$E128-SUMIFS(H128:AK128,$H$5:$AK$5,"Rem",$H$4:$AK$4,"&lt;"&amp;AB$4))))</f>
        <v/>
      </c>
      <c r="AC128" s="33">
        <f>AE127*(1+N(Debts!$D$13)/1200)</f>
        <v/>
      </c>
      <c r="AD128" s="33">
        <f>AC128-MIN(N(Debts!$E$13),AC128)</f>
        <v/>
      </c>
      <c r="AE128" s="33">
        <f>IF(AD128&lt;=0.005,0,AD128-MIN(AD128,MAX(0,$E128-SUMIFS(H128:AK128,$H$5:$AK$5,"Rem",$H$4:$AK$4,"&lt;"&amp;AE$4))))</f>
        <v/>
      </c>
      <c r="AF128" s="33">
        <f>AH127*(1+N(Debts!$D$14)/1200)</f>
        <v/>
      </c>
      <c r="AG128" s="33">
        <f>AF128-MIN(N(Debts!$E$14),AF128)</f>
        <v/>
      </c>
      <c r="AH128" s="33">
        <f>IF(AG128&lt;=0.005,0,AG128-MIN(AG128,MAX(0,$E128-SUMIFS(H128:AK128,$H$5:$AK$5,"Rem",$H$4:$AK$4,"&lt;"&amp;AH$4))))</f>
        <v/>
      </c>
      <c r="AI128" s="33">
        <f>AK127*(1+N(Debts!$D$15)/1200)</f>
        <v/>
      </c>
      <c r="AJ128" s="33">
        <f>AI128-MIN(N(Debts!$E$15),AI128)</f>
        <v/>
      </c>
      <c r="AK128" s="33">
        <f>IF(AJ128&lt;=0.005,0,AJ128-MIN(AJ128,MAX(0,$E128-SUMIFS(H128:AK128,$H$5:$AK$5,"Rem",$H$4:$AK$4,"&lt;"&amp;AK$4))))</f>
        <v/>
      </c>
      <c r="AL128" s="1" t="n"/>
    </row>
    <row r="129">
      <c r="A129" s="1" t="n"/>
      <c r="B129" s="1" t="n">
        <v>122</v>
      </c>
      <c r="C129" s="34">
        <f>EDATE(Debts!$J$13,B129-1)</f>
        <v/>
      </c>
      <c r="D129" s="33">
        <f>IF(G128&lt;=0.005,0,Debts!$E$16+Debts!$J$7)</f>
        <v/>
      </c>
      <c r="E129" s="33">
        <f>MAX(0,D129-(SUMIF($H$5:$AK$5,"Due",H129:AK129)-SUMIF($H$5:$AK$5,"Rem",H129:AK129)))</f>
        <v/>
      </c>
      <c r="F129" s="33">
        <f>SUMIF($H$5:$AK$5,"Due",H129:AK129)-SUMIF($H$5:$AK$5,"Bal",H128:AK128)</f>
        <v/>
      </c>
      <c r="G129" s="33">
        <f>SUMIF($H$5:$AK$5,"Bal",H129:AK129)</f>
        <v/>
      </c>
      <c r="H129" s="33">
        <f>J128*(1+N(Debts!$D$6)/1200)</f>
        <v/>
      </c>
      <c r="I129" s="33">
        <f>H129-MIN(N(Debts!$E$6),H129)</f>
        <v/>
      </c>
      <c r="J129" s="33">
        <f>IF(I129&lt;=0.005,0,I129-MIN(I129,MAX(0,$E129-SUMIFS(H129:AK129,$H$5:$AK$5,"Rem",$H$4:$AK$4,"&lt;"&amp;J$4))))</f>
        <v/>
      </c>
      <c r="K129" s="33">
        <f>M128*(1+N(Debts!$D$7)/1200)</f>
        <v/>
      </c>
      <c r="L129" s="33">
        <f>K129-MIN(N(Debts!$E$7),K129)</f>
        <v/>
      </c>
      <c r="M129" s="33">
        <f>IF(L129&lt;=0.005,0,L129-MIN(L129,MAX(0,$E129-SUMIFS(H129:AK129,$H$5:$AK$5,"Rem",$H$4:$AK$4,"&lt;"&amp;M$4))))</f>
        <v/>
      </c>
      <c r="N129" s="33">
        <f>P128*(1+N(Debts!$D$8)/1200)</f>
        <v/>
      </c>
      <c r="O129" s="33">
        <f>N129-MIN(N(Debts!$E$8),N129)</f>
        <v/>
      </c>
      <c r="P129" s="33">
        <f>IF(O129&lt;=0.005,0,O129-MIN(O129,MAX(0,$E129-SUMIFS(H129:AK129,$H$5:$AK$5,"Rem",$H$4:$AK$4,"&lt;"&amp;P$4))))</f>
        <v/>
      </c>
      <c r="Q129" s="33">
        <f>S128*(1+N(Debts!$D$9)/1200)</f>
        <v/>
      </c>
      <c r="R129" s="33">
        <f>Q129-MIN(N(Debts!$E$9),Q129)</f>
        <v/>
      </c>
      <c r="S129" s="33">
        <f>IF(R129&lt;=0.005,0,R129-MIN(R129,MAX(0,$E129-SUMIFS(H129:AK129,$H$5:$AK$5,"Rem",$H$4:$AK$4,"&lt;"&amp;S$4))))</f>
        <v/>
      </c>
      <c r="T129" s="33">
        <f>V128*(1+N(Debts!$D$10)/1200)</f>
        <v/>
      </c>
      <c r="U129" s="33">
        <f>T129-MIN(N(Debts!$E$10),T129)</f>
        <v/>
      </c>
      <c r="V129" s="33">
        <f>IF(U129&lt;=0.005,0,U129-MIN(U129,MAX(0,$E129-SUMIFS(H129:AK129,$H$5:$AK$5,"Rem",$H$4:$AK$4,"&lt;"&amp;V$4))))</f>
        <v/>
      </c>
      <c r="W129" s="33">
        <f>Y128*(1+N(Debts!$D$11)/1200)</f>
        <v/>
      </c>
      <c r="X129" s="33">
        <f>W129-MIN(N(Debts!$E$11),W129)</f>
        <v/>
      </c>
      <c r="Y129" s="33">
        <f>IF(X129&lt;=0.005,0,X129-MIN(X129,MAX(0,$E129-SUMIFS(H129:AK129,$H$5:$AK$5,"Rem",$H$4:$AK$4,"&lt;"&amp;Y$4))))</f>
        <v/>
      </c>
      <c r="Z129" s="33">
        <f>AB128*(1+N(Debts!$D$12)/1200)</f>
        <v/>
      </c>
      <c r="AA129" s="33">
        <f>Z129-MIN(N(Debts!$E$12),Z129)</f>
        <v/>
      </c>
      <c r="AB129" s="33">
        <f>IF(AA129&lt;=0.005,0,AA129-MIN(AA129,MAX(0,$E129-SUMIFS(H129:AK129,$H$5:$AK$5,"Rem",$H$4:$AK$4,"&lt;"&amp;AB$4))))</f>
        <v/>
      </c>
      <c r="AC129" s="33">
        <f>AE128*(1+N(Debts!$D$13)/1200)</f>
        <v/>
      </c>
      <c r="AD129" s="33">
        <f>AC129-MIN(N(Debts!$E$13),AC129)</f>
        <v/>
      </c>
      <c r="AE129" s="33">
        <f>IF(AD129&lt;=0.005,0,AD129-MIN(AD129,MAX(0,$E129-SUMIFS(H129:AK129,$H$5:$AK$5,"Rem",$H$4:$AK$4,"&lt;"&amp;AE$4))))</f>
        <v/>
      </c>
      <c r="AF129" s="33">
        <f>AH128*(1+N(Debts!$D$14)/1200)</f>
        <v/>
      </c>
      <c r="AG129" s="33">
        <f>AF129-MIN(N(Debts!$E$14),AF129)</f>
        <v/>
      </c>
      <c r="AH129" s="33">
        <f>IF(AG129&lt;=0.005,0,AG129-MIN(AG129,MAX(0,$E129-SUMIFS(H129:AK129,$H$5:$AK$5,"Rem",$H$4:$AK$4,"&lt;"&amp;AH$4))))</f>
        <v/>
      </c>
      <c r="AI129" s="33">
        <f>AK128*(1+N(Debts!$D$15)/1200)</f>
        <v/>
      </c>
      <c r="AJ129" s="33">
        <f>AI129-MIN(N(Debts!$E$15),AI129)</f>
        <v/>
      </c>
      <c r="AK129" s="33">
        <f>IF(AJ129&lt;=0.005,0,AJ129-MIN(AJ129,MAX(0,$E129-SUMIFS(H129:AK129,$H$5:$AK$5,"Rem",$H$4:$AK$4,"&lt;"&amp;AK$4))))</f>
        <v/>
      </c>
      <c r="AL129" s="1" t="n"/>
    </row>
    <row r="130">
      <c r="A130" s="1" t="n"/>
      <c r="B130" s="1" t="n">
        <v>123</v>
      </c>
      <c r="C130" s="34">
        <f>EDATE(Debts!$J$13,B130-1)</f>
        <v/>
      </c>
      <c r="D130" s="33">
        <f>IF(G129&lt;=0.005,0,Debts!$E$16+Debts!$J$7)</f>
        <v/>
      </c>
      <c r="E130" s="33">
        <f>MAX(0,D130-(SUMIF($H$5:$AK$5,"Due",H130:AK130)-SUMIF($H$5:$AK$5,"Rem",H130:AK130)))</f>
        <v/>
      </c>
      <c r="F130" s="33">
        <f>SUMIF($H$5:$AK$5,"Due",H130:AK130)-SUMIF($H$5:$AK$5,"Bal",H129:AK129)</f>
        <v/>
      </c>
      <c r="G130" s="33">
        <f>SUMIF($H$5:$AK$5,"Bal",H130:AK130)</f>
        <v/>
      </c>
      <c r="H130" s="33">
        <f>J129*(1+N(Debts!$D$6)/1200)</f>
        <v/>
      </c>
      <c r="I130" s="33">
        <f>H130-MIN(N(Debts!$E$6),H130)</f>
        <v/>
      </c>
      <c r="J130" s="33">
        <f>IF(I130&lt;=0.005,0,I130-MIN(I130,MAX(0,$E130-SUMIFS(H130:AK130,$H$5:$AK$5,"Rem",$H$4:$AK$4,"&lt;"&amp;J$4))))</f>
        <v/>
      </c>
      <c r="K130" s="33">
        <f>M129*(1+N(Debts!$D$7)/1200)</f>
        <v/>
      </c>
      <c r="L130" s="33">
        <f>K130-MIN(N(Debts!$E$7),K130)</f>
        <v/>
      </c>
      <c r="M130" s="33">
        <f>IF(L130&lt;=0.005,0,L130-MIN(L130,MAX(0,$E130-SUMIFS(H130:AK130,$H$5:$AK$5,"Rem",$H$4:$AK$4,"&lt;"&amp;M$4))))</f>
        <v/>
      </c>
      <c r="N130" s="33">
        <f>P129*(1+N(Debts!$D$8)/1200)</f>
        <v/>
      </c>
      <c r="O130" s="33">
        <f>N130-MIN(N(Debts!$E$8),N130)</f>
        <v/>
      </c>
      <c r="P130" s="33">
        <f>IF(O130&lt;=0.005,0,O130-MIN(O130,MAX(0,$E130-SUMIFS(H130:AK130,$H$5:$AK$5,"Rem",$H$4:$AK$4,"&lt;"&amp;P$4))))</f>
        <v/>
      </c>
      <c r="Q130" s="33">
        <f>S129*(1+N(Debts!$D$9)/1200)</f>
        <v/>
      </c>
      <c r="R130" s="33">
        <f>Q130-MIN(N(Debts!$E$9),Q130)</f>
        <v/>
      </c>
      <c r="S130" s="33">
        <f>IF(R130&lt;=0.005,0,R130-MIN(R130,MAX(0,$E130-SUMIFS(H130:AK130,$H$5:$AK$5,"Rem",$H$4:$AK$4,"&lt;"&amp;S$4))))</f>
        <v/>
      </c>
      <c r="T130" s="33">
        <f>V129*(1+N(Debts!$D$10)/1200)</f>
        <v/>
      </c>
      <c r="U130" s="33">
        <f>T130-MIN(N(Debts!$E$10),T130)</f>
        <v/>
      </c>
      <c r="V130" s="33">
        <f>IF(U130&lt;=0.005,0,U130-MIN(U130,MAX(0,$E130-SUMIFS(H130:AK130,$H$5:$AK$5,"Rem",$H$4:$AK$4,"&lt;"&amp;V$4))))</f>
        <v/>
      </c>
      <c r="W130" s="33">
        <f>Y129*(1+N(Debts!$D$11)/1200)</f>
        <v/>
      </c>
      <c r="X130" s="33">
        <f>W130-MIN(N(Debts!$E$11),W130)</f>
        <v/>
      </c>
      <c r="Y130" s="33">
        <f>IF(X130&lt;=0.005,0,X130-MIN(X130,MAX(0,$E130-SUMIFS(H130:AK130,$H$5:$AK$5,"Rem",$H$4:$AK$4,"&lt;"&amp;Y$4))))</f>
        <v/>
      </c>
      <c r="Z130" s="33">
        <f>AB129*(1+N(Debts!$D$12)/1200)</f>
        <v/>
      </c>
      <c r="AA130" s="33">
        <f>Z130-MIN(N(Debts!$E$12),Z130)</f>
        <v/>
      </c>
      <c r="AB130" s="33">
        <f>IF(AA130&lt;=0.005,0,AA130-MIN(AA130,MAX(0,$E130-SUMIFS(H130:AK130,$H$5:$AK$5,"Rem",$H$4:$AK$4,"&lt;"&amp;AB$4))))</f>
        <v/>
      </c>
      <c r="AC130" s="33">
        <f>AE129*(1+N(Debts!$D$13)/1200)</f>
        <v/>
      </c>
      <c r="AD130" s="33">
        <f>AC130-MIN(N(Debts!$E$13),AC130)</f>
        <v/>
      </c>
      <c r="AE130" s="33">
        <f>IF(AD130&lt;=0.005,0,AD130-MIN(AD130,MAX(0,$E130-SUMIFS(H130:AK130,$H$5:$AK$5,"Rem",$H$4:$AK$4,"&lt;"&amp;AE$4))))</f>
        <v/>
      </c>
      <c r="AF130" s="33">
        <f>AH129*(1+N(Debts!$D$14)/1200)</f>
        <v/>
      </c>
      <c r="AG130" s="33">
        <f>AF130-MIN(N(Debts!$E$14),AF130)</f>
        <v/>
      </c>
      <c r="AH130" s="33">
        <f>IF(AG130&lt;=0.005,0,AG130-MIN(AG130,MAX(0,$E130-SUMIFS(H130:AK130,$H$5:$AK$5,"Rem",$H$4:$AK$4,"&lt;"&amp;AH$4))))</f>
        <v/>
      </c>
      <c r="AI130" s="33">
        <f>AK129*(1+N(Debts!$D$15)/1200)</f>
        <v/>
      </c>
      <c r="AJ130" s="33">
        <f>AI130-MIN(N(Debts!$E$15),AI130)</f>
        <v/>
      </c>
      <c r="AK130" s="33">
        <f>IF(AJ130&lt;=0.005,0,AJ130-MIN(AJ130,MAX(0,$E130-SUMIFS(H130:AK130,$H$5:$AK$5,"Rem",$H$4:$AK$4,"&lt;"&amp;AK$4))))</f>
        <v/>
      </c>
      <c r="AL130" s="1" t="n"/>
    </row>
    <row r="131">
      <c r="A131" s="1" t="n"/>
      <c r="B131" s="1" t="n">
        <v>124</v>
      </c>
      <c r="C131" s="34">
        <f>EDATE(Debts!$J$13,B131-1)</f>
        <v/>
      </c>
      <c r="D131" s="33">
        <f>IF(G130&lt;=0.005,0,Debts!$E$16+Debts!$J$7)</f>
        <v/>
      </c>
      <c r="E131" s="33">
        <f>MAX(0,D131-(SUMIF($H$5:$AK$5,"Due",H131:AK131)-SUMIF($H$5:$AK$5,"Rem",H131:AK131)))</f>
        <v/>
      </c>
      <c r="F131" s="33">
        <f>SUMIF($H$5:$AK$5,"Due",H131:AK131)-SUMIF($H$5:$AK$5,"Bal",H130:AK130)</f>
        <v/>
      </c>
      <c r="G131" s="33">
        <f>SUMIF($H$5:$AK$5,"Bal",H131:AK131)</f>
        <v/>
      </c>
      <c r="H131" s="33">
        <f>J130*(1+N(Debts!$D$6)/1200)</f>
        <v/>
      </c>
      <c r="I131" s="33">
        <f>H131-MIN(N(Debts!$E$6),H131)</f>
        <v/>
      </c>
      <c r="J131" s="33">
        <f>IF(I131&lt;=0.005,0,I131-MIN(I131,MAX(0,$E131-SUMIFS(H131:AK131,$H$5:$AK$5,"Rem",$H$4:$AK$4,"&lt;"&amp;J$4))))</f>
        <v/>
      </c>
      <c r="K131" s="33">
        <f>M130*(1+N(Debts!$D$7)/1200)</f>
        <v/>
      </c>
      <c r="L131" s="33">
        <f>K131-MIN(N(Debts!$E$7),K131)</f>
        <v/>
      </c>
      <c r="M131" s="33">
        <f>IF(L131&lt;=0.005,0,L131-MIN(L131,MAX(0,$E131-SUMIFS(H131:AK131,$H$5:$AK$5,"Rem",$H$4:$AK$4,"&lt;"&amp;M$4))))</f>
        <v/>
      </c>
      <c r="N131" s="33">
        <f>P130*(1+N(Debts!$D$8)/1200)</f>
        <v/>
      </c>
      <c r="O131" s="33">
        <f>N131-MIN(N(Debts!$E$8),N131)</f>
        <v/>
      </c>
      <c r="P131" s="33">
        <f>IF(O131&lt;=0.005,0,O131-MIN(O131,MAX(0,$E131-SUMIFS(H131:AK131,$H$5:$AK$5,"Rem",$H$4:$AK$4,"&lt;"&amp;P$4))))</f>
        <v/>
      </c>
      <c r="Q131" s="33">
        <f>S130*(1+N(Debts!$D$9)/1200)</f>
        <v/>
      </c>
      <c r="R131" s="33">
        <f>Q131-MIN(N(Debts!$E$9),Q131)</f>
        <v/>
      </c>
      <c r="S131" s="33">
        <f>IF(R131&lt;=0.005,0,R131-MIN(R131,MAX(0,$E131-SUMIFS(H131:AK131,$H$5:$AK$5,"Rem",$H$4:$AK$4,"&lt;"&amp;S$4))))</f>
        <v/>
      </c>
      <c r="T131" s="33">
        <f>V130*(1+N(Debts!$D$10)/1200)</f>
        <v/>
      </c>
      <c r="U131" s="33">
        <f>T131-MIN(N(Debts!$E$10),T131)</f>
        <v/>
      </c>
      <c r="V131" s="33">
        <f>IF(U131&lt;=0.005,0,U131-MIN(U131,MAX(0,$E131-SUMIFS(H131:AK131,$H$5:$AK$5,"Rem",$H$4:$AK$4,"&lt;"&amp;V$4))))</f>
        <v/>
      </c>
      <c r="W131" s="33">
        <f>Y130*(1+N(Debts!$D$11)/1200)</f>
        <v/>
      </c>
      <c r="X131" s="33">
        <f>W131-MIN(N(Debts!$E$11),W131)</f>
        <v/>
      </c>
      <c r="Y131" s="33">
        <f>IF(X131&lt;=0.005,0,X131-MIN(X131,MAX(0,$E131-SUMIFS(H131:AK131,$H$5:$AK$5,"Rem",$H$4:$AK$4,"&lt;"&amp;Y$4))))</f>
        <v/>
      </c>
      <c r="Z131" s="33">
        <f>AB130*(1+N(Debts!$D$12)/1200)</f>
        <v/>
      </c>
      <c r="AA131" s="33">
        <f>Z131-MIN(N(Debts!$E$12),Z131)</f>
        <v/>
      </c>
      <c r="AB131" s="33">
        <f>IF(AA131&lt;=0.005,0,AA131-MIN(AA131,MAX(0,$E131-SUMIFS(H131:AK131,$H$5:$AK$5,"Rem",$H$4:$AK$4,"&lt;"&amp;AB$4))))</f>
        <v/>
      </c>
      <c r="AC131" s="33">
        <f>AE130*(1+N(Debts!$D$13)/1200)</f>
        <v/>
      </c>
      <c r="AD131" s="33">
        <f>AC131-MIN(N(Debts!$E$13),AC131)</f>
        <v/>
      </c>
      <c r="AE131" s="33">
        <f>IF(AD131&lt;=0.005,0,AD131-MIN(AD131,MAX(0,$E131-SUMIFS(H131:AK131,$H$5:$AK$5,"Rem",$H$4:$AK$4,"&lt;"&amp;AE$4))))</f>
        <v/>
      </c>
      <c r="AF131" s="33">
        <f>AH130*(1+N(Debts!$D$14)/1200)</f>
        <v/>
      </c>
      <c r="AG131" s="33">
        <f>AF131-MIN(N(Debts!$E$14),AF131)</f>
        <v/>
      </c>
      <c r="AH131" s="33">
        <f>IF(AG131&lt;=0.005,0,AG131-MIN(AG131,MAX(0,$E131-SUMIFS(H131:AK131,$H$5:$AK$5,"Rem",$H$4:$AK$4,"&lt;"&amp;AH$4))))</f>
        <v/>
      </c>
      <c r="AI131" s="33">
        <f>AK130*(1+N(Debts!$D$15)/1200)</f>
        <v/>
      </c>
      <c r="AJ131" s="33">
        <f>AI131-MIN(N(Debts!$E$15),AI131)</f>
        <v/>
      </c>
      <c r="AK131" s="33">
        <f>IF(AJ131&lt;=0.005,0,AJ131-MIN(AJ131,MAX(0,$E131-SUMIFS(H131:AK131,$H$5:$AK$5,"Rem",$H$4:$AK$4,"&lt;"&amp;AK$4))))</f>
        <v/>
      </c>
      <c r="AL131" s="1" t="n"/>
    </row>
    <row r="132">
      <c r="A132" s="1" t="n"/>
      <c r="B132" s="1" t="n">
        <v>125</v>
      </c>
      <c r="C132" s="34">
        <f>EDATE(Debts!$J$13,B132-1)</f>
        <v/>
      </c>
      <c r="D132" s="33">
        <f>IF(G131&lt;=0.005,0,Debts!$E$16+Debts!$J$7)</f>
        <v/>
      </c>
      <c r="E132" s="33">
        <f>MAX(0,D132-(SUMIF($H$5:$AK$5,"Due",H132:AK132)-SUMIF($H$5:$AK$5,"Rem",H132:AK132)))</f>
        <v/>
      </c>
      <c r="F132" s="33">
        <f>SUMIF($H$5:$AK$5,"Due",H132:AK132)-SUMIF($H$5:$AK$5,"Bal",H131:AK131)</f>
        <v/>
      </c>
      <c r="G132" s="33">
        <f>SUMIF($H$5:$AK$5,"Bal",H132:AK132)</f>
        <v/>
      </c>
      <c r="H132" s="33">
        <f>J131*(1+N(Debts!$D$6)/1200)</f>
        <v/>
      </c>
      <c r="I132" s="33">
        <f>H132-MIN(N(Debts!$E$6),H132)</f>
        <v/>
      </c>
      <c r="J132" s="33">
        <f>IF(I132&lt;=0.005,0,I132-MIN(I132,MAX(0,$E132-SUMIFS(H132:AK132,$H$5:$AK$5,"Rem",$H$4:$AK$4,"&lt;"&amp;J$4))))</f>
        <v/>
      </c>
      <c r="K132" s="33">
        <f>M131*(1+N(Debts!$D$7)/1200)</f>
        <v/>
      </c>
      <c r="L132" s="33">
        <f>K132-MIN(N(Debts!$E$7),K132)</f>
        <v/>
      </c>
      <c r="M132" s="33">
        <f>IF(L132&lt;=0.005,0,L132-MIN(L132,MAX(0,$E132-SUMIFS(H132:AK132,$H$5:$AK$5,"Rem",$H$4:$AK$4,"&lt;"&amp;M$4))))</f>
        <v/>
      </c>
      <c r="N132" s="33">
        <f>P131*(1+N(Debts!$D$8)/1200)</f>
        <v/>
      </c>
      <c r="O132" s="33">
        <f>N132-MIN(N(Debts!$E$8),N132)</f>
        <v/>
      </c>
      <c r="P132" s="33">
        <f>IF(O132&lt;=0.005,0,O132-MIN(O132,MAX(0,$E132-SUMIFS(H132:AK132,$H$5:$AK$5,"Rem",$H$4:$AK$4,"&lt;"&amp;P$4))))</f>
        <v/>
      </c>
      <c r="Q132" s="33">
        <f>S131*(1+N(Debts!$D$9)/1200)</f>
        <v/>
      </c>
      <c r="R132" s="33">
        <f>Q132-MIN(N(Debts!$E$9),Q132)</f>
        <v/>
      </c>
      <c r="S132" s="33">
        <f>IF(R132&lt;=0.005,0,R132-MIN(R132,MAX(0,$E132-SUMIFS(H132:AK132,$H$5:$AK$5,"Rem",$H$4:$AK$4,"&lt;"&amp;S$4))))</f>
        <v/>
      </c>
      <c r="T132" s="33">
        <f>V131*(1+N(Debts!$D$10)/1200)</f>
        <v/>
      </c>
      <c r="U132" s="33">
        <f>T132-MIN(N(Debts!$E$10),T132)</f>
        <v/>
      </c>
      <c r="V132" s="33">
        <f>IF(U132&lt;=0.005,0,U132-MIN(U132,MAX(0,$E132-SUMIFS(H132:AK132,$H$5:$AK$5,"Rem",$H$4:$AK$4,"&lt;"&amp;V$4))))</f>
        <v/>
      </c>
      <c r="W132" s="33">
        <f>Y131*(1+N(Debts!$D$11)/1200)</f>
        <v/>
      </c>
      <c r="X132" s="33">
        <f>W132-MIN(N(Debts!$E$11),W132)</f>
        <v/>
      </c>
      <c r="Y132" s="33">
        <f>IF(X132&lt;=0.005,0,X132-MIN(X132,MAX(0,$E132-SUMIFS(H132:AK132,$H$5:$AK$5,"Rem",$H$4:$AK$4,"&lt;"&amp;Y$4))))</f>
        <v/>
      </c>
      <c r="Z132" s="33">
        <f>AB131*(1+N(Debts!$D$12)/1200)</f>
        <v/>
      </c>
      <c r="AA132" s="33">
        <f>Z132-MIN(N(Debts!$E$12),Z132)</f>
        <v/>
      </c>
      <c r="AB132" s="33">
        <f>IF(AA132&lt;=0.005,0,AA132-MIN(AA132,MAX(0,$E132-SUMIFS(H132:AK132,$H$5:$AK$5,"Rem",$H$4:$AK$4,"&lt;"&amp;AB$4))))</f>
        <v/>
      </c>
      <c r="AC132" s="33">
        <f>AE131*(1+N(Debts!$D$13)/1200)</f>
        <v/>
      </c>
      <c r="AD132" s="33">
        <f>AC132-MIN(N(Debts!$E$13),AC132)</f>
        <v/>
      </c>
      <c r="AE132" s="33">
        <f>IF(AD132&lt;=0.005,0,AD132-MIN(AD132,MAX(0,$E132-SUMIFS(H132:AK132,$H$5:$AK$5,"Rem",$H$4:$AK$4,"&lt;"&amp;AE$4))))</f>
        <v/>
      </c>
      <c r="AF132" s="33">
        <f>AH131*(1+N(Debts!$D$14)/1200)</f>
        <v/>
      </c>
      <c r="AG132" s="33">
        <f>AF132-MIN(N(Debts!$E$14),AF132)</f>
        <v/>
      </c>
      <c r="AH132" s="33">
        <f>IF(AG132&lt;=0.005,0,AG132-MIN(AG132,MAX(0,$E132-SUMIFS(H132:AK132,$H$5:$AK$5,"Rem",$H$4:$AK$4,"&lt;"&amp;AH$4))))</f>
        <v/>
      </c>
      <c r="AI132" s="33">
        <f>AK131*(1+N(Debts!$D$15)/1200)</f>
        <v/>
      </c>
      <c r="AJ132" s="33">
        <f>AI132-MIN(N(Debts!$E$15),AI132)</f>
        <v/>
      </c>
      <c r="AK132" s="33">
        <f>IF(AJ132&lt;=0.005,0,AJ132-MIN(AJ132,MAX(0,$E132-SUMIFS(H132:AK132,$H$5:$AK$5,"Rem",$H$4:$AK$4,"&lt;"&amp;AK$4))))</f>
        <v/>
      </c>
      <c r="AL132" s="1" t="n"/>
    </row>
    <row r="133">
      <c r="A133" s="1" t="n"/>
      <c r="B133" s="1" t="n">
        <v>126</v>
      </c>
      <c r="C133" s="34">
        <f>EDATE(Debts!$J$13,B133-1)</f>
        <v/>
      </c>
      <c r="D133" s="33">
        <f>IF(G132&lt;=0.005,0,Debts!$E$16+Debts!$J$7)</f>
        <v/>
      </c>
      <c r="E133" s="33">
        <f>MAX(0,D133-(SUMIF($H$5:$AK$5,"Due",H133:AK133)-SUMIF($H$5:$AK$5,"Rem",H133:AK133)))</f>
        <v/>
      </c>
      <c r="F133" s="33">
        <f>SUMIF($H$5:$AK$5,"Due",H133:AK133)-SUMIF($H$5:$AK$5,"Bal",H132:AK132)</f>
        <v/>
      </c>
      <c r="G133" s="33">
        <f>SUMIF($H$5:$AK$5,"Bal",H133:AK133)</f>
        <v/>
      </c>
      <c r="H133" s="33">
        <f>J132*(1+N(Debts!$D$6)/1200)</f>
        <v/>
      </c>
      <c r="I133" s="33">
        <f>H133-MIN(N(Debts!$E$6),H133)</f>
        <v/>
      </c>
      <c r="J133" s="33">
        <f>IF(I133&lt;=0.005,0,I133-MIN(I133,MAX(0,$E133-SUMIFS(H133:AK133,$H$5:$AK$5,"Rem",$H$4:$AK$4,"&lt;"&amp;J$4))))</f>
        <v/>
      </c>
      <c r="K133" s="33">
        <f>M132*(1+N(Debts!$D$7)/1200)</f>
        <v/>
      </c>
      <c r="L133" s="33">
        <f>K133-MIN(N(Debts!$E$7),K133)</f>
        <v/>
      </c>
      <c r="M133" s="33">
        <f>IF(L133&lt;=0.005,0,L133-MIN(L133,MAX(0,$E133-SUMIFS(H133:AK133,$H$5:$AK$5,"Rem",$H$4:$AK$4,"&lt;"&amp;M$4))))</f>
        <v/>
      </c>
      <c r="N133" s="33">
        <f>P132*(1+N(Debts!$D$8)/1200)</f>
        <v/>
      </c>
      <c r="O133" s="33">
        <f>N133-MIN(N(Debts!$E$8),N133)</f>
        <v/>
      </c>
      <c r="P133" s="33">
        <f>IF(O133&lt;=0.005,0,O133-MIN(O133,MAX(0,$E133-SUMIFS(H133:AK133,$H$5:$AK$5,"Rem",$H$4:$AK$4,"&lt;"&amp;P$4))))</f>
        <v/>
      </c>
      <c r="Q133" s="33">
        <f>S132*(1+N(Debts!$D$9)/1200)</f>
        <v/>
      </c>
      <c r="R133" s="33">
        <f>Q133-MIN(N(Debts!$E$9),Q133)</f>
        <v/>
      </c>
      <c r="S133" s="33">
        <f>IF(R133&lt;=0.005,0,R133-MIN(R133,MAX(0,$E133-SUMIFS(H133:AK133,$H$5:$AK$5,"Rem",$H$4:$AK$4,"&lt;"&amp;S$4))))</f>
        <v/>
      </c>
      <c r="T133" s="33">
        <f>V132*(1+N(Debts!$D$10)/1200)</f>
        <v/>
      </c>
      <c r="U133" s="33">
        <f>T133-MIN(N(Debts!$E$10),T133)</f>
        <v/>
      </c>
      <c r="V133" s="33">
        <f>IF(U133&lt;=0.005,0,U133-MIN(U133,MAX(0,$E133-SUMIFS(H133:AK133,$H$5:$AK$5,"Rem",$H$4:$AK$4,"&lt;"&amp;V$4))))</f>
        <v/>
      </c>
      <c r="W133" s="33">
        <f>Y132*(1+N(Debts!$D$11)/1200)</f>
        <v/>
      </c>
      <c r="X133" s="33">
        <f>W133-MIN(N(Debts!$E$11),W133)</f>
        <v/>
      </c>
      <c r="Y133" s="33">
        <f>IF(X133&lt;=0.005,0,X133-MIN(X133,MAX(0,$E133-SUMIFS(H133:AK133,$H$5:$AK$5,"Rem",$H$4:$AK$4,"&lt;"&amp;Y$4))))</f>
        <v/>
      </c>
      <c r="Z133" s="33">
        <f>AB132*(1+N(Debts!$D$12)/1200)</f>
        <v/>
      </c>
      <c r="AA133" s="33">
        <f>Z133-MIN(N(Debts!$E$12),Z133)</f>
        <v/>
      </c>
      <c r="AB133" s="33">
        <f>IF(AA133&lt;=0.005,0,AA133-MIN(AA133,MAX(0,$E133-SUMIFS(H133:AK133,$H$5:$AK$5,"Rem",$H$4:$AK$4,"&lt;"&amp;AB$4))))</f>
        <v/>
      </c>
      <c r="AC133" s="33">
        <f>AE132*(1+N(Debts!$D$13)/1200)</f>
        <v/>
      </c>
      <c r="AD133" s="33">
        <f>AC133-MIN(N(Debts!$E$13),AC133)</f>
        <v/>
      </c>
      <c r="AE133" s="33">
        <f>IF(AD133&lt;=0.005,0,AD133-MIN(AD133,MAX(0,$E133-SUMIFS(H133:AK133,$H$5:$AK$5,"Rem",$H$4:$AK$4,"&lt;"&amp;AE$4))))</f>
        <v/>
      </c>
      <c r="AF133" s="33">
        <f>AH132*(1+N(Debts!$D$14)/1200)</f>
        <v/>
      </c>
      <c r="AG133" s="33">
        <f>AF133-MIN(N(Debts!$E$14),AF133)</f>
        <v/>
      </c>
      <c r="AH133" s="33">
        <f>IF(AG133&lt;=0.005,0,AG133-MIN(AG133,MAX(0,$E133-SUMIFS(H133:AK133,$H$5:$AK$5,"Rem",$H$4:$AK$4,"&lt;"&amp;AH$4))))</f>
        <v/>
      </c>
      <c r="AI133" s="33">
        <f>AK132*(1+N(Debts!$D$15)/1200)</f>
        <v/>
      </c>
      <c r="AJ133" s="33">
        <f>AI133-MIN(N(Debts!$E$15),AI133)</f>
        <v/>
      </c>
      <c r="AK133" s="33">
        <f>IF(AJ133&lt;=0.005,0,AJ133-MIN(AJ133,MAX(0,$E133-SUMIFS(H133:AK133,$H$5:$AK$5,"Rem",$H$4:$AK$4,"&lt;"&amp;AK$4))))</f>
        <v/>
      </c>
      <c r="AL133" s="1" t="n"/>
    </row>
    <row r="134">
      <c r="A134" s="1" t="n"/>
      <c r="B134" s="1" t="n">
        <v>127</v>
      </c>
      <c r="C134" s="34">
        <f>EDATE(Debts!$J$13,B134-1)</f>
        <v/>
      </c>
      <c r="D134" s="33">
        <f>IF(G133&lt;=0.005,0,Debts!$E$16+Debts!$J$7)</f>
        <v/>
      </c>
      <c r="E134" s="33">
        <f>MAX(0,D134-(SUMIF($H$5:$AK$5,"Due",H134:AK134)-SUMIF($H$5:$AK$5,"Rem",H134:AK134)))</f>
        <v/>
      </c>
      <c r="F134" s="33">
        <f>SUMIF($H$5:$AK$5,"Due",H134:AK134)-SUMIF($H$5:$AK$5,"Bal",H133:AK133)</f>
        <v/>
      </c>
      <c r="G134" s="33">
        <f>SUMIF($H$5:$AK$5,"Bal",H134:AK134)</f>
        <v/>
      </c>
      <c r="H134" s="33">
        <f>J133*(1+N(Debts!$D$6)/1200)</f>
        <v/>
      </c>
      <c r="I134" s="33">
        <f>H134-MIN(N(Debts!$E$6),H134)</f>
        <v/>
      </c>
      <c r="J134" s="33">
        <f>IF(I134&lt;=0.005,0,I134-MIN(I134,MAX(0,$E134-SUMIFS(H134:AK134,$H$5:$AK$5,"Rem",$H$4:$AK$4,"&lt;"&amp;J$4))))</f>
        <v/>
      </c>
      <c r="K134" s="33">
        <f>M133*(1+N(Debts!$D$7)/1200)</f>
        <v/>
      </c>
      <c r="L134" s="33">
        <f>K134-MIN(N(Debts!$E$7),K134)</f>
        <v/>
      </c>
      <c r="M134" s="33">
        <f>IF(L134&lt;=0.005,0,L134-MIN(L134,MAX(0,$E134-SUMIFS(H134:AK134,$H$5:$AK$5,"Rem",$H$4:$AK$4,"&lt;"&amp;M$4))))</f>
        <v/>
      </c>
      <c r="N134" s="33">
        <f>P133*(1+N(Debts!$D$8)/1200)</f>
        <v/>
      </c>
      <c r="O134" s="33">
        <f>N134-MIN(N(Debts!$E$8),N134)</f>
        <v/>
      </c>
      <c r="P134" s="33">
        <f>IF(O134&lt;=0.005,0,O134-MIN(O134,MAX(0,$E134-SUMIFS(H134:AK134,$H$5:$AK$5,"Rem",$H$4:$AK$4,"&lt;"&amp;P$4))))</f>
        <v/>
      </c>
      <c r="Q134" s="33">
        <f>S133*(1+N(Debts!$D$9)/1200)</f>
        <v/>
      </c>
      <c r="R134" s="33">
        <f>Q134-MIN(N(Debts!$E$9),Q134)</f>
        <v/>
      </c>
      <c r="S134" s="33">
        <f>IF(R134&lt;=0.005,0,R134-MIN(R134,MAX(0,$E134-SUMIFS(H134:AK134,$H$5:$AK$5,"Rem",$H$4:$AK$4,"&lt;"&amp;S$4))))</f>
        <v/>
      </c>
      <c r="T134" s="33">
        <f>V133*(1+N(Debts!$D$10)/1200)</f>
        <v/>
      </c>
      <c r="U134" s="33">
        <f>T134-MIN(N(Debts!$E$10),T134)</f>
        <v/>
      </c>
      <c r="V134" s="33">
        <f>IF(U134&lt;=0.005,0,U134-MIN(U134,MAX(0,$E134-SUMIFS(H134:AK134,$H$5:$AK$5,"Rem",$H$4:$AK$4,"&lt;"&amp;V$4))))</f>
        <v/>
      </c>
      <c r="W134" s="33">
        <f>Y133*(1+N(Debts!$D$11)/1200)</f>
        <v/>
      </c>
      <c r="X134" s="33">
        <f>W134-MIN(N(Debts!$E$11),W134)</f>
        <v/>
      </c>
      <c r="Y134" s="33">
        <f>IF(X134&lt;=0.005,0,X134-MIN(X134,MAX(0,$E134-SUMIFS(H134:AK134,$H$5:$AK$5,"Rem",$H$4:$AK$4,"&lt;"&amp;Y$4))))</f>
        <v/>
      </c>
      <c r="Z134" s="33">
        <f>AB133*(1+N(Debts!$D$12)/1200)</f>
        <v/>
      </c>
      <c r="AA134" s="33">
        <f>Z134-MIN(N(Debts!$E$12),Z134)</f>
        <v/>
      </c>
      <c r="AB134" s="33">
        <f>IF(AA134&lt;=0.005,0,AA134-MIN(AA134,MAX(0,$E134-SUMIFS(H134:AK134,$H$5:$AK$5,"Rem",$H$4:$AK$4,"&lt;"&amp;AB$4))))</f>
        <v/>
      </c>
      <c r="AC134" s="33">
        <f>AE133*(1+N(Debts!$D$13)/1200)</f>
        <v/>
      </c>
      <c r="AD134" s="33">
        <f>AC134-MIN(N(Debts!$E$13),AC134)</f>
        <v/>
      </c>
      <c r="AE134" s="33">
        <f>IF(AD134&lt;=0.005,0,AD134-MIN(AD134,MAX(0,$E134-SUMIFS(H134:AK134,$H$5:$AK$5,"Rem",$H$4:$AK$4,"&lt;"&amp;AE$4))))</f>
        <v/>
      </c>
      <c r="AF134" s="33">
        <f>AH133*(1+N(Debts!$D$14)/1200)</f>
        <v/>
      </c>
      <c r="AG134" s="33">
        <f>AF134-MIN(N(Debts!$E$14),AF134)</f>
        <v/>
      </c>
      <c r="AH134" s="33">
        <f>IF(AG134&lt;=0.005,0,AG134-MIN(AG134,MAX(0,$E134-SUMIFS(H134:AK134,$H$5:$AK$5,"Rem",$H$4:$AK$4,"&lt;"&amp;AH$4))))</f>
        <v/>
      </c>
      <c r="AI134" s="33">
        <f>AK133*(1+N(Debts!$D$15)/1200)</f>
        <v/>
      </c>
      <c r="AJ134" s="33">
        <f>AI134-MIN(N(Debts!$E$15),AI134)</f>
        <v/>
      </c>
      <c r="AK134" s="33">
        <f>IF(AJ134&lt;=0.005,0,AJ134-MIN(AJ134,MAX(0,$E134-SUMIFS(H134:AK134,$H$5:$AK$5,"Rem",$H$4:$AK$4,"&lt;"&amp;AK$4))))</f>
        <v/>
      </c>
      <c r="AL134" s="1" t="n"/>
    </row>
    <row r="135">
      <c r="A135" s="1" t="n"/>
      <c r="B135" s="1" t="n">
        <v>128</v>
      </c>
      <c r="C135" s="34">
        <f>EDATE(Debts!$J$13,B135-1)</f>
        <v/>
      </c>
      <c r="D135" s="33">
        <f>IF(G134&lt;=0.005,0,Debts!$E$16+Debts!$J$7)</f>
        <v/>
      </c>
      <c r="E135" s="33">
        <f>MAX(0,D135-(SUMIF($H$5:$AK$5,"Due",H135:AK135)-SUMIF($H$5:$AK$5,"Rem",H135:AK135)))</f>
        <v/>
      </c>
      <c r="F135" s="33">
        <f>SUMIF($H$5:$AK$5,"Due",H135:AK135)-SUMIF($H$5:$AK$5,"Bal",H134:AK134)</f>
        <v/>
      </c>
      <c r="G135" s="33">
        <f>SUMIF($H$5:$AK$5,"Bal",H135:AK135)</f>
        <v/>
      </c>
      <c r="H135" s="33">
        <f>J134*(1+N(Debts!$D$6)/1200)</f>
        <v/>
      </c>
      <c r="I135" s="33">
        <f>H135-MIN(N(Debts!$E$6),H135)</f>
        <v/>
      </c>
      <c r="J135" s="33">
        <f>IF(I135&lt;=0.005,0,I135-MIN(I135,MAX(0,$E135-SUMIFS(H135:AK135,$H$5:$AK$5,"Rem",$H$4:$AK$4,"&lt;"&amp;J$4))))</f>
        <v/>
      </c>
      <c r="K135" s="33">
        <f>M134*(1+N(Debts!$D$7)/1200)</f>
        <v/>
      </c>
      <c r="L135" s="33">
        <f>K135-MIN(N(Debts!$E$7),K135)</f>
        <v/>
      </c>
      <c r="M135" s="33">
        <f>IF(L135&lt;=0.005,0,L135-MIN(L135,MAX(0,$E135-SUMIFS(H135:AK135,$H$5:$AK$5,"Rem",$H$4:$AK$4,"&lt;"&amp;M$4))))</f>
        <v/>
      </c>
      <c r="N135" s="33">
        <f>P134*(1+N(Debts!$D$8)/1200)</f>
        <v/>
      </c>
      <c r="O135" s="33">
        <f>N135-MIN(N(Debts!$E$8),N135)</f>
        <v/>
      </c>
      <c r="P135" s="33">
        <f>IF(O135&lt;=0.005,0,O135-MIN(O135,MAX(0,$E135-SUMIFS(H135:AK135,$H$5:$AK$5,"Rem",$H$4:$AK$4,"&lt;"&amp;P$4))))</f>
        <v/>
      </c>
      <c r="Q135" s="33">
        <f>S134*(1+N(Debts!$D$9)/1200)</f>
        <v/>
      </c>
      <c r="R135" s="33">
        <f>Q135-MIN(N(Debts!$E$9),Q135)</f>
        <v/>
      </c>
      <c r="S135" s="33">
        <f>IF(R135&lt;=0.005,0,R135-MIN(R135,MAX(0,$E135-SUMIFS(H135:AK135,$H$5:$AK$5,"Rem",$H$4:$AK$4,"&lt;"&amp;S$4))))</f>
        <v/>
      </c>
      <c r="T135" s="33">
        <f>V134*(1+N(Debts!$D$10)/1200)</f>
        <v/>
      </c>
      <c r="U135" s="33">
        <f>T135-MIN(N(Debts!$E$10),T135)</f>
        <v/>
      </c>
      <c r="V135" s="33">
        <f>IF(U135&lt;=0.005,0,U135-MIN(U135,MAX(0,$E135-SUMIFS(H135:AK135,$H$5:$AK$5,"Rem",$H$4:$AK$4,"&lt;"&amp;V$4))))</f>
        <v/>
      </c>
      <c r="W135" s="33">
        <f>Y134*(1+N(Debts!$D$11)/1200)</f>
        <v/>
      </c>
      <c r="X135" s="33">
        <f>W135-MIN(N(Debts!$E$11),W135)</f>
        <v/>
      </c>
      <c r="Y135" s="33">
        <f>IF(X135&lt;=0.005,0,X135-MIN(X135,MAX(0,$E135-SUMIFS(H135:AK135,$H$5:$AK$5,"Rem",$H$4:$AK$4,"&lt;"&amp;Y$4))))</f>
        <v/>
      </c>
      <c r="Z135" s="33">
        <f>AB134*(1+N(Debts!$D$12)/1200)</f>
        <v/>
      </c>
      <c r="AA135" s="33">
        <f>Z135-MIN(N(Debts!$E$12),Z135)</f>
        <v/>
      </c>
      <c r="AB135" s="33">
        <f>IF(AA135&lt;=0.005,0,AA135-MIN(AA135,MAX(0,$E135-SUMIFS(H135:AK135,$H$5:$AK$5,"Rem",$H$4:$AK$4,"&lt;"&amp;AB$4))))</f>
        <v/>
      </c>
      <c r="AC135" s="33">
        <f>AE134*(1+N(Debts!$D$13)/1200)</f>
        <v/>
      </c>
      <c r="AD135" s="33">
        <f>AC135-MIN(N(Debts!$E$13),AC135)</f>
        <v/>
      </c>
      <c r="AE135" s="33">
        <f>IF(AD135&lt;=0.005,0,AD135-MIN(AD135,MAX(0,$E135-SUMIFS(H135:AK135,$H$5:$AK$5,"Rem",$H$4:$AK$4,"&lt;"&amp;AE$4))))</f>
        <v/>
      </c>
      <c r="AF135" s="33">
        <f>AH134*(1+N(Debts!$D$14)/1200)</f>
        <v/>
      </c>
      <c r="AG135" s="33">
        <f>AF135-MIN(N(Debts!$E$14),AF135)</f>
        <v/>
      </c>
      <c r="AH135" s="33">
        <f>IF(AG135&lt;=0.005,0,AG135-MIN(AG135,MAX(0,$E135-SUMIFS(H135:AK135,$H$5:$AK$5,"Rem",$H$4:$AK$4,"&lt;"&amp;AH$4))))</f>
        <v/>
      </c>
      <c r="AI135" s="33">
        <f>AK134*(1+N(Debts!$D$15)/1200)</f>
        <v/>
      </c>
      <c r="AJ135" s="33">
        <f>AI135-MIN(N(Debts!$E$15),AI135)</f>
        <v/>
      </c>
      <c r="AK135" s="33">
        <f>IF(AJ135&lt;=0.005,0,AJ135-MIN(AJ135,MAX(0,$E135-SUMIFS(H135:AK135,$H$5:$AK$5,"Rem",$H$4:$AK$4,"&lt;"&amp;AK$4))))</f>
        <v/>
      </c>
      <c r="AL135" s="1" t="n"/>
    </row>
    <row r="136">
      <c r="A136" s="1" t="n"/>
      <c r="B136" s="1" t="n">
        <v>129</v>
      </c>
      <c r="C136" s="34">
        <f>EDATE(Debts!$J$13,B136-1)</f>
        <v/>
      </c>
      <c r="D136" s="33">
        <f>IF(G135&lt;=0.005,0,Debts!$E$16+Debts!$J$7)</f>
        <v/>
      </c>
      <c r="E136" s="33">
        <f>MAX(0,D136-(SUMIF($H$5:$AK$5,"Due",H136:AK136)-SUMIF($H$5:$AK$5,"Rem",H136:AK136)))</f>
        <v/>
      </c>
      <c r="F136" s="33">
        <f>SUMIF($H$5:$AK$5,"Due",H136:AK136)-SUMIF($H$5:$AK$5,"Bal",H135:AK135)</f>
        <v/>
      </c>
      <c r="G136" s="33">
        <f>SUMIF($H$5:$AK$5,"Bal",H136:AK136)</f>
        <v/>
      </c>
      <c r="H136" s="33">
        <f>J135*(1+N(Debts!$D$6)/1200)</f>
        <v/>
      </c>
      <c r="I136" s="33">
        <f>H136-MIN(N(Debts!$E$6),H136)</f>
        <v/>
      </c>
      <c r="J136" s="33">
        <f>IF(I136&lt;=0.005,0,I136-MIN(I136,MAX(0,$E136-SUMIFS(H136:AK136,$H$5:$AK$5,"Rem",$H$4:$AK$4,"&lt;"&amp;J$4))))</f>
        <v/>
      </c>
      <c r="K136" s="33">
        <f>M135*(1+N(Debts!$D$7)/1200)</f>
        <v/>
      </c>
      <c r="L136" s="33">
        <f>K136-MIN(N(Debts!$E$7),K136)</f>
        <v/>
      </c>
      <c r="M136" s="33">
        <f>IF(L136&lt;=0.005,0,L136-MIN(L136,MAX(0,$E136-SUMIFS(H136:AK136,$H$5:$AK$5,"Rem",$H$4:$AK$4,"&lt;"&amp;M$4))))</f>
        <v/>
      </c>
      <c r="N136" s="33">
        <f>P135*(1+N(Debts!$D$8)/1200)</f>
        <v/>
      </c>
      <c r="O136" s="33">
        <f>N136-MIN(N(Debts!$E$8),N136)</f>
        <v/>
      </c>
      <c r="P136" s="33">
        <f>IF(O136&lt;=0.005,0,O136-MIN(O136,MAX(0,$E136-SUMIFS(H136:AK136,$H$5:$AK$5,"Rem",$H$4:$AK$4,"&lt;"&amp;P$4))))</f>
        <v/>
      </c>
      <c r="Q136" s="33">
        <f>S135*(1+N(Debts!$D$9)/1200)</f>
        <v/>
      </c>
      <c r="R136" s="33">
        <f>Q136-MIN(N(Debts!$E$9),Q136)</f>
        <v/>
      </c>
      <c r="S136" s="33">
        <f>IF(R136&lt;=0.005,0,R136-MIN(R136,MAX(0,$E136-SUMIFS(H136:AK136,$H$5:$AK$5,"Rem",$H$4:$AK$4,"&lt;"&amp;S$4))))</f>
        <v/>
      </c>
      <c r="T136" s="33">
        <f>V135*(1+N(Debts!$D$10)/1200)</f>
        <v/>
      </c>
      <c r="U136" s="33">
        <f>T136-MIN(N(Debts!$E$10),T136)</f>
        <v/>
      </c>
      <c r="V136" s="33">
        <f>IF(U136&lt;=0.005,0,U136-MIN(U136,MAX(0,$E136-SUMIFS(H136:AK136,$H$5:$AK$5,"Rem",$H$4:$AK$4,"&lt;"&amp;V$4))))</f>
        <v/>
      </c>
      <c r="W136" s="33">
        <f>Y135*(1+N(Debts!$D$11)/1200)</f>
        <v/>
      </c>
      <c r="X136" s="33">
        <f>W136-MIN(N(Debts!$E$11),W136)</f>
        <v/>
      </c>
      <c r="Y136" s="33">
        <f>IF(X136&lt;=0.005,0,X136-MIN(X136,MAX(0,$E136-SUMIFS(H136:AK136,$H$5:$AK$5,"Rem",$H$4:$AK$4,"&lt;"&amp;Y$4))))</f>
        <v/>
      </c>
      <c r="Z136" s="33">
        <f>AB135*(1+N(Debts!$D$12)/1200)</f>
        <v/>
      </c>
      <c r="AA136" s="33">
        <f>Z136-MIN(N(Debts!$E$12),Z136)</f>
        <v/>
      </c>
      <c r="AB136" s="33">
        <f>IF(AA136&lt;=0.005,0,AA136-MIN(AA136,MAX(0,$E136-SUMIFS(H136:AK136,$H$5:$AK$5,"Rem",$H$4:$AK$4,"&lt;"&amp;AB$4))))</f>
        <v/>
      </c>
      <c r="AC136" s="33">
        <f>AE135*(1+N(Debts!$D$13)/1200)</f>
        <v/>
      </c>
      <c r="AD136" s="33">
        <f>AC136-MIN(N(Debts!$E$13),AC136)</f>
        <v/>
      </c>
      <c r="AE136" s="33">
        <f>IF(AD136&lt;=0.005,0,AD136-MIN(AD136,MAX(0,$E136-SUMIFS(H136:AK136,$H$5:$AK$5,"Rem",$H$4:$AK$4,"&lt;"&amp;AE$4))))</f>
        <v/>
      </c>
      <c r="AF136" s="33">
        <f>AH135*(1+N(Debts!$D$14)/1200)</f>
        <v/>
      </c>
      <c r="AG136" s="33">
        <f>AF136-MIN(N(Debts!$E$14),AF136)</f>
        <v/>
      </c>
      <c r="AH136" s="33">
        <f>IF(AG136&lt;=0.005,0,AG136-MIN(AG136,MAX(0,$E136-SUMIFS(H136:AK136,$H$5:$AK$5,"Rem",$H$4:$AK$4,"&lt;"&amp;AH$4))))</f>
        <v/>
      </c>
      <c r="AI136" s="33">
        <f>AK135*(1+N(Debts!$D$15)/1200)</f>
        <v/>
      </c>
      <c r="AJ136" s="33">
        <f>AI136-MIN(N(Debts!$E$15),AI136)</f>
        <v/>
      </c>
      <c r="AK136" s="33">
        <f>IF(AJ136&lt;=0.005,0,AJ136-MIN(AJ136,MAX(0,$E136-SUMIFS(H136:AK136,$H$5:$AK$5,"Rem",$H$4:$AK$4,"&lt;"&amp;AK$4))))</f>
        <v/>
      </c>
      <c r="AL136" s="1" t="n"/>
    </row>
    <row r="137">
      <c r="A137" s="1" t="n"/>
      <c r="B137" s="1" t="n">
        <v>130</v>
      </c>
      <c r="C137" s="34">
        <f>EDATE(Debts!$J$13,B137-1)</f>
        <v/>
      </c>
      <c r="D137" s="33">
        <f>IF(G136&lt;=0.005,0,Debts!$E$16+Debts!$J$7)</f>
        <v/>
      </c>
      <c r="E137" s="33">
        <f>MAX(0,D137-(SUMIF($H$5:$AK$5,"Due",H137:AK137)-SUMIF($H$5:$AK$5,"Rem",H137:AK137)))</f>
        <v/>
      </c>
      <c r="F137" s="33">
        <f>SUMIF($H$5:$AK$5,"Due",H137:AK137)-SUMIF($H$5:$AK$5,"Bal",H136:AK136)</f>
        <v/>
      </c>
      <c r="G137" s="33">
        <f>SUMIF($H$5:$AK$5,"Bal",H137:AK137)</f>
        <v/>
      </c>
      <c r="H137" s="33">
        <f>J136*(1+N(Debts!$D$6)/1200)</f>
        <v/>
      </c>
      <c r="I137" s="33">
        <f>H137-MIN(N(Debts!$E$6),H137)</f>
        <v/>
      </c>
      <c r="J137" s="33">
        <f>IF(I137&lt;=0.005,0,I137-MIN(I137,MAX(0,$E137-SUMIFS(H137:AK137,$H$5:$AK$5,"Rem",$H$4:$AK$4,"&lt;"&amp;J$4))))</f>
        <v/>
      </c>
      <c r="K137" s="33">
        <f>M136*(1+N(Debts!$D$7)/1200)</f>
        <v/>
      </c>
      <c r="L137" s="33">
        <f>K137-MIN(N(Debts!$E$7),K137)</f>
        <v/>
      </c>
      <c r="M137" s="33">
        <f>IF(L137&lt;=0.005,0,L137-MIN(L137,MAX(0,$E137-SUMIFS(H137:AK137,$H$5:$AK$5,"Rem",$H$4:$AK$4,"&lt;"&amp;M$4))))</f>
        <v/>
      </c>
      <c r="N137" s="33">
        <f>P136*(1+N(Debts!$D$8)/1200)</f>
        <v/>
      </c>
      <c r="O137" s="33">
        <f>N137-MIN(N(Debts!$E$8),N137)</f>
        <v/>
      </c>
      <c r="P137" s="33">
        <f>IF(O137&lt;=0.005,0,O137-MIN(O137,MAX(0,$E137-SUMIFS(H137:AK137,$H$5:$AK$5,"Rem",$H$4:$AK$4,"&lt;"&amp;P$4))))</f>
        <v/>
      </c>
      <c r="Q137" s="33">
        <f>S136*(1+N(Debts!$D$9)/1200)</f>
        <v/>
      </c>
      <c r="R137" s="33">
        <f>Q137-MIN(N(Debts!$E$9),Q137)</f>
        <v/>
      </c>
      <c r="S137" s="33">
        <f>IF(R137&lt;=0.005,0,R137-MIN(R137,MAX(0,$E137-SUMIFS(H137:AK137,$H$5:$AK$5,"Rem",$H$4:$AK$4,"&lt;"&amp;S$4))))</f>
        <v/>
      </c>
      <c r="T137" s="33">
        <f>V136*(1+N(Debts!$D$10)/1200)</f>
        <v/>
      </c>
      <c r="U137" s="33">
        <f>T137-MIN(N(Debts!$E$10),T137)</f>
        <v/>
      </c>
      <c r="V137" s="33">
        <f>IF(U137&lt;=0.005,0,U137-MIN(U137,MAX(0,$E137-SUMIFS(H137:AK137,$H$5:$AK$5,"Rem",$H$4:$AK$4,"&lt;"&amp;V$4))))</f>
        <v/>
      </c>
      <c r="W137" s="33">
        <f>Y136*(1+N(Debts!$D$11)/1200)</f>
        <v/>
      </c>
      <c r="X137" s="33">
        <f>W137-MIN(N(Debts!$E$11),W137)</f>
        <v/>
      </c>
      <c r="Y137" s="33">
        <f>IF(X137&lt;=0.005,0,X137-MIN(X137,MAX(0,$E137-SUMIFS(H137:AK137,$H$5:$AK$5,"Rem",$H$4:$AK$4,"&lt;"&amp;Y$4))))</f>
        <v/>
      </c>
      <c r="Z137" s="33">
        <f>AB136*(1+N(Debts!$D$12)/1200)</f>
        <v/>
      </c>
      <c r="AA137" s="33">
        <f>Z137-MIN(N(Debts!$E$12),Z137)</f>
        <v/>
      </c>
      <c r="AB137" s="33">
        <f>IF(AA137&lt;=0.005,0,AA137-MIN(AA137,MAX(0,$E137-SUMIFS(H137:AK137,$H$5:$AK$5,"Rem",$H$4:$AK$4,"&lt;"&amp;AB$4))))</f>
        <v/>
      </c>
      <c r="AC137" s="33">
        <f>AE136*(1+N(Debts!$D$13)/1200)</f>
        <v/>
      </c>
      <c r="AD137" s="33">
        <f>AC137-MIN(N(Debts!$E$13),AC137)</f>
        <v/>
      </c>
      <c r="AE137" s="33">
        <f>IF(AD137&lt;=0.005,0,AD137-MIN(AD137,MAX(0,$E137-SUMIFS(H137:AK137,$H$5:$AK$5,"Rem",$H$4:$AK$4,"&lt;"&amp;AE$4))))</f>
        <v/>
      </c>
      <c r="AF137" s="33">
        <f>AH136*(1+N(Debts!$D$14)/1200)</f>
        <v/>
      </c>
      <c r="AG137" s="33">
        <f>AF137-MIN(N(Debts!$E$14),AF137)</f>
        <v/>
      </c>
      <c r="AH137" s="33">
        <f>IF(AG137&lt;=0.005,0,AG137-MIN(AG137,MAX(0,$E137-SUMIFS(H137:AK137,$H$5:$AK$5,"Rem",$H$4:$AK$4,"&lt;"&amp;AH$4))))</f>
        <v/>
      </c>
      <c r="AI137" s="33">
        <f>AK136*(1+N(Debts!$D$15)/1200)</f>
        <v/>
      </c>
      <c r="AJ137" s="33">
        <f>AI137-MIN(N(Debts!$E$15),AI137)</f>
        <v/>
      </c>
      <c r="AK137" s="33">
        <f>IF(AJ137&lt;=0.005,0,AJ137-MIN(AJ137,MAX(0,$E137-SUMIFS(H137:AK137,$H$5:$AK$5,"Rem",$H$4:$AK$4,"&lt;"&amp;AK$4))))</f>
        <v/>
      </c>
      <c r="AL137" s="1" t="n"/>
    </row>
    <row r="138">
      <c r="A138" s="1" t="n"/>
      <c r="B138" s="1" t="n">
        <v>131</v>
      </c>
      <c r="C138" s="34">
        <f>EDATE(Debts!$J$13,B138-1)</f>
        <v/>
      </c>
      <c r="D138" s="33">
        <f>IF(G137&lt;=0.005,0,Debts!$E$16+Debts!$J$7)</f>
        <v/>
      </c>
      <c r="E138" s="33">
        <f>MAX(0,D138-(SUMIF($H$5:$AK$5,"Due",H138:AK138)-SUMIF($H$5:$AK$5,"Rem",H138:AK138)))</f>
        <v/>
      </c>
      <c r="F138" s="33">
        <f>SUMIF($H$5:$AK$5,"Due",H138:AK138)-SUMIF($H$5:$AK$5,"Bal",H137:AK137)</f>
        <v/>
      </c>
      <c r="G138" s="33">
        <f>SUMIF($H$5:$AK$5,"Bal",H138:AK138)</f>
        <v/>
      </c>
      <c r="H138" s="33">
        <f>J137*(1+N(Debts!$D$6)/1200)</f>
        <v/>
      </c>
      <c r="I138" s="33">
        <f>H138-MIN(N(Debts!$E$6),H138)</f>
        <v/>
      </c>
      <c r="J138" s="33">
        <f>IF(I138&lt;=0.005,0,I138-MIN(I138,MAX(0,$E138-SUMIFS(H138:AK138,$H$5:$AK$5,"Rem",$H$4:$AK$4,"&lt;"&amp;J$4))))</f>
        <v/>
      </c>
      <c r="K138" s="33">
        <f>M137*(1+N(Debts!$D$7)/1200)</f>
        <v/>
      </c>
      <c r="L138" s="33">
        <f>K138-MIN(N(Debts!$E$7),K138)</f>
        <v/>
      </c>
      <c r="M138" s="33">
        <f>IF(L138&lt;=0.005,0,L138-MIN(L138,MAX(0,$E138-SUMIFS(H138:AK138,$H$5:$AK$5,"Rem",$H$4:$AK$4,"&lt;"&amp;M$4))))</f>
        <v/>
      </c>
      <c r="N138" s="33">
        <f>P137*(1+N(Debts!$D$8)/1200)</f>
        <v/>
      </c>
      <c r="O138" s="33">
        <f>N138-MIN(N(Debts!$E$8),N138)</f>
        <v/>
      </c>
      <c r="P138" s="33">
        <f>IF(O138&lt;=0.005,0,O138-MIN(O138,MAX(0,$E138-SUMIFS(H138:AK138,$H$5:$AK$5,"Rem",$H$4:$AK$4,"&lt;"&amp;P$4))))</f>
        <v/>
      </c>
      <c r="Q138" s="33">
        <f>S137*(1+N(Debts!$D$9)/1200)</f>
        <v/>
      </c>
      <c r="R138" s="33">
        <f>Q138-MIN(N(Debts!$E$9),Q138)</f>
        <v/>
      </c>
      <c r="S138" s="33">
        <f>IF(R138&lt;=0.005,0,R138-MIN(R138,MAX(0,$E138-SUMIFS(H138:AK138,$H$5:$AK$5,"Rem",$H$4:$AK$4,"&lt;"&amp;S$4))))</f>
        <v/>
      </c>
      <c r="T138" s="33">
        <f>V137*(1+N(Debts!$D$10)/1200)</f>
        <v/>
      </c>
      <c r="U138" s="33">
        <f>T138-MIN(N(Debts!$E$10),T138)</f>
        <v/>
      </c>
      <c r="V138" s="33">
        <f>IF(U138&lt;=0.005,0,U138-MIN(U138,MAX(0,$E138-SUMIFS(H138:AK138,$H$5:$AK$5,"Rem",$H$4:$AK$4,"&lt;"&amp;V$4))))</f>
        <v/>
      </c>
      <c r="W138" s="33">
        <f>Y137*(1+N(Debts!$D$11)/1200)</f>
        <v/>
      </c>
      <c r="X138" s="33">
        <f>W138-MIN(N(Debts!$E$11),W138)</f>
        <v/>
      </c>
      <c r="Y138" s="33">
        <f>IF(X138&lt;=0.005,0,X138-MIN(X138,MAX(0,$E138-SUMIFS(H138:AK138,$H$5:$AK$5,"Rem",$H$4:$AK$4,"&lt;"&amp;Y$4))))</f>
        <v/>
      </c>
      <c r="Z138" s="33">
        <f>AB137*(1+N(Debts!$D$12)/1200)</f>
        <v/>
      </c>
      <c r="AA138" s="33">
        <f>Z138-MIN(N(Debts!$E$12),Z138)</f>
        <v/>
      </c>
      <c r="AB138" s="33">
        <f>IF(AA138&lt;=0.005,0,AA138-MIN(AA138,MAX(0,$E138-SUMIFS(H138:AK138,$H$5:$AK$5,"Rem",$H$4:$AK$4,"&lt;"&amp;AB$4))))</f>
        <v/>
      </c>
      <c r="AC138" s="33">
        <f>AE137*(1+N(Debts!$D$13)/1200)</f>
        <v/>
      </c>
      <c r="AD138" s="33">
        <f>AC138-MIN(N(Debts!$E$13),AC138)</f>
        <v/>
      </c>
      <c r="AE138" s="33">
        <f>IF(AD138&lt;=0.005,0,AD138-MIN(AD138,MAX(0,$E138-SUMIFS(H138:AK138,$H$5:$AK$5,"Rem",$H$4:$AK$4,"&lt;"&amp;AE$4))))</f>
        <v/>
      </c>
      <c r="AF138" s="33">
        <f>AH137*(1+N(Debts!$D$14)/1200)</f>
        <v/>
      </c>
      <c r="AG138" s="33">
        <f>AF138-MIN(N(Debts!$E$14),AF138)</f>
        <v/>
      </c>
      <c r="AH138" s="33">
        <f>IF(AG138&lt;=0.005,0,AG138-MIN(AG138,MAX(0,$E138-SUMIFS(H138:AK138,$H$5:$AK$5,"Rem",$H$4:$AK$4,"&lt;"&amp;AH$4))))</f>
        <v/>
      </c>
      <c r="AI138" s="33">
        <f>AK137*(1+N(Debts!$D$15)/1200)</f>
        <v/>
      </c>
      <c r="AJ138" s="33">
        <f>AI138-MIN(N(Debts!$E$15),AI138)</f>
        <v/>
      </c>
      <c r="AK138" s="33">
        <f>IF(AJ138&lt;=0.005,0,AJ138-MIN(AJ138,MAX(0,$E138-SUMIFS(H138:AK138,$H$5:$AK$5,"Rem",$H$4:$AK$4,"&lt;"&amp;AK$4))))</f>
        <v/>
      </c>
      <c r="AL138" s="1" t="n"/>
    </row>
    <row r="139">
      <c r="A139" s="1" t="n"/>
      <c r="B139" s="1" t="n">
        <v>132</v>
      </c>
      <c r="C139" s="34">
        <f>EDATE(Debts!$J$13,B139-1)</f>
        <v/>
      </c>
      <c r="D139" s="33">
        <f>IF(G138&lt;=0.005,0,Debts!$E$16+Debts!$J$7)</f>
        <v/>
      </c>
      <c r="E139" s="33">
        <f>MAX(0,D139-(SUMIF($H$5:$AK$5,"Due",H139:AK139)-SUMIF($H$5:$AK$5,"Rem",H139:AK139)))</f>
        <v/>
      </c>
      <c r="F139" s="33">
        <f>SUMIF($H$5:$AK$5,"Due",H139:AK139)-SUMIF($H$5:$AK$5,"Bal",H138:AK138)</f>
        <v/>
      </c>
      <c r="G139" s="33">
        <f>SUMIF($H$5:$AK$5,"Bal",H139:AK139)</f>
        <v/>
      </c>
      <c r="H139" s="33">
        <f>J138*(1+N(Debts!$D$6)/1200)</f>
        <v/>
      </c>
      <c r="I139" s="33">
        <f>H139-MIN(N(Debts!$E$6),H139)</f>
        <v/>
      </c>
      <c r="J139" s="33">
        <f>IF(I139&lt;=0.005,0,I139-MIN(I139,MAX(0,$E139-SUMIFS(H139:AK139,$H$5:$AK$5,"Rem",$H$4:$AK$4,"&lt;"&amp;J$4))))</f>
        <v/>
      </c>
      <c r="K139" s="33">
        <f>M138*(1+N(Debts!$D$7)/1200)</f>
        <v/>
      </c>
      <c r="L139" s="33">
        <f>K139-MIN(N(Debts!$E$7),K139)</f>
        <v/>
      </c>
      <c r="M139" s="33">
        <f>IF(L139&lt;=0.005,0,L139-MIN(L139,MAX(0,$E139-SUMIFS(H139:AK139,$H$5:$AK$5,"Rem",$H$4:$AK$4,"&lt;"&amp;M$4))))</f>
        <v/>
      </c>
      <c r="N139" s="33">
        <f>P138*(1+N(Debts!$D$8)/1200)</f>
        <v/>
      </c>
      <c r="O139" s="33">
        <f>N139-MIN(N(Debts!$E$8),N139)</f>
        <v/>
      </c>
      <c r="P139" s="33">
        <f>IF(O139&lt;=0.005,0,O139-MIN(O139,MAX(0,$E139-SUMIFS(H139:AK139,$H$5:$AK$5,"Rem",$H$4:$AK$4,"&lt;"&amp;P$4))))</f>
        <v/>
      </c>
      <c r="Q139" s="33">
        <f>S138*(1+N(Debts!$D$9)/1200)</f>
        <v/>
      </c>
      <c r="R139" s="33">
        <f>Q139-MIN(N(Debts!$E$9),Q139)</f>
        <v/>
      </c>
      <c r="S139" s="33">
        <f>IF(R139&lt;=0.005,0,R139-MIN(R139,MAX(0,$E139-SUMIFS(H139:AK139,$H$5:$AK$5,"Rem",$H$4:$AK$4,"&lt;"&amp;S$4))))</f>
        <v/>
      </c>
      <c r="T139" s="33">
        <f>V138*(1+N(Debts!$D$10)/1200)</f>
        <v/>
      </c>
      <c r="U139" s="33">
        <f>T139-MIN(N(Debts!$E$10),T139)</f>
        <v/>
      </c>
      <c r="V139" s="33">
        <f>IF(U139&lt;=0.005,0,U139-MIN(U139,MAX(0,$E139-SUMIFS(H139:AK139,$H$5:$AK$5,"Rem",$H$4:$AK$4,"&lt;"&amp;V$4))))</f>
        <v/>
      </c>
      <c r="W139" s="33">
        <f>Y138*(1+N(Debts!$D$11)/1200)</f>
        <v/>
      </c>
      <c r="X139" s="33">
        <f>W139-MIN(N(Debts!$E$11),W139)</f>
        <v/>
      </c>
      <c r="Y139" s="33">
        <f>IF(X139&lt;=0.005,0,X139-MIN(X139,MAX(0,$E139-SUMIFS(H139:AK139,$H$5:$AK$5,"Rem",$H$4:$AK$4,"&lt;"&amp;Y$4))))</f>
        <v/>
      </c>
      <c r="Z139" s="33">
        <f>AB138*(1+N(Debts!$D$12)/1200)</f>
        <v/>
      </c>
      <c r="AA139" s="33">
        <f>Z139-MIN(N(Debts!$E$12),Z139)</f>
        <v/>
      </c>
      <c r="AB139" s="33">
        <f>IF(AA139&lt;=0.005,0,AA139-MIN(AA139,MAX(0,$E139-SUMIFS(H139:AK139,$H$5:$AK$5,"Rem",$H$4:$AK$4,"&lt;"&amp;AB$4))))</f>
        <v/>
      </c>
      <c r="AC139" s="33">
        <f>AE138*(1+N(Debts!$D$13)/1200)</f>
        <v/>
      </c>
      <c r="AD139" s="33">
        <f>AC139-MIN(N(Debts!$E$13),AC139)</f>
        <v/>
      </c>
      <c r="AE139" s="33">
        <f>IF(AD139&lt;=0.005,0,AD139-MIN(AD139,MAX(0,$E139-SUMIFS(H139:AK139,$H$5:$AK$5,"Rem",$H$4:$AK$4,"&lt;"&amp;AE$4))))</f>
        <v/>
      </c>
      <c r="AF139" s="33">
        <f>AH138*(1+N(Debts!$D$14)/1200)</f>
        <v/>
      </c>
      <c r="AG139" s="33">
        <f>AF139-MIN(N(Debts!$E$14),AF139)</f>
        <v/>
      </c>
      <c r="AH139" s="33">
        <f>IF(AG139&lt;=0.005,0,AG139-MIN(AG139,MAX(0,$E139-SUMIFS(H139:AK139,$H$5:$AK$5,"Rem",$H$4:$AK$4,"&lt;"&amp;AH$4))))</f>
        <v/>
      </c>
      <c r="AI139" s="33">
        <f>AK138*(1+N(Debts!$D$15)/1200)</f>
        <v/>
      </c>
      <c r="AJ139" s="33">
        <f>AI139-MIN(N(Debts!$E$15),AI139)</f>
        <v/>
      </c>
      <c r="AK139" s="33">
        <f>IF(AJ139&lt;=0.005,0,AJ139-MIN(AJ139,MAX(0,$E139-SUMIFS(H139:AK139,$H$5:$AK$5,"Rem",$H$4:$AK$4,"&lt;"&amp;AK$4))))</f>
        <v/>
      </c>
      <c r="AL139" s="1" t="n"/>
    </row>
    <row r="140">
      <c r="A140" s="1" t="n"/>
      <c r="B140" s="1" t="n">
        <v>133</v>
      </c>
      <c r="C140" s="34">
        <f>EDATE(Debts!$J$13,B140-1)</f>
        <v/>
      </c>
      <c r="D140" s="33">
        <f>IF(G139&lt;=0.005,0,Debts!$E$16+Debts!$J$7)</f>
        <v/>
      </c>
      <c r="E140" s="33">
        <f>MAX(0,D140-(SUMIF($H$5:$AK$5,"Due",H140:AK140)-SUMIF($H$5:$AK$5,"Rem",H140:AK140)))</f>
        <v/>
      </c>
      <c r="F140" s="33">
        <f>SUMIF($H$5:$AK$5,"Due",H140:AK140)-SUMIF($H$5:$AK$5,"Bal",H139:AK139)</f>
        <v/>
      </c>
      <c r="G140" s="33">
        <f>SUMIF($H$5:$AK$5,"Bal",H140:AK140)</f>
        <v/>
      </c>
      <c r="H140" s="33">
        <f>J139*(1+N(Debts!$D$6)/1200)</f>
        <v/>
      </c>
      <c r="I140" s="33">
        <f>H140-MIN(N(Debts!$E$6),H140)</f>
        <v/>
      </c>
      <c r="J140" s="33">
        <f>IF(I140&lt;=0.005,0,I140-MIN(I140,MAX(0,$E140-SUMIFS(H140:AK140,$H$5:$AK$5,"Rem",$H$4:$AK$4,"&lt;"&amp;J$4))))</f>
        <v/>
      </c>
      <c r="K140" s="33">
        <f>M139*(1+N(Debts!$D$7)/1200)</f>
        <v/>
      </c>
      <c r="L140" s="33">
        <f>K140-MIN(N(Debts!$E$7),K140)</f>
        <v/>
      </c>
      <c r="M140" s="33">
        <f>IF(L140&lt;=0.005,0,L140-MIN(L140,MAX(0,$E140-SUMIFS(H140:AK140,$H$5:$AK$5,"Rem",$H$4:$AK$4,"&lt;"&amp;M$4))))</f>
        <v/>
      </c>
      <c r="N140" s="33">
        <f>P139*(1+N(Debts!$D$8)/1200)</f>
        <v/>
      </c>
      <c r="O140" s="33">
        <f>N140-MIN(N(Debts!$E$8),N140)</f>
        <v/>
      </c>
      <c r="P140" s="33">
        <f>IF(O140&lt;=0.005,0,O140-MIN(O140,MAX(0,$E140-SUMIFS(H140:AK140,$H$5:$AK$5,"Rem",$H$4:$AK$4,"&lt;"&amp;P$4))))</f>
        <v/>
      </c>
      <c r="Q140" s="33">
        <f>S139*(1+N(Debts!$D$9)/1200)</f>
        <v/>
      </c>
      <c r="R140" s="33">
        <f>Q140-MIN(N(Debts!$E$9),Q140)</f>
        <v/>
      </c>
      <c r="S140" s="33">
        <f>IF(R140&lt;=0.005,0,R140-MIN(R140,MAX(0,$E140-SUMIFS(H140:AK140,$H$5:$AK$5,"Rem",$H$4:$AK$4,"&lt;"&amp;S$4))))</f>
        <v/>
      </c>
      <c r="T140" s="33">
        <f>V139*(1+N(Debts!$D$10)/1200)</f>
        <v/>
      </c>
      <c r="U140" s="33">
        <f>T140-MIN(N(Debts!$E$10),T140)</f>
        <v/>
      </c>
      <c r="V140" s="33">
        <f>IF(U140&lt;=0.005,0,U140-MIN(U140,MAX(0,$E140-SUMIFS(H140:AK140,$H$5:$AK$5,"Rem",$H$4:$AK$4,"&lt;"&amp;V$4))))</f>
        <v/>
      </c>
      <c r="W140" s="33">
        <f>Y139*(1+N(Debts!$D$11)/1200)</f>
        <v/>
      </c>
      <c r="X140" s="33">
        <f>W140-MIN(N(Debts!$E$11),W140)</f>
        <v/>
      </c>
      <c r="Y140" s="33">
        <f>IF(X140&lt;=0.005,0,X140-MIN(X140,MAX(0,$E140-SUMIFS(H140:AK140,$H$5:$AK$5,"Rem",$H$4:$AK$4,"&lt;"&amp;Y$4))))</f>
        <v/>
      </c>
      <c r="Z140" s="33">
        <f>AB139*(1+N(Debts!$D$12)/1200)</f>
        <v/>
      </c>
      <c r="AA140" s="33">
        <f>Z140-MIN(N(Debts!$E$12),Z140)</f>
        <v/>
      </c>
      <c r="AB140" s="33">
        <f>IF(AA140&lt;=0.005,0,AA140-MIN(AA140,MAX(0,$E140-SUMIFS(H140:AK140,$H$5:$AK$5,"Rem",$H$4:$AK$4,"&lt;"&amp;AB$4))))</f>
        <v/>
      </c>
      <c r="AC140" s="33">
        <f>AE139*(1+N(Debts!$D$13)/1200)</f>
        <v/>
      </c>
      <c r="AD140" s="33">
        <f>AC140-MIN(N(Debts!$E$13),AC140)</f>
        <v/>
      </c>
      <c r="AE140" s="33">
        <f>IF(AD140&lt;=0.005,0,AD140-MIN(AD140,MAX(0,$E140-SUMIFS(H140:AK140,$H$5:$AK$5,"Rem",$H$4:$AK$4,"&lt;"&amp;AE$4))))</f>
        <v/>
      </c>
      <c r="AF140" s="33">
        <f>AH139*(1+N(Debts!$D$14)/1200)</f>
        <v/>
      </c>
      <c r="AG140" s="33">
        <f>AF140-MIN(N(Debts!$E$14),AF140)</f>
        <v/>
      </c>
      <c r="AH140" s="33">
        <f>IF(AG140&lt;=0.005,0,AG140-MIN(AG140,MAX(0,$E140-SUMIFS(H140:AK140,$H$5:$AK$5,"Rem",$H$4:$AK$4,"&lt;"&amp;AH$4))))</f>
        <v/>
      </c>
      <c r="AI140" s="33">
        <f>AK139*(1+N(Debts!$D$15)/1200)</f>
        <v/>
      </c>
      <c r="AJ140" s="33">
        <f>AI140-MIN(N(Debts!$E$15),AI140)</f>
        <v/>
      </c>
      <c r="AK140" s="33">
        <f>IF(AJ140&lt;=0.005,0,AJ140-MIN(AJ140,MAX(0,$E140-SUMIFS(H140:AK140,$H$5:$AK$5,"Rem",$H$4:$AK$4,"&lt;"&amp;AK$4))))</f>
        <v/>
      </c>
      <c r="AL140" s="1" t="n"/>
    </row>
    <row r="141">
      <c r="A141" s="1" t="n"/>
      <c r="B141" s="1" t="n">
        <v>134</v>
      </c>
      <c r="C141" s="34">
        <f>EDATE(Debts!$J$13,B141-1)</f>
        <v/>
      </c>
      <c r="D141" s="33">
        <f>IF(G140&lt;=0.005,0,Debts!$E$16+Debts!$J$7)</f>
        <v/>
      </c>
      <c r="E141" s="33">
        <f>MAX(0,D141-(SUMIF($H$5:$AK$5,"Due",H141:AK141)-SUMIF($H$5:$AK$5,"Rem",H141:AK141)))</f>
        <v/>
      </c>
      <c r="F141" s="33">
        <f>SUMIF($H$5:$AK$5,"Due",H141:AK141)-SUMIF($H$5:$AK$5,"Bal",H140:AK140)</f>
        <v/>
      </c>
      <c r="G141" s="33">
        <f>SUMIF($H$5:$AK$5,"Bal",H141:AK141)</f>
        <v/>
      </c>
      <c r="H141" s="33">
        <f>J140*(1+N(Debts!$D$6)/1200)</f>
        <v/>
      </c>
      <c r="I141" s="33">
        <f>H141-MIN(N(Debts!$E$6),H141)</f>
        <v/>
      </c>
      <c r="J141" s="33">
        <f>IF(I141&lt;=0.005,0,I141-MIN(I141,MAX(0,$E141-SUMIFS(H141:AK141,$H$5:$AK$5,"Rem",$H$4:$AK$4,"&lt;"&amp;J$4))))</f>
        <v/>
      </c>
      <c r="K141" s="33">
        <f>M140*(1+N(Debts!$D$7)/1200)</f>
        <v/>
      </c>
      <c r="L141" s="33">
        <f>K141-MIN(N(Debts!$E$7),K141)</f>
        <v/>
      </c>
      <c r="M141" s="33">
        <f>IF(L141&lt;=0.005,0,L141-MIN(L141,MAX(0,$E141-SUMIFS(H141:AK141,$H$5:$AK$5,"Rem",$H$4:$AK$4,"&lt;"&amp;M$4))))</f>
        <v/>
      </c>
      <c r="N141" s="33">
        <f>P140*(1+N(Debts!$D$8)/1200)</f>
        <v/>
      </c>
      <c r="O141" s="33">
        <f>N141-MIN(N(Debts!$E$8),N141)</f>
        <v/>
      </c>
      <c r="P141" s="33">
        <f>IF(O141&lt;=0.005,0,O141-MIN(O141,MAX(0,$E141-SUMIFS(H141:AK141,$H$5:$AK$5,"Rem",$H$4:$AK$4,"&lt;"&amp;P$4))))</f>
        <v/>
      </c>
      <c r="Q141" s="33">
        <f>S140*(1+N(Debts!$D$9)/1200)</f>
        <v/>
      </c>
      <c r="R141" s="33">
        <f>Q141-MIN(N(Debts!$E$9),Q141)</f>
        <v/>
      </c>
      <c r="S141" s="33">
        <f>IF(R141&lt;=0.005,0,R141-MIN(R141,MAX(0,$E141-SUMIFS(H141:AK141,$H$5:$AK$5,"Rem",$H$4:$AK$4,"&lt;"&amp;S$4))))</f>
        <v/>
      </c>
      <c r="T141" s="33">
        <f>V140*(1+N(Debts!$D$10)/1200)</f>
        <v/>
      </c>
      <c r="U141" s="33">
        <f>T141-MIN(N(Debts!$E$10),T141)</f>
        <v/>
      </c>
      <c r="V141" s="33">
        <f>IF(U141&lt;=0.005,0,U141-MIN(U141,MAX(0,$E141-SUMIFS(H141:AK141,$H$5:$AK$5,"Rem",$H$4:$AK$4,"&lt;"&amp;V$4))))</f>
        <v/>
      </c>
      <c r="W141" s="33">
        <f>Y140*(1+N(Debts!$D$11)/1200)</f>
        <v/>
      </c>
      <c r="X141" s="33">
        <f>W141-MIN(N(Debts!$E$11),W141)</f>
        <v/>
      </c>
      <c r="Y141" s="33">
        <f>IF(X141&lt;=0.005,0,X141-MIN(X141,MAX(0,$E141-SUMIFS(H141:AK141,$H$5:$AK$5,"Rem",$H$4:$AK$4,"&lt;"&amp;Y$4))))</f>
        <v/>
      </c>
      <c r="Z141" s="33">
        <f>AB140*(1+N(Debts!$D$12)/1200)</f>
        <v/>
      </c>
      <c r="AA141" s="33">
        <f>Z141-MIN(N(Debts!$E$12),Z141)</f>
        <v/>
      </c>
      <c r="AB141" s="33">
        <f>IF(AA141&lt;=0.005,0,AA141-MIN(AA141,MAX(0,$E141-SUMIFS(H141:AK141,$H$5:$AK$5,"Rem",$H$4:$AK$4,"&lt;"&amp;AB$4))))</f>
        <v/>
      </c>
      <c r="AC141" s="33">
        <f>AE140*(1+N(Debts!$D$13)/1200)</f>
        <v/>
      </c>
      <c r="AD141" s="33">
        <f>AC141-MIN(N(Debts!$E$13),AC141)</f>
        <v/>
      </c>
      <c r="AE141" s="33">
        <f>IF(AD141&lt;=0.005,0,AD141-MIN(AD141,MAX(0,$E141-SUMIFS(H141:AK141,$H$5:$AK$5,"Rem",$H$4:$AK$4,"&lt;"&amp;AE$4))))</f>
        <v/>
      </c>
      <c r="AF141" s="33">
        <f>AH140*(1+N(Debts!$D$14)/1200)</f>
        <v/>
      </c>
      <c r="AG141" s="33">
        <f>AF141-MIN(N(Debts!$E$14),AF141)</f>
        <v/>
      </c>
      <c r="AH141" s="33">
        <f>IF(AG141&lt;=0.005,0,AG141-MIN(AG141,MAX(0,$E141-SUMIFS(H141:AK141,$H$5:$AK$5,"Rem",$H$4:$AK$4,"&lt;"&amp;AH$4))))</f>
        <v/>
      </c>
      <c r="AI141" s="33">
        <f>AK140*(1+N(Debts!$D$15)/1200)</f>
        <v/>
      </c>
      <c r="AJ141" s="33">
        <f>AI141-MIN(N(Debts!$E$15),AI141)</f>
        <v/>
      </c>
      <c r="AK141" s="33">
        <f>IF(AJ141&lt;=0.005,0,AJ141-MIN(AJ141,MAX(0,$E141-SUMIFS(H141:AK141,$H$5:$AK$5,"Rem",$H$4:$AK$4,"&lt;"&amp;AK$4))))</f>
        <v/>
      </c>
      <c r="AL141" s="1" t="n"/>
    </row>
    <row r="142">
      <c r="A142" s="1" t="n"/>
      <c r="B142" s="1" t="n">
        <v>135</v>
      </c>
      <c r="C142" s="34">
        <f>EDATE(Debts!$J$13,B142-1)</f>
        <v/>
      </c>
      <c r="D142" s="33">
        <f>IF(G141&lt;=0.005,0,Debts!$E$16+Debts!$J$7)</f>
        <v/>
      </c>
      <c r="E142" s="33">
        <f>MAX(0,D142-(SUMIF($H$5:$AK$5,"Due",H142:AK142)-SUMIF($H$5:$AK$5,"Rem",H142:AK142)))</f>
        <v/>
      </c>
      <c r="F142" s="33">
        <f>SUMIF($H$5:$AK$5,"Due",H142:AK142)-SUMIF($H$5:$AK$5,"Bal",H141:AK141)</f>
        <v/>
      </c>
      <c r="G142" s="33">
        <f>SUMIF($H$5:$AK$5,"Bal",H142:AK142)</f>
        <v/>
      </c>
      <c r="H142" s="33">
        <f>J141*(1+N(Debts!$D$6)/1200)</f>
        <v/>
      </c>
      <c r="I142" s="33">
        <f>H142-MIN(N(Debts!$E$6),H142)</f>
        <v/>
      </c>
      <c r="J142" s="33">
        <f>IF(I142&lt;=0.005,0,I142-MIN(I142,MAX(0,$E142-SUMIFS(H142:AK142,$H$5:$AK$5,"Rem",$H$4:$AK$4,"&lt;"&amp;J$4))))</f>
        <v/>
      </c>
      <c r="K142" s="33">
        <f>M141*(1+N(Debts!$D$7)/1200)</f>
        <v/>
      </c>
      <c r="L142" s="33">
        <f>K142-MIN(N(Debts!$E$7),K142)</f>
        <v/>
      </c>
      <c r="M142" s="33">
        <f>IF(L142&lt;=0.005,0,L142-MIN(L142,MAX(0,$E142-SUMIFS(H142:AK142,$H$5:$AK$5,"Rem",$H$4:$AK$4,"&lt;"&amp;M$4))))</f>
        <v/>
      </c>
      <c r="N142" s="33">
        <f>P141*(1+N(Debts!$D$8)/1200)</f>
        <v/>
      </c>
      <c r="O142" s="33">
        <f>N142-MIN(N(Debts!$E$8),N142)</f>
        <v/>
      </c>
      <c r="P142" s="33">
        <f>IF(O142&lt;=0.005,0,O142-MIN(O142,MAX(0,$E142-SUMIFS(H142:AK142,$H$5:$AK$5,"Rem",$H$4:$AK$4,"&lt;"&amp;P$4))))</f>
        <v/>
      </c>
      <c r="Q142" s="33">
        <f>S141*(1+N(Debts!$D$9)/1200)</f>
        <v/>
      </c>
      <c r="R142" s="33">
        <f>Q142-MIN(N(Debts!$E$9),Q142)</f>
        <v/>
      </c>
      <c r="S142" s="33">
        <f>IF(R142&lt;=0.005,0,R142-MIN(R142,MAX(0,$E142-SUMIFS(H142:AK142,$H$5:$AK$5,"Rem",$H$4:$AK$4,"&lt;"&amp;S$4))))</f>
        <v/>
      </c>
      <c r="T142" s="33">
        <f>V141*(1+N(Debts!$D$10)/1200)</f>
        <v/>
      </c>
      <c r="U142" s="33">
        <f>T142-MIN(N(Debts!$E$10),T142)</f>
        <v/>
      </c>
      <c r="V142" s="33">
        <f>IF(U142&lt;=0.005,0,U142-MIN(U142,MAX(0,$E142-SUMIFS(H142:AK142,$H$5:$AK$5,"Rem",$H$4:$AK$4,"&lt;"&amp;V$4))))</f>
        <v/>
      </c>
      <c r="W142" s="33">
        <f>Y141*(1+N(Debts!$D$11)/1200)</f>
        <v/>
      </c>
      <c r="X142" s="33">
        <f>W142-MIN(N(Debts!$E$11),W142)</f>
        <v/>
      </c>
      <c r="Y142" s="33">
        <f>IF(X142&lt;=0.005,0,X142-MIN(X142,MAX(0,$E142-SUMIFS(H142:AK142,$H$5:$AK$5,"Rem",$H$4:$AK$4,"&lt;"&amp;Y$4))))</f>
        <v/>
      </c>
      <c r="Z142" s="33">
        <f>AB141*(1+N(Debts!$D$12)/1200)</f>
        <v/>
      </c>
      <c r="AA142" s="33">
        <f>Z142-MIN(N(Debts!$E$12),Z142)</f>
        <v/>
      </c>
      <c r="AB142" s="33">
        <f>IF(AA142&lt;=0.005,0,AA142-MIN(AA142,MAX(0,$E142-SUMIFS(H142:AK142,$H$5:$AK$5,"Rem",$H$4:$AK$4,"&lt;"&amp;AB$4))))</f>
        <v/>
      </c>
      <c r="AC142" s="33">
        <f>AE141*(1+N(Debts!$D$13)/1200)</f>
        <v/>
      </c>
      <c r="AD142" s="33">
        <f>AC142-MIN(N(Debts!$E$13),AC142)</f>
        <v/>
      </c>
      <c r="AE142" s="33">
        <f>IF(AD142&lt;=0.005,0,AD142-MIN(AD142,MAX(0,$E142-SUMIFS(H142:AK142,$H$5:$AK$5,"Rem",$H$4:$AK$4,"&lt;"&amp;AE$4))))</f>
        <v/>
      </c>
      <c r="AF142" s="33">
        <f>AH141*(1+N(Debts!$D$14)/1200)</f>
        <v/>
      </c>
      <c r="AG142" s="33">
        <f>AF142-MIN(N(Debts!$E$14),AF142)</f>
        <v/>
      </c>
      <c r="AH142" s="33">
        <f>IF(AG142&lt;=0.005,0,AG142-MIN(AG142,MAX(0,$E142-SUMIFS(H142:AK142,$H$5:$AK$5,"Rem",$H$4:$AK$4,"&lt;"&amp;AH$4))))</f>
        <v/>
      </c>
      <c r="AI142" s="33">
        <f>AK141*(1+N(Debts!$D$15)/1200)</f>
        <v/>
      </c>
      <c r="AJ142" s="33">
        <f>AI142-MIN(N(Debts!$E$15),AI142)</f>
        <v/>
      </c>
      <c r="AK142" s="33">
        <f>IF(AJ142&lt;=0.005,0,AJ142-MIN(AJ142,MAX(0,$E142-SUMIFS(H142:AK142,$H$5:$AK$5,"Rem",$H$4:$AK$4,"&lt;"&amp;AK$4))))</f>
        <v/>
      </c>
      <c r="AL142" s="1" t="n"/>
    </row>
    <row r="143">
      <c r="A143" s="1" t="n"/>
      <c r="B143" s="1" t="n">
        <v>136</v>
      </c>
      <c r="C143" s="34">
        <f>EDATE(Debts!$J$13,B143-1)</f>
        <v/>
      </c>
      <c r="D143" s="33">
        <f>IF(G142&lt;=0.005,0,Debts!$E$16+Debts!$J$7)</f>
        <v/>
      </c>
      <c r="E143" s="33">
        <f>MAX(0,D143-(SUMIF($H$5:$AK$5,"Due",H143:AK143)-SUMIF($H$5:$AK$5,"Rem",H143:AK143)))</f>
        <v/>
      </c>
      <c r="F143" s="33">
        <f>SUMIF($H$5:$AK$5,"Due",H143:AK143)-SUMIF($H$5:$AK$5,"Bal",H142:AK142)</f>
        <v/>
      </c>
      <c r="G143" s="33">
        <f>SUMIF($H$5:$AK$5,"Bal",H143:AK143)</f>
        <v/>
      </c>
      <c r="H143" s="33">
        <f>J142*(1+N(Debts!$D$6)/1200)</f>
        <v/>
      </c>
      <c r="I143" s="33">
        <f>H143-MIN(N(Debts!$E$6),H143)</f>
        <v/>
      </c>
      <c r="J143" s="33">
        <f>IF(I143&lt;=0.005,0,I143-MIN(I143,MAX(0,$E143-SUMIFS(H143:AK143,$H$5:$AK$5,"Rem",$H$4:$AK$4,"&lt;"&amp;J$4))))</f>
        <v/>
      </c>
      <c r="K143" s="33">
        <f>M142*(1+N(Debts!$D$7)/1200)</f>
        <v/>
      </c>
      <c r="L143" s="33">
        <f>K143-MIN(N(Debts!$E$7),K143)</f>
        <v/>
      </c>
      <c r="M143" s="33">
        <f>IF(L143&lt;=0.005,0,L143-MIN(L143,MAX(0,$E143-SUMIFS(H143:AK143,$H$5:$AK$5,"Rem",$H$4:$AK$4,"&lt;"&amp;M$4))))</f>
        <v/>
      </c>
      <c r="N143" s="33">
        <f>P142*(1+N(Debts!$D$8)/1200)</f>
        <v/>
      </c>
      <c r="O143" s="33">
        <f>N143-MIN(N(Debts!$E$8),N143)</f>
        <v/>
      </c>
      <c r="P143" s="33">
        <f>IF(O143&lt;=0.005,0,O143-MIN(O143,MAX(0,$E143-SUMIFS(H143:AK143,$H$5:$AK$5,"Rem",$H$4:$AK$4,"&lt;"&amp;P$4))))</f>
        <v/>
      </c>
      <c r="Q143" s="33">
        <f>S142*(1+N(Debts!$D$9)/1200)</f>
        <v/>
      </c>
      <c r="R143" s="33">
        <f>Q143-MIN(N(Debts!$E$9),Q143)</f>
        <v/>
      </c>
      <c r="S143" s="33">
        <f>IF(R143&lt;=0.005,0,R143-MIN(R143,MAX(0,$E143-SUMIFS(H143:AK143,$H$5:$AK$5,"Rem",$H$4:$AK$4,"&lt;"&amp;S$4))))</f>
        <v/>
      </c>
      <c r="T143" s="33">
        <f>V142*(1+N(Debts!$D$10)/1200)</f>
        <v/>
      </c>
      <c r="U143" s="33">
        <f>T143-MIN(N(Debts!$E$10),T143)</f>
        <v/>
      </c>
      <c r="V143" s="33">
        <f>IF(U143&lt;=0.005,0,U143-MIN(U143,MAX(0,$E143-SUMIFS(H143:AK143,$H$5:$AK$5,"Rem",$H$4:$AK$4,"&lt;"&amp;V$4))))</f>
        <v/>
      </c>
      <c r="W143" s="33">
        <f>Y142*(1+N(Debts!$D$11)/1200)</f>
        <v/>
      </c>
      <c r="X143" s="33">
        <f>W143-MIN(N(Debts!$E$11),W143)</f>
        <v/>
      </c>
      <c r="Y143" s="33">
        <f>IF(X143&lt;=0.005,0,X143-MIN(X143,MAX(0,$E143-SUMIFS(H143:AK143,$H$5:$AK$5,"Rem",$H$4:$AK$4,"&lt;"&amp;Y$4))))</f>
        <v/>
      </c>
      <c r="Z143" s="33">
        <f>AB142*(1+N(Debts!$D$12)/1200)</f>
        <v/>
      </c>
      <c r="AA143" s="33">
        <f>Z143-MIN(N(Debts!$E$12),Z143)</f>
        <v/>
      </c>
      <c r="AB143" s="33">
        <f>IF(AA143&lt;=0.005,0,AA143-MIN(AA143,MAX(0,$E143-SUMIFS(H143:AK143,$H$5:$AK$5,"Rem",$H$4:$AK$4,"&lt;"&amp;AB$4))))</f>
        <v/>
      </c>
      <c r="AC143" s="33">
        <f>AE142*(1+N(Debts!$D$13)/1200)</f>
        <v/>
      </c>
      <c r="AD143" s="33">
        <f>AC143-MIN(N(Debts!$E$13),AC143)</f>
        <v/>
      </c>
      <c r="AE143" s="33">
        <f>IF(AD143&lt;=0.005,0,AD143-MIN(AD143,MAX(0,$E143-SUMIFS(H143:AK143,$H$5:$AK$5,"Rem",$H$4:$AK$4,"&lt;"&amp;AE$4))))</f>
        <v/>
      </c>
      <c r="AF143" s="33">
        <f>AH142*(1+N(Debts!$D$14)/1200)</f>
        <v/>
      </c>
      <c r="AG143" s="33">
        <f>AF143-MIN(N(Debts!$E$14),AF143)</f>
        <v/>
      </c>
      <c r="AH143" s="33">
        <f>IF(AG143&lt;=0.005,0,AG143-MIN(AG143,MAX(0,$E143-SUMIFS(H143:AK143,$H$5:$AK$5,"Rem",$H$4:$AK$4,"&lt;"&amp;AH$4))))</f>
        <v/>
      </c>
      <c r="AI143" s="33">
        <f>AK142*(1+N(Debts!$D$15)/1200)</f>
        <v/>
      </c>
      <c r="AJ143" s="33">
        <f>AI143-MIN(N(Debts!$E$15),AI143)</f>
        <v/>
      </c>
      <c r="AK143" s="33">
        <f>IF(AJ143&lt;=0.005,0,AJ143-MIN(AJ143,MAX(0,$E143-SUMIFS(H143:AK143,$H$5:$AK$5,"Rem",$H$4:$AK$4,"&lt;"&amp;AK$4))))</f>
        <v/>
      </c>
      <c r="AL143" s="1" t="n"/>
    </row>
    <row r="144">
      <c r="A144" s="1" t="n"/>
      <c r="B144" s="1" t="n">
        <v>137</v>
      </c>
      <c r="C144" s="34">
        <f>EDATE(Debts!$J$13,B144-1)</f>
        <v/>
      </c>
      <c r="D144" s="33">
        <f>IF(G143&lt;=0.005,0,Debts!$E$16+Debts!$J$7)</f>
        <v/>
      </c>
      <c r="E144" s="33">
        <f>MAX(0,D144-(SUMIF($H$5:$AK$5,"Due",H144:AK144)-SUMIF($H$5:$AK$5,"Rem",H144:AK144)))</f>
        <v/>
      </c>
      <c r="F144" s="33">
        <f>SUMIF($H$5:$AK$5,"Due",H144:AK144)-SUMIF($H$5:$AK$5,"Bal",H143:AK143)</f>
        <v/>
      </c>
      <c r="G144" s="33">
        <f>SUMIF($H$5:$AK$5,"Bal",H144:AK144)</f>
        <v/>
      </c>
      <c r="H144" s="33">
        <f>J143*(1+N(Debts!$D$6)/1200)</f>
        <v/>
      </c>
      <c r="I144" s="33">
        <f>H144-MIN(N(Debts!$E$6),H144)</f>
        <v/>
      </c>
      <c r="J144" s="33">
        <f>IF(I144&lt;=0.005,0,I144-MIN(I144,MAX(0,$E144-SUMIFS(H144:AK144,$H$5:$AK$5,"Rem",$H$4:$AK$4,"&lt;"&amp;J$4))))</f>
        <v/>
      </c>
      <c r="K144" s="33">
        <f>M143*(1+N(Debts!$D$7)/1200)</f>
        <v/>
      </c>
      <c r="L144" s="33">
        <f>K144-MIN(N(Debts!$E$7),K144)</f>
        <v/>
      </c>
      <c r="M144" s="33">
        <f>IF(L144&lt;=0.005,0,L144-MIN(L144,MAX(0,$E144-SUMIFS(H144:AK144,$H$5:$AK$5,"Rem",$H$4:$AK$4,"&lt;"&amp;M$4))))</f>
        <v/>
      </c>
      <c r="N144" s="33">
        <f>P143*(1+N(Debts!$D$8)/1200)</f>
        <v/>
      </c>
      <c r="O144" s="33">
        <f>N144-MIN(N(Debts!$E$8),N144)</f>
        <v/>
      </c>
      <c r="P144" s="33">
        <f>IF(O144&lt;=0.005,0,O144-MIN(O144,MAX(0,$E144-SUMIFS(H144:AK144,$H$5:$AK$5,"Rem",$H$4:$AK$4,"&lt;"&amp;P$4))))</f>
        <v/>
      </c>
      <c r="Q144" s="33">
        <f>S143*(1+N(Debts!$D$9)/1200)</f>
        <v/>
      </c>
      <c r="R144" s="33">
        <f>Q144-MIN(N(Debts!$E$9),Q144)</f>
        <v/>
      </c>
      <c r="S144" s="33">
        <f>IF(R144&lt;=0.005,0,R144-MIN(R144,MAX(0,$E144-SUMIFS(H144:AK144,$H$5:$AK$5,"Rem",$H$4:$AK$4,"&lt;"&amp;S$4))))</f>
        <v/>
      </c>
      <c r="T144" s="33">
        <f>V143*(1+N(Debts!$D$10)/1200)</f>
        <v/>
      </c>
      <c r="U144" s="33">
        <f>T144-MIN(N(Debts!$E$10),T144)</f>
        <v/>
      </c>
      <c r="V144" s="33">
        <f>IF(U144&lt;=0.005,0,U144-MIN(U144,MAX(0,$E144-SUMIFS(H144:AK144,$H$5:$AK$5,"Rem",$H$4:$AK$4,"&lt;"&amp;V$4))))</f>
        <v/>
      </c>
      <c r="W144" s="33">
        <f>Y143*(1+N(Debts!$D$11)/1200)</f>
        <v/>
      </c>
      <c r="X144" s="33">
        <f>W144-MIN(N(Debts!$E$11),W144)</f>
        <v/>
      </c>
      <c r="Y144" s="33">
        <f>IF(X144&lt;=0.005,0,X144-MIN(X144,MAX(0,$E144-SUMIFS(H144:AK144,$H$5:$AK$5,"Rem",$H$4:$AK$4,"&lt;"&amp;Y$4))))</f>
        <v/>
      </c>
      <c r="Z144" s="33">
        <f>AB143*(1+N(Debts!$D$12)/1200)</f>
        <v/>
      </c>
      <c r="AA144" s="33">
        <f>Z144-MIN(N(Debts!$E$12),Z144)</f>
        <v/>
      </c>
      <c r="AB144" s="33">
        <f>IF(AA144&lt;=0.005,0,AA144-MIN(AA144,MAX(0,$E144-SUMIFS(H144:AK144,$H$5:$AK$5,"Rem",$H$4:$AK$4,"&lt;"&amp;AB$4))))</f>
        <v/>
      </c>
      <c r="AC144" s="33">
        <f>AE143*(1+N(Debts!$D$13)/1200)</f>
        <v/>
      </c>
      <c r="AD144" s="33">
        <f>AC144-MIN(N(Debts!$E$13),AC144)</f>
        <v/>
      </c>
      <c r="AE144" s="33">
        <f>IF(AD144&lt;=0.005,0,AD144-MIN(AD144,MAX(0,$E144-SUMIFS(H144:AK144,$H$5:$AK$5,"Rem",$H$4:$AK$4,"&lt;"&amp;AE$4))))</f>
        <v/>
      </c>
      <c r="AF144" s="33">
        <f>AH143*(1+N(Debts!$D$14)/1200)</f>
        <v/>
      </c>
      <c r="AG144" s="33">
        <f>AF144-MIN(N(Debts!$E$14),AF144)</f>
        <v/>
      </c>
      <c r="AH144" s="33">
        <f>IF(AG144&lt;=0.005,0,AG144-MIN(AG144,MAX(0,$E144-SUMIFS(H144:AK144,$H$5:$AK$5,"Rem",$H$4:$AK$4,"&lt;"&amp;AH$4))))</f>
        <v/>
      </c>
      <c r="AI144" s="33">
        <f>AK143*(1+N(Debts!$D$15)/1200)</f>
        <v/>
      </c>
      <c r="AJ144" s="33">
        <f>AI144-MIN(N(Debts!$E$15),AI144)</f>
        <v/>
      </c>
      <c r="AK144" s="33">
        <f>IF(AJ144&lt;=0.005,0,AJ144-MIN(AJ144,MAX(0,$E144-SUMIFS(H144:AK144,$H$5:$AK$5,"Rem",$H$4:$AK$4,"&lt;"&amp;AK$4))))</f>
        <v/>
      </c>
      <c r="AL144" s="1" t="n"/>
    </row>
    <row r="145">
      <c r="A145" s="1" t="n"/>
      <c r="B145" s="1" t="n">
        <v>138</v>
      </c>
      <c r="C145" s="34">
        <f>EDATE(Debts!$J$13,B145-1)</f>
        <v/>
      </c>
      <c r="D145" s="33">
        <f>IF(G144&lt;=0.005,0,Debts!$E$16+Debts!$J$7)</f>
        <v/>
      </c>
      <c r="E145" s="33">
        <f>MAX(0,D145-(SUMIF($H$5:$AK$5,"Due",H145:AK145)-SUMIF($H$5:$AK$5,"Rem",H145:AK145)))</f>
        <v/>
      </c>
      <c r="F145" s="33">
        <f>SUMIF($H$5:$AK$5,"Due",H145:AK145)-SUMIF($H$5:$AK$5,"Bal",H144:AK144)</f>
        <v/>
      </c>
      <c r="G145" s="33">
        <f>SUMIF($H$5:$AK$5,"Bal",H145:AK145)</f>
        <v/>
      </c>
      <c r="H145" s="33">
        <f>J144*(1+N(Debts!$D$6)/1200)</f>
        <v/>
      </c>
      <c r="I145" s="33">
        <f>H145-MIN(N(Debts!$E$6),H145)</f>
        <v/>
      </c>
      <c r="J145" s="33">
        <f>IF(I145&lt;=0.005,0,I145-MIN(I145,MAX(0,$E145-SUMIFS(H145:AK145,$H$5:$AK$5,"Rem",$H$4:$AK$4,"&lt;"&amp;J$4))))</f>
        <v/>
      </c>
      <c r="K145" s="33">
        <f>M144*(1+N(Debts!$D$7)/1200)</f>
        <v/>
      </c>
      <c r="L145" s="33">
        <f>K145-MIN(N(Debts!$E$7),K145)</f>
        <v/>
      </c>
      <c r="M145" s="33">
        <f>IF(L145&lt;=0.005,0,L145-MIN(L145,MAX(0,$E145-SUMIFS(H145:AK145,$H$5:$AK$5,"Rem",$H$4:$AK$4,"&lt;"&amp;M$4))))</f>
        <v/>
      </c>
      <c r="N145" s="33">
        <f>P144*(1+N(Debts!$D$8)/1200)</f>
        <v/>
      </c>
      <c r="O145" s="33">
        <f>N145-MIN(N(Debts!$E$8),N145)</f>
        <v/>
      </c>
      <c r="P145" s="33">
        <f>IF(O145&lt;=0.005,0,O145-MIN(O145,MAX(0,$E145-SUMIFS(H145:AK145,$H$5:$AK$5,"Rem",$H$4:$AK$4,"&lt;"&amp;P$4))))</f>
        <v/>
      </c>
      <c r="Q145" s="33">
        <f>S144*(1+N(Debts!$D$9)/1200)</f>
        <v/>
      </c>
      <c r="R145" s="33">
        <f>Q145-MIN(N(Debts!$E$9),Q145)</f>
        <v/>
      </c>
      <c r="S145" s="33">
        <f>IF(R145&lt;=0.005,0,R145-MIN(R145,MAX(0,$E145-SUMIFS(H145:AK145,$H$5:$AK$5,"Rem",$H$4:$AK$4,"&lt;"&amp;S$4))))</f>
        <v/>
      </c>
      <c r="T145" s="33">
        <f>V144*(1+N(Debts!$D$10)/1200)</f>
        <v/>
      </c>
      <c r="U145" s="33">
        <f>T145-MIN(N(Debts!$E$10),T145)</f>
        <v/>
      </c>
      <c r="V145" s="33">
        <f>IF(U145&lt;=0.005,0,U145-MIN(U145,MAX(0,$E145-SUMIFS(H145:AK145,$H$5:$AK$5,"Rem",$H$4:$AK$4,"&lt;"&amp;V$4))))</f>
        <v/>
      </c>
      <c r="W145" s="33">
        <f>Y144*(1+N(Debts!$D$11)/1200)</f>
        <v/>
      </c>
      <c r="X145" s="33">
        <f>W145-MIN(N(Debts!$E$11),W145)</f>
        <v/>
      </c>
      <c r="Y145" s="33">
        <f>IF(X145&lt;=0.005,0,X145-MIN(X145,MAX(0,$E145-SUMIFS(H145:AK145,$H$5:$AK$5,"Rem",$H$4:$AK$4,"&lt;"&amp;Y$4))))</f>
        <v/>
      </c>
      <c r="Z145" s="33">
        <f>AB144*(1+N(Debts!$D$12)/1200)</f>
        <v/>
      </c>
      <c r="AA145" s="33">
        <f>Z145-MIN(N(Debts!$E$12),Z145)</f>
        <v/>
      </c>
      <c r="AB145" s="33">
        <f>IF(AA145&lt;=0.005,0,AA145-MIN(AA145,MAX(0,$E145-SUMIFS(H145:AK145,$H$5:$AK$5,"Rem",$H$4:$AK$4,"&lt;"&amp;AB$4))))</f>
        <v/>
      </c>
      <c r="AC145" s="33">
        <f>AE144*(1+N(Debts!$D$13)/1200)</f>
        <v/>
      </c>
      <c r="AD145" s="33">
        <f>AC145-MIN(N(Debts!$E$13),AC145)</f>
        <v/>
      </c>
      <c r="AE145" s="33">
        <f>IF(AD145&lt;=0.005,0,AD145-MIN(AD145,MAX(0,$E145-SUMIFS(H145:AK145,$H$5:$AK$5,"Rem",$H$4:$AK$4,"&lt;"&amp;AE$4))))</f>
        <v/>
      </c>
      <c r="AF145" s="33">
        <f>AH144*(1+N(Debts!$D$14)/1200)</f>
        <v/>
      </c>
      <c r="AG145" s="33">
        <f>AF145-MIN(N(Debts!$E$14),AF145)</f>
        <v/>
      </c>
      <c r="AH145" s="33">
        <f>IF(AG145&lt;=0.005,0,AG145-MIN(AG145,MAX(0,$E145-SUMIFS(H145:AK145,$H$5:$AK$5,"Rem",$H$4:$AK$4,"&lt;"&amp;AH$4))))</f>
        <v/>
      </c>
      <c r="AI145" s="33">
        <f>AK144*(1+N(Debts!$D$15)/1200)</f>
        <v/>
      </c>
      <c r="AJ145" s="33">
        <f>AI145-MIN(N(Debts!$E$15),AI145)</f>
        <v/>
      </c>
      <c r="AK145" s="33">
        <f>IF(AJ145&lt;=0.005,0,AJ145-MIN(AJ145,MAX(0,$E145-SUMIFS(H145:AK145,$H$5:$AK$5,"Rem",$H$4:$AK$4,"&lt;"&amp;AK$4))))</f>
        <v/>
      </c>
      <c r="AL145" s="1" t="n"/>
    </row>
    <row r="146">
      <c r="A146" s="1" t="n"/>
      <c r="B146" s="1" t="n">
        <v>139</v>
      </c>
      <c r="C146" s="34">
        <f>EDATE(Debts!$J$13,B146-1)</f>
        <v/>
      </c>
      <c r="D146" s="33">
        <f>IF(G145&lt;=0.005,0,Debts!$E$16+Debts!$J$7)</f>
        <v/>
      </c>
      <c r="E146" s="33">
        <f>MAX(0,D146-(SUMIF($H$5:$AK$5,"Due",H146:AK146)-SUMIF($H$5:$AK$5,"Rem",H146:AK146)))</f>
        <v/>
      </c>
      <c r="F146" s="33">
        <f>SUMIF($H$5:$AK$5,"Due",H146:AK146)-SUMIF($H$5:$AK$5,"Bal",H145:AK145)</f>
        <v/>
      </c>
      <c r="G146" s="33">
        <f>SUMIF($H$5:$AK$5,"Bal",H146:AK146)</f>
        <v/>
      </c>
      <c r="H146" s="33">
        <f>J145*(1+N(Debts!$D$6)/1200)</f>
        <v/>
      </c>
      <c r="I146" s="33">
        <f>H146-MIN(N(Debts!$E$6),H146)</f>
        <v/>
      </c>
      <c r="J146" s="33">
        <f>IF(I146&lt;=0.005,0,I146-MIN(I146,MAX(0,$E146-SUMIFS(H146:AK146,$H$5:$AK$5,"Rem",$H$4:$AK$4,"&lt;"&amp;J$4))))</f>
        <v/>
      </c>
      <c r="K146" s="33">
        <f>M145*(1+N(Debts!$D$7)/1200)</f>
        <v/>
      </c>
      <c r="L146" s="33">
        <f>K146-MIN(N(Debts!$E$7),K146)</f>
        <v/>
      </c>
      <c r="M146" s="33">
        <f>IF(L146&lt;=0.005,0,L146-MIN(L146,MAX(0,$E146-SUMIFS(H146:AK146,$H$5:$AK$5,"Rem",$H$4:$AK$4,"&lt;"&amp;M$4))))</f>
        <v/>
      </c>
      <c r="N146" s="33">
        <f>P145*(1+N(Debts!$D$8)/1200)</f>
        <v/>
      </c>
      <c r="O146" s="33">
        <f>N146-MIN(N(Debts!$E$8),N146)</f>
        <v/>
      </c>
      <c r="P146" s="33">
        <f>IF(O146&lt;=0.005,0,O146-MIN(O146,MAX(0,$E146-SUMIFS(H146:AK146,$H$5:$AK$5,"Rem",$H$4:$AK$4,"&lt;"&amp;P$4))))</f>
        <v/>
      </c>
      <c r="Q146" s="33">
        <f>S145*(1+N(Debts!$D$9)/1200)</f>
        <v/>
      </c>
      <c r="R146" s="33">
        <f>Q146-MIN(N(Debts!$E$9),Q146)</f>
        <v/>
      </c>
      <c r="S146" s="33">
        <f>IF(R146&lt;=0.005,0,R146-MIN(R146,MAX(0,$E146-SUMIFS(H146:AK146,$H$5:$AK$5,"Rem",$H$4:$AK$4,"&lt;"&amp;S$4))))</f>
        <v/>
      </c>
      <c r="T146" s="33">
        <f>V145*(1+N(Debts!$D$10)/1200)</f>
        <v/>
      </c>
      <c r="U146" s="33">
        <f>T146-MIN(N(Debts!$E$10),T146)</f>
        <v/>
      </c>
      <c r="V146" s="33">
        <f>IF(U146&lt;=0.005,0,U146-MIN(U146,MAX(0,$E146-SUMIFS(H146:AK146,$H$5:$AK$5,"Rem",$H$4:$AK$4,"&lt;"&amp;V$4))))</f>
        <v/>
      </c>
      <c r="W146" s="33">
        <f>Y145*(1+N(Debts!$D$11)/1200)</f>
        <v/>
      </c>
      <c r="X146" s="33">
        <f>W146-MIN(N(Debts!$E$11),W146)</f>
        <v/>
      </c>
      <c r="Y146" s="33">
        <f>IF(X146&lt;=0.005,0,X146-MIN(X146,MAX(0,$E146-SUMIFS(H146:AK146,$H$5:$AK$5,"Rem",$H$4:$AK$4,"&lt;"&amp;Y$4))))</f>
        <v/>
      </c>
      <c r="Z146" s="33">
        <f>AB145*(1+N(Debts!$D$12)/1200)</f>
        <v/>
      </c>
      <c r="AA146" s="33">
        <f>Z146-MIN(N(Debts!$E$12),Z146)</f>
        <v/>
      </c>
      <c r="AB146" s="33">
        <f>IF(AA146&lt;=0.005,0,AA146-MIN(AA146,MAX(0,$E146-SUMIFS(H146:AK146,$H$5:$AK$5,"Rem",$H$4:$AK$4,"&lt;"&amp;AB$4))))</f>
        <v/>
      </c>
      <c r="AC146" s="33">
        <f>AE145*(1+N(Debts!$D$13)/1200)</f>
        <v/>
      </c>
      <c r="AD146" s="33">
        <f>AC146-MIN(N(Debts!$E$13),AC146)</f>
        <v/>
      </c>
      <c r="AE146" s="33">
        <f>IF(AD146&lt;=0.005,0,AD146-MIN(AD146,MAX(0,$E146-SUMIFS(H146:AK146,$H$5:$AK$5,"Rem",$H$4:$AK$4,"&lt;"&amp;AE$4))))</f>
        <v/>
      </c>
      <c r="AF146" s="33">
        <f>AH145*(1+N(Debts!$D$14)/1200)</f>
        <v/>
      </c>
      <c r="AG146" s="33">
        <f>AF146-MIN(N(Debts!$E$14),AF146)</f>
        <v/>
      </c>
      <c r="AH146" s="33">
        <f>IF(AG146&lt;=0.005,0,AG146-MIN(AG146,MAX(0,$E146-SUMIFS(H146:AK146,$H$5:$AK$5,"Rem",$H$4:$AK$4,"&lt;"&amp;AH$4))))</f>
        <v/>
      </c>
      <c r="AI146" s="33">
        <f>AK145*(1+N(Debts!$D$15)/1200)</f>
        <v/>
      </c>
      <c r="AJ146" s="33">
        <f>AI146-MIN(N(Debts!$E$15),AI146)</f>
        <v/>
      </c>
      <c r="AK146" s="33">
        <f>IF(AJ146&lt;=0.005,0,AJ146-MIN(AJ146,MAX(0,$E146-SUMIFS(H146:AK146,$H$5:$AK$5,"Rem",$H$4:$AK$4,"&lt;"&amp;AK$4))))</f>
        <v/>
      </c>
      <c r="AL146" s="1" t="n"/>
    </row>
    <row r="147">
      <c r="A147" s="1" t="n"/>
      <c r="B147" s="1" t="n">
        <v>140</v>
      </c>
      <c r="C147" s="34">
        <f>EDATE(Debts!$J$13,B147-1)</f>
        <v/>
      </c>
      <c r="D147" s="33">
        <f>IF(G146&lt;=0.005,0,Debts!$E$16+Debts!$J$7)</f>
        <v/>
      </c>
      <c r="E147" s="33">
        <f>MAX(0,D147-(SUMIF($H$5:$AK$5,"Due",H147:AK147)-SUMIF($H$5:$AK$5,"Rem",H147:AK147)))</f>
        <v/>
      </c>
      <c r="F147" s="33">
        <f>SUMIF($H$5:$AK$5,"Due",H147:AK147)-SUMIF($H$5:$AK$5,"Bal",H146:AK146)</f>
        <v/>
      </c>
      <c r="G147" s="33">
        <f>SUMIF($H$5:$AK$5,"Bal",H147:AK147)</f>
        <v/>
      </c>
      <c r="H147" s="33">
        <f>J146*(1+N(Debts!$D$6)/1200)</f>
        <v/>
      </c>
      <c r="I147" s="33">
        <f>H147-MIN(N(Debts!$E$6),H147)</f>
        <v/>
      </c>
      <c r="J147" s="33">
        <f>IF(I147&lt;=0.005,0,I147-MIN(I147,MAX(0,$E147-SUMIFS(H147:AK147,$H$5:$AK$5,"Rem",$H$4:$AK$4,"&lt;"&amp;J$4))))</f>
        <v/>
      </c>
      <c r="K147" s="33">
        <f>M146*(1+N(Debts!$D$7)/1200)</f>
        <v/>
      </c>
      <c r="L147" s="33">
        <f>K147-MIN(N(Debts!$E$7),K147)</f>
        <v/>
      </c>
      <c r="M147" s="33">
        <f>IF(L147&lt;=0.005,0,L147-MIN(L147,MAX(0,$E147-SUMIFS(H147:AK147,$H$5:$AK$5,"Rem",$H$4:$AK$4,"&lt;"&amp;M$4))))</f>
        <v/>
      </c>
      <c r="N147" s="33">
        <f>P146*(1+N(Debts!$D$8)/1200)</f>
        <v/>
      </c>
      <c r="O147" s="33">
        <f>N147-MIN(N(Debts!$E$8),N147)</f>
        <v/>
      </c>
      <c r="P147" s="33">
        <f>IF(O147&lt;=0.005,0,O147-MIN(O147,MAX(0,$E147-SUMIFS(H147:AK147,$H$5:$AK$5,"Rem",$H$4:$AK$4,"&lt;"&amp;P$4))))</f>
        <v/>
      </c>
      <c r="Q147" s="33">
        <f>S146*(1+N(Debts!$D$9)/1200)</f>
        <v/>
      </c>
      <c r="R147" s="33">
        <f>Q147-MIN(N(Debts!$E$9),Q147)</f>
        <v/>
      </c>
      <c r="S147" s="33">
        <f>IF(R147&lt;=0.005,0,R147-MIN(R147,MAX(0,$E147-SUMIFS(H147:AK147,$H$5:$AK$5,"Rem",$H$4:$AK$4,"&lt;"&amp;S$4))))</f>
        <v/>
      </c>
      <c r="T147" s="33">
        <f>V146*(1+N(Debts!$D$10)/1200)</f>
        <v/>
      </c>
      <c r="U147" s="33">
        <f>T147-MIN(N(Debts!$E$10),T147)</f>
        <v/>
      </c>
      <c r="V147" s="33">
        <f>IF(U147&lt;=0.005,0,U147-MIN(U147,MAX(0,$E147-SUMIFS(H147:AK147,$H$5:$AK$5,"Rem",$H$4:$AK$4,"&lt;"&amp;V$4))))</f>
        <v/>
      </c>
      <c r="W147" s="33">
        <f>Y146*(1+N(Debts!$D$11)/1200)</f>
        <v/>
      </c>
      <c r="X147" s="33">
        <f>W147-MIN(N(Debts!$E$11),W147)</f>
        <v/>
      </c>
      <c r="Y147" s="33">
        <f>IF(X147&lt;=0.005,0,X147-MIN(X147,MAX(0,$E147-SUMIFS(H147:AK147,$H$5:$AK$5,"Rem",$H$4:$AK$4,"&lt;"&amp;Y$4))))</f>
        <v/>
      </c>
      <c r="Z147" s="33">
        <f>AB146*(1+N(Debts!$D$12)/1200)</f>
        <v/>
      </c>
      <c r="AA147" s="33">
        <f>Z147-MIN(N(Debts!$E$12),Z147)</f>
        <v/>
      </c>
      <c r="AB147" s="33">
        <f>IF(AA147&lt;=0.005,0,AA147-MIN(AA147,MAX(0,$E147-SUMIFS(H147:AK147,$H$5:$AK$5,"Rem",$H$4:$AK$4,"&lt;"&amp;AB$4))))</f>
        <v/>
      </c>
      <c r="AC147" s="33">
        <f>AE146*(1+N(Debts!$D$13)/1200)</f>
        <v/>
      </c>
      <c r="AD147" s="33">
        <f>AC147-MIN(N(Debts!$E$13),AC147)</f>
        <v/>
      </c>
      <c r="AE147" s="33">
        <f>IF(AD147&lt;=0.005,0,AD147-MIN(AD147,MAX(0,$E147-SUMIFS(H147:AK147,$H$5:$AK$5,"Rem",$H$4:$AK$4,"&lt;"&amp;AE$4))))</f>
        <v/>
      </c>
      <c r="AF147" s="33">
        <f>AH146*(1+N(Debts!$D$14)/1200)</f>
        <v/>
      </c>
      <c r="AG147" s="33">
        <f>AF147-MIN(N(Debts!$E$14),AF147)</f>
        <v/>
      </c>
      <c r="AH147" s="33">
        <f>IF(AG147&lt;=0.005,0,AG147-MIN(AG147,MAX(0,$E147-SUMIFS(H147:AK147,$H$5:$AK$5,"Rem",$H$4:$AK$4,"&lt;"&amp;AH$4))))</f>
        <v/>
      </c>
      <c r="AI147" s="33">
        <f>AK146*(1+N(Debts!$D$15)/1200)</f>
        <v/>
      </c>
      <c r="AJ147" s="33">
        <f>AI147-MIN(N(Debts!$E$15),AI147)</f>
        <v/>
      </c>
      <c r="AK147" s="33">
        <f>IF(AJ147&lt;=0.005,0,AJ147-MIN(AJ147,MAX(0,$E147-SUMIFS(H147:AK147,$H$5:$AK$5,"Rem",$H$4:$AK$4,"&lt;"&amp;AK$4))))</f>
        <v/>
      </c>
      <c r="AL147" s="1" t="n"/>
    </row>
    <row r="148">
      <c r="A148" s="1" t="n"/>
      <c r="B148" s="1" t="n">
        <v>141</v>
      </c>
      <c r="C148" s="34">
        <f>EDATE(Debts!$J$13,B148-1)</f>
        <v/>
      </c>
      <c r="D148" s="33">
        <f>IF(G147&lt;=0.005,0,Debts!$E$16+Debts!$J$7)</f>
        <v/>
      </c>
      <c r="E148" s="33">
        <f>MAX(0,D148-(SUMIF($H$5:$AK$5,"Due",H148:AK148)-SUMIF($H$5:$AK$5,"Rem",H148:AK148)))</f>
        <v/>
      </c>
      <c r="F148" s="33">
        <f>SUMIF($H$5:$AK$5,"Due",H148:AK148)-SUMIF($H$5:$AK$5,"Bal",H147:AK147)</f>
        <v/>
      </c>
      <c r="G148" s="33">
        <f>SUMIF($H$5:$AK$5,"Bal",H148:AK148)</f>
        <v/>
      </c>
      <c r="H148" s="33">
        <f>J147*(1+N(Debts!$D$6)/1200)</f>
        <v/>
      </c>
      <c r="I148" s="33">
        <f>H148-MIN(N(Debts!$E$6),H148)</f>
        <v/>
      </c>
      <c r="J148" s="33">
        <f>IF(I148&lt;=0.005,0,I148-MIN(I148,MAX(0,$E148-SUMIFS(H148:AK148,$H$5:$AK$5,"Rem",$H$4:$AK$4,"&lt;"&amp;J$4))))</f>
        <v/>
      </c>
      <c r="K148" s="33">
        <f>M147*(1+N(Debts!$D$7)/1200)</f>
        <v/>
      </c>
      <c r="L148" s="33">
        <f>K148-MIN(N(Debts!$E$7),K148)</f>
        <v/>
      </c>
      <c r="M148" s="33">
        <f>IF(L148&lt;=0.005,0,L148-MIN(L148,MAX(0,$E148-SUMIFS(H148:AK148,$H$5:$AK$5,"Rem",$H$4:$AK$4,"&lt;"&amp;M$4))))</f>
        <v/>
      </c>
      <c r="N148" s="33">
        <f>P147*(1+N(Debts!$D$8)/1200)</f>
        <v/>
      </c>
      <c r="O148" s="33">
        <f>N148-MIN(N(Debts!$E$8),N148)</f>
        <v/>
      </c>
      <c r="P148" s="33">
        <f>IF(O148&lt;=0.005,0,O148-MIN(O148,MAX(0,$E148-SUMIFS(H148:AK148,$H$5:$AK$5,"Rem",$H$4:$AK$4,"&lt;"&amp;P$4))))</f>
        <v/>
      </c>
      <c r="Q148" s="33">
        <f>S147*(1+N(Debts!$D$9)/1200)</f>
        <v/>
      </c>
      <c r="R148" s="33">
        <f>Q148-MIN(N(Debts!$E$9),Q148)</f>
        <v/>
      </c>
      <c r="S148" s="33">
        <f>IF(R148&lt;=0.005,0,R148-MIN(R148,MAX(0,$E148-SUMIFS(H148:AK148,$H$5:$AK$5,"Rem",$H$4:$AK$4,"&lt;"&amp;S$4))))</f>
        <v/>
      </c>
      <c r="T148" s="33">
        <f>V147*(1+N(Debts!$D$10)/1200)</f>
        <v/>
      </c>
      <c r="U148" s="33">
        <f>T148-MIN(N(Debts!$E$10),T148)</f>
        <v/>
      </c>
      <c r="V148" s="33">
        <f>IF(U148&lt;=0.005,0,U148-MIN(U148,MAX(0,$E148-SUMIFS(H148:AK148,$H$5:$AK$5,"Rem",$H$4:$AK$4,"&lt;"&amp;V$4))))</f>
        <v/>
      </c>
      <c r="W148" s="33">
        <f>Y147*(1+N(Debts!$D$11)/1200)</f>
        <v/>
      </c>
      <c r="X148" s="33">
        <f>W148-MIN(N(Debts!$E$11),W148)</f>
        <v/>
      </c>
      <c r="Y148" s="33">
        <f>IF(X148&lt;=0.005,0,X148-MIN(X148,MAX(0,$E148-SUMIFS(H148:AK148,$H$5:$AK$5,"Rem",$H$4:$AK$4,"&lt;"&amp;Y$4))))</f>
        <v/>
      </c>
      <c r="Z148" s="33">
        <f>AB147*(1+N(Debts!$D$12)/1200)</f>
        <v/>
      </c>
      <c r="AA148" s="33">
        <f>Z148-MIN(N(Debts!$E$12),Z148)</f>
        <v/>
      </c>
      <c r="AB148" s="33">
        <f>IF(AA148&lt;=0.005,0,AA148-MIN(AA148,MAX(0,$E148-SUMIFS(H148:AK148,$H$5:$AK$5,"Rem",$H$4:$AK$4,"&lt;"&amp;AB$4))))</f>
        <v/>
      </c>
      <c r="AC148" s="33">
        <f>AE147*(1+N(Debts!$D$13)/1200)</f>
        <v/>
      </c>
      <c r="AD148" s="33">
        <f>AC148-MIN(N(Debts!$E$13),AC148)</f>
        <v/>
      </c>
      <c r="AE148" s="33">
        <f>IF(AD148&lt;=0.005,0,AD148-MIN(AD148,MAX(0,$E148-SUMIFS(H148:AK148,$H$5:$AK$5,"Rem",$H$4:$AK$4,"&lt;"&amp;AE$4))))</f>
        <v/>
      </c>
      <c r="AF148" s="33">
        <f>AH147*(1+N(Debts!$D$14)/1200)</f>
        <v/>
      </c>
      <c r="AG148" s="33">
        <f>AF148-MIN(N(Debts!$E$14),AF148)</f>
        <v/>
      </c>
      <c r="AH148" s="33">
        <f>IF(AG148&lt;=0.005,0,AG148-MIN(AG148,MAX(0,$E148-SUMIFS(H148:AK148,$H$5:$AK$5,"Rem",$H$4:$AK$4,"&lt;"&amp;AH$4))))</f>
        <v/>
      </c>
      <c r="AI148" s="33">
        <f>AK147*(1+N(Debts!$D$15)/1200)</f>
        <v/>
      </c>
      <c r="AJ148" s="33">
        <f>AI148-MIN(N(Debts!$E$15),AI148)</f>
        <v/>
      </c>
      <c r="AK148" s="33">
        <f>IF(AJ148&lt;=0.005,0,AJ148-MIN(AJ148,MAX(0,$E148-SUMIFS(H148:AK148,$H$5:$AK$5,"Rem",$H$4:$AK$4,"&lt;"&amp;AK$4))))</f>
        <v/>
      </c>
      <c r="AL148" s="1" t="n"/>
    </row>
    <row r="149">
      <c r="A149" s="1" t="n"/>
      <c r="B149" s="1" t="n">
        <v>142</v>
      </c>
      <c r="C149" s="34">
        <f>EDATE(Debts!$J$13,B149-1)</f>
        <v/>
      </c>
      <c r="D149" s="33">
        <f>IF(G148&lt;=0.005,0,Debts!$E$16+Debts!$J$7)</f>
        <v/>
      </c>
      <c r="E149" s="33">
        <f>MAX(0,D149-(SUMIF($H$5:$AK$5,"Due",H149:AK149)-SUMIF($H$5:$AK$5,"Rem",H149:AK149)))</f>
        <v/>
      </c>
      <c r="F149" s="33">
        <f>SUMIF($H$5:$AK$5,"Due",H149:AK149)-SUMIF($H$5:$AK$5,"Bal",H148:AK148)</f>
        <v/>
      </c>
      <c r="G149" s="33">
        <f>SUMIF($H$5:$AK$5,"Bal",H149:AK149)</f>
        <v/>
      </c>
      <c r="H149" s="33">
        <f>J148*(1+N(Debts!$D$6)/1200)</f>
        <v/>
      </c>
      <c r="I149" s="33">
        <f>H149-MIN(N(Debts!$E$6),H149)</f>
        <v/>
      </c>
      <c r="J149" s="33">
        <f>IF(I149&lt;=0.005,0,I149-MIN(I149,MAX(0,$E149-SUMIFS(H149:AK149,$H$5:$AK$5,"Rem",$H$4:$AK$4,"&lt;"&amp;J$4))))</f>
        <v/>
      </c>
      <c r="K149" s="33">
        <f>M148*(1+N(Debts!$D$7)/1200)</f>
        <v/>
      </c>
      <c r="L149" s="33">
        <f>K149-MIN(N(Debts!$E$7),K149)</f>
        <v/>
      </c>
      <c r="M149" s="33">
        <f>IF(L149&lt;=0.005,0,L149-MIN(L149,MAX(0,$E149-SUMIFS(H149:AK149,$H$5:$AK$5,"Rem",$H$4:$AK$4,"&lt;"&amp;M$4))))</f>
        <v/>
      </c>
      <c r="N149" s="33">
        <f>P148*(1+N(Debts!$D$8)/1200)</f>
        <v/>
      </c>
      <c r="O149" s="33">
        <f>N149-MIN(N(Debts!$E$8),N149)</f>
        <v/>
      </c>
      <c r="P149" s="33">
        <f>IF(O149&lt;=0.005,0,O149-MIN(O149,MAX(0,$E149-SUMIFS(H149:AK149,$H$5:$AK$5,"Rem",$H$4:$AK$4,"&lt;"&amp;P$4))))</f>
        <v/>
      </c>
      <c r="Q149" s="33">
        <f>S148*(1+N(Debts!$D$9)/1200)</f>
        <v/>
      </c>
      <c r="R149" s="33">
        <f>Q149-MIN(N(Debts!$E$9),Q149)</f>
        <v/>
      </c>
      <c r="S149" s="33">
        <f>IF(R149&lt;=0.005,0,R149-MIN(R149,MAX(0,$E149-SUMIFS(H149:AK149,$H$5:$AK$5,"Rem",$H$4:$AK$4,"&lt;"&amp;S$4))))</f>
        <v/>
      </c>
      <c r="T149" s="33">
        <f>V148*(1+N(Debts!$D$10)/1200)</f>
        <v/>
      </c>
      <c r="U149" s="33">
        <f>T149-MIN(N(Debts!$E$10),T149)</f>
        <v/>
      </c>
      <c r="V149" s="33">
        <f>IF(U149&lt;=0.005,0,U149-MIN(U149,MAX(0,$E149-SUMIFS(H149:AK149,$H$5:$AK$5,"Rem",$H$4:$AK$4,"&lt;"&amp;V$4))))</f>
        <v/>
      </c>
      <c r="W149" s="33">
        <f>Y148*(1+N(Debts!$D$11)/1200)</f>
        <v/>
      </c>
      <c r="X149" s="33">
        <f>W149-MIN(N(Debts!$E$11),W149)</f>
        <v/>
      </c>
      <c r="Y149" s="33">
        <f>IF(X149&lt;=0.005,0,X149-MIN(X149,MAX(0,$E149-SUMIFS(H149:AK149,$H$5:$AK$5,"Rem",$H$4:$AK$4,"&lt;"&amp;Y$4))))</f>
        <v/>
      </c>
      <c r="Z149" s="33">
        <f>AB148*(1+N(Debts!$D$12)/1200)</f>
        <v/>
      </c>
      <c r="AA149" s="33">
        <f>Z149-MIN(N(Debts!$E$12),Z149)</f>
        <v/>
      </c>
      <c r="AB149" s="33">
        <f>IF(AA149&lt;=0.005,0,AA149-MIN(AA149,MAX(0,$E149-SUMIFS(H149:AK149,$H$5:$AK$5,"Rem",$H$4:$AK$4,"&lt;"&amp;AB$4))))</f>
        <v/>
      </c>
      <c r="AC149" s="33">
        <f>AE148*(1+N(Debts!$D$13)/1200)</f>
        <v/>
      </c>
      <c r="AD149" s="33">
        <f>AC149-MIN(N(Debts!$E$13),AC149)</f>
        <v/>
      </c>
      <c r="AE149" s="33">
        <f>IF(AD149&lt;=0.005,0,AD149-MIN(AD149,MAX(0,$E149-SUMIFS(H149:AK149,$H$5:$AK$5,"Rem",$H$4:$AK$4,"&lt;"&amp;AE$4))))</f>
        <v/>
      </c>
      <c r="AF149" s="33">
        <f>AH148*(1+N(Debts!$D$14)/1200)</f>
        <v/>
      </c>
      <c r="AG149" s="33">
        <f>AF149-MIN(N(Debts!$E$14),AF149)</f>
        <v/>
      </c>
      <c r="AH149" s="33">
        <f>IF(AG149&lt;=0.005,0,AG149-MIN(AG149,MAX(0,$E149-SUMIFS(H149:AK149,$H$5:$AK$5,"Rem",$H$4:$AK$4,"&lt;"&amp;AH$4))))</f>
        <v/>
      </c>
      <c r="AI149" s="33">
        <f>AK148*(1+N(Debts!$D$15)/1200)</f>
        <v/>
      </c>
      <c r="AJ149" s="33">
        <f>AI149-MIN(N(Debts!$E$15),AI149)</f>
        <v/>
      </c>
      <c r="AK149" s="33">
        <f>IF(AJ149&lt;=0.005,0,AJ149-MIN(AJ149,MAX(0,$E149-SUMIFS(H149:AK149,$H$5:$AK$5,"Rem",$H$4:$AK$4,"&lt;"&amp;AK$4))))</f>
        <v/>
      </c>
      <c r="AL149" s="1" t="n"/>
    </row>
    <row r="150">
      <c r="A150" s="1" t="n"/>
      <c r="B150" s="1" t="n">
        <v>143</v>
      </c>
      <c r="C150" s="34">
        <f>EDATE(Debts!$J$13,B150-1)</f>
        <v/>
      </c>
      <c r="D150" s="33">
        <f>IF(G149&lt;=0.005,0,Debts!$E$16+Debts!$J$7)</f>
        <v/>
      </c>
      <c r="E150" s="33">
        <f>MAX(0,D150-(SUMIF($H$5:$AK$5,"Due",H150:AK150)-SUMIF($H$5:$AK$5,"Rem",H150:AK150)))</f>
        <v/>
      </c>
      <c r="F150" s="33">
        <f>SUMIF($H$5:$AK$5,"Due",H150:AK150)-SUMIF($H$5:$AK$5,"Bal",H149:AK149)</f>
        <v/>
      </c>
      <c r="G150" s="33">
        <f>SUMIF($H$5:$AK$5,"Bal",H150:AK150)</f>
        <v/>
      </c>
      <c r="H150" s="33">
        <f>J149*(1+N(Debts!$D$6)/1200)</f>
        <v/>
      </c>
      <c r="I150" s="33">
        <f>H150-MIN(N(Debts!$E$6),H150)</f>
        <v/>
      </c>
      <c r="J150" s="33">
        <f>IF(I150&lt;=0.005,0,I150-MIN(I150,MAX(0,$E150-SUMIFS(H150:AK150,$H$5:$AK$5,"Rem",$H$4:$AK$4,"&lt;"&amp;J$4))))</f>
        <v/>
      </c>
      <c r="K150" s="33">
        <f>M149*(1+N(Debts!$D$7)/1200)</f>
        <v/>
      </c>
      <c r="L150" s="33">
        <f>K150-MIN(N(Debts!$E$7),K150)</f>
        <v/>
      </c>
      <c r="M150" s="33">
        <f>IF(L150&lt;=0.005,0,L150-MIN(L150,MAX(0,$E150-SUMIFS(H150:AK150,$H$5:$AK$5,"Rem",$H$4:$AK$4,"&lt;"&amp;M$4))))</f>
        <v/>
      </c>
      <c r="N150" s="33">
        <f>P149*(1+N(Debts!$D$8)/1200)</f>
        <v/>
      </c>
      <c r="O150" s="33">
        <f>N150-MIN(N(Debts!$E$8),N150)</f>
        <v/>
      </c>
      <c r="P150" s="33">
        <f>IF(O150&lt;=0.005,0,O150-MIN(O150,MAX(0,$E150-SUMIFS(H150:AK150,$H$5:$AK$5,"Rem",$H$4:$AK$4,"&lt;"&amp;P$4))))</f>
        <v/>
      </c>
      <c r="Q150" s="33">
        <f>S149*(1+N(Debts!$D$9)/1200)</f>
        <v/>
      </c>
      <c r="R150" s="33">
        <f>Q150-MIN(N(Debts!$E$9),Q150)</f>
        <v/>
      </c>
      <c r="S150" s="33">
        <f>IF(R150&lt;=0.005,0,R150-MIN(R150,MAX(0,$E150-SUMIFS(H150:AK150,$H$5:$AK$5,"Rem",$H$4:$AK$4,"&lt;"&amp;S$4))))</f>
        <v/>
      </c>
      <c r="T150" s="33">
        <f>V149*(1+N(Debts!$D$10)/1200)</f>
        <v/>
      </c>
      <c r="U150" s="33">
        <f>T150-MIN(N(Debts!$E$10),T150)</f>
        <v/>
      </c>
      <c r="V150" s="33">
        <f>IF(U150&lt;=0.005,0,U150-MIN(U150,MAX(0,$E150-SUMIFS(H150:AK150,$H$5:$AK$5,"Rem",$H$4:$AK$4,"&lt;"&amp;V$4))))</f>
        <v/>
      </c>
      <c r="W150" s="33">
        <f>Y149*(1+N(Debts!$D$11)/1200)</f>
        <v/>
      </c>
      <c r="X150" s="33">
        <f>W150-MIN(N(Debts!$E$11),W150)</f>
        <v/>
      </c>
      <c r="Y150" s="33">
        <f>IF(X150&lt;=0.005,0,X150-MIN(X150,MAX(0,$E150-SUMIFS(H150:AK150,$H$5:$AK$5,"Rem",$H$4:$AK$4,"&lt;"&amp;Y$4))))</f>
        <v/>
      </c>
      <c r="Z150" s="33">
        <f>AB149*(1+N(Debts!$D$12)/1200)</f>
        <v/>
      </c>
      <c r="AA150" s="33">
        <f>Z150-MIN(N(Debts!$E$12),Z150)</f>
        <v/>
      </c>
      <c r="AB150" s="33">
        <f>IF(AA150&lt;=0.005,0,AA150-MIN(AA150,MAX(0,$E150-SUMIFS(H150:AK150,$H$5:$AK$5,"Rem",$H$4:$AK$4,"&lt;"&amp;AB$4))))</f>
        <v/>
      </c>
      <c r="AC150" s="33">
        <f>AE149*(1+N(Debts!$D$13)/1200)</f>
        <v/>
      </c>
      <c r="AD150" s="33">
        <f>AC150-MIN(N(Debts!$E$13),AC150)</f>
        <v/>
      </c>
      <c r="AE150" s="33">
        <f>IF(AD150&lt;=0.005,0,AD150-MIN(AD150,MAX(0,$E150-SUMIFS(H150:AK150,$H$5:$AK$5,"Rem",$H$4:$AK$4,"&lt;"&amp;AE$4))))</f>
        <v/>
      </c>
      <c r="AF150" s="33">
        <f>AH149*(1+N(Debts!$D$14)/1200)</f>
        <v/>
      </c>
      <c r="AG150" s="33">
        <f>AF150-MIN(N(Debts!$E$14),AF150)</f>
        <v/>
      </c>
      <c r="AH150" s="33">
        <f>IF(AG150&lt;=0.005,0,AG150-MIN(AG150,MAX(0,$E150-SUMIFS(H150:AK150,$H$5:$AK$5,"Rem",$H$4:$AK$4,"&lt;"&amp;AH$4))))</f>
        <v/>
      </c>
      <c r="AI150" s="33">
        <f>AK149*(1+N(Debts!$D$15)/1200)</f>
        <v/>
      </c>
      <c r="AJ150" s="33">
        <f>AI150-MIN(N(Debts!$E$15),AI150)</f>
        <v/>
      </c>
      <c r="AK150" s="33">
        <f>IF(AJ150&lt;=0.005,0,AJ150-MIN(AJ150,MAX(0,$E150-SUMIFS(H150:AK150,$H$5:$AK$5,"Rem",$H$4:$AK$4,"&lt;"&amp;AK$4))))</f>
        <v/>
      </c>
      <c r="AL150" s="1" t="n"/>
    </row>
    <row r="151">
      <c r="A151" s="1" t="n"/>
      <c r="B151" s="1" t="n">
        <v>144</v>
      </c>
      <c r="C151" s="34">
        <f>EDATE(Debts!$J$13,B151-1)</f>
        <v/>
      </c>
      <c r="D151" s="33">
        <f>IF(G150&lt;=0.005,0,Debts!$E$16+Debts!$J$7)</f>
        <v/>
      </c>
      <c r="E151" s="33">
        <f>MAX(0,D151-(SUMIF($H$5:$AK$5,"Due",H151:AK151)-SUMIF($H$5:$AK$5,"Rem",H151:AK151)))</f>
        <v/>
      </c>
      <c r="F151" s="33">
        <f>SUMIF($H$5:$AK$5,"Due",H151:AK151)-SUMIF($H$5:$AK$5,"Bal",H150:AK150)</f>
        <v/>
      </c>
      <c r="G151" s="33">
        <f>SUMIF($H$5:$AK$5,"Bal",H151:AK151)</f>
        <v/>
      </c>
      <c r="H151" s="33">
        <f>J150*(1+N(Debts!$D$6)/1200)</f>
        <v/>
      </c>
      <c r="I151" s="33">
        <f>H151-MIN(N(Debts!$E$6),H151)</f>
        <v/>
      </c>
      <c r="J151" s="33">
        <f>IF(I151&lt;=0.005,0,I151-MIN(I151,MAX(0,$E151-SUMIFS(H151:AK151,$H$5:$AK$5,"Rem",$H$4:$AK$4,"&lt;"&amp;J$4))))</f>
        <v/>
      </c>
      <c r="K151" s="33">
        <f>M150*(1+N(Debts!$D$7)/1200)</f>
        <v/>
      </c>
      <c r="L151" s="33">
        <f>K151-MIN(N(Debts!$E$7),K151)</f>
        <v/>
      </c>
      <c r="M151" s="33">
        <f>IF(L151&lt;=0.005,0,L151-MIN(L151,MAX(0,$E151-SUMIFS(H151:AK151,$H$5:$AK$5,"Rem",$H$4:$AK$4,"&lt;"&amp;M$4))))</f>
        <v/>
      </c>
      <c r="N151" s="33">
        <f>P150*(1+N(Debts!$D$8)/1200)</f>
        <v/>
      </c>
      <c r="O151" s="33">
        <f>N151-MIN(N(Debts!$E$8),N151)</f>
        <v/>
      </c>
      <c r="P151" s="33">
        <f>IF(O151&lt;=0.005,0,O151-MIN(O151,MAX(0,$E151-SUMIFS(H151:AK151,$H$5:$AK$5,"Rem",$H$4:$AK$4,"&lt;"&amp;P$4))))</f>
        <v/>
      </c>
      <c r="Q151" s="33">
        <f>S150*(1+N(Debts!$D$9)/1200)</f>
        <v/>
      </c>
      <c r="R151" s="33">
        <f>Q151-MIN(N(Debts!$E$9),Q151)</f>
        <v/>
      </c>
      <c r="S151" s="33">
        <f>IF(R151&lt;=0.005,0,R151-MIN(R151,MAX(0,$E151-SUMIFS(H151:AK151,$H$5:$AK$5,"Rem",$H$4:$AK$4,"&lt;"&amp;S$4))))</f>
        <v/>
      </c>
      <c r="T151" s="33">
        <f>V150*(1+N(Debts!$D$10)/1200)</f>
        <v/>
      </c>
      <c r="U151" s="33">
        <f>T151-MIN(N(Debts!$E$10),T151)</f>
        <v/>
      </c>
      <c r="V151" s="33">
        <f>IF(U151&lt;=0.005,0,U151-MIN(U151,MAX(0,$E151-SUMIFS(H151:AK151,$H$5:$AK$5,"Rem",$H$4:$AK$4,"&lt;"&amp;V$4))))</f>
        <v/>
      </c>
      <c r="W151" s="33">
        <f>Y150*(1+N(Debts!$D$11)/1200)</f>
        <v/>
      </c>
      <c r="X151" s="33">
        <f>W151-MIN(N(Debts!$E$11),W151)</f>
        <v/>
      </c>
      <c r="Y151" s="33">
        <f>IF(X151&lt;=0.005,0,X151-MIN(X151,MAX(0,$E151-SUMIFS(H151:AK151,$H$5:$AK$5,"Rem",$H$4:$AK$4,"&lt;"&amp;Y$4))))</f>
        <v/>
      </c>
      <c r="Z151" s="33">
        <f>AB150*(1+N(Debts!$D$12)/1200)</f>
        <v/>
      </c>
      <c r="AA151" s="33">
        <f>Z151-MIN(N(Debts!$E$12),Z151)</f>
        <v/>
      </c>
      <c r="AB151" s="33">
        <f>IF(AA151&lt;=0.005,0,AA151-MIN(AA151,MAX(0,$E151-SUMIFS(H151:AK151,$H$5:$AK$5,"Rem",$H$4:$AK$4,"&lt;"&amp;AB$4))))</f>
        <v/>
      </c>
      <c r="AC151" s="33">
        <f>AE150*(1+N(Debts!$D$13)/1200)</f>
        <v/>
      </c>
      <c r="AD151" s="33">
        <f>AC151-MIN(N(Debts!$E$13),AC151)</f>
        <v/>
      </c>
      <c r="AE151" s="33">
        <f>IF(AD151&lt;=0.005,0,AD151-MIN(AD151,MAX(0,$E151-SUMIFS(H151:AK151,$H$5:$AK$5,"Rem",$H$4:$AK$4,"&lt;"&amp;AE$4))))</f>
        <v/>
      </c>
      <c r="AF151" s="33">
        <f>AH150*(1+N(Debts!$D$14)/1200)</f>
        <v/>
      </c>
      <c r="AG151" s="33">
        <f>AF151-MIN(N(Debts!$E$14),AF151)</f>
        <v/>
      </c>
      <c r="AH151" s="33">
        <f>IF(AG151&lt;=0.005,0,AG151-MIN(AG151,MAX(0,$E151-SUMIFS(H151:AK151,$H$5:$AK$5,"Rem",$H$4:$AK$4,"&lt;"&amp;AH$4))))</f>
        <v/>
      </c>
      <c r="AI151" s="33">
        <f>AK150*(1+N(Debts!$D$15)/1200)</f>
        <v/>
      </c>
      <c r="AJ151" s="33">
        <f>AI151-MIN(N(Debts!$E$15),AI151)</f>
        <v/>
      </c>
      <c r="AK151" s="33">
        <f>IF(AJ151&lt;=0.005,0,AJ151-MIN(AJ151,MAX(0,$E151-SUMIFS(H151:AK151,$H$5:$AK$5,"Rem",$H$4:$AK$4,"&lt;"&amp;AK$4))))</f>
        <v/>
      </c>
      <c r="AL151" s="1" t="n"/>
    </row>
    <row r="152">
      <c r="A152" s="1" t="n"/>
      <c r="B152" s="1" t="n">
        <v>145</v>
      </c>
      <c r="C152" s="34">
        <f>EDATE(Debts!$J$13,B152-1)</f>
        <v/>
      </c>
      <c r="D152" s="33">
        <f>IF(G151&lt;=0.005,0,Debts!$E$16+Debts!$J$7)</f>
        <v/>
      </c>
      <c r="E152" s="33">
        <f>MAX(0,D152-(SUMIF($H$5:$AK$5,"Due",H152:AK152)-SUMIF($H$5:$AK$5,"Rem",H152:AK152)))</f>
        <v/>
      </c>
      <c r="F152" s="33">
        <f>SUMIF($H$5:$AK$5,"Due",H152:AK152)-SUMIF($H$5:$AK$5,"Bal",H151:AK151)</f>
        <v/>
      </c>
      <c r="G152" s="33">
        <f>SUMIF($H$5:$AK$5,"Bal",H152:AK152)</f>
        <v/>
      </c>
      <c r="H152" s="33">
        <f>J151*(1+N(Debts!$D$6)/1200)</f>
        <v/>
      </c>
      <c r="I152" s="33">
        <f>H152-MIN(N(Debts!$E$6),H152)</f>
        <v/>
      </c>
      <c r="J152" s="33">
        <f>IF(I152&lt;=0.005,0,I152-MIN(I152,MAX(0,$E152-SUMIFS(H152:AK152,$H$5:$AK$5,"Rem",$H$4:$AK$4,"&lt;"&amp;J$4))))</f>
        <v/>
      </c>
      <c r="K152" s="33">
        <f>M151*(1+N(Debts!$D$7)/1200)</f>
        <v/>
      </c>
      <c r="L152" s="33">
        <f>K152-MIN(N(Debts!$E$7),K152)</f>
        <v/>
      </c>
      <c r="M152" s="33">
        <f>IF(L152&lt;=0.005,0,L152-MIN(L152,MAX(0,$E152-SUMIFS(H152:AK152,$H$5:$AK$5,"Rem",$H$4:$AK$4,"&lt;"&amp;M$4))))</f>
        <v/>
      </c>
      <c r="N152" s="33">
        <f>P151*(1+N(Debts!$D$8)/1200)</f>
        <v/>
      </c>
      <c r="O152" s="33">
        <f>N152-MIN(N(Debts!$E$8),N152)</f>
        <v/>
      </c>
      <c r="P152" s="33">
        <f>IF(O152&lt;=0.005,0,O152-MIN(O152,MAX(0,$E152-SUMIFS(H152:AK152,$H$5:$AK$5,"Rem",$H$4:$AK$4,"&lt;"&amp;P$4))))</f>
        <v/>
      </c>
      <c r="Q152" s="33">
        <f>S151*(1+N(Debts!$D$9)/1200)</f>
        <v/>
      </c>
      <c r="R152" s="33">
        <f>Q152-MIN(N(Debts!$E$9),Q152)</f>
        <v/>
      </c>
      <c r="S152" s="33">
        <f>IF(R152&lt;=0.005,0,R152-MIN(R152,MAX(0,$E152-SUMIFS(H152:AK152,$H$5:$AK$5,"Rem",$H$4:$AK$4,"&lt;"&amp;S$4))))</f>
        <v/>
      </c>
      <c r="T152" s="33">
        <f>V151*(1+N(Debts!$D$10)/1200)</f>
        <v/>
      </c>
      <c r="U152" s="33">
        <f>T152-MIN(N(Debts!$E$10),T152)</f>
        <v/>
      </c>
      <c r="V152" s="33">
        <f>IF(U152&lt;=0.005,0,U152-MIN(U152,MAX(0,$E152-SUMIFS(H152:AK152,$H$5:$AK$5,"Rem",$H$4:$AK$4,"&lt;"&amp;V$4))))</f>
        <v/>
      </c>
      <c r="W152" s="33">
        <f>Y151*(1+N(Debts!$D$11)/1200)</f>
        <v/>
      </c>
      <c r="X152" s="33">
        <f>W152-MIN(N(Debts!$E$11),W152)</f>
        <v/>
      </c>
      <c r="Y152" s="33">
        <f>IF(X152&lt;=0.005,0,X152-MIN(X152,MAX(0,$E152-SUMIFS(H152:AK152,$H$5:$AK$5,"Rem",$H$4:$AK$4,"&lt;"&amp;Y$4))))</f>
        <v/>
      </c>
      <c r="Z152" s="33">
        <f>AB151*(1+N(Debts!$D$12)/1200)</f>
        <v/>
      </c>
      <c r="AA152" s="33">
        <f>Z152-MIN(N(Debts!$E$12),Z152)</f>
        <v/>
      </c>
      <c r="AB152" s="33">
        <f>IF(AA152&lt;=0.005,0,AA152-MIN(AA152,MAX(0,$E152-SUMIFS(H152:AK152,$H$5:$AK$5,"Rem",$H$4:$AK$4,"&lt;"&amp;AB$4))))</f>
        <v/>
      </c>
      <c r="AC152" s="33">
        <f>AE151*(1+N(Debts!$D$13)/1200)</f>
        <v/>
      </c>
      <c r="AD152" s="33">
        <f>AC152-MIN(N(Debts!$E$13),AC152)</f>
        <v/>
      </c>
      <c r="AE152" s="33">
        <f>IF(AD152&lt;=0.005,0,AD152-MIN(AD152,MAX(0,$E152-SUMIFS(H152:AK152,$H$5:$AK$5,"Rem",$H$4:$AK$4,"&lt;"&amp;AE$4))))</f>
        <v/>
      </c>
      <c r="AF152" s="33">
        <f>AH151*(1+N(Debts!$D$14)/1200)</f>
        <v/>
      </c>
      <c r="AG152" s="33">
        <f>AF152-MIN(N(Debts!$E$14),AF152)</f>
        <v/>
      </c>
      <c r="AH152" s="33">
        <f>IF(AG152&lt;=0.005,0,AG152-MIN(AG152,MAX(0,$E152-SUMIFS(H152:AK152,$H$5:$AK$5,"Rem",$H$4:$AK$4,"&lt;"&amp;AH$4))))</f>
        <v/>
      </c>
      <c r="AI152" s="33">
        <f>AK151*(1+N(Debts!$D$15)/1200)</f>
        <v/>
      </c>
      <c r="AJ152" s="33">
        <f>AI152-MIN(N(Debts!$E$15),AI152)</f>
        <v/>
      </c>
      <c r="AK152" s="33">
        <f>IF(AJ152&lt;=0.005,0,AJ152-MIN(AJ152,MAX(0,$E152-SUMIFS(H152:AK152,$H$5:$AK$5,"Rem",$H$4:$AK$4,"&lt;"&amp;AK$4))))</f>
        <v/>
      </c>
      <c r="AL152" s="1" t="n"/>
    </row>
    <row r="153">
      <c r="A153" s="1" t="n"/>
      <c r="B153" s="1" t="n">
        <v>146</v>
      </c>
      <c r="C153" s="34">
        <f>EDATE(Debts!$J$13,B153-1)</f>
        <v/>
      </c>
      <c r="D153" s="33">
        <f>IF(G152&lt;=0.005,0,Debts!$E$16+Debts!$J$7)</f>
        <v/>
      </c>
      <c r="E153" s="33">
        <f>MAX(0,D153-(SUMIF($H$5:$AK$5,"Due",H153:AK153)-SUMIF($H$5:$AK$5,"Rem",H153:AK153)))</f>
        <v/>
      </c>
      <c r="F153" s="33">
        <f>SUMIF($H$5:$AK$5,"Due",H153:AK153)-SUMIF($H$5:$AK$5,"Bal",H152:AK152)</f>
        <v/>
      </c>
      <c r="G153" s="33">
        <f>SUMIF($H$5:$AK$5,"Bal",H153:AK153)</f>
        <v/>
      </c>
      <c r="H153" s="33">
        <f>J152*(1+N(Debts!$D$6)/1200)</f>
        <v/>
      </c>
      <c r="I153" s="33">
        <f>H153-MIN(N(Debts!$E$6),H153)</f>
        <v/>
      </c>
      <c r="J153" s="33">
        <f>IF(I153&lt;=0.005,0,I153-MIN(I153,MAX(0,$E153-SUMIFS(H153:AK153,$H$5:$AK$5,"Rem",$H$4:$AK$4,"&lt;"&amp;J$4))))</f>
        <v/>
      </c>
      <c r="K153" s="33">
        <f>M152*(1+N(Debts!$D$7)/1200)</f>
        <v/>
      </c>
      <c r="L153" s="33">
        <f>K153-MIN(N(Debts!$E$7),K153)</f>
        <v/>
      </c>
      <c r="M153" s="33">
        <f>IF(L153&lt;=0.005,0,L153-MIN(L153,MAX(0,$E153-SUMIFS(H153:AK153,$H$5:$AK$5,"Rem",$H$4:$AK$4,"&lt;"&amp;M$4))))</f>
        <v/>
      </c>
      <c r="N153" s="33">
        <f>P152*(1+N(Debts!$D$8)/1200)</f>
        <v/>
      </c>
      <c r="O153" s="33">
        <f>N153-MIN(N(Debts!$E$8),N153)</f>
        <v/>
      </c>
      <c r="P153" s="33">
        <f>IF(O153&lt;=0.005,0,O153-MIN(O153,MAX(0,$E153-SUMIFS(H153:AK153,$H$5:$AK$5,"Rem",$H$4:$AK$4,"&lt;"&amp;P$4))))</f>
        <v/>
      </c>
      <c r="Q153" s="33">
        <f>S152*(1+N(Debts!$D$9)/1200)</f>
        <v/>
      </c>
      <c r="R153" s="33">
        <f>Q153-MIN(N(Debts!$E$9),Q153)</f>
        <v/>
      </c>
      <c r="S153" s="33">
        <f>IF(R153&lt;=0.005,0,R153-MIN(R153,MAX(0,$E153-SUMIFS(H153:AK153,$H$5:$AK$5,"Rem",$H$4:$AK$4,"&lt;"&amp;S$4))))</f>
        <v/>
      </c>
      <c r="T153" s="33">
        <f>V152*(1+N(Debts!$D$10)/1200)</f>
        <v/>
      </c>
      <c r="U153" s="33">
        <f>T153-MIN(N(Debts!$E$10),T153)</f>
        <v/>
      </c>
      <c r="V153" s="33">
        <f>IF(U153&lt;=0.005,0,U153-MIN(U153,MAX(0,$E153-SUMIFS(H153:AK153,$H$5:$AK$5,"Rem",$H$4:$AK$4,"&lt;"&amp;V$4))))</f>
        <v/>
      </c>
      <c r="W153" s="33">
        <f>Y152*(1+N(Debts!$D$11)/1200)</f>
        <v/>
      </c>
      <c r="X153" s="33">
        <f>W153-MIN(N(Debts!$E$11),W153)</f>
        <v/>
      </c>
      <c r="Y153" s="33">
        <f>IF(X153&lt;=0.005,0,X153-MIN(X153,MAX(0,$E153-SUMIFS(H153:AK153,$H$5:$AK$5,"Rem",$H$4:$AK$4,"&lt;"&amp;Y$4))))</f>
        <v/>
      </c>
      <c r="Z153" s="33">
        <f>AB152*(1+N(Debts!$D$12)/1200)</f>
        <v/>
      </c>
      <c r="AA153" s="33">
        <f>Z153-MIN(N(Debts!$E$12),Z153)</f>
        <v/>
      </c>
      <c r="AB153" s="33">
        <f>IF(AA153&lt;=0.005,0,AA153-MIN(AA153,MAX(0,$E153-SUMIFS(H153:AK153,$H$5:$AK$5,"Rem",$H$4:$AK$4,"&lt;"&amp;AB$4))))</f>
        <v/>
      </c>
      <c r="AC153" s="33">
        <f>AE152*(1+N(Debts!$D$13)/1200)</f>
        <v/>
      </c>
      <c r="AD153" s="33">
        <f>AC153-MIN(N(Debts!$E$13),AC153)</f>
        <v/>
      </c>
      <c r="AE153" s="33">
        <f>IF(AD153&lt;=0.005,0,AD153-MIN(AD153,MAX(0,$E153-SUMIFS(H153:AK153,$H$5:$AK$5,"Rem",$H$4:$AK$4,"&lt;"&amp;AE$4))))</f>
        <v/>
      </c>
      <c r="AF153" s="33">
        <f>AH152*(1+N(Debts!$D$14)/1200)</f>
        <v/>
      </c>
      <c r="AG153" s="33">
        <f>AF153-MIN(N(Debts!$E$14),AF153)</f>
        <v/>
      </c>
      <c r="AH153" s="33">
        <f>IF(AG153&lt;=0.005,0,AG153-MIN(AG153,MAX(0,$E153-SUMIFS(H153:AK153,$H$5:$AK$5,"Rem",$H$4:$AK$4,"&lt;"&amp;AH$4))))</f>
        <v/>
      </c>
      <c r="AI153" s="33">
        <f>AK152*(1+N(Debts!$D$15)/1200)</f>
        <v/>
      </c>
      <c r="AJ153" s="33">
        <f>AI153-MIN(N(Debts!$E$15),AI153)</f>
        <v/>
      </c>
      <c r="AK153" s="33">
        <f>IF(AJ153&lt;=0.005,0,AJ153-MIN(AJ153,MAX(0,$E153-SUMIFS(H153:AK153,$H$5:$AK$5,"Rem",$H$4:$AK$4,"&lt;"&amp;AK$4))))</f>
        <v/>
      </c>
      <c r="AL153" s="1" t="n"/>
    </row>
    <row r="154">
      <c r="A154" s="1" t="n"/>
      <c r="B154" s="1" t="n">
        <v>147</v>
      </c>
      <c r="C154" s="34">
        <f>EDATE(Debts!$J$13,B154-1)</f>
        <v/>
      </c>
      <c r="D154" s="33">
        <f>IF(G153&lt;=0.005,0,Debts!$E$16+Debts!$J$7)</f>
        <v/>
      </c>
      <c r="E154" s="33">
        <f>MAX(0,D154-(SUMIF($H$5:$AK$5,"Due",H154:AK154)-SUMIF($H$5:$AK$5,"Rem",H154:AK154)))</f>
        <v/>
      </c>
      <c r="F154" s="33">
        <f>SUMIF($H$5:$AK$5,"Due",H154:AK154)-SUMIF($H$5:$AK$5,"Bal",H153:AK153)</f>
        <v/>
      </c>
      <c r="G154" s="33">
        <f>SUMIF($H$5:$AK$5,"Bal",H154:AK154)</f>
        <v/>
      </c>
      <c r="H154" s="33">
        <f>J153*(1+N(Debts!$D$6)/1200)</f>
        <v/>
      </c>
      <c r="I154" s="33">
        <f>H154-MIN(N(Debts!$E$6),H154)</f>
        <v/>
      </c>
      <c r="J154" s="33">
        <f>IF(I154&lt;=0.005,0,I154-MIN(I154,MAX(0,$E154-SUMIFS(H154:AK154,$H$5:$AK$5,"Rem",$H$4:$AK$4,"&lt;"&amp;J$4))))</f>
        <v/>
      </c>
      <c r="K154" s="33">
        <f>M153*(1+N(Debts!$D$7)/1200)</f>
        <v/>
      </c>
      <c r="L154" s="33">
        <f>K154-MIN(N(Debts!$E$7),K154)</f>
        <v/>
      </c>
      <c r="M154" s="33">
        <f>IF(L154&lt;=0.005,0,L154-MIN(L154,MAX(0,$E154-SUMIFS(H154:AK154,$H$5:$AK$5,"Rem",$H$4:$AK$4,"&lt;"&amp;M$4))))</f>
        <v/>
      </c>
      <c r="N154" s="33">
        <f>P153*(1+N(Debts!$D$8)/1200)</f>
        <v/>
      </c>
      <c r="O154" s="33">
        <f>N154-MIN(N(Debts!$E$8),N154)</f>
        <v/>
      </c>
      <c r="P154" s="33">
        <f>IF(O154&lt;=0.005,0,O154-MIN(O154,MAX(0,$E154-SUMIFS(H154:AK154,$H$5:$AK$5,"Rem",$H$4:$AK$4,"&lt;"&amp;P$4))))</f>
        <v/>
      </c>
      <c r="Q154" s="33">
        <f>S153*(1+N(Debts!$D$9)/1200)</f>
        <v/>
      </c>
      <c r="R154" s="33">
        <f>Q154-MIN(N(Debts!$E$9),Q154)</f>
        <v/>
      </c>
      <c r="S154" s="33">
        <f>IF(R154&lt;=0.005,0,R154-MIN(R154,MAX(0,$E154-SUMIFS(H154:AK154,$H$5:$AK$5,"Rem",$H$4:$AK$4,"&lt;"&amp;S$4))))</f>
        <v/>
      </c>
      <c r="T154" s="33">
        <f>V153*(1+N(Debts!$D$10)/1200)</f>
        <v/>
      </c>
      <c r="U154" s="33">
        <f>T154-MIN(N(Debts!$E$10),T154)</f>
        <v/>
      </c>
      <c r="V154" s="33">
        <f>IF(U154&lt;=0.005,0,U154-MIN(U154,MAX(0,$E154-SUMIFS(H154:AK154,$H$5:$AK$5,"Rem",$H$4:$AK$4,"&lt;"&amp;V$4))))</f>
        <v/>
      </c>
      <c r="W154" s="33">
        <f>Y153*(1+N(Debts!$D$11)/1200)</f>
        <v/>
      </c>
      <c r="X154" s="33">
        <f>W154-MIN(N(Debts!$E$11),W154)</f>
        <v/>
      </c>
      <c r="Y154" s="33">
        <f>IF(X154&lt;=0.005,0,X154-MIN(X154,MAX(0,$E154-SUMIFS(H154:AK154,$H$5:$AK$5,"Rem",$H$4:$AK$4,"&lt;"&amp;Y$4))))</f>
        <v/>
      </c>
      <c r="Z154" s="33">
        <f>AB153*(1+N(Debts!$D$12)/1200)</f>
        <v/>
      </c>
      <c r="AA154" s="33">
        <f>Z154-MIN(N(Debts!$E$12),Z154)</f>
        <v/>
      </c>
      <c r="AB154" s="33">
        <f>IF(AA154&lt;=0.005,0,AA154-MIN(AA154,MAX(0,$E154-SUMIFS(H154:AK154,$H$5:$AK$5,"Rem",$H$4:$AK$4,"&lt;"&amp;AB$4))))</f>
        <v/>
      </c>
      <c r="AC154" s="33">
        <f>AE153*(1+N(Debts!$D$13)/1200)</f>
        <v/>
      </c>
      <c r="AD154" s="33">
        <f>AC154-MIN(N(Debts!$E$13),AC154)</f>
        <v/>
      </c>
      <c r="AE154" s="33">
        <f>IF(AD154&lt;=0.005,0,AD154-MIN(AD154,MAX(0,$E154-SUMIFS(H154:AK154,$H$5:$AK$5,"Rem",$H$4:$AK$4,"&lt;"&amp;AE$4))))</f>
        <v/>
      </c>
      <c r="AF154" s="33">
        <f>AH153*(1+N(Debts!$D$14)/1200)</f>
        <v/>
      </c>
      <c r="AG154" s="33">
        <f>AF154-MIN(N(Debts!$E$14),AF154)</f>
        <v/>
      </c>
      <c r="AH154" s="33">
        <f>IF(AG154&lt;=0.005,0,AG154-MIN(AG154,MAX(0,$E154-SUMIFS(H154:AK154,$H$5:$AK$5,"Rem",$H$4:$AK$4,"&lt;"&amp;AH$4))))</f>
        <v/>
      </c>
      <c r="AI154" s="33">
        <f>AK153*(1+N(Debts!$D$15)/1200)</f>
        <v/>
      </c>
      <c r="AJ154" s="33">
        <f>AI154-MIN(N(Debts!$E$15),AI154)</f>
        <v/>
      </c>
      <c r="AK154" s="33">
        <f>IF(AJ154&lt;=0.005,0,AJ154-MIN(AJ154,MAX(0,$E154-SUMIFS(H154:AK154,$H$5:$AK$5,"Rem",$H$4:$AK$4,"&lt;"&amp;AK$4))))</f>
        <v/>
      </c>
      <c r="AL154" s="1" t="n"/>
    </row>
    <row r="155">
      <c r="A155" s="1" t="n"/>
      <c r="B155" s="1" t="n">
        <v>148</v>
      </c>
      <c r="C155" s="34">
        <f>EDATE(Debts!$J$13,B155-1)</f>
        <v/>
      </c>
      <c r="D155" s="33">
        <f>IF(G154&lt;=0.005,0,Debts!$E$16+Debts!$J$7)</f>
        <v/>
      </c>
      <c r="E155" s="33">
        <f>MAX(0,D155-(SUMIF($H$5:$AK$5,"Due",H155:AK155)-SUMIF($H$5:$AK$5,"Rem",H155:AK155)))</f>
        <v/>
      </c>
      <c r="F155" s="33">
        <f>SUMIF($H$5:$AK$5,"Due",H155:AK155)-SUMIF($H$5:$AK$5,"Bal",H154:AK154)</f>
        <v/>
      </c>
      <c r="G155" s="33">
        <f>SUMIF($H$5:$AK$5,"Bal",H155:AK155)</f>
        <v/>
      </c>
      <c r="H155" s="33">
        <f>J154*(1+N(Debts!$D$6)/1200)</f>
        <v/>
      </c>
      <c r="I155" s="33">
        <f>H155-MIN(N(Debts!$E$6),H155)</f>
        <v/>
      </c>
      <c r="J155" s="33">
        <f>IF(I155&lt;=0.005,0,I155-MIN(I155,MAX(0,$E155-SUMIFS(H155:AK155,$H$5:$AK$5,"Rem",$H$4:$AK$4,"&lt;"&amp;J$4))))</f>
        <v/>
      </c>
      <c r="K155" s="33">
        <f>M154*(1+N(Debts!$D$7)/1200)</f>
        <v/>
      </c>
      <c r="L155" s="33">
        <f>K155-MIN(N(Debts!$E$7),K155)</f>
        <v/>
      </c>
      <c r="M155" s="33">
        <f>IF(L155&lt;=0.005,0,L155-MIN(L155,MAX(0,$E155-SUMIFS(H155:AK155,$H$5:$AK$5,"Rem",$H$4:$AK$4,"&lt;"&amp;M$4))))</f>
        <v/>
      </c>
      <c r="N155" s="33">
        <f>P154*(1+N(Debts!$D$8)/1200)</f>
        <v/>
      </c>
      <c r="O155" s="33">
        <f>N155-MIN(N(Debts!$E$8),N155)</f>
        <v/>
      </c>
      <c r="P155" s="33">
        <f>IF(O155&lt;=0.005,0,O155-MIN(O155,MAX(0,$E155-SUMIFS(H155:AK155,$H$5:$AK$5,"Rem",$H$4:$AK$4,"&lt;"&amp;P$4))))</f>
        <v/>
      </c>
      <c r="Q155" s="33">
        <f>S154*(1+N(Debts!$D$9)/1200)</f>
        <v/>
      </c>
      <c r="R155" s="33">
        <f>Q155-MIN(N(Debts!$E$9),Q155)</f>
        <v/>
      </c>
      <c r="S155" s="33">
        <f>IF(R155&lt;=0.005,0,R155-MIN(R155,MAX(0,$E155-SUMIFS(H155:AK155,$H$5:$AK$5,"Rem",$H$4:$AK$4,"&lt;"&amp;S$4))))</f>
        <v/>
      </c>
      <c r="T155" s="33">
        <f>V154*(1+N(Debts!$D$10)/1200)</f>
        <v/>
      </c>
      <c r="U155" s="33">
        <f>T155-MIN(N(Debts!$E$10),T155)</f>
        <v/>
      </c>
      <c r="V155" s="33">
        <f>IF(U155&lt;=0.005,0,U155-MIN(U155,MAX(0,$E155-SUMIFS(H155:AK155,$H$5:$AK$5,"Rem",$H$4:$AK$4,"&lt;"&amp;V$4))))</f>
        <v/>
      </c>
      <c r="W155" s="33">
        <f>Y154*(1+N(Debts!$D$11)/1200)</f>
        <v/>
      </c>
      <c r="X155" s="33">
        <f>W155-MIN(N(Debts!$E$11),W155)</f>
        <v/>
      </c>
      <c r="Y155" s="33">
        <f>IF(X155&lt;=0.005,0,X155-MIN(X155,MAX(0,$E155-SUMIFS(H155:AK155,$H$5:$AK$5,"Rem",$H$4:$AK$4,"&lt;"&amp;Y$4))))</f>
        <v/>
      </c>
      <c r="Z155" s="33">
        <f>AB154*(1+N(Debts!$D$12)/1200)</f>
        <v/>
      </c>
      <c r="AA155" s="33">
        <f>Z155-MIN(N(Debts!$E$12),Z155)</f>
        <v/>
      </c>
      <c r="AB155" s="33">
        <f>IF(AA155&lt;=0.005,0,AA155-MIN(AA155,MAX(0,$E155-SUMIFS(H155:AK155,$H$5:$AK$5,"Rem",$H$4:$AK$4,"&lt;"&amp;AB$4))))</f>
        <v/>
      </c>
      <c r="AC155" s="33">
        <f>AE154*(1+N(Debts!$D$13)/1200)</f>
        <v/>
      </c>
      <c r="AD155" s="33">
        <f>AC155-MIN(N(Debts!$E$13),AC155)</f>
        <v/>
      </c>
      <c r="AE155" s="33">
        <f>IF(AD155&lt;=0.005,0,AD155-MIN(AD155,MAX(0,$E155-SUMIFS(H155:AK155,$H$5:$AK$5,"Rem",$H$4:$AK$4,"&lt;"&amp;AE$4))))</f>
        <v/>
      </c>
      <c r="AF155" s="33">
        <f>AH154*(1+N(Debts!$D$14)/1200)</f>
        <v/>
      </c>
      <c r="AG155" s="33">
        <f>AF155-MIN(N(Debts!$E$14),AF155)</f>
        <v/>
      </c>
      <c r="AH155" s="33">
        <f>IF(AG155&lt;=0.005,0,AG155-MIN(AG155,MAX(0,$E155-SUMIFS(H155:AK155,$H$5:$AK$5,"Rem",$H$4:$AK$4,"&lt;"&amp;AH$4))))</f>
        <v/>
      </c>
      <c r="AI155" s="33">
        <f>AK154*(1+N(Debts!$D$15)/1200)</f>
        <v/>
      </c>
      <c r="AJ155" s="33">
        <f>AI155-MIN(N(Debts!$E$15),AI155)</f>
        <v/>
      </c>
      <c r="AK155" s="33">
        <f>IF(AJ155&lt;=0.005,0,AJ155-MIN(AJ155,MAX(0,$E155-SUMIFS(H155:AK155,$H$5:$AK$5,"Rem",$H$4:$AK$4,"&lt;"&amp;AK$4))))</f>
        <v/>
      </c>
      <c r="AL155" s="1" t="n"/>
    </row>
    <row r="156">
      <c r="A156" s="1" t="n"/>
      <c r="B156" s="1" t="n">
        <v>149</v>
      </c>
      <c r="C156" s="34">
        <f>EDATE(Debts!$J$13,B156-1)</f>
        <v/>
      </c>
      <c r="D156" s="33">
        <f>IF(G155&lt;=0.005,0,Debts!$E$16+Debts!$J$7)</f>
        <v/>
      </c>
      <c r="E156" s="33">
        <f>MAX(0,D156-(SUMIF($H$5:$AK$5,"Due",H156:AK156)-SUMIF($H$5:$AK$5,"Rem",H156:AK156)))</f>
        <v/>
      </c>
      <c r="F156" s="33">
        <f>SUMIF($H$5:$AK$5,"Due",H156:AK156)-SUMIF($H$5:$AK$5,"Bal",H155:AK155)</f>
        <v/>
      </c>
      <c r="G156" s="33">
        <f>SUMIF($H$5:$AK$5,"Bal",H156:AK156)</f>
        <v/>
      </c>
      <c r="H156" s="33">
        <f>J155*(1+N(Debts!$D$6)/1200)</f>
        <v/>
      </c>
      <c r="I156" s="33">
        <f>H156-MIN(N(Debts!$E$6),H156)</f>
        <v/>
      </c>
      <c r="J156" s="33">
        <f>IF(I156&lt;=0.005,0,I156-MIN(I156,MAX(0,$E156-SUMIFS(H156:AK156,$H$5:$AK$5,"Rem",$H$4:$AK$4,"&lt;"&amp;J$4))))</f>
        <v/>
      </c>
      <c r="K156" s="33">
        <f>M155*(1+N(Debts!$D$7)/1200)</f>
        <v/>
      </c>
      <c r="L156" s="33">
        <f>K156-MIN(N(Debts!$E$7),K156)</f>
        <v/>
      </c>
      <c r="M156" s="33">
        <f>IF(L156&lt;=0.005,0,L156-MIN(L156,MAX(0,$E156-SUMIFS(H156:AK156,$H$5:$AK$5,"Rem",$H$4:$AK$4,"&lt;"&amp;M$4))))</f>
        <v/>
      </c>
      <c r="N156" s="33">
        <f>P155*(1+N(Debts!$D$8)/1200)</f>
        <v/>
      </c>
      <c r="O156" s="33">
        <f>N156-MIN(N(Debts!$E$8),N156)</f>
        <v/>
      </c>
      <c r="P156" s="33">
        <f>IF(O156&lt;=0.005,0,O156-MIN(O156,MAX(0,$E156-SUMIFS(H156:AK156,$H$5:$AK$5,"Rem",$H$4:$AK$4,"&lt;"&amp;P$4))))</f>
        <v/>
      </c>
      <c r="Q156" s="33">
        <f>S155*(1+N(Debts!$D$9)/1200)</f>
        <v/>
      </c>
      <c r="R156" s="33">
        <f>Q156-MIN(N(Debts!$E$9),Q156)</f>
        <v/>
      </c>
      <c r="S156" s="33">
        <f>IF(R156&lt;=0.005,0,R156-MIN(R156,MAX(0,$E156-SUMIFS(H156:AK156,$H$5:$AK$5,"Rem",$H$4:$AK$4,"&lt;"&amp;S$4))))</f>
        <v/>
      </c>
      <c r="T156" s="33">
        <f>V155*(1+N(Debts!$D$10)/1200)</f>
        <v/>
      </c>
      <c r="U156" s="33">
        <f>T156-MIN(N(Debts!$E$10),T156)</f>
        <v/>
      </c>
      <c r="V156" s="33">
        <f>IF(U156&lt;=0.005,0,U156-MIN(U156,MAX(0,$E156-SUMIFS(H156:AK156,$H$5:$AK$5,"Rem",$H$4:$AK$4,"&lt;"&amp;V$4))))</f>
        <v/>
      </c>
      <c r="W156" s="33">
        <f>Y155*(1+N(Debts!$D$11)/1200)</f>
        <v/>
      </c>
      <c r="X156" s="33">
        <f>W156-MIN(N(Debts!$E$11),W156)</f>
        <v/>
      </c>
      <c r="Y156" s="33">
        <f>IF(X156&lt;=0.005,0,X156-MIN(X156,MAX(0,$E156-SUMIFS(H156:AK156,$H$5:$AK$5,"Rem",$H$4:$AK$4,"&lt;"&amp;Y$4))))</f>
        <v/>
      </c>
      <c r="Z156" s="33">
        <f>AB155*(1+N(Debts!$D$12)/1200)</f>
        <v/>
      </c>
      <c r="AA156" s="33">
        <f>Z156-MIN(N(Debts!$E$12),Z156)</f>
        <v/>
      </c>
      <c r="AB156" s="33">
        <f>IF(AA156&lt;=0.005,0,AA156-MIN(AA156,MAX(0,$E156-SUMIFS(H156:AK156,$H$5:$AK$5,"Rem",$H$4:$AK$4,"&lt;"&amp;AB$4))))</f>
        <v/>
      </c>
      <c r="AC156" s="33">
        <f>AE155*(1+N(Debts!$D$13)/1200)</f>
        <v/>
      </c>
      <c r="AD156" s="33">
        <f>AC156-MIN(N(Debts!$E$13),AC156)</f>
        <v/>
      </c>
      <c r="AE156" s="33">
        <f>IF(AD156&lt;=0.005,0,AD156-MIN(AD156,MAX(0,$E156-SUMIFS(H156:AK156,$H$5:$AK$5,"Rem",$H$4:$AK$4,"&lt;"&amp;AE$4))))</f>
        <v/>
      </c>
      <c r="AF156" s="33">
        <f>AH155*(1+N(Debts!$D$14)/1200)</f>
        <v/>
      </c>
      <c r="AG156" s="33">
        <f>AF156-MIN(N(Debts!$E$14),AF156)</f>
        <v/>
      </c>
      <c r="AH156" s="33">
        <f>IF(AG156&lt;=0.005,0,AG156-MIN(AG156,MAX(0,$E156-SUMIFS(H156:AK156,$H$5:$AK$5,"Rem",$H$4:$AK$4,"&lt;"&amp;AH$4))))</f>
        <v/>
      </c>
      <c r="AI156" s="33">
        <f>AK155*(1+N(Debts!$D$15)/1200)</f>
        <v/>
      </c>
      <c r="AJ156" s="33">
        <f>AI156-MIN(N(Debts!$E$15),AI156)</f>
        <v/>
      </c>
      <c r="AK156" s="33">
        <f>IF(AJ156&lt;=0.005,0,AJ156-MIN(AJ156,MAX(0,$E156-SUMIFS(H156:AK156,$H$5:$AK$5,"Rem",$H$4:$AK$4,"&lt;"&amp;AK$4))))</f>
        <v/>
      </c>
      <c r="AL156" s="1" t="n"/>
    </row>
    <row r="157">
      <c r="A157" s="1" t="n"/>
      <c r="B157" s="1" t="n">
        <v>150</v>
      </c>
      <c r="C157" s="34">
        <f>EDATE(Debts!$J$13,B157-1)</f>
        <v/>
      </c>
      <c r="D157" s="33">
        <f>IF(G156&lt;=0.005,0,Debts!$E$16+Debts!$J$7)</f>
        <v/>
      </c>
      <c r="E157" s="33">
        <f>MAX(0,D157-(SUMIF($H$5:$AK$5,"Due",H157:AK157)-SUMIF($H$5:$AK$5,"Rem",H157:AK157)))</f>
        <v/>
      </c>
      <c r="F157" s="33">
        <f>SUMIF($H$5:$AK$5,"Due",H157:AK157)-SUMIF($H$5:$AK$5,"Bal",H156:AK156)</f>
        <v/>
      </c>
      <c r="G157" s="33">
        <f>SUMIF($H$5:$AK$5,"Bal",H157:AK157)</f>
        <v/>
      </c>
      <c r="H157" s="33">
        <f>J156*(1+N(Debts!$D$6)/1200)</f>
        <v/>
      </c>
      <c r="I157" s="33">
        <f>H157-MIN(N(Debts!$E$6),H157)</f>
        <v/>
      </c>
      <c r="J157" s="33">
        <f>IF(I157&lt;=0.005,0,I157-MIN(I157,MAX(0,$E157-SUMIFS(H157:AK157,$H$5:$AK$5,"Rem",$H$4:$AK$4,"&lt;"&amp;J$4))))</f>
        <v/>
      </c>
      <c r="K157" s="33">
        <f>M156*(1+N(Debts!$D$7)/1200)</f>
        <v/>
      </c>
      <c r="L157" s="33">
        <f>K157-MIN(N(Debts!$E$7),K157)</f>
        <v/>
      </c>
      <c r="M157" s="33">
        <f>IF(L157&lt;=0.005,0,L157-MIN(L157,MAX(0,$E157-SUMIFS(H157:AK157,$H$5:$AK$5,"Rem",$H$4:$AK$4,"&lt;"&amp;M$4))))</f>
        <v/>
      </c>
      <c r="N157" s="33">
        <f>P156*(1+N(Debts!$D$8)/1200)</f>
        <v/>
      </c>
      <c r="O157" s="33">
        <f>N157-MIN(N(Debts!$E$8),N157)</f>
        <v/>
      </c>
      <c r="P157" s="33">
        <f>IF(O157&lt;=0.005,0,O157-MIN(O157,MAX(0,$E157-SUMIFS(H157:AK157,$H$5:$AK$5,"Rem",$H$4:$AK$4,"&lt;"&amp;P$4))))</f>
        <v/>
      </c>
      <c r="Q157" s="33">
        <f>S156*(1+N(Debts!$D$9)/1200)</f>
        <v/>
      </c>
      <c r="R157" s="33">
        <f>Q157-MIN(N(Debts!$E$9),Q157)</f>
        <v/>
      </c>
      <c r="S157" s="33">
        <f>IF(R157&lt;=0.005,0,R157-MIN(R157,MAX(0,$E157-SUMIFS(H157:AK157,$H$5:$AK$5,"Rem",$H$4:$AK$4,"&lt;"&amp;S$4))))</f>
        <v/>
      </c>
      <c r="T157" s="33">
        <f>V156*(1+N(Debts!$D$10)/1200)</f>
        <v/>
      </c>
      <c r="U157" s="33">
        <f>T157-MIN(N(Debts!$E$10),T157)</f>
        <v/>
      </c>
      <c r="V157" s="33">
        <f>IF(U157&lt;=0.005,0,U157-MIN(U157,MAX(0,$E157-SUMIFS(H157:AK157,$H$5:$AK$5,"Rem",$H$4:$AK$4,"&lt;"&amp;V$4))))</f>
        <v/>
      </c>
      <c r="W157" s="33">
        <f>Y156*(1+N(Debts!$D$11)/1200)</f>
        <v/>
      </c>
      <c r="X157" s="33">
        <f>W157-MIN(N(Debts!$E$11),W157)</f>
        <v/>
      </c>
      <c r="Y157" s="33">
        <f>IF(X157&lt;=0.005,0,X157-MIN(X157,MAX(0,$E157-SUMIFS(H157:AK157,$H$5:$AK$5,"Rem",$H$4:$AK$4,"&lt;"&amp;Y$4))))</f>
        <v/>
      </c>
      <c r="Z157" s="33">
        <f>AB156*(1+N(Debts!$D$12)/1200)</f>
        <v/>
      </c>
      <c r="AA157" s="33">
        <f>Z157-MIN(N(Debts!$E$12),Z157)</f>
        <v/>
      </c>
      <c r="AB157" s="33">
        <f>IF(AA157&lt;=0.005,0,AA157-MIN(AA157,MAX(0,$E157-SUMIFS(H157:AK157,$H$5:$AK$5,"Rem",$H$4:$AK$4,"&lt;"&amp;AB$4))))</f>
        <v/>
      </c>
      <c r="AC157" s="33">
        <f>AE156*(1+N(Debts!$D$13)/1200)</f>
        <v/>
      </c>
      <c r="AD157" s="33">
        <f>AC157-MIN(N(Debts!$E$13),AC157)</f>
        <v/>
      </c>
      <c r="AE157" s="33">
        <f>IF(AD157&lt;=0.005,0,AD157-MIN(AD157,MAX(0,$E157-SUMIFS(H157:AK157,$H$5:$AK$5,"Rem",$H$4:$AK$4,"&lt;"&amp;AE$4))))</f>
        <v/>
      </c>
      <c r="AF157" s="33">
        <f>AH156*(1+N(Debts!$D$14)/1200)</f>
        <v/>
      </c>
      <c r="AG157" s="33">
        <f>AF157-MIN(N(Debts!$E$14),AF157)</f>
        <v/>
      </c>
      <c r="AH157" s="33">
        <f>IF(AG157&lt;=0.005,0,AG157-MIN(AG157,MAX(0,$E157-SUMIFS(H157:AK157,$H$5:$AK$5,"Rem",$H$4:$AK$4,"&lt;"&amp;AH$4))))</f>
        <v/>
      </c>
      <c r="AI157" s="33">
        <f>AK156*(1+N(Debts!$D$15)/1200)</f>
        <v/>
      </c>
      <c r="AJ157" s="33">
        <f>AI157-MIN(N(Debts!$E$15),AI157)</f>
        <v/>
      </c>
      <c r="AK157" s="33">
        <f>IF(AJ157&lt;=0.005,0,AJ157-MIN(AJ157,MAX(0,$E157-SUMIFS(H157:AK157,$H$5:$AK$5,"Rem",$H$4:$AK$4,"&lt;"&amp;AK$4))))</f>
        <v/>
      </c>
      <c r="AL157" s="1" t="n"/>
    </row>
    <row r="158">
      <c r="A158" s="1" t="n"/>
      <c r="B158" s="1" t="n">
        <v>151</v>
      </c>
      <c r="C158" s="34">
        <f>EDATE(Debts!$J$13,B158-1)</f>
        <v/>
      </c>
      <c r="D158" s="33">
        <f>IF(G157&lt;=0.005,0,Debts!$E$16+Debts!$J$7)</f>
        <v/>
      </c>
      <c r="E158" s="33">
        <f>MAX(0,D158-(SUMIF($H$5:$AK$5,"Due",H158:AK158)-SUMIF($H$5:$AK$5,"Rem",H158:AK158)))</f>
        <v/>
      </c>
      <c r="F158" s="33">
        <f>SUMIF($H$5:$AK$5,"Due",H158:AK158)-SUMIF($H$5:$AK$5,"Bal",H157:AK157)</f>
        <v/>
      </c>
      <c r="G158" s="33">
        <f>SUMIF($H$5:$AK$5,"Bal",H158:AK158)</f>
        <v/>
      </c>
      <c r="H158" s="33">
        <f>J157*(1+N(Debts!$D$6)/1200)</f>
        <v/>
      </c>
      <c r="I158" s="33">
        <f>H158-MIN(N(Debts!$E$6),H158)</f>
        <v/>
      </c>
      <c r="J158" s="33">
        <f>IF(I158&lt;=0.005,0,I158-MIN(I158,MAX(0,$E158-SUMIFS(H158:AK158,$H$5:$AK$5,"Rem",$H$4:$AK$4,"&lt;"&amp;J$4))))</f>
        <v/>
      </c>
      <c r="K158" s="33">
        <f>M157*(1+N(Debts!$D$7)/1200)</f>
        <v/>
      </c>
      <c r="L158" s="33">
        <f>K158-MIN(N(Debts!$E$7),K158)</f>
        <v/>
      </c>
      <c r="M158" s="33">
        <f>IF(L158&lt;=0.005,0,L158-MIN(L158,MAX(0,$E158-SUMIFS(H158:AK158,$H$5:$AK$5,"Rem",$H$4:$AK$4,"&lt;"&amp;M$4))))</f>
        <v/>
      </c>
      <c r="N158" s="33">
        <f>P157*(1+N(Debts!$D$8)/1200)</f>
        <v/>
      </c>
      <c r="O158" s="33">
        <f>N158-MIN(N(Debts!$E$8),N158)</f>
        <v/>
      </c>
      <c r="P158" s="33">
        <f>IF(O158&lt;=0.005,0,O158-MIN(O158,MAX(0,$E158-SUMIFS(H158:AK158,$H$5:$AK$5,"Rem",$H$4:$AK$4,"&lt;"&amp;P$4))))</f>
        <v/>
      </c>
      <c r="Q158" s="33">
        <f>S157*(1+N(Debts!$D$9)/1200)</f>
        <v/>
      </c>
      <c r="R158" s="33">
        <f>Q158-MIN(N(Debts!$E$9),Q158)</f>
        <v/>
      </c>
      <c r="S158" s="33">
        <f>IF(R158&lt;=0.005,0,R158-MIN(R158,MAX(0,$E158-SUMIFS(H158:AK158,$H$5:$AK$5,"Rem",$H$4:$AK$4,"&lt;"&amp;S$4))))</f>
        <v/>
      </c>
      <c r="T158" s="33">
        <f>V157*(1+N(Debts!$D$10)/1200)</f>
        <v/>
      </c>
      <c r="U158" s="33">
        <f>T158-MIN(N(Debts!$E$10),T158)</f>
        <v/>
      </c>
      <c r="V158" s="33">
        <f>IF(U158&lt;=0.005,0,U158-MIN(U158,MAX(0,$E158-SUMIFS(H158:AK158,$H$5:$AK$5,"Rem",$H$4:$AK$4,"&lt;"&amp;V$4))))</f>
        <v/>
      </c>
      <c r="W158" s="33">
        <f>Y157*(1+N(Debts!$D$11)/1200)</f>
        <v/>
      </c>
      <c r="X158" s="33">
        <f>W158-MIN(N(Debts!$E$11),W158)</f>
        <v/>
      </c>
      <c r="Y158" s="33">
        <f>IF(X158&lt;=0.005,0,X158-MIN(X158,MAX(0,$E158-SUMIFS(H158:AK158,$H$5:$AK$5,"Rem",$H$4:$AK$4,"&lt;"&amp;Y$4))))</f>
        <v/>
      </c>
      <c r="Z158" s="33">
        <f>AB157*(1+N(Debts!$D$12)/1200)</f>
        <v/>
      </c>
      <c r="AA158" s="33">
        <f>Z158-MIN(N(Debts!$E$12),Z158)</f>
        <v/>
      </c>
      <c r="AB158" s="33">
        <f>IF(AA158&lt;=0.005,0,AA158-MIN(AA158,MAX(0,$E158-SUMIFS(H158:AK158,$H$5:$AK$5,"Rem",$H$4:$AK$4,"&lt;"&amp;AB$4))))</f>
        <v/>
      </c>
      <c r="AC158" s="33">
        <f>AE157*(1+N(Debts!$D$13)/1200)</f>
        <v/>
      </c>
      <c r="AD158" s="33">
        <f>AC158-MIN(N(Debts!$E$13),AC158)</f>
        <v/>
      </c>
      <c r="AE158" s="33">
        <f>IF(AD158&lt;=0.005,0,AD158-MIN(AD158,MAX(0,$E158-SUMIFS(H158:AK158,$H$5:$AK$5,"Rem",$H$4:$AK$4,"&lt;"&amp;AE$4))))</f>
        <v/>
      </c>
      <c r="AF158" s="33">
        <f>AH157*(1+N(Debts!$D$14)/1200)</f>
        <v/>
      </c>
      <c r="AG158" s="33">
        <f>AF158-MIN(N(Debts!$E$14),AF158)</f>
        <v/>
      </c>
      <c r="AH158" s="33">
        <f>IF(AG158&lt;=0.005,0,AG158-MIN(AG158,MAX(0,$E158-SUMIFS(H158:AK158,$H$5:$AK$5,"Rem",$H$4:$AK$4,"&lt;"&amp;AH$4))))</f>
        <v/>
      </c>
      <c r="AI158" s="33">
        <f>AK157*(1+N(Debts!$D$15)/1200)</f>
        <v/>
      </c>
      <c r="AJ158" s="33">
        <f>AI158-MIN(N(Debts!$E$15),AI158)</f>
        <v/>
      </c>
      <c r="AK158" s="33">
        <f>IF(AJ158&lt;=0.005,0,AJ158-MIN(AJ158,MAX(0,$E158-SUMIFS(H158:AK158,$H$5:$AK$5,"Rem",$H$4:$AK$4,"&lt;"&amp;AK$4))))</f>
        <v/>
      </c>
      <c r="AL158" s="1" t="n"/>
    </row>
    <row r="159">
      <c r="A159" s="1" t="n"/>
      <c r="B159" s="1" t="n">
        <v>152</v>
      </c>
      <c r="C159" s="34">
        <f>EDATE(Debts!$J$13,B159-1)</f>
        <v/>
      </c>
      <c r="D159" s="33">
        <f>IF(G158&lt;=0.005,0,Debts!$E$16+Debts!$J$7)</f>
        <v/>
      </c>
      <c r="E159" s="33">
        <f>MAX(0,D159-(SUMIF($H$5:$AK$5,"Due",H159:AK159)-SUMIF($H$5:$AK$5,"Rem",H159:AK159)))</f>
        <v/>
      </c>
      <c r="F159" s="33">
        <f>SUMIF($H$5:$AK$5,"Due",H159:AK159)-SUMIF($H$5:$AK$5,"Bal",H158:AK158)</f>
        <v/>
      </c>
      <c r="G159" s="33">
        <f>SUMIF($H$5:$AK$5,"Bal",H159:AK159)</f>
        <v/>
      </c>
      <c r="H159" s="33">
        <f>J158*(1+N(Debts!$D$6)/1200)</f>
        <v/>
      </c>
      <c r="I159" s="33">
        <f>H159-MIN(N(Debts!$E$6),H159)</f>
        <v/>
      </c>
      <c r="J159" s="33">
        <f>IF(I159&lt;=0.005,0,I159-MIN(I159,MAX(0,$E159-SUMIFS(H159:AK159,$H$5:$AK$5,"Rem",$H$4:$AK$4,"&lt;"&amp;J$4))))</f>
        <v/>
      </c>
      <c r="K159" s="33">
        <f>M158*(1+N(Debts!$D$7)/1200)</f>
        <v/>
      </c>
      <c r="L159" s="33">
        <f>K159-MIN(N(Debts!$E$7),K159)</f>
        <v/>
      </c>
      <c r="M159" s="33">
        <f>IF(L159&lt;=0.005,0,L159-MIN(L159,MAX(0,$E159-SUMIFS(H159:AK159,$H$5:$AK$5,"Rem",$H$4:$AK$4,"&lt;"&amp;M$4))))</f>
        <v/>
      </c>
      <c r="N159" s="33">
        <f>P158*(1+N(Debts!$D$8)/1200)</f>
        <v/>
      </c>
      <c r="O159" s="33">
        <f>N159-MIN(N(Debts!$E$8),N159)</f>
        <v/>
      </c>
      <c r="P159" s="33">
        <f>IF(O159&lt;=0.005,0,O159-MIN(O159,MAX(0,$E159-SUMIFS(H159:AK159,$H$5:$AK$5,"Rem",$H$4:$AK$4,"&lt;"&amp;P$4))))</f>
        <v/>
      </c>
      <c r="Q159" s="33">
        <f>S158*(1+N(Debts!$D$9)/1200)</f>
        <v/>
      </c>
      <c r="R159" s="33">
        <f>Q159-MIN(N(Debts!$E$9),Q159)</f>
        <v/>
      </c>
      <c r="S159" s="33">
        <f>IF(R159&lt;=0.005,0,R159-MIN(R159,MAX(0,$E159-SUMIFS(H159:AK159,$H$5:$AK$5,"Rem",$H$4:$AK$4,"&lt;"&amp;S$4))))</f>
        <v/>
      </c>
      <c r="T159" s="33">
        <f>V158*(1+N(Debts!$D$10)/1200)</f>
        <v/>
      </c>
      <c r="U159" s="33">
        <f>T159-MIN(N(Debts!$E$10),T159)</f>
        <v/>
      </c>
      <c r="V159" s="33">
        <f>IF(U159&lt;=0.005,0,U159-MIN(U159,MAX(0,$E159-SUMIFS(H159:AK159,$H$5:$AK$5,"Rem",$H$4:$AK$4,"&lt;"&amp;V$4))))</f>
        <v/>
      </c>
      <c r="W159" s="33">
        <f>Y158*(1+N(Debts!$D$11)/1200)</f>
        <v/>
      </c>
      <c r="X159" s="33">
        <f>W159-MIN(N(Debts!$E$11),W159)</f>
        <v/>
      </c>
      <c r="Y159" s="33">
        <f>IF(X159&lt;=0.005,0,X159-MIN(X159,MAX(0,$E159-SUMIFS(H159:AK159,$H$5:$AK$5,"Rem",$H$4:$AK$4,"&lt;"&amp;Y$4))))</f>
        <v/>
      </c>
      <c r="Z159" s="33">
        <f>AB158*(1+N(Debts!$D$12)/1200)</f>
        <v/>
      </c>
      <c r="AA159" s="33">
        <f>Z159-MIN(N(Debts!$E$12),Z159)</f>
        <v/>
      </c>
      <c r="AB159" s="33">
        <f>IF(AA159&lt;=0.005,0,AA159-MIN(AA159,MAX(0,$E159-SUMIFS(H159:AK159,$H$5:$AK$5,"Rem",$H$4:$AK$4,"&lt;"&amp;AB$4))))</f>
        <v/>
      </c>
      <c r="AC159" s="33">
        <f>AE158*(1+N(Debts!$D$13)/1200)</f>
        <v/>
      </c>
      <c r="AD159" s="33">
        <f>AC159-MIN(N(Debts!$E$13),AC159)</f>
        <v/>
      </c>
      <c r="AE159" s="33">
        <f>IF(AD159&lt;=0.005,0,AD159-MIN(AD159,MAX(0,$E159-SUMIFS(H159:AK159,$H$5:$AK$5,"Rem",$H$4:$AK$4,"&lt;"&amp;AE$4))))</f>
        <v/>
      </c>
      <c r="AF159" s="33">
        <f>AH158*(1+N(Debts!$D$14)/1200)</f>
        <v/>
      </c>
      <c r="AG159" s="33">
        <f>AF159-MIN(N(Debts!$E$14),AF159)</f>
        <v/>
      </c>
      <c r="AH159" s="33">
        <f>IF(AG159&lt;=0.005,0,AG159-MIN(AG159,MAX(0,$E159-SUMIFS(H159:AK159,$H$5:$AK$5,"Rem",$H$4:$AK$4,"&lt;"&amp;AH$4))))</f>
        <v/>
      </c>
      <c r="AI159" s="33">
        <f>AK158*(1+N(Debts!$D$15)/1200)</f>
        <v/>
      </c>
      <c r="AJ159" s="33">
        <f>AI159-MIN(N(Debts!$E$15),AI159)</f>
        <v/>
      </c>
      <c r="AK159" s="33">
        <f>IF(AJ159&lt;=0.005,0,AJ159-MIN(AJ159,MAX(0,$E159-SUMIFS(H159:AK159,$H$5:$AK$5,"Rem",$H$4:$AK$4,"&lt;"&amp;AK$4))))</f>
        <v/>
      </c>
      <c r="AL159" s="1" t="n"/>
    </row>
    <row r="160">
      <c r="A160" s="1" t="n"/>
      <c r="B160" s="1" t="n">
        <v>153</v>
      </c>
      <c r="C160" s="34">
        <f>EDATE(Debts!$J$13,B160-1)</f>
        <v/>
      </c>
      <c r="D160" s="33">
        <f>IF(G159&lt;=0.005,0,Debts!$E$16+Debts!$J$7)</f>
        <v/>
      </c>
      <c r="E160" s="33">
        <f>MAX(0,D160-(SUMIF($H$5:$AK$5,"Due",H160:AK160)-SUMIF($H$5:$AK$5,"Rem",H160:AK160)))</f>
        <v/>
      </c>
      <c r="F160" s="33">
        <f>SUMIF($H$5:$AK$5,"Due",H160:AK160)-SUMIF($H$5:$AK$5,"Bal",H159:AK159)</f>
        <v/>
      </c>
      <c r="G160" s="33">
        <f>SUMIF($H$5:$AK$5,"Bal",H160:AK160)</f>
        <v/>
      </c>
      <c r="H160" s="33">
        <f>J159*(1+N(Debts!$D$6)/1200)</f>
        <v/>
      </c>
      <c r="I160" s="33">
        <f>H160-MIN(N(Debts!$E$6),H160)</f>
        <v/>
      </c>
      <c r="J160" s="33">
        <f>IF(I160&lt;=0.005,0,I160-MIN(I160,MAX(0,$E160-SUMIFS(H160:AK160,$H$5:$AK$5,"Rem",$H$4:$AK$4,"&lt;"&amp;J$4))))</f>
        <v/>
      </c>
      <c r="K160" s="33">
        <f>M159*(1+N(Debts!$D$7)/1200)</f>
        <v/>
      </c>
      <c r="L160" s="33">
        <f>K160-MIN(N(Debts!$E$7),K160)</f>
        <v/>
      </c>
      <c r="M160" s="33">
        <f>IF(L160&lt;=0.005,0,L160-MIN(L160,MAX(0,$E160-SUMIFS(H160:AK160,$H$5:$AK$5,"Rem",$H$4:$AK$4,"&lt;"&amp;M$4))))</f>
        <v/>
      </c>
      <c r="N160" s="33">
        <f>P159*(1+N(Debts!$D$8)/1200)</f>
        <v/>
      </c>
      <c r="O160" s="33">
        <f>N160-MIN(N(Debts!$E$8),N160)</f>
        <v/>
      </c>
      <c r="P160" s="33">
        <f>IF(O160&lt;=0.005,0,O160-MIN(O160,MAX(0,$E160-SUMIFS(H160:AK160,$H$5:$AK$5,"Rem",$H$4:$AK$4,"&lt;"&amp;P$4))))</f>
        <v/>
      </c>
      <c r="Q160" s="33">
        <f>S159*(1+N(Debts!$D$9)/1200)</f>
        <v/>
      </c>
      <c r="R160" s="33">
        <f>Q160-MIN(N(Debts!$E$9),Q160)</f>
        <v/>
      </c>
      <c r="S160" s="33">
        <f>IF(R160&lt;=0.005,0,R160-MIN(R160,MAX(0,$E160-SUMIFS(H160:AK160,$H$5:$AK$5,"Rem",$H$4:$AK$4,"&lt;"&amp;S$4))))</f>
        <v/>
      </c>
      <c r="T160" s="33">
        <f>V159*(1+N(Debts!$D$10)/1200)</f>
        <v/>
      </c>
      <c r="U160" s="33">
        <f>T160-MIN(N(Debts!$E$10),T160)</f>
        <v/>
      </c>
      <c r="V160" s="33">
        <f>IF(U160&lt;=0.005,0,U160-MIN(U160,MAX(0,$E160-SUMIFS(H160:AK160,$H$5:$AK$5,"Rem",$H$4:$AK$4,"&lt;"&amp;V$4))))</f>
        <v/>
      </c>
      <c r="W160" s="33">
        <f>Y159*(1+N(Debts!$D$11)/1200)</f>
        <v/>
      </c>
      <c r="X160" s="33">
        <f>W160-MIN(N(Debts!$E$11),W160)</f>
        <v/>
      </c>
      <c r="Y160" s="33">
        <f>IF(X160&lt;=0.005,0,X160-MIN(X160,MAX(0,$E160-SUMIFS(H160:AK160,$H$5:$AK$5,"Rem",$H$4:$AK$4,"&lt;"&amp;Y$4))))</f>
        <v/>
      </c>
      <c r="Z160" s="33">
        <f>AB159*(1+N(Debts!$D$12)/1200)</f>
        <v/>
      </c>
      <c r="AA160" s="33">
        <f>Z160-MIN(N(Debts!$E$12),Z160)</f>
        <v/>
      </c>
      <c r="AB160" s="33">
        <f>IF(AA160&lt;=0.005,0,AA160-MIN(AA160,MAX(0,$E160-SUMIFS(H160:AK160,$H$5:$AK$5,"Rem",$H$4:$AK$4,"&lt;"&amp;AB$4))))</f>
        <v/>
      </c>
      <c r="AC160" s="33">
        <f>AE159*(1+N(Debts!$D$13)/1200)</f>
        <v/>
      </c>
      <c r="AD160" s="33">
        <f>AC160-MIN(N(Debts!$E$13),AC160)</f>
        <v/>
      </c>
      <c r="AE160" s="33">
        <f>IF(AD160&lt;=0.005,0,AD160-MIN(AD160,MAX(0,$E160-SUMIFS(H160:AK160,$H$5:$AK$5,"Rem",$H$4:$AK$4,"&lt;"&amp;AE$4))))</f>
        <v/>
      </c>
      <c r="AF160" s="33">
        <f>AH159*(1+N(Debts!$D$14)/1200)</f>
        <v/>
      </c>
      <c r="AG160" s="33">
        <f>AF160-MIN(N(Debts!$E$14),AF160)</f>
        <v/>
      </c>
      <c r="AH160" s="33">
        <f>IF(AG160&lt;=0.005,0,AG160-MIN(AG160,MAX(0,$E160-SUMIFS(H160:AK160,$H$5:$AK$5,"Rem",$H$4:$AK$4,"&lt;"&amp;AH$4))))</f>
        <v/>
      </c>
      <c r="AI160" s="33">
        <f>AK159*(1+N(Debts!$D$15)/1200)</f>
        <v/>
      </c>
      <c r="AJ160" s="33">
        <f>AI160-MIN(N(Debts!$E$15),AI160)</f>
        <v/>
      </c>
      <c r="AK160" s="33">
        <f>IF(AJ160&lt;=0.005,0,AJ160-MIN(AJ160,MAX(0,$E160-SUMIFS(H160:AK160,$H$5:$AK$5,"Rem",$H$4:$AK$4,"&lt;"&amp;AK$4))))</f>
        <v/>
      </c>
      <c r="AL160" s="1" t="n"/>
    </row>
    <row r="161">
      <c r="A161" s="1" t="n"/>
      <c r="B161" s="1" t="n">
        <v>154</v>
      </c>
      <c r="C161" s="34">
        <f>EDATE(Debts!$J$13,B161-1)</f>
        <v/>
      </c>
      <c r="D161" s="33">
        <f>IF(G160&lt;=0.005,0,Debts!$E$16+Debts!$J$7)</f>
        <v/>
      </c>
      <c r="E161" s="33">
        <f>MAX(0,D161-(SUMIF($H$5:$AK$5,"Due",H161:AK161)-SUMIF($H$5:$AK$5,"Rem",H161:AK161)))</f>
        <v/>
      </c>
      <c r="F161" s="33">
        <f>SUMIF($H$5:$AK$5,"Due",H161:AK161)-SUMIF($H$5:$AK$5,"Bal",H160:AK160)</f>
        <v/>
      </c>
      <c r="G161" s="33">
        <f>SUMIF($H$5:$AK$5,"Bal",H161:AK161)</f>
        <v/>
      </c>
      <c r="H161" s="33">
        <f>J160*(1+N(Debts!$D$6)/1200)</f>
        <v/>
      </c>
      <c r="I161" s="33">
        <f>H161-MIN(N(Debts!$E$6),H161)</f>
        <v/>
      </c>
      <c r="J161" s="33">
        <f>IF(I161&lt;=0.005,0,I161-MIN(I161,MAX(0,$E161-SUMIFS(H161:AK161,$H$5:$AK$5,"Rem",$H$4:$AK$4,"&lt;"&amp;J$4))))</f>
        <v/>
      </c>
      <c r="K161" s="33">
        <f>M160*(1+N(Debts!$D$7)/1200)</f>
        <v/>
      </c>
      <c r="L161" s="33">
        <f>K161-MIN(N(Debts!$E$7),K161)</f>
        <v/>
      </c>
      <c r="M161" s="33">
        <f>IF(L161&lt;=0.005,0,L161-MIN(L161,MAX(0,$E161-SUMIFS(H161:AK161,$H$5:$AK$5,"Rem",$H$4:$AK$4,"&lt;"&amp;M$4))))</f>
        <v/>
      </c>
      <c r="N161" s="33">
        <f>P160*(1+N(Debts!$D$8)/1200)</f>
        <v/>
      </c>
      <c r="O161" s="33">
        <f>N161-MIN(N(Debts!$E$8),N161)</f>
        <v/>
      </c>
      <c r="P161" s="33">
        <f>IF(O161&lt;=0.005,0,O161-MIN(O161,MAX(0,$E161-SUMIFS(H161:AK161,$H$5:$AK$5,"Rem",$H$4:$AK$4,"&lt;"&amp;P$4))))</f>
        <v/>
      </c>
      <c r="Q161" s="33">
        <f>S160*(1+N(Debts!$D$9)/1200)</f>
        <v/>
      </c>
      <c r="R161" s="33">
        <f>Q161-MIN(N(Debts!$E$9),Q161)</f>
        <v/>
      </c>
      <c r="S161" s="33">
        <f>IF(R161&lt;=0.005,0,R161-MIN(R161,MAX(0,$E161-SUMIFS(H161:AK161,$H$5:$AK$5,"Rem",$H$4:$AK$4,"&lt;"&amp;S$4))))</f>
        <v/>
      </c>
      <c r="T161" s="33">
        <f>V160*(1+N(Debts!$D$10)/1200)</f>
        <v/>
      </c>
      <c r="U161" s="33">
        <f>T161-MIN(N(Debts!$E$10),T161)</f>
        <v/>
      </c>
      <c r="V161" s="33">
        <f>IF(U161&lt;=0.005,0,U161-MIN(U161,MAX(0,$E161-SUMIFS(H161:AK161,$H$5:$AK$5,"Rem",$H$4:$AK$4,"&lt;"&amp;V$4))))</f>
        <v/>
      </c>
      <c r="W161" s="33">
        <f>Y160*(1+N(Debts!$D$11)/1200)</f>
        <v/>
      </c>
      <c r="X161" s="33">
        <f>W161-MIN(N(Debts!$E$11),W161)</f>
        <v/>
      </c>
      <c r="Y161" s="33">
        <f>IF(X161&lt;=0.005,0,X161-MIN(X161,MAX(0,$E161-SUMIFS(H161:AK161,$H$5:$AK$5,"Rem",$H$4:$AK$4,"&lt;"&amp;Y$4))))</f>
        <v/>
      </c>
      <c r="Z161" s="33">
        <f>AB160*(1+N(Debts!$D$12)/1200)</f>
        <v/>
      </c>
      <c r="AA161" s="33">
        <f>Z161-MIN(N(Debts!$E$12),Z161)</f>
        <v/>
      </c>
      <c r="AB161" s="33">
        <f>IF(AA161&lt;=0.005,0,AA161-MIN(AA161,MAX(0,$E161-SUMIFS(H161:AK161,$H$5:$AK$5,"Rem",$H$4:$AK$4,"&lt;"&amp;AB$4))))</f>
        <v/>
      </c>
      <c r="AC161" s="33">
        <f>AE160*(1+N(Debts!$D$13)/1200)</f>
        <v/>
      </c>
      <c r="AD161" s="33">
        <f>AC161-MIN(N(Debts!$E$13),AC161)</f>
        <v/>
      </c>
      <c r="AE161" s="33">
        <f>IF(AD161&lt;=0.005,0,AD161-MIN(AD161,MAX(0,$E161-SUMIFS(H161:AK161,$H$5:$AK$5,"Rem",$H$4:$AK$4,"&lt;"&amp;AE$4))))</f>
        <v/>
      </c>
      <c r="AF161" s="33">
        <f>AH160*(1+N(Debts!$D$14)/1200)</f>
        <v/>
      </c>
      <c r="AG161" s="33">
        <f>AF161-MIN(N(Debts!$E$14),AF161)</f>
        <v/>
      </c>
      <c r="AH161" s="33">
        <f>IF(AG161&lt;=0.005,0,AG161-MIN(AG161,MAX(0,$E161-SUMIFS(H161:AK161,$H$5:$AK$5,"Rem",$H$4:$AK$4,"&lt;"&amp;AH$4))))</f>
        <v/>
      </c>
      <c r="AI161" s="33">
        <f>AK160*(1+N(Debts!$D$15)/1200)</f>
        <v/>
      </c>
      <c r="AJ161" s="33">
        <f>AI161-MIN(N(Debts!$E$15),AI161)</f>
        <v/>
      </c>
      <c r="AK161" s="33">
        <f>IF(AJ161&lt;=0.005,0,AJ161-MIN(AJ161,MAX(0,$E161-SUMIFS(H161:AK161,$H$5:$AK$5,"Rem",$H$4:$AK$4,"&lt;"&amp;AK$4))))</f>
        <v/>
      </c>
      <c r="AL161" s="1" t="n"/>
    </row>
    <row r="162">
      <c r="A162" s="1" t="n"/>
      <c r="B162" s="1" t="n">
        <v>155</v>
      </c>
      <c r="C162" s="34">
        <f>EDATE(Debts!$J$13,B162-1)</f>
        <v/>
      </c>
      <c r="D162" s="33">
        <f>IF(G161&lt;=0.005,0,Debts!$E$16+Debts!$J$7)</f>
        <v/>
      </c>
      <c r="E162" s="33">
        <f>MAX(0,D162-(SUMIF($H$5:$AK$5,"Due",H162:AK162)-SUMIF($H$5:$AK$5,"Rem",H162:AK162)))</f>
        <v/>
      </c>
      <c r="F162" s="33">
        <f>SUMIF($H$5:$AK$5,"Due",H162:AK162)-SUMIF($H$5:$AK$5,"Bal",H161:AK161)</f>
        <v/>
      </c>
      <c r="G162" s="33">
        <f>SUMIF($H$5:$AK$5,"Bal",H162:AK162)</f>
        <v/>
      </c>
      <c r="H162" s="33">
        <f>J161*(1+N(Debts!$D$6)/1200)</f>
        <v/>
      </c>
      <c r="I162" s="33">
        <f>H162-MIN(N(Debts!$E$6),H162)</f>
        <v/>
      </c>
      <c r="J162" s="33">
        <f>IF(I162&lt;=0.005,0,I162-MIN(I162,MAX(0,$E162-SUMIFS(H162:AK162,$H$5:$AK$5,"Rem",$H$4:$AK$4,"&lt;"&amp;J$4))))</f>
        <v/>
      </c>
      <c r="K162" s="33">
        <f>M161*(1+N(Debts!$D$7)/1200)</f>
        <v/>
      </c>
      <c r="L162" s="33">
        <f>K162-MIN(N(Debts!$E$7),K162)</f>
        <v/>
      </c>
      <c r="M162" s="33">
        <f>IF(L162&lt;=0.005,0,L162-MIN(L162,MAX(0,$E162-SUMIFS(H162:AK162,$H$5:$AK$5,"Rem",$H$4:$AK$4,"&lt;"&amp;M$4))))</f>
        <v/>
      </c>
      <c r="N162" s="33">
        <f>P161*(1+N(Debts!$D$8)/1200)</f>
        <v/>
      </c>
      <c r="O162" s="33">
        <f>N162-MIN(N(Debts!$E$8),N162)</f>
        <v/>
      </c>
      <c r="P162" s="33">
        <f>IF(O162&lt;=0.005,0,O162-MIN(O162,MAX(0,$E162-SUMIFS(H162:AK162,$H$5:$AK$5,"Rem",$H$4:$AK$4,"&lt;"&amp;P$4))))</f>
        <v/>
      </c>
      <c r="Q162" s="33">
        <f>S161*(1+N(Debts!$D$9)/1200)</f>
        <v/>
      </c>
      <c r="R162" s="33">
        <f>Q162-MIN(N(Debts!$E$9),Q162)</f>
        <v/>
      </c>
      <c r="S162" s="33">
        <f>IF(R162&lt;=0.005,0,R162-MIN(R162,MAX(0,$E162-SUMIFS(H162:AK162,$H$5:$AK$5,"Rem",$H$4:$AK$4,"&lt;"&amp;S$4))))</f>
        <v/>
      </c>
      <c r="T162" s="33">
        <f>V161*(1+N(Debts!$D$10)/1200)</f>
        <v/>
      </c>
      <c r="U162" s="33">
        <f>T162-MIN(N(Debts!$E$10),T162)</f>
        <v/>
      </c>
      <c r="V162" s="33">
        <f>IF(U162&lt;=0.005,0,U162-MIN(U162,MAX(0,$E162-SUMIFS(H162:AK162,$H$5:$AK$5,"Rem",$H$4:$AK$4,"&lt;"&amp;V$4))))</f>
        <v/>
      </c>
      <c r="W162" s="33">
        <f>Y161*(1+N(Debts!$D$11)/1200)</f>
        <v/>
      </c>
      <c r="X162" s="33">
        <f>W162-MIN(N(Debts!$E$11),W162)</f>
        <v/>
      </c>
      <c r="Y162" s="33">
        <f>IF(X162&lt;=0.005,0,X162-MIN(X162,MAX(0,$E162-SUMIFS(H162:AK162,$H$5:$AK$5,"Rem",$H$4:$AK$4,"&lt;"&amp;Y$4))))</f>
        <v/>
      </c>
      <c r="Z162" s="33">
        <f>AB161*(1+N(Debts!$D$12)/1200)</f>
        <v/>
      </c>
      <c r="AA162" s="33">
        <f>Z162-MIN(N(Debts!$E$12),Z162)</f>
        <v/>
      </c>
      <c r="AB162" s="33">
        <f>IF(AA162&lt;=0.005,0,AA162-MIN(AA162,MAX(0,$E162-SUMIFS(H162:AK162,$H$5:$AK$5,"Rem",$H$4:$AK$4,"&lt;"&amp;AB$4))))</f>
        <v/>
      </c>
      <c r="AC162" s="33">
        <f>AE161*(1+N(Debts!$D$13)/1200)</f>
        <v/>
      </c>
      <c r="AD162" s="33">
        <f>AC162-MIN(N(Debts!$E$13),AC162)</f>
        <v/>
      </c>
      <c r="AE162" s="33">
        <f>IF(AD162&lt;=0.005,0,AD162-MIN(AD162,MAX(0,$E162-SUMIFS(H162:AK162,$H$5:$AK$5,"Rem",$H$4:$AK$4,"&lt;"&amp;AE$4))))</f>
        <v/>
      </c>
      <c r="AF162" s="33">
        <f>AH161*(1+N(Debts!$D$14)/1200)</f>
        <v/>
      </c>
      <c r="AG162" s="33">
        <f>AF162-MIN(N(Debts!$E$14),AF162)</f>
        <v/>
      </c>
      <c r="AH162" s="33">
        <f>IF(AG162&lt;=0.005,0,AG162-MIN(AG162,MAX(0,$E162-SUMIFS(H162:AK162,$H$5:$AK$5,"Rem",$H$4:$AK$4,"&lt;"&amp;AH$4))))</f>
        <v/>
      </c>
      <c r="AI162" s="33">
        <f>AK161*(1+N(Debts!$D$15)/1200)</f>
        <v/>
      </c>
      <c r="AJ162" s="33">
        <f>AI162-MIN(N(Debts!$E$15),AI162)</f>
        <v/>
      </c>
      <c r="AK162" s="33">
        <f>IF(AJ162&lt;=0.005,0,AJ162-MIN(AJ162,MAX(0,$E162-SUMIFS(H162:AK162,$H$5:$AK$5,"Rem",$H$4:$AK$4,"&lt;"&amp;AK$4))))</f>
        <v/>
      </c>
      <c r="AL162" s="1" t="n"/>
    </row>
    <row r="163">
      <c r="A163" s="1" t="n"/>
      <c r="B163" s="1" t="n">
        <v>156</v>
      </c>
      <c r="C163" s="34">
        <f>EDATE(Debts!$J$13,B163-1)</f>
        <v/>
      </c>
      <c r="D163" s="33">
        <f>IF(G162&lt;=0.005,0,Debts!$E$16+Debts!$J$7)</f>
        <v/>
      </c>
      <c r="E163" s="33">
        <f>MAX(0,D163-(SUMIF($H$5:$AK$5,"Due",H163:AK163)-SUMIF($H$5:$AK$5,"Rem",H163:AK163)))</f>
        <v/>
      </c>
      <c r="F163" s="33">
        <f>SUMIF($H$5:$AK$5,"Due",H163:AK163)-SUMIF($H$5:$AK$5,"Bal",H162:AK162)</f>
        <v/>
      </c>
      <c r="G163" s="33">
        <f>SUMIF($H$5:$AK$5,"Bal",H163:AK163)</f>
        <v/>
      </c>
      <c r="H163" s="33">
        <f>J162*(1+N(Debts!$D$6)/1200)</f>
        <v/>
      </c>
      <c r="I163" s="33">
        <f>H163-MIN(N(Debts!$E$6),H163)</f>
        <v/>
      </c>
      <c r="J163" s="33">
        <f>IF(I163&lt;=0.005,0,I163-MIN(I163,MAX(0,$E163-SUMIFS(H163:AK163,$H$5:$AK$5,"Rem",$H$4:$AK$4,"&lt;"&amp;J$4))))</f>
        <v/>
      </c>
      <c r="K163" s="33">
        <f>M162*(1+N(Debts!$D$7)/1200)</f>
        <v/>
      </c>
      <c r="L163" s="33">
        <f>K163-MIN(N(Debts!$E$7),K163)</f>
        <v/>
      </c>
      <c r="M163" s="33">
        <f>IF(L163&lt;=0.005,0,L163-MIN(L163,MAX(0,$E163-SUMIFS(H163:AK163,$H$5:$AK$5,"Rem",$H$4:$AK$4,"&lt;"&amp;M$4))))</f>
        <v/>
      </c>
      <c r="N163" s="33">
        <f>P162*(1+N(Debts!$D$8)/1200)</f>
        <v/>
      </c>
      <c r="O163" s="33">
        <f>N163-MIN(N(Debts!$E$8),N163)</f>
        <v/>
      </c>
      <c r="P163" s="33">
        <f>IF(O163&lt;=0.005,0,O163-MIN(O163,MAX(0,$E163-SUMIFS(H163:AK163,$H$5:$AK$5,"Rem",$H$4:$AK$4,"&lt;"&amp;P$4))))</f>
        <v/>
      </c>
      <c r="Q163" s="33">
        <f>S162*(1+N(Debts!$D$9)/1200)</f>
        <v/>
      </c>
      <c r="R163" s="33">
        <f>Q163-MIN(N(Debts!$E$9),Q163)</f>
        <v/>
      </c>
      <c r="S163" s="33">
        <f>IF(R163&lt;=0.005,0,R163-MIN(R163,MAX(0,$E163-SUMIFS(H163:AK163,$H$5:$AK$5,"Rem",$H$4:$AK$4,"&lt;"&amp;S$4))))</f>
        <v/>
      </c>
      <c r="T163" s="33">
        <f>V162*(1+N(Debts!$D$10)/1200)</f>
        <v/>
      </c>
      <c r="U163" s="33">
        <f>T163-MIN(N(Debts!$E$10),T163)</f>
        <v/>
      </c>
      <c r="V163" s="33">
        <f>IF(U163&lt;=0.005,0,U163-MIN(U163,MAX(0,$E163-SUMIFS(H163:AK163,$H$5:$AK$5,"Rem",$H$4:$AK$4,"&lt;"&amp;V$4))))</f>
        <v/>
      </c>
      <c r="W163" s="33">
        <f>Y162*(1+N(Debts!$D$11)/1200)</f>
        <v/>
      </c>
      <c r="X163" s="33">
        <f>W163-MIN(N(Debts!$E$11),W163)</f>
        <v/>
      </c>
      <c r="Y163" s="33">
        <f>IF(X163&lt;=0.005,0,X163-MIN(X163,MAX(0,$E163-SUMIFS(H163:AK163,$H$5:$AK$5,"Rem",$H$4:$AK$4,"&lt;"&amp;Y$4))))</f>
        <v/>
      </c>
      <c r="Z163" s="33">
        <f>AB162*(1+N(Debts!$D$12)/1200)</f>
        <v/>
      </c>
      <c r="AA163" s="33">
        <f>Z163-MIN(N(Debts!$E$12),Z163)</f>
        <v/>
      </c>
      <c r="AB163" s="33">
        <f>IF(AA163&lt;=0.005,0,AA163-MIN(AA163,MAX(0,$E163-SUMIFS(H163:AK163,$H$5:$AK$5,"Rem",$H$4:$AK$4,"&lt;"&amp;AB$4))))</f>
        <v/>
      </c>
      <c r="AC163" s="33">
        <f>AE162*(1+N(Debts!$D$13)/1200)</f>
        <v/>
      </c>
      <c r="AD163" s="33">
        <f>AC163-MIN(N(Debts!$E$13),AC163)</f>
        <v/>
      </c>
      <c r="AE163" s="33">
        <f>IF(AD163&lt;=0.005,0,AD163-MIN(AD163,MAX(0,$E163-SUMIFS(H163:AK163,$H$5:$AK$5,"Rem",$H$4:$AK$4,"&lt;"&amp;AE$4))))</f>
        <v/>
      </c>
      <c r="AF163" s="33">
        <f>AH162*(1+N(Debts!$D$14)/1200)</f>
        <v/>
      </c>
      <c r="AG163" s="33">
        <f>AF163-MIN(N(Debts!$E$14),AF163)</f>
        <v/>
      </c>
      <c r="AH163" s="33">
        <f>IF(AG163&lt;=0.005,0,AG163-MIN(AG163,MAX(0,$E163-SUMIFS(H163:AK163,$H$5:$AK$5,"Rem",$H$4:$AK$4,"&lt;"&amp;AH$4))))</f>
        <v/>
      </c>
      <c r="AI163" s="33">
        <f>AK162*(1+N(Debts!$D$15)/1200)</f>
        <v/>
      </c>
      <c r="AJ163" s="33">
        <f>AI163-MIN(N(Debts!$E$15),AI163)</f>
        <v/>
      </c>
      <c r="AK163" s="33">
        <f>IF(AJ163&lt;=0.005,0,AJ163-MIN(AJ163,MAX(0,$E163-SUMIFS(H163:AK163,$H$5:$AK$5,"Rem",$H$4:$AK$4,"&lt;"&amp;AK$4))))</f>
        <v/>
      </c>
      <c r="AL163" s="1" t="n"/>
    </row>
    <row r="164">
      <c r="A164" s="1" t="n"/>
      <c r="B164" s="1" t="n">
        <v>157</v>
      </c>
      <c r="C164" s="34">
        <f>EDATE(Debts!$J$13,B164-1)</f>
        <v/>
      </c>
      <c r="D164" s="33">
        <f>IF(G163&lt;=0.005,0,Debts!$E$16+Debts!$J$7)</f>
        <v/>
      </c>
      <c r="E164" s="33">
        <f>MAX(0,D164-(SUMIF($H$5:$AK$5,"Due",H164:AK164)-SUMIF($H$5:$AK$5,"Rem",H164:AK164)))</f>
        <v/>
      </c>
      <c r="F164" s="33">
        <f>SUMIF($H$5:$AK$5,"Due",H164:AK164)-SUMIF($H$5:$AK$5,"Bal",H163:AK163)</f>
        <v/>
      </c>
      <c r="G164" s="33">
        <f>SUMIF($H$5:$AK$5,"Bal",H164:AK164)</f>
        <v/>
      </c>
      <c r="H164" s="33">
        <f>J163*(1+N(Debts!$D$6)/1200)</f>
        <v/>
      </c>
      <c r="I164" s="33">
        <f>H164-MIN(N(Debts!$E$6),H164)</f>
        <v/>
      </c>
      <c r="J164" s="33">
        <f>IF(I164&lt;=0.005,0,I164-MIN(I164,MAX(0,$E164-SUMIFS(H164:AK164,$H$5:$AK$5,"Rem",$H$4:$AK$4,"&lt;"&amp;J$4))))</f>
        <v/>
      </c>
      <c r="K164" s="33">
        <f>M163*(1+N(Debts!$D$7)/1200)</f>
        <v/>
      </c>
      <c r="L164" s="33">
        <f>K164-MIN(N(Debts!$E$7),K164)</f>
        <v/>
      </c>
      <c r="M164" s="33">
        <f>IF(L164&lt;=0.005,0,L164-MIN(L164,MAX(0,$E164-SUMIFS(H164:AK164,$H$5:$AK$5,"Rem",$H$4:$AK$4,"&lt;"&amp;M$4))))</f>
        <v/>
      </c>
      <c r="N164" s="33">
        <f>P163*(1+N(Debts!$D$8)/1200)</f>
        <v/>
      </c>
      <c r="O164" s="33">
        <f>N164-MIN(N(Debts!$E$8),N164)</f>
        <v/>
      </c>
      <c r="P164" s="33">
        <f>IF(O164&lt;=0.005,0,O164-MIN(O164,MAX(0,$E164-SUMIFS(H164:AK164,$H$5:$AK$5,"Rem",$H$4:$AK$4,"&lt;"&amp;P$4))))</f>
        <v/>
      </c>
      <c r="Q164" s="33">
        <f>S163*(1+N(Debts!$D$9)/1200)</f>
        <v/>
      </c>
      <c r="R164" s="33">
        <f>Q164-MIN(N(Debts!$E$9),Q164)</f>
        <v/>
      </c>
      <c r="S164" s="33">
        <f>IF(R164&lt;=0.005,0,R164-MIN(R164,MAX(0,$E164-SUMIFS(H164:AK164,$H$5:$AK$5,"Rem",$H$4:$AK$4,"&lt;"&amp;S$4))))</f>
        <v/>
      </c>
      <c r="T164" s="33">
        <f>V163*(1+N(Debts!$D$10)/1200)</f>
        <v/>
      </c>
      <c r="U164" s="33">
        <f>T164-MIN(N(Debts!$E$10),T164)</f>
        <v/>
      </c>
      <c r="V164" s="33">
        <f>IF(U164&lt;=0.005,0,U164-MIN(U164,MAX(0,$E164-SUMIFS(H164:AK164,$H$5:$AK$5,"Rem",$H$4:$AK$4,"&lt;"&amp;V$4))))</f>
        <v/>
      </c>
      <c r="W164" s="33">
        <f>Y163*(1+N(Debts!$D$11)/1200)</f>
        <v/>
      </c>
      <c r="X164" s="33">
        <f>W164-MIN(N(Debts!$E$11),W164)</f>
        <v/>
      </c>
      <c r="Y164" s="33">
        <f>IF(X164&lt;=0.005,0,X164-MIN(X164,MAX(0,$E164-SUMIFS(H164:AK164,$H$5:$AK$5,"Rem",$H$4:$AK$4,"&lt;"&amp;Y$4))))</f>
        <v/>
      </c>
      <c r="Z164" s="33">
        <f>AB163*(1+N(Debts!$D$12)/1200)</f>
        <v/>
      </c>
      <c r="AA164" s="33">
        <f>Z164-MIN(N(Debts!$E$12),Z164)</f>
        <v/>
      </c>
      <c r="AB164" s="33">
        <f>IF(AA164&lt;=0.005,0,AA164-MIN(AA164,MAX(0,$E164-SUMIFS(H164:AK164,$H$5:$AK$5,"Rem",$H$4:$AK$4,"&lt;"&amp;AB$4))))</f>
        <v/>
      </c>
      <c r="AC164" s="33">
        <f>AE163*(1+N(Debts!$D$13)/1200)</f>
        <v/>
      </c>
      <c r="AD164" s="33">
        <f>AC164-MIN(N(Debts!$E$13),AC164)</f>
        <v/>
      </c>
      <c r="AE164" s="33">
        <f>IF(AD164&lt;=0.005,0,AD164-MIN(AD164,MAX(0,$E164-SUMIFS(H164:AK164,$H$5:$AK$5,"Rem",$H$4:$AK$4,"&lt;"&amp;AE$4))))</f>
        <v/>
      </c>
      <c r="AF164" s="33">
        <f>AH163*(1+N(Debts!$D$14)/1200)</f>
        <v/>
      </c>
      <c r="AG164" s="33">
        <f>AF164-MIN(N(Debts!$E$14),AF164)</f>
        <v/>
      </c>
      <c r="AH164" s="33">
        <f>IF(AG164&lt;=0.005,0,AG164-MIN(AG164,MAX(0,$E164-SUMIFS(H164:AK164,$H$5:$AK$5,"Rem",$H$4:$AK$4,"&lt;"&amp;AH$4))))</f>
        <v/>
      </c>
      <c r="AI164" s="33">
        <f>AK163*(1+N(Debts!$D$15)/1200)</f>
        <v/>
      </c>
      <c r="AJ164" s="33">
        <f>AI164-MIN(N(Debts!$E$15),AI164)</f>
        <v/>
      </c>
      <c r="AK164" s="33">
        <f>IF(AJ164&lt;=0.005,0,AJ164-MIN(AJ164,MAX(0,$E164-SUMIFS(H164:AK164,$H$5:$AK$5,"Rem",$H$4:$AK$4,"&lt;"&amp;AK$4))))</f>
        <v/>
      </c>
      <c r="AL164" s="1" t="n"/>
    </row>
    <row r="165">
      <c r="A165" s="1" t="n"/>
      <c r="B165" s="1" t="n">
        <v>158</v>
      </c>
      <c r="C165" s="34">
        <f>EDATE(Debts!$J$13,B165-1)</f>
        <v/>
      </c>
      <c r="D165" s="33">
        <f>IF(G164&lt;=0.005,0,Debts!$E$16+Debts!$J$7)</f>
        <v/>
      </c>
      <c r="E165" s="33">
        <f>MAX(0,D165-(SUMIF($H$5:$AK$5,"Due",H165:AK165)-SUMIF($H$5:$AK$5,"Rem",H165:AK165)))</f>
        <v/>
      </c>
      <c r="F165" s="33">
        <f>SUMIF($H$5:$AK$5,"Due",H165:AK165)-SUMIF($H$5:$AK$5,"Bal",H164:AK164)</f>
        <v/>
      </c>
      <c r="G165" s="33">
        <f>SUMIF($H$5:$AK$5,"Bal",H165:AK165)</f>
        <v/>
      </c>
      <c r="H165" s="33">
        <f>J164*(1+N(Debts!$D$6)/1200)</f>
        <v/>
      </c>
      <c r="I165" s="33">
        <f>H165-MIN(N(Debts!$E$6),H165)</f>
        <v/>
      </c>
      <c r="J165" s="33">
        <f>IF(I165&lt;=0.005,0,I165-MIN(I165,MAX(0,$E165-SUMIFS(H165:AK165,$H$5:$AK$5,"Rem",$H$4:$AK$4,"&lt;"&amp;J$4))))</f>
        <v/>
      </c>
      <c r="K165" s="33">
        <f>M164*(1+N(Debts!$D$7)/1200)</f>
        <v/>
      </c>
      <c r="L165" s="33">
        <f>K165-MIN(N(Debts!$E$7),K165)</f>
        <v/>
      </c>
      <c r="M165" s="33">
        <f>IF(L165&lt;=0.005,0,L165-MIN(L165,MAX(0,$E165-SUMIFS(H165:AK165,$H$5:$AK$5,"Rem",$H$4:$AK$4,"&lt;"&amp;M$4))))</f>
        <v/>
      </c>
      <c r="N165" s="33">
        <f>P164*(1+N(Debts!$D$8)/1200)</f>
        <v/>
      </c>
      <c r="O165" s="33">
        <f>N165-MIN(N(Debts!$E$8),N165)</f>
        <v/>
      </c>
      <c r="P165" s="33">
        <f>IF(O165&lt;=0.005,0,O165-MIN(O165,MAX(0,$E165-SUMIFS(H165:AK165,$H$5:$AK$5,"Rem",$H$4:$AK$4,"&lt;"&amp;P$4))))</f>
        <v/>
      </c>
      <c r="Q165" s="33">
        <f>S164*(1+N(Debts!$D$9)/1200)</f>
        <v/>
      </c>
      <c r="R165" s="33">
        <f>Q165-MIN(N(Debts!$E$9),Q165)</f>
        <v/>
      </c>
      <c r="S165" s="33">
        <f>IF(R165&lt;=0.005,0,R165-MIN(R165,MAX(0,$E165-SUMIFS(H165:AK165,$H$5:$AK$5,"Rem",$H$4:$AK$4,"&lt;"&amp;S$4))))</f>
        <v/>
      </c>
      <c r="T165" s="33">
        <f>V164*(1+N(Debts!$D$10)/1200)</f>
        <v/>
      </c>
      <c r="U165" s="33">
        <f>T165-MIN(N(Debts!$E$10),T165)</f>
        <v/>
      </c>
      <c r="V165" s="33">
        <f>IF(U165&lt;=0.005,0,U165-MIN(U165,MAX(0,$E165-SUMIFS(H165:AK165,$H$5:$AK$5,"Rem",$H$4:$AK$4,"&lt;"&amp;V$4))))</f>
        <v/>
      </c>
      <c r="W165" s="33">
        <f>Y164*(1+N(Debts!$D$11)/1200)</f>
        <v/>
      </c>
      <c r="X165" s="33">
        <f>W165-MIN(N(Debts!$E$11),W165)</f>
        <v/>
      </c>
      <c r="Y165" s="33">
        <f>IF(X165&lt;=0.005,0,X165-MIN(X165,MAX(0,$E165-SUMIFS(H165:AK165,$H$5:$AK$5,"Rem",$H$4:$AK$4,"&lt;"&amp;Y$4))))</f>
        <v/>
      </c>
      <c r="Z165" s="33">
        <f>AB164*(1+N(Debts!$D$12)/1200)</f>
        <v/>
      </c>
      <c r="AA165" s="33">
        <f>Z165-MIN(N(Debts!$E$12),Z165)</f>
        <v/>
      </c>
      <c r="AB165" s="33">
        <f>IF(AA165&lt;=0.005,0,AA165-MIN(AA165,MAX(0,$E165-SUMIFS(H165:AK165,$H$5:$AK$5,"Rem",$H$4:$AK$4,"&lt;"&amp;AB$4))))</f>
        <v/>
      </c>
      <c r="AC165" s="33">
        <f>AE164*(1+N(Debts!$D$13)/1200)</f>
        <v/>
      </c>
      <c r="AD165" s="33">
        <f>AC165-MIN(N(Debts!$E$13),AC165)</f>
        <v/>
      </c>
      <c r="AE165" s="33">
        <f>IF(AD165&lt;=0.005,0,AD165-MIN(AD165,MAX(0,$E165-SUMIFS(H165:AK165,$H$5:$AK$5,"Rem",$H$4:$AK$4,"&lt;"&amp;AE$4))))</f>
        <v/>
      </c>
      <c r="AF165" s="33">
        <f>AH164*(1+N(Debts!$D$14)/1200)</f>
        <v/>
      </c>
      <c r="AG165" s="33">
        <f>AF165-MIN(N(Debts!$E$14),AF165)</f>
        <v/>
      </c>
      <c r="AH165" s="33">
        <f>IF(AG165&lt;=0.005,0,AG165-MIN(AG165,MAX(0,$E165-SUMIFS(H165:AK165,$H$5:$AK$5,"Rem",$H$4:$AK$4,"&lt;"&amp;AH$4))))</f>
        <v/>
      </c>
      <c r="AI165" s="33">
        <f>AK164*(1+N(Debts!$D$15)/1200)</f>
        <v/>
      </c>
      <c r="AJ165" s="33">
        <f>AI165-MIN(N(Debts!$E$15),AI165)</f>
        <v/>
      </c>
      <c r="AK165" s="33">
        <f>IF(AJ165&lt;=0.005,0,AJ165-MIN(AJ165,MAX(0,$E165-SUMIFS(H165:AK165,$H$5:$AK$5,"Rem",$H$4:$AK$4,"&lt;"&amp;AK$4))))</f>
        <v/>
      </c>
      <c r="AL165" s="1" t="n"/>
    </row>
    <row r="166">
      <c r="A166" s="1" t="n"/>
      <c r="B166" s="1" t="n">
        <v>159</v>
      </c>
      <c r="C166" s="34">
        <f>EDATE(Debts!$J$13,B166-1)</f>
        <v/>
      </c>
      <c r="D166" s="33">
        <f>IF(G165&lt;=0.005,0,Debts!$E$16+Debts!$J$7)</f>
        <v/>
      </c>
      <c r="E166" s="33">
        <f>MAX(0,D166-(SUMIF($H$5:$AK$5,"Due",H166:AK166)-SUMIF($H$5:$AK$5,"Rem",H166:AK166)))</f>
        <v/>
      </c>
      <c r="F166" s="33">
        <f>SUMIF($H$5:$AK$5,"Due",H166:AK166)-SUMIF($H$5:$AK$5,"Bal",H165:AK165)</f>
        <v/>
      </c>
      <c r="G166" s="33">
        <f>SUMIF($H$5:$AK$5,"Bal",H166:AK166)</f>
        <v/>
      </c>
      <c r="H166" s="33">
        <f>J165*(1+N(Debts!$D$6)/1200)</f>
        <v/>
      </c>
      <c r="I166" s="33">
        <f>H166-MIN(N(Debts!$E$6),H166)</f>
        <v/>
      </c>
      <c r="J166" s="33">
        <f>IF(I166&lt;=0.005,0,I166-MIN(I166,MAX(0,$E166-SUMIFS(H166:AK166,$H$5:$AK$5,"Rem",$H$4:$AK$4,"&lt;"&amp;J$4))))</f>
        <v/>
      </c>
      <c r="K166" s="33">
        <f>M165*(1+N(Debts!$D$7)/1200)</f>
        <v/>
      </c>
      <c r="L166" s="33">
        <f>K166-MIN(N(Debts!$E$7),K166)</f>
        <v/>
      </c>
      <c r="M166" s="33">
        <f>IF(L166&lt;=0.005,0,L166-MIN(L166,MAX(0,$E166-SUMIFS(H166:AK166,$H$5:$AK$5,"Rem",$H$4:$AK$4,"&lt;"&amp;M$4))))</f>
        <v/>
      </c>
      <c r="N166" s="33">
        <f>P165*(1+N(Debts!$D$8)/1200)</f>
        <v/>
      </c>
      <c r="O166" s="33">
        <f>N166-MIN(N(Debts!$E$8),N166)</f>
        <v/>
      </c>
      <c r="P166" s="33">
        <f>IF(O166&lt;=0.005,0,O166-MIN(O166,MAX(0,$E166-SUMIFS(H166:AK166,$H$5:$AK$5,"Rem",$H$4:$AK$4,"&lt;"&amp;P$4))))</f>
        <v/>
      </c>
      <c r="Q166" s="33">
        <f>S165*(1+N(Debts!$D$9)/1200)</f>
        <v/>
      </c>
      <c r="R166" s="33">
        <f>Q166-MIN(N(Debts!$E$9),Q166)</f>
        <v/>
      </c>
      <c r="S166" s="33">
        <f>IF(R166&lt;=0.005,0,R166-MIN(R166,MAX(0,$E166-SUMIFS(H166:AK166,$H$5:$AK$5,"Rem",$H$4:$AK$4,"&lt;"&amp;S$4))))</f>
        <v/>
      </c>
      <c r="T166" s="33">
        <f>V165*(1+N(Debts!$D$10)/1200)</f>
        <v/>
      </c>
      <c r="U166" s="33">
        <f>T166-MIN(N(Debts!$E$10),T166)</f>
        <v/>
      </c>
      <c r="V166" s="33">
        <f>IF(U166&lt;=0.005,0,U166-MIN(U166,MAX(0,$E166-SUMIFS(H166:AK166,$H$5:$AK$5,"Rem",$H$4:$AK$4,"&lt;"&amp;V$4))))</f>
        <v/>
      </c>
      <c r="W166" s="33">
        <f>Y165*(1+N(Debts!$D$11)/1200)</f>
        <v/>
      </c>
      <c r="X166" s="33">
        <f>W166-MIN(N(Debts!$E$11),W166)</f>
        <v/>
      </c>
      <c r="Y166" s="33">
        <f>IF(X166&lt;=0.005,0,X166-MIN(X166,MAX(0,$E166-SUMIFS(H166:AK166,$H$5:$AK$5,"Rem",$H$4:$AK$4,"&lt;"&amp;Y$4))))</f>
        <v/>
      </c>
      <c r="Z166" s="33">
        <f>AB165*(1+N(Debts!$D$12)/1200)</f>
        <v/>
      </c>
      <c r="AA166" s="33">
        <f>Z166-MIN(N(Debts!$E$12),Z166)</f>
        <v/>
      </c>
      <c r="AB166" s="33">
        <f>IF(AA166&lt;=0.005,0,AA166-MIN(AA166,MAX(0,$E166-SUMIFS(H166:AK166,$H$5:$AK$5,"Rem",$H$4:$AK$4,"&lt;"&amp;AB$4))))</f>
        <v/>
      </c>
      <c r="AC166" s="33">
        <f>AE165*(1+N(Debts!$D$13)/1200)</f>
        <v/>
      </c>
      <c r="AD166" s="33">
        <f>AC166-MIN(N(Debts!$E$13),AC166)</f>
        <v/>
      </c>
      <c r="AE166" s="33">
        <f>IF(AD166&lt;=0.005,0,AD166-MIN(AD166,MAX(0,$E166-SUMIFS(H166:AK166,$H$5:$AK$5,"Rem",$H$4:$AK$4,"&lt;"&amp;AE$4))))</f>
        <v/>
      </c>
      <c r="AF166" s="33">
        <f>AH165*(1+N(Debts!$D$14)/1200)</f>
        <v/>
      </c>
      <c r="AG166" s="33">
        <f>AF166-MIN(N(Debts!$E$14),AF166)</f>
        <v/>
      </c>
      <c r="AH166" s="33">
        <f>IF(AG166&lt;=0.005,0,AG166-MIN(AG166,MAX(0,$E166-SUMIFS(H166:AK166,$H$5:$AK$5,"Rem",$H$4:$AK$4,"&lt;"&amp;AH$4))))</f>
        <v/>
      </c>
      <c r="AI166" s="33">
        <f>AK165*(1+N(Debts!$D$15)/1200)</f>
        <v/>
      </c>
      <c r="AJ166" s="33">
        <f>AI166-MIN(N(Debts!$E$15),AI166)</f>
        <v/>
      </c>
      <c r="AK166" s="33">
        <f>IF(AJ166&lt;=0.005,0,AJ166-MIN(AJ166,MAX(0,$E166-SUMIFS(H166:AK166,$H$5:$AK$5,"Rem",$H$4:$AK$4,"&lt;"&amp;AK$4))))</f>
        <v/>
      </c>
      <c r="AL166" s="1" t="n"/>
    </row>
    <row r="167">
      <c r="A167" s="1" t="n"/>
      <c r="B167" s="1" t="n">
        <v>160</v>
      </c>
      <c r="C167" s="34">
        <f>EDATE(Debts!$J$13,B167-1)</f>
        <v/>
      </c>
      <c r="D167" s="33">
        <f>IF(G166&lt;=0.005,0,Debts!$E$16+Debts!$J$7)</f>
        <v/>
      </c>
      <c r="E167" s="33">
        <f>MAX(0,D167-(SUMIF($H$5:$AK$5,"Due",H167:AK167)-SUMIF($H$5:$AK$5,"Rem",H167:AK167)))</f>
        <v/>
      </c>
      <c r="F167" s="33">
        <f>SUMIF($H$5:$AK$5,"Due",H167:AK167)-SUMIF($H$5:$AK$5,"Bal",H166:AK166)</f>
        <v/>
      </c>
      <c r="G167" s="33">
        <f>SUMIF($H$5:$AK$5,"Bal",H167:AK167)</f>
        <v/>
      </c>
      <c r="H167" s="33">
        <f>J166*(1+N(Debts!$D$6)/1200)</f>
        <v/>
      </c>
      <c r="I167" s="33">
        <f>H167-MIN(N(Debts!$E$6),H167)</f>
        <v/>
      </c>
      <c r="J167" s="33">
        <f>IF(I167&lt;=0.005,0,I167-MIN(I167,MAX(0,$E167-SUMIFS(H167:AK167,$H$5:$AK$5,"Rem",$H$4:$AK$4,"&lt;"&amp;J$4))))</f>
        <v/>
      </c>
      <c r="K167" s="33">
        <f>M166*(1+N(Debts!$D$7)/1200)</f>
        <v/>
      </c>
      <c r="L167" s="33">
        <f>K167-MIN(N(Debts!$E$7),K167)</f>
        <v/>
      </c>
      <c r="M167" s="33">
        <f>IF(L167&lt;=0.005,0,L167-MIN(L167,MAX(0,$E167-SUMIFS(H167:AK167,$H$5:$AK$5,"Rem",$H$4:$AK$4,"&lt;"&amp;M$4))))</f>
        <v/>
      </c>
      <c r="N167" s="33">
        <f>P166*(1+N(Debts!$D$8)/1200)</f>
        <v/>
      </c>
      <c r="O167" s="33">
        <f>N167-MIN(N(Debts!$E$8),N167)</f>
        <v/>
      </c>
      <c r="P167" s="33">
        <f>IF(O167&lt;=0.005,0,O167-MIN(O167,MAX(0,$E167-SUMIFS(H167:AK167,$H$5:$AK$5,"Rem",$H$4:$AK$4,"&lt;"&amp;P$4))))</f>
        <v/>
      </c>
      <c r="Q167" s="33">
        <f>S166*(1+N(Debts!$D$9)/1200)</f>
        <v/>
      </c>
      <c r="R167" s="33">
        <f>Q167-MIN(N(Debts!$E$9),Q167)</f>
        <v/>
      </c>
      <c r="S167" s="33">
        <f>IF(R167&lt;=0.005,0,R167-MIN(R167,MAX(0,$E167-SUMIFS(H167:AK167,$H$5:$AK$5,"Rem",$H$4:$AK$4,"&lt;"&amp;S$4))))</f>
        <v/>
      </c>
      <c r="T167" s="33">
        <f>V166*(1+N(Debts!$D$10)/1200)</f>
        <v/>
      </c>
      <c r="U167" s="33">
        <f>T167-MIN(N(Debts!$E$10),T167)</f>
        <v/>
      </c>
      <c r="V167" s="33">
        <f>IF(U167&lt;=0.005,0,U167-MIN(U167,MAX(0,$E167-SUMIFS(H167:AK167,$H$5:$AK$5,"Rem",$H$4:$AK$4,"&lt;"&amp;V$4))))</f>
        <v/>
      </c>
      <c r="W167" s="33">
        <f>Y166*(1+N(Debts!$D$11)/1200)</f>
        <v/>
      </c>
      <c r="X167" s="33">
        <f>W167-MIN(N(Debts!$E$11),W167)</f>
        <v/>
      </c>
      <c r="Y167" s="33">
        <f>IF(X167&lt;=0.005,0,X167-MIN(X167,MAX(0,$E167-SUMIFS(H167:AK167,$H$5:$AK$5,"Rem",$H$4:$AK$4,"&lt;"&amp;Y$4))))</f>
        <v/>
      </c>
      <c r="Z167" s="33">
        <f>AB166*(1+N(Debts!$D$12)/1200)</f>
        <v/>
      </c>
      <c r="AA167" s="33">
        <f>Z167-MIN(N(Debts!$E$12),Z167)</f>
        <v/>
      </c>
      <c r="AB167" s="33">
        <f>IF(AA167&lt;=0.005,0,AA167-MIN(AA167,MAX(0,$E167-SUMIFS(H167:AK167,$H$5:$AK$5,"Rem",$H$4:$AK$4,"&lt;"&amp;AB$4))))</f>
        <v/>
      </c>
      <c r="AC167" s="33">
        <f>AE166*(1+N(Debts!$D$13)/1200)</f>
        <v/>
      </c>
      <c r="AD167" s="33">
        <f>AC167-MIN(N(Debts!$E$13),AC167)</f>
        <v/>
      </c>
      <c r="AE167" s="33">
        <f>IF(AD167&lt;=0.005,0,AD167-MIN(AD167,MAX(0,$E167-SUMIFS(H167:AK167,$H$5:$AK$5,"Rem",$H$4:$AK$4,"&lt;"&amp;AE$4))))</f>
        <v/>
      </c>
      <c r="AF167" s="33">
        <f>AH166*(1+N(Debts!$D$14)/1200)</f>
        <v/>
      </c>
      <c r="AG167" s="33">
        <f>AF167-MIN(N(Debts!$E$14),AF167)</f>
        <v/>
      </c>
      <c r="AH167" s="33">
        <f>IF(AG167&lt;=0.005,0,AG167-MIN(AG167,MAX(0,$E167-SUMIFS(H167:AK167,$H$5:$AK$5,"Rem",$H$4:$AK$4,"&lt;"&amp;AH$4))))</f>
        <v/>
      </c>
      <c r="AI167" s="33">
        <f>AK166*(1+N(Debts!$D$15)/1200)</f>
        <v/>
      </c>
      <c r="AJ167" s="33">
        <f>AI167-MIN(N(Debts!$E$15),AI167)</f>
        <v/>
      </c>
      <c r="AK167" s="33">
        <f>IF(AJ167&lt;=0.005,0,AJ167-MIN(AJ167,MAX(0,$E167-SUMIFS(H167:AK167,$H$5:$AK$5,"Rem",$H$4:$AK$4,"&lt;"&amp;AK$4))))</f>
        <v/>
      </c>
      <c r="AL167" s="1" t="n"/>
    </row>
    <row r="168">
      <c r="A168" s="1" t="n"/>
      <c r="B168" s="1" t="n">
        <v>161</v>
      </c>
      <c r="C168" s="34">
        <f>EDATE(Debts!$J$13,B168-1)</f>
        <v/>
      </c>
      <c r="D168" s="33">
        <f>IF(G167&lt;=0.005,0,Debts!$E$16+Debts!$J$7)</f>
        <v/>
      </c>
      <c r="E168" s="33">
        <f>MAX(0,D168-(SUMIF($H$5:$AK$5,"Due",H168:AK168)-SUMIF($H$5:$AK$5,"Rem",H168:AK168)))</f>
        <v/>
      </c>
      <c r="F168" s="33">
        <f>SUMIF($H$5:$AK$5,"Due",H168:AK168)-SUMIF($H$5:$AK$5,"Bal",H167:AK167)</f>
        <v/>
      </c>
      <c r="G168" s="33">
        <f>SUMIF($H$5:$AK$5,"Bal",H168:AK168)</f>
        <v/>
      </c>
      <c r="H168" s="33">
        <f>J167*(1+N(Debts!$D$6)/1200)</f>
        <v/>
      </c>
      <c r="I168" s="33">
        <f>H168-MIN(N(Debts!$E$6),H168)</f>
        <v/>
      </c>
      <c r="J168" s="33">
        <f>IF(I168&lt;=0.005,0,I168-MIN(I168,MAX(0,$E168-SUMIFS(H168:AK168,$H$5:$AK$5,"Rem",$H$4:$AK$4,"&lt;"&amp;J$4))))</f>
        <v/>
      </c>
      <c r="K168" s="33">
        <f>M167*(1+N(Debts!$D$7)/1200)</f>
        <v/>
      </c>
      <c r="L168" s="33">
        <f>K168-MIN(N(Debts!$E$7),K168)</f>
        <v/>
      </c>
      <c r="M168" s="33">
        <f>IF(L168&lt;=0.005,0,L168-MIN(L168,MAX(0,$E168-SUMIFS(H168:AK168,$H$5:$AK$5,"Rem",$H$4:$AK$4,"&lt;"&amp;M$4))))</f>
        <v/>
      </c>
      <c r="N168" s="33">
        <f>P167*(1+N(Debts!$D$8)/1200)</f>
        <v/>
      </c>
      <c r="O168" s="33">
        <f>N168-MIN(N(Debts!$E$8),N168)</f>
        <v/>
      </c>
      <c r="P168" s="33">
        <f>IF(O168&lt;=0.005,0,O168-MIN(O168,MAX(0,$E168-SUMIFS(H168:AK168,$H$5:$AK$5,"Rem",$H$4:$AK$4,"&lt;"&amp;P$4))))</f>
        <v/>
      </c>
      <c r="Q168" s="33">
        <f>S167*(1+N(Debts!$D$9)/1200)</f>
        <v/>
      </c>
      <c r="R168" s="33">
        <f>Q168-MIN(N(Debts!$E$9),Q168)</f>
        <v/>
      </c>
      <c r="S168" s="33">
        <f>IF(R168&lt;=0.005,0,R168-MIN(R168,MAX(0,$E168-SUMIFS(H168:AK168,$H$5:$AK$5,"Rem",$H$4:$AK$4,"&lt;"&amp;S$4))))</f>
        <v/>
      </c>
      <c r="T168" s="33">
        <f>V167*(1+N(Debts!$D$10)/1200)</f>
        <v/>
      </c>
      <c r="U168" s="33">
        <f>T168-MIN(N(Debts!$E$10),T168)</f>
        <v/>
      </c>
      <c r="V168" s="33">
        <f>IF(U168&lt;=0.005,0,U168-MIN(U168,MAX(0,$E168-SUMIFS(H168:AK168,$H$5:$AK$5,"Rem",$H$4:$AK$4,"&lt;"&amp;V$4))))</f>
        <v/>
      </c>
      <c r="W168" s="33">
        <f>Y167*(1+N(Debts!$D$11)/1200)</f>
        <v/>
      </c>
      <c r="X168" s="33">
        <f>W168-MIN(N(Debts!$E$11),W168)</f>
        <v/>
      </c>
      <c r="Y168" s="33">
        <f>IF(X168&lt;=0.005,0,X168-MIN(X168,MAX(0,$E168-SUMIFS(H168:AK168,$H$5:$AK$5,"Rem",$H$4:$AK$4,"&lt;"&amp;Y$4))))</f>
        <v/>
      </c>
      <c r="Z168" s="33">
        <f>AB167*(1+N(Debts!$D$12)/1200)</f>
        <v/>
      </c>
      <c r="AA168" s="33">
        <f>Z168-MIN(N(Debts!$E$12),Z168)</f>
        <v/>
      </c>
      <c r="AB168" s="33">
        <f>IF(AA168&lt;=0.005,0,AA168-MIN(AA168,MAX(0,$E168-SUMIFS(H168:AK168,$H$5:$AK$5,"Rem",$H$4:$AK$4,"&lt;"&amp;AB$4))))</f>
        <v/>
      </c>
      <c r="AC168" s="33">
        <f>AE167*(1+N(Debts!$D$13)/1200)</f>
        <v/>
      </c>
      <c r="AD168" s="33">
        <f>AC168-MIN(N(Debts!$E$13),AC168)</f>
        <v/>
      </c>
      <c r="AE168" s="33">
        <f>IF(AD168&lt;=0.005,0,AD168-MIN(AD168,MAX(0,$E168-SUMIFS(H168:AK168,$H$5:$AK$5,"Rem",$H$4:$AK$4,"&lt;"&amp;AE$4))))</f>
        <v/>
      </c>
      <c r="AF168" s="33">
        <f>AH167*(1+N(Debts!$D$14)/1200)</f>
        <v/>
      </c>
      <c r="AG168" s="33">
        <f>AF168-MIN(N(Debts!$E$14),AF168)</f>
        <v/>
      </c>
      <c r="AH168" s="33">
        <f>IF(AG168&lt;=0.005,0,AG168-MIN(AG168,MAX(0,$E168-SUMIFS(H168:AK168,$H$5:$AK$5,"Rem",$H$4:$AK$4,"&lt;"&amp;AH$4))))</f>
        <v/>
      </c>
      <c r="AI168" s="33">
        <f>AK167*(1+N(Debts!$D$15)/1200)</f>
        <v/>
      </c>
      <c r="AJ168" s="33">
        <f>AI168-MIN(N(Debts!$E$15),AI168)</f>
        <v/>
      </c>
      <c r="AK168" s="33">
        <f>IF(AJ168&lt;=0.005,0,AJ168-MIN(AJ168,MAX(0,$E168-SUMIFS(H168:AK168,$H$5:$AK$5,"Rem",$H$4:$AK$4,"&lt;"&amp;AK$4))))</f>
        <v/>
      </c>
      <c r="AL168" s="1" t="n"/>
    </row>
    <row r="169">
      <c r="A169" s="1" t="n"/>
      <c r="B169" s="1" t="n">
        <v>162</v>
      </c>
      <c r="C169" s="34">
        <f>EDATE(Debts!$J$13,B169-1)</f>
        <v/>
      </c>
      <c r="D169" s="33">
        <f>IF(G168&lt;=0.005,0,Debts!$E$16+Debts!$J$7)</f>
        <v/>
      </c>
      <c r="E169" s="33">
        <f>MAX(0,D169-(SUMIF($H$5:$AK$5,"Due",H169:AK169)-SUMIF($H$5:$AK$5,"Rem",H169:AK169)))</f>
        <v/>
      </c>
      <c r="F169" s="33">
        <f>SUMIF($H$5:$AK$5,"Due",H169:AK169)-SUMIF($H$5:$AK$5,"Bal",H168:AK168)</f>
        <v/>
      </c>
      <c r="G169" s="33">
        <f>SUMIF($H$5:$AK$5,"Bal",H169:AK169)</f>
        <v/>
      </c>
      <c r="H169" s="33">
        <f>J168*(1+N(Debts!$D$6)/1200)</f>
        <v/>
      </c>
      <c r="I169" s="33">
        <f>H169-MIN(N(Debts!$E$6),H169)</f>
        <v/>
      </c>
      <c r="J169" s="33">
        <f>IF(I169&lt;=0.005,0,I169-MIN(I169,MAX(0,$E169-SUMIFS(H169:AK169,$H$5:$AK$5,"Rem",$H$4:$AK$4,"&lt;"&amp;J$4))))</f>
        <v/>
      </c>
      <c r="K169" s="33">
        <f>M168*(1+N(Debts!$D$7)/1200)</f>
        <v/>
      </c>
      <c r="L169" s="33">
        <f>K169-MIN(N(Debts!$E$7),K169)</f>
        <v/>
      </c>
      <c r="M169" s="33">
        <f>IF(L169&lt;=0.005,0,L169-MIN(L169,MAX(0,$E169-SUMIFS(H169:AK169,$H$5:$AK$5,"Rem",$H$4:$AK$4,"&lt;"&amp;M$4))))</f>
        <v/>
      </c>
      <c r="N169" s="33">
        <f>P168*(1+N(Debts!$D$8)/1200)</f>
        <v/>
      </c>
      <c r="O169" s="33">
        <f>N169-MIN(N(Debts!$E$8),N169)</f>
        <v/>
      </c>
      <c r="P169" s="33">
        <f>IF(O169&lt;=0.005,0,O169-MIN(O169,MAX(0,$E169-SUMIFS(H169:AK169,$H$5:$AK$5,"Rem",$H$4:$AK$4,"&lt;"&amp;P$4))))</f>
        <v/>
      </c>
      <c r="Q169" s="33">
        <f>S168*(1+N(Debts!$D$9)/1200)</f>
        <v/>
      </c>
      <c r="R169" s="33">
        <f>Q169-MIN(N(Debts!$E$9),Q169)</f>
        <v/>
      </c>
      <c r="S169" s="33">
        <f>IF(R169&lt;=0.005,0,R169-MIN(R169,MAX(0,$E169-SUMIFS(H169:AK169,$H$5:$AK$5,"Rem",$H$4:$AK$4,"&lt;"&amp;S$4))))</f>
        <v/>
      </c>
      <c r="T169" s="33">
        <f>V168*(1+N(Debts!$D$10)/1200)</f>
        <v/>
      </c>
      <c r="U169" s="33">
        <f>T169-MIN(N(Debts!$E$10),T169)</f>
        <v/>
      </c>
      <c r="V169" s="33">
        <f>IF(U169&lt;=0.005,0,U169-MIN(U169,MAX(0,$E169-SUMIFS(H169:AK169,$H$5:$AK$5,"Rem",$H$4:$AK$4,"&lt;"&amp;V$4))))</f>
        <v/>
      </c>
      <c r="W169" s="33">
        <f>Y168*(1+N(Debts!$D$11)/1200)</f>
        <v/>
      </c>
      <c r="X169" s="33">
        <f>W169-MIN(N(Debts!$E$11),W169)</f>
        <v/>
      </c>
      <c r="Y169" s="33">
        <f>IF(X169&lt;=0.005,0,X169-MIN(X169,MAX(0,$E169-SUMIFS(H169:AK169,$H$5:$AK$5,"Rem",$H$4:$AK$4,"&lt;"&amp;Y$4))))</f>
        <v/>
      </c>
      <c r="Z169" s="33">
        <f>AB168*(1+N(Debts!$D$12)/1200)</f>
        <v/>
      </c>
      <c r="AA169" s="33">
        <f>Z169-MIN(N(Debts!$E$12),Z169)</f>
        <v/>
      </c>
      <c r="AB169" s="33">
        <f>IF(AA169&lt;=0.005,0,AA169-MIN(AA169,MAX(0,$E169-SUMIFS(H169:AK169,$H$5:$AK$5,"Rem",$H$4:$AK$4,"&lt;"&amp;AB$4))))</f>
        <v/>
      </c>
      <c r="AC169" s="33">
        <f>AE168*(1+N(Debts!$D$13)/1200)</f>
        <v/>
      </c>
      <c r="AD169" s="33">
        <f>AC169-MIN(N(Debts!$E$13),AC169)</f>
        <v/>
      </c>
      <c r="AE169" s="33">
        <f>IF(AD169&lt;=0.005,0,AD169-MIN(AD169,MAX(0,$E169-SUMIFS(H169:AK169,$H$5:$AK$5,"Rem",$H$4:$AK$4,"&lt;"&amp;AE$4))))</f>
        <v/>
      </c>
      <c r="AF169" s="33">
        <f>AH168*(1+N(Debts!$D$14)/1200)</f>
        <v/>
      </c>
      <c r="AG169" s="33">
        <f>AF169-MIN(N(Debts!$E$14),AF169)</f>
        <v/>
      </c>
      <c r="AH169" s="33">
        <f>IF(AG169&lt;=0.005,0,AG169-MIN(AG169,MAX(0,$E169-SUMIFS(H169:AK169,$H$5:$AK$5,"Rem",$H$4:$AK$4,"&lt;"&amp;AH$4))))</f>
        <v/>
      </c>
      <c r="AI169" s="33">
        <f>AK168*(1+N(Debts!$D$15)/1200)</f>
        <v/>
      </c>
      <c r="AJ169" s="33">
        <f>AI169-MIN(N(Debts!$E$15),AI169)</f>
        <v/>
      </c>
      <c r="AK169" s="33">
        <f>IF(AJ169&lt;=0.005,0,AJ169-MIN(AJ169,MAX(0,$E169-SUMIFS(H169:AK169,$H$5:$AK$5,"Rem",$H$4:$AK$4,"&lt;"&amp;AK$4))))</f>
        <v/>
      </c>
      <c r="AL169" s="1" t="n"/>
    </row>
    <row r="170">
      <c r="A170" s="1" t="n"/>
      <c r="B170" s="1" t="n">
        <v>163</v>
      </c>
      <c r="C170" s="34">
        <f>EDATE(Debts!$J$13,B170-1)</f>
        <v/>
      </c>
      <c r="D170" s="33">
        <f>IF(G169&lt;=0.005,0,Debts!$E$16+Debts!$J$7)</f>
        <v/>
      </c>
      <c r="E170" s="33">
        <f>MAX(0,D170-(SUMIF($H$5:$AK$5,"Due",H170:AK170)-SUMIF($H$5:$AK$5,"Rem",H170:AK170)))</f>
        <v/>
      </c>
      <c r="F170" s="33">
        <f>SUMIF($H$5:$AK$5,"Due",H170:AK170)-SUMIF($H$5:$AK$5,"Bal",H169:AK169)</f>
        <v/>
      </c>
      <c r="G170" s="33">
        <f>SUMIF($H$5:$AK$5,"Bal",H170:AK170)</f>
        <v/>
      </c>
      <c r="H170" s="33">
        <f>J169*(1+N(Debts!$D$6)/1200)</f>
        <v/>
      </c>
      <c r="I170" s="33">
        <f>H170-MIN(N(Debts!$E$6),H170)</f>
        <v/>
      </c>
      <c r="J170" s="33">
        <f>IF(I170&lt;=0.005,0,I170-MIN(I170,MAX(0,$E170-SUMIFS(H170:AK170,$H$5:$AK$5,"Rem",$H$4:$AK$4,"&lt;"&amp;J$4))))</f>
        <v/>
      </c>
      <c r="K170" s="33">
        <f>M169*(1+N(Debts!$D$7)/1200)</f>
        <v/>
      </c>
      <c r="L170" s="33">
        <f>K170-MIN(N(Debts!$E$7),K170)</f>
        <v/>
      </c>
      <c r="M170" s="33">
        <f>IF(L170&lt;=0.005,0,L170-MIN(L170,MAX(0,$E170-SUMIFS(H170:AK170,$H$5:$AK$5,"Rem",$H$4:$AK$4,"&lt;"&amp;M$4))))</f>
        <v/>
      </c>
      <c r="N170" s="33">
        <f>P169*(1+N(Debts!$D$8)/1200)</f>
        <v/>
      </c>
      <c r="O170" s="33">
        <f>N170-MIN(N(Debts!$E$8),N170)</f>
        <v/>
      </c>
      <c r="P170" s="33">
        <f>IF(O170&lt;=0.005,0,O170-MIN(O170,MAX(0,$E170-SUMIFS(H170:AK170,$H$5:$AK$5,"Rem",$H$4:$AK$4,"&lt;"&amp;P$4))))</f>
        <v/>
      </c>
      <c r="Q170" s="33">
        <f>S169*(1+N(Debts!$D$9)/1200)</f>
        <v/>
      </c>
      <c r="R170" s="33">
        <f>Q170-MIN(N(Debts!$E$9),Q170)</f>
        <v/>
      </c>
      <c r="S170" s="33">
        <f>IF(R170&lt;=0.005,0,R170-MIN(R170,MAX(0,$E170-SUMIFS(H170:AK170,$H$5:$AK$5,"Rem",$H$4:$AK$4,"&lt;"&amp;S$4))))</f>
        <v/>
      </c>
      <c r="T170" s="33">
        <f>V169*(1+N(Debts!$D$10)/1200)</f>
        <v/>
      </c>
      <c r="U170" s="33">
        <f>T170-MIN(N(Debts!$E$10),T170)</f>
        <v/>
      </c>
      <c r="V170" s="33">
        <f>IF(U170&lt;=0.005,0,U170-MIN(U170,MAX(0,$E170-SUMIFS(H170:AK170,$H$5:$AK$5,"Rem",$H$4:$AK$4,"&lt;"&amp;V$4))))</f>
        <v/>
      </c>
      <c r="W170" s="33">
        <f>Y169*(1+N(Debts!$D$11)/1200)</f>
        <v/>
      </c>
      <c r="X170" s="33">
        <f>W170-MIN(N(Debts!$E$11),W170)</f>
        <v/>
      </c>
      <c r="Y170" s="33">
        <f>IF(X170&lt;=0.005,0,X170-MIN(X170,MAX(0,$E170-SUMIFS(H170:AK170,$H$5:$AK$5,"Rem",$H$4:$AK$4,"&lt;"&amp;Y$4))))</f>
        <v/>
      </c>
      <c r="Z170" s="33">
        <f>AB169*(1+N(Debts!$D$12)/1200)</f>
        <v/>
      </c>
      <c r="AA170" s="33">
        <f>Z170-MIN(N(Debts!$E$12),Z170)</f>
        <v/>
      </c>
      <c r="AB170" s="33">
        <f>IF(AA170&lt;=0.005,0,AA170-MIN(AA170,MAX(0,$E170-SUMIFS(H170:AK170,$H$5:$AK$5,"Rem",$H$4:$AK$4,"&lt;"&amp;AB$4))))</f>
        <v/>
      </c>
      <c r="AC170" s="33">
        <f>AE169*(1+N(Debts!$D$13)/1200)</f>
        <v/>
      </c>
      <c r="AD170" s="33">
        <f>AC170-MIN(N(Debts!$E$13),AC170)</f>
        <v/>
      </c>
      <c r="AE170" s="33">
        <f>IF(AD170&lt;=0.005,0,AD170-MIN(AD170,MAX(0,$E170-SUMIFS(H170:AK170,$H$5:$AK$5,"Rem",$H$4:$AK$4,"&lt;"&amp;AE$4))))</f>
        <v/>
      </c>
      <c r="AF170" s="33">
        <f>AH169*(1+N(Debts!$D$14)/1200)</f>
        <v/>
      </c>
      <c r="AG170" s="33">
        <f>AF170-MIN(N(Debts!$E$14),AF170)</f>
        <v/>
      </c>
      <c r="AH170" s="33">
        <f>IF(AG170&lt;=0.005,0,AG170-MIN(AG170,MAX(0,$E170-SUMIFS(H170:AK170,$H$5:$AK$5,"Rem",$H$4:$AK$4,"&lt;"&amp;AH$4))))</f>
        <v/>
      </c>
      <c r="AI170" s="33">
        <f>AK169*(1+N(Debts!$D$15)/1200)</f>
        <v/>
      </c>
      <c r="AJ170" s="33">
        <f>AI170-MIN(N(Debts!$E$15),AI170)</f>
        <v/>
      </c>
      <c r="AK170" s="33">
        <f>IF(AJ170&lt;=0.005,0,AJ170-MIN(AJ170,MAX(0,$E170-SUMIFS(H170:AK170,$H$5:$AK$5,"Rem",$H$4:$AK$4,"&lt;"&amp;AK$4))))</f>
        <v/>
      </c>
      <c r="AL170" s="1" t="n"/>
    </row>
    <row r="171">
      <c r="A171" s="1" t="n"/>
      <c r="B171" s="1" t="n">
        <v>164</v>
      </c>
      <c r="C171" s="34">
        <f>EDATE(Debts!$J$13,B171-1)</f>
        <v/>
      </c>
      <c r="D171" s="33">
        <f>IF(G170&lt;=0.005,0,Debts!$E$16+Debts!$J$7)</f>
        <v/>
      </c>
      <c r="E171" s="33">
        <f>MAX(0,D171-(SUMIF($H$5:$AK$5,"Due",H171:AK171)-SUMIF($H$5:$AK$5,"Rem",H171:AK171)))</f>
        <v/>
      </c>
      <c r="F171" s="33">
        <f>SUMIF($H$5:$AK$5,"Due",H171:AK171)-SUMIF($H$5:$AK$5,"Bal",H170:AK170)</f>
        <v/>
      </c>
      <c r="G171" s="33">
        <f>SUMIF($H$5:$AK$5,"Bal",H171:AK171)</f>
        <v/>
      </c>
      <c r="H171" s="33">
        <f>J170*(1+N(Debts!$D$6)/1200)</f>
        <v/>
      </c>
      <c r="I171" s="33">
        <f>H171-MIN(N(Debts!$E$6),H171)</f>
        <v/>
      </c>
      <c r="J171" s="33">
        <f>IF(I171&lt;=0.005,0,I171-MIN(I171,MAX(0,$E171-SUMIFS(H171:AK171,$H$5:$AK$5,"Rem",$H$4:$AK$4,"&lt;"&amp;J$4))))</f>
        <v/>
      </c>
      <c r="K171" s="33">
        <f>M170*(1+N(Debts!$D$7)/1200)</f>
        <v/>
      </c>
      <c r="L171" s="33">
        <f>K171-MIN(N(Debts!$E$7),K171)</f>
        <v/>
      </c>
      <c r="M171" s="33">
        <f>IF(L171&lt;=0.005,0,L171-MIN(L171,MAX(0,$E171-SUMIFS(H171:AK171,$H$5:$AK$5,"Rem",$H$4:$AK$4,"&lt;"&amp;M$4))))</f>
        <v/>
      </c>
      <c r="N171" s="33">
        <f>P170*(1+N(Debts!$D$8)/1200)</f>
        <v/>
      </c>
      <c r="O171" s="33">
        <f>N171-MIN(N(Debts!$E$8),N171)</f>
        <v/>
      </c>
      <c r="P171" s="33">
        <f>IF(O171&lt;=0.005,0,O171-MIN(O171,MAX(0,$E171-SUMIFS(H171:AK171,$H$5:$AK$5,"Rem",$H$4:$AK$4,"&lt;"&amp;P$4))))</f>
        <v/>
      </c>
      <c r="Q171" s="33">
        <f>S170*(1+N(Debts!$D$9)/1200)</f>
        <v/>
      </c>
      <c r="R171" s="33">
        <f>Q171-MIN(N(Debts!$E$9),Q171)</f>
        <v/>
      </c>
      <c r="S171" s="33">
        <f>IF(R171&lt;=0.005,0,R171-MIN(R171,MAX(0,$E171-SUMIFS(H171:AK171,$H$5:$AK$5,"Rem",$H$4:$AK$4,"&lt;"&amp;S$4))))</f>
        <v/>
      </c>
      <c r="T171" s="33">
        <f>V170*(1+N(Debts!$D$10)/1200)</f>
        <v/>
      </c>
      <c r="U171" s="33">
        <f>T171-MIN(N(Debts!$E$10),T171)</f>
        <v/>
      </c>
      <c r="V171" s="33">
        <f>IF(U171&lt;=0.005,0,U171-MIN(U171,MAX(0,$E171-SUMIFS(H171:AK171,$H$5:$AK$5,"Rem",$H$4:$AK$4,"&lt;"&amp;V$4))))</f>
        <v/>
      </c>
      <c r="W171" s="33">
        <f>Y170*(1+N(Debts!$D$11)/1200)</f>
        <v/>
      </c>
      <c r="X171" s="33">
        <f>W171-MIN(N(Debts!$E$11),W171)</f>
        <v/>
      </c>
      <c r="Y171" s="33">
        <f>IF(X171&lt;=0.005,0,X171-MIN(X171,MAX(0,$E171-SUMIFS(H171:AK171,$H$5:$AK$5,"Rem",$H$4:$AK$4,"&lt;"&amp;Y$4))))</f>
        <v/>
      </c>
      <c r="Z171" s="33">
        <f>AB170*(1+N(Debts!$D$12)/1200)</f>
        <v/>
      </c>
      <c r="AA171" s="33">
        <f>Z171-MIN(N(Debts!$E$12),Z171)</f>
        <v/>
      </c>
      <c r="AB171" s="33">
        <f>IF(AA171&lt;=0.005,0,AA171-MIN(AA171,MAX(0,$E171-SUMIFS(H171:AK171,$H$5:$AK$5,"Rem",$H$4:$AK$4,"&lt;"&amp;AB$4))))</f>
        <v/>
      </c>
      <c r="AC171" s="33">
        <f>AE170*(1+N(Debts!$D$13)/1200)</f>
        <v/>
      </c>
      <c r="AD171" s="33">
        <f>AC171-MIN(N(Debts!$E$13),AC171)</f>
        <v/>
      </c>
      <c r="AE171" s="33">
        <f>IF(AD171&lt;=0.005,0,AD171-MIN(AD171,MAX(0,$E171-SUMIFS(H171:AK171,$H$5:$AK$5,"Rem",$H$4:$AK$4,"&lt;"&amp;AE$4))))</f>
        <v/>
      </c>
      <c r="AF171" s="33">
        <f>AH170*(1+N(Debts!$D$14)/1200)</f>
        <v/>
      </c>
      <c r="AG171" s="33">
        <f>AF171-MIN(N(Debts!$E$14),AF171)</f>
        <v/>
      </c>
      <c r="AH171" s="33">
        <f>IF(AG171&lt;=0.005,0,AG171-MIN(AG171,MAX(0,$E171-SUMIFS(H171:AK171,$H$5:$AK$5,"Rem",$H$4:$AK$4,"&lt;"&amp;AH$4))))</f>
        <v/>
      </c>
      <c r="AI171" s="33">
        <f>AK170*(1+N(Debts!$D$15)/1200)</f>
        <v/>
      </c>
      <c r="AJ171" s="33">
        <f>AI171-MIN(N(Debts!$E$15),AI171)</f>
        <v/>
      </c>
      <c r="AK171" s="33">
        <f>IF(AJ171&lt;=0.005,0,AJ171-MIN(AJ171,MAX(0,$E171-SUMIFS(H171:AK171,$H$5:$AK$5,"Rem",$H$4:$AK$4,"&lt;"&amp;AK$4))))</f>
        <v/>
      </c>
      <c r="AL171" s="1" t="n"/>
    </row>
    <row r="172">
      <c r="A172" s="1" t="n"/>
      <c r="B172" s="1" t="n">
        <v>165</v>
      </c>
      <c r="C172" s="34">
        <f>EDATE(Debts!$J$13,B172-1)</f>
        <v/>
      </c>
      <c r="D172" s="33">
        <f>IF(G171&lt;=0.005,0,Debts!$E$16+Debts!$J$7)</f>
        <v/>
      </c>
      <c r="E172" s="33">
        <f>MAX(0,D172-(SUMIF($H$5:$AK$5,"Due",H172:AK172)-SUMIF($H$5:$AK$5,"Rem",H172:AK172)))</f>
        <v/>
      </c>
      <c r="F172" s="33">
        <f>SUMIF($H$5:$AK$5,"Due",H172:AK172)-SUMIF($H$5:$AK$5,"Bal",H171:AK171)</f>
        <v/>
      </c>
      <c r="G172" s="33">
        <f>SUMIF($H$5:$AK$5,"Bal",H172:AK172)</f>
        <v/>
      </c>
      <c r="H172" s="33">
        <f>J171*(1+N(Debts!$D$6)/1200)</f>
        <v/>
      </c>
      <c r="I172" s="33">
        <f>H172-MIN(N(Debts!$E$6),H172)</f>
        <v/>
      </c>
      <c r="J172" s="33">
        <f>IF(I172&lt;=0.005,0,I172-MIN(I172,MAX(0,$E172-SUMIFS(H172:AK172,$H$5:$AK$5,"Rem",$H$4:$AK$4,"&lt;"&amp;J$4))))</f>
        <v/>
      </c>
      <c r="K172" s="33">
        <f>M171*(1+N(Debts!$D$7)/1200)</f>
        <v/>
      </c>
      <c r="L172" s="33">
        <f>K172-MIN(N(Debts!$E$7),K172)</f>
        <v/>
      </c>
      <c r="M172" s="33">
        <f>IF(L172&lt;=0.005,0,L172-MIN(L172,MAX(0,$E172-SUMIFS(H172:AK172,$H$5:$AK$5,"Rem",$H$4:$AK$4,"&lt;"&amp;M$4))))</f>
        <v/>
      </c>
      <c r="N172" s="33">
        <f>P171*(1+N(Debts!$D$8)/1200)</f>
        <v/>
      </c>
      <c r="O172" s="33">
        <f>N172-MIN(N(Debts!$E$8),N172)</f>
        <v/>
      </c>
      <c r="P172" s="33">
        <f>IF(O172&lt;=0.005,0,O172-MIN(O172,MAX(0,$E172-SUMIFS(H172:AK172,$H$5:$AK$5,"Rem",$H$4:$AK$4,"&lt;"&amp;P$4))))</f>
        <v/>
      </c>
      <c r="Q172" s="33">
        <f>S171*(1+N(Debts!$D$9)/1200)</f>
        <v/>
      </c>
      <c r="R172" s="33">
        <f>Q172-MIN(N(Debts!$E$9),Q172)</f>
        <v/>
      </c>
      <c r="S172" s="33">
        <f>IF(R172&lt;=0.005,0,R172-MIN(R172,MAX(0,$E172-SUMIFS(H172:AK172,$H$5:$AK$5,"Rem",$H$4:$AK$4,"&lt;"&amp;S$4))))</f>
        <v/>
      </c>
      <c r="T172" s="33">
        <f>V171*(1+N(Debts!$D$10)/1200)</f>
        <v/>
      </c>
      <c r="U172" s="33">
        <f>T172-MIN(N(Debts!$E$10),T172)</f>
        <v/>
      </c>
      <c r="V172" s="33">
        <f>IF(U172&lt;=0.005,0,U172-MIN(U172,MAX(0,$E172-SUMIFS(H172:AK172,$H$5:$AK$5,"Rem",$H$4:$AK$4,"&lt;"&amp;V$4))))</f>
        <v/>
      </c>
      <c r="W172" s="33">
        <f>Y171*(1+N(Debts!$D$11)/1200)</f>
        <v/>
      </c>
      <c r="X172" s="33">
        <f>W172-MIN(N(Debts!$E$11),W172)</f>
        <v/>
      </c>
      <c r="Y172" s="33">
        <f>IF(X172&lt;=0.005,0,X172-MIN(X172,MAX(0,$E172-SUMIFS(H172:AK172,$H$5:$AK$5,"Rem",$H$4:$AK$4,"&lt;"&amp;Y$4))))</f>
        <v/>
      </c>
      <c r="Z172" s="33">
        <f>AB171*(1+N(Debts!$D$12)/1200)</f>
        <v/>
      </c>
      <c r="AA172" s="33">
        <f>Z172-MIN(N(Debts!$E$12),Z172)</f>
        <v/>
      </c>
      <c r="AB172" s="33">
        <f>IF(AA172&lt;=0.005,0,AA172-MIN(AA172,MAX(0,$E172-SUMIFS(H172:AK172,$H$5:$AK$5,"Rem",$H$4:$AK$4,"&lt;"&amp;AB$4))))</f>
        <v/>
      </c>
      <c r="AC172" s="33">
        <f>AE171*(1+N(Debts!$D$13)/1200)</f>
        <v/>
      </c>
      <c r="AD172" s="33">
        <f>AC172-MIN(N(Debts!$E$13),AC172)</f>
        <v/>
      </c>
      <c r="AE172" s="33">
        <f>IF(AD172&lt;=0.005,0,AD172-MIN(AD172,MAX(0,$E172-SUMIFS(H172:AK172,$H$5:$AK$5,"Rem",$H$4:$AK$4,"&lt;"&amp;AE$4))))</f>
        <v/>
      </c>
      <c r="AF172" s="33">
        <f>AH171*(1+N(Debts!$D$14)/1200)</f>
        <v/>
      </c>
      <c r="AG172" s="33">
        <f>AF172-MIN(N(Debts!$E$14),AF172)</f>
        <v/>
      </c>
      <c r="AH172" s="33">
        <f>IF(AG172&lt;=0.005,0,AG172-MIN(AG172,MAX(0,$E172-SUMIFS(H172:AK172,$H$5:$AK$5,"Rem",$H$4:$AK$4,"&lt;"&amp;AH$4))))</f>
        <v/>
      </c>
      <c r="AI172" s="33">
        <f>AK171*(1+N(Debts!$D$15)/1200)</f>
        <v/>
      </c>
      <c r="AJ172" s="33">
        <f>AI172-MIN(N(Debts!$E$15),AI172)</f>
        <v/>
      </c>
      <c r="AK172" s="33">
        <f>IF(AJ172&lt;=0.005,0,AJ172-MIN(AJ172,MAX(0,$E172-SUMIFS(H172:AK172,$H$5:$AK$5,"Rem",$H$4:$AK$4,"&lt;"&amp;AK$4))))</f>
        <v/>
      </c>
      <c r="AL172" s="1" t="n"/>
    </row>
    <row r="173">
      <c r="A173" s="1" t="n"/>
      <c r="B173" s="1" t="n">
        <v>166</v>
      </c>
      <c r="C173" s="34">
        <f>EDATE(Debts!$J$13,B173-1)</f>
        <v/>
      </c>
      <c r="D173" s="33">
        <f>IF(G172&lt;=0.005,0,Debts!$E$16+Debts!$J$7)</f>
        <v/>
      </c>
      <c r="E173" s="33">
        <f>MAX(0,D173-(SUMIF($H$5:$AK$5,"Due",H173:AK173)-SUMIF($H$5:$AK$5,"Rem",H173:AK173)))</f>
        <v/>
      </c>
      <c r="F173" s="33">
        <f>SUMIF($H$5:$AK$5,"Due",H173:AK173)-SUMIF($H$5:$AK$5,"Bal",H172:AK172)</f>
        <v/>
      </c>
      <c r="G173" s="33">
        <f>SUMIF($H$5:$AK$5,"Bal",H173:AK173)</f>
        <v/>
      </c>
      <c r="H173" s="33">
        <f>J172*(1+N(Debts!$D$6)/1200)</f>
        <v/>
      </c>
      <c r="I173" s="33">
        <f>H173-MIN(N(Debts!$E$6),H173)</f>
        <v/>
      </c>
      <c r="J173" s="33">
        <f>IF(I173&lt;=0.005,0,I173-MIN(I173,MAX(0,$E173-SUMIFS(H173:AK173,$H$5:$AK$5,"Rem",$H$4:$AK$4,"&lt;"&amp;J$4))))</f>
        <v/>
      </c>
      <c r="K173" s="33">
        <f>M172*(1+N(Debts!$D$7)/1200)</f>
        <v/>
      </c>
      <c r="L173" s="33">
        <f>K173-MIN(N(Debts!$E$7),K173)</f>
        <v/>
      </c>
      <c r="M173" s="33">
        <f>IF(L173&lt;=0.005,0,L173-MIN(L173,MAX(0,$E173-SUMIFS(H173:AK173,$H$5:$AK$5,"Rem",$H$4:$AK$4,"&lt;"&amp;M$4))))</f>
        <v/>
      </c>
      <c r="N173" s="33">
        <f>P172*(1+N(Debts!$D$8)/1200)</f>
        <v/>
      </c>
      <c r="O173" s="33">
        <f>N173-MIN(N(Debts!$E$8),N173)</f>
        <v/>
      </c>
      <c r="P173" s="33">
        <f>IF(O173&lt;=0.005,0,O173-MIN(O173,MAX(0,$E173-SUMIFS(H173:AK173,$H$5:$AK$5,"Rem",$H$4:$AK$4,"&lt;"&amp;P$4))))</f>
        <v/>
      </c>
      <c r="Q173" s="33">
        <f>S172*(1+N(Debts!$D$9)/1200)</f>
        <v/>
      </c>
      <c r="R173" s="33">
        <f>Q173-MIN(N(Debts!$E$9),Q173)</f>
        <v/>
      </c>
      <c r="S173" s="33">
        <f>IF(R173&lt;=0.005,0,R173-MIN(R173,MAX(0,$E173-SUMIFS(H173:AK173,$H$5:$AK$5,"Rem",$H$4:$AK$4,"&lt;"&amp;S$4))))</f>
        <v/>
      </c>
      <c r="T173" s="33">
        <f>V172*(1+N(Debts!$D$10)/1200)</f>
        <v/>
      </c>
      <c r="U173" s="33">
        <f>T173-MIN(N(Debts!$E$10),T173)</f>
        <v/>
      </c>
      <c r="V173" s="33">
        <f>IF(U173&lt;=0.005,0,U173-MIN(U173,MAX(0,$E173-SUMIFS(H173:AK173,$H$5:$AK$5,"Rem",$H$4:$AK$4,"&lt;"&amp;V$4))))</f>
        <v/>
      </c>
      <c r="W173" s="33">
        <f>Y172*(1+N(Debts!$D$11)/1200)</f>
        <v/>
      </c>
      <c r="X173" s="33">
        <f>W173-MIN(N(Debts!$E$11),W173)</f>
        <v/>
      </c>
      <c r="Y173" s="33">
        <f>IF(X173&lt;=0.005,0,X173-MIN(X173,MAX(0,$E173-SUMIFS(H173:AK173,$H$5:$AK$5,"Rem",$H$4:$AK$4,"&lt;"&amp;Y$4))))</f>
        <v/>
      </c>
      <c r="Z173" s="33">
        <f>AB172*(1+N(Debts!$D$12)/1200)</f>
        <v/>
      </c>
      <c r="AA173" s="33">
        <f>Z173-MIN(N(Debts!$E$12),Z173)</f>
        <v/>
      </c>
      <c r="AB173" s="33">
        <f>IF(AA173&lt;=0.005,0,AA173-MIN(AA173,MAX(0,$E173-SUMIFS(H173:AK173,$H$5:$AK$5,"Rem",$H$4:$AK$4,"&lt;"&amp;AB$4))))</f>
        <v/>
      </c>
      <c r="AC173" s="33">
        <f>AE172*(1+N(Debts!$D$13)/1200)</f>
        <v/>
      </c>
      <c r="AD173" s="33">
        <f>AC173-MIN(N(Debts!$E$13),AC173)</f>
        <v/>
      </c>
      <c r="AE173" s="33">
        <f>IF(AD173&lt;=0.005,0,AD173-MIN(AD173,MAX(0,$E173-SUMIFS(H173:AK173,$H$5:$AK$5,"Rem",$H$4:$AK$4,"&lt;"&amp;AE$4))))</f>
        <v/>
      </c>
      <c r="AF173" s="33">
        <f>AH172*(1+N(Debts!$D$14)/1200)</f>
        <v/>
      </c>
      <c r="AG173" s="33">
        <f>AF173-MIN(N(Debts!$E$14),AF173)</f>
        <v/>
      </c>
      <c r="AH173" s="33">
        <f>IF(AG173&lt;=0.005,0,AG173-MIN(AG173,MAX(0,$E173-SUMIFS(H173:AK173,$H$5:$AK$5,"Rem",$H$4:$AK$4,"&lt;"&amp;AH$4))))</f>
        <v/>
      </c>
      <c r="AI173" s="33">
        <f>AK172*(1+N(Debts!$D$15)/1200)</f>
        <v/>
      </c>
      <c r="AJ173" s="33">
        <f>AI173-MIN(N(Debts!$E$15),AI173)</f>
        <v/>
      </c>
      <c r="AK173" s="33">
        <f>IF(AJ173&lt;=0.005,0,AJ173-MIN(AJ173,MAX(0,$E173-SUMIFS(H173:AK173,$H$5:$AK$5,"Rem",$H$4:$AK$4,"&lt;"&amp;AK$4))))</f>
        <v/>
      </c>
      <c r="AL173" s="1" t="n"/>
    </row>
    <row r="174">
      <c r="A174" s="1" t="n"/>
      <c r="B174" s="1" t="n">
        <v>167</v>
      </c>
      <c r="C174" s="34">
        <f>EDATE(Debts!$J$13,B174-1)</f>
        <v/>
      </c>
      <c r="D174" s="33">
        <f>IF(G173&lt;=0.005,0,Debts!$E$16+Debts!$J$7)</f>
        <v/>
      </c>
      <c r="E174" s="33">
        <f>MAX(0,D174-(SUMIF($H$5:$AK$5,"Due",H174:AK174)-SUMIF($H$5:$AK$5,"Rem",H174:AK174)))</f>
        <v/>
      </c>
      <c r="F174" s="33">
        <f>SUMIF($H$5:$AK$5,"Due",H174:AK174)-SUMIF($H$5:$AK$5,"Bal",H173:AK173)</f>
        <v/>
      </c>
      <c r="G174" s="33">
        <f>SUMIF($H$5:$AK$5,"Bal",H174:AK174)</f>
        <v/>
      </c>
      <c r="H174" s="33">
        <f>J173*(1+N(Debts!$D$6)/1200)</f>
        <v/>
      </c>
      <c r="I174" s="33">
        <f>H174-MIN(N(Debts!$E$6),H174)</f>
        <v/>
      </c>
      <c r="J174" s="33">
        <f>IF(I174&lt;=0.005,0,I174-MIN(I174,MAX(0,$E174-SUMIFS(H174:AK174,$H$5:$AK$5,"Rem",$H$4:$AK$4,"&lt;"&amp;J$4))))</f>
        <v/>
      </c>
      <c r="K174" s="33">
        <f>M173*(1+N(Debts!$D$7)/1200)</f>
        <v/>
      </c>
      <c r="L174" s="33">
        <f>K174-MIN(N(Debts!$E$7),K174)</f>
        <v/>
      </c>
      <c r="M174" s="33">
        <f>IF(L174&lt;=0.005,0,L174-MIN(L174,MAX(0,$E174-SUMIFS(H174:AK174,$H$5:$AK$5,"Rem",$H$4:$AK$4,"&lt;"&amp;M$4))))</f>
        <v/>
      </c>
      <c r="N174" s="33">
        <f>P173*(1+N(Debts!$D$8)/1200)</f>
        <v/>
      </c>
      <c r="O174" s="33">
        <f>N174-MIN(N(Debts!$E$8),N174)</f>
        <v/>
      </c>
      <c r="P174" s="33">
        <f>IF(O174&lt;=0.005,0,O174-MIN(O174,MAX(0,$E174-SUMIFS(H174:AK174,$H$5:$AK$5,"Rem",$H$4:$AK$4,"&lt;"&amp;P$4))))</f>
        <v/>
      </c>
      <c r="Q174" s="33">
        <f>S173*(1+N(Debts!$D$9)/1200)</f>
        <v/>
      </c>
      <c r="R174" s="33">
        <f>Q174-MIN(N(Debts!$E$9),Q174)</f>
        <v/>
      </c>
      <c r="S174" s="33">
        <f>IF(R174&lt;=0.005,0,R174-MIN(R174,MAX(0,$E174-SUMIFS(H174:AK174,$H$5:$AK$5,"Rem",$H$4:$AK$4,"&lt;"&amp;S$4))))</f>
        <v/>
      </c>
      <c r="T174" s="33">
        <f>V173*(1+N(Debts!$D$10)/1200)</f>
        <v/>
      </c>
      <c r="U174" s="33">
        <f>T174-MIN(N(Debts!$E$10),T174)</f>
        <v/>
      </c>
      <c r="V174" s="33">
        <f>IF(U174&lt;=0.005,0,U174-MIN(U174,MAX(0,$E174-SUMIFS(H174:AK174,$H$5:$AK$5,"Rem",$H$4:$AK$4,"&lt;"&amp;V$4))))</f>
        <v/>
      </c>
      <c r="W174" s="33">
        <f>Y173*(1+N(Debts!$D$11)/1200)</f>
        <v/>
      </c>
      <c r="X174" s="33">
        <f>W174-MIN(N(Debts!$E$11),W174)</f>
        <v/>
      </c>
      <c r="Y174" s="33">
        <f>IF(X174&lt;=0.005,0,X174-MIN(X174,MAX(0,$E174-SUMIFS(H174:AK174,$H$5:$AK$5,"Rem",$H$4:$AK$4,"&lt;"&amp;Y$4))))</f>
        <v/>
      </c>
      <c r="Z174" s="33">
        <f>AB173*(1+N(Debts!$D$12)/1200)</f>
        <v/>
      </c>
      <c r="AA174" s="33">
        <f>Z174-MIN(N(Debts!$E$12),Z174)</f>
        <v/>
      </c>
      <c r="AB174" s="33">
        <f>IF(AA174&lt;=0.005,0,AA174-MIN(AA174,MAX(0,$E174-SUMIFS(H174:AK174,$H$5:$AK$5,"Rem",$H$4:$AK$4,"&lt;"&amp;AB$4))))</f>
        <v/>
      </c>
      <c r="AC174" s="33">
        <f>AE173*(1+N(Debts!$D$13)/1200)</f>
        <v/>
      </c>
      <c r="AD174" s="33">
        <f>AC174-MIN(N(Debts!$E$13),AC174)</f>
        <v/>
      </c>
      <c r="AE174" s="33">
        <f>IF(AD174&lt;=0.005,0,AD174-MIN(AD174,MAX(0,$E174-SUMIFS(H174:AK174,$H$5:$AK$5,"Rem",$H$4:$AK$4,"&lt;"&amp;AE$4))))</f>
        <v/>
      </c>
      <c r="AF174" s="33">
        <f>AH173*(1+N(Debts!$D$14)/1200)</f>
        <v/>
      </c>
      <c r="AG174" s="33">
        <f>AF174-MIN(N(Debts!$E$14),AF174)</f>
        <v/>
      </c>
      <c r="AH174" s="33">
        <f>IF(AG174&lt;=0.005,0,AG174-MIN(AG174,MAX(0,$E174-SUMIFS(H174:AK174,$H$5:$AK$5,"Rem",$H$4:$AK$4,"&lt;"&amp;AH$4))))</f>
        <v/>
      </c>
      <c r="AI174" s="33">
        <f>AK173*(1+N(Debts!$D$15)/1200)</f>
        <v/>
      </c>
      <c r="AJ174" s="33">
        <f>AI174-MIN(N(Debts!$E$15),AI174)</f>
        <v/>
      </c>
      <c r="AK174" s="33">
        <f>IF(AJ174&lt;=0.005,0,AJ174-MIN(AJ174,MAX(0,$E174-SUMIFS(H174:AK174,$H$5:$AK$5,"Rem",$H$4:$AK$4,"&lt;"&amp;AK$4))))</f>
        <v/>
      </c>
      <c r="AL174" s="1" t="n"/>
    </row>
    <row r="175">
      <c r="A175" s="1" t="n"/>
      <c r="B175" s="1" t="n">
        <v>168</v>
      </c>
      <c r="C175" s="34">
        <f>EDATE(Debts!$J$13,B175-1)</f>
        <v/>
      </c>
      <c r="D175" s="33">
        <f>IF(G174&lt;=0.005,0,Debts!$E$16+Debts!$J$7)</f>
        <v/>
      </c>
      <c r="E175" s="33">
        <f>MAX(0,D175-(SUMIF($H$5:$AK$5,"Due",H175:AK175)-SUMIF($H$5:$AK$5,"Rem",H175:AK175)))</f>
        <v/>
      </c>
      <c r="F175" s="33">
        <f>SUMIF($H$5:$AK$5,"Due",H175:AK175)-SUMIF($H$5:$AK$5,"Bal",H174:AK174)</f>
        <v/>
      </c>
      <c r="G175" s="33">
        <f>SUMIF($H$5:$AK$5,"Bal",H175:AK175)</f>
        <v/>
      </c>
      <c r="H175" s="33">
        <f>J174*(1+N(Debts!$D$6)/1200)</f>
        <v/>
      </c>
      <c r="I175" s="33">
        <f>H175-MIN(N(Debts!$E$6),H175)</f>
        <v/>
      </c>
      <c r="J175" s="33">
        <f>IF(I175&lt;=0.005,0,I175-MIN(I175,MAX(0,$E175-SUMIFS(H175:AK175,$H$5:$AK$5,"Rem",$H$4:$AK$4,"&lt;"&amp;J$4))))</f>
        <v/>
      </c>
      <c r="K175" s="33">
        <f>M174*(1+N(Debts!$D$7)/1200)</f>
        <v/>
      </c>
      <c r="L175" s="33">
        <f>K175-MIN(N(Debts!$E$7),K175)</f>
        <v/>
      </c>
      <c r="M175" s="33">
        <f>IF(L175&lt;=0.005,0,L175-MIN(L175,MAX(0,$E175-SUMIFS(H175:AK175,$H$5:$AK$5,"Rem",$H$4:$AK$4,"&lt;"&amp;M$4))))</f>
        <v/>
      </c>
      <c r="N175" s="33">
        <f>P174*(1+N(Debts!$D$8)/1200)</f>
        <v/>
      </c>
      <c r="O175" s="33">
        <f>N175-MIN(N(Debts!$E$8),N175)</f>
        <v/>
      </c>
      <c r="P175" s="33">
        <f>IF(O175&lt;=0.005,0,O175-MIN(O175,MAX(0,$E175-SUMIFS(H175:AK175,$H$5:$AK$5,"Rem",$H$4:$AK$4,"&lt;"&amp;P$4))))</f>
        <v/>
      </c>
      <c r="Q175" s="33">
        <f>S174*(1+N(Debts!$D$9)/1200)</f>
        <v/>
      </c>
      <c r="R175" s="33">
        <f>Q175-MIN(N(Debts!$E$9),Q175)</f>
        <v/>
      </c>
      <c r="S175" s="33">
        <f>IF(R175&lt;=0.005,0,R175-MIN(R175,MAX(0,$E175-SUMIFS(H175:AK175,$H$5:$AK$5,"Rem",$H$4:$AK$4,"&lt;"&amp;S$4))))</f>
        <v/>
      </c>
      <c r="T175" s="33">
        <f>V174*(1+N(Debts!$D$10)/1200)</f>
        <v/>
      </c>
      <c r="U175" s="33">
        <f>T175-MIN(N(Debts!$E$10),T175)</f>
        <v/>
      </c>
      <c r="V175" s="33">
        <f>IF(U175&lt;=0.005,0,U175-MIN(U175,MAX(0,$E175-SUMIFS(H175:AK175,$H$5:$AK$5,"Rem",$H$4:$AK$4,"&lt;"&amp;V$4))))</f>
        <v/>
      </c>
      <c r="W175" s="33">
        <f>Y174*(1+N(Debts!$D$11)/1200)</f>
        <v/>
      </c>
      <c r="X175" s="33">
        <f>W175-MIN(N(Debts!$E$11),W175)</f>
        <v/>
      </c>
      <c r="Y175" s="33">
        <f>IF(X175&lt;=0.005,0,X175-MIN(X175,MAX(0,$E175-SUMIFS(H175:AK175,$H$5:$AK$5,"Rem",$H$4:$AK$4,"&lt;"&amp;Y$4))))</f>
        <v/>
      </c>
      <c r="Z175" s="33">
        <f>AB174*(1+N(Debts!$D$12)/1200)</f>
        <v/>
      </c>
      <c r="AA175" s="33">
        <f>Z175-MIN(N(Debts!$E$12),Z175)</f>
        <v/>
      </c>
      <c r="AB175" s="33">
        <f>IF(AA175&lt;=0.005,0,AA175-MIN(AA175,MAX(0,$E175-SUMIFS(H175:AK175,$H$5:$AK$5,"Rem",$H$4:$AK$4,"&lt;"&amp;AB$4))))</f>
        <v/>
      </c>
      <c r="AC175" s="33">
        <f>AE174*(1+N(Debts!$D$13)/1200)</f>
        <v/>
      </c>
      <c r="AD175" s="33">
        <f>AC175-MIN(N(Debts!$E$13),AC175)</f>
        <v/>
      </c>
      <c r="AE175" s="33">
        <f>IF(AD175&lt;=0.005,0,AD175-MIN(AD175,MAX(0,$E175-SUMIFS(H175:AK175,$H$5:$AK$5,"Rem",$H$4:$AK$4,"&lt;"&amp;AE$4))))</f>
        <v/>
      </c>
      <c r="AF175" s="33">
        <f>AH174*(1+N(Debts!$D$14)/1200)</f>
        <v/>
      </c>
      <c r="AG175" s="33">
        <f>AF175-MIN(N(Debts!$E$14),AF175)</f>
        <v/>
      </c>
      <c r="AH175" s="33">
        <f>IF(AG175&lt;=0.005,0,AG175-MIN(AG175,MAX(0,$E175-SUMIFS(H175:AK175,$H$5:$AK$5,"Rem",$H$4:$AK$4,"&lt;"&amp;AH$4))))</f>
        <v/>
      </c>
      <c r="AI175" s="33">
        <f>AK174*(1+N(Debts!$D$15)/1200)</f>
        <v/>
      </c>
      <c r="AJ175" s="33">
        <f>AI175-MIN(N(Debts!$E$15),AI175)</f>
        <v/>
      </c>
      <c r="AK175" s="33">
        <f>IF(AJ175&lt;=0.005,0,AJ175-MIN(AJ175,MAX(0,$E175-SUMIFS(H175:AK175,$H$5:$AK$5,"Rem",$H$4:$AK$4,"&lt;"&amp;AK$4))))</f>
        <v/>
      </c>
      <c r="AL175" s="1" t="n"/>
    </row>
    <row r="176">
      <c r="A176" s="1" t="n"/>
      <c r="B176" s="1" t="n">
        <v>169</v>
      </c>
      <c r="C176" s="34">
        <f>EDATE(Debts!$J$13,B176-1)</f>
        <v/>
      </c>
      <c r="D176" s="33">
        <f>IF(G175&lt;=0.005,0,Debts!$E$16+Debts!$J$7)</f>
        <v/>
      </c>
      <c r="E176" s="33">
        <f>MAX(0,D176-(SUMIF($H$5:$AK$5,"Due",H176:AK176)-SUMIF($H$5:$AK$5,"Rem",H176:AK176)))</f>
        <v/>
      </c>
      <c r="F176" s="33">
        <f>SUMIF($H$5:$AK$5,"Due",H176:AK176)-SUMIF($H$5:$AK$5,"Bal",H175:AK175)</f>
        <v/>
      </c>
      <c r="G176" s="33">
        <f>SUMIF($H$5:$AK$5,"Bal",H176:AK176)</f>
        <v/>
      </c>
      <c r="H176" s="33">
        <f>J175*(1+N(Debts!$D$6)/1200)</f>
        <v/>
      </c>
      <c r="I176" s="33">
        <f>H176-MIN(N(Debts!$E$6),H176)</f>
        <v/>
      </c>
      <c r="J176" s="33">
        <f>IF(I176&lt;=0.005,0,I176-MIN(I176,MAX(0,$E176-SUMIFS(H176:AK176,$H$5:$AK$5,"Rem",$H$4:$AK$4,"&lt;"&amp;J$4))))</f>
        <v/>
      </c>
      <c r="K176" s="33">
        <f>M175*(1+N(Debts!$D$7)/1200)</f>
        <v/>
      </c>
      <c r="L176" s="33">
        <f>K176-MIN(N(Debts!$E$7),K176)</f>
        <v/>
      </c>
      <c r="M176" s="33">
        <f>IF(L176&lt;=0.005,0,L176-MIN(L176,MAX(0,$E176-SUMIFS(H176:AK176,$H$5:$AK$5,"Rem",$H$4:$AK$4,"&lt;"&amp;M$4))))</f>
        <v/>
      </c>
      <c r="N176" s="33">
        <f>P175*(1+N(Debts!$D$8)/1200)</f>
        <v/>
      </c>
      <c r="O176" s="33">
        <f>N176-MIN(N(Debts!$E$8),N176)</f>
        <v/>
      </c>
      <c r="P176" s="33">
        <f>IF(O176&lt;=0.005,0,O176-MIN(O176,MAX(0,$E176-SUMIFS(H176:AK176,$H$5:$AK$5,"Rem",$H$4:$AK$4,"&lt;"&amp;P$4))))</f>
        <v/>
      </c>
      <c r="Q176" s="33">
        <f>S175*(1+N(Debts!$D$9)/1200)</f>
        <v/>
      </c>
      <c r="R176" s="33">
        <f>Q176-MIN(N(Debts!$E$9),Q176)</f>
        <v/>
      </c>
      <c r="S176" s="33">
        <f>IF(R176&lt;=0.005,0,R176-MIN(R176,MAX(0,$E176-SUMIFS(H176:AK176,$H$5:$AK$5,"Rem",$H$4:$AK$4,"&lt;"&amp;S$4))))</f>
        <v/>
      </c>
      <c r="T176" s="33">
        <f>V175*(1+N(Debts!$D$10)/1200)</f>
        <v/>
      </c>
      <c r="U176" s="33">
        <f>T176-MIN(N(Debts!$E$10),T176)</f>
        <v/>
      </c>
      <c r="V176" s="33">
        <f>IF(U176&lt;=0.005,0,U176-MIN(U176,MAX(0,$E176-SUMIFS(H176:AK176,$H$5:$AK$5,"Rem",$H$4:$AK$4,"&lt;"&amp;V$4))))</f>
        <v/>
      </c>
      <c r="W176" s="33">
        <f>Y175*(1+N(Debts!$D$11)/1200)</f>
        <v/>
      </c>
      <c r="X176" s="33">
        <f>W176-MIN(N(Debts!$E$11),W176)</f>
        <v/>
      </c>
      <c r="Y176" s="33">
        <f>IF(X176&lt;=0.005,0,X176-MIN(X176,MAX(0,$E176-SUMIFS(H176:AK176,$H$5:$AK$5,"Rem",$H$4:$AK$4,"&lt;"&amp;Y$4))))</f>
        <v/>
      </c>
      <c r="Z176" s="33">
        <f>AB175*(1+N(Debts!$D$12)/1200)</f>
        <v/>
      </c>
      <c r="AA176" s="33">
        <f>Z176-MIN(N(Debts!$E$12),Z176)</f>
        <v/>
      </c>
      <c r="AB176" s="33">
        <f>IF(AA176&lt;=0.005,0,AA176-MIN(AA176,MAX(0,$E176-SUMIFS(H176:AK176,$H$5:$AK$5,"Rem",$H$4:$AK$4,"&lt;"&amp;AB$4))))</f>
        <v/>
      </c>
      <c r="AC176" s="33">
        <f>AE175*(1+N(Debts!$D$13)/1200)</f>
        <v/>
      </c>
      <c r="AD176" s="33">
        <f>AC176-MIN(N(Debts!$E$13),AC176)</f>
        <v/>
      </c>
      <c r="AE176" s="33">
        <f>IF(AD176&lt;=0.005,0,AD176-MIN(AD176,MAX(0,$E176-SUMIFS(H176:AK176,$H$5:$AK$5,"Rem",$H$4:$AK$4,"&lt;"&amp;AE$4))))</f>
        <v/>
      </c>
      <c r="AF176" s="33">
        <f>AH175*(1+N(Debts!$D$14)/1200)</f>
        <v/>
      </c>
      <c r="AG176" s="33">
        <f>AF176-MIN(N(Debts!$E$14),AF176)</f>
        <v/>
      </c>
      <c r="AH176" s="33">
        <f>IF(AG176&lt;=0.005,0,AG176-MIN(AG176,MAX(0,$E176-SUMIFS(H176:AK176,$H$5:$AK$5,"Rem",$H$4:$AK$4,"&lt;"&amp;AH$4))))</f>
        <v/>
      </c>
      <c r="AI176" s="33">
        <f>AK175*(1+N(Debts!$D$15)/1200)</f>
        <v/>
      </c>
      <c r="AJ176" s="33">
        <f>AI176-MIN(N(Debts!$E$15),AI176)</f>
        <v/>
      </c>
      <c r="AK176" s="33">
        <f>IF(AJ176&lt;=0.005,0,AJ176-MIN(AJ176,MAX(0,$E176-SUMIFS(H176:AK176,$H$5:$AK$5,"Rem",$H$4:$AK$4,"&lt;"&amp;AK$4))))</f>
        <v/>
      </c>
      <c r="AL176" s="1" t="n"/>
    </row>
    <row r="177">
      <c r="A177" s="1" t="n"/>
      <c r="B177" s="1" t="n">
        <v>170</v>
      </c>
      <c r="C177" s="34">
        <f>EDATE(Debts!$J$13,B177-1)</f>
        <v/>
      </c>
      <c r="D177" s="33">
        <f>IF(G176&lt;=0.005,0,Debts!$E$16+Debts!$J$7)</f>
        <v/>
      </c>
      <c r="E177" s="33">
        <f>MAX(0,D177-(SUMIF($H$5:$AK$5,"Due",H177:AK177)-SUMIF($H$5:$AK$5,"Rem",H177:AK177)))</f>
        <v/>
      </c>
      <c r="F177" s="33">
        <f>SUMIF($H$5:$AK$5,"Due",H177:AK177)-SUMIF($H$5:$AK$5,"Bal",H176:AK176)</f>
        <v/>
      </c>
      <c r="G177" s="33">
        <f>SUMIF($H$5:$AK$5,"Bal",H177:AK177)</f>
        <v/>
      </c>
      <c r="H177" s="33">
        <f>J176*(1+N(Debts!$D$6)/1200)</f>
        <v/>
      </c>
      <c r="I177" s="33">
        <f>H177-MIN(N(Debts!$E$6),H177)</f>
        <v/>
      </c>
      <c r="J177" s="33">
        <f>IF(I177&lt;=0.005,0,I177-MIN(I177,MAX(0,$E177-SUMIFS(H177:AK177,$H$5:$AK$5,"Rem",$H$4:$AK$4,"&lt;"&amp;J$4))))</f>
        <v/>
      </c>
      <c r="K177" s="33">
        <f>M176*(1+N(Debts!$D$7)/1200)</f>
        <v/>
      </c>
      <c r="L177" s="33">
        <f>K177-MIN(N(Debts!$E$7),K177)</f>
        <v/>
      </c>
      <c r="M177" s="33">
        <f>IF(L177&lt;=0.005,0,L177-MIN(L177,MAX(0,$E177-SUMIFS(H177:AK177,$H$5:$AK$5,"Rem",$H$4:$AK$4,"&lt;"&amp;M$4))))</f>
        <v/>
      </c>
      <c r="N177" s="33">
        <f>P176*(1+N(Debts!$D$8)/1200)</f>
        <v/>
      </c>
      <c r="O177" s="33">
        <f>N177-MIN(N(Debts!$E$8),N177)</f>
        <v/>
      </c>
      <c r="P177" s="33">
        <f>IF(O177&lt;=0.005,0,O177-MIN(O177,MAX(0,$E177-SUMIFS(H177:AK177,$H$5:$AK$5,"Rem",$H$4:$AK$4,"&lt;"&amp;P$4))))</f>
        <v/>
      </c>
      <c r="Q177" s="33">
        <f>S176*(1+N(Debts!$D$9)/1200)</f>
        <v/>
      </c>
      <c r="R177" s="33">
        <f>Q177-MIN(N(Debts!$E$9),Q177)</f>
        <v/>
      </c>
      <c r="S177" s="33">
        <f>IF(R177&lt;=0.005,0,R177-MIN(R177,MAX(0,$E177-SUMIFS(H177:AK177,$H$5:$AK$5,"Rem",$H$4:$AK$4,"&lt;"&amp;S$4))))</f>
        <v/>
      </c>
      <c r="T177" s="33">
        <f>V176*(1+N(Debts!$D$10)/1200)</f>
        <v/>
      </c>
      <c r="U177" s="33">
        <f>T177-MIN(N(Debts!$E$10),T177)</f>
        <v/>
      </c>
      <c r="V177" s="33">
        <f>IF(U177&lt;=0.005,0,U177-MIN(U177,MAX(0,$E177-SUMIFS(H177:AK177,$H$5:$AK$5,"Rem",$H$4:$AK$4,"&lt;"&amp;V$4))))</f>
        <v/>
      </c>
      <c r="W177" s="33">
        <f>Y176*(1+N(Debts!$D$11)/1200)</f>
        <v/>
      </c>
      <c r="X177" s="33">
        <f>W177-MIN(N(Debts!$E$11),W177)</f>
        <v/>
      </c>
      <c r="Y177" s="33">
        <f>IF(X177&lt;=0.005,0,X177-MIN(X177,MAX(0,$E177-SUMIFS(H177:AK177,$H$5:$AK$5,"Rem",$H$4:$AK$4,"&lt;"&amp;Y$4))))</f>
        <v/>
      </c>
      <c r="Z177" s="33">
        <f>AB176*(1+N(Debts!$D$12)/1200)</f>
        <v/>
      </c>
      <c r="AA177" s="33">
        <f>Z177-MIN(N(Debts!$E$12),Z177)</f>
        <v/>
      </c>
      <c r="AB177" s="33">
        <f>IF(AA177&lt;=0.005,0,AA177-MIN(AA177,MAX(0,$E177-SUMIFS(H177:AK177,$H$5:$AK$5,"Rem",$H$4:$AK$4,"&lt;"&amp;AB$4))))</f>
        <v/>
      </c>
      <c r="AC177" s="33">
        <f>AE176*(1+N(Debts!$D$13)/1200)</f>
        <v/>
      </c>
      <c r="AD177" s="33">
        <f>AC177-MIN(N(Debts!$E$13),AC177)</f>
        <v/>
      </c>
      <c r="AE177" s="33">
        <f>IF(AD177&lt;=0.005,0,AD177-MIN(AD177,MAX(0,$E177-SUMIFS(H177:AK177,$H$5:$AK$5,"Rem",$H$4:$AK$4,"&lt;"&amp;AE$4))))</f>
        <v/>
      </c>
      <c r="AF177" s="33">
        <f>AH176*(1+N(Debts!$D$14)/1200)</f>
        <v/>
      </c>
      <c r="AG177" s="33">
        <f>AF177-MIN(N(Debts!$E$14),AF177)</f>
        <v/>
      </c>
      <c r="AH177" s="33">
        <f>IF(AG177&lt;=0.005,0,AG177-MIN(AG177,MAX(0,$E177-SUMIFS(H177:AK177,$H$5:$AK$5,"Rem",$H$4:$AK$4,"&lt;"&amp;AH$4))))</f>
        <v/>
      </c>
      <c r="AI177" s="33">
        <f>AK176*(1+N(Debts!$D$15)/1200)</f>
        <v/>
      </c>
      <c r="AJ177" s="33">
        <f>AI177-MIN(N(Debts!$E$15),AI177)</f>
        <v/>
      </c>
      <c r="AK177" s="33">
        <f>IF(AJ177&lt;=0.005,0,AJ177-MIN(AJ177,MAX(0,$E177-SUMIFS(H177:AK177,$H$5:$AK$5,"Rem",$H$4:$AK$4,"&lt;"&amp;AK$4))))</f>
        <v/>
      </c>
      <c r="AL177" s="1" t="n"/>
    </row>
    <row r="178">
      <c r="A178" s="1" t="n"/>
      <c r="B178" s="1" t="n">
        <v>171</v>
      </c>
      <c r="C178" s="34">
        <f>EDATE(Debts!$J$13,B178-1)</f>
        <v/>
      </c>
      <c r="D178" s="33">
        <f>IF(G177&lt;=0.005,0,Debts!$E$16+Debts!$J$7)</f>
        <v/>
      </c>
      <c r="E178" s="33">
        <f>MAX(0,D178-(SUMIF($H$5:$AK$5,"Due",H178:AK178)-SUMIF($H$5:$AK$5,"Rem",H178:AK178)))</f>
        <v/>
      </c>
      <c r="F178" s="33">
        <f>SUMIF($H$5:$AK$5,"Due",H178:AK178)-SUMIF($H$5:$AK$5,"Bal",H177:AK177)</f>
        <v/>
      </c>
      <c r="G178" s="33">
        <f>SUMIF($H$5:$AK$5,"Bal",H178:AK178)</f>
        <v/>
      </c>
      <c r="H178" s="33">
        <f>J177*(1+N(Debts!$D$6)/1200)</f>
        <v/>
      </c>
      <c r="I178" s="33">
        <f>H178-MIN(N(Debts!$E$6),H178)</f>
        <v/>
      </c>
      <c r="J178" s="33">
        <f>IF(I178&lt;=0.005,0,I178-MIN(I178,MAX(0,$E178-SUMIFS(H178:AK178,$H$5:$AK$5,"Rem",$H$4:$AK$4,"&lt;"&amp;J$4))))</f>
        <v/>
      </c>
      <c r="K178" s="33">
        <f>M177*(1+N(Debts!$D$7)/1200)</f>
        <v/>
      </c>
      <c r="L178" s="33">
        <f>K178-MIN(N(Debts!$E$7),K178)</f>
        <v/>
      </c>
      <c r="M178" s="33">
        <f>IF(L178&lt;=0.005,0,L178-MIN(L178,MAX(0,$E178-SUMIFS(H178:AK178,$H$5:$AK$5,"Rem",$H$4:$AK$4,"&lt;"&amp;M$4))))</f>
        <v/>
      </c>
      <c r="N178" s="33">
        <f>P177*(1+N(Debts!$D$8)/1200)</f>
        <v/>
      </c>
      <c r="O178" s="33">
        <f>N178-MIN(N(Debts!$E$8),N178)</f>
        <v/>
      </c>
      <c r="P178" s="33">
        <f>IF(O178&lt;=0.005,0,O178-MIN(O178,MAX(0,$E178-SUMIFS(H178:AK178,$H$5:$AK$5,"Rem",$H$4:$AK$4,"&lt;"&amp;P$4))))</f>
        <v/>
      </c>
      <c r="Q178" s="33">
        <f>S177*(1+N(Debts!$D$9)/1200)</f>
        <v/>
      </c>
      <c r="R178" s="33">
        <f>Q178-MIN(N(Debts!$E$9),Q178)</f>
        <v/>
      </c>
      <c r="S178" s="33">
        <f>IF(R178&lt;=0.005,0,R178-MIN(R178,MAX(0,$E178-SUMIFS(H178:AK178,$H$5:$AK$5,"Rem",$H$4:$AK$4,"&lt;"&amp;S$4))))</f>
        <v/>
      </c>
      <c r="T178" s="33">
        <f>V177*(1+N(Debts!$D$10)/1200)</f>
        <v/>
      </c>
      <c r="U178" s="33">
        <f>T178-MIN(N(Debts!$E$10),T178)</f>
        <v/>
      </c>
      <c r="V178" s="33">
        <f>IF(U178&lt;=0.005,0,U178-MIN(U178,MAX(0,$E178-SUMIFS(H178:AK178,$H$5:$AK$5,"Rem",$H$4:$AK$4,"&lt;"&amp;V$4))))</f>
        <v/>
      </c>
      <c r="W178" s="33">
        <f>Y177*(1+N(Debts!$D$11)/1200)</f>
        <v/>
      </c>
      <c r="X178" s="33">
        <f>W178-MIN(N(Debts!$E$11),W178)</f>
        <v/>
      </c>
      <c r="Y178" s="33">
        <f>IF(X178&lt;=0.005,0,X178-MIN(X178,MAX(0,$E178-SUMIFS(H178:AK178,$H$5:$AK$5,"Rem",$H$4:$AK$4,"&lt;"&amp;Y$4))))</f>
        <v/>
      </c>
      <c r="Z178" s="33">
        <f>AB177*(1+N(Debts!$D$12)/1200)</f>
        <v/>
      </c>
      <c r="AA178" s="33">
        <f>Z178-MIN(N(Debts!$E$12),Z178)</f>
        <v/>
      </c>
      <c r="AB178" s="33">
        <f>IF(AA178&lt;=0.005,0,AA178-MIN(AA178,MAX(0,$E178-SUMIFS(H178:AK178,$H$5:$AK$5,"Rem",$H$4:$AK$4,"&lt;"&amp;AB$4))))</f>
        <v/>
      </c>
      <c r="AC178" s="33">
        <f>AE177*(1+N(Debts!$D$13)/1200)</f>
        <v/>
      </c>
      <c r="AD178" s="33">
        <f>AC178-MIN(N(Debts!$E$13),AC178)</f>
        <v/>
      </c>
      <c r="AE178" s="33">
        <f>IF(AD178&lt;=0.005,0,AD178-MIN(AD178,MAX(0,$E178-SUMIFS(H178:AK178,$H$5:$AK$5,"Rem",$H$4:$AK$4,"&lt;"&amp;AE$4))))</f>
        <v/>
      </c>
      <c r="AF178" s="33">
        <f>AH177*(1+N(Debts!$D$14)/1200)</f>
        <v/>
      </c>
      <c r="AG178" s="33">
        <f>AF178-MIN(N(Debts!$E$14),AF178)</f>
        <v/>
      </c>
      <c r="AH178" s="33">
        <f>IF(AG178&lt;=0.005,0,AG178-MIN(AG178,MAX(0,$E178-SUMIFS(H178:AK178,$H$5:$AK$5,"Rem",$H$4:$AK$4,"&lt;"&amp;AH$4))))</f>
        <v/>
      </c>
      <c r="AI178" s="33">
        <f>AK177*(1+N(Debts!$D$15)/1200)</f>
        <v/>
      </c>
      <c r="AJ178" s="33">
        <f>AI178-MIN(N(Debts!$E$15),AI178)</f>
        <v/>
      </c>
      <c r="AK178" s="33">
        <f>IF(AJ178&lt;=0.005,0,AJ178-MIN(AJ178,MAX(0,$E178-SUMIFS(H178:AK178,$H$5:$AK$5,"Rem",$H$4:$AK$4,"&lt;"&amp;AK$4))))</f>
        <v/>
      </c>
      <c r="AL178" s="1" t="n"/>
    </row>
    <row r="179">
      <c r="A179" s="1" t="n"/>
      <c r="B179" s="1" t="n">
        <v>172</v>
      </c>
      <c r="C179" s="34">
        <f>EDATE(Debts!$J$13,B179-1)</f>
        <v/>
      </c>
      <c r="D179" s="33">
        <f>IF(G178&lt;=0.005,0,Debts!$E$16+Debts!$J$7)</f>
        <v/>
      </c>
      <c r="E179" s="33">
        <f>MAX(0,D179-(SUMIF($H$5:$AK$5,"Due",H179:AK179)-SUMIF($H$5:$AK$5,"Rem",H179:AK179)))</f>
        <v/>
      </c>
      <c r="F179" s="33">
        <f>SUMIF($H$5:$AK$5,"Due",H179:AK179)-SUMIF($H$5:$AK$5,"Bal",H178:AK178)</f>
        <v/>
      </c>
      <c r="G179" s="33">
        <f>SUMIF($H$5:$AK$5,"Bal",H179:AK179)</f>
        <v/>
      </c>
      <c r="H179" s="33">
        <f>J178*(1+N(Debts!$D$6)/1200)</f>
        <v/>
      </c>
      <c r="I179" s="33">
        <f>H179-MIN(N(Debts!$E$6),H179)</f>
        <v/>
      </c>
      <c r="J179" s="33">
        <f>IF(I179&lt;=0.005,0,I179-MIN(I179,MAX(0,$E179-SUMIFS(H179:AK179,$H$5:$AK$5,"Rem",$H$4:$AK$4,"&lt;"&amp;J$4))))</f>
        <v/>
      </c>
      <c r="K179" s="33">
        <f>M178*(1+N(Debts!$D$7)/1200)</f>
        <v/>
      </c>
      <c r="L179" s="33">
        <f>K179-MIN(N(Debts!$E$7),K179)</f>
        <v/>
      </c>
      <c r="M179" s="33">
        <f>IF(L179&lt;=0.005,0,L179-MIN(L179,MAX(0,$E179-SUMIFS(H179:AK179,$H$5:$AK$5,"Rem",$H$4:$AK$4,"&lt;"&amp;M$4))))</f>
        <v/>
      </c>
      <c r="N179" s="33">
        <f>P178*(1+N(Debts!$D$8)/1200)</f>
        <v/>
      </c>
      <c r="O179" s="33">
        <f>N179-MIN(N(Debts!$E$8),N179)</f>
        <v/>
      </c>
      <c r="P179" s="33">
        <f>IF(O179&lt;=0.005,0,O179-MIN(O179,MAX(0,$E179-SUMIFS(H179:AK179,$H$5:$AK$5,"Rem",$H$4:$AK$4,"&lt;"&amp;P$4))))</f>
        <v/>
      </c>
      <c r="Q179" s="33">
        <f>S178*(1+N(Debts!$D$9)/1200)</f>
        <v/>
      </c>
      <c r="R179" s="33">
        <f>Q179-MIN(N(Debts!$E$9),Q179)</f>
        <v/>
      </c>
      <c r="S179" s="33">
        <f>IF(R179&lt;=0.005,0,R179-MIN(R179,MAX(0,$E179-SUMIFS(H179:AK179,$H$5:$AK$5,"Rem",$H$4:$AK$4,"&lt;"&amp;S$4))))</f>
        <v/>
      </c>
      <c r="T179" s="33">
        <f>V178*(1+N(Debts!$D$10)/1200)</f>
        <v/>
      </c>
      <c r="U179" s="33">
        <f>T179-MIN(N(Debts!$E$10),T179)</f>
        <v/>
      </c>
      <c r="V179" s="33">
        <f>IF(U179&lt;=0.005,0,U179-MIN(U179,MAX(0,$E179-SUMIFS(H179:AK179,$H$5:$AK$5,"Rem",$H$4:$AK$4,"&lt;"&amp;V$4))))</f>
        <v/>
      </c>
      <c r="W179" s="33">
        <f>Y178*(1+N(Debts!$D$11)/1200)</f>
        <v/>
      </c>
      <c r="X179" s="33">
        <f>W179-MIN(N(Debts!$E$11),W179)</f>
        <v/>
      </c>
      <c r="Y179" s="33">
        <f>IF(X179&lt;=0.005,0,X179-MIN(X179,MAX(0,$E179-SUMIFS(H179:AK179,$H$5:$AK$5,"Rem",$H$4:$AK$4,"&lt;"&amp;Y$4))))</f>
        <v/>
      </c>
      <c r="Z179" s="33">
        <f>AB178*(1+N(Debts!$D$12)/1200)</f>
        <v/>
      </c>
      <c r="AA179" s="33">
        <f>Z179-MIN(N(Debts!$E$12),Z179)</f>
        <v/>
      </c>
      <c r="AB179" s="33">
        <f>IF(AA179&lt;=0.005,0,AA179-MIN(AA179,MAX(0,$E179-SUMIFS(H179:AK179,$H$5:$AK$5,"Rem",$H$4:$AK$4,"&lt;"&amp;AB$4))))</f>
        <v/>
      </c>
      <c r="AC179" s="33">
        <f>AE178*(1+N(Debts!$D$13)/1200)</f>
        <v/>
      </c>
      <c r="AD179" s="33">
        <f>AC179-MIN(N(Debts!$E$13),AC179)</f>
        <v/>
      </c>
      <c r="AE179" s="33">
        <f>IF(AD179&lt;=0.005,0,AD179-MIN(AD179,MAX(0,$E179-SUMIFS(H179:AK179,$H$5:$AK$5,"Rem",$H$4:$AK$4,"&lt;"&amp;AE$4))))</f>
        <v/>
      </c>
      <c r="AF179" s="33">
        <f>AH178*(1+N(Debts!$D$14)/1200)</f>
        <v/>
      </c>
      <c r="AG179" s="33">
        <f>AF179-MIN(N(Debts!$E$14),AF179)</f>
        <v/>
      </c>
      <c r="AH179" s="33">
        <f>IF(AG179&lt;=0.005,0,AG179-MIN(AG179,MAX(0,$E179-SUMIFS(H179:AK179,$H$5:$AK$5,"Rem",$H$4:$AK$4,"&lt;"&amp;AH$4))))</f>
        <v/>
      </c>
      <c r="AI179" s="33">
        <f>AK178*(1+N(Debts!$D$15)/1200)</f>
        <v/>
      </c>
      <c r="AJ179" s="33">
        <f>AI179-MIN(N(Debts!$E$15),AI179)</f>
        <v/>
      </c>
      <c r="AK179" s="33">
        <f>IF(AJ179&lt;=0.005,0,AJ179-MIN(AJ179,MAX(0,$E179-SUMIFS(H179:AK179,$H$5:$AK$5,"Rem",$H$4:$AK$4,"&lt;"&amp;AK$4))))</f>
        <v/>
      </c>
      <c r="AL179" s="1" t="n"/>
    </row>
    <row r="180">
      <c r="A180" s="1" t="n"/>
      <c r="B180" s="1" t="n">
        <v>173</v>
      </c>
      <c r="C180" s="34">
        <f>EDATE(Debts!$J$13,B180-1)</f>
        <v/>
      </c>
      <c r="D180" s="33">
        <f>IF(G179&lt;=0.005,0,Debts!$E$16+Debts!$J$7)</f>
        <v/>
      </c>
      <c r="E180" s="33">
        <f>MAX(0,D180-(SUMIF($H$5:$AK$5,"Due",H180:AK180)-SUMIF($H$5:$AK$5,"Rem",H180:AK180)))</f>
        <v/>
      </c>
      <c r="F180" s="33">
        <f>SUMIF($H$5:$AK$5,"Due",H180:AK180)-SUMIF($H$5:$AK$5,"Bal",H179:AK179)</f>
        <v/>
      </c>
      <c r="G180" s="33">
        <f>SUMIF($H$5:$AK$5,"Bal",H180:AK180)</f>
        <v/>
      </c>
      <c r="H180" s="33">
        <f>J179*(1+N(Debts!$D$6)/1200)</f>
        <v/>
      </c>
      <c r="I180" s="33">
        <f>H180-MIN(N(Debts!$E$6),H180)</f>
        <v/>
      </c>
      <c r="J180" s="33">
        <f>IF(I180&lt;=0.005,0,I180-MIN(I180,MAX(0,$E180-SUMIFS(H180:AK180,$H$5:$AK$5,"Rem",$H$4:$AK$4,"&lt;"&amp;J$4))))</f>
        <v/>
      </c>
      <c r="K180" s="33">
        <f>M179*(1+N(Debts!$D$7)/1200)</f>
        <v/>
      </c>
      <c r="L180" s="33">
        <f>K180-MIN(N(Debts!$E$7),K180)</f>
        <v/>
      </c>
      <c r="M180" s="33">
        <f>IF(L180&lt;=0.005,0,L180-MIN(L180,MAX(0,$E180-SUMIFS(H180:AK180,$H$5:$AK$5,"Rem",$H$4:$AK$4,"&lt;"&amp;M$4))))</f>
        <v/>
      </c>
      <c r="N180" s="33">
        <f>P179*(1+N(Debts!$D$8)/1200)</f>
        <v/>
      </c>
      <c r="O180" s="33">
        <f>N180-MIN(N(Debts!$E$8),N180)</f>
        <v/>
      </c>
      <c r="P180" s="33">
        <f>IF(O180&lt;=0.005,0,O180-MIN(O180,MAX(0,$E180-SUMIFS(H180:AK180,$H$5:$AK$5,"Rem",$H$4:$AK$4,"&lt;"&amp;P$4))))</f>
        <v/>
      </c>
      <c r="Q180" s="33">
        <f>S179*(1+N(Debts!$D$9)/1200)</f>
        <v/>
      </c>
      <c r="R180" s="33">
        <f>Q180-MIN(N(Debts!$E$9),Q180)</f>
        <v/>
      </c>
      <c r="S180" s="33">
        <f>IF(R180&lt;=0.005,0,R180-MIN(R180,MAX(0,$E180-SUMIFS(H180:AK180,$H$5:$AK$5,"Rem",$H$4:$AK$4,"&lt;"&amp;S$4))))</f>
        <v/>
      </c>
      <c r="T180" s="33">
        <f>V179*(1+N(Debts!$D$10)/1200)</f>
        <v/>
      </c>
      <c r="U180" s="33">
        <f>T180-MIN(N(Debts!$E$10),T180)</f>
        <v/>
      </c>
      <c r="V180" s="33">
        <f>IF(U180&lt;=0.005,0,U180-MIN(U180,MAX(0,$E180-SUMIFS(H180:AK180,$H$5:$AK$5,"Rem",$H$4:$AK$4,"&lt;"&amp;V$4))))</f>
        <v/>
      </c>
      <c r="W180" s="33">
        <f>Y179*(1+N(Debts!$D$11)/1200)</f>
        <v/>
      </c>
      <c r="X180" s="33">
        <f>W180-MIN(N(Debts!$E$11),W180)</f>
        <v/>
      </c>
      <c r="Y180" s="33">
        <f>IF(X180&lt;=0.005,0,X180-MIN(X180,MAX(0,$E180-SUMIFS(H180:AK180,$H$5:$AK$5,"Rem",$H$4:$AK$4,"&lt;"&amp;Y$4))))</f>
        <v/>
      </c>
      <c r="Z180" s="33">
        <f>AB179*(1+N(Debts!$D$12)/1200)</f>
        <v/>
      </c>
      <c r="AA180" s="33">
        <f>Z180-MIN(N(Debts!$E$12),Z180)</f>
        <v/>
      </c>
      <c r="AB180" s="33">
        <f>IF(AA180&lt;=0.005,0,AA180-MIN(AA180,MAX(0,$E180-SUMIFS(H180:AK180,$H$5:$AK$5,"Rem",$H$4:$AK$4,"&lt;"&amp;AB$4))))</f>
        <v/>
      </c>
      <c r="AC180" s="33">
        <f>AE179*(1+N(Debts!$D$13)/1200)</f>
        <v/>
      </c>
      <c r="AD180" s="33">
        <f>AC180-MIN(N(Debts!$E$13),AC180)</f>
        <v/>
      </c>
      <c r="AE180" s="33">
        <f>IF(AD180&lt;=0.005,0,AD180-MIN(AD180,MAX(0,$E180-SUMIFS(H180:AK180,$H$5:$AK$5,"Rem",$H$4:$AK$4,"&lt;"&amp;AE$4))))</f>
        <v/>
      </c>
      <c r="AF180" s="33">
        <f>AH179*(1+N(Debts!$D$14)/1200)</f>
        <v/>
      </c>
      <c r="AG180" s="33">
        <f>AF180-MIN(N(Debts!$E$14),AF180)</f>
        <v/>
      </c>
      <c r="AH180" s="33">
        <f>IF(AG180&lt;=0.005,0,AG180-MIN(AG180,MAX(0,$E180-SUMIFS(H180:AK180,$H$5:$AK$5,"Rem",$H$4:$AK$4,"&lt;"&amp;AH$4))))</f>
        <v/>
      </c>
      <c r="AI180" s="33">
        <f>AK179*(1+N(Debts!$D$15)/1200)</f>
        <v/>
      </c>
      <c r="AJ180" s="33">
        <f>AI180-MIN(N(Debts!$E$15),AI180)</f>
        <v/>
      </c>
      <c r="AK180" s="33">
        <f>IF(AJ180&lt;=0.005,0,AJ180-MIN(AJ180,MAX(0,$E180-SUMIFS(H180:AK180,$H$5:$AK$5,"Rem",$H$4:$AK$4,"&lt;"&amp;AK$4))))</f>
        <v/>
      </c>
      <c r="AL180" s="1" t="n"/>
    </row>
    <row r="181">
      <c r="A181" s="1" t="n"/>
      <c r="B181" s="1" t="n">
        <v>174</v>
      </c>
      <c r="C181" s="34">
        <f>EDATE(Debts!$J$13,B181-1)</f>
        <v/>
      </c>
      <c r="D181" s="33">
        <f>IF(G180&lt;=0.005,0,Debts!$E$16+Debts!$J$7)</f>
        <v/>
      </c>
      <c r="E181" s="33">
        <f>MAX(0,D181-(SUMIF($H$5:$AK$5,"Due",H181:AK181)-SUMIF($H$5:$AK$5,"Rem",H181:AK181)))</f>
        <v/>
      </c>
      <c r="F181" s="33">
        <f>SUMIF($H$5:$AK$5,"Due",H181:AK181)-SUMIF($H$5:$AK$5,"Bal",H180:AK180)</f>
        <v/>
      </c>
      <c r="G181" s="33">
        <f>SUMIF($H$5:$AK$5,"Bal",H181:AK181)</f>
        <v/>
      </c>
      <c r="H181" s="33">
        <f>J180*(1+N(Debts!$D$6)/1200)</f>
        <v/>
      </c>
      <c r="I181" s="33">
        <f>H181-MIN(N(Debts!$E$6),H181)</f>
        <v/>
      </c>
      <c r="J181" s="33">
        <f>IF(I181&lt;=0.005,0,I181-MIN(I181,MAX(0,$E181-SUMIFS(H181:AK181,$H$5:$AK$5,"Rem",$H$4:$AK$4,"&lt;"&amp;J$4))))</f>
        <v/>
      </c>
      <c r="K181" s="33">
        <f>M180*(1+N(Debts!$D$7)/1200)</f>
        <v/>
      </c>
      <c r="L181" s="33">
        <f>K181-MIN(N(Debts!$E$7),K181)</f>
        <v/>
      </c>
      <c r="M181" s="33">
        <f>IF(L181&lt;=0.005,0,L181-MIN(L181,MAX(0,$E181-SUMIFS(H181:AK181,$H$5:$AK$5,"Rem",$H$4:$AK$4,"&lt;"&amp;M$4))))</f>
        <v/>
      </c>
      <c r="N181" s="33">
        <f>P180*(1+N(Debts!$D$8)/1200)</f>
        <v/>
      </c>
      <c r="O181" s="33">
        <f>N181-MIN(N(Debts!$E$8),N181)</f>
        <v/>
      </c>
      <c r="P181" s="33">
        <f>IF(O181&lt;=0.005,0,O181-MIN(O181,MAX(0,$E181-SUMIFS(H181:AK181,$H$5:$AK$5,"Rem",$H$4:$AK$4,"&lt;"&amp;P$4))))</f>
        <v/>
      </c>
      <c r="Q181" s="33">
        <f>S180*(1+N(Debts!$D$9)/1200)</f>
        <v/>
      </c>
      <c r="R181" s="33">
        <f>Q181-MIN(N(Debts!$E$9),Q181)</f>
        <v/>
      </c>
      <c r="S181" s="33">
        <f>IF(R181&lt;=0.005,0,R181-MIN(R181,MAX(0,$E181-SUMIFS(H181:AK181,$H$5:$AK$5,"Rem",$H$4:$AK$4,"&lt;"&amp;S$4))))</f>
        <v/>
      </c>
      <c r="T181" s="33">
        <f>V180*(1+N(Debts!$D$10)/1200)</f>
        <v/>
      </c>
      <c r="U181" s="33">
        <f>T181-MIN(N(Debts!$E$10),T181)</f>
        <v/>
      </c>
      <c r="V181" s="33">
        <f>IF(U181&lt;=0.005,0,U181-MIN(U181,MAX(0,$E181-SUMIFS(H181:AK181,$H$5:$AK$5,"Rem",$H$4:$AK$4,"&lt;"&amp;V$4))))</f>
        <v/>
      </c>
      <c r="W181" s="33">
        <f>Y180*(1+N(Debts!$D$11)/1200)</f>
        <v/>
      </c>
      <c r="X181" s="33">
        <f>W181-MIN(N(Debts!$E$11),W181)</f>
        <v/>
      </c>
      <c r="Y181" s="33">
        <f>IF(X181&lt;=0.005,0,X181-MIN(X181,MAX(0,$E181-SUMIFS(H181:AK181,$H$5:$AK$5,"Rem",$H$4:$AK$4,"&lt;"&amp;Y$4))))</f>
        <v/>
      </c>
      <c r="Z181" s="33">
        <f>AB180*(1+N(Debts!$D$12)/1200)</f>
        <v/>
      </c>
      <c r="AA181" s="33">
        <f>Z181-MIN(N(Debts!$E$12),Z181)</f>
        <v/>
      </c>
      <c r="AB181" s="33">
        <f>IF(AA181&lt;=0.005,0,AA181-MIN(AA181,MAX(0,$E181-SUMIFS(H181:AK181,$H$5:$AK$5,"Rem",$H$4:$AK$4,"&lt;"&amp;AB$4))))</f>
        <v/>
      </c>
      <c r="AC181" s="33">
        <f>AE180*(1+N(Debts!$D$13)/1200)</f>
        <v/>
      </c>
      <c r="AD181" s="33">
        <f>AC181-MIN(N(Debts!$E$13),AC181)</f>
        <v/>
      </c>
      <c r="AE181" s="33">
        <f>IF(AD181&lt;=0.005,0,AD181-MIN(AD181,MAX(0,$E181-SUMIFS(H181:AK181,$H$5:$AK$5,"Rem",$H$4:$AK$4,"&lt;"&amp;AE$4))))</f>
        <v/>
      </c>
      <c r="AF181" s="33">
        <f>AH180*(1+N(Debts!$D$14)/1200)</f>
        <v/>
      </c>
      <c r="AG181" s="33">
        <f>AF181-MIN(N(Debts!$E$14),AF181)</f>
        <v/>
      </c>
      <c r="AH181" s="33">
        <f>IF(AG181&lt;=0.005,0,AG181-MIN(AG181,MAX(0,$E181-SUMIFS(H181:AK181,$H$5:$AK$5,"Rem",$H$4:$AK$4,"&lt;"&amp;AH$4))))</f>
        <v/>
      </c>
      <c r="AI181" s="33">
        <f>AK180*(1+N(Debts!$D$15)/1200)</f>
        <v/>
      </c>
      <c r="AJ181" s="33">
        <f>AI181-MIN(N(Debts!$E$15),AI181)</f>
        <v/>
      </c>
      <c r="AK181" s="33">
        <f>IF(AJ181&lt;=0.005,0,AJ181-MIN(AJ181,MAX(0,$E181-SUMIFS(H181:AK181,$H$5:$AK$5,"Rem",$H$4:$AK$4,"&lt;"&amp;AK$4))))</f>
        <v/>
      </c>
      <c r="AL181" s="1" t="n"/>
    </row>
    <row r="182">
      <c r="A182" s="1" t="n"/>
      <c r="B182" s="1" t="n">
        <v>175</v>
      </c>
      <c r="C182" s="34">
        <f>EDATE(Debts!$J$13,B182-1)</f>
        <v/>
      </c>
      <c r="D182" s="33">
        <f>IF(G181&lt;=0.005,0,Debts!$E$16+Debts!$J$7)</f>
        <v/>
      </c>
      <c r="E182" s="33">
        <f>MAX(0,D182-(SUMIF($H$5:$AK$5,"Due",H182:AK182)-SUMIF($H$5:$AK$5,"Rem",H182:AK182)))</f>
        <v/>
      </c>
      <c r="F182" s="33">
        <f>SUMIF($H$5:$AK$5,"Due",H182:AK182)-SUMIF($H$5:$AK$5,"Bal",H181:AK181)</f>
        <v/>
      </c>
      <c r="G182" s="33">
        <f>SUMIF($H$5:$AK$5,"Bal",H182:AK182)</f>
        <v/>
      </c>
      <c r="H182" s="33">
        <f>J181*(1+N(Debts!$D$6)/1200)</f>
        <v/>
      </c>
      <c r="I182" s="33">
        <f>H182-MIN(N(Debts!$E$6),H182)</f>
        <v/>
      </c>
      <c r="J182" s="33">
        <f>IF(I182&lt;=0.005,0,I182-MIN(I182,MAX(0,$E182-SUMIFS(H182:AK182,$H$5:$AK$5,"Rem",$H$4:$AK$4,"&lt;"&amp;J$4))))</f>
        <v/>
      </c>
      <c r="K182" s="33">
        <f>M181*(1+N(Debts!$D$7)/1200)</f>
        <v/>
      </c>
      <c r="L182" s="33">
        <f>K182-MIN(N(Debts!$E$7),K182)</f>
        <v/>
      </c>
      <c r="M182" s="33">
        <f>IF(L182&lt;=0.005,0,L182-MIN(L182,MAX(0,$E182-SUMIFS(H182:AK182,$H$5:$AK$5,"Rem",$H$4:$AK$4,"&lt;"&amp;M$4))))</f>
        <v/>
      </c>
      <c r="N182" s="33">
        <f>P181*(1+N(Debts!$D$8)/1200)</f>
        <v/>
      </c>
      <c r="O182" s="33">
        <f>N182-MIN(N(Debts!$E$8),N182)</f>
        <v/>
      </c>
      <c r="P182" s="33">
        <f>IF(O182&lt;=0.005,0,O182-MIN(O182,MAX(0,$E182-SUMIFS(H182:AK182,$H$5:$AK$5,"Rem",$H$4:$AK$4,"&lt;"&amp;P$4))))</f>
        <v/>
      </c>
      <c r="Q182" s="33">
        <f>S181*(1+N(Debts!$D$9)/1200)</f>
        <v/>
      </c>
      <c r="R182" s="33">
        <f>Q182-MIN(N(Debts!$E$9),Q182)</f>
        <v/>
      </c>
      <c r="S182" s="33">
        <f>IF(R182&lt;=0.005,0,R182-MIN(R182,MAX(0,$E182-SUMIFS(H182:AK182,$H$5:$AK$5,"Rem",$H$4:$AK$4,"&lt;"&amp;S$4))))</f>
        <v/>
      </c>
      <c r="T182" s="33">
        <f>V181*(1+N(Debts!$D$10)/1200)</f>
        <v/>
      </c>
      <c r="U182" s="33">
        <f>T182-MIN(N(Debts!$E$10),T182)</f>
        <v/>
      </c>
      <c r="V182" s="33">
        <f>IF(U182&lt;=0.005,0,U182-MIN(U182,MAX(0,$E182-SUMIFS(H182:AK182,$H$5:$AK$5,"Rem",$H$4:$AK$4,"&lt;"&amp;V$4))))</f>
        <v/>
      </c>
      <c r="W182" s="33">
        <f>Y181*(1+N(Debts!$D$11)/1200)</f>
        <v/>
      </c>
      <c r="X182" s="33">
        <f>W182-MIN(N(Debts!$E$11),W182)</f>
        <v/>
      </c>
      <c r="Y182" s="33">
        <f>IF(X182&lt;=0.005,0,X182-MIN(X182,MAX(0,$E182-SUMIFS(H182:AK182,$H$5:$AK$5,"Rem",$H$4:$AK$4,"&lt;"&amp;Y$4))))</f>
        <v/>
      </c>
      <c r="Z182" s="33">
        <f>AB181*(1+N(Debts!$D$12)/1200)</f>
        <v/>
      </c>
      <c r="AA182" s="33">
        <f>Z182-MIN(N(Debts!$E$12),Z182)</f>
        <v/>
      </c>
      <c r="AB182" s="33">
        <f>IF(AA182&lt;=0.005,0,AA182-MIN(AA182,MAX(0,$E182-SUMIFS(H182:AK182,$H$5:$AK$5,"Rem",$H$4:$AK$4,"&lt;"&amp;AB$4))))</f>
        <v/>
      </c>
      <c r="AC182" s="33">
        <f>AE181*(1+N(Debts!$D$13)/1200)</f>
        <v/>
      </c>
      <c r="AD182" s="33">
        <f>AC182-MIN(N(Debts!$E$13),AC182)</f>
        <v/>
      </c>
      <c r="AE182" s="33">
        <f>IF(AD182&lt;=0.005,0,AD182-MIN(AD182,MAX(0,$E182-SUMIFS(H182:AK182,$H$5:$AK$5,"Rem",$H$4:$AK$4,"&lt;"&amp;AE$4))))</f>
        <v/>
      </c>
      <c r="AF182" s="33">
        <f>AH181*(1+N(Debts!$D$14)/1200)</f>
        <v/>
      </c>
      <c r="AG182" s="33">
        <f>AF182-MIN(N(Debts!$E$14),AF182)</f>
        <v/>
      </c>
      <c r="AH182" s="33">
        <f>IF(AG182&lt;=0.005,0,AG182-MIN(AG182,MAX(0,$E182-SUMIFS(H182:AK182,$H$5:$AK$5,"Rem",$H$4:$AK$4,"&lt;"&amp;AH$4))))</f>
        <v/>
      </c>
      <c r="AI182" s="33">
        <f>AK181*(1+N(Debts!$D$15)/1200)</f>
        <v/>
      </c>
      <c r="AJ182" s="33">
        <f>AI182-MIN(N(Debts!$E$15),AI182)</f>
        <v/>
      </c>
      <c r="AK182" s="33">
        <f>IF(AJ182&lt;=0.005,0,AJ182-MIN(AJ182,MAX(0,$E182-SUMIFS(H182:AK182,$H$5:$AK$5,"Rem",$H$4:$AK$4,"&lt;"&amp;AK$4))))</f>
        <v/>
      </c>
      <c r="AL182" s="1" t="n"/>
    </row>
    <row r="183">
      <c r="A183" s="1" t="n"/>
      <c r="B183" s="1" t="n">
        <v>176</v>
      </c>
      <c r="C183" s="34">
        <f>EDATE(Debts!$J$13,B183-1)</f>
        <v/>
      </c>
      <c r="D183" s="33">
        <f>IF(G182&lt;=0.005,0,Debts!$E$16+Debts!$J$7)</f>
        <v/>
      </c>
      <c r="E183" s="33">
        <f>MAX(0,D183-(SUMIF($H$5:$AK$5,"Due",H183:AK183)-SUMIF($H$5:$AK$5,"Rem",H183:AK183)))</f>
        <v/>
      </c>
      <c r="F183" s="33">
        <f>SUMIF($H$5:$AK$5,"Due",H183:AK183)-SUMIF($H$5:$AK$5,"Bal",H182:AK182)</f>
        <v/>
      </c>
      <c r="G183" s="33">
        <f>SUMIF($H$5:$AK$5,"Bal",H183:AK183)</f>
        <v/>
      </c>
      <c r="H183" s="33">
        <f>J182*(1+N(Debts!$D$6)/1200)</f>
        <v/>
      </c>
      <c r="I183" s="33">
        <f>H183-MIN(N(Debts!$E$6),H183)</f>
        <v/>
      </c>
      <c r="J183" s="33">
        <f>IF(I183&lt;=0.005,0,I183-MIN(I183,MAX(0,$E183-SUMIFS(H183:AK183,$H$5:$AK$5,"Rem",$H$4:$AK$4,"&lt;"&amp;J$4))))</f>
        <v/>
      </c>
      <c r="K183" s="33">
        <f>M182*(1+N(Debts!$D$7)/1200)</f>
        <v/>
      </c>
      <c r="L183" s="33">
        <f>K183-MIN(N(Debts!$E$7),K183)</f>
        <v/>
      </c>
      <c r="M183" s="33">
        <f>IF(L183&lt;=0.005,0,L183-MIN(L183,MAX(0,$E183-SUMIFS(H183:AK183,$H$5:$AK$5,"Rem",$H$4:$AK$4,"&lt;"&amp;M$4))))</f>
        <v/>
      </c>
      <c r="N183" s="33">
        <f>P182*(1+N(Debts!$D$8)/1200)</f>
        <v/>
      </c>
      <c r="O183" s="33">
        <f>N183-MIN(N(Debts!$E$8),N183)</f>
        <v/>
      </c>
      <c r="P183" s="33">
        <f>IF(O183&lt;=0.005,0,O183-MIN(O183,MAX(0,$E183-SUMIFS(H183:AK183,$H$5:$AK$5,"Rem",$H$4:$AK$4,"&lt;"&amp;P$4))))</f>
        <v/>
      </c>
      <c r="Q183" s="33">
        <f>S182*(1+N(Debts!$D$9)/1200)</f>
        <v/>
      </c>
      <c r="R183" s="33">
        <f>Q183-MIN(N(Debts!$E$9),Q183)</f>
        <v/>
      </c>
      <c r="S183" s="33">
        <f>IF(R183&lt;=0.005,0,R183-MIN(R183,MAX(0,$E183-SUMIFS(H183:AK183,$H$5:$AK$5,"Rem",$H$4:$AK$4,"&lt;"&amp;S$4))))</f>
        <v/>
      </c>
      <c r="T183" s="33">
        <f>V182*(1+N(Debts!$D$10)/1200)</f>
        <v/>
      </c>
      <c r="U183" s="33">
        <f>T183-MIN(N(Debts!$E$10),T183)</f>
        <v/>
      </c>
      <c r="V183" s="33">
        <f>IF(U183&lt;=0.005,0,U183-MIN(U183,MAX(0,$E183-SUMIFS(H183:AK183,$H$5:$AK$5,"Rem",$H$4:$AK$4,"&lt;"&amp;V$4))))</f>
        <v/>
      </c>
      <c r="W183" s="33">
        <f>Y182*(1+N(Debts!$D$11)/1200)</f>
        <v/>
      </c>
      <c r="X183" s="33">
        <f>W183-MIN(N(Debts!$E$11),W183)</f>
        <v/>
      </c>
      <c r="Y183" s="33">
        <f>IF(X183&lt;=0.005,0,X183-MIN(X183,MAX(0,$E183-SUMIFS(H183:AK183,$H$5:$AK$5,"Rem",$H$4:$AK$4,"&lt;"&amp;Y$4))))</f>
        <v/>
      </c>
      <c r="Z183" s="33">
        <f>AB182*(1+N(Debts!$D$12)/1200)</f>
        <v/>
      </c>
      <c r="AA183" s="33">
        <f>Z183-MIN(N(Debts!$E$12),Z183)</f>
        <v/>
      </c>
      <c r="AB183" s="33">
        <f>IF(AA183&lt;=0.005,0,AA183-MIN(AA183,MAX(0,$E183-SUMIFS(H183:AK183,$H$5:$AK$5,"Rem",$H$4:$AK$4,"&lt;"&amp;AB$4))))</f>
        <v/>
      </c>
      <c r="AC183" s="33">
        <f>AE182*(1+N(Debts!$D$13)/1200)</f>
        <v/>
      </c>
      <c r="AD183" s="33">
        <f>AC183-MIN(N(Debts!$E$13),AC183)</f>
        <v/>
      </c>
      <c r="AE183" s="33">
        <f>IF(AD183&lt;=0.005,0,AD183-MIN(AD183,MAX(0,$E183-SUMIFS(H183:AK183,$H$5:$AK$5,"Rem",$H$4:$AK$4,"&lt;"&amp;AE$4))))</f>
        <v/>
      </c>
      <c r="AF183" s="33">
        <f>AH182*(1+N(Debts!$D$14)/1200)</f>
        <v/>
      </c>
      <c r="AG183" s="33">
        <f>AF183-MIN(N(Debts!$E$14),AF183)</f>
        <v/>
      </c>
      <c r="AH183" s="33">
        <f>IF(AG183&lt;=0.005,0,AG183-MIN(AG183,MAX(0,$E183-SUMIFS(H183:AK183,$H$5:$AK$5,"Rem",$H$4:$AK$4,"&lt;"&amp;AH$4))))</f>
        <v/>
      </c>
      <c r="AI183" s="33">
        <f>AK182*(1+N(Debts!$D$15)/1200)</f>
        <v/>
      </c>
      <c r="AJ183" s="33">
        <f>AI183-MIN(N(Debts!$E$15),AI183)</f>
        <v/>
      </c>
      <c r="AK183" s="33">
        <f>IF(AJ183&lt;=0.005,0,AJ183-MIN(AJ183,MAX(0,$E183-SUMIFS(H183:AK183,$H$5:$AK$5,"Rem",$H$4:$AK$4,"&lt;"&amp;AK$4))))</f>
        <v/>
      </c>
      <c r="AL183" s="1" t="n"/>
    </row>
    <row r="184">
      <c r="A184" s="1" t="n"/>
      <c r="B184" s="1" t="n">
        <v>177</v>
      </c>
      <c r="C184" s="34">
        <f>EDATE(Debts!$J$13,B184-1)</f>
        <v/>
      </c>
      <c r="D184" s="33">
        <f>IF(G183&lt;=0.005,0,Debts!$E$16+Debts!$J$7)</f>
        <v/>
      </c>
      <c r="E184" s="33">
        <f>MAX(0,D184-(SUMIF($H$5:$AK$5,"Due",H184:AK184)-SUMIF($H$5:$AK$5,"Rem",H184:AK184)))</f>
        <v/>
      </c>
      <c r="F184" s="33">
        <f>SUMIF($H$5:$AK$5,"Due",H184:AK184)-SUMIF($H$5:$AK$5,"Bal",H183:AK183)</f>
        <v/>
      </c>
      <c r="G184" s="33">
        <f>SUMIF($H$5:$AK$5,"Bal",H184:AK184)</f>
        <v/>
      </c>
      <c r="H184" s="33">
        <f>J183*(1+N(Debts!$D$6)/1200)</f>
        <v/>
      </c>
      <c r="I184" s="33">
        <f>H184-MIN(N(Debts!$E$6),H184)</f>
        <v/>
      </c>
      <c r="J184" s="33">
        <f>IF(I184&lt;=0.005,0,I184-MIN(I184,MAX(0,$E184-SUMIFS(H184:AK184,$H$5:$AK$5,"Rem",$H$4:$AK$4,"&lt;"&amp;J$4))))</f>
        <v/>
      </c>
      <c r="K184" s="33">
        <f>M183*(1+N(Debts!$D$7)/1200)</f>
        <v/>
      </c>
      <c r="L184" s="33">
        <f>K184-MIN(N(Debts!$E$7),K184)</f>
        <v/>
      </c>
      <c r="M184" s="33">
        <f>IF(L184&lt;=0.005,0,L184-MIN(L184,MAX(0,$E184-SUMIFS(H184:AK184,$H$5:$AK$5,"Rem",$H$4:$AK$4,"&lt;"&amp;M$4))))</f>
        <v/>
      </c>
      <c r="N184" s="33">
        <f>P183*(1+N(Debts!$D$8)/1200)</f>
        <v/>
      </c>
      <c r="O184" s="33">
        <f>N184-MIN(N(Debts!$E$8),N184)</f>
        <v/>
      </c>
      <c r="P184" s="33">
        <f>IF(O184&lt;=0.005,0,O184-MIN(O184,MAX(0,$E184-SUMIFS(H184:AK184,$H$5:$AK$5,"Rem",$H$4:$AK$4,"&lt;"&amp;P$4))))</f>
        <v/>
      </c>
      <c r="Q184" s="33">
        <f>S183*(1+N(Debts!$D$9)/1200)</f>
        <v/>
      </c>
      <c r="R184" s="33">
        <f>Q184-MIN(N(Debts!$E$9),Q184)</f>
        <v/>
      </c>
      <c r="S184" s="33">
        <f>IF(R184&lt;=0.005,0,R184-MIN(R184,MAX(0,$E184-SUMIFS(H184:AK184,$H$5:$AK$5,"Rem",$H$4:$AK$4,"&lt;"&amp;S$4))))</f>
        <v/>
      </c>
      <c r="T184" s="33">
        <f>V183*(1+N(Debts!$D$10)/1200)</f>
        <v/>
      </c>
      <c r="U184" s="33">
        <f>T184-MIN(N(Debts!$E$10),T184)</f>
        <v/>
      </c>
      <c r="V184" s="33">
        <f>IF(U184&lt;=0.005,0,U184-MIN(U184,MAX(0,$E184-SUMIFS(H184:AK184,$H$5:$AK$5,"Rem",$H$4:$AK$4,"&lt;"&amp;V$4))))</f>
        <v/>
      </c>
      <c r="W184" s="33">
        <f>Y183*(1+N(Debts!$D$11)/1200)</f>
        <v/>
      </c>
      <c r="X184" s="33">
        <f>W184-MIN(N(Debts!$E$11),W184)</f>
        <v/>
      </c>
      <c r="Y184" s="33">
        <f>IF(X184&lt;=0.005,0,X184-MIN(X184,MAX(0,$E184-SUMIFS(H184:AK184,$H$5:$AK$5,"Rem",$H$4:$AK$4,"&lt;"&amp;Y$4))))</f>
        <v/>
      </c>
      <c r="Z184" s="33">
        <f>AB183*(1+N(Debts!$D$12)/1200)</f>
        <v/>
      </c>
      <c r="AA184" s="33">
        <f>Z184-MIN(N(Debts!$E$12),Z184)</f>
        <v/>
      </c>
      <c r="AB184" s="33">
        <f>IF(AA184&lt;=0.005,0,AA184-MIN(AA184,MAX(0,$E184-SUMIFS(H184:AK184,$H$5:$AK$5,"Rem",$H$4:$AK$4,"&lt;"&amp;AB$4))))</f>
        <v/>
      </c>
      <c r="AC184" s="33">
        <f>AE183*(1+N(Debts!$D$13)/1200)</f>
        <v/>
      </c>
      <c r="AD184" s="33">
        <f>AC184-MIN(N(Debts!$E$13),AC184)</f>
        <v/>
      </c>
      <c r="AE184" s="33">
        <f>IF(AD184&lt;=0.005,0,AD184-MIN(AD184,MAX(0,$E184-SUMIFS(H184:AK184,$H$5:$AK$5,"Rem",$H$4:$AK$4,"&lt;"&amp;AE$4))))</f>
        <v/>
      </c>
      <c r="AF184" s="33">
        <f>AH183*(1+N(Debts!$D$14)/1200)</f>
        <v/>
      </c>
      <c r="AG184" s="33">
        <f>AF184-MIN(N(Debts!$E$14),AF184)</f>
        <v/>
      </c>
      <c r="AH184" s="33">
        <f>IF(AG184&lt;=0.005,0,AG184-MIN(AG184,MAX(0,$E184-SUMIFS(H184:AK184,$H$5:$AK$5,"Rem",$H$4:$AK$4,"&lt;"&amp;AH$4))))</f>
        <v/>
      </c>
      <c r="AI184" s="33">
        <f>AK183*(1+N(Debts!$D$15)/1200)</f>
        <v/>
      </c>
      <c r="AJ184" s="33">
        <f>AI184-MIN(N(Debts!$E$15),AI184)</f>
        <v/>
      </c>
      <c r="AK184" s="33">
        <f>IF(AJ184&lt;=0.005,0,AJ184-MIN(AJ184,MAX(0,$E184-SUMIFS(H184:AK184,$H$5:$AK$5,"Rem",$H$4:$AK$4,"&lt;"&amp;AK$4))))</f>
        <v/>
      </c>
      <c r="AL184" s="1" t="n"/>
    </row>
    <row r="185">
      <c r="A185" s="1" t="n"/>
      <c r="B185" s="1" t="n">
        <v>178</v>
      </c>
      <c r="C185" s="34">
        <f>EDATE(Debts!$J$13,B185-1)</f>
        <v/>
      </c>
      <c r="D185" s="33">
        <f>IF(G184&lt;=0.005,0,Debts!$E$16+Debts!$J$7)</f>
        <v/>
      </c>
      <c r="E185" s="33">
        <f>MAX(0,D185-(SUMIF($H$5:$AK$5,"Due",H185:AK185)-SUMIF($H$5:$AK$5,"Rem",H185:AK185)))</f>
        <v/>
      </c>
      <c r="F185" s="33">
        <f>SUMIF($H$5:$AK$5,"Due",H185:AK185)-SUMIF($H$5:$AK$5,"Bal",H184:AK184)</f>
        <v/>
      </c>
      <c r="G185" s="33">
        <f>SUMIF($H$5:$AK$5,"Bal",H185:AK185)</f>
        <v/>
      </c>
      <c r="H185" s="33">
        <f>J184*(1+N(Debts!$D$6)/1200)</f>
        <v/>
      </c>
      <c r="I185" s="33">
        <f>H185-MIN(N(Debts!$E$6),H185)</f>
        <v/>
      </c>
      <c r="J185" s="33">
        <f>IF(I185&lt;=0.005,0,I185-MIN(I185,MAX(0,$E185-SUMIFS(H185:AK185,$H$5:$AK$5,"Rem",$H$4:$AK$4,"&lt;"&amp;J$4))))</f>
        <v/>
      </c>
      <c r="K185" s="33">
        <f>M184*(1+N(Debts!$D$7)/1200)</f>
        <v/>
      </c>
      <c r="L185" s="33">
        <f>K185-MIN(N(Debts!$E$7),K185)</f>
        <v/>
      </c>
      <c r="M185" s="33">
        <f>IF(L185&lt;=0.005,0,L185-MIN(L185,MAX(0,$E185-SUMIFS(H185:AK185,$H$5:$AK$5,"Rem",$H$4:$AK$4,"&lt;"&amp;M$4))))</f>
        <v/>
      </c>
      <c r="N185" s="33">
        <f>P184*(1+N(Debts!$D$8)/1200)</f>
        <v/>
      </c>
      <c r="O185" s="33">
        <f>N185-MIN(N(Debts!$E$8),N185)</f>
        <v/>
      </c>
      <c r="P185" s="33">
        <f>IF(O185&lt;=0.005,0,O185-MIN(O185,MAX(0,$E185-SUMIFS(H185:AK185,$H$5:$AK$5,"Rem",$H$4:$AK$4,"&lt;"&amp;P$4))))</f>
        <v/>
      </c>
      <c r="Q185" s="33">
        <f>S184*(1+N(Debts!$D$9)/1200)</f>
        <v/>
      </c>
      <c r="R185" s="33">
        <f>Q185-MIN(N(Debts!$E$9),Q185)</f>
        <v/>
      </c>
      <c r="S185" s="33">
        <f>IF(R185&lt;=0.005,0,R185-MIN(R185,MAX(0,$E185-SUMIFS(H185:AK185,$H$5:$AK$5,"Rem",$H$4:$AK$4,"&lt;"&amp;S$4))))</f>
        <v/>
      </c>
      <c r="T185" s="33">
        <f>V184*(1+N(Debts!$D$10)/1200)</f>
        <v/>
      </c>
      <c r="U185" s="33">
        <f>T185-MIN(N(Debts!$E$10),T185)</f>
        <v/>
      </c>
      <c r="V185" s="33">
        <f>IF(U185&lt;=0.005,0,U185-MIN(U185,MAX(0,$E185-SUMIFS(H185:AK185,$H$5:$AK$5,"Rem",$H$4:$AK$4,"&lt;"&amp;V$4))))</f>
        <v/>
      </c>
      <c r="W185" s="33">
        <f>Y184*(1+N(Debts!$D$11)/1200)</f>
        <v/>
      </c>
      <c r="X185" s="33">
        <f>W185-MIN(N(Debts!$E$11),W185)</f>
        <v/>
      </c>
      <c r="Y185" s="33">
        <f>IF(X185&lt;=0.005,0,X185-MIN(X185,MAX(0,$E185-SUMIFS(H185:AK185,$H$5:$AK$5,"Rem",$H$4:$AK$4,"&lt;"&amp;Y$4))))</f>
        <v/>
      </c>
      <c r="Z185" s="33">
        <f>AB184*(1+N(Debts!$D$12)/1200)</f>
        <v/>
      </c>
      <c r="AA185" s="33">
        <f>Z185-MIN(N(Debts!$E$12),Z185)</f>
        <v/>
      </c>
      <c r="AB185" s="33">
        <f>IF(AA185&lt;=0.005,0,AA185-MIN(AA185,MAX(0,$E185-SUMIFS(H185:AK185,$H$5:$AK$5,"Rem",$H$4:$AK$4,"&lt;"&amp;AB$4))))</f>
        <v/>
      </c>
      <c r="AC185" s="33">
        <f>AE184*(1+N(Debts!$D$13)/1200)</f>
        <v/>
      </c>
      <c r="AD185" s="33">
        <f>AC185-MIN(N(Debts!$E$13),AC185)</f>
        <v/>
      </c>
      <c r="AE185" s="33">
        <f>IF(AD185&lt;=0.005,0,AD185-MIN(AD185,MAX(0,$E185-SUMIFS(H185:AK185,$H$5:$AK$5,"Rem",$H$4:$AK$4,"&lt;"&amp;AE$4))))</f>
        <v/>
      </c>
      <c r="AF185" s="33">
        <f>AH184*(1+N(Debts!$D$14)/1200)</f>
        <v/>
      </c>
      <c r="AG185" s="33">
        <f>AF185-MIN(N(Debts!$E$14),AF185)</f>
        <v/>
      </c>
      <c r="AH185" s="33">
        <f>IF(AG185&lt;=0.005,0,AG185-MIN(AG185,MAX(0,$E185-SUMIFS(H185:AK185,$H$5:$AK$5,"Rem",$H$4:$AK$4,"&lt;"&amp;AH$4))))</f>
        <v/>
      </c>
      <c r="AI185" s="33">
        <f>AK184*(1+N(Debts!$D$15)/1200)</f>
        <v/>
      </c>
      <c r="AJ185" s="33">
        <f>AI185-MIN(N(Debts!$E$15),AI185)</f>
        <v/>
      </c>
      <c r="AK185" s="33">
        <f>IF(AJ185&lt;=0.005,0,AJ185-MIN(AJ185,MAX(0,$E185-SUMIFS(H185:AK185,$H$5:$AK$5,"Rem",$H$4:$AK$4,"&lt;"&amp;AK$4))))</f>
        <v/>
      </c>
      <c r="AL185" s="1" t="n"/>
    </row>
    <row r="186">
      <c r="A186" s="1" t="n"/>
      <c r="B186" s="1" t="n">
        <v>179</v>
      </c>
      <c r="C186" s="34">
        <f>EDATE(Debts!$J$13,B186-1)</f>
        <v/>
      </c>
      <c r="D186" s="33">
        <f>IF(G185&lt;=0.005,0,Debts!$E$16+Debts!$J$7)</f>
        <v/>
      </c>
      <c r="E186" s="33">
        <f>MAX(0,D186-(SUMIF($H$5:$AK$5,"Due",H186:AK186)-SUMIF($H$5:$AK$5,"Rem",H186:AK186)))</f>
        <v/>
      </c>
      <c r="F186" s="33">
        <f>SUMIF($H$5:$AK$5,"Due",H186:AK186)-SUMIF($H$5:$AK$5,"Bal",H185:AK185)</f>
        <v/>
      </c>
      <c r="G186" s="33">
        <f>SUMIF($H$5:$AK$5,"Bal",H186:AK186)</f>
        <v/>
      </c>
      <c r="H186" s="33">
        <f>J185*(1+N(Debts!$D$6)/1200)</f>
        <v/>
      </c>
      <c r="I186" s="33">
        <f>H186-MIN(N(Debts!$E$6),H186)</f>
        <v/>
      </c>
      <c r="J186" s="33">
        <f>IF(I186&lt;=0.005,0,I186-MIN(I186,MAX(0,$E186-SUMIFS(H186:AK186,$H$5:$AK$5,"Rem",$H$4:$AK$4,"&lt;"&amp;J$4))))</f>
        <v/>
      </c>
      <c r="K186" s="33">
        <f>M185*(1+N(Debts!$D$7)/1200)</f>
        <v/>
      </c>
      <c r="L186" s="33">
        <f>K186-MIN(N(Debts!$E$7),K186)</f>
        <v/>
      </c>
      <c r="M186" s="33">
        <f>IF(L186&lt;=0.005,0,L186-MIN(L186,MAX(0,$E186-SUMIFS(H186:AK186,$H$5:$AK$5,"Rem",$H$4:$AK$4,"&lt;"&amp;M$4))))</f>
        <v/>
      </c>
      <c r="N186" s="33">
        <f>P185*(1+N(Debts!$D$8)/1200)</f>
        <v/>
      </c>
      <c r="O186" s="33">
        <f>N186-MIN(N(Debts!$E$8),N186)</f>
        <v/>
      </c>
      <c r="P186" s="33">
        <f>IF(O186&lt;=0.005,0,O186-MIN(O186,MAX(0,$E186-SUMIFS(H186:AK186,$H$5:$AK$5,"Rem",$H$4:$AK$4,"&lt;"&amp;P$4))))</f>
        <v/>
      </c>
      <c r="Q186" s="33">
        <f>S185*(1+N(Debts!$D$9)/1200)</f>
        <v/>
      </c>
      <c r="R186" s="33">
        <f>Q186-MIN(N(Debts!$E$9),Q186)</f>
        <v/>
      </c>
      <c r="S186" s="33">
        <f>IF(R186&lt;=0.005,0,R186-MIN(R186,MAX(0,$E186-SUMIFS(H186:AK186,$H$5:$AK$5,"Rem",$H$4:$AK$4,"&lt;"&amp;S$4))))</f>
        <v/>
      </c>
      <c r="T186" s="33">
        <f>V185*(1+N(Debts!$D$10)/1200)</f>
        <v/>
      </c>
      <c r="U186" s="33">
        <f>T186-MIN(N(Debts!$E$10),T186)</f>
        <v/>
      </c>
      <c r="V186" s="33">
        <f>IF(U186&lt;=0.005,0,U186-MIN(U186,MAX(0,$E186-SUMIFS(H186:AK186,$H$5:$AK$5,"Rem",$H$4:$AK$4,"&lt;"&amp;V$4))))</f>
        <v/>
      </c>
      <c r="W186" s="33">
        <f>Y185*(1+N(Debts!$D$11)/1200)</f>
        <v/>
      </c>
      <c r="X186" s="33">
        <f>W186-MIN(N(Debts!$E$11),W186)</f>
        <v/>
      </c>
      <c r="Y186" s="33">
        <f>IF(X186&lt;=0.005,0,X186-MIN(X186,MAX(0,$E186-SUMIFS(H186:AK186,$H$5:$AK$5,"Rem",$H$4:$AK$4,"&lt;"&amp;Y$4))))</f>
        <v/>
      </c>
      <c r="Z186" s="33">
        <f>AB185*(1+N(Debts!$D$12)/1200)</f>
        <v/>
      </c>
      <c r="AA186" s="33">
        <f>Z186-MIN(N(Debts!$E$12),Z186)</f>
        <v/>
      </c>
      <c r="AB186" s="33">
        <f>IF(AA186&lt;=0.005,0,AA186-MIN(AA186,MAX(0,$E186-SUMIFS(H186:AK186,$H$5:$AK$5,"Rem",$H$4:$AK$4,"&lt;"&amp;AB$4))))</f>
        <v/>
      </c>
      <c r="AC186" s="33">
        <f>AE185*(1+N(Debts!$D$13)/1200)</f>
        <v/>
      </c>
      <c r="AD186" s="33">
        <f>AC186-MIN(N(Debts!$E$13),AC186)</f>
        <v/>
      </c>
      <c r="AE186" s="33">
        <f>IF(AD186&lt;=0.005,0,AD186-MIN(AD186,MAX(0,$E186-SUMIFS(H186:AK186,$H$5:$AK$5,"Rem",$H$4:$AK$4,"&lt;"&amp;AE$4))))</f>
        <v/>
      </c>
      <c r="AF186" s="33">
        <f>AH185*(1+N(Debts!$D$14)/1200)</f>
        <v/>
      </c>
      <c r="AG186" s="33">
        <f>AF186-MIN(N(Debts!$E$14),AF186)</f>
        <v/>
      </c>
      <c r="AH186" s="33">
        <f>IF(AG186&lt;=0.005,0,AG186-MIN(AG186,MAX(0,$E186-SUMIFS(H186:AK186,$H$5:$AK$5,"Rem",$H$4:$AK$4,"&lt;"&amp;AH$4))))</f>
        <v/>
      </c>
      <c r="AI186" s="33">
        <f>AK185*(1+N(Debts!$D$15)/1200)</f>
        <v/>
      </c>
      <c r="AJ186" s="33">
        <f>AI186-MIN(N(Debts!$E$15),AI186)</f>
        <v/>
      </c>
      <c r="AK186" s="33">
        <f>IF(AJ186&lt;=0.005,0,AJ186-MIN(AJ186,MAX(0,$E186-SUMIFS(H186:AK186,$H$5:$AK$5,"Rem",$H$4:$AK$4,"&lt;"&amp;AK$4))))</f>
        <v/>
      </c>
      <c r="AL186" s="1" t="n"/>
    </row>
    <row r="187">
      <c r="A187" s="1" t="n"/>
      <c r="B187" s="1" t="n">
        <v>180</v>
      </c>
      <c r="C187" s="34">
        <f>EDATE(Debts!$J$13,B187-1)</f>
        <v/>
      </c>
      <c r="D187" s="33">
        <f>IF(G186&lt;=0.005,0,Debts!$E$16+Debts!$J$7)</f>
        <v/>
      </c>
      <c r="E187" s="33">
        <f>MAX(0,D187-(SUMIF($H$5:$AK$5,"Due",H187:AK187)-SUMIF($H$5:$AK$5,"Rem",H187:AK187)))</f>
        <v/>
      </c>
      <c r="F187" s="33">
        <f>SUMIF($H$5:$AK$5,"Due",H187:AK187)-SUMIF($H$5:$AK$5,"Bal",H186:AK186)</f>
        <v/>
      </c>
      <c r="G187" s="33">
        <f>SUMIF($H$5:$AK$5,"Bal",H187:AK187)</f>
        <v/>
      </c>
      <c r="H187" s="33">
        <f>J186*(1+N(Debts!$D$6)/1200)</f>
        <v/>
      </c>
      <c r="I187" s="33">
        <f>H187-MIN(N(Debts!$E$6),H187)</f>
        <v/>
      </c>
      <c r="J187" s="33">
        <f>IF(I187&lt;=0.005,0,I187-MIN(I187,MAX(0,$E187-SUMIFS(H187:AK187,$H$5:$AK$5,"Rem",$H$4:$AK$4,"&lt;"&amp;J$4))))</f>
        <v/>
      </c>
      <c r="K187" s="33">
        <f>M186*(1+N(Debts!$D$7)/1200)</f>
        <v/>
      </c>
      <c r="L187" s="33">
        <f>K187-MIN(N(Debts!$E$7),K187)</f>
        <v/>
      </c>
      <c r="M187" s="33">
        <f>IF(L187&lt;=0.005,0,L187-MIN(L187,MAX(0,$E187-SUMIFS(H187:AK187,$H$5:$AK$5,"Rem",$H$4:$AK$4,"&lt;"&amp;M$4))))</f>
        <v/>
      </c>
      <c r="N187" s="33">
        <f>P186*(1+N(Debts!$D$8)/1200)</f>
        <v/>
      </c>
      <c r="O187" s="33">
        <f>N187-MIN(N(Debts!$E$8),N187)</f>
        <v/>
      </c>
      <c r="P187" s="33">
        <f>IF(O187&lt;=0.005,0,O187-MIN(O187,MAX(0,$E187-SUMIFS(H187:AK187,$H$5:$AK$5,"Rem",$H$4:$AK$4,"&lt;"&amp;P$4))))</f>
        <v/>
      </c>
      <c r="Q187" s="33">
        <f>S186*(1+N(Debts!$D$9)/1200)</f>
        <v/>
      </c>
      <c r="R187" s="33">
        <f>Q187-MIN(N(Debts!$E$9),Q187)</f>
        <v/>
      </c>
      <c r="S187" s="33">
        <f>IF(R187&lt;=0.005,0,R187-MIN(R187,MAX(0,$E187-SUMIFS(H187:AK187,$H$5:$AK$5,"Rem",$H$4:$AK$4,"&lt;"&amp;S$4))))</f>
        <v/>
      </c>
      <c r="T187" s="33">
        <f>V186*(1+N(Debts!$D$10)/1200)</f>
        <v/>
      </c>
      <c r="U187" s="33">
        <f>T187-MIN(N(Debts!$E$10),T187)</f>
        <v/>
      </c>
      <c r="V187" s="33">
        <f>IF(U187&lt;=0.005,0,U187-MIN(U187,MAX(0,$E187-SUMIFS(H187:AK187,$H$5:$AK$5,"Rem",$H$4:$AK$4,"&lt;"&amp;V$4))))</f>
        <v/>
      </c>
      <c r="W187" s="33">
        <f>Y186*(1+N(Debts!$D$11)/1200)</f>
        <v/>
      </c>
      <c r="X187" s="33">
        <f>W187-MIN(N(Debts!$E$11),W187)</f>
        <v/>
      </c>
      <c r="Y187" s="33">
        <f>IF(X187&lt;=0.005,0,X187-MIN(X187,MAX(0,$E187-SUMIFS(H187:AK187,$H$5:$AK$5,"Rem",$H$4:$AK$4,"&lt;"&amp;Y$4))))</f>
        <v/>
      </c>
      <c r="Z187" s="33">
        <f>AB186*(1+N(Debts!$D$12)/1200)</f>
        <v/>
      </c>
      <c r="AA187" s="33">
        <f>Z187-MIN(N(Debts!$E$12),Z187)</f>
        <v/>
      </c>
      <c r="AB187" s="33">
        <f>IF(AA187&lt;=0.005,0,AA187-MIN(AA187,MAX(0,$E187-SUMIFS(H187:AK187,$H$5:$AK$5,"Rem",$H$4:$AK$4,"&lt;"&amp;AB$4))))</f>
        <v/>
      </c>
      <c r="AC187" s="33">
        <f>AE186*(1+N(Debts!$D$13)/1200)</f>
        <v/>
      </c>
      <c r="AD187" s="33">
        <f>AC187-MIN(N(Debts!$E$13),AC187)</f>
        <v/>
      </c>
      <c r="AE187" s="33">
        <f>IF(AD187&lt;=0.005,0,AD187-MIN(AD187,MAX(0,$E187-SUMIFS(H187:AK187,$H$5:$AK$5,"Rem",$H$4:$AK$4,"&lt;"&amp;AE$4))))</f>
        <v/>
      </c>
      <c r="AF187" s="33">
        <f>AH186*(1+N(Debts!$D$14)/1200)</f>
        <v/>
      </c>
      <c r="AG187" s="33">
        <f>AF187-MIN(N(Debts!$E$14),AF187)</f>
        <v/>
      </c>
      <c r="AH187" s="33">
        <f>IF(AG187&lt;=0.005,0,AG187-MIN(AG187,MAX(0,$E187-SUMIFS(H187:AK187,$H$5:$AK$5,"Rem",$H$4:$AK$4,"&lt;"&amp;AH$4))))</f>
        <v/>
      </c>
      <c r="AI187" s="33">
        <f>AK186*(1+N(Debts!$D$15)/1200)</f>
        <v/>
      </c>
      <c r="AJ187" s="33">
        <f>AI187-MIN(N(Debts!$E$15),AI187)</f>
        <v/>
      </c>
      <c r="AK187" s="33">
        <f>IF(AJ187&lt;=0.005,0,AJ187-MIN(AJ187,MAX(0,$E187-SUMIFS(H187:AK187,$H$5:$AK$5,"Rem",$H$4:$AK$4,"&lt;"&amp;AK$4))))</f>
        <v/>
      </c>
      <c r="AL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</row>
  </sheetData>
  <conditionalFormatting sqref="H8:AK187">
    <cfRule type="expression" priority="1" dxfId="1">
      <formula>AND(H$5="Bal",H8&lt;=0.005,H7&gt;0.005)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>
        <f>IF(Debts!$B$6=""," ",Debts!$B$6)</f>
        <v/>
      </c>
      <c r="C1">
        <f>IF(Debts!$B$7=""," ",Debts!$B$7)</f>
        <v/>
      </c>
      <c r="D1">
        <f>IF(Debts!$B$8=""," ",Debts!$B$8)</f>
        <v/>
      </c>
      <c r="E1">
        <f>IF(Debts!$B$9=""," ",Debts!$B$9)</f>
        <v/>
      </c>
      <c r="F1">
        <f>IF(Debts!$B$10=""," ",Debts!$B$10)</f>
        <v/>
      </c>
      <c r="G1">
        <f>IF(Debts!$B$11=""," ",Debts!$B$11)</f>
        <v/>
      </c>
      <c r="H1">
        <f>IF(Debts!$B$12=""," ",Debts!$B$12)</f>
        <v/>
      </c>
      <c r="I1">
        <f>IF(Debts!$B$13=""," ",Debts!$B$13)</f>
        <v/>
      </c>
      <c r="J1">
        <f>IF(Debts!$B$14=""," ",Debts!$B$14)</f>
        <v/>
      </c>
      <c r="K1">
        <f>IF(Debts!$B$15=""," ",Debts!$B$15)</f>
        <v/>
      </c>
    </row>
    <row r="2">
      <c r="A2" t="n">
        <v>0</v>
      </c>
      <c r="B2">
        <f>IF(Debts!$J$10="Snowball",Snowball!J7,Avalanche!J7)</f>
        <v/>
      </c>
      <c r="C2">
        <f>IF(Debts!$J$10="Snowball",Snowball!M7,Avalanche!M7)</f>
        <v/>
      </c>
      <c r="D2">
        <f>IF(Debts!$J$10="Snowball",Snowball!P7,Avalanche!P7)</f>
        <v/>
      </c>
      <c r="E2">
        <f>IF(Debts!$J$10="Snowball",Snowball!S7,Avalanche!S7)</f>
        <v/>
      </c>
      <c r="F2">
        <f>IF(Debts!$J$10="Snowball",Snowball!V7,Avalanche!V7)</f>
        <v/>
      </c>
      <c r="G2">
        <f>IF(Debts!$J$10="Snowball",Snowball!Y7,Avalanche!Y7)</f>
        <v/>
      </c>
      <c r="H2">
        <f>IF(Debts!$J$10="Snowball",Snowball!AB7,Avalanche!AB7)</f>
        <v/>
      </c>
      <c r="I2">
        <f>IF(Debts!$J$10="Snowball",Snowball!AE7,Avalanche!AE7)</f>
        <v/>
      </c>
      <c r="J2">
        <f>IF(Debts!$J$10="Snowball",Snowball!AH7,Avalanche!AH7)</f>
        <v/>
      </c>
      <c r="K2">
        <f>IF(Debts!$J$10="Snowball",Snowball!AK7,Avalanche!AK7)</f>
        <v/>
      </c>
    </row>
    <row r="3">
      <c r="A3" t="n">
        <v>1</v>
      </c>
      <c r="B3">
        <f>IF(Debts!$J$10="Snowball",Snowball!J8,Avalanche!J8)</f>
        <v/>
      </c>
      <c r="C3">
        <f>IF(Debts!$J$10="Snowball",Snowball!M8,Avalanche!M8)</f>
        <v/>
      </c>
      <c r="D3">
        <f>IF(Debts!$J$10="Snowball",Snowball!P8,Avalanche!P8)</f>
        <v/>
      </c>
      <c r="E3">
        <f>IF(Debts!$J$10="Snowball",Snowball!S8,Avalanche!S8)</f>
        <v/>
      </c>
      <c r="F3">
        <f>IF(Debts!$J$10="Snowball",Snowball!V8,Avalanche!V8)</f>
        <v/>
      </c>
      <c r="G3">
        <f>IF(Debts!$J$10="Snowball",Snowball!Y8,Avalanche!Y8)</f>
        <v/>
      </c>
      <c r="H3">
        <f>IF(Debts!$J$10="Snowball",Snowball!AB8,Avalanche!AB8)</f>
        <v/>
      </c>
      <c r="I3">
        <f>IF(Debts!$J$10="Snowball",Snowball!AE8,Avalanche!AE8)</f>
        <v/>
      </c>
      <c r="J3">
        <f>IF(Debts!$J$10="Snowball",Snowball!AH8,Avalanche!AH8)</f>
        <v/>
      </c>
      <c r="K3">
        <f>IF(Debts!$J$10="Snowball",Snowball!AK8,Avalanche!AK8)</f>
        <v/>
      </c>
    </row>
    <row r="4">
      <c r="A4" t="n">
        <v>2</v>
      </c>
      <c r="B4">
        <f>IF(Debts!$J$10="Snowball",Snowball!J9,Avalanche!J9)</f>
        <v/>
      </c>
      <c r="C4">
        <f>IF(Debts!$J$10="Snowball",Snowball!M9,Avalanche!M9)</f>
        <v/>
      </c>
      <c r="D4">
        <f>IF(Debts!$J$10="Snowball",Snowball!P9,Avalanche!P9)</f>
        <v/>
      </c>
      <c r="E4">
        <f>IF(Debts!$J$10="Snowball",Snowball!S9,Avalanche!S9)</f>
        <v/>
      </c>
      <c r="F4">
        <f>IF(Debts!$J$10="Snowball",Snowball!V9,Avalanche!V9)</f>
        <v/>
      </c>
      <c r="G4">
        <f>IF(Debts!$J$10="Snowball",Snowball!Y9,Avalanche!Y9)</f>
        <v/>
      </c>
      <c r="H4">
        <f>IF(Debts!$J$10="Snowball",Snowball!AB9,Avalanche!AB9)</f>
        <v/>
      </c>
      <c r="I4">
        <f>IF(Debts!$J$10="Snowball",Snowball!AE9,Avalanche!AE9)</f>
        <v/>
      </c>
      <c r="J4">
        <f>IF(Debts!$J$10="Snowball",Snowball!AH9,Avalanche!AH9)</f>
        <v/>
      </c>
      <c r="K4">
        <f>IF(Debts!$J$10="Snowball",Snowball!AK9,Avalanche!AK9)</f>
        <v/>
      </c>
    </row>
    <row r="5">
      <c r="A5" t="n">
        <v>3</v>
      </c>
      <c r="B5">
        <f>IF(Debts!$J$10="Snowball",Snowball!J10,Avalanche!J10)</f>
        <v/>
      </c>
      <c r="C5">
        <f>IF(Debts!$J$10="Snowball",Snowball!M10,Avalanche!M10)</f>
        <v/>
      </c>
      <c r="D5">
        <f>IF(Debts!$J$10="Snowball",Snowball!P10,Avalanche!P10)</f>
        <v/>
      </c>
      <c r="E5">
        <f>IF(Debts!$J$10="Snowball",Snowball!S10,Avalanche!S10)</f>
        <v/>
      </c>
      <c r="F5">
        <f>IF(Debts!$J$10="Snowball",Snowball!V10,Avalanche!V10)</f>
        <v/>
      </c>
      <c r="G5">
        <f>IF(Debts!$J$10="Snowball",Snowball!Y10,Avalanche!Y10)</f>
        <v/>
      </c>
      <c r="H5">
        <f>IF(Debts!$J$10="Snowball",Snowball!AB10,Avalanche!AB10)</f>
        <v/>
      </c>
      <c r="I5">
        <f>IF(Debts!$J$10="Snowball",Snowball!AE10,Avalanche!AE10)</f>
        <v/>
      </c>
      <c r="J5">
        <f>IF(Debts!$J$10="Snowball",Snowball!AH10,Avalanche!AH10)</f>
        <v/>
      </c>
      <c r="K5">
        <f>IF(Debts!$J$10="Snowball",Snowball!AK10,Avalanche!AK10)</f>
        <v/>
      </c>
    </row>
    <row r="6">
      <c r="A6" t="n">
        <v>4</v>
      </c>
      <c r="B6">
        <f>IF(Debts!$J$10="Snowball",Snowball!J11,Avalanche!J11)</f>
        <v/>
      </c>
      <c r="C6">
        <f>IF(Debts!$J$10="Snowball",Snowball!M11,Avalanche!M11)</f>
        <v/>
      </c>
      <c r="D6">
        <f>IF(Debts!$J$10="Snowball",Snowball!P11,Avalanche!P11)</f>
        <v/>
      </c>
      <c r="E6">
        <f>IF(Debts!$J$10="Snowball",Snowball!S11,Avalanche!S11)</f>
        <v/>
      </c>
      <c r="F6">
        <f>IF(Debts!$J$10="Snowball",Snowball!V11,Avalanche!V11)</f>
        <v/>
      </c>
      <c r="G6">
        <f>IF(Debts!$J$10="Snowball",Snowball!Y11,Avalanche!Y11)</f>
        <v/>
      </c>
      <c r="H6">
        <f>IF(Debts!$J$10="Snowball",Snowball!AB11,Avalanche!AB11)</f>
        <v/>
      </c>
      <c r="I6">
        <f>IF(Debts!$J$10="Snowball",Snowball!AE11,Avalanche!AE11)</f>
        <v/>
      </c>
      <c r="J6">
        <f>IF(Debts!$J$10="Snowball",Snowball!AH11,Avalanche!AH11)</f>
        <v/>
      </c>
      <c r="K6">
        <f>IF(Debts!$J$10="Snowball",Snowball!AK11,Avalanche!AK11)</f>
        <v/>
      </c>
    </row>
    <row r="7">
      <c r="A7" t="n">
        <v>5</v>
      </c>
      <c r="B7">
        <f>IF(Debts!$J$10="Snowball",Snowball!J12,Avalanche!J12)</f>
        <v/>
      </c>
      <c r="C7">
        <f>IF(Debts!$J$10="Snowball",Snowball!M12,Avalanche!M12)</f>
        <v/>
      </c>
      <c r="D7">
        <f>IF(Debts!$J$10="Snowball",Snowball!P12,Avalanche!P12)</f>
        <v/>
      </c>
      <c r="E7">
        <f>IF(Debts!$J$10="Snowball",Snowball!S12,Avalanche!S12)</f>
        <v/>
      </c>
      <c r="F7">
        <f>IF(Debts!$J$10="Snowball",Snowball!V12,Avalanche!V12)</f>
        <v/>
      </c>
      <c r="G7">
        <f>IF(Debts!$J$10="Snowball",Snowball!Y12,Avalanche!Y12)</f>
        <v/>
      </c>
      <c r="H7">
        <f>IF(Debts!$J$10="Snowball",Snowball!AB12,Avalanche!AB12)</f>
        <v/>
      </c>
      <c r="I7">
        <f>IF(Debts!$J$10="Snowball",Snowball!AE12,Avalanche!AE12)</f>
        <v/>
      </c>
      <c r="J7">
        <f>IF(Debts!$J$10="Snowball",Snowball!AH12,Avalanche!AH12)</f>
        <v/>
      </c>
      <c r="K7">
        <f>IF(Debts!$J$10="Snowball",Snowball!AK12,Avalanche!AK12)</f>
        <v/>
      </c>
    </row>
    <row r="8">
      <c r="A8" t="n">
        <v>6</v>
      </c>
      <c r="B8">
        <f>IF(Debts!$J$10="Snowball",Snowball!J13,Avalanche!J13)</f>
        <v/>
      </c>
      <c r="C8">
        <f>IF(Debts!$J$10="Snowball",Snowball!M13,Avalanche!M13)</f>
        <v/>
      </c>
      <c r="D8">
        <f>IF(Debts!$J$10="Snowball",Snowball!P13,Avalanche!P13)</f>
        <v/>
      </c>
      <c r="E8">
        <f>IF(Debts!$J$10="Snowball",Snowball!S13,Avalanche!S13)</f>
        <v/>
      </c>
      <c r="F8">
        <f>IF(Debts!$J$10="Snowball",Snowball!V13,Avalanche!V13)</f>
        <v/>
      </c>
      <c r="G8">
        <f>IF(Debts!$J$10="Snowball",Snowball!Y13,Avalanche!Y13)</f>
        <v/>
      </c>
      <c r="H8">
        <f>IF(Debts!$J$10="Snowball",Snowball!AB13,Avalanche!AB13)</f>
        <v/>
      </c>
      <c r="I8">
        <f>IF(Debts!$J$10="Snowball",Snowball!AE13,Avalanche!AE13)</f>
        <v/>
      </c>
      <c r="J8">
        <f>IF(Debts!$J$10="Snowball",Snowball!AH13,Avalanche!AH13)</f>
        <v/>
      </c>
      <c r="K8">
        <f>IF(Debts!$J$10="Snowball",Snowball!AK13,Avalanche!AK13)</f>
        <v/>
      </c>
    </row>
    <row r="9">
      <c r="A9" t="n">
        <v>7</v>
      </c>
      <c r="B9">
        <f>IF(Debts!$J$10="Snowball",Snowball!J14,Avalanche!J14)</f>
        <v/>
      </c>
      <c r="C9">
        <f>IF(Debts!$J$10="Snowball",Snowball!M14,Avalanche!M14)</f>
        <v/>
      </c>
      <c r="D9">
        <f>IF(Debts!$J$10="Snowball",Snowball!P14,Avalanche!P14)</f>
        <v/>
      </c>
      <c r="E9">
        <f>IF(Debts!$J$10="Snowball",Snowball!S14,Avalanche!S14)</f>
        <v/>
      </c>
      <c r="F9">
        <f>IF(Debts!$J$10="Snowball",Snowball!V14,Avalanche!V14)</f>
        <v/>
      </c>
      <c r="G9">
        <f>IF(Debts!$J$10="Snowball",Snowball!Y14,Avalanche!Y14)</f>
        <v/>
      </c>
      <c r="H9">
        <f>IF(Debts!$J$10="Snowball",Snowball!AB14,Avalanche!AB14)</f>
        <v/>
      </c>
      <c r="I9">
        <f>IF(Debts!$J$10="Snowball",Snowball!AE14,Avalanche!AE14)</f>
        <v/>
      </c>
      <c r="J9">
        <f>IF(Debts!$J$10="Snowball",Snowball!AH14,Avalanche!AH14)</f>
        <v/>
      </c>
      <c r="K9">
        <f>IF(Debts!$J$10="Snowball",Snowball!AK14,Avalanche!AK14)</f>
        <v/>
      </c>
    </row>
    <row r="10">
      <c r="A10" t="n">
        <v>8</v>
      </c>
      <c r="B10">
        <f>IF(Debts!$J$10="Snowball",Snowball!J15,Avalanche!J15)</f>
        <v/>
      </c>
      <c r="C10">
        <f>IF(Debts!$J$10="Snowball",Snowball!M15,Avalanche!M15)</f>
        <v/>
      </c>
      <c r="D10">
        <f>IF(Debts!$J$10="Snowball",Snowball!P15,Avalanche!P15)</f>
        <v/>
      </c>
      <c r="E10">
        <f>IF(Debts!$J$10="Snowball",Snowball!S15,Avalanche!S15)</f>
        <v/>
      </c>
      <c r="F10">
        <f>IF(Debts!$J$10="Snowball",Snowball!V15,Avalanche!V15)</f>
        <v/>
      </c>
      <c r="G10">
        <f>IF(Debts!$J$10="Snowball",Snowball!Y15,Avalanche!Y15)</f>
        <v/>
      </c>
      <c r="H10">
        <f>IF(Debts!$J$10="Snowball",Snowball!AB15,Avalanche!AB15)</f>
        <v/>
      </c>
      <c r="I10">
        <f>IF(Debts!$J$10="Snowball",Snowball!AE15,Avalanche!AE15)</f>
        <v/>
      </c>
      <c r="J10">
        <f>IF(Debts!$J$10="Snowball",Snowball!AH15,Avalanche!AH15)</f>
        <v/>
      </c>
      <c r="K10">
        <f>IF(Debts!$J$10="Snowball",Snowball!AK15,Avalanche!AK15)</f>
        <v/>
      </c>
    </row>
    <row r="11">
      <c r="A11" t="n">
        <v>9</v>
      </c>
      <c r="B11">
        <f>IF(Debts!$J$10="Snowball",Snowball!J16,Avalanche!J16)</f>
        <v/>
      </c>
      <c r="C11">
        <f>IF(Debts!$J$10="Snowball",Snowball!M16,Avalanche!M16)</f>
        <v/>
      </c>
      <c r="D11">
        <f>IF(Debts!$J$10="Snowball",Snowball!P16,Avalanche!P16)</f>
        <v/>
      </c>
      <c r="E11">
        <f>IF(Debts!$J$10="Snowball",Snowball!S16,Avalanche!S16)</f>
        <v/>
      </c>
      <c r="F11">
        <f>IF(Debts!$J$10="Snowball",Snowball!V16,Avalanche!V16)</f>
        <v/>
      </c>
      <c r="G11">
        <f>IF(Debts!$J$10="Snowball",Snowball!Y16,Avalanche!Y16)</f>
        <v/>
      </c>
      <c r="H11">
        <f>IF(Debts!$J$10="Snowball",Snowball!AB16,Avalanche!AB16)</f>
        <v/>
      </c>
      <c r="I11">
        <f>IF(Debts!$J$10="Snowball",Snowball!AE16,Avalanche!AE16)</f>
        <v/>
      </c>
      <c r="J11">
        <f>IF(Debts!$J$10="Snowball",Snowball!AH16,Avalanche!AH16)</f>
        <v/>
      </c>
      <c r="K11">
        <f>IF(Debts!$J$10="Snowball",Snowball!AK16,Avalanche!AK16)</f>
        <v/>
      </c>
    </row>
    <row r="12">
      <c r="A12" t="n">
        <v>10</v>
      </c>
      <c r="B12">
        <f>IF(Debts!$J$10="Snowball",Snowball!J17,Avalanche!J17)</f>
        <v/>
      </c>
      <c r="C12">
        <f>IF(Debts!$J$10="Snowball",Snowball!M17,Avalanche!M17)</f>
        <v/>
      </c>
      <c r="D12">
        <f>IF(Debts!$J$10="Snowball",Snowball!P17,Avalanche!P17)</f>
        <v/>
      </c>
      <c r="E12">
        <f>IF(Debts!$J$10="Snowball",Snowball!S17,Avalanche!S17)</f>
        <v/>
      </c>
      <c r="F12">
        <f>IF(Debts!$J$10="Snowball",Snowball!V17,Avalanche!V17)</f>
        <v/>
      </c>
      <c r="G12">
        <f>IF(Debts!$J$10="Snowball",Snowball!Y17,Avalanche!Y17)</f>
        <v/>
      </c>
      <c r="H12">
        <f>IF(Debts!$J$10="Snowball",Snowball!AB17,Avalanche!AB17)</f>
        <v/>
      </c>
      <c r="I12">
        <f>IF(Debts!$J$10="Snowball",Snowball!AE17,Avalanche!AE17)</f>
        <v/>
      </c>
      <c r="J12">
        <f>IF(Debts!$J$10="Snowball",Snowball!AH17,Avalanche!AH17)</f>
        <v/>
      </c>
      <c r="K12">
        <f>IF(Debts!$J$10="Snowball",Snowball!AK17,Avalanche!AK17)</f>
        <v/>
      </c>
    </row>
    <row r="13">
      <c r="A13" t="n">
        <v>11</v>
      </c>
      <c r="B13">
        <f>IF(Debts!$J$10="Snowball",Snowball!J18,Avalanche!J18)</f>
        <v/>
      </c>
      <c r="C13">
        <f>IF(Debts!$J$10="Snowball",Snowball!M18,Avalanche!M18)</f>
        <v/>
      </c>
      <c r="D13">
        <f>IF(Debts!$J$10="Snowball",Snowball!P18,Avalanche!P18)</f>
        <v/>
      </c>
      <c r="E13">
        <f>IF(Debts!$J$10="Snowball",Snowball!S18,Avalanche!S18)</f>
        <v/>
      </c>
      <c r="F13">
        <f>IF(Debts!$J$10="Snowball",Snowball!V18,Avalanche!V18)</f>
        <v/>
      </c>
      <c r="G13">
        <f>IF(Debts!$J$10="Snowball",Snowball!Y18,Avalanche!Y18)</f>
        <v/>
      </c>
      <c r="H13">
        <f>IF(Debts!$J$10="Snowball",Snowball!AB18,Avalanche!AB18)</f>
        <v/>
      </c>
      <c r="I13">
        <f>IF(Debts!$J$10="Snowball",Snowball!AE18,Avalanche!AE18)</f>
        <v/>
      </c>
      <c r="J13">
        <f>IF(Debts!$J$10="Snowball",Snowball!AH18,Avalanche!AH18)</f>
        <v/>
      </c>
      <c r="K13">
        <f>IF(Debts!$J$10="Snowball",Snowball!AK18,Avalanche!AK18)</f>
        <v/>
      </c>
    </row>
    <row r="14">
      <c r="A14" t="n">
        <v>12</v>
      </c>
      <c r="B14">
        <f>IF(Debts!$J$10="Snowball",Snowball!J19,Avalanche!J19)</f>
        <v/>
      </c>
      <c r="C14">
        <f>IF(Debts!$J$10="Snowball",Snowball!M19,Avalanche!M19)</f>
        <v/>
      </c>
      <c r="D14">
        <f>IF(Debts!$J$10="Snowball",Snowball!P19,Avalanche!P19)</f>
        <v/>
      </c>
      <c r="E14">
        <f>IF(Debts!$J$10="Snowball",Snowball!S19,Avalanche!S19)</f>
        <v/>
      </c>
      <c r="F14">
        <f>IF(Debts!$J$10="Snowball",Snowball!V19,Avalanche!V19)</f>
        <v/>
      </c>
      <c r="G14">
        <f>IF(Debts!$J$10="Snowball",Snowball!Y19,Avalanche!Y19)</f>
        <v/>
      </c>
      <c r="H14">
        <f>IF(Debts!$J$10="Snowball",Snowball!AB19,Avalanche!AB19)</f>
        <v/>
      </c>
      <c r="I14">
        <f>IF(Debts!$J$10="Snowball",Snowball!AE19,Avalanche!AE19)</f>
        <v/>
      </c>
      <c r="J14">
        <f>IF(Debts!$J$10="Snowball",Snowball!AH19,Avalanche!AH19)</f>
        <v/>
      </c>
      <c r="K14">
        <f>IF(Debts!$J$10="Snowball",Snowball!AK19,Avalanche!AK19)</f>
        <v/>
      </c>
    </row>
    <row r="15">
      <c r="A15" t="n">
        <v>13</v>
      </c>
      <c r="B15">
        <f>IF(Debts!$J$10="Snowball",Snowball!J20,Avalanche!J20)</f>
        <v/>
      </c>
      <c r="C15">
        <f>IF(Debts!$J$10="Snowball",Snowball!M20,Avalanche!M20)</f>
        <v/>
      </c>
      <c r="D15">
        <f>IF(Debts!$J$10="Snowball",Snowball!P20,Avalanche!P20)</f>
        <v/>
      </c>
      <c r="E15">
        <f>IF(Debts!$J$10="Snowball",Snowball!S20,Avalanche!S20)</f>
        <v/>
      </c>
      <c r="F15">
        <f>IF(Debts!$J$10="Snowball",Snowball!V20,Avalanche!V20)</f>
        <v/>
      </c>
      <c r="G15">
        <f>IF(Debts!$J$10="Snowball",Snowball!Y20,Avalanche!Y20)</f>
        <v/>
      </c>
      <c r="H15">
        <f>IF(Debts!$J$10="Snowball",Snowball!AB20,Avalanche!AB20)</f>
        <v/>
      </c>
      <c r="I15">
        <f>IF(Debts!$J$10="Snowball",Snowball!AE20,Avalanche!AE20)</f>
        <v/>
      </c>
      <c r="J15">
        <f>IF(Debts!$J$10="Snowball",Snowball!AH20,Avalanche!AH20)</f>
        <v/>
      </c>
      <c r="K15">
        <f>IF(Debts!$J$10="Snowball",Snowball!AK20,Avalanche!AK20)</f>
        <v/>
      </c>
    </row>
    <row r="16">
      <c r="A16" t="n">
        <v>14</v>
      </c>
      <c r="B16">
        <f>IF(Debts!$J$10="Snowball",Snowball!J21,Avalanche!J21)</f>
        <v/>
      </c>
      <c r="C16">
        <f>IF(Debts!$J$10="Snowball",Snowball!M21,Avalanche!M21)</f>
        <v/>
      </c>
      <c r="D16">
        <f>IF(Debts!$J$10="Snowball",Snowball!P21,Avalanche!P21)</f>
        <v/>
      </c>
      <c r="E16">
        <f>IF(Debts!$J$10="Snowball",Snowball!S21,Avalanche!S21)</f>
        <v/>
      </c>
      <c r="F16">
        <f>IF(Debts!$J$10="Snowball",Snowball!V21,Avalanche!V21)</f>
        <v/>
      </c>
      <c r="G16">
        <f>IF(Debts!$J$10="Snowball",Snowball!Y21,Avalanche!Y21)</f>
        <v/>
      </c>
      <c r="H16">
        <f>IF(Debts!$J$10="Snowball",Snowball!AB21,Avalanche!AB21)</f>
        <v/>
      </c>
      <c r="I16">
        <f>IF(Debts!$J$10="Snowball",Snowball!AE21,Avalanche!AE21)</f>
        <v/>
      </c>
      <c r="J16">
        <f>IF(Debts!$J$10="Snowball",Snowball!AH21,Avalanche!AH21)</f>
        <v/>
      </c>
      <c r="K16">
        <f>IF(Debts!$J$10="Snowball",Snowball!AK21,Avalanche!AK21)</f>
        <v/>
      </c>
    </row>
    <row r="17">
      <c r="A17" t="n">
        <v>15</v>
      </c>
      <c r="B17">
        <f>IF(Debts!$J$10="Snowball",Snowball!J22,Avalanche!J22)</f>
        <v/>
      </c>
      <c r="C17">
        <f>IF(Debts!$J$10="Snowball",Snowball!M22,Avalanche!M22)</f>
        <v/>
      </c>
      <c r="D17">
        <f>IF(Debts!$J$10="Snowball",Snowball!P22,Avalanche!P22)</f>
        <v/>
      </c>
      <c r="E17">
        <f>IF(Debts!$J$10="Snowball",Snowball!S22,Avalanche!S22)</f>
        <v/>
      </c>
      <c r="F17">
        <f>IF(Debts!$J$10="Snowball",Snowball!V22,Avalanche!V22)</f>
        <v/>
      </c>
      <c r="G17">
        <f>IF(Debts!$J$10="Snowball",Snowball!Y22,Avalanche!Y22)</f>
        <v/>
      </c>
      <c r="H17">
        <f>IF(Debts!$J$10="Snowball",Snowball!AB22,Avalanche!AB22)</f>
        <v/>
      </c>
      <c r="I17">
        <f>IF(Debts!$J$10="Snowball",Snowball!AE22,Avalanche!AE22)</f>
        <v/>
      </c>
      <c r="J17">
        <f>IF(Debts!$J$10="Snowball",Snowball!AH22,Avalanche!AH22)</f>
        <v/>
      </c>
      <c r="K17">
        <f>IF(Debts!$J$10="Snowball",Snowball!AK22,Avalanche!AK22)</f>
        <v/>
      </c>
    </row>
    <row r="18">
      <c r="A18" t="n">
        <v>16</v>
      </c>
      <c r="B18">
        <f>IF(Debts!$J$10="Snowball",Snowball!J23,Avalanche!J23)</f>
        <v/>
      </c>
      <c r="C18">
        <f>IF(Debts!$J$10="Snowball",Snowball!M23,Avalanche!M23)</f>
        <v/>
      </c>
      <c r="D18">
        <f>IF(Debts!$J$10="Snowball",Snowball!P23,Avalanche!P23)</f>
        <v/>
      </c>
      <c r="E18">
        <f>IF(Debts!$J$10="Snowball",Snowball!S23,Avalanche!S23)</f>
        <v/>
      </c>
      <c r="F18">
        <f>IF(Debts!$J$10="Snowball",Snowball!V23,Avalanche!V23)</f>
        <v/>
      </c>
      <c r="G18">
        <f>IF(Debts!$J$10="Snowball",Snowball!Y23,Avalanche!Y23)</f>
        <v/>
      </c>
      <c r="H18">
        <f>IF(Debts!$J$10="Snowball",Snowball!AB23,Avalanche!AB23)</f>
        <v/>
      </c>
      <c r="I18">
        <f>IF(Debts!$J$10="Snowball",Snowball!AE23,Avalanche!AE23)</f>
        <v/>
      </c>
      <c r="J18">
        <f>IF(Debts!$J$10="Snowball",Snowball!AH23,Avalanche!AH23)</f>
        <v/>
      </c>
      <c r="K18">
        <f>IF(Debts!$J$10="Snowball",Snowball!AK23,Avalanche!AK23)</f>
        <v/>
      </c>
    </row>
    <row r="19">
      <c r="A19" t="n">
        <v>17</v>
      </c>
      <c r="B19">
        <f>IF(Debts!$J$10="Snowball",Snowball!J24,Avalanche!J24)</f>
        <v/>
      </c>
      <c r="C19">
        <f>IF(Debts!$J$10="Snowball",Snowball!M24,Avalanche!M24)</f>
        <v/>
      </c>
      <c r="D19">
        <f>IF(Debts!$J$10="Snowball",Snowball!P24,Avalanche!P24)</f>
        <v/>
      </c>
      <c r="E19">
        <f>IF(Debts!$J$10="Snowball",Snowball!S24,Avalanche!S24)</f>
        <v/>
      </c>
      <c r="F19">
        <f>IF(Debts!$J$10="Snowball",Snowball!V24,Avalanche!V24)</f>
        <v/>
      </c>
      <c r="G19">
        <f>IF(Debts!$J$10="Snowball",Snowball!Y24,Avalanche!Y24)</f>
        <v/>
      </c>
      <c r="H19">
        <f>IF(Debts!$J$10="Snowball",Snowball!AB24,Avalanche!AB24)</f>
        <v/>
      </c>
      <c r="I19">
        <f>IF(Debts!$J$10="Snowball",Snowball!AE24,Avalanche!AE24)</f>
        <v/>
      </c>
      <c r="J19">
        <f>IF(Debts!$J$10="Snowball",Snowball!AH24,Avalanche!AH24)</f>
        <v/>
      </c>
      <c r="K19">
        <f>IF(Debts!$J$10="Snowball",Snowball!AK24,Avalanche!AK24)</f>
        <v/>
      </c>
    </row>
    <row r="20">
      <c r="A20" t="n">
        <v>18</v>
      </c>
      <c r="B20">
        <f>IF(Debts!$J$10="Snowball",Snowball!J25,Avalanche!J25)</f>
        <v/>
      </c>
      <c r="C20">
        <f>IF(Debts!$J$10="Snowball",Snowball!M25,Avalanche!M25)</f>
        <v/>
      </c>
      <c r="D20">
        <f>IF(Debts!$J$10="Snowball",Snowball!P25,Avalanche!P25)</f>
        <v/>
      </c>
      <c r="E20">
        <f>IF(Debts!$J$10="Snowball",Snowball!S25,Avalanche!S25)</f>
        <v/>
      </c>
      <c r="F20">
        <f>IF(Debts!$J$10="Snowball",Snowball!V25,Avalanche!V25)</f>
        <v/>
      </c>
      <c r="G20">
        <f>IF(Debts!$J$10="Snowball",Snowball!Y25,Avalanche!Y25)</f>
        <v/>
      </c>
      <c r="H20">
        <f>IF(Debts!$J$10="Snowball",Snowball!AB25,Avalanche!AB25)</f>
        <v/>
      </c>
      <c r="I20">
        <f>IF(Debts!$J$10="Snowball",Snowball!AE25,Avalanche!AE25)</f>
        <v/>
      </c>
      <c r="J20">
        <f>IF(Debts!$J$10="Snowball",Snowball!AH25,Avalanche!AH25)</f>
        <v/>
      </c>
      <c r="K20">
        <f>IF(Debts!$J$10="Snowball",Snowball!AK25,Avalanche!AK25)</f>
        <v/>
      </c>
    </row>
    <row r="21">
      <c r="A21" t="n">
        <v>19</v>
      </c>
      <c r="B21">
        <f>IF(Debts!$J$10="Snowball",Snowball!J26,Avalanche!J26)</f>
        <v/>
      </c>
      <c r="C21">
        <f>IF(Debts!$J$10="Snowball",Snowball!M26,Avalanche!M26)</f>
        <v/>
      </c>
      <c r="D21">
        <f>IF(Debts!$J$10="Snowball",Snowball!P26,Avalanche!P26)</f>
        <v/>
      </c>
      <c r="E21">
        <f>IF(Debts!$J$10="Snowball",Snowball!S26,Avalanche!S26)</f>
        <v/>
      </c>
      <c r="F21">
        <f>IF(Debts!$J$10="Snowball",Snowball!V26,Avalanche!V26)</f>
        <v/>
      </c>
      <c r="G21">
        <f>IF(Debts!$J$10="Snowball",Snowball!Y26,Avalanche!Y26)</f>
        <v/>
      </c>
      <c r="H21">
        <f>IF(Debts!$J$10="Snowball",Snowball!AB26,Avalanche!AB26)</f>
        <v/>
      </c>
      <c r="I21">
        <f>IF(Debts!$J$10="Snowball",Snowball!AE26,Avalanche!AE26)</f>
        <v/>
      </c>
      <c r="J21">
        <f>IF(Debts!$J$10="Snowball",Snowball!AH26,Avalanche!AH26)</f>
        <v/>
      </c>
      <c r="K21">
        <f>IF(Debts!$J$10="Snowball",Snowball!AK26,Avalanche!AK26)</f>
        <v/>
      </c>
    </row>
    <row r="22">
      <c r="A22" t="n">
        <v>20</v>
      </c>
      <c r="B22">
        <f>IF(Debts!$J$10="Snowball",Snowball!J27,Avalanche!J27)</f>
        <v/>
      </c>
      <c r="C22">
        <f>IF(Debts!$J$10="Snowball",Snowball!M27,Avalanche!M27)</f>
        <v/>
      </c>
      <c r="D22">
        <f>IF(Debts!$J$10="Snowball",Snowball!P27,Avalanche!P27)</f>
        <v/>
      </c>
      <c r="E22">
        <f>IF(Debts!$J$10="Snowball",Snowball!S27,Avalanche!S27)</f>
        <v/>
      </c>
      <c r="F22">
        <f>IF(Debts!$J$10="Snowball",Snowball!V27,Avalanche!V27)</f>
        <v/>
      </c>
      <c r="G22">
        <f>IF(Debts!$J$10="Snowball",Snowball!Y27,Avalanche!Y27)</f>
        <v/>
      </c>
      <c r="H22">
        <f>IF(Debts!$J$10="Snowball",Snowball!AB27,Avalanche!AB27)</f>
        <v/>
      </c>
      <c r="I22">
        <f>IF(Debts!$J$10="Snowball",Snowball!AE27,Avalanche!AE27)</f>
        <v/>
      </c>
      <c r="J22">
        <f>IF(Debts!$J$10="Snowball",Snowball!AH27,Avalanche!AH27)</f>
        <v/>
      </c>
      <c r="K22">
        <f>IF(Debts!$J$10="Snowball",Snowball!AK27,Avalanche!AK27)</f>
        <v/>
      </c>
    </row>
    <row r="23">
      <c r="A23" t="n">
        <v>21</v>
      </c>
      <c r="B23">
        <f>IF(Debts!$J$10="Snowball",Snowball!J28,Avalanche!J28)</f>
        <v/>
      </c>
      <c r="C23">
        <f>IF(Debts!$J$10="Snowball",Snowball!M28,Avalanche!M28)</f>
        <v/>
      </c>
      <c r="D23">
        <f>IF(Debts!$J$10="Snowball",Snowball!P28,Avalanche!P28)</f>
        <v/>
      </c>
      <c r="E23">
        <f>IF(Debts!$J$10="Snowball",Snowball!S28,Avalanche!S28)</f>
        <v/>
      </c>
      <c r="F23">
        <f>IF(Debts!$J$10="Snowball",Snowball!V28,Avalanche!V28)</f>
        <v/>
      </c>
      <c r="G23">
        <f>IF(Debts!$J$10="Snowball",Snowball!Y28,Avalanche!Y28)</f>
        <v/>
      </c>
      <c r="H23">
        <f>IF(Debts!$J$10="Snowball",Snowball!AB28,Avalanche!AB28)</f>
        <v/>
      </c>
      <c r="I23">
        <f>IF(Debts!$J$10="Snowball",Snowball!AE28,Avalanche!AE28)</f>
        <v/>
      </c>
      <c r="J23">
        <f>IF(Debts!$J$10="Snowball",Snowball!AH28,Avalanche!AH28)</f>
        <v/>
      </c>
      <c r="K23">
        <f>IF(Debts!$J$10="Snowball",Snowball!AK28,Avalanche!AK28)</f>
        <v/>
      </c>
    </row>
    <row r="24">
      <c r="A24" t="n">
        <v>22</v>
      </c>
      <c r="B24">
        <f>IF(Debts!$J$10="Snowball",Snowball!J29,Avalanche!J29)</f>
        <v/>
      </c>
      <c r="C24">
        <f>IF(Debts!$J$10="Snowball",Snowball!M29,Avalanche!M29)</f>
        <v/>
      </c>
      <c r="D24">
        <f>IF(Debts!$J$10="Snowball",Snowball!P29,Avalanche!P29)</f>
        <v/>
      </c>
      <c r="E24">
        <f>IF(Debts!$J$10="Snowball",Snowball!S29,Avalanche!S29)</f>
        <v/>
      </c>
      <c r="F24">
        <f>IF(Debts!$J$10="Snowball",Snowball!V29,Avalanche!V29)</f>
        <v/>
      </c>
      <c r="G24">
        <f>IF(Debts!$J$10="Snowball",Snowball!Y29,Avalanche!Y29)</f>
        <v/>
      </c>
      <c r="H24">
        <f>IF(Debts!$J$10="Snowball",Snowball!AB29,Avalanche!AB29)</f>
        <v/>
      </c>
      <c r="I24">
        <f>IF(Debts!$J$10="Snowball",Snowball!AE29,Avalanche!AE29)</f>
        <v/>
      </c>
      <c r="J24">
        <f>IF(Debts!$J$10="Snowball",Snowball!AH29,Avalanche!AH29)</f>
        <v/>
      </c>
      <c r="K24">
        <f>IF(Debts!$J$10="Snowball",Snowball!AK29,Avalanche!AK29)</f>
        <v/>
      </c>
    </row>
    <row r="25">
      <c r="A25" t="n">
        <v>23</v>
      </c>
      <c r="B25">
        <f>IF(Debts!$J$10="Snowball",Snowball!J30,Avalanche!J30)</f>
        <v/>
      </c>
      <c r="C25">
        <f>IF(Debts!$J$10="Snowball",Snowball!M30,Avalanche!M30)</f>
        <v/>
      </c>
      <c r="D25">
        <f>IF(Debts!$J$10="Snowball",Snowball!P30,Avalanche!P30)</f>
        <v/>
      </c>
      <c r="E25">
        <f>IF(Debts!$J$10="Snowball",Snowball!S30,Avalanche!S30)</f>
        <v/>
      </c>
      <c r="F25">
        <f>IF(Debts!$J$10="Snowball",Snowball!V30,Avalanche!V30)</f>
        <v/>
      </c>
      <c r="G25">
        <f>IF(Debts!$J$10="Snowball",Snowball!Y30,Avalanche!Y30)</f>
        <v/>
      </c>
      <c r="H25">
        <f>IF(Debts!$J$10="Snowball",Snowball!AB30,Avalanche!AB30)</f>
        <v/>
      </c>
      <c r="I25">
        <f>IF(Debts!$J$10="Snowball",Snowball!AE30,Avalanche!AE30)</f>
        <v/>
      </c>
      <c r="J25">
        <f>IF(Debts!$J$10="Snowball",Snowball!AH30,Avalanche!AH30)</f>
        <v/>
      </c>
      <c r="K25">
        <f>IF(Debts!$J$10="Snowball",Snowball!AK30,Avalanche!AK30)</f>
        <v/>
      </c>
    </row>
    <row r="26">
      <c r="A26" t="n">
        <v>24</v>
      </c>
      <c r="B26">
        <f>IF(Debts!$J$10="Snowball",Snowball!J31,Avalanche!J31)</f>
        <v/>
      </c>
      <c r="C26">
        <f>IF(Debts!$J$10="Snowball",Snowball!M31,Avalanche!M31)</f>
        <v/>
      </c>
      <c r="D26">
        <f>IF(Debts!$J$10="Snowball",Snowball!P31,Avalanche!P31)</f>
        <v/>
      </c>
      <c r="E26">
        <f>IF(Debts!$J$10="Snowball",Snowball!S31,Avalanche!S31)</f>
        <v/>
      </c>
      <c r="F26">
        <f>IF(Debts!$J$10="Snowball",Snowball!V31,Avalanche!V31)</f>
        <v/>
      </c>
      <c r="G26">
        <f>IF(Debts!$J$10="Snowball",Snowball!Y31,Avalanche!Y31)</f>
        <v/>
      </c>
      <c r="H26">
        <f>IF(Debts!$J$10="Snowball",Snowball!AB31,Avalanche!AB31)</f>
        <v/>
      </c>
      <c r="I26">
        <f>IF(Debts!$J$10="Snowball",Snowball!AE31,Avalanche!AE31)</f>
        <v/>
      </c>
      <c r="J26">
        <f>IF(Debts!$J$10="Snowball",Snowball!AH31,Avalanche!AH31)</f>
        <v/>
      </c>
      <c r="K26">
        <f>IF(Debts!$J$10="Snowball",Snowball!AK31,Avalanche!AK31)</f>
        <v/>
      </c>
    </row>
    <row r="27">
      <c r="A27" t="n">
        <v>25</v>
      </c>
      <c r="B27">
        <f>IF(Debts!$J$10="Snowball",Snowball!J32,Avalanche!J32)</f>
        <v/>
      </c>
      <c r="C27">
        <f>IF(Debts!$J$10="Snowball",Snowball!M32,Avalanche!M32)</f>
        <v/>
      </c>
      <c r="D27">
        <f>IF(Debts!$J$10="Snowball",Snowball!P32,Avalanche!P32)</f>
        <v/>
      </c>
      <c r="E27">
        <f>IF(Debts!$J$10="Snowball",Snowball!S32,Avalanche!S32)</f>
        <v/>
      </c>
      <c r="F27">
        <f>IF(Debts!$J$10="Snowball",Snowball!V32,Avalanche!V32)</f>
        <v/>
      </c>
      <c r="G27">
        <f>IF(Debts!$J$10="Snowball",Snowball!Y32,Avalanche!Y32)</f>
        <v/>
      </c>
      <c r="H27">
        <f>IF(Debts!$J$10="Snowball",Snowball!AB32,Avalanche!AB32)</f>
        <v/>
      </c>
      <c r="I27">
        <f>IF(Debts!$J$10="Snowball",Snowball!AE32,Avalanche!AE32)</f>
        <v/>
      </c>
      <c r="J27">
        <f>IF(Debts!$J$10="Snowball",Snowball!AH32,Avalanche!AH32)</f>
        <v/>
      </c>
      <c r="K27">
        <f>IF(Debts!$J$10="Snowball",Snowball!AK32,Avalanche!AK32)</f>
        <v/>
      </c>
    </row>
    <row r="28">
      <c r="A28" t="n">
        <v>26</v>
      </c>
      <c r="B28">
        <f>IF(Debts!$J$10="Snowball",Snowball!J33,Avalanche!J33)</f>
        <v/>
      </c>
      <c r="C28">
        <f>IF(Debts!$J$10="Snowball",Snowball!M33,Avalanche!M33)</f>
        <v/>
      </c>
      <c r="D28">
        <f>IF(Debts!$J$10="Snowball",Snowball!P33,Avalanche!P33)</f>
        <v/>
      </c>
      <c r="E28">
        <f>IF(Debts!$J$10="Snowball",Snowball!S33,Avalanche!S33)</f>
        <v/>
      </c>
      <c r="F28">
        <f>IF(Debts!$J$10="Snowball",Snowball!V33,Avalanche!V33)</f>
        <v/>
      </c>
      <c r="G28">
        <f>IF(Debts!$J$10="Snowball",Snowball!Y33,Avalanche!Y33)</f>
        <v/>
      </c>
      <c r="H28">
        <f>IF(Debts!$J$10="Snowball",Snowball!AB33,Avalanche!AB33)</f>
        <v/>
      </c>
      <c r="I28">
        <f>IF(Debts!$J$10="Snowball",Snowball!AE33,Avalanche!AE33)</f>
        <v/>
      </c>
      <c r="J28">
        <f>IF(Debts!$J$10="Snowball",Snowball!AH33,Avalanche!AH33)</f>
        <v/>
      </c>
      <c r="K28">
        <f>IF(Debts!$J$10="Snowball",Snowball!AK33,Avalanche!AK33)</f>
        <v/>
      </c>
    </row>
    <row r="29">
      <c r="A29" t="n">
        <v>27</v>
      </c>
      <c r="B29">
        <f>IF(Debts!$J$10="Snowball",Snowball!J34,Avalanche!J34)</f>
        <v/>
      </c>
      <c r="C29">
        <f>IF(Debts!$J$10="Snowball",Snowball!M34,Avalanche!M34)</f>
        <v/>
      </c>
      <c r="D29">
        <f>IF(Debts!$J$10="Snowball",Snowball!P34,Avalanche!P34)</f>
        <v/>
      </c>
      <c r="E29">
        <f>IF(Debts!$J$10="Snowball",Snowball!S34,Avalanche!S34)</f>
        <v/>
      </c>
      <c r="F29">
        <f>IF(Debts!$J$10="Snowball",Snowball!V34,Avalanche!V34)</f>
        <v/>
      </c>
      <c r="G29">
        <f>IF(Debts!$J$10="Snowball",Snowball!Y34,Avalanche!Y34)</f>
        <v/>
      </c>
      <c r="H29">
        <f>IF(Debts!$J$10="Snowball",Snowball!AB34,Avalanche!AB34)</f>
        <v/>
      </c>
      <c r="I29">
        <f>IF(Debts!$J$10="Snowball",Snowball!AE34,Avalanche!AE34)</f>
        <v/>
      </c>
      <c r="J29">
        <f>IF(Debts!$J$10="Snowball",Snowball!AH34,Avalanche!AH34)</f>
        <v/>
      </c>
      <c r="K29">
        <f>IF(Debts!$J$10="Snowball",Snowball!AK34,Avalanche!AK34)</f>
        <v/>
      </c>
    </row>
    <row r="30">
      <c r="A30" t="n">
        <v>28</v>
      </c>
      <c r="B30">
        <f>IF(Debts!$J$10="Snowball",Snowball!J35,Avalanche!J35)</f>
        <v/>
      </c>
      <c r="C30">
        <f>IF(Debts!$J$10="Snowball",Snowball!M35,Avalanche!M35)</f>
        <v/>
      </c>
      <c r="D30">
        <f>IF(Debts!$J$10="Snowball",Snowball!P35,Avalanche!P35)</f>
        <v/>
      </c>
      <c r="E30">
        <f>IF(Debts!$J$10="Snowball",Snowball!S35,Avalanche!S35)</f>
        <v/>
      </c>
      <c r="F30">
        <f>IF(Debts!$J$10="Snowball",Snowball!V35,Avalanche!V35)</f>
        <v/>
      </c>
      <c r="G30">
        <f>IF(Debts!$J$10="Snowball",Snowball!Y35,Avalanche!Y35)</f>
        <v/>
      </c>
      <c r="H30">
        <f>IF(Debts!$J$10="Snowball",Snowball!AB35,Avalanche!AB35)</f>
        <v/>
      </c>
      <c r="I30">
        <f>IF(Debts!$J$10="Snowball",Snowball!AE35,Avalanche!AE35)</f>
        <v/>
      </c>
      <c r="J30">
        <f>IF(Debts!$J$10="Snowball",Snowball!AH35,Avalanche!AH35)</f>
        <v/>
      </c>
      <c r="K30">
        <f>IF(Debts!$J$10="Snowball",Snowball!AK35,Avalanche!AK35)</f>
        <v/>
      </c>
    </row>
    <row r="31">
      <c r="A31" t="n">
        <v>29</v>
      </c>
      <c r="B31">
        <f>IF(Debts!$J$10="Snowball",Snowball!J36,Avalanche!J36)</f>
        <v/>
      </c>
      <c r="C31">
        <f>IF(Debts!$J$10="Snowball",Snowball!M36,Avalanche!M36)</f>
        <v/>
      </c>
      <c r="D31">
        <f>IF(Debts!$J$10="Snowball",Snowball!P36,Avalanche!P36)</f>
        <v/>
      </c>
      <c r="E31">
        <f>IF(Debts!$J$10="Snowball",Snowball!S36,Avalanche!S36)</f>
        <v/>
      </c>
      <c r="F31">
        <f>IF(Debts!$J$10="Snowball",Snowball!V36,Avalanche!V36)</f>
        <v/>
      </c>
      <c r="G31">
        <f>IF(Debts!$J$10="Snowball",Snowball!Y36,Avalanche!Y36)</f>
        <v/>
      </c>
      <c r="H31">
        <f>IF(Debts!$J$10="Snowball",Snowball!AB36,Avalanche!AB36)</f>
        <v/>
      </c>
      <c r="I31">
        <f>IF(Debts!$J$10="Snowball",Snowball!AE36,Avalanche!AE36)</f>
        <v/>
      </c>
      <c r="J31">
        <f>IF(Debts!$J$10="Snowball",Snowball!AH36,Avalanche!AH36)</f>
        <v/>
      </c>
      <c r="K31">
        <f>IF(Debts!$J$10="Snowball",Snowball!AK36,Avalanche!AK36)</f>
        <v/>
      </c>
    </row>
    <row r="32">
      <c r="A32" t="n">
        <v>30</v>
      </c>
      <c r="B32">
        <f>IF(Debts!$J$10="Snowball",Snowball!J37,Avalanche!J37)</f>
        <v/>
      </c>
      <c r="C32">
        <f>IF(Debts!$J$10="Snowball",Snowball!M37,Avalanche!M37)</f>
        <v/>
      </c>
      <c r="D32">
        <f>IF(Debts!$J$10="Snowball",Snowball!P37,Avalanche!P37)</f>
        <v/>
      </c>
      <c r="E32">
        <f>IF(Debts!$J$10="Snowball",Snowball!S37,Avalanche!S37)</f>
        <v/>
      </c>
      <c r="F32">
        <f>IF(Debts!$J$10="Snowball",Snowball!V37,Avalanche!V37)</f>
        <v/>
      </c>
      <c r="G32">
        <f>IF(Debts!$J$10="Snowball",Snowball!Y37,Avalanche!Y37)</f>
        <v/>
      </c>
      <c r="H32">
        <f>IF(Debts!$J$10="Snowball",Snowball!AB37,Avalanche!AB37)</f>
        <v/>
      </c>
      <c r="I32">
        <f>IF(Debts!$J$10="Snowball",Snowball!AE37,Avalanche!AE37)</f>
        <v/>
      </c>
      <c r="J32">
        <f>IF(Debts!$J$10="Snowball",Snowball!AH37,Avalanche!AH37)</f>
        <v/>
      </c>
      <c r="K32">
        <f>IF(Debts!$J$10="Snowball",Snowball!AK37,Avalanche!AK37)</f>
        <v/>
      </c>
    </row>
    <row r="33">
      <c r="A33" t="n">
        <v>31</v>
      </c>
      <c r="B33">
        <f>IF(Debts!$J$10="Snowball",Snowball!J38,Avalanche!J38)</f>
        <v/>
      </c>
      <c r="C33">
        <f>IF(Debts!$J$10="Snowball",Snowball!M38,Avalanche!M38)</f>
        <v/>
      </c>
      <c r="D33">
        <f>IF(Debts!$J$10="Snowball",Snowball!P38,Avalanche!P38)</f>
        <v/>
      </c>
      <c r="E33">
        <f>IF(Debts!$J$10="Snowball",Snowball!S38,Avalanche!S38)</f>
        <v/>
      </c>
      <c r="F33">
        <f>IF(Debts!$J$10="Snowball",Snowball!V38,Avalanche!V38)</f>
        <v/>
      </c>
      <c r="G33">
        <f>IF(Debts!$J$10="Snowball",Snowball!Y38,Avalanche!Y38)</f>
        <v/>
      </c>
      <c r="H33">
        <f>IF(Debts!$J$10="Snowball",Snowball!AB38,Avalanche!AB38)</f>
        <v/>
      </c>
      <c r="I33">
        <f>IF(Debts!$J$10="Snowball",Snowball!AE38,Avalanche!AE38)</f>
        <v/>
      </c>
      <c r="J33">
        <f>IF(Debts!$J$10="Snowball",Snowball!AH38,Avalanche!AH38)</f>
        <v/>
      </c>
      <c r="K33">
        <f>IF(Debts!$J$10="Snowball",Snowball!AK38,Avalanche!AK38)</f>
        <v/>
      </c>
    </row>
    <row r="34">
      <c r="A34" t="n">
        <v>32</v>
      </c>
      <c r="B34">
        <f>IF(Debts!$J$10="Snowball",Snowball!J39,Avalanche!J39)</f>
        <v/>
      </c>
      <c r="C34">
        <f>IF(Debts!$J$10="Snowball",Snowball!M39,Avalanche!M39)</f>
        <v/>
      </c>
      <c r="D34">
        <f>IF(Debts!$J$10="Snowball",Snowball!P39,Avalanche!P39)</f>
        <v/>
      </c>
      <c r="E34">
        <f>IF(Debts!$J$10="Snowball",Snowball!S39,Avalanche!S39)</f>
        <v/>
      </c>
      <c r="F34">
        <f>IF(Debts!$J$10="Snowball",Snowball!V39,Avalanche!V39)</f>
        <v/>
      </c>
      <c r="G34">
        <f>IF(Debts!$J$10="Snowball",Snowball!Y39,Avalanche!Y39)</f>
        <v/>
      </c>
      <c r="H34">
        <f>IF(Debts!$J$10="Snowball",Snowball!AB39,Avalanche!AB39)</f>
        <v/>
      </c>
      <c r="I34">
        <f>IF(Debts!$J$10="Snowball",Snowball!AE39,Avalanche!AE39)</f>
        <v/>
      </c>
      <c r="J34">
        <f>IF(Debts!$J$10="Snowball",Snowball!AH39,Avalanche!AH39)</f>
        <v/>
      </c>
      <c r="K34">
        <f>IF(Debts!$J$10="Snowball",Snowball!AK39,Avalanche!AK39)</f>
        <v/>
      </c>
    </row>
    <row r="35">
      <c r="A35" t="n">
        <v>33</v>
      </c>
      <c r="B35">
        <f>IF(Debts!$J$10="Snowball",Snowball!J40,Avalanche!J40)</f>
        <v/>
      </c>
      <c r="C35">
        <f>IF(Debts!$J$10="Snowball",Snowball!M40,Avalanche!M40)</f>
        <v/>
      </c>
      <c r="D35">
        <f>IF(Debts!$J$10="Snowball",Snowball!P40,Avalanche!P40)</f>
        <v/>
      </c>
      <c r="E35">
        <f>IF(Debts!$J$10="Snowball",Snowball!S40,Avalanche!S40)</f>
        <v/>
      </c>
      <c r="F35">
        <f>IF(Debts!$J$10="Snowball",Snowball!V40,Avalanche!V40)</f>
        <v/>
      </c>
      <c r="G35">
        <f>IF(Debts!$J$10="Snowball",Snowball!Y40,Avalanche!Y40)</f>
        <v/>
      </c>
      <c r="H35">
        <f>IF(Debts!$J$10="Snowball",Snowball!AB40,Avalanche!AB40)</f>
        <v/>
      </c>
      <c r="I35">
        <f>IF(Debts!$J$10="Snowball",Snowball!AE40,Avalanche!AE40)</f>
        <v/>
      </c>
      <c r="J35">
        <f>IF(Debts!$J$10="Snowball",Snowball!AH40,Avalanche!AH40)</f>
        <v/>
      </c>
      <c r="K35">
        <f>IF(Debts!$J$10="Snowball",Snowball!AK40,Avalanche!AK40)</f>
        <v/>
      </c>
    </row>
    <row r="36">
      <c r="A36" t="n">
        <v>34</v>
      </c>
      <c r="B36">
        <f>IF(Debts!$J$10="Snowball",Snowball!J41,Avalanche!J41)</f>
        <v/>
      </c>
      <c r="C36">
        <f>IF(Debts!$J$10="Snowball",Snowball!M41,Avalanche!M41)</f>
        <v/>
      </c>
      <c r="D36">
        <f>IF(Debts!$J$10="Snowball",Snowball!P41,Avalanche!P41)</f>
        <v/>
      </c>
      <c r="E36">
        <f>IF(Debts!$J$10="Snowball",Snowball!S41,Avalanche!S41)</f>
        <v/>
      </c>
      <c r="F36">
        <f>IF(Debts!$J$10="Snowball",Snowball!V41,Avalanche!V41)</f>
        <v/>
      </c>
      <c r="G36">
        <f>IF(Debts!$J$10="Snowball",Snowball!Y41,Avalanche!Y41)</f>
        <v/>
      </c>
      <c r="H36">
        <f>IF(Debts!$J$10="Snowball",Snowball!AB41,Avalanche!AB41)</f>
        <v/>
      </c>
      <c r="I36">
        <f>IF(Debts!$J$10="Snowball",Snowball!AE41,Avalanche!AE41)</f>
        <v/>
      </c>
      <c r="J36">
        <f>IF(Debts!$J$10="Snowball",Snowball!AH41,Avalanche!AH41)</f>
        <v/>
      </c>
      <c r="K36">
        <f>IF(Debts!$J$10="Snowball",Snowball!AK41,Avalanche!AK41)</f>
        <v/>
      </c>
    </row>
    <row r="37">
      <c r="A37" t="n">
        <v>35</v>
      </c>
      <c r="B37">
        <f>IF(Debts!$J$10="Snowball",Snowball!J42,Avalanche!J42)</f>
        <v/>
      </c>
      <c r="C37">
        <f>IF(Debts!$J$10="Snowball",Snowball!M42,Avalanche!M42)</f>
        <v/>
      </c>
      <c r="D37">
        <f>IF(Debts!$J$10="Snowball",Snowball!P42,Avalanche!P42)</f>
        <v/>
      </c>
      <c r="E37">
        <f>IF(Debts!$J$10="Snowball",Snowball!S42,Avalanche!S42)</f>
        <v/>
      </c>
      <c r="F37">
        <f>IF(Debts!$J$10="Snowball",Snowball!V42,Avalanche!V42)</f>
        <v/>
      </c>
      <c r="G37">
        <f>IF(Debts!$J$10="Snowball",Snowball!Y42,Avalanche!Y42)</f>
        <v/>
      </c>
      <c r="H37">
        <f>IF(Debts!$J$10="Snowball",Snowball!AB42,Avalanche!AB42)</f>
        <v/>
      </c>
      <c r="I37">
        <f>IF(Debts!$J$10="Snowball",Snowball!AE42,Avalanche!AE42)</f>
        <v/>
      </c>
      <c r="J37">
        <f>IF(Debts!$J$10="Snowball",Snowball!AH42,Avalanche!AH42)</f>
        <v/>
      </c>
      <c r="K37">
        <f>IF(Debts!$J$10="Snowball",Snowball!AK42,Avalanche!AK42)</f>
        <v/>
      </c>
    </row>
    <row r="38">
      <c r="A38" t="n">
        <v>36</v>
      </c>
      <c r="B38">
        <f>IF(Debts!$J$10="Snowball",Snowball!J43,Avalanche!J43)</f>
        <v/>
      </c>
      <c r="C38">
        <f>IF(Debts!$J$10="Snowball",Snowball!M43,Avalanche!M43)</f>
        <v/>
      </c>
      <c r="D38">
        <f>IF(Debts!$J$10="Snowball",Snowball!P43,Avalanche!P43)</f>
        <v/>
      </c>
      <c r="E38">
        <f>IF(Debts!$J$10="Snowball",Snowball!S43,Avalanche!S43)</f>
        <v/>
      </c>
      <c r="F38">
        <f>IF(Debts!$J$10="Snowball",Snowball!V43,Avalanche!V43)</f>
        <v/>
      </c>
      <c r="G38">
        <f>IF(Debts!$J$10="Snowball",Snowball!Y43,Avalanche!Y43)</f>
        <v/>
      </c>
      <c r="H38">
        <f>IF(Debts!$J$10="Snowball",Snowball!AB43,Avalanche!AB43)</f>
        <v/>
      </c>
      <c r="I38">
        <f>IF(Debts!$J$10="Snowball",Snowball!AE43,Avalanche!AE43)</f>
        <v/>
      </c>
      <c r="J38">
        <f>IF(Debts!$J$10="Snowball",Snowball!AH43,Avalanche!AH43)</f>
        <v/>
      </c>
      <c r="K38">
        <f>IF(Debts!$J$10="Snowball",Snowball!AK43,Avalanche!AK43)</f>
        <v/>
      </c>
    </row>
    <row r="39">
      <c r="A39" t="n">
        <v>37</v>
      </c>
      <c r="B39">
        <f>IF(Debts!$J$10="Snowball",Snowball!J44,Avalanche!J44)</f>
        <v/>
      </c>
      <c r="C39">
        <f>IF(Debts!$J$10="Snowball",Snowball!M44,Avalanche!M44)</f>
        <v/>
      </c>
      <c r="D39">
        <f>IF(Debts!$J$10="Snowball",Snowball!P44,Avalanche!P44)</f>
        <v/>
      </c>
      <c r="E39">
        <f>IF(Debts!$J$10="Snowball",Snowball!S44,Avalanche!S44)</f>
        <v/>
      </c>
      <c r="F39">
        <f>IF(Debts!$J$10="Snowball",Snowball!V44,Avalanche!V44)</f>
        <v/>
      </c>
      <c r="G39">
        <f>IF(Debts!$J$10="Snowball",Snowball!Y44,Avalanche!Y44)</f>
        <v/>
      </c>
      <c r="H39">
        <f>IF(Debts!$J$10="Snowball",Snowball!AB44,Avalanche!AB44)</f>
        <v/>
      </c>
      <c r="I39">
        <f>IF(Debts!$J$10="Snowball",Snowball!AE44,Avalanche!AE44)</f>
        <v/>
      </c>
      <c r="J39">
        <f>IF(Debts!$J$10="Snowball",Snowball!AH44,Avalanche!AH44)</f>
        <v/>
      </c>
      <c r="K39">
        <f>IF(Debts!$J$10="Snowball",Snowball!AK44,Avalanche!AK44)</f>
        <v/>
      </c>
    </row>
    <row r="40">
      <c r="A40" t="n">
        <v>38</v>
      </c>
      <c r="B40">
        <f>IF(Debts!$J$10="Snowball",Snowball!J45,Avalanche!J45)</f>
        <v/>
      </c>
      <c r="C40">
        <f>IF(Debts!$J$10="Snowball",Snowball!M45,Avalanche!M45)</f>
        <v/>
      </c>
      <c r="D40">
        <f>IF(Debts!$J$10="Snowball",Snowball!P45,Avalanche!P45)</f>
        <v/>
      </c>
      <c r="E40">
        <f>IF(Debts!$J$10="Snowball",Snowball!S45,Avalanche!S45)</f>
        <v/>
      </c>
      <c r="F40">
        <f>IF(Debts!$J$10="Snowball",Snowball!V45,Avalanche!V45)</f>
        <v/>
      </c>
      <c r="G40">
        <f>IF(Debts!$J$10="Snowball",Snowball!Y45,Avalanche!Y45)</f>
        <v/>
      </c>
      <c r="H40">
        <f>IF(Debts!$J$10="Snowball",Snowball!AB45,Avalanche!AB45)</f>
        <v/>
      </c>
      <c r="I40">
        <f>IF(Debts!$J$10="Snowball",Snowball!AE45,Avalanche!AE45)</f>
        <v/>
      </c>
      <c r="J40">
        <f>IF(Debts!$J$10="Snowball",Snowball!AH45,Avalanche!AH45)</f>
        <v/>
      </c>
      <c r="K40">
        <f>IF(Debts!$J$10="Snowball",Snowball!AK45,Avalanche!AK45)</f>
        <v/>
      </c>
    </row>
    <row r="41">
      <c r="A41" t="n">
        <v>39</v>
      </c>
      <c r="B41">
        <f>IF(Debts!$J$10="Snowball",Snowball!J46,Avalanche!J46)</f>
        <v/>
      </c>
      <c r="C41">
        <f>IF(Debts!$J$10="Snowball",Snowball!M46,Avalanche!M46)</f>
        <v/>
      </c>
      <c r="D41">
        <f>IF(Debts!$J$10="Snowball",Snowball!P46,Avalanche!P46)</f>
        <v/>
      </c>
      <c r="E41">
        <f>IF(Debts!$J$10="Snowball",Snowball!S46,Avalanche!S46)</f>
        <v/>
      </c>
      <c r="F41">
        <f>IF(Debts!$J$10="Snowball",Snowball!V46,Avalanche!V46)</f>
        <v/>
      </c>
      <c r="G41">
        <f>IF(Debts!$J$10="Snowball",Snowball!Y46,Avalanche!Y46)</f>
        <v/>
      </c>
      <c r="H41">
        <f>IF(Debts!$J$10="Snowball",Snowball!AB46,Avalanche!AB46)</f>
        <v/>
      </c>
      <c r="I41">
        <f>IF(Debts!$J$10="Snowball",Snowball!AE46,Avalanche!AE46)</f>
        <v/>
      </c>
      <c r="J41">
        <f>IF(Debts!$J$10="Snowball",Snowball!AH46,Avalanche!AH46)</f>
        <v/>
      </c>
      <c r="K41">
        <f>IF(Debts!$J$10="Snowball",Snowball!AK46,Avalanche!AK46)</f>
        <v/>
      </c>
    </row>
    <row r="42">
      <c r="A42" t="n">
        <v>40</v>
      </c>
      <c r="B42">
        <f>IF(Debts!$J$10="Snowball",Snowball!J47,Avalanche!J47)</f>
        <v/>
      </c>
      <c r="C42">
        <f>IF(Debts!$J$10="Snowball",Snowball!M47,Avalanche!M47)</f>
        <v/>
      </c>
      <c r="D42">
        <f>IF(Debts!$J$10="Snowball",Snowball!P47,Avalanche!P47)</f>
        <v/>
      </c>
      <c r="E42">
        <f>IF(Debts!$J$10="Snowball",Snowball!S47,Avalanche!S47)</f>
        <v/>
      </c>
      <c r="F42">
        <f>IF(Debts!$J$10="Snowball",Snowball!V47,Avalanche!V47)</f>
        <v/>
      </c>
      <c r="G42">
        <f>IF(Debts!$J$10="Snowball",Snowball!Y47,Avalanche!Y47)</f>
        <v/>
      </c>
      <c r="H42">
        <f>IF(Debts!$J$10="Snowball",Snowball!AB47,Avalanche!AB47)</f>
        <v/>
      </c>
      <c r="I42">
        <f>IF(Debts!$J$10="Snowball",Snowball!AE47,Avalanche!AE47)</f>
        <v/>
      </c>
      <c r="J42">
        <f>IF(Debts!$J$10="Snowball",Snowball!AH47,Avalanche!AH47)</f>
        <v/>
      </c>
      <c r="K42">
        <f>IF(Debts!$J$10="Snowball",Snowball!AK47,Avalanche!AK47)</f>
        <v/>
      </c>
    </row>
    <row r="43">
      <c r="A43" t="n">
        <v>41</v>
      </c>
      <c r="B43">
        <f>IF(Debts!$J$10="Snowball",Snowball!J48,Avalanche!J48)</f>
        <v/>
      </c>
      <c r="C43">
        <f>IF(Debts!$J$10="Snowball",Snowball!M48,Avalanche!M48)</f>
        <v/>
      </c>
      <c r="D43">
        <f>IF(Debts!$J$10="Snowball",Snowball!P48,Avalanche!P48)</f>
        <v/>
      </c>
      <c r="E43">
        <f>IF(Debts!$J$10="Snowball",Snowball!S48,Avalanche!S48)</f>
        <v/>
      </c>
      <c r="F43">
        <f>IF(Debts!$J$10="Snowball",Snowball!V48,Avalanche!V48)</f>
        <v/>
      </c>
      <c r="G43">
        <f>IF(Debts!$J$10="Snowball",Snowball!Y48,Avalanche!Y48)</f>
        <v/>
      </c>
      <c r="H43">
        <f>IF(Debts!$J$10="Snowball",Snowball!AB48,Avalanche!AB48)</f>
        <v/>
      </c>
      <c r="I43">
        <f>IF(Debts!$J$10="Snowball",Snowball!AE48,Avalanche!AE48)</f>
        <v/>
      </c>
      <c r="J43">
        <f>IF(Debts!$J$10="Snowball",Snowball!AH48,Avalanche!AH48)</f>
        <v/>
      </c>
      <c r="K43">
        <f>IF(Debts!$J$10="Snowball",Snowball!AK48,Avalanche!AK48)</f>
        <v/>
      </c>
    </row>
    <row r="44">
      <c r="A44" t="n">
        <v>42</v>
      </c>
      <c r="B44">
        <f>IF(Debts!$J$10="Snowball",Snowball!J49,Avalanche!J49)</f>
        <v/>
      </c>
      <c r="C44">
        <f>IF(Debts!$J$10="Snowball",Snowball!M49,Avalanche!M49)</f>
        <v/>
      </c>
      <c r="D44">
        <f>IF(Debts!$J$10="Snowball",Snowball!P49,Avalanche!P49)</f>
        <v/>
      </c>
      <c r="E44">
        <f>IF(Debts!$J$10="Snowball",Snowball!S49,Avalanche!S49)</f>
        <v/>
      </c>
      <c r="F44">
        <f>IF(Debts!$J$10="Snowball",Snowball!V49,Avalanche!V49)</f>
        <v/>
      </c>
      <c r="G44">
        <f>IF(Debts!$J$10="Snowball",Snowball!Y49,Avalanche!Y49)</f>
        <v/>
      </c>
      <c r="H44">
        <f>IF(Debts!$J$10="Snowball",Snowball!AB49,Avalanche!AB49)</f>
        <v/>
      </c>
      <c r="I44">
        <f>IF(Debts!$J$10="Snowball",Snowball!AE49,Avalanche!AE49)</f>
        <v/>
      </c>
      <c r="J44">
        <f>IF(Debts!$J$10="Snowball",Snowball!AH49,Avalanche!AH49)</f>
        <v/>
      </c>
      <c r="K44">
        <f>IF(Debts!$J$10="Snowball",Snowball!AK49,Avalanche!AK49)</f>
        <v/>
      </c>
    </row>
    <row r="45">
      <c r="A45" t="n">
        <v>43</v>
      </c>
      <c r="B45">
        <f>IF(Debts!$J$10="Snowball",Snowball!J50,Avalanche!J50)</f>
        <v/>
      </c>
      <c r="C45">
        <f>IF(Debts!$J$10="Snowball",Snowball!M50,Avalanche!M50)</f>
        <v/>
      </c>
      <c r="D45">
        <f>IF(Debts!$J$10="Snowball",Snowball!P50,Avalanche!P50)</f>
        <v/>
      </c>
      <c r="E45">
        <f>IF(Debts!$J$10="Snowball",Snowball!S50,Avalanche!S50)</f>
        <v/>
      </c>
      <c r="F45">
        <f>IF(Debts!$J$10="Snowball",Snowball!V50,Avalanche!V50)</f>
        <v/>
      </c>
      <c r="G45">
        <f>IF(Debts!$J$10="Snowball",Snowball!Y50,Avalanche!Y50)</f>
        <v/>
      </c>
      <c r="H45">
        <f>IF(Debts!$J$10="Snowball",Snowball!AB50,Avalanche!AB50)</f>
        <v/>
      </c>
      <c r="I45">
        <f>IF(Debts!$J$10="Snowball",Snowball!AE50,Avalanche!AE50)</f>
        <v/>
      </c>
      <c r="J45">
        <f>IF(Debts!$J$10="Snowball",Snowball!AH50,Avalanche!AH50)</f>
        <v/>
      </c>
      <c r="K45">
        <f>IF(Debts!$J$10="Snowball",Snowball!AK50,Avalanche!AK50)</f>
        <v/>
      </c>
    </row>
    <row r="46">
      <c r="A46" t="n">
        <v>44</v>
      </c>
      <c r="B46">
        <f>IF(Debts!$J$10="Snowball",Snowball!J51,Avalanche!J51)</f>
        <v/>
      </c>
      <c r="C46">
        <f>IF(Debts!$J$10="Snowball",Snowball!M51,Avalanche!M51)</f>
        <v/>
      </c>
      <c r="D46">
        <f>IF(Debts!$J$10="Snowball",Snowball!P51,Avalanche!P51)</f>
        <v/>
      </c>
      <c r="E46">
        <f>IF(Debts!$J$10="Snowball",Snowball!S51,Avalanche!S51)</f>
        <v/>
      </c>
      <c r="F46">
        <f>IF(Debts!$J$10="Snowball",Snowball!V51,Avalanche!V51)</f>
        <v/>
      </c>
      <c r="G46">
        <f>IF(Debts!$J$10="Snowball",Snowball!Y51,Avalanche!Y51)</f>
        <v/>
      </c>
      <c r="H46">
        <f>IF(Debts!$J$10="Snowball",Snowball!AB51,Avalanche!AB51)</f>
        <v/>
      </c>
      <c r="I46">
        <f>IF(Debts!$J$10="Snowball",Snowball!AE51,Avalanche!AE51)</f>
        <v/>
      </c>
      <c r="J46">
        <f>IF(Debts!$J$10="Snowball",Snowball!AH51,Avalanche!AH51)</f>
        <v/>
      </c>
      <c r="K46">
        <f>IF(Debts!$J$10="Snowball",Snowball!AK51,Avalanche!AK51)</f>
        <v/>
      </c>
    </row>
    <row r="47">
      <c r="A47" t="n">
        <v>45</v>
      </c>
      <c r="B47">
        <f>IF(Debts!$J$10="Snowball",Snowball!J52,Avalanche!J52)</f>
        <v/>
      </c>
      <c r="C47">
        <f>IF(Debts!$J$10="Snowball",Snowball!M52,Avalanche!M52)</f>
        <v/>
      </c>
      <c r="D47">
        <f>IF(Debts!$J$10="Snowball",Snowball!P52,Avalanche!P52)</f>
        <v/>
      </c>
      <c r="E47">
        <f>IF(Debts!$J$10="Snowball",Snowball!S52,Avalanche!S52)</f>
        <v/>
      </c>
      <c r="F47">
        <f>IF(Debts!$J$10="Snowball",Snowball!V52,Avalanche!V52)</f>
        <v/>
      </c>
      <c r="G47">
        <f>IF(Debts!$J$10="Snowball",Snowball!Y52,Avalanche!Y52)</f>
        <v/>
      </c>
      <c r="H47">
        <f>IF(Debts!$J$10="Snowball",Snowball!AB52,Avalanche!AB52)</f>
        <v/>
      </c>
      <c r="I47">
        <f>IF(Debts!$J$10="Snowball",Snowball!AE52,Avalanche!AE52)</f>
        <v/>
      </c>
      <c r="J47">
        <f>IF(Debts!$J$10="Snowball",Snowball!AH52,Avalanche!AH52)</f>
        <v/>
      </c>
      <c r="K47">
        <f>IF(Debts!$J$10="Snowball",Snowball!AK52,Avalanche!AK52)</f>
        <v/>
      </c>
    </row>
    <row r="48">
      <c r="A48" t="n">
        <v>46</v>
      </c>
      <c r="B48">
        <f>IF(Debts!$J$10="Snowball",Snowball!J53,Avalanche!J53)</f>
        <v/>
      </c>
      <c r="C48">
        <f>IF(Debts!$J$10="Snowball",Snowball!M53,Avalanche!M53)</f>
        <v/>
      </c>
      <c r="D48">
        <f>IF(Debts!$J$10="Snowball",Snowball!P53,Avalanche!P53)</f>
        <v/>
      </c>
      <c r="E48">
        <f>IF(Debts!$J$10="Snowball",Snowball!S53,Avalanche!S53)</f>
        <v/>
      </c>
      <c r="F48">
        <f>IF(Debts!$J$10="Snowball",Snowball!V53,Avalanche!V53)</f>
        <v/>
      </c>
      <c r="G48">
        <f>IF(Debts!$J$10="Snowball",Snowball!Y53,Avalanche!Y53)</f>
        <v/>
      </c>
      <c r="H48">
        <f>IF(Debts!$J$10="Snowball",Snowball!AB53,Avalanche!AB53)</f>
        <v/>
      </c>
      <c r="I48">
        <f>IF(Debts!$J$10="Snowball",Snowball!AE53,Avalanche!AE53)</f>
        <v/>
      </c>
      <c r="J48">
        <f>IF(Debts!$J$10="Snowball",Snowball!AH53,Avalanche!AH53)</f>
        <v/>
      </c>
      <c r="K48">
        <f>IF(Debts!$J$10="Snowball",Snowball!AK53,Avalanche!AK53)</f>
        <v/>
      </c>
    </row>
    <row r="49">
      <c r="A49" t="n">
        <v>47</v>
      </c>
      <c r="B49">
        <f>IF(Debts!$J$10="Snowball",Snowball!J54,Avalanche!J54)</f>
        <v/>
      </c>
      <c r="C49">
        <f>IF(Debts!$J$10="Snowball",Snowball!M54,Avalanche!M54)</f>
        <v/>
      </c>
      <c r="D49">
        <f>IF(Debts!$J$10="Snowball",Snowball!P54,Avalanche!P54)</f>
        <v/>
      </c>
      <c r="E49">
        <f>IF(Debts!$J$10="Snowball",Snowball!S54,Avalanche!S54)</f>
        <v/>
      </c>
      <c r="F49">
        <f>IF(Debts!$J$10="Snowball",Snowball!V54,Avalanche!V54)</f>
        <v/>
      </c>
      <c r="G49">
        <f>IF(Debts!$J$10="Snowball",Snowball!Y54,Avalanche!Y54)</f>
        <v/>
      </c>
      <c r="H49">
        <f>IF(Debts!$J$10="Snowball",Snowball!AB54,Avalanche!AB54)</f>
        <v/>
      </c>
      <c r="I49">
        <f>IF(Debts!$J$10="Snowball",Snowball!AE54,Avalanche!AE54)</f>
        <v/>
      </c>
      <c r="J49">
        <f>IF(Debts!$J$10="Snowball",Snowball!AH54,Avalanche!AH54)</f>
        <v/>
      </c>
      <c r="K49">
        <f>IF(Debts!$J$10="Snowball",Snowball!AK54,Avalanche!AK54)</f>
        <v/>
      </c>
    </row>
    <row r="50">
      <c r="A50" t="n">
        <v>48</v>
      </c>
      <c r="B50">
        <f>IF(Debts!$J$10="Snowball",Snowball!J55,Avalanche!J55)</f>
        <v/>
      </c>
      <c r="C50">
        <f>IF(Debts!$J$10="Snowball",Snowball!M55,Avalanche!M55)</f>
        <v/>
      </c>
      <c r="D50">
        <f>IF(Debts!$J$10="Snowball",Snowball!P55,Avalanche!P55)</f>
        <v/>
      </c>
      <c r="E50">
        <f>IF(Debts!$J$10="Snowball",Snowball!S55,Avalanche!S55)</f>
        <v/>
      </c>
      <c r="F50">
        <f>IF(Debts!$J$10="Snowball",Snowball!V55,Avalanche!V55)</f>
        <v/>
      </c>
      <c r="G50">
        <f>IF(Debts!$J$10="Snowball",Snowball!Y55,Avalanche!Y55)</f>
        <v/>
      </c>
      <c r="H50">
        <f>IF(Debts!$J$10="Snowball",Snowball!AB55,Avalanche!AB55)</f>
        <v/>
      </c>
      <c r="I50">
        <f>IF(Debts!$J$10="Snowball",Snowball!AE55,Avalanche!AE55)</f>
        <v/>
      </c>
      <c r="J50">
        <f>IF(Debts!$J$10="Snowball",Snowball!AH55,Avalanche!AH55)</f>
        <v/>
      </c>
      <c r="K50">
        <f>IF(Debts!$J$10="Snowball",Snowball!AK55,Avalanche!AK55)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here: 3 minutes</t>
        </is>
      </c>
      <c r="C2" s="1" t="n"/>
      <c r="D2" s="1" t="n"/>
    </row>
    <row r="3">
      <c r="A3" s="1" t="n"/>
      <c r="B3" s="3" t="inlineStr">
        <is>
          <t>Only type in YELLOW cells.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5" t="inlineStr">
        <is>
          <t>1</t>
        </is>
      </c>
      <c r="C5" s="36" t="inlineStr">
        <is>
          <t>Debts tab: one line per debt: balance, yearly interest %, minimum payment.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5" t="inlineStr">
        <is>
          <t>2</t>
        </is>
      </c>
      <c r="C7" s="36" t="inlineStr">
        <is>
          <t>Debts tab: how much EXTRA you can pay every month (even 20 helps), and the first payment month.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5" t="inlineStr">
        <is>
          <t>3</t>
        </is>
      </c>
      <c r="C9" s="36" t="inlineStr">
        <is>
          <t>Pick a method: Avalanche (least interest) or Snowball (quick wins). The Dashboard compares both.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5" t="inlineStr">
        <is>
          <t>★</t>
        </is>
      </c>
      <c r="C11" s="36" t="inlineStr">
        <is>
          <t>Dashboard: your debt-free date, and ONE thing to do this month: which debt gets the extra money.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5" t="inlineStr">
        <is>
          <t>↻</t>
        </is>
      </c>
      <c r="C13" s="36" t="inlineStr">
        <is>
          <t>Every month: update the balances from your statements. The plan re-calculates.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3" t="inlineStr">
        <is>
          <t>Snowball and Avalanche tabs show the month-by-month plan. Green cell = the month a debt is gone.</t>
        </is>
      </c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3" t="inlineStr">
        <is>
          <t>A planning tool, not financial advice. Works in Google Sheets and Microsoft Excel.</t>
        </is>
      </c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2026-09-28T04:02:07Z</dcterms:created>
  <dcterms:modified xsi:type="dcterms:W3CDTF">2026-09-28T04:02:08Z</dcterms:modified>
</cp:coreProperties>
</file>