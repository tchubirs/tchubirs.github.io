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tings" sheetId="2" state="visible" r:id="rId2"/>
    <sheet name="Income" sheetId="3" state="visible" r:id="rId3"/>
    <sheet name="Expenses" sheetId="4" state="visible" r:id="rId4"/>
    <sheet name="Tax Savings" sheetId="5" state="visible" r:id="rId5"/>
    <sheet name="Start He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5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5525A"/>
      <sz val="12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FFFFFF"/>
      <sz val="11"/>
    </font>
    <font>
      <name val="Arial"/>
      <b val="1"/>
      <color rgb="006B7B80"/>
      <sz val="10"/>
    </font>
    <font>
      <name val="Arial"/>
      <b val="1"/>
      <color rgb="001F6F78"/>
      <sz val="17"/>
    </font>
    <font>
      <name val="Arial"/>
      <b val="1"/>
      <color rgb="00B4541F"/>
      <sz val="17"/>
    </font>
    <font>
      <name val="Arial"/>
      <b val="1"/>
      <color rgb="00FFFFFF"/>
      <sz val="24"/>
    </font>
    <font>
      <name val="Arial"/>
      <color rgb="001F6F78"/>
      <sz val="11"/>
    </font>
    <font>
      <name val="Arial"/>
      <b val="1"/>
      <color rgb="001F6F78"/>
      <sz val="18"/>
    </font>
    <font>
      <name val="Arial"/>
      <color rgb="001E2A2F"/>
      <sz val="13"/>
    </font>
  </fonts>
  <fills count="10">
    <fill>
      <patternFill/>
    </fill>
    <fill>
      <patternFill patternType="gray125"/>
    </fill>
    <fill>
      <patternFill patternType="solid">
        <fgColor rgb="00F6F4EF"/>
        <bgColor rgb="00F6F4E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  <fill>
      <patternFill patternType="solid">
        <fgColor rgb="00FFFFFF"/>
        <bgColor rgb="00FFFFFF"/>
      </patternFill>
    </fill>
    <fill>
      <patternFill patternType="solid">
        <fgColor rgb="0015525A"/>
        <bgColor rgb="0015525A"/>
      </patternFill>
    </fill>
    <fill>
      <patternFill patternType="solid">
        <fgColor rgb="00F9C9C4"/>
        <bgColor rgb="00F9C9C4"/>
      </patternFill>
    </fill>
    <fill>
      <patternFill patternType="solid">
        <fgColor rgb="00FFE2B8"/>
        <bgColor rgb="00FFE2B8"/>
      </patternFill>
    </fill>
    <fill>
      <patternFill patternType="solid">
        <fgColor rgb="00E3E8FF"/>
        <bgColor rgb="00E3E8FF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8" fillId="5" borderId="1" pivotButton="0" quotePrefix="0" xfId="0"/>
    <xf numFmtId="0" fontId="7" fillId="6" borderId="0" applyAlignment="1" pivotButton="0" quotePrefix="0" xfId="0">
      <alignment horizontal="center" vertical="center"/>
    </xf>
    <xf numFmtId="4" fontId="9" fillId="5" borderId="1" pivotButton="0" quotePrefix="0" xfId="0"/>
    <xf numFmtId="4" fontId="10" fillId="5" borderId="1" pivotButton="0" quotePrefix="0" xfId="0"/>
    <xf numFmtId="4" fontId="11" fillId="6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0" pivotButton="0" quotePrefix="0" xfId="0"/>
    <xf numFmtId="0" fontId="4" fillId="5" borderId="1" applyAlignment="1" pivotButton="0" quotePrefix="0" xfId="0">
      <alignment horizontal="center" vertical="center"/>
    </xf>
    <xf numFmtId="4" fontId="6" fillId="5" borderId="1" pivotButton="0" quotePrefix="0" xfId="0"/>
    <xf numFmtId="4" fontId="4" fillId="5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4" fillId="5" borderId="1" pivotButton="0" quotePrefix="0" xfId="0"/>
    <xf numFmtId="0" fontId="12" fillId="5" borderId="1" pivotButton="0" quotePrefix="0" xfId="0"/>
    <xf numFmtId="0" fontId="3" fillId="2" borderId="0" pivotButton="0" quotePrefix="0" xfId="0"/>
    <xf numFmtId="1" fontId="4" fillId="3" borderId="1" pivotButton="0" quotePrefix="0" xfId="0"/>
    <xf numFmtId="0" fontId="5" fillId="2" borderId="0" pivotButton="0" quotePrefix="0" xfId="0"/>
    <xf numFmtId="0" fontId="6" fillId="3" borderId="1" pivotButton="0" quotePrefix="0" xfId="0"/>
    <xf numFmtId="165" fontId="6" fillId="3" borderId="1" pivotButton="0" quotePrefix="0" xfId="0"/>
    <xf numFmtId="0" fontId="6" fillId="3" borderId="1" applyAlignment="1" pivotButton="0" quotePrefix="0" xfId="0">
      <alignment horizontal="center" vertical="center"/>
    </xf>
    <xf numFmtId="4" fontId="6" fillId="3" borderId="1" pivotButton="0" quotePrefix="0" xfId="0"/>
    <xf numFmtId="0" fontId="6" fillId="5" borderId="1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8F0DC"/>
          <bgColor rgb="00D8F0DC"/>
        </patternFill>
      </fill>
    </dxf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quarter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'Dashboard'!E9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'Dashboard'!$B$10:$B$13</f>
            </numRef>
          </cat>
          <val>
            <numRef>
              <f>'Dashboard'!$E$10:$E$13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15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4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Your freelance year at a glance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Only the Settings year counts. Paid income only.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>
      <c r="A6" s="1" t="n"/>
      <c r="B6" s="4" t="inlineStr">
        <is>
          <t>Paid income</t>
        </is>
      </c>
      <c r="C6" s="4" t="inlineStr">
        <is>
          <t>Expenses</t>
        </is>
      </c>
      <c r="D6" s="4" t="inlineStr">
        <is>
          <t>Profit</t>
        </is>
      </c>
      <c r="E6" s="4" t="inlineStr">
        <is>
          <t>To put aside for tax</t>
        </is>
      </c>
      <c r="F6" s="4" t="inlineStr">
        <is>
          <t>Already put aside</t>
        </is>
      </c>
      <c r="G6" s="1" t="n"/>
      <c r="H6" s="5" t="inlineStr">
        <is>
          <t>Still to put aside</t>
        </is>
      </c>
      <c r="I6" s="1" t="n"/>
    </row>
    <row r="7" ht="40" customHeight="1">
      <c r="A7" s="1" t="n"/>
      <c r="B7" s="6">
        <f>SUMIFS(Income!$E$6:$E$305,Income!$F$6:$F$305,"&gt;="&amp;DATE(Settings!$C$6,1,1),Income!$F$6:$F$305,"&lt;="&amp;DATE(Settings!$C$6,12,31))</f>
        <v/>
      </c>
      <c r="C7" s="7">
        <f>SUMIFS(Expenses!$E$6:$E$505,Expenses!$B$6:$B$505,"&gt;="&amp;DATE(Settings!$C$6,1,1),Expenses!$B$6:$B$505,"&lt;="&amp;DATE(Settings!$C$6,12,31))</f>
        <v/>
      </c>
      <c r="D7" s="6">
        <f>B7-C7</f>
        <v/>
      </c>
      <c r="E7" s="7">
        <f>MAX(0,D7)*Settings!$C$8/100</f>
        <v/>
      </c>
      <c r="F7" s="6">
        <f>SUMIFS('Tax Savings'!$C$6:$C$105,'Tax Savings'!$B$6:$B$105,"&gt;="&amp;DATE(Settings!$C$6,1,1),'Tax Savings'!$B$6:$B$105,"&lt;="&amp;DATE(Settings!$C$6,12,31))</f>
        <v/>
      </c>
      <c r="G7" s="1" t="n"/>
      <c r="H7" s="8">
        <f>MAX(0,E7-F7)</f>
        <v/>
      </c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  <row r="9" ht="30" customHeight="1">
      <c r="A9" s="1" t="n"/>
      <c r="B9" s="9" t="inlineStr">
        <is>
          <t>Quarter</t>
        </is>
      </c>
      <c r="C9" s="9" t="inlineStr">
        <is>
          <t>Paid income</t>
        </is>
      </c>
      <c r="D9" s="9" t="inlineStr">
        <is>
          <t>Expenses</t>
        </is>
      </c>
      <c r="E9" s="9" t="inlineStr">
        <is>
          <t>Profit</t>
        </is>
      </c>
      <c r="F9" s="9" t="inlineStr">
        <is>
          <t>Tax share</t>
        </is>
      </c>
      <c r="G9" s="1" t="n"/>
      <c r="H9" s="10" t="inlineStr">
        <is>
          <t>Heads-up</t>
        </is>
      </c>
      <c r="I9" s="1" t="n"/>
    </row>
    <row r="10">
      <c r="A10" s="1" t="n"/>
      <c r="B10" s="11" t="inlineStr">
        <is>
          <t>Q1</t>
        </is>
      </c>
      <c r="C10" s="12">
        <f>SUMIFS(Income!$E$6:$E$305,Income!$F$6:$F$305,"&gt;="&amp;DATE(Settings!$C$6,1,1),Income!$F$6:$F$305,"&lt;="&amp;EOMONTH(DATE(Settings!$C$6,3,1),0))</f>
        <v/>
      </c>
      <c r="D10" s="12">
        <f>SUMIFS(Expenses!$E$6:$E$505,Expenses!$B$6:$B$505,"&gt;="&amp;DATE(Settings!$C$6,1,1),Expenses!$B$6:$B$505,"&lt;="&amp;EOMONTH(DATE(Settings!$C$6,3,1),0))</f>
        <v/>
      </c>
      <c r="E10" s="13">
        <f>C10-D10</f>
        <v/>
      </c>
      <c r="F10" s="12">
        <f>MAX(0,E10)*Settings!$C$8/100</f>
        <v/>
      </c>
      <c r="G10" s="1" t="n"/>
      <c r="H10" s="14">
        <f>COUNTIFS(Income!$G$6:$G$305,"⚠*")&amp;" overdue invoice(s): "&amp;FIXED(SUMIFS(Income!$E$6:$E$305,Income!$G$6:$G$305,"⚠*"),2)</f>
        <v/>
      </c>
      <c r="I10" s="1" t="n"/>
    </row>
    <row r="11">
      <c r="A11" s="1" t="n"/>
      <c r="B11" s="11" t="inlineStr">
        <is>
          <t>Q2</t>
        </is>
      </c>
      <c r="C11" s="12">
        <f>SUMIFS(Income!$E$6:$E$305,Income!$F$6:$F$305,"&gt;="&amp;DATE(Settings!$C$6,4,1),Income!$F$6:$F$305,"&lt;="&amp;EOMONTH(DATE(Settings!$C$6,6,1),0))</f>
        <v/>
      </c>
      <c r="D11" s="12">
        <f>SUMIFS(Expenses!$E$6:$E$505,Expenses!$B$6:$B$505,"&gt;="&amp;DATE(Settings!$C$6,4,1),Expenses!$B$6:$B$505,"&lt;="&amp;EOMONTH(DATE(Settings!$C$6,6,1),0))</f>
        <v/>
      </c>
      <c r="E11" s="13">
        <f>C11-D11</f>
        <v/>
      </c>
      <c r="F11" s="12">
        <f>MAX(0,E11)*Settings!$C$8/100</f>
        <v/>
      </c>
      <c r="G11" s="1" t="n"/>
      <c r="H11" s="15">
        <f>COUNTIFS(Income!$G$6:$G$305,"Waiting*")&amp;" invoice(s) waiting: "&amp;FIXED(SUMIFS(Income!$E$6:$E$305,Income!$G$6:$G$305,"Waiting*"),2)</f>
        <v/>
      </c>
      <c r="I11" s="1" t="n"/>
    </row>
    <row r="12">
      <c r="A12" s="1" t="n"/>
      <c r="B12" s="11" t="inlineStr">
        <is>
          <t>Q3</t>
        </is>
      </c>
      <c r="C12" s="12">
        <f>SUMIFS(Income!$E$6:$E$305,Income!$F$6:$F$305,"&gt;="&amp;DATE(Settings!$C$6,7,1),Income!$F$6:$F$305,"&lt;="&amp;EOMONTH(DATE(Settings!$C$6,9,1),0))</f>
        <v/>
      </c>
      <c r="D12" s="12">
        <f>SUMIFS(Expenses!$E$6:$E$505,Expenses!$B$6:$B$505,"&gt;="&amp;DATE(Settings!$C$6,7,1),Expenses!$B$6:$B$505,"&lt;="&amp;EOMONTH(DATE(Settings!$C$6,9,1),0))</f>
        <v/>
      </c>
      <c r="E12" s="13">
        <f>C12-D12</f>
        <v/>
      </c>
      <c r="F12" s="12">
        <f>MAX(0,E12)*Settings!$C$8/100</f>
        <v/>
      </c>
      <c r="G12" s="1" t="n"/>
      <c r="H12" s="15">
        <f>COUNTIFS(Expenses!$B$6:$B$505,"&lt;&gt;",Expenses!$F$6:$F$505,"&lt;&gt;TRUE")&amp;" expense(s) without a receipt"</f>
        <v/>
      </c>
      <c r="I12" s="1" t="n"/>
    </row>
    <row r="13">
      <c r="A13" s="1" t="n"/>
      <c r="B13" s="11" t="inlineStr">
        <is>
          <t>Q4</t>
        </is>
      </c>
      <c r="C13" s="12">
        <f>SUMIFS(Income!$E$6:$E$305,Income!$F$6:$F$305,"&gt;="&amp;DATE(Settings!$C$6,10,1),Income!$F$6:$F$305,"&lt;="&amp;EOMONTH(DATE(Settings!$C$6,12,1),0))</f>
        <v/>
      </c>
      <c r="D13" s="12">
        <f>SUMIFS(Expenses!$E$6:$E$505,Expenses!$B$6:$B$505,"&gt;="&amp;DATE(Settings!$C$6,10,1),Expenses!$B$6:$B$505,"&lt;="&amp;EOMONTH(DATE(Settings!$C$6,12,1),0))</f>
        <v/>
      </c>
      <c r="E13" s="13">
        <f>C13-D13</f>
        <v/>
      </c>
      <c r="F13" s="12">
        <f>MAX(0,E13)*Settings!$C$8/100</f>
        <v/>
      </c>
      <c r="G13" s="1" t="n"/>
      <c r="H13" s="16">
        <f>"Tax set-aside progress: "&amp;IF(E7=0,"—",FIXED(MIN(1,F7/E7)*100,0)&amp;"%")</f>
        <v/>
      </c>
      <c r="I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 ht="30" customHeight="1">
      <c r="A16" s="1" t="n"/>
      <c r="B16" s="9" t="inlineStr">
        <is>
          <t>Expense category</t>
        </is>
      </c>
      <c r="C16" s="9" t="inlineStr">
        <is>
          <t>This year</t>
        </is>
      </c>
      <c r="D16" s="9" t="inlineStr">
        <is>
          <t>Share</t>
        </is>
      </c>
      <c r="E16" s="1" t="n"/>
      <c r="F16" s="1" t="n"/>
      <c r="G16" s="1" t="n"/>
      <c r="H16" s="1" t="n"/>
      <c r="I16" s="1" t="n"/>
    </row>
    <row r="17">
      <c r="A17" s="1" t="n"/>
      <c r="B17" s="17">
        <f>Settings!B14</f>
        <v/>
      </c>
      <c r="C17" s="12">
        <f>SUMIFS(Expenses!$E$6:$E$505,Expenses!$D$6:$D$505,B17,Expenses!$B$6:$B$505,"&gt;="&amp;DATE(Settings!$C$6,1,1),Expenses!$B$6:$B$505,"&lt;="&amp;DATE(Settings!$C$6,12,31))</f>
        <v/>
      </c>
      <c r="D17" s="18">
        <f>REPT("█",ROUND(IF($C$7=0,0,C17/$C$7)*15,0))&amp;"  "&amp;TEXT(IF($C$7=0,0,C17/$C$7),"0%")</f>
        <v/>
      </c>
      <c r="E17" s="1" t="n"/>
      <c r="F17" s="1" t="n"/>
      <c r="G17" s="1" t="n"/>
      <c r="H17" s="1" t="n"/>
      <c r="I17" s="1" t="n"/>
    </row>
    <row r="18">
      <c r="A18" s="1" t="n"/>
      <c r="B18" s="17">
        <f>Settings!B15</f>
        <v/>
      </c>
      <c r="C18" s="12">
        <f>SUMIFS(Expenses!$E$6:$E$505,Expenses!$D$6:$D$505,B18,Expenses!$B$6:$B$505,"&gt;="&amp;DATE(Settings!$C$6,1,1),Expenses!$B$6:$B$505,"&lt;="&amp;DATE(Settings!$C$6,12,31))</f>
        <v/>
      </c>
      <c r="D18" s="18">
        <f>REPT("█",ROUND(IF($C$7=0,0,C18/$C$7)*15,0))&amp;"  "&amp;TEXT(IF($C$7=0,0,C18/$C$7),"0%")</f>
        <v/>
      </c>
      <c r="E18" s="1" t="n"/>
      <c r="F18" s="1" t="n"/>
      <c r="G18" s="1" t="n"/>
      <c r="H18" s="1" t="n"/>
      <c r="I18" s="1" t="n"/>
    </row>
    <row r="19">
      <c r="A19" s="1" t="n"/>
      <c r="B19" s="17">
        <f>Settings!B16</f>
        <v/>
      </c>
      <c r="C19" s="12">
        <f>SUMIFS(Expenses!$E$6:$E$505,Expenses!$D$6:$D$505,B19,Expenses!$B$6:$B$505,"&gt;="&amp;DATE(Settings!$C$6,1,1),Expenses!$B$6:$B$505,"&lt;="&amp;DATE(Settings!$C$6,12,31))</f>
        <v/>
      </c>
      <c r="D19" s="18">
        <f>REPT("█",ROUND(IF($C$7=0,0,C19/$C$7)*15,0))&amp;"  "&amp;TEXT(IF($C$7=0,0,C19/$C$7),"0%")</f>
        <v/>
      </c>
      <c r="E19" s="1" t="n"/>
      <c r="F19" s="1" t="n"/>
      <c r="G19" s="1" t="n"/>
      <c r="H19" s="1" t="n"/>
      <c r="I19" s="1" t="n"/>
    </row>
    <row r="20">
      <c r="A20" s="1" t="n"/>
      <c r="B20" s="17">
        <f>Settings!B17</f>
        <v/>
      </c>
      <c r="C20" s="12">
        <f>SUMIFS(Expenses!$E$6:$E$505,Expenses!$D$6:$D$505,B20,Expenses!$B$6:$B$505,"&gt;="&amp;DATE(Settings!$C$6,1,1),Expenses!$B$6:$B$505,"&lt;="&amp;DATE(Settings!$C$6,12,31))</f>
        <v/>
      </c>
      <c r="D20" s="18">
        <f>REPT("█",ROUND(IF($C$7=0,0,C20/$C$7)*15,0))&amp;"  "&amp;TEXT(IF($C$7=0,0,C20/$C$7),"0%")</f>
        <v/>
      </c>
      <c r="E20" s="1" t="n"/>
      <c r="F20" s="1" t="n"/>
      <c r="G20" s="1" t="n"/>
      <c r="H20" s="1" t="n"/>
      <c r="I20" s="1" t="n"/>
    </row>
    <row r="21">
      <c r="A21" s="1" t="n"/>
      <c r="B21" s="17">
        <f>Settings!B18</f>
        <v/>
      </c>
      <c r="C21" s="12">
        <f>SUMIFS(Expenses!$E$6:$E$505,Expenses!$D$6:$D$505,B21,Expenses!$B$6:$B$505,"&gt;="&amp;DATE(Settings!$C$6,1,1),Expenses!$B$6:$B$505,"&lt;="&amp;DATE(Settings!$C$6,12,31))</f>
        <v/>
      </c>
      <c r="D21" s="18">
        <f>REPT("█",ROUND(IF($C$7=0,0,C21/$C$7)*15,0))&amp;"  "&amp;TEXT(IF($C$7=0,0,C21/$C$7),"0%")</f>
        <v/>
      </c>
      <c r="E21" s="1" t="n"/>
      <c r="F21" s="1" t="n"/>
      <c r="G21" s="1" t="n"/>
      <c r="H21" s="1" t="n"/>
      <c r="I21" s="1" t="n"/>
    </row>
    <row r="22">
      <c r="A22" s="1" t="n"/>
      <c r="B22" s="17">
        <f>Settings!B19</f>
        <v/>
      </c>
      <c r="C22" s="12">
        <f>SUMIFS(Expenses!$E$6:$E$505,Expenses!$D$6:$D$505,B22,Expenses!$B$6:$B$505,"&gt;="&amp;DATE(Settings!$C$6,1,1),Expenses!$B$6:$B$505,"&lt;="&amp;DATE(Settings!$C$6,12,31))</f>
        <v/>
      </c>
      <c r="D22" s="18">
        <f>REPT("█",ROUND(IF($C$7=0,0,C22/$C$7)*15,0))&amp;"  "&amp;TEXT(IF($C$7=0,0,C22/$C$7),"0%")</f>
        <v/>
      </c>
      <c r="E22" s="1" t="n"/>
      <c r="F22" s="1" t="n"/>
      <c r="G22" s="1" t="n"/>
      <c r="H22" s="1" t="n"/>
      <c r="I22" s="1" t="n"/>
    </row>
    <row r="23">
      <c r="A23" s="1" t="n"/>
      <c r="B23" s="17">
        <f>Settings!B20</f>
        <v/>
      </c>
      <c r="C23" s="12">
        <f>SUMIFS(Expenses!$E$6:$E$505,Expenses!$D$6:$D$505,B23,Expenses!$B$6:$B$505,"&gt;="&amp;DATE(Settings!$C$6,1,1),Expenses!$B$6:$B$505,"&lt;="&amp;DATE(Settings!$C$6,12,31))</f>
        <v/>
      </c>
      <c r="D23" s="18">
        <f>REPT("█",ROUND(IF($C$7=0,0,C23/$C$7)*15,0))&amp;"  "&amp;TEXT(IF($C$7=0,0,C23/$C$7),"0%")</f>
        <v/>
      </c>
      <c r="E23" s="1" t="n"/>
      <c r="F23" s="1" t="n"/>
      <c r="G23" s="1" t="n"/>
      <c r="H23" s="1" t="n"/>
      <c r="I23" s="1" t="n"/>
    </row>
    <row r="24">
      <c r="A24" s="1" t="n"/>
      <c r="B24" s="17">
        <f>Settings!B21</f>
        <v/>
      </c>
      <c r="C24" s="12">
        <f>SUMIFS(Expenses!$E$6:$E$505,Expenses!$D$6:$D$505,B24,Expenses!$B$6:$B$505,"&gt;="&amp;DATE(Settings!$C$6,1,1),Expenses!$B$6:$B$505,"&lt;="&amp;DATE(Settings!$C$6,12,31))</f>
        <v/>
      </c>
      <c r="D24" s="18">
        <f>REPT("█",ROUND(IF($C$7=0,0,C24/$C$7)*15,0))&amp;"  "&amp;TEXT(IF($C$7=0,0,C24/$C$7),"0%")</f>
        <v/>
      </c>
      <c r="E24" s="1" t="n"/>
      <c r="F24" s="1" t="n"/>
      <c r="G24" s="1" t="n"/>
      <c r="H24" s="1" t="n"/>
      <c r="I24" s="1" t="n"/>
    </row>
    <row r="25">
      <c r="A25" s="1" t="n"/>
      <c r="B25" s="17">
        <f>Settings!B22</f>
        <v/>
      </c>
      <c r="C25" s="12">
        <f>SUMIFS(Expenses!$E$6:$E$505,Expenses!$D$6:$D$505,B25,Expenses!$B$6:$B$505,"&gt;="&amp;DATE(Settings!$C$6,1,1),Expenses!$B$6:$B$505,"&lt;="&amp;DATE(Settings!$C$6,12,31))</f>
        <v/>
      </c>
      <c r="D25" s="18">
        <f>REPT("█",ROUND(IF($C$7=0,0,C25/$C$7)*15,0))&amp;"  "&amp;TEXT(IF($C$7=0,0,C25/$C$7),"0%")</f>
        <v/>
      </c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6" customWidth="1" min="3" max="3"/>
    <col width="4" customWidth="1" min="4" max="4"/>
    <col width="6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Set these once a year.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9" t="inlineStr">
        <is>
          <t>Year</t>
        </is>
      </c>
      <c r="C6" s="20" t="n">
        <v>2026</v>
      </c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>
      <c r="A8" s="1" t="n"/>
      <c r="B8" s="19" t="inlineStr">
        <is>
          <t>Share of profit to put aside for tax (%)</t>
        </is>
      </c>
      <c r="C8" s="20" t="n">
        <v>25</v>
      </c>
      <c r="D8" s="1" t="n"/>
      <c r="E8" s="21" t="inlineStr">
        <is>
          <t>Ask your accountant or tax office for your rate; 25-30% is a common cautious choice.</t>
        </is>
      </c>
      <c r="F8" s="1" t="n"/>
    </row>
    <row r="9">
      <c r="A9" s="1" t="n"/>
      <c r="B9" s="1" t="n"/>
      <c r="C9" s="1" t="n"/>
      <c r="D9" s="1" t="n"/>
      <c r="E9" s="1" t="n"/>
      <c r="F9" s="1" t="n"/>
    </row>
    <row r="10">
      <c r="A10" s="1" t="n"/>
      <c r="B10" s="19" t="inlineStr">
        <is>
          <t>Invoice is overdue after (days)</t>
        </is>
      </c>
      <c r="C10" s="20" t="n">
        <v>30</v>
      </c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9" t="inlineStr">
        <is>
          <t>Expense categories</t>
        </is>
      </c>
      <c r="C13" s="1" t="n"/>
      <c r="D13" s="1" t="n"/>
      <c r="E13" s="1" t="n"/>
      <c r="F13" s="1" t="n"/>
    </row>
    <row r="14">
      <c r="A14" s="1" t="n"/>
      <c r="B14" s="22" t="inlineStr">
        <is>
          <t>Software &amp; tools</t>
        </is>
      </c>
      <c r="C14" s="1" t="n"/>
      <c r="D14" s="1" t="n"/>
      <c r="E14" s="1" t="n"/>
      <c r="F14" s="1" t="n"/>
    </row>
    <row r="15">
      <c r="A15" s="1" t="n"/>
      <c r="B15" s="22" t="inlineStr">
        <is>
          <t>Equipment</t>
        </is>
      </c>
      <c r="C15" s="1" t="n"/>
      <c r="D15" s="1" t="n"/>
      <c r="E15" s="1" t="n"/>
      <c r="F15" s="1" t="n"/>
    </row>
    <row r="16">
      <c r="A16" s="1" t="n"/>
      <c r="B16" s="22" t="inlineStr">
        <is>
          <t>Travel</t>
        </is>
      </c>
      <c r="C16" s="1" t="n"/>
      <c r="D16" s="1" t="n"/>
      <c r="E16" s="1" t="n"/>
      <c r="F16" s="1" t="n"/>
    </row>
    <row r="17">
      <c r="A17" s="1" t="n"/>
      <c r="B17" s="22" t="inlineStr">
        <is>
          <t>Phone &amp; internet</t>
        </is>
      </c>
      <c r="C17" s="1" t="n"/>
      <c r="D17" s="1" t="n"/>
      <c r="E17" s="1" t="n"/>
      <c r="F17" s="1" t="n"/>
    </row>
    <row r="18">
      <c r="A18" s="1" t="n"/>
      <c r="B18" s="22" t="inlineStr">
        <is>
          <t>Office &amp; coworking</t>
        </is>
      </c>
      <c r="C18" s="1" t="n"/>
      <c r="D18" s="1" t="n"/>
      <c r="E18" s="1" t="n"/>
      <c r="F18" s="1" t="n"/>
    </row>
    <row r="19">
      <c r="A19" s="1" t="n"/>
      <c r="B19" s="22" t="inlineStr">
        <is>
          <t>Training</t>
        </is>
      </c>
      <c r="C19" s="1" t="n"/>
      <c r="D19" s="1" t="n"/>
      <c r="E19" s="1" t="n"/>
      <c r="F19" s="1" t="n"/>
    </row>
    <row r="20">
      <c r="A20" s="1" t="n"/>
      <c r="B20" s="22" t="inlineStr">
        <is>
          <t>Marketing</t>
        </is>
      </c>
      <c r="C20" s="1" t="n"/>
      <c r="D20" s="1" t="n"/>
      <c r="E20" s="1" t="n"/>
      <c r="F20" s="1" t="n"/>
    </row>
    <row r="21">
      <c r="A21" s="1" t="n"/>
      <c r="B21" s="22" t="inlineStr">
        <is>
          <t>Bank &amp; fees</t>
        </is>
      </c>
      <c r="C21" s="1" t="n"/>
      <c r="D21" s="1" t="n"/>
      <c r="E21" s="1" t="n"/>
      <c r="F21" s="1" t="n"/>
    </row>
    <row r="22">
      <c r="A22" s="1" t="n"/>
      <c r="B22" s="22" t="inlineStr">
        <is>
          <t>Other</t>
        </is>
      </c>
      <c r="C22" s="1" t="n"/>
      <c r="D22" s="1" t="n"/>
      <c r="E22" s="1" t="n"/>
      <c r="F22" s="1" t="n"/>
    </row>
    <row r="23">
      <c r="A23" s="1" t="n"/>
      <c r="B23" s="22" t="n"/>
      <c r="C23" s="1" t="n"/>
      <c r="D23" s="1" t="n"/>
      <c r="E23" s="1" t="n"/>
      <c r="F23" s="1" t="n"/>
    </row>
    <row r="24">
      <c r="A24" s="1" t="n"/>
      <c r="B24" s="22" t="n"/>
      <c r="C24" s="1" t="n"/>
      <c r="D24" s="1" t="n"/>
      <c r="E24" s="1" t="n"/>
      <c r="F24" s="1" t="n"/>
    </row>
    <row r="25">
      <c r="A25" s="1" t="n"/>
      <c r="B25" s="22" t="n"/>
      <c r="C25" s="1" t="n"/>
      <c r="D25" s="1" t="n"/>
      <c r="E25" s="1" t="n"/>
      <c r="F25" s="1" t="n"/>
    </row>
    <row r="26">
      <c r="A26" s="1" t="n"/>
      <c r="B26" s="22" t="n"/>
      <c r="C26" s="1" t="n"/>
      <c r="D26" s="1" t="n"/>
      <c r="E26" s="1" t="n"/>
      <c r="F26" s="1" t="n"/>
    </row>
    <row r="27">
      <c r="A27" s="1" t="n"/>
      <c r="B27" s="22" t="n"/>
      <c r="C27" s="1" t="n"/>
      <c r="D27" s="1" t="n"/>
      <c r="E27" s="1" t="n"/>
      <c r="F27" s="1" t="n"/>
    </row>
    <row r="28">
      <c r="A28" s="1" t="n"/>
      <c r="B28" s="22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12" customWidth="1" min="4" max="4"/>
    <col width="13" customWidth="1" min="5" max="5"/>
    <col width="13" customWidth="1" min="6" max="6"/>
    <col width="3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Income: one line per invoice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Leave 'Paid on' empty until the money arrives.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9" t="inlineStr">
        <is>
          <t>Invoice date</t>
        </is>
      </c>
      <c r="C5" s="9" t="inlineStr">
        <is>
          <t>Client</t>
        </is>
      </c>
      <c r="D5" s="9" t="inlineStr">
        <is>
          <t>Invoice #</t>
        </is>
      </c>
      <c r="E5" s="9" t="inlineStr">
        <is>
          <t>Amount</t>
        </is>
      </c>
      <c r="F5" s="9" t="inlineStr">
        <is>
          <t>Paid on</t>
        </is>
      </c>
      <c r="G5" s="9" t="inlineStr">
        <is>
          <t>Status</t>
        </is>
      </c>
      <c r="H5" s="1" t="n"/>
    </row>
    <row r="6">
      <c r="A6" s="1" t="n"/>
      <c r="B6" s="23" t="n">
        <v>46093</v>
      </c>
      <c r="C6" s="22" t="inlineStr">
        <is>
          <t>Studio North</t>
        </is>
      </c>
      <c r="D6" s="24" t="inlineStr">
        <is>
          <t>2026-009</t>
        </is>
      </c>
      <c r="E6" s="25" t="n">
        <v>1600</v>
      </c>
      <c r="F6" s="23" t="n">
        <v>46108</v>
      </c>
      <c r="G6" s="26">
        <f>IF(OR(B6="",E6=""),"",IF(F6&lt;&gt;"","✓ Paid",IF(TODAY()-B6&gt;Settings!$C$10,"⚠ Overdue "&amp;(TODAY()-B6-Settings!$C$10)&amp;" day(s)","Waiting "&amp;(TODAY()-B6)&amp;" day(s)")))</f>
        <v/>
      </c>
      <c r="H6" s="1" t="n"/>
    </row>
    <row r="7">
      <c r="A7" s="1" t="n"/>
      <c r="B7" s="23" t="n">
        <v>46143</v>
      </c>
      <c r="C7" s="22" t="inlineStr">
        <is>
          <t>Acme Co</t>
        </is>
      </c>
      <c r="D7" s="24" t="inlineStr">
        <is>
          <t>2026-011</t>
        </is>
      </c>
      <c r="E7" s="25" t="n">
        <v>2200</v>
      </c>
      <c r="F7" s="23" t="n">
        <v>46165</v>
      </c>
      <c r="G7" s="26">
        <f>IF(OR(B7="",E7=""),"",IF(F7&lt;&gt;"","✓ Paid",IF(TODAY()-B7&gt;Settings!$C$10,"⚠ Overdue "&amp;(TODAY()-B7-Settings!$C$10)&amp;" day(s)","Waiting "&amp;(TODAY()-B7)&amp;" day(s)")))</f>
        <v/>
      </c>
      <c r="H7" s="1" t="n"/>
    </row>
    <row r="8">
      <c r="A8" s="1" t="n"/>
      <c r="B8" s="23" t="n">
        <v>46213</v>
      </c>
      <c r="C8" s="22" t="inlineStr">
        <is>
          <t>Studio North</t>
        </is>
      </c>
      <c r="D8" s="24" t="inlineStr">
        <is>
          <t>2026-014</t>
        </is>
      </c>
      <c r="E8" s="25" t="n">
        <v>1800</v>
      </c>
      <c r="F8" s="23" t="n">
        <v>46223</v>
      </c>
      <c r="G8" s="26">
        <f>IF(OR(B8="",E8=""),"",IF(F8&lt;&gt;"","✓ Paid",IF(TODAY()-B8&gt;Settings!$C$10,"⚠ Overdue "&amp;(TODAY()-B8-Settings!$C$10)&amp;" day(s)","Waiting "&amp;(TODAY()-B8)&amp;" day(s)")))</f>
        <v/>
      </c>
      <c r="H8" s="1" t="n"/>
    </row>
    <row r="9">
      <c r="A9" s="1" t="n"/>
      <c r="B9" s="23" t="n">
        <v>46231</v>
      </c>
      <c r="C9" s="22" t="inlineStr">
        <is>
          <t>Acme Co</t>
        </is>
      </c>
      <c r="D9" s="24" t="inlineStr">
        <is>
          <t>2026-015</t>
        </is>
      </c>
      <c r="E9" s="25" t="n">
        <v>950</v>
      </c>
      <c r="F9" s="23" t="n">
        <v>46253</v>
      </c>
      <c r="G9" s="26">
        <f>IF(OR(B9="",E9=""),"",IF(F9&lt;&gt;"","✓ Paid",IF(TODAY()-B9&gt;Settings!$C$10,"⚠ Overdue "&amp;(TODAY()-B9-Settings!$C$10)&amp;" day(s)","Waiting "&amp;(TODAY()-B9)&amp;" day(s)")))</f>
        <v/>
      </c>
      <c r="H9" s="1" t="n"/>
    </row>
    <row r="10">
      <c r="A10" s="1" t="n"/>
      <c r="B10" s="23" t="n">
        <v>46248</v>
      </c>
      <c r="C10" s="22" t="inlineStr">
        <is>
          <t>Lumen Agency</t>
        </is>
      </c>
      <c r="D10" s="24" t="inlineStr">
        <is>
          <t>2026-016</t>
        </is>
      </c>
      <c r="E10" s="25" t="n">
        <v>2400</v>
      </c>
      <c r="F10" s="23" t="n">
        <v>46273</v>
      </c>
      <c r="G10" s="26">
        <f>IF(OR(B10="",E10=""),"",IF(F10&lt;&gt;"","✓ Paid",IF(TODAY()-B10&gt;Settings!$C$10,"⚠ Overdue "&amp;(TODAY()-B10-Settings!$C$10)&amp;" day(s)","Waiting "&amp;(TODAY()-B10)&amp;" day(s)")))</f>
        <v/>
      </c>
      <c r="H10" s="1" t="n"/>
    </row>
    <row r="11">
      <c r="A11" s="1" t="n"/>
      <c r="B11" s="23" t="n">
        <v>46255</v>
      </c>
      <c r="C11" s="22" t="inlineStr">
        <is>
          <t>Studio North</t>
        </is>
      </c>
      <c r="D11" s="24" t="inlineStr">
        <is>
          <t>2026-017</t>
        </is>
      </c>
      <c r="E11" s="25" t="n">
        <v>1200</v>
      </c>
      <c r="F11" s="23" t="n"/>
      <c r="G11" s="26">
        <f>IF(OR(B11="",E11=""),"",IF(F11&lt;&gt;"","✓ Paid",IF(TODAY()-B11&gt;Settings!$C$10,"⚠ Overdue "&amp;(TODAY()-B11-Settings!$C$10)&amp;" day(s)","Waiting "&amp;(TODAY()-B11)&amp;" day(s)")))</f>
        <v/>
      </c>
      <c r="H11" s="1" t="n"/>
    </row>
    <row r="12">
      <c r="A12" s="1" t="n"/>
      <c r="B12" s="23" t="n">
        <v>46281</v>
      </c>
      <c r="C12" s="22" t="inlineStr">
        <is>
          <t>Pixel &amp; Co</t>
        </is>
      </c>
      <c r="D12" s="24" t="inlineStr">
        <is>
          <t>2026-018</t>
        </is>
      </c>
      <c r="E12" s="25" t="n">
        <v>640</v>
      </c>
      <c r="F12" s="23" t="n"/>
      <c r="G12" s="26">
        <f>IF(OR(B12="",E12=""),"",IF(F12&lt;&gt;"","✓ Paid",IF(TODAY()-B12&gt;Settings!$C$10,"⚠ Overdue "&amp;(TODAY()-B12-Settings!$C$10)&amp;" day(s)","Waiting "&amp;(TODAY()-B12)&amp;" day(s)")))</f>
        <v/>
      </c>
      <c r="H12" s="1" t="n"/>
    </row>
    <row r="13">
      <c r="A13" s="1" t="n"/>
      <c r="B13" s="23" t="n">
        <v>46290</v>
      </c>
      <c r="C13" s="22" t="inlineStr">
        <is>
          <t>Acme Co</t>
        </is>
      </c>
      <c r="D13" s="24" t="inlineStr">
        <is>
          <t>2026-019</t>
        </is>
      </c>
      <c r="E13" s="25" t="n">
        <v>1500</v>
      </c>
      <c r="F13" s="23" t="n"/>
      <c r="G13" s="26">
        <f>IF(OR(B13="",E13=""),"",IF(F13&lt;&gt;"","✓ Paid",IF(TODAY()-B13&gt;Settings!$C$10,"⚠ Overdue "&amp;(TODAY()-B13-Settings!$C$10)&amp;" day(s)","Waiting "&amp;(TODAY()-B13)&amp;" day(s)")))</f>
        <v/>
      </c>
      <c r="H13" s="1" t="n"/>
    </row>
    <row r="14">
      <c r="A14" s="1" t="n"/>
      <c r="B14" s="23" t="n"/>
      <c r="C14" s="22" t="n"/>
      <c r="D14" s="24" t="n"/>
      <c r="E14" s="25" t="n"/>
      <c r="F14" s="23" t="n"/>
      <c r="G14" s="26">
        <f>IF(OR(B14="",E14=""),"",IF(F14&lt;&gt;"","✓ Paid",IF(TODAY()-B14&gt;Settings!$C$10,"⚠ Overdue "&amp;(TODAY()-B14-Settings!$C$10)&amp;" day(s)","Waiting "&amp;(TODAY()-B14)&amp;" day(s)")))</f>
        <v/>
      </c>
      <c r="H14" s="1" t="n"/>
    </row>
    <row r="15">
      <c r="A15" s="1" t="n"/>
      <c r="B15" s="23" t="n"/>
      <c r="C15" s="22" t="n"/>
      <c r="D15" s="24" t="n"/>
      <c r="E15" s="25" t="n"/>
      <c r="F15" s="23" t="n"/>
      <c r="G15" s="26">
        <f>IF(OR(B15="",E15=""),"",IF(F15&lt;&gt;"","✓ Paid",IF(TODAY()-B15&gt;Settings!$C$10,"⚠ Overdue "&amp;(TODAY()-B15-Settings!$C$10)&amp;" day(s)","Waiting "&amp;(TODAY()-B15)&amp;" day(s)")))</f>
        <v/>
      </c>
      <c r="H15" s="1" t="n"/>
    </row>
    <row r="16">
      <c r="A16" s="1" t="n"/>
      <c r="B16" s="23" t="n"/>
      <c r="C16" s="22" t="n"/>
      <c r="D16" s="24" t="n"/>
      <c r="E16" s="25" t="n"/>
      <c r="F16" s="23" t="n"/>
      <c r="G16" s="26">
        <f>IF(OR(B16="",E16=""),"",IF(F16&lt;&gt;"","✓ Paid",IF(TODAY()-B16&gt;Settings!$C$10,"⚠ Overdue "&amp;(TODAY()-B16-Settings!$C$10)&amp;" day(s)","Waiting "&amp;(TODAY()-B16)&amp;" day(s)")))</f>
        <v/>
      </c>
      <c r="H16" s="1" t="n"/>
    </row>
    <row r="17">
      <c r="A17" s="1" t="n"/>
      <c r="B17" s="23" t="n"/>
      <c r="C17" s="22" t="n"/>
      <c r="D17" s="24" t="n"/>
      <c r="E17" s="25" t="n"/>
      <c r="F17" s="23" t="n"/>
      <c r="G17" s="26">
        <f>IF(OR(B17="",E17=""),"",IF(F17&lt;&gt;"","✓ Paid",IF(TODAY()-B17&gt;Settings!$C$10,"⚠ Overdue "&amp;(TODAY()-B17-Settings!$C$10)&amp;" day(s)","Waiting "&amp;(TODAY()-B17)&amp;" day(s)")))</f>
        <v/>
      </c>
      <c r="H17" s="1" t="n"/>
    </row>
    <row r="18">
      <c r="A18" s="1" t="n"/>
      <c r="B18" s="23" t="n"/>
      <c r="C18" s="22" t="n"/>
      <c r="D18" s="24" t="n"/>
      <c r="E18" s="25" t="n"/>
      <c r="F18" s="23" t="n"/>
      <c r="G18" s="26">
        <f>IF(OR(B18="",E18=""),"",IF(F18&lt;&gt;"","✓ Paid",IF(TODAY()-B18&gt;Settings!$C$10,"⚠ Overdue "&amp;(TODAY()-B18-Settings!$C$10)&amp;" day(s)","Waiting "&amp;(TODAY()-B18)&amp;" day(s)")))</f>
        <v/>
      </c>
      <c r="H18" s="1" t="n"/>
    </row>
    <row r="19">
      <c r="A19" s="1" t="n"/>
      <c r="B19" s="23" t="n"/>
      <c r="C19" s="22" t="n"/>
      <c r="D19" s="24" t="n"/>
      <c r="E19" s="25" t="n"/>
      <c r="F19" s="23" t="n"/>
      <c r="G19" s="26">
        <f>IF(OR(B19="",E19=""),"",IF(F19&lt;&gt;"","✓ Paid",IF(TODAY()-B19&gt;Settings!$C$10,"⚠ Overdue "&amp;(TODAY()-B19-Settings!$C$10)&amp;" day(s)","Waiting "&amp;(TODAY()-B19)&amp;" day(s)")))</f>
        <v/>
      </c>
      <c r="H19" s="1" t="n"/>
    </row>
    <row r="20">
      <c r="A20" s="1" t="n"/>
      <c r="B20" s="23" t="n"/>
      <c r="C20" s="22" t="n"/>
      <c r="D20" s="24" t="n"/>
      <c r="E20" s="25" t="n"/>
      <c r="F20" s="23" t="n"/>
      <c r="G20" s="26">
        <f>IF(OR(B20="",E20=""),"",IF(F20&lt;&gt;"","✓ Paid",IF(TODAY()-B20&gt;Settings!$C$10,"⚠ Overdue "&amp;(TODAY()-B20-Settings!$C$10)&amp;" day(s)","Waiting "&amp;(TODAY()-B20)&amp;" day(s)")))</f>
        <v/>
      </c>
      <c r="H20" s="1" t="n"/>
    </row>
    <row r="21">
      <c r="A21" s="1" t="n"/>
      <c r="B21" s="23" t="n"/>
      <c r="C21" s="22" t="n"/>
      <c r="D21" s="24" t="n"/>
      <c r="E21" s="25" t="n"/>
      <c r="F21" s="23" t="n"/>
      <c r="G21" s="26">
        <f>IF(OR(B21="",E21=""),"",IF(F21&lt;&gt;"","✓ Paid",IF(TODAY()-B21&gt;Settings!$C$10,"⚠ Overdue "&amp;(TODAY()-B21-Settings!$C$10)&amp;" day(s)","Waiting "&amp;(TODAY()-B21)&amp;" day(s)")))</f>
        <v/>
      </c>
      <c r="H21" s="1" t="n"/>
    </row>
    <row r="22">
      <c r="A22" s="1" t="n"/>
      <c r="B22" s="23" t="n"/>
      <c r="C22" s="22" t="n"/>
      <c r="D22" s="24" t="n"/>
      <c r="E22" s="25" t="n"/>
      <c r="F22" s="23" t="n"/>
      <c r="G22" s="26">
        <f>IF(OR(B22="",E22=""),"",IF(F22&lt;&gt;"","✓ Paid",IF(TODAY()-B22&gt;Settings!$C$10,"⚠ Overdue "&amp;(TODAY()-B22-Settings!$C$10)&amp;" day(s)","Waiting "&amp;(TODAY()-B22)&amp;" day(s)")))</f>
        <v/>
      </c>
      <c r="H22" s="1" t="n"/>
    </row>
    <row r="23">
      <c r="A23" s="1" t="n"/>
      <c r="B23" s="23" t="n"/>
      <c r="C23" s="22" t="n"/>
      <c r="D23" s="24" t="n"/>
      <c r="E23" s="25" t="n"/>
      <c r="F23" s="23" t="n"/>
      <c r="G23" s="26">
        <f>IF(OR(B23="",E23=""),"",IF(F23&lt;&gt;"","✓ Paid",IF(TODAY()-B23&gt;Settings!$C$10,"⚠ Overdue "&amp;(TODAY()-B23-Settings!$C$10)&amp;" day(s)","Waiting "&amp;(TODAY()-B23)&amp;" day(s)")))</f>
        <v/>
      </c>
      <c r="H23" s="1" t="n"/>
    </row>
    <row r="24">
      <c r="A24" s="1" t="n"/>
      <c r="B24" s="23" t="n"/>
      <c r="C24" s="22" t="n"/>
      <c r="D24" s="24" t="n"/>
      <c r="E24" s="25" t="n"/>
      <c r="F24" s="23" t="n"/>
      <c r="G24" s="26">
        <f>IF(OR(B24="",E24=""),"",IF(F24&lt;&gt;"","✓ Paid",IF(TODAY()-B24&gt;Settings!$C$10,"⚠ Overdue "&amp;(TODAY()-B24-Settings!$C$10)&amp;" day(s)","Waiting "&amp;(TODAY()-B24)&amp;" day(s)")))</f>
        <v/>
      </c>
      <c r="H24" s="1" t="n"/>
    </row>
    <row r="25">
      <c r="A25" s="1" t="n"/>
      <c r="B25" s="23" t="n"/>
      <c r="C25" s="22" t="n"/>
      <c r="D25" s="24" t="n"/>
      <c r="E25" s="25" t="n"/>
      <c r="F25" s="23" t="n"/>
      <c r="G25" s="26">
        <f>IF(OR(B25="",E25=""),"",IF(F25&lt;&gt;"","✓ Paid",IF(TODAY()-B25&gt;Settings!$C$10,"⚠ Overdue "&amp;(TODAY()-B25-Settings!$C$10)&amp;" day(s)","Waiting "&amp;(TODAY()-B25)&amp;" day(s)")))</f>
        <v/>
      </c>
      <c r="H25" s="1" t="n"/>
    </row>
    <row r="26">
      <c r="A26" s="1" t="n"/>
      <c r="B26" s="23" t="n"/>
      <c r="C26" s="22" t="n"/>
      <c r="D26" s="24" t="n"/>
      <c r="E26" s="25" t="n"/>
      <c r="F26" s="23" t="n"/>
      <c r="G26" s="26">
        <f>IF(OR(B26="",E26=""),"",IF(F26&lt;&gt;"","✓ Paid",IF(TODAY()-B26&gt;Settings!$C$10,"⚠ Overdue "&amp;(TODAY()-B26-Settings!$C$10)&amp;" day(s)","Waiting "&amp;(TODAY()-B26)&amp;" day(s)")))</f>
        <v/>
      </c>
      <c r="H26" s="1" t="n"/>
    </row>
    <row r="27">
      <c r="A27" s="1" t="n"/>
      <c r="B27" s="23" t="n"/>
      <c r="C27" s="22" t="n"/>
      <c r="D27" s="24" t="n"/>
      <c r="E27" s="25" t="n"/>
      <c r="F27" s="23" t="n"/>
      <c r="G27" s="26">
        <f>IF(OR(B27="",E27=""),"",IF(F27&lt;&gt;"","✓ Paid",IF(TODAY()-B27&gt;Settings!$C$10,"⚠ Overdue "&amp;(TODAY()-B27-Settings!$C$10)&amp;" day(s)","Waiting "&amp;(TODAY()-B27)&amp;" day(s)")))</f>
        <v/>
      </c>
      <c r="H27" s="1" t="n"/>
    </row>
    <row r="28">
      <c r="A28" s="1" t="n"/>
      <c r="B28" s="23" t="n"/>
      <c r="C28" s="22" t="n"/>
      <c r="D28" s="24" t="n"/>
      <c r="E28" s="25" t="n"/>
      <c r="F28" s="23" t="n"/>
      <c r="G28" s="26">
        <f>IF(OR(B28="",E28=""),"",IF(F28&lt;&gt;"","✓ Paid",IF(TODAY()-B28&gt;Settings!$C$10,"⚠ Overdue "&amp;(TODAY()-B28-Settings!$C$10)&amp;" day(s)","Waiting "&amp;(TODAY()-B28)&amp;" day(s)")))</f>
        <v/>
      </c>
      <c r="H28" s="1" t="n"/>
    </row>
    <row r="29">
      <c r="A29" s="1" t="n"/>
      <c r="B29" s="23" t="n"/>
      <c r="C29" s="22" t="n"/>
      <c r="D29" s="24" t="n"/>
      <c r="E29" s="25" t="n"/>
      <c r="F29" s="23" t="n"/>
      <c r="G29" s="26">
        <f>IF(OR(B29="",E29=""),"",IF(F29&lt;&gt;"","✓ Paid",IF(TODAY()-B29&gt;Settings!$C$10,"⚠ Overdue "&amp;(TODAY()-B29-Settings!$C$10)&amp;" day(s)","Waiting "&amp;(TODAY()-B29)&amp;" day(s)")))</f>
        <v/>
      </c>
      <c r="H29" s="1" t="n"/>
    </row>
    <row r="30">
      <c r="A30" s="1" t="n"/>
      <c r="B30" s="23" t="n"/>
      <c r="C30" s="22" t="n"/>
      <c r="D30" s="24" t="n"/>
      <c r="E30" s="25" t="n"/>
      <c r="F30" s="23" t="n"/>
      <c r="G30" s="26">
        <f>IF(OR(B30="",E30=""),"",IF(F30&lt;&gt;"","✓ Paid",IF(TODAY()-B30&gt;Settings!$C$10,"⚠ Overdue "&amp;(TODAY()-B30-Settings!$C$10)&amp;" day(s)","Waiting "&amp;(TODAY()-B30)&amp;" day(s)")))</f>
        <v/>
      </c>
      <c r="H30" s="1" t="n"/>
    </row>
    <row r="31">
      <c r="A31" s="1" t="n"/>
      <c r="B31" s="23" t="n"/>
      <c r="C31" s="22" t="n"/>
      <c r="D31" s="24" t="n"/>
      <c r="E31" s="25" t="n"/>
      <c r="F31" s="23" t="n"/>
      <c r="G31" s="26">
        <f>IF(OR(B31="",E31=""),"",IF(F31&lt;&gt;"","✓ Paid",IF(TODAY()-B31&gt;Settings!$C$10,"⚠ Overdue "&amp;(TODAY()-B31-Settings!$C$10)&amp;" day(s)","Waiting "&amp;(TODAY()-B31)&amp;" day(s)")))</f>
        <v/>
      </c>
      <c r="H31" s="1" t="n"/>
    </row>
    <row r="32">
      <c r="A32" s="1" t="n"/>
      <c r="B32" s="23" t="n"/>
      <c r="C32" s="22" t="n"/>
      <c r="D32" s="24" t="n"/>
      <c r="E32" s="25" t="n"/>
      <c r="F32" s="23" t="n"/>
      <c r="G32" s="26">
        <f>IF(OR(B32="",E32=""),"",IF(F32&lt;&gt;"","✓ Paid",IF(TODAY()-B32&gt;Settings!$C$10,"⚠ Overdue "&amp;(TODAY()-B32-Settings!$C$10)&amp;" day(s)","Waiting "&amp;(TODAY()-B32)&amp;" day(s)")))</f>
        <v/>
      </c>
      <c r="H32" s="1" t="n"/>
    </row>
    <row r="33">
      <c r="A33" s="1" t="n"/>
      <c r="B33" s="23" t="n"/>
      <c r="C33" s="22" t="n"/>
      <c r="D33" s="24" t="n"/>
      <c r="E33" s="25" t="n"/>
      <c r="F33" s="23" t="n"/>
      <c r="G33" s="26">
        <f>IF(OR(B33="",E33=""),"",IF(F33&lt;&gt;"","✓ Paid",IF(TODAY()-B33&gt;Settings!$C$10,"⚠ Overdue "&amp;(TODAY()-B33-Settings!$C$10)&amp;" day(s)","Waiting "&amp;(TODAY()-B33)&amp;" day(s)")))</f>
        <v/>
      </c>
      <c r="H33" s="1" t="n"/>
    </row>
    <row r="34">
      <c r="A34" s="1" t="n"/>
      <c r="B34" s="23" t="n"/>
      <c r="C34" s="22" t="n"/>
      <c r="D34" s="24" t="n"/>
      <c r="E34" s="25" t="n"/>
      <c r="F34" s="23" t="n"/>
      <c r="G34" s="26">
        <f>IF(OR(B34="",E34=""),"",IF(F34&lt;&gt;"","✓ Paid",IF(TODAY()-B34&gt;Settings!$C$10,"⚠ Overdue "&amp;(TODAY()-B34-Settings!$C$10)&amp;" day(s)","Waiting "&amp;(TODAY()-B34)&amp;" day(s)")))</f>
        <v/>
      </c>
      <c r="H34" s="1" t="n"/>
    </row>
    <row r="35">
      <c r="A35" s="1" t="n"/>
      <c r="B35" s="23" t="n"/>
      <c r="C35" s="22" t="n"/>
      <c r="D35" s="24" t="n"/>
      <c r="E35" s="25" t="n"/>
      <c r="F35" s="23" t="n"/>
      <c r="G35" s="26">
        <f>IF(OR(B35="",E35=""),"",IF(F35&lt;&gt;"","✓ Paid",IF(TODAY()-B35&gt;Settings!$C$10,"⚠ Overdue "&amp;(TODAY()-B35-Settings!$C$10)&amp;" day(s)","Waiting "&amp;(TODAY()-B35)&amp;" day(s)")))</f>
        <v/>
      </c>
      <c r="H35" s="1" t="n"/>
    </row>
    <row r="36">
      <c r="A36" s="1" t="n"/>
      <c r="B36" s="23" t="n"/>
      <c r="C36" s="22" t="n"/>
      <c r="D36" s="24" t="n"/>
      <c r="E36" s="25" t="n"/>
      <c r="F36" s="23" t="n"/>
      <c r="G36" s="26">
        <f>IF(OR(B36="",E36=""),"",IF(F36&lt;&gt;"","✓ Paid",IF(TODAY()-B36&gt;Settings!$C$10,"⚠ Overdue "&amp;(TODAY()-B36-Settings!$C$10)&amp;" day(s)","Waiting "&amp;(TODAY()-B36)&amp;" day(s)")))</f>
        <v/>
      </c>
      <c r="H36" s="1" t="n"/>
    </row>
    <row r="37">
      <c r="A37" s="1" t="n"/>
      <c r="B37" s="23" t="n"/>
      <c r="C37" s="22" t="n"/>
      <c r="D37" s="24" t="n"/>
      <c r="E37" s="25" t="n"/>
      <c r="F37" s="23" t="n"/>
      <c r="G37" s="26">
        <f>IF(OR(B37="",E37=""),"",IF(F37&lt;&gt;"","✓ Paid",IF(TODAY()-B37&gt;Settings!$C$10,"⚠ Overdue "&amp;(TODAY()-B37-Settings!$C$10)&amp;" day(s)","Waiting "&amp;(TODAY()-B37)&amp;" day(s)")))</f>
        <v/>
      </c>
      <c r="H37" s="1" t="n"/>
    </row>
    <row r="38">
      <c r="A38" s="1" t="n"/>
      <c r="B38" s="23" t="n"/>
      <c r="C38" s="22" t="n"/>
      <c r="D38" s="24" t="n"/>
      <c r="E38" s="25" t="n"/>
      <c r="F38" s="23" t="n"/>
      <c r="G38" s="26">
        <f>IF(OR(B38="",E38=""),"",IF(F38&lt;&gt;"","✓ Paid",IF(TODAY()-B38&gt;Settings!$C$10,"⚠ Overdue "&amp;(TODAY()-B38-Settings!$C$10)&amp;" day(s)","Waiting "&amp;(TODAY()-B38)&amp;" day(s)")))</f>
        <v/>
      </c>
      <c r="H38" s="1" t="n"/>
    </row>
    <row r="39">
      <c r="A39" s="1" t="n"/>
      <c r="B39" s="23" t="n"/>
      <c r="C39" s="22" t="n"/>
      <c r="D39" s="24" t="n"/>
      <c r="E39" s="25" t="n"/>
      <c r="F39" s="23" t="n"/>
      <c r="G39" s="26">
        <f>IF(OR(B39="",E39=""),"",IF(F39&lt;&gt;"","✓ Paid",IF(TODAY()-B39&gt;Settings!$C$10,"⚠ Overdue "&amp;(TODAY()-B39-Settings!$C$10)&amp;" day(s)","Waiting "&amp;(TODAY()-B39)&amp;" day(s)")))</f>
        <v/>
      </c>
      <c r="H39" s="1" t="n"/>
    </row>
    <row r="40">
      <c r="A40" s="1" t="n"/>
      <c r="B40" s="23" t="n"/>
      <c r="C40" s="22" t="n"/>
      <c r="D40" s="24" t="n"/>
      <c r="E40" s="25" t="n"/>
      <c r="F40" s="23" t="n"/>
      <c r="G40" s="26">
        <f>IF(OR(B40="",E40=""),"",IF(F40&lt;&gt;"","✓ Paid",IF(TODAY()-B40&gt;Settings!$C$10,"⚠ Overdue "&amp;(TODAY()-B40-Settings!$C$10)&amp;" day(s)","Waiting "&amp;(TODAY()-B40)&amp;" day(s)")))</f>
        <v/>
      </c>
      <c r="H40" s="1" t="n"/>
    </row>
    <row r="41">
      <c r="A41" s="1" t="n"/>
      <c r="B41" s="23" t="n"/>
      <c r="C41" s="22" t="n"/>
      <c r="D41" s="24" t="n"/>
      <c r="E41" s="25" t="n"/>
      <c r="F41" s="23" t="n"/>
      <c r="G41" s="26">
        <f>IF(OR(B41="",E41=""),"",IF(F41&lt;&gt;"","✓ Paid",IF(TODAY()-B41&gt;Settings!$C$10,"⚠ Overdue "&amp;(TODAY()-B41-Settings!$C$10)&amp;" day(s)","Waiting "&amp;(TODAY()-B41)&amp;" day(s)")))</f>
        <v/>
      </c>
      <c r="H41" s="1" t="n"/>
    </row>
    <row r="42">
      <c r="A42" s="1" t="n"/>
      <c r="B42" s="23" t="n"/>
      <c r="C42" s="22" t="n"/>
      <c r="D42" s="24" t="n"/>
      <c r="E42" s="25" t="n"/>
      <c r="F42" s="23" t="n"/>
      <c r="G42" s="26">
        <f>IF(OR(B42="",E42=""),"",IF(F42&lt;&gt;"","✓ Paid",IF(TODAY()-B42&gt;Settings!$C$10,"⚠ Overdue "&amp;(TODAY()-B42-Settings!$C$10)&amp;" day(s)","Waiting "&amp;(TODAY()-B42)&amp;" day(s)")))</f>
        <v/>
      </c>
      <c r="H42" s="1" t="n"/>
    </row>
    <row r="43">
      <c r="A43" s="1" t="n"/>
      <c r="B43" s="23" t="n"/>
      <c r="C43" s="22" t="n"/>
      <c r="D43" s="24" t="n"/>
      <c r="E43" s="25" t="n"/>
      <c r="F43" s="23" t="n"/>
      <c r="G43" s="26">
        <f>IF(OR(B43="",E43=""),"",IF(F43&lt;&gt;"","✓ Paid",IF(TODAY()-B43&gt;Settings!$C$10,"⚠ Overdue "&amp;(TODAY()-B43-Settings!$C$10)&amp;" day(s)","Waiting "&amp;(TODAY()-B43)&amp;" day(s)")))</f>
        <v/>
      </c>
      <c r="H43" s="1" t="n"/>
    </row>
    <row r="44">
      <c r="A44" s="1" t="n"/>
      <c r="B44" s="23" t="n"/>
      <c r="C44" s="22" t="n"/>
      <c r="D44" s="24" t="n"/>
      <c r="E44" s="25" t="n"/>
      <c r="F44" s="23" t="n"/>
      <c r="G44" s="26">
        <f>IF(OR(B44="",E44=""),"",IF(F44&lt;&gt;"","✓ Paid",IF(TODAY()-B44&gt;Settings!$C$10,"⚠ Overdue "&amp;(TODAY()-B44-Settings!$C$10)&amp;" day(s)","Waiting "&amp;(TODAY()-B44)&amp;" day(s)")))</f>
        <v/>
      </c>
      <c r="H44" s="1" t="n"/>
    </row>
    <row r="45">
      <c r="A45" s="1" t="n"/>
      <c r="B45" s="23" t="n"/>
      <c r="C45" s="22" t="n"/>
      <c r="D45" s="24" t="n"/>
      <c r="E45" s="25" t="n"/>
      <c r="F45" s="23" t="n"/>
      <c r="G45" s="26">
        <f>IF(OR(B45="",E45=""),"",IF(F45&lt;&gt;"","✓ Paid",IF(TODAY()-B45&gt;Settings!$C$10,"⚠ Overdue "&amp;(TODAY()-B45-Settings!$C$10)&amp;" day(s)","Waiting "&amp;(TODAY()-B45)&amp;" day(s)")))</f>
        <v/>
      </c>
      <c r="H45" s="1" t="n"/>
    </row>
    <row r="46">
      <c r="A46" s="1" t="n"/>
      <c r="B46" s="23" t="n"/>
      <c r="C46" s="22" t="n"/>
      <c r="D46" s="24" t="n"/>
      <c r="E46" s="25" t="n"/>
      <c r="F46" s="23" t="n"/>
      <c r="G46" s="26">
        <f>IF(OR(B46="",E46=""),"",IF(F46&lt;&gt;"","✓ Paid",IF(TODAY()-B46&gt;Settings!$C$10,"⚠ Overdue "&amp;(TODAY()-B46-Settings!$C$10)&amp;" day(s)","Waiting "&amp;(TODAY()-B46)&amp;" day(s)")))</f>
        <v/>
      </c>
      <c r="H46" s="1" t="n"/>
    </row>
    <row r="47">
      <c r="A47" s="1" t="n"/>
      <c r="B47" s="23" t="n"/>
      <c r="C47" s="22" t="n"/>
      <c r="D47" s="24" t="n"/>
      <c r="E47" s="25" t="n"/>
      <c r="F47" s="23" t="n"/>
      <c r="G47" s="26">
        <f>IF(OR(B47="",E47=""),"",IF(F47&lt;&gt;"","✓ Paid",IF(TODAY()-B47&gt;Settings!$C$10,"⚠ Overdue "&amp;(TODAY()-B47-Settings!$C$10)&amp;" day(s)","Waiting "&amp;(TODAY()-B47)&amp;" day(s)")))</f>
        <v/>
      </c>
      <c r="H47" s="1" t="n"/>
    </row>
    <row r="48">
      <c r="A48" s="1" t="n"/>
      <c r="B48" s="23" t="n"/>
      <c r="C48" s="22" t="n"/>
      <c r="D48" s="24" t="n"/>
      <c r="E48" s="25" t="n"/>
      <c r="F48" s="23" t="n"/>
      <c r="G48" s="26">
        <f>IF(OR(B48="",E48=""),"",IF(F48&lt;&gt;"","✓ Paid",IF(TODAY()-B48&gt;Settings!$C$10,"⚠ Overdue "&amp;(TODAY()-B48-Settings!$C$10)&amp;" day(s)","Waiting "&amp;(TODAY()-B48)&amp;" day(s)")))</f>
        <v/>
      </c>
      <c r="H48" s="1" t="n"/>
    </row>
    <row r="49">
      <c r="A49" s="1" t="n"/>
      <c r="B49" s="23" t="n"/>
      <c r="C49" s="22" t="n"/>
      <c r="D49" s="24" t="n"/>
      <c r="E49" s="25" t="n"/>
      <c r="F49" s="23" t="n"/>
      <c r="G49" s="26">
        <f>IF(OR(B49="",E49=""),"",IF(F49&lt;&gt;"","✓ Paid",IF(TODAY()-B49&gt;Settings!$C$10,"⚠ Overdue "&amp;(TODAY()-B49-Settings!$C$10)&amp;" day(s)","Waiting "&amp;(TODAY()-B49)&amp;" day(s)")))</f>
        <v/>
      </c>
      <c r="H49" s="1" t="n"/>
    </row>
    <row r="50">
      <c r="A50" s="1" t="n"/>
      <c r="B50" s="23" t="n"/>
      <c r="C50" s="22" t="n"/>
      <c r="D50" s="24" t="n"/>
      <c r="E50" s="25" t="n"/>
      <c r="F50" s="23" t="n"/>
      <c r="G50" s="26">
        <f>IF(OR(B50="",E50=""),"",IF(F50&lt;&gt;"","✓ Paid",IF(TODAY()-B50&gt;Settings!$C$10,"⚠ Overdue "&amp;(TODAY()-B50-Settings!$C$10)&amp;" day(s)","Waiting "&amp;(TODAY()-B50)&amp;" day(s)")))</f>
        <v/>
      </c>
      <c r="H50" s="1" t="n"/>
    </row>
    <row r="51">
      <c r="A51" s="1" t="n"/>
      <c r="B51" s="23" t="n"/>
      <c r="C51" s="22" t="n"/>
      <c r="D51" s="24" t="n"/>
      <c r="E51" s="25" t="n"/>
      <c r="F51" s="23" t="n"/>
      <c r="G51" s="26">
        <f>IF(OR(B51="",E51=""),"",IF(F51&lt;&gt;"","✓ Paid",IF(TODAY()-B51&gt;Settings!$C$10,"⚠ Overdue "&amp;(TODAY()-B51-Settings!$C$10)&amp;" day(s)","Waiting "&amp;(TODAY()-B51)&amp;" day(s)")))</f>
        <v/>
      </c>
      <c r="H51" s="1" t="n"/>
    </row>
    <row r="52">
      <c r="A52" s="1" t="n"/>
      <c r="B52" s="23" t="n"/>
      <c r="C52" s="22" t="n"/>
      <c r="D52" s="24" t="n"/>
      <c r="E52" s="25" t="n"/>
      <c r="F52" s="23" t="n"/>
      <c r="G52" s="26">
        <f>IF(OR(B52="",E52=""),"",IF(F52&lt;&gt;"","✓ Paid",IF(TODAY()-B52&gt;Settings!$C$10,"⚠ Overdue "&amp;(TODAY()-B52-Settings!$C$10)&amp;" day(s)","Waiting "&amp;(TODAY()-B52)&amp;" day(s)")))</f>
        <v/>
      </c>
      <c r="H52" s="1" t="n"/>
    </row>
    <row r="53">
      <c r="A53" s="1" t="n"/>
      <c r="B53" s="23" t="n"/>
      <c r="C53" s="22" t="n"/>
      <c r="D53" s="24" t="n"/>
      <c r="E53" s="25" t="n"/>
      <c r="F53" s="23" t="n"/>
      <c r="G53" s="26">
        <f>IF(OR(B53="",E53=""),"",IF(F53&lt;&gt;"","✓ Paid",IF(TODAY()-B53&gt;Settings!$C$10,"⚠ Overdue "&amp;(TODAY()-B53-Settings!$C$10)&amp;" day(s)","Waiting "&amp;(TODAY()-B53)&amp;" day(s)")))</f>
        <v/>
      </c>
      <c r="H53" s="1" t="n"/>
    </row>
    <row r="54">
      <c r="A54" s="1" t="n"/>
      <c r="B54" s="23" t="n"/>
      <c r="C54" s="22" t="n"/>
      <c r="D54" s="24" t="n"/>
      <c r="E54" s="25" t="n"/>
      <c r="F54" s="23" t="n"/>
      <c r="G54" s="26">
        <f>IF(OR(B54="",E54=""),"",IF(F54&lt;&gt;"","✓ Paid",IF(TODAY()-B54&gt;Settings!$C$10,"⚠ Overdue "&amp;(TODAY()-B54-Settings!$C$10)&amp;" day(s)","Waiting "&amp;(TODAY()-B54)&amp;" day(s)")))</f>
        <v/>
      </c>
      <c r="H54" s="1" t="n"/>
    </row>
    <row r="55">
      <c r="A55" s="1" t="n"/>
      <c r="B55" s="23" t="n"/>
      <c r="C55" s="22" t="n"/>
      <c r="D55" s="24" t="n"/>
      <c r="E55" s="25" t="n"/>
      <c r="F55" s="23" t="n"/>
      <c r="G55" s="26">
        <f>IF(OR(B55="",E55=""),"",IF(F55&lt;&gt;"","✓ Paid",IF(TODAY()-B55&gt;Settings!$C$10,"⚠ Overdue "&amp;(TODAY()-B55-Settings!$C$10)&amp;" day(s)","Waiting "&amp;(TODAY()-B55)&amp;" day(s)")))</f>
        <v/>
      </c>
      <c r="H55" s="1" t="n"/>
    </row>
    <row r="56">
      <c r="A56" s="1" t="n"/>
      <c r="B56" s="23" t="n"/>
      <c r="C56" s="22" t="n"/>
      <c r="D56" s="24" t="n"/>
      <c r="E56" s="25" t="n"/>
      <c r="F56" s="23" t="n"/>
      <c r="G56" s="26">
        <f>IF(OR(B56="",E56=""),"",IF(F56&lt;&gt;"","✓ Paid",IF(TODAY()-B56&gt;Settings!$C$10,"⚠ Overdue "&amp;(TODAY()-B56-Settings!$C$10)&amp;" day(s)","Waiting "&amp;(TODAY()-B56)&amp;" day(s)")))</f>
        <v/>
      </c>
      <c r="H56" s="1" t="n"/>
    </row>
    <row r="57">
      <c r="A57" s="1" t="n"/>
      <c r="B57" s="23" t="n"/>
      <c r="C57" s="22" t="n"/>
      <c r="D57" s="24" t="n"/>
      <c r="E57" s="25" t="n"/>
      <c r="F57" s="23" t="n"/>
      <c r="G57" s="26">
        <f>IF(OR(B57="",E57=""),"",IF(F57&lt;&gt;"","✓ Paid",IF(TODAY()-B57&gt;Settings!$C$10,"⚠ Overdue "&amp;(TODAY()-B57-Settings!$C$10)&amp;" day(s)","Waiting "&amp;(TODAY()-B57)&amp;" day(s)")))</f>
        <v/>
      </c>
      <c r="H57" s="1" t="n"/>
    </row>
    <row r="58">
      <c r="A58" s="1" t="n"/>
      <c r="B58" s="23" t="n"/>
      <c r="C58" s="22" t="n"/>
      <c r="D58" s="24" t="n"/>
      <c r="E58" s="25" t="n"/>
      <c r="F58" s="23" t="n"/>
      <c r="G58" s="26">
        <f>IF(OR(B58="",E58=""),"",IF(F58&lt;&gt;"","✓ Paid",IF(TODAY()-B58&gt;Settings!$C$10,"⚠ Overdue "&amp;(TODAY()-B58-Settings!$C$10)&amp;" day(s)","Waiting "&amp;(TODAY()-B58)&amp;" day(s)")))</f>
        <v/>
      </c>
      <c r="H58" s="1" t="n"/>
    </row>
    <row r="59">
      <c r="A59" s="1" t="n"/>
      <c r="B59" s="23" t="n"/>
      <c r="C59" s="22" t="n"/>
      <c r="D59" s="24" t="n"/>
      <c r="E59" s="25" t="n"/>
      <c r="F59" s="23" t="n"/>
      <c r="G59" s="26">
        <f>IF(OR(B59="",E59=""),"",IF(F59&lt;&gt;"","✓ Paid",IF(TODAY()-B59&gt;Settings!$C$10,"⚠ Overdue "&amp;(TODAY()-B59-Settings!$C$10)&amp;" day(s)","Waiting "&amp;(TODAY()-B59)&amp;" day(s)")))</f>
        <v/>
      </c>
      <c r="H59" s="1" t="n"/>
    </row>
    <row r="60">
      <c r="A60" s="1" t="n"/>
      <c r="B60" s="23" t="n"/>
      <c r="C60" s="22" t="n"/>
      <c r="D60" s="24" t="n"/>
      <c r="E60" s="25" t="n"/>
      <c r="F60" s="23" t="n"/>
      <c r="G60" s="26">
        <f>IF(OR(B60="",E60=""),"",IF(F60&lt;&gt;"","✓ Paid",IF(TODAY()-B60&gt;Settings!$C$10,"⚠ Overdue "&amp;(TODAY()-B60-Settings!$C$10)&amp;" day(s)","Waiting "&amp;(TODAY()-B60)&amp;" day(s)")))</f>
        <v/>
      </c>
      <c r="H60" s="1" t="n"/>
    </row>
    <row r="61">
      <c r="A61" s="1" t="n"/>
      <c r="B61" s="23" t="n"/>
      <c r="C61" s="22" t="n"/>
      <c r="D61" s="24" t="n"/>
      <c r="E61" s="25" t="n"/>
      <c r="F61" s="23" t="n"/>
      <c r="G61" s="26">
        <f>IF(OR(B61="",E61=""),"",IF(F61&lt;&gt;"","✓ Paid",IF(TODAY()-B61&gt;Settings!$C$10,"⚠ Overdue "&amp;(TODAY()-B61-Settings!$C$10)&amp;" day(s)","Waiting "&amp;(TODAY()-B61)&amp;" day(s)")))</f>
        <v/>
      </c>
      <c r="H61" s="1" t="n"/>
    </row>
    <row r="62">
      <c r="A62" s="1" t="n"/>
      <c r="B62" s="23" t="n"/>
      <c r="C62" s="22" t="n"/>
      <c r="D62" s="24" t="n"/>
      <c r="E62" s="25" t="n"/>
      <c r="F62" s="23" t="n"/>
      <c r="G62" s="26">
        <f>IF(OR(B62="",E62=""),"",IF(F62&lt;&gt;"","✓ Paid",IF(TODAY()-B62&gt;Settings!$C$10,"⚠ Overdue "&amp;(TODAY()-B62-Settings!$C$10)&amp;" day(s)","Waiting "&amp;(TODAY()-B62)&amp;" day(s)")))</f>
        <v/>
      </c>
      <c r="H62" s="1" t="n"/>
    </row>
    <row r="63">
      <c r="A63" s="1" t="n"/>
      <c r="B63" s="23" t="n"/>
      <c r="C63" s="22" t="n"/>
      <c r="D63" s="24" t="n"/>
      <c r="E63" s="25" t="n"/>
      <c r="F63" s="23" t="n"/>
      <c r="G63" s="26">
        <f>IF(OR(B63="",E63=""),"",IF(F63&lt;&gt;"","✓ Paid",IF(TODAY()-B63&gt;Settings!$C$10,"⚠ Overdue "&amp;(TODAY()-B63-Settings!$C$10)&amp;" day(s)","Waiting "&amp;(TODAY()-B63)&amp;" day(s)")))</f>
        <v/>
      </c>
      <c r="H63" s="1" t="n"/>
    </row>
    <row r="64">
      <c r="A64" s="1" t="n"/>
      <c r="B64" s="23" t="n"/>
      <c r="C64" s="22" t="n"/>
      <c r="D64" s="24" t="n"/>
      <c r="E64" s="25" t="n"/>
      <c r="F64" s="23" t="n"/>
      <c r="G64" s="26">
        <f>IF(OR(B64="",E64=""),"",IF(F64&lt;&gt;"","✓ Paid",IF(TODAY()-B64&gt;Settings!$C$10,"⚠ Overdue "&amp;(TODAY()-B64-Settings!$C$10)&amp;" day(s)","Waiting "&amp;(TODAY()-B64)&amp;" day(s)")))</f>
        <v/>
      </c>
      <c r="H64" s="1" t="n"/>
    </row>
    <row r="65">
      <c r="A65" s="1" t="n"/>
      <c r="B65" s="23" t="n"/>
      <c r="C65" s="22" t="n"/>
      <c r="D65" s="24" t="n"/>
      <c r="E65" s="25" t="n"/>
      <c r="F65" s="23" t="n"/>
      <c r="G65" s="26">
        <f>IF(OR(B65="",E65=""),"",IF(F65&lt;&gt;"","✓ Paid",IF(TODAY()-B65&gt;Settings!$C$10,"⚠ Overdue "&amp;(TODAY()-B65-Settings!$C$10)&amp;" day(s)","Waiting "&amp;(TODAY()-B65)&amp;" day(s)")))</f>
        <v/>
      </c>
      <c r="H65" s="1" t="n"/>
    </row>
    <row r="66">
      <c r="A66" s="1" t="n"/>
      <c r="B66" s="23" t="n"/>
      <c r="C66" s="22" t="n"/>
      <c r="D66" s="24" t="n"/>
      <c r="E66" s="25" t="n"/>
      <c r="F66" s="23" t="n"/>
      <c r="G66" s="26">
        <f>IF(OR(B66="",E66=""),"",IF(F66&lt;&gt;"","✓ Paid",IF(TODAY()-B66&gt;Settings!$C$10,"⚠ Overdue "&amp;(TODAY()-B66-Settings!$C$10)&amp;" day(s)","Waiting "&amp;(TODAY()-B66)&amp;" day(s)")))</f>
        <v/>
      </c>
      <c r="H66" s="1" t="n"/>
    </row>
    <row r="67">
      <c r="A67" s="1" t="n"/>
      <c r="B67" s="23" t="n"/>
      <c r="C67" s="22" t="n"/>
      <c r="D67" s="24" t="n"/>
      <c r="E67" s="25" t="n"/>
      <c r="F67" s="23" t="n"/>
      <c r="G67" s="26">
        <f>IF(OR(B67="",E67=""),"",IF(F67&lt;&gt;"","✓ Paid",IF(TODAY()-B67&gt;Settings!$C$10,"⚠ Overdue "&amp;(TODAY()-B67-Settings!$C$10)&amp;" day(s)","Waiting "&amp;(TODAY()-B67)&amp;" day(s)")))</f>
        <v/>
      </c>
      <c r="H67" s="1" t="n"/>
    </row>
    <row r="68">
      <c r="A68" s="1" t="n"/>
      <c r="B68" s="23" t="n"/>
      <c r="C68" s="22" t="n"/>
      <c r="D68" s="24" t="n"/>
      <c r="E68" s="25" t="n"/>
      <c r="F68" s="23" t="n"/>
      <c r="G68" s="26">
        <f>IF(OR(B68="",E68=""),"",IF(F68&lt;&gt;"","✓ Paid",IF(TODAY()-B68&gt;Settings!$C$10,"⚠ Overdue "&amp;(TODAY()-B68-Settings!$C$10)&amp;" day(s)","Waiting "&amp;(TODAY()-B68)&amp;" day(s)")))</f>
        <v/>
      </c>
      <c r="H68" s="1" t="n"/>
    </row>
    <row r="69">
      <c r="A69" s="1" t="n"/>
      <c r="B69" s="23" t="n"/>
      <c r="C69" s="22" t="n"/>
      <c r="D69" s="24" t="n"/>
      <c r="E69" s="25" t="n"/>
      <c r="F69" s="23" t="n"/>
      <c r="G69" s="26">
        <f>IF(OR(B69="",E69=""),"",IF(F69&lt;&gt;"","✓ Paid",IF(TODAY()-B69&gt;Settings!$C$10,"⚠ Overdue "&amp;(TODAY()-B69-Settings!$C$10)&amp;" day(s)","Waiting "&amp;(TODAY()-B69)&amp;" day(s)")))</f>
        <v/>
      </c>
      <c r="H69" s="1" t="n"/>
    </row>
    <row r="70">
      <c r="A70" s="1" t="n"/>
      <c r="B70" s="23" t="n"/>
      <c r="C70" s="22" t="n"/>
      <c r="D70" s="24" t="n"/>
      <c r="E70" s="25" t="n"/>
      <c r="F70" s="23" t="n"/>
      <c r="G70" s="26">
        <f>IF(OR(B70="",E70=""),"",IF(F70&lt;&gt;"","✓ Paid",IF(TODAY()-B70&gt;Settings!$C$10,"⚠ Overdue "&amp;(TODAY()-B70-Settings!$C$10)&amp;" day(s)","Waiting "&amp;(TODAY()-B70)&amp;" day(s)")))</f>
        <v/>
      </c>
      <c r="H70" s="1" t="n"/>
    </row>
    <row r="71">
      <c r="A71" s="1" t="n"/>
      <c r="B71" s="23" t="n"/>
      <c r="C71" s="22" t="n"/>
      <c r="D71" s="24" t="n"/>
      <c r="E71" s="25" t="n"/>
      <c r="F71" s="23" t="n"/>
      <c r="G71" s="26">
        <f>IF(OR(B71="",E71=""),"",IF(F71&lt;&gt;"","✓ Paid",IF(TODAY()-B71&gt;Settings!$C$10,"⚠ Overdue "&amp;(TODAY()-B71-Settings!$C$10)&amp;" day(s)","Waiting "&amp;(TODAY()-B71)&amp;" day(s)")))</f>
        <v/>
      </c>
      <c r="H71" s="1" t="n"/>
    </row>
    <row r="72">
      <c r="A72" s="1" t="n"/>
      <c r="B72" s="23" t="n"/>
      <c r="C72" s="22" t="n"/>
      <c r="D72" s="24" t="n"/>
      <c r="E72" s="25" t="n"/>
      <c r="F72" s="23" t="n"/>
      <c r="G72" s="26">
        <f>IF(OR(B72="",E72=""),"",IF(F72&lt;&gt;"","✓ Paid",IF(TODAY()-B72&gt;Settings!$C$10,"⚠ Overdue "&amp;(TODAY()-B72-Settings!$C$10)&amp;" day(s)","Waiting "&amp;(TODAY()-B72)&amp;" day(s)")))</f>
        <v/>
      </c>
      <c r="H72" s="1" t="n"/>
    </row>
    <row r="73">
      <c r="A73" s="1" t="n"/>
      <c r="B73" s="23" t="n"/>
      <c r="C73" s="22" t="n"/>
      <c r="D73" s="24" t="n"/>
      <c r="E73" s="25" t="n"/>
      <c r="F73" s="23" t="n"/>
      <c r="G73" s="26">
        <f>IF(OR(B73="",E73=""),"",IF(F73&lt;&gt;"","✓ Paid",IF(TODAY()-B73&gt;Settings!$C$10,"⚠ Overdue "&amp;(TODAY()-B73-Settings!$C$10)&amp;" day(s)","Waiting "&amp;(TODAY()-B73)&amp;" day(s)")))</f>
        <v/>
      </c>
      <c r="H73" s="1" t="n"/>
    </row>
    <row r="74">
      <c r="A74" s="1" t="n"/>
      <c r="B74" s="23" t="n"/>
      <c r="C74" s="22" t="n"/>
      <c r="D74" s="24" t="n"/>
      <c r="E74" s="25" t="n"/>
      <c r="F74" s="23" t="n"/>
      <c r="G74" s="26">
        <f>IF(OR(B74="",E74=""),"",IF(F74&lt;&gt;"","✓ Paid",IF(TODAY()-B74&gt;Settings!$C$10,"⚠ Overdue "&amp;(TODAY()-B74-Settings!$C$10)&amp;" day(s)","Waiting "&amp;(TODAY()-B74)&amp;" day(s)")))</f>
        <v/>
      </c>
      <c r="H74" s="1" t="n"/>
    </row>
    <row r="75">
      <c r="A75" s="1" t="n"/>
      <c r="B75" s="23" t="n"/>
      <c r="C75" s="22" t="n"/>
      <c r="D75" s="24" t="n"/>
      <c r="E75" s="25" t="n"/>
      <c r="F75" s="23" t="n"/>
      <c r="G75" s="26">
        <f>IF(OR(B75="",E75=""),"",IF(F75&lt;&gt;"","✓ Paid",IF(TODAY()-B75&gt;Settings!$C$10,"⚠ Overdue "&amp;(TODAY()-B75-Settings!$C$10)&amp;" day(s)","Waiting "&amp;(TODAY()-B75)&amp;" day(s)")))</f>
        <v/>
      </c>
      <c r="H75" s="1" t="n"/>
    </row>
    <row r="76">
      <c r="A76" s="1" t="n"/>
      <c r="B76" s="23" t="n"/>
      <c r="C76" s="22" t="n"/>
      <c r="D76" s="24" t="n"/>
      <c r="E76" s="25" t="n"/>
      <c r="F76" s="23" t="n"/>
      <c r="G76" s="26">
        <f>IF(OR(B76="",E76=""),"",IF(F76&lt;&gt;"","✓ Paid",IF(TODAY()-B76&gt;Settings!$C$10,"⚠ Overdue "&amp;(TODAY()-B76-Settings!$C$10)&amp;" day(s)","Waiting "&amp;(TODAY()-B76)&amp;" day(s)")))</f>
        <v/>
      </c>
      <c r="H76" s="1" t="n"/>
    </row>
    <row r="77">
      <c r="A77" s="1" t="n"/>
      <c r="B77" s="23" t="n"/>
      <c r="C77" s="22" t="n"/>
      <c r="D77" s="24" t="n"/>
      <c r="E77" s="25" t="n"/>
      <c r="F77" s="23" t="n"/>
      <c r="G77" s="26">
        <f>IF(OR(B77="",E77=""),"",IF(F77&lt;&gt;"","✓ Paid",IF(TODAY()-B77&gt;Settings!$C$10,"⚠ Overdue "&amp;(TODAY()-B77-Settings!$C$10)&amp;" day(s)","Waiting "&amp;(TODAY()-B77)&amp;" day(s)")))</f>
        <v/>
      </c>
      <c r="H77" s="1" t="n"/>
    </row>
    <row r="78">
      <c r="A78" s="1" t="n"/>
      <c r="B78" s="23" t="n"/>
      <c r="C78" s="22" t="n"/>
      <c r="D78" s="24" t="n"/>
      <c r="E78" s="25" t="n"/>
      <c r="F78" s="23" t="n"/>
      <c r="G78" s="26">
        <f>IF(OR(B78="",E78=""),"",IF(F78&lt;&gt;"","✓ Paid",IF(TODAY()-B78&gt;Settings!$C$10,"⚠ Overdue "&amp;(TODAY()-B78-Settings!$C$10)&amp;" day(s)","Waiting "&amp;(TODAY()-B78)&amp;" day(s)")))</f>
        <v/>
      </c>
      <c r="H78" s="1" t="n"/>
    </row>
    <row r="79">
      <c r="A79" s="1" t="n"/>
      <c r="B79" s="23" t="n"/>
      <c r="C79" s="22" t="n"/>
      <c r="D79" s="24" t="n"/>
      <c r="E79" s="25" t="n"/>
      <c r="F79" s="23" t="n"/>
      <c r="G79" s="26">
        <f>IF(OR(B79="",E79=""),"",IF(F79&lt;&gt;"","✓ Paid",IF(TODAY()-B79&gt;Settings!$C$10,"⚠ Overdue "&amp;(TODAY()-B79-Settings!$C$10)&amp;" day(s)","Waiting "&amp;(TODAY()-B79)&amp;" day(s)")))</f>
        <v/>
      </c>
      <c r="H79" s="1" t="n"/>
    </row>
    <row r="80">
      <c r="A80" s="1" t="n"/>
      <c r="B80" s="23" t="n"/>
      <c r="C80" s="22" t="n"/>
      <c r="D80" s="24" t="n"/>
      <c r="E80" s="25" t="n"/>
      <c r="F80" s="23" t="n"/>
      <c r="G80" s="26">
        <f>IF(OR(B80="",E80=""),"",IF(F80&lt;&gt;"","✓ Paid",IF(TODAY()-B80&gt;Settings!$C$10,"⚠ Overdue "&amp;(TODAY()-B80-Settings!$C$10)&amp;" day(s)","Waiting "&amp;(TODAY()-B80)&amp;" day(s)")))</f>
        <v/>
      </c>
      <c r="H80" s="1" t="n"/>
    </row>
    <row r="81">
      <c r="A81" s="1" t="n"/>
      <c r="B81" s="23" t="n"/>
      <c r="C81" s="22" t="n"/>
      <c r="D81" s="24" t="n"/>
      <c r="E81" s="25" t="n"/>
      <c r="F81" s="23" t="n"/>
      <c r="G81" s="26">
        <f>IF(OR(B81="",E81=""),"",IF(F81&lt;&gt;"","✓ Paid",IF(TODAY()-B81&gt;Settings!$C$10,"⚠ Overdue "&amp;(TODAY()-B81-Settings!$C$10)&amp;" day(s)","Waiting "&amp;(TODAY()-B81)&amp;" day(s)")))</f>
        <v/>
      </c>
      <c r="H81" s="1" t="n"/>
    </row>
    <row r="82">
      <c r="A82" s="1" t="n"/>
      <c r="B82" s="23" t="n"/>
      <c r="C82" s="22" t="n"/>
      <c r="D82" s="24" t="n"/>
      <c r="E82" s="25" t="n"/>
      <c r="F82" s="23" t="n"/>
      <c r="G82" s="26">
        <f>IF(OR(B82="",E82=""),"",IF(F82&lt;&gt;"","✓ Paid",IF(TODAY()-B82&gt;Settings!$C$10,"⚠ Overdue "&amp;(TODAY()-B82-Settings!$C$10)&amp;" day(s)","Waiting "&amp;(TODAY()-B82)&amp;" day(s)")))</f>
        <v/>
      </c>
      <c r="H82" s="1" t="n"/>
    </row>
    <row r="83">
      <c r="A83" s="1" t="n"/>
      <c r="B83" s="23" t="n"/>
      <c r="C83" s="22" t="n"/>
      <c r="D83" s="24" t="n"/>
      <c r="E83" s="25" t="n"/>
      <c r="F83" s="23" t="n"/>
      <c r="G83" s="26">
        <f>IF(OR(B83="",E83=""),"",IF(F83&lt;&gt;"","✓ Paid",IF(TODAY()-B83&gt;Settings!$C$10,"⚠ Overdue "&amp;(TODAY()-B83-Settings!$C$10)&amp;" day(s)","Waiting "&amp;(TODAY()-B83)&amp;" day(s)")))</f>
        <v/>
      </c>
      <c r="H83" s="1" t="n"/>
    </row>
    <row r="84">
      <c r="A84" s="1" t="n"/>
      <c r="B84" s="23" t="n"/>
      <c r="C84" s="22" t="n"/>
      <c r="D84" s="24" t="n"/>
      <c r="E84" s="25" t="n"/>
      <c r="F84" s="23" t="n"/>
      <c r="G84" s="26">
        <f>IF(OR(B84="",E84=""),"",IF(F84&lt;&gt;"","✓ Paid",IF(TODAY()-B84&gt;Settings!$C$10,"⚠ Overdue "&amp;(TODAY()-B84-Settings!$C$10)&amp;" day(s)","Waiting "&amp;(TODAY()-B84)&amp;" day(s)")))</f>
        <v/>
      </c>
      <c r="H84" s="1" t="n"/>
    </row>
    <row r="85">
      <c r="A85" s="1" t="n"/>
      <c r="B85" s="23" t="n"/>
      <c r="C85" s="22" t="n"/>
      <c r="D85" s="24" t="n"/>
      <c r="E85" s="25" t="n"/>
      <c r="F85" s="23" t="n"/>
      <c r="G85" s="26">
        <f>IF(OR(B85="",E85=""),"",IF(F85&lt;&gt;"","✓ Paid",IF(TODAY()-B85&gt;Settings!$C$10,"⚠ Overdue "&amp;(TODAY()-B85-Settings!$C$10)&amp;" day(s)","Waiting "&amp;(TODAY()-B85)&amp;" day(s)")))</f>
        <v/>
      </c>
      <c r="H85" s="1" t="n"/>
    </row>
    <row r="86">
      <c r="A86" s="1" t="n"/>
      <c r="B86" s="23" t="n"/>
      <c r="C86" s="22" t="n"/>
      <c r="D86" s="24" t="n"/>
      <c r="E86" s="25" t="n"/>
      <c r="F86" s="23" t="n"/>
      <c r="G86" s="26">
        <f>IF(OR(B86="",E86=""),"",IF(F86&lt;&gt;"","✓ Paid",IF(TODAY()-B86&gt;Settings!$C$10,"⚠ Overdue "&amp;(TODAY()-B86-Settings!$C$10)&amp;" day(s)","Waiting "&amp;(TODAY()-B86)&amp;" day(s)")))</f>
        <v/>
      </c>
      <c r="H86" s="1" t="n"/>
    </row>
    <row r="87">
      <c r="A87" s="1" t="n"/>
      <c r="B87" s="23" t="n"/>
      <c r="C87" s="22" t="n"/>
      <c r="D87" s="24" t="n"/>
      <c r="E87" s="25" t="n"/>
      <c r="F87" s="23" t="n"/>
      <c r="G87" s="26">
        <f>IF(OR(B87="",E87=""),"",IF(F87&lt;&gt;"","✓ Paid",IF(TODAY()-B87&gt;Settings!$C$10,"⚠ Overdue "&amp;(TODAY()-B87-Settings!$C$10)&amp;" day(s)","Waiting "&amp;(TODAY()-B87)&amp;" day(s)")))</f>
        <v/>
      </c>
      <c r="H87" s="1" t="n"/>
    </row>
    <row r="88">
      <c r="A88" s="1" t="n"/>
      <c r="B88" s="23" t="n"/>
      <c r="C88" s="22" t="n"/>
      <c r="D88" s="24" t="n"/>
      <c r="E88" s="25" t="n"/>
      <c r="F88" s="23" t="n"/>
      <c r="G88" s="26">
        <f>IF(OR(B88="",E88=""),"",IF(F88&lt;&gt;"","✓ Paid",IF(TODAY()-B88&gt;Settings!$C$10,"⚠ Overdue "&amp;(TODAY()-B88-Settings!$C$10)&amp;" day(s)","Waiting "&amp;(TODAY()-B88)&amp;" day(s)")))</f>
        <v/>
      </c>
      <c r="H88" s="1" t="n"/>
    </row>
    <row r="89">
      <c r="A89" s="1" t="n"/>
      <c r="B89" s="23" t="n"/>
      <c r="C89" s="22" t="n"/>
      <c r="D89" s="24" t="n"/>
      <c r="E89" s="25" t="n"/>
      <c r="F89" s="23" t="n"/>
      <c r="G89" s="26">
        <f>IF(OR(B89="",E89=""),"",IF(F89&lt;&gt;"","✓ Paid",IF(TODAY()-B89&gt;Settings!$C$10,"⚠ Overdue "&amp;(TODAY()-B89-Settings!$C$10)&amp;" day(s)","Waiting "&amp;(TODAY()-B89)&amp;" day(s)")))</f>
        <v/>
      </c>
      <c r="H89" s="1" t="n"/>
    </row>
    <row r="90">
      <c r="A90" s="1" t="n"/>
      <c r="B90" s="23" t="n"/>
      <c r="C90" s="22" t="n"/>
      <c r="D90" s="24" t="n"/>
      <c r="E90" s="25" t="n"/>
      <c r="F90" s="23" t="n"/>
      <c r="G90" s="26">
        <f>IF(OR(B90="",E90=""),"",IF(F90&lt;&gt;"","✓ Paid",IF(TODAY()-B90&gt;Settings!$C$10,"⚠ Overdue "&amp;(TODAY()-B90-Settings!$C$10)&amp;" day(s)","Waiting "&amp;(TODAY()-B90)&amp;" day(s)")))</f>
        <v/>
      </c>
      <c r="H90" s="1" t="n"/>
    </row>
    <row r="91">
      <c r="A91" s="1" t="n"/>
      <c r="B91" s="23" t="n"/>
      <c r="C91" s="22" t="n"/>
      <c r="D91" s="24" t="n"/>
      <c r="E91" s="25" t="n"/>
      <c r="F91" s="23" t="n"/>
      <c r="G91" s="26">
        <f>IF(OR(B91="",E91=""),"",IF(F91&lt;&gt;"","✓ Paid",IF(TODAY()-B91&gt;Settings!$C$10,"⚠ Overdue "&amp;(TODAY()-B91-Settings!$C$10)&amp;" day(s)","Waiting "&amp;(TODAY()-B91)&amp;" day(s)")))</f>
        <v/>
      </c>
      <c r="H91" s="1" t="n"/>
    </row>
    <row r="92">
      <c r="A92" s="1" t="n"/>
      <c r="B92" s="23" t="n"/>
      <c r="C92" s="22" t="n"/>
      <c r="D92" s="24" t="n"/>
      <c r="E92" s="25" t="n"/>
      <c r="F92" s="23" t="n"/>
      <c r="G92" s="26">
        <f>IF(OR(B92="",E92=""),"",IF(F92&lt;&gt;"","✓ Paid",IF(TODAY()-B92&gt;Settings!$C$10,"⚠ Overdue "&amp;(TODAY()-B92-Settings!$C$10)&amp;" day(s)","Waiting "&amp;(TODAY()-B92)&amp;" day(s)")))</f>
        <v/>
      </c>
      <c r="H92" s="1" t="n"/>
    </row>
    <row r="93">
      <c r="A93" s="1" t="n"/>
      <c r="B93" s="23" t="n"/>
      <c r="C93" s="22" t="n"/>
      <c r="D93" s="24" t="n"/>
      <c r="E93" s="25" t="n"/>
      <c r="F93" s="23" t="n"/>
      <c r="G93" s="26">
        <f>IF(OR(B93="",E93=""),"",IF(F93&lt;&gt;"","✓ Paid",IF(TODAY()-B93&gt;Settings!$C$10,"⚠ Overdue "&amp;(TODAY()-B93-Settings!$C$10)&amp;" day(s)","Waiting "&amp;(TODAY()-B93)&amp;" day(s)")))</f>
        <v/>
      </c>
      <c r="H93" s="1" t="n"/>
    </row>
    <row r="94">
      <c r="A94" s="1" t="n"/>
      <c r="B94" s="23" t="n"/>
      <c r="C94" s="22" t="n"/>
      <c r="D94" s="24" t="n"/>
      <c r="E94" s="25" t="n"/>
      <c r="F94" s="23" t="n"/>
      <c r="G94" s="26">
        <f>IF(OR(B94="",E94=""),"",IF(F94&lt;&gt;"","✓ Paid",IF(TODAY()-B94&gt;Settings!$C$10,"⚠ Overdue "&amp;(TODAY()-B94-Settings!$C$10)&amp;" day(s)","Waiting "&amp;(TODAY()-B94)&amp;" day(s)")))</f>
        <v/>
      </c>
      <c r="H94" s="1" t="n"/>
    </row>
    <row r="95">
      <c r="A95" s="1" t="n"/>
      <c r="B95" s="23" t="n"/>
      <c r="C95" s="22" t="n"/>
      <c r="D95" s="24" t="n"/>
      <c r="E95" s="25" t="n"/>
      <c r="F95" s="23" t="n"/>
      <c r="G95" s="26">
        <f>IF(OR(B95="",E95=""),"",IF(F95&lt;&gt;"","✓ Paid",IF(TODAY()-B95&gt;Settings!$C$10,"⚠ Overdue "&amp;(TODAY()-B95-Settings!$C$10)&amp;" day(s)","Waiting "&amp;(TODAY()-B95)&amp;" day(s)")))</f>
        <v/>
      </c>
      <c r="H95" s="1" t="n"/>
    </row>
    <row r="96">
      <c r="A96" s="1" t="n"/>
      <c r="B96" s="23" t="n"/>
      <c r="C96" s="22" t="n"/>
      <c r="D96" s="24" t="n"/>
      <c r="E96" s="25" t="n"/>
      <c r="F96" s="23" t="n"/>
      <c r="G96" s="26">
        <f>IF(OR(B96="",E96=""),"",IF(F96&lt;&gt;"","✓ Paid",IF(TODAY()-B96&gt;Settings!$C$10,"⚠ Overdue "&amp;(TODAY()-B96-Settings!$C$10)&amp;" day(s)","Waiting "&amp;(TODAY()-B96)&amp;" day(s)")))</f>
        <v/>
      </c>
      <c r="H96" s="1" t="n"/>
    </row>
    <row r="97">
      <c r="A97" s="1" t="n"/>
      <c r="B97" s="23" t="n"/>
      <c r="C97" s="22" t="n"/>
      <c r="D97" s="24" t="n"/>
      <c r="E97" s="25" t="n"/>
      <c r="F97" s="23" t="n"/>
      <c r="G97" s="26">
        <f>IF(OR(B97="",E97=""),"",IF(F97&lt;&gt;"","✓ Paid",IF(TODAY()-B97&gt;Settings!$C$10,"⚠ Overdue "&amp;(TODAY()-B97-Settings!$C$10)&amp;" day(s)","Waiting "&amp;(TODAY()-B97)&amp;" day(s)")))</f>
        <v/>
      </c>
      <c r="H97" s="1" t="n"/>
    </row>
    <row r="98">
      <c r="A98" s="1" t="n"/>
      <c r="B98" s="23" t="n"/>
      <c r="C98" s="22" t="n"/>
      <c r="D98" s="24" t="n"/>
      <c r="E98" s="25" t="n"/>
      <c r="F98" s="23" t="n"/>
      <c r="G98" s="26">
        <f>IF(OR(B98="",E98=""),"",IF(F98&lt;&gt;"","✓ Paid",IF(TODAY()-B98&gt;Settings!$C$10,"⚠ Overdue "&amp;(TODAY()-B98-Settings!$C$10)&amp;" day(s)","Waiting "&amp;(TODAY()-B98)&amp;" day(s)")))</f>
        <v/>
      </c>
      <c r="H98" s="1" t="n"/>
    </row>
    <row r="99">
      <c r="A99" s="1" t="n"/>
      <c r="B99" s="23" t="n"/>
      <c r="C99" s="22" t="n"/>
      <c r="D99" s="24" t="n"/>
      <c r="E99" s="25" t="n"/>
      <c r="F99" s="23" t="n"/>
      <c r="G99" s="26">
        <f>IF(OR(B99="",E99=""),"",IF(F99&lt;&gt;"","✓ Paid",IF(TODAY()-B99&gt;Settings!$C$10,"⚠ Overdue "&amp;(TODAY()-B99-Settings!$C$10)&amp;" day(s)","Waiting "&amp;(TODAY()-B99)&amp;" day(s)")))</f>
        <v/>
      </c>
      <c r="H99" s="1" t="n"/>
    </row>
    <row r="100">
      <c r="A100" s="1" t="n"/>
      <c r="B100" s="23" t="n"/>
      <c r="C100" s="22" t="n"/>
      <c r="D100" s="24" t="n"/>
      <c r="E100" s="25" t="n"/>
      <c r="F100" s="23" t="n"/>
      <c r="G100" s="26">
        <f>IF(OR(B100="",E100=""),"",IF(F100&lt;&gt;"","✓ Paid",IF(TODAY()-B100&gt;Settings!$C$10,"⚠ Overdue "&amp;(TODAY()-B100-Settings!$C$10)&amp;" day(s)","Waiting "&amp;(TODAY()-B100)&amp;" day(s)")))</f>
        <v/>
      </c>
      <c r="H100" s="1" t="n"/>
    </row>
    <row r="101">
      <c r="A101" s="1" t="n"/>
      <c r="B101" s="23" t="n"/>
      <c r="C101" s="22" t="n"/>
      <c r="D101" s="24" t="n"/>
      <c r="E101" s="25" t="n"/>
      <c r="F101" s="23" t="n"/>
      <c r="G101" s="26">
        <f>IF(OR(B101="",E101=""),"",IF(F101&lt;&gt;"","✓ Paid",IF(TODAY()-B101&gt;Settings!$C$10,"⚠ Overdue "&amp;(TODAY()-B101-Settings!$C$10)&amp;" day(s)","Waiting "&amp;(TODAY()-B101)&amp;" day(s)")))</f>
        <v/>
      </c>
      <c r="H101" s="1" t="n"/>
    </row>
    <row r="102">
      <c r="A102" s="1" t="n"/>
      <c r="B102" s="23" t="n"/>
      <c r="C102" s="22" t="n"/>
      <c r="D102" s="24" t="n"/>
      <c r="E102" s="25" t="n"/>
      <c r="F102" s="23" t="n"/>
      <c r="G102" s="26">
        <f>IF(OR(B102="",E102=""),"",IF(F102&lt;&gt;"","✓ Paid",IF(TODAY()-B102&gt;Settings!$C$10,"⚠ Overdue "&amp;(TODAY()-B102-Settings!$C$10)&amp;" day(s)","Waiting "&amp;(TODAY()-B102)&amp;" day(s)")))</f>
        <v/>
      </c>
      <c r="H102" s="1" t="n"/>
    </row>
    <row r="103">
      <c r="A103" s="1" t="n"/>
      <c r="B103" s="23" t="n"/>
      <c r="C103" s="22" t="n"/>
      <c r="D103" s="24" t="n"/>
      <c r="E103" s="25" t="n"/>
      <c r="F103" s="23" t="n"/>
      <c r="G103" s="26">
        <f>IF(OR(B103="",E103=""),"",IF(F103&lt;&gt;"","✓ Paid",IF(TODAY()-B103&gt;Settings!$C$10,"⚠ Overdue "&amp;(TODAY()-B103-Settings!$C$10)&amp;" day(s)","Waiting "&amp;(TODAY()-B103)&amp;" day(s)")))</f>
        <v/>
      </c>
      <c r="H103" s="1" t="n"/>
    </row>
    <row r="104">
      <c r="A104" s="1" t="n"/>
      <c r="B104" s="23" t="n"/>
      <c r="C104" s="22" t="n"/>
      <c r="D104" s="24" t="n"/>
      <c r="E104" s="25" t="n"/>
      <c r="F104" s="23" t="n"/>
      <c r="G104" s="26">
        <f>IF(OR(B104="",E104=""),"",IF(F104&lt;&gt;"","✓ Paid",IF(TODAY()-B104&gt;Settings!$C$10,"⚠ Overdue "&amp;(TODAY()-B104-Settings!$C$10)&amp;" day(s)","Waiting "&amp;(TODAY()-B104)&amp;" day(s)")))</f>
        <v/>
      </c>
      <c r="H104" s="1" t="n"/>
    </row>
    <row r="105">
      <c r="A105" s="1" t="n"/>
      <c r="B105" s="23" t="n"/>
      <c r="C105" s="22" t="n"/>
      <c r="D105" s="24" t="n"/>
      <c r="E105" s="25" t="n"/>
      <c r="F105" s="23" t="n"/>
      <c r="G105" s="26">
        <f>IF(OR(B105="",E105=""),"",IF(F105&lt;&gt;"","✓ Paid",IF(TODAY()-B105&gt;Settings!$C$10,"⚠ Overdue "&amp;(TODAY()-B105-Settings!$C$10)&amp;" day(s)","Waiting "&amp;(TODAY()-B105)&amp;" day(s)")))</f>
        <v/>
      </c>
      <c r="H105" s="1" t="n"/>
    </row>
    <row r="106">
      <c r="A106" s="1" t="n"/>
      <c r="B106" s="23" t="n"/>
      <c r="C106" s="22" t="n"/>
      <c r="D106" s="24" t="n"/>
      <c r="E106" s="25" t="n"/>
      <c r="F106" s="23" t="n"/>
      <c r="G106" s="26">
        <f>IF(OR(B106="",E106=""),"",IF(F106&lt;&gt;"","✓ Paid",IF(TODAY()-B106&gt;Settings!$C$10,"⚠ Overdue "&amp;(TODAY()-B106-Settings!$C$10)&amp;" day(s)","Waiting "&amp;(TODAY()-B106)&amp;" day(s)")))</f>
        <v/>
      </c>
      <c r="H106" s="1" t="n"/>
    </row>
    <row r="107">
      <c r="A107" s="1" t="n"/>
      <c r="B107" s="23" t="n"/>
      <c r="C107" s="22" t="n"/>
      <c r="D107" s="24" t="n"/>
      <c r="E107" s="25" t="n"/>
      <c r="F107" s="23" t="n"/>
      <c r="G107" s="26">
        <f>IF(OR(B107="",E107=""),"",IF(F107&lt;&gt;"","✓ Paid",IF(TODAY()-B107&gt;Settings!$C$10,"⚠ Overdue "&amp;(TODAY()-B107-Settings!$C$10)&amp;" day(s)","Waiting "&amp;(TODAY()-B107)&amp;" day(s)")))</f>
        <v/>
      </c>
      <c r="H107" s="1" t="n"/>
    </row>
    <row r="108">
      <c r="A108" s="1" t="n"/>
      <c r="B108" s="23" t="n"/>
      <c r="C108" s="22" t="n"/>
      <c r="D108" s="24" t="n"/>
      <c r="E108" s="25" t="n"/>
      <c r="F108" s="23" t="n"/>
      <c r="G108" s="26">
        <f>IF(OR(B108="",E108=""),"",IF(F108&lt;&gt;"","✓ Paid",IF(TODAY()-B108&gt;Settings!$C$10,"⚠ Overdue "&amp;(TODAY()-B108-Settings!$C$10)&amp;" day(s)","Waiting "&amp;(TODAY()-B108)&amp;" day(s)")))</f>
        <v/>
      </c>
      <c r="H108" s="1" t="n"/>
    </row>
    <row r="109">
      <c r="A109" s="1" t="n"/>
      <c r="B109" s="23" t="n"/>
      <c r="C109" s="22" t="n"/>
      <c r="D109" s="24" t="n"/>
      <c r="E109" s="25" t="n"/>
      <c r="F109" s="23" t="n"/>
      <c r="G109" s="26">
        <f>IF(OR(B109="",E109=""),"",IF(F109&lt;&gt;"","✓ Paid",IF(TODAY()-B109&gt;Settings!$C$10,"⚠ Overdue "&amp;(TODAY()-B109-Settings!$C$10)&amp;" day(s)","Waiting "&amp;(TODAY()-B109)&amp;" day(s)")))</f>
        <v/>
      </c>
      <c r="H109" s="1" t="n"/>
    </row>
    <row r="110">
      <c r="A110" s="1" t="n"/>
      <c r="B110" s="23" t="n"/>
      <c r="C110" s="22" t="n"/>
      <c r="D110" s="24" t="n"/>
      <c r="E110" s="25" t="n"/>
      <c r="F110" s="23" t="n"/>
      <c r="G110" s="26">
        <f>IF(OR(B110="",E110=""),"",IF(F110&lt;&gt;"","✓ Paid",IF(TODAY()-B110&gt;Settings!$C$10,"⚠ Overdue "&amp;(TODAY()-B110-Settings!$C$10)&amp;" day(s)","Waiting "&amp;(TODAY()-B110)&amp;" day(s)")))</f>
        <v/>
      </c>
      <c r="H110" s="1" t="n"/>
    </row>
    <row r="111">
      <c r="A111" s="1" t="n"/>
      <c r="B111" s="23" t="n"/>
      <c r="C111" s="22" t="n"/>
      <c r="D111" s="24" t="n"/>
      <c r="E111" s="25" t="n"/>
      <c r="F111" s="23" t="n"/>
      <c r="G111" s="26">
        <f>IF(OR(B111="",E111=""),"",IF(F111&lt;&gt;"","✓ Paid",IF(TODAY()-B111&gt;Settings!$C$10,"⚠ Overdue "&amp;(TODAY()-B111-Settings!$C$10)&amp;" day(s)","Waiting "&amp;(TODAY()-B111)&amp;" day(s)")))</f>
        <v/>
      </c>
      <c r="H111" s="1" t="n"/>
    </row>
    <row r="112">
      <c r="A112" s="1" t="n"/>
      <c r="B112" s="23" t="n"/>
      <c r="C112" s="22" t="n"/>
      <c r="D112" s="24" t="n"/>
      <c r="E112" s="25" t="n"/>
      <c r="F112" s="23" t="n"/>
      <c r="G112" s="26">
        <f>IF(OR(B112="",E112=""),"",IF(F112&lt;&gt;"","✓ Paid",IF(TODAY()-B112&gt;Settings!$C$10,"⚠ Overdue "&amp;(TODAY()-B112-Settings!$C$10)&amp;" day(s)","Waiting "&amp;(TODAY()-B112)&amp;" day(s)")))</f>
        <v/>
      </c>
      <c r="H112" s="1" t="n"/>
    </row>
    <row r="113">
      <c r="A113" s="1" t="n"/>
      <c r="B113" s="23" t="n"/>
      <c r="C113" s="22" t="n"/>
      <c r="D113" s="24" t="n"/>
      <c r="E113" s="25" t="n"/>
      <c r="F113" s="23" t="n"/>
      <c r="G113" s="26">
        <f>IF(OR(B113="",E113=""),"",IF(F113&lt;&gt;"","✓ Paid",IF(TODAY()-B113&gt;Settings!$C$10,"⚠ Overdue "&amp;(TODAY()-B113-Settings!$C$10)&amp;" day(s)","Waiting "&amp;(TODAY()-B113)&amp;" day(s)")))</f>
        <v/>
      </c>
      <c r="H113" s="1" t="n"/>
    </row>
    <row r="114">
      <c r="A114" s="1" t="n"/>
      <c r="B114" s="23" t="n"/>
      <c r="C114" s="22" t="n"/>
      <c r="D114" s="24" t="n"/>
      <c r="E114" s="25" t="n"/>
      <c r="F114" s="23" t="n"/>
      <c r="G114" s="26">
        <f>IF(OR(B114="",E114=""),"",IF(F114&lt;&gt;"","✓ Paid",IF(TODAY()-B114&gt;Settings!$C$10,"⚠ Overdue "&amp;(TODAY()-B114-Settings!$C$10)&amp;" day(s)","Waiting "&amp;(TODAY()-B114)&amp;" day(s)")))</f>
        <v/>
      </c>
      <c r="H114" s="1" t="n"/>
    </row>
    <row r="115">
      <c r="A115" s="1" t="n"/>
      <c r="B115" s="23" t="n"/>
      <c r="C115" s="22" t="n"/>
      <c r="D115" s="24" t="n"/>
      <c r="E115" s="25" t="n"/>
      <c r="F115" s="23" t="n"/>
      <c r="G115" s="26">
        <f>IF(OR(B115="",E115=""),"",IF(F115&lt;&gt;"","✓ Paid",IF(TODAY()-B115&gt;Settings!$C$10,"⚠ Overdue "&amp;(TODAY()-B115-Settings!$C$10)&amp;" day(s)","Waiting "&amp;(TODAY()-B115)&amp;" day(s)")))</f>
        <v/>
      </c>
      <c r="H115" s="1" t="n"/>
    </row>
    <row r="116">
      <c r="A116" s="1" t="n"/>
      <c r="B116" s="23" t="n"/>
      <c r="C116" s="22" t="n"/>
      <c r="D116" s="24" t="n"/>
      <c r="E116" s="25" t="n"/>
      <c r="F116" s="23" t="n"/>
      <c r="G116" s="26">
        <f>IF(OR(B116="",E116=""),"",IF(F116&lt;&gt;"","✓ Paid",IF(TODAY()-B116&gt;Settings!$C$10,"⚠ Overdue "&amp;(TODAY()-B116-Settings!$C$10)&amp;" day(s)","Waiting "&amp;(TODAY()-B116)&amp;" day(s)")))</f>
        <v/>
      </c>
      <c r="H116" s="1" t="n"/>
    </row>
    <row r="117">
      <c r="A117" s="1" t="n"/>
      <c r="B117" s="23" t="n"/>
      <c r="C117" s="22" t="n"/>
      <c r="D117" s="24" t="n"/>
      <c r="E117" s="25" t="n"/>
      <c r="F117" s="23" t="n"/>
      <c r="G117" s="26">
        <f>IF(OR(B117="",E117=""),"",IF(F117&lt;&gt;"","✓ Paid",IF(TODAY()-B117&gt;Settings!$C$10,"⚠ Overdue "&amp;(TODAY()-B117-Settings!$C$10)&amp;" day(s)","Waiting "&amp;(TODAY()-B117)&amp;" day(s)")))</f>
        <v/>
      </c>
      <c r="H117" s="1" t="n"/>
    </row>
    <row r="118">
      <c r="A118" s="1" t="n"/>
      <c r="B118" s="23" t="n"/>
      <c r="C118" s="22" t="n"/>
      <c r="D118" s="24" t="n"/>
      <c r="E118" s="25" t="n"/>
      <c r="F118" s="23" t="n"/>
      <c r="G118" s="26">
        <f>IF(OR(B118="",E118=""),"",IF(F118&lt;&gt;"","✓ Paid",IF(TODAY()-B118&gt;Settings!$C$10,"⚠ Overdue "&amp;(TODAY()-B118-Settings!$C$10)&amp;" day(s)","Waiting "&amp;(TODAY()-B118)&amp;" day(s)")))</f>
        <v/>
      </c>
      <c r="H118" s="1" t="n"/>
    </row>
    <row r="119">
      <c r="A119" s="1" t="n"/>
      <c r="B119" s="23" t="n"/>
      <c r="C119" s="22" t="n"/>
      <c r="D119" s="24" t="n"/>
      <c r="E119" s="25" t="n"/>
      <c r="F119" s="23" t="n"/>
      <c r="G119" s="26">
        <f>IF(OR(B119="",E119=""),"",IF(F119&lt;&gt;"","✓ Paid",IF(TODAY()-B119&gt;Settings!$C$10,"⚠ Overdue "&amp;(TODAY()-B119-Settings!$C$10)&amp;" day(s)","Waiting "&amp;(TODAY()-B119)&amp;" day(s)")))</f>
        <v/>
      </c>
      <c r="H119" s="1" t="n"/>
    </row>
    <row r="120">
      <c r="A120" s="1" t="n"/>
      <c r="B120" s="23" t="n"/>
      <c r="C120" s="22" t="n"/>
      <c r="D120" s="24" t="n"/>
      <c r="E120" s="25" t="n"/>
      <c r="F120" s="23" t="n"/>
      <c r="G120" s="26">
        <f>IF(OR(B120="",E120=""),"",IF(F120&lt;&gt;"","✓ Paid",IF(TODAY()-B120&gt;Settings!$C$10,"⚠ Overdue "&amp;(TODAY()-B120-Settings!$C$10)&amp;" day(s)","Waiting "&amp;(TODAY()-B120)&amp;" day(s)")))</f>
        <v/>
      </c>
      <c r="H120" s="1" t="n"/>
    </row>
    <row r="121">
      <c r="A121" s="1" t="n"/>
      <c r="B121" s="23" t="n"/>
      <c r="C121" s="22" t="n"/>
      <c r="D121" s="24" t="n"/>
      <c r="E121" s="25" t="n"/>
      <c r="F121" s="23" t="n"/>
      <c r="G121" s="26">
        <f>IF(OR(B121="",E121=""),"",IF(F121&lt;&gt;"","✓ Paid",IF(TODAY()-B121&gt;Settings!$C$10,"⚠ Overdue "&amp;(TODAY()-B121-Settings!$C$10)&amp;" day(s)","Waiting "&amp;(TODAY()-B121)&amp;" day(s)")))</f>
        <v/>
      </c>
      <c r="H121" s="1" t="n"/>
    </row>
    <row r="122">
      <c r="A122" s="1" t="n"/>
      <c r="B122" s="23" t="n"/>
      <c r="C122" s="22" t="n"/>
      <c r="D122" s="24" t="n"/>
      <c r="E122" s="25" t="n"/>
      <c r="F122" s="23" t="n"/>
      <c r="G122" s="26">
        <f>IF(OR(B122="",E122=""),"",IF(F122&lt;&gt;"","✓ Paid",IF(TODAY()-B122&gt;Settings!$C$10,"⚠ Overdue "&amp;(TODAY()-B122-Settings!$C$10)&amp;" day(s)","Waiting "&amp;(TODAY()-B122)&amp;" day(s)")))</f>
        <v/>
      </c>
      <c r="H122" s="1" t="n"/>
    </row>
    <row r="123">
      <c r="A123" s="1" t="n"/>
      <c r="B123" s="23" t="n"/>
      <c r="C123" s="22" t="n"/>
      <c r="D123" s="24" t="n"/>
      <c r="E123" s="25" t="n"/>
      <c r="F123" s="23" t="n"/>
      <c r="G123" s="26">
        <f>IF(OR(B123="",E123=""),"",IF(F123&lt;&gt;"","✓ Paid",IF(TODAY()-B123&gt;Settings!$C$10,"⚠ Overdue "&amp;(TODAY()-B123-Settings!$C$10)&amp;" day(s)","Waiting "&amp;(TODAY()-B123)&amp;" day(s)")))</f>
        <v/>
      </c>
      <c r="H123" s="1" t="n"/>
    </row>
    <row r="124">
      <c r="A124" s="1" t="n"/>
      <c r="B124" s="23" t="n"/>
      <c r="C124" s="22" t="n"/>
      <c r="D124" s="24" t="n"/>
      <c r="E124" s="25" t="n"/>
      <c r="F124" s="23" t="n"/>
      <c r="G124" s="26">
        <f>IF(OR(B124="",E124=""),"",IF(F124&lt;&gt;"","✓ Paid",IF(TODAY()-B124&gt;Settings!$C$10,"⚠ Overdue "&amp;(TODAY()-B124-Settings!$C$10)&amp;" day(s)","Waiting "&amp;(TODAY()-B124)&amp;" day(s)")))</f>
        <v/>
      </c>
      <c r="H124" s="1" t="n"/>
    </row>
    <row r="125">
      <c r="A125" s="1" t="n"/>
      <c r="B125" s="23" t="n"/>
      <c r="C125" s="22" t="n"/>
      <c r="D125" s="24" t="n"/>
      <c r="E125" s="25" t="n"/>
      <c r="F125" s="23" t="n"/>
      <c r="G125" s="26">
        <f>IF(OR(B125="",E125=""),"",IF(F125&lt;&gt;"","✓ Paid",IF(TODAY()-B125&gt;Settings!$C$10,"⚠ Overdue "&amp;(TODAY()-B125-Settings!$C$10)&amp;" day(s)","Waiting "&amp;(TODAY()-B125)&amp;" day(s)")))</f>
        <v/>
      </c>
      <c r="H125" s="1" t="n"/>
    </row>
    <row r="126">
      <c r="A126" s="1" t="n"/>
      <c r="B126" s="23" t="n"/>
      <c r="C126" s="22" t="n"/>
      <c r="D126" s="24" t="n"/>
      <c r="E126" s="25" t="n"/>
      <c r="F126" s="23" t="n"/>
      <c r="G126" s="26">
        <f>IF(OR(B126="",E126=""),"",IF(F126&lt;&gt;"","✓ Paid",IF(TODAY()-B126&gt;Settings!$C$10,"⚠ Overdue "&amp;(TODAY()-B126-Settings!$C$10)&amp;" day(s)","Waiting "&amp;(TODAY()-B126)&amp;" day(s)")))</f>
        <v/>
      </c>
      <c r="H126" s="1" t="n"/>
    </row>
    <row r="127">
      <c r="A127" s="1" t="n"/>
      <c r="B127" s="23" t="n"/>
      <c r="C127" s="22" t="n"/>
      <c r="D127" s="24" t="n"/>
      <c r="E127" s="25" t="n"/>
      <c r="F127" s="23" t="n"/>
      <c r="G127" s="26">
        <f>IF(OR(B127="",E127=""),"",IF(F127&lt;&gt;"","✓ Paid",IF(TODAY()-B127&gt;Settings!$C$10,"⚠ Overdue "&amp;(TODAY()-B127-Settings!$C$10)&amp;" day(s)","Waiting "&amp;(TODAY()-B127)&amp;" day(s)")))</f>
        <v/>
      </c>
      <c r="H127" s="1" t="n"/>
    </row>
    <row r="128">
      <c r="A128" s="1" t="n"/>
      <c r="B128" s="23" t="n"/>
      <c r="C128" s="22" t="n"/>
      <c r="D128" s="24" t="n"/>
      <c r="E128" s="25" t="n"/>
      <c r="F128" s="23" t="n"/>
      <c r="G128" s="26">
        <f>IF(OR(B128="",E128=""),"",IF(F128&lt;&gt;"","✓ Paid",IF(TODAY()-B128&gt;Settings!$C$10,"⚠ Overdue "&amp;(TODAY()-B128-Settings!$C$10)&amp;" day(s)","Waiting "&amp;(TODAY()-B128)&amp;" day(s)")))</f>
        <v/>
      </c>
      <c r="H128" s="1" t="n"/>
    </row>
    <row r="129">
      <c r="A129" s="1" t="n"/>
      <c r="B129" s="23" t="n"/>
      <c r="C129" s="22" t="n"/>
      <c r="D129" s="24" t="n"/>
      <c r="E129" s="25" t="n"/>
      <c r="F129" s="23" t="n"/>
      <c r="G129" s="26">
        <f>IF(OR(B129="",E129=""),"",IF(F129&lt;&gt;"","✓ Paid",IF(TODAY()-B129&gt;Settings!$C$10,"⚠ Overdue "&amp;(TODAY()-B129-Settings!$C$10)&amp;" day(s)","Waiting "&amp;(TODAY()-B129)&amp;" day(s)")))</f>
        <v/>
      </c>
      <c r="H129" s="1" t="n"/>
    </row>
    <row r="130">
      <c r="A130" s="1" t="n"/>
      <c r="B130" s="23" t="n"/>
      <c r="C130" s="22" t="n"/>
      <c r="D130" s="24" t="n"/>
      <c r="E130" s="25" t="n"/>
      <c r="F130" s="23" t="n"/>
      <c r="G130" s="26">
        <f>IF(OR(B130="",E130=""),"",IF(F130&lt;&gt;"","✓ Paid",IF(TODAY()-B130&gt;Settings!$C$10,"⚠ Overdue "&amp;(TODAY()-B130-Settings!$C$10)&amp;" day(s)","Waiting "&amp;(TODAY()-B130)&amp;" day(s)")))</f>
        <v/>
      </c>
      <c r="H130" s="1" t="n"/>
    </row>
    <row r="131">
      <c r="A131" s="1" t="n"/>
      <c r="B131" s="23" t="n"/>
      <c r="C131" s="22" t="n"/>
      <c r="D131" s="24" t="n"/>
      <c r="E131" s="25" t="n"/>
      <c r="F131" s="23" t="n"/>
      <c r="G131" s="26">
        <f>IF(OR(B131="",E131=""),"",IF(F131&lt;&gt;"","✓ Paid",IF(TODAY()-B131&gt;Settings!$C$10,"⚠ Overdue "&amp;(TODAY()-B131-Settings!$C$10)&amp;" day(s)","Waiting "&amp;(TODAY()-B131)&amp;" day(s)")))</f>
        <v/>
      </c>
      <c r="H131" s="1" t="n"/>
    </row>
    <row r="132">
      <c r="A132" s="1" t="n"/>
      <c r="B132" s="23" t="n"/>
      <c r="C132" s="22" t="n"/>
      <c r="D132" s="24" t="n"/>
      <c r="E132" s="25" t="n"/>
      <c r="F132" s="23" t="n"/>
      <c r="G132" s="26">
        <f>IF(OR(B132="",E132=""),"",IF(F132&lt;&gt;"","✓ Paid",IF(TODAY()-B132&gt;Settings!$C$10,"⚠ Overdue "&amp;(TODAY()-B132-Settings!$C$10)&amp;" day(s)","Waiting "&amp;(TODAY()-B132)&amp;" day(s)")))</f>
        <v/>
      </c>
      <c r="H132" s="1" t="n"/>
    </row>
    <row r="133">
      <c r="A133" s="1" t="n"/>
      <c r="B133" s="23" t="n"/>
      <c r="C133" s="22" t="n"/>
      <c r="D133" s="24" t="n"/>
      <c r="E133" s="25" t="n"/>
      <c r="F133" s="23" t="n"/>
      <c r="G133" s="26">
        <f>IF(OR(B133="",E133=""),"",IF(F133&lt;&gt;"","✓ Paid",IF(TODAY()-B133&gt;Settings!$C$10,"⚠ Overdue "&amp;(TODAY()-B133-Settings!$C$10)&amp;" day(s)","Waiting "&amp;(TODAY()-B133)&amp;" day(s)")))</f>
        <v/>
      </c>
      <c r="H133" s="1" t="n"/>
    </row>
    <row r="134">
      <c r="A134" s="1" t="n"/>
      <c r="B134" s="23" t="n"/>
      <c r="C134" s="22" t="n"/>
      <c r="D134" s="24" t="n"/>
      <c r="E134" s="25" t="n"/>
      <c r="F134" s="23" t="n"/>
      <c r="G134" s="26">
        <f>IF(OR(B134="",E134=""),"",IF(F134&lt;&gt;"","✓ Paid",IF(TODAY()-B134&gt;Settings!$C$10,"⚠ Overdue "&amp;(TODAY()-B134-Settings!$C$10)&amp;" day(s)","Waiting "&amp;(TODAY()-B134)&amp;" day(s)")))</f>
        <v/>
      </c>
      <c r="H134" s="1" t="n"/>
    </row>
    <row r="135">
      <c r="A135" s="1" t="n"/>
      <c r="B135" s="23" t="n"/>
      <c r="C135" s="22" t="n"/>
      <c r="D135" s="24" t="n"/>
      <c r="E135" s="25" t="n"/>
      <c r="F135" s="23" t="n"/>
      <c r="G135" s="26">
        <f>IF(OR(B135="",E135=""),"",IF(F135&lt;&gt;"","✓ Paid",IF(TODAY()-B135&gt;Settings!$C$10,"⚠ Overdue "&amp;(TODAY()-B135-Settings!$C$10)&amp;" day(s)","Waiting "&amp;(TODAY()-B135)&amp;" day(s)")))</f>
        <v/>
      </c>
      <c r="H135" s="1" t="n"/>
    </row>
    <row r="136">
      <c r="A136" s="1" t="n"/>
      <c r="B136" s="23" t="n"/>
      <c r="C136" s="22" t="n"/>
      <c r="D136" s="24" t="n"/>
      <c r="E136" s="25" t="n"/>
      <c r="F136" s="23" t="n"/>
      <c r="G136" s="26">
        <f>IF(OR(B136="",E136=""),"",IF(F136&lt;&gt;"","✓ Paid",IF(TODAY()-B136&gt;Settings!$C$10,"⚠ Overdue "&amp;(TODAY()-B136-Settings!$C$10)&amp;" day(s)","Waiting "&amp;(TODAY()-B136)&amp;" day(s)")))</f>
        <v/>
      </c>
      <c r="H136" s="1" t="n"/>
    </row>
    <row r="137">
      <c r="A137" s="1" t="n"/>
      <c r="B137" s="23" t="n"/>
      <c r="C137" s="22" t="n"/>
      <c r="D137" s="24" t="n"/>
      <c r="E137" s="25" t="n"/>
      <c r="F137" s="23" t="n"/>
      <c r="G137" s="26">
        <f>IF(OR(B137="",E137=""),"",IF(F137&lt;&gt;"","✓ Paid",IF(TODAY()-B137&gt;Settings!$C$10,"⚠ Overdue "&amp;(TODAY()-B137-Settings!$C$10)&amp;" day(s)","Waiting "&amp;(TODAY()-B137)&amp;" day(s)")))</f>
        <v/>
      </c>
      <c r="H137" s="1" t="n"/>
    </row>
    <row r="138">
      <c r="A138" s="1" t="n"/>
      <c r="B138" s="23" t="n"/>
      <c r="C138" s="22" t="n"/>
      <c r="D138" s="24" t="n"/>
      <c r="E138" s="25" t="n"/>
      <c r="F138" s="23" t="n"/>
      <c r="G138" s="26">
        <f>IF(OR(B138="",E138=""),"",IF(F138&lt;&gt;"","✓ Paid",IF(TODAY()-B138&gt;Settings!$C$10,"⚠ Overdue "&amp;(TODAY()-B138-Settings!$C$10)&amp;" day(s)","Waiting "&amp;(TODAY()-B138)&amp;" day(s)")))</f>
        <v/>
      </c>
      <c r="H138" s="1" t="n"/>
    </row>
    <row r="139">
      <c r="A139" s="1" t="n"/>
      <c r="B139" s="23" t="n"/>
      <c r="C139" s="22" t="n"/>
      <c r="D139" s="24" t="n"/>
      <c r="E139" s="25" t="n"/>
      <c r="F139" s="23" t="n"/>
      <c r="G139" s="26">
        <f>IF(OR(B139="",E139=""),"",IF(F139&lt;&gt;"","✓ Paid",IF(TODAY()-B139&gt;Settings!$C$10,"⚠ Overdue "&amp;(TODAY()-B139-Settings!$C$10)&amp;" day(s)","Waiting "&amp;(TODAY()-B139)&amp;" day(s)")))</f>
        <v/>
      </c>
      <c r="H139" s="1" t="n"/>
    </row>
    <row r="140">
      <c r="A140" s="1" t="n"/>
      <c r="B140" s="23" t="n"/>
      <c r="C140" s="22" t="n"/>
      <c r="D140" s="24" t="n"/>
      <c r="E140" s="25" t="n"/>
      <c r="F140" s="23" t="n"/>
      <c r="G140" s="26">
        <f>IF(OR(B140="",E140=""),"",IF(F140&lt;&gt;"","✓ Paid",IF(TODAY()-B140&gt;Settings!$C$10,"⚠ Overdue "&amp;(TODAY()-B140-Settings!$C$10)&amp;" day(s)","Waiting "&amp;(TODAY()-B140)&amp;" day(s)")))</f>
        <v/>
      </c>
      <c r="H140" s="1" t="n"/>
    </row>
    <row r="141">
      <c r="A141" s="1" t="n"/>
      <c r="B141" s="23" t="n"/>
      <c r="C141" s="22" t="n"/>
      <c r="D141" s="24" t="n"/>
      <c r="E141" s="25" t="n"/>
      <c r="F141" s="23" t="n"/>
      <c r="G141" s="26">
        <f>IF(OR(B141="",E141=""),"",IF(F141&lt;&gt;"","✓ Paid",IF(TODAY()-B141&gt;Settings!$C$10,"⚠ Overdue "&amp;(TODAY()-B141-Settings!$C$10)&amp;" day(s)","Waiting "&amp;(TODAY()-B141)&amp;" day(s)")))</f>
        <v/>
      </c>
      <c r="H141" s="1" t="n"/>
    </row>
    <row r="142">
      <c r="A142" s="1" t="n"/>
      <c r="B142" s="23" t="n"/>
      <c r="C142" s="22" t="n"/>
      <c r="D142" s="24" t="n"/>
      <c r="E142" s="25" t="n"/>
      <c r="F142" s="23" t="n"/>
      <c r="G142" s="26">
        <f>IF(OR(B142="",E142=""),"",IF(F142&lt;&gt;"","✓ Paid",IF(TODAY()-B142&gt;Settings!$C$10,"⚠ Overdue "&amp;(TODAY()-B142-Settings!$C$10)&amp;" day(s)","Waiting "&amp;(TODAY()-B142)&amp;" day(s)")))</f>
        <v/>
      </c>
      <c r="H142" s="1" t="n"/>
    </row>
    <row r="143">
      <c r="A143" s="1" t="n"/>
      <c r="B143" s="23" t="n"/>
      <c r="C143" s="22" t="n"/>
      <c r="D143" s="24" t="n"/>
      <c r="E143" s="25" t="n"/>
      <c r="F143" s="23" t="n"/>
      <c r="G143" s="26">
        <f>IF(OR(B143="",E143=""),"",IF(F143&lt;&gt;"","✓ Paid",IF(TODAY()-B143&gt;Settings!$C$10,"⚠ Overdue "&amp;(TODAY()-B143-Settings!$C$10)&amp;" day(s)","Waiting "&amp;(TODAY()-B143)&amp;" day(s)")))</f>
        <v/>
      </c>
      <c r="H143" s="1" t="n"/>
    </row>
    <row r="144">
      <c r="A144" s="1" t="n"/>
      <c r="B144" s="23" t="n"/>
      <c r="C144" s="22" t="n"/>
      <c r="D144" s="24" t="n"/>
      <c r="E144" s="25" t="n"/>
      <c r="F144" s="23" t="n"/>
      <c r="G144" s="26">
        <f>IF(OR(B144="",E144=""),"",IF(F144&lt;&gt;"","✓ Paid",IF(TODAY()-B144&gt;Settings!$C$10,"⚠ Overdue "&amp;(TODAY()-B144-Settings!$C$10)&amp;" day(s)","Waiting "&amp;(TODAY()-B144)&amp;" day(s)")))</f>
        <v/>
      </c>
      <c r="H144" s="1" t="n"/>
    </row>
    <row r="145">
      <c r="A145" s="1" t="n"/>
      <c r="B145" s="23" t="n"/>
      <c r="C145" s="22" t="n"/>
      <c r="D145" s="24" t="n"/>
      <c r="E145" s="25" t="n"/>
      <c r="F145" s="23" t="n"/>
      <c r="G145" s="26">
        <f>IF(OR(B145="",E145=""),"",IF(F145&lt;&gt;"","✓ Paid",IF(TODAY()-B145&gt;Settings!$C$10,"⚠ Overdue "&amp;(TODAY()-B145-Settings!$C$10)&amp;" day(s)","Waiting "&amp;(TODAY()-B145)&amp;" day(s)")))</f>
        <v/>
      </c>
      <c r="H145" s="1" t="n"/>
    </row>
    <row r="146">
      <c r="A146" s="1" t="n"/>
      <c r="B146" s="23" t="n"/>
      <c r="C146" s="22" t="n"/>
      <c r="D146" s="24" t="n"/>
      <c r="E146" s="25" t="n"/>
      <c r="F146" s="23" t="n"/>
      <c r="G146" s="26">
        <f>IF(OR(B146="",E146=""),"",IF(F146&lt;&gt;"","✓ Paid",IF(TODAY()-B146&gt;Settings!$C$10,"⚠ Overdue "&amp;(TODAY()-B146-Settings!$C$10)&amp;" day(s)","Waiting "&amp;(TODAY()-B146)&amp;" day(s)")))</f>
        <v/>
      </c>
      <c r="H146" s="1" t="n"/>
    </row>
    <row r="147">
      <c r="A147" s="1" t="n"/>
      <c r="B147" s="23" t="n"/>
      <c r="C147" s="22" t="n"/>
      <c r="D147" s="24" t="n"/>
      <c r="E147" s="25" t="n"/>
      <c r="F147" s="23" t="n"/>
      <c r="G147" s="26">
        <f>IF(OR(B147="",E147=""),"",IF(F147&lt;&gt;"","✓ Paid",IF(TODAY()-B147&gt;Settings!$C$10,"⚠ Overdue "&amp;(TODAY()-B147-Settings!$C$10)&amp;" day(s)","Waiting "&amp;(TODAY()-B147)&amp;" day(s)")))</f>
        <v/>
      </c>
      <c r="H147" s="1" t="n"/>
    </row>
    <row r="148">
      <c r="A148" s="1" t="n"/>
      <c r="B148" s="23" t="n"/>
      <c r="C148" s="22" t="n"/>
      <c r="D148" s="24" t="n"/>
      <c r="E148" s="25" t="n"/>
      <c r="F148" s="23" t="n"/>
      <c r="G148" s="26">
        <f>IF(OR(B148="",E148=""),"",IF(F148&lt;&gt;"","✓ Paid",IF(TODAY()-B148&gt;Settings!$C$10,"⚠ Overdue "&amp;(TODAY()-B148-Settings!$C$10)&amp;" day(s)","Waiting "&amp;(TODAY()-B148)&amp;" day(s)")))</f>
        <v/>
      </c>
      <c r="H148" s="1" t="n"/>
    </row>
    <row r="149">
      <c r="A149" s="1" t="n"/>
      <c r="B149" s="23" t="n"/>
      <c r="C149" s="22" t="n"/>
      <c r="D149" s="24" t="n"/>
      <c r="E149" s="25" t="n"/>
      <c r="F149" s="23" t="n"/>
      <c r="G149" s="26">
        <f>IF(OR(B149="",E149=""),"",IF(F149&lt;&gt;"","✓ Paid",IF(TODAY()-B149&gt;Settings!$C$10,"⚠ Overdue "&amp;(TODAY()-B149-Settings!$C$10)&amp;" day(s)","Waiting "&amp;(TODAY()-B149)&amp;" day(s)")))</f>
        <v/>
      </c>
      <c r="H149" s="1" t="n"/>
    </row>
    <row r="150">
      <c r="A150" s="1" t="n"/>
      <c r="B150" s="23" t="n"/>
      <c r="C150" s="22" t="n"/>
      <c r="D150" s="24" t="n"/>
      <c r="E150" s="25" t="n"/>
      <c r="F150" s="23" t="n"/>
      <c r="G150" s="26">
        <f>IF(OR(B150="",E150=""),"",IF(F150&lt;&gt;"","✓ Paid",IF(TODAY()-B150&gt;Settings!$C$10,"⚠ Overdue "&amp;(TODAY()-B150-Settings!$C$10)&amp;" day(s)","Waiting "&amp;(TODAY()-B150)&amp;" day(s)")))</f>
        <v/>
      </c>
      <c r="H150" s="1" t="n"/>
    </row>
    <row r="151">
      <c r="A151" s="1" t="n"/>
      <c r="B151" s="23" t="n"/>
      <c r="C151" s="22" t="n"/>
      <c r="D151" s="24" t="n"/>
      <c r="E151" s="25" t="n"/>
      <c r="F151" s="23" t="n"/>
      <c r="G151" s="26">
        <f>IF(OR(B151="",E151=""),"",IF(F151&lt;&gt;"","✓ Paid",IF(TODAY()-B151&gt;Settings!$C$10,"⚠ Overdue "&amp;(TODAY()-B151-Settings!$C$10)&amp;" day(s)","Waiting "&amp;(TODAY()-B151)&amp;" day(s)")))</f>
        <v/>
      </c>
      <c r="H151" s="1" t="n"/>
    </row>
    <row r="152">
      <c r="A152" s="1" t="n"/>
      <c r="B152" s="23" t="n"/>
      <c r="C152" s="22" t="n"/>
      <c r="D152" s="24" t="n"/>
      <c r="E152" s="25" t="n"/>
      <c r="F152" s="23" t="n"/>
      <c r="G152" s="26">
        <f>IF(OR(B152="",E152=""),"",IF(F152&lt;&gt;"","✓ Paid",IF(TODAY()-B152&gt;Settings!$C$10,"⚠ Overdue "&amp;(TODAY()-B152-Settings!$C$10)&amp;" day(s)","Waiting "&amp;(TODAY()-B152)&amp;" day(s)")))</f>
        <v/>
      </c>
      <c r="H152" s="1" t="n"/>
    </row>
    <row r="153">
      <c r="A153" s="1" t="n"/>
      <c r="B153" s="23" t="n"/>
      <c r="C153" s="22" t="n"/>
      <c r="D153" s="24" t="n"/>
      <c r="E153" s="25" t="n"/>
      <c r="F153" s="23" t="n"/>
      <c r="G153" s="26">
        <f>IF(OR(B153="",E153=""),"",IF(F153&lt;&gt;"","✓ Paid",IF(TODAY()-B153&gt;Settings!$C$10,"⚠ Overdue "&amp;(TODAY()-B153-Settings!$C$10)&amp;" day(s)","Waiting "&amp;(TODAY()-B153)&amp;" day(s)")))</f>
        <v/>
      </c>
      <c r="H153" s="1" t="n"/>
    </row>
    <row r="154">
      <c r="A154" s="1" t="n"/>
      <c r="B154" s="23" t="n"/>
      <c r="C154" s="22" t="n"/>
      <c r="D154" s="24" t="n"/>
      <c r="E154" s="25" t="n"/>
      <c r="F154" s="23" t="n"/>
      <c r="G154" s="26">
        <f>IF(OR(B154="",E154=""),"",IF(F154&lt;&gt;"","✓ Paid",IF(TODAY()-B154&gt;Settings!$C$10,"⚠ Overdue "&amp;(TODAY()-B154-Settings!$C$10)&amp;" day(s)","Waiting "&amp;(TODAY()-B154)&amp;" day(s)")))</f>
        <v/>
      </c>
      <c r="H154" s="1" t="n"/>
    </row>
    <row r="155">
      <c r="A155" s="1" t="n"/>
      <c r="B155" s="23" t="n"/>
      <c r="C155" s="22" t="n"/>
      <c r="D155" s="24" t="n"/>
      <c r="E155" s="25" t="n"/>
      <c r="F155" s="23" t="n"/>
      <c r="G155" s="26">
        <f>IF(OR(B155="",E155=""),"",IF(F155&lt;&gt;"","✓ Paid",IF(TODAY()-B155&gt;Settings!$C$10,"⚠ Overdue "&amp;(TODAY()-B155-Settings!$C$10)&amp;" day(s)","Waiting "&amp;(TODAY()-B155)&amp;" day(s)")))</f>
        <v/>
      </c>
      <c r="H155" s="1" t="n"/>
    </row>
    <row r="156">
      <c r="A156" s="1" t="n"/>
      <c r="B156" s="23" t="n"/>
      <c r="C156" s="22" t="n"/>
      <c r="D156" s="24" t="n"/>
      <c r="E156" s="25" t="n"/>
      <c r="F156" s="23" t="n"/>
      <c r="G156" s="26">
        <f>IF(OR(B156="",E156=""),"",IF(F156&lt;&gt;"","✓ Paid",IF(TODAY()-B156&gt;Settings!$C$10,"⚠ Overdue "&amp;(TODAY()-B156-Settings!$C$10)&amp;" day(s)","Waiting "&amp;(TODAY()-B156)&amp;" day(s)")))</f>
        <v/>
      </c>
      <c r="H156" s="1" t="n"/>
    </row>
    <row r="157">
      <c r="A157" s="1" t="n"/>
      <c r="B157" s="23" t="n"/>
      <c r="C157" s="22" t="n"/>
      <c r="D157" s="24" t="n"/>
      <c r="E157" s="25" t="n"/>
      <c r="F157" s="23" t="n"/>
      <c r="G157" s="26">
        <f>IF(OR(B157="",E157=""),"",IF(F157&lt;&gt;"","✓ Paid",IF(TODAY()-B157&gt;Settings!$C$10,"⚠ Overdue "&amp;(TODAY()-B157-Settings!$C$10)&amp;" day(s)","Waiting "&amp;(TODAY()-B157)&amp;" day(s)")))</f>
        <v/>
      </c>
      <c r="H157" s="1" t="n"/>
    </row>
    <row r="158">
      <c r="A158" s="1" t="n"/>
      <c r="B158" s="23" t="n"/>
      <c r="C158" s="22" t="n"/>
      <c r="D158" s="24" t="n"/>
      <c r="E158" s="25" t="n"/>
      <c r="F158" s="23" t="n"/>
      <c r="G158" s="26">
        <f>IF(OR(B158="",E158=""),"",IF(F158&lt;&gt;"","✓ Paid",IF(TODAY()-B158&gt;Settings!$C$10,"⚠ Overdue "&amp;(TODAY()-B158-Settings!$C$10)&amp;" day(s)","Waiting "&amp;(TODAY()-B158)&amp;" day(s)")))</f>
        <v/>
      </c>
      <c r="H158" s="1" t="n"/>
    </row>
    <row r="159">
      <c r="A159" s="1" t="n"/>
      <c r="B159" s="23" t="n"/>
      <c r="C159" s="22" t="n"/>
      <c r="D159" s="24" t="n"/>
      <c r="E159" s="25" t="n"/>
      <c r="F159" s="23" t="n"/>
      <c r="G159" s="26">
        <f>IF(OR(B159="",E159=""),"",IF(F159&lt;&gt;"","✓ Paid",IF(TODAY()-B159&gt;Settings!$C$10,"⚠ Overdue "&amp;(TODAY()-B159-Settings!$C$10)&amp;" day(s)","Waiting "&amp;(TODAY()-B159)&amp;" day(s)")))</f>
        <v/>
      </c>
      <c r="H159" s="1" t="n"/>
    </row>
    <row r="160">
      <c r="A160" s="1" t="n"/>
      <c r="B160" s="23" t="n"/>
      <c r="C160" s="22" t="n"/>
      <c r="D160" s="24" t="n"/>
      <c r="E160" s="25" t="n"/>
      <c r="F160" s="23" t="n"/>
      <c r="G160" s="26">
        <f>IF(OR(B160="",E160=""),"",IF(F160&lt;&gt;"","✓ Paid",IF(TODAY()-B160&gt;Settings!$C$10,"⚠ Overdue "&amp;(TODAY()-B160-Settings!$C$10)&amp;" day(s)","Waiting "&amp;(TODAY()-B160)&amp;" day(s)")))</f>
        <v/>
      </c>
      <c r="H160" s="1" t="n"/>
    </row>
    <row r="161">
      <c r="A161" s="1" t="n"/>
      <c r="B161" s="23" t="n"/>
      <c r="C161" s="22" t="n"/>
      <c r="D161" s="24" t="n"/>
      <c r="E161" s="25" t="n"/>
      <c r="F161" s="23" t="n"/>
      <c r="G161" s="26">
        <f>IF(OR(B161="",E161=""),"",IF(F161&lt;&gt;"","✓ Paid",IF(TODAY()-B161&gt;Settings!$C$10,"⚠ Overdue "&amp;(TODAY()-B161-Settings!$C$10)&amp;" day(s)","Waiting "&amp;(TODAY()-B161)&amp;" day(s)")))</f>
        <v/>
      </c>
      <c r="H161" s="1" t="n"/>
    </row>
    <row r="162">
      <c r="A162" s="1" t="n"/>
      <c r="B162" s="23" t="n"/>
      <c r="C162" s="22" t="n"/>
      <c r="D162" s="24" t="n"/>
      <c r="E162" s="25" t="n"/>
      <c r="F162" s="23" t="n"/>
      <c r="G162" s="26">
        <f>IF(OR(B162="",E162=""),"",IF(F162&lt;&gt;"","✓ Paid",IF(TODAY()-B162&gt;Settings!$C$10,"⚠ Overdue "&amp;(TODAY()-B162-Settings!$C$10)&amp;" day(s)","Waiting "&amp;(TODAY()-B162)&amp;" day(s)")))</f>
        <v/>
      </c>
      <c r="H162" s="1" t="n"/>
    </row>
    <row r="163">
      <c r="A163" s="1" t="n"/>
      <c r="B163" s="23" t="n"/>
      <c r="C163" s="22" t="n"/>
      <c r="D163" s="24" t="n"/>
      <c r="E163" s="25" t="n"/>
      <c r="F163" s="23" t="n"/>
      <c r="G163" s="26">
        <f>IF(OR(B163="",E163=""),"",IF(F163&lt;&gt;"","✓ Paid",IF(TODAY()-B163&gt;Settings!$C$10,"⚠ Overdue "&amp;(TODAY()-B163-Settings!$C$10)&amp;" day(s)","Waiting "&amp;(TODAY()-B163)&amp;" day(s)")))</f>
        <v/>
      </c>
      <c r="H163" s="1" t="n"/>
    </row>
    <row r="164">
      <c r="A164" s="1" t="n"/>
      <c r="B164" s="23" t="n"/>
      <c r="C164" s="22" t="n"/>
      <c r="D164" s="24" t="n"/>
      <c r="E164" s="25" t="n"/>
      <c r="F164" s="23" t="n"/>
      <c r="G164" s="26">
        <f>IF(OR(B164="",E164=""),"",IF(F164&lt;&gt;"","✓ Paid",IF(TODAY()-B164&gt;Settings!$C$10,"⚠ Overdue "&amp;(TODAY()-B164-Settings!$C$10)&amp;" day(s)","Waiting "&amp;(TODAY()-B164)&amp;" day(s)")))</f>
        <v/>
      </c>
      <c r="H164" s="1" t="n"/>
    </row>
    <row r="165">
      <c r="A165" s="1" t="n"/>
      <c r="B165" s="23" t="n"/>
      <c r="C165" s="22" t="n"/>
      <c r="D165" s="24" t="n"/>
      <c r="E165" s="25" t="n"/>
      <c r="F165" s="23" t="n"/>
      <c r="G165" s="26">
        <f>IF(OR(B165="",E165=""),"",IF(F165&lt;&gt;"","✓ Paid",IF(TODAY()-B165&gt;Settings!$C$10,"⚠ Overdue "&amp;(TODAY()-B165-Settings!$C$10)&amp;" day(s)","Waiting "&amp;(TODAY()-B165)&amp;" day(s)")))</f>
        <v/>
      </c>
      <c r="H165" s="1" t="n"/>
    </row>
    <row r="166">
      <c r="A166" s="1" t="n"/>
      <c r="B166" s="23" t="n"/>
      <c r="C166" s="22" t="n"/>
      <c r="D166" s="24" t="n"/>
      <c r="E166" s="25" t="n"/>
      <c r="F166" s="23" t="n"/>
      <c r="G166" s="26">
        <f>IF(OR(B166="",E166=""),"",IF(F166&lt;&gt;"","✓ Paid",IF(TODAY()-B166&gt;Settings!$C$10,"⚠ Overdue "&amp;(TODAY()-B166-Settings!$C$10)&amp;" day(s)","Waiting "&amp;(TODAY()-B166)&amp;" day(s)")))</f>
        <v/>
      </c>
      <c r="H166" s="1" t="n"/>
    </row>
    <row r="167">
      <c r="A167" s="1" t="n"/>
      <c r="B167" s="23" t="n"/>
      <c r="C167" s="22" t="n"/>
      <c r="D167" s="24" t="n"/>
      <c r="E167" s="25" t="n"/>
      <c r="F167" s="23" t="n"/>
      <c r="G167" s="26">
        <f>IF(OR(B167="",E167=""),"",IF(F167&lt;&gt;"","✓ Paid",IF(TODAY()-B167&gt;Settings!$C$10,"⚠ Overdue "&amp;(TODAY()-B167-Settings!$C$10)&amp;" day(s)","Waiting "&amp;(TODAY()-B167)&amp;" day(s)")))</f>
        <v/>
      </c>
      <c r="H167" s="1" t="n"/>
    </row>
    <row r="168">
      <c r="A168" s="1" t="n"/>
      <c r="B168" s="23" t="n"/>
      <c r="C168" s="22" t="n"/>
      <c r="D168" s="24" t="n"/>
      <c r="E168" s="25" t="n"/>
      <c r="F168" s="23" t="n"/>
      <c r="G168" s="26">
        <f>IF(OR(B168="",E168=""),"",IF(F168&lt;&gt;"","✓ Paid",IF(TODAY()-B168&gt;Settings!$C$10,"⚠ Overdue "&amp;(TODAY()-B168-Settings!$C$10)&amp;" day(s)","Waiting "&amp;(TODAY()-B168)&amp;" day(s)")))</f>
        <v/>
      </c>
      <c r="H168" s="1" t="n"/>
    </row>
    <row r="169">
      <c r="A169" s="1" t="n"/>
      <c r="B169" s="23" t="n"/>
      <c r="C169" s="22" t="n"/>
      <c r="D169" s="24" t="n"/>
      <c r="E169" s="25" t="n"/>
      <c r="F169" s="23" t="n"/>
      <c r="G169" s="26">
        <f>IF(OR(B169="",E169=""),"",IF(F169&lt;&gt;"","✓ Paid",IF(TODAY()-B169&gt;Settings!$C$10,"⚠ Overdue "&amp;(TODAY()-B169-Settings!$C$10)&amp;" day(s)","Waiting "&amp;(TODAY()-B169)&amp;" day(s)")))</f>
        <v/>
      </c>
      <c r="H169" s="1" t="n"/>
    </row>
    <row r="170">
      <c r="A170" s="1" t="n"/>
      <c r="B170" s="23" t="n"/>
      <c r="C170" s="22" t="n"/>
      <c r="D170" s="24" t="n"/>
      <c r="E170" s="25" t="n"/>
      <c r="F170" s="23" t="n"/>
      <c r="G170" s="26">
        <f>IF(OR(B170="",E170=""),"",IF(F170&lt;&gt;"","✓ Paid",IF(TODAY()-B170&gt;Settings!$C$10,"⚠ Overdue "&amp;(TODAY()-B170-Settings!$C$10)&amp;" day(s)","Waiting "&amp;(TODAY()-B170)&amp;" day(s)")))</f>
        <v/>
      </c>
      <c r="H170" s="1" t="n"/>
    </row>
    <row r="171">
      <c r="A171" s="1" t="n"/>
      <c r="B171" s="23" t="n"/>
      <c r="C171" s="22" t="n"/>
      <c r="D171" s="24" t="n"/>
      <c r="E171" s="25" t="n"/>
      <c r="F171" s="23" t="n"/>
      <c r="G171" s="26">
        <f>IF(OR(B171="",E171=""),"",IF(F171&lt;&gt;"","✓ Paid",IF(TODAY()-B171&gt;Settings!$C$10,"⚠ Overdue "&amp;(TODAY()-B171-Settings!$C$10)&amp;" day(s)","Waiting "&amp;(TODAY()-B171)&amp;" day(s)")))</f>
        <v/>
      </c>
      <c r="H171" s="1" t="n"/>
    </row>
    <row r="172">
      <c r="A172" s="1" t="n"/>
      <c r="B172" s="23" t="n"/>
      <c r="C172" s="22" t="n"/>
      <c r="D172" s="24" t="n"/>
      <c r="E172" s="25" t="n"/>
      <c r="F172" s="23" t="n"/>
      <c r="G172" s="26">
        <f>IF(OR(B172="",E172=""),"",IF(F172&lt;&gt;"","✓ Paid",IF(TODAY()-B172&gt;Settings!$C$10,"⚠ Overdue "&amp;(TODAY()-B172-Settings!$C$10)&amp;" day(s)","Waiting "&amp;(TODAY()-B172)&amp;" day(s)")))</f>
        <v/>
      </c>
      <c r="H172" s="1" t="n"/>
    </row>
    <row r="173">
      <c r="A173" s="1" t="n"/>
      <c r="B173" s="23" t="n"/>
      <c r="C173" s="22" t="n"/>
      <c r="D173" s="24" t="n"/>
      <c r="E173" s="25" t="n"/>
      <c r="F173" s="23" t="n"/>
      <c r="G173" s="26">
        <f>IF(OR(B173="",E173=""),"",IF(F173&lt;&gt;"","✓ Paid",IF(TODAY()-B173&gt;Settings!$C$10,"⚠ Overdue "&amp;(TODAY()-B173-Settings!$C$10)&amp;" day(s)","Waiting "&amp;(TODAY()-B173)&amp;" day(s)")))</f>
        <v/>
      </c>
      <c r="H173" s="1" t="n"/>
    </row>
    <row r="174">
      <c r="A174" s="1" t="n"/>
      <c r="B174" s="23" t="n"/>
      <c r="C174" s="22" t="n"/>
      <c r="D174" s="24" t="n"/>
      <c r="E174" s="25" t="n"/>
      <c r="F174" s="23" t="n"/>
      <c r="G174" s="26">
        <f>IF(OR(B174="",E174=""),"",IF(F174&lt;&gt;"","✓ Paid",IF(TODAY()-B174&gt;Settings!$C$10,"⚠ Overdue "&amp;(TODAY()-B174-Settings!$C$10)&amp;" day(s)","Waiting "&amp;(TODAY()-B174)&amp;" day(s)")))</f>
        <v/>
      </c>
      <c r="H174" s="1" t="n"/>
    </row>
    <row r="175">
      <c r="A175" s="1" t="n"/>
      <c r="B175" s="23" t="n"/>
      <c r="C175" s="22" t="n"/>
      <c r="D175" s="24" t="n"/>
      <c r="E175" s="25" t="n"/>
      <c r="F175" s="23" t="n"/>
      <c r="G175" s="26">
        <f>IF(OR(B175="",E175=""),"",IF(F175&lt;&gt;"","✓ Paid",IF(TODAY()-B175&gt;Settings!$C$10,"⚠ Overdue "&amp;(TODAY()-B175-Settings!$C$10)&amp;" day(s)","Waiting "&amp;(TODAY()-B175)&amp;" day(s)")))</f>
        <v/>
      </c>
      <c r="H175" s="1" t="n"/>
    </row>
    <row r="176">
      <c r="A176" s="1" t="n"/>
      <c r="B176" s="23" t="n"/>
      <c r="C176" s="22" t="n"/>
      <c r="D176" s="24" t="n"/>
      <c r="E176" s="25" t="n"/>
      <c r="F176" s="23" t="n"/>
      <c r="G176" s="26">
        <f>IF(OR(B176="",E176=""),"",IF(F176&lt;&gt;"","✓ Paid",IF(TODAY()-B176&gt;Settings!$C$10,"⚠ Overdue "&amp;(TODAY()-B176-Settings!$C$10)&amp;" day(s)","Waiting "&amp;(TODAY()-B176)&amp;" day(s)")))</f>
        <v/>
      </c>
      <c r="H176" s="1" t="n"/>
    </row>
    <row r="177">
      <c r="A177" s="1" t="n"/>
      <c r="B177" s="23" t="n"/>
      <c r="C177" s="22" t="n"/>
      <c r="D177" s="24" t="n"/>
      <c r="E177" s="25" t="n"/>
      <c r="F177" s="23" t="n"/>
      <c r="G177" s="26">
        <f>IF(OR(B177="",E177=""),"",IF(F177&lt;&gt;"","✓ Paid",IF(TODAY()-B177&gt;Settings!$C$10,"⚠ Overdue "&amp;(TODAY()-B177-Settings!$C$10)&amp;" day(s)","Waiting "&amp;(TODAY()-B177)&amp;" day(s)")))</f>
        <v/>
      </c>
      <c r="H177" s="1" t="n"/>
    </row>
    <row r="178">
      <c r="A178" s="1" t="n"/>
      <c r="B178" s="23" t="n"/>
      <c r="C178" s="22" t="n"/>
      <c r="D178" s="24" t="n"/>
      <c r="E178" s="25" t="n"/>
      <c r="F178" s="23" t="n"/>
      <c r="G178" s="26">
        <f>IF(OR(B178="",E178=""),"",IF(F178&lt;&gt;"","✓ Paid",IF(TODAY()-B178&gt;Settings!$C$10,"⚠ Overdue "&amp;(TODAY()-B178-Settings!$C$10)&amp;" day(s)","Waiting "&amp;(TODAY()-B178)&amp;" day(s)")))</f>
        <v/>
      </c>
      <c r="H178" s="1" t="n"/>
    </row>
    <row r="179">
      <c r="A179" s="1" t="n"/>
      <c r="B179" s="23" t="n"/>
      <c r="C179" s="22" t="n"/>
      <c r="D179" s="24" t="n"/>
      <c r="E179" s="25" t="n"/>
      <c r="F179" s="23" t="n"/>
      <c r="G179" s="26">
        <f>IF(OR(B179="",E179=""),"",IF(F179&lt;&gt;"","✓ Paid",IF(TODAY()-B179&gt;Settings!$C$10,"⚠ Overdue "&amp;(TODAY()-B179-Settings!$C$10)&amp;" day(s)","Waiting "&amp;(TODAY()-B179)&amp;" day(s)")))</f>
        <v/>
      </c>
      <c r="H179" s="1" t="n"/>
    </row>
    <row r="180">
      <c r="A180" s="1" t="n"/>
      <c r="B180" s="23" t="n"/>
      <c r="C180" s="22" t="n"/>
      <c r="D180" s="24" t="n"/>
      <c r="E180" s="25" t="n"/>
      <c r="F180" s="23" t="n"/>
      <c r="G180" s="26">
        <f>IF(OR(B180="",E180=""),"",IF(F180&lt;&gt;"","✓ Paid",IF(TODAY()-B180&gt;Settings!$C$10,"⚠ Overdue "&amp;(TODAY()-B180-Settings!$C$10)&amp;" day(s)","Waiting "&amp;(TODAY()-B180)&amp;" day(s)")))</f>
        <v/>
      </c>
      <c r="H180" s="1" t="n"/>
    </row>
    <row r="181">
      <c r="A181" s="1" t="n"/>
      <c r="B181" s="23" t="n"/>
      <c r="C181" s="22" t="n"/>
      <c r="D181" s="24" t="n"/>
      <c r="E181" s="25" t="n"/>
      <c r="F181" s="23" t="n"/>
      <c r="G181" s="26">
        <f>IF(OR(B181="",E181=""),"",IF(F181&lt;&gt;"","✓ Paid",IF(TODAY()-B181&gt;Settings!$C$10,"⚠ Overdue "&amp;(TODAY()-B181-Settings!$C$10)&amp;" day(s)","Waiting "&amp;(TODAY()-B181)&amp;" day(s)")))</f>
        <v/>
      </c>
      <c r="H181" s="1" t="n"/>
    </row>
    <row r="182">
      <c r="A182" s="1" t="n"/>
      <c r="B182" s="23" t="n"/>
      <c r="C182" s="22" t="n"/>
      <c r="D182" s="24" t="n"/>
      <c r="E182" s="25" t="n"/>
      <c r="F182" s="23" t="n"/>
      <c r="G182" s="26">
        <f>IF(OR(B182="",E182=""),"",IF(F182&lt;&gt;"","✓ Paid",IF(TODAY()-B182&gt;Settings!$C$10,"⚠ Overdue "&amp;(TODAY()-B182-Settings!$C$10)&amp;" day(s)","Waiting "&amp;(TODAY()-B182)&amp;" day(s)")))</f>
        <v/>
      </c>
      <c r="H182" s="1" t="n"/>
    </row>
    <row r="183">
      <c r="A183" s="1" t="n"/>
      <c r="B183" s="23" t="n"/>
      <c r="C183" s="22" t="n"/>
      <c r="D183" s="24" t="n"/>
      <c r="E183" s="25" t="n"/>
      <c r="F183" s="23" t="n"/>
      <c r="G183" s="26">
        <f>IF(OR(B183="",E183=""),"",IF(F183&lt;&gt;"","✓ Paid",IF(TODAY()-B183&gt;Settings!$C$10,"⚠ Overdue "&amp;(TODAY()-B183-Settings!$C$10)&amp;" day(s)","Waiting "&amp;(TODAY()-B183)&amp;" day(s)")))</f>
        <v/>
      </c>
      <c r="H183" s="1" t="n"/>
    </row>
    <row r="184">
      <c r="A184" s="1" t="n"/>
      <c r="B184" s="23" t="n"/>
      <c r="C184" s="22" t="n"/>
      <c r="D184" s="24" t="n"/>
      <c r="E184" s="25" t="n"/>
      <c r="F184" s="23" t="n"/>
      <c r="G184" s="26">
        <f>IF(OR(B184="",E184=""),"",IF(F184&lt;&gt;"","✓ Paid",IF(TODAY()-B184&gt;Settings!$C$10,"⚠ Overdue "&amp;(TODAY()-B184-Settings!$C$10)&amp;" day(s)","Waiting "&amp;(TODAY()-B184)&amp;" day(s)")))</f>
        <v/>
      </c>
      <c r="H184" s="1" t="n"/>
    </row>
    <row r="185">
      <c r="A185" s="1" t="n"/>
      <c r="B185" s="23" t="n"/>
      <c r="C185" s="22" t="n"/>
      <c r="D185" s="24" t="n"/>
      <c r="E185" s="25" t="n"/>
      <c r="F185" s="23" t="n"/>
      <c r="G185" s="26">
        <f>IF(OR(B185="",E185=""),"",IF(F185&lt;&gt;"","✓ Paid",IF(TODAY()-B185&gt;Settings!$C$10,"⚠ Overdue "&amp;(TODAY()-B185-Settings!$C$10)&amp;" day(s)","Waiting "&amp;(TODAY()-B185)&amp;" day(s)")))</f>
        <v/>
      </c>
      <c r="H185" s="1" t="n"/>
    </row>
    <row r="186">
      <c r="A186" s="1" t="n"/>
      <c r="B186" s="23" t="n"/>
      <c r="C186" s="22" t="n"/>
      <c r="D186" s="24" t="n"/>
      <c r="E186" s="25" t="n"/>
      <c r="F186" s="23" t="n"/>
      <c r="G186" s="26">
        <f>IF(OR(B186="",E186=""),"",IF(F186&lt;&gt;"","✓ Paid",IF(TODAY()-B186&gt;Settings!$C$10,"⚠ Overdue "&amp;(TODAY()-B186-Settings!$C$10)&amp;" day(s)","Waiting "&amp;(TODAY()-B186)&amp;" day(s)")))</f>
        <v/>
      </c>
      <c r="H186" s="1" t="n"/>
    </row>
    <row r="187">
      <c r="A187" s="1" t="n"/>
      <c r="B187" s="23" t="n"/>
      <c r="C187" s="22" t="n"/>
      <c r="D187" s="24" t="n"/>
      <c r="E187" s="25" t="n"/>
      <c r="F187" s="23" t="n"/>
      <c r="G187" s="26">
        <f>IF(OR(B187="",E187=""),"",IF(F187&lt;&gt;"","✓ Paid",IF(TODAY()-B187&gt;Settings!$C$10,"⚠ Overdue "&amp;(TODAY()-B187-Settings!$C$10)&amp;" day(s)","Waiting "&amp;(TODAY()-B187)&amp;" day(s)")))</f>
        <v/>
      </c>
      <c r="H187" s="1" t="n"/>
    </row>
    <row r="188">
      <c r="A188" s="1" t="n"/>
      <c r="B188" s="23" t="n"/>
      <c r="C188" s="22" t="n"/>
      <c r="D188" s="24" t="n"/>
      <c r="E188" s="25" t="n"/>
      <c r="F188" s="23" t="n"/>
      <c r="G188" s="26">
        <f>IF(OR(B188="",E188=""),"",IF(F188&lt;&gt;"","✓ Paid",IF(TODAY()-B188&gt;Settings!$C$10,"⚠ Overdue "&amp;(TODAY()-B188-Settings!$C$10)&amp;" day(s)","Waiting "&amp;(TODAY()-B188)&amp;" day(s)")))</f>
        <v/>
      </c>
      <c r="H188" s="1" t="n"/>
    </row>
    <row r="189">
      <c r="A189" s="1" t="n"/>
      <c r="B189" s="23" t="n"/>
      <c r="C189" s="22" t="n"/>
      <c r="D189" s="24" t="n"/>
      <c r="E189" s="25" t="n"/>
      <c r="F189" s="23" t="n"/>
      <c r="G189" s="26">
        <f>IF(OR(B189="",E189=""),"",IF(F189&lt;&gt;"","✓ Paid",IF(TODAY()-B189&gt;Settings!$C$10,"⚠ Overdue "&amp;(TODAY()-B189-Settings!$C$10)&amp;" day(s)","Waiting "&amp;(TODAY()-B189)&amp;" day(s)")))</f>
        <v/>
      </c>
      <c r="H189" s="1" t="n"/>
    </row>
    <row r="190">
      <c r="A190" s="1" t="n"/>
      <c r="B190" s="23" t="n"/>
      <c r="C190" s="22" t="n"/>
      <c r="D190" s="24" t="n"/>
      <c r="E190" s="25" t="n"/>
      <c r="F190" s="23" t="n"/>
      <c r="G190" s="26">
        <f>IF(OR(B190="",E190=""),"",IF(F190&lt;&gt;"","✓ Paid",IF(TODAY()-B190&gt;Settings!$C$10,"⚠ Overdue "&amp;(TODAY()-B190-Settings!$C$10)&amp;" day(s)","Waiting "&amp;(TODAY()-B190)&amp;" day(s)")))</f>
        <v/>
      </c>
      <c r="H190" s="1" t="n"/>
    </row>
    <row r="191">
      <c r="A191" s="1" t="n"/>
      <c r="B191" s="23" t="n"/>
      <c r="C191" s="22" t="n"/>
      <c r="D191" s="24" t="n"/>
      <c r="E191" s="25" t="n"/>
      <c r="F191" s="23" t="n"/>
      <c r="G191" s="26">
        <f>IF(OR(B191="",E191=""),"",IF(F191&lt;&gt;"","✓ Paid",IF(TODAY()-B191&gt;Settings!$C$10,"⚠ Overdue "&amp;(TODAY()-B191-Settings!$C$10)&amp;" day(s)","Waiting "&amp;(TODAY()-B191)&amp;" day(s)")))</f>
        <v/>
      </c>
      <c r="H191" s="1" t="n"/>
    </row>
    <row r="192">
      <c r="A192" s="1" t="n"/>
      <c r="B192" s="23" t="n"/>
      <c r="C192" s="22" t="n"/>
      <c r="D192" s="24" t="n"/>
      <c r="E192" s="25" t="n"/>
      <c r="F192" s="23" t="n"/>
      <c r="G192" s="26">
        <f>IF(OR(B192="",E192=""),"",IF(F192&lt;&gt;"","✓ Paid",IF(TODAY()-B192&gt;Settings!$C$10,"⚠ Overdue "&amp;(TODAY()-B192-Settings!$C$10)&amp;" day(s)","Waiting "&amp;(TODAY()-B192)&amp;" day(s)")))</f>
        <v/>
      </c>
      <c r="H192" s="1" t="n"/>
    </row>
    <row r="193">
      <c r="A193" s="1" t="n"/>
      <c r="B193" s="23" t="n"/>
      <c r="C193" s="22" t="n"/>
      <c r="D193" s="24" t="n"/>
      <c r="E193" s="25" t="n"/>
      <c r="F193" s="23" t="n"/>
      <c r="G193" s="26">
        <f>IF(OR(B193="",E193=""),"",IF(F193&lt;&gt;"","✓ Paid",IF(TODAY()-B193&gt;Settings!$C$10,"⚠ Overdue "&amp;(TODAY()-B193-Settings!$C$10)&amp;" day(s)","Waiting "&amp;(TODAY()-B193)&amp;" day(s)")))</f>
        <v/>
      </c>
      <c r="H193" s="1" t="n"/>
    </row>
    <row r="194">
      <c r="A194" s="1" t="n"/>
      <c r="B194" s="23" t="n"/>
      <c r="C194" s="22" t="n"/>
      <c r="D194" s="24" t="n"/>
      <c r="E194" s="25" t="n"/>
      <c r="F194" s="23" t="n"/>
      <c r="G194" s="26">
        <f>IF(OR(B194="",E194=""),"",IF(F194&lt;&gt;"","✓ Paid",IF(TODAY()-B194&gt;Settings!$C$10,"⚠ Overdue "&amp;(TODAY()-B194-Settings!$C$10)&amp;" day(s)","Waiting "&amp;(TODAY()-B194)&amp;" day(s)")))</f>
        <v/>
      </c>
      <c r="H194" s="1" t="n"/>
    </row>
    <row r="195">
      <c r="A195" s="1" t="n"/>
      <c r="B195" s="23" t="n"/>
      <c r="C195" s="22" t="n"/>
      <c r="D195" s="24" t="n"/>
      <c r="E195" s="25" t="n"/>
      <c r="F195" s="23" t="n"/>
      <c r="G195" s="26">
        <f>IF(OR(B195="",E195=""),"",IF(F195&lt;&gt;"","✓ Paid",IF(TODAY()-B195&gt;Settings!$C$10,"⚠ Overdue "&amp;(TODAY()-B195-Settings!$C$10)&amp;" day(s)","Waiting "&amp;(TODAY()-B195)&amp;" day(s)")))</f>
        <v/>
      </c>
      <c r="H195" s="1" t="n"/>
    </row>
    <row r="196">
      <c r="A196" s="1" t="n"/>
      <c r="B196" s="23" t="n"/>
      <c r="C196" s="22" t="n"/>
      <c r="D196" s="24" t="n"/>
      <c r="E196" s="25" t="n"/>
      <c r="F196" s="23" t="n"/>
      <c r="G196" s="26">
        <f>IF(OR(B196="",E196=""),"",IF(F196&lt;&gt;"","✓ Paid",IF(TODAY()-B196&gt;Settings!$C$10,"⚠ Overdue "&amp;(TODAY()-B196-Settings!$C$10)&amp;" day(s)","Waiting "&amp;(TODAY()-B196)&amp;" day(s)")))</f>
        <v/>
      </c>
      <c r="H196" s="1" t="n"/>
    </row>
    <row r="197">
      <c r="A197" s="1" t="n"/>
      <c r="B197" s="23" t="n"/>
      <c r="C197" s="22" t="n"/>
      <c r="D197" s="24" t="n"/>
      <c r="E197" s="25" t="n"/>
      <c r="F197" s="23" t="n"/>
      <c r="G197" s="26">
        <f>IF(OR(B197="",E197=""),"",IF(F197&lt;&gt;"","✓ Paid",IF(TODAY()-B197&gt;Settings!$C$10,"⚠ Overdue "&amp;(TODAY()-B197-Settings!$C$10)&amp;" day(s)","Waiting "&amp;(TODAY()-B197)&amp;" day(s)")))</f>
        <v/>
      </c>
      <c r="H197" s="1" t="n"/>
    </row>
    <row r="198">
      <c r="A198" s="1" t="n"/>
      <c r="B198" s="23" t="n"/>
      <c r="C198" s="22" t="n"/>
      <c r="D198" s="24" t="n"/>
      <c r="E198" s="25" t="n"/>
      <c r="F198" s="23" t="n"/>
      <c r="G198" s="26">
        <f>IF(OR(B198="",E198=""),"",IF(F198&lt;&gt;"","✓ Paid",IF(TODAY()-B198&gt;Settings!$C$10,"⚠ Overdue "&amp;(TODAY()-B198-Settings!$C$10)&amp;" day(s)","Waiting "&amp;(TODAY()-B198)&amp;" day(s)")))</f>
        <v/>
      </c>
      <c r="H198" s="1" t="n"/>
    </row>
    <row r="199">
      <c r="A199" s="1" t="n"/>
      <c r="B199" s="23" t="n"/>
      <c r="C199" s="22" t="n"/>
      <c r="D199" s="24" t="n"/>
      <c r="E199" s="25" t="n"/>
      <c r="F199" s="23" t="n"/>
      <c r="G199" s="26">
        <f>IF(OR(B199="",E199=""),"",IF(F199&lt;&gt;"","✓ Paid",IF(TODAY()-B199&gt;Settings!$C$10,"⚠ Overdue "&amp;(TODAY()-B199-Settings!$C$10)&amp;" day(s)","Waiting "&amp;(TODAY()-B199)&amp;" day(s)")))</f>
        <v/>
      </c>
      <c r="H199" s="1" t="n"/>
    </row>
    <row r="200">
      <c r="A200" s="1" t="n"/>
      <c r="B200" s="23" t="n"/>
      <c r="C200" s="22" t="n"/>
      <c r="D200" s="24" t="n"/>
      <c r="E200" s="25" t="n"/>
      <c r="F200" s="23" t="n"/>
      <c r="G200" s="26">
        <f>IF(OR(B200="",E200=""),"",IF(F200&lt;&gt;"","✓ Paid",IF(TODAY()-B200&gt;Settings!$C$10,"⚠ Overdue "&amp;(TODAY()-B200-Settings!$C$10)&amp;" day(s)","Waiting "&amp;(TODAY()-B200)&amp;" day(s)")))</f>
        <v/>
      </c>
      <c r="H200" s="1" t="n"/>
    </row>
    <row r="201">
      <c r="A201" s="1" t="n"/>
      <c r="B201" s="23" t="n"/>
      <c r="C201" s="22" t="n"/>
      <c r="D201" s="24" t="n"/>
      <c r="E201" s="25" t="n"/>
      <c r="F201" s="23" t="n"/>
      <c r="G201" s="26">
        <f>IF(OR(B201="",E201=""),"",IF(F201&lt;&gt;"","✓ Paid",IF(TODAY()-B201&gt;Settings!$C$10,"⚠ Overdue "&amp;(TODAY()-B201-Settings!$C$10)&amp;" day(s)","Waiting "&amp;(TODAY()-B201)&amp;" day(s)")))</f>
        <v/>
      </c>
      <c r="H201" s="1" t="n"/>
    </row>
    <row r="202">
      <c r="A202" s="1" t="n"/>
      <c r="B202" s="23" t="n"/>
      <c r="C202" s="22" t="n"/>
      <c r="D202" s="24" t="n"/>
      <c r="E202" s="25" t="n"/>
      <c r="F202" s="23" t="n"/>
      <c r="G202" s="26">
        <f>IF(OR(B202="",E202=""),"",IF(F202&lt;&gt;"","✓ Paid",IF(TODAY()-B202&gt;Settings!$C$10,"⚠ Overdue "&amp;(TODAY()-B202-Settings!$C$10)&amp;" day(s)","Waiting "&amp;(TODAY()-B202)&amp;" day(s)")))</f>
        <v/>
      </c>
      <c r="H202" s="1" t="n"/>
    </row>
    <row r="203">
      <c r="A203" s="1" t="n"/>
      <c r="B203" s="23" t="n"/>
      <c r="C203" s="22" t="n"/>
      <c r="D203" s="24" t="n"/>
      <c r="E203" s="25" t="n"/>
      <c r="F203" s="23" t="n"/>
      <c r="G203" s="26">
        <f>IF(OR(B203="",E203=""),"",IF(F203&lt;&gt;"","✓ Paid",IF(TODAY()-B203&gt;Settings!$C$10,"⚠ Overdue "&amp;(TODAY()-B203-Settings!$C$10)&amp;" day(s)","Waiting "&amp;(TODAY()-B203)&amp;" day(s)")))</f>
        <v/>
      </c>
      <c r="H203" s="1" t="n"/>
    </row>
    <row r="204">
      <c r="A204" s="1" t="n"/>
      <c r="B204" s="23" t="n"/>
      <c r="C204" s="22" t="n"/>
      <c r="D204" s="24" t="n"/>
      <c r="E204" s="25" t="n"/>
      <c r="F204" s="23" t="n"/>
      <c r="G204" s="26">
        <f>IF(OR(B204="",E204=""),"",IF(F204&lt;&gt;"","✓ Paid",IF(TODAY()-B204&gt;Settings!$C$10,"⚠ Overdue "&amp;(TODAY()-B204-Settings!$C$10)&amp;" day(s)","Waiting "&amp;(TODAY()-B204)&amp;" day(s)")))</f>
        <v/>
      </c>
      <c r="H204" s="1" t="n"/>
    </row>
    <row r="205">
      <c r="A205" s="1" t="n"/>
      <c r="B205" s="23" t="n"/>
      <c r="C205" s="22" t="n"/>
      <c r="D205" s="24" t="n"/>
      <c r="E205" s="25" t="n"/>
      <c r="F205" s="23" t="n"/>
      <c r="G205" s="26">
        <f>IF(OR(B205="",E205=""),"",IF(F205&lt;&gt;"","✓ Paid",IF(TODAY()-B205&gt;Settings!$C$10,"⚠ Overdue "&amp;(TODAY()-B205-Settings!$C$10)&amp;" day(s)","Waiting "&amp;(TODAY()-B205)&amp;" day(s)")))</f>
        <v/>
      </c>
      <c r="H205" s="1" t="n"/>
    </row>
    <row r="206">
      <c r="A206" s="1" t="n"/>
      <c r="B206" s="23" t="n"/>
      <c r="C206" s="22" t="n"/>
      <c r="D206" s="24" t="n"/>
      <c r="E206" s="25" t="n"/>
      <c r="F206" s="23" t="n"/>
      <c r="G206" s="26">
        <f>IF(OR(B206="",E206=""),"",IF(F206&lt;&gt;"","✓ Paid",IF(TODAY()-B206&gt;Settings!$C$10,"⚠ Overdue "&amp;(TODAY()-B206-Settings!$C$10)&amp;" day(s)","Waiting "&amp;(TODAY()-B206)&amp;" day(s)")))</f>
        <v/>
      </c>
      <c r="H206" s="1" t="n"/>
    </row>
    <row r="207">
      <c r="A207" s="1" t="n"/>
      <c r="B207" s="23" t="n"/>
      <c r="C207" s="22" t="n"/>
      <c r="D207" s="24" t="n"/>
      <c r="E207" s="25" t="n"/>
      <c r="F207" s="23" t="n"/>
      <c r="G207" s="26">
        <f>IF(OR(B207="",E207=""),"",IF(F207&lt;&gt;"","✓ Paid",IF(TODAY()-B207&gt;Settings!$C$10,"⚠ Overdue "&amp;(TODAY()-B207-Settings!$C$10)&amp;" day(s)","Waiting "&amp;(TODAY()-B207)&amp;" day(s)")))</f>
        <v/>
      </c>
      <c r="H207" s="1" t="n"/>
    </row>
    <row r="208">
      <c r="A208" s="1" t="n"/>
      <c r="B208" s="23" t="n"/>
      <c r="C208" s="22" t="n"/>
      <c r="D208" s="24" t="n"/>
      <c r="E208" s="25" t="n"/>
      <c r="F208" s="23" t="n"/>
      <c r="G208" s="26">
        <f>IF(OR(B208="",E208=""),"",IF(F208&lt;&gt;"","✓ Paid",IF(TODAY()-B208&gt;Settings!$C$10,"⚠ Overdue "&amp;(TODAY()-B208-Settings!$C$10)&amp;" day(s)","Waiting "&amp;(TODAY()-B208)&amp;" day(s)")))</f>
        <v/>
      </c>
      <c r="H208" s="1" t="n"/>
    </row>
    <row r="209">
      <c r="A209" s="1" t="n"/>
      <c r="B209" s="23" t="n"/>
      <c r="C209" s="22" t="n"/>
      <c r="D209" s="24" t="n"/>
      <c r="E209" s="25" t="n"/>
      <c r="F209" s="23" t="n"/>
      <c r="G209" s="26">
        <f>IF(OR(B209="",E209=""),"",IF(F209&lt;&gt;"","✓ Paid",IF(TODAY()-B209&gt;Settings!$C$10,"⚠ Overdue "&amp;(TODAY()-B209-Settings!$C$10)&amp;" day(s)","Waiting "&amp;(TODAY()-B209)&amp;" day(s)")))</f>
        <v/>
      </c>
      <c r="H209" s="1" t="n"/>
    </row>
    <row r="210">
      <c r="A210" s="1" t="n"/>
      <c r="B210" s="23" t="n"/>
      <c r="C210" s="22" t="n"/>
      <c r="D210" s="24" t="n"/>
      <c r="E210" s="25" t="n"/>
      <c r="F210" s="23" t="n"/>
      <c r="G210" s="26">
        <f>IF(OR(B210="",E210=""),"",IF(F210&lt;&gt;"","✓ Paid",IF(TODAY()-B210&gt;Settings!$C$10,"⚠ Overdue "&amp;(TODAY()-B210-Settings!$C$10)&amp;" day(s)","Waiting "&amp;(TODAY()-B210)&amp;" day(s)")))</f>
        <v/>
      </c>
      <c r="H210" s="1" t="n"/>
    </row>
    <row r="211">
      <c r="A211" s="1" t="n"/>
      <c r="B211" s="23" t="n"/>
      <c r="C211" s="22" t="n"/>
      <c r="D211" s="24" t="n"/>
      <c r="E211" s="25" t="n"/>
      <c r="F211" s="23" t="n"/>
      <c r="G211" s="26">
        <f>IF(OR(B211="",E211=""),"",IF(F211&lt;&gt;"","✓ Paid",IF(TODAY()-B211&gt;Settings!$C$10,"⚠ Overdue "&amp;(TODAY()-B211-Settings!$C$10)&amp;" day(s)","Waiting "&amp;(TODAY()-B211)&amp;" day(s)")))</f>
        <v/>
      </c>
      <c r="H211" s="1" t="n"/>
    </row>
    <row r="212">
      <c r="A212" s="1" t="n"/>
      <c r="B212" s="23" t="n"/>
      <c r="C212" s="22" t="n"/>
      <c r="D212" s="24" t="n"/>
      <c r="E212" s="25" t="n"/>
      <c r="F212" s="23" t="n"/>
      <c r="G212" s="26">
        <f>IF(OR(B212="",E212=""),"",IF(F212&lt;&gt;"","✓ Paid",IF(TODAY()-B212&gt;Settings!$C$10,"⚠ Overdue "&amp;(TODAY()-B212-Settings!$C$10)&amp;" day(s)","Waiting "&amp;(TODAY()-B212)&amp;" day(s)")))</f>
        <v/>
      </c>
      <c r="H212" s="1" t="n"/>
    </row>
    <row r="213">
      <c r="A213" s="1" t="n"/>
      <c r="B213" s="23" t="n"/>
      <c r="C213" s="22" t="n"/>
      <c r="D213" s="24" t="n"/>
      <c r="E213" s="25" t="n"/>
      <c r="F213" s="23" t="n"/>
      <c r="G213" s="26">
        <f>IF(OR(B213="",E213=""),"",IF(F213&lt;&gt;"","✓ Paid",IF(TODAY()-B213&gt;Settings!$C$10,"⚠ Overdue "&amp;(TODAY()-B213-Settings!$C$10)&amp;" day(s)","Waiting "&amp;(TODAY()-B213)&amp;" day(s)")))</f>
        <v/>
      </c>
      <c r="H213" s="1" t="n"/>
    </row>
    <row r="214">
      <c r="A214" s="1" t="n"/>
      <c r="B214" s="23" t="n"/>
      <c r="C214" s="22" t="n"/>
      <c r="D214" s="24" t="n"/>
      <c r="E214" s="25" t="n"/>
      <c r="F214" s="23" t="n"/>
      <c r="G214" s="26">
        <f>IF(OR(B214="",E214=""),"",IF(F214&lt;&gt;"","✓ Paid",IF(TODAY()-B214&gt;Settings!$C$10,"⚠ Overdue "&amp;(TODAY()-B214-Settings!$C$10)&amp;" day(s)","Waiting "&amp;(TODAY()-B214)&amp;" day(s)")))</f>
        <v/>
      </c>
      <c r="H214" s="1" t="n"/>
    </row>
    <row r="215">
      <c r="A215" s="1" t="n"/>
      <c r="B215" s="23" t="n"/>
      <c r="C215" s="22" t="n"/>
      <c r="D215" s="24" t="n"/>
      <c r="E215" s="25" t="n"/>
      <c r="F215" s="23" t="n"/>
      <c r="G215" s="26">
        <f>IF(OR(B215="",E215=""),"",IF(F215&lt;&gt;"","✓ Paid",IF(TODAY()-B215&gt;Settings!$C$10,"⚠ Overdue "&amp;(TODAY()-B215-Settings!$C$10)&amp;" day(s)","Waiting "&amp;(TODAY()-B215)&amp;" day(s)")))</f>
        <v/>
      </c>
      <c r="H215" s="1" t="n"/>
    </row>
    <row r="216">
      <c r="A216" s="1" t="n"/>
      <c r="B216" s="23" t="n"/>
      <c r="C216" s="22" t="n"/>
      <c r="D216" s="24" t="n"/>
      <c r="E216" s="25" t="n"/>
      <c r="F216" s="23" t="n"/>
      <c r="G216" s="26">
        <f>IF(OR(B216="",E216=""),"",IF(F216&lt;&gt;"","✓ Paid",IF(TODAY()-B216&gt;Settings!$C$10,"⚠ Overdue "&amp;(TODAY()-B216-Settings!$C$10)&amp;" day(s)","Waiting "&amp;(TODAY()-B216)&amp;" day(s)")))</f>
        <v/>
      </c>
      <c r="H216" s="1" t="n"/>
    </row>
    <row r="217">
      <c r="A217" s="1" t="n"/>
      <c r="B217" s="23" t="n"/>
      <c r="C217" s="22" t="n"/>
      <c r="D217" s="24" t="n"/>
      <c r="E217" s="25" t="n"/>
      <c r="F217" s="23" t="n"/>
      <c r="G217" s="26">
        <f>IF(OR(B217="",E217=""),"",IF(F217&lt;&gt;"","✓ Paid",IF(TODAY()-B217&gt;Settings!$C$10,"⚠ Overdue "&amp;(TODAY()-B217-Settings!$C$10)&amp;" day(s)","Waiting "&amp;(TODAY()-B217)&amp;" day(s)")))</f>
        <v/>
      </c>
      <c r="H217" s="1" t="n"/>
    </row>
    <row r="218">
      <c r="A218" s="1" t="n"/>
      <c r="B218" s="23" t="n"/>
      <c r="C218" s="22" t="n"/>
      <c r="D218" s="24" t="n"/>
      <c r="E218" s="25" t="n"/>
      <c r="F218" s="23" t="n"/>
      <c r="G218" s="26">
        <f>IF(OR(B218="",E218=""),"",IF(F218&lt;&gt;"","✓ Paid",IF(TODAY()-B218&gt;Settings!$C$10,"⚠ Overdue "&amp;(TODAY()-B218-Settings!$C$10)&amp;" day(s)","Waiting "&amp;(TODAY()-B218)&amp;" day(s)")))</f>
        <v/>
      </c>
      <c r="H218" s="1" t="n"/>
    </row>
    <row r="219">
      <c r="A219" s="1" t="n"/>
      <c r="B219" s="23" t="n"/>
      <c r="C219" s="22" t="n"/>
      <c r="D219" s="24" t="n"/>
      <c r="E219" s="25" t="n"/>
      <c r="F219" s="23" t="n"/>
      <c r="G219" s="26">
        <f>IF(OR(B219="",E219=""),"",IF(F219&lt;&gt;"","✓ Paid",IF(TODAY()-B219&gt;Settings!$C$10,"⚠ Overdue "&amp;(TODAY()-B219-Settings!$C$10)&amp;" day(s)","Waiting "&amp;(TODAY()-B219)&amp;" day(s)")))</f>
        <v/>
      </c>
      <c r="H219" s="1" t="n"/>
    </row>
    <row r="220">
      <c r="A220" s="1" t="n"/>
      <c r="B220" s="23" t="n"/>
      <c r="C220" s="22" t="n"/>
      <c r="D220" s="24" t="n"/>
      <c r="E220" s="25" t="n"/>
      <c r="F220" s="23" t="n"/>
      <c r="G220" s="26">
        <f>IF(OR(B220="",E220=""),"",IF(F220&lt;&gt;"","✓ Paid",IF(TODAY()-B220&gt;Settings!$C$10,"⚠ Overdue "&amp;(TODAY()-B220-Settings!$C$10)&amp;" day(s)","Waiting "&amp;(TODAY()-B220)&amp;" day(s)")))</f>
        <v/>
      </c>
      <c r="H220" s="1" t="n"/>
    </row>
    <row r="221">
      <c r="A221" s="1" t="n"/>
      <c r="B221" s="23" t="n"/>
      <c r="C221" s="22" t="n"/>
      <c r="D221" s="24" t="n"/>
      <c r="E221" s="25" t="n"/>
      <c r="F221" s="23" t="n"/>
      <c r="G221" s="26">
        <f>IF(OR(B221="",E221=""),"",IF(F221&lt;&gt;"","✓ Paid",IF(TODAY()-B221&gt;Settings!$C$10,"⚠ Overdue "&amp;(TODAY()-B221-Settings!$C$10)&amp;" day(s)","Waiting "&amp;(TODAY()-B221)&amp;" day(s)")))</f>
        <v/>
      </c>
      <c r="H221" s="1" t="n"/>
    </row>
    <row r="222">
      <c r="A222" s="1" t="n"/>
      <c r="B222" s="23" t="n"/>
      <c r="C222" s="22" t="n"/>
      <c r="D222" s="24" t="n"/>
      <c r="E222" s="25" t="n"/>
      <c r="F222" s="23" t="n"/>
      <c r="G222" s="26">
        <f>IF(OR(B222="",E222=""),"",IF(F222&lt;&gt;"","✓ Paid",IF(TODAY()-B222&gt;Settings!$C$10,"⚠ Overdue "&amp;(TODAY()-B222-Settings!$C$10)&amp;" day(s)","Waiting "&amp;(TODAY()-B222)&amp;" day(s)")))</f>
        <v/>
      </c>
      <c r="H222" s="1" t="n"/>
    </row>
    <row r="223">
      <c r="A223" s="1" t="n"/>
      <c r="B223" s="23" t="n"/>
      <c r="C223" s="22" t="n"/>
      <c r="D223" s="24" t="n"/>
      <c r="E223" s="25" t="n"/>
      <c r="F223" s="23" t="n"/>
      <c r="G223" s="26">
        <f>IF(OR(B223="",E223=""),"",IF(F223&lt;&gt;"","✓ Paid",IF(TODAY()-B223&gt;Settings!$C$10,"⚠ Overdue "&amp;(TODAY()-B223-Settings!$C$10)&amp;" day(s)","Waiting "&amp;(TODAY()-B223)&amp;" day(s)")))</f>
        <v/>
      </c>
      <c r="H223" s="1" t="n"/>
    </row>
    <row r="224">
      <c r="A224" s="1" t="n"/>
      <c r="B224" s="23" t="n"/>
      <c r="C224" s="22" t="n"/>
      <c r="D224" s="24" t="n"/>
      <c r="E224" s="25" t="n"/>
      <c r="F224" s="23" t="n"/>
      <c r="G224" s="26">
        <f>IF(OR(B224="",E224=""),"",IF(F224&lt;&gt;"","✓ Paid",IF(TODAY()-B224&gt;Settings!$C$10,"⚠ Overdue "&amp;(TODAY()-B224-Settings!$C$10)&amp;" day(s)","Waiting "&amp;(TODAY()-B224)&amp;" day(s)")))</f>
        <v/>
      </c>
      <c r="H224" s="1" t="n"/>
    </row>
    <row r="225">
      <c r="A225" s="1" t="n"/>
      <c r="B225" s="23" t="n"/>
      <c r="C225" s="22" t="n"/>
      <c r="D225" s="24" t="n"/>
      <c r="E225" s="25" t="n"/>
      <c r="F225" s="23" t="n"/>
      <c r="G225" s="26">
        <f>IF(OR(B225="",E225=""),"",IF(F225&lt;&gt;"","✓ Paid",IF(TODAY()-B225&gt;Settings!$C$10,"⚠ Overdue "&amp;(TODAY()-B225-Settings!$C$10)&amp;" day(s)","Waiting "&amp;(TODAY()-B225)&amp;" day(s)")))</f>
        <v/>
      </c>
      <c r="H225" s="1" t="n"/>
    </row>
    <row r="226">
      <c r="A226" s="1" t="n"/>
      <c r="B226" s="23" t="n"/>
      <c r="C226" s="22" t="n"/>
      <c r="D226" s="24" t="n"/>
      <c r="E226" s="25" t="n"/>
      <c r="F226" s="23" t="n"/>
      <c r="G226" s="26">
        <f>IF(OR(B226="",E226=""),"",IF(F226&lt;&gt;"","✓ Paid",IF(TODAY()-B226&gt;Settings!$C$10,"⚠ Overdue "&amp;(TODAY()-B226-Settings!$C$10)&amp;" day(s)","Waiting "&amp;(TODAY()-B226)&amp;" day(s)")))</f>
        <v/>
      </c>
      <c r="H226" s="1" t="n"/>
    </row>
    <row r="227">
      <c r="A227" s="1" t="n"/>
      <c r="B227" s="23" t="n"/>
      <c r="C227" s="22" t="n"/>
      <c r="D227" s="24" t="n"/>
      <c r="E227" s="25" t="n"/>
      <c r="F227" s="23" t="n"/>
      <c r="G227" s="26">
        <f>IF(OR(B227="",E227=""),"",IF(F227&lt;&gt;"","✓ Paid",IF(TODAY()-B227&gt;Settings!$C$10,"⚠ Overdue "&amp;(TODAY()-B227-Settings!$C$10)&amp;" day(s)","Waiting "&amp;(TODAY()-B227)&amp;" day(s)")))</f>
        <v/>
      </c>
      <c r="H227" s="1" t="n"/>
    </row>
    <row r="228">
      <c r="A228" s="1" t="n"/>
      <c r="B228" s="23" t="n"/>
      <c r="C228" s="22" t="n"/>
      <c r="D228" s="24" t="n"/>
      <c r="E228" s="25" t="n"/>
      <c r="F228" s="23" t="n"/>
      <c r="G228" s="26">
        <f>IF(OR(B228="",E228=""),"",IF(F228&lt;&gt;"","✓ Paid",IF(TODAY()-B228&gt;Settings!$C$10,"⚠ Overdue "&amp;(TODAY()-B228-Settings!$C$10)&amp;" day(s)","Waiting "&amp;(TODAY()-B228)&amp;" day(s)")))</f>
        <v/>
      </c>
      <c r="H228" s="1" t="n"/>
    </row>
    <row r="229">
      <c r="A229" s="1" t="n"/>
      <c r="B229" s="23" t="n"/>
      <c r="C229" s="22" t="n"/>
      <c r="D229" s="24" t="n"/>
      <c r="E229" s="25" t="n"/>
      <c r="F229" s="23" t="n"/>
      <c r="G229" s="26">
        <f>IF(OR(B229="",E229=""),"",IF(F229&lt;&gt;"","✓ Paid",IF(TODAY()-B229&gt;Settings!$C$10,"⚠ Overdue "&amp;(TODAY()-B229-Settings!$C$10)&amp;" day(s)","Waiting "&amp;(TODAY()-B229)&amp;" day(s)")))</f>
        <v/>
      </c>
      <c r="H229" s="1" t="n"/>
    </row>
    <row r="230">
      <c r="A230" s="1" t="n"/>
      <c r="B230" s="23" t="n"/>
      <c r="C230" s="22" t="n"/>
      <c r="D230" s="24" t="n"/>
      <c r="E230" s="25" t="n"/>
      <c r="F230" s="23" t="n"/>
      <c r="G230" s="26">
        <f>IF(OR(B230="",E230=""),"",IF(F230&lt;&gt;"","✓ Paid",IF(TODAY()-B230&gt;Settings!$C$10,"⚠ Overdue "&amp;(TODAY()-B230-Settings!$C$10)&amp;" day(s)","Waiting "&amp;(TODAY()-B230)&amp;" day(s)")))</f>
        <v/>
      </c>
      <c r="H230" s="1" t="n"/>
    </row>
    <row r="231">
      <c r="A231" s="1" t="n"/>
      <c r="B231" s="23" t="n"/>
      <c r="C231" s="22" t="n"/>
      <c r="D231" s="24" t="n"/>
      <c r="E231" s="25" t="n"/>
      <c r="F231" s="23" t="n"/>
      <c r="G231" s="26">
        <f>IF(OR(B231="",E231=""),"",IF(F231&lt;&gt;"","✓ Paid",IF(TODAY()-B231&gt;Settings!$C$10,"⚠ Overdue "&amp;(TODAY()-B231-Settings!$C$10)&amp;" day(s)","Waiting "&amp;(TODAY()-B231)&amp;" day(s)")))</f>
        <v/>
      </c>
      <c r="H231" s="1" t="n"/>
    </row>
    <row r="232">
      <c r="A232" s="1" t="n"/>
      <c r="B232" s="23" t="n"/>
      <c r="C232" s="22" t="n"/>
      <c r="D232" s="24" t="n"/>
      <c r="E232" s="25" t="n"/>
      <c r="F232" s="23" t="n"/>
      <c r="G232" s="26">
        <f>IF(OR(B232="",E232=""),"",IF(F232&lt;&gt;"","✓ Paid",IF(TODAY()-B232&gt;Settings!$C$10,"⚠ Overdue "&amp;(TODAY()-B232-Settings!$C$10)&amp;" day(s)","Waiting "&amp;(TODAY()-B232)&amp;" day(s)")))</f>
        <v/>
      </c>
      <c r="H232" s="1" t="n"/>
    </row>
    <row r="233">
      <c r="A233" s="1" t="n"/>
      <c r="B233" s="23" t="n"/>
      <c r="C233" s="22" t="n"/>
      <c r="D233" s="24" t="n"/>
      <c r="E233" s="25" t="n"/>
      <c r="F233" s="23" t="n"/>
      <c r="G233" s="26">
        <f>IF(OR(B233="",E233=""),"",IF(F233&lt;&gt;"","✓ Paid",IF(TODAY()-B233&gt;Settings!$C$10,"⚠ Overdue "&amp;(TODAY()-B233-Settings!$C$10)&amp;" day(s)","Waiting "&amp;(TODAY()-B233)&amp;" day(s)")))</f>
        <v/>
      </c>
      <c r="H233" s="1" t="n"/>
    </row>
    <row r="234">
      <c r="A234" s="1" t="n"/>
      <c r="B234" s="23" t="n"/>
      <c r="C234" s="22" t="n"/>
      <c r="D234" s="24" t="n"/>
      <c r="E234" s="25" t="n"/>
      <c r="F234" s="23" t="n"/>
      <c r="G234" s="26">
        <f>IF(OR(B234="",E234=""),"",IF(F234&lt;&gt;"","✓ Paid",IF(TODAY()-B234&gt;Settings!$C$10,"⚠ Overdue "&amp;(TODAY()-B234-Settings!$C$10)&amp;" day(s)","Waiting "&amp;(TODAY()-B234)&amp;" day(s)")))</f>
        <v/>
      </c>
      <c r="H234" s="1" t="n"/>
    </row>
    <row r="235">
      <c r="A235" s="1" t="n"/>
      <c r="B235" s="23" t="n"/>
      <c r="C235" s="22" t="n"/>
      <c r="D235" s="24" t="n"/>
      <c r="E235" s="25" t="n"/>
      <c r="F235" s="23" t="n"/>
      <c r="G235" s="26">
        <f>IF(OR(B235="",E235=""),"",IF(F235&lt;&gt;"","✓ Paid",IF(TODAY()-B235&gt;Settings!$C$10,"⚠ Overdue "&amp;(TODAY()-B235-Settings!$C$10)&amp;" day(s)","Waiting "&amp;(TODAY()-B235)&amp;" day(s)")))</f>
        <v/>
      </c>
      <c r="H235" s="1" t="n"/>
    </row>
    <row r="236">
      <c r="A236" s="1" t="n"/>
      <c r="B236" s="23" t="n"/>
      <c r="C236" s="22" t="n"/>
      <c r="D236" s="24" t="n"/>
      <c r="E236" s="25" t="n"/>
      <c r="F236" s="23" t="n"/>
      <c r="G236" s="26">
        <f>IF(OR(B236="",E236=""),"",IF(F236&lt;&gt;"","✓ Paid",IF(TODAY()-B236&gt;Settings!$C$10,"⚠ Overdue "&amp;(TODAY()-B236-Settings!$C$10)&amp;" day(s)","Waiting "&amp;(TODAY()-B236)&amp;" day(s)")))</f>
        <v/>
      </c>
      <c r="H236" s="1" t="n"/>
    </row>
    <row r="237">
      <c r="A237" s="1" t="n"/>
      <c r="B237" s="23" t="n"/>
      <c r="C237" s="22" t="n"/>
      <c r="D237" s="24" t="n"/>
      <c r="E237" s="25" t="n"/>
      <c r="F237" s="23" t="n"/>
      <c r="G237" s="26">
        <f>IF(OR(B237="",E237=""),"",IF(F237&lt;&gt;"","✓ Paid",IF(TODAY()-B237&gt;Settings!$C$10,"⚠ Overdue "&amp;(TODAY()-B237-Settings!$C$10)&amp;" day(s)","Waiting "&amp;(TODAY()-B237)&amp;" day(s)")))</f>
        <v/>
      </c>
      <c r="H237" s="1" t="n"/>
    </row>
    <row r="238">
      <c r="A238" s="1" t="n"/>
      <c r="B238" s="23" t="n"/>
      <c r="C238" s="22" t="n"/>
      <c r="D238" s="24" t="n"/>
      <c r="E238" s="25" t="n"/>
      <c r="F238" s="23" t="n"/>
      <c r="G238" s="26">
        <f>IF(OR(B238="",E238=""),"",IF(F238&lt;&gt;"","✓ Paid",IF(TODAY()-B238&gt;Settings!$C$10,"⚠ Overdue "&amp;(TODAY()-B238-Settings!$C$10)&amp;" day(s)","Waiting "&amp;(TODAY()-B238)&amp;" day(s)")))</f>
        <v/>
      </c>
      <c r="H238" s="1" t="n"/>
    </row>
    <row r="239">
      <c r="A239" s="1" t="n"/>
      <c r="B239" s="23" t="n"/>
      <c r="C239" s="22" t="n"/>
      <c r="D239" s="24" t="n"/>
      <c r="E239" s="25" t="n"/>
      <c r="F239" s="23" t="n"/>
      <c r="G239" s="26">
        <f>IF(OR(B239="",E239=""),"",IF(F239&lt;&gt;"","✓ Paid",IF(TODAY()-B239&gt;Settings!$C$10,"⚠ Overdue "&amp;(TODAY()-B239-Settings!$C$10)&amp;" day(s)","Waiting "&amp;(TODAY()-B239)&amp;" day(s)")))</f>
        <v/>
      </c>
      <c r="H239" s="1" t="n"/>
    </row>
    <row r="240">
      <c r="A240" s="1" t="n"/>
      <c r="B240" s="23" t="n"/>
      <c r="C240" s="22" t="n"/>
      <c r="D240" s="24" t="n"/>
      <c r="E240" s="25" t="n"/>
      <c r="F240" s="23" t="n"/>
      <c r="G240" s="26">
        <f>IF(OR(B240="",E240=""),"",IF(F240&lt;&gt;"","✓ Paid",IF(TODAY()-B240&gt;Settings!$C$10,"⚠ Overdue "&amp;(TODAY()-B240-Settings!$C$10)&amp;" day(s)","Waiting "&amp;(TODAY()-B240)&amp;" day(s)")))</f>
        <v/>
      </c>
      <c r="H240" s="1" t="n"/>
    </row>
    <row r="241">
      <c r="A241" s="1" t="n"/>
      <c r="B241" s="23" t="n"/>
      <c r="C241" s="22" t="n"/>
      <c r="D241" s="24" t="n"/>
      <c r="E241" s="25" t="n"/>
      <c r="F241" s="23" t="n"/>
      <c r="G241" s="26">
        <f>IF(OR(B241="",E241=""),"",IF(F241&lt;&gt;"","✓ Paid",IF(TODAY()-B241&gt;Settings!$C$10,"⚠ Overdue "&amp;(TODAY()-B241-Settings!$C$10)&amp;" day(s)","Waiting "&amp;(TODAY()-B241)&amp;" day(s)")))</f>
        <v/>
      </c>
      <c r="H241" s="1" t="n"/>
    </row>
    <row r="242">
      <c r="A242" s="1" t="n"/>
      <c r="B242" s="23" t="n"/>
      <c r="C242" s="22" t="n"/>
      <c r="D242" s="24" t="n"/>
      <c r="E242" s="25" t="n"/>
      <c r="F242" s="23" t="n"/>
      <c r="G242" s="26">
        <f>IF(OR(B242="",E242=""),"",IF(F242&lt;&gt;"","✓ Paid",IF(TODAY()-B242&gt;Settings!$C$10,"⚠ Overdue "&amp;(TODAY()-B242-Settings!$C$10)&amp;" day(s)","Waiting "&amp;(TODAY()-B242)&amp;" day(s)")))</f>
        <v/>
      </c>
      <c r="H242" s="1" t="n"/>
    </row>
    <row r="243">
      <c r="A243" s="1" t="n"/>
      <c r="B243" s="23" t="n"/>
      <c r="C243" s="22" t="n"/>
      <c r="D243" s="24" t="n"/>
      <c r="E243" s="25" t="n"/>
      <c r="F243" s="23" t="n"/>
      <c r="G243" s="26">
        <f>IF(OR(B243="",E243=""),"",IF(F243&lt;&gt;"","✓ Paid",IF(TODAY()-B243&gt;Settings!$C$10,"⚠ Overdue "&amp;(TODAY()-B243-Settings!$C$10)&amp;" day(s)","Waiting "&amp;(TODAY()-B243)&amp;" day(s)")))</f>
        <v/>
      </c>
      <c r="H243" s="1" t="n"/>
    </row>
    <row r="244">
      <c r="A244" s="1" t="n"/>
      <c r="B244" s="23" t="n"/>
      <c r="C244" s="22" t="n"/>
      <c r="D244" s="24" t="n"/>
      <c r="E244" s="25" t="n"/>
      <c r="F244" s="23" t="n"/>
      <c r="G244" s="26">
        <f>IF(OR(B244="",E244=""),"",IF(F244&lt;&gt;"","✓ Paid",IF(TODAY()-B244&gt;Settings!$C$10,"⚠ Overdue "&amp;(TODAY()-B244-Settings!$C$10)&amp;" day(s)","Waiting "&amp;(TODAY()-B244)&amp;" day(s)")))</f>
        <v/>
      </c>
      <c r="H244" s="1" t="n"/>
    </row>
    <row r="245">
      <c r="A245" s="1" t="n"/>
      <c r="B245" s="23" t="n"/>
      <c r="C245" s="22" t="n"/>
      <c r="D245" s="24" t="n"/>
      <c r="E245" s="25" t="n"/>
      <c r="F245" s="23" t="n"/>
      <c r="G245" s="26">
        <f>IF(OR(B245="",E245=""),"",IF(F245&lt;&gt;"","✓ Paid",IF(TODAY()-B245&gt;Settings!$C$10,"⚠ Overdue "&amp;(TODAY()-B245-Settings!$C$10)&amp;" day(s)","Waiting "&amp;(TODAY()-B245)&amp;" day(s)")))</f>
        <v/>
      </c>
      <c r="H245" s="1" t="n"/>
    </row>
    <row r="246">
      <c r="A246" s="1" t="n"/>
      <c r="B246" s="23" t="n"/>
      <c r="C246" s="22" t="n"/>
      <c r="D246" s="24" t="n"/>
      <c r="E246" s="25" t="n"/>
      <c r="F246" s="23" t="n"/>
      <c r="G246" s="26">
        <f>IF(OR(B246="",E246=""),"",IF(F246&lt;&gt;"","✓ Paid",IF(TODAY()-B246&gt;Settings!$C$10,"⚠ Overdue "&amp;(TODAY()-B246-Settings!$C$10)&amp;" day(s)","Waiting "&amp;(TODAY()-B246)&amp;" day(s)")))</f>
        <v/>
      </c>
      <c r="H246" s="1" t="n"/>
    </row>
    <row r="247">
      <c r="A247" s="1" t="n"/>
      <c r="B247" s="23" t="n"/>
      <c r="C247" s="22" t="n"/>
      <c r="D247" s="24" t="n"/>
      <c r="E247" s="25" t="n"/>
      <c r="F247" s="23" t="n"/>
      <c r="G247" s="26">
        <f>IF(OR(B247="",E247=""),"",IF(F247&lt;&gt;"","✓ Paid",IF(TODAY()-B247&gt;Settings!$C$10,"⚠ Overdue "&amp;(TODAY()-B247-Settings!$C$10)&amp;" day(s)","Waiting "&amp;(TODAY()-B247)&amp;" day(s)")))</f>
        <v/>
      </c>
      <c r="H247" s="1" t="n"/>
    </row>
    <row r="248">
      <c r="A248" s="1" t="n"/>
      <c r="B248" s="23" t="n"/>
      <c r="C248" s="22" t="n"/>
      <c r="D248" s="24" t="n"/>
      <c r="E248" s="25" t="n"/>
      <c r="F248" s="23" t="n"/>
      <c r="G248" s="26">
        <f>IF(OR(B248="",E248=""),"",IF(F248&lt;&gt;"","✓ Paid",IF(TODAY()-B248&gt;Settings!$C$10,"⚠ Overdue "&amp;(TODAY()-B248-Settings!$C$10)&amp;" day(s)","Waiting "&amp;(TODAY()-B248)&amp;" day(s)")))</f>
        <v/>
      </c>
      <c r="H248" s="1" t="n"/>
    </row>
    <row r="249">
      <c r="A249" s="1" t="n"/>
      <c r="B249" s="23" t="n"/>
      <c r="C249" s="22" t="n"/>
      <c r="D249" s="24" t="n"/>
      <c r="E249" s="25" t="n"/>
      <c r="F249" s="23" t="n"/>
      <c r="G249" s="26">
        <f>IF(OR(B249="",E249=""),"",IF(F249&lt;&gt;"","✓ Paid",IF(TODAY()-B249&gt;Settings!$C$10,"⚠ Overdue "&amp;(TODAY()-B249-Settings!$C$10)&amp;" day(s)","Waiting "&amp;(TODAY()-B249)&amp;" day(s)")))</f>
        <v/>
      </c>
      <c r="H249" s="1" t="n"/>
    </row>
    <row r="250">
      <c r="A250" s="1" t="n"/>
      <c r="B250" s="23" t="n"/>
      <c r="C250" s="22" t="n"/>
      <c r="D250" s="24" t="n"/>
      <c r="E250" s="25" t="n"/>
      <c r="F250" s="23" t="n"/>
      <c r="G250" s="26">
        <f>IF(OR(B250="",E250=""),"",IF(F250&lt;&gt;"","✓ Paid",IF(TODAY()-B250&gt;Settings!$C$10,"⚠ Overdue "&amp;(TODAY()-B250-Settings!$C$10)&amp;" day(s)","Waiting "&amp;(TODAY()-B250)&amp;" day(s)")))</f>
        <v/>
      </c>
      <c r="H250" s="1" t="n"/>
    </row>
    <row r="251">
      <c r="A251" s="1" t="n"/>
      <c r="B251" s="23" t="n"/>
      <c r="C251" s="22" t="n"/>
      <c r="D251" s="24" t="n"/>
      <c r="E251" s="25" t="n"/>
      <c r="F251" s="23" t="n"/>
      <c r="G251" s="26">
        <f>IF(OR(B251="",E251=""),"",IF(F251&lt;&gt;"","✓ Paid",IF(TODAY()-B251&gt;Settings!$C$10,"⚠ Overdue "&amp;(TODAY()-B251-Settings!$C$10)&amp;" day(s)","Waiting "&amp;(TODAY()-B251)&amp;" day(s)")))</f>
        <v/>
      </c>
      <c r="H251" s="1" t="n"/>
    </row>
    <row r="252">
      <c r="A252" s="1" t="n"/>
      <c r="B252" s="23" t="n"/>
      <c r="C252" s="22" t="n"/>
      <c r="D252" s="24" t="n"/>
      <c r="E252" s="25" t="n"/>
      <c r="F252" s="23" t="n"/>
      <c r="G252" s="26">
        <f>IF(OR(B252="",E252=""),"",IF(F252&lt;&gt;"","✓ Paid",IF(TODAY()-B252&gt;Settings!$C$10,"⚠ Overdue "&amp;(TODAY()-B252-Settings!$C$10)&amp;" day(s)","Waiting "&amp;(TODAY()-B252)&amp;" day(s)")))</f>
        <v/>
      </c>
      <c r="H252" s="1" t="n"/>
    </row>
    <row r="253">
      <c r="A253" s="1" t="n"/>
      <c r="B253" s="23" t="n"/>
      <c r="C253" s="22" t="n"/>
      <c r="D253" s="24" t="n"/>
      <c r="E253" s="25" t="n"/>
      <c r="F253" s="23" t="n"/>
      <c r="G253" s="26">
        <f>IF(OR(B253="",E253=""),"",IF(F253&lt;&gt;"","✓ Paid",IF(TODAY()-B253&gt;Settings!$C$10,"⚠ Overdue "&amp;(TODAY()-B253-Settings!$C$10)&amp;" day(s)","Waiting "&amp;(TODAY()-B253)&amp;" day(s)")))</f>
        <v/>
      </c>
      <c r="H253" s="1" t="n"/>
    </row>
    <row r="254">
      <c r="A254" s="1" t="n"/>
      <c r="B254" s="23" t="n"/>
      <c r="C254" s="22" t="n"/>
      <c r="D254" s="24" t="n"/>
      <c r="E254" s="25" t="n"/>
      <c r="F254" s="23" t="n"/>
      <c r="G254" s="26">
        <f>IF(OR(B254="",E254=""),"",IF(F254&lt;&gt;"","✓ Paid",IF(TODAY()-B254&gt;Settings!$C$10,"⚠ Overdue "&amp;(TODAY()-B254-Settings!$C$10)&amp;" day(s)","Waiting "&amp;(TODAY()-B254)&amp;" day(s)")))</f>
        <v/>
      </c>
      <c r="H254" s="1" t="n"/>
    </row>
    <row r="255">
      <c r="A255" s="1" t="n"/>
      <c r="B255" s="23" t="n"/>
      <c r="C255" s="22" t="n"/>
      <c r="D255" s="24" t="n"/>
      <c r="E255" s="25" t="n"/>
      <c r="F255" s="23" t="n"/>
      <c r="G255" s="26">
        <f>IF(OR(B255="",E255=""),"",IF(F255&lt;&gt;"","✓ Paid",IF(TODAY()-B255&gt;Settings!$C$10,"⚠ Overdue "&amp;(TODAY()-B255-Settings!$C$10)&amp;" day(s)","Waiting "&amp;(TODAY()-B255)&amp;" day(s)")))</f>
        <v/>
      </c>
      <c r="H255" s="1" t="n"/>
    </row>
    <row r="256">
      <c r="A256" s="1" t="n"/>
      <c r="B256" s="23" t="n"/>
      <c r="C256" s="22" t="n"/>
      <c r="D256" s="24" t="n"/>
      <c r="E256" s="25" t="n"/>
      <c r="F256" s="23" t="n"/>
      <c r="G256" s="26">
        <f>IF(OR(B256="",E256=""),"",IF(F256&lt;&gt;"","✓ Paid",IF(TODAY()-B256&gt;Settings!$C$10,"⚠ Overdue "&amp;(TODAY()-B256-Settings!$C$10)&amp;" day(s)","Waiting "&amp;(TODAY()-B256)&amp;" day(s)")))</f>
        <v/>
      </c>
      <c r="H256" s="1" t="n"/>
    </row>
    <row r="257">
      <c r="A257" s="1" t="n"/>
      <c r="B257" s="23" t="n"/>
      <c r="C257" s="22" t="n"/>
      <c r="D257" s="24" t="n"/>
      <c r="E257" s="25" t="n"/>
      <c r="F257" s="23" t="n"/>
      <c r="G257" s="26">
        <f>IF(OR(B257="",E257=""),"",IF(F257&lt;&gt;"","✓ Paid",IF(TODAY()-B257&gt;Settings!$C$10,"⚠ Overdue "&amp;(TODAY()-B257-Settings!$C$10)&amp;" day(s)","Waiting "&amp;(TODAY()-B257)&amp;" day(s)")))</f>
        <v/>
      </c>
      <c r="H257" s="1" t="n"/>
    </row>
    <row r="258">
      <c r="A258" s="1" t="n"/>
      <c r="B258" s="23" t="n"/>
      <c r="C258" s="22" t="n"/>
      <c r="D258" s="24" t="n"/>
      <c r="E258" s="25" t="n"/>
      <c r="F258" s="23" t="n"/>
      <c r="G258" s="26">
        <f>IF(OR(B258="",E258=""),"",IF(F258&lt;&gt;"","✓ Paid",IF(TODAY()-B258&gt;Settings!$C$10,"⚠ Overdue "&amp;(TODAY()-B258-Settings!$C$10)&amp;" day(s)","Waiting "&amp;(TODAY()-B258)&amp;" day(s)")))</f>
        <v/>
      </c>
      <c r="H258" s="1" t="n"/>
    </row>
    <row r="259">
      <c r="A259" s="1" t="n"/>
      <c r="B259" s="23" t="n"/>
      <c r="C259" s="22" t="n"/>
      <c r="D259" s="24" t="n"/>
      <c r="E259" s="25" t="n"/>
      <c r="F259" s="23" t="n"/>
      <c r="G259" s="26">
        <f>IF(OR(B259="",E259=""),"",IF(F259&lt;&gt;"","✓ Paid",IF(TODAY()-B259&gt;Settings!$C$10,"⚠ Overdue "&amp;(TODAY()-B259-Settings!$C$10)&amp;" day(s)","Waiting "&amp;(TODAY()-B259)&amp;" day(s)")))</f>
        <v/>
      </c>
      <c r="H259" s="1" t="n"/>
    </row>
    <row r="260">
      <c r="A260" s="1" t="n"/>
      <c r="B260" s="23" t="n"/>
      <c r="C260" s="22" t="n"/>
      <c r="D260" s="24" t="n"/>
      <c r="E260" s="25" t="n"/>
      <c r="F260" s="23" t="n"/>
      <c r="G260" s="26">
        <f>IF(OR(B260="",E260=""),"",IF(F260&lt;&gt;"","✓ Paid",IF(TODAY()-B260&gt;Settings!$C$10,"⚠ Overdue "&amp;(TODAY()-B260-Settings!$C$10)&amp;" day(s)","Waiting "&amp;(TODAY()-B260)&amp;" day(s)")))</f>
        <v/>
      </c>
      <c r="H260" s="1" t="n"/>
    </row>
    <row r="261">
      <c r="A261" s="1" t="n"/>
      <c r="B261" s="23" t="n"/>
      <c r="C261" s="22" t="n"/>
      <c r="D261" s="24" t="n"/>
      <c r="E261" s="25" t="n"/>
      <c r="F261" s="23" t="n"/>
      <c r="G261" s="26">
        <f>IF(OR(B261="",E261=""),"",IF(F261&lt;&gt;"","✓ Paid",IF(TODAY()-B261&gt;Settings!$C$10,"⚠ Overdue "&amp;(TODAY()-B261-Settings!$C$10)&amp;" day(s)","Waiting "&amp;(TODAY()-B261)&amp;" day(s)")))</f>
        <v/>
      </c>
      <c r="H261" s="1" t="n"/>
    </row>
    <row r="262">
      <c r="A262" s="1" t="n"/>
      <c r="B262" s="23" t="n"/>
      <c r="C262" s="22" t="n"/>
      <c r="D262" s="24" t="n"/>
      <c r="E262" s="25" t="n"/>
      <c r="F262" s="23" t="n"/>
      <c r="G262" s="26">
        <f>IF(OR(B262="",E262=""),"",IF(F262&lt;&gt;"","✓ Paid",IF(TODAY()-B262&gt;Settings!$C$10,"⚠ Overdue "&amp;(TODAY()-B262-Settings!$C$10)&amp;" day(s)","Waiting "&amp;(TODAY()-B262)&amp;" day(s)")))</f>
        <v/>
      </c>
      <c r="H262" s="1" t="n"/>
    </row>
    <row r="263">
      <c r="A263" s="1" t="n"/>
      <c r="B263" s="23" t="n"/>
      <c r="C263" s="22" t="n"/>
      <c r="D263" s="24" t="n"/>
      <c r="E263" s="25" t="n"/>
      <c r="F263" s="23" t="n"/>
      <c r="G263" s="26">
        <f>IF(OR(B263="",E263=""),"",IF(F263&lt;&gt;"","✓ Paid",IF(TODAY()-B263&gt;Settings!$C$10,"⚠ Overdue "&amp;(TODAY()-B263-Settings!$C$10)&amp;" day(s)","Waiting "&amp;(TODAY()-B263)&amp;" day(s)")))</f>
        <v/>
      </c>
      <c r="H263" s="1" t="n"/>
    </row>
    <row r="264">
      <c r="A264" s="1" t="n"/>
      <c r="B264" s="23" t="n"/>
      <c r="C264" s="22" t="n"/>
      <c r="D264" s="24" t="n"/>
      <c r="E264" s="25" t="n"/>
      <c r="F264" s="23" t="n"/>
      <c r="G264" s="26">
        <f>IF(OR(B264="",E264=""),"",IF(F264&lt;&gt;"","✓ Paid",IF(TODAY()-B264&gt;Settings!$C$10,"⚠ Overdue "&amp;(TODAY()-B264-Settings!$C$10)&amp;" day(s)","Waiting "&amp;(TODAY()-B264)&amp;" day(s)")))</f>
        <v/>
      </c>
      <c r="H264" s="1" t="n"/>
    </row>
    <row r="265">
      <c r="A265" s="1" t="n"/>
      <c r="B265" s="23" t="n"/>
      <c r="C265" s="22" t="n"/>
      <c r="D265" s="24" t="n"/>
      <c r="E265" s="25" t="n"/>
      <c r="F265" s="23" t="n"/>
      <c r="G265" s="26">
        <f>IF(OR(B265="",E265=""),"",IF(F265&lt;&gt;"","✓ Paid",IF(TODAY()-B265&gt;Settings!$C$10,"⚠ Overdue "&amp;(TODAY()-B265-Settings!$C$10)&amp;" day(s)","Waiting "&amp;(TODAY()-B265)&amp;" day(s)")))</f>
        <v/>
      </c>
      <c r="H265" s="1" t="n"/>
    </row>
    <row r="266">
      <c r="A266" s="1" t="n"/>
      <c r="B266" s="23" t="n"/>
      <c r="C266" s="22" t="n"/>
      <c r="D266" s="24" t="n"/>
      <c r="E266" s="25" t="n"/>
      <c r="F266" s="23" t="n"/>
      <c r="G266" s="26">
        <f>IF(OR(B266="",E266=""),"",IF(F266&lt;&gt;"","✓ Paid",IF(TODAY()-B266&gt;Settings!$C$10,"⚠ Overdue "&amp;(TODAY()-B266-Settings!$C$10)&amp;" day(s)","Waiting "&amp;(TODAY()-B266)&amp;" day(s)")))</f>
        <v/>
      </c>
      <c r="H266" s="1" t="n"/>
    </row>
    <row r="267">
      <c r="A267" s="1" t="n"/>
      <c r="B267" s="23" t="n"/>
      <c r="C267" s="22" t="n"/>
      <c r="D267" s="24" t="n"/>
      <c r="E267" s="25" t="n"/>
      <c r="F267" s="23" t="n"/>
      <c r="G267" s="26">
        <f>IF(OR(B267="",E267=""),"",IF(F267&lt;&gt;"","✓ Paid",IF(TODAY()-B267&gt;Settings!$C$10,"⚠ Overdue "&amp;(TODAY()-B267-Settings!$C$10)&amp;" day(s)","Waiting "&amp;(TODAY()-B267)&amp;" day(s)")))</f>
        <v/>
      </c>
      <c r="H267" s="1" t="n"/>
    </row>
    <row r="268">
      <c r="A268" s="1" t="n"/>
      <c r="B268" s="23" t="n"/>
      <c r="C268" s="22" t="n"/>
      <c r="D268" s="24" t="n"/>
      <c r="E268" s="25" t="n"/>
      <c r="F268" s="23" t="n"/>
      <c r="G268" s="26">
        <f>IF(OR(B268="",E268=""),"",IF(F268&lt;&gt;"","✓ Paid",IF(TODAY()-B268&gt;Settings!$C$10,"⚠ Overdue "&amp;(TODAY()-B268-Settings!$C$10)&amp;" day(s)","Waiting "&amp;(TODAY()-B268)&amp;" day(s)")))</f>
        <v/>
      </c>
      <c r="H268" s="1" t="n"/>
    </row>
    <row r="269">
      <c r="A269" s="1" t="n"/>
      <c r="B269" s="23" t="n"/>
      <c r="C269" s="22" t="n"/>
      <c r="D269" s="24" t="n"/>
      <c r="E269" s="25" t="n"/>
      <c r="F269" s="23" t="n"/>
      <c r="G269" s="26">
        <f>IF(OR(B269="",E269=""),"",IF(F269&lt;&gt;"","✓ Paid",IF(TODAY()-B269&gt;Settings!$C$10,"⚠ Overdue "&amp;(TODAY()-B269-Settings!$C$10)&amp;" day(s)","Waiting "&amp;(TODAY()-B269)&amp;" day(s)")))</f>
        <v/>
      </c>
      <c r="H269" s="1" t="n"/>
    </row>
    <row r="270">
      <c r="A270" s="1" t="n"/>
      <c r="B270" s="23" t="n"/>
      <c r="C270" s="22" t="n"/>
      <c r="D270" s="24" t="n"/>
      <c r="E270" s="25" t="n"/>
      <c r="F270" s="23" t="n"/>
      <c r="G270" s="26">
        <f>IF(OR(B270="",E270=""),"",IF(F270&lt;&gt;"","✓ Paid",IF(TODAY()-B270&gt;Settings!$C$10,"⚠ Overdue "&amp;(TODAY()-B270-Settings!$C$10)&amp;" day(s)","Waiting "&amp;(TODAY()-B270)&amp;" day(s)")))</f>
        <v/>
      </c>
      <c r="H270" s="1" t="n"/>
    </row>
    <row r="271">
      <c r="A271" s="1" t="n"/>
      <c r="B271" s="23" t="n"/>
      <c r="C271" s="22" t="n"/>
      <c r="D271" s="24" t="n"/>
      <c r="E271" s="25" t="n"/>
      <c r="F271" s="23" t="n"/>
      <c r="G271" s="26">
        <f>IF(OR(B271="",E271=""),"",IF(F271&lt;&gt;"","✓ Paid",IF(TODAY()-B271&gt;Settings!$C$10,"⚠ Overdue "&amp;(TODAY()-B271-Settings!$C$10)&amp;" day(s)","Waiting "&amp;(TODAY()-B271)&amp;" day(s)")))</f>
        <v/>
      </c>
      <c r="H271" s="1" t="n"/>
    </row>
    <row r="272">
      <c r="A272" s="1" t="n"/>
      <c r="B272" s="23" t="n"/>
      <c r="C272" s="22" t="n"/>
      <c r="D272" s="24" t="n"/>
      <c r="E272" s="25" t="n"/>
      <c r="F272" s="23" t="n"/>
      <c r="G272" s="26">
        <f>IF(OR(B272="",E272=""),"",IF(F272&lt;&gt;"","✓ Paid",IF(TODAY()-B272&gt;Settings!$C$10,"⚠ Overdue "&amp;(TODAY()-B272-Settings!$C$10)&amp;" day(s)","Waiting "&amp;(TODAY()-B272)&amp;" day(s)")))</f>
        <v/>
      </c>
      <c r="H272" s="1" t="n"/>
    </row>
    <row r="273">
      <c r="A273" s="1" t="n"/>
      <c r="B273" s="23" t="n"/>
      <c r="C273" s="22" t="n"/>
      <c r="D273" s="24" t="n"/>
      <c r="E273" s="25" t="n"/>
      <c r="F273" s="23" t="n"/>
      <c r="G273" s="26">
        <f>IF(OR(B273="",E273=""),"",IF(F273&lt;&gt;"","✓ Paid",IF(TODAY()-B273&gt;Settings!$C$10,"⚠ Overdue "&amp;(TODAY()-B273-Settings!$C$10)&amp;" day(s)","Waiting "&amp;(TODAY()-B273)&amp;" day(s)")))</f>
        <v/>
      </c>
      <c r="H273" s="1" t="n"/>
    </row>
    <row r="274">
      <c r="A274" s="1" t="n"/>
      <c r="B274" s="23" t="n"/>
      <c r="C274" s="22" t="n"/>
      <c r="D274" s="24" t="n"/>
      <c r="E274" s="25" t="n"/>
      <c r="F274" s="23" t="n"/>
      <c r="G274" s="26">
        <f>IF(OR(B274="",E274=""),"",IF(F274&lt;&gt;"","✓ Paid",IF(TODAY()-B274&gt;Settings!$C$10,"⚠ Overdue "&amp;(TODAY()-B274-Settings!$C$10)&amp;" day(s)","Waiting "&amp;(TODAY()-B274)&amp;" day(s)")))</f>
        <v/>
      </c>
      <c r="H274" s="1" t="n"/>
    </row>
    <row r="275">
      <c r="A275" s="1" t="n"/>
      <c r="B275" s="23" t="n"/>
      <c r="C275" s="22" t="n"/>
      <c r="D275" s="24" t="n"/>
      <c r="E275" s="25" t="n"/>
      <c r="F275" s="23" t="n"/>
      <c r="G275" s="26">
        <f>IF(OR(B275="",E275=""),"",IF(F275&lt;&gt;"","✓ Paid",IF(TODAY()-B275&gt;Settings!$C$10,"⚠ Overdue "&amp;(TODAY()-B275-Settings!$C$10)&amp;" day(s)","Waiting "&amp;(TODAY()-B275)&amp;" day(s)")))</f>
        <v/>
      </c>
      <c r="H275" s="1" t="n"/>
    </row>
    <row r="276">
      <c r="A276" s="1" t="n"/>
      <c r="B276" s="23" t="n"/>
      <c r="C276" s="22" t="n"/>
      <c r="D276" s="24" t="n"/>
      <c r="E276" s="25" t="n"/>
      <c r="F276" s="23" t="n"/>
      <c r="G276" s="26">
        <f>IF(OR(B276="",E276=""),"",IF(F276&lt;&gt;"","✓ Paid",IF(TODAY()-B276&gt;Settings!$C$10,"⚠ Overdue "&amp;(TODAY()-B276-Settings!$C$10)&amp;" day(s)","Waiting "&amp;(TODAY()-B276)&amp;" day(s)")))</f>
        <v/>
      </c>
      <c r="H276" s="1" t="n"/>
    </row>
    <row r="277">
      <c r="A277" s="1" t="n"/>
      <c r="B277" s="23" t="n"/>
      <c r="C277" s="22" t="n"/>
      <c r="D277" s="24" t="n"/>
      <c r="E277" s="25" t="n"/>
      <c r="F277" s="23" t="n"/>
      <c r="G277" s="26">
        <f>IF(OR(B277="",E277=""),"",IF(F277&lt;&gt;"","✓ Paid",IF(TODAY()-B277&gt;Settings!$C$10,"⚠ Overdue "&amp;(TODAY()-B277-Settings!$C$10)&amp;" day(s)","Waiting "&amp;(TODAY()-B277)&amp;" day(s)")))</f>
        <v/>
      </c>
      <c r="H277" s="1" t="n"/>
    </row>
    <row r="278">
      <c r="A278" s="1" t="n"/>
      <c r="B278" s="23" t="n"/>
      <c r="C278" s="22" t="n"/>
      <c r="D278" s="24" t="n"/>
      <c r="E278" s="25" t="n"/>
      <c r="F278" s="23" t="n"/>
      <c r="G278" s="26">
        <f>IF(OR(B278="",E278=""),"",IF(F278&lt;&gt;"","✓ Paid",IF(TODAY()-B278&gt;Settings!$C$10,"⚠ Overdue "&amp;(TODAY()-B278-Settings!$C$10)&amp;" day(s)","Waiting "&amp;(TODAY()-B278)&amp;" day(s)")))</f>
        <v/>
      </c>
      <c r="H278" s="1" t="n"/>
    </row>
    <row r="279">
      <c r="A279" s="1" t="n"/>
      <c r="B279" s="23" t="n"/>
      <c r="C279" s="22" t="n"/>
      <c r="D279" s="24" t="n"/>
      <c r="E279" s="25" t="n"/>
      <c r="F279" s="23" t="n"/>
      <c r="G279" s="26">
        <f>IF(OR(B279="",E279=""),"",IF(F279&lt;&gt;"","✓ Paid",IF(TODAY()-B279&gt;Settings!$C$10,"⚠ Overdue "&amp;(TODAY()-B279-Settings!$C$10)&amp;" day(s)","Waiting "&amp;(TODAY()-B279)&amp;" day(s)")))</f>
        <v/>
      </c>
      <c r="H279" s="1" t="n"/>
    </row>
    <row r="280">
      <c r="A280" s="1" t="n"/>
      <c r="B280" s="23" t="n"/>
      <c r="C280" s="22" t="n"/>
      <c r="D280" s="24" t="n"/>
      <c r="E280" s="25" t="n"/>
      <c r="F280" s="23" t="n"/>
      <c r="G280" s="26">
        <f>IF(OR(B280="",E280=""),"",IF(F280&lt;&gt;"","✓ Paid",IF(TODAY()-B280&gt;Settings!$C$10,"⚠ Overdue "&amp;(TODAY()-B280-Settings!$C$10)&amp;" day(s)","Waiting "&amp;(TODAY()-B280)&amp;" day(s)")))</f>
        <v/>
      </c>
      <c r="H280" s="1" t="n"/>
    </row>
    <row r="281">
      <c r="A281" s="1" t="n"/>
      <c r="B281" s="23" t="n"/>
      <c r="C281" s="22" t="n"/>
      <c r="D281" s="24" t="n"/>
      <c r="E281" s="25" t="n"/>
      <c r="F281" s="23" t="n"/>
      <c r="G281" s="26">
        <f>IF(OR(B281="",E281=""),"",IF(F281&lt;&gt;"","✓ Paid",IF(TODAY()-B281&gt;Settings!$C$10,"⚠ Overdue "&amp;(TODAY()-B281-Settings!$C$10)&amp;" day(s)","Waiting "&amp;(TODAY()-B281)&amp;" day(s)")))</f>
        <v/>
      </c>
      <c r="H281" s="1" t="n"/>
    </row>
    <row r="282">
      <c r="A282" s="1" t="n"/>
      <c r="B282" s="23" t="n"/>
      <c r="C282" s="22" t="n"/>
      <c r="D282" s="24" t="n"/>
      <c r="E282" s="25" t="n"/>
      <c r="F282" s="23" t="n"/>
      <c r="G282" s="26">
        <f>IF(OR(B282="",E282=""),"",IF(F282&lt;&gt;"","✓ Paid",IF(TODAY()-B282&gt;Settings!$C$10,"⚠ Overdue "&amp;(TODAY()-B282-Settings!$C$10)&amp;" day(s)","Waiting "&amp;(TODAY()-B282)&amp;" day(s)")))</f>
        <v/>
      </c>
      <c r="H282" s="1" t="n"/>
    </row>
    <row r="283">
      <c r="A283" s="1" t="n"/>
      <c r="B283" s="23" t="n"/>
      <c r="C283" s="22" t="n"/>
      <c r="D283" s="24" t="n"/>
      <c r="E283" s="25" t="n"/>
      <c r="F283" s="23" t="n"/>
      <c r="G283" s="26">
        <f>IF(OR(B283="",E283=""),"",IF(F283&lt;&gt;"","✓ Paid",IF(TODAY()-B283&gt;Settings!$C$10,"⚠ Overdue "&amp;(TODAY()-B283-Settings!$C$10)&amp;" day(s)","Waiting "&amp;(TODAY()-B283)&amp;" day(s)")))</f>
        <v/>
      </c>
      <c r="H283" s="1" t="n"/>
    </row>
    <row r="284">
      <c r="A284" s="1" t="n"/>
      <c r="B284" s="23" t="n"/>
      <c r="C284" s="22" t="n"/>
      <c r="D284" s="24" t="n"/>
      <c r="E284" s="25" t="n"/>
      <c r="F284" s="23" t="n"/>
      <c r="G284" s="26">
        <f>IF(OR(B284="",E284=""),"",IF(F284&lt;&gt;"","✓ Paid",IF(TODAY()-B284&gt;Settings!$C$10,"⚠ Overdue "&amp;(TODAY()-B284-Settings!$C$10)&amp;" day(s)","Waiting "&amp;(TODAY()-B284)&amp;" day(s)")))</f>
        <v/>
      </c>
      <c r="H284" s="1" t="n"/>
    </row>
    <row r="285">
      <c r="A285" s="1" t="n"/>
      <c r="B285" s="23" t="n"/>
      <c r="C285" s="22" t="n"/>
      <c r="D285" s="24" t="n"/>
      <c r="E285" s="25" t="n"/>
      <c r="F285" s="23" t="n"/>
      <c r="G285" s="26">
        <f>IF(OR(B285="",E285=""),"",IF(F285&lt;&gt;"","✓ Paid",IF(TODAY()-B285&gt;Settings!$C$10,"⚠ Overdue "&amp;(TODAY()-B285-Settings!$C$10)&amp;" day(s)","Waiting "&amp;(TODAY()-B285)&amp;" day(s)")))</f>
        <v/>
      </c>
      <c r="H285" s="1" t="n"/>
    </row>
    <row r="286">
      <c r="A286" s="1" t="n"/>
      <c r="B286" s="23" t="n"/>
      <c r="C286" s="22" t="n"/>
      <c r="D286" s="24" t="n"/>
      <c r="E286" s="25" t="n"/>
      <c r="F286" s="23" t="n"/>
      <c r="G286" s="26">
        <f>IF(OR(B286="",E286=""),"",IF(F286&lt;&gt;"","✓ Paid",IF(TODAY()-B286&gt;Settings!$C$10,"⚠ Overdue "&amp;(TODAY()-B286-Settings!$C$10)&amp;" day(s)","Waiting "&amp;(TODAY()-B286)&amp;" day(s)")))</f>
        <v/>
      </c>
      <c r="H286" s="1" t="n"/>
    </row>
    <row r="287">
      <c r="A287" s="1" t="n"/>
      <c r="B287" s="23" t="n"/>
      <c r="C287" s="22" t="n"/>
      <c r="D287" s="24" t="n"/>
      <c r="E287" s="25" t="n"/>
      <c r="F287" s="23" t="n"/>
      <c r="G287" s="26">
        <f>IF(OR(B287="",E287=""),"",IF(F287&lt;&gt;"","✓ Paid",IF(TODAY()-B287&gt;Settings!$C$10,"⚠ Overdue "&amp;(TODAY()-B287-Settings!$C$10)&amp;" day(s)","Waiting "&amp;(TODAY()-B287)&amp;" day(s)")))</f>
        <v/>
      </c>
      <c r="H287" s="1" t="n"/>
    </row>
    <row r="288">
      <c r="A288" s="1" t="n"/>
      <c r="B288" s="23" t="n"/>
      <c r="C288" s="22" t="n"/>
      <c r="D288" s="24" t="n"/>
      <c r="E288" s="25" t="n"/>
      <c r="F288" s="23" t="n"/>
      <c r="G288" s="26">
        <f>IF(OR(B288="",E288=""),"",IF(F288&lt;&gt;"","✓ Paid",IF(TODAY()-B288&gt;Settings!$C$10,"⚠ Overdue "&amp;(TODAY()-B288-Settings!$C$10)&amp;" day(s)","Waiting "&amp;(TODAY()-B288)&amp;" day(s)")))</f>
        <v/>
      </c>
      <c r="H288" s="1" t="n"/>
    </row>
    <row r="289">
      <c r="A289" s="1" t="n"/>
      <c r="B289" s="23" t="n"/>
      <c r="C289" s="22" t="n"/>
      <c r="D289" s="24" t="n"/>
      <c r="E289" s="25" t="n"/>
      <c r="F289" s="23" t="n"/>
      <c r="G289" s="26">
        <f>IF(OR(B289="",E289=""),"",IF(F289&lt;&gt;"","✓ Paid",IF(TODAY()-B289&gt;Settings!$C$10,"⚠ Overdue "&amp;(TODAY()-B289-Settings!$C$10)&amp;" day(s)","Waiting "&amp;(TODAY()-B289)&amp;" day(s)")))</f>
        <v/>
      </c>
      <c r="H289" s="1" t="n"/>
    </row>
    <row r="290">
      <c r="A290" s="1" t="n"/>
      <c r="B290" s="23" t="n"/>
      <c r="C290" s="22" t="n"/>
      <c r="D290" s="24" t="n"/>
      <c r="E290" s="25" t="n"/>
      <c r="F290" s="23" t="n"/>
      <c r="G290" s="26">
        <f>IF(OR(B290="",E290=""),"",IF(F290&lt;&gt;"","✓ Paid",IF(TODAY()-B290&gt;Settings!$C$10,"⚠ Overdue "&amp;(TODAY()-B290-Settings!$C$10)&amp;" day(s)","Waiting "&amp;(TODAY()-B290)&amp;" day(s)")))</f>
        <v/>
      </c>
      <c r="H290" s="1" t="n"/>
    </row>
    <row r="291">
      <c r="A291" s="1" t="n"/>
      <c r="B291" s="23" t="n"/>
      <c r="C291" s="22" t="n"/>
      <c r="D291" s="24" t="n"/>
      <c r="E291" s="25" t="n"/>
      <c r="F291" s="23" t="n"/>
      <c r="G291" s="26">
        <f>IF(OR(B291="",E291=""),"",IF(F291&lt;&gt;"","✓ Paid",IF(TODAY()-B291&gt;Settings!$C$10,"⚠ Overdue "&amp;(TODAY()-B291-Settings!$C$10)&amp;" day(s)","Waiting "&amp;(TODAY()-B291)&amp;" day(s)")))</f>
        <v/>
      </c>
      <c r="H291" s="1" t="n"/>
    </row>
    <row r="292">
      <c r="A292" s="1" t="n"/>
      <c r="B292" s="23" t="n"/>
      <c r="C292" s="22" t="n"/>
      <c r="D292" s="24" t="n"/>
      <c r="E292" s="25" t="n"/>
      <c r="F292" s="23" t="n"/>
      <c r="G292" s="26">
        <f>IF(OR(B292="",E292=""),"",IF(F292&lt;&gt;"","✓ Paid",IF(TODAY()-B292&gt;Settings!$C$10,"⚠ Overdue "&amp;(TODAY()-B292-Settings!$C$10)&amp;" day(s)","Waiting "&amp;(TODAY()-B292)&amp;" day(s)")))</f>
        <v/>
      </c>
      <c r="H292" s="1" t="n"/>
    </row>
    <row r="293">
      <c r="A293" s="1" t="n"/>
      <c r="B293" s="23" t="n"/>
      <c r="C293" s="22" t="n"/>
      <c r="D293" s="24" t="n"/>
      <c r="E293" s="25" t="n"/>
      <c r="F293" s="23" t="n"/>
      <c r="G293" s="26">
        <f>IF(OR(B293="",E293=""),"",IF(F293&lt;&gt;"","✓ Paid",IF(TODAY()-B293&gt;Settings!$C$10,"⚠ Overdue "&amp;(TODAY()-B293-Settings!$C$10)&amp;" day(s)","Waiting "&amp;(TODAY()-B293)&amp;" day(s)")))</f>
        <v/>
      </c>
      <c r="H293" s="1" t="n"/>
    </row>
    <row r="294">
      <c r="A294" s="1" t="n"/>
      <c r="B294" s="23" t="n"/>
      <c r="C294" s="22" t="n"/>
      <c r="D294" s="24" t="n"/>
      <c r="E294" s="25" t="n"/>
      <c r="F294" s="23" t="n"/>
      <c r="G294" s="26">
        <f>IF(OR(B294="",E294=""),"",IF(F294&lt;&gt;"","✓ Paid",IF(TODAY()-B294&gt;Settings!$C$10,"⚠ Overdue "&amp;(TODAY()-B294-Settings!$C$10)&amp;" day(s)","Waiting "&amp;(TODAY()-B294)&amp;" day(s)")))</f>
        <v/>
      </c>
      <c r="H294" s="1" t="n"/>
    </row>
    <row r="295">
      <c r="A295" s="1" t="n"/>
      <c r="B295" s="23" t="n"/>
      <c r="C295" s="22" t="n"/>
      <c r="D295" s="24" t="n"/>
      <c r="E295" s="25" t="n"/>
      <c r="F295" s="23" t="n"/>
      <c r="G295" s="26">
        <f>IF(OR(B295="",E295=""),"",IF(F295&lt;&gt;"","✓ Paid",IF(TODAY()-B295&gt;Settings!$C$10,"⚠ Overdue "&amp;(TODAY()-B295-Settings!$C$10)&amp;" day(s)","Waiting "&amp;(TODAY()-B295)&amp;" day(s)")))</f>
        <v/>
      </c>
      <c r="H295" s="1" t="n"/>
    </row>
    <row r="296">
      <c r="A296" s="1" t="n"/>
      <c r="B296" s="23" t="n"/>
      <c r="C296" s="22" t="n"/>
      <c r="D296" s="24" t="n"/>
      <c r="E296" s="25" t="n"/>
      <c r="F296" s="23" t="n"/>
      <c r="G296" s="26">
        <f>IF(OR(B296="",E296=""),"",IF(F296&lt;&gt;"","✓ Paid",IF(TODAY()-B296&gt;Settings!$C$10,"⚠ Overdue "&amp;(TODAY()-B296-Settings!$C$10)&amp;" day(s)","Waiting "&amp;(TODAY()-B296)&amp;" day(s)")))</f>
        <v/>
      </c>
      <c r="H296" s="1" t="n"/>
    </row>
    <row r="297">
      <c r="A297" s="1" t="n"/>
      <c r="B297" s="23" t="n"/>
      <c r="C297" s="22" t="n"/>
      <c r="D297" s="24" t="n"/>
      <c r="E297" s="25" t="n"/>
      <c r="F297" s="23" t="n"/>
      <c r="G297" s="26">
        <f>IF(OR(B297="",E297=""),"",IF(F297&lt;&gt;"","✓ Paid",IF(TODAY()-B297&gt;Settings!$C$10,"⚠ Overdue "&amp;(TODAY()-B297-Settings!$C$10)&amp;" day(s)","Waiting "&amp;(TODAY()-B297)&amp;" day(s)")))</f>
        <v/>
      </c>
      <c r="H297" s="1" t="n"/>
    </row>
    <row r="298">
      <c r="A298" s="1" t="n"/>
      <c r="B298" s="23" t="n"/>
      <c r="C298" s="22" t="n"/>
      <c r="D298" s="24" t="n"/>
      <c r="E298" s="25" t="n"/>
      <c r="F298" s="23" t="n"/>
      <c r="G298" s="26">
        <f>IF(OR(B298="",E298=""),"",IF(F298&lt;&gt;"","✓ Paid",IF(TODAY()-B298&gt;Settings!$C$10,"⚠ Overdue "&amp;(TODAY()-B298-Settings!$C$10)&amp;" day(s)","Waiting "&amp;(TODAY()-B298)&amp;" day(s)")))</f>
        <v/>
      </c>
      <c r="H298" s="1" t="n"/>
    </row>
    <row r="299">
      <c r="A299" s="1" t="n"/>
      <c r="B299" s="23" t="n"/>
      <c r="C299" s="22" t="n"/>
      <c r="D299" s="24" t="n"/>
      <c r="E299" s="25" t="n"/>
      <c r="F299" s="23" t="n"/>
      <c r="G299" s="26">
        <f>IF(OR(B299="",E299=""),"",IF(F299&lt;&gt;"","✓ Paid",IF(TODAY()-B299&gt;Settings!$C$10,"⚠ Overdue "&amp;(TODAY()-B299-Settings!$C$10)&amp;" day(s)","Waiting "&amp;(TODAY()-B299)&amp;" day(s)")))</f>
        <v/>
      </c>
      <c r="H299" s="1" t="n"/>
    </row>
    <row r="300">
      <c r="A300" s="1" t="n"/>
      <c r="B300" s="23" t="n"/>
      <c r="C300" s="22" t="n"/>
      <c r="D300" s="24" t="n"/>
      <c r="E300" s="25" t="n"/>
      <c r="F300" s="23" t="n"/>
      <c r="G300" s="26">
        <f>IF(OR(B300="",E300=""),"",IF(F300&lt;&gt;"","✓ Paid",IF(TODAY()-B300&gt;Settings!$C$10,"⚠ Overdue "&amp;(TODAY()-B300-Settings!$C$10)&amp;" day(s)","Waiting "&amp;(TODAY()-B300)&amp;" day(s)")))</f>
        <v/>
      </c>
      <c r="H300" s="1" t="n"/>
    </row>
    <row r="301">
      <c r="A301" s="1" t="n"/>
      <c r="B301" s="23" t="n"/>
      <c r="C301" s="22" t="n"/>
      <c r="D301" s="24" t="n"/>
      <c r="E301" s="25" t="n"/>
      <c r="F301" s="23" t="n"/>
      <c r="G301" s="26">
        <f>IF(OR(B301="",E301=""),"",IF(F301&lt;&gt;"","✓ Paid",IF(TODAY()-B301&gt;Settings!$C$10,"⚠ Overdue "&amp;(TODAY()-B301-Settings!$C$10)&amp;" day(s)","Waiting "&amp;(TODAY()-B301)&amp;" day(s)")))</f>
        <v/>
      </c>
      <c r="H301" s="1" t="n"/>
    </row>
    <row r="302">
      <c r="A302" s="1" t="n"/>
      <c r="B302" s="23" t="n"/>
      <c r="C302" s="22" t="n"/>
      <c r="D302" s="24" t="n"/>
      <c r="E302" s="25" t="n"/>
      <c r="F302" s="23" t="n"/>
      <c r="G302" s="26">
        <f>IF(OR(B302="",E302=""),"",IF(F302&lt;&gt;"","✓ Paid",IF(TODAY()-B302&gt;Settings!$C$10,"⚠ Overdue "&amp;(TODAY()-B302-Settings!$C$10)&amp;" day(s)","Waiting "&amp;(TODAY()-B302)&amp;" day(s)")))</f>
        <v/>
      </c>
      <c r="H302" s="1" t="n"/>
    </row>
    <row r="303">
      <c r="A303" s="1" t="n"/>
      <c r="B303" s="23" t="n"/>
      <c r="C303" s="22" t="n"/>
      <c r="D303" s="24" t="n"/>
      <c r="E303" s="25" t="n"/>
      <c r="F303" s="23" t="n"/>
      <c r="G303" s="26">
        <f>IF(OR(B303="",E303=""),"",IF(F303&lt;&gt;"","✓ Paid",IF(TODAY()-B303&gt;Settings!$C$10,"⚠ Overdue "&amp;(TODAY()-B303-Settings!$C$10)&amp;" day(s)","Waiting "&amp;(TODAY()-B303)&amp;" day(s)")))</f>
        <v/>
      </c>
      <c r="H303" s="1" t="n"/>
    </row>
    <row r="304">
      <c r="A304" s="1" t="n"/>
      <c r="B304" s="23" t="n"/>
      <c r="C304" s="22" t="n"/>
      <c r="D304" s="24" t="n"/>
      <c r="E304" s="25" t="n"/>
      <c r="F304" s="23" t="n"/>
      <c r="G304" s="26">
        <f>IF(OR(B304="",E304=""),"",IF(F304&lt;&gt;"","✓ Paid",IF(TODAY()-B304&gt;Settings!$C$10,"⚠ Overdue "&amp;(TODAY()-B304-Settings!$C$10)&amp;" day(s)","Waiting "&amp;(TODAY()-B304)&amp;" day(s)")))</f>
        <v/>
      </c>
      <c r="H304" s="1" t="n"/>
    </row>
    <row r="305">
      <c r="A305" s="1" t="n"/>
      <c r="B305" s="23" t="n"/>
      <c r="C305" s="22" t="n"/>
      <c r="D305" s="24" t="n"/>
      <c r="E305" s="25" t="n"/>
      <c r="F305" s="23" t="n"/>
      <c r="G305" s="26">
        <f>IF(OR(B305="",E305=""),"",IF(F305&lt;&gt;"","✓ Paid",IF(TODAY()-B305&gt;Settings!$C$10,"⚠ Overdue "&amp;(TODAY()-B305-Settings!$C$10)&amp;" day(s)","Waiting "&amp;(TODAY()-B305)&amp;" day(s)")))</f>
        <v/>
      </c>
      <c r="H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</sheetData>
  <conditionalFormatting sqref="G6:G305">
    <cfRule type="expression" priority="1" dxfId="0">
      <formula>LEFT($G6,1)="✓"</formula>
    </cfRule>
    <cfRule type="expression" priority="2" dxfId="1">
      <formula>LEFT($G6,1)="⚠"</formula>
    </cfRule>
    <cfRule type="expression" priority="3" dxfId="2">
      <formula>LEFT($G6,7)="Waiting"</formula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22" customWidth="1" min="4" max="4"/>
    <col width="13" customWidth="1" min="5" max="5"/>
    <col width="11" customWidth="1" min="6" max="6"/>
    <col width="3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Expenses: one line per purchase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Keep the receipt: tick 'Receipt?' when you have it.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9" t="inlineStr">
        <is>
          <t>Date</t>
        </is>
      </c>
      <c r="C5" s="9" t="inlineStr">
        <is>
          <t>What</t>
        </is>
      </c>
      <c r="D5" s="9" t="inlineStr">
        <is>
          <t>Category</t>
        </is>
      </c>
      <c r="E5" s="9" t="inlineStr">
        <is>
          <t>Amount</t>
        </is>
      </c>
      <c r="F5" s="9" t="inlineStr">
        <is>
          <t>Receipt?</t>
        </is>
      </c>
      <c r="G5" s="9" t="inlineStr">
        <is>
          <t>Note</t>
        </is>
      </c>
      <c r="H5" s="1" t="n"/>
    </row>
    <row r="6">
      <c r="A6" s="1" t="n"/>
      <c r="B6" s="23" t="n">
        <v>46103</v>
      </c>
      <c r="C6" s="22" t="inlineStr">
        <is>
          <t>Laptop repair</t>
        </is>
      </c>
      <c r="D6" s="22" t="inlineStr">
        <is>
          <t>Equipment</t>
        </is>
      </c>
      <c r="E6" s="25" t="n">
        <v>180</v>
      </c>
      <c r="F6" s="24" t="b">
        <v>1</v>
      </c>
      <c r="G6" s="22" t="inlineStr"/>
      <c r="H6" s="1" t="n"/>
    </row>
    <row r="7">
      <c r="A7" s="1" t="n"/>
      <c r="B7" s="23" t="n">
        <v>46153</v>
      </c>
      <c r="C7" s="22" t="inlineStr">
        <is>
          <t>Accounting software</t>
        </is>
      </c>
      <c r="D7" s="22" t="inlineStr">
        <is>
          <t>Software &amp; tools</t>
        </is>
      </c>
      <c r="E7" s="25" t="n">
        <v>96</v>
      </c>
      <c r="F7" s="24" t="b">
        <v>1</v>
      </c>
      <c r="G7" s="22" t="inlineStr">
        <is>
          <t>yearly</t>
        </is>
      </c>
      <c r="H7" s="1" t="n"/>
    </row>
    <row r="8">
      <c r="A8" s="1" t="n"/>
      <c r="B8" s="23" t="n">
        <v>46218</v>
      </c>
      <c r="C8" s="22" t="inlineStr">
        <is>
          <t>Design app yearly plan</t>
        </is>
      </c>
      <c r="D8" s="22" t="inlineStr">
        <is>
          <t>Software &amp; tools</t>
        </is>
      </c>
      <c r="E8" s="25" t="n">
        <v>239</v>
      </c>
      <c r="F8" s="24" t="b">
        <v>1</v>
      </c>
      <c r="G8" s="22" t="inlineStr"/>
      <c r="H8" s="1" t="n"/>
    </row>
    <row r="9">
      <c r="A9" s="1" t="n"/>
      <c r="B9" s="23" t="n">
        <v>46233</v>
      </c>
      <c r="C9" s="22" t="inlineStr">
        <is>
          <t>Train to client workshop</t>
        </is>
      </c>
      <c r="D9" s="22" t="inlineStr">
        <is>
          <t>Travel</t>
        </is>
      </c>
      <c r="E9" s="25" t="n">
        <v>86.40000000000001</v>
      </c>
      <c r="F9" s="24" t="b">
        <v>1</v>
      </c>
      <c r="G9" s="22" t="inlineStr"/>
      <c r="H9" s="1" t="n"/>
    </row>
    <row r="10">
      <c r="A10" s="1" t="n"/>
      <c r="B10" s="23" t="n">
        <v>46252</v>
      </c>
      <c r="C10" s="22" t="inlineStr">
        <is>
          <t>Phone plan</t>
        </is>
      </c>
      <c r="D10" s="22" t="inlineStr">
        <is>
          <t>Phone &amp; internet</t>
        </is>
      </c>
      <c r="E10" s="25" t="n">
        <v>19.99</v>
      </c>
      <c r="F10" s="24" t="b">
        <v>1</v>
      </c>
      <c r="G10" s="22" t="inlineStr">
        <is>
          <t>monthly</t>
        </is>
      </c>
      <c r="H10" s="1" t="n"/>
    </row>
    <row r="11">
      <c r="A11" s="1" t="n"/>
      <c r="B11" s="23" t="n">
        <v>46260</v>
      </c>
      <c r="C11" s="22" t="inlineStr">
        <is>
          <t>Monitor</t>
        </is>
      </c>
      <c r="D11" s="22" t="inlineStr">
        <is>
          <t>Equipment</t>
        </is>
      </c>
      <c r="E11" s="25" t="n">
        <v>329</v>
      </c>
      <c r="F11" s="24" t="b">
        <v>0</v>
      </c>
      <c r="G11" s="22" t="inlineStr">
        <is>
          <t>find the invoice!</t>
        </is>
      </c>
      <c r="H11" s="1" t="n"/>
    </row>
    <row r="12">
      <c r="A12" s="1" t="n"/>
      <c r="B12" s="23" t="n">
        <v>46273</v>
      </c>
      <c r="C12" s="22" t="inlineStr">
        <is>
          <t>Coworking day passes</t>
        </is>
      </c>
      <c r="D12" s="22" t="inlineStr">
        <is>
          <t>Office &amp; coworking</t>
        </is>
      </c>
      <c r="E12" s="25" t="n">
        <v>75</v>
      </c>
      <c r="F12" s="24" t="b">
        <v>1</v>
      </c>
      <c r="G12" s="22" t="inlineStr"/>
      <c r="H12" s="1" t="n"/>
    </row>
    <row r="13">
      <c r="A13" s="1" t="n"/>
      <c r="B13" s="23" t="n">
        <v>46284</v>
      </c>
      <c r="C13" s="22" t="inlineStr">
        <is>
          <t>Online course</t>
        </is>
      </c>
      <c r="D13" s="22" t="inlineStr">
        <is>
          <t>Training</t>
        </is>
      </c>
      <c r="E13" s="25" t="n">
        <v>120</v>
      </c>
      <c r="F13" s="24" t="b">
        <v>1</v>
      </c>
      <c r="G13" s="22" t="inlineStr"/>
      <c r="H13" s="1" t="n"/>
    </row>
    <row r="14">
      <c r="A14" s="1" t="n"/>
      <c r="B14" s="23" t="n"/>
      <c r="C14" s="22" t="n"/>
      <c r="D14" s="22" t="n"/>
      <c r="E14" s="25" t="n"/>
      <c r="F14" s="24" t="n"/>
      <c r="G14" s="22" t="n"/>
      <c r="H14" s="1" t="n"/>
    </row>
    <row r="15">
      <c r="A15" s="1" t="n"/>
      <c r="B15" s="23" t="n"/>
      <c r="C15" s="22" t="n"/>
      <c r="D15" s="22" t="n"/>
      <c r="E15" s="25" t="n"/>
      <c r="F15" s="24" t="n"/>
      <c r="G15" s="22" t="n"/>
      <c r="H15" s="1" t="n"/>
    </row>
    <row r="16">
      <c r="A16" s="1" t="n"/>
      <c r="B16" s="23" t="n"/>
      <c r="C16" s="22" t="n"/>
      <c r="D16" s="22" t="n"/>
      <c r="E16" s="25" t="n"/>
      <c r="F16" s="24" t="n"/>
      <c r="G16" s="22" t="n"/>
      <c r="H16" s="1" t="n"/>
    </row>
    <row r="17">
      <c r="A17" s="1" t="n"/>
      <c r="B17" s="23" t="n"/>
      <c r="C17" s="22" t="n"/>
      <c r="D17" s="22" t="n"/>
      <c r="E17" s="25" t="n"/>
      <c r="F17" s="24" t="n"/>
      <c r="G17" s="22" t="n"/>
      <c r="H17" s="1" t="n"/>
    </row>
    <row r="18">
      <c r="A18" s="1" t="n"/>
      <c r="B18" s="23" t="n"/>
      <c r="C18" s="22" t="n"/>
      <c r="D18" s="22" t="n"/>
      <c r="E18" s="25" t="n"/>
      <c r="F18" s="24" t="n"/>
      <c r="G18" s="22" t="n"/>
      <c r="H18" s="1" t="n"/>
    </row>
    <row r="19">
      <c r="A19" s="1" t="n"/>
      <c r="B19" s="23" t="n"/>
      <c r="C19" s="22" t="n"/>
      <c r="D19" s="22" t="n"/>
      <c r="E19" s="25" t="n"/>
      <c r="F19" s="24" t="n"/>
      <c r="G19" s="22" t="n"/>
      <c r="H19" s="1" t="n"/>
    </row>
    <row r="20">
      <c r="A20" s="1" t="n"/>
      <c r="B20" s="23" t="n"/>
      <c r="C20" s="22" t="n"/>
      <c r="D20" s="22" t="n"/>
      <c r="E20" s="25" t="n"/>
      <c r="F20" s="24" t="n"/>
      <c r="G20" s="22" t="n"/>
      <c r="H20" s="1" t="n"/>
    </row>
    <row r="21">
      <c r="A21" s="1" t="n"/>
      <c r="B21" s="23" t="n"/>
      <c r="C21" s="22" t="n"/>
      <c r="D21" s="22" t="n"/>
      <c r="E21" s="25" t="n"/>
      <c r="F21" s="24" t="n"/>
      <c r="G21" s="22" t="n"/>
      <c r="H21" s="1" t="n"/>
    </row>
    <row r="22">
      <c r="A22" s="1" t="n"/>
      <c r="B22" s="23" t="n"/>
      <c r="C22" s="22" t="n"/>
      <c r="D22" s="22" t="n"/>
      <c r="E22" s="25" t="n"/>
      <c r="F22" s="24" t="n"/>
      <c r="G22" s="22" t="n"/>
      <c r="H22" s="1" t="n"/>
    </row>
    <row r="23">
      <c r="A23" s="1" t="n"/>
      <c r="B23" s="23" t="n"/>
      <c r="C23" s="22" t="n"/>
      <c r="D23" s="22" t="n"/>
      <c r="E23" s="25" t="n"/>
      <c r="F23" s="24" t="n"/>
      <c r="G23" s="22" t="n"/>
      <c r="H23" s="1" t="n"/>
    </row>
    <row r="24">
      <c r="A24" s="1" t="n"/>
      <c r="B24" s="23" t="n"/>
      <c r="C24" s="22" t="n"/>
      <c r="D24" s="22" t="n"/>
      <c r="E24" s="25" t="n"/>
      <c r="F24" s="24" t="n"/>
      <c r="G24" s="22" t="n"/>
      <c r="H24" s="1" t="n"/>
    </row>
    <row r="25">
      <c r="A25" s="1" t="n"/>
      <c r="B25" s="23" t="n"/>
      <c r="C25" s="22" t="n"/>
      <c r="D25" s="22" t="n"/>
      <c r="E25" s="25" t="n"/>
      <c r="F25" s="24" t="n"/>
      <c r="G25" s="22" t="n"/>
      <c r="H25" s="1" t="n"/>
    </row>
    <row r="26">
      <c r="A26" s="1" t="n"/>
      <c r="B26" s="23" t="n"/>
      <c r="C26" s="22" t="n"/>
      <c r="D26" s="22" t="n"/>
      <c r="E26" s="25" t="n"/>
      <c r="F26" s="24" t="n"/>
      <c r="G26" s="22" t="n"/>
      <c r="H26" s="1" t="n"/>
    </row>
    <row r="27">
      <c r="A27" s="1" t="n"/>
      <c r="B27" s="23" t="n"/>
      <c r="C27" s="22" t="n"/>
      <c r="D27" s="22" t="n"/>
      <c r="E27" s="25" t="n"/>
      <c r="F27" s="24" t="n"/>
      <c r="G27" s="22" t="n"/>
      <c r="H27" s="1" t="n"/>
    </row>
    <row r="28">
      <c r="A28" s="1" t="n"/>
      <c r="B28" s="23" t="n"/>
      <c r="C28" s="22" t="n"/>
      <c r="D28" s="22" t="n"/>
      <c r="E28" s="25" t="n"/>
      <c r="F28" s="24" t="n"/>
      <c r="G28" s="22" t="n"/>
      <c r="H28" s="1" t="n"/>
    </row>
    <row r="29">
      <c r="A29" s="1" t="n"/>
      <c r="B29" s="23" t="n"/>
      <c r="C29" s="22" t="n"/>
      <c r="D29" s="22" t="n"/>
      <c r="E29" s="25" t="n"/>
      <c r="F29" s="24" t="n"/>
      <c r="G29" s="22" t="n"/>
      <c r="H29" s="1" t="n"/>
    </row>
    <row r="30">
      <c r="A30" s="1" t="n"/>
      <c r="B30" s="23" t="n"/>
      <c r="C30" s="22" t="n"/>
      <c r="D30" s="22" t="n"/>
      <c r="E30" s="25" t="n"/>
      <c r="F30" s="24" t="n"/>
      <c r="G30" s="22" t="n"/>
      <c r="H30" s="1" t="n"/>
    </row>
    <row r="31">
      <c r="A31" s="1" t="n"/>
      <c r="B31" s="23" t="n"/>
      <c r="C31" s="22" t="n"/>
      <c r="D31" s="22" t="n"/>
      <c r="E31" s="25" t="n"/>
      <c r="F31" s="24" t="n"/>
      <c r="G31" s="22" t="n"/>
      <c r="H31" s="1" t="n"/>
    </row>
    <row r="32">
      <c r="A32" s="1" t="n"/>
      <c r="B32" s="23" t="n"/>
      <c r="C32" s="22" t="n"/>
      <c r="D32" s="22" t="n"/>
      <c r="E32" s="25" t="n"/>
      <c r="F32" s="24" t="n"/>
      <c r="G32" s="22" t="n"/>
      <c r="H32" s="1" t="n"/>
    </row>
    <row r="33">
      <c r="A33" s="1" t="n"/>
      <c r="B33" s="23" t="n"/>
      <c r="C33" s="22" t="n"/>
      <c r="D33" s="22" t="n"/>
      <c r="E33" s="25" t="n"/>
      <c r="F33" s="24" t="n"/>
      <c r="G33" s="22" t="n"/>
      <c r="H33" s="1" t="n"/>
    </row>
    <row r="34">
      <c r="A34" s="1" t="n"/>
      <c r="B34" s="23" t="n"/>
      <c r="C34" s="22" t="n"/>
      <c r="D34" s="22" t="n"/>
      <c r="E34" s="25" t="n"/>
      <c r="F34" s="24" t="n"/>
      <c r="G34" s="22" t="n"/>
      <c r="H34" s="1" t="n"/>
    </row>
    <row r="35">
      <c r="A35" s="1" t="n"/>
      <c r="B35" s="23" t="n"/>
      <c r="C35" s="22" t="n"/>
      <c r="D35" s="22" t="n"/>
      <c r="E35" s="25" t="n"/>
      <c r="F35" s="24" t="n"/>
      <c r="G35" s="22" t="n"/>
      <c r="H35" s="1" t="n"/>
    </row>
    <row r="36">
      <c r="A36" s="1" t="n"/>
      <c r="B36" s="23" t="n"/>
      <c r="C36" s="22" t="n"/>
      <c r="D36" s="22" t="n"/>
      <c r="E36" s="25" t="n"/>
      <c r="F36" s="24" t="n"/>
      <c r="G36" s="22" t="n"/>
      <c r="H36" s="1" t="n"/>
    </row>
    <row r="37">
      <c r="A37" s="1" t="n"/>
      <c r="B37" s="23" t="n"/>
      <c r="C37" s="22" t="n"/>
      <c r="D37" s="22" t="n"/>
      <c r="E37" s="25" t="n"/>
      <c r="F37" s="24" t="n"/>
      <c r="G37" s="22" t="n"/>
      <c r="H37" s="1" t="n"/>
    </row>
    <row r="38">
      <c r="A38" s="1" t="n"/>
      <c r="B38" s="23" t="n"/>
      <c r="C38" s="22" t="n"/>
      <c r="D38" s="22" t="n"/>
      <c r="E38" s="25" t="n"/>
      <c r="F38" s="24" t="n"/>
      <c r="G38" s="22" t="n"/>
      <c r="H38" s="1" t="n"/>
    </row>
    <row r="39">
      <c r="A39" s="1" t="n"/>
      <c r="B39" s="23" t="n"/>
      <c r="C39" s="22" t="n"/>
      <c r="D39" s="22" t="n"/>
      <c r="E39" s="25" t="n"/>
      <c r="F39" s="24" t="n"/>
      <c r="G39" s="22" t="n"/>
      <c r="H39" s="1" t="n"/>
    </row>
    <row r="40">
      <c r="A40" s="1" t="n"/>
      <c r="B40" s="23" t="n"/>
      <c r="C40" s="22" t="n"/>
      <c r="D40" s="22" t="n"/>
      <c r="E40" s="25" t="n"/>
      <c r="F40" s="24" t="n"/>
      <c r="G40" s="22" t="n"/>
      <c r="H40" s="1" t="n"/>
    </row>
    <row r="41">
      <c r="A41" s="1" t="n"/>
      <c r="B41" s="23" t="n"/>
      <c r="C41" s="22" t="n"/>
      <c r="D41" s="22" t="n"/>
      <c r="E41" s="25" t="n"/>
      <c r="F41" s="24" t="n"/>
      <c r="G41" s="22" t="n"/>
      <c r="H41" s="1" t="n"/>
    </row>
    <row r="42">
      <c r="A42" s="1" t="n"/>
      <c r="B42" s="23" t="n"/>
      <c r="C42" s="22" t="n"/>
      <c r="D42" s="22" t="n"/>
      <c r="E42" s="25" t="n"/>
      <c r="F42" s="24" t="n"/>
      <c r="G42" s="22" t="n"/>
      <c r="H42" s="1" t="n"/>
    </row>
    <row r="43">
      <c r="A43" s="1" t="n"/>
      <c r="B43" s="23" t="n"/>
      <c r="C43" s="22" t="n"/>
      <c r="D43" s="22" t="n"/>
      <c r="E43" s="25" t="n"/>
      <c r="F43" s="24" t="n"/>
      <c r="G43" s="22" t="n"/>
      <c r="H43" s="1" t="n"/>
    </row>
    <row r="44">
      <c r="A44" s="1" t="n"/>
      <c r="B44" s="23" t="n"/>
      <c r="C44" s="22" t="n"/>
      <c r="D44" s="22" t="n"/>
      <c r="E44" s="25" t="n"/>
      <c r="F44" s="24" t="n"/>
      <c r="G44" s="22" t="n"/>
      <c r="H44" s="1" t="n"/>
    </row>
    <row r="45">
      <c r="A45" s="1" t="n"/>
      <c r="B45" s="23" t="n"/>
      <c r="C45" s="22" t="n"/>
      <c r="D45" s="22" t="n"/>
      <c r="E45" s="25" t="n"/>
      <c r="F45" s="24" t="n"/>
      <c r="G45" s="22" t="n"/>
      <c r="H45" s="1" t="n"/>
    </row>
    <row r="46">
      <c r="A46" s="1" t="n"/>
      <c r="B46" s="23" t="n"/>
      <c r="C46" s="22" t="n"/>
      <c r="D46" s="22" t="n"/>
      <c r="E46" s="25" t="n"/>
      <c r="F46" s="24" t="n"/>
      <c r="G46" s="22" t="n"/>
      <c r="H46" s="1" t="n"/>
    </row>
    <row r="47">
      <c r="A47" s="1" t="n"/>
      <c r="B47" s="23" t="n"/>
      <c r="C47" s="22" t="n"/>
      <c r="D47" s="22" t="n"/>
      <c r="E47" s="25" t="n"/>
      <c r="F47" s="24" t="n"/>
      <c r="G47" s="22" t="n"/>
      <c r="H47" s="1" t="n"/>
    </row>
    <row r="48">
      <c r="A48" s="1" t="n"/>
      <c r="B48" s="23" t="n"/>
      <c r="C48" s="22" t="n"/>
      <c r="D48" s="22" t="n"/>
      <c r="E48" s="25" t="n"/>
      <c r="F48" s="24" t="n"/>
      <c r="G48" s="22" t="n"/>
      <c r="H48" s="1" t="n"/>
    </row>
    <row r="49">
      <c r="A49" s="1" t="n"/>
      <c r="B49" s="23" t="n"/>
      <c r="C49" s="22" t="n"/>
      <c r="D49" s="22" t="n"/>
      <c r="E49" s="25" t="n"/>
      <c r="F49" s="24" t="n"/>
      <c r="G49" s="22" t="n"/>
      <c r="H49" s="1" t="n"/>
    </row>
    <row r="50">
      <c r="A50" s="1" t="n"/>
      <c r="B50" s="23" t="n"/>
      <c r="C50" s="22" t="n"/>
      <c r="D50" s="22" t="n"/>
      <c r="E50" s="25" t="n"/>
      <c r="F50" s="24" t="n"/>
      <c r="G50" s="22" t="n"/>
      <c r="H50" s="1" t="n"/>
    </row>
    <row r="51">
      <c r="A51" s="1" t="n"/>
      <c r="B51" s="23" t="n"/>
      <c r="C51" s="22" t="n"/>
      <c r="D51" s="22" t="n"/>
      <c r="E51" s="25" t="n"/>
      <c r="F51" s="24" t="n"/>
      <c r="G51" s="22" t="n"/>
      <c r="H51" s="1" t="n"/>
    </row>
    <row r="52">
      <c r="A52" s="1" t="n"/>
      <c r="B52" s="23" t="n"/>
      <c r="C52" s="22" t="n"/>
      <c r="D52" s="22" t="n"/>
      <c r="E52" s="25" t="n"/>
      <c r="F52" s="24" t="n"/>
      <c r="G52" s="22" t="n"/>
      <c r="H52" s="1" t="n"/>
    </row>
    <row r="53">
      <c r="A53" s="1" t="n"/>
      <c r="B53" s="23" t="n"/>
      <c r="C53" s="22" t="n"/>
      <c r="D53" s="22" t="n"/>
      <c r="E53" s="25" t="n"/>
      <c r="F53" s="24" t="n"/>
      <c r="G53" s="22" t="n"/>
      <c r="H53" s="1" t="n"/>
    </row>
    <row r="54">
      <c r="A54" s="1" t="n"/>
      <c r="B54" s="23" t="n"/>
      <c r="C54" s="22" t="n"/>
      <c r="D54" s="22" t="n"/>
      <c r="E54" s="25" t="n"/>
      <c r="F54" s="24" t="n"/>
      <c r="G54" s="22" t="n"/>
      <c r="H54" s="1" t="n"/>
    </row>
    <row r="55">
      <c r="A55" s="1" t="n"/>
      <c r="B55" s="23" t="n"/>
      <c r="C55" s="22" t="n"/>
      <c r="D55" s="22" t="n"/>
      <c r="E55" s="25" t="n"/>
      <c r="F55" s="24" t="n"/>
      <c r="G55" s="22" t="n"/>
      <c r="H55" s="1" t="n"/>
    </row>
    <row r="56">
      <c r="A56" s="1" t="n"/>
      <c r="B56" s="23" t="n"/>
      <c r="C56" s="22" t="n"/>
      <c r="D56" s="22" t="n"/>
      <c r="E56" s="25" t="n"/>
      <c r="F56" s="24" t="n"/>
      <c r="G56" s="22" t="n"/>
      <c r="H56" s="1" t="n"/>
    </row>
    <row r="57">
      <c r="A57" s="1" t="n"/>
      <c r="B57" s="23" t="n"/>
      <c r="C57" s="22" t="n"/>
      <c r="D57" s="22" t="n"/>
      <c r="E57" s="25" t="n"/>
      <c r="F57" s="24" t="n"/>
      <c r="G57" s="22" t="n"/>
      <c r="H57" s="1" t="n"/>
    </row>
    <row r="58">
      <c r="A58" s="1" t="n"/>
      <c r="B58" s="23" t="n"/>
      <c r="C58" s="22" t="n"/>
      <c r="D58" s="22" t="n"/>
      <c r="E58" s="25" t="n"/>
      <c r="F58" s="24" t="n"/>
      <c r="G58" s="22" t="n"/>
      <c r="H58" s="1" t="n"/>
    </row>
    <row r="59">
      <c r="A59" s="1" t="n"/>
      <c r="B59" s="23" t="n"/>
      <c r="C59" s="22" t="n"/>
      <c r="D59" s="22" t="n"/>
      <c r="E59" s="25" t="n"/>
      <c r="F59" s="24" t="n"/>
      <c r="G59" s="22" t="n"/>
      <c r="H59" s="1" t="n"/>
    </row>
    <row r="60">
      <c r="A60" s="1" t="n"/>
      <c r="B60" s="23" t="n"/>
      <c r="C60" s="22" t="n"/>
      <c r="D60" s="22" t="n"/>
      <c r="E60" s="25" t="n"/>
      <c r="F60" s="24" t="n"/>
      <c r="G60" s="22" t="n"/>
      <c r="H60" s="1" t="n"/>
    </row>
    <row r="61">
      <c r="A61" s="1" t="n"/>
      <c r="B61" s="23" t="n"/>
      <c r="C61" s="22" t="n"/>
      <c r="D61" s="22" t="n"/>
      <c r="E61" s="25" t="n"/>
      <c r="F61" s="24" t="n"/>
      <c r="G61" s="22" t="n"/>
      <c r="H61" s="1" t="n"/>
    </row>
    <row r="62">
      <c r="A62" s="1" t="n"/>
      <c r="B62" s="23" t="n"/>
      <c r="C62" s="22" t="n"/>
      <c r="D62" s="22" t="n"/>
      <c r="E62" s="25" t="n"/>
      <c r="F62" s="24" t="n"/>
      <c r="G62" s="22" t="n"/>
      <c r="H62" s="1" t="n"/>
    </row>
    <row r="63">
      <c r="A63" s="1" t="n"/>
      <c r="B63" s="23" t="n"/>
      <c r="C63" s="22" t="n"/>
      <c r="D63" s="22" t="n"/>
      <c r="E63" s="25" t="n"/>
      <c r="F63" s="24" t="n"/>
      <c r="G63" s="22" t="n"/>
      <c r="H63" s="1" t="n"/>
    </row>
    <row r="64">
      <c r="A64" s="1" t="n"/>
      <c r="B64" s="23" t="n"/>
      <c r="C64" s="22" t="n"/>
      <c r="D64" s="22" t="n"/>
      <c r="E64" s="25" t="n"/>
      <c r="F64" s="24" t="n"/>
      <c r="G64" s="22" t="n"/>
      <c r="H64" s="1" t="n"/>
    </row>
    <row r="65">
      <c r="A65" s="1" t="n"/>
      <c r="B65" s="23" t="n"/>
      <c r="C65" s="22" t="n"/>
      <c r="D65" s="22" t="n"/>
      <c r="E65" s="25" t="n"/>
      <c r="F65" s="24" t="n"/>
      <c r="G65" s="22" t="n"/>
      <c r="H65" s="1" t="n"/>
    </row>
    <row r="66">
      <c r="A66" s="1" t="n"/>
      <c r="B66" s="23" t="n"/>
      <c r="C66" s="22" t="n"/>
      <c r="D66" s="22" t="n"/>
      <c r="E66" s="25" t="n"/>
      <c r="F66" s="24" t="n"/>
      <c r="G66" s="22" t="n"/>
      <c r="H66" s="1" t="n"/>
    </row>
    <row r="67">
      <c r="A67" s="1" t="n"/>
      <c r="B67" s="23" t="n"/>
      <c r="C67" s="22" t="n"/>
      <c r="D67" s="22" t="n"/>
      <c r="E67" s="25" t="n"/>
      <c r="F67" s="24" t="n"/>
      <c r="G67" s="22" t="n"/>
      <c r="H67" s="1" t="n"/>
    </row>
    <row r="68">
      <c r="A68" s="1" t="n"/>
      <c r="B68" s="23" t="n"/>
      <c r="C68" s="22" t="n"/>
      <c r="D68" s="22" t="n"/>
      <c r="E68" s="25" t="n"/>
      <c r="F68" s="24" t="n"/>
      <c r="G68" s="22" t="n"/>
      <c r="H68" s="1" t="n"/>
    </row>
    <row r="69">
      <c r="A69" s="1" t="n"/>
      <c r="B69" s="23" t="n"/>
      <c r="C69" s="22" t="n"/>
      <c r="D69" s="22" t="n"/>
      <c r="E69" s="25" t="n"/>
      <c r="F69" s="24" t="n"/>
      <c r="G69" s="22" t="n"/>
      <c r="H69" s="1" t="n"/>
    </row>
    <row r="70">
      <c r="A70" s="1" t="n"/>
      <c r="B70" s="23" t="n"/>
      <c r="C70" s="22" t="n"/>
      <c r="D70" s="22" t="n"/>
      <c r="E70" s="25" t="n"/>
      <c r="F70" s="24" t="n"/>
      <c r="G70" s="22" t="n"/>
      <c r="H70" s="1" t="n"/>
    </row>
    <row r="71">
      <c r="A71" s="1" t="n"/>
      <c r="B71" s="23" t="n"/>
      <c r="C71" s="22" t="n"/>
      <c r="D71" s="22" t="n"/>
      <c r="E71" s="25" t="n"/>
      <c r="F71" s="24" t="n"/>
      <c r="G71" s="22" t="n"/>
      <c r="H71" s="1" t="n"/>
    </row>
    <row r="72">
      <c r="A72" s="1" t="n"/>
      <c r="B72" s="23" t="n"/>
      <c r="C72" s="22" t="n"/>
      <c r="D72" s="22" t="n"/>
      <c r="E72" s="25" t="n"/>
      <c r="F72" s="24" t="n"/>
      <c r="G72" s="22" t="n"/>
      <c r="H72" s="1" t="n"/>
    </row>
    <row r="73">
      <c r="A73" s="1" t="n"/>
      <c r="B73" s="23" t="n"/>
      <c r="C73" s="22" t="n"/>
      <c r="D73" s="22" t="n"/>
      <c r="E73" s="25" t="n"/>
      <c r="F73" s="24" t="n"/>
      <c r="G73" s="22" t="n"/>
      <c r="H73" s="1" t="n"/>
    </row>
    <row r="74">
      <c r="A74" s="1" t="n"/>
      <c r="B74" s="23" t="n"/>
      <c r="C74" s="22" t="n"/>
      <c r="D74" s="22" t="n"/>
      <c r="E74" s="25" t="n"/>
      <c r="F74" s="24" t="n"/>
      <c r="G74" s="22" t="n"/>
      <c r="H74" s="1" t="n"/>
    </row>
    <row r="75">
      <c r="A75" s="1" t="n"/>
      <c r="B75" s="23" t="n"/>
      <c r="C75" s="22" t="n"/>
      <c r="D75" s="22" t="n"/>
      <c r="E75" s="25" t="n"/>
      <c r="F75" s="24" t="n"/>
      <c r="G75" s="22" t="n"/>
      <c r="H75" s="1" t="n"/>
    </row>
    <row r="76">
      <c r="A76" s="1" t="n"/>
      <c r="B76" s="23" t="n"/>
      <c r="C76" s="22" t="n"/>
      <c r="D76" s="22" t="n"/>
      <c r="E76" s="25" t="n"/>
      <c r="F76" s="24" t="n"/>
      <c r="G76" s="22" t="n"/>
      <c r="H76" s="1" t="n"/>
    </row>
    <row r="77">
      <c r="A77" s="1" t="n"/>
      <c r="B77" s="23" t="n"/>
      <c r="C77" s="22" t="n"/>
      <c r="D77" s="22" t="n"/>
      <c r="E77" s="25" t="n"/>
      <c r="F77" s="24" t="n"/>
      <c r="G77" s="22" t="n"/>
      <c r="H77" s="1" t="n"/>
    </row>
    <row r="78">
      <c r="A78" s="1" t="n"/>
      <c r="B78" s="23" t="n"/>
      <c r="C78" s="22" t="n"/>
      <c r="D78" s="22" t="n"/>
      <c r="E78" s="25" t="n"/>
      <c r="F78" s="24" t="n"/>
      <c r="G78" s="22" t="n"/>
      <c r="H78" s="1" t="n"/>
    </row>
    <row r="79">
      <c r="A79" s="1" t="n"/>
      <c r="B79" s="23" t="n"/>
      <c r="C79" s="22" t="n"/>
      <c r="D79" s="22" t="n"/>
      <c r="E79" s="25" t="n"/>
      <c r="F79" s="24" t="n"/>
      <c r="G79" s="22" t="n"/>
      <c r="H79" s="1" t="n"/>
    </row>
    <row r="80">
      <c r="A80" s="1" t="n"/>
      <c r="B80" s="23" t="n"/>
      <c r="C80" s="22" t="n"/>
      <c r="D80" s="22" t="n"/>
      <c r="E80" s="25" t="n"/>
      <c r="F80" s="24" t="n"/>
      <c r="G80" s="22" t="n"/>
      <c r="H80" s="1" t="n"/>
    </row>
    <row r="81">
      <c r="A81" s="1" t="n"/>
      <c r="B81" s="23" t="n"/>
      <c r="C81" s="22" t="n"/>
      <c r="D81" s="22" t="n"/>
      <c r="E81" s="25" t="n"/>
      <c r="F81" s="24" t="n"/>
      <c r="G81" s="22" t="n"/>
      <c r="H81" s="1" t="n"/>
    </row>
    <row r="82">
      <c r="A82" s="1" t="n"/>
      <c r="B82" s="23" t="n"/>
      <c r="C82" s="22" t="n"/>
      <c r="D82" s="22" t="n"/>
      <c r="E82" s="25" t="n"/>
      <c r="F82" s="24" t="n"/>
      <c r="G82" s="22" t="n"/>
      <c r="H82" s="1" t="n"/>
    </row>
    <row r="83">
      <c r="A83" s="1" t="n"/>
      <c r="B83" s="23" t="n"/>
      <c r="C83" s="22" t="n"/>
      <c r="D83" s="22" t="n"/>
      <c r="E83" s="25" t="n"/>
      <c r="F83" s="24" t="n"/>
      <c r="G83" s="22" t="n"/>
      <c r="H83" s="1" t="n"/>
    </row>
    <row r="84">
      <c r="A84" s="1" t="n"/>
      <c r="B84" s="23" t="n"/>
      <c r="C84" s="22" t="n"/>
      <c r="D84" s="22" t="n"/>
      <c r="E84" s="25" t="n"/>
      <c r="F84" s="24" t="n"/>
      <c r="G84" s="22" t="n"/>
      <c r="H84" s="1" t="n"/>
    </row>
    <row r="85">
      <c r="A85" s="1" t="n"/>
      <c r="B85" s="23" t="n"/>
      <c r="C85" s="22" t="n"/>
      <c r="D85" s="22" t="n"/>
      <c r="E85" s="25" t="n"/>
      <c r="F85" s="24" t="n"/>
      <c r="G85" s="22" t="n"/>
      <c r="H85" s="1" t="n"/>
    </row>
    <row r="86">
      <c r="A86" s="1" t="n"/>
      <c r="B86" s="23" t="n"/>
      <c r="C86" s="22" t="n"/>
      <c r="D86" s="22" t="n"/>
      <c r="E86" s="25" t="n"/>
      <c r="F86" s="24" t="n"/>
      <c r="G86" s="22" t="n"/>
      <c r="H86" s="1" t="n"/>
    </row>
    <row r="87">
      <c r="A87" s="1" t="n"/>
      <c r="B87" s="23" t="n"/>
      <c r="C87" s="22" t="n"/>
      <c r="D87" s="22" t="n"/>
      <c r="E87" s="25" t="n"/>
      <c r="F87" s="24" t="n"/>
      <c r="G87" s="22" t="n"/>
      <c r="H87" s="1" t="n"/>
    </row>
    <row r="88">
      <c r="A88" s="1" t="n"/>
      <c r="B88" s="23" t="n"/>
      <c r="C88" s="22" t="n"/>
      <c r="D88" s="22" t="n"/>
      <c r="E88" s="25" t="n"/>
      <c r="F88" s="24" t="n"/>
      <c r="G88" s="22" t="n"/>
      <c r="H88" s="1" t="n"/>
    </row>
    <row r="89">
      <c r="A89" s="1" t="n"/>
      <c r="B89" s="23" t="n"/>
      <c r="C89" s="22" t="n"/>
      <c r="D89" s="22" t="n"/>
      <c r="E89" s="25" t="n"/>
      <c r="F89" s="24" t="n"/>
      <c r="G89" s="22" t="n"/>
      <c r="H89" s="1" t="n"/>
    </row>
    <row r="90">
      <c r="A90" s="1" t="n"/>
      <c r="B90" s="23" t="n"/>
      <c r="C90" s="22" t="n"/>
      <c r="D90" s="22" t="n"/>
      <c r="E90" s="25" t="n"/>
      <c r="F90" s="24" t="n"/>
      <c r="G90" s="22" t="n"/>
      <c r="H90" s="1" t="n"/>
    </row>
    <row r="91">
      <c r="A91" s="1" t="n"/>
      <c r="B91" s="23" t="n"/>
      <c r="C91" s="22" t="n"/>
      <c r="D91" s="22" t="n"/>
      <c r="E91" s="25" t="n"/>
      <c r="F91" s="24" t="n"/>
      <c r="G91" s="22" t="n"/>
      <c r="H91" s="1" t="n"/>
    </row>
    <row r="92">
      <c r="A92" s="1" t="n"/>
      <c r="B92" s="23" t="n"/>
      <c r="C92" s="22" t="n"/>
      <c r="D92" s="22" t="n"/>
      <c r="E92" s="25" t="n"/>
      <c r="F92" s="24" t="n"/>
      <c r="G92" s="22" t="n"/>
      <c r="H92" s="1" t="n"/>
    </row>
    <row r="93">
      <c r="A93" s="1" t="n"/>
      <c r="B93" s="23" t="n"/>
      <c r="C93" s="22" t="n"/>
      <c r="D93" s="22" t="n"/>
      <c r="E93" s="25" t="n"/>
      <c r="F93" s="24" t="n"/>
      <c r="G93" s="22" t="n"/>
      <c r="H93" s="1" t="n"/>
    </row>
    <row r="94">
      <c r="A94" s="1" t="n"/>
      <c r="B94" s="23" t="n"/>
      <c r="C94" s="22" t="n"/>
      <c r="D94" s="22" t="n"/>
      <c r="E94" s="25" t="n"/>
      <c r="F94" s="24" t="n"/>
      <c r="G94" s="22" t="n"/>
      <c r="H94" s="1" t="n"/>
    </row>
    <row r="95">
      <c r="A95" s="1" t="n"/>
      <c r="B95" s="23" t="n"/>
      <c r="C95" s="22" t="n"/>
      <c r="D95" s="22" t="n"/>
      <c r="E95" s="25" t="n"/>
      <c r="F95" s="24" t="n"/>
      <c r="G95" s="22" t="n"/>
      <c r="H95" s="1" t="n"/>
    </row>
    <row r="96">
      <c r="A96" s="1" t="n"/>
      <c r="B96" s="23" t="n"/>
      <c r="C96" s="22" t="n"/>
      <c r="D96" s="22" t="n"/>
      <c r="E96" s="25" t="n"/>
      <c r="F96" s="24" t="n"/>
      <c r="G96" s="22" t="n"/>
      <c r="H96" s="1" t="n"/>
    </row>
    <row r="97">
      <c r="A97" s="1" t="n"/>
      <c r="B97" s="23" t="n"/>
      <c r="C97" s="22" t="n"/>
      <c r="D97" s="22" t="n"/>
      <c r="E97" s="25" t="n"/>
      <c r="F97" s="24" t="n"/>
      <c r="G97" s="22" t="n"/>
      <c r="H97" s="1" t="n"/>
    </row>
    <row r="98">
      <c r="A98" s="1" t="n"/>
      <c r="B98" s="23" t="n"/>
      <c r="C98" s="22" t="n"/>
      <c r="D98" s="22" t="n"/>
      <c r="E98" s="25" t="n"/>
      <c r="F98" s="24" t="n"/>
      <c r="G98" s="22" t="n"/>
      <c r="H98" s="1" t="n"/>
    </row>
    <row r="99">
      <c r="A99" s="1" t="n"/>
      <c r="B99" s="23" t="n"/>
      <c r="C99" s="22" t="n"/>
      <c r="D99" s="22" t="n"/>
      <c r="E99" s="25" t="n"/>
      <c r="F99" s="24" t="n"/>
      <c r="G99" s="22" t="n"/>
      <c r="H99" s="1" t="n"/>
    </row>
    <row r="100">
      <c r="A100" s="1" t="n"/>
      <c r="B100" s="23" t="n"/>
      <c r="C100" s="22" t="n"/>
      <c r="D100" s="22" t="n"/>
      <c r="E100" s="25" t="n"/>
      <c r="F100" s="24" t="n"/>
      <c r="G100" s="22" t="n"/>
      <c r="H100" s="1" t="n"/>
    </row>
    <row r="101">
      <c r="A101" s="1" t="n"/>
      <c r="B101" s="23" t="n"/>
      <c r="C101" s="22" t="n"/>
      <c r="D101" s="22" t="n"/>
      <c r="E101" s="25" t="n"/>
      <c r="F101" s="24" t="n"/>
      <c r="G101" s="22" t="n"/>
      <c r="H101" s="1" t="n"/>
    </row>
    <row r="102">
      <c r="A102" s="1" t="n"/>
      <c r="B102" s="23" t="n"/>
      <c r="C102" s="22" t="n"/>
      <c r="D102" s="22" t="n"/>
      <c r="E102" s="25" t="n"/>
      <c r="F102" s="24" t="n"/>
      <c r="G102" s="22" t="n"/>
      <c r="H102" s="1" t="n"/>
    </row>
    <row r="103">
      <c r="A103" s="1" t="n"/>
      <c r="B103" s="23" t="n"/>
      <c r="C103" s="22" t="n"/>
      <c r="D103" s="22" t="n"/>
      <c r="E103" s="25" t="n"/>
      <c r="F103" s="24" t="n"/>
      <c r="G103" s="22" t="n"/>
      <c r="H103" s="1" t="n"/>
    </row>
    <row r="104">
      <c r="A104" s="1" t="n"/>
      <c r="B104" s="23" t="n"/>
      <c r="C104" s="22" t="n"/>
      <c r="D104" s="22" t="n"/>
      <c r="E104" s="25" t="n"/>
      <c r="F104" s="24" t="n"/>
      <c r="G104" s="22" t="n"/>
      <c r="H104" s="1" t="n"/>
    </row>
    <row r="105">
      <c r="A105" s="1" t="n"/>
      <c r="B105" s="23" t="n"/>
      <c r="C105" s="22" t="n"/>
      <c r="D105" s="22" t="n"/>
      <c r="E105" s="25" t="n"/>
      <c r="F105" s="24" t="n"/>
      <c r="G105" s="22" t="n"/>
      <c r="H105" s="1" t="n"/>
    </row>
    <row r="106">
      <c r="A106" s="1" t="n"/>
      <c r="B106" s="23" t="n"/>
      <c r="C106" s="22" t="n"/>
      <c r="D106" s="22" t="n"/>
      <c r="E106" s="25" t="n"/>
      <c r="F106" s="24" t="n"/>
      <c r="G106" s="22" t="n"/>
      <c r="H106" s="1" t="n"/>
    </row>
    <row r="107">
      <c r="A107" s="1" t="n"/>
      <c r="B107" s="23" t="n"/>
      <c r="C107" s="22" t="n"/>
      <c r="D107" s="22" t="n"/>
      <c r="E107" s="25" t="n"/>
      <c r="F107" s="24" t="n"/>
      <c r="G107" s="22" t="n"/>
      <c r="H107" s="1" t="n"/>
    </row>
    <row r="108">
      <c r="A108" s="1" t="n"/>
      <c r="B108" s="23" t="n"/>
      <c r="C108" s="22" t="n"/>
      <c r="D108" s="22" t="n"/>
      <c r="E108" s="25" t="n"/>
      <c r="F108" s="24" t="n"/>
      <c r="G108" s="22" t="n"/>
      <c r="H108" s="1" t="n"/>
    </row>
    <row r="109">
      <c r="A109" s="1" t="n"/>
      <c r="B109" s="23" t="n"/>
      <c r="C109" s="22" t="n"/>
      <c r="D109" s="22" t="n"/>
      <c r="E109" s="25" t="n"/>
      <c r="F109" s="24" t="n"/>
      <c r="G109" s="22" t="n"/>
      <c r="H109" s="1" t="n"/>
    </row>
    <row r="110">
      <c r="A110" s="1" t="n"/>
      <c r="B110" s="23" t="n"/>
      <c r="C110" s="22" t="n"/>
      <c r="D110" s="22" t="n"/>
      <c r="E110" s="25" t="n"/>
      <c r="F110" s="24" t="n"/>
      <c r="G110" s="22" t="n"/>
      <c r="H110" s="1" t="n"/>
    </row>
    <row r="111">
      <c r="A111" s="1" t="n"/>
      <c r="B111" s="23" t="n"/>
      <c r="C111" s="22" t="n"/>
      <c r="D111" s="22" t="n"/>
      <c r="E111" s="25" t="n"/>
      <c r="F111" s="24" t="n"/>
      <c r="G111" s="22" t="n"/>
      <c r="H111" s="1" t="n"/>
    </row>
    <row r="112">
      <c r="A112" s="1" t="n"/>
      <c r="B112" s="23" t="n"/>
      <c r="C112" s="22" t="n"/>
      <c r="D112" s="22" t="n"/>
      <c r="E112" s="25" t="n"/>
      <c r="F112" s="24" t="n"/>
      <c r="G112" s="22" t="n"/>
      <c r="H112" s="1" t="n"/>
    </row>
    <row r="113">
      <c r="A113" s="1" t="n"/>
      <c r="B113" s="23" t="n"/>
      <c r="C113" s="22" t="n"/>
      <c r="D113" s="22" t="n"/>
      <c r="E113" s="25" t="n"/>
      <c r="F113" s="24" t="n"/>
      <c r="G113" s="22" t="n"/>
      <c r="H113" s="1" t="n"/>
    </row>
    <row r="114">
      <c r="A114" s="1" t="n"/>
      <c r="B114" s="23" t="n"/>
      <c r="C114" s="22" t="n"/>
      <c r="D114" s="22" t="n"/>
      <c r="E114" s="25" t="n"/>
      <c r="F114" s="24" t="n"/>
      <c r="G114" s="22" t="n"/>
      <c r="H114" s="1" t="n"/>
    </row>
    <row r="115">
      <c r="A115" s="1" t="n"/>
      <c r="B115" s="23" t="n"/>
      <c r="C115" s="22" t="n"/>
      <c r="D115" s="22" t="n"/>
      <c r="E115" s="25" t="n"/>
      <c r="F115" s="24" t="n"/>
      <c r="G115" s="22" t="n"/>
      <c r="H115" s="1" t="n"/>
    </row>
    <row r="116">
      <c r="A116" s="1" t="n"/>
      <c r="B116" s="23" t="n"/>
      <c r="C116" s="22" t="n"/>
      <c r="D116" s="22" t="n"/>
      <c r="E116" s="25" t="n"/>
      <c r="F116" s="24" t="n"/>
      <c r="G116" s="22" t="n"/>
      <c r="H116" s="1" t="n"/>
    </row>
    <row r="117">
      <c r="A117" s="1" t="n"/>
      <c r="B117" s="23" t="n"/>
      <c r="C117" s="22" t="n"/>
      <c r="D117" s="22" t="n"/>
      <c r="E117" s="25" t="n"/>
      <c r="F117" s="24" t="n"/>
      <c r="G117" s="22" t="n"/>
      <c r="H117" s="1" t="n"/>
    </row>
    <row r="118">
      <c r="A118" s="1" t="n"/>
      <c r="B118" s="23" t="n"/>
      <c r="C118" s="22" t="n"/>
      <c r="D118" s="22" t="n"/>
      <c r="E118" s="25" t="n"/>
      <c r="F118" s="24" t="n"/>
      <c r="G118" s="22" t="n"/>
      <c r="H118" s="1" t="n"/>
    </row>
    <row r="119">
      <c r="A119" s="1" t="n"/>
      <c r="B119" s="23" t="n"/>
      <c r="C119" s="22" t="n"/>
      <c r="D119" s="22" t="n"/>
      <c r="E119" s="25" t="n"/>
      <c r="F119" s="24" t="n"/>
      <c r="G119" s="22" t="n"/>
      <c r="H119" s="1" t="n"/>
    </row>
    <row r="120">
      <c r="A120" s="1" t="n"/>
      <c r="B120" s="23" t="n"/>
      <c r="C120" s="22" t="n"/>
      <c r="D120" s="22" t="n"/>
      <c r="E120" s="25" t="n"/>
      <c r="F120" s="24" t="n"/>
      <c r="G120" s="22" t="n"/>
      <c r="H120" s="1" t="n"/>
    </row>
    <row r="121">
      <c r="A121" s="1" t="n"/>
      <c r="B121" s="23" t="n"/>
      <c r="C121" s="22" t="n"/>
      <c r="D121" s="22" t="n"/>
      <c r="E121" s="25" t="n"/>
      <c r="F121" s="24" t="n"/>
      <c r="G121" s="22" t="n"/>
      <c r="H121" s="1" t="n"/>
    </row>
    <row r="122">
      <c r="A122" s="1" t="n"/>
      <c r="B122" s="23" t="n"/>
      <c r="C122" s="22" t="n"/>
      <c r="D122" s="22" t="n"/>
      <c r="E122" s="25" t="n"/>
      <c r="F122" s="24" t="n"/>
      <c r="G122" s="22" t="n"/>
      <c r="H122" s="1" t="n"/>
    </row>
    <row r="123">
      <c r="A123" s="1" t="n"/>
      <c r="B123" s="23" t="n"/>
      <c r="C123" s="22" t="n"/>
      <c r="D123" s="22" t="n"/>
      <c r="E123" s="25" t="n"/>
      <c r="F123" s="24" t="n"/>
      <c r="G123" s="22" t="n"/>
      <c r="H123" s="1" t="n"/>
    </row>
    <row r="124">
      <c r="A124" s="1" t="n"/>
      <c r="B124" s="23" t="n"/>
      <c r="C124" s="22" t="n"/>
      <c r="D124" s="22" t="n"/>
      <c r="E124" s="25" t="n"/>
      <c r="F124" s="24" t="n"/>
      <c r="G124" s="22" t="n"/>
      <c r="H124" s="1" t="n"/>
    </row>
    <row r="125">
      <c r="A125" s="1" t="n"/>
      <c r="B125" s="23" t="n"/>
      <c r="C125" s="22" t="n"/>
      <c r="D125" s="22" t="n"/>
      <c r="E125" s="25" t="n"/>
      <c r="F125" s="24" t="n"/>
      <c r="G125" s="22" t="n"/>
      <c r="H125" s="1" t="n"/>
    </row>
    <row r="126">
      <c r="A126" s="1" t="n"/>
      <c r="B126" s="23" t="n"/>
      <c r="C126" s="22" t="n"/>
      <c r="D126" s="22" t="n"/>
      <c r="E126" s="25" t="n"/>
      <c r="F126" s="24" t="n"/>
      <c r="G126" s="22" t="n"/>
      <c r="H126" s="1" t="n"/>
    </row>
    <row r="127">
      <c r="A127" s="1" t="n"/>
      <c r="B127" s="23" t="n"/>
      <c r="C127" s="22" t="n"/>
      <c r="D127" s="22" t="n"/>
      <c r="E127" s="25" t="n"/>
      <c r="F127" s="24" t="n"/>
      <c r="G127" s="22" t="n"/>
      <c r="H127" s="1" t="n"/>
    </row>
    <row r="128">
      <c r="A128" s="1" t="n"/>
      <c r="B128" s="23" t="n"/>
      <c r="C128" s="22" t="n"/>
      <c r="D128" s="22" t="n"/>
      <c r="E128" s="25" t="n"/>
      <c r="F128" s="24" t="n"/>
      <c r="G128" s="22" t="n"/>
      <c r="H128" s="1" t="n"/>
    </row>
    <row r="129">
      <c r="A129" s="1" t="n"/>
      <c r="B129" s="23" t="n"/>
      <c r="C129" s="22" t="n"/>
      <c r="D129" s="22" t="n"/>
      <c r="E129" s="25" t="n"/>
      <c r="F129" s="24" t="n"/>
      <c r="G129" s="22" t="n"/>
      <c r="H129" s="1" t="n"/>
    </row>
    <row r="130">
      <c r="A130" s="1" t="n"/>
      <c r="B130" s="23" t="n"/>
      <c r="C130" s="22" t="n"/>
      <c r="D130" s="22" t="n"/>
      <c r="E130" s="25" t="n"/>
      <c r="F130" s="24" t="n"/>
      <c r="G130" s="22" t="n"/>
      <c r="H130" s="1" t="n"/>
    </row>
    <row r="131">
      <c r="A131" s="1" t="n"/>
      <c r="B131" s="23" t="n"/>
      <c r="C131" s="22" t="n"/>
      <c r="D131" s="22" t="n"/>
      <c r="E131" s="25" t="n"/>
      <c r="F131" s="24" t="n"/>
      <c r="G131" s="22" t="n"/>
      <c r="H131" s="1" t="n"/>
    </row>
    <row r="132">
      <c r="A132" s="1" t="n"/>
      <c r="B132" s="23" t="n"/>
      <c r="C132" s="22" t="n"/>
      <c r="D132" s="22" t="n"/>
      <c r="E132" s="25" t="n"/>
      <c r="F132" s="24" t="n"/>
      <c r="G132" s="22" t="n"/>
      <c r="H132" s="1" t="n"/>
    </row>
    <row r="133">
      <c r="A133" s="1" t="n"/>
      <c r="B133" s="23" t="n"/>
      <c r="C133" s="22" t="n"/>
      <c r="D133" s="22" t="n"/>
      <c r="E133" s="25" t="n"/>
      <c r="F133" s="24" t="n"/>
      <c r="G133" s="22" t="n"/>
      <c r="H133" s="1" t="n"/>
    </row>
    <row r="134">
      <c r="A134" s="1" t="n"/>
      <c r="B134" s="23" t="n"/>
      <c r="C134" s="22" t="n"/>
      <c r="D134" s="22" t="n"/>
      <c r="E134" s="25" t="n"/>
      <c r="F134" s="24" t="n"/>
      <c r="G134" s="22" t="n"/>
      <c r="H134" s="1" t="n"/>
    </row>
    <row r="135">
      <c r="A135" s="1" t="n"/>
      <c r="B135" s="23" t="n"/>
      <c r="C135" s="22" t="n"/>
      <c r="D135" s="22" t="n"/>
      <c r="E135" s="25" t="n"/>
      <c r="F135" s="24" t="n"/>
      <c r="G135" s="22" t="n"/>
      <c r="H135" s="1" t="n"/>
    </row>
    <row r="136">
      <c r="A136" s="1" t="n"/>
      <c r="B136" s="23" t="n"/>
      <c r="C136" s="22" t="n"/>
      <c r="D136" s="22" t="n"/>
      <c r="E136" s="25" t="n"/>
      <c r="F136" s="24" t="n"/>
      <c r="G136" s="22" t="n"/>
      <c r="H136" s="1" t="n"/>
    </row>
    <row r="137">
      <c r="A137" s="1" t="n"/>
      <c r="B137" s="23" t="n"/>
      <c r="C137" s="22" t="n"/>
      <c r="D137" s="22" t="n"/>
      <c r="E137" s="25" t="n"/>
      <c r="F137" s="24" t="n"/>
      <c r="G137" s="22" t="n"/>
      <c r="H137" s="1" t="n"/>
    </row>
    <row r="138">
      <c r="A138" s="1" t="n"/>
      <c r="B138" s="23" t="n"/>
      <c r="C138" s="22" t="n"/>
      <c r="D138" s="22" t="n"/>
      <c r="E138" s="25" t="n"/>
      <c r="F138" s="24" t="n"/>
      <c r="G138" s="22" t="n"/>
      <c r="H138" s="1" t="n"/>
    </row>
    <row r="139">
      <c r="A139" s="1" t="n"/>
      <c r="B139" s="23" t="n"/>
      <c r="C139" s="22" t="n"/>
      <c r="D139" s="22" t="n"/>
      <c r="E139" s="25" t="n"/>
      <c r="F139" s="24" t="n"/>
      <c r="G139" s="22" t="n"/>
      <c r="H139" s="1" t="n"/>
    </row>
    <row r="140">
      <c r="A140" s="1" t="n"/>
      <c r="B140" s="23" t="n"/>
      <c r="C140" s="22" t="n"/>
      <c r="D140" s="22" t="n"/>
      <c r="E140" s="25" t="n"/>
      <c r="F140" s="24" t="n"/>
      <c r="G140" s="22" t="n"/>
      <c r="H140" s="1" t="n"/>
    </row>
    <row r="141">
      <c r="A141" s="1" t="n"/>
      <c r="B141" s="23" t="n"/>
      <c r="C141" s="22" t="n"/>
      <c r="D141" s="22" t="n"/>
      <c r="E141" s="25" t="n"/>
      <c r="F141" s="24" t="n"/>
      <c r="G141" s="22" t="n"/>
      <c r="H141" s="1" t="n"/>
    </row>
    <row r="142">
      <c r="A142" s="1" t="n"/>
      <c r="B142" s="23" t="n"/>
      <c r="C142" s="22" t="n"/>
      <c r="D142" s="22" t="n"/>
      <c r="E142" s="25" t="n"/>
      <c r="F142" s="24" t="n"/>
      <c r="G142" s="22" t="n"/>
      <c r="H142" s="1" t="n"/>
    </row>
    <row r="143">
      <c r="A143" s="1" t="n"/>
      <c r="B143" s="23" t="n"/>
      <c r="C143" s="22" t="n"/>
      <c r="D143" s="22" t="n"/>
      <c r="E143" s="25" t="n"/>
      <c r="F143" s="24" t="n"/>
      <c r="G143" s="22" t="n"/>
      <c r="H143" s="1" t="n"/>
    </row>
    <row r="144">
      <c r="A144" s="1" t="n"/>
      <c r="B144" s="23" t="n"/>
      <c r="C144" s="22" t="n"/>
      <c r="D144" s="22" t="n"/>
      <c r="E144" s="25" t="n"/>
      <c r="F144" s="24" t="n"/>
      <c r="G144" s="22" t="n"/>
      <c r="H144" s="1" t="n"/>
    </row>
    <row r="145">
      <c r="A145" s="1" t="n"/>
      <c r="B145" s="23" t="n"/>
      <c r="C145" s="22" t="n"/>
      <c r="D145" s="22" t="n"/>
      <c r="E145" s="25" t="n"/>
      <c r="F145" s="24" t="n"/>
      <c r="G145" s="22" t="n"/>
      <c r="H145" s="1" t="n"/>
    </row>
    <row r="146">
      <c r="A146" s="1" t="n"/>
      <c r="B146" s="23" t="n"/>
      <c r="C146" s="22" t="n"/>
      <c r="D146" s="22" t="n"/>
      <c r="E146" s="25" t="n"/>
      <c r="F146" s="24" t="n"/>
      <c r="G146" s="22" t="n"/>
      <c r="H146" s="1" t="n"/>
    </row>
    <row r="147">
      <c r="A147" s="1" t="n"/>
      <c r="B147" s="23" t="n"/>
      <c r="C147" s="22" t="n"/>
      <c r="D147" s="22" t="n"/>
      <c r="E147" s="25" t="n"/>
      <c r="F147" s="24" t="n"/>
      <c r="G147" s="22" t="n"/>
      <c r="H147" s="1" t="n"/>
    </row>
    <row r="148">
      <c r="A148" s="1" t="n"/>
      <c r="B148" s="23" t="n"/>
      <c r="C148" s="22" t="n"/>
      <c r="D148" s="22" t="n"/>
      <c r="E148" s="25" t="n"/>
      <c r="F148" s="24" t="n"/>
      <c r="G148" s="22" t="n"/>
      <c r="H148" s="1" t="n"/>
    </row>
    <row r="149">
      <c r="A149" s="1" t="n"/>
      <c r="B149" s="23" t="n"/>
      <c r="C149" s="22" t="n"/>
      <c r="D149" s="22" t="n"/>
      <c r="E149" s="25" t="n"/>
      <c r="F149" s="24" t="n"/>
      <c r="G149" s="22" t="n"/>
      <c r="H149" s="1" t="n"/>
    </row>
    <row r="150">
      <c r="A150" s="1" t="n"/>
      <c r="B150" s="23" t="n"/>
      <c r="C150" s="22" t="n"/>
      <c r="D150" s="22" t="n"/>
      <c r="E150" s="25" t="n"/>
      <c r="F150" s="24" t="n"/>
      <c r="G150" s="22" t="n"/>
      <c r="H150" s="1" t="n"/>
    </row>
    <row r="151">
      <c r="A151" s="1" t="n"/>
      <c r="B151" s="23" t="n"/>
      <c r="C151" s="22" t="n"/>
      <c r="D151" s="22" t="n"/>
      <c r="E151" s="25" t="n"/>
      <c r="F151" s="24" t="n"/>
      <c r="G151" s="22" t="n"/>
      <c r="H151" s="1" t="n"/>
    </row>
    <row r="152">
      <c r="A152" s="1" t="n"/>
      <c r="B152" s="23" t="n"/>
      <c r="C152" s="22" t="n"/>
      <c r="D152" s="22" t="n"/>
      <c r="E152" s="25" t="n"/>
      <c r="F152" s="24" t="n"/>
      <c r="G152" s="22" t="n"/>
      <c r="H152" s="1" t="n"/>
    </row>
    <row r="153">
      <c r="A153" s="1" t="n"/>
      <c r="B153" s="23" t="n"/>
      <c r="C153" s="22" t="n"/>
      <c r="D153" s="22" t="n"/>
      <c r="E153" s="25" t="n"/>
      <c r="F153" s="24" t="n"/>
      <c r="G153" s="22" t="n"/>
      <c r="H153" s="1" t="n"/>
    </row>
    <row r="154">
      <c r="A154" s="1" t="n"/>
      <c r="B154" s="23" t="n"/>
      <c r="C154" s="22" t="n"/>
      <c r="D154" s="22" t="n"/>
      <c r="E154" s="25" t="n"/>
      <c r="F154" s="24" t="n"/>
      <c r="G154" s="22" t="n"/>
      <c r="H154" s="1" t="n"/>
    </row>
    <row r="155">
      <c r="A155" s="1" t="n"/>
      <c r="B155" s="23" t="n"/>
      <c r="C155" s="22" t="n"/>
      <c r="D155" s="22" t="n"/>
      <c r="E155" s="25" t="n"/>
      <c r="F155" s="24" t="n"/>
      <c r="G155" s="22" t="n"/>
      <c r="H155" s="1" t="n"/>
    </row>
    <row r="156">
      <c r="A156" s="1" t="n"/>
      <c r="B156" s="23" t="n"/>
      <c r="C156" s="22" t="n"/>
      <c r="D156" s="22" t="n"/>
      <c r="E156" s="25" t="n"/>
      <c r="F156" s="24" t="n"/>
      <c r="G156" s="22" t="n"/>
      <c r="H156" s="1" t="n"/>
    </row>
    <row r="157">
      <c r="A157" s="1" t="n"/>
      <c r="B157" s="23" t="n"/>
      <c r="C157" s="22" t="n"/>
      <c r="D157" s="22" t="n"/>
      <c r="E157" s="25" t="n"/>
      <c r="F157" s="24" t="n"/>
      <c r="G157" s="22" t="n"/>
      <c r="H157" s="1" t="n"/>
    </row>
    <row r="158">
      <c r="A158" s="1" t="n"/>
      <c r="B158" s="23" t="n"/>
      <c r="C158" s="22" t="n"/>
      <c r="D158" s="22" t="n"/>
      <c r="E158" s="25" t="n"/>
      <c r="F158" s="24" t="n"/>
      <c r="G158" s="22" t="n"/>
      <c r="H158" s="1" t="n"/>
    </row>
    <row r="159">
      <c r="A159" s="1" t="n"/>
      <c r="B159" s="23" t="n"/>
      <c r="C159" s="22" t="n"/>
      <c r="D159" s="22" t="n"/>
      <c r="E159" s="25" t="n"/>
      <c r="F159" s="24" t="n"/>
      <c r="G159" s="22" t="n"/>
      <c r="H159" s="1" t="n"/>
    </row>
    <row r="160">
      <c r="A160" s="1" t="n"/>
      <c r="B160" s="23" t="n"/>
      <c r="C160" s="22" t="n"/>
      <c r="D160" s="22" t="n"/>
      <c r="E160" s="25" t="n"/>
      <c r="F160" s="24" t="n"/>
      <c r="G160" s="22" t="n"/>
      <c r="H160" s="1" t="n"/>
    </row>
    <row r="161">
      <c r="A161" s="1" t="n"/>
      <c r="B161" s="23" t="n"/>
      <c r="C161" s="22" t="n"/>
      <c r="D161" s="22" t="n"/>
      <c r="E161" s="25" t="n"/>
      <c r="F161" s="24" t="n"/>
      <c r="G161" s="22" t="n"/>
      <c r="H161" s="1" t="n"/>
    </row>
    <row r="162">
      <c r="A162" s="1" t="n"/>
      <c r="B162" s="23" t="n"/>
      <c r="C162" s="22" t="n"/>
      <c r="D162" s="22" t="n"/>
      <c r="E162" s="25" t="n"/>
      <c r="F162" s="24" t="n"/>
      <c r="G162" s="22" t="n"/>
      <c r="H162" s="1" t="n"/>
    </row>
    <row r="163">
      <c r="A163" s="1" t="n"/>
      <c r="B163" s="23" t="n"/>
      <c r="C163" s="22" t="n"/>
      <c r="D163" s="22" t="n"/>
      <c r="E163" s="25" t="n"/>
      <c r="F163" s="24" t="n"/>
      <c r="G163" s="22" t="n"/>
      <c r="H163" s="1" t="n"/>
    </row>
    <row r="164">
      <c r="A164" s="1" t="n"/>
      <c r="B164" s="23" t="n"/>
      <c r="C164" s="22" t="n"/>
      <c r="D164" s="22" t="n"/>
      <c r="E164" s="25" t="n"/>
      <c r="F164" s="24" t="n"/>
      <c r="G164" s="22" t="n"/>
      <c r="H164" s="1" t="n"/>
    </row>
    <row r="165">
      <c r="A165" s="1" t="n"/>
      <c r="B165" s="23" t="n"/>
      <c r="C165" s="22" t="n"/>
      <c r="D165" s="22" t="n"/>
      <c r="E165" s="25" t="n"/>
      <c r="F165" s="24" t="n"/>
      <c r="G165" s="22" t="n"/>
      <c r="H165" s="1" t="n"/>
    </row>
    <row r="166">
      <c r="A166" s="1" t="n"/>
      <c r="B166" s="23" t="n"/>
      <c r="C166" s="22" t="n"/>
      <c r="D166" s="22" t="n"/>
      <c r="E166" s="25" t="n"/>
      <c r="F166" s="24" t="n"/>
      <c r="G166" s="22" t="n"/>
      <c r="H166" s="1" t="n"/>
    </row>
    <row r="167">
      <c r="A167" s="1" t="n"/>
      <c r="B167" s="23" t="n"/>
      <c r="C167" s="22" t="n"/>
      <c r="D167" s="22" t="n"/>
      <c r="E167" s="25" t="n"/>
      <c r="F167" s="24" t="n"/>
      <c r="G167" s="22" t="n"/>
      <c r="H167" s="1" t="n"/>
    </row>
    <row r="168">
      <c r="A168" s="1" t="n"/>
      <c r="B168" s="23" t="n"/>
      <c r="C168" s="22" t="n"/>
      <c r="D168" s="22" t="n"/>
      <c r="E168" s="25" t="n"/>
      <c r="F168" s="24" t="n"/>
      <c r="G168" s="22" t="n"/>
      <c r="H168" s="1" t="n"/>
    </row>
    <row r="169">
      <c r="A169" s="1" t="n"/>
      <c r="B169" s="23" t="n"/>
      <c r="C169" s="22" t="n"/>
      <c r="D169" s="22" t="n"/>
      <c r="E169" s="25" t="n"/>
      <c r="F169" s="24" t="n"/>
      <c r="G169" s="22" t="n"/>
      <c r="H169" s="1" t="n"/>
    </row>
    <row r="170">
      <c r="A170" s="1" t="n"/>
      <c r="B170" s="23" t="n"/>
      <c r="C170" s="22" t="n"/>
      <c r="D170" s="22" t="n"/>
      <c r="E170" s="25" t="n"/>
      <c r="F170" s="24" t="n"/>
      <c r="G170" s="22" t="n"/>
      <c r="H170" s="1" t="n"/>
    </row>
    <row r="171">
      <c r="A171" s="1" t="n"/>
      <c r="B171" s="23" t="n"/>
      <c r="C171" s="22" t="n"/>
      <c r="D171" s="22" t="n"/>
      <c r="E171" s="25" t="n"/>
      <c r="F171" s="24" t="n"/>
      <c r="G171" s="22" t="n"/>
      <c r="H171" s="1" t="n"/>
    </row>
    <row r="172">
      <c r="A172" s="1" t="n"/>
      <c r="B172" s="23" t="n"/>
      <c r="C172" s="22" t="n"/>
      <c r="D172" s="22" t="n"/>
      <c r="E172" s="25" t="n"/>
      <c r="F172" s="24" t="n"/>
      <c r="G172" s="22" t="n"/>
      <c r="H172" s="1" t="n"/>
    </row>
    <row r="173">
      <c r="A173" s="1" t="n"/>
      <c r="B173" s="23" t="n"/>
      <c r="C173" s="22" t="n"/>
      <c r="D173" s="22" t="n"/>
      <c r="E173" s="25" t="n"/>
      <c r="F173" s="24" t="n"/>
      <c r="G173" s="22" t="n"/>
      <c r="H173" s="1" t="n"/>
    </row>
    <row r="174">
      <c r="A174" s="1" t="n"/>
      <c r="B174" s="23" t="n"/>
      <c r="C174" s="22" t="n"/>
      <c r="D174" s="22" t="n"/>
      <c r="E174" s="25" t="n"/>
      <c r="F174" s="24" t="n"/>
      <c r="G174" s="22" t="n"/>
      <c r="H174" s="1" t="n"/>
    </row>
    <row r="175">
      <c r="A175" s="1" t="n"/>
      <c r="B175" s="23" t="n"/>
      <c r="C175" s="22" t="n"/>
      <c r="D175" s="22" t="n"/>
      <c r="E175" s="25" t="n"/>
      <c r="F175" s="24" t="n"/>
      <c r="G175" s="22" t="n"/>
      <c r="H175" s="1" t="n"/>
    </row>
    <row r="176">
      <c r="A176" s="1" t="n"/>
      <c r="B176" s="23" t="n"/>
      <c r="C176" s="22" t="n"/>
      <c r="D176" s="22" t="n"/>
      <c r="E176" s="25" t="n"/>
      <c r="F176" s="24" t="n"/>
      <c r="G176" s="22" t="n"/>
      <c r="H176" s="1" t="n"/>
    </row>
    <row r="177">
      <c r="A177" s="1" t="n"/>
      <c r="B177" s="23" t="n"/>
      <c r="C177" s="22" t="n"/>
      <c r="D177" s="22" t="n"/>
      <c r="E177" s="25" t="n"/>
      <c r="F177" s="24" t="n"/>
      <c r="G177" s="22" t="n"/>
      <c r="H177" s="1" t="n"/>
    </row>
    <row r="178">
      <c r="A178" s="1" t="n"/>
      <c r="B178" s="23" t="n"/>
      <c r="C178" s="22" t="n"/>
      <c r="D178" s="22" t="n"/>
      <c r="E178" s="25" t="n"/>
      <c r="F178" s="24" t="n"/>
      <c r="G178" s="22" t="n"/>
      <c r="H178" s="1" t="n"/>
    </row>
    <row r="179">
      <c r="A179" s="1" t="n"/>
      <c r="B179" s="23" t="n"/>
      <c r="C179" s="22" t="n"/>
      <c r="D179" s="22" t="n"/>
      <c r="E179" s="25" t="n"/>
      <c r="F179" s="24" t="n"/>
      <c r="G179" s="22" t="n"/>
      <c r="H179" s="1" t="n"/>
    </row>
    <row r="180">
      <c r="A180" s="1" t="n"/>
      <c r="B180" s="23" t="n"/>
      <c r="C180" s="22" t="n"/>
      <c r="D180" s="22" t="n"/>
      <c r="E180" s="25" t="n"/>
      <c r="F180" s="24" t="n"/>
      <c r="G180" s="22" t="n"/>
      <c r="H180" s="1" t="n"/>
    </row>
    <row r="181">
      <c r="A181" s="1" t="n"/>
      <c r="B181" s="23" t="n"/>
      <c r="C181" s="22" t="n"/>
      <c r="D181" s="22" t="n"/>
      <c r="E181" s="25" t="n"/>
      <c r="F181" s="24" t="n"/>
      <c r="G181" s="22" t="n"/>
      <c r="H181" s="1" t="n"/>
    </row>
    <row r="182">
      <c r="A182" s="1" t="n"/>
      <c r="B182" s="23" t="n"/>
      <c r="C182" s="22" t="n"/>
      <c r="D182" s="22" t="n"/>
      <c r="E182" s="25" t="n"/>
      <c r="F182" s="24" t="n"/>
      <c r="G182" s="22" t="n"/>
      <c r="H182" s="1" t="n"/>
    </row>
    <row r="183">
      <c r="A183" s="1" t="n"/>
      <c r="B183" s="23" t="n"/>
      <c r="C183" s="22" t="n"/>
      <c r="D183" s="22" t="n"/>
      <c r="E183" s="25" t="n"/>
      <c r="F183" s="24" t="n"/>
      <c r="G183" s="22" t="n"/>
      <c r="H183" s="1" t="n"/>
    </row>
    <row r="184">
      <c r="A184" s="1" t="n"/>
      <c r="B184" s="23" t="n"/>
      <c r="C184" s="22" t="n"/>
      <c r="D184" s="22" t="n"/>
      <c r="E184" s="25" t="n"/>
      <c r="F184" s="24" t="n"/>
      <c r="G184" s="22" t="n"/>
      <c r="H184" s="1" t="n"/>
    </row>
    <row r="185">
      <c r="A185" s="1" t="n"/>
      <c r="B185" s="23" t="n"/>
      <c r="C185" s="22" t="n"/>
      <c r="D185" s="22" t="n"/>
      <c r="E185" s="25" t="n"/>
      <c r="F185" s="24" t="n"/>
      <c r="G185" s="22" t="n"/>
      <c r="H185" s="1" t="n"/>
    </row>
    <row r="186">
      <c r="A186" s="1" t="n"/>
      <c r="B186" s="23" t="n"/>
      <c r="C186" s="22" t="n"/>
      <c r="D186" s="22" t="n"/>
      <c r="E186" s="25" t="n"/>
      <c r="F186" s="24" t="n"/>
      <c r="G186" s="22" t="n"/>
      <c r="H186" s="1" t="n"/>
    </row>
    <row r="187">
      <c r="A187" s="1" t="n"/>
      <c r="B187" s="23" t="n"/>
      <c r="C187" s="22" t="n"/>
      <c r="D187" s="22" t="n"/>
      <c r="E187" s="25" t="n"/>
      <c r="F187" s="24" t="n"/>
      <c r="G187" s="22" t="n"/>
      <c r="H187" s="1" t="n"/>
    </row>
    <row r="188">
      <c r="A188" s="1" t="n"/>
      <c r="B188" s="23" t="n"/>
      <c r="C188" s="22" t="n"/>
      <c r="D188" s="22" t="n"/>
      <c r="E188" s="25" t="n"/>
      <c r="F188" s="24" t="n"/>
      <c r="G188" s="22" t="n"/>
      <c r="H188" s="1" t="n"/>
    </row>
    <row r="189">
      <c r="A189" s="1" t="n"/>
      <c r="B189" s="23" t="n"/>
      <c r="C189" s="22" t="n"/>
      <c r="D189" s="22" t="n"/>
      <c r="E189" s="25" t="n"/>
      <c r="F189" s="24" t="n"/>
      <c r="G189" s="22" t="n"/>
      <c r="H189" s="1" t="n"/>
    </row>
    <row r="190">
      <c r="A190" s="1" t="n"/>
      <c r="B190" s="23" t="n"/>
      <c r="C190" s="22" t="n"/>
      <c r="D190" s="22" t="n"/>
      <c r="E190" s="25" t="n"/>
      <c r="F190" s="24" t="n"/>
      <c r="G190" s="22" t="n"/>
      <c r="H190" s="1" t="n"/>
    </row>
    <row r="191">
      <c r="A191" s="1" t="n"/>
      <c r="B191" s="23" t="n"/>
      <c r="C191" s="22" t="n"/>
      <c r="D191" s="22" t="n"/>
      <c r="E191" s="25" t="n"/>
      <c r="F191" s="24" t="n"/>
      <c r="G191" s="22" t="n"/>
      <c r="H191" s="1" t="n"/>
    </row>
    <row r="192">
      <c r="A192" s="1" t="n"/>
      <c r="B192" s="23" t="n"/>
      <c r="C192" s="22" t="n"/>
      <c r="D192" s="22" t="n"/>
      <c r="E192" s="25" t="n"/>
      <c r="F192" s="24" t="n"/>
      <c r="G192" s="22" t="n"/>
      <c r="H192" s="1" t="n"/>
    </row>
    <row r="193">
      <c r="A193" s="1" t="n"/>
      <c r="B193" s="23" t="n"/>
      <c r="C193" s="22" t="n"/>
      <c r="D193" s="22" t="n"/>
      <c r="E193" s="25" t="n"/>
      <c r="F193" s="24" t="n"/>
      <c r="G193" s="22" t="n"/>
      <c r="H193" s="1" t="n"/>
    </row>
    <row r="194">
      <c r="A194" s="1" t="n"/>
      <c r="B194" s="23" t="n"/>
      <c r="C194" s="22" t="n"/>
      <c r="D194" s="22" t="n"/>
      <c r="E194" s="25" t="n"/>
      <c r="F194" s="24" t="n"/>
      <c r="G194" s="22" t="n"/>
      <c r="H194" s="1" t="n"/>
    </row>
    <row r="195">
      <c r="A195" s="1" t="n"/>
      <c r="B195" s="23" t="n"/>
      <c r="C195" s="22" t="n"/>
      <c r="D195" s="22" t="n"/>
      <c r="E195" s="25" t="n"/>
      <c r="F195" s="24" t="n"/>
      <c r="G195" s="22" t="n"/>
      <c r="H195" s="1" t="n"/>
    </row>
    <row r="196">
      <c r="A196" s="1" t="n"/>
      <c r="B196" s="23" t="n"/>
      <c r="C196" s="22" t="n"/>
      <c r="D196" s="22" t="n"/>
      <c r="E196" s="25" t="n"/>
      <c r="F196" s="24" t="n"/>
      <c r="G196" s="22" t="n"/>
      <c r="H196" s="1" t="n"/>
    </row>
    <row r="197">
      <c r="A197" s="1" t="n"/>
      <c r="B197" s="23" t="n"/>
      <c r="C197" s="22" t="n"/>
      <c r="D197" s="22" t="n"/>
      <c r="E197" s="25" t="n"/>
      <c r="F197" s="24" t="n"/>
      <c r="G197" s="22" t="n"/>
      <c r="H197" s="1" t="n"/>
    </row>
    <row r="198">
      <c r="A198" s="1" t="n"/>
      <c r="B198" s="23" t="n"/>
      <c r="C198" s="22" t="n"/>
      <c r="D198" s="22" t="n"/>
      <c r="E198" s="25" t="n"/>
      <c r="F198" s="24" t="n"/>
      <c r="G198" s="22" t="n"/>
      <c r="H198" s="1" t="n"/>
    </row>
    <row r="199">
      <c r="A199" s="1" t="n"/>
      <c r="B199" s="23" t="n"/>
      <c r="C199" s="22" t="n"/>
      <c r="D199" s="22" t="n"/>
      <c r="E199" s="25" t="n"/>
      <c r="F199" s="24" t="n"/>
      <c r="G199" s="22" t="n"/>
      <c r="H199" s="1" t="n"/>
    </row>
    <row r="200">
      <c r="A200" s="1" t="n"/>
      <c r="B200" s="23" t="n"/>
      <c r="C200" s="22" t="n"/>
      <c r="D200" s="22" t="n"/>
      <c r="E200" s="25" t="n"/>
      <c r="F200" s="24" t="n"/>
      <c r="G200" s="22" t="n"/>
      <c r="H200" s="1" t="n"/>
    </row>
    <row r="201">
      <c r="A201" s="1" t="n"/>
      <c r="B201" s="23" t="n"/>
      <c r="C201" s="22" t="n"/>
      <c r="D201" s="22" t="n"/>
      <c r="E201" s="25" t="n"/>
      <c r="F201" s="24" t="n"/>
      <c r="G201" s="22" t="n"/>
      <c r="H201" s="1" t="n"/>
    </row>
    <row r="202">
      <c r="A202" s="1" t="n"/>
      <c r="B202" s="23" t="n"/>
      <c r="C202" s="22" t="n"/>
      <c r="D202" s="22" t="n"/>
      <c r="E202" s="25" t="n"/>
      <c r="F202" s="24" t="n"/>
      <c r="G202" s="22" t="n"/>
      <c r="H202" s="1" t="n"/>
    </row>
    <row r="203">
      <c r="A203" s="1" t="n"/>
      <c r="B203" s="23" t="n"/>
      <c r="C203" s="22" t="n"/>
      <c r="D203" s="22" t="n"/>
      <c r="E203" s="25" t="n"/>
      <c r="F203" s="24" t="n"/>
      <c r="G203" s="22" t="n"/>
      <c r="H203" s="1" t="n"/>
    </row>
    <row r="204">
      <c r="A204" s="1" t="n"/>
      <c r="B204" s="23" t="n"/>
      <c r="C204" s="22" t="n"/>
      <c r="D204" s="22" t="n"/>
      <c r="E204" s="25" t="n"/>
      <c r="F204" s="24" t="n"/>
      <c r="G204" s="22" t="n"/>
      <c r="H204" s="1" t="n"/>
    </row>
    <row r="205">
      <c r="A205" s="1" t="n"/>
      <c r="B205" s="23" t="n"/>
      <c r="C205" s="22" t="n"/>
      <c r="D205" s="22" t="n"/>
      <c r="E205" s="25" t="n"/>
      <c r="F205" s="24" t="n"/>
      <c r="G205" s="22" t="n"/>
      <c r="H205" s="1" t="n"/>
    </row>
    <row r="206">
      <c r="A206" s="1" t="n"/>
      <c r="B206" s="23" t="n"/>
      <c r="C206" s="22" t="n"/>
      <c r="D206" s="22" t="n"/>
      <c r="E206" s="25" t="n"/>
      <c r="F206" s="24" t="n"/>
      <c r="G206" s="22" t="n"/>
      <c r="H206" s="1" t="n"/>
    </row>
    <row r="207">
      <c r="A207" s="1" t="n"/>
      <c r="B207" s="23" t="n"/>
      <c r="C207" s="22" t="n"/>
      <c r="D207" s="22" t="n"/>
      <c r="E207" s="25" t="n"/>
      <c r="F207" s="24" t="n"/>
      <c r="G207" s="22" t="n"/>
      <c r="H207" s="1" t="n"/>
    </row>
    <row r="208">
      <c r="A208" s="1" t="n"/>
      <c r="B208" s="23" t="n"/>
      <c r="C208" s="22" t="n"/>
      <c r="D208" s="22" t="n"/>
      <c r="E208" s="25" t="n"/>
      <c r="F208" s="24" t="n"/>
      <c r="G208" s="22" t="n"/>
      <c r="H208" s="1" t="n"/>
    </row>
    <row r="209">
      <c r="A209" s="1" t="n"/>
      <c r="B209" s="23" t="n"/>
      <c r="C209" s="22" t="n"/>
      <c r="D209" s="22" t="n"/>
      <c r="E209" s="25" t="n"/>
      <c r="F209" s="24" t="n"/>
      <c r="G209" s="22" t="n"/>
      <c r="H209" s="1" t="n"/>
    </row>
    <row r="210">
      <c r="A210" s="1" t="n"/>
      <c r="B210" s="23" t="n"/>
      <c r="C210" s="22" t="n"/>
      <c r="D210" s="22" t="n"/>
      <c r="E210" s="25" t="n"/>
      <c r="F210" s="24" t="n"/>
      <c r="G210" s="22" t="n"/>
      <c r="H210" s="1" t="n"/>
    </row>
    <row r="211">
      <c r="A211" s="1" t="n"/>
      <c r="B211" s="23" t="n"/>
      <c r="C211" s="22" t="n"/>
      <c r="D211" s="22" t="n"/>
      <c r="E211" s="25" t="n"/>
      <c r="F211" s="24" t="n"/>
      <c r="G211" s="22" t="n"/>
      <c r="H211" s="1" t="n"/>
    </row>
    <row r="212">
      <c r="A212" s="1" t="n"/>
      <c r="B212" s="23" t="n"/>
      <c r="C212" s="22" t="n"/>
      <c r="D212" s="22" t="n"/>
      <c r="E212" s="25" t="n"/>
      <c r="F212" s="24" t="n"/>
      <c r="G212" s="22" t="n"/>
      <c r="H212" s="1" t="n"/>
    </row>
    <row r="213">
      <c r="A213" s="1" t="n"/>
      <c r="B213" s="23" t="n"/>
      <c r="C213" s="22" t="n"/>
      <c r="D213" s="22" t="n"/>
      <c r="E213" s="25" t="n"/>
      <c r="F213" s="24" t="n"/>
      <c r="G213" s="22" t="n"/>
      <c r="H213" s="1" t="n"/>
    </row>
    <row r="214">
      <c r="A214" s="1" t="n"/>
      <c r="B214" s="23" t="n"/>
      <c r="C214" s="22" t="n"/>
      <c r="D214" s="22" t="n"/>
      <c r="E214" s="25" t="n"/>
      <c r="F214" s="24" t="n"/>
      <c r="G214" s="22" t="n"/>
      <c r="H214" s="1" t="n"/>
    </row>
    <row r="215">
      <c r="A215" s="1" t="n"/>
      <c r="B215" s="23" t="n"/>
      <c r="C215" s="22" t="n"/>
      <c r="D215" s="22" t="n"/>
      <c r="E215" s="25" t="n"/>
      <c r="F215" s="24" t="n"/>
      <c r="G215" s="22" t="n"/>
      <c r="H215" s="1" t="n"/>
    </row>
    <row r="216">
      <c r="A216" s="1" t="n"/>
      <c r="B216" s="23" t="n"/>
      <c r="C216" s="22" t="n"/>
      <c r="D216" s="22" t="n"/>
      <c r="E216" s="25" t="n"/>
      <c r="F216" s="24" t="n"/>
      <c r="G216" s="22" t="n"/>
      <c r="H216" s="1" t="n"/>
    </row>
    <row r="217">
      <c r="A217" s="1" t="n"/>
      <c r="B217" s="23" t="n"/>
      <c r="C217" s="22" t="n"/>
      <c r="D217" s="22" t="n"/>
      <c r="E217" s="25" t="n"/>
      <c r="F217" s="24" t="n"/>
      <c r="G217" s="22" t="n"/>
      <c r="H217" s="1" t="n"/>
    </row>
    <row r="218">
      <c r="A218" s="1" t="n"/>
      <c r="B218" s="23" t="n"/>
      <c r="C218" s="22" t="n"/>
      <c r="D218" s="22" t="n"/>
      <c r="E218" s="25" t="n"/>
      <c r="F218" s="24" t="n"/>
      <c r="G218" s="22" t="n"/>
      <c r="H218" s="1" t="n"/>
    </row>
    <row r="219">
      <c r="A219" s="1" t="n"/>
      <c r="B219" s="23" t="n"/>
      <c r="C219" s="22" t="n"/>
      <c r="D219" s="22" t="n"/>
      <c r="E219" s="25" t="n"/>
      <c r="F219" s="24" t="n"/>
      <c r="G219" s="22" t="n"/>
      <c r="H219" s="1" t="n"/>
    </row>
    <row r="220">
      <c r="A220" s="1" t="n"/>
      <c r="B220" s="23" t="n"/>
      <c r="C220" s="22" t="n"/>
      <c r="D220" s="22" t="n"/>
      <c r="E220" s="25" t="n"/>
      <c r="F220" s="24" t="n"/>
      <c r="G220" s="22" t="n"/>
      <c r="H220" s="1" t="n"/>
    </row>
    <row r="221">
      <c r="A221" s="1" t="n"/>
      <c r="B221" s="23" t="n"/>
      <c r="C221" s="22" t="n"/>
      <c r="D221" s="22" t="n"/>
      <c r="E221" s="25" t="n"/>
      <c r="F221" s="24" t="n"/>
      <c r="G221" s="22" t="n"/>
      <c r="H221" s="1" t="n"/>
    </row>
    <row r="222">
      <c r="A222" s="1" t="n"/>
      <c r="B222" s="23" t="n"/>
      <c r="C222" s="22" t="n"/>
      <c r="D222" s="22" t="n"/>
      <c r="E222" s="25" t="n"/>
      <c r="F222" s="24" t="n"/>
      <c r="G222" s="22" t="n"/>
      <c r="H222" s="1" t="n"/>
    </row>
    <row r="223">
      <c r="A223" s="1" t="n"/>
      <c r="B223" s="23" t="n"/>
      <c r="C223" s="22" t="n"/>
      <c r="D223" s="22" t="n"/>
      <c r="E223" s="25" t="n"/>
      <c r="F223" s="24" t="n"/>
      <c r="G223" s="22" t="n"/>
      <c r="H223" s="1" t="n"/>
    </row>
    <row r="224">
      <c r="A224" s="1" t="n"/>
      <c r="B224" s="23" t="n"/>
      <c r="C224" s="22" t="n"/>
      <c r="D224" s="22" t="n"/>
      <c r="E224" s="25" t="n"/>
      <c r="F224" s="24" t="n"/>
      <c r="G224" s="22" t="n"/>
      <c r="H224" s="1" t="n"/>
    </row>
    <row r="225">
      <c r="A225" s="1" t="n"/>
      <c r="B225" s="23" t="n"/>
      <c r="C225" s="22" t="n"/>
      <c r="D225" s="22" t="n"/>
      <c r="E225" s="25" t="n"/>
      <c r="F225" s="24" t="n"/>
      <c r="G225" s="22" t="n"/>
      <c r="H225" s="1" t="n"/>
    </row>
    <row r="226">
      <c r="A226" s="1" t="n"/>
      <c r="B226" s="23" t="n"/>
      <c r="C226" s="22" t="n"/>
      <c r="D226" s="22" t="n"/>
      <c r="E226" s="25" t="n"/>
      <c r="F226" s="24" t="n"/>
      <c r="G226" s="22" t="n"/>
      <c r="H226" s="1" t="n"/>
    </row>
    <row r="227">
      <c r="A227" s="1" t="n"/>
      <c r="B227" s="23" t="n"/>
      <c r="C227" s="22" t="n"/>
      <c r="D227" s="22" t="n"/>
      <c r="E227" s="25" t="n"/>
      <c r="F227" s="24" t="n"/>
      <c r="G227" s="22" t="n"/>
      <c r="H227" s="1" t="n"/>
    </row>
    <row r="228">
      <c r="A228" s="1" t="n"/>
      <c r="B228" s="23" t="n"/>
      <c r="C228" s="22" t="n"/>
      <c r="D228" s="22" t="n"/>
      <c r="E228" s="25" t="n"/>
      <c r="F228" s="24" t="n"/>
      <c r="G228" s="22" t="n"/>
      <c r="H228" s="1" t="n"/>
    </row>
    <row r="229">
      <c r="A229" s="1" t="n"/>
      <c r="B229" s="23" t="n"/>
      <c r="C229" s="22" t="n"/>
      <c r="D229" s="22" t="n"/>
      <c r="E229" s="25" t="n"/>
      <c r="F229" s="24" t="n"/>
      <c r="G229" s="22" t="n"/>
      <c r="H229" s="1" t="n"/>
    </row>
    <row r="230">
      <c r="A230" s="1" t="n"/>
      <c r="B230" s="23" t="n"/>
      <c r="C230" s="22" t="n"/>
      <c r="D230" s="22" t="n"/>
      <c r="E230" s="25" t="n"/>
      <c r="F230" s="24" t="n"/>
      <c r="G230" s="22" t="n"/>
      <c r="H230" s="1" t="n"/>
    </row>
    <row r="231">
      <c r="A231" s="1" t="n"/>
      <c r="B231" s="23" t="n"/>
      <c r="C231" s="22" t="n"/>
      <c r="D231" s="22" t="n"/>
      <c r="E231" s="25" t="n"/>
      <c r="F231" s="24" t="n"/>
      <c r="G231" s="22" t="n"/>
      <c r="H231" s="1" t="n"/>
    </row>
    <row r="232">
      <c r="A232" s="1" t="n"/>
      <c r="B232" s="23" t="n"/>
      <c r="C232" s="22" t="n"/>
      <c r="D232" s="22" t="n"/>
      <c r="E232" s="25" t="n"/>
      <c r="F232" s="24" t="n"/>
      <c r="G232" s="22" t="n"/>
      <c r="H232" s="1" t="n"/>
    </row>
    <row r="233">
      <c r="A233" s="1" t="n"/>
      <c r="B233" s="23" t="n"/>
      <c r="C233" s="22" t="n"/>
      <c r="D233" s="22" t="n"/>
      <c r="E233" s="25" t="n"/>
      <c r="F233" s="24" t="n"/>
      <c r="G233" s="22" t="n"/>
      <c r="H233" s="1" t="n"/>
    </row>
    <row r="234">
      <c r="A234" s="1" t="n"/>
      <c r="B234" s="23" t="n"/>
      <c r="C234" s="22" t="n"/>
      <c r="D234" s="22" t="n"/>
      <c r="E234" s="25" t="n"/>
      <c r="F234" s="24" t="n"/>
      <c r="G234" s="22" t="n"/>
      <c r="H234" s="1" t="n"/>
    </row>
    <row r="235">
      <c r="A235" s="1" t="n"/>
      <c r="B235" s="23" t="n"/>
      <c r="C235" s="22" t="n"/>
      <c r="D235" s="22" t="n"/>
      <c r="E235" s="25" t="n"/>
      <c r="F235" s="24" t="n"/>
      <c r="G235" s="22" t="n"/>
      <c r="H235" s="1" t="n"/>
    </row>
    <row r="236">
      <c r="A236" s="1" t="n"/>
      <c r="B236" s="23" t="n"/>
      <c r="C236" s="22" t="n"/>
      <c r="D236" s="22" t="n"/>
      <c r="E236" s="25" t="n"/>
      <c r="F236" s="24" t="n"/>
      <c r="G236" s="22" t="n"/>
      <c r="H236" s="1" t="n"/>
    </row>
    <row r="237">
      <c r="A237" s="1" t="n"/>
      <c r="B237" s="23" t="n"/>
      <c r="C237" s="22" t="n"/>
      <c r="D237" s="22" t="n"/>
      <c r="E237" s="25" t="n"/>
      <c r="F237" s="24" t="n"/>
      <c r="G237" s="22" t="n"/>
      <c r="H237" s="1" t="n"/>
    </row>
    <row r="238">
      <c r="A238" s="1" t="n"/>
      <c r="B238" s="23" t="n"/>
      <c r="C238" s="22" t="n"/>
      <c r="D238" s="22" t="n"/>
      <c r="E238" s="25" t="n"/>
      <c r="F238" s="24" t="n"/>
      <c r="G238" s="22" t="n"/>
      <c r="H238" s="1" t="n"/>
    </row>
    <row r="239">
      <c r="A239" s="1" t="n"/>
      <c r="B239" s="23" t="n"/>
      <c r="C239" s="22" t="n"/>
      <c r="D239" s="22" t="n"/>
      <c r="E239" s="25" t="n"/>
      <c r="F239" s="24" t="n"/>
      <c r="G239" s="22" t="n"/>
      <c r="H239" s="1" t="n"/>
    </row>
    <row r="240">
      <c r="A240" s="1" t="n"/>
      <c r="B240" s="23" t="n"/>
      <c r="C240" s="22" t="n"/>
      <c r="D240" s="22" t="n"/>
      <c r="E240" s="25" t="n"/>
      <c r="F240" s="24" t="n"/>
      <c r="G240" s="22" t="n"/>
      <c r="H240" s="1" t="n"/>
    </row>
    <row r="241">
      <c r="A241" s="1" t="n"/>
      <c r="B241" s="23" t="n"/>
      <c r="C241" s="22" t="n"/>
      <c r="D241" s="22" t="n"/>
      <c r="E241" s="25" t="n"/>
      <c r="F241" s="24" t="n"/>
      <c r="G241" s="22" t="n"/>
      <c r="H241" s="1" t="n"/>
    </row>
    <row r="242">
      <c r="A242" s="1" t="n"/>
      <c r="B242" s="23" t="n"/>
      <c r="C242" s="22" t="n"/>
      <c r="D242" s="22" t="n"/>
      <c r="E242" s="25" t="n"/>
      <c r="F242" s="24" t="n"/>
      <c r="G242" s="22" t="n"/>
      <c r="H242" s="1" t="n"/>
    </row>
    <row r="243">
      <c r="A243" s="1" t="n"/>
      <c r="B243" s="23" t="n"/>
      <c r="C243" s="22" t="n"/>
      <c r="D243" s="22" t="n"/>
      <c r="E243" s="25" t="n"/>
      <c r="F243" s="24" t="n"/>
      <c r="G243" s="22" t="n"/>
      <c r="H243" s="1" t="n"/>
    </row>
    <row r="244">
      <c r="A244" s="1" t="n"/>
      <c r="B244" s="23" t="n"/>
      <c r="C244" s="22" t="n"/>
      <c r="D244" s="22" t="n"/>
      <c r="E244" s="25" t="n"/>
      <c r="F244" s="24" t="n"/>
      <c r="G244" s="22" t="n"/>
      <c r="H244" s="1" t="n"/>
    </row>
    <row r="245">
      <c r="A245" s="1" t="n"/>
      <c r="B245" s="23" t="n"/>
      <c r="C245" s="22" t="n"/>
      <c r="D245" s="22" t="n"/>
      <c r="E245" s="25" t="n"/>
      <c r="F245" s="24" t="n"/>
      <c r="G245" s="22" t="n"/>
      <c r="H245" s="1" t="n"/>
    </row>
    <row r="246">
      <c r="A246" s="1" t="n"/>
      <c r="B246" s="23" t="n"/>
      <c r="C246" s="22" t="n"/>
      <c r="D246" s="22" t="n"/>
      <c r="E246" s="25" t="n"/>
      <c r="F246" s="24" t="n"/>
      <c r="G246" s="22" t="n"/>
      <c r="H246" s="1" t="n"/>
    </row>
    <row r="247">
      <c r="A247" s="1" t="n"/>
      <c r="B247" s="23" t="n"/>
      <c r="C247" s="22" t="n"/>
      <c r="D247" s="22" t="n"/>
      <c r="E247" s="25" t="n"/>
      <c r="F247" s="24" t="n"/>
      <c r="G247" s="22" t="n"/>
      <c r="H247" s="1" t="n"/>
    </row>
    <row r="248">
      <c r="A248" s="1" t="n"/>
      <c r="B248" s="23" t="n"/>
      <c r="C248" s="22" t="n"/>
      <c r="D248" s="22" t="n"/>
      <c r="E248" s="25" t="n"/>
      <c r="F248" s="24" t="n"/>
      <c r="G248" s="22" t="n"/>
      <c r="H248" s="1" t="n"/>
    </row>
    <row r="249">
      <c r="A249" s="1" t="n"/>
      <c r="B249" s="23" t="n"/>
      <c r="C249" s="22" t="n"/>
      <c r="D249" s="22" t="n"/>
      <c r="E249" s="25" t="n"/>
      <c r="F249" s="24" t="n"/>
      <c r="G249" s="22" t="n"/>
      <c r="H249" s="1" t="n"/>
    </row>
    <row r="250">
      <c r="A250" s="1" t="n"/>
      <c r="B250" s="23" t="n"/>
      <c r="C250" s="22" t="n"/>
      <c r="D250" s="22" t="n"/>
      <c r="E250" s="25" t="n"/>
      <c r="F250" s="24" t="n"/>
      <c r="G250" s="22" t="n"/>
      <c r="H250" s="1" t="n"/>
    </row>
    <row r="251">
      <c r="A251" s="1" t="n"/>
      <c r="B251" s="23" t="n"/>
      <c r="C251" s="22" t="n"/>
      <c r="D251" s="22" t="n"/>
      <c r="E251" s="25" t="n"/>
      <c r="F251" s="24" t="n"/>
      <c r="G251" s="22" t="n"/>
      <c r="H251" s="1" t="n"/>
    </row>
    <row r="252">
      <c r="A252" s="1" t="n"/>
      <c r="B252" s="23" t="n"/>
      <c r="C252" s="22" t="n"/>
      <c r="D252" s="22" t="n"/>
      <c r="E252" s="25" t="n"/>
      <c r="F252" s="24" t="n"/>
      <c r="G252" s="22" t="n"/>
      <c r="H252" s="1" t="n"/>
    </row>
    <row r="253">
      <c r="A253" s="1" t="n"/>
      <c r="B253" s="23" t="n"/>
      <c r="C253" s="22" t="n"/>
      <c r="D253" s="22" t="n"/>
      <c r="E253" s="25" t="n"/>
      <c r="F253" s="24" t="n"/>
      <c r="G253" s="22" t="n"/>
      <c r="H253" s="1" t="n"/>
    </row>
    <row r="254">
      <c r="A254" s="1" t="n"/>
      <c r="B254" s="23" t="n"/>
      <c r="C254" s="22" t="n"/>
      <c r="D254" s="22" t="n"/>
      <c r="E254" s="25" t="n"/>
      <c r="F254" s="24" t="n"/>
      <c r="G254" s="22" t="n"/>
      <c r="H254" s="1" t="n"/>
    </row>
    <row r="255">
      <c r="A255" s="1" t="n"/>
      <c r="B255" s="23" t="n"/>
      <c r="C255" s="22" t="n"/>
      <c r="D255" s="22" t="n"/>
      <c r="E255" s="25" t="n"/>
      <c r="F255" s="24" t="n"/>
      <c r="G255" s="22" t="n"/>
      <c r="H255" s="1" t="n"/>
    </row>
    <row r="256">
      <c r="A256" s="1" t="n"/>
      <c r="B256" s="23" t="n"/>
      <c r="C256" s="22" t="n"/>
      <c r="D256" s="22" t="n"/>
      <c r="E256" s="25" t="n"/>
      <c r="F256" s="24" t="n"/>
      <c r="G256" s="22" t="n"/>
      <c r="H256" s="1" t="n"/>
    </row>
    <row r="257">
      <c r="A257" s="1" t="n"/>
      <c r="B257" s="23" t="n"/>
      <c r="C257" s="22" t="n"/>
      <c r="D257" s="22" t="n"/>
      <c r="E257" s="25" t="n"/>
      <c r="F257" s="24" t="n"/>
      <c r="G257" s="22" t="n"/>
      <c r="H257" s="1" t="n"/>
    </row>
    <row r="258">
      <c r="A258" s="1" t="n"/>
      <c r="B258" s="23" t="n"/>
      <c r="C258" s="22" t="n"/>
      <c r="D258" s="22" t="n"/>
      <c r="E258" s="25" t="n"/>
      <c r="F258" s="24" t="n"/>
      <c r="G258" s="22" t="n"/>
      <c r="H258" s="1" t="n"/>
    </row>
    <row r="259">
      <c r="A259" s="1" t="n"/>
      <c r="B259" s="23" t="n"/>
      <c r="C259" s="22" t="n"/>
      <c r="D259" s="22" t="n"/>
      <c r="E259" s="25" t="n"/>
      <c r="F259" s="24" t="n"/>
      <c r="G259" s="22" t="n"/>
      <c r="H259" s="1" t="n"/>
    </row>
    <row r="260">
      <c r="A260" s="1" t="n"/>
      <c r="B260" s="23" t="n"/>
      <c r="C260" s="22" t="n"/>
      <c r="D260" s="22" t="n"/>
      <c r="E260" s="25" t="n"/>
      <c r="F260" s="24" t="n"/>
      <c r="G260" s="22" t="n"/>
      <c r="H260" s="1" t="n"/>
    </row>
    <row r="261">
      <c r="A261" s="1" t="n"/>
      <c r="B261" s="23" t="n"/>
      <c r="C261" s="22" t="n"/>
      <c r="D261" s="22" t="n"/>
      <c r="E261" s="25" t="n"/>
      <c r="F261" s="24" t="n"/>
      <c r="G261" s="22" t="n"/>
      <c r="H261" s="1" t="n"/>
    </row>
    <row r="262">
      <c r="A262" s="1" t="n"/>
      <c r="B262" s="23" t="n"/>
      <c r="C262" s="22" t="n"/>
      <c r="D262" s="22" t="n"/>
      <c r="E262" s="25" t="n"/>
      <c r="F262" s="24" t="n"/>
      <c r="G262" s="22" t="n"/>
      <c r="H262" s="1" t="n"/>
    </row>
    <row r="263">
      <c r="A263" s="1" t="n"/>
      <c r="B263" s="23" t="n"/>
      <c r="C263" s="22" t="n"/>
      <c r="D263" s="22" t="n"/>
      <c r="E263" s="25" t="n"/>
      <c r="F263" s="24" t="n"/>
      <c r="G263" s="22" t="n"/>
      <c r="H263" s="1" t="n"/>
    </row>
    <row r="264">
      <c r="A264" s="1" t="n"/>
      <c r="B264" s="23" t="n"/>
      <c r="C264" s="22" t="n"/>
      <c r="D264" s="22" t="n"/>
      <c r="E264" s="25" t="n"/>
      <c r="F264" s="24" t="n"/>
      <c r="G264" s="22" t="n"/>
      <c r="H264" s="1" t="n"/>
    </row>
    <row r="265">
      <c r="A265" s="1" t="n"/>
      <c r="B265" s="23" t="n"/>
      <c r="C265" s="22" t="n"/>
      <c r="D265" s="22" t="n"/>
      <c r="E265" s="25" t="n"/>
      <c r="F265" s="24" t="n"/>
      <c r="G265" s="22" t="n"/>
      <c r="H265" s="1" t="n"/>
    </row>
    <row r="266">
      <c r="A266" s="1" t="n"/>
      <c r="B266" s="23" t="n"/>
      <c r="C266" s="22" t="n"/>
      <c r="D266" s="22" t="n"/>
      <c r="E266" s="25" t="n"/>
      <c r="F266" s="24" t="n"/>
      <c r="G266" s="22" t="n"/>
      <c r="H266" s="1" t="n"/>
    </row>
    <row r="267">
      <c r="A267" s="1" t="n"/>
      <c r="B267" s="23" t="n"/>
      <c r="C267" s="22" t="n"/>
      <c r="D267" s="22" t="n"/>
      <c r="E267" s="25" t="n"/>
      <c r="F267" s="24" t="n"/>
      <c r="G267" s="22" t="n"/>
      <c r="H267" s="1" t="n"/>
    </row>
    <row r="268">
      <c r="A268" s="1" t="n"/>
      <c r="B268" s="23" t="n"/>
      <c r="C268" s="22" t="n"/>
      <c r="D268" s="22" t="n"/>
      <c r="E268" s="25" t="n"/>
      <c r="F268" s="24" t="n"/>
      <c r="G268" s="22" t="n"/>
      <c r="H268" s="1" t="n"/>
    </row>
    <row r="269">
      <c r="A269" s="1" t="n"/>
      <c r="B269" s="23" t="n"/>
      <c r="C269" s="22" t="n"/>
      <c r="D269" s="22" t="n"/>
      <c r="E269" s="25" t="n"/>
      <c r="F269" s="24" t="n"/>
      <c r="G269" s="22" t="n"/>
      <c r="H269" s="1" t="n"/>
    </row>
    <row r="270">
      <c r="A270" s="1" t="n"/>
      <c r="B270" s="23" t="n"/>
      <c r="C270" s="22" t="n"/>
      <c r="D270" s="22" t="n"/>
      <c r="E270" s="25" t="n"/>
      <c r="F270" s="24" t="n"/>
      <c r="G270" s="22" t="n"/>
      <c r="H270" s="1" t="n"/>
    </row>
    <row r="271">
      <c r="A271" s="1" t="n"/>
      <c r="B271" s="23" t="n"/>
      <c r="C271" s="22" t="n"/>
      <c r="D271" s="22" t="n"/>
      <c r="E271" s="25" t="n"/>
      <c r="F271" s="24" t="n"/>
      <c r="G271" s="22" t="n"/>
      <c r="H271" s="1" t="n"/>
    </row>
    <row r="272">
      <c r="A272" s="1" t="n"/>
      <c r="B272" s="23" t="n"/>
      <c r="C272" s="22" t="n"/>
      <c r="D272" s="22" t="n"/>
      <c r="E272" s="25" t="n"/>
      <c r="F272" s="24" t="n"/>
      <c r="G272" s="22" t="n"/>
      <c r="H272" s="1" t="n"/>
    </row>
    <row r="273">
      <c r="A273" s="1" t="n"/>
      <c r="B273" s="23" t="n"/>
      <c r="C273" s="22" t="n"/>
      <c r="D273" s="22" t="n"/>
      <c r="E273" s="25" t="n"/>
      <c r="F273" s="24" t="n"/>
      <c r="G273" s="22" t="n"/>
      <c r="H273" s="1" t="n"/>
    </row>
    <row r="274">
      <c r="A274" s="1" t="n"/>
      <c r="B274" s="23" t="n"/>
      <c r="C274" s="22" t="n"/>
      <c r="D274" s="22" t="n"/>
      <c r="E274" s="25" t="n"/>
      <c r="F274" s="24" t="n"/>
      <c r="G274" s="22" t="n"/>
      <c r="H274" s="1" t="n"/>
    </row>
    <row r="275">
      <c r="A275" s="1" t="n"/>
      <c r="B275" s="23" t="n"/>
      <c r="C275" s="22" t="n"/>
      <c r="D275" s="22" t="n"/>
      <c r="E275" s="25" t="n"/>
      <c r="F275" s="24" t="n"/>
      <c r="G275" s="22" t="n"/>
      <c r="H275" s="1" t="n"/>
    </row>
    <row r="276">
      <c r="A276" s="1" t="n"/>
      <c r="B276" s="23" t="n"/>
      <c r="C276" s="22" t="n"/>
      <c r="D276" s="22" t="n"/>
      <c r="E276" s="25" t="n"/>
      <c r="F276" s="24" t="n"/>
      <c r="G276" s="22" t="n"/>
      <c r="H276" s="1" t="n"/>
    </row>
    <row r="277">
      <c r="A277" s="1" t="n"/>
      <c r="B277" s="23" t="n"/>
      <c r="C277" s="22" t="n"/>
      <c r="D277" s="22" t="n"/>
      <c r="E277" s="25" t="n"/>
      <c r="F277" s="24" t="n"/>
      <c r="G277" s="22" t="n"/>
      <c r="H277" s="1" t="n"/>
    </row>
    <row r="278">
      <c r="A278" s="1" t="n"/>
      <c r="B278" s="23" t="n"/>
      <c r="C278" s="22" t="n"/>
      <c r="D278" s="22" t="n"/>
      <c r="E278" s="25" t="n"/>
      <c r="F278" s="24" t="n"/>
      <c r="G278" s="22" t="n"/>
      <c r="H278" s="1" t="n"/>
    </row>
    <row r="279">
      <c r="A279" s="1" t="n"/>
      <c r="B279" s="23" t="n"/>
      <c r="C279" s="22" t="n"/>
      <c r="D279" s="22" t="n"/>
      <c r="E279" s="25" t="n"/>
      <c r="F279" s="24" t="n"/>
      <c r="G279" s="22" t="n"/>
      <c r="H279" s="1" t="n"/>
    </row>
    <row r="280">
      <c r="A280" s="1" t="n"/>
      <c r="B280" s="23" t="n"/>
      <c r="C280" s="22" t="n"/>
      <c r="D280" s="22" t="n"/>
      <c r="E280" s="25" t="n"/>
      <c r="F280" s="24" t="n"/>
      <c r="G280" s="22" t="n"/>
      <c r="H280" s="1" t="n"/>
    </row>
    <row r="281">
      <c r="A281" s="1" t="n"/>
      <c r="B281" s="23" t="n"/>
      <c r="C281" s="22" t="n"/>
      <c r="D281" s="22" t="n"/>
      <c r="E281" s="25" t="n"/>
      <c r="F281" s="24" t="n"/>
      <c r="G281" s="22" t="n"/>
      <c r="H281" s="1" t="n"/>
    </row>
    <row r="282">
      <c r="A282" s="1" t="n"/>
      <c r="B282" s="23" t="n"/>
      <c r="C282" s="22" t="n"/>
      <c r="D282" s="22" t="n"/>
      <c r="E282" s="25" t="n"/>
      <c r="F282" s="24" t="n"/>
      <c r="G282" s="22" t="n"/>
      <c r="H282" s="1" t="n"/>
    </row>
    <row r="283">
      <c r="A283" s="1" t="n"/>
      <c r="B283" s="23" t="n"/>
      <c r="C283" s="22" t="n"/>
      <c r="D283" s="22" t="n"/>
      <c r="E283" s="25" t="n"/>
      <c r="F283" s="24" t="n"/>
      <c r="G283" s="22" t="n"/>
      <c r="H283" s="1" t="n"/>
    </row>
    <row r="284">
      <c r="A284" s="1" t="n"/>
      <c r="B284" s="23" t="n"/>
      <c r="C284" s="22" t="n"/>
      <c r="D284" s="22" t="n"/>
      <c r="E284" s="25" t="n"/>
      <c r="F284" s="24" t="n"/>
      <c r="G284" s="22" t="n"/>
      <c r="H284" s="1" t="n"/>
    </row>
    <row r="285">
      <c r="A285" s="1" t="n"/>
      <c r="B285" s="23" t="n"/>
      <c r="C285" s="22" t="n"/>
      <c r="D285" s="22" t="n"/>
      <c r="E285" s="25" t="n"/>
      <c r="F285" s="24" t="n"/>
      <c r="G285" s="22" t="n"/>
      <c r="H285" s="1" t="n"/>
    </row>
    <row r="286">
      <c r="A286" s="1" t="n"/>
      <c r="B286" s="23" t="n"/>
      <c r="C286" s="22" t="n"/>
      <c r="D286" s="22" t="n"/>
      <c r="E286" s="25" t="n"/>
      <c r="F286" s="24" t="n"/>
      <c r="G286" s="22" t="n"/>
      <c r="H286" s="1" t="n"/>
    </row>
    <row r="287">
      <c r="A287" s="1" t="n"/>
      <c r="B287" s="23" t="n"/>
      <c r="C287" s="22" t="n"/>
      <c r="D287" s="22" t="n"/>
      <c r="E287" s="25" t="n"/>
      <c r="F287" s="24" t="n"/>
      <c r="G287" s="22" t="n"/>
      <c r="H287" s="1" t="n"/>
    </row>
    <row r="288">
      <c r="A288" s="1" t="n"/>
      <c r="B288" s="23" t="n"/>
      <c r="C288" s="22" t="n"/>
      <c r="D288" s="22" t="n"/>
      <c r="E288" s="25" t="n"/>
      <c r="F288" s="24" t="n"/>
      <c r="G288" s="22" t="n"/>
      <c r="H288" s="1" t="n"/>
    </row>
    <row r="289">
      <c r="A289" s="1" t="n"/>
      <c r="B289" s="23" t="n"/>
      <c r="C289" s="22" t="n"/>
      <c r="D289" s="22" t="n"/>
      <c r="E289" s="25" t="n"/>
      <c r="F289" s="24" t="n"/>
      <c r="G289" s="22" t="n"/>
      <c r="H289" s="1" t="n"/>
    </row>
    <row r="290">
      <c r="A290" s="1" t="n"/>
      <c r="B290" s="23" t="n"/>
      <c r="C290" s="22" t="n"/>
      <c r="D290" s="22" t="n"/>
      <c r="E290" s="25" t="n"/>
      <c r="F290" s="24" t="n"/>
      <c r="G290" s="22" t="n"/>
      <c r="H290" s="1" t="n"/>
    </row>
    <row r="291">
      <c r="A291" s="1" t="n"/>
      <c r="B291" s="23" t="n"/>
      <c r="C291" s="22" t="n"/>
      <c r="D291" s="22" t="n"/>
      <c r="E291" s="25" t="n"/>
      <c r="F291" s="24" t="n"/>
      <c r="G291" s="22" t="n"/>
      <c r="H291" s="1" t="n"/>
    </row>
    <row r="292">
      <c r="A292" s="1" t="n"/>
      <c r="B292" s="23" t="n"/>
      <c r="C292" s="22" t="n"/>
      <c r="D292" s="22" t="n"/>
      <c r="E292" s="25" t="n"/>
      <c r="F292" s="24" t="n"/>
      <c r="G292" s="22" t="n"/>
      <c r="H292" s="1" t="n"/>
    </row>
    <row r="293">
      <c r="A293" s="1" t="n"/>
      <c r="B293" s="23" t="n"/>
      <c r="C293" s="22" t="n"/>
      <c r="D293" s="22" t="n"/>
      <c r="E293" s="25" t="n"/>
      <c r="F293" s="24" t="n"/>
      <c r="G293" s="22" t="n"/>
      <c r="H293" s="1" t="n"/>
    </row>
    <row r="294">
      <c r="A294" s="1" t="n"/>
      <c r="B294" s="23" t="n"/>
      <c r="C294" s="22" t="n"/>
      <c r="D294" s="22" t="n"/>
      <c r="E294" s="25" t="n"/>
      <c r="F294" s="24" t="n"/>
      <c r="G294" s="22" t="n"/>
      <c r="H294" s="1" t="n"/>
    </row>
    <row r="295">
      <c r="A295" s="1" t="n"/>
      <c r="B295" s="23" t="n"/>
      <c r="C295" s="22" t="n"/>
      <c r="D295" s="22" t="n"/>
      <c r="E295" s="25" t="n"/>
      <c r="F295" s="24" t="n"/>
      <c r="G295" s="22" t="n"/>
      <c r="H295" s="1" t="n"/>
    </row>
    <row r="296">
      <c r="A296" s="1" t="n"/>
      <c r="B296" s="23" t="n"/>
      <c r="C296" s="22" t="n"/>
      <c r="D296" s="22" t="n"/>
      <c r="E296" s="25" t="n"/>
      <c r="F296" s="24" t="n"/>
      <c r="G296" s="22" t="n"/>
      <c r="H296" s="1" t="n"/>
    </row>
    <row r="297">
      <c r="A297" s="1" t="n"/>
      <c r="B297" s="23" t="n"/>
      <c r="C297" s="22" t="n"/>
      <c r="D297" s="22" t="n"/>
      <c r="E297" s="25" t="n"/>
      <c r="F297" s="24" t="n"/>
      <c r="G297" s="22" t="n"/>
      <c r="H297" s="1" t="n"/>
    </row>
    <row r="298">
      <c r="A298" s="1" t="n"/>
      <c r="B298" s="23" t="n"/>
      <c r="C298" s="22" t="n"/>
      <c r="D298" s="22" t="n"/>
      <c r="E298" s="25" t="n"/>
      <c r="F298" s="24" t="n"/>
      <c r="G298" s="22" t="n"/>
      <c r="H298" s="1" t="n"/>
    </row>
    <row r="299">
      <c r="A299" s="1" t="n"/>
      <c r="B299" s="23" t="n"/>
      <c r="C299" s="22" t="n"/>
      <c r="D299" s="22" t="n"/>
      <c r="E299" s="25" t="n"/>
      <c r="F299" s="24" t="n"/>
      <c r="G299" s="22" t="n"/>
      <c r="H299" s="1" t="n"/>
    </row>
    <row r="300">
      <c r="A300" s="1" t="n"/>
      <c r="B300" s="23" t="n"/>
      <c r="C300" s="22" t="n"/>
      <c r="D300" s="22" t="n"/>
      <c r="E300" s="25" t="n"/>
      <c r="F300" s="24" t="n"/>
      <c r="G300" s="22" t="n"/>
      <c r="H300" s="1" t="n"/>
    </row>
    <row r="301">
      <c r="A301" s="1" t="n"/>
      <c r="B301" s="23" t="n"/>
      <c r="C301" s="22" t="n"/>
      <c r="D301" s="22" t="n"/>
      <c r="E301" s="25" t="n"/>
      <c r="F301" s="24" t="n"/>
      <c r="G301" s="22" t="n"/>
      <c r="H301" s="1" t="n"/>
    </row>
    <row r="302">
      <c r="A302" s="1" t="n"/>
      <c r="B302" s="23" t="n"/>
      <c r="C302" s="22" t="n"/>
      <c r="D302" s="22" t="n"/>
      <c r="E302" s="25" t="n"/>
      <c r="F302" s="24" t="n"/>
      <c r="G302" s="22" t="n"/>
      <c r="H302" s="1" t="n"/>
    </row>
    <row r="303">
      <c r="A303" s="1" t="n"/>
      <c r="B303" s="23" t="n"/>
      <c r="C303" s="22" t="n"/>
      <c r="D303" s="22" t="n"/>
      <c r="E303" s="25" t="n"/>
      <c r="F303" s="24" t="n"/>
      <c r="G303" s="22" t="n"/>
      <c r="H303" s="1" t="n"/>
    </row>
    <row r="304">
      <c r="A304" s="1" t="n"/>
      <c r="B304" s="23" t="n"/>
      <c r="C304" s="22" t="n"/>
      <c r="D304" s="22" t="n"/>
      <c r="E304" s="25" t="n"/>
      <c r="F304" s="24" t="n"/>
      <c r="G304" s="22" t="n"/>
      <c r="H304" s="1" t="n"/>
    </row>
    <row r="305">
      <c r="A305" s="1" t="n"/>
      <c r="B305" s="23" t="n"/>
      <c r="C305" s="22" t="n"/>
      <c r="D305" s="22" t="n"/>
      <c r="E305" s="25" t="n"/>
      <c r="F305" s="24" t="n"/>
      <c r="G305" s="22" t="n"/>
      <c r="H305" s="1" t="n"/>
    </row>
    <row r="306">
      <c r="A306" s="1" t="n"/>
      <c r="B306" s="23" t="n"/>
      <c r="C306" s="22" t="n"/>
      <c r="D306" s="22" t="n"/>
      <c r="E306" s="25" t="n"/>
      <c r="F306" s="24" t="n"/>
      <c r="G306" s="22" t="n"/>
      <c r="H306" s="1" t="n"/>
    </row>
    <row r="307">
      <c r="A307" s="1" t="n"/>
      <c r="B307" s="23" t="n"/>
      <c r="C307" s="22" t="n"/>
      <c r="D307" s="22" t="n"/>
      <c r="E307" s="25" t="n"/>
      <c r="F307" s="24" t="n"/>
      <c r="G307" s="22" t="n"/>
      <c r="H307" s="1" t="n"/>
    </row>
    <row r="308">
      <c r="A308" s="1" t="n"/>
      <c r="B308" s="23" t="n"/>
      <c r="C308" s="22" t="n"/>
      <c r="D308" s="22" t="n"/>
      <c r="E308" s="25" t="n"/>
      <c r="F308" s="24" t="n"/>
      <c r="G308" s="22" t="n"/>
      <c r="H308" s="1" t="n"/>
    </row>
    <row r="309">
      <c r="A309" s="1" t="n"/>
      <c r="B309" s="23" t="n"/>
      <c r="C309" s="22" t="n"/>
      <c r="D309" s="22" t="n"/>
      <c r="E309" s="25" t="n"/>
      <c r="F309" s="24" t="n"/>
      <c r="G309" s="22" t="n"/>
      <c r="H309" s="1" t="n"/>
    </row>
    <row r="310">
      <c r="A310" s="1" t="n"/>
      <c r="B310" s="23" t="n"/>
      <c r="C310" s="22" t="n"/>
      <c r="D310" s="22" t="n"/>
      <c r="E310" s="25" t="n"/>
      <c r="F310" s="24" t="n"/>
      <c r="G310" s="22" t="n"/>
      <c r="H310" s="1" t="n"/>
    </row>
    <row r="311">
      <c r="A311" s="1" t="n"/>
      <c r="B311" s="23" t="n"/>
      <c r="C311" s="22" t="n"/>
      <c r="D311" s="22" t="n"/>
      <c r="E311" s="25" t="n"/>
      <c r="F311" s="24" t="n"/>
      <c r="G311" s="22" t="n"/>
      <c r="H311" s="1" t="n"/>
    </row>
    <row r="312">
      <c r="A312" s="1" t="n"/>
      <c r="B312" s="23" t="n"/>
      <c r="C312" s="22" t="n"/>
      <c r="D312" s="22" t="n"/>
      <c r="E312" s="25" t="n"/>
      <c r="F312" s="24" t="n"/>
      <c r="G312" s="22" t="n"/>
      <c r="H312" s="1" t="n"/>
    </row>
    <row r="313">
      <c r="A313" s="1" t="n"/>
      <c r="B313" s="23" t="n"/>
      <c r="C313" s="22" t="n"/>
      <c r="D313" s="22" t="n"/>
      <c r="E313" s="25" t="n"/>
      <c r="F313" s="24" t="n"/>
      <c r="G313" s="22" t="n"/>
      <c r="H313" s="1" t="n"/>
    </row>
    <row r="314">
      <c r="A314" s="1" t="n"/>
      <c r="B314" s="23" t="n"/>
      <c r="C314" s="22" t="n"/>
      <c r="D314" s="22" t="n"/>
      <c r="E314" s="25" t="n"/>
      <c r="F314" s="24" t="n"/>
      <c r="G314" s="22" t="n"/>
      <c r="H314" s="1" t="n"/>
    </row>
    <row r="315">
      <c r="A315" s="1" t="n"/>
      <c r="B315" s="23" t="n"/>
      <c r="C315" s="22" t="n"/>
      <c r="D315" s="22" t="n"/>
      <c r="E315" s="25" t="n"/>
      <c r="F315" s="24" t="n"/>
      <c r="G315" s="22" t="n"/>
      <c r="H315" s="1" t="n"/>
    </row>
    <row r="316">
      <c r="A316" s="1" t="n"/>
      <c r="B316" s="23" t="n"/>
      <c r="C316" s="22" t="n"/>
      <c r="D316" s="22" t="n"/>
      <c r="E316" s="25" t="n"/>
      <c r="F316" s="24" t="n"/>
      <c r="G316" s="22" t="n"/>
      <c r="H316" s="1" t="n"/>
    </row>
    <row r="317">
      <c r="A317" s="1" t="n"/>
      <c r="B317" s="23" t="n"/>
      <c r="C317" s="22" t="n"/>
      <c r="D317" s="22" t="n"/>
      <c r="E317" s="25" t="n"/>
      <c r="F317" s="24" t="n"/>
      <c r="G317" s="22" t="n"/>
      <c r="H317" s="1" t="n"/>
    </row>
    <row r="318">
      <c r="A318" s="1" t="n"/>
      <c r="B318" s="23" t="n"/>
      <c r="C318" s="22" t="n"/>
      <c r="D318" s="22" t="n"/>
      <c r="E318" s="25" t="n"/>
      <c r="F318" s="24" t="n"/>
      <c r="G318" s="22" t="n"/>
      <c r="H318" s="1" t="n"/>
    </row>
    <row r="319">
      <c r="A319" s="1" t="n"/>
      <c r="B319" s="23" t="n"/>
      <c r="C319" s="22" t="n"/>
      <c r="D319" s="22" t="n"/>
      <c r="E319" s="25" t="n"/>
      <c r="F319" s="24" t="n"/>
      <c r="G319" s="22" t="n"/>
      <c r="H319" s="1" t="n"/>
    </row>
    <row r="320">
      <c r="A320" s="1" t="n"/>
      <c r="B320" s="23" t="n"/>
      <c r="C320" s="22" t="n"/>
      <c r="D320" s="22" t="n"/>
      <c r="E320" s="25" t="n"/>
      <c r="F320" s="24" t="n"/>
      <c r="G320" s="22" t="n"/>
      <c r="H320" s="1" t="n"/>
    </row>
    <row r="321">
      <c r="A321" s="1" t="n"/>
      <c r="B321" s="23" t="n"/>
      <c r="C321" s="22" t="n"/>
      <c r="D321" s="22" t="n"/>
      <c r="E321" s="25" t="n"/>
      <c r="F321" s="24" t="n"/>
      <c r="G321" s="22" t="n"/>
      <c r="H321" s="1" t="n"/>
    </row>
    <row r="322">
      <c r="A322" s="1" t="n"/>
      <c r="B322" s="23" t="n"/>
      <c r="C322" s="22" t="n"/>
      <c r="D322" s="22" t="n"/>
      <c r="E322" s="25" t="n"/>
      <c r="F322" s="24" t="n"/>
      <c r="G322" s="22" t="n"/>
      <c r="H322" s="1" t="n"/>
    </row>
    <row r="323">
      <c r="A323" s="1" t="n"/>
      <c r="B323" s="23" t="n"/>
      <c r="C323" s="22" t="n"/>
      <c r="D323" s="22" t="n"/>
      <c r="E323" s="25" t="n"/>
      <c r="F323" s="24" t="n"/>
      <c r="G323" s="22" t="n"/>
      <c r="H323" s="1" t="n"/>
    </row>
    <row r="324">
      <c r="A324" s="1" t="n"/>
      <c r="B324" s="23" t="n"/>
      <c r="C324" s="22" t="n"/>
      <c r="D324" s="22" t="n"/>
      <c r="E324" s="25" t="n"/>
      <c r="F324" s="24" t="n"/>
      <c r="G324" s="22" t="n"/>
      <c r="H324" s="1" t="n"/>
    </row>
    <row r="325">
      <c r="A325" s="1" t="n"/>
      <c r="B325" s="23" t="n"/>
      <c r="C325" s="22" t="n"/>
      <c r="D325" s="22" t="n"/>
      <c r="E325" s="25" t="n"/>
      <c r="F325" s="24" t="n"/>
      <c r="G325" s="22" t="n"/>
      <c r="H325" s="1" t="n"/>
    </row>
    <row r="326">
      <c r="A326" s="1" t="n"/>
      <c r="B326" s="23" t="n"/>
      <c r="C326" s="22" t="n"/>
      <c r="D326" s="22" t="n"/>
      <c r="E326" s="25" t="n"/>
      <c r="F326" s="24" t="n"/>
      <c r="G326" s="22" t="n"/>
      <c r="H326" s="1" t="n"/>
    </row>
    <row r="327">
      <c r="A327" s="1" t="n"/>
      <c r="B327" s="23" t="n"/>
      <c r="C327" s="22" t="n"/>
      <c r="D327" s="22" t="n"/>
      <c r="E327" s="25" t="n"/>
      <c r="F327" s="24" t="n"/>
      <c r="G327" s="22" t="n"/>
      <c r="H327" s="1" t="n"/>
    </row>
    <row r="328">
      <c r="A328" s="1" t="n"/>
      <c r="B328" s="23" t="n"/>
      <c r="C328" s="22" t="n"/>
      <c r="D328" s="22" t="n"/>
      <c r="E328" s="25" t="n"/>
      <c r="F328" s="24" t="n"/>
      <c r="G328" s="22" t="n"/>
      <c r="H328" s="1" t="n"/>
    </row>
    <row r="329">
      <c r="A329" s="1" t="n"/>
      <c r="B329" s="23" t="n"/>
      <c r="C329" s="22" t="n"/>
      <c r="D329" s="22" t="n"/>
      <c r="E329" s="25" t="n"/>
      <c r="F329" s="24" t="n"/>
      <c r="G329" s="22" t="n"/>
      <c r="H329" s="1" t="n"/>
    </row>
    <row r="330">
      <c r="A330" s="1" t="n"/>
      <c r="B330" s="23" t="n"/>
      <c r="C330" s="22" t="n"/>
      <c r="D330" s="22" t="n"/>
      <c r="E330" s="25" t="n"/>
      <c r="F330" s="24" t="n"/>
      <c r="G330" s="22" t="n"/>
      <c r="H330" s="1" t="n"/>
    </row>
    <row r="331">
      <c r="A331" s="1" t="n"/>
      <c r="B331" s="23" t="n"/>
      <c r="C331" s="22" t="n"/>
      <c r="D331" s="22" t="n"/>
      <c r="E331" s="25" t="n"/>
      <c r="F331" s="24" t="n"/>
      <c r="G331" s="22" t="n"/>
      <c r="H331" s="1" t="n"/>
    </row>
    <row r="332">
      <c r="A332" s="1" t="n"/>
      <c r="B332" s="23" t="n"/>
      <c r="C332" s="22" t="n"/>
      <c r="D332" s="22" t="n"/>
      <c r="E332" s="25" t="n"/>
      <c r="F332" s="24" t="n"/>
      <c r="G332" s="22" t="n"/>
      <c r="H332" s="1" t="n"/>
    </row>
    <row r="333">
      <c r="A333" s="1" t="n"/>
      <c r="B333" s="23" t="n"/>
      <c r="C333" s="22" t="n"/>
      <c r="D333" s="22" t="n"/>
      <c r="E333" s="25" t="n"/>
      <c r="F333" s="24" t="n"/>
      <c r="G333" s="22" t="n"/>
      <c r="H333" s="1" t="n"/>
    </row>
    <row r="334">
      <c r="A334" s="1" t="n"/>
      <c r="B334" s="23" t="n"/>
      <c r="C334" s="22" t="n"/>
      <c r="D334" s="22" t="n"/>
      <c r="E334" s="25" t="n"/>
      <c r="F334" s="24" t="n"/>
      <c r="G334" s="22" t="n"/>
      <c r="H334" s="1" t="n"/>
    </row>
    <row r="335">
      <c r="A335" s="1" t="n"/>
      <c r="B335" s="23" t="n"/>
      <c r="C335" s="22" t="n"/>
      <c r="D335" s="22" t="n"/>
      <c r="E335" s="25" t="n"/>
      <c r="F335" s="24" t="n"/>
      <c r="G335" s="22" t="n"/>
      <c r="H335" s="1" t="n"/>
    </row>
    <row r="336">
      <c r="A336" s="1" t="n"/>
      <c r="B336" s="23" t="n"/>
      <c r="C336" s="22" t="n"/>
      <c r="D336" s="22" t="n"/>
      <c r="E336" s="25" t="n"/>
      <c r="F336" s="24" t="n"/>
      <c r="G336" s="22" t="n"/>
      <c r="H336" s="1" t="n"/>
    </row>
    <row r="337">
      <c r="A337" s="1" t="n"/>
      <c r="B337" s="23" t="n"/>
      <c r="C337" s="22" t="n"/>
      <c r="D337" s="22" t="n"/>
      <c r="E337" s="25" t="n"/>
      <c r="F337" s="24" t="n"/>
      <c r="G337" s="22" t="n"/>
      <c r="H337" s="1" t="n"/>
    </row>
    <row r="338">
      <c r="A338" s="1" t="n"/>
      <c r="B338" s="23" t="n"/>
      <c r="C338" s="22" t="n"/>
      <c r="D338" s="22" t="n"/>
      <c r="E338" s="25" t="n"/>
      <c r="F338" s="24" t="n"/>
      <c r="G338" s="22" t="n"/>
      <c r="H338" s="1" t="n"/>
    </row>
    <row r="339">
      <c r="A339" s="1" t="n"/>
      <c r="B339" s="23" t="n"/>
      <c r="C339" s="22" t="n"/>
      <c r="D339" s="22" t="n"/>
      <c r="E339" s="25" t="n"/>
      <c r="F339" s="24" t="n"/>
      <c r="G339" s="22" t="n"/>
      <c r="H339" s="1" t="n"/>
    </row>
    <row r="340">
      <c r="A340" s="1" t="n"/>
      <c r="B340" s="23" t="n"/>
      <c r="C340" s="22" t="n"/>
      <c r="D340" s="22" t="n"/>
      <c r="E340" s="25" t="n"/>
      <c r="F340" s="24" t="n"/>
      <c r="G340" s="22" t="n"/>
      <c r="H340" s="1" t="n"/>
    </row>
    <row r="341">
      <c r="A341" s="1" t="n"/>
      <c r="B341" s="23" t="n"/>
      <c r="C341" s="22" t="n"/>
      <c r="D341" s="22" t="n"/>
      <c r="E341" s="25" t="n"/>
      <c r="F341" s="24" t="n"/>
      <c r="G341" s="22" t="n"/>
      <c r="H341" s="1" t="n"/>
    </row>
    <row r="342">
      <c r="A342" s="1" t="n"/>
      <c r="B342" s="23" t="n"/>
      <c r="C342" s="22" t="n"/>
      <c r="D342" s="22" t="n"/>
      <c r="E342" s="25" t="n"/>
      <c r="F342" s="24" t="n"/>
      <c r="G342" s="22" t="n"/>
      <c r="H342" s="1" t="n"/>
    </row>
    <row r="343">
      <c r="A343" s="1" t="n"/>
      <c r="B343" s="23" t="n"/>
      <c r="C343" s="22" t="n"/>
      <c r="D343" s="22" t="n"/>
      <c r="E343" s="25" t="n"/>
      <c r="F343" s="24" t="n"/>
      <c r="G343" s="22" t="n"/>
      <c r="H343" s="1" t="n"/>
    </row>
    <row r="344">
      <c r="A344" s="1" t="n"/>
      <c r="B344" s="23" t="n"/>
      <c r="C344" s="22" t="n"/>
      <c r="D344" s="22" t="n"/>
      <c r="E344" s="25" t="n"/>
      <c r="F344" s="24" t="n"/>
      <c r="G344" s="22" t="n"/>
      <c r="H344" s="1" t="n"/>
    </row>
    <row r="345">
      <c r="A345" s="1" t="n"/>
      <c r="B345" s="23" t="n"/>
      <c r="C345" s="22" t="n"/>
      <c r="D345" s="22" t="n"/>
      <c r="E345" s="25" t="n"/>
      <c r="F345" s="24" t="n"/>
      <c r="G345" s="22" t="n"/>
      <c r="H345" s="1" t="n"/>
    </row>
    <row r="346">
      <c r="A346" s="1" t="n"/>
      <c r="B346" s="23" t="n"/>
      <c r="C346" s="22" t="n"/>
      <c r="D346" s="22" t="n"/>
      <c r="E346" s="25" t="n"/>
      <c r="F346" s="24" t="n"/>
      <c r="G346" s="22" t="n"/>
      <c r="H346" s="1" t="n"/>
    </row>
    <row r="347">
      <c r="A347" s="1" t="n"/>
      <c r="B347" s="23" t="n"/>
      <c r="C347" s="22" t="n"/>
      <c r="D347" s="22" t="n"/>
      <c r="E347" s="25" t="n"/>
      <c r="F347" s="24" t="n"/>
      <c r="G347" s="22" t="n"/>
      <c r="H347" s="1" t="n"/>
    </row>
    <row r="348">
      <c r="A348" s="1" t="n"/>
      <c r="B348" s="23" t="n"/>
      <c r="C348" s="22" t="n"/>
      <c r="D348" s="22" t="n"/>
      <c r="E348" s="25" t="n"/>
      <c r="F348" s="24" t="n"/>
      <c r="G348" s="22" t="n"/>
      <c r="H348" s="1" t="n"/>
    </row>
    <row r="349">
      <c r="A349" s="1" t="n"/>
      <c r="B349" s="23" t="n"/>
      <c r="C349" s="22" t="n"/>
      <c r="D349" s="22" t="n"/>
      <c r="E349" s="25" t="n"/>
      <c r="F349" s="24" t="n"/>
      <c r="G349" s="22" t="n"/>
      <c r="H349" s="1" t="n"/>
    </row>
    <row r="350">
      <c r="A350" s="1" t="n"/>
      <c r="B350" s="23" t="n"/>
      <c r="C350" s="22" t="n"/>
      <c r="D350" s="22" t="n"/>
      <c r="E350" s="25" t="n"/>
      <c r="F350" s="24" t="n"/>
      <c r="G350" s="22" t="n"/>
      <c r="H350" s="1" t="n"/>
    </row>
    <row r="351">
      <c r="A351" s="1" t="n"/>
      <c r="B351" s="23" t="n"/>
      <c r="C351" s="22" t="n"/>
      <c r="D351" s="22" t="n"/>
      <c r="E351" s="25" t="n"/>
      <c r="F351" s="24" t="n"/>
      <c r="G351" s="22" t="n"/>
      <c r="H351" s="1" t="n"/>
    </row>
    <row r="352">
      <c r="A352" s="1" t="n"/>
      <c r="B352" s="23" t="n"/>
      <c r="C352" s="22" t="n"/>
      <c r="D352" s="22" t="n"/>
      <c r="E352" s="25" t="n"/>
      <c r="F352" s="24" t="n"/>
      <c r="G352" s="22" t="n"/>
      <c r="H352" s="1" t="n"/>
    </row>
    <row r="353">
      <c r="A353" s="1" t="n"/>
      <c r="B353" s="23" t="n"/>
      <c r="C353" s="22" t="n"/>
      <c r="D353" s="22" t="n"/>
      <c r="E353" s="25" t="n"/>
      <c r="F353" s="24" t="n"/>
      <c r="G353" s="22" t="n"/>
      <c r="H353" s="1" t="n"/>
    </row>
    <row r="354">
      <c r="A354" s="1" t="n"/>
      <c r="B354" s="23" t="n"/>
      <c r="C354" s="22" t="n"/>
      <c r="D354" s="22" t="n"/>
      <c r="E354" s="25" t="n"/>
      <c r="F354" s="24" t="n"/>
      <c r="G354" s="22" t="n"/>
      <c r="H354" s="1" t="n"/>
    </row>
    <row r="355">
      <c r="A355" s="1" t="n"/>
      <c r="B355" s="23" t="n"/>
      <c r="C355" s="22" t="n"/>
      <c r="D355" s="22" t="n"/>
      <c r="E355" s="25" t="n"/>
      <c r="F355" s="24" t="n"/>
      <c r="G355" s="22" t="n"/>
      <c r="H355" s="1" t="n"/>
    </row>
    <row r="356">
      <c r="A356" s="1" t="n"/>
      <c r="B356" s="23" t="n"/>
      <c r="C356" s="22" t="n"/>
      <c r="D356" s="22" t="n"/>
      <c r="E356" s="25" t="n"/>
      <c r="F356" s="24" t="n"/>
      <c r="G356" s="22" t="n"/>
      <c r="H356" s="1" t="n"/>
    </row>
    <row r="357">
      <c r="A357" s="1" t="n"/>
      <c r="B357" s="23" t="n"/>
      <c r="C357" s="22" t="n"/>
      <c r="D357" s="22" t="n"/>
      <c r="E357" s="25" t="n"/>
      <c r="F357" s="24" t="n"/>
      <c r="G357" s="22" t="n"/>
      <c r="H357" s="1" t="n"/>
    </row>
    <row r="358">
      <c r="A358" s="1" t="n"/>
      <c r="B358" s="23" t="n"/>
      <c r="C358" s="22" t="n"/>
      <c r="D358" s="22" t="n"/>
      <c r="E358" s="25" t="n"/>
      <c r="F358" s="24" t="n"/>
      <c r="G358" s="22" t="n"/>
      <c r="H358" s="1" t="n"/>
    </row>
    <row r="359">
      <c r="A359" s="1" t="n"/>
      <c r="B359" s="23" t="n"/>
      <c r="C359" s="22" t="n"/>
      <c r="D359" s="22" t="n"/>
      <c r="E359" s="25" t="n"/>
      <c r="F359" s="24" t="n"/>
      <c r="G359" s="22" t="n"/>
      <c r="H359" s="1" t="n"/>
    </row>
    <row r="360">
      <c r="A360" s="1" t="n"/>
      <c r="B360" s="23" t="n"/>
      <c r="C360" s="22" t="n"/>
      <c r="D360" s="22" t="n"/>
      <c r="E360" s="25" t="n"/>
      <c r="F360" s="24" t="n"/>
      <c r="G360" s="22" t="n"/>
      <c r="H360" s="1" t="n"/>
    </row>
    <row r="361">
      <c r="A361" s="1" t="n"/>
      <c r="B361" s="23" t="n"/>
      <c r="C361" s="22" t="n"/>
      <c r="D361" s="22" t="n"/>
      <c r="E361" s="25" t="n"/>
      <c r="F361" s="24" t="n"/>
      <c r="G361" s="22" t="n"/>
      <c r="H361" s="1" t="n"/>
    </row>
    <row r="362">
      <c r="A362" s="1" t="n"/>
      <c r="B362" s="23" t="n"/>
      <c r="C362" s="22" t="n"/>
      <c r="D362" s="22" t="n"/>
      <c r="E362" s="25" t="n"/>
      <c r="F362" s="24" t="n"/>
      <c r="G362" s="22" t="n"/>
      <c r="H362" s="1" t="n"/>
    </row>
    <row r="363">
      <c r="A363" s="1" t="n"/>
      <c r="B363" s="23" t="n"/>
      <c r="C363" s="22" t="n"/>
      <c r="D363" s="22" t="n"/>
      <c r="E363" s="25" t="n"/>
      <c r="F363" s="24" t="n"/>
      <c r="G363" s="22" t="n"/>
      <c r="H363" s="1" t="n"/>
    </row>
    <row r="364">
      <c r="A364" s="1" t="n"/>
      <c r="B364" s="23" t="n"/>
      <c r="C364" s="22" t="n"/>
      <c r="D364" s="22" t="n"/>
      <c r="E364" s="25" t="n"/>
      <c r="F364" s="24" t="n"/>
      <c r="G364" s="22" t="n"/>
      <c r="H364" s="1" t="n"/>
    </row>
    <row r="365">
      <c r="A365" s="1" t="n"/>
      <c r="B365" s="23" t="n"/>
      <c r="C365" s="22" t="n"/>
      <c r="D365" s="22" t="n"/>
      <c r="E365" s="25" t="n"/>
      <c r="F365" s="24" t="n"/>
      <c r="G365" s="22" t="n"/>
      <c r="H365" s="1" t="n"/>
    </row>
    <row r="366">
      <c r="A366" s="1" t="n"/>
      <c r="B366" s="23" t="n"/>
      <c r="C366" s="22" t="n"/>
      <c r="D366" s="22" t="n"/>
      <c r="E366" s="25" t="n"/>
      <c r="F366" s="24" t="n"/>
      <c r="G366" s="22" t="n"/>
      <c r="H366" s="1" t="n"/>
    </row>
    <row r="367">
      <c r="A367" s="1" t="n"/>
      <c r="B367" s="23" t="n"/>
      <c r="C367" s="22" t="n"/>
      <c r="D367" s="22" t="n"/>
      <c r="E367" s="25" t="n"/>
      <c r="F367" s="24" t="n"/>
      <c r="G367" s="22" t="n"/>
      <c r="H367" s="1" t="n"/>
    </row>
    <row r="368">
      <c r="A368" s="1" t="n"/>
      <c r="B368" s="23" t="n"/>
      <c r="C368" s="22" t="n"/>
      <c r="D368" s="22" t="n"/>
      <c r="E368" s="25" t="n"/>
      <c r="F368" s="24" t="n"/>
      <c r="G368" s="22" t="n"/>
      <c r="H368" s="1" t="n"/>
    </row>
    <row r="369">
      <c r="A369" s="1" t="n"/>
      <c r="B369" s="23" t="n"/>
      <c r="C369" s="22" t="n"/>
      <c r="D369" s="22" t="n"/>
      <c r="E369" s="25" t="n"/>
      <c r="F369" s="24" t="n"/>
      <c r="G369" s="22" t="n"/>
      <c r="H369" s="1" t="n"/>
    </row>
    <row r="370">
      <c r="A370" s="1" t="n"/>
      <c r="B370" s="23" t="n"/>
      <c r="C370" s="22" t="n"/>
      <c r="D370" s="22" t="n"/>
      <c r="E370" s="25" t="n"/>
      <c r="F370" s="24" t="n"/>
      <c r="G370" s="22" t="n"/>
      <c r="H370" s="1" t="n"/>
    </row>
    <row r="371">
      <c r="A371" s="1" t="n"/>
      <c r="B371" s="23" t="n"/>
      <c r="C371" s="22" t="n"/>
      <c r="D371" s="22" t="n"/>
      <c r="E371" s="25" t="n"/>
      <c r="F371" s="24" t="n"/>
      <c r="G371" s="22" t="n"/>
      <c r="H371" s="1" t="n"/>
    </row>
    <row r="372">
      <c r="A372" s="1" t="n"/>
      <c r="B372" s="23" t="n"/>
      <c r="C372" s="22" t="n"/>
      <c r="D372" s="22" t="n"/>
      <c r="E372" s="25" t="n"/>
      <c r="F372" s="24" t="n"/>
      <c r="G372" s="22" t="n"/>
      <c r="H372" s="1" t="n"/>
    </row>
    <row r="373">
      <c r="A373" s="1" t="n"/>
      <c r="B373" s="23" t="n"/>
      <c r="C373" s="22" t="n"/>
      <c r="D373" s="22" t="n"/>
      <c r="E373" s="25" t="n"/>
      <c r="F373" s="24" t="n"/>
      <c r="G373" s="22" t="n"/>
      <c r="H373" s="1" t="n"/>
    </row>
    <row r="374">
      <c r="A374" s="1" t="n"/>
      <c r="B374" s="23" t="n"/>
      <c r="C374" s="22" t="n"/>
      <c r="D374" s="22" t="n"/>
      <c r="E374" s="25" t="n"/>
      <c r="F374" s="24" t="n"/>
      <c r="G374" s="22" t="n"/>
      <c r="H374" s="1" t="n"/>
    </row>
    <row r="375">
      <c r="A375" s="1" t="n"/>
      <c r="B375" s="23" t="n"/>
      <c r="C375" s="22" t="n"/>
      <c r="D375" s="22" t="n"/>
      <c r="E375" s="25" t="n"/>
      <c r="F375" s="24" t="n"/>
      <c r="G375" s="22" t="n"/>
      <c r="H375" s="1" t="n"/>
    </row>
    <row r="376">
      <c r="A376" s="1" t="n"/>
      <c r="B376" s="23" t="n"/>
      <c r="C376" s="22" t="n"/>
      <c r="D376" s="22" t="n"/>
      <c r="E376" s="25" t="n"/>
      <c r="F376" s="24" t="n"/>
      <c r="G376" s="22" t="n"/>
      <c r="H376" s="1" t="n"/>
    </row>
    <row r="377">
      <c r="A377" s="1" t="n"/>
      <c r="B377" s="23" t="n"/>
      <c r="C377" s="22" t="n"/>
      <c r="D377" s="22" t="n"/>
      <c r="E377" s="25" t="n"/>
      <c r="F377" s="24" t="n"/>
      <c r="G377" s="22" t="n"/>
      <c r="H377" s="1" t="n"/>
    </row>
    <row r="378">
      <c r="A378" s="1" t="n"/>
      <c r="B378" s="23" t="n"/>
      <c r="C378" s="22" t="n"/>
      <c r="D378" s="22" t="n"/>
      <c r="E378" s="25" t="n"/>
      <c r="F378" s="24" t="n"/>
      <c r="G378" s="22" t="n"/>
      <c r="H378" s="1" t="n"/>
    </row>
    <row r="379">
      <c r="A379" s="1" t="n"/>
      <c r="B379" s="23" t="n"/>
      <c r="C379" s="22" t="n"/>
      <c r="D379" s="22" t="n"/>
      <c r="E379" s="25" t="n"/>
      <c r="F379" s="24" t="n"/>
      <c r="G379" s="22" t="n"/>
      <c r="H379" s="1" t="n"/>
    </row>
    <row r="380">
      <c r="A380" s="1" t="n"/>
      <c r="B380" s="23" t="n"/>
      <c r="C380" s="22" t="n"/>
      <c r="D380" s="22" t="n"/>
      <c r="E380" s="25" t="n"/>
      <c r="F380" s="24" t="n"/>
      <c r="G380" s="22" t="n"/>
      <c r="H380" s="1" t="n"/>
    </row>
    <row r="381">
      <c r="A381" s="1" t="n"/>
      <c r="B381" s="23" t="n"/>
      <c r="C381" s="22" t="n"/>
      <c r="D381" s="22" t="n"/>
      <c r="E381" s="25" t="n"/>
      <c r="F381" s="24" t="n"/>
      <c r="G381" s="22" t="n"/>
      <c r="H381" s="1" t="n"/>
    </row>
    <row r="382">
      <c r="A382" s="1" t="n"/>
      <c r="B382" s="23" t="n"/>
      <c r="C382" s="22" t="n"/>
      <c r="D382" s="22" t="n"/>
      <c r="E382" s="25" t="n"/>
      <c r="F382" s="24" t="n"/>
      <c r="G382" s="22" t="n"/>
      <c r="H382" s="1" t="n"/>
    </row>
    <row r="383">
      <c r="A383" s="1" t="n"/>
      <c r="B383" s="23" t="n"/>
      <c r="C383" s="22" t="n"/>
      <c r="D383" s="22" t="n"/>
      <c r="E383" s="25" t="n"/>
      <c r="F383" s="24" t="n"/>
      <c r="G383" s="22" t="n"/>
      <c r="H383" s="1" t="n"/>
    </row>
    <row r="384">
      <c r="A384" s="1" t="n"/>
      <c r="B384" s="23" t="n"/>
      <c r="C384" s="22" t="n"/>
      <c r="D384" s="22" t="n"/>
      <c r="E384" s="25" t="n"/>
      <c r="F384" s="24" t="n"/>
      <c r="G384" s="22" t="n"/>
      <c r="H384" s="1" t="n"/>
    </row>
    <row r="385">
      <c r="A385" s="1" t="n"/>
      <c r="B385" s="23" t="n"/>
      <c r="C385" s="22" t="n"/>
      <c r="D385" s="22" t="n"/>
      <c r="E385" s="25" t="n"/>
      <c r="F385" s="24" t="n"/>
      <c r="G385" s="22" t="n"/>
      <c r="H385" s="1" t="n"/>
    </row>
    <row r="386">
      <c r="A386" s="1" t="n"/>
      <c r="B386" s="23" t="n"/>
      <c r="C386" s="22" t="n"/>
      <c r="D386" s="22" t="n"/>
      <c r="E386" s="25" t="n"/>
      <c r="F386" s="24" t="n"/>
      <c r="G386" s="22" t="n"/>
      <c r="H386" s="1" t="n"/>
    </row>
    <row r="387">
      <c r="A387" s="1" t="n"/>
      <c r="B387" s="23" t="n"/>
      <c r="C387" s="22" t="n"/>
      <c r="D387" s="22" t="n"/>
      <c r="E387" s="25" t="n"/>
      <c r="F387" s="24" t="n"/>
      <c r="G387" s="22" t="n"/>
      <c r="H387" s="1" t="n"/>
    </row>
    <row r="388">
      <c r="A388" s="1" t="n"/>
      <c r="B388" s="23" t="n"/>
      <c r="C388" s="22" t="n"/>
      <c r="D388" s="22" t="n"/>
      <c r="E388" s="25" t="n"/>
      <c r="F388" s="24" t="n"/>
      <c r="G388" s="22" t="n"/>
      <c r="H388" s="1" t="n"/>
    </row>
    <row r="389">
      <c r="A389" s="1" t="n"/>
      <c r="B389" s="23" t="n"/>
      <c r="C389" s="22" t="n"/>
      <c r="D389" s="22" t="n"/>
      <c r="E389" s="25" t="n"/>
      <c r="F389" s="24" t="n"/>
      <c r="G389" s="22" t="n"/>
      <c r="H389" s="1" t="n"/>
    </row>
    <row r="390">
      <c r="A390" s="1" t="n"/>
      <c r="B390" s="23" t="n"/>
      <c r="C390" s="22" t="n"/>
      <c r="D390" s="22" t="n"/>
      <c r="E390" s="25" t="n"/>
      <c r="F390" s="24" t="n"/>
      <c r="G390" s="22" t="n"/>
      <c r="H390" s="1" t="n"/>
    </row>
    <row r="391">
      <c r="A391" s="1" t="n"/>
      <c r="B391" s="23" t="n"/>
      <c r="C391" s="22" t="n"/>
      <c r="D391" s="22" t="n"/>
      <c r="E391" s="25" t="n"/>
      <c r="F391" s="24" t="n"/>
      <c r="G391" s="22" t="n"/>
      <c r="H391" s="1" t="n"/>
    </row>
    <row r="392">
      <c r="A392" s="1" t="n"/>
      <c r="B392" s="23" t="n"/>
      <c r="C392" s="22" t="n"/>
      <c r="D392" s="22" t="n"/>
      <c r="E392" s="25" t="n"/>
      <c r="F392" s="24" t="n"/>
      <c r="G392" s="22" t="n"/>
      <c r="H392" s="1" t="n"/>
    </row>
    <row r="393">
      <c r="A393" s="1" t="n"/>
      <c r="B393" s="23" t="n"/>
      <c r="C393" s="22" t="n"/>
      <c r="D393" s="22" t="n"/>
      <c r="E393" s="25" t="n"/>
      <c r="F393" s="24" t="n"/>
      <c r="G393" s="22" t="n"/>
      <c r="H393" s="1" t="n"/>
    </row>
    <row r="394">
      <c r="A394" s="1" t="n"/>
      <c r="B394" s="23" t="n"/>
      <c r="C394" s="22" t="n"/>
      <c r="D394" s="22" t="n"/>
      <c r="E394" s="25" t="n"/>
      <c r="F394" s="24" t="n"/>
      <c r="G394" s="22" t="n"/>
      <c r="H394" s="1" t="n"/>
    </row>
    <row r="395">
      <c r="A395" s="1" t="n"/>
      <c r="B395" s="23" t="n"/>
      <c r="C395" s="22" t="n"/>
      <c r="D395" s="22" t="n"/>
      <c r="E395" s="25" t="n"/>
      <c r="F395" s="24" t="n"/>
      <c r="G395" s="22" t="n"/>
      <c r="H395" s="1" t="n"/>
    </row>
    <row r="396">
      <c r="A396" s="1" t="n"/>
      <c r="B396" s="23" t="n"/>
      <c r="C396" s="22" t="n"/>
      <c r="D396" s="22" t="n"/>
      <c r="E396" s="25" t="n"/>
      <c r="F396" s="24" t="n"/>
      <c r="G396" s="22" t="n"/>
      <c r="H396" s="1" t="n"/>
    </row>
    <row r="397">
      <c r="A397" s="1" t="n"/>
      <c r="B397" s="23" t="n"/>
      <c r="C397" s="22" t="n"/>
      <c r="D397" s="22" t="n"/>
      <c r="E397" s="25" t="n"/>
      <c r="F397" s="24" t="n"/>
      <c r="G397" s="22" t="n"/>
      <c r="H397" s="1" t="n"/>
    </row>
    <row r="398">
      <c r="A398" s="1" t="n"/>
      <c r="B398" s="23" t="n"/>
      <c r="C398" s="22" t="n"/>
      <c r="D398" s="22" t="n"/>
      <c r="E398" s="25" t="n"/>
      <c r="F398" s="24" t="n"/>
      <c r="G398" s="22" t="n"/>
      <c r="H398" s="1" t="n"/>
    </row>
    <row r="399">
      <c r="A399" s="1" t="n"/>
      <c r="B399" s="23" t="n"/>
      <c r="C399" s="22" t="n"/>
      <c r="D399" s="22" t="n"/>
      <c r="E399" s="25" t="n"/>
      <c r="F399" s="24" t="n"/>
      <c r="G399" s="22" t="n"/>
      <c r="H399" s="1" t="n"/>
    </row>
    <row r="400">
      <c r="A400" s="1" t="n"/>
      <c r="B400" s="23" t="n"/>
      <c r="C400" s="22" t="n"/>
      <c r="D400" s="22" t="n"/>
      <c r="E400" s="25" t="n"/>
      <c r="F400" s="24" t="n"/>
      <c r="G400" s="22" t="n"/>
      <c r="H400" s="1" t="n"/>
    </row>
    <row r="401">
      <c r="A401" s="1" t="n"/>
      <c r="B401" s="23" t="n"/>
      <c r="C401" s="22" t="n"/>
      <c r="D401" s="22" t="n"/>
      <c r="E401" s="25" t="n"/>
      <c r="F401" s="24" t="n"/>
      <c r="G401" s="22" t="n"/>
      <c r="H401" s="1" t="n"/>
    </row>
    <row r="402">
      <c r="A402" s="1" t="n"/>
      <c r="B402" s="23" t="n"/>
      <c r="C402" s="22" t="n"/>
      <c r="D402" s="22" t="n"/>
      <c r="E402" s="25" t="n"/>
      <c r="F402" s="24" t="n"/>
      <c r="G402" s="22" t="n"/>
      <c r="H402" s="1" t="n"/>
    </row>
    <row r="403">
      <c r="A403" s="1" t="n"/>
      <c r="B403" s="23" t="n"/>
      <c r="C403" s="22" t="n"/>
      <c r="D403" s="22" t="n"/>
      <c r="E403" s="25" t="n"/>
      <c r="F403" s="24" t="n"/>
      <c r="G403" s="22" t="n"/>
      <c r="H403" s="1" t="n"/>
    </row>
    <row r="404">
      <c r="A404" s="1" t="n"/>
      <c r="B404" s="23" t="n"/>
      <c r="C404" s="22" t="n"/>
      <c r="D404" s="22" t="n"/>
      <c r="E404" s="25" t="n"/>
      <c r="F404" s="24" t="n"/>
      <c r="G404" s="22" t="n"/>
      <c r="H404" s="1" t="n"/>
    </row>
    <row r="405">
      <c r="A405" s="1" t="n"/>
      <c r="B405" s="23" t="n"/>
      <c r="C405" s="22" t="n"/>
      <c r="D405" s="22" t="n"/>
      <c r="E405" s="25" t="n"/>
      <c r="F405" s="24" t="n"/>
      <c r="G405" s="22" t="n"/>
      <c r="H405" s="1" t="n"/>
    </row>
    <row r="406">
      <c r="A406" s="1" t="n"/>
      <c r="B406" s="23" t="n"/>
      <c r="C406" s="22" t="n"/>
      <c r="D406" s="22" t="n"/>
      <c r="E406" s="25" t="n"/>
      <c r="F406" s="24" t="n"/>
      <c r="G406" s="22" t="n"/>
      <c r="H406" s="1" t="n"/>
    </row>
    <row r="407">
      <c r="A407" s="1" t="n"/>
      <c r="B407" s="23" t="n"/>
      <c r="C407" s="22" t="n"/>
      <c r="D407" s="22" t="n"/>
      <c r="E407" s="25" t="n"/>
      <c r="F407" s="24" t="n"/>
      <c r="G407" s="22" t="n"/>
      <c r="H407" s="1" t="n"/>
    </row>
    <row r="408">
      <c r="A408" s="1" t="n"/>
      <c r="B408" s="23" t="n"/>
      <c r="C408" s="22" t="n"/>
      <c r="D408" s="22" t="n"/>
      <c r="E408" s="25" t="n"/>
      <c r="F408" s="24" t="n"/>
      <c r="G408" s="22" t="n"/>
      <c r="H408" s="1" t="n"/>
    </row>
    <row r="409">
      <c r="A409" s="1" t="n"/>
      <c r="B409" s="23" t="n"/>
      <c r="C409" s="22" t="n"/>
      <c r="D409" s="22" t="n"/>
      <c r="E409" s="25" t="n"/>
      <c r="F409" s="24" t="n"/>
      <c r="G409" s="22" t="n"/>
      <c r="H409" s="1" t="n"/>
    </row>
    <row r="410">
      <c r="A410" s="1" t="n"/>
      <c r="B410" s="23" t="n"/>
      <c r="C410" s="22" t="n"/>
      <c r="D410" s="22" t="n"/>
      <c r="E410" s="25" t="n"/>
      <c r="F410" s="24" t="n"/>
      <c r="G410" s="22" t="n"/>
      <c r="H410" s="1" t="n"/>
    </row>
    <row r="411">
      <c r="A411" s="1" t="n"/>
      <c r="B411" s="23" t="n"/>
      <c r="C411" s="22" t="n"/>
      <c r="D411" s="22" t="n"/>
      <c r="E411" s="25" t="n"/>
      <c r="F411" s="24" t="n"/>
      <c r="G411" s="22" t="n"/>
      <c r="H411" s="1" t="n"/>
    </row>
    <row r="412">
      <c r="A412" s="1" t="n"/>
      <c r="B412" s="23" t="n"/>
      <c r="C412" s="22" t="n"/>
      <c r="D412" s="22" t="n"/>
      <c r="E412" s="25" t="n"/>
      <c r="F412" s="24" t="n"/>
      <c r="G412" s="22" t="n"/>
      <c r="H412" s="1" t="n"/>
    </row>
    <row r="413">
      <c r="A413" s="1" t="n"/>
      <c r="B413" s="23" t="n"/>
      <c r="C413" s="22" t="n"/>
      <c r="D413" s="22" t="n"/>
      <c r="E413" s="25" t="n"/>
      <c r="F413" s="24" t="n"/>
      <c r="G413" s="22" t="n"/>
      <c r="H413" s="1" t="n"/>
    </row>
    <row r="414">
      <c r="A414" s="1" t="n"/>
      <c r="B414" s="23" t="n"/>
      <c r="C414" s="22" t="n"/>
      <c r="D414" s="22" t="n"/>
      <c r="E414" s="25" t="n"/>
      <c r="F414" s="24" t="n"/>
      <c r="G414" s="22" t="n"/>
      <c r="H414" s="1" t="n"/>
    </row>
    <row r="415">
      <c r="A415" s="1" t="n"/>
      <c r="B415" s="23" t="n"/>
      <c r="C415" s="22" t="n"/>
      <c r="D415" s="22" t="n"/>
      <c r="E415" s="25" t="n"/>
      <c r="F415" s="24" t="n"/>
      <c r="G415" s="22" t="n"/>
      <c r="H415" s="1" t="n"/>
    </row>
    <row r="416">
      <c r="A416" s="1" t="n"/>
      <c r="B416" s="23" t="n"/>
      <c r="C416" s="22" t="n"/>
      <c r="D416" s="22" t="n"/>
      <c r="E416" s="25" t="n"/>
      <c r="F416" s="24" t="n"/>
      <c r="G416" s="22" t="n"/>
      <c r="H416" s="1" t="n"/>
    </row>
    <row r="417">
      <c r="A417" s="1" t="n"/>
      <c r="B417" s="23" t="n"/>
      <c r="C417" s="22" t="n"/>
      <c r="D417" s="22" t="n"/>
      <c r="E417" s="25" t="n"/>
      <c r="F417" s="24" t="n"/>
      <c r="G417" s="22" t="n"/>
      <c r="H417" s="1" t="n"/>
    </row>
    <row r="418">
      <c r="A418" s="1" t="n"/>
      <c r="B418" s="23" t="n"/>
      <c r="C418" s="22" t="n"/>
      <c r="D418" s="22" t="n"/>
      <c r="E418" s="25" t="n"/>
      <c r="F418" s="24" t="n"/>
      <c r="G418" s="22" t="n"/>
      <c r="H418" s="1" t="n"/>
    </row>
    <row r="419">
      <c r="A419" s="1" t="n"/>
      <c r="B419" s="23" t="n"/>
      <c r="C419" s="22" t="n"/>
      <c r="D419" s="22" t="n"/>
      <c r="E419" s="25" t="n"/>
      <c r="F419" s="24" t="n"/>
      <c r="G419" s="22" t="n"/>
      <c r="H419" s="1" t="n"/>
    </row>
    <row r="420">
      <c r="A420" s="1" t="n"/>
      <c r="B420" s="23" t="n"/>
      <c r="C420" s="22" t="n"/>
      <c r="D420" s="22" t="n"/>
      <c r="E420" s="25" t="n"/>
      <c r="F420" s="24" t="n"/>
      <c r="G420" s="22" t="n"/>
      <c r="H420" s="1" t="n"/>
    </row>
    <row r="421">
      <c r="A421" s="1" t="n"/>
      <c r="B421" s="23" t="n"/>
      <c r="C421" s="22" t="n"/>
      <c r="D421" s="22" t="n"/>
      <c r="E421" s="25" t="n"/>
      <c r="F421" s="24" t="n"/>
      <c r="G421" s="22" t="n"/>
      <c r="H421" s="1" t="n"/>
    </row>
    <row r="422">
      <c r="A422" s="1" t="n"/>
      <c r="B422" s="23" t="n"/>
      <c r="C422" s="22" t="n"/>
      <c r="D422" s="22" t="n"/>
      <c r="E422" s="25" t="n"/>
      <c r="F422" s="24" t="n"/>
      <c r="G422" s="22" t="n"/>
      <c r="H422" s="1" t="n"/>
    </row>
    <row r="423">
      <c r="A423" s="1" t="n"/>
      <c r="B423" s="23" t="n"/>
      <c r="C423" s="22" t="n"/>
      <c r="D423" s="22" t="n"/>
      <c r="E423" s="25" t="n"/>
      <c r="F423" s="24" t="n"/>
      <c r="G423" s="22" t="n"/>
      <c r="H423" s="1" t="n"/>
    </row>
    <row r="424">
      <c r="A424" s="1" t="n"/>
      <c r="B424" s="23" t="n"/>
      <c r="C424" s="22" t="n"/>
      <c r="D424" s="22" t="n"/>
      <c r="E424" s="25" t="n"/>
      <c r="F424" s="24" t="n"/>
      <c r="G424" s="22" t="n"/>
      <c r="H424" s="1" t="n"/>
    </row>
    <row r="425">
      <c r="A425" s="1" t="n"/>
      <c r="B425" s="23" t="n"/>
      <c r="C425" s="22" t="n"/>
      <c r="D425" s="22" t="n"/>
      <c r="E425" s="25" t="n"/>
      <c r="F425" s="24" t="n"/>
      <c r="G425" s="22" t="n"/>
      <c r="H425" s="1" t="n"/>
    </row>
    <row r="426">
      <c r="A426" s="1" t="n"/>
      <c r="B426" s="23" t="n"/>
      <c r="C426" s="22" t="n"/>
      <c r="D426" s="22" t="n"/>
      <c r="E426" s="25" t="n"/>
      <c r="F426" s="24" t="n"/>
      <c r="G426" s="22" t="n"/>
      <c r="H426" s="1" t="n"/>
    </row>
    <row r="427">
      <c r="A427" s="1" t="n"/>
      <c r="B427" s="23" t="n"/>
      <c r="C427" s="22" t="n"/>
      <c r="D427" s="22" t="n"/>
      <c r="E427" s="25" t="n"/>
      <c r="F427" s="24" t="n"/>
      <c r="G427" s="22" t="n"/>
      <c r="H427" s="1" t="n"/>
    </row>
    <row r="428">
      <c r="A428" s="1" t="n"/>
      <c r="B428" s="23" t="n"/>
      <c r="C428" s="22" t="n"/>
      <c r="D428" s="22" t="n"/>
      <c r="E428" s="25" t="n"/>
      <c r="F428" s="24" t="n"/>
      <c r="G428" s="22" t="n"/>
      <c r="H428" s="1" t="n"/>
    </row>
    <row r="429">
      <c r="A429" s="1" t="n"/>
      <c r="B429" s="23" t="n"/>
      <c r="C429" s="22" t="n"/>
      <c r="D429" s="22" t="n"/>
      <c r="E429" s="25" t="n"/>
      <c r="F429" s="24" t="n"/>
      <c r="G429" s="22" t="n"/>
      <c r="H429" s="1" t="n"/>
    </row>
    <row r="430">
      <c r="A430" s="1" t="n"/>
      <c r="B430" s="23" t="n"/>
      <c r="C430" s="22" t="n"/>
      <c r="D430" s="22" t="n"/>
      <c r="E430" s="25" t="n"/>
      <c r="F430" s="24" t="n"/>
      <c r="G430" s="22" t="n"/>
      <c r="H430" s="1" t="n"/>
    </row>
    <row r="431">
      <c r="A431" s="1" t="n"/>
      <c r="B431" s="23" t="n"/>
      <c r="C431" s="22" t="n"/>
      <c r="D431" s="22" t="n"/>
      <c r="E431" s="25" t="n"/>
      <c r="F431" s="24" t="n"/>
      <c r="G431" s="22" t="n"/>
      <c r="H431" s="1" t="n"/>
    </row>
    <row r="432">
      <c r="A432" s="1" t="n"/>
      <c r="B432" s="23" t="n"/>
      <c r="C432" s="22" t="n"/>
      <c r="D432" s="22" t="n"/>
      <c r="E432" s="25" t="n"/>
      <c r="F432" s="24" t="n"/>
      <c r="G432" s="22" t="n"/>
      <c r="H432" s="1" t="n"/>
    </row>
    <row r="433">
      <c r="A433" s="1" t="n"/>
      <c r="B433" s="23" t="n"/>
      <c r="C433" s="22" t="n"/>
      <c r="D433" s="22" t="n"/>
      <c r="E433" s="25" t="n"/>
      <c r="F433" s="24" t="n"/>
      <c r="G433" s="22" t="n"/>
      <c r="H433" s="1" t="n"/>
    </row>
    <row r="434">
      <c r="A434" s="1" t="n"/>
      <c r="B434" s="23" t="n"/>
      <c r="C434" s="22" t="n"/>
      <c r="D434" s="22" t="n"/>
      <c r="E434" s="25" t="n"/>
      <c r="F434" s="24" t="n"/>
      <c r="G434" s="22" t="n"/>
      <c r="H434" s="1" t="n"/>
    </row>
    <row r="435">
      <c r="A435" s="1" t="n"/>
      <c r="B435" s="23" t="n"/>
      <c r="C435" s="22" t="n"/>
      <c r="D435" s="22" t="n"/>
      <c r="E435" s="25" t="n"/>
      <c r="F435" s="24" t="n"/>
      <c r="G435" s="22" t="n"/>
      <c r="H435" s="1" t="n"/>
    </row>
    <row r="436">
      <c r="A436" s="1" t="n"/>
      <c r="B436" s="23" t="n"/>
      <c r="C436" s="22" t="n"/>
      <c r="D436" s="22" t="n"/>
      <c r="E436" s="25" t="n"/>
      <c r="F436" s="24" t="n"/>
      <c r="G436" s="22" t="n"/>
      <c r="H436" s="1" t="n"/>
    </row>
    <row r="437">
      <c r="A437" s="1" t="n"/>
      <c r="B437" s="23" t="n"/>
      <c r="C437" s="22" t="n"/>
      <c r="D437" s="22" t="n"/>
      <c r="E437" s="25" t="n"/>
      <c r="F437" s="24" t="n"/>
      <c r="G437" s="22" t="n"/>
      <c r="H437" s="1" t="n"/>
    </row>
    <row r="438">
      <c r="A438" s="1" t="n"/>
      <c r="B438" s="23" t="n"/>
      <c r="C438" s="22" t="n"/>
      <c r="D438" s="22" t="n"/>
      <c r="E438" s="25" t="n"/>
      <c r="F438" s="24" t="n"/>
      <c r="G438" s="22" t="n"/>
      <c r="H438" s="1" t="n"/>
    </row>
    <row r="439">
      <c r="A439" s="1" t="n"/>
      <c r="B439" s="23" t="n"/>
      <c r="C439" s="22" t="n"/>
      <c r="D439" s="22" t="n"/>
      <c r="E439" s="25" t="n"/>
      <c r="F439" s="24" t="n"/>
      <c r="G439" s="22" t="n"/>
      <c r="H439" s="1" t="n"/>
    </row>
    <row r="440">
      <c r="A440" s="1" t="n"/>
      <c r="B440" s="23" t="n"/>
      <c r="C440" s="22" t="n"/>
      <c r="D440" s="22" t="n"/>
      <c r="E440" s="25" t="n"/>
      <c r="F440" s="24" t="n"/>
      <c r="G440" s="22" t="n"/>
      <c r="H440" s="1" t="n"/>
    </row>
    <row r="441">
      <c r="A441" s="1" t="n"/>
      <c r="B441" s="23" t="n"/>
      <c r="C441" s="22" t="n"/>
      <c r="D441" s="22" t="n"/>
      <c r="E441" s="25" t="n"/>
      <c r="F441" s="24" t="n"/>
      <c r="G441" s="22" t="n"/>
      <c r="H441" s="1" t="n"/>
    </row>
    <row r="442">
      <c r="A442" s="1" t="n"/>
      <c r="B442" s="23" t="n"/>
      <c r="C442" s="22" t="n"/>
      <c r="D442" s="22" t="n"/>
      <c r="E442" s="25" t="n"/>
      <c r="F442" s="24" t="n"/>
      <c r="G442" s="22" t="n"/>
      <c r="H442" s="1" t="n"/>
    </row>
    <row r="443">
      <c r="A443" s="1" t="n"/>
      <c r="B443" s="23" t="n"/>
      <c r="C443" s="22" t="n"/>
      <c r="D443" s="22" t="n"/>
      <c r="E443" s="25" t="n"/>
      <c r="F443" s="24" t="n"/>
      <c r="G443" s="22" t="n"/>
      <c r="H443" s="1" t="n"/>
    </row>
    <row r="444">
      <c r="A444" s="1" t="n"/>
      <c r="B444" s="23" t="n"/>
      <c r="C444" s="22" t="n"/>
      <c r="D444" s="22" t="n"/>
      <c r="E444" s="25" t="n"/>
      <c r="F444" s="24" t="n"/>
      <c r="G444" s="22" t="n"/>
      <c r="H444" s="1" t="n"/>
    </row>
    <row r="445">
      <c r="A445" s="1" t="n"/>
      <c r="B445" s="23" t="n"/>
      <c r="C445" s="22" t="n"/>
      <c r="D445" s="22" t="n"/>
      <c r="E445" s="25" t="n"/>
      <c r="F445" s="24" t="n"/>
      <c r="G445" s="22" t="n"/>
      <c r="H445" s="1" t="n"/>
    </row>
    <row r="446">
      <c r="A446" s="1" t="n"/>
      <c r="B446" s="23" t="n"/>
      <c r="C446" s="22" t="n"/>
      <c r="D446" s="22" t="n"/>
      <c r="E446" s="25" t="n"/>
      <c r="F446" s="24" t="n"/>
      <c r="G446" s="22" t="n"/>
      <c r="H446" s="1" t="n"/>
    </row>
    <row r="447">
      <c r="A447" s="1" t="n"/>
      <c r="B447" s="23" t="n"/>
      <c r="C447" s="22" t="n"/>
      <c r="D447" s="22" t="n"/>
      <c r="E447" s="25" t="n"/>
      <c r="F447" s="24" t="n"/>
      <c r="G447" s="22" t="n"/>
      <c r="H447" s="1" t="n"/>
    </row>
    <row r="448">
      <c r="A448" s="1" t="n"/>
      <c r="B448" s="23" t="n"/>
      <c r="C448" s="22" t="n"/>
      <c r="D448" s="22" t="n"/>
      <c r="E448" s="25" t="n"/>
      <c r="F448" s="24" t="n"/>
      <c r="G448" s="22" t="n"/>
      <c r="H448" s="1" t="n"/>
    </row>
    <row r="449">
      <c r="A449" s="1" t="n"/>
      <c r="B449" s="23" t="n"/>
      <c r="C449" s="22" t="n"/>
      <c r="D449" s="22" t="n"/>
      <c r="E449" s="25" t="n"/>
      <c r="F449" s="24" t="n"/>
      <c r="G449" s="22" t="n"/>
      <c r="H449" s="1" t="n"/>
    </row>
    <row r="450">
      <c r="A450" s="1" t="n"/>
      <c r="B450" s="23" t="n"/>
      <c r="C450" s="22" t="n"/>
      <c r="D450" s="22" t="n"/>
      <c r="E450" s="25" t="n"/>
      <c r="F450" s="24" t="n"/>
      <c r="G450" s="22" t="n"/>
      <c r="H450" s="1" t="n"/>
    </row>
    <row r="451">
      <c r="A451" s="1" t="n"/>
      <c r="B451" s="23" t="n"/>
      <c r="C451" s="22" t="n"/>
      <c r="D451" s="22" t="n"/>
      <c r="E451" s="25" t="n"/>
      <c r="F451" s="24" t="n"/>
      <c r="G451" s="22" t="n"/>
      <c r="H451" s="1" t="n"/>
    </row>
    <row r="452">
      <c r="A452" s="1" t="n"/>
      <c r="B452" s="23" t="n"/>
      <c r="C452" s="22" t="n"/>
      <c r="D452" s="22" t="n"/>
      <c r="E452" s="25" t="n"/>
      <c r="F452" s="24" t="n"/>
      <c r="G452" s="22" t="n"/>
      <c r="H452" s="1" t="n"/>
    </row>
    <row r="453">
      <c r="A453" s="1" t="n"/>
      <c r="B453" s="23" t="n"/>
      <c r="C453" s="22" t="n"/>
      <c r="D453" s="22" t="n"/>
      <c r="E453" s="25" t="n"/>
      <c r="F453" s="24" t="n"/>
      <c r="G453" s="22" t="n"/>
      <c r="H453" s="1" t="n"/>
    </row>
    <row r="454">
      <c r="A454" s="1" t="n"/>
      <c r="B454" s="23" t="n"/>
      <c r="C454" s="22" t="n"/>
      <c r="D454" s="22" t="n"/>
      <c r="E454" s="25" t="n"/>
      <c r="F454" s="24" t="n"/>
      <c r="G454" s="22" t="n"/>
      <c r="H454" s="1" t="n"/>
    </row>
    <row r="455">
      <c r="A455" s="1" t="n"/>
      <c r="B455" s="23" t="n"/>
      <c r="C455" s="22" t="n"/>
      <c r="D455" s="22" t="n"/>
      <c r="E455" s="25" t="n"/>
      <c r="F455" s="24" t="n"/>
      <c r="G455" s="22" t="n"/>
      <c r="H455" s="1" t="n"/>
    </row>
    <row r="456">
      <c r="A456" s="1" t="n"/>
      <c r="B456" s="23" t="n"/>
      <c r="C456" s="22" t="n"/>
      <c r="D456" s="22" t="n"/>
      <c r="E456" s="25" t="n"/>
      <c r="F456" s="24" t="n"/>
      <c r="G456" s="22" t="n"/>
      <c r="H456" s="1" t="n"/>
    </row>
    <row r="457">
      <c r="A457" s="1" t="n"/>
      <c r="B457" s="23" t="n"/>
      <c r="C457" s="22" t="n"/>
      <c r="D457" s="22" t="n"/>
      <c r="E457" s="25" t="n"/>
      <c r="F457" s="24" t="n"/>
      <c r="G457" s="22" t="n"/>
      <c r="H457" s="1" t="n"/>
    </row>
    <row r="458">
      <c r="A458" s="1" t="n"/>
      <c r="B458" s="23" t="n"/>
      <c r="C458" s="22" t="n"/>
      <c r="D458" s="22" t="n"/>
      <c r="E458" s="25" t="n"/>
      <c r="F458" s="24" t="n"/>
      <c r="G458" s="22" t="n"/>
      <c r="H458" s="1" t="n"/>
    </row>
    <row r="459">
      <c r="A459" s="1" t="n"/>
      <c r="B459" s="23" t="n"/>
      <c r="C459" s="22" t="n"/>
      <c r="D459" s="22" t="n"/>
      <c r="E459" s="25" t="n"/>
      <c r="F459" s="24" t="n"/>
      <c r="G459" s="22" t="n"/>
      <c r="H459" s="1" t="n"/>
    </row>
    <row r="460">
      <c r="A460" s="1" t="n"/>
      <c r="B460" s="23" t="n"/>
      <c r="C460" s="22" t="n"/>
      <c r="D460" s="22" t="n"/>
      <c r="E460" s="25" t="n"/>
      <c r="F460" s="24" t="n"/>
      <c r="G460" s="22" t="n"/>
      <c r="H460" s="1" t="n"/>
    </row>
    <row r="461">
      <c r="A461" s="1" t="n"/>
      <c r="B461" s="23" t="n"/>
      <c r="C461" s="22" t="n"/>
      <c r="D461" s="22" t="n"/>
      <c r="E461" s="25" t="n"/>
      <c r="F461" s="24" t="n"/>
      <c r="G461" s="22" t="n"/>
      <c r="H461" s="1" t="n"/>
    </row>
    <row r="462">
      <c r="A462" s="1" t="n"/>
      <c r="B462" s="23" t="n"/>
      <c r="C462" s="22" t="n"/>
      <c r="D462" s="22" t="n"/>
      <c r="E462" s="25" t="n"/>
      <c r="F462" s="24" t="n"/>
      <c r="G462" s="22" t="n"/>
      <c r="H462" s="1" t="n"/>
    </row>
    <row r="463">
      <c r="A463" s="1" t="n"/>
      <c r="B463" s="23" t="n"/>
      <c r="C463" s="22" t="n"/>
      <c r="D463" s="22" t="n"/>
      <c r="E463" s="25" t="n"/>
      <c r="F463" s="24" t="n"/>
      <c r="G463" s="22" t="n"/>
      <c r="H463" s="1" t="n"/>
    </row>
    <row r="464">
      <c r="A464" s="1" t="n"/>
      <c r="B464" s="23" t="n"/>
      <c r="C464" s="22" t="n"/>
      <c r="D464" s="22" t="n"/>
      <c r="E464" s="25" t="n"/>
      <c r="F464" s="24" t="n"/>
      <c r="G464" s="22" t="n"/>
      <c r="H464" s="1" t="n"/>
    </row>
    <row r="465">
      <c r="A465" s="1" t="n"/>
      <c r="B465" s="23" t="n"/>
      <c r="C465" s="22" t="n"/>
      <c r="D465" s="22" t="n"/>
      <c r="E465" s="25" t="n"/>
      <c r="F465" s="24" t="n"/>
      <c r="G465" s="22" t="n"/>
      <c r="H465" s="1" t="n"/>
    </row>
    <row r="466">
      <c r="A466" s="1" t="n"/>
      <c r="B466" s="23" t="n"/>
      <c r="C466" s="22" t="n"/>
      <c r="D466" s="22" t="n"/>
      <c r="E466" s="25" t="n"/>
      <c r="F466" s="24" t="n"/>
      <c r="G466" s="22" t="n"/>
      <c r="H466" s="1" t="n"/>
    </row>
    <row r="467">
      <c r="A467" s="1" t="n"/>
      <c r="B467" s="23" t="n"/>
      <c r="C467" s="22" t="n"/>
      <c r="D467" s="22" t="n"/>
      <c r="E467" s="25" t="n"/>
      <c r="F467" s="24" t="n"/>
      <c r="G467" s="22" t="n"/>
      <c r="H467" s="1" t="n"/>
    </row>
    <row r="468">
      <c r="A468" s="1" t="n"/>
      <c r="B468" s="23" t="n"/>
      <c r="C468" s="22" t="n"/>
      <c r="D468" s="22" t="n"/>
      <c r="E468" s="25" t="n"/>
      <c r="F468" s="24" t="n"/>
      <c r="G468" s="22" t="n"/>
      <c r="H468" s="1" t="n"/>
    </row>
    <row r="469">
      <c r="A469" s="1" t="n"/>
      <c r="B469" s="23" t="n"/>
      <c r="C469" s="22" t="n"/>
      <c r="D469" s="22" t="n"/>
      <c r="E469" s="25" t="n"/>
      <c r="F469" s="24" t="n"/>
      <c r="G469" s="22" t="n"/>
      <c r="H469" s="1" t="n"/>
    </row>
    <row r="470">
      <c r="A470" s="1" t="n"/>
      <c r="B470" s="23" t="n"/>
      <c r="C470" s="22" t="n"/>
      <c r="D470" s="22" t="n"/>
      <c r="E470" s="25" t="n"/>
      <c r="F470" s="24" t="n"/>
      <c r="G470" s="22" t="n"/>
      <c r="H470" s="1" t="n"/>
    </row>
    <row r="471">
      <c r="A471" s="1" t="n"/>
      <c r="B471" s="23" t="n"/>
      <c r="C471" s="22" t="n"/>
      <c r="D471" s="22" t="n"/>
      <c r="E471" s="25" t="n"/>
      <c r="F471" s="24" t="n"/>
      <c r="G471" s="22" t="n"/>
      <c r="H471" s="1" t="n"/>
    </row>
    <row r="472">
      <c r="A472" s="1" t="n"/>
      <c r="B472" s="23" t="n"/>
      <c r="C472" s="22" t="n"/>
      <c r="D472" s="22" t="n"/>
      <c r="E472" s="25" t="n"/>
      <c r="F472" s="24" t="n"/>
      <c r="G472" s="22" t="n"/>
      <c r="H472" s="1" t="n"/>
    </row>
    <row r="473">
      <c r="A473" s="1" t="n"/>
      <c r="B473" s="23" t="n"/>
      <c r="C473" s="22" t="n"/>
      <c r="D473" s="22" t="n"/>
      <c r="E473" s="25" t="n"/>
      <c r="F473" s="24" t="n"/>
      <c r="G473" s="22" t="n"/>
      <c r="H473" s="1" t="n"/>
    </row>
    <row r="474">
      <c r="A474" s="1" t="n"/>
      <c r="B474" s="23" t="n"/>
      <c r="C474" s="22" t="n"/>
      <c r="D474" s="22" t="n"/>
      <c r="E474" s="25" t="n"/>
      <c r="F474" s="24" t="n"/>
      <c r="G474" s="22" t="n"/>
      <c r="H474" s="1" t="n"/>
    </row>
    <row r="475">
      <c r="A475" s="1" t="n"/>
      <c r="B475" s="23" t="n"/>
      <c r="C475" s="22" t="n"/>
      <c r="D475" s="22" t="n"/>
      <c r="E475" s="25" t="n"/>
      <c r="F475" s="24" t="n"/>
      <c r="G475" s="22" t="n"/>
      <c r="H475" s="1" t="n"/>
    </row>
    <row r="476">
      <c r="A476" s="1" t="n"/>
      <c r="B476" s="23" t="n"/>
      <c r="C476" s="22" t="n"/>
      <c r="D476" s="22" t="n"/>
      <c r="E476" s="25" t="n"/>
      <c r="F476" s="24" t="n"/>
      <c r="G476" s="22" t="n"/>
      <c r="H476" s="1" t="n"/>
    </row>
    <row r="477">
      <c r="A477" s="1" t="n"/>
      <c r="B477" s="23" t="n"/>
      <c r="C477" s="22" t="n"/>
      <c r="D477" s="22" t="n"/>
      <c r="E477" s="25" t="n"/>
      <c r="F477" s="24" t="n"/>
      <c r="G477" s="22" t="n"/>
      <c r="H477" s="1" t="n"/>
    </row>
    <row r="478">
      <c r="A478" s="1" t="n"/>
      <c r="B478" s="23" t="n"/>
      <c r="C478" s="22" t="n"/>
      <c r="D478" s="22" t="n"/>
      <c r="E478" s="25" t="n"/>
      <c r="F478" s="24" t="n"/>
      <c r="G478" s="22" t="n"/>
      <c r="H478" s="1" t="n"/>
    </row>
    <row r="479">
      <c r="A479" s="1" t="n"/>
      <c r="B479" s="23" t="n"/>
      <c r="C479" s="22" t="n"/>
      <c r="D479" s="22" t="n"/>
      <c r="E479" s="25" t="n"/>
      <c r="F479" s="24" t="n"/>
      <c r="G479" s="22" t="n"/>
      <c r="H479" s="1" t="n"/>
    </row>
    <row r="480">
      <c r="A480" s="1" t="n"/>
      <c r="B480" s="23" t="n"/>
      <c r="C480" s="22" t="n"/>
      <c r="D480" s="22" t="n"/>
      <c r="E480" s="25" t="n"/>
      <c r="F480" s="24" t="n"/>
      <c r="G480" s="22" t="n"/>
      <c r="H480" s="1" t="n"/>
    </row>
    <row r="481">
      <c r="A481" s="1" t="n"/>
      <c r="B481" s="23" t="n"/>
      <c r="C481" s="22" t="n"/>
      <c r="D481" s="22" t="n"/>
      <c r="E481" s="25" t="n"/>
      <c r="F481" s="24" t="n"/>
      <c r="G481" s="22" t="n"/>
      <c r="H481" s="1" t="n"/>
    </row>
    <row r="482">
      <c r="A482" s="1" t="n"/>
      <c r="B482" s="23" t="n"/>
      <c r="C482" s="22" t="n"/>
      <c r="D482" s="22" t="n"/>
      <c r="E482" s="25" t="n"/>
      <c r="F482" s="24" t="n"/>
      <c r="G482" s="22" t="n"/>
      <c r="H482" s="1" t="n"/>
    </row>
    <row r="483">
      <c r="A483" s="1" t="n"/>
      <c r="B483" s="23" t="n"/>
      <c r="C483" s="22" t="n"/>
      <c r="D483" s="22" t="n"/>
      <c r="E483" s="25" t="n"/>
      <c r="F483" s="24" t="n"/>
      <c r="G483" s="22" t="n"/>
      <c r="H483" s="1" t="n"/>
    </row>
    <row r="484">
      <c r="A484" s="1" t="n"/>
      <c r="B484" s="23" t="n"/>
      <c r="C484" s="22" t="n"/>
      <c r="D484" s="22" t="n"/>
      <c r="E484" s="25" t="n"/>
      <c r="F484" s="24" t="n"/>
      <c r="G484" s="22" t="n"/>
      <c r="H484" s="1" t="n"/>
    </row>
    <row r="485">
      <c r="A485" s="1" t="n"/>
      <c r="B485" s="23" t="n"/>
      <c r="C485" s="22" t="n"/>
      <c r="D485" s="22" t="n"/>
      <c r="E485" s="25" t="n"/>
      <c r="F485" s="24" t="n"/>
      <c r="G485" s="22" t="n"/>
      <c r="H485" s="1" t="n"/>
    </row>
    <row r="486">
      <c r="A486" s="1" t="n"/>
      <c r="B486" s="23" t="n"/>
      <c r="C486" s="22" t="n"/>
      <c r="D486" s="22" t="n"/>
      <c r="E486" s="25" t="n"/>
      <c r="F486" s="24" t="n"/>
      <c r="G486" s="22" t="n"/>
      <c r="H486" s="1" t="n"/>
    </row>
    <row r="487">
      <c r="A487" s="1" t="n"/>
      <c r="B487" s="23" t="n"/>
      <c r="C487" s="22" t="n"/>
      <c r="D487" s="22" t="n"/>
      <c r="E487" s="25" t="n"/>
      <c r="F487" s="24" t="n"/>
      <c r="G487" s="22" t="n"/>
      <c r="H487" s="1" t="n"/>
    </row>
    <row r="488">
      <c r="A488" s="1" t="n"/>
      <c r="B488" s="23" t="n"/>
      <c r="C488" s="22" t="n"/>
      <c r="D488" s="22" t="n"/>
      <c r="E488" s="25" t="n"/>
      <c r="F488" s="24" t="n"/>
      <c r="G488" s="22" t="n"/>
      <c r="H488" s="1" t="n"/>
    </row>
    <row r="489">
      <c r="A489" s="1" t="n"/>
      <c r="B489" s="23" t="n"/>
      <c r="C489" s="22" t="n"/>
      <c r="D489" s="22" t="n"/>
      <c r="E489" s="25" t="n"/>
      <c r="F489" s="24" t="n"/>
      <c r="G489" s="22" t="n"/>
      <c r="H489" s="1" t="n"/>
    </row>
    <row r="490">
      <c r="A490" s="1" t="n"/>
      <c r="B490" s="23" t="n"/>
      <c r="C490" s="22" t="n"/>
      <c r="D490" s="22" t="n"/>
      <c r="E490" s="25" t="n"/>
      <c r="F490" s="24" t="n"/>
      <c r="G490" s="22" t="n"/>
      <c r="H490" s="1" t="n"/>
    </row>
    <row r="491">
      <c r="A491" s="1" t="n"/>
      <c r="B491" s="23" t="n"/>
      <c r="C491" s="22" t="n"/>
      <c r="D491" s="22" t="n"/>
      <c r="E491" s="25" t="n"/>
      <c r="F491" s="24" t="n"/>
      <c r="G491" s="22" t="n"/>
      <c r="H491" s="1" t="n"/>
    </row>
    <row r="492">
      <c r="A492" s="1" t="n"/>
      <c r="B492" s="23" t="n"/>
      <c r="C492" s="22" t="n"/>
      <c r="D492" s="22" t="n"/>
      <c r="E492" s="25" t="n"/>
      <c r="F492" s="24" t="n"/>
      <c r="G492" s="22" t="n"/>
      <c r="H492" s="1" t="n"/>
    </row>
    <row r="493">
      <c r="A493" s="1" t="n"/>
      <c r="B493" s="23" t="n"/>
      <c r="C493" s="22" t="n"/>
      <c r="D493" s="22" t="n"/>
      <c r="E493" s="25" t="n"/>
      <c r="F493" s="24" t="n"/>
      <c r="G493" s="22" t="n"/>
      <c r="H493" s="1" t="n"/>
    </row>
    <row r="494">
      <c r="A494" s="1" t="n"/>
      <c r="B494" s="23" t="n"/>
      <c r="C494" s="22" t="n"/>
      <c r="D494" s="22" t="n"/>
      <c r="E494" s="25" t="n"/>
      <c r="F494" s="24" t="n"/>
      <c r="G494" s="22" t="n"/>
      <c r="H494" s="1" t="n"/>
    </row>
    <row r="495">
      <c r="A495" s="1" t="n"/>
      <c r="B495" s="23" t="n"/>
      <c r="C495" s="22" t="n"/>
      <c r="D495" s="22" t="n"/>
      <c r="E495" s="25" t="n"/>
      <c r="F495" s="24" t="n"/>
      <c r="G495" s="22" t="n"/>
      <c r="H495" s="1" t="n"/>
    </row>
    <row r="496">
      <c r="A496" s="1" t="n"/>
      <c r="B496" s="23" t="n"/>
      <c r="C496" s="22" t="n"/>
      <c r="D496" s="22" t="n"/>
      <c r="E496" s="25" t="n"/>
      <c r="F496" s="24" t="n"/>
      <c r="G496" s="22" t="n"/>
      <c r="H496" s="1" t="n"/>
    </row>
    <row r="497">
      <c r="A497" s="1" t="n"/>
      <c r="B497" s="23" t="n"/>
      <c r="C497" s="22" t="n"/>
      <c r="D497" s="22" t="n"/>
      <c r="E497" s="25" t="n"/>
      <c r="F497" s="24" t="n"/>
      <c r="G497" s="22" t="n"/>
      <c r="H497" s="1" t="n"/>
    </row>
    <row r="498">
      <c r="A498" s="1" t="n"/>
      <c r="B498" s="23" t="n"/>
      <c r="C498" s="22" t="n"/>
      <c r="D498" s="22" t="n"/>
      <c r="E498" s="25" t="n"/>
      <c r="F498" s="24" t="n"/>
      <c r="G498" s="22" t="n"/>
      <c r="H498" s="1" t="n"/>
    </row>
    <row r="499">
      <c r="A499" s="1" t="n"/>
      <c r="B499" s="23" t="n"/>
      <c r="C499" s="22" t="n"/>
      <c r="D499" s="22" t="n"/>
      <c r="E499" s="25" t="n"/>
      <c r="F499" s="24" t="n"/>
      <c r="G499" s="22" t="n"/>
      <c r="H499" s="1" t="n"/>
    </row>
    <row r="500">
      <c r="A500" s="1" t="n"/>
      <c r="B500" s="23" t="n"/>
      <c r="C500" s="22" t="n"/>
      <c r="D500" s="22" t="n"/>
      <c r="E500" s="25" t="n"/>
      <c r="F500" s="24" t="n"/>
      <c r="G500" s="22" t="n"/>
      <c r="H500" s="1" t="n"/>
    </row>
    <row r="501">
      <c r="A501" s="1" t="n"/>
      <c r="B501" s="23" t="n"/>
      <c r="C501" s="22" t="n"/>
      <c r="D501" s="22" t="n"/>
      <c r="E501" s="25" t="n"/>
      <c r="F501" s="24" t="n"/>
      <c r="G501" s="22" t="n"/>
      <c r="H501" s="1" t="n"/>
    </row>
    <row r="502">
      <c r="A502" s="1" t="n"/>
      <c r="B502" s="23" t="n"/>
      <c r="C502" s="22" t="n"/>
      <c r="D502" s="22" t="n"/>
      <c r="E502" s="25" t="n"/>
      <c r="F502" s="24" t="n"/>
      <c r="G502" s="22" t="n"/>
      <c r="H502" s="1" t="n"/>
    </row>
    <row r="503">
      <c r="A503" s="1" t="n"/>
      <c r="B503" s="23" t="n"/>
      <c r="C503" s="22" t="n"/>
      <c r="D503" s="22" t="n"/>
      <c r="E503" s="25" t="n"/>
      <c r="F503" s="24" t="n"/>
      <c r="G503" s="22" t="n"/>
      <c r="H503" s="1" t="n"/>
    </row>
    <row r="504">
      <c r="A504" s="1" t="n"/>
      <c r="B504" s="23" t="n"/>
      <c r="C504" s="22" t="n"/>
      <c r="D504" s="22" t="n"/>
      <c r="E504" s="25" t="n"/>
      <c r="F504" s="24" t="n"/>
      <c r="G504" s="22" t="n"/>
      <c r="H504" s="1" t="n"/>
    </row>
    <row r="505">
      <c r="A505" s="1" t="n"/>
      <c r="B505" s="23" t="n"/>
      <c r="C505" s="22" t="n"/>
      <c r="D505" s="22" t="n"/>
      <c r="E505" s="25" t="n"/>
      <c r="F505" s="24" t="n"/>
      <c r="G505" s="22" t="n"/>
      <c r="H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</row>
  </sheetData>
  <conditionalFormatting sqref="F6:F505">
    <cfRule type="expression" priority="1" dxfId="2">
      <formula>AND($B6&lt;&gt;"",$F6&lt;&gt;TRUE)</formula>
    </cfRule>
  </conditionalFormatting>
  <dataValidations count="2">
    <dataValidation sqref="D6:D505" showDropDown="0" showInputMessage="0" showErrorMessage="0" allowBlank="1" type="list">
      <formula1>=Settings!$B$14:$B$28</formula1>
    </dataValidation>
    <dataValidation sqref="F6:F505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" customWidth="1" min="2" max="2"/>
    <col width="14" customWidth="1" min="3" max="3"/>
    <col width="40" customWidth="1" min="4" max="4"/>
  </cols>
  <sheetData>
    <row r="1">
      <c r="A1" s="1" t="n"/>
      <c r="B1" s="1" t="n"/>
      <c r="C1" s="1" t="n"/>
      <c r="D1" s="1" t="n"/>
      <c r="E1" s="1" t="n"/>
    </row>
    <row r="2" ht="32" customHeight="1">
      <c r="A2" s="1" t="n"/>
      <c r="B2" s="2" t="inlineStr">
        <is>
          <t>Money put aside for tax</t>
        </is>
      </c>
      <c r="C2" s="1" t="n"/>
      <c r="D2" s="1" t="n"/>
      <c r="E2" s="1" t="n"/>
    </row>
    <row r="3">
      <c r="A3" s="1" t="n"/>
      <c r="B3" s="3" t="inlineStr">
        <is>
          <t>Each time you move money to your tax savings, add a line.</t>
        </is>
      </c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 ht="30" customHeight="1">
      <c r="A5" s="1" t="n"/>
      <c r="B5" s="9" t="inlineStr">
        <is>
          <t>Date</t>
        </is>
      </c>
      <c r="C5" s="9" t="inlineStr">
        <is>
          <t>Amount</t>
        </is>
      </c>
      <c r="D5" s="9" t="inlineStr">
        <is>
          <t>Note</t>
        </is>
      </c>
      <c r="E5" s="1" t="n"/>
    </row>
    <row r="6">
      <c r="A6" s="1" t="n"/>
      <c r="B6" s="23" t="n">
        <v>46113</v>
      </c>
      <c r="C6" s="25" t="n">
        <v>400</v>
      </c>
      <c r="D6" s="22" t="inlineStr">
        <is>
          <t>Q1 set-aside</t>
        </is>
      </c>
      <c r="E6" s="1" t="n"/>
    </row>
    <row r="7">
      <c r="A7" s="1" t="n"/>
      <c r="B7" s="23" t="n">
        <v>46173</v>
      </c>
      <c r="C7" s="25" t="n">
        <v>500</v>
      </c>
      <c r="D7" s="22" t="inlineStr">
        <is>
          <t>Q2 set-aside</t>
        </is>
      </c>
      <c r="E7" s="1" t="n"/>
    </row>
    <row r="8">
      <c r="A8" s="1" t="n"/>
      <c r="B8" s="23" t="n">
        <v>46258</v>
      </c>
      <c r="C8" s="25" t="n">
        <v>600</v>
      </c>
      <c r="D8" s="22" t="inlineStr">
        <is>
          <t>from Acme + Lumen</t>
        </is>
      </c>
      <c r="E8" s="1" t="n"/>
    </row>
    <row r="9">
      <c r="A9" s="1" t="n"/>
      <c r="B9" s="23" t="n"/>
      <c r="C9" s="25" t="n"/>
      <c r="D9" s="22" t="n"/>
      <c r="E9" s="1" t="n"/>
    </row>
    <row r="10">
      <c r="A10" s="1" t="n"/>
      <c r="B10" s="23" t="n"/>
      <c r="C10" s="25" t="n"/>
      <c r="D10" s="22" t="n"/>
      <c r="E10" s="1" t="n"/>
    </row>
    <row r="11">
      <c r="A11" s="1" t="n"/>
      <c r="B11" s="23" t="n"/>
      <c r="C11" s="25" t="n"/>
      <c r="D11" s="22" t="n"/>
      <c r="E11" s="1" t="n"/>
    </row>
    <row r="12">
      <c r="A12" s="1" t="n"/>
      <c r="B12" s="23" t="n"/>
      <c r="C12" s="25" t="n"/>
      <c r="D12" s="22" t="n"/>
      <c r="E12" s="1" t="n"/>
    </row>
    <row r="13">
      <c r="A13" s="1" t="n"/>
      <c r="B13" s="23" t="n"/>
      <c r="C13" s="25" t="n"/>
      <c r="D13" s="22" t="n"/>
      <c r="E13" s="1" t="n"/>
    </row>
    <row r="14">
      <c r="A14" s="1" t="n"/>
      <c r="B14" s="23" t="n"/>
      <c r="C14" s="25" t="n"/>
      <c r="D14" s="22" t="n"/>
      <c r="E14" s="1" t="n"/>
    </row>
    <row r="15">
      <c r="A15" s="1" t="n"/>
      <c r="B15" s="23" t="n"/>
      <c r="C15" s="25" t="n"/>
      <c r="D15" s="22" t="n"/>
      <c r="E15" s="1" t="n"/>
    </row>
    <row r="16">
      <c r="A16" s="1" t="n"/>
      <c r="B16" s="23" t="n"/>
      <c r="C16" s="25" t="n"/>
      <c r="D16" s="22" t="n"/>
      <c r="E16" s="1" t="n"/>
    </row>
    <row r="17">
      <c r="A17" s="1" t="n"/>
      <c r="B17" s="23" t="n"/>
      <c r="C17" s="25" t="n"/>
      <c r="D17" s="22" t="n"/>
      <c r="E17" s="1" t="n"/>
    </row>
    <row r="18">
      <c r="A18" s="1" t="n"/>
      <c r="B18" s="23" t="n"/>
      <c r="C18" s="25" t="n"/>
      <c r="D18" s="22" t="n"/>
      <c r="E18" s="1" t="n"/>
    </row>
    <row r="19">
      <c r="A19" s="1" t="n"/>
      <c r="B19" s="23" t="n"/>
      <c r="C19" s="25" t="n"/>
      <c r="D19" s="22" t="n"/>
      <c r="E19" s="1" t="n"/>
    </row>
    <row r="20">
      <c r="A20" s="1" t="n"/>
      <c r="B20" s="23" t="n"/>
      <c r="C20" s="25" t="n"/>
      <c r="D20" s="22" t="n"/>
      <c r="E20" s="1" t="n"/>
    </row>
    <row r="21">
      <c r="A21" s="1" t="n"/>
      <c r="B21" s="23" t="n"/>
      <c r="C21" s="25" t="n"/>
      <c r="D21" s="22" t="n"/>
      <c r="E21" s="1" t="n"/>
    </row>
    <row r="22">
      <c r="A22" s="1" t="n"/>
      <c r="B22" s="23" t="n"/>
      <c r="C22" s="25" t="n"/>
      <c r="D22" s="22" t="n"/>
      <c r="E22" s="1" t="n"/>
    </row>
    <row r="23">
      <c r="A23" s="1" t="n"/>
      <c r="B23" s="23" t="n"/>
      <c r="C23" s="25" t="n"/>
      <c r="D23" s="22" t="n"/>
      <c r="E23" s="1" t="n"/>
    </row>
    <row r="24">
      <c r="A24" s="1" t="n"/>
      <c r="B24" s="23" t="n"/>
      <c r="C24" s="25" t="n"/>
      <c r="D24" s="22" t="n"/>
      <c r="E24" s="1" t="n"/>
    </row>
    <row r="25">
      <c r="A25" s="1" t="n"/>
      <c r="B25" s="23" t="n"/>
      <c r="C25" s="25" t="n"/>
      <c r="D25" s="22" t="n"/>
      <c r="E25" s="1" t="n"/>
    </row>
    <row r="26">
      <c r="A26" s="1" t="n"/>
      <c r="B26" s="23" t="n"/>
      <c r="C26" s="25" t="n"/>
      <c r="D26" s="22" t="n"/>
      <c r="E26" s="1" t="n"/>
    </row>
    <row r="27">
      <c r="A27" s="1" t="n"/>
      <c r="B27" s="23" t="n"/>
      <c r="C27" s="25" t="n"/>
      <c r="D27" s="22" t="n"/>
      <c r="E27" s="1" t="n"/>
    </row>
    <row r="28">
      <c r="A28" s="1" t="n"/>
      <c r="B28" s="23" t="n"/>
      <c r="C28" s="25" t="n"/>
      <c r="D28" s="22" t="n"/>
      <c r="E28" s="1" t="n"/>
    </row>
    <row r="29">
      <c r="A29" s="1" t="n"/>
      <c r="B29" s="23" t="n"/>
      <c r="C29" s="25" t="n"/>
      <c r="D29" s="22" t="n"/>
      <c r="E29" s="1" t="n"/>
    </row>
    <row r="30">
      <c r="A30" s="1" t="n"/>
      <c r="B30" s="23" t="n"/>
      <c r="C30" s="25" t="n"/>
      <c r="D30" s="22" t="n"/>
      <c r="E30" s="1" t="n"/>
    </row>
    <row r="31">
      <c r="A31" s="1" t="n"/>
      <c r="B31" s="23" t="n"/>
      <c r="C31" s="25" t="n"/>
      <c r="D31" s="22" t="n"/>
      <c r="E31" s="1" t="n"/>
    </row>
    <row r="32">
      <c r="A32" s="1" t="n"/>
      <c r="B32" s="23" t="n"/>
      <c r="C32" s="25" t="n"/>
      <c r="D32" s="22" t="n"/>
      <c r="E32" s="1" t="n"/>
    </row>
    <row r="33">
      <c r="A33" s="1" t="n"/>
      <c r="B33" s="23" t="n"/>
      <c r="C33" s="25" t="n"/>
      <c r="D33" s="22" t="n"/>
      <c r="E33" s="1" t="n"/>
    </row>
    <row r="34">
      <c r="A34" s="1" t="n"/>
      <c r="B34" s="23" t="n"/>
      <c r="C34" s="25" t="n"/>
      <c r="D34" s="22" t="n"/>
      <c r="E34" s="1" t="n"/>
    </row>
    <row r="35">
      <c r="A35" s="1" t="n"/>
      <c r="B35" s="23" t="n"/>
      <c r="C35" s="25" t="n"/>
      <c r="D35" s="22" t="n"/>
      <c r="E35" s="1" t="n"/>
    </row>
    <row r="36">
      <c r="A36" s="1" t="n"/>
      <c r="B36" s="23" t="n"/>
      <c r="C36" s="25" t="n"/>
      <c r="D36" s="22" t="n"/>
      <c r="E36" s="1" t="n"/>
    </row>
    <row r="37">
      <c r="A37" s="1" t="n"/>
      <c r="B37" s="23" t="n"/>
      <c r="C37" s="25" t="n"/>
      <c r="D37" s="22" t="n"/>
      <c r="E37" s="1" t="n"/>
    </row>
    <row r="38">
      <c r="A38" s="1" t="n"/>
      <c r="B38" s="23" t="n"/>
      <c r="C38" s="25" t="n"/>
      <c r="D38" s="22" t="n"/>
      <c r="E38" s="1" t="n"/>
    </row>
    <row r="39">
      <c r="A39" s="1" t="n"/>
      <c r="B39" s="23" t="n"/>
      <c r="C39" s="25" t="n"/>
      <c r="D39" s="22" t="n"/>
      <c r="E39" s="1" t="n"/>
    </row>
    <row r="40">
      <c r="A40" s="1" t="n"/>
      <c r="B40" s="23" t="n"/>
      <c r="C40" s="25" t="n"/>
      <c r="D40" s="22" t="n"/>
      <c r="E40" s="1" t="n"/>
    </row>
    <row r="41">
      <c r="A41" s="1" t="n"/>
      <c r="B41" s="23" t="n"/>
      <c r="C41" s="25" t="n"/>
      <c r="D41" s="22" t="n"/>
      <c r="E41" s="1" t="n"/>
    </row>
    <row r="42">
      <c r="A42" s="1" t="n"/>
      <c r="B42" s="23" t="n"/>
      <c r="C42" s="25" t="n"/>
      <c r="D42" s="22" t="n"/>
      <c r="E42" s="1" t="n"/>
    </row>
    <row r="43">
      <c r="A43" s="1" t="n"/>
      <c r="B43" s="23" t="n"/>
      <c r="C43" s="25" t="n"/>
      <c r="D43" s="22" t="n"/>
      <c r="E43" s="1" t="n"/>
    </row>
    <row r="44">
      <c r="A44" s="1" t="n"/>
      <c r="B44" s="23" t="n"/>
      <c r="C44" s="25" t="n"/>
      <c r="D44" s="22" t="n"/>
      <c r="E44" s="1" t="n"/>
    </row>
    <row r="45">
      <c r="A45" s="1" t="n"/>
      <c r="B45" s="23" t="n"/>
      <c r="C45" s="25" t="n"/>
      <c r="D45" s="22" t="n"/>
      <c r="E45" s="1" t="n"/>
    </row>
    <row r="46">
      <c r="A46" s="1" t="n"/>
      <c r="B46" s="23" t="n"/>
      <c r="C46" s="25" t="n"/>
      <c r="D46" s="22" t="n"/>
      <c r="E46" s="1" t="n"/>
    </row>
    <row r="47">
      <c r="A47" s="1" t="n"/>
      <c r="B47" s="23" t="n"/>
      <c r="C47" s="25" t="n"/>
      <c r="D47" s="22" t="n"/>
      <c r="E47" s="1" t="n"/>
    </row>
    <row r="48">
      <c r="A48" s="1" t="n"/>
      <c r="B48" s="23" t="n"/>
      <c r="C48" s="25" t="n"/>
      <c r="D48" s="22" t="n"/>
      <c r="E48" s="1" t="n"/>
    </row>
    <row r="49">
      <c r="A49" s="1" t="n"/>
      <c r="B49" s="23" t="n"/>
      <c r="C49" s="25" t="n"/>
      <c r="D49" s="22" t="n"/>
      <c r="E49" s="1" t="n"/>
    </row>
    <row r="50">
      <c r="A50" s="1" t="n"/>
      <c r="B50" s="23" t="n"/>
      <c r="C50" s="25" t="n"/>
      <c r="D50" s="22" t="n"/>
      <c r="E50" s="1" t="n"/>
    </row>
    <row r="51">
      <c r="A51" s="1" t="n"/>
      <c r="B51" s="23" t="n"/>
      <c r="C51" s="25" t="n"/>
      <c r="D51" s="22" t="n"/>
      <c r="E51" s="1" t="n"/>
    </row>
    <row r="52">
      <c r="A52" s="1" t="n"/>
      <c r="B52" s="23" t="n"/>
      <c r="C52" s="25" t="n"/>
      <c r="D52" s="22" t="n"/>
      <c r="E52" s="1" t="n"/>
    </row>
    <row r="53">
      <c r="A53" s="1" t="n"/>
      <c r="B53" s="23" t="n"/>
      <c r="C53" s="25" t="n"/>
      <c r="D53" s="22" t="n"/>
      <c r="E53" s="1" t="n"/>
    </row>
    <row r="54">
      <c r="A54" s="1" t="n"/>
      <c r="B54" s="23" t="n"/>
      <c r="C54" s="25" t="n"/>
      <c r="D54" s="22" t="n"/>
      <c r="E54" s="1" t="n"/>
    </row>
    <row r="55">
      <c r="A55" s="1" t="n"/>
      <c r="B55" s="23" t="n"/>
      <c r="C55" s="25" t="n"/>
      <c r="D55" s="22" t="n"/>
      <c r="E55" s="1" t="n"/>
    </row>
    <row r="56">
      <c r="A56" s="1" t="n"/>
      <c r="B56" s="23" t="n"/>
      <c r="C56" s="25" t="n"/>
      <c r="D56" s="22" t="n"/>
      <c r="E56" s="1" t="n"/>
    </row>
    <row r="57">
      <c r="A57" s="1" t="n"/>
      <c r="B57" s="23" t="n"/>
      <c r="C57" s="25" t="n"/>
      <c r="D57" s="22" t="n"/>
      <c r="E57" s="1" t="n"/>
    </row>
    <row r="58">
      <c r="A58" s="1" t="n"/>
      <c r="B58" s="23" t="n"/>
      <c r="C58" s="25" t="n"/>
      <c r="D58" s="22" t="n"/>
      <c r="E58" s="1" t="n"/>
    </row>
    <row r="59">
      <c r="A59" s="1" t="n"/>
      <c r="B59" s="23" t="n"/>
      <c r="C59" s="25" t="n"/>
      <c r="D59" s="22" t="n"/>
      <c r="E59" s="1" t="n"/>
    </row>
    <row r="60">
      <c r="A60" s="1" t="n"/>
      <c r="B60" s="23" t="n"/>
      <c r="C60" s="25" t="n"/>
      <c r="D60" s="22" t="n"/>
      <c r="E60" s="1" t="n"/>
    </row>
    <row r="61">
      <c r="A61" s="1" t="n"/>
      <c r="B61" s="23" t="n"/>
      <c r="C61" s="25" t="n"/>
      <c r="D61" s="22" t="n"/>
      <c r="E61" s="1" t="n"/>
    </row>
    <row r="62">
      <c r="A62" s="1" t="n"/>
      <c r="B62" s="23" t="n"/>
      <c r="C62" s="25" t="n"/>
      <c r="D62" s="22" t="n"/>
      <c r="E62" s="1" t="n"/>
    </row>
    <row r="63">
      <c r="A63" s="1" t="n"/>
      <c r="B63" s="23" t="n"/>
      <c r="C63" s="25" t="n"/>
      <c r="D63" s="22" t="n"/>
      <c r="E63" s="1" t="n"/>
    </row>
    <row r="64">
      <c r="A64" s="1" t="n"/>
      <c r="B64" s="23" t="n"/>
      <c r="C64" s="25" t="n"/>
      <c r="D64" s="22" t="n"/>
      <c r="E64" s="1" t="n"/>
    </row>
    <row r="65">
      <c r="A65" s="1" t="n"/>
      <c r="B65" s="23" t="n"/>
      <c r="C65" s="25" t="n"/>
      <c r="D65" s="22" t="n"/>
      <c r="E65" s="1" t="n"/>
    </row>
    <row r="66">
      <c r="A66" s="1" t="n"/>
      <c r="B66" s="23" t="n"/>
      <c r="C66" s="25" t="n"/>
      <c r="D66" s="22" t="n"/>
      <c r="E66" s="1" t="n"/>
    </row>
    <row r="67">
      <c r="A67" s="1" t="n"/>
      <c r="B67" s="23" t="n"/>
      <c r="C67" s="25" t="n"/>
      <c r="D67" s="22" t="n"/>
      <c r="E67" s="1" t="n"/>
    </row>
    <row r="68">
      <c r="A68" s="1" t="n"/>
      <c r="B68" s="23" t="n"/>
      <c r="C68" s="25" t="n"/>
      <c r="D68" s="22" t="n"/>
      <c r="E68" s="1" t="n"/>
    </row>
    <row r="69">
      <c r="A69" s="1" t="n"/>
      <c r="B69" s="23" t="n"/>
      <c r="C69" s="25" t="n"/>
      <c r="D69" s="22" t="n"/>
      <c r="E69" s="1" t="n"/>
    </row>
    <row r="70">
      <c r="A70" s="1" t="n"/>
      <c r="B70" s="23" t="n"/>
      <c r="C70" s="25" t="n"/>
      <c r="D70" s="22" t="n"/>
      <c r="E70" s="1" t="n"/>
    </row>
    <row r="71">
      <c r="A71" s="1" t="n"/>
      <c r="B71" s="23" t="n"/>
      <c r="C71" s="25" t="n"/>
      <c r="D71" s="22" t="n"/>
      <c r="E71" s="1" t="n"/>
    </row>
    <row r="72">
      <c r="A72" s="1" t="n"/>
      <c r="B72" s="23" t="n"/>
      <c r="C72" s="25" t="n"/>
      <c r="D72" s="22" t="n"/>
      <c r="E72" s="1" t="n"/>
    </row>
    <row r="73">
      <c r="A73" s="1" t="n"/>
      <c r="B73" s="23" t="n"/>
      <c r="C73" s="25" t="n"/>
      <c r="D73" s="22" t="n"/>
      <c r="E73" s="1" t="n"/>
    </row>
    <row r="74">
      <c r="A74" s="1" t="n"/>
      <c r="B74" s="23" t="n"/>
      <c r="C74" s="25" t="n"/>
      <c r="D74" s="22" t="n"/>
      <c r="E74" s="1" t="n"/>
    </row>
    <row r="75">
      <c r="A75" s="1" t="n"/>
      <c r="B75" s="23" t="n"/>
      <c r="C75" s="25" t="n"/>
      <c r="D75" s="22" t="n"/>
      <c r="E75" s="1" t="n"/>
    </row>
    <row r="76">
      <c r="A76" s="1" t="n"/>
      <c r="B76" s="23" t="n"/>
      <c r="C76" s="25" t="n"/>
      <c r="D76" s="22" t="n"/>
      <c r="E76" s="1" t="n"/>
    </row>
    <row r="77">
      <c r="A77" s="1" t="n"/>
      <c r="B77" s="23" t="n"/>
      <c r="C77" s="25" t="n"/>
      <c r="D77" s="22" t="n"/>
      <c r="E77" s="1" t="n"/>
    </row>
    <row r="78">
      <c r="A78" s="1" t="n"/>
      <c r="B78" s="23" t="n"/>
      <c r="C78" s="25" t="n"/>
      <c r="D78" s="22" t="n"/>
      <c r="E78" s="1" t="n"/>
    </row>
    <row r="79">
      <c r="A79" s="1" t="n"/>
      <c r="B79" s="23" t="n"/>
      <c r="C79" s="25" t="n"/>
      <c r="D79" s="22" t="n"/>
      <c r="E79" s="1" t="n"/>
    </row>
    <row r="80">
      <c r="A80" s="1" t="n"/>
      <c r="B80" s="23" t="n"/>
      <c r="C80" s="25" t="n"/>
      <c r="D80" s="22" t="n"/>
      <c r="E80" s="1" t="n"/>
    </row>
    <row r="81">
      <c r="A81" s="1" t="n"/>
      <c r="B81" s="23" t="n"/>
      <c r="C81" s="25" t="n"/>
      <c r="D81" s="22" t="n"/>
      <c r="E81" s="1" t="n"/>
    </row>
    <row r="82">
      <c r="A82" s="1" t="n"/>
      <c r="B82" s="23" t="n"/>
      <c r="C82" s="25" t="n"/>
      <c r="D82" s="22" t="n"/>
      <c r="E82" s="1" t="n"/>
    </row>
    <row r="83">
      <c r="A83" s="1" t="n"/>
      <c r="B83" s="23" t="n"/>
      <c r="C83" s="25" t="n"/>
      <c r="D83" s="22" t="n"/>
      <c r="E83" s="1" t="n"/>
    </row>
    <row r="84">
      <c r="A84" s="1" t="n"/>
      <c r="B84" s="23" t="n"/>
      <c r="C84" s="25" t="n"/>
      <c r="D84" s="22" t="n"/>
      <c r="E84" s="1" t="n"/>
    </row>
    <row r="85">
      <c r="A85" s="1" t="n"/>
      <c r="B85" s="23" t="n"/>
      <c r="C85" s="25" t="n"/>
      <c r="D85" s="22" t="n"/>
      <c r="E85" s="1" t="n"/>
    </row>
    <row r="86">
      <c r="A86" s="1" t="n"/>
      <c r="B86" s="23" t="n"/>
      <c r="C86" s="25" t="n"/>
      <c r="D86" s="22" t="n"/>
      <c r="E86" s="1" t="n"/>
    </row>
    <row r="87">
      <c r="A87" s="1" t="n"/>
      <c r="B87" s="23" t="n"/>
      <c r="C87" s="25" t="n"/>
      <c r="D87" s="22" t="n"/>
      <c r="E87" s="1" t="n"/>
    </row>
    <row r="88">
      <c r="A88" s="1" t="n"/>
      <c r="B88" s="23" t="n"/>
      <c r="C88" s="25" t="n"/>
      <c r="D88" s="22" t="n"/>
      <c r="E88" s="1" t="n"/>
    </row>
    <row r="89">
      <c r="A89" s="1" t="n"/>
      <c r="B89" s="23" t="n"/>
      <c r="C89" s="25" t="n"/>
      <c r="D89" s="22" t="n"/>
      <c r="E89" s="1" t="n"/>
    </row>
    <row r="90">
      <c r="A90" s="1" t="n"/>
      <c r="B90" s="23" t="n"/>
      <c r="C90" s="25" t="n"/>
      <c r="D90" s="22" t="n"/>
      <c r="E90" s="1" t="n"/>
    </row>
    <row r="91">
      <c r="A91" s="1" t="n"/>
      <c r="B91" s="23" t="n"/>
      <c r="C91" s="25" t="n"/>
      <c r="D91" s="22" t="n"/>
      <c r="E91" s="1" t="n"/>
    </row>
    <row r="92">
      <c r="A92" s="1" t="n"/>
      <c r="B92" s="23" t="n"/>
      <c r="C92" s="25" t="n"/>
      <c r="D92" s="22" t="n"/>
      <c r="E92" s="1" t="n"/>
    </row>
    <row r="93">
      <c r="A93" s="1" t="n"/>
      <c r="B93" s="23" t="n"/>
      <c r="C93" s="25" t="n"/>
      <c r="D93" s="22" t="n"/>
      <c r="E93" s="1" t="n"/>
    </row>
    <row r="94">
      <c r="A94" s="1" t="n"/>
      <c r="B94" s="23" t="n"/>
      <c r="C94" s="25" t="n"/>
      <c r="D94" s="22" t="n"/>
      <c r="E94" s="1" t="n"/>
    </row>
    <row r="95">
      <c r="A95" s="1" t="n"/>
      <c r="B95" s="23" t="n"/>
      <c r="C95" s="25" t="n"/>
      <c r="D95" s="22" t="n"/>
      <c r="E95" s="1" t="n"/>
    </row>
    <row r="96">
      <c r="A96" s="1" t="n"/>
      <c r="B96" s="23" t="n"/>
      <c r="C96" s="25" t="n"/>
      <c r="D96" s="22" t="n"/>
      <c r="E96" s="1" t="n"/>
    </row>
    <row r="97">
      <c r="A97" s="1" t="n"/>
      <c r="B97" s="23" t="n"/>
      <c r="C97" s="25" t="n"/>
      <c r="D97" s="22" t="n"/>
      <c r="E97" s="1" t="n"/>
    </row>
    <row r="98">
      <c r="A98" s="1" t="n"/>
      <c r="B98" s="23" t="n"/>
      <c r="C98" s="25" t="n"/>
      <c r="D98" s="22" t="n"/>
      <c r="E98" s="1" t="n"/>
    </row>
    <row r="99">
      <c r="A99" s="1" t="n"/>
      <c r="B99" s="23" t="n"/>
      <c r="C99" s="25" t="n"/>
      <c r="D99" s="22" t="n"/>
      <c r="E99" s="1" t="n"/>
    </row>
    <row r="100">
      <c r="A100" s="1" t="n"/>
      <c r="B100" s="23" t="n"/>
      <c r="C100" s="25" t="n"/>
      <c r="D100" s="22" t="n"/>
      <c r="E100" s="1" t="n"/>
    </row>
    <row r="101">
      <c r="A101" s="1" t="n"/>
      <c r="B101" s="23" t="n"/>
      <c r="C101" s="25" t="n"/>
      <c r="D101" s="22" t="n"/>
      <c r="E101" s="1" t="n"/>
    </row>
    <row r="102">
      <c r="A102" s="1" t="n"/>
      <c r="B102" s="23" t="n"/>
      <c r="C102" s="25" t="n"/>
      <c r="D102" s="22" t="n"/>
      <c r="E102" s="1" t="n"/>
    </row>
    <row r="103">
      <c r="A103" s="1" t="n"/>
      <c r="B103" s="23" t="n"/>
      <c r="C103" s="25" t="n"/>
      <c r="D103" s="22" t="n"/>
      <c r="E103" s="1" t="n"/>
    </row>
    <row r="104">
      <c r="A104" s="1" t="n"/>
      <c r="B104" s="23" t="n"/>
      <c r="C104" s="25" t="n"/>
      <c r="D104" s="22" t="n"/>
      <c r="E104" s="1" t="n"/>
    </row>
    <row r="105">
      <c r="A105" s="1" t="n"/>
      <c r="B105" s="23" t="n"/>
      <c r="C105" s="25" t="n"/>
      <c r="D105" s="22" t="n"/>
      <c r="E105" s="1" t="n"/>
    </row>
    <row r="106">
      <c r="A106" s="1" t="n"/>
      <c r="B106" s="1" t="n"/>
      <c r="C106" s="1" t="n"/>
      <c r="D106" s="1" t="n"/>
      <c r="E106" s="1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here: 5 minutes</t>
        </is>
      </c>
      <c r="C2" s="1" t="n"/>
      <c r="D2" s="1" t="n"/>
    </row>
    <row r="3">
      <c r="A3" s="1" t="n"/>
      <c r="B3" s="3" t="inlineStr">
        <is>
          <t>Only type in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27" t="inlineStr">
        <is>
          <t>1</t>
        </is>
      </c>
      <c r="C5" s="28" t="inlineStr">
        <is>
          <t>Settings: the year, and the share of profit you put aside for tax (ask your accountant; 25-30% is cautious).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27" t="inlineStr">
        <is>
          <t>2</t>
        </is>
      </c>
      <c r="C7" s="28" t="inlineStr">
        <is>
          <t>Income: one line per invoice. Fill 'Paid on' when the money arrives. Late invoices turn red.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27" t="inlineStr">
        <is>
          <t>3</t>
        </is>
      </c>
      <c r="C9" s="28" t="inlineStr">
        <is>
          <t>Expenses: one line per business purchase. Tick 'Receipt?' when you have the receipt.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27" t="inlineStr">
        <is>
          <t>4</t>
        </is>
      </c>
      <c r="C11" s="28" t="inlineStr">
        <is>
          <t>Tax Savings: each time you move money aside for tax, add a line.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27" t="inlineStr">
        <is>
          <t>★</t>
        </is>
      </c>
      <c r="C13" s="28" t="inlineStr">
        <is>
          <t>Dashboard: profit, what to put aside, what is still missing, quarter by quarter.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1" t="n"/>
      <c r="C17" s="3" t="inlineStr">
        <is>
          <t>This is a tracking tool, not tax advice. Tax rules differ by country: check your rate with an accountant.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3" t="inlineStr">
        <is>
          <t>Works in Google Sheets and Microsoft Excel. Example lines show how it works: delete them and add yours.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2026-09-28T09:55:07Z</dcterms:created>
  <dcterms:modified xsi:type="dcterms:W3CDTF">2026-09-28T09:55:07Z</dcterms:modified>
</cp:coreProperties>
</file>