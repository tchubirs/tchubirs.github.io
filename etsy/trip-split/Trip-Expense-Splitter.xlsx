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etup" sheetId="2" state="visible" r:id="rId2"/>
    <sheet name="Expenses" sheetId="3" state="visible" r:id="rId3"/>
    <sheet name="Start He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00"/>
    <numFmt numFmtId="165" formatCode="yyyy-mm-dd"/>
    <numFmt numFmtId="166" formatCode="DD MMM YYYY"/>
    <numFmt numFmtId="167" formatCode="0.##"/>
    <numFmt numFmtId="168" formatCode="#,##0.00;[Red]-#,##0.00"/>
    <numFmt numFmtId="169" formatCode="ddd d mmm"/>
  </numFmts>
  <fonts count="12">
    <font>
      <name val="Calibri"/>
      <family val="2"/>
      <color theme="1"/>
      <sz val="11"/>
      <scheme val="minor"/>
    </font>
    <font>
      <name val="Arial"/>
      <b val="1"/>
      <color rgb="0015525A"/>
      <sz val="22"/>
    </font>
    <font>
      <name val="Arial"/>
      <i val="1"/>
      <color rgb="006B7B80"/>
      <sz val="11"/>
    </font>
    <font>
      <name val="Arial"/>
      <b val="1"/>
      <color rgb="001E2A2F"/>
      <sz val="11"/>
    </font>
    <font>
      <name val="Arial"/>
      <b val="1"/>
      <color rgb="00FFFFFF"/>
      <sz val="11"/>
    </font>
    <font>
      <name val="Arial"/>
      <color rgb="001E2A2F"/>
      <sz val="11"/>
    </font>
    <font>
      <name val="Arial"/>
      <i val="1"/>
      <color rgb="006B7B80"/>
      <sz val="10"/>
    </font>
    <font>
      <name val="Arial"/>
      <b val="1"/>
      <color rgb="006B7B80"/>
      <sz val="10"/>
    </font>
    <font>
      <name val="Arial"/>
      <b val="1"/>
      <color rgb="001F6F78"/>
      <sz val="16"/>
    </font>
    <font>
      <name val="Arial"/>
      <i val="1"/>
      <color rgb="006B7B80"/>
      <sz val="9"/>
    </font>
    <font>
      <name val="Arial"/>
      <b val="1"/>
      <color rgb="001F6F78"/>
      <sz val="18"/>
    </font>
    <font>
      <name val="Arial"/>
      <color rgb="001E2A2F"/>
      <sz val="13"/>
    </font>
  </fonts>
  <fills count="5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FF4C2"/>
        <bgColor rgb="00FFF4C2"/>
      </patternFill>
    </fill>
    <fill>
      <patternFill patternType="solid">
        <fgColor rgb="001F6F78"/>
        <bgColor rgb="001F6F78"/>
      </patternFill>
    </fill>
  </fills>
  <borders count="5">
    <border>
      <left/>
      <right/>
      <top/>
      <bottom/>
      <diagonal/>
    </border>
    <border>
      <left style="thin">
        <color rgb="00D5DBDB"/>
      </left>
      <right style="thin">
        <color rgb="00D5DBDB"/>
      </right>
      <top style="thin">
        <color rgb="00D5DBDB"/>
      </top>
      <bottom style="thin">
        <color rgb="00D5DBDB"/>
      </bottom>
    </border>
    <border>
      <left/>
      <right/>
      <top style="thin">
        <color rgb="00D5DBDB"/>
      </top>
      <bottom/>
      <diagonal/>
    </border>
    <border>
      <left/>
      <right style="thin">
        <color rgb="00D5DBDB"/>
      </right>
      <top style="thin">
        <color rgb="00D5DBDB"/>
      </top>
      <bottom/>
      <diagonal/>
    </border>
    <border>
      <left/>
      <right style="thin">
        <color rgb="00D5DBDB"/>
      </right>
      <top style="thin">
        <color rgb="00D5DBDB"/>
      </top>
      <bottom style="thin">
        <color rgb="00D5DBDB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7" fillId="2" borderId="0" pivotButton="0" quotePrefix="0" xfId="0"/>
    <xf numFmtId="0" fontId="7" fillId="2" borderId="1" pivotButton="0" quotePrefix="0" xfId="0"/>
    <xf numFmtId="4" fontId="8" fillId="2" borderId="1" applyAlignment="1" pivotButton="0" quotePrefix="0" xfId="0">
      <alignment horizontal="right"/>
    </xf>
    <xf numFmtId="1" fontId="8" fillId="2" borderId="1" applyAlignment="1" pivotButton="0" quotePrefix="0" xfId="0">
      <alignment horizontal="right"/>
    </xf>
    <xf numFmtId="0" fontId="4" fillId="4" borderId="1" applyAlignment="1" pivotButton="0" quotePrefix="0" xfId="0">
      <alignment horizontal="center" vertical="center" wrapText="1"/>
    </xf>
    <xf numFmtId="0" fontId="3" fillId="2" borderId="1" pivotButton="0" quotePrefix="0" xfId="0"/>
    <xf numFmtId="4" fontId="5" fillId="2" borderId="1" pivotButton="0" quotePrefix="0" xfId="0"/>
    <xf numFmtId="168" fontId="3" fillId="2" borderId="1" pivotButton="0" quotePrefix="0" xfId="0"/>
    <xf numFmtId="0" fontId="5" fillId="2" borderId="1" pivotButton="0" quotePrefix="0" xfId="0"/>
    <xf numFmtId="0" fontId="9" fillId="2" borderId="0" pivotButton="0" quotePrefix="0" xfId="0"/>
    <xf numFmtId="9" fontId="5" fillId="2" borderId="1" applyAlignment="1" pivotButton="0" quotePrefix="0" xfId="0">
      <alignment horizontal="center" vertical="center"/>
    </xf>
    <xf numFmtId="169" fontId="5" fillId="2" borderId="1" applyAlignment="1" pivotButton="0" quotePrefix="0" xfId="0">
      <alignment horizontal="center" vertical="center"/>
    </xf>
    <xf numFmtId="0" fontId="3" fillId="2" borderId="0" pivotButton="0" quotePrefix="0" xfId="0"/>
    <xf numFmtId="0" fontId="3" fillId="3" borderId="1" pivotButton="0" quotePrefix="0" xfId="0"/>
    <xf numFmtId="0" fontId="0" fillId="0" borderId="4" pivotButton="0" quotePrefix="0" xfId="0"/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0" fontId="6" fillId="2" borderId="0" pivotButton="0" quotePrefix="0" xfId="0"/>
    <xf numFmtId="164" fontId="5" fillId="3" borderId="1" applyAlignment="1" pivotButton="0" quotePrefix="0" xfId="0">
      <alignment horizontal="center" vertical="center"/>
    </xf>
    <xf numFmtId="166" fontId="5" fillId="3" borderId="1" pivotButton="0" quotePrefix="0" xfId="0"/>
    <xf numFmtId="0" fontId="5" fillId="3" borderId="1" pivotButton="0" quotePrefix="0" xfId="0"/>
    <xf numFmtId="4" fontId="5" fillId="3" borderId="1" pivotButton="0" quotePrefix="0" xfId="0"/>
    <xf numFmtId="0" fontId="5" fillId="3" borderId="1" applyAlignment="1" pivotButton="0" quotePrefix="0" xfId="0">
      <alignment horizontal="center" vertical="center"/>
    </xf>
    <xf numFmtId="167" fontId="5" fillId="3" borderId="1" applyAlignment="1" pivotButton="0" quotePrefix="0" xfId="0">
      <alignment horizontal="center" vertical="center"/>
    </xf>
    <xf numFmtId="4" fontId="3" fillId="2" borderId="1" pivotButton="0" quotePrefix="0" xfId="0"/>
    <xf numFmtId="0" fontId="5" fillId="2" borderId="1" applyAlignment="1" pivotButton="0" quotePrefix="0" xfId="0">
      <alignment horizontal="center" vertical="center"/>
    </xf>
    <xf numFmtId="0" fontId="10" fillId="2" borderId="0" pivotButton="0" quotePrefix="0" xfId="0"/>
    <xf numFmtId="0" fontId="11" fillId="2" borderId="0" pivotButton="0" quotePrefix="0" xfId="0"/>
  </cellXfs>
  <cellStyles count="1">
    <cellStyle name="Normal" xfId="0" builtinId="0" hidden="0"/>
  </cellStyles>
  <dxfs count="6">
    <dxf>
      <fill>
        <patternFill patternType="solid">
          <fgColor rgb="00D8F0DC"/>
          <bgColor rgb="00D8F0DC"/>
        </patternFill>
      </fill>
    </dxf>
    <dxf>
      <fill>
        <patternFill patternType="solid">
          <fgColor rgb="00FFE2B8"/>
          <bgColor rgb="00FFE2B8"/>
        </patternFill>
      </fill>
    </dxf>
    <dxf>
      <fill>
        <patternFill patternType="solid">
          <fgColor rgb="00EEF1F1"/>
          <bgColor rgb="00EEF1F1"/>
        </patternFill>
      </fill>
    </dxf>
    <dxf>
      <font>
        <name val="Arial"/>
        <b val="1"/>
        <color rgb="0015525A"/>
      </font>
      <fill>
        <patternFill patternType="solid">
          <fgColor rgb="00CFE8E4"/>
          <bgColor rgb="00CFE8E4"/>
        </patternFill>
      </fill>
    </dxf>
    <dxf>
      <font>
        <name val="Arial"/>
        <i val="1"/>
        <color rgb="006B7B80"/>
      </font>
    </dxf>
    <dxf>
      <fill>
        <patternFill patternType="solid">
          <fgColor rgb="00F9C9C4"/>
          <bgColor rgb="00F9C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Spent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'Dashboard'!C25</f>
            </strRef>
          </tx>
          <spPr>
            <a:solidFill>
              <a:srgbClr val="1F6F78"/>
            </a:solidFill>
            <a:ln>
              <a:prstDash val="solid"/>
            </a:ln>
          </spPr>
          <cat>
            <numRef>
              <f>'Dashboard'!$B$26:$B$31</f>
            </numRef>
          </cat>
          <val>
            <numRef>
              <f>'Dashboard'!$C$26:$C$31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24</row>
      <rowOff>0</rowOff>
    </from>
    <ext cx="3960000" cy="21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L7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3" customWidth="1" min="3" max="3"/>
    <col width="13" customWidth="1" min="4" max="4"/>
    <col width="13" customWidth="1" min="5" max="5"/>
    <col width="24" customWidth="1" min="6" max="6"/>
    <col width="3" customWidth="1" min="7" max="7"/>
    <col width="26" customWidth="1" min="8" max="8"/>
    <col width="13" customWidth="1" min="9" max="9"/>
    <col width="3" customWidth="1" min="10" max="10"/>
    <col width="13" customWidth="1" min="11" max="11"/>
    <col width="11" customWidth="1" min="12" max="12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32" customHeight="1">
      <c r="A2" s="1" t="n"/>
      <c r="B2" s="2">
        <f>"Trip expenses: "&amp;Setup!$D$4</f>
        <v/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>
      <c r="A3" s="1" t="n"/>
      <c r="B3" s="3" t="inlineStr">
        <is>
          <t>Who paid what, what everyone's share came to, and who pays whom to settle up.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</row>
    <row r="4">
      <c r="A4" s="1" t="n"/>
      <c r="B4" s="4">
        <f>"All amounts in "&amp;Setup!$D$5</f>
        <v/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</row>
    <row r="6">
      <c r="A6" s="1" t="n"/>
      <c r="B6" s="5" t="inlineStr">
        <is>
          <t>Spent in total</t>
        </is>
      </c>
      <c r="C6" s="5" t="inlineStr">
        <is>
          <t>Per person</t>
        </is>
      </c>
      <c r="D6" s="5" t="inlineStr">
        <is>
          <t>Per day</t>
        </is>
      </c>
      <c r="E6" s="5" t="inlineStr">
        <is>
          <t>Days</t>
        </is>
      </c>
      <c r="F6" s="5" t="inlineStr">
        <is>
          <t>Expenses</t>
        </is>
      </c>
      <c r="G6" s="1" t="n"/>
      <c r="H6" s="1" t="n"/>
      <c r="I6" s="1" t="n"/>
      <c r="J6" s="1" t="n"/>
      <c r="K6" s="1" t="n"/>
      <c r="L6" s="1" t="n"/>
      <c r="M6" s="1" t="n"/>
    </row>
    <row r="7" ht="34" customHeight="1">
      <c r="A7" s="1" t="n"/>
      <c r="B7" s="6">
        <f>SUMIFS(Expenses!$T$6:$T$505,Expenses!$D$6:$D$505,"&lt;&gt;Paying back")</f>
        <v/>
      </c>
      <c r="C7" s="6">
        <f>IF(COUNTIF(Setup!$B$9:$B$20,"?*")=0,"",SUMIFS(Expenses!$T$6:$T$505,Expenses!$D$6:$D$505,"&lt;&gt;Paying back")/COUNTIF(Setup!$B$9:$B$20,"?*"))</f>
        <v/>
      </c>
      <c r="D7" s="6">
        <f>IF(MIN(Expenses!$B$6:$B$505)=0,"",SUMIFS(Expenses!$T$6:$T$505,Expenses!$D$6:$D$505,"&lt;&gt;Paying back")/(MAX(Expenses!$B$6:$B$505)-MIN(Expenses!$B$6:$B$505)+1))</f>
        <v/>
      </c>
      <c r="E7" s="7">
        <f>IF(MIN(Expenses!$B$6:$B$505)=0,"",MAX(Expenses!$B$6:$B$505)-MIN(Expenses!$B$6:$B$505)+1)</f>
        <v/>
      </c>
      <c r="F7" s="7">
        <f>COUNTIFS(Expenses!$T$6:$T$505,"&gt;0")</f>
        <v/>
      </c>
      <c r="G7" s="1" t="n"/>
      <c r="H7" s="1" t="n"/>
      <c r="I7" s="1" t="n"/>
      <c r="J7" s="1" t="n"/>
      <c r="K7" s="1" t="n"/>
      <c r="L7" s="1" t="n"/>
      <c r="M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</row>
    <row r="9" ht="30" customHeight="1">
      <c r="A9" s="1" t="n"/>
      <c r="B9" s="8" t="inlineStr">
        <is>
          <t>Person</t>
        </is>
      </c>
      <c r="C9" s="8" t="inlineStr">
        <is>
          <t>Paid</t>
        </is>
      </c>
      <c r="D9" s="8" t="inlineStr">
        <is>
          <t>Share of costs</t>
        </is>
      </c>
      <c r="E9" s="8" t="inlineStr">
        <is>
          <t>Balance</t>
        </is>
      </c>
      <c r="F9" s="8" t="inlineStr">
        <is>
          <t>Status</t>
        </is>
      </c>
      <c r="G9" s="1" t="n"/>
      <c r="H9" s="8" t="inlineStr">
        <is>
          <t>Settle up</t>
        </is>
      </c>
      <c r="I9" s="8" t="inlineStr">
        <is>
          <t>Amount</t>
        </is>
      </c>
      <c r="J9" s="1" t="n"/>
      <c r="K9" s="1" t="n"/>
      <c r="L9" s="1" t="n"/>
      <c r="M9" s="1" t="n"/>
    </row>
    <row r="10">
      <c r="A10" s="1" t="n"/>
      <c r="B10" s="9">
        <f>IF(Setup!B9="","",Setup!B9)</f>
        <v/>
      </c>
      <c r="C10" s="10">
        <f>IF(B10="","",SUMIFS(Expenses!$T$6:$T$505,Expenses!$G$6:$G$505,B10))</f>
        <v/>
      </c>
      <c r="D10" s="10">
        <f>IF(B10="","",SUMIFS(Expenses!$W$6:$W$505,Expenses!$D$6:$D$505,"&lt;&gt;Paying back"))</f>
        <v/>
      </c>
      <c r="E10" s="11">
        <f>IF(B10="","",ROUND(C10-SUM(Expenses!$W$6:$W$505),2))</f>
        <v/>
      </c>
      <c r="F10" s="12">
        <f>IF(B10="","",IF(ABS(E10)&lt;0.005,"Settled",IF(E10&gt;0,"Gets back "&amp;FIXED(E10,2),"Owes "&amp;FIXED(-E10,2))))</f>
        <v/>
      </c>
      <c r="G10" s="1" t="n"/>
      <c r="H10" s="9">
        <f>IF(N(AA75)&lt;0.01,"Everyone is settled",INDEX($B$10:$B$21,AA77)&amp;" pays "&amp;INDEX($B$10:$B$21,AA76))</f>
        <v/>
      </c>
      <c r="I10" s="10">
        <f>IF(N(AA75)&lt;0.01,"",AA75)</f>
        <v/>
      </c>
      <c r="J10" s="1" t="n"/>
      <c r="K10" s="1" t="n"/>
      <c r="L10" s="1" t="n"/>
      <c r="M10" s="1" t="n"/>
    </row>
    <row r="11">
      <c r="A11" s="1" t="n"/>
      <c r="B11" s="9">
        <f>IF(Setup!B10="","",Setup!B10)</f>
        <v/>
      </c>
      <c r="C11" s="10">
        <f>IF(B11="","",SUMIFS(Expenses!$T$6:$T$505,Expenses!$G$6:$G$505,B11))</f>
        <v/>
      </c>
      <c r="D11" s="10">
        <f>IF(B11="","",SUMIFS(Expenses!$X$6:$X$505,Expenses!$D$6:$D$505,"&lt;&gt;Paying back"))</f>
        <v/>
      </c>
      <c r="E11" s="11">
        <f>IF(B11="","",ROUND(C11-SUM(Expenses!$X$6:$X$505),2))</f>
        <v/>
      </c>
      <c r="F11" s="12">
        <f>IF(B11="","",IF(ABS(E11)&lt;0.005,"Settled",IF(E11&gt;0,"Gets back "&amp;FIXED(E11,2),"Owes "&amp;FIXED(-E11,2))))</f>
        <v/>
      </c>
      <c r="G11" s="1" t="n"/>
      <c r="H11" s="9">
        <f>IF(N(AB75)&lt;0.01,"",INDEX($B$10:$B$21,AB77)&amp;" pays "&amp;INDEX($B$10:$B$21,AB76))</f>
        <v/>
      </c>
      <c r="I11" s="10">
        <f>IF(N(AB75)&lt;0.01,"",AB75)</f>
        <v/>
      </c>
      <c r="J11" s="1" t="n"/>
      <c r="K11" s="1" t="n"/>
      <c r="L11" s="1" t="n"/>
      <c r="M11" s="1" t="n"/>
    </row>
    <row r="12">
      <c r="A12" s="1" t="n"/>
      <c r="B12" s="9">
        <f>IF(Setup!B11="","",Setup!B11)</f>
        <v/>
      </c>
      <c r="C12" s="10">
        <f>IF(B12="","",SUMIFS(Expenses!$T$6:$T$505,Expenses!$G$6:$G$505,B12))</f>
        <v/>
      </c>
      <c r="D12" s="10">
        <f>IF(B12="","",SUMIFS(Expenses!$Y$6:$Y$505,Expenses!$D$6:$D$505,"&lt;&gt;Paying back"))</f>
        <v/>
      </c>
      <c r="E12" s="11">
        <f>IF(B12="","",ROUND(C12-SUM(Expenses!$Y$6:$Y$505),2))</f>
        <v/>
      </c>
      <c r="F12" s="12">
        <f>IF(B12="","",IF(ABS(E12)&lt;0.005,"Settled",IF(E12&gt;0,"Gets back "&amp;FIXED(E12,2),"Owes "&amp;FIXED(-E12,2))))</f>
        <v/>
      </c>
      <c r="G12" s="1" t="n"/>
      <c r="H12" s="9">
        <f>IF(N(AC75)&lt;0.01,"",INDEX($B$10:$B$21,AC77)&amp;" pays "&amp;INDEX($B$10:$B$21,AC76))</f>
        <v/>
      </c>
      <c r="I12" s="10">
        <f>IF(N(AC75)&lt;0.01,"",AC75)</f>
        <v/>
      </c>
      <c r="J12" s="1" t="n"/>
      <c r="K12" s="1" t="n"/>
      <c r="L12" s="1" t="n"/>
      <c r="M12" s="1" t="n"/>
    </row>
    <row r="13">
      <c r="A13" s="1" t="n"/>
      <c r="B13" s="9">
        <f>IF(Setup!B12="","",Setup!B12)</f>
        <v/>
      </c>
      <c r="C13" s="10">
        <f>IF(B13="","",SUMIFS(Expenses!$T$6:$T$505,Expenses!$G$6:$G$505,B13))</f>
        <v/>
      </c>
      <c r="D13" s="10">
        <f>IF(B13="","",SUMIFS(Expenses!$Z$6:$Z$505,Expenses!$D$6:$D$505,"&lt;&gt;Paying back"))</f>
        <v/>
      </c>
      <c r="E13" s="11">
        <f>IF(B13="","",ROUND(C13-SUM(Expenses!$Z$6:$Z$505),2))</f>
        <v/>
      </c>
      <c r="F13" s="12">
        <f>IF(B13="","",IF(ABS(E13)&lt;0.005,"Settled",IF(E13&gt;0,"Gets back "&amp;FIXED(E13,2),"Owes "&amp;FIXED(-E13,2))))</f>
        <v/>
      </c>
      <c r="G13" s="1" t="n"/>
      <c r="H13" s="9">
        <f>IF(N(AD75)&lt;0.01,"",INDEX($B$10:$B$21,AD77)&amp;" pays "&amp;INDEX($B$10:$B$21,AD76))</f>
        <v/>
      </c>
      <c r="I13" s="10">
        <f>IF(N(AD75)&lt;0.01,"",AD75)</f>
        <v/>
      </c>
      <c r="J13" s="1" t="n"/>
      <c r="K13" s="1" t="n"/>
      <c r="L13" s="1" t="n"/>
      <c r="M13" s="1" t="n"/>
    </row>
    <row r="14">
      <c r="A14" s="1" t="n"/>
      <c r="B14" s="9">
        <f>IF(Setup!B13="","",Setup!B13)</f>
        <v/>
      </c>
      <c r="C14" s="10">
        <f>IF(B14="","",SUMIFS(Expenses!$T$6:$T$505,Expenses!$G$6:$G$505,B14))</f>
        <v/>
      </c>
      <c r="D14" s="10">
        <f>IF(B14="","",SUMIFS(Expenses!$AA$6:$AA$505,Expenses!$D$6:$D$505,"&lt;&gt;Paying back"))</f>
        <v/>
      </c>
      <c r="E14" s="11">
        <f>IF(B14="","",ROUND(C14-SUM(Expenses!$AA$6:$AA$505),2))</f>
        <v/>
      </c>
      <c r="F14" s="12">
        <f>IF(B14="","",IF(ABS(E14)&lt;0.005,"Settled",IF(E14&gt;0,"Gets back "&amp;FIXED(E14,2),"Owes "&amp;FIXED(-E14,2))))</f>
        <v/>
      </c>
      <c r="G14" s="1" t="n"/>
      <c r="H14" s="9">
        <f>IF(N(AE75)&lt;0.01,"",INDEX($B$10:$B$21,AE77)&amp;" pays "&amp;INDEX($B$10:$B$21,AE76))</f>
        <v/>
      </c>
      <c r="I14" s="10">
        <f>IF(N(AE75)&lt;0.01,"",AE75)</f>
        <v/>
      </c>
      <c r="J14" s="1" t="n"/>
      <c r="K14" s="1" t="n"/>
      <c r="L14" s="1" t="n"/>
      <c r="M14" s="1" t="n"/>
    </row>
    <row r="15">
      <c r="A15" s="1" t="n"/>
      <c r="B15" s="9">
        <f>IF(Setup!B14="","",Setup!B14)</f>
        <v/>
      </c>
      <c r="C15" s="10">
        <f>IF(B15="","",SUMIFS(Expenses!$T$6:$T$505,Expenses!$G$6:$G$505,B15))</f>
        <v/>
      </c>
      <c r="D15" s="10">
        <f>IF(B15="","",SUMIFS(Expenses!$AB$6:$AB$505,Expenses!$D$6:$D$505,"&lt;&gt;Paying back"))</f>
        <v/>
      </c>
      <c r="E15" s="11">
        <f>IF(B15="","",ROUND(C15-SUM(Expenses!$AB$6:$AB$505),2))</f>
        <v/>
      </c>
      <c r="F15" s="12">
        <f>IF(B15="","",IF(ABS(E15)&lt;0.005,"Settled",IF(E15&gt;0,"Gets back "&amp;FIXED(E15,2),"Owes "&amp;FIXED(-E15,2))))</f>
        <v/>
      </c>
      <c r="G15" s="1" t="n"/>
      <c r="H15" s="9">
        <f>IF(N(AF75)&lt;0.01,"",INDEX($B$10:$B$21,AF77)&amp;" pays "&amp;INDEX($B$10:$B$21,AF76))</f>
        <v/>
      </c>
      <c r="I15" s="10">
        <f>IF(N(AF75)&lt;0.01,"",AF75)</f>
        <v/>
      </c>
      <c r="J15" s="1" t="n"/>
      <c r="K15" s="1" t="n"/>
      <c r="L15" s="1" t="n"/>
      <c r="M15" s="1" t="n"/>
    </row>
    <row r="16">
      <c r="A16" s="1" t="n"/>
      <c r="B16" s="9">
        <f>IF(Setup!B15="","",Setup!B15)</f>
        <v/>
      </c>
      <c r="C16" s="10">
        <f>IF(B16="","",SUMIFS(Expenses!$T$6:$T$505,Expenses!$G$6:$G$505,B16))</f>
        <v/>
      </c>
      <c r="D16" s="10">
        <f>IF(B16="","",SUMIFS(Expenses!$AC$6:$AC$505,Expenses!$D$6:$D$505,"&lt;&gt;Paying back"))</f>
        <v/>
      </c>
      <c r="E16" s="11">
        <f>IF(B16="","",ROUND(C16-SUM(Expenses!$AC$6:$AC$505),2))</f>
        <v/>
      </c>
      <c r="F16" s="12">
        <f>IF(B16="","",IF(ABS(E16)&lt;0.005,"Settled",IF(E16&gt;0,"Gets back "&amp;FIXED(E16,2),"Owes "&amp;FIXED(-E16,2))))</f>
        <v/>
      </c>
      <c r="G16" s="1" t="n"/>
      <c r="H16" s="9">
        <f>IF(N(AG75)&lt;0.01,"",INDEX($B$10:$B$21,AG77)&amp;" pays "&amp;INDEX($B$10:$B$21,AG76))</f>
        <v/>
      </c>
      <c r="I16" s="10">
        <f>IF(N(AG75)&lt;0.01,"",AG75)</f>
        <v/>
      </c>
      <c r="J16" s="1" t="n"/>
      <c r="K16" s="1" t="n"/>
      <c r="L16" s="1" t="n"/>
      <c r="M16" s="1" t="n"/>
    </row>
    <row r="17">
      <c r="A17" s="1" t="n"/>
      <c r="B17" s="9">
        <f>IF(Setup!B16="","",Setup!B16)</f>
        <v/>
      </c>
      <c r="C17" s="10">
        <f>IF(B17="","",SUMIFS(Expenses!$T$6:$T$505,Expenses!$G$6:$G$505,B17))</f>
        <v/>
      </c>
      <c r="D17" s="10">
        <f>IF(B17="","",SUMIFS(Expenses!$AD$6:$AD$505,Expenses!$D$6:$D$505,"&lt;&gt;Paying back"))</f>
        <v/>
      </c>
      <c r="E17" s="11">
        <f>IF(B17="","",ROUND(C17-SUM(Expenses!$AD$6:$AD$505),2))</f>
        <v/>
      </c>
      <c r="F17" s="12">
        <f>IF(B17="","",IF(ABS(E17)&lt;0.005,"Settled",IF(E17&gt;0,"Gets back "&amp;FIXED(E17,2),"Owes "&amp;FIXED(-E17,2))))</f>
        <v/>
      </c>
      <c r="G17" s="1" t="n"/>
      <c r="H17" s="9">
        <f>IF(N(AH75)&lt;0.01,"",INDEX($B$10:$B$21,AH77)&amp;" pays "&amp;INDEX($B$10:$B$21,AH76))</f>
        <v/>
      </c>
      <c r="I17" s="10">
        <f>IF(N(AH75)&lt;0.01,"",AH75)</f>
        <v/>
      </c>
      <c r="J17" s="1" t="n"/>
      <c r="K17" s="1" t="n"/>
      <c r="L17" s="1" t="n"/>
      <c r="M17" s="1" t="n"/>
    </row>
    <row r="18">
      <c r="A18" s="1" t="n"/>
      <c r="B18" s="9">
        <f>IF(Setup!B17="","",Setup!B17)</f>
        <v/>
      </c>
      <c r="C18" s="10">
        <f>IF(B18="","",SUMIFS(Expenses!$T$6:$T$505,Expenses!$G$6:$G$505,B18))</f>
        <v/>
      </c>
      <c r="D18" s="10">
        <f>IF(B18="","",SUMIFS(Expenses!$AE$6:$AE$505,Expenses!$D$6:$D$505,"&lt;&gt;Paying back"))</f>
        <v/>
      </c>
      <c r="E18" s="11">
        <f>IF(B18="","",ROUND(C18-SUM(Expenses!$AE$6:$AE$505),2))</f>
        <v/>
      </c>
      <c r="F18" s="12">
        <f>IF(B18="","",IF(ABS(E18)&lt;0.005,"Settled",IF(E18&gt;0,"Gets back "&amp;FIXED(E18,2),"Owes "&amp;FIXED(-E18,2))))</f>
        <v/>
      </c>
      <c r="G18" s="1" t="n"/>
      <c r="H18" s="9">
        <f>IF(N(AI75)&lt;0.01,"",INDEX($B$10:$B$21,AI77)&amp;" pays "&amp;INDEX($B$10:$B$21,AI76))</f>
        <v/>
      </c>
      <c r="I18" s="10">
        <f>IF(N(AI75)&lt;0.01,"",AI75)</f>
        <v/>
      </c>
      <c r="J18" s="1" t="n"/>
      <c r="K18" s="1" t="n"/>
      <c r="L18" s="1" t="n"/>
      <c r="M18" s="1" t="n"/>
    </row>
    <row r="19">
      <c r="A19" s="1" t="n"/>
      <c r="B19" s="9">
        <f>IF(Setup!B18="","",Setup!B18)</f>
        <v/>
      </c>
      <c r="C19" s="10">
        <f>IF(B19="","",SUMIFS(Expenses!$T$6:$T$505,Expenses!$G$6:$G$505,B19))</f>
        <v/>
      </c>
      <c r="D19" s="10">
        <f>IF(B19="","",SUMIFS(Expenses!$AF$6:$AF$505,Expenses!$D$6:$D$505,"&lt;&gt;Paying back"))</f>
        <v/>
      </c>
      <c r="E19" s="11">
        <f>IF(B19="","",ROUND(C19-SUM(Expenses!$AF$6:$AF$505),2))</f>
        <v/>
      </c>
      <c r="F19" s="12">
        <f>IF(B19="","",IF(ABS(E19)&lt;0.005,"Settled",IF(E19&gt;0,"Gets back "&amp;FIXED(E19,2),"Owes "&amp;FIXED(-E19,2))))</f>
        <v/>
      </c>
      <c r="G19" s="1" t="n"/>
      <c r="H19" s="9">
        <f>IF(N(AJ75)&lt;0.01,"",INDEX($B$10:$B$21,AJ77)&amp;" pays "&amp;INDEX($B$10:$B$21,AJ76))</f>
        <v/>
      </c>
      <c r="I19" s="10">
        <f>IF(N(AJ75)&lt;0.01,"",AJ75)</f>
        <v/>
      </c>
      <c r="J19" s="1" t="n"/>
      <c r="K19" s="1" t="n"/>
      <c r="L19" s="1" t="n"/>
      <c r="M19" s="1" t="n"/>
    </row>
    <row r="20">
      <c r="A20" s="1" t="n"/>
      <c r="B20" s="9">
        <f>IF(Setup!B19="","",Setup!B19)</f>
        <v/>
      </c>
      <c r="C20" s="10">
        <f>IF(B20="","",SUMIFS(Expenses!$T$6:$T$505,Expenses!$G$6:$G$505,B20))</f>
        <v/>
      </c>
      <c r="D20" s="10">
        <f>IF(B20="","",SUMIFS(Expenses!$AG$6:$AG$505,Expenses!$D$6:$D$505,"&lt;&gt;Paying back"))</f>
        <v/>
      </c>
      <c r="E20" s="11">
        <f>IF(B20="","",ROUND(C20-SUM(Expenses!$AG$6:$AG$505),2))</f>
        <v/>
      </c>
      <c r="F20" s="12">
        <f>IF(B20="","",IF(ABS(E20)&lt;0.005,"Settled",IF(E20&gt;0,"Gets back "&amp;FIXED(E20,2),"Owes "&amp;FIXED(-E20,2))))</f>
        <v/>
      </c>
      <c r="G20" s="1" t="n"/>
      <c r="H20" s="9">
        <f>IF(N(AK75)&lt;0.01,"",INDEX($B$10:$B$21,AK77)&amp;" pays "&amp;INDEX($B$10:$B$21,AK76))</f>
        <v/>
      </c>
      <c r="I20" s="10">
        <f>IF(N(AK75)&lt;0.01,"",AK75)</f>
        <v/>
      </c>
      <c r="J20" s="1" t="n"/>
      <c r="K20" s="1" t="n"/>
      <c r="L20" s="1" t="n"/>
      <c r="M20" s="1" t="n"/>
    </row>
    <row r="21">
      <c r="A21" s="1" t="n"/>
      <c r="B21" s="9">
        <f>IF(Setup!B20="","",Setup!B20)</f>
        <v/>
      </c>
      <c r="C21" s="10">
        <f>IF(B21="","",SUMIFS(Expenses!$T$6:$T$505,Expenses!$G$6:$G$505,B21))</f>
        <v/>
      </c>
      <c r="D21" s="10">
        <f>IF(B21="","",SUMIFS(Expenses!$AH$6:$AH$505,Expenses!$D$6:$D$505,"&lt;&gt;Paying back"))</f>
        <v/>
      </c>
      <c r="E21" s="11">
        <f>IF(B21="","",ROUND(C21-SUM(Expenses!$AH$6:$AH$505),2))</f>
        <v/>
      </c>
      <c r="F21" s="12">
        <f>IF(B21="","",IF(ABS(E21)&lt;0.005,"Settled",IF(E21&gt;0,"Gets back "&amp;FIXED(E21,2),"Owes "&amp;FIXED(-E21,2))))</f>
        <v/>
      </c>
      <c r="G21" s="1" t="n"/>
      <c r="H21" s="1" t="n"/>
      <c r="I21" s="1" t="n"/>
      <c r="J21" s="1" t="n"/>
      <c r="K21" s="1" t="n"/>
      <c r="L21" s="1" t="n"/>
      <c r="M21" s="1" t="n"/>
    </row>
    <row r="22">
      <c r="A22" s="1" t="n"/>
      <c r="B22" s="13" t="inlineStr">
        <is>
          <t>Share of costs leaves out money paid back between you. Balance counts it.</t>
        </is>
      </c>
      <c r="C22" s="1" t="n"/>
      <c r="D22" s="1" t="n"/>
      <c r="E22" s="1" t="n"/>
      <c r="F22" s="1" t="n"/>
      <c r="G22" s="1" t="n"/>
      <c r="H22" s="13" t="inlineStr">
        <is>
          <t>The fewest payments that bring every balance to zero.</t>
        </is>
      </c>
      <c r="I22" s="1" t="n"/>
      <c r="J22" s="1" t="n"/>
      <c r="K22" s="1" t="n"/>
      <c r="L22" s="1" t="n"/>
      <c r="M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</row>
    <row r="25" ht="30" customHeight="1">
      <c r="A25" s="1" t="n"/>
      <c r="B25" s="8" t="inlineStr">
        <is>
          <t>Category</t>
        </is>
      </c>
      <c r="C25" s="8" t="inlineStr">
        <is>
          <t>Spent</t>
        </is>
      </c>
      <c r="D25" s="8" t="inlineStr">
        <is>
          <t>Share</t>
        </is>
      </c>
      <c r="E25" s="1" t="n"/>
      <c r="F25" s="1" t="n"/>
      <c r="G25" s="1" t="n"/>
      <c r="H25" s="1" t="n"/>
      <c r="I25" s="1" t="n"/>
      <c r="J25" s="1" t="n"/>
      <c r="K25" s="8" t="inlineStr">
        <is>
          <t>Day</t>
        </is>
      </c>
      <c r="L25" s="8" t="inlineStr">
        <is>
          <t>Spent</t>
        </is>
      </c>
      <c r="M25" s="1" t="n"/>
    </row>
    <row r="26">
      <c r="A26" s="1" t="n"/>
      <c r="B26" s="9" t="inlineStr">
        <is>
          <t>Lodging</t>
        </is>
      </c>
      <c r="C26" s="10">
        <f>SUMIFS(Expenses!$T$6:$T$505,Expenses!$D$6:$D$505,B26)</f>
        <v/>
      </c>
      <c r="D26" s="14">
        <f>IF(N($B$7)=0,"",C26/$B$7)</f>
        <v/>
      </c>
      <c r="E26" s="1" t="n"/>
      <c r="F26" s="1" t="n"/>
      <c r="G26" s="1" t="n"/>
      <c r="H26" s="1" t="n"/>
      <c r="I26" s="1" t="n"/>
      <c r="J26" s="1" t="n"/>
      <c r="K26" s="15">
        <f>IF(OR(MIN(Expenses!$B$6:$B$505)=0,(MIN(Expenses!$B$6:$B$505)+0)&gt;MAX(Expenses!$B$6:$B$505)),"",(MIN(Expenses!$B$6:$B$505)+0))</f>
        <v/>
      </c>
      <c r="L26" s="10">
        <f>IF(K26="","",SUMIFS(Expenses!$T$6:$T$505,Expenses!$B$6:$B$505,K26,Expenses!$D$6:$D$505,"&lt;&gt;Paying back"))</f>
        <v/>
      </c>
      <c r="M26" s="1" t="n"/>
    </row>
    <row r="27">
      <c r="A27" s="1" t="n"/>
      <c r="B27" s="9" t="inlineStr">
        <is>
          <t>Food</t>
        </is>
      </c>
      <c r="C27" s="10">
        <f>SUMIFS(Expenses!$T$6:$T$505,Expenses!$D$6:$D$505,B27)</f>
        <v/>
      </c>
      <c r="D27" s="14">
        <f>IF(N($B$7)=0,"",C27/$B$7)</f>
        <v/>
      </c>
      <c r="E27" s="1" t="n"/>
      <c r="F27" s="1" t="n"/>
      <c r="G27" s="1" t="n"/>
      <c r="H27" s="1" t="n"/>
      <c r="I27" s="1" t="n"/>
      <c r="J27" s="1" t="n"/>
      <c r="K27" s="15">
        <f>IF(OR(MIN(Expenses!$B$6:$B$505)=0,(MIN(Expenses!$B$6:$B$505)+1)&gt;MAX(Expenses!$B$6:$B$505)),"",(MIN(Expenses!$B$6:$B$505)+1))</f>
        <v/>
      </c>
      <c r="L27" s="10">
        <f>IF(K27="","",SUMIFS(Expenses!$T$6:$T$505,Expenses!$B$6:$B$505,K27,Expenses!$D$6:$D$505,"&lt;&gt;Paying back"))</f>
        <v/>
      </c>
      <c r="M27" s="1" t="n"/>
    </row>
    <row r="28">
      <c r="A28" s="1" t="n"/>
      <c r="B28" s="9" t="inlineStr">
        <is>
          <t>Transport</t>
        </is>
      </c>
      <c r="C28" s="10">
        <f>SUMIFS(Expenses!$T$6:$T$505,Expenses!$D$6:$D$505,B28)</f>
        <v/>
      </c>
      <c r="D28" s="14">
        <f>IF(N($B$7)=0,"",C28/$B$7)</f>
        <v/>
      </c>
      <c r="E28" s="1" t="n"/>
      <c r="F28" s="1" t="n"/>
      <c r="G28" s="1" t="n"/>
      <c r="H28" s="1" t="n"/>
      <c r="I28" s="1" t="n"/>
      <c r="J28" s="1" t="n"/>
      <c r="K28" s="15">
        <f>IF(OR(MIN(Expenses!$B$6:$B$505)=0,(MIN(Expenses!$B$6:$B$505)+2)&gt;MAX(Expenses!$B$6:$B$505)),"",(MIN(Expenses!$B$6:$B$505)+2))</f>
        <v/>
      </c>
      <c r="L28" s="10">
        <f>IF(K28="","",SUMIFS(Expenses!$T$6:$T$505,Expenses!$B$6:$B$505,K28,Expenses!$D$6:$D$505,"&lt;&gt;Paying back"))</f>
        <v/>
      </c>
      <c r="M28" s="1" t="n"/>
    </row>
    <row r="29">
      <c r="A29" s="1" t="n"/>
      <c r="B29" s="9" t="inlineStr">
        <is>
          <t>Activities</t>
        </is>
      </c>
      <c r="C29" s="10">
        <f>SUMIFS(Expenses!$T$6:$T$505,Expenses!$D$6:$D$505,B29)</f>
        <v/>
      </c>
      <c r="D29" s="14">
        <f>IF(N($B$7)=0,"",C29/$B$7)</f>
        <v/>
      </c>
      <c r="E29" s="1" t="n"/>
      <c r="F29" s="1" t="n"/>
      <c r="G29" s="1" t="n"/>
      <c r="H29" s="1" t="n"/>
      <c r="I29" s="1" t="n"/>
      <c r="J29" s="1" t="n"/>
      <c r="K29" s="15">
        <f>IF(OR(MIN(Expenses!$B$6:$B$505)=0,(MIN(Expenses!$B$6:$B$505)+3)&gt;MAX(Expenses!$B$6:$B$505)),"",(MIN(Expenses!$B$6:$B$505)+3))</f>
        <v/>
      </c>
      <c r="L29" s="10">
        <f>IF(K29="","",SUMIFS(Expenses!$T$6:$T$505,Expenses!$B$6:$B$505,K29,Expenses!$D$6:$D$505,"&lt;&gt;Paying back"))</f>
        <v/>
      </c>
      <c r="M29" s="1" t="n"/>
    </row>
    <row r="30">
      <c r="A30" s="1" t="n"/>
      <c r="B30" s="9" t="inlineStr">
        <is>
          <t>Groceries</t>
        </is>
      </c>
      <c r="C30" s="10">
        <f>SUMIFS(Expenses!$T$6:$T$505,Expenses!$D$6:$D$505,B30)</f>
        <v/>
      </c>
      <c r="D30" s="14">
        <f>IF(N($B$7)=0,"",C30/$B$7)</f>
        <v/>
      </c>
      <c r="E30" s="1" t="n"/>
      <c r="F30" s="1" t="n"/>
      <c r="G30" s="1" t="n"/>
      <c r="H30" s="1" t="n"/>
      <c r="I30" s="1" t="n"/>
      <c r="J30" s="1" t="n"/>
      <c r="K30" s="15">
        <f>IF(OR(MIN(Expenses!$B$6:$B$505)=0,(MIN(Expenses!$B$6:$B$505)+4)&gt;MAX(Expenses!$B$6:$B$505)),"",(MIN(Expenses!$B$6:$B$505)+4))</f>
        <v/>
      </c>
      <c r="L30" s="10">
        <f>IF(K30="","",SUMIFS(Expenses!$T$6:$T$505,Expenses!$B$6:$B$505,K30,Expenses!$D$6:$D$505,"&lt;&gt;Paying back"))</f>
        <v/>
      </c>
      <c r="M30" s="1" t="n"/>
    </row>
    <row r="31">
      <c r="A31" s="1" t="n"/>
      <c r="B31" s="9" t="inlineStr">
        <is>
          <t>Other</t>
        </is>
      </c>
      <c r="C31" s="10">
        <f>SUMIFS(Expenses!$T$6:$T$505,Expenses!$D$6:$D$505,B31)</f>
        <v/>
      </c>
      <c r="D31" s="14">
        <f>IF(N($B$7)=0,"",C31/$B$7)</f>
        <v/>
      </c>
      <c r="E31" s="1" t="n"/>
      <c r="F31" s="1" t="n"/>
      <c r="G31" s="1" t="n"/>
      <c r="H31" s="1" t="n"/>
      <c r="I31" s="1" t="n"/>
      <c r="J31" s="1" t="n"/>
      <c r="K31" s="15">
        <f>IF(OR(MIN(Expenses!$B$6:$B$505)=0,(MIN(Expenses!$B$6:$B$505)+5)&gt;MAX(Expenses!$B$6:$B$505)),"",(MIN(Expenses!$B$6:$B$505)+5))</f>
        <v/>
      </c>
      <c r="L31" s="10">
        <f>IF(K31="","",SUMIFS(Expenses!$T$6:$T$505,Expenses!$B$6:$B$505,K31,Expenses!$D$6:$D$505,"&lt;&gt;Paying back"))</f>
        <v/>
      </c>
      <c r="M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5">
        <f>IF(OR(MIN(Expenses!$B$6:$B$505)=0,(MIN(Expenses!$B$6:$B$505)+6)&gt;MAX(Expenses!$B$6:$B$505)),"",(MIN(Expenses!$B$6:$B$505)+6))</f>
        <v/>
      </c>
      <c r="L32" s="10">
        <f>IF(K32="","",SUMIFS(Expenses!$T$6:$T$505,Expenses!$B$6:$B$505,K32,Expenses!$D$6:$D$505,"&lt;&gt;Paying back"))</f>
        <v/>
      </c>
      <c r="M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5">
        <f>IF(OR(MIN(Expenses!$B$6:$B$505)=0,(MIN(Expenses!$B$6:$B$505)+7)&gt;MAX(Expenses!$B$6:$B$505)),"",(MIN(Expenses!$B$6:$B$505)+7))</f>
        <v/>
      </c>
      <c r="L33" s="10">
        <f>IF(K33="","",SUMIFS(Expenses!$T$6:$T$505,Expenses!$B$6:$B$505,K33,Expenses!$D$6:$D$505,"&lt;&gt;Paying back"))</f>
        <v/>
      </c>
      <c r="M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5">
        <f>IF(OR(MIN(Expenses!$B$6:$B$505)=0,(MIN(Expenses!$B$6:$B$505)+8)&gt;MAX(Expenses!$B$6:$B$505)),"",(MIN(Expenses!$B$6:$B$505)+8))</f>
        <v/>
      </c>
      <c r="L34" s="10">
        <f>IF(K34="","",SUMIFS(Expenses!$T$6:$T$505,Expenses!$B$6:$B$505,K34,Expenses!$D$6:$D$505,"&lt;&gt;Paying back"))</f>
        <v/>
      </c>
      <c r="M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5">
        <f>IF(OR(MIN(Expenses!$B$6:$B$505)=0,(MIN(Expenses!$B$6:$B$505)+9)&gt;MAX(Expenses!$B$6:$B$505)),"",(MIN(Expenses!$B$6:$B$505)+9))</f>
        <v/>
      </c>
      <c r="L35" s="10">
        <f>IF(K35="","",SUMIFS(Expenses!$T$6:$T$505,Expenses!$B$6:$B$505,K35,Expenses!$D$6:$D$505,"&lt;&gt;Paying back"))</f>
        <v/>
      </c>
      <c r="M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5">
        <f>IF(OR(MIN(Expenses!$B$6:$B$505)=0,(MIN(Expenses!$B$6:$B$505)+10)&gt;MAX(Expenses!$B$6:$B$505)),"",(MIN(Expenses!$B$6:$B$505)+10))</f>
        <v/>
      </c>
      <c r="L36" s="10">
        <f>IF(K36="","",SUMIFS(Expenses!$T$6:$T$505,Expenses!$B$6:$B$505,K36,Expenses!$D$6:$D$505,"&lt;&gt;Paying back"))</f>
        <v/>
      </c>
      <c r="M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5">
        <f>IF(OR(MIN(Expenses!$B$6:$B$505)=0,(MIN(Expenses!$B$6:$B$505)+11)&gt;MAX(Expenses!$B$6:$B$505)),"",(MIN(Expenses!$B$6:$B$505)+11))</f>
        <v/>
      </c>
      <c r="L37" s="10">
        <f>IF(K37="","",SUMIFS(Expenses!$T$6:$T$505,Expenses!$B$6:$B$505,K37,Expenses!$D$6:$D$505,"&lt;&gt;Paying back"))</f>
        <v/>
      </c>
      <c r="M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5">
        <f>IF(OR(MIN(Expenses!$B$6:$B$505)=0,(MIN(Expenses!$B$6:$B$505)+12)&gt;MAX(Expenses!$B$6:$B$505)),"",(MIN(Expenses!$B$6:$B$505)+12))</f>
        <v/>
      </c>
      <c r="L38" s="10">
        <f>IF(K38="","",SUMIFS(Expenses!$T$6:$T$505,Expenses!$B$6:$B$505,K38,Expenses!$D$6:$D$505,"&lt;&gt;Paying back"))</f>
        <v/>
      </c>
      <c r="M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5">
        <f>IF(OR(MIN(Expenses!$B$6:$B$505)=0,(MIN(Expenses!$B$6:$B$505)+13)&gt;MAX(Expenses!$B$6:$B$505)),"",(MIN(Expenses!$B$6:$B$505)+13))</f>
        <v/>
      </c>
      <c r="L39" s="10">
        <f>IF(K39="","",SUMIFS(Expenses!$T$6:$T$505,Expenses!$B$6:$B$505,K39,Expenses!$D$6:$D$505,"&lt;&gt;Paying back"))</f>
        <v/>
      </c>
      <c r="M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5">
        <f>IF(OR(MIN(Expenses!$B$6:$B$505)=0,(MIN(Expenses!$B$6:$B$505)+14)&gt;MAX(Expenses!$B$6:$B$505)),"",(MIN(Expenses!$B$6:$B$505)+14))</f>
        <v/>
      </c>
      <c r="L40" s="10">
        <f>IF(K40="","",SUMIFS(Expenses!$T$6:$T$505,Expenses!$B$6:$B$505,K40,Expenses!$D$6:$D$505,"&lt;&gt;Paying back"))</f>
        <v/>
      </c>
      <c r="M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5">
        <f>IF(OR(MIN(Expenses!$B$6:$B$505)=0,(MIN(Expenses!$B$6:$B$505)+15)&gt;MAX(Expenses!$B$6:$B$505)),"",(MIN(Expenses!$B$6:$B$505)+15))</f>
        <v/>
      </c>
      <c r="L41" s="10">
        <f>IF(K41="","",SUMIFS(Expenses!$T$6:$T$505,Expenses!$B$6:$B$505,K41,Expenses!$D$6:$D$505,"&lt;&gt;Paying back"))</f>
        <v/>
      </c>
      <c r="M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5">
        <f>IF(OR(MIN(Expenses!$B$6:$B$505)=0,(MIN(Expenses!$B$6:$B$505)+16)&gt;MAX(Expenses!$B$6:$B$505)),"",(MIN(Expenses!$B$6:$B$505)+16))</f>
        <v/>
      </c>
      <c r="L42" s="10">
        <f>IF(K42="","",SUMIFS(Expenses!$T$6:$T$505,Expenses!$B$6:$B$505,K42,Expenses!$D$6:$D$505,"&lt;&gt;Paying back"))</f>
        <v/>
      </c>
      <c r="M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5">
        <f>IF(OR(MIN(Expenses!$B$6:$B$505)=0,(MIN(Expenses!$B$6:$B$505)+17)&gt;MAX(Expenses!$B$6:$B$505)),"",(MIN(Expenses!$B$6:$B$505)+17))</f>
        <v/>
      </c>
      <c r="L43" s="10">
        <f>IF(K43="","",SUMIFS(Expenses!$T$6:$T$505,Expenses!$B$6:$B$505,K43,Expenses!$D$6:$D$505,"&lt;&gt;Paying back"))</f>
        <v/>
      </c>
      <c r="M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5">
        <f>IF(OR(MIN(Expenses!$B$6:$B$505)=0,(MIN(Expenses!$B$6:$B$505)+18)&gt;MAX(Expenses!$B$6:$B$505)),"",(MIN(Expenses!$B$6:$B$505)+18))</f>
        <v/>
      </c>
      <c r="L44" s="10">
        <f>IF(K44="","",SUMIFS(Expenses!$T$6:$T$505,Expenses!$B$6:$B$505,K44,Expenses!$D$6:$D$505,"&lt;&gt;Paying back"))</f>
        <v/>
      </c>
      <c r="M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5">
        <f>IF(OR(MIN(Expenses!$B$6:$B$505)=0,(MIN(Expenses!$B$6:$B$505)+19)&gt;MAX(Expenses!$B$6:$B$505)),"",(MIN(Expenses!$B$6:$B$505)+19))</f>
        <v/>
      </c>
      <c r="L45" s="10">
        <f>IF(K45="","",SUMIFS(Expenses!$T$6:$T$505,Expenses!$B$6:$B$505,K45,Expenses!$D$6:$D$505,"&lt;&gt;Paying back"))</f>
        <v/>
      </c>
      <c r="M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5">
        <f>IF(OR(MIN(Expenses!$B$6:$B$505)=0,(MIN(Expenses!$B$6:$B$505)+20)&gt;MAX(Expenses!$B$6:$B$505)),"",(MIN(Expenses!$B$6:$B$505)+20))</f>
        <v/>
      </c>
      <c r="L46" s="10">
        <f>IF(K46="","",SUMIFS(Expenses!$T$6:$T$505,Expenses!$B$6:$B$505,K46,Expenses!$D$6:$D$505,"&lt;&gt;Paying back"))</f>
        <v/>
      </c>
      <c r="M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</row>
    <row r="60" hidden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AA60">
        <f>IF(B10="",0,E10)</f>
        <v/>
      </c>
      <c r="AB60">
        <f>ROUND(AA60-IF(1=AA$76,AA$75,0)+IF(1=AA$77,AA$75,0),2)</f>
        <v/>
      </c>
      <c r="AC60">
        <f>ROUND(AB60-IF(1=AB$76,AB$75,0)+IF(1=AB$77,AB$75,0),2)</f>
        <v/>
      </c>
      <c r="AD60">
        <f>ROUND(AC60-IF(1=AC$76,AC$75,0)+IF(1=AC$77,AC$75,0),2)</f>
        <v/>
      </c>
      <c r="AE60">
        <f>ROUND(AD60-IF(1=AD$76,AD$75,0)+IF(1=AD$77,AD$75,0),2)</f>
        <v/>
      </c>
      <c r="AF60">
        <f>ROUND(AE60-IF(1=AE$76,AE$75,0)+IF(1=AE$77,AE$75,0),2)</f>
        <v/>
      </c>
      <c r="AG60">
        <f>ROUND(AF60-IF(1=AF$76,AF$75,0)+IF(1=AF$77,AF$75,0),2)</f>
        <v/>
      </c>
      <c r="AH60">
        <f>ROUND(AG60-IF(1=AG$76,AG$75,0)+IF(1=AG$77,AG$75,0),2)</f>
        <v/>
      </c>
      <c r="AI60">
        <f>ROUND(AH60-IF(1=AH$76,AH$75,0)+IF(1=AH$77,AH$75,0),2)</f>
        <v/>
      </c>
      <c r="AJ60">
        <f>ROUND(AI60-IF(1=AI$76,AI$75,0)+IF(1=AI$77,AI$75,0),2)</f>
        <v/>
      </c>
      <c r="AK60">
        <f>ROUND(AJ60-IF(1=AJ$76,AJ$75,0)+IF(1=AJ$77,AJ$75,0),2)</f>
        <v/>
      </c>
      <c r="AL60">
        <f>ROUND(AK60-IF(1=AK$76,AK$75,0)+IF(1=AK$77,AK$75,0),2)</f>
        <v/>
      </c>
    </row>
    <row r="61" hidden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AA61">
        <f>IF(B11="",0,E11)</f>
        <v/>
      </c>
      <c r="AB61">
        <f>ROUND(AA61-IF(2=AA$76,AA$75,0)+IF(2=AA$77,AA$75,0),2)</f>
        <v/>
      </c>
      <c r="AC61">
        <f>ROUND(AB61-IF(2=AB$76,AB$75,0)+IF(2=AB$77,AB$75,0),2)</f>
        <v/>
      </c>
      <c r="AD61">
        <f>ROUND(AC61-IF(2=AC$76,AC$75,0)+IF(2=AC$77,AC$75,0),2)</f>
        <v/>
      </c>
      <c r="AE61">
        <f>ROUND(AD61-IF(2=AD$76,AD$75,0)+IF(2=AD$77,AD$75,0),2)</f>
        <v/>
      </c>
      <c r="AF61">
        <f>ROUND(AE61-IF(2=AE$76,AE$75,0)+IF(2=AE$77,AE$75,0),2)</f>
        <v/>
      </c>
      <c r="AG61">
        <f>ROUND(AF61-IF(2=AF$76,AF$75,0)+IF(2=AF$77,AF$75,0),2)</f>
        <v/>
      </c>
      <c r="AH61">
        <f>ROUND(AG61-IF(2=AG$76,AG$75,0)+IF(2=AG$77,AG$75,0),2)</f>
        <v/>
      </c>
      <c r="AI61">
        <f>ROUND(AH61-IF(2=AH$76,AH$75,0)+IF(2=AH$77,AH$75,0),2)</f>
        <v/>
      </c>
      <c r="AJ61">
        <f>ROUND(AI61-IF(2=AI$76,AI$75,0)+IF(2=AI$77,AI$75,0),2)</f>
        <v/>
      </c>
      <c r="AK61">
        <f>ROUND(AJ61-IF(2=AJ$76,AJ$75,0)+IF(2=AJ$77,AJ$75,0),2)</f>
        <v/>
      </c>
      <c r="AL61">
        <f>ROUND(AK61-IF(2=AK$76,AK$75,0)+IF(2=AK$77,AK$75,0),2)</f>
        <v/>
      </c>
    </row>
    <row r="62" hidden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AA62">
        <f>IF(B12="",0,E12)</f>
        <v/>
      </c>
      <c r="AB62">
        <f>ROUND(AA62-IF(3=AA$76,AA$75,0)+IF(3=AA$77,AA$75,0),2)</f>
        <v/>
      </c>
      <c r="AC62">
        <f>ROUND(AB62-IF(3=AB$76,AB$75,0)+IF(3=AB$77,AB$75,0),2)</f>
        <v/>
      </c>
      <c r="AD62">
        <f>ROUND(AC62-IF(3=AC$76,AC$75,0)+IF(3=AC$77,AC$75,0),2)</f>
        <v/>
      </c>
      <c r="AE62">
        <f>ROUND(AD62-IF(3=AD$76,AD$75,0)+IF(3=AD$77,AD$75,0),2)</f>
        <v/>
      </c>
      <c r="AF62">
        <f>ROUND(AE62-IF(3=AE$76,AE$75,0)+IF(3=AE$77,AE$75,0),2)</f>
        <v/>
      </c>
      <c r="AG62">
        <f>ROUND(AF62-IF(3=AF$76,AF$75,0)+IF(3=AF$77,AF$75,0),2)</f>
        <v/>
      </c>
      <c r="AH62">
        <f>ROUND(AG62-IF(3=AG$76,AG$75,0)+IF(3=AG$77,AG$75,0),2)</f>
        <v/>
      </c>
      <c r="AI62">
        <f>ROUND(AH62-IF(3=AH$76,AH$75,0)+IF(3=AH$77,AH$75,0),2)</f>
        <v/>
      </c>
      <c r="AJ62">
        <f>ROUND(AI62-IF(3=AI$76,AI$75,0)+IF(3=AI$77,AI$75,0),2)</f>
        <v/>
      </c>
      <c r="AK62">
        <f>ROUND(AJ62-IF(3=AJ$76,AJ$75,0)+IF(3=AJ$77,AJ$75,0),2)</f>
        <v/>
      </c>
      <c r="AL62">
        <f>ROUND(AK62-IF(3=AK$76,AK$75,0)+IF(3=AK$77,AK$75,0),2)</f>
        <v/>
      </c>
    </row>
    <row r="63" hidden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AA63">
        <f>IF(B13="",0,E13)</f>
        <v/>
      </c>
      <c r="AB63">
        <f>ROUND(AA63-IF(4=AA$76,AA$75,0)+IF(4=AA$77,AA$75,0),2)</f>
        <v/>
      </c>
      <c r="AC63">
        <f>ROUND(AB63-IF(4=AB$76,AB$75,0)+IF(4=AB$77,AB$75,0),2)</f>
        <v/>
      </c>
      <c r="AD63">
        <f>ROUND(AC63-IF(4=AC$76,AC$75,0)+IF(4=AC$77,AC$75,0),2)</f>
        <v/>
      </c>
      <c r="AE63">
        <f>ROUND(AD63-IF(4=AD$76,AD$75,0)+IF(4=AD$77,AD$75,0),2)</f>
        <v/>
      </c>
      <c r="AF63">
        <f>ROUND(AE63-IF(4=AE$76,AE$75,0)+IF(4=AE$77,AE$75,0),2)</f>
        <v/>
      </c>
      <c r="AG63">
        <f>ROUND(AF63-IF(4=AF$76,AF$75,0)+IF(4=AF$77,AF$75,0),2)</f>
        <v/>
      </c>
      <c r="AH63">
        <f>ROUND(AG63-IF(4=AG$76,AG$75,0)+IF(4=AG$77,AG$75,0),2)</f>
        <v/>
      </c>
      <c r="AI63">
        <f>ROUND(AH63-IF(4=AH$76,AH$75,0)+IF(4=AH$77,AH$75,0),2)</f>
        <v/>
      </c>
      <c r="AJ63">
        <f>ROUND(AI63-IF(4=AI$76,AI$75,0)+IF(4=AI$77,AI$75,0),2)</f>
        <v/>
      </c>
      <c r="AK63">
        <f>ROUND(AJ63-IF(4=AJ$76,AJ$75,0)+IF(4=AJ$77,AJ$75,0),2)</f>
        <v/>
      </c>
      <c r="AL63">
        <f>ROUND(AK63-IF(4=AK$76,AK$75,0)+IF(4=AK$77,AK$75,0),2)</f>
        <v/>
      </c>
    </row>
    <row r="64" hidden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AA64">
        <f>IF(B14="",0,E14)</f>
        <v/>
      </c>
      <c r="AB64">
        <f>ROUND(AA64-IF(5=AA$76,AA$75,0)+IF(5=AA$77,AA$75,0),2)</f>
        <v/>
      </c>
      <c r="AC64">
        <f>ROUND(AB64-IF(5=AB$76,AB$75,0)+IF(5=AB$77,AB$75,0),2)</f>
        <v/>
      </c>
      <c r="AD64">
        <f>ROUND(AC64-IF(5=AC$76,AC$75,0)+IF(5=AC$77,AC$75,0),2)</f>
        <v/>
      </c>
      <c r="AE64">
        <f>ROUND(AD64-IF(5=AD$76,AD$75,0)+IF(5=AD$77,AD$75,0),2)</f>
        <v/>
      </c>
      <c r="AF64">
        <f>ROUND(AE64-IF(5=AE$76,AE$75,0)+IF(5=AE$77,AE$75,0),2)</f>
        <v/>
      </c>
      <c r="AG64">
        <f>ROUND(AF64-IF(5=AF$76,AF$75,0)+IF(5=AF$77,AF$75,0),2)</f>
        <v/>
      </c>
      <c r="AH64">
        <f>ROUND(AG64-IF(5=AG$76,AG$75,0)+IF(5=AG$77,AG$75,0),2)</f>
        <v/>
      </c>
      <c r="AI64">
        <f>ROUND(AH64-IF(5=AH$76,AH$75,0)+IF(5=AH$77,AH$75,0),2)</f>
        <v/>
      </c>
      <c r="AJ64">
        <f>ROUND(AI64-IF(5=AI$76,AI$75,0)+IF(5=AI$77,AI$75,0),2)</f>
        <v/>
      </c>
      <c r="AK64">
        <f>ROUND(AJ64-IF(5=AJ$76,AJ$75,0)+IF(5=AJ$77,AJ$75,0),2)</f>
        <v/>
      </c>
      <c r="AL64">
        <f>ROUND(AK64-IF(5=AK$76,AK$75,0)+IF(5=AK$77,AK$75,0),2)</f>
        <v/>
      </c>
    </row>
    <row r="65" hidden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AA65">
        <f>IF(B15="",0,E15)</f>
        <v/>
      </c>
      <c r="AB65">
        <f>ROUND(AA65-IF(6=AA$76,AA$75,0)+IF(6=AA$77,AA$75,0),2)</f>
        <v/>
      </c>
      <c r="AC65">
        <f>ROUND(AB65-IF(6=AB$76,AB$75,0)+IF(6=AB$77,AB$75,0),2)</f>
        <v/>
      </c>
      <c r="AD65">
        <f>ROUND(AC65-IF(6=AC$76,AC$75,0)+IF(6=AC$77,AC$75,0),2)</f>
        <v/>
      </c>
      <c r="AE65">
        <f>ROUND(AD65-IF(6=AD$76,AD$75,0)+IF(6=AD$77,AD$75,0),2)</f>
        <v/>
      </c>
      <c r="AF65">
        <f>ROUND(AE65-IF(6=AE$76,AE$75,0)+IF(6=AE$77,AE$75,0),2)</f>
        <v/>
      </c>
      <c r="AG65">
        <f>ROUND(AF65-IF(6=AF$76,AF$75,0)+IF(6=AF$77,AF$75,0),2)</f>
        <v/>
      </c>
      <c r="AH65">
        <f>ROUND(AG65-IF(6=AG$76,AG$75,0)+IF(6=AG$77,AG$75,0),2)</f>
        <v/>
      </c>
      <c r="AI65">
        <f>ROUND(AH65-IF(6=AH$76,AH$75,0)+IF(6=AH$77,AH$75,0),2)</f>
        <v/>
      </c>
      <c r="AJ65">
        <f>ROUND(AI65-IF(6=AI$76,AI$75,0)+IF(6=AI$77,AI$75,0),2)</f>
        <v/>
      </c>
      <c r="AK65">
        <f>ROUND(AJ65-IF(6=AJ$76,AJ$75,0)+IF(6=AJ$77,AJ$75,0),2)</f>
        <v/>
      </c>
      <c r="AL65">
        <f>ROUND(AK65-IF(6=AK$76,AK$75,0)+IF(6=AK$77,AK$75,0),2)</f>
        <v/>
      </c>
    </row>
    <row r="66" hidden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AA66">
        <f>IF(B16="",0,E16)</f>
        <v/>
      </c>
      <c r="AB66">
        <f>ROUND(AA66-IF(7=AA$76,AA$75,0)+IF(7=AA$77,AA$75,0),2)</f>
        <v/>
      </c>
      <c r="AC66">
        <f>ROUND(AB66-IF(7=AB$76,AB$75,0)+IF(7=AB$77,AB$75,0),2)</f>
        <v/>
      </c>
      <c r="AD66">
        <f>ROUND(AC66-IF(7=AC$76,AC$75,0)+IF(7=AC$77,AC$75,0),2)</f>
        <v/>
      </c>
      <c r="AE66">
        <f>ROUND(AD66-IF(7=AD$76,AD$75,0)+IF(7=AD$77,AD$75,0),2)</f>
        <v/>
      </c>
      <c r="AF66">
        <f>ROUND(AE66-IF(7=AE$76,AE$75,0)+IF(7=AE$77,AE$75,0),2)</f>
        <v/>
      </c>
      <c r="AG66">
        <f>ROUND(AF66-IF(7=AF$76,AF$75,0)+IF(7=AF$77,AF$75,0),2)</f>
        <v/>
      </c>
      <c r="AH66">
        <f>ROUND(AG66-IF(7=AG$76,AG$75,0)+IF(7=AG$77,AG$75,0),2)</f>
        <v/>
      </c>
      <c r="AI66">
        <f>ROUND(AH66-IF(7=AH$76,AH$75,0)+IF(7=AH$77,AH$75,0),2)</f>
        <v/>
      </c>
      <c r="AJ66">
        <f>ROUND(AI66-IF(7=AI$76,AI$75,0)+IF(7=AI$77,AI$75,0),2)</f>
        <v/>
      </c>
      <c r="AK66">
        <f>ROUND(AJ66-IF(7=AJ$76,AJ$75,0)+IF(7=AJ$77,AJ$75,0),2)</f>
        <v/>
      </c>
      <c r="AL66">
        <f>ROUND(AK66-IF(7=AK$76,AK$75,0)+IF(7=AK$77,AK$75,0),2)</f>
        <v/>
      </c>
    </row>
    <row r="67" hidden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AA67">
        <f>IF(B17="",0,E17)</f>
        <v/>
      </c>
      <c r="AB67">
        <f>ROUND(AA67-IF(8=AA$76,AA$75,0)+IF(8=AA$77,AA$75,0),2)</f>
        <v/>
      </c>
      <c r="AC67">
        <f>ROUND(AB67-IF(8=AB$76,AB$75,0)+IF(8=AB$77,AB$75,0),2)</f>
        <v/>
      </c>
      <c r="AD67">
        <f>ROUND(AC67-IF(8=AC$76,AC$75,0)+IF(8=AC$77,AC$75,0),2)</f>
        <v/>
      </c>
      <c r="AE67">
        <f>ROUND(AD67-IF(8=AD$76,AD$75,0)+IF(8=AD$77,AD$75,0),2)</f>
        <v/>
      </c>
      <c r="AF67">
        <f>ROUND(AE67-IF(8=AE$76,AE$75,0)+IF(8=AE$77,AE$75,0),2)</f>
        <v/>
      </c>
      <c r="AG67">
        <f>ROUND(AF67-IF(8=AF$76,AF$75,0)+IF(8=AF$77,AF$75,0),2)</f>
        <v/>
      </c>
      <c r="AH67">
        <f>ROUND(AG67-IF(8=AG$76,AG$75,0)+IF(8=AG$77,AG$75,0),2)</f>
        <v/>
      </c>
      <c r="AI67">
        <f>ROUND(AH67-IF(8=AH$76,AH$75,0)+IF(8=AH$77,AH$75,0),2)</f>
        <v/>
      </c>
      <c r="AJ67">
        <f>ROUND(AI67-IF(8=AI$76,AI$75,0)+IF(8=AI$77,AI$75,0),2)</f>
        <v/>
      </c>
      <c r="AK67">
        <f>ROUND(AJ67-IF(8=AJ$76,AJ$75,0)+IF(8=AJ$77,AJ$75,0),2)</f>
        <v/>
      </c>
      <c r="AL67">
        <f>ROUND(AK67-IF(8=AK$76,AK$75,0)+IF(8=AK$77,AK$75,0),2)</f>
        <v/>
      </c>
    </row>
    <row r="68" hidden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AA68">
        <f>IF(B18="",0,E18)</f>
        <v/>
      </c>
      <c r="AB68">
        <f>ROUND(AA68-IF(9=AA$76,AA$75,0)+IF(9=AA$77,AA$75,0),2)</f>
        <v/>
      </c>
      <c r="AC68">
        <f>ROUND(AB68-IF(9=AB$76,AB$75,0)+IF(9=AB$77,AB$75,0),2)</f>
        <v/>
      </c>
      <c r="AD68">
        <f>ROUND(AC68-IF(9=AC$76,AC$75,0)+IF(9=AC$77,AC$75,0),2)</f>
        <v/>
      </c>
      <c r="AE68">
        <f>ROUND(AD68-IF(9=AD$76,AD$75,0)+IF(9=AD$77,AD$75,0),2)</f>
        <v/>
      </c>
      <c r="AF68">
        <f>ROUND(AE68-IF(9=AE$76,AE$75,0)+IF(9=AE$77,AE$75,0),2)</f>
        <v/>
      </c>
      <c r="AG68">
        <f>ROUND(AF68-IF(9=AF$76,AF$75,0)+IF(9=AF$77,AF$75,0),2)</f>
        <v/>
      </c>
      <c r="AH68">
        <f>ROUND(AG68-IF(9=AG$76,AG$75,0)+IF(9=AG$77,AG$75,0),2)</f>
        <v/>
      </c>
      <c r="AI68">
        <f>ROUND(AH68-IF(9=AH$76,AH$75,0)+IF(9=AH$77,AH$75,0),2)</f>
        <v/>
      </c>
      <c r="AJ68">
        <f>ROUND(AI68-IF(9=AI$76,AI$75,0)+IF(9=AI$77,AI$75,0),2)</f>
        <v/>
      </c>
      <c r="AK68">
        <f>ROUND(AJ68-IF(9=AJ$76,AJ$75,0)+IF(9=AJ$77,AJ$75,0),2)</f>
        <v/>
      </c>
      <c r="AL68">
        <f>ROUND(AK68-IF(9=AK$76,AK$75,0)+IF(9=AK$77,AK$75,0),2)</f>
        <v/>
      </c>
    </row>
    <row r="69" hidden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AA69">
        <f>IF(B19="",0,E19)</f>
        <v/>
      </c>
      <c r="AB69">
        <f>ROUND(AA69-IF(10=AA$76,AA$75,0)+IF(10=AA$77,AA$75,0),2)</f>
        <v/>
      </c>
      <c r="AC69">
        <f>ROUND(AB69-IF(10=AB$76,AB$75,0)+IF(10=AB$77,AB$75,0),2)</f>
        <v/>
      </c>
      <c r="AD69">
        <f>ROUND(AC69-IF(10=AC$76,AC$75,0)+IF(10=AC$77,AC$75,0),2)</f>
        <v/>
      </c>
      <c r="AE69">
        <f>ROUND(AD69-IF(10=AD$76,AD$75,0)+IF(10=AD$77,AD$75,0),2)</f>
        <v/>
      </c>
      <c r="AF69">
        <f>ROUND(AE69-IF(10=AE$76,AE$75,0)+IF(10=AE$77,AE$75,0),2)</f>
        <v/>
      </c>
      <c r="AG69">
        <f>ROUND(AF69-IF(10=AF$76,AF$75,0)+IF(10=AF$77,AF$75,0),2)</f>
        <v/>
      </c>
      <c r="AH69">
        <f>ROUND(AG69-IF(10=AG$76,AG$75,0)+IF(10=AG$77,AG$75,0),2)</f>
        <v/>
      </c>
      <c r="AI69">
        <f>ROUND(AH69-IF(10=AH$76,AH$75,0)+IF(10=AH$77,AH$75,0),2)</f>
        <v/>
      </c>
      <c r="AJ69">
        <f>ROUND(AI69-IF(10=AI$76,AI$75,0)+IF(10=AI$77,AI$75,0),2)</f>
        <v/>
      </c>
      <c r="AK69">
        <f>ROUND(AJ69-IF(10=AJ$76,AJ$75,0)+IF(10=AJ$77,AJ$75,0),2)</f>
        <v/>
      </c>
      <c r="AL69">
        <f>ROUND(AK69-IF(10=AK$76,AK$75,0)+IF(10=AK$77,AK$75,0),2)</f>
        <v/>
      </c>
    </row>
    <row r="70" hidden="1">
      <c r="AA70">
        <f>IF(B20="",0,E20)</f>
        <v/>
      </c>
      <c r="AB70">
        <f>ROUND(AA70-IF(11=AA$76,AA$75,0)+IF(11=AA$77,AA$75,0),2)</f>
        <v/>
      </c>
      <c r="AC70">
        <f>ROUND(AB70-IF(11=AB$76,AB$75,0)+IF(11=AB$77,AB$75,0),2)</f>
        <v/>
      </c>
      <c r="AD70">
        <f>ROUND(AC70-IF(11=AC$76,AC$75,0)+IF(11=AC$77,AC$75,0),2)</f>
        <v/>
      </c>
      <c r="AE70">
        <f>ROUND(AD70-IF(11=AD$76,AD$75,0)+IF(11=AD$77,AD$75,0),2)</f>
        <v/>
      </c>
      <c r="AF70">
        <f>ROUND(AE70-IF(11=AE$76,AE$75,0)+IF(11=AE$77,AE$75,0),2)</f>
        <v/>
      </c>
      <c r="AG70">
        <f>ROUND(AF70-IF(11=AF$76,AF$75,0)+IF(11=AF$77,AF$75,0),2)</f>
        <v/>
      </c>
      <c r="AH70">
        <f>ROUND(AG70-IF(11=AG$76,AG$75,0)+IF(11=AG$77,AG$75,0),2)</f>
        <v/>
      </c>
      <c r="AI70">
        <f>ROUND(AH70-IF(11=AH$76,AH$75,0)+IF(11=AH$77,AH$75,0),2)</f>
        <v/>
      </c>
      <c r="AJ70">
        <f>ROUND(AI70-IF(11=AI$76,AI$75,0)+IF(11=AI$77,AI$75,0),2)</f>
        <v/>
      </c>
      <c r="AK70">
        <f>ROUND(AJ70-IF(11=AJ$76,AJ$75,0)+IF(11=AJ$77,AJ$75,0),2)</f>
        <v/>
      </c>
      <c r="AL70">
        <f>ROUND(AK70-IF(11=AK$76,AK$75,0)+IF(11=AK$77,AK$75,0),2)</f>
        <v/>
      </c>
    </row>
    <row r="71" hidden="1">
      <c r="AA71">
        <f>IF(B21="",0,E21)</f>
        <v/>
      </c>
      <c r="AB71">
        <f>ROUND(AA71-IF(12=AA$76,AA$75,0)+IF(12=AA$77,AA$75,0),2)</f>
        <v/>
      </c>
      <c r="AC71">
        <f>ROUND(AB71-IF(12=AB$76,AB$75,0)+IF(12=AB$77,AB$75,0),2)</f>
        <v/>
      </c>
      <c r="AD71">
        <f>ROUND(AC71-IF(12=AC$76,AC$75,0)+IF(12=AC$77,AC$75,0),2)</f>
        <v/>
      </c>
      <c r="AE71">
        <f>ROUND(AD71-IF(12=AD$76,AD$75,0)+IF(12=AD$77,AD$75,0),2)</f>
        <v/>
      </c>
      <c r="AF71">
        <f>ROUND(AE71-IF(12=AE$76,AE$75,0)+IF(12=AE$77,AE$75,0),2)</f>
        <v/>
      </c>
      <c r="AG71">
        <f>ROUND(AF71-IF(12=AF$76,AF$75,0)+IF(12=AF$77,AF$75,0),2)</f>
        <v/>
      </c>
      <c r="AH71">
        <f>ROUND(AG71-IF(12=AG$76,AG$75,0)+IF(12=AG$77,AG$75,0),2)</f>
        <v/>
      </c>
      <c r="AI71">
        <f>ROUND(AH71-IF(12=AH$76,AH$75,0)+IF(12=AH$77,AH$75,0),2)</f>
        <v/>
      </c>
      <c r="AJ71">
        <f>ROUND(AI71-IF(12=AI$76,AI$75,0)+IF(12=AI$77,AI$75,0),2)</f>
        <v/>
      </c>
      <c r="AK71">
        <f>ROUND(AJ71-IF(12=AJ$76,AJ$75,0)+IF(12=AJ$77,AJ$75,0),2)</f>
        <v/>
      </c>
      <c r="AL71">
        <f>ROUND(AK71-IF(12=AK$76,AK$75,0)+IF(12=AK$77,AK$75,0),2)</f>
        <v/>
      </c>
    </row>
    <row r="73" hidden="1">
      <c r="AA73">
        <f>MAX(AA$60:AA$71)</f>
        <v/>
      </c>
      <c r="AB73">
        <f>MAX(AB$60:AB$71)</f>
        <v/>
      </c>
      <c r="AC73">
        <f>MAX(AC$60:AC$71)</f>
        <v/>
      </c>
      <c r="AD73">
        <f>MAX(AD$60:AD$71)</f>
        <v/>
      </c>
      <c r="AE73">
        <f>MAX(AE$60:AE$71)</f>
        <v/>
      </c>
      <c r="AF73">
        <f>MAX(AF$60:AF$71)</f>
        <v/>
      </c>
      <c r="AG73">
        <f>MAX(AG$60:AG$71)</f>
        <v/>
      </c>
      <c r="AH73">
        <f>MAX(AH$60:AH$71)</f>
        <v/>
      </c>
      <c r="AI73">
        <f>MAX(AI$60:AI$71)</f>
        <v/>
      </c>
      <c r="AJ73">
        <f>MAX(AJ$60:AJ$71)</f>
        <v/>
      </c>
      <c r="AK73">
        <f>MAX(AK$60:AK$71)</f>
        <v/>
      </c>
    </row>
    <row r="74" hidden="1">
      <c r="AA74">
        <f>MIN(AA$60:AA$71)</f>
        <v/>
      </c>
      <c r="AB74">
        <f>MIN(AB$60:AB$71)</f>
        <v/>
      </c>
      <c r="AC74">
        <f>MIN(AC$60:AC$71)</f>
        <v/>
      </c>
      <c r="AD74">
        <f>MIN(AD$60:AD$71)</f>
        <v/>
      </c>
      <c r="AE74">
        <f>MIN(AE$60:AE$71)</f>
        <v/>
      </c>
      <c r="AF74">
        <f>MIN(AF$60:AF$71)</f>
        <v/>
      </c>
      <c r="AG74">
        <f>MIN(AG$60:AG$71)</f>
        <v/>
      </c>
      <c r="AH74">
        <f>MIN(AH$60:AH$71)</f>
        <v/>
      </c>
      <c r="AI74">
        <f>MIN(AI$60:AI$71)</f>
        <v/>
      </c>
      <c r="AJ74">
        <f>MIN(AJ$60:AJ$71)</f>
        <v/>
      </c>
      <c r="AK74">
        <f>MIN(AK$60:AK$71)</f>
        <v/>
      </c>
    </row>
    <row r="75" hidden="1">
      <c r="AA75">
        <f>ROUND(MIN(AA73,-AA74),2)</f>
        <v/>
      </c>
      <c r="AB75">
        <f>ROUND(MIN(AB73,-AB74),2)</f>
        <v/>
      </c>
      <c r="AC75">
        <f>ROUND(MIN(AC73,-AC74),2)</f>
        <v/>
      </c>
      <c r="AD75">
        <f>ROUND(MIN(AD73,-AD74),2)</f>
        <v/>
      </c>
      <c r="AE75">
        <f>ROUND(MIN(AE73,-AE74),2)</f>
        <v/>
      </c>
      <c r="AF75">
        <f>ROUND(MIN(AF73,-AF74),2)</f>
        <v/>
      </c>
      <c r="AG75">
        <f>ROUND(MIN(AG73,-AG74),2)</f>
        <v/>
      </c>
      <c r="AH75">
        <f>ROUND(MIN(AH73,-AH74),2)</f>
        <v/>
      </c>
      <c r="AI75">
        <f>ROUND(MIN(AI73,-AI74),2)</f>
        <v/>
      </c>
      <c r="AJ75">
        <f>ROUND(MIN(AJ73,-AJ74),2)</f>
        <v/>
      </c>
      <c r="AK75">
        <f>ROUND(MIN(AK73,-AK74),2)</f>
        <v/>
      </c>
    </row>
    <row r="76" hidden="1">
      <c r="AA76">
        <f>MATCH(AA73,AA$60:AA$71,0)</f>
        <v/>
      </c>
      <c r="AB76">
        <f>MATCH(AB73,AB$60:AB$71,0)</f>
        <v/>
      </c>
      <c r="AC76">
        <f>MATCH(AC73,AC$60:AC$71,0)</f>
        <v/>
      </c>
      <c r="AD76">
        <f>MATCH(AD73,AD$60:AD$71,0)</f>
        <v/>
      </c>
      <c r="AE76">
        <f>MATCH(AE73,AE$60:AE$71,0)</f>
        <v/>
      </c>
      <c r="AF76">
        <f>MATCH(AF73,AF$60:AF$71,0)</f>
        <v/>
      </c>
      <c r="AG76">
        <f>MATCH(AG73,AG$60:AG$71,0)</f>
        <v/>
      </c>
      <c r="AH76">
        <f>MATCH(AH73,AH$60:AH$71,0)</f>
        <v/>
      </c>
      <c r="AI76">
        <f>MATCH(AI73,AI$60:AI$71,0)</f>
        <v/>
      </c>
      <c r="AJ76">
        <f>MATCH(AJ73,AJ$60:AJ$71,0)</f>
        <v/>
      </c>
      <c r="AK76">
        <f>MATCH(AK73,AK$60:AK$71,0)</f>
        <v/>
      </c>
    </row>
    <row r="77" hidden="1">
      <c r="AA77">
        <f>MATCH(AA74,AA$60:AA$71,0)</f>
        <v/>
      </c>
      <c r="AB77">
        <f>MATCH(AB74,AB$60:AB$71,0)</f>
        <v/>
      </c>
      <c r="AC77">
        <f>MATCH(AC74,AC$60:AC$71,0)</f>
        <v/>
      </c>
      <c r="AD77">
        <f>MATCH(AD74,AD$60:AD$71,0)</f>
        <v/>
      </c>
      <c r="AE77">
        <f>MATCH(AE74,AE$60:AE$71,0)</f>
        <v/>
      </c>
      <c r="AF77">
        <f>MATCH(AF74,AF$60:AF$71,0)</f>
        <v/>
      </c>
      <c r="AG77">
        <f>MATCH(AG74,AG$60:AG$71,0)</f>
        <v/>
      </c>
      <c r="AH77">
        <f>MATCH(AH74,AH$60:AH$71,0)</f>
        <v/>
      </c>
      <c r="AI77">
        <f>MATCH(AI74,AI$60:AI$71,0)</f>
        <v/>
      </c>
      <c r="AJ77">
        <f>MATCH(AJ74,AJ$60:AJ$71,0)</f>
        <v/>
      </c>
      <c r="AK77">
        <f>MATCH(AK74,AK$60:AK$71,0)</f>
        <v/>
      </c>
    </row>
  </sheetData>
  <conditionalFormatting sqref="F10:F21">
    <cfRule type="expression" priority="1" dxfId="0">
      <formula>LEFT(F10,4)="Gets"</formula>
    </cfRule>
    <cfRule type="expression" priority="2" dxfId="1">
      <formula>LEFT(F10,4)="Owes"</formula>
    </cfRule>
    <cfRule type="expression" priority="3" dxfId="2">
      <formula>F10="Settled"</formula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4" customWidth="1" min="3" max="3"/>
    <col width="12" customWidth="1" min="4" max="4"/>
    <col width="16" customWidth="1" min="5" max="5"/>
    <col width="4" customWidth="1" min="6" max="6"/>
    <col width="60" customWidth="1" min="7" max="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 ht="32" customHeight="1">
      <c r="A2" s="1" t="n"/>
      <c r="B2" s="2" t="inlineStr">
        <is>
          <t>Setup</t>
        </is>
      </c>
      <c r="C2" s="1" t="n"/>
      <c r="D2" s="1" t="n"/>
      <c r="E2" s="1" t="n"/>
      <c r="F2" s="1" t="n"/>
      <c r="G2" s="1" t="n"/>
      <c r="H2" s="1" t="n"/>
    </row>
    <row r="3">
      <c r="A3" s="1" t="n"/>
      <c r="B3" s="3" t="inlineStr">
        <is>
          <t>The trip, the people on it, and the currencies you pay in.</t>
        </is>
      </c>
      <c r="C3" s="1" t="n"/>
      <c r="D3" s="1" t="n"/>
      <c r="E3" s="1" t="n"/>
      <c r="F3" s="1" t="n"/>
      <c r="G3" s="1" t="n"/>
      <c r="H3" s="1" t="n"/>
    </row>
    <row r="4">
      <c r="A4" s="1" t="n"/>
      <c r="B4" s="16" t="inlineStr">
        <is>
          <t>Trip</t>
        </is>
      </c>
      <c r="C4" s="1" t="n"/>
      <c r="D4" s="17" t="inlineStr">
        <is>
          <t>Lisbon and Porto</t>
        </is>
      </c>
      <c r="E4" s="18" t="n"/>
      <c r="F4" s="1" t="n"/>
      <c r="G4" s="1" t="n"/>
      <c r="H4" s="1" t="n"/>
    </row>
    <row r="5">
      <c r="A5" s="1" t="n"/>
      <c r="B5" s="16" t="inlineStr">
        <is>
          <t>Home currency</t>
        </is>
      </c>
      <c r="C5" s="1" t="n"/>
      <c r="D5" s="19" t="inlineStr">
        <is>
          <t>USD</t>
        </is>
      </c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 ht="30" customHeight="1">
      <c r="A8" s="1" t="n"/>
      <c r="B8" s="8" t="inlineStr">
        <is>
          <t>People</t>
        </is>
      </c>
      <c r="C8" s="1" t="n"/>
      <c r="D8" s="8" t="inlineStr">
        <is>
          <t>Currency</t>
        </is>
      </c>
      <c r="E8" s="8" t="inlineStr">
        <is>
          <t>1 unit is worth</t>
        </is>
      </c>
      <c r="F8" s="1" t="n"/>
      <c r="G8" s="1" t="n"/>
      <c r="H8" s="1" t="n"/>
    </row>
    <row r="9">
      <c r="A9" s="1" t="n"/>
      <c r="B9" s="17" t="inlineStr">
        <is>
          <t>Ana</t>
        </is>
      </c>
      <c r="C9" s="1" t="n"/>
      <c r="D9" s="20">
        <f>$D$5</f>
        <v/>
      </c>
      <c r="E9" s="21" t="n">
        <v>1</v>
      </c>
      <c r="F9" s="1" t="n"/>
      <c r="G9" s="22" t="inlineStr">
        <is>
          <t>Up to 12 people. The Expenses tab gets one column for each.</t>
        </is>
      </c>
      <c r="H9" s="1" t="n"/>
    </row>
    <row r="10">
      <c r="A10" s="1" t="n"/>
      <c r="B10" s="17" t="inlineStr">
        <is>
          <t>Ben</t>
        </is>
      </c>
      <c r="C10" s="1" t="n"/>
      <c r="D10" s="19" t="inlineStr">
        <is>
          <t>EUR</t>
        </is>
      </c>
      <c r="E10" s="23" t="n">
        <v>1.08</v>
      </c>
      <c r="F10" s="1" t="n"/>
      <c r="G10" s="22" t="inlineStr">
        <is>
          <t>Each currency's worth in your home currency, for example 1 EUR is worth 1.08 USD.</t>
        </is>
      </c>
      <c r="H10" s="1" t="n"/>
    </row>
    <row r="11">
      <c r="A11" s="1" t="n"/>
      <c r="B11" s="17" t="inlineStr">
        <is>
          <t>Chloe</t>
        </is>
      </c>
      <c r="C11" s="1" t="n"/>
      <c r="D11" s="19" t="inlineStr">
        <is>
          <t>GBP</t>
        </is>
      </c>
      <c r="E11" s="23" t="n">
        <v>1.27</v>
      </c>
      <c r="F11" s="1" t="n"/>
      <c r="G11" s="22" t="inlineStr">
        <is>
          <t>Every total on the Dashboard is in the home currency.</t>
        </is>
      </c>
      <c r="H11" s="1" t="n"/>
    </row>
    <row r="12">
      <c r="A12" s="1" t="n"/>
      <c r="B12" s="17" t="inlineStr">
        <is>
          <t>Dev</t>
        </is>
      </c>
      <c r="C12" s="1" t="n"/>
      <c r="D12" s="19" t="inlineStr">
        <is>
          <t>CAD</t>
        </is>
      </c>
      <c r="E12" s="23" t="n">
        <v>0.74</v>
      </c>
      <c r="F12" s="1" t="n"/>
      <c r="G12" s="1" t="n"/>
      <c r="H12" s="1" t="n"/>
    </row>
    <row r="13">
      <c r="A13" s="1" t="n"/>
      <c r="B13" s="17" t="inlineStr">
        <is>
          <t>Emma</t>
        </is>
      </c>
      <c r="C13" s="1" t="n"/>
      <c r="D13" s="19" t="n"/>
      <c r="E13" s="23" t="n"/>
      <c r="F13" s="1" t="n"/>
      <c r="G13" s="1" t="n"/>
      <c r="H13" s="1" t="n"/>
    </row>
    <row r="14">
      <c r="A14" s="1" t="n"/>
      <c r="B14" s="17" t="n"/>
      <c r="C14" s="1" t="n"/>
      <c r="D14" s="19" t="n"/>
      <c r="E14" s="23" t="n"/>
      <c r="F14" s="1" t="n"/>
      <c r="G14" s="1" t="n"/>
      <c r="H14" s="1" t="n"/>
    </row>
    <row r="15">
      <c r="A15" s="1" t="n"/>
      <c r="B15" s="17" t="n"/>
      <c r="C15" s="1" t="n"/>
      <c r="D15" s="19" t="n"/>
      <c r="E15" s="23" t="n"/>
      <c r="F15" s="1" t="n"/>
      <c r="G15" s="1" t="n"/>
      <c r="H15" s="1" t="n"/>
    </row>
    <row r="16">
      <c r="A16" s="1" t="n"/>
      <c r="B16" s="17" t="n"/>
      <c r="C16" s="1" t="n"/>
      <c r="D16" s="19" t="n"/>
      <c r="E16" s="23" t="n"/>
      <c r="F16" s="1" t="n"/>
      <c r="G16" s="1" t="n"/>
      <c r="H16" s="1" t="n"/>
    </row>
    <row r="17">
      <c r="A17" s="1" t="n"/>
      <c r="B17" s="17" t="n"/>
      <c r="C17" s="1" t="n"/>
      <c r="D17" s="19" t="n"/>
      <c r="E17" s="23" t="n"/>
      <c r="F17" s="1" t="n"/>
      <c r="G17" s="1" t="n"/>
      <c r="H17" s="1" t="n"/>
    </row>
    <row r="18">
      <c r="A18" s="1" t="n"/>
      <c r="B18" s="17" t="n"/>
      <c r="C18" s="1" t="n"/>
      <c r="D18" s="19" t="n"/>
      <c r="E18" s="23" t="n"/>
      <c r="F18" s="1" t="n"/>
      <c r="G18" s="1" t="n"/>
      <c r="H18" s="1" t="n"/>
    </row>
    <row r="19">
      <c r="A19" s="1" t="n"/>
      <c r="B19" s="17" t="n"/>
      <c r="C19" s="1" t="n"/>
      <c r="D19" s="1" t="n"/>
      <c r="E19" s="1" t="n"/>
      <c r="F19" s="1" t="n"/>
      <c r="G19" s="1" t="n"/>
      <c r="H19" s="1" t="n"/>
    </row>
    <row r="20">
      <c r="A20" s="1" t="n"/>
      <c r="B20" s="17" t="n"/>
      <c r="C20" s="1" t="n"/>
      <c r="D20" s="1" t="n"/>
      <c r="E20" s="1" t="n"/>
      <c r="F20" s="1" t="n"/>
      <c r="G20" s="1" t="n"/>
      <c r="H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</row>
  </sheetData>
  <mergeCells count="1">
    <mergeCell ref="D4:E4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T506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1" customWidth="1" min="2" max="2"/>
    <col width="26" customWidth="1" min="3" max="3"/>
    <col width="13" customWidth="1" min="4" max="4"/>
    <col width="10" customWidth="1" min="5" max="5"/>
    <col width="8" customWidth="1" min="6" max="6"/>
    <col width="11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12" customWidth="1" min="20" max="20"/>
    <col width="16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32" customHeight="1">
      <c r="A2" s="1" t="n"/>
      <c r="B2" s="2" t="inlineStr">
        <is>
          <t>Expenses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</row>
    <row r="3">
      <c r="A3" s="1" t="n"/>
      <c r="B3" s="3" t="inlineStr">
        <is>
          <t>One line per expense. Leave the shares empty to split it between everyone, or put an x under the people who share it. A number gives someone more or less than one share.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</row>
    <row r="5" ht="30" customHeight="1">
      <c r="A5" s="1" t="n"/>
      <c r="B5" s="8" t="inlineStr">
        <is>
          <t>Date</t>
        </is>
      </c>
      <c r="C5" s="8" t="inlineStr">
        <is>
          <t>What</t>
        </is>
      </c>
      <c r="D5" s="8" t="inlineStr">
        <is>
          <t>Category</t>
        </is>
      </c>
      <c r="E5" s="8" t="inlineStr">
        <is>
          <t>Amount</t>
        </is>
      </c>
      <c r="F5" s="8" t="inlineStr">
        <is>
          <t>Currency</t>
        </is>
      </c>
      <c r="G5" s="8" t="inlineStr">
        <is>
          <t>Paid by</t>
        </is>
      </c>
      <c r="H5" s="8">
        <f>IF(Setup!B9="","",Setup!B9)</f>
        <v/>
      </c>
      <c r="I5" s="8">
        <f>IF(Setup!B10="","",Setup!B10)</f>
        <v/>
      </c>
      <c r="J5" s="8">
        <f>IF(Setup!B11="","",Setup!B11)</f>
        <v/>
      </c>
      <c r="K5" s="8">
        <f>IF(Setup!B12="","",Setup!B12)</f>
        <v/>
      </c>
      <c r="L5" s="8">
        <f>IF(Setup!B13="","",Setup!B13)</f>
        <v/>
      </c>
      <c r="M5" s="8">
        <f>IF(Setup!B14="","",Setup!B14)</f>
        <v/>
      </c>
      <c r="N5" s="8">
        <f>IF(Setup!B15="","",Setup!B15)</f>
        <v/>
      </c>
      <c r="O5" s="8">
        <f>IF(Setup!B16="","",Setup!B16)</f>
        <v/>
      </c>
      <c r="P5" s="8">
        <f>IF(Setup!B17="","",Setup!B17)</f>
        <v/>
      </c>
      <c r="Q5" s="8">
        <f>IF(Setup!B18="","",Setup!B18)</f>
        <v/>
      </c>
      <c r="R5" s="8">
        <f>IF(Setup!B19="","",Setup!B19)</f>
        <v/>
      </c>
      <c r="S5" s="8">
        <f>IF(Setup!B20="","",Setup!B20)</f>
        <v/>
      </c>
      <c r="T5" s="8" t="inlineStr">
        <is>
          <t>In home currency</t>
        </is>
      </c>
      <c r="U5" s="8" t="inlineStr">
        <is>
          <t>Shared by</t>
        </is>
      </c>
      <c r="V5" s="1" t="n"/>
    </row>
    <row r="6">
      <c r="A6" s="1" t="n"/>
      <c r="B6" s="24" t="n">
        <v>46275</v>
      </c>
      <c r="C6" s="25" t="inlineStr">
        <is>
          <t>Taxi from the airport</t>
        </is>
      </c>
      <c r="D6" s="25" t="inlineStr">
        <is>
          <t>Transport</t>
        </is>
      </c>
      <c r="E6" s="26" t="n">
        <v>38</v>
      </c>
      <c r="F6" s="27" t="inlineStr">
        <is>
          <t>EUR</t>
        </is>
      </c>
      <c r="G6" s="17" t="inlineStr">
        <is>
          <t>Ana</t>
        </is>
      </c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9">
        <f>IF(N(E6)=0,"",E6*IF(F6="",1,IFERROR(INDEX(Setup!$E$9:$E$18,MATCH(F6,Setup!$D$9:$D$18,0)),0)))</f>
        <v/>
      </c>
      <c r="U6" s="30">
        <f>IF(T6="","",IF(V6=0,"Everyone",IF(COUNTIF(AI6:AT6,"&gt;0")=COUNTIF(Setup!$B$9:$B$20,"?*"),"Everyone",COUNTIF(AI6:AT6,"&gt;0")&amp;IF(COUNTIF(AI6:AT6,"&gt;0")=1," person"," people"))))</f>
        <v/>
      </c>
      <c r="V6" s="1">
        <f>SUM(AI6:AT6)</f>
        <v/>
      </c>
      <c r="W6">
        <f>IF(OR(T6="",Setup!$B$9=""),0,IF(V6=0,T6/COUNTIF(Setup!$B$9:$B$20,"?*"),T6*AI6/V6))</f>
        <v/>
      </c>
      <c r="X6">
        <f>IF(OR(T6="",Setup!$B$10=""),0,IF(V6=0,T6/COUNTIF(Setup!$B$9:$B$20,"?*"),T6*AJ6/V6))</f>
        <v/>
      </c>
      <c r="Y6">
        <f>IF(OR(T6="",Setup!$B$11=""),0,IF(V6=0,T6/COUNTIF(Setup!$B$9:$B$20,"?*"),T6*AK6/V6))</f>
        <v/>
      </c>
      <c r="Z6">
        <f>IF(OR(T6="",Setup!$B$12=""),0,IF(V6=0,T6/COUNTIF(Setup!$B$9:$B$20,"?*"),T6*AL6/V6))</f>
        <v/>
      </c>
      <c r="AA6">
        <f>IF(OR(T6="",Setup!$B$13=""),0,IF(V6=0,T6/COUNTIF(Setup!$B$9:$B$20,"?*"),T6*AM6/V6))</f>
        <v/>
      </c>
      <c r="AB6">
        <f>IF(OR(T6="",Setup!$B$14=""),0,IF(V6=0,T6/COUNTIF(Setup!$B$9:$B$20,"?*"),T6*AN6/V6))</f>
        <v/>
      </c>
      <c r="AC6">
        <f>IF(OR(T6="",Setup!$B$15=""),0,IF(V6=0,T6/COUNTIF(Setup!$B$9:$B$20,"?*"),T6*AO6/V6))</f>
        <v/>
      </c>
      <c r="AD6">
        <f>IF(OR(T6="",Setup!$B$16=""),0,IF(V6=0,T6/COUNTIF(Setup!$B$9:$B$20,"?*"),T6*AP6/V6))</f>
        <v/>
      </c>
      <c r="AE6">
        <f>IF(OR(T6="",Setup!$B$17=""),0,IF(V6=0,T6/COUNTIF(Setup!$B$9:$B$20,"?*"),T6*AQ6/V6))</f>
        <v/>
      </c>
      <c r="AF6">
        <f>IF(OR(T6="",Setup!$B$18=""),0,IF(V6=0,T6/COUNTIF(Setup!$B$9:$B$20,"?*"),T6*AR6/V6))</f>
        <v/>
      </c>
      <c r="AG6">
        <f>IF(OR(T6="",Setup!$B$19=""),0,IF(V6=0,T6/COUNTIF(Setup!$B$9:$B$20,"?*"),T6*AS6/V6))</f>
        <v/>
      </c>
      <c r="AH6">
        <f>IF(OR(T6="",Setup!$B$20=""),0,IF(V6=0,T6/COUNTIF(Setup!$B$9:$B$20,"?*"),T6*AT6/V6))</f>
        <v/>
      </c>
      <c r="AI6">
        <f>IF(Setup!$B$9="",0,IF(H6="",0,IF(ISNUMBER(H6),H6,1)))</f>
        <v/>
      </c>
      <c r="AJ6">
        <f>IF(Setup!$B$10="",0,IF(I6="",0,IF(ISNUMBER(I6),I6,1)))</f>
        <v/>
      </c>
      <c r="AK6">
        <f>IF(Setup!$B$11="",0,IF(J6="",0,IF(ISNUMBER(J6),J6,1)))</f>
        <v/>
      </c>
      <c r="AL6">
        <f>IF(Setup!$B$12="",0,IF(K6="",0,IF(ISNUMBER(K6),K6,1)))</f>
        <v/>
      </c>
      <c r="AM6">
        <f>IF(Setup!$B$13="",0,IF(L6="",0,IF(ISNUMBER(L6),L6,1)))</f>
        <v/>
      </c>
      <c r="AN6">
        <f>IF(Setup!$B$14="",0,IF(M6="",0,IF(ISNUMBER(M6),M6,1)))</f>
        <v/>
      </c>
      <c r="AO6">
        <f>IF(Setup!$B$15="",0,IF(N6="",0,IF(ISNUMBER(N6),N6,1)))</f>
        <v/>
      </c>
      <c r="AP6">
        <f>IF(Setup!$B$16="",0,IF(O6="",0,IF(ISNUMBER(O6),O6,1)))</f>
        <v/>
      </c>
      <c r="AQ6">
        <f>IF(Setup!$B$17="",0,IF(P6="",0,IF(ISNUMBER(P6),P6,1)))</f>
        <v/>
      </c>
      <c r="AR6">
        <f>IF(Setup!$B$18="",0,IF(Q6="",0,IF(ISNUMBER(Q6),Q6,1)))</f>
        <v/>
      </c>
      <c r="AS6">
        <f>IF(Setup!$B$19="",0,IF(R6="",0,IF(ISNUMBER(R6),R6,1)))</f>
        <v/>
      </c>
      <c r="AT6">
        <f>IF(Setup!$B$20="",0,IF(S6="",0,IF(ISNUMBER(S6),S6,1)))</f>
        <v/>
      </c>
    </row>
    <row r="7">
      <c r="A7" s="1" t="n"/>
      <c r="B7" s="24" t="n">
        <v>46275</v>
      </c>
      <c r="C7" s="25" t="inlineStr">
        <is>
          <t>Flat in Lisbon, 4 nights</t>
        </is>
      </c>
      <c r="D7" s="25" t="inlineStr">
        <is>
          <t>Lodging</t>
        </is>
      </c>
      <c r="E7" s="26" t="n">
        <v>780</v>
      </c>
      <c r="F7" s="27" t="inlineStr">
        <is>
          <t>EUR</t>
        </is>
      </c>
      <c r="G7" s="17" t="inlineStr">
        <is>
          <t>Ben</t>
        </is>
      </c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9">
        <f>IF(N(E7)=0,"",E7*IF(F7="",1,IFERROR(INDEX(Setup!$E$9:$E$18,MATCH(F7,Setup!$D$9:$D$18,0)),0)))</f>
        <v/>
      </c>
      <c r="U7" s="30">
        <f>IF(T7="","",IF(V7=0,"Everyone",IF(COUNTIF(AI7:AT7,"&gt;0")=COUNTIF(Setup!$B$9:$B$20,"?*"),"Everyone",COUNTIF(AI7:AT7,"&gt;0")&amp;IF(COUNTIF(AI7:AT7,"&gt;0")=1," person"," people"))))</f>
        <v/>
      </c>
      <c r="V7" s="1">
        <f>SUM(AI7:AT7)</f>
        <v/>
      </c>
      <c r="W7">
        <f>IF(OR(T7="",Setup!$B$9=""),0,IF(V7=0,T7/COUNTIF(Setup!$B$9:$B$20,"?*"),T7*AI7/V7))</f>
        <v/>
      </c>
      <c r="X7">
        <f>IF(OR(T7="",Setup!$B$10=""),0,IF(V7=0,T7/COUNTIF(Setup!$B$9:$B$20,"?*"),T7*AJ7/V7))</f>
        <v/>
      </c>
      <c r="Y7">
        <f>IF(OR(T7="",Setup!$B$11=""),0,IF(V7=0,T7/COUNTIF(Setup!$B$9:$B$20,"?*"),T7*AK7/V7))</f>
        <v/>
      </c>
      <c r="Z7">
        <f>IF(OR(T7="",Setup!$B$12=""),0,IF(V7=0,T7/COUNTIF(Setup!$B$9:$B$20,"?*"),T7*AL7/V7))</f>
        <v/>
      </c>
      <c r="AA7">
        <f>IF(OR(T7="",Setup!$B$13=""),0,IF(V7=0,T7/COUNTIF(Setup!$B$9:$B$20,"?*"),T7*AM7/V7))</f>
        <v/>
      </c>
      <c r="AB7">
        <f>IF(OR(T7="",Setup!$B$14=""),0,IF(V7=0,T7/COUNTIF(Setup!$B$9:$B$20,"?*"),T7*AN7/V7))</f>
        <v/>
      </c>
      <c r="AC7">
        <f>IF(OR(T7="",Setup!$B$15=""),0,IF(V7=0,T7/COUNTIF(Setup!$B$9:$B$20,"?*"),T7*AO7/V7))</f>
        <v/>
      </c>
      <c r="AD7">
        <f>IF(OR(T7="",Setup!$B$16=""),0,IF(V7=0,T7/COUNTIF(Setup!$B$9:$B$20,"?*"),T7*AP7/V7))</f>
        <v/>
      </c>
      <c r="AE7">
        <f>IF(OR(T7="",Setup!$B$17=""),0,IF(V7=0,T7/COUNTIF(Setup!$B$9:$B$20,"?*"),T7*AQ7/V7))</f>
        <v/>
      </c>
      <c r="AF7">
        <f>IF(OR(T7="",Setup!$B$18=""),0,IF(V7=0,T7/COUNTIF(Setup!$B$9:$B$20,"?*"),T7*AR7/V7))</f>
        <v/>
      </c>
      <c r="AG7">
        <f>IF(OR(T7="",Setup!$B$19=""),0,IF(V7=0,T7/COUNTIF(Setup!$B$9:$B$20,"?*"),T7*AS7/V7))</f>
        <v/>
      </c>
      <c r="AH7">
        <f>IF(OR(T7="",Setup!$B$20=""),0,IF(V7=0,T7/COUNTIF(Setup!$B$9:$B$20,"?*"),T7*AT7/V7))</f>
        <v/>
      </c>
      <c r="AI7">
        <f>IF(Setup!$B$9="",0,IF(H7="",0,IF(ISNUMBER(H7),H7,1)))</f>
        <v/>
      </c>
      <c r="AJ7">
        <f>IF(Setup!$B$10="",0,IF(I7="",0,IF(ISNUMBER(I7),I7,1)))</f>
        <v/>
      </c>
      <c r="AK7">
        <f>IF(Setup!$B$11="",0,IF(J7="",0,IF(ISNUMBER(J7),J7,1)))</f>
        <v/>
      </c>
      <c r="AL7">
        <f>IF(Setup!$B$12="",0,IF(K7="",0,IF(ISNUMBER(K7),K7,1)))</f>
        <v/>
      </c>
      <c r="AM7">
        <f>IF(Setup!$B$13="",0,IF(L7="",0,IF(ISNUMBER(L7),L7,1)))</f>
        <v/>
      </c>
      <c r="AN7">
        <f>IF(Setup!$B$14="",0,IF(M7="",0,IF(ISNUMBER(M7),M7,1)))</f>
        <v/>
      </c>
      <c r="AO7">
        <f>IF(Setup!$B$15="",0,IF(N7="",0,IF(ISNUMBER(N7),N7,1)))</f>
        <v/>
      </c>
      <c r="AP7">
        <f>IF(Setup!$B$16="",0,IF(O7="",0,IF(ISNUMBER(O7),O7,1)))</f>
        <v/>
      </c>
      <c r="AQ7">
        <f>IF(Setup!$B$17="",0,IF(P7="",0,IF(ISNUMBER(P7),P7,1)))</f>
        <v/>
      </c>
      <c r="AR7">
        <f>IF(Setup!$B$18="",0,IF(Q7="",0,IF(ISNUMBER(Q7),Q7,1)))</f>
        <v/>
      </c>
      <c r="AS7">
        <f>IF(Setup!$B$19="",0,IF(R7="",0,IF(ISNUMBER(R7),R7,1)))</f>
        <v/>
      </c>
      <c r="AT7">
        <f>IF(Setup!$B$20="",0,IF(S7="",0,IF(ISNUMBER(S7),S7,1)))</f>
        <v/>
      </c>
    </row>
    <row r="8">
      <c r="A8" s="1" t="n"/>
      <c r="B8" s="24" t="n">
        <v>46275</v>
      </c>
      <c r="C8" s="25" t="inlineStr">
        <is>
          <t>Groceries for the flat</t>
        </is>
      </c>
      <c r="D8" s="25" t="inlineStr">
        <is>
          <t>Groceries</t>
        </is>
      </c>
      <c r="E8" s="26" t="n">
        <v>64.3</v>
      </c>
      <c r="F8" s="27" t="inlineStr">
        <is>
          <t>EUR</t>
        </is>
      </c>
      <c r="G8" s="17" t="inlineStr">
        <is>
          <t>Chloe</t>
        </is>
      </c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9">
        <f>IF(N(E8)=0,"",E8*IF(F8="",1,IFERROR(INDEX(Setup!$E$9:$E$18,MATCH(F8,Setup!$D$9:$D$18,0)),0)))</f>
        <v/>
      </c>
      <c r="U8" s="30">
        <f>IF(T8="","",IF(V8=0,"Everyone",IF(COUNTIF(AI8:AT8,"&gt;0")=COUNTIF(Setup!$B$9:$B$20,"?*"),"Everyone",COUNTIF(AI8:AT8,"&gt;0")&amp;IF(COUNTIF(AI8:AT8,"&gt;0")=1," person"," people"))))</f>
        <v/>
      </c>
      <c r="V8" s="1">
        <f>SUM(AI8:AT8)</f>
        <v/>
      </c>
      <c r="W8">
        <f>IF(OR(T8="",Setup!$B$9=""),0,IF(V8=0,T8/COUNTIF(Setup!$B$9:$B$20,"?*"),T8*AI8/V8))</f>
        <v/>
      </c>
      <c r="X8">
        <f>IF(OR(T8="",Setup!$B$10=""),0,IF(V8=0,T8/COUNTIF(Setup!$B$9:$B$20,"?*"),T8*AJ8/V8))</f>
        <v/>
      </c>
      <c r="Y8">
        <f>IF(OR(T8="",Setup!$B$11=""),0,IF(V8=0,T8/COUNTIF(Setup!$B$9:$B$20,"?*"),T8*AK8/V8))</f>
        <v/>
      </c>
      <c r="Z8">
        <f>IF(OR(T8="",Setup!$B$12=""),0,IF(V8=0,T8/COUNTIF(Setup!$B$9:$B$20,"?*"),T8*AL8/V8))</f>
        <v/>
      </c>
      <c r="AA8">
        <f>IF(OR(T8="",Setup!$B$13=""),0,IF(V8=0,T8/COUNTIF(Setup!$B$9:$B$20,"?*"),T8*AM8/V8))</f>
        <v/>
      </c>
      <c r="AB8">
        <f>IF(OR(T8="",Setup!$B$14=""),0,IF(V8=0,T8/COUNTIF(Setup!$B$9:$B$20,"?*"),T8*AN8/V8))</f>
        <v/>
      </c>
      <c r="AC8">
        <f>IF(OR(T8="",Setup!$B$15=""),0,IF(V8=0,T8/COUNTIF(Setup!$B$9:$B$20,"?*"),T8*AO8/V8))</f>
        <v/>
      </c>
      <c r="AD8">
        <f>IF(OR(T8="",Setup!$B$16=""),0,IF(V8=0,T8/COUNTIF(Setup!$B$9:$B$20,"?*"),T8*AP8/V8))</f>
        <v/>
      </c>
      <c r="AE8">
        <f>IF(OR(T8="",Setup!$B$17=""),0,IF(V8=0,T8/COUNTIF(Setup!$B$9:$B$20,"?*"),T8*AQ8/V8))</f>
        <v/>
      </c>
      <c r="AF8">
        <f>IF(OR(T8="",Setup!$B$18=""),0,IF(V8=0,T8/COUNTIF(Setup!$B$9:$B$20,"?*"),T8*AR8/V8))</f>
        <v/>
      </c>
      <c r="AG8">
        <f>IF(OR(T8="",Setup!$B$19=""),0,IF(V8=0,T8/COUNTIF(Setup!$B$9:$B$20,"?*"),T8*AS8/V8))</f>
        <v/>
      </c>
      <c r="AH8">
        <f>IF(OR(T8="",Setup!$B$20=""),0,IF(V8=0,T8/COUNTIF(Setup!$B$9:$B$20,"?*"),T8*AT8/V8))</f>
        <v/>
      </c>
      <c r="AI8">
        <f>IF(Setup!$B$9="",0,IF(H8="",0,IF(ISNUMBER(H8),H8,1)))</f>
        <v/>
      </c>
      <c r="AJ8">
        <f>IF(Setup!$B$10="",0,IF(I8="",0,IF(ISNUMBER(I8),I8,1)))</f>
        <v/>
      </c>
      <c r="AK8">
        <f>IF(Setup!$B$11="",0,IF(J8="",0,IF(ISNUMBER(J8),J8,1)))</f>
        <v/>
      </c>
      <c r="AL8">
        <f>IF(Setup!$B$12="",0,IF(K8="",0,IF(ISNUMBER(K8),K8,1)))</f>
        <v/>
      </c>
      <c r="AM8">
        <f>IF(Setup!$B$13="",0,IF(L8="",0,IF(ISNUMBER(L8),L8,1)))</f>
        <v/>
      </c>
      <c r="AN8">
        <f>IF(Setup!$B$14="",0,IF(M8="",0,IF(ISNUMBER(M8),M8,1)))</f>
        <v/>
      </c>
      <c r="AO8">
        <f>IF(Setup!$B$15="",0,IF(N8="",0,IF(ISNUMBER(N8),N8,1)))</f>
        <v/>
      </c>
      <c r="AP8">
        <f>IF(Setup!$B$16="",0,IF(O8="",0,IF(ISNUMBER(O8),O8,1)))</f>
        <v/>
      </c>
      <c r="AQ8">
        <f>IF(Setup!$B$17="",0,IF(P8="",0,IF(ISNUMBER(P8),P8,1)))</f>
        <v/>
      </c>
      <c r="AR8">
        <f>IF(Setup!$B$18="",0,IF(Q8="",0,IF(ISNUMBER(Q8),Q8,1)))</f>
        <v/>
      </c>
      <c r="AS8">
        <f>IF(Setup!$B$19="",0,IF(R8="",0,IF(ISNUMBER(R8),R8,1)))</f>
        <v/>
      </c>
      <c r="AT8">
        <f>IF(Setup!$B$20="",0,IF(S8="",0,IF(ISNUMBER(S8),S8,1)))</f>
        <v/>
      </c>
    </row>
    <row r="9">
      <c r="A9" s="1" t="n"/>
      <c r="B9" s="24" t="n">
        <v>46275</v>
      </c>
      <c r="C9" s="25" t="inlineStr">
        <is>
          <t>Dinner in Alfama</t>
        </is>
      </c>
      <c r="D9" s="25" t="inlineStr">
        <is>
          <t>Food</t>
        </is>
      </c>
      <c r="E9" s="26" t="n">
        <v>142</v>
      </c>
      <c r="F9" s="27" t="inlineStr">
        <is>
          <t>EUR</t>
        </is>
      </c>
      <c r="G9" s="17" t="inlineStr">
        <is>
          <t>Dev</t>
        </is>
      </c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9">
        <f>IF(N(E9)=0,"",E9*IF(F9="",1,IFERROR(INDEX(Setup!$E$9:$E$18,MATCH(F9,Setup!$D$9:$D$18,0)),0)))</f>
        <v/>
      </c>
      <c r="U9" s="30">
        <f>IF(T9="","",IF(V9=0,"Everyone",IF(COUNTIF(AI9:AT9,"&gt;0")=COUNTIF(Setup!$B$9:$B$20,"?*"),"Everyone",COUNTIF(AI9:AT9,"&gt;0")&amp;IF(COUNTIF(AI9:AT9,"&gt;0")=1," person"," people"))))</f>
        <v/>
      </c>
      <c r="V9" s="1">
        <f>SUM(AI9:AT9)</f>
        <v/>
      </c>
      <c r="W9">
        <f>IF(OR(T9="",Setup!$B$9=""),0,IF(V9=0,T9/COUNTIF(Setup!$B$9:$B$20,"?*"),T9*AI9/V9))</f>
        <v/>
      </c>
      <c r="X9">
        <f>IF(OR(T9="",Setup!$B$10=""),0,IF(V9=0,T9/COUNTIF(Setup!$B$9:$B$20,"?*"),T9*AJ9/V9))</f>
        <v/>
      </c>
      <c r="Y9">
        <f>IF(OR(T9="",Setup!$B$11=""),0,IF(V9=0,T9/COUNTIF(Setup!$B$9:$B$20,"?*"),T9*AK9/V9))</f>
        <v/>
      </c>
      <c r="Z9">
        <f>IF(OR(T9="",Setup!$B$12=""),0,IF(V9=0,T9/COUNTIF(Setup!$B$9:$B$20,"?*"),T9*AL9/V9))</f>
        <v/>
      </c>
      <c r="AA9">
        <f>IF(OR(T9="",Setup!$B$13=""),0,IF(V9=0,T9/COUNTIF(Setup!$B$9:$B$20,"?*"),T9*AM9/V9))</f>
        <v/>
      </c>
      <c r="AB9">
        <f>IF(OR(T9="",Setup!$B$14=""),0,IF(V9=0,T9/COUNTIF(Setup!$B$9:$B$20,"?*"),T9*AN9/V9))</f>
        <v/>
      </c>
      <c r="AC9">
        <f>IF(OR(T9="",Setup!$B$15=""),0,IF(V9=0,T9/COUNTIF(Setup!$B$9:$B$20,"?*"),T9*AO9/V9))</f>
        <v/>
      </c>
      <c r="AD9">
        <f>IF(OR(T9="",Setup!$B$16=""),0,IF(V9=0,T9/COUNTIF(Setup!$B$9:$B$20,"?*"),T9*AP9/V9))</f>
        <v/>
      </c>
      <c r="AE9">
        <f>IF(OR(T9="",Setup!$B$17=""),0,IF(V9=0,T9/COUNTIF(Setup!$B$9:$B$20,"?*"),T9*AQ9/V9))</f>
        <v/>
      </c>
      <c r="AF9">
        <f>IF(OR(T9="",Setup!$B$18=""),0,IF(V9=0,T9/COUNTIF(Setup!$B$9:$B$20,"?*"),T9*AR9/V9))</f>
        <v/>
      </c>
      <c r="AG9">
        <f>IF(OR(T9="",Setup!$B$19=""),0,IF(V9=0,T9/COUNTIF(Setup!$B$9:$B$20,"?*"),T9*AS9/V9))</f>
        <v/>
      </c>
      <c r="AH9">
        <f>IF(OR(T9="",Setup!$B$20=""),0,IF(V9=0,T9/COUNTIF(Setup!$B$9:$B$20,"?*"),T9*AT9/V9))</f>
        <v/>
      </c>
      <c r="AI9">
        <f>IF(Setup!$B$9="",0,IF(H9="",0,IF(ISNUMBER(H9),H9,1)))</f>
        <v/>
      </c>
      <c r="AJ9">
        <f>IF(Setup!$B$10="",0,IF(I9="",0,IF(ISNUMBER(I9),I9,1)))</f>
        <v/>
      </c>
      <c r="AK9">
        <f>IF(Setup!$B$11="",0,IF(J9="",0,IF(ISNUMBER(J9),J9,1)))</f>
        <v/>
      </c>
      <c r="AL9">
        <f>IF(Setup!$B$12="",0,IF(K9="",0,IF(ISNUMBER(K9),K9,1)))</f>
        <v/>
      </c>
      <c r="AM9">
        <f>IF(Setup!$B$13="",0,IF(L9="",0,IF(ISNUMBER(L9),L9,1)))</f>
        <v/>
      </c>
      <c r="AN9">
        <f>IF(Setup!$B$14="",0,IF(M9="",0,IF(ISNUMBER(M9),M9,1)))</f>
        <v/>
      </c>
      <c r="AO9">
        <f>IF(Setup!$B$15="",0,IF(N9="",0,IF(ISNUMBER(N9),N9,1)))</f>
        <v/>
      </c>
      <c r="AP9">
        <f>IF(Setup!$B$16="",0,IF(O9="",0,IF(ISNUMBER(O9),O9,1)))</f>
        <v/>
      </c>
      <c r="AQ9">
        <f>IF(Setup!$B$17="",0,IF(P9="",0,IF(ISNUMBER(P9),P9,1)))</f>
        <v/>
      </c>
      <c r="AR9">
        <f>IF(Setup!$B$18="",0,IF(Q9="",0,IF(ISNUMBER(Q9),Q9,1)))</f>
        <v/>
      </c>
      <c r="AS9">
        <f>IF(Setup!$B$19="",0,IF(R9="",0,IF(ISNUMBER(R9),R9,1)))</f>
        <v/>
      </c>
      <c r="AT9">
        <f>IF(Setup!$B$20="",0,IF(S9="",0,IF(ISNUMBER(S9),S9,1)))</f>
        <v/>
      </c>
    </row>
    <row r="10">
      <c r="A10" s="1" t="n"/>
      <c r="B10" s="24" t="n">
        <v>46276</v>
      </c>
      <c r="C10" s="25" t="inlineStr">
        <is>
          <t>Tram day passes</t>
        </is>
      </c>
      <c r="D10" s="25" t="inlineStr">
        <is>
          <t>Transport</t>
        </is>
      </c>
      <c r="E10" s="26" t="n">
        <v>32</v>
      </c>
      <c r="F10" s="27" t="inlineStr">
        <is>
          <t>EUR</t>
        </is>
      </c>
      <c r="G10" s="17" t="inlineStr">
        <is>
          <t>Emma</t>
        </is>
      </c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9">
        <f>IF(N(E10)=0,"",E10*IF(F10="",1,IFERROR(INDEX(Setup!$E$9:$E$18,MATCH(F10,Setup!$D$9:$D$18,0)),0)))</f>
        <v/>
      </c>
      <c r="U10" s="30">
        <f>IF(T10="","",IF(V10=0,"Everyone",IF(COUNTIF(AI10:AT10,"&gt;0")=COUNTIF(Setup!$B$9:$B$20,"?*"),"Everyone",COUNTIF(AI10:AT10,"&gt;0")&amp;IF(COUNTIF(AI10:AT10,"&gt;0")=1," person"," people"))))</f>
        <v/>
      </c>
      <c r="V10" s="1">
        <f>SUM(AI10:AT10)</f>
        <v/>
      </c>
      <c r="W10">
        <f>IF(OR(T10="",Setup!$B$9=""),0,IF(V10=0,T10/COUNTIF(Setup!$B$9:$B$20,"?*"),T10*AI10/V10))</f>
        <v/>
      </c>
      <c r="X10">
        <f>IF(OR(T10="",Setup!$B$10=""),0,IF(V10=0,T10/COUNTIF(Setup!$B$9:$B$20,"?*"),T10*AJ10/V10))</f>
        <v/>
      </c>
      <c r="Y10">
        <f>IF(OR(T10="",Setup!$B$11=""),0,IF(V10=0,T10/COUNTIF(Setup!$B$9:$B$20,"?*"),T10*AK10/V10))</f>
        <v/>
      </c>
      <c r="Z10">
        <f>IF(OR(T10="",Setup!$B$12=""),0,IF(V10=0,T10/COUNTIF(Setup!$B$9:$B$20,"?*"),T10*AL10/V10))</f>
        <v/>
      </c>
      <c r="AA10">
        <f>IF(OR(T10="",Setup!$B$13=""),0,IF(V10=0,T10/COUNTIF(Setup!$B$9:$B$20,"?*"),T10*AM10/V10))</f>
        <v/>
      </c>
      <c r="AB10">
        <f>IF(OR(T10="",Setup!$B$14=""),0,IF(V10=0,T10/COUNTIF(Setup!$B$9:$B$20,"?*"),T10*AN10/V10))</f>
        <v/>
      </c>
      <c r="AC10">
        <f>IF(OR(T10="",Setup!$B$15=""),0,IF(V10=0,T10/COUNTIF(Setup!$B$9:$B$20,"?*"),T10*AO10/V10))</f>
        <v/>
      </c>
      <c r="AD10">
        <f>IF(OR(T10="",Setup!$B$16=""),0,IF(V10=0,T10/COUNTIF(Setup!$B$9:$B$20,"?*"),T10*AP10/V10))</f>
        <v/>
      </c>
      <c r="AE10">
        <f>IF(OR(T10="",Setup!$B$17=""),0,IF(V10=0,T10/COUNTIF(Setup!$B$9:$B$20,"?*"),T10*AQ10/V10))</f>
        <v/>
      </c>
      <c r="AF10">
        <f>IF(OR(T10="",Setup!$B$18=""),0,IF(V10=0,T10/COUNTIF(Setup!$B$9:$B$20,"?*"),T10*AR10/V10))</f>
        <v/>
      </c>
      <c r="AG10">
        <f>IF(OR(T10="",Setup!$B$19=""),0,IF(V10=0,T10/COUNTIF(Setup!$B$9:$B$20,"?*"),T10*AS10/V10))</f>
        <v/>
      </c>
      <c r="AH10">
        <f>IF(OR(T10="",Setup!$B$20=""),0,IF(V10=0,T10/COUNTIF(Setup!$B$9:$B$20,"?*"),T10*AT10/V10))</f>
        <v/>
      </c>
      <c r="AI10">
        <f>IF(Setup!$B$9="",0,IF(H10="",0,IF(ISNUMBER(H10),H10,1)))</f>
        <v/>
      </c>
      <c r="AJ10">
        <f>IF(Setup!$B$10="",0,IF(I10="",0,IF(ISNUMBER(I10),I10,1)))</f>
        <v/>
      </c>
      <c r="AK10">
        <f>IF(Setup!$B$11="",0,IF(J10="",0,IF(ISNUMBER(J10),J10,1)))</f>
        <v/>
      </c>
      <c r="AL10">
        <f>IF(Setup!$B$12="",0,IF(K10="",0,IF(ISNUMBER(K10),K10,1)))</f>
        <v/>
      </c>
      <c r="AM10">
        <f>IF(Setup!$B$13="",0,IF(L10="",0,IF(ISNUMBER(L10),L10,1)))</f>
        <v/>
      </c>
      <c r="AN10">
        <f>IF(Setup!$B$14="",0,IF(M10="",0,IF(ISNUMBER(M10),M10,1)))</f>
        <v/>
      </c>
      <c r="AO10">
        <f>IF(Setup!$B$15="",0,IF(N10="",0,IF(ISNUMBER(N10),N10,1)))</f>
        <v/>
      </c>
      <c r="AP10">
        <f>IF(Setup!$B$16="",0,IF(O10="",0,IF(ISNUMBER(O10),O10,1)))</f>
        <v/>
      </c>
      <c r="AQ10">
        <f>IF(Setup!$B$17="",0,IF(P10="",0,IF(ISNUMBER(P10),P10,1)))</f>
        <v/>
      </c>
      <c r="AR10">
        <f>IF(Setup!$B$18="",0,IF(Q10="",0,IF(ISNUMBER(Q10),Q10,1)))</f>
        <v/>
      </c>
      <c r="AS10">
        <f>IF(Setup!$B$19="",0,IF(R10="",0,IF(ISNUMBER(R10),R10,1)))</f>
        <v/>
      </c>
      <c r="AT10">
        <f>IF(Setup!$B$20="",0,IF(S10="",0,IF(ISNUMBER(S10),S10,1)))</f>
        <v/>
      </c>
    </row>
    <row r="11">
      <c r="A11" s="1" t="n"/>
      <c r="B11" s="24" t="n">
        <v>46276</v>
      </c>
      <c r="C11" s="25" t="inlineStr">
        <is>
          <t>Lunch at the market</t>
        </is>
      </c>
      <c r="D11" s="25" t="inlineStr">
        <is>
          <t>Food</t>
        </is>
      </c>
      <c r="E11" s="26" t="n">
        <v>88.5</v>
      </c>
      <c r="F11" s="27" t="inlineStr">
        <is>
          <t>EUR</t>
        </is>
      </c>
      <c r="G11" s="17" t="inlineStr">
        <is>
          <t>Ana</t>
        </is>
      </c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9">
        <f>IF(N(E11)=0,"",E11*IF(F11="",1,IFERROR(INDEX(Setup!$E$9:$E$18,MATCH(F11,Setup!$D$9:$D$18,0)),0)))</f>
        <v/>
      </c>
      <c r="U11" s="30">
        <f>IF(T11="","",IF(V11=0,"Everyone",IF(COUNTIF(AI11:AT11,"&gt;0")=COUNTIF(Setup!$B$9:$B$20,"?*"),"Everyone",COUNTIF(AI11:AT11,"&gt;0")&amp;IF(COUNTIF(AI11:AT11,"&gt;0")=1," person"," people"))))</f>
        <v/>
      </c>
      <c r="V11" s="1">
        <f>SUM(AI11:AT11)</f>
        <v/>
      </c>
      <c r="W11">
        <f>IF(OR(T11="",Setup!$B$9=""),0,IF(V11=0,T11/COUNTIF(Setup!$B$9:$B$20,"?*"),T11*AI11/V11))</f>
        <v/>
      </c>
      <c r="X11">
        <f>IF(OR(T11="",Setup!$B$10=""),0,IF(V11=0,T11/COUNTIF(Setup!$B$9:$B$20,"?*"),T11*AJ11/V11))</f>
        <v/>
      </c>
      <c r="Y11">
        <f>IF(OR(T11="",Setup!$B$11=""),0,IF(V11=0,T11/COUNTIF(Setup!$B$9:$B$20,"?*"),T11*AK11/V11))</f>
        <v/>
      </c>
      <c r="Z11">
        <f>IF(OR(T11="",Setup!$B$12=""),0,IF(V11=0,T11/COUNTIF(Setup!$B$9:$B$20,"?*"),T11*AL11/V11))</f>
        <v/>
      </c>
      <c r="AA11">
        <f>IF(OR(T11="",Setup!$B$13=""),0,IF(V11=0,T11/COUNTIF(Setup!$B$9:$B$20,"?*"),T11*AM11/V11))</f>
        <v/>
      </c>
      <c r="AB11">
        <f>IF(OR(T11="",Setup!$B$14=""),0,IF(V11=0,T11/COUNTIF(Setup!$B$9:$B$20,"?*"),T11*AN11/V11))</f>
        <v/>
      </c>
      <c r="AC11">
        <f>IF(OR(T11="",Setup!$B$15=""),0,IF(V11=0,T11/COUNTIF(Setup!$B$9:$B$20,"?*"),T11*AO11/V11))</f>
        <v/>
      </c>
      <c r="AD11">
        <f>IF(OR(T11="",Setup!$B$16=""),0,IF(V11=0,T11/COUNTIF(Setup!$B$9:$B$20,"?*"),T11*AP11/V11))</f>
        <v/>
      </c>
      <c r="AE11">
        <f>IF(OR(T11="",Setup!$B$17=""),0,IF(V11=0,T11/COUNTIF(Setup!$B$9:$B$20,"?*"),T11*AQ11/V11))</f>
        <v/>
      </c>
      <c r="AF11">
        <f>IF(OR(T11="",Setup!$B$18=""),0,IF(V11=0,T11/COUNTIF(Setup!$B$9:$B$20,"?*"),T11*AR11/V11))</f>
        <v/>
      </c>
      <c r="AG11">
        <f>IF(OR(T11="",Setup!$B$19=""),0,IF(V11=0,T11/COUNTIF(Setup!$B$9:$B$20,"?*"),T11*AS11/V11))</f>
        <v/>
      </c>
      <c r="AH11">
        <f>IF(OR(T11="",Setup!$B$20=""),0,IF(V11=0,T11/COUNTIF(Setup!$B$9:$B$20,"?*"),T11*AT11/V11))</f>
        <v/>
      </c>
      <c r="AI11">
        <f>IF(Setup!$B$9="",0,IF(H11="",0,IF(ISNUMBER(H11),H11,1)))</f>
        <v/>
      </c>
      <c r="AJ11">
        <f>IF(Setup!$B$10="",0,IF(I11="",0,IF(ISNUMBER(I11),I11,1)))</f>
        <v/>
      </c>
      <c r="AK11">
        <f>IF(Setup!$B$11="",0,IF(J11="",0,IF(ISNUMBER(J11),J11,1)))</f>
        <v/>
      </c>
      <c r="AL11">
        <f>IF(Setup!$B$12="",0,IF(K11="",0,IF(ISNUMBER(K11),K11,1)))</f>
        <v/>
      </c>
      <c r="AM11">
        <f>IF(Setup!$B$13="",0,IF(L11="",0,IF(ISNUMBER(L11),L11,1)))</f>
        <v/>
      </c>
      <c r="AN11">
        <f>IF(Setup!$B$14="",0,IF(M11="",0,IF(ISNUMBER(M11),M11,1)))</f>
        <v/>
      </c>
      <c r="AO11">
        <f>IF(Setup!$B$15="",0,IF(N11="",0,IF(ISNUMBER(N11),N11,1)))</f>
        <v/>
      </c>
      <c r="AP11">
        <f>IF(Setup!$B$16="",0,IF(O11="",0,IF(ISNUMBER(O11),O11,1)))</f>
        <v/>
      </c>
      <c r="AQ11">
        <f>IF(Setup!$B$17="",0,IF(P11="",0,IF(ISNUMBER(P11),P11,1)))</f>
        <v/>
      </c>
      <c r="AR11">
        <f>IF(Setup!$B$18="",0,IF(Q11="",0,IF(ISNUMBER(Q11),Q11,1)))</f>
        <v/>
      </c>
      <c r="AS11">
        <f>IF(Setup!$B$19="",0,IF(R11="",0,IF(ISNUMBER(R11),R11,1)))</f>
        <v/>
      </c>
      <c r="AT11">
        <f>IF(Setup!$B$20="",0,IF(S11="",0,IF(ISNUMBER(S11),S11,1)))</f>
        <v/>
      </c>
    </row>
    <row r="12">
      <c r="A12" s="1" t="n"/>
      <c r="B12" s="24" t="n">
        <v>46276</v>
      </c>
      <c r="C12" s="25" t="inlineStr">
        <is>
          <t>Castle tickets</t>
        </is>
      </c>
      <c r="D12" s="25" t="inlineStr">
        <is>
          <t>Activities</t>
        </is>
      </c>
      <c r="E12" s="26" t="n">
        <v>60</v>
      </c>
      <c r="F12" s="27" t="inlineStr">
        <is>
          <t>EUR</t>
        </is>
      </c>
      <c r="G12" s="17" t="inlineStr">
        <is>
          <t>Ben</t>
        </is>
      </c>
      <c r="H12" s="28" t="inlineStr">
        <is>
          <t>x</t>
        </is>
      </c>
      <c r="I12" s="28" t="inlineStr">
        <is>
          <t>x</t>
        </is>
      </c>
      <c r="J12" s="28" t="inlineStr">
        <is>
          <t>x</t>
        </is>
      </c>
      <c r="K12" s="28" t="inlineStr">
        <is>
          <t>x</t>
        </is>
      </c>
      <c r="L12" s="28" t="n"/>
      <c r="M12" s="28" t="n"/>
      <c r="N12" s="28" t="n"/>
      <c r="O12" s="28" t="n"/>
      <c r="P12" s="28" t="n"/>
      <c r="Q12" s="28" t="n"/>
      <c r="R12" s="28" t="n"/>
      <c r="S12" s="28" t="n"/>
      <c r="T12" s="29">
        <f>IF(N(E12)=0,"",E12*IF(F12="",1,IFERROR(INDEX(Setup!$E$9:$E$18,MATCH(F12,Setup!$D$9:$D$18,0)),0)))</f>
        <v/>
      </c>
      <c r="U12" s="30">
        <f>IF(T12="","",IF(V12=0,"Everyone",IF(COUNTIF(AI12:AT12,"&gt;0")=COUNTIF(Setup!$B$9:$B$20,"?*"),"Everyone",COUNTIF(AI12:AT12,"&gt;0")&amp;IF(COUNTIF(AI12:AT12,"&gt;0")=1," person"," people"))))</f>
        <v/>
      </c>
      <c r="V12" s="1">
        <f>SUM(AI12:AT12)</f>
        <v/>
      </c>
      <c r="W12">
        <f>IF(OR(T12="",Setup!$B$9=""),0,IF(V12=0,T12/COUNTIF(Setup!$B$9:$B$20,"?*"),T12*AI12/V12))</f>
        <v/>
      </c>
      <c r="X12">
        <f>IF(OR(T12="",Setup!$B$10=""),0,IF(V12=0,T12/COUNTIF(Setup!$B$9:$B$20,"?*"),T12*AJ12/V12))</f>
        <v/>
      </c>
      <c r="Y12">
        <f>IF(OR(T12="",Setup!$B$11=""),0,IF(V12=0,T12/COUNTIF(Setup!$B$9:$B$20,"?*"),T12*AK12/V12))</f>
        <v/>
      </c>
      <c r="Z12">
        <f>IF(OR(T12="",Setup!$B$12=""),0,IF(V12=0,T12/COUNTIF(Setup!$B$9:$B$20,"?*"),T12*AL12/V12))</f>
        <v/>
      </c>
      <c r="AA12">
        <f>IF(OR(T12="",Setup!$B$13=""),0,IF(V12=0,T12/COUNTIF(Setup!$B$9:$B$20,"?*"),T12*AM12/V12))</f>
        <v/>
      </c>
      <c r="AB12">
        <f>IF(OR(T12="",Setup!$B$14=""),0,IF(V12=0,T12/COUNTIF(Setup!$B$9:$B$20,"?*"),T12*AN12/V12))</f>
        <v/>
      </c>
      <c r="AC12">
        <f>IF(OR(T12="",Setup!$B$15=""),0,IF(V12=0,T12/COUNTIF(Setup!$B$9:$B$20,"?*"),T12*AO12/V12))</f>
        <v/>
      </c>
      <c r="AD12">
        <f>IF(OR(T12="",Setup!$B$16=""),0,IF(V12=0,T12/COUNTIF(Setup!$B$9:$B$20,"?*"),T12*AP12/V12))</f>
        <v/>
      </c>
      <c r="AE12">
        <f>IF(OR(T12="",Setup!$B$17=""),0,IF(V12=0,T12/COUNTIF(Setup!$B$9:$B$20,"?*"),T12*AQ12/V12))</f>
        <v/>
      </c>
      <c r="AF12">
        <f>IF(OR(T12="",Setup!$B$18=""),0,IF(V12=0,T12/COUNTIF(Setup!$B$9:$B$20,"?*"),T12*AR12/V12))</f>
        <v/>
      </c>
      <c r="AG12">
        <f>IF(OR(T12="",Setup!$B$19=""),0,IF(V12=0,T12/COUNTIF(Setup!$B$9:$B$20,"?*"),T12*AS12/V12))</f>
        <v/>
      </c>
      <c r="AH12">
        <f>IF(OR(T12="",Setup!$B$20=""),0,IF(V12=0,T12/COUNTIF(Setup!$B$9:$B$20,"?*"),T12*AT12/V12))</f>
        <v/>
      </c>
      <c r="AI12">
        <f>IF(Setup!$B$9="",0,IF(H12="",0,IF(ISNUMBER(H12),H12,1)))</f>
        <v/>
      </c>
      <c r="AJ12">
        <f>IF(Setup!$B$10="",0,IF(I12="",0,IF(ISNUMBER(I12),I12,1)))</f>
        <v/>
      </c>
      <c r="AK12">
        <f>IF(Setup!$B$11="",0,IF(J12="",0,IF(ISNUMBER(J12),J12,1)))</f>
        <v/>
      </c>
      <c r="AL12">
        <f>IF(Setup!$B$12="",0,IF(K12="",0,IF(ISNUMBER(K12),K12,1)))</f>
        <v/>
      </c>
      <c r="AM12">
        <f>IF(Setup!$B$13="",0,IF(L12="",0,IF(ISNUMBER(L12),L12,1)))</f>
        <v/>
      </c>
      <c r="AN12">
        <f>IF(Setup!$B$14="",0,IF(M12="",0,IF(ISNUMBER(M12),M12,1)))</f>
        <v/>
      </c>
      <c r="AO12">
        <f>IF(Setup!$B$15="",0,IF(N12="",0,IF(ISNUMBER(N12),N12,1)))</f>
        <v/>
      </c>
      <c r="AP12">
        <f>IF(Setup!$B$16="",0,IF(O12="",0,IF(ISNUMBER(O12),O12,1)))</f>
        <v/>
      </c>
      <c r="AQ12">
        <f>IF(Setup!$B$17="",0,IF(P12="",0,IF(ISNUMBER(P12),P12,1)))</f>
        <v/>
      </c>
      <c r="AR12">
        <f>IF(Setup!$B$18="",0,IF(Q12="",0,IF(ISNUMBER(Q12),Q12,1)))</f>
        <v/>
      </c>
      <c r="AS12">
        <f>IF(Setup!$B$19="",0,IF(R12="",0,IF(ISNUMBER(R12),R12,1)))</f>
        <v/>
      </c>
      <c r="AT12">
        <f>IF(Setup!$B$20="",0,IF(S12="",0,IF(ISNUMBER(S12),S12,1)))</f>
        <v/>
      </c>
    </row>
    <row r="13">
      <c r="A13" s="1" t="n"/>
      <c r="B13" s="24" t="n">
        <v>46276</v>
      </c>
      <c r="C13" s="25" t="inlineStr">
        <is>
          <t>Dinner and fado</t>
        </is>
      </c>
      <c r="D13" s="25" t="inlineStr">
        <is>
          <t>Food</t>
        </is>
      </c>
      <c r="E13" s="26" t="n">
        <v>196</v>
      </c>
      <c r="F13" s="27" t="inlineStr">
        <is>
          <t>EUR</t>
        </is>
      </c>
      <c r="G13" s="17" t="inlineStr">
        <is>
          <t>Chloe</t>
        </is>
      </c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9">
        <f>IF(N(E13)=0,"",E13*IF(F13="",1,IFERROR(INDEX(Setup!$E$9:$E$18,MATCH(F13,Setup!$D$9:$D$18,0)),0)))</f>
        <v/>
      </c>
      <c r="U13" s="30">
        <f>IF(T13="","",IF(V13=0,"Everyone",IF(COUNTIF(AI13:AT13,"&gt;0")=COUNTIF(Setup!$B$9:$B$20,"?*"),"Everyone",COUNTIF(AI13:AT13,"&gt;0")&amp;IF(COUNTIF(AI13:AT13,"&gt;0")=1," person"," people"))))</f>
        <v/>
      </c>
      <c r="V13" s="1">
        <f>SUM(AI13:AT13)</f>
        <v/>
      </c>
      <c r="W13">
        <f>IF(OR(T13="",Setup!$B$9=""),0,IF(V13=0,T13/COUNTIF(Setup!$B$9:$B$20,"?*"),T13*AI13/V13))</f>
        <v/>
      </c>
      <c r="X13">
        <f>IF(OR(T13="",Setup!$B$10=""),0,IF(V13=0,T13/COUNTIF(Setup!$B$9:$B$20,"?*"),T13*AJ13/V13))</f>
        <v/>
      </c>
      <c r="Y13">
        <f>IF(OR(T13="",Setup!$B$11=""),0,IF(V13=0,T13/COUNTIF(Setup!$B$9:$B$20,"?*"),T13*AK13/V13))</f>
        <v/>
      </c>
      <c r="Z13">
        <f>IF(OR(T13="",Setup!$B$12=""),0,IF(V13=0,T13/COUNTIF(Setup!$B$9:$B$20,"?*"),T13*AL13/V13))</f>
        <v/>
      </c>
      <c r="AA13">
        <f>IF(OR(T13="",Setup!$B$13=""),0,IF(V13=0,T13/COUNTIF(Setup!$B$9:$B$20,"?*"),T13*AM13/V13))</f>
        <v/>
      </c>
      <c r="AB13">
        <f>IF(OR(T13="",Setup!$B$14=""),0,IF(V13=0,T13/COUNTIF(Setup!$B$9:$B$20,"?*"),T13*AN13/V13))</f>
        <v/>
      </c>
      <c r="AC13">
        <f>IF(OR(T13="",Setup!$B$15=""),0,IF(V13=0,T13/COUNTIF(Setup!$B$9:$B$20,"?*"),T13*AO13/V13))</f>
        <v/>
      </c>
      <c r="AD13">
        <f>IF(OR(T13="",Setup!$B$16=""),0,IF(V13=0,T13/COUNTIF(Setup!$B$9:$B$20,"?*"),T13*AP13/V13))</f>
        <v/>
      </c>
      <c r="AE13">
        <f>IF(OR(T13="",Setup!$B$17=""),0,IF(V13=0,T13/COUNTIF(Setup!$B$9:$B$20,"?*"),T13*AQ13/V13))</f>
        <v/>
      </c>
      <c r="AF13">
        <f>IF(OR(T13="",Setup!$B$18=""),0,IF(V13=0,T13/COUNTIF(Setup!$B$9:$B$20,"?*"),T13*AR13/V13))</f>
        <v/>
      </c>
      <c r="AG13">
        <f>IF(OR(T13="",Setup!$B$19=""),0,IF(V13=0,T13/COUNTIF(Setup!$B$9:$B$20,"?*"),T13*AS13/V13))</f>
        <v/>
      </c>
      <c r="AH13">
        <f>IF(OR(T13="",Setup!$B$20=""),0,IF(V13=0,T13/COUNTIF(Setup!$B$9:$B$20,"?*"),T13*AT13/V13))</f>
        <v/>
      </c>
      <c r="AI13">
        <f>IF(Setup!$B$9="",0,IF(H13="",0,IF(ISNUMBER(H13),H13,1)))</f>
        <v/>
      </c>
      <c r="AJ13">
        <f>IF(Setup!$B$10="",0,IF(I13="",0,IF(ISNUMBER(I13),I13,1)))</f>
        <v/>
      </c>
      <c r="AK13">
        <f>IF(Setup!$B$11="",0,IF(J13="",0,IF(ISNUMBER(J13),J13,1)))</f>
        <v/>
      </c>
      <c r="AL13">
        <f>IF(Setup!$B$12="",0,IF(K13="",0,IF(ISNUMBER(K13),K13,1)))</f>
        <v/>
      </c>
      <c r="AM13">
        <f>IF(Setup!$B$13="",0,IF(L13="",0,IF(ISNUMBER(L13),L13,1)))</f>
        <v/>
      </c>
      <c r="AN13">
        <f>IF(Setup!$B$14="",0,IF(M13="",0,IF(ISNUMBER(M13),M13,1)))</f>
        <v/>
      </c>
      <c r="AO13">
        <f>IF(Setup!$B$15="",0,IF(N13="",0,IF(ISNUMBER(N13),N13,1)))</f>
        <v/>
      </c>
      <c r="AP13">
        <f>IF(Setup!$B$16="",0,IF(O13="",0,IF(ISNUMBER(O13),O13,1)))</f>
        <v/>
      </c>
      <c r="AQ13">
        <f>IF(Setup!$B$17="",0,IF(P13="",0,IF(ISNUMBER(P13),P13,1)))</f>
        <v/>
      </c>
      <c r="AR13">
        <f>IF(Setup!$B$18="",0,IF(Q13="",0,IF(ISNUMBER(Q13),Q13,1)))</f>
        <v/>
      </c>
      <c r="AS13">
        <f>IF(Setup!$B$19="",0,IF(R13="",0,IF(ISNUMBER(R13),R13,1)))</f>
        <v/>
      </c>
      <c r="AT13">
        <f>IF(Setup!$B$20="",0,IF(S13="",0,IF(ISNUMBER(S13),S13,1)))</f>
        <v/>
      </c>
    </row>
    <row r="14">
      <c r="A14" s="1" t="n"/>
      <c r="B14" s="24" t="n">
        <v>46277</v>
      </c>
      <c r="C14" s="25" t="inlineStr">
        <is>
          <t>Sintra train and palace</t>
        </is>
      </c>
      <c r="D14" s="25" t="inlineStr">
        <is>
          <t>Activities</t>
        </is>
      </c>
      <c r="E14" s="26" t="n">
        <v>115</v>
      </c>
      <c r="F14" s="27" t="inlineStr">
        <is>
          <t>EUR</t>
        </is>
      </c>
      <c r="G14" s="17" t="inlineStr">
        <is>
          <t>Dev</t>
        </is>
      </c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9">
        <f>IF(N(E14)=0,"",E14*IF(F14="",1,IFERROR(INDEX(Setup!$E$9:$E$18,MATCH(F14,Setup!$D$9:$D$18,0)),0)))</f>
        <v/>
      </c>
      <c r="U14" s="30">
        <f>IF(T14="","",IF(V14=0,"Everyone",IF(COUNTIF(AI14:AT14,"&gt;0")=COUNTIF(Setup!$B$9:$B$20,"?*"),"Everyone",COUNTIF(AI14:AT14,"&gt;0")&amp;IF(COUNTIF(AI14:AT14,"&gt;0")=1," person"," people"))))</f>
        <v/>
      </c>
      <c r="V14" s="1">
        <f>SUM(AI14:AT14)</f>
        <v/>
      </c>
      <c r="W14">
        <f>IF(OR(T14="",Setup!$B$9=""),0,IF(V14=0,T14/COUNTIF(Setup!$B$9:$B$20,"?*"),T14*AI14/V14))</f>
        <v/>
      </c>
      <c r="X14">
        <f>IF(OR(T14="",Setup!$B$10=""),0,IF(V14=0,T14/COUNTIF(Setup!$B$9:$B$20,"?*"),T14*AJ14/V14))</f>
        <v/>
      </c>
      <c r="Y14">
        <f>IF(OR(T14="",Setup!$B$11=""),0,IF(V14=0,T14/COUNTIF(Setup!$B$9:$B$20,"?*"),T14*AK14/V14))</f>
        <v/>
      </c>
      <c r="Z14">
        <f>IF(OR(T14="",Setup!$B$12=""),0,IF(V14=0,T14/COUNTIF(Setup!$B$9:$B$20,"?*"),T14*AL14/V14))</f>
        <v/>
      </c>
      <c r="AA14">
        <f>IF(OR(T14="",Setup!$B$13=""),0,IF(V14=0,T14/COUNTIF(Setup!$B$9:$B$20,"?*"),T14*AM14/V14))</f>
        <v/>
      </c>
      <c r="AB14">
        <f>IF(OR(T14="",Setup!$B$14=""),0,IF(V14=0,T14/COUNTIF(Setup!$B$9:$B$20,"?*"),T14*AN14/V14))</f>
        <v/>
      </c>
      <c r="AC14">
        <f>IF(OR(T14="",Setup!$B$15=""),0,IF(V14=0,T14/COUNTIF(Setup!$B$9:$B$20,"?*"),T14*AO14/V14))</f>
        <v/>
      </c>
      <c r="AD14">
        <f>IF(OR(T14="",Setup!$B$16=""),0,IF(V14=0,T14/COUNTIF(Setup!$B$9:$B$20,"?*"),T14*AP14/V14))</f>
        <v/>
      </c>
      <c r="AE14">
        <f>IF(OR(T14="",Setup!$B$17=""),0,IF(V14=0,T14/COUNTIF(Setup!$B$9:$B$20,"?*"),T14*AQ14/V14))</f>
        <v/>
      </c>
      <c r="AF14">
        <f>IF(OR(T14="",Setup!$B$18=""),0,IF(V14=0,T14/COUNTIF(Setup!$B$9:$B$20,"?*"),T14*AR14/V14))</f>
        <v/>
      </c>
      <c r="AG14">
        <f>IF(OR(T14="",Setup!$B$19=""),0,IF(V14=0,T14/COUNTIF(Setup!$B$9:$B$20,"?*"),T14*AS14/V14))</f>
        <v/>
      </c>
      <c r="AH14">
        <f>IF(OR(T14="",Setup!$B$20=""),0,IF(V14=0,T14/COUNTIF(Setup!$B$9:$B$20,"?*"),T14*AT14/V14))</f>
        <v/>
      </c>
      <c r="AI14">
        <f>IF(Setup!$B$9="",0,IF(H14="",0,IF(ISNUMBER(H14),H14,1)))</f>
        <v/>
      </c>
      <c r="AJ14">
        <f>IF(Setup!$B$10="",0,IF(I14="",0,IF(ISNUMBER(I14),I14,1)))</f>
        <v/>
      </c>
      <c r="AK14">
        <f>IF(Setup!$B$11="",0,IF(J14="",0,IF(ISNUMBER(J14),J14,1)))</f>
        <v/>
      </c>
      <c r="AL14">
        <f>IF(Setup!$B$12="",0,IF(K14="",0,IF(ISNUMBER(K14),K14,1)))</f>
        <v/>
      </c>
      <c r="AM14">
        <f>IF(Setup!$B$13="",0,IF(L14="",0,IF(ISNUMBER(L14),L14,1)))</f>
        <v/>
      </c>
      <c r="AN14">
        <f>IF(Setup!$B$14="",0,IF(M14="",0,IF(ISNUMBER(M14),M14,1)))</f>
        <v/>
      </c>
      <c r="AO14">
        <f>IF(Setup!$B$15="",0,IF(N14="",0,IF(ISNUMBER(N14),N14,1)))</f>
        <v/>
      </c>
      <c r="AP14">
        <f>IF(Setup!$B$16="",0,IF(O14="",0,IF(ISNUMBER(O14),O14,1)))</f>
        <v/>
      </c>
      <c r="AQ14">
        <f>IF(Setup!$B$17="",0,IF(P14="",0,IF(ISNUMBER(P14),P14,1)))</f>
        <v/>
      </c>
      <c r="AR14">
        <f>IF(Setup!$B$18="",0,IF(Q14="",0,IF(ISNUMBER(Q14),Q14,1)))</f>
        <v/>
      </c>
      <c r="AS14">
        <f>IF(Setup!$B$19="",0,IF(R14="",0,IF(ISNUMBER(R14),R14,1)))</f>
        <v/>
      </c>
      <c r="AT14">
        <f>IF(Setup!$B$20="",0,IF(S14="",0,IF(ISNUMBER(S14),S14,1)))</f>
        <v/>
      </c>
    </row>
    <row r="15">
      <c r="A15" s="1" t="n"/>
      <c r="B15" s="24" t="n">
        <v>46277</v>
      </c>
      <c r="C15" s="25" t="inlineStr">
        <is>
          <t>Surf lesson</t>
        </is>
      </c>
      <c r="D15" s="25" t="inlineStr">
        <is>
          <t>Activities</t>
        </is>
      </c>
      <c r="E15" s="26" t="n">
        <v>90</v>
      </c>
      <c r="F15" s="27" t="inlineStr">
        <is>
          <t>EUR</t>
        </is>
      </c>
      <c r="G15" s="17" t="inlineStr">
        <is>
          <t>Ben</t>
        </is>
      </c>
      <c r="H15" s="28" t="n"/>
      <c r="I15" s="28" t="inlineStr">
        <is>
          <t>x</t>
        </is>
      </c>
      <c r="J15" s="28" t="n"/>
      <c r="K15" s="28" t="inlineStr">
        <is>
          <t>x</t>
        </is>
      </c>
      <c r="L15" s="28" t="n"/>
      <c r="M15" s="28" t="n"/>
      <c r="N15" s="28" t="n"/>
      <c r="O15" s="28" t="n"/>
      <c r="P15" s="28" t="n"/>
      <c r="Q15" s="28" t="n"/>
      <c r="R15" s="28" t="n"/>
      <c r="S15" s="28" t="n"/>
      <c r="T15" s="29">
        <f>IF(N(E15)=0,"",E15*IF(F15="",1,IFERROR(INDEX(Setup!$E$9:$E$18,MATCH(F15,Setup!$D$9:$D$18,0)),0)))</f>
        <v/>
      </c>
      <c r="U15" s="30">
        <f>IF(T15="","",IF(V15=0,"Everyone",IF(COUNTIF(AI15:AT15,"&gt;0")=COUNTIF(Setup!$B$9:$B$20,"?*"),"Everyone",COUNTIF(AI15:AT15,"&gt;0")&amp;IF(COUNTIF(AI15:AT15,"&gt;0")=1," person"," people"))))</f>
        <v/>
      </c>
      <c r="V15" s="1">
        <f>SUM(AI15:AT15)</f>
        <v/>
      </c>
      <c r="W15">
        <f>IF(OR(T15="",Setup!$B$9=""),0,IF(V15=0,T15/COUNTIF(Setup!$B$9:$B$20,"?*"),T15*AI15/V15))</f>
        <v/>
      </c>
      <c r="X15">
        <f>IF(OR(T15="",Setup!$B$10=""),0,IF(V15=0,T15/COUNTIF(Setup!$B$9:$B$20,"?*"),T15*AJ15/V15))</f>
        <v/>
      </c>
      <c r="Y15">
        <f>IF(OR(T15="",Setup!$B$11=""),0,IF(V15=0,T15/COUNTIF(Setup!$B$9:$B$20,"?*"),T15*AK15/V15))</f>
        <v/>
      </c>
      <c r="Z15">
        <f>IF(OR(T15="",Setup!$B$12=""),0,IF(V15=0,T15/COUNTIF(Setup!$B$9:$B$20,"?*"),T15*AL15/V15))</f>
        <v/>
      </c>
      <c r="AA15">
        <f>IF(OR(T15="",Setup!$B$13=""),0,IF(V15=0,T15/COUNTIF(Setup!$B$9:$B$20,"?*"),T15*AM15/V15))</f>
        <v/>
      </c>
      <c r="AB15">
        <f>IF(OR(T15="",Setup!$B$14=""),0,IF(V15=0,T15/COUNTIF(Setup!$B$9:$B$20,"?*"),T15*AN15/V15))</f>
        <v/>
      </c>
      <c r="AC15">
        <f>IF(OR(T15="",Setup!$B$15=""),0,IF(V15=0,T15/COUNTIF(Setup!$B$9:$B$20,"?*"),T15*AO15/V15))</f>
        <v/>
      </c>
      <c r="AD15">
        <f>IF(OR(T15="",Setup!$B$16=""),0,IF(V15=0,T15/COUNTIF(Setup!$B$9:$B$20,"?*"),T15*AP15/V15))</f>
        <v/>
      </c>
      <c r="AE15">
        <f>IF(OR(T15="",Setup!$B$17=""),0,IF(V15=0,T15/COUNTIF(Setup!$B$9:$B$20,"?*"),T15*AQ15/V15))</f>
        <v/>
      </c>
      <c r="AF15">
        <f>IF(OR(T15="",Setup!$B$18=""),0,IF(V15=0,T15/COUNTIF(Setup!$B$9:$B$20,"?*"),T15*AR15/V15))</f>
        <v/>
      </c>
      <c r="AG15">
        <f>IF(OR(T15="",Setup!$B$19=""),0,IF(V15=0,T15/COUNTIF(Setup!$B$9:$B$20,"?*"),T15*AS15/V15))</f>
        <v/>
      </c>
      <c r="AH15">
        <f>IF(OR(T15="",Setup!$B$20=""),0,IF(V15=0,T15/COUNTIF(Setup!$B$9:$B$20,"?*"),T15*AT15/V15))</f>
        <v/>
      </c>
      <c r="AI15">
        <f>IF(Setup!$B$9="",0,IF(H15="",0,IF(ISNUMBER(H15),H15,1)))</f>
        <v/>
      </c>
      <c r="AJ15">
        <f>IF(Setup!$B$10="",0,IF(I15="",0,IF(ISNUMBER(I15),I15,1)))</f>
        <v/>
      </c>
      <c r="AK15">
        <f>IF(Setup!$B$11="",0,IF(J15="",0,IF(ISNUMBER(J15),J15,1)))</f>
        <v/>
      </c>
      <c r="AL15">
        <f>IF(Setup!$B$12="",0,IF(K15="",0,IF(ISNUMBER(K15),K15,1)))</f>
        <v/>
      </c>
      <c r="AM15">
        <f>IF(Setup!$B$13="",0,IF(L15="",0,IF(ISNUMBER(L15),L15,1)))</f>
        <v/>
      </c>
      <c r="AN15">
        <f>IF(Setup!$B$14="",0,IF(M15="",0,IF(ISNUMBER(M15),M15,1)))</f>
        <v/>
      </c>
      <c r="AO15">
        <f>IF(Setup!$B$15="",0,IF(N15="",0,IF(ISNUMBER(N15),N15,1)))</f>
        <v/>
      </c>
      <c r="AP15">
        <f>IF(Setup!$B$16="",0,IF(O15="",0,IF(ISNUMBER(O15),O15,1)))</f>
        <v/>
      </c>
      <c r="AQ15">
        <f>IF(Setup!$B$17="",0,IF(P15="",0,IF(ISNUMBER(P15),P15,1)))</f>
        <v/>
      </c>
      <c r="AR15">
        <f>IF(Setup!$B$18="",0,IF(Q15="",0,IF(ISNUMBER(Q15),Q15,1)))</f>
        <v/>
      </c>
      <c r="AS15">
        <f>IF(Setup!$B$19="",0,IF(R15="",0,IF(ISNUMBER(R15),R15,1)))</f>
        <v/>
      </c>
      <c r="AT15">
        <f>IF(Setup!$B$20="",0,IF(S15="",0,IF(ISNUMBER(S15),S15,1)))</f>
        <v/>
      </c>
    </row>
    <row r="16">
      <c r="A16" s="1" t="n"/>
      <c r="B16" s="24" t="n">
        <v>46277</v>
      </c>
      <c r="C16" s="25" t="inlineStr">
        <is>
          <t>Pastries in Belem</t>
        </is>
      </c>
      <c r="D16" s="25" t="inlineStr">
        <is>
          <t>Food</t>
        </is>
      </c>
      <c r="E16" s="26" t="n">
        <v>21.6</v>
      </c>
      <c r="F16" s="27" t="inlineStr">
        <is>
          <t>EUR</t>
        </is>
      </c>
      <c r="G16" s="17" t="inlineStr">
        <is>
          <t>Emma</t>
        </is>
      </c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9">
        <f>IF(N(E16)=0,"",E16*IF(F16="",1,IFERROR(INDEX(Setup!$E$9:$E$18,MATCH(F16,Setup!$D$9:$D$18,0)),0)))</f>
        <v/>
      </c>
      <c r="U16" s="30">
        <f>IF(T16="","",IF(V16=0,"Everyone",IF(COUNTIF(AI16:AT16,"&gt;0")=COUNTIF(Setup!$B$9:$B$20,"?*"),"Everyone",COUNTIF(AI16:AT16,"&gt;0")&amp;IF(COUNTIF(AI16:AT16,"&gt;0")=1," person"," people"))))</f>
        <v/>
      </c>
      <c r="V16" s="1">
        <f>SUM(AI16:AT16)</f>
        <v/>
      </c>
      <c r="W16">
        <f>IF(OR(T16="",Setup!$B$9=""),0,IF(V16=0,T16/COUNTIF(Setup!$B$9:$B$20,"?*"),T16*AI16/V16))</f>
        <v/>
      </c>
      <c r="X16">
        <f>IF(OR(T16="",Setup!$B$10=""),0,IF(V16=0,T16/COUNTIF(Setup!$B$9:$B$20,"?*"),T16*AJ16/V16))</f>
        <v/>
      </c>
      <c r="Y16">
        <f>IF(OR(T16="",Setup!$B$11=""),0,IF(V16=0,T16/COUNTIF(Setup!$B$9:$B$20,"?*"),T16*AK16/V16))</f>
        <v/>
      </c>
      <c r="Z16">
        <f>IF(OR(T16="",Setup!$B$12=""),0,IF(V16=0,T16/COUNTIF(Setup!$B$9:$B$20,"?*"),T16*AL16/V16))</f>
        <v/>
      </c>
      <c r="AA16">
        <f>IF(OR(T16="",Setup!$B$13=""),0,IF(V16=0,T16/COUNTIF(Setup!$B$9:$B$20,"?*"),T16*AM16/V16))</f>
        <v/>
      </c>
      <c r="AB16">
        <f>IF(OR(T16="",Setup!$B$14=""),0,IF(V16=0,T16/COUNTIF(Setup!$B$9:$B$20,"?*"),T16*AN16/V16))</f>
        <v/>
      </c>
      <c r="AC16">
        <f>IF(OR(T16="",Setup!$B$15=""),0,IF(V16=0,T16/COUNTIF(Setup!$B$9:$B$20,"?*"),T16*AO16/V16))</f>
        <v/>
      </c>
      <c r="AD16">
        <f>IF(OR(T16="",Setup!$B$16=""),0,IF(V16=0,T16/COUNTIF(Setup!$B$9:$B$20,"?*"),T16*AP16/V16))</f>
        <v/>
      </c>
      <c r="AE16">
        <f>IF(OR(T16="",Setup!$B$17=""),0,IF(V16=0,T16/COUNTIF(Setup!$B$9:$B$20,"?*"),T16*AQ16/V16))</f>
        <v/>
      </c>
      <c r="AF16">
        <f>IF(OR(T16="",Setup!$B$18=""),0,IF(V16=0,T16/COUNTIF(Setup!$B$9:$B$20,"?*"),T16*AR16/V16))</f>
        <v/>
      </c>
      <c r="AG16">
        <f>IF(OR(T16="",Setup!$B$19=""),0,IF(V16=0,T16/COUNTIF(Setup!$B$9:$B$20,"?*"),T16*AS16/V16))</f>
        <v/>
      </c>
      <c r="AH16">
        <f>IF(OR(T16="",Setup!$B$20=""),0,IF(V16=0,T16/COUNTIF(Setup!$B$9:$B$20,"?*"),T16*AT16/V16))</f>
        <v/>
      </c>
      <c r="AI16">
        <f>IF(Setup!$B$9="",0,IF(H16="",0,IF(ISNUMBER(H16),H16,1)))</f>
        <v/>
      </c>
      <c r="AJ16">
        <f>IF(Setup!$B$10="",0,IF(I16="",0,IF(ISNUMBER(I16),I16,1)))</f>
        <v/>
      </c>
      <c r="AK16">
        <f>IF(Setup!$B$11="",0,IF(J16="",0,IF(ISNUMBER(J16),J16,1)))</f>
        <v/>
      </c>
      <c r="AL16">
        <f>IF(Setup!$B$12="",0,IF(K16="",0,IF(ISNUMBER(K16),K16,1)))</f>
        <v/>
      </c>
      <c r="AM16">
        <f>IF(Setup!$B$13="",0,IF(L16="",0,IF(ISNUMBER(L16),L16,1)))</f>
        <v/>
      </c>
      <c r="AN16">
        <f>IF(Setup!$B$14="",0,IF(M16="",0,IF(ISNUMBER(M16),M16,1)))</f>
        <v/>
      </c>
      <c r="AO16">
        <f>IF(Setup!$B$15="",0,IF(N16="",0,IF(ISNUMBER(N16),N16,1)))</f>
        <v/>
      </c>
      <c r="AP16">
        <f>IF(Setup!$B$16="",0,IF(O16="",0,IF(ISNUMBER(O16),O16,1)))</f>
        <v/>
      </c>
      <c r="AQ16">
        <f>IF(Setup!$B$17="",0,IF(P16="",0,IF(ISNUMBER(P16),P16,1)))</f>
        <v/>
      </c>
      <c r="AR16">
        <f>IF(Setup!$B$18="",0,IF(Q16="",0,IF(ISNUMBER(Q16),Q16,1)))</f>
        <v/>
      </c>
      <c r="AS16">
        <f>IF(Setup!$B$19="",0,IF(R16="",0,IF(ISNUMBER(R16),R16,1)))</f>
        <v/>
      </c>
      <c r="AT16">
        <f>IF(Setup!$B$20="",0,IF(S16="",0,IF(ISNUMBER(S16),S16,1)))</f>
        <v/>
      </c>
    </row>
    <row r="17">
      <c r="A17" s="1" t="n"/>
      <c r="B17" s="24" t="n">
        <v>46277</v>
      </c>
      <c r="C17" s="25" t="inlineStr">
        <is>
          <t>Dinner</t>
        </is>
      </c>
      <c r="D17" s="25" t="inlineStr">
        <is>
          <t>Food</t>
        </is>
      </c>
      <c r="E17" s="26" t="n">
        <v>128</v>
      </c>
      <c r="F17" s="27" t="inlineStr">
        <is>
          <t>EUR</t>
        </is>
      </c>
      <c r="G17" s="17" t="inlineStr">
        <is>
          <t>Ana</t>
        </is>
      </c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9">
        <f>IF(N(E17)=0,"",E17*IF(F17="",1,IFERROR(INDEX(Setup!$E$9:$E$18,MATCH(F17,Setup!$D$9:$D$18,0)),0)))</f>
        <v/>
      </c>
      <c r="U17" s="30">
        <f>IF(T17="","",IF(V17=0,"Everyone",IF(COUNTIF(AI17:AT17,"&gt;0")=COUNTIF(Setup!$B$9:$B$20,"?*"),"Everyone",COUNTIF(AI17:AT17,"&gt;0")&amp;IF(COUNTIF(AI17:AT17,"&gt;0")=1," person"," people"))))</f>
        <v/>
      </c>
      <c r="V17" s="1">
        <f>SUM(AI17:AT17)</f>
        <v/>
      </c>
      <c r="W17">
        <f>IF(OR(T17="",Setup!$B$9=""),0,IF(V17=0,T17/COUNTIF(Setup!$B$9:$B$20,"?*"),T17*AI17/V17))</f>
        <v/>
      </c>
      <c r="X17">
        <f>IF(OR(T17="",Setup!$B$10=""),0,IF(V17=0,T17/COUNTIF(Setup!$B$9:$B$20,"?*"),T17*AJ17/V17))</f>
        <v/>
      </c>
      <c r="Y17">
        <f>IF(OR(T17="",Setup!$B$11=""),0,IF(V17=0,T17/COUNTIF(Setup!$B$9:$B$20,"?*"),T17*AK17/V17))</f>
        <v/>
      </c>
      <c r="Z17">
        <f>IF(OR(T17="",Setup!$B$12=""),0,IF(V17=0,T17/COUNTIF(Setup!$B$9:$B$20,"?*"),T17*AL17/V17))</f>
        <v/>
      </c>
      <c r="AA17">
        <f>IF(OR(T17="",Setup!$B$13=""),0,IF(V17=0,T17/COUNTIF(Setup!$B$9:$B$20,"?*"),T17*AM17/V17))</f>
        <v/>
      </c>
      <c r="AB17">
        <f>IF(OR(T17="",Setup!$B$14=""),0,IF(V17=0,T17/COUNTIF(Setup!$B$9:$B$20,"?*"),T17*AN17/V17))</f>
        <v/>
      </c>
      <c r="AC17">
        <f>IF(OR(T17="",Setup!$B$15=""),0,IF(V17=0,T17/COUNTIF(Setup!$B$9:$B$20,"?*"),T17*AO17/V17))</f>
        <v/>
      </c>
      <c r="AD17">
        <f>IF(OR(T17="",Setup!$B$16=""),0,IF(V17=0,T17/COUNTIF(Setup!$B$9:$B$20,"?*"),T17*AP17/V17))</f>
        <v/>
      </c>
      <c r="AE17">
        <f>IF(OR(T17="",Setup!$B$17=""),0,IF(V17=0,T17/COUNTIF(Setup!$B$9:$B$20,"?*"),T17*AQ17/V17))</f>
        <v/>
      </c>
      <c r="AF17">
        <f>IF(OR(T17="",Setup!$B$18=""),0,IF(V17=0,T17/COUNTIF(Setup!$B$9:$B$20,"?*"),T17*AR17/V17))</f>
        <v/>
      </c>
      <c r="AG17">
        <f>IF(OR(T17="",Setup!$B$19=""),0,IF(V17=0,T17/COUNTIF(Setup!$B$9:$B$20,"?*"),T17*AS17/V17))</f>
        <v/>
      </c>
      <c r="AH17">
        <f>IF(OR(T17="",Setup!$B$20=""),0,IF(V17=0,T17/COUNTIF(Setup!$B$9:$B$20,"?*"),T17*AT17/V17))</f>
        <v/>
      </c>
      <c r="AI17">
        <f>IF(Setup!$B$9="",0,IF(H17="",0,IF(ISNUMBER(H17),H17,1)))</f>
        <v/>
      </c>
      <c r="AJ17">
        <f>IF(Setup!$B$10="",0,IF(I17="",0,IF(ISNUMBER(I17),I17,1)))</f>
        <v/>
      </c>
      <c r="AK17">
        <f>IF(Setup!$B$11="",0,IF(J17="",0,IF(ISNUMBER(J17),J17,1)))</f>
        <v/>
      </c>
      <c r="AL17">
        <f>IF(Setup!$B$12="",0,IF(K17="",0,IF(ISNUMBER(K17),K17,1)))</f>
        <v/>
      </c>
      <c r="AM17">
        <f>IF(Setup!$B$13="",0,IF(L17="",0,IF(ISNUMBER(L17),L17,1)))</f>
        <v/>
      </c>
      <c r="AN17">
        <f>IF(Setup!$B$14="",0,IF(M17="",0,IF(ISNUMBER(M17),M17,1)))</f>
        <v/>
      </c>
      <c r="AO17">
        <f>IF(Setup!$B$15="",0,IF(N17="",0,IF(ISNUMBER(N17),N17,1)))</f>
        <v/>
      </c>
      <c r="AP17">
        <f>IF(Setup!$B$16="",0,IF(O17="",0,IF(ISNUMBER(O17),O17,1)))</f>
        <v/>
      </c>
      <c r="AQ17">
        <f>IF(Setup!$B$17="",0,IF(P17="",0,IF(ISNUMBER(P17),P17,1)))</f>
        <v/>
      </c>
      <c r="AR17">
        <f>IF(Setup!$B$18="",0,IF(Q17="",0,IF(ISNUMBER(Q17),Q17,1)))</f>
        <v/>
      </c>
      <c r="AS17">
        <f>IF(Setup!$B$19="",0,IF(R17="",0,IF(ISNUMBER(R17),R17,1)))</f>
        <v/>
      </c>
      <c r="AT17">
        <f>IF(Setup!$B$20="",0,IF(S17="",0,IF(ISNUMBER(S17),S17,1)))</f>
        <v/>
      </c>
    </row>
    <row r="18">
      <c r="A18" s="1" t="n"/>
      <c r="B18" s="24" t="n">
        <v>46277</v>
      </c>
      <c r="C18" s="25" t="inlineStr">
        <is>
          <t>Ana pays Ben back</t>
        </is>
      </c>
      <c r="D18" s="25" t="inlineStr">
        <is>
          <t>Paying back</t>
        </is>
      </c>
      <c r="E18" s="26" t="n">
        <v>100</v>
      </c>
      <c r="F18" s="27" t="inlineStr">
        <is>
          <t>EUR</t>
        </is>
      </c>
      <c r="G18" s="17" t="inlineStr">
        <is>
          <t>Ana</t>
        </is>
      </c>
      <c r="H18" s="28" t="n"/>
      <c r="I18" s="28" t="inlineStr">
        <is>
          <t>x</t>
        </is>
      </c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9">
        <f>IF(N(E18)=0,"",E18*IF(F18="",1,IFERROR(INDEX(Setup!$E$9:$E$18,MATCH(F18,Setup!$D$9:$D$18,0)),0)))</f>
        <v/>
      </c>
      <c r="U18" s="30">
        <f>IF(T18="","",IF(V18=0,"Everyone",IF(COUNTIF(AI18:AT18,"&gt;0")=COUNTIF(Setup!$B$9:$B$20,"?*"),"Everyone",COUNTIF(AI18:AT18,"&gt;0")&amp;IF(COUNTIF(AI18:AT18,"&gt;0")=1," person"," people"))))</f>
        <v/>
      </c>
      <c r="V18" s="1">
        <f>SUM(AI18:AT18)</f>
        <v/>
      </c>
      <c r="W18">
        <f>IF(OR(T18="",Setup!$B$9=""),0,IF(V18=0,T18/COUNTIF(Setup!$B$9:$B$20,"?*"),T18*AI18/V18))</f>
        <v/>
      </c>
      <c r="X18">
        <f>IF(OR(T18="",Setup!$B$10=""),0,IF(V18=0,T18/COUNTIF(Setup!$B$9:$B$20,"?*"),T18*AJ18/V18))</f>
        <v/>
      </c>
      <c r="Y18">
        <f>IF(OR(T18="",Setup!$B$11=""),0,IF(V18=0,T18/COUNTIF(Setup!$B$9:$B$20,"?*"),T18*AK18/V18))</f>
        <v/>
      </c>
      <c r="Z18">
        <f>IF(OR(T18="",Setup!$B$12=""),0,IF(V18=0,T18/COUNTIF(Setup!$B$9:$B$20,"?*"),T18*AL18/V18))</f>
        <v/>
      </c>
      <c r="AA18">
        <f>IF(OR(T18="",Setup!$B$13=""),0,IF(V18=0,T18/COUNTIF(Setup!$B$9:$B$20,"?*"),T18*AM18/V18))</f>
        <v/>
      </c>
      <c r="AB18">
        <f>IF(OR(T18="",Setup!$B$14=""),0,IF(V18=0,T18/COUNTIF(Setup!$B$9:$B$20,"?*"),T18*AN18/V18))</f>
        <v/>
      </c>
      <c r="AC18">
        <f>IF(OR(T18="",Setup!$B$15=""),0,IF(V18=0,T18/COUNTIF(Setup!$B$9:$B$20,"?*"),T18*AO18/V18))</f>
        <v/>
      </c>
      <c r="AD18">
        <f>IF(OR(T18="",Setup!$B$16=""),0,IF(V18=0,T18/COUNTIF(Setup!$B$9:$B$20,"?*"),T18*AP18/V18))</f>
        <v/>
      </c>
      <c r="AE18">
        <f>IF(OR(T18="",Setup!$B$17=""),0,IF(V18=0,T18/COUNTIF(Setup!$B$9:$B$20,"?*"),T18*AQ18/V18))</f>
        <v/>
      </c>
      <c r="AF18">
        <f>IF(OR(T18="",Setup!$B$18=""),0,IF(V18=0,T18/COUNTIF(Setup!$B$9:$B$20,"?*"),T18*AR18/V18))</f>
        <v/>
      </c>
      <c r="AG18">
        <f>IF(OR(T18="",Setup!$B$19=""),0,IF(V18=0,T18/COUNTIF(Setup!$B$9:$B$20,"?*"),T18*AS18/V18))</f>
        <v/>
      </c>
      <c r="AH18">
        <f>IF(OR(T18="",Setup!$B$20=""),0,IF(V18=0,T18/COUNTIF(Setup!$B$9:$B$20,"?*"),T18*AT18/V18))</f>
        <v/>
      </c>
      <c r="AI18">
        <f>IF(Setup!$B$9="",0,IF(H18="",0,IF(ISNUMBER(H18),H18,1)))</f>
        <v/>
      </c>
      <c r="AJ18">
        <f>IF(Setup!$B$10="",0,IF(I18="",0,IF(ISNUMBER(I18),I18,1)))</f>
        <v/>
      </c>
      <c r="AK18">
        <f>IF(Setup!$B$11="",0,IF(J18="",0,IF(ISNUMBER(J18),J18,1)))</f>
        <v/>
      </c>
      <c r="AL18">
        <f>IF(Setup!$B$12="",0,IF(K18="",0,IF(ISNUMBER(K18),K18,1)))</f>
        <v/>
      </c>
      <c r="AM18">
        <f>IF(Setup!$B$13="",0,IF(L18="",0,IF(ISNUMBER(L18),L18,1)))</f>
        <v/>
      </c>
      <c r="AN18">
        <f>IF(Setup!$B$14="",0,IF(M18="",0,IF(ISNUMBER(M18),M18,1)))</f>
        <v/>
      </c>
      <c r="AO18">
        <f>IF(Setup!$B$15="",0,IF(N18="",0,IF(ISNUMBER(N18),N18,1)))</f>
        <v/>
      </c>
      <c r="AP18">
        <f>IF(Setup!$B$16="",0,IF(O18="",0,IF(ISNUMBER(O18),O18,1)))</f>
        <v/>
      </c>
      <c r="AQ18">
        <f>IF(Setup!$B$17="",0,IF(P18="",0,IF(ISNUMBER(P18),P18,1)))</f>
        <v/>
      </c>
      <c r="AR18">
        <f>IF(Setup!$B$18="",0,IF(Q18="",0,IF(ISNUMBER(Q18),Q18,1)))</f>
        <v/>
      </c>
      <c r="AS18">
        <f>IF(Setup!$B$19="",0,IF(R18="",0,IF(ISNUMBER(R18),R18,1)))</f>
        <v/>
      </c>
      <c r="AT18">
        <f>IF(Setup!$B$20="",0,IF(S18="",0,IF(ISNUMBER(S18),S18,1)))</f>
        <v/>
      </c>
    </row>
    <row r="19">
      <c r="A19" s="1" t="n"/>
      <c r="B19" s="24" t="n">
        <v>46278</v>
      </c>
      <c r="C19" s="25" t="inlineStr">
        <is>
          <t>Train to Porto</t>
        </is>
      </c>
      <c r="D19" s="25" t="inlineStr">
        <is>
          <t>Transport</t>
        </is>
      </c>
      <c r="E19" s="26" t="n">
        <v>125</v>
      </c>
      <c r="F19" s="27" t="inlineStr">
        <is>
          <t>EUR</t>
        </is>
      </c>
      <c r="G19" s="17" t="inlineStr">
        <is>
          <t>Dev</t>
        </is>
      </c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9">
        <f>IF(N(E19)=0,"",E19*IF(F19="",1,IFERROR(INDEX(Setup!$E$9:$E$18,MATCH(F19,Setup!$D$9:$D$18,0)),0)))</f>
        <v/>
      </c>
      <c r="U19" s="30">
        <f>IF(T19="","",IF(V19=0,"Everyone",IF(COUNTIF(AI19:AT19,"&gt;0")=COUNTIF(Setup!$B$9:$B$20,"?*"),"Everyone",COUNTIF(AI19:AT19,"&gt;0")&amp;IF(COUNTIF(AI19:AT19,"&gt;0")=1," person"," people"))))</f>
        <v/>
      </c>
      <c r="V19" s="1">
        <f>SUM(AI19:AT19)</f>
        <v/>
      </c>
      <c r="W19">
        <f>IF(OR(T19="",Setup!$B$9=""),0,IF(V19=0,T19/COUNTIF(Setup!$B$9:$B$20,"?*"),T19*AI19/V19))</f>
        <v/>
      </c>
      <c r="X19">
        <f>IF(OR(T19="",Setup!$B$10=""),0,IF(V19=0,T19/COUNTIF(Setup!$B$9:$B$20,"?*"),T19*AJ19/V19))</f>
        <v/>
      </c>
      <c r="Y19">
        <f>IF(OR(T19="",Setup!$B$11=""),0,IF(V19=0,T19/COUNTIF(Setup!$B$9:$B$20,"?*"),T19*AK19/V19))</f>
        <v/>
      </c>
      <c r="Z19">
        <f>IF(OR(T19="",Setup!$B$12=""),0,IF(V19=0,T19/COUNTIF(Setup!$B$9:$B$20,"?*"),T19*AL19/V19))</f>
        <v/>
      </c>
      <c r="AA19">
        <f>IF(OR(T19="",Setup!$B$13=""),0,IF(V19=0,T19/COUNTIF(Setup!$B$9:$B$20,"?*"),T19*AM19/V19))</f>
        <v/>
      </c>
      <c r="AB19">
        <f>IF(OR(T19="",Setup!$B$14=""),0,IF(V19=0,T19/COUNTIF(Setup!$B$9:$B$20,"?*"),T19*AN19/V19))</f>
        <v/>
      </c>
      <c r="AC19">
        <f>IF(OR(T19="",Setup!$B$15=""),0,IF(V19=0,T19/COUNTIF(Setup!$B$9:$B$20,"?*"),T19*AO19/V19))</f>
        <v/>
      </c>
      <c r="AD19">
        <f>IF(OR(T19="",Setup!$B$16=""),0,IF(V19=0,T19/COUNTIF(Setup!$B$9:$B$20,"?*"),T19*AP19/V19))</f>
        <v/>
      </c>
      <c r="AE19">
        <f>IF(OR(T19="",Setup!$B$17=""),0,IF(V19=0,T19/COUNTIF(Setup!$B$9:$B$20,"?*"),T19*AQ19/V19))</f>
        <v/>
      </c>
      <c r="AF19">
        <f>IF(OR(T19="",Setup!$B$18=""),0,IF(V19=0,T19/COUNTIF(Setup!$B$9:$B$20,"?*"),T19*AR19/V19))</f>
        <v/>
      </c>
      <c r="AG19">
        <f>IF(OR(T19="",Setup!$B$19=""),0,IF(V19=0,T19/COUNTIF(Setup!$B$9:$B$20,"?*"),T19*AS19/V19))</f>
        <v/>
      </c>
      <c r="AH19">
        <f>IF(OR(T19="",Setup!$B$20=""),0,IF(V19=0,T19/COUNTIF(Setup!$B$9:$B$20,"?*"),T19*AT19/V19))</f>
        <v/>
      </c>
      <c r="AI19">
        <f>IF(Setup!$B$9="",0,IF(H19="",0,IF(ISNUMBER(H19),H19,1)))</f>
        <v/>
      </c>
      <c r="AJ19">
        <f>IF(Setup!$B$10="",0,IF(I19="",0,IF(ISNUMBER(I19),I19,1)))</f>
        <v/>
      </c>
      <c r="AK19">
        <f>IF(Setup!$B$11="",0,IF(J19="",0,IF(ISNUMBER(J19),J19,1)))</f>
        <v/>
      </c>
      <c r="AL19">
        <f>IF(Setup!$B$12="",0,IF(K19="",0,IF(ISNUMBER(K19),K19,1)))</f>
        <v/>
      </c>
      <c r="AM19">
        <f>IF(Setup!$B$13="",0,IF(L19="",0,IF(ISNUMBER(L19),L19,1)))</f>
        <v/>
      </c>
      <c r="AN19">
        <f>IF(Setup!$B$14="",0,IF(M19="",0,IF(ISNUMBER(M19),M19,1)))</f>
        <v/>
      </c>
      <c r="AO19">
        <f>IF(Setup!$B$15="",0,IF(N19="",0,IF(ISNUMBER(N19),N19,1)))</f>
        <v/>
      </c>
      <c r="AP19">
        <f>IF(Setup!$B$16="",0,IF(O19="",0,IF(ISNUMBER(O19),O19,1)))</f>
        <v/>
      </c>
      <c r="AQ19">
        <f>IF(Setup!$B$17="",0,IF(P19="",0,IF(ISNUMBER(P19),P19,1)))</f>
        <v/>
      </c>
      <c r="AR19">
        <f>IF(Setup!$B$18="",0,IF(Q19="",0,IF(ISNUMBER(Q19),Q19,1)))</f>
        <v/>
      </c>
      <c r="AS19">
        <f>IF(Setup!$B$19="",0,IF(R19="",0,IF(ISNUMBER(R19),R19,1)))</f>
        <v/>
      </c>
      <c r="AT19">
        <f>IF(Setup!$B$20="",0,IF(S19="",0,IF(ISNUMBER(S19),S19,1)))</f>
        <v/>
      </c>
    </row>
    <row r="20">
      <c r="A20" s="1" t="n"/>
      <c r="B20" s="24" t="n">
        <v>46278</v>
      </c>
      <c r="C20" s="25" t="inlineStr">
        <is>
          <t>Hotel in Porto, 3 nights</t>
        </is>
      </c>
      <c r="D20" s="25" t="inlineStr">
        <is>
          <t>Lodging</t>
        </is>
      </c>
      <c r="E20" s="26" t="n">
        <v>540</v>
      </c>
      <c r="F20" s="27" t="inlineStr">
        <is>
          <t>EUR</t>
        </is>
      </c>
      <c r="G20" s="17" t="inlineStr">
        <is>
          <t>Chloe</t>
        </is>
      </c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9">
        <f>IF(N(E20)=0,"",E20*IF(F20="",1,IFERROR(INDEX(Setup!$E$9:$E$18,MATCH(F20,Setup!$D$9:$D$18,0)),0)))</f>
        <v/>
      </c>
      <c r="U20" s="30">
        <f>IF(T20="","",IF(V20=0,"Everyone",IF(COUNTIF(AI20:AT20,"&gt;0")=COUNTIF(Setup!$B$9:$B$20,"?*"),"Everyone",COUNTIF(AI20:AT20,"&gt;0")&amp;IF(COUNTIF(AI20:AT20,"&gt;0")=1," person"," people"))))</f>
        <v/>
      </c>
      <c r="V20" s="1">
        <f>SUM(AI20:AT20)</f>
        <v/>
      </c>
      <c r="W20">
        <f>IF(OR(T20="",Setup!$B$9=""),0,IF(V20=0,T20/COUNTIF(Setup!$B$9:$B$20,"?*"),T20*AI20/V20))</f>
        <v/>
      </c>
      <c r="X20">
        <f>IF(OR(T20="",Setup!$B$10=""),0,IF(V20=0,T20/COUNTIF(Setup!$B$9:$B$20,"?*"),T20*AJ20/V20))</f>
        <v/>
      </c>
      <c r="Y20">
        <f>IF(OR(T20="",Setup!$B$11=""),0,IF(V20=0,T20/COUNTIF(Setup!$B$9:$B$20,"?*"),T20*AK20/V20))</f>
        <v/>
      </c>
      <c r="Z20">
        <f>IF(OR(T20="",Setup!$B$12=""),0,IF(V20=0,T20/COUNTIF(Setup!$B$9:$B$20,"?*"),T20*AL20/V20))</f>
        <v/>
      </c>
      <c r="AA20">
        <f>IF(OR(T20="",Setup!$B$13=""),0,IF(V20=0,T20/COUNTIF(Setup!$B$9:$B$20,"?*"),T20*AM20/V20))</f>
        <v/>
      </c>
      <c r="AB20">
        <f>IF(OR(T20="",Setup!$B$14=""),0,IF(V20=0,T20/COUNTIF(Setup!$B$9:$B$20,"?*"),T20*AN20/V20))</f>
        <v/>
      </c>
      <c r="AC20">
        <f>IF(OR(T20="",Setup!$B$15=""),0,IF(V20=0,T20/COUNTIF(Setup!$B$9:$B$20,"?*"),T20*AO20/V20))</f>
        <v/>
      </c>
      <c r="AD20">
        <f>IF(OR(T20="",Setup!$B$16=""),0,IF(V20=0,T20/COUNTIF(Setup!$B$9:$B$20,"?*"),T20*AP20/V20))</f>
        <v/>
      </c>
      <c r="AE20">
        <f>IF(OR(T20="",Setup!$B$17=""),0,IF(V20=0,T20/COUNTIF(Setup!$B$9:$B$20,"?*"),T20*AQ20/V20))</f>
        <v/>
      </c>
      <c r="AF20">
        <f>IF(OR(T20="",Setup!$B$18=""),0,IF(V20=0,T20/COUNTIF(Setup!$B$9:$B$20,"?*"),T20*AR20/V20))</f>
        <v/>
      </c>
      <c r="AG20">
        <f>IF(OR(T20="",Setup!$B$19=""),0,IF(V20=0,T20/COUNTIF(Setup!$B$9:$B$20,"?*"),T20*AS20/V20))</f>
        <v/>
      </c>
      <c r="AH20">
        <f>IF(OR(T20="",Setup!$B$20=""),0,IF(V20=0,T20/COUNTIF(Setup!$B$9:$B$20,"?*"),T20*AT20/V20))</f>
        <v/>
      </c>
      <c r="AI20">
        <f>IF(Setup!$B$9="",0,IF(H20="",0,IF(ISNUMBER(H20),H20,1)))</f>
        <v/>
      </c>
      <c r="AJ20">
        <f>IF(Setup!$B$10="",0,IF(I20="",0,IF(ISNUMBER(I20),I20,1)))</f>
        <v/>
      </c>
      <c r="AK20">
        <f>IF(Setup!$B$11="",0,IF(J20="",0,IF(ISNUMBER(J20),J20,1)))</f>
        <v/>
      </c>
      <c r="AL20">
        <f>IF(Setup!$B$12="",0,IF(K20="",0,IF(ISNUMBER(K20),K20,1)))</f>
        <v/>
      </c>
      <c r="AM20">
        <f>IF(Setup!$B$13="",0,IF(L20="",0,IF(ISNUMBER(L20),L20,1)))</f>
        <v/>
      </c>
      <c r="AN20">
        <f>IF(Setup!$B$14="",0,IF(M20="",0,IF(ISNUMBER(M20),M20,1)))</f>
        <v/>
      </c>
      <c r="AO20">
        <f>IF(Setup!$B$15="",0,IF(N20="",0,IF(ISNUMBER(N20),N20,1)))</f>
        <v/>
      </c>
      <c r="AP20">
        <f>IF(Setup!$B$16="",0,IF(O20="",0,IF(ISNUMBER(O20),O20,1)))</f>
        <v/>
      </c>
      <c r="AQ20">
        <f>IF(Setup!$B$17="",0,IF(P20="",0,IF(ISNUMBER(P20),P20,1)))</f>
        <v/>
      </c>
      <c r="AR20">
        <f>IF(Setup!$B$18="",0,IF(Q20="",0,IF(ISNUMBER(Q20),Q20,1)))</f>
        <v/>
      </c>
      <c r="AS20">
        <f>IF(Setup!$B$19="",0,IF(R20="",0,IF(ISNUMBER(R20),R20,1)))</f>
        <v/>
      </c>
      <c r="AT20">
        <f>IF(Setup!$B$20="",0,IF(S20="",0,IF(ISNUMBER(S20),S20,1)))</f>
        <v/>
      </c>
    </row>
    <row r="21">
      <c r="A21" s="1" t="n"/>
      <c r="B21" s="24" t="n">
        <v>46278</v>
      </c>
      <c r="C21" s="25" t="inlineStr">
        <is>
          <t>Dinner by the river</t>
        </is>
      </c>
      <c r="D21" s="25" t="inlineStr">
        <is>
          <t>Food</t>
        </is>
      </c>
      <c r="E21" s="26" t="n">
        <v>154</v>
      </c>
      <c r="F21" s="27" t="inlineStr">
        <is>
          <t>EUR</t>
        </is>
      </c>
      <c r="G21" s="17" t="inlineStr">
        <is>
          <t>Emma</t>
        </is>
      </c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9">
        <f>IF(N(E21)=0,"",E21*IF(F21="",1,IFERROR(INDEX(Setup!$E$9:$E$18,MATCH(F21,Setup!$D$9:$D$18,0)),0)))</f>
        <v/>
      </c>
      <c r="U21" s="30">
        <f>IF(T21="","",IF(V21=0,"Everyone",IF(COUNTIF(AI21:AT21,"&gt;0")=COUNTIF(Setup!$B$9:$B$20,"?*"),"Everyone",COUNTIF(AI21:AT21,"&gt;0")&amp;IF(COUNTIF(AI21:AT21,"&gt;0")=1," person"," people"))))</f>
        <v/>
      </c>
      <c r="V21" s="1">
        <f>SUM(AI21:AT21)</f>
        <v/>
      </c>
      <c r="W21">
        <f>IF(OR(T21="",Setup!$B$9=""),0,IF(V21=0,T21/COUNTIF(Setup!$B$9:$B$20,"?*"),T21*AI21/V21))</f>
        <v/>
      </c>
      <c r="X21">
        <f>IF(OR(T21="",Setup!$B$10=""),0,IF(V21=0,T21/COUNTIF(Setup!$B$9:$B$20,"?*"),T21*AJ21/V21))</f>
        <v/>
      </c>
      <c r="Y21">
        <f>IF(OR(T21="",Setup!$B$11=""),0,IF(V21=0,T21/COUNTIF(Setup!$B$9:$B$20,"?*"),T21*AK21/V21))</f>
        <v/>
      </c>
      <c r="Z21">
        <f>IF(OR(T21="",Setup!$B$12=""),0,IF(V21=0,T21/COUNTIF(Setup!$B$9:$B$20,"?*"),T21*AL21/V21))</f>
        <v/>
      </c>
      <c r="AA21">
        <f>IF(OR(T21="",Setup!$B$13=""),0,IF(V21=0,T21/COUNTIF(Setup!$B$9:$B$20,"?*"),T21*AM21/V21))</f>
        <v/>
      </c>
      <c r="AB21">
        <f>IF(OR(T21="",Setup!$B$14=""),0,IF(V21=0,T21/COUNTIF(Setup!$B$9:$B$20,"?*"),T21*AN21/V21))</f>
        <v/>
      </c>
      <c r="AC21">
        <f>IF(OR(T21="",Setup!$B$15=""),0,IF(V21=0,T21/COUNTIF(Setup!$B$9:$B$20,"?*"),T21*AO21/V21))</f>
        <v/>
      </c>
      <c r="AD21">
        <f>IF(OR(T21="",Setup!$B$16=""),0,IF(V21=0,T21/COUNTIF(Setup!$B$9:$B$20,"?*"),T21*AP21/V21))</f>
        <v/>
      </c>
      <c r="AE21">
        <f>IF(OR(T21="",Setup!$B$17=""),0,IF(V21=0,T21/COUNTIF(Setup!$B$9:$B$20,"?*"),T21*AQ21/V21))</f>
        <v/>
      </c>
      <c r="AF21">
        <f>IF(OR(T21="",Setup!$B$18=""),0,IF(V21=0,T21/COUNTIF(Setup!$B$9:$B$20,"?*"),T21*AR21/V21))</f>
        <v/>
      </c>
      <c r="AG21">
        <f>IF(OR(T21="",Setup!$B$19=""),0,IF(V21=0,T21/COUNTIF(Setup!$B$9:$B$20,"?*"),T21*AS21/V21))</f>
        <v/>
      </c>
      <c r="AH21">
        <f>IF(OR(T21="",Setup!$B$20=""),0,IF(V21=0,T21/COUNTIF(Setup!$B$9:$B$20,"?*"),T21*AT21/V21))</f>
        <v/>
      </c>
      <c r="AI21">
        <f>IF(Setup!$B$9="",0,IF(H21="",0,IF(ISNUMBER(H21),H21,1)))</f>
        <v/>
      </c>
      <c r="AJ21">
        <f>IF(Setup!$B$10="",0,IF(I21="",0,IF(ISNUMBER(I21),I21,1)))</f>
        <v/>
      </c>
      <c r="AK21">
        <f>IF(Setup!$B$11="",0,IF(J21="",0,IF(ISNUMBER(J21),J21,1)))</f>
        <v/>
      </c>
      <c r="AL21">
        <f>IF(Setup!$B$12="",0,IF(K21="",0,IF(ISNUMBER(K21),K21,1)))</f>
        <v/>
      </c>
      <c r="AM21">
        <f>IF(Setup!$B$13="",0,IF(L21="",0,IF(ISNUMBER(L21),L21,1)))</f>
        <v/>
      </c>
      <c r="AN21">
        <f>IF(Setup!$B$14="",0,IF(M21="",0,IF(ISNUMBER(M21),M21,1)))</f>
        <v/>
      </c>
      <c r="AO21">
        <f>IF(Setup!$B$15="",0,IF(N21="",0,IF(ISNUMBER(N21),N21,1)))</f>
        <v/>
      </c>
      <c r="AP21">
        <f>IF(Setup!$B$16="",0,IF(O21="",0,IF(ISNUMBER(O21),O21,1)))</f>
        <v/>
      </c>
      <c r="AQ21">
        <f>IF(Setup!$B$17="",0,IF(P21="",0,IF(ISNUMBER(P21),P21,1)))</f>
        <v/>
      </c>
      <c r="AR21">
        <f>IF(Setup!$B$18="",0,IF(Q21="",0,IF(ISNUMBER(Q21),Q21,1)))</f>
        <v/>
      </c>
      <c r="AS21">
        <f>IF(Setup!$B$19="",0,IF(R21="",0,IF(ISNUMBER(R21),R21,1)))</f>
        <v/>
      </c>
      <c r="AT21">
        <f>IF(Setup!$B$20="",0,IF(S21="",0,IF(ISNUMBER(S21),S21,1)))</f>
        <v/>
      </c>
    </row>
    <row r="22">
      <c r="A22" s="1" t="n"/>
      <c r="B22" s="24" t="n">
        <v>46279</v>
      </c>
      <c r="C22" s="25" t="inlineStr">
        <is>
          <t>Port wine tasting</t>
        </is>
      </c>
      <c r="D22" s="25" t="inlineStr">
        <is>
          <t>Activities</t>
        </is>
      </c>
      <c r="E22" s="26" t="n">
        <v>75</v>
      </c>
      <c r="F22" s="27" t="inlineStr">
        <is>
          <t>EUR</t>
        </is>
      </c>
      <c r="G22" s="17" t="inlineStr">
        <is>
          <t>Ben</t>
        </is>
      </c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9">
        <f>IF(N(E22)=0,"",E22*IF(F22="",1,IFERROR(INDEX(Setup!$E$9:$E$18,MATCH(F22,Setup!$D$9:$D$18,0)),0)))</f>
        <v/>
      </c>
      <c r="U22" s="30">
        <f>IF(T22="","",IF(V22=0,"Everyone",IF(COUNTIF(AI22:AT22,"&gt;0")=COUNTIF(Setup!$B$9:$B$20,"?*"),"Everyone",COUNTIF(AI22:AT22,"&gt;0")&amp;IF(COUNTIF(AI22:AT22,"&gt;0")=1," person"," people"))))</f>
        <v/>
      </c>
      <c r="V22" s="1">
        <f>SUM(AI22:AT22)</f>
        <v/>
      </c>
      <c r="W22">
        <f>IF(OR(T22="",Setup!$B$9=""),0,IF(V22=0,T22/COUNTIF(Setup!$B$9:$B$20,"?*"),T22*AI22/V22))</f>
        <v/>
      </c>
      <c r="X22">
        <f>IF(OR(T22="",Setup!$B$10=""),0,IF(V22=0,T22/COUNTIF(Setup!$B$9:$B$20,"?*"),T22*AJ22/V22))</f>
        <v/>
      </c>
      <c r="Y22">
        <f>IF(OR(T22="",Setup!$B$11=""),0,IF(V22=0,T22/COUNTIF(Setup!$B$9:$B$20,"?*"),T22*AK22/V22))</f>
        <v/>
      </c>
      <c r="Z22">
        <f>IF(OR(T22="",Setup!$B$12=""),0,IF(V22=0,T22/COUNTIF(Setup!$B$9:$B$20,"?*"),T22*AL22/V22))</f>
        <v/>
      </c>
      <c r="AA22">
        <f>IF(OR(T22="",Setup!$B$13=""),0,IF(V22=0,T22/COUNTIF(Setup!$B$9:$B$20,"?*"),T22*AM22/V22))</f>
        <v/>
      </c>
      <c r="AB22">
        <f>IF(OR(T22="",Setup!$B$14=""),0,IF(V22=0,T22/COUNTIF(Setup!$B$9:$B$20,"?*"),T22*AN22/V22))</f>
        <v/>
      </c>
      <c r="AC22">
        <f>IF(OR(T22="",Setup!$B$15=""),0,IF(V22=0,T22/COUNTIF(Setup!$B$9:$B$20,"?*"),T22*AO22/V22))</f>
        <v/>
      </c>
      <c r="AD22">
        <f>IF(OR(T22="",Setup!$B$16=""),0,IF(V22=0,T22/COUNTIF(Setup!$B$9:$B$20,"?*"),T22*AP22/V22))</f>
        <v/>
      </c>
      <c r="AE22">
        <f>IF(OR(T22="",Setup!$B$17=""),0,IF(V22=0,T22/COUNTIF(Setup!$B$9:$B$20,"?*"),T22*AQ22/V22))</f>
        <v/>
      </c>
      <c r="AF22">
        <f>IF(OR(T22="",Setup!$B$18=""),0,IF(V22=0,T22/COUNTIF(Setup!$B$9:$B$20,"?*"),T22*AR22/V22))</f>
        <v/>
      </c>
      <c r="AG22">
        <f>IF(OR(T22="",Setup!$B$19=""),0,IF(V22=0,T22/COUNTIF(Setup!$B$9:$B$20,"?*"),T22*AS22/V22))</f>
        <v/>
      </c>
      <c r="AH22">
        <f>IF(OR(T22="",Setup!$B$20=""),0,IF(V22=0,T22/COUNTIF(Setup!$B$9:$B$20,"?*"),T22*AT22/V22))</f>
        <v/>
      </c>
      <c r="AI22">
        <f>IF(Setup!$B$9="",0,IF(H22="",0,IF(ISNUMBER(H22),H22,1)))</f>
        <v/>
      </c>
      <c r="AJ22">
        <f>IF(Setup!$B$10="",0,IF(I22="",0,IF(ISNUMBER(I22),I22,1)))</f>
        <v/>
      </c>
      <c r="AK22">
        <f>IF(Setup!$B$11="",0,IF(J22="",0,IF(ISNUMBER(J22),J22,1)))</f>
        <v/>
      </c>
      <c r="AL22">
        <f>IF(Setup!$B$12="",0,IF(K22="",0,IF(ISNUMBER(K22),K22,1)))</f>
        <v/>
      </c>
      <c r="AM22">
        <f>IF(Setup!$B$13="",0,IF(L22="",0,IF(ISNUMBER(L22),L22,1)))</f>
        <v/>
      </c>
      <c r="AN22">
        <f>IF(Setup!$B$14="",0,IF(M22="",0,IF(ISNUMBER(M22),M22,1)))</f>
        <v/>
      </c>
      <c r="AO22">
        <f>IF(Setup!$B$15="",0,IF(N22="",0,IF(ISNUMBER(N22),N22,1)))</f>
        <v/>
      </c>
      <c r="AP22">
        <f>IF(Setup!$B$16="",0,IF(O22="",0,IF(ISNUMBER(O22),O22,1)))</f>
        <v/>
      </c>
      <c r="AQ22">
        <f>IF(Setup!$B$17="",0,IF(P22="",0,IF(ISNUMBER(P22),P22,1)))</f>
        <v/>
      </c>
      <c r="AR22">
        <f>IF(Setup!$B$18="",0,IF(Q22="",0,IF(ISNUMBER(Q22),Q22,1)))</f>
        <v/>
      </c>
      <c r="AS22">
        <f>IF(Setup!$B$19="",0,IF(R22="",0,IF(ISNUMBER(R22),R22,1)))</f>
        <v/>
      </c>
      <c r="AT22">
        <f>IF(Setup!$B$20="",0,IF(S22="",0,IF(ISNUMBER(S22),S22,1)))</f>
        <v/>
      </c>
    </row>
    <row r="23">
      <c r="A23" s="1" t="n"/>
      <c r="B23" s="24" t="n">
        <v>46279</v>
      </c>
      <c r="C23" s="25" t="inlineStr">
        <is>
          <t>Wine to take home</t>
        </is>
      </c>
      <c r="D23" s="25" t="inlineStr">
        <is>
          <t>Other</t>
        </is>
      </c>
      <c r="E23" s="26" t="n">
        <v>72</v>
      </c>
      <c r="F23" s="27" t="inlineStr">
        <is>
          <t>EUR</t>
        </is>
      </c>
      <c r="G23" s="17" t="inlineStr">
        <is>
          <t>Chloe</t>
        </is>
      </c>
      <c r="H23" s="28" t="n">
        <v>2</v>
      </c>
      <c r="I23" s="28" t="n"/>
      <c r="J23" s="28" t="n">
        <v>1</v>
      </c>
      <c r="K23" s="28" t="n"/>
      <c r="L23" s="28" t="n">
        <v>1</v>
      </c>
      <c r="M23" s="28" t="n"/>
      <c r="N23" s="28" t="n"/>
      <c r="O23" s="28" t="n"/>
      <c r="P23" s="28" t="n"/>
      <c r="Q23" s="28" t="n"/>
      <c r="R23" s="28" t="n"/>
      <c r="S23" s="28" t="n"/>
      <c r="T23" s="29">
        <f>IF(N(E23)=0,"",E23*IF(F23="",1,IFERROR(INDEX(Setup!$E$9:$E$18,MATCH(F23,Setup!$D$9:$D$18,0)),0)))</f>
        <v/>
      </c>
      <c r="U23" s="30">
        <f>IF(T23="","",IF(V23=0,"Everyone",IF(COUNTIF(AI23:AT23,"&gt;0")=COUNTIF(Setup!$B$9:$B$20,"?*"),"Everyone",COUNTIF(AI23:AT23,"&gt;0")&amp;IF(COUNTIF(AI23:AT23,"&gt;0")=1," person"," people"))))</f>
        <v/>
      </c>
      <c r="V23" s="1">
        <f>SUM(AI23:AT23)</f>
        <v/>
      </c>
      <c r="W23">
        <f>IF(OR(T23="",Setup!$B$9=""),0,IF(V23=0,T23/COUNTIF(Setup!$B$9:$B$20,"?*"),T23*AI23/V23))</f>
        <v/>
      </c>
      <c r="X23">
        <f>IF(OR(T23="",Setup!$B$10=""),0,IF(V23=0,T23/COUNTIF(Setup!$B$9:$B$20,"?*"),T23*AJ23/V23))</f>
        <v/>
      </c>
      <c r="Y23">
        <f>IF(OR(T23="",Setup!$B$11=""),0,IF(V23=0,T23/COUNTIF(Setup!$B$9:$B$20,"?*"),T23*AK23/V23))</f>
        <v/>
      </c>
      <c r="Z23">
        <f>IF(OR(T23="",Setup!$B$12=""),0,IF(V23=0,T23/COUNTIF(Setup!$B$9:$B$20,"?*"),T23*AL23/V23))</f>
        <v/>
      </c>
      <c r="AA23">
        <f>IF(OR(T23="",Setup!$B$13=""),0,IF(V23=0,T23/COUNTIF(Setup!$B$9:$B$20,"?*"),T23*AM23/V23))</f>
        <v/>
      </c>
      <c r="AB23">
        <f>IF(OR(T23="",Setup!$B$14=""),0,IF(V23=0,T23/COUNTIF(Setup!$B$9:$B$20,"?*"),T23*AN23/V23))</f>
        <v/>
      </c>
      <c r="AC23">
        <f>IF(OR(T23="",Setup!$B$15=""),0,IF(V23=0,T23/COUNTIF(Setup!$B$9:$B$20,"?*"),T23*AO23/V23))</f>
        <v/>
      </c>
      <c r="AD23">
        <f>IF(OR(T23="",Setup!$B$16=""),0,IF(V23=0,T23/COUNTIF(Setup!$B$9:$B$20,"?*"),T23*AP23/V23))</f>
        <v/>
      </c>
      <c r="AE23">
        <f>IF(OR(T23="",Setup!$B$17=""),0,IF(V23=0,T23/COUNTIF(Setup!$B$9:$B$20,"?*"),T23*AQ23/V23))</f>
        <v/>
      </c>
      <c r="AF23">
        <f>IF(OR(T23="",Setup!$B$18=""),0,IF(V23=0,T23/COUNTIF(Setup!$B$9:$B$20,"?*"),T23*AR23/V23))</f>
        <v/>
      </c>
      <c r="AG23">
        <f>IF(OR(T23="",Setup!$B$19=""),0,IF(V23=0,T23/COUNTIF(Setup!$B$9:$B$20,"?*"),T23*AS23/V23))</f>
        <v/>
      </c>
      <c r="AH23">
        <f>IF(OR(T23="",Setup!$B$20=""),0,IF(V23=0,T23/COUNTIF(Setup!$B$9:$B$20,"?*"),T23*AT23/V23))</f>
        <v/>
      </c>
      <c r="AI23">
        <f>IF(Setup!$B$9="",0,IF(H23="",0,IF(ISNUMBER(H23),H23,1)))</f>
        <v/>
      </c>
      <c r="AJ23">
        <f>IF(Setup!$B$10="",0,IF(I23="",0,IF(ISNUMBER(I23),I23,1)))</f>
        <v/>
      </c>
      <c r="AK23">
        <f>IF(Setup!$B$11="",0,IF(J23="",0,IF(ISNUMBER(J23),J23,1)))</f>
        <v/>
      </c>
      <c r="AL23">
        <f>IF(Setup!$B$12="",0,IF(K23="",0,IF(ISNUMBER(K23),K23,1)))</f>
        <v/>
      </c>
      <c r="AM23">
        <f>IF(Setup!$B$13="",0,IF(L23="",0,IF(ISNUMBER(L23),L23,1)))</f>
        <v/>
      </c>
      <c r="AN23">
        <f>IF(Setup!$B$14="",0,IF(M23="",0,IF(ISNUMBER(M23),M23,1)))</f>
        <v/>
      </c>
      <c r="AO23">
        <f>IF(Setup!$B$15="",0,IF(N23="",0,IF(ISNUMBER(N23),N23,1)))</f>
        <v/>
      </c>
      <c r="AP23">
        <f>IF(Setup!$B$16="",0,IF(O23="",0,IF(ISNUMBER(O23),O23,1)))</f>
        <v/>
      </c>
      <c r="AQ23">
        <f>IF(Setup!$B$17="",0,IF(P23="",0,IF(ISNUMBER(P23),P23,1)))</f>
        <v/>
      </c>
      <c r="AR23">
        <f>IF(Setup!$B$18="",0,IF(Q23="",0,IF(ISNUMBER(Q23),Q23,1)))</f>
        <v/>
      </c>
      <c r="AS23">
        <f>IF(Setup!$B$19="",0,IF(R23="",0,IF(ISNUMBER(R23),R23,1)))</f>
        <v/>
      </c>
      <c r="AT23">
        <f>IF(Setup!$B$20="",0,IF(S23="",0,IF(ISNUMBER(S23),S23,1)))</f>
        <v/>
      </c>
    </row>
    <row r="24">
      <c r="A24" s="1" t="n"/>
      <c r="B24" s="24" t="n">
        <v>46279</v>
      </c>
      <c r="C24" s="25" t="inlineStr">
        <is>
          <t>Bookshop tickets</t>
        </is>
      </c>
      <c r="D24" s="25" t="inlineStr">
        <is>
          <t>Activities</t>
        </is>
      </c>
      <c r="E24" s="26" t="n">
        <v>50</v>
      </c>
      <c r="F24" s="27" t="inlineStr">
        <is>
          <t>EUR</t>
        </is>
      </c>
      <c r="G24" s="17" t="inlineStr">
        <is>
          <t>Emma</t>
        </is>
      </c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9">
        <f>IF(N(E24)=0,"",E24*IF(F24="",1,IFERROR(INDEX(Setup!$E$9:$E$18,MATCH(F24,Setup!$D$9:$D$18,0)),0)))</f>
        <v/>
      </c>
      <c r="U24" s="30">
        <f>IF(T24="","",IF(V24=0,"Everyone",IF(COUNTIF(AI24:AT24,"&gt;0")=COUNTIF(Setup!$B$9:$B$20,"?*"),"Everyone",COUNTIF(AI24:AT24,"&gt;0")&amp;IF(COUNTIF(AI24:AT24,"&gt;0")=1," person"," people"))))</f>
        <v/>
      </c>
      <c r="V24" s="1">
        <f>SUM(AI24:AT24)</f>
        <v/>
      </c>
      <c r="W24">
        <f>IF(OR(T24="",Setup!$B$9=""),0,IF(V24=0,T24/COUNTIF(Setup!$B$9:$B$20,"?*"),T24*AI24/V24))</f>
        <v/>
      </c>
      <c r="X24">
        <f>IF(OR(T24="",Setup!$B$10=""),0,IF(V24=0,T24/COUNTIF(Setup!$B$9:$B$20,"?*"),T24*AJ24/V24))</f>
        <v/>
      </c>
      <c r="Y24">
        <f>IF(OR(T24="",Setup!$B$11=""),0,IF(V24=0,T24/COUNTIF(Setup!$B$9:$B$20,"?*"),T24*AK24/V24))</f>
        <v/>
      </c>
      <c r="Z24">
        <f>IF(OR(T24="",Setup!$B$12=""),0,IF(V24=0,T24/COUNTIF(Setup!$B$9:$B$20,"?*"),T24*AL24/V24))</f>
        <v/>
      </c>
      <c r="AA24">
        <f>IF(OR(T24="",Setup!$B$13=""),0,IF(V24=0,T24/COUNTIF(Setup!$B$9:$B$20,"?*"),T24*AM24/V24))</f>
        <v/>
      </c>
      <c r="AB24">
        <f>IF(OR(T24="",Setup!$B$14=""),0,IF(V24=0,T24/COUNTIF(Setup!$B$9:$B$20,"?*"),T24*AN24/V24))</f>
        <v/>
      </c>
      <c r="AC24">
        <f>IF(OR(T24="",Setup!$B$15=""),0,IF(V24=0,T24/COUNTIF(Setup!$B$9:$B$20,"?*"),T24*AO24/V24))</f>
        <v/>
      </c>
      <c r="AD24">
        <f>IF(OR(T24="",Setup!$B$16=""),0,IF(V24=0,T24/COUNTIF(Setup!$B$9:$B$20,"?*"),T24*AP24/V24))</f>
        <v/>
      </c>
      <c r="AE24">
        <f>IF(OR(T24="",Setup!$B$17=""),0,IF(V24=0,T24/COUNTIF(Setup!$B$9:$B$20,"?*"),T24*AQ24/V24))</f>
        <v/>
      </c>
      <c r="AF24">
        <f>IF(OR(T24="",Setup!$B$18=""),0,IF(V24=0,T24/COUNTIF(Setup!$B$9:$B$20,"?*"),T24*AR24/V24))</f>
        <v/>
      </c>
      <c r="AG24">
        <f>IF(OR(T24="",Setup!$B$19=""),0,IF(V24=0,T24/COUNTIF(Setup!$B$9:$B$20,"?*"),T24*AS24/V24))</f>
        <v/>
      </c>
      <c r="AH24">
        <f>IF(OR(T24="",Setup!$B$20=""),0,IF(V24=0,T24/COUNTIF(Setup!$B$9:$B$20,"?*"),T24*AT24/V24))</f>
        <v/>
      </c>
      <c r="AI24">
        <f>IF(Setup!$B$9="",0,IF(H24="",0,IF(ISNUMBER(H24),H24,1)))</f>
        <v/>
      </c>
      <c r="AJ24">
        <f>IF(Setup!$B$10="",0,IF(I24="",0,IF(ISNUMBER(I24),I24,1)))</f>
        <v/>
      </c>
      <c r="AK24">
        <f>IF(Setup!$B$11="",0,IF(J24="",0,IF(ISNUMBER(J24),J24,1)))</f>
        <v/>
      </c>
      <c r="AL24">
        <f>IF(Setup!$B$12="",0,IF(K24="",0,IF(ISNUMBER(K24),K24,1)))</f>
        <v/>
      </c>
      <c r="AM24">
        <f>IF(Setup!$B$13="",0,IF(L24="",0,IF(ISNUMBER(L24),L24,1)))</f>
        <v/>
      </c>
      <c r="AN24">
        <f>IF(Setup!$B$14="",0,IF(M24="",0,IF(ISNUMBER(M24),M24,1)))</f>
        <v/>
      </c>
      <c r="AO24">
        <f>IF(Setup!$B$15="",0,IF(N24="",0,IF(ISNUMBER(N24),N24,1)))</f>
        <v/>
      </c>
      <c r="AP24">
        <f>IF(Setup!$B$16="",0,IF(O24="",0,IF(ISNUMBER(O24),O24,1)))</f>
        <v/>
      </c>
      <c r="AQ24">
        <f>IF(Setup!$B$17="",0,IF(P24="",0,IF(ISNUMBER(P24),P24,1)))</f>
        <v/>
      </c>
      <c r="AR24">
        <f>IF(Setup!$B$18="",0,IF(Q24="",0,IF(ISNUMBER(Q24),Q24,1)))</f>
        <v/>
      </c>
      <c r="AS24">
        <f>IF(Setup!$B$19="",0,IF(R24="",0,IF(ISNUMBER(R24),R24,1)))</f>
        <v/>
      </c>
      <c r="AT24">
        <f>IF(Setup!$B$20="",0,IF(S24="",0,IF(ISNUMBER(S24),S24,1)))</f>
        <v/>
      </c>
    </row>
    <row r="25">
      <c r="A25" s="1" t="n"/>
      <c r="B25" s="24" t="n">
        <v>46279</v>
      </c>
      <c r="C25" s="25" t="inlineStr">
        <is>
          <t>Lunch</t>
        </is>
      </c>
      <c r="D25" s="25" t="inlineStr">
        <is>
          <t>Food</t>
        </is>
      </c>
      <c r="E25" s="26" t="n">
        <v>67</v>
      </c>
      <c r="F25" s="27" t="inlineStr">
        <is>
          <t>EUR</t>
        </is>
      </c>
      <c r="G25" s="17" t="inlineStr">
        <is>
          <t>Dev</t>
        </is>
      </c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9">
        <f>IF(N(E25)=0,"",E25*IF(F25="",1,IFERROR(INDEX(Setup!$E$9:$E$18,MATCH(F25,Setup!$D$9:$D$18,0)),0)))</f>
        <v/>
      </c>
      <c r="U25" s="30">
        <f>IF(T25="","",IF(V25=0,"Everyone",IF(COUNTIF(AI25:AT25,"&gt;0")=COUNTIF(Setup!$B$9:$B$20,"?*"),"Everyone",COUNTIF(AI25:AT25,"&gt;0")&amp;IF(COUNTIF(AI25:AT25,"&gt;0")=1," person"," people"))))</f>
        <v/>
      </c>
      <c r="V25" s="1">
        <f>SUM(AI25:AT25)</f>
        <v/>
      </c>
      <c r="W25">
        <f>IF(OR(T25="",Setup!$B$9=""),0,IF(V25=0,T25/COUNTIF(Setup!$B$9:$B$20,"?*"),T25*AI25/V25))</f>
        <v/>
      </c>
      <c r="X25">
        <f>IF(OR(T25="",Setup!$B$10=""),0,IF(V25=0,T25/COUNTIF(Setup!$B$9:$B$20,"?*"),T25*AJ25/V25))</f>
        <v/>
      </c>
      <c r="Y25">
        <f>IF(OR(T25="",Setup!$B$11=""),0,IF(V25=0,T25/COUNTIF(Setup!$B$9:$B$20,"?*"),T25*AK25/V25))</f>
        <v/>
      </c>
      <c r="Z25">
        <f>IF(OR(T25="",Setup!$B$12=""),0,IF(V25=0,T25/COUNTIF(Setup!$B$9:$B$20,"?*"),T25*AL25/V25))</f>
        <v/>
      </c>
      <c r="AA25">
        <f>IF(OR(T25="",Setup!$B$13=""),0,IF(V25=0,T25/COUNTIF(Setup!$B$9:$B$20,"?*"),T25*AM25/V25))</f>
        <v/>
      </c>
      <c r="AB25">
        <f>IF(OR(T25="",Setup!$B$14=""),0,IF(V25=0,T25/COUNTIF(Setup!$B$9:$B$20,"?*"),T25*AN25/V25))</f>
        <v/>
      </c>
      <c r="AC25">
        <f>IF(OR(T25="",Setup!$B$15=""),0,IF(V25=0,T25/COUNTIF(Setup!$B$9:$B$20,"?*"),T25*AO25/V25))</f>
        <v/>
      </c>
      <c r="AD25">
        <f>IF(OR(T25="",Setup!$B$16=""),0,IF(V25=0,T25/COUNTIF(Setup!$B$9:$B$20,"?*"),T25*AP25/V25))</f>
        <v/>
      </c>
      <c r="AE25">
        <f>IF(OR(T25="",Setup!$B$17=""),0,IF(V25=0,T25/COUNTIF(Setup!$B$9:$B$20,"?*"),T25*AQ25/V25))</f>
        <v/>
      </c>
      <c r="AF25">
        <f>IF(OR(T25="",Setup!$B$18=""),0,IF(V25=0,T25/COUNTIF(Setup!$B$9:$B$20,"?*"),T25*AR25/V25))</f>
        <v/>
      </c>
      <c r="AG25">
        <f>IF(OR(T25="",Setup!$B$19=""),0,IF(V25=0,T25/COUNTIF(Setup!$B$9:$B$20,"?*"),T25*AS25/V25))</f>
        <v/>
      </c>
      <c r="AH25">
        <f>IF(OR(T25="",Setup!$B$20=""),0,IF(V25=0,T25/COUNTIF(Setup!$B$9:$B$20,"?*"),T25*AT25/V25))</f>
        <v/>
      </c>
      <c r="AI25">
        <f>IF(Setup!$B$9="",0,IF(H25="",0,IF(ISNUMBER(H25),H25,1)))</f>
        <v/>
      </c>
      <c r="AJ25">
        <f>IF(Setup!$B$10="",0,IF(I25="",0,IF(ISNUMBER(I25),I25,1)))</f>
        <v/>
      </c>
      <c r="AK25">
        <f>IF(Setup!$B$11="",0,IF(J25="",0,IF(ISNUMBER(J25),J25,1)))</f>
        <v/>
      </c>
      <c r="AL25">
        <f>IF(Setup!$B$12="",0,IF(K25="",0,IF(ISNUMBER(K25),K25,1)))</f>
        <v/>
      </c>
      <c r="AM25">
        <f>IF(Setup!$B$13="",0,IF(L25="",0,IF(ISNUMBER(L25),L25,1)))</f>
        <v/>
      </c>
      <c r="AN25">
        <f>IF(Setup!$B$14="",0,IF(M25="",0,IF(ISNUMBER(M25),M25,1)))</f>
        <v/>
      </c>
      <c r="AO25">
        <f>IF(Setup!$B$15="",0,IF(N25="",0,IF(ISNUMBER(N25),N25,1)))</f>
        <v/>
      </c>
      <c r="AP25">
        <f>IF(Setup!$B$16="",0,IF(O25="",0,IF(ISNUMBER(O25),O25,1)))</f>
        <v/>
      </c>
      <c r="AQ25">
        <f>IF(Setup!$B$17="",0,IF(P25="",0,IF(ISNUMBER(P25),P25,1)))</f>
        <v/>
      </c>
      <c r="AR25">
        <f>IF(Setup!$B$18="",0,IF(Q25="",0,IF(ISNUMBER(Q25),Q25,1)))</f>
        <v/>
      </c>
      <c r="AS25">
        <f>IF(Setup!$B$19="",0,IF(R25="",0,IF(ISNUMBER(R25),R25,1)))</f>
        <v/>
      </c>
      <c r="AT25">
        <f>IF(Setup!$B$20="",0,IF(S25="",0,IF(ISNUMBER(S25),S25,1)))</f>
        <v/>
      </c>
    </row>
    <row r="26">
      <c r="A26" s="1" t="n"/>
      <c r="B26" s="24" t="n">
        <v>46279</v>
      </c>
      <c r="C26" s="25" t="inlineStr">
        <is>
          <t>Dinner</t>
        </is>
      </c>
      <c r="D26" s="25" t="inlineStr">
        <is>
          <t>Food</t>
        </is>
      </c>
      <c r="E26" s="26" t="n">
        <v>139</v>
      </c>
      <c r="F26" s="27" t="inlineStr">
        <is>
          <t>EUR</t>
        </is>
      </c>
      <c r="G26" s="17" t="inlineStr">
        <is>
          <t>Ben</t>
        </is>
      </c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9">
        <f>IF(N(E26)=0,"",E26*IF(F26="",1,IFERROR(INDEX(Setup!$E$9:$E$18,MATCH(F26,Setup!$D$9:$D$18,0)),0)))</f>
        <v/>
      </c>
      <c r="U26" s="30">
        <f>IF(T26="","",IF(V26=0,"Everyone",IF(COUNTIF(AI26:AT26,"&gt;0")=COUNTIF(Setup!$B$9:$B$20,"?*"),"Everyone",COUNTIF(AI26:AT26,"&gt;0")&amp;IF(COUNTIF(AI26:AT26,"&gt;0")=1," person"," people"))))</f>
        <v/>
      </c>
      <c r="V26" s="1">
        <f>SUM(AI26:AT26)</f>
        <v/>
      </c>
      <c r="W26">
        <f>IF(OR(T26="",Setup!$B$9=""),0,IF(V26=0,T26/COUNTIF(Setup!$B$9:$B$20,"?*"),T26*AI26/V26))</f>
        <v/>
      </c>
      <c r="X26">
        <f>IF(OR(T26="",Setup!$B$10=""),0,IF(V26=0,T26/COUNTIF(Setup!$B$9:$B$20,"?*"),T26*AJ26/V26))</f>
        <v/>
      </c>
      <c r="Y26">
        <f>IF(OR(T26="",Setup!$B$11=""),0,IF(V26=0,T26/COUNTIF(Setup!$B$9:$B$20,"?*"),T26*AK26/V26))</f>
        <v/>
      </c>
      <c r="Z26">
        <f>IF(OR(T26="",Setup!$B$12=""),0,IF(V26=0,T26/COUNTIF(Setup!$B$9:$B$20,"?*"),T26*AL26/V26))</f>
        <v/>
      </c>
      <c r="AA26">
        <f>IF(OR(T26="",Setup!$B$13=""),0,IF(V26=0,T26/COUNTIF(Setup!$B$9:$B$20,"?*"),T26*AM26/V26))</f>
        <v/>
      </c>
      <c r="AB26">
        <f>IF(OR(T26="",Setup!$B$14=""),0,IF(V26=0,T26/COUNTIF(Setup!$B$9:$B$20,"?*"),T26*AN26/V26))</f>
        <v/>
      </c>
      <c r="AC26">
        <f>IF(OR(T26="",Setup!$B$15=""),0,IF(V26=0,T26/COUNTIF(Setup!$B$9:$B$20,"?*"),T26*AO26/V26))</f>
        <v/>
      </c>
      <c r="AD26">
        <f>IF(OR(T26="",Setup!$B$16=""),0,IF(V26=0,T26/COUNTIF(Setup!$B$9:$B$20,"?*"),T26*AP26/V26))</f>
        <v/>
      </c>
      <c r="AE26">
        <f>IF(OR(T26="",Setup!$B$17=""),0,IF(V26=0,T26/COUNTIF(Setup!$B$9:$B$20,"?*"),T26*AQ26/V26))</f>
        <v/>
      </c>
      <c r="AF26">
        <f>IF(OR(T26="",Setup!$B$18=""),0,IF(V26=0,T26/COUNTIF(Setup!$B$9:$B$20,"?*"),T26*AR26/V26))</f>
        <v/>
      </c>
      <c r="AG26">
        <f>IF(OR(T26="",Setup!$B$19=""),0,IF(V26=0,T26/COUNTIF(Setup!$B$9:$B$20,"?*"),T26*AS26/V26))</f>
        <v/>
      </c>
      <c r="AH26">
        <f>IF(OR(T26="",Setup!$B$20=""),0,IF(V26=0,T26/COUNTIF(Setup!$B$9:$B$20,"?*"),T26*AT26/V26))</f>
        <v/>
      </c>
      <c r="AI26">
        <f>IF(Setup!$B$9="",0,IF(H26="",0,IF(ISNUMBER(H26),H26,1)))</f>
        <v/>
      </c>
      <c r="AJ26">
        <f>IF(Setup!$B$10="",0,IF(I26="",0,IF(ISNUMBER(I26),I26,1)))</f>
        <v/>
      </c>
      <c r="AK26">
        <f>IF(Setup!$B$11="",0,IF(J26="",0,IF(ISNUMBER(J26),J26,1)))</f>
        <v/>
      </c>
      <c r="AL26">
        <f>IF(Setup!$B$12="",0,IF(K26="",0,IF(ISNUMBER(K26),K26,1)))</f>
        <v/>
      </c>
      <c r="AM26">
        <f>IF(Setup!$B$13="",0,IF(L26="",0,IF(ISNUMBER(L26),L26,1)))</f>
        <v/>
      </c>
      <c r="AN26">
        <f>IF(Setup!$B$14="",0,IF(M26="",0,IF(ISNUMBER(M26),M26,1)))</f>
        <v/>
      </c>
      <c r="AO26">
        <f>IF(Setup!$B$15="",0,IF(N26="",0,IF(ISNUMBER(N26),N26,1)))</f>
        <v/>
      </c>
      <c r="AP26">
        <f>IF(Setup!$B$16="",0,IF(O26="",0,IF(ISNUMBER(O26),O26,1)))</f>
        <v/>
      </c>
      <c r="AQ26">
        <f>IF(Setup!$B$17="",0,IF(P26="",0,IF(ISNUMBER(P26),P26,1)))</f>
        <v/>
      </c>
      <c r="AR26">
        <f>IF(Setup!$B$18="",0,IF(Q26="",0,IF(ISNUMBER(Q26),Q26,1)))</f>
        <v/>
      </c>
      <c r="AS26">
        <f>IF(Setup!$B$19="",0,IF(R26="",0,IF(ISNUMBER(R26),R26,1)))</f>
        <v/>
      </c>
      <c r="AT26">
        <f>IF(Setup!$B$20="",0,IF(S26="",0,IF(ISNUMBER(S26),S26,1)))</f>
        <v/>
      </c>
    </row>
    <row r="27">
      <c r="A27" s="1" t="n"/>
      <c r="B27" s="24" t="n">
        <v>46280</v>
      </c>
      <c r="C27" s="25" t="inlineStr">
        <is>
          <t>Boat tour on the Douro</t>
        </is>
      </c>
      <c r="D27" s="25" t="inlineStr">
        <is>
          <t>Activities</t>
        </is>
      </c>
      <c r="E27" s="26" t="n">
        <v>95</v>
      </c>
      <c r="F27" s="27" t="inlineStr">
        <is>
          <t>EUR</t>
        </is>
      </c>
      <c r="G27" s="17" t="inlineStr">
        <is>
          <t>Ana</t>
        </is>
      </c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9">
        <f>IF(N(E27)=0,"",E27*IF(F27="",1,IFERROR(INDEX(Setup!$E$9:$E$18,MATCH(F27,Setup!$D$9:$D$18,0)),0)))</f>
        <v/>
      </c>
      <c r="U27" s="30">
        <f>IF(T27="","",IF(V27=0,"Everyone",IF(COUNTIF(AI27:AT27,"&gt;0")=COUNTIF(Setup!$B$9:$B$20,"?*"),"Everyone",COUNTIF(AI27:AT27,"&gt;0")&amp;IF(COUNTIF(AI27:AT27,"&gt;0")=1," person"," people"))))</f>
        <v/>
      </c>
      <c r="V27" s="1">
        <f>SUM(AI27:AT27)</f>
        <v/>
      </c>
      <c r="W27">
        <f>IF(OR(T27="",Setup!$B$9=""),0,IF(V27=0,T27/COUNTIF(Setup!$B$9:$B$20,"?*"),T27*AI27/V27))</f>
        <v/>
      </c>
      <c r="X27">
        <f>IF(OR(T27="",Setup!$B$10=""),0,IF(V27=0,T27/COUNTIF(Setup!$B$9:$B$20,"?*"),T27*AJ27/V27))</f>
        <v/>
      </c>
      <c r="Y27">
        <f>IF(OR(T27="",Setup!$B$11=""),0,IF(V27=0,T27/COUNTIF(Setup!$B$9:$B$20,"?*"),T27*AK27/V27))</f>
        <v/>
      </c>
      <c r="Z27">
        <f>IF(OR(T27="",Setup!$B$12=""),0,IF(V27=0,T27/COUNTIF(Setup!$B$9:$B$20,"?*"),T27*AL27/V27))</f>
        <v/>
      </c>
      <c r="AA27">
        <f>IF(OR(T27="",Setup!$B$13=""),0,IF(V27=0,T27/COUNTIF(Setup!$B$9:$B$20,"?*"),T27*AM27/V27))</f>
        <v/>
      </c>
      <c r="AB27">
        <f>IF(OR(T27="",Setup!$B$14=""),0,IF(V27=0,T27/COUNTIF(Setup!$B$9:$B$20,"?*"),T27*AN27/V27))</f>
        <v/>
      </c>
      <c r="AC27">
        <f>IF(OR(T27="",Setup!$B$15=""),0,IF(V27=0,T27/COUNTIF(Setup!$B$9:$B$20,"?*"),T27*AO27/V27))</f>
        <v/>
      </c>
      <c r="AD27">
        <f>IF(OR(T27="",Setup!$B$16=""),0,IF(V27=0,T27/COUNTIF(Setup!$B$9:$B$20,"?*"),T27*AP27/V27))</f>
        <v/>
      </c>
      <c r="AE27">
        <f>IF(OR(T27="",Setup!$B$17=""),0,IF(V27=0,T27/COUNTIF(Setup!$B$9:$B$20,"?*"),T27*AQ27/V27))</f>
        <v/>
      </c>
      <c r="AF27">
        <f>IF(OR(T27="",Setup!$B$18=""),0,IF(V27=0,T27/COUNTIF(Setup!$B$9:$B$20,"?*"),T27*AR27/V27))</f>
        <v/>
      </c>
      <c r="AG27">
        <f>IF(OR(T27="",Setup!$B$19=""),0,IF(V27=0,T27/COUNTIF(Setup!$B$9:$B$20,"?*"),T27*AS27/V27))</f>
        <v/>
      </c>
      <c r="AH27">
        <f>IF(OR(T27="",Setup!$B$20=""),0,IF(V27=0,T27/COUNTIF(Setup!$B$9:$B$20,"?*"),T27*AT27/V27))</f>
        <v/>
      </c>
      <c r="AI27">
        <f>IF(Setup!$B$9="",0,IF(H27="",0,IF(ISNUMBER(H27),H27,1)))</f>
        <v/>
      </c>
      <c r="AJ27">
        <f>IF(Setup!$B$10="",0,IF(I27="",0,IF(ISNUMBER(I27),I27,1)))</f>
        <v/>
      </c>
      <c r="AK27">
        <f>IF(Setup!$B$11="",0,IF(J27="",0,IF(ISNUMBER(J27),J27,1)))</f>
        <v/>
      </c>
      <c r="AL27">
        <f>IF(Setup!$B$12="",0,IF(K27="",0,IF(ISNUMBER(K27),K27,1)))</f>
        <v/>
      </c>
      <c r="AM27">
        <f>IF(Setup!$B$13="",0,IF(L27="",0,IF(ISNUMBER(L27),L27,1)))</f>
        <v/>
      </c>
      <c r="AN27">
        <f>IF(Setup!$B$14="",0,IF(M27="",0,IF(ISNUMBER(M27),M27,1)))</f>
        <v/>
      </c>
      <c r="AO27">
        <f>IF(Setup!$B$15="",0,IF(N27="",0,IF(ISNUMBER(N27),N27,1)))</f>
        <v/>
      </c>
      <c r="AP27">
        <f>IF(Setup!$B$16="",0,IF(O27="",0,IF(ISNUMBER(O27),O27,1)))</f>
        <v/>
      </c>
      <c r="AQ27">
        <f>IF(Setup!$B$17="",0,IF(P27="",0,IF(ISNUMBER(P27),P27,1)))</f>
        <v/>
      </c>
      <c r="AR27">
        <f>IF(Setup!$B$18="",0,IF(Q27="",0,IF(ISNUMBER(Q27),Q27,1)))</f>
        <v/>
      </c>
      <c r="AS27">
        <f>IF(Setup!$B$19="",0,IF(R27="",0,IF(ISNUMBER(R27),R27,1)))</f>
        <v/>
      </c>
      <c r="AT27">
        <f>IF(Setup!$B$20="",0,IF(S27="",0,IF(ISNUMBER(S27),S27,1)))</f>
        <v/>
      </c>
    </row>
    <row r="28">
      <c r="A28" s="1" t="n"/>
      <c r="B28" s="24" t="n">
        <v>46280</v>
      </c>
      <c r="C28" s="25" t="inlineStr">
        <is>
          <t>Groceries</t>
        </is>
      </c>
      <c r="D28" s="25" t="inlineStr">
        <is>
          <t>Groceries</t>
        </is>
      </c>
      <c r="E28" s="26" t="n">
        <v>38.2</v>
      </c>
      <c r="F28" s="27" t="inlineStr">
        <is>
          <t>EUR</t>
        </is>
      </c>
      <c r="G28" s="17" t="inlineStr">
        <is>
          <t>Emma</t>
        </is>
      </c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9">
        <f>IF(N(E28)=0,"",E28*IF(F28="",1,IFERROR(INDEX(Setup!$E$9:$E$18,MATCH(F28,Setup!$D$9:$D$18,0)),0)))</f>
        <v/>
      </c>
      <c r="U28" s="30">
        <f>IF(T28="","",IF(V28=0,"Everyone",IF(COUNTIF(AI28:AT28,"&gt;0")=COUNTIF(Setup!$B$9:$B$20,"?*"),"Everyone",COUNTIF(AI28:AT28,"&gt;0")&amp;IF(COUNTIF(AI28:AT28,"&gt;0")=1," person"," people"))))</f>
        <v/>
      </c>
      <c r="V28" s="1">
        <f>SUM(AI28:AT28)</f>
        <v/>
      </c>
      <c r="W28">
        <f>IF(OR(T28="",Setup!$B$9=""),0,IF(V28=0,T28/COUNTIF(Setup!$B$9:$B$20,"?*"),T28*AI28/V28))</f>
        <v/>
      </c>
      <c r="X28">
        <f>IF(OR(T28="",Setup!$B$10=""),0,IF(V28=0,T28/COUNTIF(Setup!$B$9:$B$20,"?*"),T28*AJ28/V28))</f>
        <v/>
      </c>
      <c r="Y28">
        <f>IF(OR(T28="",Setup!$B$11=""),0,IF(V28=0,T28/COUNTIF(Setup!$B$9:$B$20,"?*"),T28*AK28/V28))</f>
        <v/>
      </c>
      <c r="Z28">
        <f>IF(OR(T28="",Setup!$B$12=""),0,IF(V28=0,T28/COUNTIF(Setup!$B$9:$B$20,"?*"),T28*AL28/V28))</f>
        <v/>
      </c>
      <c r="AA28">
        <f>IF(OR(T28="",Setup!$B$13=""),0,IF(V28=0,T28/COUNTIF(Setup!$B$9:$B$20,"?*"),T28*AM28/V28))</f>
        <v/>
      </c>
      <c r="AB28">
        <f>IF(OR(T28="",Setup!$B$14=""),0,IF(V28=0,T28/COUNTIF(Setup!$B$9:$B$20,"?*"),T28*AN28/V28))</f>
        <v/>
      </c>
      <c r="AC28">
        <f>IF(OR(T28="",Setup!$B$15=""),0,IF(V28=0,T28/COUNTIF(Setup!$B$9:$B$20,"?*"),T28*AO28/V28))</f>
        <v/>
      </c>
      <c r="AD28">
        <f>IF(OR(T28="",Setup!$B$16=""),0,IF(V28=0,T28/COUNTIF(Setup!$B$9:$B$20,"?*"),T28*AP28/V28))</f>
        <v/>
      </c>
      <c r="AE28">
        <f>IF(OR(T28="",Setup!$B$17=""),0,IF(V28=0,T28/COUNTIF(Setup!$B$9:$B$20,"?*"),T28*AQ28/V28))</f>
        <v/>
      </c>
      <c r="AF28">
        <f>IF(OR(T28="",Setup!$B$18=""),0,IF(V28=0,T28/COUNTIF(Setup!$B$9:$B$20,"?*"),T28*AR28/V28))</f>
        <v/>
      </c>
      <c r="AG28">
        <f>IF(OR(T28="",Setup!$B$19=""),0,IF(V28=0,T28/COUNTIF(Setup!$B$9:$B$20,"?*"),T28*AS28/V28))</f>
        <v/>
      </c>
      <c r="AH28">
        <f>IF(OR(T28="",Setup!$B$20=""),0,IF(V28=0,T28/COUNTIF(Setup!$B$9:$B$20,"?*"),T28*AT28/V28))</f>
        <v/>
      </c>
      <c r="AI28">
        <f>IF(Setup!$B$9="",0,IF(H28="",0,IF(ISNUMBER(H28),H28,1)))</f>
        <v/>
      </c>
      <c r="AJ28">
        <f>IF(Setup!$B$10="",0,IF(I28="",0,IF(ISNUMBER(I28),I28,1)))</f>
        <v/>
      </c>
      <c r="AK28">
        <f>IF(Setup!$B$11="",0,IF(J28="",0,IF(ISNUMBER(J28),J28,1)))</f>
        <v/>
      </c>
      <c r="AL28">
        <f>IF(Setup!$B$12="",0,IF(K28="",0,IF(ISNUMBER(K28),K28,1)))</f>
        <v/>
      </c>
      <c r="AM28">
        <f>IF(Setup!$B$13="",0,IF(L28="",0,IF(ISNUMBER(L28),L28,1)))</f>
        <v/>
      </c>
      <c r="AN28">
        <f>IF(Setup!$B$14="",0,IF(M28="",0,IF(ISNUMBER(M28),M28,1)))</f>
        <v/>
      </c>
      <c r="AO28">
        <f>IF(Setup!$B$15="",0,IF(N28="",0,IF(ISNUMBER(N28),N28,1)))</f>
        <v/>
      </c>
      <c r="AP28">
        <f>IF(Setup!$B$16="",0,IF(O28="",0,IF(ISNUMBER(O28),O28,1)))</f>
        <v/>
      </c>
      <c r="AQ28">
        <f>IF(Setup!$B$17="",0,IF(P28="",0,IF(ISNUMBER(P28),P28,1)))</f>
        <v/>
      </c>
      <c r="AR28">
        <f>IF(Setup!$B$18="",0,IF(Q28="",0,IF(ISNUMBER(Q28),Q28,1)))</f>
        <v/>
      </c>
      <c r="AS28">
        <f>IF(Setup!$B$19="",0,IF(R28="",0,IF(ISNUMBER(R28),R28,1)))</f>
        <v/>
      </c>
      <c r="AT28">
        <f>IF(Setup!$B$20="",0,IF(S28="",0,IF(ISNUMBER(S28),S28,1)))</f>
        <v/>
      </c>
    </row>
    <row r="29">
      <c r="A29" s="1" t="n"/>
      <c r="B29" s="24" t="n">
        <v>46280</v>
      </c>
      <c r="C29" s="25" t="inlineStr">
        <is>
          <t>Farewell dinner</t>
        </is>
      </c>
      <c r="D29" s="25" t="inlineStr">
        <is>
          <t>Food</t>
        </is>
      </c>
      <c r="E29" s="26" t="n">
        <v>210</v>
      </c>
      <c r="F29" s="27" t="inlineStr">
        <is>
          <t>EUR</t>
        </is>
      </c>
      <c r="G29" s="17" t="inlineStr">
        <is>
          <t>Chloe</t>
        </is>
      </c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9">
        <f>IF(N(E29)=0,"",E29*IF(F29="",1,IFERROR(INDEX(Setup!$E$9:$E$18,MATCH(F29,Setup!$D$9:$D$18,0)),0)))</f>
        <v/>
      </c>
      <c r="U29" s="30">
        <f>IF(T29="","",IF(V29=0,"Everyone",IF(COUNTIF(AI29:AT29,"&gt;0")=COUNTIF(Setup!$B$9:$B$20,"?*"),"Everyone",COUNTIF(AI29:AT29,"&gt;0")&amp;IF(COUNTIF(AI29:AT29,"&gt;0")=1," person"," people"))))</f>
        <v/>
      </c>
      <c r="V29" s="1">
        <f>SUM(AI29:AT29)</f>
        <v/>
      </c>
      <c r="W29">
        <f>IF(OR(T29="",Setup!$B$9=""),0,IF(V29=0,T29/COUNTIF(Setup!$B$9:$B$20,"?*"),T29*AI29/V29))</f>
        <v/>
      </c>
      <c r="X29">
        <f>IF(OR(T29="",Setup!$B$10=""),0,IF(V29=0,T29/COUNTIF(Setup!$B$9:$B$20,"?*"),T29*AJ29/V29))</f>
        <v/>
      </c>
      <c r="Y29">
        <f>IF(OR(T29="",Setup!$B$11=""),0,IF(V29=0,T29/COUNTIF(Setup!$B$9:$B$20,"?*"),T29*AK29/V29))</f>
        <v/>
      </c>
      <c r="Z29">
        <f>IF(OR(T29="",Setup!$B$12=""),0,IF(V29=0,T29/COUNTIF(Setup!$B$9:$B$20,"?*"),T29*AL29/V29))</f>
        <v/>
      </c>
      <c r="AA29">
        <f>IF(OR(T29="",Setup!$B$13=""),0,IF(V29=0,T29/COUNTIF(Setup!$B$9:$B$20,"?*"),T29*AM29/V29))</f>
        <v/>
      </c>
      <c r="AB29">
        <f>IF(OR(T29="",Setup!$B$14=""),0,IF(V29=0,T29/COUNTIF(Setup!$B$9:$B$20,"?*"),T29*AN29/V29))</f>
        <v/>
      </c>
      <c r="AC29">
        <f>IF(OR(T29="",Setup!$B$15=""),0,IF(V29=0,T29/COUNTIF(Setup!$B$9:$B$20,"?*"),T29*AO29/V29))</f>
        <v/>
      </c>
      <c r="AD29">
        <f>IF(OR(T29="",Setup!$B$16=""),0,IF(V29=0,T29/COUNTIF(Setup!$B$9:$B$20,"?*"),T29*AP29/V29))</f>
        <v/>
      </c>
      <c r="AE29">
        <f>IF(OR(T29="",Setup!$B$17=""),0,IF(V29=0,T29/COUNTIF(Setup!$B$9:$B$20,"?*"),T29*AQ29/V29))</f>
        <v/>
      </c>
      <c r="AF29">
        <f>IF(OR(T29="",Setup!$B$18=""),0,IF(V29=0,T29/COUNTIF(Setup!$B$9:$B$20,"?*"),T29*AR29/V29))</f>
        <v/>
      </c>
      <c r="AG29">
        <f>IF(OR(T29="",Setup!$B$19=""),0,IF(V29=0,T29/COUNTIF(Setup!$B$9:$B$20,"?*"),T29*AS29/V29))</f>
        <v/>
      </c>
      <c r="AH29">
        <f>IF(OR(T29="",Setup!$B$20=""),0,IF(V29=0,T29/COUNTIF(Setup!$B$9:$B$20,"?*"),T29*AT29/V29))</f>
        <v/>
      </c>
      <c r="AI29">
        <f>IF(Setup!$B$9="",0,IF(H29="",0,IF(ISNUMBER(H29),H29,1)))</f>
        <v/>
      </c>
      <c r="AJ29">
        <f>IF(Setup!$B$10="",0,IF(I29="",0,IF(ISNUMBER(I29),I29,1)))</f>
        <v/>
      </c>
      <c r="AK29">
        <f>IF(Setup!$B$11="",0,IF(J29="",0,IF(ISNUMBER(J29),J29,1)))</f>
        <v/>
      </c>
      <c r="AL29">
        <f>IF(Setup!$B$12="",0,IF(K29="",0,IF(ISNUMBER(K29),K29,1)))</f>
        <v/>
      </c>
      <c r="AM29">
        <f>IF(Setup!$B$13="",0,IF(L29="",0,IF(ISNUMBER(L29),L29,1)))</f>
        <v/>
      </c>
      <c r="AN29">
        <f>IF(Setup!$B$14="",0,IF(M29="",0,IF(ISNUMBER(M29),M29,1)))</f>
        <v/>
      </c>
      <c r="AO29">
        <f>IF(Setup!$B$15="",0,IF(N29="",0,IF(ISNUMBER(N29),N29,1)))</f>
        <v/>
      </c>
      <c r="AP29">
        <f>IF(Setup!$B$16="",0,IF(O29="",0,IF(ISNUMBER(O29),O29,1)))</f>
        <v/>
      </c>
      <c r="AQ29">
        <f>IF(Setup!$B$17="",0,IF(P29="",0,IF(ISNUMBER(P29),P29,1)))</f>
        <v/>
      </c>
      <c r="AR29">
        <f>IF(Setup!$B$18="",0,IF(Q29="",0,IF(ISNUMBER(Q29),Q29,1)))</f>
        <v/>
      </c>
      <c r="AS29">
        <f>IF(Setup!$B$19="",0,IF(R29="",0,IF(ISNUMBER(R29),R29,1)))</f>
        <v/>
      </c>
      <c r="AT29">
        <f>IF(Setup!$B$20="",0,IF(S29="",0,IF(ISNUMBER(S29),S29,1)))</f>
        <v/>
      </c>
    </row>
    <row r="30">
      <c r="A30" s="1" t="n"/>
      <c r="B30" s="24" t="n">
        <v>46281</v>
      </c>
      <c r="C30" s="25" t="inlineStr">
        <is>
          <t>Taxi to the airport</t>
        </is>
      </c>
      <c r="D30" s="25" t="inlineStr">
        <is>
          <t>Transport</t>
        </is>
      </c>
      <c r="E30" s="26" t="n">
        <v>34</v>
      </c>
      <c r="F30" s="27" t="inlineStr">
        <is>
          <t>EUR</t>
        </is>
      </c>
      <c r="G30" s="17" t="inlineStr">
        <is>
          <t>Dev</t>
        </is>
      </c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9">
        <f>IF(N(E30)=0,"",E30*IF(F30="",1,IFERROR(INDEX(Setup!$E$9:$E$18,MATCH(F30,Setup!$D$9:$D$18,0)),0)))</f>
        <v/>
      </c>
      <c r="U30" s="30">
        <f>IF(T30="","",IF(V30=0,"Everyone",IF(COUNTIF(AI30:AT30,"&gt;0")=COUNTIF(Setup!$B$9:$B$20,"?*"),"Everyone",COUNTIF(AI30:AT30,"&gt;0")&amp;IF(COUNTIF(AI30:AT30,"&gt;0")=1," person"," people"))))</f>
        <v/>
      </c>
      <c r="V30" s="1">
        <f>SUM(AI30:AT30)</f>
        <v/>
      </c>
      <c r="W30">
        <f>IF(OR(T30="",Setup!$B$9=""),0,IF(V30=0,T30/COUNTIF(Setup!$B$9:$B$20,"?*"),T30*AI30/V30))</f>
        <v/>
      </c>
      <c r="X30">
        <f>IF(OR(T30="",Setup!$B$10=""),0,IF(V30=0,T30/COUNTIF(Setup!$B$9:$B$20,"?*"),T30*AJ30/V30))</f>
        <v/>
      </c>
      <c r="Y30">
        <f>IF(OR(T30="",Setup!$B$11=""),0,IF(V30=0,T30/COUNTIF(Setup!$B$9:$B$20,"?*"),T30*AK30/V30))</f>
        <v/>
      </c>
      <c r="Z30">
        <f>IF(OR(T30="",Setup!$B$12=""),0,IF(V30=0,T30/COUNTIF(Setup!$B$9:$B$20,"?*"),T30*AL30/V30))</f>
        <v/>
      </c>
      <c r="AA30">
        <f>IF(OR(T30="",Setup!$B$13=""),0,IF(V30=0,T30/COUNTIF(Setup!$B$9:$B$20,"?*"),T30*AM30/V30))</f>
        <v/>
      </c>
      <c r="AB30">
        <f>IF(OR(T30="",Setup!$B$14=""),0,IF(V30=0,T30/COUNTIF(Setup!$B$9:$B$20,"?*"),T30*AN30/V30))</f>
        <v/>
      </c>
      <c r="AC30">
        <f>IF(OR(T30="",Setup!$B$15=""),0,IF(V30=0,T30/COUNTIF(Setup!$B$9:$B$20,"?*"),T30*AO30/V30))</f>
        <v/>
      </c>
      <c r="AD30">
        <f>IF(OR(T30="",Setup!$B$16=""),0,IF(V30=0,T30/COUNTIF(Setup!$B$9:$B$20,"?*"),T30*AP30/V30))</f>
        <v/>
      </c>
      <c r="AE30">
        <f>IF(OR(T30="",Setup!$B$17=""),0,IF(V30=0,T30/COUNTIF(Setup!$B$9:$B$20,"?*"),T30*AQ30/V30))</f>
        <v/>
      </c>
      <c r="AF30">
        <f>IF(OR(T30="",Setup!$B$18=""),0,IF(V30=0,T30/COUNTIF(Setup!$B$9:$B$20,"?*"),T30*AR30/V30))</f>
        <v/>
      </c>
      <c r="AG30">
        <f>IF(OR(T30="",Setup!$B$19=""),0,IF(V30=0,T30/COUNTIF(Setup!$B$9:$B$20,"?*"),T30*AS30/V30))</f>
        <v/>
      </c>
      <c r="AH30">
        <f>IF(OR(T30="",Setup!$B$20=""),0,IF(V30=0,T30/COUNTIF(Setup!$B$9:$B$20,"?*"),T30*AT30/V30))</f>
        <v/>
      </c>
      <c r="AI30">
        <f>IF(Setup!$B$9="",0,IF(H30="",0,IF(ISNUMBER(H30),H30,1)))</f>
        <v/>
      </c>
      <c r="AJ30">
        <f>IF(Setup!$B$10="",0,IF(I30="",0,IF(ISNUMBER(I30),I30,1)))</f>
        <v/>
      </c>
      <c r="AK30">
        <f>IF(Setup!$B$11="",0,IF(J30="",0,IF(ISNUMBER(J30),J30,1)))</f>
        <v/>
      </c>
      <c r="AL30">
        <f>IF(Setup!$B$12="",0,IF(K30="",0,IF(ISNUMBER(K30),K30,1)))</f>
        <v/>
      </c>
      <c r="AM30">
        <f>IF(Setup!$B$13="",0,IF(L30="",0,IF(ISNUMBER(L30),L30,1)))</f>
        <v/>
      </c>
      <c r="AN30">
        <f>IF(Setup!$B$14="",0,IF(M30="",0,IF(ISNUMBER(M30),M30,1)))</f>
        <v/>
      </c>
      <c r="AO30">
        <f>IF(Setup!$B$15="",0,IF(N30="",0,IF(ISNUMBER(N30),N30,1)))</f>
        <v/>
      </c>
      <c r="AP30">
        <f>IF(Setup!$B$16="",0,IF(O30="",0,IF(ISNUMBER(O30),O30,1)))</f>
        <v/>
      </c>
      <c r="AQ30">
        <f>IF(Setup!$B$17="",0,IF(P30="",0,IF(ISNUMBER(P30),P30,1)))</f>
        <v/>
      </c>
      <c r="AR30">
        <f>IF(Setup!$B$18="",0,IF(Q30="",0,IF(ISNUMBER(Q30),Q30,1)))</f>
        <v/>
      </c>
      <c r="AS30">
        <f>IF(Setup!$B$19="",0,IF(R30="",0,IF(ISNUMBER(R30),R30,1)))</f>
        <v/>
      </c>
      <c r="AT30">
        <f>IF(Setup!$B$20="",0,IF(S30="",0,IF(ISNUMBER(S30),S30,1)))</f>
        <v/>
      </c>
    </row>
    <row r="31">
      <c r="A31" s="1" t="n"/>
      <c r="B31" s="24" t="n">
        <v>46281</v>
      </c>
      <c r="C31" s="25" t="inlineStr">
        <is>
          <t>Airport snacks</t>
        </is>
      </c>
      <c r="D31" s="25" t="inlineStr">
        <is>
          <t>Food</t>
        </is>
      </c>
      <c r="E31" s="26" t="n">
        <v>22.4</v>
      </c>
      <c r="F31" s="27" t="inlineStr">
        <is>
          <t>EUR</t>
        </is>
      </c>
      <c r="G31" s="17" t="inlineStr">
        <is>
          <t>Ben</t>
        </is>
      </c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9">
        <f>IF(N(E31)=0,"",E31*IF(F31="",1,IFERROR(INDEX(Setup!$E$9:$E$18,MATCH(F31,Setup!$D$9:$D$18,0)),0)))</f>
        <v/>
      </c>
      <c r="U31" s="30">
        <f>IF(T31="","",IF(V31=0,"Everyone",IF(COUNTIF(AI31:AT31,"&gt;0")=COUNTIF(Setup!$B$9:$B$20,"?*"),"Everyone",COUNTIF(AI31:AT31,"&gt;0")&amp;IF(COUNTIF(AI31:AT31,"&gt;0")=1," person"," people"))))</f>
        <v/>
      </c>
      <c r="V31" s="1">
        <f>SUM(AI31:AT31)</f>
        <v/>
      </c>
      <c r="W31">
        <f>IF(OR(T31="",Setup!$B$9=""),0,IF(V31=0,T31/COUNTIF(Setup!$B$9:$B$20,"?*"),T31*AI31/V31))</f>
        <v/>
      </c>
      <c r="X31">
        <f>IF(OR(T31="",Setup!$B$10=""),0,IF(V31=0,T31/COUNTIF(Setup!$B$9:$B$20,"?*"),T31*AJ31/V31))</f>
        <v/>
      </c>
      <c r="Y31">
        <f>IF(OR(T31="",Setup!$B$11=""),0,IF(V31=0,T31/COUNTIF(Setup!$B$9:$B$20,"?*"),T31*AK31/V31))</f>
        <v/>
      </c>
      <c r="Z31">
        <f>IF(OR(T31="",Setup!$B$12=""),0,IF(V31=0,T31/COUNTIF(Setup!$B$9:$B$20,"?*"),T31*AL31/V31))</f>
        <v/>
      </c>
      <c r="AA31">
        <f>IF(OR(T31="",Setup!$B$13=""),0,IF(V31=0,T31/COUNTIF(Setup!$B$9:$B$20,"?*"),T31*AM31/V31))</f>
        <v/>
      </c>
      <c r="AB31">
        <f>IF(OR(T31="",Setup!$B$14=""),0,IF(V31=0,T31/COUNTIF(Setup!$B$9:$B$20,"?*"),T31*AN31/V31))</f>
        <v/>
      </c>
      <c r="AC31">
        <f>IF(OR(T31="",Setup!$B$15=""),0,IF(V31=0,T31/COUNTIF(Setup!$B$9:$B$20,"?*"),T31*AO31/V31))</f>
        <v/>
      </c>
      <c r="AD31">
        <f>IF(OR(T31="",Setup!$B$16=""),0,IF(V31=0,T31/COUNTIF(Setup!$B$9:$B$20,"?*"),T31*AP31/V31))</f>
        <v/>
      </c>
      <c r="AE31">
        <f>IF(OR(T31="",Setup!$B$17=""),0,IF(V31=0,T31/COUNTIF(Setup!$B$9:$B$20,"?*"),T31*AQ31/V31))</f>
        <v/>
      </c>
      <c r="AF31">
        <f>IF(OR(T31="",Setup!$B$18=""),0,IF(V31=0,T31/COUNTIF(Setup!$B$9:$B$20,"?*"),T31*AR31/V31))</f>
        <v/>
      </c>
      <c r="AG31">
        <f>IF(OR(T31="",Setup!$B$19=""),0,IF(V31=0,T31/COUNTIF(Setup!$B$9:$B$20,"?*"),T31*AS31/V31))</f>
        <v/>
      </c>
      <c r="AH31">
        <f>IF(OR(T31="",Setup!$B$20=""),0,IF(V31=0,T31/COUNTIF(Setup!$B$9:$B$20,"?*"),T31*AT31/V31))</f>
        <v/>
      </c>
      <c r="AI31">
        <f>IF(Setup!$B$9="",0,IF(H31="",0,IF(ISNUMBER(H31),H31,1)))</f>
        <v/>
      </c>
      <c r="AJ31">
        <f>IF(Setup!$B$10="",0,IF(I31="",0,IF(ISNUMBER(I31),I31,1)))</f>
        <v/>
      </c>
      <c r="AK31">
        <f>IF(Setup!$B$11="",0,IF(J31="",0,IF(ISNUMBER(J31),J31,1)))</f>
        <v/>
      </c>
      <c r="AL31">
        <f>IF(Setup!$B$12="",0,IF(K31="",0,IF(ISNUMBER(K31),K31,1)))</f>
        <v/>
      </c>
      <c r="AM31">
        <f>IF(Setup!$B$13="",0,IF(L31="",0,IF(ISNUMBER(L31),L31,1)))</f>
        <v/>
      </c>
      <c r="AN31">
        <f>IF(Setup!$B$14="",0,IF(M31="",0,IF(ISNUMBER(M31),M31,1)))</f>
        <v/>
      </c>
      <c r="AO31">
        <f>IF(Setup!$B$15="",0,IF(N31="",0,IF(ISNUMBER(N31),N31,1)))</f>
        <v/>
      </c>
      <c r="AP31">
        <f>IF(Setup!$B$16="",0,IF(O31="",0,IF(ISNUMBER(O31),O31,1)))</f>
        <v/>
      </c>
      <c r="AQ31">
        <f>IF(Setup!$B$17="",0,IF(P31="",0,IF(ISNUMBER(P31),P31,1)))</f>
        <v/>
      </c>
      <c r="AR31">
        <f>IF(Setup!$B$18="",0,IF(Q31="",0,IF(ISNUMBER(Q31),Q31,1)))</f>
        <v/>
      </c>
      <c r="AS31">
        <f>IF(Setup!$B$19="",0,IF(R31="",0,IF(ISNUMBER(R31),R31,1)))</f>
        <v/>
      </c>
      <c r="AT31">
        <f>IF(Setup!$B$20="",0,IF(S31="",0,IF(ISNUMBER(S31),S31,1)))</f>
        <v/>
      </c>
    </row>
    <row r="32">
      <c r="A32" s="1" t="n"/>
      <c r="B32" s="24" t="n">
        <v>46281</v>
      </c>
      <c r="C32" s="25" t="inlineStr">
        <is>
          <t>Car home from the airport</t>
        </is>
      </c>
      <c r="D32" s="25" t="inlineStr">
        <is>
          <t>Transport</t>
        </is>
      </c>
      <c r="E32" s="26" t="n">
        <v>58</v>
      </c>
      <c r="F32" s="27" t="inlineStr">
        <is>
          <t>USD</t>
        </is>
      </c>
      <c r="G32" s="17" t="inlineStr">
        <is>
          <t>Emma</t>
        </is>
      </c>
      <c r="H32" s="28" t="inlineStr">
        <is>
          <t>x</t>
        </is>
      </c>
      <c r="I32" s="28" t="n"/>
      <c r="J32" s="28" t="n"/>
      <c r="K32" s="28" t="n"/>
      <c r="L32" s="28" t="inlineStr">
        <is>
          <t>x</t>
        </is>
      </c>
      <c r="M32" s="28" t="n"/>
      <c r="N32" s="28" t="n"/>
      <c r="O32" s="28" t="n"/>
      <c r="P32" s="28" t="n"/>
      <c r="Q32" s="28" t="n"/>
      <c r="R32" s="28" t="n"/>
      <c r="S32" s="28" t="n"/>
      <c r="T32" s="29">
        <f>IF(N(E32)=0,"",E32*IF(F32="",1,IFERROR(INDEX(Setup!$E$9:$E$18,MATCH(F32,Setup!$D$9:$D$18,0)),0)))</f>
        <v/>
      </c>
      <c r="U32" s="30">
        <f>IF(T32="","",IF(V32=0,"Everyone",IF(COUNTIF(AI32:AT32,"&gt;0")=COUNTIF(Setup!$B$9:$B$20,"?*"),"Everyone",COUNTIF(AI32:AT32,"&gt;0")&amp;IF(COUNTIF(AI32:AT32,"&gt;0")=1," person"," people"))))</f>
        <v/>
      </c>
      <c r="V32" s="1">
        <f>SUM(AI32:AT32)</f>
        <v/>
      </c>
      <c r="W32">
        <f>IF(OR(T32="",Setup!$B$9=""),0,IF(V32=0,T32/COUNTIF(Setup!$B$9:$B$20,"?*"),T32*AI32/V32))</f>
        <v/>
      </c>
      <c r="X32">
        <f>IF(OR(T32="",Setup!$B$10=""),0,IF(V32=0,T32/COUNTIF(Setup!$B$9:$B$20,"?*"),T32*AJ32/V32))</f>
        <v/>
      </c>
      <c r="Y32">
        <f>IF(OR(T32="",Setup!$B$11=""),0,IF(V32=0,T32/COUNTIF(Setup!$B$9:$B$20,"?*"),T32*AK32/V32))</f>
        <v/>
      </c>
      <c r="Z32">
        <f>IF(OR(T32="",Setup!$B$12=""),0,IF(V32=0,T32/COUNTIF(Setup!$B$9:$B$20,"?*"),T32*AL32/V32))</f>
        <v/>
      </c>
      <c r="AA32">
        <f>IF(OR(T32="",Setup!$B$13=""),0,IF(V32=0,T32/COUNTIF(Setup!$B$9:$B$20,"?*"),T32*AM32/V32))</f>
        <v/>
      </c>
      <c r="AB32">
        <f>IF(OR(T32="",Setup!$B$14=""),0,IF(V32=0,T32/COUNTIF(Setup!$B$9:$B$20,"?*"),T32*AN32/V32))</f>
        <v/>
      </c>
      <c r="AC32">
        <f>IF(OR(T32="",Setup!$B$15=""),0,IF(V32=0,T32/COUNTIF(Setup!$B$9:$B$20,"?*"),T32*AO32/V32))</f>
        <v/>
      </c>
      <c r="AD32">
        <f>IF(OR(T32="",Setup!$B$16=""),0,IF(V32=0,T32/COUNTIF(Setup!$B$9:$B$20,"?*"),T32*AP32/V32))</f>
        <v/>
      </c>
      <c r="AE32">
        <f>IF(OR(T32="",Setup!$B$17=""),0,IF(V32=0,T32/COUNTIF(Setup!$B$9:$B$20,"?*"),T32*AQ32/V32))</f>
        <v/>
      </c>
      <c r="AF32">
        <f>IF(OR(T32="",Setup!$B$18=""),0,IF(V32=0,T32/COUNTIF(Setup!$B$9:$B$20,"?*"),T32*AR32/V32))</f>
        <v/>
      </c>
      <c r="AG32">
        <f>IF(OR(T32="",Setup!$B$19=""),0,IF(V32=0,T32/COUNTIF(Setup!$B$9:$B$20,"?*"),T32*AS32/V32))</f>
        <v/>
      </c>
      <c r="AH32">
        <f>IF(OR(T32="",Setup!$B$20=""),0,IF(V32=0,T32/COUNTIF(Setup!$B$9:$B$20,"?*"),T32*AT32/V32))</f>
        <v/>
      </c>
      <c r="AI32">
        <f>IF(Setup!$B$9="",0,IF(H32="",0,IF(ISNUMBER(H32),H32,1)))</f>
        <v/>
      </c>
      <c r="AJ32">
        <f>IF(Setup!$B$10="",0,IF(I32="",0,IF(ISNUMBER(I32),I32,1)))</f>
        <v/>
      </c>
      <c r="AK32">
        <f>IF(Setup!$B$11="",0,IF(J32="",0,IF(ISNUMBER(J32),J32,1)))</f>
        <v/>
      </c>
      <c r="AL32">
        <f>IF(Setup!$B$12="",0,IF(K32="",0,IF(ISNUMBER(K32),K32,1)))</f>
        <v/>
      </c>
      <c r="AM32">
        <f>IF(Setup!$B$13="",0,IF(L32="",0,IF(ISNUMBER(L32),L32,1)))</f>
        <v/>
      </c>
      <c r="AN32">
        <f>IF(Setup!$B$14="",0,IF(M32="",0,IF(ISNUMBER(M32),M32,1)))</f>
        <v/>
      </c>
      <c r="AO32">
        <f>IF(Setup!$B$15="",0,IF(N32="",0,IF(ISNUMBER(N32),N32,1)))</f>
        <v/>
      </c>
      <c r="AP32">
        <f>IF(Setup!$B$16="",0,IF(O32="",0,IF(ISNUMBER(O32),O32,1)))</f>
        <v/>
      </c>
      <c r="AQ32">
        <f>IF(Setup!$B$17="",0,IF(P32="",0,IF(ISNUMBER(P32),P32,1)))</f>
        <v/>
      </c>
      <c r="AR32">
        <f>IF(Setup!$B$18="",0,IF(Q32="",0,IF(ISNUMBER(Q32),Q32,1)))</f>
        <v/>
      </c>
      <c r="AS32">
        <f>IF(Setup!$B$19="",0,IF(R32="",0,IF(ISNUMBER(R32),R32,1)))</f>
        <v/>
      </c>
      <c r="AT32">
        <f>IF(Setup!$B$20="",0,IF(S32="",0,IF(ISNUMBER(S32),S32,1)))</f>
        <v/>
      </c>
    </row>
    <row r="33">
      <c r="A33" s="1" t="n"/>
      <c r="B33" s="24" t="n"/>
      <c r="C33" s="25" t="n"/>
      <c r="D33" s="25" t="n"/>
      <c r="E33" s="26" t="n"/>
      <c r="F33" s="27" t="n"/>
      <c r="G33" s="17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9">
        <f>IF(N(E33)=0,"",E33*IF(F33="",1,IFERROR(INDEX(Setup!$E$9:$E$18,MATCH(F33,Setup!$D$9:$D$18,0)),0)))</f>
        <v/>
      </c>
      <c r="U33" s="30">
        <f>IF(T33="","",IF(V33=0,"Everyone",IF(COUNTIF(AI33:AT33,"&gt;0")=COUNTIF(Setup!$B$9:$B$20,"?*"),"Everyone",COUNTIF(AI33:AT33,"&gt;0")&amp;IF(COUNTIF(AI33:AT33,"&gt;0")=1," person"," people"))))</f>
        <v/>
      </c>
      <c r="V33" s="1">
        <f>SUM(AI33:AT33)</f>
        <v/>
      </c>
      <c r="W33">
        <f>IF(OR(T33="",Setup!$B$9=""),0,IF(V33=0,T33/COUNTIF(Setup!$B$9:$B$20,"?*"),T33*AI33/V33))</f>
        <v/>
      </c>
      <c r="X33">
        <f>IF(OR(T33="",Setup!$B$10=""),0,IF(V33=0,T33/COUNTIF(Setup!$B$9:$B$20,"?*"),T33*AJ33/V33))</f>
        <v/>
      </c>
      <c r="Y33">
        <f>IF(OR(T33="",Setup!$B$11=""),0,IF(V33=0,T33/COUNTIF(Setup!$B$9:$B$20,"?*"),T33*AK33/V33))</f>
        <v/>
      </c>
      <c r="Z33">
        <f>IF(OR(T33="",Setup!$B$12=""),0,IF(V33=0,T33/COUNTIF(Setup!$B$9:$B$20,"?*"),T33*AL33/V33))</f>
        <v/>
      </c>
      <c r="AA33">
        <f>IF(OR(T33="",Setup!$B$13=""),0,IF(V33=0,T33/COUNTIF(Setup!$B$9:$B$20,"?*"),T33*AM33/V33))</f>
        <v/>
      </c>
      <c r="AB33">
        <f>IF(OR(T33="",Setup!$B$14=""),0,IF(V33=0,T33/COUNTIF(Setup!$B$9:$B$20,"?*"),T33*AN33/V33))</f>
        <v/>
      </c>
      <c r="AC33">
        <f>IF(OR(T33="",Setup!$B$15=""),0,IF(V33=0,T33/COUNTIF(Setup!$B$9:$B$20,"?*"),T33*AO33/V33))</f>
        <v/>
      </c>
      <c r="AD33">
        <f>IF(OR(T33="",Setup!$B$16=""),0,IF(V33=0,T33/COUNTIF(Setup!$B$9:$B$20,"?*"),T33*AP33/V33))</f>
        <v/>
      </c>
      <c r="AE33">
        <f>IF(OR(T33="",Setup!$B$17=""),0,IF(V33=0,T33/COUNTIF(Setup!$B$9:$B$20,"?*"),T33*AQ33/V33))</f>
        <v/>
      </c>
      <c r="AF33">
        <f>IF(OR(T33="",Setup!$B$18=""),0,IF(V33=0,T33/COUNTIF(Setup!$B$9:$B$20,"?*"),T33*AR33/V33))</f>
        <v/>
      </c>
      <c r="AG33">
        <f>IF(OR(T33="",Setup!$B$19=""),0,IF(V33=0,T33/COUNTIF(Setup!$B$9:$B$20,"?*"),T33*AS33/V33))</f>
        <v/>
      </c>
      <c r="AH33">
        <f>IF(OR(T33="",Setup!$B$20=""),0,IF(V33=0,T33/COUNTIF(Setup!$B$9:$B$20,"?*"),T33*AT33/V33))</f>
        <v/>
      </c>
      <c r="AI33">
        <f>IF(Setup!$B$9="",0,IF(H33="",0,IF(ISNUMBER(H33),H33,1)))</f>
        <v/>
      </c>
      <c r="AJ33">
        <f>IF(Setup!$B$10="",0,IF(I33="",0,IF(ISNUMBER(I33),I33,1)))</f>
        <v/>
      </c>
      <c r="AK33">
        <f>IF(Setup!$B$11="",0,IF(J33="",0,IF(ISNUMBER(J33),J33,1)))</f>
        <v/>
      </c>
      <c r="AL33">
        <f>IF(Setup!$B$12="",0,IF(K33="",0,IF(ISNUMBER(K33),K33,1)))</f>
        <v/>
      </c>
      <c r="AM33">
        <f>IF(Setup!$B$13="",0,IF(L33="",0,IF(ISNUMBER(L33),L33,1)))</f>
        <v/>
      </c>
      <c r="AN33">
        <f>IF(Setup!$B$14="",0,IF(M33="",0,IF(ISNUMBER(M33),M33,1)))</f>
        <v/>
      </c>
      <c r="AO33">
        <f>IF(Setup!$B$15="",0,IF(N33="",0,IF(ISNUMBER(N33),N33,1)))</f>
        <v/>
      </c>
      <c r="AP33">
        <f>IF(Setup!$B$16="",0,IF(O33="",0,IF(ISNUMBER(O33),O33,1)))</f>
        <v/>
      </c>
      <c r="AQ33">
        <f>IF(Setup!$B$17="",0,IF(P33="",0,IF(ISNUMBER(P33),P33,1)))</f>
        <v/>
      </c>
      <c r="AR33">
        <f>IF(Setup!$B$18="",0,IF(Q33="",0,IF(ISNUMBER(Q33),Q33,1)))</f>
        <v/>
      </c>
      <c r="AS33">
        <f>IF(Setup!$B$19="",0,IF(R33="",0,IF(ISNUMBER(R33),R33,1)))</f>
        <v/>
      </c>
      <c r="AT33">
        <f>IF(Setup!$B$20="",0,IF(S33="",0,IF(ISNUMBER(S33),S33,1)))</f>
        <v/>
      </c>
    </row>
    <row r="34">
      <c r="A34" s="1" t="n"/>
      <c r="B34" s="24" t="n"/>
      <c r="C34" s="25" t="n"/>
      <c r="D34" s="25" t="n"/>
      <c r="E34" s="26" t="n"/>
      <c r="F34" s="27" t="n"/>
      <c r="G34" s="17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9">
        <f>IF(N(E34)=0,"",E34*IF(F34="",1,IFERROR(INDEX(Setup!$E$9:$E$18,MATCH(F34,Setup!$D$9:$D$18,0)),0)))</f>
        <v/>
      </c>
      <c r="U34" s="30">
        <f>IF(T34="","",IF(V34=0,"Everyone",IF(COUNTIF(AI34:AT34,"&gt;0")=COUNTIF(Setup!$B$9:$B$20,"?*"),"Everyone",COUNTIF(AI34:AT34,"&gt;0")&amp;IF(COUNTIF(AI34:AT34,"&gt;0")=1," person"," people"))))</f>
        <v/>
      </c>
      <c r="V34" s="1">
        <f>SUM(AI34:AT34)</f>
        <v/>
      </c>
      <c r="W34">
        <f>IF(OR(T34="",Setup!$B$9=""),0,IF(V34=0,T34/COUNTIF(Setup!$B$9:$B$20,"?*"),T34*AI34/V34))</f>
        <v/>
      </c>
      <c r="X34">
        <f>IF(OR(T34="",Setup!$B$10=""),0,IF(V34=0,T34/COUNTIF(Setup!$B$9:$B$20,"?*"),T34*AJ34/V34))</f>
        <v/>
      </c>
      <c r="Y34">
        <f>IF(OR(T34="",Setup!$B$11=""),0,IF(V34=0,T34/COUNTIF(Setup!$B$9:$B$20,"?*"),T34*AK34/V34))</f>
        <v/>
      </c>
      <c r="Z34">
        <f>IF(OR(T34="",Setup!$B$12=""),0,IF(V34=0,T34/COUNTIF(Setup!$B$9:$B$20,"?*"),T34*AL34/V34))</f>
        <v/>
      </c>
      <c r="AA34">
        <f>IF(OR(T34="",Setup!$B$13=""),0,IF(V34=0,T34/COUNTIF(Setup!$B$9:$B$20,"?*"),T34*AM34/V34))</f>
        <v/>
      </c>
      <c r="AB34">
        <f>IF(OR(T34="",Setup!$B$14=""),0,IF(V34=0,T34/COUNTIF(Setup!$B$9:$B$20,"?*"),T34*AN34/V34))</f>
        <v/>
      </c>
      <c r="AC34">
        <f>IF(OR(T34="",Setup!$B$15=""),0,IF(V34=0,T34/COUNTIF(Setup!$B$9:$B$20,"?*"),T34*AO34/V34))</f>
        <v/>
      </c>
      <c r="AD34">
        <f>IF(OR(T34="",Setup!$B$16=""),0,IF(V34=0,T34/COUNTIF(Setup!$B$9:$B$20,"?*"),T34*AP34/V34))</f>
        <v/>
      </c>
      <c r="AE34">
        <f>IF(OR(T34="",Setup!$B$17=""),0,IF(V34=0,T34/COUNTIF(Setup!$B$9:$B$20,"?*"),T34*AQ34/V34))</f>
        <v/>
      </c>
      <c r="AF34">
        <f>IF(OR(T34="",Setup!$B$18=""),0,IF(V34=0,T34/COUNTIF(Setup!$B$9:$B$20,"?*"),T34*AR34/V34))</f>
        <v/>
      </c>
      <c r="AG34">
        <f>IF(OR(T34="",Setup!$B$19=""),0,IF(V34=0,T34/COUNTIF(Setup!$B$9:$B$20,"?*"),T34*AS34/V34))</f>
        <v/>
      </c>
      <c r="AH34">
        <f>IF(OR(T34="",Setup!$B$20=""),0,IF(V34=0,T34/COUNTIF(Setup!$B$9:$B$20,"?*"),T34*AT34/V34))</f>
        <v/>
      </c>
      <c r="AI34">
        <f>IF(Setup!$B$9="",0,IF(H34="",0,IF(ISNUMBER(H34),H34,1)))</f>
        <v/>
      </c>
      <c r="AJ34">
        <f>IF(Setup!$B$10="",0,IF(I34="",0,IF(ISNUMBER(I34),I34,1)))</f>
        <v/>
      </c>
      <c r="AK34">
        <f>IF(Setup!$B$11="",0,IF(J34="",0,IF(ISNUMBER(J34),J34,1)))</f>
        <v/>
      </c>
      <c r="AL34">
        <f>IF(Setup!$B$12="",0,IF(K34="",0,IF(ISNUMBER(K34),K34,1)))</f>
        <v/>
      </c>
      <c r="AM34">
        <f>IF(Setup!$B$13="",0,IF(L34="",0,IF(ISNUMBER(L34),L34,1)))</f>
        <v/>
      </c>
      <c r="AN34">
        <f>IF(Setup!$B$14="",0,IF(M34="",0,IF(ISNUMBER(M34),M34,1)))</f>
        <v/>
      </c>
      <c r="AO34">
        <f>IF(Setup!$B$15="",0,IF(N34="",0,IF(ISNUMBER(N34),N34,1)))</f>
        <v/>
      </c>
      <c r="AP34">
        <f>IF(Setup!$B$16="",0,IF(O34="",0,IF(ISNUMBER(O34),O34,1)))</f>
        <v/>
      </c>
      <c r="AQ34">
        <f>IF(Setup!$B$17="",0,IF(P34="",0,IF(ISNUMBER(P34),P34,1)))</f>
        <v/>
      </c>
      <c r="AR34">
        <f>IF(Setup!$B$18="",0,IF(Q34="",0,IF(ISNUMBER(Q34),Q34,1)))</f>
        <v/>
      </c>
      <c r="AS34">
        <f>IF(Setup!$B$19="",0,IF(R34="",0,IF(ISNUMBER(R34),R34,1)))</f>
        <v/>
      </c>
      <c r="AT34">
        <f>IF(Setup!$B$20="",0,IF(S34="",0,IF(ISNUMBER(S34),S34,1)))</f>
        <v/>
      </c>
    </row>
    <row r="35">
      <c r="A35" s="1" t="n"/>
      <c r="B35" s="24" t="n"/>
      <c r="C35" s="25" t="n"/>
      <c r="D35" s="25" t="n"/>
      <c r="E35" s="26" t="n"/>
      <c r="F35" s="27" t="n"/>
      <c r="G35" s="17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9">
        <f>IF(N(E35)=0,"",E35*IF(F35="",1,IFERROR(INDEX(Setup!$E$9:$E$18,MATCH(F35,Setup!$D$9:$D$18,0)),0)))</f>
        <v/>
      </c>
      <c r="U35" s="30">
        <f>IF(T35="","",IF(V35=0,"Everyone",IF(COUNTIF(AI35:AT35,"&gt;0")=COUNTIF(Setup!$B$9:$B$20,"?*"),"Everyone",COUNTIF(AI35:AT35,"&gt;0")&amp;IF(COUNTIF(AI35:AT35,"&gt;0")=1," person"," people"))))</f>
        <v/>
      </c>
      <c r="V35" s="1">
        <f>SUM(AI35:AT35)</f>
        <v/>
      </c>
      <c r="W35">
        <f>IF(OR(T35="",Setup!$B$9=""),0,IF(V35=0,T35/COUNTIF(Setup!$B$9:$B$20,"?*"),T35*AI35/V35))</f>
        <v/>
      </c>
      <c r="X35">
        <f>IF(OR(T35="",Setup!$B$10=""),0,IF(V35=0,T35/COUNTIF(Setup!$B$9:$B$20,"?*"),T35*AJ35/V35))</f>
        <v/>
      </c>
      <c r="Y35">
        <f>IF(OR(T35="",Setup!$B$11=""),0,IF(V35=0,T35/COUNTIF(Setup!$B$9:$B$20,"?*"),T35*AK35/V35))</f>
        <v/>
      </c>
      <c r="Z35">
        <f>IF(OR(T35="",Setup!$B$12=""),0,IF(V35=0,T35/COUNTIF(Setup!$B$9:$B$20,"?*"),T35*AL35/V35))</f>
        <v/>
      </c>
      <c r="AA35">
        <f>IF(OR(T35="",Setup!$B$13=""),0,IF(V35=0,T35/COUNTIF(Setup!$B$9:$B$20,"?*"),T35*AM35/V35))</f>
        <v/>
      </c>
      <c r="AB35">
        <f>IF(OR(T35="",Setup!$B$14=""),0,IF(V35=0,T35/COUNTIF(Setup!$B$9:$B$20,"?*"),T35*AN35/V35))</f>
        <v/>
      </c>
      <c r="AC35">
        <f>IF(OR(T35="",Setup!$B$15=""),0,IF(V35=0,T35/COUNTIF(Setup!$B$9:$B$20,"?*"),T35*AO35/V35))</f>
        <v/>
      </c>
      <c r="AD35">
        <f>IF(OR(T35="",Setup!$B$16=""),0,IF(V35=0,T35/COUNTIF(Setup!$B$9:$B$20,"?*"),T35*AP35/V35))</f>
        <v/>
      </c>
      <c r="AE35">
        <f>IF(OR(T35="",Setup!$B$17=""),0,IF(V35=0,T35/COUNTIF(Setup!$B$9:$B$20,"?*"),T35*AQ35/V35))</f>
        <v/>
      </c>
      <c r="AF35">
        <f>IF(OR(T35="",Setup!$B$18=""),0,IF(V35=0,T35/COUNTIF(Setup!$B$9:$B$20,"?*"),T35*AR35/V35))</f>
        <v/>
      </c>
      <c r="AG35">
        <f>IF(OR(T35="",Setup!$B$19=""),0,IF(V35=0,T35/COUNTIF(Setup!$B$9:$B$20,"?*"),T35*AS35/V35))</f>
        <v/>
      </c>
      <c r="AH35">
        <f>IF(OR(T35="",Setup!$B$20=""),0,IF(V35=0,T35/COUNTIF(Setup!$B$9:$B$20,"?*"),T35*AT35/V35))</f>
        <v/>
      </c>
      <c r="AI35">
        <f>IF(Setup!$B$9="",0,IF(H35="",0,IF(ISNUMBER(H35),H35,1)))</f>
        <v/>
      </c>
      <c r="AJ35">
        <f>IF(Setup!$B$10="",0,IF(I35="",0,IF(ISNUMBER(I35),I35,1)))</f>
        <v/>
      </c>
      <c r="AK35">
        <f>IF(Setup!$B$11="",0,IF(J35="",0,IF(ISNUMBER(J35),J35,1)))</f>
        <v/>
      </c>
      <c r="AL35">
        <f>IF(Setup!$B$12="",0,IF(K35="",0,IF(ISNUMBER(K35),K35,1)))</f>
        <v/>
      </c>
      <c r="AM35">
        <f>IF(Setup!$B$13="",0,IF(L35="",0,IF(ISNUMBER(L35),L35,1)))</f>
        <v/>
      </c>
      <c r="AN35">
        <f>IF(Setup!$B$14="",0,IF(M35="",0,IF(ISNUMBER(M35),M35,1)))</f>
        <v/>
      </c>
      <c r="AO35">
        <f>IF(Setup!$B$15="",0,IF(N35="",0,IF(ISNUMBER(N35),N35,1)))</f>
        <v/>
      </c>
      <c r="AP35">
        <f>IF(Setup!$B$16="",0,IF(O35="",0,IF(ISNUMBER(O35),O35,1)))</f>
        <v/>
      </c>
      <c r="AQ35">
        <f>IF(Setup!$B$17="",0,IF(P35="",0,IF(ISNUMBER(P35),P35,1)))</f>
        <v/>
      </c>
      <c r="AR35">
        <f>IF(Setup!$B$18="",0,IF(Q35="",0,IF(ISNUMBER(Q35),Q35,1)))</f>
        <v/>
      </c>
      <c r="AS35">
        <f>IF(Setup!$B$19="",0,IF(R35="",0,IF(ISNUMBER(R35),R35,1)))</f>
        <v/>
      </c>
      <c r="AT35">
        <f>IF(Setup!$B$20="",0,IF(S35="",0,IF(ISNUMBER(S35),S35,1)))</f>
        <v/>
      </c>
    </row>
    <row r="36">
      <c r="A36" s="1" t="n"/>
      <c r="B36" s="24" t="n"/>
      <c r="C36" s="25" t="n"/>
      <c r="D36" s="25" t="n"/>
      <c r="E36" s="26" t="n"/>
      <c r="F36" s="27" t="n"/>
      <c r="G36" s="17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9">
        <f>IF(N(E36)=0,"",E36*IF(F36="",1,IFERROR(INDEX(Setup!$E$9:$E$18,MATCH(F36,Setup!$D$9:$D$18,0)),0)))</f>
        <v/>
      </c>
      <c r="U36" s="30">
        <f>IF(T36="","",IF(V36=0,"Everyone",IF(COUNTIF(AI36:AT36,"&gt;0")=COUNTIF(Setup!$B$9:$B$20,"?*"),"Everyone",COUNTIF(AI36:AT36,"&gt;0")&amp;IF(COUNTIF(AI36:AT36,"&gt;0")=1," person"," people"))))</f>
        <v/>
      </c>
      <c r="V36" s="1">
        <f>SUM(AI36:AT36)</f>
        <v/>
      </c>
      <c r="W36">
        <f>IF(OR(T36="",Setup!$B$9=""),0,IF(V36=0,T36/COUNTIF(Setup!$B$9:$B$20,"?*"),T36*AI36/V36))</f>
        <v/>
      </c>
      <c r="X36">
        <f>IF(OR(T36="",Setup!$B$10=""),0,IF(V36=0,T36/COUNTIF(Setup!$B$9:$B$20,"?*"),T36*AJ36/V36))</f>
        <v/>
      </c>
      <c r="Y36">
        <f>IF(OR(T36="",Setup!$B$11=""),0,IF(V36=0,T36/COUNTIF(Setup!$B$9:$B$20,"?*"),T36*AK36/V36))</f>
        <v/>
      </c>
      <c r="Z36">
        <f>IF(OR(T36="",Setup!$B$12=""),0,IF(V36=0,T36/COUNTIF(Setup!$B$9:$B$20,"?*"),T36*AL36/V36))</f>
        <v/>
      </c>
      <c r="AA36">
        <f>IF(OR(T36="",Setup!$B$13=""),0,IF(V36=0,T36/COUNTIF(Setup!$B$9:$B$20,"?*"),T36*AM36/V36))</f>
        <v/>
      </c>
      <c r="AB36">
        <f>IF(OR(T36="",Setup!$B$14=""),0,IF(V36=0,T36/COUNTIF(Setup!$B$9:$B$20,"?*"),T36*AN36/V36))</f>
        <v/>
      </c>
      <c r="AC36">
        <f>IF(OR(T36="",Setup!$B$15=""),0,IF(V36=0,T36/COUNTIF(Setup!$B$9:$B$20,"?*"),T36*AO36/V36))</f>
        <v/>
      </c>
      <c r="AD36">
        <f>IF(OR(T36="",Setup!$B$16=""),0,IF(V36=0,T36/COUNTIF(Setup!$B$9:$B$20,"?*"),T36*AP36/V36))</f>
        <v/>
      </c>
      <c r="AE36">
        <f>IF(OR(T36="",Setup!$B$17=""),0,IF(V36=0,T36/COUNTIF(Setup!$B$9:$B$20,"?*"),T36*AQ36/V36))</f>
        <v/>
      </c>
      <c r="AF36">
        <f>IF(OR(T36="",Setup!$B$18=""),0,IF(V36=0,T36/COUNTIF(Setup!$B$9:$B$20,"?*"),T36*AR36/V36))</f>
        <v/>
      </c>
      <c r="AG36">
        <f>IF(OR(T36="",Setup!$B$19=""),0,IF(V36=0,T36/COUNTIF(Setup!$B$9:$B$20,"?*"),T36*AS36/V36))</f>
        <v/>
      </c>
      <c r="AH36">
        <f>IF(OR(T36="",Setup!$B$20=""),0,IF(V36=0,T36/COUNTIF(Setup!$B$9:$B$20,"?*"),T36*AT36/V36))</f>
        <v/>
      </c>
      <c r="AI36">
        <f>IF(Setup!$B$9="",0,IF(H36="",0,IF(ISNUMBER(H36),H36,1)))</f>
        <v/>
      </c>
      <c r="AJ36">
        <f>IF(Setup!$B$10="",0,IF(I36="",0,IF(ISNUMBER(I36),I36,1)))</f>
        <v/>
      </c>
      <c r="AK36">
        <f>IF(Setup!$B$11="",0,IF(J36="",0,IF(ISNUMBER(J36),J36,1)))</f>
        <v/>
      </c>
      <c r="AL36">
        <f>IF(Setup!$B$12="",0,IF(K36="",0,IF(ISNUMBER(K36),K36,1)))</f>
        <v/>
      </c>
      <c r="AM36">
        <f>IF(Setup!$B$13="",0,IF(L36="",0,IF(ISNUMBER(L36),L36,1)))</f>
        <v/>
      </c>
      <c r="AN36">
        <f>IF(Setup!$B$14="",0,IF(M36="",0,IF(ISNUMBER(M36),M36,1)))</f>
        <v/>
      </c>
      <c r="AO36">
        <f>IF(Setup!$B$15="",0,IF(N36="",0,IF(ISNUMBER(N36),N36,1)))</f>
        <v/>
      </c>
      <c r="AP36">
        <f>IF(Setup!$B$16="",0,IF(O36="",0,IF(ISNUMBER(O36),O36,1)))</f>
        <v/>
      </c>
      <c r="AQ36">
        <f>IF(Setup!$B$17="",0,IF(P36="",0,IF(ISNUMBER(P36),P36,1)))</f>
        <v/>
      </c>
      <c r="AR36">
        <f>IF(Setup!$B$18="",0,IF(Q36="",0,IF(ISNUMBER(Q36),Q36,1)))</f>
        <v/>
      </c>
      <c r="AS36">
        <f>IF(Setup!$B$19="",0,IF(R36="",0,IF(ISNUMBER(R36),R36,1)))</f>
        <v/>
      </c>
      <c r="AT36">
        <f>IF(Setup!$B$20="",0,IF(S36="",0,IF(ISNUMBER(S36),S36,1)))</f>
        <v/>
      </c>
    </row>
    <row r="37">
      <c r="A37" s="1" t="n"/>
      <c r="B37" s="24" t="n"/>
      <c r="C37" s="25" t="n"/>
      <c r="D37" s="25" t="n"/>
      <c r="E37" s="26" t="n"/>
      <c r="F37" s="27" t="n"/>
      <c r="G37" s="17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9">
        <f>IF(N(E37)=0,"",E37*IF(F37="",1,IFERROR(INDEX(Setup!$E$9:$E$18,MATCH(F37,Setup!$D$9:$D$18,0)),0)))</f>
        <v/>
      </c>
      <c r="U37" s="30">
        <f>IF(T37="","",IF(V37=0,"Everyone",IF(COUNTIF(AI37:AT37,"&gt;0")=COUNTIF(Setup!$B$9:$B$20,"?*"),"Everyone",COUNTIF(AI37:AT37,"&gt;0")&amp;IF(COUNTIF(AI37:AT37,"&gt;0")=1," person"," people"))))</f>
        <v/>
      </c>
      <c r="V37" s="1">
        <f>SUM(AI37:AT37)</f>
        <v/>
      </c>
      <c r="W37">
        <f>IF(OR(T37="",Setup!$B$9=""),0,IF(V37=0,T37/COUNTIF(Setup!$B$9:$B$20,"?*"),T37*AI37/V37))</f>
        <v/>
      </c>
      <c r="X37">
        <f>IF(OR(T37="",Setup!$B$10=""),0,IF(V37=0,T37/COUNTIF(Setup!$B$9:$B$20,"?*"),T37*AJ37/V37))</f>
        <v/>
      </c>
      <c r="Y37">
        <f>IF(OR(T37="",Setup!$B$11=""),0,IF(V37=0,T37/COUNTIF(Setup!$B$9:$B$20,"?*"),T37*AK37/V37))</f>
        <v/>
      </c>
      <c r="Z37">
        <f>IF(OR(T37="",Setup!$B$12=""),0,IF(V37=0,T37/COUNTIF(Setup!$B$9:$B$20,"?*"),T37*AL37/V37))</f>
        <v/>
      </c>
      <c r="AA37">
        <f>IF(OR(T37="",Setup!$B$13=""),0,IF(V37=0,T37/COUNTIF(Setup!$B$9:$B$20,"?*"),T37*AM37/V37))</f>
        <v/>
      </c>
      <c r="AB37">
        <f>IF(OR(T37="",Setup!$B$14=""),0,IF(V37=0,T37/COUNTIF(Setup!$B$9:$B$20,"?*"),T37*AN37/V37))</f>
        <v/>
      </c>
      <c r="AC37">
        <f>IF(OR(T37="",Setup!$B$15=""),0,IF(V37=0,T37/COUNTIF(Setup!$B$9:$B$20,"?*"),T37*AO37/V37))</f>
        <v/>
      </c>
      <c r="AD37">
        <f>IF(OR(T37="",Setup!$B$16=""),0,IF(V37=0,T37/COUNTIF(Setup!$B$9:$B$20,"?*"),T37*AP37/V37))</f>
        <v/>
      </c>
      <c r="AE37">
        <f>IF(OR(T37="",Setup!$B$17=""),0,IF(V37=0,T37/COUNTIF(Setup!$B$9:$B$20,"?*"),T37*AQ37/V37))</f>
        <v/>
      </c>
      <c r="AF37">
        <f>IF(OR(T37="",Setup!$B$18=""),0,IF(V37=0,T37/COUNTIF(Setup!$B$9:$B$20,"?*"),T37*AR37/V37))</f>
        <v/>
      </c>
      <c r="AG37">
        <f>IF(OR(T37="",Setup!$B$19=""),0,IF(V37=0,T37/COUNTIF(Setup!$B$9:$B$20,"?*"),T37*AS37/V37))</f>
        <v/>
      </c>
      <c r="AH37">
        <f>IF(OR(T37="",Setup!$B$20=""),0,IF(V37=0,T37/COUNTIF(Setup!$B$9:$B$20,"?*"),T37*AT37/V37))</f>
        <v/>
      </c>
      <c r="AI37">
        <f>IF(Setup!$B$9="",0,IF(H37="",0,IF(ISNUMBER(H37),H37,1)))</f>
        <v/>
      </c>
      <c r="AJ37">
        <f>IF(Setup!$B$10="",0,IF(I37="",0,IF(ISNUMBER(I37),I37,1)))</f>
        <v/>
      </c>
      <c r="AK37">
        <f>IF(Setup!$B$11="",0,IF(J37="",0,IF(ISNUMBER(J37),J37,1)))</f>
        <v/>
      </c>
      <c r="AL37">
        <f>IF(Setup!$B$12="",0,IF(K37="",0,IF(ISNUMBER(K37),K37,1)))</f>
        <v/>
      </c>
      <c r="AM37">
        <f>IF(Setup!$B$13="",0,IF(L37="",0,IF(ISNUMBER(L37),L37,1)))</f>
        <v/>
      </c>
      <c r="AN37">
        <f>IF(Setup!$B$14="",0,IF(M37="",0,IF(ISNUMBER(M37),M37,1)))</f>
        <v/>
      </c>
      <c r="AO37">
        <f>IF(Setup!$B$15="",0,IF(N37="",0,IF(ISNUMBER(N37),N37,1)))</f>
        <v/>
      </c>
      <c r="AP37">
        <f>IF(Setup!$B$16="",0,IF(O37="",0,IF(ISNUMBER(O37),O37,1)))</f>
        <v/>
      </c>
      <c r="AQ37">
        <f>IF(Setup!$B$17="",0,IF(P37="",0,IF(ISNUMBER(P37),P37,1)))</f>
        <v/>
      </c>
      <c r="AR37">
        <f>IF(Setup!$B$18="",0,IF(Q37="",0,IF(ISNUMBER(Q37),Q37,1)))</f>
        <v/>
      </c>
      <c r="AS37">
        <f>IF(Setup!$B$19="",0,IF(R37="",0,IF(ISNUMBER(R37),R37,1)))</f>
        <v/>
      </c>
      <c r="AT37">
        <f>IF(Setup!$B$20="",0,IF(S37="",0,IF(ISNUMBER(S37),S37,1)))</f>
        <v/>
      </c>
    </row>
    <row r="38">
      <c r="A38" s="1" t="n"/>
      <c r="B38" s="24" t="n"/>
      <c r="C38" s="25" t="n"/>
      <c r="D38" s="25" t="n"/>
      <c r="E38" s="26" t="n"/>
      <c r="F38" s="27" t="n"/>
      <c r="G38" s="17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9">
        <f>IF(N(E38)=0,"",E38*IF(F38="",1,IFERROR(INDEX(Setup!$E$9:$E$18,MATCH(F38,Setup!$D$9:$D$18,0)),0)))</f>
        <v/>
      </c>
      <c r="U38" s="30">
        <f>IF(T38="","",IF(V38=0,"Everyone",IF(COUNTIF(AI38:AT38,"&gt;0")=COUNTIF(Setup!$B$9:$B$20,"?*"),"Everyone",COUNTIF(AI38:AT38,"&gt;0")&amp;IF(COUNTIF(AI38:AT38,"&gt;0")=1," person"," people"))))</f>
        <v/>
      </c>
      <c r="V38" s="1">
        <f>SUM(AI38:AT38)</f>
        <v/>
      </c>
      <c r="W38">
        <f>IF(OR(T38="",Setup!$B$9=""),0,IF(V38=0,T38/COUNTIF(Setup!$B$9:$B$20,"?*"),T38*AI38/V38))</f>
        <v/>
      </c>
      <c r="X38">
        <f>IF(OR(T38="",Setup!$B$10=""),0,IF(V38=0,T38/COUNTIF(Setup!$B$9:$B$20,"?*"),T38*AJ38/V38))</f>
        <v/>
      </c>
      <c r="Y38">
        <f>IF(OR(T38="",Setup!$B$11=""),0,IF(V38=0,T38/COUNTIF(Setup!$B$9:$B$20,"?*"),T38*AK38/V38))</f>
        <v/>
      </c>
      <c r="Z38">
        <f>IF(OR(T38="",Setup!$B$12=""),0,IF(V38=0,T38/COUNTIF(Setup!$B$9:$B$20,"?*"),T38*AL38/V38))</f>
        <v/>
      </c>
      <c r="AA38">
        <f>IF(OR(T38="",Setup!$B$13=""),0,IF(V38=0,T38/COUNTIF(Setup!$B$9:$B$20,"?*"),T38*AM38/V38))</f>
        <v/>
      </c>
      <c r="AB38">
        <f>IF(OR(T38="",Setup!$B$14=""),0,IF(V38=0,T38/COUNTIF(Setup!$B$9:$B$20,"?*"),T38*AN38/V38))</f>
        <v/>
      </c>
      <c r="AC38">
        <f>IF(OR(T38="",Setup!$B$15=""),0,IF(V38=0,T38/COUNTIF(Setup!$B$9:$B$20,"?*"),T38*AO38/V38))</f>
        <v/>
      </c>
      <c r="AD38">
        <f>IF(OR(T38="",Setup!$B$16=""),0,IF(V38=0,T38/COUNTIF(Setup!$B$9:$B$20,"?*"),T38*AP38/V38))</f>
        <v/>
      </c>
      <c r="AE38">
        <f>IF(OR(T38="",Setup!$B$17=""),0,IF(V38=0,T38/COUNTIF(Setup!$B$9:$B$20,"?*"),T38*AQ38/V38))</f>
        <v/>
      </c>
      <c r="AF38">
        <f>IF(OR(T38="",Setup!$B$18=""),0,IF(V38=0,T38/COUNTIF(Setup!$B$9:$B$20,"?*"),T38*AR38/V38))</f>
        <v/>
      </c>
      <c r="AG38">
        <f>IF(OR(T38="",Setup!$B$19=""),0,IF(V38=0,T38/COUNTIF(Setup!$B$9:$B$20,"?*"),T38*AS38/V38))</f>
        <v/>
      </c>
      <c r="AH38">
        <f>IF(OR(T38="",Setup!$B$20=""),0,IF(V38=0,T38/COUNTIF(Setup!$B$9:$B$20,"?*"),T38*AT38/V38))</f>
        <v/>
      </c>
      <c r="AI38">
        <f>IF(Setup!$B$9="",0,IF(H38="",0,IF(ISNUMBER(H38),H38,1)))</f>
        <v/>
      </c>
      <c r="AJ38">
        <f>IF(Setup!$B$10="",0,IF(I38="",0,IF(ISNUMBER(I38),I38,1)))</f>
        <v/>
      </c>
      <c r="AK38">
        <f>IF(Setup!$B$11="",0,IF(J38="",0,IF(ISNUMBER(J38),J38,1)))</f>
        <v/>
      </c>
      <c r="AL38">
        <f>IF(Setup!$B$12="",0,IF(K38="",0,IF(ISNUMBER(K38),K38,1)))</f>
        <v/>
      </c>
      <c r="AM38">
        <f>IF(Setup!$B$13="",0,IF(L38="",0,IF(ISNUMBER(L38),L38,1)))</f>
        <v/>
      </c>
      <c r="AN38">
        <f>IF(Setup!$B$14="",0,IF(M38="",0,IF(ISNUMBER(M38),M38,1)))</f>
        <v/>
      </c>
      <c r="AO38">
        <f>IF(Setup!$B$15="",0,IF(N38="",0,IF(ISNUMBER(N38),N38,1)))</f>
        <v/>
      </c>
      <c r="AP38">
        <f>IF(Setup!$B$16="",0,IF(O38="",0,IF(ISNUMBER(O38),O38,1)))</f>
        <v/>
      </c>
      <c r="AQ38">
        <f>IF(Setup!$B$17="",0,IF(P38="",0,IF(ISNUMBER(P38),P38,1)))</f>
        <v/>
      </c>
      <c r="AR38">
        <f>IF(Setup!$B$18="",0,IF(Q38="",0,IF(ISNUMBER(Q38),Q38,1)))</f>
        <v/>
      </c>
      <c r="AS38">
        <f>IF(Setup!$B$19="",0,IF(R38="",0,IF(ISNUMBER(R38),R38,1)))</f>
        <v/>
      </c>
      <c r="AT38">
        <f>IF(Setup!$B$20="",0,IF(S38="",0,IF(ISNUMBER(S38),S38,1)))</f>
        <v/>
      </c>
    </row>
    <row r="39">
      <c r="A39" s="1" t="n"/>
      <c r="B39" s="24" t="n"/>
      <c r="C39" s="25" t="n"/>
      <c r="D39" s="25" t="n"/>
      <c r="E39" s="26" t="n"/>
      <c r="F39" s="27" t="n"/>
      <c r="G39" s="17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9">
        <f>IF(N(E39)=0,"",E39*IF(F39="",1,IFERROR(INDEX(Setup!$E$9:$E$18,MATCH(F39,Setup!$D$9:$D$18,0)),0)))</f>
        <v/>
      </c>
      <c r="U39" s="30">
        <f>IF(T39="","",IF(V39=0,"Everyone",IF(COUNTIF(AI39:AT39,"&gt;0")=COUNTIF(Setup!$B$9:$B$20,"?*"),"Everyone",COUNTIF(AI39:AT39,"&gt;0")&amp;IF(COUNTIF(AI39:AT39,"&gt;0")=1," person"," people"))))</f>
        <v/>
      </c>
      <c r="V39" s="1">
        <f>SUM(AI39:AT39)</f>
        <v/>
      </c>
      <c r="W39">
        <f>IF(OR(T39="",Setup!$B$9=""),0,IF(V39=0,T39/COUNTIF(Setup!$B$9:$B$20,"?*"),T39*AI39/V39))</f>
        <v/>
      </c>
      <c r="X39">
        <f>IF(OR(T39="",Setup!$B$10=""),0,IF(V39=0,T39/COUNTIF(Setup!$B$9:$B$20,"?*"),T39*AJ39/V39))</f>
        <v/>
      </c>
      <c r="Y39">
        <f>IF(OR(T39="",Setup!$B$11=""),0,IF(V39=0,T39/COUNTIF(Setup!$B$9:$B$20,"?*"),T39*AK39/V39))</f>
        <v/>
      </c>
      <c r="Z39">
        <f>IF(OR(T39="",Setup!$B$12=""),0,IF(V39=0,T39/COUNTIF(Setup!$B$9:$B$20,"?*"),T39*AL39/V39))</f>
        <v/>
      </c>
      <c r="AA39">
        <f>IF(OR(T39="",Setup!$B$13=""),0,IF(V39=0,T39/COUNTIF(Setup!$B$9:$B$20,"?*"),T39*AM39/V39))</f>
        <v/>
      </c>
      <c r="AB39">
        <f>IF(OR(T39="",Setup!$B$14=""),0,IF(V39=0,T39/COUNTIF(Setup!$B$9:$B$20,"?*"),T39*AN39/V39))</f>
        <v/>
      </c>
      <c r="AC39">
        <f>IF(OR(T39="",Setup!$B$15=""),0,IF(V39=0,T39/COUNTIF(Setup!$B$9:$B$20,"?*"),T39*AO39/V39))</f>
        <v/>
      </c>
      <c r="AD39">
        <f>IF(OR(T39="",Setup!$B$16=""),0,IF(V39=0,T39/COUNTIF(Setup!$B$9:$B$20,"?*"),T39*AP39/V39))</f>
        <v/>
      </c>
      <c r="AE39">
        <f>IF(OR(T39="",Setup!$B$17=""),0,IF(V39=0,T39/COUNTIF(Setup!$B$9:$B$20,"?*"),T39*AQ39/V39))</f>
        <v/>
      </c>
      <c r="AF39">
        <f>IF(OR(T39="",Setup!$B$18=""),0,IF(V39=0,T39/COUNTIF(Setup!$B$9:$B$20,"?*"),T39*AR39/V39))</f>
        <v/>
      </c>
      <c r="AG39">
        <f>IF(OR(T39="",Setup!$B$19=""),0,IF(V39=0,T39/COUNTIF(Setup!$B$9:$B$20,"?*"),T39*AS39/V39))</f>
        <v/>
      </c>
      <c r="AH39">
        <f>IF(OR(T39="",Setup!$B$20=""),0,IF(V39=0,T39/COUNTIF(Setup!$B$9:$B$20,"?*"),T39*AT39/V39))</f>
        <v/>
      </c>
      <c r="AI39">
        <f>IF(Setup!$B$9="",0,IF(H39="",0,IF(ISNUMBER(H39),H39,1)))</f>
        <v/>
      </c>
      <c r="AJ39">
        <f>IF(Setup!$B$10="",0,IF(I39="",0,IF(ISNUMBER(I39),I39,1)))</f>
        <v/>
      </c>
      <c r="AK39">
        <f>IF(Setup!$B$11="",0,IF(J39="",0,IF(ISNUMBER(J39),J39,1)))</f>
        <v/>
      </c>
      <c r="AL39">
        <f>IF(Setup!$B$12="",0,IF(K39="",0,IF(ISNUMBER(K39),K39,1)))</f>
        <v/>
      </c>
      <c r="AM39">
        <f>IF(Setup!$B$13="",0,IF(L39="",0,IF(ISNUMBER(L39),L39,1)))</f>
        <v/>
      </c>
      <c r="AN39">
        <f>IF(Setup!$B$14="",0,IF(M39="",0,IF(ISNUMBER(M39),M39,1)))</f>
        <v/>
      </c>
      <c r="AO39">
        <f>IF(Setup!$B$15="",0,IF(N39="",0,IF(ISNUMBER(N39),N39,1)))</f>
        <v/>
      </c>
      <c r="AP39">
        <f>IF(Setup!$B$16="",0,IF(O39="",0,IF(ISNUMBER(O39),O39,1)))</f>
        <v/>
      </c>
      <c r="AQ39">
        <f>IF(Setup!$B$17="",0,IF(P39="",0,IF(ISNUMBER(P39),P39,1)))</f>
        <v/>
      </c>
      <c r="AR39">
        <f>IF(Setup!$B$18="",0,IF(Q39="",0,IF(ISNUMBER(Q39),Q39,1)))</f>
        <v/>
      </c>
      <c r="AS39">
        <f>IF(Setup!$B$19="",0,IF(R39="",0,IF(ISNUMBER(R39),R39,1)))</f>
        <v/>
      </c>
      <c r="AT39">
        <f>IF(Setup!$B$20="",0,IF(S39="",0,IF(ISNUMBER(S39),S39,1)))</f>
        <v/>
      </c>
    </row>
    <row r="40">
      <c r="A40" s="1" t="n"/>
      <c r="B40" s="24" t="n"/>
      <c r="C40" s="25" t="n"/>
      <c r="D40" s="25" t="n"/>
      <c r="E40" s="26" t="n"/>
      <c r="F40" s="27" t="n"/>
      <c r="G40" s="17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9">
        <f>IF(N(E40)=0,"",E40*IF(F40="",1,IFERROR(INDEX(Setup!$E$9:$E$18,MATCH(F40,Setup!$D$9:$D$18,0)),0)))</f>
        <v/>
      </c>
      <c r="U40" s="30">
        <f>IF(T40="","",IF(V40=0,"Everyone",IF(COUNTIF(AI40:AT40,"&gt;0")=COUNTIF(Setup!$B$9:$B$20,"?*"),"Everyone",COUNTIF(AI40:AT40,"&gt;0")&amp;IF(COUNTIF(AI40:AT40,"&gt;0")=1," person"," people"))))</f>
        <v/>
      </c>
      <c r="V40" s="1">
        <f>SUM(AI40:AT40)</f>
        <v/>
      </c>
      <c r="W40">
        <f>IF(OR(T40="",Setup!$B$9=""),0,IF(V40=0,T40/COUNTIF(Setup!$B$9:$B$20,"?*"),T40*AI40/V40))</f>
        <v/>
      </c>
      <c r="X40">
        <f>IF(OR(T40="",Setup!$B$10=""),0,IF(V40=0,T40/COUNTIF(Setup!$B$9:$B$20,"?*"),T40*AJ40/V40))</f>
        <v/>
      </c>
      <c r="Y40">
        <f>IF(OR(T40="",Setup!$B$11=""),0,IF(V40=0,T40/COUNTIF(Setup!$B$9:$B$20,"?*"),T40*AK40/V40))</f>
        <v/>
      </c>
      <c r="Z40">
        <f>IF(OR(T40="",Setup!$B$12=""),0,IF(V40=0,T40/COUNTIF(Setup!$B$9:$B$20,"?*"),T40*AL40/V40))</f>
        <v/>
      </c>
      <c r="AA40">
        <f>IF(OR(T40="",Setup!$B$13=""),0,IF(V40=0,T40/COUNTIF(Setup!$B$9:$B$20,"?*"),T40*AM40/V40))</f>
        <v/>
      </c>
      <c r="AB40">
        <f>IF(OR(T40="",Setup!$B$14=""),0,IF(V40=0,T40/COUNTIF(Setup!$B$9:$B$20,"?*"),T40*AN40/V40))</f>
        <v/>
      </c>
      <c r="AC40">
        <f>IF(OR(T40="",Setup!$B$15=""),0,IF(V40=0,T40/COUNTIF(Setup!$B$9:$B$20,"?*"),T40*AO40/V40))</f>
        <v/>
      </c>
      <c r="AD40">
        <f>IF(OR(T40="",Setup!$B$16=""),0,IF(V40=0,T40/COUNTIF(Setup!$B$9:$B$20,"?*"),T40*AP40/V40))</f>
        <v/>
      </c>
      <c r="AE40">
        <f>IF(OR(T40="",Setup!$B$17=""),0,IF(V40=0,T40/COUNTIF(Setup!$B$9:$B$20,"?*"),T40*AQ40/V40))</f>
        <v/>
      </c>
      <c r="AF40">
        <f>IF(OR(T40="",Setup!$B$18=""),0,IF(V40=0,T40/COUNTIF(Setup!$B$9:$B$20,"?*"),T40*AR40/V40))</f>
        <v/>
      </c>
      <c r="AG40">
        <f>IF(OR(T40="",Setup!$B$19=""),0,IF(V40=0,T40/COUNTIF(Setup!$B$9:$B$20,"?*"),T40*AS40/V40))</f>
        <v/>
      </c>
      <c r="AH40">
        <f>IF(OR(T40="",Setup!$B$20=""),0,IF(V40=0,T40/COUNTIF(Setup!$B$9:$B$20,"?*"),T40*AT40/V40))</f>
        <v/>
      </c>
      <c r="AI40">
        <f>IF(Setup!$B$9="",0,IF(H40="",0,IF(ISNUMBER(H40),H40,1)))</f>
        <v/>
      </c>
      <c r="AJ40">
        <f>IF(Setup!$B$10="",0,IF(I40="",0,IF(ISNUMBER(I40),I40,1)))</f>
        <v/>
      </c>
      <c r="AK40">
        <f>IF(Setup!$B$11="",0,IF(J40="",0,IF(ISNUMBER(J40),J40,1)))</f>
        <v/>
      </c>
      <c r="AL40">
        <f>IF(Setup!$B$12="",0,IF(K40="",0,IF(ISNUMBER(K40),K40,1)))</f>
        <v/>
      </c>
      <c r="AM40">
        <f>IF(Setup!$B$13="",0,IF(L40="",0,IF(ISNUMBER(L40),L40,1)))</f>
        <v/>
      </c>
      <c r="AN40">
        <f>IF(Setup!$B$14="",0,IF(M40="",0,IF(ISNUMBER(M40),M40,1)))</f>
        <v/>
      </c>
      <c r="AO40">
        <f>IF(Setup!$B$15="",0,IF(N40="",0,IF(ISNUMBER(N40),N40,1)))</f>
        <v/>
      </c>
      <c r="AP40">
        <f>IF(Setup!$B$16="",0,IF(O40="",0,IF(ISNUMBER(O40),O40,1)))</f>
        <v/>
      </c>
      <c r="AQ40">
        <f>IF(Setup!$B$17="",0,IF(P40="",0,IF(ISNUMBER(P40),P40,1)))</f>
        <v/>
      </c>
      <c r="AR40">
        <f>IF(Setup!$B$18="",0,IF(Q40="",0,IF(ISNUMBER(Q40),Q40,1)))</f>
        <v/>
      </c>
      <c r="AS40">
        <f>IF(Setup!$B$19="",0,IF(R40="",0,IF(ISNUMBER(R40),R40,1)))</f>
        <v/>
      </c>
      <c r="AT40">
        <f>IF(Setup!$B$20="",0,IF(S40="",0,IF(ISNUMBER(S40),S40,1)))</f>
        <v/>
      </c>
    </row>
    <row r="41">
      <c r="A41" s="1" t="n"/>
      <c r="B41" s="24" t="n"/>
      <c r="C41" s="25" t="n"/>
      <c r="D41" s="25" t="n"/>
      <c r="E41" s="26" t="n"/>
      <c r="F41" s="27" t="n"/>
      <c r="G41" s="17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9">
        <f>IF(N(E41)=0,"",E41*IF(F41="",1,IFERROR(INDEX(Setup!$E$9:$E$18,MATCH(F41,Setup!$D$9:$D$18,0)),0)))</f>
        <v/>
      </c>
      <c r="U41" s="30">
        <f>IF(T41="","",IF(V41=0,"Everyone",IF(COUNTIF(AI41:AT41,"&gt;0")=COUNTIF(Setup!$B$9:$B$20,"?*"),"Everyone",COUNTIF(AI41:AT41,"&gt;0")&amp;IF(COUNTIF(AI41:AT41,"&gt;0")=1," person"," people"))))</f>
        <v/>
      </c>
      <c r="V41" s="1">
        <f>SUM(AI41:AT41)</f>
        <v/>
      </c>
      <c r="W41">
        <f>IF(OR(T41="",Setup!$B$9=""),0,IF(V41=0,T41/COUNTIF(Setup!$B$9:$B$20,"?*"),T41*AI41/V41))</f>
        <v/>
      </c>
      <c r="X41">
        <f>IF(OR(T41="",Setup!$B$10=""),0,IF(V41=0,T41/COUNTIF(Setup!$B$9:$B$20,"?*"),T41*AJ41/V41))</f>
        <v/>
      </c>
      <c r="Y41">
        <f>IF(OR(T41="",Setup!$B$11=""),0,IF(V41=0,T41/COUNTIF(Setup!$B$9:$B$20,"?*"),T41*AK41/V41))</f>
        <v/>
      </c>
      <c r="Z41">
        <f>IF(OR(T41="",Setup!$B$12=""),0,IF(V41=0,T41/COUNTIF(Setup!$B$9:$B$20,"?*"),T41*AL41/V41))</f>
        <v/>
      </c>
      <c r="AA41">
        <f>IF(OR(T41="",Setup!$B$13=""),0,IF(V41=0,T41/COUNTIF(Setup!$B$9:$B$20,"?*"),T41*AM41/V41))</f>
        <v/>
      </c>
      <c r="AB41">
        <f>IF(OR(T41="",Setup!$B$14=""),0,IF(V41=0,T41/COUNTIF(Setup!$B$9:$B$20,"?*"),T41*AN41/V41))</f>
        <v/>
      </c>
      <c r="AC41">
        <f>IF(OR(T41="",Setup!$B$15=""),0,IF(V41=0,T41/COUNTIF(Setup!$B$9:$B$20,"?*"),T41*AO41/V41))</f>
        <v/>
      </c>
      <c r="AD41">
        <f>IF(OR(T41="",Setup!$B$16=""),0,IF(V41=0,T41/COUNTIF(Setup!$B$9:$B$20,"?*"),T41*AP41/V41))</f>
        <v/>
      </c>
      <c r="AE41">
        <f>IF(OR(T41="",Setup!$B$17=""),0,IF(V41=0,T41/COUNTIF(Setup!$B$9:$B$20,"?*"),T41*AQ41/V41))</f>
        <v/>
      </c>
      <c r="AF41">
        <f>IF(OR(T41="",Setup!$B$18=""),0,IF(V41=0,T41/COUNTIF(Setup!$B$9:$B$20,"?*"),T41*AR41/V41))</f>
        <v/>
      </c>
      <c r="AG41">
        <f>IF(OR(T41="",Setup!$B$19=""),0,IF(V41=0,T41/COUNTIF(Setup!$B$9:$B$20,"?*"),T41*AS41/V41))</f>
        <v/>
      </c>
      <c r="AH41">
        <f>IF(OR(T41="",Setup!$B$20=""),0,IF(V41=0,T41/COUNTIF(Setup!$B$9:$B$20,"?*"),T41*AT41/V41))</f>
        <v/>
      </c>
      <c r="AI41">
        <f>IF(Setup!$B$9="",0,IF(H41="",0,IF(ISNUMBER(H41),H41,1)))</f>
        <v/>
      </c>
      <c r="AJ41">
        <f>IF(Setup!$B$10="",0,IF(I41="",0,IF(ISNUMBER(I41),I41,1)))</f>
        <v/>
      </c>
      <c r="AK41">
        <f>IF(Setup!$B$11="",0,IF(J41="",0,IF(ISNUMBER(J41),J41,1)))</f>
        <v/>
      </c>
      <c r="AL41">
        <f>IF(Setup!$B$12="",0,IF(K41="",0,IF(ISNUMBER(K41),K41,1)))</f>
        <v/>
      </c>
      <c r="AM41">
        <f>IF(Setup!$B$13="",0,IF(L41="",0,IF(ISNUMBER(L41),L41,1)))</f>
        <v/>
      </c>
      <c r="AN41">
        <f>IF(Setup!$B$14="",0,IF(M41="",0,IF(ISNUMBER(M41),M41,1)))</f>
        <v/>
      </c>
      <c r="AO41">
        <f>IF(Setup!$B$15="",0,IF(N41="",0,IF(ISNUMBER(N41),N41,1)))</f>
        <v/>
      </c>
      <c r="AP41">
        <f>IF(Setup!$B$16="",0,IF(O41="",0,IF(ISNUMBER(O41),O41,1)))</f>
        <v/>
      </c>
      <c r="AQ41">
        <f>IF(Setup!$B$17="",0,IF(P41="",0,IF(ISNUMBER(P41),P41,1)))</f>
        <v/>
      </c>
      <c r="AR41">
        <f>IF(Setup!$B$18="",0,IF(Q41="",0,IF(ISNUMBER(Q41),Q41,1)))</f>
        <v/>
      </c>
      <c r="AS41">
        <f>IF(Setup!$B$19="",0,IF(R41="",0,IF(ISNUMBER(R41),R41,1)))</f>
        <v/>
      </c>
      <c r="AT41">
        <f>IF(Setup!$B$20="",0,IF(S41="",0,IF(ISNUMBER(S41),S41,1)))</f>
        <v/>
      </c>
    </row>
    <row r="42">
      <c r="A42" s="1" t="n"/>
      <c r="B42" s="24" t="n"/>
      <c r="C42" s="25" t="n"/>
      <c r="D42" s="25" t="n"/>
      <c r="E42" s="26" t="n"/>
      <c r="F42" s="27" t="n"/>
      <c r="G42" s="17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9">
        <f>IF(N(E42)=0,"",E42*IF(F42="",1,IFERROR(INDEX(Setup!$E$9:$E$18,MATCH(F42,Setup!$D$9:$D$18,0)),0)))</f>
        <v/>
      </c>
      <c r="U42" s="30">
        <f>IF(T42="","",IF(V42=0,"Everyone",IF(COUNTIF(AI42:AT42,"&gt;0")=COUNTIF(Setup!$B$9:$B$20,"?*"),"Everyone",COUNTIF(AI42:AT42,"&gt;0")&amp;IF(COUNTIF(AI42:AT42,"&gt;0")=1," person"," people"))))</f>
        <v/>
      </c>
      <c r="V42" s="1">
        <f>SUM(AI42:AT42)</f>
        <v/>
      </c>
      <c r="W42">
        <f>IF(OR(T42="",Setup!$B$9=""),0,IF(V42=0,T42/COUNTIF(Setup!$B$9:$B$20,"?*"),T42*AI42/V42))</f>
        <v/>
      </c>
      <c r="X42">
        <f>IF(OR(T42="",Setup!$B$10=""),0,IF(V42=0,T42/COUNTIF(Setup!$B$9:$B$20,"?*"),T42*AJ42/V42))</f>
        <v/>
      </c>
      <c r="Y42">
        <f>IF(OR(T42="",Setup!$B$11=""),0,IF(V42=0,T42/COUNTIF(Setup!$B$9:$B$20,"?*"),T42*AK42/V42))</f>
        <v/>
      </c>
      <c r="Z42">
        <f>IF(OR(T42="",Setup!$B$12=""),0,IF(V42=0,T42/COUNTIF(Setup!$B$9:$B$20,"?*"),T42*AL42/V42))</f>
        <v/>
      </c>
      <c r="AA42">
        <f>IF(OR(T42="",Setup!$B$13=""),0,IF(V42=0,T42/COUNTIF(Setup!$B$9:$B$20,"?*"),T42*AM42/V42))</f>
        <v/>
      </c>
      <c r="AB42">
        <f>IF(OR(T42="",Setup!$B$14=""),0,IF(V42=0,T42/COUNTIF(Setup!$B$9:$B$20,"?*"),T42*AN42/V42))</f>
        <v/>
      </c>
      <c r="AC42">
        <f>IF(OR(T42="",Setup!$B$15=""),0,IF(V42=0,T42/COUNTIF(Setup!$B$9:$B$20,"?*"),T42*AO42/V42))</f>
        <v/>
      </c>
      <c r="AD42">
        <f>IF(OR(T42="",Setup!$B$16=""),0,IF(V42=0,T42/COUNTIF(Setup!$B$9:$B$20,"?*"),T42*AP42/V42))</f>
        <v/>
      </c>
      <c r="AE42">
        <f>IF(OR(T42="",Setup!$B$17=""),0,IF(V42=0,T42/COUNTIF(Setup!$B$9:$B$20,"?*"),T42*AQ42/V42))</f>
        <v/>
      </c>
      <c r="AF42">
        <f>IF(OR(T42="",Setup!$B$18=""),0,IF(V42=0,T42/COUNTIF(Setup!$B$9:$B$20,"?*"),T42*AR42/V42))</f>
        <v/>
      </c>
      <c r="AG42">
        <f>IF(OR(T42="",Setup!$B$19=""),0,IF(V42=0,T42/COUNTIF(Setup!$B$9:$B$20,"?*"),T42*AS42/V42))</f>
        <v/>
      </c>
      <c r="AH42">
        <f>IF(OR(T42="",Setup!$B$20=""),0,IF(V42=0,T42/COUNTIF(Setup!$B$9:$B$20,"?*"),T42*AT42/V42))</f>
        <v/>
      </c>
      <c r="AI42">
        <f>IF(Setup!$B$9="",0,IF(H42="",0,IF(ISNUMBER(H42),H42,1)))</f>
        <v/>
      </c>
      <c r="AJ42">
        <f>IF(Setup!$B$10="",0,IF(I42="",0,IF(ISNUMBER(I42),I42,1)))</f>
        <v/>
      </c>
      <c r="AK42">
        <f>IF(Setup!$B$11="",0,IF(J42="",0,IF(ISNUMBER(J42),J42,1)))</f>
        <v/>
      </c>
      <c r="AL42">
        <f>IF(Setup!$B$12="",0,IF(K42="",0,IF(ISNUMBER(K42),K42,1)))</f>
        <v/>
      </c>
      <c r="AM42">
        <f>IF(Setup!$B$13="",0,IF(L42="",0,IF(ISNUMBER(L42),L42,1)))</f>
        <v/>
      </c>
      <c r="AN42">
        <f>IF(Setup!$B$14="",0,IF(M42="",0,IF(ISNUMBER(M42),M42,1)))</f>
        <v/>
      </c>
      <c r="AO42">
        <f>IF(Setup!$B$15="",0,IF(N42="",0,IF(ISNUMBER(N42),N42,1)))</f>
        <v/>
      </c>
      <c r="AP42">
        <f>IF(Setup!$B$16="",0,IF(O42="",0,IF(ISNUMBER(O42),O42,1)))</f>
        <v/>
      </c>
      <c r="AQ42">
        <f>IF(Setup!$B$17="",0,IF(P42="",0,IF(ISNUMBER(P42),P42,1)))</f>
        <v/>
      </c>
      <c r="AR42">
        <f>IF(Setup!$B$18="",0,IF(Q42="",0,IF(ISNUMBER(Q42),Q42,1)))</f>
        <v/>
      </c>
      <c r="AS42">
        <f>IF(Setup!$B$19="",0,IF(R42="",0,IF(ISNUMBER(R42),R42,1)))</f>
        <v/>
      </c>
      <c r="AT42">
        <f>IF(Setup!$B$20="",0,IF(S42="",0,IF(ISNUMBER(S42),S42,1)))</f>
        <v/>
      </c>
    </row>
    <row r="43">
      <c r="A43" s="1" t="n"/>
      <c r="B43" s="24" t="n"/>
      <c r="C43" s="25" t="n"/>
      <c r="D43" s="25" t="n"/>
      <c r="E43" s="26" t="n"/>
      <c r="F43" s="27" t="n"/>
      <c r="G43" s="17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9">
        <f>IF(N(E43)=0,"",E43*IF(F43="",1,IFERROR(INDEX(Setup!$E$9:$E$18,MATCH(F43,Setup!$D$9:$D$18,0)),0)))</f>
        <v/>
      </c>
      <c r="U43" s="30">
        <f>IF(T43="","",IF(V43=0,"Everyone",IF(COUNTIF(AI43:AT43,"&gt;0")=COUNTIF(Setup!$B$9:$B$20,"?*"),"Everyone",COUNTIF(AI43:AT43,"&gt;0")&amp;IF(COUNTIF(AI43:AT43,"&gt;0")=1," person"," people"))))</f>
        <v/>
      </c>
      <c r="V43" s="1">
        <f>SUM(AI43:AT43)</f>
        <v/>
      </c>
      <c r="W43">
        <f>IF(OR(T43="",Setup!$B$9=""),0,IF(V43=0,T43/COUNTIF(Setup!$B$9:$B$20,"?*"),T43*AI43/V43))</f>
        <v/>
      </c>
      <c r="X43">
        <f>IF(OR(T43="",Setup!$B$10=""),0,IF(V43=0,T43/COUNTIF(Setup!$B$9:$B$20,"?*"),T43*AJ43/V43))</f>
        <v/>
      </c>
      <c r="Y43">
        <f>IF(OR(T43="",Setup!$B$11=""),0,IF(V43=0,T43/COUNTIF(Setup!$B$9:$B$20,"?*"),T43*AK43/V43))</f>
        <v/>
      </c>
      <c r="Z43">
        <f>IF(OR(T43="",Setup!$B$12=""),0,IF(V43=0,T43/COUNTIF(Setup!$B$9:$B$20,"?*"),T43*AL43/V43))</f>
        <v/>
      </c>
      <c r="AA43">
        <f>IF(OR(T43="",Setup!$B$13=""),0,IF(V43=0,T43/COUNTIF(Setup!$B$9:$B$20,"?*"),T43*AM43/V43))</f>
        <v/>
      </c>
      <c r="AB43">
        <f>IF(OR(T43="",Setup!$B$14=""),0,IF(V43=0,T43/COUNTIF(Setup!$B$9:$B$20,"?*"),T43*AN43/V43))</f>
        <v/>
      </c>
      <c r="AC43">
        <f>IF(OR(T43="",Setup!$B$15=""),0,IF(V43=0,T43/COUNTIF(Setup!$B$9:$B$20,"?*"),T43*AO43/V43))</f>
        <v/>
      </c>
      <c r="AD43">
        <f>IF(OR(T43="",Setup!$B$16=""),0,IF(V43=0,T43/COUNTIF(Setup!$B$9:$B$20,"?*"),T43*AP43/V43))</f>
        <v/>
      </c>
      <c r="AE43">
        <f>IF(OR(T43="",Setup!$B$17=""),0,IF(V43=0,T43/COUNTIF(Setup!$B$9:$B$20,"?*"),T43*AQ43/V43))</f>
        <v/>
      </c>
      <c r="AF43">
        <f>IF(OR(T43="",Setup!$B$18=""),0,IF(V43=0,T43/COUNTIF(Setup!$B$9:$B$20,"?*"),T43*AR43/V43))</f>
        <v/>
      </c>
      <c r="AG43">
        <f>IF(OR(T43="",Setup!$B$19=""),0,IF(V43=0,T43/COUNTIF(Setup!$B$9:$B$20,"?*"),T43*AS43/V43))</f>
        <v/>
      </c>
      <c r="AH43">
        <f>IF(OR(T43="",Setup!$B$20=""),0,IF(V43=0,T43/COUNTIF(Setup!$B$9:$B$20,"?*"),T43*AT43/V43))</f>
        <v/>
      </c>
      <c r="AI43">
        <f>IF(Setup!$B$9="",0,IF(H43="",0,IF(ISNUMBER(H43),H43,1)))</f>
        <v/>
      </c>
      <c r="AJ43">
        <f>IF(Setup!$B$10="",0,IF(I43="",0,IF(ISNUMBER(I43),I43,1)))</f>
        <v/>
      </c>
      <c r="AK43">
        <f>IF(Setup!$B$11="",0,IF(J43="",0,IF(ISNUMBER(J43),J43,1)))</f>
        <v/>
      </c>
      <c r="AL43">
        <f>IF(Setup!$B$12="",0,IF(K43="",0,IF(ISNUMBER(K43),K43,1)))</f>
        <v/>
      </c>
      <c r="AM43">
        <f>IF(Setup!$B$13="",0,IF(L43="",0,IF(ISNUMBER(L43),L43,1)))</f>
        <v/>
      </c>
      <c r="AN43">
        <f>IF(Setup!$B$14="",0,IF(M43="",0,IF(ISNUMBER(M43),M43,1)))</f>
        <v/>
      </c>
      <c r="AO43">
        <f>IF(Setup!$B$15="",0,IF(N43="",0,IF(ISNUMBER(N43),N43,1)))</f>
        <v/>
      </c>
      <c r="AP43">
        <f>IF(Setup!$B$16="",0,IF(O43="",0,IF(ISNUMBER(O43),O43,1)))</f>
        <v/>
      </c>
      <c r="AQ43">
        <f>IF(Setup!$B$17="",0,IF(P43="",0,IF(ISNUMBER(P43),P43,1)))</f>
        <v/>
      </c>
      <c r="AR43">
        <f>IF(Setup!$B$18="",0,IF(Q43="",0,IF(ISNUMBER(Q43),Q43,1)))</f>
        <v/>
      </c>
      <c r="AS43">
        <f>IF(Setup!$B$19="",0,IF(R43="",0,IF(ISNUMBER(R43),R43,1)))</f>
        <v/>
      </c>
      <c r="AT43">
        <f>IF(Setup!$B$20="",0,IF(S43="",0,IF(ISNUMBER(S43),S43,1)))</f>
        <v/>
      </c>
    </row>
    <row r="44">
      <c r="A44" s="1" t="n"/>
      <c r="B44" s="24" t="n"/>
      <c r="C44" s="25" t="n"/>
      <c r="D44" s="25" t="n"/>
      <c r="E44" s="26" t="n"/>
      <c r="F44" s="27" t="n"/>
      <c r="G44" s="17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9">
        <f>IF(N(E44)=0,"",E44*IF(F44="",1,IFERROR(INDEX(Setup!$E$9:$E$18,MATCH(F44,Setup!$D$9:$D$18,0)),0)))</f>
        <v/>
      </c>
      <c r="U44" s="30">
        <f>IF(T44="","",IF(V44=0,"Everyone",IF(COUNTIF(AI44:AT44,"&gt;0")=COUNTIF(Setup!$B$9:$B$20,"?*"),"Everyone",COUNTIF(AI44:AT44,"&gt;0")&amp;IF(COUNTIF(AI44:AT44,"&gt;0")=1," person"," people"))))</f>
        <v/>
      </c>
      <c r="V44" s="1">
        <f>SUM(AI44:AT44)</f>
        <v/>
      </c>
      <c r="W44">
        <f>IF(OR(T44="",Setup!$B$9=""),0,IF(V44=0,T44/COUNTIF(Setup!$B$9:$B$20,"?*"),T44*AI44/V44))</f>
        <v/>
      </c>
      <c r="X44">
        <f>IF(OR(T44="",Setup!$B$10=""),0,IF(V44=0,T44/COUNTIF(Setup!$B$9:$B$20,"?*"),T44*AJ44/V44))</f>
        <v/>
      </c>
      <c r="Y44">
        <f>IF(OR(T44="",Setup!$B$11=""),0,IF(V44=0,T44/COUNTIF(Setup!$B$9:$B$20,"?*"),T44*AK44/V44))</f>
        <v/>
      </c>
      <c r="Z44">
        <f>IF(OR(T44="",Setup!$B$12=""),0,IF(V44=0,T44/COUNTIF(Setup!$B$9:$B$20,"?*"),T44*AL44/V44))</f>
        <v/>
      </c>
      <c r="AA44">
        <f>IF(OR(T44="",Setup!$B$13=""),0,IF(V44=0,T44/COUNTIF(Setup!$B$9:$B$20,"?*"),T44*AM44/V44))</f>
        <v/>
      </c>
      <c r="AB44">
        <f>IF(OR(T44="",Setup!$B$14=""),0,IF(V44=0,T44/COUNTIF(Setup!$B$9:$B$20,"?*"),T44*AN44/V44))</f>
        <v/>
      </c>
      <c r="AC44">
        <f>IF(OR(T44="",Setup!$B$15=""),0,IF(V44=0,T44/COUNTIF(Setup!$B$9:$B$20,"?*"),T44*AO44/V44))</f>
        <v/>
      </c>
      <c r="AD44">
        <f>IF(OR(T44="",Setup!$B$16=""),0,IF(V44=0,T44/COUNTIF(Setup!$B$9:$B$20,"?*"),T44*AP44/V44))</f>
        <v/>
      </c>
      <c r="AE44">
        <f>IF(OR(T44="",Setup!$B$17=""),0,IF(V44=0,T44/COUNTIF(Setup!$B$9:$B$20,"?*"),T44*AQ44/V44))</f>
        <v/>
      </c>
      <c r="AF44">
        <f>IF(OR(T44="",Setup!$B$18=""),0,IF(V44=0,T44/COUNTIF(Setup!$B$9:$B$20,"?*"),T44*AR44/V44))</f>
        <v/>
      </c>
      <c r="AG44">
        <f>IF(OR(T44="",Setup!$B$19=""),0,IF(V44=0,T44/COUNTIF(Setup!$B$9:$B$20,"?*"),T44*AS44/V44))</f>
        <v/>
      </c>
      <c r="AH44">
        <f>IF(OR(T44="",Setup!$B$20=""),0,IF(V44=0,T44/COUNTIF(Setup!$B$9:$B$20,"?*"),T44*AT44/V44))</f>
        <v/>
      </c>
      <c r="AI44">
        <f>IF(Setup!$B$9="",0,IF(H44="",0,IF(ISNUMBER(H44),H44,1)))</f>
        <v/>
      </c>
      <c r="AJ44">
        <f>IF(Setup!$B$10="",0,IF(I44="",0,IF(ISNUMBER(I44),I44,1)))</f>
        <v/>
      </c>
      <c r="AK44">
        <f>IF(Setup!$B$11="",0,IF(J44="",0,IF(ISNUMBER(J44),J44,1)))</f>
        <v/>
      </c>
      <c r="AL44">
        <f>IF(Setup!$B$12="",0,IF(K44="",0,IF(ISNUMBER(K44),K44,1)))</f>
        <v/>
      </c>
      <c r="AM44">
        <f>IF(Setup!$B$13="",0,IF(L44="",0,IF(ISNUMBER(L44),L44,1)))</f>
        <v/>
      </c>
      <c r="AN44">
        <f>IF(Setup!$B$14="",0,IF(M44="",0,IF(ISNUMBER(M44),M44,1)))</f>
        <v/>
      </c>
      <c r="AO44">
        <f>IF(Setup!$B$15="",0,IF(N44="",0,IF(ISNUMBER(N44),N44,1)))</f>
        <v/>
      </c>
      <c r="AP44">
        <f>IF(Setup!$B$16="",0,IF(O44="",0,IF(ISNUMBER(O44),O44,1)))</f>
        <v/>
      </c>
      <c r="AQ44">
        <f>IF(Setup!$B$17="",0,IF(P44="",0,IF(ISNUMBER(P44),P44,1)))</f>
        <v/>
      </c>
      <c r="AR44">
        <f>IF(Setup!$B$18="",0,IF(Q44="",0,IF(ISNUMBER(Q44),Q44,1)))</f>
        <v/>
      </c>
      <c r="AS44">
        <f>IF(Setup!$B$19="",0,IF(R44="",0,IF(ISNUMBER(R44),R44,1)))</f>
        <v/>
      </c>
      <c r="AT44">
        <f>IF(Setup!$B$20="",0,IF(S44="",0,IF(ISNUMBER(S44),S44,1)))</f>
        <v/>
      </c>
    </row>
    <row r="45">
      <c r="A45" s="1" t="n"/>
      <c r="B45" s="24" t="n"/>
      <c r="C45" s="25" t="n"/>
      <c r="D45" s="25" t="n"/>
      <c r="E45" s="26" t="n"/>
      <c r="F45" s="27" t="n"/>
      <c r="G45" s="17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9">
        <f>IF(N(E45)=0,"",E45*IF(F45="",1,IFERROR(INDEX(Setup!$E$9:$E$18,MATCH(F45,Setup!$D$9:$D$18,0)),0)))</f>
        <v/>
      </c>
      <c r="U45" s="30">
        <f>IF(T45="","",IF(V45=0,"Everyone",IF(COUNTIF(AI45:AT45,"&gt;0")=COUNTIF(Setup!$B$9:$B$20,"?*"),"Everyone",COUNTIF(AI45:AT45,"&gt;0")&amp;IF(COUNTIF(AI45:AT45,"&gt;0")=1," person"," people"))))</f>
        <v/>
      </c>
      <c r="V45" s="1">
        <f>SUM(AI45:AT45)</f>
        <v/>
      </c>
      <c r="W45">
        <f>IF(OR(T45="",Setup!$B$9=""),0,IF(V45=0,T45/COUNTIF(Setup!$B$9:$B$20,"?*"),T45*AI45/V45))</f>
        <v/>
      </c>
      <c r="X45">
        <f>IF(OR(T45="",Setup!$B$10=""),0,IF(V45=0,T45/COUNTIF(Setup!$B$9:$B$20,"?*"),T45*AJ45/V45))</f>
        <v/>
      </c>
      <c r="Y45">
        <f>IF(OR(T45="",Setup!$B$11=""),0,IF(V45=0,T45/COUNTIF(Setup!$B$9:$B$20,"?*"),T45*AK45/V45))</f>
        <v/>
      </c>
      <c r="Z45">
        <f>IF(OR(T45="",Setup!$B$12=""),0,IF(V45=0,T45/COUNTIF(Setup!$B$9:$B$20,"?*"),T45*AL45/V45))</f>
        <v/>
      </c>
      <c r="AA45">
        <f>IF(OR(T45="",Setup!$B$13=""),0,IF(V45=0,T45/COUNTIF(Setup!$B$9:$B$20,"?*"),T45*AM45/V45))</f>
        <v/>
      </c>
      <c r="AB45">
        <f>IF(OR(T45="",Setup!$B$14=""),0,IF(V45=0,T45/COUNTIF(Setup!$B$9:$B$20,"?*"),T45*AN45/V45))</f>
        <v/>
      </c>
      <c r="AC45">
        <f>IF(OR(T45="",Setup!$B$15=""),0,IF(V45=0,T45/COUNTIF(Setup!$B$9:$B$20,"?*"),T45*AO45/V45))</f>
        <v/>
      </c>
      <c r="AD45">
        <f>IF(OR(T45="",Setup!$B$16=""),0,IF(V45=0,T45/COUNTIF(Setup!$B$9:$B$20,"?*"),T45*AP45/V45))</f>
        <v/>
      </c>
      <c r="AE45">
        <f>IF(OR(T45="",Setup!$B$17=""),0,IF(V45=0,T45/COUNTIF(Setup!$B$9:$B$20,"?*"),T45*AQ45/V45))</f>
        <v/>
      </c>
      <c r="AF45">
        <f>IF(OR(T45="",Setup!$B$18=""),0,IF(V45=0,T45/COUNTIF(Setup!$B$9:$B$20,"?*"),T45*AR45/V45))</f>
        <v/>
      </c>
      <c r="AG45">
        <f>IF(OR(T45="",Setup!$B$19=""),0,IF(V45=0,T45/COUNTIF(Setup!$B$9:$B$20,"?*"),T45*AS45/V45))</f>
        <v/>
      </c>
      <c r="AH45">
        <f>IF(OR(T45="",Setup!$B$20=""),0,IF(V45=0,T45/COUNTIF(Setup!$B$9:$B$20,"?*"),T45*AT45/V45))</f>
        <v/>
      </c>
      <c r="AI45">
        <f>IF(Setup!$B$9="",0,IF(H45="",0,IF(ISNUMBER(H45),H45,1)))</f>
        <v/>
      </c>
      <c r="AJ45">
        <f>IF(Setup!$B$10="",0,IF(I45="",0,IF(ISNUMBER(I45),I45,1)))</f>
        <v/>
      </c>
      <c r="AK45">
        <f>IF(Setup!$B$11="",0,IF(J45="",0,IF(ISNUMBER(J45),J45,1)))</f>
        <v/>
      </c>
      <c r="AL45">
        <f>IF(Setup!$B$12="",0,IF(K45="",0,IF(ISNUMBER(K45),K45,1)))</f>
        <v/>
      </c>
      <c r="AM45">
        <f>IF(Setup!$B$13="",0,IF(L45="",0,IF(ISNUMBER(L45),L45,1)))</f>
        <v/>
      </c>
      <c r="AN45">
        <f>IF(Setup!$B$14="",0,IF(M45="",0,IF(ISNUMBER(M45),M45,1)))</f>
        <v/>
      </c>
      <c r="AO45">
        <f>IF(Setup!$B$15="",0,IF(N45="",0,IF(ISNUMBER(N45),N45,1)))</f>
        <v/>
      </c>
      <c r="AP45">
        <f>IF(Setup!$B$16="",0,IF(O45="",0,IF(ISNUMBER(O45),O45,1)))</f>
        <v/>
      </c>
      <c r="AQ45">
        <f>IF(Setup!$B$17="",0,IF(P45="",0,IF(ISNUMBER(P45),P45,1)))</f>
        <v/>
      </c>
      <c r="AR45">
        <f>IF(Setup!$B$18="",0,IF(Q45="",0,IF(ISNUMBER(Q45),Q45,1)))</f>
        <v/>
      </c>
      <c r="AS45">
        <f>IF(Setup!$B$19="",0,IF(R45="",0,IF(ISNUMBER(R45),R45,1)))</f>
        <v/>
      </c>
      <c r="AT45">
        <f>IF(Setup!$B$20="",0,IF(S45="",0,IF(ISNUMBER(S45),S45,1)))</f>
        <v/>
      </c>
    </row>
    <row r="46">
      <c r="A46" s="1" t="n"/>
      <c r="B46" s="24" t="n"/>
      <c r="C46" s="25" t="n"/>
      <c r="D46" s="25" t="n"/>
      <c r="E46" s="26" t="n"/>
      <c r="F46" s="27" t="n"/>
      <c r="G46" s="17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9">
        <f>IF(N(E46)=0,"",E46*IF(F46="",1,IFERROR(INDEX(Setup!$E$9:$E$18,MATCH(F46,Setup!$D$9:$D$18,0)),0)))</f>
        <v/>
      </c>
      <c r="U46" s="30">
        <f>IF(T46="","",IF(V46=0,"Everyone",IF(COUNTIF(AI46:AT46,"&gt;0")=COUNTIF(Setup!$B$9:$B$20,"?*"),"Everyone",COUNTIF(AI46:AT46,"&gt;0")&amp;IF(COUNTIF(AI46:AT46,"&gt;0")=1," person"," people"))))</f>
        <v/>
      </c>
      <c r="V46" s="1">
        <f>SUM(AI46:AT46)</f>
        <v/>
      </c>
      <c r="W46">
        <f>IF(OR(T46="",Setup!$B$9=""),0,IF(V46=0,T46/COUNTIF(Setup!$B$9:$B$20,"?*"),T46*AI46/V46))</f>
        <v/>
      </c>
      <c r="X46">
        <f>IF(OR(T46="",Setup!$B$10=""),0,IF(V46=0,T46/COUNTIF(Setup!$B$9:$B$20,"?*"),T46*AJ46/V46))</f>
        <v/>
      </c>
      <c r="Y46">
        <f>IF(OR(T46="",Setup!$B$11=""),0,IF(V46=0,T46/COUNTIF(Setup!$B$9:$B$20,"?*"),T46*AK46/V46))</f>
        <v/>
      </c>
      <c r="Z46">
        <f>IF(OR(T46="",Setup!$B$12=""),0,IF(V46=0,T46/COUNTIF(Setup!$B$9:$B$20,"?*"),T46*AL46/V46))</f>
        <v/>
      </c>
      <c r="AA46">
        <f>IF(OR(T46="",Setup!$B$13=""),0,IF(V46=0,T46/COUNTIF(Setup!$B$9:$B$20,"?*"),T46*AM46/V46))</f>
        <v/>
      </c>
      <c r="AB46">
        <f>IF(OR(T46="",Setup!$B$14=""),0,IF(V46=0,T46/COUNTIF(Setup!$B$9:$B$20,"?*"),T46*AN46/V46))</f>
        <v/>
      </c>
      <c r="AC46">
        <f>IF(OR(T46="",Setup!$B$15=""),0,IF(V46=0,T46/COUNTIF(Setup!$B$9:$B$20,"?*"),T46*AO46/V46))</f>
        <v/>
      </c>
      <c r="AD46">
        <f>IF(OR(T46="",Setup!$B$16=""),0,IF(V46=0,T46/COUNTIF(Setup!$B$9:$B$20,"?*"),T46*AP46/V46))</f>
        <v/>
      </c>
      <c r="AE46">
        <f>IF(OR(T46="",Setup!$B$17=""),0,IF(V46=0,T46/COUNTIF(Setup!$B$9:$B$20,"?*"),T46*AQ46/V46))</f>
        <v/>
      </c>
      <c r="AF46">
        <f>IF(OR(T46="",Setup!$B$18=""),0,IF(V46=0,T46/COUNTIF(Setup!$B$9:$B$20,"?*"),T46*AR46/V46))</f>
        <v/>
      </c>
      <c r="AG46">
        <f>IF(OR(T46="",Setup!$B$19=""),0,IF(V46=0,T46/COUNTIF(Setup!$B$9:$B$20,"?*"),T46*AS46/V46))</f>
        <v/>
      </c>
      <c r="AH46">
        <f>IF(OR(T46="",Setup!$B$20=""),0,IF(V46=0,T46/COUNTIF(Setup!$B$9:$B$20,"?*"),T46*AT46/V46))</f>
        <v/>
      </c>
      <c r="AI46">
        <f>IF(Setup!$B$9="",0,IF(H46="",0,IF(ISNUMBER(H46),H46,1)))</f>
        <v/>
      </c>
      <c r="AJ46">
        <f>IF(Setup!$B$10="",0,IF(I46="",0,IF(ISNUMBER(I46),I46,1)))</f>
        <v/>
      </c>
      <c r="AK46">
        <f>IF(Setup!$B$11="",0,IF(J46="",0,IF(ISNUMBER(J46),J46,1)))</f>
        <v/>
      </c>
      <c r="AL46">
        <f>IF(Setup!$B$12="",0,IF(K46="",0,IF(ISNUMBER(K46),K46,1)))</f>
        <v/>
      </c>
      <c r="AM46">
        <f>IF(Setup!$B$13="",0,IF(L46="",0,IF(ISNUMBER(L46),L46,1)))</f>
        <v/>
      </c>
      <c r="AN46">
        <f>IF(Setup!$B$14="",0,IF(M46="",0,IF(ISNUMBER(M46),M46,1)))</f>
        <v/>
      </c>
      <c r="AO46">
        <f>IF(Setup!$B$15="",0,IF(N46="",0,IF(ISNUMBER(N46),N46,1)))</f>
        <v/>
      </c>
      <c r="AP46">
        <f>IF(Setup!$B$16="",0,IF(O46="",0,IF(ISNUMBER(O46),O46,1)))</f>
        <v/>
      </c>
      <c r="AQ46">
        <f>IF(Setup!$B$17="",0,IF(P46="",0,IF(ISNUMBER(P46),P46,1)))</f>
        <v/>
      </c>
      <c r="AR46">
        <f>IF(Setup!$B$18="",0,IF(Q46="",0,IF(ISNUMBER(Q46),Q46,1)))</f>
        <v/>
      </c>
      <c r="AS46">
        <f>IF(Setup!$B$19="",0,IF(R46="",0,IF(ISNUMBER(R46),R46,1)))</f>
        <v/>
      </c>
      <c r="AT46">
        <f>IF(Setup!$B$20="",0,IF(S46="",0,IF(ISNUMBER(S46),S46,1)))</f>
        <v/>
      </c>
    </row>
    <row r="47">
      <c r="A47" s="1" t="n"/>
      <c r="B47" s="24" t="n"/>
      <c r="C47" s="25" t="n"/>
      <c r="D47" s="25" t="n"/>
      <c r="E47" s="26" t="n"/>
      <c r="F47" s="27" t="n"/>
      <c r="G47" s="17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9">
        <f>IF(N(E47)=0,"",E47*IF(F47="",1,IFERROR(INDEX(Setup!$E$9:$E$18,MATCH(F47,Setup!$D$9:$D$18,0)),0)))</f>
        <v/>
      </c>
      <c r="U47" s="30">
        <f>IF(T47="","",IF(V47=0,"Everyone",IF(COUNTIF(AI47:AT47,"&gt;0")=COUNTIF(Setup!$B$9:$B$20,"?*"),"Everyone",COUNTIF(AI47:AT47,"&gt;0")&amp;IF(COUNTIF(AI47:AT47,"&gt;0")=1," person"," people"))))</f>
        <v/>
      </c>
      <c r="V47" s="1">
        <f>SUM(AI47:AT47)</f>
        <v/>
      </c>
      <c r="W47">
        <f>IF(OR(T47="",Setup!$B$9=""),0,IF(V47=0,T47/COUNTIF(Setup!$B$9:$B$20,"?*"),T47*AI47/V47))</f>
        <v/>
      </c>
      <c r="X47">
        <f>IF(OR(T47="",Setup!$B$10=""),0,IF(V47=0,T47/COUNTIF(Setup!$B$9:$B$20,"?*"),T47*AJ47/V47))</f>
        <v/>
      </c>
      <c r="Y47">
        <f>IF(OR(T47="",Setup!$B$11=""),0,IF(V47=0,T47/COUNTIF(Setup!$B$9:$B$20,"?*"),T47*AK47/V47))</f>
        <v/>
      </c>
      <c r="Z47">
        <f>IF(OR(T47="",Setup!$B$12=""),0,IF(V47=0,T47/COUNTIF(Setup!$B$9:$B$20,"?*"),T47*AL47/V47))</f>
        <v/>
      </c>
      <c r="AA47">
        <f>IF(OR(T47="",Setup!$B$13=""),0,IF(V47=0,T47/COUNTIF(Setup!$B$9:$B$20,"?*"),T47*AM47/V47))</f>
        <v/>
      </c>
      <c r="AB47">
        <f>IF(OR(T47="",Setup!$B$14=""),0,IF(V47=0,T47/COUNTIF(Setup!$B$9:$B$20,"?*"),T47*AN47/V47))</f>
        <v/>
      </c>
      <c r="AC47">
        <f>IF(OR(T47="",Setup!$B$15=""),0,IF(V47=0,T47/COUNTIF(Setup!$B$9:$B$20,"?*"),T47*AO47/V47))</f>
        <v/>
      </c>
      <c r="AD47">
        <f>IF(OR(T47="",Setup!$B$16=""),0,IF(V47=0,T47/COUNTIF(Setup!$B$9:$B$20,"?*"),T47*AP47/V47))</f>
        <v/>
      </c>
      <c r="AE47">
        <f>IF(OR(T47="",Setup!$B$17=""),0,IF(V47=0,T47/COUNTIF(Setup!$B$9:$B$20,"?*"),T47*AQ47/V47))</f>
        <v/>
      </c>
      <c r="AF47">
        <f>IF(OR(T47="",Setup!$B$18=""),0,IF(V47=0,T47/COUNTIF(Setup!$B$9:$B$20,"?*"),T47*AR47/V47))</f>
        <v/>
      </c>
      <c r="AG47">
        <f>IF(OR(T47="",Setup!$B$19=""),0,IF(V47=0,T47/COUNTIF(Setup!$B$9:$B$20,"?*"),T47*AS47/V47))</f>
        <v/>
      </c>
      <c r="AH47">
        <f>IF(OR(T47="",Setup!$B$20=""),0,IF(V47=0,T47/COUNTIF(Setup!$B$9:$B$20,"?*"),T47*AT47/V47))</f>
        <v/>
      </c>
      <c r="AI47">
        <f>IF(Setup!$B$9="",0,IF(H47="",0,IF(ISNUMBER(H47),H47,1)))</f>
        <v/>
      </c>
      <c r="AJ47">
        <f>IF(Setup!$B$10="",0,IF(I47="",0,IF(ISNUMBER(I47),I47,1)))</f>
        <v/>
      </c>
      <c r="AK47">
        <f>IF(Setup!$B$11="",0,IF(J47="",0,IF(ISNUMBER(J47),J47,1)))</f>
        <v/>
      </c>
      <c r="AL47">
        <f>IF(Setup!$B$12="",0,IF(K47="",0,IF(ISNUMBER(K47),K47,1)))</f>
        <v/>
      </c>
      <c r="AM47">
        <f>IF(Setup!$B$13="",0,IF(L47="",0,IF(ISNUMBER(L47),L47,1)))</f>
        <v/>
      </c>
      <c r="AN47">
        <f>IF(Setup!$B$14="",0,IF(M47="",0,IF(ISNUMBER(M47),M47,1)))</f>
        <v/>
      </c>
      <c r="AO47">
        <f>IF(Setup!$B$15="",0,IF(N47="",0,IF(ISNUMBER(N47),N47,1)))</f>
        <v/>
      </c>
      <c r="AP47">
        <f>IF(Setup!$B$16="",0,IF(O47="",0,IF(ISNUMBER(O47),O47,1)))</f>
        <v/>
      </c>
      <c r="AQ47">
        <f>IF(Setup!$B$17="",0,IF(P47="",0,IF(ISNUMBER(P47),P47,1)))</f>
        <v/>
      </c>
      <c r="AR47">
        <f>IF(Setup!$B$18="",0,IF(Q47="",0,IF(ISNUMBER(Q47),Q47,1)))</f>
        <v/>
      </c>
      <c r="AS47">
        <f>IF(Setup!$B$19="",0,IF(R47="",0,IF(ISNUMBER(R47),R47,1)))</f>
        <v/>
      </c>
      <c r="AT47">
        <f>IF(Setup!$B$20="",0,IF(S47="",0,IF(ISNUMBER(S47),S47,1)))</f>
        <v/>
      </c>
    </row>
    <row r="48">
      <c r="A48" s="1" t="n"/>
      <c r="B48" s="24" t="n"/>
      <c r="C48" s="25" t="n"/>
      <c r="D48" s="25" t="n"/>
      <c r="E48" s="26" t="n"/>
      <c r="F48" s="27" t="n"/>
      <c r="G48" s="17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9">
        <f>IF(N(E48)=0,"",E48*IF(F48="",1,IFERROR(INDEX(Setup!$E$9:$E$18,MATCH(F48,Setup!$D$9:$D$18,0)),0)))</f>
        <v/>
      </c>
      <c r="U48" s="30">
        <f>IF(T48="","",IF(V48=0,"Everyone",IF(COUNTIF(AI48:AT48,"&gt;0")=COUNTIF(Setup!$B$9:$B$20,"?*"),"Everyone",COUNTIF(AI48:AT48,"&gt;0")&amp;IF(COUNTIF(AI48:AT48,"&gt;0")=1," person"," people"))))</f>
        <v/>
      </c>
      <c r="V48" s="1">
        <f>SUM(AI48:AT48)</f>
        <v/>
      </c>
      <c r="W48">
        <f>IF(OR(T48="",Setup!$B$9=""),0,IF(V48=0,T48/COUNTIF(Setup!$B$9:$B$20,"?*"),T48*AI48/V48))</f>
        <v/>
      </c>
      <c r="X48">
        <f>IF(OR(T48="",Setup!$B$10=""),0,IF(V48=0,T48/COUNTIF(Setup!$B$9:$B$20,"?*"),T48*AJ48/V48))</f>
        <v/>
      </c>
      <c r="Y48">
        <f>IF(OR(T48="",Setup!$B$11=""),0,IF(V48=0,T48/COUNTIF(Setup!$B$9:$B$20,"?*"),T48*AK48/V48))</f>
        <v/>
      </c>
      <c r="Z48">
        <f>IF(OR(T48="",Setup!$B$12=""),0,IF(V48=0,T48/COUNTIF(Setup!$B$9:$B$20,"?*"),T48*AL48/V48))</f>
        <v/>
      </c>
      <c r="AA48">
        <f>IF(OR(T48="",Setup!$B$13=""),0,IF(V48=0,T48/COUNTIF(Setup!$B$9:$B$20,"?*"),T48*AM48/V48))</f>
        <v/>
      </c>
      <c r="AB48">
        <f>IF(OR(T48="",Setup!$B$14=""),0,IF(V48=0,T48/COUNTIF(Setup!$B$9:$B$20,"?*"),T48*AN48/V48))</f>
        <v/>
      </c>
      <c r="AC48">
        <f>IF(OR(T48="",Setup!$B$15=""),0,IF(V48=0,T48/COUNTIF(Setup!$B$9:$B$20,"?*"),T48*AO48/V48))</f>
        <v/>
      </c>
      <c r="AD48">
        <f>IF(OR(T48="",Setup!$B$16=""),0,IF(V48=0,T48/COUNTIF(Setup!$B$9:$B$20,"?*"),T48*AP48/V48))</f>
        <v/>
      </c>
      <c r="AE48">
        <f>IF(OR(T48="",Setup!$B$17=""),0,IF(V48=0,T48/COUNTIF(Setup!$B$9:$B$20,"?*"),T48*AQ48/V48))</f>
        <v/>
      </c>
      <c r="AF48">
        <f>IF(OR(T48="",Setup!$B$18=""),0,IF(V48=0,T48/COUNTIF(Setup!$B$9:$B$20,"?*"),T48*AR48/V48))</f>
        <v/>
      </c>
      <c r="AG48">
        <f>IF(OR(T48="",Setup!$B$19=""),0,IF(V48=0,T48/COUNTIF(Setup!$B$9:$B$20,"?*"),T48*AS48/V48))</f>
        <v/>
      </c>
      <c r="AH48">
        <f>IF(OR(T48="",Setup!$B$20=""),0,IF(V48=0,T48/COUNTIF(Setup!$B$9:$B$20,"?*"),T48*AT48/V48))</f>
        <v/>
      </c>
      <c r="AI48">
        <f>IF(Setup!$B$9="",0,IF(H48="",0,IF(ISNUMBER(H48),H48,1)))</f>
        <v/>
      </c>
      <c r="AJ48">
        <f>IF(Setup!$B$10="",0,IF(I48="",0,IF(ISNUMBER(I48),I48,1)))</f>
        <v/>
      </c>
      <c r="AK48">
        <f>IF(Setup!$B$11="",0,IF(J48="",0,IF(ISNUMBER(J48),J48,1)))</f>
        <v/>
      </c>
      <c r="AL48">
        <f>IF(Setup!$B$12="",0,IF(K48="",0,IF(ISNUMBER(K48),K48,1)))</f>
        <v/>
      </c>
      <c r="AM48">
        <f>IF(Setup!$B$13="",0,IF(L48="",0,IF(ISNUMBER(L48),L48,1)))</f>
        <v/>
      </c>
      <c r="AN48">
        <f>IF(Setup!$B$14="",0,IF(M48="",0,IF(ISNUMBER(M48),M48,1)))</f>
        <v/>
      </c>
      <c r="AO48">
        <f>IF(Setup!$B$15="",0,IF(N48="",0,IF(ISNUMBER(N48),N48,1)))</f>
        <v/>
      </c>
      <c r="AP48">
        <f>IF(Setup!$B$16="",0,IF(O48="",0,IF(ISNUMBER(O48),O48,1)))</f>
        <v/>
      </c>
      <c r="AQ48">
        <f>IF(Setup!$B$17="",0,IF(P48="",0,IF(ISNUMBER(P48),P48,1)))</f>
        <v/>
      </c>
      <c r="AR48">
        <f>IF(Setup!$B$18="",0,IF(Q48="",0,IF(ISNUMBER(Q48),Q48,1)))</f>
        <v/>
      </c>
      <c r="AS48">
        <f>IF(Setup!$B$19="",0,IF(R48="",0,IF(ISNUMBER(R48),R48,1)))</f>
        <v/>
      </c>
      <c r="AT48">
        <f>IF(Setup!$B$20="",0,IF(S48="",0,IF(ISNUMBER(S48),S48,1)))</f>
        <v/>
      </c>
    </row>
    <row r="49">
      <c r="A49" s="1" t="n"/>
      <c r="B49" s="24" t="n"/>
      <c r="C49" s="25" t="n"/>
      <c r="D49" s="25" t="n"/>
      <c r="E49" s="26" t="n"/>
      <c r="F49" s="27" t="n"/>
      <c r="G49" s="17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9">
        <f>IF(N(E49)=0,"",E49*IF(F49="",1,IFERROR(INDEX(Setup!$E$9:$E$18,MATCH(F49,Setup!$D$9:$D$18,0)),0)))</f>
        <v/>
      </c>
      <c r="U49" s="30">
        <f>IF(T49="","",IF(V49=0,"Everyone",IF(COUNTIF(AI49:AT49,"&gt;0")=COUNTIF(Setup!$B$9:$B$20,"?*"),"Everyone",COUNTIF(AI49:AT49,"&gt;0")&amp;IF(COUNTIF(AI49:AT49,"&gt;0")=1," person"," people"))))</f>
        <v/>
      </c>
      <c r="V49" s="1">
        <f>SUM(AI49:AT49)</f>
        <v/>
      </c>
      <c r="W49">
        <f>IF(OR(T49="",Setup!$B$9=""),0,IF(V49=0,T49/COUNTIF(Setup!$B$9:$B$20,"?*"),T49*AI49/V49))</f>
        <v/>
      </c>
      <c r="X49">
        <f>IF(OR(T49="",Setup!$B$10=""),0,IF(V49=0,T49/COUNTIF(Setup!$B$9:$B$20,"?*"),T49*AJ49/V49))</f>
        <v/>
      </c>
      <c r="Y49">
        <f>IF(OR(T49="",Setup!$B$11=""),0,IF(V49=0,T49/COUNTIF(Setup!$B$9:$B$20,"?*"),T49*AK49/V49))</f>
        <v/>
      </c>
      <c r="Z49">
        <f>IF(OR(T49="",Setup!$B$12=""),0,IF(V49=0,T49/COUNTIF(Setup!$B$9:$B$20,"?*"),T49*AL49/V49))</f>
        <v/>
      </c>
      <c r="AA49">
        <f>IF(OR(T49="",Setup!$B$13=""),0,IF(V49=0,T49/COUNTIF(Setup!$B$9:$B$20,"?*"),T49*AM49/V49))</f>
        <v/>
      </c>
      <c r="AB49">
        <f>IF(OR(T49="",Setup!$B$14=""),0,IF(V49=0,T49/COUNTIF(Setup!$B$9:$B$20,"?*"),T49*AN49/V49))</f>
        <v/>
      </c>
      <c r="AC49">
        <f>IF(OR(T49="",Setup!$B$15=""),0,IF(V49=0,T49/COUNTIF(Setup!$B$9:$B$20,"?*"),T49*AO49/V49))</f>
        <v/>
      </c>
      <c r="AD49">
        <f>IF(OR(T49="",Setup!$B$16=""),0,IF(V49=0,T49/COUNTIF(Setup!$B$9:$B$20,"?*"),T49*AP49/V49))</f>
        <v/>
      </c>
      <c r="AE49">
        <f>IF(OR(T49="",Setup!$B$17=""),0,IF(V49=0,T49/COUNTIF(Setup!$B$9:$B$20,"?*"),T49*AQ49/V49))</f>
        <v/>
      </c>
      <c r="AF49">
        <f>IF(OR(T49="",Setup!$B$18=""),0,IF(V49=0,T49/COUNTIF(Setup!$B$9:$B$20,"?*"),T49*AR49/V49))</f>
        <v/>
      </c>
      <c r="AG49">
        <f>IF(OR(T49="",Setup!$B$19=""),0,IF(V49=0,T49/COUNTIF(Setup!$B$9:$B$20,"?*"),T49*AS49/V49))</f>
        <v/>
      </c>
      <c r="AH49">
        <f>IF(OR(T49="",Setup!$B$20=""),0,IF(V49=0,T49/COUNTIF(Setup!$B$9:$B$20,"?*"),T49*AT49/V49))</f>
        <v/>
      </c>
      <c r="AI49">
        <f>IF(Setup!$B$9="",0,IF(H49="",0,IF(ISNUMBER(H49),H49,1)))</f>
        <v/>
      </c>
      <c r="AJ49">
        <f>IF(Setup!$B$10="",0,IF(I49="",0,IF(ISNUMBER(I49),I49,1)))</f>
        <v/>
      </c>
      <c r="AK49">
        <f>IF(Setup!$B$11="",0,IF(J49="",0,IF(ISNUMBER(J49),J49,1)))</f>
        <v/>
      </c>
      <c r="AL49">
        <f>IF(Setup!$B$12="",0,IF(K49="",0,IF(ISNUMBER(K49),K49,1)))</f>
        <v/>
      </c>
      <c r="AM49">
        <f>IF(Setup!$B$13="",0,IF(L49="",0,IF(ISNUMBER(L49),L49,1)))</f>
        <v/>
      </c>
      <c r="AN49">
        <f>IF(Setup!$B$14="",0,IF(M49="",0,IF(ISNUMBER(M49),M49,1)))</f>
        <v/>
      </c>
      <c r="AO49">
        <f>IF(Setup!$B$15="",0,IF(N49="",0,IF(ISNUMBER(N49),N49,1)))</f>
        <v/>
      </c>
      <c r="AP49">
        <f>IF(Setup!$B$16="",0,IF(O49="",0,IF(ISNUMBER(O49),O49,1)))</f>
        <v/>
      </c>
      <c r="AQ49">
        <f>IF(Setup!$B$17="",0,IF(P49="",0,IF(ISNUMBER(P49),P49,1)))</f>
        <v/>
      </c>
      <c r="AR49">
        <f>IF(Setup!$B$18="",0,IF(Q49="",0,IF(ISNUMBER(Q49),Q49,1)))</f>
        <v/>
      </c>
      <c r="AS49">
        <f>IF(Setup!$B$19="",0,IF(R49="",0,IF(ISNUMBER(R49),R49,1)))</f>
        <v/>
      </c>
      <c r="AT49">
        <f>IF(Setup!$B$20="",0,IF(S49="",0,IF(ISNUMBER(S49),S49,1)))</f>
        <v/>
      </c>
    </row>
    <row r="50">
      <c r="A50" s="1" t="n"/>
      <c r="B50" s="24" t="n"/>
      <c r="C50" s="25" t="n"/>
      <c r="D50" s="25" t="n"/>
      <c r="E50" s="26" t="n"/>
      <c r="F50" s="27" t="n"/>
      <c r="G50" s="17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9">
        <f>IF(N(E50)=0,"",E50*IF(F50="",1,IFERROR(INDEX(Setup!$E$9:$E$18,MATCH(F50,Setup!$D$9:$D$18,0)),0)))</f>
        <v/>
      </c>
      <c r="U50" s="30">
        <f>IF(T50="","",IF(V50=0,"Everyone",IF(COUNTIF(AI50:AT50,"&gt;0")=COUNTIF(Setup!$B$9:$B$20,"?*"),"Everyone",COUNTIF(AI50:AT50,"&gt;0")&amp;IF(COUNTIF(AI50:AT50,"&gt;0")=1," person"," people"))))</f>
        <v/>
      </c>
      <c r="V50" s="1">
        <f>SUM(AI50:AT50)</f>
        <v/>
      </c>
      <c r="W50">
        <f>IF(OR(T50="",Setup!$B$9=""),0,IF(V50=0,T50/COUNTIF(Setup!$B$9:$B$20,"?*"),T50*AI50/V50))</f>
        <v/>
      </c>
      <c r="X50">
        <f>IF(OR(T50="",Setup!$B$10=""),0,IF(V50=0,T50/COUNTIF(Setup!$B$9:$B$20,"?*"),T50*AJ50/V50))</f>
        <v/>
      </c>
      <c r="Y50">
        <f>IF(OR(T50="",Setup!$B$11=""),0,IF(V50=0,T50/COUNTIF(Setup!$B$9:$B$20,"?*"),T50*AK50/V50))</f>
        <v/>
      </c>
      <c r="Z50">
        <f>IF(OR(T50="",Setup!$B$12=""),0,IF(V50=0,T50/COUNTIF(Setup!$B$9:$B$20,"?*"),T50*AL50/V50))</f>
        <v/>
      </c>
      <c r="AA50">
        <f>IF(OR(T50="",Setup!$B$13=""),0,IF(V50=0,T50/COUNTIF(Setup!$B$9:$B$20,"?*"),T50*AM50/V50))</f>
        <v/>
      </c>
      <c r="AB50">
        <f>IF(OR(T50="",Setup!$B$14=""),0,IF(V50=0,T50/COUNTIF(Setup!$B$9:$B$20,"?*"),T50*AN50/V50))</f>
        <v/>
      </c>
      <c r="AC50">
        <f>IF(OR(T50="",Setup!$B$15=""),0,IF(V50=0,T50/COUNTIF(Setup!$B$9:$B$20,"?*"),T50*AO50/V50))</f>
        <v/>
      </c>
      <c r="AD50">
        <f>IF(OR(T50="",Setup!$B$16=""),0,IF(V50=0,T50/COUNTIF(Setup!$B$9:$B$20,"?*"),T50*AP50/V50))</f>
        <v/>
      </c>
      <c r="AE50">
        <f>IF(OR(T50="",Setup!$B$17=""),0,IF(V50=0,T50/COUNTIF(Setup!$B$9:$B$20,"?*"),T50*AQ50/V50))</f>
        <v/>
      </c>
      <c r="AF50">
        <f>IF(OR(T50="",Setup!$B$18=""),0,IF(V50=0,T50/COUNTIF(Setup!$B$9:$B$20,"?*"),T50*AR50/V50))</f>
        <v/>
      </c>
      <c r="AG50">
        <f>IF(OR(T50="",Setup!$B$19=""),0,IF(V50=0,T50/COUNTIF(Setup!$B$9:$B$20,"?*"),T50*AS50/V50))</f>
        <v/>
      </c>
      <c r="AH50">
        <f>IF(OR(T50="",Setup!$B$20=""),0,IF(V50=0,T50/COUNTIF(Setup!$B$9:$B$20,"?*"),T50*AT50/V50))</f>
        <v/>
      </c>
      <c r="AI50">
        <f>IF(Setup!$B$9="",0,IF(H50="",0,IF(ISNUMBER(H50),H50,1)))</f>
        <v/>
      </c>
      <c r="AJ50">
        <f>IF(Setup!$B$10="",0,IF(I50="",0,IF(ISNUMBER(I50),I50,1)))</f>
        <v/>
      </c>
      <c r="AK50">
        <f>IF(Setup!$B$11="",0,IF(J50="",0,IF(ISNUMBER(J50),J50,1)))</f>
        <v/>
      </c>
      <c r="AL50">
        <f>IF(Setup!$B$12="",0,IF(K50="",0,IF(ISNUMBER(K50),K50,1)))</f>
        <v/>
      </c>
      <c r="AM50">
        <f>IF(Setup!$B$13="",0,IF(L50="",0,IF(ISNUMBER(L50),L50,1)))</f>
        <v/>
      </c>
      <c r="AN50">
        <f>IF(Setup!$B$14="",0,IF(M50="",0,IF(ISNUMBER(M50),M50,1)))</f>
        <v/>
      </c>
      <c r="AO50">
        <f>IF(Setup!$B$15="",0,IF(N50="",0,IF(ISNUMBER(N50),N50,1)))</f>
        <v/>
      </c>
      <c r="AP50">
        <f>IF(Setup!$B$16="",0,IF(O50="",0,IF(ISNUMBER(O50),O50,1)))</f>
        <v/>
      </c>
      <c r="AQ50">
        <f>IF(Setup!$B$17="",0,IF(P50="",0,IF(ISNUMBER(P50),P50,1)))</f>
        <v/>
      </c>
      <c r="AR50">
        <f>IF(Setup!$B$18="",0,IF(Q50="",0,IF(ISNUMBER(Q50),Q50,1)))</f>
        <v/>
      </c>
      <c r="AS50">
        <f>IF(Setup!$B$19="",0,IF(R50="",0,IF(ISNUMBER(R50),R50,1)))</f>
        <v/>
      </c>
      <c r="AT50">
        <f>IF(Setup!$B$20="",0,IF(S50="",0,IF(ISNUMBER(S50),S50,1)))</f>
        <v/>
      </c>
    </row>
    <row r="51">
      <c r="A51" s="1" t="n"/>
      <c r="B51" s="24" t="n"/>
      <c r="C51" s="25" t="n"/>
      <c r="D51" s="25" t="n"/>
      <c r="E51" s="26" t="n"/>
      <c r="F51" s="27" t="n"/>
      <c r="G51" s="17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9">
        <f>IF(N(E51)=0,"",E51*IF(F51="",1,IFERROR(INDEX(Setup!$E$9:$E$18,MATCH(F51,Setup!$D$9:$D$18,0)),0)))</f>
        <v/>
      </c>
      <c r="U51" s="30">
        <f>IF(T51="","",IF(V51=0,"Everyone",IF(COUNTIF(AI51:AT51,"&gt;0")=COUNTIF(Setup!$B$9:$B$20,"?*"),"Everyone",COUNTIF(AI51:AT51,"&gt;0")&amp;IF(COUNTIF(AI51:AT51,"&gt;0")=1," person"," people"))))</f>
        <v/>
      </c>
      <c r="V51" s="1">
        <f>SUM(AI51:AT51)</f>
        <v/>
      </c>
      <c r="W51">
        <f>IF(OR(T51="",Setup!$B$9=""),0,IF(V51=0,T51/COUNTIF(Setup!$B$9:$B$20,"?*"),T51*AI51/V51))</f>
        <v/>
      </c>
      <c r="X51">
        <f>IF(OR(T51="",Setup!$B$10=""),0,IF(V51=0,T51/COUNTIF(Setup!$B$9:$B$20,"?*"),T51*AJ51/V51))</f>
        <v/>
      </c>
      <c r="Y51">
        <f>IF(OR(T51="",Setup!$B$11=""),0,IF(V51=0,T51/COUNTIF(Setup!$B$9:$B$20,"?*"),T51*AK51/V51))</f>
        <v/>
      </c>
      <c r="Z51">
        <f>IF(OR(T51="",Setup!$B$12=""),0,IF(V51=0,T51/COUNTIF(Setup!$B$9:$B$20,"?*"),T51*AL51/V51))</f>
        <v/>
      </c>
      <c r="AA51">
        <f>IF(OR(T51="",Setup!$B$13=""),0,IF(V51=0,T51/COUNTIF(Setup!$B$9:$B$20,"?*"),T51*AM51/V51))</f>
        <v/>
      </c>
      <c r="AB51">
        <f>IF(OR(T51="",Setup!$B$14=""),0,IF(V51=0,T51/COUNTIF(Setup!$B$9:$B$20,"?*"),T51*AN51/V51))</f>
        <v/>
      </c>
      <c r="AC51">
        <f>IF(OR(T51="",Setup!$B$15=""),0,IF(V51=0,T51/COUNTIF(Setup!$B$9:$B$20,"?*"),T51*AO51/V51))</f>
        <v/>
      </c>
      <c r="AD51">
        <f>IF(OR(T51="",Setup!$B$16=""),0,IF(V51=0,T51/COUNTIF(Setup!$B$9:$B$20,"?*"),T51*AP51/V51))</f>
        <v/>
      </c>
      <c r="AE51">
        <f>IF(OR(T51="",Setup!$B$17=""),0,IF(V51=0,T51/COUNTIF(Setup!$B$9:$B$20,"?*"),T51*AQ51/V51))</f>
        <v/>
      </c>
      <c r="AF51">
        <f>IF(OR(T51="",Setup!$B$18=""),0,IF(V51=0,T51/COUNTIF(Setup!$B$9:$B$20,"?*"),T51*AR51/V51))</f>
        <v/>
      </c>
      <c r="AG51">
        <f>IF(OR(T51="",Setup!$B$19=""),0,IF(V51=0,T51/COUNTIF(Setup!$B$9:$B$20,"?*"),T51*AS51/V51))</f>
        <v/>
      </c>
      <c r="AH51">
        <f>IF(OR(T51="",Setup!$B$20=""),0,IF(V51=0,T51/COUNTIF(Setup!$B$9:$B$20,"?*"),T51*AT51/V51))</f>
        <v/>
      </c>
      <c r="AI51">
        <f>IF(Setup!$B$9="",0,IF(H51="",0,IF(ISNUMBER(H51),H51,1)))</f>
        <v/>
      </c>
      <c r="AJ51">
        <f>IF(Setup!$B$10="",0,IF(I51="",0,IF(ISNUMBER(I51),I51,1)))</f>
        <v/>
      </c>
      <c r="AK51">
        <f>IF(Setup!$B$11="",0,IF(J51="",0,IF(ISNUMBER(J51),J51,1)))</f>
        <v/>
      </c>
      <c r="AL51">
        <f>IF(Setup!$B$12="",0,IF(K51="",0,IF(ISNUMBER(K51),K51,1)))</f>
        <v/>
      </c>
      <c r="AM51">
        <f>IF(Setup!$B$13="",0,IF(L51="",0,IF(ISNUMBER(L51),L51,1)))</f>
        <v/>
      </c>
      <c r="AN51">
        <f>IF(Setup!$B$14="",0,IF(M51="",0,IF(ISNUMBER(M51),M51,1)))</f>
        <v/>
      </c>
      <c r="AO51">
        <f>IF(Setup!$B$15="",0,IF(N51="",0,IF(ISNUMBER(N51),N51,1)))</f>
        <v/>
      </c>
      <c r="AP51">
        <f>IF(Setup!$B$16="",0,IF(O51="",0,IF(ISNUMBER(O51),O51,1)))</f>
        <v/>
      </c>
      <c r="AQ51">
        <f>IF(Setup!$B$17="",0,IF(P51="",0,IF(ISNUMBER(P51),P51,1)))</f>
        <v/>
      </c>
      <c r="AR51">
        <f>IF(Setup!$B$18="",0,IF(Q51="",0,IF(ISNUMBER(Q51),Q51,1)))</f>
        <v/>
      </c>
      <c r="AS51">
        <f>IF(Setup!$B$19="",0,IF(R51="",0,IF(ISNUMBER(R51),R51,1)))</f>
        <v/>
      </c>
      <c r="AT51">
        <f>IF(Setup!$B$20="",0,IF(S51="",0,IF(ISNUMBER(S51),S51,1)))</f>
        <v/>
      </c>
    </row>
    <row r="52">
      <c r="A52" s="1" t="n"/>
      <c r="B52" s="24" t="n"/>
      <c r="C52" s="25" t="n"/>
      <c r="D52" s="25" t="n"/>
      <c r="E52" s="26" t="n"/>
      <c r="F52" s="27" t="n"/>
      <c r="G52" s="17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9">
        <f>IF(N(E52)=0,"",E52*IF(F52="",1,IFERROR(INDEX(Setup!$E$9:$E$18,MATCH(F52,Setup!$D$9:$D$18,0)),0)))</f>
        <v/>
      </c>
      <c r="U52" s="30">
        <f>IF(T52="","",IF(V52=0,"Everyone",IF(COUNTIF(AI52:AT52,"&gt;0")=COUNTIF(Setup!$B$9:$B$20,"?*"),"Everyone",COUNTIF(AI52:AT52,"&gt;0")&amp;IF(COUNTIF(AI52:AT52,"&gt;0")=1," person"," people"))))</f>
        <v/>
      </c>
      <c r="V52" s="1">
        <f>SUM(AI52:AT52)</f>
        <v/>
      </c>
      <c r="W52">
        <f>IF(OR(T52="",Setup!$B$9=""),0,IF(V52=0,T52/COUNTIF(Setup!$B$9:$B$20,"?*"),T52*AI52/V52))</f>
        <v/>
      </c>
      <c r="X52">
        <f>IF(OR(T52="",Setup!$B$10=""),0,IF(V52=0,T52/COUNTIF(Setup!$B$9:$B$20,"?*"),T52*AJ52/V52))</f>
        <v/>
      </c>
      <c r="Y52">
        <f>IF(OR(T52="",Setup!$B$11=""),0,IF(V52=0,T52/COUNTIF(Setup!$B$9:$B$20,"?*"),T52*AK52/V52))</f>
        <v/>
      </c>
      <c r="Z52">
        <f>IF(OR(T52="",Setup!$B$12=""),0,IF(V52=0,T52/COUNTIF(Setup!$B$9:$B$20,"?*"),T52*AL52/V52))</f>
        <v/>
      </c>
      <c r="AA52">
        <f>IF(OR(T52="",Setup!$B$13=""),0,IF(V52=0,T52/COUNTIF(Setup!$B$9:$B$20,"?*"),T52*AM52/V52))</f>
        <v/>
      </c>
      <c r="AB52">
        <f>IF(OR(T52="",Setup!$B$14=""),0,IF(V52=0,T52/COUNTIF(Setup!$B$9:$B$20,"?*"),T52*AN52/V52))</f>
        <v/>
      </c>
      <c r="AC52">
        <f>IF(OR(T52="",Setup!$B$15=""),0,IF(V52=0,T52/COUNTIF(Setup!$B$9:$B$20,"?*"),T52*AO52/V52))</f>
        <v/>
      </c>
      <c r="AD52">
        <f>IF(OR(T52="",Setup!$B$16=""),0,IF(V52=0,T52/COUNTIF(Setup!$B$9:$B$20,"?*"),T52*AP52/V52))</f>
        <v/>
      </c>
      <c r="AE52">
        <f>IF(OR(T52="",Setup!$B$17=""),0,IF(V52=0,T52/COUNTIF(Setup!$B$9:$B$20,"?*"),T52*AQ52/V52))</f>
        <v/>
      </c>
      <c r="AF52">
        <f>IF(OR(T52="",Setup!$B$18=""),0,IF(V52=0,T52/COUNTIF(Setup!$B$9:$B$20,"?*"),T52*AR52/V52))</f>
        <v/>
      </c>
      <c r="AG52">
        <f>IF(OR(T52="",Setup!$B$19=""),0,IF(V52=0,T52/COUNTIF(Setup!$B$9:$B$20,"?*"),T52*AS52/V52))</f>
        <v/>
      </c>
      <c r="AH52">
        <f>IF(OR(T52="",Setup!$B$20=""),0,IF(V52=0,T52/COUNTIF(Setup!$B$9:$B$20,"?*"),T52*AT52/V52))</f>
        <v/>
      </c>
      <c r="AI52">
        <f>IF(Setup!$B$9="",0,IF(H52="",0,IF(ISNUMBER(H52),H52,1)))</f>
        <v/>
      </c>
      <c r="AJ52">
        <f>IF(Setup!$B$10="",0,IF(I52="",0,IF(ISNUMBER(I52),I52,1)))</f>
        <v/>
      </c>
      <c r="AK52">
        <f>IF(Setup!$B$11="",0,IF(J52="",0,IF(ISNUMBER(J52),J52,1)))</f>
        <v/>
      </c>
      <c r="AL52">
        <f>IF(Setup!$B$12="",0,IF(K52="",0,IF(ISNUMBER(K52),K52,1)))</f>
        <v/>
      </c>
      <c r="AM52">
        <f>IF(Setup!$B$13="",0,IF(L52="",0,IF(ISNUMBER(L52),L52,1)))</f>
        <v/>
      </c>
      <c r="AN52">
        <f>IF(Setup!$B$14="",0,IF(M52="",0,IF(ISNUMBER(M52),M52,1)))</f>
        <v/>
      </c>
      <c r="AO52">
        <f>IF(Setup!$B$15="",0,IF(N52="",0,IF(ISNUMBER(N52),N52,1)))</f>
        <v/>
      </c>
      <c r="AP52">
        <f>IF(Setup!$B$16="",0,IF(O52="",0,IF(ISNUMBER(O52),O52,1)))</f>
        <v/>
      </c>
      <c r="AQ52">
        <f>IF(Setup!$B$17="",0,IF(P52="",0,IF(ISNUMBER(P52),P52,1)))</f>
        <v/>
      </c>
      <c r="AR52">
        <f>IF(Setup!$B$18="",0,IF(Q52="",0,IF(ISNUMBER(Q52),Q52,1)))</f>
        <v/>
      </c>
      <c r="AS52">
        <f>IF(Setup!$B$19="",0,IF(R52="",0,IF(ISNUMBER(R52),R52,1)))</f>
        <v/>
      </c>
      <c r="AT52">
        <f>IF(Setup!$B$20="",0,IF(S52="",0,IF(ISNUMBER(S52),S52,1)))</f>
        <v/>
      </c>
    </row>
    <row r="53">
      <c r="A53" s="1" t="n"/>
      <c r="B53" s="24" t="n"/>
      <c r="C53" s="25" t="n"/>
      <c r="D53" s="25" t="n"/>
      <c r="E53" s="26" t="n"/>
      <c r="F53" s="27" t="n"/>
      <c r="G53" s="17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9">
        <f>IF(N(E53)=0,"",E53*IF(F53="",1,IFERROR(INDEX(Setup!$E$9:$E$18,MATCH(F53,Setup!$D$9:$D$18,0)),0)))</f>
        <v/>
      </c>
      <c r="U53" s="30">
        <f>IF(T53="","",IF(V53=0,"Everyone",IF(COUNTIF(AI53:AT53,"&gt;0")=COUNTIF(Setup!$B$9:$B$20,"?*"),"Everyone",COUNTIF(AI53:AT53,"&gt;0")&amp;IF(COUNTIF(AI53:AT53,"&gt;0")=1," person"," people"))))</f>
        <v/>
      </c>
      <c r="V53" s="1">
        <f>SUM(AI53:AT53)</f>
        <v/>
      </c>
      <c r="W53">
        <f>IF(OR(T53="",Setup!$B$9=""),0,IF(V53=0,T53/COUNTIF(Setup!$B$9:$B$20,"?*"),T53*AI53/V53))</f>
        <v/>
      </c>
      <c r="X53">
        <f>IF(OR(T53="",Setup!$B$10=""),0,IF(V53=0,T53/COUNTIF(Setup!$B$9:$B$20,"?*"),T53*AJ53/V53))</f>
        <v/>
      </c>
      <c r="Y53">
        <f>IF(OR(T53="",Setup!$B$11=""),0,IF(V53=0,T53/COUNTIF(Setup!$B$9:$B$20,"?*"),T53*AK53/V53))</f>
        <v/>
      </c>
      <c r="Z53">
        <f>IF(OR(T53="",Setup!$B$12=""),0,IF(V53=0,T53/COUNTIF(Setup!$B$9:$B$20,"?*"),T53*AL53/V53))</f>
        <v/>
      </c>
      <c r="AA53">
        <f>IF(OR(T53="",Setup!$B$13=""),0,IF(V53=0,T53/COUNTIF(Setup!$B$9:$B$20,"?*"),T53*AM53/V53))</f>
        <v/>
      </c>
      <c r="AB53">
        <f>IF(OR(T53="",Setup!$B$14=""),0,IF(V53=0,T53/COUNTIF(Setup!$B$9:$B$20,"?*"),T53*AN53/V53))</f>
        <v/>
      </c>
      <c r="AC53">
        <f>IF(OR(T53="",Setup!$B$15=""),0,IF(V53=0,T53/COUNTIF(Setup!$B$9:$B$20,"?*"),T53*AO53/V53))</f>
        <v/>
      </c>
      <c r="AD53">
        <f>IF(OR(T53="",Setup!$B$16=""),0,IF(V53=0,T53/COUNTIF(Setup!$B$9:$B$20,"?*"),T53*AP53/V53))</f>
        <v/>
      </c>
      <c r="AE53">
        <f>IF(OR(T53="",Setup!$B$17=""),0,IF(V53=0,T53/COUNTIF(Setup!$B$9:$B$20,"?*"),T53*AQ53/V53))</f>
        <v/>
      </c>
      <c r="AF53">
        <f>IF(OR(T53="",Setup!$B$18=""),0,IF(V53=0,T53/COUNTIF(Setup!$B$9:$B$20,"?*"),T53*AR53/V53))</f>
        <v/>
      </c>
      <c r="AG53">
        <f>IF(OR(T53="",Setup!$B$19=""),0,IF(V53=0,T53/COUNTIF(Setup!$B$9:$B$20,"?*"),T53*AS53/V53))</f>
        <v/>
      </c>
      <c r="AH53">
        <f>IF(OR(T53="",Setup!$B$20=""),0,IF(V53=0,T53/COUNTIF(Setup!$B$9:$B$20,"?*"),T53*AT53/V53))</f>
        <v/>
      </c>
      <c r="AI53">
        <f>IF(Setup!$B$9="",0,IF(H53="",0,IF(ISNUMBER(H53),H53,1)))</f>
        <v/>
      </c>
      <c r="AJ53">
        <f>IF(Setup!$B$10="",0,IF(I53="",0,IF(ISNUMBER(I53),I53,1)))</f>
        <v/>
      </c>
      <c r="AK53">
        <f>IF(Setup!$B$11="",0,IF(J53="",0,IF(ISNUMBER(J53),J53,1)))</f>
        <v/>
      </c>
      <c r="AL53">
        <f>IF(Setup!$B$12="",0,IF(K53="",0,IF(ISNUMBER(K53),K53,1)))</f>
        <v/>
      </c>
      <c r="AM53">
        <f>IF(Setup!$B$13="",0,IF(L53="",0,IF(ISNUMBER(L53),L53,1)))</f>
        <v/>
      </c>
      <c r="AN53">
        <f>IF(Setup!$B$14="",0,IF(M53="",0,IF(ISNUMBER(M53),M53,1)))</f>
        <v/>
      </c>
      <c r="AO53">
        <f>IF(Setup!$B$15="",0,IF(N53="",0,IF(ISNUMBER(N53),N53,1)))</f>
        <v/>
      </c>
      <c r="AP53">
        <f>IF(Setup!$B$16="",0,IF(O53="",0,IF(ISNUMBER(O53),O53,1)))</f>
        <v/>
      </c>
      <c r="AQ53">
        <f>IF(Setup!$B$17="",0,IF(P53="",0,IF(ISNUMBER(P53),P53,1)))</f>
        <v/>
      </c>
      <c r="AR53">
        <f>IF(Setup!$B$18="",0,IF(Q53="",0,IF(ISNUMBER(Q53),Q53,1)))</f>
        <v/>
      </c>
      <c r="AS53">
        <f>IF(Setup!$B$19="",0,IF(R53="",0,IF(ISNUMBER(R53),R53,1)))</f>
        <v/>
      </c>
      <c r="AT53">
        <f>IF(Setup!$B$20="",0,IF(S53="",0,IF(ISNUMBER(S53),S53,1)))</f>
        <v/>
      </c>
    </row>
    <row r="54">
      <c r="A54" s="1" t="n"/>
      <c r="B54" s="24" t="n"/>
      <c r="C54" s="25" t="n"/>
      <c r="D54" s="25" t="n"/>
      <c r="E54" s="26" t="n"/>
      <c r="F54" s="27" t="n"/>
      <c r="G54" s="17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9">
        <f>IF(N(E54)=0,"",E54*IF(F54="",1,IFERROR(INDEX(Setup!$E$9:$E$18,MATCH(F54,Setup!$D$9:$D$18,0)),0)))</f>
        <v/>
      </c>
      <c r="U54" s="30">
        <f>IF(T54="","",IF(V54=0,"Everyone",IF(COUNTIF(AI54:AT54,"&gt;0")=COUNTIF(Setup!$B$9:$B$20,"?*"),"Everyone",COUNTIF(AI54:AT54,"&gt;0")&amp;IF(COUNTIF(AI54:AT54,"&gt;0")=1," person"," people"))))</f>
        <v/>
      </c>
      <c r="V54" s="1">
        <f>SUM(AI54:AT54)</f>
        <v/>
      </c>
      <c r="W54">
        <f>IF(OR(T54="",Setup!$B$9=""),0,IF(V54=0,T54/COUNTIF(Setup!$B$9:$B$20,"?*"),T54*AI54/V54))</f>
        <v/>
      </c>
      <c r="X54">
        <f>IF(OR(T54="",Setup!$B$10=""),0,IF(V54=0,T54/COUNTIF(Setup!$B$9:$B$20,"?*"),T54*AJ54/V54))</f>
        <v/>
      </c>
      <c r="Y54">
        <f>IF(OR(T54="",Setup!$B$11=""),0,IF(V54=0,T54/COUNTIF(Setup!$B$9:$B$20,"?*"),T54*AK54/V54))</f>
        <v/>
      </c>
      <c r="Z54">
        <f>IF(OR(T54="",Setup!$B$12=""),0,IF(V54=0,T54/COUNTIF(Setup!$B$9:$B$20,"?*"),T54*AL54/V54))</f>
        <v/>
      </c>
      <c r="AA54">
        <f>IF(OR(T54="",Setup!$B$13=""),0,IF(V54=0,T54/COUNTIF(Setup!$B$9:$B$20,"?*"),T54*AM54/V54))</f>
        <v/>
      </c>
      <c r="AB54">
        <f>IF(OR(T54="",Setup!$B$14=""),0,IF(V54=0,T54/COUNTIF(Setup!$B$9:$B$20,"?*"),T54*AN54/V54))</f>
        <v/>
      </c>
      <c r="AC54">
        <f>IF(OR(T54="",Setup!$B$15=""),0,IF(V54=0,T54/COUNTIF(Setup!$B$9:$B$20,"?*"),T54*AO54/V54))</f>
        <v/>
      </c>
      <c r="AD54">
        <f>IF(OR(T54="",Setup!$B$16=""),0,IF(V54=0,T54/COUNTIF(Setup!$B$9:$B$20,"?*"),T54*AP54/V54))</f>
        <v/>
      </c>
      <c r="AE54">
        <f>IF(OR(T54="",Setup!$B$17=""),0,IF(V54=0,T54/COUNTIF(Setup!$B$9:$B$20,"?*"),T54*AQ54/V54))</f>
        <v/>
      </c>
      <c r="AF54">
        <f>IF(OR(T54="",Setup!$B$18=""),0,IF(V54=0,T54/COUNTIF(Setup!$B$9:$B$20,"?*"),T54*AR54/V54))</f>
        <v/>
      </c>
      <c r="AG54">
        <f>IF(OR(T54="",Setup!$B$19=""),0,IF(V54=0,T54/COUNTIF(Setup!$B$9:$B$20,"?*"),T54*AS54/V54))</f>
        <v/>
      </c>
      <c r="AH54">
        <f>IF(OR(T54="",Setup!$B$20=""),0,IF(V54=0,T54/COUNTIF(Setup!$B$9:$B$20,"?*"),T54*AT54/V54))</f>
        <v/>
      </c>
      <c r="AI54">
        <f>IF(Setup!$B$9="",0,IF(H54="",0,IF(ISNUMBER(H54),H54,1)))</f>
        <v/>
      </c>
      <c r="AJ54">
        <f>IF(Setup!$B$10="",0,IF(I54="",0,IF(ISNUMBER(I54),I54,1)))</f>
        <v/>
      </c>
      <c r="AK54">
        <f>IF(Setup!$B$11="",0,IF(J54="",0,IF(ISNUMBER(J54),J54,1)))</f>
        <v/>
      </c>
      <c r="AL54">
        <f>IF(Setup!$B$12="",0,IF(K54="",0,IF(ISNUMBER(K54),K54,1)))</f>
        <v/>
      </c>
      <c r="AM54">
        <f>IF(Setup!$B$13="",0,IF(L54="",0,IF(ISNUMBER(L54),L54,1)))</f>
        <v/>
      </c>
      <c r="AN54">
        <f>IF(Setup!$B$14="",0,IF(M54="",0,IF(ISNUMBER(M54),M54,1)))</f>
        <v/>
      </c>
      <c r="AO54">
        <f>IF(Setup!$B$15="",0,IF(N54="",0,IF(ISNUMBER(N54),N54,1)))</f>
        <v/>
      </c>
      <c r="AP54">
        <f>IF(Setup!$B$16="",0,IF(O54="",0,IF(ISNUMBER(O54),O54,1)))</f>
        <v/>
      </c>
      <c r="AQ54">
        <f>IF(Setup!$B$17="",0,IF(P54="",0,IF(ISNUMBER(P54),P54,1)))</f>
        <v/>
      </c>
      <c r="AR54">
        <f>IF(Setup!$B$18="",0,IF(Q54="",0,IF(ISNUMBER(Q54),Q54,1)))</f>
        <v/>
      </c>
      <c r="AS54">
        <f>IF(Setup!$B$19="",0,IF(R54="",0,IF(ISNUMBER(R54),R54,1)))</f>
        <v/>
      </c>
      <c r="AT54">
        <f>IF(Setup!$B$20="",0,IF(S54="",0,IF(ISNUMBER(S54),S54,1)))</f>
        <v/>
      </c>
    </row>
    <row r="55">
      <c r="A55" s="1" t="n"/>
      <c r="B55" s="24" t="n"/>
      <c r="C55" s="25" t="n"/>
      <c r="D55" s="25" t="n"/>
      <c r="E55" s="26" t="n"/>
      <c r="F55" s="27" t="n"/>
      <c r="G55" s="17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9">
        <f>IF(N(E55)=0,"",E55*IF(F55="",1,IFERROR(INDEX(Setup!$E$9:$E$18,MATCH(F55,Setup!$D$9:$D$18,0)),0)))</f>
        <v/>
      </c>
      <c r="U55" s="30">
        <f>IF(T55="","",IF(V55=0,"Everyone",IF(COUNTIF(AI55:AT55,"&gt;0")=COUNTIF(Setup!$B$9:$B$20,"?*"),"Everyone",COUNTIF(AI55:AT55,"&gt;0")&amp;IF(COUNTIF(AI55:AT55,"&gt;0")=1," person"," people"))))</f>
        <v/>
      </c>
      <c r="V55" s="1">
        <f>SUM(AI55:AT55)</f>
        <v/>
      </c>
      <c r="W55">
        <f>IF(OR(T55="",Setup!$B$9=""),0,IF(V55=0,T55/COUNTIF(Setup!$B$9:$B$20,"?*"),T55*AI55/V55))</f>
        <v/>
      </c>
      <c r="X55">
        <f>IF(OR(T55="",Setup!$B$10=""),0,IF(V55=0,T55/COUNTIF(Setup!$B$9:$B$20,"?*"),T55*AJ55/V55))</f>
        <v/>
      </c>
      <c r="Y55">
        <f>IF(OR(T55="",Setup!$B$11=""),0,IF(V55=0,T55/COUNTIF(Setup!$B$9:$B$20,"?*"),T55*AK55/V55))</f>
        <v/>
      </c>
      <c r="Z55">
        <f>IF(OR(T55="",Setup!$B$12=""),0,IF(V55=0,T55/COUNTIF(Setup!$B$9:$B$20,"?*"),T55*AL55/V55))</f>
        <v/>
      </c>
      <c r="AA55">
        <f>IF(OR(T55="",Setup!$B$13=""),0,IF(V55=0,T55/COUNTIF(Setup!$B$9:$B$20,"?*"),T55*AM55/V55))</f>
        <v/>
      </c>
      <c r="AB55">
        <f>IF(OR(T55="",Setup!$B$14=""),0,IF(V55=0,T55/COUNTIF(Setup!$B$9:$B$20,"?*"),T55*AN55/V55))</f>
        <v/>
      </c>
      <c r="AC55">
        <f>IF(OR(T55="",Setup!$B$15=""),0,IF(V55=0,T55/COUNTIF(Setup!$B$9:$B$20,"?*"),T55*AO55/V55))</f>
        <v/>
      </c>
      <c r="AD55">
        <f>IF(OR(T55="",Setup!$B$16=""),0,IF(V55=0,T55/COUNTIF(Setup!$B$9:$B$20,"?*"),T55*AP55/V55))</f>
        <v/>
      </c>
      <c r="AE55">
        <f>IF(OR(T55="",Setup!$B$17=""),0,IF(V55=0,T55/COUNTIF(Setup!$B$9:$B$20,"?*"),T55*AQ55/V55))</f>
        <v/>
      </c>
      <c r="AF55">
        <f>IF(OR(T55="",Setup!$B$18=""),0,IF(V55=0,T55/COUNTIF(Setup!$B$9:$B$20,"?*"),T55*AR55/V55))</f>
        <v/>
      </c>
      <c r="AG55">
        <f>IF(OR(T55="",Setup!$B$19=""),0,IF(V55=0,T55/COUNTIF(Setup!$B$9:$B$20,"?*"),T55*AS55/V55))</f>
        <v/>
      </c>
      <c r="AH55">
        <f>IF(OR(T55="",Setup!$B$20=""),0,IF(V55=0,T55/COUNTIF(Setup!$B$9:$B$20,"?*"),T55*AT55/V55))</f>
        <v/>
      </c>
      <c r="AI55">
        <f>IF(Setup!$B$9="",0,IF(H55="",0,IF(ISNUMBER(H55),H55,1)))</f>
        <v/>
      </c>
      <c r="AJ55">
        <f>IF(Setup!$B$10="",0,IF(I55="",0,IF(ISNUMBER(I55),I55,1)))</f>
        <v/>
      </c>
      <c r="AK55">
        <f>IF(Setup!$B$11="",0,IF(J55="",0,IF(ISNUMBER(J55),J55,1)))</f>
        <v/>
      </c>
      <c r="AL55">
        <f>IF(Setup!$B$12="",0,IF(K55="",0,IF(ISNUMBER(K55),K55,1)))</f>
        <v/>
      </c>
      <c r="AM55">
        <f>IF(Setup!$B$13="",0,IF(L55="",0,IF(ISNUMBER(L55),L55,1)))</f>
        <v/>
      </c>
      <c r="AN55">
        <f>IF(Setup!$B$14="",0,IF(M55="",0,IF(ISNUMBER(M55),M55,1)))</f>
        <v/>
      </c>
      <c r="AO55">
        <f>IF(Setup!$B$15="",0,IF(N55="",0,IF(ISNUMBER(N55),N55,1)))</f>
        <v/>
      </c>
      <c r="AP55">
        <f>IF(Setup!$B$16="",0,IF(O55="",0,IF(ISNUMBER(O55),O55,1)))</f>
        <v/>
      </c>
      <c r="AQ55">
        <f>IF(Setup!$B$17="",0,IF(P55="",0,IF(ISNUMBER(P55),P55,1)))</f>
        <v/>
      </c>
      <c r="AR55">
        <f>IF(Setup!$B$18="",0,IF(Q55="",0,IF(ISNUMBER(Q55),Q55,1)))</f>
        <v/>
      </c>
      <c r="AS55">
        <f>IF(Setup!$B$19="",0,IF(R55="",0,IF(ISNUMBER(R55),R55,1)))</f>
        <v/>
      </c>
      <c r="AT55">
        <f>IF(Setup!$B$20="",0,IF(S55="",0,IF(ISNUMBER(S55),S55,1)))</f>
        <v/>
      </c>
    </row>
    <row r="56">
      <c r="A56" s="1" t="n"/>
      <c r="B56" s="24" t="n"/>
      <c r="C56" s="25" t="n"/>
      <c r="D56" s="25" t="n"/>
      <c r="E56" s="26" t="n"/>
      <c r="F56" s="27" t="n"/>
      <c r="G56" s="17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9">
        <f>IF(N(E56)=0,"",E56*IF(F56="",1,IFERROR(INDEX(Setup!$E$9:$E$18,MATCH(F56,Setup!$D$9:$D$18,0)),0)))</f>
        <v/>
      </c>
      <c r="U56" s="30">
        <f>IF(T56="","",IF(V56=0,"Everyone",IF(COUNTIF(AI56:AT56,"&gt;0")=COUNTIF(Setup!$B$9:$B$20,"?*"),"Everyone",COUNTIF(AI56:AT56,"&gt;0")&amp;IF(COUNTIF(AI56:AT56,"&gt;0")=1," person"," people"))))</f>
        <v/>
      </c>
      <c r="V56" s="1">
        <f>SUM(AI56:AT56)</f>
        <v/>
      </c>
      <c r="W56">
        <f>IF(OR(T56="",Setup!$B$9=""),0,IF(V56=0,T56/COUNTIF(Setup!$B$9:$B$20,"?*"),T56*AI56/V56))</f>
        <v/>
      </c>
      <c r="X56">
        <f>IF(OR(T56="",Setup!$B$10=""),0,IF(V56=0,T56/COUNTIF(Setup!$B$9:$B$20,"?*"),T56*AJ56/V56))</f>
        <v/>
      </c>
      <c r="Y56">
        <f>IF(OR(T56="",Setup!$B$11=""),0,IF(V56=0,T56/COUNTIF(Setup!$B$9:$B$20,"?*"),T56*AK56/V56))</f>
        <v/>
      </c>
      <c r="Z56">
        <f>IF(OR(T56="",Setup!$B$12=""),0,IF(V56=0,T56/COUNTIF(Setup!$B$9:$B$20,"?*"),T56*AL56/V56))</f>
        <v/>
      </c>
      <c r="AA56">
        <f>IF(OR(T56="",Setup!$B$13=""),0,IF(V56=0,T56/COUNTIF(Setup!$B$9:$B$20,"?*"),T56*AM56/V56))</f>
        <v/>
      </c>
      <c r="AB56">
        <f>IF(OR(T56="",Setup!$B$14=""),0,IF(V56=0,T56/COUNTIF(Setup!$B$9:$B$20,"?*"),T56*AN56/V56))</f>
        <v/>
      </c>
      <c r="AC56">
        <f>IF(OR(T56="",Setup!$B$15=""),0,IF(V56=0,T56/COUNTIF(Setup!$B$9:$B$20,"?*"),T56*AO56/V56))</f>
        <v/>
      </c>
      <c r="AD56">
        <f>IF(OR(T56="",Setup!$B$16=""),0,IF(V56=0,T56/COUNTIF(Setup!$B$9:$B$20,"?*"),T56*AP56/V56))</f>
        <v/>
      </c>
      <c r="AE56">
        <f>IF(OR(T56="",Setup!$B$17=""),0,IF(V56=0,T56/COUNTIF(Setup!$B$9:$B$20,"?*"),T56*AQ56/V56))</f>
        <v/>
      </c>
      <c r="AF56">
        <f>IF(OR(T56="",Setup!$B$18=""),0,IF(V56=0,T56/COUNTIF(Setup!$B$9:$B$20,"?*"),T56*AR56/V56))</f>
        <v/>
      </c>
      <c r="AG56">
        <f>IF(OR(T56="",Setup!$B$19=""),0,IF(V56=0,T56/COUNTIF(Setup!$B$9:$B$20,"?*"),T56*AS56/V56))</f>
        <v/>
      </c>
      <c r="AH56">
        <f>IF(OR(T56="",Setup!$B$20=""),0,IF(V56=0,T56/COUNTIF(Setup!$B$9:$B$20,"?*"),T56*AT56/V56))</f>
        <v/>
      </c>
      <c r="AI56">
        <f>IF(Setup!$B$9="",0,IF(H56="",0,IF(ISNUMBER(H56),H56,1)))</f>
        <v/>
      </c>
      <c r="AJ56">
        <f>IF(Setup!$B$10="",0,IF(I56="",0,IF(ISNUMBER(I56),I56,1)))</f>
        <v/>
      </c>
      <c r="AK56">
        <f>IF(Setup!$B$11="",0,IF(J56="",0,IF(ISNUMBER(J56),J56,1)))</f>
        <v/>
      </c>
      <c r="AL56">
        <f>IF(Setup!$B$12="",0,IF(K56="",0,IF(ISNUMBER(K56),K56,1)))</f>
        <v/>
      </c>
      <c r="AM56">
        <f>IF(Setup!$B$13="",0,IF(L56="",0,IF(ISNUMBER(L56),L56,1)))</f>
        <v/>
      </c>
      <c r="AN56">
        <f>IF(Setup!$B$14="",0,IF(M56="",0,IF(ISNUMBER(M56),M56,1)))</f>
        <v/>
      </c>
      <c r="AO56">
        <f>IF(Setup!$B$15="",0,IF(N56="",0,IF(ISNUMBER(N56),N56,1)))</f>
        <v/>
      </c>
      <c r="AP56">
        <f>IF(Setup!$B$16="",0,IF(O56="",0,IF(ISNUMBER(O56),O56,1)))</f>
        <v/>
      </c>
      <c r="AQ56">
        <f>IF(Setup!$B$17="",0,IF(P56="",0,IF(ISNUMBER(P56),P56,1)))</f>
        <v/>
      </c>
      <c r="AR56">
        <f>IF(Setup!$B$18="",0,IF(Q56="",0,IF(ISNUMBER(Q56),Q56,1)))</f>
        <v/>
      </c>
      <c r="AS56">
        <f>IF(Setup!$B$19="",0,IF(R56="",0,IF(ISNUMBER(R56),R56,1)))</f>
        <v/>
      </c>
      <c r="AT56">
        <f>IF(Setup!$B$20="",0,IF(S56="",0,IF(ISNUMBER(S56),S56,1)))</f>
        <v/>
      </c>
    </row>
    <row r="57">
      <c r="A57" s="1" t="n"/>
      <c r="B57" s="24" t="n"/>
      <c r="C57" s="25" t="n"/>
      <c r="D57" s="25" t="n"/>
      <c r="E57" s="26" t="n"/>
      <c r="F57" s="27" t="n"/>
      <c r="G57" s="17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9">
        <f>IF(N(E57)=0,"",E57*IF(F57="",1,IFERROR(INDEX(Setup!$E$9:$E$18,MATCH(F57,Setup!$D$9:$D$18,0)),0)))</f>
        <v/>
      </c>
      <c r="U57" s="30">
        <f>IF(T57="","",IF(V57=0,"Everyone",IF(COUNTIF(AI57:AT57,"&gt;0")=COUNTIF(Setup!$B$9:$B$20,"?*"),"Everyone",COUNTIF(AI57:AT57,"&gt;0")&amp;IF(COUNTIF(AI57:AT57,"&gt;0")=1," person"," people"))))</f>
        <v/>
      </c>
      <c r="V57" s="1">
        <f>SUM(AI57:AT57)</f>
        <v/>
      </c>
      <c r="W57">
        <f>IF(OR(T57="",Setup!$B$9=""),0,IF(V57=0,T57/COUNTIF(Setup!$B$9:$B$20,"?*"),T57*AI57/V57))</f>
        <v/>
      </c>
      <c r="X57">
        <f>IF(OR(T57="",Setup!$B$10=""),0,IF(V57=0,T57/COUNTIF(Setup!$B$9:$B$20,"?*"),T57*AJ57/V57))</f>
        <v/>
      </c>
      <c r="Y57">
        <f>IF(OR(T57="",Setup!$B$11=""),0,IF(V57=0,T57/COUNTIF(Setup!$B$9:$B$20,"?*"),T57*AK57/V57))</f>
        <v/>
      </c>
      <c r="Z57">
        <f>IF(OR(T57="",Setup!$B$12=""),0,IF(V57=0,T57/COUNTIF(Setup!$B$9:$B$20,"?*"),T57*AL57/V57))</f>
        <v/>
      </c>
      <c r="AA57">
        <f>IF(OR(T57="",Setup!$B$13=""),0,IF(V57=0,T57/COUNTIF(Setup!$B$9:$B$20,"?*"),T57*AM57/V57))</f>
        <v/>
      </c>
      <c r="AB57">
        <f>IF(OR(T57="",Setup!$B$14=""),0,IF(V57=0,T57/COUNTIF(Setup!$B$9:$B$20,"?*"),T57*AN57/V57))</f>
        <v/>
      </c>
      <c r="AC57">
        <f>IF(OR(T57="",Setup!$B$15=""),0,IF(V57=0,T57/COUNTIF(Setup!$B$9:$B$20,"?*"),T57*AO57/V57))</f>
        <v/>
      </c>
      <c r="AD57">
        <f>IF(OR(T57="",Setup!$B$16=""),0,IF(V57=0,T57/COUNTIF(Setup!$B$9:$B$20,"?*"),T57*AP57/V57))</f>
        <v/>
      </c>
      <c r="AE57">
        <f>IF(OR(T57="",Setup!$B$17=""),0,IF(V57=0,T57/COUNTIF(Setup!$B$9:$B$20,"?*"),T57*AQ57/V57))</f>
        <v/>
      </c>
      <c r="AF57">
        <f>IF(OR(T57="",Setup!$B$18=""),0,IF(V57=0,T57/COUNTIF(Setup!$B$9:$B$20,"?*"),T57*AR57/V57))</f>
        <v/>
      </c>
      <c r="AG57">
        <f>IF(OR(T57="",Setup!$B$19=""),0,IF(V57=0,T57/COUNTIF(Setup!$B$9:$B$20,"?*"),T57*AS57/V57))</f>
        <v/>
      </c>
      <c r="AH57">
        <f>IF(OR(T57="",Setup!$B$20=""),0,IF(V57=0,T57/COUNTIF(Setup!$B$9:$B$20,"?*"),T57*AT57/V57))</f>
        <v/>
      </c>
      <c r="AI57">
        <f>IF(Setup!$B$9="",0,IF(H57="",0,IF(ISNUMBER(H57),H57,1)))</f>
        <v/>
      </c>
      <c r="AJ57">
        <f>IF(Setup!$B$10="",0,IF(I57="",0,IF(ISNUMBER(I57),I57,1)))</f>
        <v/>
      </c>
      <c r="AK57">
        <f>IF(Setup!$B$11="",0,IF(J57="",0,IF(ISNUMBER(J57),J57,1)))</f>
        <v/>
      </c>
      <c r="AL57">
        <f>IF(Setup!$B$12="",0,IF(K57="",0,IF(ISNUMBER(K57),K57,1)))</f>
        <v/>
      </c>
      <c r="AM57">
        <f>IF(Setup!$B$13="",0,IF(L57="",0,IF(ISNUMBER(L57),L57,1)))</f>
        <v/>
      </c>
      <c r="AN57">
        <f>IF(Setup!$B$14="",0,IF(M57="",0,IF(ISNUMBER(M57),M57,1)))</f>
        <v/>
      </c>
      <c r="AO57">
        <f>IF(Setup!$B$15="",0,IF(N57="",0,IF(ISNUMBER(N57),N57,1)))</f>
        <v/>
      </c>
      <c r="AP57">
        <f>IF(Setup!$B$16="",0,IF(O57="",0,IF(ISNUMBER(O57),O57,1)))</f>
        <v/>
      </c>
      <c r="AQ57">
        <f>IF(Setup!$B$17="",0,IF(P57="",0,IF(ISNUMBER(P57),P57,1)))</f>
        <v/>
      </c>
      <c r="AR57">
        <f>IF(Setup!$B$18="",0,IF(Q57="",0,IF(ISNUMBER(Q57),Q57,1)))</f>
        <v/>
      </c>
      <c r="AS57">
        <f>IF(Setup!$B$19="",0,IF(R57="",0,IF(ISNUMBER(R57),R57,1)))</f>
        <v/>
      </c>
      <c r="AT57">
        <f>IF(Setup!$B$20="",0,IF(S57="",0,IF(ISNUMBER(S57),S57,1)))</f>
        <v/>
      </c>
    </row>
    <row r="58">
      <c r="A58" s="1" t="n"/>
      <c r="B58" s="24" t="n"/>
      <c r="C58" s="25" t="n"/>
      <c r="D58" s="25" t="n"/>
      <c r="E58" s="26" t="n"/>
      <c r="F58" s="27" t="n"/>
      <c r="G58" s="17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9">
        <f>IF(N(E58)=0,"",E58*IF(F58="",1,IFERROR(INDEX(Setup!$E$9:$E$18,MATCH(F58,Setup!$D$9:$D$18,0)),0)))</f>
        <v/>
      </c>
      <c r="U58" s="30">
        <f>IF(T58="","",IF(V58=0,"Everyone",IF(COUNTIF(AI58:AT58,"&gt;0")=COUNTIF(Setup!$B$9:$B$20,"?*"),"Everyone",COUNTIF(AI58:AT58,"&gt;0")&amp;IF(COUNTIF(AI58:AT58,"&gt;0")=1," person"," people"))))</f>
        <v/>
      </c>
      <c r="V58" s="1">
        <f>SUM(AI58:AT58)</f>
        <v/>
      </c>
      <c r="W58">
        <f>IF(OR(T58="",Setup!$B$9=""),0,IF(V58=0,T58/COUNTIF(Setup!$B$9:$B$20,"?*"),T58*AI58/V58))</f>
        <v/>
      </c>
      <c r="X58">
        <f>IF(OR(T58="",Setup!$B$10=""),0,IF(V58=0,T58/COUNTIF(Setup!$B$9:$B$20,"?*"),T58*AJ58/V58))</f>
        <v/>
      </c>
      <c r="Y58">
        <f>IF(OR(T58="",Setup!$B$11=""),0,IF(V58=0,T58/COUNTIF(Setup!$B$9:$B$20,"?*"),T58*AK58/V58))</f>
        <v/>
      </c>
      <c r="Z58">
        <f>IF(OR(T58="",Setup!$B$12=""),0,IF(V58=0,T58/COUNTIF(Setup!$B$9:$B$20,"?*"),T58*AL58/V58))</f>
        <v/>
      </c>
      <c r="AA58">
        <f>IF(OR(T58="",Setup!$B$13=""),0,IF(V58=0,T58/COUNTIF(Setup!$B$9:$B$20,"?*"),T58*AM58/V58))</f>
        <v/>
      </c>
      <c r="AB58">
        <f>IF(OR(T58="",Setup!$B$14=""),0,IF(V58=0,T58/COUNTIF(Setup!$B$9:$B$20,"?*"),T58*AN58/V58))</f>
        <v/>
      </c>
      <c r="AC58">
        <f>IF(OR(T58="",Setup!$B$15=""),0,IF(V58=0,T58/COUNTIF(Setup!$B$9:$B$20,"?*"),T58*AO58/V58))</f>
        <v/>
      </c>
      <c r="AD58">
        <f>IF(OR(T58="",Setup!$B$16=""),0,IF(V58=0,T58/COUNTIF(Setup!$B$9:$B$20,"?*"),T58*AP58/V58))</f>
        <v/>
      </c>
      <c r="AE58">
        <f>IF(OR(T58="",Setup!$B$17=""),0,IF(V58=0,T58/COUNTIF(Setup!$B$9:$B$20,"?*"),T58*AQ58/V58))</f>
        <v/>
      </c>
      <c r="AF58">
        <f>IF(OR(T58="",Setup!$B$18=""),0,IF(V58=0,T58/COUNTIF(Setup!$B$9:$B$20,"?*"),T58*AR58/V58))</f>
        <v/>
      </c>
      <c r="AG58">
        <f>IF(OR(T58="",Setup!$B$19=""),0,IF(V58=0,T58/COUNTIF(Setup!$B$9:$B$20,"?*"),T58*AS58/V58))</f>
        <v/>
      </c>
      <c r="AH58">
        <f>IF(OR(T58="",Setup!$B$20=""),0,IF(V58=0,T58/COUNTIF(Setup!$B$9:$B$20,"?*"),T58*AT58/V58))</f>
        <v/>
      </c>
      <c r="AI58">
        <f>IF(Setup!$B$9="",0,IF(H58="",0,IF(ISNUMBER(H58),H58,1)))</f>
        <v/>
      </c>
      <c r="AJ58">
        <f>IF(Setup!$B$10="",0,IF(I58="",0,IF(ISNUMBER(I58),I58,1)))</f>
        <v/>
      </c>
      <c r="AK58">
        <f>IF(Setup!$B$11="",0,IF(J58="",0,IF(ISNUMBER(J58),J58,1)))</f>
        <v/>
      </c>
      <c r="AL58">
        <f>IF(Setup!$B$12="",0,IF(K58="",0,IF(ISNUMBER(K58),K58,1)))</f>
        <v/>
      </c>
      <c r="AM58">
        <f>IF(Setup!$B$13="",0,IF(L58="",0,IF(ISNUMBER(L58),L58,1)))</f>
        <v/>
      </c>
      <c r="AN58">
        <f>IF(Setup!$B$14="",0,IF(M58="",0,IF(ISNUMBER(M58),M58,1)))</f>
        <v/>
      </c>
      <c r="AO58">
        <f>IF(Setup!$B$15="",0,IF(N58="",0,IF(ISNUMBER(N58),N58,1)))</f>
        <v/>
      </c>
      <c r="AP58">
        <f>IF(Setup!$B$16="",0,IF(O58="",0,IF(ISNUMBER(O58),O58,1)))</f>
        <v/>
      </c>
      <c r="AQ58">
        <f>IF(Setup!$B$17="",0,IF(P58="",0,IF(ISNUMBER(P58),P58,1)))</f>
        <v/>
      </c>
      <c r="AR58">
        <f>IF(Setup!$B$18="",0,IF(Q58="",0,IF(ISNUMBER(Q58),Q58,1)))</f>
        <v/>
      </c>
      <c r="AS58">
        <f>IF(Setup!$B$19="",0,IF(R58="",0,IF(ISNUMBER(R58),R58,1)))</f>
        <v/>
      </c>
      <c r="AT58">
        <f>IF(Setup!$B$20="",0,IF(S58="",0,IF(ISNUMBER(S58),S58,1)))</f>
        <v/>
      </c>
    </row>
    <row r="59">
      <c r="A59" s="1" t="n"/>
      <c r="B59" s="24" t="n"/>
      <c r="C59" s="25" t="n"/>
      <c r="D59" s="25" t="n"/>
      <c r="E59" s="26" t="n"/>
      <c r="F59" s="27" t="n"/>
      <c r="G59" s="17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8" t="n"/>
      <c r="T59" s="29">
        <f>IF(N(E59)=0,"",E59*IF(F59="",1,IFERROR(INDEX(Setup!$E$9:$E$18,MATCH(F59,Setup!$D$9:$D$18,0)),0)))</f>
        <v/>
      </c>
      <c r="U59" s="30">
        <f>IF(T59="","",IF(V59=0,"Everyone",IF(COUNTIF(AI59:AT59,"&gt;0")=COUNTIF(Setup!$B$9:$B$20,"?*"),"Everyone",COUNTIF(AI59:AT59,"&gt;0")&amp;IF(COUNTIF(AI59:AT59,"&gt;0")=1," person"," people"))))</f>
        <v/>
      </c>
      <c r="V59" s="1">
        <f>SUM(AI59:AT59)</f>
        <v/>
      </c>
      <c r="W59">
        <f>IF(OR(T59="",Setup!$B$9=""),0,IF(V59=0,T59/COUNTIF(Setup!$B$9:$B$20,"?*"),T59*AI59/V59))</f>
        <v/>
      </c>
      <c r="X59">
        <f>IF(OR(T59="",Setup!$B$10=""),0,IF(V59=0,T59/COUNTIF(Setup!$B$9:$B$20,"?*"),T59*AJ59/V59))</f>
        <v/>
      </c>
      <c r="Y59">
        <f>IF(OR(T59="",Setup!$B$11=""),0,IF(V59=0,T59/COUNTIF(Setup!$B$9:$B$20,"?*"),T59*AK59/V59))</f>
        <v/>
      </c>
      <c r="Z59">
        <f>IF(OR(T59="",Setup!$B$12=""),0,IF(V59=0,T59/COUNTIF(Setup!$B$9:$B$20,"?*"),T59*AL59/V59))</f>
        <v/>
      </c>
      <c r="AA59">
        <f>IF(OR(T59="",Setup!$B$13=""),0,IF(V59=0,T59/COUNTIF(Setup!$B$9:$B$20,"?*"),T59*AM59/V59))</f>
        <v/>
      </c>
      <c r="AB59">
        <f>IF(OR(T59="",Setup!$B$14=""),0,IF(V59=0,T59/COUNTIF(Setup!$B$9:$B$20,"?*"),T59*AN59/V59))</f>
        <v/>
      </c>
      <c r="AC59">
        <f>IF(OR(T59="",Setup!$B$15=""),0,IF(V59=0,T59/COUNTIF(Setup!$B$9:$B$20,"?*"),T59*AO59/V59))</f>
        <v/>
      </c>
      <c r="AD59">
        <f>IF(OR(T59="",Setup!$B$16=""),0,IF(V59=0,T59/COUNTIF(Setup!$B$9:$B$20,"?*"),T59*AP59/V59))</f>
        <v/>
      </c>
      <c r="AE59">
        <f>IF(OR(T59="",Setup!$B$17=""),0,IF(V59=0,T59/COUNTIF(Setup!$B$9:$B$20,"?*"),T59*AQ59/V59))</f>
        <v/>
      </c>
      <c r="AF59">
        <f>IF(OR(T59="",Setup!$B$18=""),0,IF(V59=0,T59/COUNTIF(Setup!$B$9:$B$20,"?*"),T59*AR59/V59))</f>
        <v/>
      </c>
      <c r="AG59">
        <f>IF(OR(T59="",Setup!$B$19=""),0,IF(V59=0,T59/COUNTIF(Setup!$B$9:$B$20,"?*"),T59*AS59/V59))</f>
        <v/>
      </c>
      <c r="AH59">
        <f>IF(OR(T59="",Setup!$B$20=""),0,IF(V59=0,T59/COUNTIF(Setup!$B$9:$B$20,"?*"),T59*AT59/V59))</f>
        <v/>
      </c>
      <c r="AI59">
        <f>IF(Setup!$B$9="",0,IF(H59="",0,IF(ISNUMBER(H59),H59,1)))</f>
        <v/>
      </c>
      <c r="AJ59">
        <f>IF(Setup!$B$10="",0,IF(I59="",0,IF(ISNUMBER(I59),I59,1)))</f>
        <v/>
      </c>
      <c r="AK59">
        <f>IF(Setup!$B$11="",0,IF(J59="",0,IF(ISNUMBER(J59),J59,1)))</f>
        <v/>
      </c>
      <c r="AL59">
        <f>IF(Setup!$B$12="",0,IF(K59="",0,IF(ISNUMBER(K59),K59,1)))</f>
        <v/>
      </c>
      <c r="AM59">
        <f>IF(Setup!$B$13="",0,IF(L59="",0,IF(ISNUMBER(L59),L59,1)))</f>
        <v/>
      </c>
      <c r="AN59">
        <f>IF(Setup!$B$14="",0,IF(M59="",0,IF(ISNUMBER(M59),M59,1)))</f>
        <v/>
      </c>
      <c r="AO59">
        <f>IF(Setup!$B$15="",0,IF(N59="",0,IF(ISNUMBER(N59),N59,1)))</f>
        <v/>
      </c>
      <c r="AP59">
        <f>IF(Setup!$B$16="",0,IF(O59="",0,IF(ISNUMBER(O59),O59,1)))</f>
        <v/>
      </c>
      <c r="AQ59">
        <f>IF(Setup!$B$17="",0,IF(P59="",0,IF(ISNUMBER(P59),P59,1)))</f>
        <v/>
      </c>
      <c r="AR59">
        <f>IF(Setup!$B$18="",0,IF(Q59="",0,IF(ISNUMBER(Q59),Q59,1)))</f>
        <v/>
      </c>
      <c r="AS59">
        <f>IF(Setup!$B$19="",0,IF(R59="",0,IF(ISNUMBER(R59),R59,1)))</f>
        <v/>
      </c>
      <c r="AT59">
        <f>IF(Setup!$B$20="",0,IF(S59="",0,IF(ISNUMBER(S59),S59,1)))</f>
        <v/>
      </c>
    </row>
    <row r="60">
      <c r="A60" s="1" t="n"/>
      <c r="B60" s="24" t="n"/>
      <c r="C60" s="25" t="n"/>
      <c r="D60" s="25" t="n"/>
      <c r="E60" s="26" t="n"/>
      <c r="F60" s="27" t="n"/>
      <c r="G60" s="17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9">
        <f>IF(N(E60)=0,"",E60*IF(F60="",1,IFERROR(INDEX(Setup!$E$9:$E$18,MATCH(F60,Setup!$D$9:$D$18,0)),0)))</f>
        <v/>
      </c>
      <c r="U60" s="30">
        <f>IF(T60="","",IF(V60=0,"Everyone",IF(COUNTIF(AI60:AT60,"&gt;0")=COUNTIF(Setup!$B$9:$B$20,"?*"),"Everyone",COUNTIF(AI60:AT60,"&gt;0")&amp;IF(COUNTIF(AI60:AT60,"&gt;0")=1," person"," people"))))</f>
        <v/>
      </c>
      <c r="V60" s="1">
        <f>SUM(AI60:AT60)</f>
        <v/>
      </c>
      <c r="W60">
        <f>IF(OR(T60="",Setup!$B$9=""),0,IF(V60=0,T60/COUNTIF(Setup!$B$9:$B$20,"?*"),T60*AI60/V60))</f>
        <v/>
      </c>
      <c r="X60">
        <f>IF(OR(T60="",Setup!$B$10=""),0,IF(V60=0,T60/COUNTIF(Setup!$B$9:$B$20,"?*"),T60*AJ60/V60))</f>
        <v/>
      </c>
      <c r="Y60">
        <f>IF(OR(T60="",Setup!$B$11=""),0,IF(V60=0,T60/COUNTIF(Setup!$B$9:$B$20,"?*"),T60*AK60/V60))</f>
        <v/>
      </c>
      <c r="Z60">
        <f>IF(OR(T60="",Setup!$B$12=""),0,IF(V60=0,T60/COUNTIF(Setup!$B$9:$B$20,"?*"),T60*AL60/V60))</f>
        <v/>
      </c>
      <c r="AA60">
        <f>IF(OR(T60="",Setup!$B$13=""),0,IF(V60=0,T60/COUNTIF(Setup!$B$9:$B$20,"?*"),T60*AM60/V60))</f>
        <v/>
      </c>
      <c r="AB60">
        <f>IF(OR(T60="",Setup!$B$14=""),0,IF(V60=0,T60/COUNTIF(Setup!$B$9:$B$20,"?*"),T60*AN60/V60))</f>
        <v/>
      </c>
      <c r="AC60">
        <f>IF(OR(T60="",Setup!$B$15=""),0,IF(V60=0,T60/COUNTIF(Setup!$B$9:$B$20,"?*"),T60*AO60/V60))</f>
        <v/>
      </c>
      <c r="AD60">
        <f>IF(OR(T60="",Setup!$B$16=""),0,IF(V60=0,T60/COUNTIF(Setup!$B$9:$B$20,"?*"),T60*AP60/V60))</f>
        <v/>
      </c>
      <c r="AE60">
        <f>IF(OR(T60="",Setup!$B$17=""),0,IF(V60=0,T60/COUNTIF(Setup!$B$9:$B$20,"?*"),T60*AQ60/V60))</f>
        <v/>
      </c>
      <c r="AF60">
        <f>IF(OR(T60="",Setup!$B$18=""),0,IF(V60=0,T60/COUNTIF(Setup!$B$9:$B$20,"?*"),T60*AR60/V60))</f>
        <v/>
      </c>
      <c r="AG60">
        <f>IF(OR(T60="",Setup!$B$19=""),0,IF(V60=0,T60/COUNTIF(Setup!$B$9:$B$20,"?*"),T60*AS60/V60))</f>
        <v/>
      </c>
      <c r="AH60">
        <f>IF(OR(T60="",Setup!$B$20=""),0,IF(V60=0,T60/COUNTIF(Setup!$B$9:$B$20,"?*"),T60*AT60/V60))</f>
        <v/>
      </c>
      <c r="AI60">
        <f>IF(Setup!$B$9="",0,IF(H60="",0,IF(ISNUMBER(H60),H60,1)))</f>
        <v/>
      </c>
      <c r="AJ60">
        <f>IF(Setup!$B$10="",0,IF(I60="",0,IF(ISNUMBER(I60),I60,1)))</f>
        <v/>
      </c>
      <c r="AK60">
        <f>IF(Setup!$B$11="",0,IF(J60="",0,IF(ISNUMBER(J60),J60,1)))</f>
        <v/>
      </c>
      <c r="AL60">
        <f>IF(Setup!$B$12="",0,IF(K60="",0,IF(ISNUMBER(K60),K60,1)))</f>
        <v/>
      </c>
      <c r="AM60">
        <f>IF(Setup!$B$13="",0,IF(L60="",0,IF(ISNUMBER(L60),L60,1)))</f>
        <v/>
      </c>
      <c r="AN60">
        <f>IF(Setup!$B$14="",0,IF(M60="",0,IF(ISNUMBER(M60),M60,1)))</f>
        <v/>
      </c>
      <c r="AO60">
        <f>IF(Setup!$B$15="",0,IF(N60="",0,IF(ISNUMBER(N60),N60,1)))</f>
        <v/>
      </c>
      <c r="AP60">
        <f>IF(Setup!$B$16="",0,IF(O60="",0,IF(ISNUMBER(O60),O60,1)))</f>
        <v/>
      </c>
      <c r="AQ60">
        <f>IF(Setup!$B$17="",0,IF(P60="",0,IF(ISNUMBER(P60),P60,1)))</f>
        <v/>
      </c>
      <c r="AR60">
        <f>IF(Setup!$B$18="",0,IF(Q60="",0,IF(ISNUMBER(Q60),Q60,1)))</f>
        <v/>
      </c>
      <c r="AS60">
        <f>IF(Setup!$B$19="",0,IF(R60="",0,IF(ISNUMBER(R60),R60,1)))</f>
        <v/>
      </c>
      <c r="AT60">
        <f>IF(Setup!$B$20="",0,IF(S60="",0,IF(ISNUMBER(S60),S60,1)))</f>
        <v/>
      </c>
    </row>
    <row r="61">
      <c r="A61" s="1" t="n"/>
      <c r="B61" s="24" t="n"/>
      <c r="C61" s="25" t="n"/>
      <c r="D61" s="25" t="n"/>
      <c r="E61" s="26" t="n"/>
      <c r="F61" s="27" t="n"/>
      <c r="G61" s="17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9">
        <f>IF(N(E61)=0,"",E61*IF(F61="",1,IFERROR(INDEX(Setup!$E$9:$E$18,MATCH(F61,Setup!$D$9:$D$18,0)),0)))</f>
        <v/>
      </c>
      <c r="U61" s="30">
        <f>IF(T61="","",IF(V61=0,"Everyone",IF(COUNTIF(AI61:AT61,"&gt;0")=COUNTIF(Setup!$B$9:$B$20,"?*"),"Everyone",COUNTIF(AI61:AT61,"&gt;0")&amp;IF(COUNTIF(AI61:AT61,"&gt;0")=1," person"," people"))))</f>
        <v/>
      </c>
      <c r="V61" s="1">
        <f>SUM(AI61:AT61)</f>
        <v/>
      </c>
      <c r="W61">
        <f>IF(OR(T61="",Setup!$B$9=""),0,IF(V61=0,T61/COUNTIF(Setup!$B$9:$B$20,"?*"),T61*AI61/V61))</f>
        <v/>
      </c>
      <c r="X61">
        <f>IF(OR(T61="",Setup!$B$10=""),0,IF(V61=0,T61/COUNTIF(Setup!$B$9:$B$20,"?*"),T61*AJ61/V61))</f>
        <v/>
      </c>
      <c r="Y61">
        <f>IF(OR(T61="",Setup!$B$11=""),0,IF(V61=0,T61/COUNTIF(Setup!$B$9:$B$20,"?*"),T61*AK61/V61))</f>
        <v/>
      </c>
      <c r="Z61">
        <f>IF(OR(T61="",Setup!$B$12=""),0,IF(V61=0,T61/COUNTIF(Setup!$B$9:$B$20,"?*"),T61*AL61/V61))</f>
        <v/>
      </c>
      <c r="AA61">
        <f>IF(OR(T61="",Setup!$B$13=""),0,IF(V61=0,T61/COUNTIF(Setup!$B$9:$B$20,"?*"),T61*AM61/V61))</f>
        <v/>
      </c>
      <c r="AB61">
        <f>IF(OR(T61="",Setup!$B$14=""),0,IF(V61=0,T61/COUNTIF(Setup!$B$9:$B$20,"?*"),T61*AN61/V61))</f>
        <v/>
      </c>
      <c r="AC61">
        <f>IF(OR(T61="",Setup!$B$15=""),0,IF(V61=0,T61/COUNTIF(Setup!$B$9:$B$20,"?*"),T61*AO61/V61))</f>
        <v/>
      </c>
      <c r="AD61">
        <f>IF(OR(T61="",Setup!$B$16=""),0,IF(V61=0,T61/COUNTIF(Setup!$B$9:$B$20,"?*"),T61*AP61/V61))</f>
        <v/>
      </c>
      <c r="AE61">
        <f>IF(OR(T61="",Setup!$B$17=""),0,IF(V61=0,T61/COUNTIF(Setup!$B$9:$B$20,"?*"),T61*AQ61/V61))</f>
        <v/>
      </c>
      <c r="AF61">
        <f>IF(OR(T61="",Setup!$B$18=""),0,IF(V61=0,T61/COUNTIF(Setup!$B$9:$B$20,"?*"),T61*AR61/V61))</f>
        <v/>
      </c>
      <c r="AG61">
        <f>IF(OR(T61="",Setup!$B$19=""),0,IF(V61=0,T61/COUNTIF(Setup!$B$9:$B$20,"?*"),T61*AS61/V61))</f>
        <v/>
      </c>
      <c r="AH61">
        <f>IF(OR(T61="",Setup!$B$20=""),0,IF(V61=0,T61/COUNTIF(Setup!$B$9:$B$20,"?*"),T61*AT61/V61))</f>
        <v/>
      </c>
      <c r="AI61">
        <f>IF(Setup!$B$9="",0,IF(H61="",0,IF(ISNUMBER(H61),H61,1)))</f>
        <v/>
      </c>
      <c r="AJ61">
        <f>IF(Setup!$B$10="",0,IF(I61="",0,IF(ISNUMBER(I61),I61,1)))</f>
        <v/>
      </c>
      <c r="AK61">
        <f>IF(Setup!$B$11="",0,IF(J61="",0,IF(ISNUMBER(J61),J61,1)))</f>
        <v/>
      </c>
      <c r="AL61">
        <f>IF(Setup!$B$12="",0,IF(K61="",0,IF(ISNUMBER(K61),K61,1)))</f>
        <v/>
      </c>
      <c r="AM61">
        <f>IF(Setup!$B$13="",0,IF(L61="",0,IF(ISNUMBER(L61),L61,1)))</f>
        <v/>
      </c>
      <c r="AN61">
        <f>IF(Setup!$B$14="",0,IF(M61="",0,IF(ISNUMBER(M61),M61,1)))</f>
        <v/>
      </c>
      <c r="AO61">
        <f>IF(Setup!$B$15="",0,IF(N61="",0,IF(ISNUMBER(N61),N61,1)))</f>
        <v/>
      </c>
      <c r="AP61">
        <f>IF(Setup!$B$16="",0,IF(O61="",0,IF(ISNUMBER(O61),O61,1)))</f>
        <v/>
      </c>
      <c r="AQ61">
        <f>IF(Setup!$B$17="",0,IF(P61="",0,IF(ISNUMBER(P61),P61,1)))</f>
        <v/>
      </c>
      <c r="AR61">
        <f>IF(Setup!$B$18="",0,IF(Q61="",0,IF(ISNUMBER(Q61),Q61,1)))</f>
        <v/>
      </c>
      <c r="AS61">
        <f>IF(Setup!$B$19="",0,IF(R61="",0,IF(ISNUMBER(R61),R61,1)))</f>
        <v/>
      </c>
      <c r="AT61">
        <f>IF(Setup!$B$20="",0,IF(S61="",0,IF(ISNUMBER(S61),S61,1)))</f>
        <v/>
      </c>
    </row>
    <row r="62">
      <c r="A62" s="1" t="n"/>
      <c r="B62" s="24" t="n"/>
      <c r="C62" s="25" t="n"/>
      <c r="D62" s="25" t="n"/>
      <c r="E62" s="26" t="n"/>
      <c r="F62" s="27" t="n"/>
      <c r="G62" s="17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9">
        <f>IF(N(E62)=0,"",E62*IF(F62="",1,IFERROR(INDEX(Setup!$E$9:$E$18,MATCH(F62,Setup!$D$9:$D$18,0)),0)))</f>
        <v/>
      </c>
      <c r="U62" s="30">
        <f>IF(T62="","",IF(V62=0,"Everyone",IF(COUNTIF(AI62:AT62,"&gt;0")=COUNTIF(Setup!$B$9:$B$20,"?*"),"Everyone",COUNTIF(AI62:AT62,"&gt;0")&amp;IF(COUNTIF(AI62:AT62,"&gt;0")=1," person"," people"))))</f>
        <v/>
      </c>
      <c r="V62" s="1">
        <f>SUM(AI62:AT62)</f>
        <v/>
      </c>
      <c r="W62">
        <f>IF(OR(T62="",Setup!$B$9=""),0,IF(V62=0,T62/COUNTIF(Setup!$B$9:$B$20,"?*"),T62*AI62/V62))</f>
        <v/>
      </c>
      <c r="X62">
        <f>IF(OR(T62="",Setup!$B$10=""),0,IF(V62=0,T62/COUNTIF(Setup!$B$9:$B$20,"?*"),T62*AJ62/V62))</f>
        <v/>
      </c>
      <c r="Y62">
        <f>IF(OR(T62="",Setup!$B$11=""),0,IF(V62=0,T62/COUNTIF(Setup!$B$9:$B$20,"?*"),T62*AK62/V62))</f>
        <v/>
      </c>
      <c r="Z62">
        <f>IF(OR(T62="",Setup!$B$12=""),0,IF(V62=0,T62/COUNTIF(Setup!$B$9:$B$20,"?*"),T62*AL62/V62))</f>
        <v/>
      </c>
      <c r="AA62">
        <f>IF(OR(T62="",Setup!$B$13=""),0,IF(V62=0,T62/COUNTIF(Setup!$B$9:$B$20,"?*"),T62*AM62/V62))</f>
        <v/>
      </c>
      <c r="AB62">
        <f>IF(OR(T62="",Setup!$B$14=""),0,IF(V62=0,T62/COUNTIF(Setup!$B$9:$B$20,"?*"),T62*AN62/V62))</f>
        <v/>
      </c>
      <c r="AC62">
        <f>IF(OR(T62="",Setup!$B$15=""),0,IF(V62=0,T62/COUNTIF(Setup!$B$9:$B$20,"?*"),T62*AO62/V62))</f>
        <v/>
      </c>
      <c r="AD62">
        <f>IF(OR(T62="",Setup!$B$16=""),0,IF(V62=0,T62/COUNTIF(Setup!$B$9:$B$20,"?*"),T62*AP62/V62))</f>
        <v/>
      </c>
      <c r="AE62">
        <f>IF(OR(T62="",Setup!$B$17=""),0,IF(V62=0,T62/COUNTIF(Setup!$B$9:$B$20,"?*"),T62*AQ62/V62))</f>
        <v/>
      </c>
      <c r="AF62">
        <f>IF(OR(T62="",Setup!$B$18=""),0,IF(V62=0,T62/COUNTIF(Setup!$B$9:$B$20,"?*"),T62*AR62/V62))</f>
        <v/>
      </c>
      <c r="AG62">
        <f>IF(OR(T62="",Setup!$B$19=""),0,IF(V62=0,T62/COUNTIF(Setup!$B$9:$B$20,"?*"),T62*AS62/V62))</f>
        <v/>
      </c>
      <c r="AH62">
        <f>IF(OR(T62="",Setup!$B$20=""),0,IF(V62=0,T62/COUNTIF(Setup!$B$9:$B$20,"?*"),T62*AT62/V62))</f>
        <v/>
      </c>
      <c r="AI62">
        <f>IF(Setup!$B$9="",0,IF(H62="",0,IF(ISNUMBER(H62),H62,1)))</f>
        <v/>
      </c>
      <c r="AJ62">
        <f>IF(Setup!$B$10="",0,IF(I62="",0,IF(ISNUMBER(I62),I62,1)))</f>
        <v/>
      </c>
      <c r="AK62">
        <f>IF(Setup!$B$11="",0,IF(J62="",0,IF(ISNUMBER(J62),J62,1)))</f>
        <v/>
      </c>
      <c r="AL62">
        <f>IF(Setup!$B$12="",0,IF(K62="",0,IF(ISNUMBER(K62),K62,1)))</f>
        <v/>
      </c>
      <c r="AM62">
        <f>IF(Setup!$B$13="",0,IF(L62="",0,IF(ISNUMBER(L62),L62,1)))</f>
        <v/>
      </c>
      <c r="AN62">
        <f>IF(Setup!$B$14="",0,IF(M62="",0,IF(ISNUMBER(M62),M62,1)))</f>
        <v/>
      </c>
      <c r="AO62">
        <f>IF(Setup!$B$15="",0,IF(N62="",0,IF(ISNUMBER(N62),N62,1)))</f>
        <v/>
      </c>
      <c r="AP62">
        <f>IF(Setup!$B$16="",0,IF(O62="",0,IF(ISNUMBER(O62),O62,1)))</f>
        <v/>
      </c>
      <c r="AQ62">
        <f>IF(Setup!$B$17="",0,IF(P62="",0,IF(ISNUMBER(P62),P62,1)))</f>
        <v/>
      </c>
      <c r="AR62">
        <f>IF(Setup!$B$18="",0,IF(Q62="",0,IF(ISNUMBER(Q62),Q62,1)))</f>
        <v/>
      </c>
      <c r="AS62">
        <f>IF(Setup!$B$19="",0,IF(R62="",0,IF(ISNUMBER(R62),R62,1)))</f>
        <v/>
      </c>
      <c r="AT62">
        <f>IF(Setup!$B$20="",0,IF(S62="",0,IF(ISNUMBER(S62),S62,1)))</f>
        <v/>
      </c>
    </row>
    <row r="63">
      <c r="A63" s="1" t="n"/>
      <c r="B63" s="24" t="n"/>
      <c r="C63" s="25" t="n"/>
      <c r="D63" s="25" t="n"/>
      <c r="E63" s="26" t="n"/>
      <c r="F63" s="27" t="n"/>
      <c r="G63" s="17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9">
        <f>IF(N(E63)=0,"",E63*IF(F63="",1,IFERROR(INDEX(Setup!$E$9:$E$18,MATCH(F63,Setup!$D$9:$D$18,0)),0)))</f>
        <v/>
      </c>
      <c r="U63" s="30">
        <f>IF(T63="","",IF(V63=0,"Everyone",IF(COUNTIF(AI63:AT63,"&gt;0")=COUNTIF(Setup!$B$9:$B$20,"?*"),"Everyone",COUNTIF(AI63:AT63,"&gt;0")&amp;IF(COUNTIF(AI63:AT63,"&gt;0")=1," person"," people"))))</f>
        <v/>
      </c>
      <c r="V63" s="1">
        <f>SUM(AI63:AT63)</f>
        <v/>
      </c>
      <c r="W63">
        <f>IF(OR(T63="",Setup!$B$9=""),0,IF(V63=0,T63/COUNTIF(Setup!$B$9:$B$20,"?*"),T63*AI63/V63))</f>
        <v/>
      </c>
      <c r="X63">
        <f>IF(OR(T63="",Setup!$B$10=""),0,IF(V63=0,T63/COUNTIF(Setup!$B$9:$B$20,"?*"),T63*AJ63/V63))</f>
        <v/>
      </c>
      <c r="Y63">
        <f>IF(OR(T63="",Setup!$B$11=""),0,IF(V63=0,T63/COUNTIF(Setup!$B$9:$B$20,"?*"),T63*AK63/V63))</f>
        <v/>
      </c>
      <c r="Z63">
        <f>IF(OR(T63="",Setup!$B$12=""),0,IF(V63=0,T63/COUNTIF(Setup!$B$9:$B$20,"?*"),T63*AL63/V63))</f>
        <v/>
      </c>
      <c r="AA63">
        <f>IF(OR(T63="",Setup!$B$13=""),0,IF(V63=0,T63/COUNTIF(Setup!$B$9:$B$20,"?*"),T63*AM63/V63))</f>
        <v/>
      </c>
      <c r="AB63">
        <f>IF(OR(T63="",Setup!$B$14=""),0,IF(V63=0,T63/COUNTIF(Setup!$B$9:$B$20,"?*"),T63*AN63/V63))</f>
        <v/>
      </c>
      <c r="AC63">
        <f>IF(OR(T63="",Setup!$B$15=""),0,IF(V63=0,T63/COUNTIF(Setup!$B$9:$B$20,"?*"),T63*AO63/V63))</f>
        <v/>
      </c>
      <c r="AD63">
        <f>IF(OR(T63="",Setup!$B$16=""),0,IF(V63=0,T63/COUNTIF(Setup!$B$9:$B$20,"?*"),T63*AP63/V63))</f>
        <v/>
      </c>
      <c r="AE63">
        <f>IF(OR(T63="",Setup!$B$17=""),0,IF(V63=0,T63/COUNTIF(Setup!$B$9:$B$20,"?*"),T63*AQ63/V63))</f>
        <v/>
      </c>
      <c r="AF63">
        <f>IF(OR(T63="",Setup!$B$18=""),0,IF(V63=0,T63/COUNTIF(Setup!$B$9:$B$20,"?*"),T63*AR63/V63))</f>
        <v/>
      </c>
      <c r="AG63">
        <f>IF(OR(T63="",Setup!$B$19=""),0,IF(V63=0,T63/COUNTIF(Setup!$B$9:$B$20,"?*"),T63*AS63/V63))</f>
        <v/>
      </c>
      <c r="AH63">
        <f>IF(OR(T63="",Setup!$B$20=""),0,IF(V63=0,T63/COUNTIF(Setup!$B$9:$B$20,"?*"),T63*AT63/V63))</f>
        <v/>
      </c>
      <c r="AI63">
        <f>IF(Setup!$B$9="",0,IF(H63="",0,IF(ISNUMBER(H63),H63,1)))</f>
        <v/>
      </c>
      <c r="AJ63">
        <f>IF(Setup!$B$10="",0,IF(I63="",0,IF(ISNUMBER(I63),I63,1)))</f>
        <v/>
      </c>
      <c r="AK63">
        <f>IF(Setup!$B$11="",0,IF(J63="",0,IF(ISNUMBER(J63),J63,1)))</f>
        <v/>
      </c>
      <c r="AL63">
        <f>IF(Setup!$B$12="",0,IF(K63="",0,IF(ISNUMBER(K63),K63,1)))</f>
        <v/>
      </c>
      <c r="AM63">
        <f>IF(Setup!$B$13="",0,IF(L63="",0,IF(ISNUMBER(L63),L63,1)))</f>
        <v/>
      </c>
      <c r="AN63">
        <f>IF(Setup!$B$14="",0,IF(M63="",0,IF(ISNUMBER(M63),M63,1)))</f>
        <v/>
      </c>
      <c r="AO63">
        <f>IF(Setup!$B$15="",0,IF(N63="",0,IF(ISNUMBER(N63),N63,1)))</f>
        <v/>
      </c>
      <c r="AP63">
        <f>IF(Setup!$B$16="",0,IF(O63="",0,IF(ISNUMBER(O63),O63,1)))</f>
        <v/>
      </c>
      <c r="AQ63">
        <f>IF(Setup!$B$17="",0,IF(P63="",0,IF(ISNUMBER(P63),P63,1)))</f>
        <v/>
      </c>
      <c r="AR63">
        <f>IF(Setup!$B$18="",0,IF(Q63="",0,IF(ISNUMBER(Q63),Q63,1)))</f>
        <v/>
      </c>
      <c r="AS63">
        <f>IF(Setup!$B$19="",0,IF(R63="",0,IF(ISNUMBER(R63),R63,1)))</f>
        <v/>
      </c>
      <c r="AT63">
        <f>IF(Setup!$B$20="",0,IF(S63="",0,IF(ISNUMBER(S63),S63,1)))</f>
        <v/>
      </c>
    </row>
    <row r="64">
      <c r="A64" s="1" t="n"/>
      <c r="B64" s="24" t="n"/>
      <c r="C64" s="25" t="n"/>
      <c r="D64" s="25" t="n"/>
      <c r="E64" s="26" t="n"/>
      <c r="F64" s="27" t="n"/>
      <c r="G64" s="17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9">
        <f>IF(N(E64)=0,"",E64*IF(F64="",1,IFERROR(INDEX(Setup!$E$9:$E$18,MATCH(F64,Setup!$D$9:$D$18,0)),0)))</f>
        <v/>
      </c>
      <c r="U64" s="30">
        <f>IF(T64="","",IF(V64=0,"Everyone",IF(COUNTIF(AI64:AT64,"&gt;0")=COUNTIF(Setup!$B$9:$B$20,"?*"),"Everyone",COUNTIF(AI64:AT64,"&gt;0")&amp;IF(COUNTIF(AI64:AT64,"&gt;0")=1," person"," people"))))</f>
        <v/>
      </c>
      <c r="V64" s="1">
        <f>SUM(AI64:AT64)</f>
        <v/>
      </c>
      <c r="W64">
        <f>IF(OR(T64="",Setup!$B$9=""),0,IF(V64=0,T64/COUNTIF(Setup!$B$9:$B$20,"?*"),T64*AI64/V64))</f>
        <v/>
      </c>
      <c r="X64">
        <f>IF(OR(T64="",Setup!$B$10=""),0,IF(V64=0,T64/COUNTIF(Setup!$B$9:$B$20,"?*"),T64*AJ64/V64))</f>
        <v/>
      </c>
      <c r="Y64">
        <f>IF(OR(T64="",Setup!$B$11=""),0,IF(V64=0,T64/COUNTIF(Setup!$B$9:$B$20,"?*"),T64*AK64/V64))</f>
        <v/>
      </c>
      <c r="Z64">
        <f>IF(OR(T64="",Setup!$B$12=""),0,IF(V64=0,T64/COUNTIF(Setup!$B$9:$B$20,"?*"),T64*AL64/V64))</f>
        <v/>
      </c>
      <c r="AA64">
        <f>IF(OR(T64="",Setup!$B$13=""),0,IF(V64=0,T64/COUNTIF(Setup!$B$9:$B$20,"?*"),T64*AM64/V64))</f>
        <v/>
      </c>
      <c r="AB64">
        <f>IF(OR(T64="",Setup!$B$14=""),0,IF(V64=0,T64/COUNTIF(Setup!$B$9:$B$20,"?*"),T64*AN64/V64))</f>
        <v/>
      </c>
      <c r="AC64">
        <f>IF(OR(T64="",Setup!$B$15=""),0,IF(V64=0,T64/COUNTIF(Setup!$B$9:$B$20,"?*"),T64*AO64/V64))</f>
        <v/>
      </c>
      <c r="AD64">
        <f>IF(OR(T64="",Setup!$B$16=""),0,IF(V64=0,T64/COUNTIF(Setup!$B$9:$B$20,"?*"),T64*AP64/V64))</f>
        <v/>
      </c>
      <c r="AE64">
        <f>IF(OR(T64="",Setup!$B$17=""),0,IF(V64=0,T64/COUNTIF(Setup!$B$9:$B$20,"?*"),T64*AQ64/V64))</f>
        <v/>
      </c>
      <c r="AF64">
        <f>IF(OR(T64="",Setup!$B$18=""),0,IF(V64=0,T64/COUNTIF(Setup!$B$9:$B$20,"?*"),T64*AR64/V64))</f>
        <v/>
      </c>
      <c r="AG64">
        <f>IF(OR(T64="",Setup!$B$19=""),0,IF(V64=0,T64/COUNTIF(Setup!$B$9:$B$20,"?*"),T64*AS64/V64))</f>
        <v/>
      </c>
      <c r="AH64">
        <f>IF(OR(T64="",Setup!$B$20=""),0,IF(V64=0,T64/COUNTIF(Setup!$B$9:$B$20,"?*"),T64*AT64/V64))</f>
        <v/>
      </c>
      <c r="AI64">
        <f>IF(Setup!$B$9="",0,IF(H64="",0,IF(ISNUMBER(H64),H64,1)))</f>
        <v/>
      </c>
      <c r="AJ64">
        <f>IF(Setup!$B$10="",0,IF(I64="",0,IF(ISNUMBER(I64),I64,1)))</f>
        <v/>
      </c>
      <c r="AK64">
        <f>IF(Setup!$B$11="",0,IF(J64="",0,IF(ISNUMBER(J64),J64,1)))</f>
        <v/>
      </c>
      <c r="AL64">
        <f>IF(Setup!$B$12="",0,IF(K64="",0,IF(ISNUMBER(K64),K64,1)))</f>
        <v/>
      </c>
      <c r="AM64">
        <f>IF(Setup!$B$13="",0,IF(L64="",0,IF(ISNUMBER(L64),L64,1)))</f>
        <v/>
      </c>
      <c r="AN64">
        <f>IF(Setup!$B$14="",0,IF(M64="",0,IF(ISNUMBER(M64),M64,1)))</f>
        <v/>
      </c>
      <c r="AO64">
        <f>IF(Setup!$B$15="",0,IF(N64="",0,IF(ISNUMBER(N64),N64,1)))</f>
        <v/>
      </c>
      <c r="AP64">
        <f>IF(Setup!$B$16="",0,IF(O64="",0,IF(ISNUMBER(O64),O64,1)))</f>
        <v/>
      </c>
      <c r="AQ64">
        <f>IF(Setup!$B$17="",0,IF(P64="",0,IF(ISNUMBER(P64),P64,1)))</f>
        <v/>
      </c>
      <c r="AR64">
        <f>IF(Setup!$B$18="",0,IF(Q64="",0,IF(ISNUMBER(Q64),Q64,1)))</f>
        <v/>
      </c>
      <c r="AS64">
        <f>IF(Setup!$B$19="",0,IF(R64="",0,IF(ISNUMBER(R64),R64,1)))</f>
        <v/>
      </c>
      <c r="AT64">
        <f>IF(Setup!$B$20="",0,IF(S64="",0,IF(ISNUMBER(S64),S64,1)))</f>
        <v/>
      </c>
    </row>
    <row r="65">
      <c r="A65" s="1" t="n"/>
      <c r="B65" s="24" t="n"/>
      <c r="C65" s="25" t="n"/>
      <c r="D65" s="25" t="n"/>
      <c r="E65" s="26" t="n"/>
      <c r="F65" s="27" t="n"/>
      <c r="G65" s="17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9">
        <f>IF(N(E65)=0,"",E65*IF(F65="",1,IFERROR(INDEX(Setup!$E$9:$E$18,MATCH(F65,Setup!$D$9:$D$18,0)),0)))</f>
        <v/>
      </c>
      <c r="U65" s="30">
        <f>IF(T65="","",IF(V65=0,"Everyone",IF(COUNTIF(AI65:AT65,"&gt;0")=COUNTIF(Setup!$B$9:$B$20,"?*"),"Everyone",COUNTIF(AI65:AT65,"&gt;0")&amp;IF(COUNTIF(AI65:AT65,"&gt;0")=1," person"," people"))))</f>
        <v/>
      </c>
      <c r="V65" s="1">
        <f>SUM(AI65:AT65)</f>
        <v/>
      </c>
      <c r="W65">
        <f>IF(OR(T65="",Setup!$B$9=""),0,IF(V65=0,T65/COUNTIF(Setup!$B$9:$B$20,"?*"),T65*AI65/V65))</f>
        <v/>
      </c>
      <c r="X65">
        <f>IF(OR(T65="",Setup!$B$10=""),0,IF(V65=0,T65/COUNTIF(Setup!$B$9:$B$20,"?*"),T65*AJ65/V65))</f>
        <v/>
      </c>
      <c r="Y65">
        <f>IF(OR(T65="",Setup!$B$11=""),0,IF(V65=0,T65/COUNTIF(Setup!$B$9:$B$20,"?*"),T65*AK65/V65))</f>
        <v/>
      </c>
      <c r="Z65">
        <f>IF(OR(T65="",Setup!$B$12=""),0,IF(V65=0,T65/COUNTIF(Setup!$B$9:$B$20,"?*"),T65*AL65/V65))</f>
        <v/>
      </c>
      <c r="AA65">
        <f>IF(OR(T65="",Setup!$B$13=""),0,IF(V65=0,T65/COUNTIF(Setup!$B$9:$B$20,"?*"),T65*AM65/V65))</f>
        <v/>
      </c>
      <c r="AB65">
        <f>IF(OR(T65="",Setup!$B$14=""),0,IF(V65=0,T65/COUNTIF(Setup!$B$9:$B$20,"?*"),T65*AN65/V65))</f>
        <v/>
      </c>
      <c r="AC65">
        <f>IF(OR(T65="",Setup!$B$15=""),0,IF(V65=0,T65/COUNTIF(Setup!$B$9:$B$20,"?*"),T65*AO65/V65))</f>
        <v/>
      </c>
      <c r="AD65">
        <f>IF(OR(T65="",Setup!$B$16=""),0,IF(V65=0,T65/COUNTIF(Setup!$B$9:$B$20,"?*"),T65*AP65/V65))</f>
        <v/>
      </c>
      <c r="AE65">
        <f>IF(OR(T65="",Setup!$B$17=""),0,IF(V65=0,T65/COUNTIF(Setup!$B$9:$B$20,"?*"),T65*AQ65/V65))</f>
        <v/>
      </c>
      <c r="AF65">
        <f>IF(OR(T65="",Setup!$B$18=""),0,IF(V65=0,T65/COUNTIF(Setup!$B$9:$B$20,"?*"),T65*AR65/V65))</f>
        <v/>
      </c>
      <c r="AG65">
        <f>IF(OR(T65="",Setup!$B$19=""),0,IF(V65=0,T65/COUNTIF(Setup!$B$9:$B$20,"?*"),T65*AS65/V65))</f>
        <v/>
      </c>
      <c r="AH65">
        <f>IF(OR(T65="",Setup!$B$20=""),0,IF(V65=0,T65/COUNTIF(Setup!$B$9:$B$20,"?*"),T65*AT65/V65))</f>
        <v/>
      </c>
      <c r="AI65">
        <f>IF(Setup!$B$9="",0,IF(H65="",0,IF(ISNUMBER(H65),H65,1)))</f>
        <v/>
      </c>
      <c r="AJ65">
        <f>IF(Setup!$B$10="",0,IF(I65="",0,IF(ISNUMBER(I65),I65,1)))</f>
        <v/>
      </c>
      <c r="AK65">
        <f>IF(Setup!$B$11="",0,IF(J65="",0,IF(ISNUMBER(J65),J65,1)))</f>
        <v/>
      </c>
      <c r="AL65">
        <f>IF(Setup!$B$12="",0,IF(K65="",0,IF(ISNUMBER(K65),K65,1)))</f>
        <v/>
      </c>
      <c r="AM65">
        <f>IF(Setup!$B$13="",0,IF(L65="",0,IF(ISNUMBER(L65),L65,1)))</f>
        <v/>
      </c>
      <c r="AN65">
        <f>IF(Setup!$B$14="",0,IF(M65="",0,IF(ISNUMBER(M65),M65,1)))</f>
        <v/>
      </c>
      <c r="AO65">
        <f>IF(Setup!$B$15="",0,IF(N65="",0,IF(ISNUMBER(N65),N65,1)))</f>
        <v/>
      </c>
      <c r="AP65">
        <f>IF(Setup!$B$16="",0,IF(O65="",0,IF(ISNUMBER(O65),O65,1)))</f>
        <v/>
      </c>
      <c r="AQ65">
        <f>IF(Setup!$B$17="",0,IF(P65="",0,IF(ISNUMBER(P65),P65,1)))</f>
        <v/>
      </c>
      <c r="AR65">
        <f>IF(Setup!$B$18="",0,IF(Q65="",0,IF(ISNUMBER(Q65),Q65,1)))</f>
        <v/>
      </c>
      <c r="AS65">
        <f>IF(Setup!$B$19="",0,IF(R65="",0,IF(ISNUMBER(R65),R65,1)))</f>
        <v/>
      </c>
      <c r="AT65">
        <f>IF(Setup!$B$20="",0,IF(S65="",0,IF(ISNUMBER(S65),S65,1)))</f>
        <v/>
      </c>
    </row>
    <row r="66">
      <c r="A66" s="1" t="n"/>
      <c r="B66" s="24" t="n"/>
      <c r="C66" s="25" t="n"/>
      <c r="D66" s="25" t="n"/>
      <c r="E66" s="26" t="n"/>
      <c r="F66" s="27" t="n"/>
      <c r="G66" s="17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9">
        <f>IF(N(E66)=0,"",E66*IF(F66="",1,IFERROR(INDEX(Setup!$E$9:$E$18,MATCH(F66,Setup!$D$9:$D$18,0)),0)))</f>
        <v/>
      </c>
      <c r="U66" s="30">
        <f>IF(T66="","",IF(V66=0,"Everyone",IF(COUNTIF(AI66:AT66,"&gt;0")=COUNTIF(Setup!$B$9:$B$20,"?*"),"Everyone",COUNTIF(AI66:AT66,"&gt;0")&amp;IF(COUNTIF(AI66:AT66,"&gt;0")=1," person"," people"))))</f>
        <v/>
      </c>
      <c r="V66" s="1">
        <f>SUM(AI66:AT66)</f>
        <v/>
      </c>
      <c r="W66">
        <f>IF(OR(T66="",Setup!$B$9=""),0,IF(V66=0,T66/COUNTIF(Setup!$B$9:$B$20,"?*"),T66*AI66/V66))</f>
        <v/>
      </c>
      <c r="X66">
        <f>IF(OR(T66="",Setup!$B$10=""),0,IF(V66=0,T66/COUNTIF(Setup!$B$9:$B$20,"?*"),T66*AJ66/V66))</f>
        <v/>
      </c>
      <c r="Y66">
        <f>IF(OR(T66="",Setup!$B$11=""),0,IF(V66=0,T66/COUNTIF(Setup!$B$9:$B$20,"?*"),T66*AK66/V66))</f>
        <v/>
      </c>
      <c r="Z66">
        <f>IF(OR(T66="",Setup!$B$12=""),0,IF(V66=0,T66/COUNTIF(Setup!$B$9:$B$20,"?*"),T66*AL66/V66))</f>
        <v/>
      </c>
      <c r="AA66">
        <f>IF(OR(T66="",Setup!$B$13=""),0,IF(V66=0,T66/COUNTIF(Setup!$B$9:$B$20,"?*"),T66*AM66/V66))</f>
        <v/>
      </c>
      <c r="AB66">
        <f>IF(OR(T66="",Setup!$B$14=""),0,IF(V66=0,T66/COUNTIF(Setup!$B$9:$B$20,"?*"),T66*AN66/V66))</f>
        <v/>
      </c>
      <c r="AC66">
        <f>IF(OR(T66="",Setup!$B$15=""),0,IF(V66=0,T66/COUNTIF(Setup!$B$9:$B$20,"?*"),T66*AO66/V66))</f>
        <v/>
      </c>
      <c r="AD66">
        <f>IF(OR(T66="",Setup!$B$16=""),0,IF(V66=0,T66/COUNTIF(Setup!$B$9:$B$20,"?*"),T66*AP66/V66))</f>
        <v/>
      </c>
      <c r="AE66">
        <f>IF(OR(T66="",Setup!$B$17=""),0,IF(V66=0,T66/COUNTIF(Setup!$B$9:$B$20,"?*"),T66*AQ66/V66))</f>
        <v/>
      </c>
      <c r="AF66">
        <f>IF(OR(T66="",Setup!$B$18=""),0,IF(V66=0,T66/COUNTIF(Setup!$B$9:$B$20,"?*"),T66*AR66/V66))</f>
        <v/>
      </c>
      <c r="AG66">
        <f>IF(OR(T66="",Setup!$B$19=""),0,IF(V66=0,T66/COUNTIF(Setup!$B$9:$B$20,"?*"),T66*AS66/V66))</f>
        <v/>
      </c>
      <c r="AH66">
        <f>IF(OR(T66="",Setup!$B$20=""),0,IF(V66=0,T66/COUNTIF(Setup!$B$9:$B$20,"?*"),T66*AT66/V66))</f>
        <v/>
      </c>
      <c r="AI66">
        <f>IF(Setup!$B$9="",0,IF(H66="",0,IF(ISNUMBER(H66),H66,1)))</f>
        <v/>
      </c>
      <c r="AJ66">
        <f>IF(Setup!$B$10="",0,IF(I66="",0,IF(ISNUMBER(I66),I66,1)))</f>
        <v/>
      </c>
      <c r="AK66">
        <f>IF(Setup!$B$11="",0,IF(J66="",0,IF(ISNUMBER(J66),J66,1)))</f>
        <v/>
      </c>
      <c r="AL66">
        <f>IF(Setup!$B$12="",0,IF(K66="",0,IF(ISNUMBER(K66),K66,1)))</f>
        <v/>
      </c>
      <c r="AM66">
        <f>IF(Setup!$B$13="",0,IF(L66="",0,IF(ISNUMBER(L66),L66,1)))</f>
        <v/>
      </c>
      <c r="AN66">
        <f>IF(Setup!$B$14="",0,IF(M66="",0,IF(ISNUMBER(M66),M66,1)))</f>
        <v/>
      </c>
      <c r="AO66">
        <f>IF(Setup!$B$15="",0,IF(N66="",0,IF(ISNUMBER(N66),N66,1)))</f>
        <v/>
      </c>
      <c r="AP66">
        <f>IF(Setup!$B$16="",0,IF(O66="",0,IF(ISNUMBER(O66),O66,1)))</f>
        <v/>
      </c>
      <c r="AQ66">
        <f>IF(Setup!$B$17="",0,IF(P66="",0,IF(ISNUMBER(P66),P66,1)))</f>
        <v/>
      </c>
      <c r="AR66">
        <f>IF(Setup!$B$18="",0,IF(Q66="",0,IF(ISNUMBER(Q66),Q66,1)))</f>
        <v/>
      </c>
      <c r="AS66">
        <f>IF(Setup!$B$19="",0,IF(R66="",0,IF(ISNUMBER(R66),R66,1)))</f>
        <v/>
      </c>
      <c r="AT66">
        <f>IF(Setup!$B$20="",0,IF(S66="",0,IF(ISNUMBER(S66),S66,1)))</f>
        <v/>
      </c>
    </row>
    <row r="67">
      <c r="A67" s="1" t="n"/>
      <c r="B67" s="24" t="n"/>
      <c r="C67" s="25" t="n"/>
      <c r="D67" s="25" t="n"/>
      <c r="E67" s="26" t="n"/>
      <c r="F67" s="27" t="n"/>
      <c r="G67" s="17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9">
        <f>IF(N(E67)=0,"",E67*IF(F67="",1,IFERROR(INDEX(Setup!$E$9:$E$18,MATCH(F67,Setup!$D$9:$D$18,0)),0)))</f>
        <v/>
      </c>
      <c r="U67" s="30">
        <f>IF(T67="","",IF(V67=0,"Everyone",IF(COUNTIF(AI67:AT67,"&gt;0")=COUNTIF(Setup!$B$9:$B$20,"?*"),"Everyone",COUNTIF(AI67:AT67,"&gt;0")&amp;IF(COUNTIF(AI67:AT67,"&gt;0")=1," person"," people"))))</f>
        <v/>
      </c>
      <c r="V67" s="1">
        <f>SUM(AI67:AT67)</f>
        <v/>
      </c>
      <c r="W67">
        <f>IF(OR(T67="",Setup!$B$9=""),0,IF(V67=0,T67/COUNTIF(Setup!$B$9:$B$20,"?*"),T67*AI67/V67))</f>
        <v/>
      </c>
      <c r="X67">
        <f>IF(OR(T67="",Setup!$B$10=""),0,IF(V67=0,T67/COUNTIF(Setup!$B$9:$B$20,"?*"),T67*AJ67/V67))</f>
        <v/>
      </c>
      <c r="Y67">
        <f>IF(OR(T67="",Setup!$B$11=""),0,IF(V67=0,T67/COUNTIF(Setup!$B$9:$B$20,"?*"),T67*AK67/V67))</f>
        <v/>
      </c>
      <c r="Z67">
        <f>IF(OR(T67="",Setup!$B$12=""),0,IF(V67=0,T67/COUNTIF(Setup!$B$9:$B$20,"?*"),T67*AL67/V67))</f>
        <v/>
      </c>
      <c r="AA67">
        <f>IF(OR(T67="",Setup!$B$13=""),0,IF(V67=0,T67/COUNTIF(Setup!$B$9:$B$20,"?*"),T67*AM67/V67))</f>
        <v/>
      </c>
      <c r="AB67">
        <f>IF(OR(T67="",Setup!$B$14=""),0,IF(V67=0,T67/COUNTIF(Setup!$B$9:$B$20,"?*"),T67*AN67/V67))</f>
        <v/>
      </c>
      <c r="AC67">
        <f>IF(OR(T67="",Setup!$B$15=""),0,IF(V67=0,T67/COUNTIF(Setup!$B$9:$B$20,"?*"),T67*AO67/V67))</f>
        <v/>
      </c>
      <c r="AD67">
        <f>IF(OR(T67="",Setup!$B$16=""),0,IF(V67=0,T67/COUNTIF(Setup!$B$9:$B$20,"?*"),T67*AP67/V67))</f>
        <v/>
      </c>
      <c r="AE67">
        <f>IF(OR(T67="",Setup!$B$17=""),0,IF(V67=0,T67/COUNTIF(Setup!$B$9:$B$20,"?*"),T67*AQ67/V67))</f>
        <v/>
      </c>
      <c r="AF67">
        <f>IF(OR(T67="",Setup!$B$18=""),0,IF(V67=0,T67/COUNTIF(Setup!$B$9:$B$20,"?*"),T67*AR67/V67))</f>
        <v/>
      </c>
      <c r="AG67">
        <f>IF(OR(T67="",Setup!$B$19=""),0,IF(V67=0,T67/COUNTIF(Setup!$B$9:$B$20,"?*"),T67*AS67/V67))</f>
        <v/>
      </c>
      <c r="AH67">
        <f>IF(OR(T67="",Setup!$B$20=""),0,IF(V67=0,T67/COUNTIF(Setup!$B$9:$B$20,"?*"),T67*AT67/V67))</f>
        <v/>
      </c>
      <c r="AI67">
        <f>IF(Setup!$B$9="",0,IF(H67="",0,IF(ISNUMBER(H67),H67,1)))</f>
        <v/>
      </c>
      <c r="AJ67">
        <f>IF(Setup!$B$10="",0,IF(I67="",0,IF(ISNUMBER(I67),I67,1)))</f>
        <v/>
      </c>
      <c r="AK67">
        <f>IF(Setup!$B$11="",0,IF(J67="",0,IF(ISNUMBER(J67),J67,1)))</f>
        <v/>
      </c>
      <c r="AL67">
        <f>IF(Setup!$B$12="",0,IF(K67="",0,IF(ISNUMBER(K67),K67,1)))</f>
        <v/>
      </c>
      <c r="AM67">
        <f>IF(Setup!$B$13="",0,IF(L67="",0,IF(ISNUMBER(L67),L67,1)))</f>
        <v/>
      </c>
      <c r="AN67">
        <f>IF(Setup!$B$14="",0,IF(M67="",0,IF(ISNUMBER(M67),M67,1)))</f>
        <v/>
      </c>
      <c r="AO67">
        <f>IF(Setup!$B$15="",0,IF(N67="",0,IF(ISNUMBER(N67),N67,1)))</f>
        <v/>
      </c>
      <c r="AP67">
        <f>IF(Setup!$B$16="",0,IF(O67="",0,IF(ISNUMBER(O67),O67,1)))</f>
        <v/>
      </c>
      <c r="AQ67">
        <f>IF(Setup!$B$17="",0,IF(P67="",0,IF(ISNUMBER(P67),P67,1)))</f>
        <v/>
      </c>
      <c r="AR67">
        <f>IF(Setup!$B$18="",0,IF(Q67="",0,IF(ISNUMBER(Q67),Q67,1)))</f>
        <v/>
      </c>
      <c r="AS67">
        <f>IF(Setup!$B$19="",0,IF(R67="",0,IF(ISNUMBER(R67),R67,1)))</f>
        <v/>
      </c>
      <c r="AT67">
        <f>IF(Setup!$B$20="",0,IF(S67="",0,IF(ISNUMBER(S67),S67,1)))</f>
        <v/>
      </c>
    </row>
    <row r="68">
      <c r="A68" s="1" t="n"/>
      <c r="B68" s="24" t="n"/>
      <c r="C68" s="25" t="n"/>
      <c r="D68" s="25" t="n"/>
      <c r="E68" s="26" t="n"/>
      <c r="F68" s="27" t="n"/>
      <c r="G68" s="17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9">
        <f>IF(N(E68)=0,"",E68*IF(F68="",1,IFERROR(INDEX(Setup!$E$9:$E$18,MATCH(F68,Setup!$D$9:$D$18,0)),0)))</f>
        <v/>
      </c>
      <c r="U68" s="30">
        <f>IF(T68="","",IF(V68=0,"Everyone",IF(COUNTIF(AI68:AT68,"&gt;0")=COUNTIF(Setup!$B$9:$B$20,"?*"),"Everyone",COUNTIF(AI68:AT68,"&gt;0")&amp;IF(COUNTIF(AI68:AT68,"&gt;0")=1," person"," people"))))</f>
        <v/>
      </c>
      <c r="V68" s="1">
        <f>SUM(AI68:AT68)</f>
        <v/>
      </c>
      <c r="W68">
        <f>IF(OR(T68="",Setup!$B$9=""),0,IF(V68=0,T68/COUNTIF(Setup!$B$9:$B$20,"?*"),T68*AI68/V68))</f>
        <v/>
      </c>
      <c r="X68">
        <f>IF(OR(T68="",Setup!$B$10=""),0,IF(V68=0,T68/COUNTIF(Setup!$B$9:$B$20,"?*"),T68*AJ68/V68))</f>
        <v/>
      </c>
      <c r="Y68">
        <f>IF(OR(T68="",Setup!$B$11=""),0,IF(V68=0,T68/COUNTIF(Setup!$B$9:$B$20,"?*"),T68*AK68/V68))</f>
        <v/>
      </c>
      <c r="Z68">
        <f>IF(OR(T68="",Setup!$B$12=""),0,IF(V68=0,T68/COUNTIF(Setup!$B$9:$B$20,"?*"),T68*AL68/V68))</f>
        <v/>
      </c>
      <c r="AA68">
        <f>IF(OR(T68="",Setup!$B$13=""),0,IF(V68=0,T68/COUNTIF(Setup!$B$9:$B$20,"?*"),T68*AM68/V68))</f>
        <v/>
      </c>
      <c r="AB68">
        <f>IF(OR(T68="",Setup!$B$14=""),0,IF(V68=0,T68/COUNTIF(Setup!$B$9:$B$20,"?*"),T68*AN68/V68))</f>
        <v/>
      </c>
      <c r="AC68">
        <f>IF(OR(T68="",Setup!$B$15=""),0,IF(V68=0,T68/COUNTIF(Setup!$B$9:$B$20,"?*"),T68*AO68/V68))</f>
        <v/>
      </c>
      <c r="AD68">
        <f>IF(OR(T68="",Setup!$B$16=""),0,IF(V68=0,T68/COUNTIF(Setup!$B$9:$B$20,"?*"),T68*AP68/V68))</f>
        <v/>
      </c>
      <c r="AE68">
        <f>IF(OR(T68="",Setup!$B$17=""),0,IF(V68=0,T68/COUNTIF(Setup!$B$9:$B$20,"?*"),T68*AQ68/V68))</f>
        <v/>
      </c>
      <c r="AF68">
        <f>IF(OR(T68="",Setup!$B$18=""),0,IF(V68=0,T68/COUNTIF(Setup!$B$9:$B$20,"?*"),T68*AR68/V68))</f>
        <v/>
      </c>
      <c r="AG68">
        <f>IF(OR(T68="",Setup!$B$19=""),0,IF(V68=0,T68/COUNTIF(Setup!$B$9:$B$20,"?*"),T68*AS68/V68))</f>
        <v/>
      </c>
      <c r="AH68">
        <f>IF(OR(T68="",Setup!$B$20=""),0,IF(V68=0,T68/COUNTIF(Setup!$B$9:$B$20,"?*"),T68*AT68/V68))</f>
        <v/>
      </c>
      <c r="AI68">
        <f>IF(Setup!$B$9="",0,IF(H68="",0,IF(ISNUMBER(H68),H68,1)))</f>
        <v/>
      </c>
      <c r="AJ68">
        <f>IF(Setup!$B$10="",0,IF(I68="",0,IF(ISNUMBER(I68),I68,1)))</f>
        <v/>
      </c>
      <c r="AK68">
        <f>IF(Setup!$B$11="",0,IF(J68="",0,IF(ISNUMBER(J68),J68,1)))</f>
        <v/>
      </c>
      <c r="AL68">
        <f>IF(Setup!$B$12="",0,IF(K68="",0,IF(ISNUMBER(K68),K68,1)))</f>
        <v/>
      </c>
      <c r="AM68">
        <f>IF(Setup!$B$13="",0,IF(L68="",0,IF(ISNUMBER(L68),L68,1)))</f>
        <v/>
      </c>
      <c r="AN68">
        <f>IF(Setup!$B$14="",0,IF(M68="",0,IF(ISNUMBER(M68),M68,1)))</f>
        <v/>
      </c>
      <c r="AO68">
        <f>IF(Setup!$B$15="",0,IF(N68="",0,IF(ISNUMBER(N68),N68,1)))</f>
        <v/>
      </c>
      <c r="AP68">
        <f>IF(Setup!$B$16="",0,IF(O68="",0,IF(ISNUMBER(O68),O68,1)))</f>
        <v/>
      </c>
      <c r="AQ68">
        <f>IF(Setup!$B$17="",0,IF(P68="",0,IF(ISNUMBER(P68),P68,1)))</f>
        <v/>
      </c>
      <c r="AR68">
        <f>IF(Setup!$B$18="",0,IF(Q68="",0,IF(ISNUMBER(Q68),Q68,1)))</f>
        <v/>
      </c>
      <c r="AS68">
        <f>IF(Setup!$B$19="",0,IF(R68="",0,IF(ISNUMBER(R68),R68,1)))</f>
        <v/>
      </c>
      <c r="AT68">
        <f>IF(Setup!$B$20="",0,IF(S68="",0,IF(ISNUMBER(S68),S68,1)))</f>
        <v/>
      </c>
    </row>
    <row r="69">
      <c r="A69" s="1" t="n"/>
      <c r="B69" s="24" t="n"/>
      <c r="C69" s="25" t="n"/>
      <c r="D69" s="25" t="n"/>
      <c r="E69" s="26" t="n"/>
      <c r="F69" s="27" t="n"/>
      <c r="G69" s="17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28" t="n"/>
      <c r="R69" s="28" t="n"/>
      <c r="S69" s="28" t="n"/>
      <c r="T69" s="29">
        <f>IF(N(E69)=0,"",E69*IF(F69="",1,IFERROR(INDEX(Setup!$E$9:$E$18,MATCH(F69,Setup!$D$9:$D$18,0)),0)))</f>
        <v/>
      </c>
      <c r="U69" s="30">
        <f>IF(T69="","",IF(V69=0,"Everyone",IF(COUNTIF(AI69:AT69,"&gt;0")=COUNTIF(Setup!$B$9:$B$20,"?*"),"Everyone",COUNTIF(AI69:AT69,"&gt;0")&amp;IF(COUNTIF(AI69:AT69,"&gt;0")=1," person"," people"))))</f>
        <v/>
      </c>
      <c r="V69" s="1">
        <f>SUM(AI69:AT69)</f>
        <v/>
      </c>
      <c r="W69">
        <f>IF(OR(T69="",Setup!$B$9=""),0,IF(V69=0,T69/COUNTIF(Setup!$B$9:$B$20,"?*"),T69*AI69/V69))</f>
        <v/>
      </c>
      <c r="X69">
        <f>IF(OR(T69="",Setup!$B$10=""),0,IF(V69=0,T69/COUNTIF(Setup!$B$9:$B$20,"?*"),T69*AJ69/V69))</f>
        <v/>
      </c>
      <c r="Y69">
        <f>IF(OR(T69="",Setup!$B$11=""),0,IF(V69=0,T69/COUNTIF(Setup!$B$9:$B$20,"?*"),T69*AK69/V69))</f>
        <v/>
      </c>
      <c r="Z69">
        <f>IF(OR(T69="",Setup!$B$12=""),0,IF(V69=0,T69/COUNTIF(Setup!$B$9:$B$20,"?*"),T69*AL69/V69))</f>
        <v/>
      </c>
      <c r="AA69">
        <f>IF(OR(T69="",Setup!$B$13=""),0,IF(V69=0,T69/COUNTIF(Setup!$B$9:$B$20,"?*"),T69*AM69/V69))</f>
        <v/>
      </c>
      <c r="AB69">
        <f>IF(OR(T69="",Setup!$B$14=""),0,IF(V69=0,T69/COUNTIF(Setup!$B$9:$B$20,"?*"),T69*AN69/V69))</f>
        <v/>
      </c>
      <c r="AC69">
        <f>IF(OR(T69="",Setup!$B$15=""),0,IF(V69=0,T69/COUNTIF(Setup!$B$9:$B$20,"?*"),T69*AO69/V69))</f>
        <v/>
      </c>
      <c r="AD69">
        <f>IF(OR(T69="",Setup!$B$16=""),0,IF(V69=0,T69/COUNTIF(Setup!$B$9:$B$20,"?*"),T69*AP69/V69))</f>
        <v/>
      </c>
      <c r="AE69">
        <f>IF(OR(T69="",Setup!$B$17=""),0,IF(V69=0,T69/COUNTIF(Setup!$B$9:$B$20,"?*"),T69*AQ69/V69))</f>
        <v/>
      </c>
      <c r="AF69">
        <f>IF(OR(T69="",Setup!$B$18=""),0,IF(V69=0,T69/COUNTIF(Setup!$B$9:$B$20,"?*"),T69*AR69/V69))</f>
        <v/>
      </c>
      <c r="AG69">
        <f>IF(OR(T69="",Setup!$B$19=""),0,IF(V69=0,T69/COUNTIF(Setup!$B$9:$B$20,"?*"),T69*AS69/V69))</f>
        <v/>
      </c>
      <c r="AH69">
        <f>IF(OR(T69="",Setup!$B$20=""),0,IF(V69=0,T69/COUNTIF(Setup!$B$9:$B$20,"?*"),T69*AT69/V69))</f>
        <v/>
      </c>
      <c r="AI69">
        <f>IF(Setup!$B$9="",0,IF(H69="",0,IF(ISNUMBER(H69),H69,1)))</f>
        <v/>
      </c>
      <c r="AJ69">
        <f>IF(Setup!$B$10="",0,IF(I69="",0,IF(ISNUMBER(I69),I69,1)))</f>
        <v/>
      </c>
      <c r="AK69">
        <f>IF(Setup!$B$11="",0,IF(J69="",0,IF(ISNUMBER(J69),J69,1)))</f>
        <v/>
      </c>
      <c r="AL69">
        <f>IF(Setup!$B$12="",0,IF(K69="",0,IF(ISNUMBER(K69),K69,1)))</f>
        <v/>
      </c>
      <c r="AM69">
        <f>IF(Setup!$B$13="",0,IF(L69="",0,IF(ISNUMBER(L69),L69,1)))</f>
        <v/>
      </c>
      <c r="AN69">
        <f>IF(Setup!$B$14="",0,IF(M69="",0,IF(ISNUMBER(M69),M69,1)))</f>
        <v/>
      </c>
      <c r="AO69">
        <f>IF(Setup!$B$15="",0,IF(N69="",0,IF(ISNUMBER(N69),N69,1)))</f>
        <v/>
      </c>
      <c r="AP69">
        <f>IF(Setup!$B$16="",0,IF(O69="",0,IF(ISNUMBER(O69),O69,1)))</f>
        <v/>
      </c>
      <c r="AQ69">
        <f>IF(Setup!$B$17="",0,IF(P69="",0,IF(ISNUMBER(P69),P69,1)))</f>
        <v/>
      </c>
      <c r="AR69">
        <f>IF(Setup!$B$18="",0,IF(Q69="",0,IF(ISNUMBER(Q69),Q69,1)))</f>
        <v/>
      </c>
      <c r="AS69">
        <f>IF(Setup!$B$19="",0,IF(R69="",0,IF(ISNUMBER(R69),R69,1)))</f>
        <v/>
      </c>
      <c r="AT69">
        <f>IF(Setup!$B$20="",0,IF(S69="",0,IF(ISNUMBER(S69),S69,1)))</f>
        <v/>
      </c>
    </row>
    <row r="70">
      <c r="A70" s="1" t="n"/>
      <c r="B70" s="24" t="n"/>
      <c r="C70" s="25" t="n"/>
      <c r="D70" s="25" t="n"/>
      <c r="E70" s="26" t="n"/>
      <c r="F70" s="27" t="n"/>
      <c r="G70" s="17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28" t="n"/>
      <c r="R70" s="28" t="n"/>
      <c r="S70" s="28" t="n"/>
      <c r="T70" s="29">
        <f>IF(N(E70)=0,"",E70*IF(F70="",1,IFERROR(INDEX(Setup!$E$9:$E$18,MATCH(F70,Setup!$D$9:$D$18,0)),0)))</f>
        <v/>
      </c>
      <c r="U70" s="30">
        <f>IF(T70="","",IF(V70=0,"Everyone",IF(COUNTIF(AI70:AT70,"&gt;0")=COUNTIF(Setup!$B$9:$B$20,"?*"),"Everyone",COUNTIF(AI70:AT70,"&gt;0")&amp;IF(COUNTIF(AI70:AT70,"&gt;0")=1," person"," people"))))</f>
        <v/>
      </c>
      <c r="V70" s="1">
        <f>SUM(AI70:AT70)</f>
        <v/>
      </c>
      <c r="W70">
        <f>IF(OR(T70="",Setup!$B$9=""),0,IF(V70=0,T70/COUNTIF(Setup!$B$9:$B$20,"?*"),T70*AI70/V70))</f>
        <v/>
      </c>
      <c r="X70">
        <f>IF(OR(T70="",Setup!$B$10=""),0,IF(V70=0,T70/COUNTIF(Setup!$B$9:$B$20,"?*"),T70*AJ70/V70))</f>
        <v/>
      </c>
      <c r="Y70">
        <f>IF(OR(T70="",Setup!$B$11=""),0,IF(V70=0,T70/COUNTIF(Setup!$B$9:$B$20,"?*"),T70*AK70/V70))</f>
        <v/>
      </c>
      <c r="Z70">
        <f>IF(OR(T70="",Setup!$B$12=""),0,IF(V70=0,T70/COUNTIF(Setup!$B$9:$B$20,"?*"),T70*AL70/V70))</f>
        <v/>
      </c>
      <c r="AA70">
        <f>IF(OR(T70="",Setup!$B$13=""),0,IF(V70=0,T70/COUNTIF(Setup!$B$9:$B$20,"?*"),T70*AM70/V70))</f>
        <v/>
      </c>
      <c r="AB70">
        <f>IF(OR(T70="",Setup!$B$14=""),0,IF(V70=0,T70/COUNTIF(Setup!$B$9:$B$20,"?*"),T70*AN70/V70))</f>
        <v/>
      </c>
      <c r="AC70">
        <f>IF(OR(T70="",Setup!$B$15=""),0,IF(V70=0,T70/COUNTIF(Setup!$B$9:$B$20,"?*"),T70*AO70/V70))</f>
        <v/>
      </c>
      <c r="AD70">
        <f>IF(OR(T70="",Setup!$B$16=""),0,IF(V70=0,T70/COUNTIF(Setup!$B$9:$B$20,"?*"),T70*AP70/V70))</f>
        <v/>
      </c>
      <c r="AE70">
        <f>IF(OR(T70="",Setup!$B$17=""),0,IF(V70=0,T70/COUNTIF(Setup!$B$9:$B$20,"?*"),T70*AQ70/V70))</f>
        <v/>
      </c>
      <c r="AF70">
        <f>IF(OR(T70="",Setup!$B$18=""),0,IF(V70=0,T70/COUNTIF(Setup!$B$9:$B$20,"?*"),T70*AR70/V70))</f>
        <v/>
      </c>
      <c r="AG70">
        <f>IF(OR(T70="",Setup!$B$19=""),0,IF(V70=0,T70/COUNTIF(Setup!$B$9:$B$20,"?*"),T70*AS70/V70))</f>
        <v/>
      </c>
      <c r="AH70">
        <f>IF(OR(T70="",Setup!$B$20=""),0,IF(V70=0,T70/COUNTIF(Setup!$B$9:$B$20,"?*"),T70*AT70/V70))</f>
        <v/>
      </c>
      <c r="AI70">
        <f>IF(Setup!$B$9="",0,IF(H70="",0,IF(ISNUMBER(H70),H70,1)))</f>
        <v/>
      </c>
      <c r="AJ70">
        <f>IF(Setup!$B$10="",0,IF(I70="",0,IF(ISNUMBER(I70),I70,1)))</f>
        <v/>
      </c>
      <c r="AK70">
        <f>IF(Setup!$B$11="",0,IF(J70="",0,IF(ISNUMBER(J70),J70,1)))</f>
        <v/>
      </c>
      <c r="AL70">
        <f>IF(Setup!$B$12="",0,IF(K70="",0,IF(ISNUMBER(K70),K70,1)))</f>
        <v/>
      </c>
      <c r="AM70">
        <f>IF(Setup!$B$13="",0,IF(L70="",0,IF(ISNUMBER(L70),L70,1)))</f>
        <v/>
      </c>
      <c r="AN70">
        <f>IF(Setup!$B$14="",0,IF(M70="",0,IF(ISNUMBER(M70),M70,1)))</f>
        <v/>
      </c>
      <c r="AO70">
        <f>IF(Setup!$B$15="",0,IF(N70="",0,IF(ISNUMBER(N70),N70,1)))</f>
        <v/>
      </c>
      <c r="AP70">
        <f>IF(Setup!$B$16="",0,IF(O70="",0,IF(ISNUMBER(O70),O70,1)))</f>
        <v/>
      </c>
      <c r="AQ70">
        <f>IF(Setup!$B$17="",0,IF(P70="",0,IF(ISNUMBER(P70),P70,1)))</f>
        <v/>
      </c>
      <c r="AR70">
        <f>IF(Setup!$B$18="",0,IF(Q70="",0,IF(ISNUMBER(Q70),Q70,1)))</f>
        <v/>
      </c>
      <c r="AS70">
        <f>IF(Setup!$B$19="",0,IF(R70="",0,IF(ISNUMBER(R70),R70,1)))</f>
        <v/>
      </c>
      <c r="AT70">
        <f>IF(Setup!$B$20="",0,IF(S70="",0,IF(ISNUMBER(S70),S70,1)))</f>
        <v/>
      </c>
    </row>
    <row r="71">
      <c r="A71" s="1" t="n"/>
      <c r="B71" s="24" t="n"/>
      <c r="C71" s="25" t="n"/>
      <c r="D71" s="25" t="n"/>
      <c r="E71" s="26" t="n"/>
      <c r="F71" s="27" t="n"/>
      <c r="G71" s="17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28" t="n"/>
      <c r="R71" s="28" t="n"/>
      <c r="S71" s="28" t="n"/>
      <c r="T71" s="29">
        <f>IF(N(E71)=0,"",E71*IF(F71="",1,IFERROR(INDEX(Setup!$E$9:$E$18,MATCH(F71,Setup!$D$9:$D$18,0)),0)))</f>
        <v/>
      </c>
      <c r="U71" s="30">
        <f>IF(T71="","",IF(V71=0,"Everyone",IF(COUNTIF(AI71:AT71,"&gt;0")=COUNTIF(Setup!$B$9:$B$20,"?*"),"Everyone",COUNTIF(AI71:AT71,"&gt;0")&amp;IF(COUNTIF(AI71:AT71,"&gt;0")=1," person"," people"))))</f>
        <v/>
      </c>
      <c r="V71" s="1">
        <f>SUM(AI71:AT71)</f>
        <v/>
      </c>
      <c r="W71">
        <f>IF(OR(T71="",Setup!$B$9=""),0,IF(V71=0,T71/COUNTIF(Setup!$B$9:$B$20,"?*"),T71*AI71/V71))</f>
        <v/>
      </c>
      <c r="X71">
        <f>IF(OR(T71="",Setup!$B$10=""),0,IF(V71=0,T71/COUNTIF(Setup!$B$9:$B$20,"?*"),T71*AJ71/V71))</f>
        <v/>
      </c>
      <c r="Y71">
        <f>IF(OR(T71="",Setup!$B$11=""),0,IF(V71=0,T71/COUNTIF(Setup!$B$9:$B$20,"?*"),T71*AK71/V71))</f>
        <v/>
      </c>
      <c r="Z71">
        <f>IF(OR(T71="",Setup!$B$12=""),0,IF(V71=0,T71/COUNTIF(Setup!$B$9:$B$20,"?*"),T71*AL71/V71))</f>
        <v/>
      </c>
      <c r="AA71">
        <f>IF(OR(T71="",Setup!$B$13=""),0,IF(V71=0,T71/COUNTIF(Setup!$B$9:$B$20,"?*"),T71*AM71/V71))</f>
        <v/>
      </c>
      <c r="AB71">
        <f>IF(OR(T71="",Setup!$B$14=""),0,IF(V71=0,T71/COUNTIF(Setup!$B$9:$B$20,"?*"),T71*AN71/V71))</f>
        <v/>
      </c>
      <c r="AC71">
        <f>IF(OR(T71="",Setup!$B$15=""),0,IF(V71=0,T71/COUNTIF(Setup!$B$9:$B$20,"?*"),T71*AO71/V71))</f>
        <v/>
      </c>
      <c r="AD71">
        <f>IF(OR(T71="",Setup!$B$16=""),0,IF(V71=0,T71/COUNTIF(Setup!$B$9:$B$20,"?*"),T71*AP71/V71))</f>
        <v/>
      </c>
      <c r="AE71">
        <f>IF(OR(T71="",Setup!$B$17=""),0,IF(V71=0,T71/COUNTIF(Setup!$B$9:$B$20,"?*"),T71*AQ71/V71))</f>
        <v/>
      </c>
      <c r="AF71">
        <f>IF(OR(T71="",Setup!$B$18=""),0,IF(V71=0,T71/COUNTIF(Setup!$B$9:$B$20,"?*"),T71*AR71/V71))</f>
        <v/>
      </c>
      <c r="AG71">
        <f>IF(OR(T71="",Setup!$B$19=""),0,IF(V71=0,T71/COUNTIF(Setup!$B$9:$B$20,"?*"),T71*AS71/V71))</f>
        <v/>
      </c>
      <c r="AH71">
        <f>IF(OR(T71="",Setup!$B$20=""),0,IF(V71=0,T71/COUNTIF(Setup!$B$9:$B$20,"?*"),T71*AT71/V71))</f>
        <v/>
      </c>
      <c r="AI71">
        <f>IF(Setup!$B$9="",0,IF(H71="",0,IF(ISNUMBER(H71),H71,1)))</f>
        <v/>
      </c>
      <c r="AJ71">
        <f>IF(Setup!$B$10="",0,IF(I71="",0,IF(ISNUMBER(I71),I71,1)))</f>
        <v/>
      </c>
      <c r="AK71">
        <f>IF(Setup!$B$11="",0,IF(J71="",0,IF(ISNUMBER(J71),J71,1)))</f>
        <v/>
      </c>
      <c r="AL71">
        <f>IF(Setup!$B$12="",0,IF(K71="",0,IF(ISNUMBER(K71),K71,1)))</f>
        <v/>
      </c>
      <c r="AM71">
        <f>IF(Setup!$B$13="",0,IF(L71="",0,IF(ISNUMBER(L71),L71,1)))</f>
        <v/>
      </c>
      <c r="AN71">
        <f>IF(Setup!$B$14="",0,IF(M71="",0,IF(ISNUMBER(M71),M71,1)))</f>
        <v/>
      </c>
      <c r="AO71">
        <f>IF(Setup!$B$15="",0,IF(N71="",0,IF(ISNUMBER(N71),N71,1)))</f>
        <v/>
      </c>
      <c r="AP71">
        <f>IF(Setup!$B$16="",0,IF(O71="",0,IF(ISNUMBER(O71),O71,1)))</f>
        <v/>
      </c>
      <c r="AQ71">
        <f>IF(Setup!$B$17="",0,IF(P71="",0,IF(ISNUMBER(P71),P71,1)))</f>
        <v/>
      </c>
      <c r="AR71">
        <f>IF(Setup!$B$18="",0,IF(Q71="",0,IF(ISNUMBER(Q71),Q71,1)))</f>
        <v/>
      </c>
      <c r="AS71">
        <f>IF(Setup!$B$19="",0,IF(R71="",0,IF(ISNUMBER(R71),R71,1)))</f>
        <v/>
      </c>
      <c r="AT71">
        <f>IF(Setup!$B$20="",0,IF(S71="",0,IF(ISNUMBER(S71),S71,1)))</f>
        <v/>
      </c>
    </row>
    <row r="72">
      <c r="A72" s="1" t="n"/>
      <c r="B72" s="24" t="n"/>
      <c r="C72" s="25" t="n"/>
      <c r="D72" s="25" t="n"/>
      <c r="E72" s="26" t="n"/>
      <c r="F72" s="27" t="n"/>
      <c r="G72" s="17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28" t="n"/>
      <c r="R72" s="28" t="n"/>
      <c r="S72" s="28" t="n"/>
      <c r="T72" s="29">
        <f>IF(N(E72)=0,"",E72*IF(F72="",1,IFERROR(INDEX(Setup!$E$9:$E$18,MATCH(F72,Setup!$D$9:$D$18,0)),0)))</f>
        <v/>
      </c>
      <c r="U72" s="30">
        <f>IF(T72="","",IF(V72=0,"Everyone",IF(COUNTIF(AI72:AT72,"&gt;0")=COUNTIF(Setup!$B$9:$B$20,"?*"),"Everyone",COUNTIF(AI72:AT72,"&gt;0")&amp;IF(COUNTIF(AI72:AT72,"&gt;0")=1," person"," people"))))</f>
        <v/>
      </c>
      <c r="V72" s="1">
        <f>SUM(AI72:AT72)</f>
        <v/>
      </c>
      <c r="W72">
        <f>IF(OR(T72="",Setup!$B$9=""),0,IF(V72=0,T72/COUNTIF(Setup!$B$9:$B$20,"?*"),T72*AI72/V72))</f>
        <v/>
      </c>
      <c r="X72">
        <f>IF(OR(T72="",Setup!$B$10=""),0,IF(V72=0,T72/COUNTIF(Setup!$B$9:$B$20,"?*"),T72*AJ72/V72))</f>
        <v/>
      </c>
      <c r="Y72">
        <f>IF(OR(T72="",Setup!$B$11=""),0,IF(V72=0,T72/COUNTIF(Setup!$B$9:$B$20,"?*"),T72*AK72/V72))</f>
        <v/>
      </c>
      <c r="Z72">
        <f>IF(OR(T72="",Setup!$B$12=""),0,IF(V72=0,T72/COUNTIF(Setup!$B$9:$B$20,"?*"),T72*AL72/V72))</f>
        <v/>
      </c>
      <c r="AA72">
        <f>IF(OR(T72="",Setup!$B$13=""),0,IF(V72=0,T72/COUNTIF(Setup!$B$9:$B$20,"?*"),T72*AM72/V72))</f>
        <v/>
      </c>
      <c r="AB72">
        <f>IF(OR(T72="",Setup!$B$14=""),0,IF(V72=0,T72/COUNTIF(Setup!$B$9:$B$20,"?*"),T72*AN72/V72))</f>
        <v/>
      </c>
      <c r="AC72">
        <f>IF(OR(T72="",Setup!$B$15=""),0,IF(V72=0,T72/COUNTIF(Setup!$B$9:$B$20,"?*"),T72*AO72/V72))</f>
        <v/>
      </c>
      <c r="AD72">
        <f>IF(OR(T72="",Setup!$B$16=""),0,IF(V72=0,T72/COUNTIF(Setup!$B$9:$B$20,"?*"),T72*AP72/V72))</f>
        <v/>
      </c>
      <c r="AE72">
        <f>IF(OR(T72="",Setup!$B$17=""),0,IF(V72=0,T72/COUNTIF(Setup!$B$9:$B$20,"?*"),T72*AQ72/V72))</f>
        <v/>
      </c>
      <c r="AF72">
        <f>IF(OR(T72="",Setup!$B$18=""),0,IF(V72=0,T72/COUNTIF(Setup!$B$9:$B$20,"?*"),T72*AR72/V72))</f>
        <v/>
      </c>
      <c r="AG72">
        <f>IF(OR(T72="",Setup!$B$19=""),0,IF(V72=0,T72/COUNTIF(Setup!$B$9:$B$20,"?*"),T72*AS72/V72))</f>
        <v/>
      </c>
      <c r="AH72">
        <f>IF(OR(T72="",Setup!$B$20=""),0,IF(V72=0,T72/COUNTIF(Setup!$B$9:$B$20,"?*"),T72*AT72/V72))</f>
        <v/>
      </c>
      <c r="AI72">
        <f>IF(Setup!$B$9="",0,IF(H72="",0,IF(ISNUMBER(H72),H72,1)))</f>
        <v/>
      </c>
      <c r="AJ72">
        <f>IF(Setup!$B$10="",0,IF(I72="",0,IF(ISNUMBER(I72),I72,1)))</f>
        <v/>
      </c>
      <c r="AK72">
        <f>IF(Setup!$B$11="",0,IF(J72="",0,IF(ISNUMBER(J72),J72,1)))</f>
        <v/>
      </c>
      <c r="AL72">
        <f>IF(Setup!$B$12="",0,IF(K72="",0,IF(ISNUMBER(K72),K72,1)))</f>
        <v/>
      </c>
      <c r="AM72">
        <f>IF(Setup!$B$13="",0,IF(L72="",0,IF(ISNUMBER(L72),L72,1)))</f>
        <v/>
      </c>
      <c r="AN72">
        <f>IF(Setup!$B$14="",0,IF(M72="",0,IF(ISNUMBER(M72),M72,1)))</f>
        <v/>
      </c>
      <c r="AO72">
        <f>IF(Setup!$B$15="",0,IF(N72="",0,IF(ISNUMBER(N72),N72,1)))</f>
        <v/>
      </c>
      <c r="AP72">
        <f>IF(Setup!$B$16="",0,IF(O72="",0,IF(ISNUMBER(O72),O72,1)))</f>
        <v/>
      </c>
      <c r="AQ72">
        <f>IF(Setup!$B$17="",0,IF(P72="",0,IF(ISNUMBER(P72),P72,1)))</f>
        <v/>
      </c>
      <c r="AR72">
        <f>IF(Setup!$B$18="",0,IF(Q72="",0,IF(ISNUMBER(Q72),Q72,1)))</f>
        <v/>
      </c>
      <c r="AS72">
        <f>IF(Setup!$B$19="",0,IF(R72="",0,IF(ISNUMBER(R72),R72,1)))</f>
        <v/>
      </c>
      <c r="AT72">
        <f>IF(Setup!$B$20="",0,IF(S72="",0,IF(ISNUMBER(S72),S72,1)))</f>
        <v/>
      </c>
    </row>
    <row r="73">
      <c r="A73" s="1" t="n"/>
      <c r="B73" s="24" t="n"/>
      <c r="C73" s="25" t="n"/>
      <c r="D73" s="25" t="n"/>
      <c r="E73" s="26" t="n"/>
      <c r="F73" s="27" t="n"/>
      <c r="G73" s="17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/>
      <c r="T73" s="29">
        <f>IF(N(E73)=0,"",E73*IF(F73="",1,IFERROR(INDEX(Setup!$E$9:$E$18,MATCH(F73,Setup!$D$9:$D$18,0)),0)))</f>
        <v/>
      </c>
      <c r="U73" s="30">
        <f>IF(T73="","",IF(V73=0,"Everyone",IF(COUNTIF(AI73:AT73,"&gt;0")=COUNTIF(Setup!$B$9:$B$20,"?*"),"Everyone",COUNTIF(AI73:AT73,"&gt;0")&amp;IF(COUNTIF(AI73:AT73,"&gt;0")=1," person"," people"))))</f>
        <v/>
      </c>
      <c r="V73" s="1">
        <f>SUM(AI73:AT73)</f>
        <v/>
      </c>
      <c r="W73">
        <f>IF(OR(T73="",Setup!$B$9=""),0,IF(V73=0,T73/COUNTIF(Setup!$B$9:$B$20,"?*"),T73*AI73/V73))</f>
        <v/>
      </c>
      <c r="X73">
        <f>IF(OR(T73="",Setup!$B$10=""),0,IF(V73=0,T73/COUNTIF(Setup!$B$9:$B$20,"?*"),T73*AJ73/V73))</f>
        <v/>
      </c>
      <c r="Y73">
        <f>IF(OR(T73="",Setup!$B$11=""),0,IF(V73=0,T73/COUNTIF(Setup!$B$9:$B$20,"?*"),T73*AK73/V73))</f>
        <v/>
      </c>
      <c r="Z73">
        <f>IF(OR(T73="",Setup!$B$12=""),0,IF(V73=0,T73/COUNTIF(Setup!$B$9:$B$20,"?*"),T73*AL73/V73))</f>
        <v/>
      </c>
      <c r="AA73">
        <f>IF(OR(T73="",Setup!$B$13=""),0,IF(V73=0,T73/COUNTIF(Setup!$B$9:$B$20,"?*"),T73*AM73/V73))</f>
        <v/>
      </c>
      <c r="AB73">
        <f>IF(OR(T73="",Setup!$B$14=""),0,IF(V73=0,T73/COUNTIF(Setup!$B$9:$B$20,"?*"),T73*AN73/V73))</f>
        <v/>
      </c>
      <c r="AC73">
        <f>IF(OR(T73="",Setup!$B$15=""),0,IF(V73=0,T73/COUNTIF(Setup!$B$9:$B$20,"?*"),T73*AO73/V73))</f>
        <v/>
      </c>
      <c r="AD73">
        <f>IF(OR(T73="",Setup!$B$16=""),0,IF(V73=0,T73/COUNTIF(Setup!$B$9:$B$20,"?*"),T73*AP73/V73))</f>
        <v/>
      </c>
      <c r="AE73">
        <f>IF(OR(T73="",Setup!$B$17=""),0,IF(V73=0,T73/COUNTIF(Setup!$B$9:$B$20,"?*"),T73*AQ73/V73))</f>
        <v/>
      </c>
      <c r="AF73">
        <f>IF(OR(T73="",Setup!$B$18=""),0,IF(V73=0,T73/COUNTIF(Setup!$B$9:$B$20,"?*"),T73*AR73/V73))</f>
        <v/>
      </c>
      <c r="AG73">
        <f>IF(OR(T73="",Setup!$B$19=""),0,IF(V73=0,T73/COUNTIF(Setup!$B$9:$B$20,"?*"),T73*AS73/V73))</f>
        <v/>
      </c>
      <c r="AH73">
        <f>IF(OR(T73="",Setup!$B$20=""),0,IF(V73=0,T73/COUNTIF(Setup!$B$9:$B$20,"?*"),T73*AT73/V73))</f>
        <v/>
      </c>
      <c r="AI73">
        <f>IF(Setup!$B$9="",0,IF(H73="",0,IF(ISNUMBER(H73),H73,1)))</f>
        <v/>
      </c>
      <c r="AJ73">
        <f>IF(Setup!$B$10="",0,IF(I73="",0,IF(ISNUMBER(I73),I73,1)))</f>
        <v/>
      </c>
      <c r="AK73">
        <f>IF(Setup!$B$11="",0,IF(J73="",0,IF(ISNUMBER(J73),J73,1)))</f>
        <v/>
      </c>
      <c r="AL73">
        <f>IF(Setup!$B$12="",0,IF(K73="",0,IF(ISNUMBER(K73),K73,1)))</f>
        <v/>
      </c>
      <c r="AM73">
        <f>IF(Setup!$B$13="",0,IF(L73="",0,IF(ISNUMBER(L73),L73,1)))</f>
        <v/>
      </c>
      <c r="AN73">
        <f>IF(Setup!$B$14="",0,IF(M73="",0,IF(ISNUMBER(M73),M73,1)))</f>
        <v/>
      </c>
      <c r="AO73">
        <f>IF(Setup!$B$15="",0,IF(N73="",0,IF(ISNUMBER(N73),N73,1)))</f>
        <v/>
      </c>
      <c r="AP73">
        <f>IF(Setup!$B$16="",0,IF(O73="",0,IF(ISNUMBER(O73),O73,1)))</f>
        <v/>
      </c>
      <c r="AQ73">
        <f>IF(Setup!$B$17="",0,IF(P73="",0,IF(ISNUMBER(P73),P73,1)))</f>
        <v/>
      </c>
      <c r="AR73">
        <f>IF(Setup!$B$18="",0,IF(Q73="",0,IF(ISNUMBER(Q73),Q73,1)))</f>
        <v/>
      </c>
      <c r="AS73">
        <f>IF(Setup!$B$19="",0,IF(R73="",0,IF(ISNUMBER(R73),R73,1)))</f>
        <v/>
      </c>
      <c r="AT73">
        <f>IF(Setup!$B$20="",0,IF(S73="",0,IF(ISNUMBER(S73),S73,1)))</f>
        <v/>
      </c>
    </row>
    <row r="74">
      <c r="A74" s="1" t="n"/>
      <c r="B74" s="24" t="n"/>
      <c r="C74" s="25" t="n"/>
      <c r="D74" s="25" t="n"/>
      <c r="E74" s="26" t="n"/>
      <c r="F74" s="27" t="n"/>
      <c r="G74" s="17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9">
        <f>IF(N(E74)=0,"",E74*IF(F74="",1,IFERROR(INDEX(Setup!$E$9:$E$18,MATCH(F74,Setup!$D$9:$D$18,0)),0)))</f>
        <v/>
      </c>
      <c r="U74" s="30">
        <f>IF(T74="","",IF(V74=0,"Everyone",IF(COUNTIF(AI74:AT74,"&gt;0")=COUNTIF(Setup!$B$9:$B$20,"?*"),"Everyone",COUNTIF(AI74:AT74,"&gt;0")&amp;IF(COUNTIF(AI74:AT74,"&gt;0")=1," person"," people"))))</f>
        <v/>
      </c>
      <c r="V74" s="1">
        <f>SUM(AI74:AT74)</f>
        <v/>
      </c>
      <c r="W74">
        <f>IF(OR(T74="",Setup!$B$9=""),0,IF(V74=0,T74/COUNTIF(Setup!$B$9:$B$20,"?*"),T74*AI74/V74))</f>
        <v/>
      </c>
      <c r="X74">
        <f>IF(OR(T74="",Setup!$B$10=""),0,IF(V74=0,T74/COUNTIF(Setup!$B$9:$B$20,"?*"),T74*AJ74/V74))</f>
        <v/>
      </c>
      <c r="Y74">
        <f>IF(OR(T74="",Setup!$B$11=""),0,IF(V74=0,T74/COUNTIF(Setup!$B$9:$B$20,"?*"),T74*AK74/V74))</f>
        <v/>
      </c>
      <c r="Z74">
        <f>IF(OR(T74="",Setup!$B$12=""),0,IF(V74=0,T74/COUNTIF(Setup!$B$9:$B$20,"?*"),T74*AL74/V74))</f>
        <v/>
      </c>
      <c r="AA74">
        <f>IF(OR(T74="",Setup!$B$13=""),0,IF(V74=0,T74/COUNTIF(Setup!$B$9:$B$20,"?*"),T74*AM74/V74))</f>
        <v/>
      </c>
      <c r="AB74">
        <f>IF(OR(T74="",Setup!$B$14=""),0,IF(V74=0,T74/COUNTIF(Setup!$B$9:$B$20,"?*"),T74*AN74/V74))</f>
        <v/>
      </c>
      <c r="AC74">
        <f>IF(OR(T74="",Setup!$B$15=""),0,IF(V74=0,T74/COUNTIF(Setup!$B$9:$B$20,"?*"),T74*AO74/V74))</f>
        <v/>
      </c>
      <c r="AD74">
        <f>IF(OR(T74="",Setup!$B$16=""),0,IF(V74=0,T74/COUNTIF(Setup!$B$9:$B$20,"?*"),T74*AP74/V74))</f>
        <v/>
      </c>
      <c r="AE74">
        <f>IF(OR(T74="",Setup!$B$17=""),0,IF(V74=0,T74/COUNTIF(Setup!$B$9:$B$20,"?*"),T74*AQ74/V74))</f>
        <v/>
      </c>
      <c r="AF74">
        <f>IF(OR(T74="",Setup!$B$18=""),0,IF(V74=0,T74/COUNTIF(Setup!$B$9:$B$20,"?*"),T74*AR74/V74))</f>
        <v/>
      </c>
      <c r="AG74">
        <f>IF(OR(T74="",Setup!$B$19=""),0,IF(V74=0,T74/COUNTIF(Setup!$B$9:$B$20,"?*"),T74*AS74/V74))</f>
        <v/>
      </c>
      <c r="AH74">
        <f>IF(OR(T74="",Setup!$B$20=""),0,IF(V74=0,T74/COUNTIF(Setup!$B$9:$B$20,"?*"),T74*AT74/V74))</f>
        <v/>
      </c>
      <c r="AI74">
        <f>IF(Setup!$B$9="",0,IF(H74="",0,IF(ISNUMBER(H74),H74,1)))</f>
        <v/>
      </c>
      <c r="AJ74">
        <f>IF(Setup!$B$10="",0,IF(I74="",0,IF(ISNUMBER(I74),I74,1)))</f>
        <v/>
      </c>
      <c r="AK74">
        <f>IF(Setup!$B$11="",0,IF(J74="",0,IF(ISNUMBER(J74),J74,1)))</f>
        <v/>
      </c>
      <c r="AL74">
        <f>IF(Setup!$B$12="",0,IF(K74="",0,IF(ISNUMBER(K74),K74,1)))</f>
        <v/>
      </c>
      <c r="AM74">
        <f>IF(Setup!$B$13="",0,IF(L74="",0,IF(ISNUMBER(L74),L74,1)))</f>
        <v/>
      </c>
      <c r="AN74">
        <f>IF(Setup!$B$14="",0,IF(M74="",0,IF(ISNUMBER(M74),M74,1)))</f>
        <v/>
      </c>
      <c r="AO74">
        <f>IF(Setup!$B$15="",0,IF(N74="",0,IF(ISNUMBER(N74),N74,1)))</f>
        <v/>
      </c>
      <c r="AP74">
        <f>IF(Setup!$B$16="",0,IF(O74="",0,IF(ISNUMBER(O74),O74,1)))</f>
        <v/>
      </c>
      <c r="AQ74">
        <f>IF(Setup!$B$17="",0,IF(P74="",0,IF(ISNUMBER(P74),P74,1)))</f>
        <v/>
      </c>
      <c r="AR74">
        <f>IF(Setup!$B$18="",0,IF(Q74="",0,IF(ISNUMBER(Q74),Q74,1)))</f>
        <v/>
      </c>
      <c r="AS74">
        <f>IF(Setup!$B$19="",0,IF(R74="",0,IF(ISNUMBER(R74),R74,1)))</f>
        <v/>
      </c>
      <c r="AT74">
        <f>IF(Setup!$B$20="",0,IF(S74="",0,IF(ISNUMBER(S74),S74,1)))</f>
        <v/>
      </c>
    </row>
    <row r="75">
      <c r="A75" s="1" t="n"/>
      <c r="B75" s="24" t="n"/>
      <c r="C75" s="25" t="n"/>
      <c r="D75" s="25" t="n"/>
      <c r="E75" s="26" t="n"/>
      <c r="F75" s="27" t="n"/>
      <c r="G75" s="17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9">
        <f>IF(N(E75)=0,"",E75*IF(F75="",1,IFERROR(INDEX(Setup!$E$9:$E$18,MATCH(F75,Setup!$D$9:$D$18,0)),0)))</f>
        <v/>
      </c>
      <c r="U75" s="30">
        <f>IF(T75="","",IF(V75=0,"Everyone",IF(COUNTIF(AI75:AT75,"&gt;0")=COUNTIF(Setup!$B$9:$B$20,"?*"),"Everyone",COUNTIF(AI75:AT75,"&gt;0")&amp;IF(COUNTIF(AI75:AT75,"&gt;0")=1," person"," people"))))</f>
        <v/>
      </c>
      <c r="V75" s="1">
        <f>SUM(AI75:AT75)</f>
        <v/>
      </c>
      <c r="W75">
        <f>IF(OR(T75="",Setup!$B$9=""),0,IF(V75=0,T75/COUNTIF(Setup!$B$9:$B$20,"?*"),T75*AI75/V75))</f>
        <v/>
      </c>
      <c r="X75">
        <f>IF(OR(T75="",Setup!$B$10=""),0,IF(V75=0,T75/COUNTIF(Setup!$B$9:$B$20,"?*"),T75*AJ75/V75))</f>
        <v/>
      </c>
      <c r="Y75">
        <f>IF(OR(T75="",Setup!$B$11=""),0,IF(V75=0,T75/COUNTIF(Setup!$B$9:$B$20,"?*"),T75*AK75/V75))</f>
        <v/>
      </c>
      <c r="Z75">
        <f>IF(OR(T75="",Setup!$B$12=""),0,IF(V75=0,T75/COUNTIF(Setup!$B$9:$B$20,"?*"),T75*AL75/V75))</f>
        <v/>
      </c>
      <c r="AA75">
        <f>IF(OR(T75="",Setup!$B$13=""),0,IF(V75=0,T75/COUNTIF(Setup!$B$9:$B$20,"?*"),T75*AM75/V75))</f>
        <v/>
      </c>
      <c r="AB75">
        <f>IF(OR(T75="",Setup!$B$14=""),0,IF(V75=0,T75/COUNTIF(Setup!$B$9:$B$20,"?*"),T75*AN75/V75))</f>
        <v/>
      </c>
      <c r="AC75">
        <f>IF(OR(T75="",Setup!$B$15=""),0,IF(V75=0,T75/COUNTIF(Setup!$B$9:$B$20,"?*"),T75*AO75/V75))</f>
        <v/>
      </c>
      <c r="AD75">
        <f>IF(OR(T75="",Setup!$B$16=""),0,IF(V75=0,T75/COUNTIF(Setup!$B$9:$B$20,"?*"),T75*AP75/V75))</f>
        <v/>
      </c>
      <c r="AE75">
        <f>IF(OR(T75="",Setup!$B$17=""),0,IF(V75=0,T75/COUNTIF(Setup!$B$9:$B$20,"?*"),T75*AQ75/V75))</f>
        <v/>
      </c>
      <c r="AF75">
        <f>IF(OR(T75="",Setup!$B$18=""),0,IF(V75=0,T75/COUNTIF(Setup!$B$9:$B$20,"?*"),T75*AR75/V75))</f>
        <v/>
      </c>
      <c r="AG75">
        <f>IF(OR(T75="",Setup!$B$19=""),0,IF(V75=0,T75/COUNTIF(Setup!$B$9:$B$20,"?*"),T75*AS75/V75))</f>
        <v/>
      </c>
      <c r="AH75">
        <f>IF(OR(T75="",Setup!$B$20=""),0,IF(V75=0,T75/COUNTIF(Setup!$B$9:$B$20,"?*"),T75*AT75/V75))</f>
        <v/>
      </c>
      <c r="AI75">
        <f>IF(Setup!$B$9="",0,IF(H75="",0,IF(ISNUMBER(H75),H75,1)))</f>
        <v/>
      </c>
      <c r="AJ75">
        <f>IF(Setup!$B$10="",0,IF(I75="",0,IF(ISNUMBER(I75),I75,1)))</f>
        <v/>
      </c>
      <c r="AK75">
        <f>IF(Setup!$B$11="",0,IF(J75="",0,IF(ISNUMBER(J75),J75,1)))</f>
        <v/>
      </c>
      <c r="AL75">
        <f>IF(Setup!$B$12="",0,IF(K75="",0,IF(ISNUMBER(K75),K75,1)))</f>
        <v/>
      </c>
      <c r="AM75">
        <f>IF(Setup!$B$13="",0,IF(L75="",0,IF(ISNUMBER(L75),L75,1)))</f>
        <v/>
      </c>
      <c r="AN75">
        <f>IF(Setup!$B$14="",0,IF(M75="",0,IF(ISNUMBER(M75),M75,1)))</f>
        <v/>
      </c>
      <c r="AO75">
        <f>IF(Setup!$B$15="",0,IF(N75="",0,IF(ISNUMBER(N75),N75,1)))</f>
        <v/>
      </c>
      <c r="AP75">
        <f>IF(Setup!$B$16="",0,IF(O75="",0,IF(ISNUMBER(O75),O75,1)))</f>
        <v/>
      </c>
      <c r="AQ75">
        <f>IF(Setup!$B$17="",0,IF(P75="",0,IF(ISNUMBER(P75),P75,1)))</f>
        <v/>
      </c>
      <c r="AR75">
        <f>IF(Setup!$B$18="",0,IF(Q75="",0,IF(ISNUMBER(Q75),Q75,1)))</f>
        <v/>
      </c>
      <c r="AS75">
        <f>IF(Setup!$B$19="",0,IF(R75="",0,IF(ISNUMBER(R75),R75,1)))</f>
        <v/>
      </c>
      <c r="AT75">
        <f>IF(Setup!$B$20="",0,IF(S75="",0,IF(ISNUMBER(S75),S75,1)))</f>
        <v/>
      </c>
    </row>
    <row r="76">
      <c r="A76" s="1" t="n"/>
      <c r="B76" s="24" t="n"/>
      <c r="C76" s="25" t="n"/>
      <c r="D76" s="25" t="n"/>
      <c r="E76" s="26" t="n"/>
      <c r="F76" s="27" t="n"/>
      <c r="G76" s="17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9">
        <f>IF(N(E76)=0,"",E76*IF(F76="",1,IFERROR(INDEX(Setup!$E$9:$E$18,MATCH(F76,Setup!$D$9:$D$18,0)),0)))</f>
        <v/>
      </c>
      <c r="U76" s="30">
        <f>IF(T76="","",IF(V76=0,"Everyone",IF(COUNTIF(AI76:AT76,"&gt;0")=COUNTIF(Setup!$B$9:$B$20,"?*"),"Everyone",COUNTIF(AI76:AT76,"&gt;0")&amp;IF(COUNTIF(AI76:AT76,"&gt;0")=1," person"," people"))))</f>
        <v/>
      </c>
      <c r="V76" s="1">
        <f>SUM(AI76:AT76)</f>
        <v/>
      </c>
      <c r="W76">
        <f>IF(OR(T76="",Setup!$B$9=""),0,IF(V76=0,T76/COUNTIF(Setup!$B$9:$B$20,"?*"),T76*AI76/V76))</f>
        <v/>
      </c>
      <c r="X76">
        <f>IF(OR(T76="",Setup!$B$10=""),0,IF(V76=0,T76/COUNTIF(Setup!$B$9:$B$20,"?*"),T76*AJ76/V76))</f>
        <v/>
      </c>
      <c r="Y76">
        <f>IF(OR(T76="",Setup!$B$11=""),0,IF(V76=0,T76/COUNTIF(Setup!$B$9:$B$20,"?*"),T76*AK76/V76))</f>
        <v/>
      </c>
      <c r="Z76">
        <f>IF(OR(T76="",Setup!$B$12=""),0,IF(V76=0,T76/COUNTIF(Setup!$B$9:$B$20,"?*"),T76*AL76/V76))</f>
        <v/>
      </c>
      <c r="AA76">
        <f>IF(OR(T76="",Setup!$B$13=""),0,IF(V76=0,T76/COUNTIF(Setup!$B$9:$B$20,"?*"),T76*AM76/V76))</f>
        <v/>
      </c>
      <c r="AB76">
        <f>IF(OR(T76="",Setup!$B$14=""),0,IF(V76=0,T76/COUNTIF(Setup!$B$9:$B$20,"?*"),T76*AN76/V76))</f>
        <v/>
      </c>
      <c r="AC76">
        <f>IF(OR(T76="",Setup!$B$15=""),0,IF(V76=0,T76/COUNTIF(Setup!$B$9:$B$20,"?*"),T76*AO76/V76))</f>
        <v/>
      </c>
      <c r="AD76">
        <f>IF(OR(T76="",Setup!$B$16=""),0,IF(V76=0,T76/COUNTIF(Setup!$B$9:$B$20,"?*"),T76*AP76/V76))</f>
        <v/>
      </c>
      <c r="AE76">
        <f>IF(OR(T76="",Setup!$B$17=""),0,IF(V76=0,T76/COUNTIF(Setup!$B$9:$B$20,"?*"),T76*AQ76/V76))</f>
        <v/>
      </c>
      <c r="AF76">
        <f>IF(OR(T76="",Setup!$B$18=""),0,IF(V76=0,T76/COUNTIF(Setup!$B$9:$B$20,"?*"),T76*AR76/V76))</f>
        <v/>
      </c>
      <c r="AG76">
        <f>IF(OR(T76="",Setup!$B$19=""),0,IF(V76=0,T76/COUNTIF(Setup!$B$9:$B$20,"?*"),T76*AS76/V76))</f>
        <v/>
      </c>
      <c r="AH76">
        <f>IF(OR(T76="",Setup!$B$20=""),0,IF(V76=0,T76/COUNTIF(Setup!$B$9:$B$20,"?*"),T76*AT76/V76))</f>
        <v/>
      </c>
      <c r="AI76">
        <f>IF(Setup!$B$9="",0,IF(H76="",0,IF(ISNUMBER(H76),H76,1)))</f>
        <v/>
      </c>
      <c r="AJ76">
        <f>IF(Setup!$B$10="",0,IF(I76="",0,IF(ISNUMBER(I76),I76,1)))</f>
        <v/>
      </c>
      <c r="AK76">
        <f>IF(Setup!$B$11="",0,IF(J76="",0,IF(ISNUMBER(J76),J76,1)))</f>
        <v/>
      </c>
      <c r="AL76">
        <f>IF(Setup!$B$12="",0,IF(K76="",0,IF(ISNUMBER(K76),K76,1)))</f>
        <v/>
      </c>
      <c r="AM76">
        <f>IF(Setup!$B$13="",0,IF(L76="",0,IF(ISNUMBER(L76),L76,1)))</f>
        <v/>
      </c>
      <c r="AN76">
        <f>IF(Setup!$B$14="",0,IF(M76="",0,IF(ISNUMBER(M76),M76,1)))</f>
        <v/>
      </c>
      <c r="AO76">
        <f>IF(Setup!$B$15="",0,IF(N76="",0,IF(ISNUMBER(N76),N76,1)))</f>
        <v/>
      </c>
      <c r="AP76">
        <f>IF(Setup!$B$16="",0,IF(O76="",0,IF(ISNUMBER(O76),O76,1)))</f>
        <v/>
      </c>
      <c r="AQ76">
        <f>IF(Setup!$B$17="",0,IF(P76="",0,IF(ISNUMBER(P76),P76,1)))</f>
        <v/>
      </c>
      <c r="AR76">
        <f>IF(Setup!$B$18="",0,IF(Q76="",0,IF(ISNUMBER(Q76),Q76,1)))</f>
        <v/>
      </c>
      <c r="AS76">
        <f>IF(Setup!$B$19="",0,IF(R76="",0,IF(ISNUMBER(R76),R76,1)))</f>
        <v/>
      </c>
      <c r="AT76">
        <f>IF(Setup!$B$20="",0,IF(S76="",0,IF(ISNUMBER(S76),S76,1)))</f>
        <v/>
      </c>
    </row>
    <row r="77">
      <c r="A77" s="1" t="n"/>
      <c r="B77" s="24" t="n"/>
      <c r="C77" s="25" t="n"/>
      <c r="D77" s="25" t="n"/>
      <c r="E77" s="26" t="n"/>
      <c r="F77" s="27" t="n"/>
      <c r="G77" s="17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9">
        <f>IF(N(E77)=0,"",E77*IF(F77="",1,IFERROR(INDEX(Setup!$E$9:$E$18,MATCH(F77,Setup!$D$9:$D$18,0)),0)))</f>
        <v/>
      </c>
      <c r="U77" s="30">
        <f>IF(T77="","",IF(V77=0,"Everyone",IF(COUNTIF(AI77:AT77,"&gt;0")=COUNTIF(Setup!$B$9:$B$20,"?*"),"Everyone",COUNTIF(AI77:AT77,"&gt;0")&amp;IF(COUNTIF(AI77:AT77,"&gt;0")=1," person"," people"))))</f>
        <v/>
      </c>
      <c r="V77" s="1">
        <f>SUM(AI77:AT77)</f>
        <v/>
      </c>
      <c r="W77">
        <f>IF(OR(T77="",Setup!$B$9=""),0,IF(V77=0,T77/COUNTIF(Setup!$B$9:$B$20,"?*"),T77*AI77/V77))</f>
        <v/>
      </c>
      <c r="X77">
        <f>IF(OR(T77="",Setup!$B$10=""),0,IF(V77=0,T77/COUNTIF(Setup!$B$9:$B$20,"?*"),T77*AJ77/V77))</f>
        <v/>
      </c>
      <c r="Y77">
        <f>IF(OR(T77="",Setup!$B$11=""),0,IF(V77=0,T77/COUNTIF(Setup!$B$9:$B$20,"?*"),T77*AK77/V77))</f>
        <v/>
      </c>
      <c r="Z77">
        <f>IF(OR(T77="",Setup!$B$12=""),0,IF(V77=0,T77/COUNTIF(Setup!$B$9:$B$20,"?*"),T77*AL77/V77))</f>
        <v/>
      </c>
      <c r="AA77">
        <f>IF(OR(T77="",Setup!$B$13=""),0,IF(V77=0,T77/COUNTIF(Setup!$B$9:$B$20,"?*"),T77*AM77/V77))</f>
        <v/>
      </c>
      <c r="AB77">
        <f>IF(OR(T77="",Setup!$B$14=""),0,IF(V77=0,T77/COUNTIF(Setup!$B$9:$B$20,"?*"),T77*AN77/V77))</f>
        <v/>
      </c>
      <c r="AC77">
        <f>IF(OR(T77="",Setup!$B$15=""),0,IF(V77=0,T77/COUNTIF(Setup!$B$9:$B$20,"?*"),T77*AO77/V77))</f>
        <v/>
      </c>
      <c r="AD77">
        <f>IF(OR(T77="",Setup!$B$16=""),0,IF(V77=0,T77/COUNTIF(Setup!$B$9:$B$20,"?*"),T77*AP77/V77))</f>
        <v/>
      </c>
      <c r="AE77">
        <f>IF(OR(T77="",Setup!$B$17=""),0,IF(V77=0,T77/COUNTIF(Setup!$B$9:$B$20,"?*"),T77*AQ77/V77))</f>
        <v/>
      </c>
      <c r="AF77">
        <f>IF(OR(T77="",Setup!$B$18=""),0,IF(V77=0,T77/COUNTIF(Setup!$B$9:$B$20,"?*"),T77*AR77/V77))</f>
        <v/>
      </c>
      <c r="AG77">
        <f>IF(OR(T77="",Setup!$B$19=""),0,IF(V77=0,T77/COUNTIF(Setup!$B$9:$B$20,"?*"),T77*AS77/V77))</f>
        <v/>
      </c>
      <c r="AH77">
        <f>IF(OR(T77="",Setup!$B$20=""),0,IF(V77=0,T77/COUNTIF(Setup!$B$9:$B$20,"?*"),T77*AT77/V77))</f>
        <v/>
      </c>
      <c r="AI77">
        <f>IF(Setup!$B$9="",0,IF(H77="",0,IF(ISNUMBER(H77),H77,1)))</f>
        <v/>
      </c>
      <c r="AJ77">
        <f>IF(Setup!$B$10="",0,IF(I77="",0,IF(ISNUMBER(I77),I77,1)))</f>
        <v/>
      </c>
      <c r="AK77">
        <f>IF(Setup!$B$11="",0,IF(J77="",0,IF(ISNUMBER(J77),J77,1)))</f>
        <v/>
      </c>
      <c r="AL77">
        <f>IF(Setup!$B$12="",0,IF(K77="",0,IF(ISNUMBER(K77),K77,1)))</f>
        <v/>
      </c>
      <c r="AM77">
        <f>IF(Setup!$B$13="",0,IF(L77="",0,IF(ISNUMBER(L77),L77,1)))</f>
        <v/>
      </c>
      <c r="AN77">
        <f>IF(Setup!$B$14="",0,IF(M77="",0,IF(ISNUMBER(M77),M77,1)))</f>
        <v/>
      </c>
      <c r="AO77">
        <f>IF(Setup!$B$15="",0,IF(N77="",0,IF(ISNUMBER(N77),N77,1)))</f>
        <v/>
      </c>
      <c r="AP77">
        <f>IF(Setup!$B$16="",0,IF(O77="",0,IF(ISNUMBER(O77),O77,1)))</f>
        <v/>
      </c>
      <c r="AQ77">
        <f>IF(Setup!$B$17="",0,IF(P77="",0,IF(ISNUMBER(P77),P77,1)))</f>
        <v/>
      </c>
      <c r="AR77">
        <f>IF(Setup!$B$18="",0,IF(Q77="",0,IF(ISNUMBER(Q77),Q77,1)))</f>
        <v/>
      </c>
      <c r="AS77">
        <f>IF(Setup!$B$19="",0,IF(R77="",0,IF(ISNUMBER(R77),R77,1)))</f>
        <v/>
      </c>
      <c r="AT77">
        <f>IF(Setup!$B$20="",0,IF(S77="",0,IF(ISNUMBER(S77),S77,1)))</f>
        <v/>
      </c>
    </row>
    <row r="78">
      <c r="A78" s="1" t="n"/>
      <c r="B78" s="24" t="n"/>
      <c r="C78" s="25" t="n"/>
      <c r="D78" s="25" t="n"/>
      <c r="E78" s="26" t="n"/>
      <c r="F78" s="27" t="n"/>
      <c r="G78" s="17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28" t="n"/>
      <c r="R78" s="28" t="n"/>
      <c r="S78" s="28" t="n"/>
      <c r="T78" s="29">
        <f>IF(N(E78)=0,"",E78*IF(F78="",1,IFERROR(INDEX(Setup!$E$9:$E$18,MATCH(F78,Setup!$D$9:$D$18,0)),0)))</f>
        <v/>
      </c>
      <c r="U78" s="30">
        <f>IF(T78="","",IF(V78=0,"Everyone",IF(COUNTIF(AI78:AT78,"&gt;0")=COUNTIF(Setup!$B$9:$B$20,"?*"),"Everyone",COUNTIF(AI78:AT78,"&gt;0")&amp;IF(COUNTIF(AI78:AT78,"&gt;0")=1," person"," people"))))</f>
        <v/>
      </c>
      <c r="V78" s="1">
        <f>SUM(AI78:AT78)</f>
        <v/>
      </c>
      <c r="W78">
        <f>IF(OR(T78="",Setup!$B$9=""),0,IF(V78=0,T78/COUNTIF(Setup!$B$9:$B$20,"?*"),T78*AI78/V78))</f>
        <v/>
      </c>
      <c r="X78">
        <f>IF(OR(T78="",Setup!$B$10=""),0,IF(V78=0,T78/COUNTIF(Setup!$B$9:$B$20,"?*"),T78*AJ78/V78))</f>
        <v/>
      </c>
      <c r="Y78">
        <f>IF(OR(T78="",Setup!$B$11=""),0,IF(V78=0,T78/COUNTIF(Setup!$B$9:$B$20,"?*"),T78*AK78/V78))</f>
        <v/>
      </c>
      <c r="Z78">
        <f>IF(OR(T78="",Setup!$B$12=""),0,IF(V78=0,T78/COUNTIF(Setup!$B$9:$B$20,"?*"),T78*AL78/V78))</f>
        <v/>
      </c>
      <c r="AA78">
        <f>IF(OR(T78="",Setup!$B$13=""),0,IF(V78=0,T78/COUNTIF(Setup!$B$9:$B$20,"?*"),T78*AM78/V78))</f>
        <v/>
      </c>
      <c r="AB78">
        <f>IF(OR(T78="",Setup!$B$14=""),0,IF(V78=0,T78/COUNTIF(Setup!$B$9:$B$20,"?*"),T78*AN78/V78))</f>
        <v/>
      </c>
      <c r="AC78">
        <f>IF(OR(T78="",Setup!$B$15=""),0,IF(V78=0,T78/COUNTIF(Setup!$B$9:$B$20,"?*"),T78*AO78/V78))</f>
        <v/>
      </c>
      <c r="AD78">
        <f>IF(OR(T78="",Setup!$B$16=""),0,IF(V78=0,T78/COUNTIF(Setup!$B$9:$B$20,"?*"),T78*AP78/V78))</f>
        <v/>
      </c>
      <c r="AE78">
        <f>IF(OR(T78="",Setup!$B$17=""),0,IF(V78=0,T78/COUNTIF(Setup!$B$9:$B$20,"?*"),T78*AQ78/V78))</f>
        <v/>
      </c>
      <c r="AF78">
        <f>IF(OR(T78="",Setup!$B$18=""),0,IF(V78=0,T78/COUNTIF(Setup!$B$9:$B$20,"?*"),T78*AR78/V78))</f>
        <v/>
      </c>
      <c r="AG78">
        <f>IF(OR(T78="",Setup!$B$19=""),0,IF(V78=0,T78/COUNTIF(Setup!$B$9:$B$20,"?*"),T78*AS78/V78))</f>
        <v/>
      </c>
      <c r="AH78">
        <f>IF(OR(T78="",Setup!$B$20=""),0,IF(V78=0,T78/COUNTIF(Setup!$B$9:$B$20,"?*"),T78*AT78/V78))</f>
        <v/>
      </c>
      <c r="AI78">
        <f>IF(Setup!$B$9="",0,IF(H78="",0,IF(ISNUMBER(H78),H78,1)))</f>
        <v/>
      </c>
      <c r="AJ78">
        <f>IF(Setup!$B$10="",0,IF(I78="",0,IF(ISNUMBER(I78),I78,1)))</f>
        <v/>
      </c>
      <c r="AK78">
        <f>IF(Setup!$B$11="",0,IF(J78="",0,IF(ISNUMBER(J78),J78,1)))</f>
        <v/>
      </c>
      <c r="AL78">
        <f>IF(Setup!$B$12="",0,IF(K78="",0,IF(ISNUMBER(K78),K78,1)))</f>
        <v/>
      </c>
      <c r="AM78">
        <f>IF(Setup!$B$13="",0,IF(L78="",0,IF(ISNUMBER(L78),L78,1)))</f>
        <v/>
      </c>
      <c r="AN78">
        <f>IF(Setup!$B$14="",0,IF(M78="",0,IF(ISNUMBER(M78),M78,1)))</f>
        <v/>
      </c>
      <c r="AO78">
        <f>IF(Setup!$B$15="",0,IF(N78="",0,IF(ISNUMBER(N78),N78,1)))</f>
        <v/>
      </c>
      <c r="AP78">
        <f>IF(Setup!$B$16="",0,IF(O78="",0,IF(ISNUMBER(O78),O78,1)))</f>
        <v/>
      </c>
      <c r="AQ78">
        <f>IF(Setup!$B$17="",0,IF(P78="",0,IF(ISNUMBER(P78),P78,1)))</f>
        <v/>
      </c>
      <c r="AR78">
        <f>IF(Setup!$B$18="",0,IF(Q78="",0,IF(ISNUMBER(Q78),Q78,1)))</f>
        <v/>
      </c>
      <c r="AS78">
        <f>IF(Setup!$B$19="",0,IF(R78="",0,IF(ISNUMBER(R78),R78,1)))</f>
        <v/>
      </c>
      <c r="AT78">
        <f>IF(Setup!$B$20="",0,IF(S78="",0,IF(ISNUMBER(S78),S78,1)))</f>
        <v/>
      </c>
    </row>
    <row r="79">
      <c r="A79" s="1" t="n"/>
      <c r="B79" s="24" t="n"/>
      <c r="C79" s="25" t="n"/>
      <c r="D79" s="25" t="n"/>
      <c r="E79" s="26" t="n"/>
      <c r="F79" s="27" t="n"/>
      <c r="G79" s="17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28" t="n"/>
      <c r="R79" s="28" t="n"/>
      <c r="S79" s="28" t="n"/>
      <c r="T79" s="29">
        <f>IF(N(E79)=0,"",E79*IF(F79="",1,IFERROR(INDEX(Setup!$E$9:$E$18,MATCH(F79,Setup!$D$9:$D$18,0)),0)))</f>
        <v/>
      </c>
      <c r="U79" s="30">
        <f>IF(T79="","",IF(V79=0,"Everyone",IF(COUNTIF(AI79:AT79,"&gt;0")=COUNTIF(Setup!$B$9:$B$20,"?*"),"Everyone",COUNTIF(AI79:AT79,"&gt;0")&amp;IF(COUNTIF(AI79:AT79,"&gt;0")=1," person"," people"))))</f>
        <v/>
      </c>
      <c r="V79" s="1">
        <f>SUM(AI79:AT79)</f>
        <v/>
      </c>
      <c r="W79">
        <f>IF(OR(T79="",Setup!$B$9=""),0,IF(V79=0,T79/COUNTIF(Setup!$B$9:$B$20,"?*"),T79*AI79/V79))</f>
        <v/>
      </c>
      <c r="X79">
        <f>IF(OR(T79="",Setup!$B$10=""),0,IF(V79=0,T79/COUNTIF(Setup!$B$9:$B$20,"?*"),T79*AJ79/V79))</f>
        <v/>
      </c>
      <c r="Y79">
        <f>IF(OR(T79="",Setup!$B$11=""),0,IF(V79=0,T79/COUNTIF(Setup!$B$9:$B$20,"?*"),T79*AK79/V79))</f>
        <v/>
      </c>
      <c r="Z79">
        <f>IF(OR(T79="",Setup!$B$12=""),0,IF(V79=0,T79/COUNTIF(Setup!$B$9:$B$20,"?*"),T79*AL79/V79))</f>
        <v/>
      </c>
      <c r="AA79">
        <f>IF(OR(T79="",Setup!$B$13=""),0,IF(V79=0,T79/COUNTIF(Setup!$B$9:$B$20,"?*"),T79*AM79/V79))</f>
        <v/>
      </c>
      <c r="AB79">
        <f>IF(OR(T79="",Setup!$B$14=""),0,IF(V79=0,T79/COUNTIF(Setup!$B$9:$B$20,"?*"),T79*AN79/V79))</f>
        <v/>
      </c>
      <c r="AC79">
        <f>IF(OR(T79="",Setup!$B$15=""),0,IF(V79=0,T79/COUNTIF(Setup!$B$9:$B$20,"?*"),T79*AO79/V79))</f>
        <v/>
      </c>
      <c r="AD79">
        <f>IF(OR(T79="",Setup!$B$16=""),0,IF(V79=0,T79/COUNTIF(Setup!$B$9:$B$20,"?*"),T79*AP79/V79))</f>
        <v/>
      </c>
      <c r="AE79">
        <f>IF(OR(T79="",Setup!$B$17=""),0,IF(V79=0,T79/COUNTIF(Setup!$B$9:$B$20,"?*"),T79*AQ79/V79))</f>
        <v/>
      </c>
      <c r="AF79">
        <f>IF(OR(T79="",Setup!$B$18=""),0,IF(V79=0,T79/COUNTIF(Setup!$B$9:$B$20,"?*"),T79*AR79/V79))</f>
        <v/>
      </c>
      <c r="AG79">
        <f>IF(OR(T79="",Setup!$B$19=""),0,IF(V79=0,T79/COUNTIF(Setup!$B$9:$B$20,"?*"),T79*AS79/V79))</f>
        <v/>
      </c>
      <c r="AH79">
        <f>IF(OR(T79="",Setup!$B$20=""),0,IF(V79=0,T79/COUNTIF(Setup!$B$9:$B$20,"?*"),T79*AT79/V79))</f>
        <v/>
      </c>
      <c r="AI79">
        <f>IF(Setup!$B$9="",0,IF(H79="",0,IF(ISNUMBER(H79),H79,1)))</f>
        <v/>
      </c>
      <c r="AJ79">
        <f>IF(Setup!$B$10="",0,IF(I79="",0,IF(ISNUMBER(I79),I79,1)))</f>
        <v/>
      </c>
      <c r="AK79">
        <f>IF(Setup!$B$11="",0,IF(J79="",0,IF(ISNUMBER(J79),J79,1)))</f>
        <v/>
      </c>
      <c r="AL79">
        <f>IF(Setup!$B$12="",0,IF(K79="",0,IF(ISNUMBER(K79),K79,1)))</f>
        <v/>
      </c>
      <c r="AM79">
        <f>IF(Setup!$B$13="",0,IF(L79="",0,IF(ISNUMBER(L79),L79,1)))</f>
        <v/>
      </c>
      <c r="AN79">
        <f>IF(Setup!$B$14="",0,IF(M79="",0,IF(ISNUMBER(M79),M79,1)))</f>
        <v/>
      </c>
      <c r="AO79">
        <f>IF(Setup!$B$15="",0,IF(N79="",0,IF(ISNUMBER(N79),N79,1)))</f>
        <v/>
      </c>
      <c r="AP79">
        <f>IF(Setup!$B$16="",0,IF(O79="",0,IF(ISNUMBER(O79),O79,1)))</f>
        <v/>
      </c>
      <c r="AQ79">
        <f>IF(Setup!$B$17="",0,IF(P79="",0,IF(ISNUMBER(P79),P79,1)))</f>
        <v/>
      </c>
      <c r="AR79">
        <f>IF(Setup!$B$18="",0,IF(Q79="",0,IF(ISNUMBER(Q79),Q79,1)))</f>
        <v/>
      </c>
      <c r="AS79">
        <f>IF(Setup!$B$19="",0,IF(R79="",0,IF(ISNUMBER(R79),R79,1)))</f>
        <v/>
      </c>
      <c r="AT79">
        <f>IF(Setup!$B$20="",0,IF(S79="",0,IF(ISNUMBER(S79),S79,1)))</f>
        <v/>
      </c>
    </row>
    <row r="80">
      <c r="A80" s="1" t="n"/>
      <c r="B80" s="24" t="n"/>
      <c r="C80" s="25" t="n"/>
      <c r="D80" s="25" t="n"/>
      <c r="E80" s="26" t="n"/>
      <c r="F80" s="27" t="n"/>
      <c r="G80" s="17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28" t="n"/>
      <c r="R80" s="28" t="n"/>
      <c r="S80" s="28" t="n"/>
      <c r="T80" s="29">
        <f>IF(N(E80)=0,"",E80*IF(F80="",1,IFERROR(INDEX(Setup!$E$9:$E$18,MATCH(F80,Setup!$D$9:$D$18,0)),0)))</f>
        <v/>
      </c>
      <c r="U80" s="30">
        <f>IF(T80="","",IF(V80=0,"Everyone",IF(COUNTIF(AI80:AT80,"&gt;0")=COUNTIF(Setup!$B$9:$B$20,"?*"),"Everyone",COUNTIF(AI80:AT80,"&gt;0")&amp;IF(COUNTIF(AI80:AT80,"&gt;0")=1," person"," people"))))</f>
        <v/>
      </c>
      <c r="V80" s="1">
        <f>SUM(AI80:AT80)</f>
        <v/>
      </c>
      <c r="W80">
        <f>IF(OR(T80="",Setup!$B$9=""),0,IF(V80=0,T80/COUNTIF(Setup!$B$9:$B$20,"?*"),T80*AI80/V80))</f>
        <v/>
      </c>
      <c r="X80">
        <f>IF(OR(T80="",Setup!$B$10=""),0,IF(V80=0,T80/COUNTIF(Setup!$B$9:$B$20,"?*"),T80*AJ80/V80))</f>
        <v/>
      </c>
      <c r="Y80">
        <f>IF(OR(T80="",Setup!$B$11=""),0,IF(V80=0,T80/COUNTIF(Setup!$B$9:$B$20,"?*"),T80*AK80/V80))</f>
        <v/>
      </c>
      <c r="Z80">
        <f>IF(OR(T80="",Setup!$B$12=""),0,IF(V80=0,T80/COUNTIF(Setup!$B$9:$B$20,"?*"),T80*AL80/V80))</f>
        <v/>
      </c>
      <c r="AA80">
        <f>IF(OR(T80="",Setup!$B$13=""),0,IF(V80=0,T80/COUNTIF(Setup!$B$9:$B$20,"?*"),T80*AM80/V80))</f>
        <v/>
      </c>
      <c r="AB80">
        <f>IF(OR(T80="",Setup!$B$14=""),0,IF(V80=0,T80/COUNTIF(Setup!$B$9:$B$20,"?*"),T80*AN80/V80))</f>
        <v/>
      </c>
      <c r="AC80">
        <f>IF(OR(T80="",Setup!$B$15=""),0,IF(V80=0,T80/COUNTIF(Setup!$B$9:$B$20,"?*"),T80*AO80/V80))</f>
        <v/>
      </c>
      <c r="AD80">
        <f>IF(OR(T80="",Setup!$B$16=""),0,IF(V80=0,T80/COUNTIF(Setup!$B$9:$B$20,"?*"),T80*AP80/V80))</f>
        <v/>
      </c>
      <c r="AE80">
        <f>IF(OR(T80="",Setup!$B$17=""),0,IF(V80=0,T80/COUNTIF(Setup!$B$9:$B$20,"?*"),T80*AQ80/V80))</f>
        <v/>
      </c>
      <c r="AF80">
        <f>IF(OR(T80="",Setup!$B$18=""),0,IF(V80=0,T80/COUNTIF(Setup!$B$9:$B$20,"?*"),T80*AR80/V80))</f>
        <v/>
      </c>
      <c r="AG80">
        <f>IF(OR(T80="",Setup!$B$19=""),0,IF(V80=0,T80/COUNTIF(Setup!$B$9:$B$20,"?*"),T80*AS80/V80))</f>
        <v/>
      </c>
      <c r="AH80">
        <f>IF(OR(T80="",Setup!$B$20=""),0,IF(V80=0,T80/COUNTIF(Setup!$B$9:$B$20,"?*"),T80*AT80/V80))</f>
        <v/>
      </c>
      <c r="AI80">
        <f>IF(Setup!$B$9="",0,IF(H80="",0,IF(ISNUMBER(H80),H80,1)))</f>
        <v/>
      </c>
      <c r="AJ80">
        <f>IF(Setup!$B$10="",0,IF(I80="",0,IF(ISNUMBER(I80),I80,1)))</f>
        <v/>
      </c>
      <c r="AK80">
        <f>IF(Setup!$B$11="",0,IF(J80="",0,IF(ISNUMBER(J80),J80,1)))</f>
        <v/>
      </c>
      <c r="AL80">
        <f>IF(Setup!$B$12="",0,IF(K80="",0,IF(ISNUMBER(K80),K80,1)))</f>
        <v/>
      </c>
      <c r="AM80">
        <f>IF(Setup!$B$13="",0,IF(L80="",0,IF(ISNUMBER(L80),L80,1)))</f>
        <v/>
      </c>
      <c r="AN80">
        <f>IF(Setup!$B$14="",0,IF(M80="",0,IF(ISNUMBER(M80),M80,1)))</f>
        <v/>
      </c>
      <c r="AO80">
        <f>IF(Setup!$B$15="",0,IF(N80="",0,IF(ISNUMBER(N80),N80,1)))</f>
        <v/>
      </c>
      <c r="AP80">
        <f>IF(Setup!$B$16="",0,IF(O80="",0,IF(ISNUMBER(O80),O80,1)))</f>
        <v/>
      </c>
      <c r="AQ80">
        <f>IF(Setup!$B$17="",0,IF(P80="",0,IF(ISNUMBER(P80),P80,1)))</f>
        <v/>
      </c>
      <c r="AR80">
        <f>IF(Setup!$B$18="",0,IF(Q80="",0,IF(ISNUMBER(Q80),Q80,1)))</f>
        <v/>
      </c>
      <c r="AS80">
        <f>IF(Setup!$B$19="",0,IF(R80="",0,IF(ISNUMBER(R80),R80,1)))</f>
        <v/>
      </c>
      <c r="AT80">
        <f>IF(Setup!$B$20="",0,IF(S80="",0,IF(ISNUMBER(S80),S80,1)))</f>
        <v/>
      </c>
    </row>
    <row r="81">
      <c r="A81" s="1" t="n"/>
      <c r="B81" s="24" t="n"/>
      <c r="C81" s="25" t="n"/>
      <c r="D81" s="25" t="n"/>
      <c r="E81" s="26" t="n"/>
      <c r="F81" s="27" t="n"/>
      <c r="G81" s="17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28" t="n"/>
      <c r="R81" s="28" t="n"/>
      <c r="S81" s="28" t="n"/>
      <c r="T81" s="29">
        <f>IF(N(E81)=0,"",E81*IF(F81="",1,IFERROR(INDEX(Setup!$E$9:$E$18,MATCH(F81,Setup!$D$9:$D$18,0)),0)))</f>
        <v/>
      </c>
      <c r="U81" s="30">
        <f>IF(T81="","",IF(V81=0,"Everyone",IF(COUNTIF(AI81:AT81,"&gt;0")=COUNTIF(Setup!$B$9:$B$20,"?*"),"Everyone",COUNTIF(AI81:AT81,"&gt;0")&amp;IF(COUNTIF(AI81:AT81,"&gt;0")=1," person"," people"))))</f>
        <v/>
      </c>
      <c r="V81" s="1">
        <f>SUM(AI81:AT81)</f>
        <v/>
      </c>
      <c r="W81">
        <f>IF(OR(T81="",Setup!$B$9=""),0,IF(V81=0,T81/COUNTIF(Setup!$B$9:$B$20,"?*"),T81*AI81/V81))</f>
        <v/>
      </c>
      <c r="X81">
        <f>IF(OR(T81="",Setup!$B$10=""),0,IF(V81=0,T81/COUNTIF(Setup!$B$9:$B$20,"?*"),T81*AJ81/V81))</f>
        <v/>
      </c>
      <c r="Y81">
        <f>IF(OR(T81="",Setup!$B$11=""),0,IF(V81=0,T81/COUNTIF(Setup!$B$9:$B$20,"?*"),T81*AK81/V81))</f>
        <v/>
      </c>
      <c r="Z81">
        <f>IF(OR(T81="",Setup!$B$12=""),0,IF(V81=0,T81/COUNTIF(Setup!$B$9:$B$20,"?*"),T81*AL81/V81))</f>
        <v/>
      </c>
      <c r="AA81">
        <f>IF(OR(T81="",Setup!$B$13=""),0,IF(V81=0,T81/COUNTIF(Setup!$B$9:$B$20,"?*"),T81*AM81/V81))</f>
        <v/>
      </c>
      <c r="AB81">
        <f>IF(OR(T81="",Setup!$B$14=""),0,IF(V81=0,T81/COUNTIF(Setup!$B$9:$B$20,"?*"),T81*AN81/V81))</f>
        <v/>
      </c>
      <c r="AC81">
        <f>IF(OR(T81="",Setup!$B$15=""),0,IF(V81=0,T81/COUNTIF(Setup!$B$9:$B$20,"?*"),T81*AO81/V81))</f>
        <v/>
      </c>
      <c r="AD81">
        <f>IF(OR(T81="",Setup!$B$16=""),0,IF(V81=0,T81/COUNTIF(Setup!$B$9:$B$20,"?*"),T81*AP81/V81))</f>
        <v/>
      </c>
      <c r="AE81">
        <f>IF(OR(T81="",Setup!$B$17=""),0,IF(V81=0,T81/COUNTIF(Setup!$B$9:$B$20,"?*"),T81*AQ81/V81))</f>
        <v/>
      </c>
      <c r="AF81">
        <f>IF(OR(T81="",Setup!$B$18=""),0,IF(V81=0,T81/COUNTIF(Setup!$B$9:$B$20,"?*"),T81*AR81/V81))</f>
        <v/>
      </c>
      <c r="AG81">
        <f>IF(OR(T81="",Setup!$B$19=""),0,IF(V81=0,T81/COUNTIF(Setup!$B$9:$B$20,"?*"),T81*AS81/V81))</f>
        <v/>
      </c>
      <c r="AH81">
        <f>IF(OR(T81="",Setup!$B$20=""),0,IF(V81=0,T81/COUNTIF(Setup!$B$9:$B$20,"?*"),T81*AT81/V81))</f>
        <v/>
      </c>
      <c r="AI81">
        <f>IF(Setup!$B$9="",0,IF(H81="",0,IF(ISNUMBER(H81),H81,1)))</f>
        <v/>
      </c>
      <c r="AJ81">
        <f>IF(Setup!$B$10="",0,IF(I81="",0,IF(ISNUMBER(I81),I81,1)))</f>
        <v/>
      </c>
      <c r="AK81">
        <f>IF(Setup!$B$11="",0,IF(J81="",0,IF(ISNUMBER(J81),J81,1)))</f>
        <v/>
      </c>
      <c r="AL81">
        <f>IF(Setup!$B$12="",0,IF(K81="",0,IF(ISNUMBER(K81),K81,1)))</f>
        <v/>
      </c>
      <c r="AM81">
        <f>IF(Setup!$B$13="",0,IF(L81="",0,IF(ISNUMBER(L81),L81,1)))</f>
        <v/>
      </c>
      <c r="AN81">
        <f>IF(Setup!$B$14="",0,IF(M81="",0,IF(ISNUMBER(M81),M81,1)))</f>
        <v/>
      </c>
      <c r="AO81">
        <f>IF(Setup!$B$15="",0,IF(N81="",0,IF(ISNUMBER(N81),N81,1)))</f>
        <v/>
      </c>
      <c r="AP81">
        <f>IF(Setup!$B$16="",0,IF(O81="",0,IF(ISNUMBER(O81),O81,1)))</f>
        <v/>
      </c>
      <c r="AQ81">
        <f>IF(Setup!$B$17="",0,IF(P81="",0,IF(ISNUMBER(P81),P81,1)))</f>
        <v/>
      </c>
      <c r="AR81">
        <f>IF(Setup!$B$18="",0,IF(Q81="",0,IF(ISNUMBER(Q81),Q81,1)))</f>
        <v/>
      </c>
      <c r="AS81">
        <f>IF(Setup!$B$19="",0,IF(R81="",0,IF(ISNUMBER(R81),R81,1)))</f>
        <v/>
      </c>
      <c r="AT81">
        <f>IF(Setup!$B$20="",0,IF(S81="",0,IF(ISNUMBER(S81),S81,1)))</f>
        <v/>
      </c>
    </row>
    <row r="82">
      <c r="A82" s="1" t="n"/>
      <c r="B82" s="24" t="n"/>
      <c r="C82" s="25" t="n"/>
      <c r="D82" s="25" t="n"/>
      <c r="E82" s="26" t="n"/>
      <c r="F82" s="27" t="n"/>
      <c r="G82" s="17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28" t="n"/>
      <c r="R82" s="28" t="n"/>
      <c r="S82" s="28" t="n"/>
      <c r="T82" s="29">
        <f>IF(N(E82)=0,"",E82*IF(F82="",1,IFERROR(INDEX(Setup!$E$9:$E$18,MATCH(F82,Setup!$D$9:$D$18,0)),0)))</f>
        <v/>
      </c>
      <c r="U82" s="30">
        <f>IF(T82="","",IF(V82=0,"Everyone",IF(COUNTIF(AI82:AT82,"&gt;0")=COUNTIF(Setup!$B$9:$B$20,"?*"),"Everyone",COUNTIF(AI82:AT82,"&gt;0")&amp;IF(COUNTIF(AI82:AT82,"&gt;0")=1," person"," people"))))</f>
        <v/>
      </c>
      <c r="V82" s="1">
        <f>SUM(AI82:AT82)</f>
        <v/>
      </c>
      <c r="W82">
        <f>IF(OR(T82="",Setup!$B$9=""),0,IF(V82=0,T82/COUNTIF(Setup!$B$9:$B$20,"?*"),T82*AI82/V82))</f>
        <v/>
      </c>
      <c r="X82">
        <f>IF(OR(T82="",Setup!$B$10=""),0,IF(V82=0,T82/COUNTIF(Setup!$B$9:$B$20,"?*"),T82*AJ82/V82))</f>
        <v/>
      </c>
      <c r="Y82">
        <f>IF(OR(T82="",Setup!$B$11=""),0,IF(V82=0,T82/COUNTIF(Setup!$B$9:$B$20,"?*"),T82*AK82/V82))</f>
        <v/>
      </c>
      <c r="Z82">
        <f>IF(OR(T82="",Setup!$B$12=""),0,IF(V82=0,T82/COUNTIF(Setup!$B$9:$B$20,"?*"),T82*AL82/V82))</f>
        <v/>
      </c>
      <c r="AA82">
        <f>IF(OR(T82="",Setup!$B$13=""),0,IF(V82=0,T82/COUNTIF(Setup!$B$9:$B$20,"?*"),T82*AM82/V82))</f>
        <v/>
      </c>
      <c r="AB82">
        <f>IF(OR(T82="",Setup!$B$14=""),0,IF(V82=0,T82/COUNTIF(Setup!$B$9:$B$20,"?*"),T82*AN82/V82))</f>
        <v/>
      </c>
      <c r="AC82">
        <f>IF(OR(T82="",Setup!$B$15=""),0,IF(V82=0,T82/COUNTIF(Setup!$B$9:$B$20,"?*"),T82*AO82/V82))</f>
        <v/>
      </c>
      <c r="AD82">
        <f>IF(OR(T82="",Setup!$B$16=""),0,IF(V82=0,T82/COUNTIF(Setup!$B$9:$B$20,"?*"),T82*AP82/V82))</f>
        <v/>
      </c>
      <c r="AE82">
        <f>IF(OR(T82="",Setup!$B$17=""),0,IF(V82=0,T82/COUNTIF(Setup!$B$9:$B$20,"?*"),T82*AQ82/V82))</f>
        <v/>
      </c>
      <c r="AF82">
        <f>IF(OR(T82="",Setup!$B$18=""),0,IF(V82=0,T82/COUNTIF(Setup!$B$9:$B$20,"?*"),T82*AR82/V82))</f>
        <v/>
      </c>
      <c r="AG82">
        <f>IF(OR(T82="",Setup!$B$19=""),0,IF(V82=0,T82/COUNTIF(Setup!$B$9:$B$20,"?*"),T82*AS82/V82))</f>
        <v/>
      </c>
      <c r="AH82">
        <f>IF(OR(T82="",Setup!$B$20=""),0,IF(V82=0,T82/COUNTIF(Setup!$B$9:$B$20,"?*"),T82*AT82/V82))</f>
        <v/>
      </c>
      <c r="AI82">
        <f>IF(Setup!$B$9="",0,IF(H82="",0,IF(ISNUMBER(H82),H82,1)))</f>
        <v/>
      </c>
      <c r="AJ82">
        <f>IF(Setup!$B$10="",0,IF(I82="",0,IF(ISNUMBER(I82),I82,1)))</f>
        <v/>
      </c>
      <c r="AK82">
        <f>IF(Setup!$B$11="",0,IF(J82="",0,IF(ISNUMBER(J82),J82,1)))</f>
        <v/>
      </c>
      <c r="AL82">
        <f>IF(Setup!$B$12="",0,IF(K82="",0,IF(ISNUMBER(K82),K82,1)))</f>
        <v/>
      </c>
      <c r="AM82">
        <f>IF(Setup!$B$13="",0,IF(L82="",0,IF(ISNUMBER(L82),L82,1)))</f>
        <v/>
      </c>
      <c r="AN82">
        <f>IF(Setup!$B$14="",0,IF(M82="",0,IF(ISNUMBER(M82),M82,1)))</f>
        <v/>
      </c>
      <c r="AO82">
        <f>IF(Setup!$B$15="",0,IF(N82="",0,IF(ISNUMBER(N82),N82,1)))</f>
        <v/>
      </c>
      <c r="AP82">
        <f>IF(Setup!$B$16="",0,IF(O82="",0,IF(ISNUMBER(O82),O82,1)))</f>
        <v/>
      </c>
      <c r="AQ82">
        <f>IF(Setup!$B$17="",0,IF(P82="",0,IF(ISNUMBER(P82),P82,1)))</f>
        <v/>
      </c>
      <c r="AR82">
        <f>IF(Setup!$B$18="",0,IF(Q82="",0,IF(ISNUMBER(Q82),Q82,1)))</f>
        <v/>
      </c>
      <c r="AS82">
        <f>IF(Setup!$B$19="",0,IF(R82="",0,IF(ISNUMBER(R82),R82,1)))</f>
        <v/>
      </c>
      <c r="AT82">
        <f>IF(Setup!$B$20="",0,IF(S82="",0,IF(ISNUMBER(S82),S82,1)))</f>
        <v/>
      </c>
    </row>
    <row r="83">
      <c r="A83" s="1" t="n"/>
      <c r="B83" s="24" t="n"/>
      <c r="C83" s="25" t="n"/>
      <c r="D83" s="25" t="n"/>
      <c r="E83" s="26" t="n"/>
      <c r="F83" s="27" t="n"/>
      <c r="G83" s="17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28" t="n"/>
      <c r="R83" s="28" t="n"/>
      <c r="S83" s="28" t="n"/>
      <c r="T83" s="29">
        <f>IF(N(E83)=0,"",E83*IF(F83="",1,IFERROR(INDEX(Setup!$E$9:$E$18,MATCH(F83,Setup!$D$9:$D$18,0)),0)))</f>
        <v/>
      </c>
      <c r="U83" s="30">
        <f>IF(T83="","",IF(V83=0,"Everyone",IF(COUNTIF(AI83:AT83,"&gt;0")=COUNTIF(Setup!$B$9:$B$20,"?*"),"Everyone",COUNTIF(AI83:AT83,"&gt;0")&amp;IF(COUNTIF(AI83:AT83,"&gt;0")=1," person"," people"))))</f>
        <v/>
      </c>
      <c r="V83" s="1">
        <f>SUM(AI83:AT83)</f>
        <v/>
      </c>
      <c r="W83">
        <f>IF(OR(T83="",Setup!$B$9=""),0,IF(V83=0,T83/COUNTIF(Setup!$B$9:$B$20,"?*"),T83*AI83/V83))</f>
        <v/>
      </c>
      <c r="X83">
        <f>IF(OR(T83="",Setup!$B$10=""),0,IF(V83=0,T83/COUNTIF(Setup!$B$9:$B$20,"?*"),T83*AJ83/V83))</f>
        <v/>
      </c>
      <c r="Y83">
        <f>IF(OR(T83="",Setup!$B$11=""),0,IF(V83=0,T83/COUNTIF(Setup!$B$9:$B$20,"?*"),T83*AK83/V83))</f>
        <v/>
      </c>
      <c r="Z83">
        <f>IF(OR(T83="",Setup!$B$12=""),0,IF(V83=0,T83/COUNTIF(Setup!$B$9:$B$20,"?*"),T83*AL83/V83))</f>
        <v/>
      </c>
      <c r="AA83">
        <f>IF(OR(T83="",Setup!$B$13=""),0,IF(V83=0,T83/COUNTIF(Setup!$B$9:$B$20,"?*"),T83*AM83/V83))</f>
        <v/>
      </c>
      <c r="AB83">
        <f>IF(OR(T83="",Setup!$B$14=""),0,IF(V83=0,T83/COUNTIF(Setup!$B$9:$B$20,"?*"),T83*AN83/V83))</f>
        <v/>
      </c>
      <c r="AC83">
        <f>IF(OR(T83="",Setup!$B$15=""),0,IF(V83=0,T83/COUNTIF(Setup!$B$9:$B$20,"?*"),T83*AO83/V83))</f>
        <v/>
      </c>
      <c r="AD83">
        <f>IF(OR(T83="",Setup!$B$16=""),0,IF(V83=0,T83/COUNTIF(Setup!$B$9:$B$20,"?*"),T83*AP83/V83))</f>
        <v/>
      </c>
      <c r="AE83">
        <f>IF(OR(T83="",Setup!$B$17=""),0,IF(V83=0,T83/COUNTIF(Setup!$B$9:$B$20,"?*"),T83*AQ83/V83))</f>
        <v/>
      </c>
      <c r="AF83">
        <f>IF(OR(T83="",Setup!$B$18=""),0,IF(V83=0,T83/COUNTIF(Setup!$B$9:$B$20,"?*"),T83*AR83/V83))</f>
        <v/>
      </c>
      <c r="AG83">
        <f>IF(OR(T83="",Setup!$B$19=""),0,IF(V83=0,T83/COUNTIF(Setup!$B$9:$B$20,"?*"),T83*AS83/V83))</f>
        <v/>
      </c>
      <c r="AH83">
        <f>IF(OR(T83="",Setup!$B$20=""),0,IF(V83=0,T83/COUNTIF(Setup!$B$9:$B$20,"?*"),T83*AT83/V83))</f>
        <v/>
      </c>
      <c r="AI83">
        <f>IF(Setup!$B$9="",0,IF(H83="",0,IF(ISNUMBER(H83),H83,1)))</f>
        <v/>
      </c>
      <c r="AJ83">
        <f>IF(Setup!$B$10="",0,IF(I83="",0,IF(ISNUMBER(I83),I83,1)))</f>
        <v/>
      </c>
      <c r="AK83">
        <f>IF(Setup!$B$11="",0,IF(J83="",0,IF(ISNUMBER(J83),J83,1)))</f>
        <v/>
      </c>
      <c r="AL83">
        <f>IF(Setup!$B$12="",0,IF(K83="",0,IF(ISNUMBER(K83),K83,1)))</f>
        <v/>
      </c>
      <c r="AM83">
        <f>IF(Setup!$B$13="",0,IF(L83="",0,IF(ISNUMBER(L83),L83,1)))</f>
        <v/>
      </c>
      <c r="AN83">
        <f>IF(Setup!$B$14="",0,IF(M83="",0,IF(ISNUMBER(M83),M83,1)))</f>
        <v/>
      </c>
      <c r="AO83">
        <f>IF(Setup!$B$15="",0,IF(N83="",0,IF(ISNUMBER(N83),N83,1)))</f>
        <v/>
      </c>
      <c r="AP83">
        <f>IF(Setup!$B$16="",0,IF(O83="",0,IF(ISNUMBER(O83),O83,1)))</f>
        <v/>
      </c>
      <c r="AQ83">
        <f>IF(Setup!$B$17="",0,IF(P83="",0,IF(ISNUMBER(P83),P83,1)))</f>
        <v/>
      </c>
      <c r="AR83">
        <f>IF(Setup!$B$18="",0,IF(Q83="",0,IF(ISNUMBER(Q83),Q83,1)))</f>
        <v/>
      </c>
      <c r="AS83">
        <f>IF(Setup!$B$19="",0,IF(R83="",0,IF(ISNUMBER(R83),R83,1)))</f>
        <v/>
      </c>
      <c r="AT83">
        <f>IF(Setup!$B$20="",0,IF(S83="",0,IF(ISNUMBER(S83),S83,1)))</f>
        <v/>
      </c>
    </row>
    <row r="84">
      <c r="A84" s="1" t="n"/>
      <c r="B84" s="24" t="n"/>
      <c r="C84" s="25" t="n"/>
      <c r="D84" s="25" t="n"/>
      <c r="E84" s="26" t="n"/>
      <c r="F84" s="27" t="n"/>
      <c r="G84" s="17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9">
        <f>IF(N(E84)=0,"",E84*IF(F84="",1,IFERROR(INDEX(Setup!$E$9:$E$18,MATCH(F84,Setup!$D$9:$D$18,0)),0)))</f>
        <v/>
      </c>
      <c r="U84" s="30">
        <f>IF(T84="","",IF(V84=0,"Everyone",IF(COUNTIF(AI84:AT84,"&gt;0")=COUNTIF(Setup!$B$9:$B$20,"?*"),"Everyone",COUNTIF(AI84:AT84,"&gt;0")&amp;IF(COUNTIF(AI84:AT84,"&gt;0")=1," person"," people"))))</f>
        <v/>
      </c>
      <c r="V84" s="1">
        <f>SUM(AI84:AT84)</f>
        <v/>
      </c>
      <c r="W84">
        <f>IF(OR(T84="",Setup!$B$9=""),0,IF(V84=0,T84/COUNTIF(Setup!$B$9:$B$20,"?*"),T84*AI84/V84))</f>
        <v/>
      </c>
      <c r="X84">
        <f>IF(OR(T84="",Setup!$B$10=""),0,IF(V84=0,T84/COUNTIF(Setup!$B$9:$B$20,"?*"),T84*AJ84/V84))</f>
        <v/>
      </c>
      <c r="Y84">
        <f>IF(OR(T84="",Setup!$B$11=""),0,IF(V84=0,T84/COUNTIF(Setup!$B$9:$B$20,"?*"),T84*AK84/V84))</f>
        <v/>
      </c>
      <c r="Z84">
        <f>IF(OR(T84="",Setup!$B$12=""),0,IF(V84=0,T84/COUNTIF(Setup!$B$9:$B$20,"?*"),T84*AL84/V84))</f>
        <v/>
      </c>
      <c r="AA84">
        <f>IF(OR(T84="",Setup!$B$13=""),0,IF(V84=0,T84/COUNTIF(Setup!$B$9:$B$20,"?*"),T84*AM84/V84))</f>
        <v/>
      </c>
      <c r="AB84">
        <f>IF(OR(T84="",Setup!$B$14=""),0,IF(V84=0,T84/COUNTIF(Setup!$B$9:$B$20,"?*"),T84*AN84/V84))</f>
        <v/>
      </c>
      <c r="AC84">
        <f>IF(OR(T84="",Setup!$B$15=""),0,IF(V84=0,T84/COUNTIF(Setup!$B$9:$B$20,"?*"),T84*AO84/V84))</f>
        <v/>
      </c>
      <c r="AD84">
        <f>IF(OR(T84="",Setup!$B$16=""),0,IF(V84=0,T84/COUNTIF(Setup!$B$9:$B$20,"?*"),T84*AP84/V84))</f>
        <v/>
      </c>
      <c r="AE84">
        <f>IF(OR(T84="",Setup!$B$17=""),0,IF(V84=0,T84/COUNTIF(Setup!$B$9:$B$20,"?*"),T84*AQ84/V84))</f>
        <v/>
      </c>
      <c r="AF84">
        <f>IF(OR(T84="",Setup!$B$18=""),0,IF(V84=0,T84/COUNTIF(Setup!$B$9:$B$20,"?*"),T84*AR84/V84))</f>
        <v/>
      </c>
      <c r="AG84">
        <f>IF(OR(T84="",Setup!$B$19=""),0,IF(V84=0,T84/COUNTIF(Setup!$B$9:$B$20,"?*"),T84*AS84/V84))</f>
        <v/>
      </c>
      <c r="AH84">
        <f>IF(OR(T84="",Setup!$B$20=""),0,IF(V84=0,T84/COUNTIF(Setup!$B$9:$B$20,"?*"),T84*AT84/V84))</f>
        <v/>
      </c>
      <c r="AI84">
        <f>IF(Setup!$B$9="",0,IF(H84="",0,IF(ISNUMBER(H84),H84,1)))</f>
        <v/>
      </c>
      <c r="AJ84">
        <f>IF(Setup!$B$10="",0,IF(I84="",0,IF(ISNUMBER(I84),I84,1)))</f>
        <v/>
      </c>
      <c r="AK84">
        <f>IF(Setup!$B$11="",0,IF(J84="",0,IF(ISNUMBER(J84),J84,1)))</f>
        <v/>
      </c>
      <c r="AL84">
        <f>IF(Setup!$B$12="",0,IF(K84="",0,IF(ISNUMBER(K84),K84,1)))</f>
        <v/>
      </c>
      <c r="AM84">
        <f>IF(Setup!$B$13="",0,IF(L84="",0,IF(ISNUMBER(L84),L84,1)))</f>
        <v/>
      </c>
      <c r="AN84">
        <f>IF(Setup!$B$14="",0,IF(M84="",0,IF(ISNUMBER(M84),M84,1)))</f>
        <v/>
      </c>
      <c r="AO84">
        <f>IF(Setup!$B$15="",0,IF(N84="",0,IF(ISNUMBER(N84),N84,1)))</f>
        <v/>
      </c>
      <c r="AP84">
        <f>IF(Setup!$B$16="",0,IF(O84="",0,IF(ISNUMBER(O84),O84,1)))</f>
        <v/>
      </c>
      <c r="AQ84">
        <f>IF(Setup!$B$17="",0,IF(P84="",0,IF(ISNUMBER(P84),P84,1)))</f>
        <v/>
      </c>
      <c r="AR84">
        <f>IF(Setup!$B$18="",0,IF(Q84="",0,IF(ISNUMBER(Q84),Q84,1)))</f>
        <v/>
      </c>
      <c r="AS84">
        <f>IF(Setup!$B$19="",0,IF(R84="",0,IF(ISNUMBER(R84),R84,1)))</f>
        <v/>
      </c>
      <c r="AT84">
        <f>IF(Setup!$B$20="",0,IF(S84="",0,IF(ISNUMBER(S84),S84,1)))</f>
        <v/>
      </c>
    </row>
    <row r="85">
      <c r="A85" s="1" t="n"/>
      <c r="B85" s="24" t="n"/>
      <c r="C85" s="25" t="n"/>
      <c r="D85" s="25" t="n"/>
      <c r="E85" s="26" t="n"/>
      <c r="F85" s="27" t="n"/>
      <c r="G85" s="17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28" t="n"/>
      <c r="R85" s="28" t="n"/>
      <c r="S85" s="28" t="n"/>
      <c r="T85" s="29">
        <f>IF(N(E85)=0,"",E85*IF(F85="",1,IFERROR(INDEX(Setup!$E$9:$E$18,MATCH(F85,Setup!$D$9:$D$18,0)),0)))</f>
        <v/>
      </c>
      <c r="U85" s="30">
        <f>IF(T85="","",IF(V85=0,"Everyone",IF(COUNTIF(AI85:AT85,"&gt;0")=COUNTIF(Setup!$B$9:$B$20,"?*"),"Everyone",COUNTIF(AI85:AT85,"&gt;0")&amp;IF(COUNTIF(AI85:AT85,"&gt;0")=1," person"," people"))))</f>
        <v/>
      </c>
      <c r="V85" s="1">
        <f>SUM(AI85:AT85)</f>
        <v/>
      </c>
      <c r="W85">
        <f>IF(OR(T85="",Setup!$B$9=""),0,IF(V85=0,T85/COUNTIF(Setup!$B$9:$B$20,"?*"),T85*AI85/V85))</f>
        <v/>
      </c>
      <c r="X85">
        <f>IF(OR(T85="",Setup!$B$10=""),0,IF(V85=0,T85/COUNTIF(Setup!$B$9:$B$20,"?*"),T85*AJ85/V85))</f>
        <v/>
      </c>
      <c r="Y85">
        <f>IF(OR(T85="",Setup!$B$11=""),0,IF(V85=0,T85/COUNTIF(Setup!$B$9:$B$20,"?*"),T85*AK85/V85))</f>
        <v/>
      </c>
      <c r="Z85">
        <f>IF(OR(T85="",Setup!$B$12=""),0,IF(V85=0,T85/COUNTIF(Setup!$B$9:$B$20,"?*"),T85*AL85/V85))</f>
        <v/>
      </c>
      <c r="AA85">
        <f>IF(OR(T85="",Setup!$B$13=""),0,IF(V85=0,T85/COUNTIF(Setup!$B$9:$B$20,"?*"),T85*AM85/V85))</f>
        <v/>
      </c>
      <c r="AB85">
        <f>IF(OR(T85="",Setup!$B$14=""),0,IF(V85=0,T85/COUNTIF(Setup!$B$9:$B$20,"?*"),T85*AN85/V85))</f>
        <v/>
      </c>
      <c r="AC85">
        <f>IF(OR(T85="",Setup!$B$15=""),0,IF(V85=0,T85/COUNTIF(Setup!$B$9:$B$20,"?*"),T85*AO85/V85))</f>
        <v/>
      </c>
      <c r="AD85">
        <f>IF(OR(T85="",Setup!$B$16=""),0,IF(V85=0,T85/COUNTIF(Setup!$B$9:$B$20,"?*"),T85*AP85/V85))</f>
        <v/>
      </c>
      <c r="AE85">
        <f>IF(OR(T85="",Setup!$B$17=""),0,IF(V85=0,T85/COUNTIF(Setup!$B$9:$B$20,"?*"),T85*AQ85/V85))</f>
        <v/>
      </c>
      <c r="AF85">
        <f>IF(OR(T85="",Setup!$B$18=""),0,IF(V85=0,T85/COUNTIF(Setup!$B$9:$B$20,"?*"),T85*AR85/V85))</f>
        <v/>
      </c>
      <c r="AG85">
        <f>IF(OR(T85="",Setup!$B$19=""),0,IF(V85=0,T85/COUNTIF(Setup!$B$9:$B$20,"?*"),T85*AS85/V85))</f>
        <v/>
      </c>
      <c r="AH85">
        <f>IF(OR(T85="",Setup!$B$20=""),0,IF(V85=0,T85/COUNTIF(Setup!$B$9:$B$20,"?*"),T85*AT85/V85))</f>
        <v/>
      </c>
      <c r="AI85">
        <f>IF(Setup!$B$9="",0,IF(H85="",0,IF(ISNUMBER(H85),H85,1)))</f>
        <v/>
      </c>
      <c r="AJ85">
        <f>IF(Setup!$B$10="",0,IF(I85="",0,IF(ISNUMBER(I85),I85,1)))</f>
        <v/>
      </c>
      <c r="AK85">
        <f>IF(Setup!$B$11="",0,IF(J85="",0,IF(ISNUMBER(J85),J85,1)))</f>
        <v/>
      </c>
      <c r="AL85">
        <f>IF(Setup!$B$12="",0,IF(K85="",0,IF(ISNUMBER(K85),K85,1)))</f>
        <v/>
      </c>
      <c r="AM85">
        <f>IF(Setup!$B$13="",0,IF(L85="",0,IF(ISNUMBER(L85),L85,1)))</f>
        <v/>
      </c>
      <c r="AN85">
        <f>IF(Setup!$B$14="",0,IF(M85="",0,IF(ISNUMBER(M85),M85,1)))</f>
        <v/>
      </c>
      <c r="AO85">
        <f>IF(Setup!$B$15="",0,IF(N85="",0,IF(ISNUMBER(N85),N85,1)))</f>
        <v/>
      </c>
      <c r="AP85">
        <f>IF(Setup!$B$16="",0,IF(O85="",0,IF(ISNUMBER(O85),O85,1)))</f>
        <v/>
      </c>
      <c r="AQ85">
        <f>IF(Setup!$B$17="",0,IF(P85="",0,IF(ISNUMBER(P85),P85,1)))</f>
        <v/>
      </c>
      <c r="AR85">
        <f>IF(Setup!$B$18="",0,IF(Q85="",0,IF(ISNUMBER(Q85),Q85,1)))</f>
        <v/>
      </c>
      <c r="AS85">
        <f>IF(Setup!$B$19="",0,IF(R85="",0,IF(ISNUMBER(R85),R85,1)))</f>
        <v/>
      </c>
      <c r="AT85">
        <f>IF(Setup!$B$20="",0,IF(S85="",0,IF(ISNUMBER(S85),S85,1)))</f>
        <v/>
      </c>
    </row>
    <row r="86">
      <c r="A86" s="1" t="n"/>
      <c r="B86" s="24" t="n"/>
      <c r="C86" s="25" t="n"/>
      <c r="D86" s="25" t="n"/>
      <c r="E86" s="26" t="n"/>
      <c r="F86" s="27" t="n"/>
      <c r="G86" s="17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28" t="n"/>
      <c r="R86" s="28" t="n"/>
      <c r="S86" s="28" t="n"/>
      <c r="T86" s="29">
        <f>IF(N(E86)=0,"",E86*IF(F86="",1,IFERROR(INDEX(Setup!$E$9:$E$18,MATCH(F86,Setup!$D$9:$D$18,0)),0)))</f>
        <v/>
      </c>
      <c r="U86" s="30">
        <f>IF(T86="","",IF(V86=0,"Everyone",IF(COUNTIF(AI86:AT86,"&gt;0")=COUNTIF(Setup!$B$9:$B$20,"?*"),"Everyone",COUNTIF(AI86:AT86,"&gt;0")&amp;IF(COUNTIF(AI86:AT86,"&gt;0")=1," person"," people"))))</f>
        <v/>
      </c>
      <c r="V86" s="1">
        <f>SUM(AI86:AT86)</f>
        <v/>
      </c>
      <c r="W86">
        <f>IF(OR(T86="",Setup!$B$9=""),0,IF(V86=0,T86/COUNTIF(Setup!$B$9:$B$20,"?*"),T86*AI86/V86))</f>
        <v/>
      </c>
      <c r="X86">
        <f>IF(OR(T86="",Setup!$B$10=""),0,IF(V86=0,T86/COUNTIF(Setup!$B$9:$B$20,"?*"),T86*AJ86/V86))</f>
        <v/>
      </c>
      <c r="Y86">
        <f>IF(OR(T86="",Setup!$B$11=""),0,IF(V86=0,T86/COUNTIF(Setup!$B$9:$B$20,"?*"),T86*AK86/V86))</f>
        <v/>
      </c>
      <c r="Z86">
        <f>IF(OR(T86="",Setup!$B$12=""),0,IF(V86=0,T86/COUNTIF(Setup!$B$9:$B$20,"?*"),T86*AL86/V86))</f>
        <v/>
      </c>
      <c r="AA86">
        <f>IF(OR(T86="",Setup!$B$13=""),0,IF(V86=0,T86/COUNTIF(Setup!$B$9:$B$20,"?*"),T86*AM86/V86))</f>
        <v/>
      </c>
      <c r="AB86">
        <f>IF(OR(T86="",Setup!$B$14=""),0,IF(V86=0,T86/COUNTIF(Setup!$B$9:$B$20,"?*"),T86*AN86/V86))</f>
        <v/>
      </c>
      <c r="AC86">
        <f>IF(OR(T86="",Setup!$B$15=""),0,IF(V86=0,T86/COUNTIF(Setup!$B$9:$B$20,"?*"),T86*AO86/V86))</f>
        <v/>
      </c>
      <c r="AD86">
        <f>IF(OR(T86="",Setup!$B$16=""),0,IF(V86=0,T86/COUNTIF(Setup!$B$9:$B$20,"?*"),T86*AP86/V86))</f>
        <v/>
      </c>
      <c r="AE86">
        <f>IF(OR(T86="",Setup!$B$17=""),0,IF(V86=0,T86/COUNTIF(Setup!$B$9:$B$20,"?*"),T86*AQ86/V86))</f>
        <v/>
      </c>
      <c r="AF86">
        <f>IF(OR(T86="",Setup!$B$18=""),0,IF(V86=0,T86/COUNTIF(Setup!$B$9:$B$20,"?*"),T86*AR86/V86))</f>
        <v/>
      </c>
      <c r="AG86">
        <f>IF(OR(T86="",Setup!$B$19=""),0,IF(V86=0,T86/COUNTIF(Setup!$B$9:$B$20,"?*"),T86*AS86/V86))</f>
        <v/>
      </c>
      <c r="AH86">
        <f>IF(OR(T86="",Setup!$B$20=""),0,IF(V86=0,T86/COUNTIF(Setup!$B$9:$B$20,"?*"),T86*AT86/V86))</f>
        <v/>
      </c>
      <c r="AI86">
        <f>IF(Setup!$B$9="",0,IF(H86="",0,IF(ISNUMBER(H86),H86,1)))</f>
        <v/>
      </c>
      <c r="AJ86">
        <f>IF(Setup!$B$10="",0,IF(I86="",0,IF(ISNUMBER(I86),I86,1)))</f>
        <v/>
      </c>
      <c r="AK86">
        <f>IF(Setup!$B$11="",0,IF(J86="",0,IF(ISNUMBER(J86),J86,1)))</f>
        <v/>
      </c>
      <c r="AL86">
        <f>IF(Setup!$B$12="",0,IF(K86="",0,IF(ISNUMBER(K86),K86,1)))</f>
        <v/>
      </c>
      <c r="AM86">
        <f>IF(Setup!$B$13="",0,IF(L86="",0,IF(ISNUMBER(L86),L86,1)))</f>
        <v/>
      </c>
      <c r="AN86">
        <f>IF(Setup!$B$14="",0,IF(M86="",0,IF(ISNUMBER(M86),M86,1)))</f>
        <v/>
      </c>
      <c r="AO86">
        <f>IF(Setup!$B$15="",0,IF(N86="",0,IF(ISNUMBER(N86),N86,1)))</f>
        <v/>
      </c>
      <c r="AP86">
        <f>IF(Setup!$B$16="",0,IF(O86="",0,IF(ISNUMBER(O86),O86,1)))</f>
        <v/>
      </c>
      <c r="AQ86">
        <f>IF(Setup!$B$17="",0,IF(P86="",0,IF(ISNUMBER(P86),P86,1)))</f>
        <v/>
      </c>
      <c r="AR86">
        <f>IF(Setup!$B$18="",0,IF(Q86="",0,IF(ISNUMBER(Q86),Q86,1)))</f>
        <v/>
      </c>
      <c r="AS86">
        <f>IF(Setup!$B$19="",0,IF(R86="",0,IF(ISNUMBER(R86),R86,1)))</f>
        <v/>
      </c>
      <c r="AT86">
        <f>IF(Setup!$B$20="",0,IF(S86="",0,IF(ISNUMBER(S86),S86,1)))</f>
        <v/>
      </c>
    </row>
    <row r="87">
      <c r="A87" s="1" t="n"/>
      <c r="B87" s="24" t="n"/>
      <c r="C87" s="25" t="n"/>
      <c r="D87" s="25" t="n"/>
      <c r="E87" s="26" t="n"/>
      <c r="F87" s="27" t="n"/>
      <c r="G87" s="17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28" t="n"/>
      <c r="R87" s="28" t="n"/>
      <c r="S87" s="28" t="n"/>
      <c r="T87" s="29">
        <f>IF(N(E87)=0,"",E87*IF(F87="",1,IFERROR(INDEX(Setup!$E$9:$E$18,MATCH(F87,Setup!$D$9:$D$18,0)),0)))</f>
        <v/>
      </c>
      <c r="U87" s="30">
        <f>IF(T87="","",IF(V87=0,"Everyone",IF(COUNTIF(AI87:AT87,"&gt;0")=COUNTIF(Setup!$B$9:$B$20,"?*"),"Everyone",COUNTIF(AI87:AT87,"&gt;0")&amp;IF(COUNTIF(AI87:AT87,"&gt;0")=1," person"," people"))))</f>
        <v/>
      </c>
      <c r="V87" s="1">
        <f>SUM(AI87:AT87)</f>
        <v/>
      </c>
      <c r="W87">
        <f>IF(OR(T87="",Setup!$B$9=""),0,IF(V87=0,T87/COUNTIF(Setup!$B$9:$B$20,"?*"),T87*AI87/V87))</f>
        <v/>
      </c>
      <c r="X87">
        <f>IF(OR(T87="",Setup!$B$10=""),0,IF(V87=0,T87/COUNTIF(Setup!$B$9:$B$20,"?*"),T87*AJ87/V87))</f>
        <v/>
      </c>
      <c r="Y87">
        <f>IF(OR(T87="",Setup!$B$11=""),0,IF(V87=0,T87/COUNTIF(Setup!$B$9:$B$20,"?*"),T87*AK87/V87))</f>
        <v/>
      </c>
      <c r="Z87">
        <f>IF(OR(T87="",Setup!$B$12=""),0,IF(V87=0,T87/COUNTIF(Setup!$B$9:$B$20,"?*"),T87*AL87/V87))</f>
        <v/>
      </c>
      <c r="AA87">
        <f>IF(OR(T87="",Setup!$B$13=""),0,IF(V87=0,T87/COUNTIF(Setup!$B$9:$B$20,"?*"),T87*AM87/V87))</f>
        <v/>
      </c>
      <c r="AB87">
        <f>IF(OR(T87="",Setup!$B$14=""),0,IF(V87=0,T87/COUNTIF(Setup!$B$9:$B$20,"?*"),T87*AN87/V87))</f>
        <v/>
      </c>
      <c r="AC87">
        <f>IF(OR(T87="",Setup!$B$15=""),0,IF(V87=0,T87/COUNTIF(Setup!$B$9:$B$20,"?*"),T87*AO87/V87))</f>
        <v/>
      </c>
      <c r="AD87">
        <f>IF(OR(T87="",Setup!$B$16=""),0,IF(V87=0,T87/COUNTIF(Setup!$B$9:$B$20,"?*"),T87*AP87/V87))</f>
        <v/>
      </c>
      <c r="AE87">
        <f>IF(OR(T87="",Setup!$B$17=""),0,IF(V87=0,T87/COUNTIF(Setup!$B$9:$B$20,"?*"),T87*AQ87/V87))</f>
        <v/>
      </c>
      <c r="AF87">
        <f>IF(OR(T87="",Setup!$B$18=""),0,IF(V87=0,T87/COUNTIF(Setup!$B$9:$B$20,"?*"),T87*AR87/V87))</f>
        <v/>
      </c>
      <c r="AG87">
        <f>IF(OR(T87="",Setup!$B$19=""),0,IF(V87=0,T87/COUNTIF(Setup!$B$9:$B$20,"?*"),T87*AS87/V87))</f>
        <v/>
      </c>
      <c r="AH87">
        <f>IF(OR(T87="",Setup!$B$20=""),0,IF(V87=0,T87/COUNTIF(Setup!$B$9:$B$20,"?*"),T87*AT87/V87))</f>
        <v/>
      </c>
      <c r="AI87">
        <f>IF(Setup!$B$9="",0,IF(H87="",0,IF(ISNUMBER(H87),H87,1)))</f>
        <v/>
      </c>
      <c r="AJ87">
        <f>IF(Setup!$B$10="",0,IF(I87="",0,IF(ISNUMBER(I87),I87,1)))</f>
        <v/>
      </c>
      <c r="AK87">
        <f>IF(Setup!$B$11="",0,IF(J87="",0,IF(ISNUMBER(J87),J87,1)))</f>
        <v/>
      </c>
      <c r="AL87">
        <f>IF(Setup!$B$12="",0,IF(K87="",0,IF(ISNUMBER(K87),K87,1)))</f>
        <v/>
      </c>
      <c r="AM87">
        <f>IF(Setup!$B$13="",0,IF(L87="",0,IF(ISNUMBER(L87),L87,1)))</f>
        <v/>
      </c>
      <c r="AN87">
        <f>IF(Setup!$B$14="",0,IF(M87="",0,IF(ISNUMBER(M87),M87,1)))</f>
        <v/>
      </c>
      <c r="AO87">
        <f>IF(Setup!$B$15="",0,IF(N87="",0,IF(ISNUMBER(N87),N87,1)))</f>
        <v/>
      </c>
      <c r="AP87">
        <f>IF(Setup!$B$16="",0,IF(O87="",0,IF(ISNUMBER(O87),O87,1)))</f>
        <v/>
      </c>
      <c r="AQ87">
        <f>IF(Setup!$B$17="",0,IF(P87="",0,IF(ISNUMBER(P87),P87,1)))</f>
        <v/>
      </c>
      <c r="AR87">
        <f>IF(Setup!$B$18="",0,IF(Q87="",0,IF(ISNUMBER(Q87),Q87,1)))</f>
        <v/>
      </c>
      <c r="AS87">
        <f>IF(Setup!$B$19="",0,IF(R87="",0,IF(ISNUMBER(R87),R87,1)))</f>
        <v/>
      </c>
      <c r="AT87">
        <f>IF(Setup!$B$20="",0,IF(S87="",0,IF(ISNUMBER(S87),S87,1)))</f>
        <v/>
      </c>
    </row>
    <row r="88">
      <c r="A88" s="1" t="n"/>
      <c r="B88" s="24" t="n"/>
      <c r="C88" s="25" t="n"/>
      <c r="D88" s="25" t="n"/>
      <c r="E88" s="26" t="n"/>
      <c r="F88" s="27" t="n"/>
      <c r="G88" s="17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9">
        <f>IF(N(E88)=0,"",E88*IF(F88="",1,IFERROR(INDEX(Setup!$E$9:$E$18,MATCH(F88,Setup!$D$9:$D$18,0)),0)))</f>
        <v/>
      </c>
      <c r="U88" s="30">
        <f>IF(T88="","",IF(V88=0,"Everyone",IF(COUNTIF(AI88:AT88,"&gt;0")=COUNTIF(Setup!$B$9:$B$20,"?*"),"Everyone",COUNTIF(AI88:AT88,"&gt;0")&amp;IF(COUNTIF(AI88:AT88,"&gt;0")=1," person"," people"))))</f>
        <v/>
      </c>
      <c r="V88" s="1">
        <f>SUM(AI88:AT88)</f>
        <v/>
      </c>
      <c r="W88">
        <f>IF(OR(T88="",Setup!$B$9=""),0,IF(V88=0,T88/COUNTIF(Setup!$B$9:$B$20,"?*"),T88*AI88/V88))</f>
        <v/>
      </c>
      <c r="X88">
        <f>IF(OR(T88="",Setup!$B$10=""),0,IF(V88=0,T88/COUNTIF(Setup!$B$9:$B$20,"?*"),T88*AJ88/V88))</f>
        <v/>
      </c>
      <c r="Y88">
        <f>IF(OR(T88="",Setup!$B$11=""),0,IF(V88=0,T88/COUNTIF(Setup!$B$9:$B$20,"?*"),T88*AK88/V88))</f>
        <v/>
      </c>
      <c r="Z88">
        <f>IF(OR(T88="",Setup!$B$12=""),0,IF(V88=0,T88/COUNTIF(Setup!$B$9:$B$20,"?*"),T88*AL88/V88))</f>
        <v/>
      </c>
      <c r="AA88">
        <f>IF(OR(T88="",Setup!$B$13=""),0,IF(V88=0,T88/COUNTIF(Setup!$B$9:$B$20,"?*"),T88*AM88/V88))</f>
        <v/>
      </c>
      <c r="AB88">
        <f>IF(OR(T88="",Setup!$B$14=""),0,IF(V88=0,T88/COUNTIF(Setup!$B$9:$B$20,"?*"),T88*AN88/V88))</f>
        <v/>
      </c>
      <c r="AC88">
        <f>IF(OR(T88="",Setup!$B$15=""),0,IF(V88=0,T88/COUNTIF(Setup!$B$9:$B$20,"?*"),T88*AO88/V88))</f>
        <v/>
      </c>
      <c r="AD88">
        <f>IF(OR(T88="",Setup!$B$16=""),0,IF(V88=0,T88/COUNTIF(Setup!$B$9:$B$20,"?*"),T88*AP88/V88))</f>
        <v/>
      </c>
      <c r="AE88">
        <f>IF(OR(T88="",Setup!$B$17=""),0,IF(V88=0,T88/COUNTIF(Setup!$B$9:$B$20,"?*"),T88*AQ88/V88))</f>
        <v/>
      </c>
      <c r="AF88">
        <f>IF(OR(T88="",Setup!$B$18=""),0,IF(V88=0,T88/COUNTIF(Setup!$B$9:$B$20,"?*"),T88*AR88/V88))</f>
        <v/>
      </c>
      <c r="AG88">
        <f>IF(OR(T88="",Setup!$B$19=""),0,IF(V88=0,T88/COUNTIF(Setup!$B$9:$B$20,"?*"),T88*AS88/V88))</f>
        <v/>
      </c>
      <c r="AH88">
        <f>IF(OR(T88="",Setup!$B$20=""),0,IF(V88=0,T88/COUNTIF(Setup!$B$9:$B$20,"?*"),T88*AT88/V88))</f>
        <v/>
      </c>
      <c r="AI88">
        <f>IF(Setup!$B$9="",0,IF(H88="",0,IF(ISNUMBER(H88),H88,1)))</f>
        <v/>
      </c>
      <c r="AJ88">
        <f>IF(Setup!$B$10="",0,IF(I88="",0,IF(ISNUMBER(I88),I88,1)))</f>
        <v/>
      </c>
      <c r="AK88">
        <f>IF(Setup!$B$11="",0,IF(J88="",0,IF(ISNUMBER(J88),J88,1)))</f>
        <v/>
      </c>
      <c r="AL88">
        <f>IF(Setup!$B$12="",0,IF(K88="",0,IF(ISNUMBER(K88),K88,1)))</f>
        <v/>
      </c>
      <c r="AM88">
        <f>IF(Setup!$B$13="",0,IF(L88="",0,IF(ISNUMBER(L88),L88,1)))</f>
        <v/>
      </c>
      <c r="AN88">
        <f>IF(Setup!$B$14="",0,IF(M88="",0,IF(ISNUMBER(M88),M88,1)))</f>
        <v/>
      </c>
      <c r="AO88">
        <f>IF(Setup!$B$15="",0,IF(N88="",0,IF(ISNUMBER(N88),N88,1)))</f>
        <v/>
      </c>
      <c r="AP88">
        <f>IF(Setup!$B$16="",0,IF(O88="",0,IF(ISNUMBER(O88),O88,1)))</f>
        <v/>
      </c>
      <c r="AQ88">
        <f>IF(Setup!$B$17="",0,IF(P88="",0,IF(ISNUMBER(P88),P88,1)))</f>
        <v/>
      </c>
      <c r="AR88">
        <f>IF(Setup!$B$18="",0,IF(Q88="",0,IF(ISNUMBER(Q88),Q88,1)))</f>
        <v/>
      </c>
      <c r="AS88">
        <f>IF(Setup!$B$19="",0,IF(R88="",0,IF(ISNUMBER(R88),R88,1)))</f>
        <v/>
      </c>
      <c r="AT88">
        <f>IF(Setup!$B$20="",0,IF(S88="",0,IF(ISNUMBER(S88),S88,1)))</f>
        <v/>
      </c>
    </row>
    <row r="89">
      <c r="A89" s="1" t="n"/>
      <c r="B89" s="24" t="n"/>
      <c r="C89" s="25" t="n"/>
      <c r="D89" s="25" t="n"/>
      <c r="E89" s="26" t="n"/>
      <c r="F89" s="27" t="n"/>
      <c r="G89" s="17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28" t="n"/>
      <c r="R89" s="28" t="n"/>
      <c r="S89" s="28" t="n"/>
      <c r="T89" s="29">
        <f>IF(N(E89)=0,"",E89*IF(F89="",1,IFERROR(INDEX(Setup!$E$9:$E$18,MATCH(F89,Setup!$D$9:$D$18,0)),0)))</f>
        <v/>
      </c>
      <c r="U89" s="30">
        <f>IF(T89="","",IF(V89=0,"Everyone",IF(COUNTIF(AI89:AT89,"&gt;0")=COUNTIF(Setup!$B$9:$B$20,"?*"),"Everyone",COUNTIF(AI89:AT89,"&gt;0")&amp;IF(COUNTIF(AI89:AT89,"&gt;0")=1," person"," people"))))</f>
        <v/>
      </c>
      <c r="V89" s="1">
        <f>SUM(AI89:AT89)</f>
        <v/>
      </c>
      <c r="W89">
        <f>IF(OR(T89="",Setup!$B$9=""),0,IF(V89=0,T89/COUNTIF(Setup!$B$9:$B$20,"?*"),T89*AI89/V89))</f>
        <v/>
      </c>
      <c r="X89">
        <f>IF(OR(T89="",Setup!$B$10=""),0,IF(V89=0,T89/COUNTIF(Setup!$B$9:$B$20,"?*"),T89*AJ89/V89))</f>
        <v/>
      </c>
      <c r="Y89">
        <f>IF(OR(T89="",Setup!$B$11=""),0,IF(V89=0,T89/COUNTIF(Setup!$B$9:$B$20,"?*"),T89*AK89/V89))</f>
        <v/>
      </c>
      <c r="Z89">
        <f>IF(OR(T89="",Setup!$B$12=""),0,IF(V89=0,T89/COUNTIF(Setup!$B$9:$B$20,"?*"),T89*AL89/V89))</f>
        <v/>
      </c>
      <c r="AA89">
        <f>IF(OR(T89="",Setup!$B$13=""),0,IF(V89=0,T89/COUNTIF(Setup!$B$9:$B$20,"?*"),T89*AM89/V89))</f>
        <v/>
      </c>
      <c r="AB89">
        <f>IF(OR(T89="",Setup!$B$14=""),0,IF(V89=0,T89/COUNTIF(Setup!$B$9:$B$20,"?*"),T89*AN89/V89))</f>
        <v/>
      </c>
      <c r="AC89">
        <f>IF(OR(T89="",Setup!$B$15=""),0,IF(V89=0,T89/COUNTIF(Setup!$B$9:$B$20,"?*"),T89*AO89/V89))</f>
        <v/>
      </c>
      <c r="AD89">
        <f>IF(OR(T89="",Setup!$B$16=""),0,IF(V89=0,T89/COUNTIF(Setup!$B$9:$B$20,"?*"),T89*AP89/V89))</f>
        <v/>
      </c>
      <c r="AE89">
        <f>IF(OR(T89="",Setup!$B$17=""),0,IF(V89=0,T89/COUNTIF(Setup!$B$9:$B$20,"?*"),T89*AQ89/V89))</f>
        <v/>
      </c>
      <c r="AF89">
        <f>IF(OR(T89="",Setup!$B$18=""),0,IF(V89=0,T89/COUNTIF(Setup!$B$9:$B$20,"?*"),T89*AR89/V89))</f>
        <v/>
      </c>
      <c r="AG89">
        <f>IF(OR(T89="",Setup!$B$19=""),0,IF(V89=0,T89/COUNTIF(Setup!$B$9:$B$20,"?*"),T89*AS89/V89))</f>
        <v/>
      </c>
      <c r="AH89">
        <f>IF(OR(T89="",Setup!$B$20=""),0,IF(V89=0,T89/COUNTIF(Setup!$B$9:$B$20,"?*"),T89*AT89/V89))</f>
        <v/>
      </c>
      <c r="AI89">
        <f>IF(Setup!$B$9="",0,IF(H89="",0,IF(ISNUMBER(H89),H89,1)))</f>
        <v/>
      </c>
      <c r="AJ89">
        <f>IF(Setup!$B$10="",0,IF(I89="",0,IF(ISNUMBER(I89),I89,1)))</f>
        <v/>
      </c>
      <c r="AK89">
        <f>IF(Setup!$B$11="",0,IF(J89="",0,IF(ISNUMBER(J89),J89,1)))</f>
        <v/>
      </c>
      <c r="AL89">
        <f>IF(Setup!$B$12="",0,IF(K89="",0,IF(ISNUMBER(K89),K89,1)))</f>
        <v/>
      </c>
      <c r="AM89">
        <f>IF(Setup!$B$13="",0,IF(L89="",0,IF(ISNUMBER(L89),L89,1)))</f>
        <v/>
      </c>
      <c r="AN89">
        <f>IF(Setup!$B$14="",0,IF(M89="",0,IF(ISNUMBER(M89),M89,1)))</f>
        <v/>
      </c>
      <c r="AO89">
        <f>IF(Setup!$B$15="",0,IF(N89="",0,IF(ISNUMBER(N89),N89,1)))</f>
        <v/>
      </c>
      <c r="AP89">
        <f>IF(Setup!$B$16="",0,IF(O89="",0,IF(ISNUMBER(O89),O89,1)))</f>
        <v/>
      </c>
      <c r="AQ89">
        <f>IF(Setup!$B$17="",0,IF(P89="",0,IF(ISNUMBER(P89),P89,1)))</f>
        <v/>
      </c>
      <c r="AR89">
        <f>IF(Setup!$B$18="",0,IF(Q89="",0,IF(ISNUMBER(Q89),Q89,1)))</f>
        <v/>
      </c>
      <c r="AS89">
        <f>IF(Setup!$B$19="",0,IF(R89="",0,IF(ISNUMBER(R89),R89,1)))</f>
        <v/>
      </c>
      <c r="AT89">
        <f>IF(Setup!$B$20="",0,IF(S89="",0,IF(ISNUMBER(S89),S89,1)))</f>
        <v/>
      </c>
    </row>
    <row r="90">
      <c r="A90" s="1" t="n"/>
      <c r="B90" s="24" t="n"/>
      <c r="C90" s="25" t="n"/>
      <c r="D90" s="25" t="n"/>
      <c r="E90" s="26" t="n"/>
      <c r="F90" s="27" t="n"/>
      <c r="G90" s="17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28" t="n"/>
      <c r="R90" s="28" t="n"/>
      <c r="S90" s="28" t="n"/>
      <c r="T90" s="29">
        <f>IF(N(E90)=0,"",E90*IF(F90="",1,IFERROR(INDEX(Setup!$E$9:$E$18,MATCH(F90,Setup!$D$9:$D$18,0)),0)))</f>
        <v/>
      </c>
      <c r="U90" s="30">
        <f>IF(T90="","",IF(V90=0,"Everyone",IF(COUNTIF(AI90:AT90,"&gt;0")=COUNTIF(Setup!$B$9:$B$20,"?*"),"Everyone",COUNTIF(AI90:AT90,"&gt;0")&amp;IF(COUNTIF(AI90:AT90,"&gt;0")=1," person"," people"))))</f>
        <v/>
      </c>
      <c r="V90" s="1">
        <f>SUM(AI90:AT90)</f>
        <v/>
      </c>
      <c r="W90">
        <f>IF(OR(T90="",Setup!$B$9=""),0,IF(V90=0,T90/COUNTIF(Setup!$B$9:$B$20,"?*"),T90*AI90/V90))</f>
        <v/>
      </c>
      <c r="X90">
        <f>IF(OR(T90="",Setup!$B$10=""),0,IF(V90=0,T90/COUNTIF(Setup!$B$9:$B$20,"?*"),T90*AJ90/V90))</f>
        <v/>
      </c>
      <c r="Y90">
        <f>IF(OR(T90="",Setup!$B$11=""),0,IF(V90=0,T90/COUNTIF(Setup!$B$9:$B$20,"?*"),T90*AK90/V90))</f>
        <v/>
      </c>
      <c r="Z90">
        <f>IF(OR(T90="",Setup!$B$12=""),0,IF(V90=0,T90/COUNTIF(Setup!$B$9:$B$20,"?*"),T90*AL90/V90))</f>
        <v/>
      </c>
      <c r="AA90">
        <f>IF(OR(T90="",Setup!$B$13=""),0,IF(V90=0,T90/COUNTIF(Setup!$B$9:$B$20,"?*"),T90*AM90/V90))</f>
        <v/>
      </c>
      <c r="AB90">
        <f>IF(OR(T90="",Setup!$B$14=""),0,IF(V90=0,T90/COUNTIF(Setup!$B$9:$B$20,"?*"),T90*AN90/V90))</f>
        <v/>
      </c>
      <c r="AC90">
        <f>IF(OR(T90="",Setup!$B$15=""),0,IF(V90=0,T90/COUNTIF(Setup!$B$9:$B$20,"?*"),T90*AO90/V90))</f>
        <v/>
      </c>
      <c r="AD90">
        <f>IF(OR(T90="",Setup!$B$16=""),0,IF(V90=0,T90/COUNTIF(Setup!$B$9:$B$20,"?*"),T90*AP90/V90))</f>
        <v/>
      </c>
      <c r="AE90">
        <f>IF(OR(T90="",Setup!$B$17=""),0,IF(V90=0,T90/COUNTIF(Setup!$B$9:$B$20,"?*"),T90*AQ90/V90))</f>
        <v/>
      </c>
      <c r="AF90">
        <f>IF(OR(T90="",Setup!$B$18=""),0,IF(V90=0,T90/COUNTIF(Setup!$B$9:$B$20,"?*"),T90*AR90/V90))</f>
        <v/>
      </c>
      <c r="AG90">
        <f>IF(OR(T90="",Setup!$B$19=""),0,IF(V90=0,T90/COUNTIF(Setup!$B$9:$B$20,"?*"),T90*AS90/V90))</f>
        <v/>
      </c>
      <c r="AH90">
        <f>IF(OR(T90="",Setup!$B$20=""),0,IF(V90=0,T90/COUNTIF(Setup!$B$9:$B$20,"?*"),T90*AT90/V90))</f>
        <v/>
      </c>
      <c r="AI90">
        <f>IF(Setup!$B$9="",0,IF(H90="",0,IF(ISNUMBER(H90),H90,1)))</f>
        <v/>
      </c>
      <c r="AJ90">
        <f>IF(Setup!$B$10="",0,IF(I90="",0,IF(ISNUMBER(I90),I90,1)))</f>
        <v/>
      </c>
      <c r="AK90">
        <f>IF(Setup!$B$11="",0,IF(J90="",0,IF(ISNUMBER(J90),J90,1)))</f>
        <v/>
      </c>
      <c r="AL90">
        <f>IF(Setup!$B$12="",0,IF(K90="",0,IF(ISNUMBER(K90),K90,1)))</f>
        <v/>
      </c>
      <c r="AM90">
        <f>IF(Setup!$B$13="",0,IF(L90="",0,IF(ISNUMBER(L90),L90,1)))</f>
        <v/>
      </c>
      <c r="AN90">
        <f>IF(Setup!$B$14="",0,IF(M90="",0,IF(ISNUMBER(M90),M90,1)))</f>
        <v/>
      </c>
      <c r="AO90">
        <f>IF(Setup!$B$15="",0,IF(N90="",0,IF(ISNUMBER(N90),N90,1)))</f>
        <v/>
      </c>
      <c r="AP90">
        <f>IF(Setup!$B$16="",0,IF(O90="",0,IF(ISNUMBER(O90),O90,1)))</f>
        <v/>
      </c>
      <c r="AQ90">
        <f>IF(Setup!$B$17="",0,IF(P90="",0,IF(ISNUMBER(P90),P90,1)))</f>
        <v/>
      </c>
      <c r="AR90">
        <f>IF(Setup!$B$18="",0,IF(Q90="",0,IF(ISNUMBER(Q90),Q90,1)))</f>
        <v/>
      </c>
      <c r="AS90">
        <f>IF(Setup!$B$19="",0,IF(R90="",0,IF(ISNUMBER(R90),R90,1)))</f>
        <v/>
      </c>
      <c r="AT90">
        <f>IF(Setup!$B$20="",0,IF(S90="",0,IF(ISNUMBER(S90),S90,1)))</f>
        <v/>
      </c>
    </row>
    <row r="91">
      <c r="A91" s="1" t="n"/>
      <c r="B91" s="24" t="n"/>
      <c r="C91" s="25" t="n"/>
      <c r="D91" s="25" t="n"/>
      <c r="E91" s="26" t="n"/>
      <c r="F91" s="27" t="n"/>
      <c r="G91" s="17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28" t="n"/>
      <c r="R91" s="28" t="n"/>
      <c r="S91" s="28" t="n"/>
      <c r="T91" s="29">
        <f>IF(N(E91)=0,"",E91*IF(F91="",1,IFERROR(INDEX(Setup!$E$9:$E$18,MATCH(F91,Setup!$D$9:$D$18,0)),0)))</f>
        <v/>
      </c>
      <c r="U91" s="30">
        <f>IF(T91="","",IF(V91=0,"Everyone",IF(COUNTIF(AI91:AT91,"&gt;0")=COUNTIF(Setup!$B$9:$B$20,"?*"),"Everyone",COUNTIF(AI91:AT91,"&gt;0")&amp;IF(COUNTIF(AI91:AT91,"&gt;0")=1," person"," people"))))</f>
        <v/>
      </c>
      <c r="V91" s="1">
        <f>SUM(AI91:AT91)</f>
        <v/>
      </c>
      <c r="W91">
        <f>IF(OR(T91="",Setup!$B$9=""),0,IF(V91=0,T91/COUNTIF(Setup!$B$9:$B$20,"?*"),T91*AI91/V91))</f>
        <v/>
      </c>
      <c r="X91">
        <f>IF(OR(T91="",Setup!$B$10=""),0,IF(V91=0,T91/COUNTIF(Setup!$B$9:$B$20,"?*"),T91*AJ91/V91))</f>
        <v/>
      </c>
      <c r="Y91">
        <f>IF(OR(T91="",Setup!$B$11=""),0,IF(V91=0,T91/COUNTIF(Setup!$B$9:$B$20,"?*"),T91*AK91/V91))</f>
        <v/>
      </c>
      <c r="Z91">
        <f>IF(OR(T91="",Setup!$B$12=""),0,IF(V91=0,T91/COUNTIF(Setup!$B$9:$B$20,"?*"),T91*AL91/V91))</f>
        <v/>
      </c>
      <c r="AA91">
        <f>IF(OR(T91="",Setup!$B$13=""),0,IF(V91=0,T91/COUNTIF(Setup!$B$9:$B$20,"?*"),T91*AM91/V91))</f>
        <v/>
      </c>
      <c r="AB91">
        <f>IF(OR(T91="",Setup!$B$14=""),0,IF(V91=0,T91/COUNTIF(Setup!$B$9:$B$20,"?*"),T91*AN91/V91))</f>
        <v/>
      </c>
      <c r="AC91">
        <f>IF(OR(T91="",Setup!$B$15=""),0,IF(V91=0,T91/COUNTIF(Setup!$B$9:$B$20,"?*"),T91*AO91/V91))</f>
        <v/>
      </c>
      <c r="AD91">
        <f>IF(OR(T91="",Setup!$B$16=""),0,IF(V91=0,T91/COUNTIF(Setup!$B$9:$B$20,"?*"),T91*AP91/V91))</f>
        <v/>
      </c>
      <c r="AE91">
        <f>IF(OR(T91="",Setup!$B$17=""),0,IF(V91=0,T91/COUNTIF(Setup!$B$9:$B$20,"?*"),T91*AQ91/V91))</f>
        <v/>
      </c>
      <c r="AF91">
        <f>IF(OR(T91="",Setup!$B$18=""),0,IF(V91=0,T91/COUNTIF(Setup!$B$9:$B$20,"?*"),T91*AR91/V91))</f>
        <v/>
      </c>
      <c r="AG91">
        <f>IF(OR(T91="",Setup!$B$19=""),0,IF(V91=0,T91/COUNTIF(Setup!$B$9:$B$20,"?*"),T91*AS91/V91))</f>
        <v/>
      </c>
      <c r="AH91">
        <f>IF(OR(T91="",Setup!$B$20=""),0,IF(V91=0,T91/COUNTIF(Setup!$B$9:$B$20,"?*"),T91*AT91/V91))</f>
        <v/>
      </c>
      <c r="AI91">
        <f>IF(Setup!$B$9="",0,IF(H91="",0,IF(ISNUMBER(H91),H91,1)))</f>
        <v/>
      </c>
      <c r="AJ91">
        <f>IF(Setup!$B$10="",0,IF(I91="",0,IF(ISNUMBER(I91),I91,1)))</f>
        <v/>
      </c>
      <c r="AK91">
        <f>IF(Setup!$B$11="",0,IF(J91="",0,IF(ISNUMBER(J91),J91,1)))</f>
        <v/>
      </c>
      <c r="AL91">
        <f>IF(Setup!$B$12="",0,IF(K91="",0,IF(ISNUMBER(K91),K91,1)))</f>
        <v/>
      </c>
      <c r="AM91">
        <f>IF(Setup!$B$13="",0,IF(L91="",0,IF(ISNUMBER(L91),L91,1)))</f>
        <v/>
      </c>
      <c r="AN91">
        <f>IF(Setup!$B$14="",0,IF(M91="",0,IF(ISNUMBER(M91),M91,1)))</f>
        <v/>
      </c>
      <c r="AO91">
        <f>IF(Setup!$B$15="",0,IF(N91="",0,IF(ISNUMBER(N91),N91,1)))</f>
        <v/>
      </c>
      <c r="AP91">
        <f>IF(Setup!$B$16="",0,IF(O91="",0,IF(ISNUMBER(O91),O91,1)))</f>
        <v/>
      </c>
      <c r="AQ91">
        <f>IF(Setup!$B$17="",0,IF(P91="",0,IF(ISNUMBER(P91),P91,1)))</f>
        <v/>
      </c>
      <c r="AR91">
        <f>IF(Setup!$B$18="",0,IF(Q91="",0,IF(ISNUMBER(Q91),Q91,1)))</f>
        <v/>
      </c>
      <c r="AS91">
        <f>IF(Setup!$B$19="",0,IF(R91="",0,IF(ISNUMBER(R91),R91,1)))</f>
        <v/>
      </c>
      <c r="AT91">
        <f>IF(Setup!$B$20="",0,IF(S91="",0,IF(ISNUMBER(S91),S91,1)))</f>
        <v/>
      </c>
    </row>
    <row r="92">
      <c r="A92" s="1" t="n"/>
      <c r="B92" s="24" t="n"/>
      <c r="C92" s="25" t="n"/>
      <c r="D92" s="25" t="n"/>
      <c r="E92" s="26" t="n"/>
      <c r="F92" s="27" t="n"/>
      <c r="G92" s="17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28" t="n"/>
      <c r="R92" s="28" t="n"/>
      <c r="S92" s="28" t="n"/>
      <c r="T92" s="29">
        <f>IF(N(E92)=0,"",E92*IF(F92="",1,IFERROR(INDEX(Setup!$E$9:$E$18,MATCH(F92,Setup!$D$9:$D$18,0)),0)))</f>
        <v/>
      </c>
      <c r="U92" s="30">
        <f>IF(T92="","",IF(V92=0,"Everyone",IF(COUNTIF(AI92:AT92,"&gt;0")=COUNTIF(Setup!$B$9:$B$20,"?*"),"Everyone",COUNTIF(AI92:AT92,"&gt;0")&amp;IF(COUNTIF(AI92:AT92,"&gt;0")=1," person"," people"))))</f>
        <v/>
      </c>
      <c r="V92" s="1">
        <f>SUM(AI92:AT92)</f>
        <v/>
      </c>
      <c r="W92">
        <f>IF(OR(T92="",Setup!$B$9=""),0,IF(V92=0,T92/COUNTIF(Setup!$B$9:$B$20,"?*"),T92*AI92/V92))</f>
        <v/>
      </c>
      <c r="X92">
        <f>IF(OR(T92="",Setup!$B$10=""),0,IF(V92=0,T92/COUNTIF(Setup!$B$9:$B$20,"?*"),T92*AJ92/V92))</f>
        <v/>
      </c>
      <c r="Y92">
        <f>IF(OR(T92="",Setup!$B$11=""),0,IF(V92=0,T92/COUNTIF(Setup!$B$9:$B$20,"?*"),T92*AK92/V92))</f>
        <v/>
      </c>
      <c r="Z92">
        <f>IF(OR(T92="",Setup!$B$12=""),0,IF(V92=0,T92/COUNTIF(Setup!$B$9:$B$20,"?*"),T92*AL92/V92))</f>
        <v/>
      </c>
      <c r="AA92">
        <f>IF(OR(T92="",Setup!$B$13=""),0,IF(V92=0,T92/COUNTIF(Setup!$B$9:$B$20,"?*"),T92*AM92/V92))</f>
        <v/>
      </c>
      <c r="AB92">
        <f>IF(OR(T92="",Setup!$B$14=""),0,IF(V92=0,T92/COUNTIF(Setup!$B$9:$B$20,"?*"),T92*AN92/V92))</f>
        <v/>
      </c>
      <c r="AC92">
        <f>IF(OR(T92="",Setup!$B$15=""),0,IF(V92=0,T92/COUNTIF(Setup!$B$9:$B$20,"?*"),T92*AO92/V92))</f>
        <v/>
      </c>
      <c r="AD92">
        <f>IF(OR(T92="",Setup!$B$16=""),0,IF(V92=0,T92/COUNTIF(Setup!$B$9:$B$20,"?*"),T92*AP92/V92))</f>
        <v/>
      </c>
      <c r="AE92">
        <f>IF(OR(T92="",Setup!$B$17=""),0,IF(V92=0,T92/COUNTIF(Setup!$B$9:$B$20,"?*"),T92*AQ92/V92))</f>
        <v/>
      </c>
      <c r="AF92">
        <f>IF(OR(T92="",Setup!$B$18=""),0,IF(V92=0,T92/COUNTIF(Setup!$B$9:$B$20,"?*"),T92*AR92/V92))</f>
        <v/>
      </c>
      <c r="AG92">
        <f>IF(OR(T92="",Setup!$B$19=""),0,IF(V92=0,T92/COUNTIF(Setup!$B$9:$B$20,"?*"),T92*AS92/V92))</f>
        <v/>
      </c>
      <c r="AH92">
        <f>IF(OR(T92="",Setup!$B$20=""),0,IF(V92=0,T92/COUNTIF(Setup!$B$9:$B$20,"?*"),T92*AT92/V92))</f>
        <v/>
      </c>
      <c r="AI92">
        <f>IF(Setup!$B$9="",0,IF(H92="",0,IF(ISNUMBER(H92),H92,1)))</f>
        <v/>
      </c>
      <c r="AJ92">
        <f>IF(Setup!$B$10="",0,IF(I92="",0,IF(ISNUMBER(I92),I92,1)))</f>
        <v/>
      </c>
      <c r="AK92">
        <f>IF(Setup!$B$11="",0,IF(J92="",0,IF(ISNUMBER(J92),J92,1)))</f>
        <v/>
      </c>
      <c r="AL92">
        <f>IF(Setup!$B$12="",0,IF(K92="",0,IF(ISNUMBER(K92),K92,1)))</f>
        <v/>
      </c>
      <c r="AM92">
        <f>IF(Setup!$B$13="",0,IF(L92="",0,IF(ISNUMBER(L92),L92,1)))</f>
        <v/>
      </c>
      <c r="AN92">
        <f>IF(Setup!$B$14="",0,IF(M92="",0,IF(ISNUMBER(M92),M92,1)))</f>
        <v/>
      </c>
      <c r="AO92">
        <f>IF(Setup!$B$15="",0,IF(N92="",0,IF(ISNUMBER(N92),N92,1)))</f>
        <v/>
      </c>
      <c r="AP92">
        <f>IF(Setup!$B$16="",0,IF(O92="",0,IF(ISNUMBER(O92),O92,1)))</f>
        <v/>
      </c>
      <c r="AQ92">
        <f>IF(Setup!$B$17="",0,IF(P92="",0,IF(ISNUMBER(P92),P92,1)))</f>
        <v/>
      </c>
      <c r="AR92">
        <f>IF(Setup!$B$18="",0,IF(Q92="",0,IF(ISNUMBER(Q92),Q92,1)))</f>
        <v/>
      </c>
      <c r="AS92">
        <f>IF(Setup!$B$19="",0,IF(R92="",0,IF(ISNUMBER(R92),R92,1)))</f>
        <v/>
      </c>
      <c r="AT92">
        <f>IF(Setup!$B$20="",0,IF(S92="",0,IF(ISNUMBER(S92),S92,1)))</f>
        <v/>
      </c>
    </row>
    <row r="93">
      <c r="A93" s="1" t="n"/>
      <c r="B93" s="24" t="n"/>
      <c r="C93" s="25" t="n"/>
      <c r="D93" s="25" t="n"/>
      <c r="E93" s="26" t="n"/>
      <c r="F93" s="27" t="n"/>
      <c r="G93" s="17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28" t="n"/>
      <c r="R93" s="28" t="n"/>
      <c r="S93" s="28" t="n"/>
      <c r="T93" s="29">
        <f>IF(N(E93)=0,"",E93*IF(F93="",1,IFERROR(INDEX(Setup!$E$9:$E$18,MATCH(F93,Setup!$D$9:$D$18,0)),0)))</f>
        <v/>
      </c>
      <c r="U93" s="30">
        <f>IF(T93="","",IF(V93=0,"Everyone",IF(COUNTIF(AI93:AT93,"&gt;0")=COUNTIF(Setup!$B$9:$B$20,"?*"),"Everyone",COUNTIF(AI93:AT93,"&gt;0")&amp;IF(COUNTIF(AI93:AT93,"&gt;0")=1," person"," people"))))</f>
        <v/>
      </c>
      <c r="V93" s="1">
        <f>SUM(AI93:AT93)</f>
        <v/>
      </c>
      <c r="W93">
        <f>IF(OR(T93="",Setup!$B$9=""),0,IF(V93=0,T93/COUNTIF(Setup!$B$9:$B$20,"?*"),T93*AI93/V93))</f>
        <v/>
      </c>
      <c r="X93">
        <f>IF(OR(T93="",Setup!$B$10=""),0,IF(V93=0,T93/COUNTIF(Setup!$B$9:$B$20,"?*"),T93*AJ93/V93))</f>
        <v/>
      </c>
      <c r="Y93">
        <f>IF(OR(T93="",Setup!$B$11=""),0,IF(V93=0,T93/COUNTIF(Setup!$B$9:$B$20,"?*"),T93*AK93/V93))</f>
        <v/>
      </c>
      <c r="Z93">
        <f>IF(OR(T93="",Setup!$B$12=""),0,IF(V93=0,T93/COUNTIF(Setup!$B$9:$B$20,"?*"),T93*AL93/V93))</f>
        <v/>
      </c>
      <c r="AA93">
        <f>IF(OR(T93="",Setup!$B$13=""),0,IF(V93=0,T93/COUNTIF(Setup!$B$9:$B$20,"?*"),T93*AM93/V93))</f>
        <v/>
      </c>
      <c r="AB93">
        <f>IF(OR(T93="",Setup!$B$14=""),0,IF(V93=0,T93/COUNTIF(Setup!$B$9:$B$20,"?*"),T93*AN93/V93))</f>
        <v/>
      </c>
      <c r="AC93">
        <f>IF(OR(T93="",Setup!$B$15=""),0,IF(V93=0,T93/COUNTIF(Setup!$B$9:$B$20,"?*"),T93*AO93/V93))</f>
        <v/>
      </c>
      <c r="AD93">
        <f>IF(OR(T93="",Setup!$B$16=""),0,IF(V93=0,T93/COUNTIF(Setup!$B$9:$B$20,"?*"),T93*AP93/V93))</f>
        <v/>
      </c>
      <c r="AE93">
        <f>IF(OR(T93="",Setup!$B$17=""),0,IF(V93=0,T93/COUNTIF(Setup!$B$9:$B$20,"?*"),T93*AQ93/V93))</f>
        <v/>
      </c>
      <c r="AF93">
        <f>IF(OR(T93="",Setup!$B$18=""),0,IF(V93=0,T93/COUNTIF(Setup!$B$9:$B$20,"?*"),T93*AR93/V93))</f>
        <v/>
      </c>
      <c r="AG93">
        <f>IF(OR(T93="",Setup!$B$19=""),0,IF(V93=0,T93/COUNTIF(Setup!$B$9:$B$20,"?*"),T93*AS93/V93))</f>
        <v/>
      </c>
      <c r="AH93">
        <f>IF(OR(T93="",Setup!$B$20=""),0,IF(V93=0,T93/COUNTIF(Setup!$B$9:$B$20,"?*"),T93*AT93/V93))</f>
        <v/>
      </c>
      <c r="AI93">
        <f>IF(Setup!$B$9="",0,IF(H93="",0,IF(ISNUMBER(H93),H93,1)))</f>
        <v/>
      </c>
      <c r="AJ93">
        <f>IF(Setup!$B$10="",0,IF(I93="",0,IF(ISNUMBER(I93),I93,1)))</f>
        <v/>
      </c>
      <c r="AK93">
        <f>IF(Setup!$B$11="",0,IF(J93="",0,IF(ISNUMBER(J93),J93,1)))</f>
        <v/>
      </c>
      <c r="AL93">
        <f>IF(Setup!$B$12="",0,IF(K93="",0,IF(ISNUMBER(K93),K93,1)))</f>
        <v/>
      </c>
      <c r="AM93">
        <f>IF(Setup!$B$13="",0,IF(L93="",0,IF(ISNUMBER(L93),L93,1)))</f>
        <v/>
      </c>
      <c r="AN93">
        <f>IF(Setup!$B$14="",0,IF(M93="",0,IF(ISNUMBER(M93),M93,1)))</f>
        <v/>
      </c>
      <c r="AO93">
        <f>IF(Setup!$B$15="",0,IF(N93="",0,IF(ISNUMBER(N93),N93,1)))</f>
        <v/>
      </c>
      <c r="AP93">
        <f>IF(Setup!$B$16="",0,IF(O93="",0,IF(ISNUMBER(O93),O93,1)))</f>
        <v/>
      </c>
      <c r="AQ93">
        <f>IF(Setup!$B$17="",0,IF(P93="",0,IF(ISNUMBER(P93),P93,1)))</f>
        <v/>
      </c>
      <c r="AR93">
        <f>IF(Setup!$B$18="",0,IF(Q93="",0,IF(ISNUMBER(Q93),Q93,1)))</f>
        <v/>
      </c>
      <c r="AS93">
        <f>IF(Setup!$B$19="",0,IF(R93="",0,IF(ISNUMBER(R93),R93,1)))</f>
        <v/>
      </c>
      <c r="AT93">
        <f>IF(Setup!$B$20="",0,IF(S93="",0,IF(ISNUMBER(S93),S93,1)))</f>
        <v/>
      </c>
    </row>
    <row r="94">
      <c r="A94" s="1" t="n"/>
      <c r="B94" s="24" t="n"/>
      <c r="C94" s="25" t="n"/>
      <c r="D94" s="25" t="n"/>
      <c r="E94" s="26" t="n"/>
      <c r="F94" s="27" t="n"/>
      <c r="G94" s="17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28" t="n"/>
      <c r="R94" s="28" t="n"/>
      <c r="S94" s="28" t="n"/>
      <c r="T94" s="29">
        <f>IF(N(E94)=0,"",E94*IF(F94="",1,IFERROR(INDEX(Setup!$E$9:$E$18,MATCH(F94,Setup!$D$9:$D$18,0)),0)))</f>
        <v/>
      </c>
      <c r="U94" s="30">
        <f>IF(T94="","",IF(V94=0,"Everyone",IF(COUNTIF(AI94:AT94,"&gt;0")=COUNTIF(Setup!$B$9:$B$20,"?*"),"Everyone",COUNTIF(AI94:AT94,"&gt;0")&amp;IF(COUNTIF(AI94:AT94,"&gt;0")=1," person"," people"))))</f>
        <v/>
      </c>
      <c r="V94" s="1">
        <f>SUM(AI94:AT94)</f>
        <v/>
      </c>
      <c r="W94">
        <f>IF(OR(T94="",Setup!$B$9=""),0,IF(V94=0,T94/COUNTIF(Setup!$B$9:$B$20,"?*"),T94*AI94/V94))</f>
        <v/>
      </c>
      <c r="X94">
        <f>IF(OR(T94="",Setup!$B$10=""),0,IF(V94=0,T94/COUNTIF(Setup!$B$9:$B$20,"?*"),T94*AJ94/V94))</f>
        <v/>
      </c>
      <c r="Y94">
        <f>IF(OR(T94="",Setup!$B$11=""),0,IF(V94=0,T94/COUNTIF(Setup!$B$9:$B$20,"?*"),T94*AK94/V94))</f>
        <v/>
      </c>
      <c r="Z94">
        <f>IF(OR(T94="",Setup!$B$12=""),0,IF(V94=0,T94/COUNTIF(Setup!$B$9:$B$20,"?*"),T94*AL94/V94))</f>
        <v/>
      </c>
      <c r="AA94">
        <f>IF(OR(T94="",Setup!$B$13=""),0,IF(V94=0,T94/COUNTIF(Setup!$B$9:$B$20,"?*"),T94*AM94/V94))</f>
        <v/>
      </c>
      <c r="AB94">
        <f>IF(OR(T94="",Setup!$B$14=""),0,IF(V94=0,T94/COUNTIF(Setup!$B$9:$B$20,"?*"),T94*AN94/V94))</f>
        <v/>
      </c>
      <c r="AC94">
        <f>IF(OR(T94="",Setup!$B$15=""),0,IF(V94=0,T94/COUNTIF(Setup!$B$9:$B$20,"?*"),T94*AO94/V94))</f>
        <v/>
      </c>
      <c r="AD94">
        <f>IF(OR(T94="",Setup!$B$16=""),0,IF(V94=0,T94/COUNTIF(Setup!$B$9:$B$20,"?*"),T94*AP94/V94))</f>
        <v/>
      </c>
      <c r="AE94">
        <f>IF(OR(T94="",Setup!$B$17=""),0,IF(V94=0,T94/COUNTIF(Setup!$B$9:$B$20,"?*"),T94*AQ94/V94))</f>
        <v/>
      </c>
      <c r="AF94">
        <f>IF(OR(T94="",Setup!$B$18=""),0,IF(V94=0,T94/COUNTIF(Setup!$B$9:$B$20,"?*"),T94*AR94/V94))</f>
        <v/>
      </c>
      <c r="AG94">
        <f>IF(OR(T94="",Setup!$B$19=""),0,IF(V94=0,T94/COUNTIF(Setup!$B$9:$B$20,"?*"),T94*AS94/V94))</f>
        <v/>
      </c>
      <c r="AH94">
        <f>IF(OR(T94="",Setup!$B$20=""),0,IF(V94=0,T94/COUNTIF(Setup!$B$9:$B$20,"?*"),T94*AT94/V94))</f>
        <v/>
      </c>
      <c r="AI94">
        <f>IF(Setup!$B$9="",0,IF(H94="",0,IF(ISNUMBER(H94),H94,1)))</f>
        <v/>
      </c>
      <c r="AJ94">
        <f>IF(Setup!$B$10="",0,IF(I94="",0,IF(ISNUMBER(I94),I94,1)))</f>
        <v/>
      </c>
      <c r="AK94">
        <f>IF(Setup!$B$11="",0,IF(J94="",0,IF(ISNUMBER(J94),J94,1)))</f>
        <v/>
      </c>
      <c r="AL94">
        <f>IF(Setup!$B$12="",0,IF(K94="",0,IF(ISNUMBER(K94),K94,1)))</f>
        <v/>
      </c>
      <c r="AM94">
        <f>IF(Setup!$B$13="",0,IF(L94="",0,IF(ISNUMBER(L94),L94,1)))</f>
        <v/>
      </c>
      <c r="AN94">
        <f>IF(Setup!$B$14="",0,IF(M94="",0,IF(ISNUMBER(M94),M94,1)))</f>
        <v/>
      </c>
      <c r="AO94">
        <f>IF(Setup!$B$15="",0,IF(N94="",0,IF(ISNUMBER(N94),N94,1)))</f>
        <v/>
      </c>
      <c r="AP94">
        <f>IF(Setup!$B$16="",0,IF(O94="",0,IF(ISNUMBER(O94),O94,1)))</f>
        <v/>
      </c>
      <c r="AQ94">
        <f>IF(Setup!$B$17="",0,IF(P94="",0,IF(ISNUMBER(P94),P94,1)))</f>
        <v/>
      </c>
      <c r="AR94">
        <f>IF(Setup!$B$18="",0,IF(Q94="",0,IF(ISNUMBER(Q94),Q94,1)))</f>
        <v/>
      </c>
      <c r="AS94">
        <f>IF(Setup!$B$19="",0,IF(R94="",0,IF(ISNUMBER(R94),R94,1)))</f>
        <v/>
      </c>
      <c r="AT94">
        <f>IF(Setup!$B$20="",0,IF(S94="",0,IF(ISNUMBER(S94),S94,1)))</f>
        <v/>
      </c>
    </row>
    <row r="95">
      <c r="A95" s="1" t="n"/>
      <c r="B95" s="24" t="n"/>
      <c r="C95" s="25" t="n"/>
      <c r="D95" s="25" t="n"/>
      <c r="E95" s="26" t="n"/>
      <c r="F95" s="27" t="n"/>
      <c r="G95" s="17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28" t="n"/>
      <c r="R95" s="28" t="n"/>
      <c r="S95" s="28" t="n"/>
      <c r="T95" s="29">
        <f>IF(N(E95)=0,"",E95*IF(F95="",1,IFERROR(INDEX(Setup!$E$9:$E$18,MATCH(F95,Setup!$D$9:$D$18,0)),0)))</f>
        <v/>
      </c>
      <c r="U95" s="30">
        <f>IF(T95="","",IF(V95=0,"Everyone",IF(COUNTIF(AI95:AT95,"&gt;0")=COUNTIF(Setup!$B$9:$B$20,"?*"),"Everyone",COUNTIF(AI95:AT95,"&gt;0")&amp;IF(COUNTIF(AI95:AT95,"&gt;0")=1," person"," people"))))</f>
        <v/>
      </c>
      <c r="V95" s="1">
        <f>SUM(AI95:AT95)</f>
        <v/>
      </c>
      <c r="W95">
        <f>IF(OR(T95="",Setup!$B$9=""),0,IF(V95=0,T95/COUNTIF(Setup!$B$9:$B$20,"?*"),T95*AI95/V95))</f>
        <v/>
      </c>
      <c r="X95">
        <f>IF(OR(T95="",Setup!$B$10=""),0,IF(V95=0,T95/COUNTIF(Setup!$B$9:$B$20,"?*"),T95*AJ95/V95))</f>
        <v/>
      </c>
      <c r="Y95">
        <f>IF(OR(T95="",Setup!$B$11=""),0,IF(V95=0,T95/COUNTIF(Setup!$B$9:$B$20,"?*"),T95*AK95/V95))</f>
        <v/>
      </c>
      <c r="Z95">
        <f>IF(OR(T95="",Setup!$B$12=""),0,IF(V95=0,T95/COUNTIF(Setup!$B$9:$B$20,"?*"),T95*AL95/V95))</f>
        <v/>
      </c>
      <c r="AA95">
        <f>IF(OR(T95="",Setup!$B$13=""),0,IF(V95=0,T95/COUNTIF(Setup!$B$9:$B$20,"?*"),T95*AM95/V95))</f>
        <v/>
      </c>
      <c r="AB95">
        <f>IF(OR(T95="",Setup!$B$14=""),0,IF(V95=0,T95/COUNTIF(Setup!$B$9:$B$20,"?*"),T95*AN95/V95))</f>
        <v/>
      </c>
      <c r="AC95">
        <f>IF(OR(T95="",Setup!$B$15=""),0,IF(V95=0,T95/COUNTIF(Setup!$B$9:$B$20,"?*"),T95*AO95/V95))</f>
        <v/>
      </c>
      <c r="AD95">
        <f>IF(OR(T95="",Setup!$B$16=""),0,IF(V95=0,T95/COUNTIF(Setup!$B$9:$B$20,"?*"),T95*AP95/V95))</f>
        <v/>
      </c>
      <c r="AE95">
        <f>IF(OR(T95="",Setup!$B$17=""),0,IF(V95=0,T95/COUNTIF(Setup!$B$9:$B$20,"?*"),T95*AQ95/V95))</f>
        <v/>
      </c>
      <c r="AF95">
        <f>IF(OR(T95="",Setup!$B$18=""),0,IF(V95=0,T95/COUNTIF(Setup!$B$9:$B$20,"?*"),T95*AR95/V95))</f>
        <v/>
      </c>
      <c r="AG95">
        <f>IF(OR(T95="",Setup!$B$19=""),0,IF(V95=0,T95/COUNTIF(Setup!$B$9:$B$20,"?*"),T95*AS95/V95))</f>
        <v/>
      </c>
      <c r="AH95">
        <f>IF(OR(T95="",Setup!$B$20=""),0,IF(V95=0,T95/COUNTIF(Setup!$B$9:$B$20,"?*"),T95*AT95/V95))</f>
        <v/>
      </c>
      <c r="AI95">
        <f>IF(Setup!$B$9="",0,IF(H95="",0,IF(ISNUMBER(H95),H95,1)))</f>
        <v/>
      </c>
      <c r="AJ95">
        <f>IF(Setup!$B$10="",0,IF(I95="",0,IF(ISNUMBER(I95),I95,1)))</f>
        <v/>
      </c>
      <c r="AK95">
        <f>IF(Setup!$B$11="",0,IF(J95="",0,IF(ISNUMBER(J95),J95,1)))</f>
        <v/>
      </c>
      <c r="AL95">
        <f>IF(Setup!$B$12="",0,IF(K95="",0,IF(ISNUMBER(K95),K95,1)))</f>
        <v/>
      </c>
      <c r="AM95">
        <f>IF(Setup!$B$13="",0,IF(L95="",0,IF(ISNUMBER(L95),L95,1)))</f>
        <v/>
      </c>
      <c r="AN95">
        <f>IF(Setup!$B$14="",0,IF(M95="",0,IF(ISNUMBER(M95),M95,1)))</f>
        <v/>
      </c>
      <c r="AO95">
        <f>IF(Setup!$B$15="",0,IF(N95="",0,IF(ISNUMBER(N95),N95,1)))</f>
        <v/>
      </c>
      <c r="AP95">
        <f>IF(Setup!$B$16="",0,IF(O95="",0,IF(ISNUMBER(O95),O95,1)))</f>
        <v/>
      </c>
      <c r="AQ95">
        <f>IF(Setup!$B$17="",0,IF(P95="",0,IF(ISNUMBER(P95),P95,1)))</f>
        <v/>
      </c>
      <c r="AR95">
        <f>IF(Setup!$B$18="",0,IF(Q95="",0,IF(ISNUMBER(Q95),Q95,1)))</f>
        <v/>
      </c>
      <c r="AS95">
        <f>IF(Setup!$B$19="",0,IF(R95="",0,IF(ISNUMBER(R95),R95,1)))</f>
        <v/>
      </c>
      <c r="AT95">
        <f>IF(Setup!$B$20="",0,IF(S95="",0,IF(ISNUMBER(S95),S95,1)))</f>
        <v/>
      </c>
    </row>
    <row r="96">
      <c r="A96" s="1" t="n"/>
      <c r="B96" s="24" t="n"/>
      <c r="C96" s="25" t="n"/>
      <c r="D96" s="25" t="n"/>
      <c r="E96" s="26" t="n"/>
      <c r="F96" s="27" t="n"/>
      <c r="G96" s="17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/>
      <c r="S96" s="28" t="n"/>
      <c r="T96" s="29">
        <f>IF(N(E96)=0,"",E96*IF(F96="",1,IFERROR(INDEX(Setup!$E$9:$E$18,MATCH(F96,Setup!$D$9:$D$18,0)),0)))</f>
        <v/>
      </c>
      <c r="U96" s="30">
        <f>IF(T96="","",IF(V96=0,"Everyone",IF(COUNTIF(AI96:AT96,"&gt;0")=COUNTIF(Setup!$B$9:$B$20,"?*"),"Everyone",COUNTIF(AI96:AT96,"&gt;0")&amp;IF(COUNTIF(AI96:AT96,"&gt;0")=1," person"," people"))))</f>
        <v/>
      </c>
      <c r="V96" s="1">
        <f>SUM(AI96:AT96)</f>
        <v/>
      </c>
      <c r="W96">
        <f>IF(OR(T96="",Setup!$B$9=""),0,IF(V96=0,T96/COUNTIF(Setup!$B$9:$B$20,"?*"),T96*AI96/V96))</f>
        <v/>
      </c>
      <c r="X96">
        <f>IF(OR(T96="",Setup!$B$10=""),0,IF(V96=0,T96/COUNTIF(Setup!$B$9:$B$20,"?*"),T96*AJ96/V96))</f>
        <v/>
      </c>
      <c r="Y96">
        <f>IF(OR(T96="",Setup!$B$11=""),0,IF(V96=0,T96/COUNTIF(Setup!$B$9:$B$20,"?*"),T96*AK96/V96))</f>
        <v/>
      </c>
      <c r="Z96">
        <f>IF(OR(T96="",Setup!$B$12=""),0,IF(V96=0,T96/COUNTIF(Setup!$B$9:$B$20,"?*"),T96*AL96/V96))</f>
        <v/>
      </c>
      <c r="AA96">
        <f>IF(OR(T96="",Setup!$B$13=""),0,IF(V96=0,T96/COUNTIF(Setup!$B$9:$B$20,"?*"),T96*AM96/V96))</f>
        <v/>
      </c>
      <c r="AB96">
        <f>IF(OR(T96="",Setup!$B$14=""),0,IF(V96=0,T96/COUNTIF(Setup!$B$9:$B$20,"?*"),T96*AN96/V96))</f>
        <v/>
      </c>
      <c r="AC96">
        <f>IF(OR(T96="",Setup!$B$15=""),0,IF(V96=0,T96/COUNTIF(Setup!$B$9:$B$20,"?*"),T96*AO96/V96))</f>
        <v/>
      </c>
      <c r="AD96">
        <f>IF(OR(T96="",Setup!$B$16=""),0,IF(V96=0,T96/COUNTIF(Setup!$B$9:$B$20,"?*"),T96*AP96/V96))</f>
        <v/>
      </c>
      <c r="AE96">
        <f>IF(OR(T96="",Setup!$B$17=""),0,IF(V96=0,T96/COUNTIF(Setup!$B$9:$B$20,"?*"),T96*AQ96/V96))</f>
        <v/>
      </c>
      <c r="AF96">
        <f>IF(OR(T96="",Setup!$B$18=""),0,IF(V96=0,T96/COUNTIF(Setup!$B$9:$B$20,"?*"),T96*AR96/V96))</f>
        <v/>
      </c>
      <c r="AG96">
        <f>IF(OR(T96="",Setup!$B$19=""),0,IF(V96=0,T96/COUNTIF(Setup!$B$9:$B$20,"?*"),T96*AS96/V96))</f>
        <v/>
      </c>
      <c r="AH96">
        <f>IF(OR(T96="",Setup!$B$20=""),0,IF(V96=0,T96/COUNTIF(Setup!$B$9:$B$20,"?*"),T96*AT96/V96))</f>
        <v/>
      </c>
      <c r="AI96">
        <f>IF(Setup!$B$9="",0,IF(H96="",0,IF(ISNUMBER(H96),H96,1)))</f>
        <v/>
      </c>
      <c r="AJ96">
        <f>IF(Setup!$B$10="",0,IF(I96="",0,IF(ISNUMBER(I96),I96,1)))</f>
        <v/>
      </c>
      <c r="AK96">
        <f>IF(Setup!$B$11="",0,IF(J96="",0,IF(ISNUMBER(J96),J96,1)))</f>
        <v/>
      </c>
      <c r="AL96">
        <f>IF(Setup!$B$12="",0,IF(K96="",0,IF(ISNUMBER(K96),K96,1)))</f>
        <v/>
      </c>
      <c r="AM96">
        <f>IF(Setup!$B$13="",0,IF(L96="",0,IF(ISNUMBER(L96),L96,1)))</f>
        <v/>
      </c>
      <c r="AN96">
        <f>IF(Setup!$B$14="",0,IF(M96="",0,IF(ISNUMBER(M96),M96,1)))</f>
        <v/>
      </c>
      <c r="AO96">
        <f>IF(Setup!$B$15="",0,IF(N96="",0,IF(ISNUMBER(N96),N96,1)))</f>
        <v/>
      </c>
      <c r="AP96">
        <f>IF(Setup!$B$16="",0,IF(O96="",0,IF(ISNUMBER(O96),O96,1)))</f>
        <v/>
      </c>
      <c r="AQ96">
        <f>IF(Setup!$B$17="",0,IF(P96="",0,IF(ISNUMBER(P96),P96,1)))</f>
        <v/>
      </c>
      <c r="AR96">
        <f>IF(Setup!$B$18="",0,IF(Q96="",0,IF(ISNUMBER(Q96),Q96,1)))</f>
        <v/>
      </c>
      <c r="AS96">
        <f>IF(Setup!$B$19="",0,IF(R96="",0,IF(ISNUMBER(R96),R96,1)))</f>
        <v/>
      </c>
      <c r="AT96">
        <f>IF(Setup!$B$20="",0,IF(S96="",0,IF(ISNUMBER(S96),S96,1)))</f>
        <v/>
      </c>
    </row>
    <row r="97">
      <c r="A97" s="1" t="n"/>
      <c r="B97" s="24" t="n"/>
      <c r="C97" s="25" t="n"/>
      <c r="D97" s="25" t="n"/>
      <c r="E97" s="26" t="n"/>
      <c r="F97" s="27" t="n"/>
      <c r="G97" s="17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9">
        <f>IF(N(E97)=0,"",E97*IF(F97="",1,IFERROR(INDEX(Setup!$E$9:$E$18,MATCH(F97,Setup!$D$9:$D$18,0)),0)))</f>
        <v/>
      </c>
      <c r="U97" s="30">
        <f>IF(T97="","",IF(V97=0,"Everyone",IF(COUNTIF(AI97:AT97,"&gt;0")=COUNTIF(Setup!$B$9:$B$20,"?*"),"Everyone",COUNTIF(AI97:AT97,"&gt;0")&amp;IF(COUNTIF(AI97:AT97,"&gt;0")=1," person"," people"))))</f>
        <v/>
      </c>
      <c r="V97" s="1">
        <f>SUM(AI97:AT97)</f>
        <v/>
      </c>
      <c r="W97">
        <f>IF(OR(T97="",Setup!$B$9=""),0,IF(V97=0,T97/COUNTIF(Setup!$B$9:$B$20,"?*"),T97*AI97/V97))</f>
        <v/>
      </c>
      <c r="X97">
        <f>IF(OR(T97="",Setup!$B$10=""),0,IF(V97=0,T97/COUNTIF(Setup!$B$9:$B$20,"?*"),T97*AJ97/V97))</f>
        <v/>
      </c>
      <c r="Y97">
        <f>IF(OR(T97="",Setup!$B$11=""),0,IF(V97=0,T97/COUNTIF(Setup!$B$9:$B$20,"?*"),T97*AK97/V97))</f>
        <v/>
      </c>
      <c r="Z97">
        <f>IF(OR(T97="",Setup!$B$12=""),0,IF(V97=0,T97/COUNTIF(Setup!$B$9:$B$20,"?*"),T97*AL97/V97))</f>
        <v/>
      </c>
      <c r="AA97">
        <f>IF(OR(T97="",Setup!$B$13=""),0,IF(V97=0,T97/COUNTIF(Setup!$B$9:$B$20,"?*"),T97*AM97/V97))</f>
        <v/>
      </c>
      <c r="AB97">
        <f>IF(OR(T97="",Setup!$B$14=""),0,IF(V97=0,T97/COUNTIF(Setup!$B$9:$B$20,"?*"),T97*AN97/V97))</f>
        <v/>
      </c>
      <c r="AC97">
        <f>IF(OR(T97="",Setup!$B$15=""),0,IF(V97=0,T97/COUNTIF(Setup!$B$9:$B$20,"?*"),T97*AO97/V97))</f>
        <v/>
      </c>
      <c r="AD97">
        <f>IF(OR(T97="",Setup!$B$16=""),0,IF(V97=0,T97/COUNTIF(Setup!$B$9:$B$20,"?*"),T97*AP97/V97))</f>
        <v/>
      </c>
      <c r="AE97">
        <f>IF(OR(T97="",Setup!$B$17=""),0,IF(V97=0,T97/COUNTIF(Setup!$B$9:$B$20,"?*"),T97*AQ97/V97))</f>
        <v/>
      </c>
      <c r="AF97">
        <f>IF(OR(T97="",Setup!$B$18=""),0,IF(V97=0,T97/COUNTIF(Setup!$B$9:$B$20,"?*"),T97*AR97/V97))</f>
        <v/>
      </c>
      <c r="AG97">
        <f>IF(OR(T97="",Setup!$B$19=""),0,IF(V97=0,T97/COUNTIF(Setup!$B$9:$B$20,"?*"),T97*AS97/V97))</f>
        <v/>
      </c>
      <c r="AH97">
        <f>IF(OR(T97="",Setup!$B$20=""),0,IF(V97=0,T97/COUNTIF(Setup!$B$9:$B$20,"?*"),T97*AT97/V97))</f>
        <v/>
      </c>
      <c r="AI97">
        <f>IF(Setup!$B$9="",0,IF(H97="",0,IF(ISNUMBER(H97),H97,1)))</f>
        <v/>
      </c>
      <c r="AJ97">
        <f>IF(Setup!$B$10="",0,IF(I97="",0,IF(ISNUMBER(I97),I97,1)))</f>
        <v/>
      </c>
      <c r="AK97">
        <f>IF(Setup!$B$11="",0,IF(J97="",0,IF(ISNUMBER(J97),J97,1)))</f>
        <v/>
      </c>
      <c r="AL97">
        <f>IF(Setup!$B$12="",0,IF(K97="",0,IF(ISNUMBER(K97),K97,1)))</f>
        <v/>
      </c>
      <c r="AM97">
        <f>IF(Setup!$B$13="",0,IF(L97="",0,IF(ISNUMBER(L97),L97,1)))</f>
        <v/>
      </c>
      <c r="AN97">
        <f>IF(Setup!$B$14="",0,IF(M97="",0,IF(ISNUMBER(M97),M97,1)))</f>
        <v/>
      </c>
      <c r="AO97">
        <f>IF(Setup!$B$15="",0,IF(N97="",0,IF(ISNUMBER(N97),N97,1)))</f>
        <v/>
      </c>
      <c r="AP97">
        <f>IF(Setup!$B$16="",0,IF(O97="",0,IF(ISNUMBER(O97),O97,1)))</f>
        <v/>
      </c>
      <c r="AQ97">
        <f>IF(Setup!$B$17="",0,IF(P97="",0,IF(ISNUMBER(P97),P97,1)))</f>
        <v/>
      </c>
      <c r="AR97">
        <f>IF(Setup!$B$18="",0,IF(Q97="",0,IF(ISNUMBER(Q97),Q97,1)))</f>
        <v/>
      </c>
      <c r="AS97">
        <f>IF(Setup!$B$19="",0,IF(R97="",0,IF(ISNUMBER(R97),R97,1)))</f>
        <v/>
      </c>
      <c r="AT97">
        <f>IF(Setup!$B$20="",0,IF(S97="",0,IF(ISNUMBER(S97),S97,1)))</f>
        <v/>
      </c>
    </row>
    <row r="98">
      <c r="A98" s="1" t="n"/>
      <c r="B98" s="24" t="n"/>
      <c r="C98" s="25" t="n"/>
      <c r="D98" s="25" t="n"/>
      <c r="E98" s="26" t="n"/>
      <c r="F98" s="27" t="n"/>
      <c r="G98" s="17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9">
        <f>IF(N(E98)=0,"",E98*IF(F98="",1,IFERROR(INDEX(Setup!$E$9:$E$18,MATCH(F98,Setup!$D$9:$D$18,0)),0)))</f>
        <v/>
      </c>
      <c r="U98" s="30">
        <f>IF(T98="","",IF(V98=0,"Everyone",IF(COUNTIF(AI98:AT98,"&gt;0")=COUNTIF(Setup!$B$9:$B$20,"?*"),"Everyone",COUNTIF(AI98:AT98,"&gt;0")&amp;IF(COUNTIF(AI98:AT98,"&gt;0")=1," person"," people"))))</f>
        <v/>
      </c>
      <c r="V98" s="1">
        <f>SUM(AI98:AT98)</f>
        <v/>
      </c>
      <c r="W98">
        <f>IF(OR(T98="",Setup!$B$9=""),0,IF(V98=0,T98/COUNTIF(Setup!$B$9:$B$20,"?*"),T98*AI98/V98))</f>
        <v/>
      </c>
      <c r="X98">
        <f>IF(OR(T98="",Setup!$B$10=""),0,IF(V98=0,T98/COUNTIF(Setup!$B$9:$B$20,"?*"),T98*AJ98/V98))</f>
        <v/>
      </c>
      <c r="Y98">
        <f>IF(OR(T98="",Setup!$B$11=""),0,IF(V98=0,T98/COUNTIF(Setup!$B$9:$B$20,"?*"),T98*AK98/V98))</f>
        <v/>
      </c>
      <c r="Z98">
        <f>IF(OR(T98="",Setup!$B$12=""),0,IF(V98=0,T98/COUNTIF(Setup!$B$9:$B$20,"?*"),T98*AL98/V98))</f>
        <v/>
      </c>
      <c r="AA98">
        <f>IF(OR(T98="",Setup!$B$13=""),0,IF(V98=0,T98/COUNTIF(Setup!$B$9:$B$20,"?*"),T98*AM98/V98))</f>
        <v/>
      </c>
      <c r="AB98">
        <f>IF(OR(T98="",Setup!$B$14=""),0,IF(V98=0,T98/COUNTIF(Setup!$B$9:$B$20,"?*"),T98*AN98/V98))</f>
        <v/>
      </c>
      <c r="AC98">
        <f>IF(OR(T98="",Setup!$B$15=""),0,IF(V98=0,T98/COUNTIF(Setup!$B$9:$B$20,"?*"),T98*AO98/V98))</f>
        <v/>
      </c>
      <c r="AD98">
        <f>IF(OR(T98="",Setup!$B$16=""),0,IF(V98=0,T98/COUNTIF(Setup!$B$9:$B$20,"?*"),T98*AP98/V98))</f>
        <v/>
      </c>
      <c r="AE98">
        <f>IF(OR(T98="",Setup!$B$17=""),0,IF(V98=0,T98/COUNTIF(Setup!$B$9:$B$20,"?*"),T98*AQ98/V98))</f>
        <v/>
      </c>
      <c r="AF98">
        <f>IF(OR(T98="",Setup!$B$18=""),0,IF(V98=0,T98/COUNTIF(Setup!$B$9:$B$20,"?*"),T98*AR98/V98))</f>
        <v/>
      </c>
      <c r="AG98">
        <f>IF(OR(T98="",Setup!$B$19=""),0,IF(V98=0,T98/COUNTIF(Setup!$B$9:$B$20,"?*"),T98*AS98/V98))</f>
        <v/>
      </c>
      <c r="AH98">
        <f>IF(OR(T98="",Setup!$B$20=""),0,IF(V98=0,T98/COUNTIF(Setup!$B$9:$B$20,"?*"),T98*AT98/V98))</f>
        <v/>
      </c>
      <c r="AI98">
        <f>IF(Setup!$B$9="",0,IF(H98="",0,IF(ISNUMBER(H98),H98,1)))</f>
        <v/>
      </c>
      <c r="AJ98">
        <f>IF(Setup!$B$10="",0,IF(I98="",0,IF(ISNUMBER(I98),I98,1)))</f>
        <v/>
      </c>
      <c r="AK98">
        <f>IF(Setup!$B$11="",0,IF(J98="",0,IF(ISNUMBER(J98),J98,1)))</f>
        <v/>
      </c>
      <c r="AL98">
        <f>IF(Setup!$B$12="",0,IF(K98="",0,IF(ISNUMBER(K98),K98,1)))</f>
        <v/>
      </c>
      <c r="AM98">
        <f>IF(Setup!$B$13="",0,IF(L98="",0,IF(ISNUMBER(L98),L98,1)))</f>
        <v/>
      </c>
      <c r="AN98">
        <f>IF(Setup!$B$14="",0,IF(M98="",0,IF(ISNUMBER(M98),M98,1)))</f>
        <v/>
      </c>
      <c r="AO98">
        <f>IF(Setup!$B$15="",0,IF(N98="",0,IF(ISNUMBER(N98),N98,1)))</f>
        <v/>
      </c>
      <c r="AP98">
        <f>IF(Setup!$B$16="",0,IF(O98="",0,IF(ISNUMBER(O98),O98,1)))</f>
        <v/>
      </c>
      <c r="AQ98">
        <f>IF(Setup!$B$17="",0,IF(P98="",0,IF(ISNUMBER(P98),P98,1)))</f>
        <v/>
      </c>
      <c r="AR98">
        <f>IF(Setup!$B$18="",0,IF(Q98="",0,IF(ISNUMBER(Q98),Q98,1)))</f>
        <v/>
      </c>
      <c r="AS98">
        <f>IF(Setup!$B$19="",0,IF(R98="",0,IF(ISNUMBER(R98),R98,1)))</f>
        <v/>
      </c>
      <c r="AT98">
        <f>IF(Setup!$B$20="",0,IF(S98="",0,IF(ISNUMBER(S98),S98,1)))</f>
        <v/>
      </c>
    </row>
    <row r="99">
      <c r="A99" s="1" t="n"/>
      <c r="B99" s="24" t="n"/>
      <c r="C99" s="25" t="n"/>
      <c r="D99" s="25" t="n"/>
      <c r="E99" s="26" t="n"/>
      <c r="F99" s="27" t="n"/>
      <c r="G99" s="17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9">
        <f>IF(N(E99)=0,"",E99*IF(F99="",1,IFERROR(INDEX(Setup!$E$9:$E$18,MATCH(F99,Setup!$D$9:$D$18,0)),0)))</f>
        <v/>
      </c>
      <c r="U99" s="30">
        <f>IF(T99="","",IF(V99=0,"Everyone",IF(COUNTIF(AI99:AT99,"&gt;0")=COUNTIF(Setup!$B$9:$B$20,"?*"),"Everyone",COUNTIF(AI99:AT99,"&gt;0")&amp;IF(COUNTIF(AI99:AT99,"&gt;0")=1," person"," people"))))</f>
        <v/>
      </c>
      <c r="V99" s="1">
        <f>SUM(AI99:AT99)</f>
        <v/>
      </c>
      <c r="W99">
        <f>IF(OR(T99="",Setup!$B$9=""),0,IF(V99=0,T99/COUNTIF(Setup!$B$9:$B$20,"?*"),T99*AI99/V99))</f>
        <v/>
      </c>
      <c r="X99">
        <f>IF(OR(T99="",Setup!$B$10=""),0,IF(V99=0,T99/COUNTIF(Setup!$B$9:$B$20,"?*"),T99*AJ99/V99))</f>
        <v/>
      </c>
      <c r="Y99">
        <f>IF(OR(T99="",Setup!$B$11=""),0,IF(V99=0,T99/COUNTIF(Setup!$B$9:$B$20,"?*"),T99*AK99/V99))</f>
        <v/>
      </c>
      <c r="Z99">
        <f>IF(OR(T99="",Setup!$B$12=""),0,IF(V99=0,T99/COUNTIF(Setup!$B$9:$B$20,"?*"),T99*AL99/V99))</f>
        <v/>
      </c>
      <c r="AA99">
        <f>IF(OR(T99="",Setup!$B$13=""),0,IF(V99=0,T99/COUNTIF(Setup!$B$9:$B$20,"?*"),T99*AM99/V99))</f>
        <v/>
      </c>
      <c r="AB99">
        <f>IF(OR(T99="",Setup!$B$14=""),0,IF(V99=0,T99/COUNTIF(Setup!$B$9:$B$20,"?*"),T99*AN99/V99))</f>
        <v/>
      </c>
      <c r="AC99">
        <f>IF(OR(T99="",Setup!$B$15=""),0,IF(V99=0,T99/COUNTIF(Setup!$B$9:$B$20,"?*"),T99*AO99/V99))</f>
        <v/>
      </c>
      <c r="AD99">
        <f>IF(OR(T99="",Setup!$B$16=""),0,IF(V99=0,T99/COUNTIF(Setup!$B$9:$B$20,"?*"),T99*AP99/V99))</f>
        <v/>
      </c>
      <c r="AE99">
        <f>IF(OR(T99="",Setup!$B$17=""),0,IF(V99=0,T99/COUNTIF(Setup!$B$9:$B$20,"?*"),T99*AQ99/V99))</f>
        <v/>
      </c>
      <c r="AF99">
        <f>IF(OR(T99="",Setup!$B$18=""),0,IF(V99=0,T99/COUNTIF(Setup!$B$9:$B$20,"?*"),T99*AR99/V99))</f>
        <v/>
      </c>
      <c r="AG99">
        <f>IF(OR(T99="",Setup!$B$19=""),0,IF(V99=0,T99/COUNTIF(Setup!$B$9:$B$20,"?*"),T99*AS99/V99))</f>
        <v/>
      </c>
      <c r="AH99">
        <f>IF(OR(T99="",Setup!$B$20=""),0,IF(V99=0,T99/COUNTIF(Setup!$B$9:$B$20,"?*"),T99*AT99/V99))</f>
        <v/>
      </c>
      <c r="AI99">
        <f>IF(Setup!$B$9="",0,IF(H99="",0,IF(ISNUMBER(H99),H99,1)))</f>
        <v/>
      </c>
      <c r="AJ99">
        <f>IF(Setup!$B$10="",0,IF(I99="",0,IF(ISNUMBER(I99),I99,1)))</f>
        <v/>
      </c>
      <c r="AK99">
        <f>IF(Setup!$B$11="",0,IF(J99="",0,IF(ISNUMBER(J99),J99,1)))</f>
        <v/>
      </c>
      <c r="AL99">
        <f>IF(Setup!$B$12="",0,IF(K99="",0,IF(ISNUMBER(K99),K99,1)))</f>
        <v/>
      </c>
      <c r="AM99">
        <f>IF(Setup!$B$13="",0,IF(L99="",0,IF(ISNUMBER(L99),L99,1)))</f>
        <v/>
      </c>
      <c r="AN99">
        <f>IF(Setup!$B$14="",0,IF(M99="",0,IF(ISNUMBER(M99),M99,1)))</f>
        <v/>
      </c>
      <c r="AO99">
        <f>IF(Setup!$B$15="",0,IF(N99="",0,IF(ISNUMBER(N99),N99,1)))</f>
        <v/>
      </c>
      <c r="AP99">
        <f>IF(Setup!$B$16="",0,IF(O99="",0,IF(ISNUMBER(O99),O99,1)))</f>
        <v/>
      </c>
      <c r="AQ99">
        <f>IF(Setup!$B$17="",0,IF(P99="",0,IF(ISNUMBER(P99),P99,1)))</f>
        <v/>
      </c>
      <c r="AR99">
        <f>IF(Setup!$B$18="",0,IF(Q99="",0,IF(ISNUMBER(Q99),Q99,1)))</f>
        <v/>
      </c>
      <c r="AS99">
        <f>IF(Setup!$B$19="",0,IF(R99="",0,IF(ISNUMBER(R99),R99,1)))</f>
        <v/>
      </c>
      <c r="AT99">
        <f>IF(Setup!$B$20="",0,IF(S99="",0,IF(ISNUMBER(S99),S99,1)))</f>
        <v/>
      </c>
    </row>
    <row r="100">
      <c r="A100" s="1" t="n"/>
      <c r="B100" s="24" t="n"/>
      <c r="C100" s="25" t="n"/>
      <c r="D100" s="25" t="n"/>
      <c r="E100" s="26" t="n"/>
      <c r="F100" s="27" t="n"/>
      <c r="G100" s="17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28" t="n"/>
      <c r="R100" s="28" t="n"/>
      <c r="S100" s="28" t="n"/>
      <c r="T100" s="29">
        <f>IF(N(E100)=0,"",E100*IF(F100="",1,IFERROR(INDEX(Setup!$E$9:$E$18,MATCH(F100,Setup!$D$9:$D$18,0)),0)))</f>
        <v/>
      </c>
      <c r="U100" s="30">
        <f>IF(T100="","",IF(V100=0,"Everyone",IF(COUNTIF(AI100:AT100,"&gt;0")=COUNTIF(Setup!$B$9:$B$20,"?*"),"Everyone",COUNTIF(AI100:AT100,"&gt;0")&amp;IF(COUNTIF(AI100:AT100,"&gt;0")=1," person"," people"))))</f>
        <v/>
      </c>
      <c r="V100" s="1">
        <f>SUM(AI100:AT100)</f>
        <v/>
      </c>
      <c r="W100">
        <f>IF(OR(T100="",Setup!$B$9=""),0,IF(V100=0,T100/COUNTIF(Setup!$B$9:$B$20,"?*"),T100*AI100/V100))</f>
        <v/>
      </c>
      <c r="X100">
        <f>IF(OR(T100="",Setup!$B$10=""),0,IF(V100=0,T100/COUNTIF(Setup!$B$9:$B$20,"?*"),T100*AJ100/V100))</f>
        <v/>
      </c>
      <c r="Y100">
        <f>IF(OR(T100="",Setup!$B$11=""),0,IF(V100=0,T100/COUNTIF(Setup!$B$9:$B$20,"?*"),T100*AK100/V100))</f>
        <v/>
      </c>
      <c r="Z100">
        <f>IF(OR(T100="",Setup!$B$12=""),0,IF(V100=0,T100/COUNTIF(Setup!$B$9:$B$20,"?*"),T100*AL100/V100))</f>
        <v/>
      </c>
      <c r="AA100">
        <f>IF(OR(T100="",Setup!$B$13=""),0,IF(V100=0,T100/COUNTIF(Setup!$B$9:$B$20,"?*"),T100*AM100/V100))</f>
        <v/>
      </c>
      <c r="AB100">
        <f>IF(OR(T100="",Setup!$B$14=""),0,IF(V100=0,T100/COUNTIF(Setup!$B$9:$B$20,"?*"),T100*AN100/V100))</f>
        <v/>
      </c>
      <c r="AC100">
        <f>IF(OR(T100="",Setup!$B$15=""),0,IF(V100=0,T100/COUNTIF(Setup!$B$9:$B$20,"?*"),T100*AO100/V100))</f>
        <v/>
      </c>
      <c r="AD100">
        <f>IF(OR(T100="",Setup!$B$16=""),0,IF(V100=0,T100/COUNTIF(Setup!$B$9:$B$20,"?*"),T100*AP100/V100))</f>
        <v/>
      </c>
      <c r="AE100">
        <f>IF(OR(T100="",Setup!$B$17=""),0,IF(V100=0,T100/COUNTIF(Setup!$B$9:$B$20,"?*"),T100*AQ100/V100))</f>
        <v/>
      </c>
      <c r="AF100">
        <f>IF(OR(T100="",Setup!$B$18=""),0,IF(V100=0,T100/COUNTIF(Setup!$B$9:$B$20,"?*"),T100*AR100/V100))</f>
        <v/>
      </c>
      <c r="AG100">
        <f>IF(OR(T100="",Setup!$B$19=""),0,IF(V100=0,T100/COUNTIF(Setup!$B$9:$B$20,"?*"),T100*AS100/V100))</f>
        <v/>
      </c>
      <c r="AH100">
        <f>IF(OR(T100="",Setup!$B$20=""),0,IF(V100=0,T100/COUNTIF(Setup!$B$9:$B$20,"?*"),T100*AT100/V100))</f>
        <v/>
      </c>
      <c r="AI100">
        <f>IF(Setup!$B$9="",0,IF(H100="",0,IF(ISNUMBER(H100),H100,1)))</f>
        <v/>
      </c>
      <c r="AJ100">
        <f>IF(Setup!$B$10="",0,IF(I100="",0,IF(ISNUMBER(I100),I100,1)))</f>
        <v/>
      </c>
      <c r="AK100">
        <f>IF(Setup!$B$11="",0,IF(J100="",0,IF(ISNUMBER(J100),J100,1)))</f>
        <v/>
      </c>
      <c r="AL100">
        <f>IF(Setup!$B$12="",0,IF(K100="",0,IF(ISNUMBER(K100),K100,1)))</f>
        <v/>
      </c>
      <c r="AM100">
        <f>IF(Setup!$B$13="",0,IF(L100="",0,IF(ISNUMBER(L100),L100,1)))</f>
        <v/>
      </c>
      <c r="AN100">
        <f>IF(Setup!$B$14="",0,IF(M100="",0,IF(ISNUMBER(M100),M100,1)))</f>
        <v/>
      </c>
      <c r="AO100">
        <f>IF(Setup!$B$15="",0,IF(N100="",0,IF(ISNUMBER(N100),N100,1)))</f>
        <v/>
      </c>
      <c r="AP100">
        <f>IF(Setup!$B$16="",0,IF(O100="",0,IF(ISNUMBER(O100),O100,1)))</f>
        <v/>
      </c>
      <c r="AQ100">
        <f>IF(Setup!$B$17="",0,IF(P100="",0,IF(ISNUMBER(P100),P100,1)))</f>
        <v/>
      </c>
      <c r="AR100">
        <f>IF(Setup!$B$18="",0,IF(Q100="",0,IF(ISNUMBER(Q100),Q100,1)))</f>
        <v/>
      </c>
      <c r="AS100">
        <f>IF(Setup!$B$19="",0,IF(R100="",0,IF(ISNUMBER(R100),R100,1)))</f>
        <v/>
      </c>
      <c r="AT100">
        <f>IF(Setup!$B$20="",0,IF(S100="",0,IF(ISNUMBER(S100),S100,1)))</f>
        <v/>
      </c>
    </row>
    <row r="101">
      <c r="A101" s="1" t="n"/>
      <c r="B101" s="24" t="n"/>
      <c r="C101" s="25" t="n"/>
      <c r="D101" s="25" t="n"/>
      <c r="E101" s="26" t="n"/>
      <c r="F101" s="27" t="n"/>
      <c r="G101" s="17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9">
        <f>IF(N(E101)=0,"",E101*IF(F101="",1,IFERROR(INDEX(Setup!$E$9:$E$18,MATCH(F101,Setup!$D$9:$D$18,0)),0)))</f>
        <v/>
      </c>
      <c r="U101" s="30">
        <f>IF(T101="","",IF(V101=0,"Everyone",IF(COUNTIF(AI101:AT101,"&gt;0")=COUNTIF(Setup!$B$9:$B$20,"?*"),"Everyone",COUNTIF(AI101:AT101,"&gt;0")&amp;IF(COUNTIF(AI101:AT101,"&gt;0")=1," person"," people"))))</f>
        <v/>
      </c>
      <c r="V101" s="1">
        <f>SUM(AI101:AT101)</f>
        <v/>
      </c>
      <c r="W101">
        <f>IF(OR(T101="",Setup!$B$9=""),0,IF(V101=0,T101/COUNTIF(Setup!$B$9:$B$20,"?*"),T101*AI101/V101))</f>
        <v/>
      </c>
      <c r="X101">
        <f>IF(OR(T101="",Setup!$B$10=""),0,IF(V101=0,T101/COUNTIF(Setup!$B$9:$B$20,"?*"),T101*AJ101/V101))</f>
        <v/>
      </c>
      <c r="Y101">
        <f>IF(OR(T101="",Setup!$B$11=""),0,IF(V101=0,T101/COUNTIF(Setup!$B$9:$B$20,"?*"),T101*AK101/V101))</f>
        <v/>
      </c>
      <c r="Z101">
        <f>IF(OR(T101="",Setup!$B$12=""),0,IF(V101=0,T101/COUNTIF(Setup!$B$9:$B$20,"?*"),T101*AL101/V101))</f>
        <v/>
      </c>
      <c r="AA101">
        <f>IF(OR(T101="",Setup!$B$13=""),0,IF(V101=0,T101/COUNTIF(Setup!$B$9:$B$20,"?*"),T101*AM101/V101))</f>
        <v/>
      </c>
      <c r="AB101">
        <f>IF(OR(T101="",Setup!$B$14=""),0,IF(V101=0,T101/COUNTIF(Setup!$B$9:$B$20,"?*"),T101*AN101/V101))</f>
        <v/>
      </c>
      <c r="AC101">
        <f>IF(OR(T101="",Setup!$B$15=""),0,IF(V101=0,T101/COUNTIF(Setup!$B$9:$B$20,"?*"),T101*AO101/V101))</f>
        <v/>
      </c>
      <c r="AD101">
        <f>IF(OR(T101="",Setup!$B$16=""),0,IF(V101=0,T101/COUNTIF(Setup!$B$9:$B$20,"?*"),T101*AP101/V101))</f>
        <v/>
      </c>
      <c r="AE101">
        <f>IF(OR(T101="",Setup!$B$17=""),0,IF(V101=0,T101/COUNTIF(Setup!$B$9:$B$20,"?*"),T101*AQ101/V101))</f>
        <v/>
      </c>
      <c r="AF101">
        <f>IF(OR(T101="",Setup!$B$18=""),0,IF(V101=0,T101/COUNTIF(Setup!$B$9:$B$20,"?*"),T101*AR101/V101))</f>
        <v/>
      </c>
      <c r="AG101">
        <f>IF(OR(T101="",Setup!$B$19=""),0,IF(V101=0,T101/COUNTIF(Setup!$B$9:$B$20,"?*"),T101*AS101/V101))</f>
        <v/>
      </c>
      <c r="AH101">
        <f>IF(OR(T101="",Setup!$B$20=""),0,IF(V101=0,T101/COUNTIF(Setup!$B$9:$B$20,"?*"),T101*AT101/V101))</f>
        <v/>
      </c>
      <c r="AI101">
        <f>IF(Setup!$B$9="",0,IF(H101="",0,IF(ISNUMBER(H101),H101,1)))</f>
        <v/>
      </c>
      <c r="AJ101">
        <f>IF(Setup!$B$10="",0,IF(I101="",0,IF(ISNUMBER(I101),I101,1)))</f>
        <v/>
      </c>
      <c r="AK101">
        <f>IF(Setup!$B$11="",0,IF(J101="",0,IF(ISNUMBER(J101),J101,1)))</f>
        <v/>
      </c>
      <c r="AL101">
        <f>IF(Setup!$B$12="",0,IF(K101="",0,IF(ISNUMBER(K101),K101,1)))</f>
        <v/>
      </c>
      <c r="AM101">
        <f>IF(Setup!$B$13="",0,IF(L101="",0,IF(ISNUMBER(L101),L101,1)))</f>
        <v/>
      </c>
      <c r="AN101">
        <f>IF(Setup!$B$14="",0,IF(M101="",0,IF(ISNUMBER(M101),M101,1)))</f>
        <v/>
      </c>
      <c r="AO101">
        <f>IF(Setup!$B$15="",0,IF(N101="",0,IF(ISNUMBER(N101),N101,1)))</f>
        <v/>
      </c>
      <c r="AP101">
        <f>IF(Setup!$B$16="",0,IF(O101="",0,IF(ISNUMBER(O101),O101,1)))</f>
        <v/>
      </c>
      <c r="AQ101">
        <f>IF(Setup!$B$17="",0,IF(P101="",0,IF(ISNUMBER(P101),P101,1)))</f>
        <v/>
      </c>
      <c r="AR101">
        <f>IF(Setup!$B$18="",0,IF(Q101="",0,IF(ISNUMBER(Q101),Q101,1)))</f>
        <v/>
      </c>
      <c r="AS101">
        <f>IF(Setup!$B$19="",0,IF(R101="",0,IF(ISNUMBER(R101),R101,1)))</f>
        <v/>
      </c>
      <c r="AT101">
        <f>IF(Setup!$B$20="",0,IF(S101="",0,IF(ISNUMBER(S101),S101,1)))</f>
        <v/>
      </c>
    </row>
    <row r="102">
      <c r="A102" s="1" t="n"/>
      <c r="B102" s="24" t="n"/>
      <c r="C102" s="25" t="n"/>
      <c r="D102" s="25" t="n"/>
      <c r="E102" s="26" t="n"/>
      <c r="F102" s="27" t="n"/>
      <c r="G102" s="17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28" t="n"/>
      <c r="R102" s="28" t="n"/>
      <c r="S102" s="28" t="n"/>
      <c r="T102" s="29">
        <f>IF(N(E102)=0,"",E102*IF(F102="",1,IFERROR(INDEX(Setup!$E$9:$E$18,MATCH(F102,Setup!$D$9:$D$18,0)),0)))</f>
        <v/>
      </c>
      <c r="U102" s="30">
        <f>IF(T102="","",IF(V102=0,"Everyone",IF(COUNTIF(AI102:AT102,"&gt;0")=COUNTIF(Setup!$B$9:$B$20,"?*"),"Everyone",COUNTIF(AI102:AT102,"&gt;0")&amp;IF(COUNTIF(AI102:AT102,"&gt;0")=1," person"," people"))))</f>
        <v/>
      </c>
      <c r="V102" s="1">
        <f>SUM(AI102:AT102)</f>
        <v/>
      </c>
      <c r="W102">
        <f>IF(OR(T102="",Setup!$B$9=""),0,IF(V102=0,T102/COUNTIF(Setup!$B$9:$B$20,"?*"),T102*AI102/V102))</f>
        <v/>
      </c>
      <c r="X102">
        <f>IF(OR(T102="",Setup!$B$10=""),0,IF(V102=0,T102/COUNTIF(Setup!$B$9:$B$20,"?*"),T102*AJ102/V102))</f>
        <v/>
      </c>
      <c r="Y102">
        <f>IF(OR(T102="",Setup!$B$11=""),0,IF(V102=0,T102/COUNTIF(Setup!$B$9:$B$20,"?*"),T102*AK102/V102))</f>
        <v/>
      </c>
      <c r="Z102">
        <f>IF(OR(T102="",Setup!$B$12=""),0,IF(V102=0,T102/COUNTIF(Setup!$B$9:$B$20,"?*"),T102*AL102/V102))</f>
        <v/>
      </c>
      <c r="AA102">
        <f>IF(OR(T102="",Setup!$B$13=""),0,IF(V102=0,T102/COUNTIF(Setup!$B$9:$B$20,"?*"),T102*AM102/V102))</f>
        <v/>
      </c>
      <c r="AB102">
        <f>IF(OR(T102="",Setup!$B$14=""),0,IF(V102=0,T102/COUNTIF(Setup!$B$9:$B$20,"?*"),T102*AN102/V102))</f>
        <v/>
      </c>
      <c r="AC102">
        <f>IF(OR(T102="",Setup!$B$15=""),0,IF(V102=0,T102/COUNTIF(Setup!$B$9:$B$20,"?*"),T102*AO102/V102))</f>
        <v/>
      </c>
      <c r="AD102">
        <f>IF(OR(T102="",Setup!$B$16=""),0,IF(V102=0,T102/COUNTIF(Setup!$B$9:$B$20,"?*"),T102*AP102/V102))</f>
        <v/>
      </c>
      <c r="AE102">
        <f>IF(OR(T102="",Setup!$B$17=""),0,IF(V102=0,T102/COUNTIF(Setup!$B$9:$B$20,"?*"),T102*AQ102/V102))</f>
        <v/>
      </c>
      <c r="AF102">
        <f>IF(OR(T102="",Setup!$B$18=""),0,IF(V102=0,T102/COUNTIF(Setup!$B$9:$B$20,"?*"),T102*AR102/V102))</f>
        <v/>
      </c>
      <c r="AG102">
        <f>IF(OR(T102="",Setup!$B$19=""),0,IF(V102=0,T102/COUNTIF(Setup!$B$9:$B$20,"?*"),T102*AS102/V102))</f>
        <v/>
      </c>
      <c r="AH102">
        <f>IF(OR(T102="",Setup!$B$20=""),0,IF(V102=0,T102/COUNTIF(Setup!$B$9:$B$20,"?*"),T102*AT102/V102))</f>
        <v/>
      </c>
      <c r="AI102">
        <f>IF(Setup!$B$9="",0,IF(H102="",0,IF(ISNUMBER(H102),H102,1)))</f>
        <v/>
      </c>
      <c r="AJ102">
        <f>IF(Setup!$B$10="",0,IF(I102="",0,IF(ISNUMBER(I102),I102,1)))</f>
        <v/>
      </c>
      <c r="AK102">
        <f>IF(Setup!$B$11="",0,IF(J102="",0,IF(ISNUMBER(J102),J102,1)))</f>
        <v/>
      </c>
      <c r="AL102">
        <f>IF(Setup!$B$12="",0,IF(K102="",0,IF(ISNUMBER(K102),K102,1)))</f>
        <v/>
      </c>
      <c r="AM102">
        <f>IF(Setup!$B$13="",0,IF(L102="",0,IF(ISNUMBER(L102),L102,1)))</f>
        <v/>
      </c>
      <c r="AN102">
        <f>IF(Setup!$B$14="",0,IF(M102="",0,IF(ISNUMBER(M102),M102,1)))</f>
        <v/>
      </c>
      <c r="AO102">
        <f>IF(Setup!$B$15="",0,IF(N102="",0,IF(ISNUMBER(N102),N102,1)))</f>
        <v/>
      </c>
      <c r="AP102">
        <f>IF(Setup!$B$16="",0,IF(O102="",0,IF(ISNUMBER(O102),O102,1)))</f>
        <v/>
      </c>
      <c r="AQ102">
        <f>IF(Setup!$B$17="",0,IF(P102="",0,IF(ISNUMBER(P102),P102,1)))</f>
        <v/>
      </c>
      <c r="AR102">
        <f>IF(Setup!$B$18="",0,IF(Q102="",0,IF(ISNUMBER(Q102),Q102,1)))</f>
        <v/>
      </c>
      <c r="AS102">
        <f>IF(Setup!$B$19="",0,IF(R102="",0,IF(ISNUMBER(R102),R102,1)))</f>
        <v/>
      </c>
      <c r="AT102">
        <f>IF(Setup!$B$20="",0,IF(S102="",0,IF(ISNUMBER(S102),S102,1)))</f>
        <v/>
      </c>
    </row>
    <row r="103">
      <c r="A103" s="1" t="n"/>
      <c r="B103" s="24" t="n"/>
      <c r="C103" s="25" t="n"/>
      <c r="D103" s="25" t="n"/>
      <c r="E103" s="26" t="n"/>
      <c r="F103" s="27" t="n"/>
      <c r="G103" s="17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28" t="n"/>
      <c r="R103" s="28" t="n"/>
      <c r="S103" s="28" t="n"/>
      <c r="T103" s="29">
        <f>IF(N(E103)=0,"",E103*IF(F103="",1,IFERROR(INDEX(Setup!$E$9:$E$18,MATCH(F103,Setup!$D$9:$D$18,0)),0)))</f>
        <v/>
      </c>
      <c r="U103" s="30">
        <f>IF(T103="","",IF(V103=0,"Everyone",IF(COUNTIF(AI103:AT103,"&gt;0")=COUNTIF(Setup!$B$9:$B$20,"?*"),"Everyone",COUNTIF(AI103:AT103,"&gt;0")&amp;IF(COUNTIF(AI103:AT103,"&gt;0")=1," person"," people"))))</f>
        <v/>
      </c>
      <c r="V103" s="1">
        <f>SUM(AI103:AT103)</f>
        <v/>
      </c>
      <c r="W103">
        <f>IF(OR(T103="",Setup!$B$9=""),0,IF(V103=0,T103/COUNTIF(Setup!$B$9:$B$20,"?*"),T103*AI103/V103))</f>
        <v/>
      </c>
      <c r="X103">
        <f>IF(OR(T103="",Setup!$B$10=""),0,IF(V103=0,T103/COUNTIF(Setup!$B$9:$B$20,"?*"),T103*AJ103/V103))</f>
        <v/>
      </c>
      <c r="Y103">
        <f>IF(OR(T103="",Setup!$B$11=""),0,IF(V103=0,T103/COUNTIF(Setup!$B$9:$B$20,"?*"),T103*AK103/V103))</f>
        <v/>
      </c>
      <c r="Z103">
        <f>IF(OR(T103="",Setup!$B$12=""),0,IF(V103=0,T103/COUNTIF(Setup!$B$9:$B$20,"?*"),T103*AL103/V103))</f>
        <v/>
      </c>
      <c r="AA103">
        <f>IF(OR(T103="",Setup!$B$13=""),0,IF(V103=0,T103/COUNTIF(Setup!$B$9:$B$20,"?*"),T103*AM103/V103))</f>
        <v/>
      </c>
      <c r="AB103">
        <f>IF(OR(T103="",Setup!$B$14=""),0,IF(V103=0,T103/COUNTIF(Setup!$B$9:$B$20,"?*"),T103*AN103/V103))</f>
        <v/>
      </c>
      <c r="AC103">
        <f>IF(OR(T103="",Setup!$B$15=""),0,IF(V103=0,T103/COUNTIF(Setup!$B$9:$B$20,"?*"),T103*AO103/V103))</f>
        <v/>
      </c>
      <c r="AD103">
        <f>IF(OR(T103="",Setup!$B$16=""),0,IF(V103=0,T103/COUNTIF(Setup!$B$9:$B$20,"?*"),T103*AP103/V103))</f>
        <v/>
      </c>
      <c r="AE103">
        <f>IF(OR(T103="",Setup!$B$17=""),0,IF(V103=0,T103/COUNTIF(Setup!$B$9:$B$20,"?*"),T103*AQ103/V103))</f>
        <v/>
      </c>
      <c r="AF103">
        <f>IF(OR(T103="",Setup!$B$18=""),0,IF(V103=0,T103/COUNTIF(Setup!$B$9:$B$20,"?*"),T103*AR103/V103))</f>
        <v/>
      </c>
      <c r="AG103">
        <f>IF(OR(T103="",Setup!$B$19=""),0,IF(V103=0,T103/COUNTIF(Setup!$B$9:$B$20,"?*"),T103*AS103/V103))</f>
        <v/>
      </c>
      <c r="AH103">
        <f>IF(OR(T103="",Setup!$B$20=""),0,IF(V103=0,T103/COUNTIF(Setup!$B$9:$B$20,"?*"),T103*AT103/V103))</f>
        <v/>
      </c>
      <c r="AI103">
        <f>IF(Setup!$B$9="",0,IF(H103="",0,IF(ISNUMBER(H103),H103,1)))</f>
        <v/>
      </c>
      <c r="AJ103">
        <f>IF(Setup!$B$10="",0,IF(I103="",0,IF(ISNUMBER(I103),I103,1)))</f>
        <v/>
      </c>
      <c r="AK103">
        <f>IF(Setup!$B$11="",0,IF(J103="",0,IF(ISNUMBER(J103),J103,1)))</f>
        <v/>
      </c>
      <c r="AL103">
        <f>IF(Setup!$B$12="",0,IF(K103="",0,IF(ISNUMBER(K103),K103,1)))</f>
        <v/>
      </c>
      <c r="AM103">
        <f>IF(Setup!$B$13="",0,IF(L103="",0,IF(ISNUMBER(L103),L103,1)))</f>
        <v/>
      </c>
      <c r="AN103">
        <f>IF(Setup!$B$14="",0,IF(M103="",0,IF(ISNUMBER(M103),M103,1)))</f>
        <v/>
      </c>
      <c r="AO103">
        <f>IF(Setup!$B$15="",0,IF(N103="",0,IF(ISNUMBER(N103),N103,1)))</f>
        <v/>
      </c>
      <c r="AP103">
        <f>IF(Setup!$B$16="",0,IF(O103="",0,IF(ISNUMBER(O103),O103,1)))</f>
        <v/>
      </c>
      <c r="AQ103">
        <f>IF(Setup!$B$17="",0,IF(P103="",0,IF(ISNUMBER(P103),P103,1)))</f>
        <v/>
      </c>
      <c r="AR103">
        <f>IF(Setup!$B$18="",0,IF(Q103="",0,IF(ISNUMBER(Q103),Q103,1)))</f>
        <v/>
      </c>
      <c r="AS103">
        <f>IF(Setup!$B$19="",0,IF(R103="",0,IF(ISNUMBER(R103),R103,1)))</f>
        <v/>
      </c>
      <c r="AT103">
        <f>IF(Setup!$B$20="",0,IF(S103="",0,IF(ISNUMBER(S103),S103,1)))</f>
        <v/>
      </c>
    </row>
    <row r="104">
      <c r="A104" s="1" t="n"/>
      <c r="B104" s="24" t="n"/>
      <c r="C104" s="25" t="n"/>
      <c r="D104" s="25" t="n"/>
      <c r="E104" s="26" t="n"/>
      <c r="F104" s="27" t="n"/>
      <c r="G104" s="17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9">
        <f>IF(N(E104)=0,"",E104*IF(F104="",1,IFERROR(INDEX(Setup!$E$9:$E$18,MATCH(F104,Setup!$D$9:$D$18,0)),0)))</f>
        <v/>
      </c>
      <c r="U104" s="30">
        <f>IF(T104="","",IF(V104=0,"Everyone",IF(COUNTIF(AI104:AT104,"&gt;0")=COUNTIF(Setup!$B$9:$B$20,"?*"),"Everyone",COUNTIF(AI104:AT104,"&gt;0")&amp;IF(COUNTIF(AI104:AT104,"&gt;0")=1," person"," people"))))</f>
        <v/>
      </c>
      <c r="V104" s="1">
        <f>SUM(AI104:AT104)</f>
        <v/>
      </c>
      <c r="W104">
        <f>IF(OR(T104="",Setup!$B$9=""),0,IF(V104=0,T104/COUNTIF(Setup!$B$9:$B$20,"?*"),T104*AI104/V104))</f>
        <v/>
      </c>
      <c r="X104">
        <f>IF(OR(T104="",Setup!$B$10=""),0,IF(V104=0,T104/COUNTIF(Setup!$B$9:$B$20,"?*"),T104*AJ104/V104))</f>
        <v/>
      </c>
      <c r="Y104">
        <f>IF(OR(T104="",Setup!$B$11=""),0,IF(V104=0,T104/COUNTIF(Setup!$B$9:$B$20,"?*"),T104*AK104/V104))</f>
        <v/>
      </c>
      <c r="Z104">
        <f>IF(OR(T104="",Setup!$B$12=""),0,IF(V104=0,T104/COUNTIF(Setup!$B$9:$B$20,"?*"),T104*AL104/V104))</f>
        <v/>
      </c>
      <c r="AA104">
        <f>IF(OR(T104="",Setup!$B$13=""),0,IF(V104=0,T104/COUNTIF(Setup!$B$9:$B$20,"?*"),T104*AM104/V104))</f>
        <v/>
      </c>
      <c r="AB104">
        <f>IF(OR(T104="",Setup!$B$14=""),0,IF(V104=0,T104/COUNTIF(Setup!$B$9:$B$20,"?*"),T104*AN104/V104))</f>
        <v/>
      </c>
      <c r="AC104">
        <f>IF(OR(T104="",Setup!$B$15=""),0,IF(V104=0,T104/COUNTIF(Setup!$B$9:$B$20,"?*"),T104*AO104/V104))</f>
        <v/>
      </c>
      <c r="AD104">
        <f>IF(OR(T104="",Setup!$B$16=""),0,IF(V104=0,T104/COUNTIF(Setup!$B$9:$B$20,"?*"),T104*AP104/V104))</f>
        <v/>
      </c>
      <c r="AE104">
        <f>IF(OR(T104="",Setup!$B$17=""),0,IF(V104=0,T104/COUNTIF(Setup!$B$9:$B$20,"?*"),T104*AQ104/V104))</f>
        <v/>
      </c>
      <c r="AF104">
        <f>IF(OR(T104="",Setup!$B$18=""),0,IF(V104=0,T104/COUNTIF(Setup!$B$9:$B$20,"?*"),T104*AR104/V104))</f>
        <v/>
      </c>
      <c r="AG104">
        <f>IF(OR(T104="",Setup!$B$19=""),0,IF(V104=0,T104/COUNTIF(Setup!$B$9:$B$20,"?*"),T104*AS104/V104))</f>
        <v/>
      </c>
      <c r="AH104">
        <f>IF(OR(T104="",Setup!$B$20=""),0,IF(V104=0,T104/COUNTIF(Setup!$B$9:$B$20,"?*"),T104*AT104/V104))</f>
        <v/>
      </c>
      <c r="AI104">
        <f>IF(Setup!$B$9="",0,IF(H104="",0,IF(ISNUMBER(H104),H104,1)))</f>
        <v/>
      </c>
      <c r="AJ104">
        <f>IF(Setup!$B$10="",0,IF(I104="",0,IF(ISNUMBER(I104),I104,1)))</f>
        <v/>
      </c>
      <c r="AK104">
        <f>IF(Setup!$B$11="",0,IF(J104="",0,IF(ISNUMBER(J104),J104,1)))</f>
        <v/>
      </c>
      <c r="AL104">
        <f>IF(Setup!$B$12="",0,IF(K104="",0,IF(ISNUMBER(K104),K104,1)))</f>
        <v/>
      </c>
      <c r="AM104">
        <f>IF(Setup!$B$13="",0,IF(L104="",0,IF(ISNUMBER(L104),L104,1)))</f>
        <v/>
      </c>
      <c r="AN104">
        <f>IF(Setup!$B$14="",0,IF(M104="",0,IF(ISNUMBER(M104),M104,1)))</f>
        <v/>
      </c>
      <c r="AO104">
        <f>IF(Setup!$B$15="",0,IF(N104="",0,IF(ISNUMBER(N104),N104,1)))</f>
        <v/>
      </c>
      <c r="AP104">
        <f>IF(Setup!$B$16="",0,IF(O104="",0,IF(ISNUMBER(O104),O104,1)))</f>
        <v/>
      </c>
      <c r="AQ104">
        <f>IF(Setup!$B$17="",0,IF(P104="",0,IF(ISNUMBER(P104),P104,1)))</f>
        <v/>
      </c>
      <c r="AR104">
        <f>IF(Setup!$B$18="",0,IF(Q104="",0,IF(ISNUMBER(Q104),Q104,1)))</f>
        <v/>
      </c>
      <c r="AS104">
        <f>IF(Setup!$B$19="",0,IF(R104="",0,IF(ISNUMBER(R104),R104,1)))</f>
        <v/>
      </c>
      <c r="AT104">
        <f>IF(Setup!$B$20="",0,IF(S104="",0,IF(ISNUMBER(S104),S104,1)))</f>
        <v/>
      </c>
    </row>
    <row r="105">
      <c r="A105" s="1" t="n"/>
      <c r="B105" s="24" t="n"/>
      <c r="C105" s="25" t="n"/>
      <c r="D105" s="25" t="n"/>
      <c r="E105" s="26" t="n"/>
      <c r="F105" s="27" t="n"/>
      <c r="G105" s="17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9">
        <f>IF(N(E105)=0,"",E105*IF(F105="",1,IFERROR(INDEX(Setup!$E$9:$E$18,MATCH(F105,Setup!$D$9:$D$18,0)),0)))</f>
        <v/>
      </c>
      <c r="U105" s="30">
        <f>IF(T105="","",IF(V105=0,"Everyone",IF(COUNTIF(AI105:AT105,"&gt;0")=COUNTIF(Setup!$B$9:$B$20,"?*"),"Everyone",COUNTIF(AI105:AT105,"&gt;0")&amp;IF(COUNTIF(AI105:AT105,"&gt;0")=1," person"," people"))))</f>
        <v/>
      </c>
      <c r="V105" s="1">
        <f>SUM(AI105:AT105)</f>
        <v/>
      </c>
      <c r="W105">
        <f>IF(OR(T105="",Setup!$B$9=""),0,IF(V105=0,T105/COUNTIF(Setup!$B$9:$B$20,"?*"),T105*AI105/V105))</f>
        <v/>
      </c>
      <c r="X105">
        <f>IF(OR(T105="",Setup!$B$10=""),0,IF(V105=0,T105/COUNTIF(Setup!$B$9:$B$20,"?*"),T105*AJ105/V105))</f>
        <v/>
      </c>
      <c r="Y105">
        <f>IF(OR(T105="",Setup!$B$11=""),0,IF(V105=0,T105/COUNTIF(Setup!$B$9:$B$20,"?*"),T105*AK105/V105))</f>
        <v/>
      </c>
      <c r="Z105">
        <f>IF(OR(T105="",Setup!$B$12=""),0,IF(V105=0,T105/COUNTIF(Setup!$B$9:$B$20,"?*"),T105*AL105/V105))</f>
        <v/>
      </c>
      <c r="AA105">
        <f>IF(OR(T105="",Setup!$B$13=""),0,IF(V105=0,T105/COUNTIF(Setup!$B$9:$B$20,"?*"),T105*AM105/V105))</f>
        <v/>
      </c>
      <c r="AB105">
        <f>IF(OR(T105="",Setup!$B$14=""),0,IF(V105=0,T105/COUNTIF(Setup!$B$9:$B$20,"?*"),T105*AN105/V105))</f>
        <v/>
      </c>
      <c r="AC105">
        <f>IF(OR(T105="",Setup!$B$15=""),0,IF(V105=0,T105/COUNTIF(Setup!$B$9:$B$20,"?*"),T105*AO105/V105))</f>
        <v/>
      </c>
      <c r="AD105">
        <f>IF(OR(T105="",Setup!$B$16=""),0,IF(V105=0,T105/COUNTIF(Setup!$B$9:$B$20,"?*"),T105*AP105/V105))</f>
        <v/>
      </c>
      <c r="AE105">
        <f>IF(OR(T105="",Setup!$B$17=""),0,IF(V105=0,T105/COUNTIF(Setup!$B$9:$B$20,"?*"),T105*AQ105/V105))</f>
        <v/>
      </c>
      <c r="AF105">
        <f>IF(OR(T105="",Setup!$B$18=""),0,IF(V105=0,T105/COUNTIF(Setup!$B$9:$B$20,"?*"),T105*AR105/V105))</f>
        <v/>
      </c>
      <c r="AG105">
        <f>IF(OR(T105="",Setup!$B$19=""),0,IF(V105=0,T105/COUNTIF(Setup!$B$9:$B$20,"?*"),T105*AS105/V105))</f>
        <v/>
      </c>
      <c r="AH105">
        <f>IF(OR(T105="",Setup!$B$20=""),0,IF(V105=0,T105/COUNTIF(Setup!$B$9:$B$20,"?*"),T105*AT105/V105))</f>
        <v/>
      </c>
      <c r="AI105">
        <f>IF(Setup!$B$9="",0,IF(H105="",0,IF(ISNUMBER(H105),H105,1)))</f>
        <v/>
      </c>
      <c r="AJ105">
        <f>IF(Setup!$B$10="",0,IF(I105="",0,IF(ISNUMBER(I105),I105,1)))</f>
        <v/>
      </c>
      <c r="AK105">
        <f>IF(Setup!$B$11="",0,IF(J105="",0,IF(ISNUMBER(J105),J105,1)))</f>
        <v/>
      </c>
      <c r="AL105">
        <f>IF(Setup!$B$12="",0,IF(K105="",0,IF(ISNUMBER(K105),K105,1)))</f>
        <v/>
      </c>
      <c r="AM105">
        <f>IF(Setup!$B$13="",0,IF(L105="",0,IF(ISNUMBER(L105),L105,1)))</f>
        <v/>
      </c>
      <c r="AN105">
        <f>IF(Setup!$B$14="",0,IF(M105="",0,IF(ISNUMBER(M105),M105,1)))</f>
        <v/>
      </c>
      <c r="AO105">
        <f>IF(Setup!$B$15="",0,IF(N105="",0,IF(ISNUMBER(N105),N105,1)))</f>
        <v/>
      </c>
      <c r="AP105">
        <f>IF(Setup!$B$16="",0,IF(O105="",0,IF(ISNUMBER(O105),O105,1)))</f>
        <v/>
      </c>
      <c r="AQ105">
        <f>IF(Setup!$B$17="",0,IF(P105="",0,IF(ISNUMBER(P105),P105,1)))</f>
        <v/>
      </c>
      <c r="AR105">
        <f>IF(Setup!$B$18="",0,IF(Q105="",0,IF(ISNUMBER(Q105),Q105,1)))</f>
        <v/>
      </c>
      <c r="AS105">
        <f>IF(Setup!$B$19="",0,IF(R105="",0,IF(ISNUMBER(R105),R105,1)))</f>
        <v/>
      </c>
      <c r="AT105">
        <f>IF(Setup!$B$20="",0,IF(S105="",0,IF(ISNUMBER(S105),S105,1)))</f>
        <v/>
      </c>
    </row>
    <row r="106">
      <c r="A106" s="1" t="n"/>
      <c r="B106" s="24" t="n"/>
      <c r="C106" s="25" t="n"/>
      <c r="D106" s="25" t="n"/>
      <c r="E106" s="26" t="n"/>
      <c r="F106" s="27" t="n"/>
      <c r="G106" s="17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/>
      <c r="T106" s="29">
        <f>IF(N(E106)=0,"",E106*IF(F106="",1,IFERROR(INDEX(Setup!$E$9:$E$18,MATCH(F106,Setup!$D$9:$D$18,0)),0)))</f>
        <v/>
      </c>
      <c r="U106" s="30">
        <f>IF(T106="","",IF(V106=0,"Everyone",IF(COUNTIF(AI106:AT106,"&gt;0")=COUNTIF(Setup!$B$9:$B$20,"?*"),"Everyone",COUNTIF(AI106:AT106,"&gt;0")&amp;IF(COUNTIF(AI106:AT106,"&gt;0")=1," person"," people"))))</f>
        <v/>
      </c>
      <c r="V106" s="1">
        <f>SUM(AI106:AT106)</f>
        <v/>
      </c>
      <c r="W106">
        <f>IF(OR(T106="",Setup!$B$9=""),0,IF(V106=0,T106/COUNTIF(Setup!$B$9:$B$20,"?*"),T106*AI106/V106))</f>
        <v/>
      </c>
      <c r="X106">
        <f>IF(OR(T106="",Setup!$B$10=""),0,IF(V106=0,T106/COUNTIF(Setup!$B$9:$B$20,"?*"),T106*AJ106/V106))</f>
        <v/>
      </c>
      <c r="Y106">
        <f>IF(OR(T106="",Setup!$B$11=""),0,IF(V106=0,T106/COUNTIF(Setup!$B$9:$B$20,"?*"),T106*AK106/V106))</f>
        <v/>
      </c>
      <c r="Z106">
        <f>IF(OR(T106="",Setup!$B$12=""),0,IF(V106=0,T106/COUNTIF(Setup!$B$9:$B$20,"?*"),T106*AL106/V106))</f>
        <v/>
      </c>
      <c r="AA106">
        <f>IF(OR(T106="",Setup!$B$13=""),0,IF(V106=0,T106/COUNTIF(Setup!$B$9:$B$20,"?*"),T106*AM106/V106))</f>
        <v/>
      </c>
      <c r="AB106">
        <f>IF(OR(T106="",Setup!$B$14=""),0,IF(V106=0,T106/COUNTIF(Setup!$B$9:$B$20,"?*"),T106*AN106/V106))</f>
        <v/>
      </c>
      <c r="AC106">
        <f>IF(OR(T106="",Setup!$B$15=""),0,IF(V106=0,T106/COUNTIF(Setup!$B$9:$B$20,"?*"),T106*AO106/V106))</f>
        <v/>
      </c>
      <c r="AD106">
        <f>IF(OR(T106="",Setup!$B$16=""),0,IF(V106=0,T106/COUNTIF(Setup!$B$9:$B$20,"?*"),T106*AP106/V106))</f>
        <v/>
      </c>
      <c r="AE106">
        <f>IF(OR(T106="",Setup!$B$17=""),0,IF(V106=0,T106/COUNTIF(Setup!$B$9:$B$20,"?*"),T106*AQ106/V106))</f>
        <v/>
      </c>
      <c r="AF106">
        <f>IF(OR(T106="",Setup!$B$18=""),0,IF(V106=0,T106/COUNTIF(Setup!$B$9:$B$20,"?*"),T106*AR106/V106))</f>
        <v/>
      </c>
      <c r="AG106">
        <f>IF(OR(T106="",Setup!$B$19=""),0,IF(V106=0,T106/COUNTIF(Setup!$B$9:$B$20,"?*"),T106*AS106/V106))</f>
        <v/>
      </c>
      <c r="AH106">
        <f>IF(OR(T106="",Setup!$B$20=""),0,IF(V106=0,T106/COUNTIF(Setup!$B$9:$B$20,"?*"),T106*AT106/V106))</f>
        <v/>
      </c>
      <c r="AI106">
        <f>IF(Setup!$B$9="",0,IF(H106="",0,IF(ISNUMBER(H106),H106,1)))</f>
        <v/>
      </c>
      <c r="AJ106">
        <f>IF(Setup!$B$10="",0,IF(I106="",0,IF(ISNUMBER(I106),I106,1)))</f>
        <v/>
      </c>
      <c r="AK106">
        <f>IF(Setup!$B$11="",0,IF(J106="",0,IF(ISNUMBER(J106),J106,1)))</f>
        <v/>
      </c>
      <c r="AL106">
        <f>IF(Setup!$B$12="",0,IF(K106="",0,IF(ISNUMBER(K106),K106,1)))</f>
        <v/>
      </c>
      <c r="AM106">
        <f>IF(Setup!$B$13="",0,IF(L106="",0,IF(ISNUMBER(L106),L106,1)))</f>
        <v/>
      </c>
      <c r="AN106">
        <f>IF(Setup!$B$14="",0,IF(M106="",0,IF(ISNUMBER(M106),M106,1)))</f>
        <v/>
      </c>
      <c r="AO106">
        <f>IF(Setup!$B$15="",0,IF(N106="",0,IF(ISNUMBER(N106),N106,1)))</f>
        <v/>
      </c>
      <c r="AP106">
        <f>IF(Setup!$B$16="",0,IF(O106="",0,IF(ISNUMBER(O106),O106,1)))</f>
        <v/>
      </c>
      <c r="AQ106">
        <f>IF(Setup!$B$17="",0,IF(P106="",0,IF(ISNUMBER(P106),P106,1)))</f>
        <v/>
      </c>
      <c r="AR106">
        <f>IF(Setup!$B$18="",0,IF(Q106="",0,IF(ISNUMBER(Q106),Q106,1)))</f>
        <v/>
      </c>
      <c r="AS106">
        <f>IF(Setup!$B$19="",0,IF(R106="",0,IF(ISNUMBER(R106),R106,1)))</f>
        <v/>
      </c>
      <c r="AT106">
        <f>IF(Setup!$B$20="",0,IF(S106="",0,IF(ISNUMBER(S106),S106,1)))</f>
        <v/>
      </c>
    </row>
    <row r="107">
      <c r="A107" s="1" t="n"/>
      <c r="B107" s="24" t="n"/>
      <c r="C107" s="25" t="n"/>
      <c r="D107" s="25" t="n"/>
      <c r="E107" s="26" t="n"/>
      <c r="F107" s="27" t="n"/>
      <c r="G107" s="17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28" t="n"/>
      <c r="R107" s="28" t="n"/>
      <c r="S107" s="28" t="n"/>
      <c r="T107" s="29">
        <f>IF(N(E107)=0,"",E107*IF(F107="",1,IFERROR(INDEX(Setup!$E$9:$E$18,MATCH(F107,Setup!$D$9:$D$18,0)),0)))</f>
        <v/>
      </c>
      <c r="U107" s="30">
        <f>IF(T107="","",IF(V107=0,"Everyone",IF(COUNTIF(AI107:AT107,"&gt;0")=COUNTIF(Setup!$B$9:$B$20,"?*"),"Everyone",COUNTIF(AI107:AT107,"&gt;0")&amp;IF(COUNTIF(AI107:AT107,"&gt;0")=1," person"," people"))))</f>
        <v/>
      </c>
      <c r="V107" s="1">
        <f>SUM(AI107:AT107)</f>
        <v/>
      </c>
      <c r="W107">
        <f>IF(OR(T107="",Setup!$B$9=""),0,IF(V107=0,T107/COUNTIF(Setup!$B$9:$B$20,"?*"),T107*AI107/V107))</f>
        <v/>
      </c>
      <c r="X107">
        <f>IF(OR(T107="",Setup!$B$10=""),0,IF(V107=0,T107/COUNTIF(Setup!$B$9:$B$20,"?*"),T107*AJ107/V107))</f>
        <v/>
      </c>
      <c r="Y107">
        <f>IF(OR(T107="",Setup!$B$11=""),0,IF(V107=0,T107/COUNTIF(Setup!$B$9:$B$20,"?*"),T107*AK107/V107))</f>
        <v/>
      </c>
      <c r="Z107">
        <f>IF(OR(T107="",Setup!$B$12=""),0,IF(V107=0,T107/COUNTIF(Setup!$B$9:$B$20,"?*"),T107*AL107/V107))</f>
        <v/>
      </c>
      <c r="AA107">
        <f>IF(OR(T107="",Setup!$B$13=""),0,IF(V107=0,T107/COUNTIF(Setup!$B$9:$B$20,"?*"),T107*AM107/V107))</f>
        <v/>
      </c>
      <c r="AB107">
        <f>IF(OR(T107="",Setup!$B$14=""),0,IF(V107=0,T107/COUNTIF(Setup!$B$9:$B$20,"?*"),T107*AN107/V107))</f>
        <v/>
      </c>
      <c r="AC107">
        <f>IF(OR(T107="",Setup!$B$15=""),0,IF(V107=0,T107/COUNTIF(Setup!$B$9:$B$20,"?*"),T107*AO107/V107))</f>
        <v/>
      </c>
      <c r="AD107">
        <f>IF(OR(T107="",Setup!$B$16=""),0,IF(V107=0,T107/COUNTIF(Setup!$B$9:$B$20,"?*"),T107*AP107/V107))</f>
        <v/>
      </c>
      <c r="AE107">
        <f>IF(OR(T107="",Setup!$B$17=""),0,IF(V107=0,T107/COUNTIF(Setup!$B$9:$B$20,"?*"),T107*AQ107/V107))</f>
        <v/>
      </c>
      <c r="AF107">
        <f>IF(OR(T107="",Setup!$B$18=""),0,IF(V107=0,T107/COUNTIF(Setup!$B$9:$B$20,"?*"),T107*AR107/V107))</f>
        <v/>
      </c>
      <c r="AG107">
        <f>IF(OR(T107="",Setup!$B$19=""),0,IF(V107=0,T107/COUNTIF(Setup!$B$9:$B$20,"?*"),T107*AS107/V107))</f>
        <v/>
      </c>
      <c r="AH107">
        <f>IF(OR(T107="",Setup!$B$20=""),0,IF(V107=0,T107/COUNTIF(Setup!$B$9:$B$20,"?*"),T107*AT107/V107))</f>
        <v/>
      </c>
      <c r="AI107">
        <f>IF(Setup!$B$9="",0,IF(H107="",0,IF(ISNUMBER(H107),H107,1)))</f>
        <v/>
      </c>
      <c r="AJ107">
        <f>IF(Setup!$B$10="",0,IF(I107="",0,IF(ISNUMBER(I107),I107,1)))</f>
        <v/>
      </c>
      <c r="AK107">
        <f>IF(Setup!$B$11="",0,IF(J107="",0,IF(ISNUMBER(J107),J107,1)))</f>
        <v/>
      </c>
      <c r="AL107">
        <f>IF(Setup!$B$12="",0,IF(K107="",0,IF(ISNUMBER(K107),K107,1)))</f>
        <v/>
      </c>
      <c r="AM107">
        <f>IF(Setup!$B$13="",0,IF(L107="",0,IF(ISNUMBER(L107),L107,1)))</f>
        <v/>
      </c>
      <c r="AN107">
        <f>IF(Setup!$B$14="",0,IF(M107="",0,IF(ISNUMBER(M107),M107,1)))</f>
        <v/>
      </c>
      <c r="AO107">
        <f>IF(Setup!$B$15="",0,IF(N107="",0,IF(ISNUMBER(N107),N107,1)))</f>
        <v/>
      </c>
      <c r="AP107">
        <f>IF(Setup!$B$16="",0,IF(O107="",0,IF(ISNUMBER(O107),O107,1)))</f>
        <v/>
      </c>
      <c r="AQ107">
        <f>IF(Setup!$B$17="",0,IF(P107="",0,IF(ISNUMBER(P107),P107,1)))</f>
        <v/>
      </c>
      <c r="AR107">
        <f>IF(Setup!$B$18="",0,IF(Q107="",0,IF(ISNUMBER(Q107),Q107,1)))</f>
        <v/>
      </c>
      <c r="AS107">
        <f>IF(Setup!$B$19="",0,IF(R107="",0,IF(ISNUMBER(R107),R107,1)))</f>
        <v/>
      </c>
      <c r="AT107">
        <f>IF(Setup!$B$20="",0,IF(S107="",0,IF(ISNUMBER(S107),S107,1)))</f>
        <v/>
      </c>
    </row>
    <row r="108">
      <c r="A108" s="1" t="n"/>
      <c r="B108" s="24" t="n"/>
      <c r="C108" s="25" t="n"/>
      <c r="D108" s="25" t="n"/>
      <c r="E108" s="26" t="n"/>
      <c r="F108" s="27" t="n"/>
      <c r="G108" s="17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9">
        <f>IF(N(E108)=0,"",E108*IF(F108="",1,IFERROR(INDEX(Setup!$E$9:$E$18,MATCH(F108,Setup!$D$9:$D$18,0)),0)))</f>
        <v/>
      </c>
      <c r="U108" s="30">
        <f>IF(T108="","",IF(V108=0,"Everyone",IF(COUNTIF(AI108:AT108,"&gt;0")=COUNTIF(Setup!$B$9:$B$20,"?*"),"Everyone",COUNTIF(AI108:AT108,"&gt;0")&amp;IF(COUNTIF(AI108:AT108,"&gt;0")=1," person"," people"))))</f>
        <v/>
      </c>
      <c r="V108" s="1">
        <f>SUM(AI108:AT108)</f>
        <v/>
      </c>
      <c r="W108">
        <f>IF(OR(T108="",Setup!$B$9=""),0,IF(V108=0,T108/COUNTIF(Setup!$B$9:$B$20,"?*"),T108*AI108/V108))</f>
        <v/>
      </c>
      <c r="X108">
        <f>IF(OR(T108="",Setup!$B$10=""),0,IF(V108=0,T108/COUNTIF(Setup!$B$9:$B$20,"?*"),T108*AJ108/V108))</f>
        <v/>
      </c>
      <c r="Y108">
        <f>IF(OR(T108="",Setup!$B$11=""),0,IF(V108=0,T108/COUNTIF(Setup!$B$9:$B$20,"?*"),T108*AK108/V108))</f>
        <v/>
      </c>
      <c r="Z108">
        <f>IF(OR(T108="",Setup!$B$12=""),0,IF(V108=0,T108/COUNTIF(Setup!$B$9:$B$20,"?*"),T108*AL108/V108))</f>
        <v/>
      </c>
      <c r="AA108">
        <f>IF(OR(T108="",Setup!$B$13=""),0,IF(V108=0,T108/COUNTIF(Setup!$B$9:$B$20,"?*"),T108*AM108/V108))</f>
        <v/>
      </c>
      <c r="AB108">
        <f>IF(OR(T108="",Setup!$B$14=""),0,IF(V108=0,T108/COUNTIF(Setup!$B$9:$B$20,"?*"),T108*AN108/V108))</f>
        <v/>
      </c>
      <c r="AC108">
        <f>IF(OR(T108="",Setup!$B$15=""),0,IF(V108=0,T108/COUNTIF(Setup!$B$9:$B$20,"?*"),T108*AO108/V108))</f>
        <v/>
      </c>
      <c r="AD108">
        <f>IF(OR(T108="",Setup!$B$16=""),0,IF(V108=0,T108/COUNTIF(Setup!$B$9:$B$20,"?*"),T108*AP108/V108))</f>
        <v/>
      </c>
      <c r="AE108">
        <f>IF(OR(T108="",Setup!$B$17=""),0,IF(V108=0,T108/COUNTIF(Setup!$B$9:$B$20,"?*"),T108*AQ108/V108))</f>
        <v/>
      </c>
      <c r="AF108">
        <f>IF(OR(T108="",Setup!$B$18=""),0,IF(V108=0,T108/COUNTIF(Setup!$B$9:$B$20,"?*"),T108*AR108/V108))</f>
        <v/>
      </c>
      <c r="AG108">
        <f>IF(OR(T108="",Setup!$B$19=""),0,IF(V108=0,T108/COUNTIF(Setup!$B$9:$B$20,"?*"),T108*AS108/V108))</f>
        <v/>
      </c>
      <c r="AH108">
        <f>IF(OR(T108="",Setup!$B$20=""),0,IF(V108=0,T108/COUNTIF(Setup!$B$9:$B$20,"?*"),T108*AT108/V108))</f>
        <v/>
      </c>
      <c r="AI108">
        <f>IF(Setup!$B$9="",0,IF(H108="",0,IF(ISNUMBER(H108),H108,1)))</f>
        <v/>
      </c>
      <c r="AJ108">
        <f>IF(Setup!$B$10="",0,IF(I108="",0,IF(ISNUMBER(I108),I108,1)))</f>
        <v/>
      </c>
      <c r="AK108">
        <f>IF(Setup!$B$11="",0,IF(J108="",0,IF(ISNUMBER(J108),J108,1)))</f>
        <v/>
      </c>
      <c r="AL108">
        <f>IF(Setup!$B$12="",0,IF(K108="",0,IF(ISNUMBER(K108),K108,1)))</f>
        <v/>
      </c>
      <c r="AM108">
        <f>IF(Setup!$B$13="",0,IF(L108="",0,IF(ISNUMBER(L108),L108,1)))</f>
        <v/>
      </c>
      <c r="AN108">
        <f>IF(Setup!$B$14="",0,IF(M108="",0,IF(ISNUMBER(M108),M108,1)))</f>
        <v/>
      </c>
      <c r="AO108">
        <f>IF(Setup!$B$15="",0,IF(N108="",0,IF(ISNUMBER(N108),N108,1)))</f>
        <v/>
      </c>
      <c r="AP108">
        <f>IF(Setup!$B$16="",0,IF(O108="",0,IF(ISNUMBER(O108),O108,1)))</f>
        <v/>
      </c>
      <c r="AQ108">
        <f>IF(Setup!$B$17="",0,IF(P108="",0,IF(ISNUMBER(P108),P108,1)))</f>
        <v/>
      </c>
      <c r="AR108">
        <f>IF(Setup!$B$18="",0,IF(Q108="",0,IF(ISNUMBER(Q108),Q108,1)))</f>
        <v/>
      </c>
      <c r="AS108">
        <f>IF(Setup!$B$19="",0,IF(R108="",0,IF(ISNUMBER(R108),R108,1)))</f>
        <v/>
      </c>
      <c r="AT108">
        <f>IF(Setup!$B$20="",0,IF(S108="",0,IF(ISNUMBER(S108),S108,1)))</f>
        <v/>
      </c>
    </row>
    <row r="109">
      <c r="A109" s="1" t="n"/>
      <c r="B109" s="24" t="n"/>
      <c r="C109" s="25" t="n"/>
      <c r="D109" s="25" t="n"/>
      <c r="E109" s="26" t="n"/>
      <c r="F109" s="27" t="n"/>
      <c r="G109" s="17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9">
        <f>IF(N(E109)=0,"",E109*IF(F109="",1,IFERROR(INDEX(Setup!$E$9:$E$18,MATCH(F109,Setup!$D$9:$D$18,0)),0)))</f>
        <v/>
      </c>
      <c r="U109" s="30">
        <f>IF(T109="","",IF(V109=0,"Everyone",IF(COUNTIF(AI109:AT109,"&gt;0")=COUNTIF(Setup!$B$9:$B$20,"?*"),"Everyone",COUNTIF(AI109:AT109,"&gt;0")&amp;IF(COUNTIF(AI109:AT109,"&gt;0")=1," person"," people"))))</f>
        <v/>
      </c>
      <c r="V109" s="1">
        <f>SUM(AI109:AT109)</f>
        <v/>
      </c>
      <c r="W109">
        <f>IF(OR(T109="",Setup!$B$9=""),0,IF(V109=0,T109/COUNTIF(Setup!$B$9:$B$20,"?*"),T109*AI109/V109))</f>
        <v/>
      </c>
      <c r="X109">
        <f>IF(OR(T109="",Setup!$B$10=""),0,IF(V109=0,T109/COUNTIF(Setup!$B$9:$B$20,"?*"),T109*AJ109/V109))</f>
        <v/>
      </c>
      <c r="Y109">
        <f>IF(OR(T109="",Setup!$B$11=""),0,IF(V109=0,T109/COUNTIF(Setup!$B$9:$B$20,"?*"),T109*AK109/V109))</f>
        <v/>
      </c>
      <c r="Z109">
        <f>IF(OR(T109="",Setup!$B$12=""),0,IF(V109=0,T109/COUNTIF(Setup!$B$9:$B$20,"?*"),T109*AL109/V109))</f>
        <v/>
      </c>
      <c r="AA109">
        <f>IF(OR(T109="",Setup!$B$13=""),0,IF(V109=0,T109/COUNTIF(Setup!$B$9:$B$20,"?*"),T109*AM109/V109))</f>
        <v/>
      </c>
      <c r="AB109">
        <f>IF(OR(T109="",Setup!$B$14=""),0,IF(V109=0,T109/COUNTIF(Setup!$B$9:$B$20,"?*"),T109*AN109/V109))</f>
        <v/>
      </c>
      <c r="AC109">
        <f>IF(OR(T109="",Setup!$B$15=""),0,IF(V109=0,T109/COUNTIF(Setup!$B$9:$B$20,"?*"),T109*AO109/V109))</f>
        <v/>
      </c>
      <c r="AD109">
        <f>IF(OR(T109="",Setup!$B$16=""),0,IF(V109=0,T109/COUNTIF(Setup!$B$9:$B$20,"?*"),T109*AP109/V109))</f>
        <v/>
      </c>
      <c r="AE109">
        <f>IF(OR(T109="",Setup!$B$17=""),0,IF(V109=0,T109/COUNTIF(Setup!$B$9:$B$20,"?*"),T109*AQ109/V109))</f>
        <v/>
      </c>
      <c r="AF109">
        <f>IF(OR(T109="",Setup!$B$18=""),0,IF(V109=0,T109/COUNTIF(Setup!$B$9:$B$20,"?*"),T109*AR109/V109))</f>
        <v/>
      </c>
      <c r="AG109">
        <f>IF(OR(T109="",Setup!$B$19=""),0,IF(V109=0,T109/COUNTIF(Setup!$B$9:$B$20,"?*"),T109*AS109/V109))</f>
        <v/>
      </c>
      <c r="AH109">
        <f>IF(OR(T109="",Setup!$B$20=""),0,IF(V109=0,T109/COUNTIF(Setup!$B$9:$B$20,"?*"),T109*AT109/V109))</f>
        <v/>
      </c>
      <c r="AI109">
        <f>IF(Setup!$B$9="",0,IF(H109="",0,IF(ISNUMBER(H109),H109,1)))</f>
        <v/>
      </c>
      <c r="AJ109">
        <f>IF(Setup!$B$10="",0,IF(I109="",0,IF(ISNUMBER(I109),I109,1)))</f>
        <v/>
      </c>
      <c r="AK109">
        <f>IF(Setup!$B$11="",0,IF(J109="",0,IF(ISNUMBER(J109),J109,1)))</f>
        <v/>
      </c>
      <c r="AL109">
        <f>IF(Setup!$B$12="",0,IF(K109="",0,IF(ISNUMBER(K109),K109,1)))</f>
        <v/>
      </c>
      <c r="AM109">
        <f>IF(Setup!$B$13="",0,IF(L109="",0,IF(ISNUMBER(L109),L109,1)))</f>
        <v/>
      </c>
      <c r="AN109">
        <f>IF(Setup!$B$14="",0,IF(M109="",0,IF(ISNUMBER(M109),M109,1)))</f>
        <v/>
      </c>
      <c r="AO109">
        <f>IF(Setup!$B$15="",0,IF(N109="",0,IF(ISNUMBER(N109),N109,1)))</f>
        <v/>
      </c>
      <c r="AP109">
        <f>IF(Setup!$B$16="",0,IF(O109="",0,IF(ISNUMBER(O109),O109,1)))</f>
        <v/>
      </c>
      <c r="AQ109">
        <f>IF(Setup!$B$17="",0,IF(P109="",0,IF(ISNUMBER(P109),P109,1)))</f>
        <v/>
      </c>
      <c r="AR109">
        <f>IF(Setup!$B$18="",0,IF(Q109="",0,IF(ISNUMBER(Q109),Q109,1)))</f>
        <v/>
      </c>
      <c r="AS109">
        <f>IF(Setup!$B$19="",0,IF(R109="",0,IF(ISNUMBER(R109),R109,1)))</f>
        <v/>
      </c>
      <c r="AT109">
        <f>IF(Setup!$B$20="",0,IF(S109="",0,IF(ISNUMBER(S109),S109,1)))</f>
        <v/>
      </c>
    </row>
    <row r="110">
      <c r="A110" s="1" t="n"/>
      <c r="B110" s="24" t="n"/>
      <c r="C110" s="25" t="n"/>
      <c r="D110" s="25" t="n"/>
      <c r="E110" s="26" t="n"/>
      <c r="F110" s="27" t="n"/>
      <c r="G110" s="17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/>
      <c r="T110" s="29">
        <f>IF(N(E110)=0,"",E110*IF(F110="",1,IFERROR(INDEX(Setup!$E$9:$E$18,MATCH(F110,Setup!$D$9:$D$18,0)),0)))</f>
        <v/>
      </c>
      <c r="U110" s="30">
        <f>IF(T110="","",IF(V110=0,"Everyone",IF(COUNTIF(AI110:AT110,"&gt;0")=COUNTIF(Setup!$B$9:$B$20,"?*"),"Everyone",COUNTIF(AI110:AT110,"&gt;0")&amp;IF(COUNTIF(AI110:AT110,"&gt;0")=1," person"," people"))))</f>
        <v/>
      </c>
      <c r="V110" s="1">
        <f>SUM(AI110:AT110)</f>
        <v/>
      </c>
      <c r="W110">
        <f>IF(OR(T110="",Setup!$B$9=""),0,IF(V110=0,T110/COUNTIF(Setup!$B$9:$B$20,"?*"),T110*AI110/V110))</f>
        <v/>
      </c>
      <c r="X110">
        <f>IF(OR(T110="",Setup!$B$10=""),0,IF(V110=0,T110/COUNTIF(Setup!$B$9:$B$20,"?*"),T110*AJ110/V110))</f>
        <v/>
      </c>
      <c r="Y110">
        <f>IF(OR(T110="",Setup!$B$11=""),0,IF(V110=0,T110/COUNTIF(Setup!$B$9:$B$20,"?*"),T110*AK110/V110))</f>
        <v/>
      </c>
      <c r="Z110">
        <f>IF(OR(T110="",Setup!$B$12=""),0,IF(V110=0,T110/COUNTIF(Setup!$B$9:$B$20,"?*"),T110*AL110/V110))</f>
        <v/>
      </c>
      <c r="AA110">
        <f>IF(OR(T110="",Setup!$B$13=""),0,IF(V110=0,T110/COUNTIF(Setup!$B$9:$B$20,"?*"),T110*AM110/V110))</f>
        <v/>
      </c>
      <c r="AB110">
        <f>IF(OR(T110="",Setup!$B$14=""),0,IF(V110=0,T110/COUNTIF(Setup!$B$9:$B$20,"?*"),T110*AN110/V110))</f>
        <v/>
      </c>
      <c r="AC110">
        <f>IF(OR(T110="",Setup!$B$15=""),0,IF(V110=0,T110/COUNTIF(Setup!$B$9:$B$20,"?*"),T110*AO110/V110))</f>
        <v/>
      </c>
      <c r="AD110">
        <f>IF(OR(T110="",Setup!$B$16=""),0,IF(V110=0,T110/COUNTIF(Setup!$B$9:$B$20,"?*"),T110*AP110/V110))</f>
        <v/>
      </c>
      <c r="AE110">
        <f>IF(OR(T110="",Setup!$B$17=""),0,IF(V110=0,T110/COUNTIF(Setup!$B$9:$B$20,"?*"),T110*AQ110/V110))</f>
        <v/>
      </c>
      <c r="AF110">
        <f>IF(OR(T110="",Setup!$B$18=""),0,IF(V110=0,T110/COUNTIF(Setup!$B$9:$B$20,"?*"),T110*AR110/V110))</f>
        <v/>
      </c>
      <c r="AG110">
        <f>IF(OR(T110="",Setup!$B$19=""),0,IF(V110=0,T110/COUNTIF(Setup!$B$9:$B$20,"?*"),T110*AS110/V110))</f>
        <v/>
      </c>
      <c r="AH110">
        <f>IF(OR(T110="",Setup!$B$20=""),0,IF(V110=0,T110/COUNTIF(Setup!$B$9:$B$20,"?*"),T110*AT110/V110))</f>
        <v/>
      </c>
      <c r="AI110">
        <f>IF(Setup!$B$9="",0,IF(H110="",0,IF(ISNUMBER(H110),H110,1)))</f>
        <v/>
      </c>
      <c r="AJ110">
        <f>IF(Setup!$B$10="",0,IF(I110="",0,IF(ISNUMBER(I110),I110,1)))</f>
        <v/>
      </c>
      <c r="AK110">
        <f>IF(Setup!$B$11="",0,IF(J110="",0,IF(ISNUMBER(J110),J110,1)))</f>
        <v/>
      </c>
      <c r="AL110">
        <f>IF(Setup!$B$12="",0,IF(K110="",0,IF(ISNUMBER(K110),K110,1)))</f>
        <v/>
      </c>
      <c r="AM110">
        <f>IF(Setup!$B$13="",0,IF(L110="",0,IF(ISNUMBER(L110),L110,1)))</f>
        <v/>
      </c>
      <c r="AN110">
        <f>IF(Setup!$B$14="",0,IF(M110="",0,IF(ISNUMBER(M110),M110,1)))</f>
        <v/>
      </c>
      <c r="AO110">
        <f>IF(Setup!$B$15="",0,IF(N110="",0,IF(ISNUMBER(N110),N110,1)))</f>
        <v/>
      </c>
      <c r="AP110">
        <f>IF(Setup!$B$16="",0,IF(O110="",0,IF(ISNUMBER(O110),O110,1)))</f>
        <v/>
      </c>
      <c r="AQ110">
        <f>IF(Setup!$B$17="",0,IF(P110="",0,IF(ISNUMBER(P110),P110,1)))</f>
        <v/>
      </c>
      <c r="AR110">
        <f>IF(Setup!$B$18="",0,IF(Q110="",0,IF(ISNUMBER(Q110),Q110,1)))</f>
        <v/>
      </c>
      <c r="AS110">
        <f>IF(Setup!$B$19="",0,IF(R110="",0,IF(ISNUMBER(R110),R110,1)))</f>
        <v/>
      </c>
      <c r="AT110">
        <f>IF(Setup!$B$20="",0,IF(S110="",0,IF(ISNUMBER(S110),S110,1)))</f>
        <v/>
      </c>
    </row>
    <row r="111">
      <c r="A111" s="1" t="n"/>
      <c r="B111" s="24" t="n"/>
      <c r="C111" s="25" t="n"/>
      <c r="D111" s="25" t="n"/>
      <c r="E111" s="26" t="n"/>
      <c r="F111" s="27" t="n"/>
      <c r="G111" s="17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28" t="n"/>
      <c r="R111" s="28" t="n"/>
      <c r="S111" s="28" t="n"/>
      <c r="T111" s="29">
        <f>IF(N(E111)=0,"",E111*IF(F111="",1,IFERROR(INDEX(Setup!$E$9:$E$18,MATCH(F111,Setup!$D$9:$D$18,0)),0)))</f>
        <v/>
      </c>
      <c r="U111" s="30">
        <f>IF(T111="","",IF(V111=0,"Everyone",IF(COUNTIF(AI111:AT111,"&gt;0")=COUNTIF(Setup!$B$9:$B$20,"?*"),"Everyone",COUNTIF(AI111:AT111,"&gt;0")&amp;IF(COUNTIF(AI111:AT111,"&gt;0")=1," person"," people"))))</f>
        <v/>
      </c>
      <c r="V111" s="1">
        <f>SUM(AI111:AT111)</f>
        <v/>
      </c>
      <c r="W111">
        <f>IF(OR(T111="",Setup!$B$9=""),0,IF(V111=0,T111/COUNTIF(Setup!$B$9:$B$20,"?*"),T111*AI111/V111))</f>
        <v/>
      </c>
      <c r="X111">
        <f>IF(OR(T111="",Setup!$B$10=""),0,IF(V111=0,T111/COUNTIF(Setup!$B$9:$B$20,"?*"),T111*AJ111/V111))</f>
        <v/>
      </c>
      <c r="Y111">
        <f>IF(OR(T111="",Setup!$B$11=""),0,IF(V111=0,T111/COUNTIF(Setup!$B$9:$B$20,"?*"),T111*AK111/V111))</f>
        <v/>
      </c>
      <c r="Z111">
        <f>IF(OR(T111="",Setup!$B$12=""),0,IF(V111=0,T111/COUNTIF(Setup!$B$9:$B$20,"?*"),T111*AL111/V111))</f>
        <v/>
      </c>
      <c r="AA111">
        <f>IF(OR(T111="",Setup!$B$13=""),0,IF(V111=0,T111/COUNTIF(Setup!$B$9:$B$20,"?*"),T111*AM111/V111))</f>
        <v/>
      </c>
      <c r="AB111">
        <f>IF(OR(T111="",Setup!$B$14=""),0,IF(V111=0,T111/COUNTIF(Setup!$B$9:$B$20,"?*"),T111*AN111/V111))</f>
        <v/>
      </c>
      <c r="AC111">
        <f>IF(OR(T111="",Setup!$B$15=""),0,IF(V111=0,T111/COUNTIF(Setup!$B$9:$B$20,"?*"),T111*AO111/V111))</f>
        <v/>
      </c>
      <c r="AD111">
        <f>IF(OR(T111="",Setup!$B$16=""),0,IF(V111=0,T111/COUNTIF(Setup!$B$9:$B$20,"?*"),T111*AP111/V111))</f>
        <v/>
      </c>
      <c r="AE111">
        <f>IF(OR(T111="",Setup!$B$17=""),0,IF(V111=0,T111/COUNTIF(Setup!$B$9:$B$20,"?*"),T111*AQ111/V111))</f>
        <v/>
      </c>
      <c r="AF111">
        <f>IF(OR(T111="",Setup!$B$18=""),0,IF(V111=0,T111/COUNTIF(Setup!$B$9:$B$20,"?*"),T111*AR111/V111))</f>
        <v/>
      </c>
      <c r="AG111">
        <f>IF(OR(T111="",Setup!$B$19=""),0,IF(V111=0,T111/COUNTIF(Setup!$B$9:$B$20,"?*"),T111*AS111/V111))</f>
        <v/>
      </c>
      <c r="AH111">
        <f>IF(OR(T111="",Setup!$B$20=""),0,IF(V111=0,T111/COUNTIF(Setup!$B$9:$B$20,"?*"),T111*AT111/V111))</f>
        <v/>
      </c>
      <c r="AI111">
        <f>IF(Setup!$B$9="",0,IF(H111="",0,IF(ISNUMBER(H111),H111,1)))</f>
        <v/>
      </c>
      <c r="AJ111">
        <f>IF(Setup!$B$10="",0,IF(I111="",0,IF(ISNUMBER(I111),I111,1)))</f>
        <v/>
      </c>
      <c r="AK111">
        <f>IF(Setup!$B$11="",0,IF(J111="",0,IF(ISNUMBER(J111),J111,1)))</f>
        <v/>
      </c>
      <c r="AL111">
        <f>IF(Setup!$B$12="",0,IF(K111="",0,IF(ISNUMBER(K111),K111,1)))</f>
        <v/>
      </c>
      <c r="AM111">
        <f>IF(Setup!$B$13="",0,IF(L111="",0,IF(ISNUMBER(L111),L111,1)))</f>
        <v/>
      </c>
      <c r="AN111">
        <f>IF(Setup!$B$14="",0,IF(M111="",0,IF(ISNUMBER(M111),M111,1)))</f>
        <v/>
      </c>
      <c r="AO111">
        <f>IF(Setup!$B$15="",0,IF(N111="",0,IF(ISNUMBER(N111),N111,1)))</f>
        <v/>
      </c>
      <c r="AP111">
        <f>IF(Setup!$B$16="",0,IF(O111="",0,IF(ISNUMBER(O111),O111,1)))</f>
        <v/>
      </c>
      <c r="AQ111">
        <f>IF(Setup!$B$17="",0,IF(P111="",0,IF(ISNUMBER(P111),P111,1)))</f>
        <v/>
      </c>
      <c r="AR111">
        <f>IF(Setup!$B$18="",0,IF(Q111="",0,IF(ISNUMBER(Q111),Q111,1)))</f>
        <v/>
      </c>
      <c r="AS111">
        <f>IF(Setup!$B$19="",0,IF(R111="",0,IF(ISNUMBER(R111),R111,1)))</f>
        <v/>
      </c>
      <c r="AT111">
        <f>IF(Setup!$B$20="",0,IF(S111="",0,IF(ISNUMBER(S111),S111,1)))</f>
        <v/>
      </c>
    </row>
    <row r="112">
      <c r="A112" s="1" t="n"/>
      <c r="B112" s="24" t="n"/>
      <c r="C112" s="25" t="n"/>
      <c r="D112" s="25" t="n"/>
      <c r="E112" s="26" t="n"/>
      <c r="F112" s="27" t="n"/>
      <c r="G112" s="17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/>
      <c r="T112" s="29">
        <f>IF(N(E112)=0,"",E112*IF(F112="",1,IFERROR(INDEX(Setup!$E$9:$E$18,MATCH(F112,Setup!$D$9:$D$18,0)),0)))</f>
        <v/>
      </c>
      <c r="U112" s="30">
        <f>IF(T112="","",IF(V112=0,"Everyone",IF(COUNTIF(AI112:AT112,"&gt;0")=COUNTIF(Setup!$B$9:$B$20,"?*"),"Everyone",COUNTIF(AI112:AT112,"&gt;0")&amp;IF(COUNTIF(AI112:AT112,"&gt;0")=1," person"," people"))))</f>
        <v/>
      </c>
      <c r="V112" s="1">
        <f>SUM(AI112:AT112)</f>
        <v/>
      </c>
      <c r="W112">
        <f>IF(OR(T112="",Setup!$B$9=""),0,IF(V112=0,T112/COUNTIF(Setup!$B$9:$B$20,"?*"),T112*AI112/V112))</f>
        <v/>
      </c>
      <c r="X112">
        <f>IF(OR(T112="",Setup!$B$10=""),0,IF(V112=0,T112/COUNTIF(Setup!$B$9:$B$20,"?*"),T112*AJ112/V112))</f>
        <v/>
      </c>
      <c r="Y112">
        <f>IF(OR(T112="",Setup!$B$11=""),0,IF(V112=0,T112/COUNTIF(Setup!$B$9:$B$20,"?*"),T112*AK112/V112))</f>
        <v/>
      </c>
      <c r="Z112">
        <f>IF(OR(T112="",Setup!$B$12=""),0,IF(V112=0,T112/COUNTIF(Setup!$B$9:$B$20,"?*"),T112*AL112/V112))</f>
        <v/>
      </c>
      <c r="AA112">
        <f>IF(OR(T112="",Setup!$B$13=""),0,IF(V112=0,T112/COUNTIF(Setup!$B$9:$B$20,"?*"),T112*AM112/V112))</f>
        <v/>
      </c>
      <c r="AB112">
        <f>IF(OR(T112="",Setup!$B$14=""),0,IF(V112=0,T112/COUNTIF(Setup!$B$9:$B$20,"?*"),T112*AN112/V112))</f>
        <v/>
      </c>
      <c r="AC112">
        <f>IF(OR(T112="",Setup!$B$15=""),0,IF(V112=0,T112/COUNTIF(Setup!$B$9:$B$20,"?*"),T112*AO112/V112))</f>
        <v/>
      </c>
      <c r="AD112">
        <f>IF(OR(T112="",Setup!$B$16=""),0,IF(V112=0,T112/COUNTIF(Setup!$B$9:$B$20,"?*"),T112*AP112/V112))</f>
        <v/>
      </c>
      <c r="AE112">
        <f>IF(OR(T112="",Setup!$B$17=""),0,IF(V112=0,T112/COUNTIF(Setup!$B$9:$B$20,"?*"),T112*AQ112/V112))</f>
        <v/>
      </c>
      <c r="AF112">
        <f>IF(OR(T112="",Setup!$B$18=""),0,IF(V112=0,T112/COUNTIF(Setup!$B$9:$B$20,"?*"),T112*AR112/V112))</f>
        <v/>
      </c>
      <c r="AG112">
        <f>IF(OR(T112="",Setup!$B$19=""),0,IF(V112=0,T112/COUNTIF(Setup!$B$9:$B$20,"?*"),T112*AS112/V112))</f>
        <v/>
      </c>
      <c r="AH112">
        <f>IF(OR(T112="",Setup!$B$20=""),0,IF(V112=0,T112/COUNTIF(Setup!$B$9:$B$20,"?*"),T112*AT112/V112))</f>
        <v/>
      </c>
      <c r="AI112">
        <f>IF(Setup!$B$9="",0,IF(H112="",0,IF(ISNUMBER(H112),H112,1)))</f>
        <v/>
      </c>
      <c r="AJ112">
        <f>IF(Setup!$B$10="",0,IF(I112="",0,IF(ISNUMBER(I112),I112,1)))</f>
        <v/>
      </c>
      <c r="AK112">
        <f>IF(Setup!$B$11="",0,IF(J112="",0,IF(ISNUMBER(J112),J112,1)))</f>
        <v/>
      </c>
      <c r="AL112">
        <f>IF(Setup!$B$12="",0,IF(K112="",0,IF(ISNUMBER(K112),K112,1)))</f>
        <v/>
      </c>
      <c r="AM112">
        <f>IF(Setup!$B$13="",0,IF(L112="",0,IF(ISNUMBER(L112),L112,1)))</f>
        <v/>
      </c>
      <c r="AN112">
        <f>IF(Setup!$B$14="",0,IF(M112="",0,IF(ISNUMBER(M112),M112,1)))</f>
        <v/>
      </c>
      <c r="AO112">
        <f>IF(Setup!$B$15="",0,IF(N112="",0,IF(ISNUMBER(N112),N112,1)))</f>
        <v/>
      </c>
      <c r="AP112">
        <f>IF(Setup!$B$16="",0,IF(O112="",0,IF(ISNUMBER(O112),O112,1)))</f>
        <v/>
      </c>
      <c r="AQ112">
        <f>IF(Setup!$B$17="",0,IF(P112="",0,IF(ISNUMBER(P112),P112,1)))</f>
        <v/>
      </c>
      <c r="AR112">
        <f>IF(Setup!$B$18="",0,IF(Q112="",0,IF(ISNUMBER(Q112),Q112,1)))</f>
        <v/>
      </c>
      <c r="AS112">
        <f>IF(Setup!$B$19="",0,IF(R112="",0,IF(ISNUMBER(R112),R112,1)))</f>
        <v/>
      </c>
      <c r="AT112">
        <f>IF(Setup!$B$20="",0,IF(S112="",0,IF(ISNUMBER(S112),S112,1)))</f>
        <v/>
      </c>
    </row>
    <row r="113">
      <c r="A113" s="1" t="n"/>
      <c r="B113" s="24" t="n"/>
      <c r="C113" s="25" t="n"/>
      <c r="D113" s="25" t="n"/>
      <c r="E113" s="26" t="n"/>
      <c r="F113" s="27" t="n"/>
      <c r="G113" s="17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28" t="n"/>
      <c r="R113" s="28" t="n"/>
      <c r="S113" s="28" t="n"/>
      <c r="T113" s="29">
        <f>IF(N(E113)=0,"",E113*IF(F113="",1,IFERROR(INDEX(Setup!$E$9:$E$18,MATCH(F113,Setup!$D$9:$D$18,0)),0)))</f>
        <v/>
      </c>
      <c r="U113" s="30">
        <f>IF(T113="","",IF(V113=0,"Everyone",IF(COUNTIF(AI113:AT113,"&gt;0")=COUNTIF(Setup!$B$9:$B$20,"?*"),"Everyone",COUNTIF(AI113:AT113,"&gt;0")&amp;IF(COUNTIF(AI113:AT113,"&gt;0")=1," person"," people"))))</f>
        <v/>
      </c>
      <c r="V113" s="1">
        <f>SUM(AI113:AT113)</f>
        <v/>
      </c>
      <c r="W113">
        <f>IF(OR(T113="",Setup!$B$9=""),0,IF(V113=0,T113/COUNTIF(Setup!$B$9:$B$20,"?*"),T113*AI113/V113))</f>
        <v/>
      </c>
      <c r="X113">
        <f>IF(OR(T113="",Setup!$B$10=""),0,IF(V113=0,T113/COUNTIF(Setup!$B$9:$B$20,"?*"),T113*AJ113/V113))</f>
        <v/>
      </c>
      <c r="Y113">
        <f>IF(OR(T113="",Setup!$B$11=""),0,IF(V113=0,T113/COUNTIF(Setup!$B$9:$B$20,"?*"),T113*AK113/V113))</f>
        <v/>
      </c>
      <c r="Z113">
        <f>IF(OR(T113="",Setup!$B$12=""),0,IF(V113=0,T113/COUNTIF(Setup!$B$9:$B$20,"?*"),T113*AL113/V113))</f>
        <v/>
      </c>
      <c r="AA113">
        <f>IF(OR(T113="",Setup!$B$13=""),0,IF(V113=0,T113/COUNTIF(Setup!$B$9:$B$20,"?*"),T113*AM113/V113))</f>
        <v/>
      </c>
      <c r="AB113">
        <f>IF(OR(T113="",Setup!$B$14=""),0,IF(V113=0,T113/COUNTIF(Setup!$B$9:$B$20,"?*"),T113*AN113/V113))</f>
        <v/>
      </c>
      <c r="AC113">
        <f>IF(OR(T113="",Setup!$B$15=""),0,IF(V113=0,T113/COUNTIF(Setup!$B$9:$B$20,"?*"),T113*AO113/V113))</f>
        <v/>
      </c>
      <c r="AD113">
        <f>IF(OR(T113="",Setup!$B$16=""),0,IF(V113=0,T113/COUNTIF(Setup!$B$9:$B$20,"?*"),T113*AP113/V113))</f>
        <v/>
      </c>
      <c r="AE113">
        <f>IF(OR(T113="",Setup!$B$17=""),0,IF(V113=0,T113/COUNTIF(Setup!$B$9:$B$20,"?*"),T113*AQ113/V113))</f>
        <v/>
      </c>
      <c r="AF113">
        <f>IF(OR(T113="",Setup!$B$18=""),0,IF(V113=0,T113/COUNTIF(Setup!$B$9:$B$20,"?*"),T113*AR113/V113))</f>
        <v/>
      </c>
      <c r="AG113">
        <f>IF(OR(T113="",Setup!$B$19=""),0,IF(V113=0,T113/COUNTIF(Setup!$B$9:$B$20,"?*"),T113*AS113/V113))</f>
        <v/>
      </c>
      <c r="AH113">
        <f>IF(OR(T113="",Setup!$B$20=""),0,IF(V113=0,T113/COUNTIF(Setup!$B$9:$B$20,"?*"),T113*AT113/V113))</f>
        <v/>
      </c>
      <c r="AI113">
        <f>IF(Setup!$B$9="",0,IF(H113="",0,IF(ISNUMBER(H113),H113,1)))</f>
        <v/>
      </c>
      <c r="AJ113">
        <f>IF(Setup!$B$10="",0,IF(I113="",0,IF(ISNUMBER(I113),I113,1)))</f>
        <v/>
      </c>
      <c r="AK113">
        <f>IF(Setup!$B$11="",0,IF(J113="",0,IF(ISNUMBER(J113),J113,1)))</f>
        <v/>
      </c>
      <c r="AL113">
        <f>IF(Setup!$B$12="",0,IF(K113="",0,IF(ISNUMBER(K113),K113,1)))</f>
        <v/>
      </c>
      <c r="AM113">
        <f>IF(Setup!$B$13="",0,IF(L113="",0,IF(ISNUMBER(L113),L113,1)))</f>
        <v/>
      </c>
      <c r="AN113">
        <f>IF(Setup!$B$14="",0,IF(M113="",0,IF(ISNUMBER(M113),M113,1)))</f>
        <v/>
      </c>
      <c r="AO113">
        <f>IF(Setup!$B$15="",0,IF(N113="",0,IF(ISNUMBER(N113),N113,1)))</f>
        <v/>
      </c>
      <c r="AP113">
        <f>IF(Setup!$B$16="",0,IF(O113="",0,IF(ISNUMBER(O113),O113,1)))</f>
        <v/>
      </c>
      <c r="AQ113">
        <f>IF(Setup!$B$17="",0,IF(P113="",0,IF(ISNUMBER(P113),P113,1)))</f>
        <v/>
      </c>
      <c r="AR113">
        <f>IF(Setup!$B$18="",0,IF(Q113="",0,IF(ISNUMBER(Q113),Q113,1)))</f>
        <v/>
      </c>
      <c r="AS113">
        <f>IF(Setup!$B$19="",0,IF(R113="",0,IF(ISNUMBER(R113),R113,1)))</f>
        <v/>
      </c>
      <c r="AT113">
        <f>IF(Setup!$B$20="",0,IF(S113="",0,IF(ISNUMBER(S113),S113,1)))</f>
        <v/>
      </c>
    </row>
    <row r="114">
      <c r="A114" s="1" t="n"/>
      <c r="B114" s="24" t="n"/>
      <c r="C114" s="25" t="n"/>
      <c r="D114" s="25" t="n"/>
      <c r="E114" s="26" t="n"/>
      <c r="F114" s="27" t="n"/>
      <c r="G114" s="17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28" t="n"/>
      <c r="R114" s="28" t="n"/>
      <c r="S114" s="28" t="n"/>
      <c r="T114" s="29">
        <f>IF(N(E114)=0,"",E114*IF(F114="",1,IFERROR(INDEX(Setup!$E$9:$E$18,MATCH(F114,Setup!$D$9:$D$18,0)),0)))</f>
        <v/>
      </c>
      <c r="U114" s="30">
        <f>IF(T114="","",IF(V114=0,"Everyone",IF(COUNTIF(AI114:AT114,"&gt;0")=COUNTIF(Setup!$B$9:$B$20,"?*"),"Everyone",COUNTIF(AI114:AT114,"&gt;0")&amp;IF(COUNTIF(AI114:AT114,"&gt;0")=1," person"," people"))))</f>
        <v/>
      </c>
      <c r="V114" s="1">
        <f>SUM(AI114:AT114)</f>
        <v/>
      </c>
      <c r="W114">
        <f>IF(OR(T114="",Setup!$B$9=""),0,IF(V114=0,T114/COUNTIF(Setup!$B$9:$B$20,"?*"),T114*AI114/V114))</f>
        <v/>
      </c>
      <c r="X114">
        <f>IF(OR(T114="",Setup!$B$10=""),0,IF(V114=0,T114/COUNTIF(Setup!$B$9:$B$20,"?*"),T114*AJ114/V114))</f>
        <v/>
      </c>
      <c r="Y114">
        <f>IF(OR(T114="",Setup!$B$11=""),0,IF(V114=0,T114/COUNTIF(Setup!$B$9:$B$20,"?*"),T114*AK114/V114))</f>
        <v/>
      </c>
      <c r="Z114">
        <f>IF(OR(T114="",Setup!$B$12=""),0,IF(V114=0,T114/COUNTIF(Setup!$B$9:$B$20,"?*"),T114*AL114/V114))</f>
        <v/>
      </c>
      <c r="AA114">
        <f>IF(OR(T114="",Setup!$B$13=""),0,IF(V114=0,T114/COUNTIF(Setup!$B$9:$B$20,"?*"),T114*AM114/V114))</f>
        <v/>
      </c>
      <c r="AB114">
        <f>IF(OR(T114="",Setup!$B$14=""),0,IF(V114=0,T114/COUNTIF(Setup!$B$9:$B$20,"?*"),T114*AN114/V114))</f>
        <v/>
      </c>
      <c r="AC114">
        <f>IF(OR(T114="",Setup!$B$15=""),0,IF(V114=0,T114/COUNTIF(Setup!$B$9:$B$20,"?*"),T114*AO114/V114))</f>
        <v/>
      </c>
      <c r="AD114">
        <f>IF(OR(T114="",Setup!$B$16=""),0,IF(V114=0,T114/COUNTIF(Setup!$B$9:$B$20,"?*"),T114*AP114/V114))</f>
        <v/>
      </c>
      <c r="AE114">
        <f>IF(OR(T114="",Setup!$B$17=""),0,IF(V114=0,T114/COUNTIF(Setup!$B$9:$B$20,"?*"),T114*AQ114/V114))</f>
        <v/>
      </c>
      <c r="AF114">
        <f>IF(OR(T114="",Setup!$B$18=""),0,IF(V114=0,T114/COUNTIF(Setup!$B$9:$B$20,"?*"),T114*AR114/V114))</f>
        <v/>
      </c>
      <c r="AG114">
        <f>IF(OR(T114="",Setup!$B$19=""),0,IF(V114=0,T114/COUNTIF(Setup!$B$9:$B$20,"?*"),T114*AS114/V114))</f>
        <v/>
      </c>
      <c r="AH114">
        <f>IF(OR(T114="",Setup!$B$20=""),0,IF(V114=0,T114/COUNTIF(Setup!$B$9:$B$20,"?*"),T114*AT114/V114))</f>
        <v/>
      </c>
      <c r="AI114">
        <f>IF(Setup!$B$9="",0,IF(H114="",0,IF(ISNUMBER(H114),H114,1)))</f>
        <v/>
      </c>
      <c r="AJ114">
        <f>IF(Setup!$B$10="",0,IF(I114="",0,IF(ISNUMBER(I114),I114,1)))</f>
        <v/>
      </c>
      <c r="AK114">
        <f>IF(Setup!$B$11="",0,IF(J114="",0,IF(ISNUMBER(J114),J114,1)))</f>
        <v/>
      </c>
      <c r="AL114">
        <f>IF(Setup!$B$12="",0,IF(K114="",0,IF(ISNUMBER(K114),K114,1)))</f>
        <v/>
      </c>
      <c r="AM114">
        <f>IF(Setup!$B$13="",0,IF(L114="",0,IF(ISNUMBER(L114),L114,1)))</f>
        <v/>
      </c>
      <c r="AN114">
        <f>IF(Setup!$B$14="",0,IF(M114="",0,IF(ISNUMBER(M114),M114,1)))</f>
        <v/>
      </c>
      <c r="AO114">
        <f>IF(Setup!$B$15="",0,IF(N114="",0,IF(ISNUMBER(N114),N114,1)))</f>
        <v/>
      </c>
      <c r="AP114">
        <f>IF(Setup!$B$16="",0,IF(O114="",0,IF(ISNUMBER(O114),O114,1)))</f>
        <v/>
      </c>
      <c r="AQ114">
        <f>IF(Setup!$B$17="",0,IF(P114="",0,IF(ISNUMBER(P114),P114,1)))</f>
        <v/>
      </c>
      <c r="AR114">
        <f>IF(Setup!$B$18="",0,IF(Q114="",0,IF(ISNUMBER(Q114),Q114,1)))</f>
        <v/>
      </c>
      <c r="AS114">
        <f>IF(Setup!$B$19="",0,IF(R114="",0,IF(ISNUMBER(R114),R114,1)))</f>
        <v/>
      </c>
      <c r="AT114">
        <f>IF(Setup!$B$20="",0,IF(S114="",0,IF(ISNUMBER(S114),S114,1)))</f>
        <v/>
      </c>
    </row>
    <row r="115">
      <c r="A115" s="1" t="n"/>
      <c r="B115" s="24" t="n"/>
      <c r="C115" s="25" t="n"/>
      <c r="D115" s="25" t="n"/>
      <c r="E115" s="26" t="n"/>
      <c r="F115" s="27" t="n"/>
      <c r="G115" s="17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9">
        <f>IF(N(E115)=0,"",E115*IF(F115="",1,IFERROR(INDEX(Setup!$E$9:$E$18,MATCH(F115,Setup!$D$9:$D$18,0)),0)))</f>
        <v/>
      </c>
      <c r="U115" s="30">
        <f>IF(T115="","",IF(V115=0,"Everyone",IF(COUNTIF(AI115:AT115,"&gt;0")=COUNTIF(Setup!$B$9:$B$20,"?*"),"Everyone",COUNTIF(AI115:AT115,"&gt;0")&amp;IF(COUNTIF(AI115:AT115,"&gt;0")=1," person"," people"))))</f>
        <v/>
      </c>
      <c r="V115" s="1">
        <f>SUM(AI115:AT115)</f>
        <v/>
      </c>
      <c r="W115">
        <f>IF(OR(T115="",Setup!$B$9=""),0,IF(V115=0,T115/COUNTIF(Setup!$B$9:$B$20,"?*"),T115*AI115/V115))</f>
        <v/>
      </c>
      <c r="X115">
        <f>IF(OR(T115="",Setup!$B$10=""),0,IF(V115=0,T115/COUNTIF(Setup!$B$9:$B$20,"?*"),T115*AJ115/V115))</f>
        <v/>
      </c>
      <c r="Y115">
        <f>IF(OR(T115="",Setup!$B$11=""),0,IF(V115=0,T115/COUNTIF(Setup!$B$9:$B$20,"?*"),T115*AK115/V115))</f>
        <v/>
      </c>
      <c r="Z115">
        <f>IF(OR(T115="",Setup!$B$12=""),0,IF(V115=0,T115/COUNTIF(Setup!$B$9:$B$20,"?*"),T115*AL115/V115))</f>
        <v/>
      </c>
      <c r="AA115">
        <f>IF(OR(T115="",Setup!$B$13=""),0,IF(V115=0,T115/COUNTIF(Setup!$B$9:$B$20,"?*"),T115*AM115/V115))</f>
        <v/>
      </c>
      <c r="AB115">
        <f>IF(OR(T115="",Setup!$B$14=""),0,IF(V115=0,T115/COUNTIF(Setup!$B$9:$B$20,"?*"),T115*AN115/V115))</f>
        <v/>
      </c>
      <c r="AC115">
        <f>IF(OR(T115="",Setup!$B$15=""),0,IF(V115=0,T115/COUNTIF(Setup!$B$9:$B$20,"?*"),T115*AO115/V115))</f>
        <v/>
      </c>
      <c r="AD115">
        <f>IF(OR(T115="",Setup!$B$16=""),0,IF(V115=0,T115/COUNTIF(Setup!$B$9:$B$20,"?*"),T115*AP115/V115))</f>
        <v/>
      </c>
      <c r="AE115">
        <f>IF(OR(T115="",Setup!$B$17=""),0,IF(V115=0,T115/COUNTIF(Setup!$B$9:$B$20,"?*"),T115*AQ115/V115))</f>
        <v/>
      </c>
      <c r="AF115">
        <f>IF(OR(T115="",Setup!$B$18=""),0,IF(V115=0,T115/COUNTIF(Setup!$B$9:$B$20,"?*"),T115*AR115/V115))</f>
        <v/>
      </c>
      <c r="AG115">
        <f>IF(OR(T115="",Setup!$B$19=""),0,IF(V115=0,T115/COUNTIF(Setup!$B$9:$B$20,"?*"),T115*AS115/V115))</f>
        <v/>
      </c>
      <c r="AH115">
        <f>IF(OR(T115="",Setup!$B$20=""),0,IF(V115=0,T115/COUNTIF(Setup!$B$9:$B$20,"?*"),T115*AT115/V115))</f>
        <v/>
      </c>
      <c r="AI115">
        <f>IF(Setup!$B$9="",0,IF(H115="",0,IF(ISNUMBER(H115),H115,1)))</f>
        <v/>
      </c>
      <c r="AJ115">
        <f>IF(Setup!$B$10="",0,IF(I115="",0,IF(ISNUMBER(I115),I115,1)))</f>
        <v/>
      </c>
      <c r="AK115">
        <f>IF(Setup!$B$11="",0,IF(J115="",0,IF(ISNUMBER(J115),J115,1)))</f>
        <v/>
      </c>
      <c r="AL115">
        <f>IF(Setup!$B$12="",0,IF(K115="",0,IF(ISNUMBER(K115),K115,1)))</f>
        <v/>
      </c>
      <c r="AM115">
        <f>IF(Setup!$B$13="",0,IF(L115="",0,IF(ISNUMBER(L115),L115,1)))</f>
        <v/>
      </c>
      <c r="AN115">
        <f>IF(Setup!$B$14="",0,IF(M115="",0,IF(ISNUMBER(M115),M115,1)))</f>
        <v/>
      </c>
      <c r="AO115">
        <f>IF(Setup!$B$15="",0,IF(N115="",0,IF(ISNUMBER(N115),N115,1)))</f>
        <v/>
      </c>
      <c r="AP115">
        <f>IF(Setup!$B$16="",0,IF(O115="",0,IF(ISNUMBER(O115),O115,1)))</f>
        <v/>
      </c>
      <c r="AQ115">
        <f>IF(Setup!$B$17="",0,IF(P115="",0,IF(ISNUMBER(P115),P115,1)))</f>
        <v/>
      </c>
      <c r="AR115">
        <f>IF(Setup!$B$18="",0,IF(Q115="",0,IF(ISNUMBER(Q115),Q115,1)))</f>
        <v/>
      </c>
      <c r="AS115">
        <f>IF(Setup!$B$19="",0,IF(R115="",0,IF(ISNUMBER(R115),R115,1)))</f>
        <v/>
      </c>
      <c r="AT115">
        <f>IF(Setup!$B$20="",0,IF(S115="",0,IF(ISNUMBER(S115),S115,1)))</f>
        <v/>
      </c>
    </row>
    <row r="116">
      <c r="A116" s="1" t="n"/>
      <c r="B116" s="24" t="n"/>
      <c r="C116" s="25" t="n"/>
      <c r="D116" s="25" t="n"/>
      <c r="E116" s="26" t="n"/>
      <c r="F116" s="27" t="n"/>
      <c r="G116" s="17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9">
        <f>IF(N(E116)=0,"",E116*IF(F116="",1,IFERROR(INDEX(Setup!$E$9:$E$18,MATCH(F116,Setup!$D$9:$D$18,0)),0)))</f>
        <v/>
      </c>
      <c r="U116" s="30">
        <f>IF(T116="","",IF(V116=0,"Everyone",IF(COUNTIF(AI116:AT116,"&gt;0")=COUNTIF(Setup!$B$9:$B$20,"?*"),"Everyone",COUNTIF(AI116:AT116,"&gt;0")&amp;IF(COUNTIF(AI116:AT116,"&gt;0")=1," person"," people"))))</f>
        <v/>
      </c>
      <c r="V116" s="1">
        <f>SUM(AI116:AT116)</f>
        <v/>
      </c>
      <c r="W116">
        <f>IF(OR(T116="",Setup!$B$9=""),0,IF(V116=0,T116/COUNTIF(Setup!$B$9:$B$20,"?*"),T116*AI116/V116))</f>
        <v/>
      </c>
      <c r="X116">
        <f>IF(OR(T116="",Setup!$B$10=""),0,IF(V116=0,T116/COUNTIF(Setup!$B$9:$B$20,"?*"),T116*AJ116/V116))</f>
        <v/>
      </c>
      <c r="Y116">
        <f>IF(OR(T116="",Setup!$B$11=""),0,IF(V116=0,T116/COUNTIF(Setup!$B$9:$B$20,"?*"),T116*AK116/V116))</f>
        <v/>
      </c>
      <c r="Z116">
        <f>IF(OR(T116="",Setup!$B$12=""),0,IF(V116=0,T116/COUNTIF(Setup!$B$9:$B$20,"?*"),T116*AL116/V116))</f>
        <v/>
      </c>
      <c r="AA116">
        <f>IF(OR(T116="",Setup!$B$13=""),0,IF(V116=0,T116/COUNTIF(Setup!$B$9:$B$20,"?*"),T116*AM116/V116))</f>
        <v/>
      </c>
      <c r="AB116">
        <f>IF(OR(T116="",Setup!$B$14=""),0,IF(V116=0,T116/COUNTIF(Setup!$B$9:$B$20,"?*"),T116*AN116/V116))</f>
        <v/>
      </c>
      <c r="AC116">
        <f>IF(OR(T116="",Setup!$B$15=""),0,IF(V116=0,T116/COUNTIF(Setup!$B$9:$B$20,"?*"),T116*AO116/V116))</f>
        <v/>
      </c>
      <c r="AD116">
        <f>IF(OR(T116="",Setup!$B$16=""),0,IF(V116=0,T116/COUNTIF(Setup!$B$9:$B$20,"?*"),T116*AP116/V116))</f>
        <v/>
      </c>
      <c r="AE116">
        <f>IF(OR(T116="",Setup!$B$17=""),0,IF(V116=0,T116/COUNTIF(Setup!$B$9:$B$20,"?*"),T116*AQ116/V116))</f>
        <v/>
      </c>
      <c r="AF116">
        <f>IF(OR(T116="",Setup!$B$18=""),0,IF(V116=0,T116/COUNTIF(Setup!$B$9:$B$20,"?*"),T116*AR116/V116))</f>
        <v/>
      </c>
      <c r="AG116">
        <f>IF(OR(T116="",Setup!$B$19=""),0,IF(V116=0,T116/COUNTIF(Setup!$B$9:$B$20,"?*"),T116*AS116/V116))</f>
        <v/>
      </c>
      <c r="AH116">
        <f>IF(OR(T116="",Setup!$B$20=""),0,IF(V116=0,T116/COUNTIF(Setup!$B$9:$B$20,"?*"),T116*AT116/V116))</f>
        <v/>
      </c>
      <c r="AI116">
        <f>IF(Setup!$B$9="",0,IF(H116="",0,IF(ISNUMBER(H116),H116,1)))</f>
        <v/>
      </c>
      <c r="AJ116">
        <f>IF(Setup!$B$10="",0,IF(I116="",0,IF(ISNUMBER(I116),I116,1)))</f>
        <v/>
      </c>
      <c r="AK116">
        <f>IF(Setup!$B$11="",0,IF(J116="",0,IF(ISNUMBER(J116),J116,1)))</f>
        <v/>
      </c>
      <c r="AL116">
        <f>IF(Setup!$B$12="",0,IF(K116="",0,IF(ISNUMBER(K116),K116,1)))</f>
        <v/>
      </c>
      <c r="AM116">
        <f>IF(Setup!$B$13="",0,IF(L116="",0,IF(ISNUMBER(L116),L116,1)))</f>
        <v/>
      </c>
      <c r="AN116">
        <f>IF(Setup!$B$14="",0,IF(M116="",0,IF(ISNUMBER(M116),M116,1)))</f>
        <v/>
      </c>
      <c r="AO116">
        <f>IF(Setup!$B$15="",0,IF(N116="",0,IF(ISNUMBER(N116),N116,1)))</f>
        <v/>
      </c>
      <c r="AP116">
        <f>IF(Setup!$B$16="",0,IF(O116="",0,IF(ISNUMBER(O116),O116,1)))</f>
        <v/>
      </c>
      <c r="AQ116">
        <f>IF(Setup!$B$17="",0,IF(P116="",0,IF(ISNUMBER(P116),P116,1)))</f>
        <v/>
      </c>
      <c r="AR116">
        <f>IF(Setup!$B$18="",0,IF(Q116="",0,IF(ISNUMBER(Q116),Q116,1)))</f>
        <v/>
      </c>
      <c r="AS116">
        <f>IF(Setup!$B$19="",0,IF(R116="",0,IF(ISNUMBER(R116),R116,1)))</f>
        <v/>
      </c>
      <c r="AT116">
        <f>IF(Setup!$B$20="",0,IF(S116="",0,IF(ISNUMBER(S116),S116,1)))</f>
        <v/>
      </c>
    </row>
    <row r="117">
      <c r="A117" s="1" t="n"/>
      <c r="B117" s="24" t="n"/>
      <c r="C117" s="25" t="n"/>
      <c r="D117" s="25" t="n"/>
      <c r="E117" s="26" t="n"/>
      <c r="F117" s="27" t="n"/>
      <c r="G117" s="17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9">
        <f>IF(N(E117)=0,"",E117*IF(F117="",1,IFERROR(INDEX(Setup!$E$9:$E$18,MATCH(F117,Setup!$D$9:$D$18,0)),0)))</f>
        <v/>
      </c>
      <c r="U117" s="30">
        <f>IF(T117="","",IF(V117=0,"Everyone",IF(COUNTIF(AI117:AT117,"&gt;0")=COUNTIF(Setup!$B$9:$B$20,"?*"),"Everyone",COUNTIF(AI117:AT117,"&gt;0")&amp;IF(COUNTIF(AI117:AT117,"&gt;0")=1," person"," people"))))</f>
        <v/>
      </c>
      <c r="V117" s="1">
        <f>SUM(AI117:AT117)</f>
        <v/>
      </c>
      <c r="W117">
        <f>IF(OR(T117="",Setup!$B$9=""),0,IF(V117=0,T117/COUNTIF(Setup!$B$9:$B$20,"?*"),T117*AI117/V117))</f>
        <v/>
      </c>
      <c r="X117">
        <f>IF(OR(T117="",Setup!$B$10=""),0,IF(V117=0,T117/COUNTIF(Setup!$B$9:$B$20,"?*"),T117*AJ117/V117))</f>
        <v/>
      </c>
      <c r="Y117">
        <f>IF(OR(T117="",Setup!$B$11=""),0,IF(V117=0,T117/COUNTIF(Setup!$B$9:$B$20,"?*"),T117*AK117/V117))</f>
        <v/>
      </c>
      <c r="Z117">
        <f>IF(OR(T117="",Setup!$B$12=""),0,IF(V117=0,T117/COUNTIF(Setup!$B$9:$B$20,"?*"),T117*AL117/V117))</f>
        <v/>
      </c>
      <c r="AA117">
        <f>IF(OR(T117="",Setup!$B$13=""),0,IF(V117=0,T117/COUNTIF(Setup!$B$9:$B$20,"?*"),T117*AM117/V117))</f>
        <v/>
      </c>
      <c r="AB117">
        <f>IF(OR(T117="",Setup!$B$14=""),0,IF(V117=0,T117/COUNTIF(Setup!$B$9:$B$20,"?*"),T117*AN117/V117))</f>
        <v/>
      </c>
      <c r="AC117">
        <f>IF(OR(T117="",Setup!$B$15=""),0,IF(V117=0,T117/COUNTIF(Setup!$B$9:$B$20,"?*"),T117*AO117/V117))</f>
        <v/>
      </c>
      <c r="AD117">
        <f>IF(OR(T117="",Setup!$B$16=""),0,IF(V117=0,T117/COUNTIF(Setup!$B$9:$B$20,"?*"),T117*AP117/V117))</f>
        <v/>
      </c>
      <c r="AE117">
        <f>IF(OR(T117="",Setup!$B$17=""),0,IF(V117=0,T117/COUNTIF(Setup!$B$9:$B$20,"?*"),T117*AQ117/V117))</f>
        <v/>
      </c>
      <c r="AF117">
        <f>IF(OR(T117="",Setup!$B$18=""),0,IF(V117=0,T117/COUNTIF(Setup!$B$9:$B$20,"?*"),T117*AR117/V117))</f>
        <v/>
      </c>
      <c r="AG117">
        <f>IF(OR(T117="",Setup!$B$19=""),0,IF(V117=0,T117/COUNTIF(Setup!$B$9:$B$20,"?*"),T117*AS117/V117))</f>
        <v/>
      </c>
      <c r="AH117">
        <f>IF(OR(T117="",Setup!$B$20=""),0,IF(V117=0,T117/COUNTIF(Setup!$B$9:$B$20,"?*"),T117*AT117/V117))</f>
        <v/>
      </c>
      <c r="AI117">
        <f>IF(Setup!$B$9="",0,IF(H117="",0,IF(ISNUMBER(H117),H117,1)))</f>
        <v/>
      </c>
      <c r="AJ117">
        <f>IF(Setup!$B$10="",0,IF(I117="",0,IF(ISNUMBER(I117),I117,1)))</f>
        <v/>
      </c>
      <c r="AK117">
        <f>IF(Setup!$B$11="",0,IF(J117="",0,IF(ISNUMBER(J117),J117,1)))</f>
        <v/>
      </c>
      <c r="AL117">
        <f>IF(Setup!$B$12="",0,IF(K117="",0,IF(ISNUMBER(K117),K117,1)))</f>
        <v/>
      </c>
      <c r="AM117">
        <f>IF(Setup!$B$13="",0,IF(L117="",0,IF(ISNUMBER(L117),L117,1)))</f>
        <v/>
      </c>
      <c r="AN117">
        <f>IF(Setup!$B$14="",0,IF(M117="",0,IF(ISNUMBER(M117),M117,1)))</f>
        <v/>
      </c>
      <c r="AO117">
        <f>IF(Setup!$B$15="",0,IF(N117="",0,IF(ISNUMBER(N117),N117,1)))</f>
        <v/>
      </c>
      <c r="AP117">
        <f>IF(Setup!$B$16="",0,IF(O117="",0,IF(ISNUMBER(O117),O117,1)))</f>
        <v/>
      </c>
      <c r="AQ117">
        <f>IF(Setup!$B$17="",0,IF(P117="",0,IF(ISNUMBER(P117),P117,1)))</f>
        <v/>
      </c>
      <c r="AR117">
        <f>IF(Setup!$B$18="",0,IF(Q117="",0,IF(ISNUMBER(Q117),Q117,1)))</f>
        <v/>
      </c>
      <c r="AS117">
        <f>IF(Setup!$B$19="",0,IF(R117="",0,IF(ISNUMBER(R117),R117,1)))</f>
        <v/>
      </c>
      <c r="AT117">
        <f>IF(Setup!$B$20="",0,IF(S117="",0,IF(ISNUMBER(S117),S117,1)))</f>
        <v/>
      </c>
    </row>
    <row r="118">
      <c r="A118" s="1" t="n"/>
      <c r="B118" s="24" t="n"/>
      <c r="C118" s="25" t="n"/>
      <c r="D118" s="25" t="n"/>
      <c r="E118" s="26" t="n"/>
      <c r="F118" s="27" t="n"/>
      <c r="G118" s="17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28" t="n"/>
      <c r="R118" s="28" t="n"/>
      <c r="S118" s="28" t="n"/>
      <c r="T118" s="29">
        <f>IF(N(E118)=0,"",E118*IF(F118="",1,IFERROR(INDEX(Setup!$E$9:$E$18,MATCH(F118,Setup!$D$9:$D$18,0)),0)))</f>
        <v/>
      </c>
      <c r="U118" s="30">
        <f>IF(T118="","",IF(V118=0,"Everyone",IF(COUNTIF(AI118:AT118,"&gt;0")=COUNTIF(Setup!$B$9:$B$20,"?*"),"Everyone",COUNTIF(AI118:AT118,"&gt;0")&amp;IF(COUNTIF(AI118:AT118,"&gt;0")=1," person"," people"))))</f>
        <v/>
      </c>
      <c r="V118" s="1">
        <f>SUM(AI118:AT118)</f>
        <v/>
      </c>
      <c r="W118">
        <f>IF(OR(T118="",Setup!$B$9=""),0,IF(V118=0,T118/COUNTIF(Setup!$B$9:$B$20,"?*"),T118*AI118/V118))</f>
        <v/>
      </c>
      <c r="X118">
        <f>IF(OR(T118="",Setup!$B$10=""),0,IF(V118=0,T118/COUNTIF(Setup!$B$9:$B$20,"?*"),T118*AJ118/V118))</f>
        <v/>
      </c>
      <c r="Y118">
        <f>IF(OR(T118="",Setup!$B$11=""),0,IF(V118=0,T118/COUNTIF(Setup!$B$9:$B$20,"?*"),T118*AK118/V118))</f>
        <v/>
      </c>
      <c r="Z118">
        <f>IF(OR(T118="",Setup!$B$12=""),0,IF(V118=0,T118/COUNTIF(Setup!$B$9:$B$20,"?*"),T118*AL118/V118))</f>
        <v/>
      </c>
      <c r="AA118">
        <f>IF(OR(T118="",Setup!$B$13=""),0,IF(V118=0,T118/COUNTIF(Setup!$B$9:$B$20,"?*"),T118*AM118/V118))</f>
        <v/>
      </c>
      <c r="AB118">
        <f>IF(OR(T118="",Setup!$B$14=""),0,IF(V118=0,T118/COUNTIF(Setup!$B$9:$B$20,"?*"),T118*AN118/V118))</f>
        <v/>
      </c>
      <c r="AC118">
        <f>IF(OR(T118="",Setup!$B$15=""),0,IF(V118=0,T118/COUNTIF(Setup!$B$9:$B$20,"?*"),T118*AO118/V118))</f>
        <v/>
      </c>
      <c r="AD118">
        <f>IF(OR(T118="",Setup!$B$16=""),0,IF(V118=0,T118/COUNTIF(Setup!$B$9:$B$20,"?*"),T118*AP118/V118))</f>
        <v/>
      </c>
      <c r="AE118">
        <f>IF(OR(T118="",Setup!$B$17=""),0,IF(V118=0,T118/COUNTIF(Setup!$B$9:$B$20,"?*"),T118*AQ118/V118))</f>
        <v/>
      </c>
      <c r="AF118">
        <f>IF(OR(T118="",Setup!$B$18=""),0,IF(V118=0,T118/COUNTIF(Setup!$B$9:$B$20,"?*"),T118*AR118/V118))</f>
        <v/>
      </c>
      <c r="AG118">
        <f>IF(OR(T118="",Setup!$B$19=""),0,IF(V118=0,T118/COUNTIF(Setup!$B$9:$B$20,"?*"),T118*AS118/V118))</f>
        <v/>
      </c>
      <c r="AH118">
        <f>IF(OR(T118="",Setup!$B$20=""),0,IF(V118=0,T118/COUNTIF(Setup!$B$9:$B$20,"?*"),T118*AT118/V118))</f>
        <v/>
      </c>
      <c r="AI118">
        <f>IF(Setup!$B$9="",0,IF(H118="",0,IF(ISNUMBER(H118),H118,1)))</f>
        <v/>
      </c>
      <c r="AJ118">
        <f>IF(Setup!$B$10="",0,IF(I118="",0,IF(ISNUMBER(I118),I118,1)))</f>
        <v/>
      </c>
      <c r="AK118">
        <f>IF(Setup!$B$11="",0,IF(J118="",0,IF(ISNUMBER(J118),J118,1)))</f>
        <v/>
      </c>
      <c r="AL118">
        <f>IF(Setup!$B$12="",0,IF(K118="",0,IF(ISNUMBER(K118),K118,1)))</f>
        <v/>
      </c>
      <c r="AM118">
        <f>IF(Setup!$B$13="",0,IF(L118="",0,IF(ISNUMBER(L118),L118,1)))</f>
        <v/>
      </c>
      <c r="AN118">
        <f>IF(Setup!$B$14="",0,IF(M118="",0,IF(ISNUMBER(M118),M118,1)))</f>
        <v/>
      </c>
      <c r="AO118">
        <f>IF(Setup!$B$15="",0,IF(N118="",0,IF(ISNUMBER(N118),N118,1)))</f>
        <v/>
      </c>
      <c r="AP118">
        <f>IF(Setup!$B$16="",0,IF(O118="",0,IF(ISNUMBER(O118),O118,1)))</f>
        <v/>
      </c>
      <c r="AQ118">
        <f>IF(Setup!$B$17="",0,IF(P118="",0,IF(ISNUMBER(P118),P118,1)))</f>
        <v/>
      </c>
      <c r="AR118">
        <f>IF(Setup!$B$18="",0,IF(Q118="",0,IF(ISNUMBER(Q118),Q118,1)))</f>
        <v/>
      </c>
      <c r="AS118">
        <f>IF(Setup!$B$19="",0,IF(R118="",0,IF(ISNUMBER(R118),R118,1)))</f>
        <v/>
      </c>
      <c r="AT118">
        <f>IF(Setup!$B$20="",0,IF(S118="",0,IF(ISNUMBER(S118),S118,1)))</f>
        <v/>
      </c>
    </row>
    <row r="119">
      <c r="A119" s="1" t="n"/>
      <c r="B119" s="24" t="n"/>
      <c r="C119" s="25" t="n"/>
      <c r="D119" s="25" t="n"/>
      <c r="E119" s="26" t="n"/>
      <c r="F119" s="27" t="n"/>
      <c r="G119" s="17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9">
        <f>IF(N(E119)=0,"",E119*IF(F119="",1,IFERROR(INDEX(Setup!$E$9:$E$18,MATCH(F119,Setup!$D$9:$D$18,0)),0)))</f>
        <v/>
      </c>
      <c r="U119" s="30">
        <f>IF(T119="","",IF(V119=0,"Everyone",IF(COUNTIF(AI119:AT119,"&gt;0")=COUNTIF(Setup!$B$9:$B$20,"?*"),"Everyone",COUNTIF(AI119:AT119,"&gt;0")&amp;IF(COUNTIF(AI119:AT119,"&gt;0")=1," person"," people"))))</f>
        <v/>
      </c>
      <c r="V119" s="1">
        <f>SUM(AI119:AT119)</f>
        <v/>
      </c>
      <c r="W119">
        <f>IF(OR(T119="",Setup!$B$9=""),0,IF(V119=0,T119/COUNTIF(Setup!$B$9:$B$20,"?*"),T119*AI119/V119))</f>
        <v/>
      </c>
      <c r="X119">
        <f>IF(OR(T119="",Setup!$B$10=""),0,IF(V119=0,T119/COUNTIF(Setup!$B$9:$B$20,"?*"),T119*AJ119/V119))</f>
        <v/>
      </c>
      <c r="Y119">
        <f>IF(OR(T119="",Setup!$B$11=""),0,IF(V119=0,T119/COUNTIF(Setup!$B$9:$B$20,"?*"),T119*AK119/V119))</f>
        <v/>
      </c>
      <c r="Z119">
        <f>IF(OR(T119="",Setup!$B$12=""),0,IF(V119=0,T119/COUNTIF(Setup!$B$9:$B$20,"?*"),T119*AL119/V119))</f>
        <v/>
      </c>
      <c r="AA119">
        <f>IF(OR(T119="",Setup!$B$13=""),0,IF(V119=0,T119/COUNTIF(Setup!$B$9:$B$20,"?*"),T119*AM119/V119))</f>
        <v/>
      </c>
      <c r="AB119">
        <f>IF(OR(T119="",Setup!$B$14=""),0,IF(V119=0,T119/COUNTIF(Setup!$B$9:$B$20,"?*"),T119*AN119/V119))</f>
        <v/>
      </c>
      <c r="AC119">
        <f>IF(OR(T119="",Setup!$B$15=""),0,IF(V119=0,T119/COUNTIF(Setup!$B$9:$B$20,"?*"),T119*AO119/V119))</f>
        <v/>
      </c>
      <c r="AD119">
        <f>IF(OR(T119="",Setup!$B$16=""),0,IF(V119=0,T119/COUNTIF(Setup!$B$9:$B$20,"?*"),T119*AP119/V119))</f>
        <v/>
      </c>
      <c r="AE119">
        <f>IF(OR(T119="",Setup!$B$17=""),0,IF(V119=0,T119/COUNTIF(Setup!$B$9:$B$20,"?*"),T119*AQ119/V119))</f>
        <v/>
      </c>
      <c r="AF119">
        <f>IF(OR(T119="",Setup!$B$18=""),0,IF(V119=0,T119/COUNTIF(Setup!$B$9:$B$20,"?*"),T119*AR119/V119))</f>
        <v/>
      </c>
      <c r="AG119">
        <f>IF(OR(T119="",Setup!$B$19=""),0,IF(V119=0,T119/COUNTIF(Setup!$B$9:$B$20,"?*"),T119*AS119/V119))</f>
        <v/>
      </c>
      <c r="AH119">
        <f>IF(OR(T119="",Setup!$B$20=""),0,IF(V119=0,T119/COUNTIF(Setup!$B$9:$B$20,"?*"),T119*AT119/V119))</f>
        <v/>
      </c>
      <c r="AI119">
        <f>IF(Setup!$B$9="",0,IF(H119="",0,IF(ISNUMBER(H119),H119,1)))</f>
        <v/>
      </c>
      <c r="AJ119">
        <f>IF(Setup!$B$10="",0,IF(I119="",0,IF(ISNUMBER(I119),I119,1)))</f>
        <v/>
      </c>
      <c r="AK119">
        <f>IF(Setup!$B$11="",0,IF(J119="",0,IF(ISNUMBER(J119),J119,1)))</f>
        <v/>
      </c>
      <c r="AL119">
        <f>IF(Setup!$B$12="",0,IF(K119="",0,IF(ISNUMBER(K119),K119,1)))</f>
        <v/>
      </c>
      <c r="AM119">
        <f>IF(Setup!$B$13="",0,IF(L119="",0,IF(ISNUMBER(L119),L119,1)))</f>
        <v/>
      </c>
      <c r="AN119">
        <f>IF(Setup!$B$14="",0,IF(M119="",0,IF(ISNUMBER(M119),M119,1)))</f>
        <v/>
      </c>
      <c r="AO119">
        <f>IF(Setup!$B$15="",0,IF(N119="",0,IF(ISNUMBER(N119),N119,1)))</f>
        <v/>
      </c>
      <c r="AP119">
        <f>IF(Setup!$B$16="",0,IF(O119="",0,IF(ISNUMBER(O119),O119,1)))</f>
        <v/>
      </c>
      <c r="AQ119">
        <f>IF(Setup!$B$17="",0,IF(P119="",0,IF(ISNUMBER(P119),P119,1)))</f>
        <v/>
      </c>
      <c r="AR119">
        <f>IF(Setup!$B$18="",0,IF(Q119="",0,IF(ISNUMBER(Q119),Q119,1)))</f>
        <v/>
      </c>
      <c r="AS119">
        <f>IF(Setup!$B$19="",0,IF(R119="",0,IF(ISNUMBER(R119),R119,1)))</f>
        <v/>
      </c>
      <c r="AT119">
        <f>IF(Setup!$B$20="",0,IF(S119="",0,IF(ISNUMBER(S119),S119,1)))</f>
        <v/>
      </c>
    </row>
    <row r="120">
      <c r="A120" s="1" t="n"/>
      <c r="B120" s="24" t="n"/>
      <c r="C120" s="25" t="n"/>
      <c r="D120" s="25" t="n"/>
      <c r="E120" s="26" t="n"/>
      <c r="F120" s="27" t="n"/>
      <c r="G120" s="17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9">
        <f>IF(N(E120)=0,"",E120*IF(F120="",1,IFERROR(INDEX(Setup!$E$9:$E$18,MATCH(F120,Setup!$D$9:$D$18,0)),0)))</f>
        <v/>
      </c>
      <c r="U120" s="30">
        <f>IF(T120="","",IF(V120=0,"Everyone",IF(COUNTIF(AI120:AT120,"&gt;0")=COUNTIF(Setup!$B$9:$B$20,"?*"),"Everyone",COUNTIF(AI120:AT120,"&gt;0")&amp;IF(COUNTIF(AI120:AT120,"&gt;0")=1," person"," people"))))</f>
        <v/>
      </c>
      <c r="V120" s="1">
        <f>SUM(AI120:AT120)</f>
        <v/>
      </c>
      <c r="W120">
        <f>IF(OR(T120="",Setup!$B$9=""),0,IF(V120=0,T120/COUNTIF(Setup!$B$9:$B$20,"?*"),T120*AI120/V120))</f>
        <v/>
      </c>
      <c r="X120">
        <f>IF(OR(T120="",Setup!$B$10=""),0,IF(V120=0,T120/COUNTIF(Setup!$B$9:$B$20,"?*"),T120*AJ120/V120))</f>
        <v/>
      </c>
      <c r="Y120">
        <f>IF(OR(T120="",Setup!$B$11=""),0,IF(V120=0,T120/COUNTIF(Setup!$B$9:$B$20,"?*"),T120*AK120/V120))</f>
        <v/>
      </c>
      <c r="Z120">
        <f>IF(OR(T120="",Setup!$B$12=""),0,IF(V120=0,T120/COUNTIF(Setup!$B$9:$B$20,"?*"),T120*AL120/V120))</f>
        <v/>
      </c>
      <c r="AA120">
        <f>IF(OR(T120="",Setup!$B$13=""),0,IF(V120=0,T120/COUNTIF(Setup!$B$9:$B$20,"?*"),T120*AM120/V120))</f>
        <v/>
      </c>
      <c r="AB120">
        <f>IF(OR(T120="",Setup!$B$14=""),0,IF(V120=0,T120/COUNTIF(Setup!$B$9:$B$20,"?*"),T120*AN120/V120))</f>
        <v/>
      </c>
      <c r="AC120">
        <f>IF(OR(T120="",Setup!$B$15=""),0,IF(V120=0,T120/COUNTIF(Setup!$B$9:$B$20,"?*"),T120*AO120/V120))</f>
        <v/>
      </c>
      <c r="AD120">
        <f>IF(OR(T120="",Setup!$B$16=""),0,IF(V120=0,T120/COUNTIF(Setup!$B$9:$B$20,"?*"),T120*AP120/V120))</f>
        <v/>
      </c>
      <c r="AE120">
        <f>IF(OR(T120="",Setup!$B$17=""),0,IF(V120=0,T120/COUNTIF(Setup!$B$9:$B$20,"?*"),T120*AQ120/V120))</f>
        <v/>
      </c>
      <c r="AF120">
        <f>IF(OR(T120="",Setup!$B$18=""),0,IF(V120=0,T120/COUNTIF(Setup!$B$9:$B$20,"?*"),T120*AR120/V120))</f>
        <v/>
      </c>
      <c r="AG120">
        <f>IF(OR(T120="",Setup!$B$19=""),0,IF(V120=0,T120/COUNTIF(Setup!$B$9:$B$20,"?*"),T120*AS120/V120))</f>
        <v/>
      </c>
      <c r="AH120">
        <f>IF(OR(T120="",Setup!$B$20=""),0,IF(V120=0,T120/COUNTIF(Setup!$B$9:$B$20,"?*"),T120*AT120/V120))</f>
        <v/>
      </c>
      <c r="AI120">
        <f>IF(Setup!$B$9="",0,IF(H120="",0,IF(ISNUMBER(H120),H120,1)))</f>
        <v/>
      </c>
      <c r="AJ120">
        <f>IF(Setup!$B$10="",0,IF(I120="",0,IF(ISNUMBER(I120),I120,1)))</f>
        <v/>
      </c>
      <c r="AK120">
        <f>IF(Setup!$B$11="",0,IF(J120="",0,IF(ISNUMBER(J120),J120,1)))</f>
        <v/>
      </c>
      <c r="AL120">
        <f>IF(Setup!$B$12="",0,IF(K120="",0,IF(ISNUMBER(K120),K120,1)))</f>
        <v/>
      </c>
      <c r="AM120">
        <f>IF(Setup!$B$13="",0,IF(L120="",0,IF(ISNUMBER(L120),L120,1)))</f>
        <v/>
      </c>
      <c r="AN120">
        <f>IF(Setup!$B$14="",0,IF(M120="",0,IF(ISNUMBER(M120),M120,1)))</f>
        <v/>
      </c>
      <c r="AO120">
        <f>IF(Setup!$B$15="",0,IF(N120="",0,IF(ISNUMBER(N120),N120,1)))</f>
        <v/>
      </c>
      <c r="AP120">
        <f>IF(Setup!$B$16="",0,IF(O120="",0,IF(ISNUMBER(O120),O120,1)))</f>
        <v/>
      </c>
      <c r="AQ120">
        <f>IF(Setup!$B$17="",0,IF(P120="",0,IF(ISNUMBER(P120),P120,1)))</f>
        <v/>
      </c>
      <c r="AR120">
        <f>IF(Setup!$B$18="",0,IF(Q120="",0,IF(ISNUMBER(Q120),Q120,1)))</f>
        <v/>
      </c>
      <c r="AS120">
        <f>IF(Setup!$B$19="",0,IF(R120="",0,IF(ISNUMBER(R120),R120,1)))</f>
        <v/>
      </c>
      <c r="AT120">
        <f>IF(Setup!$B$20="",0,IF(S120="",0,IF(ISNUMBER(S120),S120,1)))</f>
        <v/>
      </c>
    </row>
    <row r="121">
      <c r="A121" s="1" t="n"/>
      <c r="B121" s="24" t="n"/>
      <c r="C121" s="25" t="n"/>
      <c r="D121" s="25" t="n"/>
      <c r="E121" s="26" t="n"/>
      <c r="F121" s="27" t="n"/>
      <c r="G121" s="17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9">
        <f>IF(N(E121)=0,"",E121*IF(F121="",1,IFERROR(INDEX(Setup!$E$9:$E$18,MATCH(F121,Setup!$D$9:$D$18,0)),0)))</f>
        <v/>
      </c>
      <c r="U121" s="30">
        <f>IF(T121="","",IF(V121=0,"Everyone",IF(COUNTIF(AI121:AT121,"&gt;0")=COUNTIF(Setup!$B$9:$B$20,"?*"),"Everyone",COUNTIF(AI121:AT121,"&gt;0")&amp;IF(COUNTIF(AI121:AT121,"&gt;0")=1," person"," people"))))</f>
        <v/>
      </c>
      <c r="V121" s="1">
        <f>SUM(AI121:AT121)</f>
        <v/>
      </c>
      <c r="W121">
        <f>IF(OR(T121="",Setup!$B$9=""),0,IF(V121=0,T121/COUNTIF(Setup!$B$9:$B$20,"?*"),T121*AI121/V121))</f>
        <v/>
      </c>
      <c r="X121">
        <f>IF(OR(T121="",Setup!$B$10=""),0,IF(V121=0,T121/COUNTIF(Setup!$B$9:$B$20,"?*"),T121*AJ121/V121))</f>
        <v/>
      </c>
      <c r="Y121">
        <f>IF(OR(T121="",Setup!$B$11=""),0,IF(V121=0,T121/COUNTIF(Setup!$B$9:$B$20,"?*"),T121*AK121/V121))</f>
        <v/>
      </c>
      <c r="Z121">
        <f>IF(OR(T121="",Setup!$B$12=""),0,IF(V121=0,T121/COUNTIF(Setup!$B$9:$B$20,"?*"),T121*AL121/V121))</f>
        <v/>
      </c>
      <c r="AA121">
        <f>IF(OR(T121="",Setup!$B$13=""),0,IF(V121=0,T121/COUNTIF(Setup!$B$9:$B$20,"?*"),T121*AM121/V121))</f>
        <v/>
      </c>
      <c r="AB121">
        <f>IF(OR(T121="",Setup!$B$14=""),0,IF(V121=0,T121/COUNTIF(Setup!$B$9:$B$20,"?*"),T121*AN121/V121))</f>
        <v/>
      </c>
      <c r="AC121">
        <f>IF(OR(T121="",Setup!$B$15=""),0,IF(V121=0,T121/COUNTIF(Setup!$B$9:$B$20,"?*"),T121*AO121/V121))</f>
        <v/>
      </c>
      <c r="AD121">
        <f>IF(OR(T121="",Setup!$B$16=""),0,IF(V121=0,T121/COUNTIF(Setup!$B$9:$B$20,"?*"),T121*AP121/V121))</f>
        <v/>
      </c>
      <c r="AE121">
        <f>IF(OR(T121="",Setup!$B$17=""),0,IF(V121=0,T121/COUNTIF(Setup!$B$9:$B$20,"?*"),T121*AQ121/V121))</f>
        <v/>
      </c>
      <c r="AF121">
        <f>IF(OR(T121="",Setup!$B$18=""),0,IF(V121=0,T121/COUNTIF(Setup!$B$9:$B$20,"?*"),T121*AR121/V121))</f>
        <v/>
      </c>
      <c r="AG121">
        <f>IF(OR(T121="",Setup!$B$19=""),0,IF(V121=0,T121/COUNTIF(Setup!$B$9:$B$20,"?*"),T121*AS121/V121))</f>
        <v/>
      </c>
      <c r="AH121">
        <f>IF(OR(T121="",Setup!$B$20=""),0,IF(V121=0,T121/COUNTIF(Setup!$B$9:$B$20,"?*"),T121*AT121/V121))</f>
        <v/>
      </c>
      <c r="AI121">
        <f>IF(Setup!$B$9="",0,IF(H121="",0,IF(ISNUMBER(H121),H121,1)))</f>
        <v/>
      </c>
      <c r="AJ121">
        <f>IF(Setup!$B$10="",0,IF(I121="",0,IF(ISNUMBER(I121),I121,1)))</f>
        <v/>
      </c>
      <c r="AK121">
        <f>IF(Setup!$B$11="",0,IF(J121="",0,IF(ISNUMBER(J121),J121,1)))</f>
        <v/>
      </c>
      <c r="AL121">
        <f>IF(Setup!$B$12="",0,IF(K121="",0,IF(ISNUMBER(K121),K121,1)))</f>
        <v/>
      </c>
      <c r="AM121">
        <f>IF(Setup!$B$13="",0,IF(L121="",0,IF(ISNUMBER(L121),L121,1)))</f>
        <v/>
      </c>
      <c r="AN121">
        <f>IF(Setup!$B$14="",0,IF(M121="",0,IF(ISNUMBER(M121),M121,1)))</f>
        <v/>
      </c>
      <c r="AO121">
        <f>IF(Setup!$B$15="",0,IF(N121="",0,IF(ISNUMBER(N121),N121,1)))</f>
        <v/>
      </c>
      <c r="AP121">
        <f>IF(Setup!$B$16="",0,IF(O121="",0,IF(ISNUMBER(O121),O121,1)))</f>
        <v/>
      </c>
      <c r="AQ121">
        <f>IF(Setup!$B$17="",0,IF(P121="",0,IF(ISNUMBER(P121),P121,1)))</f>
        <v/>
      </c>
      <c r="AR121">
        <f>IF(Setup!$B$18="",0,IF(Q121="",0,IF(ISNUMBER(Q121),Q121,1)))</f>
        <v/>
      </c>
      <c r="AS121">
        <f>IF(Setup!$B$19="",0,IF(R121="",0,IF(ISNUMBER(R121),R121,1)))</f>
        <v/>
      </c>
      <c r="AT121">
        <f>IF(Setup!$B$20="",0,IF(S121="",0,IF(ISNUMBER(S121),S121,1)))</f>
        <v/>
      </c>
    </row>
    <row r="122">
      <c r="A122" s="1" t="n"/>
      <c r="B122" s="24" t="n"/>
      <c r="C122" s="25" t="n"/>
      <c r="D122" s="25" t="n"/>
      <c r="E122" s="26" t="n"/>
      <c r="F122" s="27" t="n"/>
      <c r="G122" s="17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28" t="n"/>
      <c r="R122" s="28" t="n"/>
      <c r="S122" s="28" t="n"/>
      <c r="T122" s="29">
        <f>IF(N(E122)=0,"",E122*IF(F122="",1,IFERROR(INDEX(Setup!$E$9:$E$18,MATCH(F122,Setup!$D$9:$D$18,0)),0)))</f>
        <v/>
      </c>
      <c r="U122" s="30">
        <f>IF(T122="","",IF(V122=0,"Everyone",IF(COUNTIF(AI122:AT122,"&gt;0")=COUNTIF(Setup!$B$9:$B$20,"?*"),"Everyone",COUNTIF(AI122:AT122,"&gt;0")&amp;IF(COUNTIF(AI122:AT122,"&gt;0")=1," person"," people"))))</f>
        <v/>
      </c>
      <c r="V122" s="1">
        <f>SUM(AI122:AT122)</f>
        <v/>
      </c>
      <c r="W122">
        <f>IF(OR(T122="",Setup!$B$9=""),0,IF(V122=0,T122/COUNTIF(Setup!$B$9:$B$20,"?*"),T122*AI122/V122))</f>
        <v/>
      </c>
      <c r="X122">
        <f>IF(OR(T122="",Setup!$B$10=""),0,IF(V122=0,T122/COUNTIF(Setup!$B$9:$B$20,"?*"),T122*AJ122/V122))</f>
        <v/>
      </c>
      <c r="Y122">
        <f>IF(OR(T122="",Setup!$B$11=""),0,IF(V122=0,T122/COUNTIF(Setup!$B$9:$B$20,"?*"),T122*AK122/V122))</f>
        <v/>
      </c>
      <c r="Z122">
        <f>IF(OR(T122="",Setup!$B$12=""),0,IF(V122=0,T122/COUNTIF(Setup!$B$9:$B$20,"?*"),T122*AL122/V122))</f>
        <v/>
      </c>
      <c r="AA122">
        <f>IF(OR(T122="",Setup!$B$13=""),0,IF(V122=0,T122/COUNTIF(Setup!$B$9:$B$20,"?*"),T122*AM122/V122))</f>
        <v/>
      </c>
      <c r="AB122">
        <f>IF(OR(T122="",Setup!$B$14=""),0,IF(V122=0,T122/COUNTIF(Setup!$B$9:$B$20,"?*"),T122*AN122/V122))</f>
        <v/>
      </c>
      <c r="AC122">
        <f>IF(OR(T122="",Setup!$B$15=""),0,IF(V122=0,T122/COUNTIF(Setup!$B$9:$B$20,"?*"),T122*AO122/V122))</f>
        <v/>
      </c>
      <c r="AD122">
        <f>IF(OR(T122="",Setup!$B$16=""),0,IF(V122=0,T122/COUNTIF(Setup!$B$9:$B$20,"?*"),T122*AP122/V122))</f>
        <v/>
      </c>
      <c r="AE122">
        <f>IF(OR(T122="",Setup!$B$17=""),0,IF(V122=0,T122/COUNTIF(Setup!$B$9:$B$20,"?*"),T122*AQ122/V122))</f>
        <v/>
      </c>
      <c r="AF122">
        <f>IF(OR(T122="",Setup!$B$18=""),0,IF(V122=0,T122/COUNTIF(Setup!$B$9:$B$20,"?*"),T122*AR122/V122))</f>
        <v/>
      </c>
      <c r="AG122">
        <f>IF(OR(T122="",Setup!$B$19=""),0,IF(V122=0,T122/COUNTIF(Setup!$B$9:$B$20,"?*"),T122*AS122/V122))</f>
        <v/>
      </c>
      <c r="AH122">
        <f>IF(OR(T122="",Setup!$B$20=""),0,IF(V122=0,T122/COUNTIF(Setup!$B$9:$B$20,"?*"),T122*AT122/V122))</f>
        <v/>
      </c>
      <c r="AI122">
        <f>IF(Setup!$B$9="",0,IF(H122="",0,IF(ISNUMBER(H122),H122,1)))</f>
        <v/>
      </c>
      <c r="AJ122">
        <f>IF(Setup!$B$10="",0,IF(I122="",0,IF(ISNUMBER(I122),I122,1)))</f>
        <v/>
      </c>
      <c r="AK122">
        <f>IF(Setup!$B$11="",0,IF(J122="",0,IF(ISNUMBER(J122),J122,1)))</f>
        <v/>
      </c>
      <c r="AL122">
        <f>IF(Setup!$B$12="",0,IF(K122="",0,IF(ISNUMBER(K122),K122,1)))</f>
        <v/>
      </c>
      <c r="AM122">
        <f>IF(Setup!$B$13="",0,IF(L122="",0,IF(ISNUMBER(L122),L122,1)))</f>
        <v/>
      </c>
      <c r="AN122">
        <f>IF(Setup!$B$14="",0,IF(M122="",0,IF(ISNUMBER(M122),M122,1)))</f>
        <v/>
      </c>
      <c r="AO122">
        <f>IF(Setup!$B$15="",0,IF(N122="",0,IF(ISNUMBER(N122),N122,1)))</f>
        <v/>
      </c>
      <c r="AP122">
        <f>IF(Setup!$B$16="",0,IF(O122="",0,IF(ISNUMBER(O122),O122,1)))</f>
        <v/>
      </c>
      <c r="AQ122">
        <f>IF(Setup!$B$17="",0,IF(P122="",0,IF(ISNUMBER(P122),P122,1)))</f>
        <v/>
      </c>
      <c r="AR122">
        <f>IF(Setup!$B$18="",0,IF(Q122="",0,IF(ISNUMBER(Q122),Q122,1)))</f>
        <v/>
      </c>
      <c r="AS122">
        <f>IF(Setup!$B$19="",0,IF(R122="",0,IF(ISNUMBER(R122),R122,1)))</f>
        <v/>
      </c>
      <c r="AT122">
        <f>IF(Setup!$B$20="",0,IF(S122="",0,IF(ISNUMBER(S122),S122,1)))</f>
        <v/>
      </c>
    </row>
    <row r="123">
      <c r="A123" s="1" t="n"/>
      <c r="B123" s="24" t="n"/>
      <c r="C123" s="25" t="n"/>
      <c r="D123" s="25" t="n"/>
      <c r="E123" s="26" t="n"/>
      <c r="F123" s="27" t="n"/>
      <c r="G123" s="17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9">
        <f>IF(N(E123)=0,"",E123*IF(F123="",1,IFERROR(INDEX(Setup!$E$9:$E$18,MATCH(F123,Setup!$D$9:$D$18,0)),0)))</f>
        <v/>
      </c>
      <c r="U123" s="30">
        <f>IF(T123="","",IF(V123=0,"Everyone",IF(COUNTIF(AI123:AT123,"&gt;0")=COUNTIF(Setup!$B$9:$B$20,"?*"),"Everyone",COUNTIF(AI123:AT123,"&gt;0")&amp;IF(COUNTIF(AI123:AT123,"&gt;0")=1," person"," people"))))</f>
        <v/>
      </c>
      <c r="V123" s="1">
        <f>SUM(AI123:AT123)</f>
        <v/>
      </c>
      <c r="W123">
        <f>IF(OR(T123="",Setup!$B$9=""),0,IF(V123=0,T123/COUNTIF(Setup!$B$9:$B$20,"?*"),T123*AI123/V123))</f>
        <v/>
      </c>
      <c r="X123">
        <f>IF(OR(T123="",Setup!$B$10=""),0,IF(V123=0,T123/COUNTIF(Setup!$B$9:$B$20,"?*"),T123*AJ123/V123))</f>
        <v/>
      </c>
      <c r="Y123">
        <f>IF(OR(T123="",Setup!$B$11=""),0,IF(V123=0,T123/COUNTIF(Setup!$B$9:$B$20,"?*"),T123*AK123/V123))</f>
        <v/>
      </c>
      <c r="Z123">
        <f>IF(OR(T123="",Setup!$B$12=""),0,IF(V123=0,T123/COUNTIF(Setup!$B$9:$B$20,"?*"),T123*AL123/V123))</f>
        <v/>
      </c>
      <c r="AA123">
        <f>IF(OR(T123="",Setup!$B$13=""),0,IF(V123=0,T123/COUNTIF(Setup!$B$9:$B$20,"?*"),T123*AM123/V123))</f>
        <v/>
      </c>
      <c r="AB123">
        <f>IF(OR(T123="",Setup!$B$14=""),0,IF(V123=0,T123/COUNTIF(Setup!$B$9:$B$20,"?*"),T123*AN123/V123))</f>
        <v/>
      </c>
      <c r="AC123">
        <f>IF(OR(T123="",Setup!$B$15=""),0,IF(V123=0,T123/COUNTIF(Setup!$B$9:$B$20,"?*"),T123*AO123/V123))</f>
        <v/>
      </c>
      <c r="AD123">
        <f>IF(OR(T123="",Setup!$B$16=""),0,IF(V123=0,T123/COUNTIF(Setup!$B$9:$B$20,"?*"),T123*AP123/V123))</f>
        <v/>
      </c>
      <c r="AE123">
        <f>IF(OR(T123="",Setup!$B$17=""),0,IF(V123=0,T123/COUNTIF(Setup!$B$9:$B$20,"?*"),T123*AQ123/V123))</f>
        <v/>
      </c>
      <c r="AF123">
        <f>IF(OR(T123="",Setup!$B$18=""),0,IF(V123=0,T123/COUNTIF(Setup!$B$9:$B$20,"?*"),T123*AR123/V123))</f>
        <v/>
      </c>
      <c r="AG123">
        <f>IF(OR(T123="",Setup!$B$19=""),0,IF(V123=0,T123/COUNTIF(Setup!$B$9:$B$20,"?*"),T123*AS123/V123))</f>
        <v/>
      </c>
      <c r="AH123">
        <f>IF(OR(T123="",Setup!$B$20=""),0,IF(V123=0,T123/COUNTIF(Setup!$B$9:$B$20,"?*"),T123*AT123/V123))</f>
        <v/>
      </c>
      <c r="AI123">
        <f>IF(Setup!$B$9="",0,IF(H123="",0,IF(ISNUMBER(H123),H123,1)))</f>
        <v/>
      </c>
      <c r="AJ123">
        <f>IF(Setup!$B$10="",0,IF(I123="",0,IF(ISNUMBER(I123),I123,1)))</f>
        <v/>
      </c>
      <c r="AK123">
        <f>IF(Setup!$B$11="",0,IF(J123="",0,IF(ISNUMBER(J123),J123,1)))</f>
        <v/>
      </c>
      <c r="AL123">
        <f>IF(Setup!$B$12="",0,IF(K123="",0,IF(ISNUMBER(K123),K123,1)))</f>
        <v/>
      </c>
      <c r="AM123">
        <f>IF(Setup!$B$13="",0,IF(L123="",0,IF(ISNUMBER(L123),L123,1)))</f>
        <v/>
      </c>
      <c r="AN123">
        <f>IF(Setup!$B$14="",0,IF(M123="",0,IF(ISNUMBER(M123),M123,1)))</f>
        <v/>
      </c>
      <c r="AO123">
        <f>IF(Setup!$B$15="",0,IF(N123="",0,IF(ISNUMBER(N123),N123,1)))</f>
        <v/>
      </c>
      <c r="AP123">
        <f>IF(Setup!$B$16="",0,IF(O123="",0,IF(ISNUMBER(O123),O123,1)))</f>
        <v/>
      </c>
      <c r="AQ123">
        <f>IF(Setup!$B$17="",0,IF(P123="",0,IF(ISNUMBER(P123),P123,1)))</f>
        <v/>
      </c>
      <c r="AR123">
        <f>IF(Setup!$B$18="",0,IF(Q123="",0,IF(ISNUMBER(Q123),Q123,1)))</f>
        <v/>
      </c>
      <c r="AS123">
        <f>IF(Setup!$B$19="",0,IF(R123="",0,IF(ISNUMBER(R123),R123,1)))</f>
        <v/>
      </c>
      <c r="AT123">
        <f>IF(Setup!$B$20="",0,IF(S123="",0,IF(ISNUMBER(S123),S123,1)))</f>
        <v/>
      </c>
    </row>
    <row r="124">
      <c r="A124" s="1" t="n"/>
      <c r="B124" s="24" t="n"/>
      <c r="C124" s="25" t="n"/>
      <c r="D124" s="25" t="n"/>
      <c r="E124" s="26" t="n"/>
      <c r="F124" s="27" t="n"/>
      <c r="G124" s="17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28" t="n"/>
      <c r="R124" s="28" t="n"/>
      <c r="S124" s="28" t="n"/>
      <c r="T124" s="29">
        <f>IF(N(E124)=0,"",E124*IF(F124="",1,IFERROR(INDEX(Setup!$E$9:$E$18,MATCH(F124,Setup!$D$9:$D$18,0)),0)))</f>
        <v/>
      </c>
      <c r="U124" s="30">
        <f>IF(T124="","",IF(V124=0,"Everyone",IF(COUNTIF(AI124:AT124,"&gt;0")=COUNTIF(Setup!$B$9:$B$20,"?*"),"Everyone",COUNTIF(AI124:AT124,"&gt;0")&amp;IF(COUNTIF(AI124:AT124,"&gt;0")=1," person"," people"))))</f>
        <v/>
      </c>
      <c r="V124" s="1">
        <f>SUM(AI124:AT124)</f>
        <v/>
      </c>
      <c r="W124">
        <f>IF(OR(T124="",Setup!$B$9=""),0,IF(V124=0,T124/COUNTIF(Setup!$B$9:$B$20,"?*"),T124*AI124/V124))</f>
        <v/>
      </c>
      <c r="X124">
        <f>IF(OR(T124="",Setup!$B$10=""),0,IF(V124=0,T124/COUNTIF(Setup!$B$9:$B$20,"?*"),T124*AJ124/V124))</f>
        <v/>
      </c>
      <c r="Y124">
        <f>IF(OR(T124="",Setup!$B$11=""),0,IF(V124=0,T124/COUNTIF(Setup!$B$9:$B$20,"?*"),T124*AK124/V124))</f>
        <v/>
      </c>
      <c r="Z124">
        <f>IF(OR(T124="",Setup!$B$12=""),0,IF(V124=0,T124/COUNTIF(Setup!$B$9:$B$20,"?*"),T124*AL124/V124))</f>
        <v/>
      </c>
      <c r="AA124">
        <f>IF(OR(T124="",Setup!$B$13=""),0,IF(V124=0,T124/COUNTIF(Setup!$B$9:$B$20,"?*"),T124*AM124/V124))</f>
        <v/>
      </c>
      <c r="AB124">
        <f>IF(OR(T124="",Setup!$B$14=""),0,IF(V124=0,T124/COUNTIF(Setup!$B$9:$B$20,"?*"),T124*AN124/V124))</f>
        <v/>
      </c>
      <c r="AC124">
        <f>IF(OR(T124="",Setup!$B$15=""),0,IF(V124=0,T124/COUNTIF(Setup!$B$9:$B$20,"?*"),T124*AO124/V124))</f>
        <v/>
      </c>
      <c r="AD124">
        <f>IF(OR(T124="",Setup!$B$16=""),0,IF(V124=0,T124/COUNTIF(Setup!$B$9:$B$20,"?*"),T124*AP124/V124))</f>
        <v/>
      </c>
      <c r="AE124">
        <f>IF(OR(T124="",Setup!$B$17=""),0,IF(V124=0,T124/COUNTIF(Setup!$B$9:$B$20,"?*"),T124*AQ124/V124))</f>
        <v/>
      </c>
      <c r="AF124">
        <f>IF(OR(T124="",Setup!$B$18=""),0,IF(V124=0,T124/COUNTIF(Setup!$B$9:$B$20,"?*"),T124*AR124/V124))</f>
        <v/>
      </c>
      <c r="AG124">
        <f>IF(OR(T124="",Setup!$B$19=""),0,IF(V124=0,T124/COUNTIF(Setup!$B$9:$B$20,"?*"),T124*AS124/V124))</f>
        <v/>
      </c>
      <c r="AH124">
        <f>IF(OR(T124="",Setup!$B$20=""),0,IF(V124=0,T124/COUNTIF(Setup!$B$9:$B$20,"?*"),T124*AT124/V124))</f>
        <v/>
      </c>
      <c r="AI124">
        <f>IF(Setup!$B$9="",0,IF(H124="",0,IF(ISNUMBER(H124),H124,1)))</f>
        <v/>
      </c>
      <c r="AJ124">
        <f>IF(Setup!$B$10="",0,IF(I124="",0,IF(ISNUMBER(I124),I124,1)))</f>
        <v/>
      </c>
      <c r="AK124">
        <f>IF(Setup!$B$11="",0,IF(J124="",0,IF(ISNUMBER(J124),J124,1)))</f>
        <v/>
      </c>
      <c r="AL124">
        <f>IF(Setup!$B$12="",0,IF(K124="",0,IF(ISNUMBER(K124),K124,1)))</f>
        <v/>
      </c>
      <c r="AM124">
        <f>IF(Setup!$B$13="",0,IF(L124="",0,IF(ISNUMBER(L124),L124,1)))</f>
        <v/>
      </c>
      <c r="AN124">
        <f>IF(Setup!$B$14="",0,IF(M124="",0,IF(ISNUMBER(M124),M124,1)))</f>
        <v/>
      </c>
      <c r="AO124">
        <f>IF(Setup!$B$15="",0,IF(N124="",0,IF(ISNUMBER(N124),N124,1)))</f>
        <v/>
      </c>
      <c r="AP124">
        <f>IF(Setup!$B$16="",0,IF(O124="",0,IF(ISNUMBER(O124),O124,1)))</f>
        <v/>
      </c>
      <c r="AQ124">
        <f>IF(Setup!$B$17="",0,IF(P124="",0,IF(ISNUMBER(P124),P124,1)))</f>
        <v/>
      </c>
      <c r="AR124">
        <f>IF(Setup!$B$18="",0,IF(Q124="",0,IF(ISNUMBER(Q124),Q124,1)))</f>
        <v/>
      </c>
      <c r="AS124">
        <f>IF(Setup!$B$19="",0,IF(R124="",0,IF(ISNUMBER(R124),R124,1)))</f>
        <v/>
      </c>
      <c r="AT124">
        <f>IF(Setup!$B$20="",0,IF(S124="",0,IF(ISNUMBER(S124),S124,1)))</f>
        <v/>
      </c>
    </row>
    <row r="125">
      <c r="A125" s="1" t="n"/>
      <c r="B125" s="24" t="n"/>
      <c r="C125" s="25" t="n"/>
      <c r="D125" s="25" t="n"/>
      <c r="E125" s="26" t="n"/>
      <c r="F125" s="27" t="n"/>
      <c r="G125" s="17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28" t="n"/>
      <c r="R125" s="28" t="n"/>
      <c r="S125" s="28" t="n"/>
      <c r="T125" s="29">
        <f>IF(N(E125)=0,"",E125*IF(F125="",1,IFERROR(INDEX(Setup!$E$9:$E$18,MATCH(F125,Setup!$D$9:$D$18,0)),0)))</f>
        <v/>
      </c>
      <c r="U125" s="30">
        <f>IF(T125="","",IF(V125=0,"Everyone",IF(COUNTIF(AI125:AT125,"&gt;0")=COUNTIF(Setup!$B$9:$B$20,"?*"),"Everyone",COUNTIF(AI125:AT125,"&gt;0")&amp;IF(COUNTIF(AI125:AT125,"&gt;0")=1," person"," people"))))</f>
        <v/>
      </c>
      <c r="V125" s="1">
        <f>SUM(AI125:AT125)</f>
        <v/>
      </c>
      <c r="W125">
        <f>IF(OR(T125="",Setup!$B$9=""),0,IF(V125=0,T125/COUNTIF(Setup!$B$9:$B$20,"?*"),T125*AI125/V125))</f>
        <v/>
      </c>
      <c r="X125">
        <f>IF(OR(T125="",Setup!$B$10=""),0,IF(V125=0,T125/COUNTIF(Setup!$B$9:$B$20,"?*"),T125*AJ125/V125))</f>
        <v/>
      </c>
      <c r="Y125">
        <f>IF(OR(T125="",Setup!$B$11=""),0,IF(V125=0,T125/COUNTIF(Setup!$B$9:$B$20,"?*"),T125*AK125/V125))</f>
        <v/>
      </c>
      <c r="Z125">
        <f>IF(OR(T125="",Setup!$B$12=""),0,IF(V125=0,T125/COUNTIF(Setup!$B$9:$B$20,"?*"),T125*AL125/V125))</f>
        <v/>
      </c>
      <c r="AA125">
        <f>IF(OR(T125="",Setup!$B$13=""),0,IF(V125=0,T125/COUNTIF(Setup!$B$9:$B$20,"?*"),T125*AM125/V125))</f>
        <v/>
      </c>
      <c r="AB125">
        <f>IF(OR(T125="",Setup!$B$14=""),0,IF(V125=0,T125/COUNTIF(Setup!$B$9:$B$20,"?*"),T125*AN125/V125))</f>
        <v/>
      </c>
      <c r="AC125">
        <f>IF(OR(T125="",Setup!$B$15=""),0,IF(V125=0,T125/COUNTIF(Setup!$B$9:$B$20,"?*"),T125*AO125/V125))</f>
        <v/>
      </c>
      <c r="AD125">
        <f>IF(OR(T125="",Setup!$B$16=""),0,IF(V125=0,T125/COUNTIF(Setup!$B$9:$B$20,"?*"),T125*AP125/V125))</f>
        <v/>
      </c>
      <c r="AE125">
        <f>IF(OR(T125="",Setup!$B$17=""),0,IF(V125=0,T125/COUNTIF(Setup!$B$9:$B$20,"?*"),T125*AQ125/V125))</f>
        <v/>
      </c>
      <c r="AF125">
        <f>IF(OR(T125="",Setup!$B$18=""),0,IF(V125=0,T125/COUNTIF(Setup!$B$9:$B$20,"?*"),T125*AR125/V125))</f>
        <v/>
      </c>
      <c r="AG125">
        <f>IF(OR(T125="",Setup!$B$19=""),0,IF(V125=0,T125/COUNTIF(Setup!$B$9:$B$20,"?*"),T125*AS125/V125))</f>
        <v/>
      </c>
      <c r="AH125">
        <f>IF(OR(T125="",Setup!$B$20=""),0,IF(V125=0,T125/COUNTIF(Setup!$B$9:$B$20,"?*"),T125*AT125/V125))</f>
        <v/>
      </c>
      <c r="AI125">
        <f>IF(Setup!$B$9="",0,IF(H125="",0,IF(ISNUMBER(H125),H125,1)))</f>
        <v/>
      </c>
      <c r="AJ125">
        <f>IF(Setup!$B$10="",0,IF(I125="",0,IF(ISNUMBER(I125),I125,1)))</f>
        <v/>
      </c>
      <c r="AK125">
        <f>IF(Setup!$B$11="",0,IF(J125="",0,IF(ISNUMBER(J125),J125,1)))</f>
        <v/>
      </c>
      <c r="AL125">
        <f>IF(Setup!$B$12="",0,IF(K125="",0,IF(ISNUMBER(K125),K125,1)))</f>
        <v/>
      </c>
      <c r="AM125">
        <f>IF(Setup!$B$13="",0,IF(L125="",0,IF(ISNUMBER(L125),L125,1)))</f>
        <v/>
      </c>
      <c r="AN125">
        <f>IF(Setup!$B$14="",0,IF(M125="",0,IF(ISNUMBER(M125),M125,1)))</f>
        <v/>
      </c>
      <c r="AO125">
        <f>IF(Setup!$B$15="",0,IF(N125="",0,IF(ISNUMBER(N125),N125,1)))</f>
        <v/>
      </c>
      <c r="AP125">
        <f>IF(Setup!$B$16="",0,IF(O125="",0,IF(ISNUMBER(O125),O125,1)))</f>
        <v/>
      </c>
      <c r="AQ125">
        <f>IF(Setup!$B$17="",0,IF(P125="",0,IF(ISNUMBER(P125),P125,1)))</f>
        <v/>
      </c>
      <c r="AR125">
        <f>IF(Setup!$B$18="",0,IF(Q125="",0,IF(ISNUMBER(Q125),Q125,1)))</f>
        <v/>
      </c>
      <c r="AS125">
        <f>IF(Setup!$B$19="",0,IF(R125="",0,IF(ISNUMBER(R125),R125,1)))</f>
        <v/>
      </c>
      <c r="AT125">
        <f>IF(Setup!$B$20="",0,IF(S125="",0,IF(ISNUMBER(S125),S125,1)))</f>
        <v/>
      </c>
    </row>
    <row r="126">
      <c r="A126" s="1" t="n"/>
      <c r="B126" s="24" t="n"/>
      <c r="C126" s="25" t="n"/>
      <c r="D126" s="25" t="n"/>
      <c r="E126" s="26" t="n"/>
      <c r="F126" s="27" t="n"/>
      <c r="G126" s="17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28" t="n"/>
      <c r="R126" s="28" t="n"/>
      <c r="S126" s="28" t="n"/>
      <c r="T126" s="29">
        <f>IF(N(E126)=0,"",E126*IF(F126="",1,IFERROR(INDEX(Setup!$E$9:$E$18,MATCH(F126,Setup!$D$9:$D$18,0)),0)))</f>
        <v/>
      </c>
      <c r="U126" s="30">
        <f>IF(T126="","",IF(V126=0,"Everyone",IF(COUNTIF(AI126:AT126,"&gt;0")=COUNTIF(Setup!$B$9:$B$20,"?*"),"Everyone",COUNTIF(AI126:AT126,"&gt;0")&amp;IF(COUNTIF(AI126:AT126,"&gt;0")=1," person"," people"))))</f>
        <v/>
      </c>
      <c r="V126" s="1">
        <f>SUM(AI126:AT126)</f>
        <v/>
      </c>
      <c r="W126">
        <f>IF(OR(T126="",Setup!$B$9=""),0,IF(V126=0,T126/COUNTIF(Setup!$B$9:$B$20,"?*"),T126*AI126/V126))</f>
        <v/>
      </c>
      <c r="X126">
        <f>IF(OR(T126="",Setup!$B$10=""),0,IF(V126=0,T126/COUNTIF(Setup!$B$9:$B$20,"?*"),T126*AJ126/V126))</f>
        <v/>
      </c>
      <c r="Y126">
        <f>IF(OR(T126="",Setup!$B$11=""),0,IF(V126=0,T126/COUNTIF(Setup!$B$9:$B$20,"?*"),T126*AK126/V126))</f>
        <v/>
      </c>
      <c r="Z126">
        <f>IF(OR(T126="",Setup!$B$12=""),0,IF(V126=0,T126/COUNTIF(Setup!$B$9:$B$20,"?*"),T126*AL126/V126))</f>
        <v/>
      </c>
      <c r="AA126">
        <f>IF(OR(T126="",Setup!$B$13=""),0,IF(V126=0,T126/COUNTIF(Setup!$B$9:$B$20,"?*"),T126*AM126/V126))</f>
        <v/>
      </c>
      <c r="AB126">
        <f>IF(OR(T126="",Setup!$B$14=""),0,IF(V126=0,T126/COUNTIF(Setup!$B$9:$B$20,"?*"),T126*AN126/V126))</f>
        <v/>
      </c>
      <c r="AC126">
        <f>IF(OR(T126="",Setup!$B$15=""),0,IF(V126=0,T126/COUNTIF(Setup!$B$9:$B$20,"?*"),T126*AO126/V126))</f>
        <v/>
      </c>
      <c r="AD126">
        <f>IF(OR(T126="",Setup!$B$16=""),0,IF(V126=0,T126/COUNTIF(Setup!$B$9:$B$20,"?*"),T126*AP126/V126))</f>
        <v/>
      </c>
      <c r="AE126">
        <f>IF(OR(T126="",Setup!$B$17=""),0,IF(V126=0,T126/COUNTIF(Setup!$B$9:$B$20,"?*"),T126*AQ126/V126))</f>
        <v/>
      </c>
      <c r="AF126">
        <f>IF(OR(T126="",Setup!$B$18=""),0,IF(V126=0,T126/COUNTIF(Setup!$B$9:$B$20,"?*"),T126*AR126/V126))</f>
        <v/>
      </c>
      <c r="AG126">
        <f>IF(OR(T126="",Setup!$B$19=""),0,IF(V126=0,T126/COUNTIF(Setup!$B$9:$B$20,"?*"),T126*AS126/V126))</f>
        <v/>
      </c>
      <c r="AH126">
        <f>IF(OR(T126="",Setup!$B$20=""),0,IF(V126=0,T126/COUNTIF(Setup!$B$9:$B$20,"?*"),T126*AT126/V126))</f>
        <v/>
      </c>
      <c r="AI126">
        <f>IF(Setup!$B$9="",0,IF(H126="",0,IF(ISNUMBER(H126),H126,1)))</f>
        <v/>
      </c>
      <c r="AJ126">
        <f>IF(Setup!$B$10="",0,IF(I126="",0,IF(ISNUMBER(I126),I126,1)))</f>
        <v/>
      </c>
      <c r="AK126">
        <f>IF(Setup!$B$11="",0,IF(J126="",0,IF(ISNUMBER(J126),J126,1)))</f>
        <v/>
      </c>
      <c r="AL126">
        <f>IF(Setup!$B$12="",0,IF(K126="",0,IF(ISNUMBER(K126),K126,1)))</f>
        <v/>
      </c>
      <c r="AM126">
        <f>IF(Setup!$B$13="",0,IF(L126="",0,IF(ISNUMBER(L126),L126,1)))</f>
        <v/>
      </c>
      <c r="AN126">
        <f>IF(Setup!$B$14="",0,IF(M126="",0,IF(ISNUMBER(M126),M126,1)))</f>
        <v/>
      </c>
      <c r="AO126">
        <f>IF(Setup!$B$15="",0,IF(N126="",0,IF(ISNUMBER(N126),N126,1)))</f>
        <v/>
      </c>
      <c r="AP126">
        <f>IF(Setup!$B$16="",0,IF(O126="",0,IF(ISNUMBER(O126),O126,1)))</f>
        <v/>
      </c>
      <c r="AQ126">
        <f>IF(Setup!$B$17="",0,IF(P126="",0,IF(ISNUMBER(P126),P126,1)))</f>
        <v/>
      </c>
      <c r="AR126">
        <f>IF(Setup!$B$18="",0,IF(Q126="",0,IF(ISNUMBER(Q126),Q126,1)))</f>
        <v/>
      </c>
      <c r="AS126">
        <f>IF(Setup!$B$19="",0,IF(R126="",0,IF(ISNUMBER(R126),R126,1)))</f>
        <v/>
      </c>
      <c r="AT126">
        <f>IF(Setup!$B$20="",0,IF(S126="",0,IF(ISNUMBER(S126),S126,1)))</f>
        <v/>
      </c>
    </row>
    <row r="127">
      <c r="A127" s="1" t="n"/>
      <c r="B127" s="24" t="n"/>
      <c r="C127" s="25" t="n"/>
      <c r="D127" s="25" t="n"/>
      <c r="E127" s="26" t="n"/>
      <c r="F127" s="27" t="n"/>
      <c r="G127" s="17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9">
        <f>IF(N(E127)=0,"",E127*IF(F127="",1,IFERROR(INDEX(Setup!$E$9:$E$18,MATCH(F127,Setup!$D$9:$D$18,0)),0)))</f>
        <v/>
      </c>
      <c r="U127" s="30">
        <f>IF(T127="","",IF(V127=0,"Everyone",IF(COUNTIF(AI127:AT127,"&gt;0")=COUNTIF(Setup!$B$9:$B$20,"?*"),"Everyone",COUNTIF(AI127:AT127,"&gt;0")&amp;IF(COUNTIF(AI127:AT127,"&gt;0")=1," person"," people"))))</f>
        <v/>
      </c>
      <c r="V127" s="1">
        <f>SUM(AI127:AT127)</f>
        <v/>
      </c>
      <c r="W127">
        <f>IF(OR(T127="",Setup!$B$9=""),0,IF(V127=0,T127/COUNTIF(Setup!$B$9:$B$20,"?*"),T127*AI127/V127))</f>
        <v/>
      </c>
      <c r="X127">
        <f>IF(OR(T127="",Setup!$B$10=""),0,IF(V127=0,T127/COUNTIF(Setup!$B$9:$B$20,"?*"),T127*AJ127/V127))</f>
        <v/>
      </c>
      <c r="Y127">
        <f>IF(OR(T127="",Setup!$B$11=""),0,IF(V127=0,T127/COUNTIF(Setup!$B$9:$B$20,"?*"),T127*AK127/V127))</f>
        <v/>
      </c>
      <c r="Z127">
        <f>IF(OR(T127="",Setup!$B$12=""),0,IF(V127=0,T127/COUNTIF(Setup!$B$9:$B$20,"?*"),T127*AL127/V127))</f>
        <v/>
      </c>
      <c r="AA127">
        <f>IF(OR(T127="",Setup!$B$13=""),0,IF(V127=0,T127/COUNTIF(Setup!$B$9:$B$20,"?*"),T127*AM127/V127))</f>
        <v/>
      </c>
      <c r="AB127">
        <f>IF(OR(T127="",Setup!$B$14=""),0,IF(V127=0,T127/COUNTIF(Setup!$B$9:$B$20,"?*"),T127*AN127/V127))</f>
        <v/>
      </c>
      <c r="AC127">
        <f>IF(OR(T127="",Setup!$B$15=""),0,IF(V127=0,T127/COUNTIF(Setup!$B$9:$B$20,"?*"),T127*AO127/V127))</f>
        <v/>
      </c>
      <c r="AD127">
        <f>IF(OR(T127="",Setup!$B$16=""),0,IF(V127=0,T127/COUNTIF(Setup!$B$9:$B$20,"?*"),T127*AP127/V127))</f>
        <v/>
      </c>
      <c r="AE127">
        <f>IF(OR(T127="",Setup!$B$17=""),0,IF(V127=0,T127/COUNTIF(Setup!$B$9:$B$20,"?*"),T127*AQ127/V127))</f>
        <v/>
      </c>
      <c r="AF127">
        <f>IF(OR(T127="",Setup!$B$18=""),0,IF(V127=0,T127/COUNTIF(Setup!$B$9:$B$20,"?*"),T127*AR127/V127))</f>
        <v/>
      </c>
      <c r="AG127">
        <f>IF(OR(T127="",Setup!$B$19=""),0,IF(V127=0,T127/COUNTIF(Setup!$B$9:$B$20,"?*"),T127*AS127/V127))</f>
        <v/>
      </c>
      <c r="AH127">
        <f>IF(OR(T127="",Setup!$B$20=""),0,IF(V127=0,T127/COUNTIF(Setup!$B$9:$B$20,"?*"),T127*AT127/V127))</f>
        <v/>
      </c>
      <c r="AI127">
        <f>IF(Setup!$B$9="",0,IF(H127="",0,IF(ISNUMBER(H127),H127,1)))</f>
        <v/>
      </c>
      <c r="AJ127">
        <f>IF(Setup!$B$10="",0,IF(I127="",0,IF(ISNUMBER(I127),I127,1)))</f>
        <v/>
      </c>
      <c r="AK127">
        <f>IF(Setup!$B$11="",0,IF(J127="",0,IF(ISNUMBER(J127),J127,1)))</f>
        <v/>
      </c>
      <c r="AL127">
        <f>IF(Setup!$B$12="",0,IF(K127="",0,IF(ISNUMBER(K127),K127,1)))</f>
        <v/>
      </c>
      <c r="AM127">
        <f>IF(Setup!$B$13="",0,IF(L127="",0,IF(ISNUMBER(L127),L127,1)))</f>
        <v/>
      </c>
      <c r="AN127">
        <f>IF(Setup!$B$14="",0,IF(M127="",0,IF(ISNUMBER(M127),M127,1)))</f>
        <v/>
      </c>
      <c r="AO127">
        <f>IF(Setup!$B$15="",0,IF(N127="",0,IF(ISNUMBER(N127),N127,1)))</f>
        <v/>
      </c>
      <c r="AP127">
        <f>IF(Setup!$B$16="",0,IF(O127="",0,IF(ISNUMBER(O127),O127,1)))</f>
        <v/>
      </c>
      <c r="AQ127">
        <f>IF(Setup!$B$17="",0,IF(P127="",0,IF(ISNUMBER(P127),P127,1)))</f>
        <v/>
      </c>
      <c r="AR127">
        <f>IF(Setup!$B$18="",0,IF(Q127="",0,IF(ISNUMBER(Q127),Q127,1)))</f>
        <v/>
      </c>
      <c r="AS127">
        <f>IF(Setup!$B$19="",0,IF(R127="",0,IF(ISNUMBER(R127),R127,1)))</f>
        <v/>
      </c>
      <c r="AT127">
        <f>IF(Setup!$B$20="",0,IF(S127="",0,IF(ISNUMBER(S127),S127,1)))</f>
        <v/>
      </c>
    </row>
    <row r="128">
      <c r="A128" s="1" t="n"/>
      <c r="B128" s="24" t="n"/>
      <c r="C128" s="25" t="n"/>
      <c r="D128" s="25" t="n"/>
      <c r="E128" s="26" t="n"/>
      <c r="F128" s="27" t="n"/>
      <c r="G128" s="17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28" t="n"/>
      <c r="R128" s="28" t="n"/>
      <c r="S128" s="28" t="n"/>
      <c r="T128" s="29">
        <f>IF(N(E128)=0,"",E128*IF(F128="",1,IFERROR(INDEX(Setup!$E$9:$E$18,MATCH(F128,Setup!$D$9:$D$18,0)),0)))</f>
        <v/>
      </c>
      <c r="U128" s="30">
        <f>IF(T128="","",IF(V128=0,"Everyone",IF(COUNTIF(AI128:AT128,"&gt;0")=COUNTIF(Setup!$B$9:$B$20,"?*"),"Everyone",COUNTIF(AI128:AT128,"&gt;0")&amp;IF(COUNTIF(AI128:AT128,"&gt;0")=1," person"," people"))))</f>
        <v/>
      </c>
      <c r="V128" s="1">
        <f>SUM(AI128:AT128)</f>
        <v/>
      </c>
      <c r="W128">
        <f>IF(OR(T128="",Setup!$B$9=""),0,IF(V128=0,T128/COUNTIF(Setup!$B$9:$B$20,"?*"),T128*AI128/V128))</f>
        <v/>
      </c>
      <c r="X128">
        <f>IF(OR(T128="",Setup!$B$10=""),0,IF(V128=0,T128/COUNTIF(Setup!$B$9:$B$20,"?*"),T128*AJ128/V128))</f>
        <v/>
      </c>
      <c r="Y128">
        <f>IF(OR(T128="",Setup!$B$11=""),0,IF(V128=0,T128/COUNTIF(Setup!$B$9:$B$20,"?*"),T128*AK128/V128))</f>
        <v/>
      </c>
      <c r="Z128">
        <f>IF(OR(T128="",Setup!$B$12=""),0,IF(V128=0,T128/COUNTIF(Setup!$B$9:$B$20,"?*"),T128*AL128/V128))</f>
        <v/>
      </c>
      <c r="AA128">
        <f>IF(OR(T128="",Setup!$B$13=""),0,IF(V128=0,T128/COUNTIF(Setup!$B$9:$B$20,"?*"),T128*AM128/V128))</f>
        <v/>
      </c>
      <c r="AB128">
        <f>IF(OR(T128="",Setup!$B$14=""),0,IF(V128=0,T128/COUNTIF(Setup!$B$9:$B$20,"?*"),T128*AN128/V128))</f>
        <v/>
      </c>
      <c r="AC128">
        <f>IF(OR(T128="",Setup!$B$15=""),0,IF(V128=0,T128/COUNTIF(Setup!$B$9:$B$20,"?*"),T128*AO128/V128))</f>
        <v/>
      </c>
      <c r="AD128">
        <f>IF(OR(T128="",Setup!$B$16=""),0,IF(V128=0,T128/COUNTIF(Setup!$B$9:$B$20,"?*"),T128*AP128/V128))</f>
        <v/>
      </c>
      <c r="AE128">
        <f>IF(OR(T128="",Setup!$B$17=""),0,IF(V128=0,T128/COUNTIF(Setup!$B$9:$B$20,"?*"),T128*AQ128/V128))</f>
        <v/>
      </c>
      <c r="AF128">
        <f>IF(OR(T128="",Setup!$B$18=""),0,IF(V128=0,T128/COUNTIF(Setup!$B$9:$B$20,"?*"),T128*AR128/V128))</f>
        <v/>
      </c>
      <c r="AG128">
        <f>IF(OR(T128="",Setup!$B$19=""),0,IF(V128=0,T128/COUNTIF(Setup!$B$9:$B$20,"?*"),T128*AS128/V128))</f>
        <v/>
      </c>
      <c r="AH128">
        <f>IF(OR(T128="",Setup!$B$20=""),0,IF(V128=0,T128/COUNTIF(Setup!$B$9:$B$20,"?*"),T128*AT128/V128))</f>
        <v/>
      </c>
      <c r="AI128">
        <f>IF(Setup!$B$9="",0,IF(H128="",0,IF(ISNUMBER(H128),H128,1)))</f>
        <v/>
      </c>
      <c r="AJ128">
        <f>IF(Setup!$B$10="",0,IF(I128="",0,IF(ISNUMBER(I128),I128,1)))</f>
        <v/>
      </c>
      <c r="AK128">
        <f>IF(Setup!$B$11="",0,IF(J128="",0,IF(ISNUMBER(J128),J128,1)))</f>
        <v/>
      </c>
      <c r="AL128">
        <f>IF(Setup!$B$12="",0,IF(K128="",0,IF(ISNUMBER(K128),K128,1)))</f>
        <v/>
      </c>
      <c r="AM128">
        <f>IF(Setup!$B$13="",0,IF(L128="",0,IF(ISNUMBER(L128),L128,1)))</f>
        <v/>
      </c>
      <c r="AN128">
        <f>IF(Setup!$B$14="",0,IF(M128="",0,IF(ISNUMBER(M128),M128,1)))</f>
        <v/>
      </c>
      <c r="AO128">
        <f>IF(Setup!$B$15="",0,IF(N128="",0,IF(ISNUMBER(N128),N128,1)))</f>
        <v/>
      </c>
      <c r="AP128">
        <f>IF(Setup!$B$16="",0,IF(O128="",0,IF(ISNUMBER(O128),O128,1)))</f>
        <v/>
      </c>
      <c r="AQ128">
        <f>IF(Setup!$B$17="",0,IF(P128="",0,IF(ISNUMBER(P128),P128,1)))</f>
        <v/>
      </c>
      <c r="AR128">
        <f>IF(Setup!$B$18="",0,IF(Q128="",0,IF(ISNUMBER(Q128),Q128,1)))</f>
        <v/>
      </c>
      <c r="AS128">
        <f>IF(Setup!$B$19="",0,IF(R128="",0,IF(ISNUMBER(R128),R128,1)))</f>
        <v/>
      </c>
      <c r="AT128">
        <f>IF(Setup!$B$20="",0,IF(S128="",0,IF(ISNUMBER(S128),S128,1)))</f>
        <v/>
      </c>
    </row>
    <row r="129">
      <c r="A129" s="1" t="n"/>
      <c r="B129" s="24" t="n"/>
      <c r="C129" s="25" t="n"/>
      <c r="D129" s="25" t="n"/>
      <c r="E129" s="26" t="n"/>
      <c r="F129" s="27" t="n"/>
      <c r="G129" s="17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28" t="n"/>
      <c r="R129" s="28" t="n"/>
      <c r="S129" s="28" t="n"/>
      <c r="T129" s="29">
        <f>IF(N(E129)=0,"",E129*IF(F129="",1,IFERROR(INDEX(Setup!$E$9:$E$18,MATCH(F129,Setup!$D$9:$D$18,0)),0)))</f>
        <v/>
      </c>
      <c r="U129" s="30">
        <f>IF(T129="","",IF(V129=0,"Everyone",IF(COUNTIF(AI129:AT129,"&gt;0")=COUNTIF(Setup!$B$9:$B$20,"?*"),"Everyone",COUNTIF(AI129:AT129,"&gt;0")&amp;IF(COUNTIF(AI129:AT129,"&gt;0")=1," person"," people"))))</f>
        <v/>
      </c>
      <c r="V129" s="1">
        <f>SUM(AI129:AT129)</f>
        <v/>
      </c>
      <c r="W129">
        <f>IF(OR(T129="",Setup!$B$9=""),0,IF(V129=0,T129/COUNTIF(Setup!$B$9:$B$20,"?*"),T129*AI129/V129))</f>
        <v/>
      </c>
      <c r="X129">
        <f>IF(OR(T129="",Setup!$B$10=""),0,IF(V129=0,T129/COUNTIF(Setup!$B$9:$B$20,"?*"),T129*AJ129/V129))</f>
        <v/>
      </c>
      <c r="Y129">
        <f>IF(OR(T129="",Setup!$B$11=""),0,IF(V129=0,T129/COUNTIF(Setup!$B$9:$B$20,"?*"),T129*AK129/V129))</f>
        <v/>
      </c>
      <c r="Z129">
        <f>IF(OR(T129="",Setup!$B$12=""),0,IF(V129=0,T129/COUNTIF(Setup!$B$9:$B$20,"?*"),T129*AL129/V129))</f>
        <v/>
      </c>
      <c r="AA129">
        <f>IF(OR(T129="",Setup!$B$13=""),0,IF(V129=0,T129/COUNTIF(Setup!$B$9:$B$20,"?*"),T129*AM129/V129))</f>
        <v/>
      </c>
      <c r="AB129">
        <f>IF(OR(T129="",Setup!$B$14=""),0,IF(V129=0,T129/COUNTIF(Setup!$B$9:$B$20,"?*"),T129*AN129/V129))</f>
        <v/>
      </c>
      <c r="AC129">
        <f>IF(OR(T129="",Setup!$B$15=""),0,IF(V129=0,T129/COUNTIF(Setup!$B$9:$B$20,"?*"),T129*AO129/V129))</f>
        <v/>
      </c>
      <c r="AD129">
        <f>IF(OR(T129="",Setup!$B$16=""),0,IF(V129=0,T129/COUNTIF(Setup!$B$9:$B$20,"?*"),T129*AP129/V129))</f>
        <v/>
      </c>
      <c r="AE129">
        <f>IF(OR(T129="",Setup!$B$17=""),0,IF(V129=0,T129/COUNTIF(Setup!$B$9:$B$20,"?*"),T129*AQ129/V129))</f>
        <v/>
      </c>
      <c r="AF129">
        <f>IF(OR(T129="",Setup!$B$18=""),0,IF(V129=0,T129/COUNTIF(Setup!$B$9:$B$20,"?*"),T129*AR129/V129))</f>
        <v/>
      </c>
      <c r="AG129">
        <f>IF(OR(T129="",Setup!$B$19=""),0,IF(V129=0,T129/COUNTIF(Setup!$B$9:$B$20,"?*"),T129*AS129/V129))</f>
        <v/>
      </c>
      <c r="AH129">
        <f>IF(OR(T129="",Setup!$B$20=""),0,IF(V129=0,T129/COUNTIF(Setup!$B$9:$B$20,"?*"),T129*AT129/V129))</f>
        <v/>
      </c>
      <c r="AI129">
        <f>IF(Setup!$B$9="",0,IF(H129="",0,IF(ISNUMBER(H129),H129,1)))</f>
        <v/>
      </c>
      <c r="AJ129">
        <f>IF(Setup!$B$10="",0,IF(I129="",0,IF(ISNUMBER(I129),I129,1)))</f>
        <v/>
      </c>
      <c r="AK129">
        <f>IF(Setup!$B$11="",0,IF(J129="",0,IF(ISNUMBER(J129),J129,1)))</f>
        <v/>
      </c>
      <c r="AL129">
        <f>IF(Setup!$B$12="",0,IF(K129="",0,IF(ISNUMBER(K129),K129,1)))</f>
        <v/>
      </c>
      <c r="AM129">
        <f>IF(Setup!$B$13="",0,IF(L129="",0,IF(ISNUMBER(L129),L129,1)))</f>
        <v/>
      </c>
      <c r="AN129">
        <f>IF(Setup!$B$14="",0,IF(M129="",0,IF(ISNUMBER(M129),M129,1)))</f>
        <v/>
      </c>
      <c r="AO129">
        <f>IF(Setup!$B$15="",0,IF(N129="",0,IF(ISNUMBER(N129),N129,1)))</f>
        <v/>
      </c>
      <c r="AP129">
        <f>IF(Setup!$B$16="",0,IF(O129="",0,IF(ISNUMBER(O129),O129,1)))</f>
        <v/>
      </c>
      <c r="AQ129">
        <f>IF(Setup!$B$17="",0,IF(P129="",0,IF(ISNUMBER(P129),P129,1)))</f>
        <v/>
      </c>
      <c r="AR129">
        <f>IF(Setup!$B$18="",0,IF(Q129="",0,IF(ISNUMBER(Q129),Q129,1)))</f>
        <v/>
      </c>
      <c r="AS129">
        <f>IF(Setup!$B$19="",0,IF(R129="",0,IF(ISNUMBER(R129),R129,1)))</f>
        <v/>
      </c>
      <c r="AT129">
        <f>IF(Setup!$B$20="",0,IF(S129="",0,IF(ISNUMBER(S129),S129,1)))</f>
        <v/>
      </c>
    </row>
    <row r="130">
      <c r="A130" s="1" t="n"/>
      <c r="B130" s="24" t="n"/>
      <c r="C130" s="25" t="n"/>
      <c r="D130" s="25" t="n"/>
      <c r="E130" s="26" t="n"/>
      <c r="F130" s="27" t="n"/>
      <c r="G130" s="17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/>
      <c r="S130" s="28" t="n"/>
      <c r="T130" s="29">
        <f>IF(N(E130)=0,"",E130*IF(F130="",1,IFERROR(INDEX(Setup!$E$9:$E$18,MATCH(F130,Setup!$D$9:$D$18,0)),0)))</f>
        <v/>
      </c>
      <c r="U130" s="30">
        <f>IF(T130="","",IF(V130=0,"Everyone",IF(COUNTIF(AI130:AT130,"&gt;0")=COUNTIF(Setup!$B$9:$B$20,"?*"),"Everyone",COUNTIF(AI130:AT130,"&gt;0")&amp;IF(COUNTIF(AI130:AT130,"&gt;0")=1," person"," people"))))</f>
        <v/>
      </c>
      <c r="V130" s="1">
        <f>SUM(AI130:AT130)</f>
        <v/>
      </c>
      <c r="W130">
        <f>IF(OR(T130="",Setup!$B$9=""),0,IF(V130=0,T130/COUNTIF(Setup!$B$9:$B$20,"?*"),T130*AI130/V130))</f>
        <v/>
      </c>
      <c r="X130">
        <f>IF(OR(T130="",Setup!$B$10=""),0,IF(V130=0,T130/COUNTIF(Setup!$B$9:$B$20,"?*"),T130*AJ130/V130))</f>
        <v/>
      </c>
      <c r="Y130">
        <f>IF(OR(T130="",Setup!$B$11=""),0,IF(V130=0,T130/COUNTIF(Setup!$B$9:$B$20,"?*"),T130*AK130/V130))</f>
        <v/>
      </c>
      <c r="Z130">
        <f>IF(OR(T130="",Setup!$B$12=""),0,IF(V130=0,T130/COUNTIF(Setup!$B$9:$B$20,"?*"),T130*AL130/V130))</f>
        <v/>
      </c>
      <c r="AA130">
        <f>IF(OR(T130="",Setup!$B$13=""),0,IF(V130=0,T130/COUNTIF(Setup!$B$9:$B$20,"?*"),T130*AM130/V130))</f>
        <v/>
      </c>
      <c r="AB130">
        <f>IF(OR(T130="",Setup!$B$14=""),0,IF(V130=0,T130/COUNTIF(Setup!$B$9:$B$20,"?*"),T130*AN130/V130))</f>
        <v/>
      </c>
      <c r="AC130">
        <f>IF(OR(T130="",Setup!$B$15=""),0,IF(V130=0,T130/COUNTIF(Setup!$B$9:$B$20,"?*"),T130*AO130/V130))</f>
        <v/>
      </c>
      <c r="AD130">
        <f>IF(OR(T130="",Setup!$B$16=""),0,IF(V130=0,T130/COUNTIF(Setup!$B$9:$B$20,"?*"),T130*AP130/V130))</f>
        <v/>
      </c>
      <c r="AE130">
        <f>IF(OR(T130="",Setup!$B$17=""),0,IF(V130=0,T130/COUNTIF(Setup!$B$9:$B$20,"?*"),T130*AQ130/V130))</f>
        <v/>
      </c>
      <c r="AF130">
        <f>IF(OR(T130="",Setup!$B$18=""),0,IF(V130=0,T130/COUNTIF(Setup!$B$9:$B$20,"?*"),T130*AR130/V130))</f>
        <v/>
      </c>
      <c r="AG130">
        <f>IF(OR(T130="",Setup!$B$19=""),0,IF(V130=0,T130/COUNTIF(Setup!$B$9:$B$20,"?*"),T130*AS130/V130))</f>
        <v/>
      </c>
      <c r="AH130">
        <f>IF(OR(T130="",Setup!$B$20=""),0,IF(V130=0,T130/COUNTIF(Setup!$B$9:$B$20,"?*"),T130*AT130/V130))</f>
        <v/>
      </c>
      <c r="AI130">
        <f>IF(Setup!$B$9="",0,IF(H130="",0,IF(ISNUMBER(H130),H130,1)))</f>
        <v/>
      </c>
      <c r="AJ130">
        <f>IF(Setup!$B$10="",0,IF(I130="",0,IF(ISNUMBER(I130),I130,1)))</f>
        <v/>
      </c>
      <c r="AK130">
        <f>IF(Setup!$B$11="",0,IF(J130="",0,IF(ISNUMBER(J130),J130,1)))</f>
        <v/>
      </c>
      <c r="AL130">
        <f>IF(Setup!$B$12="",0,IF(K130="",0,IF(ISNUMBER(K130),K130,1)))</f>
        <v/>
      </c>
      <c r="AM130">
        <f>IF(Setup!$B$13="",0,IF(L130="",0,IF(ISNUMBER(L130),L130,1)))</f>
        <v/>
      </c>
      <c r="AN130">
        <f>IF(Setup!$B$14="",0,IF(M130="",0,IF(ISNUMBER(M130),M130,1)))</f>
        <v/>
      </c>
      <c r="AO130">
        <f>IF(Setup!$B$15="",0,IF(N130="",0,IF(ISNUMBER(N130),N130,1)))</f>
        <v/>
      </c>
      <c r="AP130">
        <f>IF(Setup!$B$16="",0,IF(O130="",0,IF(ISNUMBER(O130),O130,1)))</f>
        <v/>
      </c>
      <c r="AQ130">
        <f>IF(Setup!$B$17="",0,IF(P130="",0,IF(ISNUMBER(P130),P130,1)))</f>
        <v/>
      </c>
      <c r="AR130">
        <f>IF(Setup!$B$18="",0,IF(Q130="",0,IF(ISNUMBER(Q130),Q130,1)))</f>
        <v/>
      </c>
      <c r="AS130">
        <f>IF(Setup!$B$19="",0,IF(R130="",0,IF(ISNUMBER(R130),R130,1)))</f>
        <v/>
      </c>
      <c r="AT130">
        <f>IF(Setup!$B$20="",0,IF(S130="",0,IF(ISNUMBER(S130),S130,1)))</f>
        <v/>
      </c>
    </row>
    <row r="131">
      <c r="A131" s="1" t="n"/>
      <c r="B131" s="24" t="n"/>
      <c r="C131" s="25" t="n"/>
      <c r="D131" s="25" t="n"/>
      <c r="E131" s="26" t="n"/>
      <c r="F131" s="27" t="n"/>
      <c r="G131" s="17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28" t="n"/>
      <c r="R131" s="28" t="n"/>
      <c r="S131" s="28" t="n"/>
      <c r="T131" s="29">
        <f>IF(N(E131)=0,"",E131*IF(F131="",1,IFERROR(INDEX(Setup!$E$9:$E$18,MATCH(F131,Setup!$D$9:$D$18,0)),0)))</f>
        <v/>
      </c>
      <c r="U131" s="30">
        <f>IF(T131="","",IF(V131=0,"Everyone",IF(COUNTIF(AI131:AT131,"&gt;0")=COUNTIF(Setup!$B$9:$B$20,"?*"),"Everyone",COUNTIF(AI131:AT131,"&gt;0")&amp;IF(COUNTIF(AI131:AT131,"&gt;0")=1," person"," people"))))</f>
        <v/>
      </c>
      <c r="V131" s="1">
        <f>SUM(AI131:AT131)</f>
        <v/>
      </c>
      <c r="W131">
        <f>IF(OR(T131="",Setup!$B$9=""),0,IF(V131=0,T131/COUNTIF(Setup!$B$9:$B$20,"?*"),T131*AI131/V131))</f>
        <v/>
      </c>
      <c r="X131">
        <f>IF(OR(T131="",Setup!$B$10=""),0,IF(V131=0,T131/COUNTIF(Setup!$B$9:$B$20,"?*"),T131*AJ131/V131))</f>
        <v/>
      </c>
      <c r="Y131">
        <f>IF(OR(T131="",Setup!$B$11=""),0,IF(V131=0,T131/COUNTIF(Setup!$B$9:$B$20,"?*"),T131*AK131/V131))</f>
        <v/>
      </c>
      <c r="Z131">
        <f>IF(OR(T131="",Setup!$B$12=""),0,IF(V131=0,T131/COUNTIF(Setup!$B$9:$B$20,"?*"),T131*AL131/V131))</f>
        <v/>
      </c>
      <c r="AA131">
        <f>IF(OR(T131="",Setup!$B$13=""),0,IF(V131=0,T131/COUNTIF(Setup!$B$9:$B$20,"?*"),T131*AM131/V131))</f>
        <v/>
      </c>
      <c r="AB131">
        <f>IF(OR(T131="",Setup!$B$14=""),0,IF(V131=0,T131/COUNTIF(Setup!$B$9:$B$20,"?*"),T131*AN131/V131))</f>
        <v/>
      </c>
      <c r="AC131">
        <f>IF(OR(T131="",Setup!$B$15=""),0,IF(V131=0,T131/COUNTIF(Setup!$B$9:$B$20,"?*"),T131*AO131/V131))</f>
        <v/>
      </c>
      <c r="AD131">
        <f>IF(OR(T131="",Setup!$B$16=""),0,IF(V131=0,T131/COUNTIF(Setup!$B$9:$B$20,"?*"),T131*AP131/V131))</f>
        <v/>
      </c>
      <c r="AE131">
        <f>IF(OR(T131="",Setup!$B$17=""),0,IF(V131=0,T131/COUNTIF(Setup!$B$9:$B$20,"?*"),T131*AQ131/V131))</f>
        <v/>
      </c>
      <c r="AF131">
        <f>IF(OR(T131="",Setup!$B$18=""),0,IF(V131=0,T131/COUNTIF(Setup!$B$9:$B$20,"?*"),T131*AR131/V131))</f>
        <v/>
      </c>
      <c r="AG131">
        <f>IF(OR(T131="",Setup!$B$19=""),0,IF(V131=0,T131/COUNTIF(Setup!$B$9:$B$20,"?*"),T131*AS131/V131))</f>
        <v/>
      </c>
      <c r="AH131">
        <f>IF(OR(T131="",Setup!$B$20=""),0,IF(V131=0,T131/COUNTIF(Setup!$B$9:$B$20,"?*"),T131*AT131/V131))</f>
        <v/>
      </c>
      <c r="AI131">
        <f>IF(Setup!$B$9="",0,IF(H131="",0,IF(ISNUMBER(H131),H131,1)))</f>
        <v/>
      </c>
      <c r="AJ131">
        <f>IF(Setup!$B$10="",0,IF(I131="",0,IF(ISNUMBER(I131),I131,1)))</f>
        <v/>
      </c>
      <c r="AK131">
        <f>IF(Setup!$B$11="",0,IF(J131="",0,IF(ISNUMBER(J131),J131,1)))</f>
        <v/>
      </c>
      <c r="AL131">
        <f>IF(Setup!$B$12="",0,IF(K131="",0,IF(ISNUMBER(K131),K131,1)))</f>
        <v/>
      </c>
      <c r="AM131">
        <f>IF(Setup!$B$13="",0,IF(L131="",0,IF(ISNUMBER(L131),L131,1)))</f>
        <v/>
      </c>
      <c r="AN131">
        <f>IF(Setup!$B$14="",0,IF(M131="",0,IF(ISNUMBER(M131),M131,1)))</f>
        <v/>
      </c>
      <c r="AO131">
        <f>IF(Setup!$B$15="",0,IF(N131="",0,IF(ISNUMBER(N131),N131,1)))</f>
        <v/>
      </c>
      <c r="AP131">
        <f>IF(Setup!$B$16="",0,IF(O131="",0,IF(ISNUMBER(O131),O131,1)))</f>
        <v/>
      </c>
      <c r="AQ131">
        <f>IF(Setup!$B$17="",0,IF(P131="",0,IF(ISNUMBER(P131),P131,1)))</f>
        <v/>
      </c>
      <c r="AR131">
        <f>IF(Setup!$B$18="",0,IF(Q131="",0,IF(ISNUMBER(Q131),Q131,1)))</f>
        <v/>
      </c>
      <c r="AS131">
        <f>IF(Setup!$B$19="",0,IF(R131="",0,IF(ISNUMBER(R131),R131,1)))</f>
        <v/>
      </c>
      <c r="AT131">
        <f>IF(Setup!$B$20="",0,IF(S131="",0,IF(ISNUMBER(S131),S131,1)))</f>
        <v/>
      </c>
    </row>
    <row r="132">
      <c r="A132" s="1" t="n"/>
      <c r="B132" s="24" t="n"/>
      <c r="C132" s="25" t="n"/>
      <c r="D132" s="25" t="n"/>
      <c r="E132" s="26" t="n"/>
      <c r="F132" s="27" t="n"/>
      <c r="G132" s="17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9">
        <f>IF(N(E132)=0,"",E132*IF(F132="",1,IFERROR(INDEX(Setup!$E$9:$E$18,MATCH(F132,Setup!$D$9:$D$18,0)),0)))</f>
        <v/>
      </c>
      <c r="U132" s="30">
        <f>IF(T132="","",IF(V132=0,"Everyone",IF(COUNTIF(AI132:AT132,"&gt;0")=COUNTIF(Setup!$B$9:$B$20,"?*"),"Everyone",COUNTIF(AI132:AT132,"&gt;0")&amp;IF(COUNTIF(AI132:AT132,"&gt;0")=1," person"," people"))))</f>
        <v/>
      </c>
      <c r="V132" s="1">
        <f>SUM(AI132:AT132)</f>
        <v/>
      </c>
      <c r="W132">
        <f>IF(OR(T132="",Setup!$B$9=""),0,IF(V132=0,T132/COUNTIF(Setup!$B$9:$B$20,"?*"),T132*AI132/V132))</f>
        <v/>
      </c>
      <c r="X132">
        <f>IF(OR(T132="",Setup!$B$10=""),0,IF(V132=0,T132/COUNTIF(Setup!$B$9:$B$20,"?*"),T132*AJ132/V132))</f>
        <v/>
      </c>
      <c r="Y132">
        <f>IF(OR(T132="",Setup!$B$11=""),0,IF(V132=0,T132/COUNTIF(Setup!$B$9:$B$20,"?*"),T132*AK132/V132))</f>
        <v/>
      </c>
      <c r="Z132">
        <f>IF(OR(T132="",Setup!$B$12=""),0,IF(V132=0,T132/COUNTIF(Setup!$B$9:$B$20,"?*"),T132*AL132/V132))</f>
        <v/>
      </c>
      <c r="AA132">
        <f>IF(OR(T132="",Setup!$B$13=""),0,IF(V132=0,T132/COUNTIF(Setup!$B$9:$B$20,"?*"),T132*AM132/V132))</f>
        <v/>
      </c>
      <c r="AB132">
        <f>IF(OR(T132="",Setup!$B$14=""),0,IF(V132=0,T132/COUNTIF(Setup!$B$9:$B$20,"?*"),T132*AN132/V132))</f>
        <v/>
      </c>
      <c r="AC132">
        <f>IF(OR(T132="",Setup!$B$15=""),0,IF(V132=0,T132/COUNTIF(Setup!$B$9:$B$20,"?*"),T132*AO132/V132))</f>
        <v/>
      </c>
      <c r="AD132">
        <f>IF(OR(T132="",Setup!$B$16=""),0,IF(V132=0,T132/COUNTIF(Setup!$B$9:$B$20,"?*"),T132*AP132/V132))</f>
        <v/>
      </c>
      <c r="AE132">
        <f>IF(OR(T132="",Setup!$B$17=""),0,IF(V132=0,T132/COUNTIF(Setup!$B$9:$B$20,"?*"),T132*AQ132/V132))</f>
        <v/>
      </c>
      <c r="AF132">
        <f>IF(OR(T132="",Setup!$B$18=""),0,IF(V132=0,T132/COUNTIF(Setup!$B$9:$B$20,"?*"),T132*AR132/V132))</f>
        <v/>
      </c>
      <c r="AG132">
        <f>IF(OR(T132="",Setup!$B$19=""),0,IF(V132=0,T132/COUNTIF(Setup!$B$9:$B$20,"?*"),T132*AS132/V132))</f>
        <v/>
      </c>
      <c r="AH132">
        <f>IF(OR(T132="",Setup!$B$20=""),0,IF(V132=0,T132/COUNTIF(Setup!$B$9:$B$20,"?*"),T132*AT132/V132))</f>
        <v/>
      </c>
      <c r="AI132">
        <f>IF(Setup!$B$9="",0,IF(H132="",0,IF(ISNUMBER(H132),H132,1)))</f>
        <v/>
      </c>
      <c r="AJ132">
        <f>IF(Setup!$B$10="",0,IF(I132="",0,IF(ISNUMBER(I132),I132,1)))</f>
        <v/>
      </c>
      <c r="AK132">
        <f>IF(Setup!$B$11="",0,IF(J132="",0,IF(ISNUMBER(J132),J132,1)))</f>
        <v/>
      </c>
      <c r="AL132">
        <f>IF(Setup!$B$12="",0,IF(K132="",0,IF(ISNUMBER(K132),K132,1)))</f>
        <v/>
      </c>
      <c r="AM132">
        <f>IF(Setup!$B$13="",0,IF(L132="",0,IF(ISNUMBER(L132),L132,1)))</f>
        <v/>
      </c>
      <c r="AN132">
        <f>IF(Setup!$B$14="",0,IF(M132="",0,IF(ISNUMBER(M132),M132,1)))</f>
        <v/>
      </c>
      <c r="AO132">
        <f>IF(Setup!$B$15="",0,IF(N132="",0,IF(ISNUMBER(N132),N132,1)))</f>
        <v/>
      </c>
      <c r="AP132">
        <f>IF(Setup!$B$16="",0,IF(O132="",0,IF(ISNUMBER(O132),O132,1)))</f>
        <v/>
      </c>
      <c r="AQ132">
        <f>IF(Setup!$B$17="",0,IF(P132="",0,IF(ISNUMBER(P132),P132,1)))</f>
        <v/>
      </c>
      <c r="AR132">
        <f>IF(Setup!$B$18="",0,IF(Q132="",0,IF(ISNUMBER(Q132),Q132,1)))</f>
        <v/>
      </c>
      <c r="AS132">
        <f>IF(Setup!$B$19="",0,IF(R132="",0,IF(ISNUMBER(R132),R132,1)))</f>
        <v/>
      </c>
      <c r="AT132">
        <f>IF(Setup!$B$20="",0,IF(S132="",0,IF(ISNUMBER(S132),S132,1)))</f>
        <v/>
      </c>
    </row>
    <row r="133">
      <c r="A133" s="1" t="n"/>
      <c r="B133" s="24" t="n"/>
      <c r="C133" s="25" t="n"/>
      <c r="D133" s="25" t="n"/>
      <c r="E133" s="26" t="n"/>
      <c r="F133" s="27" t="n"/>
      <c r="G133" s="17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28" t="n"/>
      <c r="R133" s="28" t="n"/>
      <c r="S133" s="28" t="n"/>
      <c r="T133" s="29">
        <f>IF(N(E133)=0,"",E133*IF(F133="",1,IFERROR(INDEX(Setup!$E$9:$E$18,MATCH(F133,Setup!$D$9:$D$18,0)),0)))</f>
        <v/>
      </c>
      <c r="U133" s="30">
        <f>IF(T133="","",IF(V133=0,"Everyone",IF(COUNTIF(AI133:AT133,"&gt;0")=COUNTIF(Setup!$B$9:$B$20,"?*"),"Everyone",COUNTIF(AI133:AT133,"&gt;0")&amp;IF(COUNTIF(AI133:AT133,"&gt;0")=1," person"," people"))))</f>
        <v/>
      </c>
      <c r="V133" s="1">
        <f>SUM(AI133:AT133)</f>
        <v/>
      </c>
      <c r="W133">
        <f>IF(OR(T133="",Setup!$B$9=""),0,IF(V133=0,T133/COUNTIF(Setup!$B$9:$B$20,"?*"),T133*AI133/V133))</f>
        <v/>
      </c>
      <c r="X133">
        <f>IF(OR(T133="",Setup!$B$10=""),0,IF(V133=0,T133/COUNTIF(Setup!$B$9:$B$20,"?*"),T133*AJ133/V133))</f>
        <v/>
      </c>
      <c r="Y133">
        <f>IF(OR(T133="",Setup!$B$11=""),0,IF(V133=0,T133/COUNTIF(Setup!$B$9:$B$20,"?*"),T133*AK133/V133))</f>
        <v/>
      </c>
      <c r="Z133">
        <f>IF(OR(T133="",Setup!$B$12=""),0,IF(V133=0,T133/COUNTIF(Setup!$B$9:$B$20,"?*"),T133*AL133/V133))</f>
        <v/>
      </c>
      <c r="AA133">
        <f>IF(OR(T133="",Setup!$B$13=""),0,IF(V133=0,T133/COUNTIF(Setup!$B$9:$B$20,"?*"),T133*AM133/V133))</f>
        <v/>
      </c>
      <c r="AB133">
        <f>IF(OR(T133="",Setup!$B$14=""),0,IF(V133=0,T133/COUNTIF(Setup!$B$9:$B$20,"?*"),T133*AN133/V133))</f>
        <v/>
      </c>
      <c r="AC133">
        <f>IF(OR(T133="",Setup!$B$15=""),0,IF(V133=0,T133/COUNTIF(Setup!$B$9:$B$20,"?*"),T133*AO133/V133))</f>
        <v/>
      </c>
      <c r="AD133">
        <f>IF(OR(T133="",Setup!$B$16=""),0,IF(V133=0,T133/COUNTIF(Setup!$B$9:$B$20,"?*"),T133*AP133/V133))</f>
        <v/>
      </c>
      <c r="AE133">
        <f>IF(OR(T133="",Setup!$B$17=""),0,IF(V133=0,T133/COUNTIF(Setup!$B$9:$B$20,"?*"),T133*AQ133/V133))</f>
        <v/>
      </c>
      <c r="AF133">
        <f>IF(OR(T133="",Setup!$B$18=""),0,IF(V133=0,T133/COUNTIF(Setup!$B$9:$B$20,"?*"),T133*AR133/V133))</f>
        <v/>
      </c>
      <c r="AG133">
        <f>IF(OR(T133="",Setup!$B$19=""),0,IF(V133=0,T133/COUNTIF(Setup!$B$9:$B$20,"?*"),T133*AS133/V133))</f>
        <v/>
      </c>
      <c r="AH133">
        <f>IF(OR(T133="",Setup!$B$20=""),0,IF(V133=0,T133/COUNTIF(Setup!$B$9:$B$20,"?*"),T133*AT133/V133))</f>
        <v/>
      </c>
      <c r="AI133">
        <f>IF(Setup!$B$9="",0,IF(H133="",0,IF(ISNUMBER(H133),H133,1)))</f>
        <v/>
      </c>
      <c r="AJ133">
        <f>IF(Setup!$B$10="",0,IF(I133="",0,IF(ISNUMBER(I133),I133,1)))</f>
        <v/>
      </c>
      <c r="AK133">
        <f>IF(Setup!$B$11="",0,IF(J133="",0,IF(ISNUMBER(J133),J133,1)))</f>
        <v/>
      </c>
      <c r="AL133">
        <f>IF(Setup!$B$12="",0,IF(K133="",0,IF(ISNUMBER(K133),K133,1)))</f>
        <v/>
      </c>
      <c r="AM133">
        <f>IF(Setup!$B$13="",0,IF(L133="",0,IF(ISNUMBER(L133),L133,1)))</f>
        <v/>
      </c>
      <c r="AN133">
        <f>IF(Setup!$B$14="",0,IF(M133="",0,IF(ISNUMBER(M133),M133,1)))</f>
        <v/>
      </c>
      <c r="AO133">
        <f>IF(Setup!$B$15="",0,IF(N133="",0,IF(ISNUMBER(N133),N133,1)))</f>
        <v/>
      </c>
      <c r="AP133">
        <f>IF(Setup!$B$16="",0,IF(O133="",0,IF(ISNUMBER(O133),O133,1)))</f>
        <v/>
      </c>
      <c r="AQ133">
        <f>IF(Setup!$B$17="",0,IF(P133="",0,IF(ISNUMBER(P133),P133,1)))</f>
        <v/>
      </c>
      <c r="AR133">
        <f>IF(Setup!$B$18="",0,IF(Q133="",0,IF(ISNUMBER(Q133),Q133,1)))</f>
        <v/>
      </c>
      <c r="AS133">
        <f>IF(Setup!$B$19="",0,IF(R133="",0,IF(ISNUMBER(R133),R133,1)))</f>
        <v/>
      </c>
      <c r="AT133">
        <f>IF(Setup!$B$20="",0,IF(S133="",0,IF(ISNUMBER(S133),S133,1)))</f>
        <v/>
      </c>
    </row>
    <row r="134">
      <c r="A134" s="1" t="n"/>
      <c r="B134" s="24" t="n"/>
      <c r="C134" s="25" t="n"/>
      <c r="D134" s="25" t="n"/>
      <c r="E134" s="26" t="n"/>
      <c r="F134" s="27" t="n"/>
      <c r="G134" s="17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28" t="n"/>
      <c r="R134" s="28" t="n"/>
      <c r="S134" s="28" t="n"/>
      <c r="T134" s="29">
        <f>IF(N(E134)=0,"",E134*IF(F134="",1,IFERROR(INDEX(Setup!$E$9:$E$18,MATCH(F134,Setup!$D$9:$D$18,0)),0)))</f>
        <v/>
      </c>
      <c r="U134" s="30">
        <f>IF(T134="","",IF(V134=0,"Everyone",IF(COUNTIF(AI134:AT134,"&gt;0")=COUNTIF(Setup!$B$9:$B$20,"?*"),"Everyone",COUNTIF(AI134:AT134,"&gt;0")&amp;IF(COUNTIF(AI134:AT134,"&gt;0")=1," person"," people"))))</f>
        <v/>
      </c>
      <c r="V134" s="1">
        <f>SUM(AI134:AT134)</f>
        <v/>
      </c>
      <c r="W134">
        <f>IF(OR(T134="",Setup!$B$9=""),0,IF(V134=0,T134/COUNTIF(Setup!$B$9:$B$20,"?*"),T134*AI134/V134))</f>
        <v/>
      </c>
      <c r="X134">
        <f>IF(OR(T134="",Setup!$B$10=""),0,IF(V134=0,T134/COUNTIF(Setup!$B$9:$B$20,"?*"),T134*AJ134/V134))</f>
        <v/>
      </c>
      <c r="Y134">
        <f>IF(OR(T134="",Setup!$B$11=""),0,IF(V134=0,T134/COUNTIF(Setup!$B$9:$B$20,"?*"),T134*AK134/V134))</f>
        <v/>
      </c>
      <c r="Z134">
        <f>IF(OR(T134="",Setup!$B$12=""),0,IF(V134=0,T134/COUNTIF(Setup!$B$9:$B$20,"?*"),T134*AL134/V134))</f>
        <v/>
      </c>
      <c r="AA134">
        <f>IF(OR(T134="",Setup!$B$13=""),0,IF(V134=0,T134/COUNTIF(Setup!$B$9:$B$20,"?*"),T134*AM134/V134))</f>
        <v/>
      </c>
      <c r="AB134">
        <f>IF(OR(T134="",Setup!$B$14=""),0,IF(V134=0,T134/COUNTIF(Setup!$B$9:$B$20,"?*"),T134*AN134/V134))</f>
        <v/>
      </c>
      <c r="AC134">
        <f>IF(OR(T134="",Setup!$B$15=""),0,IF(V134=0,T134/COUNTIF(Setup!$B$9:$B$20,"?*"),T134*AO134/V134))</f>
        <v/>
      </c>
      <c r="AD134">
        <f>IF(OR(T134="",Setup!$B$16=""),0,IF(V134=0,T134/COUNTIF(Setup!$B$9:$B$20,"?*"),T134*AP134/V134))</f>
        <v/>
      </c>
      <c r="AE134">
        <f>IF(OR(T134="",Setup!$B$17=""),0,IF(V134=0,T134/COUNTIF(Setup!$B$9:$B$20,"?*"),T134*AQ134/V134))</f>
        <v/>
      </c>
      <c r="AF134">
        <f>IF(OR(T134="",Setup!$B$18=""),0,IF(V134=0,T134/COUNTIF(Setup!$B$9:$B$20,"?*"),T134*AR134/V134))</f>
        <v/>
      </c>
      <c r="AG134">
        <f>IF(OR(T134="",Setup!$B$19=""),0,IF(V134=0,T134/COUNTIF(Setup!$B$9:$B$20,"?*"),T134*AS134/V134))</f>
        <v/>
      </c>
      <c r="AH134">
        <f>IF(OR(T134="",Setup!$B$20=""),0,IF(V134=0,T134/COUNTIF(Setup!$B$9:$B$20,"?*"),T134*AT134/V134))</f>
        <v/>
      </c>
      <c r="AI134">
        <f>IF(Setup!$B$9="",0,IF(H134="",0,IF(ISNUMBER(H134),H134,1)))</f>
        <v/>
      </c>
      <c r="AJ134">
        <f>IF(Setup!$B$10="",0,IF(I134="",0,IF(ISNUMBER(I134),I134,1)))</f>
        <v/>
      </c>
      <c r="AK134">
        <f>IF(Setup!$B$11="",0,IF(J134="",0,IF(ISNUMBER(J134),J134,1)))</f>
        <v/>
      </c>
      <c r="AL134">
        <f>IF(Setup!$B$12="",0,IF(K134="",0,IF(ISNUMBER(K134),K134,1)))</f>
        <v/>
      </c>
      <c r="AM134">
        <f>IF(Setup!$B$13="",0,IF(L134="",0,IF(ISNUMBER(L134),L134,1)))</f>
        <v/>
      </c>
      <c r="AN134">
        <f>IF(Setup!$B$14="",0,IF(M134="",0,IF(ISNUMBER(M134),M134,1)))</f>
        <v/>
      </c>
      <c r="AO134">
        <f>IF(Setup!$B$15="",0,IF(N134="",0,IF(ISNUMBER(N134),N134,1)))</f>
        <v/>
      </c>
      <c r="AP134">
        <f>IF(Setup!$B$16="",0,IF(O134="",0,IF(ISNUMBER(O134),O134,1)))</f>
        <v/>
      </c>
      <c r="AQ134">
        <f>IF(Setup!$B$17="",0,IF(P134="",0,IF(ISNUMBER(P134),P134,1)))</f>
        <v/>
      </c>
      <c r="AR134">
        <f>IF(Setup!$B$18="",0,IF(Q134="",0,IF(ISNUMBER(Q134),Q134,1)))</f>
        <v/>
      </c>
      <c r="AS134">
        <f>IF(Setup!$B$19="",0,IF(R134="",0,IF(ISNUMBER(R134),R134,1)))</f>
        <v/>
      </c>
      <c r="AT134">
        <f>IF(Setup!$B$20="",0,IF(S134="",0,IF(ISNUMBER(S134),S134,1)))</f>
        <v/>
      </c>
    </row>
    <row r="135">
      <c r="A135" s="1" t="n"/>
      <c r="B135" s="24" t="n"/>
      <c r="C135" s="25" t="n"/>
      <c r="D135" s="25" t="n"/>
      <c r="E135" s="26" t="n"/>
      <c r="F135" s="27" t="n"/>
      <c r="G135" s="17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28" t="n"/>
      <c r="R135" s="28" t="n"/>
      <c r="S135" s="28" t="n"/>
      <c r="T135" s="29">
        <f>IF(N(E135)=0,"",E135*IF(F135="",1,IFERROR(INDEX(Setup!$E$9:$E$18,MATCH(F135,Setup!$D$9:$D$18,0)),0)))</f>
        <v/>
      </c>
      <c r="U135" s="30">
        <f>IF(T135="","",IF(V135=0,"Everyone",IF(COUNTIF(AI135:AT135,"&gt;0")=COUNTIF(Setup!$B$9:$B$20,"?*"),"Everyone",COUNTIF(AI135:AT135,"&gt;0")&amp;IF(COUNTIF(AI135:AT135,"&gt;0")=1," person"," people"))))</f>
        <v/>
      </c>
      <c r="V135" s="1">
        <f>SUM(AI135:AT135)</f>
        <v/>
      </c>
      <c r="W135">
        <f>IF(OR(T135="",Setup!$B$9=""),0,IF(V135=0,T135/COUNTIF(Setup!$B$9:$B$20,"?*"),T135*AI135/V135))</f>
        <v/>
      </c>
      <c r="X135">
        <f>IF(OR(T135="",Setup!$B$10=""),0,IF(V135=0,T135/COUNTIF(Setup!$B$9:$B$20,"?*"),T135*AJ135/V135))</f>
        <v/>
      </c>
      <c r="Y135">
        <f>IF(OR(T135="",Setup!$B$11=""),0,IF(V135=0,T135/COUNTIF(Setup!$B$9:$B$20,"?*"),T135*AK135/V135))</f>
        <v/>
      </c>
      <c r="Z135">
        <f>IF(OR(T135="",Setup!$B$12=""),0,IF(V135=0,T135/COUNTIF(Setup!$B$9:$B$20,"?*"),T135*AL135/V135))</f>
        <v/>
      </c>
      <c r="AA135">
        <f>IF(OR(T135="",Setup!$B$13=""),0,IF(V135=0,T135/COUNTIF(Setup!$B$9:$B$20,"?*"),T135*AM135/V135))</f>
        <v/>
      </c>
      <c r="AB135">
        <f>IF(OR(T135="",Setup!$B$14=""),0,IF(V135=0,T135/COUNTIF(Setup!$B$9:$B$20,"?*"),T135*AN135/V135))</f>
        <v/>
      </c>
      <c r="AC135">
        <f>IF(OR(T135="",Setup!$B$15=""),0,IF(V135=0,T135/COUNTIF(Setup!$B$9:$B$20,"?*"),T135*AO135/V135))</f>
        <v/>
      </c>
      <c r="AD135">
        <f>IF(OR(T135="",Setup!$B$16=""),0,IF(V135=0,T135/COUNTIF(Setup!$B$9:$B$20,"?*"),T135*AP135/V135))</f>
        <v/>
      </c>
      <c r="AE135">
        <f>IF(OR(T135="",Setup!$B$17=""),0,IF(V135=0,T135/COUNTIF(Setup!$B$9:$B$20,"?*"),T135*AQ135/V135))</f>
        <v/>
      </c>
      <c r="AF135">
        <f>IF(OR(T135="",Setup!$B$18=""),0,IF(V135=0,T135/COUNTIF(Setup!$B$9:$B$20,"?*"),T135*AR135/V135))</f>
        <v/>
      </c>
      <c r="AG135">
        <f>IF(OR(T135="",Setup!$B$19=""),0,IF(V135=0,T135/COUNTIF(Setup!$B$9:$B$20,"?*"),T135*AS135/V135))</f>
        <v/>
      </c>
      <c r="AH135">
        <f>IF(OR(T135="",Setup!$B$20=""),0,IF(V135=0,T135/COUNTIF(Setup!$B$9:$B$20,"?*"),T135*AT135/V135))</f>
        <v/>
      </c>
      <c r="AI135">
        <f>IF(Setup!$B$9="",0,IF(H135="",0,IF(ISNUMBER(H135),H135,1)))</f>
        <v/>
      </c>
      <c r="AJ135">
        <f>IF(Setup!$B$10="",0,IF(I135="",0,IF(ISNUMBER(I135),I135,1)))</f>
        <v/>
      </c>
      <c r="AK135">
        <f>IF(Setup!$B$11="",0,IF(J135="",0,IF(ISNUMBER(J135),J135,1)))</f>
        <v/>
      </c>
      <c r="AL135">
        <f>IF(Setup!$B$12="",0,IF(K135="",0,IF(ISNUMBER(K135),K135,1)))</f>
        <v/>
      </c>
      <c r="AM135">
        <f>IF(Setup!$B$13="",0,IF(L135="",0,IF(ISNUMBER(L135),L135,1)))</f>
        <v/>
      </c>
      <c r="AN135">
        <f>IF(Setup!$B$14="",0,IF(M135="",0,IF(ISNUMBER(M135),M135,1)))</f>
        <v/>
      </c>
      <c r="AO135">
        <f>IF(Setup!$B$15="",0,IF(N135="",0,IF(ISNUMBER(N135),N135,1)))</f>
        <v/>
      </c>
      <c r="AP135">
        <f>IF(Setup!$B$16="",0,IF(O135="",0,IF(ISNUMBER(O135),O135,1)))</f>
        <v/>
      </c>
      <c r="AQ135">
        <f>IF(Setup!$B$17="",0,IF(P135="",0,IF(ISNUMBER(P135),P135,1)))</f>
        <v/>
      </c>
      <c r="AR135">
        <f>IF(Setup!$B$18="",0,IF(Q135="",0,IF(ISNUMBER(Q135),Q135,1)))</f>
        <v/>
      </c>
      <c r="AS135">
        <f>IF(Setup!$B$19="",0,IF(R135="",0,IF(ISNUMBER(R135),R135,1)))</f>
        <v/>
      </c>
      <c r="AT135">
        <f>IF(Setup!$B$20="",0,IF(S135="",0,IF(ISNUMBER(S135),S135,1)))</f>
        <v/>
      </c>
    </row>
    <row r="136">
      <c r="A136" s="1" t="n"/>
      <c r="B136" s="24" t="n"/>
      <c r="C136" s="25" t="n"/>
      <c r="D136" s="25" t="n"/>
      <c r="E136" s="26" t="n"/>
      <c r="F136" s="27" t="n"/>
      <c r="G136" s="17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28" t="n"/>
      <c r="R136" s="28" t="n"/>
      <c r="S136" s="28" t="n"/>
      <c r="T136" s="29">
        <f>IF(N(E136)=0,"",E136*IF(F136="",1,IFERROR(INDEX(Setup!$E$9:$E$18,MATCH(F136,Setup!$D$9:$D$18,0)),0)))</f>
        <v/>
      </c>
      <c r="U136" s="30">
        <f>IF(T136="","",IF(V136=0,"Everyone",IF(COUNTIF(AI136:AT136,"&gt;0")=COUNTIF(Setup!$B$9:$B$20,"?*"),"Everyone",COUNTIF(AI136:AT136,"&gt;0")&amp;IF(COUNTIF(AI136:AT136,"&gt;0")=1," person"," people"))))</f>
        <v/>
      </c>
      <c r="V136" s="1">
        <f>SUM(AI136:AT136)</f>
        <v/>
      </c>
      <c r="W136">
        <f>IF(OR(T136="",Setup!$B$9=""),0,IF(V136=0,T136/COUNTIF(Setup!$B$9:$B$20,"?*"),T136*AI136/V136))</f>
        <v/>
      </c>
      <c r="X136">
        <f>IF(OR(T136="",Setup!$B$10=""),0,IF(V136=0,T136/COUNTIF(Setup!$B$9:$B$20,"?*"),T136*AJ136/V136))</f>
        <v/>
      </c>
      <c r="Y136">
        <f>IF(OR(T136="",Setup!$B$11=""),0,IF(V136=0,T136/COUNTIF(Setup!$B$9:$B$20,"?*"),T136*AK136/V136))</f>
        <v/>
      </c>
      <c r="Z136">
        <f>IF(OR(T136="",Setup!$B$12=""),0,IF(V136=0,T136/COUNTIF(Setup!$B$9:$B$20,"?*"),T136*AL136/V136))</f>
        <v/>
      </c>
      <c r="AA136">
        <f>IF(OR(T136="",Setup!$B$13=""),0,IF(V136=0,T136/COUNTIF(Setup!$B$9:$B$20,"?*"),T136*AM136/V136))</f>
        <v/>
      </c>
      <c r="AB136">
        <f>IF(OR(T136="",Setup!$B$14=""),0,IF(V136=0,T136/COUNTIF(Setup!$B$9:$B$20,"?*"),T136*AN136/V136))</f>
        <v/>
      </c>
      <c r="AC136">
        <f>IF(OR(T136="",Setup!$B$15=""),0,IF(V136=0,T136/COUNTIF(Setup!$B$9:$B$20,"?*"),T136*AO136/V136))</f>
        <v/>
      </c>
      <c r="AD136">
        <f>IF(OR(T136="",Setup!$B$16=""),0,IF(V136=0,T136/COUNTIF(Setup!$B$9:$B$20,"?*"),T136*AP136/V136))</f>
        <v/>
      </c>
      <c r="AE136">
        <f>IF(OR(T136="",Setup!$B$17=""),0,IF(V136=0,T136/COUNTIF(Setup!$B$9:$B$20,"?*"),T136*AQ136/V136))</f>
        <v/>
      </c>
      <c r="AF136">
        <f>IF(OR(T136="",Setup!$B$18=""),0,IF(V136=0,T136/COUNTIF(Setup!$B$9:$B$20,"?*"),T136*AR136/V136))</f>
        <v/>
      </c>
      <c r="AG136">
        <f>IF(OR(T136="",Setup!$B$19=""),0,IF(V136=0,T136/COUNTIF(Setup!$B$9:$B$20,"?*"),T136*AS136/V136))</f>
        <v/>
      </c>
      <c r="AH136">
        <f>IF(OR(T136="",Setup!$B$20=""),0,IF(V136=0,T136/COUNTIF(Setup!$B$9:$B$20,"?*"),T136*AT136/V136))</f>
        <v/>
      </c>
      <c r="AI136">
        <f>IF(Setup!$B$9="",0,IF(H136="",0,IF(ISNUMBER(H136),H136,1)))</f>
        <v/>
      </c>
      <c r="AJ136">
        <f>IF(Setup!$B$10="",0,IF(I136="",0,IF(ISNUMBER(I136),I136,1)))</f>
        <v/>
      </c>
      <c r="AK136">
        <f>IF(Setup!$B$11="",0,IF(J136="",0,IF(ISNUMBER(J136),J136,1)))</f>
        <v/>
      </c>
      <c r="AL136">
        <f>IF(Setup!$B$12="",0,IF(K136="",0,IF(ISNUMBER(K136),K136,1)))</f>
        <v/>
      </c>
      <c r="AM136">
        <f>IF(Setup!$B$13="",0,IF(L136="",0,IF(ISNUMBER(L136),L136,1)))</f>
        <v/>
      </c>
      <c r="AN136">
        <f>IF(Setup!$B$14="",0,IF(M136="",0,IF(ISNUMBER(M136),M136,1)))</f>
        <v/>
      </c>
      <c r="AO136">
        <f>IF(Setup!$B$15="",0,IF(N136="",0,IF(ISNUMBER(N136),N136,1)))</f>
        <v/>
      </c>
      <c r="AP136">
        <f>IF(Setup!$B$16="",0,IF(O136="",0,IF(ISNUMBER(O136),O136,1)))</f>
        <v/>
      </c>
      <c r="AQ136">
        <f>IF(Setup!$B$17="",0,IF(P136="",0,IF(ISNUMBER(P136),P136,1)))</f>
        <v/>
      </c>
      <c r="AR136">
        <f>IF(Setup!$B$18="",0,IF(Q136="",0,IF(ISNUMBER(Q136),Q136,1)))</f>
        <v/>
      </c>
      <c r="AS136">
        <f>IF(Setup!$B$19="",0,IF(R136="",0,IF(ISNUMBER(R136),R136,1)))</f>
        <v/>
      </c>
      <c r="AT136">
        <f>IF(Setup!$B$20="",0,IF(S136="",0,IF(ISNUMBER(S136),S136,1)))</f>
        <v/>
      </c>
    </row>
    <row r="137">
      <c r="A137" s="1" t="n"/>
      <c r="B137" s="24" t="n"/>
      <c r="C137" s="25" t="n"/>
      <c r="D137" s="25" t="n"/>
      <c r="E137" s="26" t="n"/>
      <c r="F137" s="27" t="n"/>
      <c r="G137" s="17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28" t="n"/>
      <c r="R137" s="28" t="n"/>
      <c r="S137" s="28" t="n"/>
      <c r="T137" s="29">
        <f>IF(N(E137)=0,"",E137*IF(F137="",1,IFERROR(INDEX(Setup!$E$9:$E$18,MATCH(F137,Setup!$D$9:$D$18,0)),0)))</f>
        <v/>
      </c>
      <c r="U137" s="30">
        <f>IF(T137="","",IF(V137=0,"Everyone",IF(COUNTIF(AI137:AT137,"&gt;0")=COUNTIF(Setup!$B$9:$B$20,"?*"),"Everyone",COUNTIF(AI137:AT137,"&gt;0")&amp;IF(COUNTIF(AI137:AT137,"&gt;0")=1," person"," people"))))</f>
        <v/>
      </c>
      <c r="V137" s="1">
        <f>SUM(AI137:AT137)</f>
        <v/>
      </c>
      <c r="W137">
        <f>IF(OR(T137="",Setup!$B$9=""),0,IF(V137=0,T137/COUNTIF(Setup!$B$9:$B$20,"?*"),T137*AI137/V137))</f>
        <v/>
      </c>
      <c r="X137">
        <f>IF(OR(T137="",Setup!$B$10=""),0,IF(V137=0,T137/COUNTIF(Setup!$B$9:$B$20,"?*"),T137*AJ137/V137))</f>
        <v/>
      </c>
      <c r="Y137">
        <f>IF(OR(T137="",Setup!$B$11=""),0,IF(V137=0,T137/COUNTIF(Setup!$B$9:$B$20,"?*"),T137*AK137/V137))</f>
        <v/>
      </c>
      <c r="Z137">
        <f>IF(OR(T137="",Setup!$B$12=""),0,IF(V137=0,T137/COUNTIF(Setup!$B$9:$B$20,"?*"),T137*AL137/V137))</f>
        <v/>
      </c>
      <c r="AA137">
        <f>IF(OR(T137="",Setup!$B$13=""),0,IF(V137=0,T137/COUNTIF(Setup!$B$9:$B$20,"?*"),T137*AM137/V137))</f>
        <v/>
      </c>
      <c r="AB137">
        <f>IF(OR(T137="",Setup!$B$14=""),0,IF(V137=0,T137/COUNTIF(Setup!$B$9:$B$20,"?*"),T137*AN137/V137))</f>
        <v/>
      </c>
      <c r="AC137">
        <f>IF(OR(T137="",Setup!$B$15=""),0,IF(V137=0,T137/COUNTIF(Setup!$B$9:$B$20,"?*"),T137*AO137/V137))</f>
        <v/>
      </c>
      <c r="AD137">
        <f>IF(OR(T137="",Setup!$B$16=""),0,IF(V137=0,T137/COUNTIF(Setup!$B$9:$B$20,"?*"),T137*AP137/V137))</f>
        <v/>
      </c>
      <c r="AE137">
        <f>IF(OR(T137="",Setup!$B$17=""),0,IF(V137=0,T137/COUNTIF(Setup!$B$9:$B$20,"?*"),T137*AQ137/V137))</f>
        <v/>
      </c>
      <c r="AF137">
        <f>IF(OR(T137="",Setup!$B$18=""),0,IF(V137=0,T137/COUNTIF(Setup!$B$9:$B$20,"?*"),T137*AR137/V137))</f>
        <v/>
      </c>
      <c r="AG137">
        <f>IF(OR(T137="",Setup!$B$19=""),0,IF(V137=0,T137/COUNTIF(Setup!$B$9:$B$20,"?*"),T137*AS137/V137))</f>
        <v/>
      </c>
      <c r="AH137">
        <f>IF(OR(T137="",Setup!$B$20=""),0,IF(V137=0,T137/COUNTIF(Setup!$B$9:$B$20,"?*"),T137*AT137/V137))</f>
        <v/>
      </c>
      <c r="AI137">
        <f>IF(Setup!$B$9="",0,IF(H137="",0,IF(ISNUMBER(H137),H137,1)))</f>
        <v/>
      </c>
      <c r="AJ137">
        <f>IF(Setup!$B$10="",0,IF(I137="",0,IF(ISNUMBER(I137),I137,1)))</f>
        <v/>
      </c>
      <c r="AK137">
        <f>IF(Setup!$B$11="",0,IF(J137="",0,IF(ISNUMBER(J137),J137,1)))</f>
        <v/>
      </c>
      <c r="AL137">
        <f>IF(Setup!$B$12="",0,IF(K137="",0,IF(ISNUMBER(K137),K137,1)))</f>
        <v/>
      </c>
      <c r="AM137">
        <f>IF(Setup!$B$13="",0,IF(L137="",0,IF(ISNUMBER(L137),L137,1)))</f>
        <v/>
      </c>
      <c r="AN137">
        <f>IF(Setup!$B$14="",0,IF(M137="",0,IF(ISNUMBER(M137),M137,1)))</f>
        <v/>
      </c>
      <c r="AO137">
        <f>IF(Setup!$B$15="",0,IF(N137="",0,IF(ISNUMBER(N137),N137,1)))</f>
        <v/>
      </c>
      <c r="AP137">
        <f>IF(Setup!$B$16="",0,IF(O137="",0,IF(ISNUMBER(O137),O137,1)))</f>
        <v/>
      </c>
      <c r="AQ137">
        <f>IF(Setup!$B$17="",0,IF(P137="",0,IF(ISNUMBER(P137),P137,1)))</f>
        <v/>
      </c>
      <c r="AR137">
        <f>IF(Setup!$B$18="",0,IF(Q137="",0,IF(ISNUMBER(Q137),Q137,1)))</f>
        <v/>
      </c>
      <c r="AS137">
        <f>IF(Setup!$B$19="",0,IF(R137="",0,IF(ISNUMBER(R137),R137,1)))</f>
        <v/>
      </c>
      <c r="AT137">
        <f>IF(Setup!$B$20="",0,IF(S137="",0,IF(ISNUMBER(S137),S137,1)))</f>
        <v/>
      </c>
    </row>
    <row r="138">
      <c r="A138" s="1" t="n"/>
      <c r="B138" s="24" t="n"/>
      <c r="C138" s="25" t="n"/>
      <c r="D138" s="25" t="n"/>
      <c r="E138" s="26" t="n"/>
      <c r="F138" s="27" t="n"/>
      <c r="G138" s="17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9">
        <f>IF(N(E138)=0,"",E138*IF(F138="",1,IFERROR(INDEX(Setup!$E$9:$E$18,MATCH(F138,Setup!$D$9:$D$18,0)),0)))</f>
        <v/>
      </c>
      <c r="U138" s="30">
        <f>IF(T138="","",IF(V138=0,"Everyone",IF(COUNTIF(AI138:AT138,"&gt;0")=COUNTIF(Setup!$B$9:$B$20,"?*"),"Everyone",COUNTIF(AI138:AT138,"&gt;0")&amp;IF(COUNTIF(AI138:AT138,"&gt;0")=1," person"," people"))))</f>
        <v/>
      </c>
      <c r="V138" s="1">
        <f>SUM(AI138:AT138)</f>
        <v/>
      </c>
      <c r="W138">
        <f>IF(OR(T138="",Setup!$B$9=""),0,IF(V138=0,T138/COUNTIF(Setup!$B$9:$B$20,"?*"),T138*AI138/V138))</f>
        <v/>
      </c>
      <c r="X138">
        <f>IF(OR(T138="",Setup!$B$10=""),0,IF(V138=0,T138/COUNTIF(Setup!$B$9:$B$20,"?*"),T138*AJ138/V138))</f>
        <v/>
      </c>
      <c r="Y138">
        <f>IF(OR(T138="",Setup!$B$11=""),0,IF(V138=0,T138/COUNTIF(Setup!$B$9:$B$20,"?*"),T138*AK138/V138))</f>
        <v/>
      </c>
      <c r="Z138">
        <f>IF(OR(T138="",Setup!$B$12=""),0,IF(V138=0,T138/COUNTIF(Setup!$B$9:$B$20,"?*"),T138*AL138/V138))</f>
        <v/>
      </c>
      <c r="AA138">
        <f>IF(OR(T138="",Setup!$B$13=""),0,IF(V138=0,T138/COUNTIF(Setup!$B$9:$B$20,"?*"),T138*AM138/V138))</f>
        <v/>
      </c>
      <c r="AB138">
        <f>IF(OR(T138="",Setup!$B$14=""),0,IF(V138=0,T138/COUNTIF(Setup!$B$9:$B$20,"?*"),T138*AN138/V138))</f>
        <v/>
      </c>
      <c r="AC138">
        <f>IF(OR(T138="",Setup!$B$15=""),0,IF(V138=0,T138/COUNTIF(Setup!$B$9:$B$20,"?*"),T138*AO138/V138))</f>
        <v/>
      </c>
      <c r="AD138">
        <f>IF(OR(T138="",Setup!$B$16=""),0,IF(V138=0,T138/COUNTIF(Setup!$B$9:$B$20,"?*"),T138*AP138/V138))</f>
        <v/>
      </c>
      <c r="AE138">
        <f>IF(OR(T138="",Setup!$B$17=""),0,IF(V138=0,T138/COUNTIF(Setup!$B$9:$B$20,"?*"),T138*AQ138/V138))</f>
        <v/>
      </c>
      <c r="AF138">
        <f>IF(OR(T138="",Setup!$B$18=""),0,IF(V138=0,T138/COUNTIF(Setup!$B$9:$B$20,"?*"),T138*AR138/V138))</f>
        <v/>
      </c>
      <c r="AG138">
        <f>IF(OR(T138="",Setup!$B$19=""),0,IF(V138=0,T138/COUNTIF(Setup!$B$9:$B$20,"?*"),T138*AS138/V138))</f>
        <v/>
      </c>
      <c r="AH138">
        <f>IF(OR(T138="",Setup!$B$20=""),0,IF(V138=0,T138/COUNTIF(Setup!$B$9:$B$20,"?*"),T138*AT138/V138))</f>
        <v/>
      </c>
      <c r="AI138">
        <f>IF(Setup!$B$9="",0,IF(H138="",0,IF(ISNUMBER(H138),H138,1)))</f>
        <v/>
      </c>
      <c r="AJ138">
        <f>IF(Setup!$B$10="",0,IF(I138="",0,IF(ISNUMBER(I138),I138,1)))</f>
        <v/>
      </c>
      <c r="AK138">
        <f>IF(Setup!$B$11="",0,IF(J138="",0,IF(ISNUMBER(J138),J138,1)))</f>
        <v/>
      </c>
      <c r="AL138">
        <f>IF(Setup!$B$12="",0,IF(K138="",0,IF(ISNUMBER(K138),K138,1)))</f>
        <v/>
      </c>
      <c r="AM138">
        <f>IF(Setup!$B$13="",0,IF(L138="",0,IF(ISNUMBER(L138),L138,1)))</f>
        <v/>
      </c>
      <c r="AN138">
        <f>IF(Setup!$B$14="",0,IF(M138="",0,IF(ISNUMBER(M138),M138,1)))</f>
        <v/>
      </c>
      <c r="AO138">
        <f>IF(Setup!$B$15="",0,IF(N138="",0,IF(ISNUMBER(N138),N138,1)))</f>
        <v/>
      </c>
      <c r="AP138">
        <f>IF(Setup!$B$16="",0,IF(O138="",0,IF(ISNUMBER(O138),O138,1)))</f>
        <v/>
      </c>
      <c r="AQ138">
        <f>IF(Setup!$B$17="",0,IF(P138="",0,IF(ISNUMBER(P138),P138,1)))</f>
        <v/>
      </c>
      <c r="AR138">
        <f>IF(Setup!$B$18="",0,IF(Q138="",0,IF(ISNUMBER(Q138),Q138,1)))</f>
        <v/>
      </c>
      <c r="AS138">
        <f>IF(Setup!$B$19="",0,IF(R138="",0,IF(ISNUMBER(R138),R138,1)))</f>
        <v/>
      </c>
      <c r="AT138">
        <f>IF(Setup!$B$20="",0,IF(S138="",0,IF(ISNUMBER(S138),S138,1)))</f>
        <v/>
      </c>
    </row>
    <row r="139">
      <c r="A139" s="1" t="n"/>
      <c r="B139" s="24" t="n"/>
      <c r="C139" s="25" t="n"/>
      <c r="D139" s="25" t="n"/>
      <c r="E139" s="26" t="n"/>
      <c r="F139" s="27" t="n"/>
      <c r="G139" s="17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28" t="n"/>
      <c r="R139" s="28" t="n"/>
      <c r="S139" s="28" t="n"/>
      <c r="T139" s="29">
        <f>IF(N(E139)=0,"",E139*IF(F139="",1,IFERROR(INDEX(Setup!$E$9:$E$18,MATCH(F139,Setup!$D$9:$D$18,0)),0)))</f>
        <v/>
      </c>
      <c r="U139" s="30">
        <f>IF(T139="","",IF(V139=0,"Everyone",IF(COUNTIF(AI139:AT139,"&gt;0")=COUNTIF(Setup!$B$9:$B$20,"?*"),"Everyone",COUNTIF(AI139:AT139,"&gt;0")&amp;IF(COUNTIF(AI139:AT139,"&gt;0")=1," person"," people"))))</f>
        <v/>
      </c>
      <c r="V139" s="1">
        <f>SUM(AI139:AT139)</f>
        <v/>
      </c>
      <c r="W139">
        <f>IF(OR(T139="",Setup!$B$9=""),0,IF(V139=0,T139/COUNTIF(Setup!$B$9:$B$20,"?*"),T139*AI139/V139))</f>
        <v/>
      </c>
      <c r="X139">
        <f>IF(OR(T139="",Setup!$B$10=""),0,IF(V139=0,T139/COUNTIF(Setup!$B$9:$B$20,"?*"),T139*AJ139/V139))</f>
        <v/>
      </c>
      <c r="Y139">
        <f>IF(OR(T139="",Setup!$B$11=""),0,IF(V139=0,T139/COUNTIF(Setup!$B$9:$B$20,"?*"),T139*AK139/V139))</f>
        <v/>
      </c>
      <c r="Z139">
        <f>IF(OR(T139="",Setup!$B$12=""),0,IF(V139=0,T139/COUNTIF(Setup!$B$9:$B$20,"?*"),T139*AL139/V139))</f>
        <v/>
      </c>
      <c r="AA139">
        <f>IF(OR(T139="",Setup!$B$13=""),0,IF(V139=0,T139/COUNTIF(Setup!$B$9:$B$20,"?*"),T139*AM139/V139))</f>
        <v/>
      </c>
      <c r="AB139">
        <f>IF(OR(T139="",Setup!$B$14=""),0,IF(V139=0,T139/COUNTIF(Setup!$B$9:$B$20,"?*"),T139*AN139/V139))</f>
        <v/>
      </c>
      <c r="AC139">
        <f>IF(OR(T139="",Setup!$B$15=""),0,IF(V139=0,T139/COUNTIF(Setup!$B$9:$B$20,"?*"),T139*AO139/V139))</f>
        <v/>
      </c>
      <c r="AD139">
        <f>IF(OR(T139="",Setup!$B$16=""),0,IF(V139=0,T139/COUNTIF(Setup!$B$9:$B$20,"?*"),T139*AP139/V139))</f>
        <v/>
      </c>
      <c r="AE139">
        <f>IF(OR(T139="",Setup!$B$17=""),0,IF(V139=0,T139/COUNTIF(Setup!$B$9:$B$20,"?*"),T139*AQ139/V139))</f>
        <v/>
      </c>
      <c r="AF139">
        <f>IF(OR(T139="",Setup!$B$18=""),0,IF(V139=0,T139/COUNTIF(Setup!$B$9:$B$20,"?*"),T139*AR139/V139))</f>
        <v/>
      </c>
      <c r="AG139">
        <f>IF(OR(T139="",Setup!$B$19=""),0,IF(V139=0,T139/COUNTIF(Setup!$B$9:$B$20,"?*"),T139*AS139/V139))</f>
        <v/>
      </c>
      <c r="AH139">
        <f>IF(OR(T139="",Setup!$B$20=""),0,IF(V139=0,T139/COUNTIF(Setup!$B$9:$B$20,"?*"),T139*AT139/V139))</f>
        <v/>
      </c>
      <c r="AI139">
        <f>IF(Setup!$B$9="",0,IF(H139="",0,IF(ISNUMBER(H139),H139,1)))</f>
        <v/>
      </c>
      <c r="AJ139">
        <f>IF(Setup!$B$10="",0,IF(I139="",0,IF(ISNUMBER(I139),I139,1)))</f>
        <v/>
      </c>
      <c r="AK139">
        <f>IF(Setup!$B$11="",0,IF(J139="",0,IF(ISNUMBER(J139),J139,1)))</f>
        <v/>
      </c>
      <c r="AL139">
        <f>IF(Setup!$B$12="",0,IF(K139="",0,IF(ISNUMBER(K139),K139,1)))</f>
        <v/>
      </c>
      <c r="AM139">
        <f>IF(Setup!$B$13="",0,IF(L139="",0,IF(ISNUMBER(L139),L139,1)))</f>
        <v/>
      </c>
      <c r="AN139">
        <f>IF(Setup!$B$14="",0,IF(M139="",0,IF(ISNUMBER(M139),M139,1)))</f>
        <v/>
      </c>
      <c r="AO139">
        <f>IF(Setup!$B$15="",0,IF(N139="",0,IF(ISNUMBER(N139),N139,1)))</f>
        <v/>
      </c>
      <c r="AP139">
        <f>IF(Setup!$B$16="",0,IF(O139="",0,IF(ISNUMBER(O139),O139,1)))</f>
        <v/>
      </c>
      <c r="AQ139">
        <f>IF(Setup!$B$17="",0,IF(P139="",0,IF(ISNUMBER(P139),P139,1)))</f>
        <v/>
      </c>
      <c r="AR139">
        <f>IF(Setup!$B$18="",0,IF(Q139="",0,IF(ISNUMBER(Q139),Q139,1)))</f>
        <v/>
      </c>
      <c r="AS139">
        <f>IF(Setup!$B$19="",0,IF(R139="",0,IF(ISNUMBER(R139),R139,1)))</f>
        <v/>
      </c>
      <c r="AT139">
        <f>IF(Setup!$B$20="",0,IF(S139="",0,IF(ISNUMBER(S139),S139,1)))</f>
        <v/>
      </c>
    </row>
    <row r="140">
      <c r="A140" s="1" t="n"/>
      <c r="B140" s="24" t="n"/>
      <c r="C140" s="25" t="n"/>
      <c r="D140" s="25" t="n"/>
      <c r="E140" s="26" t="n"/>
      <c r="F140" s="27" t="n"/>
      <c r="G140" s="17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28" t="n"/>
      <c r="R140" s="28" t="n"/>
      <c r="S140" s="28" t="n"/>
      <c r="T140" s="29">
        <f>IF(N(E140)=0,"",E140*IF(F140="",1,IFERROR(INDEX(Setup!$E$9:$E$18,MATCH(F140,Setup!$D$9:$D$18,0)),0)))</f>
        <v/>
      </c>
      <c r="U140" s="30">
        <f>IF(T140="","",IF(V140=0,"Everyone",IF(COUNTIF(AI140:AT140,"&gt;0")=COUNTIF(Setup!$B$9:$B$20,"?*"),"Everyone",COUNTIF(AI140:AT140,"&gt;0")&amp;IF(COUNTIF(AI140:AT140,"&gt;0")=1," person"," people"))))</f>
        <v/>
      </c>
      <c r="V140" s="1">
        <f>SUM(AI140:AT140)</f>
        <v/>
      </c>
      <c r="W140">
        <f>IF(OR(T140="",Setup!$B$9=""),0,IF(V140=0,T140/COUNTIF(Setup!$B$9:$B$20,"?*"),T140*AI140/V140))</f>
        <v/>
      </c>
      <c r="X140">
        <f>IF(OR(T140="",Setup!$B$10=""),0,IF(V140=0,T140/COUNTIF(Setup!$B$9:$B$20,"?*"),T140*AJ140/V140))</f>
        <v/>
      </c>
      <c r="Y140">
        <f>IF(OR(T140="",Setup!$B$11=""),0,IF(V140=0,T140/COUNTIF(Setup!$B$9:$B$20,"?*"),T140*AK140/V140))</f>
        <v/>
      </c>
      <c r="Z140">
        <f>IF(OR(T140="",Setup!$B$12=""),0,IF(V140=0,T140/COUNTIF(Setup!$B$9:$B$20,"?*"),T140*AL140/V140))</f>
        <v/>
      </c>
      <c r="AA140">
        <f>IF(OR(T140="",Setup!$B$13=""),0,IF(V140=0,T140/COUNTIF(Setup!$B$9:$B$20,"?*"),T140*AM140/V140))</f>
        <v/>
      </c>
      <c r="AB140">
        <f>IF(OR(T140="",Setup!$B$14=""),0,IF(V140=0,T140/COUNTIF(Setup!$B$9:$B$20,"?*"),T140*AN140/V140))</f>
        <v/>
      </c>
      <c r="AC140">
        <f>IF(OR(T140="",Setup!$B$15=""),0,IF(V140=0,T140/COUNTIF(Setup!$B$9:$B$20,"?*"),T140*AO140/V140))</f>
        <v/>
      </c>
      <c r="AD140">
        <f>IF(OR(T140="",Setup!$B$16=""),0,IF(V140=0,T140/COUNTIF(Setup!$B$9:$B$20,"?*"),T140*AP140/V140))</f>
        <v/>
      </c>
      <c r="AE140">
        <f>IF(OR(T140="",Setup!$B$17=""),0,IF(V140=0,T140/COUNTIF(Setup!$B$9:$B$20,"?*"),T140*AQ140/V140))</f>
        <v/>
      </c>
      <c r="AF140">
        <f>IF(OR(T140="",Setup!$B$18=""),0,IF(V140=0,T140/COUNTIF(Setup!$B$9:$B$20,"?*"),T140*AR140/V140))</f>
        <v/>
      </c>
      <c r="AG140">
        <f>IF(OR(T140="",Setup!$B$19=""),0,IF(V140=0,T140/COUNTIF(Setup!$B$9:$B$20,"?*"),T140*AS140/V140))</f>
        <v/>
      </c>
      <c r="AH140">
        <f>IF(OR(T140="",Setup!$B$20=""),0,IF(V140=0,T140/COUNTIF(Setup!$B$9:$B$20,"?*"),T140*AT140/V140))</f>
        <v/>
      </c>
      <c r="AI140">
        <f>IF(Setup!$B$9="",0,IF(H140="",0,IF(ISNUMBER(H140),H140,1)))</f>
        <v/>
      </c>
      <c r="AJ140">
        <f>IF(Setup!$B$10="",0,IF(I140="",0,IF(ISNUMBER(I140),I140,1)))</f>
        <v/>
      </c>
      <c r="AK140">
        <f>IF(Setup!$B$11="",0,IF(J140="",0,IF(ISNUMBER(J140),J140,1)))</f>
        <v/>
      </c>
      <c r="AL140">
        <f>IF(Setup!$B$12="",0,IF(K140="",0,IF(ISNUMBER(K140),K140,1)))</f>
        <v/>
      </c>
      <c r="AM140">
        <f>IF(Setup!$B$13="",0,IF(L140="",0,IF(ISNUMBER(L140),L140,1)))</f>
        <v/>
      </c>
      <c r="AN140">
        <f>IF(Setup!$B$14="",0,IF(M140="",0,IF(ISNUMBER(M140),M140,1)))</f>
        <v/>
      </c>
      <c r="AO140">
        <f>IF(Setup!$B$15="",0,IF(N140="",0,IF(ISNUMBER(N140),N140,1)))</f>
        <v/>
      </c>
      <c r="AP140">
        <f>IF(Setup!$B$16="",0,IF(O140="",0,IF(ISNUMBER(O140),O140,1)))</f>
        <v/>
      </c>
      <c r="AQ140">
        <f>IF(Setup!$B$17="",0,IF(P140="",0,IF(ISNUMBER(P140),P140,1)))</f>
        <v/>
      </c>
      <c r="AR140">
        <f>IF(Setup!$B$18="",0,IF(Q140="",0,IF(ISNUMBER(Q140),Q140,1)))</f>
        <v/>
      </c>
      <c r="AS140">
        <f>IF(Setup!$B$19="",0,IF(R140="",0,IF(ISNUMBER(R140),R140,1)))</f>
        <v/>
      </c>
      <c r="AT140">
        <f>IF(Setup!$B$20="",0,IF(S140="",0,IF(ISNUMBER(S140),S140,1)))</f>
        <v/>
      </c>
    </row>
    <row r="141">
      <c r="A141" s="1" t="n"/>
      <c r="B141" s="24" t="n"/>
      <c r="C141" s="25" t="n"/>
      <c r="D141" s="25" t="n"/>
      <c r="E141" s="26" t="n"/>
      <c r="F141" s="27" t="n"/>
      <c r="G141" s="17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9">
        <f>IF(N(E141)=0,"",E141*IF(F141="",1,IFERROR(INDEX(Setup!$E$9:$E$18,MATCH(F141,Setup!$D$9:$D$18,0)),0)))</f>
        <v/>
      </c>
      <c r="U141" s="30">
        <f>IF(T141="","",IF(V141=0,"Everyone",IF(COUNTIF(AI141:AT141,"&gt;0")=COUNTIF(Setup!$B$9:$B$20,"?*"),"Everyone",COUNTIF(AI141:AT141,"&gt;0")&amp;IF(COUNTIF(AI141:AT141,"&gt;0")=1," person"," people"))))</f>
        <v/>
      </c>
      <c r="V141" s="1">
        <f>SUM(AI141:AT141)</f>
        <v/>
      </c>
      <c r="W141">
        <f>IF(OR(T141="",Setup!$B$9=""),0,IF(V141=0,T141/COUNTIF(Setup!$B$9:$B$20,"?*"),T141*AI141/V141))</f>
        <v/>
      </c>
      <c r="X141">
        <f>IF(OR(T141="",Setup!$B$10=""),0,IF(V141=0,T141/COUNTIF(Setup!$B$9:$B$20,"?*"),T141*AJ141/V141))</f>
        <v/>
      </c>
      <c r="Y141">
        <f>IF(OR(T141="",Setup!$B$11=""),0,IF(V141=0,T141/COUNTIF(Setup!$B$9:$B$20,"?*"),T141*AK141/V141))</f>
        <v/>
      </c>
      <c r="Z141">
        <f>IF(OR(T141="",Setup!$B$12=""),0,IF(V141=0,T141/COUNTIF(Setup!$B$9:$B$20,"?*"),T141*AL141/V141))</f>
        <v/>
      </c>
      <c r="AA141">
        <f>IF(OR(T141="",Setup!$B$13=""),0,IF(V141=0,T141/COUNTIF(Setup!$B$9:$B$20,"?*"),T141*AM141/V141))</f>
        <v/>
      </c>
      <c r="AB141">
        <f>IF(OR(T141="",Setup!$B$14=""),0,IF(V141=0,T141/COUNTIF(Setup!$B$9:$B$20,"?*"),T141*AN141/V141))</f>
        <v/>
      </c>
      <c r="AC141">
        <f>IF(OR(T141="",Setup!$B$15=""),0,IF(V141=0,T141/COUNTIF(Setup!$B$9:$B$20,"?*"),T141*AO141/V141))</f>
        <v/>
      </c>
      <c r="AD141">
        <f>IF(OR(T141="",Setup!$B$16=""),0,IF(V141=0,T141/COUNTIF(Setup!$B$9:$B$20,"?*"),T141*AP141/V141))</f>
        <v/>
      </c>
      <c r="AE141">
        <f>IF(OR(T141="",Setup!$B$17=""),0,IF(V141=0,T141/COUNTIF(Setup!$B$9:$B$20,"?*"),T141*AQ141/V141))</f>
        <v/>
      </c>
      <c r="AF141">
        <f>IF(OR(T141="",Setup!$B$18=""),0,IF(V141=0,T141/COUNTIF(Setup!$B$9:$B$20,"?*"),T141*AR141/V141))</f>
        <v/>
      </c>
      <c r="AG141">
        <f>IF(OR(T141="",Setup!$B$19=""),0,IF(V141=0,T141/COUNTIF(Setup!$B$9:$B$20,"?*"),T141*AS141/V141))</f>
        <v/>
      </c>
      <c r="AH141">
        <f>IF(OR(T141="",Setup!$B$20=""),0,IF(V141=0,T141/COUNTIF(Setup!$B$9:$B$20,"?*"),T141*AT141/V141))</f>
        <v/>
      </c>
      <c r="AI141">
        <f>IF(Setup!$B$9="",0,IF(H141="",0,IF(ISNUMBER(H141),H141,1)))</f>
        <v/>
      </c>
      <c r="AJ141">
        <f>IF(Setup!$B$10="",0,IF(I141="",0,IF(ISNUMBER(I141),I141,1)))</f>
        <v/>
      </c>
      <c r="AK141">
        <f>IF(Setup!$B$11="",0,IF(J141="",0,IF(ISNUMBER(J141),J141,1)))</f>
        <v/>
      </c>
      <c r="AL141">
        <f>IF(Setup!$B$12="",0,IF(K141="",0,IF(ISNUMBER(K141),K141,1)))</f>
        <v/>
      </c>
      <c r="AM141">
        <f>IF(Setup!$B$13="",0,IF(L141="",0,IF(ISNUMBER(L141),L141,1)))</f>
        <v/>
      </c>
      <c r="AN141">
        <f>IF(Setup!$B$14="",0,IF(M141="",0,IF(ISNUMBER(M141),M141,1)))</f>
        <v/>
      </c>
      <c r="AO141">
        <f>IF(Setup!$B$15="",0,IF(N141="",0,IF(ISNUMBER(N141),N141,1)))</f>
        <v/>
      </c>
      <c r="AP141">
        <f>IF(Setup!$B$16="",0,IF(O141="",0,IF(ISNUMBER(O141),O141,1)))</f>
        <v/>
      </c>
      <c r="AQ141">
        <f>IF(Setup!$B$17="",0,IF(P141="",0,IF(ISNUMBER(P141),P141,1)))</f>
        <v/>
      </c>
      <c r="AR141">
        <f>IF(Setup!$B$18="",0,IF(Q141="",0,IF(ISNUMBER(Q141),Q141,1)))</f>
        <v/>
      </c>
      <c r="AS141">
        <f>IF(Setup!$B$19="",0,IF(R141="",0,IF(ISNUMBER(R141),R141,1)))</f>
        <v/>
      </c>
      <c r="AT141">
        <f>IF(Setup!$B$20="",0,IF(S141="",0,IF(ISNUMBER(S141),S141,1)))</f>
        <v/>
      </c>
    </row>
    <row r="142">
      <c r="A142" s="1" t="n"/>
      <c r="B142" s="24" t="n"/>
      <c r="C142" s="25" t="n"/>
      <c r="D142" s="25" t="n"/>
      <c r="E142" s="26" t="n"/>
      <c r="F142" s="27" t="n"/>
      <c r="G142" s="17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8" t="n"/>
      <c r="T142" s="29">
        <f>IF(N(E142)=0,"",E142*IF(F142="",1,IFERROR(INDEX(Setup!$E$9:$E$18,MATCH(F142,Setup!$D$9:$D$18,0)),0)))</f>
        <v/>
      </c>
      <c r="U142" s="30">
        <f>IF(T142="","",IF(V142=0,"Everyone",IF(COUNTIF(AI142:AT142,"&gt;0")=COUNTIF(Setup!$B$9:$B$20,"?*"),"Everyone",COUNTIF(AI142:AT142,"&gt;0")&amp;IF(COUNTIF(AI142:AT142,"&gt;0")=1," person"," people"))))</f>
        <v/>
      </c>
      <c r="V142" s="1">
        <f>SUM(AI142:AT142)</f>
        <v/>
      </c>
      <c r="W142">
        <f>IF(OR(T142="",Setup!$B$9=""),0,IF(V142=0,T142/COUNTIF(Setup!$B$9:$B$20,"?*"),T142*AI142/V142))</f>
        <v/>
      </c>
      <c r="X142">
        <f>IF(OR(T142="",Setup!$B$10=""),0,IF(V142=0,T142/COUNTIF(Setup!$B$9:$B$20,"?*"),T142*AJ142/V142))</f>
        <v/>
      </c>
      <c r="Y142">
        <f>IF(OR(T142="",Setup!$B$11=""),0,IF(V142=0,T142/COUNTIF(Setup!$B$9:$B$20,"?*"),T142*AK142/V142))</f>
        <v/>
      </c>
      <c r="Z142">
        <f>IF(OR(T142="",Setup!$B$12=""),0,IF(V142=0,T142/COUNTIF(Setup!$B$9:$B$20,"?*"),T142*AL142/V142))</f>
        <v/>
      </c>
      <c r="AA142">
        <f>IF(OR(T142="",Setup!$B$13=""),0,IF(V142=0,T142/COUNTIF(Setup!$B$9:$B$20,"?*"),T142*AM142/V142))</f>
        <v/>
      </c>
      <c r="AB142">
        <f>IF(OR(T142="",Setup!$B$14=""),0,IF(V142=0,T142/COUNTIF(Setup!$B$9:$B$20,"?*"),T142*AN142/V142))</f>
        <v/>
      </c>
      <c r="AC142">
        <f>IF(OR(T142="",Setup!$B$15=""),0,IF(V142=0,T142/COUNTIF(Setup!$B$9:$B$20,"?*"),T142*AO142/V142))</f>
        <v/>
      </c>
      <c r="AD142">
        <f>IF(OR(T142="",Setup!$B$16=""),0,IF(V142=0,T142/COUNTIF(Setup!$B$9:$B$20,"?*"),T142*AP142/V142))</f>
        <v/>
      </c>
      <c r="AE142">
        <f>IF(OR(T142="",Setup!$B$17=""),0,IF(V142=0,T142/COUNTIF(Setup!$B$9:$B$20,"?*"),T142*AQ142/V142))</f>
        <v/>
      </c>
      <c r="AF142">
        <f>IF(OR(T142="",Setup!$B$18=""),0,IF(V142=0,T142/COUNTIF(Setup!$B$9:$B$20,"?*"),T142*AR142/V142))</f>
        <v/>
      </c>
      <c r="AG142">
        <f>IF(OR(T142="",Setup!$B$19=""),0,IF(V142=0,T142/COUNTIF(Setup!$B$9:$B$20,"?*"),T142*AS142/V142))</f>
        <v/>
      </c>
      <c r="AH142">
        <f>IF(OR(T142="",Setup!$B$20=""),0,IF(V142=0,T142/COUNTIF(Setup!$B$9:$B$20,"?*"),T142*AT142/V142))</f>
        <v/>
      </c>
      <c r="AI142">
        <f>IF(Setup!$B$9="",0,IF(H142="",0,IF(ISNUMBER(H142),H142,1)))</f>
        <v/>
      </c>
      <c r="AJ142">
        <f>IF(Setup!$B$10="",0,IF(I142="",0,IF(ISNUMBER(I142),I142,1)))</f>
        <v/>
      </c>
      <c r="AK142">
        <f>IF(Setup!$B$11="",0,IF(J142="",0,IF(ISNUMBER(J142),J142,1)))</f>
        <v/>
      </c>
      <c r="AL142">
        <f>IF(Setup!$B$12="",0,IF(K142="",0,IF(ISNUMBER(K142),K142,1)))</f>
        <v/>
      </c>
      <c r="AM142">
        <f>IF(Setup!$B$13="",0,IF(L142="",0,IF(ISNUMBER(L142),L142,1)))</f>
        <v/>
      </c>
      <c r="AN142">
        <f>IF(Setup!$B$14="",0,IF(M142="",0,IF(ISNUMBER(M142),M142,1)))</f>
        <v/>
      </c>
      <c r="AO142">
        <f>IF(Setup!$B$15="",0,IF(N142="",0,IF(ISNUMBER(N142),N142,1)))</f>
        <v/>
      </c>
      <c r="AP142">
        <f>IF(Setup!$B$16="",0,IF(O142="",0,IF(ISNUMBER(O142),O142,1)))</f>
        <v/>
      </c>
      <c r="AQ142">
        <f>IF(Setup!$B$17="",0,IF(P142="",0,IF(ISNUMBER(P142),P142,1)))</f>
        <v/>
      </c>
      <c r="AR142">
        <f>IF(Setup!$B$18="",0,IF(Q142="",0,IF(ISNUMBER(Q142),Q142,1)))</f>
        <v/>
      </c>
      <c r="AS142">
        <f>IF(Setup!$B$19="",0,IF(R142="",0,IF(ISNUMBER(R142),R142,1)))</f>
        <v/>
      </c>
      <c r="AT142">
        <f>IF(Setup!$B$20="",0,IF(S142="",0,IF(ISNUMBER(S142),S142,1)))</f>
        <v/>
      </c>
    </row>
    <row r="143">
      <c r="A143" s="1" t="n"/>
      <c r="B143" s="24" t="n"/>
      <c r="C143" s="25" t="n"/>
      <c r="D143" s="25" t="n"/>
      <c r="E143" s="26" t="n"/>
      <c r="F143" s="27" t="n"/>
      <c r="G143" s="17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28" t="n"/>
      <c r="R143" s="28" t="n"/>
      <c r="S143" s="28" t="n"/>
      <c r="T143" s="29">
        <f>IF(N(E143)=0,"",E143*IF(F143="",1,IFERROR(INDEX(Setup!$E$9:$E$18,MATCH(F143,Setup!$D$9:$D$18,0)),0)))</f>
        <v/>
      </c>
      <c r="U143" s="30">
        <f>IF(T143="","",IF(V143=0,"Everyone",IF(COUNTIF(AI143:AT143,"&gt;0")=COUNTIF(Setup!$B$9:$B$20,"?*"),"Everyone",COUNTIF(AI143:AT143,"&gt;0")&amp;IF(COUNTIF(AI143:AT143,"&gt;0")=1," person"," people"))))</f>
        <v/>
      </c>
      <c r="V143" s="1">
        <f>SUM(AI143:AT143)</f>
        <v/>
      </c>
      <c r="W143">
        <f>IF(OR(T143="",Setup!$B$9=""),0,IF(V143=0,T143/COUNTIF(Setup!$B$9:$B$20,"?*"),T143*AI143/V143))</f>
        <v/>
      </c>
      <c r="X143">
        <f>IF(OR(T143="",Setup!$B$10=""),0,IF(V143=0,T143/COUNTIF(Setup!$B$9:$B$20,"?*"),T143*AJ143/V143))</f>
        <v/>
      </c>
      <c r="Y143">
        <f>IF(OR(T143="",Setup!$B$11=""),0,IF(V143=0,T143/COUNTIF(Setup!$B$9:$B$20,"?*"),T143*AK143/V143))</f>
        <v/>
      </c>
      <c r="Z143">
        <f>IF(OR(T143="",Setup!$B$12=""),0,IF(V143=0,T143/COUNTIF(Setup!$B$9:$B$20,"?*"),T143*AL143/V143))</f>
        <v/>
      </c>
      <c r="AA143">
        <f>IF(OR(T143="",Setup!$B$13=""),0,IF(V143=0,T143/COUNTIF(Setup!$B$9:$B$20,"?*"),T143*AM143/V143))</f>
        <v/>
      </c>
      <c r="AB143">
        <f>IF(OR(T143="",Setup!$B$14=""),0,IF(V143=0,T143/COUNTIF(Setup!$B$9:$B$20,"?*"),T143*AN143/V143))</f>
        <v/>
      </c>
      <c r="AC143">
        <f>IF(OR(T143="",Setup!$B$15=""),0,IF(V143=0,T143/COUNTIF(Setup!$B$9:$B$20,"?*"),T143*AO143/V143))</f>
        <v/>
      </c>
      <c r="AD143">
        <f>IF(OR(T143="",Setup!$B$16=""),0,IF(V143=0,T143/COUNTIF(Setup!$B$9:$B$20,"?*"),T143*AP143/V143))</f>
        <v/>
      </c>
      <c r="AE143">
        <f>IF(OR(T143="",Setup!$B$17=""),0,IF(V143=0,T143/COUNTIF(Setup!$B$9:$B$20,"?*"),T143*AQ143/V143))</f>
        <v/>
      </c>
      <c r="AF143">
        <f>IF(OR(T143="",Setup!$B$18=""),0,IF(V143=0,T143/COUNTIF(Setup!$B$9:$B$20,"?*"),T143*AR143/V143))</f>
        <v/>
      </c>
      <c r="AG143">
        <f>IF(OR(T143="",Setup!$B$19=""),0,IF(V143=0,T143/COUNTIF(Setup!$B$9:$B$20,"?*"),T143*AS143/V143))</f>
        <v/>
      </c>
      <c r="AH143">
        <f>IF(OR(T143="",Setup!$B$20=""),0,IF(V143=0,T143/COUNTIF(Setup!$B$9:$B$20,"?*"),T143*AT143/V143))</f>
        <v/>
      </c>
      <c r="AI143">
        <f>IF(Setup!$B$9="",0,IF(H143="",0,IF(ISNUMBER(H143),H143,1)))</f>
        <v/>
      </c>
      <c r="AJ143">
        <f>IF(Setup!$B$10="",0,IF(I143="",0,IF(ISNUMBER(I143),I143,1)))</f>
        <v/>
      </c>
      <c r="AK143">
        <f>IF(Setup!$B$11="",0,IF(J143="",0,IF(ISNUMBER(J143),J143,1)))</f>
        <v/>
      </c>
      <c r="AL143">
        <f>IF(Setup!$B$12="",0,IF(K143="",0,IF(ISNUMBER(K143),K143,1)))</f>
        <v/>
      </c>
      <c r="AM143">
        <f>IF(Setup!$B$13="",0,IF(L143="",0,IF(ISNUMBER(L143),L143,1)))</f>
        <v/>
      </c>
      <c r="AN143">
        <f>IF(Setup!$B$14="",0,IF(M143="",0,IF(ISNUMBER(M143),M143,1)))</f>
        <v/>
      </c>
      <c r="AO143">
        <f>IF(Setup!$B$15="",0,IF(N143="",0,IF(ISNUMBER(N143),N143,1)))</f>
        <v/>
      </c>
      <c r="AP143">
        <f>IF(Setup!$B$16="",0,IF(O143="",0,IF(ISNUMBER(O143),O143,1)))</f>
        <v/>
      </c>
      <c r="AQ143">
        <f>IF(Setup!$B$17="",0,IF(P143="",0,IF(ISNUMBER(P143),P143,1)))</f>
        <v/>
      </c>
      <c r="AR143">
        <f>IF(Setup!$B$18="",0,IF(Q143="",0,IF(ISNUMBER(Q143),Q143,1)))</f>
        <v/>
      </c>
      <c r="AS143">
        <f>IF(Setup!$B$19="",0,IF(R143="",0,IF(ISNUMBER(R143),R143,1)))</f>
        <v/>
      </c>
      <c r="AT143">
        <f>IF(Setup!$B$20="",0,IF(S143="",0,IF(ISNUMBER(S143),S143,1)))</f>
        <v/>
      </c>
    </row>
    <row r="144">
      <c r="A144" s="1" t="n"/>
      <c r="B144" s="24" t="n"/>
      <c r="C144" s="25" t="n"/>
      <c r="D144" s="25" t="n"/>
      <c r="E144" s="26" t="n"/>
      <c r="F144" s="27" t="n"/>
      <c r="G144" s="17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9">
        <f>IF(N(E144)=0,"",E144*IF(F144="",1,IFERROR(INDEX(Setup!$E$9:$E$18,MATCH(F144,Setup!$D$9:$D$18,0)),0)))</f>
        <v/>
      </c>
      <c r="U144" s="30">
        <f>IF(T144="","",IF(V144=0,"Everyone",IF(COUNTIF(AI144:AT144,"&gt;0")=COUNTIF(Setup!$B$9:$B$20,"?*"),"Everyone",COUNTIF(AI144:AT144,"&gt;0")&amp;IF(COUNTIF(AI144:AT144,"&gt;0")=1," person"," people"))))</f>
        <v/>
      </c>
      <c r="V144" s="1">
        <f>SUM(AI144:AT144)</f>
        <v/>
      </c>
      <c r="W144">
        <f>IF(OR(T144="",Setup!$B$9=""),0,IF(V144=0,T144/COUNTIF(Setup!$B$9:$B$20,"?*"),T144*AI144/V144))</f>
        <v/>
      </c>
      <c r="X144">
        <f>IF(OR(T144="",Setup!$B$10=""),0,IF(V144=0,T144/COUNTIF(Setup!$B$9:$B$20,"?*"),T144*AJ144/V144))</f>
        <v/>
      </c>
      <c r="Y144">
        <f>IF(OR(T144="",Setup!$B$11=""),0,IF(V144=0,T144/COUNTIF(Setup!$B$9:$B$20,"?*"),T144*AK144/V144))</f>
        <v/>
      </c>
      <c r="Z144">
        <f>IF(OR(T144="",Setup!$B$12=""),0,IF(V144=0,T144/COUNTIF(Setup!$B$9:$B$20,"?*"),T144*AL144/V144))</f>
        <v/>
      </c>
      <c r="AA144">
        <f>IF(OR(T144="",Setup!$B$13=""),0,IF(V144=0,T144/COUNTIF(Setup!$B$9:$B$20,"?*"),T144*AM144/V144))</f>
        <v/>
      </c>
      <c r="AB144">
        <f>IF(OR(T144="",Setup!$B$14=""),0,IF(V144=0,T144/COUNTIF(Setup!$B$9:$B$20,"?*"),T144*AN144/V144))</f>
        <v/>
      </c>
      <c r="AC144">
        <f>IF(OR(T144="",Setup!$B$15=""),0,IF(V144=0,T144/COUNTIF(Setup!$B$9:$B$20,"?*"),T144*AO144/V144))</f>
        <v/>
      </c>
      <c r="AD144">
        <f>IF(OR(T144="",Setup!$B$16=""),0,IF(V144=0,T144/COUNTIF(Setup!$B$9:$B$20,"?*"),T144*AP144/V144))</f>
        <v/>
      </c>
      <c r="AE144">
        <f>IF(OR(T144="",Setup!$B$17=""),0,IF(V144=0,T144/COUNTIF(Setup!$B$9:$B$20,"?*"),T144*AQ144/V144))</f>
        <v/>
      </c>
      <c r="AF144">
        <f>IF(OR(T144="",Setup!$B$18=""),0,IF(V144=0,T144/COUNTIF(Setup!$B$9:$B$20,"?*"),T144*AR144/V144))</f>
        <v/>
      </c>
      <c r="AG144">
        <f>IF(OR(T144="",Setup!$B$19=""),0,IF(V144=0,T144/COUNTIF(Setup!$B$9:$B$20,"?*"),T144*AS144/V144))</f>
        <v/>
      </c>
      <c r="AH144">
        <f>IF(OR(T144="",Setup!$B$20=""),0,IF(V144=0,T144/COUNTIF(Setup!$B$9:$B$20,"?*"),T144*AT144/V144))</f>
        <v/>
      </c>
      <c r="AI144">
        <f>IF(Setup!$B$9="",0,IF(H144="",0,IF(ISNUMBER(H144),H144,1)))</f>
        <v/>
      </c>
      <c r="AJ144">
        <f>IF(Setup!$B$10="",0,IF(I144="",0,IF(ISNUMBER(I144),I144,1)))</f>
        <v/>
      </c>
      <c r="AK144">
        <f>IF(Setup!$B$11="",0,IF(J144="",0,IF(ISNUMBER(J144),J144,1)))</f>
        <v/>
      </c>
      <c r="AL144">
        <f>IF(Setup!$B$12="",0,IF(K144="",0,IF(ISNUMBER(K144),K144,1)))</f>
        <v/>
      </c>
      <c r="AM144">
        <f>IF(Setup!$B$13="",0,IF(L144="",0,IF(ISNUMBER(L144),L144,1)))</f>
        <v/>
      </c>
      <c r="AN144">
        <f>IF(Setup!$B$14="",0,IF(M144="",0,IF(ISNUMBER(M144),M144,1)))</f>
        <v/>
      </c>
      <c r="AO144">
        <f>IF(Setup!$B$15="",0,IF(N144="",0,IF(ISNUMBER(N144),N144,1)))</f>
        <v/>
      </c>
      <c r="AP144">
        <f>IF(Setup!$B$16="",0,IF(O144="",0,IF(ISNUMBER(O144),O144,1)))</f>
        <v/>
      </c>
      <c r="AQ144">
        <f>IF(Setup!$B$17="",0,IF(P144="",0,IF(ISNUMBER(P144),P144,1)))</f>
        <v/>
      </c>
      <c r="AR144">
        <f>IF(Setup!$B$18="",0,IF(Q144="",0,IF(ISNUMBER(Q144),Q144,1)))</f>
        <v/>
      </c>
      <c r="AS144">
        <f>IF(Setup!$B$19="",0,IF(R144="",0,IF(ISNUMBER(R144),R144,1)))</f>
        <v/>
      </c>
      <c r="AT144">
        <f>IF(Setup!$B$20="",0,IF(S144="",0,IF(ISNUMBER(S144),S144,1)))</f>
        <v/>
      </c>
    </row>
    <row r="145">
      <c r="A145" s="1" t="n"/>
      <c r="B145" s="24" t="n"/>
      <c r="C145" s="25" t="n"/>
      <c r="D145" s="25" t="n"/>
      <c r="E145" s="26" t="n"/>
      <c r="F145" s="27" t="n"/>
      <c r="G145" s="17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9">
        <f>IF(N(E145)=0,"",E145*IF(F145="",1,IFERROR(INDEX(Setup!$E$9:$E$18,MATCH(F145,Setup!$D$9:$D$18,0)),0)))</f>
        <v/>
      </c>
      <c r="U145" s="30">
        <f>IF(T145="","",IF(V145=0,"Everyone",IF(COUNTIF(AI145:AT145,"&gt;0")=COUNTIF(Setup!$B$9:$B$20,"?*"),"Everyone",COUNTIF(AI145:AT145,"&gt;0")&amp;IF(COUNTIF(AI145:AT145,"&gt;0")=1," person"," people"))))</f>
        <v/>
      </c>
      <c r="V145" s="1">
        <f>SUM(AI145:AT145)</f>
        <v/>
      </c>
      <c r="W145">
        <f>IF(OR(T145="",Setup!$B$9=""),0,IF(V145=0,T145/COUNTIF(Setup!$B$9:$B$20,"?*"),T145*AI145/V145))</f>
        <v/>
      </c>
      <c r="X145">
        <f>IF(OR(T145="",Setup!$B$10=""),0,IF(V145=0,T145/COUNTIF(Setup!$B$9:$B$20,"?*"),T145*AJ145/V145))</f>
        <v/>
      </c>
      <c r="Y145">
        <f>IF(OR(T145="",Setup!$B$11=""),0,IF(V145=0,T145/COUNTIF(Setup!$B$9:$B$20,"?*"),T145*AK145/V145))</f>
        <v/>
      </c>
      <c r="Z145">
        <f>IF(OR(T145="",Setup!$B$12=""),0,IF(V145=0,T145/COUNTIF(Setup!$B$9:$B$20,"?*"),T145*AL145/V145))</f>
        <v/>
      </c>
      <c r="AA145">
        <f>IF(OR(T145="",Setup!$B$13=""),0,IF(V145=0,T145/COUNTIF(Setup!$B$9:$B$20,"?*"),T145*AM145/V145))</f>
        <v/>
      </c>
      <c r="AB145">
        <f>IF(OR(T145="",Setup!$B$14=""),0,IF(V145=0,T145/COUNTIF(Setup!$B$9:$B$20,"?*"),T145*AN145/V145))</f>
        <v/>
      </c>
      <c r="AC145">
        <f>IF(OR(T145="",Setup!$B$15=""),0,IF(V145=0,T145/COUNTIF(Setup!$B$9:$B$20,"?*"),T145*AO145/V145))</f>
        <v/>
      </c>
      <c r="AD145">
        <f>IF(OR(T145="",Setup!$B$16=""),0,IF(V145=0,T145/COUNTIF(Setup!$B$9:$B$20,"?*"),T145*AP145/V145))</f>
        <v/>
      </c>
      <c r="AE145">
        <f>IF(OR(T145="",Setup!$B$17=""),0,IF(V145=0,T145/COUNTIF(Setup!$B$9:$B$20,"?*"),T145*AQ145/V145))</f>
        <v/>
      </c>
      <c r="AF145">
        <f>IF(OR(T145="",Setup!$B$18=""),0,IF(V145=0,T145/COUNTIF(Setup!$B$9:$B$20,"?*"),T145*AR145/V145))</f>
        <v/>
      </c>
      <c r="AG145">
        <f>IF(OR(T145="",Setup!$B$19=""),0,IF(V145=0,T145/COUNTIF(Setup!$B$9:$B$20,"?*"),T145*AS145/V145))</f>
        <v/>
      </c>
      <c r="AH145">
        <f>IF(OR(T145="",Setup!$B$20=""),0,IF(V145=0,T145/COUNTIF(Setup!$B$9:$B$20,"?*"),T145*AT145/V145))</f>
        <v/>
      </c>
      <c r="AI145">
        <f>IF(Setup!$B$9="",0,IF(H145="",0,IF(ISNUMBER(H145),H145,1)))</f>
        <v/>
      </c>
      <c r="AJ145">
        <f>IF(Setup!$B$10="",0,IF(I145="",0,IF(ISNUMBER(I145),I145,1)))</f>
        <v/>
      </c>
      <c r="AK145">
        <f>IF(Setup!$B$11="",0,IF(J145="",0,IF(ISNUMBER(J145),J145,1)))</f>
        <v/>
      </c>
      <c r="AL145">
        <f>IF(Setup!$B$12="",0,IF(K145="",0,IF(ISNUMBER(K145),K145,1)))</f>
        <v/>
      </c>
      <c r="AM145">
        <f>IF(Setup!$B$13="",0,IF(L145="",0,IF(ISNUMBER(L145),L145,1)))</f>
        <v/>
      </c>
      <c r="AN145">
        <f>IF(Setup!$B$14="",0,IF(M145="",0,IF(ISNUMBER(M145),M145,1)))</f>
        <v/>
      </c>
      <c r="AO145">
        <f>IF(Setup!$B$15="",0,IF(N145="",0,IF(ISNUMBER(N145),N145,1)))</f>
        <v/>
      </c>
      <c r="AP145">
        <f>IF(Setup!$B$16="",0,IF(O145="",0,IF(ISNUMBER(O145),O145,1)))</f>
        <v/>
      </c>
      <c r="AQ145">
        <f>IF(Setup!$B$17="",0,IF(P145="",0,IF(ISNUMBER(P145),P145,1)))</f>
        <v/>
      </c>
      <c r="AR145">
        <f>IF(Setup!$B$18="",0,IF(Q145="",0,IF(ISNUMBER(Q145),Q145,1)))</f>
        <v/>
      </c>
      <c r="AS145">
        <f>IF(Setup!$B$19="",0,IF(R145="",0,IF(ISNUMBER(R145),R145,1)))</f>
        <v/>
      </c>
      <c r="AT145">
        <f>IF(Setup!$B$20="",0,IF(S145="",0,IF(ISNUMBER(S145),S145,1)))</f>
        <v/>
      </c>
    </row>
    <row r="146">
      <c r="A146" s="1" t="n"/>
      <c r="B146" s="24" t="n"/>
      <c r="C146" s="25" t="n"/>
      <c r="D146" s="25" t="n"/>
      <c r="E146" s="26" t="n"/>
      <c r="F146" s="27" t="n"/>
      <c r="G146" s="17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28" t="n"/>
      <c r="R146" s="28" t="n"/>
      <c r="S146" s="28" t="n"/>
      <c r="T146" s="29">
        <f>IF(N(E146)=0,"",E146*IF(F146="",1,IFERROR(INDEX(Setup!$E$9:$E$18,MATCH(F146,Setup!$D$9:$D$18,0)),0)))</f>
        <v/>
      </c>
      <c r="U146" s="30">
        <f>IF(T146="","",IF(V146=0,"Everyone",IF(COUNTIF(AI146:AT146,"&gt;0")=COUNTIF(Setup!$B$9:$B$20,"?*"),"Everyone",COUNTIF(AI146:AT146,"&gt;0")&amp;IF(COUNTIF(AI146:AT146,"&gt;0")=1," person"," people"))))</f>
        <v/>
      </c>
      <c r="V146" s="1">
        <f>SUM(AI146:AT146)</f>
        <v/>
      </c>
      <c r="W146">
        <f>IF(OR(T146="",Setup!$B$9=""),0,IF(V146=0,T146/COUNTIF(Setup!$B$9:$B$20,"?*"),T146*AI146/V146))</f>
        <v/>
      </c>
      <c r="X146">
        <f>IF(OR(T146="",Setup!$B$10=""),0,IF(V146=0,T146/COUNTIF(Setup!$B$9:$B$20,"?*"),T146*AJ146/V146))</f>
        <v/>
      </c>
      <c r="Y146">
        <f>IF(OR(T146="",Setup!$B$11=""),0,IF(V146=0,T146/COUNTIF(Setup!$B$9:$B$20,"?*"),T146*AK146/V146))</f>
        <v/>
      </c>
      <c r="Z146">
        <f>IF(OR(T146="",Setup!$B$12=""),0,IF(V146=0,T146/COUNTIF(Setup!$B$9:$B$20,"?*"),T146*AL146/V146))</f>
        <v/>
      </c>
      <c r="AA146">
        <f>IF(OR(T146="",Setup!$B$13=""),0,IF(V146=0,T146/COUNTIF(Setup!$B$9:$B$20,"?*"),T146*AM146/V146))</f>
        <v/>
      </c>
      <c r="AB146">
        <f>IF(OR(T146="",Setup!$B$14=""),0,IF(V146=0,T146/COUNTIF(Setup!$B$9:$B$20,"?*"),T146*AN146/V146))</f>
        <v/>
      </c>
      <c r="AC146">
        <f>IF(OR(T146="",Setup!$B$15=""),0,IF(V146=0,T146/COUNTIF(Setup!$B$9:$B$20,"?*"),T146*AO146/V146))</f>
        <v/>
      </c>
      <c r="AD146">
        <f>IF(OR(T146="",Setup!$B$16=""),0,IF(V146=0,T146/COUNTIF(Setup!$B$9:$B$20,"?*"),T146*AP146/V146))</f>
        <v/>
      </c>
      <c r="AE146">
        <f>IF(OR(T146="",Setup!$B$17=""),0,IF(V146=0,T146/COUNTIF(Setup!$B$9:$B$20,"?*"),T146*AQ146/V146))</f>
        <v/>
      </c>
      <c r="AF146">
        <f>IF(OR(T146="",Setup!$B$18=""),0,IF(V146=0,T146/COUNTIF(Setup!$B$9:$B$20,"?*"),T146*AR146/V146))</f>
        <v/>
      </c>
      <c r="AG146">
        <f>IF(OR(T146="",Setup!$B$19=""),0,IF(V146=0,T146/COUNTIF(Setup!$B$9:$B$20,"?*"),T146*AS146/V146))</f>
        <v/>
      </c>
      <c r="AH146">
        <f>IF(OR(T146="",Setup!$B$20=""),0,IF(V146=0,T146/COUNTIF(Setup!$B$9:$B$20,"?*"),T146*AT146/V146))</f>
        <v/>
      </c>
      <c r="AI146">
        <f>IF(Setup!$B$9="",0,IF(H146="",0,IF(ISNUMBER(H146),H146,1)))</f>
        <v/>
      </c>
      <c r="AJ146">
        <f>IF(Setup!$B$10="",0,IF(I146="",0,IF(ISNUMBER(I146),I146,1)))</f>
        <v/>
      </c>
      <c r="AK146">
        <f>IF(Setup!$B$11="",0,IF(J146="",0,IF(ISNUMBER(J146),J146,1)))</f>
        <v/>
      </c>
      <c r="AL146">
        <f>IF(Setup!$B$12="",0,IF(K146="",0,IF(ISNUMBER(K146),K146,1)))</f>
        <v/>
      </c>
      <c r="AM146">
        <f>IF(Setup!$B$13="",0,IF(L146="",0,IF(ISNUMBER(L146),L146,1)))</f>
        <v/>
      </c>
      <c r="AN146">
        <f>IF(Setup!$B$14="",0,IF(M146="",0,IF(ISNUMBER(M146),M146,1)))</f>
        <v/>
      </c>
      <c r="AO146">
        <f>IF(Setup!$B$15="",0,IF(N146="",0,IF(ISNUMBER(N146),N146,1)))</f>
        <v/>
      </c>
      <c r="AP146">
        <f>IF(Setup!$B$16="",0,IF(O146="",0,IF(ISNUMBER(O146),O146,1)))</f>
        <v/>
      </c>
      <c r="AQ146">
        <f>IF(Setup!$B$17="",0,IF(P146="",0,IF(ISNUMBER(P146),P146,1)))</f>
        <v/>
      </c>
      <c r="AR146">
        <f>IF(Setup!$B$18="",0,IF(Q146="",0,IF(ISNUMBER(Q146),Q146,1)))</f>
        <v/>
      </c>
      <c r="AS146">
        <f>IF(Setup!$B$19="",0,IF(R146="",0,IF(ISNUMBER(R146),R146,1)))</f>
        <v/>
      </c>
      <c r="AT146">
        <f>IF(Setup!$B$20="",0,IF(S146="",0,IF(ISNUMBER(S146),S146,1)))</f>
        <v/>
      </c>
    </row>
    <row r="147">
      <c r="A147" s="1" t="n"/>
      <c r="B147" s="24" t="n"/>
      <c r="C147" s="25" t="n"/>
      <c r="D147" s="25" t="n"/>
      <c r="E147" s="26" t="n"/>
      <c r="F147" s="27" t="n"/>
      <c r="G147" s="17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28" t="n"/>
      <c r="R147" s="28" t="n"/>
      <c r="S147" s="28" t="n"/>
      <c r="T147" s="29">
        <f>IF(N(E147)=0,"",E147*IF(F147="",1,IFERROR(INDEX(Setup!$E$9:$E$18,MATCH(F147,Setup!$D$9:$D$18,0)),0)))</f>
        <v/>
      </c>
      <c r="U147" s="30">
        <f>IF(T147="","",IF(V147=0,"Everyone",IF(COUNTIF(AI147:AT147,"&gt;0")=COUNTIF(Setup!$B$9:$B$20,"?*"),"Everyone",COUNTIF(AI147:AT147,"&gt;0")&amp;IF(COUNTIF(AI147:AT147,"&gt;0")=1," person"," people"))))</f>
        <v/>
      </c>
      <c r="V147" s="1">
        <f>SUM(AI147:AT147)</f>
        <v/>
      </c>
      <c r="W147">
        <f>IF(OR(T147="",Setup!$B$9=""),0,IF(V147=0,T147/COUNTIF(Setup!$B$9:$B$20,"?*"),T147*AI147/V147))</f>
        <v/>
      </c>
      <c r="X147">
        <f>IF(OR(T147="",Setup!$B$10=""),0,IF(V147=0,T147/COUNTIF(Setup!$B$9:$B$20,"?*"),T147*AJ147/V147))</f>
        <v/>
      </c>
      <c r="Y147">
        <f>IF(OR(T147="",Setup!$B$11=""),0,IF(V147=0,T147/COUNTIF(Setup!$B$9:$B$20,"?*"),T147*AK147/V147))</f>
        <v/>
      </c>
      <c r="Z147">
        <f>IF(OR(T147="",Setup!$B$12=""),0,IF(V147=0,T147/COUNTIF(Setup!$B$9:$B$20,"?*"),T147*AL147/V147))</f>
        <v/>
      </c>
      <c r="AA147">
        <f>IF(OR(T147="",Setup!$B$13=""),0,IF(V147=0,T147/COUNTIF(Setup!$B$9:$B$20,"?*"),T147*AM147/V147))</f>
        <v/>
      </c>
      <c r="AB147">
        <f>IF(OR(T147="",Setup!$B$14=""),0,IF(V147=0,T147/COUNTIF(Setup!$B$9:$B$20,"?*"),T147*AN147/V147))</f>
        <v/>
      </c>
      <c r="AC147">
        <f>IF(OR(T147="",Setup!$B$15=""),0,IF(V147=0,T147/COUNTIF(Setup!$B$9:$B$20,"?*"),T147*AO147/V147))</f>
        <v/>
      </c>
      <c r="AD147">
        <f>IF(OR(T147="",Setup!$B$16=""),0,IF(V147=0,T147/COUNTIF(Setup!$B$9:$B$20,"?*"),T147*AP147/V147))</f>
        <v/>
      </c>
      <c r="AE147">
        <f>IF(OR(T147="",Setup!$B$17=""),0,IF(V147=0,T147/COUNTIF(Setup!$B$9:$B$20,"?*"),T147*AQ147/V147))</f>
        <v/>
      </c>
      <c r="AF147">
        <f>IF(OR(T147="",Setup!$B$18=""),0,IF(V147=0,T147/COUNTIF(Setup!$B$9:$B$20,"?*"),T147*AR147/V147))</f>
        <v/>
      </c>
      <c r="AG147">
        <f>IF(OR(T147="",Setup!$B$19=""),0,IF(V147=0,T147/COUNTIF(Setup!$B$9:$B$20,"?*"),T147*AS147/V147))</f>
        <v/>
      </c>
      <c r="AH147">
        <f>IF(OR(T147="",Setup!$B$20=""),0,IF(V147=0,T147/COUNTIF(Setup!$B$9:$B$20,"?*"),T147*AT147/V147))</f>
        <v/>
      </c>
      <c r="AI147">
        <f>IF(Setup!$B$9="",0,IF(H147="",0,IF(ISNUMBER(H147),H147,1)))</f>
        <v/>
      </c>
      <c r="AJ147">
        <f>IF(Setup!$B$10="",0,IF(I147="",0,IF(ISNUMBER(I147),I147,1)))</f>
        <v/>
      </c>
      <c r="AK147">
        <f>IF(Setup!$B$11="",0,IF(J147="",0,IF(ISNUMBER(J147),J147,1)))</f>
        <v/>
      </c>
      <c r="AL147">
        <f>IF(Setup!$B$12="",0,IF(K147="",0,IF(ISNUMBER(K147),K147,1)))</f>
        <v/>
      </c>
      <c r="AM147">
        <f>IF(Setup!$B$13="",0,IF(L147="",0,IF(ISNUMBER(L147),L147,1)))</f>
        <v/>
      </c>
      <c r="AN147">
        <f>IF(Setup!$B$14="",0,IF(M147="",0,IF(ISNUMBER(M147),M147,1)))</f>
        <v/>
      </c>
      <c r="AO147">
        <f>IF(Setup!$B$15="",0,IF(N147="",0,IF(ISNUMBER(N147),N147,1)))</f>
        <v/>
      </c>
      <c r="AP147">
        <f>IF(Setup!$B$16="",0,IF(O147="",0,IF(ISNUMBER(O147),O147,1)))</f>
        <v/>
      </c>
      <c r="AQ147">
        <f>IF(Setup!$B$17="",0,IF(P147="",0,IF(ISNUMBER(P147),P147,1)))</f>
        <v/>
      </c>
      <c r="AR147">
        <f>IF(Setup!$B$18="",0,IF(Q147="",0,IF(ISNUMBER(Q147),Q147,1)))</f>
        <v/>
      </c>
      <c r="AS147">
        <f>IF(Setup!$B$19="",0,IF(R147="",0,IF(ISNUMBER(R147),R147,1)))</f>
        <v/>
      </c>
      <c r="AT147">
        <f>IF(Setup!$B$20="",0,IF(S147="",0,IF(ISNUMBER(S147),S147,1)))</f>
        <v/>
      </c>
    </row>
    <row r="148">
      <c r="A148" s="1" t="n"/>
      <c r="B148" s="24" t="n"/>
      <c r="C148" s="25" t="n"/>
      <c r="D148" s="25" t="n"/>
      <c r="E148" s="26" t="n"/>
      <c r="F148" s="27" t="n"/>
      <c r="G148" s="17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28" t="n"/>
      <c r="R148" s="28" t="n"/>
      <c r="S148" s="28" t="n"/>
      <c r="T148" s="29">
        <f>IF(N(E148)=0,"",E148*IF(F148="",1,IFERROR(INDEX(Setup!$E$9:$E$18,MATCH(F148,Setup!$D$9:$D$18,0)),0)))</f>
        <v/>
      </c>
      <c r="U148" s="30">
        <f>IF(T148="","",IF(V148=0,"Everyone",IF(COUNTIF(AI148:AT148,"&gt;0")=COUNTIF(Setup!$B$9:$B$20,"?*"),"Everyone",COUNTIF(AI148:AT148,"&gt;0")&amp;IF(COUNTIF(AI148:AT148,"&gt;0")=1," person"," people"))))</f>
        <v/>
      </c>
      <c r="V148" s="1">
        <f>SUM(AI148:AT148)</f>
        <v/>
      </c>
      <c r="W148">
        <f>IF(OR(T148="",Setup!$B$9=""),0,IF(V148=0,T148/COUNTIF(Setup!$B$9:$B$20,"?*"),T148*AI148/V148))</f>
        <v/>
      </c>
      <c r="X148">
        <f>IF(OR(T148="",Setup!$B$10=""),0,IF(V148=0,T148/COUNTIF(Setup!$B$9:$B$20,"?*"),T148*AJ148/V148))</f>
        <v/>
      </c>
      <c r="Y148">
        <f>IF(OR(T148="",Setup!$B$11=""),0,IF(V148=0,T148/COUNTIF(Setup!$B$9:$B$20,"?*"),T148*AK148/V148))</f>
        <v/>
      </c>
      <c r="Z148">
        <f>IF(OR(T148="",Setup!$B$12=""),0,IF(V148=0,T148/COUNTIF(Setup!$B$9:$B$20,"?*"),T148*AL148/V148))</f>
        <v/>
      </c>
      <c r="AA148">
        <f>IF(OR(T148="",Setup!$B$13=""),0,IF(V148=0,T148/COUNTIF(Setup!$B$9:$B$20,"?*"),T148*AM148/V148))</f>
        <v/>
      </c>
      <c r="AB148">
        <f>IF(OR(T148="",Setup!$B$14=""),0,IF(V148=0,T148/COUNTIF(Setup!$B$9:$B$20,"?*"),T148*AN148/V148))</f>
        <v/>
      </c>
      <c r="AC148">
        <f>IF(OR(T148="",Setup!$B$15=""),0,IF(V148=0,T148/COUNTIF(Setup!$B$9:$B$20,"?*"),T148*AO148/V148))</f>
        <v/>
      </c>
      <c r="AD148">
        <f>IF(OR(T148="",Setup!$B$16=""),0,IF(V148=0,T148/COUNTIF(Setup!$B$9:$B$20,"?*"),T148*AP148/V148))</f>
        <v/>
      </c>
      <c r="AE148">
        <f>IF(OR(T148="",Setup!$B$17=""),0,IF(V148=0,T148/COUNTIF(Setup!$B$9:$B$20,"?*"),T148*AQ148/V148))</f>
        <v/>
      </c>
      <c r="AF148">
        <f>IF(OR(T148="",Setup!$B$18=""),0,IF(V148=0,T148/COUNTIF(Setup!$B$9:$B$20,"?*"),T148*AR148/V148))</f>
        <v/>
      </c>
      <c r="AG148">
        <f>IF(OR(T148="",Setup!$B$19=""),0,IF(V148=0,T148/COUNTIF(Setup!$B$9:$B$20,"?*"),T148*AS148/V148))</f>
        <v/>
      </c>
      <c r="AH148">
        <f>IF(OR(T148="",Setup!$B$20=""),0,IF(V148=0,T148/COUNTIF(Setup!$B$9:$B$20,"?*"),T148*AT148/V148))</f>
        <v/>
      </c>
      <c r="AI148">
        <f>IF(Setup!$B$9="",0,IF(H148="",0,IF(ISNUMBER(H148),H148,1)))</f>
        <v/>
      </c>
      <c r="AJ148">
        <f>IF(Setup!$B$10="",0,IF(I148="",0,IF(ISNUMBER(I148),I148,1)))</f>
        <v/>
      </c>
      <c r="AK148">
        <f>IF(Setup!$B$11="",0,IF(J148="",0,IF(ISNUMBER(J148),J148,1)))</f>
        <v/>
      </c>
      <c r="AL148">
        <f>IF(Setup!$B$12="",0,IF(K148="",0,IF(ISNUMBER(K148),K148,1)))</f>
        <v/>
      </c>
      <c r="AM148">
        <f>IF(Setup!$B$13="",0,IF(L148="",0,IF(ISNUMBER(L148),L148,1)))</f>
        <v/>
      </c>
      <c r="AN148">
        <f>IF(Setup!$B$14="",0,IF(M148="",0,IF(ISNUMBER(M148),M148,1)))</f>
        <v/>
      </c>
      <c r="AO148">
        <f>IF(Setup!$B$15="",0,IF(N148="",0,IF(ISNUMBER(N148),N148,1)))</f>
        <v/>
      </c>
      <c r="AP148">
        <f>IF(Setup!$B$16="",0,IF(O148="",0,IF(ISNUMBER(O148),O148,1)))</f>
        <v/>
      </c>
      <c r="AQ148">
        <f>IF(Setup!$B$17="",0,IF(P148="",0,IF(ISNUMBER(P148),P148,1)))</f>
        <v/>
      </c>
      <c r="AR148">
        <f>IF(Setup!$B$18="",0,IF(Q148="",0,IF(ISNUMBER(Q148),Q148,1)))</f>
        <v/>
      </c>
      <c r="AS148">
        <f>IF(Setup!$B$19="",0,IF(R148="",0,IF(ISNUMBER(R148),R148,1)))</f>
        <v/>
      </c>
      <c r="AT148">
        <f>IF(Setup!$B$20="",0,IF(S148="",0,IF(ISNUMBER(S148),S148,1)))</f>
        <v/>
      </c>
    </row>
    <row r="149">
      <c r="A149" s="1" t="n"/>
      <c r="B149" s="24" t="n"/>
      <c r="C149" s="25" t="n"/>
      <c r="D149" s="25" t="n"/>
      <c r="E149" s="26" t="n"/>
      <c r="F149" s="27" t="n"/>
      <c r="G149" s="17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28" t="n"/>
      <c r="R149" s="28" t="n"/>
      <c r="S149" s="28" t="n"/>
      <c r="T149" s="29">
        <f>IF(N(E149)=0,"",E149*IF(F149="",1,IFERROR(INDEX(Setup!$E$9:$E$18,MATCH(F149,Setup!$D$9:$D$18,0)),0)))</f>
        <v/>
      </c>
      <c r="U149" s="30">
        <f>IF(T149="","",IF(V149=0,"Everyone",IF(COUNTIF(AI149:AT149,"&gt;0")=COUNTIF(Setup!$B$9:$B$20,"?*"),"Everyone",COUNTIF(AI149:AT149,"&gt;0")&amp;IF(COUNTIF(AI149:AT149,"&gt;0")=1," person"," people"))))</f>
        <v/>
      </c>
      <c r="V149" s="1">
        <f>SUM(AI149:AT149)</f>
        <v/>
      </c>
      <c r="W149">
        <f>IF(OR(T149="",Setup!$B$9=""),0,IF(V149=0,T149/COUNTIF(Setup!$B$9:$B$20,"?*"),T149*AI149/V149))</f>
        <v/>
      </c>
      <c r="X149">
        <f>IF(OR(T149="",Setup!$B$10=""),0,IF(V149=0,T149/COUNTIF(Setup!$B$9:$B$20,"?*"),T149*AJ149/V149))</f>
        <v/>
      </c>
      <c r="Y149">
        <f>IF(OR(T149="",Setup!$B$11=""),0,IF(V149=0,T149/COUNTIF(Setup!$B$9:$B$20,"?*"),T149*AK149/V149))</f>
        <v/>
      </c>
      <c r="Z149">
        <f>IF(OR(T149="",Setup!$B$12=""),0,IF(V149=0,T149/COUNTIF(Setup!$B$9:$B$20,"?*"),T149*AL149/V149))</f>
        <v/>
      </c>
      <c r="AA149">
        <f>IF(OR(T149="",Setup!$B$13=""),0,IF(V149=0,T149/COUNTIF(Setup!$B$9:$B$20,"?*"),T149*AM149/V149))</f>
        <v/>
      </c>
      <c r="AB149">
        <f>IF(OR(T149="",Setup!$B$14=""),0,IF(V149=0,T149/COUNTIF(Setup!$B$9:$B$20,"?*"),T149*AN149/V149))</f>
        <v/>
      </c>
      <c r="AC149">
        <f>IF(OR(T149="",Setup!$B$15=""),0,IF(V149=0,T149/COUNTIF(Setup!$B$9:$B$20,"?*"),T149*AO149/V149))</f>
        <v/>
      </c>
      <c r="AD149">
        <f>IF(OR(T149="",Setup!$B$16=""),0,IF(V149=0,T149/COUNTIF(Setup!$B$9:$B$20,"?*"),T149*AP149/V149))</f>
        <v/>
      </c>
      <c r="AE149">
        <f>IF(OR(T149="",Setup!$B$17=""),0,IF(V149=0,T149/COUNTIF(Setup!$B$9:$B$20,"?*"),T149*AQ149/V149))</f>
        <v/>
      </c>
      <c r="AF149">
        <f>IF(OR(T149="",Setup!$B$18=""),0,IF(V149=0,T149/COUNTIF(Setup!$B$9:$B$20,"?*"),T149*AR149/V149))</f>
        <v/>
      </c>
      <c r="AG149">
        <f>IF(OR(T149="",Setup!$B$19=""),0,IF(V149=0,T149/COUNTIF(Setup!$B$9:$B$20,"?*"),T149*AS149/V149))</f>
        <v/>
      </c>
      <c r="AH149">
        <f>IF(OR(T149="",Setup!$B$20=""),0,IF(V149=0,T149/COUNTIF(Setup!$B$9:$B$20,"?*"),T149*AT149/V149))</f>
        <v/>
      </c>
      <c r="AI149">
        <f>IF(Setup!$B$9="",0,IF(H149="",0,IF(ISNUMBER(H149),H149,1)))</f>
        <v/>
      </c>
      <c r="AJ149">
        <f>IF(Setup!$B$10="",0,IF(I149="",0,IF(ISNUMBER(I149),I149,1)))</f>
        <v/>
      </c>
      <c r="AK149">
        <f>IF(Setup!$B$11="",0,IF(J149="",0,IF(ISNUMBER(J149),J149,1)))</f>
        <v/>
      </c>
      <c r="AL149">
        <f>IF(Setup!$B$12="",0,IF(K149="",0,IF(ISNUMBER(K149),K149,1)))</f>
        <v/>
      </c>
      <c r="AM149">
        <f>IF(Setup!$B$13="",0,IF(L149="",0,IF(ISNUMBER(L149),L149,1)))</f>
        <v/>
      </c>
      <c r="AN149">
        <f>IF(Setup!$B$14="",0,IF(M149="",0,IF(ISNUMBER(M149),M149,1)))</f>
        <v/>
      </c>
      <c r="AO149">
        <f>IF(Setup!$B$15="",0,IF(N149="",0,IF(ISNUMBER(N149),N149,1)))</f>
        <v/>
      </c>
      <c r="AP149">
        <f>IF(Setup!$B$16="",0,IF(O149="",0,IF(ISNUMBER(O149),O149,1)))</f>
        <v/>
      </c>
      <c r="AQ149">
        <f>IF(Setup!$B$17="",0,IF(P149="",0,IF(ISNUMBER(P149),P149,1)))</f>
        <v/>
      </c>
      <c r="AR149">
        <f>IF(Setup!$B$18="",0,IF(Q149="",0,IF(ISNUMBER(Q149),Q149,1)))</f>
        <v/>
      </c>
      <c r="AS149">
        <f>IF(Setup!$B$19="",0,IF(R149="",0,IF(ISNUMBER(R149),R149,1)))</f>
        <v/>
      </c>
      <c r="AT149">
        <f>IF(Setup!$B$20="",0,IF(S149="",0,IF(ISNUMBER(S149),S149,1)))</f>
        <v/>
      </c>
    </row>
    <row r="150">
      <c r="A150" s="1" t="n"/>
      <c r="B150" s="24" t="n"/>
      <c r="C150" s="25" t="n"/>
      <c r="D150" s="25" t="n"/>
      <c r="E150" s="26" t="n"/>
      <c r="F150" s="27" t="n"/>
      <c r="G150" s="17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8" t="n"/>
      <c r="T150" s="29">
        <f>IF(N(E150)=0,"",E150*IF(F150="",1,IFERROR(INDEX(Setup!$E$9:$E$18,MATCH(F150,Setup!$D$9:$D$18,0)),0)))</f>
        <v/>
      </c>
      <c r="U150" s="30">
        <f>IF(T150="","",IF(V150=0,"Everyone",IF(COUNTIF(AI150:AT150,"&gt;0")=COUNTIF(Setup!$B$9:$B$20,"?*"),"Everyone",COUNTIF(AI150:AT150,"&gt;0")&amp;IF(COUNTIF(AI150:AT150,"&gt;0")=1," person"," people"))))</f>
        <v/>
      </c>
      <c r="V150" s="1">
        <f>SUM(AI150:AT150)</f>
        <v/>
      </c>
      <c r="W150">
        <f>IF(OR(T150="",Setup!$B$9=""),0,IF(V150=0,T150/COUNTIF(Setup!$B$9:$B$20,"?*"),T150*AI150/V150))</f>
        <v/>
      </c>
      <c r="X150">
        <f>IF(OR(T150="",Setup!$B$10=""),0,IF(V150=0,T150/COUNTIF(Setup!$B$9:$B$20,"?*"),T150*AJ150/V150))</f>
        <v/>
      </c>
      <c r="Y150">
        <f>IF(OR(T150="",Setup!$B$11=""),0,IF(V150=0,T150/COUNTIF(Setup!$B$9:$B$20,"?*"),T150*AK150/V150))</f>
        <v/>
      </c>
      <c r="Z150">
        <f>IF(OR(T150="",Setup!$B$12=""),0,IF(V150=0,T150/COUNTIF(Setup!$B$9:$B$20,"?*"),T150*AL150/V150))</f>
        <v/>
      </c>
      <c r="AA150">
        <f>IF(OR(T150="",Setup!$B$13=""),0,IF(V150=0,T150/COUNTIF(Setup!$B$9:$B$20,"?*"),T150*AM150/V150))</f>
        <v/>
      </c>
      <c r="AB150">
        <f>IF(OR(T150="",Setup!$B$14=""),0,IF(V150=0,T150/COUNTIF(Setup!$B$9:$B$20,"?*"),T150*AN150/V150))</f>
        <v/>
      </c>
      <c r="AC150">
        <f>IF(OR(T150="",Setup!$B$15=""),0,IF(V150=0,T150/COUNTIF(Setup!$B$9:$B$20,"?*"),T150*AO150/V150))</f>
        <v/>
      </c>
      <c r="AD150">
        <f>IF(OR(T150="",Setup!$B$16=""),0,IF(V150=0,T150/COUNTIF(Setup!$B$9:$B$20,"?*"),T150*AP150/V150))</f>
        <v/>
      </c>
      <c r="AE150">
        <f>IF(OR(T150="",Setup!$B$17=""),0,IF(V150=0,T150/COUNTIF(Setup!$B$9:$B$20,"?*"),T150*AQ150/V150))</f>
        <v/>
      </c>
      <c r="AF150">
        <f>IF(OR(T150="",Setup!$B$18=""),0,IF(V150=0,T150/COUNTIF(Setup!$B$9:$B$20,"?*"),T150*AR150/V150))</f>
        <v/>
      </c>
      <c r="AG150">
        <f>IF(OR(T150="",Setup!$B$19=""),0,IF(V150=0,T150/COUNTIF(Setup!$B$9:$B$20,"?*"),T150*AS150/V150))</f>
        <v/>
      </c>
      <c r="AH150">
        <f>IF(OR(T150="",Setup!$B$20=""),0,IF(V150=0,T150/COUNTIF(Setup!$B$9:$B$20,"?*"),T150*AT150/V150))</f>
        <v/>
      </c>
      <c r="AI150">
        <f>IF(Setup!$B$9="",0,IF(H150="",0,IF(ISNUMBER(H150),H150,1)))</f>
        <v/>
      </c>
      <c r="AJ150">
        <f>IF(Setup!$B$10="",0,IF(I150="",0,IF(ISNUMBER(I150),I150,1)))</f>
        <v/>
      </c>
      <c r="AK150">
        <f>IF(Setup!$B$11="",0,IF(J150="",0,IF(ISNUMBER(J150),J150,1)))</f>
        <v/>
      </c>
      <c r="AL150">
        <f>IF(Setup!$B$12="",0,IF(K150="",0,IF(ISNUMBER(K150),K150,1)))</f>
        <v/>
      </c>
      <c r="AM150">
        <f>IF(Setup!$B$13="",0,IF(L150="",0,IF(ISNUMBER(L150),L150,1)))</f>
        <v/>
      </c>
      <c r="AN150">
        <f>IF(Setup!$B$14="",0,IF(M150="",0,IF(ISNUMBER(M150),M150,1)))</f>
        <v/>
      </c>
      <c r="AO150">
        <f>IF(Setup!$B$15="",0,IF(N150="",0,IF(ISNUMBER(N150),N150,1)))</f>
        <v/>
      </c>
      <c r="AP150">
        <f>IF(Setup!$B$16="",0,IF(O150="",0,IF(ISNUMBER(O150),O150,1)))</f>
        <v/>
      </c>
      <c r="AQ150">
        <f>IF(Setup!$B$17="",0,IF(P150="",0,IF(ISNUMBER(P150),P150,1)))</f>
        <v/>
      </c>
      <c r="AR150">
        <f>IF(Setup!$B$18="",0,IF(Q150="",0,IF(ISNUMBER(Q150),Q150,1)))</f>
        <v/>
      </c>
      <c r="AS150">
        <f>IF(Setup!$B$19="",0,IF(R150="",0,IF(ISNUMBER(R150),R150,1)))</f>
        <v/>
      </c>
      <c r="AT150">
        <f>IF(Setup!$B$20="",0,IF(S150="",0,IF(ISNUMBER(S150),S150,1)))</f>
        <v/>
      </c>
    </row>
    <row r="151">
      <c r="A151" s="1" t="n"/>
      <c r="B151" s="24" t="n"/>
      <c r="C151" s="25" t="n"/>
      <c r="D151" s="25" t="n"/>
      <c r="E151" s="26" t="n"/>
      <c r="F151" s="27" t="n"/>
      <c r="G151" s="17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28" t="n"/>
      <c r="R151" s="28" t="n"/>
      <c r="S151" s="28" t="n"/>
      <c r="T151" s="29">
        <f>IF(N(E151)=0,"",E151*IF(F151="",1,IFERROR(INDEX(Setup!$E$9:$E$18,MATCH(F151,Setup!$D$9:$D$18,0)),0)))</f>
        <v/>
      </c>
      <c r="U151" s="30">
        <f>IF(T151="","",IF(V151=0,"Everyone",IF(COUNTIF(AI151:AT151,"&gt;0")=COUNTIF(Setup!$B$9:$B$20,"?*"),"Everyone",COUNTIF(AI151:AT151,"&gt;0")&amp;IF(COUNTIF(AI151:AT151,"&gt;0")=1," person"," people"))))</f>
        <v/>
      </c>
      <c r="V151" s="1">
        <f>SUM(AI151:AT151)</f>
        <v/>
      </c>
      <c r="W151">
        <f>IF(OR(T151="",Setup!$B$9=""),0,IF(V151=0,T151/COUNTIF(Setup!$B$9:$B$20,"?*"),T151*AI151/V151))</f>
        <v/>
      </c>
      <c r="X151">
        <f>IF(OR(T151="",Setup!$B$10=""),0,IF(V151=0,T151/COUNTIF(Setup!$B$9:$B$20,"?*"),T151*AJ151/V151))</f>
        <v/>
      </c>
      <c r="Y151">
        <f>IF(OR(T151="",Setup!$B$11=""),0,IF(V151=0,T151/COUNTIF(Setup!$B$9:$B$20,"?*"),T151*AK151/V151))</f>
        <v/>
      </c>
      <c r="Z151">
        <f>IF(OR(T151="",Setup!$B$12=""),0,IF(V151=0,T151/COUNTIF(Setup!$B$9:$B$20,"?*"),T151*AL151/V151))</f>
        <v/>
      </c>
      <c r="AA151">
        <f>IF(OR(T151="",Setup!$B$13=""),0,IF(V151=0,T151/COUNTIF(Setup!$B$9:$B$20,"?*"),T151*AM151/V151))</f>
        <v/>
      </c>
      <c r="AB151">
        <f>IF(OR(T151="",Setup!$B$14=""),0,IF(V151=0,T151/COUNTIF(Setup!$B$9:$B$20,"?*"),T151*AN151/V151))</f>
        <v/>
      </c>
      <c r="AC151">
        <f>IF(OR(T151="",Setup!$B$15=""),0,IF(V151=0,T151/COUNTIF(Setup!$B$9:$B$20,"?*"),T151*AO151/V151))</f>
        <v/>
      </c>
      <c r="AD151">
        <f>IF(OR(T151="",Setup!$B$16=""),0,IF(V151=0,T151/COUNTIF(Setup!$B$9:$B$20,"?*"),T151*AP151/V151))</f>
        <v/>
      </c>
      <c r="AE151">
        <f>IF(OR(T151="",Setup!$B$17=""),0,IF(V151=0,T151/COUNTIF(Setup!$B$9:$B$20,"?*"),T151*AQ151/V151))</f>
        <v/>
      </c>
      <c r="AF151">
        <f>IF(OR(T151="",Setup!$B$18=""),0,IF(V151=0,T151/COUNTIF(Setup!$B$9:$B$20,"?*"),T151*AR151/V151))</f>
        <v/>
      </c>
      <c r="AG151">
        <f>IF(OR(T151="",Setup!$B$19=""),0,IF(V151=0,T151/COUNTIF(Setup!$B$9:$B$20,"?*"),T151*AS151/V151))</f>
        <v/>
      </c>
      <c r="AH151">
        <f>IF(OR(T151="",Setup!$B$20=""),0,IF(V151=0,T151/COUNTIF(Setup!$B$9:$B$20,"?*"),T151*AT151/V151))</f>
        <v/>
      </c>
      <c r="AI151">
        <f>IF(Setup!$B$9="",0,IF(H151="",0,IF(ISNUMBER(H151),H151,1)))</f>
        <v/>
      </c>
      <c r="AJ151">
        <f>IF(Setup!$B$10="",0,IF(I151="",0,IF(ISNUMBER(I151),I151,1)))</f>
        <v/>
      </c>
      <c r="AK151">
        <f>IF(Setup!$B$11="",0,IF(J151="",0,IF(ISNUMBER(J151),J151,1)))</f>
        <v/>
      </c>
      <c r="AL151">
        <f>IF(Setup!$B$12="",0,IF(K151="",0,IF(ISNUMBER(K151),K151,1)))</f>
        <v/>
      </c>
      <c r="AM151">
        <f>IF(Setup!$B$13="",0,IF(L151="",0,IF(ISNUMBER(L151),L151,1)))</f>
        <v/>
      </c>
      <c r="AN151">
        <f>IF(Setup!$B$14="",0,IF(M151="",0,IF(ISNUMBER(M151),M151,1)))</f>
        <v/>
      </c>
      <c r="AO151">
        <f>IF(Setup!$B$15="",0,IF(N151="",0,IF(ISNUMBER(N151),N151,1)))</f>
        <v/>
      </c>
      <c r="AP151">
        <f>IF(Setup!$B$16="",0,IF(O151="",0,IF(ISNUMBER(O151),O151,1)))</f>
        <v/>
      </c>
      <c r="AQ151">
        <f>IF(Setup!$B$17="",0,IF(P151="",0,IF(ISNUMBER(P151),P151,1)))</f>
        <v/>
      </c>
      <c r="AR151">
        <f>IF(Setup!$B$18="",0,IF(Q151="",0,IF(ISNUMBER(Q151),Q151,1)))</f>
        <v/>
      </c>
      <c r="AS151">
        <f>IF(Setup!$B$19="",0,IF(R151="",0,IF(ISNUMBER(R151),R151,1)))</f>
        <v/>
      </c>
      <c r="AT151">
        <f>IF(Setup!$B$20="",0,IF(S151="",0,IF(ISNUMBER(S151),S151,1)))</f>
        <v/>
      </c>
    </row>
    <row r="152">
      <c r="A152" s="1" t="n"/>
      <c r="B152" s="24" t="n"/>
      <c r="C152" s="25" t="n"/>
      <c r="D152" s="25" t="n"/>
      <c r="E152" s="26" t="n"/>
      <c r="F152" s="27" t="n"/>
      <c r="G152" s="17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9">
        <f>IF(N(E152)=0,"",E152*IF(F152="",1,IFERROR(INDEX(Setup!$E$9:$E$18,MATCH(F152,Setup!$D$9:$D$18,0)),0)))</f>
        <v/>
      </c>
      <c r="U152" s="30">
        <f>IF(T152="","",IF(V152=0,"Everyone",IF(COUNTIF(AI152:AT152,"&gt;0")=COUNTIF(Setup!$B$9:$B$20,"?*"),"Everyone",COUNTIF(AI152:AT152,"&gt;0")&amp;IF(COUNTIF(AI152:AT152,"&gt;0")=1," person"," people"))))</f>
        <v/>
      </c>
      <c r="V152" s="1">
        <f>SUM(AI152:AT152)</f>
        <v/>
      </c>
      <c r="W152">
        <f>IF(OR(T152="",Setup!$B$9=""),0,IF(V152=0,T152/COUNTIF(Setup!$B$9:$B$20,"?*"),T152*AI152/V152))</f>
        <v/>
      </c>
      <c r="X152">
        <f>IF(OR(T152="",Setup!$B$10=""),0,IF(V152=0,T152/COUNTIF(Setup!$B$9:$B$20,"?*"),T152*AJ152/V152))</f>
        <v/>
      </c>
      <c r="Y152">
        <f>IF(OR(T152="",Setup!$B$11=""),0,IF(V152=0,T152/COUNTIF(Setup!$B$9:$B$20,"?*"),T152*AK152/V152))</f>
        <v/>
      </c>
      <c r="Z152">
        <f>IF(OR(T152="",Setup!$B$12=""),0,IF(V152=0,T152/COUNTIF(Setup!$B$9:$B$20,"?*"),T152*AL152/V152))</f>
        <v/>
      </c>
      <c r="AA152">
        <f>IF(OR(T152="",Setup!$B$13=""),0,IF(V152=0,T152/COUNTIF(Setup!$B$9:$B$20,"?*"),T152*AM152/V152))</f>
        <v/>
      </c>
      <c r="AB152">
        <f>IF(OR(T152="",Setup!$B$14=""),0,IF(V152=0,T152/COUNTIF(Setup!$B$9:$B$20,"?*"),T152*AN152/V152))</f>
        <v/>
      </c>
      <c r="AC152">
        <f>IF(OR(T152="",Setup!$B$15=""),0,IF(V152=0,T152/COUNTIF(Setup!$B$9:$B$20,"?*"),T152*AO152/V152))</f>
        <v/>
      </c>
      <c r="AD152">
        <f>IF(OR(T152="",Setup!$B$16=""),0,IF(V152=0,T152/COUNTIF(Setup!$B$9:$B$20,"?*"),T152*AP152/V152))</f>
        <v/>
      </c>
      <c r="AE152">
        <f>IF(OR(T152="",Setup!$B$17=""),0,IF(V152=0,T152/COUNTIF(Setup!$B$9:$B$20,"?*"),T152*AQ152/V152))</f>
        <v/>
      </c>
      <c r="AF152">
        <f>IF(OR(T152="",Setup!$B$18=""),0,IF(V152=0,T152/COUNTIF(Setup!$B$9:$B$20,"?*"),T152*AR152/V152))</f>
        <v/>
      </c>
      <c r="AG152">
        <f>IF(OR(T152="",Setup!$B$19=""),0,IF(V152=0,T152/COUNTIF(Setup!$B$9:$B$20,"?*"),T152*AS152/V152))</f>
        <v/>
      </c>
      <c r="AH152">
        <f>IF(OR(T152="",Setup!$B$20=""),0,IF(V152=0,T152/COUNTIF(Setup!$B$9:$B$20,"?*"),T152*AT152/V152))</f>
        <v/>
      </c>
      <c r="AI152">
        <f>IF(Setup!$B$9="",0,IF(H152="",0,IF(ISNUMBER(H152),H152,1)))</f>
        <v/>
      </c>
      <c r="AJ152">
        <f>IF(Setup!$B$10="",0,IF(I152="",0,IF(ISNUMBER(I152),I152,1)))</f>
        <v/>
      </c>
      <c r="AK152">
        <f>IF(Setup!$B$11="",0,IF(J152="",0,IF(ISNUMBER(J152),J152,1)))</f>
        <v/>
      </c>
      <c r="AL152">
        <f>IF(Setup!$B$12="",0,IF(K152="",0,IF(ISNUMBER(K152),K152,1)))</f>
        <v/>
      </c>
      <c r="AM152">
        <f>IF(Setup!$B$13="",0,IF(L152="",0,IF(ISNUMBER(L152),L152,1)))</f>
        <v/>
      </c>
      <c r="AN152">
        <f>IF(Setup!$B$14="",0,IF(M152="",0,IF(ISNUMBER(M152),M152,1)))</f>
        <v/>
      </c>
      <c r="AO152">
        <f>IF(Setup!$B$15="",0,IF(N152="",0,IF(ISNUMBER(N152),N152,1)))</f>
        <v/>
      </c>
      <c r="AP152">
        <f>IF(Setup!$B$16="",0,IF(O152="",0,IF(ISNUMBER(O152),O152,1)))</f>
        <v/>
      </c>
      <c r="AQ152">
        <f>IF(Setup!$B$17="",0,IF(P152="",0,IF(ISNUMBER(P152),P152,1)))</f>
        <v/>
      </c>
      <c r="AR152">
        <f>IF(Setup!$B$18="",0,IF(Q152="",0,IF(ISNUMBER(Q152),Q152,1)))</f>
        <v/>
      </c>
      <c r="AS152">
        <f>IF(Setup!$B$19="",0,IF(R152="",0,IF(ISNUMBER(R152),R152,1)))</f>
        <v/>
      </c>
      <c r="AT152">
        <f>IF(Setup!$B$20="",0,IF(S152="",0,IF(ISNUMBER(S152),S152,1)))</f>
        <v/>
      </c>
    </row>
    <row r="153">
      <c r="A153" s="1" t="n"/>
      <c r="B153" s="24" t="n"/>
      <c r="C153" s="25" t="n"/>
      <c r="D153" s="25" t="n"/>
      <c r="E153" s="26" t="n"/>
      <c r="F153" s="27" t="n"/>
      <c r="G153" s="17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8" t="n"/>
      <c r="T153" s="29">
        <f>IF(N(E153)=0,"",E153*IF(F153="",1,IFERROR(INDEX(Setup!$E$9:$E$18,MATCH(F153,Setup!$D$9:$D$18,0)),0)))</f>
        <v/>
      </c>
      <c r="U153" s="30">
        <f>IF(T153="","",IF(V153=0,"Everyone",IF(COUNTIF(AI153:AT153,"&gt;0")=COUNTIF(Setup!$B$9:$B$20,"?*"),"Everyone",COUNTIF(AI153:AT153,"&gt;0")&amp;IF(COUNTIF(AI153:AT153,"&gt;0")=1," person"," people"))))</f>
        <v/>
      </c>
      <c r="V153" s="1">
        <f>SUM(AI153:AT153)</f>
        <v/>
      </c>
      <c r="W153">
        <f>IF(OR(T153="",Setup!$B$9=""),0,IF(V153=0,T153/COUNTIF(Setup!$B$9:$B$20,"?*"),T153*AI153/V153))</f>
        <v/>
      </c>
      <c r="X153">
        <f>IF(OR(T153="",Setup!$B$10=""),0,IF(V153=0,T153/COUNTIF(Setup!$B$9:$B$20,"?*"),T153*AJ153/V153))</f>
        <v/>
      </c>
      <c r="Y153">
        <f>IF(OR(T153="",Setup!$B$11=""),0,IF(V153=0,T153/COUNTIF(Setup!$B$9:$B$20,"?*"),T153*AK153/V153))</f>
        <v/>
      </c>
      <c r="Z153">
        <f>IF(OR(T153="",Setup!$B$12=""),0,IF(V153=0,T153/COUNTIF(Setup!$B$9:$B$20,"?*"),T153*AL153/V153))</f>
        <v/>
      </c>
      <c r="AA153">
        <f>IF(OR(T153="",Setup!$B$13=""),0,IF(V153=0,T153/COUNTIF(Setup!$B$9:$B$20,"?*"),T153*AM153/V153))</f>
        <v/>
      </c>
      <c r="AB153">
        <f>IF(OR(T153="",Setup!$B$14=""),0,IF(V153=0,T153/COUNTIF(Setup!$B$9:$B$20,"?*"),T153*AN153/V153))</f>
        <v/>
      </c>
      <c r="AC153">
        <f>IF(OR(T153="",Setup!$B$15=""),0,IF(V153=0,T153/COUNTIF(Setup!$B$9:$B$20,"?*"),T153*AO153/V153))</f>
        <v/>
      </c>
      <c r="AD153">
        <f>IF(OR(T153="",Setup!$B$16=""),0,IF(V153=0,T153/COUNTIF(Setup!$B$9:$B$20,"?*"),T153*AP153/V153))</f>
        <v/>
      </c>
      <c r="AE153">
        <f>IF(OR(T153="",Setup!$B$17=""),0,IF(V153=0,T153/COUNTIF(Setup!$B$9:$B$20,"?*"),T153*AQ153/V153))</f>
        <v/>
      </c>
      <c r="AF153">
        <f>IF(OR(T153="",Setup!$B$18=""),0,IF(V153=0,T153/COUNTIF(Setup!$B$9:$B$20,"?*"),T153*AR153/V153))</f>
        <v/>
      </c>
      <c r="AG153">
        <f>IF(OR(T153="",Setup!$B$19=""),0,IF(V153=0,T153/COUNTIF(Setup!$B$9:$B$20,"?*"),T153*AS153/V153))</f>
        <v/>
      </c>
      <c r="AH153">
        <f>IF(OR(T153="",Setup!$B$20=""),0,IF(V153=0,T153/COUNTIF(Setup!$B$9:$B$20,"?*"),T153*AT153/V153))</f>
        <v/>
      </c>
      <c r="AI153">
        <f>IF(Setup!$B$9="",0,IF(H153="",0,IF(ISNUMBER(H153),H153,1)))</f>
        <v/>
      </c>
      <c r="AJ153">
        <f>IF(Setup!$B$10="",0,IF(I153="",0,IF(ISNUMBER(I153),I153,1)))</f>
        <v/>
      </c>
      <c r="AK153">
        <f>IF(Setup!$B$11="",0,IF(J153="",0,IF(ISNUMBER(J153),J153,1)))</f>
        <v/>
      </c>
      <c r="AL153">
        <f>IF(Setup!$B$12="",0,IF(K153="",0,IF(ISNUMBER(K153),K153,1)))</f>
        <v/>
      </c>
      <c r="AM153">
        <f>IF(Setup!$B$13="",0,IF(L153="",0,IF(ISNUMBER(L153),L153,1)))</f>
        <v/>
      </c>
      <c r="AN153">
        <f>IF(Setup!$B$14="",0,IF(M153="",0,IF(ISNUMBER(M153),M153,1)))</f>
        <v/>
      </c>
      <c r="AO153">
        <f>IF(Setup!$B$15="",0,IF(N153="",0,IF(ISNUMBER(N153),N153,1)))</f>
        <v/>
      </c>
      <c r="AP153">
        <f>IF(Setup!$B$16="",0,IF(O153="",0,IF(ISNUMBER(O153),O153,1)))</f>
        <v/>
      </c>
      <c r="AQ153">
        <f>IF(Setup!$B$17="",0,IF(P153="",0,IF(ISNUMBER(P153),P153,1)))</f>
        <v/>
      </c>
      <c r="AR153">
        <f>IF(Setup!$B$18="",0,IF(Q153="",0,IF(ISNUMBER(Q153),Q153,1)))</f>
        <v/>
      </c>
      <c r="AS153">
        <f>IF(Setup!$B$19="",0,IF(R153="",0,IF(ISNUMBER(R153),R153,1)))</f>
        <v/>
      </c>
      <c r="AT153">
        <f>IF(Setup!$B$20="",0,IF(S153="",0,IF(ISNUMBER(S153),S153,1)))</f>
        <v/>
      </c>
    </row>
    <row r="154">
      <c r="A154" s="1" t="n"/>
      <c r="B154" s="24" t="n"/>
      <c r="C154" s="25" t="n"/>
      <c r="D154" s="25" t="n"/>
      <c r="E154" s="26" t="n"/>
      <c r="F154" s="27" t="n"/>
      <c r="G154" s="17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9">
        <f>IF(N(E154)=0,"",E154*IF(F154="",1,IFERROR(INDEX(Setup!$E$9:$E$18,MATCH(F154,Setup!$D$9:$D$18,0)),0)))</f>
        <v/>
      </c>
      <c r="U154" s="30">
        <f>IF(T154="","",IF(V154=0,"Everyone",IF(COUNTIF(AI154:AT154,"&gt;0")=COUNTIF(Setup!$B$9:$B$20,"?*"),"Everyone",COUNTIF(AI154:AT154,"&gt;0")&amp;IF(COUNTIF(AI154:AT154,"&gt;0")=1," person"," people"))))</f>
        <v/>
      </c>
      <c r="V154" s="1">
        <f>SUM(AI154:AT154)</f>
        <v/>
      </c>
      <c r="W154">
        <f>IF(OR(T154="",Setup!$B$9=""),0,IF(V154=0,T154/COUNTIF(Setup!$B$9:$B$20,"?*"),T154*AI154/V154))</f>
        <v/>
      </c>
      <c r="X154">
        <f>IF(OR(T154="",Setup!$B$10=""),0,IF(V154=0,T154/COUNTIF(Setup!$B$9:$B$20,"?*"),T154*AJ154/V154))</f>
        <v/>
      </c>
      <c r="Y154">
        <f>IF(OR(T154="",Setup!$B$11=""),0,IF(V154=0,T154/COUNTIF(Setup!$B$9:$B$20,"?*"),T154*AK154/V154))</f>
        <v/>
      </c>
      <c r="Z154">
        <f>IF(OR(T154="",Setup!$B$12=""),0,IF(V154=0,T154/COUNTIF(Setup!$B$9:$B$20,"?*"),T154*AL154/V154))</f>
        <v/>
      </c>
      <c r="AA154">
        <f>IF(OR(T154="",Setup!$B$13=""),0,IF(V154=0,T154/COUNTIF(Setup!$B$9:$B$20,"?*"),T154*AM154/V154))</f>
        <v/>
      </c>
      <c r="AB154">
        <f>IF(OR(T154="",Setup!$B$14=""),0,IF(V154=0,T154/COUNTIF(Setup!$B$9:$B$20,"?*"),T154*AN154/V154))</f>
        <v/>
      </c>
      <c r="AC154">
        <f>IF(OR(T154="",Setup!$B$15=""),0,IF(V154=0,T154/COUNTIF(Setup!$B$9:$B$20,"?*"),T154*AO154/V154))</f>
        <v/>
      </c>
      <c r="AD154">
        <f>IF(OR(T154="",Setup!$B$16=""),0,IF(V154=0,T154/COUNTIF(Setup!$B$9:$B$20,"?*"),T154*AP154/V154))</f>
        <v/>
      </c>
      <c r="AE154">
        <f>IF(OR(T154="",Setup!$B$17=""),0,IF(V154=0,T154/COUNTIF(Setup!$B$9:$B$20,"?*"),T154*AQ154/V154))</f>
        <v/>
      </c>
      <c r="AF154">
        <f>IF(OR(T154="",Setup!$B$18=""),0,IF(V154=0,T154/COUNTIF(Setup!$B$9:$B$20,"?*"),T154*AR154/V154))</f>
        <v/>
      </c>
      <c r="AG154">
        <f>IF(OR(T154="",Setup!$B$19=""),0,IF(V154=0,T154/COUNTIF(Setup!$B$9:$B$20,"?*"),T154*AS154/V154))</f>
        <v/>
      </c>
      <c r="AH154">
        <f>IF(OR(T154="",Setup!$B$20=""),0,IF(V154=0,T154/COUNTIF(Setup!$B$9:$B$20,"?*"),T154*AT154/V154))</f>
        <v/>
      </c>
      <c r="AI154">
        <f>IF(Setup!$B$9="",0,IF(H154="",0,IF(ISNUMBER(H154),H154,1)))</f>
        <v/>
      </c>
      <c r="AJ154">
        <f>IF(Setup!$B$10="",0,IF(I154="",0,IF(ISNUMBER(I154),I154,1)))</f>
        <v/>
      </c>
      <c r="AK154">
        <f>IF(Setup!$B$11="",0,IF(J154="",0,IF(ISNUMBER(J154),J154,1)))</f>
        <v/>
      </c>
      <c r="AL154">
        <f>IF(Setup!$B$12="",0,IF(K154="",0,IF(ISNUMBER(K154),K154,1)))</f>
        <v/>
      </c>
      <c r="AM154">
        <f>IF(Setup!$B$13="",0,IF(L154="",0,IF(ISNUMBER(L154),L154,1)))</f>
        <v/>
      </c>
      <c r="AN154">
        <f>IF(Setup!$B$14="",0,IF(M154="",0,IF(ISNUMBER(M154),M154,1)))</f>
        <v/>
      </c>
      <c r="AO154">
        <f>IF(Setup!$B$15="",0,IF(N154="",0,IF(ISNUMBER(N154),N154,1)))</f>
        <v/>
      </c>
      <c r="AP154">
        <f>IF(Setup!$B$16="",0,IF(O154="",0,IF(ISNUMBER(O154),O154,1)))</f>
        <v/>
      </c>
      <c r="AQ154">
        <f>IF(Setup!$B$17="",0,IF(P154="",0,IF(ISNUMBER(P154),P154,1)))</f>
        <v/>
      </c>
      <c r="AR154">
        <f>IF(Setup!$B$18="",0,IF(Q154="",0,IF(ISNUMBER(Q154),Q154,1)))</f>
        <v/>
      </c>
      <c r="AS154">
        <f>IF(Setup!$B$19="",0,IF(R154="",0,IF(ISNUMBER(R154),R154,1)))</f>
        <v/>
      </c>
      <c r="AT154">
        <f>IF(Setup!$B$20="",0,IF(S154="",0,IF(ISNUMBER(S154),S154,1)))</f>
        <v/>
      </c>
    </row>
    <row r="155">
      <c r="A155" s="1" t="n"/>
      <c r="B155" s="24" t="n"/>
      <c r="C155" s="25" t="n"/>
      <c r="D155" s="25" t="n"/>
      <c r="E155" s="26" t="n"/>
      <c r="F155" s="27" t="n"/>
      <c r="G155" s="17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9">
        <f>IF(N(E155)=0,"",E155*IF(F155="",1,IFERROR(INDEX(Setup!$E$9:$E$18,MATCH(F155,Setup!$D$9:$D$18,0)),0)))</f>
        <v/>
      </c>
      <c r="U155" s="30">
        <f>IF(T155="","",IF(V155=0,"Everyone",IF(COUNTIF(AI155:AT155,"&gt;0")=COUNTIF(Setup!$B$9:$B$20,"?*"),"Everyone",COUNTIF(AI155:AT155,"&gt;0")&amp;IF(COUNTIF(AI155:AT155,"&gt;0")=1," person"," people"))))</f>
        <v/>
      </c>
      <c r="V155" s="1">
        <f>SUM(AI155:AT155)</f>
        <v/>
      </c>
      <c r="W155">
        <f>IF(OR(T155="",Setup!$B$9=""),0,IF(V155=0,T155/COUNTIF(Setup!$B$9:$B$20,"?*"),T155*AI155/V155))</f>
        <v/>
      </c>
      <c r="X155">
        <f>IF(OR(T155="",Setup!$B$10=""),0,IF(V155=0,T155/COUNTIF(Setup!$B$9:$B$20,"?*"),T155*AJ155/V155))</f>
        <v/>
      </c>
      <c r="Y155">
        <f>IF(OR(T155="",Setup!$B$11=""),0,IF(V155=0,T155/COUNTIF(Setup!$B$9:$B$20,"?*"),T155*AK155/V155))</f>
        <v/>
      </c>
      <c r="Z155">
        <f>IF(OR(T155="",Setup!$B$12=""),0,IF(V155=0,T155/COUNTIF(Setup!$B$9:$B$20,"?*"),T155*AL155/V155))</f>
        <v/>
      </c>
      <c r="AA155">
        <f>IF(OR(T155="",Setup!$B$13=""),0,IF(V155=0,T155/COUNTIF(Setup!$B$9:$B$20,"?*"),T155*AM155/V155))</f>
        <v/>
      </c>
      <c r="AB155">
        <f>IF(OR(T155="",Setup!$B$14=""),0,IF(V155=0,T155/COUNTIF(Setup!$B$9:$B$20,"?*"),T155*AN155/V155))</f>
        <v/>
      </c>
      <c r="AC155">
        <f>IF(OR(T155="",Setup!$B$15=""),0,IF(V155=0,T155/COUNTIF(Setup!$B$9:$B$20,"?*"),T155*AO155/V155))</f>
        <v/>
      </c>
      <c r="AD155">
        <f>IF(OR(T155="",Setup!$B$16=""),0,IF(V155=0,T155/COUNTIF(Setup!$B$9:$B$20,"?*"),T155*AP155/V155))</f>
        <v/>
      </c>
      <c r="AE155">
        <f>IF(OR(T155="",Setup!$B$17=""),0,IF(V155=0,T155/COUNTIF(Setup!$B$9:$B$20,"?*"),T155*AQ155/V155))</f>
        <v/>
      </c>
      <c r="AF155">
        <f>IF(OR(T155="",Setup!$B$18=""),0,IF(V155=0,T155/COUNTIF(Setup!$B$9:$B$20,"?*"),T155*AR155/V155))</f>
        <v/>
      </c>
      <c r="AG155">
        <f>IF(OR(T155="",Setup!$B$19=""),0,IF(V155=0,T155/COUNTIF(Setup!$B$9:$B$20,"?*"),T155*AS155/V155))</f>
        <v/>
      </c>
      <c r="AH155">
        <f>IF(OR(T155="",Setup!$B$20=""),0,IF(V155=0,T155/COUNTIF(Setup!$B$9:$B$20,"?*"),T155*AT155/V155))</f>
        <v/>
      </c>
      <c r="AI155">
        <f>IF(Setup!$B$9="",0,IF(H155="",0,IF(ISNUMBER(H155),H155,1)))</f>
        <v/>
      </c>
      <c r="AJ155">
        <f>IF(Setup!$B$10="",0,IF(I155="",0,IF(ISNUMBER(I155),I155,1)))</f>
        <v/>
      </c>
      <c r="AK155">
        <f>IF(Setup!$B$11="",0,IF(J155="",0,IF(ISNUMBER(J155),J155,1)))</f>
        <v/>
      </c>
      <c r="AL155">
        <f>IF(Setup!$B$12="",0,IF(K155="",0,IF(ISNUMBER(K155),K155,1)))</f>
        <v/>
      </c>
      <c r="AM155">
        <f>IF(Setup!$B$13="",0,IF(L155="",0,IF(ISNUMBER(L155),L155,1)))</f>
        <v/>
      </c>
      <c r="AN155">
        <f>IF(Setup!$B$14="",0,IF(M155="",0,IF(ISNUMBER(M155),M155,1)))</f>
        <v/>
      </c>
      <c r="AO155">
        <f>IF(Setup!$B$15="",0,IF(N155="",0,IF(ISNUMBER(N155),N155,1)))</f>
        <v/>
      </c>
      <c r="AP155">
        <f>IF(Setup!$B$16="",0,IF(O155="",0,IF(ISNUMBER(O155),O155,1)))</f>
        <v/>
      </c>
      <c r="AQ155">
        <f>IF(Setup!$B$17="",0,IF(P155="",0,IF(ISNUMBER(P155),P155,1)))</f>
        <v/>
      </c>
      <c r="AR155">
        <f>IF(Setup!$B$18="",0,IF(Q155="",0,IF(ISNUMBER(Q155),Q155,1)))</f>
        <v/>
      </c>
      <c r="AS155">
        <f>IF(Setup!$B$19="",0,IF(R155="",0,IF(ISNUMBER(R155),R155,1)))</f>
        <v/>
      </c>
      <c r="AT155">
        <f>IF(Setup!$B$20="",0,IF(S155="",0,IF(ISNUMBER(S155),S155,1)))</f>
        <v/>
      </c>
    </row>
    <row r="156">
      <c r="A156" s="1" t="n"/>
      <c r="B156" s="24" t="n"/>
      <c r="C156" s="25" t="n"/>
      <c r="D156" s="25" t="n"/>
      <c r="E156" s="26" t="n"/>
      <c r="F156" s="27" t="n"/>
      <c r="G156" s="17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9">
        <f>IF(N(E156)=0,"",E156*IF(F156="",1,IFERROR(INDEX(Setup!$E$9:$E$18,MATCH(F156,Setup!$D$9:$D$18,0)),0)))</f>
        <v/>
      </c>
      <c r="U156" s="30">
        <f>IF(T156="","",IF(V156=0,"Everyone",IF(COUNTIF(AI156:AT156,"&gt;0")=COUNTIF(Setup!$B$9:$B$20,"?*"),"Everyone",COUNTIF(AI156:AT156,"&gt;0")&amp;IF(COUNTIF(AI156:AT156,"&gt;0")=1," person"," people"))))</f>
        <v/>
      </c>
      <c r="V156" s="1">
        <f>SUM(AI156:AT156)</f>
        <v/>
      </c>
      <c r="W156">
        <f>IF(OR(T156="",Setup!$B$9=""),0,IF(V156=0,T156/COUNTIF(Setup!$B$9:$B$20,"?*"),T156*AI156/V156))</f>
        <v/>
      </c>
      <c r="X156">
        <f>IF(OR(T156="",Setup!$B$10=""),0,IF(V156=0,T156/COUNTIF(Setup!$B$9:$B$20,"?*"),T156*AJ156/V156))</f>
        <v/>
      </c>
      <c r="Y156">
        <f>IF(OR(T156="",Setup!$B$11=""),0,IF(V156=0,T156/COUNTIF(Setup!$B$9:$B$20,"?*"),T156*AK156/V156))</f>
        <v/>
      </c>
      <c r="Z156">
        <f>IF(OR(T156="",Setup!$B$12=""),0,IF(V156=0,T156/COUNTIF(Setup!$B$9:$B$20,"?*"),T156*AL156/V156))</f>
        <v/>
      </c>
      <c r="AA156">
        <f>IF(OR(T156="",Setup!$B$13=""),0,IF(V156=0,T156/COUNTIF(Setup!$B$9:$B$20,"?*"),T156*AM156/V156))</f>
        <v/>
      </c>
      <c r="AB156">
        <f>IF(OR(T156="",Setup!$B$14=""),0,IF(V156=0,T156/COUNTIF(Setup!$B$9:$B$20,"?*"),T156*AN156/V156))</f>
        <v/>
      </c>
      <c r="AC156">
        <f>IF(OR(T156="",Setup!$B$15=""),0,IF(V156=0,T156/COUNTIF(Setup!$B$9:$B$20,"?*"),T156*AO156/V156))</f>
        <v/>
      </c>
      <c r="AD156">
        <f>IF(OR(T156="",Setup!$B$16=""),0,IF(V156=0,T156/COUNTIF(Setup!$B$9:$B$20,"?*"),T156*AP156/V156))</f>
        <v/>
      </c>
      <c r="AE156">
        <f>IF(OR(T156="",Setup!$B$17=""),0,IF(V156=0,T156/COUNTIF(Setup!$B$9:$B$20,"?*"),T156*AQ156/V156))</f>
        <v/>
      </c>
      <c r="AF156">
        <f>IF(OR(T156="",Setup!$B$18=""),0,IF(V156=0,T156/COUNTIF(Setup!$B$9:$B$20,"?*"),T156*AR156/V156))</f>
        <v/>
      </c>
      <c r="AG156">
        <f>IF(OR(T156="",Setup!$B$19=""),0,IF(V156=0,T156/COUNTIF(Setup!$B$9:$B$20,"?*"),T156*AS156/V156))</f>
        <v/>
      </c>
      <c r="AH156">
        <f>IF(OR(T156="",Setup!$B$20=""),0,IF(V156=0,T156/COUNTIF(Setup!$B$9:$B$20,"?*"),T156*AT156/V156))</f>
        <v/>
      </c>
      <c r="AI156">
        <f>IF(Setup!$B$9="",0,IF(H156="",0,IF(ISNUMBER(H156),H156,1)))</f>
        <v/>
      </c>
      <c r="AJ156">
        <f>IF(Setup!$B$10="",0,IF(I156="",0,IF(ISNUMBER(I156),I156,1)))</f>
        <v/>
      </c>
      <c r="AK156">
        <f>IF(Setup!$B$11="",0,IF(J156="",0,IF(ISNUMBER(J156),J156,1)))</f>
        <v/>
      </c>
      <c r="AL156">
        <f>IF(Setup!$B$12="",0,IF(K156="",0,IF(ISNUMBER(K156),K156,1)))</f>
        <v/>
      </c>
      <c r="AM156">
        <f>IF(Setup!$B$13="",0,IF(L156="",0,IF(ISNUMBER(L156),L156,1)))</f>
        <v/>
      </c>
      <c r="AN156">
        <f>IF(Setup!$B$14="",0,IF(M156="",0,IF(ISNUMBER(M156),M156,1)))</f>
        <v/>
      </c>
      <c r="AO156">
        <f>IF(Setup!$B$15="",0,IF(N156="",0,IF(ISNUMBER(N156),N156,1)))</f>
        <v/>
      </c>
      <c r="AP156">
        <f>IF(Setup!$B$16="",0,IF(O156="",0,IF(ISNUMBER(O156),O156,1)))</f>
        <v/>
      </c>
      <c r="AQ156">
        <f>IF(Setup!$B$17="",0,IF(P156="",0,IF(ISNUMBER(P156),P156,1)))</f>
        <v/>
      </c>
      <c r="AR156">
        <f>IF(Setup!$B$18="",0,IF(Q156="",0,IF(ISNUMBER(Q156),Q156,1)))</f>
        <v/>
      </c>
      <c r="AS156">
        <f>IF(Setup!$B$19="",0,IF(R156="",0,IF(ISNUMBER(R156),R156,1)))</f>
        <v/>
      </c>
      <c r="AT156">
        <f>IF(Setup!$B$20="",0,IF(S156="",0,IF(ISNUMBER(S156),S156,1)))</f>
        <v/>
      </c>
    </row>
    <row r="157">
      <c r="A157" s="1" t="n"/>
      <c r="B157" s="24" t="n"/>
      <c r="C157" s="25" t="n"/>
      <c r="D157" s="25" t="n"/>
      <c r="E157" s="26" t="n"/>
      <c r="F157" s="27" t="n"/>
      <c r="G157" s="17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28" t="n"/>
      <c r="R157" s="28" t="n"/>
      <c r="S157" s="28" t="n"/>
      <c r="T157" s="29">
        <f>IF(N(E157)=0,"",E157*IF(F157="",1,IFERROR(INDEX(Setup!$E$9:$E$18,MATCH(F157,Setup!$D$9:$D$18,0)),0)))</f>
        <v/>
      </c>
      <c r="U157" s="30">
        <f>IF(T157="","",IF(V157=0,"Everyone",IF(COUNTIF(AI157:AT157,"&gt;0")=COUNTIF(Setup!$B$9:$B$20,"?*"),"Everyone",COUNTIF(AI157:AT157,"&gt;0")&amp;IF(COUNTIF(AI157:AT157,"&gt;0")=1," person"," people"))))</f>
        <v/>
      </c>
      <c r="V157" s="1">
        <f>SUM(AI157:AT157)</f>
        <v/>
      </c>
      <c r="W157">
        <f>IF(OR(T157="",Setup!$B$9=""),0,IF(V157=0,T157/COUNTIF(Setup!$B$9:$B$20,"?*"),T157*AI157/V157))</f>
        <v/>
      </c>
      <c r="X157">
        <f>IF(OR(T157="",Setup!$B$10=""),0,IF(V157=0,T157/COUNTIF(Setup!$B$9:$B$20,"?*"),T157*AJ157/V157))</f>
        <v/>
      </c>
      <c r="Y157">
        <f>IF(OR(T157="",Setup!$B$11=""),0,IF(V157=0,T157/COUNTIF(Setup!$B$9:$B$20,"?*"),T157*AK157/V157))</f>
        <v/>
      </c>
      <c r="Z157">
        <f>IF(OR(T157="",Setup!$B$12=""),0,IF(V157=0,T157/COUNTIF(Setup!$B$9:$B$20,"?*"),T157*AL157/V157))</f>
        <v/>
      </c>
      <c r="AA157">
        <f>IF(OR(T157="",Setup!$B$13=""),0,IF(V157=0,T157/COUNTIF(Setup!$B$9:$B$20,"?*"),T157*AM157/V157))</f>
        <v/>
      </c>
      <c r="AB157">
        <f>IF(OR(T157="",Setup!$B$14=""),0,IF(V157=0,T157/COUNTIF(Setup!$B$9:$B$20,"?*"),T157*AN157/V157))</f>
        <v/>
      </c>
      <c r="AC157">
        <f>IF(OR(T157="",Setup!$B$15=""),0,IF(V157=0,T157/COUNTIF(Setup!$B$9:$B$20,"?*"),T157*AO157/V157))</f>
        <v/>
      </c>
      <c r="AD157">
        <f>IF(OR(T157="",Setup!$B$16=""),0,IF(V157=0,T157/COUNTIF(Setup!$B$9:$B$20,"?*"),T157*AP157/V157))</f>
        <v/>
      </c>
      <c r="AE157">
        <f>IF(OR(T157="",Setup!$B$17=""),0,IF(V157=0,T157/COUNTIF(Setup!$B$9:$B$20,"?*"),T157*AQ157/V157))</f>
        <v/>
      </c>
      <c r="AF157">
        <f>IF(OR(T157="",Setup!$B$18=""),0,IF(V157=0,T157/COUNTIF(Setup!$B$9:$B$20,"?*"),T157*AR157/V157))</f>
        <v/>
      </c>
      <c r="AG157">
        <f>IF(OR(T157="",Setup!$B$19=""),0,IF(V157=0,T157/COUNTIF(Setup!$B$9:$B$20,"?*"),T157*AS157/V157))</f>
        <v/>
      </c>
      <c r="AH157">
        <f>IF(OR(T157="",Setup!$B$20=""),0,IF(V157=0,T157/COUNTIF(Setup!$B$9:$B$20,"?*"),T157*AT157/V157))</f>
        <v/>
      </c>
      <c r="AI157">
        <f>IF(Setup!$B$9="",0,IF(H157="",0,IF(ISNUMBER(H157),H157,1)))</f>
        <v/>
      </c>
      <c r="AJ157">
        <f>IF(Setup!$B$10="",0,IF(I157="",0,IF(ISNUMBER(I157),I157,1)))</f>
        <v/>
      </c>
      <c r="AK157">
        <f>IF(Setup!$B$11="",0,IF(J157="",0,IF(ISNUMBER(J157),J157,1)))</f>
        <v/>
      </c>
      <c r="AL157">
        <f>IF(Setup!$B$12="",0,IF(K157="",0,IF(ISNUMBER(K157),K157,1)))</f>
        <v/>
      </c>
      <c r="AM157">
        <f>IF(Setup!$B$13="",0,IF(L157="",0,IF(ISNUMBER(L157),L157,1)))</f>
        <v/>
      </c>
      <c r="AN157">
        <f>IF(Setup!$B$14="",0,IF(M157="",0,IF(ISNUMBER(M157),M157,1)))</f>
        <v/>
      </c>
      <c r="AO157">
        <f>IF(Setup!$B$15="",0,IF(N157="",0,IF(ISNUMBER(N157),N157,1)))</f>
        <v/>
      </c>
      <c r="AP157">
        <f>IF(Setup!$B$16="",0,IF(O157="",0,IF(ISNUMBER(O157),O157,1)))</f>
        <v/>
      </c>
      <c r="AQ157">
        <f>IF(Setup!$B$17="",0,IF(P157="",0,IF(ISNUMBER(P157),P157,1)))</f>
        <v/>
      </c>
      <c r="AR157">
        <f>IF(Setup!$B$18="",0,IF(Q157="",0,IF(ISNUMBER(Q157),Q157,1)))</f>
        <v/>
      </c>
      <c r="AS157">
        <f>IF(Setup!$B$19="",0,IF(R157="",0,IF(ISNUMBER(R157),R157,1)))</f>
        <v/>
      </c>
      <c r="AT157">
        <f>IF(Setup!$B$20="",0,IF(S157="",0,IF(ISNUMBER(S157),S157,1)))</f>
        <v/>
      </c>
    </row>
    <row r="158">
      <c r="A158" s="1" t="n"/>
      <c r="B158" s="24" t="n"/>
      <c r="C158" s="25" t="n"/>
      <c r="D158" s="25" t="n"/>
      <c r="E158" s="26" t="n"/>
      <c r="F158" s="27" t="n"/>
      <c r="G158" s="17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28" t="n"/>
      <c r="R158" s="28" t="n"/>
      <c r="S158" s="28" t="n"/>
      <c r="T158" s="29">
        <f>IF(N(E158)=0,"",E158*IF(F158="",1,IFERROR(INDEX(Setup!$E$9:$E$18,MATCH(F158,Setup!$D$9:$D$18,0)),0)))</f>
        <v/>
      </c>
      <c r="U158" s="30">
        <f>IF(T158="","",IF(V158=0,"Everyone",IF(COUNTIF(AI158:AT158,"&gt;0")=COUNTIF(Setup!$B$9:$B$20,"?*"),"Everyone",COUNTIF(AI158:AT158,"&gt;0")&amp;IF(COUNTIF(AI158:AT158,"&gt;0")=1," person"," people"))))</f>
        <v/>
      </c>
      <c r="V158" s="1">
        <f>SUM(AI158:AT158)</f>
        <v/>
      </c>
      <c r="W158">
        <f>IF(OR(T158="",Setup!$B$9=""),0,IF(V158=0,T158/COUNTIF(Setup!$B$9:$B$20,"?*"),T158*AI158/V158))</f>
        <v/>
      </c>
      <c r="X158">
        <f>IF(OR(T158="",Setup!$B$10=""),0,IF(V158=0,T158/COUNTIF(Setup!$B$9:$B$20,"?*"),T158*AJ158/V158))</f>
        <v/>
      </c>
      <c r="Y158">
        <f>IF(OR(T158="",Setup!$B$11=""),0,IF(V158=0,T158/COUNTIF(Setup!$B$9:$B$20,"?*"),T158*AK158/V158))</f>
        <v/>
      </c>
      <c r="Z158">
        <f>IF(OR(T158="",Setup!$B$12=""),0,IF(V158=0,T158/COUNTIF(Setup!$B$9:$B$20,"?*"),T158*AL158/V158))</f>
        <v/>
      </c>
      <c r="AA158">
        <f>IF(OR(T158="",Setup!$B$13=""),0,IF(V158=0,T158/COUNTIF(Setup!$B$9:$B$20,"?*"),T158*AM158/V158))</f>
        <v/>
      </c>
      <c r="AB158">
        <f>IF(OR(T158="",Setup!$B$14=""),0,IF(V158=0,T158/COUNTIF(Setup!$B$9:$B$20,"?*"),T158*AN158/V158))</f>
        <v/>
      </c>
      <c r="AC158">
        <f>IF(OR(T158="",Setup!$B$15=""),0,IF(V158=0,T158/COUNTIF(Setup!$B$9:$B$20,"?*"),T158*AO158/V158))</f>
        <v/>
      </c>
      <c r="AD158">
        <f>IF(OR(T158="",Setup!$B$16=""),0,IF(V158=0,T158/COUNTIF(Setup!$B$9:$B$20,"?*"),T158*AP158/V158))</f>
        <v/>
      </c>
      <c r="AE158">
        <f>IF(OR(T158="",Setup!$B$17=""),0,IF(V158=0,T158/COUNTIF(Setup!$B$9:$B$20,"?*"),T158*AQ158/V158))</f>
        <v/>
      </c>
      <c r="AF158">
        <f>IF(OR(T158="",Setup!$B$18=""),0,IF(V158=0,T158/COUNTIF(Setup!$B$9:$B$20,"?*"),T158*AR158/V158))</f>
        <v/>
      </c>
      <c r="AG158">
        <f>IF(OR(T158="",Setup!$B$19=""),0,IF(V158=0,T158/COUNTIF(Setup!$B$9:$B$20,"?*"),T158*AS158/V158))</f>
        <v/>
      </c>
      <c r="AH158">
        <f>IF(OR(T158="",Setup!$B$20=""),0,IF(V158=0,T158/COUNTIF(Setup!$B$9:$B$20,"?*"),T158*AT158/V158))</f>
        <v/>
      </c>
      <c r="AI158">
        <f>IF(Setup!$B$9="",0,IF(H158="",0,IF(ISNUMBER(H158),H158,1)))</f>
        <v/>
      </c>
      <c r="AJ158">
        <f>IF(Setup!$B$10="",0,IF(I158="",0,IF(ISNUMBER(I158),I158,1)))</f>
        <v/>
      </c>
      <c r="AK158">
        <f>IF(Setup!$B$11="",0,IF(J158="",0,IF(ISNUMBER(J158),J158,1)))</f>
        <v/>
      </c>
      <c r="AL158">
        <f>IF(Setup!$B$12="",0,IF(K158="",0,IF(ISNUMBER(K158),K158,1)))</f>
        <v/>
      </c>
      <c r="AM158">
        <f>IF(Setup!$B$13="",0,IF(L158="",0,IF(ISNUMBER(L158),L158,1)))</f>
        <v/>
      </c>
      <c r="AN158">
        <f>IF(Setup!$B$14="",0,IF(M158="",0,IF(ISNUMBER(M158),M158,1)))</f>
        <v/>
      </c>
      <c r="AO158">
        <f>IF(Setup!$B$15="",0,IF(N158="",0,IF(ISNUMBER(N158),N158,1)))</f>
        <v/>
      </c>
      <c r="AP158">
        <f>IF(Setup!$B$16="",0,IF(O158="",0,IF(ISNUMBER(O158),O158,1)))</f>
        <v/>
      </c>
      <c r="AQ158">
        <f>IF(Setup!$B$17="",0,IF(P158="",0,IF(ISNUMBER(P158),P158,1)))</f>
        <v/>
      </c>
      <c r="AR158">
        <f>IF(Setup!$B$18="",0,IF(Q158="",0,IF(ISNUMBER(Q158),Q158,1)))</f>
        <v/>
      </c>
      <c r="AS158">
        <f>IF(Setup!$B$19="",0,IF(R158="",0,IF(ISNUMBER(R158),R158,1)))</f>
        <v/>
      </c>
      <c r="AT158">
        <f>IF(Setup!$B$20="",0,IF(S158="",0,IF(ISNUMBER(S158),S158,1)))</f>
        <v/>
      </c>
    </row>
    <row r="159">
      <c r="A159" s="1" t="n"/>
      <c r="B159" s="24" t="n"/>
      <c r="C159" s="25" t="n"/>
      <c r="D159" s="25" t="n"/>
      <c r="E159" s="26" t="n"/>
      <c r="F159" s="27" t="n"/>
      <c r="G159" s="17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28" t="n"/>
      <c r="R159" s="28" t="n"/>
      <c r="S159" s="28" t="n"/>
      <c r="T159" s="29">
        <f>IF(N(E159)=0,"",E159*IF(F159="",1,IFERROR(INDEX(Setup!$E$9:$E$18,MATCH(F159,Setup!$D$9:$D$18,0)),0)))</f>
        <v/>
      </c>
      <c r="U159" s="30">
        <f>IF(T159="","",IF(V159=0,"Everyone",IF(COUNTIF(AI159:AT159,"&gt;0")=COUNTIF(Setup!$B$9:$B$20,"?*"),"Everyone",COUNTIF(AI159:AT159,"&gt;0")&amp;IF(COUNTIF(AI159:AT159,"&gt;0")=1," person"," people"))))</f>
        <v/>
      </c>
      <c r="V159" s="1">
        <f>SUM(AI159:AT159)</f>
        <v/>
      </c>
      <c r="W159">
        <f>IF(OR(T159="",Setup!$B$9=""),0,IF(V159=0,T159/COUNTIF(Setup!$B$9:$B$20,"?*"),T159*AI159/V159))</f>
        <v/>
      </c>
      <c r="X159">
        <f>IF(OR(T159="",Setup!$B$10=""),0,IF(V159=0,T159/COUNTIF(Setup!$B$9:$B$20,"?*"),T159*AJ159/V159))</f>
        <v/>
      </c>
      <c r="Y159">
        <f>IF(OR(T159="",Setup!$B$11=""),0,IF(V159=0,T159/COUNTIF(Setup!$B$9:$B$20,"?*"),T159*AK159/V159))</f>
        <v/>
      </c>
      <c r="Z159">
        <f>IF(OR(T159="",Setup!$B$12=""),0,IF(V159=0,T159/COUNTIF(Setup!$B$9:$B$20,"?*"),T159*AL159/V159))</f>
        <v/>
      </c>
      <c r="AA159">
        <f>IF(OR(T159="",Setup!$B$13=""),0,IF(V159=0,T159/COUNTIF(Setup!$B$9:$B$20,"?*"),T159*AM159/V159))</f>
        <v/>
      </c>
      <c r="AB159">
        <f>IF(OR(T159="",Setup!$B$14=""),0,IF(V159=0,T159/COUNTIF(Setup!$B$9:$B$20,"?*"),T159*AN159/V159))</f>
        <v/>
      </c>
      <c r="AC159">
        <f>IF(OR(T159="",Setup!$B$15=""),0,IF(V159=0,T159/COUNTIF(Setup!$B$9:$B$20,"?*"),T159*AO159/V159))</f>
        <v/>
      </c>
      <c r="AD159">
        <f>IF(OR(T159="",Setup!$B$16=""),0,IF(V159=0,T159/COUNTIF(Setup!$B$9:$B$20,"?*"),T159*AP159/V159))</f>
        <v/>
      </c>
      <c r="AE159">
        <f>IF(OR(T159="",Setup!$B$17=""),0,IF(V159=0,T159/COUNTIF(Setup!$B$9:$B$20,"?*"),T159*AQ159/V159))</f>
        <v/>
      </c>
      <c r="AF159">
        <f>IF(OR(T159="",Setup!$B$18=""),0,IF(V159=0,T159/COUNTIF(Setup!$B$9:$B$20,"?*"),T159*AR159/V159))</f>
        <v/>
      </c>
      <c r="AG159">
        <f>IF(OR(T159="",Setup!$B$19=""),0,IF(V159=0,T159/COUNTIF(Setup!$B$9:$B$20,"?*"),T159*AS159/V159))</f>
        <v/>
      </c>
      <c r="AH159">
        <f>IF(OR(T159="",Setup!$B$20=""),0,IF(V159=0,T159/COUNTIF(Setup!$B$9:$B$20,"?*"),T159*AT159/V159))</f>
        <v/>
      </c>
      <c r="AI159">
        <f>IF(Setup!$B$9="",0,IF(H159="",0,IF(ISNUMBER(H159),H159,1)))</f>
        <v/>
      </c>
      <c r="AJ159">
        <f>IF(Setup!$B$10="",0,IF(I159="",0,IF(ISNUMBER(I159),I159,1)))</f>
        <v/>
      </c>
      <c r="AK159">
        <f>IF(Setup!$B$11="",0,IF(J159="",0,IF(ISNUMBER(J159),J159,1)))</f>
        <v/>
      </c>
      <c r="AL159">
        <f>IF(Setup!$B$12="",0,IF(K159="",0,IF(ISNUMBER(K159),K159,1)))</f>
        <v/>
      </c>
      <c r="AM159">
        <f>IF(Setup!$B$13="",0,IF(L159="",0,IF(ISNUMBER(L159),L159,1)))</f>
        <v/>
      </c>
      <c r="AN159">
        <f>IF(Setup!$B$14="",0,IF(M159="",0,IF(ISNUMBER(M159),M159,1)))</f>
        <v/>
      </c>
      <c r="AO159">
        <f>IF(Setup!$B$15="",0,IF(N159="",0,IF(ISNUMBER(N159),N159,1)))</f>
        <v/>
      </c>
      <c r="AP159">
        <f>IF(Setup!$B$16="",0,IF(O159="",0,IF(ISNUMBER(O159),O159,1)))</f>
        <v/>
      </c>
      <c r="AQ159">
        <f>IF(Setup!$B$17="",0,IF(P159="",0,IF(ISNUMBER(P159),P159,1)))</f>
        <v/>
      </c>
      <c r="AR159">
        <f>IF(Setup!$B$18="",0,IF(Q159="",0,IF(ISNUMBER(Q159),Q159,1)))</f>
        <v/>
      </c>
      <c r="AS159">
        <f>IF(Setup!$B$19="",0,IF(R159="",0,IF(ISNUMBER(R159),R159,1)))</f>
        <v/>
      </c>
      <c r="AT159">
        <f>IF(Setup!$B$20="",0,IF(S159="",0,IF(ISNUMBER(S159),S159,1)))</f>
        <v/>
      </c>
    </row>
    <row r="160">
      <c r="A160" s="1" t="n"/>
      <c r="B160" s="24" t="n"/>
      <c r="C160" s="25" t="n"/>
      <c r="D160" s="25" t="n"/>
      <c r="E160" s="26" t="n"/>
      <c r="F160" s="27" t="n"/>
      <c r="G160" s="17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9">
        <f>IF(N(E160)=0,"",E160*IF(F160="",1,IFERROR(INDEX(Setup!$E$9:$E$18,MATCH(F160,Setup!$D$9:$D$18,0)),0)))</f>
        <v/>
      </c>
      <c r="U160" s="30">
        <f>IF(T160="","",IF(V160=0,"Everyone",IF(COUNTIF(AI160:AT160,"&gt;0")=COUNTIF(Setup!$B$9:$B$20,"?*"),"Everyone",COUNTIF(AI160:AT160,"&gt;0")&amp;IF(COUNTIF(AI160:AT160,"&gt;0")=1," person"," people"))))</f>
        <v/>
      </c>
      <c r="V160" s="1">
        <f>SUM(AI160:AT160)</f>
        <v/>
      </c>
      <c r="W160">
        <f>IF(OR(T160="",Setup!$B$9=""),0,IF(V160=0,T160/COUNTIF(Setup!$B$9:$B$20,"?*"),T160*AI160/V160))</f>
        <v/>
      </c>
      <c r="X160">
        <f>IF(OR(T160="",Setup!$B$10=""),0,IF(V160=0,T160/COUNTIF(Setup!$B$9:$B$20,"?*"),T160*AJ160/V160))</f>
        <v/>
      </c>
      <c r="Y160">
        <f>IF(OR(T160="",Setup!$B$11=""),0,IF(V160=0,T160/COUNTIF(Setup!$B$9:$B$20,"?*"),T160*AK160/V160))</f>
        <v/>
      </c>
      <c r="Z160">
        <f>IF(OR(T160="",Setup!$B$12=""),0,IF(V160=0,T160/COUNTIF(Setup!$B$9:$B$20,"?*"),T160*AL160/V160))</f>
        <v/>
      </c>
      <c r="AA160">
        <f>IF(OR(T160="",Setup!$B$13=""),0,IF(V160=0,T160/COUNTIF(Setup!$B$9:$B$20,"?*"),T160*AM160/V160))</f>
        <v/>
      </c>
      <c r="AB160">
        <f>IF(OR(T160="",Setup!$B$14=""),0,IF(V160=0,T160/COUNTIF(Setup!$B$9:$B$20,"?*"),T160*AN160/V160))</f>
        <v/>
      </c>
      <c r="AC160">
        <f>IF(OR(T160="",Setup!$B$15=""),0,IF(V160=0,T160/COUNTIF(Setup!$B$9:$B$20,"?*"),T160*AO160/V160))</f>
        <v/>
      </c>
      <c r="AD160">
        <f>IF(OR(T160="",Setup!$B$16=""),0,IF(V160=0,T160/COUNTIF(Setup!$B$9:$B$20,"?*"),T160*AP160/V160))</f>
        <v/>
      </c>
      <c r="AE160">
        <f>IF(OR(T160="",Setup!$B$17=""),0,IF(V160=0,T160/COUNTIF(Setup!$B$9:$B$20,"?*"),T160*AQ160/V160))</f>
        <v/>
      </c>
      <c r="AF160">
        <f>IF(OR(T160="",Setup!$B$18=""),0,IF(V160=0,T160/COUNTIF(Setup!$B$9:$B$20,"?*"),T160*AR160/V160))</f>
        <v/>
      </c>
      <c r="AG160">
        <f>IF(OR(T160="",Setup!$B$19=""),0,IF(V160=0,T160/COUNTIF(Setup!$B$9:$B$20,"?*"),T160*AS160/V160))</f>
        <v/>
      </c>
      <c r="AH160">
        <f>IF(OR(T160="",Setup!$B$20=""),0,IF(V160=0,T160/COUNTIF(Setup!$B$9:$B$20,"?*"),T160*AT160/V160))</f>
        <v/>
      </c>
      <c r="AI160">
        <f>IF(Setup!$B$9="",0,IF(H160="",0,IF(ISNUMBER(H160),H160,1)))</f>
        <v/>
      </c>
      <c r="AJ160">
        <f>IF(Setup!$B$10="",0,IF(I160="",0,IF(ISNUMBER(I160),I160,1)))</f>
        <v/>
      </c>
      <c r="AK160">
        <f>IF(Setup!$B$11="",0,IF(J160="",0,IF(ISNUMBER(J160),J160,1)))</f>
        <v/>
      </c>
      <c r="AL160">
        <f>IF(Setup!$B$12="",0,IF(K160="",0,IF(ISNUMBER(K160),K160,1)))</f>
        <v/>
      </c>
      <c r="AM160">
        <f>IF(Setup!$B$13="",0,IF(L160="",0,IF(ISNUMBER(L160),L160,1)))</f>
        <v/>
      </c>
      <c r="AN160">
        <f>IF(Setup!$B$14="",0,IF(M160="",0,IF(ISNUMBER(M160),M160,1)))</f>
        <v/>
      </c>
      <c r="AO160">
        <f>IF(Setup!$B$15="",0,IF(N160="",0,IF(ISNUMBER(N160),N160,1)))</f>
        <v/>
      </c>
      <c r="AP160">
        <f>IF(Setup!$B$16="",0,IF(O160="",0,IF(ISNUMBER(O160),O160,1)))</f>
        <v/>
      </c>
      <c r="AQ160">
        <f>IF(Setup!$B$17="",0,IF(P160="",0,IF(ISNUMBER(P160),P160,1)))</f>
        <v/>
      </c>
      <c r="AR160">
        <f>IF(Setup!$B$18="",0,IF(Q160="",0,IF(ISNUMBER(Q160),Q160,1)))</f>
        <v/>
      </c>
      <c r="AS160">
        <f>IF(Setup!$B$19="",0,IF(R160="",0,IF(ISNUMBER(R160),R160,1)))</f>
        <v/>
      </c>
      <c r="AT160">
        <f>IF(Setup!$B$20="",0,IF(S160="",0,IF(ISNUMBER(S160),S160,1)))</f>
        <v/>
      </c>
    </row>
    <row r="161">
      <c r="A161" s="1" t="n"/>
      <c r="B161" s="24" t="n"/>
      <c r="C161" s="25" t="n"/>
      <c r="D161" s="25" t="n"/>
      <c r="E161" s="26" t="n"/>
      <c r="F161" s="27" t="n"/>
      <c r="G161" s="17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9">
        <f>IF(N(E161)=0,"",E161*IF(F161="",1,IFERROR(INDEX(Setup!$E$9:$E$18,MATCH(F161,Setup!$D$9:$D$18,0)),0)))</f>
        <v/>
      </c>
      <c r="U161" s="30">
        <f>IF(T161="","",IF(V161=0,"Everyone",IF(COUNTIF(AI161:AT161,"&gt;0")=COUNTIF(Setup!$B$9:$B$20,"?*"),"Everyone",COUNTIF(AI161:AT161,"&gt;0")&amp;IF(COUNTIF(AI161:AT161,"&gt;0")=1," person"," people"))))</f>
        <v/>
      </c>
      <c r="V161" s="1">
        <f>SUM(AI161:AT161)</f>
        <v/>
      </c>
      <c r="W161">
        <f>IF(OR(T161="",Setup!$B$9=""),0,IF(V161=0,T161/COUNTIF(Setup!$B$9:$B$20,"?*"),T161*AI161/V161))</f>
        <v/>
      </c>
      <c r="X161">
        <f>IF(OR(T161="",Setup!$B$10=""),0,IF(V161=0,T161/COUNTIF(Setup!$B$9:$B$20,"?*"),T161*AJ161/V161))</f>
        <v/>
      </c>
      <c r="Y161">
        <f>IF(OR(T161="",Setup!$B$11=""),0,IF(V161=0,T161/COUNTIF(Setup!$B$9:$B$20,"?*"),T161*AK161/V161))</f>
        <v/>
      </c>
      <c r="Z161">
        <f>IF(OR(T161="",Setup!$B$12=""),0,IF(V161=0,T161/COUNTIF(Setup!$B$9:$B$20,"?*"),T161*AL161/V161))</f>
        <v/>
      </c>
      <c r="AA161">
        <f>IF(OR(T161="",Setup!$B$13=""),0,IF(V161=0,T161/COUNTIF(Setup!$B$9:$B$20,"?*"),T161*AM161/V161))</f>
        <v/>
      </c>
      <c r="AB161">
        <f>IF(OR(T161="",Setup!$B$14=""),0,IF(V161=0,T161/COUNTIF(Setup!$B$9:$B$20,"?*"),T161*AN161/V161))</f>
        <v/>
      </c>
      <c r="AC161">
        <f>IF(OR(T161="",Setup!$B$15=""),0,IF(V161=0,T161/COUNTIF(Setup!$B$9:$B$20,"?*"),T161*AO161/V161))</f>
        <v/>
      </c>
      <c r="AD161">
        <f>IF(OR(T161="",Setup!$B$16=""),0,IF(V161=0,T161/COUNTIF(Setup!$B$9:$B$20,"?*"),T161*AP161/V161))</f>
        <v/>
      </c>
      <c r="AE161">
        <f>IF(OR(T161="",Setup!$B$17=""),0,IF(V161=0,T161/COUNTIF(Setup!$B$9:$B$20,"?*"),T161*AQ161/V161))</f>
        <v/>
      </c>
      <c r="AF161">
        <f>IF(OR(T161="",Setup!$B$18=""),0,IF(V161=0,T161/COUNTIF(Setup!$B$9:$B$20,"?*"),T161*AR161/V161))</f>
        <v/>
      </c>
      <c r="AG161">
        <f>IF(OR(T161="",Setup!$B$19=""),0,IF(V161=0,T161/COUNTIF(Setup!$B$9:$B$20,"?*"),T161*AS161/V161))</f>
        <v/>
      </c>
      <c r="AH161">
        <f>IF(OR(T161="",Setup!$B$20=""),0,IF(V161=0,T161/COUNTIF(Setup!$B$9:$B$20,"?*"),T161*AT161/V161))</f>
        <v/>
      </c>
      <c r="AI161">
        <f>IF(Setup!$B$9="",0,IF(H161="",0,IF(ISNUMBER(H161),H161,1)))</f>
        <v/>
      </c>
      <c r="AJ161">
        <f>IF(Setup!$B$10="",0,IF(I161="",0,IF(ISNUMBER(I161),I161,1)))</f>
        <v/>
      </c>
      <c r="AK161">
        <f>IF(Setup!$B$11="",0,IF(J161="",0,IF(ISNUMBER(J161),J161,1)))</f>
        <v/>
      </c>
      <c r="AL161">
        <f>IF(Setup!$B$12="",0,IF(K161="",0,IF(ISNUMBER(K161),K161,1)))</f>
        <v/>
      </c>
      <c r="AM161">
        <f>IF(Setup!$B$13="",0,IF(L161="",0,IF(ISNUMBER(L161),L161,1)))</f>
        <v/>
      </c>
      <c r="AN161">
        <f>IF(Setup!$B$14="",0,IF(M161="",0,IF(ISNUMBER(M161),M161,1)))</f>
        <v/>
      </c>
      <c r="AO161">
        <f>IF(Setup!$B$15="",0,IF(N161="",0,IF(ISNUMBER(N161),N161,1)))</f>
        <v/>
      </c>
      <c r="AP161">
        <f>IF(Setup!$B$16="",0,IF(O161="",0,IF(ISNUMBER(O161),O161,1)))</f>
        <v/>
      </c>
      <c r="AQ161">
        <f>IF(Setup!$B$17="",0,IF(P161="",0,IF(ISNUMBER(P161),P161,1)))</f>
        <v/>
      </c>
      <c r="AR161">
        <f>IF(Setup!$B$18="",0,IF(Q161="",0,IF(ISNUMBER(Q161),Q161,1)))</f>
        <v/>
      </c>
      <c r="AS161">
        <f>IF(Setup!$B$19="",0,IF(R161="",0,IF(ISNUMBER(R161),R161,1)))</f>
        <v/>
      </c>
      <c r="AT161">
        <f>IF(Setup!$B$20="",0,IF(S161="",0,IF(ISNUMBER(S161),S161,1)))</f>
        <v/>
      </c>
    </row>
    <row r="162">
      <c r="A162" s="1" t="n"/>
      <c r="B162" s="24" t="n"/>
      <c r="C162" s="25" t="n"/>
      <c r="D162" s="25" t="n"/>
      <c r="E162" s="26" t="n"/>
      <c r="F162" s="27" t="n"/>
      <c r="G162" s="17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28" t="n"/>
      <c r="R162" s="28" t="n"/>
      <c r="S162" s="28" t="n"/>
      <c r="T162" s="29">
        <f>IF(N(E162)=0,"",E162*IF(F162="",1,IFERROR(INDEX(Setup!$E$9:$E$18,MATCH(F162,Setup!$D$9:$D$18,0)),0)))</f>
        <v/>
      </c>
      <c r="U162" s="30">
        <f>IF(T162="","",IF(V162=0,"Everyone",IF(COUNTIF(AI162:AT162,"&gt;0")=COUNTIF(Setup!$B$9:$B$20,"?*"),"Everyone",COUNTIF(AI162:AT162,"&gt;0")&amp;IF(COUNTIF(AI162:AT162,"&gt;0")=1," person"," people"))))</f>
        <v/>
      </c>
      <c r="V162" s="1">
        <f>SUM(AI162:AT162)</f>
        <v/>
      </c>
      <c r="W162">
        <f>IF(OR(T162="",Setup!$B$9=""),0,IF(V162=0,T162/COUNTIF(Setup!$B$9:$B$20,"?*"),T162*AI162/V162))</f>
        <v/>
      </c>
      <c r="X162">
        <f>IF(OR(T162="",Setup!$B$10=""),0,IF(V162=0,T162/COUNTIF(Setup!$B$9:$B$20,"?*"),T162*AJ162/V162))</f>
        <v/>
      </c>
      <c r="Y162">
        <f>IF(OR(T162="",Setup!$B$11=""),0,IF(V162=0,T162/COUNTIF(Setup!$B$9:$B$20,"?*"),T162*AK162/V162))</f>
        <v/>
      </c>
      <c r="Z162">
        <f>IF(OR(T162="",Setup!$B$12=""),0,IF(V162=0,T162/COUNTIF(Setup!$B$9:$B$20,"?*"),T162*AL162/V162))</f>
        <v/>
      </c>
      <c r="AA162">
        <f>IF(OR(T162="",Setup!$B$13=""),0,IF(V162=0,T162/COUNTIF(Setup!$B$9:$B$20,"?*"),T162*AM162/V162))</f>
        <v/>
      </c>
      <c r="AB162">
        <f>IF(OR(T162="",Setup!$B$14=""),0,IF(V162=0,T162/COUNTIF(Setup!$B$9:$B$20,"?*"),T162*AN162/V162))</f>
        <v/>
      </c>
      <c r="AC162">
        <f>IF(OR(T162="",Setup!$B$15=""),0,IF(V162=0,T162/COUNTIF(Setup!$B$9:$B$20,"?*"),T162*AO162/V162))</f>
        <v/>
      </c>
      <c r="AD162">
        <f>IF(OR(T162="",Setup!$B$16=""),0,IF(V162=0,T162/COUNTIF(Setup!$B$9:$B$20,"?*"),T162*AP162/V162))</f>
        <v/>
      </c>
      <c r="AE162">
        <f>IF(OR(T162="",Setup!$B$17=""),0,IF(V162=0,T162/COUNTIF(Setup!$B$9:$B$20,"?*"),T162*AQ162/V162))</f>
        <v/>
      </c>
      <c r="AF162">
        <f>IF(OR(T162="",Setup!$B$18=""),0,IF(V162=0,T162/COUNTIF(Setup!$B$9:$B$20,"?*"),T162*AR162/V162))</f>
        <v/>
      </c>
      <c r="AG162">
        <f>IF(OR(T162="",Setup!$B$19=""),0,IF(V162=0,T162/COUNTIF(Setup!$B$9:$B$20,"?*"),T162*AS162/V162))</f>
        <v/>
      </c>
      <c r="AH162">
        <f>IF(OR(T162="",Setup!$B$20=""),0,IF(V162=0,T162/COUNTIF(Setup!$B$9:$B$20,"?*"),T162*AT162/V162))</f>
        <v/>
      </c>
      <c r="AI162">
        <f>IF(Setup!$B$9="",0,IF(H162="",0,IF(ISNUMBER(H162),H162,1)))</f>
        <v/>
      </c>
      <c r="AJ162">
        <f>IF(Setup!$B$10="",0,IF(I162="",0,IF(ISNUMBER(I162),I162,1)))</f>
        <v/>
      </c>
      <c r="AK162">
        <f>IF(Setup!$B$11="",0,IF(J162="",0,IF(ISNUMBER(J162),J162,1)))</f>
        <v/>
      </c>
      <c r="AL162">
        <f>IF(Setup!$B$12="",0,IF(K162="",0,IF(ISNUMBER(K162),K162,1)))</f>
        <v/>
      </c>
      <c r="AM162">
        <f>IF(Setup!$B$13="",0,IF(L162="",0,IF(ISNUMBER(L162),L162,1)))</f>
        <v/>
      </c>
      <c r="AN162">
        <f>IF(Setup!$B$14="",0,IF(M162="",0,IF(ISNUMBER(M162),M162,1)))</f>
        <v/>
      </c>
      <c r="AO162">
        <f>IF(Setup!$B$15="",0,IF(N162="",0,IF(ISNUMBER(N162),N162,1)))</f>
        <v/>
      </c>
      <c r="AP162">
        <f>IF(Setup!$B$16="",0,IF(O162="",0,IF(ISNUMBER(O162),O162,1)))</f>
        <v/>
      </c>
      <c r="AQ162">
        <f>IF(Setup!$B$17="",0,IF(P162="",0,IF(ISNUMBER(P162),P162,1)))</f>
        <v/>
      </c>
      <c r="AR162">
        <f>IF(Setup!$B$18="",0,IF(Q162="",0,IF(ISNUMBER(Q162),Q162,1)))</f>
        <v/>
      </c>
      <c r="AS162">
        <f>IF(Setup!$B$19="",0,IF(R162="",0,IF(ISNUMBER(R162),R162,1)))</f>
        <v/>
      </c>
      <c r="AT162">
        <f>IF(Setup!$B$20="",0,IF(S162="",0,IF(ISNUMBER(S162),S162,1)))</f>
        <v/>
      </c>
    </row>
    <row r="163">
      <c r="A163" s="1" t="n"/>
      <c r="B163" s="24" t="n"/>
      <c r="C163" s="25" t="n"/>
      <c r="D163" s="25" t="n"/>
      <c r="E163" s="26" t="n"/>
      <c r="F163" s="27" t="n"/>
      <c r="G163" s="17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8" t="n"/>
      <c r="T163" s="29">
        <f>IF(N(E163)=0,"",E163*IF(F163="",1,IFERROR(INDEX(Setup!$E$9:$E$18,MATCH(F163,Setup!$D$9:$D$18,0)),0)))</f>
        <v/>
      </c>
      <c r="U163" s="30">
        <f>IF(T163="","",IF(V163=0,"Everyone",IF(COUNTIF(AI163:AT163,"&gt;0")=COUNTIF(Setup!$B$9:$B$20,"?*"),"Everyone",COUNTIF(AI163:AT163,"&gt;0")&amp;IF(COUNTIF(AI163:AT163,"&gt;0")=1," person"," people"))))</f>
        <v/>
      </c>
      <c r="V163" s="1">
        <f>SUM(AI163:AT163)</f>
        <v/>
      </c>
      <c r="W163">
        <f>IF(OR(T163="",Setup!$B$9=""),0,IF(V163=0,T163/COUNTIF(Setup!$B$9:$B$20,"?*"),T163*AI163/V163))</f>
        <v/>
      </c>
      <c r="X163">
        <f>IF(OR(T163="",Setup!$B$10=""),0,IF(V163=0,T163/COUNTIF(Setup!$B$9:$B$20,"?*"),T163*AJ163/V163))</f>
        <v/>
      </c>
      <c r="Y163">
        <f>IF(OR(T163="",Setup!$B$11=""),0,IF(V163=0,T163/COUNTIF(Setup!$B$9:$B$20,"?*"),T163*AK163/V163))</f>
        <v/>
      </c>
      <c r="Z163">
        <f>IF(OR(T163="",Setup!$B$12=""),0,IF(V163=0,T163/COUNTIF(Setup!$B$9:$B$20,"?*"),T163*AL163/V163))</f>
        <v/>
      </c>
      <c r="AA163">
        <f>IF(OR(T163="",Setup!$B$13=""),0,IF(V163=0,T163/COUNTIF(Setup!$B$9:$B$20,"?*"),T163*AM163/V163))</f>
        <v/>
      </c>
      <c r="AB163">
        <f>IF(OR(T163="",Setup!$B$14=""),0,IF(V163=0,T163/COUNTIF(Setup!$B$9:$B$20,"?*"),T163*AN163/V163))</f>
        <v/>
      </c>
      <c r="AC163">
        <f>IF(OR(T163="",Setup!$B$15=""),0,IF(V163=0,T163/COUNTIF(Setup!$B$9:$B$20,"?*"),T163*AO163/V163))</f>
        <v/>
      </c>
      <c r="AD163">
        <f>IF(OR(T163="",Setup!$B$16=""),0,IF(V163=0,T163/COUNTIF(Setup!$B$9:$B$20,"?*"),T163*AP163/V163))</f>
        <v/>
      </c>
      <c r="AE163">
        <f>IF(OR(T163="",Setup!$B$17=""),0,IF(V163=0,T163/COUNTIF(Setup!$B$9:$B$20,"?*"),T163*AQ163/V163))</f>
        <v/>
      </c>
      <c r="AF163">
        <f>IF(OR(T163="",Setup!$B$18=""),0,IF(V163=0,T163/COUNTIF(Setup!$B$9:$B$20,"?*"),T163*AR163/V163))</f>
        <v/>
      </c>
      <c r="AG163">
        <f>IF(OR(T163="",Setup!$B$19=""),0,IF(V163=0,T163/COUNTIF(Setup!$B$9:$B$20,"?*"),T163*AS163/V163))</f>
        <v/>
      </c>
      <c r="AH163">
        <f>IF(OR(T163="",Setup!$B$20=""),0,IF(V163=0,T163/COUNTIF(Setup!$B$9:$B$20,"?*"),T163*AT163/V163))</f>
        <v/>
      </c>
      <c r="AI163">
        <f>IF(Setup!$B$9="",0,IF(H163="",0,IF(ISNUMBER(H163),H163,1)))</f>
        <v/>
      </c>
      <c r="AJ163">
        <f>IF(Setup!$B$10="",0,IF(I163="",0,IF(ISNUMBER(I163),I163,1)))</f>
        <v/>
      </c>
      <c r="AK163">
        <f>IF(Setup!$B$11="",0,IF(J163="",0,IF(ISNUMBER(J163),J163,1)))</f>
        <v/>
      </c>
      <c r="AL163">
        <f>IF(Setup!$B$12="",0,IF(K163="",0,IF(ISNUMBER(K163),K163,1)))</f>
        <v/>
      </c>
      <c r="AM163">
        <f>IF(Setup!$B$13="",0,IF(L163="",0,IF(ISNUMBER(L163),L163,1)))</f>
        <v/>
      </c>
      <c r="AN163">
        <f>IF(Setup!$B$14="",0,IF(M163="",0,IF(ISNUMBER(M163),M163,1)))</f>
        <v/>
      </c>
      <c r="AO163">
        <f>IF(Setup!$B$15="",0,IF(N163="",0,IF(ISNUMBER(N163),N163,1)))</f>
        <v/>
      </c>
      <c r="AP163">
        <f>IF(Setup!$B$16="",0,IF(O163="",0,IF(ISNUMBER(O163),O163,1)))</f>
        <v/>
      </c>
      <c r="AQ163">
        <f>IF(Setup!$B$17="",0,IF(P163="",0,IF(ISNUMBER(P163),P163,1)))</f>
        <v/>
      </c>
      <c r="AR163">
        <f>IF(Setup!$B$18="",0,IF(Q163="",0,IF(ISNUMBER(Q163),Q163,1)))</f>
        <v/>
      </c>
      <c r="AS163">
        <f>IF(Setup!$B$19="",0,IF(R163="",0,IF(ISNUMBER(R163),R163,1)))</f>
        <v/>
      </c>
      <c r="AT163">
        <f>IF(Setup!$B$20="",0,IF(S163="",0,IF(ISNUMBER(S163),S163,1)))</f>
        <v/>
      </c>
    </row>
    <row r="164">
      <c r="A164" s="1" t="n"/>
      <c r="B164" s="24" t="n"/>
      <c r="C164" s="25" t="n"/>
      <c r="D164" s="25" t="n"/>
      <c r="E164" s="26" t="n"/>
      <c r="F164" s="27" t="n"/>
      <c r="G164" s="17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28" t="n"/>
      <c r="R164" s="28" t="n"/>
      <c r="S164" s="28" t="n"/>
      <c r="T164" s="29">
        <f>IF(N(E164)=0,"",E164*IF(F164="",1,IFERROR(INDEX(Setup!$E$9:$E$18,MATCH(F164,Setup!$D$9:$D$18,0)),0)))</f>
        <v/>
      </c>
      <c r="U164" s="30">
        <f>IF(T164="","",IF(V164=0,"Everyone",IF(COUNTIF(AI164:AT164,"&gt;0")=COUNTIF(Setup!$B$9:$B$20,"?*"),"Everyone",COUNTIF(AI164:AT164,"&gt;0")&amp;IF(COUNTIF(AI164:AT164,"&gt;0")=1," person"," people"))))</f>
        <v/>
      </c>
      <c r="V164" s="1">
        <f>SUM(AI164:AT164)</f>
        <v/>
      </c>
      <c r="W164">
        <f>IF(OR(T164="",Setup!$B$9=""),0,IF(V164=0,T164/COUNTIF(Setup!$B$9:$B$20,"?*"),T164*AI164/V164))</f>
        <v/>
      </c>
      <c r="X164">
        <f>IF(OR(T164="",Setup!$B$10=""),0,IF(V164=0,T164/COUNTIF(Setup!$B$9:$B$20,"?*"),T164*AJ164/V164))</f>
        <v/>
      </c>
      <c r="Y164">
        <f>IF(OR(T164="",Setup!$B$11=""),0,IF(V164=0,T164/COUNTIF(Setup!$B$9:$B$20,"?*"),T164*AK164/V164))</f>
        <v/>
      </c>
      <c r="Z164">
        <f>IF(OR(T164="",Setup!$B$12=""),0,IF(V164=0,T164/COUNTIF(Setup!$B$9:$B$20,"?*"),T164*AL164/V164))</f>
        <v/>
      </c>
      <c r="AA164">
        <f>IF(OR(T164="",Setup!$B$13=""),0,IF(V164=0,T164/COUNTIF(Setup!$B$9:$B$20,"?*"),T164*AM164/V164))</f>
        <v/>
      </c>
      <c r="AB164">
        <f>IF(OR(T164="",Setup!$B$14=""),0,IF(V164=0,T164/COUNTIF(Setup!$B$9:$B$20,"?*"),T164*AN164/V164))</f>
        <v/>
      </c>
      <c r="AC164">
        <f>IF(OR(T164="",Setup!$B$15=""),0,IF(V164=0,T164/COUNTIF(Setup!$B$9:$B$20,"?*"),T164*AO164/V164))</f>
        <v/>
      </c>
      <c r="AD164">
        <f>IF(OR(T164="",Setup!$B$16=""),0,IF(V164=0,T164/COUNTIF(Setup!$B$9:$B$20,"?*"),T164*AP164/V164))</f>
        <v/>
      </c>
      <c r="AE164">
        <f>IF(OR(T164="",Setup!$B$17=""),0,IF(V164=0,T164/COUNTIF(Setup!$B$9:$B$20,"?*"),T164*AQ164/V164))</f>
        <v/>
      </c>
      <c r="AF164">
        <f>IF(OR(T164="",Setup!$B$18=""),0,IF(V164=0,T164/COUNTIF(Setup!$B$9:$B$20,"?*"),T164*AR164/V164))</f>
        <v/>
      </c>
      <c r="AG164">
        <f>IF(OR(T164="",Setup!$B$19=""),0,IF(V164=0,T164/COUNTIF(Setup!$B$9:$B$20,"?*"),T164*AS164/V164))</f>
        <v/>
      </c>
      <c r="AH164">
        <f>IF(OR(T164="",Setup!$B$20=""),0,IF(V164=0,T164/COUNTIF(Setup!$B$9:$B$20,"?*"),T164*AT164/V164))</f>
        <v/>
      </c>
      <c r="AI164">
        <f>IF(Setup!$B$9="",0,IF(H164="",0,IF(ISNUMBER(H164),H164,1)))</f>
        <v/>
      </c>
      <c r="AJ164">
        <f>IF(Setup!$B$10="",0,IF(I164="",0,IF(ISNUMBER(I164),I164,1)))</f>
        <v/>
      </c>
      <c r="AK164">
        <f>IF(Setup!$B$11="",0,IF(J164="",0,IF(ISNUMBER(J164),J164,1)))</f>
        <v/>
      </c>
      <c r="AL164">
        <f>IF(Setup!$B$12="",0,IF(K164="",0,IF(ISNUMBER(K164),K164,1)))</f>
        <v/>
      </c>
      <c r="AM164">
        <f>IF(Setup!$B$13="",0,IF(L164="",0,IF(ISNUMBER(L164),L164,1)))</f>
        <v/>
      </c>
      <c r="AN164">
        <f>IF(Setup!$B$14="",0,IF(M164="",0,IF(ISNUMBER(M164),M164,1)))</f>
        <v/>
      </c>
      <c r="AO164">
        <f>IF(Setup!$B$15="",0,IF(N164="",0,IF(ISNUMBER(N164),N164,1)))</f>
        <v/>
      </c>
      <c r="AP164">
        <f>IF(Setup!$B$16="",0,IF(O164="",0,IF(ISNUMBER(O164),O164,1)))</f>
        <v/>
      </c>
      <c r="AQ164">
        <f>IF(Setup!$B$17="",0,IF(P164="",0,IF(ISNUMBER(P164),P164,1)))</f>
        <v/>
      </c>
      <c r="AR164">
        <f>IF(Setup!$B$18="",0,IF(Q164="",0,IF(ISNUMBER(Q164),Q164,1)))</f>
        <v/>
      </c>
      <c r="AS164">
        <f>IF(Setup!$B$19="",0,IF(R164="",0,IF(ISNUMBER(R164),R164,1)))</f>
        <v/>
      </c>
      <c r="AT164">
        <f>IF(Setup!$B$20="",0,IF(S164="",0,IF(ISNUMBER(S164),S164,1)))</f>
        <v/>
      </c>
    </row>
    <row r="165">
      <c r="A165" s="1" t="n"/>
      <c r="B165" s="24" t="n"/>
      <c r="C165" s="25" t="n"/>
      <c r="D165" s="25" t="n"/>
      <c r="E165" s="26" t="n"/>
      <c r="F165" s="27" t="n"/>
      <c r="G165" s="17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28" t="n"/>
      <c r="R165" s="28" t="n"/>
      <c r="S165" s="28" t="n"/>
      <c r="T165" s="29">
        <f>IF(N(E165)=0,"",E165*IF(F165="",1,IFERROR(INDEX(Setup!$E$9:$E$18,MATCH(F165,Setup!$D$9:$D$18,0)),0)))</f>
        <v/>
      </c>
      <c r="U165" s="30">
        <f>IF(T165="","",IF(V165=0,"Everyone",IF(COUNTIF(AI165:AT165,"&gt;0")=COUNTIF(Setup!$B$9:$B$20,"?*"),"Everyone",COUNTIF(AI165:AT165,"&gt;0")&amp;IF(COUNTIF(AI165:AT165,"&gt;0")=1," person"," people"))))</f>
        <v/>
      </c>
      <c r="V165" s="1">
        <f>SUM(AI165:AT165)</f>
        <v/>
      </c>
      <c r="W165">
        <f>IF(OR(T165="",Setup!$B$9=""),0,IF(V165=0,T165/COUNTIF(Setup!$B$9:$B$20,"?*"),T165*AI165/V165))</f>
        <v/>
      </c>
      <c r="X165">
        <f>IF(OR(T165="",Setup!$B$10=""),0,IF(V165=0,T165/COUNTIF(Setup!$B$9:$B$20,"?*"),T165*AJ165/V165))</f>
        <v/>
      </c>
      <c r="Y165">
        <f>IF(OR(T165="",Setup!$B$11=""),0,IF(V165=0,T165/COUNTIF(Setup!$B$9:$B$20,"?*"),T165*AK165/V165))</f>
        <v/>
      </c>
      <c r="Z165">
        <f>IF(OR(T165="",Setup!$B$12=""),0,IF(V165=0,T165/COUNTIF(Setup!$B$9:$B$20,"?*"),T165*AL165/V165))</f>
        <v/>
      </c>
      <c r="AA165">
        <f>IF(OR(T165="",Setup!$B$13=""),0,IF(V165=0,T165/COUNTIF(Setup!$B$9:$B$20,"?*"),T165*AM165/V165))</f>
        <v/>
      </c>
      <c r="AB165">
        <f>IF(OR(T165="",Setup!$B$14=""),0,IF(V165=0,T165/COUNTIF(Setup!$B$9:$B$20,"?*"),T165*AN165/V165))</f>
        <v/>
      </c>
      <c r="AC165">
        <f>IF(OR(T165="",Setup!$B$15=""),0,IF(V165=0,T165/COUNTIF(Setup!$B$9:$B$20,"?*"),T165*AO165/V165))</f>
        <v/>
      </c>
      <c r="AD165">
        <f>IF(OR(T165="",Setup!$B$16=""),0,IF(V165=0,T165/COUNTIF(Setup!$B$9:$B$20,"?*"),T165*AP165/V165))</f>
        <v/>
      </c>
      <c r="AE165">
        <f>IF(OR(T165="",Setup!$B$17=""),0,IF(V165=0,T165/COUNTIF(Setup!$B$9:$B$20,"?*"),T165*AQ165/V165))</f>
        <v/>
      </c>
      <c r="AF165">
        <f>IF(OR(T165="",Setup!$B$18=""),0,IF(V165=0,T165/COUNTIF(Setup!$B$9:$B$20,"?*"),T165*AR165/V165))</f>
        <v/>
      </c>
      <c r="AG165">
        <f>IF(OR(T165="",Setup!$B$19=""),0,IF(V165=0,T165/COUNTIF(Setup!$B$9:$B$20,"?*"),T165*AS165/V165))</f>
        <v/>
      </c>
      <c r="AH165">
        <f>IF(OR(T165="",Setup!$B$20=""),0,IF(V165=0,T165/COUNTIF(Setup!$B$9:$B$20,"?*"),T165*AT165/V165))</f>
        <v/>
      </c>
      <c r="AI165">
        <f>IF(Setup!$B$9="",0,IF(H165="",0,IF(ISNUMBER(H165),H165,1)))</f>
        <v/>
      </c>
      <c r="AJ165">
        <f>IF(Setup!$B$10="",0,IF(I165="",0,IF(ISNUMBER(I165),I165,1)))</f>
        <v/>
      </c>
      <c r="AK165">
        <f>IF(Setup!$B$11="",0,IF(J165="",0,IF(ISNUMBER(J165),J165,1)))</f>
        <v/>
      </c>
      <c r="AL165">
        <f>IF(Setup!$B$12="",0,IF(K165="",0,IF(ISNUMBER(K165),K165,1)))</f>
        <v/>
      </c>
      <c r="AM165">
        <f>IF(Setup!$B$13="",0,IF(L165="",0,IF(ISNUMBER(L165),L165,1)))</f>
        <v/>
      </c>
      <c r="AN165">
        <f>IF(Setup!$B$14="",0,IF(M165="",0,IF(ISNUMBER(M165),M165,1)))</f>
        <v/>
      </c>
      <c r="AO165">
        <f>IF(Setup!$B$15="",0,IF(N165="",0,IF(ISNUMBER(N165),N165,1)))</f>
        <v/>
      </c>
      <c r="AP165">
        <f>IF(Setup!$B$16="",0,IF(O165="",0,IF(ISNUMBER(O165),O165,1)))</f>
        <v/>
      </c>
      <c r="AQ165">
        <f>IF(Setup!$B$17="",0,IF(P165="",0,IF(ISNUMBER(P165),P165,1)))</f>
        <v/>
      </c>
      <c r="AR165">
        <f>IF(Setup!$B$18="",0,IF(Q165="",0,IF(ISNUMBER(Q165),Q165,1)))</f>
        <v/>
      </c>
      <c r="AS165">
        <f>IF(Setup!$B$19="",0,IF(R165="",0,IF(ISNUMBER(R165),R165,1)))</f>
        <v/>
      </c>
      <c r="AT165">
        <f>IF(Setup!$B$20="",0,IF(S165="",0,IF(ISNUMBER(S165),S165,1)))</f>
        <v/>
      </c>
    </row>
    <row r="166">
      <c r="A166" s="1" t="n"/>
      <c r="B166" s="24" t="n"/>
      <c r="C166" s="25" t="n"/>
      <c r="D166" s="25" t="n"/>
      <c r="E166" s="26" t="n"/>
      <c r="F166" s="27" t="n"/>
      <c r="G166" s="17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28" t="n"/>
      <c r="R166" s="28" t="n"/>
      <c r="S166" s="28" t="n"/>
      <c r="T166" s="29">
        <f>IF(N(E166)=0,"",E166*IF(F166="",1,IFERROR(INDEX(Setup!$E$9:$E$18,MATCH(F166,Setup!$D$9:$D$18,0)),0)))</f>
        <v/>
      </c>
      <c r="U166" s="30">
        <f>IF(T166="","",IF(V166=0,"Everyone",IF(COUNTIF(AI166:AT166,"&gt;0")=COUNTIF(Setup!$B$9:$B$20,"?*"),"Everyone",COUNTIF(AI166:AT166,"&gt;0")&amp;IF(COUNTIF(AI166:AT166,"&gt;0")=1," person"," people"))))</f>
        <v/>
      </c>
      <c r="V166" s="1">
        <f>SUM(AI166:AT166)</f>
        <v/>
      </c>
      <c r="W166">
        <f>IF(OR(T166="",Setup!$B$9=""),0,IF(V166=0,T166/COUNTIF(Setup!$B$9:$B$20,"?*"),T166*AI166/V166))</f>
        <v/>
      </c>
      <c r="X166">
        <f>IF(OR(T166="",Setup!$B$10=""),0,IF(V166=0,T166/COUNTIF(Setup!$B$9:$B$20,"?*"),T166*AJ166/V166))</f>
        <v/>
      </c>
      <c r="Y166">
        <f>IF(OR(T166="",Setup!$B$11=""),0,IF(V166=0,T166/COUNTIF(Setup!$B$9:$B$20,"?*"),T166*AK166/V166))</f>
        <v/>
      </c>
      <c r="Z166">
        <f>IF(OR(T166="",Setup!$B$12=""),0,IF(V166=0,T166/COUNTIF(Setup!$B$9:$B$20,"?*"),T166*AL166/V166))</f>
        <v/>
      </c>
      <c r="AA166">
        <f>IF(OR(T166="",Setup!$B$13=""),0,IF(V166=0,T166/COUNTIF(Setup!$B$9:$B$20,"?*"),T166*AM166/V166))</f>
        <v/>
      </c>
      <c r="AB166">
        <f>IF(OR(T166="",Setup!$B$14=""),0,IF(V166=0,T166/COUNTIF(Setup!$B$9:$B$20,"?*"),T166*AN166/V166))</f>
        <v/>
      </c>
      <c r="AC166">
        <f>IF(OR(T166="",Setup!$B$15=""),0,IF(V166=0,T166/COUNTIF(Setup!$B$9:$B$20,"?*"),T166*AO166/V166))</f>
        <v/>
      </c>
      <c r="AD166">
        <f>IF(OR(T166="",Setup!$B$16=""),0,IF(V166=0,T166/COUNTIF(Setup!$B$9:$B$20,"?*"),T166*AP166/V166))</f>
        <v/>
      </c>
      <c r="AE166">
        <f>IF(OR(T166="",Setup!$B$17=""),0,IF(V166=0,T166/COUNTIF(Setup!$B$9:$B$20,"?*"),T166*AQ166/V166))</f>
        <v/>
      </c>
      <c r="AF166">
        <f>IF(OR(T166="",Setup!$B$18=""),0,IF(V166=0,T166/COUNTIF(Setup!$B$9:$B$20,"?*"),T166*AR166/V166))</f>
        <v/>
      </c>
      <c r="AG166">
        <f>IF(OR(T166="",Setup!$B$19=""),0,IF(V166=0,T166/COUNTIF(Setup!$B$9:$B$20,"?*"),T166*AS166/V166))</f>
        <v/>
      </c>
      <c r="AH166">
        <f>IF(OR(T166="",Setup!$B$20=""),0,IF(V166=0,T166/COUNTIF(Setup!$B$9:$B$20,"?*"),T166*AT166/V166))</f>
        <v/>
      </c>
      <c r="AI166">
        <f>IF(Setup!$B$9="",0,IF(H166="",0,IF(ISNUMBER(H166),H166,1)))</f>
        <v/>
      </c>
      <c r="AJ166">
        <f>IF(Setup!$B$10="",0,IF(I166="",0,IF(ISNUMBER(I166),I166,1)))</f>
        <v/>
      </c>
      <c r="AK166">
        <f>IF(Setup!$B$11="",0,IF(J166="",0,IF(ISNUMBER(J166),J166,1)))</f>
        <v/>
      </c>
      <c r="AL166">
        <f>IF(Setup!$B$12="",0,IF(K166="",0,IF(ISNUMBER(K166),K166,1)))</f>
        <v/>
      </c>
      <c r="AM166">
        <f>IF(Setup!$B$13="",0,IF(L166="",0,IF(ISNUMBER(L166),L166,1)))</f>
        <v/>
      </c>
      <c r="AN166">
        <f>IF(Setup!$B$14="",0,IF(M166="",0,IF(ISNUMBER(M166),M166,1)))</f>
        <v/>
      </c>
      <c r="AO166">
        <f>IF(Setup!$B$15="",0,IF(N166="",0,IF(ISNUMBER(N166),N166,1)))</f>
        <v/>
      </c>
      <c r="AP166">
        <f>IF(Setup!$B$16="",0,IF(O166="",0,IF(ISNUMBER(O166),O166,1)))</f>
        <v/>
      </c>
      <c r="AQ166">
        <f>IF(Setup!$B$17="",0,IF(P166="",0,IF(ISNUMBER(P166),P166,1)))</f>
        <v/>
      </c>
      <c r="AR166">
        <f>IF(Setup!$B$18="",0,IF(Q166="",0,IF(ISNUMBER(Q166),Q166,1)))</f>
        <v/>
      </c>
      <c r="AS166">
        <f>IF(Setup!$B$19="",0,IF(R166="",0,IF(ISNUMBER(R166),R166,1)))</f>
        <v/>
      </c>
      <c r="AT166">
        <f>IF(Setup!$B$20="",0,IF(S166="",0,IF(ISNUMBER(S166),S166,1)))</f>
        <v/>
      </c>
    </row>
    <row r="167">
      <c r="A167" s="1" t="n"/>
      <c r="B167" s="24" t="n"/>
      <c r="C167" s="25" t="n"/>
      <c r="D167" s="25" t="n"/>
      <c r="E167" s="26" t="n"/>
      <c r="F167" s="27" t="n"/>
      <c r="G167" s="17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28" t="n"/>
      <c r="R167" s="28" t="n"/>
      <c r="S167" s="28" t="n"/>
      <c r="T167" s="29">
        <f>IF(N(E167)=0,"",E167*IF(F167="",1,IFERROR(INDEX(Setup!$E$9:$E$18,MATCH(F167,Setup!$D$9:$D$18,0)),0)))</f>
        <v/>
      </c>
      <c r="U167" s="30">
        <f>IF(T167="","",IF(V167=0,"Everyone",IF(COUNTIF(AI167:AT167,"&gt;0")=COUNTIF(Setup!$B$9:$B$20,"?*"),"Everyone",COUNTIF(AI167:AT167,"&gt;0")&amp;IF(COUNTIF(AI167:AT167,"&gt;0")=1," person"," people"))))</f>
        <v/>
      </c>
      <c r="V167" s="1">
        <f>SUM(AI167:AT167)</f>
        <v/>
      </c>
      <c r="W167">
        <f>IF(OR(T167="",Setup!$B$9=""),0,IF(V167=0,T167/COUNTIF(Setup!$B$9:$B$20,"?*"),T167*AI167/V167))</f>
        <v/>
      </c>
      <c r="X167">
        <f>IF(OR(T167="",Setup!$B$10=""),0,IF(V167=0,T167/COUNTIF(Setup!$B$9:$B$20,"?*"),T167*AJ167/V167))</f>
        <v/>
      </c>
      <c r="Y167">
        <f>IF(OR(T167="",Setup!$B$11=""),0,IF(V167=0,T167/COUNTIF(Setup!$B$9:$B$20,"?*"),T167*AK167/V167))</f>
        <v/>
      </c>
      <c r="Z167">
        <f>IF(OR(T167="",Setup!$B$12=""),0,IF(V167=0,T167/COUNTIF(Setup!$B$9:$B$20,"?*"),T167*AL167/V167))</f>
        <v/>
      </c>
      <c r="AA167">
        <f>IF(OR(T167="",Setup!$B$13=""),0,IF(V167=0,T167/COUNTIF(Setup!$B$9:$B$20,"?*"),T167*AM167/V167))</f>
        <v/>
      </c>
      <c r="AB167">
        <f>IF(OR(T167="",Setup!$B$14=""),0,IF(V167=0,T167/COUNTIF(Setup!$B$9:$B$20,"?*"),T167*AN167/V167))</f>
        <v/>
      </c>
      <c r="AC167">
        <f>IF(OR(T167="",Setup!$B$15=""),0,IF(V167=0,T167/COUNTIF(Setup!$B$9:$B$20,"?*"),T167*AO167/V167))</f>
        <v/>
      </c>
      <c r="AD167">
        <f>IF(OR(T167="",Setup!$B$16=""),0,IF(V167=0,T167/COUNTIF(Setup!$B$9:$B$20,"?*"),T167*AP167/V167))</f>
        <v/>
      </c>
      <c r="AE167">
        <f>IF(OR(T167="",Setup!$B$17=""),0,IF(V167=0,T167/COUNTIF(Setup!$B$9:$B$20,"?*"),T167*AQ167/V167))</f>
        <v/>
      </c>
      <c r="AF167">
        <f>IF(OR(T167="",Setup!$B$18=""),0,IF(V167=0,T167/COUNTIF(Setup!$B$9:$B$20,"?*"),T167*AR167/V167))</f>
        <v/>
      </c>
      <c r="AG167">
        <f>IF(OR(T167="",Setup!$B$19=""),0,IF(V167=0,T167/COUNTIF(Setup!$B$9:$B$20,"?*"),T167*AS167/V167))</f>
        <v/>
      </c>
      <c r="AH167">
        <f>IF(OR(T167="",Setup!$B$20=""),0,IF(V167=0,T167/COUNTIF(Setup!$B$9:$B$20,"?*"),T167*AT167/V167))</f>
        <v/>
      </c>
      <c r="AI167">
        <f>IF(Setup!$B$9="",0,IF(H167="",0,IF(ISNUMBER(H167),H167,1)))</f>
        <v/>
      </c>
      <c r="AJ167">
        <f>IF(Setup!$B$10="",0,IF(I167="",0,IF(ISNUMBER(I167),I167,1)))</f>
        <v/>
      </c>
      <c r="AK167">
        <f>IF(Setup!$B$11="",0,IF(J167="",0,IF(ISNUMBER(J167),J167,1)))</f>
        <v/>
      </c>
      <c r="AL167">
        <f>IF(Setup!$B$12="",0,IF(K167="",0,IF(ISNUMBER(K167),K167,1)))</f>
        <v/>
      </c>
      <c r="AM167">
        <f>IF(Setup!$B$13="",0,IF(L167="",0,IF(ISNUMBER(L167),L167,1)))</f>
        <v/>
      </c>
      <c r="AN167">
        <f>IF(Setup!$B$14="",0,IF(M167="",0,IF(ISNUMBER(M167),M167,1)))</f>
        <v/>
      </c>
      <c r="AO167">
        <f>IF(Setup!$B$15="",0,IF(N167="",0,IF(ISNUMBER(N167),N167,1)))</f>
        <v/>
      </c>
      <c r="AP167">
        <f>IF(Setup!$B$16="",0,IF(O167="",0,IF(ISNUMBER(O167),O167,1)))</f>
        <v/>
      </c>
      <c r="AQ167">
        <f>IF(Setup!$B$17="",0,IF(P167="",0,IF(ISNUMBER(P167),P167,1)))</f>
        <v/>
      </c>
      <c r="AR167">
        <f>IF(Setup!$B$18="",0,IF(Q167="",0,IF(ISNUMBER(Q167),Q167,1)))</f>
        <v/>
      </c>
      <c r="AS167">
        <f>IF(Setup!$B$19="",0,IF(R167="",0,IF(ISNUMBER(R167),R167,1)))</f>
        <v/>
      </c>
      <c r="AT167">
        <f>IF(Setup!$B$20="",0,IF(S167="",0,IF(ISNUMBER(S167),S167,1)))</f>
        <v/>
      </c>
    </row>
    <row r="168">
      <c r="A168" s="1" t="n"/>
      <c r="B168" s="24" t="n"/>
      <c r="C168" s="25" t="n"/>
      <c r="D168" s="25" t="n"/>
      <c r="E168" s="26" t="n"/>
      <c r="F168" s="27" t="n"/>
      <c r="G168" s="17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28" t="n"/>
      <c r="R168" s="28" t="n"/>
      <c r="S168" s="28" t="n"/>
      <c r="T168" s="29">
        <f>IF(N(E168)=0,"",E168*IF(F168="",1,IFERROR(INDEX(Setup!$E$9:$E$18,MATCH(F168,Setup!$D$9:$D$18,0)),0)))</f>
        <v/>
      </c>
      <c r="U168" s="30">
        <f>IF(T168="","",IF(V168=0,"Everyone",IF(COUNTIF(AI168:AT168,"&gt;0")=COUNTIF(Setup!$B$9:$B$20,"?*"),"Everyone",COUNTIF(AI168:AT168,"&gt;0")&amp;IF(COUNTIF(AI168:AT168,"&gt;0")=1," person"," people"))))</f>
        <v/>
      </c>
      <c r="V168" s="1">
        <f>SUM(AI168:AT168)</f>
        <v/>
      </c>
      <c r="W168">
        <f>IF(OR(T168="",Setup!$B$9=""),0,IF(V168=0,T168/COUNTIF(Setup!$B$9:$B$20,"?*"),T168*AI168/V168))</f>
        <v/>
      </c>
      <c r="X168">
        <f>IF(OR(T168="",Setup!$B$10=""),0,IF(V168=0,T168/COUNTIF(Setup!$B$9:$B$20,"?*"),T168*AJ168/V168))</f>
        <v/>
      </c>
      <c r="Y168">
        <f>IF(OR(T168="",Setup!$B$11=""),0,IF(V168=0,T168/COUNTIF(Setup!$B$9:$B$20,"?*"),T168*AK168/V168))</f>
        <v/>
      </c>
      <c r="Z168">
        <f>IF(OR(T168="",Setup!$B$12=""),0,IF(V168=0,T168/COUNTIF(Setup!$B$9:$B$20,"?*"),T168*AL168/V168))</f>
        <v/>
      </c>
      <c r="AA168">
        <f>IF(OR(T168="",Setup!$B$13=""),0,IF(V168=0,T168/COUNTIF(Setup!$B$9:$B$20,"?*"),T168*AM168/V168))</f>
        <v/>
      </c>
      <c r="AB168">
        <f>IF(OR(T168="",Setup!$B$14=""),0,IF(V168=0,T168/COUNTIF(Setup!$B$9:$B$20,"?*"),T168*AN168/V168))</f>
        <v/>
      </c>
      <c r="AC168">
        <f>IF(OR(T168="",Setup!$B$15=""),0,IF(V168=0,T168/COUNTIF(Setup!$B$9:$B$20,"?*"),T168*AO168/V168))</f>
        <v/>
      </c>
      <c r="AD168">
        <f>IF(OR(T168="",Setup!$B$16=""),0,IF(V168=0,T168/COUNTIF(Setup!$B$9:$B$20,"?*"),T168*AP168/V168))</f>
        <v/>
      </c>
      <c r="AE168">
        <f>IF(OR(T168="",Setup!$B$17=""),0,IF(V168=0,T168/COUNTIF(Setup!$B$9:$B$20,"?*"),T168*AQ168/V168))</f>
        <v/>
      </c>
      <c r="AF168">
        <f>IF(OR(T168="",Setup!$B$18=""),0,IF(V168=0,T168/COUNTIF(Setup!$B$9:$B$20,"?*"),T168*AR168/V168))</f>
        <v/>
      </c>
      <c r="AG168">
        <f>IF(OR(T168="",Setup!$B$19=""),0,IF(V168=0,T168/COUNTIF(Setup!$B$9:$B$20,"?*"),T168*AS168/V168))</f>
        <v/>
      </c>
      <c r="AH168">
        <f>IF(OR(T168="",Setup!$B$20=""),0,IF(V168=0,T168/COUNTIF(Setup!$B$9:$B$20,"?*"),T168*AT168/V168))</f>
        <v/>
      </c>
      <c r="AI168">
        <f>IF(Setup!$B$9="",0,IF(H168="",0,IF(ISNUMBER(H168),H168,1)))</f>
        <v/>
      </c>
      <c r="AJ168">
        <f>IF(Setup!$B$10="",0,IF(I168="",0,IF(ISNUMBER(I168),I168,1)))</f>
        <v/>
      </c>
      <c r="AK168">
        <f>IF(Setup!$B$11="",0,IF(J168="",0,IF(ISNUMBER(J168),J168,1)))</f>
        <v/>
      </c>
      <c r="AL168">
        <f>IF(Setup!$B$12="",0,IF(K168="",0,IF(ISNUMBER(K168),K168,1)))</f>
        <v/>
      </c>
      <c r="AM168">
        <f>IF(Setup!$B$13="",0,IF(L168="",0,IF(ISNUMBER(L168),L168,1)))</f>
        <v/>
      </c>
      <c r="AN168">
        <f>IF(Setup!$B$14="",0,IF(M168="",0,IF(ISNUMBER(M168),M168,1)))</f>
        <v/>
      </c>
      <c r="AO168">
        <f>IF(Setup!$B$15="",0,IF(N168="",0,IF(ISNUMBER(N168),N168,1)))</f>
        <v/>
      </c>
      <c r="AP168">
        <f>IF(Setup!$B$16="",0,IF(O168="",0,IF(ISNUMBER(O168),O168,1)))</f>
        <v/>
      </c>
      <c r="AQ168">
        <f>IF(Setup!$B$17="",0,IF(P168="",0,IF(ISNUMBER(P168),P168,1)))</f>
        <v/>
      </c>
      <c r="AR168">
        <f>IF(Setup!$B$18="",0,IF(Q168="",0,IF(ISNUMBER(Q168),Q168,1)))</f>
        <v/>
      </c>
      <c r="AS168">
        <f>IF(Setup!$B$19="",0,IF(R168="",0,IF(ISNUMBER(R168),R168,1)))</f>
        <v/>
      </c>
      <c r="AT168">
        <f>IF(Setup!$B$20="",0,IF(S168="",0,IF(ISNUMBER(S168),S168,1)))</f>
        <v/>
      </c>
    </row>
    <row r="169">
      <c r="A169" s="1" t="n"/>
      <c r="B169" s="24" t="n"/>
      <c r="C169" s="25" t="n"/>
      <c r="D169" s="25" t="n"/>
      <c r="E169" s="26" t="n"/>
      <c r="F169" s="27" t="n"/>
      <c r="G169" s="17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28" t="n"/>
      <c r="R169" s="28" t="n"/>
      <c r="S169" s="28" t="n"/>
      <c r="T169" s="29">
        <f>IF(N(E169)=0,"",E169*IF(F169="",1,IFERROR(INDEX(Setup!$E$9:$E$18,MATCH(F169,Setup!$D$9:$D$18,0)),0)))</f>
        <v/>
      </c>
      <c r="U169" s="30">
        <f>IF(T169="","",IF(V169=0,"Everyone",IF(COUNTIF(AI169:AT169,"&gt;0")=COUNTIF(Setup!$B$9:$B$20,"?*"),"Everyone",COUNTIF(AI169:AT169,"&gt;0")&amp;IF(COUNTIF(AI169:AT169,"&gt;0")=1," person"," people"))))</f>
        <v/>
      </c>
      <c r="V169" s="1">
        <f>SUM(AI169:AT169)</f>
        <v/>
      </c>
      <c r="W169">
        <f>IF(OR(T169="",Setup!$B$9=""),0,IF(V169=0,T169/COUNTIF(Setup!$B$9:$B$20,"?*"),T169*AI169/V169))</f>
        <v/>
      </c>
      <c r="X169">
        <f>IF(OR(T169="",Setup!$B$10=""),0,IF(V169=0,T169/COUNTIF(Setup!$B$9:$B$20,"?*"),T169*AJ169/V169))</f>
        <v/>
      </c>
      <c r="Y169">
        <f>IF(OR(T169="",Setup!$B$11=""),0,IF(V169=0,T169/COUNTIF(Setup!$B$9:$B$20,"?*"),T169*AK169/V169))</f>
        <v/>
      </c>
      <c r="Z169">
        <f>IF(OR(T169="",Setup!$B$12=""),0,IF(V169=0,T169/COUNTIF(Setup!$B$9:$B$20,"?*"),T169*AL169/V169))</f>
        <v/>
      </c>
      <c r="AA169">
        <f>IF(OR(T169="",Setup!$B$13=""),0,IF(V169=0,T169/COUNTIF(Setup!$B$9:$B$20,"?*"),T169*AM169/V169))</f>
        <v/>
      </c>
      <c r="AB169">
        <f>IF(OR(T169="",Setup!$B$14=""),0,IF(V169=0,T169/COUNTIF(Setup!$B$9:$B$20,"?*"),T169*AN169/V169))</f>
        <v/>
      </c>
      <c r="AC169">
        <f>IF(OR(T169="",Setup!$B$15=""),0,IF(V169=0,T169/COUNTIF(Setup!$B$9:$B$20,"?*"),T169*AO169/V169))</f>
        <v/>
      </c>
      <c r="AD169">
        <f>IF(OR(T169="",Setup!$B$16=""),0,IF(V169=0,T169/COUNTIF(Setup!$B$9:$B$20,"?*"),T169*AP169/V169))</f>
        <v/>
      </c>
      <c r="AE169">
        <f>IF(OR(T169="",Setup!$B$17=""),0,IF(V169=0,T169/COUNTIF(Setup!$B$9:$B$20,"?*"),T169*AQ169/V169))</f>
        <v/>
      </c>
      <c r="AF169">
        <f>IF(OR(T169="",Setup!$B$18=""),0,IF(V169=0,T169/COUNTIF(Setup!$B$9:$B$20,"?*"),T169*AR169/V169))</f>
        <v/>
      </c>
      <c r="AG169">
        <f>IF(OR(T169="",Setup!$B$19=""),0,IF(V169=0,T169/COUNTIF(Setup!$B$9:$B$20,"?*"),T169*AS169/V169))</f>
        <v/>
      </c>
      <c r="AH169">
        <f>IF(OR(T169="",Setup!$B$20=""),0,IF(V169=0,T169/COUNTIF(Setup!$B$9:$B$20,"?*"),T169*AT169/V169))</f>
        <v/>
      </c>
      <c r="AI169">
        <f>IF(Setup!$B$9="",0,IF(H169="",0,IF(ISNUMBER(H169),H169,1)))</f>
        <v/>
      </c>
      <c r="AJ169">
        <f>IF(Setup!$B$10="",0,IF(I169="",0,IF(ISNUMBER(I169),I169,1)))</f>
        <v/>
      </c>
      <c r="AK169">
        <f>IF(Setup!$B$11="",0,IF(J169="",0,IF(ISNUMBER(J169),J169,1)))</f>
        <v/>
      </c>
      <c r="AL169">
        <f>IF(Setup!$B$12="",0,IF(K169="",0,IF(ISNUMBER(K169),K169,1)))</f>
        <v/>
      </c>
      <c r="AM169">
        <f>IF(Setup!$B$13="",0,IF(L169="",0,IF(ISNUMBER(L169),L169,1)))</f>
        <v/>
      </c>
      <c r="AN169">
        <f>IF(Setup!$B$14="",0,IF(M169="",0,IF(ISNUMBER(M169),M169,1)))</f>
        <v/>
      </c>
      <c r="AO169">
        <f>IF(Setup!$B$15="",0,IF(N169="",0,IF(ISNUMBER(N169),N169,1)))</f>
        <v/>
      </c>
      <c r="AP169">
        <f>IF(Setup!$B$16="",0,IF(O169="",0,IF(ISNUMBER(O169),O169,1)))</f>
        <v/>
      </c>
      <c r="AQ169">
        <f>IF(Setup!$B$17="",0,IF(P169="",0,IF(ISNUMBER(P169),P169,1)))</f>
        <v/>
      </c>
      <c r="AR169">
        <f>IF(Setup!$B$18="",0,IF(Q169="",0,IF(ISNUMBER(Q169),Q169,1)))</f>
        <v/>
      </c>
      <c r="AS169">
        <f>IF(Setup!$B$19="",0,IF(R169="",0,IF(ISNUMBER(R169),R169,1)))</f>
        <v/>
      </c>
      <c r="AT169">
        <f>IF(Setup!$B$20="",0,IF(S169="",0,IF(ISNUMBER(S169),S169,1)))</f>
        <v/>
      </c>
    </row>
    <row r="170">
      <c r="A170" s="1" t="n"/>
      <c r="B170" s="24" t="n"/>
      <c r="C170" s="25" t="n"/>
      <c r="D170" s="25" t="n"/>
      <c r="E170" s="26" t="n"/>
      <c r="F170" s="27" t="n"/>
      <c r="G170" s="17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28" t="n"/>
      <c r="R170" s="28" t="n"/>
      <c r="S170" s="28" t="n"/>
      <c r="T170" s="29">
        <f>IF(N(E170)=0,"",E170*IF(F170="",1,IFERROR(INDEX(Setup!$E$9:$E$18,MATCH(F170,Setup!$D$9:$D$18,0)),0)))</f>
        <v/>
      </c>
      <c r="U170" s="30">
        <f>IF(T170="","",IF(V170=0,"Everyone",IF(COUNTIF(AI170:AT170,"&gt;0")=COUNTIF(Setup!$B$9:$B$20,"?*"),"Everyone",COUNTIF(AI170:AT170,"&gt;0")&amp;IF(COUNTIF(AI170:AT170,"&gt;0")=1," person"," people"))))</f>
        <v/>
      </c>
      <c r="V170" s="1">
        <f>SUM(AI170:AT170)</f>
        <v/>
      </c>
      <c r="W170">
        <f>IF(OR(T170="",Setup!$B$9=""),0,IF(V170=0,T170/COUNTIF(Setup!$B$9:$B$20,"?*"),T170*AI170/V170))</f>
        <v/>
      </c>
      <c r="X170">
        <f>IF(OR(T170="",Setup!$B$10=""),0,IF(V170=0,T170/COUNTIF(Setup!$B$9:$B$20,"?*"),T170*AJ170/V170))</f>
        <v/>
      </c>
      <c r="Y170">
        <f>IF(OR(T170="",Setup!$B$11=""),0,IF(V170=0,T170/COUNTIF(Setup!$B$9:$B$20,"?*"),T170*AK170/V170))</f>
        <v/>
      </c>
      <c r="Z170">
        <f>IF(OR(T170="",Setup!$B$12=""),0,IF(V170=0,T170/COUNTIF(Setup!$B$9:$B$20,"?*"),T170*AL170/V170))</f>
        <v/>
      </c>
      <c r="AA170">
        <f>IF(OR(T170="",Setup!$B$13=""),0,IF(V170=0,T170/COUNTIF(Setup!$B$9:$B$20,"?*"),T170*AM170/V170))</f>
        <v/>
      </c>
      <c r="AB170">
        <f>IF(OR(T170="",Setup!$B$14=""),0,IF(V170=0,T170/COUNTIF(Setup!$B$9:$B$20,"?*"),T170*AN170/V170))</f>
        <v/>
      </c>
      <c r="AC170">
        <f>IF(OR(T170="",Setup!$B$15=""),0,IF(V170=0,T170/COUNTIF(Setup!$B$9:$B$20,"?*"),T170*AO170/V170))</f>
        <v/>
      </c>
      <c r="AD170">
        <f>IF(OR(T170="",Setup!$B$16=""),0,IF(V170=0,T170/COUNTIF(Setup!$B$9:$B$20,"?*"),T170*AP170/V170))</f>
        <v/>
      </c>
      <c r="AE170">
        <f>IF(OR(T170="",Setup!$B$17=""),0,IF(V170=0,T170/COUNTIF(Setup!$B$9:$B$20,"?*"),T170*AQ170/V170))</f>
        <v/>
      </c>
      <c r="AF170">
        <f>IF(OR(T170="",Setup!$B$18=""),0,IF(V170=0,T170/COUNTIF(Setup!$B$9:$B$20,"?*"),T170*AR170/V170))</f>
        <v/>
      </c>
      <c r="AG170">
        <f>IF(OR(T170="",Setup!$B$19=""),0,IF(V170=0,T170/COUNTIF(Setup!$B$9:$B$20,"?*"),T170*AS170/V170))</f>
        <v/>
      </c>
      <c r="AH170">
        <f>IF(OR(T170="",Setup!$B$20=""),0,IF(V170=0,T170/COUNTIF(Setup!$B$9:$B$20,"?*"),T170*AT170/V170))</f>
        <v/>
      </c>
      <c r="AI170">
        <f>IF(Setup!$B$9="",0,IF(H170="",0,IF(ISNUMBER(H170),H170,1)))</f>
        <v/>
      </c>
      <c r="AJ170">
        <f>IF(Setup!$B$10="",0,IF(I170="",0,IF(ISNUMBER(I170),I170,1)))</f>
        <v/>
      </c>
      <c r="AK170">
        <f>IF(Setup!$B$11="",0,IF(J170="",0,IF(ISNUMBER(J170),J170,1)))</f>
        <v/>
      </c>
      <c r="AL170">
        <f>IF(Setup!$B$12="",0,IF(K170="",0,IF(ISNUMBER(K170),K170,1)))</f>
        <v/>
      </c>
      <c r="AM170">
        <f>IF(Setup!$B$13="",0,IF(L170="",0,IF(ISNUMBER(L170),L170,1)))</f>
        <v/>
      </c>
      <c r="AN170">
        <f>IF(Setup!$B$14="",0,IF(M170="",0,IF(ISNUMBER(M170),M170,1)))</f>
        <v/>
      </c>
      <c r="AO170">
        <f>IF(Setup!$B$15="",0,IF(N170="",0,IF(ISNUMBER(N170),N170,1)))</f>
        <v/>
      </c>
      <c r="AP170">
        <f>IF(Setup!$B$16="",0,IF(O170="",0,IF(ISNUMBER(O170),O170,1)))</f>
        <v/>
      </c>
      <c r="AQ170">
        <f>IF(Setup!$B$17="",0,IF(P170="",0,IF(ISNUMBER(P170),P170,1)))</f>
        <v/>
      </c>
      <c r="AR170">
        <f>IF(Setup!$B$18="",0,IF(Q170="",0,IF(ISNUMBER(Q170),Q170,1)))</f>
        <v/>
      </c>
      <c r="AS170">
        <f>IF(Setup!$B$19="",0,IF(R170="",0,IF(ISNUMBER(R170),R170,1)))</f>
        <v/>
      </c>
      <c r="AT170">
        <f>IF(Setup!$B$20="",0,IF(S170="",0,IF(ISNUMBER(S170),S170,1)))</f>
        <v/>
      </c>
    </row>
    <row r="171">
      <c r="A171" s="1" t="n"/>
      <c r="B171" s="24" t="n"/>
      <c r="C171" s="25" t="n"/>
      <c r="D171" s="25" t="n"/>
      <c r="E171" s="26" t="n"/>
      <c r="F171" s="27" t="n"/>
      <c r="G171" s="17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9">
        <f>IF(N(E171)=0,"",E171*IF(F171="",1,IFERROR(INDEX(Setup!$E$9:$E$18,MATCH(F171,Setup!$D$9:$D$18,0)),0)))</f>
        <v/>
      </c>
      <c r="U171" s="30">
        <f>IF(T171="","",IF(V171=0,"Everyone",IF(COUNTIF(AI171:AT171,"&gt;0")=COUNTIF(Setup!$B$9:$B$20,"?*"),"Everyone",COUNTIF(AI171:AT171,"&gt;0")&amp;IF(COUNTIF(AI171:AT171,"&gt;0")=1," person"," people"))))</f>
        <v/>
      </c>
      <c r="V171" s="1">
        <f>SUM(AI171:AT171)</f>
        <v/>
      </c>
      <c r="W171">
        <f>IF(OR(T171="",Setup!$B$9=""),0,IF(V171=0,T171/COUNTIF(Setup!$B$9:$B$20,"?*"),T171*AI171/V171))</f>
        <v/>
      </c>
      <c r="X171">
        <f>IF(OR(T171="",Setup!$B$10=""),0,IF(V171=0,T171/COUNTIF(Setup!$B$9:$B$20,"?*"),T171*AJ171/V171))</f>
        <v/>
      </c>
      <c r="Y171">
        <f>IF(OR(T171="",Setup!$B$11=""),0,IF(V171=0,T171/COUNTIF(Setup!$B$9:$B$20,"?*"),T171*AK171/V171))</f>
        <v/>
      </c>
      <c r="Z171">
        <f>IF(OR(T171="",Setup!$B$12=""),0,IF(V171=0,T171/COUNTIF(Setup!$B$9:$B$20,"?*"),T171*AL171/V171))</f>
        <v/>
      </c>
      <c r="AA171">
        <f>IF(OR(T171="",Setup!$B$13=""),0,IF(V171=0,T171/COUNTIF(Setup!$B$9:$B$20,"?*"),T171*AM171/V171))</f>
        <v/>
      </c>
      <c r="AB171">
        <f>IF(OR(T171="",Setup!$B$14=""),0,IF(V171=0,T171/COUNTIF(Setup!$B$9:$B$20,"?*"),T171*AN171/V171))</f>
        <v/>
      </c>
      <c r="AC171">
        <f>IF(OR(T171="",Setup!$B$15=""),0,IF(V171=0,T171/COUNTIF(Setup!$B$9:$B$20,"?*"),T171*AO171/V171))</f>
        <v/>
      </c>
      <c r="AD171">
        <f>IF(OR(T171="",Setup!$B$16=""),0,IF(V171=0,T171/COUNTIF(Setup!$B$9:$B$20,"?*"),T171*AP171/V171))</f>
        <v/>
      </c>
      <c r="AE171">
        <f>IF(OR(T171="",Setup!$B$17=""),0,IF(V171=0,T171/COUNTIF(Setup!$B$9:$B$20,"?*"),T171*AQ171/V171))</f>
        <v/>
      </c>
      <c r="AF171">
        <f>IF(OR(T171="",Setup!$B$18=""),0,IF(V171=0,T171/COUNTIF(Setup!$B$9:$B$20,"?*"),T171*AR171/V171))</f>
        <v/>
      </c>
      <c r="AG171">
        <f>IF(OR(T171="",Setup!$B$19=""),0,IF(V171=0,T171/COUNTIF(Setup!$B$9:$B$20,"?*"),T171*AS171/V171))</f>
        <v/>
      </c>
      <c r="AH171">
        <f>IF(OR(T171="",Setup!$B$20=""),0,IF(V171=0,T171/COUNTIF(Setup!$B$9:$B$20,"?*"),T171*AT171/V171))</f>
        <v/>
      </c>
      <c r="AI171">
        <f>IF(Setup!$B$9="",0,IF(H171="",0,IF(ISNUMBER(H171),H171,1)))</f>
        <v/>
      </c>
      <c r="AJ171">
        <f>IF(Setup!$B$10="",0,IF(I171="",0,IF(ISNUMBER(I171),I171,1)))</f>
        <v/>
      </c>
      <c r="AK171">
        <f>IF(Setup!$B$11="",0,IF(J171="",0,IF(ISNUMBER(J171),J171,1)))</f>
        <v/>
      </c>
      <c r="AL171">
        <f>IF(Setup!$B$12="",0,IF(K171="",0,IF(ISNUMBER(K171),K171,1)))</f>
        <v/>
      </c>
      <c r="AM171">
        <f>IF(Setup!$B$13="",0,IF(L171="",0,IF(ISNUMBER(L171),L171,1)))</f>
        <v/>
      </c>
      <c r="AN171">
        <f>IF(Setup!$B$14="",0,IF(M171="",0,IF(ISNUMBER(M171),M171,1)))</f>
        <v/>
      </c>
      <c r="AO171">
        <f>IF(Setup!$B$15="",0,IF(N171="",0,IF(ISNUMBER(N171),N171,1)))</f>
        <v/>
      </c>
      <c r="AP171">
        <f>IF(Setup!$B$16="",0,IF(O171="",0,IF(ISNUMBER(O171),O171,1)))</f>
        <v/>
      </c>
      <c r="AQ171">
        <f>IF(Setup!$B$17="",0,IF(P171="",0,IF(ISNUMBER(P171),P171,1)))</f>
        <v/>
      </c>
      <c r="AR171">
        <f>IF(Setup!$B$18="",0,IF(Q171="",0,IF(ISNUMBER(Q171),Q171,1)))</f>
        <v/>
      </c>
      <c r="AS171">
        <f>IF(Setup!$B$19="",0,IF(R171="",0,IF(ISNUMBER(R171),R171,1)))</f>
        <v/>
      </c>
      <c r="AT171">
        <f>IF(Setup!$B$20="",0,IF(S171="",0,IF(ISNUMBER(S171),S171,1)))</f>
        <v/>
      </c>
    </row>
    <row r="172">
      <c r="A172" s="1" t="n"/>
      <c r="B172" s="24" t="n"/>
      <c r="C172" s="25" t="n"/>
      <c r="D172" s="25" t="n"/>
      <c r="E172" s="26" t="n"/>
      <c r="F172" s="27" t="n"/>
      <c r="G172" s="17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28" t="n"/>
      <c r="R172" s="28" t="n"/>
      <c r="S172" s="28" t="n"/>
      <c r="T172" s="29">
        <f>IF(N(E172)=0,"",E172*IF(F172="",1,IFERROR(INDEX(Setup!$E$9:$E$18,MATCH(F172,Setup!$D$9:$D$18,0)),0)))</f>
        <v/>
      </c>
      <c r="U172" s="30">
        <f>IF(T172="","",IF(V172=0,"Everyone",IF(COUNTIF(AI172:AT172,"&gt;0")=COUNTIF(Setup!$B$9:$B$20,"?*"),"Everyone",COUNTIF(AI172:AT172,"&gt;0")&amp;IF(COUNTIF(AI172:AT172,"&gt;0")=1," person"," people"))))</f>
        <v/>
      </c>
      <c r="V172" s="1">
        <f>SUM(AI172:AT172)</f>
        <v/>
      </c>
      <c r="W172">
        <f>IF(OR(T172="",Setup!$B$9=""),0,IF(V172=0,T172/COUNTIF(Setup!$B$9:$B$20,"?*"),T172*AI172/V172))</f>
        <v/>
      </c>
      <c r="X172">
        <f>IF(OR(T172="",Setup!$B$10=""),0,IF(V172=0,T172/COUNTIF(Setup!$B$9:$B$20,"?*"),T172*AJ172/V172))</f>
        <v/>
      </c>
      <c r="Y172">
        <f>IF(OR(T172="",Setup!$B$11=""),0,IF(V172=0,T172/COUNTIF(Setup!$B$9:$B$20,"?*"),T172*AK172/V172))</f>
        <v/>
      </c>
      <c r="Z172">
        <f>IF(OR(T172="",Setup!$B$12=""),0,IF(V172=0,T172/COUNTIF(Setup!$B$9:$B$20,"?*"),T172*AL172/V172))</f>
        <v/>
      </c>
      <c r="AA172">
        <f>IF(OR(T172="",Setup!$B$13=""),0,IF(V172=0,T172/COUNTIF(Setup!$B$9:$B$20,"?*"),T172*AM172/V172))</f>
        <v/>
      </c>
      <c r="AB172">
        <f>IF(OR(T172="",Setup!$B$14=""),0,IF(V172=0,T172/COUNTIF(Setup!$B$9:$B$20,"?*"),T172*AN172/V172))</f>
        <v/>
      </c>
      <c r="AC172">
        <f>IF(OR(T172="",Setup!$B$15=""),0,IF(V172=0,T172/COUNTIF(Setup!$B$9:$B$20,"?*"),T172*AO172/V172))</f>
        <v/>
      </c>
      <c r="AD172">
        <f>IF(OR(T172="",Setup!$B$16=""),0,IF(V172=0,T172/COUNTIF(Setup!$B$9:$B$20,"?*"),T172*AP172/V172))</f>
        <v/>
      </c>
      <c r="AE172">
        <f>IF(OR(T172="",Setup!$B$17=""),0,IF(V172=0,T172/COUNTIF(Setup!$B$9:$B$20,"?*"),T172*AQ172/V172))</f>
        <v/>
      </c>
      <c r="AF172">
        <f>IF(OR(T172="",Setup!$B$18=""),0,IF(V172=0,T172/COUNTIF(Setup!$B$9:$B$20,"?*"),T172*AR172/V172))</f>
        <v/>
      </c>
      <c r="AG172">
        <f>IF(OR(T172="",Setup!$B$19=""),0,IF(V172=0,T172/COUNTIF(Setup!$B$9:$B$20,"?*"),T172*AS172/V172))</f>
        <v/>
      </c>
      <c r="AH172">
        <f>IF(OR(T172="",Setup!$B$20=""),0,IF(V172=0,T172/COUNTIF(Setup!$B$9:$B$20,"?*"),T172*AT172/V172))</f>
        <v/>
      </c>
      <c r="AI172">
        <f>IF(Setup!$B$9="",0,IF(H172="",0,IF(ISNUMBER(H172),H172,1)))</f>
        <v/>
      </c>
      <c r="AJ172">
        <f>IF(Setup!$B$10="",0,IF(I172="",0,IF(ISNUMBER(I172),I172,1)))</f>
        <v/>
      </c>
      <c r="AK172">
        <f>IF(Setup!$B$11="",0,IF(J172="",0,IF(ISNUMBER(J172),J172,1)))</f>
        <v/>
      </c>
      <c r="AL172">
        <f>IF(Setup!$B$12="",0,IF(K172="",0,IF(ISNUMBER(K172),K172,1)))</f>
        <v/>
      </c>
      <c r="AM172">
        <f>IF(Setup!$B$13="",0,IF(L172="",0,IF(ISNUMBER(L172),L172,1)))</f>
        <v/>
      </c>
      <c r="AN172">
        <f>IF(Setup!$B$14="",0,IF(M172="",0,IF(ISNUMBER(M172),M172,1)))</f>
        <v/>
      </c>
      <c r="AO172">
        <f>IF(Setup!$B$15="",0,IF(N172="",0,IF(ISNUMBER(N172),N172,1)))</f>
        <v/>
      </c>
      <c r="AP172">
        <f>IF(Setup!$B$16="",0,IF(O172="",0,IF(ISNUMBER(O172),O172,1)))</f>
        <v/>
      </c>
      <c r="AQ172">
        <f>IF(Setup!$B$17="",0,IF(P172="",0,IF(ISNUMBER(P172),P172,1)))</f>
        <v/>
      </c>
      <c r="AR172">
        <f>IF(Setup!$B$18="",0,IF(Q172="",0,IF(ISNUMBER(Q172),Q172,1)))</f>
        <v/>
      </c>
      <c r="AS172">
        <f>IF(Setup!$B$19="",0,IF(R172="",0,IF(ISNUMBER(R172),R172,1)))</f>
        <v/>
      </c>
      <c r="AT172">
        <f>IF(Setup!$B$20="",0,IF(S172="",0,IF(ISNUMBER(S172),S172,1)))</f>
        <v/>
      </c>
    </row>
    <row r="173">
      <c r="A173" s="1" t="n"/>
      <c r="B173" s="24" t="n"/>
      <c r="C173" s="25" t="n"/>
      <c r="D173" s="25" t="n"/>
      <c r="E173" s="26" t="n"/>
      <c r="F173" s="27" t="n"/>
      <c r="G173" s="17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28" t="n"/>
      <c r="R173" s="28" t="n"/>
      <c r="S173" s="28" t="n"/>
      <c r="T173" s="29">
        <f>IF(N(E173)=0,"",E173*IF(F173="",1,IFERROR(INDEX(Setup!$E$9:$E$18,MATCH(F173,Setup!$D$9:$D$18,0)),0)))</f>
        <v/>
      </c>
      <c r="U173" s="30">
        <f>IF(T173="","",IF(V173=0,"Everyone",IF(COUNTIF(AI173:AT173,"&gt;0")=COUNTIF(Setup!$B$9:$B$20,"?*"),"Everyone",COUNTIF(AI173:AT173,"&gt;0")&amp;IF(COUNTIF(AI173:AT173,"&gt;0")=1," person"," people"))))</f>
        <v/>
      </c>
      <c r="V173" s="1">
        <f>SUM(AI173:AT173)</f>
        <v/>
      </c>
      <c r="W173">
        <f>IF(OR(T173="",Setup!$B$9=""),0,IF(V173=0,T173/COUNTIF(Setup!$B$9:$B$20,"?*"),T173*AI173/V173))</f>
        <v/>
      </c>
      <c r="X173">
        <f>IF(OR(T173="",Setup!$B$10=""),0,IF(V173=0,T173/COUNTIF(Setup!$B$9:$B$20,"?*"),T173*AJ173/V173))</f>
        <v/>
      </c>
      <c r="Y173">
        <f>IF(OR(T173="",Setup!$B$11=""),0,IF(V173=0,T173/COUNTIF(Setup!$B$9:$B$20,"?*"),T173*AK173/V173))</f>
        <v/>
      </c>
      <c r="Z173">
        <f>IF(OR(T173="",Setup!$B$12=""),0,IF(V173=0,T173/COUNTIF(Setup!$B$9:$B$20,"?*"),T173*AL173/V173))</f>
        <v/>
      </c>
      <c r="AA173">
        <f>IF(OR(T173="",Setup!$B$13=""),0,IF(V173=0,T173/COUNTIF(Setup!$B$9:$B$20,"?*"),T173*AM173/V173))</f>
        <v/>
      </c>
      <c r="AB173">
        <f>IF(OR(T173="",Setup!$B$14=""),0,IF(V173=0,T173/COUNTIF(Setup!$B$9:$B$20,"?*"),T173*AN173/V173))</f>
        <v/>
      </c>
      <c r="AC173">
        <f>IF(OR(T173="",Setup!$B$15=""),0,IF(V173=0,T173/COUNTIF(Setup!$B$9:$B$20,"?*"),T173*AO173/V173))</f>
        <v/>
      </c>
      <c r="AD173">
        <f>IF(OR(T173="",Setup!$B$16=""),0,IF(V173=0,T173/COUNTIF(Setup!$B$9:$B$20,"?*"),T173*AP173/V173))</f>
        <v/>
      </c>
      <c r="AE173">
        <f>IF(OR(T173="",Setup!$B$17=""),0,IF(V173=0,T173/COUNTIF(Setup!$B$9:$B$20,"?*"),T173*AQ173/V173))</f>
        <v/>
      </c>
      <c r="AF173">
        <f>IF(OR(T173="",Setup!$B$18=""),0,IF(V173=0,T173/COUNTIF(Setup!$B$9:$B$20,"?*"),T173*AR173/V173))</f>
        <v/>
      </c>
      <c r="AG173">
        <f>IF(OR(T173="",Setup!$B$19=""),0,IF(V173=0,T173/COUNTIF(Setup!$B$9:$B$20,"?*"),T173*AS173/V173))</f>
        <v/>
      </c>
      <c r="AH173">
        <f>IF(OR(T173="",Setup!$B$20=""),0,IF(V173=0,T173/COUNTIF(Setup!$B$9:$B$20,"?*"),T173*AT173/V173))</f>
        <v/>
      </c>
      <c r="AI173">
        <f>IF(Setup!$B$9="",0,IF(H173="",0,IF(ISNUMBER(H173),H173,1)))</f>
        <v/>
      </c>
      <c r="AJ173">
        <f>IF(Setup!$B$10="",0,IF(I173="",0,IF(ISNUMBER(I173),I173,1)))</f>
        <v/>
      </c>
      <c r="AK173">
        <f>IF(Setup!$B$11="",0,IF(J173="",0,IF(ISNUMBER(J173),J173,1)))</f>
        <v/>
      </c>
      <c r="AL173">
        <f>IF(Setup!$B$12="",0,IF(K173="",0,IF(ISNUMBER(K173),K173,1)))</f>
        <v/>
      </c>
      <c r="AM173">
        <f>IF(Setup!$B$13="",0,IF(L173="",0,IF(ISNUMBER(L173),L173,1)))</f>
        <v/>
      </c>
      <c r="AN173">
        <f>IF(Setup!$B$14="",0,IF(M173="",0,IF(ISNUMBER(M173),M173,1)))</f>
        <v/>
      </c>
      <c r="AO173">
        <f>IF(Setup!$B$15="",0,IF(N173="",0,IF(ISNUMBER(N173),N173,1)))</f>
        <v/>
      </c>
      <c r="AP173">
        <f>IF(Setup!$B$16="",0,IF(O173="",0,IF(ISNUMBER(O173),O173,1)))</f>
        <v/>
      </c>
      <c r="AQ173">
        <f>IF(Setup!$B$17="",0,IF(P173="",0,IF(ISNUMBER(P173),P173,1)))</f>
        <v/>
      </c>
      <c r="AR173">
        <f>IF(Setup!$B$18="",0,IF(Q173="",0,IF(ISNUMBER(Q173),Q173,1)))</f>
        <v/>
      </c>
      <c r="AS173">
        <f>IF(Setup!$B$19="",0,IF(R173="",0,IF(ISNUMBER(R173),R173,1)))</f>
        <v/>
      </c>
      <c r="AT173">
        <f>IF(Setup!$B$20="",0,IF(S173="",0,IF(ISNUMBER(S173),S173,1)))</f>
        <v/>
      </c>
    </row>
    <row r="174">
      <c r="A174" s="1" t="n"/>
      <c r="B174" s="24" t="n"/>
      <c r="C174" s="25" t="n"/>
      <c r="D174" s="25" t="n"/>
      <c r="E174" s="26" t="n"/>
      <c r="F174" s="27" t="n"/>
      <c r="G174" s="17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/>
      <c r="S174" s="28" t="n"/>
      <c r="T174" s="29">
        <f>IF(N(E174)=0,"",E174*IF(F174="",1,IFERROR(INDEX(Setup!$E$9:$E$18,MATCH(F174,Setup!$D$9:$D$18,0)),0)))</f>
        <v/>
      </c>
      <c r="U174" s="30">
        <f>IF(T174="","",IF(V174=0,"Everyone",IF(COUNTIF(AI174:AT174,"&gt;0")=COUNTIF(Setup!$B$9:$B$20,"?*"),"Everyone",COUNTIF(AI174:AT174,"&gt;0")&amp;IF(COUNTIF(AI174:AT174,"&gt;0")=1," person"," people"))))</f>
        <v/>
      </c>
      <c r="V174" s="1">
        <f>SUM(AI174:AT174)</f>
        <v/>
      </c>
      <c r="W174">
        <f>IF(OR(T174="",Setup!$B$9=""),0,IF(V174=0,T174/COUNTIF(Setup!$B$9:$B$20,"?*"),T174*AI174/V174))</f>
        <v/>
      </c>
      <c r="X174">
        <f>IF(OR(T174="",Setup!$B$10=""),0,IF(V174=0,T174/COUNTIF(Setup!$B$9:$B$20,"?*"),T174*AJ174/V174))</f>
        <v/>
      </c>
      <c r="Y174">
        <f>IF(OR(T174="",Setup!$B$11=""),0,IF(V174=0,T174/COUNTIF(Setup!$B$9:$B$20,"?*"),T174*AK174/V174))</f>
        <v/>
      </c>
      <c r="Z174">
        <f>IF(OR(T174="",Setup!$B$12=""),0,IF(V174=0,T174/COUNTIF(Setup!$B$9:$B$20,"?*"),T174*AL174/V174))</f>
        <v/>
      </c>
      <c r="AA174">
        <f>IF(OR(T174="",Setup!$B$13=""),0,IF(V174=0,T174/COUNTIF(Setup!$B$9:$B$20,"?*"),T174*AM174/V174))</f>
        <v/>
      </c>
      <c r="AB174">
        <f>IF(OR(T174="",Setup!$B$14=""),0,IF(V174=0,T174/COUNTIF(Setup!$B$9:$B$20,"?*"),T174*AN174/V174))</f>
        <v/>
      </c>
      <c r="AC174">
        <f>IF(OR(T174="",Setup!$B$15=""),0,IF(V174=0,T174/COUNTIF(Setup!$B$9:$B$20,"?*"),T174*AO174/V174))</f>
        <v/>
      </c>
      <c r="AD174">
        <f>IF(OR(T174="",Setup!$B$16=""),0,IF(V174=0,T174/COUNTIF(Setup!$B$9:$B$20,"?*"),T174*AP174/V174))</f>
        <v/>
      </c>
      <c r="AE174">
        <f>IF(OR(T174="",Setup!$B$17=""),0,IF(V174=0,T174/COUNTIF(Setup!$B$9:$B$20,"?*"),T174*AQ174/V174))</f>
        <v/>
      </c>
      <c r="AF174">
        <f>IF(OR(T174="",Setup!$B$18=""),0,IF(V174=0,T174/COUNTIF(Setup!$B$9:$B$20,"?*"),T174*AR174/V174))</f>
        <v/>
      </c>
      <c r="AG174">
        <f>IF(OR(T174="",Setup!$B$19=""),0,IF(V174=0,T174/COUNTIF(Setup!$B$9:$B$20,"?*"),T174*AS174/V174))</f>
        <v/>
      </c>
      <c r="AH174">
        <f>IF(OR(T174="",Setup!$B$20=""),0,IF(V174=0,T174/COUNTIF(Setup!$B$9:$B$20,"?*"),T174*AT174/V174))</f>
        <v/>
      </c>
      <c r="AI174">
        <f>IF(Setup!$B$9="",0,IF(H174="",0,IF(ISNUMBER(H174),H174,1)))</f>
        <v/>
      </c>
      <c r="AJ174">
        <f>IF(Setup!$B$10="",0,IF(I174="",0,IF(ISNUMBER(I174),I174,1)))</f>
        <v/>
      </c>
      <c r="AK174">
        <f>IF(Setup!$B$11="",0,IF(J174="",0,IF(ISNUMBER(J174),J174,1)))</f>
        <v/>
      </c>
      <c r="AL174">
        <f>IF(Setup!$B$12="",0,IF(K174="",0,IF(ISNUMBER(K174),K174,1)))</f>
        <v/>
      </c>
      <c r="AM174">
        <f>IF(Setup!$B$13="",0,IF(L174="",0,IF(ISNUMBER(L174),L174,1)))</f>
        <v/>
      </c>
      <c r="AN174">
        <f>IF(Setup!$B$14="",0,IF(M174="",0,IF(ISNUMBER(M174),M174,1)))</f>
        <v/>
      </c>
      <c r="AO174">
        <f>IF(Setup!$B$15="",0,IF(N174="",0,IF(ISNUMBER(N174),N174,1)))</f>
        <v/>
      </c>
      <c r="AP174">
        <f>IF(Setup!$B$16="",0,IF(O174="",0,IF(ISNUMBER(O174),O174,1)))</f>
        <v/>
      </c>
      <c r="AQ174">
        <f>IF(Setup!$B$17="",0,IF(P174="",0,IF(ISNUMBER(P174),P174,1)))</f>
        <v/>
      </c>
      <c r="AR174">
        <f>IF(Setup!$B$18="",0,IF(Q174="",0,IF(ISNUMBER(Q174),Q174,1)))</f>
        <v/>
      </c>
      <c r="AS174">
        <f>IF(Setup!$B$19="",0,IF(R174="",0,IF(ISNUMBER(R174),R174,1)))</f>
        <v/>
      </c>
      <c r="AT174">
        <f>IF(Setup!$B$20="",0,IF(S174="",0,IF(ISNUMBER(S174),S174,1)))</f>
        <v/>
      </c>
    </row>
    <row r="175">
      <c r="A175" s="1" t="n"/>
      <c r="B175" s="24" t="n"/>
      <c r="C175" s="25" t="n"/>
      <c r="D175" s="25" t="n"/>
      <c r="E175" s="26" t="n"/>
      <c r="F175" s="27" t="n"/>
      <c r="G175" s="17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28" t="n"/>
      <c r="R175" s="28" t="n"/>
      <c r="S175" s="28" t="n"/>
      <c r="T175" s="29">
        <f>IF(N(E175)=0,"",E175*IF(F175="",1,IFERROR(INDEX(Setup!$E$9:$E$18,MATCH(F175,Setup!$D$9:$D$18,0)),0)))</f>
        <v/>
      </c>
      <c r="U175" s="30">
        <f>IF(T175="","",IF(V175=0,"Everyone",IF(COUNTIF(AI175:AT175,"&gt;0")=COUNTIF(Setup!$B$9:$B$20,"?*"),"Everyone",COUNTIF(AI175:AT175,"&gt;0")&amp;IF(COUNTIF(AI175:AT175,"&gt;0")=1," person"," people"))))</f>
        <v/>
      </c>
      <c r="V175" s="1">
        <f>SUM(AI175:AT175)</f>
        <v/>
      </c>
      <c r="W175">
        <f>IF(OR(T175="",Setup!$B$9=""),0,IF(V175=0,T175/COUNTIF(Setup!$B$9:$B$20,"?*"),T175*AI175/V175))</f>
        <v/>
      </c>
      <c r="X175">
        <f>IF(OR(T175="",Setup!$B$10=""),0,IF(V175=0,T175/COUNTIF(Setup!$B$9:$B$20,"?*"),T175*AJ175/V175))</f>
        <v/>
      </c>
      <c r="Y175">
        <f>IF(OR(T175="",Setup!$B$11=""),0,IF(V175=0,T175/COUNTIF(Setup!$B$9:$B$20,"?*"),T175*AK175/V175))</f>
        <v/>
      </c>
      <c r="Z175">
        <f>IF(OR(T175="",Setup!$B$12=""),0,IF(V175=0,T175/COUNTIF(Setup!$B$9:$B$20,"?*"),T175*AL175/V175))</f>
        <v/>
      </c>
      <c r="AA175">
        <f>IF(OR(T175="",Setup!$B$13=""),0,IF(V175=0,T175/COUNTIF(Setup!$B$9:$B$20,"?*"),T175*AM175/V175))</f>
        <v/>
      </c>
      <c r="AB175">
        <f>IF(OR(T175="",Setup!$B$14=""),0,IF(V175=0,T175/COUNTIF(Setup!$B$9:$B$20,"?*"),T175*AN175/V175))</f>
        <v/>
      </c>
      <c r="AC175">
        <f>IF(OR(T175="",Setup!$B$15=""),0,IF(V175=0,T175/COUNTIF(Setup!$B$9:$B$20,"?*"),T175*AO175/V175))</f>
        <v/>
      </c>
      <c r="AD175">
        <f>IF(OR(T175="",Setup!$B$16=""),0,IF(V175=0,T175/COUNTIF(Setup!$B$9:$B$20,"?*"),T175*AP175/V175))</f>
        <v/>
      </c>
      <c r="AE175">
        <f>IF(OR(T175="",Setup!$B$17=""),0,IF(V175=0,T175/COUNTIF(Setup!$B$9:$B$20,"?*"),T175*AQ175/V175))</f>
        <v/>
      </c>
      <c r="AF175">
        <f>IF(OR(T175="",Setup!$B$18=""),0,IF(V175=0,T175/COUNTIF(Setup!$B$9:$B$20,"?*"),T175*AR175/V175))</f>
        <v/>
      </c>
      <c r="AG175">
        <f>IF(OR(T175="",Setup!$B$19=""),0,IF(V175=0,T175/COUNTIF(Setup!$B$9:$B$20,"?*"),T175*AS175/V175))</f>
        <v/>
      </c>
      <c r="AH175">
        <f>IF(OR(T175="",Setup!$B$20=""),0,IF(V175=0,T175/COUNTIF(Setup!$B$9:$B$20,"?*"),T175*AT175/V175))</f>
        <v/>
      </c>
      <c r="AI175">
        <f>IF(Setup!$B$9="",0,IF(H175="",0,IF(ISNUMBER(H175),H175,1)))</f>
        <v/>
      </c>
      <c r="AJ175">
        <f>IF(Setup!$B$10="",0,IF(I175="",0,IF(ISNUMBER(I175),I175,1)))</f>
        <v/>
      </c>
      <c r="AK175">
        <f>IF(Setup!$B$11="",0,IF(J175="",0,IF(ISNUMBER(J175),J175,1)))</f>
        <v/>
      </c>
      <c r="AL175">
        <f>IF(Setup!$B$12="",0,IF(K175="",0,IF(ISNUMBER(K175),K175,1)))</f>
        <v/>
      </c>
      <c r="AM175">
        <f>IF(Setup!$B$13="",0,IF(L175="",0,IF(ISNUMBER(L175),L175,1)))</f>
        <v/>
      </c>
      <c r="AN175">
        <f>IF(Setup!$B$14="",0,IF(M175="",0,IF(ISNUMBER(M175),M175,1)))</f>
        <v/>
      </c>
      <c r="AO175">
        <f>IF(Setup!$B$15="",0,IF(N175="",0,IF(ISNUMBER(N175),N175,1)))</f>
        <v/>
      </c>
      <c r="AP175">
        <f>IF(Setup!$B$16="",0,IF(O175="",0,IF(ISNUMBER(O175),O175,1)))</f>
        <v/>
      </c>
      <c r="AQ175">
        <f>IF(Setup!$B$17="",0,IF(P175="",0,IF(ISNUMBER(P175),P175,1)))</f>
        <v/>
      </c>
      <c r="AR175">
        <f>IF(Setup!$B$18="",0,IF(Q175="",0,IF(ISNUMBER(Q175),Q175,1)))</f>
        <v/>
      </c>
      <c r="AS175">
        <f>IF(Setup!$B$19="",0,IF(R175="",0,IF(ISNUMBER(R175),R175,1)))</f>
        <v/>
      </c>
      <c r="AT175">
        <f>IF(Setup!$B$20="",0,IF(S175="",0,IF(ISNUMBER(S175),S175,1)))</f>
        <v/>
      </c>
    </row>
    <row r="176">
      <c r="A176" s="1" t="n"/>
      <c r="B176" s="24" t="n"/>
      <c r="C176" s="25" t="n"/>
      <c r="D176" s="25" t="n"/>
      <c r="E176" s="26" t="n"/>
      <c r="F176" s="27" t="n"/>
      <c r="G176" s="17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28" t="n"/>
      <c r="R176" s="28" t="n"/>
      <c r="S176" s="28" t="n"/>
      <c r="T176" s="29">
        <f>IF(N(E176)=0,"",E176*IF(F176="",1,IFERROR(INDEX(Setup!$E$9:$E$18,MATCH(F176,Setup!$D$9:$D$18,0)),0)))</f>
        <v/>
      </c>
      <c r="U176" s="30">
        <f>IF(T176="","",IF(V176=0,"Everyone",IF(COUNTIF(AI176:AT176,"&gt;0")=COUNTIF(Setup!$B$9:$B$20,"?*"),"Everyone",COUNTIF(AI176:AT176,"&gt;0")&amp;IF(COUNTIF(AI176:AT176,"&gt;0")=1," person"," people"))))</f>
        <v/>
      </c>
      <c r="V176" s="1">
        <f>SUM(AI176:AT176)</f>
        <v/>
      </c>
      <c r="W176">
        <f>IF(OR(T176="",Setup!$B$9=""),0,IF(V176=0,T176/COUNTIF(Setup!$B$9:$B$20,"?*"),T176*AI176/V176))</f>
        <v/>
      </c>
      <c r="X176">
        <f>IF(OR(T176="",Setup!$B$10=""),0,IF(V176=0,T176/COUNTIF(Setup!$B$9:$B$20,"?*"),T176*AJ176/V176))</f>
        <v/>
      </c>
      <c r="Y176">
        <f>IF(OR(T176="",Setup!$B$11=""),0,IF(V176=0,T176/COUNTIF(Setup!$B$9:$B$20,"?*"),T176*AK176/V176))</f>
        <v/>
      </c>
      <c r="Z176">
        <f>IF(OR(T176="",Setup!$B$12=""),0,IF(V176=0,T176/COUNTIF(Setup!$B$9:$B$20,"?*"),T176*AL176/V176))</f>
        <v/>
      </c>
      <c r="AA176">
        <f>IF(OR(T176="",Setup!$B$13=""),0,IF(V176=0,T176/COUNTIF(Setup!$B$9:$B$20,"?*"),T176*AM176/V176))</f>
        <v/>
      </c>
      <c r="AB176">
        <f>IF(OR(T176="",Setup!$B$14=""),0,IF(V176=0,T176/COUNTIF(Setup!$B$9:$B$20,"?*"),T176*AN176/V176))</f>
        <v/>
      </c>
      <c r="AC176">
        <f>IF(OR(T176="",Setup!$B$15=""),0,IF(V176=0,T176/COUNTIF(Setup!$B$9:$B$20,"?*"),T176*AO176/V176))</f>
        <v/>
      </c>
      <c r="AD176">
        <f>IF(OR(T176="",Setup!$B$16=""),0,IF(V176=0,T176/COUNTIF(Setup!$B$9:$B$20,"?*"),T176*AP176/V176))</f>
        <v/>
      </c>
      <c r="AE176">
        <f>IF(OR(T176="",Setup!$B$17=""),0,IF(V176=0,T176/COUNTIF(Setup!$B$9:$B$20,"?*"),T176*AQ176/V176))</f>
        <v/>
      </c>
      <c r="AF176">
        <f>IF(OR(T176="",Setup!$B$18=""),0,IF(V176=0,T176/COUNTIF(Setup!$B$9:$B$20,"?*"),T176*AR176/V176))</f>
        <v/>
      </c>
      <c r="AG176">
        <f>IF(OR(T176="",Setup!$B$19=""),0,IF(V176=0,T176/COUNTIF(Setup!$B$9:$B$20,"?*"),T176*AS176/V176))</f>
        <v/>
      </c>
      <c r="AH176">
        <f>IF(OR(T176="",Setup!$B$20=""),0,IF(V176=0,T176/COUNTIF(Setup!$B$9:$B$20,"?*"),T176*AT176/V176))</f>
        <v/>
      </c>
      <c r="AI176">
        <f>IF(Setup!$B$9="",0,IF(H176="",0,IF(ISNUMBER(H176),H176,1)))</f>
        <v/>
      </c>
      <c r="AJ176">
        <f>IF(Setup!$B$10="",0,IF(I176="",0,IF(ISNUMBER(I176),I176,1)))</f>
        <v/>
      </c>
      <c r="AK176">
        <f>IF(Setup!$B$11="",0,IF(J176="",0,IF(ISNUMBER(J176),J176,1)))</f>
        <v/>
      </c>
      <c r="AL176">
        <f>IF(Setup!$B$12="",0,IF(K176="",0,IF(ISNUMBER(K176),K176,1)))</f>
        <v/>
      </c>
      <c r="AM176">
        <f>IF(Setup!$B$13="",0,IF(L176="",0,IF(ISNUMBER(L176),L176,1)))</f>
        <v/>
      </c>
      <c r="AN176">
        <f>IF(Setup!$B$14="",0,IF(M176="",0,IF(ISNUMBER(M176),M176,1)))</f>
        <v/>
      </c>
      <c r="AO176">
        <f>IF(Setup!$B$15="",0,IF(N176="",0,IF(ISNUMBER(N176),N176,1)))</f>
        <v/>
      </c>
      <c r="AP176">
        <f>IF(Setup!$B$16="",0,IF(O176="",0,IF(ISNUMBER(O176),O176,1)))</f>
        <v/>
      </c>
      <c r="AQ176">
        <f>IF(Setup!$B$17="",0,IF(P176="",0,IF(ISNUMBER(P176),P176,1)))</f>
        <v/>
      </c>
      <c r="AR176">
        <f>IF(Setup!$B$18="",0,IF(Q176="",0,IF(ISNUMBER(Q176),Q176,1)))</f>
        <v/>
      </c>
      <c r="AS176">
        <f>IF(Setup!$B$19="",0,IF(R176="",0,IF(ISNUMBER(R176),R176,1)))</f>
        <v/>
      </c>
      <c r="AT176">
        <f>IF(Setup!$B$20="",0,IF(S176="",0,IF(ISNUMBER(S176),S176,1)))</f>
        <v/>
      </c>
    </row>
    <row r="177">
      <c r="A177" s="1" t="n"/>
      <c r="B177" s="24" t="n"/>
      <c r="C177" s="25" t="n"/>
      <c r="D177" s="25" t="n"/>
      <c r="E177" s="26" t="n"/>
      <c r="F177" s="27" t="n"/>
      <c r="G177" s="17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28" t="n"/>
      <c r="R177" s="28" t="n"/>
      <c r="S177" s="28" t="n"/>
      <c r="T177" s="29">
        <f>IF(N(E177)=0,"",E177*IF(F177="",1,IFERROR(INDEX(Setup!$E$9:$E$18,MATCH(F177,Setup!$D$9:$D$18,0)),0)))</f>
        <v/>
      </c>
      <c r="U177" s="30">
        <f>IF(T177="","",IF(V177=0,"Everyone",IF(COUNTIF(AI177:AT177,"&gt;0")=COUNTIF(Setup!$B$9:$B$20,"?*"),"Everyone",COUNTIF(AI177:AT177,"&gt;0")&amp;IF(COUNTIF(AI177:AT177,"&gt;0")=1," person"," people"))))</f>
        <v/>
      </c>
      <c r="V177" s="1">
        <f>SUM(AI177:AT177)</f>
        <v/>
      </c>
      <c r="W177">
        <f>IF(OR(T177="",Setup!$B$9=""),0,IF(V177=0,T177/COUNTIF(Setup!$B$9:$B$20,"?*"),T177*AI177/V177))</f>
        <v/>
      </c>
      <c r="X177">
        <f>IF(OR(T177="",Setup!$B$10=""),0,IF(V177=0,T177/COUNTIF(Setup!$B$9:$B$20,"?*"),T177*AJ177/V177))</f>
        <v/>
      </c>
      <c r="Y177">
        <f>IF(OR(T177="",Setup!$B$11=""),0,IF(V177=0,T177/COUNTIF(Setup!$B$9:$B$20,"?*"),T177*AK177/V177))</f>
        <v/>
      </c>
      <c r="Z177">
        <f>IF(OR(T177="",Setup!$B$12=""),0,IF(V177=0,T177/COUNTIF(Setup!$B$9:$B$20,"?*"),T177*AL177/V177))</f>
        <v/>
      </c>
      <c r="AA177">
        <f>IF(OR(T177="",Setup!$B$13=""),0,IF(V177=0,T177/COUNTIF(Setup!$B$9:$B$20,"?*"),T177*AM177/V177))</f>
        <v/>
      </c>
      <c r="AB177">
        <f>IF(OR(T177="",Setup!$B$14=""),0,IF(V177=0,T177/COUNTIF(Setup!$B$9:$B$20,"?*"),T177*AN177/V177))</f>
        <v/>
      </c>
      <c r="AC177">
        <f>IF(OR(T177="",Setup!$B$15=""),0,IF(V177=0,T177/COUNTIF(Setup!$B$9:$B$20,"?*"),T177*AO177/V177))</f>
        <v/>
      </c>
      <c r="AD177">
        <f>IF(OR(T177="",Setup!$B$16=""),0,IF(V177=0,T177/COUNTIF(Setup!$B$9:$B$20,"?*"),T177*AP177/V177))</f>
        <v/>
      </c>
      <c r="AE177">
        <f>IF(OR(T177="",Setup!$B$17=""),0,IF(V177=0,T177/COUNTIF(Setup!$B$9:$B$20,"?*"),T177*AQ177/V177))</f>
        <v/>
      </c>
      <c r="AF177">
        <f>IF(OR(T177="",Setup!$B$18=""),0,IF(V177=0,T177/COUNTIF(Setup!$B$9:$B$20,"?*"),T177*AR177/V177))</f>
        <v/>
      </c>
      <c r="AG177">
        <f>IF(OR(T177="",Setup!$B$19=""),0,IF(V177=0,T177/COUNTIF(Setup!$B$9:$B$20,"?*"),T177*AS177/V177))</f>
        <v/>
      </c>
      <c r="AH177">
        <f>IF(OR(T177="",Setup!$B$20=""),0,IF(V177=0,T177/COUNTIF(Setup!$B$9:$B$20,"?*"),T177*AT177/V177))</f>
        <v/>
      </c>
      <c r="AI177">
        <f>IF(Setup!$B$9="",0,IF(H177="",0,IF(ISNUMBER(H177),H177,1)))</f>
        <v/>
      </c>
      <c r="AJ177">
        <f>IF(Setup!$B$10="",0,IF(I177="",0,IF(ISNUMBER(I177),I177,1)))</f>
        <v/>
      </c>
      <c r="AK177">
        <f>IF(Setup!$B$11="",0,IF(J177="",0,IF(ISNUMBER(J177),J177,1)))</f>
        <v/>
      </c>
      <c r="AL177">
        <f>IF(Setup!$B$12="",0,IF(K177="",0,IF(ISNUMBER(K177),K177,1)))</f>
        <v/>
      </c>
      <c r="AM177">
        <f>IF(Setup!$B$13="",0,IF(L177="",0,IF(ISNUMBER(L177),L177,1)))</f>
        <v/>
      </c>
      <c r="AN177">
        <f>IF(Setup!$B$14="",0,IF(M177="",0,IF(ISNUMBER(M177),M177,1)))</f>
        <v/>
      </c>
      <c r="AO177">
        <f>IF(Setup!$B$15="",0,IF(N177="",0,IF(ISNUMBER(N177),N177,1)))</f>
        <v/>
      </c>
      <c r="AP177">
        <f>IF(Setup!$B$16="",0,IF(O177="",0,IF(ISNUMBER(O177),O177,1)))</f>
        <v/>
      </c>
      <c r="AQ177">
        <f>IF(Setup!$B$17="",0,IF(P177="",0,IF(ISNUMBER(P177),P177,1)))</f>
        <v/>
      </c>
      <c r="AR177">
        <f>IF(Setup!$B$18="",0,IF(Q177="",0,IF(ISNUMBER(Q177),Q177,1)))</f>
        <v/>
      </c>
      <c r="AS177">
        <f>IF(Setup!$B$19="",0,IF(R177="",0,IF(ISNUMBER(R177),R177,1)))</f>
        <v/>
      </c>
      <c r="AT177">
        <f>IF(Setup!$B$20="",0,IF(S177="",0,IF(ISNUMBER(S177),S177,1)))</f>
        <v/>
      </c>
    </row>
    <row r="178">
      <c r="A178" s="1" t="n"/>
      <c r="B178" s="24" t="n"/>
      <c r="C178" s="25" t="n"/>
      <c r="D178" s="25" t="n"/>
      <c r="E178" s="26" t="n"/>
      <c r="F178" s="27" t="n"/>
      <c r="G178" s="17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28" t="n"/>
      <c r="R178" s="28" t="n"/>
      <c r="S178" s="28" t="n"/>
      <c r="T178" s="29">
        <f>IF(N(E178)=0,"",E178*IF(F178="",1,IFERROR(INDEX(Setup!$E$9:$E$18,MATCH(F178,Setup!$D$9:$D$18,0)),0)))</f>
        <v/>
      </c>
      <c r="U178" s="30">
        <f>IF(T178="","",IF(V178=0,"Everyone",IF(COUNTIF(AI178:AT178,"&gt;0")=COUNTIF(Setup!$B$9:$B$20,"?*"),"Everyone",COUNTIF(AI178:AT178,"&gt;0")&amp;IF(COUNTIF(AI178:AT178,"&gt;0")=1," person"," people"))))</f>
        <v/>
      </c>
      <c r="V178" s="1">
        <f>SUM(AI178:AT178)</f>
        <v/>
      </c>
      <c r="W178">
        <f>IF(OR(T178="",Setup!$B$9=""),0,IF(V178=0,T178/COUNTIF(Setup!$B$9:$B$20,"?*"),T178*AI178/V178))</f>
        <v/>
      </c>
      <c r="X178">
        <f>IF(OR(T178="",Setup!$B$10=""),0,IF(V178=0,T178/COUNTIF(Setup!$B$9:$B$20,"?*"),T178*AJ178/V178))</f>
        <v/>
      </c>
      <c r="Y178">
        <f>IF(OR(T178="",Setup!$B$11=""),0,IF(V178=0,T178/COUNTIF(Setup!$B$9:$B$20,"?*"),T178*AK178/V178))</f>
        <v/>
      </c>
      <c r="Z178">
        <f>IF(OR(T178="",Setup!$B$12=""),0,IF(V178=0,T178/COUNTIF(Setup!$B$9:$B$20,"?*"),T178*AL178/V178))</f>
        <v/>
      </c>
      <c r="AA178">
        <f>IF(OR(T178="",Setup!$B$13=""),0,IF(V178=0,T178/COUNTIF(Setup!$B$9:$B$20,"?*"),T178*AM178/V178))</f>
        <v/>
      </c>
      <c r="AB178">
        <f>IF(OR(T178="",Setup!$B$14=""),0,IF(V178=0,T178/COUNTIF(Setup!$B$9:$B$20,"?*"),T178*AN178/V178))</f>
        <v/>
      </c>
      <c r="AC178">
        <f>IF(OR(T178="",Setup!$B$15=""),0,IF(V178=0,T178/COUNTIF(Setup!$B$9:$B$20,"?*"),T178*AO178/V178))</f>
        <v/>
      </c>
      <c r="AD178">
        <f>IF(OR(T178="",Setup!$B$16=""),0,IF(V178=0,T178/COUNTIF(Setup!$B$9:$B$20,"?*"),T178*AP178/V178))</f>
        <v/>
      </c>
      <c r="AE178">
        <f>IF(OR(T178="",Setup!$B$17=""),0,IF(V178=0,T178/COUNTIF(Setup!$B$9:$B$20,"?*"),T178*AQ178/V178))</f>
        <v/>
      </c>
      <c r="AF178">
        <f>IF(OR(T178="",Setup!$B$18=""),0,IF(V178=0,T178/COUNTIF(Setup!$B$9:$B$20,"?*"),T178*AR178/V178))</f>
        <v/>
      </c>
      <c r="AG178">
        <f>IF(OR(T178="",Setup!$B$19=""),0,IF(V178=0,T178/COUNTIF(Setup!$B$9:$B$20,"?*"),T178*AS178/V178))</f>
        <v/>
      </c>
      <c r="AH178">
        <f>IF(OR(T178="",Setup!$B$20=""),0,IF(V178=0,T178/COUNTIF(Setup!$B$9:$B$20,"?*"),T178*AT178/V178))</f>
        <v/>
      </c>
      <c r="AI178">
        <f>IF(Setup!$B$9="",0,IF(H178="",0,IF(ISNUMBER(H178),H178,1)))</f>
        <v/>
      </c>
      <c r="AJ178">
        <f>IF(Setup!$B$10="",0,IF(I178="",0,IF(ISNUMBER(I178),I178,1)))</f>
        <v/>
      </c>
      <c r="AK178">
        <f>IF(Setup!$B$11="",0,IF(J178="",0,IF(ISNUMBER(J178),J178,1)))</f>
        <v/>
      </c>
      <c r="AL178">
        <f>IF(Setup!$B$12="",0,IF(K178="",0,IF(ISNUMBER(K178),K178,1)))</f>
        <v/>
      </c>
      <c r="AM178">
        <f>IF(Setup!$B$13="",0,IF(L178="",0,IF(ISNUMBER(L178),L178,1)))</f>
        <v/>
      </c>
      <c r="AN178">
        <f>IF(Setup!$B$14="",0,IF(M178="",0,IF(ISNUMBER(M178),M178,1)))</f>
        <v/>
      </c>
      <c r="AO178">
        <f>IF(Setup!$B$15="",0,IF(N178="",0,IF(ISNUMBER(N178),N178,1)))</f>
        <v/>
      </c>
      <c r="AP178">
        <f>IF(Setup!$B$16="",0,IF(O178="",0,IF(ISNUMBER(O178),O178,1)))</f>
        <v/>
      </c>
      <c r="AQ178">
        <f>IF(Setup!$B$17="",0,IF(P178="",0,IF(ISNUMBER(P178),P178,1)))</f>
        <v/>
      </c>
      <c r="AR178">
        <f>IF(Setup!$B$18="",0,IF(Q178="",0,IF(ISNUMBER(Q178),Q178,1)))</f>
        <v/>
      </c>
      <c r="AS178">
        <f>IF(Setup!$B$19="",0,IF(R178="",0,IF(ISNUMBER(R178),R178,1)))</f>
        <v/>
      </c>
      <c r="AT178">
        <f>IF(Setup!$B$20="",0,IF(S178="",0,IF(ISNUMBER(S178),S178,1)))</f>
        <v/>
      </c>
    </row>
    <row r="179">
      <c r="A179" s="1" t="n"/>
      <c r="B179" s="24" t="n"/>
      <c r="C179" s="25" t="n"/>
      <c r="D179" s="25" t="n"/>
      <c r="E179" s="26" t="n"/>
      <c r="F179" s="27" t="n"/>
      <c r="G179" s="17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28" t="n"/>
      <c r="R179" s="28" t="n"/>
      <c r="S179" s="28" t="n"/>
      <c r="T179" s="29">
        <f>IF(N(E179)=0,"",E179*IF(F179="",1,IFERROR(INDEX(Setup!$E$9:$E$18,MATCH(F179,Setup!$D$9:$D$18,0)),0)))</f>
        <v/>
      </c>
      <c r="U179" s="30">
        <f>IF(T179="","",IF(V179=0,"Everyone",IF(COUNTIF(AI179:AT179,"&gt;0")=COUNTIF(Setup!$B$9:$B$20,"?*"),"Everyone",COUNTIF(AI179:AT179,"&gt;0")&amp;IF(COUNTIF(AI179:AT179,"&gt;0")=1," person"," people"))))</f>
        <v/>
      </c>
      <c r="V179" s="1">
        <f>SUM(AI179:AT179)</f>
        <v/>
      </c>
      <c r="W179">
        <f>IF(OR(T179="",Setup!$B$9=""),0,IF(V179=0,T179/COUNTIF(Setup!$B$9:$B$20,"?*"),T179*AI179/V179))</f>
        <v/>
      </c>
      <c r="X179">
        <f>IF(OR(T179="",Setup!$B$10=""),0,IF(V179=0,T179/COUNTIF(Setup!$B$9:$B$20,"?*"),T179*AJ179/V179))</f>
        <v/>
      </c>
      <c r="Y179">
        <f>IF(OR(T179="",Setup!$B$11=""),0,IF(V179=0,T179/COUNTIF(Setup!$B$9:$B$20,"?*"),T179*AK179/V179))</f>
        <v/>
      </c>
      <c r="Z179">
        <f>IF(OR(T179="",Setup!$B$12=""),0,IF(V179=0,T179/COUNTIF(Setup!$B$9:$B$20,"?*"),T179*AL179/V179))</f>
        <v/>
      </c>
      <c r="AA179">
        <f>IF(OR(T179="",Setup!$B$13=""),0,IF(V179=0,T179/COUNTIF(Setup!$B$9:$B$20,"?*"),T179*AM179/V179))</f>
        <v/>
      </c>
      <c r="AB179">
        <f>IF(OR(T179="",Setup!$B$14=""),0,IF(V179=0,T179/COUNTIF(Setup!$B$9:$B$20,"?*"),T179*AN179/V179))</f>
        <v/>
      </c>
      <c r="AC179">
        <f>IF(OR(T179="",Setup!$B$15=""),0,IF(V179=0,T179/COUNTIF(Setup!$B$9:$B$20,"?*"),T179*AO179/V179))</f>
        <v/>
      </c>
      <c r="AD179">
        <f>IF(OR(T179="",Setup!$B$16=""),0,IF(V179=0,T179/COUNTIF(Setup!$B$9:$B$20,"?*"),T179*AP179/V179))</f>
        <v/>
      </c>
      <c r="AE179">
        <f>IF(OR(T179="",Setup!$B$17=""),0,IF(V179=0,T179/COUNTIF(Setup!$B$9:$B$20,"?*"),T179*AQ179/V179))</f>
        <v/>
      </c>
      <c r="AF179">
        <f>IF(OR(T179="",Setup!$B$18=""),0,IF(V179=0,T179/COUNTIF(Setup!$B$9:$B$20,"?*"),T179*AR179/V179))</f>
        <v/>
      </c>
      <c r="AG179">
        <f>IF(OR(T179="",Setup!$B$19=""),0,IF(V179=0,T179/COUNTIF(Setup!$B$9:$B$20,"?*"),T179*AS179/V179))</f>
        <v/>
      </c>
      <c r="AH179">
        <f>IF(OR(T179="",Setup!$B$20=""),0,IF(V179=0,T179/COUNTIF(Setup!$B$9:$B$20,"?*"),T179*AT179/V179))</f>
        <v/>
      </c>
      <c r="AI179">
        <f>IF(Setup!$B$9="",0,IF(H179="",0,IF(ISNUMBER(H179),H179,1)))</f>
        <v/>
      </c>
      <c r="AJ179">
        <f>IF(Setup!$B$10="",0,IF(I179="",0,IF(ISNUMBER(I179),I179,1)))</f>
        <v/>
      </c>
      <c r="AK179">
        <f>IF(Setup!$B$11="",0,IF(J179="",0,IF(ISNUMBER(J179),J179,1)))</f>
        <v/>
      </c>
      <c r="AL179">
        <f>IF(Setup!$B$12="",0,IF(K179="",0,IF(ISNUMBER(K179),K179,1)))</f>
        <v/>
      </c>
      <c r="AM179">
        <f>IF(Setup!$B$13="",0,IF(L179="",0,IF(ISNUMBER(L179),L179,1)))</f>
        <v/>
      </c>
      <c r="AN179">
        <f>IF(Setup!$B$14="",0,IF(M179="",0,IF(ISNUMBER(M179),M179,1)))</f>
        <v/>
      </c>
      <c r="AO179">
        <f>IF(Setup!$B$15="",0,IF(N179="",0,IF(ISNUMBER(N179),N179,1)))</f>
        <v/>
      </c>
      <c r="AP179">
        <f>IF(Setup!$B$16="",0,IF(O179="",0,IF(ISNUMBER(O179),O179,1)))</f>
        <v/>
      </c>
      <c r="AQ179">
        <f>IF(Setup!$B$17="",0,IF(P179="",0,IF(ISNUMBER(P179),P179,1)))</f>
        <v/>
      </c>
      <c r="AR179">
        <f>IF(Setup!$B$18="",0,IF(Q179="",0,IF(ISNUMBER(Q179),Q179,1)))</f>
        <v/>
      </c>
      <c r="AS179">
        <f>IF(Setup!$B$19="",0,IF(R179="",0,IF(ISNUMBER(R179),R179,1)))</f>
        <v/>
      </c>
      <c r="AT179">
        <f>IF(Setup!$B$20="",0,IF(S179="",0,IF(ISNUMBER(S179),S179,1)))</f>
        <v/>
      </c>
    </row>
    <row r="180">
      <c r="A180" s="1" t="n"/>
      <c r="B180" s="24" t="n"/>
      <c r="C180" s="25" t="n"/>
      <c r="D180" s="25" t="n"/>
      <c r="E180" s="26" t="n"/>
      <c r="F180" s="27" t="n"/>
      <c r="G180" s="17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28" t="n"/>
      <c r="R180" s="28" t="n"/>
      <c r="S180" s="28" t="n"/>
      <c r="T180" s="29">
        <f>IF(N(E180)=0,"",E180*IF(F180="",1,IFERROR(INDEX(Setup!$E$9:$E$18,MATCH(F180,Setup!$D$9:$D$18,0)),0)))</f>
        <v/>
      </c>
      <c r="U180" s="30">
        <f>IF(T180="","",IF(V180=0,"Everyone",IF(COUNTIF(AI180:AT180,"&gt;0")=COUNTIF(Setup!$B$9:$B$20,"?*"),"Everyone",COUNTIF(AI180:AT180,"&gt;0")&amp;IF(COUNTIF(AI180:AT180,"&gt;0")=1," person"," people"))))</f>
        <v/>
      </c>
      <c r="V180" s="1">
        <f>SUM(AI180:AT180)</f>
        <v/>
      </c>
      <c r="W180">
        <f>IF(OR(T180="",Setup!$B$9=""),0,IF(V180=0,T180/COUNTIF(Setup!$B$9:$B$20,"?*"),T180*AI180/V180))</f>
        <v/>
      </c>
      <c r="X180">
        <f>IF(OR(T180="",Setup!$B$10=""),0,IF(V180=0,T180/COUNTIF(Setup!$B$9:$B$20,"?*"),T180*AJ180/V180))</f>
        <v/>
      </c>
      <c r="Y180">
        <f>IF(OR(T180="",Setup!$B$11=""),0,IF(V180=0,T180/COUNTIF(Setup!$B$9:$B$20,"?*"),T180*AK180/V180))</f>
        <v/>
      </c>
      <c r="Z180">
        <f>IF(OR(T180="",Setup!$B$12=""),0,IF(V180=0,T180/COUNTIF(Setup!$B$9:$B$20,"?*"),T180*AL180/V180))</f>
        <v/>
      </c>
      <c r="AA180">
        <f>IF(OR(T180="",Setup!$B$13=""),0,IF(V180=0,T180/COUNTIF(Setup!$B$9:$B$20,"?*"),T180*AM180/V180))</f>
        <v/>
      </c>
      <c r="AB180">
        <f>IF(OR(T180="",Setup!$B$14=""),0,IF(V180=0,T180/COUNTIF(Setup!$B$9:$B$20,"?*"),T180*AN180/V180))</f>
        <v/>
      </c>
      <c r="AC180">
        <f>IF(OR(T180="",Setup!$B$15=""),0,IF(V180=0,T180/COUNTIF(Setup!$B$9:$B$20,"?*"),T180*AO180/V180))</f>
        <v/>
      </c>
      <c r="AD180">
        <f>IF(OR(T180="",Setup!$B$16=""),0,IF(V180=0,T180/COUNTIF(Setup!$B$9:$B$20,"?*"),T180*AP180/V180))</f>
        <v/>
      </c>
      <c r="AE180">
        <f>IF(OR(T180="",Setup!$B$17=""),0,IF(V180=0,T180/COUNTIF(Setup!$B$9:$B$20,"?*"),T180*AQ180/V180))</f>
        <v/>
      </c>
      <c r="AF180">
        <f>IF(OR(T180="",Setup!$B$18=""),0,IF(V180=0,T180/COUNTIF(Setup!$B$9:$B$20,"?*"),T180*AR180/V180))</f>
        <v/>
      </c>
      <c r="AG180">
        <f>IF(OR(T180="",Setup!$B$19=""),0,IF(V180=0,T180/COUNTIF(Setup!$B$9:$B$20,"?*"),T180*AS180/V180))</f>
        <v/>
      </c>
      <c r="AH180">
        <f>IF(OR(T180="",Setup!$B$20=""),0,IF(V180=0,T180/COUNTIF(Setup!$B$9:$B$20,"?*"),T180*AT180/V180))</f>
        <v/>
      </c>
      <c r="AI180">
        <f>IF(Setup!$B$9="",0,IF(H180="",0,IF(ISNUMBER(H180),H180,1)))</f>
        <v/>
      </c>
      <c r="AJ180">
        <f>IF(Setup!$B$10="",0,IF(I180="",0,IF(ISNUMBER(I180),I180,1)))</f>
        <v/>
      </c>
      <c r="AK180">
        <f>IF(Setup!$B$11="",0,IF(J180="",0,IF(ISNUMBER(J180),J180,1)))</f>
        <v/>
      </c>
      <c r="AL180">
        <f>IF(Setup!$B$12="",0,IF(K180="",0,IF(ISNUMBER(K180),K180,1)))</f>
        <v/>
      </c>
      <c r="AM180">
        <f>IF(Setup!$B$13="",0,IF(L180="",0,IF(ISNUMBER(L180),L180,1)))</f>
        <v/>
      </c>
      <c r="AN180">
        <f>IF(Setup!$B$14="",0,IF(M180="",0,IF(ISNUMBER(M180),M180,1)))</f>
        <v/>
      </c>
      <c r="AO180">
        <f>IF(Setup!$B$15="",0,IF(N180="",0,IF(ISNUMBER(N180),N180,1)))</f>
        <v/>
      </c>
      <c r="AP180">
        <f>IF(Setup!$B$16="",0,IF(O180="",0,IF(ISNUMBER(O180),O180,1)))</f>
        <v/>
      </c>
      <c r="AQ180">
        <f>IF(Setup!$B$17="",0,IF(P180="",0,IF(ISNUMBER(P180),P180,1)))</f>
        <v/>
      </c>
      <c r="AR180">
        <f>IF(Setup!$B$18="",0,IF(Q180="",0,IF(ISNUMBER(Q180),Q180,1)))</f>
        <v/>
      </c>
      <c r="AS180">
        <f>IF(Setup!$B$19="",0,IF(R180="",0,IF(ISNUMBER(R180),R180,1)))</f>
        <v/>
      </c>
      <c r="AT180">
        <f>IF(Setup!$B$20="",0,IF(S180="",0,IF(ISNUMBER(S180),S180,1)))</f>
        <v/>
      </c>
    </row>
    <row r="181">
      <c r="A181" s="1" t="n"/>
      <c r="B181" s="24" t="n"/>
      <c r="C181" s="25" t="n"/>
      <c r="D181" s="25" t="n"/>
      <c r="E181" s="26" t="n"/>
      <c r="F181" s="27" t="n"/>
      <c r="G181" s="17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28" t="n"/>
      <c r="R181" s="28" t="n"/>
      <c r="S181" s="28" t="n"/>
      <c r="T181" s="29">
        <f>IF(N(E181)=0,"",E181*IF(F181="",1,IFERROR(INDEX(Setup!$E$9:$E$18,MATCH(F181,Setup!$D$9:$D$18,0)),0)))</f>
        <v/>
      </c>
      <c r="U181" s="30">
        <f>IF(T181="","",IF(V181=0,"Everyone",IF(COUNTIF(AI181:AT181,"&gt;0")=COUNTIF(Setup!$B$9:$B$20,"?*"),"Everyone",COUNTIF(AI181:AT181,"&gt;0")&amp;IF(COUNTIF(AI181:AT181,"&gt;0")=1," person"," people"))))</f>
        <v/>
      </c>
      <c r="V181" s="1">
        <f>SUM(AI181:AT181)</f>
        <v/>
      </c>
      <c r="W181">
        <f>IF(OR(T181="",Setup!$B$9=""),0,IF(V181=0,T181/COUNTIF(Setup!$B$9:$B$20,"?*"),T181*AI181/V181))</f>
        <v/>
      </c>
      <c r="X181">
        <f>IF(OR(T181="",Setup!$B$10=""),0,IF(V181=0,T181/COUNTIF(Setup!$B$9:$B$20,"?*"),T181*AJ181/V181))</f>
        <v/>
      </c>
      <c r="Y181">
        <f>IF(OR(T181="",Setup!$B$11=""),0,IF(V181=0,T181/COUNTIF(Setup!$B$9:$B$20,"?*"),T181*AK181/V181))</f>
        <v/>
      </c>
      <c r="Z181">
        <f>IF(OR(T181="",Setup!$B$12=""),0,IF(V181=0,T181/COUNTIF(Setup!$B$9:$B$20,"?*"),T181*AL181/V181))</f>
        <v/>
      </c>
      <c r="AA181">
        <f>IF(OR(T181="",Setup!$B$13=""),0,IF(V181=0,T181/COUNTIF(Setup!$B$9:$B$20,"?*"),T181*AM181/V181))</f>
        <v/>
      </c>
      <c r="AB181">
        <f>IF(OR(T181="",Setup!$B$14=""),0,IF(V181=0,T181/COUNTIF(Setup!$B$9:$B$20,"?*"),T181*AN181/V181))</f>
        <v/>
      </c>
      <c r="AC181">
        <f>IF(OR(T181="",Setup!$B$15=""),0,IF(V181=0,T181/COUNTIF(Setup!$B$9:$B$20,"?*"),T181*AO181/V181))</f>
        <v/>
      </c>
      <c r="AD181">
        <f>IF(OR(T181="",Setup!$B$16=""),0,IF(V181=0,T181/COUNTIF(Setup!$B$9:$B$20,"?*"),T181*AP181/V181))</f>
        <v/>
      </c>
      <c r="AE181">
        <f>IF(OR(T181="",Setup!$B$17=""),0,IF(V181=0,T181/COUNTIF(Setup!$B$9:$B$20,"?*"),T181*AQ181/V181))</f>
        <v/>
      </c>
      <c r="AF181">
        <f>IF(OR(T181="",Setup!$B$18=""),0,IF(V181=0,T181/COUNTIF(Setup!$B$9:$B$20,"?*"),T181*AR181/V181))</f>
        <v/>
      </c>
      <c r="AG181">
        <f>IF(OR(T181="",Setup!$B$19=""),0,IF(V181=0,T181/COUNTIF(Setup!$B$9:$B$20,"?*"),T181*AS181/V181))</f>
        <v/>
      </c>
      <c r="AH181">
        <f>IF(OR(T181="",Setup!$B$20=""),0,IF(V181=0,T181/COUNTIF(Setup!$B$9:$B$20,"?*"),T181*AT181/V181))</f>
        <v/>
      </c>
      <c r="AI181">
        <f>IF(Setup!$B$9="",0,IF(H181="",0,IF(ISNUMBER(H181),H181,1)))</f>
        <v/>
      </c>
      <c r="AJ181">
        <f>IF(Setup!$B$10="",0,IF(I181="",0,IF(ISNUMBER(I181),I181,1)))</f>
        <v/>
      </c>
      <c r="AK181">
        <f>IF(Setup!$B$11="",0,IF(J181="",0,IF(ISNUMBER(J181),J181,1)))</f>
        <v/>
      </c>
      <c r="AL181">
        <f>IF(Setup!$B$12="",0,IF(K181="",0,IF(ISNUMBER(K181),K181,1)))</f>
        <v/>
      </c>
      <c r="AM181">
        <f>IF(Setup!$B$13="",0,IF(L181="",0,IF(ISNUMBER(L181),L181,1)))</f>
        <v/>
      </c>
      <c r="AN181">
        <f>IF(Setup!$B$14="",0,IF(M181="",0,IF(ISNUMBER(M181),M181,1)))</f>
        <v/>
      </c>
      <c r="AO181">
        <f>IF(Setup!$B$15="",0,IF(N181="",0,IF(ISNUMBER(N181),N181,1)))</f>
        <v/>
      </c>
      <c r="AP181">
        <f>IF(Setup!$B$16="",0,IF(O181="",0,IF(ISNUMBER(O181),O181,1)))</f>
        <v/>
      </c>
      <c r="AQ181">
        <f>IF(Setup!$B$17="",0,IF(P181="",0,IF(ISNUMBER(P181),P181,1)))</f>
        <v/>
      </c>
      <c r="AR181">
        <f>IF(Setup!$B$18="",0,IF(Q181="",0,IF(ISNUMBER(Q181),Q181,1)))</f>
        <v/>
      </c>
      <c r="AS181">
        <f>IF(Setup!$B$19="",0,IF(R181="",0,IF(ISNUMBER(R181),R181,1)))</f>
        <v/>
      </c>
      <c r="AT181">
        <f>IF(Setup!$B$20="",0,IF(S181="",0,IF(ISNUMBER(S181),S181,1)))</f>
        <v/>
      </c>
    </row>
    <row r="182">
      <c r="A182" s="1" t="n"/>
      <c r="B182" s="24" t="n"/>
      <c r="C182" s="25" t="n"/>
      <c r="D182" s="25" t="n"/>
      <c r="E182" s="26" t="n"/>
      <c r="F182" s="27" t="n"/>
      <c r="G182" s="17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28" t="n"/>
      <c r="R182" s="28" t="n"/>
      <c r="S182" s="28" t="n"/>
      <c r="T182" s="29">
        <f>IF(N(E182)=0,"",E182*IF(F182="",1,IFERROR(INDEX(Setup!$E$9:$E$18,MATCH(F182,Setup!$D$9:$D$18,0)),0)))</f>
        <v/>
      </c>
      <c r="U182" s="30">
        <f>IF(T182="","",IF(V182=0,"Everyone",IF(COUNTIF(AI182:AT182,"&gt;0")=COUNTIF(Setup!$B$9:$B$20,"?*"),"Everyone",COUNTIF(AI182:AT182,"&gt;0")&amp;IF(COUNTIF(AI182:AT182,"&gt;0")=1," person"," people"))))</f>
        <v/>
      </c>
      <c r="V182" s="1">
        <f>SUM(AI182:AT182)</f>
        <v/>
      </c>
      <c r="W182">
        <f>IF(OR(T182="",Setup!$B$9=""),0,IF(V182=0,T182/COUNTIF(Setup!$B$9:$B$20,"?*"),T182*AI182/V182))</f>
        <v/>
      </c>
      <c r="X182">
        <f>IF(OR(T182="",Setup!$B$10=""),0,IF(V182=0,T182/COUNTIF(Setup!$B$9:$B$20,"?*"),T182*AJ182/V182))</f>
        <v/>
      </c>
      <c r="Y182">
        <f>IF(OR(T182="",Setup!$B$11=""),0,IF(V182=0,T182/COUNTIF(Setup!$B$9:$B$20,"?*"),T182*AK182/V182))</f>
        <v/>
      </c>
      <c r="Z182">
        <f>IF(OR(T182="",Setup!$B$12=""),0,IF(V182=0,T182/COUNTIF(Setup!$B$9:$B$20,"?*"),T182*AL182/V182))</f>
        <v/>
      </c>
      <c r="AA182">
        <f>IF(OR(T182="",Setup!$B$13=""),0,IF(V182=0,T182/COUNTIF(Setup!$B$9:$B$20,"?*"),T182*AM182/V182))</f>
        <v/>
      </c>
      <c r="AB182">
        <f>IF(OR(T182="",Setup!$B$14=""),0,IF(V182=0,T182/COUNTIF(Setup!$B$9:$B$20,"?*"),T182*AN182/V182))</f>
        <v/>
      </c>
      <c r="AC182">
        <f>IF(OR(T182="",Setup!$B$15=""),0,IF(V182=0,T182/COUNTIF(Setup!$B$9:$B$20,"?*"),T182*AO182/V182))</f>
        <v/>
      </c>
      <c r="AD182">
        <f>IF(OR(T182="",Setup!$B$16=""),0,IF(V182=0,T182/COUNTIF(Setup!$B$9:$B$20,"?*"),T182*AP182/V182))</f>
        <v/>
      </c>
      <c r="AE182">
        <f>IF(OR(T182="",Setup!$B$17=""),0,IF(V182=0,T182/COUNTIF(Setup!$B$9:$B$20,"?*"),T182*AQ182/V182))</f>
        <v/>
      </c>
      <c r="AF182">
        <f>IF(OR(T182="",Setup!$B$18=""),0,IF(V182=0,T182/COUNTIF(Setup!$B$9:$B$20,"?*"),T182*AR182/V182))</f>
        <v/>
      </c>
      <c r="AG182">
        <f>IF(OR(T182="",Setup!$B$19=""),0,IF(V182=0,T182/COUNTIF(Setup!$B$9:$B$20,"?*"),T182*AS182/V182))</f>
        <v/>
      </c>
      <c r="AH182">
        <f>IF(OR(T182="",Setup!$B$20=""),0,IF(V182=0,T182/COUNTIF(Setup!$B$9:$B$20,"?*"),T182*AT182/V182))</f>
        <v/>
      </c>
      <c r="AI182">
        <f>IF(Setup!$B$9="",0,IF(H182="",0,IF(ISNUMBER(H182),H182,1)))</f>
        <v/>
      </c>
      <c r="AJ182">
        <f>IF(Setup!$B$10="",0,IF(I182="",0,IF(ISNUMBER(I182),I182,1)))</f>
        <v/>
      </c>
      <c r="AK182">
        <f>IF(Setup!$B$11="",0,IF(J182="",0,IF(ISNUMBER(J182),J182,1)))</f>
        <v/>
      </c>
      <c r="AL182">
        <f>IF(Setup!$B$12="",0,IF(K182="",0,IF(ISNUMBER(K182),K182,1)))</f>
        <v/>
      </c>
      <c r="AM182">
        <f>IF(Setup!$B$13="",0,IF(L182="",0,IF(ISNUMBER(L182),L182,1)))</f>
        <v/>
      </c>
      <c r="AN182">
        <f>IF(Setup!$B$14="",0,IF(M182="",0,IF(ISNUMBER(M182),M182,1)))</f>
        <v/>
      </c>
      <c r="AO182">
        <f>IF(Setup!$B$15="",0,IF(N182="",0,IF(ISNUMBER(N182),N182,1)))</f>
        <v/>
      </c>
      <c r="AP182">
        <f>IF(Setup!$B$16="",0,IF(O182="",0,IF(ISNUMBER(O182),O182,1)))</f>
        <v/>
      </c>
      <c r="AQ182">
        <f>IF(Setup!$B$17="",0,IF(P182="",0,IF(ISNUMBER(P182),P182,1)))</f>
        <v/>
      </c>
      <c r="AR182">
        <f>IF(Setup!$B$18="",0,IF(Q182="",0,IF(ISNUMBER(Q182),Q182,1)))</f>
        <v/>
      </c>
      <c r="AS182">
        <f>IF(Setup!$B$19="",0,IF(R182="",0,IF(ISNUMBER(R182),R182,1)))</f>
        <v/>
      </c>
      <c r="AT182">
        <f>IF(Setup!$B$20="",0,IF(S182="",0,IF(ISNUMBER(S182),S182,1)))</f>
        <v/>
      </c>
    </row>
    <row r="183">
      <c r="A183" s="1" t="n"/>
      <c r="B183" s="24" t="n"/>
      <c r="C183" s="25" t="n"/>
      <c r="D183" s="25" t="n"/>
      <c r="E183" s="26" t="n"/>
      <c r="F183" s="27" t="n"/>
      <c r="G183" s="17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28" t="n"/>
      <c r="R183" s="28" t="n"/>
      <c r="S183" s="28" t="n"/>
      <c r="T183" s="29">
        <f>IF(N(E183)=0,"",E183*IF(F183="",1,IFERROR(INDEX(Setup!$E$9:$E$18,MATCH(F183,Setup!$D$9:$D$18,0)),0)))</f>
        <v/>
      </c>
      <c r="U183" s="30">
        <f>IF(T183="","",IF(V183=0,"Everyone",IF(COUNTIF(AI183:AT183,"&gt;0")=COUNTIF(Setup!$B$9:$B$20,"?*"),"Everyone",COUNTIF(AI183:AT183,"&gt;0")&amp;IF(COUNTIF(AI183:AT183,"&gt;0")=1," person"," people"))))</f>
        <v/>
      </c>
      <c r="V183" s="1">
        <f>SUM(AI183:AT183)</f>
        <v/>
      </c>
      <c r="W183">
        <f>IF(OR(T183="",Setup!$B$9=""),0,IF(V183=0,T183/COUNTIF(Setup!$B$9:$B$20,"?*"),T183*AI183/V183))</f>
        <v/>
      </c>
      <c r="X183">
        <f>IF(OR(T183="",Setup!$B$10=""),0,IF(V183=0,T183/COUNTIF(Setup!$B$9:$B$20,"?*"),T183*AJ183/V183))</f>
        <v/>
      </c>
      <c r="Y183">
        <f>IF(OR(T183="",Setup!$B$11=""),0,IF(V183=0,T183/COUNTIF(Setup!$B$9:$B$20,"?*"),T183*AK183/V183))</f>
        <v/>
      </c>
      <c r="Z183">
        <f>IF(OR(T183="",Setup!$B$12=""),0,IF(V183=0,T183/COUNTIF(Setup!$B$9:$B$20,"?*"),T183*AL183/V183))</f>
        <v/>
      </c>
      <c r="AA183">
        <f>IF(OR(T183="",Setup!$B$13=""),0,IF(V183=0,T183/COUNTIF(Setup!$B$9:$B$20,"?*"),T183*AM183/V183))</f>
        <v/>
      </c>
      <c r="AB183">
        <f>IF(OR(T183="",Setup!$B$14=""),0,IF(V183=0,T183/COUNTIF(Setup!$B$9:$B$20,"?*"),T183*AN183/V183))</f>
        <v/>
      </c>
      <c r="AC183">
        <f>IF(OR(T183="",Setup!$B$15=""),0,IF(V183=0,T183/COUNTIF(Setup!$B$9:$B$20,"?*"),T183*AO183/V183))</f>
        <v/>
      </c>
      <c r="AD183">
        <f>IF(OR(T183="",Setup!$B$16=""),0,IF(V183=0,T183/COUNTIF(Setup!$B$9:$B$20,"?*"),T183*AP183/V183))</f>
        <v/>
      </c>
      <c r="AE183">
        <f>IF(OR(T183="",Setup!$B$17=""),0,IF(V183=0,T183/COUNTIF(Setup!$B$9:$B$20,"?*"),T183*AQ183/V183))</f>
        <v/>
      </c>
      <c r="AF183">
        <f>IF(OR(T183="",Setup!$B$18=""),0,IF(V183=0,T183/COUNTIF(Setup!$B$9:$B$20,"?*"),T183*AR183/V183))</f>
        <v/>
      </c>
      <c r="AG183">
        <f>IF(OR(T183="",Setup!$B$19=""),0,IF(V183=0,T183/COUNTIF(Setup!$B$9:$B$20,"?*"),T183*AS183/V183))</f>
        <v/>
      </c>
      <c r="AH183">
        <f>IF(OR(T183="",Setup!$B$20=""),0,IF(V183=0,T183/COUNTIF(Setup!$B$9:$B$20,"?*"),T183*AT183/V183))</f>
        <v/>
      </c>
      <c r="AI183">
        <f>IF(Setup!$B$9="",0,IF(H183="",0,IF(ISNUMBER(H183),H183,1)))</f>
        <v/>
      </c>
      <c r="AJ183">
        <f>IF(Setup!$B$10="",0,IF(I183="",0,IF(ISNUMBER(I183),I183,1)))</f>
        <v/>
      </c>
      <c r="AK183">
        <f>IF(Setup!$B$11="",0,IF(J183="",0,IF(ISNUMBER(J183),J183,1)))</f>
        <v/>
      </c>
      <c r="AL183">
        <f>IF(Setup!$B$12="",0,IF(K183="",0,IF(ISNUMBER(K183),K183,1)))</f>
        <v/>
      </c>
      <c r="AM183">
        <f>IF(Setup!$B$13="",0,IF(L183="",0,IF(ISNUMBER(L183),L183,1)))</f>
        <v/>
      </c>
      <c r="AN183">
        <f>IF(Setup!$B$14="",0,IF(M183="",0,IF(ISNUMBER(M183),M183,1)))</f>
        <v/>
      </c>
      <c r="AO183">
        <f>IF(Setup!$B$15="",0,IF(N183="",0,IF(ISNUMBER(N183),N183,1)))</f>
        <v/>
      </c>
      <c r="AP183">
        <f>IF(Setup!$B$16="",0,IF(O183="",0,IF(ISNUMBER(O183),O183,1)))</f>
        <v/>
      </c>
      <c r="AQ183">
        <f>IF(Setup!$B$17="",0,IF(P183="",0,IF(ISNUMBER(P183),P183,1)))</f>
        <v/>
      </c>
      <c r="AR183">
        <f>IF(Setup!$B$18="",0,IF(Q183="",0,IF(ISNUMBER(Q183),Q183,1)))</f>
        <v/>
      </c>
      <c r="AS183">
        <f>IF(Setup!$B$19="",0,IF(R183="",0,IF(ISNUMBER(R183),R183,1)))</f>
        <v/>
      </c>
      <c r="AT183">
        <f>IF(Setup!$B$20="",0,IF(S183="",0,IF(ISNUMBER(S183),S183,1)))</f>
        <v/>
      </c>
    </row>
    <row r="184">
      <c r="A184" s="1" t="n"/>
      <c r="B184" s="24" t="n"/>
      <c r="C184" s="25" t="n"/>
      <c r="D184" s="25" t="n"/>
      <c r="E184" s="26" t="n"/>
      <c r="F184" s="27" t="n"/>
      <c r="G184" s="17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28" t="n"/>
      <c r="R184" s="28" t="n"/>
      <c r="S184" s="28" t="n"/>
      <c r="T184" s="29">
        <f>IF(N(E184)=0,"",E184*IF(F184="",1,IFERROR(INDEX(Setup!$E$9:$E$18,MATCH(F184,Setup!$D$9:$D$18,0)),0)))</f>
        <v/>
      </c>
      <c r="U184" s="30">
        <f>IF(T184="","",IF(V184=0,"Everyone",IF(COUNTIF(AI184:AT184,"&gt;0")=COUNTIF(Setup!$B$9:$B$20,"?*"),"Everyone",COUNTIF(AI184:AT184,"&gt;0")&amp;IF(COUNTIF(AI184:AT184,"&gt;0")=1," person"," people"))))</f>
        <v/>
      </c>
      <c r="V184" s="1">
        <f>SUM(AI184:AT184)</f>
        <v/>
      </c>
      <c r="W184">
        <f>IF(OR(T184="",Setup!$B$9=""),0,IF(V184=0,T184/COUNTIF(Setup!$B$9:$B$20,"?*"),T184*AI184/V184))</f>
        <v/>
      </c>
      <c r="X184">
        <f>IF(OR(T184="",Setup!$B$10=""),0,IF(V184=0,T184/COUNTIF(Setup!$B$9:$B$20,"?*"),T184*AJ184/V184))</f>
        <v/>
      </c>
      <c r="Y184">
        <f>IF(OR(T184="",Setup!$B$11=""),0,IF(V184=0,T184/COUNTIF(Setup!$B$9:$B$20,"?*"),T184*AK184/V184))</f>
        <v/>
      </c>
      <c r="Z184">
        <f>IF(OR(T184="",Setup!$B$12=""),0,IF(V184=0,T184/COUNTIF(Setup!$B$9:$B$20,"?*"),T184*AL184/V184))</f>
        <v/>
      </c>
      <c r="AA184">
        <f>IF(OR(T184="",Setup!$B$13=""),0,IF(V184=0,T184/COUNTIF(Setup!$B$9:$B$20,"?*"),T184*AM184/V184))</f>
        <v/>
      </c>
      <c r="AB184">
        <f>IF(OR(T184="",Setup!$B$14=""),0,IF(V184=0,T184/COUNTIF(Setup!$B$9:$B$20,"?*"),T184*AN184/V184))</f>
        <v/>
      </c>
      <c r="AC184">
        <f>IF(OR(T184="",Setup!$B$15=""),0,IF(V184=0,T184/COUNTIF(Setup!$B$9:$B$20,"?*"),T184*AO184/V184))</f>
        <v/>
      </c>
      <c r="AD184">
        <f>IF(OR(T184="",Setup!$B$16=""),0,IF(V184=0,T184/COUNTIF(Setup!$B$9:$B$20,"?*"),T184*AP184/V184))</f>
        <v/>
      </c>
      <c r="AE184">
        <f>IF(OR(T184="",Setup!$B$17=""),0,IF(V184=0,T184/COUNTIF(Setup!$B$9:$B$20,"?*"),T184*AQ184/V184))</f>
        <v/>
      </c>
      <c r="AF184">
        <f>IF(OR(T184="",Setup!$B$18=""),0,IF(V184=0,T184/COUNTIF(Setup!$B$9:$B$20,"?*"),T184*AR184/V184))</f>
        <v/>
      </c>
      <c r="AG184">
        <f>IF(OR(T184="",Setup!$B$19=""),0,IF(V184=0,T184/COUNTIF(Setup!$B$9:$B$20,"?*"),T184*AS184/V184))</f>
        <v/>
      </c>
      <c r="AH184">
        <f>IF(OR(T184="",Setup!$B$20=""),0,IF(V184=0,T184/COUNTIF(Setup!$B$9:$B$20,"?*"),T184*AT184/V184))</f>
        <v/>
      </c>
      <c r="AI184">
        <f>IF(Setup!$B$9="",0,IF(H184="",0,IF(ISNUMBER(H184),H184,1)))</f>
        <v/>
      </c>
      <c r="AJ184">
        <f>IF(Setup!$B$10="",0,IF(I184="",0,IF(ISNUMBER(I184),I184,1)))</f>
        <v/>
      </c>
      <c r="AK184">
        <f>IF(Setup!$B$11="",0,IF(J184="",0,IF(ISNUMBER(J184),J184,1)))</f>
        <v/>
      </c>
      <c r="AL184">
        <f>IF(Setup!$B$12="",0,IF(K184="",0,IF(ISNUMBER(K184),K184,1)))</f>
        <v/>
      </c>
      <c r="AM184">
        <f>IF(Setup!$B$13="",0,IF(L184="",0,IF(ISNUMBER(L184),L184,1)))</f>
        <v/>
      </c>
      <c r="AN184">
        <f>IF(Setup!$B$14="",0,IF(M184="",0,IF(ISNUMBER(M184),M184,1)))</f>
        <v/>
      </c>
      <c r="AO184">
        <f>IF(Setup!$B$15="",0,IF(N184="",0,IF(ISNUMBER(N184),N184,1)))</f>
        <v/>
      </c>
      <c r="AP184">
        <f>IF(Setup!$B$16="",0,IF(O184="",0,IF(ISNUMBER(O184),O184,1)))</f>
        <v/>
      </c>
      <c r="AQ184">
        <f>IF(Setup!$B$17="",0,IF(P184="",0,IF(ISNUMBER(P184),P184,1)))</f>
        <v/>
      </c>
      <c r="AR184">
        <f>IF(Setup!$B$18="",0,IF(Q184="",0,IF(ISNUMBER(Q184),Q184,1)))</f>
        <v/>
      </c>
      <c r="AS184">
        <f>IF(Setup!$B$19="",0,IF(R184="",0,IF(ISNUMBER(R184),R184,1)))</f>
        <v/>
      </c>
      <c r="AT184">
        <f>IF(Setup!$B$20="",0,IF(S184="",0,IF(ISNUMBER(S184),S184,1)))</f>
        <v/>
      </c>
    </row>
    <row r="185">
      <c r="A185" s="1" t="n"/>
      <c r="B185" s="24" t="n"/>
      <c r="C185" s="25" t="n"/>
      <c r="D185" s="25" t="n"/>
      <c r="E185" s="26" t="n"/>
      <c r="F185" s="27" t="n"/>
      <c r="G185" s="17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28" t="n"/>
      <c r="R185" s="28" t="n"/>
      <c r="S185" s="28" t="n"/>
      <c r="T185" s="29">
        <f>IF(N(E185)=0,"",E185*IF(F185="",1,IFERROR(INDEX(Setup!$E$9:$E$18,MATCH(F185,Setup!$D$9:$D$18,0)),0)))</f>
        <v/>
      </c>
      <c r="U185" s="30">
        <f>IF(T185="","",IF(V185=0,"Everyone",IF(COUNTIF(AI185:AT185,"&gt;0")=COUNTIF(Setup!$B$9:$B$20,"?*"),"Everyone",COUNTIF(AI185:AT185,"&gt;0")&amp;IF(COUNTIF(AI185:AT185,"&gt;0")=1," person"," people"))))</f>
        <v/>
      </c>
      <c r="V185" s="1">
        <f>SUM(AI185:AT185)</f>
        <v/>
      </c>
      <c r="W185">
        <f>IF(OR(T185="",Setup!$B$9=""),0,IF(V185=0,T185/COUNTIF(Setup!$B$9:$B$20,"?*"),T185*AI185/V185))</f>
        <v/>
      </c>
      <c r="X185">
        <f>IF(OR(T185="",Setup!$B$10=""),0,IF(V185=0,T185/COUNTIF(Setup!$B$9:$B$20,"?*"),T185*AJ185/V185))</f>
        <v/>
      </c>
      <c r="Y185">
        <f>IF(OR(T185="",Setup!$B$11=""),0,IF(V185=0,T185/COUNTIF(Setup!$B$9:$B$20,"?*"),T185*AK185/V185))</f>
        <v/>
      </c>
      <c r="Z185">
        <f>IF(OR(T185="",Setup!$B$12=""),0,IF(V185=0,T185/COUNTIF(Setup!$B$9:$B$20,"?*"),T185*AL185/V185))</f>
        <v/>
      </c>
      <c r="AA185">
        <f>IF(OR(T185="",Setup!$B$13=""),0,IF(V185=0,T185/COUNTIF(Setup!$B$9:$B$20,"?*"),T185*AM185/V185))</f>
        <v/>
      </c>
      <c r="AB185">
        <f>IF(OR(T185="",Setup!$B$14=""),0,IF(V185=0,T185/COUNTIF(Setup!$B$9:$B$20,"?*"),T185*AN185/V185))</f>
        <v/>
      </c>
      <c r="AC185">
        <f>IF(OR(T185="",Setup!$B$15=""),0,IF(V185=0,T185/COUNTIF(Setup!$B$9:$B$20,"?*"),T185*AO185/V185))</f>
        <v/>
      </c>
      <c r="AD185">
        <f>IF(OR(T185="",Setup!$B$16=""),0,IF(V185=0,T185/COUNTIF(Setup!$B$9:$B$20,"?*"),T185*AP185/V185))</f>
        <v/>
      </c>
      <c r="AE185">
        <f>IF(OR(T185="",Setup!$B$17=""),0,IF(V185=0,T185/COUNTIF(Setup!$B$9:$B$20,"?*"),T185*AQ185/V185))</f>
        <v/>
      </c>
      <c r="AF185">
        <f>IF(OR(T185="",Setup!$B$18=""),0,IF(V185=0,T185/COUNTIF(Setup!$B$9:$B$20,"?*"),T185*AR185/V185))</f>
        <v/>
      </c>
      <c r="AG185">
        <f>IF(OR(T185="",Setup!$B$19=""),0,IF(V185=0,T185/COUNTIF(Setup!$B$9:$B$20,"?*"),T185*AS185/V185))</f>
        <v/>
      </c>
      <c r="AH185">
        <f>IF(OR(T185="",Setup!$B$20=""),0,IF(V185=0,T185/COUNTIF(Setup!$B$9:$B$20,"?*"),T185*AT185/V185))</f>
        <v/>
      </c>
      <c r="AI185">
        <f>IF(Setup!$B$9="",0,IF(H185="",0,IF(ISNUMBER(H185),H185,1)))</f>
        <v/>
      </c>
      <c r="AJ185">
        <f>IF(Setup!$B$10="",0,IF(I185="",0,IF(ISNUMBER(I185),I185,1)))</f>
        <v/>
      </c>
      <c r="AK185">
        <f>IF(Setup!$B$11="",0,IF(J185="",0,IF(ISNUMBER(J185),J185,1)))</f>
        <v/>
      </c>
      <c r="AL185">
        <f>IF(Setup!$B$12="",0,IF(K185="",0,IF(ISNUMBER(K185),K185,1)))</f>
        <v/>
      </c>
      <c r="AM185">
        <f>IF(Setup!$B$13="",0,IF(L185="",0,IF(ISNUMBER(L185),L185,1)))</f>
        <v/>
      </c>
      <c r="AN185">
        <f>IF(Setup!$B$14="",0,IF(M185="",0,IF(ISNUMBER(M185),M185,1)))</f>
        <v/>
      </c>
      <c r="AO185">
        <f>IF(Setup!$B$15="",0,IF(N185="",0,IF(ISNUMBER(N185),N185,1)))</f>
        <v/>
      </c>
      <c r="AP185">
        <f>IF(Setup!$B$16="",0,IF(O185="",0,IF(ISNUMBER(O185),O185,1)))</f>
        <v/>
      </c>
      <c r="AQ185">
        <f>IF(Setup!$B$17="",0,IF(P185="",0,IF(ISNUMBER(P185),P185,1)))</f>
        <v/>
      </c>
      <c r="AR185">
        <f>IF(Setup!$B$18="",0,IF(Q185="",0,IF(ISNUMBER(Q185),Q185,1)))</f>
        <v/>
      </c>
      <c r="AS185">
        <f>IF(Setup!$B$19="",0,IF(R185="",0,IF(ISNUMBER(R185),R185,1)))</f>
        <v/>
      </c>
      <c r="AT185">
        <f>IF(Setup!$B$20="",0,IF(S185="",0,IF(ISNUMBER(S185),S185,1)))</f>
        <v/>
      </c>
    </row>
    <row r="186">
      <c r="A186" s="1" t="n"/>
      <c r="B186" s="24" t="n"/>
      <c r="C186" s="25" t="n"/>
      <c r="D186" s="25" t="n"/>
      <c r="E186" s="26" t="n"/>
      <c r="F186" s="27" t="n"/>
      <c r="G186" s="17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28" t="n"/>
      <c r="R186" s="28" t="n"/>
      <c r="S186" s="28" t="n"/>
      <c r="T186" s="29">
        <f>IF(N(E186)=0,"",E186*IF(F186="",1,IFERROR(INDEX(Setup!$E$9:$E$18,MATCH(F186,Setup!$D$9:$D$18,0)),0)))</f>
        <v/>
      </c>
      <c r="U186" s="30">
        <f>IF(T186="","",IF(V186=0,"Everyone",IF(COUNTIF(AI186:AT186,"&gt;0")=COUNTIF(Setup!$B$9:$B$20,"?*"),"Everyone",COUNTIF(AI186:AT186,"&gt;0")&amp;IF(COUNTIF(AI186:AT186,"&gt;0")=1," person"," people"))))</f>
        <v/>
      </c>
      <c r="V186" s="1">
        <f>SUM(AI186:AT186)</f>
        <v/>
      </c>
      <c r="W186">
        <f>IF(OR(T186="",Setup!$B$9=""),0,IF(V186=0,T186/COUNTIF(Setup!$B$9:$B$20,"?*"),T186*AI186/V186))</f>
        <v/>
      </c>
      <c r="X186">
        <f>IF(OR(T186="",Setup!$B$10=""),0,IF(V186=0,T186/COUNTIF(Setup!$B$9:$B$20,"?*"),T186*AJ186/V186))</f>
        <v/>
      </c>
      <c r="Y186">
        <f>IF(OR(T186="",Setup!$B$11=""),0,IF(V186=0,T186/COUNTIF(Setup!$B$9:$B$20,"?*"),T186*AK186/V186))</f>
        <v/>
      </c>
      <c r="Z186">
        <f>IF(OR(T186="",Setup!$B$12=""),0,IF(V186=0,T186/COUNTIF(Setup!$B$9:$B$20,"?*"),T186*AL186/V186))</f>
        <v/>
      </c>
      <c r="AA186">
        <f>IF(OR(T186="",Setup!$B$13=""),0,IF(V186=0,T186/COUNTIF(Setup!$B$9:$B$20,"?*"),T186*AM186/V186))</f>
        <v/>
      </c>
      <c r="AB186">
        <f>IF(OR(T186="",Setup!$B$14=""),0,IF(V186=0,T186/COUNTIF(Setup!$B$9:$B$20,"?*"),T186*AN186/V186))</f>
        <v/>
      </c>
      <c r="AC186">
        <f>IF(OR(T186="",Setup!$B$15=""),0,IF(V186=0,T186/COUNTIF(Setup!$B$9:$B$20,"?*"),T186*AO186/V186))</f>
        <v/>
      </c>
      <c r="AD186">
        <f>IF(OR(T186="",Setup!$B$16=""),0,IF(V186=0,T186/COUNTIF(Setup!$B$9:$B$20,"?*"),T186*AP186/V186))</f>
        <v/>
      </c>
      <c r="AE186">
        <f>IF(OR(T186="",Setup!$B$17=""),0,IF(V186=0,T186/COUNTIF(Setup!$B$9:$B$20,"?*"),T186*AQ186/V186))</f>
        <v/>
      </c>
      <c r="AF186">
        <f>IF(OR(T186="",Setup!$B$18=""),0,IF(V186=0,T186/COUNTIF(Setup!$B$9:$B$20,"?*"),T186*AR186/V186))</f>
        <v/>
      </c>
      <c r="AG186">
        <f>IF(OR(T186="",Setup!$B$19=""),0,IF(V186=0,T186/COUNTIF(Setup!$B$9:$B$20,"?*"),T186*AS186/V186))</f>
        <v/>
      </c>
      <c r="AH186">
        <f>IF(OR(T186="",Setup!$B$20=""),0,IF(V186=0,T186/COUNTIF(Setup!$B$9:$B$20,"?*"),T186*AT186/V186))</f>
        <v/>
      </c>
      <c r="AI186">
        <f>IF(Setup!$B$9="",0,IF(H186="",0,IF(ISNUMBER(H186),H186,1)))</f>
        <v/>
      </c>
      <c r="AJ186">
        <f>IF(Setup!$B$10="",0,IF(I186="",0,IF(ISNUMBER(I186),I186,1)))</f>
        <v/>
      </c>
      <c r="AK186">
        <f>IF(Setup!$B$11="",0,IF(J186="",0,IF(ISNUMBER(J186),J186,1)))</f>
        <v/>
      </c>
      <c r="AL186">
        <f>IF(Setup!$B$12="",0,IF(K186="",0,IF(ISNUMBER(K186),K186,1)))</f>
        <v/>
      </c>
      <c r="AM186">
        <f>IF(Setup!$B$13="",0,IF(L186="",0,IF(ISNUMBER(L186),L186,1)))</f>
        <v/>
      </c>
      <c r="AN186">
        <f>IF(Setup!$B$14="",0,IF(M186="",0,IF(ISNUMBER(M186),M186,1)))</f>
        <v/>
      </c>
      <c r="AO186">
        <f>IF(Setup!$B$15="",0,IF(N186="",0,IF(ISNUMBER(N186),N186,1)))</f>
        <v/>
      </c>
      <c r="AP186">
        <f>IF(Setup!$B$16="",0,IF(O186="",0,IF(ISNUMBER(O186),O186,1)))</f>
        <v/>
      </c>
      <c r="AQ186">
        <f>IF(Setup!$B$17="",0,IF(P186="",0,IF(ISNUMBER(P186),P186,1)))</f>
        <v/>
      </c>
      <c r="AR186">
        <f>IF(Setup!$B$18="",0,IF(Q186="",0,IF(ISNUMBER(Q186),Q186,1)))</f>
        <v/>
      </c>
      <c r="AS186">
        <f>IF(Setup!$B$19="",0,IF(R186="",0,IF(ISNUMBER(R186),R186,1)))</f>
        <v/>
      </c>
      <c r="AT186">
        <f>IF(Setup!$B$20="",0,IF(S186="",0,IF(ISNUMBER(S186),S186,1)))</f>
        <v/>
      </c>
    </row>
    <row r="187">
      <c r="A187" s="1" t="n"/>
      <c r="B187" s="24" t="n"/>
      <c r="C187" s="25" t="n"/>
      <c r="D187" s="25" t="n"/>
      <c r="E187" s="26" t="n"/>
      <c r="F187" s="27" t="n"/>
      <c r="G187" s="17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28" t="n"/>
      <c r="R187" s="28" t="n"/>
      <c r="S187" s="28" t="n"/>
      <c r="T187" s="29">
        <f>IF(N(E187)=0,"",E187*IF(F187="",1,IFERROR(INDEX(Setup!$E$9:$E$18,MATCH(F187,Setup!$D$9:$D$18,0)),0)))</f>
        <v/>
      </c>
      <c r="U187" s="30">
        <f>IF(T187="","",IF(V187=0,"Everyone",IF(COUNTIF(AI187:AT187,"&gt;0")=COUNTIF(Setup!$B$9:$B$20,"?*"),"Everyone",COUNTIF(AI187:AT187,"&gt;0")&amp;IF(COUNTIF(AI187:AT187,"&gt;0")=1," person"," people"))))</f>
        <v/>
      </c>
      <c r="V187" s="1">
        <f>SUM(AI187:AT187)</f>
        <v/>
      </c>
      <c r="W187">
        <f>IF(OR(T187="",Setup!$B$9=""),0,IF(V187=0,T187/COUNTIF(Setup!$B$9:$B$20,"?*"),T187*AI187/V187))</f>
        <v/>
      </c>
      <c r="X187">
        <f>IF(OR(T187="",Setup!$B$10=""),0,IF(V187=0,T187/COUNTIF(Setup!$B$9:$B$20,"?*"),T187*AJ187/V187))</f>
        <v/>
      </c>
      <c r="Y187">
        <f>IF(OR(T187="",Setup!$B$11=""),0,IF(V187=0,T187/COUNTIF(Setup!$B$9:$B$20,"?*"),T187*AK187/V187))</f>
        <v/>
      </c>
      <c r="Z187">
        <f>IF(OR(T187="",Setup!$B$12=""),0,IF(V187=0,T187/COUNTIF(Setup!$B$9:$B$20,"?*"),T187*AL187/V187))</f>
        <v/>
      </c>
      <c r="AA187">
        <f>IF(OR(T187="",Setup!$B$13=""),0,IF(V187=0,T187/COUNTIF(Setup!$B$9:$B$20,"?*"),T187*AM187/V187))</f>
        <v/>
      </c>
      <c r="AB187">
        <f>IF(OR(T187="",Setup!$B$14=""),0,IF(V187=0,T187/COUNTIF(Setup!$B$9:$B$20,"?*"),T187*AN187/V187))</f>
        <v/>
      </c>
      <c r="AC187">
        <f>IF(OR(T187="",Setup!$B$15=""),0,IF(V187=0,T187/COUNTIF(Setup!$B$9:$B$20,"?*"),T187*AO187/V187))</f>
        <v/>
      </c>
      <c r="AD187">
        <f>IF(OR(T187="",Setup!$B$16=""),0,IF(V187=0,T187/COUNTIF(Setup!$B$9:$B$20,"?*"),T187*AP187/V187))</f>
        <v/>
      </c>
      <c r="AE187">
        <f>IF(OR(T187="",Setup!$B$17=""),0,IF(V187=0,T187/COUNTIF(Setup!$B$9:$B$20,"?*"),T187*AQ187/V187))</f>
        <v/>
      </c>
      <c r="AF187">
        <f>IF(OR(T187="",Setup!$B$18=""),0,IF(V187=0,T187/COUNTIF(Setup!$B$9:$B$20,"?*"),T187*AR187/V187))</f>
        <v/>
      </c>
      <c r="AG187">
        <f>IF(OR(T187="",Setup!$B$19=""),0,IF(V187=0,T187/COUNTIF(Setup!$B$9:$B$20,"?*"),T187*AS187/V187))</f>
        <v/>
      </c>
      <c r="AH187">
        <f>IF(OR(T187="",Setup!$B$20=""),0,IF(V187=0,T187/COUNTIF(Setup!$B$9:$B$20,"?*"),T187*AT187/V187))</f>
        <v/>
      </c>
      <c r="AI187">
        <f>IF(Setup!$B$9="",0,IF(H187="",0,IF(ISNUMBER(H187),H187,1)))</f>
        <v/>
      </c>
      <c r="AJ187">
        <f>IF(Setup!$B$10="",0,IF(I187="",0,IF(ISNUMBER(I187),I187,1)))</f>
        <v/>
      </c>
      <c r="AK187">
        <f>IF(Setup!$B$11="",0,IF(J187="",0,IF(ISNUMBER(J187),J187,1)))</f>
        <v/>
      </c>
      <c r="AL187">
        <f>IF(Setup!$B$12="",0,IF(K187="",0,IF(ISNUMBER(K187),K187,1)))</f>
        <v/>
      </c>
      <c r="AM187">
        <f>IF(Setup!$B$13="",0,IF(L187="",0,IF(ISNUMBER(L187),L187,1)))</f>
        <v/>
      </c>
      <c r="AN187">
        <f>IF(Setup!$B$14="",0,IF(M187="",0,IF(ISNUMBER(M187),M187,1)))</f>
        <v/>
      </c>
      <c r="AO187">
        <f>IF(Setup!$B$15="",0,IF(N187="",0,IF(ISNUMBER(N187),N187,1)))</f>
        <v/>
      </c>
      <c r="AP187">
        <f>IF(Setup!$B$16="",0,IF(O187="",0,IF(ISNUMBER(O187),O187,1)))</f>
        <v/>
      </c>
      <c r="AQ187">
        <f>IF(Setup!$B$17="",0,IF(P187="",0,IF(ISNUMBER(P187),P187,1)))</f>
        <v/>
      </c>
      <c r="AR187">
        <f>IF(Setup!$B$18="",0,IF(Q187="",0,IF(ISNUMBER(Q187),Q187,1)))</f>
        <v/>
      </c>
      <c r="AS187">
        <f>IF(Setup!$B$19="",0,IF(R187="",0,IF(ISNUMBER(R187),R187,1)))</f>
        <v/>
      </c>
      <c r="AT187">
        <f>IF(Setup!$B$20="",0,IF(S187="",0,IF(ISNUMBER(S187),S187,1)))</f>
        <v/>
      </c>
    </row>
    <row r="188">
      <c r="A188" s="1" t="n"/>
      <c r="B188" s="24" t="n"/>
      <c r="C188" s="25" t="n"/>
      <c r="D188" s="25" t="n"/>
      <c r="E188" s="26" t="n"/>
      <c r="F188" s="27" t="n"/>
      <c r="G188" s="17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28" t="n"/>
      <c r="R188" s="28" t="n"/>
      <c r="S188" s="28" t="n"/>
      <c r="T188" s="29">
        <f>IF(N(E188)=0,"",E188*IF(F188="",1,IFERROR(INDEX(Setup!$E$9:$E$18,MATCH(F188,Setup!$D$9:$D$18,0)),0)))</f>
        <v/>
      </c>
      <c r="U188" s="30">
        <f>IF(T188="","",IF(V188=0,"Everyone",IF(COUNTIF(AI188:AT188,"&gt;0")=COUNTIF(Setup!$B$9:$B$20,"?*"),"Everyone",COUNTIF(AI188:AT188,"&gt;0")&amp;IF(COUNTIF(AI188:AT188,"&gt;0")=1," person"," people"))))</f>
        <v/>
      </c>
      <c r="V188" s="1">
        <f>SUM(AI188:AT188)</f>
        <v/>
      </c>
      <c r="W188">
        <f>IF(OR(T188="",Setup!$B$9=""),0,IF(V188=0,T188/COUNTIF(Setup!$B$9:$B$20,"?*"),T188*AI188/V188))</f>
        <v/>
      </c>
      <c r="X188">
        <f>IF(OR(T188="",Setup!$B$10=""),0,IF(V188=0,T188/COUNTIF(Setup!$B$9:$B$20,"?*"),T188*AJ188/V188))</f>
        <v/>
      </c>
      <c r="Y188">
        <f>IF(OR(T188="",Setup!$B$11=""),0,IF(V188=0,T188/COUNTIF(Setup!$B$9:$B$20,"?*"),T188*AK188/V188))</f>
        <v/>
      </c>
      <c r="Z188">
        <f>IF(OR(T188="",Setup!$B$12=""),0,IF(V188=0,T188/COUNTIF(Setup!$B$9:$B$20,"?*"),T188*AL188/V188))</f>
        <v/>
      </c>
      <c r="AA188">
        <f>IF(OR(T188="",Setup!$B$13=""),0,IF(V188=0,T188/COUNTIF(Setup!$B$9:$B$20,"?*"),T188*AM188/V188))</f>
        <v/>
      </c>
      <c r="AB188">
        <f>IF(OR(T188="",Setup!$B$14=""),0,IF(V188=0,T188/COUNTIF(Setup!$B$9:$B$20,"?*"),T188*AN188/V188))</f>
        <v/>
      </c>
      <c r="AC188">
        <f>IF(OR(T188="",Setup!$B$15=""),0,IF(V188=0,T188/COUNTIF(Setup!$B$9:$B$20,"?*"),T188*AO188/V188))</f>
        <v/>
      </c>
      <c r="AD188">
        <f>IF(OR(T188="",Setup!$B$16=""),0,IF(V188=0,T188/COUNTIF(Setup!$B$9:$B$20,"?*"),T188*AP188/V188))</f>
        <v/>
      </c>
      <c r="AE188">
        <f>IF(OR(T188="",Setup!$B$17=""),0,IF(V188=0,T188/COUNTIF(Setup!$B$9:$B$20,"?*"),T188*AQ188/V188))</f>
        <v/>
      </c>
      <c r="AF188">
        <f>IF(OR(T188="",Setup!$B$18=""),0,IF(V188=0,T188/COUNTIF(Setup!$B$9:$B$20,"?*"),T188*AR188/V188))</f>
        <v/>
      </c>
      <c r="AG188">
        <f>IF(OR(T188="",Setup!$B$19=""),0,IF(V188=0,T188/COUNTIF(Setup!$B$9:$B$20,"?*"),T188*AS188/V188))</f>
        <v/>
      </c>
      <c r="AH188">
        <f>IF(OR(T188="",Setup!$B$20=""),0,IF(V188=0,T188/COUNTIF(Setup!$B$9:$B$20,"?*"),T188*AT188/V188))</f>
        <v/>
      </c>
      <c r="AI188">
        <f>IF(Setup!$B$9="",0,IF(H188="",0,IF(ISNUMBER(H188),H188,1)))</f>
        <v/>
      </c>
      <c r="AJ188">
        <f>IF(Setup!$B$10="",0,IF(I188="",0,IF(ISNUMBER(I188),I188,1)))</f>
        <v/>
      </c>
      <c r="AK188">
        <f>IF(Setup!$B$11="",0,IF(J188="",0,IF(ISNUMBER(J188),J188,1)))</f>
        <v/>
      </c>
      <c r="AL188">
        <f>IF(Setup!$B$12="",0,IF(K188="",0,IF(ISNUMBER(K188),K188,1)))</f>
        <v/>
      </c>
      <c r="AM188">
        <f>IF(Setup!$B$13="",0,IF(L188="",0,IF(ISNUMBER(L188),L188,1)))</f>
        <v/>
      </c>
      <c r="AN188">
        <f>IF(Setup!$B$14="",0,IF(M188="",0,IF(ISNUMBER(M188),M188,1)))</f>
        <v/>
      </c>
      <c r="AO188">
        <f>IF(Setup!$B$15="",0,IF(N188="",0,IF(ISNUMBER(N188),N188,1)))</f>
        <v/>
      </c>
      <c r="AP188">
        <f>IF(Setup!$B$16="",0,IF(O188="",0,IF(ISNUMBER(O188),O188,1)))</f>
        <v/>
      </c>
      <c r="AQ188">
        <f>IF(Setup!$B$17="",0,IF(P188="",0,IF(ISNUMBER(P188),P188,1)))</f>
        <v/>
      </c>
      <c r="AR188">
        <f>IF(Setup!$B$18="",0,IF(Q188="",0,IF(ISNUMBER(Q188),Q188,1)))</f>
        <v/>
      </c>
      <c r="AS188">
        <f>IF(Setup!$B$19="",0,IF(R188="",0,IF(ISNUMBER(R188),R188,1)))</f>
        <v/>
      </c>
      <c r="AT188">
        <f>IF(Setup!$B$20="",0,IF(S188="",0,IF(ISNUMBER(S188),S188,1)))</f>
        <v/>
      </c>
    </row>
    <row r="189">
      <c r="A189" s="1" t="n"/>
      <c r="B189" s="24" t="n"/>
      <c r="C189" s="25" t="n"/>
      <c r="D189" s="25" t="n"/>
      <c r="E189" s="26" t="n"/>
      <c r="F189" s="27" t="n"/>
      <c r="G189" s="17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28" t="n"/>
      <c r="R189" s="28" t="n"/>
      <c r="S189" s="28" t="n"/>
      <c r="T189" s="29">
        <f>IF(N(E189)=0,"",E189*IF(F189="",1,IFERROR(INDEX(Setup!$E$9:$E$18,MATCH(F189,Setup!$D$9:$D$18,0)),0)))</f>
        <v/>
      </c>
      <c r="U189" s="30">
        <f>IF(T189="","",IF(V189=0,"Everyone",IF(COUNTIF(AI189:AT189,"&gt;0")=COUNTIF(Setup!$B$9:$B$20,"?*"),"Everyone",COUNTIF(AI189:AT189,"&gt;0")&amp;IF(COUNTIF(AI189:AT189,"&gt;0")=1," person"," people"))))</f>
        <v/>
      </c>
      <c r="V189" s="1">
        <f>SUM(AI189:AT189)</f>
        <v/>
      </c>
      <c r="W189">
        <f>IF(OR(T189="",Setup!$B$9=""),0,IF(V189=0,T189/COUNTIF(Setup!$B$9:$B$20,"?*"),T189*AI189/V189))</f>
        <v/>
      </c>
      <c r="X189">
        <f>IF(OR(T189="",Setup!$B$10=""),0,IF(V189=0,T189/COUNTIF(Setup!$B$9:$B$20,"?*"),T189*AJ189/V189))</f>
        <v/>
      </c>
      <c r="Y189">
        <f>IF(OR(T189="",Setup!$B$11=""),0,IF(V189=0,T189/COUNTIF(Setup!$B$9:$B$20,"?*"),T189*AK189/V189))</f>
        <v/>
      </c>
      <c r="Z189">
        <f>IF(OR(T189="",Setup!$B$12=""),0,IF(V189=0,T189/COUNTIF(Setup!$B$9:$B$20,"?*"),T189*AL189/V189))</f>
        <v/>
      </c>
      <c r="AA189">
        <f>IF(OR(T189="",Setup!$B$13=""),0,IF(V189=0,T189/COUNTIF(Setup!$B$9:$B$20,"?*"),T189*AM189/V189))</f>
        <v/>
      </c>
      <c r="AB189">
        <f>IF(OR(T189="",Setup!$B$14=""),0,IF(V189=0,T189/COUNTIF(Setup!$B$9:$B$20,"?*"),T189*AN189/V189))</f>
        <v/>
      </c>
      <c r="AC189">
        <f>IF(OR(T189="",Setup!$B$15=""),0,IF(V189=0,T189/COUNTIF(Setup!$B$9:$B$20,"?*"),T189*AO189/V189))</f>
        <v/>
      </c>
      <c r="AD189">
        <f>IF(OR(T189="",Setup!$B$16=""),0,IF(V189=0,T189/COUNTIF(Setup!$B$9:$B$20,"?*"),T189*AP189/V189))</f>
        <v/>
      </c>
      <c r="AE189">
        <f>IF(OR(T189="",Setup!$B$17=""),0,IF(V189=0,T189/COUNTIF(Setup!$B$9:$B$20,"?*"),T189*AQ189/V189))</f>
        <v/>
      </c>
      <c r="AF189">
        <f>IF(OR(T189="",Setup!$B$18=""),0,IF(V189=0,T189/COUNTIF(Setup!$B$9:$B$20,"?*"),T189*AR189/V189))</f>
        <v/>
      </c>
      <c r="AG189">
        <f>IF(OR(T189="",Setup!$B$19=""),0,IF(V189=0,T189/COUNTIF(Setup!$B$9:$B$20,"?*"),T189*AS189/V189))</f>
        <v/>
      </c>
      <c r="AH189">
        <f>IF(OR(T189="",Setup!$B$20=""),0,IF(V189=0,T189/COUNTIF(Setup!$B$9:$B$20,"?*"),T189*AT189/V189))</f>
        <v/>
      </c>
      <c r="AI189">
        <f>IF(Setup!$B$9="",0,IF(H189="",0,IF(ISNUMBER(H189),H189,1)))</f>
        <v/>
      </c>
      <c r="AJ189">
        <f>IF(Setup!$B$10="",0,IF(I189="",0,IF(ISNUMBER(I189),I189,1)))</f>
        <v/>
      </c>
      <c r="AK189">
        <f>IF(Setup!$B$11="",0,IF(J189="",0,IF(ISNUMBER(J189),J189,1)))</f>
        <v/>
      </c>
      <c r="AL189">
        <f>IF(Setup!$B$12="",0,IF(K189="",0,IF(ISNUMBER(K189),K189,1)))</f>
        <v/>
      </c>
      <c r="AM189">
        <f>IF(Setup!$B$13="",0,IF(L189="",0,IF(ISNUMBER(L189),L189,1)))</f>
        <v/>
      </c>
      <c r="AN189">
        <f>IF(Setup!$B$14="",0,IF(M189="",0,IF(ISNUMBER(M189),M189,1)))</f>
        <v/>
      </c>
      <c r="AO189">
        <f>IF(Setup!$B$15="",0,IF(N189="",0,IF(ISNUMBER(N189),N189,1)))</f>
        <v/>
      </c>
      <c r="AP189">
        <f>IF(Setup!$B$16="",0,IF(O189="",0,IF(ISNUMBER(O189),O189,1)))</f>
        <v/>
      </c>
      <c r="AQ189">
        <f>IF(Setup!$B$17="",0,IF(P189="",0,IF(ISNUMBER(P189),P189,1)))</f>
        <v/>
      </c>
      <c r="AR189">
        <f>IF(Setup!$B$18="",0,IF(Q189="",0,IF(ISNUMBER(Q189),Q189,1)))</f>
        <v/>
      </c>
      <c r="AS189">
        <f>IF(Setup!$B$19="",0,IF(R189="",0,IF(ISNUMBER(R189),R189,1)))</f>
        <v/>
      </c>
      <c r="AT189">
        <f>IF(Setup!$B$20="",0,IF(S189="",0,IF(ISNUMBER(S189),S189,1)))</f>
        <v/>
      </c>
    </row>
    <row r="190">
      <c r="A190" s="1" t="n"/>
      <c r="B190" s="24" t="n"/>
      <c r="C190" s="25" t="n"/>
      <c r="D190" s="25" t="n"/>
      <c r="E190" s="26" t="n"/>
      <c r="F190" s="27" t="n"/>
      <c r="G190" s="17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28" t="n"/>
      <c r="R190" s="28" t="n"/>
      <c r="S190" s="28" t="n"/>
      <c r="T190" s="29">
        <f>IF(N(E190)=0,"",E190*IF(F190="",1,IFERROR(INDEX(Setup!$E$9:$E$18,MATCH(F190,Setup!$D$9:$D$18,0)),0)))</f>
        <v/>
      </c>
      <c r="U190" s="30">
        <f>IF(T190="","",IF(V190=0,"Everyone",IF(COUNTIF(AI190:AT190,"&gt;0")=COUNTIF(Setup!$B$9:$B$20,"?*"),"Everyone",COUNTIF(AI190:AT190,"&gt;0")&amp;IF(COUNTIF(AI190:AT190,"&gt;0")=1," person"," people"))))</f>
        <v/>
      </c>
      <c r="V190" s="1">
        <f>SUM(AI190:AT190)</f>
        <v/>
      </c>
      <c r="W190">
        <f>IF(OR(T190="",Setup!$B$9=""),0,IF(V190=0,T190/COUNTIF(Setup!$B$9:$B$20,"?*"),T190*AI190/V190))</f>
        <v/>
      </c>
      <c r="X190">
        <f>IF(OR(T190="",Setup!$B$10=""),0,IF(V190=0,T190/COUNTIF(Setup!$B$9:$B$20,"?*"),T190*AJ190/V190))</f>
        <v/>
      </c>
      <c r="Y190">
        <f>IF(OR(T190="",Setup!$B$11=""),0,IF(V190=0,T190/COUNTIF(Setup!$B$9:$B$20,"?*"),T190*AK190/V190))</f>
        <v/>
      </c>
      <c r="Z190">
        <f>IF(OR(T190="",Setup!$B$12=""),0,IF(V190=0,T190/COUNTIF(Setup!$B$9:$B$20,"?*"),T190*AL190/V190))</f>
        <v/>
      </c>
      <c r="AA190">
        <f>IF(OR(T190="",Setup!$B$13=""),0,IF(V190=0,T190/COUNTIF(Setup!$B$9:$B$20,"?*"),T190*AM190/V190))</f>
        <v/>
      </c>
      <c r="AB190">
        <f>IF(OR(T190="",Setup!$B$14=""),0,IF(V190=0,T190/COUNTIF(Setup!$B$9:$B$20,"?*"),T190*AN190/V190))</f>
        <v/>
      </c>
      <c r="AC190">
        <f>IF(OR(T190="",Setup!$B$15=""),0,IF(V190=0,T190/COUNTIF(Setup!$B$9:$B$20,"?*"),T190*AO190/V190))</f>
        <v/>
      </c>
      <c r="AD190">
        <f>IF(OR(T190="",Setup!$B$16=""),0,IF(V190=0,T190/COUNTIF(Setup!$B$9:$B$20,"?*"),T190*AP190/V190))</f>
        <v/>
      </c>
      <c r="AE190">
        <f>IF(OR(T190="",Setup!$B$17=""),0,IF(V190=0,T190/COUNTIF(Setup!$B$9:$B$20,"?*"),T190*AQ190/V190))</f>
        <v/>
      </c>
      <c r="AF190">
        <f>IF(OR(T190="",Setup!$B$18=""),0,IF(V190=0,T190/COUNTIF(Setup!$B$9:$B$20,"?*"),T190*AR190/V190))</f>
        <v/>
      </c>
      <c r="AG190">
        <f>IF(OR(T190="",Setup!$B$19=""),0,IF(V190=0,T190/COUNTIF(Setup!$B$9:$B$20,"?*"),T190*AS190/V190))</f>
        <v/>
      </c>
      <c r="AH190">
        <f>IF(OR(T190="",Setup!$B$20=""),0,IF(V190=0,T190/COUNTIF(Setup!$B$9:$B$20,"?*"),T190*AT190/V190))</f>
        <v/>
      </c>
      <c r="AI190">
        <f>IF(Setup!$B$9="",0,IF(H190="",0,IF(ISNUMBER(H190),H190,1)))</f>
        <v/>
      </c>
      <c r="AJ190">
        <f>IF(Setup!$B$10="",0,IF(I190="",0,IF(ISNUMBER(I190),I190,1)))</f>
        <v/>
      </c>
      <c r="AK190">
        <f>IF(Setup!$B$11="",0,IF(J190="",0,IF(ISNUMBER(J190),J190,1)))</f>
        <v/>
      </c>
      <c r="AL190">
        <f>IF(Setup!$B$12="",0,IF(K190="",0,IF(ISNUMBER(K190),K190,1)))</f>
        <v/>
      </c>
      <c r="AM190">
        <f>IF(Setup!$B$13="",0,IF(L190="",0,IF(ISNUMBER(L190),L190,1)))</f>
        <v/>
      </c>
      <c r="AN190">
        <f>IF(Setup!$B$14="",0,IF(M190="",0,IF(ISNUMBER(M190),M190,1)))</f>
        <v/>
      </c>
      <c r="AO190">
        <f>IF(Setup!$B$15="",0,IF(N190="",0,IF(ISNUMBER(N190),N190,1)))</f>
        <v/>
      </c>
      <c r="AP190">
        <f>IF(Setup!$B$16="",0,IF(O190="",0,IF(ISNUMBER(O190),O190,1)))</f>
        <v/>
      </c>
      <c r="AQ190">
        <f>IF(Setup!$B$17="",0,IF(P190="",0,IF(ISNUMBER(P190),P190,1)))</f>
        <v/>
      </c>
      <c r="AR190">
        <f>IF(Setup!$B$18="",0,IF(Q190="",0,IF(ISNUMBER(Q190),Q190,1)))</f>
        <v/>
      </c>
      <c r="AS190">
        <f>IF(Setup!$B$19="",0,IF(R190="",0,IF(ISNUMBER(R190),R190,1)))</f>
        <v/>
      </c>
      <c r="AT190">
        <f>IF(Setup!$B$20="",0,IF(S190="",0,IF(ISNUMBER(S190),S190,1)))</f>
        <v/>
      </c>
    </row>
    <row r="191">
      <c r="A191" s="1" t="n"/>
      <c r="B191" s="24" t="n"/>
      <c r="C191" s="25" t="n"/>
      <c r="D191" s="25" t="n"/>
      <c r="E191" s="26" t="n"/>
      <c r="F191" s="27" t="n"/>
      <c r="G191" s="17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28" t="n"/>
      <c r="R191" s="28" t="n"/>
      <c r="S191" s="28" t="n"/>
      <c r="T191" s="29">
        <f>IF(N(E191)=0,"",E191*IF(F191="",1,IFERROR(INDEX(Setup!$E$9:$E$18,MATCH(F191,Setup!$D$9:$D$18,0)),0)))</f>
        <v/>
      </c>
      <c r="U191" s="30">
        <f>IF(T191="","",IF(V191=0,"Everyone",IF(COUNTIF(AI191:AT191,"&gt;0")=COUNTIF(Setup!$B$9:$B$20,"?*"),"Everyone",COUNTIF(AI191:AT191,"&gt;0")&amp;IF(COUNTIF(AI191:AT191,"&gt;0")=1," person"," people"))))</f>
        <v/>
      </c>
      <c r="V191" s="1">
        <f>SUM(AI191:AT191)</f>
        <v/>
      </c>
      <c r="W191">
        <f>IF(OR(T191="",Setup!$B$9=""),0,IF(V191=0,T191/COUNTIF(Setup!$B$9:$B$20,"?*"),T191*AI191/V191))</f>
        <v/>
      </c>
      <c r="X191">
        <f>IF(OR(T191="",Setup!$B$10=""),0,IF(V191=0,T191/COUNTIF(Setup!$B$9:$B$20,"?*"),T191*AJ191/V191))</f>
        <v/>
      </c>
      <c r="Y191">
        <f>IF(OR(T191="",Setup!$B$11=""),0,IF(V191=0,T191/COUNTIF(Setup!$B$9:$B$20,"?*"),T191*AK191/V191))</f>
        <v/>
      </c>
      <c r="Z191">
        <f>IF(OR(T191="",Setup!$B$12=""),0,IF(V191=0,T191/COUNTIF(Setup!$B$9:$B$20,"?*"),T191*AL191/V191))</f>
        <v/>
      </c>
      <c r="AA191">
        <f>IF(OR(T191="",Setup!$B$13=""),0,IF(V191=0,T191/COUNTIF(Setup!$B$9:$B$20,"?*"),T191*AM191/V191))</f>
        <v/>
      </c>
      <c r="AB191">
        <f>IF(OR(T191="",Setup!$B$14=""),0,IF(V191=0,T191/COUNTIF(Setup!$B$9:$B$20,"?*"),T191*AN191/V191))</f>
        <v/>
      </c>
      <c r="AC191">
        <f>IF(OR(T191="",Setup!$B$15=""),0,IF(V191=0,T191/COUNTIF(Setup!$B$9:$B$20,"?*"),T191*AO191/V191))</f>
        <v/>
      </c>
      <c r="AD191">
        <f>IF(OR(T191="",Setup!$B$16=""),0,IF(V191=0,T191/COUNTIF(Setup!$B$9:$B$20,"?*"),T191*AP191/V191))</f>
        <v/>
      </c>
      <c r="AE191">
        <f>IF(OR(T191="",Setup!$B$17=""),0,IF(V191=0,T191/COUNTIF(Setup!$B$9:$B$20,"?*"),T191*AQ191/V191))</f>
        <v/>
      </c>
      <c r="AF191">
        <f>IF(OR(T191="",Setup!$B$18=""),0,IF(V191=0,T191/COUNTIF(Setup!$B$9:$B$20,"?*"),T191*AR191/V191))</f>
        <v/>
      </c>
      <c r="AG191">
        <f>IF(OR(T191="",Setup!$B$19=""),0,IF(V191=0,T191/COUNTIF(Setup!$B$9:$B$20,"?*"),T191*AS191/V191))</f>
        <v/>
      </c>
      <c r="AH191">
        <f>IF(OR(T191="",Setup!$B$20=""),0,IF(V191=0,T191/COUNTIF(Setup!$B$9:$B$20,"?*"),T191*AT191/V191))</f>
        <v/>
      </c>
      <c r="AI191">
        <f>IF(Setup!$B$9="",0,IF(H191="",0,IF(ISNUMBER(H191),H191,1)))</f>
        <v/>
      </c>
      <c r="AJ191">
        <f>IF(Setup!$B$10="",0,IF(I191="",0,IF(ISNUMBER(I191),I191,1)))</f>
        <v/>
      </c>
      <c r="AK191">
        <f>IF(Setup!$B$11="",0,IF(J191="",0,IF(ISNUMBER(J191),J191,1)))</f>
        <v/>
      </c>
      <c r="AL191">
        <f>IF(Setup!$B$12="",0,IF(K191="",0,IF(ISNUMBER(K191),K191,1)))</f>
        <v/>
      </c>
      <c r="AM191">
        <f>IF(Setup!$B$13="",0,IF(L191="",0,IF(ISNUMBER(L191),L191,1)))</f>
        <v/>
      </c>
      <c r="AN191">
        <f>IF(Setup!$B$14="",0,IF(M191="",0,IF(ISNUMBER(M191),M191,1)))</f>
        <v/>
      </c>
      <c r="AO191">
        <f>IF(Setup!$B$15="",0,IF(N191="",0,IF(ISNUMBER(N191),N191,1)))</f>
        <v/>
      </c>
      <c r="AP191">
        <f>IF(Setup!$B$16="",0,IF(O191="",0,IF(ISNUMBER(O191),O191,1)))</f>
        <v/>
      </c>
      <c r="AQ191">
        <f>IF(Setup!$B$17="",0,IF(P191="",0,IF(ISNUMBER(P191),P191,1)))</f>
        <v/>
      </c>
      <c r="AR191">
        <f>IF(Setup!$B$18="",0,IF(Q191="",0,IF(ISNUMBER(Q191),Q191,1)))</f>
        <v/>
      </c>
      <c r="AS191">
        <f>IF(Setup!$B$19="",0,IF(R191="",0,IF(ISNUMBER(R191),R191,1)))</f>
        <v/>
      </c>
      <c r="AT191">
        <f>IF(Setup!$B$20="",0,IF(S191="",0,IF(ISNUMBER(S191),S191,1)))</f>
        <v/>
      </c>
    </row>
    <row r="192">
      <c r="A192" s="1" t="n"/>
      <c r="B192" s="24" t="n"/>
      <c r="C192" s="25" t="n"/>
      <c r="D192" s="25" t="n"/>
      <c r="E192" s="26" t="n"/>
      <c r="F192" s="27" t="n"/>
      <c r="G192" s="17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28" t="n"/>
      <c r="R192" s="28" t="n"/>
      <c r="S192" s="28" t="n"/>
      <c r="T192" s="29">
        <f>IF(N(E192)=0,"",E192*IF(F192="",1,IFERROR(INDEX(Setup!$E$9:$E$18,MATCH(F192,Setup!$D$9:$D$18,0)),0)))</f>
        <v/>
      </c>
      <c r="U192" s="30">
        <f>IF(T192="","",IF(V192=0,"Everyone",IF(COUNTIF(AI192:AT192,"&gt;0")=COUNTIF(Setup!$B$9:$B$20,"?*"),"Everyone",COUNTIF(AI192:AT192,"&gt;0")&amp;IF(COUNTIF(AI192:AT192,"&gt;0")=1," person"," people"))))</f>
        <v/>
      </c>
      <c r="V192" s="1">
        <f>SUM(AI192:AT192)</f>
        <v/>
      </c>
      <c r="W192">
        <f>IF(OR(T192="",Setup!$B$9=""),0,IF(V192=0,T192/COUNTIF(Setup!$B$9:$B$20,"?*"),T192*AI192/V192))</f>
        <v/>
      </c>
      <c r="X192">
        <f>IF(OR(T192="",Setup!$B$10=""),0,IF(V192=0,T192/COUNTIF(Setup!$B$9:$B$20,"?*"),T192*AJ192/V192))</f>
        <v/>
      </c>
      <c r="Y192">
        <f>IF(OR(T192="",Setup!$B$11=""),0,IF(V192=0,T192/COUNTIF(Setup!$B$9:$B$20,"?*"),T192*AK192/V192))</f>
        <v/>
      </c>
      <c r="Z192">
        <f>IF(OR(T192="",Setup!$B$12=""),0,IF(V192=0,T192/COUNTIF(Setup!$B$9:$B$20,"?*"),T192*AL192/V192))</f>
        <v/>
      </c>
      <c r="AA192">
        <f>IF(OR(T192="",Setup!$B$13=""),0,IF(V192=0,T192/COUNTIF(Setup!$B$9:$B$20,"?*"),T192*AM192/V192))</f>
        <v/>
      </c>
      <c r="AB192">
        <f>IF(OR(T192="",Setup!$B$14=""),0,IF(V192=0,T192/COUNTIF(Setup!$B$9:$B$20,"?*"),T192*AN192/V192))</f>
        <v/>
      </c>
      <c r="AC192">
        <f>IF(OR(T192="",Setup!$B$15=""),0,IF(V192=0,T192/COUNTIF(Setup!$B$9:$B$20,"?*"),T192*AO192/V192))</f>
        <v/>
      </c>
      <c r="AD192">
        <f>IF(OR(T192="",Setup!$B$16=""),0,IF(V192=0,T192/COUNTIF(Setup!$B$9:$B$20,"?*"),T192*AP192/V192))</f>
        <v/>
      </c>
      <c r="AE192">
        <f>IF(OR(T192="",Setup!$B$17=""),0,IF(V192=0,T192/COUNTIF(Setup!$B$9:$B$20,"?*"),T192*AQ192/V192))</f>
        <v/>
      </c>
      <c r="AF192">
        <f>IF(OR(T192="",Setup!$B$18=""),0,IF(V192=0,T192/COUNTIF(Setup!$B$9:$B$20,"?*"),T192*AR192/V192))</f>
        <v/>
      </c>
      <c r="AG192">
        <f>IF(OR(T192="",Setup!$B$19=""),0,IF(V192=0,T192/COUNTIF(Setup!$B$9:$B$20,"?*"),T192*AS192/V192))</f>
        <v/>
      </c>
      <c r="AH192">
        <f>IF(OR(T192="",Setup!$B$20=""),0,IF(V192=0,T192/COUNTIF(Setup!$B$9:$B$20,"?*"),T192*AT192/V192))</f>
        <v/>
      </c>
      <c r="AI192">
        <f>IF(Setup!$B$9="",0,IF(H192="",0,IF(ISNUMBER(H192),H192,1)))</f>
        <v/>
      </c>
      <c r="AJ192">
        <f>IF(Setup!$B$10="",0,IF(I192="",0,IF(ISNUMBER(I192),I192,1)))</f>
        <v/>
      </c>
      <c r="AK192">
        <f>IF(Setup!$B$11="",0,IF(J192="",0,IF(ISNUMBER(J192),J192,1)))</f>
        <v/>
      </c>
      <c r="AL192">
        <f>IF(Setup!$B$12="",0,IF(K192="",0,IF(ISNUMBER(K192),K192,1)))</f>
        <v/>
      </c>
      <c r="AM192">
        <f>IF(Setup!$B$13="",0,IF(L192="",0,IF(ISNUMBER(L192),L192,1)))</f>
        <v/>
      </c>
      <c r="AN192">
        <f>IF(Setup!$B$14="",0,IF(M192="",0,IF(ISNUMBER(M192),M192,1)))</f>
        <v/>
      </c>
      <c r="AO192">
        <f>IF(Setup!$B$15="",0,IF(N192="",0,IF(ISNUMBER(N192),N192,1)))</f>
        <v/>
      </c>
      <c r="AP192">
        <f>IF(Setup!$B$16="",0,IF(O192="",0,IF(ISNUMBER(O192),O192,1)))</f>
        <v/>
      </c>
      <c r="AQ192">
        <f>IF(Setup!$B$17="",0,IF(P192="",0,IF(ISNUMBER(P192),P192,1)))</f>
        <v/>
      </c>
      <c r="AR192">
        <f>IF(Setup!$B$18="",0,IF(Q192="",0,IF(ISNUMBER(Q192),Q192,1)))</f>
        <v/>
      </c>
      <c r="AS192">
        <f>IF(Setup!$B$19="",0,IF(R192="",0,IF(ISNUMBER(R192),R192,1)))</f>
        <v/>
      </c>
      <c r="AT192">
        <f>IF(Setup!$B$20="",0,IF(S192="",0,IF(ISNUMBER(S192),S192,1)))</f>
        <v/>
      </c>
    </row>
    <row r="193">
      <c r="A193" s="1" t="n"/>
      <c r="B193" s="24" t="n"/>
      <c r="C193" s="25" t="n"/>
      <c r="D193" s="25" t="n"/>
      <c r="E193" s="26" t="n"/>
      <c r="F193" s="27" t="n"/>
      <c r="G193" s="17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28" t="n"/>
      <c r="R193" s="28" t="n"/>
      <c r="S193" s="28" t="n"/>
      <c r="T193" s="29">
        <f>IF(N(E193)=0,"",E193*IF(F193="",1,IFERROR(INDEX(Setup!$E$9:$E$18,MATCH(F193,Setup!$D$9:$D$18,0)),0)))</f>
        <v/>
      </c>
      <c r="U193" s="30">
        <f>IF(T193="","",IF(V193=0,"Everyone",IF(COUNTIF(AI193:AT193,"&gt;0")=COUNTIF(Setup!$B$9:$B$20,"?*"),"Everyone",COUNTIF(AI193:AT193,"&gt;0")&amp;IF(COUNTIF(AI193:AT193,"&gt;0")=1," person"," people"))))</f>
        <v/>
      </c>
      <c r="V193" s="1">
        <f>SUM(AI193:AT193)</f>
        <v/>
      </c>
      <c r="W193">
        <f>IF(OR(T193="",Setup!$B$9=""),0,IF(V193=0,T193/COUNTIF(Setup!$B$9:$B$20,"?*"),T193*AI193/V193))</f>
        <v/>
      </c>
      <c r="X193">
        <f>IF(OR(T193="",Setup!$B$10=""),0,IF(V193=0,T193/COUNTIF(Setup!$B$9:$B$20,"?*"),T193*AJ193/V193))</f>
        <v/>
      </c>
      <c r="Y193">
        <f>IF(OR(T193="",Setup!$B$11=""),0,IF(V193=0,T193/COUNTIF(Setup!$B$9:$B$20,"?*"),T193*AK193/V193))</f>
        <v/>
      </c>
      <c r="Z193">
        <f>IF(OR(T193="",Setup!$B$12=""),0,IF(V193=0,T193/COUNTIF(Setup!$B$9:$B$20,"?*"),T193*AL193/V193))</f>
        <v/>
      </c>
      <c r="AA193">
        <f>IF(OR(T193="",Setup!$B$13=""),0,IF(V193=0,T193/COUNTIF(Setup!$B$9:$B$20,"?*"),T193*AM193/V193))</f>
        <v/>
      </c>
      <c r="AB193">
        <f>IF(OR(T193="",Setup!$B$14=""),0,IF(V193=0,T193/COUNTIF(Setup!$B$9:$B$20,"?*"),T193*AN193/V193))</f>
        <v/>
      </c>
      <c r="AC193">
        <f>IF(OR(T193="",Setup!$B$15=""),0,IF(V193=0,T193/COUNTIF(Setup!$B$9:$B$20,"?*"),T193*AO193/V193))</f>
        <v/>
      </c>
      <c r="AD193">
        <f>IF(OR(T193="",Setup!$B$16=""),0,IF(V193=0,T193/COUNTIF(Setup!$B$9:$B$20,"?*"),T193*AP193/V193))</f>
        <v/>
      </c>
      <c r="AE193">
        <f>IF(OR(T193="",Setup!$B$17=""),0,IF(V193=0,T193/COUNTIF(Setup!$B$9:$B$20,"?*"),T193*AQ193/V193))</f>
        <v/>
      </c>
      <c r="AF193">
        <f>IF(OR(T193="",Setup!$B$18=""),0,IF(V193=0,T193/COUNTIF(Setup!$B$9:$B$20,"?*"),T193*AR193/V193))</f>
        <v/>
      </c>
      <c r="AG193">
        <f>IF(OR(T193="",Setup!$B$19=""),0,IF(V193=0,T193/COUNTIF(Setup!$B$9:$B$20,"?*"),T193*AS193/V193))</f>
        <v/>
      </c>
      <c r="AH193">
        <f>IF(OR(T193="",Setup!$B$20=""),0,IF(V193=0,T193/COUNTIF(Setup!$B$9:$B$20,"?*"),T193*AT193/V193))</f>
        <v/>
      </c>
      <c r="AI193">
        <f>IF(Setup!$B$9="",0,IF(H193="",0,IF(ISNUMBER(H193),H193,1)))</f>
        <v/>
      </c>
      <c r="AJ193">
        <f>IF(Setup!$B$10="",0,IF(I193="",0,IF(ISNUMBER(I193),I193,1)))</f>
        <v/>
      </c>
      <c r="AK193">
        <f>IF(Setup!$B$11="",0,IF(J193="",0,IF(ISNUMBER(J193),J193,1)))</f>
        <v/>
      </c>
      <c r="AL193">
        <f>IF(Setup!$B$12="",0,IF(K193="",0,IF(ISNUMBER(K193),K193,1)))</f>
        <v/>
      </c>
      <c r="AM193">
        <f>IF(Setup!$B$13="",0,IF(L193="",0,IF(ISNUMBER(L193),L193,1)))</f>
        <v/>
      </c>
      <c r="AN193">
        <f>IF(Setup!$B$14="",0,IF(M193="",0,IF(ISNUMBER(M193),M193,1)))</f>
        <v/>
      </c>
      <c r="AO193">
        <f>IF(Setup!$B$15="",0,IF(N193="",0,IF(ISNUMBER(N193),N193,1)))</f>
        <v/>
      </c>
      <c r="AP193">
        <f>IF(Setup!$B$16="",0,IF(O193="",0,IF(ISNUMBER(O193),O193,1)))</f>
        <v/>
      </c>
      <c r="AQ193">
        <f>IF(Setup!$B$17="",0,IF(P193="",0,IF(ISNUMBER(P193),P193,1)))</f>
        <v/>
      </c>
      <c r="AR193">
        <f>IF(Setup!$B$18="",0,IF(Q193="",0,IF(ISNUMBER(Q193),Q193,1)))</f>
        <v/>
      </c>
      <c r="AS193">
        <f>IF(Setup!$B$19="",0,IF(R193="",0,IF(ISNUMBER(R193),R193,1)))</f>
        <v/>
      </c>
      <c r="AT193">
        <f>IF(Setup!$B$20="",0,IF(S193="",0,IF(ISNUMBER(S193),S193,1)))</f>
        <v/>
      </c>
    </row>
    <row r="194">
      <c r="A194" s="1" t="n"/>
      <c r="B194" s="24" t="n"/>
      <c r="C194" s="25" t="n"/>
      <c r="D194" s="25" t="n"/>
      <c r="E194" s="26" t="n"/>
      <c r="F194" s="27" t="n"/>
      <c r="G194" s="17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28" t="n"/>
      <c r="R194" s="28" t="n"/>
      <c r="S194" s="28" t="n"/>
      <c r="T194" s="29">
        <f>IF(N(E194)=0,"",E194*IF(F194="",1,IFERROR(INDEX(Setup!$E$9:$E$18,MATCH(F194,Setup!$D$9:$D$18,0)),0)))</f>
        <v/>
      </c>
      <c r="U194" s="30">
        <f>IF(T194="","",IF(V194=0,"Everyone",IF(COUNTIF(AI194:AT194,"&gt;0")=COUNTIF(Setup!$B$9:$B$20,"?*"),"Everyone",COUNTIF(AI194:AT194,"&gt;0")&amp;IF(COUNTIF(AI194:AT194,"&gt;0")=1," person"," people"))))</f>
        <v/>
      </c>
      <c r="V194" s="1">
        <f>SUM(AI194:AT194)</f>
        <v/>
      </c>
      <c r="W194">
        <f>IF(OR(T194="",Setup!$B$9=""),0,IF(V194=0,T194/COUNTIF(Setup!$B$9:$B$20,"?*"),T194*AI194/V194))</f>
        <v/>
      </c>
      <c r="X194">
        <f>IF(OR(T194="",Setup!$B$10=""),0,IF(V194=0,T194/COUNTIF(Setup!$B$9:$B$20,"?*"),T194*AJ194/V194))</f>
        <v/>
      </c>
      <c r="Y194">
        <f>IF(OR(T194="",Setup!$B$11=""),0,IF(V194=0,T194/COUNTIF(Setup!$B$9:$B$20,"?*"),T194*AK194/V194))</f>
        <v/>
      </c>
      <c r="Z194">
        <f>IF(OR(T194="",Setup!$B$12=""),0,IF(V194=0,T194/COUNTIF(Setup!$B$9:$B$20,"?*"),T194*AL194/V194))</f>
        <v/>
      </c>
      <c r="AA194">
        <f>IF(OR(T194="",Setup!$B$13=""),0,IF(V194=0,T194/COUNTIF(Setup!$B$9:$B$20,"?*"),T194*AM194/V194))</f>
        <v/>
      </c>
      <c r="AB194">
        <f>IF(OR(T194="",Setup!$B$14=""),0,IF(V194=0,T194/COUNTIF(Setup!$B$9:$B$20,"?*"),T194*AN194/V194))</f>
        <v/>
      </c>
      <c r="AC194">
        <f>IF(OR(T194="",Setup!$B$15=""),0,IF(V194=0,T194/COUNTIF(Setup!$B$9:$B$20,"?*"),T194*AO194/V194))</f>
        <v/>
      </c>
      <c r="AD194">
        <f>IF(OR(T194="",Setup!$B$16=""),0,IF(V194=0,T194/COUNTIF(Setup!$B$9:$B$20,"?*"),T194*AP194/V194))</f>
        <v/>
      </c>
      <c r="AE194">
        <f>IF(OR(T194="",Setup!$B$17=""),0,IF(V194=0,T194/COUNTIF(Setup!$B$9:$B$20,"?*"),T194*AQ194/V194))</f>
        <v/>
      </c>
      <c r="AF194">
        <f>IF(OR(T194="",Setup!$B$18=""),0,IF(V194=0,T194/COUNTIF(Setup!$B$9:$B$20,"?*"),T194*AR194/V194))</f>
        <v/>
      </c>
      <c r="AG194">
        <f>IF(OR(T194="",Setup!$B$19=""),0,IF(V194=0,T194/COUNTIF(Setup!$B$9:$B$20,"?*"),T194*AS194/V194))</f>
        <v/>
      </c>
      <c r="AH194">
        <f>IF(OR(T194="",Setup!$B$20=""),0,IF(V194=0,T194/COUNTIF(Setup!$B$9:$B$20,"?*"),T194*AT194/V194))</f>
        <v/>
      </c>
      <c r="AI194">
        <f>IF(Setup!$B$9="",0,IF(H194="",0,IF(ISNUMBER(H194),H194,1)))</f>
        <v/>
      </c>
      <c r="AJ194">
        <f>IF(Setup!$B$10="",0,IF(I194="",0,IF(ISNUMBER(I194),I194,1)))</f>
        <v/>
      </c>
      <c r="AK194">
        <f>IF(Setup!$B$11="",0,IF(J194="",0,IF(ISNUMBER(J194),J194,1)))</f>
        <v/>
      </c>
      <c r="AL194">
        <f>IF(Setup!$B$12="",0,IF(K194="",0,IF(ISNUMBER(K194),K194,1)))</f>
        <v/>
      </c>
      <c r="AM194">
        <f>IF(Setup!$B$13="",0,IF(L194="",0,IF(ISNUMBER(L194),L194,1)))</f>
        <v/>
      </c>
      <c r="AN194">
        <f>IF(Setup!$B$14="",0,IF(M194="",0,IF(ISNUMBER(M194),M194,1)))</f>
        <v/>
      </c>
      <c r="AO194">
        <f>IF(Setup!$B$15="",0,IF(N194="",0,IF(ISNUMBER(N194),N194,1)))</f>
        <v/>
      </c>
      <c r="AP194">
        <f>IF(Setup!$B$16="",0,IF(O194="",0,IF(ISNUMBER(O194),O194,1)))</f>
        <v/>
      </c>
      <c r="AQ194">
        <f>IF(Setup!$B$17="",0,IF(P194="",0,IF(ISNUMBER(P194),P194,1)))</f>
        <v/>
      </c>
      <c r="AR194">
        <f>IF(Setup!$B$18="",0,IF(Q194="",0,IF(ISNUMBER(Q194),Q194,1)))</f>
        <v/>
      </c>
      <c r="AS194">
        <f>IF(Setup!$B$19="",0,IF(R194="",0,IF(ISNUMBER(R194),R194,1)))</f>
        <v/>
      </c>
      <c r="AT194">
        <f>IF(Setup!$B$20="",0,IF(S194="",0,IF(ISNUMBER(S194),S194,1)))</f>
        <v/>
      </c>
    </row>
    <row r="195">
      <c r="A195" s="1" t="n"/>
      <c r="B195" s="24" t="n"/>
      <c r="C195" s="25" t="n"/>
      <c r="D195" s="25" t="n"/>
      <c r="E195" s="26" t="n"/>
      <c r="F195" s="27" t="n"/>
      <c r="G195" s="17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28" t="n"/>
      <c r="R195" s="28" t="n"/>
      <c r="S195" s="28" t="n"/>
      <c r="T195" s="29">
        <f>IF(N(E195)=0,"",E195*IF(F195="",1,IFERROR(INDEX(Setup!$E$9:$E$18,MATCH(F195,Setup!$D$9:$D$18,0)),0)))</f>
        <v/>
      </c>
      <c r="U195" s="30">
        <f>IF(T195="","",IF(V195=0,"Everyone",IF(COUNTIF(AI195:AT195,"&gt;0")=COUNTIF(Setup!$B$9:$B$20,"?*"),"Everyone",COUNTIF(AI195:AT195,"&gt;0")&amp;IF(COUNTIF(AI195:AT195,"&gt;0")=1," person"," people"))))</f>
        <v/>
      </c>
      <c r="V195" s="1">
        <f>SUM(AI195:AT195)</f>
        <v/>
      </c>
      <c r="W195">
        <f>IF(OR(T195="",Setup!$B$9=""),0,IF(V195=0,T195/COUNTIF(Setup!$B$9:$B$20,"?*"),T195*AI195/V195))</f>
        <v/>
      </c>
      <c r="X195">
        <f>IF(OR(T195="",Setup!$B$10=""),0,IF(V195=0,T195/COUNTIF(Setup!$B$9:$B$20,"?*"),T195*AJ195/V195))</f>
        <v/>
      </c>
      <c r="Y195">
        <f>IF(OR(T195="",Setup!$B$11=""),0,IF(V195=0,T195/COUNTIF(Setup!$B$9:$B$20,"?*"),T195*AK195/V195))</f>
        <v/>
      </c>
      <c r="Z195">
        <f>IF(OR(T195="",Setup!$B$12=""),0,IF(V195=0,T195/COUNTIF(Setup!$B$9:$B$20,"?*"),T195*AL195/V195))</f>
        <v/>
      </c>
      <c r="AA195">
        <f>IF(OR(T195="",Setup!$B$13=""),0,IF(V195=0,T195/COUNTIF(Setup!$B$9:$B$20,"?*"),T195*AM195/V195))</f>
        <v/>
      </c>
      <c r="AB195">
        <f>IF(OR(T195="",Setup!$B$14=""),0,IF(V195=0,T195/COUNTIF(Setup!$B$9:$B$20,"?*"),T195*AN195/V195))</f>
        <v/>
      </c>
      <c r="AC195">
        <f>IF(OR(T195="",Setup!$B$15=""),0,IF(V195=0,T195/COUNTIF(Setup!$B$9:$B$20,"?*"),T195*AO195/V195))</f>
        <v/>
      </c>
      <c r="AD195">
        <f>IF(OR(T195="",Setup!$B$16=""),0,IF(V195=0,T195/COUNTIF(Setup!$B$9:$B$20,"?*"),T195*AP195/V195))</f>
        <v/>
      </c>
      <c r="AE195">
        <f>IF(OR(T195="",Setup!$B$17=""),0,IF(V195=0,T195/COUNTIF(Setup!$B$9:$B$20,"?*"),T195*AQ195/V195))</f>
        <v/>
      </c>
      <c r="AF195">
        <f>IF(OR(T195="",Setup!$B$18=""),0,IF(V195=0,T195/COUNTIF(Setup!$B$9:$B$20,"?*"),T195*AR195/V195))</f>
        <v/>
      </c>
      <c r="AG195">
        <f>IF(OR(T195="",Setup!$B$19=""),0,IF(V195=0,T195/COUNTIF(Setup!$B$9:$B$20,"?*"),T195*AS195/V195))</f>
        <v/>
      </c>
      <c r="AH195">
        <f>IF(OR(T195="",Setup!$B$20=""),0,IF(V195=0,T195/COUNTIF(Setup!$B$9:$B$20,"?*"),T195*AT195/V195))</f>
        <v/>
      </c>
      <c r="AI195">
        <f>IF(Setup!$B$9="",0,IF(H195="",0,IF(ISNUMBER(H195),H195,1)))</f>
        <v/>
      </c>
      <c r="AJ195">
        <f>IF(Setup!$B$10="",0,IF(I195="",0,IF(ISNUMBER(I195),I195,1)))</f>
        <v/>
      </c>
      <c r="AK195">
        <f>IF(Setup!$B$11="",0,IF(J195="",0,IF(ISNUMBER(J195),J195,1)))</f>
        <v/>
      </c>
      <c r="AL195">
        <f>IF(Setup!$B$12="",0,IF(K195="",0,IF(ISNUMBER(K195),K195,1)))</f>
        <v/>
      </c>
      <c r="AM195">
        <f>IF(Setup!$B$13="",0,IF(L195="",0,IF(ISNUMBER(L195),L195,1)))</f>
        <v/>
      </c>
      <c r="AN195">
        <f>IF(Setup!$B$14="",0,IF(M195="",0,IF(ISNUMBER(M195),M195,1)))</f>
        <v/>
      </c>
      <c r="AO195">
        <f>IF(Setup!$B$15="",0,IF(N195="",0,IF(ISNUMBER(N195),N195,1)))</f>
        <v/>
      </c>
      <c r="AP195">
        <f>IF(Setup!$B$16="",0,IF(O195="",0,IF(ISNUMBER(O195),O195,1)))</f>
        <v/>
      </c>
      <c r="AQ195">
        <f>IF(Setup!$B$17="",0,IF(P195="",0,IF(ISNUMBER(P195),P195,1)))</f>
        <v/>
      </c>
      <c r="AR195">
        <f>IF(Setup!$B$18="",0,IF(Q195="",0,IF(ISNUMBER(Q195),Q195,1)))</f>
        <v/>
      </c>
      <c r="AS195">
        <f>IF(Setup!$B$19="",0,IF(R195="",0,IF(ISNUMBER(R195),R195,1)))</f>
        <v/>
      </c>
      <c r="AT195">
        <f>IF(Setup!$B$20="",0,IF(S195="",0,IF(ISNUMBER(S195),S195,1)))</f>
        <v/>
      </c>
    </row>
    <row r="196">
      <c r="A196" s="1" t="n"/>
      <c r="B196" s="24" t="n"/>
      <c r="C196" s="25" t="n"/>
      <c r="D196" s="25" t="n"/>
      <c r="E196" s="26" t="n"/>
      <c r="F196" s="27" t="n"/>
      <c r="G196" s="17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28" t="n"/>
      <c r="R196" s="28" t="n"/>
      <c r="S196" s="28" t="n"/>
      <c r="T196" s="29">
        <f>IF(N(E196)=0,"",E196*IF(F196="",1,IFERROR(INDEX(Setup!$E$9:$E$18,MATCH(F196,Setup!$D$9:$D$18,0)),0)))</f>
        <v/>
      </c>
      <c r="U196" s="30">
        <f>IF(T196="","",IF(V196=0,"Everyone",IF(COUNTIF(AI196:AT196,"&gt;0")=COUNTIF(Setup!$B$9:$B$20,"?*"),"Everyone",COUNTIF(AI196:AT196,"&gt;0")&amp;IF(COUNTIF(AI196:AT196,"&gt;0")=1," person"," people"))))</f>
        <v/>
      </c>
      <c r="V196" s="1">
        <f>SUM(AI196:AT196)</f>
        <v/>
      </c>
      <c r="W196">
        <f>IF(OR(T196="",Setup!$B$9=""),0,IF(V196=0,T196/COUNTIF(Setup!$B$9:$B$20,"?*"),T196*AI196/V196))</f>
        <v/>
      </c>
      <c r="X196">
        <f>IF(OR(T196="",Setup!$B$10=""),0,IF(V196=0,T196/COUNTIF(Setup!$B$9:$B$20,"?*"),T196*AJ196/V196))</f>
        <v/>
      </c>
      <c r="Y196">
        <f>IF(OR(T196="",Setup!$B$11=""),0,IF(V196=0,T196/COUNTIF(Setup!$B$9:$B$20,"?*"),T196*AK196/V196))</f>
        <v/>
      </c>
      <c r="Z196">
        <f>IF(OR(T196="",Setup!$B$12=""),0,IF(V196=0,T196/COUNTIF(Setup!$B$9:$B$20,"?*"),T196*AL196/V196))</f>
        <v/>
      </c>
      <c r="AA196">
        <f>IF(OR(T196="",Setup!$B$13=""),0,IF(V196=0,T196/COUNTIF(Setup!$B$9:$B$20,"?*"),T196*AM196/V196))</f>
        <v/>
      </c>
      <c r="AB196">
        <f>IF(OR(T196="",Setup!$B$14=""),0,IF(V196=0,T196/COUNTIF(Setup!$B$9:$B$20,"?*"),T196*AN196/V196))</f>
        <v/>
      </c>
      <c r="AC196">
        <f>IF(OR(T196="",Setup!$B$15=""),0,IF(V196=0,T196/COUNTIF(Setup!$B$9:$B$20,"?*"),T196*AO196/V196))</f>
        <v/>
      </c>
      <c r="AD196">
        <f>IF(OR(T196="",Setup!$B$16=""),0,IF(V196=0,T196/COUNTIF(Setup!$B$9:$B$20,"?*"),T196*AP196/V196))</f>
        <v/>
      </c>
      <c r="AE196">
        <f>IF(OR(T196="",Setup!$B$17=""),0,IF(V196=0,T196/COUNTIF(Setup!$B$9:$B$20,"?*"),T196*AQ196/V196))</f>
        <v/>
      </c>
      <c r="AF196">
        <f>IF(OR(T196="",Setup!$B$18=""),0,IF(V196=0,T196/COUNTIF(Setup!$B$9:$B$20,"?*"),T196*AR196/V196))</f>
        <v/>
      </c>
      <c r="AG196">
        <f>IF(OR(T196="",Setup!$B$19=""),0,IF(V196=0,T196/COUNTIF(Setup!$B$9:$B$20,"?*"),T196*AS196/V196))</f>
        <v/>
      </c>
      <c r="AH196">
        <f>IF(OR(T196="",Setup!$B$20=""),0,IF(V196=0,T196/COUNTIF(Setup!$B$9:$B$20,"?*"),T196*AT196/V196))</f>
        <v/>
      </c>
      <c r="AI196">
        <f>IF(Setup!$B$9="",0,IF(H196="",0,IF(ISNUMBER(H196),H196,1)))</f>
        <v/>
      </c>
      <c r="AJ196">
        <f>IF(Setup!$B$10="",0,IF(I196="",0,IF(ISNUMBER(I196),I196,1)))</f>
        <v/>
      </c>
      <c r="AK196">
        <f>IF(Setup!$B$11="",0,IF(J196="",0,IF(ISNUMBER(J196),J196,1)))</f>
        <v/>
      </c>
      <c r="AL196">
        <f>IF(Setup!$B$12="",0,IF(K196="",0,IF(ISNUMBER(K196),K196,1)))</f>
        <v/>
      </c>
      <c r="AM196">
        <f>IF(Setup!$B$13="",0,IF(L196="",0,IF(ISNUMBER(L196),L196,1)))</f>
        <v/>
      </c>
      <c r="AN196">
        <f>IF(Setup!$B$14="",0,IF(M196="",0,IF(ISNUMBER(M196),M196,1)))</f>
        <v/>
      </c>
      <c r="AO196">
        <f>IF(Setup!$B$15="",0,IF(N196="",0,IF(ISNUMBER(N196),N196,1)))</f>
        <v/>
      </c>
      <c r="AP196">
        <f>IF(Setup!$B$16="",0,IF(O196="",0,IF(ISNUMBER(O196),O196,1)))</f>
        <v/>
      </c>
      <c r="AQ196">
        <f>IF(Setup!$B$17="",0,IF(P196="",0,IF(ISNUMBER(P196),P196,1)))</f>
        <v/>
      </c>
      <c r="AR196">
        <f>IF(Setup!$B$18="",0,IF(Q196="",0,IF(ISNUMBER(Q196),Q196,1)))</f>
        <v/>
      </c>
      <c r="AS196">
        <f>IF(Setup!$B$19="",0,IF(R196="",0,IF(ISNUMBER(R196),R196,1)))</f>
        <v/>
      </c>
      <c r="AT196">
        <f>IF(Setup!$B$20="",0,IF(S196="",0,IF(ISNUMBER(S196),S196,1)))</f>
        <v/>
      </c>
    </row>
    <row r="197">
      <c r="A197" s="1" t="n"/>
      <c r="B197" s="24" t="n"/>
      <c r="C197" s="25" t="n"/>
      <c r="D197" s="25" t="n"/>
      <c r="E197" s="26" t="n"/>
      <c r="F197" s="27" t="n"/>
      <c r="G197" s="17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28" t="n"/>
      <c r="R197" s="28" t="n"/>
      <c r="S197" s="28" t="n"/>
      <c r="T197" s="29">
        <f>IF(N(E197)=0,"",E197*IF(F197="",1,IFERROR(INDEX(Setup!$E$9:$E$18,MATCH(F197,Setup!$D$9:$D$18,0)),0)))</f>
        <v/>
      </c>
      <c r="U197" s="30">
        <f>IF(T197="","",IF(V197=0,"Everyone",IF(COUNTIF(AI197:AT197,"&gt;0")=COUNTIF(Setup!$B$9:$B$20,"?*"),"Everyone",COUNTIF(AI197:AT197,"&gt;0")&amp;IF(COUNTIF(AI197:AT197,"&gt;0")=1," person"," people"))))</f>
        <v/>
      </c>
      <c r="V197" s="1">
        <f>SUM(AI197:AT197)</f>
        <v/>
      </c>
      <c r="W197">
        <f>IF(OR(T197="",Setup!$B$9=""),0,IF(V197=0,T197/COUNTIF(Setup!$B$9:$B$20,"?*"),T197*AI197/V197))</f>
        <v/>
      </c>
      <c r="X197">
        <f>IF(OR(T197="",Setup!$B$10=""),0,IF(V197=0,T197/COUNTIF(Setup!$B$9:$B$20,"?*"),T197*AJ197/V197))</f>
        <v/>
      </c>
      <c r="Y197">
        <f>IF(OR(T197="",Setup!$B$11=""),0,IF(V197=0,T197/COUNTIF(Setup!$B$9:$B$20,"?*"),T197*AK197/V197))</f>
        <v/>
      </c>
      <c r="Z197">
        <f>IF(OR(T197="",Setup!$B$12=""),0,IF(V197=0,T197/COUNTIF(Setup!$B$9:$B$20,"?*"),T197*AL197/V197))</f>
        <v/>
      </c>
      <c r="AA197">
        <f>IF(OR(T197="",Setup!$B$13=""),0,IF(V197=0,T197/COUNTIF(Setup!$B$9:$B$20,"?*"),T197*AM197/V197))</f>
        <v/>
      </c>
      <c r="AB197">
        <f>IF(OR(T197="",Setup!$B$14=""),0,IF(V197=0,T197/COUNTIF(Setup!$B$9:$B$20,"?*"),T197*AN197/V197))</f>
        <v/>
      </c>
      <c r="AC197">
        <f>IF(OR(T197="",Setup!$B$15=""),0,IF(V197=0,T197/COUNTIF(Setup!$B$9:$B$20,"?*"),T197*AO197/V197))</f>
        <v/>
      </c>
      <c r="AD197">
        <f>IF(OR(T197="",Setup!$B$16=""),0,IF(V197=0,T197/COUNTIF(Setup!$B$9:$B$20,"?*"),T197*AP197/V197))</f>
        <v/>
      </c>
      <c r="AE197">
        <f>IF(OR(T197="",Setup!$B$17=""),0,IF(V197=0,T197/COUNTIF(Setup!$B$9:$B$20,"?*"),T197*AQ197/V197))</f>
        <v/>
      </c>
      <c r="AF197">
        <f>IF(OR(T197="",Setup!$B$18=""),0,IF(V197=0,T197/COUNTIF(Setup!$B$9:$B$20,"?*"),T197*AR197/V197))</f>
        <v/>
      </c>
      <c r="AG197">
        <f>IF(OR(T197="",Setup!$B$19=""),0,IF(V197=0,T197/COUNTIF(Setup!$B$9:$B$20,"?*"),T197*AS197/V197))</f>
        <v/>
      </c>
      <c r="AH197">
        <f>IF(OR(T197="",Setup!$B$20=""),0,IF(V197=0,T197/COUNTIF(Setup!$B$9:$B$20,"?*"),T197*AT197/V197))</f>
        <v/>
      </c>
      <c r="AI197">
        <f>IF(Setup!$B$9="",0,IF(H197="",0,IF(ISNUMBER(H197),H197,1)))</f>
        <v/>
      </c>
      <c r="AJ197">
        <f>IF(Setup!$B$10="",0,IF(I197="",0,IF(ISNUMBER(I197),I197,1)))</f>
        <v/>
      </c>
      <c r="AK197">
        <f>IF(Setup!$B$11="",0,IF(J197="",0,IF(ISNUMBER(J197),J197,1)))</f>
        <v/>
      </c>
      <c r="AL197">
        <f>IF(Setup!$B$12="",0,IF(K197="",0,IF(ISNUMBER(K197),K197,1)))</f>
        <v/>
      </c>
      <c r="AM197">
        <f>IF(Setup!$B$13="",0,IF(L197="",0,IF(ISNUMBER(L197),L197,1)))</f>
        <v/>
      </c>
      <c r="AN197">
        <f>IF(Setup!$B$14="",0,IF(M197="",0,IF(ISNUMBER(M197),M197,1)))</f>
        <v/>
      </c>
      <c r="AO197">
        <f>IF(Setup!$B$15="",0,IF(N197="",0,IF(ISNUMBER(N197),N197,1)))</f>
        <v/>
      </c>
      <c r="AP197">
        <f>IF(Setup!$B$16="",0,IF(O197="",0,IF(ISNUMBER(O197),O197,1)))</f>
        <v/>
      </c>
      <c r="AQ197">
        <f>IF(Setup!$B$17="",0,IF(P197="",0,IF(ISNUMBER(P197),P197,1)))</f>
        <v/>
      </c>
      <c r="AR197">
        <f>IF(Setup!$B$18="",0,IF(Q197="",0,IF(ISNUMBER(Q197),Q197,1)))</f>
        <v/>
      </c>
      <c r="AS197">
        <f>IF(Setup!$B$19="",0,IF(R197="",0,IF(ISNUMBER(R197),R197,1)))</f>
        <v/>
      </c>
      <c r="AT197">
        <f>IF(Setup!$B$20="",0,IF(S197="",0,IF(ISNUMBER(S197),S197,1)))</f>
        <v/>
      </c>
    </row>
    <row r="198">
      <c r="A198" s="1" t="n"/>
      <c r="B198" s="24" t="n"/>
      <c r="C198" s="25" t="n"/>
      <c r="D198" s="25" t="n"/>
      <c r="E198" s="26" t="n"/>
      <c r="F198" s="27" t="n"/>
      <c r="G198" s="17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28" t="n"/>
      <c r="R198" s="28" t="n"/>
      <c r="S198" s="28" t="n"/>
      <c r="T198" s="29">
        <f>IF(N(E198)=0,"",E198*IF(F198="",1,IFERROR(INDEX(Setup!$E$9:$E$18,MATCH(F198,Setup!$D$9:$D$18,0)),0)))</f>
        <v/>
      </c>
      <c r="U198" s="30">
        <f>IF(T198="","",IF(V198=0,"Everyone",IF(COUNTIF(AI198:AT198,"&gt;0")=COUNTIF(Setup!$B$9:$B$20,"?*"),"Everyone",COUNTIF(AI198:AT198,"&gt;0")&amp;IF(COUNTIF(AI198:AT198,"&gt;0")=1," person"," people"))))</f>
        <v/>
      </c>
      <c r="V198" s="1">
        <f>SUM(AI198:AT198)</f>
        <v/>
      </c>
      <c r="W198">
        <f>IF(OR(T198="",Setup!$B$9=""),0,IF(V198=0,T198/COUNTIF(Setup!$B$9:$B$20,"?*"),T198*AI198/V198))</f>
        <v/>
      </c>
      <c r="X198">
        <f>IF(OR(T198="",Setup!$B$10=""),0,IF(V198=0,T198/COUNTIF(Setup!$B$9:$B$20,"?*"),T198*AJ198/V198))</f>
        <v/>
      </c>
      <c r="Y198">
        <f>IF(OR(T198="",Setup!$B$11=""),0,IF(V198=0,T198/COUNTIF(Setup!$B$9:$B$20,"?*"),T198*AK198/V198))</f>
        <v/>
      </c>
      <c r="Z198">
        <f>IF(OR(T198="",Setup!$B$12=""),0,IF(V198=0,T198/COUNTIF(Setup!$B$9:$B$20,"?*"),T198*AL198/V198))</f>
        <v/>
      </c>
      <c r="AA198">
        <f>IF(OR(T198="",Setup!$B$13=""),0,IF(V198=0,T198/COUNTIF(Setup!$B$9:$B$20,"?*"),T198*AM198/V198))</f>
        <v/>
      </c>
      <c r="AB198">
        <f>IF(OR(T198="",Setup!$B$14=""),0,IF(V198=0,T198/COUNTIF(Setup!$B$9:$B$20,"?*"),T198*AN198/V198))</f>
        <v/>
      </c>
      <c r="AC198">
        <f>IF(OR(T198="",Setup!$B$15=""),0,IF(V198=0,T198/COUNTIF(Setup!$B$9:$B$20,"?*"),T198*AO198/V198))</f>
        <v/>
      </c>
      <c r="AD198">
        <f>IF(OR(T198="",Setup!$B$16=""),0,IF(V198=0,T198/COUNTIF(Setup!$B$9:$B$20,"?*"),T198*AP198/V198))</f>
        <v/>
      </c>
      <c r="AE198">
        <f>IF(OR(T198="",Setup!$B$17=""),0,IF(V198=0,T198/COUNTIF(Setup!$B$9:$B$20,"?*"),T198*AQ198/V198))</f>
        <v/>
      </c>
      <c r="AF198">
        <f>IF(OR(T198="",Setup!$B$18=""),0,IF(V198=0,T198/COUNTIF(Setup!$B$9:$B$20,"?*"),T198*AR198/V198))</f>
        <v/>
      </c>
      <c r="AG198">
        <f>IF(OR(T198="",Setup!$B$19=""),0,IF(V198=0,T198/COUNTIF(Setup!$B$9:$B$20,"?*"),T198*AS198/V198))</f>
        <v/>
      </c>
      <c r="AH198">
        <f>IF(OR(T198="",Setup!$B$20=""),0,IF(V198=0,T198/COUNTIF(Setup!$B$9:$B$20,"?*"),T198*AT198/V198))</f>
        <v/>
      </c>
      <c r="AI198">
        <f>IF(Setup!$B$9="",0,IF(H198="",0,IF(ISNUMBER(H198),H198,1)))</f>
        <v/>
      </c>
      <c r="AJ198">
        <f>IF(Setup!$B$10="",0,IF(I198="",0,IF(ISNUMBER(I198),I198,1)))</f>
        <v/>
      </c>
      <c r="AK198">
        <f>IF(Setup!$B$11="",0,IF(J198="",0,IF(ISNUMBER(J198),J198,1)))</f>
        <v/>
      </c>
      <c r="AL198">
        <f>IF(Setup!$B$12="",0,IF(K198="",0,IF(ISNUMBER(K198),K198,1)))</f>
        <v/>
      </c>
      <c r="AM198">
        <f>IF(Setup!$B$13="",0,IF(L198="",0,IF(ISNUMBER(L198),L198,1)))</f>
        <v/>
      </c>
      <c r="AN198">
        <f>IF(Setup!$B$14="",0,IF(M198="",0,IF(ISNUMBER(M198),M198,1)))</f>
        <v/>
      </c>
      <c r="AO198">
        <f>IF(Setup!$B$15="",0,IF(N198="",0,IF(ISNUMBER(N198),N198,1)))</f>
        <v/>
      </c>
      <c r="AP198">
        <f>IF(Setup!$B$16="",0,IF(O198="",0,IF(ISNUMBER(O198),O198,1)))</f>
        <v/>
      </c>
      <c r="AQ198">
        <f>IF(Setup!$B$17="",0,IF(P198="",0,IF(ISNUMBER(P198),P198,1)))</f>
        <v/>
      </c>
      <c r="AR198">
        <f>IF(Setup!$B$18="",0,IF(Q198="",0,IF(ISNUMBER(Q198),Q198,1)))</f>
        <v/>
      </c>
      <c r="AS198">
        <f>IF(Setup!$B$19="",0,IF(R198="",0,IF(ISNUMBER(R198),R198,1)))</f>
        <v/>
      </c>
      <c r="AT198">
        <f>IF(Setup!$B$20="",0,IF(S198="",0,IF(ISNUMBER(S198),S198,1)))</f>
        <v/>
      </c>
    </row>
    <row r="199">
      <c r="A199" s="1" t="n"/>
      <c r="B199" s="24" t="n"/>
      <c r="C199" s="25" t="n"/>
      <c r="D199" s="25" t="n"/>
      <c r="E199" s="26" t="n"/>
      <c r="F199" s="27" t="n"/>
      <c r="G199" s="17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28" t="n"/>
      <c r="R199" s="28" t="n"/>
      <c r="S199" s="28" t="n"/>
      <c r="T199" s="29">
        <f>IF(N(E199)=0,"",E199*IF(F199="",1,IFERROR(INDEX(Setup!$E$9:$E$18,MATCH(F199,Setup!$D$9:$D$18,0)),0)))</f>
        <v/>
      </c>
      <c r="U199" s="30">
        <f>IF(T199="","",IF(V199=0,"Everyone",IF(COUNTIF(AI199:AT199,"&gt;0")=COUNTIF(Setup!$B$9:$B$20,"?*"),"Everyone",COUNTIF(AI199:AT199,"&gt;0")&amp;IF(COUNTIF(AI199:AT199,"&gt;0")=1," person"," people"))))</f>
        <v/>
      </c>
      <c r="V199" s="1">
        <f>SUM(AI199:AT199)</f>
        <v/>
      </c>
      <c r="W199">
        <f>IF(OR(T199="",Setup!$B$9=""),0,IF(V199=0,T199/COUNTIF(Setup!$B$9:$B$20,"?*"),T199*AI199/V199))</f>
        <v/>
      </c>
      <c r="X199">
        <f>IF(OR(T199="",Setup!$B$10=""),0,IF(V199=0,T199/COUNTIF(Setup!$B$9:$B$20,"?*"),T199*AJ199/V199))</f>
        <v/>
      </c>
      <c r="Y199">
        <f>IF(OR(T199="",Setup!$B$11=""),0,IF(V199=0,T199/COUNTIF(Setup!$B$9:$B$20,"?*"),T199*AK199/V199))</f>
        <v/>
      </c>
      <c r="Z199">
        <f>IF(OR(T199="",Setup!$B$12=""),0,IF(V199=0,T199/COUNTIF(Setup!$B$9:$B$20,"?*"),T199*AL199/V199))</f>
        <v/>
      </c>
      <c r="AA199">
        <f>IF(OR(T199="",Setup!$B$13=""),0,IF(V199=0,T199/COUNTIF(Setup!$B$9:$B$20,"?*"),T199*AM199/V199))</f>
        <v/>
      </c>
      <c r="AB199">
        <f>IF(OR(T199="",Setup!$B$14=""),0,IF(V199=0,T199/COUNTIF(Setup!$B$9:$B$20,"?*"),T199*AN199/V199))</f>
        <v/>
      </c>
      <c r="AC199">
        <f>IF(OR(T199="",Setup!$B$15=""),0,IF(V199=0,T199/COUNTIF(Setup!$B$9:$B$20,"?*"),T199*AO199/V199))</f>
        <v/>
      </c>
      <c r="AD199">
        <f>IF(OR(T199="",Setup!$B$16=""),0,IF(V199=0,T199/COUNTIF(Setup!$B$9:$B$20,"?*"),T199*AP199/V199))</f>
        <v/>
      </c>
      <c r="AE199">
        <f>IF(OR(T199="",Setup!$B$17=""),0,IF(V199=0,T199/COUNTIF(Setup!$B$9:$B$20,"?*"),T199*AQ199/V199))</f>
        <v/>
      </c>
      <c r="AF199">
        <f>IF(OR(T199="",Setup!$B$18=""),0,IF(V199=0,T199/COUNTIF(Setup!$B$9:$B$20,"?*"),T199*AR199/V199))</f>
        <v/>
      </c>
      <c r="AG199">
        <f>IF(OR(T199="",Setup!$B$19=""),0,IF(V199=0,T199/COUNTIF(Setup!$B$9:$B$20,"?*"),T199*AS199/V199))</f>
        <v/>
      </c>
      <c r="AH199">
        <f>IF(OR(T199="",Setup!$B$20=""),0,IF(V199=0,T199/COUNTIF(Setup!$B$9:$B$20,"?*"),T199*AT199/V199))</f>
        <v/>
      </c>
      <c r="AI199">
        <f>IF(Setup!$B$9="",0,IF(H199="",0,IF(ISNUMBER(H199),H199,1)))</f>
        <v/>
      </c>
      <c r="AJ199">
        <f>IF(Setup!$B$10="",0,IF(I199="",0,IF(ISNUMBER(I199),I199,1)))</f>
        <v/>
      </c>
      <c r="AK199">
        <f>IF(Setup!$B$11="",0,IF(J199="",0,IF(ISNUMBER(J199),J199,1)))</f>
        <v/>
      </c>
      <c r="AL199">
        <f>IF(Setup!$B$12="",0,IF(K199="",0,IF(ISNUMBER(K199),K199,1)))</f>
        <v/>
      </c>
      <c r="AM199">
        <f>IF(Setup!$B$13="",0,IF(L199="",0,IF(ISNUMBER(L199),L199,1)))</f>
        <v/>
      </c>
      <c r="AN199">
        <f>IF(Setup!$B$14="",0,IF(M199="",0,IF(ISNUMBER(M199),M199,1)))</f>
        <v/>
      </c>
      <c r="AO199">
        <f>IF(Setup!$B$15="",0,IF(N199="",0,IF(ISNUMBER(N199),N199,1)))</f>
        <v/>
      </c>
      <c r="AP199">
        <f>IF(Setup!$B$16="",0,IF(O199="",0,IF(ISNUMBER(O199),O199,1)))</f>
        <v/>
      </c>
      <c r="AQ199">
        <f>IF(Setup!$B$17="",0,IF(P199="",0,IF(ISNUMBER(P199),P199,1)))</f>
        <v/>
      </c>
      <c r="AR199">
        <f>IF(Setup!$B$18="",0,IF(Q199="",0,IF(ISNUMBER(Q199),Q199,1)))</f>
        <v/>
      </c>
      <c r="AS199">
        <f>IF(Setup!$B$19="",0,IF(R199="",0,IF(ISNUMBER(R199),R199,1)))</f>
        <v/>
      </c>
      <c r="AT199">
        <f>IF(Setup!$B$20="",0,IF(S199="",0,IF(ISNUMBER(S199),S199,1)))</f>
        <v/>
      </c>
    </row>
    <row r="200">
      <c r="A200" s="1" t="n"/>
      <c r="B200" s="24" t="n"/>
      <c r="C200" s="25" t="n"/>
      <c r="D200" s="25" t="n"/>
      <c r="E200" s="26" t="n"/>
      <c r="F200" s="27" t="n"/>
      <c r="G200" s="17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28" t="n"/>
      <c r="R200" s="28" t="n"/>
      <c r="S200" s="28" t="n"/>
      <c r="T200" s="29">
        <f>IF(N(E200)=0,"",E200*IF(F200="",1,IFERROR(INDEX(Setup!$E$9:$E$18,MATCH(F200,Setup!$D$9:$D$18,0)),0)))</f>
        <v/>
      </c>
      <c r="U200" s="30">
        <f>IF(T200="","",IF(V200=0,"Everyone",IF(COUNTIF(AI200:AT200,"&gt;0")=COUNTIF(Setup!$B$9:$B$20,"?*"),"Everyone",COUNTIF(AI200:AT200,"&gt;0")&amp;IF(COUNTIF(AI200:AT200,"&gt;0")=1," person"," people"))))</f>
        <v/>
      </c>
      <c r="V200" s="1">
        <f>SUM(AI200:AT200)</f>
        <v/>
      </c>
      <c r="W200">
        <f>IF(OR(T200="",Setup!$B$9=""),0,IF(V200=0,T200/COUNTIF(Setup!$B$9:$B$20,"?*"),T200*AI200/V200))</f>
        <v/>
      </c>
      <c r="X200">
        <f>IF(OR(T200="",Setup!$B$10=""),0,IF(V200=0,T200/COUNTIF(Setup!$B$9:$B$20,"?*"),T200*AJ200/V200))</f>
        <v/>
      </c>
      <c r="Y200">
        <f>IF(OR(T200="",Setup!$B$11=""),0,IF(V200=0,T200/COUNTIF(Setup!$B$9:$B$20,"?*"),T200*AK200/V200))</f>
        <v/>
      </c>
      <c r="Z200">
        <f>IF(OR(T200="",Setup!$B$12=""),0,IF(V200=0,T200/COUNTIF(Setup!$B$9:$B$20,"?*"),T200*AL200/V200))</f>
        <v/>
      </c>
      <c r="AA200">
        <f>IF(OR(T200="",Setup!$B$13=""),0,IF(V200=0,T200/COUNTIF(Setup!$B$9:$B$20,"?*"),T200*AM200/V200))</f>
        <v/>
      </c>
      <c r="AB200">
        <f>IF(OR(T200="",Setup!$B$14=""),0,IF(V200=0,T200/COUNTIF(Setup!$B$9:$B$20,"?*"),T200*AN200/V200))</f>
        <v/>
      </c>
      <c r="AC200">
        <f>IF(OR(T200="",Setup!$B$15=""),0,IF(V200=0,T200/COUNTIF(Setup!$B$9:$B$20,"?*"),T200*AO200/V200))</f>
        <v/>
      </c>
      <c r="AD200">
        <f>IF(OR(T200="",Setup!$B$16=""),0,IF(V200=0,T200/COUNTIF(Setup!$B$9:$B$20,"?*"),T200*AP200/V200))</f>
        <v/>
      </c>
      <c r="AE200">
        <f>IF(OR(T200="",Setup!$B$17=""),0,IF(V200=0,T200/COUNTIF(Setup!$B$9:$B$20,"?*"),T200*AQ200/V200))</f>
        <v/>
      </c>
      <c r="AF200">
        <f>IF(OR(T200="",Setup!$B$18=""),0,IF(V200=0,T200/COUNTIF(Setup!$B$9:$B$20,"?*"),T200*AR200/V200))</f>
        <v/>
      </c>
      <c r="AG200">
        <f>IF(OR(T200="",Setup!$B$19=""),0,IF(V200=0,T200/COUNTIF(Setup!$B$9:$B$20,"?*"),T200*AS200/V200))</f>
        <v/>
      </c>
      <c r="AH200">
        <f>IF(OR(T200="",Setup!$B$20=""),0,IF(V200=0,T200/COUNTIF(Setup!$B$9:$B$20,"?*"),T200*AT200/V200))</f>
        <v/>
      </c>
      <c r="AI200">
        <f>IF(Setup!$B$9="",0,IF(H200="",0,IF(ISNUMBER(H200),H200,1)))</f>
        <v/>
      </c>
      <c r="AJ200">
        <f>IF(Setup!$B$10="",0,IF(I200="",0,IF(ISNUMBER(I200),I200,1)))</f>
        <v/>
      </c>
      <c r="AK200">
        <f>IF(Setup!$B$11="",0,IF(J200="",0,IF(ISNUMBER(J200),J200,1)))</f>
        <v/>
      </c>
      <c r="AL200">
        <f>IF(Setup!$B$12="",0,IF(K200="",0,IF(ISNUMBER(K200),K200,1)))</f>
        <v/>
      </c>
      <c r="AM200">
        <f>IF(Setup!$B$13="",0,IF(L200="",0,IF(ISNUMBER(L200),L200,1)))</f>
        <v/>
      </c>
      <c r="AN200">
        <f>IF(Setup!$B$14="",0,IF(M200="",0,IF(ISNUMBER(M200),M200,1)))</f>
        <v/>
      </c>
      <c r="AO200">
        <f>IF(Setup!$B$15="",0,IF(N200="",0,IF(ISNUMBER(N200),N200,1)))</f>
        <v/>
      </c>
      <c r="AP200">
        <f>IF(Setup!$B$16="",0,IF(O200="",0,IF(ISNUMBER(O200),O200,1)))</f>
        <v/>
      </c>
      <c r="AQ200">
        <f>IF(Setup!$B$17="",0,IF(P200="",0,IF(ISNUMBER(P200),P200,1)))</f>
        <v/>
      </c>
      <c r="AR200">
        <f>IF(Setup!$B$18="",0,IF(Q200="",0,IF(ISNUMBER(Q200),Q200,1)))</f>
        <v/>
      </c>
      <c r="AS200">
        <f>IF(Setup!$B$19="",0,IF(R200="",0,IF(ISNUMBER(R200),R200,1)))</f>
        <v/>
      </c>
      <c r="AT200">
        <f>IF(Setup!$B$20="",0,IF(S200="",0,IF(ISNUMBER(S200),S200,1)))</f>
        <v/>
      </c>
    </row>
    <row r="201">
      <c r="A201" s="1" t="n"/>
      <c r="B201" s="24" t="n"/>
      <c r="C201" s="25" t="n"/>
      <c r="D201" s="25" t="n"/>
      <c r="E201" s="26" t="n"/>
      <c r="F201" s="27" t="n"/>
      <c r="G201" s="17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28" t="n"/>
      <c r="R201" s="28" t="n"/>
      <c r="S201" s="28" t="n"/>
      <c r="T201" s="29">
        <f>IF(N(E201)=0,"",E201*IF(F201="",1,IFERROR(INDEX(Setup!$E$9:$E$18,MATCH(F201,Setup!$D$9:$D$18,0)),0)))</f>
        <v/>
      </c>
      <c r="U201" s="30">
        <f>IF(T201="","",IF(V201=0,"Everyone",IF(COUNTIF(AI201:AT201,"&gt;0")=COUNTIF(Setup!$B$9:$B$20,"?*"),"Everyone",COUNTIF(AI201:AT201,"&gt;0")&amp;IF(COUNTIF(AI201:AT201,"&gt;0")=1," person"," people"))))</f>
        <v/>
      </c>
      <c r="V201" s="1">
        <f>SUM(AI201:AT201)</f>
        <v/>
      </c>
      <c r="W201">
        <f>IF(OR(T201="",Setup!$B$9=""),0,IF(V201=0,T201/COUNTIF(Setup!$B$9:$B$20,"?*"),T201*AI201/V201))</f>
        <v/>
      </c>
      <c r="X201">
        <f>IF(OR(T201="",Setup!$B$10=""),0,IF(V201=0,T201/COUNTIF(Setup!$B$9:$B$20,"?*"),T201*AJ201/V201))</f>
        <v/>
      </c>
      <c r="Y201">
        <f>IF(OR(T201="",Setup!$B$11=""),0,IF(V201=0,T201/COUNTIF(Setup!$B$9:$B$20,"?*"),T201*AK201/V201))</f>
        <v/>
      </c>
      <c r="Z201">
        <f>IF(OR(T201="",Setup!$B$12=""),0,IF(V201=0,T201/COUNTIF(Setup!$B$9:$B$20,"?*"),T201*AL201/V201))</f>
        <v/>
      </c>
      <c r="AA201">
        <f>IF(OR(T201="",Setup!$B$13=""),0,IF(V201=0,T201/COUNTIF(Setup!$B$9:$B$20,"?*"),T201*AM201/V201))</f>
        <v/>
      </c>
      <c r="AB201">
        <f>IF(OR(T201="",Setup!$B$14=""),0,IF(V201=0,T201/COUNTIF(Setup!$B$9:$B$20,"?*"),T201*AN201/V201))</f>
        <v/>
      </c>
      <c r="AC201">
        <f>IF(OR(T201="",Setup!$B$15=""),0,IF(V201=0,T201/COUNTIF(Setup!$B$9:$B$20,"?*"),T201*AO201/V201))</f>
        <v/>
      </c>
      <c r="AD201">
        <f>IF(OR(T201="",Setup!$B$16=""),0,IF(V201=0,T201/COUNTIF(Setup!$B$9:$B$20,"?*"),T201*AP201/V201))</f>
        <v/>
      </c>
      <c r="AE201">
        <f>IF(OR(T201="",Setup!$B$17=""),0,IF(V201=0,T201/COUNTIF(Setup!$B$9:$B$20,"?*"),T201*AQ201/V201))</f>
        <v/>
      </c>
      <c r="AF201">
        <f>IF(OR(T201="",Setup!$B$18=""),0,IF(V201=0,T201/COUNTIF(Setup!$B$9:$B$20,"?*"),T201*AR201/V201))</f>
        <v/>
      </c>
      <c r="AG201">
        <f>IF(OR(T201="",Setup!$B$19=""),0,IF(V201=0,T201/COUNTIF(Setup!$B$9:$B$20,"?*"),T201*AS201/V201))</f>
        <v/>
      </c>
      <c r="AH201">
        <f>IF(OR(T201="",Setup!$B$20=""),0,IF(V201=0,T201/COUNTIF(Setup!$B$9:$B$20,"?*"),T201*AT201/V201))</f>
        <v/>
      </c>
      <c r="AI201">
        <f>IF(Setup!$B$9="",0,IF(H201="",0,IF(ISNUMBER(H201),H201,1)))</f>
        <v/>
      </c>
      <c r="AJ201">
        <f>IF(Setup!$B$10="",0,IF(I201="",0,IF(ISNUMBER(I201),I201,1)))</f>
        <v/>
      </c>
      <c r="AK201">
        <f>IF(Setup!$B$11="",0,IF(J201="",0,IF(ISNUMBER(J201),J201,1)))</f>
        <v/>
      </c>
      <c r="AL201">
        <f>IF(Setup!$B$12="",0,IF(K201="",0,IF(ISNUMBER(K201),K201,1)))</f>
        <v/>
      </c>
      <c r="AM201">
        <f>IF(Setup!$B$13="",0,IF(L201="",0,IF(ISNUMBER(L201),L201,1)))</f>
        <v/>
      </c>
      <c r="AN201">
        <f>IF(Setup!$B$14="",0,IF(M201="",0,IF(ISNUMBER(M201),M201,1)))</f>
        <v/>
      </c>
      <c r="AO201">
        <f>IF(Setup!$B$15="",0,IF(N201="",0,IF(ISNUMBER(N201),N201,1)))</f>
        <v/>
      </c>
      <c r="AP201">
        <f>IF(Setup!$B$16="",0,IF(O201="",0,IF(ISNUMBER(O201),O201,1)))</f>
        <v/>
      </c>
      <c r="AQ201">
        <f>IF(Setup!$B$17="",0,IF(P201="",0,IF(ISNUMBER(P201),P201,1)))</f>
        <v/>
      </c>
      <c r="AR201">
        <f>IF(Setup!$B$18="",0,IF(Q201="",0,IF(ISNUMBER(Q201),Q201,1)))</f>
        <v/>
      </c>
      <c r="AS201">
        <f>IF(Setup!$B$19="",0,IF(R201="",0,IF(ISNUMBER(R201),R201,1)))</f>
        <v/>
      </c>
      <c r="AT201">
        <f>IF(Setup!$B$20="",0,IF(S201="",0,IF(ISNUMBER(S201),S201,1)))</f>
        <v/>
      </c>
    </row>
    <row r="202">
      <c r="A202" s="1" t="n"/>
      <c r="B202" s="24" t="n"/>
      <c r="C202" s="25" t="n"/>
      <c r="D202" s="25" t="n"/>
      <c r="E202" s="26" t="n"/>
      <c r="F202" s="27" t="n"/>
      <c r="G202" s="17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28" t="n"/>
      <c r="R202" s="28" t="n"/>
      <c r="S202" s="28" t="n"/>
      <c r="T202" s="29">
        <f>IF(N(E202)=0,"",E202*IF(F202="",1,IFERROR(INDEX(Setup!$E$9:$E$18,MATCH(F202,Setup!$D$9:$D$18,0)),0)))</f>
        <v/>
      </c>
      <c r="U202" s="30">
        <f>IF(T202="","",IF(V202=0,"Everyone",IF(COUNTIF(AI202:AT202,"&gt;0")=COUNTIF(Setup!$B$9:$B$20,"?*"),"Everyone",COUNTIF(AI202:AT202,"&gt;0")&amp;IF(COUNTIF(AI202:AT202,"&gt;0")=1," person"," people"))))</f>
        <v/>
      </c>
      <c r="V202" s="1">
        <f>SUM(AI202:AT202)</f>
        <v/>
      </c>
      <c r="W202">
        <f>IF(OR(T202="",Setup!$B$9=""),0,IF(V202=0,T202/COUNTIF(Setup!$B$9:$B$20,"?*"),T202*AI202/V202))</f>
        <v/>
      </c>
      <c r="X202">
        <f>IF(OR(T202="",Setup!$B$10=""),0,IF(V202=0,T202/COUNTIF(Setup!$B$9:$B$20,"?*"),T202*AJ202/V202))</f>
        <v/>
      </c>
      <c r="Y202">
        <f>IF(OR(T202="",Setup!$B$11=""),0,IF(V202=0,T202/COUNTIF(Setup!$B$9:$B$20,"?*"),T202*AK202/V202))</f>
        <v/>
      </c>
      <c r="Z202">
        <f>IF(OR(T202="",Setup!$B$12=""),0,IF(V202=0,T202/COUNTIF(Setup!$B$9:$B$20,"?*"),T202*AL202/V202))</f>
        <v/>
      </c>
      <c r="AA202">
        <f>IF(OR(T202="",Setup!$B$13=""),0,IF(V202=0,T202/COUNTIF(Setup!$B$9:$B$20,"?*"),T202*AM202/V202))</f>
        <v/>
      </c>
      <c r="AB202">
        <f>IF(OR(T202="",Setup!$B$14=""),0,IF(V202=0,T202/COUNTIF(Setup!$B$9:$B$20,"?*"),T202*AN202/V202))</f>
        <v/>
      </c>
      <c r="AC202">
        <f>IF(OR(T202="",Setup!$B$15=""),0,IF(V202=0,T202/COUNTIF(Setup!$B$9:$B$20,"?*"),T202*AO202/V202))</f>
        <v/>
      </c>
      <c r="AD202">
        <f>IF(OR(T202="",Setup!$B$16=""),0,IF(V202=0,T202/COUNTIF(Setup!$B$9:$B$20,"?*"),T202*AP202/V202))</f>
        <v/>
      </c>
      <c r="AE202">
        <f>IF(OR(T202="",Setup!$B$17=""),0,IF(V202=0,T202/COUNTIF(Setup!$B$9:$B$20,"?*"),T202*AQ202/V202))</f>
        <v/>
      </c>
      <c r="AF202">
        <f>IF(OR(T202="",Setup!$B$18=""),0,IF(V202=0,T202/COUNTIF(Setup!$B$9:$B$20,"?*"),T202*AR202/V202))</f>
        <v/>
      </c>
      <c r="AG202">
        <f>IF(OR(T202="",Setup!$B$19=""),0,IF(V202=0,T202/COUNTIF(Setup!$B$9:$B$20,"?*"),T202*AS202/V202))</f>
        <v/>
      </c>
      <c r="AH202">
        <f>IF(OR(T202="",Setup!$B$20=""),0,IF(V202=0,T202/COUNTIF(Setup!$B$9:$B$20,"?*"),T202*AT202/V202))</f>
        <v/>
      </c>
      <c r="AI202">
        <f>IF(Setup!$B$9="",0,IF(H202="",0,IF(ISNUMBER(H202),H202,1)))</f>
        <v/>
      </c>
      <c r="AJ202">
        <f>IF(Setup!$B$10="",0,IF(I202="",0,IF(ISNUMBER(I202),I202,1)))</f>
        <v/>
      </c>
      <c r="AK202">
        <f>IF(Setup!$B$11="",0,IF(J202="",0,IF(ISNUMBER(J202),J202,1)))</f>
        <v/>
      </c>
      <c r="AL202">
        <f>IF(Setup!$B$12="",0,IF(K202="",0,IF(ISNUMBER(K202),K202,1)))</f>
        <v/>
      </c>
      <c r="AM202">
        <f>IF(Setup!$B$13="",0,IF(L202="",0,IF(ISNUMBER(L202),L202,1)))</f>
        <v/>
      </c>
      <c r="AN202">
        <f>IF(Setup!$B$14="",0,IF(M202="",0,IF(ISNUMBER(M202),M202,1)))</f>
        <v/>
      </c>
      <c r="AO202">
        <f>IF(Setup!$B$15="",0,IF(N202="",0,IF(ISNUMBER(N202),N202,1)))</f>
        <v/>
      </c>
      <c r="AP202">
        <f>IF(Setup!$B$16="",0,IF(O202="",0,IF(ISNUMBER(O202),O202,1)))</f>
        <v/>
      </c>
      <c r="AQ202">
        <f>IF(Setup!$B$17="",0,IF(P202="",0,IF(ISNUMBER(P202),P202,1)))</f>
        <v/>
      </c>
      <c r="AR202">
        <f>IF(Setup!$B$18="",0,IF(Q202="",0,IF(ISNUMBER(Q202),Q202,1)))</f>
        <v/>
      </c>
      <c r="AS202">
        <f>IF(Setup!$B$19="",0,IF(R202="",0,IF(ISNUMBER(R202),R202,1)))</f>
        <v/>
      </c>
      <c r="AT202">
        <f>IF(Setup!$B$20="",0,IF(S202="",0,IF(ISNUMBER(S202),S202,1)))</f>
        <v/>
      </c>
    </row>
    <row r="203">
      <c r="A203" s="1" t="n"/>
      <c r="B203" s="24" t="n"/>
      <c r="C203" s="25" t="n"/>
      <c r="D203" s="25" t="n"/>
      <c r="E203" s="26" t="n"/>
      <c r="F203" s="27" t="n"/>
      <c r="G203" s="17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28" t="n"/>
      <c r="R203" s="28" t="n"/>
      <c r="S203" s="28" t="n"/>
      <c r="T203" s="29">
        <f>IF(N(E203)=0,"",E203*IF(F203="",1,IFERROR(INDEX(Setup!$E$9:$E$18,MATCH(F203,Setup!$D$9:$D$18,0)),0)))</f>
        <v/>
      </c>
      <c r="U203" s="30">
        <f>IF(T203="","",IF(V203=0,"Everyone",IF(COUNTIF(AI203:AT203,"&gt;0")=COUNTIF(Setup!$B$9:$B$20,"?*"),"Everyone",COUNTIF(AI203:AT203,"&gt;0")&amp;IF(COUNTIF(AI203:AT203,"&gt;0")=1," person"," people"))))</f>
        <v/>
      </c>
      <c r="V203" s="1">
        <f>SUM(AI203:AT203)</f>
        <v/>
      </c>
      <c r="W203">
        <f>IF(OR(T203="",Setup!$B$9=""),0,IF(V203=0,T203/COUNTIF(Setup!$B$9:$B$20,"?*"),T203*AI203/V203))</f>
        <v/>
      </c>
      <c r="X203">
        <f>IF(OR(T203="",Setup!$B$10=""),0,IF(V203=0,T203/COUNTIF(Setup!$B$9:$B$20,"?*"),T203*AJ203/V203))</f>
        <v/>
      </c>
      <c r="Y203">
        <f>IF(OR(T203="",Setup!$B$11=""),0,IF(V203=0,T203/COUNTIF(Setup!$B$9:$B$20,"?*"),T203*AK203/V203))</f>
        <v/>
      </c>
      <c r="Z203">
        <f>IF(OR(T203="",Setup!$B$12=""),0,IF(V203=0,T203/COUNTIF(Setup!$B$9:$B$20,"?*"),T203*AL203/V203))</f>
        <v/>
      </c>
      <c r="AA203">
        <f>IF(OR(T203="",Setup!$B$13=""),0,IF(V203=0,T203/COUNTIF(Setup!$B$9:$B$20,"?*"),T203*AM203/V203))</f>
        <v/>
      </c>
      <c r="AB203">
        <f>IF(OR(T203="",Setup!$B$14=""),0,IF(V203=0,T203/COUNTIF(Setup!$B$9:$B$20,"?*"),T203*AN203/V203))</f>
        <v/>
      </c>
      <c r="AC203">
        <f>IF(OR(T203="",Setup!$B$15=""),0,IF(V203=0,T203/COUNTIF(Setup!$B$9:$B$20,"?*"),T203*AO203/V203))</f>
        <v/>
      </c>
      <c r="AD203">
        <f>IF(OR(T203="",Setup!$B$16=""),0,IF(V203=0,T203/COUNTIF(Setup!$B$9:$B$20,"?*"),T203*AP203/V203))</f>
        <v/>
      </c>
      <c r="AE203">
        <f>IF(OR(T203="",Setup!$B$17=""),0,IF(V203=0,T203/COUNTIF(Setup!$B$9:$B$20,"?*"),T203*AQ203/V203))</f>
        <v/>
      </c>
      <c r="AF203">
        <f>IF(OR(T203="",Setup!$B$18=""),0,IF(V203=0,T203/COUNTIF(Setup!$B$9:$B$20,"?*"),T203*AR203/V203))</f>
        <v/>
      </c>
      <c r="AG203">
        <f>IF(OR(T203="",Setup!$B$19=""),0,IF(V203=0,T203/COUNTIF(Setup!$B$9:$B$20,"?*"),T203*AS203/V203))</f>
        <v/>
      </c>
      <c r="AH203">
        <f>IF(OR(T203="",Setup!$B$20=""),0,IF(V203=0,T203/COUNTIF(Setup!$B$9:$B$20,"?*"),T203*AT203/V203))</f>
        <v/>
      </c>
      <c r="AI203">
        <f>IF(Setup!$B$9="",0,IF(H203="",0,IF(ISNUMBER(H203),H203,1)))</f>
        <v/>
      </c>
      <c r="AJ203">
        <f>IF(Setup!$B$10="",0,IF(I203="",0,IF(ISNUMBER(I203),I203,1)))</f>
        <v/>
      </c>
      <c r="AK203">
        <f>IF(Setup!$B$11="",0,IF(J203="",0,IF(ISNUMBER(J203),J203,1)))</f>
        <v/>
      </c>
      <c r="AL203">
        <f>IF(Setup!$B$12="",0,IF(K203="",0,IF(ISNUMBER(K203),K203,1)))</f>
        <v/>
      </c>
      <c r="AM203">
        <f>IF(Setup!$B$13="",0,IF(L203="",0,IF(ISNUMBER(L203),L203,1)))</f>
        <v/>
      </c>
      <c r="AN203">
        <f>IF(Setup!$B$14="",0,IF(M203="",0,IF(ISNUMBER(M203),M203,1)))</f>
        <v/>
      </c>
      <c r="AO203">
        <f>IF(Setup!$B$15="",0,IF(N203="",0,IF(ISNUMBER(N203),N203,1)))</f>
        <v/>
      </c>
      <c r="AP203">
        <f>IF(Setup!$B$16="",0,IF(O203="",0,IF(ISNUMBER(O203),O203,1)))</f>
        <v/>
      </c>
      <c r="AQ203">
        <f>IF(Setup!$B$17="",0,IF(P203="",0,IF(ISNUMBER(P203),P203,1)))</f>
        <v/>
      </c>
      <c r="AR203">
        <f>IF(Setup!$B$18="",0,IF(Q203="",0,IF(ISNUMBER(Q203),Q203,1)))</f>
        <v/>
      </c>
      <c r="AS203">
        <f>IF(Setup!$B$19="",0,IF(R203="",0,IF(ISNUMBER(R203),R203,1)))</f>
        <v/>
      </c>
      <c r="AT203">
        <f>IF(Setup!$B$20="",0,IF(S203="",0,IF(ISNUMBER(S203),S203,1)))</f>
        <v/>
      </c>
    </row>
    <row r="204">
      <c r="A204" s="1" t="n"/>
      <c r="B204" s="24" t="n"/>
      <c r="C204" s="25" t="n"/>
      <c r="D204" s="25" t="n"/>
      <c r="E204" s="26" t="n"/>
      <c r="F204" s="27" t="n"/>
      <c r="G204" s="17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28" t="n"/>
      <c r="R204" s="28" t="n"/>
      <c r="S204" s="28" t="n"/>
      <c r="T204" s="29">
        <f>IF(N(E204)=0,"",E204*IF(F204="",1,IFERROR(INDEX(Setup!$E$9:$E$18,MATCH(F204,Setup!$D$9:$D$18,0)),0)))</f>
        <v/>
      </c>
      <c r="U204" s="30">
        <f>IF(T204="","",IF(V204=0,"Everyone",IF(COUNTIF(AI204:AT204,"&gt;0")=COUNTIF(Setup!$B$9:$B$20,"?*"),"Everyone",COUNTIF(AI204:AT204,"&gt;0")&amp;IF(COUNTIF(AI204:AT204,"&gt;0")=1," person"," people"))))</f>
        <v/>
      </c>
      <c r="V204" s="1">
        <f>SUM(AI204:AT204)</f>
        <v/>
      </c>
      <c r="W204">
        <f>IF(OR(T204="",Setup!$B$9=""),0,IF(V204=0,T204/COUNTIF(Setup!$B$9:$B$20,"?*"),T204*AI204/V204))</f>
        <v/>
      </c>
      <c r="X204">
        <f>IF(OR(T204="",Setup!$B$10=""),0,IF(V204=0,T204/COUNTIF(Setup!$B$9:$B$20,"?*"),T204*AJ204/V204))</f>
        <v/>
      </c>
      <c r="Y204">
        <f>IF(OR(T204="",Setup!$B$11=""),0,IF(V204=0,T204/COUNTIF(Setup!$B$9:$B$20,"?*"),T204*AK204/V204))</f>
        <v/>
      </c>
      <c r="Z204">
        <f>IF(OR(T204="",Setup!$B$12=""),0,IF(V204=0,T204/COUNTIF(Setup!$B$9:$B$20,"?*"),T204*AL204/V204))</f>
        <v/>
      </c>
      <c r="AA204">
        <f>IF(OR(T204="",Setup!$B$13=""),0,IF(V204=0,T204/COUNTIF(Setup!$B$9:$B$20,"?*"),T204*AM204/V204))</f>
        <v/>
      </c>
      <c r="AB204">
        <f>IF(OR(T204="",Setup!$B$14=""),0,IF(V204=0,T204/COUNTIF(Setup!$B$9:$B$20,"?*"),T204*AN204/V204))</f>
        <v/>
      </c>
      <c r="AC204">
        <f>IF(OR(T204="",Setup!$B$15=""),0,IF(V204=0,T204/COUNTIF(Setup!$B$9:$B$20,"?*"),T204*AO204/V204))</f>
        <v/>
      </c>
      <c r="AD204">
        <f>IF(OR(T204="",Setup!$B$16=""),0,IF(V204=0,T204/COUNTIF(Setup!$B$9:$B$20,"?*"),T204*AP204/V204))</f>
        <v/>
      </c>
      <c r="AE204">
        <f>IF(OR(T204="",Setup!$B$17=""),0,IF(V204=0,T204/COUNTIF(Setup!$B$9:$B$20,"?*"),T204*AQ204/V204))</f>
        <v/>
      </c>
      <c r="AF204">
        <f>IF(OR(T204="",Setup!$B$18=""),0,IF(V204=0,T204/COUNTIF(Setup!$B$9:$B$20,"?*"),T204*AR204/V204))</f>
        <v/>
      </c>
      <c r="AG204">
        <f>IF(OR(T204="",Setup!$B$19=""),0,IF(V204=0,T204/COUNTIF(Setup!$B$9:$B$20,"?*"),T204*AS204/V204))</f>
        <v/>
      </c>
      <c r="AH204">
        <f>IF(OR(T204="",Setup!$B$20=""),0,IF(V204=0,T204/COUNTIF(Setup!$B$9:$B$20,"?*"),T204*AT204/V204))</f>
        <v/>
      </c>
      <c r="AI204">
        <f>IF(Setup!$B$9="",0,IF(H204="",0,IF(ISNUMBER(H204),H204,1)))</f>
        <v/>
      </c>
      <c r="AJ204">
        <f>IF(Setup!$B$10="",0,IF(I204="",0,IF(ISNUMBER(I204),I204,1)))</f>
        <v/>
      </c>
      <c r="AK204">
        <f>IF(Setup!$B$11="",0,IF(J204="",0,IF(ISNUMBER(J204),J204,1)))</f>
        <v/>
      </c>
      <c r="AL204">
        <f>IF(Setup!$B$12="",0,IF(K204="",0,IF(ISNUMBER(K204),K204,1)))</f>
        <v/>
      </c>
      <c r="AM204">
        <f>IF(Setup!$B$13="",0,IF(L204="",0,IF(ISNUMBER(L204),L204,1)))</f>
        <v/>
      </c>
      <c r="AN204">
        <f>IF(Setup!$B$14="",0,IF(M204="",0,IF(ISNUMBER(M204),M204,1)))</f>
        <v/>
      </c>
      <c r="AO204">
        <f>IF(Setup!$B$15="",0,IF(N204="",0,IF(ISNUMBER(N204),N204,1)))</f>
        <v/>
      </c>
      <c r="AP204">
        <f>IF(Setup!$B$16="",0,IF(O204="",0,IF(ISNUMBER(O204),O204,1)))</f>
        <v/>
      </c>
      <c r="AQ204">
        <f>IF(Setup!$B$17="",0,IF(P204="",0,IF(ISNUMBER(P204),P204,1)))</f>
        <v/>
      </c>
      <c r="AR204">
        <f>IF(Setup!$B$18="",0,IF(Q204="",0,IF(ISNUMBER(Q204),Q204,1)))</f>
        <v/>
      </c>
      <c r="AS204">
        <f>IF(Setup!$B$19="",0,IF(R204="",0,IF(ISNUMBER(R204),R204,1)))</f>
        <v/>
      </c>
      <c r="AT204">
        <f>IF(Setup!$B$20="",0,IF(S204="",0,IF(ISNUMBER(S204),S204,1)))</f>
        <v/>
      </c>
    </row>
    <row r="205">
      <c r="A205" s="1" t="n"/>
      <c r="B205" s="24" t="n"/>
      <c r="C205" s="25" t="n"/>
      <c r="D205" s="25" t="n"/>
      <c r="E205" s="26" t="n"/>
      <c r="F205" s="27" t="n"/>
      <c r="G205" s="17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28" t="n"/>
      <c r="R205" s="28" t="n"/>
      <c r="S205" s="28" t="n"/>
      <c r="T205" s="29">
        <f>IF(N(E205)=0,"",E205*IF(F205="",1,IFERROR(INDEX(Setup!$E$9:$E$18,MATCH(F205,Setup!$D$9:$D$18,0)),0)))</f>
        <v/>
      </c>
      <c r="U205" s="30">
        <f>IF(T205="","",IF(V205=0,"Everyone",IF(COUNTIF(AI205:AT205,"&gt;0")=COUNTIF(Setup!$B$9:$B$20,"?*"),"Everyone",COUNTIF(AI205:AT205,"&gt;0")&amp;IF(COUNTIF(AI205:AT205,"&gt;0")=1," person"," people"))))</f>
        <v/>
      </c>
      <c r="V205" s="1">
        <f>SUM(AI205:AT205)</f>
        <v/>
      </c>
      <c r="W205">
        <f>IF(OR(T205="",Setup!$B$9=""),0,IF(V205=0,T205/COUNTIF(Setup!$B$9:$B$20,"?*"),T205*AI205/V205))</f>
        <v/>
      </c>
      <c r="X205">
        <f>IF(OR(T205="",Setup!$B$10=""),0,IF(V205=0,T205/COUNTIF(Setup!$B$9:$B$20,"?*"),T205*AJ205/V205))</f>
        <v/>
      </c>
      <c r="Y205">
        <f>IF(OR(T205="",Setup!$B$11=""),0,IF(V205=0,T205/COUNTIF(Setup!$B$9:$B$20,"?*"),T205*AK205/V205))</f>
        <v/>
      </c>
      <c r="Z205">
        <f>IF(OR(T205="",Setup!$B$12=""),0,IF(V205=0,T205/COUNTIF(Setup!$B$9:$B$20,"?*"),T205*AL205/V205))</f>
        <v/>
      </c>
      <c r="AA205">
        <f>IF(OR(T205="",Setup!$B$13=""),0,IF(V205=0,T205/COUNTIF(Setup!$B$9:$B$20,"?*"),T205*AM205/V205))</f>
        <v/>
      </c>
      <c r="AB205">
        <f>IF(OR(T205="",Setup!$B$14=""),0,IF(V205=0,T205/COUNTIF(Setup!$B$9:$B$20,"?*"),T205*AN205/V205))</f>
        <v/>
      </c>
      <c r="AC205">
        <f>IF(OR(T205="",Setup!$B$15=""),0,IF(V205=0,T205/COUNTIF(Setup!$B$9:$B$20,"?*"),T205*AO205/V205))</f>
        <v/>
      </c>
      <c r="AD205">
        <f>IF(OR(T205="",Setup!$B$16=""),0,IF(V205=0,T205/COUNTIF(Setup!$B$9:$B$20,"?*"),T205*AP205/V205))</f>
        <v/>
      </c>
      <c r="AE205">
        <f>IF(OR(T205="",Setup!$B$17=""),0,IF(V205=0,T205/COUNTIF(Setup!$B$9:$B$20,"?*"),T205*AQ205/V205))</f>
        <v/>
      </c>
      <c r="AF205">
        <f>IF(OR(T205="",Setup!$B$18=""),0,IF(V205=0,T205/COUNTIF(Setup!$B$9:$B$20,"?*"),T205*AR205/V205))</f>
        <v/>
      </c>
      <c r="AG205">
        <f>IF(OR(T205="",Setup!$B$19=""),0,IF(V205=0,T205/COUNTIF(Setup!$B$9:$B$20,"?*"),T205*AS205/V205))</f>
        <v/>
      </c>
      <c r="AH205">
        <f>IF(OR(T205="",Setup!$B$20=""),0,IF(V205=0,T205/COUNTIF(Setup!$B$9:$B$20,"?*"),T205*AT205/V205))</f>
        <v/>
      </c>
      <c r="AI205">
        <f>IF(Setup!$B$9="",0,IF(H205="",0,IF(ISNUMBER(H205),H205,1)))</f>
        <v/>
      </c>
      <c r="AJ205">
        <f>IF(Setup!$B$10="",0,IF(I205="",0,IF(ISNUMBER(I205),I205,1)))</f>
        <v/>
      </c>
      <c r="AK205">
        <f>IF(Setup!$B$11="",0,IF(J205="",0,IF(ISNUMBER(J205),J205,1)))</f>
        <v/>
      </c>
      <c r="AL205">
        <f>IF(Setup!$B$12="",0,IF(K205="",0,IF(ISNUMBER(K205),K205,1)))</f>
        <v/>
      </c>
      <c r="AM205">
        <f>IF(Setup!$B$13="",0,IF(L205="",0,IF(ISNUMBER(L205),L205,1)))</f>
        <v/>
      </c>
      <c r="AN205">
        <f>IF(Setup!$B$14="",0,IF(M205="",0,IF(ISNUMBER(M205),M205,1)))</f>
        <v/>
      </c>
      <c r="AO205">
        <f>IF(Setup!$B$15="",0,IF(N205="",0,IF(ISNUMBER(N205),N205,1)))</f>
        <v/>
      </c>
      <c r="AP205">
        <f>IF(Setup!$B$16="",0,IF(O205="",0,IF(ISNUMBER(O205),O205,1)))</f>
        <v/>
      </c>
      <c r="AQ205">
        <f>IF(Setup!$B$17="",0,IF(P205="",0,IF(ISNUMBER(P205),P205,1)))</f>
        <v/>
      </c>
      <c r="AR205">
        <f>IF(Setup!$B$18="",0,IF(Q205="",0,IF(ISNUMBER(Q205),Q205,1)))</f>
        <v/>
      </c>
      <c r="AS205">
        <f>IF(Setup!$B$19="",0,IF(R205="",0,IF(ISNUMBER(R205),R205,1)))</f>
        <v/>
      </c>
      <c r="AT205">
        <f>IF(Setup!$B$20="",0,IF(S205="",0,IF(ISNUMBER(S205),S205,1)))</f>
        <v/>
      </c>
    </row>
    <row r="206">
      <c r="A206" s="1" t="n"/>
      <c r="B206" s="24" t="n"/>
      <c r="C206" s="25" t="n"/>
      <c r="D206" s="25" t="n"/>
      <c r="E206" s="26" t="n"/>
      <c r="F206" s="27" t="n"/>
      <c r="G206" s="17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28" t="n"/>
      <c r="R206" s="28" t="n"/>
      <c r="S206" s="28" t="n"/>
      <c r="T206" s="29">
        <f>IF(N(E206)=0,"",E206*IF(F206="",1,IFERROR(INDEX(Setup!$E$9:$E$18,MATCH(F206,Setup!$D$9:$D$18,0)),0)))</f>
        <v/>
      </c>
      <c r="U206" s="30">
        <f>IF(T206="","",IF(V206=0,"Everyone",IF(COUNTIF(AI206:AT206,"&gt;0")=COUNTIF(Setup!$B$9:$B$20,"?*"),"Everyone",COUNTIF(AI206:AT206,"&gt;0")&amp;IF(COUNTIF(AI206:AT206,"&gt;0")=1," person"," people"))))</f>
        <v/>
      </c>
      <c r="V206" s="1">
        <f>SUM(AI206:AT206)</f>
        <v/>
      </c>
      <c r="W206">
        <f>IF(OR(T206="",Setup!$B$9=""),0,IF(V206=0,T206/COUNTIF(Setup!$B$9:$B$20,"?*"),T206*AI206/V206))</f>
        <v/>
      </c>
      <c r="X206">
        <f>IF(OR(T206="",Setup!$B$10=""),0,IF(V206=0,T206/COUNTIF(Setup!$B$9:$B$20,"?*"),T206*AJ206/V206))</f>
        <v/>
      </c>
      <c r="Y206">
        <f>IF(OR(T206="",Setup!$B$11=""),0,IF(V206=0,T206/COUNTIF(Setup!$B$9:$B$20,"?*"),T206*AK206/V206))</f>
        <v/>
      </c>
      <c r="Z206">
        <f>IF(OR(T206="",Setup!$B$12=""),0,IF(V206=0,T206/COUNTIF(Setup!$B$9:$B$20,"?*"),T206*AL206/V206))</f>
        <v/>
      </c>
      <c r="AA206">
        <f>IF(OR(T206="",Setup!$B$13=""),0,IF(V206=0,T206/COUNTIF(Setup!$B$9:$B$20,"?*"),T206*AM206/V206))</f>
        <v/>
      </c>
      <c r="AB206">
        <f>IF(OR(T206="",Setup!$B$14=""),0,IF(V206=0,T206/COUNTIF(Setup!$B$9:$B$20,"?*"),T206*AN206/V206))</f>
        <v/>
      </c>
      <c r="AC206">
        <f>IF(OR(T206="",Setup!$B$15=""),0,IF(V206=0,T206/COUNTIF(Setup!$B$9:$B$20,"?*"),T206*AO206/V206))</f>
        <v/>
      </c>
      <c r="AD206">
        <f>IF(OR(T206="",Setup!$B$16=""),0,IF(V206=0,T206/COUNTIF(Setup!$B$9:$B$20,"?*"),T206*AP206/V206))</f>
        <v/>
      </c>
      <c r="AE206">
        <f>IF(OR(T206="",Setup!$B$17=""),0,IF(V206=0,T206/COUNTIF(Setup!$B$9:$B$20,"?*"),T206*AQ206/V206))</f>
        <v/>
      </c>
      <c r="AF206">
        <f>IF(OR(T206="",Setup!$B$18=""),0,IF(V206=0,T206/COUNTIF(Setup!$B$9:$B$20,"?*"),T206*AR206/V206))</f>
        <v/>
      </c>
      <c r="AG206">
        <f>IF(OR(T206="",Setup!$B$19=""),0,IF(V206=0,T206/COUNTIF(Setup!$B$9:$B$20,"?*"),T206*AS206/V206))</f>
        <v/>
      </c>
      <c r="AH206">
        <f>IF(OR(T206="",Setup!$B$20=""),0,IF(V206=0,T206/COUNTIF(Setup!$B$9:$B$20,"?*"),T206*AT206/V206))</f>
        <v/>
      </c>
      <c r="AI206">
        <f>IF(Setup!$B$9="",0,IF(H206="",0,IF(ISNUMBER(H206),H206,1)))</f>
        <v/>
      </c>
      <c r="AJ206">
        <f>IF(Setup!$B$10="",0,IF(I206="",0,IF(ISNUMBER(I206),I206,1)))</f>
        <v/>
      </c>
      <c r="AK206">
        <f>IF(Setup!$B$11="",0,IF(J206="",0,IF(ISNUMBER(J206),J206,1)))</f>
        <v/>
      </c>
      <c r="AL206">
        <f>IF(Setup!$B$12="",0,IF(K206="",0,IF(ISNUMBER(K206),K206,1)))</f>
        <v/>
      </c>
      <c r="AM206">
        <f>IF(Setup!$B$13="",0,IF(L206="",0,IF(ISNUMBER(L206),L206,1)))</f>
        <v/>
      </c>
      <c r="AN206">
        <f>IF(Setup!$B$14="",0,IF(M206="",0,IF(ISNUMBER(M206),M206,1)))</f>
        <v/>
      </c>
      <c r="AO206">
        <f>IF(Setup!$B$15="",0,IF(N206="",0,IF(ISNUMBER(N206),N206,1)))</f>
        <v/>
      </c>
      <c r="AP206">
        <f>IF(Setup!$B$16="",0,IF(O206="",0,IF(ISNUMBER(O206),O206,1)))</f>
        <v/>
      </c>
      <c r="AQ206">
        <f>IF(Setup!$B$17="",0,IF(P206="",0,IF(ISNUMBER(P206),P206,1)))</f>
        <v/>
      </c>
      <c r="AR206">
        <f>IF(Setup!$B$18="",0,IF(Q206="",0,IF(ISNUMBER(Q206),Q206,1)))</f>
        <v/>
      </c>
      <c r="AS206">
        <f>IF(Setup!$B$19="",0,IF(R206="",0,IF(ISNUMBER(R206),R206,1)))</f>
        <v/>
      </c>
      <c r="AT206">
        <f>IF(Setup!$B$20="",0,IF(S206="",0,IF(ISNUMBER(S206),S206,1)))</f>
        <v/>
      </c>
    </row>
    <row r="207">
      <c r="A207" s="1" t="n"/>
      <c r="B207" s="24" t="n"/>
      <c r="C207" s="25" t="n"/>
      <c r="D207" s="25" t="n"/>
      <c r="E207" s="26" t="n"/>
      <c r="F207" s="27" t="n"/>
      <c r="G207" s="17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28" t="n"/>
      <c r="R207" s="28" t="n"/>
      <c r="S207" s="28" t="n"/>
      <c r="T207" s="29">
        <f>IF(N(E207)=0,"",E207*IF(F207="",1,IFERROR(INDEX(Setup!$E$9:$E$18,MATCH(F207,Setup!$D$9:$D$18,0)),0)))</f>
        <v/>
      </c>
      <c r="U207" s="30">
        <f>IF(T207="","",IF(V207=0,"Everyone",IF(COUNTIF(AI207:AT207,"&gt;0")=COUNTIF(Setup!$B$9:$B$20,"?*"),"Everyone",COUNTIF(AI207:AT207,"&gt;0")&amp;IF(COUNTIF(AI207:AT207,"&gt;0")=1," person"," people"))))</f>
        <v/>
      </c>
      <c r="V207" s="1">
        <f>SUM(AI207:AT207)</f>
        <v/>
      </c>
      <c r="W207">
        <f>IF(OR(T207="",Setup!$B$9=""),0,IF(V207=0,T207/COUNTIF(Setup!$B$9:$B$20,"?*"),T207*AI207/V207))</f>
        <v/>
      </c>
      <c r="X207">
        <f>IF(OR(T207="",Setup!$B$10=""),0,IF(V207=0,T207/COUNTIF(Setup!$B$9:$B$20,"?*"),T207*AJ207/V207))</f>
        <v/>
      </c>
      <c r="Y207">
        <f>IF(OR(T207="",Setup!$B$11=""),0,IF(V207=0,T207/COUNTIF(Setup!$B$9:$B$20,"?*"),T207*AK207/V207))</f>
        <v/>
      </c>
      <c r="Z207">
        <f>IF(OR(T207="",Setup!$B$12=""),0,IF(V207=0,T207/COUNTIF(Setup!$B$9:$B$20,"?*"),T207*AL207/V207))</f>
        <v/>
      </c>
      <c r="AA207">
        <f>IF(OR(T207="",Setup!$B$13=""),0,IF(V207=0,T207/COUNTIF(Setup!$B$9:$B$20,"?*"),T207*AM207/V207))</f>
        <v/>
      </c>
      <c r="AB207">
        <f>IF(OR(T207="",Setup!$B$14=""),0,IF(V207=0,T207/COUNTIF(Setup!$B$9:$B$20,"?*"),T207*AN207/V207))</f>
        <v/>
      </c>
      <c r="AC207">
        <f>IF(OR(T207="",Setup!$B$15=""),0,IF(V207=0,T207/COUNTIF(Setup!$B$9:$B$20,"?*"),T207*AO207/V207))</f>
        <v/>
      </c>
      <c r="AD207">
        <f>IF(OR(T207="",Setup!$B$16=""),0,IF(V207=0,T207/COUNTIF(Setup!$B$9:$B$20,"?*"),T207*AP207/V207))</f>
        <v/>
      </c>
      <c r="AE207">
        <f>IF(OR(T207="",Setup!$B$17=""),0,IF(V207=0,T207/COUNTIF(Setup!$B$9:$B$20,"?*"),T207*AQ207/V207))</f>
        <v/>
      </c>
      <c r="AF207">
        <f>IF(OR(T207="",Setup!$B$18=""),0,IF(V207=0,T207/COUNTIF(Setup!$B$9:$B$20,"?*"),T207*AR207/V207))</f>
        <v/>
      </c>
      <c r="AG207">
        <f>IF(OR(T207="",Setup!$B$19=""),0,IF(V207=0,T207/COUNTIF(Setup!$B$9:$B$20,"?*"),T207*AS207/V207))</f>
        <v/>
      </c>
      <c r="AH207">
        <f>IF(OR(T207="",Setup!$B$20=""),0,IF(V207=0,T207/COUNTIF(Setup!$B$9:$B$20,"?*"),T207*AT207/V207))</f>
        <v/>
      </c>
      <c r="AI207">
        <f>IF(Setup!$B$9="",0,IF(H207="",0,IF(ISNUMBER(H207),H207,1)))</f>
        <v/>
      </c>
      <c r="AJ207">
        <f>IF(Setup!$B$10="",0,IF(I207="",0,IF(ISNUMBER(I207),I207,1)))</f>
        <v/>
      </c>
      <c r="AK207">
        <f>IF(Setup!$B$11="",0,IF(J207="",0,IF(ISNUMBER(J207),J207,1)))</f>
        <v/>
      </c>
      <c r="AL207">
        <f>IF(Setup!$B$12="",0,IF(K207="",0,IF(ISNUMBER(K207),K207,1)))</f>
        <v/>
      </c>
      <c r="AM207">
        <f>IF(Setup!$B$13="",0,IF(L207="",0,IF(ISNUMBER(L207),L207,1)))</f>
        <v/>
      </c>
      <c r="AN207">
        <f>IF(Setup!$B$14="",0,IF(M207="",0,IF(ISNUMBER(M207),M207,1)))</f>
        <v/>
      </c>
      <c r="AO207">
        <f>IF(Setup!$B$15="",0,IF(N207="",0,IF(ISNUMBER(N207),N207,1)))</f>
        <v/>
      </c>
      <c r="AP207">
        <f>IF(Setup!$B$16="",0,IF(O207="",0,IF(ISNUMBER(O207),O207,1)))</f>
        <v/>
      </c>
      <c r="AQ207">
        <f>IF(Setup!$B$17="",0,IF(P207="",0,IF(ISNUMBER(P207),P207,1)))</f>
        <v/>
      </c>
      <c r="AR207">
        <f>IF(Setup!$B$18="",0,IF(Q207="",0,IF(ISNUMBER(Q207),Q207,1)))</f>
        <v/>
      </c>
      <c r="AS207">
        <f>IF(Setup!$B$19="",0,IF(R207="",0,IF(ISNUMBER(R207),R207,1)))</f>
        <v/>
      </c>
      <c r="AT207">
        <f>IF(Setup!$B$20="",0,IF(S207="",0,IF(ISNUMBER(S207),S207,1)))</f>
        <v/>
      </c>
    </row>
    <row r="208">
      <c r="A208" s="1" t="n"/>
      <c r="B208" s="24" t="n"/>
      <c r="C208" s="25" t="n"/>
      <c r="D208" s="25" t="n"/>
      <c r="E208" s="26" t="n"/>
      <c r="F208" s="27" t="n"/>
      <c r="G208" s="17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28" t="n"/>
      <c r="R208" s="28" t="n"/>
      <c r="S208" s="28" t="n"/>
      <c r="T208" s="29">
        <f>IF(N(E208)=0,"",E208*IF(F208="",1,IFERROR(INDEX(Setup!$E$9:$E$18,MATCH(F208,Setup!$D$9:$D$18,0)),0)))</f>
        <v/>
      </c>
      <c r="U208" s="30">
        <f>IF(T208="","",IF(V208=0,"Everyone",IF(COUNTIF(AI208:AT208,"&gt;0")=COUNTIF(Setup!$B$9:$B$20,"?*"),"Everyone",COUNTIF(AI208:AT208,"&gt;0")&amp;IF(COUNTIF(AI208:AT208,"&gt;0")=1," person"," people"))))</f>
        <v/>
      </c>
      <c r="V208" s="1">
        <f>SUM(AI208:AT208)</f>
        <v/>
      </c>
      <c r="W208">
        <f>IF(OR(T208="",Setup!$B$9=""),0,IF(V208=0,T208/COUNTIF(Setup!$B$9:$B$20,"?*"),T208*AI208/V208))</f>
        <v/>
      </c>
      <c r="X208">
        <f>IF(OR(T208="",Setup!$B$10=""),0,IF(V208=0,T208/COUNTIF(Setup!$B$9:$B$20,"?*"),T208*AJ208/V208))</f>
        <v/>
      </c>
      <c r="Y208">
        <f>IF(OR(T208="",Setup!$B$11=""),0,IF(V208=0,T208/COUNTIF(Setup!$B$9:$B$20,"?*"),T208*AK208/V208))</f>
        <v/>
      </c>
      <c r="Z208">
        <f>IF(OR(T208="",Setup!$B$12=""),0,IF(V208=0,T208/COUNTIF(Setup!$B$9:$B$20,"?*"),T208*AL208/V208))</f>
        <v/>
      </c>
      <c r="AA208">
        <f>IF(OR(T208="",Setup!$B$13=""),0,IF(V208=0,T208/COUNTIF(Setup!$B$9:$B$20,"?*"),T208*AM208/V208))</f>
        <v/>
      </c>
      <c r="AB208">
        <f>IF(OR(T208="",Setup!$B$14=""),0,IF(V208=0,T208/COUNTIF(Setup!$B$9:$B$20,"?*"),T208*AN208/V208))</f>
        <v/>
      </c>
      <c r="AC208">
        <f>IF(OR(T208="",Setup!$B$15=""),0,IF(V208=0,T208/COUNTIF(Setup!$B$9:$B$20,"?*"),T208*AO208/V208))</f>
        <v/>
      </c>
      <c r="AD208">
        <f>IF(OR(T208="",Setup!$B$16=""),0,IF(V208=0,T208/COUNTIF(Setup!$B$9:$B$20,"?*"),T208*AP208/V208))</f>
        <v/>
      </c>
      <c r="AE208">
        <f>IF(OR(T208="",Setup!$B$17=""),0,IF(V208=0,T208/COUNTIF(Setup!$B$9:$B$20,"?*"),T208*AQ208/V208))</f>
        <v/>
      </c>
      <c r="AF208">
        <f>IF(OR(T208="",Setup!$B$18=""),0,IF(V208=0,T208/COUNTIF(Setup!$B$9:$B$20,"?*"),T208*AR208/V208))</f>
        <v/>
      </c>
      <c r="AG208">
        <f>IF(OR(T208="",Setup!$B$19=""),0,IF(V208=0,T208/COUNTIF(Setup!$B$9:$B$20,"?*"),T208*AS208/V208))</f>
        <v/>
      </c>
      <c r="AH208">
        <f>IF(OR(T208="",Setup!$B$20=""),0,IF(V208=0,T208/COUNTIF(Setup!$B$9:$B$20,"?*"),T208*AT208/V208))</f>
        <v/>
      </c>
      <c r="AI208">
        <f>IF(Setup!$B$9="",0,IF(H208="",0,IF(ISNUMBER(H208),H208,1)))</f>
        <v/>
      </c>
      <c r="AJ208">
        <f>IF(Setup!$B$10="",0,IF(I208="",0,IF(ISNUMBER(I208),I208,1)))</f>
        <v/>
      </c>
      <c r="AK208">
        <f>IF(Setup!$B$11="",0,IF(J208="",0,IF(ISNUMBER(J208),J208,1)))</f>
        <v/>
      </c>
      <c r="AL208">
        <f>IF(Setup!$B$12="",0,IF(K208="",0,IF(ISNUMBER(K208),K208,1)))</f>
        <v/>
      </c>
      <c r="AM208">
        <f>IF(Setup!$B$13="",0,IF(L208="",0,IF(ISNUMBER(L208),L208,1)))</f>
        <v/>
      </c>
      <c r="AN208">
        <f>IF(Setup!$B$14="",0,IF(M208="",0,IF(ISNUMBER(M208),M208,1)))</f>
        <v/>
      </c>
      <c r="AO208">
        <f>IF(Setup!$B$15="",0,IF(N208="",0,IF(ISNUMBER(N208),N208,1)))</f>
        <v/>
      </c>
      <c r="AP208">
        <f>IF(Setup!$B$16="",0,IF(O208="",0,IF(ISNUMBER(O208),O208,1)))</f>
        <v/>
      </c>
      <c r="AQ208">
        <f>IF(Setup!$B$17="",0,IF(P208="",0,IF(ISNUMBER(P208),P208,1)))</f>
        <v/>
      </c>
      <c r="AR208">
        <f>IF(Setup!$B$18="",0,IF(Q208="",0,IF(ISNUMBER(Q208),Q208,1)))</f>
        <v/>
      </c>
      <c r="AS208">
        <f>IF(Setup!$B$19="",0,IF(R208="",0,IF(ISNUMBER(R208),R208,1)))</f>
        <v/>
      </c>
      <c r="AT208">
        <f>IF(Setup!$B$20="",0,IF(S208="",0,IF(ISNUMBER(S208),S208,1)))</f>
        <v/>
      </c>
    </row>
    <row r="209">
      <c r="A209" s="1" t="n"/>
      <c r="B209" s="24" t="n"/>
      <c r="C209" s="25" t="n"/>
      <c r="D209" s="25" t="n"/>
      <c r="E209" s="26" t="n"/>
      <c r="F209" s="27" t="n"/>
      <c r="G209" s="17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28" t="n"/>
      <c r="R209" s="28" t="n"/>
      <c r="S209" s="28" t="n"/>
      <c r="T209" s="29">
        <f>IF(N(E209)=0,"",E209*IF(F209="",1,IFERROR(INDEX(Setup!$E$9:$E$18,MATCH(F209,Setup!$D$9:$D$18,0)),0)))</f>
        <v/>
      </c>
      <c r="U209" s="30">
        <f>IF(T209="","",IF(V209=0,"Everyone",IF(COUNTIF(AI209:AT209,"&gt;0")=COUNTIF(Setup!$B$9:$B$20,"?*"),"Everyone",COUNTIF(AI209:AT209,"&gt;0")&amp;IF(COUNTIF(AI209:AT209,"&gt;0")=1," person"," people"))))</f>
        <v/>
      </c>
      <c r="V209" s="1">
        <f>SUM(AI209:AT209)</f>
        <v/>
      </c>
      <c r="W209">
        <f>IF(OR(T209="",Setup!$B$9=""),0,IF(V209=0,T209/COUNTIF(Setup!$B$9:$B$20,"?*"),T209*AI209/V209))</f>
        <v/>
      </c>
      <c r="X209">
        <f>IF(OR(T209="",Setup!$B$10=""),0,IF(V209=0,T209/COUNTIF(Setup!$B$9:$B$20,"?*"),T209*AJ209/V209))</f>
        <v/>
      </c>
      <c r="Y209">
        <f>IF(OR(T209="",Setup!$B$11=""),0,IF(V209=0,T209/COUNTIF(Setup!$B$9:$B$20,"?*"),T209*AK209/V209))</f>
        <v/>
      </c>
      <c r="Z209">
        <f>IF(OR(T209="",Setup!$B$12=""),0,IF(V209=0,T209/COUNTIF(Setup!$B$9:$B$20,"?*"),T209*AL209/V209))</f>
        <v/>
      </c>
      <c r="AA209">
        <f>IF(OR(T209="",Setup!$B$13=""),0,IF(V209=0,T209/COUNTIF(Setup!$B$9:$B$20,"?*"),T209*AM209/V209))</f>
        <v/>
      </c>
      <c r="AB209">
        <f>IF(OR(T209="",Setup!$B$14=""),0,IF(V209=0,T209/COUNTIF(Setup!$B$9:$B$20,"?*"),T209*AN209/V209))</f>
        <v/>
      </c>
      <c r="AC209">
        <f>IF(OR(T209="",Setup!$B$15=""),0,IF(V209=0,T209/COUNTIF(Setup!$B$9:$B$20,"?*"),T209*AO209/V209))</f>
        <v/>
      </c>
      <c r="AD209">
        <f>IF(OR(T209="",Setup!$B$16=""),0,IF(V209=0,T209/COUNTIF(Setup!$B$9:$B$20,"?*"),T209*AP209/V209))</f>
        <v/>
      </c>
      <c r="AE209">
        <f>IF(OR(T209="",Setup!$B$17=""),0,IF(V209=0,T209/COUNTIF(Setup!$B$9:$B$20,"?*"),T209*AQ209/V209))</f>
        <v/>
      </c>
      <c r="AF209">
        <f>IF(OR(T209="",Setup!$B$18=""),0,IF(V209=0,T209/COUNTIF(Setup!$B$9:$B$20,"?*"),T209*AR209/V209))</f>
        <v/>
      </c>
      <c r="AG209">
        <f>IF(OR(T209="",Setup!$B$19=""),0,IF(V209=0,T209/COUNTIF(Setup!$B$9:$B$20,"?*"),T209*AS209/V209))</f>
        <v/>
      </c>
      <c r="AH209">
        <f>IF(OR(T209="",Setup!$B$20=""),0,IF(V209=0,T209/COUNTIF(Setup!$B$9:$B$20,"?*"),T209*AT209/V209))</f>
        <v/>
      </c>
      <c r="AI209">
        <f>IF(Setup!$B$9="",0,IF(H209="",0,IF(ISNUMBER(H209),H209,1)))</f>
        <v/>
      </c>
      <c r="AJ209">
        <f>IF(Setup!$B$10="",0,IF(I209="",0,IF(ISNUMBER(I209),I209,1)))</f>
        <v/>
      </c>
      <c r="AK209">
        <f>IF(Setup!$B$11="",0,IF(J209="",0,IF(ISNUMBER(J209),J209,1)))</f>
        <v/>
      </c>
      <c r="AL209">
        <f>IF(Setup!$B$12="",0,IF(K209="",0,IF(ISNUMBER(K209),K209,1)))</f>
        <v/>
      </c>
      <c r="AM209">
        <f>IF(Setup!$B$13="",0,IF(L209="",0,IF(ISNUMBER(L209),L209,1)))</f>
        <v/>
      </c>
      <c r="AN209">
        <f>IF(Setup!$B$14="",0,IF(M209="",0,IF(ISNUMBER(M209),M209,1)))</f>
        <v/>
      </c>
      <c r="AO209">
        <f>IF(Setup!$B$15="",0,IF(N209="",0,IF(ISNUMBER(N209),N209,1)))</f>
        <v/>
      </c>
      <c r="AP209">
        <f>IF(Setup!$B$16="",0,IF(O209="",0,IF(ISNUMBER(O209),O209,1)))</f>
        <v/>
      </c>
      <c r="AQ209">
        <f>IF(Setup!$B$17="",0,IF(P209="",0,IF(ISNUMBER(P209),P209,1)))</f>
        <v/>
      </c>
      <c r="AR209">
        <f>IF(Setup!$B$18="",0,IF(Q209="",0,IF(ISNUMBER(Q209),Q209,1)))</f>
        <v/>
      </c>
      <c r="AS209">
        <f>IF(Setup!$B$19="",0,IF(R209="",0,IF(ISNUMBER(R209),R209,1)))</f>
        <v/>
      </c>
      <c r="AT209">
        <f>IF(Setup!$B$20="",0,IF(S209="",0,IF(ISNUMBER(S209),S209,1)))</f>
        <v/>
      </c>
    </row>
    <row r="210">
      <c r="A210" s="1" t="n"/>
      <c r="B210" s="24" t="n"/>
      <c r="C210" s="25" t="n"/>
      <c r="D210" s="25" t="n"/>
      <c r="E210" s="26" t="n"/>
      <c r="F210" s="27" t="n"/>
      <c r="G210" s="17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28" t="n"/>
      <c r="R210" s="28" t="n"/>
      <c r="S210" s="28" t="n"/>
      <c r="T210" s="29">
        <f>IF(N(E210)=0,"",E210*IF(F210="",1,IFERROR(INDEX(Setup!$E$9:$E$18,MATCH(F210,Setup!$D$9:$D$18,0)),0)))</f>
        <v/>
      </c>
      <c r="U210" s="30">
        <f>IF(T210="","",IF(V210=0,"Everyone",IF(COUNTIF(AI210:AT210,"&gt;0")=COUNTIF(Setup!$B$9:$B$20,"?*"),"Everyone",COUNTIF(AI210:AT210,"&gt;0")&amp;IF(COUNTIF(AI210:AT210,"&gt;0")=1," person"," people"))))</f>
        <v/>
      </c>
      <c r="V210" s="1">
        <f>SUM(AI210:AT210)</f>
        <v/>
      </c>
      <c r="W210">
        <f>IF(OR(T210="",Setup!$B$9=""),0,IF(V210=0,T210/COUNTIF(Setup!$B$9:$B$20,"?*"),T210*AI210/V210))</f>
        <v/>
      </c>
      <c r="X210">
        <f>IF(OR(T210="",Setup!$B$10=""),0,IF(V210=0,T210/COUNTIF(Setup!$B$9:$B$20,"?*"),T210*AJ210/V210))</f>
        <v/>
      </c>
      <c r="Y210">
        <f>IF(OR(T210="",Setup!$B$11=""),0,IF(V210=0,T210/COUNTIF(Setup!$B$9:$B$20,"?*"),T210*AK210/V210))</f>
        <v/>
      </c>
      <c r="Z210">
        <f>IF(OR(T210="",Setup!$B$12=""),0,IF(V210=0,T210/COUNTIF(Setup!$B$9:$B$20,"?*"),T210*AL210/V210))</f>
        <v/>
      </c>
      <c r="AA210">
        <f>IF(OR(T210="",Setup!$B$13=""),0,IF(V210=0,T210/COUNTIF(Setup!$B$9:$B$20,"?*"),T210*AM210/V210))</f>
        <v/>
      </c>
      <c r="AB210">
        <f>IF(OR(T210="",Setup!$B$14=""),0,IF(V210=0,T210/COUNTIF(Setup!$B$9:$B$20,"?*"),T210*AN210/V210))</f>
        <v/>
      </c>
      <c r="AC210">
        <f>IF(OR(T210="",Setup!$B$15=""),0,IF(V210=0,T210/COUNTIF(Setup!$B$9:$B$20,"?*"),T210*AO210/V210))</f>
        <v/>
      </c>
      <c r="AD210">
        <f>IF(OR(T210="",Setup!$B$16=""),0,IF(V210=0,T210/COUNTIF(Setup!$B$9:$B$20,"?*"),T210*AP210/V210))</f>
        <v/>
      </c>
      <c r="AE210">
        <f>IF(OR(T210="",Setup!$B$17=""),0,IF(V210=0,T210/COUNTIF(Setup!$B$9:$B$20,"?*"),T210*AQ210/V210))</f>
        <v/>
      </c>
      <c r="AF210">
        <f>IF(OR(T210="",Setup!$B$18=""),0,IF(V210=0,T210/COUNTIF(Setup!$B$9:$B$20,"?*"),T210*AR210/V210))</f>
        <v/>
      </c>
      <c r="AG210">
        <f>IF(OR(T210="",Setup!$B$19=""),0,IF(V210=0,T210/COUNTIF(Setup!$B$9:$B$20,"?*"),T210*AS210/V210))</f>
        <v/>
      </c>
      <c r="AH210">
        <f>IF(OR(T210="",Setup!$B$20=""),0,IF(V210=0,T210/COUNTIF(Setup!$B$9:$B$20,"?*"),T210*AT210/V210))</f>
        <v/>
      </c>
      <c r="AI210">
        <f>IF(Setup!$B$9="",0,IF(H210="",0,IF(ISNUMBER(H210),H210,1)))</f>
        <v/>
      </c>
      <c r="AJ210">
        <f>IF(Setup!$B$10="",0,IF(I210="",0,IF(ISNUMBER(I210),I210,1)))</f>
        <v/>
      </c>
      <c r="AK210">
        <f>IF(Setup!$B$11="",0,IF(J210="",0,IF(ISNUMBER(J210),J210,1)))</f>
        <v/>
      </c>
      <c r="AL210">
        <f>IF(Setup!$B$12="",0,IF(K210="",0,IF(ISNUMBER(K210),K210,1)))</f>
        <v/>
      </c>
      <c r="AM210">
        <f>IF(Setup!$B$13="",0,IF(L210="",0,IF(ISNUMBER(L210),L210,1)))</f>
        <v/>
      </c>
      <c r="AN210">
        <f>IF(Setup!$B$14="",0,IF(M210="",0,IF(ISNUMBER(M210),M210,1)))</f>
        <v/>
      </c>
      <c r="AO210">
        <f>IF(Setup!$B$15="",0,IF(N210="",0,IF(ISNUMBER(N210),N210,1)))</f>
        <v/>
      </c>
      <c r="AP210">
        <f>IF(Setup!$B$16="",0,IF(O210="",0,IF(ISNUMBER(O210),O210,1)))</f>
        <v/>
      </c>
      <c r="AQ210">
        <f>IF(Setup!$B$17="",0,IF(P210="",0,IF(ISNUMBER(P210),P210,1)))</f>
        <v/>
      </c>
      <c r="AR210">
        <f>IF(Setup!$B$18="",0,IF(Q210="",0,IF(ISNUMBER(Q210),Q210,1)))</f>
        <v/>
      </c>
      <c r="AS210">
        <f>IF(Setup!$B$19="",0,IF(R210="",0,IF(ISNUMBER(R210),R210,1)))</f>
        <v/>
      </c>
      <c r="AT210">
        <f>IF(Setup!$B$20="",0,IF(S210="",0,IF(ISNUMBER(S210),S210,1)))</f>
        <v/>
      </c>
    </row>
    <row r="211">
      <c r="A211" s="1" t="n"/>
      <c r="B211" s="24" t="n"/>
      <c r="C211" s="25" t="n"/>
      <c r="D211" s="25" t="n"/>
      <c r="E211" s="26" t="n"/>
      <c r="F211" s="27" t="n"/>
      <c r="G211" s="17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28" t="n"/>
      <c r="R211" s="28" t="n"/>
      <c r="S211" s="28" t="n"/>
      <c r="T211" s="29">
        <f>IF(N(E211)=0,"",E211*IF(F211="",1,IFERROR(INDEX(Setup!$E$9:$E$18,MATCH(F211,Setup!$D$9:$D$18,0)),0)))</f>
        <v/>
      </c>
      <c r="U211" s="30">
        <f>IF(T211="","",IF(V211=0,"Everyone",IF(COUNTIF(AI211:AT211,"&gt;0")=COUNTIF(Setup!$B$9:$B$20,"?*"),"Everyone",COUNTIF(AI211:AT211,"&gt;0")&amp;IF(COUNTIF(AI211:AT211,"&gt;0")=1," person"," people"))))</f>
        <v/>
      </c>
      <c r="V211" s="1">
        <f>SUM(AI211:AT211)</f>
        <v/>
      </c>
      <c r="W211">
        <f>IF(OR(T211="",Setup!$B$9=""),0,IF(V211=0,T211/COUNTIF(Setup!$B$9:$B$20,"?*"),T211*AI211/V211))</f>
        <v/>
      </c>
      <c r="X211">
        <f>IF(OR(T211="",Setup!$B$10=""),0,IF(V211=0,T211/COUNTIF(Setup!$B$9:$B$20,"?*"),T211*AJ211/V211))</f>
        <v/>
      </c>
      <c r="Y211">
        <f>IF(OR(T211="",Setup!$B$11=""),0,IF(V211=0,T211/COUNTIF(Setup!$B$9:$B$20,"?*"),T211*AK211/V211))</f>
        <v/>
      </c>
      <c r="Z211">
        <f>IF(OR(T211="",Setup!$B$12=""),0,IF(V211=0,T211/COUNTIF(Setup!$B$9:$B$20,"?*"),T211*AL211/V211))</f>
        <v/>
      </c>
      <c r="AA211">
        <f>IF(OR(T211="",Setup!$B$13=""),0,IF(V211=0,T211/COUNTIF(Setup!$B$9:$B$20,"?*"),T211*AM211/V211))</f>
        <v/>
      </c>
      <c r="AB211">
        <f>IF(OR(T211="",Setup!$B$14=""),0,IF(V211=0,T211/COUNTIF(Setup!$B$9:$B$20,"?*"),T211*AN211/V211))</f>
        <v/>
      </c>
      <c r="AC211">
        <f>IF(OR(T211="",Setup!$B$15=""),0,IF(V211=0,T211/COUNTIF(Setup!$B$9:$B$20,"?*"),T211*AO211/V211))</f>
        <v/>
      </c>
      <c r="AD211">
        <f>IF(OR(T211="",Setup!$B$16=""),0,IF(V211=0,T211/COUNTIF(Setup!$B$9:$B$20,"?*"),T211*AP211/V211))</f>
        <v/>
      </c>
      <c r="AE211">
        <f>IF(OR(T211="",Setup!$B$17=""),0,IF(V211=0,T211/COUNTIF(Setup!$B$9:$B$20,"?*"),T211*AQ211/V211))</f>
        <v/>
      </c>
      <c r="AF211">
        <f>IF(OR(T211="",Setup!$B$18=""),0,IF(V211=0,T211/COUNTIF(Setup!$B$9:$B$20,"?*"),T211*AR211/V211))</f>
        <v/>
      </c>
      <c r="AG211">
        <f>IF(OR(T211="",Setup!$B$19=""),0,IF(V211=0,T211/COUNTIF(Setup!$B$9:$B$20,"?*"),T211*AS211/V211))</f>
        <v/>
      </c>
      <c r="AH211">
        <f>IF(OR(T211="",Setup!$B$20=""),0,IF(V211=0,T211/COUNTIF(Setup!$B$9:$B$20,"?*"),T211*AT211/V211))</f>
        <v/>
      </c>
      <c r="AI211">
        <f>IF(Setup!$B$9="",0,IF(H211="",0,IF(ISNUMBER(H211),H211,1)))</f>
        <v/>
      </c>
      <c r="AJ211">
        <f>IF(Setup!$B$10="",0,IF(I211="",0,IF(ISNUMBER(I211),I211,1)))</f>
        <v/>
      </c>
      <c r="AK211">
        <f>IF(Setup!$B$11="",0,IF(J211="",0,IF(ISNUMBER(J211),J211,1)))</f>
        <v/>
      </c>
      <c r="AL211">
        <f>IF(Setup!$B$12="",0,IF(K211="",0,IF(ISNUMBER(K211),K211,1)))</f>
        <v/>
      </c>
      <c r="AM211">
        <f>IF(Setup!$B$13="",0,IF(L211="",0,IF(ISNUMBER(L211),L211,1)))</f>
        <v/>
      </c>
      <c r="AN211">
        <f>IF(Setup!$B$14="",0,IF(M211="",0,IF(ISNUMBER(M211),M211,1)))</f>
        <v/>
      </c>
      <c r="AO211">
        <f>IF(Setup!$B$15="",0,IF(N211="",0,IF(ISNUMBER(N211),N211,1)))</f>
        <v/>
      </c>
      <c r="AP211">
        <f>IF(Setup!$B$16="",0,IF(O211="",0,IF(ISNUMBER(O211),O211,1)))</f>
        <v/>
      </c>
      <c r="AQ211">
        <f>IF(Setup!$B$17="",0,IF(P211="",0,IF(ISNUMBER(P211),P211,1)))</f>
        <v/>
      </c>
      <c r="AR211">
        <f>IF(Setup!$B$18="",0,IF(Q211="",0,IF(ISNUMBER(Q211),Q211,1)))</f>
        <v/>
      </c>
      <c r="AS211">
        <f>IF(Setup!$B$19="",0,IF(R211="",0,IF(ISNUMBER(R211),R211,1)))</f>
        <v/>
      </c>
      <c r="AT211">
        <f>IF(Setup!$B$20="",0,IF(S211="",0,IF(ISNUMBER(S211),S211,1)))</f>
        <v/>
      </c>
    </row>
    <row r="212">
      <c r="A212" s="1" t="n"/>
      <c r="B212" s="24" t="n"/>
      <c r="C212" s="25" t="n"/>
      <c r="D212" s="25" t="n"/>
      <c r="E212" s="26" t="n"/>
      <c r="F212" s="27" t="n"/>
      <c r="G212" s="17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28" t="n"/>
      <c r="R212" s="28" t="n"/>
      <c r="S212" s="28" t="n"/>
      <c r="T212" s="29">
        <f>IF(N(E212)=0,"",E212*IF(F212="",1,IFERROR(INDEX(Setup!$E$9:$E$18,MATCH(F212,Setup!$D$9:$D$18,0)),0)))</f>
        <v/>
      </c>
      <c r="U212" s="30">
        <f>IF(T212="","",IF(V212=0,"Everyone",IF(COUNTIF(AI212:AT212,"&gt;0")=COUNTIF(Setup!$B$9:$B$20,"?*"),"Everyone",COUNTIF(AI212:AT212,"&gt;0")&amp;IF(COUNTIF(AI212:AT212,"&gt;0")=1," person"," people"))))</f>
        <v/>
      </c>
      <c r="V212" s="1">
        <f>SUM(AI212:AT212)</f>
        <v/>
      </c>
      <c r="W212">
        <f>IF(OR(T212="",Setup!$B$9=""),0,IF(V212=0,T212/COUNTIF(Setup!$B$9:$B$20,"?*"),T212*AI212/V212))</f>
        <v/>
      </c>
      <c r="X212">
        <f>IF(OR(T212="",Setup!$B$10=""),0,IF(V212=0,T212/COUNTIF(Setup!$B$9:$B$20,"?*"),T212*AJ212/V212))</f>
        <v/>
      </c>
      <c r="Y212">
        <f>IF(OR(T212="",Setup!$B$11=""),0,IF(V212=0,T212/COUNTIF(Setup!$B$9:$B$20,"?*"),T212*AK212/V212))</f>
        <v/>
      </c>
      <c r="Z212">
        <f>IF(OR(T212="",Setup!$B$12=""),0,IF(V212=0,T212/COUNTIF(Setup!$B$9:$B$20,"?*"),T212*AL212/V212))</f>
        <v/>
      </c>
      <c r="AA212">
        <f>IF(OR(T212="",Setup!$B$13=""),0,IF(V212=0,T212/COUNTIF(Setup!$B$9:$B$20,"?*"),T212*AM212/V212))</f>
        <v/>
      </c>
      <c r="AB212">
        <f>IF(OR(T212="",Setup!$B$14=""),0,IF(V212=0,T212/COUNTIF(Setup!$B$9:$B$20,"?*"),T212*AN212/V212))</f>
        <v/>
      </c>
      <c r="AC212">
        <f>IF(OR(T212="",Setup!$B$15=""),0,IF(V212=0,T212/COUNTIF(Setup!$B$9:$B$20,"?*"),T212*AO212/V212))</f>
        <v/>
      </c>
      <c r="AD212">
        <f>IF(OR(T212="",Setup!$B$16=""),0,IF(V212=0,T212/COUNTIF(Setup!$B$9:$B$20,"?*"),T212*AP212/V212))</f>
        <v/>
      </c>
      <c r="AE212">
        <f>IF(OR(T212="",Setup!$B$17=""),0,IF(V212=0,T212/COUNTIF(Setup!$B$9:$B$20,"?*"),T212*AQ212/V212))</f>
        <v/>
      </c>
      <c r="AF212">
        <f>IF(OR(T212="",Setup!$B$18=""),0,IF(V212=0,T212/COUNTIF(Setup!$B$9:$B$20,"?*"),T212*AR212/V212))</f>
        <v/>
      </c>
      <c r="AG212">
        <f>IF(OR(T212="",Setup!$B$19=""),0,IF(V212=0,T212/COUNTIF(Setup!$B$9:$B$20,"?*"),T212*AS212/V212))</f>
        <v/>
      </c>
      <c r="AH212">
        <f>IF(OR(T212="",Setup!$B$20=""),0,IF(V212=0,T212/COUNTIF(Setup!$B$9:$B$20,"?*"),T212*AT212/V212))</f>
        <v/>
      </c>
      <c r="AI212">
        <f>IF(Setup!$B$9="",0,IF(H212="",0,IF(ISNUMBER(H212),H212,1)))</f>
        <v/>
      </c>
      <c r="AJ212">
        <f>IF(Setup!$B$10="",0,IF(I212="",0,IF(ISNUMBER(I212),I212,1)))</f>
        <v/>
      </c>
      <c r="AK212">
        <f>IF(Setup!$B$11="",0,IF(J212="",0,IF(ISNUMBER(J212),J212,1)))</f>
        <v/>
      </c>
      <c r="AL212">
        <f>IF(Setup!$B$12="",0,IF(K212="",0,IF(ISNUMBER(K212),K212,1)))</f>
        <v/>
      </c>
      <c r="AM212">
        <f>IF(Setup!$B$13="",0,IF(L212="",0,IF(ISNUMBER(L212),L212,1)))</f>
        <v/>
      </c>
      <c r="AN212">
        <f>IF(Setup!$B$14="",0,IF(M212="",0,IF(ISNUMBER(M212),M212,1)))</f>
        <v/>
      </c>
      <c r="AO212">
        <f>IF(Setup!$B$15="",0,IF(N212="",0,IF(ISNUMBER(N212),N212,1)))</f>
        <v/>
      </c>
      <c r="AP212">
        <f>IF(Setup!$B$16="",0,IF(O212="",0,IF(ISNUMBER(O212),O212,1)))</f>
        <v/>
      </c>
      <c r="AQ212">
        <f>IF(Setup!$B$17="",0,IF(P212="",0,IF(ISNUMBER(P212),P212,1)))</f>
        <v/>
      </c>
      <c r="AR212">
        <f>IF(Setup!$B$18="",0,IF(Q212="",0,IF(ISNUMBER(Q212),Q212,1)))</f>
        <v/>
      </c>
      <c r="AS212">
        <f>IF(Setup!$B$19="",0,IF(R212="",0,IF(ISNUMBER(R212),R212,1)))</f>
        <v/>
      </c>
      <c r="AT212">
        <f>IF(Setup!$B$20="",0,IF(S212="",0,IF(ISNUMBER(S212),S212,1)))</f>
        <v/>
      </c>
    </row>
    <row r="213">
      <c r="A213" s="1" t="n"/>
      <c r="B213" s="24" t="n"/>
      <c r="C213" s="25" t="n"/>
      <c r="D213" s="25" t="n"/>
      <c r="E213" s="26" t="n"/>
      <c r="F213" s="27" t="n"/>
      <c r="G213" s="17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28" t="n"/>
      <c r="R213" s="28" t="n"/>
      <c r="S213" s="28" t="n"/>
      <c r="T213" s="29">
        <f>IF(N(E213)=0,"",E213*IF(F213="",1,IFERROR(INDEX(Setup!$E$9:$E$18,MATCH(F213,Setup!$D$9:$D$18,0)),0)))</f>
        <v/>
      </c>
      <c r="U213" s="30">
        <f>IF(T213="","",IF(V213=0,"Everyone",IF(COUNTIF(AI213:AT213,"&gt;0")=COUNTIF(Setup!$B$9:$B$20,"?*"),"Everyone",COUNTIF(AI213:AT213,"&gt;0")&amp;IF(COUNTIF(AI213:AT213,"&gt;0")=1," person"," people"))))</f>
        <v/>
      </c>
      <c r="V213" s="1">
        <f>SUM(AI213:AT213)</f>
        <v/>
      </c>
      <c r="W213">
        <f>IF(OR(T213="",Setup!$B$9=""),0,IF(V213=0,T213/COUNTIF(Setup!$B$9:$B$20,"?*"),T213*AI213/V213))</f>
        <v/>
      </c>
      <c r="X213">
        <f>IF(OR(T213="",Setup!$B$10=""),0,IF(V213=0,T213/COUNTIF(Setup!$B$9:$B$20,"?*"),T213*AJ213/V213))</f>
        <v/>
      </c>
      <c r="Y213">
        <f>IF(OR(T213="",Setup!$B$11=""),0,IF(V213=0,T213/COUNTIF(Setup!$B$9:$B$20,"?*"),T213*AK213/V213))</f>
        <v/>
      </c>
      <c r="Z213">
        <f>IF(OR(T213="",Setup!$B$12=""),0,IF(V213=0,T213/COUNTIF(Setup!$B$9:$B$20,"?*"),T213*AL213/V213))</f>
        <v/>
      </c>
      <c r="AA213">
        <f>IF(OR(T213="",Setup!$B$13=""),0,IF(V213=0,T213/COUNTIF(Setup!$B$9:$B$20,"?*"),T213*AM213/V213))</f>
        <v/>
      </c>
      <c r="AB213">
        <f>IF(OR(T213="",Setup!$B$14=""),0,IF(V213=0,T213/COUNTIF(Setup!$B$9:$B$20,"?*"),T213*AN213/V213))</f>
        <v/>
      </c>
      <c r="AC213">
        <f>IF(OR(T213="",Setup!$B$15=""),0,IF(V213=0,T213/COUNTIF(Setup!$B$9:$B$20,"?*"),T213*AO213/V213))</f>
        <v/>
      </c>
      <c r="AD213">
        <f>IF(OR(T213="",Setup!$B$16=""),0,IF(V213=0,T213/COUNTIF(Setup!$B$9:$B$20,"?*"),T213*AP213/V213))</f>
        <v/>
      </c>
      <c r="AE213">
        <f>IF(OR(T213="",Setup!$B$17=""),0,IF(V213=0,T213/COUNTIF(Setup!$B$9:$B$20,"?*"),T213*AQ213/V213))</f>
        <v/>
      </c>
      <c r="AF213">
        <f>IF(OR(T213="",Setup!$B$18=""),0,IF(V213=0,T213/COUNTIF(Setup!$B$9:$B$20,"?*"),T213*AR213/V213))</f>
        <v/>
      </c>
      <c r="AG213">
        <f>IF(OR(T213="",Setup!$B$19=""),0,IF(V213=0,T213/COUNTIF(Setup!$B$9:$B$20,"?*"),T213*AS213/V213))</f>
        <v/>
      </c>
      <c r="AH213">
        <f>IF(OR(T213="",Setup!$B$20=""),0,IF(V213=0,T213/COUNTIF(Setup!$B$9:$B$20,"?*"),T213*AT213/V213))</f>
        <v/>
      </c>
      <c r="AI213">
        <f>IF(Setup!$B$9="",0,IF(H213="",0,IF(ISNUMBER(H213),H213,1)))</f>
        <v/>
      </c>
      <c r="AJ213">
        <f>IF(Setup!$B$10="",0,IF(I213="",0,IF(ISNUMBER(I213),I213,1)))</f>
        <v/>
      </c>
      <c r="AK213">
        <f>IF(Setup!$B$11="",0,IF(J213="",0,IF(ISNUMBER(J213),J213,1)))</f>
        <v/>
      </c>
      <c r="AL213">
        <f>IF(Setup!$B$12="",0,IF(K213="",0,IF(ISNUMBER(K213),K213,1)))</f>
        <v/>
      </c>
      <c r="AM213">
        <f>IF(Setup!$B$13="",0,IF(L213="",0,IF(ISNUMBER(L213),L213,1)))</f>
        <v/>
      </c>
      <c r="AN213">
        <f>IF(Setup!$B$14="",0,IF(M213="",0,IF(ISNUMBER(M213),M213,1)))</f>
        <v/>
      </c>
      <c r="AO213">
        <f>IF(Setup!$B$15="",0,IF(N213="",0,IF(ISNUMBER(N213),N213,1)))</f>
        <v/>
      </c>
      <c r="AP213">
        <f>IF(Setup!$B$16="",0,IF(O213="",0,IF(ISNUMBER(O213),O213,1)))</f>
        <v/>
      </c>
      <c r="AQ213">
        <f>IF(Setup!$B$17="",0,IF(P213="",0,IF(ISNUMBER(P213),P213,1)))</f>
        <v/>
      </c>
      <c r="AR213">
        <f>IF(Setup!$B$18="",0,IF(Q213="",0,IF(ISNUMBER(Q213),Q213,1)))</f>
        <v/>
      </c>
      <c r="AS213">
        <f>IF(Setup!$B$19="",0,IF(R213="",0,IF(ISNUMBER(R213),R213,1)))</f>
        <v/>
      </c>
      <c r="AT213">
        <f>IF(Setup!$B$20="",0,IF(S213="",0,IF(ISNUMBER(S213),S213,1)))</f>
        <v/>
      </c>
    </row>
    <row r="214">
      <c r="A214" s="1" t="n"/>
      <c r="B214" s="24" t="n"/>
      <c r="C214" s="25" t="n"/>
      <c r="D214" s="25" t="n"/>
      <c r="E214" s="26" t="n"/>
      <c r="F214" s="27" t="n"/>
      <c r="G214" s="17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28" t="n"/>
      <c r="R214" s="28" t="n"/>
      <c r="S214" s="28" t="n"/>
      <c r="T214" s="29">
        <f>IF(N(E214)=0,"",E214*IF(F214="",1,IFERROR(INDEX(Setup!$E$9:$E$18,MATCH(F214,Setup!$D$9:$D$18,0)),0)))</f>
        <v/>
      </c>
      <c r="U214" s="30">
        <f>IF(T214="","",IF(V214=0,"Everyone",IF(COUNTIF(AI214:AT214,"&gt;0")=COUNTIF(Setup!$B$9:$B$20,"?*"),"Everyone",COUNTIF(AI214:AT214,"&gt;0")&amp;IF(COUNTIF(AI214:AT214,"&gt;0")=1," person"," people"))))</f>
        <v/>
      </c>
      <c r="V214" s="1">
        <f>SUM(AI214:AT214)</f>
        <v/>
      </c>
      <c r="W214">
        <f>IF(OR(T214="",Setup!$B$9=""),0,IF(V214=0,T214/COUNTIF(Setup!$B$9:$B$20,"?*"),T214*AI214/V214))</f>
        <v/>
      </c>
      <c r="X214">
        <f>IF(OR(T214="",Setup!$B$10=""),0,IF(V214=0,T214/COUNTIF(Setup!$B$9:$B$20,"?*"),T214*AJ214/V214))</f>
        <v/>
      </c>
      <c r="Y214">
        <f>IF(OR(T214="",Setup!$B$11=""),0,IF(V214=0,T214/COUNTIF(Setup!$B$9:$B$20,"?*"),T214*AK214/V214))</f>
        <v/>
      </c>
      <c r="Z214">
        <f>IF(OR(T214="",Setup!$B$12=""),0,IF(V214=0,T214/COUNTIF(Setup!$B$9:$B$20,"?*"),T214*AL214/V214))</f>
        <v/>
      </c>
      <c r="AA214">
        <f>IF(OR(T214="",Setup!$B$13=""),0,IF(V214=0,T214/COUNTIF(Setup!$B$9:$B$20,"?*"),T214*AM214/V214))</f>
        <v/>
      </c>
      <c r="AB214">
        <f>IF(OR(T214="",Setup!$B$14=""),0,IF(V214=0,T214/COUNTIF(Setup!$B$9:$B$20,"?*"),T214*AN214/V214))</f>
        <v/>
      </c>
      <c r="AC214">
        <f>IF(OR(T214="",Setup!$B$15=""),0,IF(V214=0,T214/COUNTIF(Setup!$B$9:$B$20,"?*"),T214*AO214/V214))</f>
        <v/>
      </c>
      <c r="AD214">
        <f>IF(OR(T214="",Setup!$B$16=""),0,IF(V214=0,T214/COUNTIF(Setup!$B$9:$B$20,"?*"),T214*AP214/V214))</f>
        <v/>
      </c>
      <c r="AE214">
        <f>IF(OR(T214="",Setup!$B$17=""),0,IF(V214=0,T214/COUNTIF(Setup!$B$9:$B$20,"?*"),T214*AQ214/V214))</f>
        <v/>
      </c>
      <c r="AF214">
        <f>IF(OR(T214="",Setup!$B$18=""),0,IF(V214=0,T214/COUNTIF(Setup!$B$9:$B$20,"?*"),T214*AR214/V214))</f>
        <v/>
      </c>
      <c r="AG214">
        <f>IF(OR(T214="",Setup!$B$19=""),0,IF(V214=0,T214/COUNTIF(Setup!$B$9:$B$20,"?*"),T214*AS214/V214))</f>
        <v/>
      </c>
      <c r="AH214">
        <f>IF(OR(T214="",Setup!$B$20=""),0,IF(V214=0,T214/COUNTIF(Setup!$B$9:$B$20,"?*"),T214*AT214/V214))</f>
        <v/>
      </c>
      <c r="AI214">
        <f>IF(Setup!$B$9="",0,IF(H214="",0,IF(ISNUMBER(H214),H214,1)))</f>
        <v/>
      </c>
      <c r="AJ214">
        <f>IF(Setup!$B$10="",0,IF(I214="",0,IF(ISNUMBER(I214),I214,1)))</f>
        <v/>
      </c>
      <c r="AK214">
        <f>IF(Setup!$B$11="",0,IF(J214="",0,IF(ISNUMBER(J214),J214,1)))</f>
        <v/>
      </c>
      <c r="AL214">
        <f>IF(Setup!$B$12="",0,IF(K214="",0,IF(ISNUMBER(K214),K214,1)))</f>
        <v/>
      </c>
      <c r="AM214">
        <f>IF(Setup!$B$13="",0,IF(L214="",0,IF(ISNUMBER(L214),L214,1)))</f>
        <v/>
      </c>
      <c r="AN214">
        <f>IF(Setup!$B$14="",0,IF(M214="",0,IF(ISNUMBER(M214),M214,1)))</f>
        <v/>
      </c>
      <c r="AO214">
        <f>IF(Setup!$B$15="",0,IF(N214="",0,IF(ISNUMBER(N214),N214,1)))</f>
        <v/>
      </c>
      <c r="AP214">
        <f>IF(Setup!$B$16="",0,IF(O214="",0,IF(ISNUMBER(O214),O214,1)))</f>
        <v/>
      </c>
      <c r="AQ214">
        <f>IF(Setup!$B$17="",0,IF(P214="",0,IF(ISNUMBER(P214),P214,1)))</f>
        <v/>
      </c>
      <c r="AR214">
        <f>IF(Setup!$B$18="",0,IF(Q214="",0,IF(ISNUMBER(Q214),Q214,1)))</f>
        <v/>
      </c>
      <c r="AS214">
        <f>IF(Setup!$B$19="",0,IF(R214="",0,IF(ISNUMBER(R214),R214,1)))</f>
        <v/>
      </c>
      <c r="AT214">
        <f>IF(Setup!$B$20="",0,IF(S214="",0,IF(ISNUMBER(S214),S214,1)))</f>
        <v/>
      </c>
    </row>
    <row r="215">
      <c r="A215" s="1" t="n"/>
      <c r="B215" s="24" t="n"/>
      <c r="C215" s="25" t="n"/>
      <c r="D215" s="25" t="n"/>
      <c r="E215" s="26" t="n"/>
      <c r="F215" s="27" t="n"/>
      <c r="G215" s="17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28" t="n"/>
      <c r="R215" s="28" t="n"/>
      <c r="S215" s="28" t="n"/>
      <c r="T215" s="29">
        <f>IF(N(E215)=0,"",E215*IF(F215="",1,IFERROR(INDEX(Setup!$E$9:$E$18,MATCH(F215,Setup!$D$9:$D$18,0)),0)))</f>
        <v/>
      </c>
      <c r="U215" s="30">
        <f>IF(T215="","",IF(V215=0,"Everyone",IF(COUNTIF(AI215:AT215,"&gt;0")=COUNTIF(Setup!$B$9:$B$20,"?*"),"Everyone",COUNTIF(AI215:AT215,"&gt;0")&amp;IF(COUNTIF(AI215:AT215,"&gt;0")=1," person"," people"))))</f>
        <v/>
      </c>
      <c r="V215" s="1">
        <f>SUM(AI215:AT215)</f>
        <v/>
      </c>
      <c r="W215">
        <f>IF(OR(T215="",Setup!$B$9=""),0,IF(V215=0,T215/COUNTIF(Setup!$B$9:$B$20,"?*"),T215*AI215/V215))</f>
        <v/>
      </c>
      <c r="X215">
        <f>IF(OR(T215="",Setup!$B$10=""),0,IF(V215=0,T215/COUNTIF(Setup!$B$9:$B$20,"?*"),T215*AJ215/V215))</f>
        <v/>
      </c>
      <c r="Y215">
        <f>IF(OR(T215="",Setup!$B$11=""),0,IF(V215=0,T215/COUNTIF(Setup!$B$9:$B$20,"?*"),T215*AK215/V215))</f>
        <v/>
      </c>
      <c r="Z215">
        <f>IF(OR(T215="",Setup!$B$12=""),0,IF(V215=0,T215/COUNTIF(Setup!$B$9:$B$20,"?*"),T215*AL215/V215))</f>
        <v/>
      </c>
      <c r="AA215">
        <f>IF(OR(T215="",Setup!$B$13=""),0,IF(V215=0,T215/COUNTIF(Setup!$B$9:$B$20,"?*"),T215*AM215/V215))</f>
        <v/>
      </c>
      <c r="AB215">
        <f>IF(OR(T215="",Setup!$B$14=""),0,IF(V215=0,T215/COUNTIF(Setup!$B$9:$B$20,"?*"),T215*AN215/V215))</f>
        <v/>
      </c>
      <c r="AC215">
        <f>IF(OR(T215="",Setup!$B$15=""),0,IF(V215=0,T215/COUNTIF(Setup!$B$9:$B$20,"?*"),T215*AO215/V215))</f>
        <v/>
      </c>
      <c r="AD215">
        <f>IF(OR(T215="",Setup!$B$16=""),0,IF(V215=0,T215/COUNTIF(Setup!$B$9:$B$20,"?*"),T215*AP215/V215))</f>
        <v/>
      </c>
      <c r="AE215">
        <f>IF(OR(T215="",Setup!$B$17=""),0,IF(V215=0,T215/COUNTIF(Setup!$B$9:$B$20,"?*"),T215*AQ215/V215))</f>
        <v/>
      </c>
      <c r="AF215">
        <f>IF(OR(T215="",Setup!$B$18=""),0,IF(V215=0,T215/COUNTIF(Setup!$B$9:$B$20,"?*"),T215*AR215/V215))</f>
        <v/>
      </c>
      <c r="AG215">
        <f>IF(OR(T215="",Setup!$B$19=""),0,IF(V215=0,T215/COUNTIF(Setup!$B$9:$B$20,"?*"),T215*AS215/V215))</f>
        <v/>
      </c>
      <c r="AH215">
        <f>IF(OR(T215="",Setup!$B$20=""),0,IF(V215=0,T215/COUNTIF(Setup!$B$9:$B$20,"?*"),T215*AT215/V215))</f>
        <v/>
      </c>
      <c r="AI215">
        <f>IF(Setup!$B$9="",0,IF(H215="",0,IF(ISNUMBER(H215),H215,1)))</f>
        <v/>
      </c>
      <c r="AJ215">
        <f>IF(Setup!$B$10="",0,IF(I215="",0,IF(ISNUMBER(I215),I215,1)))</f>
        <v/>
      </c>
      <c r="AK215">
        <f>IF(Setup!$B$11="",0,IF(J215="",0,IF(ISNUMBER(J215),J215,1)))</f>
        <v/>
      </c>
      <c r="AL215">
        <f>IF(Setup!$B$12="",0,IF(K215="",0,IF(ISNUMBER(K215),K215,1)))</f>
        <v/>
      </c>
      <c r="AM215">
        <f>IF(Setup!$B$13="",0,IF(L215="",0,IF(ISNUMBER(L215),L215,1)))</f>
        <v/>
      </c>
      <c r="AN215">
        <f>IF(Setup!$B$14="",0,IF(M215="",0,IF(ISNUMBER(M215),M215,1)))</f>
        <v/>
      </c>
      <c r="AO215">
        <f>IF(Setup!$B$15="",0,IF(N215="",0,IF(ISNUMBER(N215),N215,1)))</f>
        <v/>
      </c>
      <c r="AP215">
        <f>IF(Setup!$B$16="",0,IF(O215="",0,IF(ISNUMBER(O215),O215,1)))</f>
        <v/>
      </c>
      <c r="AQ215">
        <f>IF(Setup!$B$17="",0,IF(P215="",0,IF(ISNUMBER(P215),P215,1)))</f>
        <v/>
      </c>
      <c r="AR215">
        <f>IF(Setup!$B$18="",0,IF(Q215="",0,IF(ISNUMBER(Q215),Q215,1)))</f>
        <v/>
      </c>
      <c r="AS215">
        <f>IF(Setup!$B$19="",0,IF(R215="",0,IF(ISNUMBER(R215),R215,1)))</f>
        <v/>
      </c>
      <c r="AT215">
        <f>IF(Setup!$B$20="",0,IF(S215="",0,IF(ISNUMBER(S215),S215,1)))</f>
        <v/>
      </c>
    </row>
    <row r="216">
      <c r="A216" s="1" t="n"/>
      <c r="B216" s="24" t="n"/>
      <c r="C216" s="25" t="n"/>
      <c r="D216" s="25" t="n"/>
      <c r="E216" s="26" t="n"/>
      <c r="F216" s="27" t="n"/>
      <c r="G216" s="17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28" t="n"/>
      <c r="R216" s="28" t="n"/>
      <c r="S216" s="28" t="n"/>
      <c r="T216" s="29">
        <f>IF(N(E216)=0,"",E216*IF(F216="",1,IFERROR(INDEX(Setup!$E$9:$E$18,MATCH(F216,Setup!$D$9:$D$18,0)),0)))</f>
        <v/>
      </c>
      <c r="U216" s="30">
        <f>IF(T216="","",IF(V216=0,"Everyone",IF(COUNTIF(AI216:AT216,"&gt;0")=COUNTIF(Setup!$B$9:$B$20,"?*"),"Everyone",COUNTIF(AI216:AT216,"&gt;0")&amp;IF(COUNTIF(AI216:AT216,"&gt;0")=1," person"," people"))))</f>
        <v/>
      </c>
      <c r="V216" s="1">
        <f>SUM(AI216:AT216)</f>
        <v/>
      </c>
      <c r="W216">
        <f>IF(OR(T216="",Setup!$B$9=""),0,IF(V216=0,T216/COUNTIF(Setup!$B$9:$B$20,"?*"),T216*AI216/V216))</f>
        <v/>
      </c>
      <c r="X216">
        <f>IF(OR(T216="",Setup!$B$10=""),0,IF(V216=0,T216/COUNTIF(Setup!$B$9:$B$20,"?*"),T216*AJ216/V216))</f>
        <v/>
      </c>
      <c r="Y216">
        <f>IF(OR(T216="",Setup!$B$11=""),0,IF(V216=0,T216/COUNTIF(Setup!$B$9:$B$20,"?*"),T216*AK216/V216))</f>
        <v/>
      </c>
      <c r="Z216">
        <f>IF(OR(T216="",Setup!$B$12=""),0,IF(V216=0,T216/COUNTIF(Setup!$B$9:$B$20,"?*"),T216*AL216/V216))</f>
        <v/>
      </c>
      <c r="AA216">
        <f>IF(OR(T216="",Setup!$B$13=""),0,IF(V216=0,T216/COUNTIF(Setup!$B$9:$B$20,"?*"),T216*AM216/V216))</f>
        <v/>
      </c>
      <c r="AB216">
        <f>IF(OR(T216="",Setup!$B$14=""),0,IF(V216=0,T216/COUNTIF(Setup!$B$9:$B$20,"?*"),T216*AN216/V216))</f>
        <v/>
      </c>
      <c r="AC216">
        <f>IF(OR(T216="",Setup!$B$15=""),0,IF(V216=0,T216/COUNTIF(Setup!$B$9:$B$20,"?*"),T216*AO216/V216))</f>
        <v/>
      </c>
      <c r="AD216">
        <f>IF(OR(T216="",Setup!$B$16=""),0,IF(V216=0,T216/COUNTIF(Setup!$B$9:$B$20,"?*"),T216*AP216/V216))</f>
        <v/>
      </c>
      <c r="AE216">
        <f>IF(OR(T216="",Setup!$B$17=""),0,IF(V216=0,T216/COUNTIF(Setup!$B$9:$B$20,"?*"),T216*AQ216/V216))</f>
        <v/>
      </c>
      <c r="AF216">
        <f>IF(OR(T216="",Setup!$B$18=""),0,IF(V216=0,T216/COUNTIF(Setup!$B$9:$B$20,"?*"),T216*AR216/V216))</f>
        <v/>
      </c>
      <c r="AG216">
        <f>IF(OR(T216="",Setup!$B$19=""),0,IF(V216=0,T216/COUNTIF(Setup!$B$9:$B$20,"?*"),T216*AS216/V216))</f>
        <v/>
      </c>
      <c r="AH216">
        <f>IF(OR(T216="",Setup!$B$20=""),0,IF(V216=0,T216/COUNTIF(Setup!$B$9:$B$20,"?*"),T216*AT216/V216))</f>
        <v/>
      </c>
      <c r="AI216">
        <f>IF(Setup!$B$9="",0,IF(H216="",0,IF(ISNUMBER(H216),H216,1)))</f>
        <v/>
      </c>
      <c r="AJ216">
        <f>IF(Setup!$B$10="",0,IF(I216="",0,IF(ISNUMBER(I216),I216,1)))</f>
        <v/>
      </c>
      <c r="AK216">
        <f>IF(Setup!$B$11="",0,IF(J216="",0,IF(ISNUMBER(J216),J216,1)))</f>
        <v/>
      </c>
      <c r="AL216">
        <f>IF(Setup!$B$12="",0,IF(K216="",0,IF(ISNUMBER(K216),K216,1)))</f>
        <v/>
      </c>
      <c r="AM216">
        <f>IF(Setup!$B$13="",0,IF(L216="",0,IF(ISNUMBER(L216),L216,1)))</f>
        <v/>
      </c>
      <c r="AN216">
        <f>IF(Setup!$B$14="",0,IF(M216="",0,IF(ISNUMBER(M216),M216,1)))</f>
        <v/>
      </c>
      <c r="AO216">
        <f>IF(Setup!$B$15="",0,IF(N216="",0,IF(ISNUMBER(N216),N216,1)))</f>
        <v/>
      </c>
      <c r="AP216">
        <f>IF(Setup!$B$16="",0,IF(O216="",0,IF(ISNUMBER(O216),O216,1)))</f>
        <v/>
      </c>
      <c r="AQ216">
        <f>IF(Setup!$B$17="",0,IF(P216="",0,IF(ISNUMBER(P216),P216,1)))</f>
        <v/>
      </c>
      <c r="AR216">
        <f>IF(Setup!$B$18="",0,IF(Q216="",0,IF(ISNUMBER(Q216),Q216,1)))</f>
        <v/>
      </c>
      <c r="AS216">
        <f>IF(Setup!$B$19="",0,IF(R216="",0,IF(ISNUMBER(R216),R216,1)))</f>
        <v/>
      </c>
      <c r="AT216">
        <f>IF(Setup!$B$20="",0,IF(S216="",0,IF(ISNUMBER(S216),S216,1)))</f>
        <v/>
      </c>
    </row>
    <row r="217">
      <c r="A217" s="1" t="n"/>
      <c r="B217" s="24" t="n"/>
      <c r="C217" s="25" t="n"/>
      <c r="D217" s="25" t="n"/>
      <c r="E217" s="26" t="n"/>
      <c r="F217" s="27" t="n"/>
      <c r="G217" s="17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28" t="n"/>
      <c r="R217" s="28" t="n"/>
      <c r="S217" s="28" t="n"/>
      <c r="T217" s="29">
        <f>IF(N(E217)=0,"",E217*IF(F217="",1,IFERROR(INDEX(Setup!$E$9:$E$18,MATCH(F217,Setup!$D$9:$D$18,0)),0)))</f>
        <v/>
      </c>
      <c r="U217" s="30">
        <f>IF(T217="","",IF(V217=0,"Everyone",IF(COUNTIF(AI217:AT217,"&gt;0")=COUNTIF(Setup!$B$9:$B$20,"?*"),"Everyone",COUNTIF(AI217:AT217,"&gt;0")&amp;IF(COUNTIF(AI217:AT217,"&gt;0")=1," person"," people"))))</f>
        <v/>
      </c>
      <c r="V217" s="1">
        <f>SUM(AI217:AT217)</f>
        <v/>
      </c>
      <c r="W217">
        <f>IF(OR(T217="",Setup!$B$9=""),0,IF(V217=0,T217/COUNTIF(Setup!$B$9:$B$20,"?*"),T217*AI217/V217))</f>
        <v/>
      </c>
      <c r="X217">
        <f>IF(OR(T217="",Setup!$B$10=""),0,IF(V217=0,T217/COUNTIF(Setup!$B$9:$B$20,"?*"),T217*AJ217/V217))</f>
        <v/>
      </c>
      <c r="Y217">
        <f>IF(OR(T217="",Setup!$B$11=""),0,IF(V217=0,T217/COUNTIF(Setup!$B$9:$B$20,"?*"),T217*AK217/V217))</f>
        <v/>
      </c>
      <c r="Z217">
        <f>IF(OR(T217="",Setup!$B$12=""),0,IF(V217=0,T217/COUNTIF(Setup!$B$9:$B$20,"?*"),T217*AL217/V217))</f>
        <v/>
      </c>
      <c r="AA217">
        <f>IF(OR(T217="",Setup!$B$13=""),0,IF(V217=0,T217/COUNTIF(Setup!$B$9:$B$20,"?*"),T217*AM217/V217))</f>
        <v/>
      </c>
      <c r="AB217">
        <f>IF(OR(T217="",Setup!$B$14=""),0,IF(V217=0,T217/COUNTIF(Setup!$B$9:$B$20,"?*"),T217*AN217/V217))</f>
        <v/>
      </c>
      <c r="AC217">
        <f>IF(OR(T217="",Setup!$B$15=""),0,IF(V217=0,T217/COUNTIF(Setup!$B$9:$B$20,"?*"),T217*AO217/V217))</f>
        <v/>
      </c>
      <c r="AD217">
        <f>IF(OR(T217="",Setup!$B$16=""),0,IF(V217=0,T217/COUNTIF(Setup!$B$9:$B$20,"?*"),T217*AP217/V217))</f>
        <v/>
      </c>
      <c r="AE217">
        <f>IF(OR(T217="",Setup!$B$17=""),0,IF(V217=0,T217/COUNTIF(Setup!$B$9:$B$20,"?*"),T217*AQ217/V217))</f>
        <v/>
      </c>
      <c r="AF217">
        <f>IF(OR(T217="",Setup!$B$18=""),0,IF(V217=0,T217/COUNTIF(Setup!$B$9:$B$20,"?*"),T217*AR217/V217))</f>
        <v/>
      </c>
      <c r="AG217">
        <f>IF(OR(T217="",Setup!$B$19=""),0,IF(V217=0,T217/COUNTIF(Setup!$B$9:$B$20,"?*"),T217*AS217/V217))</f>
        <v/>
      </c>
      <c r="AH217">
        <f>IF(OR(T217="",Setup!$B$20=""),0,IF(V217=0,T217/COUNTIF(Setup!$B$9:$B$20,"?*"),T217*AT217/V217))</f>
        <v/>
      </c>
      <c r="AI217">
        <f>IF(Setup!$B$9="",0,IF(H217="",0,IF(ISNUMBER(H217),H217,1)))</f>
        <v/>
      </c>
      <c r="AJ217">
        <f>IF(Setup!$B$10="",0,IF(I217="",0,IF(ISNUMBER(I217),I217,1)))</f>
        <v/>
      </c>
      <c r="AK217">
        <f>IF(Setup!$B$11="",0,IF(J217="",0,IF(ISNUMBER(J217),J217,1)))</f>
        <v/>
      </c>
      <c r="AL217">
        <f>IF(Setup!$B$12="",0,IF(K217="",0,IF(ISNUMBER(K217),K217,1)))</f>
        <v/>
      </c>
      <c r="AM217">
        <f>IF(Setup!$B$13="",0,IF(L217="",0,IF(ISNUMBER(L217),L217,1)))</f>
        <v/>
      </c>
      <c r="AN217">
        <f>IF(Setup!$B$14="",0,IF(M217="",0,IF(ISNUMBER(M217),M217,1)))</f>
        <v/>
      </c>
      <c r="AO217">
        <f>IF(Setup!$B$15="",0,IF(N217="",0,IF(ISNUMBER(N217),N217,1)))</f>
        <v/>
      </c>
      <c r="AP217">
        <f>IF(Setup!$B$16="",0,IF(O217="",0,IF(ISNUMBER(O217),O217,1)))</f>
        <v/>
      </c>
      <c r="AQ217">
        <f>IF(Setup!$B$17="",0,IF(P217="",0,IF(ISNUMBER(P217),P217,1)))</f>
        <v/>
      </c>
      <c r="AR217">
        <f>IF(Setup!$B$18="",0,IF(Q217="",0,IF(ISNUMBER(Q217),Q217,1)))</f>
        <v/>
      </c>
      <c r="AS217">
        <f>IF(Setup!$B$19="",0,IF(R217="",0,IF(ISNUMBER(R217),R217,1)))</f>
        <v/>
      </c>
      <c r="AT217">
        <f>IF(Setup!$B$20="",0,IF(S217="",0,IF(ISNUMBER(S217),S217,1)))</f>
        <v/>
      </c>
    </row>
    <row r="218">
      <c r="A218" s="1" t="n"/>
      <c r="B218" s="24" t="n"/>
      <c r="C218" s="25" t="n"/>
      <c r="D218" s="25" t="n"/>
      <c r="E218" s="26" t="n"/>
      <c r="F218" s="27" t="n"/>
      <c r="G218" s="17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28" t="n"/>
      <c r="R218" s="28" t="n"/>
      <c r="S218" s="28" t="n"/>
      <c r="T218" s="29">
        <f>IF(N(E218)=0,"",E218*IF(F218="",1,IFERROR(INDEX(Setup!$E$9:$E$18,MATCH(F218,Setup!$D$9:$D$18,0)),0)))</f>
        <v/>
      </c>
      <c r="U218" s="30">
        <f>IF(T218="","",IF(V218=0,"Everyone",IF(COUNTIF(AI218:AT218,"&gt;0")=COUNTIF(Setup!$B$9:$B$20,"?*"),"Everyone",COUNTIF(AI218:AT218,"&gt;0")&amp;IF(COUNTIF(AI218:AT218,"&gt;0")=1," person"," people"))))</f>
        <v/>
      </c>
      <c r="V218" s="1">
        <f>SUM(AI218:AT218)</f>
        <v/>
      </c>
      <c r="W218">
        <f>IF(OR(T218="",Setup!$B$9=""),0,IF(V218=0,T218/COUNTIF(Setup!$B$9:$B$20,"?*"),T218*AI218/V218))</f>
        <v/>
      </c>
      <c r="X218">
        <f>IF(OR(T218="",Setup!$B$10=""),0,IF(V218=0,T218/COUNTIF(Setup!$B$9:$B$20,"?*"),T218*AJ218/V218))</f>
        <v/>
      </c>
      <c r="Y218">
        <f>IF(OR(T218="",Setup!$B$11=""),0,IF(V218=0,T218/COUNTIF(Setup!$B$9:$B$20,"?*"),T218*AK218/V218))</f>
        <v/>
      </c>
      <c r="Z218">
        <f>IF(OR(T218="",Setup!$B$12=""),0,IF(V218=0,T218/COUNTIF(Setup!$B$9:$B$20,"?*"),T218*AL218/V218))</f>
        <v/>
      </c>
      <c r="AA218">
        <f>IF(OR(T218="",Setup!$B$13=""),0,IF(V218=0,T218/COUNTIF(Setup!$B$9:$B$20,"?*"),T218*AM218/V218))</f>
        <v/>
      </c>
      <c r="AB218">
        <f>IF(OR(T218="",Setup!$B$14=""),0,IF(V218=0,T218/COUNTIF(Setup!$B$9:$B$20,"?*"),T218*AN218/V218))</f>
        <v/>
      </c>
      <c r="AC218">
        <f>IF(OR(T218="",Setup!$B$15=""),0,IF(V218=0,T218/COUNTIF(Setup!$B$9:$B$20,"?*"),T218*AO218/V218))</f>
        <v/>
      </c>
      <c r="AD218">
        <f>IF(OR(T218="",Setup!$B$16=""),0,IF(V218=0,T218/COUNTIF(Setup!$B$9:$B$20,"?*"),T218*AP218/V218))</f>
        <v/>
      </c>
      <c r="AE218">
        <f>IF(OR(T218="",Setup!$B$17=""),0,IF(V218=0,T218/COUNTIF(Setup!$B$9:$B$20,"?*"),T218*AQ218/V218))</f>
        <v/>
      </c>
      <c r="AF218">
        <f>IF(OR(T218="",Setup!$B$18=""),0,IF(V218=0,T218/COUNTIF(Setup!$B$9:$B$20,"?*"),T218*AR218/V218))</f>
        <v/>
      </c>
      <c r="AG218">
        <f>IF(OR(T218="",Setup!$B$19=""),0,IF(V218=0,T218/COUNTIF(Setup!$B$9:$B$20,"?*"),T218*AS218/V218))</f>
        <v/>
      </c>
      <c r="AH218">
        <f>IF(OR(T218="",Setup!$B$20=""),0,IF(V218=0,T218/COUNTIF(Setup!$B$9:$B$20,"?*"),T218*AT218/V218))</f>
        <v/>
      </c>
      <c r="AI218">
        <f>IF(Setup!$B$9="",0,IF(H218="",0,IF(ISNUMBER(H218),H218,1)))</f>
        <v/>
      </c>
      <c r="AJ218">
        <f>IF(Setup!$B$10="",0,IF(I218="",0,IF(ISNUMBER(I218),I218,1)))</f>
        <v/>
      </c>
      <c r="AK218">
        <f>IF(Setup!$B$11="",0,IF(J218="",0,IF(ISNUMBER(J218),J218,1)))</f>
        <v/>
      </c>
      <c r="AL218">
        <f>IF(Setup!$B$12="",0,IF(K218="",0,IF(ISNUMBER(K218),K218,1)))</f>
        <v/>
      </c>
      <c r="AM218">
        <f>IF(Setup!$B$13="",0,IF(L218="",0,IF(ISNUMBER(L218),L218,1)))</f>
        <v/>
      </c>
      <c r="AN218">
        <f>IF(Setup!$B$14="",0,IF(M218="",0,IF(ISNUMBER(M218),M218,1)))</f>
        <v/>
      </c>
      <c r="AO218">
        <f>IF(Setup!$B$15="",0,IF(N218="",0,IF(ISNUMBER(N218),N218,1)))</f>
        <v/>
      </c>
      <c r="AP218">
        <f>IF(Setup!$B$16="",0,IF(O218="",0,IF(ISNUMBER(O218),O218,1)))</f>
        <v/>
      </c>
      <c r="AQ218">
        <f>IF(Setup!$B$17="",0,IF(P218="",0,IF(ISNUMBER(P218),P218,1)))</f>
        <v/>
      </c>
      <c r="AR218">
        <f>IF(Setup!$B$18="",0,IF(Q218="",0,IF(ISNUMBER(Q218),Q218,1)))</f>
        <v/>
      </c>
      <c r="AS218">
        <f>IF(Setup!$B$19="",0,IF(R218="",0,IF(ISNUMBER(R218),R218,1)))</f>
        <v/>
      </c>
      <c r="AT218">
        <f>IF(Setup!$B$20="",0,IF(S218="",0,IF(ISNUMBER(S218),S218,1)))</f>
        <v/>
      </c>
    </row>
    <row r="219">
      <c r="A219" s="1" t="n"/>
      <c r="B219" s="24" t="n"/>
      <c r="C219" s="25" t="n"/>
      <c r="D219" s="25" t="n"/>
      <c r="E219" s="26" t="n"/>
      <c r="F219" s="27" t="n"/>
      <c r="G219" s="17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28" t="n"/>
      <c r="R219" s="28" t="n"/>
      <c r="S219" s="28" t="n"/>
      <c r="T219" s="29">
        <f>IF(N(E219)=0,"",E219*IF(F219="",1,IFERROR(INDEX(Setup!$E$9:$E$18,MATCH(F219,Setup!$D$9:$D$18,0)),0)))</f>
        <v/>
      </c>
      <c r="U219" s="30">
        <f>IF(T219="","",IF(V219=0,"Everyone",IF(COUNTIF(AI219:AT219,"&gt;0")=COUNTIF(Setup!$B$9:$B$20,"?*"),"Everyone",COUNTIF(AI219:AT219,"&gt;0")&amp;IF(COUNTIF(AI219:AT219,"&gt;0")=1," person"," people"))))</f>
        <v/>
      </c>
      <c r="V219" s="1">
        <f>SUM(AI219:AT219)</f>
        <v/>
      </c>
      <c r="W219">
        <f>IF(OR(T219="",Setup!$B$9=""),0,IF(V219=0,T219/COUNTIF(Setup!$B$9:$B$20,"?*"),T219*AI219/V219))</f>
        <v/>
      </c>
      <c r="X219">
        <f>IF(OR(T219="",Setup!$B$10=""),0,IF(V219=0,T219/COUNTIF(Setup!$B$9:$B$20,"?*"),T219*AJ219/V219))</f>
        <v/>
      </c>
      <c r="Y219">
        <f>IF(OR(T219="",Setup!$B$11=""),0,IF(V219=0,T219/COUNTIF(Setup!$B$9:$B$20,"?*"),T219*AK219/V219))</f>
        <v/>
      </c>
      <c r="Z219">
        <f>IF(OR(T219="",Setup!$B$12=""),0,IF(V219=0,T219/COUNTIF(Setup!$B$9:$B$20,"?*"),T219*AL219/V219))</f>
        <v/>
      </c>
      <c r="AA219">
        <f>IF(OR(T219="",Setup!$B$13=""),0,IF(V219=0,T219/COUNTIF(Setup!$B$9:$B$20,"?*"),T219*AM219/V219))</f>
        <v/>
      </c>
      <c r="AB219">
        <f>IF(OR(T219="",Setup!$B$14=""),0,IF(V219=0,T219/COUNTIF(Setup!$B$9:$B$20,"?*"),T219*AN219/V219))</f>
        <v/>
      </c>
      <c r="AC219">
        <f>IF(OR(T219="",Setup!$B$15=""),0,IF(V219=0,T219/COUNTIF(Setup!$B$9:$B$20,"?*"),T219*AO219/V219))</f>
        <v/>
      </c>
      <c r="AD219">
        <f>IF(OR(T219="",Setup!$B$16=""),0,IF(V219=0,T219/COUNTIF(Setup!$B$9:$B$20,"?*"),T219*AP219/V219))</f>
        <v/>
      </c>
      <c r="AE219">
        <f>IF(OR(T219="",Setup!$B$17=""),0,IF(V219=0,T219/COUNTIF(Setup!$B$9:$B$20,"?*"),T219*AQ219/V219))</f>
        <v/>
      </c>
      <c r="AF219">
        <f>IF(OR(T219="",Setup!$B$18=""),0,IF(V219=0,T219/COUNTIF(Setup!$B$9:$B$20,"?*"),T219*AR219/V219))</f>
        <v/>
      </c>
      <c r="AG219">
        <f>IF(OR(T219="",Setup!$B$19=""),0,IF(V219=0,T219/COUNTIF(Setup!$B$9:$B$20,"?*"),T219*AS219/V219))</f>
        <v/>
      </c>
      <c r="AH219">
        <f>IF(OR(T219="",Setup!$B$20=""),0,IF(V219=0,T219/COUNTIF(Setup!$B$9:$B$20,"?*"),T219*AT219/V219))</f>
        <v/>
      </c>
      <c r="AI219">
        <f>IF(Setup!$B$9="",0,IF(H219="",0,IF(ISNUMBER(H219),H219,1)))</f>
        <v/>
      </c>
      <c r="AJ219">
        <f>IF(Setup!$B$10="",0,IF(I219="",0,IF(ISNUMBER(I219),I219,1)))</f>
        <v/>
      </c>
      <c r="AK219">
        <f>IF(Setup!$B$11="",0,IF(J219="",0,IF(ISNUMBER(J219),J219,1)))</f>
        <v/>
      </c>
      <c r="AL219">
        <f>IF(Setup!$B$12="",0,IF(K219="",0,IF(ISNUMBER(K219),K219,1)))</f>
        <v/>
      </c>
      <c r="AM219">
        <f>IF(Setup!$B$13="",0,IF(L219="",0,IF(ISNUMBER(L219),L219,1)))</f>
        <v/>
      </c>
      <c r="AN219">
        <f>IF(Setup!$B$14="",0,IF(M219="",0,IF(ISNUMBER(M219),M219,1)))</f>
        <v/>
      </c>
      <c r="AO219">
        <f>IF(Setup!$B$15="",0,IF(N219="",0,IF(ISNUMBER(N219),N219,1)))</f>
        <v/>
      </c>
      <c r="AP219">
        <f>IF(Setup!$B$16="",0,IF(O219="",0,IF(ISNUMBER(O219),O219,1)))</f>
        <v/>
      </c>
      <c r="AQ219">
        <f>IF(Setup!$B$17="",0,IF(P219="",0,IF(ISNUMBER(P219),P219,1)))</f>
        <v/>
      </c>
      <c r="AR219">
        <f>IF(Setup!$B$18="",0,IF(Q219="",0,IF(ISNUMBER(Q219),Q219,1)))</f>
        <v/>
      </c>
      <c r="AS219">
        <f>IF(Setup!$B$19="",0,IF(R219="",0,IF(ISNUMBER(R219),R219,1)))</f>
        <v/>
      </c>
      <c r="AT219">
        <f>IF(Setup!$B$20="",0,IF(S219="",0,IF(ISNUMBER(S219),S219,1)))</f>
        <v/>
      </c>
    </row>
    <row r="220">
      <c r="A220" s="1" t="n"/>
      <c r="B220" s="24" t="n"/>
      <c r="C220" s="25" t="n"/>
      <c r="D220" s="25" t="n"/>
      <c r="E220" s="26" t="n"/>
      <c r="F220" s="27" t="n"/>
      <c r="G220" s="17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28" t="n"/>
      <c r="R220" s="28" t="n"/>
      <c r="S220" s="28" t="n"/>
      <c r="T220" s="29">
        <f>IF(N(E220)=0,"",E220*IF(F220="",1,IFERROR(INDEX(Setup!$E$9:$E$18,MATCH(F220,Setup!$D$9:$D$18,0)),0)))</f>
        <v/>
      </c>
      <c r="U220" s="30">
        <f>IF(T220="","",IF(V220=0,"Everyone",IF(COUNTIF(AI220:AT220,"&gt;0")=COUNTIF(Setup!$B$9:$B$20,"?*"),"Everyone",COUNTIF(AI220:AT220,"&gt;0")&amp;IF(COUNTIF(AI220:AT220,"&gt;0")=1," person"," people"))))</f>
        <v/>
      </c>
      <c r="V220" s="1">
        <f>SUM(AI220:AT220)</f>
        <v/>
      </c>
      <c r="W220">
        <f>IF(OR(T220="",Setup!$B$9=""),0,IF(V220=0,T220/COUNTIF(Setup!$B$9:$B$20,"?*"),T220*AI220/V220))</f>
        <v/>
      </c>
      <c r="X220">
        <f>IF(OR(T220="",Setup!$B$10=""),0,IF(V220=0,T220/COUNTIF(Setup!$B$9:$B$20,"?*"),T220*AJ220/V220))</f>
        <v/>
      </c>
      <c r="Y220">
        <f>IF(OR(T220="",Setup!$B$11=""),0,IF(V220=0,T220/COUNTIF(Setup!$B$9:$B$20,"?*"),T220*AK220/V220))</f>
        <v/>
      </c>
      <c r="Z220">
        <f>IF(OR(T220="",Setup!$B$12=""),0,IF(V220=0,T220/COUNTIF(Setup!$B$9:$B$20,"?*"),T220*AL220/V220))</f>
        <v/>
      </c>
      <c r="AA220">
        <f>IF(OR(T220="",Setup!$B$13=""),0,IF(V220=0,T220/COUNTIF(Setup!$B$9:$B$20,"?*"),T220*AM220/V220))</f>
        <v/>
      </c>
      <c r="AB220">
        <f>IF(OR(T220="",Setup!$B$14=""),0,IF(V220=0,T220/COUNTIF(Setup!$B$9:$B$20,"?*"),T220*AN220/V220))</f>
        <v/>
      </c>
      <c r="AC220">
        <f>IF(OR(T220="",Setup!$B$15=""),0,IF(V220=0,T220/COUNTIF(Setup!$B$9:$B$20,"?*"),T220*AO220/V220))</f>
        <v/>
      </c>
      <c r="AD220">
        <f>IF(OR(T220="",Setup!$B$16=""),0,IF(V220=0,T220/COUNTIF(Setup!$B$9:$B$20,"?*"),T220*AP220/V220))</f>
        <v/>
      </c>
      <c r="AE220">
        <f>IF(OR(T220="",Setup!$B$17=""),0,IF(V220=0,T220/COUNTIF(Setup!$B$9:$B$20,"?*"),T220*AQ220/V220))</f>
        <v/>
      </c>
      <c r="AF220">
        <f>IF(OR(T220="",Setup!$B$18=""),0,IF(V220=0,T220/COUNTIF(Setup!$B$9:$B$20,"?*"),T220*AR220/V220))</f>
        <v/>
      </c>
      <c r="AG220">
        <f>IF(OR(T220="",Setup!$B$19=""),0,IF(V220=0,T220/COUNTIF(Setup!$B$9:$B$20,"?*"),T220*AS220/V220))</f>
        <v/>
      </c>
      <c r="AH220">
        <f>IF(OR(T220="",Setup!$B$20=""),0,IF(V220=0,T220/COUNTIF(Setup!$B$9:$B$20,"?*"),T220*AT220/V220))</f>
        <v/>
      </c>
      <c r="AI220">
        <f>IF(Setup!$B$9="",0,IF(H220="",0,IF(ISNUMBER(H220),H220,1)))</f>
        <v/>
      </c>
      <c r="AJ220">
        <f>IF(Setup!$B$10="",0,IF(I220="",0,IF(ISNUMBER(I220),I220,1)))</f>
        <v/>
      </c>
      <c r="AK220">
        <f>IF(Setup!$B$11="",0,IF(J220="",0,IF(ISNUMBER(J220),J220,1)))</f>
        <v/>
      </c>
      <c r="AL220">
        <f>IF(Setup!$B$12="",0,IF(K220="",0,IF(ISNUMBER(K220),K220,1)))</f>
        <v/>
      </c>
      <c r="AM220">
        <f>IF(Setup!$B$13="",0,IF(L220="",0,IF(ISNUMBER(L220),L220,1)))</f>
        <v/>
      </c>
      <c r="AN220">
        <f>IF(Setup!$B$14="",0,IF(M220="",0,IF(ISNUMBER(M220),M220,1)))</f>
        <v/>
      </c>
      <c r="AO220">
        <f>IF(Setup!$B$15="",0,IF(N220="",0,IF(ISNUMBER(N220),N220,1)))</f>
        <v/>
      </c>
      <c r="AP220">
        <f>IF(Setup!$B$16="",0,IF(O220="",0,IF(ISNUMBER(O220),O220,1)))</f>
        <v/>
      </c>
      <c r="AQ220">
        <f>IF(Setup!$B$17="",0,IF(P220="",0,IF(ISNUMBER(P220),P220,1)))</f>
        <v/>
      </c>
      <c r="AR220">
        <f>IF(Setup!$B$18="",0,IF(Q220="",0,IF(ISNUMBER(Q220),Q220,1)))</f>
        <v/>
      </c>
      <c r="AS220">
        <f>IF(Setup!$B$19="",0,IF(R220="",0,IF(ISNUMBER(R220),R220,1)))</f>
        <v/>
      </c>
      <c r="AT220">
        <f>IF(Setup!$B$20="",0,IF(S220="",0,IF(ISNUMBER(S220),S220,1)))</f>
        <v/>
      </c>
    </row>
    <row r="221">
      <c r="A221" s="1" t="n"/>
      <c r="B221" s="24" t="n"/>
      <c r="C221" s="25" t="n"/>
      <c r="D221" s="25" t="n"/>
      <c r="E221" s="26" t="n"/>
      <c r="F221" s="27" t="n"/>
      <c r="G221" s="17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8" t="n"/>
      <c r="Q221" s="28" t="n"/>
      <c r="R221" s="28" t="n"/>
      <c r="S221" s="28" t="n"/>
      <c r="T221" s="29">
        <f>IF(N(E221)=0,"",E221*IF(F221="",1,IFERROR(INDEX(Setup!$E$9:$E$18,MATCH(F221,Setup!$D$9:$D$18,0)),0)))</f>
        <v/>
      </c>
      <c r="U221" s="30">
        <f>IF(T221="","",IF(V221=0,"Everyone",IF(COUNTIF(AI221:AT221,"&gt;0")=COUNTIF(Setup!$B$9:$B$20,"?*"),"Everyone",COUNTIF(AI221:AT221,"&gt;0")&amp;IF(COUNTIF(AI221:AT221,"&gt;0")=1," person"," people"))))</f>
        <v/>
      </c>
      <c r="V221" s="1">
        <f>SUM(AI221:AT221)</f>
        <v/>
      </c>
      <c r="W221">
        <f>IF(OR(T221="",Setup!$B$9=""),0,IF(V221=0,T221/COUNTIF(Setup!$B$9:$B$20,"?*"),T221*AI221/V221))</f>
        <v/>
      </c>
      <c r="X221">
        <f>IF(OR(T221="",Setup!$B$10=""),0,IF(V221=0,T221/COUNTIF(Setup!$B$9:$B$20,"?*"),T221*AJ221/V221))</f>
        <v/>
      </c>
      <c r="Y221">
        <f>IF(OR(T221="",Setup!$B$11=""),0,IF(V221=0,T221/COUNTIF(Setup!$B$9:$B$20,"?*"),T221*AK221/V221))</f>
        <v/>
      </c>
      <c r="Z221">
        <f>IF(OR(T221="",Setup!$B$12=""),0,IF(V221=0,T221/COUNTIF(Setup!$B$9:$B$20,"?*"),T221*AL221/V221))</f>
        <v/>
      </c>
      <c r="AA221">
        <f>IF(OR(T221="",Setup!$B$13=""),0,IF(V221=0,T221/COUNTIF(Setup!$B$9:$B$20,"?*"),T221*AM221/V221))</f>
        <v/>
      </c>
      <c r="AB221">
        <f>IF(OR(T221="",Setup!$B$14=""),0,IF(V221=0,T221/COUNTIF(Setup!$B$9:$B$20,"?*"),T221*AN221/V221))</f>
        <v/>
      </c>
      <c r="AC221">
        <f>IF(OR(T221="",Setup!$B$15=""),0,IF(V221=0,T221/COUNTIF(Setup!$B$9:$B$20,"?*"),T221*AO221/V221))</f>
        <v/>
      </c>
      <c r="AD221">
        <f>IF(OR(T221="",Setup!$B$16=""),0,IF(V221=0,T221/COUNTIF(Setup!$B$9:$B$20,"?*"),T221*AP221/V221))</f>
        <v/>
      </c>
      <c r="AE221">
        <f>IF(OR(T221="",Setup!$B$17=""),0,IF(V221=0,T221/COUNTIF(Setup!$B$9:$B$20,"?*"),T221*AQ221/V221))</f>
        <v/>
      </c>
      <c r="AF221">
        <f>IF(OR(T221="",Setup!$B$18=""),0,IF(V221=0,T221/COUNTIF(Setup!$B$9:$B$20,"?*"),T221*AR221/V221))</f>
        <v/>
      </c>
      <c r="AG221">
        <f>IF(OR(T221="",Setup!$B$19=""),0,IF(V221=0,T221/COUNTIF(Setup!$B$9:$B$20,"?*"),T221*AS221/V221))</f>
        <v/>
      </c>
      <c r="AH221">
        <f>IF(OR(T221="",Setup!$B$20=""),0,IF(V221=0,T221/COUNTIF(Setup!$B$9:$B$20,"?*"),T221*AT221/V221))</f>
        <v/>
      </c>
      <c r="AI221">
        <f>IF(Setup!$B$9="",0,IF(H221="",0,IF(ISNUMBER(H221),H221,1)))</f>
        <v/>
      </c>
      <c r="AJ221">
        <f>IF(Setup!$B$10="",0,IF(I221="",0,IF(ISNUMBER(I221),I221,1)))</f>
        <v/>
      </c>
      <c r="AK221">
        <f>IF(Setup!$B$11="",0,IF(J221="",0,IF(ISNUMBER(J221),J221,1)))</f>
        <v/>
      </c>
      <c r="AL221">
        <f>IF(Setup!$B$12="",0,IF(K221="",0,IF(ISNUMBER(K221),K221,1)))</f>
        <v/>
      </c>
      <c r="AM221">
        <f>IF(Setup!$B$13="",0,IF(L221="",0,IF(ISNUMBER(L221),L221,1)))</f>
        <v/>
      </c>
      <c r="AN221">
        <f>IF(Setup!$B$14="",0,IF(M221="",0,IF(ISNUMBER(M221),M221,1)))</f>
        <v/>
      </c>
      <c r="AO221">
        <f>IF(Setup!$B$15="",0,IF(N221="",0,IF(ISNUMBER(N221),N221,1)))</f>
        <v/>
      </c>
      <c r="AP221">
        <f>IF(Setup!$B$16="",0,IF(O221="",0,IF(ISNUMBER(O221),O221,1)))</f>
        <v/>
      </c>
      <c r="AQ221">
        <f>IF(Setup!$B$17="",0,IF(P221="",0,IF(ISNUMBER(P221),P221,1)))</f>
        <v/>
      </c>
      <c r="AR221">
        <f>IF(Setup!$B$18="",0,IF(Q221="",0,IF(ISNUMBER(Q221),Q221,1)))</f>
        <v/>
      </c>
      <c r="AS221">
        <f>IF(Setup!$B$19="",0,IF(R221="",0,IF(ISNUMBER(R221),R221,1)))</f>
        <v/>
      </c>
      <c r="AT221">
        <f>IF(Setup!$B$20="",0,IF(S221="",0,IF(ISNUMBER(S221),S221,1)))</f>
        <v/>
      </c>
    </row>
    <row r="222">
      <c r="A222" s="1" t="n"/>
      <c r="B222" s="24" t="n"/>
      <c r="C222" s="25" t="n"/>
      <c r="D222" s="25" t="n"/>
      <c r="E222" s="26" t="n"/>
      <c r="F222" s="27" t="n"/>
      <c r="G222" s="17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28" t="n"/>
      <c r="Q222" s="28" t="n"/>
      <c r="R222" s="28" t="n"/>
      <c r="S222" s="28" t="n"/>
      <c r="T222" s="29">
        <f>IF(N(E222)=0,"",E222*IF(F222="",1,IFERROR(INDEX(Setup!$E$9:$E$18,MATCH(F222,Setup!$D$9:$D$18,0)),0)))</f>
        <v/>
      </c>
      <c r="U222" s="30">
        <f>IF(T222="","",IF(V222=0,"Everyone",IF(COUNTIF(AI222:AT222,"&gt;0")=COUNTIF(Setup!$B$9:$B$20,"?*"),"Everyone",COUNTIF(AI222:AT222,"&gt;0")&amp;IF(COUNTIF(AI222:AT222,"&gt;0")=1," person"," people"))))</f>
        <v/>
      </c>
      <c r="V222" s="1">
        <f>SUM(AI222:AT222)</f>
        <v/>
      </c>
      <c r="W222">
        <f>IF(OR(T222="",Setup!$B$9=""),0,IF(V222=0,T222/COUNTIF(Setup!$B$9:$B$20,"?*"),T222*AI222/V222))</f>
        <v/>
      </c>
      <c r="X222">
        <f>IF(OR(T222="",Setup!$B$10=""),0,IF(V222=0,T222/COUNTIF(Setup!$B$9:$B$20,"?*"),T222*AJ222/V222))</f>
        <v/>
      </c>
      <c r="Y222">
        <f>IF(OR(T222="",Setup!$B$11=""),0,IF(V222=0,T222/COUNTIF(Setup!$B$9:$B$20,"?*"),T222*AK222/V222))</f>
        <v/>
      </c>
      <c r="Z222">
        <f>IF(OR(T222="",Setup!$B$12=""),0,IF(V222=0,T222/COUNTIF(Setup!$B$9:$B$20,"?*"),T222*AL222/V222))</f>
        <v/>
      </c>
      <c r="AA222">
        <f>IF(OR(T222="",Setup!$B$13=""),0,IF(V222=0,T222/COUNTIF(Setup!$B$9:$B$20,"?*"),T222*AM222/V222))</f>
        <v/>
      </c>
      <c r="AB222">
        <f>IF(OR(T222="",Setup!$B$14=""),0,IF(V222=0,T222/COUNTIF(Setup!$B$9:$B$20,"?*"),T222*AN222/V222))</f>
        <v/>
      </c>
      <c r="AC222">
        <f>IF(OR(T222="",Setup!$B$15=""),0,IF(V222=0,T222/COUNTIF(Setup!$B$9:$B$20,"?*"),T222*AO222/V222))</f>
        <v/>
      </c>
      <c r="AD222">
        <f>IF(OR(T222="",Setup!$B$16=""),0,IF(V222=0,T222/COUNTIF(Setup!$B$9:$B$20,"?*"),T222*AP222/V222))</f>
        <v/>
      </c>
      <c r="AE222">
        <f>IF(OR(T222="",Setup!$B$17=""),0,IF(V222=0,T222/COUNTIF(Setup!$B$9:$B$20,"?*"),T222*AQ222/V222))</f>
        <v/>
      </c>
      <c r="AF222">
        <f>IF(OR(T222="",Setup!$B$18=""),0,IF(V222=0,T222/COUNTIF(Setup!$B$9:$B$20,"?*"),T222*AR222/V222))</f>
        <v/>
      </c>
      <c r="AG222">
        <f>IF(OR(T222="",Setup!$B$19=""),0,IF(V222=0,T222/COUNTIF(Setup!$B$9:$B$20,"?*"),T222*AS222/V222))</f>
        <v/>
      </c>
      <c r="AH222">
        <f>IF(OR(T222="",Setup!$B$20=""),0,IF(V222=0,T222/COUNTIF(Setup!$B$9:$B$20,"?*"),T222*AT222/V222))</f>
        <v/>
      </c>
      <c r="AI222">
        <f>IF(Setup!$B$9="",0,IF(H222="",0,IF(ISNUMBER(H222),H222,1)))</f>
        <v/>
      </c>
      <c r="AJ222">
        <f>IF(Setup!$B$10="",0,IF(I222="",0,IF(ISNUMBER(I222),I222,1)))</f>
        <v/>
      </c>
      <c r="AK222">
        <f>IF(Setup!$B$11="",0,IF(J222="",0,IF(ISNUMBER(J222),J222,1)))</f>
        <v/>
      </c>
      <c r="AL222">
        <f>IF(Setup!$B$12="",0,IF(K222="",0,IF(ISNUMBER(K222),K222,1)))</f>
        <v/>
      </c>
      <c r="AM222">
        <f>IF(Setup!$B$13="",0,IF(L222="",0,IF(ISNUMBER(L222),L222,1)))</f>
        <v/>
      </c>
      <c r="AN222">
        <f>IF(Setup!$B$14="",0,IF(M222="",0,IF(ISNUMBER(M222),M222,1)))</f>
        <v/>
      </c>
      <c r="AO222">
        <f>IF(Setup!$B$15="",0,IF(N222="",0,IF(ISNUMBER(N222),N222,1)))</f>
        <v/>
      </c>
      <c r="AP222">
        <f>IF(Setup!$B$16="",0,IF(O222="",0,IF(ISNUMBER(O222),O222,1)))</f>
        <v/>
      </c>
      <c r="AQ222">
        <f>IF(Setup!$B$17="",0,IF(P222="",0,IF(ISNUMBER(P222),P222,1)))</f>
        <v/>
      </c>
      <c r="AR222">
        <f>IF(Setup!$B$18="",0,IF(Q222="",0,IF(ISNUMBER(Q222),Q222,1)))</f>
        <v/>
      </c>
      <c r="AS222">
        <f>IF(Setup!$B$19="",0,IF(R222="",0,IF(ISNUMBER(R222),R222,1)))</f>
        <v/>
      </c>
      <c r="AT222">
        <f>IF(Setup!$B$20="",0,IF(S222="",0,IF(ISNUMBER(S222),S222,1)))</f>
        <v/>
      </c>
    </row>
    <row r="223">
      <c r="A223" s="1" t="n"/>
      <c r="B223" s="24" t="n"/>
      <c r="C223" s="25" t="n"/>
      <c r="D223" s="25" t="n"/>
      <c r="E223" s="26" t="n"/>
      <c r="F223" s="27" t="n"/>
      <c r="G223" s="17" t="n"/>
      <c r="H223" s="28" t="n"/>
      <c r="I223" s="28" t="n"/>
      <c r="J223" s="28" t="n"/>
      <c r="K223" s="28" t="n"/>
      <c r="L223" s="28" t="n"/>
      <c r="M223" s="28" t="n"/>
      <c r="N223" s="28" t="n"/>
      <c r="O223" s="28" t="n"/>
      <c r="P223" s="28" t="n"/>
      <c r="Q223" s="28" t="n"/>
      <c r="R223" s="28" t="n"/>
      <c r="S223" s="28" t="n"/>
      <c r="T223" s="29">
        <f>IF(N(E223)=0,"",E223*IF(F223="",1,IFERROR(INDEX(Setup!$E$9:$E$18,MATCH(F223,Setup!$D$9:$D$18,0)),0)))</f>
        <v/>
      </c>
      <c r="U223" s="30">
        <f>IF(T223="","",IF(V223=0,"Everyone",IF(COUNTIF(AI223:AT223,"&gt;0")=COUNTIF(Setup!$B$9:$B$20,"?*"),"Everyone",COUNTIF(AI223:AT223,"&gt;0")&amp;IF(COUNTIF(AI223:AT223,"&gt;0")=1," person"," people"))))</f>
        <v/>
      </c>
      <c r="V223" s="1">
        <f>SUM(AI223:AT223)</f>
        <v/>
      </c>
      <c r="W223">
        <f>IF(OR(T223="",Setup!$B$9=""),0,IF(V223=0,T223/COUNTIF(Setup!$B$9:$B$20,"?*"),T223*AI223/V223))</f>
        <v/>
      </c>
      <c r="X223">
        <f>IF(OR(T223="",Setup!$B$10=""),0,IF(V223=0,T223/COUNTIF(Setup!$B$9:$B$20,"?*"),T223*AJ223/V223))</f>
        <v/>
      </c>
      <c r="Y223">
        <f>IF(OR(T223="",Setup!$B$11=""),0,IF(V223=0,T223/COUNTIF(Setup!$B$9:$B$20,"?*"),T223*AK223/V223))</f>
        <v/>
      </c>
      <c r="Z223">
        <f>IF(OR(T223="",Setup!$B$12=""),0,IF(V223=0,T223/COUNTIF(Setup!$B$9:$B$20,"?*"),T223*AL223/V223))</f>
        <v/>
      </c>
      <c r="AA223">
        <f>IF(OR(T223="",Setup!$B$13=""),0,IF(V223=0,T223/COUNTIF(Setup!$B$9:$B$20,"?*"),T223*AM223/V223))</f>
        <v/>
      </c>
      <c r="AB223">
        <f>IF(OR(T223="",Setup!$B$14=""),0,IF(V223=0,T223/COUNTIF(Setup!$B$9:$B$20,"?*"),T223*AN223/V223))</f>
        <v/>
      </c>
      <c r="AC223">
        <f>IF(OR(T223="",Setup!$B$15=""),0,IF(V223=0,T223/COUNTIF(Setup!$B$9:$B$20,"?*"),T223*AO223/V223))</f>
        <v/>
      </c>
      <c r="AD223">
        <f>IF(OR(T223="",Setup!$B$16=""),0,IF(V223=0,T223/COUNTIF(Setup!$B$9:$B$20,"?*"),T223*AP223/V223))</f>
        <v/>
      </c>
      <c r="AE223">
        <f>IF(OR(T223="",Setup!$B$17=""),0,IF(V223=0,T223/COUNTIF(Setup!$B$9:$B$20,"?*"),T223*AQ223/V223))</f>
        <v/>
      </c>
      <c r="AF223">
        <f>IF(OR(T223="",Setup!$B$18=""),0,IF(V223=0,T223/COUNTIF(Setup!$B$9:$B$20,"?*"),T223*AR223/V223))</f>
        <v/>
      </c>
      <c r="AG223">
        <f>IF(OR(T223="",Setup!$B$19=""),0,IF(V223=0,T223/COUNTIF(Setup!$B$9:$B$20,"?*"),T223*AS223/V223))</f>
        <v/>
      </c>
      <c r="AH223">
        <f>IF(OR(T223="",Setup!$B$20=""),0,IF(V223=0,T223/COUNTIF(Setup!$B$9:$B$20,"?*"),T223*AT223/V223))</f>
        <v/>
      </c>
      <c r="AI223">
        <f>IF(Setup!$B$9="",0,IF(H223="",0,IF(ISNUMBER(H223),H223,1)))</f>
        <v/>
      </c>
      <c r="AJ223">
        <f>IF(Setup!$B$10="",0,IF(I223="",0,IF(ISNUMBER(I223),I223,1)))</f>
        <v/>
      </c>
      <c r="AK223">
        <f>IF(Setup!$B$11="",0,IF(J223="",0,IF(ISNUMBER(J223),J223,1)))</f>
        <v/>
      </c>
      <c r="AL223">
        <f>IF(Setup!$B$12="",0,IF(K223="",0,IF(ISNUMBER(K223),K223,1)))</f>
        <v/>
      </c>
      <c r="AM223">
        <f>IF(Setup!$B$13="",0,IF(L223="",0,IF(ISNUMBER(L223),L223,1)))</f>
        <v/>
      </c>
      <c r="AN223">
        <f>IF(Setup!$B$14="",0,IF(M223="",0,IF(ISNUMBER(M223),M223,1)))</f>
        <v/>
      </c>
      <c r="AO223">
        <f>IF(Setup!$B$15="",0,IF(N223="",0,IF(ISNUMBER(N223),N223,1)))</f>
        <v/>
      </c>
      <c r="AP223">
        <f>IF(Setup!$B$16="",0,IF(O223="",0,IF(ISNUMBER(O223),O223,1)))</f>
        <v/>
      </c>
      <c r="AQ223">
        <f>IF(Setup!$B$17="",0,IF(P223="",0,IF(ISNUMBER(P223),P223,1)))</f>
        <v/>
      </c>
      <c r="AR223">
        <f>IF(Setup!$B$18="",0,IF(Q223="",0,IF(ISNUMBER(Q223),Q223,1)))</f>
        <v/>
      </c>
      <c r="AS223">
        <f>IF(Setup!$B$19="",0,IF(R223="",0,IF(ISNUMBER(R223),R223,1)))</f>
        <v/>
      </c>
      <c r="AT223">
        <f>IF(Setup!$B$20="",0,IF(S223="",0,IF(ISNUMBER(S223),S223,1)))</f>
        <v/>
      </c>
    </row>
    <row r="224">
      <c r="A224" s="1" t="n"/>
      <c r="B224" s="24" t="n"/>
      <c r="C224" s="25" t="n"/>
      <c r="D224" s="25" t="n"/>
      <c r="E224" s="26" t="n"/>
      <c r="F224" s="27" t="n"/>
      <c r="G224" s="17" t="n"/>
      <c r="H224" s="28" t="n"/>
      <c r="I224" s="28" t="n"/>
      <c r="J224" s="28" t="n"/>
      <c r="K224" s="28" t="n"/>
      <c r="L224" s="28" t="n"/>
      <c r="M224" s="28" t="n"/>
      <c r="N224" s="28" t="n"/>
      <c r="O224" s="28" t="n"/>
      <c r="P224" s="28" t="n"/>
      <c r="Q224" s="28" t="n"/>
      <c r="R224" s="28" t="n"/>
      <c r="S224" s="28" t="n"/>
      <c r="T224" s="29">
        <f>IF(N(E224)=0,"",E224*IF(F224="",1,IFERROR(INDEX(Setup!$E$9:$E$18,MATCH(F224,Setup!$D$9:$D$18,0)),0)))</f>
        <v/>
      </c>
      <c r="U224" s="30">
        <f>IF(T224="","",IF(V224=0,"Everyone",IF(COUNTIF(AI224:AT224,"&gt;0")=COUNTIF(Setup!$B$9:$B$20,"?*"),"Everyone",COUNTIF(AI224:AT224,"&gt;0")&amp;IF(COUNTIF(AI224:AT224,"&gt;0")=1," person"," people"))))</f>
        <v/>
      </c>
      <c r="V224" s="1">
        <f>SUM(AI224:AT224)</f>
        <v/>
      </c>
      <c r="W224">
        <f>IF(OR(T224="",Setup!$B$9=""),0,IF(V224=0,T224/COUNTIF(Setup!$B$9:$B$20,"?*"),T224*AI224/V224))</f>
        <v/>
      </c>
      <c r="X224">
        <f>IF(OR(T224="",Setup!$B$10=""),0,IF(V224=0,T224/COUNTIF(Setup!$B$9:$B$20,"?*"),T224*AJ224/V224))</f>
        <v/>
      </c>
      <c r="Y224">
        <f>IF(OR(T224="",Setup!$B$11=""),0,IF(V224=0,T224/COUNTIF(Setup!$B$9:$B$20,"?*"),T224*AK224/V224))</f>
        <v/>
      </c>
      <c r="Z224">
        <f>IF(OR(T224="",Setup!$B$12=""),0,IF(V224=0,T224/COUNTIF(Setup!$B$9:$B$20,"?*"),T224*AL224/V224))</f>
        <v/>
      </c>
      <c r="AA224">
        <f>IF(OR(T224="",Setup!$B$13=""),0,IF(V224=0,T224/COUNTIF(Setup!$B$9:$B$20,"?*"),T224*AM224/V224))</f>
        <v/>
      </c>
      <c r="AB224">
        <f>IF(OR(T224="",Setup!$B$14=""),0,IF(V224=0,T224/COUNTIF(Setup!$B$9:$B$20,"?*"),T224*AN224/V224))</f>
        <v/>
      </c>
      <c r="AC224">
        <f>IF(OR(T224="",Setup!$B$15=""),0,IF(V224=0,T224/COUNTIF(Setup!$B$9:$B$20,"?*"),T224*AO224/V224))</f>
        <v/>
      </c>
      <c r="AD224">
        <f>IF(OR(T224="",Setup!$B$16=""),0,IF(V224=0,T224/COUNTIF(Setup!$B$9:$B$20,"?*"),T224*AP224/V224))</f>
        <v/>
      </c>
      <c r="AE224">
        <f>IF(OR(T224="",Setup!$B$17=""),0,IF(V224=0,T224/COUNTIF(Setup!$B$9:$B$20,"?*"),T224*AQ224/V224))</f>
        <v/>
      </c>
      <c r="AF224">
        <f>IF(OR(T224="",Setup!$B$18=""),0,IF(V224=0,T224/COUNTIF(Setup!$B$9:$B$20,"?*"),T224*AR224/V224))</f>
        <v/>
      </c>
      <c r="AG224">
        <f>IF(OR(T224="",Setup!$B$19=""),0,IF(V224=0,T224/COUNTIF(Setup!$B$9:$B$20,"?*"),T224*AS224/V224))</f>
        <v/>
      </c>
      <c r="AH224">
        <f>IF(OR(T224="",Setup!$B$20=""),0,IF(V224=0,T224/COUNTIF(Setup!$B$9:$B$20,"?*"),T224*AT224/V224))</f>
        <v/>
      </c>
      <c r="AI224">
        <f>IF(Setup!$B$9="",0,IF(H224="",0,IF(ISNUMBER(H224),H224,1)))</f>
        <v/>
      </c>
      <c r="AJ224">
        <f>IF(Setup!$B$10="",0,IF(I224="",0,IF(ISNUMBER(I224),I224,1)))</f>
        <v/>
      </c>
      <c r="AK224">
        <f>IF(Setup!$B$11="",0,IF(J224="",0,IF(ISNUMBER(J224),J224,1)))</f>
        <v/>
      </c>
      <c r="AL224">
        <f>IF(Setup!$B$12="",0,IF(K224="",0,IF(ISNUMBER(K224),K224,1)))</f>
        <v/>
      </c>
      <c r="AM224">
        <f>IF(Setup!$B$13="",0,IF(L224="",0,IF(ISNUMBER(L224),L224,1)))</f>
        <v/>
      </c>
      <c r="AN224">
        <f>IF(Setup!$B$14="",0,IF(M224="",0,IF(ISNUMBER(M224),M224,1)))</f>
        <v/>
      </c>
      <c r="AO224">
        <f>IF(Setup!$B$15="",0,IF(N224="",0,IF(ISNUMBER(N224),N224,1)))</f>
        <v/>
      </c>
      <c r="AP224">
        <f>IF(Setup!$B$16="",0,IF(O224="",0,IF(ISNUMBER(O224),O224,1)))</f>
        <v/>
      </c>
      <c r="AQ224">
        <f>IF(Setup!$B$17="",0,IF(P224="",0,IF(ISNUMBER(P224),P224,1)))</f>
        <v/>
      </c>
      <c r="AR224">
        <f>IF(Setup!$B$18="",0,IF(Q224="",0,IF(ISNUMBER(Q224),Q224,1)))</f>
        <v/>
      </c>
      <c r="AS224">
        <f>IF(Setup!$B$19="",0,IF(R224="",0,IF(ISNUMBER(R224),R224,1)))</f>
        <v/>
      </c>
      <c r="AT224">
        <f>IF(Setup!$B$20="",0,IF(S224="",0,IF(ISNUMBER(S224),S224,1)))</f>
        <v/>
      </c>
    </row>
    <row r="225">
      <c r="A225" s="1" t="n"/>
      <c r="B225" s="24" t="n"/>
      <c r="C225" s="25" t="n"/>
      <c r="D225" s="25" t="n"/>
      <c r="E225" s="26" t="n"/>
      <c r="F225" s="27" t="n"/>
      <c r="G225" s="17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8" t="n"/>
      <c r="Q225" s="28" t="n"/>
      <c r="R225" s="28" t="n"/>
      <c r="S225" s="28" t="n"/>
      <c r="T225" s="29">
        <f>IF(N(E225)=0,"",E225*IF(F225="",1,IFERROR(INDEX(Setup!$E$9:$E$18,MATCH(F225,Setup!$D$9:$D$18,0)),0)))</f>
        <v/>
      </c>
      <c r="U225" s="30">
        <f>IF(T225="","",IF(V225=0,"Everyone",IF(COUNTIF(AI225:AT225,"&gt;0")=COUNTIF(Setup!$B$9:$B$20,"?*"),"Everyone",COUNTIF(AI225:AT225,"&gt;0")&amp;IF(COUNTIF(AI225:AT225,"&gt;0")=1," person"," people"))))</f>
        <v/>
      </c>
      <c r="V225" s="1">
        <f>SUM(AI225:AT225)</f>
        <v/>
      </c>
      <c r="W225">
        <f>IF(OR(T225="",Setup!$B$9=""),0,IF(V225=0,T225/COUNTIF(Setup!$B$9:$B$20,"?*"),T225*AI225/V225))</f>
        <v/>
      </c>
      <c r="X225">
        <f>IF(OR(T225="",Setup!$B$10=""),0,IF(V225=0,T225/COUNTIF(Setup!$B$9:$B$20,"?*"),T225*AJ225/V225))</f>
        <v/>
      </c>
      <c r="Y225">
        <f>IF(OR(T225="",Setup!$B$11=""),0,IF(V225=0,T225/COUNTIF(Setup!$B$9:$B$20,"?*"),T225*AK225/V225))</f>
        <v/>
      </c>
      <c r="Z225">
        <f>IF(OR(T225="",Setup!$B$12=""),0,IF(V225=0,T225/COUNTIF(Setup!$B$9:$B$20,"?*"),T225*AL225/V225))</f>
        <v/>
      </c>
      <c r="AA225">
        <f>IF(OR(T225="",Setup!$B$13=""),0,IF(V225=0,T225/COUNTIF(Setup!$B$9:$B$20,"?*"),T225*AM225/V225))</f>
        <v/>
      </c>
      <c r="AB225">
        <f>IF(OR(T225="",Setup!$B$14=""),0,IF(V225=0,T225/COUNTIF(Setup!$B$9:$B$20,"?*"),T225*AN225/V225))</f>
        <v/>
      </c>
      <c r="AC225">
        <f>IF(OR(T225="",Setup!$B$15=""),0,IF(V225=0,T225/COUNTIF(Setup!$B$9:$B$20,"?*"),T225*AO225/V225))</f>
        <v/>
      </c>
      <c r="AD225">
        <f>IF(OR(T225="",Setup!$B$16=""),0,IF(V225=0,T225/COUNTIF(Setup!$B$9:$B$20,"?*"),T225*AP225/V225))</f>
        <v/>
      </c>
      <c r="AE225">
        <f>IF(OR(T225="",Setup!$B$17=""),0,IF(V225=0,T225/COUNTIF(Setup!$B$9:$B$20,"?*"),T225*AQ225/V225))</f>
        <v/>
      </c>
      <c r="AF225">
        <f>IF(OR(T225="",Setup!$B$18=""),0,IF(V225=0,T225/COUNTIF(Setup!$B$9:$B$20,"?*"),T225*AR225/V225))</f>
        <v/>
      </c>
      <c r="AG225">
        <f>IF(OR(T225="",Setup!$B$19=""),0,IF(V225=0,T225/COUNTIF(Setup!$B$9:$B$20,"?*"),T225*AS225/V225))</f>
        <v/>
      </c>
      <c r="AH225">
        <f>IF(OR(T225="",Setup!$B$20=""),0,IF(V225=0,T225/COUNTIF(Setup!$B$9:$B$20,"?*"),T225*AT225/V225))</f>
        <v/>
      </c>
      <c r="AI225">
        <f>IF(Setup!$B$9="",0,IF(H225="",0,IF(ISNUMBER(H225),H225,1)))</f>
        <v/>
      </c>
      <c r="AJ225">
        <f>IF(Setup!$B$10="",0,IF(I225="",0,IF(ISNUMBER(I225),I225,1)))</f>
        <v/>
      </c>
      <c r="AK225">
        <f>IF(Setup!$B$11="",0,IF(J225="",0,IF(ISNUMBER(J225),J225,1)))</f>
        <v/>
      </c>
      <c r="AL225">
        <f>IF(Setup!$B$12="",0,IF(K225="",0,IF(ISNUMBER(K225),K225,1)))</f>
        <v/>
      </c>
      <c r="AM225">
        <f>IF(Setup!$B$13="",0,IF(L225="",0,IF(ISNUMBER(L225),L225,1)))</f>
        <v/>
      </c>
      <c r="AN225">
        <f>IF(Setup!$B$14="",0,IF(M225="",0,IF(ISNUMBER(M225),M225,1)))</f>
        <v/>
      </c>
      <c r="AO225">
        <f>IF(Setup!$B$15="",0,IF(N225="",0,IF(ISNUMBER(N225),N225,1)))</f>
        <v/>
      </c>
      <c r="AP225">
        <f>IF(Setup!$B$16="",0,IF(O225="",0,IF(ISNUMBER(O225),O225,1)))</f>
        <v/>
      </c>
      <c r="AQ225">
        <f>IF(Setup!$B$17="",0,IF(P225="",0,IF(ISNUMBER(P225),P225,1)))</f>
        <v/>
      </c>
      <c r="AR225">
        <f>IF(Setup!$B$18="",0,IF(Q225="",0,IF(ISNUMBER(Q225),Q225,1)))</f>
        <v/>
      </c>
      <c r="AS225">
        <f>IF(Setup!$B$19="",0,IF(R225="",0,IF(ISNUMBER(R225),R225,1)))</f>
        <v/>
      </c>
      <c r="AT225">
        <f>IF(Setup!$B$20="",0,IF(S225="",0,IF(ISNUMBER(S225),S225,1)))</f>
        <v/>
      </c>
    </row>
    <row r="226">
      <c r="A226" s="1" t="n"/>
      <c r="B226" s="24" t="n"/>
      <c r="C226" s="25" t="n"/>
      <c r="D226" s="25" t="n"/>
      <c r="E226" s="26" t="n"/>
      <c r="F226" s="27" t="n"/>
      <c r="G226" s="17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28" t="n"/>
      <c r="Q226" s="28" t="n"/>
      <c r="R226" s="28" t="n"/>
      <c r="S226" s="28" t="n"/>
      <c r="T226" s="29">
        <f>IF(N(E226)=0,"",E226*IF(F226="",1,IFERROR(INDEX(Setup!$E$9:$E$18,MATCH(F226,Setup!$D$9:$D$18,0)),0)))</f>
        <v/>
      </c>
      <c r="U226" s="30">
        <f>IF(T226="","",IF(V226=0,"Everyone",IF(COUNTIF(AI226:AT226,"&gt;0")=COUNTIF(Setup!$B$9:$B$20,"?*"),"Everyone",COUNTIF(AI226:AT226,"&gt;0")&amp;IF(COUNTIF(AI226:AT226,"&gt;0")=1," person"," people"))))</f>
        <v/>
      </c>
      <c r="V226" s="1">
        <f>SUM(AI226:AT226)</f>
        <v/>
      </c>
      <c r="W226">
        <f>IF(OR(T226="",Setup!$B$9=""),0,IF(V226=0,T226/COUNTIF(Setup!$B$9:$B$20,"?*"),T226*AI226/V226))</f>
        <v/>
      </c>
      <c r="X226">
        <f>IF(OR(T226="",Setup!$B$10=""),0,IF(V226=0,T226/COUNTIF(Setup!$B$9:$B$20,"?*"),T226*AJ226/V226))</f>
        <v/>
      </c>
      <c r="Y226">
        <f>IF(OR(T226="",Setup!$B$11=""),0,IF(V226=0,T226/COUNTIF(Setup!$B$9:$B$20,"?*"),T226*AK226/V226))</f>
        <v/>
      </c>
      <c r="Z226">
        <f>IF(OR(T226="",Setup!$B$12=""),0,IF(V226=0,T226/COUNTIF(Setup!$B$9:$B$20,"?*"),T226*AL226/V226))</f>
        <v/>
      </c>
      <c r="AA226">
        <f>IF(OR(T226="",Setup!$B$13=""),0,IF(V226=0,T226/COUNTIF(Setup!$B$9:$B$20,"?*"),T226*AM226/V226))</f>
        <v/>
      </c>
      <c r="AB226">
        <f>IF(OR(T226="",Setup!$B$14=""),0,IF(V226=0,T226/COUNTIF(Setup!$B$9:$B$20,"?*"),T226*AN226/V226))</f>
        <v/>
      </c>
      <c r="AC226">
        <f>IF(OR(T226="",Setup!$B$15=""),0,IF(V226=0,T226/COUNTIF(Setup!$B$9:$B$20,"?*"),T226*AO226/V226))</f>
        <v/>
      </c>
      <c r="AD226">
        <f>IF(OR(T226="",Setup!$B$16=""),0,IF(V226=0,T226/COUNTIF(Setup!$B$9:$B$20,"?*"),T226*AP226/V226))</f>
        <v/>
      </c>
      <c r="AE226">
        <f>IF(OR(T226="",Setup!$B$17=""),0,IF(V226=0,T226/COUNTIF(Setup!$B$9:$B$20,"?*"),T226*AQ226/V226))</f>
        <v/>
      </c>
      <c r="AF226">
        <f>IF(OR(T226="",Setup!$B$18=""),0,IF(V226=0,T226/COUNTIF(Setup!$B$9:$B$20,"?*"),T226*AR226/V226))</f>
        <v/>
      </c>
      <c r="AG226">
        <f>IF(OR(T226="",Setup!$B$19=""),0,IF(V226=0,T226/COUNTIF(Setup!$B$9:$B$20,"?*"),T226*AS226/V226))</f>
        <v/>
      </c>
      <c r="AH226">
        <f>IF(OR(T226="",Setup!$B$20=""),0,IF(V226=0,T226/COUNTIF(Setup!$B$9:$B$20,"?*"),T226*AT226/V226))</f>
        <v/>
      </c>
      <c r="AI226">
        <f>IF(Setup!$B$9="",0,IF(H226="",0,IF(ISNUMBER(H226),H226,1)))</f>
        <v/>
      </c>
      <c r="AJ226">
        <f>IF(Setup!$B$10="",0,IF(I226="",0,IF(ISNUMBER(I226),I226,1)))</f>
        <v/>
      </c>
      <c r="AK226">
        <f>IF(Setup!$B$11="",0,IF(J226="",0,IF(ISNUMBER(J226),J226,1)))</f>
        <v/>
      </c>
      <c r="AL226">
        <f>IF(Setup!$B$12="",0,IF(K226="",0,IF(ISNUMBER(K226),K226,1)))</f>
        <v/>
      </c>
      <c r="AM226">
        <f>IF(Setup!$B$13="",0,IF(L226="",0,IF(ISNUMBER(L226),L226,1)))</f>
        <v/>
      </c>
      <c r="AN226">
        <f>IF(Setup!$B$14="",0,IF(M226="",0,IF(ISNUMBER(M226),M226,1)))</f>
        <v/>
      </c>
      <c r="AO226">
        <f>IF(Setup!$B$15="",0,IF(N226="",0,IF(ISNUMBER(N226),N226,1)))</f>
        <v/>
      </c>
      <c r="AP226">
        <f>IF(Setup!$B$16="",0,IF(O226="",0,IF(ISNUMBER(O226),O226,1)))</f>
        <v/>
      </c>
      <c r="AQ226">
        <f>IF(Setup!$B$17="",0,IF(P226="",0,IF(ISNUMBER(P226),P226,1)))</f>
        <v/>
      </c>
      <c r="AR226">
        <f>IF(Setup!$B$18="",0,IF(Q226="",0,IF(ISNUMBER(Q226),Q226,1)))</f>
        <v/>
      </c>
      <c r="AS226">
        <f>IF(Setup!$B$19="",0,IF(R226="",0,IF(ISNUMBER(R226),R226,1)))</f>
        <v/>
      </c>
      <c r="AT226">
        <f>IF(Setup!$B$20="",0,IF(S226="",0,IF(ISNUMBER(S226),S226,1)))</f>
        <v/>
      </c>
    </row>
    <row r="227">
      <c r="A227" s="1" t="n"/>
      <c r="B227" s="24" t="n"/>
      <c r="C227" s="25" t="n"/>
      <c r="D227" s="25" t="n"/>
      <c r="E227" s="26" t="n"/>
      <c r="F227" s="27" t="n"/>
      <c r="G227" s="17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8" t="n"/>
      <c r="Q227" s="28" t="n"/>
      <c r="R227" s="28" t="n"/>
      <c r="S227" s="28" t="n"/>
      <c r="T227" s="29">
        <f>IF(N(E227)=0,"",E227*IF(F227="",1,IFERROR(INDEX(Setup!$E$9:$E$18,MATCH(F227,Setup!$D$9:$D$18,0)),0)))</f>
        <v/>
      </c>
      <c r="U227" s="30">
        <f>IF(T227="","",IF(V227=0,"Everyone",IF(COUNTIF(AI227:AT227,"&gt;0")=COUNTIF(Setup!$B$9:$B$20,"?*"),"Everyone",COUNTIF(AI227:AT227,"&gt;0")&amp;IF(COUNTIF(AI227:AT227,"&gt;0")=1," person"," people"))))</f>
        <v/>
      </c>
      <c r="V227" s="1">
        <f>SUM(AI227:AT227)</f>
        <v/>
      </c>
      <c r="W227">
        <f>IF(OR(T227="",Setup!$B$9=""),0,IF(V227=0,T227/COUNTIF(Setup!$B$9:$B$20,"?*"),T227*AI227/V227))</f>
        <v/>
      </c>
      <c r="X227">
        <f>IF(OR(T227="",Setup!$B$10=""),0,IF(V227=0,T227/COUNTIF(Setup!$B$9:$B$20,"?*"),T227*AJ227/V227))</f>
        <v/>
      </c>
      <c r="Y227">
        <f>IF(OR(T227="",Setup!$B$11=""),0,IF(V227=0,T227/COUNTIF(Setup!$B$9:$B$20,"?*"),T227*AK227/V227))</f>
        <v/>
      </c>
      <c r="Z227">
        <f>IF(OR(T227="",Setup!$B$12=""),0,IF(V227=0,T227/COUNTIF(Setup!$B$9:$B$20,"?*"),T227*AL227/V227))</f>
        <v/>
      </c>
      <c r="AA227">
        <f>IF(OR(T227="",Setup!$B$13=""),0,IF(V227=0,T227/COUNTIF(Setup!$B$9:$B$20,"?*"),T227*AM227/V227))</f>
        <v/>
      </c>
      <c r="AB227">
        <f>IF(OR(T227="",Setup!$B$14=""),0,IF(V227=0,T227/COUNTIF(Setup!$B$9:$B$20,"?*"),T227*AN227/V227))</f>
        <v/>
      </c>
      <c r="AC227">
        <f>IF(OR(T227="",Setup!$B$15=""),0,IF(V227=0,T227/COUNTIF(Setup!$B$9:$B$20,"?*"),T227*AO227/V227))</f>
        <v/>
      </c>
      <c r="AD227">
        <f>IF(OR(T227="",Setup!$B$16=""),0,IF(V227=0,T227/COUNTIF(Setup!$B$9:$B$20,"?*"),T227*AP227/V227))</f>
        <v/>
      </c>
      <c r="AE227">
        <f>IF(OR(T227="",Setup!$B$17=""),0,IF(V227=0,T227/COUNTIF(Setup!$B$9:$B$20,"?*"),T227*AQ227/V227))</f>
        <v/>
      </c>
      <c r="AF227">
        <f>IF(OR(T227="",Setup!$B$18=""),0,IF(V227=0,T227/COUNTIF(Setup!$B$9:$B$20,"?*"),T227*AR227/V227))</f>
        <v/>
      </c>
      <c r="AG227">
        <f>IF(OR(T227="",Setup!$B$19=""),0,IF(V227=0,T227/COUNTIF(Setup!$B$9:$B$20,"?*"),T227*AS227/V227))</f>
        <v/>
      </c>
      <c r="AH227">
        <f>IF(OR(T227="",Setup!$B$20=""),0,IF(V227=0,T227/COUNTIF(Setup!$B$9:$B$20,"?*"),T227*AT227/V227))</f>
        <v/>
      </c>
      <c r="AI227">
        <f>IF(Setup!$B$9="",0,IF(H227="",0,IF(ISNUMBER(H227),H227,1)))</f>
        <v/>
      </c>
      <c r="AJ227">
        <f>IF(Setup!$B$10="",0,IF(I227="",0,IF(ISNUMBER(I227),I227,1)))</f>
        <v/>
      </c>
      <c r="AK227">
        <f>IF(Setup!$B$11="",0,IF(J227="",0,IF(ISNUMBER(J227),J227,1)))</f>
        <v/>
      </c>
      <c r="AL227">
        <f>IF(Setup!$B$12="",0,IF(K227="",0,IF(ISNUMBER(K227),K227,1)))</f>
        <v/>
      </c>
      <c r="AM227">
        <f>IF(Setup!$B$13="",0,IF(L227="",0,IF(ISNUMBER(L227),L227,1)))</f>
        <v/>
      </c>
      <c r="AN227">
        <f>IF(Setup!$B$14="",0,IF(M227="",0,IF(ISNUMBER(M227),M227,1)))</f>
        <v/>
      </c>
      <c r="AO227">
        <f>IF(Setup!$B$15="",0,IF(N227="",0,IF(ISNUMBER(N227),N227,1)))</f>
        <v/>
      </c>
      <c r="AP227">
        <f>IF(Setup!$B$16="",0,IF(O227="",0,IF(ISNUMBER(O227),O227,1)))</f>
        <v/>
      </c>
      <c r="AQ227">
        <f>IF(Setup!$B$17="",0,IF(P227="",0,IF(ISNUMBER(P227),P227,1)))</f>
        <v/>
      </c>
      <c r="AR227">
        <f>IF(Setup!$B$18="",0,IF(Q227="",0,IF(ISNUMBER(Q227),Q227,1)))</f>
        <v/>
      </c>
      <c r="AS227">
        <f>IF(Setup!$B$19="",0,IF(R227="",0,IF(ISNUMBER(R227),R227,1)))</f>
        <v/>
      </c>
      <c r="AT227">
        <f>IF(Setup!$B$20="",0,IF(S227="",0,IF(ISNUMBER(S227),S227,1)))</f>
        <v/>
      </c>
    </row>
    <row r="228">
      <c r="A228" s="1" t="n"/>
      <c r="B228" s="24" t="n"/>
      <c r="C228" s="25" t="n"/>
      <c r="D228" s="25" t="n"/>
      <c r="E228" s="26" t="n"/>
      <c r="F228" s="27" t="n"/>
      <c r="G228" s="17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28" t="n"/>
      <c r="Q228" s="28" t="n"/>
      <c r="R228" s="28" t="n"/>
      <c r="S228" s="28" t="n"/>
      <c r="T228" s="29">
        <f>IF(N(E228)=0,"",E228*IF(F228="",1,IFERROR(INDEX(Setup!$E$9:$E$18,MATCH(F228,Setup!$D$9:$D$18,0)),0)))</f>
        <v/>
      </c>
      <c r="U228" s="30">
        <f>IF(T228="","",IF(V228=0,"Everyone",IF(COUNTIF(AI228:AT228,"&gt;0")=COUNTIF(Setup!$B$9:$B$20,"?*"),"Everyone",COUNTIF(AI228:AT228,"&gt;0")&amp;IF(COUNTIF(AI228:AT228,"&gt;0")=1," person"," people"))))</f>
        <v/>
      </c>
      <c r="V228" s="1">
        <f>SUM(AI228:AT228)</f>
        <v/>
      </c>
      <c r="W228">
        <f>IF(OR(T228="",Setup!$B$9=""),0,IF(V228=0,T228/COUNTIF(Setup!$B$9:$B$20,"?*"),T228*AI228/V228))</f>
        <v/>
      </c>
      <c r="X228">
        <f>IF(OR(T228="",Setup!$B$10=""),0,IF(V228=0,T228/COUNTIF(Setup!$B$9:$B$20,"?*"),T228*AJ228/V228))</f>
        <v/>
      </c>
      <c r="Y228">
        <f>IF(OR(T228="",Setup!$B$11=""),0,IF(V228=0,T228/COUNTIF(Setup!$B$9:$B$20,"?*"),T228*AK228/V228))</f>
        <v/>
      </c>
      <c r="Z228">
        <f>IF(OR(T228="",Setup!$B$12=""),0,IF(V228=0,T228/COUNTIF(Setup!$B$9:$B$20,"?*"),T228*AL228/V228))</f>
        <v/>
      </c>
      <c r="AA228">
        <f>IF(OR(T228="",Setup!$B$13=""),0,IF(V228=0,T228/COUNTIF(Setup!$B$9:$B$20,"?*"),T228*AM228/V228))</f>
        <v/>
      </c>
      <c r="AB228">
        <f>IF(OR(T228="",Setup!$B$14=""),0,IF(V228=0,T228/COUNTIF(Setup!$B$9:$B$20,"?*"),T228*AN228/V228))</f>
        <v/>
      </c>
      <c r="AC228">
        <f>IF(OR(T228="",Setup!$B$15=""),0,IF(V228=0,T228/COUNTIF(Setup!$B$9:$B$20,"?*"),T228*AO228/V228))</f>
        <v/>
      </c>
      <c r="AD228">
        <f>IF(OR(T228="",Setup!$B$16=""),0,IF(V228=0,T228/COUNTIF(Setup!$B$9:$B$20,"?*"),T228*AP228/V228))</f>
        <v/>
      </c>
      <c r="AE228">
        <f>IF(OR(T228="",Setup!$B$17=""),0,IF(V228=0,T228/COUNTIF(Setup!$B$9:$B$20,"?*"),T228*AQ228/V228))</f>
        <v/>
      </c>
      <c r="AF228">
        <f>IF(OR(T228="",Setup!$B$18=""),0,IF(V228=0,T228/COUNTIF(Setup!$B$9:$B$20,"?*"),T228*AR228/V228))</f>
        <v/>
      </c>
      <c r="AG228">
        <f>IF(OR(T228="",Setup!$B$19=""),0,IF(V228=0,T228/COUNTIF(Setup!$B$9:$B$20,"?*"),T228*AS228/V228))</f>
        <v/>
      </c>
      <c r="AH228">
        <f>IF(OR(T228="",Setup!$B$20=""),0,IF(V228=0,T228/COUNTIF(Setup!$B$9:$B$20,"?*"),T228*AT228/V228))</f>
        <v/>
      </c>
      <c r="AI228">
        <f>IF(Setup!$B$9="",0,IF(H228="",0,IF(ISNUMBER(H228),H228,1)))</f>
        <v/>
      </c>
      <c r="AJ228">
        <f>IF(Setup!$B$10="",0,IF(I228="",0,IF(ISNUMBER(I228),I228,1)))</f>
        <v/>
      </c>
      <c r="AK228">
        <f>IF(Setup!$B$11="",0,IF(J228="",0,IF(ISNUMBER(J228),J228,1)))</f>
        <v/>
      </c>
      <c r="AL228">
        <f>IF(Setup!$B$12="",0,IF(K228="",0,IF(ISNUMBER(K228),K228,1)))</f>
        <v/>
      </c>
      <c r="AM228">
        <f>IF(Setup!$B$13="",0,IF(L228="",0,IF(ISNUMBER(L228),L228,1)))</f>
        <v/>
      </c>
      <c r="AN228">
        <f>IF(Setup!$B$14="",0,IF(M228="",0,IF(ISNUMBER(M228),M228,1)))</f>
        <v/>
      </c>
      <c r="AO228">
        <f>IF(Setup!$B$15="",0,IF(N228="",0,IF(ISNUMBER(N228),N228,1)))</f>
        <v/>
      </c>
      <c r="AP228">
        <f>IF(Setup!$B$16="",0,IF(O228="",0,IF(ISNUMBER(O228),O228,1)))</f>
        <v/>
      </c>
      <c r="AQ228">
        <f>IF(Setup!$B$17="",0,IF(P228="",0,IF(ISNUMBER(P228),P228,1)))</f>
        <v/>
      </c>
      <c r="AR228">
        <f>IF(Setup!$B$18="",0,IF(Q228="",0,IF(ISNUMBER(Q228),Q228,1)))</f>
        <v/>
      </c>
      <c r="AS228">
        <f>IF(Setup!$B$19="",0,IF(R228="",0,IF(ISNUMBER(R228),R228,1)))</f>
        <v/>
      </c>
      <c r="AT228">
        <f>IF(Setup!$B$20="",0,IF(S228="",0,IF(ISNUMBER(S228),S228,1)))</f>
        <v/>
      </c>
    </row>
    <row r="229">
      <c r="A229" s="1" t="n"/>
      <c r="B229" s="24" t="n"/>
      <c r="C229" s="25" t="n"/>
      <c r="D229" s="25" t="n"/>
      <c r="E229" s="26" t="n"/>
      <c r="F229" s="27" t="n"/>
      <c r="G229" s="17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8" t="n"/>
      <c r="Q229" s="28" t="n"/>
      <c r="R229" s="28" t="n"/>
      <c r="S229" s="28" t="n"/>
      <c r="T229" s="29">
        <f>IF(N(E229)=0,"",E229*IF(F229="",1,IFERROR(INDEX(Setup!$E$9:$E$18,MATCH(F229,Setup!$D$9:$D$18,0)),0)))</f>
        <v/>
      </c>
      <c r="U229" s="30">
        <f>IF(T229="","",IF(V229=0,"Everyone",IF(COUNTIF(AI229:AT229,"&gt;0")=COUNTIF(Setup!$B$9:$B$20,"?*"),"Everyone",COUNTIF(AI229:AT229,"&gt;0")&amp;IF(COUNTIF(AI229:AT229,"&gt;0")=1," person"," people"))))</f>
        <v/>
      </c>
      <c r="V229" s="1">
        <f>SUM(AI229:AT229)</f>
        <v/>
      </c>
      <c r="W229">
        <f>IF(OR(T229="",Setup!$B$9=""),0,IF(V229=0,T229/COUNTIF(Setup!$B$9:$B$20,"?*"),T229*AI229/V229))</f>
        <v/>
      </c>
      <c r="X229">
        <f>IF(OR(T229="",Setup!$B$10=""),0,IF(V229=0,T229/COUNTIF(Setup!$B$9:$B$20,"?*"),T229*AJ229/V229))</f>
        <v/>
      </c>
      <c r="Y229">
        <f>IF(OR(T229="",Setup!$B$11=""),0,IF(V229=0,T229/COUNTIF(Setup!$B$9:$B$20,"?*"),T229*AK229/V229))</f>
        <v/>
      </c>
      <c r="Z229">
        <f>IF(OR(T229="",Setup!$B$12=""),0,IF(V229=0,T229/COUNTIF(Setup!$B$9:$B$20,"?*"),T229*AL229/V229))</f>
        <v/>
      </c>
      <c r="AA229">
        <f>IF(OR(T229="",Setup!$B$13=""),0,IF(V229=0,T229/COUNTIF(Setup!$B$9:$B$20,"?*"),T229*AM229/V229))</f>
        <v/>
      </c>
      <c r="AB229">
        <f>IF(OR(T229="",Setup!$B$14=""),0,IF(V229=0,T229/COUNTIF(Setup!$B$9:$B$20,"?*"),T229*AN229/V229))</f>
        <v/>
      </c>
      <c r="AC229">
        <f>IF(OR(T229="",Setup!$B$15=""),0,IF(V229=0,T229/COUNTIF(Setup!$B$9:$B$20,"?*"),T229*AO229/V229))</f>
        <v/>
      </c>
      <c r="AD229">
        <f>IF(OR(T229="",Setup!$B$16=""),0,IF(V229=0,T229/COUNTIF(Setup!$B$9:$B$20,"?*"),T229*AP229/V229))</f>
        <v/>
      </c>
      <c r="AE229">
        <f>IF(OR(T229="",Setup!$B$17=""),0,IF(V229=0,T229/COUNTIF(Setup!$B$9:$B$20,"?*"),T229*AQ229/V229))</f>
        <v/>
      </c>
      <c r="AF229">
        <f>IF(OR(T229="",Setup!$B$18=""),0,IF(V229=0,T229/COUNTIF(Setup!$B$9:$B$20,"?*"),T229*AR229/V229))</f>
        <v/>
      </c>
      <c r="AG229">
        <f>IF(OR(T229="",Setup!$B$19=""),0,IF(V229=0,T229/COUNTIF(Setup!$B$9:$B$20,"?*"),T229*AS229/V229))</f>
        <v/>
      </c>
      <c r="AH229">
        <f>IF(OR(T229="",Setup!$B$20=""),0,IF(V229=0,T229/COUNTIF(Setup!$B$9:$B$20,"?*"),T229*AT229/V229))</f>
        <v/>
      </c>
      <c r="AI229">
        <f>IF(Setup!$B$9="",0,IF(H229="",0,IF(ISNUMBER(H229),H229,1)))</f>
        <v/>
      </c>
      <c r="AJ229">
        <f>IF(Setup!$B$10="",0,IF(I229="",0,IF(ISNUMBER(I229),I229,1)))</f>
        <v/>
      </c>
      <c r="AK229">
        <f>IF(Setup!$B$11="",0,IF(J229="",0,IF(ISNUMBER(J229),J229,1)))</f>
        <v/>
      </c>
      <c r="AL229">
        <f>IF(Setup!$B$12="",0,IF(K229="",0,IF(ISNUMBER(K229),K229,1)))</f>
        <v/>
      </c>
      <c r="AM229">
        <f>IF(Setup!$B$13="",0,IF(L229="",0,IF(ISNUMBER(L229),L229,1)))</f>
        <v/>
      </c>
      <c r="AN229">
        <f>IF(Setup!$B$14="",0,IF(M229="",0,IF(ISNUMBER(M229),M229,1)))</f>
        <v/>
      </c>
      <c r="AO229">
        <f>IF(Setup!$B$15="",0,IF(N229="",0,IF(ISNUMBER(N229),N229,1)))</f>
        <v/>
      </c>
      <c r="AP229">
        <f>IF(Setup!$B$16="",0,IF(O229="",0,IF(ISNUMBER(O229),O229,1)))</f>
        <v/>
      </c>
      <c r="AQ229">
        <f>IF(Setup!$B$17="",0,IF(P229="",0,IF(ISNUMBER(P229),P229,1)))</f>
        <v/>
      </c>
      <c r="AR229">
        <f>IF(Setup!$B$18="",0,IF(Q229="",0,IF(ISNUMBER(Q229),Q229,1)))</f>
        <v/>
      </c>
      <c r="AS229">
        <f>IF(Setup!$B$19="",0,IF(R229="",0,IF(ISNUMBER(R229),R229,1)))</f>
        <v/>
      </c>
      <c r="AT229">
        <f>IF(Setup!$B$20="",0,IF(S229="",0,IF(ISNUMBER(S229),S229,1)))</f>
        <v/>
      </c>
    </row>
    <row r="230">
      <c r="A230" s="1" t="n"/>
      <c r="B230" s="24" t="n"/>
      <c r="C230" s="25" t="n"/>
      <c r="D230" s="25" t="n"/>
      <c r="E230" s="26" t="n"/>
      <c r="F230" s="27" t="n"/>
      <c r="G230" s="17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28" t="n"/>
      <c r="Q230" s="28" t="n"/>
      <c r="R230" s="28" t="n"/>
      <c r="S230" s="28" t="n"/>
      <c r="T230" s="29">
        <f>IF(N(E230)=0,"",E230*IF(F230="",1,IFERROR(INDEX(Setup!$E$9:$E$18,MATCH(F230,Setup!$D$9:$D$18,0)),0)))</f>
        <v/>
      </c>
      <c r="U230" s="30">
        <f>IF(T230="","",IF(V230=0,"Everyone",IF(COUNTIF(AI230:AT230,"&gt;0")=COUNTIF(Setup!$B$9:$B$20,"?*"),"Everyone",COUNTIF(AI230:AT230,"&gt;0")&amp;IF(COUNTIF(AI230:AT230,"&gt;0")=1," person"," people"))))</f>
        <v/>
      </c>
      <c r="V230" s="1">
        <f>SUM(AI230:AT230)</f>
        <v/>
      </c>
      <c r="W230">
        <f>IF(OR(T230="",Setup!$B$9=""),0,IF(V230=0,T230/COUNTIF(Setup!$B$9:$B$20,"?*"),T230*AI230/V230))</f>
        <v/>
      </c>
      <c r="X230">
        <f>IF(OR(T230="",Setup!$B$10=""),0,IF(V230=0,T230/COUNTIF(Setup!$B$9:$B$20,"?*"),T230*AJ230/V230))</f>
        <v/>
      </c>
      <c r="Y230">
        <f>IF(OR(T230="",Setup!$B$11=""),0,IF(V230=0,T230/COUNTIF(Setup!$B$9:$B$20,"?*"),T230*AK230/V230))</f>
        <v/>
      </c>
      <c r="Z230">
        <f>IF(OR(T230="",Setup!$B$12=""),0,IF(V230=0,T230/COUNTIF(Setup!$B$9:$B$20,"?*"),T230*AL230/V230))</f>
        <v/>
      </c>
      <c r="AA230">
        <f>IF(OR(T230="",Setup!$B$13=""),0,IF(V230=0,T230/COUNTIF(Setup!$B$9:$B$20,"?*"),T230*AM230/V230))</f>
        <v/>
      </c>
      <c r="AB230">
        <f>IF(OR(T230="",Setup!$B$14=""),0,IF(V230=0,T230/COUNTIF(Setup!$B$9:$B$20,"?*"),T230*AN230/V230))</f>
        <v/>
      </c>
      <c r="AC230">
        <f>IF(OR(T230="",Setup!$B$15=""),0,IF(V230=0,T230/COUNTIF(Setup!$B$9:$B$20,"?*"),T230*AO230/V230))</f>
        <v/>
      </c>
      <c r="AD230">
        <f>IF(OR(T230="",Setup!$B$16=""),0,IF(V230=0,T230/COUNTIF(Setup!$B$9:$B$20,"?*"),T230*AP230/V230))</f>
        <v/>
      </c>
      <c r="AE230">
        <f>IF(OR(T230="",Setup!$B$17=""),0,IF(V230=0,T230/COUNTIF(Setup!$B$9:$B$20,"?*"),T230*AQ230/V230))</f>
        <v/>
      </c>
      <c r="AF230">
        <f>IF(OR(T230="",Setup!$B$18=""),0,IF(V230=0,T230/COUNTIF(Setup!$B$9:$B$20,"?*"),T230*AR230/V230))</f>
        <v/>
      </c>
      <c r="AG230">
        <f>IF(OR(T230="",Setup!$B$19=""),0,IF(V230=0,T230/COUNTIF(Setup!$B$9:$B$20,"?*"),T230*AS230/V230))</f>
        <v/>
      </c>
      <c r="AH230">
        <f>IF(OR(T230="",Setup!$B$20=""),0,IF(V230=0,T230/COUNTIF(Setup!$B$9:$B$20,"?*"),T230*AT230/V230))</f>
        <v/>
      </c>
      <c r="AI230">
        <f>IF(Setup!$B$9="",0,IF(H230="",0,IF(ISNUMBER(H230),H230,1)))</f>
        <v/>
      </c>
      <c r="AJ230">
        <f>IF(Setup!$B$10="",0,IF(I230="",0,IF(ISNUMBER(I230),I230,1)))</f>
        <v/>
      </c>
      <c r="AK230">
        <f>IF(Setup!$B$11="",0,IF(J230="",0,IF(ISNUMBER(J230),J230,1)))</f>
        <v/>
      </c>
      <c r="AL230">
        <f>IF(Setup!$B$12="",0,IF(K230="",0,IF(ISNUMBER(K230),K230,1)))</f>
        <v/>
      </c>
      <c r="AM230">
        <f>IF(Setup!$B$13="",0,IF(L230="",0,IF(ISNUMBER(L230),L230,1)))</f>
        <v/>
      </c>
      <c r="AN230">
        <f>IF(Setup!$B$14="",0,IF(M230="",0,IF(ISNUMBER(M230),M230,1)))</f>
        <v/>
      </c>
      <c r="AO230">
        <f>IF(Setup!$B$15="",0,IF(N230="",0,IF(ISNUMBER(N230),N230,1)))</f>
        <v/>
      </c>
      <c r="AP230">
        <f>IF(Setup!$B$16="",0,IF(O230="",0,IF(ISNUMBER(O230),O230,1)))</f>
        <v/>
      </c>
      <c r="AQ230">
        <f>IF(Setup!$B$17="",0,IF(P230="",0,IF(ISNUMBER(P230),P230,1)))</f>
        <v/>
      </c>
      <c r="AR230">
        <f>IF(Setup!$B$18="",0,IF(Q230="",0,IF(ISNUMBER(Q230),Q230,1)))</f>
        <v/>
      </c>
      <c r="AS230">
        <f>IF(Setup!$B$19="",0,IF(R230="",0,IF(ISNUMBER(R230),R230,1)))</f>
        <v/>
      </c>
      <c r="AT230">
        <f>IF(Setup!$B$20="",0,IF(S230="",0,IF(ISNUMBER(S230),S230,1)))</f>
        <v/>
      </c>
    </row>
    <row r="231">
      <c r="A231" s="1" t="n"/>
      <c r="B231" s="24" t="n"/>
      <c r="C231" s="25" t="n"/>
      <c r="D231" s="25" t="n"/>
      <c r="E231" s="26" t="n"/>
      <c r="F231" s="27" t="n"/>
      <c r="G231" s="17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8" t="n"/>
      <c r="Q231" s="28" t="n"/>
      <c r="R231" s="28" t="n"/>
      <c r="S231" s="28" t="n"/>
      <c r="T231" s="29">
        <f>IF(N(E231)=0,"",E231*IF(F231="",1,IFERROR(INDEX(Setup!$E$9:$E$18,MATCH(F231,Setup!$D$9:$D$18,0)),0)))</f>
        <v/>
      </c>
      <c r="U231" s="30">
        <f>IF(T231="","",IF(V231=0,"Everyone",IF(COUNTIF(AI231:AT231,"&gt;0")=COUNTIF(Setup!$B$9:$B$20,"?*"),"Everyone",COUNTIF(AI231:AT231,"&gt;0")&amp;IF(COUNTIF(AI231:AT231,"&gt;0")=1," person"," people"))))</f>
        <v/>
      </c>
      <c r="V231" s="1">
        <f>SUM(AI231:AT231)</f>
        <v/>
      </c>
      <c r="W231">
        <f>IF(OR(T231="",Setup!$B$9=""),0,IF(V231=0,T231/COUNTIF(Setup!$B$9:$B$20,"?*"),T231*AI231/V231))</f>
        <v/>
      </c>
      <c r="X231">
        <f>IF(OR(T231="",Setup!$B$10=""),0,IF(V231=0,T231/COUNTIF(Setup!$B$9:$B$20,"?*"),T231*AJ231/V231))</f>
        <v/>
      </c>
      <c r="Y231">
        <f>IF(OR(T231="",Setup!$B$11=""),0,IF(V231=0,T231/COUNTIF(Setup!$B$9:$B$20,"?*"),T231*AK231/V231))</f>
        <v/>
      </c>
      <c r="Z231">
        <f>IF(OR(T231="",Setup!$B$12=""),0,IF(V231=0,T231/COUNTIF(Setup!$B$9:$B$20,"?*"),T231*AL231/V231))</f>
        <v/>
      </c>
      <c r="AA231">
        <f>IF(OR(T231="",Setup!$B$13=""),0,IF(V231=0,T231/COUNTIF(Setup!$B$9:$B$20,"?*"),T231*AM231/V231))</f>
        <v/>
      </c>
      <c r="AB231">
        <f>IF(OR(T231="",Setup!$B$14=""),0,IF(V231=0,T231/COUNTIF(Setup!$B$9:$B$20,"?*"),T231*AN231/V231))</f>
        <v/>
      </c>
      <c r="AC231">
        <f>IF(OR(T231="",Setup!$B$15=""),0,IF(V231=0,T231/COUNTIF(Setup!$B$9:$B$20,"?*"),T231*AO231/V231))</f>
        <v/>
      </c>
      <c r="AD231">
        <f>IF(OR(T231="",Setup!$B$16=""),0,IF(V231=0,T231/COUNTIF(Setup!$B$9:$B$20,"?*"),T231*AP231/V231))</f>
        <v/>
      </c>
      <c r="AE231">
        <f>IF(OR(T231="",Setup!$B$17=""),0,IF(V231=0,T231/COUNTIF(Setup!$B$9:$B$20,"?*"),T231*AQ231/V231))</f>
        <v/>
      </c>
      <c r="AF231">
        <f>IF(OR(T231="",Setup!$B$18=""),0,IF(V231=0,T231/COUNTIF(Setup!$B$9:$B$20,"?*"),T231*AR231/V231))</f>
        <v/>
      </c>
      <c r="AG231">
        <f>IF(OR(T231="",Setup!$B$19=""),0,IF(V231=0,T231/COUNTIF(Setup!$B$9:$B$20,"?*"),T231*AS231/V231))</f>
        <v/>
      </c>
      <c r="AH231">
        <f>IF(OR(T231="",Setup!$B$20=""),0,IF(V231=0,T231/COUNTIF(Setup!$B$9:$B$20,"?*"),T231*AT231/V231))</f>
        <v/>
      </c>
      <c r="AI231">
        <f>IF(Setup!$B$9="",0,IF(H231="",0,IF(ISNUMBER(H231),H231,1)))</f>
        <v/>
      </c>
      <c r="AJ231">
        <f>IF(Setup!$B$10="",0,IF(I231="",0,IF(ISNUMBER(I231),I231,1)))</f>
        <v/>
      </c>
      <c r="AK231">
        <f>IF(Setup!$B$11="",0,IF(J231="",0,IF(ISNUMBER(J231),J231,1)))</f>
        <v/>
      </c>
      <c r="AL231">
        <f>IF(Setup!$B$12="",0,IF(K231="",0,IF(ISNUMBER(K231),K231,1)))</f>
        <v/>
      </c>
      <c r="AM231">
        <f>IF(Setup!$B$13="",0,IF(L231="",0,IF(ISNUMBER(L231),L231,1)))</f>
        <v/>
      </c>
      <c r="AN231">
        <f>IF(Setup!$B$14="",0,IF(M231="",0,IF(ISNUMBER(M231),M231,1)))</f>
        <v/>
      </c>
      <c r="AO231">
        <f>IF(Setup!$B$15="",0,IF(N231="",0,IF(ISNUMBER(N231),N231,1)))</f>
        <v/>
      </c>
      <c r="AP231">
        <f>IF(Setup!$B$16="",0,IF(O231="",0,IF(ISNUMBER(O231),O231,1)))</f>
        <v/>
      </c>
      <c r="AQ231">
        <f>IF(Setup!$B$17="",0,IF(P231="",0,IF(ISNUMBER(P231),P231,1)))</f>
        <v/>
      </c>
      <c r="AR231">
        <f>IF(Setup!$B$18="",0,IF(Q231="",0,IF(ISNUMBER(Q231),Q231,1)))</f>
        <v/>
      </c>
      <c r="AS231">
        <f>IF(Setup!$B$19="",0,IF(R231="",0,IF(ISNUMBER(R231),R231,1)))</f>
        <v/>
      </c>
      <c r="AT231">
        <f>IF(Setup!$B$20="",0,IF(S231="",0,IF(ISNUMBER(S231),S231,1)))</f>
        <v/>
      </c>
    </row>
    <row r="232">
      <c r="A232" s="1" t="n"/>
      <c r="B232" s="24" t="n"/>
      <c r="C232" s="25" t="n"/>
      <c r="D232" s="25" t="n"/>
      <c r="E232" s="26" t="n"/>
      <c r="F232" s="27" t="n"/>
      <c r="G232" s="17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28" t="n"/>
      <c r="Q232" s="28" t="n"/>
      <c r="R232" s="28" t="n"/>
      <c r="S232" s="28" t="n"/>
      <c r="T232" s="29">
        <f>IF(N(E232)=0,"",E232*IF(F232="",1,IFERROR(INDEX(Setup!$E$9:$E$18,MATCH(F232,Setup!$D$9:$D$18,0)),0)))</f>
        <v/>
      </c>
      <c r="U232" s="30">
        <f>IF(T232="","",IF(V232=0,"Everyone",IF(COUNTIF(AI232:AT232,"&gt;0")=COUNTIF(Setup!$B$9:$B$20,"?*"),"Everyone",COUNTIF(AI232:AT232,"&gt;0")&amp;IF(COUNTIF(AI232:AT232,"&gt;0")=1," person"," people"))))</f>
        <v/>
      </c>
      <c r="V232" s="1">
        <f>SUM(AI232:AT232)</f>
        <v/>
      </c>
      <c r="W232">
        <f>IF(OR(T232="",Setup!$B$9=""),0,IF(V232=0,T232/COUNTIF(Setup!$B$9:$B$20,"?*"),T232*AI232/V232))</f>
        <v/>
      </c>
      <c r="X232">
        <f>IF(OR(T232="",Setup!$B$10=""),0,IF(V232=0,T232/COUNTIF(Setup!$B$9:$B$20,"?*"),T232*AJ232/V232))</f>
        <v/>
      </c>
      <c r="Y232">
        <f>IF(OR(T232="",Setup!$B$11=""),0,IF(V232=0,T232/COUNTIF(Setup!$B$9:$B$20,"?*"),T232*AK232/V232))</f>
        <v/>
      </c>
      <c r="Z232">
        <f>IF(OR(T232="",Setup!$B$12=""),0,IF(V232=0,T232/COUNTIF(Setup!$B$9:$B$20,"?*"),T232*AL232/V232))</f>
        <v/>
      </c>
      <c r="AA232">
        <f>IF(OR(T232="",Setup!$B$13=""),0,IF(V232=0,T232/COUNTIF(Setup!$B$9:$B$20,"?*"),T232*AM232/V232))</f>
        <v/>
      </c>
      <c r="AB232">
        <f>IF(OR(T232="",Setup!$B$14=""),0,IF(V232=0,T232/COUNTIF(Setup!$B$9:$B$20,"?*"),T232*AN232/V232))</f>
        <v/>
      </c>
      <c r="AC232">
        <f>IF(OR(T232="",Setup!$B$15=""),0,IF(V232=0,T232/COUNTIF(Setup!$B$9:$B$20,"?*"),T232*AO232/V232))</f>
        <v/>
      </c>
      <c r="AD232">
        <f>IF(OR(T232="",Setup!$B$16=""),0,IF(V232=0,T232/COUNTIF(Setup!$B$9:$B$20,"?*"),T232*AP232/V232))</f>
        <v/>
      </c>
      <c r="AE232">
        <f>IF(OR(T232="",Setup!$B$17=""),0,IF(V232=0,T232/COUNTIF(Setup!$B$9:$B$20,"?*"),T232*AQ232/V232))</f>
        <v/>
      </c>
      <c r="AF232">
        <f>IF(OR(T232="",Setup!$B$18=""),0,IF(V232=0,T232/COUNTIF(Setup!$B$9:$B$20,"?*"),T232*AR232/V232))</f>
        <v/>
      </c>
      <c r="AG232">
        <f>IF(OR(T232="",Setup!$B$19=""),0,IF(V232=0,T232/COUNTIF(Setup!$B$9:$B$20,"?*"),T232*AS232/V232))</f>
        <v/>
      </c>
      <c r="AH232">
        <f>IF(OR(T232="",Setup!$B$20=""),0,IF(V232=0,T232/COUNTIF(Setup!$B$9:$B$20,"?*"),T232*AT232/V232))</f>
        <v/>
      </c>
      <c r="AI232">
        <f>IF(Setup!$B$9="",0,IF(H232="",0,IF(ISNUMBER(H232),H232,1)))</f>
        <v/>
      </c>
      <c r="AJ232">
        <f>IF(Setup!$B$10="",0,IF(I232="",0,IF(ISNUMBER(I232),I232,1)))</f>
        <v/>
      </c>
      <c r="AK232">
        <f>IF(Setup!$B$11="",0,IF(J232="",0,IF(ISNUMBER(J232),J232,1)))</f>
        <v/>
      </c>
      <c r="AL232">
        <f>IF(Setup!$B$12="",0,IF(K232="",0,IF(ISNUMBER(K232),K232,1)))</f>
        <v/>
      </c>
      <c r="AM232">
        <f>IF(Setup!$B$13="",0,IF(L232="",0,IF(ISNUMBER(L232),L232,1)))</f>
        <v/>
      </c>
      <c r="AN232">
        <f>IF(Setup!$B$14="",0,IF(M232="",0,IF(ISNUMBER(M232),M232,1)))</f>
        <v/>
      </c>
      <c r="AO232">
        <f>IF(Setup!$B$15="",0,IF(N232="",0,IF(ISNUMBER(N232),N232,1)))</f>
        <v/>
      </c>
      <c r="AP232">
        <f>IF(Setup!$B$16="",0,IF(O232="",0,IF(ISNUMBER(O232),O232,1)))</f>
        <v/>
      </c>
      <c r="AQ232">
        <f>IF(Setup!$B$17="",0,IF(P232="",0,IF(ISNUMBER(P232),P232,1)))</f>
        <v/>
      </c>
      <c r="AR232">
        <f>IF(Setup!$B$18="",0,IF(Q232="",0,IF(ISNUMBER(Q232),Q232,1)))</f>
        <v/>
      </c>
      <c r="AS232">
        <f>IF(Setup!$B$19="",0,IF(R232="",0,IF(ISNUMBER(R232),R232,1)))</f>
        <v/>
      </c>
      <c r="AT232">
        <f>IF(Setup!$B$20="",0,IF(S232="",0,IF(ISNUMBER(S232),S232,1)))</f>
        <v/>
      </c>
    </row>
    <row r="233">
      <c r="A233" s="1" t="n"/>
      <c r="B233" s="24" t="n"/>
      <c r="C233" s="25" t="n"/>
      <c r="D233" s="25" t="n"/>
      <c r="E233" s="26" t="n"/>
      <c r="F233" s="27" t="n"/>
      <c r="G233" s="17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8" t="n"/>
      <c r="Q233" s="28" t="n"/>
      <c r="R233" s="28" t="n"/>
      <c r="S233" s="28" t="n"/>
      <c r="T233" s="29">
        <f>IF(N(E233)=0,"",E233*IF(F233="",1,IFERROR(INDEX(Setup!$E$9:$E$18,MATCH(F233,Setup!$D$9:$D$18,0)),0)))</f>
        <v/>
      </c>
      <c r="U233" s="30">
        <f>IF(T233="","",IF(V233=0,"Everyone",IF(COUNTIF(AI233:AT233,"&gt;0")=COUNTIF(Setup!$B$9:$B$20,"?*"),"Everyone",COUNTIF(AI233:AT233,"&gt;0")&amp;IF(COUNTIF(AI233:AT233,"&gt;0")=1," person"," people"))))</f>
        <v/>
      </c>
      <c r="V233" s="1">
        <f>SUM(AI233:AT233)</f>
        <v/>
      </c>
      <c r="W233">
        <f>IF(OR(T233="",Setup!$B$9=""),0,IF(V233=0,T233/COUNTIF(Setup!$B$9:$B$20,"?*"),T233*AI233/V233))</f>
        <v/>
      </c>
      <c r="X233">
        <f>IF(OR(T233="",Setup!$B$10=""),0,IF(V233=0,T233/COUNTIF(Setup!$B$9:$B$20,"?*"),T233*AJ233/V233))</f>
        <v/>
      </c>
      <c r="Y233">
        <f>IF(OR(T233="",Setup!$B$11=""),0,IF(V233=0,T233/COUNTIF(Setup!$B$9:$B$20,"?*"),T233*AK233/V233))</f>
        <v/>
      </c>
      <c r="Z233">
        <f>IF(OR(T233="",Setup!$B$12=""),0,IF(V233=0,T233/COUNTIF(Setup!$B$9:$B$20,"?*"),T233*AL233/V233))</f>
        <v/>
      </c>
      <c r="AA233">
        <f>IF(OR(T233="",Setup!$B$13=""),0,IF(V233=0,T233/COUNTIF(Setup!$B$9:$B$20,"?*"),T233*AM233/V233))</f>
        <v/>
      </c>
      <c r="AB233">
        <f>IF(OR(T233="",Setup!$B$14=""),0,IF(V233=0,T233/COUNTIF(Setup!$B$9:$B$20,"?*"),T233*AN233/V233))</f>
        <v/>
      </c>
      <c r="AC233">
        <f>IF(OR(T233="",Setup!$B$15=""),0,IF(V233=0,T233/COUNTIF(Setup!$B$9:$B$20,"?*"),T233*AO233/V233))</f>
        <v/>
      </c>
      <c r="AD233">
        <f>IF(OR(T233="",Setup!$B$16=""),0,IF(V233=0,T233/COUNTIF(Setup!$B$9:$B$20,"?*"),T233*AP233/V233))</f>
        <v/>
      </c>
      <c r="AE233">
        <f>IF(OR(T233="",Setup!$B$17=""),0,IF(V233=0,T233/COUNTIF(Setup!$B$9:$B$20,"?*"),T233*AQ233/V233))</f>
        <v/>
      </c>
      <c r="AF233">
        <f>IF(OR(T233="",Setup!$B$18=""),0,IF(V233=0,T233/COUNTIF(Setup!$B$9:$B$20,"?*"),T233*AR233/V233))</f>
        <v/>
      </c>
      <c r="AG233">
        <f>IF(OR(T233="",Setup!$B$19=""),0,IF(V233=0,T233/COUNTIF(Setup!$B$9:$B$20,"?*"),T233*AS233/V233))</f>
        <v/>
      </c>
      <c r="AH233">
        <f>IF(OR(T233="",Setup!$B$20=""),0,IF(V233=0,T233/COUNTIF(Setup!$B$9:$B$20,"?*"),T233*AT233/V233))</f>
        <v/>
      </c>
      <c r="AI233">
        <f>IF(Setup!$B$9="",0,IF(H233="",0,IF(ISNUMBER(H233),H233,1)))</f>
        <v/>
      </c>
      <c r="AJ233">
        <f>IF(Setup!$B$10="",0,IF(I233="",0,IF(ISNUMBER(I233),I233,1)))</f>
        <v/>
      </c>
      <c r="AK233">
        <f>IF(Setup!$B$11="",0,IF(J233="",0,IF(ISNUMBER(J233),J233,1)))</f>
        <v/>
      </c>
      <c r="AL233">
        <f>IF(Setup!$B$12="",0,IF(K233="",0,IF(ISNUMBER(K233),K233,1)))</f>
        <v/>
      </c>
      <c r="AM233">
        <f>IF(Setup!$B$13="",0,IF(L233="",0,IF(ISNUMBER(L233),L233,1)))</f>
        <v/>
      </c>
      <c r="AN233">
        <f>IF(Setup!$B$14="",0,IF(M233="",0,IF(ISNUMBER(M233),M233,1)))</f>
        <v/>
      </c>
      <c r="AO233">
        <f>IF(Setup!$B$15="",0,IF(N233="",0,IF(ISNUMBER(N233),N233,1)))</f>
        <v/>
      </c>
      <c r="AP233">
        <f>IF(Setup!$B$16="",0,IF(O233="",0,IF(ISNUMBER(O233),O233,1)))</f>
        <v/>
      </c>
      <c r="AQ233">
        <f>IF(Setup!$B$17="",0,IF(P233="",0,IF(ISNUMBER(P233),P233,1)))</f>
        <v/>
      </c>
      <c r="AR233">
        <f>IF(Setup!$B$18="",0,IF(Q233="",0,IF(ISNUMBER(Q233),Q233,1)))</f>
        <v/>
      </c>
      <c r="AS233">
        <f>IF(Setup!$B$19="",0,IF(R233="",0,IF(ISNUMBER(R233),R233,1)))</f>
        <v/>
      </c>
      <c r="AT233">
        <f>IF(Setup!$B$20="",0,IF(S233="",0,IF(ISNUMBER(S233),S233,1)))</f>
        <v/>
      </c>
    </row>
    <row r="234">
      <c r="A234" s="1" t="n"/>
      <c r="B234" s="24" t="n"/>
      <c r="C234" s="25" t="n"/>
      <c r="D234" s="25" t="n"/>
      <c r="E234" s="26" t="n"/>
      <c r="F234" s="27" t="n"/>
      <c r="G234" s="17" t="n"/>
      <c r="H234" s="28" t="n"/>
      <c r="I234" s="28" t="n"/>
      <c r="J234" s="28" t="n"/>
      <c r="K234" s="28" t="n"/>
      <c r="L234" s="28" t="n"/>
      <c r="M234" s="28" t="n"/>
      <c r="N234" s="28" t="n"/>
      <c r="O234" s="28" t="n"/>
      <c r="P234" s="28" t="n"/>
      <c r="Q234" s="28" t="n"/>
      <c r="R234" s="28" t="n"/>
      <c r="S234" s="28" t="n"/>
      <c r="T234" s="29">
        <f>IF(N(E234)=0,"",E234*IF(F234="",1,IFERROR(INDEX(Setup!$E$9:$E$18,MATCH(F234,Setup!$D$9:$D$18,0)),0)))</f>
        <v/>
      </c>
      <c r="U234" s="30">
        <f>IF(T234="","",IF(V234=0,"Everyone",IF(COUNTIF(AI234:AT234,"&gt;0")=COUNTIF(Setup!$B$9:$B$20,"?*"),"Everyone",COUNTIF(AI234:AT234,"&gt;0")&amp;IF(COUNTIF(AI234:AT234,"&gt;0")=1," person"," people"))))</f>
        <v/>
      </c>
      <c r="V234" s="1">
        <f>SUM(AI234:AT234)</f>
        <v/>
      </c>
      <c r="W234">
        <f>IF(OR(T234="",Setup!$B$9=""),0,IF(V234=0,T234/COUNTIF(Setup!$B$9:$B$20,"?*"),T234*AI234/V234))</f>
        <v/>
      </c>
      <c r="X234">
        <f>IF(OR(T234="",Setup!$B$10=""),0,IF(V234=0,T234/COUNTIF(Setup!$B$9:$B$20,"?*"),T234*AJ234/V234))</f>
        <v/>
      </c>
      <c r="Y234">
        <f>IF(OR(T234="",Setup!$B$11=""),0,IF(V234=0,T234/COUNTIF(Setup!$B$9:$B$20,"?*"),T234*AK234/V234))</f>
        <v/>
      </c>
      <c r="Z234">
        <f>IF(OR(T234="",Setup!$B$12=""),0,IF(V234=0,T234/COUNTIF(Setup!$B$9:$B$20,"?*"),T234*AL234/V234))</f>
        <v/>
      </c>
      <c r="AA234">
        <f>IF(OR(T234="",Setup!$B$13=""),0,IF(V234=0,T234/COUNTIF(Setup!$B$9:$B$20,"?*"),T234*AM234/V234))</f>
        <v/>
      </c>
      <c r="AB234">
        <f>IF(OR(T234="",Setup!$B$14=""),0,IF(V234=0,T234/COUNTIF(Setup!$B$9:$B$20,"?*"),T234*AN234/V234))</f>
        <v/>
      </c>
      <c r="AC234">
        <f>IF(OR(T234="",Setup!$B$15=""),0,IF(V234=0,T234/COUNTIF(Setup!$B$9:$B$20,"?*"),T234*AO234/V234))</f>
        <v/>
      </c>
      <c r="AD234">
        <f>IF(OR(T234="",Setup!$B$16=""),0,IF(V234=0,T234/COUNTIF(Setup!$B$9:$B$20,"?*"),T234*AP234/V234))</f>
        <v/>
      </c>
      <c r="AE234">
        <f>IF(OR(T234="",Setup!$B$17=""),0,IF(V234=0,T234/COUNTIF(Setup!$B$9:$B$20,"?*"),T234*AQ234/V234))</f>
        <v/>
      </c>
      <c r="AF234">
        <f>IF(OR(T234="",Setup!$B$18=""),0,IF(V234=0,T234/COUNTIF(Setup!$B$9:$B$20,"?*"),T234*AR234/V234))</f>
        <v/>
      </c>
      <c r="AG234">
        <f>IF(OR(T234="",Setup!$B$19=""),0,IF(V234=0,T234/COUNTIF(Setup!$B$9:$B$20,"?*"),T234*AS234/V234))</f>
        <v/>
      </c>
      <c r="AH234">
        <f>IF(OR(T234="",Setup!$B$20=""),0,IF(V234=0,T234/COUNTIF(Setup!$B$9:$B$20,"?*"),T234*AT234/V234))</f>
        <v/>
      </c>
      <c r="AI234">
        <f>IF(Setup!$B$9="",0,IF(H234="",0,IF(ISNUMBER(H234),H234,1)))</f>
        <v/>
      </c>
      <c r="AJ234">
        <f>IF(Setup!$B$10="",0,IF(I234="",0,IF(ISNUMBER(I234),I234,1)))</f>
        <v/>
      </c>
      <c r="AK234">
        <f>IF(Setup!$B$11="",0,IF(J234="",0,IF(ISNUMBER(J234),J234,1)))</f>
        <v/>
      </c>
      <c r="AL234">
        <f>IF(Setup!$B$12="",0,IF(K234="",0,IF(ISNUMBER(K234),K234,1)))</f>
        <v/>
      </c>
      <c r="AM234">
        <f>IF(Setup!$B$13="",0,IF(L234="",0,IF(ISNUMBER(L234),L234,1)))</f>
        <v/>
      </c>
      <c r="AN234">
        <f>IF(Setup!$B$14="",0,IF(M234="",0,IF(ISNUMBER(M234),M234,1)))</f>
        <v/>
      </c>
      <c r="AO234">
        <f>IF(Setup!$B$15="",0,IF(N234="",0,IF(ISNUMBER(N234),N234,1)))</f>
        <v/>
      </c>
      <c r="AP234">
        <f>IF(Setup!$B$16="",0,IF(O234="",0,IF(ISNUMBER(O234),O234,1)))</f>
        <v/>
      </c>
      <c r="AQ234">
        <f>IF(Setup!$B$17="",0,IF(P234="",0,IF(ISNUMBER(P234),P234,1)))</f>
        <v/>
      </c>
      <c r="AR234">
        <f>IF(Setup!$B$18="",0,IF(Q234="",0,IF(ISNUMBER(Q234),Q234,1)))</f>
        <v/>
      </c>
      <c r="AS234">
        <f>IF(Setup!$B$19="",0,IF(R234="",0,IF(ISNUMBER(R234),R234,1)))</f>
        <v/>
      </c>
      <c r="AT234">
        <f>IF(Setup!$B$20="",0,IF(S234="",0,IF(ISNUMBER(S234),S234,1)))</f>
        <v/>
      </c>
    </row>
    <row r="235">
      <c r="A235" s="1" t="n"/>
      <c r="B235" s="24" t="n"/>
      <c r="C235" s="25" t="n"/>
      <c r="D235" s="25" t="n"/>
      <c r="E235" s="26" t="n"/>
      <c r="F235" s="27" t="n"/>
      <c r="G235" s="17" t="n"/>
      <c r="H235" s="28" t="n"/>
      <c r="I235" s="28" t="n"/>
      <c r="J235" s="28" t="n"/>
      <c r="K235" s="28" t="n"/>
      <c r="L235" s="28" t="n"/>
      <c r="M235" s="28" t="n"/>
      <c r="N235" s="28" t="n"/>
      <c r="O235" s="28" t="n"/>
      <c r="P235" s="28" t="n"/>
      <c r="Q235" s="28" t="n"/>
      <c r="R235" s="28" t="n"/>
      <c r="S235" s="28" t="n"/>
      <c r="T235" s="29">
        <f>IF(N(E235)=0,"",E235*IF(F235="",1,IFERROR(INDEX(Setup!$E$9:$E$18,MATCH(F235,Setup!$D$9:$D$18,0)),0)))</f>
        <v/>
      </c>
      <c r="U235" s="30">
        <f>IF(T235="","",IF(V235=0,"Everyone",IF(COUNTIF(AI235:AT235,"&gt;0")=COUNTIF(Setup!$B$9:$B$20,"?*"),"Everyone",COUNTIF(AI235:AT235,"&gt;0")&amp;IF(COUNTIF(AI235:AT235,"&gt;0")=1," person"," people"))))</f>
        <v/>
      </c>
      <c r="V235" s="1">
        <f>SUM(AI235:AT235)</f>
        <v/>
      </c>
      <c r="W235">
        <f>IF(OR(T235="",Setup!$B$9=""),0,IF(V235=0,T235/COUNTIF(Setup!$B$9:$B$20,"?*"),T235*AI235/V235))</f>
        <v/>
      </c>
      <c r="X235">
        <f>IF(OR(T235="",Setup!$B$10=""),0,IF(V235=0,T235/COUNTIF(Setup!$B$9:$B$20,"?*"),T235*AJ235/V235))</f>
        <v/>
      </c>
      <c r="Y235">
        <f>IF(OR(T235="",Setup!$B$11=""),0,IF(V235=0,T235/COUNTIF(Setup!$B$9:$B$20,"?*"),T235*AK235/V235))</f>
        <v/>
      </c>
      <c r="Z235">
        <f>IF(OR(T235="",Setup!$B$12=""),0,IF(V235=0,T235/COUNTIF(Setup!$B$9:$B$20,"?*"),T235*AL235/V235))</f>
        <v/>
      </c>
      <c r="AA235">
        <f>IF(OR(T235="",Setup!$B$13=""),0,IF(V235=0,T235/COUNTIF(Setup!$B$9:$B$20,"?*"),T235*AM235/V235))</f>
        <v/>
      </c>
      <c r="AB235">
        <f>IF(OR(T235="",Setup!$B$14=""),0,IF(V235=0,T235/COUNTIF(Setup!$B$9:$B$20,"?*"),T235*AN235/V235))</f>
        <v/>
      </c>
      <c r="AC235">
        <f>IF(OR(T235="",Setup!$B$15=""),0,IF(V235=0,T235/COUNTIF(Setup!$B$9:$B$20,"?*"),T235*AO235/V235))</f>
        <v/>
      </c>
      <c r="AD235">
        <f>IF(OR(T235="",Setup!$B$16=""),0,IF(V235=0,T235/COUNTIF(Setup!$B$9:$B$20,"?*"),T235*AP235/V235))</f>
        <v/>
      </c>
      <c r="AE235">
        <f>IF(OR(T235="",Setup!$B$17=""),0,IF(V235=0,T235/COUNTIF(Setup!$B$9:$B$20,"?*"),T235*AQ235/V235))</f>
        <v/>
      </c>
      <c r="AF235">
        <f>IF(OR(T235="",Setup!$B$18=""),0,IF(V235=0,T235/COUNTIF(Setup!$B$9:$B$20,"?*"),T235*AR235/V235))</f>
        <v/>
      </c>
      <c r="AG235">
        <f>IF(OR(T235="",Setup!$B$19=""),0,IF(V235=0,T235/COUNTIF(Setup!$B$9:$B$20,"?*"),T235*AS235/V235))</f>
        <v/>
      </c>
      <c r="AH235">
        <f>IF(OR(T235="",Setup!$B$20=""),0,IF(V235=0,T235/COUNTIF(Setup!$B$9:$B$20,"?*"),T235*AT235/V235))</f>
        <v/>
      </c>
      <c r="AI235">
        <f>IF(Setup!$B$9="",0,IF(H235="",0,IF(ISNUMBER(H235),H235,1)))</f>
        <v/>
      </c>
      <c r="AJ235">
        <f>IF(Setup!$B$10="",0,IF(I235="",0,IF(ISNUMBER(I235),I235,1)))</f>
        <v/>
      </c>
      <c r="AK235">
        <f>IF(Setup!$B$11="",0,IF(J235="",0,IF(ISNUMBER(J235),J235,1)))</f>
        <v/>
      </c>
      <c r="AL235">
        <f>IF(Setup!$B$12="",0,IF(K235="",0,IF(ISNUMBER(K235),K235,1)))</f>
        <v/>
      </c>
      <c r="AM235">
        <f>IF(Setup!$B$13="",0,IF(L235="",0,IF(ISNUMBER(L235),L235,1)))</f>
        <v/>
      </c>
      <c r="AN235">
        <f>IF(Setup!$B$14="",0,IF(M235="",0,IF(ISNUMBER(M235),M235,1)))</f>
        <v/>
      </c>
      <c r="AO235">
        <f>IF(Setup!$B$15="",0,IF(N235="",0,IF(ISNUMBER(N235),N235,1)))</f>
        <v/>
      </c>
      <c r="AP235">
        <f>IF(Setup!$B$16="",0,IF(O235="",0,IF(ISNUMBER(O235),O235,1)))</f>
        <v/>
      </c>
      <c r="AQ235">
        <f>IF(Setup!$B$17="",0,IF(P235="",0,IF(ISNUMBER(P235),P235,1)))</f>
        <v/>
      </c>
      <c r="AR235">
        <f>IF(Setup!$B$18="",0,IF(Q235="",0,IF(ISNUMBER(Q235),Q235,1)))</f>
        <v/>
      </c>
      <c r="AS235">
        <f>IF(Setup!$B$19="",0,IF(R235="",0,IF(ISNUMBER(R235),R235,1)))</f>
        <v/>
      </c>
      <c r="AT235">
        <f>IF(Setup!$B$20="",0,IF(S235="",0,IF(ISNUMBER(S235),S235,1)))</f>
        <v/>
      </c>
    </row>
    <row r="236">
      <c r="A236" s="1" t="n"/>
      <c r="B236" s="24" t="n"/>
      <c r="C236" s="25" t="n"/>
      <c r="D236" s="25" t="n"/>
      <c r="E236" s="26" t="n"/>
      <c r="F236" s="27" t="n"/>
      <c r="G236" s="17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28" t="n"/>
      <c r="Q236" s="28" t="n"/>
      <c r="R236" s="28" t="n"/>
      <c r="S236" s="28" t="n"/>
      <c r="T236" s="29">
        <f>IF(N(E236)=0,"",E236*IF(F236="",1,IFERROR(INDEX(Setup!$E$9:$E$18,MATCH(F236,Setup!$D$9:$D$18,0)),0)))</f>
        <v/>
      </c>
      <c r="U236" s="30">
        <f>IF(T236="","",IF(V236=0,"Everyone",IF(COUNTIF(AI236:AT236,"&gt;0")=COUNTIF(Setup!$B$9:$B$20,"?*"),"Everyone",COUNTIF(AI236:AT236,"&gt;0")&amp;IF(COUNTIF(AI236:AT236,"&gt;0")=1," person"," people"))))</f>
        <v/>
      </c>
      <c r="V236" s="1">
        <f>SUM(AI236:AT236)</f>
        <v/>
      </c>
      <c r="W236">
        <f>IF(OR(T236="",Setup!$B$9=""),0,IF(V236=0,T236/COUNTIF(Setup!$B$9:$B$20,"?*"),T236*AI236/V236))</f>
        <v/>
      </c>
      <c r="X236">
        <f>IF(OR(T236="",Setup!$B$10=""),0,IF(V236=0,T236/COUNTIF(Setup!$B$9:$B$20,"?*"),T236*AJ236/V236))</f>
        <v/>
      </c>
      <c r="Y236">
        <f>IF(OR(T236="",Setup!$B$11=""),0,IF(V236=0,T236/COUNTIF(Setup!$B$9:$B$20,"?*"),T236*AK236/V236))</f>
        <v/>
      </c>
      <c r="Z236">
        <f>IF(OR(T236="",Setup!$B$12=""),0,IF(V236=0,T236/COUNTIF(Setup!$B$9:$B$20,"?*"),T236*AL236/V236))</f>
        <v/>
      </c>
      <c r="AA236">
        <f>IF(OR(T236="",Setup!$B$13=""),0,IF(V236=0,T236/COUNTIF(Setup!$B$9:$B$20,"?*"),T236*AM236/V236))</f>
        <v/>
      </c>
      <c r="AB236">
        <f>IF(OR(T236="",Setup!$B$14=""),0,IF(V236=0,T236/COUNTIF(Setup!$B$9:$B$20,"?*"),T236*AN236/V236))</f>
        <v/>
      </c>
      <c r="AC236">
        <f>IF(OR(T236="",Setup!$B$15=""),0,IF(V236=0,T236/COUNTIF(Setup!$B$9:$B$20,"?*"),T236*AO236/V236))</f>
        <v/>
      </c>
      <c r="AD236">
        <f>IF(OR(T236="",Setup!$B$16=""),0,IF(V236=0,T236/COUNTIF(Setup!$B$9:$B$20,"?*"),T236*AP236/V236))</f>
        <v/>
      </c>
      <c r="AE236">
        <f>IF(OR(T236="",Setup!$B$17=""),0,IF(V236=0,T236/COUNTIF(Setup!$B$9:$B$20,"?*"),T236*AQ236/V236))</f>
        <v/>
      </c>
      <c r="AF236">
        <f>IF(OR(T236="",Setup!$B$18=""),0,IF(V236=0,T236/COUNTIF(Setup!$B$9:$B$20,"?*"),T236*AR236/V236))</f>
        <v/>
      </c>
      <c r="AG236">
        <f>IF(OR(T236="",Setup!$B$19=""),0,IF(V236=0,T236/COUNTIF(Setup!$B$9:$B$20,"?*"),T236*AS236/V236))</f>
        <v/>
      </c>
      <c r="AH236">
        <f>IF(OR(T236="",Setup!$B$20=""),0,IF(V236=0,T236/COUNTIF(Setup!$B$9:$B$20,"?*"),T236*AT236/V236))</f>
        <v/>
      </c>
      <c r="AI236">
        <f>IF(Setup!$B$9="",0,IF(H236="",0,IF(ISNUMBER(H236),H236,1)))</f>
        <v/>
      </c>
      <c r="AJ236">
        <f>IF(Setup!$B$10="",0,IF(I236="",0,IF(ISNUMBER(I236),I236,1)))</f>
        <v/>
      </c>
      <c r="AK236">
        <f>IF(Setup!$B$11="",0,IF(J236="",0,IF(ISNUMBER(J236),J236,1)))</f>
        <v/>
      </c>
      <c r="AL236">
        <f>IF(Setup!$B$12="",0,IF(K236="",0,IF(ISNUMBER(K236),K236,1)))</f>
        <v/>
      </c>
      <c r="AM236">
        <f>IF(Setup!$B$13="",0,IF(L236="",0,IF(ISNUMBER(L236),L236,1)))</f>
        <v/>
      </c>
      <c r="AN236">
        <f>IF(Setup!$B$14="",0,IF(M236="",0,IF(ISNUMBER(M236),M236,1)))</f>
        <v/>
      </c>
      <c r="AO236">
        <f>IF(Setup!$B$15="",0,IF(N236="",0,IF(ISNUMBER(N236),N236,1)))</f>
        <v/>
      </c>
      <c r="AP236">
        <f>IF(Setup!$B$16="",0,IF(O236="",0,IF(ISNUMBER(O236),O236,1)))</f>
        <v/>
      </c>
      <c r="AQ236">
        <f>IF(Setup!$B$17="",0,IF(P236="",0,IF(ISNUMBER(P236),P236,1)))</f>
        <v/>
      </c>
      <c r="AR236">
        <f>IF(Setup!$B$18="",0,IF(Q236="",0,IF(ISNUMBER(Q236),Q236,1)))</f>
        <v/>
      </c>
      <c r="AS236">
        <f>IF(Setup!$B$19="",0,IF(R236="",0,IF(ISNUMBER(R236),R236,1)))</f>
        <v/>
      </c>
      <c r="AT236">
        <f>IF(Setup!$B$20="",0,IF(S236="",0,IF(ISNUMBER(S236),S236,1)))</f>
        <v/>
      </c>
    </row>
    <row r="237">
      <c r="A237" s="1" t="n"/>
      <c r="B237" s="24" t="n"/>
      <c r="C237" s="25" t="n"/>
      <c r="D237" s="25" t="n"/>
      <c r="E237" s="26" t="n"/>
      <c r="F237" s="27" t="n"/>
      <c r="G237" s="17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8" t="n"/>
      <c r="Q237" s="28" t="n"/>
      <c r="R237" s="28" t="n"/>
      <c r="S237" s="28" t="n"/>
      <c r="T237" s="29">
        <f>IF(N(E237)=0,"",E237*IF(F237="",1,IFERROR(INDEX(Setup!$E$9:$E$18,MATCH(F237,Setup!$D$9:$D$18,0)),0)))</f>
        <v/>
      </c>
      <c r="U237" s="30">
        <f>IF(T237="","",IF(V237=0,"Everyone",IF(COUNTIF(AI237:AT237,"&gt;0")=COUNTIF(Setup!$B$9:$B$20,"?*"),"Everyone",COUNTIF(AI237:AT237,"&gt;0")&amp;IF(COUNTIF(AI237:AT237,"&gt;0")=1," person"," people"))))</f>
        <v/>
      </c>
      <c r="V237" s="1">
        <f>SUM(AI237:AT237)</f>
        <v/>
      </c>
      <c r="W237">
        <f>IF(OR(T237="",Setup!$B$9=""),0,IF(V237=0,T237/COUNTIF(Setup!$B$9:$B$20,"?*"),T237*AI237/V237))</f>
        <v/>
      </c>
      <c r="X237">
        <f>IF(OR(T237="",Setup!$B$10=""),0,IF(V237=0,T237/COUNTIF(Setup!$B$9:$B$20,"?*"),T237*AJ237/V237))</f>
        <v/>
      </c>
      <c r="Y237">
        <f>IF(OR(T237="",Setup!$B$11=""),0,IF(V237=0,T237/COUNTIF(Setup!$B$9:$B$20,"?*"),T237*AK237/V237))</f>
        <v/>
      </c>
      <c r="Z237">
        <f>IF(OR(T237="",Setup!$B$12=""),0,IF(V237=0,T237/COUNTIF(Setup!$B$9:$B$20,"?*"),T237*AL237/V237))</f>
        <v/>
      </c>
      <c r="AA237">
        <f>IF(OR(T237="",Setup!$B$13=""),0,IF(V237=0,T237/COUNTIF(Setup!$B$9:$B$20,"?*"),T237*AM237/V237))</f>
        <v/>
      </c>
      <c r="AB237">
        <f>IF(OR(T237="",Setup!$B$14=""),0,IF(V237=0,T237/COUNTIF(Setup!$B$9:$B$20,"?*"),T237*AN237/V237))</f>
        <v/>
      </c>
      <c r="AC237">
        <f>IF(OR(T237="",Setup!$B$15=""),0,IF(V237=0,T237/COUNTIF(Setup!$B$9:$B$20,"?*"),T237*AO237/V237))</f>
        <v/>
      </c>
      <c r="AD237">
        <f>IF(OR(T237="",Setup!$B$16=""),0,IF(V237=0,T237/COUNTIF(Setup!$B$9:$B$20,"?*"),T237*AP237/V237))</f>
        <v/>
      </c>
      <c r="AE237">
        <f>IF(OR(T237="",Setup!$B$17=""),0,IF(V237=0,T237/COUNTIF(Setup!$B$9:$B$20,"?*"),T237*AQ237/V237))</f>
        <v/>
      </c>
      <c r="AF237">
        <f>IF(OR(T237="",Setup!$B$18=""),0,IF(V237=0,T237/COUNTIF(Setup!$B$9:$B$20,"?*"),T237*AR237/V237))</f>
        <v/>
      </c>
      <c r="AG237">
        <f>IF(OR(T237="",Setup!$B$19=""),0,IF(V237=0,T237/COUNTIF(Setup!$B$9:$B$20,"?*"),T237*AS237/V237))</f>
        <v/>
      </c>
      <c r="AH237">
        <f>IF(OR(T237="",Setup!$B$20=""),0,IF(V237=0,T237/COUNTIF(Setup!$B$9:$B$20,"?*"),T237*AT237/V237))</f>
        <v/>
      </c>
      <c r="AI237">
        <f>IF(Setup!$B$9="",0,IF(H237="",0,IF(ISNUMBER(H237),H237,1)))</f>
        <v/>
      </c>
      <c r="AJ237">
        <f>IF(Setup!$B$10="",0,IF(I237="",0,IF(ISNUMBER(I237),I237,1)))</f>
        <v/>
      </c>
      <c r="AK237">
        <f>IF(Setup!$B$11="",0,IF(J237="",0,IF(ISNUMBER(J237),J237,1)))</f>
        <v/>
      </c>
      <c r="AL237">
        <f>IF(Setup!$B$12="",0,IF(K237="",0,IF(ISNUMBER(K237),K237,1)))</f>
        <v/>
      </c>
      <c r="AM237">
        <f>IF(Setup!$B$13="",0,IF(L237="",0,IF(ISNUMBER(L237),L237,1)))</f>
        <v/>
      </c>
      <c r="AN237">
        <f>IF(Setup!$B$14="",0,IF(M237="",0,IF(ISNUMBER(M237),M237,1)))</f>
        <v/>
      </c>
      <c r="AO237">
        <f>IF(Setup!$B$15="",0,IF(N237="",0,IF(ISNUMBER(N237),N237,1)))</f>
        <v/>
      </c>
      <c r="AP237">
        <f>IF(Setup!$B$16="",0,IF(O237="",0,IF(ISNUMBER(O237),O237,1)))</f>
        <v/>
      </c>
      <c r="AQ237">
        <f>IF(Setup!$B$17="",0,IF(P237="",0,IF(ISNUMBER(P237),P237,1)))</f>
        <v/>
      </c>
      <c r="AR237">
        <f>IF(Setup!$B$18="",0,IF(Q237="",0,IF(ISNUMBER(Q237),Q237,1)))</f>
        <v/>
      </c>
      <c r="AS237">
        <f>IF(Setup!$B$19="",0,IF(R237="",0,IF(ISNUMBER(R237),R237,1)))</f>
        <v/>
      </c>
      <c r="AT237">
        <f>IF(Setup!$B$20="",0,IF(S237="",0,IF(ISNUMBER(S237),S237,1)))</f>
        <v/>
      </c>
    </row>
    <row r="238">
      <c r="A238" s="1" t="n"/>
      <c r="B238" s="24" t="n"/>
      <c r="C238" s="25" t="n"/>
      <c r="D238" s="25" t="n"/>
      <c r="E238" s="26" t="n"/>
      <c r="F238" s="27" t="n"/>
      <c r="G238" s="17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28" t="n"/>
      <c r="Q238" s="28" t="n"/>
      <c r="R238" s="28" t="n"/>
      <c r="S238" s="28" t="n"/>
      <c r="T238" s="29">
        <f>IF(N(E238)=0,"",E238*IF(F238="",1,IFERROR(INDEX(Setup!$E$9:$E$18,MATCH(F238,Setup!$D$9:$D$18,0)),0)))</f>
        <v/>
      </c>
      <c r="U238" s="30">
        <f>IF(T238="","",IF(V238=0,"Everyone",IF(COUNTIF(AI238:AT238,"&gt;0")=COUNTIF(Setup!$B$9:$B$20,"?*"),"Everyone",COUNTIF(AI238:AT238,"&gt;0")&amp;IF(COUNTIF(AI238:AT238,"&gt;0")=1," person"," people"))))</f>
        <v/>
      </c>
      <c r="V238" s="1">
        <f>SUM(AI238:AT238)</f>
        <v/>
      </c>
      <c r="W238">
        <f>IF(OR(T238="",Setup!$B$9=""),0,IF(V238=0,T238/COUNTIF(Setup!$B$9:$B$20,"?*"),T238*AI238/V238))</f>
        <v/>
      </c>
      <c r="X238">
        <f>IF(OR(T238="",Setup!$B$10=""),0,IF(V238=0,T238/COUNTIF(Setup!$B$9:$B$20,"?*"),T238*AJ238/V238))</f>
        <v/>
      </c>
      <c r="Y238">
        <f>IF(OR(T238="",Setup!$B$11=""),0,IF(V238=0,T238/COUNTIF(Setup!$B$9:$B$20,"?*"),T238*AK238/V238))</f>
        <v/>
      </c>
      <c r="Z238">
        <f>IF(OR(T238="",Setup!$B$12=""),0,IF(V238=0,T238/COUNTIF(Setup!$B$9:$B$20,"?*"),T238*AL238/V238))</f>
        <v/>
      </c>
      <c r="AA238">
        <f>IF(OR(T238="",Setup!$B$13=""),0,IF(V238=0,T238/COUNTIF(Setup!$B$9:$B$20,"?*"),T238*AM238/V238))</f>
        <v/>
      </c>
      <c r="AB238">
        <f>IF(OR(T238="",Setup!$B$14=""),0,IF(V238=0,T238/COUNTIF(Setup!$B$9:$B$20,"?*"),T238*AN238/V238))</f>
        <v/>
      </c>
      <c r="AC238">
        <f>IF(OR(T238="",Setup!$B$15=""),0,IF(V238=0,T238/COUNTIF(Setup!$B$9:$B$20,"?*"),T238*AO238/V238))</f>
        <v/>
      </c>
      <c r="AD238">
        <f>IF(OR(T238="",Setup!$B$16=""),0,IF(V238=0,T238/COUNTIF(Setup!$B$9:$B$20,"?*"),T238*AP238/V238))</f>
        <v/>
      </c>
      <c r="AE238">
        <f>IF(OR(T238="",Setup!$B$17=""),0,IF(V238=0,T238/COUNTIF(Setup!$B$9:$B$20,"?*"),T238*AQ238/V238))</f>
        <v/>
      </c>
      <c r="AF238">
        <f>IF(OR(T238="",Setup!$B$18=""),0,IF(V238=0,T238/COUNTIF(Setup!$B$9:$B$20,"?*"),T238*AR238/V238))</f>
        <v/>
      </c>
      <c r="AG238">
        <f>IF(OR(T238="",Setup!$B$19=""),0,IF(V238=0,T238/COUNTIF(Setup!$B$9:$B$20,"?*"),T238*AS238/V238))</f>
        <v/>
      </c>
      <c r="AH238">
        <f>IF(OR(T238="",Setup!$B$20=""),0,IF(V238=0,T238/COUNTIF(Setup!$B$9:$B$20,"?*"),T238*AT238/V238))</f>
        <v/>
      </c>
      <c r="AI238">
        <f>IF(Setup!$B$9="",0,IF(H238="",0,IF(ISNUMBER(H238),H238,1)))</f>
        <v/>
      </c>
      <c r="AJ238">
        <f>IF(Setup!$B$10="",0,IF(I238="",0,IF(ISNUMBER(I238),I238,1)))</f>
        <v/>
      </c>
      <c r="AK238">
        <f>IF(Setup!$B$11="",0,IF(J238="",0,IF(ISNUMBER(J238),J238,1)))</f>
        <v/>
      </c>
      <c r="AL238">
        <f>IF(Setup!$B$12="",0,IF(K238="",0,IF(ISNUMBER(K238),K238,1)))</f>
        <v/>
      </c>
      <c r="AM238">
        <f>IF(Setup!$B$13="",0,IF(L238="",0,IF(ISNUMBER(L238),L238,1)))</f>
        <v/>
      </c>
      <c r="AN238">
        <f>IF(Setup!$B$14="",0,IF(M238="",0,IF(ISNUMBER(M238),M238,1)))</f>
        <v/>
      </c>
      <c r="AO238">
        <f>IF(Setup!$B$15="",0,IF(N238="",0,IF(ISNUMBER(N238),N238,1)))</f>
        <v/>
      </c>
      <c r="AP238">
        <f>IF(Setup!$B$16="",0,IF(O238="",0,IF(ISNUMBER(O238),O238,1)))</f>
        <v/>
      </c>
      <c r="AQ238">
        <f>IF(Setup!$B$17="",0,IF(P238="",0,IF(ISNUMBER(P238),P238,1)))</f>
        <v/>
      </c>
      <c r="AR238">
        <f>IF(Setup!$B$18="",0,IF(Q238="",0,IF(ISNUMBER(Q238),Q238,1)))</f>
        <v/>
      </c>
      <c r="AS238">
        <f>IF(Setup!$B$19="",0,IF(R238="",0,IF(ISNUMBER(R238),R238,1)))</f>
        <v/>
      </c>
      <c r="AT238">
        <f>IF(Setup!$B$20="",0,IF(S238="",0,IF(ISNUMBER(S238),S238,1)))</f>
        <v/>
      </c>
    </row>
    <row r="239">
      <c r="A239" s="1" t="n"/>
      <c r="B239" s="24" t="n"/>
      <c r="C239" s="25" t="n"/>
      <c r="D239" s="25" t="n"/>
      <c r="E239" s="26" t="n"/>
      <c r="F239" s="27" t="n"/>
      <c r="G239" s="17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8" t="n"/>
      <c r="Q239" s="28" t="n"/>
      <c r="R239" s="28" t="n"/>
      <c r="S239" s="28" t="n"/>
      <c r="T239" s="29">
        <f>IF(N(E239)=0,"",E239*IF(F239="",1,IFERROR(INDEX(Setup!$E$9:$E$18,MATCH(F239,Setup!$D$9:$D$18,0)),0)))</f>
        <v/>
      </c>
      <c r="U239" s="30">
        <f>IF(T239="","",IF(V239=0,"Everyone",IF(COUNTIF(AI239:AT239,"&gt;0")=COUNTIF(Setup!$B$9:$B$20,"?*"),"Everyone",COUNTIF(AI239:AT239,"&gt;0")&amp;IF(COUNTIF(AI239:AT239,"&gt;0")=1," person"," people"))))</f>
        <v/>
      </c>
      <c r="V239" s="1">
        <f>SUM(AI239:AT239)</f>
        <v/>
      </c>
      <c r="W239">
        <f>IF(OR(T239="",Setup!$B$9=""),0,IF(V239=0,T239/COUNTIF(Setup!$B$9:$B$20,"?*"),T239*AI239/V239))</f>
        <v/>
      </c>
      <c r="X239">
        <f>IF(OR(T239="",Setup!$B$10=""),0,IF(V239=0,T239/COUNTIF(Setup!$B$9:$B$20,"?*"),T239*AJ239/V239))</f>
        <v/>
      </c>
      <c r="Y239">
        <f>IF(OR(T239="",Setup!$B$11=""),0,IF(V239=0,T239/COUNTIF(Setup!$B$9:$B$20,"?*"),T239*AK239/V239))</f>
        <v/>
      </c>
      <c r="Z239">
        <f>IF(OR(T239="",Setup!$B$12=""),0,IF(V239=0,T239/COUNTIF(Setup!$B$9:$B$20,"?*"),T239*AL239/V239))</f>
        <v/>
      </c>
      <c r="AA239">
        <f>IF(OR(T239="",Setup!$B$13=""),0,IF(V239=0,T239/COUNTIF(Setup!$B$9:$B$20,"?*"),T239*AM239/V239))</f>
        <v/>
      </c>
      <c r="AB239">
        <f>IF(OR(T239="",Setup!$B$14=""),0,IF(V239=0,T239/COUNTIF(Setup!$B$9:$B$20,"?*"),T239*AN239/V239))</f>
        <v/>
      </c>
      <c r="AC239">
        <f>IF(OR(T239="",Setup!$B$15=""),0,IF(V239=0,T239/COUNTIF(Setup!$B$9:$B$20,"?*"),T239*AO239/V239))</f>
        <v/>
      </c>
      <c r="AD239">
        <f>IF(OR(T239="",Setup!$B$16=""),0,IF(V239=0,T239/COUNTIF(Setup!$B$9:$B$20,"?*"),T239*AP239/V239))</f>
        <v/>
      </c>
      <c r="AE239">
        <f>IF(OR(T239="",Setup!$B$17=""),0,IF(V239=0,T239/COUNTIF(Setup!$B$9:$B$20,"?*"),T239*AQ239/V239))</f>
        <v/>
      </c>
      <c r="AF239">
        <f>IF(OR(T239="",Setup!$B$18=""),0,IF(V239=0,T239/COUNTIF(Setup!$B$9:$B$20,"?*"),T239*AR239/V239))</f>
        <v/>
      </c>
      <c r="AG239">
        <f>IF(OR(T239="",Setup!$B$19=""),0,IF(V239=0,T239/COUNTIF(Setup!$B$9:$B$20,"?*"),T239*AS239/V239))</f>
        <v/>
      </c>
      <c r="AH239">
        <f>IF(OR(T239="",Setup!$B$20=""),0,IF(V239=0,T239/COUNTIF(Setup!$B$9:$B$20,"?*"),T239*AT239/V239))</f>
        <v/>
      </c>
      <c r="AI239">
        <f>IF(Setup!$B$9="",0,IF(H239="",0,IF(ISNUMBER(H239),H239,1)))</f>
        <v/>
      </c>
      <c r="AJ239">
        <f>IF(Setup!$B$10="",0,IF(I239="",0,IF(ISNUMBER(I239),I239,1)))</f>
        <v/>
      </c>
      <c r="AK239">
        <f>IF(Setup!$B$11="",0,IF(J239="",0,IF(ISNUMBER(J239),J239,1)))</f>
        <v/>
      </c>
      <c r="AL239">
        <f>IF(Setup!$B$12="",0,IF(K239="",0,IF(ISNUMBER(K239),K239,1)))</f>
        <v/>
      </c>
      <c r="AM239">
        <f>IF(Setup!$B$13="",0,IF(L239="",0,IF(ISNUMBER(L239),L239,1)))</f>
        <v/>
      </c>
      <c r="AN239">
        <f>IF(Setup!$B$14="",0,IF(M239="",0,IF(ISNUMBER(M239),M239,1)))</f>
        <v/>
      </c>
      <c r="AO239">
        <f>IF(Setup!$B$15="",0,IF(N239="",0,IF(ISNUMBER(N239),N239,1)))</f>
        <v/>
      </c>
      <c r="AP239">
        <f>IF(Setup!$B$16="",0,IF(O239="",0,IF(ISNUMBER(O239),O239,1)))</f>
        <v/>
      </c>
      <c r="AQ239">
        <f>IF(Setup!$B$17="",0,IF(P239="",0,IF(ISNUMBER(P239),P239,1)))</f>
        <v/>
      </c>
      <c r="AR239">
        <f>IF(Setup!$B$18="",0,IF(Q239="",0,IF(ISNUMBER(Q239),Q239,1)))</f>
        <v/>
      </c>
      <c r="AS239">
        <f>IF(Setup!$B$19="",0,IF(R239="",0,IF(ISNUMBER(R239),R239,1)))</f>
        <v/>
      </c>
      <c r="AT239">
        <f>IF(Setup!$B$20="",0,IF(S239="",0,IF(ISNUMBER(S239),S239,1)))</f>
        <v/>
      </c>
    </row>
    <row r="240">
      <c r="A240" s="1" t="n"/>
      <c r="B240" s="24" t="n"/>
      <c r="C240" s="25" t="n"/>
      <c r="D240" s="25" t="n"/>
      <c r="E240" s="26" t="n"/>
      <c r="F240" s="27" t="n"/>
      <c r="G240" s="17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28" t="n"/>
      <c r="R240" s="28" t="n"/>
      <c r="S240" s="28" t="n"/>
      <c r="T240" s="29">
        <f>IF(N(E240)=0,"",E240*IF(F240="",1,IFERROR(INDEX(Setup!$E$9:$E$18,MATCH(F240,Setup!$D$9:$D$18,0)),0)))</f>
        <v/>
      </c>
      <c r="U240" s="30">
        <f>IF(T240="","",IF(V240=0,"Everyone",IF(COUNTIF(AI240:AT240,"&gt;0")=COUNTIF(Setup!$B$9:$B$20,"?*"),"Everyone",COUNTIF(AI240:AT240,"&gt;0")&amp;IF(COUNTIF(AI240:AT240,"&gt;0")=1," person"," people"))))</f>
        <v/>
      </c>
      <c r="V240" s="1">
        <f>SUM(AI240:AT240)</f>
        <v/>
      </c>
      <c r="W240">
        <f>IF(OR(T240="",Setup!$B$9=""),0,IF(V240=0,T240/COUNTIF(Setup!$B$9:$B$20,"?*"),T240*AI240/V240))</f>
        <v/>
      </c>
      <c r="X240">
        <f>IF(OR(T240="",Setup!$B$10=""),0,IF(V240=0,T240/COUNTIF(Setup!$B$9:$B$20,"?*"),T240*AJ240/V240))</f>
        <v/>
      </c>
      <c r="Y240">
        <f>IF(OR(T240="",Setup!$B$11=""),0,IF(V240=0,T240/COUNTIF(Setup!$B$9:$B$20,"?*"),T240*AK240/V240))</f>
        <v/>
      </c>
      <c r="Z240">
        <f>IF(OR(T240="",Setup!$B$12=""),0,IF(V240=0,T240/COUNTIF(Setup!$B$9:$B$20,"?*"),T240*AL240/V240))</f>
        <v/>
      </c>
      <c r="AA240">
        <f>IF(OR(T240="",Setup!$B$13=""),0,IF(V240=0,T240/COUNTIF(Setup!$B$9:$B$20,"?*"),T240*AM240/V240))</f>
        <v/>
      </c>
      <c r="AB240">
        <f>IF(OR(T240="",Setup!$B$14=""),0,IF(V240=0,T240/COUNTIF(Setup!$B$9:$B$20,"?*"),T240*AN240/V240))</f>
        <v/>
      </c>
      <c r="AC240">
        <f>IF(OR(T240="",Setup!$B$15=""),0,IF(V240=0,T240/COUNTIF(Setup!$B$9:$B$20,"?*"),T240*AO240/V240))</f>
        <v/>
      </c>
      <c r="AD240">
        <f>IF(OR(T240="",Setup!$B$16=""),0,IF(V240=0,T240/COUNTIF(Setup!$B$9:$B$20,"?*"),T240*AP240/V240))</f>
        <v/>
      </c>
      <c r="AE240">
        <f>IF(OR(T240="",Setup!$B$17=""),0,IF(V240=0,T240/COUNTIF(Setup!$B$9:$B$20,"?*"),T240*AQ240/V240))</f>
        <v/>
      </c>
      <c r="AF240">
        <f>IF(OR(T240="",Setup!$B$18=""),0,IF(V240=0,T240/COUNTIF(Setup!$B$9:$B$20,"?*"),T240*AR240/V240))</f>
        <v/>
      </c>
      <c r="AG240">
        <f>IF(OR(T240="",Setup!$B$19=""),0,IF(V240=0,T240/COUNTIF(Setup!$B$9:$B$20,"?*"),T240*AS240/V240))</f>
        <v/>
      </c>
      <c r="AH240">
        <f>IF(OR(T240="",Setup!$B$20=""),0,IF(V240=0,T240/COUNTIF(Setup!$B$9:$B$20,"?*"),T240*AT240/V240))</f>
        <v/>
      </c>
      <c r="AI240">
        <f>IF(Setup!$B$9="",0,IF(H240="",0,IF(ISNUMBER(H240),H240,1)))</f>
        <v/>
      </c>
      <c r="AJ240">
        <f>IF(Setup!$B$10="",0,IF(I240="",0,IF(ISNUMBER(I240),I240,1)))</f>
        <v/>
      </c>
      <c r="AK240">
        <f>IF(Setup!$B$11="",0,IF(J240="",0,IF(ISNUMBER(J240),J240,1)))</f>
        <v/>
      </c>
      <c r="AL240">
        <f>IF(Setup!$B$12="",0,IF(K240="",0,IF(ISNUMBER(K240),K240,1)))</f>
        <v/>
      </c>
      <c r="AM240">
        <f>IF(Setup!$B$13="",0,IF(L240="",0,IF(ISNUMBER(L240),L240,1)))</f>
        <v/>
      </c>
      <c r="AN240">
        <f>IF(Setup!$B$14="",0,IF(M240="",0,IF(ISNUMBER(M240),M240,1)))</f>
        <v/>
      </c>
      <c r="AO240">
        <f>IF(Setup!$B$15="",0,IF(N240="",0,IF(ISNUMBER(N240),N240,1)))</f>
        <v/>
      </c>
      <c r="AP240">
        <f>IF(Setup!$B$16="",0,IF(O240="",0,IF(ISNUMBER(O240),O240,1)))</f>
        <v/>
      </c>
      <c r="AQ240">
        <f>IF(Setup!$B$17="",0,IF(P240="",0,IF(ISNUMBER(P240),P240,1)))</f>
        <v/>
      </c>
      <c r="AR240">
        <f>IF(Setup!$B$18="",0,IF(Q240="",0,IF(ISNUMBER(Q240),Q240,1)))</f>
        <v/>
      </c>
      <c r="AS240">
        <f>IF(Setup!$B$19="",0,IF(R240="",0,IF(ISNUMBER(R240),R240,1)))</f>
        <v/>
      </c>
      <c r="AT240">
        <f>IF(Setup!$B$20="",0,IF(S240="",0,IF(ISNUMBER(S240),S240,1)))</f>
        <v/>
      </c>
    </row>
    <row r="241">
      <c r="A241" s="1" t="n"/>
      <c r="B241" s="24" t="n"/>
      <c r="C241" s="25" t="n"/>
      <c r="D241" s="25" t="n"/>
      <c r="E241" s="26" t="n"/>
      <c r="F241" s="27" t="n"/>
      <c r="G241" s="17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28" t="n"/>
      <c r="Q241" s="28" t="n"/>
      <c r="R241" s="28" t="n"/>
      <c r="S241" s="28" t="n"/>
      <c r="T241" s="29">
        <f>IF(N(E241)=0,"",E241*IF(F241="",1,IFERROR(INDEX(Setup!$E$9:$E$18,MATCH(F241,Setup!$D$9:$D$18,0)),0)))</f>
        <v/>
      </c>
      <c r="U241" s="30">
        <f>IF(T241="","",IF(V241=0,"Everyone",IF(COUNTIF(AI241:AT241,"&gt;0")=COUNTIF(Setup!$B$9:$B$20,"?*"),"Everyone",COUNTIF(AI241:AT241,"&gt;0")&amp;IF(COUNTIF(AI241:AT241,"&gt;0")=1," person"," people"))))</f>
        <v/>
      </c>
      <c r="V241" s="1">
        <f>SUM(AI241:AT241)</f>
        <v/>
      </c>
      <c r="W241">
        <f>IF(OR(T241="",Setup!$B$9=""),0,IF(V241=0,T241/COUNTIF(Setup!$B$9:$B$20,"?*"),T241*AI241/V241))</f>
        <v/>
      </c>
      <c r="X241">
        <f>IF(OR(T241="",Setup!$B$10=""),0,IF(V241=0,T241/COUNTIF(Setup!$B$9:$B$20,"?*"),T241*AJ241/V241))</f>
        <v/>
      </c>
      <c r="Y241">
        <f>IF(OR(T241="",Setup!$B$11=""),0,IF(V241=0,T241/COUNTIF(Setup!$B$9:$B$20,"?*"),T241*AK241/V241))</f>
        <v/>
      </c>
      <c r="Z241">
        <f>IF(OR(T241="",Setup!$B$12=""),0,IF(V241=0,T241/COUNTIF(Setup!$B$9:$B$20,"?*"),T241*AL241/V241))</f>
        <v/>
      </c>
      <c r="AA241">
        <f>IF(OR(T241="",Setup!$B$13=""),0,IF(V241=0,T241/COUNTIF(Setup!$B$9:$B$20,"?*"),T241*AM241/V241))</f>
        <v/>
      </c>
      <c r="AB241">
        <f>IF(OR(T241="",Setup!$B$14=""),0,IF(V241=0,T241/COUNTIF(Setup!$B$9:$B$20,"?*"),T241*AN241/V241))</f>
        <v/>
      </c>
      <c r="AC241">
        <f>IF(OR(T241="",Setup!$B$15=""),0,IF(V241=0,T241/COUNTIF(Setup!$B$9:$B$20,"?*"),T241*AO241/V241))</f>
        <v/>
      </c>
      <c r="AD241">
        <f>IF(OR(T241="",Setup!$B$16=""),0,IF(V241=0,T241/COUNTIF(Setup!$B$9:$B$20,"?*"),T241*AP241/V241))</f>
        <v/>
      </c>
      <c r="AE241">
        <f>IF(OR(T241="",Setup!$B$17=""),0,IF(V241=0,T241/COUNTIF(Setup!$B$9:$B$20,"?*"),T241*AQ241/V241))</f>
        <v/>
      </c>
      <c r="AF241">
        <f>IF(OR(T241="",Setup!$B$18=""),0,IF(V241=0,T241/COUNTIF(Setup!$B$9:$B$20,"?*"),T241*AR241/V241))</f>
        <v/>
      </c>
      <c r="AG241">
        <f>IF(OR(T241="",Setup!$B$19=""),0,IF(V241=0,T241/COUNTIF(Setup!$B$9:$B$20,"?*"),T241*AS241/V241))</f>
        <v/>
      </c>
      <c r="AH241">
        <f>IF(OR(T241="",Setup!$B$20=""),0,IF(V241=0,T241/COUNTIF(Setup!$B$9:$B$20,"?*"),T241*AT241/V241))</f>
        <v/>
      </c>
      <c r="AI241">
        <f>IF(Setup!$B$9="",0,IF(H241="",0,IF(ISNUMBER(H241),H241,1)))</f>
        <v/>
      </c>
      <c r="AJ241">
        <f>IF(Setup!$B$10="",0,IF(I241="",0,IF(ISNUMBER(I241),I241,1)))</f>
        <v/>
      </c>
      <c r="AK241">
        <f>IF(Setup!$B$11="",0,IF(J241="",0,IF(ISNUMBER(J241),J241,1)))</f>
        <v/>
      </c>
      <c r="AL241">
        <f>IF(Setup!$B$12="",0,IF(K241="",0,IF(ISNUMBER(K241),K241,1)))</f>
        <v/>
      </c>
      <c r="AM241">
        <f>IF(Setup!$B$13="",0,IF(L241="",0,IF(ISNUMBER(L241),L241,1)))</f>
        <v/>
      </c>
      <c r="AN241">
        <f>IF(Setup!$B$14="",0,IF(M241="",0,IF(ISNUMBER(M241),M241,1)))</f>
        <v/>
      </c>
      <c r="AO241">
        <f>IF(Setup!$B$15="",0,IF(N241="",0,IF(ISNUMBER(N241),N241,1)))</f>
        <v/>
      </c>
      <c r="AP241">
        <f>IF(Setup!$B$16="",0,IF(O241="",0,IF(ISNUMBER(O241),O241,1)))</f>
        <v/>
      </c>
      <c r="AQ241">
        <f>IF(Setup!$B$17="",0,IF(P241="",0,IF(ISNUMBER(P241),P241,1)))</f>
        <v/>
      </c>
      <c r="AR241">
        <f>IF(Setup!$B$18="",0,IF(Q241="",0,IF(ISNUMBER(Q241),Q241,1)))</f>
        <v/>
      </c>
      <c r="AS241">
        <f>IF(Setup!$B$19="",0,IF(R241="",0,IF(ISNUMBER(R241),R241,1)))</f>
        <v/>
      </c>
      <c r="AT241">
        <f>IF(Setup!$B$20="",0,IF(S241="",0,IF(ISNUMBER(S241),S241,1)))</f>
        <v/>
      </c>
    </row>
    <row r="242">
      <c r="A242" s="1" t="n"/>
      <c r="B242" s="24" t="n"/>
      <c r="C242" s="25" t="n"/>
      <c r="D242" s="25" t="n"/>
      <c r="E242" s="26" t="n"/>
      <c r="F242" s="27" t="n"/>
      <c r="G242" s="17" t="n"/>
      <c r="H242" s="28" t="n"/>
      <c r="I242" s="28" t="n"/>
      <c r="J242" s="28" t="n"/>
      <c r="K242" s="28" t="n"/>
      <c r="L242" s="28" t="n"/>
      <c r="M242" s="28" t="n"/>
      <c r="N242" s="28" t="n"/>
      <c r="O242" s="28" t="n"/>
      <c r="P242" s="28" t="n"/>
      <c r="Q242" s="28" t="n"/>
      <c r="R242" s="28" t="n"/>
      <c r="S242" s="28" t="n"/>
      <c r="T242" s="29">
        <f>IF(N(E242)=0,"",E242*IF(F242="",1,IFERROR(INDEX(Setup!$E$9:$E$18,MATCH(F242,Setup!$D$9:$D$18,0)),0)))</f>
        <v/>
      </c>
      <c r="U242" s="30">
        <f>IF(T242="","",IF(V242=0,"Everyone",IF(COUNTIF(AI242:AT242,"&gt;0")=COUNTIF(Setup!$B$9:$B$20,"?*"),"Everyone",COUNTIF(AI242:AT242,"&gt;0")&amp;IF(COUNTIF(AI242:AT242,"&gt;0")=1," person"," people"))))</f>
        <v/>
      </c>
      <c r="V242" s="1">
        <f>SUM(AI242:AT242)</f>
        <v/>
      </c>
      <c r="W242">
        <f>IF(OR(T242="",Setup!$B$9=""),0,IF(V242=0,T242/COUNTIF(Setup!$B$9:$B$20,"?*"),T242*AI242/V242))</f>
        <v/>
      </c>
      <c r="X242">
        <f>IF(OR(T242="",Setup!$B$10=""),0,IF(V242=0,T242/COUNTIF(Setup!$B$9:$B$20,"?*"),T242*AJ242/V242))</f>
        <v/>
      </c>
      <c r="Y242">
        <f>IF(OR(T242="",Setup!$B$11=""),0,IF(V242=0,T242/COUNTIF(Setup!$B$9:$B$20,"?*"),T242*AK242/V242))</f>
        <v/>
      </c>
      <c r="Z242">
        <f>IF(OR(T242="",Setup!$B$12=""),0,IF(V242=0,T242/COUNTIF(Setup!$B$9:$B$20,"?*"),T242*AL242/V242))</f>
        <v/>
      </c>
      <c r="AA242">
        <f>IF(OR(T242="",Setup!$B$13=""),0,IF(V242=0,T242/COUNTIF(Setup!$B$9:$B$20,"?*"),T242*AM242/V242))</f>
        <v/>
      </c>
      <c r="AB242">
        <f>IF(OR(T242="",Setup!$B$14=""),0,IF(V242=0,T242/COUNTIF(Setup!$B$9:$B$20,"?*"),T242*AN242/V242))</f>
        <v/>
      </c>
      <c r="AC242">
        <f>IF(OR(T242="",Setup!$B$15=""),0,IF(V242=0,T242/COUNTIF(Setup!$B$9:$B$20,"?*"),T242*AO242/V242))</f>
        <v/>
      </c>
      <c r="AD242">
        <f>IF(OR(T242="",Setup!$B$16=""),0,IF(V242=0,T242/COUNTIF(Setup!$B$9:$B$20,"?*"),T242*AP242/V242))</f>
        <v/>
      </c>
      <c r="AE242">
        <f>IF(OR(T242="",Setup!$B$17=""),0,IF(V242=0,T242/COUNTIF(Setup!$B$9:$B$20,"?*"),T242*AQ242/V242))</f>
        <v/>
      </c>
      <c r="AF242">
        <f>IF(OR(T242="",Setup!$B$18=""),0,IF(V242=0,T242/COUNTIF(Setup!$B$9:$B$20,"?*"),T242*AR242/V242))</f>
        <v/>
      </c>
      <c r="AG242">
        <f>IF(OR(T242="",Setup!$B$19=""),0,IF(V242=0,T242/COUNTIF(Setup!$B$9:$B$20,"?*"),T242*AS242/V242))</f>
        <v/>
      </c>
      <c r="AH242">
        <f>IF(OR(T242="",Setup!$B$20=""),0,IF(V242=0,T242/COUNTIF(Setup!$B$9:$B$20,"?*"),T242*AT242/V242))</f>
        <v/>
      </c>
      <c r="AI242">
        <f>IF(Setup!$B$9="",0,IF(H242="",0,IF(ISNUMBER(H242),H242,1)))</f>
        <v/>
      </c>
      <c r="AJ242">
        <f>IF(Setup!$B$10="",0,IF(I242="",0,IF(ISNUMBER(I242),I242,1)))</f>
        <v/>
      </c>
      <c r="AK242">
        <f>IF(Setup!$B$11="",0,IF(J242="",0,IF(ISNUMBER(J242),J242,1)))</f>
        <v/>
      </c>
      <c r="AL242">
        <f>IF(Setup!$B$12="",0,IF(K242="",0,IF(ISNUMBER(K242),K242,1)))</f>
        <v/>
      </c>
      <c r="AM242">
        <f>IF(Setup!$B$13="",0,IF(L242="",0,IF(ISNUMBER(L242),L242,1)))</f>
        <v/>
      </c>
      <c r="AN242">
        <f>IF(Setup!$B$14="",0,IF(M242="",0,IF(ISNUMBER(M242),M242,1)))</f>
        <v/>
      </c>
      <c r="AO242">
        <f>IF(Setup!$B$15="",0,IF(N242="",0,IF(ISNUMBER(N242),N242,1)))</f>
        <v/>
      </c>
      <c r="AP242">
        <f>IF(Setup!$B$16="",0,IF(O242="",0,IF(ISNUMBER(O242),O242,1)))</f>
        <v/>
      </c>
      <c r="AQ242">
        <f>IF(Setup!$B$17="",0,IF(P242="",0,IF(ISNUMBER(P242),P242,1)))</f>
        <v/>
      </c>
      <c r="AR242">
        <f>IF(Setup!$B$18="",0,IF(Q242="",0,IF(ISNUMBER(Q242),Q242,1)))</f>
        <v/>
      </c>
      <c r="AS242">
        <f>IF(Setup!$B$19="",0,IF(R242="",0,IF(ISNUMBER(R242),R242,1)))</f>
        <v/>
      </c>
      <c r="AT242">
        <f>IF(Setup!$B$20="",0,IF(S242="",0,IF(ISNUMBER(S242),S242,1)))</f>
        <v/>
      </c>
    </row>
    <row r="243">
      <c r="A243" s="1" t="n"/>
      <c r="B243" s="24" t="n"/>
      <c r="C243" s="25" t="n"/>
      <c r="D243" s="25" t="n"/>
      <c r="E243" s="26" t="n"/>
      <c r="F243" s="27" t="n"/>
      <c r="G243" s="17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28" t="n"/>
      <c r="Q243" s="28" t="n"/>
      <c r="R243" s="28" t="n"/>
      <c r="S243" s="28" t="n"/>
      <c r="T243" s="29">
        <f>IF(N(E243)=0,"",E243*IF(F243="",1,IFERROR(INDEX(Setup!$E$9:$E$18,MATCH(F243,Setup!$D$9:$D$18,0)),0)))</f>
        <v/>
      </c>
      <c r="U243" s="30">
        <f>IF(T243="","",IF(V243=0,"Everyone",IF(COUNTIF(AI243:AT243,"&gt;0")=COUNTIF(Setup!$B$9:$B$20,"?*"),"Everyone",COUNTIF(AI243:AT243,"&gt;0")&amp;IF(COUNTIF(AI243:AT243,"&gt;0")=1," person"," people"))))</f>
        <v/>
      </c>
      <c r="V243" s="1">
        <f>SUM(AI243:AT243)</f>
        <v/>
      </c>
      <c r="W243">
        <f>IF(OR(T243="",Setup!$B$9=""),0,IF(V243=0,T243/COUNTIF(Setup!$B$9:$B$20,"?*"),T243*AI243/V243))</f>
        <v/>
      </c>
      <c r="X243">
        <f>IF(OR(T243="",Setup!$B$10=""),0,IF(V243=0,T243/COUNTIF(Setup!$B$9:$B$20,"?*"),T243*AJ243/V243))</f>
        <v/>
      </c>
      <c r="Y243">
        <f>IF(OR(T243="",Setup!$B$11=""),0,IF(V243=0,T243/COUNTIF(Setup!$B$9:$B$20,"?*"),T243*AK243/V243))</f>
        <v/>
      </c>
      <c r="Z243">
        <f>IF(OR(T243="",Setup!$B$12=""),0,IF(V243=0,T243/COUNTIF(Setup!$B$9:$B$20,"?*"),T243*AL243/V243))</f>
        <v/>
      </c>
      <c r="AA243">
        <f>IF(OR(T243="",Setup!$B$13=""),0,IF(V243=0,T243/COUNTIF(Setup!$B$9:$B$20,"?*"),T243*AM243/V243))</f>
        <v/>
      </c>
      <c r="AB243">
        <f>IF(OR(T243="",Setup!$B$14=""),0,IF(V243=0,T243/COUNTIF(Setup!$B$9:$B$20,"?*"),T243*AN243/V243))</f>
        <v/>
      </c>
      <c r="AC243">
        <f>IF(OR(T243="",Setup!$B$15=""),0,IF(V243=0,T243/COUNTIF(Setup!$B$9:$B$20,"?*"),T243*AO243/V243))</f>
        <v/>
      </c>
      <c r="AD243">
        <f>IF(OR(T243="",Setup!$B$16=""),0,IF(V243=0,T243/COUNTIF(Setup!$B$9:$B$20,"?*"),T243*AP243/V243))</f>
        <v/>
      </c>
      <c r="AE243">
        <f>IF(OR(T243="",Setup!$B$17=""),0,IF(V243=0,T243/COUNTIF(Setup!$B$9:$B$20,"?*"),T243*AQ243/V243))</f>
        <v/>
      </c>
      <c r="AF243">
        <f>IF(OR(T243="",Setup!$B$18=""),0,IF(V243=0,T243/COUNTIF(Setup!$B$9:$B$20,"?*"),T243*AR243/V243))</f>
        <v/>
      </c>
      <c r="AG243">
        <f>IF(OR(T243="",Setup!$B$19=""),0,IF(V243=0,T243/COUNTIF(Setup!$B$9:$B$20,"?*"),T243*AS243/V243))</f>
        <v/>
      </c>
      <c r="AH243">
        <f>IF(OR(T243="",Setup!$B$20=""),0,IF(V243=0,T243/COUNTIF(Setup!$B$9:$B$20,"?*"),T243*AT243/V243))</f>
        <v/>
      </c>
      <c r="AI243">
        <f>IF(Setup!$B$9="",0,IF(H243="",0,IF(ISNUMBER(H243),H243,1)))</f>
        <v/>
      </c>
      <c r="AJ243">
        <f>IF(Setup!$B$10="",0,IF(I243="",0,IF(ISNUMBER(I243),I243,1)))</f>
        <v/>
      </c>
      <c r="AK243">
        <f>IF(Setup!$B$11="",0,IF(J243="",0,IF(ISNUMBER(J243),J243,1)))</f>
        <v/>
      </c>
      <c r="AL243">
        <f>IF(Setup!$B$12="",0,IF(K243="",0,IF(ISNUMBER(K243),K243,1)))</f>
        <v/>
      </c>
      <c r="AM243">
        <f>IF(Setup!$B$13="",0,IF(L243="",0,IF(ISNUMBER(L243),L243,1)))</f>
        <v/>
      </c>
      <c r="AN243">
        <f>IF(Setup!$B$14="",0,IF(M243="",0,IF(ISNUMBER(M243),M243,1)))</f>
        <v/>
      </c>
      <c r="AO243">
        <f>IF(Setup!$B$15="",0,IF(N243="",0,IF(ISNUMBER(N243),N243,1)))</f>
        <v/>
      </c>
      <c r="AP243">
        <f>IF(Setup!$B$16="",0,IF(O243="",0,IF(ISNUMBER(O243),O243,1)))</f>
        <v/>
      </c>
      <c r="AQ243">
        <f>IF(Setup!$B$17="",0,IF(P243="",0,IF(ISNUMBER(P243),P243,1)))</f>
        <v/>
      </c>
      <c r="AR243">
        <f>IF(Setup!$B$18="",0,IF(Q243="",0,IF(ISNUMBER(Q243),Q243,1)))</f>
        <v/>
      </c>
      <c r="AS243">
        <f>IF(Setup!$B$19="",0,IF(R243="",0,IF(ISNUMBER(R243),R243,1)))</f>
        <v/>
      </c>
      <c r="AT243">
        <f>IF(Setup!$B$20="",0,IF(S243="",0,IF(ISNUMBER(S243),S243,1)))</f>
        <v/>
      </c>
    </row>
    <row r="244">
      <c r="A244" s="1" t="n"/>
      <c r="B244" s="24" t="n"/>
      <c r="C244" s="25" t="n"/>
      <c r="D244" s="25" t="n"/>
      <c r="E244" s="26" t="n"/>
      <c r="F244" s="27" t="n"/>
      <c r="G244" s="17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28" t="n"/>
      <c r="Q244" s="28" t="n"/>
      <c r="R244" s="28" t="n"/>
      <c r="S244" s="28" t="n"/>
      <c r="T244" s="29">
        <f>IF(N(E244)=0,"",E244*IF(F244="",1,IFERROR(INDEX(Setup!$E$9:$E$18,MATCH(F244,Setup!$D$9:$D$18,0)),0)))</f>
        <v/>
      </c>
      <c r="U244" s="30">
        <f>IF(T244="","",IF(V244=0,"Everyone",IF(COUNTIF(AI244:AT244,"&gt;0")=COUNTIF(Setup!$B$9:$B$20,"?*"),"Everyone",COUNTIF(AI244:AT244,"&gt;0")&amp;IF(COUNTIF(AI244:AT244,"&gt;0")=1," person"," people"))))</f>
        <v/>
      </c>
      <c r="V244" s="1">
        <f>SUM(AI244:AT244)</f>
        <v/>
      </c>
      <c r="W244">
        <f>IF(OR(T244="",Setup!$B$9=""),0,IF(V244=0,T244/COUNTIF(Setup!$B$9:$B$20,"?*"),T244*AI244/V244))</f>
        <v/>
      </c>
      <c r="X244">
        <f>IF(OR(T244="",Setup!$B$10=""),0,IF(V244=0,T244/COUNTIF(Setup!$B$9:$B$20,"?*"),T244*AJ244/V244))</f>
        <v/>
      </c>
      <c r="Y244">
        <f>IF(OR(T244="",Setup!$B$11=""),0,IF(V244=0,T244/COUNTIF(Setup!$B$9:$B$20,"?*"),T244*AK244/V244))</f>
        <v/>
      </c>
      <c r="Z244">
        <f>IF(OR(T244="",Setup!$B$12=""),0,IF(V244=0,T244/COUNTIF(Setup!$B$9:$B$20,"?*"),T244*AL244/V244))</f>
        <v/>
      </c>
      <c r="AA244">
        <f>IF(OR(T244="",Setup!$B$13=""),0,IF(V244=0,T244/COUNTIF(Setup!$B$9:$B$20,"?*"),T244*AM244/V244))</f>
        <v/>
      </c>
      <c r="AB244">
        <f>IF(OR(T244="",Setup!$B$14=""),0,IF(V244=0,T244/COUNTIF(Setup!$B$9:$B$20,"?*"),T244*AN244/V244))</f>
        <v/>
      </c>
      <c r="AC244">
        <f>IF(OR(T244="",Setup!$B$15=""),0,IF(V244=0,T244/COUNTIF(Setup!$B$9:$B$20,"?*"),T244*AO244/V244))</f>
        <v/>
      </c>
      <c r="AD244">
        <f>IF(OR(T244="",Setup!$B$16=""),0,IF(V244=0,T244/COUNTIF(Setup!$B$9:$B$20,"?*"),T244*AP244/V244))</f>
        <v/>
      </c>
      <c r="AE244">
        <f>IF(OR(T244="",Setup!$B$17=""),0,IF(V244=0,T244/COUNTIF(Setup!$B$9:$B$20,"?*"),T244*AQ244/V244))</f>
        <v/>
      </c>
      <c r="AF244">
        <f>IF(OR(T244="",Setup!$B$18=""),0,IF(V244=0,T244/COUNTIF(Setup!$B$9:$B$20,"?*"),T244*AR244/V244))</f>
        <v/>
      </c>
      <c r="AG244">
        <f>IF(OR(T244="",Setup!$B$19=""),0,IF(V244=0,T244/COUNTIF(Setup!$B$9:$B$20,"?*"),T244*AS244/V244))</f>
        <v/>
      </c>
      <c r="AH244">
        <f>IF(OR(T244="",Setup!$B$20=""),0,IF(V244=0,T244/COUNTIF(Setup!$B$9:$B$20,"?*"),T244*AT244/V244))</f>
        <v/>
      </c>
      <c r="AI244">
        <f>IF(Setup!$B$9="",0,IF(H244="",0,IF(ISNUMBER(H244),H244,1)))</f>
        <v/>
      </c>
      <c r="AJ244">
        <f>IF(Setup!$B$10="",0,IF(I244="",0,IF(ISNUMBER(I244),I244,1)))</f>
        <v/>
      </c>
      <c r="AK244">
        <f>IF(Setup!$B$11="",0,IF(J244="",0,IF(ISNUMBER(J244),J244,1)))</f>
        <v/>
      </c>
      <c r="AL244">
        <f>IF(Setup!$B$12="",0,IF(K244="",0,IF(ISNUMBER(K244),K244,1)))</f>
        <v/>
      </c>
      <c r="AM244">
        <f>IF(Setup!$B$13="",0,IF(L244="",0,IF(ISNUMBER(L244),L244,1)))</f>
        <v/>
      </c>
      <c r="AN244">
        <f>IF(Setup!$B$14="",0,IF(M244="",0,IF(ISNUMBER(M244),M244,1)))</f>
        <v/>
      </c>
      <c r="AO244">
        <f>IF(Setup!$B$15="",0,IF(N244="",0,IF(ISNUMBER(N244),N244,1)))</f>
        <v/>
      </c>
      <c r="AP244">
        <f>IF(Setup!$B$16="",0,IF(O244="",0,IF(ISNUMBER(O244),O244,1)))</f>
        <v/>
      </c>
      <c r="AQ244">
        <f>IF(Setup!$B$17="",0,IF(P244="",0,IF(ISNUMBER(P244),P244,1)))</f>
        <v/>
      </c>
      <c r="AR244">
        <f>IF(Setup!$B$18="",0,IF(Q244="",0,IF(ISNUMBER(Q244),Q244,1)))</f>
        <v/>
      </c>
      <c r="AS244">
        <f>IF(Setup!$B$19="",0,IF(R244="",0,IF(ISNUMBER(R244),R244,1)))</f>
        <v/>
      </c>
      <c r="AT244">
        <f>IF(Setup!$B$20="",0,IF(S244="",0,IF(ISNUMBER(S244),S244,1)))</f>
        <v/>
      </c>
    </row>
    <row r="245">
      <c r="A245" s="1" t="n"/>
      <c r="B245" s="24" t="n"/>
      <c r="C245" s="25" t="n"/>
      <c r="D245" s="25" t="n"/>
      <c r="E245" s="26" t="n"/>
      <c r="F245" s="27" t="n"/>
      <c r="G245" s="17" t="n"/>
      <c r="H245" s="28" t="n"/>
      <c r="I245" s="28" t="n"/>
      <c r="J245" s="28" t="n"/>
      <c r="K245" s="28" t="n"/>
      <c r="L245" s="28" t="n"/>
      <c r="M245" s="28" t="n"/>
      <c r="N245" s="28" t="n"/>
      <c r="O245" s="28" t="n"/>
      <c r="P245" s="28" t="n"/>
      <c r="Q245" s="28" t="n"/>
      <c r="R245" s="28" t="n"/>
      <c r="S245" s="28" t="n"/>
      <c r="T245" s="29">
        <f>IF(N(E245)=0,"",E245*IF(F245="",1,IFERROR(INDEX(Setup!$E$9:$E$18,MATCH(F245,Setup!$D$9:$D$18,0)),0)))</f>
        <v/>
      </c>
      <c r="U245" s="30">
        <f>IF(T245="","",IF(V245=0,"Everyone",IF(COUNTIF(AI245:AT245,"&gt;0")=COUNTIF(Setup!$B$9:$B$20,"?*"),"Everyone",COUNTIF(AI245:AT245,"&gt;0")&amp;IF(COUNTIF(AI245:AT245,"&gt;0")=1," person"," people"))))</f>
        <v/>
      </c>
      <c r="V245" s="1">
        <f>SUM(AI245:AT245)</f>
        <v/>
      </c>
      <c r="W245">
        <f>IF(OR(T245="",Setup!$B$9=""),0,IF(V245=0,T245/COUNTIF(Setup!$B$9:$B$20,"?*"),T245*AI245/V245))</f>
        <v/>
      </c>
      <c r="X245">
        <f>IF(OR(T245="",Setup!$B$10=""),0,IF(V245=0,T245/COUNTIF(Setup!$B$9:$B$20,"?*"),T245*AJ245/V245))</f>
        <v/>
      </c>
      <c r="Y245">
        <f>IF(OR(T245="",Setup!$B$11=""),0,IF(V245=0,T245/COUNTIF(Setup!$B$9:$B$20,"?*"),T245*AK245/V245))</f>
        <v/>
      </c>
      <c r="Z245">
        <f>IF(OR(T245="",Setup!$B$12=""),0,IF(V245=0,T245/COUNTIF(Setup!$B$9:$B$20,"?*"),T245*AL245/V245))</f>
        <v/>
      </c>
      <c r="AA245">
        <f>IF(OR(T245="",Setup!$B$13=""),0,IF(V245=0,T245/COUNTIF(Setup!$B$9:$B$20,"?*"),T245*AM245/V245))</f>
        <v/>
      </c>
      <c r="AB245">
        <f>IF(OR(T245="",Setup!$B$14=""),0,IF(V245=0,T245/COUNTIF(Setup!$B$9:$B$20,"?*"),T245*AN245/V245))</f>
        <v/>
      </c>
      <c r="AC245">
        <f>IF(OR(T245="",Setup!$B$15=""),0,IF(V245=0,T245/COUNTIF(Setup!$B$9:$B$20,"?*"),T245*AO245/V245))</f>
        <v/>
      </c>
      <c r="AD245">
        <f>IF(OR(T245="",Setup!$B$16=""),0,IF(V245=0,T245/COUNTIF(Setup!$B$9:$B$20,"?*"),T245*AP245/V245))</f>
        <v/>
      </c>
      <c r="AE245">
        <f>IF(OR(T245="",Setup!$B$17=""),0,IF(V245=0,T245/COUNTIF(Setup!$B$9:$B$20,"?*"),T245*AQ245/V245))</f>
        <v/>
      </c>
      <c r="AF245">
        <f>IF(OR(T245="",Setup!$B$18=""),0,IF(V245=0,T245/COUNTIF(Setup!$B$9:$B$20,"?*"),T245*AR245/V245))</f>
        <v/>
      </c>
      <c r="AG245">
        <f>IF(OR(T245="",Setup!$B$19=""),0,IF(V245=0,T245/COUNTIF(Setup!$B$9:$B$20,"?*"),T245*AS245/V245))</f>
        <v/>
      </c>
      <c r="AH245">
        <f>IF(OR(T245="",Setup!$B$20=""),0,IF(V245=0,T245/COUNTIF(Setup!$B$9:$B$20,"?*"),T245*AT245/V245))</f>
        <v/>
      </c>
      <c r="AI245">
        <f>IF(Setup!$B$9="",0,IF(H245="",0,IF(ISNUMBER(H245),H245,1)))</f>
        <v/>
      </c>
      <c r="AJ245">
        <f>IF(Setup!$B$10="",0,IF(I245="",0,IF(ISNUMBER(I245),I245,1)))</f>
        <v/>
      </c>
      <c r="AK245">
        <f>IF(Setup!$B$11="",0,IF(J245="",0,IF(ISNUMBER(J245),J245,1)))</f>
        <v/>
      </c>
      <c r="AL245">
        <f>IF(Setup!$B$12="",0,IF(K245="",0,IF(ISNUMBER(K245),K245,1)))</f>
        <v/>
      </c>
      <c r="AM245">
        <f>IF(Setup!$B$13="",0,IF(L245="",0,IF(ISNUMBER(L245),L245,1)))</f>
        <v/>
      </c>
      <c r="AN245">
        <f>IF(Setup!$B$14="",0,IF(M245="",0,IF(ISNUMBER(M245),M245,1)))</f>
        <v/>
      </c>
      <c r="AO245">
        <f>IF(Setup!$B$15="",0,IF(N245="",0,IF(ISNUMBER(N245),N245,1)))</f>
        <v/>
      </c>
      <c r="AP245">
        <f>IF(Setup!$B$16="",0,IF(O245="",0,IF(ISNUMBER(O245),O245,1)))</f>
        <v/>
      </c>
      <c r="AQ245">
        <f>IF(Setup!$B$17="",0,IF(P245="",0,IF(ISNUMBER(P245),P245,1)))</f>
        <v/>
      </c>
      <c r="AR245">
        <f>IF(Setup!$B$18="",0,IF(Q245="",0,IF(ISNUMBER(Q245),Q245,1)))</f>
        <v/>
      </c>
      <c r="AS245">
        <f>IF(Setup!$B$19="",0,IF(R245="",0,IF(ISNUMBER(R245),R245,1)))</f>
        <v/>
      </c>
      <c r="AT245">
        <f>IF(Setup!$B$20="",0,IF(S245="",0,IF(ISNUMBER(S245),S245,1)))</f>
        <v/>
      </c>
    </row>
    <row r="246">
      <c r="A246" s="1" t="n"/>
      <c r="B246" s="24" t="n"/>
      <c r="C246" s="25" t="n"/>
      <c r="D246" s="25" t="n"/>
      <c r="E246" s="26" t="n"/>
      <c r="F246" s="27" t="n"/>
      <c r="G246" s="17" t="n"/>
      <c r="H246" s="28" t="n"/>
      <c r="I246" s="28" t="n"/>
      <c r="J246" s="28" t="n"/>
      <c r="K246" s="28" t="n"/>
      <c r="L246" s="28" t="n"/>
      <c r="M246" s="28" t="n"/>
      <c r="N246" s="28" t="n"/>
      <c r="O246" s="28" t="n"/>
      <c r="P246" s="28" t="n"/>
      <c r="Q246" s="28" t="n"/>
      <c r="R246" s="28" t="n"/>
      <c r="S246" s="28" t="n"/>
      <c r="T246" s="29">
        <f>IF(N(E246)=0,"",E246*IF(F246="",1,IFERROR(INDEX(Setup!$E$9:$E$18,MATCH(F246,Setup!$D$9:$D$18,0)),0)))</f>
        <v/>
      </c>
      <c r="U246" s="30">
        <f>IF(T246="","",IF(V246=0,"Everyone",IF(COUNTIF(AI246:AT246,"&gt;0")=COUNTIF(Setup!$B$9:$B$20,"?*"),"Everyone",COUNTIF(AI246:AT246,"&gt;0")&amp;IF(COUNTIF(AI246:AT246,"&gt;0")=1," person"," people"))))</f>
        <v/>
      </c>
      <c r="V246" s="1">
        <f>SUM(AI246:AT246)</f>
        <v/>
      </c>
      <c r="W246">
        <f>IF(OR(T246="",Setup!$B$9=""),0,IF(V246=0,T246/COUNTIF(Setup!$B$9:$B$20,"?*"),T246*AI246/V246))</f>
        <v/>
      </c>
      <c r="X246">
        <f>IF(OR(T246="",Setup!$B$10=""),0,IF(V246=0,T246/COUNTIF(Setup!$B$9:$B$20,"?*"),T246*AJ246/V246))</f>
        <v/>
      </c>
      <c r="Y246">
        <f>IF(OR(T246="",Setup!$B$11=""),0,IF(V246=0,T246/COUNTIF(Setup!$B$9:$B$20,"?*"),T246*AK246/V246))</f>
        <v/>
      </c>
      <c r="Z246">
        <f>IF(OR(T246="",Setup!$B$12=""),0,IF(V246=0,T246/COUNTIF(Setup!$B$9:$B$20,"?*"),T246*AL246/V246))</f>
        <v/>
      </c>
      <c r="AA246">
        <f>IF(OR(T246="",Setup!$B$13=""),0,IF(V246=0,T246/COUNTIF(Setup!$B$9:$B$20,"?*"),T246*AM246/V246))</f>
        <v/>
      </c>
      <c r="AB246">
        <f>IF(OR(T246="",Setup!$B$14=""),0,IF(V246=0,T246/COUNTIF(Setup!$B$9:$B$20,"?*"),T246*AN246/V246))</f>
        <v/>
      </c>
      <c r="AC246">
        <f>IF(OR(T246="",Setup!$B$15=""),0,IF(V246=0,T246/COUNTIF(Setup!$B$9:$B$20,"?*"),T246*AO246/V246))</f>
        <v/>
      </c>
      <c r="AD246">
        <f>IF(OR(T246="",Setup!$B$16=""),0,IF(V246=0,T246/COUNTIF(Setup!$B$9:$B$20,"?*"),T246*AP246/V246))</f>
        <v/>
      </c>
      <c r="AE246">
        <f>IF(OR(T246="",Setup!$B$17=""),0,IF(V246=0,T246/COUNTIF(Setup!$B$9:$B$20,"?*"),T246*AQ246/V246))</f>
        <v/>
      </c>
      <c r="AF246">
        <f>IF(OR(T246="",Setup!$B$18=""),0,IF(V246=0,T246/COUNTIF(Setup!$B$9:$B$20,"?*"),T246*AR246/V246))</f>
        <v/>
      </c>
      <c r="AG246">
        <f>IF(OR(T246="",Setup!$B$19=""),0,IF(V246=0,T246/COUNTIF(Setup!$B$9:$B$20,"?*"),T246*AS246/V246))</f>
        <v/>
      </c>
      <c r="AH246">
        <f>IF(OR(T246="",Setup!$B$20=""),0,IF(V246=0,T246/COUNTIF(Setup!$B$9:$B$20,"?*"),T246*AT246/V246))</f>
        <v/>
      </c>
      <c r="AI246">
        <f>IF(Setup!$B$9="",0,IF(H246="",0,IF(ISNUMBER(H246),H246,1)))</f>
        <v/>
      </c>
      <c r="AJ246">
        <f>IF(Setup!$B$10="",0,IF(I246="",0,IF(ISNUMBER(I246),I246,1)))</f>
        <v/>
      </c>
      <c r="AK246">
        <f>IF(Setup!$B$11="",0,IF(J246="",0,IF(ISNUMBER(J246),J246,1)))</f>
        <v/>
      </c>
      <c r="AL246">
        <f>IF(Setup!$B$12="",0,IF(K246="",0,IF(ISNUMBER(K246),K246,1)))</f>
        <v/>
      </c>
      <c r="AM246">
        <f>IF(Setup!$B$13="",0,IF(L246="",0,IF(ISNUMBER(L246),L246,1)))</f>
        <v/>
      </c>
      <c r="AN246">
        <f>IF(Setup!$B$14="",0,IF(M246="",0,IF(ISNUMBER(M246),M246,1)))</f>
        <v/>
      </c>
      <c r="AO246">
        <f>IF(Setup!$B$15="",0,IF(N246="",0,IF(ISNUMBER(N246),N246,1)))</f>
        <v/>
      </c>
      <c r="AP246">
        <f>IF(Setup!$B$16="",0,IF(O246="",0,IF(ISNUMBER(O246),O246,1)))</f>
        <v/>
      </c>
      <c r="AQ246">
        <f>IF(Setup!$B$17="",0,IF(P246="",0,IF(ISNUMBER(P246),P246,1)))</f>
        <v/>
      </c>
      <c r="AR246">
        <f>IF(Setup!$B$18="",0,IF(Q246="",0,IF(ISNUMBER(Q246),Q246,1)))</f>
        <v/>
      </c>
      <c r="AS246">
        <f>IF(Setup!$B$19="",0,IF(R246="",0,IF(ISNUMBER(R246),R246,1)))</f>
        <v/>
      </c>
      <c r="AT246">
        <f>IF(Setup!$B$20="",0,IF(S246="",0,IF(ISNUMBER(S246),S246,1)))</f>
        <v/>
      </c>
    </row>
    <row r="247">
      <c r="A247" s="1" t="n"/>
      <c r="B247" s="24" t="n"/>
      <c r="C247" s="25" t="n"/>
      <c r="D247" s="25" t="n"/>
      <c r="E247" s="26" t="n"/>
      <c r="F247" s="27" t="n"/>
      <c r="G247" s="17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28" t="n"/>
      <c r="Q247" s="28" t="n"/>
      <c r="R247" s="28" t="n"/>
      <c r="S247" s="28" t="n"/>
      <c r="T247" s="29">
        <f>IF(N(E247)=0,"",E247*IF(F247="",1,IFERROR(INDEX(Setup!$E$9:$E$18,MATCH(F247,Setup!$D$9:$D$18,0)),0)))</f>
        <v/>
      </c>
      <c r="U247" s="30">
        <f>IF(T247="","",IF(V247=0,"Everyone",IF(COUNTIF(AI247:AT247,"&gt;0")=COUNTIF(Setup!$B$9:$B$20,"?*"),"Everyone",COUNTIF(AI247:AT247,"&gt;0")&amp;IF(COUNTIF(AI247:AT247,"&gt;0")=1," person"," people"))))</f>
        <v/>
      </c>
      <c r="V247" s="1">
        <f>SUM(AI247:AT247)</f>
        <v/>
      </c>
      <c r="W247">
        <f>IF(OR(T247="",Setup!$B$9=""),0,IF(V247=0,T247/COUNTIF(Setup!$B$9:$B$20,"?*"),T247*AI247/V247))</f>
        <v/>
      </c>
      <c r="X247">
        <f>IF(OR(T247="",Setup!$B$10=""),0,IF(V247=0,T247/COUNTIF(Setup!$B$9:$B$20,"?*"),T247*AJ247/V247))</f>
        <v/>
      </c>
      <c r="Y247">
        <f>IF(OR(T247="",Setup!$B$11=""),0,IF(V247=0,T247/COUNTIF(Setup!$B$9:$B$20,"?*"),T247*AK247/V247))</f>
        <v/>
      </c>
      <c r="Z247">
        <f>IF(OR(T247="",Setup!$B$12=""),0,IF(V247=0,T247/COUNTIF(Setup!$B$9:$B$20,"?*"),T247*AL247/V247))</f>
        <v/>
      </c>
      <c r="AA247">
        <f>IF(OR(T247="",Setup!$B$13=""),0,IF(V247=0,T247/COUNTIF(Setup!$B$9:$B$20,"?*"),T247*AM247/V247))</f>
        <v/>
      </c>
      <c r="AB247">
        <f>IF(OR(T247="",Setup!$B$14=""),0,IF(V247=0,T247/COUNTIF(Setup!$B$9:$B$20,"?*"),T247*AN247/V247))</f>
        <v/>
      </c>
      <c r="AC247">
        <f>IF(OR(T247="",Setup!$B$15=""),0,IF(V247=0,T247/COUNTIF(Setup!$B$9:$B$20,"?*"),T247*AO247/V247))</f>
        <v/>
      </c>
      <c r="AD247">
        <f>IF(OR(T247="",Setup!$B$16=""),0,IF(V247=0,T247/COUNTIF(Setup!$B$9:$B$20,"?*"),T247*AP247/V247))</f>
        <v/>
      </c>
      <c r="AE247">
        <f>IF(OR(T247="",Setup!$B$17=""),0,IF(V247=0,T247/COUNTIF(Setup!$B$9:$B$20,"?*"),T247*AQ247/V247))</f>
        <v/>
      </c>
      <c r="AF247">
        <f>IF(OR(T247="",Setup!$B$18=""),0,IF(V247=0,T247/COUNTIF(Setup!$B$9:$B$20,"?*"),T247*AR247/V247))</f>
        <v/>
      </c>
      <c r="AG247">
        <f>IF(OR(T247="",Setup!$B$19=""),0,IF(V247=0,T247/COUNTIF(Setup!$B$9:$B$20,"?*"),T247*AS247/V247))</f>
        <v/>
      </c>
      <c r="AH247">
        <f>IF(OR(T247="",Setup!$B$20=""),0,IF(V247=0,T247/COUNTIF(Setup!$B$9:$B$20,"?*"),T247*AT247/V247))</f>
        <v/>
      </c>
      <c r="AI247">
        <f>IF(Setup!$B$9="",0,IF(H247="",0,IF(ISNUMBER(H247),H247,1)))</f>
        <v/>
      </c>
      <c r="AJ247">
        <f>IF(Setup!$B$10="",0,IF(I247="",0,IF(ISNUMBER(I247),I247,1)))</f>
        <v/>
      </c>
      <c r="AK247">
        <f>IF(Setup!$B$11="",0,IF(J247="",0,IF(ISNUMBER(J247),J247,1)))</f>
        <v/>
      </c>
      <c r="AL247">
        <f>IF(Setup!$B$12="",0,IF(K247="",0,IF(ISNUMBER(K247),K247,1)))</f>
        <v/>
      </c>
      <c r="AM247">
        <f>IF(Setup!$B$13="",0,IF(L247="",0,IF(ISNUMBER(L247),L247,1)))</f>
        <v/>
      </c>
      <c r="AN247">
        <f>IF(Setup!$B$14="",0,IF(M247="",0,IF(ISNUMBER(M247),M247,1)))</f>
        <v/>
      </c>
      <c r="AO247">
        <f>IF(Setup!$B$15="",0,IF(N247="",0,IF(ISNUMBER(N247),N247,1)))</f>
        <v/>
      </c>
      <c r="AP247">
        <f>IF(Setup!$B$16="",0,IF(O247="",0,IF(ISNUMBER(O247),O247,1)))</f>
        <v/>
      </c>
      <c r="AQ247">
        <f>IF(Setup!$B$17="",0,IF(P247="",0,IF(ISNUMBER(P247),P247,1)))</f>
        <v/>
      </c>
      <c r="AR247">
        <f>IF(Setup!$B$18="",0,IF(Q247="",0,IF(ISNUMBER(Q247),Q247,1)))</f>
        <v/>
      </c>
      <c r="AS247">
        <f>IF(Setup!$B$19="",0,IF(R247="",0,IF(ISNUMBER(R247),R247,1)))</f>
        <v/>
      </c>
      <c r="AT247">
        <f>IF(Setup!$B$20="",0,IF(S247="",0,IF(ISNUMBER(S247),S247,1)))</f>
        <v/>
      </c>
    </row>
    <row r="248">
      <c r="A248" s="1" t="n"/>
      <c r="B248" s="24" t="n"/>
      <c r="C248" s="25" t="n"/>
      <c r="D248" s="25" t="n"/>
      <c r="E248" s="26" t="n"/>
      <c r="F248" s="27" t="n"/>
      <c r="G248" s="17" t="n"/>
      <c r="H248" s="28" t="n"/>
      <c r="I248" s="28" t="n"/>
      <c r="J248" s="28" t="n"/>
      <c r="K248" s="28" t="n"/>
      <c r="L248" s="28" t="n"/>
      <c r="M248" s="28" t="n"/>
      <c r="N248" s="28" t="n"/>
      <c r="O248" s="28" t="n"/>
      <c r="P248" s="28" t="n"/>
      <c r="Q248" s="28" t="n"/>
      <c r="R248" s="28" t="n"/>
      <c r="S248" s="28" t="n"/>
      <c r="T248" s="29">
        <f>IF(N(E248)=0,"",E248*IF(F248="",1,IFERROR(INDEX(Setup!$E$9:$E$18,MATCH(F248,Setup!$D$9:$D$18,0)),0)))</f>
        <v/>
      </c>
      <c r="U248" s="30">
        <f>IF(T248="","",IF(V248=0,"Everyone",IF(COUNTIF(AI248:AT248,"&gt;0")=COUNTIF(Setup!$B$9:$B$20,"?*"),"Everyone",COUNTIF(AI248:AT248,"&gt;0")&amp;IF(COUNTIF(AI248:AT248,"&gt;0")=1," person"," people"))))</f>
        <v/>
      </c>
      <c r="V248" s="1">
        <f>SUM(AI248:AT248)</f>
        <v/>
      </c>
      <c r="W248">
        <f>IF(OR(T248="",Setup!$B$9=""),0,IF(V248=0,T248/COUNTIF(Setup!$B$9:$B$20,"?*"),T248*AI248/V248))</f>
        <v/>
      </c>
      <c r="X248">
        <f>IF(OR(T248="",Setup!$B$10=""),0,IF(V248=0,T248/COUNTIF(Setup!$B$9:$B$20,"?*"),T248*AJ248/V248))</f>
        <v/>
      </c>
      <c r="Y248">
        <f>IF(OR(T248="",Setup!$B$11=""),0,IF(V248=0,T248/COUNTIF(Setup!$B$9:$B$20,"?*"),T248*AK248/V248))</f>
        <v/>
      </c>
      <c r="Z248">
        <f>IF(OR(T248="",Setup!$B$12=""),0,IF(V248=0,T248/COUNTIF(Setup!$B$9:$B$20,"?*"),T248*AL248/V248))</f>
        <v/>
      </c>
      <c r="AA248">
        <f>IF(OR(T248="",Setup!$B$13=""),0,IF(V248=0,T248/COUNTIF(Setup!$B$9:$B$20,"?*"),T248*AM248/V248))</f>
        <v/>
      </c>
      <c r="AB248">
        <f>IF(OR(T248="",Setup!$B$14=""),0,IF(V248=0,T248/COUNTIF(Setup!$B$9:$B$20,"?*"),T248*AN248/V248))</f>
        <v/>
      </c>
      <c r="AC248">
        <f>IF(OR(T248="",Setup!$B$15=""),0,IF(V248=0,T248/COUNTIF(Setup!$B$9:$B$20,"?*"),T248*AO248/V248))</f>
        <v/>
      </c>
      <c r="AD248">
        <f>IF(OR(T248="",Setup!$B$16=""),0,IF(V248=0,T248/COUNTIF(Setup!$B$9:$B$20,"?*"),T248*AP248/V248))</f>
        <v/>
      </c>
      <c r="AE248">
        <f>IF(OR(T248="",Setup!$B$17=""),0,IF(V248=0,T248/COUNTIF(Setup!$B$9:$B$20,"?*"),T248*AQ248/V248))</f>
        <v/>
      </c>
      <c r="AF248">
        <f>IF(OR(T248="",Setup!$B$18=""),0,IF(V248=0,T248/COUNTIF(Setup!$B$9:$B$20,"?*"),T248*AR248/V248))</f>
        <v/>
      </c>
      <c r="AG248">
        <f>IF(OR(T248="",Setup!$B$19=""),0,IF(V248=0,T248/COUNTIF(Setup!$B$9:$B$20,"?*"),T248*AS248/V248))</f>
        <v/>
      </c>
      <c r="AH248">
        <f>IF(OR(T248="",Setup!$B$20=""),0,IF(V248=0,T248/COUNTIF(Setup!$B$9:$B$20,"?*"),T248*AT248/V248))</f>
        <v/>
      </c>
      <c r="AI248">
        <f>IF(Setup!$B$9="",0,IF(H248="",0,IF(ISNUMBER(H248),H248,1)))</f>
        <v/>
      </c>
      <c r="AJ248">
        <f>IF(Setup!$B$10="",0,IF(I248="",0,IF(ISNUMBER(I248),I248,1)))</f>
        <v/>
      </c>
      <c r="AK248">
        <f>IF(Setup!$B$11="",0,IF(J248="",0,IF(ISNUMBER(J248),J248,1)))</f>
        <v/>
      </c>
      <c r="AL248">
        <f>IF(Setup!$B$12="",0,IF(K248="",0,IF(ISNUMBER(K248),K248,1)))</f>
        <v/>
      </c>
      <c r="AM248">
        <f>IF(Setup!$B$13="",0,IF(L248="",0,IF(ISNUMBER(L248),L248,1)))</f>
        <v/>
      </c>
      <c r="AN248">
        <f>IF(Setup!$B$14="",0,IF(M248="",0,IF(ISNUMBER(M248),M248,1)))</f>
        <v/>
      </c>
      <c r="AO248">
        <f>IF(Setup!$B$15="",0,IF(N248="",0,IF(ISNUMBER(N248),N248,1)))</f>
        <v/>
      </c>
      <c r="AP248">
        <f>IF(Setup!$B$16="",0,IF(O248="",0,IF(ISNUMBER(O248),O248,1)))</f>
        <v/>
      </c>
      <c r="AQ248">
        <f>IF(Setup!$B$17="",0,IF(P248="",0,IF(ISNUMBER(P248),P248,1)))</f>
        <v/>
      </c>
      <c r="AR248">
        <f>IF(Setup!$B$18="",0,IF(Q248="",0,IF(ISNUMBER(Q248),Q248,1)))</f>
        <v/>
      </c>
      <c r="AS248">
        <f>IF(Setup!$B$19="",0,IF(R248="",0,IF(ISNUMBER(R248),R248,1)))</f>
        <v/>
      </c>
      <c r="AT248">
        <f>IF(Setup!$B$20="",0,IF(S248="",0,IF(ISNUMBER(S248),S248,1)))</f>
        <v/>
      </c>
    </row>
    <row r="249">
      <c r="A249" s="1" t="n"/>
      <c r="B249" s="24" t="n"/>
      <c r="C249" s="25" t="n"/>
      <c r="D249" s="25" t="n"/>
      <c r="E249" s="26" t="n"/>
      <c r="F249" s="27" t="n"/>
      <c r="G249" s="17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28" t="n"/>
      <c r="Q249" s="28" t="n"/>
      <c r="R249" s="28" t="n"/>
      <c r="S249" s="28" t="n"/>
      <c r="T249" s="29">
        <f>IF(N(E249)=0,"",E249*IF(F249="",1,IFERROR(INDEX(Setup!$E$9:$E$18,MATCH(F249,Setup!$D$9:$D$18,0)),0)))</f>
        <v/>
      </c>
      <c r="U249" s="30">
        <f>IF(T249="","",IF(V249=0,"Everyone",IF(COUNTIF(AI249:AT249,"&gt;0")=COUNTIF(Setup!$B$9:$B$20,"?*"),"Everyone",COUNTIF(AI249:AT249,"&gt;0")&amp;IF(COUNTIF(AI249:AT249,"&gt;0")=1," person"," people"))))</f>
        <v/>
      </c>
      <c r="V249" s="1">
        <f>SUM(AI249:AT249)</f>
        <v/>
      </c>
      <c r="W249">
        <f>IF(OR(T249="",Setup!$B$9=""),0,IF(V249=0,T249/COUNTIF(Setup!$B$9:$B$20,"?*"),T249*AI249/V249))</f>
        <v/>
      </c>
      <c r="X249">
        <f>IF(OR(T249="",Setup!$B$10=""),0,IF(V249=0,T249/COUNTIF(Setup!$B$9:$B$20,"?*"),T249*AJ249/V249))</f>
        <v/>
      </c>
      <c r="Y249">
        <f>IF(OR(T249="",Setup!$B$11=""),0,IF(V249=0,T249/COUNTIF(Setup!$B$9:$B$20,"?*"),T249*AK249/V249))</f>
        <v/>
      </c>
      <c r="Z249">
        <f>IF(OR(T249="",Setup!$B$12=""),0,IF(V249=0,T249/COUNTIF(Setup!$B$9:$B$20,"?*"),T249*AL249/V249))</f>
        <v/>
      </c>
      <c r="AA249">
        <f>IF(OR(T249="",Setup!$B$13=""),0,IF(V249=0,T249/COUNTIF(Setup!$B$9:$B$20,"?*"),T249*AM249/V249))</f>
        <v/>
      </c>
      <c r="AB249">
        <f>IF(OR(T249="",Setup!$B$14=""),0,IF(V249=0,T249/COUNTIF(Setup!$B$9:$B$20,"?*"),T249*AN249/V249))</f>
        <v/>
      </c>
      <c r="AC249">
        <f>IF(OR(T249="",Setup!$B$15=""),0,IF(V249=0,T249/COUNTIF(Setup!$B$9:$B$20,"?*"),T249*AO249/V249))</f>
        <v/>
      </c>
      <c r="AD249">
        <f>IF(OR(T249="",Setup!$B$16=""),0,IF(V249=0,T249/COUNTIF(Setup!$B$9:$B$20,"?*"),T249*AP249/V249))</f>
        <v/>
      </c>
      <c r="AE249">
        <f>IF(OR(T249="",Setup!$B$17=""),0,IF(V249=0,T249/COUNTIF(Setup!$B$9:$B$20,"?*"),T249*AQ249/V249))</f>
        <v/>
      </c>
      <c r="AF249">
        <f>IF(OR(T249="",Setup!$B$18=""),0,IF(V249=0,T249/COUNTIF(Setup!$B$9:$B$20,"?*"),T249*AR249/V249))</f>
        <v/>
      </c>
      <c r="AG249">
        <f>IF(OR(T249="",Setup!$B$19=""),0,IF(V249=0,T249/COUNTIF(Setup!$B$9:$B$20,"?*"),T249*AS249/V249))</f>
        <v/>
      </c>
      <c r="AH249">
        <f>IF(OR(T249="",Setup!$B$20=""),0,IF(V249=0,T249/COUNTIF(Setup!$B$9:$B$20,"?*"),T249*AT249/V249))</f>
        <v/>
      </c>
      <c r="AI249">
        <f>IF(Setup!$B$9="",0,IF(H249="",0,IF(ISNUMBER(H249),H249,1)))</f>
        <v/>
      </c>
      <c r="AJ249">
        <f>IF(Setup!$B$10="",0,IF(I249="",0,IF(ISNUMBER(I249),I249,1)))</f>
        <v/>
      </c>
      <c r="AK249">
        <f>IF(Setup!$B$11="",0,IF(J249="",0,IF(ISNUMBER(J249),J249,1)))</f>
        <v/>
      </c>
      <c r="AL249">
        <f>IF(Setup!$B$12="",0,IF(K249="",0,IF(ISNUMBER(K249),K249,1)))</f>
        <v/>
      </c>
      <c r="AM249">
        <f>IF(Setup!$B$13="",0,IF(L249="",0,IF(ISNUMBER(L249),L249,1)))</f>
        <v/>
      </c>
      <c r="AN249">
        <f>IF(Setup!$B$14="",0,IF(M249="",0,IF(ISNUMBER(M249),M249,1)))</f>
        <v/>
      </c>
      <c r="AO249">
        <f>IF(Setup!$B$15="",0,IF(N249="",0,IF(ISNUMBER(N249),N249,1)))</f>
        <v/>
      </c>
      <c r="AP249">
        <f>IF(Setup!$B$16="",0,IF(O249="",0,IF(ISNUMBER(O249),O249,1)))</f>
        <v/>
      </c>
      <c r="AQ249">
        <f>IF(Setup!$B$17="",0,IF(P249="",0,IF(ISNUMBER(P249),P249,1)))</f>
        <v/>
      </c>
      <c r="AR249">
        <f>IF(Setup!$B$18="",0,IF(Q249="",0,IF(ISNUMBER(Q249),Q249,1)))</f>
        <v/>
      </c>
      <c r="AS249">
        <f>IF(Setup!$B$19="",0,IF(R249="",0,IF(ISNUMBER(R249),R249,1)))</f>
        <v/>
      </c>
      <c r="AT249">
        <f>IF(Setup!$B$20="",0,IF(S249="",0,IF(ISNUMBER(S249),S249,1)))</f>
        <v/>
      </c>
    </row>
    <row r="250">
      <c r="A250" s="1" t="n"/>
      <c r="B250" s="24" t="n"/>
      <c r="C250" s="25" t="n"/>
      <c r="D250" s="25" t="n"/>
      <c r="E250" s="26" t="n"/>
      <c r="F250" s="27" t="n"/>
      <c r="G250" s="17" t="n"/>
      <c r="H250" s="28" t="n"/>
      <c r="I250" s="28" t="n"/>
      <c r="J250" s="28" t="n"/>
      <c r="K250" s="28" t="n"/>
      <c r="L250" s="28" t="n"/>
      <c r="M250" s="28" t="n"/>
      <c r="N250" s="28" t="n"/>
      <c r="O250" s="28" t="n"/>
      <c r="P250" s="28" t="n"/>
      <c r="Q250" s="28" t="n"/>
      <c r="R250" s="28" t="n"/>
      <c r="S250" s="28" t="n"/>
      <c r="T250" s="29">
        <f>IF(N(E250)=0,"",E250*IF(F250="",1,IFERROR(INDEX(Setup!$E$9:$E$18,MATCH(F250,Setup!$D$9:$D$18,0)),0)))</f>
        <v/>
      </c>
      <c r="U250" s="30">
        <f>IF(T250="","",IF(V250=0,"Everyone",IF(COUNTIF(AI250:AT250,"&gt;0")=COUNTIF(Setup!$B$9:$B$20,"?*"),"Everyone",COUNTIF(AI250:AT250,"&gt;0")&amp;IF(COUNTIF(AI250:AT250,"&gt;0")=1," person"," people"))))</f>
        <v/>
      </c>
      <c r="V250" s="1">
        <f>SUM(AI250:AT250)</f>
        <v/>
      </c>
      <c r="W250">
        <f>IF(OR(T250="",Setup!$B$9=""),0,IF(V250=0,T250/COUNTIF(Setup!$B$9:$B$20,"?*"),T250*AI250/V250))</f>
        <v/>
      </c>
      <c r="X250">
        <f>IF(OR(T250="",Setup!$B$10=""),0,IF(V250=0,T250/COUNTIF(Setup!$B$9:$B$20,"?*"),T250*AJ250/V250))</f>
        <v/>
      </c>
      <c r="Y250">
        <f>IF(OR(T250="",Setup!$B$11=""),0,IF(V250=0,T250/COUNTIF(Setup!$B$9:$B$20,"?*"),T250*AK250/V250))</f>
        <v/>
      </c>
      <c r="Z250">
        <f>IF(OR(T250="",Setup!$B$12=""),0,IF(V250=0,T250/COUNTIF(Setup!$B$9:$B$20,"?*"),T250*AL250/V250))</f>
        <v/>
      </c>
      <c r="AA250">
        <f>IF(OR(T250="",Setup!$B$13=""),0,IF(V250=0,T250/COUNTIF(Setup!$B$9:$B$20,"?*"),T250*AM250/V250))</f>
        <v/>
      </c>
      <c r="AB250">
        <f>IF(OR(T250="",Setup!$B$14=""),0,IF(V250=0,T250/COUNTIF(Setup!$B$9:$B$20,"?*"),T250*AN250/V250))</f>
        <v/>
      </c>
      <c r="AC250">
        <f>IF(OR(T250="",Setup!$B$15=""),0,IF(V250=0,T250/COUNTIF(Setup!$B$9:$B$20,"?*"),T250*AO250/V250))</f>
        <v/>
      </c>
      <c r="AD250">
        <f>IF(OR(T250="",Setup!$B$16=""),0,IF(V250=0,T250/COUNTIF(Setup!$B$9:$B$20,"?*"),T250*AP250/V250))</f>
        <v/>
      </c>
      <c r="AE250">
        <f>IF(OR(T250="",Setup!$B$17=""),0,IF(V250=0,T250/COUNTIF(Setup!$B$9:$B$20,"?*"),T250*AQ250/V250))</f>
        <v/>
      </c>
      <c r="AF250">
        <f>IF(OR(T250="",Setup!$B$18=""),0,IF(V250=0,T250/COUNTIF(Setup!$B$9:$B$20,"?*"),T250*AR250/V250))</f>
        <v/>
      </c>
      <c r="AG250">
        <f>IF(OR(T250="",Setup!$B$19=""),0,IF(V250=0,T250/COUNTIF(Setup!$B$9:$B$20,"?*"),T250*AS250/V250))</f>
        <v/>
      </c>
      <c r="AH250">
        <f>IF(OR(T250="",Setup!$B$20=""),0,IF(V250=0,T250/COUNTIF(Setup!$B$9:$B$20,"?*"),T250*AT250/V250))</f>
        <v/>
      </c>
      <c r="AI250">
        <f>IF(Setup!$B$9="",0,IF(H250="",0,IF(ISNUMBER(H250),H250,1)))</f>
        <v/>
      </c>
      <c r="AJ250">
        <f>IF(Setup!$B$10="",0,IF(I250="",0,IF(ISNUMBER(I250),I250,1)))</f>
        <v/>
      </c>
      <c r="AK250">
        <f>IF(Setup!$B$11="",0,IF(J250="",0,IF(ISNUMBER(J250),J250,1)))</f>
        <v/>
      </c>
      <c r="AL250">
        <f>IF(Setup!$B$12="",0,IF(K250="",0,IF(ISNUMBER(K250),K250,1)))</f>
        <v/>
      </c>
      <c r="AM250">
        <f>IF(Setup!$B$13="",0,IF(L250="",0,IF(ISNUMBER(L250),L250,1)))</f>
        <v/>
      </c>
      <c r="AN250">
        <f>IF(Setup!$B$14="",0,IF(M250="",0,IF(ISNUMBER(M250),M250,1)))</f>
        <v/>
      </c>
      <c r="AO250">
        <f>IF(Setup!$B$15="",0,IF(N250="",0,IF(ISNUMBER(N250),N250,1)))</f>
        <v/>
      </c>
      <c r="AP250">
        <f>IF(Setup!$B$16="",0,IF(O250="",0,IF(ISNUMBER(O250),O250,1)))</f>
        <v/>
      </c>
      <c r="AQ250">
        <f>IF(Setup!$B$17="",0,IF(P250="",0,IF(ISNUMBER(P250),P250,1)))</f>
        <v/>
      </c>
      <c r="AR250">
        <f>IF(Setup!$B$18="",0,IF(Q250="",0,IF(ISNUMBER(Q250),Q250,1)))</f>
        <v/>
      </c>
      <c r="AS250">
        <f>IF(Setup!$B$19="",0,IF(R250="",0,IF(ISNUMBER(R250),R250,1)))</f>
        <v/>
      </c>
      <c r="AT250">
        <f>IF(Setup!$B$20="",0,IF(S250="",0,IF(ISNUMBER(S250),S250,1)))</f>
        <v/>
      </c>
    </row>
    <row r="251">
      <c r="A251" s="1" t="n"/>
      <c r="B251" s="24" t="n"/>
      <c r="C251" s="25" t="n"/>
      <c r="D251" s="25" t="n"/>
      <c r="E251" s="26" t="n"/>
      <c r="F251" s="27" t="n"/>
      <c r="G251" s="17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28" t="n"/>
      <c r="Q251" s="28" t="n"/>
      <c r="R251" s="28" t="n"/>
      <c r="S251" s="28" t="n"/>
      <c r="T251" s="29">
        <f>IF(N(E251)=0,"",E251*IF(F251="",1,IFERROR(INDEX(Setup!$E$9:$E$18,MATCH(F251,Setup!$D$9:$D$18,0)),0)))</f>
        <v/>
      </c>
      <c r="U251" s="30">
        <f>IF(T251="","",IF(V251=0,"Everyone",IF(COUNTIF(AI251:AT251,"&gt;0")=COUNTIF(Setup!$B$9:$B$20,"?*"),"Everyone",COUNTIF(AI251:AT251,"&gt;0")&amp;IF(COUNTIF(AI251:AT251,"&gt;0")=1," person"," people"))))</f>
        <v/>
      </c>
      <c r="V251" s="1">
        <f>SUM(AI251:AT251)</f>
        <v/>
      </c>
      <c r="W251">
        <f>IF(OR(T251="",Setup!$B$9=""),0,IF(V251=0,T251/COUNTIF(Setup!$B$9:$B$20,"?*"),T251*AI251/V251))</f>
        <v/>
      </c>
      <c r="X251">
        <f>IF(OR(T251="",Setup!$B$10=""),0,IF(V251=0,T251/COUNTIF(Setup!$B$9:$B$20,"?*"),T251*AJ251/V251))</f>
        <v/>
      </c>
      <c r="Y251">
        <f>IF(OR(T251="",Setup!$B$11=""),0,IF(V251=0,T251/COUNTIF(Setup!$B$9:$B$20,"?*"),T251*AK251/V251))</f>
        <v/>
      </c>
      <c r="Z251">
        <f>IF(OR(T251="",Setup!$B$12=""),0,IF(V251=0,T251/COUNTIF(Setup!$B$9:$B$20,"?*"),T251*AL251/V251))</f>
        <v/>
      </c>
      <c r="AA251">
        <f>IF(OR(T251="",Setup!$B$13=""),0,IF(V251=0,T251/COUNTIF(Setup!$B$9:$B$20,"?*"),T251*AM251/V251))</f>
        <v/>
      </c>
      <c r="AB251">
        <f>IF(OR(T251="",Setup!$B$14=""),0,IF(V251=0,T251/COUNTIF(Setup!$B$9:$B$20,"?*"),T251*AN251/V251))</f>
        <v/>
      </c>
      <c r="AC251">
        <f>IF(OR(T251="",Setup!$B$15=""),0,IF(V251=0,T251/COUNTIF(Setup!$B$9:$B$20,"?*"),T251*AO251/V251))</f>
        <v/>
      </c>
      <c r="AD251">
        <f>IF(OR(T251="",Setup!$B$16=""),0,IF(V251=0,T251/COUNTIF(Setup!$B$9:$B$20,"?*"),T251*AP251/V251))</f>
        <v/>
      </c>
      <c r="AE251">
        <f>IF(OR(T251="",Setup!$B$17=""),0,IF(V251=0,T251/COUNTIF(Setup!$B$9:$B$20,"?*"),T251*AQ251/V251))</f>
        <v/>
      </c>
      <c r="AF251">
        <f>IF(OR(T251="",Setup!$B$18=""),0,IF(V251=0,T251/COUNTIF(Setup!$B$9:$B$20,"?*"),T251*AR251/V251))</f>
        <v/>
      </c>
      <c r="AG251">
        <f>IF(OR(T251="",Setup!$B$19=""),0,IF(V251=0,T251/COUNTIF(Setup!$B$9:$B$20,"?*"),T251*AS251/V251))</f>
        <v/>
      </c>
      <c r="AH251">
        <f>IF(OR(T251="",Setup!$B$20=""),0,IF(V251=0,T251/COUNTIF(Setup!$B$9:$B$20,"?*"),T251*AT251/V251))</f>
        <v/>
      </c>
      <c r="AI251">
        <f>IF(Setup!$B$9="",0,IF(H251="",0,IF(ISNUMBER(H251),H251,1)))</f>
        <v/>
      </c>
      <c r="AJ251">
        <f>IF(Setup!$B$10="",0,IF(I251="",0,IF(ISNUMBER(I251),I251,1)))</f>
        <v/>
      </c>
      <c r="AK251">
        <f>IF(Setup!$B$11="",0,IF(J251="",0,IF(ISNUMBER(J251),J251,1)))</f>
        <v/>
      </c>
      <c r="AL251">
        <f>IF(Setup!$B$12="",0,IF(K251="",0,IF(ISNUMBER(K251),K251,1)))</f>
        <v/>
      </c>
      <c r="AM251">
        <f>IF(Setup!$B$13="",0,IF(L251="",0,IF(ISNUMBER(L251),L251,1)))</f>
        <v/>
      </c>
      <c r="AN251">
        <f>IF(Setup!$B$14="",0,IF(M251="",0,IF(ISNUMBER(M251),M251,1)))</f>
        <v/>
      </c>
      <c r="AO251">
        <f>IF(Setup!$B$15="",0,IF(N251="",0,IF(ISNUMBER(N251),N251,1)))</f>
        <v/>
      </c>
      <c r="AP251">
        <f>IF(Setup!$B$16="",0,IF(O251="",0,IF(ISNUMBER(O251),O251,1)))</f>
        <v/>
      </c>
      <c r="AQ251">
        <f>IF(Setup!$B$17="",0,IF(P251="",0,IF(ISNUMBER(P251),P251,1)))</f>
        <v/>
      </c>
      <c r="AR251">
        <f>IF(Setup!$B$18="",0,IF(Q251="",0,IF(ISNUMBER(Q251),Q251,1)))</f>
        <v/>
      </c>
      <c r="AS251">
        <f>IF(Setup!$B$19="",0,IF(R251="",0,IF(ISNUMBER(R251),R251,1)))</f>
        <v/>
      </c>
      <c r="AT251">
        <f>IF(Setup!$B$20="",0,IF(S251="",0,IF(ISNUMBER(S251),S251,1)))</f>
        <v/>
      </c>
    </row>
    <row r="252">
      <c r="A252" s="1" t="n"/>
      <c r="B252" s="24" t="n"/>
      <c r="C252" s="25" t="n"/>
      <c r="D252" s="25" t="n"/>
      <c r="E252" s="26" t="n"/>
      <c r="F252" s="27" t="n"/>
      <c r="G252" s="17" t="n"/>
      <c r="H252" s="28" t="n"/>
      <c r="I252" s="28" t="n"/>
      <c r="J252" s="28" t="n"/>
      <c r="K252" s="28" t="n"/>
      <c r="L252" s="28" t="n"/>
      <c r="M252" s="28" t="n"/>
      <c r="N252" s="28" t="n"/>
      <c r="O252" s="28" t="n"/>
      <c r="P252" s="28" t="n"/>
      <c r="Q252" s="28" t="n"/>
      <c r="R252" s="28" t="n"/>
      <c r="S252" s="28" t="n"/>
      <c r="T252" s="29">
        <f>IF(N(E252)=0,"",E252*IF(F252="",1,IFERROR(INDEX(Setup!$E$9:$E$18,MATCH(F252,Setup!$D$9:$D$18,0)),0)))</f>
        <v/>
      </c>
      <c r="U252" s="30">
        <f>IF(T252="","",IF(V252=0,"Everyone",IF(COUNTIF(AI252:AT252,"&gt;0")=COUNTIF(Setup!$B$9:$B$20,"?*"),"Everyone",COUNTIF(AI252:AT252,"&gt;0")&amp;IF(COUNTIF(AI252:AT252,"&gt;0")=1," person"," people"))))</f>
        <v/>
      </c>
      <c r="V252" s="1">
        <f>SUM(AI252:AT252)</f>
        <v/>
      </c>
      <c r="W252">
        <f>IF(OR(T252="",Setup!$B$9=""),0,IF(V252=0,T252/COUNTIF(Setup!$B$9:$B$20,"?*"),T252*AI252/V252))</f>
        <v/>
      </c>
      <c r="X252">
        <f>IF(OR(T252="",Setup!$B$10=""),0,IF(V252=0,T252/COUNTIF(Setup!$B$9:$B$20,"?*"),T252*AJ252/V252))</f>
        <v/>
      </c>
      <c r="Y252">
        <f>IF(OR(T252="",Setup!$B$11=""),0,IF(V252=0,T252/COUNTIF(Setup!$B$9:$B$20,"?*"),T252*AK252/V252))</f>
        <v/>
      </c>
      <c r="Z252">
        <f>IF(OR(T252="",Setup!$B$12=""),0,IF(V252=0,T252/COUNTIF(Setup!$B$9:$B$20,"?*"),T252*AL252/V252))</f>
        <v/>
      </c>
      <c r="AA252">
        <f>IF(OR(T252="",Setup!$B$13=""),0,IF(V252=0,T252/COUNTIF(Setup!$B$9:$B$20,"?*"),T252*AM252/V252))</f>
        <v/>
      </c>
      <c r="AB252">
        <f>IF(OR(T252="",Setup!$B$14=""),0,IF(V252=0,T252/COUNTIF(Setup!$B$9:$B$20,"?*"),T252*AN252/V252))</f>
        <v/>
      </c>
      <c r="AC252">
        <f>IF(OR(T252="",Setup!$B$15=""),0,IF(V252=0,T252/COUNTIF(Setup!$B$9:$B$20,"?*"),T252*AO252/V252))</f>
        <v/>
      </c>
      <c r="AD252">
        <f>IF(OR(T252="",Setup!$B$16=""),0,IF(V252=0,T252/COUNTIF(Setup!$B$9:$B$20,"?*"),T252*AP252/V252))</f>
        <v/>
      </c>
      <c r="AE252">
        <f>IF(OR(T252="",Setup!$B$17=""),0,IF(V252=0,T252/COUNTIF(Setup!$B$9:$B$20,"?*"),T252*AQ252/V252))</f>
        <v/>
      </c>
      <c r="AF252">
        <f>IF(OR(T252="",Setup!$B$18=""),0,IF(V252=0,T252/COUNTIF(Setup!$B$9:$B$20,"?*"),T252*AR252/V252))</f>
        <v/>
      </c>
      <c r="AG252">
        <f>IF(OR(T252="",Setup!$B$19=""),0,IF(V252=0,T252/COUNTIF(Setup!$B$9:$B$20,"?*"),T252*AS252/V252))</f>
        <v/>
      </c>
      <c r="AH252">
        <f>IF(OR(T252="",Setup!$B$20=""),0,IF(V252=0,T252/COUNTIF(Setup!$B$9:$B$20,"?*"),T252*AT252/V252))</f>
        <v/>
      </c>
      <c r="AI252">
        <f>IF(Setup!$B$9="",0,IF(H252="",0,IF(ISNUMBER(H252),H252,1)))</f>
        <v/>
      </c>
      <c r="AJ252">
        <f>IF(Setup!$B$10="",0,IF(I252="",0,IF(ISNUMBER(I252),I252,1)))</f>
        <v/>
      </c>
      <c r="AK252">
        <f>IF(Setup!$B$11="",0,IF(J252="",0,IF(ISNUMBER(J252),J252,1)))</f>
        <v/>
      </c>
      <c r="AL252">
        <f>IF(Setup!$B$12="",0,IF(K252="",0,IF(ISNUMBER(K252),K252,1)))</f>
        <v/>
      </c>
      <c r="AM252">
        <f>IF(Setup!$B$13="",0,IF(L252="",0,IF(ISNUMBER(L252),L252,1)))</f>
        <v/>
      </c>
      <c r="AN252">
        <f>IF(Setup!$B$14="",0,IF(M252="",0,IF(ISNUMBER(M252),M252,1)))</f>
        <v/>
      </c>
      <c r="AO252">
        <f>IF(Setup!$B$15="",0,IF(N252="",0,IF(ISNUMBER(N252),N252,1)))</f>
        <v/>
      </c>
      <c r="AP252">
        <f>IF(Setup!$B$16="",0,IF(O252="",0,IF(ISNUMBER(O252),O252,1)))</f>
        <v/>
      </c>
      <c r="AQ252">
        <f>IF(Setup!$B$17="",0,IF(P252="",0,IF(ISNUMBER(P252),P252,1)))</f>
        <v/>
      </c>
      <c r="AR252">
        <f>IF(Setup!$B$18="",0,IF(Q252="",0,IF(ISNUMBER(Q252),Q252,1)))</f>
        <v/>
      </c>
      <c r="AS252">
        <f>IF(Setup!$B$19="",0,IF(R252="",0,IF(ISNUMBER(R252),R252,1)))</f>
        <v/>
      </c>
      <c r="AT252">
        <f>IF(Setup!$B$20="",0,IF(S252="",0,IF(ISNUMBER(S252),S252,1)))</f>
        <v/>
      </c>
    </row>
    <row r="253">
      <c r="A253" s="1" t="n"/>
      <c r="B253" s="24" t="n"/>
      <c r="C253" s="25" t="n"/>
      <c r="D253" s="25" t="n"/>
      <c r="E253" s="26" t="n"/>
      <c r="F253" s="27" t="n"/>
      <c r="G253" s="17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28" t="n"/>
      <c r="Q253" s="28" t="n"/>
      <c r="R253" s="28" t="n"/>
      <c r="S253" s="28" t="n"/>
      <c r="T253" s="29">
        <f>IF(N(E253)=0,"",E253*IF(F253="",1,IFERROR(INDEX(Setup!$E$9:$E$18,MATCH(F253,Setup!$D$9:$D$18,0)),0)))</f>
        <v/>
      </c>
      <c r="U253" s="30">
        <f>IF(T253="","",IF(V253=0,"Everyone",IF(COUNTIF(AI253:AT253,"&gt;0")=COUNTIF(Setup!$B$9:$B$20,"?*"),"Everyone",COUNTIF(AI253:AT253,"&gt;0")&amp;IF(COUNTIF(AI253:AT253,"&gt;0")=1," person"," people"))))</f>
        <v/>
      </c>
      <c r="V253" s="1">
        <f>SUM(AI253:AT253)</f>
        <v/>
      </c>
      <c r="W253">
        <f>IF(OR(T253="",Setup!$B$9=""),0,IF(V253=0,T253/COUNTIF(Setup!$B$9:$B$20,"?*"),T253*AI253/V253))</f>
        <v/>
      </c>
      <c r="X253">
        <f>IF(OR(T253="",Setup!$B$10=""),0,IF(V253=0,T253/COUNTIF(Setup!$B$9:$B$20,"?*"),T253*AJ253/V253))</f>
        <v/>
      </c>
      <c r="Y253">
        <f>IF(OR(T253="",Setup!$B$11=""),0,IF(V253=0,T253/COUNTIF(Setup!$B$9:$B$20,"?*"),T253*AK253/V253))</f>
        <v/>
      </c>
      <c r="Z253">
        <f>IF(OR(T253="",Setup!$B$12=""),0,IF(V253=0,T253/COUNTIF(Setup!$B$9:$B$20,"?*"),T253*AL253/V253))</f>
        <v/>
      </c>
      <c r="AA253">
        <f>IF(OR(T253="",Setup!$B$13=""),0,IF(V253=0,T253/COUNTIF(Setup!$B$9:$B$20,"?*"),T253*AM253/V253))</f>
        <v/>
      </c>
      <c r="AB253">
        <f>IF(OR(T253="",Setup!$B$14=""),0,IF(V253=0,T253/COUNTIF(Setup!$B$9:$B$20,"?*"),T253*AN253/V253))</f>
        <v/>
      </c>
      <c r="AC253">
        <f>IF(OR(T253="",Setup!$B$15=""),0,IF(V253=0,T253/COUNTIF(Setup!$B$9:$B$20,"?*"),T253*AO253/V253))</f>
        <v/>
      </c>
      <c r="AD253">
        <f>IF(OR(T253="",Setup!$B$16=""),0,IF(V253=0,T253/COUNTIF(Setup!$B$9:$B$20,"?*"),T253*AP253/V253))</f>
        <v/>
      </c>
      <c r="AE253">
        <f>IF(OR(T253="",Setup!$B$17=""),0,IF(V253=0,T253/COUNTIF(Setup!$B$9:$B$20,"?*"),T253*AQ253/V253))</f>
        <v/>
      </c>
      <c r="AF253">
        <f>IF(OR(T253="",Setup!$B$18=""),0,IF(V253=0,T253/COUNTIF(Setup!$B$9:$B$20,"?*"),T253*AR253/V253))</f>
        <v/>
      </c>
      <c r="AG253">
        <f>IF(OR(T253="",Setup!$B$19=""),0,IF(V253=0,T253/COUNTIF(Setup!$B$9:$B$20,"?*"),T253*AS253/V253))</f>
        <v/>
      </c>
      <c r="AH253">
        <f>IF(OR(T253="",Setup!$B$20=""),0,IF(V253=0,T253/COUNTIF(Setup!$B$9:$B$20,"?*"),T253*AT253/V253))</f>
        <v/>
      </c>
      <c r="AI253">
        <f>IF(Setup!$B$9="",0,IF(H253="",0,IF(ISNUMBER(H253),H253,1)))</f>
        <v/>
      </c>
      <c r="AJ253">
        <f>IF(Setup!$B$10="",0,IF(I253="",0,IF(ISNUMBER(I253),I253,1)))</f>
        <v/>
      </c>
      <c r="AK253">
        <f>IF(Setup!$B$11="",0,IF(J253="",0,IF(ISNUMBER(J253),J253,1)))</f>
        <v/>
      </c>
      <c r="AL253">
        <f>IF(Setup!$B$12="",0,IF(K253="",0,IF(ISNUMBER(K253),K253,1)))</f>
        <v/>
      </c>
      <c r="AM253">
        <f>IF(Setup!$B$13="",0,IF(L253="",0,IF(ISNUMBER(L253),L253,1)))</f>
        <v/>
      </c>
      <c r="AN253">
        <f>IF(Setup!$B$14="",0,IF(M253="",0,IF(ISNUMBER(M253),M253,1)))</f>
        <v/>
      </c>
      <c r="AO253">
        <f>IF(Setup!$B$15="",0,IF(N253="",0,IF(ISNUMBER(N253),N253,1)))</f>
        <v/>
      </c>
      <c r="AP253">
        <f>IF(Setup!$B$16="",0,IF(O253="",0,IF(ISNUMBER(O253),O253,1)))</f>
        <v/>
      </c>
      <c r="AQ253">
        <f>IF(Setup!$B$17="",0,IF(P253="",0,IF(ISNUMBER(P253),P253,1)))</f>
        <v/>
      </c>
      <c r="AR253">
        <f>IF(Setup!$B$18="",0,IF(Q253="",0,IF(ISNUMBER(Q253),Q253,1)))</f>
        <v/>
      </c>
      <c r="AS253">
        <f>IF(Setup!$B$19="",0,IF(R253="",0,IF(ISNUMBER(R253),R253,1)))</f>
        <v/>
      </c>
      <c r="AT253">
        <f>IF(Setup!$B$20="",0,IF(S253="",0,IF(ISNUMBER(S253),S253,1)))</f>
        <v/>
      </c>
    </row>
    <row r="254">
      <c r="A254" s="1" t="n"/>
      <c r="B254" s="24" t="n"/>
      <c r="C254" s="25" t="n"/>
      <c r="D254" s="25" t="n"/>
      <c r="E254" s="26" t="n"/>
      <c r="F254" s="27" t="n"/>
      <c r="G254" s="17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28" t="n"/>
      <c r="R254" s="28" t="n"/>
      <c r="S254" s="28" t="n"/>
      <c r="T254" s="29">
        <f>IF(N(E254)=0,"",E254*IF(F254="",1,IFERROR(INDEX(Setup!$E$9:$E$18,MATCH(F254,Setup!$D$9:$D$18,0)),0)))</f>
        <v/>
      </c>
      <c r="U254" s="30">
        <f>IF(T254="","",IF(V254=0,"Everyone",IF(COUNTIF(AI254:AT254,"&gt;0")=COUNTIF(Setup!$B$9:$B$20,"?*"),"Everyone",COUNTIF(AI254:AT254,"&gt;0")&amp;IF(COUNTIF(AI254:AT254,"&gt;0")=1," person"," people"))))</f>
        <v/>
      </c>
      <c r="V254" s="1">
        <f>SUM(AI254:AT254)</f>
        <v/>
      </c>
      <c r="W254">
        <f>IF(OR(T254="",Setup!$B$9=""),0,IF(V254=0,T254/COUNTIF(Setup!$B$9:$B$20,"?*"),T254*AI254/V254))</f>
        <v/>
      </c>
      <c r="X254">
        <f>IF(OR(T254="",Setup!$B$10=""),0,IF(V254=0,T254/COUNTIF(Setup!$B$9:$B$20,"?*"),T254*AJ254/V254))</f>
        <v/>
      </c>
      <c r="Y254">
        <f>IF(OR(T254="",Setup!$B$11=""),0,IF(V254=0,T254/COUNTIF(Setup!$B$9:$B$20,"?*"),T254*AK254/V254))</f>
        <v/>
      </c>
      <c r="Z254">
        <f>IF(OR(T254="",Setup!$B$12=""),0,IF(V254=0,T254/COUNTIF(Setup!$B$9:$B$20,"?*"),T254*AL254/V254))</f>
        <v/>
      </c>
      <c r="AA254">
        <f>IF(OR(T254="",Setup!$B$13=""),0,IF(V254=0,T254/COUNTIF(Setup!$B$9:$B$20,"?*"),T254*AM254/V254))</f>
        <v/>
      </c>
      <c r="AB254">
        <f>IF(OR(T254="",Setup!$B$14=""),0,IF(V254=0,T254/COUNTIF(Setup!$B$9:$B$20,"?*"),T254*AN254/V254))</f>
        <v/>
      </c>
      <c r="AC254">
        <f>IF(OR(T254="",Setup!$B$15=""),0,IF(V254=0,T254/COUNTIF(Setup!$B$9:$B$20,"?*"),T254*AO254/V254))</f>
        <v/>
      </c>
      <c r="AD254">
        <f>IF(OR(T254="",Setup!$B$16=""),0,IF(V254=0,T254/COUNTIF(Setup!$B$9:$B$20,"?*"),T254*AP254/V254))</f>
        <v/>
      </c>
      <c r="AE254">
        <f>IF(OR(T254="",Setup!$B$17=""),0,IF(V254=0,T254/COUNTIF(Setup!$B$9:$B$20,"?*"),T254*AQ254/V254))</f>
        <v/>
      </c>
      <c r="AF254">
        <f>IF(OR(T254="",Setup!$B$18=""),0,IF(V254=0,T254/COUNTIF(Setup!$B$9:$B$20,"?*"),T254*AR254/V254))</f>
        <v/>
      </c>
      <c r="AG254">
        <f>IF(OR(T254="",Setup!$B$19=""),0,IF(V254=0,T254/COUNTIF(Setup!$B$9:$B$20,"?*"),T254*AS254/V254))</f>
        <v/>
      </c>
      <c r="AH254">
        <f>IF(OR(T254="",Setup!$B$20=""),0,IF(V254=0,T254/COUNTIF(Setup!$B$9:$B$20,"?*"),T254*AT254/V254))</f>
        <v/>
      </c>
      <c r="AI254">
        <f>IF(Setup!$B$9="",0,IF(H254="",0,IF(ISNUMBER(H254),H254,1)))</f>
        <v/>
      </c>
      <c r="AJ254">
        <f>IF(Setup!$B$10="",0,IF(I254="",0,IF(ISNUMBER(I254),I254,1)))</f>
        <v/>
      </c>
      <c r="AK254">
        <f>IF(Setup!$B$11="",0,IF(J254="",0,IF(ISNUMBER(J254),J254,1)))</f>
        <v/>
      </c>
      <c r="AL254">
        <f>IF(Setup!$B$12="",0,IF(K254="",0,IF(ISNUMBER(K254),K254,1)))</f>
        <v/>
      </c>
      <c r="AM254">
        <f>IF(Setup!$B$13="",0,IF(L254="",0,IF(ISNUMBER(L254),L254,1)))</f>
        <v/>
      </c>
      <c r="AN254">
        <f>IF(Setup!$B$14="",0,IF(M254="",0,IF(ISNUMBER(M254),M254,1)))</f>
        <v/>
      </c>
      <c r="AO254">
        <f>IF(Setup!$B$15="",0,IF(N254="",0,IF(ISNUMBER(N254),N254,1)))</f>
        <v/>
      </c>
      <c r="AP254">
        <f>IF(Setup!$B$16="",0,IF(O254="",0,IF(ISNUMBER(O254),O254,1)))</f>
        <v/>
      </c>
      <c r="AQ254">
        <f>IF(Setup!$B$17="",0,IF(P254="",0,IF(ISNUMBER(P254),P254,1)))</f>
        <v/>
      </c>
      <c r="AR254">
        <f>IF(Setup!$B$18="",0,IF(Q254="",0,IF(ISNUMBER(Q254),Q254,1)))</f>
        <v/>
      </c>
      <c r="AS254">
        <f>IF(Setup!$B$19="",0,IF(R254="",0,IF(ISNUMBER(R254),R254,1)))</f>
        <v/>
      </c>
      <c r="AT254">
        <f>IF(Setup!$B$20="",0,IF(S254="",0,IF(ISNUMBER(S254),S254,1)))</f>
        <v/>
      </c>
    </row>
    <row r="255">
      <c r="A255" s="1" t="n"/>
      <c r="B255" s="24" t="n"/>
      <c r="C255" s="25" t="n"/>
      <c r="D255" s="25" t="n"/>
      <c r="E255" s="26" t="n"/>
      <c r="F255" s="27" t="n"/>
      <c r="G255" s="17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28" t="n"/>
      <c r="Q255" s="28" t="n"/>
      <c r="R255" s="28" t="n"/>
      <c r="S255" s="28" t="n"/>
      <c r="T255" s="29">
        <f>IF(N(E255)=0,"",E255*IF(F255="",1,IFERROR(INDEX(Setup!$E$9:$E$18,MATCH(F255,Setup!$D$9:$D$18,0)),0)))</f>
        <v/>
      </c>
      <c r="U255" s="30">
        <f>IF(T255="","",IF(V255=0,"Everyone",IF(COUNTIF(AI255:AT255,"&gt;0")=COUNTIF(Setup!$B$9:$B$20,"?*"),"Everyone",COUNTIF(AI255:AT255,"&gt;0")&amp;IF(COUNTIF(AI255:AT255,"&gt;0")=1," person"," people"))))</f>
        <v/>
      </c>
      <c r="V255" s="1">
        <f>SUM(AI255:AT255)</f>
        <v/>
      </c>
      <c r="W255">
        <f>IF(OR(T255="",Setup!$B$9=""),0,IF(V255=0,T255/COUNTIF(Setup!$B$9:$B$20,"?*"),T255*AI255/V255))</f>
        <v/>
      </c>
      <c r="X255">
        <f>IF(OR(T255="",Setup!$B$10=""),0,IF(V255=0,T255/COUNTIF(Setup!$B$9:$B$20,"?*"),T255*AJ255/V255))</f>
        <v/>
      </c>
      <c r="Y255">
        <f>IF(OR(T255="",Setup!$B$11=""),0,IF(V255=0,T255/COUNTIF(Setup!$B$9:$B$20,"?*"),T255*AK255/V255))</f>
        <v/>
      </c>
      <c r="Z255">
        <f>IF(OR(T255="",Setup!$B$12=""),0,IF(V255=0,T255/COUNTIF(Setup!$B$9:$B$20,"?*"),T255*AL255/V255))</f>
        <v/>
      </c>
      <c r="AA255">
        <f>IF(OR(T255="",Setup!$B$13=""),0,IF(V255=0,T255/COUNTIF(Setup!$B$9:$B$20,"?*"),T255*AM255/V255))</f>
        <v/>
      </c>
      <c r="AB255">
        <f>IF(OR(T255="",Setup!$B$14=""),0,IF(V255=0,T255/COUNTIF(Setup!$B$9:$B$20,"?*"),T255*AN255/V255))</f>
        <v/>
      </c>
      <c r="AC255">
        <f>IF(OR(T255="",Setup!$B$15=""),0,IF(V255=0,T255/COUNTIF(Setup!$B$9:$B$20,"?*"),T255*AO255/V255))</f>
        <v/>
      </c>
      <c r="AD255">
        <f>IF(OR(T255="",Setup!$B$16=""),0,IF(V255=0,T255/COUNTIF(Setup!$B$9:$B$20,"?*"),T255*AP255/V255))</f>
        <v/>
      </c>
      <c r="AE255">
        <f>IF(OR(T255="",Setup!$B$17=""),0,IF(V255=0,T255/COUNTIF(Setup!$B$9:$B$20,"?*"),T255*AQ255/V255))</f>
        <v/>
      </c>
      <c r="AF255">
        <f>IF(OR(T255="",Setup!$B$18=""),0,IF(V255=0,T255/COUNTIF(Setup!$B$9:$B$20,"?*"),T255*AR255/V255))</f>
        <v/>
      </c>
      <c r="AG255">
        <f>IF(OR(T255="",Setup!$B$19=""),0,IF(V255=0,T255/COUNTIF(Setup!$B$9:$B$20,"?*"),T255*AS255/V255))</f>
        <v/>
      </c>
      <c r="AH255">
        <f>IF(OR(T255="",Setup!$B$20=""),0,IF(V255=0,T255/COUNTIF(Setup!$B$9:$B$20,"?*"),T255*AT255/V255))</f>
        <v/>
      </c>
      <c r="AI255">
        <f>IF(Setup!$B$9="",0,IF(H255="",0,IF(ISNUMBER(H255),H255,1)))</f>
        <v/>
      </c>
      <c r="AJ255">
        <f>IF(Setup!$B$10="",0,IF(I255="",0,IF(ISNUMBER(I255),I255,1)))</f>
        <v/>
      </c>
      <c r="AK255">
        <f>IF(Setup!$B$11="",0,IF(J255="",0,IF(ISNUMBER(J255),J255,1)))</f>
        <v/>
      </c>
      <c r="AL255">
        <f>IF(Setup!$B$12="",0,IF(K255="",0,IF(ISNUMBER(K255),K255,1)))</f>
        <v/>
      </c>
      <c r="AM255">
        <f>IF(Setup!$B$13="",0,IF(L255="",0,IF(ISNUMBER(L255),L255,1)))</f>
        <v/>
      </c>
      <c r="AN255">
        <f>IF(Setup!$B$14="",0,IF(M255="",0,IF(ISNUMBER(M255),M255,1)))</f>
        <v/>
      </c>
      <c r="AO255">
        <f>IF(Setup!$B$15="",0,IF(N255="",0,IF(ISNUMBER(N255),N255,1)))</f>
        <v/>
      </c>
      <c r="AP255">
        <f>IF(Setup!$B$16="",0,IF(O255="",0,IF(ISNUMBER(O255),O255,1)))</f>
        <v/>
      </c>
      <c r="AQ255">
        <f>IF(Setup!$B$17="",0,IF(P255="",0,IF(ISNUMBER(P255),P255,1)))</f>
        <v/>
      </c>
      <c r="AR255">
        <f>IF(Setup!$B$18="",0,IF(Q255="",0,IF(ISNUMBER(Q255),Q255,1)))</f>
        <v/>
      </c>
      <c r="AS255">
        <f>IF(Setup!$B$19="",0,IF(R255="",0,IF(ISNUMBER(R255),R255,1)))</f>
        <v/>
      </c>
      <c r="AT255">
        <f>IF(Setup!$B$20="",0,IF(S255="",0,IF(ISNUMBER(S255),S255,1)))</f>
        <v/>
      </c>
    </row>
    <row r="256">
      <c r="A256" s="1" t="n"/>
      <c r="B256" s="24" t="n"/>
      <c r="C256" s="25" t="n"/>
      <c r="D256" s="25" t="n"/>
      <c r="E256" s="26" t="n"/>
      <c r="F256" s="27" t="n"/>
      <c r="G256" s="17" t="n"/>
      <c r="H256" s="28" t="n"/>
      <c r="I256" s="28" t="n"/>
      <c r="J256" s="28" t="n"/>
      <c r="K256" s="28" t="n"/>
      <c r="L256" s="28" t="n"/>
      <c r="M256" s="28" t="n"/>
      <c r="N256" s="28" t="n"/>
      <c r="O256" s="28" t="n"/>
      <c r="P256" s="28" t="n"/>
      <c r="Q256" s="28" t="n"/>
      <c r="R256" s="28" t="n"/>
      <c r="S256" s="28" t="n"/>
      <c r="T256" s="29">
        <f>IF(N(E256)=0,"",E256*IF(F256="",1,IFERROR(INDEX(Setup!$E$9:$E$18,MATCH(F256,Setup!$D$9:$D$18,0)),0)))</f>
        <v/>
      </c>
      <c r="U256" s="30">
        <f>IF(T256="","",IF(V256=0,"Everyone",IF(COUNTIF(AI256:AT256,"&gt;0")=COUNTIF(Setup!$B$9:$B$20,"?*"),"Everyone",COUNTIF(AI256:AT256,"&gt;0")&amp;IF(COUNTIF(AI256:AT256,"&gt;0")=1," person"," people"))))</f>
        <v/>
      </c>
      <c r="V256" s="1">
        <f>SUM(AI256:AT256)</f>
        <v/>
      </c>
      <c r="W256">
        <f>IF(OR(T256="",Setup!$B$9=""),0,IF(V256=0,T256/COUNTIF(Setup!$B$9:$B$20,"?*"),T256*AI256/V256))</f>
        <v/>
      </c>
      <c r="X256">
        <f>IF(OR(T256="",Setup!$B$10=""),0,IF(V256=0,T256/COUNTIF(Setup!$B$9:$B$20,"?*"),T256*AJ256/V256))</f>
        <v/>
      </c>
      <c r="Y256">
        <f>IF(OR(T256="",Setup!$B$11=""),0,IF(V256=0,T256/COUNTIF(Setup!$B$9:$B$20,"?*"),T256*AK256/V256))</f>
        <v/>
      </c>
      <c r="Z256">
        <f>IF(OR(T256="",Setup!$B$12=""),0,IF(V256=0,T256/COUNTIF(Setup!$B$9:$B$20,"?*"),T256*AL256/V256))</f>
        <v/>
      </c>
      <c r="AA256">
        <f>IF(OR(T256="",Setup!$B$13=""),0,IF(V256=0,T256/COUNTIF(Setup!$B$9:$B$20,"?*"),T256*AM256/V256))</f>
        <v/>
      </c>
      <c r="AB256">
        <f>IF(OR(T256="",Setup!$B$14=""),0,IF(V256=0,T256/COUNTIF(Setup!$B$9:$B$20,"?*"),T256*AN256/V256))</f>
        <v/>
      </c>
      <c r="AC256">
        <f>IF(OR(T256="",Setup!$B$15=""),0,IF(V256=0,T256/COUNTIF(Setup!$B$9:$B$20,"?*"),T256*AO256/V256))</f>
        <v/>
      </c>
      <c r="AD256">
        <f>IF(OR(T256="",Setup!$B$16=""),0,IF(V256=0,T256/COUNTIF(Setup!$B$9:$B$20,"?*"),T256*AP256/V256))</f>
        <v/>
      </c>
      <c r="AE256">
        <f>IF(OR(T256="",Setup!$B$17=""),0,IF(V256=0,T256/COUNTIF(Setup!$B$9:$B$20,"?*"),T256*AQ256/V256))</f>
        <v/>
      </c>
      <c r="AF256">
        <f>IF(OR(T256="",Setup!$B$18=""),0,IF(V256=0,T256/COUNTIF(Setup!$B$9:$B$20,"?*"),T256*AR256/V256))</f>
        <v/>
      </c>
      <c r="AG256">
        <f>IF(OR(T256="",Setup!$B$19=""),0,IF(V256=0,T256/COUNTIF(Setup!$B$9:$B$20,"?*"),T256*AS256/V256))</f>
        <v/>
      </c>
      <c r="AH256">
        <f>IF(OR(T256="",Setup!$B$20=""),0,IF(V256=0,T256/COUNTIF(Setup!$B$9:$B$20,"?*"),T256*AT256/V256))</f>
        <v/>
      </c>
      <c r="AI256">
        <f>IF(Setup!$B$9="",0,IF(H256="",0,IF(ISNUMBER(H256),H256,1)))</f>
        <v/>
      </c>
      <c r="AJ256">
        <f>IF(Setup!$B$10="",0,IF(I256="",0,IF(ISNUMBER(I256),I256,1)))</f>
        <v/>
      </c>
      <c r="AK256">
        <f>IF(Setup!$B$11="",0,IF(J256="",0,IF(ISNUMBER(J256),J256,1)))</f>
        <v/>
      </c>
      <c r="AL256">
        <f>IF(Setup!$B$12="",0,IF(K256="",0,IF(ISNUMBER(K256),K256,1)))</f>
        <v/>
      </c>
      <c r="AM256">
        <f>IF(Setup!$B$13="",0,IF(L256="",0,IF(ISNUMBER(L256),L256,1)))</f>
        <v/>
      </c>
      <c r="AN256">
        <f>IF(Setup!$B$14="",0,IF(M256="",0,IF(ISNUMBER(M256),M256,1)))</f>
        <v/>
      </c>
      <c r="AO256">
        <f>IF(Setup!$B$15="",0,IF(N256="",0,IF(ISNUMBER(N256),N256,1)))</f>
        <v/>
      </c>
      <c r="AP256">
        <f>IF(Setup!$B$16="",0,IF(O256="",0,IF(ISNUMBER(O256),O256,1)))</f>
        <v/>
      </c>
      <c r="AQ256">
        <f>IF(Setup!$B$17="",0,IF(P256="",0,IF(ISNUMBER(P256),P256,1)))</f>
        <v/>
      </c>
      <c r="AR256">
        <f>IF(Setup!$B$18="",0,IF(Q256="",0,IF(ISNUMBER(Q256),Q256,1)))</f>
        <v/>
      </c>
      <c r="AS256">
        <f>IF(Setup!$B$19="",0,IF(R256="",0,IF(ISNUMBER(R256),R256,1)))</f>
        <v/>
      </c>
      <c r="AT256">
        <f>IF(Setup!$B$20="",0,IF(S256="",0,IF(ISNUMBER(S256),S256,1)))</f>
        <v/>
      </c>
    </row>
    <row r="257">
      <c r="A257" s="1" t="n"/>
      <c r="B257" s="24" t="n"/>
      <c r="C257" s="25" t="n"/>
      <c r="D257" s="25" t="n"/>
      <c r="E257" s="26" t="n"/>
      <c r="F257" s="27" t="n"/>
      <c r="G257" s="17" t="n"/>
      <c r="H257" s="28" t="n"/>
      <c r="I257" s="28" t="n"/>
      <c r="J257" s="28" t="n"/>
      <c r="K257" s="28" t="n"/>
      <c r="L257" s="28" t="n"/>
      <c r="M257" s="28" t="n"/>
      <c r="N257" s="28" t="n"/>
      <c r="O257" s="28" t="n"/>
      <c r="P257" s="28" t="n"/>
      <c r="Q257" s="28" t="n"/>
      <c r="R257" s="28" t="n"/>
      <c r="S257" s="28" t="n"/>
      <c r="T257" s="29">
        <f>IF(N(E257)=0,"",E257*IF(F257="",1,IFERROR(INDEX(Setup!$E$9:$E$18,MATCH(F257,Setup!$D$9:$D$18,0)),0)))</f>
        <v/>
      </c>
      <c r="U257" s="30">
        <f>IF(T257="","",IF(V257=0,"Everyone",IF(COUNTIF(AI257:AT257,"&gt;0")=COUNTIF(Setup!$B$9:$B$20,"?*"),"Everyone",COUNTIF(AI257:AT257,"&gt;0")&amp;IF(COUNTIF(AI257:AT257,"&gt;0")=1," person"," people"))))</f>
        <v/>
      </c>
      <c r="V257" s="1">
        <f>SUM(AI257:AT257)</f>
        <v/>
      </c>
      <c r="W257">
        <f>IF(OR(T257="",Setup!$B$9=""),0,IF(V257=0,T257/COUNTIF(Setup!$B$9:$B$20,"?*"),T257*AI257/V257))</f>
        <v/>
      </c>
      <c r="X257">
        <f>IF(OR(T257="",Setup!$B$10=""),0,IF(V257=0,T257/COUNTIF(Setup!$B$9:$B$20,"?*"),T257*AJ257/V257))</f>
        <v/>
      </c>
      <c r="Y257">
        <f>IF(OR(T257="",Setup!$B$11=""),0,IF(V257=0,T257/COUNTIF(Setup!$B$9:$B$20,"?*"),T257*AK257/V257))</f>
        <v/>
      </c>
      <c r="Z257">
        <f>IF(OR(T257="",Setup!$B$12=""),0,IF(V257=0,T257/COUNTIF(Setup!$B$9:$B$20,"?*"),T257*AL257/V257))</f>
        <v/>
      </c>
      <c r="AA257">
        <f>IF(OR(T257="",Setup!$B$13=""),0,IF(V257=0,T257/COUNTIF(Setup!$B$9:$B$20,"?*"),T257*AM257/V257))</f>
        <v/>
      </c>
      <c r="AB257">
        <f>IF(OR(T257="",Setup!$B$14=""),0,IF(V257=0,T257/COUNTIF(Setup!$B$9:$B$20,"?*"),T257*AN257/V257))</f>
        <v/>
      </c>
      <c r="AC257">
        <f>IF(OR(T257="",Setup!$B$15=""),0,IF(V257=0,T257/COUNTIF(Setup!$B$9:$B$20,"?*"),T257*AO257/V257))</f>
        <v/>
      </c>
      <c r="AD257">
        <f>IF(OR(T257="",Setup!$B$16=""),0,IF(V257=0,T257/COUNTIF(Setup!$B$9:$B$20,"?*"),T257*AP257/V257))</f>
        <v/>
      </c>
      <c r="AE257">
        <f>IF(OR(T257="",Setup!$B$17=""),0,IF(V257=0,T257/COUNTIF(Setup!$B$9:$B$20,"?*"),T257*AQ257/V257))</f>
        <v/>
      </c>
      <c r="AF257">
        <f>IF(OR(T257="",Setup!$B$18=""),0,IF(V257=0,T257/COUNTIF(Setup!$B$9:$B$20,"?*"),T257*AR257/V257))</f>
        <v/>
      </c>
      <c r="AG257">
        <f>IF(OR(T257="",Setup!$B$19=""),0,IF(V257=0,T257/COUNTIF(Setup!$B$9:$B$20,"?*"),T257*AS257/V257))</f>
        <v/>
      </c>
      <c r="AH257">
        <f>IF(OR(T257="",Setup!$B$20=""),0,IF(V257=0,T257/COUNTIF(Setup!$B$9:$B$20,"?*"),T257*AT257/V257))</f>
        <v/>
      </c>
      <c r="AI257">
        <f>IF(Setup!$B$9="",0,IF(H257="",0,IF(ISNUMBER(H257),H257,1)))</f>
        <v/>
      </c>
      <c r="AJ257">
        <f>IF(Setup!$B$10="",0,IF(I257="",0,IF(ISNUMBER(I257),I257,1)))</f>
        <v/>
      </c>
      <c r="AK257">
        <f>IF(Setup!$B$11="",0,IF(J257="",0,IF(ISNUMBER(J257),J257,1)))</f>
        <v/>
      </c>
      <c r="AL257">
        <f>IF(Setup!$B$12="",0,IF(K257="",0,IF(ISNUMBER(K257),K257,1)))</f>
        <v/>
      </c>
      <c r="AM257">
        <f>IF(Setup!$B$13="",0,IF(L257="",0,IF(ISNUMBER(L257),L257,1)))</f>
        <v/>
      </c>
      <c r="AN257">
        <f>IF(Setup!$B$14="",0,IF(M257="",0,IF(ISNUMBER(M257),M257,1)))</f>
        <v/>
      </c>
      <c r="AO257">
        <f>IF(Setup!$B$15="",0,IF(N257="",0,IF(ISNUMBER(N257),N257,1)))</f>
        <v/>
      </c>
      <c r="AP257">
        <f>IF(Setup!$B$16="",0,IF(O257="",0,IF(ISNUMBER(O257),O257,1)))</f>
        <v/>
      </c>
      <c r="AQ257">
        <f>IF(Setup!$B$17="",0,IF(P257="",0,IF(ISNUMBER(P257),P257,1)))</f>
        <v/>
      </c>
      <c r="AR257">
        <f>IF(Setup!$B$18="",0,IF(Q257="",0,IF(ISNUMBER(Q257),Q257,1)))</f>
        <v/>
      </c>
      <c r="AS257">
        <f>IF(Setup!$B$19="",0,IF(R257="",0,IF(ISNUMBER(R257),R257,1)))</f>
        <v/>
      </c>
      <c r="AT257">
        <f>IF(Setup!$B$20="",0,IF(S257="",0,IF(ISNUMBER(S257),S257,1)))</f>
        <v/>
      </c>
    </row>
    <row r="258">
      <c r="A258" s="1" t="n"/>
      <c r="B258" s="24" t="n"/>
      <c r="C258" s="25" t="n"/>
      <c r="D258" s="25" t="n"/>
      <c r="E258" s="26" t="n"/>
      <c r="F258" s="27" t="n"/>
      <c r="G258" s="17" t="n"/>
      <c r="H258" s="28" t="n"/>
      <c r="I258" s="28" t="n"/>
      <c r="J258" s="28" t="n"/>
      <c r="K258" s="28" t="n"/>
      <c r="L258" s="28" t="n"/>
      <c r="M258" s="28" t="n"/>
      <c r="N258" s="28" t="n"/>
      <c r="O258" s="28" t="n"/>
      <c r="P258" s="28" t="n"/>
      <c r="Q258" s="28" t="n"/>
      <c r="R258" s="28" t="n"/>
      <c r="S258" s="28" t="n"/>
      <c r="T258" s="29">
        <f>IF(N(E258)=0,"",E258*IF(F258="",1,IFERROR(INDEX(Setup!$E$9:$E$18,MATCH(F258,Setup!$D$9:$D$18,0)),0)))</f>
        <v/>
      </c>
      <c r="U258" s="30">
        <f>IF(T258="","",IF(V258=0,"Everyone",IF(COUNTIF(AI258:AT258,"&gt;0")=COUNTIF(Setup!$B$9:$B$20,"?*"),"Everyone",COUNTIF(AI258:AT258,"&gt;0")&amp;IF(COUNTIF(AI258:AT258,"&gt;0")=1," person"," people"))))</f>
        <v/>
      </c>
      <c r="V258" s="1">
        <f>SUM(AI258:AT258)</f>
        <v/>
      </c>
      <c r="W258">
        <f>IF(OR(T258="",Setup!$B$9=""),0,IF(V258=0,T258/COUNTIF(Setup!$B$9:$B$20,"?*"),T258*AI258/V258))</f>
        <v/>
      </c>
      <c r="X258">
        <f>IF(OR(T258="",Setup!$B$10=""),0,IF(V258=0,T258/COUNTIF(Setup!$B$9:$B$20,"?*"),T258*AJ258/V258))</f>
        <v/>
      </c>
      <c r="Y258">
        <f>IF(OR(T258="",Setup!$B$11=""),0,IF(V258=0,T258/COUNTIF(Setup!$B$9:$B$20,"?*"),T258*AK258/V258))</f>
        <v/>
      </c>
      <c r="Z258">
        <f>IF(OR(T258="",Setup!$B$12=""),0,IF(V258=0,T258/COUNTIF(Setup!$B$9:$B$20,"?*"),T258*AL258/V258))</f>
        <v/>
      </c>
      <c r="AA258">
        <f>IF(OR(T258="",Setup!$B$13=""),0,IF(V258=0,T258/COUNTIF(Setup!$B$9:$B$20,"?*"),T258*AM258/V258))</f>
        <v/>
      </c>
      <c r="AB258">
        <f>IF(OR(T258="",Setup!$B$14=""),0,IF(V258=0,T258/COUNTIF(Setup!$B$9:$B$20,"?*"),T258*AN258/V258))</f>
        <v/>
      </c>
      <c r="AC258">
        <f>IF(OR(T258="",Setup!$B$15=""),0,IF(V258=0,T258/COUNTIF(Setup!$B$9:$B$20,"?*"),T258*AO258/V258))</f>
        <v/>
      </c>
      <c r="AD258">
        <f>IF(OR(T258="",Setup!$B$16=""),0,IF(V258=0,T258/COUNTIF(Setup!$B$9:$B$20,"?*"),T258*AP258/V258))</f>
        <v/>
      </c>
      <c r="AE258">
        <f>IF(OR(T258="",Setup!$B$17=""),0,IF(V258=0,T258/COUNTIF(Setup!$B$9:$B$20,"?*"),T258*AQ258/V258))</f>
        <v/>
      </c>
      <c r="AF258">
        <f>IF(OR(T258="",Setup!$B$18=""),0,IF(V258=0,T258/COUNTIF(Setup!$B$9:$B$20,"?*"),T258*AR258/V258))</f>
        <v/>
      </c>
      <c r="AG258">
        <f>IF(OR(T258="",Setup!$B$19=""),0,IF(V258=0,T258/COUNTIF(Setup!$B$9:$B$20,"?*"),T258*AS258/V258))</f>
        <v/>
      </c>
      <c r="AH258">
        <f>IF(OR(T258="",Setup!$B$20=""),0,IF(V258=0,T258/COUNTIF(Setup!$B$9:$B$20,"?*"),T258*AT258/V258))</f>
        <v/>
      </c>
      <c r="AI258">
        <f>IF(Setup!$B$9="",0,IF(H258="",0,IF(ISNUMBER(H258),H258,1)))</f>
        <v/>
      </c>
      <c r="AJ258">
        <f>IF(Setup!$B$10="",0,IF(I258="",0,IF(ISNUMBER(I258),I258,1)))</f>
        <v/>
      </c>
      <c r="AK258">
        <f>IF(Setup!$B$11="",0,IF(J258="",0,IF(ISNUMBER(J258),J258,1)))</f>
        <v/>
      </c>
      <c r="AL258">
        <f>IF(Setup!$B$12="",0,IF(K258="",0,IF(ISNUMBER(K258),K258,1)))</f>
        <v/>
      </c>
      <c r="AM258">
        <f>IF(Setup!$B$13="",0,IF(L258="",0,IF(ISNUMBER(L258),L258,1)))</f>
        <v/>
      </c>
      <c r="AN258">
        <f>IF(Setup!$B$14="",0,IF(M258="",0,IF(ISNUMBER(M258),M258,1)))</f>
        <v/>
      </c>
      <c r="AO258">
        <f>IF(Setup!$B$15="",0,IF(N258="",0,IF(ISNUMBER(N258),N258,1)))</f>
        <v/>
      </c>
      <c r="AP258">
        <f>IF(Setup!$B$16="",0,IF(O258="",0,IF(ISNUMBER(O258),O258,1)))</f>
        <v/>
      </c>
      <c r="AQ258">
        <f>IF(Setup!$B$17="",0,IF(P258="",0,IF(ISNUMBER(P258),P258,1)))</f>
        <v/>
      </c>
      <c r="AR258">
        <f>IF(Setup!$B$18="",0,IF(Q258="",0,IF(ISNUMBER(Q258),Q258,1)))</f>
        <v/>
      </c>
      <c r="AS258">
        <f>IF(Setup!$B$19="",0,IF(R258="",0,IF(ISNUMBER(R258),R258,1)))</f>
        <v/>
      </c>
      <c r="AT258">
        <f>IF(Setup!$B$20="",0,IF(S258="",0,IF(ISNUMBER(S258),S258,1)))</f>
        <v/>
      </c>
    </row>
    <row r="259">
      <c r="A259" s="1" t="n"/>
      <c r="B259" s="24" t="n"/>
      <c r="C259" s="25" t="n"/>
      <c r="D259" s="25" t="n"/>
      <c r="E259" s="26" t="n"/>
      <c r="F259" s="27" t="n"/>
      <c r="G259" s="17" t="n"/>
      <c r="H259" s="28" t="n"/>
      <c r="I259" s="28" t="n"/>
      <c r="J259" s="28" t="n"/>
      <c r="K259" s="28" t="n"/>
      <c r="L259" s="28" t="n"/>
      <c r="M259" s="28" t="n"/>
      <c r="N259" s="28" t="n"/>
      <c r="O259" s="28" t="n"/>
      <c r="P259" s="28" t="n"/>
      <c r="Q259" s="28" t="n"/>
      <c r="R259" s="28" t="n"/>
      <c r="S259" s="28" t="n"/>
      <c r="T259" s="29">
        <f>IF(N(E259)=0,"",E259*IF(F259="",1,IFERROR(INDEX(Setup!$E$9:$E$18,MATCH(F259,Setup!$D$9:$D$18,0)),0)))</f>
        <v/>
      </c>
      <c r="U259" s="30">
        <f>IF(T259="","",IF(V259=0,"Everyone",IF(COUNTIF(AI259:AT259,"&gt;0")=COUNTIF(Setup!$B$9:$B$20,"?*"),"Everyone",COUNTIF(AI259:AT259,"&gt;0")&amp;IF(COUNTIF(AI259:AT259,"&gt;0")=1," person"," people"))))</f>
        <v/>
      </c>
      <c r="V259" s="1">
        <f>SUM(AI259:AT259)</f>
        <v/>
      </c>
      <c r="W259">
        <f>IF(OR(T259="",Setup!$B$9=""),0,IF(V259=0,T259/COUNTIF(Setup!$B$9:$B$20,"?*"),T259*AI259/V259))</f>
        <v/>
      </c>
      <c r="X259">
        <f>IF(OR(T259="",Setup!$B$10=""),0,IF(V259=0,T259/COUNTIF(Setup!$B$9:$B$20,"?*"),T259*AJ259/V259))</f>
        <v/>
      </c>
      <c r="Y259">
        <f>IF(OR(T259="",Setup!$B$11=""),0,IF(V259=0,T259/COUNTIF(Setup!$B$9:$B$20,"?*"),T259*AK259/V259))</f>
        <v/>
      </c>
      <c r="Z259">
        <f>IF(OR(T259="",Setup!$B$12=""),0,IF(V259=0,T259/COUNTIF(Setup!$B$9:$B$20,"?*"),T259*AL259/V259))</f>
        <v/>
      </c>
      <c r="AA259">
        <f>IF(OR(T259="",Setup!$B$13=""),0,IF(V259=0,T259/COUNTIF(Setup!$B$9:$B$20,"?*"),T259*AM259/V259))</f>
        <v/>
      </c>
      <c r="AB259">
        <f>IF(OR(T259="",Setup!$B$14=""),0,IF(V259=0,T259/COUNTIF(Setup!$B$9:$B$20,"?*"),T259*AN259/V259))</f>
        <v/>
      </c>
      <c r="AC259">
        <f>IF(OR(T259="",Setup!$B$15=""),0,IF(V259=0,T259/COUNTIF(Setup!$B$9:$B$20,"?*"),T259*AO259/V259))</f>
        <v/>
      </c>
      <c r="AD259">
        <f>IF(OR(T259="",Setup!$B$16=""),0,IF(V259=0,T259/COUNTIF(Setup!$B$9:$B$20,"?*"),T259*AP259/V259))</f>
        <v/>
      </c>
      <c r="AE259">
        <f>IF(OR(T259="",Setup!$B$17=""),0,IF(V259=0,T259/COUNTIF(Setup!$B$9:$B$20,"?*"),T259*AQ259/V259))</f>
        <v/>
      </c>
      <c r="AF259">
        <f>IF(OR(T259="",Setup!$B$18=""),0,IF(V259=0,T259/COUNTIF(Setup!$B$9:$B$20,"?*"),T259*AR259/V259))</f>
        <v/>
      </c>
      <c r="AG259">
        <f>IF(OR(T259="",Setup!$B$19=""),0,IF(V259=0,T259/COUNTIF(Setup!$B$9:$B$20,"?*"),T259*AS259/V259))</f>
        <v/>
      </c>
      <c r="AH259">
        <f>IF(OR(T259="",Setup!$B$20=""),0,IF(V259=0,T259/COUNTIF(Setup!$B$9:$B$20,"?*"),T259*AT259/V259))</f>
        <v/>
      </c>
      <c r="AI259">
        <f>IF(Setup!$B$9="",0,IF(H259="",0,IF(ISNUMBER(H259),H259,1)))</f>
        <v/>
      </c>
      <c r="AJ259">
        <f>IF(Setup!$B$10="",0,IF(I259="",0,IF(ISNUMBER(I259),I259,1)))</f>
        <v/>
      </c>
      <c r="AK259">
        <f>IF(Setup!$B$11="",0,IF(J259="",0,IF(ISNUMBER(J259),J259,1)))</f>
        <v/>
      </c>
      <c r="AL259">
        <f>IF(Setup!$B$12="",0,IF(K259="",0,IF(ISNUMBER(K259),K259,1)))</f>
        <v/>
      </c>
      <c r="AM259">
        <f>IF(Setup!$B$13="",0,IF(L259="",0,IF(ISNUMBER(L259),L259,1)))</f>
        <v/>
      </c>
      <c r="AN259">
        <f>IF(Setup!$B$14="",0,IF(M259="",0,IF(ISNUMBER(M259),M259,1)))</f>
        <v/>
      </c>
      <c r="AO259">
        <f>IF(Setup!$B$15="",0,IF(N259="",0,IF(ISNUMBER(N259),N259,1)))</f>
        <v/>
      </c>
      <c r="AP259">
        <f>IF(Setup!$B$16="",0,IF(O259="",0,IF(ISNUMBER(O259),O259,1)))</f>
        <v/>
      </c>
      <c r="AQ259">
        <f>IF(Setup!$B$17="",0,IF(P259="",0,IF(ISNUMBER(P259),P259,1)))</f>
        <v/>
      </c>
      <c r="AR259">
        <f>IF(Setup!$B$18="",0,IF(Q259="",0,IF(ISNUMBER(Q259),Q259,1)))</f>
        <v/>
      </c>
      <c r="AS259">
        <f>IF(Setup!$B$19="",0,IF(R259="",0,IF(ISNUMBER(R259),R259,1)))</f>
        <v/>
      </c>
      <c r="AT259">
        <f>IF(Setup!$B$20="",0,IF(S259="",0,IF(ISNUMBER(S259),S259,1)))</f>
        <v/>
      </c>
    </row>
    <row r="260">
      <c r="A260" s="1" t="n"/>
      <c r="B260" s="24" t="n"/>
      <c r="C260" s="25" t="n"/>
      <c r="D260" s="25" t="n"/>
      <c r="E260" s="26" t="n"/>
      <c r="F260" s="27" t="n"/>
      <c r="G260" s="17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28" t="n"/>
      <c r="Q260" s="28" t="n"/>
      <c r="R260" s="28" t="n"/>
      <c r="S260" s="28" t="n"/>
      <c r="T260" s="29">
        <f>IF(N(E260)=0,"",E260*IF(F260="",1,IFERROR(INDEX(Setup!$E$9:$E$18,MATCH(F260,Setup!$D$9:$D$18,0)),0)))</f>
        <v/>
      </c>
      <c r="U260" s="30">
        <f>IF(T260="","",IF(V260=0,"Everyone",IF(COUNTIF(AI260:AT260,"&gt;0")=COUNTIF(Setup!$B$9:$B$20,"?*"),"Everyone",COUNTIF(AI260:AT260,"&gt;0")&amp;IF(COUNTIF(AI260:AT260,"&gt;0")=1," person"," people"))))</f>
        <v/>
      </c>
      <c r="V260" s="1">
        <f>SUM(AI260:AT260)</f>
        <v/>
      </c>
      <c r="W260">
        <f>IF(OR(T260="",Setup!$B$9=""),0,IF(V260=0,T260/COUNTIF(Setup!$B$9:$B$20,"?*"),T260*AI260/V260))</f>
        <v/>
      </c>
      <c r="X260">
        <f>IF(OR(T260="",Setup!$B$10=""),0,IF(V260=0,T260/COUNTIF(Setup!$B$9:$B$20,"?*"),T260*AJ260/V260))</f>
        <v/>
      </c>
      <c r="Y260">
        <f>IF(OR(T260="",Setup!$B$11=""),0,IF(V260=0,T260/COUNTIF(Setup!$B$9:$B$20,"?*"),T260*AK260/V260))</f>
        <v/>
      </c>
      <c r="Z260">
        <f>IF(OR(T260="",Setup!$B$12=""),0,IF(V260=0,T260/COUNTIF(Setup!$B$9:$B$20,"?*"),T260*AL260/V260))</f>
        <v/>
      </c>
      <c r="AA260">
        <f>IF(OR(T260="",Setup!$B$13=""),0,IF(V260=0,T260/COUNTIF(Setup!$B$9:$B$20,"?*"),T260*AM260/V260))</f>
        <v/>
      </c>
      <c r="AB260">
        <f>IF(OR(T260="",Setup!$B$14=""),0,IF(V260=0,T260/COUNTIF(Setup!$B$9:$B$20,"?*"),T260*AN260/V260))</f>
        <v/>
      </c>
      <c r="AC260">
        <f>IF(OR(T260="",Setup!$B$15=""),0,IF(V260=0,T260/COUNTIF(Setup!$B$9:$B$20,"?*"),T260*AO260/V260))</f>
        <v/>
      </c>
      <c r="AD260">
        <f>IF(OR(T260="",Setup!$B$16=""),0,IF(V260=0,T260/COUNTIF(Setup!$B$9:$B$20,"?*"),T260*AP260/V260))</f>
        <v/>
      </c>
      <c r="AE260">
        <f>IF(OR(T260="",Setup!$B$17=""),0,IF(V260=0,T260/COUNTIF(Setup!$B$9:$B$20,"?*"),T260*AQ260/V260))</f>
        <v/>
      </c>
      <c r="AF260">
        <f>IF(OR(T260="",Setup!$B$18=""),0,IF(V260=0,T260/COUNTIF(Setup!$B$9:$B$20,"?*"),T260*AR260/V260))</f>
        <v/>
      </c>
      <c r="AG260">
        <f>IF(OR(T260="",Setup!$B$19=""),0,IF(V260=0,T260/COUNTIF(Setup!$B$9:$B$20,"?*"),T260*AS260/V260))</f>
        <v/>
      </c>
      <c r="AH260">
        <f>IF(OR(T260="",Setup!$B$20=""),0,IF(V260=0,T260/COUNTIF(Setup!$B$9:$B$20,"?*"),T260*AT260/V260))</f>
        <v/>
      </c>
      <c r="AI260">
        <f>IF(Setup!$B$9="",0,IF(H260="",0,IF(ISNUMBER(H260),H260,1)))</f>
        <v/>
      </c>
      <c r="AJ260">
        <f>IF(Setup!$B$10="",0,IF(I260="",0,IF(ISNUMBER(I260),I260,1)))</f>
        <v/>
      </c>
      <c r="AK260">
        <f>IF(Setup!$B$11="",0,IF(J260="",0,IF(ISNUMBER(J260),J260,1)))</f>
        <v/>
      </c>
      <c r="AL260">
        <f>IF(Setup!$B$12="",0,IF(K260="",0,IF(ISNUMBER(K260),K260,1)))</f>
        <v/>
      </c>
      <c r="AM260">
        <f>IF(Setup!$B$13="",0,IF(L260="",0,IF(ISNUMBER(L260),L260,1)))</f>
        <v/>
      </c>
      <c r="AN260">
        <f>IF(Setup!$B$14="",0,IF(M260="",0,IF(ISNUMBER(M260),M260,1)))</f>
        <v/>
      </c>
      <c r="AO260">
        <f>IF(Setup!$B$15="",0,IF(N260="",0,IF(ISNUMBER(N260),N260,1)))</f>
        <v/>
      </c>
      <c r="AP260">
        <f>IF(Setup!$B$16="",0,IF(O260="",0,IF(ISNUMBER(O260),O260,1)))</f>
        <v/>
      </c>
      <c r="AQ260">
        <f>IF(Setup!$B$17="",0,IF(P260="",0,IF(ISNUMBER(P260),P260,1)))</f>
        <v/>
      </c>
      <c r="AR260">
        <f>IF(Setup!$B$18="",0,IF(Q260="",0,IF(ISNUMBER(Q260),Q260,1)))</f>
        <v/>
      </c>
      <c r="AS260">
        <f>IF(Setup!$B$19="",0,IF(R260="",0,IF(ISNUMBER(R260),R260,1)))</f>
        <v/>
      </c>
      <c r="AT260">
        <f>IF(Setup!$B$20="",0,IF(S260="",0,IF(ISNUMBER(S260),S260,1)))</f>
        <v/>
      </c>
    </row>
    <row r="261">
      <c r="A261" s="1" t="n"/>
      <c r="B261" s="24" t="n"/>
      <c r="C261" s="25" t="n"/>
      <c r="D261" s="25" t="n"/>
      <c r="E261" s="26" t="n"/>
      <c r="F261" s="27" t="n"/>
      <c r="G261" s="17" t="n"/>
      <c r="H261" s="28" t="n"/>
      <c r="I261" s="28" t="n"/>
      <c r="J261" s="28" t="n"/>
      <c r="K261" s="28" t="n"/>
      <c r="L261" s="28" t="n"/>
      <c r="M261" s="28" t="n"/>
      <c r="N261" s="28" t="n"/>
      <c r="O261" s="28" t="n"/>
      <c r="P261" s="28" t="n"/>
      <c r="Q261" s="28" t="n"/>
      <c r="R261" s="28" t="n"/>
      <c r="S261" s="28" t="n"/>
      <c r="T261" s="29">
        <f>IF(N(E261)=0,"",E261*IF(F261="",1,IFERROR(INDEX(Setup!$E$9:$E$18,MATCH(F261,Setup!$D$9:$D$18,0)),0)))</f>
        <v/>
      </c>
      <c r="U261" s="30">
        <f>IF(T261="","",IF(V261=0,"Everyone",IF(COUNTIF(AI261:AT261,"&gt;0")=COUNTIF(Setup!$B$9:$B$20,"?*"),"Everyone",COUNTIF(AI261:AT261,"&gt;0")&amp;IF(COUNTIF(AI261:AT261,"&gt;0")=1," person"," people"))))</f>
        <v/>
      </c>
      <c r="V261" s="1">
        <f>SUM(AI261:AT261)</f>
        <v/>
      </c>
      <c r="W261">
        <f>IF(OR(T261="",Setup!$B$9=""),0,IF(V261=0,T261/COUNTIF(Setup!$B$9:$B$20,"?*"),T261*AI261/V261))</f>
        <v/>
      </c>
      <c r="X261">
        <f>IF(OR(T261="",Setup!$B$10=""),0,IF(V261=0,T261/COUNTIF(Setup!$B$9:$B$20,"?*"),T261*AJ261/V261))</f>
        <v/>
      </c>
      <c r="Y261">
        <f>IF(OR(T261="",Setup!$B$11=""),0,IF(V261=0,T261/COUNTIF(Setup!$B$9:$B$20,"?*"),T261*AK261/V261))</f>
        <v/>
      </c>
      <c r="Z261">
        <f>IF(OR(T261="",Setup!$B$12=""),0,IF(V261=0,T261/COUNTIF(Setup!$B$9:$B$20,"?*"),T261*AL261/V261))</f>
        <v/>
      </c>
      <c r="AA261">
        <f>IF(OR(T261="",Setup!$B$13=""),0,IF(V261=0,T261/COUNTIF(Setup!$B$9:$B$20,"?*"),T261*AM261/V261))</f>
        <v/>
      </c>
      <c r="AB261">
        <f>IF(OR(T261="",Setup!$B$14=""),0,IF(V261=0,T261/COUNTIF(Setup!$B$9:$B$20,"?*"),T261*AN261/V261))</f>
        <v/>
      </c>
      <c r="AC261">
        <f>IF(OR(T261="",Setup!$B$15=""),0,IF(V261=0,T261/COUNTIF(Setup!$B$9:$B$20,"?*"),T261*AO261/V261))</f>
        <v/>
      </c>
      <c r="AD261">
        <f>IF(OR(T261="",Setup!$B$16=""),0,IF(V261=0,T261/COUNTIF(Setup!$B$9:$B$20,"?*"),T261*AP261/V261))</f>
        <v/>
      </c>
      <c r="AE261">
        <f>IF(OR(T261="",Setup!$B$17=""),0,IF(V261=0,T261/COUNTIF(Setup!$B$9:$B$20,"?*"),T261*AQ261/V261))</f>
        <v/>
      </c>
      <c r="AF261">
        <f>IF(OR(T261="",Setup!$B$18=""),0,IF(V261=0,T261/COUNTIF(Setup!$B$9:$B$20,"?*"),T261*AR261/V261))</f>
        <v/>
      </c>
      <c r="AG261">
        <f>IF(OR(T261="",Setup!$B$19=""),0,IF(V261=0,T261/COUNTIF(Setup!$B$9:$B$20,"?*"),T261*AS261/V261))</f>
        <v/>
      </c>
      <c r="AH261">
        <f>IF(OR(T261="",Setup!$B$20=""),0,IF(V261=0,T261/COUNTIF(Setup!$B$9:$B$20,"?*"),T261*AT261/V261))</f>
        <v/>
      </c>
      <c r="AI261">
        <f>IF(Setup!$B$9="",0,IF(H261="",0,IF(ISNUMBER(H261),H261,1)))</f>
        <v/>
      </c>
      <c r="AJ261">
        <f>IF(Setup!$B$10="",0,IF(I261="",0,IF(ISNUMBER(I261),I261,1)))</f>
        <v/>
      </c>
      <c r="AK261">
        <f>IF(Setup!$B$11="",0,IF(J261="",0,IF(ISNUMBER(J261),J261,1)))</f>
        <v/>
      </c>
      <c r="AL261">
        <f>IF(Setup!$B$12="",0,IF(K261="",0,IF(ISNUMBER(K261),K261,1)))</f>
        <v/>
      </c>
      <c r="AM261">
        <f>IF(Setup!$B$13="",0,IF(L261="",0,IF(ISNUMBER(L261),L261,1)))</f>
        <v/>
      </c>
      <c r="AN261">
        <f>IF(Setup!$B$14="",0,IF(M261="",0,IF(ISNUMBER(M261),M261,1)))</f>
        <v/>
      </c>
      <c r="AO261">
        <f>IF(Setup!$B$15="",0,IF(N261="",0,IF(ISNUMBER(N261),N261,1)))</f>
        <v/>
      </c>
      <c r="AP261">
        <f>IF(Setup!$B$16="",0,IF(O261="",0,IF(ISNUMBER(O261),O261,1)))</f>
        <v/>
      </c>
      <c r="AQ261">
        <f>IF(Setup!$B$17="",0,IF(P261="",0,IF(ISNUMBER(P261),P261,1)))</f>
        <v/>
      </c>
      <c r="AR261">
        <f>IF(Setup!$B$18="",0,IF(Q261="",0,IF(ISNUMBER(Q261),Q261,1)))</f>
        <v/>
      </c>
      <c r="AS261">
        <f>IF(Setup!$B$19="",0,IF(R261="",0,IF(ISNUMBER(R261),R261,1)))</f>
        <v/>
      </c>
      <c r="AT261">
        <f>IF(Setup!$B$20="",0,IF(S261="",0,IF(ISNUMBER(S261),S261,1)))</f>
        <v/>
      </c>
    </row>
    <row r="262">
      <c r="A262" s="1" t="n"/>
      <c r="B262" s="24" t="n"/>
      <c r="C262" s="25" t="n"/>
      <c r="D262" s="25" t="n"/>
      <c r="E262" s="26" t="n"/>
      <c r="F262" s="27" t="n"/>
      <c r="G262" s="17" t="n"/>
      <c r="H262" s="28" t="n"/>
      <c r="I262" s="28" t="n"/>
      <c r="J262" s="28" t="n"/>
      <c r="K262" s="28" t="n"/>
      <c r="L262" s="28" t="n"/>
      <c r="M262" s="28" t="n"/>
      <c r="N262" s="28" t="n"/>
      <c r="O262" s="28" t="n"/>
      <c r="P262" s="28" t="n"/>
      <c r="Q262" s="28" t="n"/>
      <c r="R262" s="28" t="n"/>
      <c r="S262" s="28" t="n"/>
      <c r="T262" s="29">
        <f>IF(N(E262)=0,"",E262*IF(F262="",1,IFERROR(INDEX(Setup!$E$9:$E$18,MATCH(F262,Setup!$D$9:$D$18,0)),0)))</f>
        <v/>
      </c>
      <c r="U262" s="30">
        <f>IF(T262="","",IF(V262=0,"Everyone",IF(COUNTIF(AI262:AT262,"&gt;0")=COUNTIF(Setup!$B$9:$B$20,"?*"),"Everyone",COUNTIF(AI262:AT262,"&gt;0")&amp;IF(COUNTIF(AI262:AT262,"&gt;0")=1," person"," people"))))</f>
        <v/>
      </c>
      <c r="V262" s="1">
        <f>SUM(AI262:AT262)</f>
        <v/>
      </c>
      <c r="W262">
        <f>IF(OR(T262="",Setup!$B$9=""),0,IF(V262=0,T262/COUNTIF(Setup!$B$9:$B$20,"?*"),T262*AI262/V262))</f>
        <v/>
      </c>
      <c r="X262">
        <f>IF(OR(T262="",Setup!$B$10=""),0,IF(V262=0,T262/COUNTIF(Setup!$B$9:$B$20,"?*"),T262*AJ262/V262))</f>
        <v/>
      </c>
      <c r="Y262">
        <f>IF(OR(T262="",Setup!$B$11=""),0,IF(V262=0,T262/COUNTIF(Setup!$B$9:$B$20,"?*"),T262*AK262/V262))</f>
        <v/>
      </c>
      <c r="Z262">
        <f>IF(OR(T262="",Setup!$B$12=""),0,IF(V262=0,T262/COUNTIF(Setup!$B$9:$B$20,"?*"),T262*AL262/V262))</f>
        <v/>
      </c>
      <c r="AA262">
        <f>IF(OR(T262="",Setup!$B$13=""),0,IF(V262=0,T262/COUNTIF(Setup!$B$9:$B$20,"?*"),T262*AM262/V262))</f>
        <v/>
      </c>
      <c r="AB262">
        <f>IF(OR(T262="",Setup!$B$14=""),0,IF(V262=0,T262/COUNTIF(Setup!$B$9:$B$20,"?*"),T262*AN262/V262))</f>
        <v/>
      </c>
      <c r="AC262">
        <f>IF(OR(T262="",Setup!$B$15=""),0,IF(V262=0,T262/COUNTIF(Setup!$B$9:$B$20,"?*"),T262*AO262/V262))</f>
        <v/>
      </c>
      <c r="AD262">
        <f>IF(OR(T262="",Setup!$B$16=""),0,IF(V262=0,T262/COUNTIF(Setup!$B$9:$B$20,"?*"),T262*AP262/V262))</f>
        <v/>
      </c>
      <c r="AE262">
        <f>IF(OR(T262="",Setup!$B$17=""),0,IF(V262=0,T262/COUNTIF(Setup!$B$9:$B$20,"?*"),T262*AQ262/V262))</f>
        <v/>
      </c>
      <c r="AF262">
        <f>IF(OR(T262="",Setup!$B$18=""),0,IF(V262=0,T262/COUNTIF(Setup!$B$9:$B$20,"?*"),T262*AR262/V262))</f>
        <v/>
      </c>
      <c r="AG262">
        <f>IF(OR(T262="",Setup!$B$19=""),0,IF(V262=0,T262/COUNTIF(Setup!$B$9:$B$20,"?*"),T262*AS262/V262))</f>
        <v/>
      </c>
      <c r="AH262">
        <f>IF(OR(T262="",Setup!$B$20=""),0,IF(V262=0,T262/COUNTIF(Setup!$B$9:$B$20,"?*"),T262*AT262/V262))</f>
        <v/>
      </c>
      <c r="AI262">
        <f>IF(Setup!$B$9="",0,IF(H262="",0,IF(ISNUMBER(H262),H262,1)))</f>
        <v/>
      </c>
      <c r="AJ262">
        <f>IF(Setup!$B$10="",0,IF(I262="",0,IF(ISNUMBER(I262),I262,1)))</f>
        <v/>
      </c>
      <c r="AK262">
        <f>IF(Setup!$B$11="",0,IF(J262="",0,IF(ISNUMBER(J262),J262,1)))</f>
        <v/>
      </c>
      <c r="AL262">
        <f>IF(Setup!$B$12="",0,IF(K262="",0,IF(ISNUMBER(K262),K262,1)))</f>
        <v/>
      </c>
      <c r="AM262">
        <f>IF(Setup!$B$13="",0,IF(L262="",0,IF(ISNUMBER(L262),L262,1)))</f>
        <v/>
      </c>
      <c r="AN262">
        <f>IF(Setup!$B$14="",0,IF(M262="",0,IF(ISNUMBER(M262),M262,1)))</f>
        <v/>
      </c>
      <c r="AO262">
        <f>IF(Setup!$B$15="",0,IF(N262="",0,IF(ISNUMBER(N262),N262,1)))</f>
        <v/>
      </c>
      <c r="AP262">
        <f>IF(Setup!$B$16="",0,IF(O262="",0,IF(ISNUMBER(O262),O262,1)))</f>
        <v/>
      </c>
      <c r="AQ262">
        <f>IF(Setup!$B$17="",0,IF(P262="",0,IF(ISNUMBER(P262),P262,1)))</f>
        <v/>
      </c>
      <c r="AR262">
        <f>IF(Setup!$B$18="",0,IF(Q262="",0,IF(ISNUMBER(Q262),Q262,1)))</f>
        <v/>
      </c>
      <c r="AS262">
        <f>IF(Setup!$B$19="",0,IF(R262="",0,IF(ISNUMBER(R262),R262,1)))</f>
        <v/>
      </c>
      <c r="AT262">
        <f>IF(Setup!$B$20="",0,IF(S262="",0,IF(ISNUMBER(S262),S262,1)))</f>
        <v/>
      </c>
    </row>
    <row r="263">
      <c r="A263" s="1" t="n"/>
      <c r="B263" s="24" t="n"/>
      <c r="C263" s="25" t="n"/>
      <c r="D263" s="25" t="n"/>
      <c r="E263" s="26" t="n"/>
      <c r="F263" s="27" t="n"/>
      <c r="G263" s="17" t="n"/>
      <c r="H263" s="28" t="n"/>
      <c r="I263" s="28" t="n"/>
      <c r="J263" s="28" t="n"/>
      <c r="K263" s="28" t="n"/>
      <c r="L263" s="28" t="n"/>
      <c r="M263" s="28" t="n"/>
      <c r="N263" s="28" t="n"/>
      <c r="O263" s="28" t="n"/>
      <c r="P263" s="28" t="n"/>
      <c r="Q263" s="28" t="n"/>
      <c r="R263" s="28" t="n"/>
      <c r="S263" s="28" t="n"/>
      <c r="T263" s="29">
        <f>IF(N(E263)=0,"",E263*IF(F263="",1,IFERROR(INDEX(Setup!$E$9:$E$18,MATCH(F263,Setup!$D$9:$D$18,0)),0)))</f>
        <v/>
      </c>
      <c r="U263" s="30">
        <f>IF(T263="","",IF(V263=0,"Everyone",IF(COUNTIF(AI263:AT263,"&gt;0")=COUNTIF(Setup!$B$9:$B$20,"?*"),"Everyone",COUNTIF(AI263:AT263,"&gt;0")&amp;IF(COUNTIF(AI263:AT263,"&gt;0")=1," person"," people"))))</f>
        <v/>
      </c>
      <c r="V263" s="1">
        <f>SUM(AI263:AT263)</f>
        <v/>
      </c>
      <c r="W263">
        <f>IF(OR(T263="",Setup!$B$9=""),0,IF(V263=0,T263/COUNTIF(Setup!$B$9:$B$20,"?*"),T263*AI263/V263))</f>
        <v/>
      </c>
      <c r="X263">
        <f>IF(OR(T263="",Setup!$B$10=""),0,IF(V263=0,T263/COUNTIF(Setup!$B$9:$B$20,"?*"),T263*AJ263/V263))</f>
        <v/>
      </c>
      <c r="Y263">
        <f>IF(OR(T263="",Setup!$B$11=""),0,IF(V263=0,T263/COUNTIF(Setup!$B$9:$B$20,"?*"),T263*AK263/V263))</f>
        <v/>
      </c>
      <c r="Z263">
        <f>IF(OR(T263="",Setup!$B$12=""),0,IF(V263=0,T263/COUNTIF(Setup!$B$9:$B$20,"?*"),T263*AL263/V263))</f>
        <v/>
      </c>
      <c r="AA263">
        <f>IF(OR(T263="",Setup!$B$13=""),0,IF(V263=0,T263/COUNTIF(Setup!$B$9:$B$20,"?*"),T263*AM263/V263))</f>
        <v/>
      </c>
      <c r="AB263">
        <f>IF(OR(T263="",Setup!$B$14=""),0,IF(V263=0,T263/COUNTIF(Setup!$B$9:$B$20,"?*"),T263*AN263/V263))</f>
        <v/>
      </c>
      <c r="AC263">
        <f>IF(OR(T263="",Setup!$B$15=""),0,IF(V263=0,T263/COUNTIF(Setup!$B$9:$B$20,"?*"),T263*AO263/V263))</f>
        <v/>
      </c>
      <c r="AD263">
        <f>IF(OR(T263="",Setup!$B$16=""),0,IF(V263=0,T263/COUNTIF(Setup!$B$9:$B$20,"?*"),T263*AP263/V263))</f>
        <v/>
      </c>
      <c r="AE263">
        <f>IF(OR(T263="",Setup!$B$17=""),0,IF(V263=0,T263/COUNTIF(Setup!$B$9:$B$20,"?*"),T263*AQ263/V263))</f>
        <v/>
      </c>
      <c r="AF263">
        <f>IF(OR(T263="",Setup!$B$18=""),0,IF(V263=0,T263/COUNTIF(Setup!$B$9:$B$20,"?*"),T263*AR263/V263))</f>
        <v/>
      </c>
      <c r="AG263">
        <f>IF(OR(T263="",Setup!$B$19=""),0,IF(V263=0,T263/COUNTIF(Setup!$B$9:$B$20,"?*"),T263*AS263/V263))</f>
        <v/>
      </c>
      <c r="AH263">
        <f>IF(OR(T263="",Setup!$B$20=""),0,IF(V263=0,T263/COUNTIF(Setup!$B$9:$B$20,"?*"),T263*AT263/V263))</f>
        <v/>
      </c>
      <c r="AI263">
        <f>IF(Setup!$B$9="",0,IF(H263="",0,IF(ISNUMBER(H263),H263,1)))</f>
        <v/>
      </c>
      <c r="AJ263">
        <f>IF(Setup!$B$10="",0,IF(I263="",0,IF(ISNUMBER(I263),I263,1)))</f>
        <v/>
      </c>
      <c r="AK263">
        <f>IF(Setup!$B$11="",0,IF(J263="",0,IF(ISNUMBER(J263),J263,1)))</f>
        <v/>
      </c>
      <c r="AL263">
        <f>IF(Setup!$B$12="",0,IF(K263="",0,IF(ISNUMBER(K263),K263,1)))</f>
        <v/>
      </c>
      <c r="AM263">
        <f>IF(Setup!$B$13="",0,IF(L263="",0,IF(ISNUMBER(L263),L263,1)))</f>
        <v/>
      </c>
      <c r="AN263">
        <f>IF(Setup!$B$14="",0,IF(M263="",0,IF(ISNUMBER(M263),M263,1)))</f>
        <v/>
      </c>
      <c r="AO263">
        <f>IF(Setup!$B$15="",0,IF(N263="",0,IF(ISNUMBER(N263),N263,1)))</f>
        <v/>
      </c>
      <c r="AP263">
        <f>IF(Setup!$B$16="",0,IF(O263="",0,IF(ISNUMBER(O263),O263,1)))</f>
        <v/>
      </c>
      <c r="AQ263">
        <f>IF(Setup!$B$17="",0,IF(P263="",0,IF(ISNUMBER(P263),P263,1)))</f>
        <v/>
      </c>
      <c r="AR263">
        <f>IF(Setup!$B$18="",0,IF(Q263="",0,IF(ISNUMBER(Q263),Q263,1)))</f>
        <v/>
      </c>
      <c r="AS263">
        <f>IF(Setup!$B$19="",0,IF(R263="",0,IF(ISNUMBER(R263),R263,1)))</f>
        <v/>
      </c>
      <c r="AT263">
        <f>IF(Setup!$B$20="",0,IF(S263="",0,IF(ISNUMBER(S263),S263,1)))</f>
        <v/>
      </c>
    </row>
    <row r="264">
      <c r="A264" s="1" t="n"/>
      <c r="B264" s="24" t="n"/>
      <c r="C264" s="25" t="n"/>
      <c r="D264" s="25" t="n"/>
      <c r="E264" s="26" t="n"/>
      <c r="F264" s="27" t="n"/>
      <c r="G264" s="17" t="n"/>
      <c r="H264" s="28" t="n"/>
      <c r="I264" s="28" t="n"/>
      <c r="J264" s="28" t="n"/>
      <c r="K264" s="28" t="n"/>
      <c r="L264" s="28" t="n"/>
      <c r="M264" s="28" t="n"/>
      <c r="N264" s="28" t="n"/>
      <c r="O264" s="28" t="n"/>
      <c r="P264" s="28" t="n"/>
      <c r="Q264" s="28" t="n"/>
      <c r="R264" s="28" t="n"/>
      <c r="S264" s="28" t="n"/>
      <c r="T264" s="29">
        <f>IF(N(E264)=0,"",E264*IF(F264="",1,IFERROR(INDEX(Setup!$E$9:$E$18,MATCH(F264,Setup!$D$9:$D$18,0)),0)))</f>
        <v/>
      </c>
      <c r="U264" s="30">
        <f>IF(T264="","",IF(V264=0,"Everyone",IF(COUNTIF(AI264:AT264,"&gt;0")=COUNTIF(Setup!$B$9:$B$20,"?*"),"Everyone",COUNTIF(AI264:AT264,"&gt;0")&amp;IF(COUNTIF(AI264:AT264,"&gt;0")=1," person"," people"))))</f>
        <v/>
      </c>
      <c r="V264" s="1">
        <f>SUM(AI264:AT264)</f>
        <v/>
      </c>
      <c r="W264">
        <f>IF(OR(T264="",Setup!$B$9=""),0,IF(V264=0,T264/COUNTIF(Setup!$B$9:$B$20,"?*"),T264*AI264/V264))</f>
        <v/>
      </c>
      <c r="X264">
        <f>IF(OR(T264="",Setup!$B$10=""),0,IF(V264=0,T264/COUNTIF(Setup!$B$9:$B$20,"?*"),T264*AJ264/V264))</f>
        <v/>
      </c>
      <c r="Y264">
        <f>IF(OR(T264="",Setup!$B$11=""),0,IF(V264=0,T264/COUNTIF(Setup!$B$9:$B$20,"?*"),T264*AK264/V264))</f>
        <v/>
      </c>
      <c r="Z264">
        <f>IF(OR(T264="",Setup!$B$12=""),0,IF(V264=0,T264/COUNTIF(Setup!$B$9:$B$20,"?*"),T264*AL264/V264))</f>
        <v/>
      </c>
      <c r="AA264">
        <f>IF(OR(T264="",Setup!$B$13=""),0,IF(V264=0,T264/COUNTIF(Setup!$B$9:$B$20,"?*"),T264*AM264/V264))</f>
        <v/>
      </c>
      <c r="AB264">
        <f>IF(OR(T264="",Setup!$B$14=""),0,IF(V264=0,T264/COUNTIF(Setup!$B$9:$B$20,"?*"),T264*AN264/V264))</f>
        <v/>
      </c>
      <c r="AC264">
        <f>IF(OR(T264="",Setup!$B$15=""),0,IF(V264=0,T264/COUNTIF(Setup!$B$9:$B$20,"?*"),T264*AO264/V264))</f>
        <v/>
      </c>
      <c r="AD264">
        <f>IF(OR(T264="",Setup!$B$16=""),0,IF(V264=0,T264/COUNTIF(Setup!$B$9:$B$20,"?*"),T264*AP264/V264))</f>
        <v/>
      </c>
      <c r="AE264">
        <f>IF(OR(T264="",Setup!$B$17=""),0,IF(V264=0,T264/COUNTIF(Setup!$B$9:$B$20,"?*"),T264*AQ264/V264))</f>
        <v/>
      </c>
      <c r="AF264">
        <f>IF(OR(T264="",Setup!$B$18=""),0,IF(V264=0,T264/COUNTIF(Setup!$B$9:$B$20,"?*"),T264*AR264/V264))</f>
        <v/>
      </c>
      <c r="AG264">
        <f>IF(OR(T264="",Setup!$B$19=""),0,IF(V264=0,T264/COUNTIF(Setup!$B$9:$B$20,"?*"),T264*AS264/V264))</f>
        <v/>
      </c>
      <c r="AH264">
        <f>IF(OR(T264="",Setup!$B$20=""),0,IF(V264=0,T264/COUNTIF(Setup!$B$9:$B$20,"?*"),T264*AT264/V264))</f>
        <v/>
      </c>
      <c r="AI264">
        <f>IF(Setup!$B$9="",0,IF(H264="",0,IF(ISNUMBER(H264),H264,1)))</f>
        <v/>
      </c>
      <c r="AJ264">
        <f>IF(Setup!$B$10="",0,IF(I264="",0,IF(ISNUMBER(I264),I264,1)))</f>
        <v/>
      </c>
      <c r="AK264">
        <f>IF(Setup!$B$11="",0,IF(J264="",0,IF(ISNUMBER(J264),J264,1)))</f>
        <v/>
      </c>
      <c r="AL264">
        <f>IF(Setup!$B$12="",0,IF(K264="",0,IF(ISNUMBER(K264),K264,1)))</f>
        <v/>
      </c>
      <c r="AM264">
        <f>IF(Setup!$B$13="",0,IF(L264="",0,IF(ISNUMBER(L264),L264,1)))</f>
        <v/>
      </c>
      <c r="AN264">
        <f>IF(Setup!$B$14="",0,IF(M264="",0,IF(ISNUMBER(M264),M264,1)))</f>
        <v/>
      </c>
      <c r="AO264">
        <f>IF(Setup!$B$15="",0,IF(N264="",0,IF(ISNUMBER(N264),N264,1)))</f>
        <v/>
      </c>
      <c r="AP264">
        <f>IF(Setup!$B$16="",0,IF(O264="",0,IF(ISNUMBER(O264),O264,1)))</f>
        <v/>
      </c>
      <c r="AQ264">
        <f>IF(Setup!$B$17="",0,IF(P264="",0,IF(ISNUMBER(P264),P264,1)))</f>
        <v/>
      </c>
      <c r="AR264">
        <f>IF(Setup!$B$18="",0,IF(Q264="",0,IF(ISNUMBER(Q264),Q264,1)))</f>
        <v/>
      </c>
      <c r="AS264">
        <f>IF(Setup!$B$19="",0,IF(R264="",0,IF(ISNUMBER(R264),R264,1)))</f>
        <v/>
      </c>
      <c r="AT264">
        <f>IF(Setup!$B$20="",0,IF(S264="",0,IF(ISNUMBER(S264),S264,1)))</f>
        <v/>
      </c>
    </row>
    <row r="265">
      <c r="A265" s="1" t="n"/>
      <c r="B265" s="24" t="n"/>
      <c r="C265" s="25" t="n"/>
      <c r="D265" s="25" t="n"/>
      <c r="E265" s="26" t="n"/>
      <c r="F265" s="27" t="n"/>
      <c r="G265" s="17" t="n"/>
      <c r="H265" s="28" t="n"/>
      <c r="I265" s="28" t="n"/>
      <c r="J265" s="28" t="n"/>
      <c r="K265" s="28" t="n"/>
      <c r="L265" s="28" t="n"/>
      <c r="M265" s="28" t="n"/>
      <c r="N265" s="28" t="n"/>
      <c r="O265" s="28" t="n"/>
      <c r="P265" s="28" t="n"/>
      <c r="Q265" s="28" t="n"/>
      <c r="R265" s="28" t="n"/>
      <c r="S265" s="28" t="n"/>
      <c r="T265" s="29">
        <f>IF(N(E265)=0,"",E265*IF(F265="",1,IFERROR(INDEX(Setup!$E$9:$E$18,MATCH(F265,Setup!$D$9:$D$18,0)),0)))</f>
        <v/>
      </c>
      <c r="U265" s="30">
        <f>IF(T265="","",IF(V265=0,"Everyone",IF(COUNTIF(AI265:AT265,"&gt;0")=COUNTIF(Setup!$B$9:$B$20,"?*"),"Everyone",COUNTIF(AI265:AT265,"&gt;0")&amp;IF(COUNTIF(AI265:AT265,"&gt;0")=1," person"," people"))))</f>
        <v/>
      </c>
      <c r="V265" s="1">
        <f>SUM(AI265:AT265)</f>
        <v/>
      </c>
      <c r="W265">
        <f>IF(OR(T265="",Setup!$B$9=""),0,IF(V265=0,T265/COUNTIF(Setup!$B$9:$B$20,"?*"),T265*AI265/V265))</f>
        <v/>
      </c>
      <c r="X265">
        <f>IF(OR(T265="",Setup!$B$10=""),0,IF(V265=0,T265/COUNTIF(Setup!$B$9:$B$20,"?*"),T265*AJ265/V265))</f>
        <v/>
      </c>
      <c r="Y265">
        <f>IF(OR(T265="",Setup!$B$11=""),0,IF(V265=0,T265/COUNTIF(Setup!$B$9:$B$20,"?*"),T265*AK265/V265))</f>
        <v/>
      </c>
      <c r="Z265">
        <f>IF(OR(T265="",Setup!$B$12=""),0,IF(V265=0,T265/COUNTIF(Setup!$B$9:$B$20,"?*"),T265*AL265/V265))</f>
        <v/>
      </c>
      <c r="AA265">
        <f>IF(OR(T265="",Setup!$B$13=""),0,IF(V265=0,T265/COUNTIF(Setup!$B$9:$B$20,"?*"),T265*AM265/V265))</f>
        <v/>
      </c>
      <c r="AB265">
        <f>IF(OR(T265="",Setup!$B$14=""),0,IF(V265=0,T265/COUNTIF(Setup!$B$9:$B$20,"?*"),T265*AN265/V265))</f>
        <v/>
      </c>
      <c r="AC265">
        <f>IF(OR(T265="",Setup!$B$15=""),0,IF(V265=0,T265/COUNTIF(Setup!$B$9:$B$20,"?*"),T265*AO265/V265))</f>
        <v/>
      </c>
      <c r="AD265">
        <f>IF(OR(T265="",Setup!$B$16=""),0,IF(V265=0,T265/COUNTIF(Setup!$B$9:$B$20,"?*"),T265*AP265/V265))</f>
        <v/>
      </c>
      <c r="AE265">
        <f>IF(OR(T265="",Setup!$B$17=""),0,IF(V265=0,T265/COUNTIF(Setup!$B$9:$B$20,"?*"),T265*AQ265/V265))</f>
        <v/>
      </c>
      <c r="AF265">
        <f>IF(OR(T265="",Setup!$B$18=""),0,IF(V265=0,T265/COUNTIF(Setup!$B$9:$B$20,"?*"),T265*AR265/V265))</f>
        <v/>
      </c>
      <c r="AG265">
        <f>IF(OR(T265="",Setup!$B$19=""),0,IF(V265=0,T265/COUNTIF(Setup!$B$9:$B$20,"?*"),T265*AS265/V265))</f>
        <v/>
      </c>
      <c r="AH265">
        <f>IF(OR(T265="",Setup!$B$20=""),0,IF(V265=0,T265/COUNTIF(Setup!$B$9:$B$20,"?*"),T265*AT265/V265))</f>
        <v/>
      </c>
      <c r="AI265">
        <f>IF(Setup!$B$9="",0,IF(H265="",0,IF(ISNUMBER(H265),H265,1)))</f>
        <v/>
      </c>
      <c r="AJ265">
        <f>IF(Setup!$B$10="",0,IF(I265="",0,IF(ISNUMBER(I265),I265,1)))</f>
        <v/>
      </c>
      <c r="AK265">
        <f>IF(Setup!$B$11="",0,IF(J265="",0,IF(ISNUMBER(J265),J265,1)))</f>
        <v/>
      </c>
      <c r="AL265">
        <f>IF(Setup!$B$12="",0,IF(K265="",0,IF(ISNUMBER(K265),K265,1)))</f>
        <v/>
      </c>
      <c r="AM265">
        <f>IF(Setup!$B$13="",0,IF(L265="",0,IF(ISNUMBER(L265),L265,1)))</f>
        <v/>
      </c>
      <c r="AN265">
        <f>IF(Setup!$B$14="",0,IF(M265="",0,IF(ISNUMBER(M265),M265,1)))</f>
        <v/>
      </c>
      <c r="AO265">
        <f>IF(Setup!$B$15="",0,IF(N265="",0,IF(ISNUMBER(N265),N265,1)))</f>
        <v/>
      </c>
      <c r="AP265">
        <f>IF(Setup!$B$16="",0,IF(O265="",0,IF(ISNUMBER(O265),O265,1)))</f>
        <v/>
      </c>
      <c r="AQ265">
        <f>IF(Setup!$B$17="",0,IF(P265="",0,IF(ISNUMBER(P265),P265,1)))</f>
        <v/>
      </c>
      <c r="AR265">
        <f>IF(Setup!$B$18="",0,IF(Q265="",0,IF(ISNUMBER(Q265),Q265,1)))</f>
        <v/>
      </c>
      <c r="AS265">
        <f>IF(Setup!$B$19="",0,IF(R265="",0,IF(ISNUMBER(R265),R265,1)))</f>
        <v/>
      </c>
      <c r="AT265">
        <f>IF(Setup!$B$20="",0,IF(S265="",0,IF(ISNUMBER(S265),S265,1)))</f>
        <v/>
      </c>
    </row>
    <row r="266">
      <c r="A266" s="1" t="n"/>
      <c r="B266" s="24" t="n"/>
      <c r="C266" s="25" t="n"/>
      <c r="D266" s="25" t="n"/>
      <c r="E266" s="26" t="n"/>
      <c r="F266" s="27" t="n"/>
      <c r="G266" s="17" t="n"/>
      <c r="H266" s="28" t="n"/>
      <c r="I266" s="28" t="n"/>
      <c r="J266" s="28" t="n"/>
      <c r="K266" s="28" t="n"/>
      <c r="L266" s="28" t="n"/>
      <c r="M266" s="28" t="n"/>
      <c r="N266" s="28" t="n"/>
      <c r="O266" s="28" t="n"/>
      <c r="P266" s="28" t="n"/>
      <c r="Q266" s="28" t="n"/>
      <c r="R266" s="28" t="n"/>
      <c r="S266" s="28" t="n"/>
      <c r="T266" s="29">
        <f>IF(N(E266)=0,"",E266*IF(F266="",1,IFERROR(INDEX(Setup!$E$9:$E$18,MATCH(F266,Setup!$D$9:$D$18,0)),0)))</f>
        <v/>
      </c>
      <c r="U266" s="30">
        <f>IF(T266="","",IF(V266=0,"Everyone",IF(COUNTIF(AI266:AT266,"&gt;0")=COUNTIF(Setup!$B$9:$B$20,"?*"),"Everyone",COUNTIF(AI266:AT266,"&gt;0")&amp;IF(COUNTIF(AI266:AT266,"&gt;0")=1," person"," people"))))</f>
        <v/>
      </c>
      <c r="V266" s="1">
        <f>SUM(AI266:AT266)</f>
        <v/>
      </c>
      <c r="W266">
        <f>IF(OR(T266="",Setup!$B$9=""),0,IF(V266=0,T266/COUNTIF(Setup!$B$9:$B$20,"?*"),T266*AI266/V266))</f>
        <v/>
      </c>
      <c r="X266">
        <f>IF(OR(T266="",Setup!$B$10=""),0,IF(V266=0,T266/COUNTIF(Setup!$B$9:$B$20,"?*"),T266*AJ266/V266))</f>
        <v/>
      </c>
      <c r="Y266">
        <f>IF(OR(T266="",Setup!$B$11=""),0,IF(V266=0,T266/COUNTIF(Setup!$B$9:$B$20,"?*"),T266*AK266/V266))</f>
        <v/>
      </c>
      <c r="Z266">
        <f>IF(OR(T266="",Setup!$B$12=""),0,IF(V266=0,T266/COUNTIF(Setup!$B$9:$B$20,"?*"),T266*AL266/V266))</f>
        <v/>
      </c>
      <c r="AA266">
        <f>IF(OR(T266="",Setup!$B$13=""),0,IF(V266=0,T266/COUNTIF(Setup!$B$9:$B$20,"?*"),T266*AM266/V266))</f>
        <v/>
      </c>
      <c r="AB266">
        <f>IF(OR(T266="",Setup!$B$14=""),0,IF(V266=0,T266/COUNTIF(Setup!$B$9:$B$20,"?*"),T266*AN266/V266))</f>
        <v/>
      </c>
      <c r="AC266">
        <f>IF(OR(T266="",Setup!$B$15=""),0,IF(V266=0,T266/COUNTIF(Setup!$B$9:$B$20,"?*"),T266*AO266/V266))</f>
        <v/>
      </c>
      <c r="AD266">
        <f>IF(OR(T266="",Setup!$B$16=""),0,IF(V266=0,T266/COUNTIF(Setup!$B$9:$B$20,"?*"),T266*AP266/V266))</f>
        <v/>
      </c>
      <c r="AE266">
        <f>IF(OR(T266="",Setup!$B$17=""),0,IF(V266=0,T266/COUNTIF(Setup!$B$9:$B$20,"?*"),T266*AQ266/V266))</f>
        <v/>
      </c>
      <c r="AF266">
        <f>IF(OR(T266="",Setup!$B$18=""),0,IF(V266=0,T266/COUNTIF(Setup!$B$9:$B$20,"?*"),T266*AR266/V266))</f>
        <v/>
      </c>
      <c r="AG266">
        <f>IF(OR(T266="",Setup!$B$19=""),0,IF(V266=0,T266/COUNTIF(Setup!$B$9:$B$20,"?*"),T266*AS266/V266))</f>
        <v/>
      </c>
      <c r="AH266">
        <f>IF(OR(T266="",Setup!$B$20=""),0,IF(V266=0,T266/COUNTIF(Setup!$B$9:$B$20,"?*"),T266*AT266/V266))</f>
        <v/>
      </c>
      <c r="AI266">
        <f>IF(Setup!$B$9="",0,IF(H266="",0,IF(ISNUMBER(H266),H266,1)))</f>
        <v/>
      </c>
      <c r="AJ266">
        <f>IF(Setup!$B$10="",0,IF(I266="",0,IF(ISNUMBER(I266),I266,1)))</f>
        <v/>
      </c>
      <c r="AK266">
        <f>IF(Setup!$B$11="",0,IF(J266="",0,IF(ISNUMBER(J266),J266,1)))</f>
        <v/>
      </c>
      <c r="AL266">
        <f>IF(Setup!$B$12="",0,IF(K266="",0,IF(ISNUMBER(K266),K266,1)))</f>
        <v/>
      </c>
      <c r="AM266">
        <f>IF(Setup!$B$13="",0,IF(L266="",0,IF(ISNUMBER(L266),L266,1)))</f>
        <v/>
      </c>
      <c r="AN266">
        <f>IF(Setup!$B$14="",0,IF(M266="",0,IF(ISNUMBER(M266),M266,1)))</f>
        <v/>
      </c>
      <c r="AO266">
        <f>IF(Setup!$B$15="",0,IF(N266="",0,IF(ISNUMBER(N266),N266,1)))</f>
        <v/>
      </c>
      <c r="AP266">
        <f>IF(Setup!$B$16="",0,IF(O266="",0,IF(ISNUMBER(O266),O266,1)))</f>
        <v/>
      </c>
      <c r="AQ266">
        <f>IF(Setup!$B$17="",0,IF(P266="",0,IF(ISNUMBER(P266),P266,1)))</f>
        <v/>
      </c>
      <c r="AR266">
        <f>IF(Setup!$B$18="",0,IF(Q266="",0,IF(ISNUMBER(Q266),Q266,1)))</f>
        <v/>
      </c>
      <c r="AS266">
        <f>IF(Setup!$B$19="",0,IF(R266="",0,IF(ISNUMBER(R266),R266,1)))</f>
        <v/>
      </c>
      <c r="AT266">
        <f>IF(Setup!$B$20="",0,IF(S266="",0,IF(ISNUMBER(S266),S266,1)))</f>
        <v/>
      </c>
    </row>
    <row r="267">
      <c r="A267" s="1" t="n"/>
      <c r="B267" s="24" t="n"/>
      <c r="C267" s="25" t="n"/>
      <c r="D267" s="25" t="n"/>
      <c r="E267" s="26" t="n"/>
      <c r="F267" s="27" t="n"/>
      <c r="G267" s="17" t="n"/>
      <c r="H267" s="28" t="n"/>
      <c r="I267" s="28" t="n"/>
      <c r="J267" s="28" t="n"/>
      <c r="K267" s="28" t="n"/>
      <c r="L267" s="28" t="n"/>
      <c r="M267" s="28" t="n"/>
      <c r="N267" s="28" t="n"/>
      <c r="O267" s="28" t="n"/>
      <c r="P267" s="28" t="n"/>
      <c r="Q267" s="28" t="n"/>
      <c r="R267" s="28" t="n"/>
      <c r="S267" s="28" t="n"/>
      <c r="T267" s="29">
        <f>IF(N(E267)=0,"",E267*IF(F267="",1,IFERROR(INDEX(Setup!$E$9:$E$18,MATCH(F267,Setup!$D$9:$D$18,0)),0)))</f>
        <v/>
      </c>
      <c r="U267" s="30">
        <f>IF(T267="","",IF(V267=0,"Everyone",IF(COUNTIF(AI267:AT267,"&gt;0")=COUNTIF(Setup!$B$9:$B$20,"?*"),"Everyone",COUNTIF(AI267:AT267,"&gt;0")&amp;IF(COUNTIF(AI267:AT267,"&gt;0")=1," person"," people"))))</f>
        <v/>
      </c>
      <c r="V267" s="1">
        <f>SUM(AI267:AT267)</f>
        <v/>
      </c>
      <c r="W267">
        <f>IF(OR(T267="",Setup!$B$9=""),0,IF(V267=0,T267/COUNTIF(Setup!$B$9:$B$20,"?*"),T267*AI267/V267))</f>
        <v/>
      </c>
      <c r="X267">
        <f>IF(OR(T267="",Setup!$B$10=""),0,IF(V267=0,T267/COUNTIF(Setup!$B$9:$B$20,"?*"),T267*AJ267/V267))</f>
        <v/>
      </c>
      <c r="Y267">
        <f>IF(OR(T267="",Setup!$B$11=""),0,IF(V267=0,T267/COUNTIF(Setup!$B$9:$B$20,"?*"),T267*AK267/V267))</f>
        <v/>
      </c>
      <c r="Z267">
        <f>IF(OR(T267="",Setup!$B$12=""),0,IF(V267=0,T267/COUNTIF(Setup!$B$9:$B$20,"?*"),T267*AL267/V267))</f>
        <v/>
      </c>
      <c r="AA267">
        <f>IF(OR(T267="",Setup!$B$13=""),0,IF(V267=0,T267/COUNTIF(Setup!$B$9:$B$20,"?*"),T267*AM267/V267))</f>
        <v/>
      </c>
      <c r="AB267">
        <f>IF(OR(T267="",Setup!$B$14=""),0,IF(V267=0,T267/COUNTIF(Setup!$B$9:$B$20,"?*"),T267*AN267/V267))</f>
        <v/>
      </c>
      <c r="AC267">
        <f>IF(OR(T267="",Setup!$B$15=""),0,IF(V267=0,T267/COUNTIF(Setup!$B$9:$B$20,"?*"),T267*AO267/V267))</f>
        <v/>
      </c>
      <c r="AD267">
        <f>IF(OR(T267="",Setup!$B$16=""),0,IF(V267=0,T267/COUNTIF(Setup!$B$9:$B$20,"?*"),T267*AP267/V267))</f>
        <v/>
      </c>
      <c r="AE267">
        <f>IF(OR(T267="",Setup!$B$17=""),0,IF(V267=0,T267/COUNTIF(Setup!$B$9:$B$20,"?*"),T267*AQ267/V267))</f>
        <v/>
      </c>
      <c r="AF267">
        <f>IF(OR(T267="",Setup!$B$18=""),0,IF(V267=0,T267/COUNTIF(Setup!$B$9:$B$20,"?*"),T267*AR267/V267))</f>
        <v/>
      </c>
      <c r="AG267">
        <f>IF(OR(T267="",Setup!$B$19=""),0,IF(V267=0,T267/COUNTIF(Setup!$B$9:$B$20,"?*"),T267*AS267/V267))</f>
        <v/>
      </c>
      <c r="AH267">
        <f>IF(OR(T267="",Setup!$B$20=""),0,IF(V267=0,T267/COUNTIF(Setup!$B$9:$B$20,"?*"),T267*AT267/V267))</f>
        <v/>
      </c>
      <c r="AI267">
        <f>IF(Setup!$B$9="",0,IF(H267="",0,IF(ISNUMBER(H267),H267,1)))</f>
        <v/>
      </c>
      <c r="AJ267">
        <f>IF(Setup!$B$10="",0,IF(I267="",0,IF(ISNUMBER(I267),I267,1)))</f>
        <v/>
      </c>
      <c r="AK267">
        <f>IF(Setup!$B$11="",0,IF(J267="",0,IF(ISNUMBER(J267),J267,1)))</f>
        <v/>
      </c>
      <c r="AL267">
        <f>IF(Setup!$B$12="",0,IF(K267="",0,IF(ISNUMBER(K267),K267,1)))</f>
        <v/>
      </c>
      <c r="AM267">
        <f>IF(Setup!$B$13="",0,IF(L267="",0,IF(ISNUMBER(L267),L267,1)))</f>
        <v/>
      </c>
      <c r="AN267">
        <f>IF(Setup!$B$14="",0,IF(M267="",0,IF(ISNUMBER(M267),M267,1)))</f>
        <v/>
      </c>
      <c r="AO267">
        <f>IF(Setup!$B$15="",0,IF(N267="",0,IF(ISNUMBER(N267),N267,1)))</f>
        <v/>
      </c>
      <c r="AP267">
        <f>IF(Setup!$B$16="",0,IF(O267="",0,IF(ISNUMBER(O267),O267,1)))</f>
        <v/>
      </c>
      <c r="AQ267">
        <f>IF(Setup!$B$17="",0,IF(P267="",0,IF(ISNUMBER(P267),P267,1)))</f>
        <v/>
      </c>
      <c r="AR267">
        <f>IF(Setup!$B$18="",0,IF(Q267="",0,IF(ISNUMBER(Q267),Q267,1)))</f>
        <v/>
      </c>
      <c r="AS267">
        <f>IF(Setup!$B$19="",0,IF(R267="",0,IF(ISNUMBER(R267),R267,1)))</f>
        <v/>
      </c>
      <c r="AT267">
        <f>IF(Setup!$B$20="",0,IF(S267="",0,IF(ISNUMBER(S267),S267,1)))</f>
        <v/>
      </c>
    </row>
    <row r="268">
      <c r="A268" s="1" t="n"/>
      <c r="B268" s="24" t="n"/>
      <c r="C268" s="25" t="n"/>
      <c r="D268" s="25" t="n"/>
      <c r="E268" s="26" t="n"/>
      <c r="F268" s="27" t="n"/>
      <c r="G268" s="17" t="n"/>
      <c r="H268" s="28" t="n"/>
      <c r="I268" s="28" t="n"/>
      <c r="J268" s="28" t="n"/>
      <c r="K268" s="28" t="n"/>
      <c r="L268" s="28" t="n"/>
      <c r="M268" s="28" t="n"/>
      <c r="N268" s="28" t="n"/>
      <c r="O268" s="28" t="n"/>
      <c r="P268" s="28" t="n"/>
      <c r="Q268" s="28" t="n"/>
      <c r="R268" s="28" t="n"/>
      <c r="S268" s="28" t="n"/>
      <c r="T268" s="29">
        <f>IF(N(E268)=0,"",E268*IF(F268="",1,IFERROR(INDEX(Setup!$E$9:$E$18,MATCH(F268,Setup!$D$9:$D$18,0)),0)))</f>
        <v/>
      </c>
      <c r="U268" s="30">
        <f>IF(T268="","",IF(V268=0,"Everyone",IF(COUNTIF(AI268:AT268,"&gt;0")=COUNTIF(Setup!$B$9:$B$20,"?*"),"Everyone",COUNTIF(AI268:AT268,"&gt;0")&amp;IF(COUNTIF(AI268:AT268,"&gt;0")=1," person"," people"))))</f>
        <v/>
      </c>
      <c r="V268" s="1">
        <f>SUM(AI268:AT268)</f>
        <v/>
      </c>
      <c r="W268">
        <f>IF(OR(T268="",Setup!$B$9=""),0,IF(V268=0,T268/COUNTIF(Setup!$B$9:$B$20,"?*"),T268*AI268/V268))</f>
        <v/>
      </c>
      <c r="X268">
        <f>IF(OR(T268="",Setup!$B$10=""),0,IF(V268=0,T268/COUNTIF(Setup!$B$9:$B$20,"?*"),T268*AJ268/V268))</f>
        <v/>
      </c>
      <c r="Y268">
        <f>IF(OR(T268="",Setup!$B$11=""),0,IF(V268=0,T268/COUNTIF(Setup!$B$9:$B$20,"?*"),T268*AK268/V268))</f>
        <v/>
      </c>
      <c r="Z268">
        <f>IF(OR(T268="",Setup!$B$12=""),0,IF(V268=0,T268/COUNTIF(Setup!$B$9:$B$20,"?*"),T268*AL268/V268))</f>
        <v/>
      </c>
      <c r="AA268">
        <f>IF(OR(T268="",Setup!$B$13=""),0,IF(V268=0,T268/COUNTIF(Setup!$B$9:$B$20,"?*"),T268*AM268/V268))</f>
        <v/>
      </c>
      <c r="AB268">
        <f>IF(OR(T268="",Setup!$B$14=""),0,IF(V268=0,T268/COUNTIF(Setup!$B$9:$B$20,"?*"),T268*AN268/V268))</f>
        <v/>
      </c>
      <c r="AC268">
        <f>IF(OR(T268="",Setup!$B$15=""),0,IF(V268=0,T268/COUNTIF(Setup!$B$9:$B$20,"?*"),T268*AO268/V268))</f>
        <v/>
      </c>
      <c r="AD268">
        <f>IF(OR(T268="",Setup!$B$16=""),0,IF(V268=0,T268/COUNTIF(Setup!$B$9:$B$20,"?*"),T268*AP268/V268))</f>
        <v/>
      </c>
      <c r="AE268">
        <f>IF(OR(T268="",Setup!$B$17=""),0,IF(V268=0,T268/COUNTIF(Setup!$B$9:$B$20,"?*"),T268*AQ268/V268))</f>
        <v/>
      </c>
      <c r="AF268">
        <f>IF(OR(T268="",Setup!$B$18=""),0,IF(V268=0,T268/COUNTIF(Setup!$B$9:$B$20,"?*"),T268*AR268/V268))</f>
        <v/>
      </c>
      <c r="AG268">
        <f>IF(OR(T268="",Setup!$B$19=""),0,IF(V268=0,T268/COUNTIF(Setup!$B$9:$B$20,"?*"),T268*AS268/V268))</f>
        <v/>
      </c>
      <c r="AH268">
        <f>IF(OR(T268="",Setup!$B$20=""),0,IF(V268=0,T268/COUNTIF(Setup!$B$9:$B$20,"?*"),T268*AT268/V268))</f>
        <v/>
      </c>
      <c r="AI268">
        <f>IF(Setup!$B$9="",0,IF(H268="",0,IF(ISNUMBER(H268),H268,1)))</f>
        <v/>
      </c>
      <c r="AJ268">
        <f>IF(Setup!$B$10="",0,IF(I268="",0,IF(ISNUMBER(I268),I268,1)))</f>
        <v/>
      </c>
      <c r="AK268">
        <f>IF(Setup!$B$11="",0,IF(J268="",0,IF(ISNUMBER(J268),J268,1)))</f>
        <v/>
      </c>
      <c r="AL268">
        <f>IF(Setup!$B$12="",0,IF(K268="",0,IF(ISNUMBER(K268),K268,1)))</f>
        <v/>
      </c>
      <c r="AM268">
        <f>IF(Setup!$B$13="",0,IF(L268="",0,IF(ISNUMBER(L268),L268,1)))</f>
        <v/>
      </c>
      <c r="AN268">
        <f>IF(Setup!$B$14="",0,IF(M268="",0,IF(ISNUMBER(M268),M268,1)))</f>
        <v/>
      </c>
      <c r="AO268">
        <f>IF(Setup!$B$15="",0,IF(N268="",0,IF(ISNUMBER(N268),N268,1)))</f>
        <v/>
      </c>
      <c r="AP268">
        <f>IF(Setup!$B$16="",0,IF(O268="",0,IF(ISNUMBER(O268),O268,1)))</f>
        <v/>
      </c>
      <c r="AQ268">
        <f>IF(Setup!$B$17="",0,IF(P268="",0,IF(ISNUMBER(P268),P268,1)))</f>
        <v/>
      </c>
      <c r="AR268">
        <f>IF(Setup!$B$18="",0,IF(Q268="",0,IF(ISNUMBER(Q268),Q268,1)))</f>
        <v/>
      </c>
      <c r="AS268">
        <f>IF(Setup!$B$19="",0,IF(R268="",0,IF(ISNUMBER(R268),R268,1)))</f>
        <v/>
      </c>
      <c r="AT268">
        <f>IF(Setup!$B$20="",0,IF(S268="",0,IF(ISNUMBER(S268),S268,1)))</f>
        <v/>
      </c>
    </row>
    <row r="269">
      <c r="A269" s="1" t="n"/>
      <c r="B269" s="24" t="n"/>
      <c r="C269" s="25" t="n"/>
      <c r="D269" s="25" t="n"/>
      <c r="E269" s="26" t="n"/>
      <c r="F269" s="27" t="n"/>
      <c r="G269" s="17" t="n"/>
      <c r="H269" s="28" t="n"/>
      <c r="I269" s="28" t="n"/>
      <c r="J269" s="28" t="n"/>
      <c r="K269" s="28" t="n"/>
      <c r="L269" s="28" t="n"/>
      <c r="M269" s="28" t="n"/>
      <c r="N269" s="28" t="n"/>
      <c r="O269" s="28" t="n"/>
      <c r="P269" s="28" t="n"/>
      <c r="Q269" s="28" t="n"/>
      <c r="R269" s="28" t="n"/>
      <c r="S269" s="28" t="n"/>
      <c r="T269" s="29">
        <f>IF(N(E269)=0,"",E269*IF(F269="",1,IFERROR(INDEX(Setup!$E$9:$E$18,MATCH(F269,Setup!$D$9:$D$18,0)),0)))</f>
        <v/>
      </c>
      <c r="U269" s="30">
        <f>IF(T269="","",IF(V269=0,"Everyone",IF(COUNTIF(AI269:AT269,"&gt;0")=COUNTIF(Setup!$B$9:$B$20,"?*"),"Everyone",COUNTIF(AI269:AT269,"&gt;0")&amp;IF(COUNTIF(AI269:AT269,"&gt;0")=1," person"," people"))))</f>
        <v/>
      </c>
      <c r="V269" s="1">
        <f>SUM(AI269:AT269)</f>
        <v/>
      </c>
      <c r="W269">
        <f>IF(OR(T269="",Setup!$B$9=""),0,IF(V269=0,T269/COUNTIF(Setup!$B$9:$B$20,"?*"),T269*AI269/V269))</f>
        <v/>
      </c>
      <c r="X269">
        <f>IF(OR(T269="",Setup!$B$10=""),0,IF(V269=0,T269/COUNTIF(Setup!$B$9:$B$20,"?*"),T269*AJ269/V269))</f>
        <v/>
      </c>
      <c r="Y269">
        <f>IF(OR(T269="",Setup!$B$11=""),0,IF(V269=0,T269/COUNTIF(Setup!$B$9:$B$20,"?*"),T269*AK269/V269))</f>
        <v/>
      </c>
      <c r="Z269">
        <f>IF(OR(T269="",Setup!$B$12=""),0,IF(V269=0,T269/COUNTIF(Setup!$B$9:$B$20,"?*"),T269*AL269/V269))</f>
        <v/>
      </c>
      <c r="AA269">
        <f>IF(OR(T269="",Setup!$B$13=""),0,IF(V269=0,T269/COUNTIF(Setup!$B$9:$B$20,"?*"),T269*AM269/V269))</f>
        <v/>
      </c>
      <c r="AB269">
        <f>IF(OR(T269="",Setup!$B$14=""),0,IF(V269=0,T269/COUNTIF(Setup!$B$9:$B$20,"?*"),T269*AN269/V269))</f>
        <v/>
      </c>
      <c r="AC269">
        <f>IF(OR(T269="",Setup!$B$15=""),0,IF(V269=0,T269/COUNTIF(Setup!$B$9:$B$20,"?*"),T269*AO269/V269))</f>
        <v/>
      </c>
      <c r="AD269">
        <f>IF(OR(T269="",Setup!$B$16=""),0,IF(V269=0,T269/COUNTIF(Setup!$B$9:$B$20,"?*"),T269*AP269/V269))</f>
        <v/>
      </c>
      <c r="AE269">
        <f>IF(OR(T269="",Setup!$B$17=""),0,IF(V269=0,T269/COUNTIF(Setup!$B$9:$B$20,"?*"),T269*AQ269/V269))</f>
        <v/>
      </c>
      <c r="AF269">
        <f>IF(OR(T269="",Setup!$B$18=""),0,IF(V269=0,T269/COUNTIF(Setup!$B$9:$B$20,"?*"),T269*AR269/V269))</f>
        <v/>
      </c>
      <c r="AG269">
        <f>IF(OR(T269="",Setup!$B$19=""),0,IF(V269=0,T269/COUNTIF(Setup!$B$9:$B$20,"?*"),T269*AS269/V269))</f>
        <v/>
      </c>
      <c r="AH269">
        <f>IF(OR(T269="",Setup!$B$20=""),0,IF(V269=0,T269/COUNTIF(Setup!$B$9:$B$20,"?*"),T269*AT269/V269))</f>
        <v/>
      </c>
      <c r="AI269">
        <f>IF(Setup!$B$9="",0,IF(H269="",0,IF(ISNUMBER(H269),H269,1)))</f>
        <v/>
      </c>
      <c r="AJ269">
        <f>IF(Setup!$B$10="",0,IF(I269="",0,IF(ISNUMBER(I269),I269,1)))</f>
        <v/>
      </c>
      <c r="AK269">
        <f>IF(Setup!$B$11="",0,IF(J269="",0,IF(ISNUMBER(J269),J269,1)))</f>
        <v/>
      </c>
      <c r="AL269">
        <f>IF(Setup!$B$12="",0,IF(K269="",0,IF(ISNUMBER(K269),K269,1)))</f>
        <v/>
      </c>
      <c r="AM269">
        <f>IF(Setup!$B$13="",0,IF(L269="",0,IF(ISNUMBER(L269),L269,1)))</f>
        <v/>
      </c>
      <c r="AN269">
        <f>IF(Setup!$B$14="",0,IF(M269="",0,IF(ISNUMBER(M269),M269,1)))</f>
        <v/>
      </c>
      <c r="AO269">
        <f>IF(Setup!$B$15="",0,IF(N269="",0,IF(ISNUMBER(N269),N269,1)))</f>
        <v/>
      </c>
      <c r="AP269">
        <f>IF(Setup!$B$16="",0,IF(O269="",0,IF(ISNUMBER(O269),O269,1)))</f>
        <v/>
      </c>
      <c r="AQ269">
        <f>IF(Setup!$B$17="",0,IF(P269="",0,IF(ISNUMBER(P269),P269,1)))</f>
        <v/>
      </c>
      <c r="AR269">
        <f>IF(Setup!$B$18="",0,IF(Q269="",0,IF(ISNUMBER(Q269),Q269,1)))</f>
        <v/>
      </c>
      <c r="AS269">
        <f>IF(Setup!$B$19="",0,IF(R269="",0,IF(ISNUMBER(R269),R269,1)))</f>
        <v/>
      </c>
      <c r="AT269">
        <f>IF(Setup!$B$20="",0,IF(S269="",0,IF(ISNUMBER(S269),S269,1)))</f>
        <v/>
      </c>
    </row>
    <row r="270">
      <c r="A270" s="1" t="n"/>
      <c r="B270" s="24" t="n"/>
      <c r="C270" s="25" t="n"/>
      <c r="D270" s="25" t="n"/>
      <c r="E270" s="26" t="n"/>
      <c r="F270" s="27" t="n"/>
      <c r="G270" s="17" t="n"/>
      <c r="H270" s="28" t="n"/>
      <c r="I270" s="28" t="n"/>
      <c r="J270" s="28" t="n"/>
      <c r="K270" s="28" t="n"/>
      <c r="L270" s="28" t="n"/>
      <c r="M270" s="28" t="n"/>
      <c r="N270" s="28" t="n"/>
      <c r="O270" s="28" t="n"/>
      <c r="P270" s="28" t="n"/>
      <c r="Q270" s="28" t="n"/>
      <c r="R270" s="28" t="n"/>
      <c r="S270" s="28" t="n"/>
      <c r="T270" s="29">
        <f>IF(N(E270)=0,"",E270*IF(F270="",1,IFERROR(INDEX(Setup!$E$9:$E$18,MATCH(F270,Setup!$D$9:$D$18,0)),0)))</f>
        <v/>
      </c>
      <c r="U270" s="30">
        <f>IF(T270="","",IF(V270=0,"Everyone",IF(COUNTIF(AI270:AT270,"&gt;0")=COUNTIF(Setup!$B$9:$B$20,"?*"),"Everyone",COUNTIF(AI270:AT270,"&gt;0")&amp;IF(COUNTIF(AI270:AT270,"&gt;0")=1," person"," people"))))</f>
        <v/>
      </c>
      <c r="V270" s="1">
        <f>SUM(AI270:AT270)</f>
        <v/>
      </c>
      <c r="W270">
        <f>IF(OR(T270="",Setup!$B$9=""),0,IF(V270=0,T270/COUNTIF(Setup!$B$9:$B$20,"?*"),T270*AI270/V270))</f>
        <v/>
      </c>
      <c r="X270">
        <f>IF(OR(T270="",Setup!$B$10=""),0,IF(V270=0,T270/COUNTIF(Setup!$B$9:$B$20,"?*"),T270*AJ270/V270))</f>
        <v/>
      </c>
      <c r="Y270">
        <f>IF(OR(T270="",Setup!$B$11=""),0,IF(V270=0,T270/COUNTIF(Setup!$B$9:$B$20,"?*"),T270*AK270/V270))</f>
        <v/>
      </c>
      <c r="Z270">
        <f>IF(OR(T270="",Setup!$B$12=""),0,IF(V270=0,T270/COUNTIF(Setup!$B$9:$B$20,"?*"),T270*AL270/V270))</f>
        <v/>
      </c>
      <c r="AA270">
        <f>IF(OR(T270="",Setup!$B$13=""),0,IF(V270=0,T270/COUNTIF(Setup!$B$9:$B$20,"?*"),T270*AM270/V270))</f>
        <v/>
      </c>
      <c r="AB270">
        <f>IF(OR(T270="",Setup!$B$14=""),0,IF(V270=0,T270/COUNTIF(Setup!$B$9:$B$20,"?*"),T270*AN270/V270))</f>
        <v/>
      </c>
      <c r="AC270">
        <f>IF(OR(T270="",Setup!$B$15=""),0,IF(V270=0,T270/COUNTIF(Setup!$B$9:$B$20,"?*"),T270*AO270/V270))</f>
        <v/>
      </c>
      <c r="AD270">
        <f>IF(OR(T270="",Setup!$B$16=""),0,IF(V270=0,T270/COUNTIF(Setup!$B$9:$B$20,"?*"),T270*AP270/V270))</f>
        <v/>
      </c>
      <c r="AE270">
        <f>IF(OR(T270="",Setup!$B$17=""),0,IF(V270=0,T270/COUNTIF(Setup!$B$9:$B$20,"?*"),T270*AQ270/V270))</f>
        <v/>
      </c>
      <c r="AF270">
        <f>IF(OR(T270="",Setup!$B$18=""),0,IF(V270=0,T270/COUNTIF(Setup!$B$9:$B$20,"?*"),T270*AR270/V270))</f>
        <v/>
      </c>
      <c r="AG270">
        <f>IF(OR(T270="",Setup!$B$19=""),0,IF(V270=0,T270/COUNTIF(Setup!$B$9:$B$20,"?*"),T270*AS270/V270))</f>
        <v/>
      </c>
      <c r="AH270">
        <f>IF(OR(T270="",Setup!$B$20=""),0,IF(V270=0,T270/COUNTIF(Setup!$B$9:$B$20,"?*"),T270*AT270/V270))</f>
        <v/>
      </c>
      <c r="AI270">
        <f>IF(Setup!$B$9="",0,IF(H270="",0,IF(ISNUMBER(H270),H270,1)))</f>
        <v/>
      </c>
      <c r="AJ270">
        <f>IF(Setup!$B$10="",0,IF(I270="",0,IF(ISNUMBER(I270),I270,1)))</f>
        <v/>
      </c>
      <c r="AK270">
        <f>IF(Setup!$B$11="",0,IF(J270="",0,IF(ISNUMBER(J270),J270,1)))</f>
        <v/>
      </c>
      <c r="AL270">
        <f>IF(Setup!$B$12="",0,IF(K270="",0,IF(ISNUMBER(K270),K270,1)))</f>
        <v/>
      </c>
      <c r="AM270">
        <f>IF(Setup!$B$13="",0,IF(L270="",0,IF(ISNUMBER(L270),L270,1)))</f>
        <v/>
      </c>
      <c r="AN270">
        <f>IF(Setup!$B$14="",0,IF(M270="",0,IF(ISNUMBER(M270),M270,1)))</f>
        <v/>
      </c>
      <c r="AO270">
        <f>IF(Setup!$B$15="",0,IF(N270="",0,IF(ISNUMBER(N270),N270,1)))</f>
        <v/>
      </c>
      <c r="AP270">
        <f>IF(Setup!$B$16="",0,IF(O270="",0,IF(ISNUMBER(O270),O270,1)))</f>
        <v/>
      </c>
      <c r="AQ270">
        <f>IF(Setup!$B$17="",0,IF(P270="",0,IF(ISNUMBER(P270),P270,1)))</f>
        <v/>
      </c>
      <c r="AR270">
        <f>IF(Setup!$B$18="",0,IF(Q270="",0,IF(ISNUMBER(Q270),Q270,1)))</f>
        <v/>
      </c>
      <c r="AS270">
        <f>IF(Setup!$B$19="",0,IF(R270="",0,IF(ISNUMBER(R270),R270,1)))</f>
        <v/>
      </c>
      <c r="AT270">
        <f>IF(Setup!$B$20="",0,IF(S270="",0,IF(ISNUMBER(S270),S270,1)))</f>
        <v/>
      </c>
    </row>
    <row r="271">
      <c r="A271" s="1" t="n"/>
      <c r="B271" s="24" t="n"/>
      <c r="C271" s="25" t="n"/>
      <c r="D271" s="25" t="n"/>
      <c r="E271" s="26" t="n"/>
      <c r="F271" s="27" t="n"/>
      <c r="G271" s="17" t="n"/>
      <c r="H271" s="28" t="n"/>
      <c r="I271" s="28" t="n"/>
      <c r="J271" s="28" t="n"/>
      <c r="K271" s="28" t="n"/>
      <c r="L271" s="28" t="n"/>
      <c r="M271" s="28" t="n"/>
      <c r="N271" s="28" t="n"/>
      <c r="O271" s="28" t="n"/>
      <c r="P271" s="28" t="n"/>
      <c r="Q271" s="28" t="n"/>
      <c r="R271" s="28" t="n"/>
      <c r="S271" s="28" t="n"/>
      <c r="T271" s="29">
        <f>IF(N(E271)=0,"",E271*IF(F271="",1,IFERROR(INDEX(Setup!$E$9:$E$18,MATCH(F271,Setup!$D$9:$D$18,0)),0)))</f>
        <v/>
      </c>
      <c r="U271" s="30">
        <f>IF(T271="","",IF(V271=0,"Everyone",IF(COUNTIF(AI271:AT271,"&gt;0")=COUNTIF(Setup!$B$9:$B$20,"?*"),"Everyone",COUNTIF(AI271:AT271,"&gt;0")&amp;IF(COUNTIF(AI271:AT271,"&gt;0")=1," person"," people"))))</f>
        <v/>
      </c>
      <c r="V271" s="1">
        <f>SUM(AI271:AT271)</f>
        <v/>
      </c>
      <c r="W271">
        <f>IF(OR(T271="",Setup!$B$9=""),0,IF(V271=0,T271/COUNTIF(Setup!$B$9:$B$20,"?*"),T271*AI271/V271))</f>
        <v/>
      </c>
      <c r="X271">
        <f>IF(OR(T271="",Setup!$B$10=""),0,IF(V271=0,T271/COUNTIF(Setup!$B$9:$B$20,"?*"),T271*AJ271/V271))</f>
        <v/>
      </c>
      <c r="Y271">
        <f>IF(OR(T271="",Setup!$B$11=""),0,IF(V271=0,T271/COUNTIF(Setup!$B$9:$B$20,"?*"),T271*AK271/V271))</f>
        <v/>
      </c>
      <c r="Z271">
        <f>IF(OR(T271="",Setup!$B$12=""),0,IF(V271=0,T271/COUNTIF(Setup!$B$9:$B$20,"?*"),T271*AL271/V271))</f>
        <v/>
      </c>
      <c r="AA271">
        <f>IF(OR(T271="",Setup!$B$13=""),0,IF(V271=0,T271/COUNTIF(Setup!$B$9:$B$20,"?*"),T271*AM271/V271))</f>
        <v/>
      </c>
      <c r="AB271">
        <f>IF(OR(T271="",Setup!$B$14=""),0,IF(V271=0,T271/COUNTIF(Setup!$B$9:$B$20,"?*"),T271*AN271/V271))</f>
        <v/>
      </c>
      <c r="AC271">
        <f>IF(OR(T271="",Setup!$B$15=""),0,IF(V271=0,T271/COUNTIF(Setup!$B$9:$B$20,"?*"),T271*AO271/V271))</f>
        <v/>
      </c>
      <c r="AD271">
        <f>IF(OR(T271="",Setup!$B$16=""),0,IF(V271=0,T271/COUNTIF(Setup!$B$9:$B$20,"?*"),T271*AP271/V271))</f>
        <v/>
      </c>
      <c r="AE271">
        <f>IF(OR(T271="",Setup!$B$17=""),0,IF(V271=0,T271/COUNTIF(Setup!$B$9:$B$20,"?*"),T271*AQ271/V271))</f>
        <v/>
      </c>
      <c r="AF271">
        <f>IF(OR(T271="",Setup!$B$18=""),0,IF(V271=0,T271/COUNTIF(Setup!$B$9:$B$20,"?*"),T271*AR271/V271))</f>
        <v/>
      </c>
      <c r="AG271">
        <f>IF(OR(T271="",Setup!$B$19=""),0,IF(V271=0,T271/COUNTIF(Setup!$B$9:$B$20,"?*"),T271*AS271/V271))</f>
        <v/>
      </c>
      <c r="AH271">
        <f>IF(OR(T271="",Setup!$B$20=""),0,IF(V271=0,T271/COUNTIF(Setup!$B$9:$B$20,"?*"),T271*AT271/V271))</f>
        <v/>
      </c>
      <c r="AI271">
        <f>IF(Setup!$B$9="",0,IF(H271="",0,IF(ISNUMBER(H271),H271,1)))</f>
        <v/>
      </c>
      <c r="AJ271">
        <f>IF(Setup!$B$10="",0,IF(I271="",0,IF(ISNUMBER(I271),I271,1)))</f>
        <v/>
      </c>
      <c r="AK271">
        <f>IF(Setup!$B$11="",0,IF(J271="",0,IF(ISNUMBER(J271),J271,1)))</f>
        <v/>
      </c>
      <c r="AL271">
        <f>IF(Setup!$B$12="",0,IF(K271="",0,IF(ISNUMBER(K271),K271,1)))</f>
        <v/>
      </c>
      <c r="AM271">
        <f>IF(Setup!$B$13="",0,IF(L271="",0,IF(ISNUMBER(L271),L271,1)))</f>
        <v/>
      </c>
      <c r="AN271">
        <f>IF(Setup!$B$14="",0,IF(M271="",0,IF(ISNUMBER(M271),M271,1)))</f>
        <v/>
      </c>
      <c r="AO271">
        <f>IF(Setup!$B$15="",0,IF(N271="",0,IF(ISNUMBER(N271),N271,1)))</f>
        <v/>
      </c>
      <c r="AP271">
        <f>IF(Setup!$B$16="",0,IF(O271="",0,IF(ISNUMBER(O271),O271,1)))</f>
        <v/>
      </c>
      <c r="AQ271">
        <f>IF(Setup!$B$17="",0,IF(P271="",0,IF(ISNUMBER(P271),P271,1)))</f>
        <v/>
      </c>
      <c r="AR271">
        <f>IF(Setup!$B$18="",0,IF(Q271="",0,IF(ISNUMBER(Q271),Q271,1)))</f>
        <v/>
      </c>
      <c r="AS271">
        <f>IF(Setup!$B$19="",0,IF(R271="",0,IF(ISNUMBER(R271),R271,1)))</f>
        <v/>
      </c>
      <c r="AT271">
        <f>IF(Setup!$B$20="",0,IF(S271="",0,IF(ISNUMBER(S271),S271,1)))</f>
        <v/>
      </c>
    </row>
    <row r="272">
      <c r="A272" s="1" t="n"/>
      <c r="B272" s="24" t="n"/>
      <c r="C272" s="25" t="n"/>
      <c r="D272" s="25" t="n"/>
      <c r="E272" s="26" t="n"/>
      <c r="F272" s="27" t="n"/>
      <c r="G272" s="17" t="n"/>
      <c r="H272" s="28" t="n"/>
      <c r="I272" s="28" t="n"/>
      <c r="J272" s="28" t="n"/>
      <c r="K272" s="28" t="n"/>
      <c r="L272" s="28" t="n"/>
      <c r="M272" s="28" t="n"/>
      <c r="N272" s="28" t="n"/>
      <c r="O272" s="28" t="n"/>
      <c r="P272" s="28" t="n"/>
      <c r="Q272" s="28" t="n"/>
      <c r="R272" s="28" t="n"/>
      <c r="S272" s="28" t="n"/>
      <c r="T272" s="29">
        <f>IF(N(E272)=0,"",E272*IF(F272="",1,IFERROR(INDEX(Setup!$E$9:$E$18,MATCH(F272,Setup!$D$9:$D$18,0)),0)))</f>
        <v/>
      </c>
      <c r="U272" s="30">
        <f>IF(T272="","",IF(V272=0,"Everyone",IF(COUNTIF(AI272:AT272,"&gt;0")=COUNTIF(Setup!$B$9:$B$20,"?*"),"Everyone",COUNTIF(AI272:AT272,"&gt;0")&amp;IF(COUNTIF(AI272:AT272,"&gt;0")=1," person"," people"))))</f>
        <v/>
      </c>
      <c r="V272" s="1">
        <f>SUM(AI272:AT272)</f>
        <v/>
      </c>
      <c r="W272">
        <f>IF(OR(T272="",Setup!$B$9=""),0,IF(V272=0,T272/COUNTIF(Setup!$B$9:$B$20,"?*"),T272*AI272/V272))</f>
        <v/>
      </c>
      <c r="X272">
        <f>IF(OR(T272="",Setup!$B$10=""),0,IF(V272=0,T272/COUNTIF(Setup!$B$9:$B$20,"?*"),T272*AJ272/V272))</f>
        <v/>
      </c>
      <c r="Y272">
        <f>IF(OR(T272="",Setup!$B$11=""),0,IF(V272=0,T272/COUNTIF(Setup!$B$9:$B$20,"?*"),T272*AK272/V272))</f>
        <v/>
      </c>
      <c r="Z272">
        <f>IF(OR(T272="",Setup!$B$12=""),0,IF(V272=0,T272/COUNTIF(Setup!$B$9:$B$20,"?*"),T272*AL272/V272))</f>
        <v/>
      </c>
      <c r="AA272">
        <f>IF(OR(T272="",Setup!$B$13=""),0,IF(V272=0,T272/COUNTIF(Setup!$B$9:$B$20,"?*"),T272*AM272/V272))</f>
        <v/>
      </c>
      <c r="AB272">
        <f>IF(OR(T272="",Setup!$B$14=""),0,IF(V272=0,T272/COUNTIF(Setup!$B$9:$B$20,"?*"),T272*AN272/V272))</f>
        <v/>
      </c>
      <c r="AC272">
        <f>IF(OR(T272="",Setup!$B$15=""),0,IF(V272=0,T272/COUNTIF(Setup!$B$9:$B$20,"?*"),T272*AO272/V272))</f>
        <v/>
      </c>
      <c r="AD272">
        <f>IF(OR(T272="",Setup!$B$16=""),0,IF(V272=0,T272/COUNTIF(Setup!$B$9:$B$20,"?*"),T272*AP272/V272))</f>
        <v/>
      </c>
      <c r="AE272">
        <f>IF(OR(T272="",Setup!$B$17=""),0,IF(V272=0,T272/COUNTIF(Setup!$B$9:$B$20,"?*"),T272*AQ272/V272))</f>
        <v/>
      </c>
      <c r="AF272">
        <f>IF(OR(T272="",Setup!$B$18=""),0,IF(V272=0,T272/COUNTIF(Setup!$B$9:$B$20,"?*"),T272*AR272/V272))</f>
        <v/>
      </c>
      <c r="AG272">
        <f>IF(OR(T272="",Setup!$B$19=""),0,IF(V272=0,T272/COUNTIF(Setup!$B$9:$B$20,"?*"),T272*AS272/V272))</f>
        <v/>
      </c>
      <c r="AH272">
        <f>IF(OR(T272="",Setup!$B$20=""),0,IF(V272=0,T272/COUNTIF(Setup!$B$9:$B$20,"?*"),T272*AT272/V272))</f>
        <v/>
      </c>
      <c r="AI272">
        <f>IF(Setup!$B$9="",0,IF(H272="",0,IF(ISNUMBER(H272),H272,1)))</f>
        <v/>
      </c>
      <c r="AJ272">
        <f>IF(Setup!$B$10="",0,IF(I272="",0,IF(ISNUMBER(I272),I272,1)))</f>
        <v/>
      </c>
      <c r="AK272">
        <f>IF(Setup!$B$11="",0,IF(J272="",0,IF(ISNUMBER(J272),J272,1)))</f>
        <v/>
      </c>
      <c r="AL272">
        <f>IF(Setup!$B$12="",0,IF(K272="",0,IF(ISNUMBER(K272),K272,1)))</f>
        <v/>
      </c>
      <c r="AM272">
        <f>IF(Setup!$B$13="",0,IF(L272="",0,IF(ISNUMBER(L272),L272,1)))</f>
        <v/>
      </c>
      <c r="AN272">
        <f>IF(Setup!$B$14="",0,IF(M272="",0,IF(ISNUMBER(M272),M272,1)))</f>
        <v/>
      </c>
      <c r="AO272">
        <f>IF(Setup!$B$15="",0,IF(N272="",0,IF(ISNUMBER(N272),N272,1)))</f>
        <v/>
      </c>
      <c r="AP272">
        <f>IF(Setup!$B$16="",0,IF(O272="",0,IF(ISNUMBER(O272),O272,1)))</f>
        <v/>
      </c>
      <c r="AQ272">
        <f>IF(Setup!$B$17="",0,IF(P272="",0,IF(ISNUMBER(P272),P272,1)))</f>
        <v/>
      </c>
      <c r="AR272">
        <f>IF(Setup!$B$18="",0,IF(Q272="",0,IF(ISNUMBER(Q272),Q272,1)))</f>
        <v/>
      </c>
      <c r="AS272">
        <f>IF(Setup!$B$19="",0,IF(R272="",0,IF(ISNUMBER(R272),R272,1)))</f>
        <v/>
      </c>
      <c r="AT272">
        <f>IF(Setup!$B$20="",0,IF(S272="",0,IF(ISNUMBER(S272),S272,1)))</f>
        <v/>
      </c>
    </row>
    <row r="273">
      <c r="A273" s="1" t="n"/>
      <c r="B273" s="24" t="n"/>
      <c r="C273" s="25" t="n"/>
      <c r="D273" s="25" t="n"/>
      <c r="E273" s="26" t="n"/>
      <c r="F273" s="27" t="n"/>
      <c r="G273" s="17" t="n"/>
      <c r="H273" s="28" t="n"/>
      <c r="I273" s="28" t="n"/>
      <c r="J273" s="28" t="n"/>
      <c r="K273" s="28" t="n"/>
      <c r="L273" s="28" t="n"/>
      <c r="M273" s="28" t="n"/>
      <c r="N273" s="28" t="n"/>
      <c r="O273" s="28" t="n"/>
      <c r="P273" s="28" t="n"/>
      <c r="Q273" s="28" t="n"/>
      <c r="R273" s="28" t="n"/>
      <c r="S273" s="28" t="n"/>
      <c r="T273" s="29">
        <f>IF(N(E273)=0,"",E273*IF(F273="",1,IFERROR(INDEX(Setup!$E$9:$E$18,MATCH(F273,Setup!$D$9:$D$18,0)),0)))</f>
        <v/>
      </c>
      <c r="U273" s="30">
        <f>IF(T273="","",IF(V273=0,"Everyone",IF(COUNTIF(AI273:AT273,"&gt;0")=COUNTIF(Setup!$B$9:$B$20,"?*"),"Everyone",COUNTIF(AI273:AT273,"&gt;0")&amp;IF(COUNTIF(AI273:AT273,"&gt;0")=1," person"," people"))))</f>
        <v/>
      </c>
      <c r="V273" s="1">
        <f>SUM(AI273:AT273)</f>
        <v/>
      </c>
      <c r="W273">
        <f>IF(OR(T273="",Setup!$B$9=""),0,IF(V273=0,T273/COUNTIF(Setup!$B$9:$B$20,"?*"),T273*AI273/V273))</f>
        <v/>
      </c>
      <c r="X273">
        <f>IF(OR(T273="",Setup!$B$10=""),0,IF(V273=0,T273/COUNTIF(Setup!$B$9:$B$20,"?*"),T273*AJ273/V273))</f>
        <v/>
      </c>
      <c r="Y273">
        <f>IF(OR(T273="",Setup!$B$11=""),0,IF(V273=0,T273/COUNTIF(Setup!$B$9:$B$20,"?*"),T273*AK273/V273))</f>
        <v/>
      </c>
      <c r="Z273">
        <f>IF(OR(T273="",Setup!$B$12=""),0,IF(V273=0,T273/COUNTIF(Setup!$B$9:$B$20,"?*"),T273*AL273/V273))</f>
        <v/>
      </c>
      <c r="AA273">
        <f>IF(OR(T273="",Setup!$B$13=""),0,IF(V273=0,T273/COUNTIF(Setup!$B$9:$B$20,"?*"),T273*AM273/V273))</f>
        <v/>
      </c>
      <c r="AB273">
        <f>IF(OR(T273="",Setup!$B$14=""),0,IF(V273=0,T273/COUNTIF(Setup!$B$9:$B$20,"?*"),T273*AN273/V273))</f>
        <v/>
      </c>
      <c r="AC273">
        <f>IF(OR(T273="",Setup!$B$15=""),0,IF(V273=0,T273/COUNTIF(Setup!$B$9:$B$20,"?*"),T273*AO273/V273))</f>
        <v/>
      </c>
      <c r="AD273">
        <f>IF(OR(T273="",Setup!$B$16=""),0,IF(V273=0,T273/COUNTIF(Setup!$B$9:$B$20,"?*"),T273*AP273/V273))</f>
        <v/>
      </c>
      <c r="AE273">
        <f>IF(OR(T273="",Setup!$B$17=""),0,IF(V273=0,T273/COUNTIF(Setup!$B$9:$B$20,"?*"),T273*AQ273/V273))</f>
        <v/>
      </c>
      <c r="AF273">
        <f>IF(OR(T273="",Setup!$B$18=""),0,IF(V273=0,T273/COUNTIF(Setup!$B$9:$B$20,"?*"),T273*AR273/V273))</f>
        <v/>
      </c>
      <c r="AG273">
        <f>IF(OR(T273="",Setup!$B$19=""),0,IF(V273=0,T273/COUNTIF(Setup!$B$9:$B$20,"?*"),T273*AS273/V273))</f>
        <v/>
      </c>
      <c r="AH273">
        <f>IF(OR(T273="",Setup!$B$20=""),0,IF(V273=0,T273/COUNTIF(Setup!$B$9:$B$20,"?*"),T273*AT273/V273))</f>
        <v/>
      </c>
      <c r="AI273">
        <f>IF(Setup!$B$9="",0,IF(H273="",0,IF(ISNUMBER(H273),H273,1)))</f>
        <v/>
      </c>
      <c r="AJ273">
        <f>IF(Setup!$B$10="",0,IF(I273="",0,IF(ISNUMBER(I273),I273,1)))</f>
        <v/>
      </c>
      <c r="AK273">
        <f>IF(Setup!$B$11="",0,IF(J273="",0,IF(ISNUMBER(J273),J273,1)))</f>
        <v/>
      </c>
      <c r="AL273">
        <f>IF(Setup!$B$12="",0,IF(K273="",0,IF(ISNUMBER(K273),K273,1)))</f>
        <v/>
      </c>
      <c r="AM273">
        <f>IF(Setup!$B$13="",0,IF(L273="",0,IF(ISNUMBER(L273),L273,1)))</f>
        <v/>
      </c>
      <c r="AN273">
        <f>IF(Setup!$B$14="",0,IF(M273="",0,IF(ISNUMBER(M273),M273,1)))</f>
        <v/>
      </c>
      <c r="AO273">
        <f>IF(Setup!$B$15="",0,IF(N273="",0,IF(ISNUMBER(N273),N273,1)))</f>
        <v/>
      </c>
      <c r="AP273">
        <f>IF(Setup!$B$16="",0,IF(O273="",0,IF(ISNUMBER(O273),O273,1)))</f>
        <v/>
      </c>
      <c r="AQ273">
        <f>IF(Setup!$B$17="",0,IF(P273="",0,IF(ISNUMBER(P273),P273,1)))</f>
        <v/>
      </c>
      <c r="AR273">
        <f>IF(Setup!$B$18="",0,IF(Q273="",0,IF(ISNUMBER(Q273),Q273,1)))</f>
        <v/>
      </c>
      <c r="AS273">
        <f>IF(Setup!$B$19="",0,IF(R273="",0,IF(ISNUMBER(R273),R273,1)))</f>
        <v/>
      </c>
      <c r="AT273">
        <f>IF(Setup!$B$20="",0,IF(S273="",0,IF(ISNUMBER(S273),S273,1)))</f>
        <v/>
      </c>
    </row>
    <row r="274">
      <c r="A274" s="1" t="n"/>
      <c r="B274" s="24" t="n"/>
      <c r="C274" s="25" t="n"/>
      <c r="D274" s="25" t="n"/>
      <c r="E274" s="26" t="n"/>
      <c r="F274" s="27" t="n"/>
      <c r="G274" s="17" t="n"/>
      <c r="H274" s="28" t="n"/>
      <c r="I274" s="28" t="n"/>
      <c r="J274" s="28" t="n"/>
      <c r="K274" s="28" t="n"/>
      <c r="L274" s="28" t="n"/>
      <c r="M274" s="28" t="n"/>
      <c r="N274" s="28" t="n"/>
      <c r="O274" s="28" t="n"/>
      <c r="P274" s="28" t="n"/>
      <c r="Q274" s="28" t="n"/>
      <c r="R274" s="28" t="n"/>
      <c r="S274" s="28" t="n"/>
      <c r="T274" s="29">
        <f>IF(N(E274)=0,"",E274*IF(F274="",1,IFERROR(INDEX(Setup!$E$9:$E$18,MATCH(F274,Setup!$D$9:$D$18,0)),0)))</f>
        <v/>
      </c>
      <c r="U274" s="30">
        <f>IF(T274="","",IF(V274=0,"Everyone",IF(COUNTIF(AI274:AT274,"&gt;0")=COUNTIF(Setup!$B$9:$B$20,"?*"),"Everyone",COUNTIF(AI274:AT274,"&gt;0")&amp;IF(COUNTIF(AI274:AT274,"&gt;0")=1," person"," people"))))</f>
        <v/>
      </c>
      <c r="V274" s="1">
        <f>SUM(AI274:AT274)</f>
        <v/>
      </c>
      <c r="W274">
        <f>IF(OR(T274="",Setup!$B$9=""),0,IF(V274=0,T274/COUNTIF(Setup!$B$9:$B$20,"?*"),T274*AI274/V274))</f>
        <v/>
      </c>
      <c r="X274">
        <f>IF(OR(T274="",Setup!$B$10=""),0,IF(V274=0,T274/COUNTIF(Setup!$B$9:$B$20,"?*"),T274*AJ274/V274))</f>
        <v/>
      </c>
      <c r="Y274">
        <f>IF(OR(T274="",Setup!$B$11=""),0,IF(V274=0,T274/COUNTIF(Setup!$B$9:$B$20,"?*"),T274*AK274/V274))</f>
        <v/>
      </c>
      <c r="Z274">
        <f>IF(OR(T274="",Setup!$B$12=""),0,IF(V274=0,T274/COUNTIF(Setup!$B$9:$B$20,"?*"),T274*AL274/V274))</f>
        <v/>
      </c>
      <c r="AA274">
        <f>IF(OR(T274="",Setup!$B$13=""),0,IF(V274=0,T274/COUNTIF(Setup!$B$9:$B$20,"?*"),T274*AM274/V274))</f>
        <v/>
      </c>
      <c r="AB274">
        <f>IF(OR(T274="",Setup!$B$14=""),0,IF(V274=0,T274/COUNTIF(Setup!$B$9:$B$20,"?*"),T274*AN274/V274))</f>
        <v/>
      </c>
      <c r="AC274">
        <f>IF(OR(T274="",Setup!$B$15=""),0,IF(V274=0,T274/COUNTIF(Setup!$B$9:$B$20,"?*"),T274*AO274/V274))</f>
        <v/>
      </c>
      <c r="AD274">
        <f>IF(OR(T274="",Setup!$B$16=""),0,IF(V274=0,T274/COUNTIF(Setup!$B$9:$B$20,"?*"),T274*AP274/V274))</f>
        <v/>
      </c>
      <c r="AE274">
        <f>IF(OR(T274="",Setup!$B$17=""),0,IF(V274=0,T274/COUNTIF(Setup!$B$9:$B$20,"?*"),T274*AQ274/V274))</f>
        <v/>
      </c>
      <c r="AF274">
        <f>IF(OR(T274="",Setup!$B$18=""),0,IF(V274=0,T274/COUNTIF(Setup!$B$9:$B$20,"?*"),T274*AR274/V274))</f>
        <v/>
      </c>
      <c r="AG274">
        <f>IF(OR(T274="",Setup!$B$19=""),0,IF(V274=0,T274/COUNTIF(Setup!$B$9:$B$20,"?*"),T274*AS274/V274))</f>
        <v/>
      </c>
      <c r="AH274">
        <f>IF(OR(T274="",Setup!$B$20=""),0,IF(V274=0,T274/COUNTIF(Setup!$B$9:$B$20,"?*"),T274*AT274/V274))</f>
        <v/>
      </c>
      <c r="AI274">
        <f>IF(Setup!$B$9="",0,IF(H274="",0,IF(ISNUMBER(H274),H274,1)))</f>
        <v/>
      </c>
      <c r="AJ274">
        <f>IF(Setup!$B$10="",0,IF(I274="",0,IF(ISNUMBER(I274),I274,1)))</f>
        <v/>
      </c>
      <c r="AK274">
        <f>IF(Setup!$B$11="",0,IF(J274="",0,IF(ISNUMBER(J274),J274,1)))</f>
        <v/>
      </c>
      <c r="AL274">
        <f>IF(Setup!$B$12="",0,IF(K274="",0,IF(ISNUMBER(K274),K274,1)))</f>
        <v/>
      </c>
      <c r="AM274">
        <f>IF(Setup!$B$13="",0,IF(L274="",0,IF(ISNUMBER(L274),L274,1)))</f>
        <v/>
      </c>
      <c r="AN274">
        <f>IF(Setup!$B$14="",0,IF(M274="",0,IF(ISNUMBER(M274),M274,1)))</f>
        <v/>
      </c>
      <c r="AO274">
        <f>IF(Setup!$B$15="",0,IF(N274="",0,IF(ISNUMBER(N274),N274,1)))</f>
        <v/>
      </c>
      <c r="AP274">
        <f>IF(Setup!$B$16="",0,IF(O274="",0,IF(ISNUMBER(O274),O274,1)))</f>
        <v/>
      </c>
      <c r="AQ274">
        <f>IF(Setup!$B$17="",0,IF(P274="",0,IF(ISNUMBER(P274),P274,1)))</f>
        <v/>
      </c>
      <c r="AR274">
        <f>IF(Setup!$B$18="",0,IF(Q274="",0,IF(ISNUMBER(Q274),Q274,1)))</f>
        <v/>
      </c>
      <c r="AS274">
        <f>IF(Setup!$B$19="",0,IF(R274="",0,IF(ISNUMBER(R274),R274,1)))</f>
        <v/>
      </c>
      <c r="AT274">
        <f>IF(Setup!$B$20="",0,IF(S274="",0,IF(ISNUMBER(S274),S274,1)))</f>
        <v/>
      </c>
    </row>
    <row r="275">
      <c r="A275" s="1" t="n"/>
      <c r="B275" s="24" t="n"/>
      <c r="C275" s="25" t="n"/>
      <c r="D275" s="25" t="n"/>
      <c r="E275" s="26" t="n"/>
      <c r="F275" s="27" t="n"/>
      <c r="G275" s="17" t="n"/>
      <c r="H275" s="28" t="n"/>
      <c r="I275" s="28" t="n"/>
      <c r="J275" s="28" t="n"/>
      <c r="K275" s="28" t="n"/>
      <c r="L275" s="28" t="n"/>
      <c r="M275" s="28" t="n"/>
      <c r="N275" s="28" t="n"/>
      <c r="O275" s="28" t="n"/>
      <c r="P275" s="28" t="n"/>
      <c r="Q275" s="28" t="n"/>
      <c r="R275" s="28" t="n"/>
      <c r="S275" s="28" t="n"/>
      <c r="T275" s="29">
        <f>IF(N(E275)=0,"",E275*IF(F275="",1,IFERROR(INDEX(Setup!$E$9:$E$18,MATCH(F275,Setup!$D$9:$D$18,0)),0)))</f>
        <v/>
      </c>
      <c r="U275" s="30">
        <f>IF(T275="","",IF(V275=0,"Everyone",IF(COUNTIF(AI275:AT275,"&gt;0")=COUNTIF(Setup!$B$9:$B$20,"?*"),"Everyone",COUNTIF(AI275:AT275,"&gt;0")&amp;IF(COUNTIF(AI275:AT275,"&gt;0")=1," person"," people"))))</f>
        <v/>
      </c>
      <c r="V275" s="1">
        <f>SUM(AI275:AT275)</f>
        <v/>
      </c>
      <c r="W275">
        <f>IF(OR(T275="",Setup!$B$9=""),0,IF(V275=0,T275/COUNTIF(Setup!$B$9:$B$20,"?*"),T275*AI275/V275))</f>
        <v/>
      </c>
      <c r="X275">
        <f>IF(OR(T275="",Setup!$B$10=""),0,IF(V275=0,T275/COUNTIF(Setup!$B$9:$B$20,"?*"),T275*AJ275/V275))</f>
        <v/>
      </c>
      <c r="Y275">
        <f>IF(OR(T275="",Setup!$B$11=""),0,IF(V275=0,T275/COUNTIF(Setup!$B$9:$B$20,"?*"),T275*AK275/V275))</f>
        <v/>
      </c>
      <c r="Z275">
        <f>IF(OR(T275="",Setup!$B$12=""),0,IF(V275=0,T275/COUNTIF(Setup!$B$9:$B$20,"?*"),T275*AL275/V275))</f>
        <v/>
      </c>
      <c r="AA275">
        <f>IF(OR(T275="",Setup!$B$13=""),0,IF(V275=0,T275/COUNTIF(Setup!$B$9:$B$20,"?*"),T275*AM275/V275))</f>
        <v/>
      </c>
      <c r="AB275">
        <f>IF(OR(T275="",Setup!$B$14=""),0,IF(V275=0,T275/COUNTIF(Setup!$B$9:$B$20,"?*"),T275*AN275/V275))</f>
        <v/>
      </c>
      <c r="AC275">
        <f>IF(OR(T275="",Setup!$B$15=""),0,IF(V275=0,T275/COUNTIF(Setup!$B$9:$B$20,"?*"),T275*AO275/V275))</f>
        <v/>
      </c>
      <c r="AD275">
        <f>IF(OR(T275="",Setup!$B$16=""),0,IF(V275=0,T275/COUNTIF(Setup!$B$9:$B$20,"?*"),T275*AP275/V275))</f>
        <v/>
      </c>
      <c r="AE275">
        <f>IF(OR(T275="",Setup!$B$17=""),0,IF(V275=0,T275/COUNTIF(Setup!$B$9:$B$20,"?*"),T275*AQ275/V275))</f>
        <v/>
      </c>
      <c r="AF275">
        <f>IF(OR(T275="",Setup!$B$18=""),0,IF(V275=0,T275/COUNTIF(Setup!$B$9:$B$20,"?*"),T275*AR275/V275))</f>
        <v/>
      </c>
      <c r="AG275">
        <f>IF(OR(T275="",Setup!$B$19=""),0,IF(V275=0,T275/COUNTIF(Setup!$B$9:$B$20,"?*"),T275*AS275/V275))</f>
        <v/>
      </c>
      <c r="AH275">
        <f>IF(OR(T275="",Setup!$B$20=""),0,IF(V275=0,T275/COUNTIF(Setup!$B$9:$B$20,"?*"),T275*AT275/V275))</f>
        <v/>
      </c>
      <c r="AI275">
        <f>IF(Setup!$B$9="",0,IF(H275="",0,IF(ISNUMBER(H275),H275,1)))</f>
        <v/>
      </c>
      <c r="AJ275">
        <f>IF(Setup!$B$10="",0,IF(I275="",0,IF(ISNUMBER(I275),I275,1)))</f>
        <v/>
      </c>
      <c r="AK275">
        <f>IF(Setup!$B$11="",0,IF(J275="",0,IF(ISNUMBER(J275),J275,1)))</f>
        <v/>
      </c>
      <c r="AL275">
        <f>IF(Setup!$B$12="",0,IF(K275="",0,IF(ISNUMBER(K275),K275,1)))</f>
        <v/>
      </c>
      <c r="AM275">
        <f>IF(Setup!$B$13="",0,IF(L275="",0,IF(ISNUMBER(L275),L275,1)))</f>
        <v/>
      </c>
      <c r="AN275">
        <f>IF(Setup!$B$14="",0,IF(M275="",0,IF(ISNUMBER(M275),M275,1)))</f>
        <v/>
      </c>
      <c r="AO275">
        <f>IF(Setup!$B$15="",0,IF(N275="",0,IF(ISNUMBER(N275),N275,1)))</f>
        <v/>
      </c>
      <c r="AP275">
        <f>IF(Setup!$B$16="",0,IF(O275="",0,IF(ISNUMBER(O275),O275,1)))</f>
        <v/>
      </c>
      <c r="AQ275">
        <f>IF(Setup!$B$17="",0,IF(P275="",0,IF(ISNUMBER(P275),P275,1)))</f>
        <v/>
      </c>
      <c r="AR275">
        <f>IF(Setup!$B$18="",0,IF(Q275="",0,IF(ISNUMBER(Q275),Q275,1)))</f>
        <v/>
      </c>
      <c r="AS275">
        <f>IF(Setup!$B$19="",0,IF(R275="",0,IF(ISNUMBER(R275),R275,1)))</f>
        <v/>
      </c>
      <c r="AT275">
        <f>IF(Setup!$B$20="",0,IF(S275="",0,IF(ISNUMBER(S275),S275,1)))</f>
        <v/>
      </c>
    </row>
    <row r="276">
      <c r="A276" s="1" t="n"/>
      <c r="B276" s="24" t="n"/>
      <c r="C276" s="25" t="n"/>
      <c r="D276" s="25" t="n"/>
      <c r="E276" s="26" t="n"/>
      <c r="F276" s="27" t="n"/>
      <c r="G276" s="17" t="n"/>
      <c r="H276" s="28" t="n"/>
      <c r="I276" s="28" t="n"/>
      <c r="J276" s="28" t="n"/>
      <c r="K276" s="28" t="n"/>
      <c r="L276" s="28" t="n"/>
      <c r="M276" s="28" t="n"/>
      <c r="N276" s="28" t="n"/>
      <c r="O276" s="28" t="n"/>
      <c r="P276" s="28" t="n"/>
      <c r="Q276" s="28" t="n"/>
      <c r="R276" s="28" t="n"/>
      <c r="S276" s="28" t="n"/>
      <c r="T276" s="29">
        <f>IF(N(E276)=0,"",E276*IF(F276="",1,IFERROR(INDEX(Setup!$E$9:$E$18,MATCH(F276,Setup!$D$9:$D$18,0)),0)))</f>
        <v/>
      </c>
      <c r="U276" s="30">
        <f>IF(T276="","",IF(V276=0,"Everyone",IF(COUNTIF(AI276:AT276,"&gt;0")=COUNTIF(Setup!$B$9:$B$20,"?*"),"Everyone",COUNTIF(AI276:AT276,"&gt;0")&amp;IF(COUNTIF(AI276:AT276,"&gt;0")=1," person"," people"))))</f>
        <v/>
      </c>
      <c r="V276" s="1">
        <f>SUM(AI276:AT276)</f>
        <v/>
      </c>
      <c r="W276">
        <f>IF(OR(T276="",Setup!$B$9=""),0,IF(V276=0,T276/COUNTIF(Setup!$B$9:$B$20,"?*"),T276*AI276/V276))</f>
        <v/>
      </c>
      <c r="X276">
        <f>IF(OR(T276="",Setup!$B$10=""),0,IF(V276=0,T276/COUNTIF(Setup!$B$9:$B$20,"?*"),T276*AJ276/V276))</f>
        <v/>
      </c>
      <c r="Y276">
        <f>IF(OR(T276="",Setup!$B$11=""),0,IF(V276=0,T276/COUNTIF(Setup!$B$9:$B$20,"?*"),T276*AK276/V276))</f>
        <v/>
      </c>
      <c r="Z276">
        <f>IF(OR(T276="",Setup!$B$12=""),0,IF(V276=0,T276/COUNTIF(Setup!$B$9:$B$20,"?*"),T276*AL276/V276))</f>
        <v/>
      </c>
      <c r="AA276">
        <f>IF(OR(T276="",Setup!$B$13=""),0,IF(V276=0,T276/COUNTIF(Setup!$B$9:$B$20,"?*"),T276*AM276/V276))</f>
        <v/>
      </c>
      <c r="AB276">
        <f>IF(OR(T276="",Setup!$B$14=""),0,IF(V276=0,T276/COUNTIF(Setup!$B$9:$B$20,"?*"),T276*AN276/V276))</f>
        <v/>
      </c>
      <c r="AC276">
        <f>IF(OR(T276="",Setup!$B$15=""),0,IF(V276=0,T276/COUNTIF(Setup!$B$9:$B$20,"?*"),T276*AO276/V276))</f>
        <v/>
      </c>
      <c r="AD276">
        <f>IF(OR(T276="",Setup!$B$16=""),0,IF(V276=0,T276/COUNTIF(Setup!$B$9:$B$20,"?*"),T276*AP276/V276))</f>
        <v/>
      </c>
      <c r="AE276">
        <f>IF(OR(T276="",Setup!$B$17=""),0,IF(V276=0,T276/COUNTIF(Setup!$B$9:$B$20,"?*"),T276*AQ276/V276))</f>
        <v/>
      </c>
      <c r="AF276">
        <f>IF(OR(T276="",Setup!$B$18=""),0,IF(V276=0,T276/COUNTIF(Setup!$B$9:$B$20,"?*"),T276*AR276/V276))</f>
        <v/>
      </c>
      <c r="AG276">
        <f>IF(OR(T276="",Setup!$B$19=""),0,IF(V276=0,T276/COUNTIF(Setup!$B$9:$B$20,"?*"),T276*AS276/V276))</f>
        <v/>
      </c>
      <c r="AH276">
        <f>IF(OR(T276="",Setup!$B$20=""),0,IF(V276=0,T276/COUNTIF(Setup!$B$9:$B$20,"?*"),T276*AT276/V276))</f>
        <v/>
      </c>
      <c r="AI276">
        <f>IF(Setup!$B$9="",0,IF(H276="",0,IF(ISNUMBER(H276),H276,1)))</f>
        <v/>
      </c>
      <c r="AJ276">
        <f>IF(Setup!$B$10="",0,IF(I276="",0,IF(ISNUMBER(I276),I276,1)))</f>
        <v/>
      </c>
      <c r="AK276">
        <f>IF(Setup!$B$11="",0,IF(J276="",0,IF(ISNUMBER(J276),J276,1)))</f>
        <v/>
      </c>
      <c r="AL276">
        <f>IF(Setup!$B$12="",0,IF(K276="",0,IF(ISNUMBER(K276),K276,1)))</f>
        <v/>
      </c>
      <c r="AM276">
        <f>IF(Setup!$B$13="",0,IF(L276="",0,IF(ISNUMBER(L276),L276,1)))</f>
        <v/>
      </c>
      <c r="AN276">
        <f>IF(Setup!$B$14="",0,IF(M276="",0,IF(ISNUMBER(M276),M276,1)))</f>
        <v/>
      </c>
      <c r="AO276">
        <f>IF(Setup!$B$15="",0,IF(N276="",0,IF(ISNUMBER(N276),N276,1)))</f>
        <v/>
      </c>
      <c r="AP276">
        <f>IF(Setup!$B$16="",0,IF(O276="",0,IF(ISNUMBER(O276),O276,1)))</f>
        <v/>
      </c>
      <c r="AQ276">
        <f>IF(Setup!$B$17="",0,IF(P276="",0,IF(ISNUMBER(P276),P276,1)))</f>
        <v/>
      </c>
      <c r="AR276">
        <f>IF(Setup!$B$18="",0,IF(Q276="",0,IF(ISNUMBER(Q276),Q276,1)))</f>
        <v/>
      </c>
      <c r="AS276">
        <f>IF(Setup!$B$19="",0,IF(R276="",0,IF(ISNUMBER(R276),R276,1)))</f>
        <v/>
      </c>
      <c r="AT276">
        <f>IF(Setup!$B$20="",0,IF(S276="",0,IF(ISNUMBER(S276),S276,1)))</f>
        <v/>
      </c>
    </row>
    <row r="277">
      <c r="A277" s="1" t="n"/>
      <c r="B277" s="24" t="n"/>
      <c r="C277" s="25" t="n"/>
      <c r="D277" s="25" t="n"/>
      <c r="E277" s="26" t="n"/>
      <c r="F277" s="27" t="n"/>
      <c r="G277" s="17" t="n"/>
      <c r="H277" s="28" t="n"/>
      <c r="I277" s="28" t="n"/>
      <c r="J277" s="28" t="n"/>
      <c r="K277" s="28" t="n"/>
      <c r="L277" s="28" t="n"/>
      <c r="M277" s="28" t="n"/>
      <c r="N277" s="28" t="n"/>
      <c r="O277" s="28" t="n"/>
      <c r="P277" s="28" t="n"/>
      <c r="Q277" s="28" t="n"/>
      <c r="R277" s="28" t="n"/>
      <c r="S277" s="28" t="n"/>
      <c r="T277" s="29">
        <f>IF(N(E277)=0,"",E277*IF(F277="",1,IFERROR(INDEX(Setup!$E$9:$E$18,MATCH(F277,Setup!$D$9:$D$18,0)),0)))</f>
        <v/>
      </c>
      <c r="U277" s="30">
        <f>IF(T277="","",IF(V277=0,"Everyone",IF(COUNTIF(AI277:AT277,"&gt;0")=COUNTIF(Setup!$B$9:$B$20,"?*"),"Everyone",COUNTIF(AI277:AT277,"&gt;0")&amp;IF(COUNTIF(AI277:AT277,"&gt;0")=1," person"," people"))))</f>
        <v/>
      </c>
      <c r="V277" s="1">
        <f>SUM(AI277:AT277)</f>
        <v/>
      </c>
      <c r="W277">
        <f>IF(OR(T277="",Setup!$B$9=""),0,IF(V277=0,T277/COUNTIF(Setup!$B$9:$B$20,"?*"),T277*AI277/V277))</f>
        <v/>
      </c>
      <c r="X277">
        <f>IF(OR(T277="",Setup!$B$10=""),0,IF(V277=0,T277/COUNTIF(Setup!$B$9:$B$20,"?*"),T277*AJ277/V277))</f>
        <v/>
      </c>
      <c r="Y277">
        <f>IF(OR(T277="",Setup!$B$11=""),0,IF(V277=0,T277/COUNTIF(Setup!$B$9:$B$20,"?*"),T277*AK277/V277))</f>
        <v/>
      </c>
      <c r="Z277">
        <f>IF(OR(T277="",Setup!$B$12=""),0,IF(V277=0,T277/COUNTIF(Setup!$B$9:$B$20,"?*"),T277*AL277/V277))</f>
        <v/>
      </c>
      <c r="AA277">
        <f>IF(OR(T277="",Setup!$B$13=""),0,IF(V277=0,T277/COUNTIF(Setup!$B$9:$B$20,"?*"),T277*AM277/V277))</f>
        <v/>
      </c>
      <c r="AB277">
        <f>IF(OR(T277="",Setup!$B$14=""),0,IF(V277=0,T277/COUNTIF(Setup!$B$9:$B$20,"?*"),T277*AN277/V277))</f>
        <v/>
      </c>
      <c r="AC277">
        <f>IF(OR(T277="",Setup!$B$15=""),0,IF(V277=0,T277/COUNTIF(Setup!$B$9:$B$20,"?*"),T277*AO277/V277))</f>
        <v/>
      </c>
      <c r="AD277">
        <f>IF(OR(T277="",Setup!$B$16=""),0,IF(V277=0,T277/COUNTIF(Setup!$B$9:$B$20,"?*"),T277*AP277/V277))</f>
        <v/>
      </c>
      <c r="AE277">
        <f>IF(OR(T277="",Setup!$B$17=""),0,IF(V277=0,T277/COUNTIF(Setup!$B$9:$B$20,"?*"),T277*AQ277/V277))</f>
        <v/>
      </c>
      <c r="AF277">
        <f>IF(OR(T277="",Setup!$B$18=""),0,IF(V277=0,T277/COUNTIF(Setup!$B$9:$B$20,"?*"),T277*AR277/V277))</f>
        <v/>
      </c>
      <c r="AG277">
        <f>IF(OR(T277="",Setup!$B$19=""),0,IF(V277=0,T277/COUNTIF(Setup!$B$9:$B$20,"?*"),T277*AS277/V277))</f>
        <v/>
      </c>
      <c r="AH277">
        <f>IF(OR(T277="",Setup!$B$20=""),0,IF(V277=0,T277/COUNTIF(Setup!$B$9:$B$20,"?*"),T277*AT277/V277))</f>
        <v/>
      </c>
      <c r="AI277">
        <f>IF(Setup!$B$9="",0,IF(H277="",0,IF(ISNUMBER(H277),H277,1)))</f>
        <v/>
      </c>
      <c r="AJ277">
        <f>IF(Setup!$B$10="",0,IF(I277="",0,IF(ISNUMBER(I277),I277,1)))</f>
        <v/>
      </c>
      <c r="AK277">
        <f>IF(Setup!$B$11="",0,IF(J277="",0,IF(ISNUMBER(J277),J277,1)))</f>
        <v/>
      </c>
      <c r="AL277">
        <f>IF(Setup!$B$12="",0,IF(K277="",0,IF(ISNUMBER(K277),K277,1)))</f>
        <v/>
      </c>
      <c r="AM277">
        <f>IF(Setup!$B$13="",0,IF(L277="",0,IF(ISNUMBER(L277),L277,1)))</f>
        <v/>
      </c>
      <c r="AN277">
        <f>IF(Setup!$B$14="",0,IF(M277="",0,IF(ISNUMBER(M277),M277,1)))</f>
        <v/>
      </c>
      <c r="AO277">
        <f>IF(Setup!$B$15="",0,IF(N277="",0,IF(ISNUMBER(N277),N277,1)))</f>
        <v/>
      </c>
      <c r="AP277">
        <f>IF(Setup!$B$16="",0,IF(O277="",0,IF(ISNUMBER(O277),O277,1)))</f>
        <v/>
      </c>
      <c r="AQ277">
        <f>IF(Setup!$B$17="",0,IF(P277="",0,IF(ISNUMBER(P277),P277,1)))</f>
        <v/>
      </c>
      <c r="AR277">
        <f>IF(Setup!$B$18="",0,IF(Q277="",0,IF(ISNUMBER(Q277),Q277,1)))</f>
        <v/>
      </c>
      <c r="AS277">
        <f>IF(Setup!$B$19="",0,IF(R277="",0,IF(ISNUMBER(R277),R277,1)))</f>
        <v/>
      </c>
      <c r="AT277">
        <f>IF(Setup!$B$20="",0,IF(S277="",0,IF(ISNUMBER(S277),S277,1)))</f>
        <v/>
      </c>
    </row>
    <row r="278">
      <c r="A278" s="1" t="n"/>
      <c r="B278" s="24" t="n"/>
      <c r="C278" s="25" t="n"/>
      <c r="D278" s="25" t="n"/>
      <c r="E278" s="26" t="n"/>
      <c r="F278" s="27" t="n"/>
      <c r="G278" s="17" t="n"/>
      <c r="H278" s="28" t="n"/>
      <c r="I278" s="28" t="n"/>
      <c r="J278" s="28" t="n"/>
      <c r="K278" s="28" t="n"/>
      <c r="L278" s="28" t="n"/>
      <c r="M278" s="28" t="n"/>
      <c r="N278" s="28" t="n"/>
      <c r="O278" s="28" t="n"/>
      <c r="P278" s="28" t="n"/>
      <c r="Q278" s="28" t="n"/>
      <c r="R278" s="28" t="n"/>
      <c r="S278" s="28" t="n"/>
      <c r="T278" s="29">
        <f>IF(N(E278)=0,"",E278*IF(F278="",1,IFERROR(INDEX(Setup!$E$9:$E$18,MATCH(F278,Setup!$D$9:$D$18,0)),0)))</f>
        <v/>
      </c>
      <c r="U278" s="30">
        <f>IF(T278="","",IF(V278=0,"Everyone",IF(COUNTIF(AI278:AT278,"&gt;0")=COUNTIF(Setup!$B$9:$B$20,"?*"),"Everyone",COUNTIF(AI278:AT278,"&gt;0")&amp;IF(COUNTIF(AI278:AT278,"&gt;0")=1," person"," people"))))</f>
        <v/>
      </c>
      <c r="V278" s="1">
        <f>SUM(AI278:AT278)</f>
        <v/>
      </c>
      <c r="W278">
        <f>IF(OR(T278="",Setup!$B$9=""),0,IF(V278=0,T278/COUNTIF(Setup!$B$9:$B$20,"?*"),T278*AI278/V278))</f>
        <v/>
      </c>
      <c r="X278">
        <f>IF(OR(T278="",Setup!$B$10=""),0,IF(V278=0,T278/COUNTIF(Setup!$B$9:$B$20,"?*"),T278*AJ278/V278))</f>
        <v/>
      </c>
      <c r="Y278">
        <f>IF(OR(T278="",Setup!$B$11=""),0,IF(V278=0,T278/COUNTIF(Setup!$B$9:$B$20,"?*"),T278*AK278/V278))</f>
        <v/>
      </c>
      <c r="Z278">
        <f>IF(OR(T278="",Setup!$B$12=""),0,IF(V278=0,T278/COUNTIF(Setup!$B$9:$B$20,"?*"),T278*AL278/V278))</f>
        <v/>
      </c>
      <c r="AA278">
        <f>IF(OR(T278="",Setup!$B$13=""),0,IF(V278=0,T278/COUNTIF(Setup!$B$9:$B$20,"?*"),T278*AM278/V278))</f>
        <v/>
      </c>
      <c r="AB278">
        <f>IF(OR(T278="",Setup!$B$14=""),0,IF(V278=0,T278/COUNTIF(Setup!$B$9:$B$20,"?*"),T278*AN278/V278))</f>
        <v/>
      </c>
      <c r="AC278">
        <f>IF(OR(T278="",Setup!$B$15=""),0,IF(V278=0,T278/COUNTIF(Setup!$B$9:$B$20,"?*"),T278*AO278/V278))</f>
        <v/>
      </c>
      <c r="AD278">
        <f>IF(OR(T278="",Setup!$B$16=""),0,IF(V278=0,T278/COUNTIF(Setup!$B$9:$B$20,"?*"),T278*AP278/V278))</f>
        <v/>
      </c>
      <c r="AE278">
        <f>IF(OR(T278="",Setup!$B$17=""),0,IF(V278=0,T278/COUNTIF(Setup!$B$9:$B$20,"?*"),T278*AQ278/V278))</f>
        <v/>
      </c>
      <c r="AF278">
        <f>IF(OR(T278="",Setup!$B$18=""),0,IF(V278=0,T278/COUNTIF(Setup!$B$9:$B$20,"?*"),T278*AR278/V278))</f>
        <v/>
      </c>
      <c r="AG278">
        <f>IF(OR(T278="",Setup!$B$19=""),0,IF(V278=0,T278/COUNTIF(Setup!$B$9:$B$20,"?*"),T278*AS278/V278))</f>
        <v/>
      </c>
      <c r="AH278">
        <f>IF(OR(T278="",Setup!$B$20=""),0,IF(V278=0,T278/COUNTIF(Setup!$B$9:$B$20,"?*"),T278*AT278/V278))</f>
        <v/>
      </c>
      <c r="AI278">
        <f>IF(Setup!$B$9="",0,IF(H278="",0,IF(ISNUMBER(H278),H278,1)))</f>
        <v/>
      </c>
      <c r="AJ278">
        <f>IF(Setup!$B$10="",0,IF(I278="",0,IF(ISNUMBER(I278),I278,1)))</f>
        <v/>
      </c>
      <c r="AK278">
        <f>IF(Setup!$B$11="",0,IF(J278="",0,IF(ISNUMBER(J278),J278,1)))</f>
        <v/>
      </c>
      <c r="AL278">
        <f>IF(Setup!$B$12="",0,IF(K278="",0,IF(ISNUMBER(K278),K278,1)))</f>
        <v/>
      </c>
      <c r="AM278">
        <f>IF(Setup!$B$13="",0,IF(L278="",0,IF(ISNUMBER(L278),L278,1)))</f>
        <v/>
      </c>
      <c r="AN278">
        <f>IF(Setup!$B$14="",0,IF(M278="",0,IF(ISNUMBER(M278),M278,1)))</f>
        <v/>
      </c>
      <c r="AO278">
        <f>IF(Setup!$B$15="",0,IF(N278="",0,IF(ISNUMBER(N278),N278,1)))</f>
        <v/>
      </c>
      <c r="AP278">
        <f>IF(Setup!$B$16="",0,IF(O278="",0,IF(ISNUMBER(O278),O278,1)))</f>
        <v/>
      </c>
      <c r="AQ278">
        <f>IF(Setup!$B$17="",0,IF(P278="",0,IF(ISNUMBER(P278),P278,1)))</f>
        <v/>
      </c>
      <c r="AR278">
        <f>IF(Setup!$B$18="",0,IF(Q278="",0,IF(ISNUMBER(Q278),Q278,1)))</f>
        <v/>
      </c>
      <c r="AS278">
        <f>IF(Setup!$B$19="",0,IF(R278="",0,IF(ISNUMBER(R278),R278,1)))</f>
        <v/>
      </c>
      <c r="AT278">
        <f>IF(Setup!$B$20="",0,IF(S278="",0,IF(ISNUMBER(S278),S278,1)))</f>
        <v/>
      </c>
    </row>
    <row r="279">
      <c r="A279" s="1" t="n"/>
      <c r="B279" s="24" t="n"/>
      <c r="C279" s="25" t="n"/>
      <c r="D279" s="25" t="n"/>
      <c r="E279" s="26" t="n"/>
      <c r="F279" s="27" t="n"/>
      <c r="G279" s="17" t="n"/>
      <c r="H279" s="28" t="n"/>
      <c r="I279" s="28" t="n"/>
      <c r="J279" s="28" t="n"/>
      <c r="K279" s="28" t="n"/>
      <c r="L279" s="28" t="n"/>
      <c r="M279" s="28" t="n"/>
      <c r="N279" s="28" t="n"/>
      <c r="O279" s="28" t="n"/>
      <c r="P279" s="28" t="n"/>
      <c r="Q279" s="28" t="n"/>
      <c r="R279" s="28" t="n"/>
      <c r="S279" s="28" t="n"/>
      <c r="T279" s="29">
        <f>IF(N(E279)=0,"",E279*IF(F279="",1,IFERROR(INDEX(Setup!$E$9:$E$18,MATCH(F279,Setup!$D$9:$D$18,0)),0)))</f>
        <v/>
      </c>
      <c r="U279" s="30">
        <f>IF(T279="","",IF(V279=0,"Everyone",IF(COUNTIF(AI279:AT279,"&gt;0")=COUNTIF(Setup!$B$9:$B$20,"?*"),"Everyone",COUNTIF(AI279:AT279,"&gt;0")&amp;IF(COUNTIF(AI279:AT279,"&gt;0")=1," person"," people"))))</f>
        <v/>
      </c>
      <c r="V279" s="1">
        <f>SUM(AI279:AT279)</f>
        <v/>
      </c>
      <c r="W279">
        <f>IF(OR(T279="",Setup!$B$9=""),0,IF(V279=0,T279/COUNTIF(Setup!$B$9:$B$20,"?*"),T279*AI279/V279))</f>
        <v/>
      </c>
      <c r="X279">
        <f>IF(OR(T279="",Setup!$B$10=""),0,IF(V279=0,T279/COUNTIF(Setup!$B$9:$B$20,"?*"),T279*AJ279/V279))</f>
        <v/>
      </c>
      <c r="Y279">
        <f>IF(OR(T279="",Setup!$B$11=""),0,IF(V279=0,T279/COUNTIF(Setup!$B$9:$B$20,"?*"),T279*AK279/V279))</f>
        <v/>
      </c>
      <c r="Z279">
        <f>IF(OR(T279="",Setup!$B$12=""),0,IF(V279=0,T279/COUNTIF(Setup!$B$9:$B$20,"?*"),T279*AL279/V279))</f>
        <v/>
      </c>
      <c r="AA279">
        <f>IF(OR(T279="",Setup!$B$13=""),0,IF(V279=0,T279/COUNTIF(Setup!$B$9:$B$20,"?*"),T279*AM279/V279))</f>
        <v/>
      </c>
      <c r="AB279">
        <f>IF(OR(T279="",Setup!$B$14=""),0,IF(V279=0,T279/COUNTIF(Setup!$B$9:$B$20,"?*"),T279*AN279/V279))</f>
        <v/>
      </c>
      <c r="AC279">
        <f>IF(OR(T279="",Setup!$B$15=""),0,IF(V279=0,T279/COUNTIF(Setup!$B$9:$B$20,"?*"),T279*AO279/V279))</f>
        <v/>
      </c>
      <c r="AD279">
        <f>IF(OR(T279="",Setup!$B$16=""),0,IF(V279=0,T279/COUNTIF(Setup!$B$9:$B$20,"?*"),T279*AP279/V279))</f>
        <v/>
      </c>
      <c r="AE279">
        <f>IF(OR(T279="",Setup!$B$17=""),0,IF(V279=0,T279/COUNTIF(Setup!$B$9:$B$20,"?*"),T279*AQ279/V279))</f>
        <v/>
      </c>
      <c r="AF279">
        <f>IF(OR(T279="",Setup!$B$18=""),0,IF(V279=0,T279/COUNTIF(Setup!$B$9:$B$20,"?*"),T279*AR279/V279))</f>
        <v/>
      </c>
      <c r="AG279">
        <f>IF(OR(T279="",Setup!$B$19=""),0,IF(V279=0,T279/COUNTIF(Setup!$B$9:$B$20,"?*"),T279*AS279/V279))</f>
        <v/>
      </c>
      <c r="AH279">
        <f>IF(OR(T279="",Setup!$B$20=""),0,IF(V279=0,T279/COUNTIF(Setup!$B$9:$B$20,"?*"),T279*AT279/V279))</f>
        <v/>
      </c>
      <c r="AI279">
        <f>IF(Setup!$B$9="",0,IF(H279="",0,IF(ISNUMBER(H279),H279,1)))</f>
        <v/>
      </c>
      <c r="AJ279">
        <f>IF(Setup!$B$10="",0,IF(I279="",0,IF(ISNUMBER(I279),I279,1)))</f>
        <v/>
      </c>
      <c r="AK279">
        <f>IF(Setup!$B$11="",0,IF(J279="",0,IF(ISNUMBER(J279),J279,1)))</f>
        <v/>
      </c>
      <c r="AL279">
        <f>IF(Setup!$B$12="",0,IF(K279="",0,IF(ISNUMBER(K279),K279,1)))</f>
        <v/>
      </c>
      <c r="AM279">
        <f>IF(Setup!$B$13="",0,IF(L279="",0,IF(ISNUMBER(L279),L279,1)))</f>
        <v/>
      </c>
      <c r="AN279">
        <f>IF(Setup!$B$14="",0,IF(M279="",0,IF(ISNUMBER(M279),M279,1)))</f>
        <v/>
      </c>
      <c r="AO279">
        <f>IF(Setup!$B$15="",0,IF(N279="",0,IF(ISNUMBER(N279),N279,1)))</f>
        <v/>
      </c>
      <c r="AP279">
        <f>IF(Setup!$B$16="",0,IF(O279="",0,IF(ISNUMBER(O279),O279,1)))</f>
        <v/>
      </c>
      <c r="AQ279">
        <f>IF(Setup!$B$17="",0,IF(P279="",0,IF(ISNUMBER(P279),P279,1)))</f>
        <v/>
      </c>
      <c r="AR279">
        <f>IF(Setup!$B$18="",0,IF(Q279="",0,IF(ISNUMBER(Q279),Q279,1)))</f>
        <v/>
      </c>
      <c r="AS279">
        <f>IF(Setup!$B$19="",0,IF(R279="",0,IF(ISNUMBER(R279),R279,1)))</f>
        <v/>
      </c>
      <c r="AT279">
        <f>IF(Setup!$B$20="",0,IF(S279="",0,IF(ISNUMBER(S279),S279,1)))</f>
        <v/>
      </c>
    </row>
    <row r="280">
      <c r="A280" s="1" t="n"/>
      <c r="B280" s="24" t="n"/>
      <c r="C280" s="25" t="n"/>
      <c r="D280" s="25" t="n"/>
      <c r="E280" s="26" t="n"/>
      <c r="F280" s="27" t="n"/>
      <c r="G280" s="17" t="n"/>
      <c r="H280" s="28" t="n"/>
      <c r="I280" s="28" t="n"/>
      <c r="J280" s="28" t="n"/>
      <c r="K280" s="28" t="n"/>
      <c r="L280" s="28" t="n"/>
      <c r="M280" s="28" t="n"/>
      <c r="N280" s="28" t="n"/>
      <c r="O280" s="28" t="n"/>
      <c r="P280" s="28" t="n"/>
      <c r="Q280" s="28" t="n"/>
      <c r="R280" s="28" t="n"/>
      <c r="S280" s="28" t="n"/>
      <c r="T280" s="29">
        <f>IF(N(E280)=0,"",E280*IF(F280="",1,IFERROR(INDEX(Setup!$E$9:$E$18,MATCH(F280,Setup!$D$9:$D$18,0)),0)))</f>
        <v/>
      </c>
      <c r="U280" s="30">
        <f>IF(T280="","",IF(V280=0,"Everyone",IF(COUNTIF(AI280:AT280,"&gt;0")=COUNTIF(Setup!$B$9:$B$20,"?*"),"Everyone",COUNTIF(AI280:AT280,"&gt;0")&amp;IF(COUNTIF(AI280:AT280,"&gt;0")=1," person"," people"))))</f>
        <v/>
      </c>
      <c r="V280" s="1">
        <f>SUM(AI280:AT280)</f>
        <v/>
      </c>
      <c r="W280">
        <f>IF(OR(T280="",Setup!$B$9=""),0,IF(V280=0,T280/COUNTIF(Setup!$B$9:$B$20,"?*"),T280*AI280/V280))</f>
        <v/>
      </c>
      <c r="X280">
        <f>IF(OR(T280="",Setup!$B$10=""),0,IF(V280=0,T280/COUNTIF(Setup!$B$9:$B$20,"?*"),T280*AJ280/V280))</f>
        <v/>
      </c>
      <c r="Y280">
        <f>IF(OR(T280="",Setup!$B$11=""),0,IF(V280=0,T280/COUNTIF(Setup!$B$9:$B$20,"?*"),T280*AK280/V280))</f>
        <v/>
      </c>
      <c r="Z280">
        <f>IF(OR(T280="",Setup!$B$12=""),0,IF(V280=0,T280/COUNTIF(Setup!$B$9:$B$20,"?*"),T280*AL280/V280))</f>
        <v/>
      </c>
      <c r="AA280">
        <f>IF(OR(T280="",Setup!$B$13=""),0,IF(V280=0,T280/COUNTIF(Setup!$B$9:$B$20,"?*"),T280*AM280/V280))</f>
        <v/>
      </c>
      <c r="AB280">
        <f>IF(OR(T280="",Setup!$B$14=""),0,IF(V280=0,T280/COUNTIF(Setup!$B$9:$B$20,"?*"),T280*AN280/V280))</f>
        <v/>
      </c>
      <c r="AC280">
        <f>IF(OR(T280="",Setup!$B$15=""),0,IF(V280=0,T280/COUNTIF(Setup!$B$9:$B$20,"?*"),T280*AO280/V280))</f>
        <v/>
      </c>
      <c r="AD280">
        <f>IF(OR(T280="",Setup!$B$16=""),0,IF(V280=0,T280/COUNTIF(Setup!$B$9:$B$20,"?*"),T280*AP280/V280))</f>
        <v/>
      </c>
      <c r="AE280">
        <f>IF(OR(T280="",Setup!$B$17=""),0,IF(V280=0,T280/COUNTIF(Setup!$B$9:$B$20,"?*"),T280*AQ280/V280))</f>
        <v/>
      </c>
      <c r="AF280">
        <f>IF(OR(T280="",Setup!$B$18=""),0,IF(V280=0,T280/COUNTIF(Setup!$B$9:$B$20,"?*"),T280*AR280/V280))</f>
        <v/>
      </c>
      <c r="AG280">
        <f>IF(OR(T280="",Setup!$B$19=""),0,IF(V280=0,T280/COUNTIF(Setup!$B$9:$B$20,"?*"),T280*AS280/V280))</f>
        <v/>
      </c>
      <c r="AH280">
        <f>IF(OR(T280="",Setup!$B$20=""),0,IF(V280=0,T280/COUNTIF(Setup!$B$9:$B$20,"?*"),T280*AT280/V280))</f>
        <v/>
      </c>
      <c r="AI280">
        <f>IF(Setup!$B$9="",0,IF(H280="",0,IF(ISNUMBER(H280),H280,1)))</f>
        <v/>
      </c>
      <c r="AJ280">
        <f>IF(Setup!$B$10="",0,IF(I280="",0,IF(ISNUMBER(I280),I280,1)))</f>
        <v/>
      </c>
      <c r="AK280">
        <f>IF(Setup!$B$11="",0,IF(J280="",0,IF(ISNUMBER(J280),J280,1)))</f>
        <v/>
      </c>
      <c r="AL280">
        <f>IF(Setup!$B$12="",0,IF(K280="",0,IF(ISNUMBER(K280),K280,1)))</f>
        <v/>
      </c>
      <c r="AM280">
        <f>IF(Setup!$B$13="",0,IF(L280="",0,IF(ISNUMBER(L280),L280,1)))</f>
        <v/>
      </c>
      <c r="AN280">
        <f>IF(Setup!$B$14="",0,IF(M280="",0,IF(ISNUMBER(M280),M280,1)))</f>
        <v/>
      </c>
      <c r="AO280">
        <f>IF(Setup!$B$15="",0,IF(N280="",0,IF(ISNUMBER(N280),N280,1)))</f>
        <v/>
      </c>
      <c r="AP280">
        <f>IF(Setup!$B$16="",0,IF(O280="",0,IF(ISNUMBER(O280),O280,1)))</f>
        <v/>
      </c>
      <c r="AQ280">
        <f>IF(Setup!$B$17="",0,IF(P280="",0,IF(ISNUMBER(P280),P280,1)))</f>
        <v/>
      </c>
      <c r="AR280">
        <f>IF(Setup!$B$18="",0,IF(Q280="",0,IF(ISNUMBER(Q280),Q280,1)))</f>
        <v/>
      </c>
      <c r="AS280">
        <f>IF(Setup!$B$19="",0,IF(R280="",0,IF(ISNUMBER(R280),R280,1)))</f>
        <v/>
      </c>
      <c r="AT280">
        <f>IF(Setup!$B$20="",0,IF(S280="",0,IF(ISNUMBER(S280),S280,1)))</f>
        <v/>
      </c>
    </row>
    <row r="281">
      <c r="A281" s="1" t="n"/>
      <c r="B281" s="24" t="n"/>
      <c r="C281" s="25" t="n"/>
      <c r="D281" s="25" t="n"/>
      <c r="E281" s="26" t="n"/>
      <c r="F281" s="27" t="n"/>
      <c r="G281" s="17" t="n"/>
      <c r="H281" s="28" t="n"/>
      <c r="I281" s="28" t="n"/>
      <c r="J281" s="28" t="n"/>
      <c r="K281" s="28" t="n"/>
      <c r="L281" s="28" t="n"/>
      <c r="M281" s="28" t="n"/>
      <c r="N281" s="28" t="n"/>
      <c r="O281" s="28" t="n"/>
      <c r="P281" s="28" t="n"/>
      <c r="Q281" s="28" t="n"/>
      <c r="R281" s="28" t="n"/>
      <c r="S281" s="28" t="n"/>
      <c r="T281" s="29">
        <f>IF(N(E281)=0,"",E281*IF(F281="",1,IFERROR(INDEX(Setup!$E$9:$E$18,MATCH(F281,Setup!$D$9:$D$18,0)),0)))</f>
        <v/>
      </c>
      <c r="U281" s="30">
        <f>IF(T281="","",IF(V281=0,"Everyone",IF(COUNTIF(AI281:AT281,"&gt;0")=COUNTIF(Setup!$B$9:$B$20,"?*"),"Everyone",COUNTIF(AI281:AT281,"&gt;0")&amp;IF(COUNTIF(AI281:AT281,"&gt;0")=1," person"," people"))))</f>
        <v/>
      </c>
      <c r="V281" s="1">
        <f>SUM(AI281:AT281)</f>
        <v/>
      </c>
      <c r="W281">
        <f>IF(OR(T281="",Setup!$B$9=""),0,IF(V281=0,T281/COUNTIF(Setup!$B$9:$B$20,"?*"),T281*AI281/V281))</f>
        <v/>
      </c>
      <c r="X281">
        <f>IF(OR(T281="",Setup!$B$10=""),0,IF(V281=0,T281/COUNTIF(Setup!$B$9:$B$20,"?*"),T281*AJ281/V281))</f>
        <v/>
      </c>
      <c r="Y281">
        <f>IF(OR(T281="",Setup!$B$11=""),0,IF(V281=0,T281/COUNTIF(Setup!$B$9:$B$20,"?*"),T281*AK281/V281))</f>
        <v/>
      </c>
      <c r="Z281">
        <f>IF(OR(T281="",Setup!$B$12=""),0,IF(V281=0,T281/COUNTIF(Setup!$B$9:$B$20,"?*"),T281*AL281/V281))</f>
        <v/>
      </c>
      <c r="AA281">
        <f>IF(OR(T281="",Setup!$B$13=""),0,IF(V281=0,T281/COUNTIF(Setup!$B$9:$B$20,"?*"),T281*AM281/V281))</f>
        <v/>
      </c>
      <c r="AB281">
        <f>IF(OR(T281="",Setup!$B$14=""),0,IF(V281=0,T281/COUNTIF(Setup!$B$9:$B$20,"?*"),T281*AN281/V281))</f>
        <v/>
      </c>
      <c r="AC281">
        <f>IF(OR(T281="",Setup!$B$15=""),0,IF(V281=0,T281/COUNTIF(Setup!$B$9:$B$20,"?*"),T281*AO281/V281))</f>
        <v/>
      </c>
      <c r="AD281">
        <f>IF(OR(T281="",Setup!$B$16=""),0,IF(V281=0,T281/COUNTIF(Setup!$B$9:$B$20,"?*"),T281*AP281/V281))</f>
        <v/>
      </c>
      <c r="AE281">
        <f>IF(OR(T281="",Setup!$B$17=""),0,IF(V281=0,T281/COUNTIF(Setup!$B$9:$B$20,"?*"),T281*AQ281/V281))</f>
        <v/>
      </c>
      <c r="AF281">
        <f>IF(OR(T281="",Setup!$B$18=""),0,IF(V281=0,T281/COUNTIF(Setup!$B$9:$B$20,"?*"),T281*AR281/V281))</f>
        <v/>
      </c>
      <c r="AG281">
        <f>IF(OR(T281="",Setup!$B$19=""),0,IF(V281=0,T281/COUNTIF(Setup!$B$9:$B$20,"?*"),T281*AS281/V281))</f>
        <v/>
      </c>
      <c r="AH281">
        <f>IF(OR(T281="",Setup!$B$20=""),0,IF(V281=0,T281/COUNTIF(Setup!$B$9:$B$20,"?*"),T281*AT281/V281))</f>
        <v/>
      </c>
      <c r="AI281">
        <f>IF(Setup!$B$9="",0,IF(H281="",0,IF(ISNUMBER(H281),H281,1)))</f>
        <v/>
      </c>
      <c r="AJ281">
        <f>IF(Setup!$B$10="",0,IF(I281="",0,IF(ISNUMBER(I281),I281,1)))</f>
        <v/>
      </c>
      <c r="AK281">
        <f>IF(Setup!$B$11="",0,IF(J281="",0,IF(ISNUMBER(J281),J281,1)))</f>
        <v/>
      </c>
      <c r="AL281">
        <f>IF(Setup!$B$12="",0,IF(K281="",0,IF(ISNUMBER(K281),K281,1)))</f>
        <v/>
      </c>
      <c r="AM281">
        <f>IF(Setup!$B$13="",0,IF(L281="",0,IF(ISNUMBER(L281),L281,1)))</f>
        <v/>
      </c>
      <c r="AN281">
        <f>IF(Setup!$B$14="",0,IF(M281="",0,IF(ISNUMBER(M281),M281,1)))</f>
        <v/>
      </c>
      <c r="AO281">
        <f>IF(Setup!$B$15="",0,IF(N281="",0,IF(ISNUMBER(N281),N281,1)))</f>
        <v/>
      </c>
      <c r="AP281">
        <f>IF(Setup!$B$16="",0,IF(O281="",0,IF(ISNUMBER(O281),O281,1)))</f>
        <v/>
      </c>
      <c r="AQ281">
        <f>IF(Setup!$B$17="",0,IF(P281="",0,IF(ISNUMBER(P281),P281,1)))</f>
        <v/>
      </c>
      <c r="AR281">
        <f>IF(Setup!$B$18="",0,IF(Q281="",0,IF(ISNUMBER(Q281),Q281,1)))</f>
        <v/>
      </c>
      <c r="AS281">
        <f>IF(Setup!$B$19="",0,IF(R281="",0,IF(ISNUMBER(R281),R281,1)))</f>
        <v/>
      </c>
      <c r="AT281">
        <f>IF(Setup!$B$20="",0,IF(S281="",0,IF(ISNUMBER(S281),S281,1)))</f>
        <v/>
      </c>
    </row>
    <row r="282">
      <c r="A282" s="1" t="n"/>
      <c r="B282" s="24" t="n"/>
      <c r="C282" s="25" t="n"/>
      <c r="D282" s="25" t="n"/>
      <c r="E282" s="26" t="n"/>
      <c r="F282" s="27" t="n"/>
      <c r="G282" s="17" t="n"/>
      <c r="H282" s="28" t="n"/>
      <c r="I282" s="28" t="n"/>
      <c r="J282" s="28" t="n"/>
      <c r="K282" s="28" t="n"/>
      <c r="L282" s="28" t="n"/>
      <c r="M282" s="28" t="n"/>
      <c r="N282" s="28" t="n"/>
      <c r="O282" s="28" t="n"/>
      <c r="P282" s="28" t="n"/>
      <c r="Q282" s="28" t="n"/>
      <c r="R282" s="28" t="n"/>
      <c r="S282" s="28" t="n"/>
      <c r="T282" s="29">
        <f>IF(N(E282)=0,"",E282*IF(F282="",1,IFERROR(INDEX(Setup!$E$9:$E$18,MATCH(F282,Setup!$D$9:$D$18,0)),0)))</f>
        <v/>
      </c>
      <c r="U282" s="30">
        <f>IF(T282="","",IF(V282=0,"Everyone",IF(COUNTIF(AI282:AT282,"&gt;0")=COUNTIF(Setup!$B$9:$B$20,"?*"),"Everyone",COUNTIF(AI282:AT282,"&gt;0")&amp;IF(COUNTIF(AI282:AT282,"&gt;0")=1," person"," people"))))</f>
        <v/>
      </c>
      <c r="V282" s="1">
        <f>SUM(AI282:AT282)</f>
        <v/>
      </c>
      <c r="W282">
        <f>IF(OR(T282="",Setup!$B$9=""),0,IF(V282=0,T282/COUNTIF(Setup!$B$9:$B$20,"?*"),T282*AI282/V282))</f>
        <v/>
      </c>
      <c r="X282">
        <f>IF(OR(T282="",Setup!$B$10=""),0,IF(V282=0,T282/COUNTIF(Setup!$B$9:$B$20,"?*"),T282*AJ282/V282))</f>
        <v/>
      </c>
      <c r="Y282">
        <f>IF(OR(T282="",Setup!$B$11=""),0,IF(V282=0,T282/COUNTIF(Setup!$B$9:$B$20,"?*"),T282*AK282/V282))</f>
        <v/>
      </c>
      <c r="Z282">
        <f>IF(OR(T282="",Setup!$B$12=""),0,IF(V282=0,T282/COUNTIF(Setup!$B$9:$B$20,"?*"),T282*AL282/V282))</f>
        <v/>
      </c>
      <c r="AA282">
        <f>IF(OR(T282="",Setup!$B$13=""),0,IF(V282=0,T282/COUNTIF(Setup!$B$9:$B$20,"?*"),T282*AM282/V282))</f>
        <v/>
      </c>
      <c r="AB282">
        <f>IF(OR(T282="",Setup!$B$14=""),0,IF(V282=0,T282/COUNTIF(Setup!$B$9:$B$20,"?*"),T282*AN282/V282))</f>
        <v/>
      </c>
      <c r="AC282">
        <f>IF(OR(T282="",Setup!$B$15=""),0,IF(V282=0,T282/COUNTIF(Setup!$B$9:$B$20,"?*"),T282*AO282/V282))</f>
        <v/>
      </c>
      <c r="AD282">
        <f>IF(OR(T282="",Setup!$B$16=""),0,IF(V282=0,T282/COUNTIF(Setup!$B$9:$B$20,"?*"),T282*AP282/V282))</f>
        <v/>
      </c>
      <c r="AE282">
        <f>IF(OR(T282="",Setup!$B$17=""),0,IF(V282=0,T282/COUNTIF(Setup!$B$9:$B$20,"?*"),T282*AQ282/V282))</f>
        <v/>
      </c>
      <c r="AF282">
        <f>IF(OR(T282="",Setup!$B$18=""),0,IF(V282=0,T282/COUNTIF(Setup!$B$9:$B$20,"?*"),T282*AR282/V282))</f>
        <v/>
      </c>
      <c r="AG282">
        <f>IF(OR(T282="",Setup!$B$19=""),0,IF(V282=0,T282/COUNTIF(Setup!$B$9:$B$20,"?*"),T282*AS282/V282))</f>
        <v/>
      </c>
      <c r="AH282">
        <f>IF(OR(T282="",Setup!$B$20=""),0,IF(V282=0,T282/COUNTIF(Setup!$B$9:$B$20,"?*"),T282*AT282/V282))</f>
        <v/>
      </c>
      <c r="AI282">
        <f>IF(Setup!$B$9="",0,IF(H282="",0,IF(ISNUMBER(H282),H282,1)))</f>
        <v/>
      </c>
      <c r="AJ282">
        <f>IF(Setup!$B$10="",0,IF(I282="",0,IF(ISNUMBER(I282),I282,1)))</f>
        <v/>
      </c>
      <c r="AK282">
        <f>IF(Setup!$B$11="",0,IF(J282="",0,IF(ISNUMBER(J282),J282,1)))</f>
        <v/>
      </c>
      <c r="AL282">
        <f>IF(Setup!$B$12="",0,IF(K282="",0,IF(ISNUMBER(K282),K282,1)))</f>
        <v/>
      </c>
      <c r="AM282">
        <f>IF(Setup!$B$13="",0,IF(L282="",0,IF(ISNUMBER(L282),L282,1)))</f>
        <v/>
      </c>
      <c r="AN282">
        <f>IF(Setup!$B$14="",0,IF(M282="",0,IF(ISNUMBER(M282),M282,1)))</f>
        <v/>
      </c>
      <c r="AO282">
        <f>IF(Setup!$B$15="",0,IF(N282="",0,IF(ISNUMBER(N282),N282,1)))</f>
        <v/>
      </c>
      <c r="AP282">
        <f>IF(Setup!$B$16="",0,IF(O282="",0,IF(ISNUMBER(O282),O282,1)))</f>
        <v/>
      </c>
      <c r="AQ282">
        <f>IF(Setup!$B$17="",0,IF(P282="",0,IF(ISNUMBER(P282),P282,1)))</f>
        <v/>
      </c>
      <c r="AR282">
        <f>IF(Setup!$B$18="",0,IF(Q282="",0,IF(ISNUMBER(Q282),Q282,1)))</f>
        <v/>
      </c>
      <c r="AS282">
        <f>IF(Setup!$B$19="",0,IF(R282="",0,IF(ISNUMBER(R282),R282,1)))</f>
        <v/>
      </c>
      <c r="AT282">
        <f>IF(Setup!$B$20="",0,IF(S282="",0,IF(ISNUMBER(S282),S282,1)))</f>
        <v/>
      </c>
    </row>
    <row r="283">
      <c r="A283" s="1" t="n"/>
      <c r="B283" s="24" t="n"/>
      <c r="C283" s="25" t="n"/>
      <c r="D283" s="25" t="n"/>
      <c r="E283" s="26" t="n"/>
      <c r="F283" s="27" t="n"/>
      <c r="G283" s="17" t="n"/>
      <c r="H283" s="28" t="n"/>
      <c r="I283" s="28" t="n"/>
      <c r="J283" s="28" t="n"/>
      <c r="K283" s="28" t="n"/>
      <c r="L283" s="28" t="n"/>
      <c r="M283" s="28" t="n"/>
      <c r="N283" s="28" t="n"/>
      <c r="O283" s="28" t="n"/>
      <c r="P283" s="28" t="n"/>
      <c r="Q283" s="28" t="n"/>
      <c r="R283" s="28" t="n"/>
      <c r="S283" s="28" t="n"/>
      <c r="T283" s="29">
        <f>IF(N(E283)=0,"",E283*IF(F283="",1,IFERROR(INDEX(Setup!$E$9:$E$18,MATCH(F283,Setup!$D$9:$D$18,0)),0)))</f>
        <v/>
      </c>
      <c r="U283" s="30">
        <f>IF(T283="","",IF(V283=0,"Everyone",IF(COUNTIF(AI283:AT283,"&gt;0")=COUNTIF(Setup!$B$9:$B$20,"?*"),"Everyone",COUNTIF(AI283:AT283,"&gt;0")&amp;IF(COUNTIF(AI283:AT283,"&gt;0")=1," person"," people"))))</f>
        <v/>
      </c>
      <c r="V283" s="1">
        <f>SUM(AI283:AT283)</f>
        <v/>
      </c>
      <c r="W283">
        <f>IF(OR(T283="",Setup!$B$9=""),0,IF(V283=0,T283/COUNTIF(Setup!$B$9:$B$20,"?*"),T283*AI283/V283))</f>
        <v/>
      </c>
      <c r="X283">
        <f>IF(OR(T283="",Setup!$B$10=""),0,IF(V283=0,T283/COUNTIF(Setup!$B$9:$B$20,"?*"),T283*AJ283/V283))</f>
        <v/>
      </c>
      <c r="Y283">
        <f>IF(OR(T283="",Setup!$B$11=""),0,IF(V283=0,T283/COUNTIF(Setup!$B$9:$B$20,"?*"),T283*AK283/V283))</f>
        <v/>
      </c>
      <c r="Z283">
        <f>IF(OR(T283="",Setup!$B$12=""),0,IF(V283=0,T283/COUNTIF(Setup!$B$9:$B$20,"?*"),T283*AL283/V283))</f>
        <v/>
      </c>
      <c r="AA283">
        <f>IF(OR(T283="",Setup!$B$13=""),0,IF(V283=0,T283/COUNTIF(Setup!$B$9:$B$20,"?*"),T283*AM283/V283))</f>
        <v/>
      </c>
      <c r="AB283">
        <f>IF(OR(T283="",Setup!$B$14=""),0,IF(V283=0,T283/COUNTIF(Setup!$B$9:$B$20,"?*"),T283*AN283/V283))</f>
        <v/>
      </c>
      <c r="AC283">
        <f>IF(OR(T283="",Setup!$B$15=""),0,IF(V283=0,T283/COUNTIF(Setup!$B$9:$B$20,"?*"),T283*AO283/V283))</f>
        <v/>
      </c>
      <c r="AD283">
        <f>IF(OR(T283="",Setup!$B$16=""),0,IF(V283=0,T283/COUNTIF(Setup!$B$9:$B$20,"?*"),T283*AP283/V283))</f>
        <v/>
      </c>
      <c r="AE283">
        <f>IF(OR(T283="",Setup!$B$17=""),0,IF(V283=0,T283/COUNTIF(Setup!$B$9:$B$20,"?*"),T283*AQ283/V283))</f>
        <v/>
      </c>
      <c r="AF283">
        <f>IF(OR(T283="",Setup!$B$18=""),0,IF(V283=0,T283/COUNTIF(Setup!$B$9:$B$20,"?*"),T283*AR283/V283))</f>
        <v/>
      </c>
      <c r="AG283">
        <f>IF(OR(T283="",Setup!$B$19=""),0,IF(V283=0,T283/COUNTIF(Setup!$B$9:$B$20,"?*"),T283*AS283/V283))</f>
        <v/>
      </c>
      <c r="AH283">
        <f>IF(OR(T283="",Setup!$B$20=""),0,IF(V283=0,T283/COUNTIF(Setup!$B$9:$B$20,"?*"),T283*AT283/V283))</f>
        <v/>
      </c>
      <c r="AI283">
        <f>IF(Setup!$B$9="",0,IF(H283="",0,IF(ISNUMBER(H283),H283,1)))</f>
        <v/>
      </c>
      <c r="AJ283">
        <f>IF(Setup!$B$10="",0,IF(I283="",0,IF(ISNUMBER(I283),I283,1)))</f>
        <v/>
      </c>
      <c r="AK283">
        <f>IF(Setup!$B$11="",0,IF(J283="",0,IF(ISNUMBER(J283),J283,1)))</f>
        <v/>
      </c>
      <c r="AL283">
        <f>IF(Setup!$B$12="",0,IF(K283="",0,IF(ISNUMBER(K283),K283,1)))</f>
        <v/>
      </c>
      <c r="AM283">
        <f>IF(Setup!$B$13="",0,IF(L283="",0,IF(ISNUMBER(L283),L283,1)))</f>
        <v/>
      </c>
      <c r="AN283">
        <f>IF(Setup!$B$14="",0,IF(M283="",0,IF(ISNUMBER(M283),M283,1)))</f>
        <v/>
      </c>
      <c r="AO283">
        <f>IF(Setup!$B$15="",0,IF(N283="",0,IF(ISNUMBER(N283),N283,1)))</f>
        <v/>
      </c>
      <c r="AP283">
        <f>IF(Setup!$B$16="",0,IF(O283="",0,IF(ISNUMBER(O283),O283,1)))</f>
        <v/>
      </c>
      <c r="AQ283">
        <f>IF(Setup!$B$17="",0,IF(P283="",0,IF(ISNUMBER(P283),P283,1)))</f>
        <v/>
      </c>
      <c r="AR283">
        <f>IF(Setup!$B$18="",0,IF(Q283="",0,IF(ISNUMBER(Q283),Q283,1)))</f>
        <v/>
      </c>
      <c r="AS283">
        <f>IF(Setup!$B$19="",0,IF(R283="",0,IF(ISNUMBER(R283),R283,1)))</f>
        <v/>
      </c>
      <c r="AT283">
        <f>IF(Setup!$B$20="",0,IF(S283="",0,IF(ISNUMBER(S283),S283,1)))</f>
        <v/>
      </c>
    </row>
    <row r="284">
      <c r="A284" s="1" t="n"/>
      <c r="B284" s="24" t="n"/>
      <c r="C284" s="25" t="n"/>
      <c r="D284" s="25" t="n"/>
      <c r="E284" s="26" t="n"/>
      <c r="F284" s="27" t="n"/>
      <c r="G284" s="17" t="n"/>
      <c r="H284" s="28" t="n"/>
      <c r="I284" s="28" t="n"/>
      <c r="J284" s="28" t="n"/>
      <c r="K284" s="28" t="n"/>
      <c r="L284" s="28" t="n"/>
      <c r="M284" s="28" t="n"/>
      <c r="N284" s="28" t="n"/>
      <c r="O284" s="28" t="n"/>
      <c r="P284" s="28" t="n"/>
      <c r="Q284" s="28" t="n"/>
      <c r="R284" s="28" t="n"/>
      <c r="S284" s="28" t="n"/>
      <c r="T284" s="29">
        <f>IF(N(E284)=0,"",E284*IF(F284="",1,IFERROR(INDEX(Setup!$E$9:$E$18,MATCH(F284,Setup!$D$9:$D$18,0)),0)))</f>
        <v/>
      </c>
      <c r="U284" s="30">
        <f>IF(T284="","",IF(V284=0,"Everyone",IF(COUNTIF(AI284:AT284,"&gt;0")=COUNTIF(Setup!$B$9:$B$20,"?*"),"Everyone",COUNTIF(AI284:AT284,"&gt;0")&amp;IF(COUNTIF(AI284:AT284,"&gt;0")=1," person"," people"))))</f>
        <v/>
      </c>
      <c r="V284" s="1">
        <f>SUM(AI284:AT284)</f>
        <v/>
      </c>
      <c r="W284">
        <f>IF(OR(T284="",Setup!$B$9=""),0,IF(V284=0,T284/COUNTIF(Setup!$B$9:$B$20,"?*"),T284*AI284/V284))</f>
        <v/>
      </c>
      <c r="X284">
        <f>IF(OR(T284="",Setup!$B$10=""),0,IF(V284=0,T284/COUNTIF(Setup!$B$9:$B$20,"?*"),T284*AJ284/V284))</f>
        <v/>
      </c>
      <c r="Y284">
        <f>IF(OR(T284="",Setup!$B$11=""),0,IF(V284=0,T284/COUNTIF(Setup!$B$9:$B$20,"?*"),T284*AK284/V284))</f>
        <v/>
      </c>
      <c r="Z284">
        <f>IF(OR(T284="",Setup!$B$12=""),0,IF(V284=0,T284/COUNTIF(Setup!$B$9:$B$20,"?*"),T284*AL284/V284))</f>
        <v/>
      </c>
      <c r="AA284">
        <f>IF(OR(T284="",Setup!$B$13=""),0,IF(V284=0,T284/COUNTIF(Setup!$B$9:$B$20,"?*"),T284*AM284/V284))</f>
        <v/>
      </c>
      <c r="AB284">
        <f>IF(OR(T284="",Setup!$B$14=""),0,IF(V284=0,T284/COUNTIF(Setup!$B$9:$B$20,"?*"),T284*AN284/V284))</f>
        <v/>
      </c>
      <c r="AC284">
        <f>IF(OR(T284="",Setup!$B$15=""),0,IF(V284=0,T284/COUNTIF(Setup!$B$9:$B$20,"?*"),T284*AO284/V284))</f>
        <v/>
      </c>
      <c r="AD284">
        <f>IF(OR(T284="",Setup!$B$16=""),0,IF(V284=0,T284/COUNTIF(Setup!$B$9:$B$20,"?*"),T284*AP284/V284))</f>
        <v/>
      </c>
      <c r="AE284">
        <f>IF(OR(T284="",Setup!$B$17=""),0,IF(V284=0,T284/COUNTIF(Setup!$B$9:$B$20,"?*"),T284*AQ284/V284))</f>
        <v/>
      </c>
      <c r="AF284">
        <f>IF(OR(T284="",Setup!$B$18=""),0,IF(V284=0,T284/COUNTIF(Setup!$B$9:$B$20,"?*"),T284*AR284/V284))</f>
        <v/>
      </c>
      <c r="AG284">
        <f>IF(OR(T284="",Setup!$B$19=""),0,IF(V284=0,T284/COUNTIF(Setup!$B$9:$B$20,"?*"),T284*AS284/V284))</f>
        <v/>
      </c>
      <c r="AH284">
        <f>IF(OR(T284="",Setup!$B$20=""),0,IF(V284=0,T284/COUNTIF(Setup!$B$9:$B$20,"?*"),T284*AT284/V284))</f>
        <v/>
      </c>
      <c r="AI284">
        <f>IF(Setup!$B$9="",0,IF(H284="",0,IF(ISNUMBER(H284),H284,1)))</f>
        <v/>
      </c>
      <c r="AJ284">
        <f>IF(Setup!$B$10="",0,IF(I284="",0,IF(ISNUMBER(I284),I284,1)))</f>
        <v/>
      </c>
      <c r="AK284">
        <f>IF(Setup!$B$11="",0,IF(J284="",0,IF(ISNUMBER(J284),J284,1)))</f>
        <v/>
      </c>
      <c r="AL284">
        <f>IF(Setup!$B$12="",0,IF(K284="",0,IF(ISNUMBER(K284),K284,1)))</f>
        <v/>
      </c>
      <c r="AM284">
        <f>IF(Setup!$B$13="",0,IF(L284="",0,IF(ISNUMBER(L284),L284,1)))</f>
        <v/>
      </c>
      <c r="AN284">
        <f>IF(Setup!$B$14="",0,IF(M284="",0,IF(ISNUMBER(M284),M284,1)))</f>
        <v/>
      </c>
      <c r="AO284">
        <f>IF(Setup!$B$15="",0,IF(N284="",0,IF(ISNUMBER(N284),N284,1)))</f>
        <v/>
      </c>
      <c r="AP284">
        <f>IF(Setup!$B$16="",0,IF(O284="",0,IF(ISNUMBER(O284),O284,1)))</f>
        <v/>
      </c>
      <c r="AQ284">
        <f>IF(Setup!$B$17="",0,IF(P284="",0,IF(ISNUMBER(P284),P284,1)))</f>
        <v/>
      </c>
      <c r="AR284">
        <f>IF(Setup!$B$18="",0,IF(Q284="",0,IF(ISNUMBER(Q284),Q284,1)))</f>
        <v/>
      </c>
      <c r="AS284">
        <f>IF(Setup!$B$19="",0,IF(R284="",0,IF(ISNUMBER(R284),R284,1)))</f>
        <v/>
      </c>
      <c r="AT284">
        <f>IF(Setup!$B$20="",0,IF(S284="",0,IF(ISNUMBER(S284),S284,1)))</f>
        <v/>
      </c>
    </row>
    <row r="285">
      <c r="A285" s="1" t="n"/>
      <c r="B285" s="24" t="n"/>
      <c r="C285" s="25" t="n"/>
      <c r="D285" s="25" t="n"/>
      <c r="E285" s="26" t="n"/>
      <c r="F285" s="27" t="n"/>
      <c r="G285" s="17" t="n"/>
      <c r="H285" s="28" t="n"/>
      <c r="I285" s="28" t="n"/>
      <c r="J285" s="28" t="n"/>
      <c r="K285" s="28" t="n"/>
      <c r="L285" s="28" t="n"/>
      <c r="M285" s="28" t="n"/>
      <c r="N285" s="28" t="n"/>
      <c r="O285" s="28" t="n"/>
      <c r="P285" s="28" t="n"/>
      <c r="Q285" s="28" t="n"/>
      <c r="R285" s="28" t="n"/>
      <c r="S285" s="28" t="n"/>
      <c r="T285" s="29">
        <f>IF(N(E285)=0,"",E285*IF(F285="",1,IFERROR(INDEX(Setup!$E$9:$E$18,MATCH(F285,Setup!$D$9:$D$18,0)),0)))</f>
        <v/>
      </c>
      <c r="U285" s="30">
        <f>IF(T285="","",IF(V285=0,"Everyone",IF(COUNTIF(AI285:AT285,"&gt;0")=COUNTIF(Setup!$B$9:$B$20,"?*"),"Everyone",COUNTIF(AI285:AT285,"&gt;0")&amp;IF(COUNTIF(AI285:AT285,"&gt;0")=1," person"," people"))))</f>
        <v/>
      </c>
      <c r="V285" s="1">
        <f>SUM(AI285:AT285)</f>
        <v/>
      </c>
      <c r="W285">
        <f>IF(OR(T285="",Setup!$B$9=""),0,IF(V285=0,T285/COUNTIF(Setup!$B$9:$B$20,"?*"),T285*AI285/V285))</f>
        <v/>
      </c>
      <c r="X285">
        <f>IF(OR(T285="",Setup!$B$10=""),0,IF(V285=0,T285/COUNTIF(Setup!$B$9:$B$20,"?*"),T285*AJ285/V285))</f>
        <v/>
      </c>
      <c r="Y285">
        <f>IF(OR(T285="",Setup!$B$11=""),0,IF(V285=0,T285/COUNTIF(Setup!$B$9:$B$20,"?*"),T285*AK285/V285))</f>
        <v/>
      </c>
      <c r="Z285">
        <f>IF(OR(T285="",Setup!$B$12=""),0,IF(V285=0,T285/COUNTIF(Setup!$B$9:$B$20,"?*"),T285*AL285/V285))</f>
        <v/>
      </c>
      <c r="AA285">
        <f>IF(OR(T285="",Setup!$B$13=""),0,IF(V285=0,T285/COUNTIF(Setup!$B$9:$B$20,"?*"),T285*AM285/V285))</f>
        <v/>
      </c>
      <c r="AB285">
        <f>IF(OR(T285="",Setup!$B$14=""),0,IF(V285=0,T285/COUNTIF(Setup!$B$9:$B$20,"?*"),T285*AN285/V285))</f>
        <v/>
      </c>
      <c r="AC285">
        <f>IF(OR(T285="",Setup!$B$15=""),0,IF(V285=0,T285/COUNTIF(Setup!$B$9:$B$20,"?*"),T285*AO285/V285))</f>
        <v/>
      </c>
      <c r="AD285">
        <f>IF(OR(T285="",Setup!$B$16=""),0,IF(V285=0,T285/COUNTIF(Setup!$B$9:$B$20,"?*"),T285*AP285/V285))</f>
        <v/>
      </c>
      <c r="AE285">
        <f>IF(OR(T285="",Setup!$B$17=""),0,IF(V285=0,T285/COUNTIF(Setup!$B$9:$B$20,"?*"),T285*AQ285/V285))</f>
        <v/>
      </c>
      <c r="AF285">
        <f>IF(OR(T285="",Setup!$B$18=""),0,IF(V285=0,T285/COUNTIF(Setup!$B$9:$B$20,"?*"),T285*AR285/V285))</f>
        <v/>
      </c>
      <c r="AG285">
        <f>IF(OR(T285="",Setup!$B$19=""),0,IF(V285=0,T285/COUNTIF(Setup!$B$9:$B$20,"?*"),T285*AS285/V285))</f>
        <v/>
      </c>
      <c r="AH285">
        <f>IF(OR(T285="",Setup!$B$20=""),0,IF(V285=0,T285/COUNTIF(Setup!$B$9:$B$20,"?*"),T285*AT285/V285))</f>
        <v/>
      </c>
      <c r="AI285">
        <f>IF(Setup!$B$9="",0,IF(H285="",0,IF(ISNUMBER(H285),H285,1)))</f>
        <v/>
      </c>
      <c r="AJ285">
        <f>IF(Setup!$B$10="",0,IF(I285="",0,IF(ISNUMBER(I285),I285,1)))</f>
        <v/>
      </c>
      <c r="AK285">
        <f>IF(Setup!$B$11="",0,IF(J285="",0,IF(ISNUMBER(J285),J285,1)))</f>
        <v/>
      </c>
      <c r="AL285">
        <f>IF(Setup!$B$12="",0,IF(K285="",0,IF(ISNUMBER(K285),K285,1)))</f>
        <v/>
      </c>
      <c r="AM285">
        <f>IF(Setup!$B$13="",0,IF(L285="",0,IF(ISNUMBER(L285),L285,1)))</f>
        <v/>
      </c>
      <c r="AN285">
        <f>IF(Setup!$B$14="",0,IF(M285="",0,IF(ISNUMBER(M285),M285,1)))</f>
        <v/>
      </c>
      <c r="AO285">
        <f>IF(Setup!$B$15="",0,IF(N285="",0,IF(ISNUMBER(N285),N285,1)))</f>
        <v/>
      </c>
      <c r="AP285">
        <f>IF(Setup!$B$16="",0,IF(O285="",0,IF(ISNUMBER(O285),O285,1)))</f>
        <v/>
      </c>
      <c r="AQ285">
        <f>IF(Setup!$B$17="",0,IF(P285="",0,IF(ISNUMBER(P285),P285,1)))</f>
        <v/>
      </c>
      <c r="AR285">
        <f>IF(Setup!$B$18="",0,IF(Q285="",0,IF(ISNUMBER(Q285),Q285,1)))</f>
        <v/>
      </c>
      <c r="AS285">
        <f>IF(Setup!$B$19="",0,IF(R285="",0,IF(ISNUMBER(R285),R285,1)))</f>
        <v/>
      </c>
      <c r="AT285">
        <f>IF(Setup!$B$20="",0,IF(S285="",0,IF(ISNUMBER(S285),S285,1)))</f>
        <v/>
      </c>
    </row>
    <row r="286">
      <c r="A286" s="1" t="n"/>
      <c r="B286" s="24" t="n"/>
      <c r="C286" s="25" t="n"/>
      <c r="D286" s="25" t="n"/>
      <c r="E286" s="26" t="n"/>
      <c r="F286" s="27" t="n"/>
      <c r="G286" s="17" t="n"/>
      <c r="H286" s="28" t="n"/>
      <c r="I286" s="28" t="n"/>
      <c r="J286" s="28" t="n"/>
      <c r="K286" s="28" t="n"/>
      <c r="L286" s="28" t="n"/>
      <c r="M286" s="28" t="n"/>
      <c r="N286" s="28" t="n"/>
      <c r="O286" s="28" t="n"/>
      <c r="P286" s="28" t="n"/>
      <c r="Q286" s="28" t="n"/>
      <c r="R286" s="28" t="n"/>
      <c r="S286" s="28" t="n"/>
      <c r="T286" s="29">
        <f>IF(N(E286)=0,"",E286*IF(F286="",1,IFERROR(INDEX(Setup!$E$9:$E$18,MATCH(F286,Setup!$D$9:$D$18,0)),0)))</f>
        <v/>
      </c>
      <c r="U286" s="30">
        <f>IF(T286="","",IF(V286=0,"Everyone",IF(COUNTIF(AI286:AT286,"&gt;0")=COUNTIF(Setup!$B$9:$B$20,"?*"),"Everyone",COUNTIF(AI286:AT286,"&gt;0")&amp;IF(COUNTIF(AI286:AT286,"&gt;0")=1," person"," people"))))</f>
        <v/>
      </c>
      <c r="V286" s="1">
        <f>SUM(AI286:AT286)</f>
        <v/>
      </c>
      <c r="W286">
        <f>IF(OR(T286="",Setup!$B$9=""),0,IF(V286=0,T286/COUNTIF(Setup!$B$9:$B$20,"?*"),T286*AI286/V286))</f>
        <v/>
      </c>
      <c r="X286">
        <f>IF(OR(T286="",Setup!$B$10=""),0,IF(V286=0,T286/COUNTIF(Setup!$B$9:$B$20,"?*"),T286*AJ286/V286))</f>
        <v/>
      </c>
      <c r="Y286">
        <f>IF(OR(T286="",Setup!$B$11=""),0,IF(V286=0,T286/COUNTIF(Setup!$B$9:$B$20,"?*"),T286*AK286/V286))</f>
        <v/>
      </c>
      <c r="Z286">
        <f>IF(OR(T286="",Setup!$B$12=""),0,IF(V286=0,T286/COUNTIF(Setup!$B$9:$B$20,"?*"),T286*AL286/V286))</f>
        <v/>
      </c>
      <c r="AA286">
        <f>IF(OR(T286="",Setup!$B$13=""),0,IF(V286=0,T286/COUNTIF(Setup!$B$9:$B$20,"?*"),T286*AM286/V286))</f>
        <v/>
      </c>
      <c r="AB286">
        <f>IF(OR(T286="",Setup!$B$14=""),0,IF(V286=0,T286/COUNTIF(Setup!$B$9:$B$20,"?*"),T286*AN286/V286))</f>
        <v/>
      </c>
      <c r="AC286">
        <f>IF(OR(T286="",Setup!$B$15=""),0,IF(V286=0,T286/COUNTIF(Setup!$B$9:$B$20,"?*"),T286*AO286/V286))</f>
        <v/>
      </c>
      <c r="AD286">
        <f>IF(OR(T286="",Setup!$B$16=""),0,IF(V286=0,T286/COUNTIF(Setup!$B$9:$B$20,"?*"),T286*AP286/V286))</f>
        <v/>
      </c>
      <c r="AE286">
        <f>IF(OR(T286="",Setup!$B$17=""),0,IF(V286=0,T286/COUNTIF(Setup!$B$9:$B$20,"?*"),T286*AQ286/V286))</f>
        <v/>
      </c>
      <c r="AF286">
        <f>IF(OR(T286="",Setup!$B$18=""),0,IF(V286=0,T286/COUNTIF(Setup!$B$9:$B$20,"?*"),T286*AR286/V286))</f>
        <v/>
      </c>
      <c r="AG286">
        <f>IF(OR(T286="",Setup!$B$19=""),0,IF(V286=0,T286/COUNTIF(Setup!$B$9:$B$20,"?*"),T286*AS286/V286))</f>
        <v/>
      </c>
      <c r="AH286">
        <f>IF(OR(T286="",Setup!$B$20=""),0,IF(V286=0,T286/COUNTIF(Setup!$B$9:$B$20,"?*"),T286*AT286/V286))</f>
        <v/>
      </c>
      <c r="AI286">
        <f>IF(Setup!$B$9="",0,IF(H286="",0,IF(ISNUMBER(H286),H286,1)))</f>
        <v/>
      </c>
      <c r="AJ286">
        <f>IF(Setup!$B$10="",0,IF(I286="",0,IF(ISNUMBER(I286),I286,1)))</f>
        <v/>
      </c>
      <c r="AK286">
        <f>IF(Setup!$B$11="",0,IF(J286="",0,IF(ISNUMBER(J286),J286,1)))</f>
        <v/>
      </c>
      <c r="AL286">
        <f>IF(Setup!$B$12="",0,IF(K286="",0,IF(ISNUMBER(K286),K286,1)))</f>
        <v/>
      </c>
      <c r="AM286">
        <f>IF(Setup!$B$13="",0,IF(L286="",0,IF(ISNUMBER(L286),L286,1)))</f>
        <v/>
      </c>
      <c r="AN286">
        <f>IF(Setup!$B$14="",0,IF(M286="",0,IF(ISNUMBER(M286),M286,1)))</f>
        <v/>
      </c>
      <c r="AO286">
        <f>IF(Setup!$B$15="",0,IF(N286="",0,IF(ISNUMBER(N286),N286,1)))</f>
        <v/>
      </c>
      <c r="AP286">
        <f>IF(Setup!$B$16="",0,IF(O286="",0,IF(ISNUMBER(O286),O286,1)))</f>
        <v/>
      </c>
      <c r="AQ286">
        <f>IF(Setup!$B$17="",0,IF(P286="",0,IF(ISNUMBER(P286),P286,1)))</f>
        <v/>
      </c>
      <c r="AR286">
        <f>IF(Setup!$B$18="",0,IF(Q286="",0,IF(ISNUMBER(Q286),Q286,1)))</f>
        <v/>
      </c>
      <c r="AS286">
        <f>IF(Setup!$B$19="",0,IF(R286="",0,IF(ISNUMBER(R286),R286,1)))</f>
        <v/>
      </c>
      <c r="AT286">
        <f>IF(Setup!$B$20="",0,IF(S286="",0,IF(ISNUMBER(S286),S286,1)))</f>
        <v/>
      </c>
    </row>
    <row r="287">
      <c r="A287" s="1" t="n"/>
      <c r="B287" s="24" t="n"/>
      <c r="C287" s="25" t="n"/>
      <c r="D287" s="25" t="n"/>
      <c r="E287" s="26" t="n"/>
      <c r="F287" s="27" t="n"/>
      <c r="G287" s="17" t="n"/>
      <c r="H287" s="28" t="n"/>
      <c r="I287" s="28" t="n"/>
      <c r="J287" s="28" t="n"/>
      <c r="K287" s="28" t="n"/>
      <c r="L287" s="28" t="n"/>
      <c r="M287" s="28" t="n"/>
      <c r="N287" s="28" t="n"/>
      <c r="O287" s="28" t="n"/>
      <c r="P287" s="28" t="n"/>
      <c r="Q287" s="28" t="n"/>
      <c r="R287" s="28" t="n"/>
      <c r="S287" s="28" t="n"/>
      <c r="T287" s="29">
        <f>IF(N(E287)=0,"",E287*IF(F287="",1,IFERROR(INDEX(Setup!$E$9:$E$18,MATCH(F287,Setup!$D$9:$D$18,0)),0)))</f>
        <v/>
      </c>
      <c r="U287" s="30">
        <f>IF(T287="","",IF(V287=0,"Everyone",IF(COUNTIF(AI287:AT287,"&gt;0")=COUNTIF(Setup!$B$9:$B$20,"?*"),"Everyone",COUNTIF(AI287:AT287,"&gt;0")&amp;IF(COUNTIF(AI287:AT287,"&gt;0")=1," person"," people"))))</f>
        <v/>
      </c>
      <c r="V287" s="1">
        <f>SUM(AI287:AT287)</f>
        <v/>
      </c>
      <c r="W287">
        <f>IF(OR(T287="",Setup!$B$9=""),0,IF(V287=0,T287/COUNTIF(Setup!$B$9:$B$20,"?*"),T287*AI287/V287))</f>
        <v/>
      </c>
      <c r="X287">
        <f>IF(OR(T287="",Setup!$B$10=""),0,IF(V287=0,T287/COUNTIF(Setup!$B$9:$B$20,"?*"),T287*AJ287/V287))</f>
        <v/>
      </c>
      <c r="Y287">
        <f>IF(OR(T287="",Setup!$B$11=""),0,IF(V287=0,T287/COUNTIF(Setup!$B$9:$B$20,"?*"),T287*AK287/V287))</f>
        <v/>
      </c>
      <c r="Z287">
        <f>IF(OR(T287="",Setup!$B$12=""),0,IF(V287=0,T287/COUNTIF(Setup!$B$9:$B$20,"?*"),T287*AL287/V287))</f>
        <v/>
      </c>
      <c r="AA287">
        <f>IF(OR(T287="",Setup!$B$13=""),0,IF(V287=0,T287/COUNTIF(Setup!$B$9:$B$20,"?*"),T287*AM287/V287))</f>
        <v/>
      </c>
      <c r="AB287">
        <f>IF(OR(T287="",Setup!$B$14=""),0,IF(V287=0,T287/COUNTIF(Setup!$B$9:$B$20,"?*"),T287*AN287/V287))</f>
        <v/>
      </c>
      <c r="AC287">
        <f>IF(OR(T287="",Setup!$B$15=""),0,IF(V287=0,T287/COUNTIF(Setup!$B$9:$B$20,"?*"),T287*AO287/V287))</f>
        <v/>
      </c>
      <c r="AD287">
        <f>IF(OR(T287="",Setup!$B$16=""),0,IF(V287=0,T287/COUNTIF(Setup!$B$9:$B$20,"?*"),T287*AP287/V287))</f>
        <v/>
      </c>
      <c r="AE287">
        <f>IF(OR(T287="",Setup!$B$17=""),0,IF(V287=0,T287/COUNTIF(Setup!$B$9:$B$20,"?*"),T287*AQ287/V287))</f>
        <v/>
      </c>
      <c r="AF287">
        <f>IF(OR(T287="",Setup!$B$18=""),0,IF(V287=0,T287/COUNTIF(Setup!$B$9:$B$20,"?*"),T287*AR287/V287))</f>
        <v/>
      </c>
      <c r="AG287">
        <f>IF(OR(T287="",Setup!$B$19=""),0,IF(V287=0,T287/COUNTIF(Setup!$B$9:$B$20,"?*"),T287*AS287/V287))</f>
        <v/>
      </c>
      <c r="AH287">
        <f>IF(OR(T287="",Setup!$B$20=""),0,IF(V287=0,T287/COUNTIF(Setup!$B$9:$B$20,"?*"),T287*AT287/V287))</f>
        <v/>
      </c>
      <c r="AI287">
        <f>IF(Setup!$B$9="",0,IF(H287="",0,IF(ISNUMBER(H287),H287,1)))</f>
        <v/>
      </c>
      <c r="AJ287">
        <f>IF(Setup!$B$10="",0,IF(I287="",0,IF(ISNUMBER(I287),I287,1)))</f>
        <v/>
      </c>
      <c r="AK287">
        <f>IF(Setup!$B$11="",0,IF(J287="",0,IF(ISNUMBER(J287),J287,1)))</f>
        <v/>
      </c>
      <c r="AL287">
        <f>IF(Setup!$B$12="",0,IF(K287="",0,IF(ISNUMBER(K287),K287,1)))</f>
        <v/>
      </c>
      <c r="AM287">
        <f>IF(Setup!$B$13="",0,IF(L287="",0,IF(ISNUMBER(L287),L287,1)))</f>
        <v/>
      </c>
      <c r="AN287">
        <f>IF(Setup!$B$14="",0,IF(M287="",0,IF(ISNUMBER(M287),M287,1)))</f>
        <v/>
      </c>
      <c r="AO287">
        <f>IF(Setup!$B$15="",0,IF(N287="",0,IF(ISNUMBER(N287),N287,1)))</f>
        <v/>
      </c>
      <c r="AP287">
        <f>IF(Setup!$B$16="",0,IF(O287="",0,IF(ISNUMBER(O287),O287,1)))</f>
        <v/>
      </c>
      <c r="AQ287">
        <f>IF(Setup!$B$17="",0,IF(P287="",0,IF(ISNUMBER(P287),P287,1)))</f>
        <v/>
      </c>
      <c r="AR287">
        <f>IF(Setup!$B$18="",0,IF(Q287="",0,IF(ISNUMBER(Q287),Q287,1)))</f>
        <v/>
      </c>
      <c r="AS287">
        <f>IF(Setup!$B$19="",0,IF(R287="",0,IF(ISNUMBER(R287),R287,1)))</f>
        <v/>
      </c>
      <c r="AT287">
        <f>IF(Setup!$B$20="",0,IF(S287="",0,IF(ISNUMBER(S287),S287,1)))</f>
        <v/>
      </c>
    </row>
    <row r="288">
      <c r="A288" s="1" t="n"/>
      <c r="B288" s="24" t="n"/>
      <c r="C288" s="25" t="n"/>
      <c r="D288" s="25" t="n"/>
      <c r="E288" s="26" t="n"/>
      <c r="F288" s="27" t="n"/>
      <c r="G288" s="17" t="n"/>
      <c r="H288" s="28" t="n"/>
      <c r="I288" s="28" t="n"/>
      <c r="J288" s="28" t="n"/>
      <c r="K288" s="28" t="n"/>
      <c r="L288" s="28" t="n"/>
      <c r="M288" s="28" t="n"/>
      <c r="N288" s="28" t="n"/>
      <c r="O288" s="28" t="n"/>
      <c r="P288" s="28" t="n"/>
      <c r="Q288" s="28" t="n"/>
      <c r="R288" s="28" t="n"/>
      <c r="S288" s="28" t="n"/>
      <c r="T288" s="29">
        <f>IF(N(E288)=0,"",E288*IF(F288="",1,IFERROR(INDEX(Setup!$E$9:$E$18,MATCH(F288,Setup!$D$9:$D$18,0)),0)))</f>
        <v/>
      </c>
      <c r="U288" s="30">
        <f>IF(T288="","",IF(V288=0,"Everyone",IF(COUNTIF(AI288:AT288,"&gt;0")=COUNTIF(Setup!$B$9:$B$20,"?*"),"Everyone",COUNTIF(AI288:AT288,"&gt;0")&amp;IF(COUNTIF(AI288:AT288,"&gt;0")=1," person"," people"))))</f>
        <v/>
      </c>
      <c r="V288" s="1">
        <f>SUM(AI288:AT288)</f>
        <v/>
      </c>
      <c r="W288">
        <f>IF(OR(T288="",Setup!$B$9=""),0,IF(V288=0,T288/COUNTIF(Setup!$B$9:$B$20,"?*"),T288*AI288/V288))</f>
        <v/>
      </c>
      <c r="X288">
        <f>IF(OR(T288="",Setup!$B$10=""),0,IF(V288=0,T288/COUNTIF(Setup!$B$9:$B$20,"?*"),T288*AJ288/V288))</f>
        <v/>
      </c>
      <c r="Y288">
        <f>IF(OR(T288="",Setup!$B$11=""),0,IF(V288=0,T288/COUNTIF(Setup!$B$9:$B$20,"?*"),T288*AK288/V288))</f>
        <v/>
      </c>
      <c r="Z288">
        <f>IF(OR(T288="",Setup!$B$12=""),0,IF(V288=0,T288/COUNTIF(Setup!$B$9:$B$20,"?*"),T288*AL288/V288))</f>
        <v/>
      </c>
      <c r="AA288">
        <f>IF(OR(T288="",Setup!$B$13=""),0,IF(V288=0,T288/COUNTIF(Setup!$B$9:$B$20,"?*"),T288*AM288/V288))</f>
        <v/>
      </c>
      <c r="AB288">
        <f>IF(OR(T288="",Setup!$B$14=""),0,IF(V288=0,T288/COUNTIF(Setup!$B$9:$B$20,"?*"),T288*AN288/V288))</f>
        <v/>
      </c>
      <c r="AC288">
        <f>IF(OR(T288="",Setup!$B$15=""),0,IF(V288=0,T288/COUNTIF(Setup!$B$9:$B$20,"?*"),T288*AO288/V288))</f>
        <v/>
      </c>
      <c r="AD288">
        <f>IF(OR(T288="",Setup!$B$16=""),0,IF(V288=0,T288/COUNTIF(Setup!$B$9:$B$20,"?*"),T288*AP288/V288))</f>
        <v/>
      </c>
      <c r="AE288">
        <f>IF(OR(T288="",Setup!$B$17=""),0,IF(V288=0,T288/COUNTIF(Setup!$B$9:$B$20,"?*"),T288*AQ288/V288))</f>
        <v/>
      </c>
      <c r="AF288">
        <f>IF(OR(T288="",Setup!$B$18=""),0,IF(V288=0,T288/COUNTIF(Setup!$B$9:$B$20,"?*"),T288*AR288/V288))</f>
        <v/>
      </c>
      <c r="AG288">
        <f>IF(OR(T288="",Setup!$B$19=""),0,IF(V288=0,T288/COUNTIF(Setup!$B$9:$B$20,"?*"),T288*AS288/V288))</f>
        <v/>
      </c>
      <c r="AH288">
        <f>IF(OR(T288="",Setup!$B$20=""),0,IF(V288=0,T288/COUNTIF(Setup!$B$9:$B$20,"?*"),T288*AT288/V288))</f>
        <v/>
      </c>
      <c r="AI288">
        <f>IF(Setup!$B$9="",0,IF(H288="",0,IF(ISNUMBER(H288),H288,1)))</f>
        <v/>
      </c>
      <c r="AJ288">
        <f>IF(Setup!$B$10="",0,IF(I288="",0,IF(ISNUMBER(I288),I288,1)))</f>
        <v/>
      </c>
      <c r="AK288">
        <f>IF(Setup!$B$11="",0,IF(J288="",0,IF(ISNUMBER(J288),J288,1)))</f>
        <v/>
      </c>
      <c r="AL288">
        <f>IF(Setup!$B$12="",0,IF(K288="",0,IF(ISNUMBER(K288),K288,1)))</f>
        <v/>
      </c>
      <c r="AM288">
        <f>IF(Setup!$B$13="",0,IF(L288="",0,IF(ISNUMBER(L288),L288,1)))</f>
        <v/>
      </c>
      <c r="AN288">
        <f>IF(Setup!$B$14="",0,IF(M288="",0,IF(ISNUMBER(M288),M288,1)))</f>
        <v/>
      </c>
      <c r="AO288">
        <f>IF(Setup!$B$15="",0,IF(N288="",0,IF(ISNUMBER(N288),N288,1)))</f>
        <v/>
      </c>
      <c r="AP288">
        <f>IF(Setup!$B$16="",0,IF(O288="",0,IF(ISNUMBER(O288),O288,1)))</f>
        <v/>
      </c>
      <c r="AQ288">
        <f>IF(Setup!$B$17="",0,IF(P288="",0,IF(ISNUMBER(P288),P288,1)))</f>
        <v/>
      </c>
      <c r="AR288">
        <f>IF(Setup!$B$18="",0,IF(Q288="",0,IF(ISNUMBER(Q288),Q288,1)))</f>
        <v/>
      </c>
      <c r="AS288">
        <f>IF(Setup!$B$19="",0,IF(R288="",0,IF(ISNUMBER(R288),R288,1)))</f>
        <v/>
      </c>
      <c r="AT288">
        <f>IF(Setup!$B$20="",0,IF(S288="",0,IF(ISNUMBER(S288),S288,1)))</f>
        <v/>
      </c>
    </row>
    <row r="289">
      <c r="A289" s="1" t="n"/>
      <c r="B289" s="24" t="n"/>
      <c r="C289" s="25" t="n"/>
      <c r="D289" s="25" t="n"/>
      <c r="E289" s="26" t="n"/>
      <c r="F289" s="27" t="n"/>
      <c r="G289" s="17" t="n"/>
      <c r="H289" s="28" t="n"/>
      <c r="I289" s="28" t="n"/>
      <c r="J289" s="28" t="n"/>
      <c r="K289" s="28" t="n"/>
      <c r="L289" s="28" t="n"/>
      <c r="M289" s="28" t="n"/>
      <c r="N289" s="28" t="n"/>
      <c r="O289" s="28" t="n"/>
      <c r="P289" s="28" t="n"/>
      <c r="Q289" s="28" t="n"/>
      <c r="R289" s="28" t="n"/>
      <c r="S289" s="28" t="n"/>
      <c r="T289" s="29">
        <f>IF(N(E289)=0,"",E289*IF(F289="",1,IFERROR(INDEX(Setup!$E$9:$E$18,MATCH(F289,Setup!$D$9:$D$18,0)),0)))</f>
        <v/>
      </c>
      <c r="U289" s="30">
        <f>IF(T289="","",IF(V289=0,"Everyone",IF(COUNTIF(AI289:AT289,"&gt;0")=COUNTIF(Setup!$B$9:$B$20,"?*"),"Everyone",COUNTIF(AI289:AT289,"&gt;0")&amp;IF(COUNTIF(AI289:AT289,"&gt;0")=1," person"," people"))))</f>
        <v/>
      </c>
      <c r="V289" s="1">
        <f>SUM(AI289:AT289)</f>
        <v/>
      </c>
      <c r="W289">
        <f>IF(OR(T289="",Setup!$B$9=""),0,IF(V289=0,T289/COUNTIF(Setup!$B$9:$B$20,"?*"),T289*AI289/V289))</f>
        <v/>
      </c>
      <c r="X289">
        <f>IF(OR(T289="",Setup!$B$10=""),0,IF(V289=0,T289/COUNTIF(Setup!$B$9:$B$20,"?*"),T289*AJ289/V289))</f>
        <v/>
      </c>
      <c r="Y289">
        <f>IF(OR(T289="",Setup!$B$11=""),0,IF(V289=0,T289/COUNTIF(Setup!$B$9:$B$20,"?*"),T289*AK289/V289))</f>
        <v/>
      </c>
      <c r="Z289">
        <f>IF(OR(T289="",Setup!$B$12=""),0,IF(V289=0,T289/COUNTIF(Setup!$B$9:$B$20,"?*"),T289*AL289/V289))</f>
        <v/>
      </c>
      <c r="AA289">
        <f>IF(OR(T289="",Setup!$B$13=""),0,IF(V289=0,T289/COUNTIF(Setup!$B$9:$B$20,"?*"),T289*AM289/V289))</f>
        <v/>
      </c>
      <c r="AB289">
        <f>IF(OR(T289="",Setup!$B$14=""),0,IF(V289=0,T289/COUNTIF(Setup!$B$9:$B$20,"?*"),T289*AN289/V289))</f>
        <v/>
      </c>
      <c r="AC289">
        <f>IF(OR(T289="",Setup!$B$15=""),0,IF(V289=0,T289/COUNTIF(Setup!$B$9:$B$20,"?*"),T289*AO289/V289))</f>
        <v/>
      </c>
      <c r="AD289">
        <f>IF(OR(T289="",Setup!$B$16=""),0,IF(V289=0,T289/COUNTIF(Setup!$B$9:$B$20,"?*"),T289*AP289/V289))</f>
        <v/>
      </c>
      <c r="AE289">
        <f>IF(OR(T289="",Setup!$B$17=""),0,IF(V289=0,T289/COUNTIF(Setup!$B$9:$B$20,"?*"),T289*AQ289/V289))</f>
        <v/>
      </c>
      <c r="AF289">
        <f>IF(OR(T289="",Setup!$B$18=""),0,IF(V289=0,T289/COUNTIF(Setup!$B$9:$B$20,"?*"),T289*AR289/V289))</f>
        <v/>
      </c>
      <c r="AG289">
        <f>IF(OR(T289="",Setup!$B$19=""),0,IF(V289=0,T289/COUNTIF(Setup!$B$9:$B$20,"?*"),T289*AS289/V289))</f>
        <v/>
      </c>
      <c r="AH289">
        <f>IF(OR(T289="",Setup!$B$20=""),0,IF(V289=0,T289/COUNTIF(Setup!$B$9:$B$20,"?*"),T289*AT289/V289))</f>
        <v/>
      </c>
      <c r="AI289">
        <f>IF(Setup!$B$9="",0,IF(H289="",0,IF(ISNUMBER(H289),H289,1)))</f>
        <v/>
      </c>
      <c r="AJ289">
        <f>IF(Setup!$B$10="",0,IF(I289="",0,IF(ISNUMBER(I289),I289,1)))</f>
        <v/>
      </c>
      <c r="AK289">
        <f>IF(Setup!$B$11="",0,IF(J289="",0,IF(ISNUMBER(J289),J289,1)))</f>
        <v/>
      </c>
      <c r="AL289">
        <f>IF(Setup!$B$12="",0,IF(K289="",0,IF(ISNUMBER(K289),K289,1)))</f>
        <v/>
      </c>
      <c r="AM289">
        <f>IF(Setup!$B$13="",0,IF(L289="",0,IF(ISNUMBER(L289),L289,1)))</f>
        <v/>
      </c>
      <c r="AN289">
        <f>IF(Setup!$B$14="",0,IF(M289="",0,IF(ISNUMBER(M289),M289,1)))</f>
        <v/>
      </c>
      <c r="AO289">
        <f>IF(Setup!$B$15="",0,IF(N289="",0,IF(ISNUMBER(N289),N289,1)))</f>
        <v/>
      </c>
      <c r="AP289">
        <f>IF(Setup!$B$16="",0,IF(O289="",0,IF(ISNUMBER(O289),O289,1)))</f>
        <v/>
      </c>
      <c r="AQ289">
        <f>IF(Setup!$B$17="",0,IF(P289="",0,IF(ISNUMBER(P289),P289,1)))</f>
        <v/>
      </c>
      <c r="AR289">
        <f>IF(Setup!$B$18="",0,IF(Q289="",0,IF(ISNUMBER(Q289),Q289,1)))</f>
        <v/>
      </c>
      <c r="AS289">
        <f>IF(Setup!$B$19="",0,IF(R289="",0,IF(ISNUMBER(R289),R289,1)))</f>
        <v/>
      </c>
      <c r="AT289">
        <f>IF(Setup!$B$20="",0,IF(S289="",0,IF(ISNUMBER(S289),S289,1)))</f>
        <v/>
      </c>
    </row>
    <row r="290">
      <c r="A290" s="1" t="n"/>
      <c r="B290" s="24" t="n"/>
      <c r="C290" s="25" t="n"/>
      <c r="D290" s="25" t="n"/>
      <c r="E290" s="26" t="n"/>
      <c r="F290" s="27" t="n"/>
      <c r="G290" s="17" t="n"/>
      <c r="H290" s="28" t="n"/>
      <c r="I290" s="28" t="n"/>
      <c r="J290" s="28" t="n"/>
      <c r="K290" s="28" t="n"/>
      <c r="L290" s="28" t="n"/>
      <c r="M290" s="28" t="n"/>
      <c r="N290" s="28" t="n"/>
      <c r="O290" s="28" t="n"/>
      <c r="P290" s="28" t="n"/>
      <c r="Q290" s="28" t="n"/>
      <c r="R290" s="28" t="n"/>
      <c r="S290" s="28" t="n"/>
      <c r="T290" s="29">
        <f>IF(N(E290)=0,"",E290*IF(F290="",1,IFERROR(INDEX(Setup!$E$9:$E$18,MATCH(F290,Setup!$D$9:$D$18,0)),0)))</f>
        <v/>
      </c>
      <c r="U290" s="30">
        <f>IF(T290="","",IF(V290=0,"Everyone",IF(COUNTIF(AI290:AT290,"&gt;0")=COUNTIF(Setup!$B$9:$B$20,"?*"),"Everyone",COUNTIF(AI290:AT290,"&gt;0")&amp;IF(COUNTIF(AI290:AT290,"&gt;0")=1," person"," people"))))</f>
        <v/>
      </c>
      <c r="V290" s="1">
        <f>SUM(AI290:AT290)</f>
        <v/>
      </c>
      <c r="W290">
        <f>IF(OR(T290="",Setup!$B$9=""),0,IF(V290=0,T290/COUNTIF(Setup!$B$9:$B$20,"?*"),T290*AI290/V290))</f>
        <v/>
      </c>
      <c r="X290">
        <f>IF(OR(T290="",Setup!$B$10=""),0,IF(V290=0,T290/COUNTIF(Setup!$B$9:$B$20,"?*"),T290*AJ290/V290))</f>
        <v/>
      </c>
      <c r="Y290">
        <f>IF(OR(T290="",Setup!$B$11=""),0,IF(V290=0,T290/COUNTIF(Setup!$B$9:$B$20,"?*"),T290*AK290/V290))</f>
        <v/>
      </c>
      <c r="Z290">
        <f>IF(OR(T290="",Setup!$B$12=""),0,IF(V290=0,T290/COUNTIF(Setup!$B$9:$B$20,"?*"),T290*AL290/V290))</f>
        <v/>
      </c>
      <c r="AA290">
        <f>IF(OR(T290="",Setup!$B$13=""),0,IF(V290=0,T290/COUNTIF(Setup!$B$9:$B$20,"?*"),T290*AM290/V290))</f>
        <v/>
      </c>
      <c r="AB290">
        <f>IF(OR(T290="",Setup!$B$14=""),0,IF(V290=0,T290/COUNTIF(Setup!$B$9:$B$20,"?*"),T290*AN290/V290))</f>
        <v/>
      </c>
      <c r="AC290">
        <f>IF(OR(T290="",Setup!$B$15=""),0,IF(V290=0,T290/COUNTIF(Setup!$B$9:$B$20,"?*"),T290*AO290/V290))</f>
        <v/>
      </c>
      <c r="AD290">
        <f>IF(OR(T290="",Setup!$B$16=""),0,IF(V290=0,T290/COUNTIF(Setup!$B$9:$B$20,"?*"),T290*AP290/V290))</f>
        <v/>
      </c>
      <c r="AE290">
        <f>IF(OR(T290="",Setup!$B$17=""),0,IF(V290=0,T290/COUNTIF(Setup!$B$9:$B$20,"?*"),T290*AQ290/V290))</f>
        <v/>
      </c>
      <c r="AF290">
        <f>IF(OR(T290="",Setup!$B$18=""),0,IF(V290=0,T290/COUNTIF(Setup!$B$9:$B$20,"?*"),T290*AR290/V290))</f>
        <v/>
      </c>
      <c r="AG290">
        <f>IF(OR(T290="",Setup!$B$19=""),0,IF(V290=0,T290/COUNTIF(Setup!$B$9:$B$20,"?*"),T290*AS290/V290))</f>
        <v/>
      </c>
      <c r="AH290">
        <f>IF(OR(T290="",Setup!$B$20=""),0,IF(V290=0,T290/COUNTIF(Setup!$B$9:$B$20,"?*"),T290*AT290/V290))</f>
        <v/>
      </c>
      <c r="AI290">
        <f>IF(Setup!$B$9="",0,IF(H290="",0,IF(ISNUMBER(H290),H290,1)))</f>
        <v/>
      </c>
      <c r="AJ290">
        <f>IF(Setup!$B$10="",0,IF(I290="",0,IF(ISNUMBER(I290),I290,1)))</f>
        <v/>
      </c>
      <c r="AK290">
        <f>IF(Setup!$B$11="",0,IF(J290="",0,IF(ISNUMBER(J290),J290,1)))</f>
        <v/>
      </c>
      <c r="AL290">
        <f>IF(Setup!$B$12="",0,IF(K290="",0,IF(ISNUMBER(K290),K290,1)))</f>
        <v/>
      </c>
      <c r="AM290">
        <f>IF(Setup!$B$13="",0,IF(L290="",0,IF(ISNUMBER(L290),L290,1)))</f>
        <v/>
      </c>
      <c r="AN290">
        <f>IF(Setup!$B$14="",0,IF(M290="",0,IF(ISNUMBER(M290),M290,1)))</f>
        <v/>
      </c>
      <c r="AO290">
        <f>IF(Setup!$B$15="",0,IF(N290="",0,IF(ISNUMBER(N290),N290,1)))</f>
        <v/>
      </c>
      <c r="AP290">
        <f>IF(Setup!$B$16="",0,IF(O290="",0,IF(ISNUMBER(O290),O290,1)))</f>
        <v/>
      </c>
      <c r="AQ290">
        <f>IF(Setup!$B$17="",0,IF(P290="",0,IF(ISNUMBER(P290),P290,1)))</f>
        <v/>
      </c>
      <c r="AR290">
        <f>IF(Setup!$B$18="",0,IF(Q290="",0,IF(ISNUMBER(Q290),Q290,1)))</f>
        <v/>
      </c>
      <c r="AS290">
        <f>IF(Setup!$B$19="",0,IF(R290="",0,IF(ISNUMBER(R290),R290,1)))</f>
        <v/>
      </c>
      <c r="AT290">
        <f>IF(Setup!$B$20="",0,IF(S290="",0,IF(ISNUMBER(S290),S290,1)))</f>
        <v/>
      </c>
    </row>
    <row r="291">
      <c r="A291" s="1" t="n"/>
      <c r="B291" s="24" t="n"/>
      <c r="C291" s="25" t="n"/>
      <c r="D291" s="25" t="n"/>
      <c r="E291" s="26" t="n"/>
      <c r="F291" s="27" t="n"/>
      <c r="G291" s="17" t="n"/>
      <c r="H291" s="28" t="n"/>
      <c r="I291" s="28" t="n"/>
      <c r="J291" s="28" t="n"/>
      <c r="K291" s="28" t="n"/>
      <c r="L291" s="28" t="n"/>
      <c r="M291" s="28" t="n"/>
      <c r="N291" s="28" t="n"/>
      <c r="O291" s="28" t="n"/>
      <c r="P291" s="28" t="n"/>
      <c r="Q291" s="28" t="n"/>
      <c r="R291" s="28" t="n"/>
      <c r="S291" s="28" t="n"/>
      <c r="T291" s="29">
        <f>IF(N(E291)=0,"",E291*IF(F291="",1,IFERROR(INDEX(Setup!$E$9:$E$18,MATCH(F291,Setup!$D$9:$D$18,0)),0)))</f>
        <v/>
      </c>
      <c r="U291" s="30">
        <f>IF(T291="","",IF(V291=0,"Everyone",IF(COUNTIF(AI291:AT291,"&gt;0")=COUNTIF(Setup!$B$9:$B$20,"?*"),"Everyone",COUNTIF(AI291:AT291,"&gt;0")&amp;IF(COUNTIF(AI291:AT291,"&gt;0")=1," person"," people"))))</f>
        <v/>
      </c>
      <c r="V291" s="1">
        <f>SUM(AI291:AT291)</f>
        <v/>
      </c>
      <c r="W291">
        <f>IF(OR(T291="",Setup!$B$9=""),0,IF(V291=0,T291/COUNTIF(Setup!$B$9:$B$20,"?*"),T291*AI291/V291))</f>
        <v/>
      </c>
      <c r="X291">
        <f>IF(OR(T291="",Setup!$B$10=""),0,IF(V291=0,T291/COUNTIF(Setup!$B$9:$B$20,"?*"),T291*AJ291/V291))</f>
        <v/>
      </c>
      <c r="Y291">
        <f>IF(OR(T291="",Setup!$B$11=""),0,IF(V291=0,T291/COUNTIF(Setup!$B$9:$B$20,"?*"),T291*AK291/V291))</f>
        <v/>
      </c>
      <c r="Z291">
        <f>IF(OR(T291="",Setup!$B$12=""),0,IF(V291=0,T291/COUNTIF(Setup!$B$9:$B$20,"?*"),T291*AL291/V291))</f>
        <v/>
      </c>
      <c r="AA291">
        <f>IF(OR(T291="",Setup!$B$13=""),0,IF(V291=0,T291/COUNTIF(Setup!$B$9:$B$20,"?*"),T291*AM291/V291))</f>
        <v/>
      </c>
      <c r="AB291">
        <f>IF(OR(T291="",Setup!$B$14=""),0,IF(V291=0,T291/COUNTIF(Setup!$B$9:$B$20,"?*"),T291*AN291/V291))</f>
        <v/>
      </c>
      <c r="AC291">
        <f>IF(OR(T291="",Setup!$B$15=""),0,IF(V291=0,T291/COUNTIF(Setup!$B$9:$B$20,"?*"),T291*AO291/V291))</f>
        <v/>
      </c>
      <c r="AD291">
        <f>IF(OR(T291="",Setup!$B$16=""),0,IF(V291=0,T291/COUNTIF(Setup!$B$9:$B$20,"?*"),T291*AP291/V291))</f>
        <v/>
      </c>
      <c r="AE291">
        <f>IF(OR(T291="",Setup!$B$17=""),0,IF(V291=0,T291/COUNTIF(Setup!$B$9:$B$20,"?*"),T291*AQ291/V291))</f>
        <v/>
      </c>
      <c r="AF291">
        <f>IF(OR(T291="",Setup!$B$18=""),0,IF(V291=0,T291/COUNTIF(Setup!$B$9:$B$20,"?*"),T291*AR291/V291))</f>
        <v/>
      </c>
      <c r="AG291">
        <f>IF(OR(T291="",Setup!$B$19=""),0,IF(V291=0,T291/COUNTIF(Setup!$B$9:$B$20,"?*"),T291*AS291/V291))</f>
        <v/>
      </c>
      <c r="AH291">
        <f>IF(OR(T291="",Setup!$B$20=""),0,IF(V291=0,T291/COUNTIF(Setup!$B$9:$B$20,"?*"),T291*AT291/V291))</f>
        <v/>
      </c>
      <c r="AI291">
        <f>IF(Setup!$B$9="",0,IF(H291="",0,IF(ISNUMBER(H291),H291,1)))</f>
        <v/>
      </c>
      <c r="AJ291">
        <f>IF(Setup!$B$10="",0,IF(I291="",0,IF(ISNUMBER(I291),I291,1)))</f>
        <v/>
      </c>
      <c r="AK291">
        <f>IF(Setup!$B$11="",0,IF(J291="",0,IF(ISNUMBER(J291),J291,1)))</f>
        <v/>
      </c>
      <c r="AL291">
        <f>IF(Setup!$B$12="",0,IF(K291="",0,IF(ISNUMBER(K291),K291,1)))</f>
        <v/>
      </c>
      <c r="AM291">
        <f>IF(Setup!$B$13="",0,IF(L291="",0,IF(ISNUMBER(L291),L291,1)))</f>
        <v/>
      </c>
      <c r="AN291">
        <f>IF(Setup!$B$14="",0,IF(M291="",0,IF(ISNUMBER(M291),M291,1)))</f>
        <v/>
      </c>
      <c r="AO291">
        <f>IF(Setup!$B$15="",0,IF(N291="",0,IF(ISNUMBER(N291),N291,1)))</f>
        <v/>
      </c>
      <c r="AP291">
        <f>IF(Setup!$B$16="",0,IF(O291="",0,IF(ISNUMBER(O291),O291,1)))</f>
        <v/>
      </c>
      <c r="AQ291">
        <f>IF(Setup!$B$17="",0,IF(P291="",0,IF(ISNUMBER(P291),P291,1)))</f>
        <v/>
      </c>
      <c r="AR291">
        <f>IF(Setup!$B$18="",0,IF(Q291="",0,IF(ISNUMBER(Q291),Q291,1)))</f>
        <v/>
      </c>
      <c r="AS291">
        <f>IF(Setup!$B$19="",0,IF(R291="",0,IF(ISNUMBER(R291),R291,1)))</f>
        <v/>
      </c>
      <c r="AT291">
        <f>IF(Setup!$B$20="",0,IF(S291="",0,IF(ISNUMBER(S291),S291,1)))</f>
        <v/>
      </c>
    </row>
    <row r="292">
      <c r="A292" s="1" t="n"/>
      <c r="B292" s="24" t="n"/>
      <c r="C292" s="25" t="n"/>
      <c r="D292" s="25" t="n"/>
      <c r="E292" s="26" t="n"/>
      <c r="F292" s="27" t="n"/>
      <c r="G292" s="17" t="n"/>
      <c r="H292" s="28" t="n"/>
      <c r="I292" s="28" t="n"/>
      <c r="J292" s="28" t="n"/>
      <c r="K292" s="28" t="n"/>
      <c r="L292" s="28" t="n"/>
      <c r="M292" s="28" t="n"/>
      <c r="N292" s="28" t="n"/>
      <c r="O292" s="28" t="n"/>
      <c r="P292" s="28" t="n"/>
      <c r="Q292" s="28" t="n"/>
      <c r="R292" s="28" t="n"/>
      <c r="S292" s="28" t="n"/>
      <c r="T292" s="29">
        <f>IF(N(E292)=0,"",E292*IF(F292="",1,IFERROR(INDEX(Setup!$E$9:$E$18,MATCH(F292,Setup!$D$9:$D$18,0)),0)))</f>
        <v/>
      </c>
      <c r="U292" s="30">
        <f>IF(T292="","",IF(V292=0,"Everyone",IF(COUNTIF(AI292:AT292,"&gt;0")=COUNTIF(Setup!$B$9:$B$20,"?*"),"Everyone",COUNTIF(AI292:AT292,"&gt;0")&amp;IF(COUNTIF(AI292:AT292,"&gt;0")=1," person"," people"))))</f>
        <v/>
      </c>
      <c r="V292" s="1">
        <f>SUM(AI292:AT292)</f>
        <v/>
      </c>
      <c r="W292">
        <f>IF(OR(T292="",Setup!$B$9=""),0,IF(V292=0,T292/COUNTIF(Setup!$B$9:$B$20,"?*"),T292*AI292/V292))</f>
        <v/>
      </c>
      <c r="X292">
        <f>IF(OR(T292="",Setup!$B$10=""),0,IF(V292=0,T292/COUNTIF(Setup!$B$9:$B$20,"?*"),T292*AJ292/V292))</f>
        <v/>
      </c>
      <c r="Y292">
        <f>IF(OR(T292="",Setup!$B$11=""),0,IF(V292=0,T292/COUNTIF(Setup!$B$9:$B$20,"?*"),T292*AK292/V292))</f>
        <v/>
      </c>
      <c r="Z292">
        <f>IF(OR(T292="",Setup!$B$12=""),0,IF(V292=0,T292/COUNTIF(Setup!$B$9:$B$20,"?*"),T292*AL292/V292))</f>
        <v/>
      </c>
      <c r="AA292">
        <f>IF(OR(T292="",Setup!$B$13=""),0,IF(V292=0,T292/COUNTIF(Setup!$B$9:$B$20,"?*"),T292*AM292/V292))</f>
        <v/>
      </c>
      <c r="AB292">
        <f>IF(OR(T292="",Setup!$B$14=""),0,IF(V292=0,T292/COUNTIF(Setup!$B$9:$B$20,"?*"),T292*AN292/V292))</f>
        <v/>
      </c>
      <c r="AC292">
        <f>IF(OR(T292="",Setup!$B$15=""),0,IF(V292=0,T292/COUNTIF(Setup!$B$9:$B$20,"?*"),T292*AO292/V292))</f>
        <v/>
      </c>
      <c r="AD292">
        <f>IF(OR(T292="",Setup!$B$16=""),0,IF(V292=0,T292/COUNTIF(Setup!$B$9:$B$20,"?*"),T292*AP292/V292))</f>
        <v/>
      </c>
      <c r="AE292">
        <f>IF(OR(T292="",Setup!$B$17=""),0,IF(V292=0,T292/COUNTIF(Setup!$B$9:$B$20,"?*"),T292*AQ292/V292))</f>
        <v/>
      </c>
      <c r="AF292">
        <f>IF(OR(T292="",Setup!$B$18=""),0,IF(V292=0,T292/COUNTIF(Setup!$B$9:$B$20,"?*"),T292*AR292/V292))</f>
        <v/>
      </c>
      <c r="AG292">
        <f>IF(OR(T292="",Setup!$B$19=""),0,IF(V292=0,T292/COUNTIF(Setup!$B$9:$B$20,"?*"),T292*AS292/V292))</f>
        <v/>
      </c>
      <c r="AH292">
        <f>IF(OR(T292="",Setup!$B$20=""),0,IF(V292=0,T292/COUNTIF(Setup!$B$9:$B$20,"?*"),T292*AT292/V292))</f>
        <v/>
      </c>
      <c r="AI292">
        <f>IF(Setup!$B$9="",0,IF(H292="",0,IF(ISNUMBER(H292),H292,1)))</f>
        <v/>
      </c>
      <c r="AJ292">
        <f>IF(Setup!$B$10="",0,IF(I292="",0,IF(ISNUMBER(I292),I292,1)))</f>
        <v/>
      </c>
      <c r="AK292">
        <f>IF(Setup!$B$11="",0,IF(J292="",0,IF(ISNUMBER(J292),J292,1)))</f>
        <v/>
      </c>
      <c r="AL292">
        <f>IF(Setup!$B$12="",0,IF(K292="",0,IF(ISNUMBER(K292),K292,1)))</f>
        <v/>
      </c>
      <c r="AM292">
        <f>IF(Setup!$B$13="",0,IF(L292="",0,IF(ISNUMBER(L292),L292,1)))</f>
        <v/>
      </c>
      <c r="AN292">
        <f>IF(Setup!$B$14="",0,IF(M292="",0,IF(ISNUMBER(M292),M292,1)))</f>
        <v/>
      </c>
      <c r="AO292">
        <f>IF(Setup!$B$15="",0,IF(N292="",0,IF(ISNUMBER(N292),N292,1)))</f>
        <v/>
      </c>
      <c r="AP292">
        <f>IF(Setup!$B$16="",0,IF(O292="",0,IF(ISNUMBER(O292),O292,1)))</f>
        <v/>
      </c>
      <c r="AQ292">
        <f>IF(Setup!$B$17="",0,IF(P292="",0,IF(ISNUMBER(P292),P292,1)))</f>
        <v/>
      </c>
      <c r="AR292">
        <f>IF(Setup!$B$18="",0,IF(Q292="",0,IF(ISNUMBER(Q292),Q292,1)))</f>
        <v/>
      </c>
      <c r="AS292">
        <f>IF(Setup!$B$19="",0,IF(R292="",0,IF(ISNUMBER(R292),R292,1)))</f>
        <v/>
      </c>
      <c r="AT292">
        <f>IF(Setup!$B$20="",0,IF(S292="",0,IF(ISNUMBER(S292),S292,1)))</f>
        <v/>
      </c>
    </row>
    <row r="293">
      <c r="A293" s="1" t="n"/>
      <c r="B293" s="24" t="n"/>
      <c r="C293" s="25" t="n"/>
      <c r="D293" s="25" t="n"/>
      <c r="E293" s="26" t="n"/>
      <c r="F293" s="27" t="n"/>
      <c r="G293" s="17" t="n"/>
      <c r="H293" s="28" t="n"/>
      <c r="I293" s="28" t="n"/>
      <c r="J293" s="28" t="n"/>
      <c r="K293" s="28" t="n"/>
      <c r="L293" s="28" t="n"/>
      <c r="M293" s="28" t="n"/>
      <c r="N293" s="28" t="n"/>
      <c r="O293" s="28" t="n"/>
      <c r="P293" s="28" t="n"/>
      <c r="Q293" s="28" t="n"/>
      <c r="R293" s="28" t="n"/>
      <c r="S293" s="28" t="n"/>
      <c r="T293" s="29">
        <f>IF(N(E293)=0,"",E293*IF(F293="",1,IFERROR(INDEX(Setup!$E$9:$E$18,MATCH(F293,Setup!$D$9:$D$18,0)),0)))</f>
        <v/>
      </c>
      <c r="U293" s="30">
        <f>IF(T293="","",IF(V293=0,"Everyone",IF(COUNTIF(AI293:AT293,"&gt;0")=COUNTIF(Setup!$B$9:$B$20,"?*"),"Everyone",COUNTIF(AI293:AT293,"&gt;0")&amp;IF(COUNTIF(AI293:AT293,"&gt;0")=1," person"," people"))))</f>
        <v/>
      </c>
      <c r="V293" s="1">
        <f>SUM(AI293:AT293)</f>
        <v/>
      </c>
      <c r="W293">
        <f>IF(OR(T293="",Setup!$B$9=""),0,IF(V293=0,T293/COUNTIF(Setup!$B$9:$B$20,"?*"),T293*AI293/V293))</f>
        <v/>
      </c>
      <c r="X293">
        <f>IF(OR(T293="",Setup!$B$10=""),0,IF(V293=0,T293/COUNTIF(Setup!$B$9:$B$20,"?*"),T293*AJ293/V293))</f>
        <v/>
      </c>
      <c r="Y293">
        <f>IF(OR(T293="",Setup!$B$11=""),0,IF(V293=0,T293/COUNTIF(Setup!$B$9:$B$20,"?*"),T293*AK293/V293))</f>
        <v/>
      </c>
      <c r="Z293">
        <f>IF(OR(T293="",Setup!$B$12=""),0,IF(V293=0,T293/COUNTIF(Setup!$B$9:$B$20,"?*"),T293*AL293/V293))</f>
        <v/>
      </c>
      <c r="AA293">
        <f>IF(OR(T293="",Setup!$B$13=""),0,IF(V293=0,T293/COUNTIF(Setup!$B$9:$B$20,"?*"),T293*AM293/V293))</f>
        <v/>
      </c>
      <c r="AB293">
        <f>IF(OR(T293="",Setup!$B$14=""),0,IF(V293=0,T293/COUNTIF(Setup!$B$9:$B$20,"?*"),T293*AN293/V293))</f>
        <v/>
      </c>
      <c r="AC293">
        <f>IF(OR(T293="",Setup!$B$15=""),0,IF(V293=0,T293/COUNTIF(Setup!$B$9:$B$20,"?*"),T293*AO293/V293))</f>
        <v/>
      </c>
      <c r="AD293">
        <f>IF(OR(T293="",Setup!$B$16=""),0,IF(V293=0,T293/COUNTIF(Setup!$B$9:$B$20,"?*"),T293*AP293/V293))</f>
        <v/>
      </c>
      <c r="AE293">
        <f>IF(OR(T293="",Setup!$B$17=""),0,IF(V293=0,T293/COUNTIF(Setup!$B$9:$B$20,"?*"),T293*AQ293/V293))</f>
        <v/>
      </c>
      <c r="AF293">
        <f>IF(OR(T293="",Setup!$B$18=""),0,IF(V293=0,T293/COUNTIF(Setup!$B$9:$B$20,"?*"),T293*AR293/V293))</f>
        <v/>
      </c>
      <c r="AG293">
        <f>IF(OR(T293="",Setup!$B$19=""),0,IF(V293=0,T293/COUNTIF(Setup!$B$9:$B$20,"?*"),T293*AS293/V293))</f>
        <v/>
      </c>
      <c r="AH293">
        <f>IF(OR(T293="",Setup!$B$20=""),0,IF(V293=0,T293/COUNTIF(Setup!$B$9:$B$20,"?*"),T293*AT293/V293))</f>
        <v/>
      </c>
      <c r="AI293">
        <f>IF(Setup!$B$9="",0,IF(H293="",0,IF(ISNUMBER(H293),H293,1)))</f>
        <v/>
      </c>
      <c r="AJ293">
        <f>IF(Setup!$B$10="",0,IF(I293="",0,IF(ISNUMBER(I293),I293,1)))</f>
        <v/>
      </c>
      <c r="AK293">
        <f>IF(Setup!$B$11="",0,IF(J293="",0,IF(ISNUMBER(J293),J293,1)))</f>
        <v/>
      </c>
      <c r="AL293">
        <f>IF(Setup!$B$12="",0,IF(K293="",0,IF(ISNUMBER(K293),K293,1)))</f>
        <v/>
      </c>
      <c r="AM293">
        <f>IF(Setup!$B$13="",0,IF(L293="",0,IF(ISNUMBER(L293),L293,1)))</f>
        <v/>
      </c>
      <c r="AN293">
        <f>IF(Setup!$B$14="",0,IF(M293="",0,IF(ISNUMBER(M293),M293,1)))</f>
        <v/>
      </c>
      <c r="AO293">
        <f>IF(Setup!$B$15="",0,IF(N293="",0,IF(ISNUMBER(N293),N293,1)))</f>
        <v/>
      </c>
      <c r="AP293">
        <f>IF(Setup!$B$16="",0,IF(O293="",0,IF(ISNUMBER(O293),O293,1)))</f>
        <v/>
      </c>
      <c r="AQ293">
        <f>IF(Setup!$B$17="",0,IF(P293="",0,IF(ISNUMBER(P293),P293,1)))</f>
        <v/>
      </c>
      <c r="AR293">
        <f>IF(Setup!$B$18="",0,IF(Q293="",0,IF(ISNUMBER(Q293),Q293,1)))</f>
        <v/>
      </c>
      <c r="AS293">
        <f>IF(Setup!$B$19="",0,IF(R293="",0,IF(ISNUMBER(R293),R293,1)))</f>
        <v/>
      </c>
      <c r="AT293">
        <f>IF(Setup!$B$20="",0,IF(S293="",0,IF(ISNUMBER(S293),S293,1)))</f>
        <v/>
      </c>
    </row>
    <row r="294">
      <c r="A294" s="1" t="n"/>
      <c r="B294" s="24" t="n"/>
      <c r="C294" s="25" t="n"/>
      <c r="D294" s="25" t="n"/>
      <c r="E294" s="26" t="n"/>
      <c r="F294" s="27" t="n"/>
      <c r="G294" s="17" t="n"/>
      <c r="H294" s="28" t="n"/>
      <c r="I294" s="28" t="n"/>
      <c r="J294" s="28" t="n"/>
      <c r="K294" s="28" t="n"/>
      <c r="L294" s="28" t="n"/>
      <c r="M294" s="28" t="n"/>
      <c r="N294" s="28" t="n"/>
      <c r="O294" s="28" t="n"/>
      <c r="P294" s="28" t="n"/>
      <c r="Q294" s="28" t="n"/>
      <c r="R294" s="28" t="n"/>
      <c r="S294" s="28" t="n"/>
      <c r="T294" s="29">
        <f>IF(N(E294)=0,"",E294*IF(F294="",1,IFERROR(INDEX(Setup!$E$9:$E$18,MATCH(F294,Setup!$D$9:$D$18,0)),0)))</f>
        <v/>
      </c>
      <c r="U294" s="30">
        <f>IF(T294="","",IF(V294=0,"Everyone",IF(COUNTIF(AI294:AT294,"&gt;0")=COUNTIF(Setup!$B$9:$B$20,"?*"),"Everyone",COUNTIF(AI294:AT294,"&gt;0")&amp;IF(COUNTIF(AI294:AT294,"&gt;0")=1," person"," people"))))</f>
        <v/>
      </c>
      <c r="V294" s="1">
        <f>SUM(AI294:AT294)</f>
        <v/>
      </c>
      <c r="W294">
        <f>IF(OR(T294="",Setup!$B$9=""),0,IF(V294=0,T294/COUNTIF(Setup!$B$9:$B$20,"?*"),T294*AI294/V294))</f>
        <v/>
      </c>
      <c r="X294">
        <f>IF(OR(T294="",Setup!$B$10=""),0,IF(V294=0,T294/COUNTIF(Setup!$B$9:$B$20,"?*"),T294*AJ294/V294))</f>
        <v/>
      </c>
      <c r="Y294">
        <f>IF(OR(T294="",Setup!$B$11=""),0,IF(V294=0,T294/COUNTIF(Setup!$B$9:$B$20,"?*"),T294*AK294/V294))</f>
        <v/>
      </c>
      <c r="Z294">
        <f>IF(OR(T294="",Setup!$B$12=""),0,IF(V294=0,T294/COUNTIF(Setup!$B$9:$B$20,"?*"),T294*AL294/V294))</f>
        <v/>
      </c>
      <c r="AA294">
        <f>IF(OR(T294="",Setup!$B$13=""),0,IF(V294=0,T294/COUNTIF(Setup!$B$9:$B$20,"?*"),T294*AM294/V294))</f>
        <v/>
      </c>
      <c r="AB294">
        <f>IF(OR(T294="",Setup!$B$14=""),0,IF(V294=0,T294/COUNTIF(Setup!$B$9:$B$20,"?*"),T294*AN294/V294))</f>
        <v/>
      </c>
      <c r="AC294">
        <f>IF(OR(T294="",Setup!$B$15=""),0,IF(V294=0,T294/COUNTIF(Setup!$B$9:$B$20,"?*"),T294*AO294/V294))</f>
        <v/>
      </c>
      <c r="AD294">
        <f>IF(OR(T294="",Setup!$B$16=""),0,IF(V294=0,T294/COUNTIF(Setup!$B$9:$B$20,"?*"),T294*AP294/V294))</f>
        <v/>
      </c>
      <c r="AE294">
        <f>IF(OR(T294="",Setup!$B$17=""),0,IF(V294=0,T294/COUNTIF(Setup!$B$9:$B$20,"?*"),T294*AQ294/V294))</f>
        <v/>
      </c>
      <c r="AF294">
        <f>IF(OR(T294="",Setup!$B$18=""),0,IF(V294=0,T294/COUNTIF(Setup!$B$9:$B$20,"?*"),T294*AR294/V294))</f>
        <v/>
      </c>
      <c r="AG294">
        <f>IF(OR(T294="",Setup!$B$19=""),0,IF(V294=0,T294/COUNTIF(Setup!$B$9:$B$20,"?*"),T294*AS294/V294))</f>
        <v/>
      </c>
      <c r="AH294">
        <f>IF(OR(T294="",Setup!$B$20=""),0,IF(V294=0,T294/COUNTIF(Setup!$B$9:$B$20,"?*"),T294*AT294/V294))</f>
        <v/>
      </c>
      <c r="AI294">
        <f>IF(Setup!$B$9="",0,IF(H294="",0,IF(ISNUMBER(H294),H294,1)))</f>
        <v/>
      </c>
      <c r="AJ294">
        <f>IF(Setup!$B$10="",0,IF(I294="",0,IF(ISNUMBER(I294),I294,1)))</f>
        <v/>
      </c>
      <c r="AK294">
        <f>IF(Setup!$B$11="",0,IF(J294="",0,IF(ISNUMBER(J294),J294,1)))</f>
        <v/>
      </c>
      <c r="AL294">
        <f>IF(Setup!$B$12="",0,IF(K294="",0,IF(ISNUMBER(K294),K294,1)))</f>
        <v/>
      </c>
      <c r="AM294">
        <f>IF(Setup!$B$13="",0,IF(L294="",0,IF(ISNUMBER(L294),L294,1)))</f>
        <v/>
      </c>
      <c r="AN294">
        <f>IF(Setup!$B$14="",0,IF(M294="",0,IF(ISNUMBER(M294),M294,1)))</f>
        <v/>
      </c>
      <c r="AO294">
        <f>IF(Setup!$B$15="",0,IF(N294="",0,IF(ISNUMBER(N294),N294,1)))</f>
        <v/>
      </c>
      <c r="AP294">
        <f>IF(Setup!$B$16="",0,IF(O294="",0,IF(ISNUMBER(O294),O294,1)))</f>
        <v/>
      </c>
      <c r="AQ294">
        <f>IF(Setup!$B$17="",0,IF(P294="",0,IF(ISNUMBER(P294),P294,1)))</f>
        <v/>
      </c>
      <c r="AR294">
        <f>IF(Setup!$B$18="",0,IF(Q294="",0,IF(ISNUMBER(Q294),Q294,1)))</f>
        <v/>
      </c>
      <c r="AS294">
        <f>IF(Setup!$B$19="",0,IF(R294="",0,IF(ISNUMBER(R294),R294,1)))</f>
        <v/>
      </c>
      <c r="AT294">
        <f>IF(Setup!$B$20="",0,IF(S294="",0,IF(ISNUMBER(S294),S294,1)))</f>
        <v/>
      </c>
    </row>
    <row r="295">
      <c r="A295" s="1" t="n"/>
      <c r="B295" s="24" t="n"/>
      <c r="C295" s="25" t="n"/>
      <c r="D295" s="25" t="n"/>
      <c r="E295" s="26" t="n"/>
      <c r="F295" s="27" t="n"/>
      <c r="G295" s="17" t="n"/>
      <c r="H295" s="28" t="n"/>
      <c r="I295" s="28" t="n"/>
      <c r="J295" s="28" t="n"/>
      <c r="K295" s="28" t="n"/>
      <c r="L295" s="28" t="n"/>
      <c r="M295" s="28" t="n"/>
      <c r="N295" s="28" t="n"/>
      <c r="O295" s="28" t="n"/>
      <c r="P295" s="28" t="n"/>
      <c r="Q295" s="28" t="n"/>
      <c r="R295" s="28" t="n"/>
      <c r="S295" s="28" t="n"/>
      <c r="T295" s="29">
        <f>IF(N(E295)=0,"",E295*IF(F295="",1,IFERROR(INDEX(Setup!$E$9:$E$18,MATCH(F295,Setup!$D$9:$D$18,0)),0)))</f>
        <v/>
      </c>
      <c r="U295" s="30">
        <f>IF(T295="","",IF(V295=0,"Everyone",IF(COUNTIF(AI295:AT295,"&gt;0")=COUNTIF(Setup!$B$9:$B$20,"?*"),"Everyone",COUNTIF(AI295:AT295,"&gt;0")&amp;IF(COUNTIF(AI295:AT295,"&gt;0")=1," person"," people"))))</f>
        <v/>
      </c>
      <c r="V295" s="1">
        <f>SUM(AI295:AT295)</f>
        <v/>
      </c>
      <c r="W295">
        <f>IF(OR(T295="",Setup!$B$9=""),0,IF(V295=0,T295/COUNTIF(Setup!$B$9:$B$20,"?*"),T295*AI295/V295))</f>
        <v/>
      </c>
      <c r="X295">
        <f>IF(OR(T295="",Setup!$B$10=""),0,IF(V295=0,T295/COUNTIF(Setup!$B$9:$B$20,"?*"),T295*AJ295/V295))</f>
        <v/>
      </c>
      <c r="Y295">
        <f>IF(OR(T295="",Setup!$B$11=""),0,IF(V295=0,T295/COUNTIF(Setup!$B$9:$B$20,"?*"),T295*AK295/V295))</f>
        <v/>
      </c>
      <c r="Z295">
        <f>IF(OR(T295="",Setup!$B$12=""),0,IF(V295=0,T295/COUNTIF(Setup!$B$9:$B$20,"?*"),T295*AL295/V295))</f>
        <v/>
      </c>
      <c r="AA295">
        <f>IF(OR(T295="",Setup!$B$13=""),0,IF(V295=0,T295/COUNTIF(Setup!$B$9:$B$20,"?*"),T295*AM295/V295))</f>
        <v/>
      </c>
      <c r="AB295">
        <f>IF(OR(T295="",Setup!$B$14=""),0,IF(V295=0,T295/COUNTIF(Setup!$B$9:$B$20,"?*"),T295*AN295/V295))</f>
        <v/>
      </c>
      <c r="AC295">
        <f>IF(OR(T295="",Setup!$B$15=""),0,IF(V295=0,T295/COUNTIF(Setup!$B$9:$B$20,"?*"),T295*AO295/V295))</f>
        <v/>
      </c>
      <c r="AD295">
        <f>IF(OR(T295="",Setup!$B$16=""),0,IF(V295=0,T295/COUNTIF(Setup!$B$9:$B$20,"?*"),T295*AP295/V295))</f>
        <v/>
      </c>
      <c r="AE295">
        <f>IF(OR(T295="",Setup!$B$17=""),0,IF(V295=0,T295/COUNTIF(Setup!$B$9:$B$20,"?*"),T295*AQ295/V295))</f>
        <v/>
      </c>
      <c r="AF295">
        <f>IF(OR(T295="",Setup!$B$18=""),0,IF(V295=0,T295/COUNTIF(Setup!$B$9:$B$20,"?*"),T295*AR295/V295))</f>
        <v/>
      </c>
      <c r="AG295">
        <f>IF(OR(T295="",Setup!$B$19=""),0,IF(V295=0,T295/COUNTIF(Setup!$B$9:$B$20,"?*"),T295*AS295/V295))</f>
        <v/>
      </c>
      <c r="AH295">
        <f>IF(OR(T295="",Setup!$B$20=""),0,IF(V295=0,T295/COUNTIF(Setup!$B$9:$B$20,"?*"),T295*AT295/V295))</f>
        <v/>
      </c>
      <c r="AI295">
        <f>IF(Setup!$B$9="",0,IF(H295="",0,IF(ISNUMBER(H295),H295,1)))</f>
        <v/>
      </c>
      <c r="AJ295">
        <f>IF(Setup!$B$10="",0,IF(I295="",0,IF(ISNUMBER(I295),I295,1)))</f>
        <v/>
      </c>
      <c r="AK295">
        <f>IF(Setup!$B$11="",0,IF(J295="",0,IF(ISNUMBER(J295),J295,1)))</f>
        <v/>
      </c>
      <c r="AL295">
        <f>IF(Setup!$B$12="",0,IF(K295="",0,IF(ISNUMBER(K295),K295,1)))</f>
        <v/>
      </c>
      <c r="AM295">
        <f>IF(Setup!$B$13="",0,IF(L295="",0,IF(ISNUMBER(L295),L295,1)))</f>
        <v/>
      </c>
      <c r="AN295">
        <f>IF(Setup!$B$14="",0,IF(M295="",0,IF(ISNUMBER(M295),M295,1)))</f>
        <v/>
      </c>
      <c r="AO295">
        <f>IF(Setup!$B$15="",0,IF(N295="",0,IF(ISNUMBER(N295),N295,1)))</f>
        <v/>
      </c>
      <c r="AP295">
        <f>IF(Setup!$B$16="",0,IF(O295="",0,IF(ISNUMBER(O295),O295,1)))</f>
        <v/>
      </c>
      <c r="AQ295">
        <f>IF(Setup!$B$17="",0,IF(P295="",0,IF(ISNUMBER(P295),P295,1)))</f>
        <v/>
      </c>
      <c r="AR295">
        <f>IF(Setup!$B$18="",0,IF(Q295="",0,IF(ISNUMBER(Q295),Q295,1)))</f>
        <v/>
      </c>
      <c r="AS295">
        <f>IF(Setup!$B$19="",0,IF(R295="",0,IF(ISNUMBER(R295),R295,1)))</f>
        <v/>
      </c>
      <c r="AT295">
        <f>IF(Setup!$B$20="",0,IF(S295="",0,IF(ISNUMBER(S295),S295,1)))</f>
        <v/>
      </c>
    </row>
    <row r="296">
      <c r="A296" s="1" t="n"/>
      <c r="B296" s="24" t="n"/>
      <c r="C296" s="25" t="n"/>
      <c r="D296" s="25" t="n"/>
      <c r="E296" s="26" t="n"/>
      <c r="F296" s="27" t="n"/>
      <c r="G296" s="17" t="n"/>
      <c r="H296" s="28" t="n"/>
      <c r="I296" s="28" t="n"/>
      <c r="J296" s="28" t="n"/>
      <c r="K296" s="28" t="n"/>
      <c r="L296" s="28" t="n"/>
      <c r="M296" s="28" t="n"/>
      <c r="N296" s="28" t="n"/>
      <c r="O296" s="28" t="n"/>
      <c r="P296" s="28" t="n"/>
      <c r="Q296" s="28" t="n"/>
      <c r="R296" s="28" t="n"/>
      <c r="S296" s="28" t="n"/>
      <c r="T296" s="29">
        <f>IF(N(E296)=0,"",E296*IF(F296="",1,IFERROR(INDEX(Setup!$E$9:$E$18,MATCH(F296,Setup!$D$9:$D$18,0)),0)))</f>
        <v/>
      </c>
      <c r="U296" s="30">
        <f>IF(T296="","",IF(V296=0,"Everyone",IF(COUNTIF(AI296:AT296,"&gt;0")=COUNTIF(Setup!$B$9:$B$20,"?*"),"Everyone",COUNTIF(AI296:AT296,"&gt;0")&amp;IF(COUNTIF(AI296:AT296,"&gt;0")=1," person"," people"))))</f>
        <v/>
      </c>
      <c r="V296" s="1">
        <f>SUM(AI296:AT296)</f>
        <v/>
      </c>
      <c r="W296">
        <f>IF(OR(T296="",Setup!$B$9=""),0,IF(V296=0,T296/COUNTIF(Setup!$B$9:$B$20,"?*"),T296*AI296/V296))</f>
        <v/>
      </c>
      <c r="X296">
        <f>IF(OR(T296="",Setup!$B$10=""),0,IF(V296=0,T296/COUNTIF(Setup!$B$9:$B$20,"?*"),T296*AJ296/V296))</f>
        <v/>
      </c>
      <c r="Y296">
        <f>IF(OR(T296="",Setup!$B$11=""),0,IF(V296=0,T296/COUNTIF(Setup!$B$9:$B$20,"?*"),T296*AK296/V296))</f>
        <v/>
      </c>
      <c r="Z296">
        <f>IF(OR(T296="",Setup!$B$12=""),0,IF(V296=0,T296/COUNTIF(Setup!$B$9:$B$20,"?*"),T296*AL296/V296))</f>
        <v/>
      </c>
      <c r="AA296">
        <f>IF(OR(T296="",Setup!$B$13=""),0,IF(V296=0,T296/COUNTIF(Setup!$B$9:$B$20,"?*"),T296*AM296/V296))</f>
        <v/>
      </c>
      <c r="AB296">
        <f>IF(OR(T296="",Setup!$B$14=""),0,IF(V296=0,T296/COUNTIF(Setup!$B$9:$B$20,"?*"),T296*AN296/V296))</f>
        <v/>
      </c>
      <c r="AC296">
        <f>IF(OR(T296="",Setup!$B$15=""),0,IF(V296=0,T296/COUNTIF(Setup!$B$9:$B$20,"?*"),T296*AO296/V296))</f>
        <v/>
      </c>
      <c r="AD296">
        <f>IF(OR(T296="",Setup!$B$16=""),0,IF(V296=0,T296/COUNTIF(Setup!$B$9:$B$20,"?*"),T296*AP296/V296))</f>
        <v/>
      </c>
      <c r="AE296">
        <f>IF(OR(T296="",Setup!$B$17=""),0,IF(V296=0,T296/COUNTIF(Setup!$B$9:$B$20,"?*"),T296*AQ296/V296))</f>
        <v/>
      </c>
      <c r="AF296">
        <f>IF(OR(T296="",Setup!$B$18=""),0,IF(V296=0,T296/COUNTIF(Setup!$B$9:$B$20,"?*"),T296*AR296/V296))</f>
        <v/>
      </c>
      <c r="AG296">
        <f>IF(OR(T296="",Setup!$B$19=""),0,IF(V296=0,T296/COUNTIF(Setup!$B$9:$B$20,"?*"),T296*AS296/V296))</f>
        <v/>
      </c>
      <c r="AH296">
        <f>IF(OR(T296="",Setup!$B$20=""),0,IF(V296=0,T296/COUNTIF(Setup!$B$9:$B$20,"?*"),T296*AT296/V296))</f>
        <v/>
      </c>
      <c r="AI296">
        <f>IF(Setup!$B$9="",0,IF(H296="",0,IF(ISNUMBER(H296),H296,1)))</f>
        <v/>
      </c>
      <c r="AJ296">
        <f>IF(Setup!$B$10="",0,IF(I296="",0,IF(ISNUMBER(I296),I296,1)))</f>
        <v/>
      </c>
      <c r="AK296">
        <f>IF(Setup!$B$11="",0,IF(J296="",0,IF(ISNUMBER(J296),J296,1)))</f>
        <v/>
      </c>
      <c r="AL296">
        <f>IF(Setup!$B$12="",0,IF(K296="",0,IF(ISNUMBER(K296),K296,1)))</f>
        <v/>
      </c>
      <c r="AM296">
        <f>IF(Setup!$B$13="",0,IF(L296="",0,IF(ISNUMBER(L296),L296,1)))</f>
        <v/>
      </c>
      <c r="AN296">
        <f>IF(Setup!$B$14="",0,IF(M296="",0,IF(ISNUMBER(M296),M296,1)))</f>
        <v/>
      </c>
      <c r="AO296">
        <f>IF(Setup!$B$15="",0,IF(N296="",0,IF(ISNUMBER(N296),N296,1)))</f>
        <v/>
      </c>
      <c r="AP296">
        <f>IF(Setup!$B$16="",0,IF(O296="",0,IF(ISNUMBER(O296),O296,1)))</f>
        <v/>
      </c>
      <c r="AQ296">
        <f>IF(Setup!$B$17="",0,IF(P296="",0,IF(ISNUMBER(P296),P296,1)))</f>
        <v/>
      </c>
      <c r="AR296">
        <f>IF(Setup!$B$18="",0,IF(Q296="",0,IF(ISNUMBER(Q296),Q296,1)))</f>
        <v/>
      </c>
      <c r="AS296">
        <f>IF(Setup!$B$19="",0,IF(R296="",0,IF(ISNUMBER(R296),R296,1)))</f>
        <v/>
      </c>
      <c r="AT296">
        <f>IF(Setup!$B$20="",0,IF(S296="",0,IF(ISNUMBER(S296),S296,1)))</f>
        <v/>
      </c>
    </row>
    <row r="297">
      <c r="A297" s="1" t="n"/>
      <c r="B297" s="24" t="n"/>
      <c r="C297" s="25" t="n"/>
      <c r="D297" s="25" t="n"/>
      <c r="E297" s="26" t="n"/>
      <c r="F297" s="27" t="n"/>
      <c r="G297" s="17" t="n"/>
      <c r="H297" s="28" t="n"/>
      <c r="I297" s="28" t="n"/>
      <c r="J297" s="28" t="n"/>
      <c r="K297" s="28" t="n"/>
      <c r="L297" s="28" t="n"/>
      <c r="M297" s="28" t="n"/>
      <c r="N297" s="28" t="n"/>
      <c r="O297" s="28" t="n"/>
      <c r="P297" s="28" t="n"/>
      <c r="Q297" s="28" t="n"/>
      <c r="R297" s="28" t="n"/>
      <c r="S297" s="28" t="n"/>
      <c r="T297" s="29">
        <f>IF(N(E297)=0,"",E297*IF(F297="",1,IFERROR(INDEX(Setup!$E$9:$E$18,MATCH(F297,Setup!$D$9:$D$18,0)),0)))</f>
        <v/>
      </c>
      <c r="U297" s="30">
        <f>IF(T297="","",IF(V297=0,"Everyone",IF(COUNTIF(AI297:AT297,"&gt;0")=COUNTIF(Setup!$B$9:$B$20,"?*"),"Everyone",COUNTIF(AI297:AT297,"&gt;0")&amp;IF(COUNTIF(AI297:AT297,"&gt;0")=1," person"," people"))))</f>
        <v/>
      </c>
      <c r="V297" s="1">
        <f>SUM(AI297:AT297)</f>
        <v/>
      </c>
      <c r="W297">
        <f>IF(OR(T297="",Setup!$B$9=""),0,IF(V297=0,T297/COUNTIF(Setup!$B$9:$B$20,"?*"),T297*AI297/V297))</f>
        <v/>
      </c>
      <c r="X297">
        <f>IF(OR(T297="",Setup!$B$10=""),0,IF(V297=0,T297/COUNTIF(Setup!$B$9:$B$20,"?*"),T297*AJ297/V297))</f>
        <v/>
      </c>
      <c r="Y297">
        <f>IF(OR(T297="",Setup!$B$11=""),0,IF(V297=0,T297/COUNTIF(Setup!$B$9:$B$20,"?*"),T297*AK297/V297))</f>
        <v/>
      </c>
      <c r="Z297">
        <f>IF(OR(T297="",Setup!$B$12=""),0,IF(V297=0,T297/COUNTIF(Setup!$B$9:$B$20,"?*"),T297*AL297/V297))</f>
        <v/>
      </c>
      <c r="AA297">
        <f>IF(OR(T297="",Setup!$B$13=""),0,IF(V297=0,T297/COUNTIF(Setup!$B$9:$B$20,"?*"),T297*AM297/V297))</f>
        <v/>
      </c>
      <c r="AB297">
        <f>IF(OR(T297="",Setup!$B$14=""),0,IF(V297=0,T297/COUNTIF(Setup!$B$9:$B$20,"?*"),T297*AN297/V297))</f>
        <v/>
      </c>
      <c r="AC297">
        <f>IF(OR(T297="",Setup!$B$15=""),0,IF(V297=0,T297/COUNTIF(Setup!$B$9:$B$20,"?*"),T297*AO297/V297))</f>
        <v/>
      </c>
      <c r="AD297">
        <f>IF(OR(T297="",Setup!$B$16=""),0,IF(V297=0,T297/COUNTIF(Setup!$B$9:$B$20,"?*"),T297*AP297/V297))</f>
        <v/>
      </c>
      <c r="AE297">
        <f>IF(OR(T297="",Setup!$B$17=""),0,IF(V297=0,T297/COUNTIF(Setup!$B$9:$B$20,"?*"),T297*AQ297/V297))</f>
        <v/>
      </c>
      <c r="AF297">
        <f>IF(OR(T297="",Setup!$B$18=""),0,IF(V297=0,T297/COUNTIF(Setup!$B$9:$B$20,"?*"),T297*AR297/V297))</f>
        <v/>
      </c>
      <c r="AG297">
        <f>IF(OR(T297="",Setup!$B$19=""),0,IF(V297=0,T297/COUNTIF(Setup!$B$9:$B$20,"?*"),T297*AS297/V297))</f>
        <v/>
      </c>
      <c r="AH297">
        <f>IF(OR(T297="",Setup!$B$20=""),0,IF(V297=0,T297/COUNTIF(Setup!$B$9:$B$20,"?*"),T297*AT297/V297))</f>
        <v/>
      </c>
      <c r="AI297">
        <f>IF(Setup!$B$9="",0,IF(H297="",0,IF(ISNUMBER(H297),H297,1)))</f>
        <v/>
      </c>
      <c r="AJ297">
        <f>IF(Setup!$B$10="",0,IF(I297="",0,IF(ISNUMBER(I297),I297,1)))</f>
        <v/>
      </c>
      <c r="AK297">
        <f>IF(Setup!$B$11="",0,IF(J297="",0,IF(ISNUMBER(J297),J297,1)))</f>
        <v/>
      </c>
      <c r="AL297">
        <f>IF(Setup!$B$12="",0,IF(K297="",0,IF(ISNUMBER(K297),K297,1)))</f>
        <v/>
      </c>
      <c r="AM297">
        <f>IF(Setup!$B$13="",0,IF(L297="",0,IF(ISNUMBER(L297),L297,1)))</f>
        <v/>
      </c>
      <c r="AN297">
        <f>IF(Setup!$B$14="",0,IF(M297="",0,IF(ISNUMBER(M297),M297,1)))</f>
        <v/>
      </c>
      <c r="AO297">
        <f>IF(Setup!$B$15="",0,IF(N297="",0,IF(ISNUMBER(N297),N297,1)))</f>
        <v/>
      </c>
      <c r="AP297">
        <f>IF(Setup!$B$16="",0,IF(O297="",0,IF(ISNUMBER(O297),O297,1)))</f>
        <v/>
      </c>
      <c r="AQ297">
        <f>IF(Setup!$B$17="",0,IF(P297="",0,IF(ISNUMBER(P297),P297,1)))</f>
        <v/>
      </c>
      <c r="AR297">
        <f>IF(Setup!$B$18="",0,IF(Q297="",0,IF(ISNUMBER(Q297),Q297,1)))</f>
        <v/>
      </c>
      <c r="AS297">
        <f>IF(Setup!$B$19="",0,IF(R297="",0,IF(ISNUMBER(R297),R297,1)))</f>
        <v/>
      </c>
      <c r="AT297">
        <f>IF(Setup!$B$20="",0,IF(S297="",0,IF(ISNUMBER(S297),S297,1)))</f>
        <v/>
      </c>
    </row>
    <row r="298">
      <c r="A298" s="1" t="n"/>
      <c r="B298" s="24" t="n"/>
      <c r="C298" s="25" t="n"/>
      <c r="D298" s="25" t="n"/>
      <c r="E298" s="26" t="n"/>
      <c r="F298" s="27" t="n"/>
      <c r="G298" s="17" t="n"/>
      <c r="H298" s="28" t="n"/>
      <c r="I298" s="28" t="n"/>
      <c r="J298" s="28" t="n"/>
      <c r="K298" s="28" t="n"/>
      <c r="L298" s="28" t="n"/>
      <c r="M298" s="28" t="n"/>
      <c r="N298" s="28" t="n"/>
      <c r="O298" s="28" t="n"/>
      <c r="P298" s="28" t="n"/>
      <c r="Q298" s="28" t="n"/>
      <c r="R298" s="28" t="n"/>
      <c r="S298" s="28" t="n"/>
      <c r="T298" s="29">
        <f>IF(N(E298)=0,"",E298*IF(F298="",1,IFERROR(INDEX(Setup!$E$9:$E$18,MATCH(F298,Setup!$D$9:$D$18,0)),0)))</f>
        <v/>
      </c>
      <c r="U298" s="30">
        <f>IF(T298="","",IF(V298=0,"Everyone",IF(COUNTIF(AI298:AT298,"&gt;0")=COUNTIF(Setup!$B$9:$B$20,"?*"),"Everyone",COUNTIF(AI298:AT298,"&gt;0")&amp;IF(COUNTIF(AI298:AT298,"&gt;0")=1," person"," people"))))</f>
        <v/>
      </c>
      <c r="V298" s="1">
        <f>SUM(AI298:AT298)</f>
        <v/>
      </c>
      <c r="W298">
        <f>IF(OR(T298="",Setup!$B$9=""),0,IF(V298=0,T298/COUNTIF(Setup!$B$9:$B$20,"?*"),T298*AI298/V298))</f>
        <v/>
      </c>
      <c r="X298">
        <f>IF(OR(T298="",Setup!$B$10=""),0,IF(V298=0,T298/COUNTIF(Setup!$B$9:$B$20,"?*"),T298*AJ298/V298))</f>
        <v/>
      </c>
      <c r="Y298">
        <f>IF(OR(T298="",Setup!$B$11=""),0,IF(V298=0,T298/COUNTIF(Setup!$B$9:$B$20,"?*"),T298*AK298/V298))</f>
        <v/>
      </c>
      <c r="Z298">
        <f>IF(OR(T298="",Setup!$B$12=""),0,IF(V298=0,T298/COUNTIF(Setup!$B$9:$B$20,"?*"),T298*AL298/V298))</f>
        <v/>
      </c>
      <c r="AA298">
        <f>IF(OR(T298="",Setup!$B$13=""),0,IF(V298=0,T298/COUNTIF(Setup!$B$9:$B$20,"?*"),T298*AM298/V298))</f>
        <v/>
      </c>
      <c r="AB298">
        <f>IF(OR(T298="",Setup!$B$14=""),0,IF(V298=0,T298/COUNTIF(Setup!$B$9:$B$20,"?*"),T298*AN298/V298))</f>
        <v/>
      </c>
      <c r="AC298">
        <f>IF(OR(T298="",Setup!$B$15=""),0,IF(V298=0,T298/COUNTIF(Setup!$B$9:$B$20,"?*"),T298*AO298/V298))</f>
        <v/>
      </c>
      <c r="AD298">
        <f>IF(OR(T298="",Setup!$B$16=""),0,IF(V298=0,T298/COUNTIF(Setup!$B$9:$B$20,"?*"),T298*AP298/V298))</f>
        <v/>
      </c>
      <c r="AE298">
        <f>IF(OR(T298="",Setup!$B$17=""),0,IF(V298=0,T298/COUNTIF(Setup!$B$9:$B$20,"?*"),T298*AQ298/V298))</f>
        <v/>
      </c>
      <c r="AF298">
        <f>IF(OR(T298="",Setup!$B$18=""),0,IF(V298=0,T298/COUNTIF(Setup!$B$9:$B$20,"?*"),T298*AR298/V298))</f>
        <v/>
      </c>
      <c r="AG298">
        <f>IF(OR(T298="",Setup!$B$19=""),0,IF(V298=0,T298/COUNTIF(Setup!$B$9:$B$20,"?*"),T298*AS298/V298))</f>
        <v/>
      </c>
      <c r="AH298">
        <f>IF(OR(T298="",Setup!$B$20=""),0,IF(V298=0,T298/COUNTIF(Setup!$B$9:$B$20,"?*"),T298*AT298/V298))</f>
        <v/>
      </c>
      <c r="AI298">
        <f>IF(Setup!$B$9="",0,IF(H298="",0,IF(ISNUMBER(H298),H298,1)))</f>
        <v/>
      </c>
      <c r="AJ298">
        <f>IF(Setup!$B$10="",0,IF(I298="",0,IF(ISNUMBER(I298),I298,1)))</f>
        <v/>
      </c>
      <c r="AK298">
        <f>IF(Setup!$B$11="",0,IF(J298="",0,IF(ISNUMBER(J298),J298,1)))</f>
        <v/>
      </c>
      <c r="AL298">
        <f>IF(Setup!$B$12="",0,IF(K298="",0,IF(ISNUMBER(K298),K298,1)))</f>
        <v/>
      </c>
      <c r="AM298">
        <f>IF(Setup!$B$13="",0,IF(L298="",0,IF(ISNUMBER(L298),L298,1)))</f>
        <v/>
      </c>
      <c r="AN298">
        <f>IF(Setup!$B$14="",0,IF(M298="",0,IF(ISNUMBER(M298),M298,1)))</f>
        <v/>
      </c>
      <c r="AO298">
        <f>IF(Setup!$B$15="",0,IF(N298="",0,IF(ISNUMBER(N298),N298,1)))</f>
        <v/>
      </c>
      <c r="AP298">
        <f>IF(Setup!$B$16="",0,IF(O298="",0,IF(ISNUMBER(O298),O298,1)))</f>
        <v/>
      </c>
      <c r="AQ298">
        <f>IF(Setup!$B$17="",0,IF(P298="",0,IF(ISNUMBER(P298),P298,1)))</f>
        <v/>
      </c>
      <c r="AR298">
        <f>IF(Setup!$B$18="",0,IF(Q298="",0,IF(ISNUMBER(Q298),Q298,1)))</f>
        <v/>
      </c>
      <c r="AS298">
        <f>IF(Setup!$B$19="",0,IF(R298="",0,IF(ISNUMBER(R298),R298,1)))</f>
        <v/>
      </c>
      <c r="AT298">
        <f>IF(Setup!$B$20="",0,IF(S298="",0,IF(ISNUMBER(S298),S298,1)))</f>
        <v/>
      </c>
    </row>
    <row r="299">
      <c r="A299" s="1" t="n"/>
      <c r="B299" s="24" t="n"/>
      <c r="C299" s="25" t="n"/>
      <c r="D299" s="25" t="n"/>
      <c r="E299" s="26" t="n"/>
      <c r="F299" s="27" t="n"/>
      <c r="G299" s="17" t="n"/>
      <c r="H299" s="28" t="n"/>
      <c r="I299" s="28" t="n"/>
      <c r="J299" s="28" t="n"/>
      <c r="K299" s="28" t="n"/>
      <c r="L299" s="28" t="n"/>
      <c r="M299" s="28" t="n"/>
      <c r="N299" s="28" t="n"/>
      <c r="O299" s="28" t="n"/>
      <c r="P299" s="28" t="n"/>
      <c r="Q299" s="28" t="n"/>
      <c r="R299" s="28" t="n"/>
      <c r="S299" s="28" t="n"/>
      <c r="T299" s="29">
        <f>IF(N(E299)=0,"",E299*IF(F299="",1,IFERROR(INDEX(Setup!$E$9:$E$18,MATCH(F299,Setup!$D$9:$D$18,0)),0)))</f>
        <v/>
      </c>
      <c r="U299" s="30">
        <f>IF(T299="","",IF(V299=0,"Everyone",IF(COUNTIF(AI299:AT299,"&gt;0")=COUNTIF(Setup!$B$9:$B$20,"?*"),"Everyone",COUNTIF(AI299:AT299,"&gt;0")&amp;IF(COUNTIF(AI299:AT299,"&gt;0")=1," person"," people"))))</f>
        <v/>
      </c>
      <c r="V299" s="1">
        <f>SUM(AI299:AT299)</f>
        <v/>
      </c>
      <c r="W299">
        <f>IF(OR(T299="",Setup!$B$9=""),0,IF(V299=0,T299/COUNTIF(Setup!$B$9:$B$20,"?*"),T299*AI299/V299))</f>
        <v/>
      </c>
      <c r="X299">
        <f>IF(OR(T299="",Setup!$B$10=""),0,IF(V299=0,T299/COUNTIF(Setup!$B$9:$B$20,"?*"),T299*AJ299/V299))</f>
        <v/>
      </c>
      <c r="Y299">
        <f>IF(OR(T299="",Setup!$B$11=""),0,IF(V299=0,T299/COUNTIF(Setup!$B$9:$B$20,"?*"),T299*AK299/V299))</f>
        <v/>
      </c>
      <c r="Z299">
        <f>IF(OR(T299="",Setup!$B$12=""),0,IF(V299=0,T299/COUNTIF(Setup!$B$9:$B$20,"?*"),T299*AL299/V299))</f>
        <v/>
      </c>
      <c r="AA299">
        <f>IF(OR(T299="",Setup!$B$13=""),0,IF(V299=0,T299/COUNTIF(Setup!$B$9:$B$20,"?*"),T299*AM299/V299))</f>
        <v/>
      </c>
      <c r="AB299">
        <f>IF(OR(T299="",Setup!$B$14=""),0,IF(V299=0,T299/COUNTIF(Setup!$B$9:$B$20,"?*"),T299*AN299/V299))</f>
        <v/>
      </c>
      <c r="AC299">
        <f>IF(OR(T299="",Setup!$B$15=""),0,IF(V299=0,T299/COUNTIF(Setup!$B$9:$B$20,"?*"),T299*AO299/V299))</f>
        <v/>
      </c>
      <c r="AD299">
        <f>IF(OR(T299="",Setup!$B$16=""),0,IF(V299=0,T299/COUNTIF(Setup!$B$9:$B$20,"?*"),T299*AP299/V299))</f>
        <v/>
      </c>
      <c r="AE299">
        <f>IF(OR(T299="",Setup!$B$17=""),0,IF(V299=0,T299/COUNTIF(Setup!$B$9:$B$20,"?*"),T299*AQ299/V299))</f>
        <v/>
      </c>
      <c r="AF299">
        <f>IF(OR(T299="",Setup!$B$18=""),0,IF(V299=0,T299/COUNTIF(Setup!$B$9:$B$20,"?*"),T299*AR299/V299))</f>
        <v/>
      </c>
      <c r="AG299">
        <f>IF(OR(T299="",Setup!$B$19=""),0,IF(V299=0,T299/COUNTIF(Setup!$B$9:$B$20,"?*"),T299*AS299/V299))</f>
        <v/>
      </c>
      <c r="AH299">
        <f>IF(OR(T299="",Setup!$B$20=""),0,IF(V299=0,T299/COUNTIF(Setup!$B$9:$B$20,"?*"),T299*AT299/V299))</f>
        <v/>
      </c>
      <c r="AI299">
        <f>IF(Setup!$B$9="",0,IF(H299="",0,IF(ISNUMBER(H299),H299,1)))</f>
        <v/>
      </c>
      <c r="AJ299">
        <f>IF(Setup!$B$10="",0,IF(I299="",0,IF(ISNUMBER(I299),I299,1)))</f>
        <v/>
      </c>
      <c r="AK299">
        <f>IF(Setup!$B$11="",0,IF(J299="",0,IF(ISNUMBER(J299),J299,1)))</f>
        <v/>
      </c>
      <c r="AL299">
        <f>IF(Setup!$B$12="",0,IF(K299="",0,IF(ISNUMBER(K299),K299,1)))</f>
        <v/>
      </c>
      <c r="AM299">
        <f>IF(Setup!$B$13="",0,IF(L299="",0,IF(ISNUMBER(L299),L299,1)))</f>
        <v/>
      </c>
      <c r="AN299">
        <f>IF(Setup!$B$14="",0,IF(M299="",0,IF(ISNUMBER(M299),M299,1)))</f>
        <v/>
      </c>
      <c r="AO299">
        <f>IF(Setup!$B$15="",0,IF(N299="",0,IF(ISNUMBER(N299),N299,1)))</f>
        <v/>
      </c>
      <c r="AP299">
        <f>IF(Setup!$B$16="",0,IF(O299="",0,IF(ISNUMBER(O299),O299,1)))</f>
        <v/>
      </c>
      <c r="AQ299">
        <f>IF(Setup!$B$17="",0,IF(P299="",0,IF(ISNUMBER(P299),P299,1)))</f>
        <v/>
      </c>
      <c r="AR299">
        <f>IF(Setup!$B$18="",0,IF(Q299="",0,IF(ISNUMBER(Q299),Q299,1)))</f>
        <v/>
      </c>
      <c r="AS299">
        <f>IF(Setup!$B$19="",0,IF(R299="",0,IF(ISNUMBER(R299),R299,1)))</f>
        <v/>
      </c>
      <c r="AT299">
        <f>IF(Setup!$B$20="",0,IF(S299="",0,IF(ISNUMBER(S299),S299,1)))</f>
        <v/>
      </c>
    </row>
    <row r="300">
      <c r="A300" s="1" t="n"/>
      <c r="B300" s="24" t="n"/>
      <c r="C300" s="25" t="n"/>
      <c r="D300" s="25" t="n"/>
      <c r="E300" s="26" t="n"/>
      <c r="F300" s="27" t="n"/>
      <c r="G300" s="17" t="n"/>
      <c r="H300" s="28" t="n"/>
      <c r="I300" s="28" t="n"/>
      <c r="J300" s="28" t="n"/>
      <c r="K300" s="28" t="n"/>
      <c r="L300" s="28" t="n"/>
      <c r="M300" s="28" t="n"/>
      <c r="N300" s="28" t="n"/>
      <c r="O300" s="28" t="n"/>
      <c r="P300" s="28" t="n"/>
      <c r="Q300" s="28" t="n"/>
      <c r="R300" s="28" t="n"/>
      <c r="S300" s="28" t="n"/>
      <c r="T300" s="29">
        <f>IF(N(E300)=0,"",E300*IF(F300="",1,IFERROR(INDEX(Setup!$E$9:$E$18,MATCH(F300,Setup!$D$9:$D$18,0)),0)))</f>
        <v/>
      </c>
      <c r="U300" s="30">
        <f>IF(T300="","",IF(V300=0,"Everyone",IF(COUNTIF(AI300:AT300,"&gt;0")=COUNTIF(Setup!$B$9:$B$20,"?*"),"Everyone",COUNTIF(AI300:AT300,"&gt;0")&amp;IF(COUNTIF(AI300:AT300,"&gt;0")=1," person"," people"))))</f>
        <v/>
      </c>
      <c r="V300" s="1">
        <f>SUM(AI300:AT300)</f>
        <v/>
      </c>
      <c r="W300">
        <f>IF(OR(T300="",Setup!$B$9=""),0,IF(V300=0,T300/COUNTIF(Setup!$B$9:$B$20,"?*"),T300*AI300/V300))</f>
        <v/>
      </c>
      <c r="X300">
        <f>IF(OR(T300="",Setup!$B$10=""),0,IF(V300=0,T300/COUNTIF(Setup!$B$9:$B$20,"?*"),T300*AJ300/V300))</f>
        <v/>
      </c>
      <c r="Y300">
        <f>IF(OR(T300="",Setup!$B$11=""),0,IF(V300=0,T300/COUNTIF(Setup!$B$9:$B$20,"?*"),T300*AK300/V300))</f>
        <v/>
      </c>
      <c r="Z300">
        <f>IF(OR(T300="",Setup!$B$12=""),0,IF(V300=0,T300/COUNTIF(Setup!$B$9:$B$20,"?*"),T300*AL300/V300))</f>
        <v/>
      </c>
      <c r="AA300">
        <f>IF(OR(T300="",Setup!$B$13=""),0,IF(V300=0,T300/COUNTIF(Setup!$B$9:$B$20,"?*"),T300*AM300/V300))</f>
        <v/>
      </c>
      <c r="AB300">
        <f>IF(OR(T300="",Setup!$B$14=""),0,IF(V300=0,T300/COUNTIF(Setup!$B$9:$B$20,"?*"),T300*AN300/V300))</f>
        <v/>
      </c>
      <c r="AC300">
        <f>IF(OR(T300="",Setup!$B$15=""),0,IF(V300=0,T300/COUNTIF(Setup!$B$9:$B$20,"?*"),T300*AO300/V300))</f>
        <v/>
      </c>
      <c r="AD300">
        <f>IF(OR(T300="",Setup!$B$16=""),0,IF(V300=0,T300/COUNTIF(Setup!$B$9:$B$20,"?*"),T300*AP300/V300))</f>
        <v/>
      </c>
      <c r="AE300">
        <f>IF(OR(T300="",Setup!$B$17=""),0,IF(V300=0,T300/COUNTIF(Setup!$B$9:$B$20,"?*"),T300*AQ300/V300))</f>
        <v/>
      </c>
      <c r="AF300">
        <f>IF(OR(T300="",Setup!$B$18=""),0,IF(V300=0,T300/COUNTIF(Setup!$B$9:$B$20,"?*"),T300*AR300/V300))</f>
        <v/>
      </c>
      <c r="AG300">
        <f>IF(OR(T300="",Setup!$B$19=""),0,IF(V300=0,T300/COUNTIF(Setup!$B$9:$B$20,"?*"),T300*AS300/V300))</f>
        <v/>
      </c>
      <c r="AH300">
        <f>IF(OR(T300="",Setup!$B$20=""),0,IF(V300=0,T300/COUNTIF(Setup!$B$9:$B$20,"?*"),T300*AT300/V300))</f>
        <v/>
      </c>
      <c r="AI300">
        <f>IF(Setup!$B$9="",0,IF(H300="",0,IF(ISNUMBER(H300),H300,1)))</f>
        <v/>
      </c>
      <c r="AJ300">
        <f>IF(Setup!$B$10="",0,IF(I300="",0,IF(ISNUMBER(I300),I300,1)))</f>
        <v/>
      </c>
      <c r="AK300">
        <f>IF(Setup!$B$11="",0,IF(J300="",0,IF(ISNUMBER(J300),J300,1)))</f>
        <v/>
      </c>
      <c r="AL300">
        <f>IF(Setup!$B$12="",0,IF(K300="",0,IF(ISNUMBER(K300),K300,1)))</f>
        <v/>
      </c>
      <c r="AM300">
        <f>IF(Setup!$B$13="",0,IF(L300="",0,IF(ISNUMBER(L300),L300,1)))</f>
        <v/>
      </c>
      <c r="AN300">
        <f>IF(Setup!$B$14="",0,IF(M300="",0,IF(ISNUMBER(M300),M300,1)))</f>
        <v/>
      </c>
      <c r="AO300">
        <f>IF(Setup!$B$15="",0,IF(N300="",0,IF(ISNUMBER(N300),N300,1)))</f>
        <v/>
      </c>
      <c r="AP300">
        <f>IF(Setup!$B$16="",0,IF(O300="",0,IF(ISNUMBER(O300),O300,1)))</f>
        <v/>
      </c>
      <c r="AQ300">
        <f>IF(Setup!$B$17="",0,IF(P300="",0,IF(ISNUMBER(P300),P300,1)))</f>
        <v/>
      </c>
      <c r="AR300">
        <f>IF(Setup!$B$18="",0,IF(Q300="",0,IF(ISNUMBER(Q300),Q300,1)))</f>
        <v/>
      </c>
      <c r="AS300">
        <f>IF(Setup!$B$19="",0,IF(R300="",0,IF(ISNUMBER(R300),R300,1)))</f>
        <v/>
      </c>
      <c r="AT300">
        <f>IF(Setup!$B$20="",0,IF(S300="",0,IF(ISNUMBER(S300),S300,1)))</f>
        <v/>
      </c>
    </row>
    <row r="301">
      <c r="A301" s="1" t="n"/>
      <c r="B301" s="24" t="n"/>
      <c r="C301" s="25" t="n"/>
      <c r="D301" s="25" t="n"/>
      <c r="E301" s="26" t="n"/>
      <c r="F301" s="27" t="n"/>
      <c r="G301" s="17" t="n"/>
      <c r="H301" s="28" t="n"/>
      <c r="I301" s="28" t="n"/>
      <c r="J301" s="28" t="n"/>
      <c r="K301" s="28" t="n"/>
      <c r="L301" s="28" t="n"/>
      <c r="M301" s="28" t="n"/>
      <c r="N301" s="28" t="n"/>
      <c r="O301" s="28" t="n"/>
      <c r="P301" s="28" t="n"/>
      <c r="Q301" s="28" t="n"/>
      <c r="R301" s="28" t="n"/>
      <c r="S301" s="28" t="n"/>
      <c r="T301" s="29">
        <f>IF(N(E301)=0,"",E301*IF(F301="",1,IFERROR(INDEX(Setup!$E$9:$E$18,MATCH(F301,Setup!$D$9:$D$18,0)),0)))</f>
        <v/>
      </c>
      <c r="U301" s="30">
        <f>IF(T301="","",IF(V301=0,"Everyone",IF(COUNTIF(AI301:AT301,"&gt;0")=COUNTIF(Setup!$B$9:$B$20,"?*"),"Everyone",COUNTIF(AI301:AT301,"&gt;0")&amp;IF(COUNTIF(AI301:AT301,"&gt;0")=1," person"," people"))))</f>
        <v/>
      </c>
      <c r="V301" s="1">
        <f>SUM(AI301:AT301)</f>
        <v/>
      </c>
      <c r="W301">
        <f>IF(OR(T301="",Setup!$B$9=""),0,IF(V301=0,T301/COUNTIF(Setup!$B$9:$B$20,"?*"),T301*AI301/V301))</f>
        <v/>
      </c>
      <c r="X301">
        <f>IF(OR(T301="",Setup!$B$10=""),0,IF(V301=0,T301/COUNTIF(Setup!$B$9:$B$20,"?*"),T301*AJ301/V301))</f>
        <v/>
      </c>
      <c r="Y301">
        <f>IF(OR(T301="",Setup!$B$11=""),0,IF(V301=0,T301/COUNTIF(Setup!$B$9:$B$20,"?*"),T301*AK301/V301))</f>
        <v/>
      </c>
      <c r="Z301">
        <f>IF(OR(T301="",Setup!$B$12=""),0,IF(V301=0,T301/COUNTIF(Setup!$B$9:$B$20,"?*"),T301*AL301/V301))</f>
        <v/>
      </c>
      <c r="AA301">
        <f>IF(OR(T301="",Setup!$B$13=""),0,IF(V301=0,T301/COUNTIF(Setup!$B$9:$B$20,"?*"),T301*AM301/V301))</f>
        <v/>
      </c>
      <c r="AB301">
        <f>IF(OR(T301="",Setup!$B$14=""),0,IF(V301=0,T301/COUNTIF(Setup!$B$9:$B$20,"?*"),T301*AN301/V301))</f>
        <v/>
      </c>
      <c r="AC301">
        <f>IF(OR(T301="",Setup!$B$15=""),0,IF(V301=0,T301/COUNTIF(Setup!$B$9:$B$20,"?*"),T301*AO301/V301))</f>
        <v/>
      </c>
      <c r="AD301">
        <f>IF(OR(T301="",Setup!$B$16=""),0,IF(V301=0,T301/COUNTIF(Setup!$B$9:$B$20,"?*"),T301*AP301/V301))</f>
        <v/>
      </c>
      <c r="AE301">
        <f>IF(OR(T301="",Setup!$B$17=""),0,IF(V301=0,T301/COUNTIF(Setup!$B$9:$B$20,"?*"),T301*AQ301/V301))</f>
        <v/>
      </c>
      <c r="AF301">
        <f>IF(OR(T301="",Setup!$B$18=""),0,IF(V301=0,T301/COUNTIF(Setup!$B$9:$B$20,"?*"),T301*AR301/V301))</f>
        <v/>
      </c>
      <c r="AG301">
        <f>IF(OR(T301="",Setup!$B$19=""),0,IF(V301=0,T301/COUNTIF(Setup!$B$9:$B$20,"?*"),T301*AS301/V301))</f>
        <v/>
      </c>
      <c r="AH301">
        <f>IF(OR(T301="",Setup!$B$20=""),0,IF(V301=0,T301/COUNTIF(Setup!$B$9:$B$20,"?*"),T301*AT301/V301))</f>
        <v/>
      </c>
      <c r="AI301">
        <f>IF(Setup!$B$9="",0,IF(H301="",0,IF(ISNUMBER(H301),H301,1)))</f>
        <v/>
      </c>
      <c r="AJ301">
        <f>IF(Setup!$B$10="",0,IF(I301="",0,IF(ISNUMBER(I301),I301,1)))</f>
        <v/>
      </c>
      <c r="AK301">
        <f>IF(Setup!$B$11="",0,IF(J301="",0,IF(ISNUMBER(J301),J301,1)))</f>
        <v/>
      </c>
      <c r="AL301">
        <f>IF(Setup!$B$12="",0,IF(K301="",0,IF(ISNUMBER(K301),K301,1)))</f>
        <v/>
      </c>
      <c r="AM301">
        <f>IF(Setup!$B$13="",0,IF(L301="",0,IF(ISNUMBER(L301),L301,1)))</f>
        <v/>
      </c>
      <c r="AN301">
        <f>IF(Setup!$B$14="",0,IF(M301="",0,IF(ISNUMBER(M301),M301,1)))</f>
        <v/>
      </c>
      <c r="AO301">
        <f>IF(Setup!$B$15="",0,IF(N301="",0,IF(ISNUMBER(N301),N301,1)))</f>
        <v/>
      </c>
      <c r="AP301">
        <f>IF(Setup!$B$16="",0,IF(O301="",0,IF(ISNUMBER(O301),O301,1)))</f>
        <v/>
      </c>
      <c r="AQ301">
        <f>IF(Setup!$B$17="",0,IF(P301="",0,IF(ISNUMBER(P301),P301,1)))</f>
        <v/>
      </c>
      <c r="AR301">
        <f>IF(Setup!$B$18="",0,IF(Q301="",0,IF(ISNUMBER(Q301),Q301,1)))</f>
        <v/>
      </c>
      <c r="AS301">
        <f>IF(Setup!$B$19="",0,IF(R301="",0,IF(ISNUMBER(R301),R301,1)))</f>
        <v/>
      </c>
      <c r="AT301">
        <f>IF(Setup!$B$20="",0,IF(S301="",0,IF(ISNUMBER(S301),S301,1)))</f>
        <v/>
      </c>
    </row>
    <row r="302">
      <c r="A302" s="1" t="n"/>
      <c r="B302" s="24" t="n"/>
      <c r="C302" s="25" t="n"/>
      <c r="D302" s="25" t="n"/>
      <c r="E302" s="26" t="n"/>
      <c r="F302" s="27" t="n"/>
      <c r="G302" s="17" t="n"/>
      <c r="H302" s="28" t="n"/>
      <c r="I302" s="28" t="n"/>
      <c r="J302" s="28" t="n"/>
      <c r="K302" s="28" t="n"/>
      <c r="L302" s="28" t="n"/>
      <c r="M302" s="28" t="n"/>
      <c r="N302" s="28" t="n"/>
      <c r="O302" s="28" t="n"/>
      <c r="P302" s="28" t="n"/>
      <c r="Q302" s="28" t="n"/>
      <c r="R302" s="28" t="n"/>
      <c r="S302" s="28" t="n"/>
      <c r="T302" s="29">
        <f>IF(N(E302)=0,"",E302*IF(F302="",1,IFERROR(INDEX(Setup!$E$9:$E$18,MATCH(F302,Setup!$D$9:$D$18,0)),0)))</f>
        <v/>
      </c>
      <c r="U302" s="30">
        <f>IF(T302="","",IF(V302=0,"Everyone",IF(COUNTIF(AI302:AT302,"&gt;0")=COUNTIF(Setup!$B$9:$B$20,"?*"),"Everyone",COUNTIF(AI302:AT302,"&gt;0")&amp;IF(COUNTIF(AI302:AT302,"&gt;0")=1," person"," people"))))</f>
        <v/>
      </c>
      <c r="V302" s="1">
        <f>SUM(AI302:AT302)</f>
        <v/>
      </c>
      <c r="W302">
        <f>IF(OR(T302="",Setup!$B$9=""),0,IF(V302=0,T302/COUNTIF(Setup!$B$9:$B$20,"?*"),T302*AI302/V302))</f>
        <v/>
      </c>
      <c r="X302">
        <f>IF(OR(T302="",Setup!$B$10=""),0,IF(V302=0,T302/COUNTIF(Setup!$B$9:$B$20,"?*"),T302*AJ302/V302))</f>
        <v/>
      </c>
      <c r="Y302">
        <f>IF(OR(T302="",Setup!$B$11=""),0,IF(V302=0,T302/COUNTIF(Setup!$B$9:$B$20,"?*"),T302*AK302/V302))</f>
        <v/>
      </c>
      <c r="Z302">
        <f>IF(OR(T302="",Setup!$B$12=""),0,IF(V302=0,T302/COUNTIF(Setup!$B$9:$B$20,"?*"),T302*AL302/V302))</f>
        <v/>
      </c>
      <c r="AA302">
        <f>IF(OR(T302="",Setup!$B$13=""),0,IF(V302=0,T302/COUNTIF(Setup!$B$9:$B$20,"?*"),T302*AM302/V302))</f>
        <v/>
      </c>
      <c r="AB302">
        <f>IF(OR(T302="",Setup!$B$14=""),0,IF(V302=0,T302/COUNTIF(Setup!$B$9:$B$20,"?*"),T302*AN302/V302))</f>
        <v/>
      </c>
      <c r="AC302">
        <f>IF(OR(T302="",Setup!$B$15=""),0,IF(V302=0,T302/COUNTIF(Setup!$B$9:$B$20,"?*"),T302*AO302/V302))</f>
        <v/>
      </c>
      <c r="AD302">
        <f>IF(OR(T302="",Setup!$B$16=""),0,IF(V302=0,T302/COUNTIF(Setup!$B$9:$B$20,"?*"),T302*AP302/V302))</f>
        <v/>
      </c>
      <c r="AE302">
        <f>IF(OR(T302="",Setup!$B$17=""),0,IF(V302=0,T302/COUNTIF(Setup!$B$9:$B$20,"?*"),T302*AQ302/V302))</f>
        <v/>
      </c>
      <c r="AF302">
        <f>IF(OR(T302="",Setup!$B$18=""),0,IF(V302=0,T302/COUNTIF(Setup!$B$9:$B$20,"?*"),T302*AR302/V302))</f>
        <v/>
      </c>
      <c r="AG302">
        <f>IF(OR(T302="",Setup!$B$19=""),0,IF(V302=0,T302/COUNTIF(Setup!$B$9:$B$20,"?*"),T302*AS302/V302))</f>
        <v/>
      </c>
      <c r="AH302">
        <f>IF(OR(T302="",Setup!$B$20=""),0,IF(V302=0,T302/COUNTIF(Setup!$B$9:$B$20,"?*"),T302*AT302/V302))</f>
        <v/>
      </c>
      <c r="AI302">
        <f>IF(Setup!$B$9="",0,IF(H302="",0,IF(ISNUMBER(H302),H302,1)))</f>
        <v/>
      </c>
      <c r="AJ302">
        <f>IF(Setup!$B$10="",0,IF(I302="",0,IF(ISNUMBER(I302),I302,1)))</f>
        <v/>
      </c>
      <c r="AK302">
        <f>IF(Setup!$B$11="",0,IF(J302="",0,IF(ISNUMBER(J302),J302,1)))</f>
        <v/>
      </c>
      <c r="AL302">
        <f>IF(Setup!$B$12="",0,IF(K302="",0,IF(ISNUMBER(K302),K302,1)))</f>
        <v/>
      </c>
      <c r="AM302">
        <f>IF(Setup!$B$13="",0,IF(L302="",0,IF(ISNUMBER(L302),L302,1)))</f>
        <v/>
      </c>
      <c r="AN302">
        <f>IF(Setup!$B$14="",0,IF(M302="",0,IF(ISNUMBER(M302),M302,1)))</f>
        <v/>
      </c>
      <c r="AO302">
        <f>IF(Setup!$B$15="",0,IF(N302="",0,IF(ISNUMBER(N302),N302,1)))</f>
        <v/>
      </c>
      <c r="AP302">
        <f>IF(Setup!$B$16="",0,IF(O302="",0,IF(ISNUMBER(O302),O302,1)))</f>
        <v/>
      </c>
      <c r="AQ302">
        <f>IF(Setup!$B$17="",0,IF(P302="",0,IF(ISNUMBER(P302),P302,1)))</f>
        <v/>
      </c>
      <c r="AR302">
        <f>IF(Setup!$B$18="",0,IF(Q302="",0,IF(ISNUMBER(Q302),Q302,1)))</f>
        <v/>
      </c>
      <c r="AS302">
        <f>IF(Setup!$B$19="",0,IF(R302="",0,IF(ISNUMBER(R302),R302,1)))</f>
        <v/>
      </c>
      <c r="AT302">
        <f>IF(Setup!$B$20="",0,IF(S302="",0,IF(ISNUMBER(S302),S302,1)))</f>
        <v/>
      </c>
    </row>
    <row r="303">
      <c r="A303" s="1" t="n"/>
      <c r="B303" s="24" t="n"/>
      <c r="C303" s="25" t="n"/>
      <c r="D303" s="25" t="n"/>
      <c r="E303" s="26" t="n"/>
      <c r="F303" s="27" t="n"/>
      <c r="G303" s="17" t="n"/>
      <c r="H303" s="28" t="n"/>
      <c r="I303" s="28" t="n"/>
      <c r="J303" s="28" t="n"/>
      <c r="K303" s="28" t="n"/>
      <c r="L303" s="28" t="n"/>
      <c r="M303" s="28" t="n"/>
      <c r="N303" s="28" t="n"/>
      <c r="O303" s="28" t="n"/>
      <c r="P303" s="28" t="n"/>
      <c r="Q303" s="28" t="n"/>
      <c r="R303" s="28" t="n"/>
      <c r="S303" s="28" t="n"/>
      <c r="T303" s="29">
        <f>IF(N(E303)=0,"",E303*IF(F303="",1,IFERROR(INDEX(Setup!$E$9:$E$18,MATCH(F303,Setup!$D$9:$D$18,0)),0)))</f>
        <v/>
      </c>
      <c r="U303" s="30">
        <f>IF(T303="","",IF(V303=0,"Everyone",IF(COUNTIF(AI303:AT303,"&gt;0")=COUNTIF(Setup!$B$9:$B$20,"?*"),"Everyone",COUNTIF(AI303:AT303,"&gt;0")&amp;IF(COUNTIF(AI303:AT303,"&gt;0")=1," person"," people"))))</f>
        <v/>
      </c>
      <c r="V303" s="1">
        <f>SUM(AI303:AT303)</f>
        <v/>
      </c>
      <c r="W303">
        <f>IF(OR(T303="",Setup!$B$9=""),0,IF(V303=0,T303/COUNTIF(Setup!$B$9:$B$20,"?*"),T303*AI303/V303))</f>
        <v/>
      </c>
      <c r="X303">
        <f>IF(OR(T303="",Setup!$B$10=""),0,IF(V303=0,T303/COUNTIF(Setup!$B$9:$B$20,"?*"),T303*AJ303/V303))</f>
        <v/>
      </c>
      <c r="Y303">
        <f>IF(OR(T303="",Setup!$B$11=""),0,IF(V303=0,T303/COUNTIF(Setup!$B$9:$B$20,"?*"),T303*AK303/V303))</f>
        <v/>
      </c>
      <c r="Z303">
        <f>IF(OR(T303="",Setup!$B$12=""),0,IF(V303=0,T303/COUNTIF(Setup!$B$9:$B$20,"?*"),T303*AL303/V303))</f>
        <v/>
      </c>
      <c r="AA303">
        <f>IF(OR(T303="",Setup!$B$13=""),0,IF(V303=0,T303/COUNTIF(Setup!$B$9:$B$20,"?*"),T303*AM303/V303))</f>
        <v/>
      </c>
      <c r="AB303">
        <f>IF(OR(T303="",Setup!$B$14=""),0,IF(V303=0,T303/COUNTIF(Setup!$B$9:$B$20,"?*"),T303*AN303/V303))</f>
        <v/>
      </c>
      <c r="AC303">
        <f>IF(OR(T303="",Setup!$B$15=""),0,IF(V303=0,T303/COUNTIF(Setup!$B$9:$B$20,"?*"),T303*AO303/V303))</f>
        <v/>
      </c>
      <c r="AD303">
        <f>IF(OR(T303="",Setup!$B$16=""),0,IF(V303=0,T303/COUNTIF(Setup!$B$9:$B$20,"?*"),T303*AP303/V303))</f>
        <v/>
      </c>
      <c r="AE303">
        <f>IF(OR(T303="",Setup!$B$17=""),0,IF(V303=0,T303/COUNTIF(Setup!$B$9:$B$20,"?*"),T303*AQ303/V303))</f>
        <v/>
      </c>
      <c r="AF303">
        <f>IF(OR(T303="",Setup!$B$18=""),0,IF(V303=0,T303/COUNTIF(Setup!$B$9:$B$20,"?*"),T303*AR303/V303))</f>
        <v/>
      </c>
      <c r="AG303">
        <f>IF(OR(T303="",Setup!$B$19=""),0,IF(V303=0,T303/COUNTIF(Setup!$B$9:$B$20,"?*"),T303*AS303/V303))</f>
        <v/>
      </c>
      <c r="AH303">
        <f>IF(OR(T303="",Setup!$B$20=""),0,IF(V303=0,T303/COUNTIF(Setup!$B$9:$B$20,"?*"),T303*AT303/V303))</f>
        <v/>
      </c>
      <c r="AI303">
        <f>IF(Setup!$B$9="",0,IF(H303="",0,IF(ISNUMBER(H303),H303,1)))</f>
        <v/>
      </c>
      <c r="AJ303">
        <f>IF(Setup!$B$10="",0,IF(I303="",0,IF(ISNUMBER(I303),I303,1)))</f>
        <v/>
      </c>
      <c r="AK303">
        <f>IF(Setup!$B$11="",0,IF(J303="",0,IF(ISNUMBER(J303),J303,1)))</f>
        <v/>
      </c>
      <c r="AL303">
        <f>IF(Setup!$B$12="",0,IF(K303="",0,IF(ISNUMBER(K303),K303,1)))</f>
        <v/>
      </c>
      <c r="AM303">
        <f>IF(Setup!$B$13="",0,IF(L303="",0,IF(ISNUMBER(L303),L303,1)))</f>
        <v/>
      </c>
      <c r="AN303">
        <f>IF(Setup!$B$14="",0,IF(M303="",0,IF(ISNUMBER(M303),M303,1)))</f>
        <v/>
      </c>
      <c r="AO303">
        <f>IF(Setup!$B$15="",0,IF(N303="",0,IF(ISNUMBER(N303),N303,1)))</f>
        <v/>
      </c>
      <c r="AP303">
        <f>IF(Setup!$B$16="",0,IF(O303="",0,IF(ISNUMBER(O303),O303,1)))</f>
        <v/>
      </c>
      <c r="AQ303">
        <f>IF(Setup!$B$17="",0,IF(P303="",0,IF(ISNUMBER(P303),P303,1)))</f>
        <v/>
      </c>
      <c r="AR303">
        <f>IF(Setup!$B$18="",0,IF(Q303="",0,IF(ISNUMBER(Q303),Q303,1)))</f>
        <v/>
      </c>
      <c r="AS303">
        <f>IF(Setup!$B$19="",0,IF(R303="",0,IF(ISNUMBER(R303),R303,1)))</f>
        <v/>
      </c>
      <c r="AT303">
        <f>IF(Setup!$B$20="",0,IF(S303="",0,IF(ISNUMBER(S303),S303,1)))</f>
        <v/>
      </c>
    </row>
    <row r="304">
      <c r="A304" s="1" t="n"/>
      <c r="B304" s="24" t="n"/>
      <c r="C304" s="25" t="n"/>
      <c r="D304" s="25" t="n"/>
      <c r="E304" s="26" t="n"/>
      <c r="F304" s="27" t="n"/>
      <c r="G304" s="17" t="n"/>
      <c r="H304" s="28" t="n"/>
      <c r="I304" s="28" t="n"/>
      <c r="J304" s="28" t="n"/>
      <c r="K304" s="28" t="n"/>
      <c r="L304" s="28" t="n"/>
      <c r="M304" s="28" t="n"/>
      <c r="N304" s="28" t="n"/>
      <c r="O304" s="28" t="n"/>
      <c r="P304" s="28" t="n"/>
      <c r="Q304" s="28" t="n"/>
      <c r="R304" s="28" t="n"/>
      <c r="S304" s="28" t="n"/>
      <c r="T304" s="29">
        <f>IF(N(E304)=0,"",E304*IF(F304="",1,IFERROR(INDEX(Setup!$E$9:$E$18,MATCH(F304,Setup!$D$9:$D$18,0)),0)))</f>
        <v/>
      </c>
      <c r="U304" s="30">
        <f>IF(T304="","",IF(V304=0,"Everyone",IF(COUNTIF(AI304:AT304,"&gt;0")=COUNTIF(Setup!$B$9:$B$20,"?*"),"Everyone",COUNTIF(AI304:AT304,"&gt;0")&amp;IF(COUNTIF(AI304:AT304,"&gt;0")=1," person"," people"))))</f>
        <v/>
      </c>
      <c r="V304" s="1">
        <f>SUM(AI304:AT304)</f>
        <v/>
      </c>
      <c r="W304">
        <f>IF(OR(T304="",Setup!$B$9=""),0,IF(V304=0,T304/COUNTIF(Setup!$B$9:$B$20,"?*"),T304*AI304/V304))</f>
        <v/>
      </c>
      <c r="X304">
        <f>IF(OR(T304="",Setup!$B$10=""),0,IF(V304=0,T304/COUNTIF(Setup!$B$9:$B$20,"?*"),T304*AJ304/V304))</f>
        <v/>
      </c>
      <c r="Y304">
        <f>IF(OR(T304="",Setup!$B$11=""),0,IF(V304=0,T304/COUNTIF(Setup!$B$9:$B$20,"?*"),T304*AK304/V304))</f>
        <v/>
      </c>
      <c r="Z304">
        <f>IF(OR(T304="",Setup!$B$12=""),0,IF(V304=0,T304/COUNTIF(Setup!$B$9:$B$20,"?*"),T304*AL304/V304))</f>
        <v/>
      </c>
      <c r="AA304">
        <f>IF(OR(T304="",Setup!$B$13=""),0,IF(V304=0,T304/COUNTIF(Setup!$B$9:$B$20,"?*"),T304*AM304/V304))</f>
        <v/>
      </c>
      <c r="AB304">
        <f>IF(OR(T304="",Setup!$B$14=""),0,IF(V304=0,T304/COUNTIF(Setup!$B$9:$B$20,"?*"),T304*AN304/V304))</f>
        <v/>
      </c>
      <c r="AC304">
        <f>IF(OR(T304="",Setup!$B$15=""),0,IF(V304=0,T304/COUNTIF(Setup!$B$9:$B$20,"?*"),T304*AO304/V304))</f>
        <v/>
      </c>
      <c r="AD304">
        <f>IF(OR(T304="",Setup!$B$16=""),0,IF(V304=0,T304/COUNTIF(Setup!$B$9:$B$20,"?*"),T304*AP304/V304))</f>
        <v/>
      </c>
      <c r="AE304">
        <f>IF(OR(T304="",Setup!$B$17=""),0,IF(V304=0,T304/COUNTIF(Setup!$B$9:$B$20,"?*"),T304*AQ304/V304))</f>
        <v/>
      </c>
      <c r="AF304">
        <f>IF(OR(T304="",Setup!$B$18=""),0,IF(V304=0,T304/COUNTIF(Setup!$B$9:$B$20,"?*"),T304*AR304/V304))</f>
        <v/>
      </c>
      <c r="AG304">
        <f>IF(OR(T304="",Setup!$B$19=""),0,IF(V304=0,T304/COUNTIF(Setup!$B$9:$B$20,"?*"),T304*AS304/V304))</f>
        <v/>
      </c>
      <c r="AH304">
        <f>IF(OR(T304="",Setup!$B$20=""),0,IF(V304=0,T304/COUNTIF(Setup!$B$9:$B$20,"?*"),T304*AT304/V304))</f>
        <v/>
      </c>
      <c r="AI304">
        <f>IF(Setup!$B$9="",0,IF(H304="",0,IF(ISNUMBER(H304),H304,1)))</f>
        <v/>
      </c>
      <c r="AJ304">
        <f>IF(Setup!$B$10="",0,IF(I304="",0,IF(ISNUMBER(I304),I304,1)))</f>
        <v/>
      </c>
      <c r="AK304">
        <f>IF(Setup!$B$11="",0,IF(J304="",0,IF(ISNUMBER(J304),J304,1)))</f>
        <v/>
      </c>
      <c r="AL304">
        <f>IF(Setup!$B$12="",0,IF(K304="",0,IF(ISNUMBER(K304),K304,1)))</f>
        <v/>
      </c>
      <c r="AM304">
        <f>IF(Setup!$B$13="",0,IF(L304="",0,IF(ISNUMBER(L304),L304,1)))</f>
        <v/>
      </c>
      <c r="AN304">
        <f>IF(Setup!$B$14="",0,IF(M304="",0,IF(ISNUMBER(M304),M304,1)))</f>
        <v/>
      </c>
      <c r="AO304">
        <f>IF(Setup!$B$15="",0,IF(N304="",0,IF(ISNUMBER(N304),N304,1)))</f>
        <v/>
      </c>
      <c r="AP304">
        <f>IF(Setup!$B$16="",0,IF(O304="",0,IF(ISNUMBER(O304),O304,1)))</f>
        <v/>
      </c>
      <c r="AQ304">
        <f>IF(Setup!$B$17="",0,IF(P304="",0,IF(ISNUMBER(P304),P304,1)))</f>
        <v/>
      </c>
      <c r="AR304">
        <f>IF(Setup!$B$18="",0,IF(Q304="",0,IF(ISNUMBER(Q304),Q304,1)))</f>
        <v/>
      </c>
      <c r="AS304">
        <f>IF(Setup!$B$19="",0,IF(R304="",0,IF(ISNUMBER(R304),R304,1)))</f>
        <v/>
      </c>
      <c r="AT304">
        <f>IF(Setup!$B$20="",0,IF(S304="",0,IF(ISNUMBER(S304),S304,1)))</f>
        <v/>
      </c>
    </row>
    <row r="305">
      <c r="A305" s="1" t="n"/>
      <c r="B305" s="24" t="n"/>
      <c r="C305" s="25" t="n"/>
      <c r="D305" s="25" t="n"/>
      <c r="E305" s="26" t="n"/>
      <c r="F305" s="27" t="n"/>
      <c r="G305" s="17" t="n"/>
      <c r="H305" s="28" t="n"/>
      <c r="I305" s="28" t="n"/>
      <c r="J305" s="28" t="n"/>
      <c r="K305" s="28" t="n"/>
      <c r="L305" s="28" t="n"/>
      <c r="M305" s="28" t="n"/>
      <c r="N305" s="28" t="n"/>
      <c r="O305" s="28" t="n"/>
      <c r="P305" s="28" t="n"/>
      <c r="Q305" s="28" t="n"/>
      <c r="R305" s="28" t="n"/>
      <c r="S305" s="28" t="n"/>
      <c r="T305" s="29">
        <f>IF(N(E305)=0,"",E305*IF(F305="",1,IFERROR(INDEX(Setup!$E$9:$E$18,MATCH(F305,Setup!$D$9:$D$18,0)),0)))</f>
        <v/>
      </c>
      <c r="U305" s="30">
        <f>IF(T305="","",IF(V305=0,"Everyone",IF(COUNTIF(AI305:AT305,"&gt;0")=COUNTIF(Setup!$B$9:$B$20,"?*"),"Everyone",COUNTIF(AI305:AT305,"&gt;0")&amp;IF(COUNTIF(AI305:AT305,"&gt;0")=1," person"," people"))))</f>
        <v/>
      </c>
      <c r="V305" s="1">
        <f>SUM(AI305:AT305)</f>
        <v/>
      </c>
      <c r="W305">
        <f>IF(OR(T305="",Setup!$B$9=""),0,IF(V305=0,T305/COUNTIF(Setup!$B$9:$B$20,"?*"),T305*AI305/V305))</f>
        <v/>
      </c>
      <c r="X305">
        <f>IF(OR(T305="",Setup!$B$10=""),0,IF(V305=0,T305/COUNTIF(Setup!$B$9:$B$20,"?*"),T305*AJ305/V305))</f>
        <v/>
      </c>
      <c r="Y305">
        <f>IF(OR(T305="",Setup!$B$11=""),0,IF(V305=0,T305/COUNTIF(Setup!$B$9:$B$20,"?*"),T305*AK305/V305))</f>
        <v/>
      </c>
      <c r="Z305">
        <f>IF(OR(T305="",Setup!$B$12=""),0,IF(V305=0,T305/COUNTIF(Setup!$B$9:$B$20,"?*"),T305*AL305/V305))</f>
        <v/>
      </c>
      <c r="AA305">
        <f>IF(OR(T305="",Setup!$B$13=""),0,IF(V305=0,T305/COUNTIF(Setup!$B$9:$B$20,"?*"),T305*AM305/V305))</f>
        <v/>
      </c>
      <c r="AB305">
        <f>IF(OR(T305="",Setup!$B$14=""),0,IF(V305=0,T305/COUNTIF(Setup!$B$9:$B$20,"?*"),T305*AN305/V305))</f>
        <v/>
      </c>
      <c r="AC305">
        <f>IF(OR(T305="",Setup!$B$15=""),0,IF(V305=0,T305/COUNTIF(Setup!$B$9:$B$20,"?*"),T305*AO305/V305))</f>
        <v/>
      </c>
      <c r="AD305">
        <f>IF(OR(T305="",Setup!$B$16=""),0,IF(V305=0,T305/COUNTIF(Setup!$B$9:$B$20,"?*"),T305*AP305/V305))</f>
        <v/>
      </c>
      <c r="AE305">
        <f>IF(OR(T305="",Setup!$B$17=""),0,IF(V305=0,T305/COUNTIF(Setup!$B$9:$B$20,"?*"),T305*AQ305/V305))</f>
        <v/>
      </c>
      <c r="AF305">
        <f>IF(OR(T305="",Setup!$B$18=""),0,IF(V305=0,T305/COUNTIF(Setup!$B$9:$B$20,"?*"),T305*AR305/V305))</f>
        <v/>
      </c>
      <c r="AG305">
        <f>IF(OR(T305="",Setup!$B$19=""),0,IF(V305=0,T305/COUNTIF(Setup!$B$9:$B$20,"?*"),T305*AS305/V305))</f>
        <v/>
      </c>
      <c r="AH305">
        <f>IF(OR(T305="",Setup!$B$20=""),0,IF(V305=0,T305/COUNTIF(Setup!$B$9:$B$20,"?*"),T305*AT305/V305))</f>
        <v/>
      </c>
      <c r="AI305">
        <f>IF(Setup!$B$9="",0,IF(H305="",0,IF(ISNUMBER(H305),H305,1)))</f>
        <v/>
      </c>
      <c r="AJ305">
        <f>IF(Setup!$B$10="",0,IF(I305="",0,IF(ISNUMBER(I305),I305,1)))</f>
        <v/>
      </c>
      <c r="AK305">
        <f>IF(Setup!$B$11="",0,IF(J305="",0,IF(ISNUMBER(J305),J305,1)))</f>
        <v/>
      </c>
      <c r="AL305">
        <f>IF(Setup!$B$12="",0,IF(K305="",0,IF(ISNUMBER(K305),K305,1)))</f>
        <v/>
      </c>
      <c r="AM305">
        <f>IF(Setup!$B$13="",0,IF(L305="",0,IF(ISNUMBER(L305),L305,1)))</f>
        <v/>
      </c>
      <c r="AN305">
        <f>IF(Setup!$B$14="",0,IF(M305="",0,IF(ISNUMBER(M305),M305,1)))</f>
        <v/>
      </c>
      <c r="AO305">
        <f>IF(Setup!$B$15="",0,IF(N305="",0,IF(ISNUMBER(N305),N305,1)))</f>
        <v/>
      </c>
      <c r="AP305">
        <f>IF(Setup!$B$16="",0,IF(O305="",0,IF(ISNUMBER(O305),O305,1)))</f>
        <v/>
      </c>
      <c r="AQ305">
        <f>IF(Setup!$B$17="",0,IF(P305="",0,IF(ISNUMBER(P305),P305,1)))</f>
        <v/>
      </c>
      <c r="AR305">
        <f>IF(Setup!$B$18="",0,IF(Q305="",0,IF(ISNUMBER(Q305),Q305,1)))</f>
        <v/>
      </c>
      <c r="AS305">
        <f>IF(Setup!$B$19="",0,IF(R305="",0,IF(ISNUMBER(R305),R305,1)))</f>
        <v/>
      </c>
      <c r="AT305">
        <f>IF(Setup!$B$20="",0,IF(S305="",0,IF(ISNUMBER(S305),S305,1)))</f>
        <v/>
      </c>
    </row>
    <row r="306">
      <c r="A306" s="1" t="n"/>
      <c r="B306" s="24" t="n"/>
      <c r="C306" s="25" t="n"/>
      <c r="D306" s="25" t="n"/>
      <c r="E306" s="26" t="n"/>
      <c r="F306" s="27" t="n"/>
      <c r="G306" s="17" t="n"/>
      <c r="H306" s="28" t="n"/>
      <c r="I306" s="28" t="n"/>
      <c r="J306" s="28" t="n"/>
      <c r="K306" s="28" t="n"/>
      <c r="L306" s="28" t="n"/>
      <c r="M306" s="28" t="n"/>
      <c r="N306" s="28" t="n"/>
      <c r="O306" s="28" t="n"/>
      <c r="P306" s="28" t="n"/>
      <c r="Q306" s="28" t="n"/>
      <c r="R306" s="28" t="n"/>
      <c r="S306" s="28" t="n"/>
      <c r="T306" s="29">
        <f>IF(N(E306)=0,"",E306*IF(F306="",1,IFERROR(INDEX(Setup!$E$9:$E$18,MATCH(F306,Setup!$D$9:$D$18,0)),0)))</f>
        <v/>
      </c>
      <c r="U306" s="30">
        <f>IF(T306="","",IF(V306=0,"Everyone",IF(COUNTIF(AI306:AT306,"&gt;0")=COUNTIF(Setup!$B$9:$B$20,"?*"),"Everyone",COUNTIF(AI306:AT306,"&gt;0")&amp;IF(COUNTIF(AI306:AT306,"&gt;0")=1," person"," people"))))</f>
        <v/>
      </c>
      <c r="V306" s="1">
        <f>SUM(AI306:AT306)</f>
        <v/>
      </c>
      <c r="W306">
        <f>IF(OR(T306="",Setup!$B$9=""),0,IF(V306=0,T306/COUNTIF(Setup!$B$9:$B$20,"?*"),T306*AI306/V306))</f>
        <v/>
      </c>
      <c r="X306">
        <f>IF(OR(T306="",Setup!$B$10=""),0,IF(V306=0,T306/COUNTIF(Setup!$B$9:$B$20,"?*"),T306*AJ306/V306))</f>
        <v/>
      </c>
      <c r="Y306">
        <f>IF(OR(T306="",Setup!$B$11=""),0,IF(V306=0,T306/COUNTIF(Setup!$B$9:$B$20,"?*"),T306*AK306/V306))</f>
        <v/>
      </c>
      <c r="Z306">
        <f>IF(OR(T306="",Setup!$B$12=""),0,IF(V306=0,T306/COUNTIF(Setup!$B$9:$B$20,"?*"),T306*AL306/V306))</f>
        <v/>
      </c>
      <c r="AA306">
        <f>IF(OR(T306="",Setup!$B$13=""),0,IF(V306=0,T306/COUNTIF(Setup!$B$9:$B$20,"?*"),T306*AM306/V306))</f>
        <v/>
      </c>
      <c r="AB306">
        <f>IF(OR(T306="",Setup!$B$14=""),0,IF(V306=0,T306/COUNTIF(Setup!$B$9:$B$20,"?*"),T306*AN306/V306))</f>
        <v/>
      </c>
      <c r="AC306">
        <f>IF(OR(T306="",Setup!$B$15=""),0,IF(V306=0,T306/COUNTIF(Setup!$B$9:$B$20,"?*"),T306*AO306/V306))</f>
        <v/>
      </c>
      <c r="AD306">
        <f>IF(OR(T306="",Setup!$B$16=""),0,IF(V306=0,T306/COUNTIF(Setup!$B$9:$B$20,"?*"),T306*AP306/V306))</f>
        <v/>
      </c>
      <c r="AE306">
        <f>IF(OR(T306="",Setup!$B$17=""),0,IF(V306=0,T306/COUNTIF(Setup!$B$9:$B$20,"?*"),T306*AQ306/V306))</f>
        <v/>
      </c>
      <c r="AF306">
        <f>IF(OR(T306="",Setup!$B$18=""),0,IF(V306=0,T306/COUNTIF(Setup!$B$9:$B$20,"?*"),T306*AR306/V306))</f>
        <v/>
      </c>
      <c r="AG306">
        <f>IF(OR(T306="",Setup!$B$19=""),0,IF(V306=0,T306/COUNTIF(Setup!$B$9:$B$20,"?*"),T306*AS306/V306))</f>
        <v/>
      </c>
      <c r="AH306">
        <f>IF(OR(T306="",Setup!$B$20=""),0,IF(V306=0,T306/COUNTIF(Setup!$B$9:$B$20,"?*"),T306*AT306/V306))</f>
        <v/>
      </c>
      <c r="AI306">
        <f>IF(Setup!$B$9="",0,IF(H306="",0,IF(ISNUMBER(H306),H306,1)))</f>
        <v/>
      </c>
      <c r="AJ306">
        <f>IF(Setup!$B$10="",0,IF(I306="",0,IF(ISNUMBER(I306),I306,1)))</f>
        <v/>
      </c>
      <c r="AK306">
        <f>IF(Setup!$B$11="",0,IF(J306="",0,IF(ISNUMBER(J306),J306,1)))</f>
        <v/>
      </c>
      <c r="AL306">
        <f>IF(Setup!$B$12="",0,IF(K306="",0,IF(ISNUMBER(K306),K306,1)))</f>
        <v/>
      </c>
      <c r="AM306">
        <f>IF(Setup!$B$13="",0,IF(L306="",0,IF(ISNUMBER(L306),L306,1)))</f>
        <v/>
      </c>
      <c r="AN306">
        <f>IF(Setup!$B$14="",0,IF(M306="",0,IF(ISNUMBER(M306),M306,1)))</f>
        <v/>
      </c>
      <c r="AO306">
        <f>IF(Setup!$B$15="",0,IF(N306="",0,IF(ISNUMBER(N306),N306,1)))</f>
        <v/>
      </c>
      <c r="AP306">
        <f>IF(Setup!$B$16="",0,IF(O306="",0,IF(ISNUMBER(O306),O306,1)))</f>
        <v/>
      </c>
      <c r="AQ306">
        <f>IF(Setup!$B$17="",0,IF(P306="",0,IF(ISNUMBER(P306),P306,1)))</f>
        <v/>
      </c>
      <c r="AR306">
        <f>IF(Setup!$B$18="",0,IF(Q306="",0,IF(ISNUMBER(Q306),Q306,1)))</f>
        <v/>
      </c>
      <c r="AS306">
        <f>IF(Setup!$B$19="",0,IF(R306="",0,IF(ISNUMBER(R306),R306,1)))</f>
        <v/>
      </c>
      <c r="AT306">
        <f>IF(Setup!$B$20="",0,IF(S306="",0,IF(ISNUMBER(S306),S306,1)))</f>
        <v/>
      </c>
    </row>
    <row r="307">
      <c r="A307" s="1" t="n"/>
      <c r="B307" s="24" t="n"/>
      <c r="C307" s="25" t="n"/>
      <c r="D307" s="25" t="n"/>
      <c r="E307" s="26" t="n"/>
      <c r="F307" s="27" t="n"/>
      <c r="G307" s="17" t="n"/>
      <c r="H307" s="28" t="n"/>
      <c r="I307" s="28" t="n"/>
      <c r="J307" s="28" t="n"/>
      <c r="K307" s="28" t="n"/>
      <c r="L307" s="28" t="n"/>
      <c r="M307" s="28" t="n"/>
      <c r="N307" s="28" t="n"/>
      <c r="O307" s="28" t="n"/>
      <c r="P307" s="28" t="n"/>
      <c r="Q307" s="28" t="n"/>
      <c r="R307" s="28" t="n"/>
      <c r="S307" s="28" t="n"/>
      <c r="T307" s="29">
        <f>IF(N(E307)=0,"",E307*IF(F307="",1,IFERROR(INDEX(Setup!$E$9:$E$18,MATCH(F307,Setup!$D$9:$D$18,0)),0)))</f>
        <v/>
      </c>
      <c r="U307" s="30">
        <f>IF(T307="","",IF(V307=0,"Everyone",IF(COUNTIF(AI307:AT307,"&gt;0")=COUNTIF(Setup!$B$9:$B$20,"?*"),"Everyone",COUNTIF(AI307:AT307,"&gt;0")&amp;IF(COUNTIF(AI307:AT307,"&gt;0")=1," person"," people"))))</f>
        <v/>
      </c>
      <c r="V307" s="1">
        <f>SUM(AI307:AT307)</f>
        <v/>
      </c>
      <c r="W307">
        <f>IF(OR(T307="",Setup!$B$9=""),0,IF(V307=0,T307/COUNTIF(Setup!$B$9:$B$20,"?*"),T307*AI307/V307))</f>
        <v/>
      </c>
      <c r="X307">
        <f>IF(OR(T307="",Setup!$B$10=""),0,IF(V307=0,T307/COUNTIF(Setup!$B$9:$B$20,"?*"),T307*AJ307/V307))</f>
        <v/>
      </c>
      <c r="Y307">
        <f>IF(OR(T307="",Setup!$B$11=""),0,IF(V307=0,T307/COUNTIF(Setup!$B$9:$B$20,"?*"),T307*AK307/V307))</f>
        <v/>
      </c>
      <c r="Z307">
        <f>IF(OR(T307="",Setup!$B$12=""),0,IF(V307=0,T307/COUNTIF(Setup!$B$9:$B$20,"?*"),T307*AL307/V307))</f>
        <v/>
      </c>
      <c r="AA307">
        <f>IF(OR(T307="",Setup!$B$13=""),0,IF(V307=0,T307/COUNTIF(Setup!$B$9:$B$20,"?*"),T307*AM307/V307))</f>
        <v/>
      </c>
      <c r="AB307">
        <f>IF(OR(T307="",Setup!$B$14=""),0,IF(V307=0,T307/COUNTIF(Setup!$B$9:$B$20,"?*"),T307*AN307/V307))</f>
        <v/>
      </c>
      <c r="AC307">
        <f>IF(OR(T307="",Setup!$B$15=""),0,IF(V307=0,T307/COUNTIF(Setup!$B$9:$B$20,"?*"),T307*AO307/V307))</f>
        <v/>
      </c>
      <c r="AD307">
        <f>IF(OR(T307="",Setup!$B$16=""),0,IF(V307=0,T307/COUNTIF(Setup!$B$9:$B$20,"?*"),T307*AP307/V307))</f>
        <v/>
      </c>
      <c r="AE307">
        <f>IF(OR(T307="",Setup!$B$17=""),0,IF(V307=0,T307/COUNTIF(Setup!$B$9:$B$20,"?*"),T307*AQ307/V307))</f>
        <v/>
      </c>
      <c r="AF307">
        <f>IF(OR(T307="",Setup!$B$18=""),0,IF(V307=0,T307/COUNTIF(Setup!$B$9:$B$20,"?*"),T307*AR307/V307))</f>
        <v/>
      </c>
      <c r="AG307">
        <f>IF(OR(T307="",Setup!$B$19=""),0,IF(V307=0,T307/COUNTIF(Setup!$B$9:$B$20,"?*"),T307*AS307/V307))</f>
        <v/>
      </c>
      <c r="AH307">
        <f>IF(OR(T307="",Setup!$B$20=""),0,IF(V307=0,T307/COUNTIF(Setup!$B$9:$B$20,"?*"),T307*AT307/V307))</f>
        <v/>
      </c>
      <c r="AI307">
        <f>IF(Setup!$B$9="",0,IF(H307="",0,IF(ISNUMBER(H307),H307,1)))</f>
        <v/>
      </c>
      <c r="AJ307">
        <f>IF(Setup!$B$10="",0,IF(I307="",0,IF(ISNUMBER(I307),I307,1)))</f>
        <v/>
      </c>
      <c r="AK307">
        <f>IF(Setup!$B$11="",0,IF(J307="",0,IF(ISNUMBER(J307),J307,1)))</f>
        <v/>
      </c>
      <c r="AL307">
        <f>IF(Setup!$B$12="",0,IF(K307="",0,IF(ISNUMBER(K307),K307,1)))</f>
        <v/>
      </c>
      <c r="AM307">
        <f>IF(Setup!$B$13="",0,IF(L307="",0,IF(ISNUMBER(L307),L307,1)))</f>
        <v/>
      </c>
      <c r="AN307">
        <f>IF(Setup!$B$14="",0,IF(M307="",0,IF(ISNUMBER(M307),M307,1)))</f>
        <v/>
      </c>
      <c r="AO307">
        <f>IF(Setup!$B$15="",0,IF(N307="",0,IF(ISNUMBER(N307),N307,1)))</f>
        <v/>
      </c>
      <c r="AP307">
        <f>IF(Setup!$B$16="",0,IF(O307="",0,IF(ISNUMBER(O307),O307,1)))</f>
        <v/>
      </c>
      <c r="AQ307">
        <f>IF(Setup!$B$17="",0,IF(P307="",0,IF(ISNUMBER(P307),P307,1)))</f>
        <v/>
      </c>
      <c r="AR307">
        <f>IF(Setup!$B$18="",0,IF(Q307="",0,IF(ISNUMBER(Q307),Q307,1)))</f>
        <v/>
      </c>
      <c r="AS307">
        <f>IF(Setup!$B$19="",0,IF(R307="",0,IF(ISNUMBER(R307),R307,1)))</f>
        <v/>
      </c>
      <c r="AT307">
        <f>IF(Setup!$B$20="",0,IF(S307="",0,IF(ISNUMBER(S307),S307,1)))</f>
        <v/>
      </c>
    </row>
    <row r="308">
      <c r="A308" s="1" t="n"/>
      <c r="B308" s="24" t="n"/>
      <c r="C308" s="25" t="n"/>
      <c r="D308" s="25" t="n"/>
      <c r="E308" s="26" t="n"/>
      <c r="F308" s="27" t="n"/>
      <c r="G308" s="17" t="n"/>
      <c r="H308" s="28" t="n"/>
      <c r="I308" s="28" t="n"/>
      <c r="J308" s="28" t="n"/>
      <c r="K308" s="28" t="n"/>
      <c r="L308" s="28" t="n"/>
      <c r="M308" s="28" t="n"/>
      <c r="N308" s="28" t="n"/>
      <c r="O308" s="28" t="n"/>
      <c r="P308" s="28" t="n"/>
      <c r="Q308" s="28" t="n"/>
      <c r="R308" s="28" t="n"/>
      <c r="S308" s="28" t="n"/>
      <c r="T308" s="29">
        <f>IF(N(E308)=0,"",E308*IF(F308="",1,IFERROR(INDEX(Setup!$E$9:$E$18,MATCH(F308,Setup!$D$9:$D$18,0)),0)))</f>
        <v/>
      </c>
      <c r="U308" s="30">
        <f>IF(T308="","",IF(V308=0,"Everyone",IF(COUNTIF(AI308:AT308,"&gt;0")=COUNTIF(Setup!$B$9:$B$20,"?*"),"Everyone",COUNTIF(AI308:AT308,"&gt;0")&amp;IF(COUNTIF(AI308:AT308,"&gt;0")=1," person"," people"))))</f>
        <v/>
      </c>
      <c r="V308" s="1">
        <f>SUM(AI308:AT308)</f>
        <v/>
      </c>
      <c r="W308">
        <f>IF(OR(T308="",Setup!$B$9=""),0,IF(V308=0,T308/COUNTIF(Setup!$B$9:$B$20,"?*"),T308*AI308/V308))</f>
        <v/>
      </c>
      <c r="X308">
        <f>IF(OR(T308="",Setup!$B$10=""),0,IF(V308=0,T308/COUNTIF(Setup!$B$9:$B$20,"?*"),T308*AJ308/V308))</f>
        <v/>
      </c>
      <c r="Y308">
        <f>IF(OR(T308="",Setup!$B$11=""),0,IF(V308=0,T308/COUNTIF(Setup!$B$9:$B$20,"?*"),T308*AK308/V308))</f>
        <v/>
      </c>
      <c r="Z308">
        <f>IF(OR(T308="",Setup!$B$12=""),0,IF(V308=0,T308/COUNTIF(Setup!$B$9:$B$20,"?*"),T308*AL308/V308))</f>
        <v/>
      </c>
      <c r="AA308">
        <f>IF(OR(T308="",Setup!$B$13=""),0,IF(V308=0,T308/COUNTIF(Setup!$B$9:$B$20,"?*"),T308*AM308/V308))</f>
        <v/>
      </c>
      <c r="AB308">
        <f>IF(OR(T308="",Setup!$B$14=""),0,IF(V308=0,T308/COUNTIF(Setup!$B$9:$B$20,"?*"),T308*AN308/V308))</f>
        <v/>
      </c>
      <c r="AC308">
        <f>IF(OR(T308="",Setup!$B$15=""),0,IF(V308=0,T308/COUNTIF(Setup!$B$9:$B$20,"?*"),T308*AO308/V308))</f>
        <v/>
      </c>
      <c r="AD308">
        <f>IF(OR(T308="",Setup!$B$16=""),0,IF(V308=0,T308/COUNTIF(Setup!$B$9:$B$20,"?*"),T308*AP308/V308))</f>
        <v/>
      </c>
      <c r="AE308">
        <f>IF(OR(T308="",Setup!$B$17=""),0,IF(V308=0,T308/COUNTIF(Setup!$B$9:$B$20,"?*"),T308*AQ308/V308))</f>
        <v/>
      </c>
      <c r="AF308">
        <f>IF(OR(T308="",Setup!$B$18=""),0,IF(V308=0,T308/COUNTIF(Setup!$B$9:$B$20,"?*"),T308*AR308/V308))</f>
        <v/>
      </c>
      <c r="AG308">
        <f>IF(OR(T308="",Setup!$B$19=""),0,IF(V308=0,T308/COUNTIF(Setup!$B$9:$B$20,"?*"),T308*AS308/V308))</f>
        <v/>
      </c>
      <c r="AH308">
        <f>IF(OR(T308="",Setup!$B$20=""),0,IF(V308=0,T308/COUNTIF(Setup!$B$9:$B$20,"?*"),T308*AT308/V308))</f>
        <v/>
      </c>
      <c r="AI308">
        <f>IF(Setup!$B$9="",0,IF(H308="",0,IF(ISNUMBER(H308),H308,1)))</f>
        <v/>
      </c>
      <c r="AJ308">
        <f>IF(Setup!$B$10="",0,IF(I308="",0,IF(ISNUMBER(I308),I308,1)))</f>
        <v/>
      </c>
      <c r="AK308">
        <f>IF(Setup!$B$11="",0,IF(J308="",0,IF(ISNUMBER(J308),J308,1)))</f>
        <v/>
      </c>
      <c r="AL308">
        <f>IF(Setup!$B$12="",0,IF(K308="",0,IF(ISNUMBER(K308),K308,1)))</f>
        <v/>
      </c>
      <c r="AM308">
        <f>IF(Setup!$B$13="",0,IF(L308="",0,IF(ISNUMBER(L308),L308,1)))</f>
        <v/>
      </c>
      <c r="AN308">
        <f>IF(Setup!$B$14="",0,IF(M308="",0,IF(ISNUMBER(M308),M308,1)))</f>
        <v/>
      </c>
      <c r="AO308">
        <f>IF(Setup!$B$15="",0,IF(N308="",0,IF(ISNUMBER(N308),N308,1)))</f>
        <v/>
      </c>
      <c r="AP308">
        <f>IF(Setup!$B$16="",0,IF(O308="",0,IF(ISNUMBER(O308),O308,1)))</f>
        <v/>
      </c>
      <c r="AQ308">
        <f>IF(Setup!$B$17="",0,IF(P308="",0,IF(ISNUMBER(P308),P308,1)))</f>
        <v/>
      </c>
      <c r="AR308">
        <f>IF(Setup!$B$18="",0,IF(Q308="",0,IF(ISNUMBER(Q308),Q308,1)))</f>
        <v/>
      </c>
      <c r="AS308">
        <f>IF(Setup!$B$19="",0,IF(R308="",0,IF(ISNUMBER(R308),R308,1)))</f>
        <v/>
      </c>
      <c r="AT308">
        <f>IF(Setup!$B$20="",0,IF(S308="",0,IF(ISNUMBER(S308),S308,1)))</f>
        <v/>
      </c>
    </row>
    <row r="309">
      <c r="A309" s="1" t="n"/>
      <c r="B309" s="24" t="n"/>
      <c r="C309" s="25" t="n"/>
      <c r="D309" s="25" t="n"/>
      <c r="E309" s="26" t="n"/>
      <c r="F309" s="27" t="n"/>
      <c r="G309" s="17" t="n"/>
      <c r="H309" s="28" t="n"/>
      <c r="I309" s="28" t="n"/>
      <c r="J309" s="28" t="n"/>
      <c r="K309" s="28" t="n"/>
      <c r="L309" s="28" t="n"/>
      <c r="M309" s="28" t="n"/>
      <c r="N309" s="28" t="n"/>
      <c r="O309" s="28" t="n"/>
      <c r="P309" s="28" t="n"/>
      <c r="Q309" s="28" t="n"/>
      <c r="R309" s="28" t="n"/>
      <c r="S309" s="28" t="n"/>
      <c r="T309" s="29">
        <f>IF(N(E309)=0,"",E309*IF(F309="",1,IFERROR(INDEX(Setup!$E$9:$E$18,MATCH(F309,Setup!$D$9:$D$18,0)),0)))</f>
        <v/>
      </c>
      <c r="U309" s="30">
        <f>IF(T309="","",IF(V309=0,"Everyone",IF(COUNTIF(AI309:AT309,"&gt;0")=COUNTIF(Setup!$B$9:$B$20,"?*"),"Everyone",COUNTIF(AI309:AT309,"&gt;0")&amp;IF(COUNTIF(AI309:AT309,"&gt;0")=1," person"," people"))))</f>
        <v/>
      </c>
      <c r="V309" s="1">
        <f>SUM(AI309:AT309)</f>
        <v/>
      </c>
      <c r="W309">
        <f>IF(OR(T309="",Setup!$B$9=""),0,IF(V309=0,T309/COUNTIF(Setup!$B$9:$B$20,"?*"),T309*AI309/V309))</f>
        <v/>
      </c>
      <c r="X309">
        <f>IF(OR(T309="",Setup!$B$10=""),0,IF(V309=0,T309/COUNTIF(Setup!$B$9:$B$20,"?*"),T309*AJ309/V309))</f>
        <v/>
      </c>
      <c r="Y309">
        <f>IF(OR(T309="",Setup!$B$11=""),0,IF(V309=0,T309/COUNTIF(Setup!$B$9:$B$20,"?*"),T309*AK309/V309))</f>
        <v/>
      </c>
      <c r="Z309">
        <f>IF(OR(T309="",Setup!$B$12=""),0,IF(V309=0,T309/COUNTIF(Setup!$B$9:$B$20,"?*"),T309*AL309/V309))</f>
        <v/>
      </c>
      <c r="AA309">
        <f>IF(OR(T309="",Setup!$B$13=""),0,IF(V309=0,T309/COUNTIF(Setup!$B$9:$B$20,"?*"),T309*AM309/V309))</f>
        <v/>
      </c>
      <c r="AB309">
        <f>IF(OR(T309="",Setup!$B$14=""),0,IF(V309=0,T309/COUNTIF(Setup!$B$9:$B$20,"?*"),T309*AN309/V309))</f>
        <v/>
      </c>
      <c r="AC309">
        <f>IF(OR(T309="",Setup!$B$15=""),0,IF(V309=0,T309/COUNTIF(Setup!$B$9:$B$20,"?*"),T309*AO309/V309))</f>
        <v/>
      </c>
      <c r="AD309">
        <f>IF(OR(T309="",Setup!$B$16=""),0,IF(V309=0,T309/COUNTIF(Setup!$B$9:$B$20,"?*"),T309*AP309/V309))</f>
        <v/>
      </c>
      <c r="AE309">
        <f>IF(OR(T309="",Setup!$B$17=""),0,IF(V309=0,T309/COUNTIF(Setup!$B$9:$B$20,"?*"),T309*AQ309/V309))</f>
        <v/>
      </c>
      <c r="AF309">
        <f>IF(OR(T309="",Setup!$B$18=""),0,IF(V309=0,T309/COUNTIF(Setup!$B$9:$B$20,"?*"),T309*AR309/V309))</f>
        <v/>
      </c>
      <c r="AG309">
        <f>IF(OR(T309="",Setup!$B$19=""),0,IF(V309=0,T309/COUNTIF(Setup!$B$9:$B$20,"?*"),T309*AS309/V309))</f>
        <v/>
      </c>
      <c r="AH309">
        <f>IF(OR(T309="",Setup!$B$20=""),0,IF(V309=0,T309/COUNTIF(Setup!$B$9:$B$20,"?*"),T309*AT309/V309))</f>
        <v/>
      </c>
      <c r="AI309">
        <f>IF(Setup!$B$9="",0,IF(H309="",0,IF(ISNUMBER(H309),H309,1)))</f>
        <v/>
      </c>
      <c r="AJ309">
        <f>IF(Setup!$B$10="",0,IF(I309="",0,IF(ISNUMBER(I309),I309,1)))</f>
        <v/>
      </c>
      <c r="AK309">
        <f>IF(Setup!$B$11="",0,IF(J309="",0,IF(ISNUMBER(J309),J309,1)))</f>
        <v/>
      </c>
      <c r="AL309">
        <f>IF(Setup!$B$12="",0,IF(K309="",0,IF(ISNUMBER(K309),K309,1)))</f>
        <v/>
      </c>
      <c r="AM309">
        <f>IF(Setup!$B$13="",0,IF(L309="",0,IF(ISNUMBER(L309),L309,1)))</f>
        <v/>
      </c>
      <c r="AN309">
        <f>IF(Setup!$B$14="",0,IF(M309="",0,IF(ISNUMBER(M309),M309,1)))</f>
        <v/>
      </c>
      <c r="AO309">
        <f>IF(Setup!$B$15="",0,IF(N309="",0,IF(ISNUMBER(N309),N309,1)))</f>
        <v/>
      </c>
      <c r="AP309">
        <f>IF(Setup!$B$16="",0,IF(O309="",0,IF(ISNUMBER(O309),O309,1)))</f>
        <v/>
      </c>
      <c r="AQ309">
        <f>IF(Setup!$B$17="",0,IF(P309="",0,IF(ISNUMBER(P309),P309,1)))</f>
        <v/>
      </c>
      <c r="AR309">
        <f>IF(Setup!$B$18="",0,IF(Q309="",0,IF(ISNUMBER(Q309),Q309,1)))</f>
        <v/>
      </c>
      <c r="AS309">
        <f>IF(Setup!$B$19="",0,IF(R309="",0,IF(ISNUMBER(R309),R309,1)))</f>
        <v/>
      </c>
      <c r="AT309">
        <f>IF(Setup!$B$20="",0,IF(S309="",0,IF(ISNUMBER(S309),S309,1)))</f>
        <v/>
      </c>
    </row>
    <row r="310">
      <c r="A310" s="1" t="n"/>
      <c r="B310" s="24" t="n"/>
      <c r="C310" s="25" t="n"/>
      <c r="D310" s="25" t="n"/>
      <c r="E310" s="26" t="n"/>
      <c r="F310" s="27" t="n"/>
      <c r="G310" s="17" t="n"/>
      <c r="H310" s="28" t="n"/>
      <c r="I310" s="28" t="n"/>
      <c r="J310" s="28" t="n"/>
      <c r="K310" s="28" t="n"/>
      <c r="L310" s="28" t="n"/>
      <c r="M310" s="28" t="n"/>
      <c r="N310" s="28" t="n"/>
      <c r="O310" s="28" t="n"/>
      <c r="P310" s="28" t="n"/>
      <c r="Q310" s="28" t="n"/>
      <c r="R310" s="28" t="n"/>
      <c r="S310" s="28" t="n"/>
      <c r="T310" s="29">
        <f>IF(N(E310)=0,"",E310*IF(F310="",1,IFERROR(INDEX(Setup!$E$9:$E$18,MATCH(F310,Setup!$D$9:$D$18,0)),0)))</f>
        <v/>
      </c>
      <c r="U310" s="30">
        <f>IF(T310="","",IF(V310=0,"Everyone",IF(COUNTIF(AI310:AT310,"&gt;0")=COUNTIF(Setup!$B$9:$B$20,"?*"),"Everyone",COUNTIF(AI310:AT310,"&gt;0")&amp;IF(COUNTIF(AI310:AT310,"&gt;0")=1," person"," people"))))</f>
        <v/>
      </c>
      <c r="V310" s="1">
        <f>SUM(AI310:AT310)</f>
        <v/>
      </c>
      <c r="W310">
        <f>IF(OR(T310="",Setup!$B$9=""),0,IF(V310=0,T310/COUNTIF(Setup!$B$9:$B$20,"?*"),T310*AI310/V310))</f>
        <v/>
      </c>
      <c r="X310">
        <f>IF(OR(T310="",Setup!$B$10=""),0,IF(V310=0,T310/COUNTIF(Setup!$B$9:$B$20,"?*"),T310*AJ310/V310))</f>
        <v/>
      </c>
      <c r="Y310">
        <f>IF(OR(T310="",Setup!$B$11=""),0,IF(V310=0,T310/COUNTIF(Setup!$B$9:$B$20,"?*"),T310*AK310/V310))</f>
        <v/>
      </c>
      <c r="Z310">
        <f>IF(OR(T310="",Setup!$B$12=""),0,IF(V310=0,T310/COUNTIF(Setup!$B$9:$B$20,"?*"),T310*AL310/V310))</f>
        <v/>
      </c>
      <c r="AA310">
        <f>IF(OR(T310="",Setup!$B$13=""),0,IF(V310=0,T310/COUNTIF(Setup!$B$9:$B$20,"?*"),T310*AM310/V310))</f>
        <v/>
      </c>
      <c r="AB310">
        <f>IF(OR(T310="",Setup!$B$14=""),0,IF(V310=0,T310/COUNTIF(Setup!$B$9:$B$20,"?*"),T310*AN310/V310))</f>
        <v/>
      </c>
      <c r="AC310">
        <f>IF(OR(T310="",Setup!$B$15=""),0,IF(V310=0,T310/COUNTIF(Setup!$B$9:$B$20,"?*"),T310*AO310/V310))</f>
        <v/>
      </c>
      <c r="AD310">
        <f>IF(OR(T310="",Setup!$B$16=""),0,IF(V310=0,T310/COUNTIF(Setup!$B$9:$B$20,"?*"),T310*AP310/V310))</f>
        <v/>
      </c>
      <c r="AE310">
        <f>IF(OR(T310="",Setup!$B$17=""),0,IF(V310=0,T310/COUNTIF(Setup!$B$9:$B$20,"?*"),T310*AQ310/V310))</f>
        <v/>
      </c>
      <c r="AF310">
        <f>IF(OR(T310="",Setup!$B$18=""),0,IF(V310=0,T310/COUNTIF(Setup!$B$9:$B$20,"?*"),T310*AR310/V310))</f>
        <v/>
      </c>
      <c r="AG310">
        <f>IF(OR(T310="",Setup!$B$19=""),0,IF(V310=0,T310/COUNTIF(Setup!$B$9:$B$20,"?*"),T310*AS310/V310))</f>
        <v/>
      </c>
      <c r="AH310">
        <f>IF(OR(T310="",Setup!$B$20=""),0,IF(V310=0,T310/COUNTIF(Setup!$B$9:$B$20,"?*"),T310*AT310/V310))</f>
        <v/>
      </c>
      <c r="AI310">
        <f>IF(Setup!$B$9="",0,IF(H310="",0,IF(ISNUMBER(H310),H310,1)))</f>
        <v/>
      </c>
      <c r="AJ310">
        <f>IF(Setup!$B$10="",0,IF(I310="",0,IF(ISNUMBER(I310),I310,1)))</f>
        <v/>
      </c>
      <c r="AK310">
        <f>IF(Setup!$B$11="",0,IF(J310="",0,IF(ISNUMBER(J310),J310,1)))</f>
        <v/>
      </c>
      <c r="AL310">
        <f>IF(Setup!$B$12="",0,IF(K310="",0,IF(ISNUMBER(K310),K310,1)))</f>
        <v/>
      </c>
      <c r="AM310">
        <f>IF(Setup!$B$13="",0,IF(L310="",0,IF(ISNUMBER(L310),L310,1)))</f>
        <v/>
      </c>
      <c r="AN310">
        <f>IF(Setup!$B$14="",0,IF(M310="",0,IF(ISNUMBER(M310),M310,1)))</f>
        <v/>
      </c>
      <c r="AO310">
        <f>IF(Setup!$B$15="",0,IF(N310="",0,IF(ISNUMBER(N310),N310,1)))</f>
        <v/>
      </c>
      <c r="AP310">
        <f>IF(Setup!$B$16="",0,IF(O310="",0,IF(ISNUMBER(O310),O310,1)))</f>
        <v/>
      </c>
      <c r="AQ310">
        <f>IF(Setup!$B$17="",0,IF(P310="",0,IF(ISNUMBER(P310),P310,1)))</f>
        <v/>
      </c>
      <c r="AR310">
        <f>IF(Setup!$B$18="",0,IF(Q310="",0,IF(ISNUMBER(Q310),Q310,1)))</f>
        <v/>
      </c>
      <c r="AS310">
        <f>IF(Setup!$B$19="",0,IF(R310="",0,IF(ISNUMBER(R310),R310,1)))</f>
        <v/>
      </c>
      <c r="AT310">
        <f>IF(Setup!$B$20="",0,IF(S310="",0,IF(ISNUMBER(S310),S310,1)))</f>
        <v/>
      </c>
    </row>
    <row r="311">
      <c r="A311" s="1" t="n"/>
      <c r="B311" s="24" t="n"/>
      <c r="C311" s="25" t="n"/>
      <c r="D311" s="25" t="n"/>
      <c r="E311" s="26" t="n"/>
      <c r="F311" s="27" t="n"/>
      <c r="G311" s="17" t="n"/>
      <c r="H311" s="28" t="n"/>
      <c r="I311" s="28" t="n"/>
      <c r="J311" s="28" t="n"/>
      <c r="K311" s="28" t="n"/>
      <c r="L311" s="28" t="n"/>
      <c r="M311" s="28" t="n"/>
      <c r="N311" s="28" t="n"/>
      <c r="O311" s="28" t="n"/>
      <c r="P311" s="28" t="n"/>
      <c r="Q311" s="28" t="n"/>
      <c r="R311" s="28" t="n"/>
      <c r="S311" s="28" t="n"/>
      <c r="T311" s="29">
        <f>IF(N(E311)=0,"",E311*IF(F311="",1,IFERROR(INDEX(Setup!$E$9:$E$18,MATCH(F311,Setup!$D$9:$D$18,0)),0)))</f>
        <v/>
      </c>
      <c r="U311" s="30">
        <f>IF(T311="","",IF(V311=0,"Everyone",IF(COUNTIF(AI311:AT311,"&gt;0")=COUNTIF(Setup!$B$9:$B$20,"?*"),"Everyone",COUNTIF(AI311:AT311,"&gt;0")&amp;IF(COUNTIF(AI311:AT311,"&gt;0")=1," person"," people"))))</f>
        <v/>
      </c>
      <c r="V311" s="1">
        <f>SUM(AI311:AT311)</f>
        <v/>
      </c>
      <c r="W311">
        <f>IF(OR(T311="",Setup!$B$9=""),0,IF(V311=0,T311/COUNTIF(Setup!$B$9:$B$20,"?*"),T311*AI311/V311))</f>
        <v/>
      </c>
      <c r="X311">
        <f>IF(OR(T311="",Setup!$B$10=""),0,IF(V311=0,T311/COUNTIF(Setup!$B$9:$B$20,"?*"),T311*AJ311/V311))</f>
        <v/>
      </c>
      <c r="Y311">
        <f>IF(OR(T311="",Setup!$B$11=""),0,IF(V311=0,T311/COUNTIF(Setup!$B$9:$B$20,"?*"),T311*AK311/V311))</f>
        <v/>
      </c>
      <c r="Z311">
        <f>IF(OR(T311="",Setup!$B$12=""),0,IF(V311=0,T311/COUNTIF(Setup!$B$9:$B$20,"?*"),T311*AL311/V311))</f>
        <v/>
      </c>
      <c r="AA311">
        <f>IF(OR(T311="",Setup!$B$13=""),0,IF(V311=0,T311/COUNTIF(Setup!$B$9:$B$20,"?*"),T311*AM311/V311))</f>
        <v/>
      </c>
      <c r="AB311">
        <f>IF(OR(T311="",Setup!$B$14=""),0,IF(V311=0,T311/COUNTIF(Setup!$B$9:$B$20,"?*"),T311*AN311/V311))</f>
        <v/>
      </c>
      <c r="AC311">
        <f>IF(OR(T311="",Setup!$B$15=""),0,IF(V311=0,T311/COUNTIF(Setup!$B$9:$B$20,"?*"),T311*AO311/V311))</f>
        <v/>
      </c>
      <c r="AD311">
        <f>IF(OR(T311="",Setup!$B$16=""),0,IF(V311=0,T311/COUNTIF(Setup!$B$9:$B$20,"?*"),T311*AP311/V311))</f>
        <v/>
      </c>
      <c r="AE311">
        <f>IF(OR(T311="",Setup!$B$17=""),0,IF(V311=0,T311/COUNTIF(Setup!$B$9:$B$20,"?*"),T311*AQ311/V311))</f>
        <v/>
      </c>
      <c r="AF311">
        <f>IF(OR(T311="",Setup!$B$18=""),0,IF(V311=0,T311/COUNTIF(Setup!$B$9:$B$20,"?*"),T311*AR311/V311))</f>
        <v/>
      </c>
      <c r="AG311">
        <f>IF(OR(T311="",Setup!$B$19=""),0,IF(V311=0,T311/COUNTIF(Setup!$B$9:$B$20,"?*"),T311*AS311/V311))</f>
        <v/>
      </c>
      <c r="AH311">
        <f>IF(OR(T311="",Setup!$B$20=""),0,IF(V311=0,T311/COUNTIF(Setup!$B$9:$B$20,"?*"),T311*AT311/V311))</f>
        <v/>
      </c>
      <c r="AI311">
        <f>IF(Setup!$B$9="",0,IF(H311="",0,IF(ISNUMBER(H311),H311,1)))</f>
        <v/>
      </c>
      <c r="AJ311">
        <f>IF(Setup!$B$10="",0,IF(I311="",0,IF(ISNUMBER(I311),I311,1)))</f>
        <v/>
      </c>
      <c r="AK311">
        <f>IF(Setup!$B$11="",0,IF(J311="",0,IF(ISNUMBER(J311),J311,1)))</f>
        <v/>
      </c>
      <c r="AL311">
        <f>IF(Setup!$B$12="",0,IF(K311="",0,IF(ISNUMBER(K311),K311,1)))</f>
        <v/>
      </c>
      <c r="AM311">
        <f>IF(Setup!$B$13="",0,IF(L311="",0,IF(ISNUMBER(L311),L311,1)))</f>
        <v/>
      </c>
      <c r="AN311">
        <f>IF(Setup!$B$14="",0,IF(M311="",0,IF(ISNUMBER(M311),M311,1)))</f>
        <v/>
      </c>
      <c r="AO311">
        <f>IF(Setup!$B$15="",0,IF(N311="",0,IF(ISNUMBER(N311),N311,1)))</f>
        <v/>
      </c>
      <c r="AP311">
        <f>IF(Setup!$B$16="",0,IF(O311="",0,IF(ISNUMBER(O311),O311,1)))</f>
        <v/>
      </c>
      <c r="AQ311">
        <f>IF(Setup!$B$17="",0,IF(P311="",0,IF(ISNUMBER(P311),P311,1)))</f>
        <v/>
      </c>
      <c r="AR311">
        <f>IF(Setup!$B$18="",0,IF(Q311="",0,IF(ISNUMBER(Q311),Q311,1)))</f>
        <v/>
      </c>
      <c r="AS311">
        <f>IF(Setup!$B$19="",0,IF(R311="",0,IF(ISNUMBER(R311),R311,1)))</f>
        <v/>
      </c>
      <c r="AT311">
        <f>IF(Setup!$B$20="",0,IF(S311="",0,IF(ISNUMBER(S311),S311,1)))</f>
        <v/>
      </c>
    </row>
    <row r="312">
      <c r="A312" s="1" t="n"/>
      <c r="B312" s="24" t="n"/>
      <c r="C312" s="25" t="n"/>
      <c r="D312" s="25" t="n"/>
      <c r="E312" s="26" t="n"/>
      <c r="F312" s="27" t="n"/>
      <c r="G312" s="17" t="n"/>
      <c r="H312" s="28" t="n"/>
      <c r="I312" s="28" t="n"/>
      <c r="J312" s="28" t="n"/>
      <c r="K312" s="28" t="n"/>
      <c r="L312" s="28" t="n"/>
      <c r="M312" s="28" t="n"/>
      <c r="N312" s="28" t="n"/>
      <c r="O312" s="28" t="n"/>
      <c r="P312" s="28" t="n"/>
      <c r="Q312" s="28" t="n"/>
      <c r="R312" s="28" t="n"/>
      <c r="S312" s="28" t="n"/>
      <c r="T312" s="29">
        <f>IF(N(E312)=0,"",E312*IF(F312="",1,IFERROR(INDEX(Setup!$E$9:$E$18,MATCH(F312,Setup!$D$9:$D$18,0)),0)))</f>
        <v/>
      </c>
      <c r="U312" s="30">
        <f>IF(T312="","",IF(V312=0,"Everyone",IF(COUNTIF(AI312:AT312,"&gt;0")=COUNTIF(Setup!$B$9:$B$20,"?*"),"Everyone",COUNTIF(AI312:AT312,"&gt;0")&amp;IF(COUNTIF(AI312:AT312,"&gt;0")=1," person"," people"))))</f>
        <v/>
      </c>
      <c r="V312" s="1">
        <f>SUM(AI312:AT312)</f>
        <v/>
      </c>
      <c r="W312">
        <f>IF(OR(T312="",Setup!$B$9=""),0,IF(V312=0,T312/COUNTIF(Setup!$B$9:$B$20,"?*"),T312*AI312/V312))</f>
        <v/>
      </c>
      <c r="X312">
        <f>IF(OR(T312="",Setup!$B$10=""),0,IF(V312=0,T312/COUNTIF(Setup!$B$9:$B$20,"?*"),T312*AJ312/V312))</f>
        <v/>
      </c>
      <c r="Y312">
        <f>IF(OR(T312="",Setup!$B$11=""),0,IF(V312=0,T312/COUNTIF(Setup!$B$9:$B$20,"?*"),T312*AK312/V312))</f>
        <v/>
      </c>
      <c r="Z312">
        <f>IF(OR(T312="",Setup!$B$12=""),0,IF(V312=0,T312/COUNTIF(Setup!$B$9:$B$20,"?*"),T312*AL312/V312))</f>
        <v/>
      </c>
      <c r="AA312">
        <f>IF(OR(T312="",Setup!$B$13=""),0,IF(V312=0,T312/COUNTIF(Setup!$B$9:$B$20,"?*"),T312*AM312/V312))</f>
        <v/>
      </c>
      <c r="AB312">
        <f>IF(OR(T312="",Setup!$B$14=""),0,IF(V312=0,T312/COUNTIF(Setup!$B$9:$B$20,"?*"),T312*AN312/V312))</f>
        <v/>
      </c>
      <c r="AC312">
        <f>IF(OR(T312="",Setup!$B$15=""),0,IF(V312=0,T312/COUNTIF(Setup!$B$9:$B$20,"?*"),T312*AO312/V312))</f>
        <v/>
      </c>
      <c r="AD312">
        <f>IF(OR(T312="",Setup!$B$16=""),0,IF(V312=0,T312/COUNTIF(Setup!$B$9:$B$20,"?*"),T312*AP312/V312))</f>
        <v/>
      </c>
      <c r="AE312">
        <f>IF(OR(T312="",Setup!$B$17=""),0,IF(V312=0,T312/COUNTIF(Setup!$B$9:$B$20,"?*"),T312*AQ312/V312))</f>
        <v/>
      </c>
      <c r="AF312">
        <f>IF(OR(T312="",Setup!$B$18=""),0,IF(V312=0,T312/COUNTIF(Setup!$B$9:$B$20,"?*"),T312*AR312/V312))</f>
        <v/>
      </c>
      <c r="AG312">
        <f>IF(OR(T312="",Setup!$B$19=""),0,IF(V312=0,T312/COUNTIF(Setup!$B$9:$B$20,"?*"),T312*AS312/V312))</f>
        <v/>
      </c>
      <c r="AH312">
        <f>IF(OR(T312="",Setup!$B$20=""),0,IF(V312=0,T312/COUNTIF(Setup!$B$9:$B$20,"?*"),T312*AT312/V312))</f>
        <v/>
      </c>
      <c r="AI312">
        <f>IF(Setup!$B$9="",0,IF(H312="",0,IF(ISNUMBER(H312),H312,1)))</f>
        <v/>
      </c>
      <c r="AJ312">
        <f>IF(Setup!$B$10="",0,IF(I312="",0,IF(ISNUMBER(I312),I312,1)))</f>
        <v/>
      </c>
      <c r="AK312">
        <f>IF(Setup!$B$11="",0,IF(J312="",0,IF(ISNUMBER(J312),J312,1)))</f>
        <v/>
      </c>
      <c r="AL312">
        <f>IF(Setup!$B$12="",0,IF(K312="",0,IF(ISNUMBER(K312),K312,1)))</f>
        <v/>
      </c>
      <c r="AM312">
        <f>IF(Setup!$B$13="",0,IF(L312="",0,IF(ISNUMBER(L312),L312,1)))</f>
        <v/>
      </c>
      <c r="AN312">
        <f>IF(Setup!$B$14="",0,IF(M312="",0,IF(ISNUMBER(M312),M312,1)))</f>
        <v/>
      </c>
      <c r="AO312">
        <f>IF(Setup!$B$15="",0,IF(N312="",0,IF(ISNUMBER(N312),N312,1)))</f>
        <v/>
      </c>
      <c r="AP312">
        <f>IF(Setup!$B$16="",0,IF(O312="",0,IF(ISNUMBER(O312),O312,1)))</f>
        <v/>
      </c>
      <c r="AQ312">
        <f>IF(Setup!$B$17="",0,IF(P312="",0,IF(ISNUMBER(P312),P312,1)))</f>
        <v/>
      </c>
      <c r="AR312">
        <f>IF(Setup!$B$18="",0,IF(Q312="",0,IF(ISNUMBER(Q312),Q312,1)))</f>
        <v/>
      </c>
      <c r="AS312">
        <f>IF(Setup!$B$19="",0,IF(R312="",0,IF(ISNUMBER(R312),R312,1)))</f>
        <v/>
      </c>
      <c r="AT312">
        <f>IF(Setup!$B$20="",0,IF(S312="",0,IF(ISNUMBER(S312),S312,1)))</f>
        <v/>
      </c>
    </row>
    <row r="313">
      <c r="A313" s="1" t="n"/>
      <c r="B313" s="24" t="n"/>
      <c r="C313" s="25" t="n"/>
      <c r="D313" s="25" t="n"/>
      <c r="E313" s="26" t="n"/>
      <c r="F313" s="27" t="n"/>
      <c r="G313" s="17" t="n"/>
      <c r="H313" s="28" t="n"/>
      <c r="I313" s="28" t="n"/>
      <c r="J313" s="28" t="n"/>
      <c r="K313" s="28" t="n"/>
      <c r="L313" s="28" t="n"/>
      <c r="M313" s="28" t="n"/>
      <c r="N313" s="28" t="n"/>
      <c r="O313" s="28" t="n"/>
      <c r="P313" s="28" t="n"/>
      <c r="Q313" s="28" t="n"/>
      <c r="R313" s="28" t="n"/>
      <c r="S313" s="28" t="n"/>
      <c r="T313" s="29">
        <f>IF(N(E313)=0,"",E313*IF(F313="",1,IFERROR(INDEX(Setup!$E$9:$E$18,MATCH(F313,Setup!$D$9:$D$18,0)),0)))</f>
        <v/>
      </c>
      <c r="U313" s="30">
        <f>IF(T313="","",IF(V313=0,"Everyone",IF(COUNTIF(AI313:AT313,"&gt;0")=COUNTIF(Setup!$B$9:$B$20,"?*"),"Everyone",COUNTIF(AI313:AT313,"&gt;0")&amp;IF(COUNTIF(AI313:AT313,"&gt;0")=1," person"," people"))))</f>
        <v/>
      </c>
      <c r="V313" s="1">
        <f>SUM(AI313:AT313)</f>
        <v/>
      </c>
      <c r="W313">
        <f>IF(OR(T313="",Setup!$B$9=""),0,IF(V313=0,T313/COUNTIF(Setup!$B$9:$B$20,"?*"),T313*AI313/V313))</f>
        <v/>
      </c>
      <c r="X313">
        <f>IF(OR(T313="",Setup!$B$10=""),0,IF(V313=0,T313/COUNTIF(Setup!$B$9:$B$20,"?*"),T313*AJ313/V313))</f>
        <v/>
      </c>
      <c r="Y313">
        <f>IF(OR(T313="",Setup!$B$11=""),0,IF(V313=0,T313/COUNTIF(Setup!$B$9:$B$20,"?*"),T313*AK313/V313))</f>
        <v/>
      </c>
      <c r="Z313">
        <f>IF(OR(T313="",Setup!$B$12=""),0,IF(V313=0,T313/COUNTIF(Setup!$B$9:$B$20,"?*"),T313*AL313/V313))</f>
        <v/>
      </c>
      <c r="AA313">
        <f>IF(OR(T313="",Setup!$B$13=""),0,IF(V313=0,T313/COUNTIF(Setup!$B$9:$B$20,"?*"),T313*AM313/V313))</f>
        <v/>
      </c>
      <c r="AB313">
        <f>IF(OR(T313="",Setup!$B$14=""),0,IF(V313=0,T313/COUNTIF(Setup!$B$9:$B$20,"?*"),T313*AN313/V313))</f>
        <v/>
      </c>
      <c r="AC313">
        <f>IF(OR(T313="",Setup!$B$15=""),0,IF(V313=0,T313/COUNTIF(Setup!$B$9:$B$20,"?*"),T313*AO313/V313))</f>
        <v/>
      </c>
      <c r="AD313">
        <f>IF(OR(T313="",Setup!$B$16=""),0,IF(V313=0,T313/COUNTIF(Setup!$B$9:$B$20,"?*"),T313*AP313/V313))</f>
        <v/>
      </c>
      <c r="AE313">
        <f>IF(OR(T313="",Setup!$B$17=""),0,IF(V313=0,T313/COUNTIF(Setup!$B$9:$B$20,"?*"),T313*AQ313/V313))</f>
        <v/>
      </c>
      <c r="AF313">
        <f>IF(OR(T313="",Setup!$B$18=""),0,IF(V313=0,T313/COUNTIF(Setup!$B$9:$B$20,"?*"),T313*AR313/V313))</f>
        <v/>
      </c>
      <c r="AG313">
        <f>IF(OR(T313="",Setup!$B$19=""),0,IF(V313=0,T313/COUNTIF(Setup!$B$9:$B$20,"?*"),T313*AS313/V313))</f>
        <v/>
      </c>
      <c r="AH313">
        <f>IF(OR(T313="",Setup!$B$20=""),0,IF(V313=0,T313/COUNTIF(Setup!$B$9:$B$20,"?*"),T313*AT313/V313))</f>
        <v/>
      </c>
      <c r="AI313">
        <f>IF(Setup!$B$9="",0,IF(H313="",0,IF(ISNUMBER(H313),H313,1)))</f>
        <v/>
      </c>
      <c r="AJ313">
        <f>IF(Setup!$B$10="",0,IF(I313="",0,IF(ISNUMBER(I313),I313,1)))</f>
        <v/>
      </c>
      <c r="AK313">
        <f>IF(Setup!$B$11="",0,IF(J313="",0,IF(ISNUMBER(J313),J313,1)))</f>
        <v/>
      </c>
      <c r="AL313">
        <f>IF(Setup!$B$12="",0,IF(K313="",0,IF(ISNUMBER(K313),K313,1)))</f>
        <v/>
      </c>
      <c r="AM313">
        <f>IF(Setup!$B$13="",0,IF(L313="",0,IF(ISNUMBER(L313),L313,1)))</f>
        <v/>
      </c>
      <c r="AN313">
        <f>IF(Setup!$B$14="",0,IF(M313="",0,IF(ISNUMBER(M313),M313,1)))</f>
        <v/>
      </c>
      <c r="AO313">
        <f>IF(Setup!$B$15="",0,IF(N313="",0,IF(ISNUMBER(N313),N313,1)))</f>
        <v/>
      </c>
      <c r="AP313">
        <f>IF(Setup!$B$16="",0,IF(O313="",0,IF(ISNUMBER(O313),O313,1)))</f>
        <v/>
      </c>
      <c r="AQ313">
        <f>IF(Setup!$B$17="",0,IF(P313="",0,IF(ISNUMBER(P313),P313,1)))</f>
        <v/>
      </c>
      <c r="AR313">
        <f>IF(Setup!$B$18="",0,IF(Q313="",0,IF(ISNUMBER(Q313),Q313,1)))</f>
        <v/>
      </c>
      <c r="AS313">
        <f>IF(Setup!$B$19="",0,IF(R313="",0,IF(ISNUMBER(R313),R313,1)))</f>
        <v/>
      </c>
      <c r="AT313">
        <f>IF(Setup!$B$20="",0,IF(S313="",0,IF(ISNUMBER(S313),S313,1)))</f>
        <v/>
      </c>
    </row>
    <row r="314">
      <c r="A314" s="1" t="n"/>
      <c r="B314" s="24" t="n"/>
      <c r="C314" s="25" t="n"/>
      <c r="D314" s="25" t="n"/>
      <c r="E314" s="26" t="n"/>
      <c r="F314" s="27" t="n"/>
      <c r="G314" s="17" t="n"/>
      <c r="H314" s="28" t="n"/>
      <c r="I314" s="28" t="n"/>
      <c r="J314" s="28" t="n"/>
      <c r="K314" s="28" t="n"/>
      <c r="L314" s="28" t="n"/>
      <c r="M314" s="28" t="n"/>
      <c r="N314" s="28" t="n"/>
      <c r="O314" s="28" t="n"/>
      <c r="P314" s="28" t="n"/>
      <c r="Q314" s="28" t="n"/>
      <c r="R314" s="28" t="n"/>
      <c r="S314" s="28" t="n"/>
      <c r="T314" s="29">
        <f>IF(N(E314)=0,"",E314*IF(F314="",1,IFERROR(INDEX(Setup!$E$9:$E$18,MATCH(F314,Setup!$D$9:$D$18,0)),0)))</f>
        <v/>
      </c>
      <c r="U314" s="30">
        <f>IF(T314="","",IF(V314=0,"Everyone",IF(COUNTIF(AI314:AT314,"&gt;0")=COUNTIF(Setup!$B$9:$B$20,"?*"),"Everyone",COUNTIF(AI314:AT314,"&gt;0")&amp;IF(COUNTIF(AI314:AT314,"&gt;0")=1," person"," people"))))</f>
        <v/>
      </c>
      <c r="V314" s="1">
        <f>SUM(AI314:AT314)</f>
        <v/>
      </c>
      <c r="W314">
        <f>IF(OR(T314="",Setup!$B$9=""),0,IF(V314=0,T314/COUNTIF(Setup!$B$9:$B$20,"?*"),T314*AI314/V314))</f>
        <v/>
      </c>
      <c r="X314">
        <f>IF(OR(T314="",Setup!$B$10=""),0,IF(V314=0,T314/COUNTIF(Setup!$B$9:$B$20,"?*"),T314*AJ314/V314))</f>
        <v/>
      </c>
      <c r="Y314">
        <f>IF(OR(T314="",Setup!$B$11=""),0,IF(V314=0,T314/COUNTIF(Setup!$B$9:$B$20,"?*"),T314*AK314/V314))</f>
        <v/>
      </c>
      <c r="Z314">
        <f>IF(OR(T314="",Setup!$B$12=""),0,IF(V314=0,T314/COUNTIF(Setup!$B$9:$B$20,"?*"),T314*AL314/V314))</f>
        <v/>
      </c>
      <c r="AA314">
        <f>IF(OR(T314="",Setup!$B$13=""),0,IF(V314=0,T314/COUNTIF(Setup!$B$9:$B$20,"?*"),T314*AM314/V314))</f>
        <v/>
      </c>
      <c r="AB314">
        <f>IF(OR(T314="",Setup!$B$14=""),0,IF(V314=0,T314/COUNTIF(Setup!$B$9:$B$20,"?*"),T314*AN314/V314))</f>
        <v/>
      </c>
      <c r="AC314">
        <f>IF(OR(T314="",Setup!$B$15=""),0,IF(V314=0,T314/COUNTIF(Setup!$B$9:$B$20,"?*"),T314*AO314/V314))</f>
        <v/>
      </c>
      <c r="AD314">
        <f>IF(OR(T314="",Setup!$B$16=""),0,IF(V314=0,T314/COUNTIF(Setup!$B$9:$B$20,"?*"),T314*AP314/V314))</f>
        <v/>
      </c>
      <c r="AE314">
        <f>IF(OR(T314="",Setup!$B$17=""),0,IF(V314=0,T314/COUNTIF(Setup!$B$9:$B$20,"?*"),T314*AQ314/V314))</f>
        <v/>
      </c>
      <c r="AF314">
        <f>IF(OR(T314="",Setup!$B$18=""),0,IF(V314=0,T314/COUNTIF(Setup!$B$9:$B$20,"?*"),T314*AR314/V314))</f>
        <v/>
      </c>
      <c r="AG314">
        <f>IF(OR(T314="",Setup!$B$19=""),0,IF(V314=0,T314/COUNTIF(Setup!$B$9:$B$20,"?*"),T314*AS314/V314))</f>
        <v/>
      </c>
      <c r="AH314">
        <f>IF(OR(T314="",Setup!$B$20=""),0,IF(V314=0,T314/COUNTIF(Setup!$B$9:$B$20,"?*"),T314*AT314/V314))</f>
        <v/>
      </c>
      <c r="AI314">
        <f>IF(Setup!$B$9="",0,IF(H314="",0,IF(ISNUMBER(H314),H314,1)))</f>
        <v/>
      </c>
      <c r="AJ314">
        <f>IF(Setup!$B$10="",0,IF(I314="",0,IF(ISNUMBER(I314),I314,1)))</f>
        <v/>
      </c>
      <c r="AK314">
        <f>IF(Setup!$B$11="",0,IF(J314="",0,IF(ISNUMBER(J314),J314,1)))</f>
        <v/>
      </c>
      <c r="AL314">
        <f>IF(Setup!$B$12="",0,IF(K314="",0,IF(ISNUMBER(K314),K314,1)))</f>
        <v/>
      </c>
      <c r="AM314">
        <f>IF(Setup!$B$13="",0,IF(L314="",0,IF(ISNUMBER(L314),L314,1)))</f>
        <v/>
      </c>
      <c r="AN314">
        <f>IF(Setup!$B$14="",0,IF(M314="",0,IF(ISNUMBER(M314),M314,1)))</f>
        <v/>
      </c>
      <c r="AO314">
        <f>IF(Setup!$B$15="",0,IF(N314="",0,IF(ISNUMBER(N314),N314,1)))</f>
        <v/>
      </c>
      <c r="AP314">
        <f>IF(Setup!$B$16="",0,IF(O314="",0,IF(ISNUMBER(O314),O314,1)))</f>
        <v/>
      </c>
      <c r="AQ314">
        <f>IF(Setup!$B$17="",0,IF(P314="",0,IF(ISNUMBER(P314),P314,1)))</f>
        <v/>
      </c>
      <c r="AR314">
        <f>IF(Setup!$B$18="",0,IF(Q314="",0,IF(ISNUMBER(Q314),Q314,1)))</f>
        <v/>
      </c>
      <c r="AS314">
        <f>IF(Setup!$B$19="",0,IF(R314="",0,IF(ISNUMBER(R314),R314,1)))</f>
        <v/>
      </c>
      <c r="AT314">
        <f>IF(Setup!$B$20="",0,IF(S314="",0,IF(ISNUMBER(S314),S314,1)))</f>
        <v/>
      </c>
    </row>
    <row r="315">
      <c r="A315" s="1" t="n"/>
      <c r="B315" s="24" t="n"/>
      <c r="C315" s="25" t="n"/>
      <c r="D315" s="25" t="n"/>
      <c r="E315" s="26" t="n"/>
      <c r="F315" s="27" t="n"/>
      <c r="G315" s="17" t="n"/>
      <c r="H315" s="28" t="n"/>
      <c r="I315" s="28" t="n"/>
      <c r="J315" s="28" t="n"/>
      <c r="K315" s="28" t="n"/>
      <c r="L315" s="28" t="n"/>
      <c r="M315" s="28" t="n"/>
      <c r="N315" s="28" t="n"/>
      <c r="O315" s="28" t="n"/>
      <c r="P315" s="28" t="n"/>
      <c r="Q315" s="28" t="n"/>
      <c r="R315" s="28" t="n"/>
      <c r="S315" s="28" t="n"/>
      <c r="T315" s="29">
        <f>IF(N(E315)=0,"",E315*IF(F315="",1,IFERROR(INDEX(Setup!$E$9:$E$18,MATCH(F315,Setup!$D$9:$D$18,0)),0)))</f>
        <v/>
      </c>
      <c r="U315" s="30">
        <f>IF(T315="","",IF(V315=0,"Everyone",IF(COUNTIF(AI315:AT315,"&gt;0")=COUNTIF(Setup!$B$9:$B$20,"?*"),"Everyone",COUNTIF(AI315:AT315,"&gt;0")&amp;IF(COUNTIF(AI315:AT315,"&gt;0")=1," person"," people"))))</f>
        <v/>
      </c>
      <c r="V315" s="1">
        <f>SUM(AI315:AT315)</f>
        <v/>
      </c>
      <c r="W315">
        <f>IF(OR(T315="",Setup!$B$9=""),0,IF(V315=0,T315/COUNTIF(Setup!$B$9:$B$20,"?*"),T315*AI315/V315))</f>
        <v/>
      </c>
      <c r="X315">
        <f>IF(OR(T315="",Setup!$B$10=""),0,IF(V315=0,T315/COUNTIF(Setup!$B$9:$B$20,"?*"),T315*AJ315/V315))</f>
        <v/>
      </c>
      <c r="Y315">
        <f>IF(OR(T315="",Setup!$B$11=""),0,IF(V315=0,T315/COUNTIF(Setup!$B$9:$B$20,"?*"),T315*AK315/V315))</f>
        <v/>
      </c>
      <c r="Z315">
        <f>IF(OR(T315="",Setup!$B$12=""),0,IF(V315=0,T315/COUNTIF(Setup!$B$9:$B$20,"?*"),T315*AL315/V315))</f>
        <v/>
      </c>
      <c r="AA315">
        <f>IF(OR(T315="",Setup!$B$13=""),0,IF(V315=0,T315/COUNTIF(Setup!$B$9:$B$20,"?*"),T315*AM315/V315))</f>
        <v/>
      </c>
      <c r="AB315">
        <f>IF(OR(T315="",Setup!$B$14=""),0,IF(V315=0,T315/COUNTIF(Setup!$B$9:$B$20,"?*"),T315*AN315/V315))</f>
        <v/>
      </c>
      <c r="AC315">
        <f>IF(OR(T315="",Setup!$B$15=""),0,IF(V315=0,T315/COUNTIF(Setup!$B$9:$B$20,"?*"),T315*AO315/V315))</f>
        <v/>
      </c>
      <c r="AD315">
        <f>IF(OR(T315="",Setup!$B$16=""),0,IF(V315=0,T315/COUNTIF(Setup!$B$9:$B$20,"?*"),T315*AP315/V315))</f>
        <v/>
      </c>
      <c r="AE315">
        <f>IF(OR(T315="",Setup!$B$17=""),0,IF(V315=0,T315/COUNTIF(Setup!$B$9:$B$20,"?*"),T315*AQ315/V315))</f>
        <v/>
      </c>
      <c r="AF315">
        <f>IF(OR(T315="",Setup!$B$18=""),0,IF(V315=0,T315/COUNTIF(Setup!$B$9:$B$20,"?*"),T315*AR315/V315))</f>
        <v/>
      </c>
      <c r="AG315">
        <f>IF(OR(T315="",Setup!$B$19=""),0,IF(V315=0,T315/COUNTIF(Setup!$B$9:$B$20,"?*"),T315*AS315/V315))</f>
        <v/>
      </c>
      <c r="AH315">
        <f>IF(OR(T315="",Setup!$B$20=""),0,IF(V315=0,T315/COUNTIF(Setup!$B$9:$B$20,"?*"),T315*AT315/V315))</f>
        <v/>
      </c>
      <c r="AI315">
        <f>IF(Setup!$B$9="",0,IF(H315="",0,IF(ISNUMBER(H315),H315,1)))</f>
        <v/>
      </c>
      <c r="AJ315">
        <f>IF(Setup!$B$10="",0,IF(I315="",0,IF(ISNUMBER(I315),I315,1)))</f>
        <v/>
      </c>
      <c r="AK315">
        <f>IF(Setup!$B$11="",0,IF(J315="",0,IF(ISNUMBER(J315),J315,1)))</f>
        <v/>
      </c>
      <c r="AL315">
        <f>IF(Setup!$B$12="",0,IF(K315="",0,IF(ISNUMBER(K315),K315,1)))</f>
        <v/>
      </c>
      <c r="AM315">
        <f>IF(Setup!$B$13="",0,IF(L315="",0,IF(ISNUMBER(L315),L315,1)))</f>
        <v/>
      </c>
      <c r="AN315">
        <f>IF(Setup!$B$14="",0,IF(M315="",0,IF(ISNUMBER(M315),M315,1)))</f>
        <v/>
      </c>
      <c r="AO315">
        <f>IF(Setup!$B$15="",0,IF(N315="",0,IF(ISNUMBER(N315),N315,1)))</f>
        <v/>
      </c>
      <c r="AP315">
        <f>IF(Setup!$B$16="",0,IF(O315="",0,IF(ISNUMBER(O315),O315,1)))</f>
        <v/>
      </c>
      <c r="AQ315">
        <f>IF(Setup!$B$17="",0,IF(P315="",0,IF(ISNUMBER(P315),P315,1)))</f>
        <v/>
      </c>
      <c r="AR315">
        <f>IF(Setup!$B$18="",0,IF(Q315="",0,IF(ISNUMBER(Q315),Q315,1)))</f>
        <v/>
      </c>
      <c r="AS315">
        <f>IF(Setup!$B$19="",0,IF(R315="",0,IF(ISNUMBER(R315),R315,1)))</f>
        <v/>
      </c>
      <c r="AT315">
        <f>IF(Setup!$B$20="",0,IF(S315="",0,IF(ISNUMBER(S315),S315,1)))</f>
        <v/>
      </c>
    </row>
    <row r="316">
      <c r="A316" s="1" t="n"/>
      <c r="B316" s="24" t="n"/>
      <c r="C316" s="25" t="n"/>
      <c r="D316" s="25" t="n"/>
      <c r="E316" s="26" t="n"/>
      <c r="F316" s="27" t="n"/>
      <c r="G316" s="17" t="n"/>
      <c r="H316" s="28" t="n"/>
      <c r="I316" s="28" t="n"/>
      <c r="J316" s="28" t="n"/>
      <c r="K316" s="28" t="n"/>
      <c r="L316" s="28" t="n"/>
      <c r="M316" s="28" t="n"/>
      <c r="N316" s="28" t="n"/>
      <c r="O316" s="28" t="n"/>
      <c r="P316" s="28" t="n"/>
      <c r="Q316" s="28" t="n"/>
      <c r="R316" s="28" t="n"/>
      <c r="S316" s="28" t="n"/>
      <c r="T316" s="29">
        <f>IF(N(E316)=0,"",E316*IF(F316="",1,IFERROR(INDEX(Setup!$E$9:$E$18,MATCH(F316,Setup!$D$9:$D$18,0)),0)))</f>
        <v/>
      </c>
      <c r="U316" s="30">
        <f>IF(T316="","",IF(V316=0,"Everyone",IF(COUNTIF(AI316:AT316,"&gt;0")=COUNTIF(Setup!$B$9:$B$20,"?*"),"Everyone",COUNTIF(AI316:AT316,"&gt;0")&amp;IF(COUNTIF(AI316:AT316,"&gt;0")=1," person"," people"))))</f>
        <v/>
      </c>
      <c r="V316" s="1">
        <f>SUM(AI316:AT316)</f>
        <v/>
      </c>
      <c r="W316">
        <f>IF(OR(T316="",Setup!$B$9=""),0,IF(V316=0,T316/COUNTIF(Setup!$B$9:$B$20,"?*"),T316*AI316/V316))</f>
        <v/>
      </c>
      <c r="X316">
        <f>IF(OR(T316="",Setup!$B$10=""),0,IF(V316=0,T316/COUNTIF(Setup!$B$9:$B$20,"?*"),T316*AJ316/V316))</f>
        <v/>
      </c>
      <c r="Y316">
        <f>IF(OR(T316="",Setup!$B$11=""),0,IF(V316=0,T316/COUNTIF(Setup!$B$9:$B$20,"?*"),T316*AK316/V316))</f>
        <v/>
      </c>
      <c r="Z316">
        <f>IF(OR(T316="",Setup!$B$12=""),0,IF(V316=0,T316/COUNTIF(Setup!$B$9:$B$20,"?*"),T316*AL316/V316))</f>
        <v/>
      </c>
      <c r="AA316">
        <f>IF(OR(T316="",Setup!$B$13=""),0,IF(V316=0,T316/COUNTIF(Setup!$B$9:$B$20,"?*"),T316*AM316/V316))</f>
        <v/>
      </c>
      <c r="AB316">
        <f>IF(OR(T316="",Setup!$B$14=""),0,IF(V316=0,T316/COUNTIF(Setup!$B$9:$B$20,"?*"),T316*AN316/V316))</f>
        <v/>
      </c>
      <c r="AC316">
        <f>IF(OR(T316="",Setup!$B$15=""),0,IF(V316=0,T316/COUNTIF(Setup!$B$9:$B$20,"?*"),T316*AO316/V316))</f>
        <v/>
      </c>
      <c r="AD316">
        <f>IF(OR(T316="",Setup!$B$16=""),0,IF(V316=0,T316/COUNTIF(Setup!$B$9:$B$20,"?*"),T316*AP316/V316))</f>
        <v/>
      </c>
      <c r="AE316">
        <f>IF(OR(T316="",Setup!$B$17=""),0,IF(V316=0,T316/COUNTIF(Setup!$B$9:$B$20,"?*"),T316*AQ316/V316))</f>
        <v/>
      </c>
      <c r="AF316">
        <f>IF(OR(T316="",Setup!$B$18=""),0,IF(V316=0,T316/COUNTIF(Setup!$B$9:$B$20,"?*"),T316*AR316/V316))</f>
        <v/>
      </c>
      <c r="AG316">
        <f>IF(OR(T316="",Setup!$B$19=""),0,IF(V316=0,T316/COUNTIF(Setup!$B$9:$B$20,"?*"),T316*AS316/V316))</f>
        <v/>
      </c>
      <c r="AH316">
        <f>IF(OR(T316="",Setup!$B$20=""),0,IF(V316=0,T316/COUNTIF(Setup!$B$9:$B$20,"?*"),T316*AT316/V316))</f>
        <v/>
      </c>
      <c r="AI316">
        <f>IF(Setup!$B$9="",0,IF(H316="",0,IF(ISNUMBER(H316),H316,1)))</f>
        <v/>
      </c>
      <c r="AJ316">
        <f>IF(Setup!$B$10="",0,IF(I316="",0,IF(ISNUMBER(I316),I316,1)))</f>
        <v/>
      </c>
      <c r="AK316">
        <f>IF(Setup!$B$11="",0,IF(J316="",0,IF(ISNUMBER(J316),J316,1)))</f>
        <v/>
      </c>
      <c r="AL316">
        <f>IF(Setup!$B$12="",0,IF(K316="",0,IF(ISNUMBER(K316),K316,1)))</f>
        <v/>
      </c>
      <c r="AM316">
        <f>IF(Setup!$B$13="",0,IF(L316="",0,IF(ISNUMBER(L316),L316,1)))</f>
        <v/>
      </c>
      <c r="AN316">
        <f>IF(Setup!$B$14="",0,IF(M316="",0,IF(ISNUMBER(M316),M316,1)))</f>
        <v/>
      </c>
      <c r="AO316">
        <f>IF(Setup!$B$15="",0,IF(N316="",0,IF(ISNUMBER(N316),N316,1)))</f>
        <v/>
      </c>
      <c r="AP316">
        <f>IF(Setup!$B$16="",0,IF(O316="",0,IF(ISNUMBER(O316),O316,1)))</f>
        <v/>
      </c>
      <c r="AQ316">
        <f>IF(Setup!$B$17="",0,IF(P316="",0,IF(ISNUMBER(P316),P316,1)))</f>
        <v/>
      </c>
      <c r="AR316">
        <f>IF(Setup!$B$18="",0,IF(Q316="",0,IF(ISNUMBER(Q316),Q316,1)))</f>
        <v/>
      </c>
      <c r="AS316">
        <f>IF(Setup!$B$19="",0,IF(R316="",0,IF(ISNUMBER(R316),R316,1)))</f>
        <v/>
      </c>
      <c r="AT316">
        <f>IF(Setup!$B$20="",0,IF(S316="",0,IF(ISNUMBER(S316),S316,1)))</f>
        <v/>
      </c>
    </row>
    <row r="317">
      <c r="A317" s="1" t="n"/>
      <c r="B317" s="24" t="n"/>
      <c r="C317" s="25" t="n"/>
      <c r="D317" s="25" t="n"/>
      <c r="E317" s="26" t="n"/>
      <c r="F317" s="27" t="n"/>
      <c r="G317" s="17" t="n"/>
      <c r="H317" s="28" t="n"/>
      <c r="I317" s="28" t="n"/>
      <c r="J317" s="28" t="n"/>
      <c r="K317" s="28" t="n"/>
      <c r="L317" s="28" t="n"/>
      <c r="M317" s="28" t="n"/>
      <c r="N317" s="28" t="n"/>
      <c r="O317" s="28" t="n"/>
      <c r="P317" s="28" t="n"/>
      <c r="Q317" s="28" t="n"/>
      <c r="R317" s="28" t="n"/>
      <c r="S317" s="28" t="n"/>
      <c r="T317" s="29">
        <f>IF(N(E317)=0,"",E317*IF(F317="",1,IFERROR(INDEX(Setup!$E$9:$E$18,MATCH(F317,Setup!$D$9:$D$18,0)),0)))</f>
        <v/>
      </c>
      <c r="U317" s="30">
        <f>IF(T317="","",IF(V317=0,"Everyone",IF(COUNTIF(AI317:AT317,"&gt;0")=COUNTIF(Setup!$B$9:$B$20,"?*"),"Everyone",COUNTIF(AI317:AT317,"&gt;0")&amp;IF(COUNTIF(AI317:AT317,"&gt;0")=1," person"," people"))))</f>
        <v/>
      </c>
      <c r="V317" s="1">
        <f>SUM(AI317:AT317)</f>
        <v/>
      </c>
      <c r="W317">
        <f>IF(OR(T317="",Setup!$B$9=""),0,IF(V317=0,T317/COUNTIF(Setup!$B$9:$B$20,"?*"),T317*AI317/V317))</f>
        <v/>
      </c>
      <c r="X317">
        <f>IF(OR(T317="",Setup!$B$10=""),0,IF(V317=0,T317/COUNTIF(Setup!$B$9:$B$20,"?*"),T317*AJ317/V317))</f>
        <v/>
      </c>
      <c r="Y317">
        <f>IF(OR(T317="",Setup!$B$11=""),0,IF(V317=0,T317/COUNTIF(Setup!$B$9:$B$20,"?*"),T317*AK317/V317))</f>
        <v/>
      </c>
      <c r="Z317">
        <f>IF(OR(T317="",Setup!$B$12=""),0,IF(V317=0,T317/COUNTIF(Setup!$B$9:$B$20,"?*"),T317*AL317/V317))</f>
        <v/>
      </c>
      <c r="AA317">
        <f>IF(OR(T317="",Setup!$B$13=""),0,IF(V317=0,T317/COUNTIF(Setup!$B$9:$B$20,"?*"),T317*AM317/V317))</f>
        <v/>
      </c>
      <c r="AB317">
        <f>IF(OR(T317="",Setup!$B$14=""),0,IF(V317=0,T317/COUNTIF(Setup!$B$9:$B$20,"?*"),T317*AN317/V317))</f>
        <v/>
      </c>
      <c r="AC317">
        <f>IF(OR(T317="",Setup!$B$15=""),0,IF(V317=0,T317/COUNTIF(Setup!$B$9:$B$20,"?*"),T317*AO317/V317))</f>
        <v/>
      </c>
      <c r="AD317">
        <f>IF(OR(T317="",Setup!$B$16=""),0,IF(V317=0,T317/COUNTIF(Setup!$B$9:$B$20,"?*"),T317*AP317/V317))</f>
        <v/>
      </c>
      <c r="AE317">
        <f>IF(OR(T317="",Setup!$B$17=""),0,IF(V317=0,T317/COUNTIF(Setup!$B$9:$B$20,"?*"),T317*AQ317/V317))</f>
        <v/>
      </c>
      <c r="AF317">
        <f>IF(OR(T317="",Setup!$B$18=""),0,IF(V317=0,T317/COUNTIF(Setup!$B$9:$B$20,"?*"),T317*AR317/V317))</f>
        <v/>
      </c>
      <c r="AG317">
        <f>IF(OR(T317="",Setup!$B$19=""),0,IF(V317=0,T317/COUNTIF(Setup!$B$9:$B$20,"?*"),T317*AS317/V317))</f>
        <v/>
      </c>
      <c r="AH317">
        <f>IF(OR(T317="",Setup!$B$20=""),0,IF(V317=0,T317/COUNTIF(Setup!$B$9:$B$20,"?*"),T317*AT317/V317))</f>
        <v/>
      </c>
      <c r="AI317">
        <f>IF(Setup!$B$9="",0,IF(H317="",0,IF(ISNUMBER(H317),H317,1)))</f>
        <v/>
      </c>
      <c r="AJ317">
        <f>IF(Setup!$B$10="",0,IF(I317="",0,IF(ISNUMBER(I317),I317,1)))</f>
        <v/>
      </c>
      <c r="AK317">
        <f>IF(Setup!$B$11="",0,IF(J317="",0,IF(ISNUMBER(J317),J317,1)))</f>
        <v/>
      </c>
      <c r="AL317">
        <f>IF(Setup!$B$12="",0,IF(K317="",0,IF(ISNUMBER(K317),K317,1)))</f>
        <v/>
      </c>
      <c r="AM317">
        <f>IF(Setup!$B$13="",0,IF(L317="",0,IF(ISNUMBER(L317),L317,1)))</f>
        <v/>
      </c>
      <c r="AN317">
        <f>IF(Setup!$B$14="",0,IF(M317="",0,IF(ISNUMBER(M317),M317,1)))</f>
        <v/>
      </c>
      <c r="AO317">
        <f>IF(Setup!$B$15="",0,IF(N317="",0,IF(ISNUMBER(N317),N317,1)))</f>
        <v/>
      </c>
      <c r="AP317">
        <f>IF(Setup!$B$16="",0,IF(O317="",0,IF(ISNUMBER(O317),O317,1)))</f>
        <v/>
      </c>
      <c r="AQ317">
        <f>IF(Setup!$B$17="",0,IF(P317="",0,IF(ISNUMBER(P317),P317,1)))</f>
        <v/>
      </c>
      <c r="AR317">
        <f>IF(Setup!$B$18="",0,IF(Q317="",0,IF(ISNUMBER(Q317),Q317,1)))</f>
        <v/>
      </c>
      <c r="AS317">
        <f>IF(Setup!$B$19="",0,IF(R317="",0,IF(ISNUMBER(R317),R317,1)))</f>
        <v/>
      </c>
      <c r="AT317">
        <f>IF(Setup!$B$20="",0,IF(S317="",0,IF(ISNUMBER(S317),S317,1)))</f>
        <v/>
      </c>
    </row>
    <row r="318">
      <c r="A318" s="1" t="n"/>
      <c r="B318" s="24" t="n"/>
      <c r="C318" s="25" t="n"/>
      <c r="D318" s="25" t="n"/>
      <c r="E318" s="26" t="n"/>
      <c r="F318" s="27" t="n"/>
      <c r="G318" s="17" t="n"/>
      <c r="H318" s="28" t="n"/>
      <c r="I318" s="28" t="n"/>
      <c r="J318" s="28" t="n"/>
      <c r="K318" s="28" t="n"/>
      <c r="L318" s="28" t="n"/>
      <c r="M318" s="28" t="n"/>
      <c r="N318" s="28" t="n"/>
      <c r="O318" s="28" t="n"/>
      <c r="P318" s="28" t="n"/>
      <c r="Q318" s="28" t="n"/>
      <c r="R318" s="28" t="n"/>
      <c r="S318" s="28" t="n"/>
      <c r="T318" s="29">
        <f>IF(N(E318)=0,"",E318*IF(F318="",1,IFERROR(INDEX(Setup!$E$9:$E$18,MATCH(F318,Setup!$D$9:$D$18,0)),0)))</f>
        <v/>
      </c>
      <c r="U318" s="30">
        <f>IF(T318="","",IF(V318=0,"Everyone",IF(COUNTIF(AI318:AT318,"&gt;0")=COUNTIF(Setup!$B$9:$B$20,"?*"),"Everyone",COUNTIF(AI318:AT318,"&gt;0")&amp;IF(COUNTIF(AI318:AT318,"&gt;0")=1," person"," people"))))</f>
        <v/>
      </c>
      <c r="V318" s="1">
        <f>SUM(AI318:AT318)</f>
        <v/>
      </c>
      <c r="W318">
        <f>IF(OR(T318="",Setup!$B$9=""),0,IF(V318=0,T318/COUNTIF(Setup!$B$9:$B$20,"?*"),T318*AI318/V318))</f>
        <v/>
      </c>
      <c r="X318">
        <f>IF(OR(T318="",Setup!$B$10=""),0,IF(V318=0,T318/COUNTIF(Setup!$B$9:$B$20,"?*"),T318*AJ318/V318))</f>
        <v/>
      </c>
      <c r="Y318">
        <f>IF(OR(T318="",Setup!$B$11=""),0,IF(V318=0,T318/COUNTIF(Setup!$B$9:$B$20,"?*"),T318*AK318/V318))</f>
        <v/>
      </c>
      <c r="Z318">
        <f>IF(OR(T318="",Setup!$B$12=""),0,IF(V318=0,T318/COUNTIF(Setup!$B$9:$B$20,"?*"),T318*AL318/V318))</f>
        <v/>
      </c>
      <c r="AA318">
        <f>IF(OR(T318="",Setup!$B$13=""),0,IF(V318=0,T318/COUNTIF(Setup!$B$9:$B$20,"?*"),T318*AM318/V318))</f>
        <v/>
      </c>
      <c r="AB318">
        <f>IF(OR(T318="",Setup!$B$14=""),0,IF(V318=0,T318/COUNTIF(Setup!$B$9:$B$20,"?*"),T318*AN318/V318))</f>
        <v/>
      </c>
      <c r="AC318">
        <f>IF(OR(T318="",Setup!$B$15=""),0,IF(V318=0,T318/COUNTIF(Setup!$B$9:$B$20,"?*"),T318*AO318/V318))</f>
        <v/>
      </c>
      <c r="AD318">
        <f>IF(OR(T318="",Setup!$B$16=""),0,IF(V318=0,T318/COUNTIF(Setup!$B$9:$B$20,"?*"),T318*AP318/V318))</f>
        <v/>
      </c>
      <c r="AE318">
        <f>IF(OR(T318="",Setup!$B$17=""),0,IF(V318=0,T318/COUNTIF(Setup!$B$9:$B$20,"?*"),T318*AQ318/V318))</f>
        <v/>
      </c>
      <c r="AF318">
        <f>IF(OR(T318="",Setup!$B$18=""),0,IF(V318=0,T318/COUNTIF(Setup!$B$9:$B$20,"?*"),T318*AR318/V318))</f>
        <v/>
      </c>
      <c r="AG318">
        <f>IF(OR(T318="",Setup!$B$19=""),0,IF(V318=0,T318/COUNTIF(Setup!$B$9:$B$20,"?*"),T318*AS318/V318))</f>
        <v/>
      </c>
      <c r="AH318">
        <f>IF(OR(T318="",Setup!$B$20=""),0,IF(V318=0,T318/COUNTIF(Setup!$B$9:$B$20,"?*"),T318*AT318/V318))</f>
        <v/>
      </c>
      <c r="AI318">
        <f>IF(Setup!$B$9="",0,IF(H318="",0,IF(ISNUMBER(H318),H318,1)))</f>
        <v/>
      </c>
      <c r="AJ318">
        <f>IF(Setup!$B$10="",0,IF(I318="",0,IF(ISNUMBER(I318),I318,1)))</f>
        <v/>
      </c>
      <c r="AK318">
        <f>IF(Setup!$B$11="",0,IF(J318="",0,IF(ISNUMBER(J318),J318,1)))</f>
        <v/>
      </c>
      <c r="AL318">
        <f>IF(Setup!$B$12="",0,IF(K318="",0,IF(ISNUMBER(K318),K318,1)))</f>
        <v/>
      </c>
      <c r="AM318">
        <f>IF(Setup!$B$13="",0,IF(L318="",0,IF(ISNUMBER(L318),L318,1)))</f>
        <v/>
      </c>
      <c r="AN318">
        <f>IF(Setup!$B$14="",0,IF(M318="",0,IF(ISNUMBER(M318),M318,1)))</f>
        <v/>
      </c>
      <c r="AO318">
        <f>IF(Setup!$B$15="",0,IF(N318="",0,IF(ISNUMBER(N318),N318,1)))</f>
        <v/>
      </c>
      <c r="AP318">
        <f>IF(Setup!$B$16="",0,IF(O318="",0,IF(ISNUMBER(O318),O318,1)))</f>
        <v/>
      </c>
      <c r="AQ318">
        <f>IF(Setup!$B$17="",0,IF(P318="",0,IF(ISNUMBER(P318),P318,1)))</f>
        <v/>
      </c>
      <c r="AR318">
        <f>IF(Setup!$B$18="",0,IF(Q318="",0,IF(ISNUMBER(Q318),Q318,1)))</f>
        <v/>
      </c>
      <c r="AS318">
        <f>IF(Setup!$B$19="",0,IF(R318="",0,IF(ISNUMBER(R318),R318,1)))</f>
        <v/>
      </c>
      <c r="AT318">
        <f>IF(Setup!$B$20="",0,IF(S318="",0,IF(ISNUMBER(S318),S318,1)))</f>
        <v/>
      </c>
    </row>
    <row r="319">
      <c r="A319" s="1" t="n"/>
      <c r="B319" s="24" t="n"/>
      <c r="C319" s="25" t="n"/>
      <c r="D319" s="25" t="n"/>
      <c r="E319" s="26" t="n"/>
      <c r="F319" s="27" t="n"/>
      <c r="G319" s="17" t="n"/>
      <c r="H319" s="28" t="n"/>
      <c r="I319" s="28" t="n"/>
      <c r="J319" s="28" t="n"/>
      <c r="K319" s="28" t="n"/>
      <c r="L319" s="28" t="n"/>
      <c r="M319" s="28" t="n"/>
      <c r="N319" s="28" t="n"/>
      <c r="O319" s="28" t="n"/>
      <c r="P319" s="28" t="n"/>
      <c r="Q319" s="28" t="n"/>
      <c r="R319" s="28" t="n"/>
      <c r="S319" s="28" t="n"/>
      <c r="T319" s="29">
        <f>IF(N(E319)=0,"",E319*IF(F319="",1,IFERROR(INDEX(Setup!$E$9:$E$18,MATCH(F319,Setup!$D$9:$D$18,0)),0)))</f>
        <v/>
      </c>
      <c r="U319" s="30">
        <f>IF(T319="","",IF(V319=0,"Everyone",IF(COUNTIF(AI319:AT319,"&gt;0")=COUNTIF(Setup!$B$9:$B$20,"?*"),"Everyone",COUNTIF(AI319:AT319,"&gt;0")&amp;IF(COUNTIF(AI319:AT319,"&gt;0")=1," person"," people"))))</f>
        <v/>
      </c>
      <c r="V319" s="1">
        <f>SUM(AI319:AT319)</f>
        <v/>
      </c>
      <c r="W319">
        <f>IF(OR(T319="",Setup!$B$9=""),0,IF(V319=0,T319/COUNTIF(Setup!$B$9:$B$20,"?*"),T319*AI319/V319))</f>
        <v/>
      </c>
      <c r="X319">
        <f>IF(OR(T319="",Setup!$B$10=""),0,IF(V319=0,T319/COUNTIF(Setup!$B$9:$B$20,"?*"),T319*AJ319/V319))</f>
        <v/>
      </c>
      <c r="Y319">
        <f>IF(OR(T319="",Setup!$B$11=""),0,IF(V319=0,T319/COUNTIF(Setup!$B$9:$B$20,"?*"),T319*AK319/V319))</f>
        <v/>
      </c>
      <c r="Z319">
        <f>IF(OR(T319="",Setup!$B$12=""),0,IF(V319=0,T319/COUNTIF(Setup!$B$9:$B$20,"?*"),T319*AL319/V319))</f>
        <v/>
      </c>
      <c r="AA319">
        <f>IF(OR(T319="",Setup!$B$13=""),0,IF(V319=0,T319/COUNTIF(Setup!$B$9:$B$20,"?*"),T319*AM319/V319))</f>
        <v/>
      </c>
      <c r="AB319">
        <f>IF(OR(T319="",Setup!$B$14=""),0,IF(V319=0,T319/COUNTIF(Setup!$B$9:$B$20,"?*"),T319*AN319/V319))</f>
        <v/>
      </c>
      <c r="AC319">
        <f>IF(OR(T319="",Setup!$B$15=""),0,IF(V319=0,T319/COUNTIF(Setup!$B$9:$B$20,"?*"),T319*AO319/V319))</f>
        <v/>
      </c>
      <c r="AD319">
        <f>IF(OR(T319="",Setup!$B$16=""),0,IF(V319=0,T319/COUNTIF(Setup!$B$9:$B$20,"?*"),T319*AP319/V319))</f>
        <v/>
      </c>
      <c r="AE319">
        <f>IF(OR(T319="",Setup!$B$17=""),0,IF(V319=0,T319/COUNTIF(Setup!$B$9:$B$20,"?*"),T319*AQ319/V319))</f>
        <v/>
      </c>
      <c r="AF319">
        <f>IF(OR(T319="",Setup!$B$18=""),0,IF(V319=0,T319/COUNTIF(Setup!$B$9:$B$20,"?*"),T319*AR319/V319))</f>
        <v/>
      </c>
      <c r="AG319">
        <f>IF(OR(T319="",Setup!$B$19=""),0,IF(V319=0,T319/COUNTIF(Setup!$B$9:$B$20,"?*"),T319*AS319/V319))</f>
        <v/>
      </c>
      <c r="AH319">
        <f>IF(OR(T319="",Setup!$B$20=""),0,IF(V319=0,T319/COUNTIF(Setup!$B$9:$B$20,"?*"),T319*AT319/V319))</f>
        <v/>
      </c>
      <c r="AI319">
        <f>IF(Setup!$B$9="",0,IF(H319="",0,IF(ISNUMBER(H319),H319,1)))</f>
        <v/>
      </c>
      <c r="AJ319">
        <f>IF(Setup!$B$10="",0,IF(I319="",0,IF(ISNUMBER(I319),I319,1)))</f>
        <v/>
      </c>
      <c r="AK319">
        <f>IF(Setup!$B$11="",0,IF(J319="",0,IF(ISNUMBER(J319),J319,1)))</f>
        <v/>
      </c>
      <c r="AL319">
        <f>IF(Setup!$B$12="",0,IF(K319="",0,IF(ISNUMBER(K319),K319,1)))</f>
        <v/>
      </c>
      <c r="AM319">
        <f>IF(Setup!$B$13="",0,IF(L319="",0,IF(ISNUMBER(L319),L319,1)))</f>
        <v/>
      </c>
      <c r="AN319">
        <f>IF(Setup!$B$14="",0,IF(M319="",0,IF(ISNUMBER(M319),M319,1)))</f>
        <v/>
      </c>
      <c r="AO319">
        <f>IF(Setup!$B$15="",0,IF(N319="",0,IF(ISNUMBER(N319),N319,1)))</f>
        <v/>
      </c>
      <c r="AP319">
        <f>IF(Setup!$B$16="",0,IF(O319="",0,IF(ISNUMBER(O319),O319,1)))</f>
        <v/>
      </c>
      <c r="AQ319">
        <f>IF(Setup!$B$17="",0,IF(P319="",0,IF(ISNUMBER(P319),P319,1)))</f>
        <v/>
      </c>
      <c r="AR319">
        <f>IF(Setup!$B$18="",0,IF(Q319="",0,IF(ISNUMBER(Q319),Q319,1)))</f>
        <v/>
      </c>
      <c r="AS319">
        <f>IF(Setup!$B$19="",0,IF(R319="",0,IF(ISNUMBER(R319),R319,1)))</f>
        <v/>
      </c>
      <c r="AT319">
        <f>IF(Setup!$B$20="",0,IF(S319="",0,IF(ISNUMBER(S319),S319,1)))</f>
        <v/>
      </c>
    </row>
    <row r="320">
      <c r="A320" s="1" t="n"/>
      <c r="B320" s="24" t="n"/>
      <c r="C320" s="25" t="n"/>
      <c r="D320" s="25" t="n"/>
      <c r="E320" s="26" t="n"/>
      <c r="F320" s="27" t="n"/>
      <c r="G320" s="17" t="n"/>
      <c r="H320" s="28" t="n"/>
      <c r="I320" s="28" t="n"/>
      <c r="J320" s="28" t="n"/>
      <c r="K320" s="28" t="n"/>
      <c r="L320" s="28" t="n"/>
      <c r="M320" s="28" t="n"/>
      <c r="N320" s="28" t="n"/>
      <c r="O320" s="28" t="n"/>
      <c r="P320" s="28" t="n"/>
      <c r="Q320" s="28" t="n"/>
      <c r="R320" s="28" t="n"/>
      <c r="S320" s="28" t="n"/>
      <c r="T320" s="29">
        <f>IF(N(E320)=0,"",E320*IF(F320="",1,IFERROR(INDEX(Setup!$E$9:$E$18,MATCH(F320,Setup!$D$9:$D$18,0)),0)))</f>
        <v/>
      </c>
      <c r="U320" s="30">
        <f>IF(T320="","",IF(V320=0,"Everyone",IF(COUNTIF(AI320:AT320,"&gt;0")=COUNTIF(Setup!$B$9:$B$20,"?*"),"Everyone",COUNTIF(AI320:AT320,"&gt;0")&amp;IF(COUNTIF(AI320:AT320,"&gt;0")=1," person"," people"))))</f>
        <v/>
      </c>
      <c r="V320" s="1">
        <f>SUM(AI320:AT320)</f>
        <v/>
      </c>
      <c r="W320">
        <f>IF(OR(T320="",Setup!$B$9=""),0,IF(V320=0,T320/COUNTIF(Setup!$B$9:$B$20,"?*"),T320*AI320/V320))</f>
        <v/>
      </c>
      <c r="X320">
        <f>IF(OR(T320="",Setup!$B$10=""),0,IF(V320=0,T320/COUNTIF(Setup!$B$9:$B$20,"?*"),T320*AJ320/V320))</f>
        <v/>
      </c>
      <c r="Y320">
        <f>IF(OR(T320="",Setup!$B$11=""),0,IF(V320=0,T320/COUNTIF(Setup!$B$9:$B$20,"?*"),T320*AK320/V320))</f>
        <v/>
      </c>
      <c r="Z320">
        <f>IF(OR(T320="",Setup!$B$12=""),0,IF(V320=0,T320/COUNTIF(Setup!$B$9:$B$20,"?*"),T320*AL320/V320))</f>
        <v/>
      </c>
      <c r="AA320">
        <f>IF(OR(T320="",Setup!$B$13=""),0,IF(V320=0,T320/COUNTIF(Setup!$B$9:$B$20,"?*"),T320*AM320/V320))</f>
        <v/>
      </c>
      <c r="AB320">
        <f>IF(OR(T320="",Setup!$B$14=""),0,IF(V320=0,T320/COUNTIF(Setup!$B$9:$B$20,"?*"),T320*AN320/V320))</f>
        <v/>
      </c>
      <c r="AC320">
        <f>IF(OR(T320="",Setup!$B$15=""),0,IF(V320=0,T320/COUNTIF(Setup!$B$9:$B$20,"?*"),T320*AO320/V320))</f>
        <v/>
      </c>
      <c r="AD320">
        <f>IF(OR(T320="",Setup!$B$16=""),0,IF(V320=0,T320/COUNTIF(Setup!$B$9:$B$20,"?*"),T320*AP320/V320))</f>
        <v/>
      </c>
      <c r="AE320">
        <f>IF(OR(T320="",Setup!$B$17=""),0,IF(V320=0,T320/COUNTIF(Setup!$B$9:$B$20,"?*"),T320*AQ320/V320))</f>
        <v/>
      </c>
      <c r="AF320">
        <f>IF(OR(T320="",Setup!$B$18=""),0,IF(V320=0,T320/COUNTIF(Setup!$B$9:$B$20,"?*"),T320*AR320/V320))</f>
        <v/>
      </c>
      <c r="AG320">
        <f>IF(OR(T320="",Setup!$B$19=""),0,IF(V320=0,T320/COUNTIF(Setup!$B$9:$B$20,"?*"),T320*AS320/V320))</f>
        <v/>
      </c>
      <c r="AH320">
        <f>IF(OR(T320="",Setup!$B$20=""),0,IF(V320=0,T320/COUNTIF(Setup!$B$9:$B$20,"?*"),T320*AT320/V320))</f>
        <v/>
      </c>
      <c r="AI320">
        <f>IF(Setup!$B$9="",0,IF(H320="",0,IF(ISNUMBER(H320),H320,1)))</f>
        <v/>
      </c>
      <c r="AJ320">
        <f>IF(Setup!$B$10="",0,IF(I320="",0,IF(ISNUMBER(I320),I320,1)))</f>
        <v/>
      </c>
      <c r="AK320">
        <f>IF(Setup!$B$11="",0,IF(J320="",0,IF(ISNUMBER(J320),J320,1)))</f>
        <v/>
      </c>
      <c r="AL320">
        <f>IF(Setup!$B$12="",0,IF(K320="",0,IF(ISNUMBER(K320),K320,1)))</f>
        <v/>
      </c>
      <c r="AM320">
        <f>IF(Setup!$B$13="",0,IF(L320="",0,IF(ISNUMBER(L320),L320,1)))</f>
        <v/>
      </c>
      <c r="AN320">
        <f>IF(Setup!$B$14="",0,IF(M320="",0,IF(ISNUMBER(M320),M320,1)))</f>
        <v/>
      </c>
      <c r="AO320">
        <f>IF(Setup!$B$15="",0,IF(N320="",0,IF(ISNUMBER(N320),N320,1)))</f>
        <v/>
      </c>
      <c r="AP320">
        <f>IF(Setup!$B$16="",0,IF(O320="",0,IF(ISNUMBER(O320),O320,1)))</f>
        <v/>
      </c>
      <c r="AQ320">
        <f>IF(Setup!$B$17="",0,IF(P320="",0,IF(ISNUMBER(P320),P320,1)))</f>
        <v/>
      </c>
      <c r="AR320">
        <f>IF(Setup!$B$18="",0,IF(Q320="",0,IF(ISNUMBER(Q320),Q320,1)))</f>
        <v/>
      </c>
      <c r="AS320">
        <f>IF(Setup!$B$19="",0,IF(R320="",0,IF(ISNUMBER(R320),R320,1)))</f>
        <v/>
      </c>
      <c r="AT320">
        <f>IF(Setup!$B$20="",0,IF(S320="",0,IF(ISNUMBER(S320),S320,1)))</f>
        <v/>
      </c>
    </row>
    <row r="321">
      <c r="A321" s="1" t="n"/>
      <c r="B321" s="24" t="n"/>
      <c r="C321" s="25" t="n"/>
      <c r="D321" s="25" t="n"/>
      <c r="E321" s="26" t="n"/>
      <c r="F321" s="27" t="n"/>
      <c r="G321" s="17" t="n"/>
      <c r="H321" s="28" t="n"/>
      <c r="I321" s="28" t="n"/>
      <c r="J321" s="28" t="n"/>
      <c r="K321" s="28" t="n"/>
      <c r="L321" s="28" t="n"/>
      <c r="M321" s="28" t="n"/>
      <c r="N321" s="28" t="n"/>
      <c r="O321" s="28" t="n"/>
      <c r="P321" s="28" t="n"/>
      <c r="Q321" s="28" t="n"/>
      <c r="R321" s="28" t="n"/>
      <c r="S321" s="28" t="n"/>
      <c r="T321" s="29">
        <f>IF(N(E321)=0,"",E321*IF(F321="",1,IFERROR(INDEX(Setup!$E$9:$E$18,MATCH(F321,Setup!$D$9:$D$18,0)),0)))</f>
        <v/>
      </c>
      <c r="U321" s="30">
        <f>IF(T321="","",IF(V321=0,"Everyone",IF(COUNTIF(AI321:AT321,"&gt;0")=COUNTIF(Setup!$B$9:$B$20,"?*"),"Everyone",COUNTIF(AI321:AT321,"&gt;0")&amp;IF(COUNTIF(AI321:AT321,"&gt;0")=1," person"," people"))))</f>
        <v/>
      </c>
      <c r="V321" s="1">
        <f>SUM(AI321:AT321)</f>
        <v/>
      </c>
      <c r="W321">
        <f>IF(OR(T321="",Setup!$B$9=""),0,IF(V321=0,T321/COUNTIF(Setup!$B$9:$B$20,"?*"),T321*AI321/V321))</f>
        <v/>
      </c>
      <c r="X321">
        <f>IF(OR(T321="",Setup!$B$10=""),0,IF(V321=0,T321/COUNTIF(Setup!$B$9:$B$20,"?*"),T321*AJ321/V321))</f>
        <v/>
      </c>
      <c r="Y321">
        <f>IF(OR(T321="",Setup!$B$11=""),0,IF(V321=0,T321/COUNTIF(Setup!$B$9:$B$20,"?*"),T321*AK321/V321))</f>
        <v/>
      </c>
      <c r="Z321">
        <f>IF(OR(T321="",Setup!$B$12=""),0,IF(V321=0,T321/COUNTIF(Setup!$B$9:$B$20,"?*"),T321*AL321/V321))</f>
        <v/>
      </c>
      <c r="AA321">
        <f>IF(OR(T321="",Setup!$B$13=""),0,IF(V321=0,T321/COUNTIF(Setup!$B$9:$B$20,"?*"),T321*AM321/V321))</f>
        <v/>
      </c>
      <c r="AB321">
        <f>IF(OR(T321="",Setup!$B$14=""),0,IF(V321=0,T321/COUNTIF(Setup!$B$9:$B$20,"?*"),T321*AN321/V321))</f>
        <v/>
      </c>
      <c r="AC321">
        <f>IF(OR(T321="",Setup!$B$15=""),0,IF(V321=0,T321/COUNTIF(Setup!$B$9:$B$20,"?*"),T321*AO321/V321))</f>
        <v/>
      </c>
      <c r="AD321">
        <f>IF(OR(T321="",Setup!$B$16=""),0,IF(V321=0,T321/COUNTIF(Setup!$B$9:$B$20,"?*"),T321*AP321/V321))</f>
        <v/>
      </c>
      <c r="AE321">
        <f>IF(OR(T321="",Setup!$B$17=""),0,IF(V321=0,T321/COUNTIF(Setup!$B$9:$B$20,"?*"),T321*AQ321/V321))</f>
        <v/>
      </c>
      <c r="AF321">
        <f>IF(OR(T321="",Setup!$B$18=""),0,IF(V321=0,T321/COUNTIF(Setup!$B$9:$B$20,"?*"),T321*AR321/V321))</f>
        <v/>
      </c>
      <c r="AG321">
        <f>IF(OR(T321="",Setup!$B$19=""),0,IF(V321=0,T321/COUNTIF(Setup!$B$9:$B$20,"?*"),T321*AS321/V321))</f>
        <v/>
      </c>
      <c r="AH321">
        <f>IF(OR(T321="",Setup!$B$20=""),0,IF(V321=0,T321/COUNTIF(Setup!$B$9:$B$20,"?*"),T321*AT321/V321))</f>
        <v/>
      </c>
      <c r="AI321">
        <f>IF(Setup!$B$9="",0,IF(H321="",0,IF(ISNUMBER(H321),H321,1)))</f>
        <v/>
      </c>
      <c r="AJ321">
        <f>IF(Setup!$B$10="",0,IF(I321="",0,IF(ISNUMBER(I321),I321,1)))</f>
        <v/>
      </c>
      <c r="AK321">
        <f>IF(Setup!$B$11="",0,IF(J321="",0,IF(ISNUMBER(J321),J321,1)))</f>
        <v/>
      </c>
      <c r="AL321">
        <f>IF(Setup!$B$12="",0,IF(K321="",0,IF(ISNUMBER(K321),K321,1)))</f>
        <v/>
      </c>
      <c r="AM321">
        <f>IF(Setup!$B$13="",0,IF(L321="",0,IF(ISNUMBER(L321),L321,1)))</f>
        <v/>
      </c>
      <c r="AN321">
        <f>IF(Setup!$B$14="",0,IF(M321="",0,IF(ISNUMBER(M321),M321,1)))</f>
        <v/>
      </c>
      <c r="AO321">
        <f>IF(Setup!$B$15="",0,IF(N321="",0,IF(ISNUMBER(N321),N321,1)))</f>
        <v/>
      </c>
      <c r="AP321">
        <f>IF(Setup!$B$16="",0,IF(O321="",0,IF(ISNUMBER(O321),O321,1)))</f>
        <v/>
      </c>
      <c r="AQ321">
        <f>IF(Setup!$B$17="",0,IF(P321="",0,IF(ISNUMBER(P321),P321,1)))</f>
        <v/>
      </c>
      <c r="AR321">
        <f>IF(Setup!$B$18="",0,IF(Q321="",0,IF(ISNUMBER(Q321),Q321,1)))</f>
        <v/>
      </c>
      <c r="AS321">
        <f>IF(Setup!$B$19="",0,IF(R321="",0,IF(ISNUMBER(R321),R321,1)))</f>
        <v/>
      </c>
      <c r="AT321">
        <f>IF(Setup!$B$20="",0,IF(S321="",0,IF(ISNUMBER(S321),S321,1)))</f>
        <v/>
      </c>
    </row>
    <row r="322">
      <c r="A322" s="1" t="n"/>
      <c r="B322" s="24" t="n"/>
      <c r="C322" s="25" t="n"/>
      <c r="D322" s="25" t="n"/>
      <c r="E322" s="26" t="n"/>
      <c r="F322" s="27" t="n"/>
      <c r="G322" s="17" t="n"/>
      <c r="H322" s="28" t="n"/>
      <c r="I322" s="28" t="n"/>
      <c r="J322" s="28" t="n"/>
      <c r="K322" s="28" t="n"/>
      <c r="L322" s="28" t="n"/>
      <c r="M322" s="28" t="n"/>
      <c r="N322" s="28" t="n"/>
      <c r="O322" s="28" t="n"/>
      <c r="P322" s="28" t="n"/>
      <c r="Q322" s="28" t="n"/>
      <c r="R322" s="28" t="n"/>
      <c r="S322" s="28" t="n"/>
      <c r="T322" s="29">
        <f>IF(N(E322)=0,"",E322*IF(F322="",1,IFERROR(INDEX(Setup!$E$9:$E$18,MATCH(F322,Setup!$D$9:$D$18,0)),0)))</f>
        <v/>
      </c>
      <c r="U322" s="30">
        <f>IF(T322="","",IF(V322=0,"Everyone",IF(COUNTIF(AI322:AT322,"&gt;0")=COUNTIF(Setup!$B$9:$B$20,"?*"),"Everyone",COUNTIF(AI322:AT322,"&gt;0")&amp;IF(COUNTIF(AI322:AT322,"&gt;0")=1," person"," people"))))</f>
        <v/>
      </c>
      <c r="V322" s="1">
        <f>SUM(AI322:AT322)</f>
        <v/>
      </c>
      <c r="W322">
        <f>IF(OR(T322="",Setup!$B$9=""),0,IF(V322=0,T322/COUNTIF(Setup!$B$9:$B$20,"?*"),T322*AI322/V322))</f>
        <v/>
      </c>
      <c r="X322">
        <f>IF(OR(T322="",Setup!$B$10=""),0,IF(V322=0,T322/COUNTIF(Setup!$B$9:$B$20,"?*"),T322*AJ322/V322))</f>
        <v/>
      </c>
      <c r="Y322">
        <f>IF(OR(T322="",Setup!$B$11=""),0,IF(V322=0,T322/COUNTIF(Setup!$B$9:$B$20,"?*"),T322*AK322/V322))</f>
        <v/>
      </c>
      <c r="Z322">
        <f>IF(OR(T322="",Setup!$B$12=""),0,IF(V322=0,T322/COUNTIF(Setup!$B$9:$B$20,"?*"),T322*AL322/V322))</f>
        <v/>
      </c>
      <c r="AA322">
        <f>IF(OR(T322="",Setup!$B$13=""),0,IF(V322=0,T322/COUNTIF(Setup!$B$9:$B$20,"?*"),T322*AM322/V322))</f>
        <v/>
      </c>
      <c r="AB322">
        <f>IF(OR(T322="",Setup!$B$14=""),0,IF(V322=0,T322/COUNTIF(Setup!$B$9:$B$20,"?*"),T322*AN322/V322))</f>
        <v/>
      </c>
      <c r="AC322">
        <f>IF(OR(T322="",Setup!$B$15=""),0,IF(V322=0,T322/COUNTIF(Setup!$B$9:$B$20,"?*"),T322*AO322/V322))</f>
        <v/>
      </c>
      <c r="AD322">
        <f>IF(OR(T322="",Setup!$B$16=""),0,IF(V322=0,T322/COUNTIF(Setup!$B$9:$B$20,"?*"),T322*AP322/V322))</f>
        <v/>
      </c>
      <c r="AE322">
        <f>IF(OR(T322="",Setup!$B$17=""),0,IF(V322=0,T322/COUNTIF(Setup!$B$9:$B$20,"?*"),T322*AQ322/V322))</f>
        <v/>
      </c>
      <c r="AF322">
        <f>IF(OR(T322="",Setup!$B$18=""),0,IF(V322=0,T322/COUNTIF(Setup!$B$9:$B$20,"?*"),T322*AR322/V322))</f>
        <v/>
      </c>
      <c r="AG322">
        <f>IF(OR(T322="",Setup!$B$19=""),0,IF(V322=0,T322/COUNTIF(Setup!$B$9:$B$20,"?*"),T322*AS322/V322))</f>
        <v/>
      </c>
      <c r="AH322">
        <f>IF(OR(T322="",Setup!$B$20=""),0,IF(V322=0,T322/COUNTIF(Setup!$B$9:$B$20,"?*"),T322*AT322/V322))</f>
        <v/>
      </c>
      <c r="AI322">
        <f>IF(Setup!$B$9="",0,IF(H322="",0,IF(ISNUMBER(H322),H322,1)))</f>
        <v/>
      </c>
      <c r="AJ322">
        <f>IF(Setup!$B$10="",0,IF(I322="",0,IF(ISNUMBER(I322),I322,1)))</f>
        <v/>
      </c>
      <c r="AK322">
        <f>IF(Setup!$B$11="",0,IF(J322="",0,IF(ISNUMBER(J322),J322,1)))</f>
        <v/>
      </c>
      <c r="AL322">
        <f>IF(Setup!$B$12="",0,IF(K322="",0,IF(ISNUMBER(K322),K322,1)))</f>
        <v/>
      </c>
      <c r="AM322">
        <f>IF(Setup!$B$13="",0,IF(L322="",0,IF(ISNUMBER(L322),L322,1)))</f>
        <v/>
      </c>
      <c r="AN322">
        <f>IF(Setup!$B$14="",0,IF(M322="",0,IF(ISNUMBER(M322),M322,1)))</f>
        <v/>
      </c>
      <c r="AO322">
        <f>IF(Setup!$B$15="",0,IF(N322="",0,IF(ISNUMBER(N322),N322,1)))</f>
        <v/>
      </c>
      <c r="AP322">
        <f>IF(Setup!$B$16="",0,IF(O322="",0,IF(ISNUMBER(O322),O322,1)))</f>
        <v/>
      </c>
      <c r="AQ322">
        <f>IF(Setup!$B$17="",0,IF(P322="",0,IF(ISNUMBER(P322),P322,1)))</f>
        <v/>
      </c>
      <c r="AR322">
        <f>IF(Setup!$B$18="",0,IF(Q322="",0,IF(ISNUMBER(Q322),Q322,1)))</f>
        <v/>
      </c>
      <c r="AS322">
        <f>IF(Setup!$B$19="",0,IF(R322="",0,IF(ISNUMBER(R322),R322,1)))</f>
        <v/>
      </c>
      <c r="AT322">
        <f>IF(Setup!$B$20="",0,IF(S322="",0,IF(ISNUMBER(S322),S322,1)))</f>
        <v/>
      </c>
    </row>
    <row r="323">
      <c r="A323" s="1" t="n"/>
      <c r="B323" s="24" t="n"/>
      <c r="C323" s="25" t="n"/>
      <c r="D323" s="25" t="n"/>
      <c r="E323" s="26" t="n"/>
      <c r="F323" s="27" t="n"/>
      <c r="G323" s="17" t="n"/>
      <c r="H323" s="28" t="n"/>
      <c r="I323" s="28" t="n"/>
      <c r="J323" s="28" t="n"/>
      <c r="K323" s="28" t="n"/>
      <c r="L323" s="28" t="n"/>
      <c r="M323" s="28" t="n"/>
      <c r="N323" s="28" t="n"/>
      <c r="O323" s="28" t="n"/>
      <c r="P323" s="28" t="n"/>
      <c r="Q323" s="28" t="n"/>
      <c r="R323" s="28" t="n"/>
      <c r="S323" s="28" t="n"/>
      <c r="T323" s="29">
        <f>IF(N(E323)=0,"",E323*IF(F323="",1,IFERROR(INDEX(Setup!$E$9:$E$18,MATCH(F323,Setup!$D$9:$D$18,0)),0)))</f>
        <v/>
      </c>
      <c r="U323" s="30">
        <f>IF(T323="","",IF(V323=0,"Everyone",IF(COUNTIF(AI323:AT323,"&gt;0")=COUNTIF(Setup!$B$9:$B$20,"?*"),"Everyone",COUNTIF(AI323:AT323,"&gt;0")&amp;IF(COUNTIF(AI323:AT323,"&gt;0")=1," person"," people"))))</f>
        <v/>
      </c>
      <c r="V323" s="1">
        <f>SUM(AI323:AT323)</f>
        <v/>
      </c>
      <c r="W323">
        <f>IF(OR(T323="",Setup!$B$9=""),0,IF(V323=0,T323/COUNTIF(Setup!$B$9:$B$20,"?*"),T323*AI323/V323))</f>
        <v/>
      </c>
      <c r="X323">
        <f>IF(OR(T323="",Setup!$B$10=""),0,IF(V323=0,T323/COUNTIF(Setup!$B$9:$B$20,"?*"),T323*AJ323/V323))</f>
        <v/>
      </c>
      <c r="Y323">
        <f>IF(OR(T323="",Setup!$B$11=""),0,IF(V323=0,T323/COUNTIF(Setup!$B$9:$B$20,"?*"),T323*AK323/V323))</f>
        <v/>
      </c>
      <c r="Z323">
        <f>IF(OR(T323="",Setup!$B$12=""),0,IF(V323=0,T323/COUNTIF(Setup!$B$9:$B$20,"?*"),T323*AL323/V323))</f>
        <v/>
      </c>
      <c r="AA323">
        <f>IF(OR(T323="",Setup!$B$13=""),0,IF(V323=0,T323/COUNTIF(Setup!$B$9:$B$20,"?*"),T323*AM323/V323))</f>
        <v/>
      </c>
      <c r="AB323">
        <f>IF(OR(T323="",Setup!$B$14=""),0,IF(V323=0,T323/COUNTIF(Setup!$B$9:$B$20,"?*"),T323*AN323/V323))</f>
        <v/>
      </c>
      <c r="AC323">
        <f>IF(OR(T323="",Setup!$B$15=""),0,IF(V323=0,T323/COUNTIF(Setup!$B$9:$B$20,"?*"),T323*AO323/V323))</f>
        <v/>
      </c>
      <c r="AD323">
        <f>IF(OR(T323="",Setup!$B$16=""),0,IF(V323=0,T323/COUNTIF(Setup!$B$9:$B$20,"?*"),T323*AP323/V323))</f>
        <v/>
      </c>
      <c r="AE323">
        <f>IF(OR(T323="",Setup!$B$17=""),0,IF(V323=0,T323/COUNTIF(Setup!$B$9:$B$20,"?*"),T323*AQ323/V323))</f>
        <v/>
      </c>
      <c r="AF323">
        <f>IF(OR(T323="",Setup!$B$18=""),0,IF(V323=0,T323/COUNTIF(Setup!$B$9:$B$20,"?*"),T323*AR323/V323))</f>
        <v/>
      </c>
      <c r="AG323">
        <f>IF(OR(T323="",Setup!$B$19=""),0,IF(V323=0,T323/COUNTIF(Setup!$B$9:$B$20,"?*"),T323*AS323/V323))</f>
        <v/>
      </c>
      <c r="AH323">
        <f>IF(OR(T323="",Setup!$B$20=""),0,IF(V323=0,T323/COUNTIF(Setup!$B$9:$B$20,"?*"),T323*AT323/V323))</f>
        <v/>
      </c>
      <c r="AI323">
        <f>IF(Setup!$B$9="",0,IF(H323="",0,IF(ISNUMBER(H323),H323,1)))</f>
        <v/>
      </c>
      <c r="AJ323">
        <f>IF(Setup!$B$10="",0,IF(I323="",0,IF(ISNUMBER(I323),I323,1)))</f>
        <v/>
      </c>
      <c r="AK323">
        <f>IF(Setup!$B$11="",0,IF(J323="",0,IF(ISNUMBER(J323),J323,1)))</f>
        <v/>
      </c>
      <c r="AL323">
        <f>IF(Setup!$B$12="",0,IF(K323="",0,IF(ISNUMBER(K323),K323,1)))</f>
        <v/>
      </c>
      <c r="AM323">
        <f>IF(Setup!$B$13="",0,IF(L323="",0,IF(ISNUMBER(L323),L323,1)))</f>
        <v/>
      </c>
      <c r="AN323">
        <f>IF(Setup!$B$14="",0,IF(M323="",0,IF(ISNUMBER(M323),M323,1)))</f>
        <v/>
      </c>
      <c r="AO323">
        <f>IF(Setup!$B$15="",0,IF(N323="",0,IF(ISNUMBER(N323),N323,1)))</f>
        <v/>
      </c>
      <c r="AP323">
        <f>IF(Setup!$B$16="",0,IF(O323="",0,IF(ISNUMBER(O323),O323,1)))</f>
        <v/>
      </c>
      <c r="AQ323">
        <f>IF(Setup!$B$17="",0,IF(P323="",0,IF(ISNUMBER(P323),P323,1)))</f>
        <v/>
      </c>
      <c r="AR323">
        <f>IF(Setup!$B$18="",0,IF(Q323="",0,IF(ISNUMBER(Q323),Q323,1)))</f>
        <v/>
      </c>
      <c r="AS323">
        <f>IF(Setup!$B$19="",0,IF(R323="",0,IF(ISNUMBER(R323),R323,1)))</f>
        <v/>
      </c>
      <c r="AT323">
        <f>IF(Setup!$B$20="",0,IF(S323="",0,IF(ISNUMBER(S323),S323,1)))</f>
        <v/>
      </c>
    </row>
    <row r="324">
      <c r="A324" s="1" t="n"/>
      <c r="B324" s="24" t="n"/>
      <c r="C324" s="25" t="n"/>
      <c r="D324" s="25" t="n"/>
      <c r="E324" s="26" t="n"/>
      <c r="F324" s="27" t="n"/>
      <c r="G324" s="17" t="n"/>
      <c r="H324" s="28" t="n"/>
      <c r="I324" s="28" t="n"/>
      <c r="J324" s="28" t="n"/>
      <c r="K324" s="28" t="n"/>
      <c r="L324" s="28" t="n"/>
      <c r="M324" s="28" t="n"/>
      <c r="N324" s="28" t="n"/>
      <c r="O324" s="28" t="n"/>
      <c r="P324" s="28" t="n"/>
      <c r="Q324" s="28" t="n"/>
      <c r="R324" s="28" t="n"/>
      <c r="S324" s="28" t="n"/>
      <c r="T324" s="29">
        <f>IF(N(E324)=0,"",E324*IF(F324="",1,IFERROR(INDEX(Setup!$E$9:$E$18,MATCH(F324,Setup!$D$9:$D$18,0)),0)))</f>
        <v/>
      </c>
      <c r="U324" s="30">
        <f>IF(T324="","",IF(V324=0,"Everyone",IF(COUNTIF(AI324:AT324,"&gt;0")=COUNTIF(Setup!$B$9:$B$20,"?*"),"Everyone",COUNTIF(AI324:AT324,"&gt;0")&amp;IF(COUNTIF(AI324:AT324,"&gt;0")=1," person"," people"))))</f>
        <v/>
      </c>
      <c r="V324" s="1">
        <f>SUM(AI324:AT324)</f>
        <v/>
      </c>
      <c r="W324">
        <f>IF(OR(T324="",Setup!$B$9=""),0,IF(V324=0,T324/COUNTIF(Setup!$B$9:$B$20,"?*"),T324*AI324/V324))</f>
        <v/>
      </c>
      <c r="X324">
        <f>IF(OR(T324="",Setup!$B$10=""),0,IF(V324=0,T324/COUNTIF(Setup!$B$9:$B$20,"?*"),T324*AJ324/V324))</f>
        <v/>
      </c>
      <c r="Y324">
        <f>IF(OR(T324="",Setup!$B$11=""),0,IF(V324=0,T324/COUNTIF(Setup!$B$9:$B$20,"?*"),T324*AK324/V324))</f>
        <v/>
      </c>
      <c r="Z324">
        <f>IF(OR(T324="",Setup!$B$12=""),0,IF(V324=0,T324/COUNTIF(Setup!$B$9:$B$20,"?*"),T324*AL324/V324))</f>
        <v/>
      </c>
      <c r="AA324">
        <f>IF(OR(T324="",Setup!$B$13=""),0,IF(V324=0,T324/COUNTIF(Setup!$B$9:$B$20,"?*"),T324*AM324/V324))</f>
        <v/>
      </c>
      <c r="AB324">
        <f>IF(OR(T324="",Setup!$B$14=""),0,IF(V324=0,T324/COUNTIF(Setup!$B$9:$B$20,"?*"),T324*AN324/V324))</f>
        <v/>
      </c>
      <c r="AC324">
        <f>IF(OR(T324="",Setup!$B$15=""),0,IF(V324=0,T324/COUNTIF(Setup!$B$9:$B$20,"?*"),T324*AO324/V324))</f>
        <v/>
      </c>
      <c r="AD324">
        <f>IF(OR(T324="",Setup!$B$16=""),0,IF(V324=0,T324/COUNTIF(Setup!$B$9:$B$20,"?*"),T324*AP324/V324))</f>
        <v/>
      </c>
      <c r="AE324">
        <f>IF(OR(T324="",Setup!$B$17=""),0,IF(V324=0,T324/COUNTIF(Setup!$B$9:$B$20,"?*"),T324*AQ324/V324))</f>
        <v/>
      </c>
      <c r="AF324">
        <f>IF(OR(T324="",Setup!$B$18=""),0,IF(V324=0,T324/COUNTIF(Setup!$B$9:$B$20,"?*"),T324*AR324/V324))</f>
        <v/>
      </c>
      <c r="AG324">
        <f>IF(OR(T324="",Setup!$B$19=""),0,IF(V324=0,T324/COUNTIF(Setup!$B$9:$B$20,"?*"),T324*AS324/V324))</f>
        <v/>
      </c>
      <c r="AH324">
        <f>IF(OR(T324="",Setup!$B$20=""),0,IF(V324=0,T324/COUNTIF(Setup!$B$9:$B$20,"?*"),T324*AT324/V324))</f>
        <v/>
      </c>
      <c r="AI324">
        <f>IF(Setup!$B$9="",0,IF(H324="",0,IF(ISNUMBER(H324),H324,1)))</f>
        <v/>
      </c>
      <c r="AJ324">
        <f>IF(Setup!$B$10="",0,IF(I324="",0,IF(ISNUMBER(I324),I324,1)))</f>
        <v/>
      </c>
      <c r="AK324">
        <f>IF(Setup!$B$11="",0,IF(J324="",0,IF(ISNUMBER(J324),J324,1)))</f>
        <v/>
      </c>
      <c r="AL324">
        <f>IF(Setup!$B$12="",0,IF(K324="",0,IF(ISNUMBER(K324),K324,1)))</f>
        <v/>
      </c>
      <c r="AM324">
        <f>IF(Setup!$B$13="",0,IF(L324="",0,IF(ISNUMBER(L324),L324,1)))</f>
        <v/>
      </c>
      <c r="AN324">
        <f>IF(Setup!$B$14="",0,IF(M324="",0,IF(ISNUMBER(M324),M324,1)))</f>
        <v/>
      </c>
      <c r="AO324">
        <f>IF(Setup!$B$15="",0,IF(N324="",0,IF(ISNUMBER(N324),N324,1)))</f>
        <v/>
      </c>
      <c r="AP324">
        <f>IF(Setup!$B$16="",0,IF(O324="",0,IF(ISNUMBER(O324),O324,1)))</f>
        <v/>
      </c>
      <c r="AQ324">
        <f>IF(Setup!$B$17="",0,IF(P324="",0,IF(ISNUMBER(P324),P324,1)))</f>
        <v/>
      </c>
      <c r="AR324">
        <f>IF(Setup!$B$18="",0,IF(Q324="",0,IF(ISNUMBER(Q324),Q324,1)))</f>
        <v/>
      </c>
      <c r="AS324">
        <f>IF(Setup!$B$19="",0,IF(R324="",0,IF(ISNUMBER(R324),R324,1)))</f>
        <v/>
      </c>
      <c r="AT324">
        <f>IF(Setup!$B$20="",0,IF(S324="",0,IF(ISNUMBER(S324),S324,1)))</f>
        <v/>
      </c>
    </row>
    <row r="325">
      <c r="A325" s="1" t="n"/>
      <c r="B325" s="24" t="n"/>
      <c r="C325" s="25" t="n"/>
      <c r="D325" s="25" t="n"/>
      <c r="E325" s="26" t="n"/>
      <c r="F325" s="27" t="n"/>
      <c r="G325" s="17" t="n"/>
      <c r="H325" s="28" t="n"/>
      <c r="I325" s="28" t="n"/>
      <c r="J325" s="28" t="n"/>
      <c r="K325" s="28" t="n"/>
      <c r="L325" s="28" t="n"/>
      <c r="M325" s="28" t="n"/>
      <c r="N325" s="28" t="n"/>
      <c r="O325" s="28" t="n"/>
      <c r="P325" s="28" t="n"/>
      <c r="Q325" s="28" t="n"/>
      <c r="R325" s="28" t="n"/>
      <c r="S325" s="28" t="n"/>
      <c r="T325" s="29">
        <f>IF(N(E325)=0,"",E325*IF(F325="",1,IFERROR(INDEX(Setup!$E$9:$E$18,MATCH(F325,Setup!$D$9:$D$18,0)),0)))</f>
        <v/>
      </c>
      <c r="U325" s="30">
        <f>IF(T325="","",IF(V325=0,"Everyone",IF(COUNTIF(AI325:AT325,"&gt;0")=COUNTIF(Setup!$B$9:$B$20,"?*"),"Everyone",COUNTIF(AI325:AT325,"&gt;0")&amp;IF(COUNTIF(AI325:AT325,"&gt;0")=1," person"," people"))))</f>
        <v/>
      </c>
      <c r="V325" s="1">
        <f>SUM(AI325:AT325)</f>
        <v/>
      </c>
      <c r="W325">
        <f>IF(OR(T325="",Setup!$B$9=""),0,IF(V325=0,T325/COUNTIF(Setup!$B$9:$B$20,"?*"),T325*AI325/V325))</f>
        <v/>
      </c>
      <c r="X325">
        <f>IF(OR(T325="",Setup!$B$10=""),0,IF(V325=0,T325/COUNTIF(Setup!$B$9:$B$20,"?*"),T325*AJ325/V325))</f>
        <v/>
      </c>
      <c r="Y325">
        <f>IF(OR(T325="",Setup!$B$11=""),0,IF(V325=0,T325/COUNTIF(Setup!$B$9:$B$20,"?*"),T325*AK325/V325))</f>
        <v/>
      </c>
      <c r="Z325">
        <f>IF(OR(T325="",Setup!$B$12=""),0,IF(V325=0,T325/COUNTIF(Setup!$B$9:$B$20,"?*"),T325*AL325/V325))</f>
        <v/>
      </c>
      <c r="AA325">
        <f>IF(OR(T325="",Setup!$B$13=""),0,IF(V325=0,T325/COUNTIF(Setup!$B$9:$B$20,"?*"),T325*AM325/V325))</f>
        <v/>
      </c>
      <c r="AB325">
        <f>IF(OR(T325="",Setup!$B$14=""),0,IF(V325=0,T325/COUNTIF(Setup!$B$9:$B$20,"?*"),T325*AN325/V325))</f>
        <v/>
      </c>
      <c r="AC325">
        <f>IF(OR(T325="",Setup!$B$15=""),0,IF(V325=0,T325/COUNTIF(Setup!$B$9:$B$20,"?*"),T325*AO325/V325))</f>
        <v/>
      </c>
      <c r="AD325">
        <f>IF(OR(T325="",Setup!$B$16=""),0,IF(V325=0,T325/COUNTIF(Setup!$B$9:$B$20,"?*"),T325*AP325/V325))</f>
        <v/>
      </c>
      <c r="AE325">
        <f>IF(OR(T325="",Setup!$B$17=""),0,IF(V325=0,T325/COUNTIF(Setup!$B$9:$B$20,"?*"),T325*AQ325/V325))</f>
        <v/>
      </c>
      <c r="AF325">
        <f>IF(OR(T325="",Setup!$B$18=""),0,IF(V325=0,T325/COUNTIF(Setup!$B$9:$B$20,"?*"),T325*AR325/V325))</f>
        <v/>
      </c>
      <c r="AG325">
        <f>IF(OR(T325="",Setup!$B$19=""),0,IF(V325=0,T325/COUNTIF(Setup!$B$9:$B$20,"?*"),T325*AS325/V325))</f>
        <v/>
      </c>
      <c r="AH325">
        <f>IF(OR(T325="",Setup!$B$20=""),0,IF(V325=0,T325/COUNTIF(Setup!$B$9:$B$20,"?*"),T325*AT325/V325))</f>
        <v/>
      </c>
      <c r="AI325">
        <f>IF(Setup!$B$9="",0,IF(H325="",0,IF(ISNUMBER(H325),H325,1)))</f>
        <v/>
      </c>
      <c r="AJ325">
        <f>IF(Setup!$B$10="",0,IF(I325="",0,IF(ISNUMBER(I325),I325,1)))</f>
        <v/>
      </c>
      <c r="AK325">
        <f>IF(Setup!$B$11="",0,IF(J325="",0,IF(ISNUMBER(J325),J325,1)))</f>
        <v/>
      </c>
      <c r="AL325">
        <f>IF(Setup!$B$12="",0,IF(K325="",0,IF(ISNUMBER(K325),K325,1)))</f>
        <v/>
      </c>
      <c r="AM325">
        <f>IF(Setup!$B$13="",0,IF(L325="",0,IF(ISNUMBER(L325),L325,1)))</f>
        <v/>
      </c>
      <c r="AN325">
        <f>IF(Setup!$B$14="",0,IF(M325="",0,IF(ISNUMBER(M325),M325,1)))</f>
        <v/>
      </c>
      <c r="AO325">
        <f>IF(Setup!$B$15="",0,IF(N325="",0,IF(ISNUMBER(N325),N325,1)))</f>
        <v/>
      </c>
      <c r="AP325">
        <f>IF(Setup!$B$16="",0,IF(O325="",0,IF(ISNUMBER(O325),O325,1)))</f>
        <v/>
      </c>
      <c r="AQ325">
        <f>IF(Setup!$B$17="",0,IF(P325="",0,IF(ISNUMBER(P325),P325,1)))</f>
        <v/>
      </c>
      <c r="AR325">
        <f>IF(Setup!$B$18="",0,IF(Q325="",0,IF(ISNUMBER(Q325),Q325,1)))</f>
        <v/>
      </c>
      <c r="AS325">
        <f>IF(Setup!$B$19="",0,IF(R325="",0,IF(ISNUMBER(R325),R325,1)))</f>
        <v/>
      </c>
      <c r="AT325">
        <f>IF(Setup!$B$20="",0,IF(S325="",0,IF(ISNUMBER(S325),S325,1)))</f>
        <v/>
      </c>
    </row>
    <row r="326">
      <c r="A326" s="1" t="n"/>
      <c r="B326" s="24" t="n"/>
      <c r="C326" s="25" t="n"/>
      <c r="D326" s="25" t="n"/>
      <c r="E326" s="26" t="n"/>
      <c r="F326" s="27" t="n"/>
      <c r="G326" s="17" t="n"/>
      <c r="H326" s="28" t="n"/>
      <c r="I326" s="28" t="n"/>
      <c r="J326" s="28" t="n"/>
      <c r="K326" s="28" t="n"/>
      <c r="L326" s="28" t="n"/>
      <c r="M326" s="28" t="n"/>
      <c r="N326" s="28" t="n"/>
      <c r="O326" s="28" t="n"/>
      <c r="P326" s="28" t="n"/>
      <c r="Q326" s="28" t="n"/>
      <c r="R326" s="28" t="n"/>
      <c r="S326" s="28" t="n"/>
      <c r="T326" s="29">
        <f>IF(N(E326)=0,"",E326*IF(F326="",1,IFERROR(INDEX(Setup!$E$9:$E$18,MATCH(F326,Setup!$D$9:$D$18,0)),0)))</f>
        <v/>
      </c>
      <c r="U326" s="30">
        <f>IF(T326="","",IF(V326=0,"Everyone",IF(COUNTIF(AI326:AT326,"&gt;0")=COUNTIF(Setup!$B$9:$B$20,"?*"),"Everyone",COUNTIF(AI326:AT326,"&gt;0")&amp;IF(COUNTIF(AI326:AT326,"&gt;0")=1," person"," people"))))</f>
        <v/>
      </c>
      <c r="V326" s="1">
        <f>SUM(AI326:AT326)</f>
        <v/>
      </c>
      <c r="W326">
        <f>IF(OR(T326="",Setup!$B$9=""),0,IF(V326=0,T326/COUNTIF(Setup!$B$9:$B$20,"?*"),T326*AI326/V326))</f>
        <v/>
      </c>
      <c r="X326">
        <f>IF(OR(T326="",Setup!$B$10=""),0,IF(V326=0,T326/COUNTIF(Setup!$B$9:$B$20,"?*"),T326*AJ326/V326))</f>
        <v/>
      </c>
      <c r="Y326">
        <f>IF(OR(T326="",Setup!$B$11=""),0,IF(V326=0,T326/COUNTIF(Setup!$B$9:$B$20,"?*"),T326*AK326/V326))</f>
        <v/>
      </c>
      <c r="Z326">
        <f>IF(OR(T326="",Setup!$B$12=""),0,IF(V326=0,T326/COUNTIF(Setup!$B$9:$B$20,"?*"),T326*AL326/V326))</f>
        <v/>
      </c>
      <c r="AA326">
        <f>IF(OR(T326="",Setup!$B$13=""),0,IF(V326=0,T326/COUNTIF(Setup!$B$9:$B$20,"?*"),T326*AM326/V326))</f>
        <v/>
      </c>
      <c r="AB326">
        <f>IF(OR(T326="",Setup!$B$14=""),0,IF(V326=0,T326/COUNTIF(Setup!$B$9:$B$20,"?*"),T326*AN326/V326))</f>
        <v/>
      </c>
      <c r="AC326">
        <f>IF(OR(T326="",Setup!$B$15=""),0,IF(V326=0,T326/COUNTIF(Setup!$B$9:$B$20,"?*"),T326*AO326/V326))</f>
        <v/>
      </c>
      <c r="AD326">
        <f>IF(OR(T326="",Setup!$B$16=""),0,IF(V326=0,T326/COUNTIF(Setup!$B$9:$B$20,"?*"),T326*AP326/V326))</f>
        <v/>
      </c>
      <c r="AE326">
        <f>IF(OR(T326="",Setup!$B$17=""),0,IF(V326=0,T326/COUNTIF(Setup!$B$9:$B$20,"?*"),T326*AQ326/V326))</f>
        <v/>
      </c>
      <c r="AF326">
        <f>IF(OR(T326="",Setup!$B$18=""),0,IF(V326=0,T326/COUNTIF(Setup!$B$9:$B$20,"?*"),T326*AR326/V326))</f>
        <v/>
      </c>
      <c r="AG326">
        <f>IF(OR(T326="",Setup!$B$19=""),0,IF(V326=0,T326/COUNTIF(Setup!$B$9:$B$20,"?*"),T326*AS326/V326))</f>
        <v/>
      </c>
      <c r="AH326">
        <f>IF(OR(T326="",Setup!$B$20=""),0,IF(V326=0,T326/COUNTIF(Setup!$B$9:$B$20,"?*"),T326*AT326/V326))</f>
        <v/>
      </c>
      <c r="AI326">
        <f>IF(Setup!$B$9="",0,IF(H326="",0,IF(ISNUMBER(H326),H326,1)))</f>
        <v/>
      </c>
      <c r="AJ326">
        <f>IF(Setup!$B$10="",0,IF(I326="",0,IF(ISNUMBER(I326),I326,1)))</f>
        <v/>
      </c>
      <c r="AK326">
        <f>IF(Setup!$B$11="",0,IF(J326="",0,IF(ISNUMBER(J326),J326,1)))</f>
        <v/>
      </c>
      <c r="AL326">
        <f>IF(Setup!$B$12="",0,IF(K326="",0,IF(ISNUMBER(K326),K326,1)))</f>
        <v/>
      </c>
      <c r="AM326">
        <f>IF(Setup!$B$13="",0,IF(L326="",0,IF(ISNUMBER(L326),L326,1)))</f>
        <v/>
      </c>
      <c r="AN326">
        <f>IF(Setup!$B$14="",0,IF(M326="",0,IF(ISNUMBER(M326),M326,1)))</f>
        <v/>
      </c>
      <c r="AO326">
        <f>IF(Setup!$B$15="",0,IF(N326="",0,IF(ISNUMBER(N326),N326,1)))</f>
        <v/>
      </c>
      <c r="AP326">
        <f>IF(Setup!$B$16="",0,IF(O326="",0,IF(ISNUMBER(O326),O326,1)))</f>
        <v/>
      </c>
      <c r="AQ326">
        <f>IF(Setup!$B$17="",0,IF(P326="",0,IF(ISNUMBER(P326),P326,1)))</f>
        <v/>
      </c>
      <c r="AR326">
        <f>IF(Setup!$B$18="",0,IF(Q326="",0,IF(ISNUMBER(Q326),Q326,1)))</f>
        <v/>
      </c>
      <c r="AS326">
        <f>IF(Setup!$B$19="",0,IF(R326="",0,IF(ISNUMBER(R326),R326,1)))</f>
        <v/>
      </c>
      <c r="AT326">
        <f>IF(Setup!$B$20="",0,IF(S326="",0,IF(ISNUMBER(S326),S326,1)))</f>
        <v/>
      </c>
    </row>
    <row r="327">
      <c r="A327" s="1" t="n"/>
      <c r="B327" s="24" t="n"/>
      <c r="C327" s="25" t="n"/>
      <c r="D327" s="25" t="n"/>
      <c r="E327" s="26" t="n"/>
      <c r="F327" s="27" t="n"/>
      <c r="G327" s="17" t="n"/>
      <c r="H327" s="28" t="n"/>
      <c r="I327" s="28" t="n"/>
      <c r="J327" s="28" t="n"/>
      <c r="K327" s="28" t="n"/>
      <c r="L327" s="28" t="n"/>
      <c r="M327" s="28" t="n"/>
      <c r="N327" s="28" t="n"/>
      <c r="O327" s="28" t="n"/>
      <c r="P327" s="28" t="n"/>
      <c r="Q327" s="28" t="n"/>
      <c r="R327" s="28" t="n"/>
      <c r="S327" s="28" t="n"/>
      <c r="T327" s="29">
        <f>IF(N(E327)=0,"",E327*IF(F327="",1,IFERROR(INDEX(Setup!$E$9:$E$18,MATCH(F327,Setup!$D$9:$D$18,0)),0)))</f>
        <v/>
      </c>
      <c r="U327" s="30">
        <f>IF(T327="","",IF(V327=0,"Everyone",IF(COUNTIF(AI327:AT327,"&gt;0")=COUNTIF(Setup!$B$9:$B$20,"?*"),"Everyone",COUNTIF(AI327:AT327,"&gt;0")&amp;IF(COUNTIF(AI327:AT327,"&gt;0")=1," person"," people"))))</f>
        <v/>
      </c>
      <c r="V327" s="1">
        <f>SUM(AI327:AT327)</f>
        <v/>
      </c>
      <c r="W327">
        <f>IF(OR(T327="",Setup!$B$9=""),0,IF(V327=0,T327/COUNTIF(Setup!$B$9:$B$20,"?*"),T327*AI327/V327))</f>
        <v/>
      </c>
      <c r="X327">
        <f>IF(OR(T327="",Setup!$B$10=""),0,IF(V327=0,T327/COUNTIF(Setup!$B$9:$B$20,"?*"),T327*AJ327/V327))</f>
        <v/>
      </c>
      <c r="Y327">
        <f>IF(OR(T327="",Setup!$B$11=""),0,IF(V327=0,T327/COUNTIF(Setup!$B$9:$B$20,"?*"),T327*AK327/V327))</f>
        <v/>
      </c>
      <c r="Z327">
        <f>IF(OR(T327="",Setup!$B$12=""),0,IF(V327=0,T327/COUNTIF(Setup!$B$9:$B$20,"?*"),T327*AL327/V327))</f>
        <v/>
      </c>
      <c r="AA327">
        <f>IF(OR(T327="",Setup!$B$13=""),0,IF(V327=0,T327/COUNTIF(Setup!$B$9:$B$20,"?*"),T327*AM327/V327))</f>
        <v/>
      </c>
      <c r="AB327">
        <f>IF(OR(T327="",Setup!$B$14=""),0,IF(V327=0,T327/COUNTIF(Setup!$B$9:$B$20,"?*"),T327*AN327/V327))</f>
        <v/>
      </c>
      <c r="AC327">
        <f>IF(OR(T327="",Setup!$B$15=""),0,IF(V327=0,T327/COUNTIF(Setup!$B$9:$B$20,"?*"),T327*AO327/V327))</f>
        <v/>
      </c>
      <c r="AD327">
        <f>IF(OR(T327="",Setup!$B$16=""),0,IF(V327=0,T327/COUNTIF(Setup!$B$9:$B$20,"?*"),T327*AP327/V327))</f>
        <v/>
      </c>
      <c r="AE327">
        <f>IF(OR(T327="",Setup!$B$17=""),0,IF(V327=0,T327/COUNTIF(Setup!$B$9:$B$20,"?*"),T327*AQ327/V327))</f>
        <v/>
      </c>
      <c r="AF327">
        <f>IF(OR(T327="",Setup!$B$18=""),0,IF(V327=0,T327/COUNTIF(Setup!$B$9:$B$20,"?*"),T327*AR327/V327))</f>
        <v/>
      </c>
      <c r="AG327">
        <f>IF(OR(T327="",Setup!$B$19=""),0,IF(V327=0,T327/COUNTIF(Setup!$B$9:$B$20,"?*"),T327*AS327/V327))</f>
        <v/>
      </c>
      <c r="AH327">
        <f>IF(OR(T327="",Setup!$B$20=""),0,IF(V327=0,T327/COUNTIF(Setup!$B$9:$B$20,"?*"),T327*AT327/V327))</f>
        <v/>
      </c>
      <c r="AI327">
        <f>IF(Setup!$B$9="",0,IF(H327="",0,IF(ISNUMBER(H327),H327,1)))</f>
        <v/>
      </c>
      <c r="AJ327">
        <f>IF(Setup!$B$10="",0,IF(I327="",0,IF(ISNUMBER(I327),I327,1)))</f>
        <v/>
      </c>
      <c r="AK327">
        <f>IF(Setup!$B$11="",0,IF(J327="",0,IF(ISNUMBER(J327),J327,1)))</f>
        <v/>
      </c>
      <c r="AL327">
        <f>IF(Setup!$B$12="",0,IF(K327="",0,IF(ISNUMBER(K327),K327,1)))</f>
        <v/>
      </c>
      <c r="AM327">
        <f>IF(Setup!$B$13="",0,IF(L327="",0,IF(ISNUMBER(L327),L327,1)))</f>
        <v/>
      </c>
      <c r="AN327">
        <f>IF(Setup!$B$14="",0,IF(M327="",0,IF(ISNUMBER(M327),M327,1)))</f>
        <v/>
      </c>
      <c r="AO327">
        <f>IF(Setup!$B$15="",0,IF(N327="",0,IF(ISNUMBER(N327),N327,1)))</f>
        <v/>
      </c>
      <c r="AP327">
        <f>IF(Setup!$B$16="",0,IF(O327="",0,IF(ISNUMBER(O327),O327,1)))</f>
        <v/>
      </c>
      <c r="AQ327">
        <f>IF(Setup!$B$17="",0,IF(P327="",0,IF(ISNUMBER(P327),P327,1)))</f>
        <v/>
      </c>
      <c r="AR327">
        <f>IF(Setup!$B$18="",0,IF(Q327="",0,IF(ISNUMBER(Q327),Q327,1)))</f>
        <v/>
      </c>
      <c r="AS327">
        <f>IF(Setup!$B$19="",0,IF(R327="",0,IF(ISNUMBER(R327),R327,1)))</f>
        <v/>
      </c>
      <c r="AT327">
        <f>IF(Setup!$B$20="",0,IF(S327="",0,IF(ISNUMBER(S327),S327,1)))</f>
        <v/>
      </c>
    </row>
    <row r="328">
      <c r="A328" s="1" t="n"/>
      <c r="B328" s="24" t="n"/>
      <c r="C328" s="25" t="n"/>
      <c r="D328" s="25" t="n"/>
      <c r="E328" s="26" t="n"/>
      <c r="F328" s="27" t="n"/>
      <c r="G328" s="17" t="n"/>
      <c r="H328" s="28" t="n"/>
      <c r="I328" s="28" t="n"/>
      <c r="J328" s="28" t="n"/>
      <c r="K328" s="28" t="n"/>
      <c r="L328" s="28" t="n"/>
      <c r="M328" s="28" t="n"/>
      <c r="N328" s="28" t="n"/>
      <c r="O328" s="28" t="n"/>
      <c r="P328" s="28" t="n"/>
      <c r="Q328" s="28" t="n"/>
      <c r="R328" s="28" t="n"/>
      <c r="S328" s="28" t="n"/>
      <c r="T328" s="29">
        <f>IF(N(E328)=0,"",E328*IF(F328="",1,IFERROR(INDEX(Setup!$E$9:$E$18,MATCH(F328,Setup!$D$9:$D$18,0)),0)))</f>
        <v/>
      </c>
      <c r="U328" s="30">
        <f>IF(T328="","",IF(V328=0,"Everyone",IF(COUNTIF(AI328:AT328,"&gt;0")=COUNTIF(Setup!$B$9:$B$20,"?*"),"Everyone",COUNTIF(AI328:AT328,"&gt;0")&amp;IF(COUNTIF(AI328:AT328,"&gt;0")=1," person"," people"))))</f>
        <v/>
      </c>
      <c r="V328" s="1">
        <f>SUM(AI328:AT328)</f>
        <v/>
      </c>
      <c r="W328">
        <f>IF(OR(T328="",Setup!$B$9=""),0,IF(V328=0,T328/COUNTIF(Setup!$B$9:$B$20,"?*"),T328*AI328/V328))</f>
        <v/>
      </c>
      <c r="X328">
        <f>IF(OR(T328="",Setup!$B$10=""),0,IF(V328=0,T328/COUNTIF(Setup!$B$9:$B$20,"?*"),T328*AJ328/V328))</f>
        <v/>
      </c>
      <c r="Y328">
        <f>IF(OR(T328="",Setup!$B$11=""),0,IF(V328=0,T328/COUNTIF(Setup!$B$9:$B$20,"?*"),T328*AK328/V328))</f>
        <v/>
      </c>
      <c r="Z328">
        <f>IF(OR(T328="",Setup!$B$12=""),0,IF(V328=0,T328/COUNTIF(Setup!$B$9:$B$20,"?*"),T328*AL328/V328))</f>
        <v/>
      </c>
      <c r="AA328">
        <f>IF(OR(T328="",Setup!$B$13=""),0,IF(V328=0,T328/COUNTIF(Setup!$B$9:$B$20,"?*"),T328*AM328/V328))</f>
        <v/>
      </c>
      <c r="AB328">
        <f>IF(OR(T328="",Setup!$B$14=""),0,IF(V328=0,T328/COUNTIF(Setup!$B$9:$B$20,"?*"),T328*AN328/V328))</f>
        <v/>
      </c>
      <c r="AC328">
        <f>IF(OR(T328="",Setup!$B$15=""),0,IF(V328=0,T328/COUNTIF(Setup!$B$9:$B$20,"?*"),T328*AO328/V328))</f>
        <v/>
      </c>
      <c r="AD328">
        <f>IF(OR(T328="",Setup!$B$16=""),0,IF(V328=0,T328/COUNTIF(Setup!$B$9:$B$20,"?*"),T328*AP328/V328))</f>
        <v/>
      </c>
      <c r="AE328">
        <f>IF(OR(T328="",Setup!$B$17=""),0,IF(V328=0,T328/COUNTIF(Setup!$B$9:$B$20,"?*"),T328*AQ328/V328))</f>
        <v/>
      </c>
      <c r="AF328">
        <f>IF(OR(T328="",Setup!$B$18=""),0,IF(V328=0,T328/COUNTIF(Setup!$B$9:$B$20,"?*"),T328*AR328/V328))</f>
        <v/>
      </c>
      <c r="AG328">
        <f>IF(OR(T328="",Setup!$B$19=""),0,IF(V328=0,T328/COUNTIF(Setup!$B$9:$B$20,"?*"),T328*AS328/V328))</f>
        <v/>
      </c>
      <c r="AH328">
        <f>IF(OR(T328="",Setup!$B$20=""),0,IF(V328=0,T328/COUNTIF(Setup!$B$9:$B$20,"?*"),T328*AT328/V328))</f>
        <v/>
      </c>
      <c r="AI328">
        <f>IF(Setup!$B$9="",0,IF(H328="",0,IF(ISNUMBER(H328),H328,1)))</f>
        <v/>
      </c>
      <c r="AJ328">
        <f>IF(Setup!$B$10="",0,IF(I328="",0,IF(ISNUMBER(I328),I328,1)))</f>
        <v/>
      </c>
      <c r="AK328">
        <f>IF(Setup!$B$11="",0,IF(J328="",0,IF(ISNUMBER(J328),J328,1)))</f>
        <v/>
      </c>
      <c r="AL328">
        <f>IF(Setup!$B$12="",0,IF(K328="",0,IF(ISNUMBER(K328),K328,1)))</f>
        <v/>
      </c>
      <c r="AM328">
        <f>IF(Setup!$B$13="",0,IF(L328="",0,IF(ISNUMBER(L328),L328,1)))</f>
        <v/>
      </c>
      <c r="AN328">
        <f>IF(Setup!$B$14="",0,IF(M328="",0,IF(ISNUMBER(M328),M328,1)))</f>
        <v/>
      </c>
      <c r="AO328">
        <f>IF(Setup!$B$15="",0,IF(N328="",0,IF(ISNUMBER(N328),N328,1)))</f>
        <v/>
      </c>
      <c r="AP328">
        <f>IF(Setup!$B$16="",0,IF(O328="",0,IF(ISNUMBER(O328),O328,1)))</f>
        <v/>
      </c>
      <c r="AQ328">
        <f>IF(Setup!$B$17="",0,IF(P328="",0,IF(ISNUMBER(P328),P328,1)))</f>
        <v/>
      </c>
      <c r="AR328">
        <f>IF(Setup!$B$18="",0,IF(Q328="",0,IF(ISNUMBER(Q328),Q328,1)))</f>
        <v/>
      </c>
      <c r="AS328">
        <f>IF(Setup!$B$19="",0,IF(R328="",0,IF(ISNUMBER(R328),R328,1)))</f>
        <v/>
      </c>
      <c r="AT328">
        <f>IF(Setup!$B$20="",0,IF(S328="",0,IF(ISNUMBER(S328),S328,1)))</f>
        <v/>
      </c>
    </row>
    <row r="329">
      <c r="A329" s="1" t="n"/>
      <c r="B329" s="24" t="n"/>
      <c r="C329" s="25" t="n"/>
      <c r="D329" s="25" t="n"/>
      <c r="E329" s="26" t="n"/>
      <c r="F329" s="27" t="n"/>
      <c r="G329" s="17" t="n"/>
      <c r="H329" s="28" t="n"/>
      <c r="I329" s="28" t="n"/>
      <c r="J329" s="28" t="n"/>
      <c r="K329" s="28" t="n"/>
      <c r="L329" s="28" t="n"/>
      <c r="M329" s="28" t="n"/>
      <c r="N329" s="28" t="n"/>
      <c r="O329" s="28" t="n"/>
      <c r="P329" s="28" t="n"/>
      <c r="Q329" s="28" t="n"/>
      <c r="R329" s="28" t="n"/>
      <c r="S329" s="28" t="n"/>
      <c r="T329" s="29">
        <f>IF(N(E329)=0,"",E329*IF(F329="",1,IFERROR(INDEX(Setup!$E$9:$E$18,MATCH(F329,Setup!$D$9:$D$18,0)),0)))</f>
        <v/>
      </c>
      <c r="U329" s="30">
        <f>IF(T329="","",IF(V329=0,"Everyone",IF(COUNTIF(AI329:AT329,"&gt;0")=COUNTIF(Setup!$B$9:$B$20,"?*"),"Everyone",COUNTIF(AI329:AT329,"&gt;0")&amp;IF(COUNTIF(AI329:AT329,"&gt;0")=1," person"," people"))))</f>
        <v/>
      </c>
      <c r="V329" s="1">
        <f>SUM(AI329:AT329)</f>
        <v/>
      </c>
      <c r="W329">
        <f>IF(OR(T329="",Setup!$B$9=""),0,IF(V329=0,T329/COUNTIF(Setup!$B$9:$B$20,"?*"),T329*AI329/V329))</f>
        <v/>
      </c>
      <c r="X329">
        <f>IF(OR(T329="",Setup!$B$10=""),0,IF(V329=0,T329/COUNTIF(Setup!$B$9:$B$20,"?*"),T329*AJ329/V329))</f>
        <v/>
      </c>
      <c r="Y329">
        <f>IF(OR(T329="",Setup!$B$11=""),0,IF(V329=0,T329/COUNTIF(Setup!$B$9:$B$20,"?*"),T329*AK329/V329))</f>
        <v/>
      </c>
      <c r="Z329">
        <f>IF(OR(T329="",Setup!$B$12=""),0,IF(V329=0,T329/COUNTIF(Setup!$B$9:$B$20,"?*"),T329*AL329/V329))</f>
        <v/>
      </c>
      <c r="AA329">
        <f>IF(OR(T329="",Setup!$B$13=""),0,IF(V329=0,T329/COUNTIF(Setup!$B$9:$B$20,"?*"),T329*AM329/V329))</f>
        <v/>
      </c>
      <c r="AB329">
        <f>IF(OR(T329="",Setup!$B$14=""),0,IF(V329=0,T329/COUNTIF(Setup!$B$9:$B$20,"?*"),T329*AN329/V329))</f>
        <v/>
      </c>
      <c r="AC329">
        <f>IF(OR(T329="",Setup!$B$15=""),0,IF(V329=0,T329/COUNTIF(Setup!$B$9:$B$20,"?*"),T329*AO329/V329))</f>
        <v/>
      </c>
      <c r="AD329">
        <f>IF(OR(T329="",Setup!$B$16=""),0,IF(V329=0,T329/COUNTIF(Setup!$B$9:$B$20,"?*"),T329*AP329/V329))</f>
        <v/>
      </c>
      <c r="AE329">
        <f>IF(OR(T329="",Setup!$B$17=""),0,IF(V329=0,T329/COUNTIF(Setup!$B$9:$B$20,"?*"),T329*AQ329/V329))</f>
        <v/>
      </c>
      <c r="AF329">
        <f>IF(OR(T329="",Setup!$B$18=""),0,IF(V329=0,T329/COUNTIF(Setup!$B$9:$B$20,"?*"),T329*AR329/V329))</f>
        <v/>
      </c>
      <c r="AG329">
        <f>IF(OR(T329="",Setup!$B$19=""),0,IF(V329=0,T329/COUNTIF(Setup!$B$9:$B$20,"?*"),T329*AS329/V329))</f>
        <v/>
      </c>
      <c r="AH329">
        <f>IF(OR(T329="",Setup!$B$20=""),0,IF(V329=0,T329/COUNTIF(Setup!$B$9:$B$20,"?*"),T329*AT329/V329))</f>
        <v/>
      </c>
      <c r="AI329">
        <f>IF(Setup!$B$9="",0,IF(H329="",0,IF(ISNUMBER(H329),H329,1)))</f>
        <v/>
      </c>
      <c r="AJ329">
        <f>IF(Setup!$B$10="",0,IF(I329="",0,IF(ISNUMBER(I329),I329,1)))</f>
        <v/>
      </c>
      <c r="AK329">
        <f>IF(Setup!$B$11="",0,IF(J329="",0,IF(ISNUMBER(J329),J329,1)))</f>
        <v/>
      </c>
      <c r="AL329">
        <f>IF(Setup!$B$12="",0,IF(K329="",0,IF(ISNUMBER(K329),K329,1)))</f>
        <v/>
      </c>
      <c r="AM329">
        <f>IF(Setup!$B$13="",0,IF(L329="",0,IF(ISNUMBER(L329),L329,1)))</f>
        <v/>
      </c>
      <c r="AN329">
        <f>IF(Setup!$B$14="",0,IF(M329="",0,IF(ISNUMBER(M329),M329,1)))</f>
        <v/>
      </c>
      <c r="AO329">
        <f>IF(Setup!$B$15="",0,IF(N329="",0,IF(ISNUMBER(N329),N329,1)))</f>
        <v/>
      </c>
      <c r="AP329">
        <f>IF(Setup!$B$16="",0,IF(O329="",0,IF(ISNUMBER(O329),O329,1)))</f>
        <v/>
      </c>
      <c r="AQ329">
        <f>IF(Setup!$B$17="",0,IF(P329="",0,IF(ISNUMBER(P329),P329,1)))</f>
        <v/>
      </c>
      <c r="AR329">
        <f>IF(Setup!$B$18="",0,IF(Q329="",0,IF(ISNUMBER(Q329),Q329,1)))</f>
        <v/>
      </c>
      <c r="AS329">
        <f>IF(Setup!$B$19="",0,IF(R329="",0,IF(ISNUMBER(R329),R329,1)))</f>
        <v/>
      </c>
      <c r="AT329">
        <f>IF(Setup!$B$20="",0,IF(S329="",0,IF(ISNUMBER(S329),S329,1)))</f>
        <v/>
      </c>
    </row>
    <row r="330">
      <c r="A330" s="1" t="n"/>
      <c r="B330" s="24" t="n"/>
      <c r="C330" s="25" t="n"/>
      <c r="D330" s="25" t="n"/>
      <c r="E330" s="26" t="n"/>
      <c r="F330" s="27" t="n"/>
      <c r="G330" s="17" t="n"/>
      <c r="H330" s="28" t="n"/>
      <c r="I330" s="28" t="n"/>
      <c r="J330" s="28" t="n"/>
      <c r="K330" s="28" t="n"/>
      <c r="L330" s="28" t="n"/>
      <c r="M330" s="28" t="n"/>
      <c r="N330" s="28" t="n"/>
      <c r="O330" s="28" t="n"/>
      <c r="P330" s="28" t="n"/>
      <c r="Q330" s="28" t="n"/>
      <c r="R330" s="28" t="n"/>
      <c r="S330" s="28" t="n"/>
      <c r="T330" s="29">
        <f>IF(N(E330)=0,"",E330*IF(F330="",1,IFERROR(INDEX(Setup!$E$9:$E$18,MATCH(F330,Setup!$D$9:$D$18,0)),0)))</f>
        <v/>
      </c>
      <c r="U330" s="30">
        <f>IF(T330="","",IF(V330=0,"Everyone",IF(COUNTIF(AI330:AT330,"&gt;0")=COUNTIF(Setup!$B$9:$B$20,"?*"),"Everyone",COUNTIF(AI330:AT330,"&gt;0")&amp;IF(COUNTIF(AI330:AT330,"&gt;0")=1," person"," people"))))</f>
        <v/>
      </c>
      <c r="V330" s="1">
        <f>SUM(AI330:AT330)</f>
        <v/>
      </c>
      <c r="W330">
        <f>IF(OR(T330="",Setup!$B$9=""),0,IF(V330=0,T330/COUNTIF(Setup!$B$9:$B$20,"?*"),T330*AI330/V330))</f>
        <v/>
      </c>
      <c r="X330">
        <f>IF(OR(T330="",Setup!$B$10=""),0,IF(V330=0,T330/COUNTIF(Setup!$B$9:$B$20,"?*"),T330*AJ330/V330))</f>
        <v/>
      </c>
      <c r="Y330">
        <f>IF(OR(T330="",Setup!$B$11=""),0,IF(V330=0,T330/COUNTIF(Setup!$B$9:$B$20,"?*"),T330*AK330/V330))</f>
        <v/>
      </c>
      <c r="Z330">
        <f>IF(OR(T330="",Setup!$B$12=""),0,IF(V330=0,T330/COUNTIF(Setup!$B$9:$B$20,"?*"),T330*AL330/V330))</f>
        <v/>
      </c>
      <c r="AA330">
        <f>IF(OR(T330="",Setup!$B$13=""),0,IF(V330=0,T330/COUNTIF(Setup!$B$9:$B$20,"?*"),T330*AM330/V330))</f>
        <v/>
      </c>
      <c r="AB330">
        <f>IF(OR(T330="",Setup!$B$14=""),0,IF(V330=0,T330/COUNTIF(Setup!$B$9:$B$20,"?*"),T330*AN330/V330))</f>
        <v/>
      </c>
      <c r="AC330">
        <f>IF(OR(T330="",Setup!$B$15=""),0,IF(V330=0,T330/COUNTIF(Setup!$B$9:$B$20,"?*"),T330*AO330/V330))</f>
        <v/>
      </c>
      <c r="AD330">
        <f>IF(OR(T330="",Setup!$B$16=""),0,IF(V330=0,T330/COUNTIF(Setup!$B$9:$B$20,"?*"),T330*AP330/V330))</f>
        <v/>
      </c>
      <c r="AE330">
        <f>IF(OR(T330="",Setup!$B$17=""),0,IF(V330=0,T330/COUNTIF(Setup!$B$9:$B$20,"?*"),T330*AQ330/V330))</f>
        <v/>
      </c>
      <c r="AF330">
        <f>IF(OR(T330="",Setup!$B$18=""),0,IF(V330=0,T330/COUNTIF(Setup!$B$9:$B$20,"?*"),T330*AR330/V330))</f>
        <v/>
      </c>
      <c r="AG330">
        <f>IF(OR(T330="",Setup!$B$19=""),0,IF(V330=0,T330/COUNTIF(Setup!$B$9:$B$20,"?*"),T330*AS330/V330))</f>
        <v/>
      </c>
      <c r="AH330">
        <f>IF(OR(T330="",Setup!$B$20=""),0,IF(V330=0,T330/COUNTIF(Setup!$B$9:$B$20,"?*"),T330*AT330/V330))</f>
        <v/>
      </c>
      <c r="AI330">
        <f>IF(Setup!$B$9="",0,IF(H330="",0,IF(ISNUMBER(H330),H330,1)))</f>
        <v/>
      </c>
      <c r="AJ330">
        <f>IF(Setup!$B$10="",0,IF(I330="",0,IF(ISNUMBER(I330),I330,1)))</f>
        <v/>
      </c>
      <c r="AK330">
        <f>IF(Setup!$B$11="",0,IF(J330="",0,IF(ISNUMBER(J330),J330,1)))</f>
        <v/>
      </c>
      <c r="AL330">
        <f>IF(Setup!$B$12="",0,IF(K330="",0,IF(ISNUMBER(K330),K330,1)))</f>
        <v/>
      </c>
      <c r="AM330">
        <f>IF(Setup!$B$13="",0,IF(L330="",0,IF(ISNUMBER(L330),L330,1)))</f>
        <v/>
      </c>
      <c r="AN330">
        <f>IF(Setup!$B$14="",0,IF(M330="",0,IF(ISNUMBER(M330),M330,1)))</f>
        <v/>
      </c>
      <c r="AO330">
        <f>IF(Setup!$B$15="",0,IF(N330="",0,IF(ISNUMBER(N330),N330,1)))</f>
        <v/>
      </c>
      <c r="AP330">
        <f>IF(Setup!$B$16="",0,IF(O330="",0,IF(ISNUMBER(O330),O330,1)))</f>
        <v/>
      </c>
      <c r="AQ330">
        <f>IF(Setup!$B$17="",0,IF(P330="",0,IF(ISNUMBER(P330),P330,1)))</f>
        <v/>
      </c>
      <c r="AR330">
        <f>IF(Setup!$B$18="",0,IF(Q330="",0,IF(ISNUMBER(Q330),Q330,1)))</f>
        <v/>
      </c>
      <c r="AS330">
        <f>IF(Setup!$B$19="",0,IF(R330="",0,IF(ISNUMBER(R330),R330,1)))</f>
        <v/>
      </c>
      <c r="AT330">
        <f>IF(Setup!$B$20="",0,IF(S330="",0,IF(ISNUMBER(S330),S330,1)))</f>
        <v/>
      </c>
    </row>
    <row r="331">
      <c r="A331" s="1" t="n"/>
      <c r="B331" s="24" t="n"/>
      <c r="C331" s="25" t="n"/>
      <c r="D331" s="25" t="n"/>
      <c r="E331" s="26" t="n"/>
      <c r="F331" s="27" t="n"/>
      <c r="G331" s="17" t="n"/>
      <c r="H331" s="28" t="n"/>
      <c r="I331" s="28" t="n"/>
      <c r="J331" s="28" t="n"/>
      <c r="K331" s="28" t="n"/>
      <c r="L331" s="28" t="n"/>
      <c r="M331" s="28" t="n"/>
      <c r="N331" s="28" t="n"/>
      <c r="O331" s="28" t="n"/>
      <c r="P331" s="28" t="n"/>
      <c r="Q331" s="28" t="n"/>
      <c r="R331" s="28" t="n"/>
      <c r="S331" s="28" t="n"/>
      <c r="T331" s="29">
        <f>IF(N(E331)=0,"",E331*IF(F331="",1,IFERROR(INDEX(Setup!$E$9:$E$18,MATCH(F331,Setup!$D$9:$D$18,0)),0)))</f>
        <v/>
      </c>
      <c r="U331" s="30">
        <f>IF(T331="","",IF(V331=0,"Everyone",IF(COUNTIF(AI331:AT331,"&gt;0")=COUNTIF(Setup!$B$9:$B$20,"?*"),"Everyone",COUNTIF(AI331:AT331,"&gt;0")&amp;IF(COUNTIF(AI331:AT331,"&gt;0")=1," person"," people"))))</f>
        <v/>
      </c>
      <c r="V331" s="1">
        <f>SUM(AI331:AT331)</f>
        <v/>
      </c>
      <c r="W331">
        <f>IF(OR(T331="",Setup!$B$9=""),0,IF(V331=0,T331/COUNTIF(Setup!$B$9:$B$20,"?*"),T331*AI331/V331))</f>
        <v/>
      </c>
      <c r="X331">
        <f>IF(OR(T331="",Setup!$B$10=""),0,IF(V331=0,T331/COUNTIF(Setup!$B$9:$B$20,"?*"),T331*AJ331/V331))</f>
        <v/>
      </c>
      <c r="Y331">
        <f>IF(OR(T331="",Setup!$B$11=""),0,IF(V331=0,T331/COUNTIF(Setup!$B$9:$B$20,"?*"),T331*AK331/V331))</f>
        <v/>
      </c>
      <c r="Z331">
        <f>IF(OR(T331="",Setup!$B$12=""),0,IF(V331=0,T331/COUNTIF(Setup!$B$9:$B$20,"?*"),T331*AL331/V331))</f>
        <v/>
      </c>
      <c r="AA331">
        <f>IF(OR(T331="",Setup!$B$13=""),0,IF(V331=0,T331/COUNTIF(Setup!$B$9:$B$20,"?*"),T331*AM331/V331))</f>
        <v/>
      </c>
      <c r="AB331">
        <f>IF(OR(T331="",Setup!$B$14=""),0,IF(V331=0,T331/COUNTIF(Setup!$B$9:$B$20,"?*"),T331*AN331/V331))</f>
        <v/>
      </c>
      <c r="AC331">
        <f>IF(OR(T331="",Setup!$B$15=""),0,IF(V331=0,T331/COUNTIF(Setup!$B$9:$B$20,"?*"),T331*AO331/V331))</f>
        <v/>
      </c>
      <c r="AD331">
        <f>IF(OR(T331="",Setup!$B$16=""),0,IF(V331=0,T331/COUNTIF(Setup!$B$9:$B$20,"?*"),T331*AP331/V331))</f>
        <v/>
      </c>
      <c r="AE331">
        <f>IF(OR(T331="",Setup!$B$17=""),0,IF(V331=0,T331/COUNTIF(Setup!$B$9:$B$20,"?*"),T331*AQ331/V331))</f>
        <v/>
      </c>
      <c r="AF331">
        <f>IF(OR(T331="",Setup!$B$18=""),0,IF(V331=0,T331/COUNTIF(Setup!$B$9:$B$20,"?*"),T331*AR331/V331))</f>
        <v/>
      </c>
      <c r="AG331">
        <f>IF(OR(T331="",Setup!$B$19=""),0,IF(V331=0,T331/COUNTIF(Setup!$B$9:$B$20,"?*"),T331*AS331/V331))</f>
        <v/>
      </c>
      <c r="AH331">
        <f>IF(OR(T331="",Setup!$B$20=""),0,IF(V331=0,T331/COUNTIF(Setup!$B$9:$B$20,"?*"),T331*AT331/V331))</f>
        <v/>
      </c>
      <c r="AI331">
        <f>IF(Setup!$B$9="",0,IF(H331="",0,IF(ISNUMBER(H331),H331,1)))</f>
        <v/>
      </c>
      <c r="AJ331">
        <f>IF(Setup!$B$10="",0,IF(I331="",0,IF(ISNUMBER(I331),I331,1)))</f>
        <v/>
      </c>
      <c r="AK331">
        <f>IF(Setup!$B$11="",0,IF(J331="",0,IF(ISNUMBER(J331),J331,1)))</f>
        <v/>
      </c>
      <c r="AL331">
        <f>IF(Setup!$B$12="",0,IF(K331="",0,IF(ISNUMBER(K331),K331,1)))</f>
        <v/>
      </c>
      <c r="AM331">
        <f>IF(Setup!$B$13="",0,IF(L331="",0,IF(ISNUMBER(L331),L331,1)))</f>
        <v/>
      </c>
      <c r="AN331">
        <f>IF(Setup!$B$14="",0,IF(M331="",0,IF(ISNUMBER(M331),M331,1)))</f>
        <v/>
      </c>
      <c r="AO331">
        <f>IF(Setup!$B$15="",0,IF(N331="",0,IF(ISNUMBER(N331),N331,1)))</f>
        <v/>
      </c>
      <c r="AP331">
        <f>IF(Setup!$B$16="",0,IF(O331="",0,IF(ISNUMBER(O331),O331,1)))</f>
        <v/>
      </c>
      <c r="AQ331">
        <f>IF(Setup!$B$17="",0,IF(P331="",0,IF(ISNUMBER(P331),P331,1)))</f>
        <v/>
      </c>
      <c r="AR331">
        <f>IF(Setup!$B$18="",0,IF(Q331="",0,IF(ISNUMBER(Q331),Q331,1)))</f>
        <v/>
      </c>
      <c r="AS331">
        <f>IF(Setup!$B$19="",0,IF(R331="",0,IF(ISNUMBER(R331),R331,1)))</f>
        <v/>
      </c>
      <c r="AT331">
        <f>IF(Setup!$B$20="",0,IF(S331="",0,IF(ISNUMBER(S331),S331,1)))</f>
        <v/>
      </c>
    </row>
    <row r="332">
      <c r="A332" s="1" t="n"/>
      <c r="B332" s="24" t="n"/>
      <c r="C332" s="25" t="n"/>
      <c r="D332" s="25" t="n"/>
      <c r="E332" s="26" t="n"/>
      <c r="F332" s="27" t="n"/>
      <c r="G332" s="17" t="n"/>
      <c r="H332" s="28" t="n"/>
      <c r="I332" s="28" t="n"/>
      <c r="J332" s="28" t="n"/>
      <c r="K332" s="28" t="n"/>
      <c r="L332" s="28" t="n"/>
      <c r="M332" s="28" t="n"/>
      <c r="N332" s="28" t="n"/>
      <c r="O332" s="28" t="n"/>
      <c r="P332" s="28" t="n"/>
      <c r="Q332" s="28" t="n"/>
      <c r="R332" s="28" t="n"/>
      <c r="S332" s="28" t="n"/>
      <c r="T332" s="29">
        <f>IF(N(E332)=0,"",E332*IF(F332="",1,IFERROR(INDEX(Setup!$E$9:$E$18,MATCH(F332,Setup!$D$9:$D$18,0)),0)))</f>
        <v/>
      </c>
      <c r="U332" s="30">
        <f>IF(T332="","",IF(V332=0,"Everyone",IF(COUNTIF(AI332:AT332,"&gt;0")=COUNTIF(Setup!$B$9:$B$20,"?*"),"Everyone",COUNTIF(AI332:AT332,"&gt;0")&amp;IF(COUNTIF(AI332:AT332,"&gt;0")=1," person"," people"))))</f>
        <v/>
      </c>
      <c r="V332" s="1">
        <f>SUM(AI332:AT332)</f>
        <v/>
      </c>
      <c r="W332">
        <f>IF(OR(T332="",Setup!$B$9=""),0,IF(V332=0,T332/COUNTIF(Setup!$B$9:$B$20,"?*"),T332*AI332/V332))</f>
        <v/>
      </c>
      <c r="X332">
        <f>IF(OR(T332="",Setup!$B$10=""),0,IF(V332=0,T332/COUNTIF(Setup!$B$9:$B$20,"?*"),T332*AJ332/V332))</f>
        <v/>
      </c>
      <c r="Y332">
        <f>IF(OR(T332="",Setup!$B$11=""),0,IF(V332=0,T332/COUNTIF(Setup!$B$9:$B$20,"?*"),T332*AK332/V332))</f>
        <v/>
      </c>
      <c r="Z332">
        <f>IF(OR(T332="",Setup!$B$12=""),0,IF(V332=0,T332/COUNTIF(Setup!$B$9:$B$20,"?*"),T332*AL332/V332))</f>
        <v/>
      </c>
      <c r="AA332">
        <f>IF(OR(T332="",Setup!$B$13=""),0,IF(V332=0,T332/COUNTIF(Setup!$B$9:$B$20,"?*"),T332*AM332/V332))</f>
        <v/>
      </c>
      <c r="AB332">
        <f>IF(OR(T332="",Setup!$B$14=""),0,IF(V332=0,T332/COUNTIF(Setup!$B$9:$B$20,"?*"),T332*AN332/V332))</f>
        <v/>
      </c>
      <c r="AC332">
        <f>IF(OR(T332="",Setup!$B$15=""),0,IF(V332=0,T332/COUNTIF(Setup!$B$9:$B$20,"?*"),T332*AO332/V332))</f>
        <v/>
      </c>
      <c r="AD332">
        <f>IF(OR(T332="",Setup!$B$16=""),0,IF(V332=0,T332/COUNTIF(Setup!$B$9:$B$20,"?*"),T332*AP332/V332))</f>
        <v/>
      </c>
      <c r="AE332">
        <f>IF(OR(T332="",Setup!$B$17=""),0,IF(V332=0,T332/COUNTIF(Setup!$B$9:$B$20,"?*"),T332*AQ332/V332))</f>
        <v/>
      </c>
      <c r="AF332">
        <f>IF(OR(T332="",Setup!$B$18=""),0,IF(V332=0,T332/COUNTIF(Setup!$B$9:$B$20,"?*"),T332*AR332/V332))</f>
        <v/>
      </c>
      <c r="AG332">
        <f>IF(OR(T332="",Setup!$B$19=""),0,IF(V332=0,T332/COUNTIF(Setup!$B$9:$B$20,"?*"),T332*AS332/V332))</f>
        <v/>
      </c>
      <c r="AH332">
        <f>IF(OR(T332="",Setup!$B$20=""),0,IF(V332=0,T332/COUNTIF(Setup!$B$9:$B$20,"?*"),T332*AT332/V332))</f>
        <v/>
      </c>
      <c r="AI332">
        <f>IF(Setup!$B$9="",0,IF(H332="",0,IF(ISNUMBER(H332),H332,1)))</f>
        <v/>
      </c>
      <c r="AJ332">
        <f>IF(Setup!$B$10="",0,IF(I332="",0,IF(ISNUMBER(I332),I332,1)))</f>
        <v/>
      </c>
      <c r="AK332">
        <f>IF(Setup!$B$11="",0,IF(J332="",0,IF(ISNUMBER(J332),J332,1)))</f>
        <v/>
      </c>
      <c r="AL332">
        <f>IF(Setup!$B$12="",0,IF(K332="",0,IF(ISNUMBER(K332),K332,1)))</f>
        <v/>
      </c>
      <c r="AM332">
        <f>IF(Setup!$B$13="",0,IF(L332="",0,IF(ISNUMBER(L332),L332,1)))</f>
        <v/>
      </c>
      <c r="AN332">
        <f>IF(Setup!$B$14="",0,IF(M332="",0,IF(ISNUMBER(M332),M332,1)))</f>
        <v/>
      </c>
      <c r="AO332">
        <f>IF(Setup!$B$15="",0,IF(N332="",0,IF(ISNUMBER(N332),N332,1)))</f>
        <v/>
      </c>
      <c r="AP332">
        <f>IF(Setup!$B$16="",0,IF(O332="",0,IF(ISNUMBER(O332),O332,1)))</f>
        <v/>
      </c>
      <c r="AQ332">
        <f>IF(Setup!$B$17="",0,IF(P332="",0,IF(ISNUMBER(P332),P332,1)))</f>
        <v/>
      </c>
      <c r="AR332">
        <f>IF(Setup!$B$18="",0,IF(Q332="",0,IF(ISNUMBER(Q332),Q332,1)))</f>
        <v/>
      </c>
      <c r="AS332">
        <f>IF(Setup!$B$19="",0,IF(R332="",0,IF(ISNUMBER(R332),R332,1)))</f>
        <v/>
      </c>
      <c r="AT332">
        <f>IF(Setup!$B$20="",0,IF(S332="",0,IF(ISNUMBER(S332),S332,1)))</f>
        <v/>
      </c>
    </row>
    <row r="333">
      <c r="A333" s="1" t="n"/>
      <c r="B333" s="24" t="n"/>
      <c r="C333" s="25" t="n"/>
      <c r="D333" s="25" t="n"/>
      <c r="E333" s="26" t="n"/>
      <c r="F333" s="27" t="n"/>
      <c r="G333" s="17" t="n"/>
      <c r="H333" s="28" t="n"/>
      <c r="I333" s="28" t="n"/>
      <c r="J333" s="28" t="n"/>
      <c r="K333" s="28" t="n"/>
      <c r="L333" s="28" t="n"/>
      <c r="M333" s="28" t="n"/>
      <c r="N333" s="28" t="n"/>
      <c r="O333" s="28" t="n"/>
      <c r="P333" s="28" t="n"/>
      <c r="Q333" s="28" t="n"/>
      <c r="R333" s="28" t="n"/>
      <c r="S333" s="28" t="n"/>
      <c r="T333" s="29">
        <f>IF(N(E333)=0,"",E333*IF(F333="",1,IFERROR(INDEX(Setup!$E$9:$E$18,MATCH(F333,Setup!$D$9:$D$18,0)),0)))</f>
        <v/>
      </c>
      <c r="U333" s="30">
        <f>IF(T333="","",IF(V333=0,"Everyone",IF(COUNTIF(AI333:AT333,"&gt;0")=COUNTIF(Setup!$B$9:$B$20,"?*"),"Everyone",COUNTIF(AI333:AT333,"&gt;0")&amp;IF(COUNTIF(AI333:AT333,"&gt;0")=1," person"," people"))))</f>
        <v/>
      </c>
      <c r="V333" s="1">
        <f>SUM(AI333:AT333)</f>
        <v/>
      </c>
      <c r="W333">
        <f>IF(OR(T333="",Setup!$B$9=""),0,IF(V333=0,T333/COUNTIF(Setup!$B$9:$B$20,"?*"),T333*AI333/V333))</f>
        <v/>
      </c>
      <c r="X333">
        <f>IF(OR(T333="",Setup!$B$10=""),0,IF(V333=0,T333/COUNTIF(Setup!$B$9:$B$20,"?*"),T333*AJ333/V333))</f>
        <v/>
      </c>
      <c r="Y333">
        <f>IF(OR(T333="",Setup!$B$11=""),0,IF(V333=0,T333/COUNTIF(Setup!$B$9:$B$20,"?*"),T333*AK333/V333))</f>
        <v/>
      </c>
      <c r="Z333">
        <f>IF(OR(T333="",Setup!$B$12=""),0,IF(V333=0,T333/COUNTIF(Setup!$B$9:$B$20,"?*"),T333*AL333/V333))</f>
        <v/>
      </c>
      <c r="AA333">
        <f>IF(OR(T333="",Setup!$B$13=""),0,IF(V333=0,T333/COUNTIF(Setup!$B$9:$B$20,"?*"),T333*AM333/V333))</f>
        <v/>
      </c>
      <c r="AB333">
        <f>IF(OR(T333="",Setup!$B$14=""),0,IF(V333=0,T333/COUNTIF(Setup!$B$9:$B$20,"?*"),T333*AN333/V333))</f>
        <v/>
      </c>
      <c r="AC333">
        <f>IF(OR(T333="",Setup!$B$15=""),0,IF(V333=0,T333/COUNTIF(Setup!$B$9:$B$20,"?*"),T333*AO333/V333))</f>
        <v/>
      </c>
      <c r="AD333">
        <f>IF(OR(T333="",Setup!$B$16=""),0,IF(V333=0,T333/COUNTIF(Setup!$B$9:$B$20,"?*"),T333*AP333/V333))</f>
        <v/>
      </c>
      <c r="AE333">
        <f>IF(OR(T333="",Setup!$B$17=""),0,IF(V333=0,T333/COUNTIF(Setup!$B$9:$B$20,"?*"),T333*AQ333/V333))</f>
        <v/>
      </c>
      <c r="AF333">
        <f>IF(OR(T333="",Setup!$B$18=""),0,IF(V333=0,T333/COUNTIF(Setup!$B$9:$B$20,"?*"),T333*AR333/V333))</f>
        <v/>
      </c>
      <c r="AG333">
        <f>IF(OR(T333="",Setup!$B$19=""),0,IF(V333=0,T333/COUNTIF(Setup!$B$9:$B$20,"?*"),T333*AS333/V333))</f>
        <v/>
      </c>
      <c r="AH333">
        <f>IF(OR(T333="",Setup!$B$20=""),0,IF(V333=0,T333/COUNTIF(Setup!$B$9:$B$20,"?*"),T333*AT333/V333))</f>
        <v/>
      </c>
      <c r="AI333">
        <f>IF(Setup!$B$9="",0,IF(H333="",0,IF(ISNUMBER(H333),H333,1)))</f>
        <v/>
      </c>
      <c r="AJ333">
        <f>IF(Setup!$B$10="",0,IF(I333="",0,IF(ISNUMBER(I333),I333,1)))</f>
        <v/>
      </c>
      <c r="AK333">
        <f>IF(Setup!$B$11="",0,IF(J333="",0,IF(ISNUMBER(J333),J333,1)))</f>
        <v/>
      </c>
      <c r="AL333">
        <f>IF(Setup!$B$12="",0,IF(K333="",0,IF(ISNUMBER(K333),K333,1)))</f>
        <v/>
      </c>
      <c r="AM333">
        <f>IF(Setup!$B$13="",0,IF(L333="",0,IF(ISNUMBER(L333),L333,1)))</f>
        <v/>
      </c>
      <c r="AN333">
        <f>IF(Setup!$B$14="",0,IF(M333="",0,IF(ISNUMBER(M333),M333,1)))</f>
        <v/>
      </c>
      <c r="AO333">
        <f>IF(Setup!$B$15="",0,IF(N333="",0,IF(ISNUMBER(N333),N333,1)))</f>
        <v/>
      </c>
      <c r="AP333">
        <f>IF(Setup!$B$16="",0,IF(O333="",0,IF(ISNUMBER(O333),O333,1)))</f>
        <v/>
      </c>
      <c r="AQ333">
        <f>IF(Setup!$B$17="",0,IF(P333="",0,IF(ISNUMBER(P333),P333,1)))</f>
        <v/>
      </c>
      <c r="AR333">
        <f>IF(Setup!$B$18="",0,IF(Q333="",0,IF(ISNUMBER(Q333),Q333,1)))</f>
        <v/>
      </c>
      <c r="AS333">
        <f>IF(Setup!$B$19="",0,IF(R333="",0,IF(ISNUMBER(R333),R333,1)))</f>
        <v/>
      </c>
      <c r="AT333">
        <f>IF(Setup!$B$20="",0,IF(S333="",0,IF(ISNUMBER(S333),S333,1)))</f>
        <v/>
      </c>
    </row>
    <row r="334">
      <c r="A334" s="1" t="n"/>
      <c r="B334" s="24" t="n"/>
      <c r="C334" s="25" t="n"/>
      <c r="D334" s="25" t="n"/>
      <c r="E334" s="26" t="n"/>
      <c r="F334" s="27" t="n"/>
      <c r="G334" s="17" t="n"/>
      <c r="H334" s="28" t="n"/>
      <c r="I334" s="28" t="n"/>
      <c r="J334" s="28" t="n"/>
      <c r="K334" s="28" t="n"/>
      <c r="L334" s="28" t="n"/>
      <c r="M334" s="28" t="n"/>
      <c r="N334" s="28" t="n"/>
      <c r="O334" s="28" t="n"/>
      <c r="P334" s="28" t="n"/>
      <c r="Q334" s="28" t="n"/>
      <c r="R334" s="28" t="n"/>
      <c r="S334" s="28" t="n"/>
      <c r="T334" s="29">
        <f>IF(N(E334)=0,"",E334*IF(F334="",1,IFERROR(INDEX(Setup!$E$9:$E$18,MATCH(F334,Setup!$D$9:$D$18,0)),0)))</f>
        <v/>
      </c>
      <c r="U334" s="30">
        <f>IF(T334="","",IF(V334=0,"Everyone",IF(COUNTIF(AI334:AT334,"&gt;0")=COUNTIF(Setup!$B$9:$B$20,"?*"),"Everyone",COUNTIF(AI334:AT334,"&gt;0")&amp;IF(COUNTIF(AI334:AT334,"&gt;0")=1," person"," people"))))</f>
        <v/>
      </c>
      <c r="V334" s="1">
        <f>SUM(AI334:AT334)</f>
        <v/>
      </c>
      <c r="W334">
        <f>IF(OR(T334="",Setup!$B$9=""),0,IF(V334=0,T334/COUNTIF(Setup!$B$9:$B$20,"?*"),T334*AI334/V334))</f>
        <v/>
      </c>
      <c r="X334">
        <f>IF(OR(T334="",Setup!$B$10=""),0,IF(V334=0,T334/COUNTIF(Setup!$B$9:$B$20,"?*"),T334*AJ334/V334))</f>
        <v/>
      </c>
      <c r="Y334">
        <f>IF(OR(T334="",Setup!$B$11=""),0,IF(V334=0,T334/COUNTIF(Setup!$B$9:$B$20,"?*"),T334*AK334/V334))</f>
        <v/>
      </c>
      <c r="Z334">
        <f>IF(OR(T334="",Setup!$B$12=""),0,IF(V334=0,T334/COUNTIF(Setup!$B$9:$B$20,"?*"),T334*AL334/V334))</f>
        <v/>
      </c>
      <c r="AA334">
        <f>IF(OR(T334="",Setup!$B$13=""),0,IF(V334=0,T334/COUNTIF(Setup!$B$9:$B$20,"?*"),T334*AM334/V334))</f>
        <v/>
      </c>
      <c r="AB334">
        <f>IF(OR(T334="",Setup!$B$14=""),0,IF(V334=0,T334/COUNTIF(Setup!$B$9:$B$20,"?*"),T334*AN334/V334))</f>
        <v/>
      </c>
      <c r="AC334">
        <f>IF(OR(T334="",Setup!$B$15=""),0,IF(V334=0,T334/COUNTIF(Setup!$B$9:$B$20,"?*"),T334*AO334/V334))</f>
        <v/>
      </c>
      <c r="AD334">
        <f>IF(OR(T334="",Setup!$B$16=""),0,IF(V334=0,T334/COUNTIF(Setup!$B$9:$B$20,"?*"),T334*AP334/V334))</f>
        <v/>
      </c>
      <c r="AE334">
        <f>IF(OR(T334="",Setup!$B$17=""),0,IF(V334=0,T334/COUNTIF(Setup!$B$9:$B$20,"?*"),T334*AQ334/V334))</f>
        <v/>
      </c>
      <c r="AF334">
        <f>IF(OR(T334="",Setup!$B$18=""),0,IF(V334=0,T334/COUNTIF(Setup!$B$9:$B$20,"?*"),T334*AR334/V334))</f>
        <v/>
      </c>
      <c r="AG334">
        <f>IF(OR(T334="",Setup!$B$19=""),0,IF(V334=0,T334/COUNTIF(Setup!$B$9:$B$20,"?*"),T334*AS334/V334))</f>
        <v/>
      </c>
      <c r="AH334">
        <f>IF(OR(T334="",Setup!$B$20=""),0,IF(V334=0,T334/COUNTIF(Setup!$B$9:$B$20,"?*"),T334*AT334/V334))</f>
        <v/>
      </c>
      <c r="AI334">
        <f>IF(Setup!$B$9="",0,IF(H334="",0,IF(ISNUMBER(H334),H334,1)))</f>
        <v/>
      </c>
      <c r="AJ334">
        <f>IF(Setup!$B$10="",0,IF(I334="",0,IF(ISNUMBER(I334),I334,1)))</f>
        <v/>
      </c>
      <c r="AK334">
        <f>IF(Setup!$B$11="",0,IF(J334="",0,IF(ISNUMBER(J334),J334,1)))</f>
        <v/>
      </c>
      <c r="AL334">
        <f>IF(Setup!$B$12="",0,IF(K334="",0,IF(ISNUMBER(K334),K334,1)))</f>
        <v/>
      </c>
      <c r="AM334">
        <f>IF(Setup!$B$13="",0,IF(L334="",0,IF(ISNUMBER(L334),L334,1)))</f>
        <v/>
      </c>
      <c r="AN334">
        <f>IF(Setup!$B$14="",0,IF(M334="",0,IF(ISNUMBER(M334),M334,1)))</f>
        <v/>
      </c>
      <c r="AO334">
        <f>IF(Setup!$B$15="",0,IF(N334="",0,IF(ISNUMBER(N334),N334,1)))</f>
        <v/>
      </c>
      <c r="AP334">
        <f>IF(Setup!$B$16="",0,IF(O334="",0,IF(ISNUMBER(O334),O334,1)))</f>
        <v/>
      </c>
      <c r="AQ334">
        <f>IF(Setup!$B$17="",0,IF(P334="",0,IF(ISNUMBER(P334),P334,1)))</f>
        <v/>
      </c>
      <c r="AR334">
        <f>IF(Setup!$B$18="",0,IF(Q334="",0,IF(ISNUMBER(Q334),Q334,1)))</f>
        <v/>
      </c>
      <c r="AS334">
        <f>IF(Setup!$B$19="",0,IF(R334="",0,IF(ISNUMBER(R334),R334,1)))</f>
        <v/>
      </c>
      <c r="AT334">
        <f>IF(Setup!$B$20="",0,IF(S334="",0,IF(ISNUMBER(S334),S334,1)))</f>
        <v/>
      </c>
    </row>
    <row r="335">
      <c r="A335" s="1" t="n"/>
      <c r="B335" s="24" t="n"/>
      <c r="C335" s="25" t="n"/>
      <c r="D335" s="25" t="n"/>
      <c r="E335" s="26" t="n"/>
      <c r="F335" s="27" t="n"/>
      <c r="G335" s="17" t="n"/>
      <c r="H335" s="28" t="n"/>
      <c r="I335" s="28" t="n"/>
      <c r="J335" s="28" t="n"/>
      <c r="K335" s="28" t="n"/>
      <c r="L335" s="28" t="n"/>
      <c r="M335" s="28" t="n"/>
      <c r="N335" s="28" t="n"/>
      <c r="O335" s="28" t="n"/>
      <c r="P335" s="28" t="n"/>
      <c r="Q335" s="28" t="n"/>
      <c r="R335" s="28" t="n"/>
      <c r="S335" s="28" t="n"/>
      <c r="T335" s="29">
        <f>IF(N(E335)=0,"",E335*IF(F335="",1,IFERROR(INDEX(Setup!$E$9:$E$18,MATCH(F335,Setup!$D$9:$D$18,0)),0)))</f>
        <v/>
      </c>
      <c r="U335" s="30">
        <f>IF(T335="","",IF(V335=0,"Everyone",IF(COUNTIF(AI335:AT335,"&gt;0")=COUNTIF(Setup!$B$9:$B$20,"?*"),"Everyone",COUNTIF(AI335:AT335,"&gt;0")&amp;IF(COUNTIF(AI335:AT335,"&gt;0")=1," person"," people"))))</f>
        <v/>
      </c>
      <c r="V335" s="1">
        <f>SUM(AI335:AT335)</f>
        <v/>
      </c>
      <c r="W335">
        <f>IF(OR(T335="",Setup!$B$9=""),0,IF(V335=0,T335/COUNTIF(Setup!$B$9:$B$20,"?*"),T335*AI335/V335))</f>
        <v/>
      </c>
      <c r="X335">
        <f>IF(OR(T335="",Setup!$B$10=""),0,IF(V335=0,T335/COUNTIF(Setup!$B$9:$B$20,"?*"),T335*AJ335/V335))</f>
        <v/>
      </c>
      <c r="Y335">
        <f>IF(OR(T335="",Setup!$B$11=""),0,IF(V335=0,T335/COUNTIF(Setup!$B$9:$B$20,"?*"),T335*AK335/V335))</f>
        <v/>
      </c>
      <c r="Z335">
        <f>IF(OR(T335="",Setup!$B$12=""),0,IF(V335=0,T335/COUNTIF(Setup!$B$9:$B$20,"?*"),T335*AL335/V335))</f>
        <v/>
      </c>
      <c r="AA335">
        <f>IF(OR(T335="",Setup!$B$13=""),0,IF(V335=0,T335/COUNTIF(Setup!$B$9:$B$20,"?*"),T335*AM335/V335))</f>
        <v/>
      </c>
      <c r="AB335">
        <f>IF(OR(T335="",Setup!$B$14=""),0,IF(V335=0,T335/COUNTIF(Setup!$B$9:$B$20,"?*"),T335*AN335/V335))</f>
        <v/>
      </c>
      <c r="AC335">
        <f>IF(OR(T335="",Setup!$B$15=""),0,IF(V335=0,T335/COUNTIF(Setup!$B$9:$B$20,"?*"),T335*AO335/V335))</f>
        <v/>
      </c>
      <c r="AD335">
        <f>IF(OR(T335="",Setup!$B$16=""),0,IF(V335=0,T335/COUNTIF(Setup!$B$9:$B$20,"?*"),T335*AP335/V335))</f>
        <v/>
      </c>
      <c r="AE335">
        <f>IF(OR(T335="",Setup!$B$17=""),0,IF(V335=0,T335/COUNTIF(Setup!$B$9:$B$20,"?*"),T335*AQ335/V335))</f>
        <v/>
      </c>
      <c r="AF335">
        <f>IF(OR(T335="",Setup!$B$18=""),0,IF(V335=0,T335/COUNTIF(Setup!$B$9:$B$20,"?*"),T335*AR335/V335))</f>
        <v/>
      </c>
      <c r="AG335">
        <f>IF(OR(T335="",Setup!$B$19=""),0,IF(V335=0,T335/COUNTIF(Setup!$B$9:$B$20,"?*"),T335*AS335/V335))</f>
        <v/>
      </c>
      <c r="AH335">
        <f>IF(OR(T335="",Setup!$B$20=""),0,IF(V335=0,T335/COUNTIF(Setup!$B$9:$B$20,"?*"),T335*AT335/V335))</f>
        <v/>
      </c>
      <c r="AI335">
        <f>IF(Setup!$B$9="",0,IF(H335="",0,IF(ISNUMBER(H335),H335,1)))</f>
        <v/>
      </c>
      <c r="AJ335">
        <f>IF(Setup!$B$10="",0,IF(I335="",0,IF(ISNUMBER(I335),I335,1)))</f>
        <v/>
      </c>
      <c r="AK335">
        <f>IF(Setup!$B$11="",0,IF(J335="",0,IF(ISNUMBER(J335),J335,1)))</f>
        <v/>
      </c>
      <c r="AL335">
        <f>IF(Setup!$B$12="",0,IF(K335="",0,IF(ISNUMBER(K335),K335,1)))</f>
        <v/>
      </c>
      <c r="AM335">
        <f>IF(Setup!$B$13="",0,IF(L335="",0,IF(ISNUMBER(L335),L335,1)))</f>
        <v/>
      </c>
      <c r="AN335">
        <f>IF(Setup!$B$14="",0,IF(M335="",0,IF(ISNUMBER(M335),M335,1)))</f>
        <v/>
      </c>
      <c r="AO335">
        <f>IF(Setup!$B$15="",0,IF(N335="",0,IF(ISNUMBER(N335),N335,1)))</f>
        <v/>
      </c>
      <c r="AP335">
        <f>IF(Setup!$B$16="",0,IF(O335="",0,IF(ISNUMBER(O335),O335,1)))</f>
        <v/>
      </c>
      <c r="AQ335">
        <f>IF(Setup!$B$17="",0,IF(P335="",0,IF(ISNUMBER(P335),P335,1)))</f>
        <v/>
      </c>
      <c r="AR335">
        <f>IF(Setup!$B$18="",0,IF(Q335="",0,IF(ISNUMBER(Q335),Q335,1)))</f>
        <v/>
      </c>
      <c r="AS335">
        <f>IF(Setup!$B$19="",0,IF(R335="",0,IF(ISNUMBER(R335),R335,1)))</f>
        <v/>
      </c>
      <c r="AT335">
        <f>IF(Setup!$B$20="",0,IF(S335="",0,IF(ISNUMBER(S335),S335,1)))</f>
        <v/>
      </c>
    </row>
    <row r="336">
      <c r="A336" s="1" t="n"/>
      <c r="B336" s="24" t="n"/>
      <c r="C336" s="25" t="n"/>
      <c r="D336" s="25" t="n"/>
      <c r="E336" s="26" t="n"/>
      <c r="F336" s="27" t="n"/>
      <c r="G336" s="17" t="n"/>
      <c r="H336" s="28" t="n"/>
      <c r="I336" s="28" t="n"/>
      <c r="J336" s="28" t="n"/>
      <c r="K336" s="28" t="n"/>
      <c r="L336" s="28" t="n"/>
      <c r="M336" s="28" t="n"/>
      <c r="N336" s="28" t="n"/>
      <c r="O336" s="28" t="n"/>
      <c r="P336" s="28" t="n"/>
      <c r="Q336" s="28" t="n"/>
      <c r="R336" s="28" t="n"/>
      <c r="S336" s="28" t="n"/>
      <c r="T336" s="29">
        <f>IF(N(E336)=0,"",E336*IF(F336="",1,IFERROR(INDEX(Setup!$E$9:$E$18,MATCH(F336,Setup!$D$9:$D$18,0)),0)))</f>
        <v/>
      </c>
      <c r="U336" s="30">
        <f>IF(T336="","",IF(V336=0,"Everyone",IF(COUNTIF(AI336:AT336,"&gt;0")=COUNTIF(Setup!$B$9:$B$20,"?*"),"Everyone",COUNTIF(AI336:AT336,"&gt;0")&amp;IF(COUNTIF(AI336:AT336,"&gt;0")=1," person"," people"))))</f>
        <v/>
      </c>
      <c r="V336" s="1">
        <f>SUM(AI336:AT336)</f>
        <v/>
      </c>
      <c r="W336">
        <f>IF(OR(T336="",Setup!$B$9=""),0,IF(V336=0,T336/COUNTIF(Setup!$B$9:$B$20,"?*"),T336*AI336/V336))</f>
        <v/>
      </c>
      <c r="X336">
        <f>IF(OR(T336="",Setup!$B$10=""),0,IF(V336=0,T336/COUNTIF(Setup!$B$9:$B$20,"?*"),T336*AJ336/V336))</f>
        <v/>
      </c>
      <c r="Y336">
        <f>IF(OR(T336="",Setup!$B$11=""),0,IF(V336=0,T336/COUNTIF(Setup!$B$9:$B$20,"?*"),T336*AK336/V336))</f>
        <v/>
      </c>
      <c r="Z336">
        <f>IF(OR(T336="",Setup!$B$12=""),0,IF(V336=0,T336/COUNTIF(Setup!$B$9:$B$20,"?*"),T336*AL336/V336))</f>
        <v/>
      </c>
      <c r="AA336">
        <f>IF(OR(T336="",Setup!$B$13=""),0,IF(V336=0,T336/COUNTIF(Setup!$B$9:$B$20,"?*"),T336*AM336/V336))</f>
        <v/>
      </c>
      <c r="AB336">
        <f>IF(OR(T336="",Setup!$B$14=""),0,IF(V336=0,T336/COUNTIF(Setup!$B$9:$B$20,"?*"),T336*AN336/V336))</f>
        <v/>
      </c>
      <c r="AC336">
        <f>IF(OR(T336="",Setup!$B$15=""),0,IF(V336=0,T336/COUNTIF(Setup!$B$9:$B$20,"?*"),T336*AO336/V336))</f>
        <v/>
      </c>
      <c r="AD336">
        <f>IF(OR(T336="",Setup!$B$16=""),0,IF(V336=0,T336/COUNTIF(Setup!$B$9:$B$20,"?*"),T336*AP336/V336))</f>
        <v/>
      </c>
      <c r="AE336">
        <f>IF(OR(T336="",Setup!$B$17=""),0,IF(V336=0,T336/COUNTIF(Setup!$B$9:$B$20,"?*"),T336*AQ336/V336))</f>
        <v/>
      </c>
      <c r="AF336">
        <f>IF(OR(T336="",Setup!$B$18=""),0,IF(V336=0,T336/COUNTIF(Setup!$B$9:$B$20,"?*"),T336*AR336/V336))</f>
        <v/>
      </c>
      <c r="AG336">
        <f>IF(OR(T336="",Setup!$B$19=""),0,IF(V336=0,T336/COUNTIF(Setup!$B$9:$B$20,"?*"),T336*AS336/V336))</f>
        <v/>
      </c>
      <c r="AH336">
        <f>IF(OR(T336="",Setup!$B$20=""),0,IF(V336=0,T336/COUNTIF(Setup!$B$9:$B$20,"?*"),T336*AT336/V336))</f>
        <v/>
      </c>
      <c r="AI336">
        <f>IF(Setup!$B$9="",0,IF(H336="",0,IF(ISNUMBER(H336),H336,1)))</f>
        <v/>
      </c>
      <c r="AJ336">
        <f>IF(Setup!$B$10="",0,IF(I336="",0,IF(ISNUMBER(I336),I336,1)))</f>
        <v/>
      </c>
      <c r="AK336">
        <f>IF(Setup!$B$11="",0,IF(J336="",0,IF(ISNUMBER(J336),J336,1)))</f>
        <v/>
      </c>
      <c r="AL336">
        <f>IF(Setup!$B$12="",0,IF(K336="",0,IF(ISNUMBER(K336),K336,1)))</f>
        <v/>
      </c>
      <c r="AM336">
        <f>IF(Setup!$B$13="",0,IF(L336="",0,IF(ISNUMBER(L336),L336,1)))</f>
        <v/>
      </c>
      <c r="AN336">
        <f>IF(Setup!$B$14="",0,IF(M336="",0,IF(ISNUMBER(M336),M336,1)))</f>
        <v/>
      </c>
      <c r="AO336">
        <f>IF(Setup!$B$15="",0,IF(N336="",0,IF(ISNUMBER(N336),N336,1)))</f>
        <v/>
      </c>
      <c r="AP336">
        <f>IF(Setup!$B$16="",0,IF(O336="",0,IF(ISNUMBER(O336),O336,1)))</f>
        <v/>
      </c>
      <c r="AQ336">
        <f>IF(Setup!$B$17="",0,IF(P336="",0,IF(ISNUMBER(P336),P336,1)))</f>
        <v/>
      </c>
      <c r="AR336">
        <f>IF(Setup!$B$18="",0,IF(Q336="",0,IF(ISNUMBER(Q336),Q336,1)))</f>
        <v/>
      </c>
      <c r="AS336">
        <f>IF(Setup!$B$19="",0,IF(R336="",0,IF(ISNUMBER(R336),R336,1)))</f>
        <v/>
      </c>
      <c r="AT336">
        <f>IF(Setup!$B$20="",0,IF(S336="",0,IF(ISNUMBER(S336),S336,1)))</f>
        <v/>
      </c>
    </row>
    <row r="337">
      <c r="A337" s="1" t="n"/>
      <c r="B337" s="24" t="n"/>
      <c r="C337" s="25" t="n"/>
      <c r="D337" s="25" t="n"/>
      <c r="E337" s="26" t="n"/>
      <c r="F337" s="27" t="n"/>
      <c r="G337" s="17" t="n"/>
      <c r="H337" s="28" t="n"/>
      <c r="I337" s="28" t="n"/>
      <c r="J337" s="28" t="n"/>
      <c r="K337" s="28" t="n"/>
      <c r="L337" s="28" t="n"/>
      <c r="M337" s="28" t="n"/>
      <c r="N337" s="28" t="n"/>
      <c r="O337" s="28" t="n"/>
      <c r="P337" s="28" t="n"/>
      <c r="Q337" s="28" t="n"/>
      <c r="R337" s="28" t="n"/>
      <c r="S337" s="28" t="n"/>
      <c r="T337" s="29">
        <f>IF(N(E337)=0,"",E337*IF(F337="",1,IFERROR(INDEX(Setup!$E$9:$E$18,MATCH(F337,Setup!$D$9:$D$18,0)),0)))</f>
        <v/>
      </c>
      <c r="U337" s="30">
        <f>IF(T337="","",IF(V337=0,"Everyone",IF(COUNTIF(AI337:AT337,"&gt;0")=COUNTIF(Setup!$B$9:$B$20,"?*"),"Everyone",COUNTIF(AI337:AT337,"&gt;0")&amp;IF(COUNTIF(AI337:AT337,"&gt;0")=1," person"," people"))))</f>
        <v/>
      </c>
      <c r="V337" s="1">
        <f>SUM(AI337:AT337)</f>
        <v/>
      </c>
      <c r="W337">
        <f>IF(OR(T337="",Setup!$B$9=""),0,IF(V337=0,T337/COUNTIF(Setup!$B$9:$B$20,"?*"),T337*AI337/V337))</f>
        <v/>
      </c>
      <c r="X337">
        <f>IF(OR(T337="",Setup!$B$10=""),0,IF(V337=0,T337/COUNTIF(Setup!$B$9:$B$20,"?*"),T337*AJ337/V337))</f>
        <v/>
      </c>
      <c r="Y337">
        <f>IF(OR(T337="",Setup!$B$11=""),0,IF(V337=0,T337/COUNTIF(Setup!$B$9:$B$20,"?*"),T337*AK337/V337))</f>
        <v/>
      </c>
      <c r="Z337">
        <f>IF(OR(T337="",Setup!$B$12=""),0,IF(V337=0,T337/COUNTIF(Setup!$B$9:$B$20,"?*"),T337*AL337/V337))</f>
        <v/>
      </c>
      <c r="AA337">
        <f>IF(OR(T337="",Setup!$B$13=""),0,IF(V337=0,T337/COUNTIF(Setup!$B$9:$B$20,"?*"),T337*AM337/V337))</f>
        <v/>
      </c>
      <c r="AB337">
        <f>IF(OR(T337="",Setup!$B$14=""),0,IF(V337=0,T337/COUNTIF(Setup!$B$9:$B$20,"?*"),T337*AN337/V337))</f>
        <v/>
      </c>
      <c r="AC337">
        <f>IF(OR(T337="",Setup!$B$15=""),0,IF(V337=0,T337/COUNTIF(Setup!$B$9:$B$20,"?*"),T337*AO337/V337))</f>
        <v/>
      </c>
      <c r="AD337">
        <f>IF(OR(T337="",Setup!$B$16=""),0,IF(V337=0,T337/COUNTIF(Setup!$B$9:$B$20,"?*"),T337*AP337/V337))</f>
        <v/>
      </c>
      <c r="AE337">
        <f>IF(OR(T337="",Setup!$B$17=""),0,IF(V337=0,T337/COUNTIF(Setup!$B$9:$B$20,"?*"),T337*AQ337/V337))</f>
        <v/>
      </c>
      <c r="AF337">
        <f>IF(OR(T337="",Setup!$B$18=""),0,IF(V337=0,T337/COUNTIF(Setup!$B$9:$B$20,"?*"),T337*AR337/V337))</f>
        <v/>
      </c>
      <c r="AG337">
        <f>IF(OR(T337="",Setup!$B$19=""),0,IF(V337=0,T337/COUNTIF(Setup!$B$9:$B$20,"?*"),T337*AS337/V337))</f>
        <v/>
      </c>
      <c r="AH337">
        <f>IF(OR(T337="",Setup!$B$20=""),0,IF(V337=0,T337/COUNTIF(Setup!$B$9:$B$20,"?*"),T337*AT337/V337))</f>
        <v/>
      </c>
      <c r="AI337">
        <f>IF(Setup!$B$9="",0,IF(H337="",0,IF(ISNUMBER(H337),H337,1)))</f>
        <v/>
      </c>
      <c r="AJ337">
        <f>IF(Setup!$B$10="",0,IF(I337="",0,IF(ISNUMBER(I337),I337,1)))</f>
        <v/>
      </c>
      <c r="AK337">
        <f>IF(Setup!$B$11="",0,IF(J337="",0,IF(ISNUMBER(J337),J337,1)))</f>
        <v/>
      </c>
      <c r="AL337">
        <f>IF(Setup!$B$12="",0,IF(K337="",0,IF(ISNUMBER(K337),K337,1)))</f>
        <v/>
      </c>
      <c r="AM337">
        <f>IF(Setup!$B$13="",0,IF(L337="",0,IF(ISNUMBER(L337),L337,1)))</f>
        <v/>
      </c>
      <c r="AN337">
        <f>IF(Setup!$B$14="",0,IF(M337="",0,IF(ISNUMBER(M337),M337,1)))</f>
        <v/>
      </c>
      <c r="AO337">
        <f>IF(Setup!$B$15="",0,IF(N337="",0,IF(ISNUMBER(N337),N337,1)))</f>
        <v/>
      </c>
      <c r="AP337">
        <f>IF(Setup!$B$16="",0,IF(O337="",0,IF(ISNUMBER(O337),O337,1)))</f>
        <v/>
      </c>
      <c r="AQ337">
        <f>IF(Setup!$B$17="",0,IF(P337="",0,IF(ISNUMBER(P337),P337,1)))</f>
        <v/>
      </c>
      <c r="AR337">
        <f>IF(Setup!$B$18="",0,IF(Q337="",0,IF(ISNUMBER(Q337),Q337,1)))</f>
        <v/>
      </c>
      <c r="AS337">
        <f>IF(Setup!$B$19="",0,IF(R337="",0,IF(ISNUMBER(R337),R337,1)))</f>
        <v/>
      </c>
      <c r="AT337">
        <f>IF(Setup!$B$20="",0,IF(S337="",0,IF(ISNUMBER(S337),S337,1)))</f>
        <v/>
      </c>
    </row>
    <row r="338">
      <c r="A338" s="1" t="n"/>
      <c r="B338" s="24" t="n"/>
      <c r="C338" s="25" t="n"/>
      <c r="D338" s="25" t="n"/>
      <c r="E338" s="26" t="n"/>
      <c r="F338" s="27" t="n"/>
      <c r="G338" s="17" t="n"/>
      <c r="H338" s="28" t="n"/>
      <c r="I338" s="28" t="n"/>
      <c r="J338" s="28" t="n"/>
      <c r="K338" s="28" t="n"/>
      <c r="L338" s="28" t="n"/>
      <c r="M338" s="28" t="n"/>
      <c r="N338" s="28" t="n"/>
      <c r="O338" s="28" t="n"/>
      <c r="P338" s="28" t="n"/>
      <c r="Q338" s="28" t="n"/>
      <c r="R338" s="28" t="n"/>
      <c r="S338" s="28" t="n"/>
      <c r="T338" s="29">
        <f>IF(N(E338)=0,"",E338*IF(F338="",1,IFERROR(INDEX(Setup!$E$9:$E$18,MATCH(F338,Setup!$D$9:$D$18,0)),0)))</f>
        <v/>
      </c>
      <c r="U338" s="30">
        <f>IF(T338="","",IF(V338=0,"Everyone",IF(COUNTIF(AI338:AT338,"&gt;0")=COUNTIF(Setup!$B$9:$B$20,"?*"),"Everyone",COUNTIF(AI338:AT338,"&gt;0")&amp;IF(COUNTIF(AI338:AT338,"&gt;0")=1," person"," people"))))</f>
        <v/>
      </c>
      <c r="V338" s="1">
        <f>SUM(AI338:AT338)</f>
        <v/>
      </c>
      <c r="W338">
        <f>IF(OR(T338="",Setup!$B$9=""),0,IF(V338=0,T338/COUNTIF(Setup!$B$9:$B$20,"?*"),T338*AI338/V338))</f>
        <v/>
      </c>
      <c r="X338">
        <f>IF(OR(T338="",Setup!$B$10=""),0,IF(V338=0,T338/COUNTIF(Setup!$B$9:$B$20,"?*"),T338*AJ338/V338))</f>
        <v/>
      </c>
      <c r="Y338">
        <f>IF(OR(T338="",Setup!$B$11=""),0,IF(V338=0,T338/COUNTIF(Setup!$B$9:$B$20,"?*"),T338*AK338/V338))</f>
        <v/>
      </c>
      <c r="Z338">
        <f>IF(OR(T338="",Setup!$B$12=""),0,IF(V338=0,T338/COUNTIF(Setup!$B$9:$B$20,"?*"),T338*AL338/V338))</f>
        <v/>
      </c>
      <c r="AA338">
        <f>IF(OR(T338="",Setup!$B$13=""),0,IF(V338=0,T338/COUNTIF(Setup!$B$9:$B$20,"?*"),T338*AM338/V338))</f>
        <v/>
      </c>
      <c r="AB338">
        <f>IF(OR(T338="",Setup!$B$14=""),0,IF(V338=0,T338/COUNTIF(Setup!$B$9:$B$20,"?*"),T338*AN338/V338))</f>
        <v/>
      </c>
      <c r="AC338">
        <f>IF(OR(T338="",Setup!$B$15=""),0,IF(V338=0,T338/COUNTIF(Setup!$B$9:$B$20,"?*"),T338*AO338/V338))</f>
        <v/>
      </c>
      <c r="AD338">
        <f>IF(OR(T338="",Setup!$B$16=""),0,IF(V338=0,T338/COUNTIF(Setup!$B$9:$B$20,"?*"),T338*AP338/V338))</f>
        <v/>
      </c>
      <c r="AE338">
        <f>IF(OR(T338="",Setup!$B$17=""),0,IF(V338=0,T338/COUNTIF(Setup!$B$9:$B$20,"?*"),T338*AQ338/V338))</f>
        <v/>
      </c>
      <c r="AF338">
        <f>IF(OR(T338="",Setup!$B$18=""),0,IF(V338=0,T338/COUNTIF(Setup!$B$9:$B$20,"?*"),T338*AR338/V338))</f>
        <v/>
      </c>
      <c r="AG338">
        <f>IF(OR(T338="",Setup!$B$19=""),0,IF(V338=0,T338/COUNTIF(Setup!$B$9:$B$20,"?*"),T338*AS338/V338))</f>
        <v/>
      </c>
      <c r="AH338">
        <f>IF(OR(T338="",Setup!$B$20=""),0,IF(V338=0,T338/COUNTIF(Setup!$B$9:$B$20,"?*"),T338*AT338/V338))</f>
        <v/>
      </c>
      <c r="AI338">
        <f>IF(Setup!$B$9="",0,IF(H338="",0,IF(ISNUMBER(H338),H338,1)))</f>
        <v/>
      </c>
      <c r="AJ338">
        <f>IF(Setup!$B$10="",0,IF(I338="",0,IF(ISNUMBER(I338),I338,1)))</f>
        <v/>
      </c>
      <c r="AK338">
        <f>IF(Setup!$B$11="",0,IF(J338="",0,IF(ISNUMBER(J338),J338,1)))</f>
        <v/>
      </c>
      <c r="AL338">
        <f>IF(Setup!$B$12="",0,IF(K338="",0,IF(ISNUMBER(K338),K338,1)))</f>
        <v/>
      </c>
      <c r="AM338">
        <f>IF(Setup!$B$13="",0,IF(L338="",0,IF(ISNUMBER(L338),L338,1)))</f>
        <v/>
      </c>
      <c r="AN338">
        <f>IF(Setup!$B$14="",0,IF(M338="",0,IF(ISNUMBER(M338),M338,1)))</f>
        <v/>
      </c>
      <c r="AO338">
        <f>IF(Setup!$B$15="",0,IF(N338="",0,IF(ISNUMBER(N338),N338,1)))</f>
        <v/>
      </c>
      <c r="AP338">
        <f>IF(Setup!$B$16="",0,IF(O338="",0,IF(ISNUMBER(O338),O338,1)))</f>
        <v/>
      </c>
      <c r="AQ338">
        <f>IF(Setup!$B$17="",0,IF(P338="",0,IF(ISNUMBER(P338),P338,1)))</f>
        <v/>
      </c>
      <c r="AR338">
        <f>IF(Setup!$B$18="",0,IF(Q338="",0,IF(ISNUMBER(Q338),Q338,1)))</f>
        <v/>
      </c>
      <c r="AS338">
        <f>IF(Setup!$B$19="",0,IF(R338="",0,IF(ISNUMBER(R338),R338,1)))</f>
        <v/>
      </c>
      <c r="AT338">
        <f>IF(Setup!$B$20="",0,IF(S338="",0,IF(ISNUMBER(S338),S338,1)))</f>
        <v/>
      </c>
    </row>
    <row r="339">
      <c r="A339" s="1" t="n"/>
      <c r="B339" s="24" t="n"/>
      <c r="C339" s="25" t="n"/>
      <c r="D339" s="25" t="n"/>
      <c r="E339" s="26" t="n"/>
      <c r="F339" s="27" t="n"/>
      <c r="G339" s="17" t="n"/>
      <c r="H339" s="28" t="n"/>
      <c r="I339" s="28" t="n"/>
      <c r="J339" s="28" t="n"/>
      <c r="K339" s="28" t="n"/>
      <c r="L339" s="28" t="n"/>
      <c r="M339" s="28" t="n"/>
      <c r="N339" s="28" t="n"/>
      <c r="O339" s="28" t="n"/>
      <c r="P339" s="28" t="n"/>
      <c r="Q339" s="28" t="n"/>
      <c r="R339" s="28" t="n"/>
      <c r="S339" s="28" t="n"/>
      <c r="T339" s="29">
        <f>IF(N(E339)=0,"",E339*IF(F339="",1,IFERROR(INDEX(Setup!$E$9:$E$18,MATCH(F339,Setup!$D$9:$D$18,0)),0)))</f>
        <v/>
      </c>
      <c r="U339" s="30">
        <f>IF(T339="","",IF(V339=0,"Everyone",IF(COUNTIF(AI339:AT339,"&gt;0")=COUNTIF(Setup!$B$9:$B$20,"?*"),"Everyone",COUNTIF(AI339:AT339,"&gt;0")&amp;IF(COUNTIF(AI339:AT339,"&gt;0")=1," person"," people"))))</f>
        <v/>
      </c>
      <c r="V339" s="1">
        <f>SUM(AI339:AT339)</f>
        <v/>
      </c>
      <c r="W339">
        <f>IF(OR(T339="",Setup!$B$9=""),0,IF(V339=0,T339/COUNTIF(Setup!$B$9:$B$20,"?*"),T339*AI339/V339))</f>
        <v/>
      </c>
      <c r="X339">
        <f>IF(OR(T339="",Setup!$B$10=""),0,IF(V339=0,T339/COUNTIF(Setup!$B$9:$B$20,"?*"),T339*AJ339/V339))</f>
        <v/>
      </c>
      <c r="Y339">
        <f>IF(OR(T339="",Setup!$B$11=""),0,IF(V339=0,T339/COUNTIF(Setup!$B$9:$B$20,"?*"),T339*AK339/V339))</f>
        <v/>
      </c>
      <c r="Z339">
        <f>IF(OR(T339="",Setup!$B$12=""),0,IF(V339=0,T339/COUNTIF(Setup!$B$9:$B$20,"?*"),T339*AL339/V339))</f>
        <v/>
      </c>
      <c r="AA339">
        <f>IF(OR(T339="",Setup!$B$13=""),0,IF(V339=0,T339/COUNTIF(Setup!$B$9:$B$20,"?*"),T339*AM339/V339))</f>
        <v/>
      </c>
      <c r="AB339">
        <f>IF(OR(T339="",Setup!$B$14=""),0,IF(V339=0,T339/COUNTIF(Setup!$B$9:$B$20,"?*"),T339*AN339/V339))</f>
        <v/>
      </c>
      <c r="AC339">
        <f>IF(OR(T339="",Setup!$B$15=""),0,IF(V339=0,T339/COUNTIF(Setup!$B$9:$B$20,"?*"),T339*AO339/V339))</f>
        <v/>
      </c>
      <c r="AD339">
        <f>IF(OR(T339="",Setup!$B$16=""),0,IF(V339=0,T339/COUNTIF(Setup!$B$9:$B$20,"?*"),T339*AP339/V339))</f>
        <v/>
      </c>
      <c r="AE339">
        <f>IF(OR(T339="",Setup!$B$17=""),0,IF(V339=0,T339/COUNTIF(Setup!$B$9:$B$20,"?*"),T339*AQ339/V339))</f>
        <v/>
      </c>
      <c r="AF339">
        <f>IF(OR(T339="",Setup!$B$18=""),0,IF(V339=0,T339/COUNTIF(Setup!$B$9:$B$20,"?*"),T339*AR339/V339))</f>
        <v/>
      </c>
      <c r="AG339">
        <f>IF(OR(T339="",Setup!$B$19=""),0,IF(V339=0,T339/COUNTIF(Setup!$B$9:$B$20,"?*"),T339*AS339/V339))</f>
        <v/>
      </c>
      <c r="AH339">
        <f>IF(OR(T339="",Setup!$B$20=""),0,IF(V339=0,T339/COUNTIF(Setup!$B$9:$B$20,"?*"),T339*AT339/V339))</f>
        <v/>
      </c>
      <c r="AI339">
        <f>IF(Setup!$B$9="",0,IF(H339="",0,IF(ISNUMBER(H339),H339,1)))</f>
        <v/>
      </c>
      <c r="AJ339">
        <f>IF(Setup!$B$10="",0,IF(I339="",0,IF(ISNUMBER(I339),I339,1)))</f>
        <v/>
      </c>
      <c r="AK339">
        <f>IF(Setup!$B$11="",0,IF(J339="",0,IF(ISNUMBER(J339),J339,1)))</f>
        <v/>
      </c>
      <c r="AL339">
        <f>IF(Setup!$B$12="",0,IF(K339="",0,IF(ISNUMBER(K339),K339,1)))</f>
        <v/>
      </c>
      <c r="AM339">
        <f>IF(Setup!$B$13="",0,IF(L339="",0,IF(ISNUMBER(L339),L339,1)))</f>
        <v/>
      </c>
      <c r="AN339">
        <f>IF(Setup!$B$14="",0,IF(M339="",0,IF(ISNUMBER(M339),M339,1)))</f>
        <v/>
      </c>
      <c r="AO339">
        <f>IF(Setup!$B$15="",0,IF(N339="",0,IF(ISNUMBER(N339),N339,1)))</f>
        <v/>
      </c>
      <c r="AP339">
        <f>IF(Setup!$B$16="",0,IF(O339="",0,IF(ISNUMBER(O339),O339,1)))</f>
        <v/>
      </c>
      <c r="AQ339">
        <f>IF(Setup!$B$17="",0,IF(P339="",0,IF(ISNUMBER(P339),P339,1)))</f>
        <v/>
      </c>
      <c r="AR339">
        <f>IF(Setup!$B$18="",0,IF(Q339="",0,IF(ISNUMBER(Q339),Q339,1)))</f>
        <v/>
      </c>
      <c r="AS339">
        <f>IF(Setup!$B$19="",0,IF(R339="",0,IF(ISNUMBER(R339),R339,1)))</f>
        <v/>
      </c>
      <c r="AT339">
        <f>IF(Setup!$B$20="",0,IF(S339="",0,IF(ISNUMBER(S339),S339,1)))</f>
        <v/>
      </c>
    </row>
    <row r="340">
      <c r="A340" s="1" t="n"/>
      <c r="B340" s="24" t="n"/>
      <c r="C340" s="25" t="n"/>
      <c r="D340" s="25" t="n"/>
      <c r="E340" s="26" t="n"/>
      <c r="F340" s="27" t="n"/>
      <c r="G340" s="17" t="n"/>
      <c r="H340" s="28" t="n"/>
      <c r="I340" s="28" t="n"/>
      <c r="J340" s="28" t="n"/>
      <c r="K340" s="28" t="n"/>
      <c r="L340" s="28" t="n"/>
      <c r="M340" s="28" t="n"/>
      <c r="N340" s="28" t="n"/>
      <c r="O340" s="28" t="n"/>
      <c r="P340" s="28" t="n"/>
      <c r="Q340" s="28" t="n"/>
      <c r="R340" s="28" t="n"/>
      <c r="S340" s="28" t="n"/>
      <c r="T340" s="29">
        <f>IF(N(E340)=0,"",E340*IF(F340="",1,IFERROR(INDEX(Setup!$E$9:$E$18,MATCH(F340,Setup!$D$9:$D$18,0)),0)))</f>
        <v/>
      </c>
      <c r="U340" s="30">
        <f>IF(T340="","",IF(V340=0,"Everyone",IF(COUNTIF(AI340:AT340,"&gt;0")=COUNTIF(Setup!$B$9:$B$20,"?*"),"Everyone",COUNTIF(AI340:AT340,"&gt;0")&amp;IF(COUNTIF(AI340:AT340,"&gt;0")=1," person"," people"))))</f>
        <v/>
      </c>
      <c r="V340" s="1">
        <f>SUM(AI340:AT340)</f>
        <v/>
      </c>
      <c r="W340">
        <f>IF(OR(T340="",Setup!$B$9=""),0,IF(V340=0,T340/COUNTIF(Setup!$B$9:$B$20,"?*"),T340*AI340/V340))</f>
        <v/>
      </c>
      <c r="X340">
        <f>IF(OR(T340="",Setup!$B$10=""),0,IF(V340=0,T340/COUNTIF(Setup!$B$9:$B$20,"?*"),T340*AJ340/V340))</f>
        <v/>
      </c>
      <c r="Y340">
        <f>IF(OR(T340="",Setup!$B$11=""),0,IF(V340=0,T340/COUNTIF(Setup!$B$9:$B$20,"?*"),T340*AK340/V340))</f>
        <v/>
      </c>
      <c r="Z340">
        <f>IF(OR(T340="",Setup!$B$12=""),0,IF(V340=0,T340/COUNTIF(Setup!$B$9:$B$20,"?*"),T340*AL340/V340))</f>
        <v/>
      </c>
      <c r="AA340">
        <f>IF(OR(T340="",Setup!$B$13=""),0,IF(V340=0,T340/COUNTIF(Setup!$B$9:$B$20,"?*"),T340*AM340/V340))</f>
        <v/>
      </c>
      <c r="AB340">
        <f>IF(OR(T340="",Setup!$B$14=""),0,IF(V340=0,T340/COUNTIF(Setup!$B$9:$B$20,"?*"),T340*AN340/V340))</f>
        <v/>
      </c>
      <c r="AC340">
        <f>IF(OR(T340="",Setup!$B$15=""),0,IF(V340=0,T340/COUNTIF(Setup!$B$9:$B$20,"?*"),T340*AO340/V340))</f>
        <v/>
      </c>
      <c r="AD340">
        <f>IF(OR(T340="",Setup!$B$16=""),0,IF(V340=0,T340/COUNTIF(Setup!$B$9:$B$20,"?*"),T340*AP340/V340))</f>
        <v/>
      </c>
      <c r="AE340">
        <f>IF(OR(T340="",Setup!$B$17=""),0,IF(V340=0,T340/COUNTIF(Setup!$B$9:$B$20,"?*"),T340*AQ340/V340))</f>
        <v/>
      </c>
      <c r="AF340">
        <f>IF(OR(T340="",Setup!$B$18=""),0,IF(V340=0,T340/COUNTIF(Setup!$B$9:$B$20,"?*"),T340*AR340/V340))</f>
        <v/>
      </c>
      <c r="AG340">
        <f>IF(OR(T340="",Setup!$B$19=""),0,IF(V340=0,T340/COUNTIF(Setup!$B$9:$B$20,"?*"),T340*AS340/V340))</f>
        <v/>
      </c>
      <c r="AH340">
        <f>IF(OR(T340="",Setup!$B$20=""),0,IF(V340=0,T340/COUNTIF(Setup!$B$9:$B$20,"?*"),T340*AT340/V340))</f>
        <v/>
      </c>
      <c r="AI340">
        <f>IF(Setup!$B$9="",0,IF(H340="",0,IF(ISNUMBER(H340),H340,1)))</f>
        <v/>
      </c>
      <c r="AJ340">
        <f>IF(Setup!$B$10="",0,IF(I340="",0,IF(ISNUMBER(I340),I340,1)))</f>
        <v/>
      </c>
      <c r="AK340">
        <f>IF(Setup!$B$11="",0,IF(J340="",0,IF(ISNUMBER(J340),J340,1)))</f>
        <v/>
      </c>
      <c r="AL340">
        <f>IF(Setup!$B$12="",0,IF(K340="",0,IF(ISNUMBER(K340),K340,1)))</f>
        <v/>
      </c>
      <c r="AM340">
        <f>IF(Setup!$B$13="",0,IF(L340="",0,IF(ISNUMBER(L340),L340,1)))</f>
        <v/>
      </c>
      <c r="AN340">
        <f>IF(Setup!$B$14="",0,IF(M340="",0,IF(ISNUMBER(M340),M340,1)))</f>
        <v/>
      </c>
      <c r="AO340">
        <f>IF(Setup!$B$15="",0,IF(N340="",0,IF(ISNUMBER(N340),N340,1)))</f>
        <v/>
      </c>
      <c r="AP340">
        <f>IF(Setup!$B$16="",0,IF(O340="",0,IF(ISNUMBER(O340),O340,1)))</f>
        <v/>
      </c>
      <c r="AQ340">
        <f>IF(Setup!$B$17="",0,IF(P340="",0,IF(ISNUMBER(P340),P340,1)))</f>
        <v/>
      </c>
      <c r="AR340">
        <f>IF(Setup!$B$18="",0,IF(Q340="",0,IF(ISNUMBER(Q340),Q340,1)))</f>
        <v/>
      </c>
      <c r="AS340">
        <f>IF(Setup!$B$19="",0,IF(R340="",0,IF(ISNUMBER(R340),R340,1)))</f>
        <v/>
      </c>
      <c r="AT340">
        <f>IF(Setup!$B$20="",0,IF(S340="",0,IF(ISNUMBER(S340),S340,1)))</f>
        <v/>
      </c>
    </row>
    <row r="341">
      <c r="A341" s="1" t="n"/>
      <c r="B341" s="24" t="n"/>
      <c r="C341" s="25" t="n"/>
      <c r="D341" s="25" t="n"/>
      <c r="E341" s="26" t="n"/>
      <c r="F341" s="27" t="n"/>
      <c r="G341" s="17" t="n"/>
      <c r="H341" s="28" t="n"/>
      <c r="I341" s="28" t="n"/>
      <c r="J341" s="28" t="n"/>
      <c r="K341" s="28" t="n"/>
      <c r="L341" s="28" t="n"/>
      <c r="M341" s="28" t="n"/>
      <c r="N341" s="28" t="n"/>
      <c r="O341" s="28" t="n"/>
      <c r="P341" s="28" t="n"/>
      <c r="Q341" s="28" t="n"/>
      <c r="R341" s="28" t="n"/>
      <c r="S341" s="28" t="n"/>
      <c r="T341" s="29">
        <f>IF(N(E341)=0,"",E341*IF(F341="",1,IFERROR(INDEX(Setup!$E$9:$E$18,MATCH(F341,Setup!$D$9:$D$18,0)),0)))</f>
        <v/>
      </c>
      <c r="U341" s="30">
        <f>IF(T341="","",IF(V341=0,"Everyone",IF(COUNTIF(AI341:AT341,"&gt;0")=COUNTIF(Setup!$B$9:$B$20,"?*"),"Everyone",COUNTIF(AI341:AT341,"&gt;0")&amp;IF(COUNTIF(AI341:AT341,"&gt;0")=1," person"," people"))))</f>
        <v/>
      </c>
      <c r="V341" s="1">
        <f>SUM(AI341:AT341)</f>
        <v/>
      </c>
      <c r="W341">
        <f>IF(OR(T341="",Setup!$B$9=""),0,IF(V341=0,T341/COUNTIF(Setup!$B$9:$B$20,"?*"),T341*AI341/V341))</f>
        <v/>
      </c>
      <c r="X341">
        <f>IF(OR(T341="",Setup!$B$10=""),0,IF(V341=0,T341/COUNTIF(Setup!$B$9:$B$20,"?*"),T341*AJ341/V341))</f>
        <v/>
      </c>
      <c r="Y341">
        <f>IF(OR(T341="",Setup!$B$11=""),0,IF(V341=0,T341/COUNTIF(Setup!$B$9:$B$20,"?*"),T341*AK341/V341))</f>
        <v/>
      </c>
      <c r="Z341">
        <f>IF(OR(T341="",Setup!$B$12=""),0,IF(V341=0,T341/COUNTIF(Setup!$B$9:$B$20,"?*"),T341*AL341/V341))</f>
        <v/>
      </c>
      <c r="AA341">
        <f>IF(OR(T341="",Setup!$B$13=""),0,IF(V341=0,T341/COUNTIF(Setup!$B$9:$B$20,"?*"),T341*AM341/V341))</f>
        <v/>
      </c>
      <c r="AB341">
        <f>IF(OR(T341="",Setup!$B$14=""),0,IF(V341=0,T341/COUNTIF(Setup!$B$9:$B$20,"?*"),T341*AN341/V341))</f>
        <v/>
      </c>
      <c r="AC341">
        <f>IF(OR(T341="",Setup!$B$15=""),0,IF(V341=0,T341/COUNTIF(Setup!$B$9:$B$20,"?*"),T341*AO341/V341))</f>
        <v/>
      </c>
      <c r="AD341">
        <f>IF(OR(T341="",Setup!$B$16=""),0,IF(V341=0,T341/COUNTIF(Setup!$B$9:$B$20,"?*"),T341*AP341/V341))</f>
        <v/>
      </c>
      <c r="AE341">
        <f>IF(OR(T341="",Setup!$B$17=""),0,IF(V341=0,T341/COUNTIF(Setup!$B$9:$B$20,"?*"),T341*AQ341/V341))</f>
        <v/>
      </c>
      <c r="AF341">
        <f>IF(OR(T341="",Setup!$B$18=""),0,IF(V341=0,T341/COUNTIF(Setup!$B$9:$B$20,"?*"),T341*AR341/V341))</f>
        <v/>
      </c>
      <c r="AG341">
        <f>IF(OR(T341="",Setup!$B$19=""),0,IF(V341=0,T341/COUNTIF(Setup!$B$9:$B$20,"?*"),T341*AS341/V341))</f>
        <v/>
      </c>
      <c r="AH341">
        <f>IF(OR(T341="",Setup!$B$20=""),0,IF(V341=0,T341/COUNTIF(Setup!$B$9:$B$20,"?*"),T341*AT341/V341))</f>
        <v/>
      </c>
      <c r="AI341">
        <f>IF(Setup!$B$9="",0,IF(H341="",0,IF(ISNUMBER(H341),H341,1)))</f>
        <v/>
      </c>
      <c r="AJ341">
        <f>IF(Setup!$B$10="",0,IF(I341="",0,IF(ISNUMBER(I341),I341,1)))</f>
        <v/>
      </c>
      <c r="AK341">
        <f>IF(Setup!$B$11="",0,IF(J341="",0,IF(ISNUMBER(J341),J341,1)))</f>
        <v/>
      </c>
      <c r="AL341">
        <f>IF(Setup!$B$12="",0,IF(K341="",0,IF(ISNUMBER(K341),K341,1)))</f>
        <v/>
      </c>
      <c r="AM341">
        <f>IF(Setup!$B$13="",0,IF(L341="",0,IF(ISNUMBER(L341),L341,1)))</f>
        <v/>
      </c>
      <c r="AN341">
        <f>IF(Setup!$B$14="",0,IF(M341="",0,IF(ISNUMBER(M341),M341,1)))</f>
        <v/>
      </c>
      <c r="AO341">
        <f>IF(Setup!$B$15="",0,IF(N341="",0,IF(ISNUMBER(N341),N341,1)))</f>
        <v/>
      </c>
      <c r="AP341">
        <f>IF(Setup!$B$16="",0,IF(O341="",0,IF(ISNUMBER(O341),O341,1)))</f>
        <v/>
      </c>
      <c r="AQ341">
        <f>IF(Setup!$B$17="",0,IF(P341="",0,IF(ISNUMBER(P341),P341,1)))</f>
        <v/>
      </c>
      <c r="AR341">
        <f>IF(Setup!$B$18="",0,IF(Q341="",0,IF(ISNUMBER(Q341),Q341,1)))</f>
        <v/>
      </c>
      <c r="AS341">
        <f>IF(Setup!$B$19="",0,IF(R341="",0,IF(ISNUMBER(R341),R341,1)))</f>
        <v/>
      </c>
      <c r="AT341">
        <f>IF(Setup!$B$20="",0,IF(S341="",0,IF(ISNUMBER(S341),S341,1)))</f>
        <v/>
      </c>
    </row>
    <row r="342">
      <c r="A342" s="1" t="n"/>
      <c r="B342" s="24" t="n"/>
      <c r="C342" s="25" t="n"/>
      <c r="D342" s="25" t="n"/>
      <c r="E342" s="26" t="n"/>
      <c r="F342" s="27" t="n"/>
      <c r="G342" s="17" t="n"/>
      <c r="H342" s="28" t="n"/>
      <c r="I342" s="28" t="n"/>
      <c r="J342" s="28" t="n"/>
      <c r="K342" s="28" t="n"/>
      <c r="L342" s="28" t="n"/>
      <c r="M342" s="28" t="n"/>
      <c r="N342" s="28" t="n"/>
      <c r="O342" s="28" t="n"/>
      <c r="P342" s="28" t="n"/>
      <c r="Q342" s="28" t="n"/>
      <c r="R342" s="28" t="n"/>
      <c r="S342" s="28" t="n"/>
      <c r="T342" s="29">
        <f>IF(N(E342)=0,"",E342*IF(F342="",1,IFERROR(INDEX(Setup!$E$9:$E$18,MATCH(F342,Setup!$D$9:$D$18,0)),0)))</f>
        <v/>
      </c>
      <c r="U342" s="30">
        <f>IF(T342="","",IF(V342=0,"Everyone",IF(COUNTIF(AI342:AT342,"&gt;0")=COUNTIF(Setup!$B$9:$B$20,"?*"),"Everyone",COUNTIF(AI342:AT342,"&gt;0")&amp;IF(COUNTIF(AI342:AT342,"&gt;0")=1," person"," people"))))</f>
        <v/>
      </c>
      <c r="V342" s="1">
        <f>SUM(AI342:AT342)</f>
        <v/>
      </c>
      <c r="W342">
        <f>IF(OR(T342="",Setup!$B$9=""),0,IF(V342=0,T342/COUNTIF(Setup!$B$9:$B$20,"?*"),T342*AI342/V342))</f>
        <v/>
      </c>
      <c r="X342">
        <f>IF(OR(T342="",Setup!$B$10=""),0,IF(V342=0,T342/COUNTIF(Setup!$B$9:$B$20,"?*"),T342*AJ342/V342))</f>
        <v/>
      </c>
      <c r="Y342">
        <f>IF(OR(T342="",Setup!$B$11=""),0,IF(V342=0,T342/COUNTIF(Setup!$B$9:$B$20,"?*"),T342*AK342/V342))</f>
        <v/>
      </c>
      <c r="Z342">
        <f>IF(OR(T342="",Setup!$B$12=""),0,IF(V342=0,T342/COUNTIF(Setup!$B$9:$B$20,"?*"),T342*AL342/V342))</f>
        <v/>
      </c>
      <c r="AA342">
        <f>IF(OR(T342="",Setup!$B$13=""),0,IF(V342=0,T342/COUNTIF(Setup!$B$9:$B$20,"?*"),T342*AM342/V342))</f>
        <v/>
      </c>
      <c r="AB342">
        <f>IF(OR(T342="",Setup!$B$14=""),0,IF(V342=0,T342/COUNTIF(Setup!$B$9:$B$20,"?*"),T342*AN342/V342))</f>
        <v/>
      </c>
      <c r="AC342">
        <f>IF(OR(T342="",Setup!$B$15=""),0,IF(V342=0,T342/COUNTIF(Setup!$B$9:$B$20,"?*"),T342*AO342/V342))</f>
        <v/>
      </c>
      <c r="AD342">
        <f>IF(OR(T342="",Setup!$B$16=""),0,IF(V342=0,T342/COUNTIF(Setup!$B$9:$B$20,"?*"),T342*AP342/V342))</f>
        <v/>
      </c>
      <c r="AE342">
        <f>IF(OR(T342="",Setup!$B$17=""),0,IF(V342=0,T342/COUNTIF(Setup!$B$9:$B$20,"?*"),T342*AQ342/V342))</f>
        <v/>
      </c>
      <c r="AF342">
        <f>IF(OR(T342="",Setup!$B$18=""),0,IF(V342=0,T342/COUNTIF(Setup!$B$9:$B$20,"?*"),T342*AR342/V342))</f>
        <v/>
      </c>
      <c r="AG342">
        <f>IF(OR(T342="",Setup!$B$19=""),0,IF(V342=0,T342/COUNTIF(Setup!$B$9:$B$20,"?*"),T342*AS342/V342))</f>
        <v/>
      </c>
      <c r="AH342">
        <f>IF(OR(T342="",Setup!$B$20=""),0,IF(V342=0,T342/COUNTIF(Setup!$B$9:$B$20,"?*"),T342*AT342/V342))</f>
        <v/>
      </c>
      <c r="AI342">
        <f>IF(Setup!$B$9="",0,IF(H342="",0,IF(ISNUMBER(H342),H342,1)))</f>
        <v/>
      </c>
      <c r="AJ342">
        <f>IF(Setup!$B$10="",0,IF(I342="",0,IF(ISNUMBER(I342),I342,1)))</f>
        <v/>
      </c>
      <c r="AK342">
        <f>IF(Setup!$B$11="",0,IF(J342="",0,IF(ISNUMBER(J342),J342,1)))</f>
        <v/>
      </c>
      <c r="AL342">
        <f>IF(Setup!$B$12="",0,IF(K342="",0,IF(ISNUMBER(K342),K342,1)))</f>
        <v/>
      </c>
      <c r="AM342">
        <f>IF(Setup!$B$13="",0,IF(L342="",0,IF(ISNUMBER(L342),L342,1)))</f>
        <v/>
      </c>
      <c r="AN342">
        <f>IF(Setup!$B$14="",0,IF(M342="",0,IF(ISNUMBER(M342),M342,1)))</f>
        <v/>
      </c>
      <c r="AO342">
        <f>IF(Setup!$B$15="",0,IF(N342="",0,IF(ISNUMBER(N342),N342,1)))</f>
        <v/>
      </c>
      <c r="AP342">
        <f>IF(Setup!$B$16="",0,IF(O342="",0,IF(ISNUMBER(O342),O342,1)))</f>
        <v/>
      </c>
      <c r="AQ342">
        <f>IF(Setup!$B$17="",0,IF(P342="",0,IF(ISNUMBER(P342),P342,1)))</f>
        <v/>
      </c>
      <c r="AR342">
        <f>IF(Setup!$B$18="",0,IF(Q342="",0,IF(ISNUMBER(Q342),Q342,1)))</f>
        <v/>
      </c>
      <c r="AS342">
        <f>IF(Setup!$B$19="",0,IF(R342="",0,IF(ISNUMBER(R342),R342,1)))</f>
        <v/>
      </c>
      <c r="AT342">
        <f>IF(Setup!$B$20="",0,IF(S342="",0,IF(ISNUMBER(S342),S342,1)))</f>
        <v/>
      </c>
    </row>
    <row r="343">
      <c r="A343" s="1" t="n"/>
      <c r="B343" s="24" t="n"/>
      <c r="C343" s="25" t="n"/>
      <c r="D343" s="25" t="n"/>
      <c r="E343" s="26" t="n"/>
      <c r="F343" s="27" t="n"/>
      <c r="G343" s="17" t="n"/>
      <c r="H343" s="28" t="n"/>
      <c r="I343" s="28" t="n"/>
      <c r="J343" s="28" t="n"/>
      <c r="K343" s="28" t="n"/>
      <c r="L343" s="28" t="n"/>
      <c r="M343" s="28" t="n"/>
      <c r="N343" s="28" t="n"/>
      <c r="O343" s="28" t="n"/>
      <c r="P343" s="28" t="n"/>
      <c r="Q343" s="28" t="n"/>
      <c r="R343" s="28" t="n"/>
      <c r="S343" s="28" t="n"/>
      <c r="T343" s="29">
        <f>IF(N(E343)=0,"",E343*IF(F343="",1,IFERROR(INDEX(Setup!$E$9:$E$18,MATCH(F343,Setup!$D$9:$D$18,0)),0)))</f>
        <v/>
      </c>
      <c r="U343" s="30">
        <f>IF(T343="","",IF(V343=0,"Everyone",IF(COUNTIF(AI343:AT343,"&gt;0")=COUNTIF(Setup!$B$9:$B$20,"?*"),"Everyone",COUNTIF(AI343:AT343,"&gt;0")&amp;IF(COUNTIF(AI343:AT343,"&gt;0")=1," person"," people"))))</f>
        <v/>
      </c>
      <c r="V343" s="1">
        <f>SUM(AI343:AT343)</f>
        <v/>
      </c>
      <c r="W343">
        <f>IF(OR(T343="",Setup!$B$9=""),0,IF(V343=0,T343/COUNTIF(Setup!$B$9:$B$20,"?*"),T343*AI343/V343))</f>
        <v/>
      </c>
      <c r="X343">
        <f>IF(OR(T343="",Setup!$B$10=""),0,IF(V343=0,T343/COUNTIF(Setup!$B$9:$B$20,"?*"),T343*AJ343/V343))</f>
        <v/>
      </c>
      <c r="Y343">
        <f>IF(OR(T343="",Setup!$B$11=""),0,IF(V343=0,T343/COUNTIF(Setup!$B$9:$B$20,"?*"),T343*AK343/V343))</f>
        <v/>
      </c>
      <c r="Z343">
        <f>IF(OR(T343="",Setup!$B$12=""),0,IF(V343=0,T343/COUNTIF(Setup!$B$9:$B$20,"?*"),T343*AL343/V343))</f>
        <v/>
      </c>
      <c r="AA343">
        <f>IF(OR(T343="",Setup!$B$13=""),0,IF(V343=0,T343/COUNTIF(Setup!$B$9:$B$20,"?*"),T343*AM343/V343))</f>
        <v/>
      </c>
      <c r="AB343">
        <f>IF(OR(T343="",Setup!$B$14=""),0,IF(V343=0,T343/COUNTIF(Setup!$B$9:$B$20,"?*"),T343*AN343/V343))</f>
        <v/>
      </c>
      <c r="AC343">
        <f>IF(OR(T343="",Setup!$B$15=""),0,IF(V343=0,T343/COUNTIF(Setup!$B$9:$B$20,"?*"),T343*AO343/V343))</f>
        <v/>
      </c>
      <c r="AD343">
        <f>IF(OR(T343="",Setup!$B$16=""),0,IF(V343=0,T343/COUNTIF(Setup!$B$9:$B$20,"?*"),T343*AP343/V343))</f>
        <v/>
      </c>
      <c r="AE343">
        <f>IF(OR(T343="",Setup!$B$17=""),0,IF(V343=0,T343/COUNTIF(Setup!$B$9:$B$20,"?*"),T343*AQ343/V343))</f>
        <v/>
      </c>
      <c r="AF343">
        <f>IF(OR(T343="",Setup!$B$18=""),0,IF(V343=0,T343/COUNTIF(Setup!$B$9:$B$20,"?*"),T343*AR343/V343))</f>
        <v/>
      </c>
      <c r="AG343">
        <f>IF(OR(T343="",Setup!$B$19=""),0,IF(V343=0,T343/COUNTIF(Setup!$B$9:$B$20,"?*"),T343*AS343/V343))</f>
        <v/>
      </c>
      <c r="AH343">
        <f>IF(OR(T343="",Setup!$B$20=""),0,IF(V343=0,T343/COUNTIF(Setup!$B$9:$B$20,"?*"),T343*AT343/V343))</f>
        <v/>
      </c>
      <c r="AI343">
        <f>IF(Setup!$B$9="",0,IF(H343="",0,IF(ISNUMBER(H343),H343,1)))</f>
        <v/>
      </c>
      <c r="AJ343">
        <f>IF(Setup!$B$10="",0,IF(I343="",0,IF(ISNUMBER(I343),I343,1)))</f>
        <v/>
      </c>
      <c r="AK343">
        <f>IF(Setup!$B$11="",0,IF(J343="",0,IF(ISNUMBER(J343),J343,1)))</f>
        <v/>
      </c>
      <c r="AL343">
        <f>IF(Setup!$B$12="",0,IF(K343="",0,IF(ISNUMBER(K343),K343,1)))</f>
        <v/>
      </c>
      <c r="AM343">
        <f>IF(Setup!$B$13="",0,IF(L343="",0,IF(ISNUMBER(L343),L343,1)))</f>
        <v/>
      </c>
      <c r="AN343">
        <f>IF(Setup!$B$14="",0,IF(M343="",0,IF(ISNUMBER(M343),M343,1)))</f>
        <v/>
      </c>
      <c r="AO343">
        <f>IF(Setup!$B$15="",0,IF(N343="",0,IF(ISNUMBER(N343),N343,1)))</f>
        <v/>
      </c>
      <c r="AP343">
        <f>IF(Setup!$B$16="",0,IF(O343="",0,IF(ISNUMBER(O343),O343,1)))</f>
        <v/>
      </c>
      <c r="AQ343">
        <f>IF(Setup!$B$17="",0,IF(P343="",0,IF(ISNUMBER(P343),P343,1)))</f>
        <v/>
      </c>
      <c r="AR343">
        <f>IF(Setup!$B$18="",0,IF(Q343="",0,IF(ISNUMBER(Q343),Q343,1)))</f>
        <v/>
      </c>
      <c r="AS343">
        <f>IF(Setup!$B$19="",0,IF(R343="",0,IF(ISNUMBER(R343),R343,1)))</f>
        <v/>
      </c>
      <c r="AT343">
        <f>IF(Setup!$B$20="",0,IF(S343="",0,IF(ISNUMBER(S343),S343,1)))</f>
        <v/>
      </c>
    </row>
    <row r="344">
      <c r="A344" s="1" t="n"/>
      <c r="B344" s="24" t="n"/>
      <c r="C344" s="25" t="n"/>
      <c r="D344" s="25" t="n"/>
      <c r="E344" s="26" t="n"/>
      <c r="F344" s="27" t="n"/>
      <c r="G344" s="17" t="n"/>
      <c r="H344" s="28" t="n"/>
      <c r="I344" s="28" t="n"/>
      <c r="J344" s="28" t="n"/>
      <c r="K344" s="28" t="n"/>
      <c r="L344" s="28" t="n"/>
      <c r="M344" s="28" t="n"/>
      <c r="N344" s="28" t="n"/>
      <c r="O344" s="28" t="n"/>
      <c r="P344" s="28" t="n"/>
      <c r="Q344" s="28" t="n"/>
      <c r="R344" s="28" t="n"/>
      <c r="S344" s="28" t="n"/>
      <c r="T344" s="29">
        <f>IF(N(E344)=0,"",E344*IF(F344="",1,IFERROR(INDEX(Setup!$E$9:$E$18,MATCH(F344,Setup!$D$9:$D$18,0)),0)))</f>
        <v/>
      </c>
      <c r="U344" s="30">
        <f>IF(T344="","",IF(V344=0,"Everyone",IF(COUNTIF(AI344:AT344,"&gt;0")=COUNTIF(Setup!$B$9:$B$20,"?*"),"Everyone",COUNTIF(AI344:AT344,"&gt;0")&amp;IF(COUNTIF(AI344:AT344,"&gt;0")=1," person"," people"))))</f>
        <v/>
      </c>
      <c r="V344" s="1">
        <f>SUM(AI344:AT344)</f>
        <v/>
      </c>
      <c r="W344">
        <f>IF(OR(T344="",Setup!$B$9=""),0,IF(V344=0,T344/COUNTIF(Setup!$B$9:$B$20,"?*"),T344*AI344/V344))</f>
        <v/>
      </c>
      <c r="X344">
        <f>IF(OR(T344="",Setup!$B$10=""),0,IF(V344=0,T344/COUNTIF(Setup!$B$9:$B$20,"?*"),T344*AJ344/V344))</f>
        <v/>
      </c>
      <c r="Y344">
        <f>IF(OR(T344="",Setup!$B$11=""),0,IF(V344=0,T344/COUNTIF(Setup!$B$9:$B$20,"?*"),T344*AK344/V344))</f>
        <v/>
      </c>
      <c r="Z344">
        <f>IF(OR(T344="",Setup!$B$12=""),0,IF(V344=0,T344/COUNTIF(Setup!$B$9:$B$20,"?*"),T344*AL344/V344))</f>
        <v/>
      </c>
      <c r="AA344">
        <f>IF(OR(T344="",Setup!$B$13=""),0,IF(V344=0,T344/COUNTIF(Setup!$B$9:$B$20,"?*"),T344*AM344/V344))</f>
        <v/>
      </c>
      <c r="AB344">
        <f>IF(OR(T344="",Setup!$B$14=""),0,IF(V344=0,T344/COUNTIF(Setup!$B$9:$B$20,"?*"),T344*AN344/V344))</f>
        <v/>
      </c>
      <c r="AC344">
        <f>IF(OR(T344="",Setup!$B$15=""),0,IF(V344=0,T344/COUNTIF(Setup!$B$9:$B$20,"?*"),T344*AO344/V344))</f>
        <v/>
      </c>
      <c r="AD344">
        <f>IF(OR(T344="",Setup!$B$16=""),0,IF(V344=0,T344/COUNTIF(Setup!$B$9:$B$20,"?*"),T344*AP344/V344))</f>
        <v/>
      </c>
      <c r="AE344">
        <f>IF(OR(T344="",Setup!$B$17=""),0,IF(V344=0,T344/COUNTIF(Setup!$B$9:$B$20,"?*"),T344*AQ344/V344))</f>
        <v/>
      </c>
      <c r="AF344">
        <f>IF(OR(T344="",Setup!$B$18=""),0,IF(V344=0,T344/COUNTIF(Setup!$B$9:$B$20,"?*"),T344*AR344/V344))</f>
        <v/>
      </c>
      <c r="AG344">
        <f>IF(OR(T344="",Setup!$B$19=""),0,IF(V344=0,T344/COUNTIF(Setup!$B$9:$B$20,"?*"),T344*AS344/V344))</f>
        <v/>
      </c>
      <c r="AH344">
        <f>IF(OR(T344="",Setup!$B$20=""),0,IF(V344=0,T344/COUNTIF(Setup!$B$9:$B$20,"?*"),T344*AT344/V344))</f>
        <v/>
      </c>
      <c r="AI344">
        <f>IF(Setup!$B$9="",0,IF(H344="",0,IF(ISNUMBER(H344),H344,1)))</f>
        <v/>
      </c>
      <c r="AJ344">
        <f>IF(Setup!$B$10="",0,IF(I344="",0,IF(ISNUMBER(I344),I344,1)))</f>
        <v/>
      </c>
      <c r="AK344">
        <f>IF(Setup!$B$11="",0,IF(J344="",0,IF(ISNUMBER(J344),J344,1)))</f>
        <v/>
      </c>
      <c r="AL344">
        <f>IF(Setup!$B$12="",0,IF(K344="",0,IF(ISNUMBER(K344),K344,1)))</f>
        <v/>
      </c>
      <c r="AM344">
        <f>IF(Setup!$B$13="",0,IF(L344="",0,IF(ISNUMBER(L344),L344,1)))</f>
        <v/>
      </c>
      <c r="AN344">
        <f>IF(Setup!$B$14="",0,IF(M344="",0,IF(ISNUMBER(M344),M344,1)))</f>
        <v/>
      </c>
      <c r="AO344">
        <f>IF(Setup!$B$15="",0,IF(N344="",0,IF(ISNUMBER(N344),N344,1)))</f>
        <v/>
      </c>
      <c r="AP344">
        <f>IF(Setup!$B$16="",0,IF(O344="",0,IF(ISNUMBER(O344),O344,1)))</f>
        <v/>
      </c>
      <c r="AQ344">
        <f>IF(Setup!$B$17="",0,IF(P344="",0,IF(ISNUMBER(P344),P344,1)))</f>
        <v/>
      </c>
      <c r="AR344">
        <f>IF(Setup!$B$18="",0,IF(Q344="",0,IF(ISNUMBER(Q344),Q344,1)))</f>
        <v/>
      </c>
      <c r="AS344">
        <f>IF(Setup!$B$19="",0,IF(R344="",0,IF(ISNUMBER(R344),R344,1)))</f>
        <v/>
      </c>
      <c r="AT344">
        <f>IF(Setup!$B$20="",0,IF(S344="",0,IF(ISNUMBER(S344),S344,1)))</f>
        <v/>
      </c>
    </row>
    <row r="345">
      <c r="A345" s="1" t="n"/>
      <c r="B345" s="24" t="n"/>
      <c r="C345" s="25" t="n"/>
      <c r="D345" s="25" t="n"/>
      <c r="E345" s="26" t="n"/>
      <c r="F345" s="27" t="n"/>
      <c r="G345" s="17" t="n"/>
      <c r="H345" s="28" t="n"/>
      <c r="I345" s="28" t="n"/>
      <c r="J345" s="28" t="n"/>
      <c r="K345" s="28" t="n"/>
      <c r="L345" s="28" t="n"/>
      <c r="M345" s="28" t="n"/>
      <c r="N345" s="28" t="n"/>
      <c r="O345" s="28" t="n"/>
      <c r="P345" s="28" t="n"/>
      <c r="Q345" s="28" t="n"/>
      <c r="R345" s="28" t="n"/>
      <c r="S345" s="28" t="n"/>
      <c r="T345" s="29">
        <f>IF(N(E345)=0,"",E345*IF(F345="",1,IFERROR(INDEX(Setup!$E$9:$E$18,MATCH(F345,Setup!$D$9:$D$18,0)),0)))</f>
        <v/>
      </c>
      <c r="U345" s="30">
        <f>IF(T345="","",IF(V345=0,"Everyone",IF(COUNTIF(AI345:AT345,"&gt;0")=COUNTIF(Setup!$B$9:$B$20,"?*"),"Everyone",COUNTIF(AI345:AT345,"&gt;0")&amp;IF(COUNTIF(AI345:AT345,"&gt;0")=1," person"," people"))))</f>
        <v/>
      </c>
      <c r="V345" s="1">
        <f>SUM(AI345:AT345)</f>
        <v/>
      </c>
      <c r="W345">
        <f>IF(OR(T345="",Setup!$B$9=""),0,IF(V345=0,T345/COUNTIF(Setup!$B$9:$B$20,"?*"),T345*AI345/V345))</f>
        <v/>
      </c>
      <c r="X345">
        <f>IF(OR(T345="",Setup!$B$10=""),0,IF(V345=0,T345/COUNTIF(Setup!$B$9:$B$20,"?*"),T345*AJ345/V345))</f>
        <v/>
      </c>
      <c r="Y345">
        <f>IF(OR(T345="",Setup!$B$11=""),0,IF(V345=0,T345/COUNTIF(Setup!$B$9:$B$20,"?*"),T345*AK345/V345))</f>
        <v/>
      </c>
      <c r="Z345">
        <f>IF(OR(T345="",Setup!$B$12=""),0,IF(V345=0,T345/COUNTIF(Setup!$B$9:$B$20,"?*"),T345*AL345/V345))</f>
        <v/>
      </c>
      <c r="AA345">
        <f>IF(OR(T345="",Setup!$B$13=""),0,IF(V345=0,T345/COUNTIF(Setup!$B$9:$B$20,"?*"),T345*AM345/V345))</f>
        <v/>
      </c>
      <c r="AB345">
        <f>IF(OR(T345="",Setup!$B$14=""),0,IF(V345=0,T345/COUNTIF(Setup!$B$9:$B$20,"?*"),T345*AN345/V345))</f>
        <v/>
      </c>
      <c r="AC345">
        <f>IF(OR(T345="",Setup!$B$15=""),0,IF(V345=0,T345/COUNTIF(Setup!$B$9:$B$20,"?*"),T345*AO345/V345))</f>
        <v/>
      </c>
      <c r="AD345">
        <f>IF(OR(T345="",Setup!$B$16=""),0,IF(V345=0,T345/COUNTIF(Setup!$B$9:$B$20,"?*"),T345*AP345/V345))</f>
        <v/>
      </c>
      <c r="AE345">
        <f>IF(OR(T345="",Setup!$B$17=""),0,IF(V345=0,T345/COUNTIF(Setup!$B$9:$B$20,"?*"),T345*AQ345/V345))</f>
        <v/>
      </c>
      <c r="AF345">
        <f>IF(OR(T345="",Setup!$B$18=""),0,IF(V345=0,T345/COUNTIF(Setup!$B$9:$B$20,"?*"),T345*AR345/V345))</f>
        <v/>
      </c>
      <c r="AG345">
        <f>IF(OR(T345="",Setup!$B$19=""),0,IF(V345=0,T345/COUNTIF(Setup!$B$9:$B$20,"?*"),T345*AS345/V345))</f>
        <v/>
      </c>
      <c r="AH345">
        <f>IF(OR(T345="",Setup!$B$20=""),0,IF(V345=0,T345/COUNTIF(Setup!$B$9:$B$20,"?*"),T345*AT345/V345))</f>
        <v/>
      </c>
      <c r="AI345">
        <f>IF(Setup!$B$9="",0,IF(H345="",0,IF(ISNUMBER(H345),H345,1)))</f>
        <v/>
      </c>
      <c r="AJ345">
        <f>IF(Setup!$B$10="",0,IF(I345="",0,IF(ISNUMBER(I345),I345,1)))</f>
        <v/>
      </c>
      <c r="AK345">
        <f>IF(Setup!$B$11="",0,IF(J345="",0,IF(ISNUMBER(J345),J345,1)))</f>
        <v/>
      </c>
      <c r="AL345">
        <f>IF(Setup!$B$12="",0,IF(K345="",0,IF(ISNUMBER(K345),K345,1)))</f>
        <v/>
      </c>
      <c r="AM345">
        <f>IF(Setup!$B$13="",0,IF(L345="",0,IF(ISNUMBER(L345),L345,1)))</f>
        <v/>
      </c>
      <c r="AN345">
        <f>IF(Setup!$B$14="",0,IF(M345="",0,IF(ISNUMBER(M345),M345,1)))</f>
        <v/>
      </c>
      <c r="AO345">
        <f>IF(Setup!$B$15="",0,IF(N345="",0,IF(ISNUMBER(N345),N345,1)))</f>
        <v/>
      </c>
      <c r="AP345">
        <f>IF(Setup!$B$16="",0,IF(O345="",0,IF(ISNUMBER(O345),O345,1)))</f>
        <v/>
      </c>
      <c r="AQ345">
        <f>IF(Setup!$B$17="",0,IF(P345="",0,IF(ISNUMBER(P345),P345,1)))</f>
        <v/>
      </c>
      <c r="AR345">
        <f>IF(Setup!$B$18="",0,IF(Q345="",0,IF(ISNUMBER(Q345),Q345,1)))</f>
        <v/>
      </c>
      <c r="AS345">
        <f>IF(Setup!$B$19="",0,IF(R345="",0,IF(ISNUMBER(R345),R345,1)))</f>
        <v/>
      </c>
      <c r="AT345">
        <f>IF(Setup!$B$20="",0,IF(S345="",0,IF(ISNUMBER(S345),S345,1)))</f>
        <v/>
      </c>
    </row>
    <row r="346">
      <c r="A346" s="1" t="n"/>
      <c r="B346" s="24" t="n"/>
      <c r="C346" s="25" t="n"/>
      <c r="D346" s="25" t="n"/>
      <c r="E346" s="26" t="n"/>
      <c r="F346" s="27" t="n"/>
      <c r="G346" s="17" t="n"/>
      <c r="H346" s="28" t="n"/>
      <c r="I346" s="28" t="n"/>
      <c r="J346" s="28" t="n"/>
      <c r="K346" s="28" t="n"/>
      <c r="L346" s="28" t="n"/>
      <c r="M346" s="28" t="n"/>
      <c r="N346" s="28" t="n"/>
      <c r="O346" s="28" t="n"/>
      <c r="P346" s="28" t="n"/>
      <c r="Q346" s="28" t="n"/>
      <c r="R346" s="28" t="n"/>
      <c r="S346" s="28" t="n"/>
      <c r="T346" s="29">
        <f>IF(N(E346)=0,"",E346*IF(F346="",1,IFERROR(INDEX(Setup!$E$9:$E$18,MATCH(F346,Setup!$D$9:$D$18,0)),0)))</f>
        <v/>
      </c>
      <c r="U346" s="30">
        <f>IF(T346="","",IF(V346=0,"Everyone",IF(COUNTIF(AI346:AT346,"&gt;0")=COUNTIF(Setup!$B$9:$B$20,"?*"),"Everyone",COUNTIF(AI346:AT346,"&gt;0")&amp;IF(COUNTIF(AI346:AT346,"&gt;0")=1," person"," people"))))</f>
        <v/>
      </c>
      <c r="V346" s="1">
        <f>SUM(AI346:AT346)</f>
        <v/>
      </c>
      <c r="W346">
        <f>IF(OR(T346="",Setup!$B$9=""),0,IF(V346=0,T346/COUNTIF(Setup!$B$9:$B$20,"?*"),T346*AI346/V346))</f>
        <v/>
      </c>
      <c r="X346">
        <f>IF(OR(T346="",Setup!$B$10=""),0,IF(V346=0,T346/COUNTIF(Setup!$B$9:$B$20,"?*"),T346*AJ346/V346))</f>
        <v/>
      </c>
      <c r="Y346">
        <f>IF(OR(T346="",Setup!$B$11=""),0,IF(V346=0,T346/COUNTIF(Setup!$B$9:$B$20,"?*"),T346*AK346/V346))</f>
        <v/>
      </c>
      <c r="Z346">
        <f>IF(OR(T346="",Setup!$B$12=""),0,IF(V346=0,T346/COUNTIF(Setup!$B$9:$B$20,"?*"),T346*AL346/V346))</f>
        <v/>
      </c>
      <c r="AA346">
        <f>IF(OR(T346="",Setup!$B$13=""),0,IF(V346=0,T346/COUNTIF(Setup!$B$9:$B$20,"?*"),T346*AM346/V346))</f>
        <v/>
      </c>
      <c r="AB346">
        <f>IF(OR(T346="",Setup!$B$14=""),0,IF(V346=0,T346/COUNTIF(Setup!$B$9:$B$20,"?*"),T346*AN346/V346))</f>
        <v/>
      </c>
      <c r="AC346">
        <f>IF(OR(T346="",Setup!$B$15=""),0,IF(V346=0,T346/COUNTIF(Setup!$B$9:$B$20,"?*"),T346*AO346/V346))</f>
        <v/>
      </c>
      <c r="AD346">
        <f>IF(OR(T346="",Setup!$B$16=""),0,IF(V346=0,T346/COUNTIF(Setup!$B$9:$B$20,"?*"),T346*AP346/V346))</f>
        <v/>
      </c>
      <c r="AE346">
        <f>IF(OR(T346="",Setup!$B$17=""),0,IF(V346=0,T346/COUNTIF(Setup!$B$9:$B$20,"?*"),T346*AQ346/V346))</f>
        <v/>
      </c>
      <c r="AF346">
        <f>IF(OR(T346="",Setup!$B$18=""),0,IF(V346=0,T346/COUNTIF(Setup!$B$9:$B$20,"?*"),T346*AR346/V346))</f>
        <v/>
      </c>
      <c r="AG346">
        <f>IF(OR(T346="",Setup!$B$19=""),0,IF(V346=0,T346/COUNTIF(Setup!$B$9:$B$20,"?*"),T346*AS346/V346))</f>
        <v/>
      </c>
      <c r="AH346">
        <f>IF(OR(T346="",Setup!$B$20=""),0,IF(V346=0,T346/COUNTIF(Setup!$B$9:$B$20,"?*"),T346*AT346/V346))</f>
        <v/>
      </c>
      <c r="AI346">
        <f>IF(Setup!$B$9="",0,IF(H346="",0,IF(ISNUMBER(H346),H346,1)))</f>
        <v/>
      </c>
      <c r="AJ346">
        <f>IF(Setup!$B$10="",0,IF(I346="",0,IF(ISNUMBER(I346),I346,1)))</f>
        <v/>
      </c>
      <c r="AK346">
        <f>IF(Setup!$B$11="",0,IF(J346="",0,IF(ISNUMBER(J346),J346,1)))</f>
        <v/>
      </c>
      <c r="AL346">
        <f>IF(Setup!$B$12="",0,IF(K346="",0,IF(ISNUMBER(K346),K346,1)))</f>
        <v/>
      </c>
      <c r="AM346">
        <f>IF(Setup!$B$13="",0,IF(L346="",0,IF(ISNUMBER(L346),L346,1)))</f>
        <v/>
      </c>
      <c r="AN346">
        <f>IF(Setup!$B$14="",0,IF(M346="",0,IF(ISNUMBER(M346),M346,1)))</f>
        <v/>
      </c>
      <c r="AO346">
        <f>IF(Setup!$B$15="",0,IF(N346="",0,IF(ISNUMBER(N346),N346,1)))</f>
        <v/>
      </c>
      <c r="AP346">
        <f>IF(Setup!$B$16="",0,IF(O346="",0,IF(ISNUMBER(O346),O346,1)))</f>
        <v/>
      </c>
      <c r="AQ346">
        <f>IF(Setup!$B$17="",0,IF(P346="",0,IF(ISNUMBER(P346),P346,1)))</f>
        <v/>
      </c>
      <c r="AR346">
        <f>IF(Setup!$B$18="",0,IF(Q346="",0,IF(ISNUMBER(Q346),Q346,1)))</f>
        <v/>
      </c>
      <c r="AS346">
        <f>IF(Setup!$B$19="",0,IF(R346="",0,IF(ISNUMBER(R346),R346,1)))</f>
        <v/>
      </c>
      <c r="AT346">
        <f>IF(Setup!$B$20="",0,IF(S346="",0,IF(ISNUMBER(S346),S346,1)))</f>
        <v/>
      </c>
    </row>
    <row r="347">
      <c r="A347" s="1" t="n"/>
      <c r="B347" s="24" t="n"/>
      <c r="C347" s="25" t="n"/>
      <c r="D347" s="25" t="n"/>
      <c r="E347" s="26" t="n"/>
      <c r="F347" s="27" t="n"/>
      <c r="G347" s="17" t="n"/>
      <c r="H347" s="28" t="n"/>
      <c r="I347" s="28" t="n"/>
      <c r="J347" s="28" t="n"/>
      <c r="K347" s="28" t="n"/>
      <c r="L347" s="28" t="n"/>
      <c r="M347" s="28" t="n"/>
      <c r="N347" s="28" t="n"/>
      <c r="O347" s="28" t="n"/>
      <c r="P347" s="28" t="n"/>
      <c r="Q347" s="28" t="n"/>
      <c r="R347" s="28" t="n"/>
      <c r="S347" s="28" t="n"/>
      <c r="T347" s="29">
        <f>IF(N(E347)=0,"",E347*IF(F347="",1,IFERROR(INDEX(Setup!$E$9:$E$18,MATCH(F347,Setup!$D$9:$D$18,0)),0)))</f>
        <v/>
      </c>
      <c r="U347" s="30">
        <f>IF(T347="","",IF(V347=0,"Everyone",IF(COUNTIF(AI347:AT347,"&gt;0")=COUNTIF(Setup!$B$9:$B$20,"?*"),"Everyone",COUNTIF(AI347:AT347,"&gt;0")&amp;IF(COUNTIF(AI347:AT347,"&gt;0")=1," person"," people"))))</f>
        <v/>
      </c>
      <c r="V347" s="1">
        <f>SUM(AI347:AT347)</f>
        <v/>
      </c>
      <c r="W347">
        <f>IF(OR(T347="",Setup!$B$9=""),0,IF(V347=0,T347/COUNTIF(Setup!$B$9:$B$20,"?*"),T347*AI347/V347))</f>
        <v/>
      </c>
      <c r="X347">
        <f>IF(OR(T347="",Setup!$B$10=""),0,IF(V347=0,T347/COUNTIF(Setup!$B$9:$B$20,"?*"),T347*AJ347/V347))</f>
        <v/>
      </c>
      <c r="Y347">
        <f>IF(OR(T347="",Setup!$B$11=""),0,IF(V347=0,T347/COUNTIF(Setup!$B$9:$B$20,"?*"),T347*AK347/V347))</f>
        <v/>
      </c>
      <c r="Z347">
        <f>IF(OR(T347="",Setup!$B$12=""),0,IF(V347=0,T347/COUNTIF(Setup!$B$9:$B$20,"?*"),T347*AL347/V347))</f>
        <v/>
      </c>
      <c r="AA347">
        <f>IF(OR(T347="",Setup!$B$13=""),0,IF(V347=0,T347/COUNTIF(Setup!$B$9:$B$20,"?*"),T347*AM347/V347))</f>
        <v/>
      </c>
      <c r="AB347">
        <f>IF(OR(T347="",Setup!$B$14=""),0,IF(V347=0,T347/COUNTIF(Setup!$B$9:$B$20,"?*"),T347*AN347/V347))</f>
        <v/>
      </c>
      <c r="AC347">
        <f>IF(OR(T347="",Setup!$B$15=""),0,IF(V347=0,T347/COUNTIF(Setup!$B$9:$B$20,"?*"),T347*AO347/V347))</f>
        <v/>
      </c>
      <c r="AD347">
        <f>IF(OR(T347="",Setup!$B$16=""),0,IF(V347=0,T347/COUNTIF(Setup!$B$9:$B$20,"?*"),T347*AP347/V347))</f>
        <v/>
      </c>
      <c r="AE347">
        <f>IF(OR(T347="",Setup!$B$17=""),0,IF(V347=0,T347/COUNTIF(Setup!$B$9:$B$20,"?*"),T347*AQ347/V347))</f>
        <v/>
      </c>
      <c r="AF347">
        <f>IF(OR(T347="",Setup!$B$18=""),0,IF(V347=0,T347/COUNTIF(Setup!$B$9:$B$20,"?*"),T347*AR347/V347))</f>
        <v/>
      </c>
      <c r="AG347">
        <f>IF(OR(T347="",Setup!$B$19=""),0,IF(V347=0,T347/COUNTIF(Setup!$B$9:$B$20,"?*"),T347*AS347/V347))</f>
        <v/>
      </c>
      <c r="AH347">
        <f>IF(OR(T347="",Setup!$B$20=""),0,IF(V347=0,T347/COUNTIF(Setup!$B$9:$B$20,"?*"),T347*AT347/V347))</f>
        <v/>
      </c>
      <c r="AI347">
        <f>IF(Setup!$B$9="",0,IF(H347="",0,IF(ISNUMBER(H347),H347,1)))</f>
        <v/>
      </c>
      <c r="AJ347">
        <f>IF(Setup!$B$10="",0,IF(I347="",0,IF(ISNUMBER(I347),I347,1)))</f>
        <v/>
      </c>
      <c r="AK347">
        <f>IF(Setup!$B$11="",0,IF(J347="",0,IF(ISNUMBER(J347),J347,1)))</f>
        <v/>
      </c>
      <c r="AL347">
        <f>IF(Setup!$B$12="",0,IF(K347="",0,IF(ISNUMBER(K347),K347,1)))</f>
        <v/>
      </c>
      <c r="AM347">
        <f>IF(Setup!$B$13="",0,IF(L347="",0,IF(ISNUMBER(L347),L347,1)))</f>
        <v/>
      </c>
      <c r="AN347">
        <f>IF(Setup!$B$14="",0,IF(M347="",0,IF(ISNUMBER(M347),M347,1)))</f>
        <v/>
      </c>
      <c r="AO347">
        <f>IF(Setup!$B$15="",0,IF(N347="",0,IF(ISNUMBER(N347),N347,1)))</f>
        <v/>
      </c>
      <c r="AP347">
        <f>IF(Setup!$B$16="",0,IF(O347="",0,IF(ISNUMBER(O347),O347,1)))</f>
        <v/>
      </c>
      <c r="AQ347">
        <f>IF(Setup!$B$17="",0,IF(P347="",0,IF(ISNUMBER(P347),P347,1)))</f>
        <v/>
      </c>
      <c r="AR347">
        <f>IF(Setup!$B$18="",0,IF(Q347="",0,IF(ISNUMBER(Q347),Q347,1)))</f>
        <v/>
      </c>
      <c r="AS347">
        <f>IF(Setup!$B$19="",0,IF(R347="",0,IF(ISNUMBER(R347),R347,1)))</f>
        <v/>
      </c>
      <c r="AT347">
        <f>IF(Setup!$B$20="",0,IF(S347="",0,IF(ISNUMBER(S347),S347,1)))</f>
        <v/>
      </c>
    </row>
    <row r="348">
      <c r="A348" s="1" t="n"/>
      <c r="B348" s="24" t="n"/>
      <c r="C348" s="25" t="n"/>
      <c r="D348" s="25" t="n"/>
      <c r="E348" s="26" t="n"/>
      <c r="F348" s="27" t="n"/>
      <c r="G348" s="17" t="n"/>
      <c r="H348" s="28" t="n"/>
      <c r="I348" s="28" t="n"/>
      <c r="J348" s="28" t="n"/>
      <c r="K348" s="28" t="n"/>
      <c r="L348" s="28" t="n"/>
      <c r="M348" s="28" t="n"/>
      <c r="N348" s="28" t="n"/>
      <c r="O348" s="28" t="n"/>
      <c r="P348" s="28" t="n"/>
      <c r="Q348" s="28" t="n"/>
      <c r="R348" s="28" t="n"/>
      <c r="S348" s="28" t="n"/>
      <c r="T348" s="29">
        <f>IF(N(E348)=0,"",E348*IF(F348="",1,IFERROR(INDEX(Setup!$E$9:$E$18,MATCH(F348,Setup!$D$9:$D$18,0)),0)))</f>
        <v/>
      </c>
      <c r="U348" s="30">
        <f>IF(T348="","",IF(V348=0,"Everyone",IF(COUNTIF(AI348:AT348,"&gt;0")=COUNTIF(Setup!$B$9:$B$20,"?*"),"Everyone",COUNTIF(AI348:AT348,"&gt;0")&amp;IF(COUNTIF(AI348:AT348,"&gt;0")=1," person"," people"))))</f>
        <v/>
      </c>
      <c r="V348" s="1">
        <f>SUM(AI348:AT348)</f>
        <v/>
      </c>
      <c r="W348">
        <f>IF(OR(T348="",Setup!$B$9=""),0,IF(V348=0,T348/COUNTIF(Setup!$B$9:$B$20,"?*"),T348*AI348/V348))</f>
        <v/>
      </c>
      <c r="X348">
        <f>IF(OR(T348="",Setup!$B$10=""),0,IF(V348=0,T348/COUNTIF(Setup!$B$9:$B$20,"?*"),T348*AJ348/V348))</f>
        <v/>
      </c>
      <c r="Y348">
        <f>IF(OR(T348="",Setup!$B$11=""),0,IF(V348=0,T348/COUNTIF(Setup!$B$9:$B$20,"?*"),T348*AK348/V348))</f>
        <v/>
      </c>
      <c r="Z348">
        <f>IF(OR(T348="",Setup!$B$12=""),0,IF(V348=0,T348/COUNTIF(Setup!$B$9:$B$20,"?*"),T348*AL348/V348))</f>
        <v/>
      </c>
      <c r="AA348">
        <f>IF(OR(T348="",Setup!$B$13=""),0,IF(V348=0,T348/COUNTIF(Setup!$B$9:$B$20,"?*"),T348*AM348/V348))</f>
        <v/>
      </c>
      <c r="AB348">
        <f>IF(OR(T348="",Setup!$B$14=""),0,IF(V348=0,T348/COUNTIF(Setup!$B$9:$B$20,"?*"),T348*AN348/V348))</f>
        <v/>
      </c>
      <c r="AC348">
        <f>IF(OR(T348="",Setup!$B$15=""),0,IF(V348=0,T348/COUNTIF(Setup!$B$9:$B$20,"?*"),T348*AO348/V348))</f>
        <v/>
      </c>
      <c r="AD348">
        <f>IF(OR(T348="",Setup!$B$16=""),0,IF(V348=0,T348/COUNTIF(Setup!$B$9:$B$20,"?*"),T348*AP348/V348))</f>
        <v/>
      </c>
      <c r="AE348">
        <f>IF(OR(T348="",Setup!$B$17=""),0,IF(V348=0,T348/COUNTIF(Setup!$B$9:$B$20,"?*"),T348*AQ348/V348))</f>
        <v/>
      </c>
      <c r="AF348">
        <f>IF(OR(T348="",Setup!$B$18=""),0,IF(V348=0,T348/COUNTIF(Setup!$B$9:$B$20,"?*"),T348*AR348/V348))</f>
        <v/>
      </c>
      <c r="AG348">
        <f>IF(OR(T348="",Setup!$B$19=""),0,IF(V348=0,T348/COUNTIF(Setup!$B$9:$B$20,"?*"),T348*AS348/V348))</f>
        <v/>
      </c>
      <c r="AH348">
        <f>IF(OR(T348="",Setup!$B$20=""),0,IF(V348=0,T348/COUNTIF(Setup!$B$9:$B$20,"?*"),T348*AT348/V348))</f>
        <v/>
      </c>
      <c r="AI348">
        <f>IF(Setup!$B$9="",0,IF(H348="",0,IF(ISNUMBER(H348),H348,1)))</f>
        <v/>
      </c>
      <c r="AJ348">
        <f>IF(Setup!$B$10="",0,IF(I348="",0,IF(ISNUMBER(I348),I348,1)))</f>
        <v/>
      </c>
      <c r="AK348">
        <f>IF(Setup!$B$11="",0,IF(J348="",0,IF(ISNUMBER(J348),J348,1)))</f>
        <v/>
      </c>
      <c r="AL348">
        <f>IF(Setup!$B$12="",0,IF(K348="",0,IF(ISNUMBER(K348),K348,1)))</f>
        <v/>
      </c>
      <c r="AM348">
        <f>IF(Setup!$B$13="",0,IF(L348="",0,IF(ISNUMBER(L348),L348,1)))</f>
        <v/>
      </c>
      <c r="AN348">
        <f>IF(Setup!$B$14="",0,IF(M348="",0,IF(ISNUMBER(M348),M348,1)))</f>
        <v/>
      </c>
      <c r="AO348">
        <f>IF(Setup!$B$15="",0,IF(N348="",0,IF(ISNUMBER(N348),N348,1)))</f>
        <v/>
      </c>
      <c r="AP348">
        <f>IF(Setup!$B$16="",0,IF(O348="",0,IF(ISNUMBER(O348),O348,1)))</f>
        <v/>
      </c>
      <c r="AQ348">
        <f>IF(Setup!$B$17="",0,IF(P348="",0,IF(ISNUMBER(P348),P348,1)))</f>
        <v/>
      </c>
      <c r="AR348">
        <f>IF(Setup!$B$18="",0,IF(Q348="",0,IF(ISNUMBER(Q348),Q348,1)))</f>
        <v/>
      </c>
      <c r="AS348">
        <f>IF(Setup!$B$19="",0,IF(R348="",0,IF(ISNUMBER(R348),R348,1)))</f>
        <v/>
      </c>
      <c r="AT348">
        <f>IF(Setup!$B$20="",0,IF(S348="",0,IF(ISNUMBER(S348),S348,1)))</f>
        <v/>
      </c>
    </row>
    <row r="349">
      <c r="A349" s="1" t="n"/>
      <c r="B349" s="24" t="n"/>
      <c r="C349" s="25" t="n"/>
      <c r="D349" s="25" t="n"/>
      <c r="E349" s="26" t="n"/>
      <c r="F349" s="27" t="n"/>
      <c r="G349" s="17" t="n"/>
      <c r="H349" s="28" t="n"/>
      <c r="I349" s="28" t="n"/>
      <c r="J349" s="28" t="n"/>
      <c r="K349" s="28" t="n"/>
      <c r="L349" s="28" t="n"/>
      <c r="M349" s="28" t="n"/>
      <c r="N349" s="28" t="n"/>
      <c r="O349" s="28" t="n"/>
      <c r="P349" s="28" t="n"/>
      <c r="Q349" s="28" t="n"/>
      <c r="R349" s="28" t="n"/>
      <c r="S349" s="28" t="n"/>
      <c r="T349" s="29">
        <f>IF(N(E349)=0,"",E349*IF(F349="",1,IFERROR(INDEX(Setup!$E$9:$E$18,MATCH(F349,Setup!$D$9:$D$18,0)),0)))</f>
        <v/>
      </c>
      <c r="U349" s="30">
        <f>IF(T349="","",IF(V349=0,"Everyone",IF(COUNTIF(AI349:AT349,"&gt;0")=COUNTIF(Setup!$B$9:$B$20,"?*"),"Everyone",COUNTIF(AI349:AT349,"&gt;0")&amp;IF(COUNTIF(AI349:AT349,"&gt;0")=1," person"," people"))))</f>
        <v/>
      </c>
      <c r="V349" s="1">
        <f>SUM(AI349:AT349)</f>
        <v/>
      </c>
      <c r="W349">
        <f>IF(OR(T349="",Setup!$B$9=""),0,IF(V349=0,T349/COUNTIF(Setup!$B$9:$B$20,"?*"),T349*AI349/V349))</f>
        <v/>
      </c>
      <c r="X349">
        <f>IF(OR(T349="",Setup!$B$10=""),0,IF(V349=0,T349/COUNTIF(Setup!$B$9:$B$20,"?*"),T349*AJ349/V349))</f>
        <v/>
      </c>
      <c r="Y349">
        <f>IF(OR(T349="",Setup!$B$11=""),0,IF(V349=0,T349/COUNTIF(Setup!$B$9:$B$20,"?*"),T349*AK349/V349))</f>
        <v/>
      </c>
      <c r="Z349">
        <f>IF(OR(T349="",Setup!$B$12=""),0,IF(V349=0,T349/COUNTIF(Setup!$B$9:$B$20,"?*"),T349*AL349/V349))</f>
        <v/>
      </c>
      <c r="AA349">
        <f>IF(OR(T349="",Setup!$B$13=""),0,IF(V349=0,T349/COUNTIF(Setup!$B$9:$B$20,"?*"),T349*AM349/V349))</f>
        <v/>
      </c>
      <c r="AB349">
        <f>IF(OR(T349="",Setup!$B$14=""),0,IF(V349=0,T349/COUNTIF(Setup!$B$9:$B$20,"?*"),T349*AN349/V349))</f>
        <v/>
      </c>
      <c r="AC349">
        <f>IF(OR(T349="",Setup!$B$15=""),0,IF(V349=0,T349/COUNTIF(Setup!$B$9:$B$20,"?*"),T349*AO349/V349))</f>
        <v/>
      </c>
      <c r="AD349">
        <f>IF(OR(T349="",Setup!$B$16=""),0,IF(V349=0,T349/COUNTIF(Setup!$B$9:$B$20,"?*"),T349*AP349/V349))</f>
        <v/>
      </c>
      <c r="AE349">
        <f>IF(OR(T349="",Setup!$B$17=""),0,IF(V349=0,T349/COUNTIF(Setup!$B$9:$B$20,"?*"),T349*AQ349/V349))</f>
        <v/>
      </c>
      <c r="AF349">
        <f>IF(OR(T349="",Setup!$B$18=""),0,IF(V349=0,T349/COUNTIF(Setup!$B$9:$B$20,"?*"),T349*AR349/V349))</f>
        <v/>
      </c>
      <c r="AG349">
        <f>IF(OR(T349="",Setup!$B$19=""),0,IF(V349=0,T349/COUNTIF(Setup!$B$9:$B$20,"?*"),T349*AS349/V349))</f>
        <v/>
      </c>
      <c r="AH349">
        <f>IF(OR(T349="",Setup!$B$20=""),0,IF(V349=0,T349/COUNTIF(Setup!$B$9:$B$20,"?*"),T349*AT349/V349))</f>
        <v/>
      </c>
      <c r="AI349">
        <f>IF(Setup!$B$9="",0,IF(H349="",0,IF(ISNUMBER(H349),H349,1)))</f>
        <v/>
      </c>
      <c r="AJ349">
        <f>IF(Setup!$B$10="",0,IF(I349="",0,IF(ISNUMBER(I349),I349,1)))</f>
        <v/>
      </c>
      <c r="AK349">
        <f>IF(Setup!$B$11="",0,IF(J349="",0,IF(ISNUMBER(J349),J349,1)))</f>
        <v/>
      </c>
      <c r="AL349">
        <f>IF(Setup!$B$12="",0,IF(K349="",0,IF(ISNUMBER(K349),K349,1)))</f>
        <v/>
      </c>
      <c r="AM349">
        <f>IF(Setup!$B$13="",0,IF(L349="",0,IF(ISNUMBER(L349),L349,1)))</f>
        <v/>
      </c>
      <c r="AN349">
        <f>IF(Setup!$B$14="",0,IF(M349="",0,IF(ISNUMBER(M349),M349,1)))</f>
        <v/>
      </c>
      <c r="AO349">
        <f>IF(Setup!$B$15="",0,IF(N349="",0,IF(ISNUMBER(N349),N349,1)))</f>
        <v/>
      </c>
      <c r="AP349">
        <f>IF(Setup!$B$16="",0,IF(O349="",0,IF(ISNUMBER(O349),O349,1)))</f>
        <v/>
      </c>
      <c r="AQ349">
        <f>IF(Setup!$B$17="",0,IF(P349="",0,IF(ISNUMBER(P349),P349,1)))</f>
        <v/>
      </c>
      <c r="AR349">
        <f>IF(Setup!$B$18="",0,IF(Q349="",0,IF(ISNUMBER(Q349),Q349,1)))</f>
        <v/>
      </c>
      <c r="AS349">
        <f>IF(Setup!$B$19="",0,IF(R349="",0,IF(ISNUMBER(R349),R349,1)))</f>
        <v/>
      </c>
      <c r="AT349">
        <f>IF(Setup!$B$20="",0,IF(S349="",0,IF(ISNUMBER(S349),S349,1)))</f>
        <v/>
      </c>
    </row>
    <row r="350">
      <c r="A350" s="1" t="n"/>
      <c r="B350" s="24" t="n"/>
      <c r="C350" s="25" t="n"/>
      <c r="D350" s="25" t="n"/>
      <c r="E350" s="26" t="n"/>
      <c r="F350" s="27" t="n"/>
      <c r="G350" s="17" t="n"/>
      <c r="H350" s="28" t="n"/>
      <c r="I350" s="28" t="n"/>
      <c r="J350" s="28" t="n"/>
      <c r="K350" s="28" t="n"/>
      <c r="L350" s="28" t="n"/>
      <c r="M350" s="28" t="n"/>
      <c r="N350" s="28" t="n"/>
      <c r="O350" s="28" t="n"/>
      <c r="P350" s="28" t="n"/>
      <c r="Q350" s="28" t="n"/>
      <c r="R350" s="28" t="n"/>
      <c r="S350" s="28" t="n"/>
      <c r="T350" s="29">
        <f>IF(N(E350)=0,"",E350*IF(F350="",1,IFERROR(INDEX(Setup!$E$9:$E$18,MATCH(F350,Setup!$D$9:$D$18,0)),0)))</f>
        <v/>
      </c>
      <c r="U350" s="30">
        <f>IF(T350="","",IF(V350=0,"Everyone",IF(COUNTIF(AI350:AT350,"&gt;0")=COUNTIF(Setup!$B$9:$B$20,"?*"),"Everyone",COUNTIF(AI350:AT350,"&gt;0")&amp;IF(COUNTIF(AI350:AT350,"&gt;0")=1," person"," people"))))</f>
        <v/>
      </c>
      <c r="V350" s="1">
        <f>SUM(AI350:AT350)</f>
        <v/>
      </c>
      <c r="W350">
        <f>IF(OR(T350="",Setup!$B$9=""),0,IF(V350=0,T350/COUNTIF(Setup!$B$9:$B$20,"?*"),T350*AI350/V350))</f>
        <v/>
      </c>
      <c r="X350">
        <f>IF(OR(T350="",Setup!$B$10=""),0,IF(V350=0,T350/COUNTIF(Setup!$B$9:$B$20,"?*"),T350*AJ350/V350))</f>
        <v/>
      </c>
      <c r="Y350">
        <f>IF(OR(T350="",Setup!$B$11=""),0,IF(V350=0,T350/COUNTIF(Setup!$B$9:$B$20,"?*"),T350*AK350/V350))</f>
        <v/>
      </c>
      <c r="Z350">
        <f>IF(OR(T350="",Setup!$B$12=""),0,IF(V350=0,T350/COUNTIF(Setup!$B$9:$B$20,"?*"),T350*AL350/V350))</f>
        <v/>
      </c>
      <c r="AA350">
        <f>IF(OR(T350="",Setup!$B$13=""),0,IF(V350=0,T350/COUNTIF(Setup!$B$9:$B$20,"?*"),T350*AM350/V350))</f>
        <v/>
      </c>
      <c r="AB350">
        <f>IF(OR(T350="",Setup!$B$14=""),0,IF(V350=0,T350/COUNTIF(Setup!$B$9:$B$20,"?*"),T350*AN350/V350))</f>
        <v/>
      </c>
      <c r="AC350">
        <f>IF(OR(T350="",Setup!$B$15=""),0,IF(V350=0,T350/COUNTIF(Setup!$B$9:$B$20,"?*"),T350*AO350/V350))</f>
        <v/>
      </c>
      <c r="AD350">
        <f>IF(OR(T350="",Setup!$B$16=""),0,IF(V350=0,T350/COUNTIF(Setup!$B$9:$B$20,"?*"),T350*AP350/V350))</f>
        <v/>
      </c>
      <c r="AE350">
        <f>IF(OR(T350="",Setup!$B$17=""),0,IF(V350=0,T350/COUNTIF(Setup!$B$9:$B$20,"?*"),T350*AQ350/V350))</f>
        <v/>
      </c>
      <c r="AF350">
        <f>IF(OR(T350="",Setup!$B$18=""),0,IF(V350=0,T350/COUNTIF(Setup!$B$9:$B$20,"?*"),T350*AR350/V350))</f>
        <v/>
      </c>
      <c r="AG350">
        <f>IF(OR(T350="",Setup!$B$19=""),0,IF(V350=0,T350/COUNTIF(Setup!$B$9:$B$20,"?*"),T350*AS350/V350))</f>
        <v/>
      </c>
      <c r="AH350">
        <f>IF(OR(T350="",Setup!$B$20=""),0,IF(V350=0,T350/COUNTIF(Setup!$B$9:$B$20,"?*"),T350*AT350/V350))</f>
        <v/>
      </c>
      <c r="AI350">
        <f>IF(Setup!$B$9="",0,IF(H350="",0,IF(ISNUMBER(H350),H350,1)))</f>
        <v/>
      </c>
      <c r="AJ350">
        <f>IF(Setup!$B$10="",0,IF(I350="",0,IF(ISNUMBER(I350),I350,1)))</f>
        <v/>
      </c>
      <c r="AK350">
        <f>IF(Setup!$B$11="",0,IF(J350="",0,IF(ISNUMBER(J350),J350,1)))</f>
        <v/>
      </c>
      <c r="AL350">
        <f>IF(Setup!$B$12="",0,IF(K350="",0,IF(ISNUMBER(K350),K350,1)))</f>
        <v/>
      </c>
      <c r="AM350">
        <f>IF(Setup!$B$13="",0,IF(L350="",0,IF(ISNUMBER(L350),L350,1)))</f>
        <v/>
      </c>
      <c r="AN350">
        <f>IF(Setup!$B$14="",0,IF(M350="",0,IF(ISNUMBER(M350),M350,1)))</f>
        <v/>
      </c>
      <c r="AO350">
        <f>IF(Setup!$B$15="",0,IF(N350="",0,IF(ISNUMBER(N350),N350,1)))</f>
        <v/>
      </c>
      <c r="AP350">
        <f>IF(Setup!$B$16="",0,IF(O350="",0,IF(ISNUMBER(O350),O350,1)))</f>
        <v/>
      </c>
      <c r="AQ350">
        <f>IF(Setup!$B$17="",0,IF(P350="",0,IF(ISNUMBER(P350),P350,1)))</f>
        <v/>
      </c>
      <c r="AR350">
        <f>IF(Setup!$B$18="",0,IF(Q350="",0,IF(ISNUMBER(Q350),Q350,1)))</f>
        <v/>
      </c>
      <c r="AS350">
        <f>IF(Setup!$B$19="",0,IF(R350="",0,IF(ISNUMBER(R350),R350,1)))</f>
        <v/>
      </c>
      <c r="AT350">
        <f>IF(Setup!$B$20="",0,IF(S350="",0,IF(ISNUMBER(S350),S350,1)))</f>
        <v/>
      </c>
    </row>
    <row r="351">
      <c r="A351" s="1" t="n"/>
      <c r="B351" s="24" t="n"/>
      <c r="C351" s="25" t="n"/>
      <c r="D351" s="25" t="n"/>
      <c r="E351" s="26" t="n"/>
      <c r="F351" s="27" t="n"/>
      <c r="G351" s="17" t="n"/>
      <c r="H351" s="28" t="n"/>
      <c r="I351" s="28" t="n"/>
      <c r="J351" s="28" t="n"/>
      <c r="K351" s="28" t="n"/>
      <c r="L351" s="28" t="n"/>
      <c r="M351" s="28" t="n"/>
      <c r="N351" s="28" t="n"/>
      <c r="O351" s="28" t="n"/>
      <c r="P351" s="28" t="n"/>
      <c r="Q351" s="28" t="n"/>
      <c r="R351" s="28" t="n"/>
      <c r="S351" s="28" t="n"/>
      <c r="T351" s="29">
        <f>IF(N(E351)=0,"",E351*IF(F351="",1,IFERROR(INDEX(Setup!$E$9:$E$18,MATCH(F351,Setup!$D$9:$D$18,0)),0)))</f>
        <v/>
      </c>
      <c r="U351" s="30">
        <f>IF(T351="","",IF(V351=0,"Everyone",IF(COUNTIF(AI351:AT351,"&gt;0")=COUNTIF(Setup!$B$9:$B$20,"?*"),"Everyone",COUNTIF(AI351:AT351,"&gt;0")&amp;IF(COUNTIF(AI351:AT351,"&gt;0")=1," person"," people"))))</f>
        <v/>
      </c>
      <c r="V351" s="1">
        <f>SUM(AI351:AT351)</f>
        <v/>
      </c>
      <c r="W351">
        <f>IF(OR(T351="",Setup!$B$9=""),0,IF(V351=0,T351/COUNTIF(Setup!$B$9:$B$20,"?*"),T351*AI351/V351))</f>
        <v/>
      </c>
      <c r="X351">
        <f>IF(OR(T351="",Setup!$B$10=""),0,IF(V351=0,T351/COUNTIF(Setup!$B$9:$B$20,"?*"),T351*AJ351/V351))</f>
        <v/>
      </c>
      <c r="Y351">
        <f>IF(OR(T351="",Setup!$B$11=""),0,IF(V351=0,T351/COUNTIF(Setup!$B$9:$B$20,"?*"),T351*AK351/V351))</f>
        <v/>
      </c>
      <c r="Z351">
        <f>IF(OR(T351="",Setup!$B$12=""),0,IF(V351=0,T351/COUNTIF(Setup!$B$9:$B$20,"?*"),T351*AL351/V351))</f>
        <v/>
      </c>
      <c r="AA351">
        <f>IF(OR(T351="",Setup!$B$13=""),0,IF(V351=0,T351/COUNTIF(Setup!$B$9:$B$20,"?*"),T351*AM351/V351))</f>
        <v/>
      </c>
      <c r="AB351">
        <f>IF(OR(T351="",Setup!$B$14=""),0,IF(V351=0,T351/COUNTIF(Setup!$B$9:$B$20,"?*"),T351*AN351/V351))</f>
        <v/>
      </c>
      <c r="AC351">
        <f>IF(OR(T351="",Setup!$B$15=""),0,IF(V351=0,T351/COUNTIF(Setup!$B$9:$B$20,"?*"),T351*AO351/V351))</f>
        <v/>
      </c>
      <c r="AD351">
        <f>IF(OR(T351="",Setup!$B$16=""),0,IF(V351=0,T351/COUNTIF(Setup!$B$9:$B$20,"?*"),T351*AP351/V351))</f>
        <v/>
      </c>
      <c r="AE351">
        <f>IF(OR(T351="",Setup!$B$17=""),0,IF(V351=0,T351/COUNTIF(Setup!$B$9:$B$20,"?*"),T351*AQ351/V351))</f>
        <v/>
      </c>
      <c r="AF351">
        <f>IF(OR(T351="",Setup!$B$18=""),0,IF(V351=0,T351/COUNTIF(Setup!$B$9:$B$20,"?*"),T351*AR351/V351))</f>
        <v/>
      </c>
      <c r="AG351">
        <f>IF(OR(T351="",Setup!$B$19=""),0,IF(V351=0,T351/COUNTIF(Setup!$B$9:$B$20,"?*"),T351*AS351/V351))</f>
        <v/>
      </c>
      <c r="AH351">
        <f>IF(OR(T351="",Setup!$B$20=""),0,IF(V351=0,T351/COUNTIF(Setup!$B$9:$B$20,"?*"),T351*AT351/V351))</f>
        <v/>
      </c>
      <c r="AI351">
        <f>IF(Setup!$B$9="",0,IF(H351="",0,IF(ISNUMBER(H351),H351,1)))</f>
        <v/>
      </c>
      <c r="AJ351">
        <f>IF(Setup!$B$10="",0,IF(I351="",0,IF(ISNUMBER(I351),I351,1)))</f>
        <v/>
      </c>
      <c r="AK351">
        <f>IF(Setup!$B$11="",0,IF(J351="",0,IF(ISNUMBER(J351),J351,1)))</f>
        <v/>
      </c>
      <c r="AL351">
        <f>IF(Setup!$B$12="",0,IF(K351="",0,IF(ISNUMBER(K351),K351,1)))</f>
        <v/>
      </c>
      <c r="AM351">
        <f>IF(Setup!$B$13="",0,IF(L351="",0,IF(ISNUMBER(L351),L351,1)))</f>
        <v/>
      </c>
      <c r="AN351">
        <f>IF(Setup!$B$14="",0,IF(M351="",0,IF(ISNUMBER(M351),M351,1)))</f>
        <v/>
      </c>
      <c r="AO351">
        <f>IF(Setup!$B$15="",0,IF(N351="",0,IF(ISNUMBER(N351),N351,1)))</f>
        <v/>
      </c>
      <c r="AP351">
        <f>IF(Setup!$B$16="",0,IF(O351="",0,IF(ISNUMBER(O351),O351,1)))</f>
        <v/>
      </c>
      <c r="AQ351">
        <f>IF(Setup!$B$17="",0,IF(P351="",0,IF(ISNUMBER(P351),P351,1)))</f>
        <v/>
      </c>
      <c r="AR351">
        <f>IF(Setup!$B$18="",0,IF(Q351="",0,IF(ISNUMBER(Q351),Q351,1)))</f>
        <v/>
      </c>
      <c r="AS351">
        <f>IF(Setup!$B$19="",0,IF(R351="",0,IF(ISNUMBER(R351),R351,1)))</f>
        <v/>
      </c>
      <c r="AT351">
        <f>IF(Setup!$B$20="",0,IF(S351="",0,IF(ISNUMBER(S351),S351,1)))</f>
        <v/>
      </c>
    </row>
    <row r="352">
      <c r="A352" s="1" t="n"/>
      <c r="B352" s="24" t="n"/>
      <c r="C352" s="25" t="n"/>
      <c r="D352" s="25" t="n"/>
      <c r="E352" s="26" t="n"/>
      <c r="F352" s="27" t="n"/>
      <c r="G352" s="17" t="n"/>
      <c r="H352" s="28" t="n"/>
      <c r="I352" s="28" t="n"/>
      <c r="J352" s="28" t="n"/>
      <c r="K352" s="28" t="n"/>
      <c r="L352" s="28" t="n"/>
      <c r="M352" s="28" t="n"/>
      <c r="N352" s="28" t="n"/>
      <c r="O352" s="28" t="n"/>
      <c r="P352" s="28" t="n"/>
      <c r="Q352" s="28" t="n"/>
      <c r="R352" s="28" t="n"/>
      <c r="S352" s="28" t="n"/>
      <c r="T352" s="29">
        <f>IF(N(E352)=0,"",E352*IF(F352="",1,IFERROR(INDEX(Setup!$E$9:$E$18,MATCH(F352,Setup!$D$9:$D$18,0)),0)))</f>
        <v/>
      </c>
      <c r="U352" s="30">
        <f>IF(T352="","",IF(V352=0,"Everyone",IF(COUNTIF(AI352:AT352,"&gt;0")=COUNTIF(Setup!$B$9:$B$20,"?*"),"Everyone",COUNTIF(AI352:AT352,"&gt;0")&amp;IF(COUNTIF(AI352:AT352,"&gt;0")=1," person"," people"))))</f>
        <v/>
      </c>
      <c r="V352" s="1">
        <f>SUM(AI352:AT352)</f>
        <v/>
      </c>
      <c r="W352">
        <f>IF(OR(T352="",Setup!$B$9=""),0,IF(V352=0,T352/COUNTIF(Setup!$B$9:$B$20,"?*"),T352*AI352/V352))</f>
        <v/>
      </c>
      <c r="X352">
        <f>IF(OR(T352="",Setup!$B$10=""),0,IF(V352=0,T352/COUNTIF(Setup!$B$9:$B$20,"?*"),T352*AJ352/V352))</f>
        <v/>
      </c>
      <c r="Y352">
        <f>IF(OR(T352="",Setup!$B$11=""),0,IF(V352=0,T352/COUNTIF(Setup!$B$9:$B$20,"?*"),T352*AK352/V352))</f>
        <v/>
      </c>
      <c r="Z352">
        <f>IF(OR(T352="",Setup!$B$12=""),0,IF(V352=0,T352/COUNTIF(Setup!$B$9:$B$20,"?*"),T352*AL352/V352))</f>
        <v/>
      </c>
      <c r="AA352">
        <f>IF(OR(T352="",Setup!$B$13=""),0,IF(V352=0,T352/COUNTIF(Setup!$B$9:$B$20,"?*"),T352*AM352/V352))</f>
        <v/>
      </c>
      <c r="AB352">
        <f>IF(OR(T352="",Setup!$B$14=""),0,IF(V352=0,T352/COUNTIF(Setup!$B$9:$B$20,"?*"),T352*AN352/V352))</f>
        <v/>
      </c>
      <c r="AC352">
        <f>IF(OR(T352="",Setup!$B$15=""),0,IF(V352=0,T352/COUNTIF(Setup!$B$9:$B$20,"?*"),T352*AO352/V352))</f>
        <v/>
      </c>
      <c r="AD352">
        <f>IF(OR(T352="",Setup!$B$16=""),0,IF(V352=0,T352/COUNTIF(Setup!$B$9:$B$20,"?*"),T352*AP352/V352))</f>
        <v/>
      </c>
      <c r="AE352">
        <f>IF(OR(T352="",Setup!$B$17=""),0,IF(V352=0,T352/COUNTIF(Setup!$B$9:$B$20,"?*"),T352*AQ352/V352))</f>
        <v/>
      </c>
      <c r="AF352">
        <f>IF(OR(T352="",Setup!$B$18=""),0,IF(V352=0,T352/COUNTIF(Setup!$B$9:$B$20,"?*"),T352*AR352/V352))</f>
        <v/>
      </c>
      <c r="AG352">
        <f>IF(OR(T352="",Setup!$B$19=""),0,IF(V352=0,T352/COUNTIF(Setup!$B$9:$B$20,"?*"),T352*AS352/V352))</f>
        <v/>
      </c>
      <c r="AH352">
        <f>IF(OR(T352="",Setup!$B$20=""),0,IF(V352=0,T352/COUNTIF(Setup!$B$9:$B$20,"?*"),T352*AT352/V352))</f>
        <v/>
      </c>
      <c r="AI352">
        <f>IF(Setup!$B$9="",0,IF(H352="",0,IF(ISNUMBER(H352),H352,1)))</f>
        <v/>
      </c>
      <c r="AJ352">
        <f>IF(Setup!$B$10="",0,IF(I352="",0,IF(ISNUMBER(I352),I352,1)))</f>
        <v/>
      </c>
      <c r="AK352">
        <f>IF(Setup!$B$11="",0,IF(J352="",0,IF(ISNUMBER(J352),J352,1)))</f>
        <v/>
      </c>
      <c r="AL352">
        <f>IF(Setup!$B$12="",0,IF(K352="",0,IF(ISNUMBER(K352),K352,1)))</f>
        <v/>
      </c>
      <c r="AM352">
        <f>IF(Setup!$B$13="",0,IF(L352="",0,IF(ISNUMBER(L352),L352,1)))</f>
        <v/>
      </c>
      <c r="AN352">
        <f>IF(Setup!$B$14="",0,IF(M352="",0,IF(ISNUMBER(M352),M352,1)))</f>
        <v/>
      </c>
      <c r="AO352">
        <f>IF(Setup!$B$15="",0,IF(N352="",0,IF(ISNUMBER(N352),N352,1)))</f>
        <v/>
      </c>
      <c r="AP352">
        <f>IF(Setup!$B$16="",0,IF(O352="",0,IF(ISNUMBER(O352),O352,1)))</f>
        <v/>
      </c>
      <c r="AQ352">
        <f>IF(Setup!$B$17="",0,IF(P352="",0,IF(ISNUMBER(P352),P352,1)))</f>
        <v/>
      </c>
      <c r="AR352">
        <f>IF(Setup!$B$18="",0,IF(Q352="",0,IF(ISNUMBER(Q352),Q352,1)))</f>
        <v/>
      </c>
      <c r="AS352">
        <f>IF(Setup!$B$19="",0,IF(R352="",0,IF(ISNUMBER(R352),R352,1)))</f>
        <v/>
      </c>
      <c r="AT352">
        <f>IF(Setup!$B$20="",0,IF(S352="",0,IF(ISNUMBER(S352),S352,1)))</f>
        <v/>
      </c>
    </row>
    <row r="353">
      <c r="A353" s="1" t="n"/>
      <c r="B353" s="24" t="n"/>
      <c r="C353" s="25" t="n"/>
      <c r="D353" s="25" t="n"/>
      <c r="E353" s="26" t="n"/>
      <c r="F353" s="27" t="n"/>
      <c r="G353" s="17" t="n"/>
      <c r="H353" s="28" t="n"/>
      <c r="I353" s="28" t="n"/>
      <c r="J353" s="28" t="n"/>
      <c r="K353" s="28" t="n"/>
      <c r="L353" s="28" t="n"/>
      <c r="M353" s="28" t="n"/>
      <c r="N353" s="28" t="n"/>
      <c r="O353" s="28" t="n"/>
      <c r="P353" s="28" t="n"/>
      <c r="Q353" s="28" t="n"/>
      <c r="R353" s="28" t="n"/>
      <c r="S353" s="28" t="n"/>
      <c r="T353" s="29">
        <f>IF(N(E353)=0,"",E353*IF(F353="",1,IFERROR(INDEX(Setup!$E$9:$E$18,MATCH(F353,Setup!$D$9:$D$18,0)),0)))</f>
        <v/>
      </c>
      <c r="U353" s="30">
        <f>IF(T353="","",IF(V353=0,"Everyone",IF(COUNTIF(AI353:AT353,"&gt;0")=COUNTIF(Setup!$B$9:$B$20,"?*"),"Everyone",COUNTIF(AI353:AT353,"&gt;0")&amp;IF(COUNTIF(AI353:AT353,"&gt;0")=1," person"," people"))))</f>
        <v/>
      </c>
      <c r="V353" s="1">
        <f>SUM(AI353:AT353)</f>
        <v/>
      </c>
      <c r="W353">
        <f>IF(OR(T353="",Setup!$B$9=""),0,IF(V353=0,T353/COUNTIF(Setup!$B$9:$B$20,"?*"),T353*AI353/V353))</f>
        <v/>
      </c>
      <c r="X353">
        <f>IF(OR(T353="",Setup!$B$10=""),0,IF(V353=0,T353/COUNTIF(Setup!$B$9:$B$20,"?*"),T353*AJ353/V353))</f>
        <v/>
      </c>
      <c r="Y353">
        <f>IF(OR(T353="",Setup!$B$11=""),0,IF(V353=0,T353/COUNTIF(Setup!$B$9:$B$20,"?*"),T353*AK353/V353))</f>
        <v/>
      </c>
      <c r="Z353">
        <f>IF(OR(T353="",Setup!$B$12=""),0,IF(V353=0,T353/COUNTIF(Setup!$B$9:$B$20,"?*"),T353*AL353/V353))</f>
        <v/>
      </c>
      <c r="AA353">
        <f>IF(OR(T353="",Setup!$B$13=""),0,IF(V353=0,T353/COUNTIF(Setup!$B$9:$B$20,"?*"),T353*AM353/V353))</f>
        <v/>
      </c>
      <c r="AB353">
        <f>IF(OR(T353="",Setup!$B$14=""),0,IF(V353=0,T353/COUNTIF(Setup!$B$9:$B$20,"?*"),T353*AN353/V353))</f>
        <v/>
      </c>
      <c r="AC353">
        <f>IF(OR(T353="",Setup!$B$15=""),0,IF(V353=0,T353/COUNTIF(Setup!$B$9:$B$20,"?*"),T353*AO353/V353))</f>
        <v/>
      </c>
      <c r="AD353">
        <f>IF(OR(T353="",Setup!$B$16=""),0,IF(V353=0,T353/COUNTIF(Setup!$B$9:$B$20,"?*"),T353*AP353/V353))</f>
        <v/>
      </c>
      <c r="AE353">
        <f>IF(OR(T353="",Setup!$B$17=""),0,IF(V353=0,T353/COUNTIF(Setup!$B$9:$B$20,"?*"),T353*AQ353/V353))</f>
        <v/>
      </c>
      <c r="AF353">
        <f>IF(OR(T353="",Setup!$B$18=""),0,IF(V353=0,T353/COUNTIF(Setup!$B$9:$B$20,"?*"),T353*AR353/V353))</f>
        <v/>
      </c>
      <c r="AG353">
        <f>IF(OR(T353="",Setup!$B$19=""),0,IF(V353=0,T353/COUNTIF(Setup!$B$9:$B$20,"?*"),T353*AS353/V353))</f>
        <v/>
      </c>
      <c r="AH353">
        <f>IF(OR(T353="",Setup!$B$20=""),0,IF(V353=0,T353/COUNTIF(Setup!$B$9:$B$20,"?*"),T353*AT353/V353))</f>
        <v/>
      </c>
      <c r="AI353">
        <f>IF(Setup!$B$9="",0,IF(H353="",0,IF(ISNUMBER(H353),H353,1)))</f>
        <v/>
      </c>
      <c r="AJ353">
        <f>IF(Setup!$B$10="",0,IF(I353="",0,IF(ISNUMBER(I353),I353,1)))</f>
        <v/>
      </c>
      <c r="AK353">
        <f>IF(Setup!$B$11="",0,IF(J353="",0,IF(ISNUMBER(J353),J353,1)))</f>
        <v/>
      </c>
      <c r="AL353">
        <f>IF(Setup!$B$12="",0,IF(K353="",0,IF(ISNUMBER(K353),K353,1)))</f>
        <v/>
      </c>
      <c r="AM353">
        <f>IF(Setup!$B$13="",0,IF(L353="",0,IF(ISNUMBER(L353),L353,1)))</f>
        <v/>
      </c>
      <c r="AN353">
        <f>IF(Setup!$B$14="",0,IF(M353="",0,IF(ISNUMBER(M353),M353,1)))</f>
        <v/>
      </c>
      <c r="AO353">
        <f>IF(Setup!$B$15="",0,IF(N353="",0,IF(ISNUMBER(N353),N353,1)))</f>
        <v/>
      </c>
      <c r="AP353">
        <f>IF(Setup!$B$16="",0,IF(O353="",0,IF(ISNUMBER(O353),O353,1)))</f>
        <v/>
      </c>
      <c r="AQ353">
        <f>IF(Setup!$B$17="",0,IF(P353="",0,IF(ISNUMBER(P353),P353,1)))</f>
        <v/>
      </c>
      <c r="AR353">
        <f>IF(Setup!$B$18="",0,IF(Q353="",0,IF(ISNUMBER(Q353),Q353,1)))</f>
        <v/>
      </c>
      <c r="AS353">
        <f>IF(Setup!$B$19="",0,IF(R353="",0,IF(ISNUMBER(R353),R353,1)))</f>
        <v/>
      </c>
      <c r="AT353">
        <f>IF(Setup!$B$20="",0,IF(S353="",0,IF(ISNUMBER(S353),S353,1)))</f>
        <v/>
      </c>
    </row>
    <row r="354">
      <c r="A354" s="1" t="n"/>
      <c r="B354" s="24" t="n"/>
      <c r="C354" s="25" t="n"/>
      <c r="D354" s="25" t="n"/>
      <c r="E354" s="26" t="n"/>
      <c r="F354" s="27" t="n"/>
      <c r="G354" s="17" t="n"/>
      <c r="H354" s="28" t="n"/>
      <c r="I354" s="28" t="n"/>
      <c r="J354" s="28" t="n"/>
      <c r="K354" s="28" t="n"/>
      <c r="L354" s="28" t="n"/>
      <c r="M354" s="28" t="n"/>
      <c r="N354" s="28" t="n"/>
      <c r="O354" s="28" t="n"/>
      <c r="P354" s="28" t="n"/>
      <c r="Q354" s="28" t="n"/>
      <c r="R354" s="28" t="n"/>
      <c r="S354" s="28" t="n"/>
      <c r="T354" s="29">
        <f>IF(N(E354)=0,"",E354*IF(F354="",1,IFERROR(INDEX(Setup!$E$9:$E$18,MATCH(F354,Setup!$D$9:$D$18,0)),0)))</f>
        <v/>
      </c>
      <c r="U354" s="30">
        <f>IF(T354="","",IF(V354=0,"Everyone",IF(COUNTIF(AI354:AT354,"&gt;0")=COUNTIF(Setup!$B$9:$B$20,"?*"),"Everyone",COUNTIF(AI354:AT354,"&gt;0")&amp;IF(COUNTIF(AI354:AT354,"&gt;0")=1," person"," people"))))</f>
        <v/>
      </c>
      <c r="V354" s="1">
        <f>SUM(AI354:AT354)</f>
        <v/>
      </c>
      <c r="W354">
        <f>IF(OR(T354="",Setup!$B$9=""),0,IF(V354=0,T354/COUNTIF(Setup!$B$9:$B$20,"?*"),T354*AI354/V354))</f>
        <v/>
      </c>
      <c r="X354">
        <f>IF(OR(T354="",Setup!$B$10=""),0,IF(V354=0,T354/COUNTIF(Setup!$B$9:$B$20,"?*"),T354*AJ354/V354))</f>
        <v/>
      </c>
      <c r="Y354">
        <f>IF(OR(T354="",Setup!$B$11=""),0,IF(V354=0,T354/COUNTIF(Setup!$B$9:$B$20,"?*"),T354*AK354/V354))</f>
        <v/>
      </c>
      <c r="Z354">
        <f>IF(OR(T354="",Setup!$B$12=""),0,IF(V354=0,T354/COUNTIF(Setup!$B$9:$B$20,"?*"),T354*AL354/V354))</f>
        <v/>
      </c>
      <c r="AA354">
        <f>IF(OR(T354="",Setup!$B$13=""),0,IF(V354=0,T354/COUNTIF(Setup!$B$9:$B$20,"?*"),T354*AM354/V354))</f>
        <v/>
      </c>
      <c r="AB354">
        <f>IF(OR(T354="",Setup!$B$14=""),0,IF(V354=0,T354/COUNTIF(Setup!$B$9:$B$20,"?*"),T354*AN354/V354))</f>
        <v/>
      </c>
      <c r="AC354">
        <f>IF(OR(T354="",Setup!$B$15=""),0,IF(V354=0,T354/COUNTIF(Setup!$B$9:$B$20,"?*"),T354*AO354/V354))</f>
        <v/>
      </c>
      <c r="AD354">
        <f>IF(OR(T354="",Setup!$B$16=""),0,IF(V354=0,T354/COUNTIF(Setup!$B$9:$B$20,"?*"),T354*AP354/V354))</f>
        <v/>
      </c>
      <c r="AE354">
        <f>IF(OR(T354="",Setup!$B$17=""),0,IF(V354=0,T354/COUNTIF(Setup!$B$9:$B$20,"?*"),T354*AQ354/V354))</f>
        <v/>
      </c>
      <c r="AF354">
        <f>IF(OR(T354="",Setup!$B$18=""),0,IF(V354=0,T354/COUNTIF(Setup!$B$9:$B$20,"?*"),T354*AR354/V354))</f>
        <v/>
      </c>
      <c r="AG354">
        <f>IF(OR(T354="",Setup!$B$19=""),0,IF(V354=0,T354/COUNTIF(Setup!$B$9:$B$20,"?*"),T354*AS354/V354))</f>
        <v/>
      </c>
      <c r="AH354">
        <f>IF(OR(T354="",Setup!$B$20=""),0,IF(V354=0,T354/COUNTIF(Setup!$B$9:$B$20,"?*"),T354*AT354/V354))</f>
        <v/>
      </c>
      <c r="AI354">
        <f>IF(Setup!$B$9="",0,IF(H354="",0,IF(ISNUMBER(H354),H354,1)))</f>
        <v/>
      </c>
      <c r="AJ354">
        <f>IF(Setup!$B$10="",0,IF(I354="",0,IF(ISNUMBER(I354),I354,1)))</f>
        <v/>
      </c>
      <c r="AK354">
        <f>IF(Setup!$B$11="",0,IF(J354="",0,IF(ISNUMBER(J354),J354,1)))</f>
        <v/>
      </c>
      <c r="AL354">
        <f>IF(Setup!$B$12="",0,IF(K354="",0,IF(ISNUMBER(K354),K354,1)))</f>
        <v/>
      </c>
      <c r="AM354">
        <f>IF(Setup!$B$13="",0,IF(L354="",0,IF(ISNUMBER(L354),L354,1)))</f>
        <v/>
      </c>
      <c r="AN354">
        <f>IF(Setup!$B$14="",0,IF(M354="",0,IF(ISNUMBER(M354),M354,1)))</f>
        <v/>
      </c>
      <c r="AO354">
        <f>IF(Setup!$B$15="",0,IF(N354="",0,IF(ISNUMBER(N354),N354,1)))</f>
        <v/>
      </c>
      <c r="AP354">
        <f>IF(Setup!$B$16="",0,IF(O354="",0,IF(ISNUMBER(O354),O354,1)))</f>
        <v/>
      </c>
      <c r="AQ354">
        <f>IF(Setup!$B$17="",0,IF(P354="",0,IF(ISNUMBER(P354),P354,1)))</f>
        <v/>
      </c>
      <c r="AR354">
        <f>IF(Setup!$B$18="",0,IF(Q354="",0,IF(ISNUMBER(Q354),Q354,1)))</f>
        <v/>
      </c>
      <c r="AS354">
        <f>IF(Setup!$B$19="",0,IF(R354="",0,IF(ISNUMBER(R354),R354,1)))</f>
        <v/>
      </c>
      <c r="AT354">
        <f>IF(Setup!$B$20="",0,IF(S354="",0,IF(ISNUMBER(S354),S354,1)))</f>
        <v/>
      </c>
    </row>
    <row r="355">
      <c r="A355" s="1" t="n"/>
      <c r="B355" s="24" t="n"/>
      <c r="C355" s="25" t="n"/>
      <c r="D355" s="25" t="n"/>
      <c r="E355" s="26" t="n"/>
      <c r="F355" s="27" t="n"/>
      <c r="G355" s="17" t="n"/>
      <c r="H355" s="28" t="n"/>
      <c r="I355" s="28" t="n"/>
      <c r="J355" s="28" t="n"/>
      <c r="K355" s="28" t="n"/>
      <c r="L355" s="28" t="n"/>
      <c r="M355" s="28" t="n"/>
      <c r="N355" s="28" t="n"/>
      <c r="O355" s="28" t="n"/>
      <c r="P355" s="28" t="n"/>
      <c r="Q355" s="28" t="n"/>
      <c r="R355" s="28" t="n"/>
      <c r="S355" s="28" t="n"/>
      <c r="T355" s="29">
        <f>IF(N(E355)=0,"",E355*IF(F355="",1,IFERROR(INDEX(Setup!$E$9:$E$18,MATCH(F355,Setup!$D$9:$D$18,0)),0)))</f>
        <v/>
      </c>
      <c r="U355" s="30">
        <f>IF(T355="","",IF(V355=0,"Everyone",IF(COUNTIF(AI355:AT355,"&gt;0")=COUNTIF(Setup!$B$9:$B$20,"?*"),"Everyone",COUNTIF(AI355:AT355,"&gt;0")&amp;IF(COUNTIF(AI355:AT355,"&gt;0")=1," person"," people"))))</f>
        <v/>
      </c>
      <c r="V355" s="1">
        <f>SUM(AI355:AT355)</f>
        <v/>
      </c>
      <c r="W355">
        <f>IF(OR(T355="",Setup!$B$9=""),0,IF(V355=0,T355/COUNTIF(Setup!$B$9:$B$20,"?*"),T355*AI355/V355))</f>
        <v/>
      </c>
      <c r="X355">
        <f>IF(OR(T355="",Setup!$B$10=""),0,IF(V355=0,T355/COUNTIF(Setup!$B$9:$B$20,"?*"),T355*AJ355/V355))</f>
        <v/>
      </c>
      <c r="Y355">
        <f>IF(OR(T355="",Setup!$B$11=""),0,IF(V355=0,T355/COUNTIF(Setup!$B$9:$B$20,"?*"),T355*AK355/V355))</f>
        <v/>
      </c>
      <c r="Z355">
        <f>IF(OR(T355="",Setup!$B$12=""),0,IF(V355=0,T355/COUNTIF(Setup!$B$9:$B$20,"?*"),T355*AL355/V355))</f>
        <v/>
      </c>
      <c r="AA355">
        <f>IF(OR(T355="",Setup!$B$13=""),0,IF(V355=0,T355/COUNTIF(Setup!$B$9:$B$20,"?*"),T355*AM355/V355))</f>
        <v/>
      </c>
      <c r="AB355">
        <f>IF(OR(T355="",Setup!$B$14=""),0,IF(V355=0,T355/COUNTIF(Setup!$B$9:$B$20,"?*"),T355*AN355/V355))</f>
        <v/>
      </c>
      <c r="AC355">
        <f>IF(OR(T355="",Setup!$B$15=""),0,IF(V355=0,T355/COUNTIF(Setup!$B$9:$B$20,"?*"),T355*AO355/V355))</f>
        <v/>
      </c>
      <c r="AD355">
        <f>IF(OR(T355="",Setup!$B$16=""),0,IF(V355=0,T355/COUNTIF(Setup!$B$9:$B$20,"?*"),T355*AP355/V355))</f>
        <v/>
      </c>
      <c r="AE355">
        <f>IF(OR(T355="",Setup!$B$17=""),0,IF(V355=0,T355/COUNTIF(Setup!$B$9:$B$20,"?*"),T355*AQ355/V355))</f>
        <v/>
      </c>
      <c r="AF355">
        <f>IF(OR(T355="",Setup!$B$18=""),0,IF(V355=0,T355/COUNTIF(Setup!$B$9:$B$20,"?*"),T355*AR355/V355))</f>
        <v/>
      </c>
      <c r="AG355">
        <f>IF(OR(T355="",Setup!$B$19=""),0,IF(V355=0,T355/COUNTIF(Setup!$B$9:$B$20,"?*"),T355*AS355/V355))</f>
        <v/>
      </c>
      <c r="AH355">
        <f>IF(OR(T355="",Setup!$B$20=""),0,IF(V355=0,T355/COUNTIF(Setup!$B$9:$B$20,"?*"),T355*AT355/V355))</f>
        <v/>
      </c>
      <c r="AI355">
        <f>IF(Setup!$B$9="",0,IF(H355="",0,IF(ISNUMBER(H355),H355,1)))</f>
        <v/>
      </c>
      <c r="AJ355">
        <f>IF(Setup!$B$10="",0,IF(I355="",0,IF(ISNUMBER(I355),I355,1)))</f>
        <v/>
      </c>
      <c r="AK355">
        <f>IF(Setup!$B$11="",0,IF(J355="",0,IF(ISNUMBER(J355),J355,1)))</f>
        <v/>
      </c>
      <c r="AL355">
        <f>IF(Setup!$B$12="",0,IF(K355="",0,IF(ISNUMBER(K355),K355,1)))</f>
        <v/>
      </c>
      <c r="AM355">
        <f>IF(Setup!$B$13="",0,IF(L355="",0,IF(ISNUMBER(L355),L355,1)))</f>
        <v/>
      </c>
      <c r="AN355">
        <f>IF(Setup!$B$14="",0,IF(M355="",0,IF(ISNUMBER(M355),M355,1)))</f>
        <v/>
      </c>
      <c r="AO355">
        <f>IF(Setup!$B$15="",0,IF(N355="",0,IF(ISNUMBER(N355),N355,1)))</f>
        <v/>
      </c>
      <c r="AP355">
        <f>IF(Setup!$B$16="",0,IF(O355="",0,IF(ISNUMBER(O355),O355,1)))</f>
        <v/>
      </c>
      <c r="AQ355">
        <f>IF(Setup!$B$17="",0,IF(P355="",0,IF(ISNUMBER(P355),P355,1)))</f>
        <v/>
      </c>
      <c r="AR355">
        <f>IF(Setup!$B$18="",0,IF(Q355="",0,IF(ISNUMBER(Q355),Q355,1)))</f>
        <v/>
      </c>
      <c r="AS355">
        <f>IF(Setup!$B$19="",0,IF(R355="",0,IF(ISNUMBER(R355),R355,1)))</f>
        <v/>
      </c>
      <c r="AT355">
        <f>IF(Setup!$B$20="",0,IF(S355="",0,IF(ISNUMBER(S355),S355,1)))</f>
        <v/>
      </c>
    </row>
    <row r="356">
      <c r="A356" s="1" t="n"/>
      <c r="B356" s="24" t="n"/>
      <c r="C356" s="25" t="n"/>
      <c r="D356" s="25" t="n"/>
      <c r="E356" s="26" t="n"/>
      <c r="F356" s="27" t="n"/>
      <c r="G356" s="17" t="n"/>
      <c r="H356" s="28" t="n"/>
      <c r="I356" s="28" t="n"/>
      <c r="J356" s="28" t="n"/>
      <c r="K356" s="28" t="n"/>
      <c r="L356" s="28" t="n"/>
      <c r="M356" s="28" t="n"/>
      <c r="N356" s="28" t="n"/>
      <c r="O356" s="28" t="n"/>
      <c r="P356" s="28" t="n"/>
      <c r="Q356" s="28" t="n"/>
      <c r="R356" s="28" t="n"/>
      <c r="S356" s="28" t="n"/>
      <c r="T356" s="29">
        <f>IF(N(E356)=0,"",E356*IF(F356="",1,IFERROR(INDEX(Setup!$E$9:$E$18,MATCH(F356,Setup!$D$9:$D$18,0)),0)))</f>
        <v/>
      </c>
      <c r="U356" s="30">
        <f>IF(T356="","",IF(V356=0,"Everyone",IF(COUNTIF(AI356:AT356,"&gt;0")=COUNTIF(Setup!$B$9:$B$20,"?*"),"Everyone",COUNTIF(AI356:AT356,"&gt;0")&amp;IF(COUNTIF(AI356:AT356,"&gt;0")=1," person"," people"))))</f>
        <v/>
      </c>
      <c r="V356" s="1">
        <f>SUM(AI356:AT356)</f>
        <v/>
      </c>
      <c r="W356">
        <f>IF(OR(T356="",Setup!$B$9=""),0,IF(V356=0,T356/COUNTIF(Setup!$B$9:$B$20,"?*"),T356*AI356/V356))</f>
        <v/>
      </c>
      <c r="X356">
        <f>IF(OR(T356="",Setup!$B$10=""),0,IF(V356=0,T356/COUNTIF(Setup!$B$9:$B$20,"?*"),T356*AJ356/V356))</f>
        <v/>
      </c>
      <c r="Y356">
        <f>IF(OR(T356="",Setup!$B$11=""),0,IF(V356=0,T356/COUNTIF(Setup!$B$9:$B$20,"?*"),T356*AK356/V356))</f>
        <v/>
      </c>
      <c r="Z356">
        <f>IF(OR(T356="",Setup!$B$12=""),0,IF(V356=0,T356/COUNTIF(Setup!$B$9:$B$20,"?*"),T356*AL356/V356))</f>
        <v/>
      </c>
      <c r="AA356">
        <f>IF(OR(T356="",Setup!$B$13=""),0,IF(V356=0,T356/COUNTIF(Setup!$B$9:$B$20,"?*"),T356*AM356/V356))</f>
        <v/>
      </c>
      <c r="AB356">
        <f>IF(OR(T356="",Setup!$B$14=""),0,IF(V356=0,T356/COUNTIF(Setup!$B$9:$B$20,"?*"),T356*AN356/V356))</f>
        <v/>
      </c>
      <c r="AC356">
        <f>IF(OR(T356="",Setup!$B$15=""),0,IF(V356=0,T356/COUNTIF(Setup!$B$9:$B$20,"?*"),T356*AO356/V356))</f>
        <v/>
      </c>
      <c r="AD356">
        <f>IF(OR(T356="",Setup!$B$16=""),0,IF(V356=0,T356/COUNTIF(Setup!$B$9:$B$20,"?*"),T356*AP356/V356))</f>
        <v/>
      </c>
      <c r="AE356">
        <f>IF(OR(T356="",Setup!$B$17=""),0,IF(V356=0,T356/COUNTIF(Setup!$B$9:$B$20,"?*"),T356*AQ356/V356))</f>
        <v/>
      </c>
      <c r="AF356">
        <f>IF(OR(T356="",Setup!$B$18=""),0,IF(V356=0,T356/COUNTIF(Setup!$B$9:$B$20,"?*"),T356*AR356/V356))</f>
        <v/>
      </c>
      <c r="AG356">
        <f>IF(OR(T356="",Setup!$B$19=""),0,IF(V356=0,T356/COUNTIF(Setup!$B$9:$B$20,"?*"),T356*AS356/V356))</f>
        <v/>
      </c>
      <c r="AH356">
        <f>IF(OR(T356="",Setup!$B$20=""),0,IF(V356=0,T356/COUNTIF(Setup!$B$9:$B$20,"?*"),T356*AT356/V356))</f>
        <v/>
      </c>
      <c r="AI356">
        <f>IF(Setup!$B$9="",0,IF(H356="",0,IF(ISNUMBER(H356),H356,1)))</f>
        <v/>
      </c>
      <c r="AJ356">
        <f>IF(Setup!$B$10="",0,IF(I356="",0,IF(ISNUMBER(I356),I356,1)))</f>
        <v/>
      </c>
      <c r="AK356">
        <f>IF(Setup!$B$11="",0,IF(J356="",0,IF(ISNUMBER(J356),J356,1)))</f>
        <v/>
      </c>
      <c r="AL356">
        <f>IF(Setup!$B$12="",0,IF(K356="",0,IF(ISNUMBER(K356),K356,1)))</f>
        <v/>
      </c>
      <c r="AM356">
        <f>IF(Setup!$B$13="",0,IF(L356="",0,IF(ISNUMBER(L356),L356,1)))</f>
        <v/>
      </c>
      <c r="AN356">
        <f>IF(Setup!$B$14="",0,IF(M356="",0,IF(ISNUMBER(M356),M356,1)))</f>
        <v/>
      </c>
      <c r="AO356">
        <f>IF(Setup!$B$15="",0,IF(N356="",0,IF(ISNUMBER(N356),N356,1)))</f>
        <v/>
      </c>
      <c r="AP356">
        <f>IF(Setup!$B$16="",0,IF(O356="",0,IF(ISNUMBER(O356),O356,1)))</f>
        <v/>
      </c>
      <c r="AQ356">
        <f>IF(Setup!$B$17="",0,IF(P356="",0,IF(ISNUMBER(P356),P356,1)))</f>
        <v/>
      </c>
      <c r="AR356">
        <f>IF(Setup!$B$18="",0,IF(Q356="",0,IF(ISNUMBER(Q356),Q356,1)))</f>
        <v/>
      </c>
      <c r="AS356">
        <f>IF(Setup!$B$19="",0,IF(R356="",0,IF(ISNUMBER(R356),R356,1)))</f>
        <v/>
      </c>
      <c r="AT356">
        <f>IF(Setup!$B$20="",0,IF(S356="",0,IF(ISNUMBER(S356),S356,1)))</f>
        <v/>
      </c>
    </row>
    <row r="357">
      <c r="A357" s="1" t="n"/>
      <c r="B357" s="24" t="n"/>
      <c r="C357" s="25" t="n"/>
      <c r="D357" s="25" t="n"/>
      <c r="E357" s="26" t="n"/>
      <c r="F357" s="27" t="n"/>
      <c r="G357" s="17" t="n"/>
      <c r="H357" s="28" t="n"/>
      <c r="I357" s="28" t="n"/>
      <c r="J357" s="28" t="n"/>
      <c r="K357" s="28" t="n"/>
      <c r="L357" s="28" t="n"/>
      <c r="M357" s="28" t="n"/>
      <c r="N357" s="28" t="n"/>
      <c r="O357" s="28" t="n"/>
      <c r="P357" s="28" t="n"/>
      <c r="Q357" s="28" t="n"/>
      <c r="R357" s="28" t="n"/>
      <c r="S357" s="28" t="n"/>
      <c r="T357" s="29">
        <f>IF(N(E357)=0,"",E357*IF(F357="",1,IFERROR(INDEX(Setup!$E$9:$E$18,MATCH(F357,Setup!$D$9:$D$18,0)),0)))</f>
        <v/>
      </c>
      <c r="U357" s="30">
        <f>IF(T357="","",IF(V357=0,"Everyone",IF(COUNTIF(AI357:AT357,"&gt;0")=COUNTIF(Setup!$B$9:$B$20,"?*"),"Everyone",COUNTIF(AI357:AT357,"&gt;0")&amp;IF(COUNTIF(AI357:AT357,"&gt;0")=1," person"," people"))))</f>
        <v/>
      </c>
      <c r="V357" s="1">
        <f>SUM(AI357:AT357)</f>
        <v/>
      </c>
      <c r="W357">
        <f>IF(OR(T357="",Setup!$B$9=""),0,IF(V357=0,T357/COUNTIF(Setup!$B$9:$B$20,"?*"),T357*AI357/V357))</f>
        <v/>
      </c>
      <c r="X357">
        <f>IF(OR(T357="",Setup!$B$10=""),0,IF(V357=0,T357/COUNTIF(Setup!$B$9:$B$20,"?*"),T357*AJ357/V357))</f>
        <v/>
      </c>
      <c r="Y357">
        <f>IF(OR(T357="",Setup!$B$11=""),0,IF(V357=0,T357/COUNTIF(Setup!$B$9:$B$20,"?*"),T357*AK357/V357))</f>
        <v/>
      </c>
      <c r="Z357">
        <f>IF(OR(T357="",Setup!$B$12=""),0,IF(V357=0,T357/COUNTIF(Setup!$B$9:$B$20,"?*"),T357*AL357/V357))</f>
        <v/>
      </c>
      <c r="AA357">
        <f>IF(OR(T357="",Setup!$B$13=""),0,IF(V357=0,T357/COUNTIF(Setup!$B$9:$B$20,"?*"),T357*AM357/V357))</f>
        <v/>
      </c>
      <c r="AB357">
        <f>IF(OR(T357="",Setup!$B$14=""),0,IF(V357=0,T357/COUNTIF(Setup!$B$9:$B$20,"?*"),T357*AN357/V357))</f>
        <v/>
      </c>
      <c r="AC357">
        <f>IF(OR(T357="",Setup!$B$15=""),0,IF(V357=0,T357/COUNTIF(Setup!$B$9:$B$20,"?*"),T357*AO357/V357))</f>
        <v/>
      </c>
      <c r="AD357">
        <f>IF(OR(T357="",Setup!$B$16=""),0,IF(V357=0,T357/COUNTIF(Setup!$B$9:$B$20,"?*"),T357*AP357/V357))</f>
        <v/>
      </c>
      <c r="AE357">
        <f>IF(OR(T357="",Setup!$B$17=""),0,IF(V357=0,T357/COUNTIF(Setup!$B$9:$B$20,"?*"),T357*AQ357/V357))</f>
        <v/>
      </c>
      <c r="AF357">
        <f>IF(OR(T357="",Setup!$B$18=""),0,IF(V357=0,T357/COUNTIF(Setup!$B$9:$B$20,"?*"),T357*AR357/V357))</f>
        <v/>
      </c>
      <c r="AG357">
        <f>IF(OR(T357="",Setup!$B$19=""),0,IF(V357=0,T357/COUNTIF(Setup!$B$9:$B$20,"?*"),T357*AS357/V357))</f>
        <v/>
      </c>
      <c r="AH357">
        <f>IF(OR(T357="",Setup!$B$20=""),0,IF(V357=0,T357/COUNTIF(Setup!$B$9:$B$20,"?*"),T357*AT357/V357))</f>
        <v/>
      </c>
      <c r="AI357">
        <f>IF(Setup!$B$9="",0,IF(H357="",0,IF(ISNUMBER(H357),H357,1)))</f>
        <v/>
      </c>
      <c r="AJ357">
        <f>IF(Setup!$B$10="",0,IF(I357="",0,IF(ISNUMBER(I357),I357,1)))</f>
        <v/>
      </c>
      <c r="AK357">
        <f>IF(Setup!$B$11="",0,IF(J357="",0,IF(ISNUMBER(J357),J357,1)))</f>
        <v/>
      </c>
      <c r="AL357">
        <f>IF(Setup!$B$12="",0,IF(K357="",0,IF(ISNUMBER(K357),K357,1)))</f>
        <v/>
      </c>
      <c r="AM357">
        <f>IF(Setup!$B$13="",0,IF(L357="",0,IF(ISNUMBER(L357),L357,1)))</f>
        <v/>
      </c>
      <c r="AN357">
        <f>IF(Setup!$B$14="",0,IF(M357="",0,IF(ISNUMBER(M357),M357,1)))</f>
        <v/>
      </c>
      <c r="AO357">
        <f>IF(Setup!$B$15="",0,IF(N357="",0,IF(ISNUMBER(N357),N357,1)))</f>
        <v/>
      </c>
      <c r="AP357">
        <f>IF(Setup!$B$16="",0,IF(O357="",0,IF(ISNUMBER(O357),O357,1)))</f>
        <v/>
      </c>
      <c r="AQ357">
        <f>IF(Setup!$B$17="",0,IF(P357="",0,IF(ISNUMBER(P357),P357,1)))</f>
        <v/>
      </c>
      <c r="AR357">
        <f>IF(Setup!$B$18="",0,IF(Q357="",0,IF(ISNUMBER(Q357),Q357,1)))</f>
        <v/>
      </c>
      <c r="AS357">
        <f>IF(Setup!$B$19="",0,IF(R357="",0,IF(ISNUMBER(R357),R357,1)))</f>
        <v/>
      </c>
      <c r="AT357">
        <f>IF(Setup!$B$20="",0,IF(S357="",0,IF(ISNUMBER(S357),S357,1)))</f>
        <v/>
      </c>
    </row>
    <row r="358">
      <c r="A358" s="1" t="n"/>
      <c r="B358" s="24" t="n"/>
      <c r="C358" s="25" t="n"/>
      <c r="D358" s="25" t="n"/>
      <c r="E358" s="26" t="n"/>
      <c r="F358" s="27" t="n"/>
      <c r="G358" s="17" t="n"/>
      <c r="H358" s="28" t="n"/>
      <c r="I358" s="28" t="n"/>
      <c r="J358" s="28" t="n"/>
      <c r="K358" s="28" t="n"/>
      <c r="L358" s="28" t="n"/>
      <c r="M358" s="28" t="n"/>
      <c r="N358" s="28" t="n"/>
      <c r="O358" s="28" t="n"/>
      <c r="P358" s="28" t="n"/>
      <c r="Q358" s="28" t="n"/>
      <c r="R358" s="28" t="n"/>
      <c r="S358" s="28" t="n"/>
      <c r="T358" s="29">
        <f>IF(N(E358)=0,"",E358*IF(F358="",1,IFERROR(INDEX(Setup!$E$9:$E$18,MATCH(F358,Setup!$D$9:$D$18,0)),0)))</f>
        <v/>
      </c>
      <c r="U358" s="30">
        <f>IF(T358="","",IF(V358=0,"Everyone",IF(COUNTIF(AI358:AT358,"&gt;0")=COUNTIF(Setup!$B$9:$B$20,"?*"),"Everyone",COUNTIF(AI358:AT358,"&gt;0")&amp;IF(COUNTIF(AI358:AT358,"&gt;0")=1," person"," people"))))</f>
        <v/>
      </c>
      <c r="V358" s="1">
        <f>SUM(AI358:AT358)</f>
        <v/>
      </c>
      <c r="W358">
        <f>IF(OR(T358="",Setup!$B$9=""),0,IF(V358=0,T358/COUNTIF(Setup!$B$9:$B$20,"?*"),T358*AI358/V358))</f>
        <v/>
      </c>
      <c r="X358">
        <f>IF(OR(T358="",Setup!$B$10=""),0,IF(V358=0,T358/COUNTIF(Setup!$B$9:$B$20,"?*"),T358*AJ358/V358))</f>
        <v/>
      </c>
      <c r="Y358">
        <f>IF(OR(T358="",Setup!$B$11=""),0,IF(V358=0,T358/COUNTIF(Setup!$B$9:$B$20,"?*"),T358*AK358/V358))</f>
        <v/>
      </c>
      <c r="Z358">
        <f>IF(OR(T358="",Setup!$B$12=""),0,IF(V358=0,T358/COUNTIF(Setup!$B$9:$B$20,"?*"),T358*AL358/V358))</f>
        <v/>
      </c>
      <c r="AA358">
        <f>IF(OR(T358="",Setup!$B$13=""),0,IF(V358=0,T358/COUNTIF(Setup!$B$9:$B$20,"?*"),T358*AM358/V358))</f>
        <v/>
      </c>
      <c r="AB358">
        <f>IF(OR(T358="",Setup!$B$14=""),0,IF(V358=0,T358/COUNTIF(Setup!$B$9:$B$20,"?*"),T358*AN358/V358))</f>
        <v/>
      </c>
      <c r="AC358">
        <f>IF(OR(T358="",Setup!$B$15=""),0,IF(V358=0,T358/COUNTIF(Setup!$B$9:$B$20,"?*"),T358*AO358/V358))</f>
        <v/>
      </c>
      <c r="AD358">
        <f>IF(OR(T358="",Setup!$B$16=""),0,IF(V358=0,T358/COUNTIF(Setup!$B$9:$B$20,"?*"),T358*AP358/V358))</f>
        <v/>
      </c>
      <c r="AE358">
        <f>IF(OR(T358="",Setup!$B$17=""),0,IF(V358=0,T358/COUNTIF(Setup!$B$9:$B$20,"?*"),T358*AQ358/V358))</f>
        <v/>
      </c>
      <c r="AF358">
        <f>IF(OR(T358="",Setup!$B$18=""),0,IF(V358=0,T358/COUNTIF(Setup!$B$9:$B$20,"?*"),T358*AR358/V358))</f>
        <v/>
      </c>
      <c r="AG358">
        <f>IF(OR(T358="",Setup!$B$19=""),0,IF(V358=0,T358/COUNTIF(Setup!$B$9:$B$20,"?*"),T358*AS358/V358))</f>
        <v/>
      </c>
      <c r="AH358">
        <f>IF(OR(T358="",Setup!$B$20=""),0,IF(V358=0,T358/COUNTIF(Setup!$B$9:$B$20,"?*"),T358*AT358/V358))</f>
        <v/>
      </c>
      <c r="AI358">
        <f>IF(Setup!$B$9="",0,IF(H358="",0,IF(ISNUMBER(H358),H358,1)))</f>
        <v/>
      </c>
      <c r="AJ358">
        <f>IF(Setup!$B$10="",0,IF(I358="",0,IF(ISNUMBER(I358),I358,1)))</f>
        <v/>
      </c>
      <c r="AK358">
        <f>IF(Setup!$B$11="",0,IF(J358="",0,IF(ISNUMBER(J358),J358,1)))</f>
        <v/>
      </c>
      <c r="AL358">
        <f>IF(Setup!$B$12="",0,IF(K358="",0,IF(ISNUMBER(K358),K358,1)))</f>
        <v/>
      </c>
      <c r="AM358">
        <f>IF(Setup!$B$13="",0,IF(L358="",0,IF(ISNUMBER(L358),L358,1)))</f>
        <v/>
      </c>
      <c r="AN358">
        <f>IF(Setup!$B$14="",0,IF(M358="",0,IF(ISNUMBER(M358),M358,1)))</f>
        <v/>
      </c>
      <c r="AO358">
        <f>IF(Setup!$B$15="",0,IF(N358="",0,IF(ISNUMBER(N358),N358,1)))</f>
        <v/>
      </c>
      <c r="AP358">
        <f>IF(Setup!$B$16="",0,IF(O358="",0,IF(ISNUMBER(O358),O358,1)))</f>
        <v/>
      </c>
      <c r="AQ358">
        <f>IF(Setup!$B$17="",0,IF(P358="",0,IF(ISNUMBER(P358),P358,1)))</f>
        <v/>
      </c>
      <c r="AR358">
        <f>IF(Setup!$B$18="",0,IF(Q358="",0,IF(ISNUMBER(Q358),Q358,1)))</f>
        <v/>
      </c>
      <c r="AS358">
        <f>IF(Setup!$B$19="",0,IF(R358="",0,IF(ISNUMBER(R358),R358,1)))</f>
        <v/>
      </c>
      <c r="AT358">
        <f>IF(Setup!$B$20="",0,IF(S358="",0,IF(ISNUMBER(S358),S358,1)))</f>
        <v/>
      </c>
    </row>
    <row r="359">
      <c r="A359" s="1" t="n"/>
      <c r="B359" s="24" t="n"/>
      <c r="C359" s="25" t="n"/>
      <c r="D359" s="25" t="n"/>
      <c r="E359" s="26" t="n"/>
      <c r="F359" s="27" t="n"/>
      <c r="G359" s="17" t="n"/>
      <c r="H359" s="28" t="n"/>
      <c r="I359" s="28" t="n"/>
      <c r="J359" s="28" t="n"/>
      <c r="K359" s="28" t="n"/>
      <c r="L359" s="28" t="n"/>
      <c r="M359" s="28" t="n"/>
      <c r="N359" s="28" t="n"/>
      <c r="O359" s="28" t="n"/>
      <c r="P359" s="28" t="n"/>
      <c r="Q359" s="28" t="n"/>
      <c r="R359" s="28" t="n"/>
      <c r="S359" s="28" t="n"/>
      <c r="T359" s="29">
        <f>IF(N(E359)=0,"",E359*IF(F359="",1,IFERROR(INDEX(Setup!$E$9:$E$18,MATCH(F359,Setup!$D$9:$D$18,0)),0)))</f>
        <v/>
      </c>
      <c r="U359" s="30">
        <f>IF(T359="","",IF(V359=0,"Everyone",IF(COUNTIF(AI359:AT359,"&gt;0")=COUNTIF(Setup!$B$9:$B$20,"?*"),"Everyone",COUNTIF(AI359:AT359,"&gt;0")&amp;IF(COUNTIF(AI359:AT359,"&gt;0")=1," person"," people"))))</f>
        <v/>
      </c>
      <c r="V359" s="1">
        <f>SUM(AI359:AT359)</f>
        <v/>
      </c>
      <c r="W359">
        <f>IF(OR(T359="",Setup!$B$9=""),0,IF(V359=0,T359/COUNTIF(Setup!$B$9:$B$20,"?*"),T359*AI359/V359))</f>
        <v/>
      </c>
      <c r="X359">
        <f>IF(OR(T359="",Setup!$B$10=""),0,IF(V359=0,T359/COUNTIF(Setup!$B$9:$B$20,"?*"),T359*AJ359/V359))</f>
        <v/>
      </c>
      <c r="Y359">
        <f>IF(OR(T359="",Setup!$B$11=""),0,IF(V359=0,T359/COUNTIF(Setup!$B$9:$B$20,"?*"),T359*AK359/V359))</f>
        <v/>
      </c>
      <c r="Z359">
        <f>IF(OR(T359="",Setup!$B$12=""),0,IF(V359=0,T359/COUNTIF(Setup!$B$9:$B$20,"?*"),T359*AL359/V359))</f>
        <v/>
      </c>
      <c r="AA359">
        <f>IF(OR(T359="",Setup!$B$13=""),0,IF(V359=0,T359/COUNTIF(Setup!$B$9:$B$20,"?*"),T359*AM359/V359))</f>
        <v/>
      </c>
      <c r="AB359">
        <f>IF(OR(T359="",Setup!$B$14=""),0,IF(V359=0,T359/COUNTIF(Setup!$B$9:$B$20,"?*"),T359*AN359/V359))</f>
        <v/>
      </c>
      <c r="AC359">
        <f>IF(OR(T359="",Setup!$B$15=""),0,IF(V359=0,T359/COUNTIF(Setup!$B$9:$B$20,"?*"),T359*AO359/V359))</f>
        <v/>
      </c>
      <c r="AD359">
        <f>IF(OR(T359="",Setup!$B$16=""),0,IF(V359=0,T359/COUNTIF(Setup!$B$9:$B$20,"?*"),T359*AP359/V359))</f>
        <v/>
      </c>
      <c r="AE359">
        <f>IF(OR(T359="",Setup!$B$17=""),0,IF(V359=0,T359/COUNTIF(Setup!$B$9:$B$20,"?*"),T359*AQ359/V359))</f>
        <v/>
      </c>
      <c r="AF359">
        <f>IF(OR(T359="",Setup!$B$18=""),0,IF(V359=0,T359/COUNTIF(Setup!$B$9:$B$20,"?*"),T359*AR359/V359))</f>
        <v/>
      </c>
      <c r="AG359">
        <f>IF(OR(T359="",Setup!$B$19=""),0,IF(V359=0,T359/COUNTIF(Setup!$B$9:$B$20,"?*"),T359*AS359/V359))</f>
        <v/>
      </c>
      <c r="AH359">
        <f>IF(OR(T359="",Setup!$B$20=""),0,IF(V359=0,T359/COUNTIF(Setup!$B$9:$B$20,"?*"),T359*AT359/V359))</f>
        <v/>
      </c>
      <c r="AI359">
        <f>IF(Setup!$B$9="",0,IF(H359="",0,IF(ISNUMBER(H359),H359,1)))</f>
        <v/>
      </c>
      <c r="AJ359">
        <f>IF(Setup!$B$10="",0,IF(I359="",0,IF(ISNUMBER(I359),I359,1)))</f>
        <v/>
      </c>
      <c r="AK359">
        <f>IF(Setup!$B$11="",0,IF(J359="",0,IF(ISNUMBER(J359),J359,1)))</f>
        <v/>
      </c>
      <c r="AL359">
        <f>IF(Setup!$B$12="",0,IF(K359="",0,IF(ISNUMBER(K359),K359,1)))</f>
        <v/>
      </c>
      <c r="AM359">
        <f>IF(Setup!$B$13="",0,IF(L359="",0,IF(ISNUMBER(L359),L359,1)))</f>
        <v/>
      </c>
      <c r="AN359">
        <f>IF(Setup!$B$14="",0,IF(M359="",0,IF(ISNUMBER(M359),M359,1)))</f>
        <v/>
      </c>
      <c r="AO359">
        <f>IF(Setup!$B$15="",0,IF(N359="",0,IF(ISNUMBER(N359),N359,1)))</f>
        <v/>
      </c>
      <c r="AP359">
        <f>IF(Setup!$B$16="",0,IF(O359="",0,IF(ISNUMBER(O359),O359,1)))</f>
        <v/>
      </c>
      <c r="AQ359">
        <f>IF(Setup!$B$17="",0,IF(P359="",0,IF(ISNUMBER(P359),P359,1)))</f>
        <v/>
      </c>
      <c r="AR359">
        <f>IF(Setup!$B$18="",0,IF(Q359="",0,IF(ISNUMBER(Q359),Q359,1)))</f>
        <v/>
      </c>
      <c r="AS359">
        <f>IF(Setup!$B$19="",0,IF(R359="",0,IF(ISNUMBER(R359),R359,1)))</f>
        <v/>
      </c>
      <c r="AT359">
        <f>IF(Setup!$B$20="",0,IF(S359="",0,IF(ISNUMBER(S359),S359,1)))</f>
        <v/>
      </c>
    </row>
    <row r="360">
      <c r="A360" s="1" t="n"/>
      <c r="B360" s="24" t="n"/>
      <c r="C360" s="25" t="n"/>
      <c r="D360" s="25" t="n"/>
      <c r="E360" s="26" t="n"/>
      <c r="F360" s="27" t="n"/>
      <c r="G360" s="17" t="n"/>
      <c r="H360" s="28" t="n"/>
      <c r="I360" s="28" t="n"/>
      <c r="J360" s="28" t="n"/>
      <c r="K360" s="28" t="n"/>
      <c r="L360" s="28" t="n"/>
      <c r="M360" s="28" t="n"/>
      <c r="N360" s="28" t="n"/>
      <c r="O360" s="28" t="n"/>
      <c r="P360" s="28" t="n"/>
      <c r="Q360" s="28" t="n"/>
      <c r="R360" s="28" t="n"/>
      <c r="S360" s="28" t="n"/>
      <c r="T360" s="29">
        <f>IF(N(E360)=0,"",E360*IF(F360="",1,IFERROR(INDEX(Setup!$E$9:$E$18,MATCH(F360,Setup!$D$9:$D$18,0)),0)))</f>
        <v/>
      </c>
      <c r="U360" s="30">
        <f>IF(T360="","",IF(V360=0,"Everyone",IF(COUNTIF(AI360:AT360,"&gt;0")=COUNTIF(Setup!$B$9:$B$20,"?*"),"Everyone",COUNTIF(AI360:AT360,"&gt;0")&amp;IF(COUNTIF(AI360:AT360,"&gt;0")=1," person"," people"))))</f>
        <v/>
      </c>
      <c r="V360" s="1">
        <f>SUM(AI360:AT360)</f>
        <v/>
      </c>
      <c r="W360">
        <f>IF(OR(T360="",Setup!$B$9=""),0,IF(V360=0,T360/COUNTIF(Setup!$B$9:$B$20,"?*"),T360*AI360/V360))</f>
        <v/>
      </c>
      <c r="X360">
        <f>IF(OR(T360="",Setup!$B$10=""),0,IF(V360=0,T360/COUNTIF(Setup!$B$9:$B$20,"?*"),T360*AJ360/V360))</f>
        <v/>
      </c>
      <c r="Y360">
        <f>IF(OR(T360="",Setup!$B$11=""),0,IF(V360=0,T360/COUNTIF(Setup!$B$9:$B$20,"?*"),T360*AK360/V360))</f>
        <v/>
      </c>
      <c r="Z360">
        <f>IF(OR(T360="",Setup!$B$12=""),0,IF(V360=0,T360/COUNTIF(Setup!$B$9:$B$20,"?*"),T360*AL360/V360))</f>
        <v/>
      </c>
      <c r="AA360">
        <f>IF(OR(T360="",Setup!$B$13=""),0,IF(V360=0,T360/COUNTIF(Setup!$B$9:$B$20,"?*"),T360*AM360/V360))</f>
        <v/>
      </c>
      <c r="AB360">
        <f>IF(OR(T360="",Setup!$B$14=""),0,IF(V360=0,T360/COUNTIF(Setup!$B$9:$B$20,"?*"),T360*AN360/V360))</f>
        <v/>
      </c>
      <c r="AC360">
        <f>IF(OR(T360="",Setup!$B$15=""),0,IF(V360=0,T360/COUNTIF(Setup!$B$9:$B$20,"?*"),T360*AO360/V360))</f>
        <v/>
      </c>
      <c r="AD360">
        <f>IF(OR(T360="",Setup!$B$16=""),0,IF(V360=0,T360/COUNTIF(Setup!$B$9:$B$20,"?*"),T360*AP360/V360))</f>
        <v/>
      </c>
      <c r="AE360">
        <f>IF(OR(T360="",Setup!$B$17=""),0,IF(V360=0,T360/COUNTIF(Setup!$B$9:$B$20,"?*"),T360*AQ360/V360))</f>
        <v/>
      </c>
      <c r="AF360">
        <f>IF(OR(T360="",Setup!$B$18=""),0,IF(V360=0,T360/COUNTIF(Setup!$B$9:$B$20,"?*"),T360*AR360/V360))</f>
        <v/>
      </c>
      <c r="AG360">
        <f>IF(OR(T360="",Setup!$B$19=""),0,IF(V360=0,T360/COUNTIF(Setup!$B$9:$B$20,"?*"),T360*AS360/V360))</f>
        <v/>
      </c>
      <c r="AH360">
        <f>IF(OR(T360="",Setup!$B$20=""),0,IF(V360=0,T360/COUNTIF(Setup!$B$9:$B$20,"?*"),T360*AT360/V360))</f>
        <v/>
      </c>
      <c r="AI360">
        <f>IF(Setup!$B$9="",0,IF(H360="",0,IF(ISNUMBER(H360),H360,1)))</f>
        <v/>
      </c>
      <c r="AJ360">
        <f>IF(Setup!$B$10="",0,IF(I360="",0,IF(ISNUMBER(I360),I360,1)))</f>
        <v/>
      </c>
      <c r="AK360">
        <f>IF(Setup!$B$11="",0,IF(J360="",0,IF(ISNUMBER(J360),J360,1)))</f>
        <v/>
      </c>
      <c r="AL360">
        <f>IF(Setup!$B$12="",0,IF(K360="",0,IF(ISNUMBER(K360),K360,1)))</f>
        <v/>
      </c>
      <c r="AM360">
        <f>IF(Setup!$B$13="",0,IF(L360="",0,IF(ISNUMBER(L360),L360,1)))</f>
        <v/>
      </c>
      <c r="AN360">
        <f>IF(Setup!$B$14="",0,IF(M360="",0,IF(ISNUMBER(M360),M360,1)))</f>
        <v/>
      </c>
      <c r="AO360">
        <f>IF(Setup!$B$15="",0,IF(N360="",0,IF(ISNUMBER(N360),N360,1)))</f>
        <v/>
      </c>
      <c r="AP360">
        <f>IF(Setup!$B$16="",0,IF(O360="",0,IF(ISNUMBER(O360),O360,1)))</f>
        <v/>
      </c>
      <c r="AQ360">
        <f>IF(Setup!$B$17="",0,IF(P360="",0,IF(ISNUMBER(P360),P360,1)))</f>
        <v/>
      </c>
      <c r="AR360">
        <f>IF(Setup!$B$18="",0,IF(Q360="",0,IF(ISNUMBER(Q360),Q360,1)))</f>
        <v/>
      </c>
      <c r="AS360">
        <f>IF(Setup!$B$19="",0,IF(R360="",0,IF(ISNUMBER(R360),R360,1)))</f>
        <v/>
      </c>
      <c r="AT360">
        <f>IF(Setup!$B$20="",0,IF(S360="",0,IF(ISNUMBER(S360),S360,1)))</f>
        <v/>
      </c>
    </row>
    <row r="361">
      <c r="A361" s="1" t="n"/>
      <c r="B361" s="24" t="n"/>
      <c r="C361" s="25" t="n"/>
      <c r="D361" s="25" t="n"/>
      <c r="E361" s="26" t="n"/>
      <c r="F361" s="27" t="n"/>
      <c r="G361" s="17" t="n"/>
      <c r="H361" s="28" t="n"/>
      <c r="I361" s="28" t="n"/>
      <c r="J361" s="28" t="n"/>
      <c r="K361" s="28" t="n"/>
      <c r="L361" s="28" t="n"/>
      <c r="M361" s="28" t="n"/>
      <c r="N361" s="28" t="n"/>
      <c r="O361" s="28" t="n"/>
      <c r="P361" s="28" t="n"/>
      <c r="Q361" s="28" t="n"/>
      <c r="R361" s="28" t="n"/>
      <c r="S361" s="28" t="n"/>
      <c r="T361" s="29">
        <f>IF(N(E361)=0,"",E361*IF(F361="",1,IFERROR(INDEX(Setup!$E$9:$E$18,MATCH(F361,Setup!$D$9:$D$18,0)),0)))</f>
        <v/>
      </c>
      <c r="U361" s="30">
        <f>IF(T361="","",IF(V361=0,"Everyone",IF(COUNTIF(AI361:AT361,"&gt;0")=COUNTIF(Setup!$B$9:$B$20,"?*"),"Everyone",COUNTIF(AI361:AT361,"&gt;0")&amp;IF(COUNTIF(AI361:AT361,"&gt;0")=1," person"," people"))))</f>
        <v/>
      </c>
      <c r="V361" s="1">
        <f>SUM(AI361:AT361)</f>
        <v/>
      </c>
      <c r="W361">
        <f>IF(OR(T361="",Setup!$B$9=""),0,IF(V361=0,T361/COUNTIF(Setup!$B$9:$B$20,"?*"),T361*AI361/V361))</f>
        <v/>
      </c>
      <c r="X361">
        <f>IF(OR(T361="",Setup!$B$10=""),0,IF(V361=0,T361/COUNTIF(Setup!$B$9:$B$20,"?*"),T361*AJ361/V361))</f>
        <v/>
      </c>
      <c r="Y361">
        <f>IF(OR(T361="",Setup!$B$11=""),0,IF(V361=0,T361/COUNTIF(Setup!$B$9:$B$20,"?*"),T361*AK361/V361))</f>
        <v/>
      </c>
      <c r="Z361">
        <f>IF(OR(T361="",Setup!$B$12=""),0,IF(V361=0,T361/COUNTIF(Setup!$B$9:$B$20,"?*"),T361*AL361/V361))</f>
        <v/>
      </c>
      <c r="AA361">
        <f>IF(OR(T361="",Setup!$B$13=""),0,IF(V361=0,T361/COUNTIF(Setup!$B$9:$B$20,"?*"),T361*AM361/V361))</f>
        <v/>
      </c>
      <c r="AB361">
        <f>IF(OR(T361="",Setup!$B$14=""),0,IF(V361=0,T361/COUNTIF(Setup!$B$9:$B$20,"?*"),T361*AN361/V361))</f>
        <v/>
      </c>
      <c r="AC361">
        <f>IF(OR(T361="",Setup!$B$15=""),0,IF(V361=0,T361/COUNTIF(Setup!$B$9:$B$20,"?*"),T361*AO361/V361))</f>
        <v/>
      </c>
      <c r="AD361">
        <f>IF(OR(T361="",Setup!$B$16=""),0,IF(V361=0,T361/COUNTIF(Setup!$B$9:$B$20,"?*"),T361*AP361/V361))</f>
        <v/>
      </c>
      <c r="AE361">
        <f>IF(OR(T361="",Setup!$B$17=""),0,IF(V361=0,T361/COUNTIF(Setup!$B$9:$B$20,"?*"),T361*AQ361/V361))</f>
        <v/>
      </c>
      <c r="AF361">
        <f>IF(OR(T361="",Setup!$B$18=""),0,IF(V361=0,T361/COUNTIF(Setup!$B$9:$B$20,"?*"),T361*AR361/V361))</f>
        <v/>
      </c>
      <c r="AG361">
        <f>IF(OR(T361="",Setup!$B$19=""),0,IF(V361=0,T361/COUNTIF(Setup!$B$9:$B$20,"?*"),T361*AS361/V361))</f>
        <v/>
      </c>
      <c r="AH361">
        <f>IF(OR(T361="",Setup!$B$20=""),0,IF(V361=0,T361/COUNTIF(Setup!$B$9:$B$20,"?*"),T361*AT361/V361))</f>
        <v/>
      </c>
      <c r="AI361">
        <f>IF(Setup!$B$9="",0,IF(H361="",0,IF(ISNUMBER(H361),H361,1)))</f>
        <v/>
      </c>
      <c r="AJ361">
        <f>IF(Setup!$B$10="",0,IF(I361="",0,IF(ISNUMBER(I361),I361,1)))</f>
        <v/>
      </c>
      <c r="AK361">
        <f>IF(Setup!$B$11="",0,IF(J361="",0,IF(ISNUMBER(J361),J361,1)))</f>
        <v/>
      </c>
      <c r="AL361">
        <f>IF(Setup!$B$12="",0,IF(K361="",0,IF(ISNUMBER(K361),K361,1)))</f>
        <v/>
      </c>
      <c r="AM361">
        <f>IF(Setup!$B$13="",0,IF(L361="",0,IF(ISNUMBER(L361),L361,1)))</f>
        <v/>
      </c>
      <c r="AN361">
        <f>IF(Setup!$B$14="",0,IF(M361="",0,IF(ISNUMBER(M361),M361,1)))</f>
        <v/>
      </c>
      <c r="AO361">
        <f>IF(Setup!$B$15="",0,IF(N361="",0,IF(ISNUMBER(N361),N361,1)))</f>
        <v/>
      </c>
      <c r="AP361">
        <f>IF(Setup!$B$16="",0,IF(O361="",0,IF(ISNUMBER(O361),O361,1)))</f>
        <v/>
      </c>
      <c r="AQ361">
        <f>IF(Setup!$B$17="",0,IF(P361="",0,IF(ISNUMBER(P361),P361,1)))</f>
        <v/>
      </c>
      <c r="AR361">
        <f>IF(Setup!$B$18="",0,IF(Q361="",0,IF(ISNUMBER(Q361),Q361,1)))</f>
        <v/>
      </c>
      <c r="AS361">
        <f>IF(Setup!$B$19="",0,IF(R361="",0,IF(ISNUMBER(R361),R361,1)))</f>
        <v/>
      </c>
      <c r="AT361">
        <f>IF(Setup!$B$20="",0,IF(S361="",0,IF(ISNUMBER(S361),S361,1)))</f>
        <v/>
      </c>
    </row>
    <row r="362">
      <c r="A362" s="1" t="n"/>
      <c r="B362" s="24" t="n"/>
      <c r="C362" s="25" t="n"/>
      <c r="D362" s="25" t="n"/>
      <c r="E362" s="26" t="n"/>
      <c r="F362" s="27" t="n"/>
      <c r="G362" s="17" t="n"/>
      <c r="H362" s="28" t="n"/>
      <c r="I362" s="28" t="n"/>
      <c r="J362" s="28" t="n"/>
      <c r="K362" s="28" t="n"/>
      <c r="L362" s="28" t="n"/>
      <c r="M362" s="28" t="n"/>
      <c r="N362" s="28" t="n"/>
      <c r="O362" s="28" t="n"/>
      <c r="P362" s="28" t="n"/>
      <c r="Q362" s="28" t="n"/>
      <c r="R362" s="28" t="n"/>
      <c r="S362" s="28" t="n"/>
      <c r="T362" s="29">
        <f>IF(N(E362)=0,"",E362*IF(F362="",1,IFERROR(INDEX(Setup!$E$9:$E$18,MATCH(F362,Setup!$D$9:$D$18,0)),0)))</f>
        <v/>
      </c>
      <c r="U362" s="30">
        <f>IF(T362="","",IF(V362=0,"Everyone",IF(COUNTIF(AI362:AT362,"&gt;0")=COUNTIF(Setup!$B$9:$B$20,"?*"),"Everyone",COUNTIF(AI362:AT362,"&gt;0")&amp;IF(COUNTIF(AI362:AT362,"&gt;0")=1," person"," people"))))</f>
        <v/>
      </c>
      <c r="V362" s="1">
        <f>SUM(AI362:AT362)</f>
        <v/>
      </c>
      <c r="W362">
        <f>IF(OR(T362="",Setup!$B$9=""),0,IF(V362=0,T362/COUNTIF(Setup!$B$9:$B$20,"?*"),T362*AI362/V362))</f>
        <v/>
      </c>
      <c r="X362">
        <f>IF(OR(T362="",Setup!$B$10=""),0,IF(V362=0,T362/COUNTIF(Setup!$B$9:$B$20,"?*"),T362*AJ362/V362))</f>
        <v/>
      </c>
      <c r="Y362">
        <f>IF(OR(T362="",Setup!$B$11=""),0,IF(V362=0,T362/COUNTIF(Setup!$B$9:$B$20,"?*"),T362*AK362/V362))</f>
        <v/>
      </c>
      <c r="Z362">
        <f>IF(OR(T362="",Setup!$B$12=""),0,IF(V362=0,T362/COUNTIF(Setup!$B$9:$B$20,"?*"),T362*AL362/V362))</f>
        <v/>
      </c>
      <c r="AA362">
        <f>IF(OR(T362="",Setup!$B$13=""),0,IF(V362=0,T362/COUNTIF(Setup!$B$9:$B$20,"?*"),T362*AM362/V362))</f>
        <v/>
      </c>
      <c r="AB362">
        <f>IF(OR(T362="",Setup!$B$14=""),0,IF(V362=0,T362/COUNTIF(Setup!$B$9:$B$20,"?*"),T362*AN362/V362))</f>
        <v/>
      </c>
      <c r="AC362">
        <f>IF(OR(T362="",Setup!$B$15=""),0,IF(V362=0,T362/COUNTIF(Setup!$B$9:$B$20,"?*"),T362*AO362/V362))</f>
        <v/>
      </c>
      <c r="AD362">
        <f>IF(OR(T362="",Setup!$B$16=""),0,IF(V362=0,T362/COUNTIF(Setup!$B$9:$B$20,"?*"),T362*AP362/V362))</f>
        <v/>
      </c>
      <c r="AE362">
        <f>IF(OR(T362="",Setup!$B$17=""),0,IF(V362=0,T362/COUNTIF(Setup!$B$9:$B$20,"?*"),T362*AQ362/V362))</f>
        <v/>
      </c>
      <c r="AF362">
        <f>IF(OR(T362="",Setup!$B$18=""),0,IF(V362=0,T362/COUNTIF(Setup!$B$9:$B$20,"?*"),T362*AR362/V362))</f>
        <v/>
      </c>
      <c r="AG362">
        <f>IF(OR(T362="",Setup!$B$19=""),0,IF(V362=0,T362/COUNTIF(Setup!$B$9:$B$20,"?*"),T362*AS362/V362))</f>
        <v/>
      </c>
      <c r="AH362">
        <f>IF(OR(T362="",Setup!$B$20=""),0,IF(V362=0,T362/COUNTIF(Setup!$B$9:$B$20,"?*"),T362*AT362/V362))</f>
        <v/>
      </c>
      <c r="AI362">
        <f>IF(Setup!$B$9="",0,IF(H362="",0,IF(ISNUMBER(H362),H362,1)))</f>
        <v/>
      </c>
      <c r="AJ362">
        <f>IF(Setup!$B$10="",0,IF(I362="",0,IF(ISNUMBER(I362),I362,1)))</f>
        <v/>
      </c>
      <c r="AK362">
        <f>IF(Setup!$B$11="",0,IF(J362="",0,IF(ISNUMBER(J362),J362,1)))</f>
        <v/>
      </c>
      <c r="AL362">
        <f>IF(Setup!$B$12="",0,IF(K362="",0,IF(ISNUMBER(K362),K362,1)))</f>
        <v/>
      </c>
      <c r="AM362">
        <f>IF(Setup!$B$13="",0,IF(L362="",0,IF(ISNUMBER(L362),L362,1)))</f>
        <v/>
      </c>
      <c r="AN362">
        <f>IF(Setup!$B$14="",0,IF(M362="",0,IF(ISNUMBER(M362),M362,1)))</f>
        <v/>
      </c>
      <c r="AO362">
        <f>IF(Setup!$B$15="",0,IF(N362="",0,IF(ISNUMBER(N362),N362,1)))</f>
        <v/>
      </c>
      <c r="AP362">
        <f>IF(Setup!$B$16="",0,IF(O362="",0,IF(ISNUMBER(O362),O362,1)))</f>
        <v/>
      </c>
      <c r="AQ362">
        <f>IF(Setup!$B$17="",0,IF(P362="",0,IF(ISNUMBER(P362),P362,1)))</f>
        <v/>
      </c>
      <c r="AR362">
        <f>IF(Setup!$B$18="",0,IF(Q362="",0,IF(ISNUMBER(Q362),Q362,1)))</f>
        <v/>
      </c>
      <c r="AS362">
        <f>IF(Setup!$B$19="",0,IF(R362="",0,IF(ISNUMBER(R362),R362,1)))</f>
        <v/>
      </c>
      <c r="AT362">
        <f>IF(Setup!$B$20="",0,IF(S362="",0,IF(ISNUMBER(S362),S362,1)))</f>
        <v/>
      </c>
    </row>
    <row r="363">
      <c r="A363" s="1" t="n"/>
      <c r="B363" s="24" t="n"/>
      <c r="C363" s="25" t="n"/>
      <c r="D363" s="25" t="n"/>
      <c r="E363" s="26" t="n"/>
      <c r="F363" s="27" t="n"/>
      <c r="G363" s="17" t="n"/>
      <c r="H363" s="28" t="n"/>
      <c r="I363" s="28" t="n"/>
      <c r="J363" s="28" t="n"/>
      <c r="K363" s="28" t="n"/>
      <c r="L363" s="28" t="n"/>
      <c r="M363" s="28" t="n"/>
      <c r="N363" s="28" t="n"/>
      <c r="O363" s="28" t="n"/>
      <c r="P363" s="28" t="n"/>
      <c r="Q363" s="28" t="n"/>
      <c r="R363" s="28" t="n"/>
      <c r="S363" s="28" t="n"/>
      <c r="T363" s="29">
        <f>IF(N(E363)=0,"",E363*IF(F363="",1,IFERROR(INDEX(Setup!$E$9:$E$18,MATCH(F363,Setup!$D$9:$D$18,0)),0)))</f>
        <v/>
      </c>
      <c r="U363" s="30">
        <f>IF(T363="","",IF(V363=0,"Everyone",IF(COUNTIF(AI363:AT363,"&gt;0")=COUNTIF(Setup!$B$9:$B$20,"?*"),"Everyone",COUNTIF(AI363:AT363,"&gt;0")&amp;IF(COUNTIF(AI363:AT363,"&gt;0")=1," person"," people"))))</f>
        <v/>
      </c>
      <c r="V363" s="1">
        <f>SUM(AI363:AT363)</f>
        <v/>
      </c>
      <c r="W363">
        <f>IF(OR(T363="",Setup!$B$9=""),0,IF(V363=0,T363/COUNTIF(Setup!$B$9:$B$20,"?*"),T363*AI363/V363))</f>
        <v/>
      </c>
      <c r="X363">
        <f>IF(OR(T363="",Setup!$B$10=""),0,IF(V363=0,T363/COUNTIF(Setup!$B$9:$B$20,"?*"),T363*AJ363/V363))</f>
        <v/>
      </c>
      <c r="Y363">
        <f>IF(OR(T363="",Setup!$B$11=""),0,IF(V363=0,T363/COUNTIF(Setup!$B$9:$B$20,"?*"),T363*AK363/V363))</f>
        <v/>
      </c>
      <c r="Z363">
        <f>IF(OR(T363="",Setup!$B$12=""),0,IF(V363=0,T363/COUNTIF(Setup!$B$9:$B$20,"?*"),T363*AL363/V363))</f>
        <v/>
      </c>
      <c r="AA363">
        <f>IF(OR(T363="",Setup!$B$13=""),0,IF(V363=0,T363/COUNTIF(Setup!$B$9:$B$20,"?*"),T363*AM363/V363))</f>
        <v/>
      </c>
      <c r="AB363">
        <f>IF(OR(T363="",Setup!$B$14=""),0,IF(V363=0,T363/COUNTIF(Setup!$B$9:$B$20,"?*"),T363*AN363/V363))</f>
        <v/>
      </c>
      <c r="AC363">
        <f>IF(OR(T363="",Setup!$B$15=""),0,IF(V363=0,T363/COUNTIF(Setup!$B$9:$B$20,"?*"),T363*AO363/V363))</f>
        <v/>
      </c>
      <c r="AD363">
        <f>IF(OR(T363="",Setup!$B$16=""),0,IF(V363=0,T363/COUNTIF(Setup!$B$9:$B$20,"?*"),T363*AP363/V363))</f>
        <v/>
      </c>
      <c r="AE363">
        <f>IF(OR(T363="",Setup!$B$17=""),0,IF(V363=0,T363/COUNTIF(Setup!$B$9:$B$20,"?*"),T363*AQ363/V363))</f>
        <v/>
      </c>
      <c r="AF363">
        <f>IF(OR(T363="",Setup!$B$18=""),0,IF(V363=0,T363/COUNTIF(Setup!$B$9:$B$20,"?*"),T363*AR363/V363))</f>
        <v/>
      </c>
      <c r="AG363">
        <f>IF(OR(T363="",Setup!$B$19=""),0,IF(V363=0,T363/COUNTIF(Setup!$B$9:$B$20,"?*"),T363*AS363/V363))</f>
        <v/>
      </c>
      <c r="AH363">
        <f>IF(OR(T363="",Setup!$B$20=""),0,IF(V363=0,T363/COUNTIF(Setup!$B$9:$B$20,"?*"),T363*AT363/V363))</f>
        <v/>
      </c>
      <c r="AI363">
        <f>IF(Setup!$B$9="",0,IF(H363="",0,IF(ISNUMBER(H363),H363,1)))</f>
        <v/>
      </c>
      <c r="AJ363">
        <f>IF(Setup!$B$10="",0,IF(I363="",0,IF(ISNUMBER(I363),I363,1)))</f>
        <v/>
      </c>
      <c r="AK363">
        <f>IF(Setup!$B$11="",0,IF(J363="",0,IF(ISNUMBER(J363),J363,1)))</f>
        <v/>
      </c>
      <c r="AL363">
        <f>IF(Setup!$B$12="",0,IF(K363="",0,IF(ISNUMBER(K363),K363,1)))</f>
        <v/>
      </c>
      <c r="AM363">
        <f>IF(Setup!$B$13="",0,IF(L363="",0,IF(ISNUMBER(L363),L363,1)))</f>
        <v/>
      </c>
      <c r="AN363">
        <f>IF(Setup!$B$14="",0,IF(M363="",0,IF(ISNUMBER(M363),M363,1)))</f>
        <v/>
      </c>
      <c r="AO363">
        <f>IF(Setup!$B$15="",0,IF(N363="",0,IF(ISNUMBER(N363),N363,1)))</f>
        <v/>
      </c>
      <c r="AP363">
        <f>IF(Setup!$B$16="",0,IF(O363="",0,IF(ISNUMBER(O363),O363,1)))</f>
        <v/>
      </c>
      <c r="AQ363">
        <f>IF(Setup!$B$17="",0,IF(P363="",0,IF(ISNUMBER(P363),P363,1)))</f>
        <v/>
      </c>
      <c r="AR363">
        <f>IF(Setup!$B$18="",0,IF(Q363="",0,IF(ISNUMBER(Q363),Q363,1)))</f>
        <v/>
      </c>
      <c r="AS363">
        <f>IF(Setup!$B$19="",0,IF(R363="",0,IF(ISNUMBER(R363),R363,1)))</f>
        <v/>
      </c>
      <c r="AT363">
        <f>IF(Setup!$B$20="",0,IF(S363="",0,IF(ISNUMBER(S363),S363,1)))</f>
        <v/>
      </c>
    </row>
    <row r="364">
      <c r="A364" s="1" t="n"/>
      <c r="B364" s="24" t="n"/>
      <c r="C364" s="25" t="n"/>
      <c r="D364" s="25" t="n"/>
      <c r="E364" s="26" t="n"/>
      <c r="F364" s="27" t="n"/>
      <c r="G364" s="17" t="n"/>
      <c r="H364" s="28" t="n"/>
      <c r="I364" s="28" t="n"/>
      <c r="J364" s="28" t="n"/>
      <c r="K364" s="28" t="n"/>
      <c r="L364" s="28" t="n"/>
      <c r="M364" s="28" t="n"/>
      <c r="N364" s="28" t="n"/>
      <c r="O364" s="28" t="n"/>
      <c r="P364" s="28" t="n"/>
      <c r="Q364" s="28" t="n"/>
      <c r="R364" s="28" t="n"/>
      <c r="S364" s="28" t="n"/>
      <c r="T364" s="29">
        <f>IF(N(E364)=0,"",E364*IF(F364="",1,IFERROR(INDEX(Setup!$E$9:$E$18,MATCH(F364,Setup!$D$9:$D$18,0)),0)))</f>
        <v/>
      </c>
      <c r="U364" s="30">
        <f>IF(T364="","",IF(V364=0,"Everyone",IF(COUNTIF(AI364:AT364,"&gt;0")=COUNTIF(Setup!$B$9:$B$20,"?*"),"Everyone",COUNTIF(AI364:AT364,"&gt;0")&amp;IF(COUNTIF(AI364:AT364,"&gt;0")=1," person"," people"))))</f>
        <v/>
      </c>
      <c r="V364" s="1">
        <f>SUM(AI364:AT364)</f>
        <v/>
      </c>
      <c r="W364">
        <f>IF(OR(T364="",Setup!$B$9=""),0,IF(V364=0,T364/COUNTIF(Setup!$B$9:$B$20,"?*"),T364*AI364/V364))</f>
        <v/>
      </c>
      <c r="X364">
        <f>IF(OR(T364="",Setup!$B$10=""),0,IF(V364=0,T364/COUNTIF(Setup!$B$9:$B$20,"?*"),T364*AJ364/V364))</f>
        <v/>
      </c>
      <c r="Y364">
        <f>IF(OR(T364="",Setup!$B$11=""),0,IF(V364=0,T364/COUNTIF(Setup!$B$9:$B$20,"?*"),T364*AK364/V364))</f>
        <v/>
      </c>
      <c r="Z364">
        <f>IF(OR(T364="",Setup!$B$12=""),0,IF(V364=0,T364/COUNTIF(Setup!$B$9:$B$20,"?*"),T364*AL364/V364))</f>
        <v/>
      </c>
      <c r="AA364">
        <f>IF(OR(T364="",Setup!$B$13=""),0,IF(V364=0,T364/COUNTIF(Setup!$B$9:$B$20,"?*"),T364*AM364/V364))</f>
        <v/>
      </c>
      <c r="AB364">
        <f>IF(OR(T364="",Setup!$B$14=""),0,IF(V364=0,T364/COUNTIF(Setup!$B$9:$B$20,"?*"),T364*AN364/V364))</f>
        <v/>
      </c>
      <c r="AC364">
        <f>IF(OR(T364="",Setup!$B$15=""),0,IF(V364=0,T364/COUNTIF(Setup!$B$9:$B$20,"?*"),T364*AO364/V364))</f>
        <v/>
      </c>
      <c r="AD364">
        <f>IF(OR(T364="",Setup!$B$16=""),0,IF(V364=0,T364/COUNTIF(Setup!$B$9:$B$20,"?*"),T364*AP364/V364))</f>
        <v/>
      </c>
      <c r="AE364">
        <f>IF(OR(T364="",Setup!$B$17=""),0,IF(V364=0,T364/COUNTIF(Setup!$B$9:$B$20,"?*"),T364*AQ364/V364))</f>
        <v/>
      </c>
      <c r="AF364">
        <f>IF(OR(T364="",Setup!$B$18=""),0,IF(V364=0,T364/COUNTIF(Setup!$B$9:$B$20,"?*"),T364*AR364/V364))</f>
        <v/>
      </c>
      <c r="AG364">
        <f>IF(OR(T364="",Setup!$B$19=""),0,IF(V364=0,T364/COUNTIF(Setup!$B$9:$B$20,"?*"),T364*AS364/V364))</f>
        <v/>
      </c>
      <c r="AH364">
        <f>IF(OR(T364="",Setup!$B$20=""),0,IF(V364=0,T364/COUNTIF(Setup!$B$9:$B$20,"?*"),T364*AT364/V364))</f>
        <v/>
      </c>
      <c r="AI364">
        <f>IF(Setup!$B$9="",0,IF(H364="",0,IF(ISNUMBER(H364),H364,1)))</f>
        <v/>
      </c>
      <c r="AJ364">
        <f>IF(Setup!$B$10="",0,IF(I364="",0,IF(ISNUMBER(I364),I364,1)))</f>
        <v/>
      </c>
      <c r="AK364">
        <f>IF(Setup!$B$11="",0,IF(J364="",0,IF(ISNUMBER(J364),J364,1)))</f>
        <v/>
      </c>
      <c r="AL364">
        <f>IF(Setup!$B$12="",0,IF(K364="",0,IF(ISNUMBER(K364),K364,1)))</f>
        <v/>
      </c>
      <c r="AM364">
        <f>IF(Setup!$B$13="",0,IF(L364="",0,IF(ISNUMBER(L364),L364,1)))</f>
        <v/>
      </c>
      <c r="AN364">
        <f>IF(Setup!$B$14="",0,IF(M364="",0,IF(ISNUMBER(M364),M364,1)))</f>
        <v/>
      </c>
      <c r="AO364">
        <f>IF(Setup!$B$15="",0,IF(N364="",0,IF(ISNUMBER(N364),N364,1)))</f>
        <v/>
      </c>
      <c r="AP364">
        <f>IF(Setup!$B$16="",0,IF(O364="",0,IF(ISNUMBER(O364),O364,1)))</f>
        <v/>
      </c>
      <c r="AQ364">
        <f>IF(Setup!$B$17="",0,IF(P364="",0,IF(ISNUMBER(P364),P364,1)))</f>
        <v/>
      </c>
      <c r="AR364">
        <f>IF(Setup!$B$18="",0,IF(Q364="",0,IF(ISNUMBER(Q364),Q364,1)))</f>
        <v/>
      </c>
      <c r="AS364">
        <f>IF(Setup!$B$19="",0,IF(R364="",0,IF(ISNUMBER(R364),R364,1)))</f>
        <v/>
      </c>
      <c r="AT364">
        <f>IF(Setup!$B$20="",0,IF(S364="",0,IF(ISNUMBER(S364),S364,1)))</f>
        <v/>
      </c>
    </row>
    <row r="365">
      <c r="A365" s="1" t="n"/>
      <c r="B365" s="24" t="n"/>
      <c r="C365" s="25" t="n"/>
      <c r="D365" s="25" t="n"/>
      <c r="E365" s="26" t="n"/>
      <c r="F365" s="27" t="n"/>
      <c r="G365" s="17" t="n"/>
      <c r="H365" s="28" t="n"/>
      <c r="I365" s="28" t="n"/>
      <c r="J365" s="28" t="n"/>
      <c r="K365" s="28" t="n"/>
      <c r="L365" s="28" t="n"/>
      <c r="M365" s="28" t="n"/>
      <c r="N365" s="28" t="n"/>
      <c r="O365" s="28" t="n"/>
      <c r="P365" s="28" t="n"/>
      <c r="Q365" s="28" t="n"/>
      <c r="R365" s="28" t="n"/>
      <c r="S365" s="28" t="n"/>
      <c r="T365" s="29">
        <f>IF(N(E365)=0,"",E365*IF(F365="",1,IFERROR(INDEX(Setup!$E$9:$E$18,MATCH(F365,Setup!$D$9:$D$18,0)),0)))</f>
        <v/>
      </c>
      <c r="U365" s="30">
        <f>IF(T365="","",IF(V365=0,"Everyone",IF(COUNTIF(AI365:AT365,"&gt;0")=COUNTIF(Setup!$B$9:$B$20,"?*"),"Everyone",COUNTIF(AI365:AT365,"&gt;0")&amp;IF(COUNTIF(AI365:AT365,"&gt;0")=1," person"," people"))))</f>
        <v/>
      </c>
      <c r="V365" s="1">
        <f>SUM(AI365:AT365)</f>
        <v/>
      </c>
      <c r="W365">
        <f>IF(OR(T365="",Setup!$B$9=""),0,IF(V365=0,T365/COUNTIF(Setup!$B$9:$B$20,"?*"),T365*AI365/V365))</f>
        <v/>
      </c>
      <c r="X365">
        <f>IF(OR(T365="",Setup!$B$10=""),0,IF(V365=0,T365/COUNTIF(Setup!$B$9:$B$20,"?*"),T365*AJ365/V365))</f>
        <v/>
      </c>
      <c r="Y365">
        <f>IF(OR(T365="",Setup!$B$11=""),0,IF(V365=0,T365/COUNTIF(Setup!$B$9:$B$20,"?*"),T365*AK365/V365))</f>
        <v/>
      </c>
      <c r="Z365">
        <f>IF(OR(T365="",Setup!$B$12=""),0,IF(V365=0,T365/COUNTIF(Setup!$B$9:$B$20,"?*"),T365*AL365/V365))</f>
        <v/>
      </c>
      <c r="AA365">
        <f>IF(OR(T365="",Setup!$B$13=""),0,IF(V365=0,T365/COUNTIF(Setup!$B$9:$B$20,"?*"),T365*AM365/V365))</f>
        <v/>
      </c>
      <c r="AB365">
        <f>IF(OR(T365="",Setup!$B$14=""),0,IF(V365=0,T365/COUNTIF(Setup!$B$9:$B$20,"?*"),T365*AN365/V365))</f>
        <v/>
      </c>
      <c r="AC365">
        <f>IF(OR(T365="",Setup!$B$15=""),0,IF(V365=0,T365/COUNTIF(Setup!$B$9:$B$20,"?*"),T365*AO365/V365))</f>
        <v/>
      </c>
      <c r="AD365">
        <f>IF(OR(T365="",Setup!$B$16=""),0,IF(V365=0,T365/COUNTIF(Setup!$B$9:$B$20,"?*"),T365*AP365/V365))</f>
        <v/>
      </c>
      <c r="AE365">
        <f>IF(OR(T365="",Setup!$B$17=""),0,IF(V365=0,T365/COUNTIF(Setup!$B$9:$B$20,"?*"),T365*AQ365/V365))</f>
        <v/>
      </c>
      <c r="AF365">
        <f>IF(OR(T365="",Setup!$B$18=""),0,IF(V365=0,T365/COUNTIF(Setup!$B$9:$B$20,"?*"),T365*AR365/V365))</f>
        <v/>
      </c>
      <c r="AG365">
        <f>IF(OR(T365="",Setup!$B$19=""),0,IF(V365=0,T365/COUNTIF(Setup!$B$9:$B$20,"?*"),T365*AS365/V365))</f>
        <v/>
      </c>
      <c r="AH365">
        <f>IF(OR(T365="",Setup!$B$20=""),0,IF(V365=0,T365/COUNTIF(Setup!$B$9:$B$20,"?*"),T365*AT365/V365))</f>
        <v/>
      </c>
      <c r="AI365">
        <f>IF(Setup!$B$9="",0,IF(H365="",0,IF(ISNUMBER(H365),H365,1)))</f>
        <v/>
      </c>
      <c r="AJ365">
        <f>IF(Setup!$B$10="",0,IF(I365="",0,IF(ISNUMBER(I365),I365,1)))</f>
        <v/>
      </c>
      <c r="AK365">
        <f>IF(Setup!$B$11="",0,IF(J365="",0,IF(ISNUMBER(J365),J365,1)))</f>
        <v/>
      </c>
      <c r="AL365">
        <f>IF(Setup!$B$12="",0,IF(K365="",0,IF(ISNUMBER(K365),K365,1)))</f>
        <v/>
      </c>
      <c r="AM365">
        <f>IF(Setup!$B$13="",0,IF(L365="",0,IF(ISNUMBER(L365),L365,1)))</f>
        <v/>
      </c>
      <c r="AN365">
        <f>IF(Setup!$B$14="",0,IF(M365="",0,IF(ISNUMBER(M365),M365,1)))</f>
        <v/>
      </c>
      <c r="AO365">
        <f>IF(Setup!$B$15="",0,IF(N365="",0,IF(ISNUMBER(N365),N365,1)))</f>
        <v/>
      </c>
      <c r="AP365">
        <f>IF(Setup!$B$16="",0,IF(O365="",0,IF(ISNUMBER(O365),O365,1)))</f>
        <v/>
      </c>
      <c r="AQ365">
        <f>IF(Setup!$B$17="",0,IF(P365="",0,IF(ISNUMBER(P365),P365,1)))</f>
        <v/>
      </c>
      <c r="AR365">
        <f>IF(Setup!$B$18="",0,IF(Q365="",0,IF(ISNUMBER(Q365),Q365,1)))</f>
        <v/>
      </c>
      <c r="AS365">
        <f>IF(Setup!$B$19="",0,IF(R365="",0,IF(ISNUMBER(R365),R365,1)))</f>
        <v/>
      </c>
      <c r="AT365">
        <f>IF(Setup!$B$20="",0,IF(S365="",0,IF(ISNUMBER(S365),S365,1)))</f>
        <v/>
      </c>
    </row>
    <row r="366">
      <c r="A366" s="1" t="n"/>
      <c r="B366" s="24" t="n"/>
      <c r="C366" s="25" t="n"/>
      <c r="D366" s="25" t="n"/>
      <c r="E366" s="26" t="n"/>
      <c r="F366" s="27" t="n"/>
      <c r="G366" s="17" t="n"/>
      <c r="H366" s="28" t="n"/>
      <c r="I366" s="28" t="n"/>
      <c r="J366" s="28" t="n"/>
      <c r="K366" s="28" t="n"/>
      <c r="L366" s="28" t="n"/>
      <c r="M366" s="28" t="n"/>
      <c r="N366" s="28" t="n"/>
      <c r="O366" s="28" t="n"/>
      <c r="P366" s="28" t="n"/>
      <c r="Q366" s="28" t="n"/>
      <c r="R366" s="28" t="n"/>
      <c r="S366" s="28" t="n"/>
      <c r="T366" s="29">
        <f>IF(N(E366)=0,"",E366*IF(F366="",1,IFERROR(INDEX(Setup!$E$9:$E$18,MATCH(F366,Setup!$D$9:$D$18,0)),0)))</f>
        <v/>
      </c>
      <c r="U366" s="30">
        <f>IF(T366="","",IF(V366=0,"Everyone",IF(COUNTIF(AI366:AT366,"&gt;0")=COUNTIF(Setup!$B$9:$B$20,"?*"),"Everyone",COUNTIF(AI366:AT366,"&gt;0")&amp;IF(COUNTIF(AI366:AT366,"&gt;0")=1," person"," people"))))</f>
        <v/>
      </c>
      <c r="V366" s="1">
        <f>SUM(AI366:AT366)</f>
        <v/>
      </c>
      <c r="W366">
        <f>IF(OR(T366="",Setup!$B$9=""),0,IF(V366=0,T366/COUNTIF(Setup!$B$9:$B$20,"?*"),T366*AI366/V366))</f>
        <v/>
      </c>
      <c r="X366">
        <f>IF(OR(T366="",Setup!$B$10=""),0,IF(V366=0,T366/COUNTIF(Setup!$B$9:$B$20,"?*"),T366*AJ366/V366))</f>
        <v/>
      </c>
      <c r="Y366">
        <f>IF(OR(T366="",Setup!$B$11=""),0,IF(V366=0,T366/COUNTIF(Setup!$B$9:$B$20,"?*"),T366*AK366/V366))</f>
        <v/>
      </c>
      <c r="Z366">
        <f>IF(OR(T366="",Setup!$B$12=""),0,IF(V366=0,T366/COUNTIF(Setup!$B$9:$B$20,"?*"),T366*AL366/V366))</f>
        <v/>
      </c>
      <c r="AA366">
        <f>IF(OR(T366="",Setup!$B$13=""),0,IF(V366=0,T366/COUNTIF(Setup!$B$9:$B$20,"?*"),T366*AM366/V366))</f>
        <v/>
      </c>
      <c r="AB366">
        <f>IF(OR(T366="",Setup!$B$14=""),0,IF(V366=0,T366/COUNTIF(Setup!$B$9:$B$20,"?*"),T366*AN366/V366))</f>
        <v/>
      </c>
      <c r="AC366">
        <f>IF(OR(T366="",Setup!$B$15=""),0,IF(V366=0,T366/COUNTIF(Setup!$B$9:$B$20,"?*"),T366*AO366/V366))</f>
        <v/>
      </c>
      <c r="AD366">
        <f>IF(OR(T366="",Setup!$B$16=""),0,IF(V366=0,T366/COUNTIF(Setup!$B$9:$B$20,"?*"),T366*AP366/V366))</f>
        <v/>
      </c>
      <c r="AE366">
        <f>IF(OR(T366="",Setup!$B$17=""),0,IF(V366=0,T366/COUNTIF(Setup!$B$9:$B$20,"?*"),T366*AQ366/V366))</f>
        <v/>
      </c>
      <c r="AF366">
        <f>IF(OR(T366="",Setup!$B$18=""),0,IF(V366=0,T366/COUNTIF(Setup!$B$9:$B$20,"?*"),T366*AR366/V366))</f>
        <v/>
      </c>
      <c r="AG366">
        <f>IF(OR(T366="",Setup!$B$19=""),0,IF(V366=0,T366/COUNTIF(Setup!$B$9:$B$20,"?*"),T366*AS366/V366))</f>
        <v/>
      </c>
      <c r="AH366">
        <f>IF(OR(T366="",Setup!$B$20=""),0,IF(V366=0,T366/COUNTIF(Setup!$B$9:$B$20,"?*"),T366*AT366/V366))</f>
        <v/>
      </c>
      <c r="AI366">
        <f>IF(Setup!$B$9="",0,IF(H366="",0,IF(ISNUMBER(H366),H366,1)))</f>
        <v/>
      </c>
      <c r="AJ366">
        <f>IF(Setup!$B$10="",0,IF(I366="",0,IF(ISNUMBER(I366),I366,1)))</f>
        <v/>
      </c>
      <c r="AK366">
        <f>IF(Setup!$B$11="",0,IF(J366="",0,IF(ISNUMBER(J366),J366,1)))</f>
        <v/>
      </c>
      <c r="AL366">
        <f>IF(Setup!$B$12="",0,IF(K366="",0,IF(ISNUMBER(K366),K366,1)))</f>
        <v/>
      </c>
      <c r="AM366">
        <f>IF(Setup!$B$13="",0,IF(L366="",0,IF(ISNUMBER(L366),L366,1)))</f>
        <v/>
      </c>
      <c r="AN366">
        <f>IF(Setup!$B$14="",0,IF(M366="",0,IF(ISNUMBER(M366),M366,1)))</f>
        <v/>
      </c>
      <c r="AO366">
        <f>IF(Setup!$B$15="",0,IF(N366="",0,IF(ISNUMBER(N366),N366,1)))</f>
        <v/>
      </c>
      <c r="AP366">
        <f>IF(Setup!$B$16="",0,IF(O366="",0,IF(ISNUMBER(O366),O366,1)))</f>
        <v/>
      </c>
      <c r="AQ366">
        <f>IF(Setup!$B$17="",0,IF(P366="",0,IF(ISNUMBER(P366),P366,1)))</f>
        <v/>
      </c>
      <c r="AR366">
        <f>IF(Setup!$B$18="",0,IF(Q366="",0,IF(ISNUMBER(Q366),Q366,1)))</f>
        <v/>
      </c>
      <c r="AS366">
        <f>IF(Setup!$B$19="",0,IF(R366="",0,IF(ISNUMBER(R366),R366,1)))</f>
        <v/>
      </c>
      <c r="AT366">
        <f>IF(Setup!$B$20="",0,IF(S366="",0,IF(ISNUMBER(S366),S366,1)))</f>
        <v/>
      </c>
    </row>
    <row r="367">
      <c r="A367" s="1" t="n"/>
      <c r="B367" s="24" t="n"/>
      <c r="C367" s="25" t="n"/>
      <c r="D367" s="25" t="n"/>
      <c r="E367" s="26" t="n"/>
      <c r="F367" s="27" t="n"/>
      <c r="G367" s="17" t="n"/>
      <c r="H367" s="28" t="n"/>
      <c r="I367" s="28" t="n"/>
      <c r="J367" s="28" t="n"/>
      <c r="K367" s="28" t="n"/>
      <c r="L367" s="28" t="n"/>
      <c r="M367" s="28" t="n"/>
      <c r="N367" s="28" t="n"/>
      <c r="O367" s="28" t="n"/>
      <c r="P367" s="28" t="n"/>
      <c r="Q367" s="28" t="n"/>
      <c r="R367" s="28" t="n"/>
      <c r="S367" s="28" t="n"/>
      <c r="T367" s="29">
        <f>IF(N(E367)=0,"",E367*IF(F367="",1,IFERROR(INDEX(Setup!$E$9:$E$18,MATCH(F367,Setup!$D$9:$D$18,0)),0)))</f>
        <v/>
      </c>
      <c r="U367" s="30">
        <f>IF(T367="","",IF(V367=0,"Everyone",IF(COUNTIF(AI367:AT367,"&gt;0")=COUNTIF(Setup!$B$9:$B$20,"?*"),"Everyone",COUNTIF(AI367:AT367,"&gt;0")&amp;IF(COUNTIF(AI367:AT367,"&gt;0")=1," person"," people"))))</f>
        <v/>
      </c>
      <c r="V367" s="1">
        <f>SUM(AI367:AT367)</f>
        <v/>
      </c>
      <c r="W367">
        <f>IF(OR(T367="",Setup!$B$9=""),0,IF(V367=0,T367/COUNTIF(Setup!$B$9:$B$20,"?*"),T367*AI367/V367))</f>
        <v/>
      </c>
      <c r="X367">
        <f>IF(OR(T367="",Setup!$B$10=""),0,IF(V367=0,T367/COUNTIF(Setup!$B$9:$B$20,"?*"),T367*AJ367/V367))</f>
        <v/>
      </c>
      <c r="Y367">
        <f>IF(OR(T367="",Setup!$B$11=""),0,IF(V367=0,T367/COUNTIF(Setup!$B$9:$B$20,"?*"),T367*AK367/V367))</f>
        <v/>
      </c>
      <c r="Z367">
        <f>IF(OR(T367="",Setup!$B$12=""),0,IF(V367=0,T367/COUNTIF(Setup!$B$9:$B$20,"?*"),T367*AL367/V367))</f>
        <v/>
      </c>
      <c r="AA367">
        <f>IF(OR(T367="",Setup!$B$13=""),0,IF(V367=0,T367/COUNTIF(Setup!$B$9:$B$20,"?*"),T367*AM367/V367))</f>
        <v/>
      </c>
      <c r="AB367">
        <f>IF(OR(T367="",Setup!$B$14=""),0,IF(V367=0,T367/COUNTIF(Setup!$B$9:$B$20,"?*"),T367*AN367/V367))</f>
        <v/>
      </c>
      <c r="AC367">
        <f>IF(OR(T367="",Setup!$B$15=""),0,IF(V367=0,T367/COUNTIF(Setup!$B$9:$B$20,"?*"),T367*AO367/V367))</f>
        <v/>
      </c>
      <c r="AD367">
        <f>IF(OR(T367="",Setup!$B$16=""),0,IF(V367=0,T367/COUNTIF(Setup!$B$9:$B$20,"?*"),T367*AP367/V367))</f>
        <v/>
      </c>
      <c r="AE367">
        <f>IF(OR(T367="",Setup!$B$17=""),0,IF(V367=0,T367/COUNTIF(Setup!$B$9:$B$20,"?*"),T367*AQ367/V367))</f>
        <v/>
      </c>
      <c r="AF367">
        <f>IF(OR(T367="",Setup!$B$18=""),0,IF(V367=0,T367/COUNTIF(Setup!$B$9:$B$20,"?*"),T367*AR367/V367))</f>
        <v/>
      </c>
      <c r="AG367">
        <f>IF(OR(T367="",Setup!$B$19=""),0,IF(V367=0,T367/COUNTIF(Setup!$B$9:$B$20,"?*"),T367*AS367/V367))</f>
        <v/>
      </c>
      <c r="AH367">
        <f>IF(OR(T367="",Setup!$B$20=""),0,IF(V367=0,T367/COUNTIF(Setup!$B$9:$B$20,"?*"),T367*AT367/V367))</f>
        <v/>
      </c>
      <c r="AI367">
        <f>IF(Setup!$B$9="",0,IF(H367="",0,IF(ISNUMBER(H367),H367,1)))</f>
        <v/>
      </c>
      <c r="AJ367">
        <f>IF(Setup!$B$10="",0,IF(I367="",0,IF(ISNUMBER(I367),I367,1)))</f>
        <v/>
      </c>
      <c r="AK367">
        <f>IF(Setup!$B$11="",0,IF(J367="",0,IF(ISNUMBER(J367),J367,1)))</f>
        <v/>
      </c>
      <c r="AL367">
        <f>IF(Setup!$B$12="",0,IF(K367="",0,IF(ISNUMBER(K367),K367,1)))</f>
        <v/>
      </c>
      <c r="AM367">
        <f>IF(Setup!$B$13="",0,IF(L367="",0,IF(ISNUMBER(L367),L367,1)))</f>
        <v/>
      </c>
      <c r="AN367">
        <f>IF(Setup!$B$14="",0,IF(M367="",0,IF(ISNUMBER(M367),M367,1)))</f>
        <v/>
      </c>
      <c r="AO367">
        <f>IF(Setup!$B$15="",0,IF(N367="",0,IF(ISNUMBER(N367),N367,1)))</f>
        <v/>
      </c>
      <c r="AP367">
        <f>IF(Setup!$B$16="",0,IF(O367="",0,IF(ISNUMBER(O367),O367,1)))</f>
        <v/>
      </c>
      <c r="AQ367">
        <f>IF(Setup!$B$17="",0,IF(P367="",0,IF(ISNUMBER(P367),P367,1)))</f>
        <v/>
      </c>
      <c r="AR367">
        <f>IF(Setup!$B$18="",0,IF(Q367="",0,IF(ISNUMBER(Q367),Q367,1)))</f>
        <v/>
      </c>
      <c r="AS367">
        <f>IF(Setup!$B$19="",0,IF(R367="",0,IF(ISNUMBER(R367),R367,1)))</f>
        <v/>
      </c>
      <c r="AT367">
        <f>IF(Setup!$B$20="",0,IF(S367="",0,IF(ISNUMBER(S367),S367,1)))</f>
        <v/>
      </c>
    </row>
    <row r="368">
      <c r="A368" s="1" t="n"/>
      <c r="B368" s="24" t="n"/>
      <c r="C368" s="25" t="n"/>
      <c r="D368" s="25" t="n"/>
      <c r="E368" s="26" t="n"/>
      <c r="F368" s="27" t="n"/>
      <c r="G368" s="17" t="n"/>
      <c r="H368" s="28" t="n"/>
      <c r="I368" s="28" t="n"/>
      <c r="J368" s="28" t="n"/>
      <c r="K368" s="28" t="n"/>
      <c r="L368" s="28" t="n"/>
      <c r="M368" s="28" t="n"/>
      <c r="N368" s="28" t="n"/>
      <c r="O368" s="28" t="n"/>
      <c r="P368" s="28" t="n"/>
      <c r="Q368" s="28" t="n"/>
      <c r="R368" s="28" t="n"/>
      <c r="S368" s="28" t="n"/>
      <c r="T368" s="29">
        <f>IF(N(E368)=0,"",E368*IF(F368="",1,IFERROR(INDEX(Setup!$E$9:$E$18,MATCH(F368,Setup!$D$9:$D$18,0)),0)))</f>
        <v/>
      </c>
      <c r="U368" s="30">
        <f>IF(T368="","",IF(V368=0,"Everyone",IF(COUNTIF(AI368:AT368,"&gt;0")=COUNTIF(Setup!$B$9:$B$20,"?*"),"Everyone",COUNTIF(AI368:AT368,"&gt;0")&amp;IF(COUNTIF(AI368:AT368,"&gt;0")=1," person"," people"))))</f>
        <v/>
      </c>
      <c r="V368" s="1">
        <f>SUM(AI368:AT368)</f>
        <v/>
      </c>
      <c r="W368">
        <f>IF(OR(T368="",Setup!$B$9=""),0,IF(V368=0,T368/COUNTIF(Setup!$B$9:$B$20,"?*"),T368*AI368/V368))</f>
        <v/>
      </c>
      <c r="X368">
        <f>IF(OR(T368="",Setup!$B$10=""),0,IF(V368=0,T368/COUNTIF(Setup!$B$9:$B$20,"?*"),T368*AJ368/V368))</f>
        <v/>
      </c>
      <c r="Y368">
        <f>IF(OR(T368="",Setup!$B$11=""),0,IF(V368=0,T368/COUNTIF(Setup!$B$9:$B$20,"?*"),T368*AK368/V368))</f>
        <v/>
      </c>
      <c r="Z368">
        <f>IF(OR(T368="",Setup!$B$12=""),0,IF(V368=0,T368/COUNTIF(Setup!$B$9:$B$20,"?*"),T368*AL368/V368))</f>
        <v/>
      </c>
      <c r="AA368">
        <f>IF(OR(T368="",Setup!$B$13=""),0,IF(V368=0,T368/COUNTIF(Setup!$B$9:$B$20,"?*"),T368*AM368/V368))</f>
        <v/>
      </c>
      <c r="AB368">
        <f>IF(OR(T368="",Setup!$B$14=""),0,IF(V368=0,T368/COUNTIF(Setup!$B$9:$B$20,"?*"),T368*AN368/V368))</f>
        <v/>
      </c>
      <c r="AC368">
        <f>IF(OR(T368="",Setup!$B$15=""),0,IF(V368=0,T368/COUNTIF(Setup!$B$9:$B$20,"?*"),T368*AO368/V368))</f>
        <v/>
      </c>
      <c r="AD368">
        <f>IF(OR(T368="",Setup!$B$16=""),0,IF(V368=0,T368/COUNTIF(Setup!$B$9:$B$20,"?*"),T368*AP368/V368))</f>
        <v/>
      </c>
      <c r="AE368">
        <f>IF(OR(T368="",Setup!$B$17=""),0,IF(V368=0,T368/COUNTIF(Setup!$B$9:$B$20,"?*"),T368*AQ368/V368))</f>
        <v/>
      </c>
      <c r="AF368">
        <f>IF(OR(T368="",Setup!$B$18=""),0,IF(V368=0,T368/COUNTIF(Setup!$B$9:$B$20,"?*"),T368*AR368/V368))</f>
        <v/>
      </c>
      <c r="AG368">
        <f>IF(OR(T368="",Setup!$B$19=""),0,IF(V368=0,T368/COUNTIF(Setup!$B$9:$B$20,"?*"),T368*AS368/V368))</f>
        <v/>
      </c>
      <c r="AH368">
        <f>IF(OR(T368="",Setup!$B$20=""),0,IF(V368=0,T368/COUNTIF(Setup!$B$9:$B$20,"?*"),T368*AT368/V368))</f>
        <v/>
      </c>
      <c r="AI368">
        <f>IF(Setup!$B$9="",0,IF(H368="",0,IF(ISNUMBER(H368),H368,1)))</f>
        <v/>
      </c>
      <c r="AJ368">
        <f>IF(Setup!$B$10="",0,IF(I368="",0,IF(ISNUMBER(I368),I368,1)))</f>
        <v/>
      </c>
      <c r="AK368">
        <f>IF(Setup!$B$11="",0,IF(J368="",0,IF(ISNUMBER(J368),J368,1)))</f>
        <v/>
      </c>
      <c r="AL368">
        <f>IF(Setup!$B$12="",0,IF(K368="",0,IF(ISNUMBER(K368),K368,1)))</f>
        <v/>
      </c>
      <c r="AM368">
        <f>IF(Setup!$B$13="",0,IF(L368="",0,IF(ISNUMBER(L368),L368,1)))</f>
        <v/>
      </c>
      <c r="AN368">
        <f>IF(Setup!$B$14="",0,IF(M368="",0,IF(ISNUMBER(M368),M368,1)))</f>
        <v/>
      </c>
      <c r="AO368">
        <f>IF(Setup!$B$15="",0,IF(N368="",0,IF(ISNUMBER(N368),N368,1)))</f>
        <v/>
      </c>
      <c r="AP368">
        <f>IF(Setup!$B$16="",0,IF(O368="",0,IF(ISNUMBER(O368),O368,1)))</f>
        <v/>
      </c>
      <c r="AQ368">
        <f>IF(Setup!$B$17="",0,IF(P368="",0,IF(ISNUMBER(P368),P368,1)))</f>
        <v/>
      </c>
      <c r="AR368">
        <f>IF(Setup!$B$18="",0,IF(Q368="",0,IF(ISNUMBER(Q368),Q368,1)))</f>
        <v/>
      </c>
      <c r="AS368">
        <f>IF(Setup!$B$19="",0,IF(R368="",0,IF(ISNUMBER(R368),R368,1)))</f>
        <v/>
      </c>
      <c r="AT368">
        <f>IF(Setup!$B$20="",0,IF(S368="",0,IF(ISNUMBER(S368),S368,1)))</f>
        <v/>
      </c>
    </row>
    <row r="369">
      <c r="A369" s="1" t="n"/>
      <c r="B369" s="24" t="n"/>
      <c r="C369" s="25" t="n"/>
      <c r="D369" s="25" t="n"/>
      <c r="E369" s="26" t="n"/>
      <c r="F369" s="27" t="n"/>
      <c r="G369" s="17" t="n"/>
      <c r="H369" s="28" t="n"/>
      <c r="I369" s="28" t="n"/>
      <c r="J369" s="28" t="n"/>
      <c r="K369" s="28" t="n"/>
      <c r="L369" s="28" t="n"/>
      <c r="M369" s="28" t="n"/>
      <c r="N369" s="28" t="n"/>
      <c r="O369" s="28" t="n"/>
      <c r="P369" s="28" t="n"/>
      <c r="Q369" s="28" t="n"/>
      <c r="R369" s="28" t="n"/>
      <c r="S369" s="28" t="n"/>
      <c r="T369" s="29">
        <f>IF(N(E369)=0,"",E369*IF(F369="",1,IFERROR(INDEX(Setup!$E$9:$E$18,MATCH(F369,Setup!$D$9:$D$18,0)),0)))</f>
        <v/>
      </c>
      <c r="U369" s="30">
        <f>IF(T369="","",IF(V369=0,"Everyone",IF(COUNTIF(AI369:AT369,"&gt;0")=COUNTIF(Setup!$B$9:$B$20,"?*"),"Everyone",COUNTIF(AI369:AT369,"&gt;0")&amp;IF(COUNTIF(AI369:AT369,"&gt;0")=1," person"," people"))))</f>
        <v/>
      </c>
      <c r="V369" s="1">
        <f>SUM(AI369:AT369)</f>
        <v/>
      </c>
      <c r="W369">
        <f>IF(OR(T369="",Setup!$B$9=""),0,IF(V369=0,T369/COUNTIF(Setup!$B$9:$B$20,"?*"),T369*AI369/V369))</f>
        <v/>
      </c>
      <c r="X369">
        <f>IF(OR(T369="",Setup!$B$10=""),0,IF(V369=0,T369/COUNTIF(Setup!$B$9:$B$20,"?*"),T369*AJ369/V369))</f>
        <v/>
      </c>
      <c r="Y369">
        <f>IF(OR(T369="",Setup!$B$11=""),0,IF(V369=0,T369/COUNTIF(Setup!$B$9:$B$20,"?*"),T369*AK369/V369))</f>
        <v/>
      </c>
      <c r="Z369">
        <f>IF(OR(T369="",Setup!$B$12=""),0,IF(V369=0,T369/COUNTIF(Setup!$B$9:$B$20,"?*"),T369*AL369/V369))</f>
        <v/>
      </c>
      <c r="AA369">
        <f>IF(OR(T369="",Setup!$B$13=""),0,IF(V369=0,T369/COUNTIF(Setup!$B$9:$B$20,"?*"),T369*AM369/V369))</f>
        <v/>
      </c>
      <c r="AB369">
        <f>IF(OR(T369="",Setup!$B$14=""),0,IF(V369=0,T369/COUNTIF(Setup!$B$9:$B$20,"?*"),T369*AN369/V369))</f>
        <v/>
      </c>
      <c r="AC369">
        <f>IF(OR(T369="",Setup!$B$15=""),0,IF(V369=0,T369/COUNTIF(Setup!$B$9:$B$20,"?*"),T369*AO369/V369))</f>
        <v/>
      </c>
      <c r="AD369">
        <f>IF(OR(T369="",Setup!$B$16=""),0,IF(V369=0,T369/COUNTIF(Setup!$B$9:$B$20,"?*"),T369*AP369/V369))</f>
        <v/>
      </c>
      <c r="AE369">
        <f>IF(OR(T369="",Setup!$B$17=""),0,IF(V369=0,T369/COUNTIF(Setup!$B$9:$B$20,"?*"),T369*AQ369/V369))</f>
        <v/>
      </c>
      <c r="AF369">
        <f>IF(OR(T369="",Setup!$B$18=""),0,IF(V369=0,T369/COUNTIF(Setup!$B$9:$B$20,"?*"),T369*AR369/V369))</f>
        <v/>
      </c>
      <c r="AG369">
        <f>IF(OR(T369="",Setup!$B$19=""),0,IF(V369=0,T369/COUNTIF(Setup!$B$9:$B$20,"?*"),T369*AS369/V369))</f>
        <v/>
      </c>
      <c r="AH369">
        <f>IF(OR(T369="",Setup!$B$20=""),0,IF(V369=0,T369/COUNTIF(Setup!$B$9:$B$20,"?*"),T369*AT369/V369))</f>
        <v/>
      </c>
      <c r="AI369">
        <f>IF(Setup!$B$9="",0,IF(H369="",0,IF(ISNUMBER(H369),H369,1)))</f>
        <v/>
      </c>
      <c r="AJ369">
        <f>IF(Setup!$B$10="",0,IF(I369="",0,IF(ISNUMBER(I369),I369,1)))</f>
        <v/>
      </c>
      <c r="AK369">
        <f>IF(Setup!$B$11="",0,IF(J369="",0,IF(ISNUMBER(J369),J369,1)))</f>
        <v/>
      </c>
      <c r="AL369">
        <f>IF(Setup!$B$12="",0,IF(K369="",0,IF(ISNUMBER(K369),K369,1)))</f>
        <v/>
      </c>
      <c r="AM369">
        <f>IF(Setup!$B$13="",0,IF(L369="",0,IF(ISNUMBER(L369),L369,1)))</f>
        <v/>
      </c>
      <c r="AN369">
        <f>IF(Setup!$B$14="",0,IF(M369="",0,IF(ISNUMBER(M369),M369,1)))</f>
        <v/>
      </c>
      <c r="AO369">
        <f>IF(Setup!$B$15="",0,IF(N369="",0,IF(ISNUMBER(N369),N369,1)))</f>
        <v/>
      </c>
      <c r="AP369">
        <f>IF(Setup!$B$16="",0,IF(O369="",0,IF(ISNUMBER(O369),O369,1)))</f>
        <v/>
      </c>
      <c r="AQ369">
        <f>IF(Setup!$B$17="",0,IF(P369="",0,IF(ISNUMBER(P369),P369,1)))</f>
        <v/>
      </c>
      <c r="AR369">
        <f>IF(Setup!$B$18="",0,IF(Q369="",0,IF(ISNUMBER(Q369),Q369,1)))</f>
        <v/>
      </c>
      <c r="AS369">
        <f>IF(Setup!$B$19="",0,IF(R369="",0,IF(ISNUMBER(R369),R369,1)))</f>
        <v/>
      </c>
      <c r="AT369">
        <f>IF(Setup!$B$20="",0,IF(S369="",0,IF(ISNUMBER(S369),S369,1)))</f>
        <v/>
      </c>
    </row>
    <row r="370">
      <c r="A370" s="1" t="n"/>
      <c r="B370" s="24" t="n"/>
      <c r="C370" s="25" t="n"/>
      <c r="D370" s="25" t="n"/>
      <c r="E370" s="26" t="n"/>
      <c r="F370" s="27" t="n"/>
      <c r="G370" s="17" t="n"/>
      <c r="H370" s="28" t="n"/>
      <c r="I370" s="28" t="n"/>
      <c r="J370" s="28" t="n"/>
      <c r="K370" s="28" t="n"/>
      <c r="L370" s="28" t="n"/>
      <c r="M370" s="28" t="n"/>
      <c r="N370" s="28" t="n"/>
      <c r="O370" s="28" t="n"/>
      <c r="P370" s="28" t="n"/>
      <c r="Q370" s="28" t="n"/>
      <c r="R370" s="28" t="n"/>
      <c r="S370" s="28" t="n"/>
      <c r="T370" s="29">
        <f>IF(N(E370)=0,"",E370*IF(F370="",1,IFERROR(INDEX(Setup!$E$9:$E$18,MATCH(F370,Setup!$D$9:$D$18,0)),0)))</f>
        <v/>
      </c>
      <c r="U370" s="30">
        <f>IF(T370="","",IF(V370=0,"Everyone",IF(COUNTIF(AI370:AT370,"&gt;0")=COUNTIF(Setup!$B$9:$B$20,"?*"),"Everyone",COUNTIF(AI370:AT370,"&gt;0")&amp;IF(COUNTIF(AI370:AT370,"&gt;0")=1," person"," people"))))</f>
        <v/>
      </c>
      <c r="V370" s="1">
        <f>SUM(AI370:AT370)</f>
        <v/>
      </c>
      <c r="W370">
        <f>IF(OR(T370="",Setup!$B$9=""),0,IF(V370=0,T370/COUNTIF(Setup!$B$9:$B$20,"?*"),T370*AI370/V370))</f>
        <v/>
      </c>
      <c r="X370">
        <f>IF(OR(T370="",Setup!$B$10=""),0,IF(V370=0,T370/COUNTIF(Setup!$B$9:$B$20,"?*"),T370*AJ370/V370))</f>
        <v/>
      </c>
      <c r="Y370">
        <f>IF(OR(T370="",Setup!$B$11=""),0,IF(V370=0,T370/COUNTIF(Setup!$B$9:$B$20,"?*"),T370*AK370/V370))</f>
        <v/>
      </c>
      <c r="Z370">
        <f>IF(OR(T370="",Setup!$B$12=""),0,IF(V370=0,T370/COUNTIF(Setup!$B$9:$B$20,"?*"),T370*AL370/V370))</f>
        <v/>
      </c>
      <c r="AA370">
        <f>IF(OR(T370="",Setup!$B$13=""),0,IF(V370=0,T370/COUNTIF(Setup!$B$9:$B$20,"?*"),T370*AM370/V370))</f>
        <v/>
      </c>
      <c r="AB370">
        <f>IF(OR(T370="",Setup!$B$14=""),0,IF(V370=0,T370/COUNTIF(Setup!$B$9:$B$20,"?*"),T370*AN370/V370))</f>
        <v/>
      </c>
      <c r="AC370">
        <f>IF(OR(T370="",Setup!$B$15=""),0,IF(V370=0,T370/COUNTIF(Setup!$B$9:$B$20,"?*"),T370*AO370/V370))</f>
        <v/>
      </c>
      <c r="AD370">
        <f>IF(OR(T370="",Setup!$B$16=""),0,IF(V370=0,T370/COUNTIF(Setup!$B$9:$B$20,"?*"),T370*AP370/V370))</f>
        <v/>
      </c>
      <c r="AE370">
        <f>IF(OR(T370="",Setup!$B$17=""),0,IF(V370=0,T370/COUNTIF(Setup!$B$9:$B$20,"?*"),T370*AQ370/V370))</f>
        <v/>
      </c>
      <c r="AF370">
        <f>IF(OR(T370="",Setup!$B$18=""),0,IF(V370=0,T370/COUNTIF(Setup!$B$9:$B$20,"?*"),T370*AR370/V370))</f>
        <v/>
      </c>
      <c r="AG370">
        <f>IF(OR(T370="",Setup!$B$19=""),0,IF(V370=0,T370/COUNTIF(Setup!$B$9:$B$20,"?*"),T370*AS370/V370))</f>
        <v/>
      </c>
      <c r="AH370">
        <f>IF(OR(T370="",Setup!$B$20=""),0,IF(V370=0,T370/COUNTIF(Setup!$B$9:$B$20,"?*"),T370*AT370/V370))</f>
        <v/>
      </c>
      <c r="AI370">
        <f>IF(Setup!$B$9="",0,IF(H370="",0,IF(ISNUMBER(H370),H370,1)))</f>
        <v/>
      </c>
      <c r="AJ370">
        <f>IF(Setup!$B$10="",0,IF(I370="",0,IF(ISNUMBER(I370),I370,1)))</f>
        <v/>
      </c>
      <c r="AK370">
        <f>IF(Setup!$B$11="",0,IF(J370="",0,IF(ISNUMBER(J370),J370,1)))</f>
        <v/>
      </c>
      <c r="AL370">
        <f>IF(Setup!$B$12="",0,IF(K370="",0,IF(ISNUMBER(K370),K370,1)))</f>
        <v/>
      </c>
      <c r="AM370">
        <f>IF(Setup!$B$13="",0,IF(L370="",0,IF(ISNUMBER(L370),L370,1)))</f>
        <v/>
      </c>
      <c r="AN370">
        <f>IF(Setup!$B$14="",0,IF(M370="",0,IF(ISNUMBER(M370),M370,1)))</f>
        <v/>
      </c>
      <c r="AO370">
        <f>IF(Setup!$B$15="",0,IF(N370="",0,IF(ISNUMBER(N370),N370,1)))</f>
        <v/>
      </c>
      <c r="AP370">
        <f>IF(Setup!$B$16="",0,IF(O370="",0,IF(ISNUMBER(O370),O370,1)))</f>
        <v/>
      </c>
      <c r="AQ370">
        <f>IF(Setup!$B$17="",0,IF(P370="",0,IF(ISNUMBER(P370),P370,1)))</f>
        <v/>
      </c>
      <c r="AR370">
        <f>IF(Setup!$B$18="",0,IF(Q370="",0,IF(ISNUMBER(Q370),Q370,1)))</f>
        <v/>
      </c>
      <c r="AS370">
        <f>IF(Setup!$B$19="",0,IF(R370="",0,IF(ISNUMBER(R370),R370,1)))</f>
        <v/>
      </c>
      <c r="AT370">
        <f>IF(Setup!$B$20="",0,IF(S370="",0,IF(ISNUMBER(S370),S370,1)))</f>
        <v/>
      </c>
    </row>
    <row r="371">
      <c r="A371" s="1" t="n"/>
      <c r="B371" s="24" t="n"/>
      <c r="C371" s="25" t="n"/>
      <c r="D371" s="25" t="n"/>
      <c r="E371" s="26" t="n"/>
      <c r="F371" s="27" t="n"/>
      <c r="G371" s="17" t="n"/>
      <c r="H371" s="28" t="n"/>
      <c r="I371" s="28" t="n"/>
      <c r="J371" s="28" t="n"/>
      <c r="K371" s="28" t="n"/>
      <c r="L371" s="28" t="n"/>
      <c r="M371" s="28" t="n"/>
      <c r="N371" s="28" t="n"/>
      <c r="O371" s="28" t="n"/>
      <c r="P371" s="28" t="n"/>
      <c r="Q371" s="28" t="n"/>
      <c r="R371" s="28" t="n"/>
      <c r="S371" s="28" t="n"/>
      <c r="T371" s="29">
        <f>IF(N(E371)=0,"",E371*IF(F371="",1,IFERROR(INDEX(Setup!$E$9:$E$18,MATCH(F371,Setup!$D$9:$D$18,0)),0)))</f>
        <v/>
      </c>
      <c r="U371" s="30">
        <f>IF(T371="","",IF(V371=0,"Everyone",IF(COUNTIF(AI371:AT371,"&gt;0")=COUNTIF(Setup!$B$9:$B$20,"?*"),"Everyone",COUNTIF(AI371:AT371,"&gt;0")&amp;IF(COUNTIF(AI371:AT371,"&gt;0")=1," person"," people"))))</f>
        <v/>
      </c>
      <c r="V371" s="1">
        <f>SUM(AI371:AT371)</f>
        <v/>
      </c>
      <c r="W371">
        <f>IF(OR(T371="",Setup!$B$9=""),0,IF(V371=0,T371/COUNTIF(Setup!$B$9:$B$20,"?*"),T371*AI371/V371))</f>
        <v/>
      </c>
      <c r="X371">
        <f>IF(OR(T371="",Setup!$B$10=""),0,IF(V371=0,T371/COUNTIF(Setup!$B$9:$B$20,"?*"),T371*AJ371/V371))</f>
        <v/>
      </c>
      <c r="Y371">
        <f>IF(OR(T371="",Setup!$B$11=""),0,IF(V371=0,T371/COUNTIF(Setup!$B$9:$B$20,"?*"),T371*AK371/V371))</f>
        <v/>
      </c>
      <c r="Z371">
        <f>IF(OR(T371="",Setup!$B$12=""),0,IF(V371=0,T371/COUNTIF(Setup!$B$9:$B$20,"?*"),T371*AL371/V371))</f>
        <v/>
      </c>
      <c r="AA371">
        <f>IF(OR(T371="",Setup!$B$13=""),0,IF(V371=0,T371/COUNTIF(Setup!$B$9:$B$20,"?*"),T371*AM371/V371))</f>
        <v/>
      </c>
      <c r="AB371">
        <f>IF(OR(T371="",Setup!$B$14=""),0,IF(V371=0,T371/COUNTIF(Setup!$B$9:$B$20,"?*"),T371*AN371/V371))</f>
        <v/>
      </c>
      <c r="AC371">
        <f>IF(OR(T371="",Setup!$B$15=""),0,IF(V371=0,T371/COUNTIF(Setup!$B$9:$B$20,"?*"),T371*AO371/V371))</f>
        <v/>
      </c>
      <c r="AD371">
        <f>IF(OR(T371="",Setup!$B$16=""),0,IF(V371=0,T371/COUNTIF(Setup!$B$9:$B$20,"?*"),T371*AP371/V371))</f>
        <v/>
      </c>
      <c r="AE371">
        <f>IF(OR(T371="",Setup!$B$17=""),0,IF(V371=0,T371/COUNTIF(Setup!$B$9:$B$20,"?*"),T371*AQ371/V371))</f>
        <v/>
      </c>
      <c r="AF371">
        <f>IF(OR(T371="",Setup!$B$18=""),0,IF(V371=0,T371/COUNTIF(Setup!$B$9:$B$20,"?*"),T371*AR371/V371))</f>
        <v/>
      </c>
      <c r="AG371">
        <f>IF(OR(T371="",Setup!$B$19=""),0,IF(V371=0,T371/COUNTIF(Setup!$B$9:$B$20,"?*"),T371*AS371/V371))</f>
        <v/>
      </c>
      <c r="AH371">
        <f>IF(OR(T371="",Setup!$B$20=""),0,IF(V371=0,T371/COUNTIF(Setup!$B$9:$B$20,"?*"),T371*AT371/V371))</f>
        <v/>
      </c>
      <c r="AI371">
        <f>IF(Setup!$B$9="",0,IF(H371="",0,IF(ISNUMBER(H371),H371,1)))</f>
        <v/>
      </c>
      <c r="AJ371">
        <f>IF(Setup!$B$10="",0,IF(I371="",0,IF(ISNUMBER(I371),I371,1)))</f>
        <v/>
      </c>
      <c r="AK371">
        <f>IF(Setup!$B$11="",0,IF(J371="",0,IF(ISNUMBER(J371),J371,1)))</f>
        <v/>
      </c>
      <c r="AL371">
        <f>IF(Setup!$B$12="",0,IF(K371="",0,IF(ISNUMBER(K371),K371,1)))</f>
        <v/>
      </c>
      <c r="AM371">
        <f>IF(Setup!$B$13="",0,IF(L371="",0,IF(ISNUMBER(L371),L371,1)))</f>
        <v/>
      </c>
      <c r="AN371">
        <f>IF(Setup!$B$14="",0,IF(M371="",0,IF(ISNUMBER(M371),M371,1)))</f>
        <v/>
      </c>
      <c r="AO371">
        <f>IF(Setup!$B$15="",0,IF(N371="",0,IF(ISNUMBER(N371),N371,1)))</f>
        <v/>
      </c>
      <c r="AP371">
        <f>IF(Setup!$B$16="",0,IF(O371="",0,IF(ISNUMBER(O371),O371,1)))</f>
        <v/>
      </c>
      <c r="AQ371">
        <f>IF(Setup!$B$17="",0,IF(P371="",0,IF(ISNUMBER(P371),P371,1)))</f>
        <v/>
      </c>
      <c r="AR371">
        <f>IF(Setup!$B$18="",0,IF(Q371="",0,IF(ISNUMBER(Q371),Q371,1)))</f>
        <v/>
      </c>
      <c r="AS371">
        <f>IF(Setup!$B$19="",0,IF(R371="",0,IF(ISNUMBER(R371),R371,1)))</f>
        <v/>
      </c>
      <c r="AT371">
        <f>IF(Setup!$B$20="",0,IF(S371="",0,IF(ISNUMBER(S371),S371,1)))</f>
        <v/>
      </c>
    </row>
    <row r="372">
      <c r="A372" s="1" t="n"/>
      <c r="B372" s="24" t="n"/>
      <c r="C372" s="25" t="n"/>
      <c r="D372" s="25" t="n"/>
      <c r="E372" s="26" t="n"/>
      <c r="F372" s="27" t="n"/>
      <c r="G372" s="17" t="n"/>
      <c r="H372" s="28" t="n"/>
      <c r="I372" s="28" t="n"/>
      <c r="J372" s="28" t="n"/>
      <c r="K372" s="28" t="n"/>
      <c r="L372" s="28" t="n"/>
      <c r="M372" s="28" t="n"/>
      <c r="N372" s="28" t="n"/>
      <c r="O372" s="28" t="n"/>
      <c r="P372" s="28" t="n"/>
      <c r="Q372" s="28" t="n"/>
      <c r="R372" s="28" t="n"/>
      <c r="S372" s="28" t="n"/>
      <c r="T372" s="29">
        <f>IF(N(E372)=0,"",E372*IF(F372="",1,IFERROR(INDEX(Setup!$E$9:$E$18,MATCH(F372,Setup!$D$9:$D$18,0)),0)))</f>
        <v/>
      </c>
      <c r="U372" s="30">
        <f>IF(T372="","",IF(V372=0,"Everyone",IF(COUNTIF(AI372:AT372,"&gt;0")=COUNTIF(Setup!$B$9:$B$20,"?*"),"Everyone",COUNTIF(AI372:AT372,"&gt;0")&amp;IF(COUNTIF(AI372:AT372,"&gt;0")=1," person"," people"))))</f>
        <v/>
      </c>
      <c r="V372" s="1">
        <f>SUM(AI372:AT372)</f>
        <v/>
      </c>
      <c r="W372">
        <f>IF(OR(T372="",Setup!$B$9=""),0,IF(V372=0,T372/COUNTIF(Setup!$B$9:$B$20,"?*"),T372*AI372/V372))</f>
        <v/>
      </c>
      <c r="X372">
        <f>IF(OR(T372="",Setup!$B$10=""),0,IF(V372=0,T372/COUNTIF(Setup!$B$9:$B$20,"?*"),T372*AJ372/V372))</f>
        <v/>
      </c>
      <c r="Y372">
        <f>IF(OR(T372="",Setup!$B$11=""),0,IF(V372=0,T372/COUNTIF(Setup!$B$9:$B$20,"?*"),T372*AK372/V372))</f>
        <v/>
      </c>
      <c r="Z372">
        <f>IF(OR(T372="",Setup!$B$12=""),0,IF(V372=0,T372/COUNTIF(Setup!$B$9:$B$20,"?*"),T372*AL372/V372))</f>
        <v/>
      </c>
      <c r="AA372">
        <f>IF(OR(T372="",Setup!$B$13=""),0,IF(V372=0,T372/COUNTIF(Setup!$B$9:$B$20,"?*"),T372*AM372/V372))</f>
        <v/>
      </c>
      <c r="AB372">
        <f>IF(OR(T372="",Setup!$B$14=""),0,IF(V372=0,T372/COUNTIF(Setup!$B$9:$B$20,"?*"),T372*AN372/V372))</f>
        <v/>
      </c>
      <c r="AC372">
        <f>IF(OR(T372="",Setup!$B$15=""),0,IF(V372=0,T372/COUNTIF(Setup!$B$9:$B$20,"?*"),T372*AO372/V372))</f>
        <v/>
      </c>
      <c r="AD372">
        <f>IF(OR(T372="",Setup!$B$16=""),0,IF(V372=0,T372/COUNTIF(Setup!$B$9:$B$20,"?*"),T372*AP372/V372))</f>
        <v/>
      </c>
      <c r="AE372">
        <f>IF(OR(T372="",Setup!$B$17=""),0,IF(V372=0,T372/COUNTIF(Setup!$B$9:$B$20,"?*"),T372*AQ372/V372))</f>
        <v/>
      </c>
      <c r="AF372">
        <f>IF(OR(T372="",Setup!$B$18=""),0,IF(V372=0,T372/COUNTIF(Setup!$B$9:$B$20,"?*"),T372*AR372/V372))</f>
        <v/>
      </c>
      <c r="AG372">
        <f>IF(OR(T372="",Setup!$B$19=""),0,IF(V372=0,T372/COUNTIF(Setup!$B$9:$B$20,"?*"),T372*AS372/V372))</f>
        <v/>
      </c>
      <c r="AH372">
        <f>IF(OR(T372="",Setup!$B$20=""),0,IF(V372=0,T372/COUNTIF(Setup!$B$9:$B$20,"?*"),T372*AT372/V372))</f>
        <v/>
      </c>
      <c r="AI372">
        <f>IF(Setup!$B$9="",0,IF(H372="",0,IF(ISNUMBER(H372),H372,1)))</f>
        <v/>
      </c>
      <c r="AJ372">
        <f>IF(Setup!$B$10="",0,IF(I372="",0,IF(ISNUMBER(I372),I372,1)))</f>
        <v/>
      </c>
      <c r="AK372">
        <f>IF(Setup!$B$11="",0,IF(J372="",0,IF(ISNUMBER(J372),J372,1)))</f>
        <v/>
      </c>
      <c r="AL372">
        <f>IF(Setup!$B$12="",0,IF(K372="",0,IF(ISNUMBER(K372),K372,1)))</f>
        <v/>
      </c>
      <c r="AM372">
        <f>IF(Setup!$B$13="",0,IF(L372="",0,IF(ISNUMBER(L372),L372,1)))</f>
        <v/>
      </c>
      <c r="AN372">
        <f>IF(Setup!$B$14="",0,IF(M372="",0,IF(ISNUMBER(M372),M372,1)))</f>
        <v/>
      </c>
      <c r="AO372">
        <f>IF(Setup!$B$15="",0,IF(N372="",0,IF(ISNUMBER(N372),N372,1)))</f>
        <v/>
      </c>
      <c r="AP372">
        <f>IF(Setup!$B$16="",0,IF(O372="",0,IF(ISNUMBER(O372),O372,1)))</f>
        <v/>
      </c>
      <c r="AQ372">
        <f>IF(Setup!$B$17="",0,IF(P372="",0,IF(ISNUMBER(P372),P372,1)))</f>
        <v/>
      </c>
      <c r="AR372">
        <f>IF(Setup!$B$18="",0,IF(Q372="",0,IF(ISNUMBER(Q372),Q372,1)))</f>
        <v/>
      </c>
      <c r="AS372">
        <f>IF(Setup!$B$19="",0,IF(R372="",0,IF(ISNUMBER(R372),R372,1)))</f>
        <v/>
      </c>
      <c r="AT372">
        <f>IF(Setup!$B$20="",0,IF(S372="",0,IF(ISNUMBER(S372),S372,1)))</f>
        <v/>
      </c>
    </row>
    <row r="373">
      <c r="A373" s="1" t="n"/>
      <c r="B373" s="24" t="n"/>
      <c r="C373" s="25" t="n"/>
      <c r="D373" s="25" t="n"/>
      <c r="E373" s="26" t="n"/>
      <c r="F373" s="27" t="n"/>
      <c r="G373" s="17" t="n"/>
      <c r="H373" s="28" t="n"/>
      <c r="I373" s="28" t="n"/>
      <c r="J373" s="28" t="n"/>
      <c r="K373" s="28" t="n"/>
      <c r="L373" s="28" t="n"/>
      <c r="M373" s="28" t="n"/>
      <c r="N373" s="28" t="n"/>
      <c r="O373" s="28" t="n"/>
      <c r="P373" s="28" t="n"/>
      <c r="Q373" s="28" t="n"/>
      <c r="R373" s="28" t="n"/>
      <c r="S373" s="28" t="n"/>
      <c r="T373" s="29">
        <f>IF(N(E373)=0,"",E373*IF(F373="",1,IFERROR(INDEX(Setup!$E$9:$E$18,MATCH(F373,Setup!$D$9:$D$18,0)),0)))</f>
        <v/>
      </c>
      <c r="U373" s="30">
        <f>IF(T373="","",IF(V373=0,"Everyone",IF(COUNTIF(AI373:AT373,"&gt;0")=COUNTIF(Setup!$B$9:$B$20,"?*"),"Everyone",COUNTIF(AI373:AT373,"&gt;0")&amp;IF(COUNTIF(AI373:AT373,"&gt;0")=1," person"," people"))))</f>
        <v/>
      </c>
      <c r="V373" s="1">
        <f>SUM(AI373:AT373)</f>
        <v/>
      </c>
      <c r="W373">
        <f>IF(OR(T373="",Setup!$B$9=""),0,IF(V373=0,T373/COUNTIF(Setup!$B$9:$B$20,"?*"),T373*AI373/V373))</f>
        <v/>
      </c>
      <c r="X373">
        <f>IF(OR(T373="",Setup!$B$10=""),0,IF(V373=0,T373/COUNTIF(Setup!$B$9:$B$20,"?*"),T373*AJ373/V373))</f>
        <v/>
      </c>
      <c r="Y373">
        <f>IF(OR(T373="",Setup!$B$11=""),0,IF(V373=0,T373/COUNTIF(Setup!$B$9:$B$20,"?*"),T373*AK373/V373))</f>
        <v/>
      </c>
      <c r="Z373">
        <f>IF(OR(T373="",Setup!$B$12=""),0,IF(V373=0,T373/COUNTIF(Setup!$B$9:$B$20,"?*"),T373*AL373/V373))</f>
        <v/>
      </c>
      <c r="AA373">
        <f>IF(OR(T373="",Setup!$B$13=""),0,IF(V373=0,T373/COUNTIF(Setup!$B$9:$B$20,"?*"),T373*AM373/V373))</f>
        <v/>
      </c>
      <c r="AB373">
        <f>IF(OR(T373="",Setup!$B$14=""),0,IF(V373=0,T373/COUNTIF(Setup!$B$9:$B$20,"?*"),T373*AN373/V373))</f>
        <v/>
      </c>
      <c r="AC373">
        <f>IF(OR(T373="",Setup!$B$15=""),0,IF(V373=0,T373/COUNTIF(Setup!$B$9:$B$20,"?*"),T373*AO373/V373))</f>
        <v/>
      </c>
      <c r="AD373">
        <f>IF(OR(T373="",Setup!$B$16=""),0,IF(V373=0,T373/COUNTIF(Setup!$B$9:$B$20,"?*"),T373*AP373/V373))</f>
        <v/>
      </c>
      <c r="AE373">
        <f>IF(OR(T373="",Setup!$B$17=""),0,IF(V373=0,T373/COUNTIF(Setup!$B$9:$B$20,"?*"),T373*AQ373/V373))</f>
        <v/>
      </c>
      <c r="AF373">
        <f>IF(OR(T373="",Setup!$B$18=""),0,IF(V373=0,T373/COUNTIF(Setup!$B$9:$B$20,"?*"),T373*AR373/V373))</f>
        <v/>
      </c>
      <c r="AG373">
        <f>IF(OR(T373="",Setup!$B$19=""),0,IF(V373=0,T373/COUNTIF(Setup!$B$9:$B$20,"?*"),T373*AS373/V373))</f>
        <v/>
      </c>
      <c r="AH373">
        <f>IF(OR(T373="",Setup!$B$20=""),0,IF(V373=0,T373/COUNTIF(Setup!$B$9:$B$20,"?*"),T373*AT373/V373))</f>
        <v/>
      </c>
      <c r="AI373">
        <f>IF(Setup!$B$9="",0,IF(H373="",0,IF(ISNUMBER(H373),H373,1)))</f>
        <v/>
      </c>
      <c r="AJ373">
        <f>IF(Setup!$B$10="",0,IF(I373="",0,IF(ISNUMBER(I373),I373,1)))</f>
        <v/>
      </c>
      <c r="AK373">
        <f>IF(Setup!$B$11="",0,IF(J373="",0,IF(ISNUMBER(J373),J373,1)))</f>
        <v/>
      </c>
      <c r="AL373">
        <f>IF(Setup!$B$12="",0,IF(K373="",0,IF(ISNUMBER(K373),K373,1)))</f>
        <v/>
      </c>
      <c r="AM373">
        <f>IF(Setup!$B$13="",0,IF(L373="",0,IF(ISNUMBER(L373),L373,1)))</f>
        <v/>
      </c>
      <c r="AN373">
        <f>IF(Setup!$B$14="",0,IF(M373="",0,IF(ISNUMBER(M373),M373,1)))</f>
        <v/>
      </c>
      <c r="AO373">
        <f>IF(Setup!$B$15="",0,IF(N373="",0,IF(ISNUMBER(N373),N373,1)))</f>
        <v/>
      </c>
      <c r="AP373">
        <f>IF(Setup!$B$16="",0,IF(O373="",0,IF(ISNUMBER(O373),O373,1)))</f>
        <v/>
      </c>
      <c r="AQ373">
        <f>IF(Setup!$B$17="",0,IF(P373="",0,IF(ISNUMBER(P373),P373,1)))</f>
        <v/>
      </c>
      <c r="AR373">
        <f>IF(Setup!$B$18="",0,IF(Q373="",0,IF(ISNUMBER(Q373),Q373,1)))</f>
        <v/>
      </c>
      <c r="AS373">
        <f>IF(Setup!$B$19="",0,IF(R373="",0,IF(ISNUMBER(R373),R373,1)))</f>
        <v/>
      </c>
      <c r="AT373">
        <f>IF(Setup!$B$20="",0,IF(S373="",0,IF(ISNUMBER(S373),S373,1)))</f>
        <v/>
      </c>
    </row>
    <row r="374">
      <c r="A374" s="1" t="n"/>
      <c r="B374" s="24" t="n"/>
      <c r="C374" s="25" t="n"/>
      <c r="D374" s="25" t="n"/>
      <c r="E374" s="26" t="n"/>
      <c r="F374" s="27" t="n"/>
      <c r="G374" s="17" t="n"/>
      <c r="H374" s="28" t="n"/>
      <c r="I374" s="28" t="n"/>
      <c r="J374" s="28" t="n"/>
      <c r="K374" s="28" t="n"/>
      <c r="L374" s="28" t="n"/>
      <c r="M374" s="28" t="n"/>
      <c r="N374" s="28" t="n"/>
      <c r="O374" s="28" t="n"/>
      <c r="P374" s="28" t="n"/>
      <c r="Q374" s="28" t="n"/>
      <c r="R374" s="28" t="n"/>
      <c r="S374" s="28" t="n"/>
      <c r="T374" s="29">
        <f>IF(N(E374)=0,"",E374*IF(F374="",1,IFERROR(INDEX(Setup!$E$9:$E$18,MATCH(F374,Setup!$D$9:$D$18,0)),0)))</f>
        <v/>
      </c>
      <c r="U374" s="30">
        <f>IF(T374="","",IF(V374=0,"Everyone",IF(COUNTIF(AI374:AT374,"&gt;0")=COUNTIF(Setup!$B$9:$B$20,"?*"),"Everyone",COUNTIF(AI374:AT374,"&gt;0")&amp;IF(COUNTIF(AI374:AT374,"&gt;0")=1," person"," people"))))</f>
        <v/>
      </c>
      <c r="V374" s="1">
        <f>SUM(AI374:AT374)</f>
        <v/>
      </c>
      <c r="W374">
        <f>IF(OR(T374="",Setup!$B$9=""),0,IF(V374=0,T374/COUNTIF(Setup!$B$9:$B$20,"?*"),T374*AI374/V374))</f>
        <v/>
      </c>
      <c r="X374">
        <f>IF(OR(T374="",Setup!$B$10=""),0,IF(V374=0,T374/COUNTIF(Setup!$B$9:$B$20,"?*"),T374*AJ374/V374))</f>
        <v/>
      </c>
      <c r="Y374">
        <f>IF(OR(T374="",Setup!$B$11=""),0,IF(V374=0,T374/COUNTIF(Setup!$B$9:$B$20,"?*"),T374*AK374/V374))</f>
        <v/>
      </c>
      <c r="Z374">
        <f>IF(OR(T374="",Setup!$B$12=""),0,IF(V374=0,T374/COUNTIF(Setup!$B$9:$B$20,"?*"),T374*AL374/V374))</f>
        <v/>
      </c>
      <c r="AA374">
        <f>IF(OR(T374="",Setup!$B$13=""),0,IF(V374=0,T374/COUNTIF(Setup!$B$9:$B$20,"?*"),T374*AM374/V374))</f>
        <v/>
      </c>
      <c r="AB374">
        <f>IF(OR(T374="",Setup!$B$14=""),0,IF(V374=0,T374/COUNTIF(Setup!$B$9:$B$20,"?*"),T374*AN374/V374))</f>
        <v/>
      </c>
      <c r="AC374">
        <f>IF(OR(T374="",Setup!$B$15=""),0,IF(V374=0,T374/COUNTIF(Setup!$B$9:$B$20,"?*"),T374*AO374/V374))</f>
        <v/>
      </c>
      <c r="AD374">
        <f>IF(OR(T374="",Setup!$B$16=""),0,IF(V374=0,T374/COUNTIF(Setup!$B$9:$B$20,"?*"),T374*AP374/V374))</f>
        <v/>
      </c>
      <c r="AE374">
        <f>IF(OR(T374="",Setup!$B$17=""),0,IF(V374=0,T374/COUNTIF(Setup!$B$9:$B$20,"?*"),T374*AQ374/V374))</f>
        <v/>
      </c>
      <c r="AF374">
        <f>IF(OR(T374="",Setup!$B$18=""),0,IF(V374=0,T374/COUNTIF(Setup!$B$9:$B$20,"?*"),T374*AR374/V374))</f>
        <v/>
      </c>
      <c r="AG374">
        <f>IF(OR(T374="",Setup!$B$19=""),0,IF(V374=0,T374/COUNTIF(Setup!$B$9:$B$20,"?*"),T374*AS374/V374))</f>
        <v/>
      </c>
      <c r="AH374">
        <f>IF(OR(T374="",Setup!$B$20=""),0,IF(V374=0,T374/COUNTIF(Setup!$B$9:$B$20,"?*"),T374*AT374/V374))</f>
        <v/>
      </c>
      <c r="AI374">
        <f>IF(Setup!$B$9="",0,IF(H374="",0,IF(ISNUMBER(H374),H374,1)))</f>
        <v/>
      </c>
      <c r="AJ374">
        <f>IF(Setup!$B$10="",0,IF(I374="",0,IF(ISNUMBER(I374),I374,1)))</f>
        <v/>
      </c>
      <c r="AK374">
        <f>IF(Setup!$B$11="",0,IF(J374="",0,IF(ISNUMBER(J374),J374,1)))</f>
        <v/>
      </c>
      <c r="AL374">
        <f>IF(Setup!$B$12="",0,IF(K374="",0,IF(ISNUMBER(K374),K374,1)))</f>
        <v/>
      </c>
      <c r="AM374">
        <f>IF(Setup!$B$13="",0,IF(L374="",0,IF(ISNUMBER(L374),L374,1)))</f>
        <v/>
      </c>
      <c r="AN374">
        <f>IF(Setup!$B$14="",0,IF(M374="",0,IF(ISNUMBER(M374),M374,1)))</f>
        <v/>
      </c>
      <c r="AO374">
        <f>IF(Setup!$B$15="",0,IF(N374="",0,IF(ISNUMBER(N374),N374,1)))</f>
        <v/>
      </c>
      <c r="AP374">
        <f>IF(Setup!$B$16="",0,IF(O374="",0,IF(ISNUMBER(O374),O374,1)))</f>
        <v/>
      </c>
      <c r="AQ374">
        <f>IF(Setup!$B$17="",0,IF(P374="",0,IF(ISNUMBER(P374),P374,1)))</f>
        <v/>
      </c>
      <c r="AR374">
        <f>IF(Setup!$B$18="",0,IF(Q374="",0,IF(ISNUMBER(Q374),Q374,1)))</f>
        <v/>
      </c>
      <c r="AS374">
        <f>IF(Setup!$B$19="",0,IF(R374="",0,IF(ISNUMBER(R374),R374,1)))</f>
        <v/>
      </c>
      <c r="AT374">
        <f>IF(Setup!$B$20="",0,IF(S374="",0,IF(ISNUMBER(S374),S374,1)))</f>
        <v/>
      </c>
    </row>
    <row r="375">
      <c r="A375" s="1" t="n"/>
      <c r="B375" s="24" t="n"/>
      <c r="C375" s="25" t="n"/>
      <c r="D375" s="25" t="n"/>
      <c r="E375" s="26" t="n"/>
      <c r="F375" s="27" t="n"/>
      <c r="G375" s="17" t="n"/>
      <c r="H375" s="28" t="n"/>
      <c r="I375" s="28" t="n"/>
      <c r="J375" s="28" t="n"/>
      <c r="K375" s="28" t="n"/>
      <c r="L375" s="28" t="n"/>
      <c r="M375" s="28" t="n"/>
      <c r="N375" s="28" t="n"/>
      <c r="O375" s="28" t="n"/>
      <c r="P375" s="28" t="n"/>
      <c r="Q375" s="28" t="n"/>
      <c r="R375" s="28" t="n"/>
      <c r="S375" s="28" t="n"/>
      <c r="T375" s="29">
        <f>IF(N(E375)=0,"",E375*IF(F375="",1,IFERROR(INDEX(Setup!$E$9:$E$18,MATCH(F375,Setup!$D$9:$D$18,0)),0)))</f>
        <v/>
      </c>
      <c r="U375" s="30">
        <f>IF(T375="","",IF(V375=0,"Everyone",IF(COUNTIF(AI375:AT375,"&gt;0")=COUNTIF(Setup!$B$9:$B$20,"?*"),"Everyone",COUNTIF(AI375:AT375,"&gt;0")&amp;IF(COUNTIF(AI375:AT375,"&gt;0")=1," person"," people"))))</f>
        <v/>
      </c>
      <c r="V375" s="1">
        <f>SUM(AI375:AT375)</f>
        <v/>
      </c>
      <c r="W375">
        <f>IF(OR(T375="",Setup!$B$9=""),0,IF(V375=0,T375/COUNTIF(Setup!$B$9:$B$20,"?*"),T375*AI375/V375))</f>
        <v/>
      </c>
      <c r="X375">
        <f>IF(OR(T375="",Setup!$B$10=""),0,IF(V375=0,T375/COUNTIF(Setup!$B$9:$B$20,"?*"),T375*AJ375/V375))</f>
        <v/>
      </c>
      <c r="Y375">
        <f>IF(OR(T375="",Setup!$B$11=""),0,IF(V375=0,T375/COUNTIF(Setup!$B$9:$B$20,"?*"),T375*AK375/V375))</f>
        <v/>
      </c>
      <c r="Z375">
        <f>IF(OR(T375="",Setup!$B$12=""),0,IF(V375=0,T375/COUNTIF(Setup!$B$9:$B$20,"?*"),T375*AL375/V375))</f>
        <v/>
      </c>
      <c r="AA375">
        <f>IF(OR(T375="",Setup!$B$13=""),0,IF(V375=0,T375/COUNTIF(Setup!$B$9:$B$20,"?*"),T375*AM375/V375))</f>
        <v/>
      </c>
      <c r="AB375">
        <f>IF(OR(T375="",Setup!$B$14=""),0,IF(V375=0,T375/COUNTIF(Setup!$B$9:$B$20,"?*"),T375*AN375/V375))</f>
        <v/>
      </c>
      <c r="AC375">
        <f>IF(OR(T375="",Setup!$B$15=""),0,IF(V375=0,T375/COUNTIF(Setup!$B$9:$B$20,"?*"),T375*AO375/V375))</f>
        <v/>
      </c>
      <c r="AD375">
        <f>IF(OR(T375="",Setup!$B$16=""),0,IF(V375=0,T375/COUNTIF(Setup!$B$9:$B$20,"?*"),T375*AP375/V375))</f>
        <v/>
      </c>
      <c r="AE375">
        <f>IF(OR(T375="",Setup!$B$17=""),0,IF(V375=0,T375/COUNTIF(Setup!$B$9:$B$20,"?*"),T375*AQ375/V375))</f>
        <v/>
      </c>
      <c r="AF375">
        <f>IF(OR(T375="",Setup!$B$18=""),0,IF(V375=0,T375/COUNTIF(Setup!$B$9:$B$20,"?*"),T375*AR375/V375))</f>
        <v/>
      </c>
      <c r="AG375">
        <f>IF(OR(T375="",Setup!$B$19=""),0,IF(V375=0,T375/COUNTIF(Setup!$B$9:$B$20,"?*"),T375*AS375/V375))</f>
        <v/>
      </c>
      <c r="AH375">
        <f>IF(OR(T375="",Setup!$B$20=""),0,IF(V375=0,T375/COUNTIF(Setup!$B$9:$B$20,"?*"),T375*AT375/V375))</f>
        <v/>
      </c>
      <c r="AI375">
        <f>IF(Setup!$B$9="",0,IF(H375="",0,IF(ISNUMBER(H375),H375,1)))</f>
        <v/>
      </c>
      <c r="AJ375">
        <f>IF(Setup!$B$10="",0,IF(I375="",0,IF(ISNUMBER(I375),I375,1)))</f>
        <v/>
      </c>
      <c r="AK375">
        <f>IF(Setup!$B$11="",0,IF(J375="",0,IF(ISNUMBER(J375),J375,1)))</f>
        <v/>
      </c>
      <c r="AL375">
        <f>IF(Setup!$B$12="",0,IF(K375="",0,IF(ISNUMBER(K375),K375,1)))</f>
        <v/>
      </c>
      <c r="AM375">
        <f>IF(Setup!$B$13="",0,IF(L375="",0,IF(ISNUMBER(L375),L375,1)))</f>
        <v/>
      </c>
      <c r="AN375">
        <f>IF(Setup!$B$14="",0,IF(M375="",0,IF(ISNUMBER(M375),M375,1)))</f>
        <v/>
      </c>
      <c r="AO375">
        <f>IF(Setup!$B$15="",0,IF(N375="",0,IF(ISNUMBER(N375),N375,1)))</f>
        <v/>
      </c>
      <c r="AP375">
        <f>IF(Setup!$B$16="",0,IF(O375="",0,IF(ISNUMBER(O375),O375,1)))</f>
        <v/>
      </c>
      <c r="AQ375">
        <f>IF(Setup!$B$17="",0,IF(P375="",0,IF(ISNUMBER(P375),P375,1)))</f>
        <v/>
      </c>
      <c r="AR375">
        <f>IF(Setup!$B$18="",0,IF(Q375="",0,IF(ISNUMBER(Q375),Q375,1)))</f>
        <v/>
      </c>
      <c r="AS375">
        <f>IF(Setup!$B$19="",0,IF(R375="",0,IF(ISNUMBER(R375),R375,1)))</f>
        <v/>
      </c>
      <c r="AT375">
        <f>IF(Setup!$B$20="",0,IF(S375="",0,IF(ISNUMBER(S375),S375,1)))</f>
        <v/>
      </c>
    </row>
    <row r="376">
      <c r="A376" s="1" t="n"/>
      <c r="B376" s="24" t="n"/>
      <c r="C376" s="25" t="n"/>
      <c r="D376" s="25" t="n"/>
      <c r="E376" s="26" t="n"/>
      <c r="F376" s="27" t="n"/>
      <c r="G376" s="17" t="n"/>
      <c r="H376" s="28" t="n"/>
      <c r="I376" s="28" t="n"/>
      <c r="J376" s="28" t="n"/>
      <c r="K376" s="28" t="n"/>
      <c r="L376" s="28" t="n"/>
      <c r="M376" s="28" t="n"/>
      <c r="N376" s="28" t="n"/>
      <c r="O376" s="28" t="n"/>
      <c r="P376" s="28" t="n"/>
      <c r="Q376" s="28" t="n"/>
      <c r="R376" s="28" t="n"/>
      <c r="S376" s="28" t="n"/>
      <c r="T376" s="29">
        <f>IF(N(E376)=0,"",E376*IF(F376="",1,IFERROR(INDEX(Setup!$E$9:$E$18,MATCH(F376,Setup!$D$9:$D$18,0)),0)))</f>
        <v/>
      </c>
      <c r="U376" s="30">
        <f>IF(T376="","",IF(V376=0,"Everyone",IF(COUNTIF(AI376:AT376,"&gt;0")=COUNTIF(Setup!$B$9:$B$20,"?*"),"Everyone",COUNTIF(AI376:AT376,"&gt;0")&amp;IF(COUNTIF(AI376:AT376,"&gt;0")=1," person"," people"))))</f>
        <v/>
      </c>
      <c r="V376" s="1">
        <f>SUM(AI376:AT376)</f>
        <v/>
      </c>
      <c r="W376">
        <f>IF(OR(T376="",Setup!$B$9=""),0,IF(V376=0,T376/COUNTIF(Setup!$B$9:$B$20,"?*"),T376*AI376/V376))</f>
        <v/>
      </c>
      <c r="X376">
        <f>IF(OR(T376="",Setup!$B$10=""),0,IF(V376=0,T376/COUNTIF(Setup!$B$9:$B$20,"?*"),T376*AJ376/V376))</f>
        <v/>
      </c>
      <c r="Y376">
        <f>IF(OR(T376="",Setup!$B$11=""),0,IF(V376=0,T376/COUNTIF(Setup!$B$9:$B$20,"?*"),T376*AK376/V376))</f>
        <v/>
      </c>
      <c r="Z376">
        <f>IF(OR(T376="",Setup!$B$12=""),0,IF(V376=0,T376/COUNTIF(Setup!$B$9:$B$20,"?*"),T376*AL376/V376))</f>
        <v/>
      </c>
      <c r="AA376">
        <f>IF(OR(T376="",Setup!$B$13=""),0,IF(V376=0,T376/COUNTIF(Setup!$B$9:$B$20,"?*"),T376*AM376/V376))</f>
        <v/>
      </c>
      <c r="AB376">
        <f>IF(OR(T376="",Setup!$B$14=""),0,IF(V376=0,T376/COUNTIF(Setup!$B$9:$B$20,"?*"),T376*AN376/V376))</f>
        <v/>
      </c>
      <c r="AC376">
        <f>IF(OR(T376="",Setup!$B$15=""),0,IF(V376=0,T376/COUNTIF(Setup!$B$9:$B$20,"?*"),T376*AO376/V376))</f>
        <v/>
      </c>
      <c r="AD376">
        <f>IF(OR(T376="",Setup!$B$16=""),0,IF(V376=0,T376/COUNTIF(Setup!$B$9:$B$20,"?*"),T376*AP376/V376))</f>
        <v/>
      </c>
      <c r="AE376">
        <f>IF(OR(T376="",Setup!$B$17=""),0,IF(V376=0,T376/COUNTIF(Setup!$B$9:$B$20,"?*"),T376*AQ376/V376))</f>
        <v/>
      </c>
      <c r="AF376">
        <f>IF(OR(T376="",Setup!$B$18=""),0,IF(V376=0,T376/COUNTIF(Setup!$B$9:$B$20,"?*"),T376*AR376/V376))</f>
        <v/>
      </c>
      <c r="AG376">
        <f>IF(OR(T376="",Setup!$B$19=""),0,IF(V376=0,T376/COUNTIF(Setup!$B$9:$B$20,"?*"),T376*AS376/V376))</f>
        <v/>
      </c>
      <c r="AH376">
        <f>IF(OR(T376="",Setup!$B$20=""),0,IF(V376=0,T376/COUNTIF(Setup!$B$9:$B$20,"?*"),T376*AT376/V376))</f>
        <v/>
      </c>
      <c r="AI376">
        <f>IF(Setup!$B$9="",0,IF(H376="",0,IF(ISNUMBER(H376),H376,1)))</f>
        <v/>
      </c>
      <c r="AJ376">
        <f>IF(Setup!$B$10="",0,IF(I376="",0,IF(ISNUMBER(I376),I376,1)))</f>
        <v/>
      </c>
      <c r="AK376">
        <f>IF(Setup!$B$11="",0,IF(J376="",0,IF(ISNUMBER(J376),J376,1)))</f>
        <v/>
      </c>
      <c r="AL376">
        <f>IF(Setup!$B$12="",0,IF(K376="",0,IF(ISNUMBER(K376),K376,1)))</f>
        <v/>
      </c>
      <c r="AM376">
        <f>IF(Setup!$B$13="",0,IF(L376="",0,IF(ISNUMBER(L376),L376,1)))</f>
        <v/>
      </c>
      <c r="AN376">
        <f>IF(Setup!$B$14="",0,IF(M376="",0,IF(ISNUMBER(M376),M376,1)))</f>
        <v/>
      </c>
      <c r="AO376">
        <f>IF(Setup!$B$15="",0,IF(N376="",0,IF(ISNUMBER(N376),N376,1)))</f>
        <v/>
      </c>
      <c r="AP376">
        <f>IF(Setup!$B$16="",0,IF(O376="",0,IF(ISNUMBER(O376),O376,1)))</f>
        <v/>
      </c>
      <c r="AQ376">
        <f>IF(Setup!$B$17="",0,IF(P376="",0,IF(ISNUMBER(P376),P376,1)))</f>
        <v/>
      </c>
      <c r="AR376">
        <f>IF(Setup!$B$18="",0,IF(Q376="",0,IF(ISNUMBER(Q376),Q376,1)))</f>
        <v/>
      </c>
      <c r="AS376">
        <f>IF(Setup!$B$19="",0,IF(R376="",0,IF(ISNUMBER(R376),R376,1)))</f>
        <v/>
      </c>
      <c r="AT376">
        <f>IF(Setup!$B$20="",0,IF(S376="",0,IF(ISNUMBER(S376),S376,1)))</f>
        <v/>
      </c>
    </row>
    <row r="377">
      <c r="A377" s="1" t="n"/>
      <c r="B377" s="24" t="n"/>
      <c r="C377" s="25" t="n"/>
      <c r="D377" s="25" t="n"/>
      <c r="E377" s="26" t="n"/>
      <c r="F377" s="27" t="n"/>
      <c r="G377" s="17" t="n"/>
      <c r="H377" s="28" t="n"/>
      <c r="I377" s="28" t="n"/>
      <c r="J377" s="28" t="n"/>
      <c r="K377" s="28" t="n"/>
      <c r="L377" s="28" t="n"/>
      <c r="M377" s="28" t="n"/>
      <c r="N377" s="28" t="n"/>
      <c r="O377" s="28" t="n"/>
      <c r="P377" s="28" t="n"/>
      <c r="Q377" s="28" t="n"/>
      <c r="R377" s="28" t="n"/>
      <c r="S377" s="28" t="n"/>
      <c r="T377" s="29">
        <f>IF(N(E377)=0,"",E377*IF(F377="",1,IFERROR(INDEX(Setup!$E$9:$E$18,MATCH(F377,Setup!$D$9:$D$18,0)),0)))</f>
        <v/>
      </c>
      <c r="U377" s="30">
        <f>IF(T377="","",IF(V377=0,"Everyone",IF(COUNTIF(AI377:AT377,"&gt;0")=COUNTIF(Setup!$B$9:$B$20,"?*"),"Everyone",COUNTIF(AI377:AT377,"&gt;0")&amp;IF(COUNTIF(AI377:AT377,"&gt;0")=1," person"," people"))))</f>
        <v/>
      </c>
      <c r="V377" s="1">
        <f>SUM(AI377:AT377)</f>
        <v/>
      </c>
      <c r="W377">
        <f>IF(OR(T377="",Setup!$B$9=""),0,IF(V377=0,T377/COUNTIF(Setup!$B$9:$B$20,"?*"),T377*AI377/V377))</f>
        <v/>
      </c>
      <c r="X377">
        <f>IF(OR(T377="",Setup!$B$10=""),0,IF(V377=0,T377/COUNTIF(Setup!$B$9:$B$20,"?*"),T377*AJ377/V377))</f>
        <v/>
      </c>
      <c r="Y377">
        <f>IF(OR(T377="",Setup!$B$11=""),0,IF(V377=0,T377/COUNTIF(Setup!$B$9:$B$20,"?*"),T377*AK377/V377))</f>
        <v/>
      </c>
      <c r="Z377">
        <f>IF(OR(T377="",Setup!$B$12=""),0,IF(V377=0,T377/COUNTIF(Setup!$B$9:$B$20,"?*"),T377*AL377/V377))</f>
        <v/>
      </c>
      <c r="AA377">
        <f>IF(OR(T377="",Setup!$B$13=""),0,IF(V377=0,T377/COUNTIF(Setup!$B$9:$B$20,"?*"),T377*AM377/V377))</f>
        <v/>
      </c>
      <c r="AB377">
        <f>IF(OR(T377="",Setup!$B$14=""),0,IF(V377=0,T377/COUNTIF(Setup!$B$9:$B$20,"?*"),T377*AN377/V377))</f>
        <v/>
      </c>
      <c r="AC377">
        <f>IF(OR(T377="",Setup!$B$15=""),0,IF(V377=0,T377/COUNTIF(Setup!$B$9:$B$20,"?*"),T377*AO377/V377))</f>
        <v/>
      </c>
      <c r="AD377">
        <f>IF(OR(T377="",Setup!$B$16=""),0,IF(V377=0,T377/COUNTIF(Setup!$B$9:$B$20,"?*"),T377*AP377/V377))</f>
        <v/>
      </c>
      <c r="AE377">
        <f>IF(OR(T377="",Setup!$B$17=""),0,IF(V377=0,T377/COUNTIF(Setup!$B$9:$B$20,"?*"),T377*AQ377/V377))</f>
        <v/>
      </c>
      <c r="AF377">
        <f>IF(OR(T377="",Setup!$B$18=""),0,IF(V377=0,T377/COUNTIF(Setup!$B$9:$B$20,"?*"),T377*AR377/V377))</f>
        <v/>
      </c>
      <c r="AG377">
        <f>IF(OR(T377="",Setup!$B$19=""),0,IF(V377=0,T377/COUNTIF(Setup!$B$9:$B$20,"?*"),T377*AS377/V377))</f>
        <v/>
      </c>
      <c r="AH377">
        <f>IF(OR(T377="",Setup!$B$20=""),0,IF(V377=0,T377/COUNTIF(Setup!$B$9:$B$20,"?*"),T377*AT377/V377))</f>
        <v/>
      </c>
      <c r="AI377">
        <f>IF(Setup!$B$9="",0,IF(H377="",0,IF(ISNUMBER(H377),H377,1)))</f>
        <v/>
      </c>
      <c r="AJ377">
        <f>IF(Setup!$B$10="",0,IF(I377="",0,IF(ISNUMBER(I377),I377,1)))</f>
        <v/>
      </c>
      <c r="AK377">
        <f>IF(Setup!$B$11="",0,IF(J377="",0,IF(ISNUMBER(J377),J377,1)))</f>
        <v/>
      </c>
      <c r="AL377">
        <f>IF(Setup!$B$12="",0,IF(K377="",0,IF(ISNUMBER(K377),K377,1)))</f>
        <v/>
      </c>
      <c r="AM377">
        <f>IF(Setup!$B$13="",0,IF(L377="",0,IF(ISNUMBER(L377),L377,1)))</f>
        <v/>
      </c>
      <c r="AN377">
        <f>IF(Setup!$B$14="",0,IF(M377="",0,IF(ISNUMBER(M377),M377,1)))</f>
        <v/>
      </c>
      <c r="AO377">
        <f>IF(Setup!$B$15="",0,IF(N377="",0,IF(ISNUMBER(N377),N377,1)))</f>
        <v/>
      </c>
      <c r="AP377">
        <f>IF(Setup!$B$16="",0,IF(O377="",0,IF(ISNUMBER(O377),O377,1)))</f>
        <v/>
      </c>
      <c r="AQ377">
        <f>IF(Setup!$B$17="",0,IF(P377="",0,IF(ISNUMBER(P377),P377,1)))</f>
        <v/>
      </c>
      <c r="AR377">
        <f>IF(Setup!$B$18="",0,IF(Q377="",0,IF(ISNUMBER(Q377),Q377,1)))</f>
        <v/>
      </c>
      <c r="AS377">
        <f>IF(Setup!$B$19="",0,IF(R377="",0,IF(ISNUMBER(R377),R377,1)))</f>
        <v/>
      </c>
      <c r="AT377">
        <f>IF(Setup!$B$20="",0,IF(S377="",0,IF(ISNUMBER(S377),S377,1)))</f>
        <v/>
      </c>
    </row>
    <row r="378">
      <c r="A378" s="1" t="n"/>
      <c r="B378" s="24" t="n"/>
      <c r="C378" s="25" t="n"/>
      <c r="D378" s="25" t="n"/>
      <c r="E378" s="26" t="n"/>
      <c r="F378" s="27" t="n"/>
      <c r="G378" s="17" t="n"/>
      <c r="H378" s="28" t="n"/>
      <c r="I378" s="28" t="n"/>
      <c r="J378" s="28" t="n"/>
      <c r="K378" s="28" t="n"/>
      <c r="L378" s="28" t="n"/>
      <c r="M378" s="28" t="n"/>
      <c r="N378" s="28" t="n"/>
      <c r="O378" s="28" t="n"/>
      <c r="P378" s="28" t="n"/>
      <c r="Q378" s="28" t="n"/>
      <c r="R378" s="28" t="n"/>
      <c r="S378" s="28" t="n"/>
      <c r="T378" s="29">
        <f>IF(N(E378)=0,"",E378*IF(F378="",1,IFERROR(INDEX(Setup!$E$9:$E$18,MATCH(F378,Setup!$D$9:$D$18,0)),0)))</f>
        <v/>
      </c>
      <c r="U378" s="30">
        <f>IF(T378="","",IF(V378=0,"Everyone",IF(COUNTIF(AI378:AT378,"&gt;0")=COUNTIF(Setup!$B$9:$B$20,"?*"),"Everyone",COUNTIF(AI378:AT378,"&gt;0")&amp;IF(COUNTIF(AI378:AT378,"&gt;0")=1," person"," people"))))</f>
        <v/>
      </c>
      <c r="V378" s="1">
        <f>SUM(AI378:AT378)</f>
        <v/>
      </c>
      <c r="W378">
        <f>IF(OR(T378="",Setup!$B$9=""),0,IF(V378=0,T378/COUNTIF(Setup!$B$9:$B$20,"?*"),T378*AI378/V378))</f>
        <v/>
      </c>
      <c r="X378">
        <f>IF(OR(T378="",Setup!$B$10=""),0,IF(V378=0,T378/COUNTIF(Setup!$B$9:$B$20,"?*"),T378*AJ378/V378))</f>
        <v/>
      </c>
      <c r="Y378">
        <f>IF(OR(T378="",Setup!$B$11=""),0,IF(V378=0,T378/COUNTIF(Setup!$B$9:$B$20,"?*"),T378*AK378/V378))</f>
        <v/>
      </c>
      <c r="Z378">
        <f>IF(OR(T378="",Setup!$B$12=""),0,IF(V378=0,T378/COUNTIF(Setup!$B$9:$B$20,"?*"),T378*AL378/V378))</f>
        <v/>
      </c>
      <c r="AA378">
        <f>IF(OR(T378="",Setup!$B$13=""),0,IF(V378=0,T378/COUNTIF(Setup!$B$9:$B$20,"?*"),T378*AM378/V378))</f>
        <v/>
      </c>
      <c r="AB378">
        <f>IF(OR(T378="",Setup!$B$14=""),0,IF(V378=0,T378/COUNTIF(Setup!$B$9:$B$20,"?*"),T378*AN378/V378))</f>
        <v/>
      </c>
      <c r="AC378">
        <f>IF(OR(T378="",Setup!$B$15=""),0,IF(V378=0,T378/COUNTIF(Setup!$B$9:$B$20,"?*"),T378*AO378/V378))</f>
        <v/>
      </c>
      <c r="AD378">
        <f>IF(OR(T378="",Setup!$B$16=""),0,IF(V378=0,T378/COUNTIF(Setup!$B$9:$B$20,"?*"),T378*AP378/V378))</f>
        <v/>
      </c>
      <c r="AE378">
        <f>IF(OR(T378="",Setup!$B$17=""),0,IF(V378=0,T378/COUNTIF(Setup!$B$9:$B$20,"?*"),T378*AQ378/V378))</f>
        <v/>
      </c>
      <c r="AF378">
        <f>IF(OR(T378="",Setup!$B$18=""),0,IF(V378=0,T378/COUNTIF(Setup!$B$9:$B$20,"?*"),T378*AR378/V378))</f>
        <v/>
      </c>
      <c r="AG378">
        <f>IF(OR(T378="",Setup!$B$19=""),0,IF(V378=0,T378/COUNTIF(Setup!$B$9:$B$20,"?*"),T378*AS378/V378))</f>
        <v/>
      </c>
      <c r="AH378">
        <f>IF(OR(T378="",Setup!$B$20=""),0,IF(V378=0,T378/COUNTIF(Setup!$B$9:$B$20,"?*"),T378*AT378/V378))</f>
        <v/>
      </c>
      <c r="AI378">
        <f>IF(Setup!$B$9="",0,IF(H378="",0,IF(ISNUMBER(H378),H378,1)))</f>
        <v/>
      </c>
      <c r="AJ378">
        <f>IF(Setup!$B$10="",0,IF(I378="",0,IF(ISNUMBER(I378),I378,1)))</f>
        <v/>
      </c>
      <c r="AK378">
        <f>IF(Setup!$B$11="",0,IF(J378="",0,IF(ISNUMBER(J378),J378,1)))</f>
        <v/>
      </c>
      <c r="AL378">
        <f>IF(Setup!$B$12="",0,IF(K378="",0,IF(ISNUMBER(K378),K378,1)))</f>
        <v/>
      </c>
      <c r="AM378">
        <f>IF(Setup!$B$13="",0,IF(L378="",0,IF(ISNUMBER(L378),L378,1)))</f>
        <v/>
      </c>
      <c r="AN378">
        <f>IF(Setup!$B$14="",0,IF(M378="",0,IF(ISNUMBER(M378),M378,1)))</f>
        <v/>
      </c>
      <c r="AO378">
        <f>IF(Setup!$B$15="",0,IF(N378="",0,IF(ISNUMBER(N378),N378,1)))</f>
        <v/>
      </c>
      <c r="AP378">
        <f>IF(Setup!$B$16="",0,IF(O378="",0,IF(ISNUMBER(O378),O378,1)))</f>
        <v/>
      </c>
      <c r="AQ378">
        <f>IF(Setup!$B$17="",0,IF(P378="",0,IF(ISNUMBER(P378),P378,1)))</f>
        <v/>
      </c>
      <c r="AR378">
        <f>IF(Setup!$B$18="",0,IF(Q378="",0,IF(ISNUMBER(Q378),Q378,1)))</f>
        <v/>
      </c>
      <c r="AS378">
        <f>IF(Setup!$B$19="",0,IF(R378="",0,IF(ISNUMBER(R378),R378,1)))</f>
        <v/>
      </c>
      <c r="AT378">
        <f>IF(Setup!$B$20="",0,IF(S378="",0,IF(ISNUMBER(S378),S378,1)))</f>
        <v/>
      </c>
    </row>
    <row r="379">
      <c r="A379" s="1" t="n"/>
      <c r="B379" s="24" t="n"/>
      <c r="C379" s="25" t="n"/>
      <c r="D379" s="25" t="n"/>
      <c r="E379" s="26" t="n"/>
      <c r="F379" s="27" t="n"/>
      <c r="G379" s="17" t="n"/>
      <c r="H379" s="28" t="n"/>
      <c r="I379" s="28" t="n"/>
      <c r="J379" s="28" t="n"/>
      <c r="K379" s="28" t="n"/>
      <c r="L379" s="28" t="n"/>
      <c r="M379" s="28" t="n"/>
      <c r="N379" s="28" t="n"/>
      <c r="O379" s="28" t="n"/>
      <c r="P379" s="28" t="n"/>
      <c r="Q379" s="28" t="n"/>
      <c r="R379" s="28" t="n"/>
      <c r="S379" s="28" t="n"/>
      <c r="T379" s="29">
        <f>IF(N(E379)=0,"",E379*IF(F379="",1,IFERROR(INDEX(Setup!$E$9:$E$18,MATCH(F379,Setup!$D$9:$D$18,0)),0)))</f>
        <v/>
      </c>
      <c r="U379" s="30">
        <f>IF(T379="","",IF(V379=0,"Everyone",IF(COUNTIF(AI379:AT379,"&gt;0")=COUNTIF(Setup!$B$9:$B$20,"?*"),"Everyone",COUNTIF(AI379:AT379,"&gt;0")&amp;IF(COUNTIF(AI379:AT379,"&gt;0")=1," person"," people"))))</f>
        <v/>
      </c>
      <c r="V379" s="1">
        <f>SUM(AI379:AT379)</f>
        <v/>
      </c>
      <c r="W379">
        <f>IF(OR(T379="",Setup!$B$9=""),0,IF(V379=0,T379/COUNTIF(Setup!$B$9:$B$20,"?*"),T379*AI379/V379))</f>
        <v/>
      </c>
      <c r="X379">
        <f>IF(OR(T379="",Setup!$B$10=""),0,IF(V379=0,T379/COUNTIF(Setup!$B$9:$B$20,"?*"),T379*AJ379/V379))</f>
        <v/>
      </c>
      <c r="Y379">
        <f>IF(OR(T379="",Setup!$B$11=""),0,IF(V379=0,T379/COUNTIF(Setup!$B$9:$B$20,"?*"),T379*AK379/V379))</f>
        <v/>
      </c>
      <c r="Z379">
        <f>IF(OR(T379="",Setup!$B$12=""),0,IF(V379=0,T379/COUNTIF(Setup!$B$9:$B$20,"?*"),T379*AL379/V379))</f>
        <v/>
      </c>
      <c r="AA379">
        <f>IF(OR(T379="",Setup!$B$13=""),0,IF(V379=0,T379/COUNTIF(Setup!$B$9:$B$20,"?*"),T379*AM379/V379))</f>
        <v/>
      </c>
      <c r="AB379">
        <f>IF(OR(T379="",Setup!$B$14=""),0,IF(V379=0,T379/COUNTIF(Setup!$B$9:$B$20,"?*"),T379*AN379/V379))</f>
        <v/>
      </c>
      <c r="AC379">
        <f>IF(OR(T379="",Setup!$B$15=""),0,IF(V379=0,T379/COUNTIF(Setup!$B$9:$B$20,"?*"),T379*AO379/V379))</f>
        <v/>
      </c>
      <c r="AD379">
        <f>IF(OR(T379="",Setup!$B$16=""),0,IF(V379=0,T379/COUNTIF(Setup!$B$9:$B$20,"?*"),T379*AP379/V379))</f>
        <v/>
      </c>
      <c r="AE379">
        <f>IF(OR(T379="",Setup!$B$17=""),0,IF(V379=0,T379/COUNTIF(Setup!$B$9:$B$20,"?*"),T379*AQ379/V379))</f>
        <v/>
      </c>
      <c r="AF379">
        <f>IF(OR(T379="",Setup!$B$18=""),0,IF(V379=0,T379/COUNTIF(Setup!$B$9:$B$20,"?*"),T379*AR379/V379))</f>
        <v/>
      </c>
      <c r="AG379">
        <f>IF(OR(T379="",Setup!$B$19=""),0,IF(V379=0,T379/COUNTIF(Setup!$B$9:$B$20,"?*"),T379*AS379/V379))</f>
        <v/>
      </c>
      <c r="AH379">
        <f>IF(OR(T379="",Setup!$B$20=""),0,IF(V379=0,T379/COUNTIF(Setup!$B$9:$B$20,"?*"),T379*AT379/V379))</f>
        <v/>
      </c>
      <c r="AI379">
        <f>IF(Setup!$B$9="",0,IF(H379="",0,IF(ISNUMBER(H379),H379,1)))</f>
        <v/>
      </c>
      <c r="AJ379">
        <f>IF(Setup!$B$10="",0,IF(I379="",0,IF(ISNUMBER(I379),I379,1)))</f>
        <v/>
      </c>
      <c r="AK379">
        <f>IF(Setup!$B$11="",0,IF(J379="",0,IF(ISNUMBER(J379),J379,1)))</f>
        <v/>
      </c>
      <c r="AL379">
        <f>IF(Setup!$B$12="",0,IF(K379="",0,IF(ISNUMBER(K379),K379,1)))</f>
        <v/>
      </c>
      <c r="AM379">
        <f>IF(Setup!$B$13="",0,IF(L379="",0,IF(ISNUMBER(L379),L379,1)))</f>
        <v/>
      </c>
      <c r="AN379">
        <f>IF(Setup!$B$14="",0,IF(M379="",0,IF(ISNUMBER(M379),M379,1)))</f>
        <v/>
      </c>
      <c r="AO379">
        <f>IF(Setup!$B$15="",0,IF(N379="",0,IF(ISNUMBER(N379),N379,1)))</f>
        <v/>
      </c>
      <c r="AP379">
        <f>IF(Setup!$B$16="",0,IF(O379="",0,IF(ISNUMBER(O379),O379,1)))</f>
        <v/>
      </c>
      <c r="AQ379">
        <f>IF(Setup!$B$17="",0,IF(P379="",0,IF(ISNUMBER(P379),P379,1)))</f>
        <v/>
      </c>
      <c r="AR379">
        <f>IF(Setup!$B$18="",0,IF(Q379="",0,IF(ISNUMBER(Q379),Q379,1)))</f>
        <v/>
      </c>
      <c r="AS379">
        <f>IF(Setup!$B$19="",0,IF(R379="",0,IF(ISNUMBER(R379),R379,1)))</f>
        <v/>
      </c>
      <c r="AT379">
        <f>IF(Setup!$B$20="",0,IF(S379="",0,IF(ISNUMBER(S379),S379,1)))</f>
        <v/>
      </c>
    </row>
    <row r="380">
      <c r="A380" s="1" t="n"/>
      <c r="B380" s="24" t="n"/>
      <c r="C380" s="25" t="n"/>
      <c r="D380" s="25" t="n"/>
      <c r="E380" s="26" t="n"/>
      <c r="F380" s="27" t="n"/>
      <c r="G380" s="17" t="n"/>
      <c r="H380" s="28" t="n"/>
      <c r="I380" s="28" t="n"/>
      <c r="J380" s="28" t="n"/>
      <c r="K380" s="28" t="n"/>
      <c r="L380" s="28" t="n"/>
      <c r="M380" s="28" t="n"/>
      <c r="N380" s="28" t="n"/>
      <c r="O380" s="28" t="n"/>
      <c r="P380" s="28" t="n"/>
      <c r="Q380" s="28" t="n"/>
      <c r="R380" s="28" t="n"/>
      <c r="S380" s="28" t="n"/>
      <c r="T380" s="29">
        <f>IF(N(E380)=0,"",E380*IF(F380="",1,IFERROR(INDEX(Setup!$E$9:$E$18,MATCH(F380,Setup!$D$9:$D$18,0)),0)))</f>
        <v/>
      </c>
      <c r="U380" s="30">
        <f>IF(T380="","",IF(V380=0,"Everyone",IF(COUNTIF(AI380:AT380,"&gt;0")=COUNTIF(Setup!$B$9:$B$20,"?*"),"Everyone",COUNTIF(AI380:AT380,"&gt;0")&amp;IF(COUNTIF(AI380:AT380,"&gt;0")=1," person"," people"))))</f>
        <v/>
      </c>
      <c r="V380" s="1">
        <f>SUM(AI380:AT380)</f>
        <v/>
      </c>
      <c r="W380">
        <f>IF(OR(T380="",Setup!$B$9=""),0,IF(V380=0,T380/COUNTIF(Setup!$B$9:$B$20,"?*"),T380*AI380/V380))</f>
        <v/>
      </c>
      <c r="X380">
        <f>IF(OR(T380="",Setup!$B$10=""),0,IF(V380=0,T380/COUNTIF(Setup!$B$9:$B$20,"?*"),T380*AJ380/V380))</f>
        <v/>
      </c>
      <c r="Y380">
        <f>IF(OR(T380="",Setup!$B$11=""),0,IF(V380=0,T380/COUNTIF(Setup!$B$9:$B$20,"?*"),T380*AK380/V380))</f>
        <v/>
      </c>
      <c r="Z380">
        <f>IF(OR(T380="",Setup!$B$12=""),0,IF(V380=0,T380/COUNTIF(Setup!$B$9:$B$20,"?*"),T380*AL380/V380))</f>
        <v/>
      </c>
      <c r="AA380">
        <f>IF(OR(T380="",Setup!$B$13=""),0,IF(V380=0,T380/COUNTIF(Setup!$B$9:$B$20,"?*"),T380*AM380/V380))</f>
        <v/>
      </c>
      <c r="AB380">
        <f>IF(OR(T380="",Setup!$B$14=""),0,IF(V380=0,T380/COUNTIF(Setup!$B$9:$B$20,"?*"),T380*AN380/V380))</f>
        <v/>
      </c>
      <c r="AC380">
        <f>IF(OR(T380="",Setup!$B$15=""),0,IF(V380=0,T380/COUNTIF(Setup!$B$9:$B$20,"?*"),T380*AO380/V380))</f>
        <v/>
      </c>
      <c r="AD380">
        <f>IF(OR(T380="",Setup!$B$16=""),0,IF(V380=0,T380/COUNTIF(Setup!$B$9:$B$20,"?*"),T380*AP380/V380))</f>
        <v/>
      </c>
      <c r="AE380">
        <f>IF(OR(T380="",Setup!$B$17=""),0,IF(V380=0,T380/COUNTIF(Setup!$B$9:$B$20,"?*"),T380*AQ380/V380))</f>
        <v/>
      </c>
      <c r="AF380">
        <f>IF(OR(T380="",Setup!$B$18=""),0,IF(V380=0,T380/COUNTIF(Setup!$B$9:$B$20,"?*"),T380*AR380/V380))</f>
        <v/>
      </c>
      <c r="AG380">
        <f>IF(OR(T380="",Setup!$B$19=""),0,IF(V380=0,T380/COUNTIF(Setup!$B$9:$B$20,"?*"),T380*AS380/V380))</f>
        <v/>
      </c>
      <c r="AH380">
        <f>IF(OR(T380="",Setup!$B$20=""),0,IF(V380=0,T380/COUNTIF(Setup!$B$9:$B$20,"?*"),T380*AT380/V380))</f>
        <v/>
      </c>
      <c r="AI380">
        <f>IF(Setup!$B$9="",0,IF(H380="",0,IF(ISNUMBER(H380),H380,1)))</f>
        <v/>
      </c>
      <c r="AJ380">
        <f>IF(Setup!$B$10="",0,IF(I380="",0,IF(ISNUMBER(I380),I380,1)))</f>
        <v/>
      </c>
      <c r="AK380">
        <f>IF(Setup!$B$11="",0,IF(J380="",0,IF(ISNUMBER(J380),J380,1)))</f>
        <v/>
      </c>
      <c r="AL380">
        <f>IF(Setup!$B$12="",0,IF(K380="",0,IF(ISNUMBER(K380),K380,1)))</f>
        <v/>
      </c>
      <c r="AM380">
        <f>IF(Setup!$B$13="",0,IF(L380="",0,IF(ISNUMBER(L380),L380,1)))</f>
        <v/>
      </c>
      <c r="AN380">
        <f>IF(Setup!$B$14="",0,IF(M380="",0,IF(ISNUMBER(M380),M380,1)))</f>
        <v/>
      </c>
      <c r="AO380">
        <f>IF(Setup!$B$15="",0,IF(N380="",0,IF(ISNUMBER(N380),N380,1)))</f>
        <v/>
      </c>
      <c r="AP380">
        <f>IF(Setup!$B$16="",0,IF(O380="",0,IF(ISNUMBER(O380),O380,1)))</f>
        <v/>
      </c>
      <c r="AQ380">
        <f>IF(Setup!$B$17="",0,IF(P380="",0,IF(ISNUMBER(P380),P380,1)))</f>
        <v/>
      </c>
      <c r="AR380">
        <f>IF(Setup!$B$18="",0,IF(Q380="",0,IF(ISNUMBER(Q380),Q380,1)))</f>
        <v/>
      </c>
      <c r="AS380">
        <f>IF(Setup!$B$19="",0,IF(R380="",0,IF(ISNUMBER(R380),R380,1)))</f>
        <v/>
      </c>
      <c r="AT380">
        <f>IF(Setup!$B$20="",0,IF(S380="",0,IF(ISNUMBER(S380),S380,1)))</f>
        <v/>
      </c>
    </row>
    <row r="381">
      <c r="A381" s="1" t="n"/>
      <c r="B381" s="24" t="n"/>
      <c r="C381" s="25" t="n"/>
      <c r="D381" s="25" t="n"/>
      <c r="E381" s="26" t="n"/>
      <c r="F381" s="27" t="n"/>
      <c r="G381" s="17" t="n"/>
      <c r="H381" s="28" t="n"/>
      <c r="I381" s="28" t="n"/>
      <c r="J381" s="28" t="n"/>
      <c r="K381" s="28" t="n"/>
      <c r="L381" s="28" t="n"/>
      <c r="M381" s="28" t="n"/>
      <c r="N381" s="28" t="n"/>
      <c r="O381" s="28" t="n"/>
      <c r="P381" s="28" t="n"/>
      <c r="Q381" s="28" t="n"/>
      <c r="R381" s="28" t="n"/>
      <c r="S381" s="28" t="n"/>
      <c r="T381" s="29">
        <f>IF(N(E381)=0,"",E381*IF(F381="",1,IFERROR(INDEX(Setup!$E$9:$E$18,MATCH(F381,Setup!$D$9:$D$18,0)),0)))</f>
        <v/>
      </c>
      <c r="U381" s="30">
        <f>IF(T381="","",IF(V381=0,"Everyone",IF(COUNTIF(AI381:AT381,"&gt;0")=COUNTIF(Setup!$B$9:$B$20,"?*"),"Everyone",COUNTIF(AI381:AT381,"&gt;0")&amp;IF(COUNTIF(AI381:AT381,"&gt;0")=1," person"," people"))))</f>
        <v/>
      </c>
      <c r="V381" s="1">
        <f>SUM(AI381:AT381)</f>
        <v/>
      </c>
      <c r="W381">
        <f>IF(OR(T381="",Setup!$B$9=""),0,IF(V381=0,T381/COUNTIF(Setup!$B$9:$B$20,"?*"),T381*AI381/V381))</f>
        <v/>
      </c>
      <c r="X381">
        <f>IF(OR(T381="",Setup!$B$10=""),0,IF(V381=0,T381/COUNTIF(Setup!$B$9:$B$20,"?*"),T381*AJ381/V381))</f>
        <v/>
      </c>
      <c r="Y381">
        <f>IF(OR(T381="",Setup!$B$11=""),0,IF(V381=0,T381/COUNTIF(Setup!$B$9:$B$20,"?*"),T381*AK381/V381))</f>
        <v/>
      </c>
      <c r="Z381">
        <f>IF(OR(T381="",Setup!$B$12=""),0,IF(V381=0,T381/COUNTIF(Setup!$B$9:$B$20,"?*"),T381*AL381/V381))</f>
        <v/>
      </c>
      <c r="AA381">
        <f>IF(OR(T381="",Setup!$B$13=""),0,IF(V381=0,T381/COUNTIF(Setup!$B$9:$B$20,"?*"),T381*AM381/V381))</f>
        <v/>
      </c>
      <c r="AB381">
        <f>IF(OR(T381="",Setup!$B$14=""),0,IF(V381=0,T381/COUNTIF(Setup!$B$9:$B$20,"?*"),T381*AN381/V381))</f>
        <v/>
      </c>
      <c r="AC381">
        <f>IF(OR(T381="",Setup!$B$15=""),0,IF(V381=0,T381/COUNTIF(Setup!$B$9:$B$20,"?*"),T381*AO381/V381))</f>
        <v/>
      </c>
      <c r="AD381">
        <f>IF(OR(T381="",Setup!$B$16=""),0,IF(V381=0,T381/COUNTIF(Setup!$B$9:$B$20,"?*"),T381*AP381/V381))</f>
        <v/>
      </c>
      <c r="AE381">
        <f>IF(OR(T381="",Setup!$B$17=""),0,IF(V381=0,T381/COUNTIF(Setup!$B$9:$B$20,"?*"),T381*AQ381/V381))</f>
        <v/>
      </c>
      <c r="AF381">
        <f>IF(OR(T381="",Setup!$B$18=""),0,IF(V381=0,T381/COUNTIF(Setup!$B$9:$B$20,"?*"),T381*AR381/V381))</f>
        <v/>
      </c>
      <c r="AG381">
        <f>IF(OR(T381="",Setup!$B$19=""),0,IF(V381=0,T381/COUNTIF(Setup!$B$9:$B$20,"?*"),T381*AS381/V381))</f>
        <v/>
      </c>
      <c r="AH381">
        <f>IF(OR(T381="",Setup!$B$20=""),0,IF(V381=0,T381/COUNTIF(Setup!$B$9:$B$20,"?*"),T381*AT381/V381))</f>
        <v/>
      </c>
      <c r="AI381">
        <f>IF(Setup!$B$9="",0,IF(H381="",0,IF(ISNUMBER(H381),H381,1)))</f>
        <v/>
      </c>
      <c r="AJ381">
        <f>IF(Setup!$B$10="",0,IF(I381="",0,IF(ISNUMBER(I381),I381,1)))</f>
        <v/>
      </c>
      <c r="AK381">
        <f>IF(Setup!$B$11="",0,IF(J381="",0,IF(ISNUMBER(J381),J381,1)))</f>
        <v/>
      </c>
      <c r="AL381">
        <f>IF(Setup!$B$12="",0,IF(K381="",0,IF(ISNUMBER(K381),K381,1)))</f>
        <v/>
      </c>
      <c r="AM381">
        <f>IF(Setup!$B$13="",0,IF(L381="",0,IF(ISNUMBER(L381),L381,1)))</f>
        <v/>
      </c>
      <c r="AN381">
        <f>IF(Setup!$B$14="",0,IF(M381="",0,IF(ISNUMBER(M381),M381,1)))</f>
        <v/>
      </c>
      <c r="AO381">
        <f>IF(Setup!$B$15="",0,IF(N381="",0,IF(ISNUMBER(N381),N381,1)))</f>
        <v/>
      </c>
      <c r="AP381">
        <f>IF(Setup!$B$16="",0,IF(O381="",0,IF(ISNUMBER(O381),O381,1)))</f>
        <v/>
      </c>
      <c r="AQ381">
        <f>IF(Setup!$B$17="",0,IF(P381="",0,IF(ISNUMBER(P381),P381,1)))</f>
        <v/>
      </c>
      <c r="AR381">
        <f>IF(Setup!$B$18="",0,IF(Q381="",0,IF(ISNUMBER(Q381),Q381,1)))</f>
        <v/>
      </c>
      <c r="AS381">
        <f>IF(Setup!$B$19="",0,IF(R381="",0,IF(ISNUMBER(R381),R381,1)))</f>
        <v/>
      </c>
      <c r="AT381">
        <f>IF(Setup!$B$20="",0,IF(S381="",0,IF(ISNUMBER(S381),S381,1)))</f>
        <v/>
      </c>
    </row>
    <row r="382">
      <c r="A382" s="1" t="n"/>
      <c r="B382" s="24" t="n"/>
      <c r="C382" s="25" t="n"/>
      <c r="D382" s="25" t="n"/>
      <c r="E382" s="26" t="n"/>
      <c r="F382" s="27" t="n"/>
      <c r="G382" s="17" t="n"/>
      <c r="H382" s="28" t="n"/>
      <c r="I382" s="28" t="n"/>
      <c r="J382" s="28" t="n"/>
      <c r="K382" s="28" t="n"/>
      <c r="L382" s="28" t="n"/>
      <c r="M382" s="28" t="n"/>
      <c r="N382" s="28" t="n"/>
      <c r="O382" s="28" t="n"/>
      <c r="P382" s="28" t="n"/>
      <c r="Q382" s="28" t="n"/>
      <c r="R382" s="28" t="n"/>
      <c r="S382" s="28" t="n"/>
      <c r="T382" s="29">
        <f>IF(N(E382)=0,"",E382*IF(F382="",1,IFERROR(INDEX(Setup!$E$9:$E$18,MATCH(F382,Setup!$D$9:$D$18,0)),0)))</f>
        <v/>
      </c>
      <c r="U382" s="30">
        <f>IF(T382="","",IF(V382=0,"Everyone",IF(COUNTIF(AI382:AT382,"&gt;0")=COUNTIF(Setup!$B$9:$B$20,"?*"),"Everyone",COUNTIF(AI382:AT382,"&gt;0")&amp;IF(COUNTIF(AI382:AT382,"&gt;0")=1," person"," people"))))</f>
        <v/>
      </c>
      <c r="V382" s="1">
        <f>SUM(AI382:AT382)</f>
        <v/>
      </c>
      <c r="W382">
        <f>IF(OR(T382="",Setup!$B$9=""),0,IF(V382=0,T382/COUNTIF(Setup!$B$9:$B$20,"?*"),T382*AI382/V382))</f>
        <v/>
      </c>
      <c r="X382">
        <f>IF(OR(T382="",Setup!$B$10=""),0,IF(V382=0,T382/COUNTIF(Setup!$B$9:$B$20,"?*"),T382*AJ382/V382))</f>
        <v/>
      </c>
      <c r="Y382">
        <f>IF(OR(T382="",Setup!$B$11=""),0,IF(V382=0,T382/COUNTIF(Setup!$B$9:$B$20,"?*"),T382*AK382/V382))</f>
        <v/>
      </c>
      <c r="Z382">
        <f>IF(OR(T382="",Setup!$B$12=""),0,IF(V382=0,T382/COUNTIF(Setup!$B$9:$B$20,"?*"),T382*AL382/V382))</f>
        <v/>
      </c>
      <c r="AA382">
        <f>IF(OR(T382="",Setup!$B$13=""),0,IF(V382=0,T382/COUNTIF(Setup!$B$9:$B$20,"?*"),T382*AM382/V382))</f>
        <v/>
      </c>
      <c r="AB382">
        <f>IF(OR(T382="",Setup!$B$14=""),0,IF(V382=0,T382/COUNTIF(Setup!$B$9:$B$20,"?*"),T382*AN382/V382))</f>
        <v/>
      </c>
      <c r="AC382">
        <f>IF(OR(T382="",Setup!$B$15=""),0,IF(V382=0,T382/COUNTIF(Setup!$B$9:$B$20,"?*"),T382*AO382/V382))</f>
        <v/>
      </c>
      <c r="AD382">
        <f>IF(OR(T382="",Setup!$B$16=""),0,IF(V382=0,T382/COUNTIF(Setup!$B$9:$B$20,"?*"),T382*AP382/V382))</f>
        <v/>
      </c>
      <c r="AE382">
        <f>IF(OR(T382="",Setup!$B$17=""),0,IF(V382=0,T382/COUNTIF(Setup!$B$9:$B$20,"?*"),T382*AQ382/V382))</f>
        <v/>
      </c>
      <c r="AF382">
        <f>IF(OR(T382="",Setup!$B$18=""),0,IF(V382=0,T382/COUNTIF(Setup!$B$9:$B$20,"?*"),T382*AR382/V382))</f>
        <v/>
      </c>
      <c r="AG382">
        <f>IF(OR(T382="",Setup!$B$19=""),0,IF(V382=0,T382/COUNTIF(Setup!$B$9:$B$20,"?*"),T382*AS382/V382))</f>
        <v/>
      </c>
      <c r="AH382">
        <f>IF(OR(T382="",Setup!$B$20=""),0,IF(V382=0,T382/COUNTIF(Setup!$B$9:$B$20,"?*"),T382*AT382/V382))</f>
        <v/>
      </c>
      <c r="AI382">
        <f>IF(Setup!$B$9="",0,IF(H382="",0,IF(ISNUMBER(H382),H382,1)))</f>
        <v/>
      </c>
      <c r="AJ382">
        <f>IF(Setup!$B$10="",0,IF(I382="",0,IF(ISNUMBER(I382),I382,1)))</f>
        <v/>
      </c>
      <c r="AK382">
        <f>IF(Setup!$B$11="",0,IF(J382="",0,IF(ISNUMBER(J382),J382,1)))</f>
        <v/>
      </c>
      <c r="AL382">
        <f>IF(Setup!$B$12="",0,IF(K382="",0,IF(ISNUMBER(K382),K382,1)))</f>
        <v/>
      </c>
      <c r="AM382">
        <f>IF(Setup!$B$13="",0,IF(L382="",0,IF(ISNUMBER(L382),L382,1)))</f>
        <v/>
      </c>
      <c r="AN382">
        <f>IF(Setup!$B$14="",0,IF(M382="",0,IF(ISNUMBER(M382),M382,1)))</f>
        <v/>
      </c>
      <c r="AO382">
        <f>IF(Setup!$B$15="",0,IF(N382="",0,IF(ISNUMBER(N382),N382,1)))</f>
        <v/>
      </c>
      <c r="AP382">
        <f>IF(Setup!$B$16="",0,IF(O382="",0,IF(ISNUMBER(O382),O382,1)))</f>
        <v/>
      </c>
      <c r="AQ382">
        <f>IF(Setup!$B$17="",0,IF(P382="",0,IF(ISNUMBER(P382),P382,1)))</f>
        <v/>
      </c>
      <c r="AR382">
        <f>IF(Setup!$B$18="",0,IF(Q382="",0,IF(ISNUMBER(Q382),Q382,1)))</f>
        <v/>
      </c>
      <c r="AS382">
        <f>IF(Setup!$B$19="",0,IF(R382="",0,IF(ISNUMBER(R382),R382,1)))</f>
        <v/>
      </c>
      <c r="AT382">
        <f>IF(Setup!$B$20="",0,IF(S382="",0,IF(ISNUMBER(S382),S382,1)))</f>
        <v/>
      </c>
    </row>
    <row r="383">
      <c r="A383" s="1" t="n"/>
      <c r="B383" s="24" t="n"/>
      <c r="C383" s="25" t="n"/>
      <c r="D383" s="25" t="n"/>
      <c r="E383" s="26" t="n"/>
      <c r="F383" s="27" t="n"/>
      <c r="G383" s="17" t="n"/>
      <c r="H383" s="28" t="n"/>
      <c r="I383" s="28" t="n"/>
      <c r="J383" s="28" t="n"/>
      <c r="K383" s="28" t="n"/>
      <c r="L383" s="28" t="n"/>
      <c r="M383" s="28" t="n"/>
      <c r="N383" s="28" t="n"/>
      <c r="O383" s="28" t="n"/>
      <c r="P383" s="28" t="n"/>
      <c r="Q383" s="28" t="n"/>
      <c r="R383" s="28" t="n"/>
      <c r="S383" s="28" t="n"/>
      <c r="T383" s="29">
        <f>IF(N(E383)=0,"",E383*IF(F383="",1,IFERROR(INDEX(Setup!$E$9:$E$18,MATCH(F383,Setup!$D$9:$D$18,0)),0)))</f>
        <v/>
      </c>
      <c r="U383" s="30">
        <f>IF(T383="","",IF(V383=0,"Everyone",IF(COUNTIF(AI383:AT383,"&gt;0")=COUNTIF(Setup!$B$9:$B$20,"?*"),"Everyone",COUNTIF(AI383:AT383,"&gt;0")&amp;IF(COUNTIF(AI383:AT383,"&gt;0")=1," person"," people"))))</f>
        <v/>
      </c>
      <c r="V383" s="1">
        <f>SUM(AI383:AT383)</f>
        <v/>
      </c>
      <c r="W383">
        <f>IF(OR(T383="",Setup!$B$9=""),0,IF(V383=0,T383/COUNTIF(Setup!$B$9:$B$20,"?*"),T383*AI383/V383))</f>
        <v/>
      </c>
      <c r="X383">
        <f>IF(OR(T383="",Setup!$B$10=""),0,IF(V383=0,T383/COUNTIF(Setup!$B$9:$B$20,"?*"),T383*AJ383/V383))</f>
        <v/>
      </c>
      <c r="Y383">
        <f>IF(OR(T383="",Setup!$B$11=""),0,IF(V383=0,T383/COUNTIF(Setup!$B$9:$B$20,"?*"),T383*AK383/V383))</f>
        <v/>
      </c>
      <c r="Z383">
        <f>IF(OR(T383="",Setup!$B$12=""),0,IF(V383=0,T383/COUNTIF(Setup!$B$9:$B$20,"?*"),T383*AL383/V383))</f>
        <v/>
      </c>
      <c r="AA383">
        <f>IF(OR(T383="",Setup!$B$13=""),0,IF(V383=0,T383/COUNTIF(Setup!$B$9:$B$20,"?*"),T383*AM383/V383))</f>
        <v/>
      </c>
      <c r="AB383">
        <f>IF(OR(T383="",Setup!$B$14=""),0,IF(V383=0,T383/COUNTIF(Setup!$B$9:$B$20,"?*"),T383*AN383/V383))</f>
        <v/>
      </c>
      <c r="AC383">
        <f>IF(OR(T383="",Setup!$B$15=""),0,IF(V383=0,T383/COUNTIF(Setup!$B$9:$B$20,"?*"),T383*AO383/V383))</f>
        <v/>
      </c>
      <c r="AD383">
        <f>IF(OR(T383="",Setup!$B$16=""),0,IF(V383=0,T383/COUNTIF(Setup!$B$9:$B$20,"?*"),T383*AP383/V383))</f>
        <v/>
      </c>
      <c r="AE383">
        <f>IF(OR(T383="",Setup!$B$17=""),0,IF(V383=0,T383/COUNTIF(Setup!$B$9:$B$20,"?*"),T383*AQ383/V383))</f>
        <v/>
      </c>
      <c r="AF383">
        <f>IF(OR(T383="",Setup!$B$18=""),0,IF(V383=0,T383/COUNTIF(Setup!$B$9:$B$20,"?*"),T383*AR383/V383))</f>
        <v/>
      </c>
      <c r="AG383">
        <f>IF(OR(T383="",Setup!$B$19=""),0,IF(V383=0,T383/COUNTIF(Setup!$B$9:$B$20,"?*"),T383*AS383/V383))</f>
        <v/>
      </c>
      <c r="AH383">
        <f>IF(OR(T383="",Setup!$B$20=""),0,IF(V383=0,T383/COUNTIF(Setup!$B$9:$B$20,"?*"),T383*AT383/V383))</f>
        <v/>
      </c>
      <c r="AI383">
        <f>IF(Setup!$B$9="",0,IF(H383="",0,IF(ISNUMBER(H383),H383,1)))</f>
        <v/>
      </c>
      <c r="AJ383">
        <f>IF(Setup!$B$10="",0,IF(I383="",0,IF(ISNUMBER(I383),I383,1)))</f>
        <v/>
      </c>
      <c r="AK383">
        <f>IF(Setup!$B$11="",0,IF(J383="",0,IF(ISNUMBER(J383),J383,1)))</f>
        <v/>
      </c>
      <c r="AL383">
        <f>IF(Setup!$B$12="",0,IF(K383="",0,IF(ISNUMBER(K383),K383,1)))</f>
        <v/>
      </c>
      <c r="AM383">
        <f>IF(Setup!$B$13="",0,IF(L383="",0,IF(ISNUMBER(L383),L383,1)))</f>
        <v/>
      </c>
      <c r="AN383">
        <f>IF(Setup!$B$14="",0,IF(M383="",0,IF(ISNUMBER(M383),M383,1)))</f>
        <v/>
      </c>
      <c r="AO383">
        <f>IF(Setup!$B$15="",0,IF(N383="",0,IF(ISNUMBER(N383),N383,1)))</f>
        <v/>
      </c>
      <c r="AP383">
        <f>IF(Setup!$B$16="",0,IF(O383="",0,IF(ISNUMBER(O383),O383,1)))</f>
        <v/>
      </c>
      <c r="AQ383">
        <f>IF(Setup!$B$17="",0,IF(P383="",0,IF(ISNUMBER(P383),P383,1)))</f>
        <v/>
      </c>
      <c r="AR383">
        <f>IF(Setup!$B$18="",0,IF(Q383="",0,IF(ISNUMBER(Q383),Q383,1)))</f>
        <v/>
      </c>
      <c r="AS383">
        <f>IF(Setup!$B$19="",0,IF(R383="",0,IF(ISNUMBER(R383),R383,1)))</f>
        <v/>
      </c>
      <c r="AT383">
        <f>IF(Setup!$B$20="",0,IF(S383="",0,IF(ISNUMBER(S383),S383,1)))</f>
        <v/>
      </c>
    </row>
    <row r="384">
      <c r="A384" s="1" t="n"/>
      <c r="B384" s="24" t="n"/>
      <c r="C384" s="25" t="n"/>
      <c r="D384" s="25" t="n"/>
      <c r="E384" s="26" t="n"/>
      <c r="F384" s="27" t="n"/>
      <c r="G384" s="17" t="n"/>
      <c r="H384" s="28" t="n"/>
      <c r="I384" s="28" t="n"/>
      <c r="J384" s="28" t="n"/>
      <c r="K384" s="28" t="n"/>
      <c r="L384" s="28" t="n"/>
      <c r="M384" s="28" t="n"/>
      <c r="N384" s="28" t="n"/>
      <c r="O384" s="28" t="n"/>
      <c r="P384" s="28" t="n"/>
      <c r="Q384" s="28" t="n"/>
      <c r="R384" s="28" t="n"/>
      <c r="S384" s="28" t="n"/>
      <c r="T384" s="29">
        <f>IF(N(E384)=0,"",E384*IF(F384="",1,IFERROR(INDEX(Setup!$E$9:$E$18,MATCH(F384,Setup!$D$9:$D$18,0)),0)))</f>
        <v/>
      </c>
      <c r="U384" s="30">
        <f>IF(T384="","",IF(V384=0,"Everyone",IF(COUNTIF(AI384:AT384,"&gt;0")=COUNTIF(Setup!$B$9:$B$20,"?*"),"Everyone",COUNTIF(AI384:AT384,"&gt;0")&amp;IF(COUNTIF(AI384:AT384,"&gt;0")=1," person"," people"))))</f>
        <v/>
      </c>
      <c r="V384" s="1">
        <f>SUM(AI384:AT384)</f>
        <v/>
      </c>
      <c r="W384">
        <f>IF(OR(T384="",Setup!$B$9=""),0,IF(V384=0,T384/COUNTIF(Setup!$B$9:$B$20,"?*"),T384*AI384/V384))</f>
        <v/>
      </c>
      <c r="X384">
        <f>IF(OR(T384="",Setup!$B$10=""),0,IF(V384=0,T384/COUNTIF(Setup!$B$9:$B$20,"?*"),T384*AJ384/V384))</f>
        <v/>
      </c>
      <c r="Y384">
        <f>IF(OR(T384="",Setup!$B$11=""),0,IF(V384=0,T384/COUNTIF(Setup!$B$9:$B$20,"?*"),T384*AK384/V384))</f>
        <v/>
      </c>
      <c r="Z384">
        <f>IF(OR(T384="",Setup!$B$12=""),0,IF(V384=0,T384/COUNTIF(Setup!$B$9:$B$20,"?*"),T384*AL384/V384))</f>
        <v/>
      </c>
      <c r="AA384">
        <f>IF(OR(T384="",Setup!$B$13=""),0,IF(V384=0,T384/COUNTIF(Setup!$B$9:$B$20,"?*"),T384*AM384/V384))</f>
        <v/>
      </c>
      <c r="AB384">
        <f>IF(OR(T384="",Setup!$B$14=""),0,IF(V384=0,T384/COUNTIF(Setup!$B$9:$B$20,"?*"),T384*AN384/V384))</f>
        <v/>
      </c>
      <c r="AC384">
        <f>IF(OR(T384="",Setup!$B$15=""),0,IF(V384=0,T384/COUNTIF(Setup!$B$9:$B$20,"?*"),T384*AO384/V384))</f>
        <v/>
      </c>
      <c r="AD384">
        <f>IF(OR(T384="",Setup!$B$16=""),0,IF(V384=0,T384/COUNTIF(Setup!$B$9:$B$20,"?*"),T384*AP384/V384))</f>
        <v/>
      </c>
      <c r="AE384">
        <f>IF(OR(T384="",Setup!$B$17=""),0,IF(V384=0,T384/COUNTIF(Setup!$B$9:$B$20,"?*"),T384*AQ384/V384))</f>
        <v/>
      </c>
      <c r="AF384">
        <f>IF(OR(T384="",Setup!$B$18=""),0,IF(V384=0,T384/COUNTIF(Setup!$B$9:$B$20,"?*"),T384*AR384/V384))</f>
        <v/>
      </c>
      <c r="AG384">
        <f>IF(OR(T384="",Setup!$B$19=""),0,IF(V384=0,T384/COUNTIF(Setup!$B$9:$B$20,"?*"),T384*AS384/V384))</f>
        <v/>
      </c>
      <c r="AH384">
        <f>IF(OR(T384="",Setup!$B$20=""),0,IF(V384=0,T384/COUNTIF(Setup!$B$9:$B$20,"?*"),T384*AT384/V384))</f>
        <v/>
      </c>
      <c r="AI384">
        <f>IF(Setup!$B$9="",0,IF(H384="",0,IF(ISNUMBER(H384),H384,1)))</f>
        <v/>
      </c>
      <c r="AJ384">
        <f>IF(Setup!$B$10="",0,IF(I384="",0,IF(ISNUMBER(I384),I384,1)))</f>
        <v/>
      </c>
      <c r="AK384">
        <f>IF(Setup!$B$11="",0,IF(J384="",0,IF(ISNUMBER(J384),J384,1)))</f>
        <v/>
      </c>
      <c r="AL384">
        <f>IF(Setup!$B$12="",0,IF(K384="",0,IF(ISNUMBER(K384),K384,1)))</f>
        <v/>
      </c>
      <c r="AM384">
        <f>IF(Setup!$B$13="",0,IF(L384="",0,IF(ISNUMBER(L384),L384,1)))</f>
        <v/>
      </c>
      <c r="AN384">
        <f>IF(Setup!$B$14="",0,IF(M384="",0,IF(ISNUMBER(M384),M384,1)))</f>
        <v/>
      </c>
      <c r="AO384">
        <f>IF(Setup!$B$15="",0,IF(N384="",0,IF(ISNUMBER(N384),N384,1)))</f>
        <v/>
      </c>
      <c r="AP384">
        <f>IF(Setup!$B$16="",0,IF(O384="",0,IF(ISNUMBER(O384),O384,1)))</f>
        <v/>
      </c>
      <c r="AQ384">
        <f>IF(Setup!$B$17="",0,IF(P384="",0,IF(ISNUMBER(P384),P384,1)))</f>
        <v/>
      </c>
      <c r="AR384">
        <f>IF(Setup!$B$18="",0,IF(Q384="",0,IF(ISNUMBER(Q384),Q384,1)))</f>
        <v/>
      </c>
      <c r="AS384">
        <f>IF(Setup!$B$19="",0,IF(R384="",0,IF(ISNUMBER(R384),R384,1)))</f>
        <v/>
      </c>
      <c r="AT384">
        <f>IF(Setup!$B$20="",0,IF(S384="",0,IF(ISNUMBER(S384),S384,1)))</f>
        <v/>
      </c>
    </row>
    <row r="385">
      <c r="A385" s="1" t="n"/>
      <c r="B385" s="24" t="n"/>
      <c r="C385" s="25" t="n"/>
      <c r="D385" s="25" t="n"/>
      <c r="E385" s="26" t="n"/>
      <c r="F385" s="27" t="n"/>
      <c r="G385" s="17" t="n"/>
      <c r="H385" s="28" t="n"/>
      <c r="I385" s="28" t="n"/>
      <c r="J385" s="28" t="n"/>
      <c r="K385" s="28" t="n"/>
      <c r="L385" s="28" t="n"/>
      <c r="M385" s="28" t="n"/>
      <c r="N385" s="28" t="n"/>
      <c r="O385" s="28" t="n"/>
      <c r="P385" s="28" t="n"/>
      <c r="Q385" s="28" t="n"/>
      <c r="R385" s="28" t="n"/>
      <c r="S385" s="28" t="n"/>
      <c r="T385" s="29">
        <f>IF(N(E385)=0,"",E385*IF(F385="",1,IFERROR(INDEX(Setup!$E$9:$E$18,MATCH(F385,Setup!$D$9:$D$18,0)),0)))</f>
        <v/>
      </c>
      <c r="U385" s="30">
        <f>IF(T385="","",IF(V385=0,"Everyone",IF(COUNTIF(AI385:AT385,"&gt;0")=COUNTIF(Setup!$B$9:$B$20,"?*"),"Everyone",COUNTIF(AI385:AT385,"&gt;0")&amp;IF(COUNTIF(AI385:AT385,"&gt;0")=1," person"," people"))))</f>
        <v/>
      </c>
      <c r="V385" s="1">
        <f>SUM(AI385:AT385)</f>
        <v/>
      </c>
      <c r="W385">
        <f>IF(OR(T385="",Setup!$B$9=""),0,IF(V385=0,T385/COUNTIF(Setup!$B$9:$B$20,"?*"),T385*AI385/V385))</f>
        <v/>
      </c>
      <c r="X385">
        <f>IF(OR(T385="",Setup!$B$10=""),0,IF(V385=0,T385/COUNTIF(Setup!$B$9:$B$20,"?*"),T385*AJ385/V385))</f>
        <v/>
      </c>
      <c r="Y385">
        <f>IF(OR(T385="",Setup!$B$11=""),0,IF(V385=0,T385/COUNTIF(Setup!$B$9:$B$20,"?*"),T385*AK385/V385))</f>
        <v/>
      </c>
      <c r="Z385">
        <f>IF(OR(T385="",Setup!$B$12=""),0,IF(V385=0,T385/COUNTIF(Setup!$B$9:$B$20,"?*"),T385*AL385/V385))</f>
        <v/>
      </c>
      <c r="AA385">
        <f>IF(OR(T385="",Setup!$B$13=""),0,IF(V385=0,T385/COUNTIF(Setup!$B$9:$B$20,"?*"),T385*AM385/V385))</f>
        <v/>
      </c>
      <c r="AB385">
        <f>IF(OR(T385="",Setup!$B$14=""),0,IF(V385=0,T385/COUNTIF(Setup!$B$9:$B$20,"?*"),T385*AN385/V385))</f>
        <v/>
      </c>
      <c r="AC385">
        <f>IF(OR(T385="",Setup!$B$15=""),0,IF(V385=0,T385/COUNTIF(Setup!$B$9:$B$20,"?*"),T385*AO385/V385))</f>
        <v/>
      </c>
      <c r="AD385">
        <f>IF(OR(T385="",Setup!$B$16=""),0,IF(V385=0,T385/COUNTIF(Setup!$B$9:$B$20,"?*"),T385*AP385/V385))</f>
        <v/>
      </c>
      <c r="AE385">
        <f>IF(OR(T385="",Setup!$B$17=""),0,IF(V385=0,T385/COUNTIF(Setup!$B$9:$B$20,"?*"),T385*AQ385/V385))</f>
        <v/>
      </c>
      <c r="AF385">
        <f>IF(OR(T385="",Setup!$B$18=""),0,IF(V385=0,T385/COUNTIF(Setup!$B$9:$B$20,"?*"),T385*AR385/V385))</f>
        <v/>
      </c>
      <c r="AG385">
        <f>IF(OR(T385="",Setup!$B$19=""),0,IF(V385=0,T385/COUNTIF(Setup!$B$9:$B$20,"?*"),T385*AS385/V385))</f>
        <v/>
      </c>
      <c r="AH385">
        <f>IF(OR(T385="",Setup!$B$20=""),0,IF(V385=0,T385/COUNTIF(Setup!$B$9:$B$20,"?*"),T385*AT385/V385))</f>
        <v/>
      </c>
      <c r="AI385">
        <f>IF(Setup!$B$9="",0,IF(H385="",0,IF(ISNUMBER(H385),H385,1)))</f>
        <v/>
      </c>
      <c r="AJ385">
        <f>IF(Setup!$B$10="",0,IF(I385="",0,IF(ISNUMBER(I385),I385,1)))</f>
        <v/>
      </c>
      <c r="AK385">
        <f>IF(Setup!$B$11="",0,IF(J385="",0,IF(ISNUMBER(J385),J385,1)))</f>
        <v/>
      </c>
      <c r="AL385">
        <f>IF(Setup!$B$12="",0,IF(K385="",0,IF(ISNUMBER(K385),K385,1)))</f>
        <v/>
      </c>
      <c r="AM385">
        <f>IF(Setup!$B$13="",0,IF(L385="",0,IF(ISNUMBER(L385),L385,1)))</f>
        <v/>
      </c>
      <c r="AN385">
        <f>IF(Setup!$B$14="",0,IF(M385="",0,IF(ISNUMBER(M385),M385,1)))</f>
        <v/>
      </c>
      <c r="AO385">
        <f>IF(Setup!$B$15="",0,IF(N385="",0,IF(ISNUMBER(N385),N385,1)))</f>
        <v/>
      </c>
      <c r="AP385">
        <f>IF(Setup!$B$16="",0,IF(O385="",0,IF(ISNUMBER(O385),O385,1)))</f>
        <v/>
      </c>
      <c r="AQ385">
        <f>IF(Setup!$B$17="",0,IF(P385="",0,IF(ISNUMBER(P385),P385,1)))</f>
        <v/>
      </c>
      <c r="AR385">
        <f>IF(Setup!$B$18="",0,IF(Q385="",0,IF(ISNUMBER(Q385),Q385,1)))</f>
        <v/>
      </c>
      <c r="AS385">
        <f>IF(Setup!$B$19="",0,IF(R385="",0,IF(ISNUMBER(R385),R385,1)))</f>
        <v/>
      </c>
      <c r="AT385">
        <f>IF(Setup!$B$20="",0,IF(S385="",0,IF(ISNUMBER(S385),S385,1)))</f>
        <v/>
      </c>
    </row>
    <row r="386">
      <c r="A386" s="1" t="n"/>
      <c r="B386" s="24" t="n"/>
      <c r="C386" s="25" t="n"/>
      <c r="D386" s="25" t="n"/>
      <c r="E386" s="26" t="n"/>
      <c r="F386" s="27" t="n"/>
      <c r="G386" s="17" t="n"/>
      <c r="H386" s="28" t="n"/>
      <c r="I386" s="28" t="n"/>
      <c r="J386" s="28" t="n"/>
      <c r="K386" s="28" t="n"/>
      <c r="L386" s="28" t="n"/>
      <c r="M386" s="28" t="n"/>
      <c r="N386" s="28" t="n"/>
      <c r="O386" s="28" t="n"/>
      <c r="P386" s="28" t="n"/>
      <c r="Q386" s="28" t="n"/>
      <c r="R386" s="28" t="n"/>
      <c r="S386" s="28" t="n"/>
      <c r="T386" s="29">
        <f>IF(N(E386)=0,"",E386*IF(F386="",1,IFERROR(INDEX(Setup!$E$9:$E$18,MATCH(F386,Setup!$D$9:$D$18,0)),0)))</f>
        <v/>
      </c>
      <c r="U386" s="30">
        <f>IF(T386="","",IF(V386=0,"Everyone",IF(COUNTIF(AI386:AT386,"&gt;0")=COUNTIF(Setup!$B$9:$B$20,"?*"),"Everyone",COUNTIF(AI386:AT386,"&gt;0")&amp;IF(COUNTIF(AI386:AT386,"&gt;0")=1," person"," people"))))</f>
        <v/>
      </c>
      <c r="V386" s="1">
        <f>SUM(AI386:AT386)</f>
        <v/>
      </c>
      <c r="W386">
        <f>IF(OR(T386="",Setup!$B$9=""),0,IF(V386=0,T386/COUNTIF(Setup!$B$9:$B$20,"?*"),T386*AI386/V386))</f>
        <v/>
      </c>
      <c r="X386">
        <f>IF(OR(T386="",Setup!$B$10=""),0,IF(V386=0,T386/COUNTIF(Setup!$B$9:$B$20,"?*"),T386*AJ386/V386))</f>
        <v/>
      </c>
      <c r="Y386">
        <f>IF(OR(T386="",Setup!$B$11=""),0,IF(V386=0,T386/COUNTIF(Setup!$B$9:$B$20,"?*"),T386*AK386/V386))</f>
        <v/>
      </c>
      <c r="Z386">
        <f>IF(OR(T386="",Setup!$B$12=""),0,IF(V386=0,T386/COUNTIF(Setup!$B$9:$B$20,"?*"),T386*AL386/V386))</f>
        <v/>
      </c>
      <c r="AA386">
        <f>IF(OR(T386="",Setup!$B$13=""),0,IF(V386=0,T386/COUNTIF(Setup!$B$9:$B$20,"?*"),T386*AM386/V386))</f>
        <v/>
      </c>
      <c r="AB386">
        <f>IF(OR(T386="",Setup!$B$14=""),0,IF(V386=0,T386/COUNTIF(Setup!$B$9:$B$20,"?*"),T386*AN386/V386))</f>
        <v/>
      </c>
      <c r="AC386">
        <f>IF(OR(T386="",Setup!$B$15=""),0,IF(V386=0,T386/COUNTIF(Setup!$B$9:$B$20,"?*"),T386*AO386/V386))</f>
        <v/>
      </c>
      <c r="AD386">
        <f>IF(OR(T386="",Setup!$B$16=""),0,IF(V386=0,T386/COUNTIF(Setup!$B$9:$B$20,"?*"),T386*AP386/V386))</f>
        <v/>
      </c>
      <c r="AE386">
        <f>IF(OR(T386="",Setup!$B$17=""),0,IF(V386=0,T386/COUNTIF(Setup!$B$9:$B$20,"?*"),T386*AQ386/V386))</f>
        <v/>
      </c>
      <c r="AF386">
        <f>IF(OR(T386="",Setup!$B$18=""),0,IF(V386=0,T386/COUNTIF(Setup!$B$9:$B$20,"?*"),T386*AR386/V386))</f>
        <v/>
      </c>
      <c r="AG386">
        <f>IF(OR(T386="",Setup!$B$19=""),0,IF(V386=0,T386/COUNTIF(Setup!$B$9:$B$20,"?*"),T386*AS386/V386))</f>
        <v/>
      </c>
      <c r="AH386">
        <f>IF(OR(T386="",Setup!$B$20=""),0,IF(V386=0,T386/COUNTIF(Setup!$B$9:$B$20,"?*"),T386*AT386/V386))</f>
        <v/>
      </c>
      <c r="AI386">
        <f>IF(Setup!$B$9="",0,IF(H386="",0,IF(ISNUMBER(H386),H386,1)))</f>
        <v/>
      </c>
      <c r="AJ386">
        <f>IF(Setup!$B$10="",0,IF(I386="",0,IF(ISNUMBER(I386),I386,1)))</f>
        <v/>
      </c>
      <c r="AK386">
        <f>IF(Setup!$B$11="",0,IF(J386="",0,IF(ISNUMBER(J386),J386,1)))</f>
        <v/>
      </c>
      <c r="AL386">
        <f>IF(Setup!$B$12="",0,IF(K386="",0,IF(ISNUMBER(K386),K386,1)))</f>
        <v/>
      </c>
      <c r="AM386">
        <f>IF(Setup!$B$13="",0,IF(L386="",0,IF(ISNUMBER(L386),L386,1)))</f>
        <v/>
      </c>
      <c r="AN386">
        <f>IF(Setup!$B$14="",0,IF(M386="",0,IF(ISNUMBER(M386),M386,1)))</f>
        <v/>
      </c>
      <c r="AO386">
        <f>IF(Setup!$B$15="",0,IF(N386="",0,IF(ISNUMBER(N386),N386,1)))</f>
        <v/>
      </c>
      <c r="AP386">
        <f>IF(Setup!$B$16="",0,IF(O386="",0,IF(ISNUMBER(O386),O386,1)))</f>
        <v/>
      </c>
      <c r="AQ386">
        <f>IF(Setup!$B$17="",0,IF(P386="",0,IF(ISNUMBER(P386),P386,1)))</f>
        <v/>
      </c>
      <c r="AR386">
        <f>IF(Setup!$B$18="",0,IF(Q386="",0,IF(ISNUMBER(Q386),Q386,1)))</f>
        <v/>
      </c>
      <c r="AS386">
        <f>IF(Setup!$B$19="",0,IF(R386="",0,IF(ISNUMBER(R386),R386,1)))</f>
        <v/>
      </c>
      <c r="AT386">
        <f>IF(Setup!$B$20="",0,IF(S386="",0,IF(ISNUMBER(S386),S386,1)))</f>
        <v/>
      </c>
    </row>
    <row r="387">
      <c r="A387" s="1" t="n"/>
      <c r="B387" s="24" t="n"/>
      <c r="C387" s="25" t="n"/>
      <c r="D387" s="25" t="n"/>
      <c r="E387" s="26" t="n"/>
      <c r="F387" s="27" t="n"/>
      <c r="G387" s="17" t="n"/>
      <c r="H387" s="28" t="n"/>
      <c r="I387" s="28" t="n"/>
      <c r="J387" s="28" t="n"/>
      <c r="K387" s="28" t="n"/>
      <c r="L387" s="28" t="n"/>
      <c r="M387" s="28" t="n"/>
      <c r="N387" s="28" t="n"/>
      <c r="O387" s="28" t="n"/>
      <c r="P387" s="28" t="n"/>
      <c r="Q387" s="28" t="n"/>
      <c r="R387" s="28" t="n"/>
      <c r="S387" s="28" t="n"/>
      <c r="T387" s="29">
        <f>IF(N(E387)=0,"",E387*IF(F387="",1,IFERROR(INDEX(Setup!$E$9:$E$18,MATCH(F387,Setup!$D$9:$D$18,0)),0)))</f>
        <v/>
      </c>
      <c r="U387" s="30">
        <f>IF(T387="","",IF(V387=0,"Everyone",IF(COUNTIF(AI387:AT387,"&gt;0")=COUNTIF(Setup!$B$9:$B$20,"?*"),"Everyone",COUNTIF(AI387:AT387,"&gt;0")&amp;IF(COUNTIF(AI387:AT387,"&gt;0")=1," person"," people"))))</f>
        <v/>
      </c>
      <c r="V387" s="1">
        <f>SUM(AI387:AT387)</f>
        <v/>
      </c>
      <c r="W387">
        <f>IF(OR(T387="",Setup!$B$9=""),0,IF(V387=0,T387/COUNTIF(Setup!$B$9:$B$20,"?*"),T387*AI387/V387))</f>
        <v/>
      </c>
      <c r="X387">
        <f>IF(OR(T387="",Setup!$B$10=""),0,IF(V387=0,T387/COUNTIF(Setup!$B$9:$B$20,"?*"),T387*AJ387/V387))</f>
        <v/>
      </c>
      <c r="Y387">
        <f>IF(OR(T387="",Setup!$B$11=""),0,IF(V387=0,T387/COUNTIF(Setup!$B$9:$B$20,"?*"),T387*AK387/V387))</f>
        <v/>
      </c>
      <c r="Z387">
        <f>IF(OR(T387="",Setup!$B$12=""),0,IF(V387=0,T387/COUNTIF(Setup!$B$9:$B$20,"?*"),T387*AL387/V387))</f>
        <v/>
      </c>
      <c r="AA387">
        <f>IF(OR(T387="",Setup!$B$13=""),0,IF(V387=0,T387/COUNTIF(Setup!$B$9:$B$20,"?*"),T387*AM387/V387))</f>
        <v/>
      </c>
      <c r="AB387">
        <f>IF(OR(T387="",Setup!$B$14=""),0,IF(V387=0,T387/COUNTIF(Setup!$B$9:$B$20,"?*"),T387*AN387/V387))</f>
        <v/>
      </c>
      <c r="AC387">
        <f>IF(OR(T387="",Setup!$B$15=""),0,IF(V387=0,T387/COUNTIF(Setup!$B$9:$B$20,"?*"),T387*AO387/V387))</f>
        <v/>
      </c>
      <c r="AD387">
        <f>IF(OR(T387="",Setup!$B$16=""),0,IF(V387=0,T387/COUNTIF(Setup!$B$9:$B$20,"?*"),T387*AP387/V387))</f>
        <v/>
      </c>
      <c r="AE387">
        <f>IF(OR(T387="",Setup!$B$17=""),0,IF(V387=0,T387/COUNTIF(Setup!$B$9:$B$20,"?*"),T387*AQ387/V387))</f>
        <v/>
      </c>
      <c r="AF387">
        <f>IF(OR(T387="",Setup!$B$18=""),0,IF(V387=0,T387/COUNTIF(Setup!$B$9:$B$20,"?*"),T387*AR387/V387))</f>
        <v/>
      </c>
      <c r="AG387">
        <f>IF(OR(T387="",Setup!$B$19=""),0,IF(V387=0,T387/COUNTIF(Setup!$B$9:$B$20,"?*"),T387*AS387/V387))</f>
        <v/>
      </c>
      <c r="AH387">
        <f>IF(OR(T387="",Setup!$B$20=""),0,IF(V387=0,T387/COUNTIF(Setup!$B$9:$B$20,"?*"),T387*AT387/V387))</f>
        <v/>
      </c>
      <c r="AI387">
        <f>IF(Setup!$B$9="",0,IF(H387="",0,IF(ISNUMBER(H387),H387,1)))</f>
        <v/>
      </c>
      <c r="AJ387">
        <f>IF(Setup!$B$10="",0,IF(I387="",0,IF(ISNUMBER(I387),I387,1)))</f>
        <v/>
      </c>
      <c r="AK387">
        <f>IF(Setup!$B$11="",0,IF(J387="",0,IF(ISNUMBER(J387),J387,1)))</f>
        <v/>
      </c>
      <c r="AL387">
        <f>IF(Setup!$B$12="",0,IF(K387="",0,IF(ISNUMBER(K387),K387,1)))</f>
        <v/>
      </c>
      <c r="AM387">
        <f>IF(Setup!$B$13="",0,IF(L387="",0,IF(ISNUMBER(L387),L387,1)))</f>
        <v/>
      </c>
      <c r="AN387">
        <f>IF(Setup!$B$14="",0,IF(M387="",0,IF(ISNUMBER(M387),M387,1)))</f>
        <v/>
      </c>
      <c r="AO387">
        <f>IF(Setup!$B$15="",0,IF(N387="",0,IF(ISNUMBER(N387),N387,1)))</f>
        <v/>
      </c>
      <c r="AP387">
        <f>IF(Setup!$B$16="",0,IF(O387="",0,IF(ISNUMBER(O387),O387,1)))</f>
        <v/>
      </c>
      <c r="AQ387">
        <f>IF(Setup!$B$17="",0,IF(P387="",0,IF(ISNUMBER(P387),P387,1)))</f>
        <v/>
      </c>
      <c r="AR387">
        <f>IF(Setup!$B$18="",0,IF(Q387="",0,IF(ISNUMBER(Q387),Q387,1)))</f>
        <v/>
      </c>
      <c r="AS387">
        <f>IF(Setup!$B$19="",0,IF(R387="",0,IF(ISNUMBER(R387),R387,1)))</f>
        <v/>
      </c>
      <c r="AT387">
        <f>IF(Setup!$B$20="",0,IF(S387="",0,IF(ISNUMBER(S387),S387,1)))</f>
        <v/>
      </c>
    </row>
    <row r="388">
      <c r="A388" s="1" t="n"/>
      <c r="B388" s="24" t="n"/>
      <c r="C388" s="25" t="n"/>
      <c r="D388" s="25" t="n"/>
      <c r="E388" s="26" t="n"/>
      <c r="F388" s="27" t="n"/>
      <c r="G388" s="17" t="n"/>
      <c r="H388" s="28" t="n"/>
      <c r="I388" s="28" t="n"/>
      <c r="J388" s="28" t="n"/>
      <c r="K388" s="28" t="n"/>
      <c r="L388" s="28" t="n"/>
      <c r="M388" s="28" t="n"/>
      <c r="N388" s="28" t="n"/>
      <c r="O388" s="28" t="n"/>
      <c r="P388" s="28" t="n"/>
      <c r="Q388" s="28" t="n"/>
      <c r="R388" s="28" t="n"/>
      <c r="S388" s="28" t="n"/>
      <c r="T388" s="29">
        <f>IF(N(E388)=0,"",E388*IF(F388="",1,IFERROR(INDEX(Setup!$E$9:$E$18,MATCH(F388,Setup!$D$9:$D$18,0)),0)))</f>
        <v/>
      </c>
      <c r="U388" s="30">
        <f>IF(T388="","",IF(V388=0,"Everyone",IF(COUNTIF(AI388:AT388,"&gt;0")=COUNTIF(Setup!$B$9:$B$20,"?*"),"Everyone",COUNTIF(AI388:AT388,"&gt;0")&amp;IF(COUNTIF(AI388:AT388,"&gt;0")=1," person"," people"))))</f>
        <v/>
      </c>
      <c r="V388" s="1">
        <f>SUM(AI388:AT388)</f>
        <v/>
      </c>
      <c r="W388">
        <f>IF(OR(T388="",Setup!$B$9=""),0,IF(V388=0,T388/COUNTIF(Setup!$B$9:$B$20,"?*"),T388*AI388/V388))</f>
        <v/>
      </c>
      <c r="X388">
        <f>IF(OR(T388="",Setup!$B$10=""),0,IF(V388=0,T388/COUNTIF(Setup!$B$9:$B$20,"?*"),T388*AJ388/V388))</f>
        <v/>
      </c>
      <c r="Y388">
        <f>IF(OR(T388="",Setup!$B$11=""),0,IF(V388=0,T388/COUNTIF(Setup!$B$9:$B$20,"?*"),T388*AK388/V388))</f>
        <v/>
      </c>
      <c r="Z388">
        <f>IF(OR(T388="",Setup!$B$12=""),0,IF(V388=0,T388/COUNTIF(Setup!$B$9:$B$20,"?*"),T388*AL388/V388))</f>
        <v/>
      </c>
      <c r="AA388">
        <f>IF(OR(T388="",Setup!$B$13=""),0,IF(V388=0,T388/COUNTIF(Setup!$B$9:$B$20,"?*"),T388*AM388/V388))</f>
        <v/>
      </c>
      <c r="AB388">
        <f>IF(OR(T388="",Setup!$B$14=""),0,IF(V388=0,T388/COUNTIF(Setup!$B$9:$B$20,"?*"),T388*AN388/V388))</f>
        <v/>
      </c>
      <c r="AC388">
        <f>IF(OR(T388="",Setup!$B$15=""),0,IF(V388=0,T388/COUNTIF(Setup!$B$9:$B$20,"?*"),T388*AO388/V388))</f>
        <v/>
      </c>
      <c r="AD388">
        <f>IF(OR(T388="",Setup!$B$16=""),0,IF(V388=0,T388/COUNTIF(Setup!$B$9:$B$20,"?*"),T388*AP388/V388))</f>
        <v/>
      </c>
      <c r="AE388">
        <f>IF(OR(T388="",Setup!$B$17=""),0,IF(V388=0,T388/COUNTIF(Setup!$B$9:$B$20,"?*"),T388*AQ388/V388))</f>
        <v/>
      </c>
      <c r="AF388">
        <f>IF(OR(T388="",Setup!$B$18=""),0,IF(V388=0,T388/COUNTIF(Setup!$B$9:$B$20,"?*"),T388*AR388/V388))</f>
        <v/>
      </c>
      <c r="AG388">
        <f>IF(OR(T388="",Setup!$B$19=""),0,IF(V388=0,T388/COUNTIF(Setup!$B$9:$B$20,"?*"),T388*AS388/V388))</f>
        <v/>
      </c>
      <c r="AH388">
        <f>IF(OR(T388="",Setup!$B$20=""),0,IF(V388=0,T388/COUNTIF(Setup!$B$9:$B$20,"?*"),T388*AT388/V388))</f>
        <v/>
      </c>
      <c r="AI388">
        <f>IF(Setup!$B$9="",0,IF(H388="",0,IF(ISNUMBER(H388),H388,1)))</f>
        <v/>
      </c>
      <c r="AJ388">
        <f>IF(Setup!$B$10="",0,IF(I388="",0,IF(ISNUMBER(I388),I388,1)))</f>
        <v/>
      </c>
      <c r="AK388">
        <f>IF(Setup!$B$11="",0,IF(J388="",0,IF(ISNUMBER(J388),J388,1)))</f>
        <v/>
      </c>
      <c r="AL388">
        <f>IF(Setup!$B$12="",0,IF(K388="",0,IF(ISNUMBER(K388),K388,1)))</f>
        <v/>
      </c>
      <c r="AM388">
        <f>IF(Setup!$B$13="",0,IF(L388="",0,IF(ISNUMBER(L388),L388,1)))</f>
        <v/>
      </c>
      <c r="AN388">
        <f>IF(Setup!$B$14="",0,IF(M388="",0,IF(ISNUMBER(M388),M388,1)))</f>
        <v/>
      </c>
      <c r="AO388">
        <f>IF(Setup!$B$15="",0,IF(N388="",0,IF(ISNUMBER(N388),N388,1)))</f>
        <v/>
      </c>
      <c r="AP388">
        <f>IF(Setup!$B$16="",0,IF(O388="",0,IF(ISNUMBER(O388),O388,1)))</f>
        <v/>
      </c>
      <c r="AQ388">
        <f>IF(Setup!$B$17="",0,IF(P388="",0,IF(ISNUMBER(P388),P388,1)))</f>
        <v/>
      </c>
      <c r="AR388">
        <f>IF(Setup!$B$18="",0,IF(Q388="",0,IF(ISNUMBER(Q388),Q388,1)))</f>
        <v/>
      </c>
      <c r="AS388">
        <f>IF(Setup!$B$19="",0,IF(R388="",0,IF(ISNUMBER(R388),R388,1)))</f>
        <v/>
      </c>
      <c r="AT388">
        <f>IF(Setup!$B$20="",0,IF(S388="",0,IF(ISNUMBER(S388),S388,1)))</f>
        <v/>
      </c>
    </row>
    <row r="389">
      <c r="A389" s="1" t="n"/>
      <c r="B389" s="24" t="n"/>
      <c r="C389" s="25" t="n"/>
      <c r="D389" s="25" t="n"/>
      <c r="E389" s="26" t="n"/>
      <c r="F389" s="27" t="n"/>
      <c r="G389" s="17" t="n"/>
      <c r="H389" s="28" t="n"/>
      <c r="I389" s="28" t="n"/>
      <c r="J389" s="28" t="n"/>
      <c r="K389" s="28" t="n"/>
      <c r="L389" s="28" t="n"/>
      <c r="M389" s="28" t="n"/>
      <c r="N389" s="28" t="n"/>
      <c r="O389" s="28" t="n"/>
      <c r="P389" s="28" t="n"/>
      <c r="Q389" s="28" t="n"/>
      <c r="R389" s="28" t="n"/>
      <c r="S389" s="28" t="n"/>
      <c r="T389" s="29">
        <f>IF(N(E389)=0,"",E389*IF(F389="",1,IFERROR(INDEX(Setup!$E$9:$E$18,MATCH(F389,Setup!$D$9:$D$18,0)),0)))</f>
        <v/>
      </c>
      <c r="U389" s="30">
        <f>IF(T389="","",IF(V389=0,"Everyone",IF(COUNTIF(AI389:AT389,"&gt;0")=COUNTIF(Setup!$B$9:$B$20,"?*"),"Everyone",COUNTIF(AI389:AT389,"&gt;0")&amp;IF(COUNTIF(AI389:AT389,"&gt;0")=1," person"," people"))))</f>
        <v/>
      </c>
      <c r="V389" s="1">
        <f>SUM(AI389:AT389)</f>
        <v/>
      </c>
      <c r="W389">
        <f>IF(OR(T389="",Setup!$B$9=""),0,IF(V389=0,T389/COUNTIF(Setup!$B$9:$B$20,"?*"),T389*AI389/V389))</f>
        <v/>
      </c>
      <c r="X389">
        <f>IF(OR(T389="",Setup!$B$10=""),0,IF(V389=0,T389/COUNTIF(Setup!$B$9:$B$20,"?*"),T389*AJ389/V389))</f>
        <v/>
      </c>
      <c r="Y389">
        <f>IF(OR(T389="",Setup!$B$11=""),0,IF(V389=0,T389/COUNTIF(Setup!$B$9:$B$20,"?*"),T389*AK389/V389))</f>
        <v/>
      </c>
      <c r="Z389">
        <f>IF(OR(T389="",Setup!$B$12=""),0,IF(V389=0,T389/COUNTIF(Setup!$B$9:$B$20,"?*"),T389*AL389/V389))</f>
        <v/>
      </c>
      <c r="AA389">
        <f>IF(OR(T389="",Setup!$B$13=""),0,IF(V389=0,T389/COUNTIF(Setup!$B$9:$B$20,"?*"),T389*AM389/V389))</f>
        <v/>
      </c>
      <c r="AB389">
        <f>IF(OR(T389="",Setup!$B$14=""),0,IF(V389=0,T389/COUNTIF(Setup!$B$9:$B$20,"?*"),T389*AN389/V389))</f>
        <v/>
      </c>
      <c r="AC389">
        <f>IF(OR(T389="",Setup!$B$15=""),0,IF(V389=0,T389/COUNTIF(Setup!$B$9:$B$20,"?*"),T389*AO389/V389))</f>
        <v/>
      </c>
      <c r="AD389">
        <f>IF(OR(T389="",Setup!$B$16=""),0,IF(V389=0,T389/COUNTIF(Setup!$B$9:$B$20,"?*"),T389*AP389/V389))</f>
        <v/>
      </c>
      <c r="AE389">
        <f>IF(OR(T389="",Setup!$B$17=""),0,IF(V389=0,T389/COUNTIF(Setup!$B$9:$B$20,"?*"),T389*AQ389/V389))</f>
        <v/>
      </c>
      <c r="AF389">
        <f>IF(OR(T389="",Setup!$B$18=""),0,IF(V389=0,T389/COUNTIF(Setup!$B$9:$B$20,"?*"),T389*AR389/V389))</f>
        <v/>
      </c>
      <c r="AG389">
        <f>IF(OR(T389="",Setup!$B$19=""),0,IF(V389=0,T389/COUNTIF(Setup!$B$9:$B$20,"?*"),T389*AS389/V389))</f>
        <v/>
      </c>
      <c r="AH389">
        <f>IF(OR(T389="",Setup!$B$20=""),0,IF(V389=0,T389/COUNTIF(Setup!$B$9:$B$20,"?*"),T389*AT389/V389))</f>
        <v/>
      </c>
      <c r="AI389">
        <f>IF(Setup!$B$9="",0,IF(H389="",0,IF(ISNUMBER(H389),H389,1)))</f>
        <v/>
      </c>
      <c r="AJ389">
        <f>IF(Setup!$B$10="",0,IF(I389="",0,IF(ISNUMBER(I389),I389,1)))</f>
        <v/>
      </c>
      <c r="AK389">
        <f>IF(Setup!$B$11="",0,IF(J389="",0,IF(ISNUMBER(J389),J389,1)))</f>
        <v/>
      </c>
      <c r="AL389">
        <f>IF(Setup!$B$12="",0,IF(K389="",0,IF(ISNUMBER(K389),K389,1)))</f>
        <v/>
      </c>
      <c r="AM389">
        <f>IF(Setup!$B$13="",0,IF(L389="",0,IF(ISNUMBER(L389),L389,1)))</f>
        <v/>
      </c>
      <c r="AN389">
        <f>IF(Setup!$B$14="",0,IF(M389="",0,IF(ISNUMBER(M389),M389,1)))</f>
        <v/>
      </c>
      <c r="AO389">
        <f>IF(Setup!$B$15="",0,IF(N389="",0,IF(ISNUMBER(N389),N389,1)))</f>
        <v/>
      </c>
      <c r="AP389">
        <f>IF(Setup!$B$16="",0,IF(O389="",0,IF(ISNUMBER(O389),O389,1)))</f>
        <v/>
      </c>
      <c r="AQ389">
        <f>IF(Setup!$B$17="",0,IF(P389="",0,IF(ISNUMBER(P389),P389,1)))</f>
        <v/>
      </c>
      <c r="AR389">
        <f>IF(Setup!$B$18="",0,IF(Q389="",0,IF(ISNUMBER(Q389),Q389,1)))</f>
        <v/>
      </c>
      <c r="AS389">
        <f>IF(Setup!$B$19="",0,IF(R389="",0,IF(ISNUMBER(R389),R389,1)))</f>
        <v/>
      </c>
      <c r="AT389">
        <f>IF(Setup!$B$20="",0,IF(S389="",0,IF(ISNUMBER(S389),S389,1)))</f>
        <v/>
      </c>
    </row>
    <row r="390">
      <c r="A390" s="1" t="n"/>
      <c r="B390" s="24" t="n"/>
      <c r="C390" s="25" t="n"/>
      <c r="D390" s="25" t="n"/>
      <c r="E390" s="26" t="n"/>
      <c r="F390" s="27" t="n"/>
      <c r="G390" s="17" t="n"/>
      <c r="H390" s="28" t="n"/>
      <c r="I390" s="28" t="n"/>
      <c r="J390" s="28" t="n"/>
      <c r="K390" s="28" t="n"/>
      <c r="L390" s="28" t="n"/>
      <c r="M390" s="28" t="n"/>
      <c r="N390" s="28" t="n"/>
      <c r="O390" s="28" t="n"/>
      <c r="P390" s="28" t="n"/>
      <c r="Q390" s="28" t="n"/>
      <c r="R390" s="28" t="n"/>
      <c r="S390" s="28" t="n"/>
      <c r="T390" s="29">
        <f>IF(N(E390)=0,"",E390*IF(F390="",1,IFERROR(INDEX(Setup!$E$9:$E$18,MATCH(F390,Setup!$D$9:$D$18,0)),0)))</f>
        <v/>
      </c>
      <c r="U390" s="30">
        <f>IF(T390="","",IF(V390=0,"Everyone",IF(COUNTIF(AI390:AT390,"&gt;0")=COUNTIF(Setup!$B$9:$B$20,"?*"),"Everyone",COUNTIF(AI390:AT390,"&gt;0")&amp;IF(COUNTIF(AI390:AT390,"&gt;0")=1," person"," people"))))</f>
        <v/>
      </c>
      <c r="V390" s="1">
        <f>SUM(AI390:AT390)</f>
        <v/>
      </c>
      <c r="W390">
        <f>IF(OR(T390="",Setup!$B$9=""),0,IF(V390=0,T390/COUNTIF(Setup!$B$9:$B$20,"?*"),T390*AI390/V390))</f>
        <v/>
      </c>
      <c r="X390">
        <f>IF(OR(T390="",Setup!$B$10=""),0,IF(V390=0,T390/COUNTIF(Setup!$B$9:$B$20,"?*"),T390*AJ390/V390))</f>
        <v/>
      </c>
      <c r="Y390">
        <f>IF(OR(T390="",Setup!$B$11=""),0,IF(V390=0,T390/COUNTIF(Setup!$B$9:$B$20,"?*"),T390*AK390/V390))</f>
        <v/>
      </c>
      <c r="Z390">
        <f>IF(OR(T390="",Setup!$B$12=""),0,IF(V390=0,T390/COUNTIF(Setup!$B$9:$B$20,"?*"),T390*AL390/V390))</f>
        <v/>
      </c>
      <c r="AA390">
        <f>IF(OR(T390="",Setup!$B$13=""),0,IF(V390=0,T390/COUNTIF(Setup!$B$9:$B$20,"?*"),T390*AM390/V390))</f>
        <v/>
      </c>
      <c r="AB390">
        <f>IF(OR(T390="",Setup!$B$14=""),0,IF(V390=0,T390/COUNTIF(Setup!$B$9:$B$20,"?*"),T390*AN390/V390))</f>
        <v/>
      </c>
      <c r="AC390">
        <f>IF(OR(T390="",Setup!$B$15=""),0,IF(V390=0,T390/COUNTIF(Setup!$B$9:$B$20,"?*"),T390*AO390/V390))</f>
        <v/>
      </c>
      <c r="AD390">
        <f>IF(OR(T390="",Setup!$B$16=""),0,IF(V390=0,T390/COUNTIF(Setup!$B$9:$B$20,"?*"),T390*AP390/V390))</f>
        <v/>
      </c>
      <c r="AE390">
        <f>IF(OR(T390="",Setup!$B$17=""),0,IF(V390=0,T390/COUNTIF(Setup!$B$9:$B$20,"?*"),T390*AQ390/V390))</f>
        <v/>
      </c>
      <c r="AF390">
        <f>IF(OR(T390="",Setup!$B$18=""),0,IF(V390=0,T390/COUNTIF(Setup!$B$9:$B$20,"?*"),T390*AR390/V390))</f>
        <v/>
      </c>
      <c r="AG390">
        <f>IF(OR(T390="",Setup!$B$19=""),0,IF(V390=0,T390/COUNTIF(Setup!$B$9:$B$20,"?*"),T390*AS390/V390))</f>
        <v/>
      </c>
      <c r="AH390">
        <f>IF(OR(T390="",Setup!$B$20=""),0,IF(V390=0,T390/COUNTIF(Setup!$B$9:$B$20,"?*"),T390*AT390/V390))</f>
        <v/>
      </c>
      <c r="AI390">
        <f>IF(Setup!$B$9="",0,IF(H390="",0,IF(ISNUMBER(H390),H390,1)))</f>
        <v/>
      </c>
      <c r="AJ390">
        <f>IF(Setup!$B$10="",0,IF(I390="",0,IF(ISNUMBER(I390),I390,1)))</f>
        <v/>
      </c>
      <c r="AK390">
        <f>IF(Setup!$B$11="",0,IF(J390="",0,IF(ISNUMBER(J390),J390,1)))</f>
        <v/>
      </c>
      <c r="AL390">
        <f>IF(Setup!$B$12="",0,IF(K390="",0,IF(ISNUMBER(K390),K390,1)))</f>
        <v/>
      </c>
      <c r="AM390">
        <f>IF(Setup!$B$13="",0,IF(L390="",0,IF(ISNUMBER(L390),L390,1)))</f>
        <v/>
      </c>
      <c r="AN390">
        <f>IF(Setup!$B$14="",0,IF(M390="",0,IF(ISNUMBER(M390),M390,1)))</f>
        <v/>
      </c>
      <c r="AO390">
        <f>IF(Setup!$B$15="",0,IF(N390="",0,IF(ISNUMBER(N390),N390,1)))</f>
        <v/>
      </c>
      <c r="AP390">
        <f>IF(Setup!$B$16="",0,IF(O390="",0,IF(ISNUMBER(O390),O390,1)))</f>
        <v/>
      </c>
      <c r="AQ390">
        <f>IF(Setup!$B$17="",0,IF(P390="",0,IF(ISNUMBER(P390),P390,1)))</f>
        <v/>
      </c>
      <c r="AR390">
        <f>IF(Setup!$B$18="",0,IF(Q390="",0,IF(ISNUMBER(Q390),Q390,1)))</f>
        <v/>
      </c>
      <c r="AS390">
        <f>IF(Setup!$B$19="",0,IF(R390="",0,IF(ISNUMBER(R390),R390,1)))</f>
        <v/>
      </c>
      <c r="AT390">
        <f>IF(Setup!$B$20="",0,IF(S390="",0,IF(ISNUMBER(S390),S390,1)))</f>
        <v/>
      </c>
    </row>
    <row r="391">
      <c r="A391" s="1" t="n"/>
      <c r="B391" s="24" t="n"/>
      <c r="C391" s="25" t="n"/>
      <c r="D391" s="25" t="n"/>
      <c r="E391" s="26" t="n"/>
      <c r="F391" s="27" t="n"/>
      <c r="G391" s="17" t="n"/>
      <c r="H391" s="28" t="n"/>
      <c r="I391" s="28" t="n"/>
      <c r="J391" s="28" t="n"/>
      <c r="K391" s="28" t="n"/>
      <c r="L391" s="28" t="n"/>
      <c r="M391" s="28" t="n"/>
      <c r="N391" s="28" t="n"/>
      <c r="O391" s="28" t="n"/>
      <c r="P391" s="28" t="n"/>
      <c r="Q391" s="28" t="n"/>
      <c r="R391" s="28" t="n"/>
      <c r="S391" s="28" t="n"/>
      <c r="T391" s="29">
        <f>IF(N(E391)=0,"",E391*IF(F391="",1,IFERROR(INDEX(Setup!$E$9:$E$18,MATCH(F391,Setup!$D$9:$D$18,0)),0)))</f>
        <v/>
      </c>
      <c r="U391" s="30">
        <f>IF(T391="","",IF(V391=0,"Everyone",IF(COUNTIF(AI391:AT391,"&gt;0")=COUNTIF(Setup!$B$9:$B$20,"?*"),"Everyone",COUNTIF(AI391:AT391,"&gt;0")&amp;IF(COUNTIF(AI391:AT391,"&gt;0")=1," person"," people"))))</f>
        <v/>
      </c>
      <c r="V391" s="1">
        <f>SUM(AI391:AT391)</f>
        <v/>
      </c>
      <c r="W391">
        <f>IF(OR(T391="",Setup!$B$9=""),0,IF(V391=0,T391/COUNTIF(Setup!$B$9:$B$20,"?*"),T391*AI391/V391))</f>
        <v/>
      </c>
      <c r="X391">
        <f>IF(OR(T391="",Setup!$B$10=""),0,IF(V391=0,T391/COUNTIF(Setup!$B$9:$B$20,"?*"),T391*AJ391/V391))</f>
        <v/>
      </c>
      <c r="Y391">
        <f>IF(OR(T391="",Setup!$B$11=""),0,IF(V391=0,T391/COUNTIF(Setup!$B$9:$B$20,"?*"),T391*AK391/V391))</f>
        <v/>
      </c>
      <c r="Z391">
        <f>IF(OR(T391="",Setup!$B$12=""),0,IF(V391=0,T391/COUNTIF(Setup!$B$9:$B$20,"?*"),T391*AL391/V391))</f>
        <v/>
      </c>
      <c r="AA391">
        <f>IF(OR(T391="",Setup!$B$13=""),0,IF(V391=0,T391/COUNTIF(Setup!$B$9:$B$20,"?*"),T391*AM391/V391))</f>
        <v/>
      </c>
      <c r="AB391">
        <f>IF(OR(T391="",Setup!$B$14=""),0,IF(V391=0,T391/COUNTIF(Setup!$B$9:$B$20,"?*"),T391*AN391/V391))</f>
        <v/>
      </c>
      <c r="AC391">
        <f>IF(OR(T391="",Setup!$B$15=""),0,IF(V391=0,T391/COUNTIF(Setup!$B$9:$B$20,"?*"),T391*AO391/V391))</f>
        <v/>
      </c>
      <c r="AD391">
        <f>IF(OR(T391="",Setup!$B$16=""),0,IF(V391=0,T391/COUNTIF(Setup!$B$9:$B$20,"?*"),T391*AP391/V391))</f>
        <v/>
      </c>
      <c r="AE391">
        <f>IF(OR(T391="",Setup!$B$17=""),0,IF(V391=0,T391/COUNTIF(Setup!$B$9:$B$20,"?*"),T391*AQ391/V391))</f>
        <v/>
      </c>
      <c r="AF391">
        <f>IF(OR(T391="",Setup!$B$18=""),0,IF(V391=0,T391/COUNTIF(Setup!$B$9:$B$20,"?*"),T391*AR391/V391))</f>
        <v/>
      </c>
      <c r="AG391">
        <f>IF(OR(T391="",Setup!$B$19=""),0,IF(V391=0,T391/COUNTIF(Setup!$B$9:$B$20,"?*"),T391*AS391/V391))</f>
        <v/>
      </c>
      <c r="AH391">
        <f>IF(OR(T391="",Setup!$B$20=""),0,IF(V391=0,T391/COUNTIF(Setup!$B$9:$B$20,"?*"),T391*AT391/V391))</f>
        <v/>
      </c>
      <c r="AI391">
        <f>IF(Setup!$B$9="",0,IF(H391="",0,IF(ISNUMBER(H391),H391,1)))</f>
        <v/>
      </c>
      <c r="AJ391">
        <f>IF(Setup!$B$10="",0,IF(I391="",0,IF(ISNUMBER(I391),I391,1)))</f>
        <v/>
      </c>
      <c r="AK391">
        <f>IF(Setup!$B$11="",0,IF(J391="",0,IF(ISNUMBER(J391),J391,1)))</f>
        <v/>
      </c>
      <c r="AL391">
        <f>IF(Setup!$B$12="",0,IF(K391="",0,IF(ISNUMBER(K391),K391,1)))</f>
        <v/>
      </c>
      <c r="AM391">
        <f>IF(Setup!$B$13="",0,IF(L391="",0,IF(ISNUMBER(L391),L391,1)))</f>
        <v/>
      </c>
      <c r="AN391">
        <f>IF(Setup!$B$14="",0,IF(M391="",0,IF(ISNUMBER(M391),M391,1)))</f>
        <v/>
      </c>
      <c r="AO391">
        <f>IF(Setup!$B$15="",0,IF(N391="",0,IF(ISNUMBER(N391),N391,1)))</f>
        <v/>
      </c>
      <c r="AP391">
        <f>IF(Setup!$B$16="",0,IF(O391="",0,IF(ISNUMBER(O391),O391,1)))</f>
        <v/>
      </c>
      <c r="AQ391">
        <f>IF(Setup!$B$17="",0,IF(P391="",0,IF(ISNUMBER(P391),P391,1)))</f>
        <v/>
      </c>
      <c r="AR391">
        <f>IF(Setup!$B$18="",0,IF(Q391="",0,IF(ISNUMBER(Q391),Q391,1)))</f>
        <v/>
      </c>
      <c r="AS391">
        <f>IF(Setup!$B$19="",0,IF(R391="",0,IF(ISNUMBER(R391),R391,1)))</f>
        <v/>
      </c>
      <c r="AT391">
        <f>IF(Setup!$B$20="",0,IF(S391="",0,IF(ISNUMBER(S391),S391,1)))</f>
        <v/>
      </c>
    </row>
    <row r="392">
      <c r="A392" s="1" t="n"/>
      <c r="B392" s="24" t="n"/>
      <c r="C392" s="25" t="n"/>
      <c r="D392" s="25" t="n"/>
      <c r="E392" s="26" t="n"/>
      <c r="F392" s="27" t="n"/>
      <c r="G392" s="17" t="n"/>
      <c r="H392" s="28" t="n"/>
      <c r="I392" s="28" t="n"/>
      <c r="J392" s="28" t="n"/>
      <c r="K392" s="28" t="n"/>
      <c r="L392" s="28" t="n"/>
      <c r="M392" s="28" t="n"/>
      <c r="N392" s="28" t="n"/>
      <c r="O392" s="28" t="n"/>
      <c r="P392" s="28" t="n"/>
      <c r="Q392" s="28" t="n"/>
      <c r="R392" s="28" t="n"/>
      <c r="S392" s="28" t="n"/>
      <c r="T392" s="29">
        <f>IF(N(E392)=0,"",E392*IF(F392="",1,IFERROR(INDEX(Setup!$E$9:$E$18,MATCH(F392,Setup!$D$9:$D$18,0)),0)))</f>
        <v/>
      </c>
      <c r="U392" s="30">
        <f>IF(T392="","",IF(V392=0,"Everyone",IF(COUNTIF(AI392:AT392,"&gt;0")=COUNTIF(Setup!$B$9:$B$20,"?*"),"Everyone",COUNTIF(AI392:AT392,"&gt;0")&amp;IF(COUNTIF(AI392:AT392,"&gt;0")=1," person"," people"))))</f>
        <v/>
      </c>
      <c r="V392" s="1">
        <f>SUM(AI392:AT392)</f>
        <v/>
      </c>
      <c r="W392">
        <f>IF(OR(T392="",Setup!$B$9=""),0,IF(V392=0,T392/COUNTIF(Setup!$B$9:$B$20,"?*"),T392*AI392/V392))</f>
        <v/>
      </c>
      <c r="X392">
        <f>IF(OR(T392="",Setup!$B$10=""),0,IF(V392=0,T392/COUNTIF(Setup!$B$9:$B$20,"?*"),T392*AJ392/V392))</f>
        <v/>
      </c>
      <c r="Y392">
        <f>IF(OR(T392="",Setup!$B$11=""),0,IF(V392=0,T392/COUNTIF(Setup!$B$9:$B$20,"?*"),T392*AK392/V392))</f>
        <v/>
      </c>
      <c r="Z392">
        <f>IF(OR(T392="",Setup!$B$12=""),0,IF(V392=0,T392/COUNTIF(Setup!$B$9:$B$20,"?*"),T392*AL392/V392))</f>
        <v/>
      </c>
      <c r="AA392">
        <f>IF(OR(T392="",Setup!$B$13=""),0,IF(V392=0,T392/COUNTIF(Setup!$B$9:$B$20,"?*"),T392*AM392/V392))</f>
        <v/>
      </c>
      <c r="AB392">
        <f>IF(OR(T392="",Setup!$B$14=""),0,IF(V392=0,T392/COUNTIF(Setup!$B$9:$B$20,"?*"),T392*AN392/V392))</f>
        <v/>
      </c>
      <c r="AC392">
        <f>IF(OR(T392="",Setup!$B$15=""),0,IF(V392=0,T392/COUNTIF(Setup!$B$9:$B$20,"?*"),T392*AO392/V392))</f>
        <v/>
      </c>
      <c r="AD392">
        <f>IF(OR(T392="",Setup!$B$16=""),0,IF(V392=0,T392/COUNTIF(Setup!$B$9:$B$20,"?*"),T392*AP392/V392))</f>
        <v/>
      </c>
      <c r="AE392">
        <f>IF(OR(T392="",Setup!$B$17=""),0,IF(V392=0,T392/COUNTIF(Setup!$B$9:$B$20,"?*"),T392*AQ392/V392))</f>
        <v/>
      </c>
      <c r="AF392">
        <f>IF(OR(T392="",Setup!$B$18=""),0,IF(V392=0,T392/COUNTIF(Setup!$B$9:$B$20,"?*"),T392*AR392/V392))</f>
        <v/>
      </c>
      <c r="AG392">
        <f>IF(OR(T392="",Setup!$B$19=""),0,IF(V392=0,T392/COUNTIF(Setup!$B$9:$B$20,"?*"),T392*AS392/V392))</f>
        <v/>
      </c>
      <c r="AH392">
        <f>IF(OR(T392="",Setup!$B$20=""),0,IF(V392=0,T392/COUNTIF(Setup!$B$9:$B$20,"?*"),T392*AT392/V392))</f>
        <v/>
      </c>
      <c r="AI392">
        <f>IF(Setup!$B$9="",0,IF(H392="",0,IF(ISNUMBER(H392),H392,1)))</f>
        <v/>
      </c>
      <c r="AJ392">
        <f>IF(Setup!$B$10="",0,IF(I392="",0,IF(ISNUMBER(I392),I392,1)))</f>
        <v/>
      </c>
      <c r="AK392">
        <f>IF(Setup!$B$11="",0,IF(J392="",0,IF(ISNUMBER(J392),J392,1)))</f>
        <v/>
      </c>
      <c r="AL392">
        <f>IF(Setup!$B$12="",0,IF(K392="",0,IF(ISNUMBER(K392),K392,1)))</f>
        <v/>
      </c>
      <c r="AM392">
        <f>IF(Setup!$B$13="",0,IF(L392="",0,IF(ISNUMBER(L392),L392,1)))</f>
        <v/>
      </c>
      <c r="AN392">
        <f>IF(Setup!$B$14="",0,IF(M392="",0,IF(ISNUMBER(M392),M392,1)))</f>
        <v/>
      </c>
      <c r="AO392">
        <f>IF(Setup!$B$15="",0,IF(N392="",0,IF(ISNUMBER(N392),N392,1)))</f>
        <v/>
      </c>
      <c r="AP392">
        <f>IF(Setup!$B$16="",0,IF(O392="",0,IF(ISNUMBER(O392),O392,1)))</f>
        <v/>
      </c>
      <c r="AQ392">
        <f>IF(Setup!$B$17="",0,IF(P392="",0,IF(ISNUMBER(P392),P392,1)))</f>
        <v/>
      </c>
      <c r="AR392">
        <f>IF(Setup!$B$18="",0,IF(Q392="",0,IF(ISNUMBER(Q392),Q392,1)))</f>
        <v/>
      </c>
      <c r="AS392">
        <f>IF(Setup!$B$19="",0,IF(R392="",0,IF(ISNUMBER(R392),R392,1)))</f>
        <v/>
      </c>
      <c r="AT392">
        <f>IF(Setup!$B$20="",0,IF(S392="",0,IF(ISNUMBER(S392),S392,1)))</f>
        <v/>
      </c>
    </row>
    <row r="393">
      <c r="A393" s="1" t="n"/>
      <c r="B393" s="24" t="n"/>
      <c r="C393" s="25" t="n"/>
      <c r="D393" s="25" t="n"/>
      <c r="E393" s="26" t="n"/>
      <c r="F393" s="27" t="n"/>
      <c r="G393" s="17" t="n"/>
      <c r="H393" s="28" t="n"/>
      <c r="I393" s="28" t="n"/>
      <c r="J393" s="28" t="n"/>
      <c r="K393" s="28" t="n"/>
      <c r="L393" s="28" t="n"/>
      <c r="M393" s="28" t="n"/>
      <c r="N393" s="28" t="n"/>
      <c r="O393" s="28" t="n"/>
      <c r="P393" s="28" t="n"/>
      <c r="Q393" s="28" t="n"/>
      <c r="R393" s="28" t="n"/>
      <c r="S393" s="28" t="n"/>
      <c r="T393" s="29">
        <f>IF(N(E393)=0,"",E393*IF(F393="",1,IFERROR(INDEX(Setup!$E$9:$E$18,MATCH(F393,Setup!$D$9:$D$18,0)),0)))</f>
        <v/>
      </c>
      <c r="U393" s="30">
        <f>IF(T393="","",IF(V393=0,"Everyone",IF(COUNTIF(AI393:AT393,"&gt;0")=COUNTIF(Setup!$B$9:$B$20,"?*"),"Everyone",COUNTIF(AI393:AT393,"&gt;0")&amp;IF(COUNTIF(AI393:AT393,"&gt;0")=1," person"," people"))))</f>
        <v/>
      </c>
      <c r="V393" s="1">
        <f>SUM(AI393:AT393)</f>
        <v/>
      </c>
      <c r="W393">
        <f>IF(OR(T393="",Setup!$B$9=""),0,IF(V393=0,T393/COUNTIF(Setup!$B$9:$B$20,"?*"),T393*AI393/V393))</f>
        <v/>
      </c>
      <c r="X393">
        <f>IF(OR(T393="",Setup!$B$10=""),0,IF(V393=0,T393/COUNTIF(Setup!$B$9:$B$20,"?*"),T393*AJ393/V393))</f>
        <v/>
      </c>
      <c r="Y393">
        <f>IF(OR(T393="",Setup!$B$11=""),0,IF(V393=0,T393/COUNTIF(Setup!$B$9:$B$20,"?*"),T393*AK393/V393))</f>
        <v/>
      </c>
      <c r="Z393">
        <f>IF(OR(T393="",Setup!$B$12=""),0,IF(V393=0,T393/COUNTIF(Setup!$B$9:$B$20,"?*"),T393*AL393/V393))</f>
        <v/>
      </c>
      <c r="AA393">
        <f>IF(OR(T393="",Setup!$B$13=""),0,IF(V393=0,T393/COUNTIF(Setup!$B$9:$B$20,"?*"),T393*AM393/V393))</f>
        <v/>
      </c>
      <c r="AB393">
        <f>IF(OR(T393="",Setup!$B$14=""),0,IF(V393=0,T393/COUNTIF(Setup!$B$9:$B$20,"?*"),T393*AN393/V393))</f>
        <v/>
      </c>
      <c r="AC393">
        <f>IF(OR(T393="",Setup!$B$15=""),0,IF(V393=0,T393/COUNTIF(Setup!$B$9:$B$20,"?*"),T393*AO393/V393))</f>
        <v/>
      </c>
      <c r="AD393">
        <f>IF(OR(T393="",Setup!$B$16=""),0,IF(V393=0,T393/COUNTIF(Setup!$B$9:$B$20,"?*"),T393*AP393/V393))</f>
        <v/>
      </c>
      <c r="AE393">
        <f>IF(OR(T393="",Setup!$B$17=""),0,IF(V393=0,T393/COUNTIF(Setup!$B$9:$B$20,"?*"),T393*AQ393/V393))</f>
        <v/>
      </c>
      <c r="AF393">
        <f>IF(OR(T393="",Setup!$B$18=""),0,IF(V393=0,T393/COUNTIF(Setup!$B$9:$B$20,"?*"),T393*AR393/V393))</f>
        <v/>
      </c>
      <c r="AG393">
        <f>IF(OR(T393="",Setup!$B$19=""),0,IF(V393=0,T393/COUNTIF(Setup!$B$9:$B$20,"?*"),T393*AS393/V393))</f>
        <v/>
      </c>
      <c r="AH393">
        <f>IF(OR(T393="",Setup!$B$20=""),0,IF(V393=0,T393/COUNTIF(Setup!$B$9:$B$20,"?*"),T393*AT393/V393))</f>
        <v/>
      </c>
      <c r="AI393">
        <f>IF(Setup!$B$9="",0,IF(H393="",0,IF(ISNUMBER(H393),H393,1)))</f>
        <v/>
      </c>
      <c r="AJ393">
        <f>IF(Setup!$B$10="",0,IF(I393="",0,IF(ISNUMBER(I393),I393,1)))</f>
        <v/>
      </c>
      <c r="AK393">
        <f>IF(Setup!$B$11="",0,IF(J393="",0,IF(ISNUMBER(J393),J393,1)))</f>
        <v/>
      </c>
      <c r="AL393">
        <f>IF(Setup!$B$12="",0,IF(K393="",0,IF(ISNUMBER(K393),K393,1)))</f>
        <v/>
      </c>
      <c r="AM393">
        <f>IF(Setup!$B$13="",0,IF(L393="",0,IF(ISNUMBER(L393),L393,1)))</f>
        <v/>
      </c>
      <c r="AN393">
        <f>IF(Setup!$B$14="",0,IF(M393="",0,IF(ISNUMBER(M393),M393,1)))</f>
        <v/>
      </c>
      <c r="AO393">
        <f>IF(Setup!$B$15="",0,IF(N393="",0,IF(ISNUMBER(N393),N393,1)))</f>
        <v/>
      </c>
      <c r="AP393">
        <f>IF(Setup!$B$16="",0,IF(O393="",0,IF(ISNUMBER(O393),O393,1)))</f>
        <v/>
      </c>
      <c r="AQ393">
        <f>IF(Setup!$B$17="",0,IF(P393="",0,IF(ISNUMBER(P393),P393,1)))</f>
        <v/>
      </c>
      <c r="AR393">
        <f>IF(Setup!$B$18="",0,IF(Q393="",0,IF(ISNUMBER(Q393),Q393,1)))</f>
        <v/>
      </c>
      <c r="AS393">
        <f>IF(Setup!$B$19="",0,IF(R393="",0,IF(ISNUMBER(R393),R393,1)))</f>
        <v/>
      </c>
      <c r="AT393">
        <f>IF(Setup!$B$20="",0,IF(S393="",0,IF(ISNUMBER(S393),S393,1)))</f>
        <v/>
      </c>
    </row>
    <row r="394">
      <c r="A394" s="1" t="n"/>
      <c r="B394" s="24" t="n"/>
      <c r="C394" s="25" t="n"/>
      <c r="D394" s="25" t="n"/>
      <c r="E394" s="26" t="n"/>
      <c r="F394" s="27" t="n"/>
      <c r="G394" s="17" t="n"/>
      <c r="H394" s="28" t="n"/>
      <c r="I394" s="28" t="n"/>
      <c r="J394" s="28" t="n"/>
      <c r="K394" s="28" t="n"/>
      <c r="L394" s="28" t="n"/>
      <c r="M394" s="28" t="n"/>
      <c r="N394" s="28" t="n"/>
      <c r="O394" s="28" t="n"/>
      <c r="P394" s="28" t="n"/>
      <c r="Q394" s="28" t="n"/>
      <c r="R394" s="28" t="n"/>
      <c r="S394" s="28" t="n"/>
      <c r="T394" s="29">
        <f>IF(N(E394)=0,"",E394*IF(F394="",1,IFERROR(INDEX(Setup!$E$9:$E$18,MATCH(F394,Setup!$D$9:$D$18,0)),0)))</f>
        <v/>
      </c>
      <c r="U394" s="30">
        <f>IF(T394="","",IF(V394=0,"Everyone",IF(COUNTIF(AI394:AT394,"&gt;0")=COUNTIF(Setup!$B$9:$B$20,"?*"),"Everyone",COUNTIF(AI394:AT394,"&gt;0")&amp;IF(COUNTIF(AI394:AT394,"&gt;0")=1," person"," people"))))</f>
        <v/>
      </c>
      <c r="V394" s="1">
        <f>SUM(AI394:AT394)</f>
        <v/>
      </c>
      <c r="W394">
        <f>IF(OR(T394="",Setup!$B$9=""),0,IF(V394=0,T394/COUNTIF(Setup!$B$9:$B$20,"?*"),T394*AI394/V394))</f>
        <v/>
      </c>
      <c r="X394">
        <f>IF(OR(T394="",Setup!$B$10=""),0,IF(V394=0,T394/COUNTIF(Setup!$B$9:$B$20,"?*"),T394*AJ394/V394))</f>
        <v/>
      </c>
      <c r="Y394">
        <f>IF(OR(T394="",Setup!$B$11=""),0,IF(V394=0,T394/COUNTIF(Setup!$B$9:$B$20,"?*"),T394*AK394/V394))</f>
        <v/>
      </c>
      <c r="Z394">
        <f>IF(OR(T394="",Setup!$B$12=""),0,IF(V394=0,T394/COUNTIF(Setup!$B$9:$B$20,"?*"),T394*AL394/V394))</f>
        <v/>
      </c>
      <c r="AA394">
        <f>IF(OR(T394="",Setup!$B$13=""),0,IF(V394=0,T394/COUNTIF(Setup!$B$9:$B$20,"?*"),T394*AM394/V394))</f>
        <v/>
      </c>
      <c r="AB394">
        <f>IF(OR(T394="",Setup!$B$14=""),0,IF(V394=0,T394/COUNTIF(Setup!$B$9:$B$20,"?*"),T394*AN394/V394))</f>
        <v/>
      </c>
      <c r="AC394">
        <f>IF(OR(T394="",Setup!$B$15=""),0,IF(V394=0,T394/COUNTIF(Setup!$B$9:$B$20,"?*"),T394*AO394/V394))</f>
        <v/>
      </c>
      <c r="AD394">
        <f>IF(OR(T394="",Setup!$B$16=""),0,IF(V394=0,T394/COUNTIF(Setup!$B$9:$B$20,"?*"),T394*AP394/V394))</f>
        <v/>
      </c>
      <c r="AE394">
        <f>IF(OR(T394="",Setup!$B$17=""),0,IF(V394=0,T394/COUNTIF(Setup!$B$9:$B$20,"?*"),T394*AQ394/V394))</f>
        <v/>
      </c>
      <c r="AF394">
        <f>IF(OR(T394="",Setup!$B$18=""),0,IF(V394=0,T394/COUNTIF(Setup!$B$9:$B$20,"?*"),T394*AR394/V394))</f>
        <v/>
      </c>
      <c r="AG394">
        <f>IF(OR(T394="",Setup!$B$19=""),0,IF(V394=0,T394/COUNTIF(Setup!$B$9:$B$20,"?*"),T394*AS394/V394))</f>
        <v/>
      </c>
      <c r="AH394">
        <f>IF(OR(T394="",Setup!$B$20=""),0,IF(V394=0,T394/COUNTIF(Setup!$B$9:$B$20,"?*"),T394*AT394/V394))</f>
        <v/>
      </c>
      <c r="AI394">
        <f>IF(Setup!$B$9="",0,IF(H394="",0,IF(ISNUMBER(H394),H394,1)))</f>
        <v/>
      </c>
      <c r="AJ394">
        <f>IF(Setup!$B$10="",0,IF(I394="",0,IF(ISNUMBER(I394),I394,1)))</f>
        <v/>
      </c>
      <c r="AK394">
        <f>IF(Setup!$B$11="",0,IF(J394="",0,IF(ISNUMBER(J394),J394,1)))</f>
        <v/>
      </c>
      <c r="AL394">
        <f>IF(Setup!$B$12="",0,IF(K394="",0,IF(ISNUMBER(K394),K394,1)))</f>
        <v/>
      </c>
      <c r="AM394">
        <f>IF(Setup!$B$13="",0,IF(L394="",0,IF(ISNUMBER(L394),L394,1)))</f>
        <v/>
      </c>
      <c r="AN394">
        <f>IF(Setup!$B$14="",0,IF(M394="",0,IF(ISNUMBER(M394),M394,1)))</f>
        <v/>
      </c>
      <c r="AO394">
        <f>IF(Setup!$B$15="",0,IF(N394="",0,IF(ISNUMBER(N394),N394,1)))</f>
        <v/>
      </c>
      <c r="AP394">
        <f>IF(Setup!$B$16="",0,IF(O394="",0,IF(ISNUMBER(O394),O394,1)))</f>
        <v/>
      </c>
      <c r="AQ394">
        <f>IF(Setup!$B$17="",0,IF(P394="",0,IF(ISNUMBER(P394),P394,1)))</f>
        <v/>
      </c>
      <c r="AR394">
        <f>IF(Setup!$B$18="",0,IF(Q394="",0,IF(ISNUMBER(Q394),Q394,1)))</f>
        <v/>
      </c>
      <c r="AS394">
        <f>IF(Setup!$B$19="",0,IF(R394="",0,IF(ISNUMBER(R394),R394,1)))</f>
        <v/>
      </c>
      <c r="AT394">
        <f>IF(Setup!$B$20="",0,IF(S394="",0,IF(ISNUMBER(S394),S394,1)))</f>
        <v/>
      </c>
    </row>
    <row r="395">
      <c r="A395" s="1" t="n"/>
      <c r="B395" s="24" t="n"/>
      <c r="C395" s="25" t="n"/>
      <c r="D395" s="25" t="n"/>
      <c r="E395" s="26" t="n"/>
      <c r="F395" s="27" t="n"/>
      <c r="G395" s="17" t="n"/>
      <c r="H395" s="28" t="n"/>
      <c r="I395" s="28" t="n"/>
      <c r="J395" s="28" t="n"/>
      <c r="K395" s="28" t="n"/>
      <c r="L395" s="28" t="n"/>
      <c r="M395" s="28" t="n"/>
      <c r="N395" s="28" t="n"/>
      <c r="O395" s="28" t="n"/>
      <c r="P395" s="28" t="n"/>
      <c r="Q395" s="28" t="n"/>
      <c r="R395" s="28" t="n"/>
      <c r="S395" s="28" t="n"/>
      <c r="T395" s="29">
        <f>IF(N(E395)=0,"",E395*IF(F395="",1,IFERROR(INDEX(Setup!$E$9:$E$18,MATCH(F395,Setup!$D$9:$D$18,0)),0)))</f>
        <v/>
      </c>
      <c r="U395" s="30">
        <f>IF(T395="","",IF(V395=0,"Everyone",IF(COUNTIF(AI395:AT395,"&gt;0")=COUNTIF(Setup!$B$9:$B$20,"?*"),"Everyone",COUNTIF(AI395:AT395,"&gt;0")&amp;IF(COUNTIF(AI395:AT395,"&gt;0")=1," person"," people"))))</f>
        <v/>
      </c>
      <c r="V395" s="1">
        <f>SUM(AI395:AT395)</f>
        <v/>
      </c>
      <c r="W395">
        <f>IF(OR(T395="",Setup!$B$9=""),0,IF(V395=0,T395/COUNTIF(Setup!$B$9:$B$20,"?*"),T395*AI395/V395))</f>
        <v/>
      </c>
      <c r="X395">
        <f>IF(OR(T395="",Setup!$B$10=""),0,IF(V395=0,T395/COUNTIF(Setup!$B$9:$B$20,"?*"),T395*AJ395/V395))</f>
        <v/>
      </c>
      <c r="Y395">
        <f>IF(OR(T395="",Setup!$B$11=""),0,IF(V395=0,T395/COUNTIF(Setup!$B$9:$B$20,"?*"),T395*AK395/V395))</f>
        <v/>
      </c>
      <c r="Z395">
        <f>IF(OR(T395="",Setup!$B$12=""),0,IF(V395=0,T395/COUNTIF(Setup!$B$9:$B$20,"?*"),T395*AL395/V395))</f>
        <v/>
      </c>
      <c r="AA395">
        <f>IF(OR(T395="",Setup!$B$13=""),0,IF(V395=0,T395/COUNTIF(Setup!$B$9:$B$20,"?*"),T395*AM395/V395))</f>
        <v/>
      </c>
      <c r="AB395">
        <f>IF(OR(T395="",Setup!$B$14=""),0,IF(V395=0,T395/COUNTIF(Setup!$B$9:$B$20,"?*"),T395*AN395/V395))</f>
        <v/>
      </c>
      <c r="AC395">
        <f>IF(OR(T395="",Setup!$B$15=""),0,IF(V395=0,T395/COUNTIF(Setup!$B$9:$B$20,"?*"),T395*AO395/V395))</f>
        <v/>
      </c>
      <c r="AD395">
        <f>IF(OR(T395="",Setup!$B$16=""),0,IF(V395=0,T395/COUNTIF(Setup!$B$9:$B$20,"?*"),T395*AP395/V395))</f>
        <v/>
      </c>
      <c r="AE395">
        <f>IF(OR(T395="",Setup!$B$17=""),0,IF(V395=0,T395/COUNTIF(Setup!$B$9:$B$20,"?*"),T395*AQ395/V395))</f>
        <v/>
      </c>
      <c r="AF395">
        <f>IF(OR(T395="",Setup!$B$18=""),0,IF(V395=0,T395/COUNTIF(Setup!$B$9:$B$20,"?*"),T395*AR395/V395))</f>
        <v/>
      </c>
      <c r="AG395">
        <f>IF(OR(T395="",Setup!$B$19=""),0,IF(V395=0,T395/COUNTIF(Setup!$B$9:$B$20,"?*"),T395*AS395/V395))</f>
        <v/>
      </c>
      <c r="AH395">
        <f>IF(OR(T395="",Setup!$B$20=""),0,IF(V395=0,T395/COUNTIF(Setup!$B$9:$B$20,"?*"),T395*AT395/V395))</f>
        <v/>
      </c>
      <c r="AI395">
        <f>IF(Setup!$B$9="",0,IF(H395="",0,IF(ISNUMBER(H395),H395,1)))</f>
        <v/>
      </c>
      <c r="AJ395">
        <f>IF(Setup!$B$10="",0,IF(I395="",0,IF(ISNUMBER(I395),I395,1)))</f>
        <v/>
      </c>
      <c r="AK395">
        <f>IF(Setup!$B$11="",0,IF(J395="",0,IF(ISNUMBER(J395),J395,1)))</f>
        <v/>
      </c>
      <c r="AL395">
        <f>IF(Setup!$B$12="",0,IF(K395="",0,IF(ISNUMBER(K395),K395,1)))</f>
        <v/>
      </c>
      <c r="AM395">
        <f>IF(Setup!$B$13="",0,IF(L395="",0,IF(ISNUMBER(L395),L395,1)))</f>
        <v/>
      </c>
      <c r="AN395">
        <f>IF(Setup!$B$14="",0,IF(M395="",0,IF(ISNUMBER(M395),M395,1)))</f>
        <v/>
      </c>
      <c r="AO395">
        <f>IF(Setup!$B$15="",0,IF(N395="",0,IF(ISNUMBER(N395),N395,1)))</f>
        <v/>
      </c>
      <c r="AP395">
        <f>IF(Setup!$B$16="",0,IF(O395="",0,IF(ISNUMBER(O395),O395,1)))</f>
        <v/>
      </c>
      <c r="AQ395">
        <f>IF(Setup!$B$17="",0,IF(P395="",0,IF(ISNUMBER(P395),P395,1)))</f>
        <v/>
      </c>
      <c r="AR395">
        <f>IF(Setup!$B$18="",0,IF(Q395="",0,IF(ISNUMBER(Q395),Q395,1)))</f>
        <v/>
      </c>
      <c r="AS395">
        <f>IF(Setup!$B$19="",0,IF(R395="",0,IF(ISNUMBER(R395),R395,1)))</f>
        <v/>
      </c>
      <c r="AT395">
        <f>IF(Setup!$B$20="",0,IF(S395="",0,IF(ISNUMBER(S395),S395,1)))</f>
        <v/>
      </c>
    </row>
    <row r="396">
      <c r="A396" s="1" t="n"/>
      <c r="B396" s="24" t="n"/>
      <c r="C396" s="25" t="n"/>
      <c r="D396" s="25" t="n"/>
      <c r="E396" s="26" t="n"/>
      <c r="F396" s="27" t="n"/>
      <c r="G396" s="17" t="n"/>
      <c r="H396" s="28" t="n"/>
      <c r="I396" s="28" t="n"/>
      <c r="J396" s="28" t="n"/>
      <c r="K396" s="28" t="n"/>
      <c r="L396" s="28" t="n"/>
      <c r="M396" s="28" t="n"/>
      <c r="N396" s="28" t="n"/>
      <c r="O396" s="28" t="n"/>
      <c r="P396" s="28" t="n"/>
      <c r="Q396" s="28" t="n"/>
      <c r="R396" s="28" t="n"/>
      <c r="S396" s="28" t="n"/>
      <c r="T396" s="29">
        <f>IF(N(E396)=0,"",E396*IF(F396="",1,IFERROR(INDEX(Setup!$E$9:$E$18,MATCH(F396,Setup!$D$9:$D$18,0)),0)))</f>
        <v/>
      </c>
      <c r="U396" s="30">
        <f>IF(T396="","",IF(V396=0,"Everyone",IF(COUNTIF(AI396:AT396,"&gt;0")=COUNTIF(Setup!$B$9:$B$20,"?*"),"Everyone",COUNTIF(AI396:AT396,"&gt;0")&amp;IF(COUNTIF(AI396:AT396,"&gt;0")=1," person"," people"))))</f>
        <v/>
      </c>
      <c r="V396" s="1">
        <f>SUM(AI396:AT396)</f>
        <v/>
      </c>
      <c r="W396">
        <f>IF(OR(T396="",Setup!$B$9=""),0,IF(V396=0,T396/COUNTIF(Setup!$B$9:$B$20,"?*"),T396*AI396/V396))</f>
        <v/>
      </c>
      <c r="X396">
        <f>IF(OR(T396="",Setup!$B$10=""),0,IF(V396=0,T396/COUNTIF(Setup!$B$9:$B$20,"?*"),T396*AJ396/V396))</f>
        <v/>
      </c>
      <c r="Y396">
        <f>IF(OR(T396="",Setup!$B$11=""),0,IF(V396=0,T396/COUNTIF(Setup!$B$9:$B$20,"?*"),T396*AK396/V396))</f>
        <v/>
      </c>
      <c r="Z396">
        <f>IF(OR(T396="",Setup!$B$12=""),0,IF(V396=0,T396/COUNTIF(Setup!$B$9:$B$20,"?*"),T396*AL396/V396))</f>
        <v/>
      </c>
      <c r="AA396">
        <f>IF(OR(T396="",Setup!$B$13=""),0,IF(V396=0,T396/COUNTIF(Setup!$B$9:$B$20,"?*"),T396*AM396/V396))</f>
        <v/>
      </c>
      <c r="AB396">
        <f>IF(OR(T396="",Setup!$B$14=""),0,IF(V396=0,T396/COUNTIF(Setup!$B$9:$B$20,"?*"),T396*AN396/V396))</f>
        <v/>
      </c>
      <c r="AC396">
        <f>IF(OR(T396="",Setup!$B$15=""),0,IF(V396=0,T396/COUNTIF(Setup!$B$9:$B$20,"?*"),T396*AO396/V396))</f>
        <v/>
      </c>
      <c r="AD396">
        <f>IF(OR(T396="",Setup!$B$16=""),0,IF(V396=0,T396/COUNTIF(Setup!$B$9:$B$20,"?*"),T396*AP396/V396))</f>
        <v/>
      </c>
      <c r="AE396">
        <f>IF(OR(T396="",Setup!$B$17=""),0,IF(V396=0,T396/COUNTIF(Setup!$B$9:$B$20,"?*"),T396*AQ396/V396))</f>
        <v/>
      </c>
      <c r="AF396">
        <f>IF(OR(T396="",Setup!$B$18=""),0,IF(V396=0,T396/COUNTIF(Setup!$B$9:$B$20,"?*"),T396*AR396/V396))</f>
        <v/>
      </c>
      <c r="AG396">
        <f>IF(OR(T396="",Setup!$B$19=""),0,IF(V396=0,T396/COUNTIF(Setup!$B$9:$B$20,"?*"),T396*AS396/V396))</f>
        <v/>
      </c>
      <c r="AH396">
        <f>IF(OR(T396="",Setup!$B$20=""),0,IF(V396=0,T396/COUNTIF(Setup!$B$9:$B$20,"?*"),T396*AT396/V396))</f>
        <v/>
      </c>
      <c r="AI396">
        <f>IF(Setup!$B$9="",0,IF(H396="",0,IF(ISNUMBER(H396),H396,1)))</f>
        <v/>
      </c>
      <c r="AJ396">
        <f>IF(Setup!$B$10="",0,IF(I396="",0,IF(ISNUMBER(I396),I396,1)))</f>
        <v/>
      </c>
      <c r="AK396">
        <f>IF(Setup!$B$11="",0,IF(J396="",0,IF(ISNUMBER(J396),J396,1)))</f>
        <v/>
      </c>
      <c r="AL396">
        <f>IF(Setup!$B$12="",0,IF(K396="",0,IF(ISNUMBER(K396),K396,1)))</f>
        <v/>
      </c>
      <c r="AM396">
        <f>IF(Setup!$B$13="",0,IF(L396="",0,IF(ISNUMBER(L396),L396,1)))</f>
        <v/>
      </c>
      <c r="AN396">
        <f>IF(Setup!$B$14="",0,IF(M396="",0,IF(ISNUMBER(M396),M396,1)))</f>
        <v/>
      </c>
      <c r="AO396">
        <f>IF(Setup!$B$15="",0,IF(N396="",0,IF(ISNUMBER(N396),N396,1)))</f>
        <v/>
      </c>
      <c r="AP396">
        <f>IF(Setup!$B$16="",0,IF(O396="",0,IF(ISNUMBER(O396),O396,1)))</f>
        <v/>
      </c>
      <c r="AQ396">
        <f>IF(Setup!$B$17="",0,IF(P396="",0,IF(ISNUMBER(P396),P396,1)))</f>
        <v/>
      </c>
      <c r="AR396">
        <f>IF(Setup!$B$18="",0,IF(Q396="",0,IF(ISNUMBER(Q396),Q396,1)))</f>
        <v/>
      </c>
      <c r="AS396">
        <f>IF(Setup!$B$19="",0,IF(R396="",0,IF(ISNUMBER(R396),R396,1)))</f>
        <v/>
      </c>
      <c r="AT396">
        <f>IF(Setup!$B$20="",0,IF(S396="",0,IF(ISNUMBER(S396),S396,1)))</f>
        <v/>
      </c>
    </row>
    <row r="397">
      <c r="A397" s="1" t="n"/>
      <c r="B397" s="24" t="n"/>
      <c r="C397" s="25" t="n"/>
      <c r="D397" s="25" t="n"/>
      <c r="E397" s="26" t="n"/>
      <c r="F397" s="27" t="n"/>
      <c r="G397" s="17" t="n"/>
      <c r="H397" s="28" t="n"/>
      <c r="I397" s="28" t="n"/>
      <c r="J397" s="28" t="n"/>
      <c r="K397" s="28" t="n"/>
      <c r="L397" s="28" t="n"/>
      <c r="M397" s="28" t="n"/>
      <c r="N397" s="28" t="n"/>
      <c r="O397" s="28" t="n"/>
      <c r="P397" s="28" t="n"/>
      <c r="Q397" s="28" t="n"/>
      <c r="R397" s="28" t="n"/>
      <c r="S397" s="28" t="n"/>
      <c r="T397" s="29">
        <f>IF(N(E397)=0,"",E397*IF(F397="",1,IFERROR(INDEX(Setup!$E$9:$E$18,MATCH(F397,Setup!$D$9:$D$18,0)),0)))</f>
        <v/>
      </c>
      <c r="U397" s="30">
        <f>IF(T397="","",IF(V397=0,"Everyone",IF(COUNTIF(AI397:AT397,"&gt;0")=COUNTIF(Setup!$B$9:$B$20,"?*"),"Everyone",COUNTIF(AI397:AT397,"&gt;0")&amp;IF(COUNTIF(AI397:AT397,"&gt;0")=1," person"," people"))))</f>
        <v/>
      </c>
      <c r="V397" s="1">
        <f>SUM(AI397:AT397)</f>
        <v/>
      </c>
      <c r="W397">
        <f>IF(OR(T397="",Setup!$B$9=""),0,IF(V397=0,T397/COUNTIF(Setup!$B$9:$B$20,"?*"),T397*AI397/V397))</f>
        <v/>
      </c>
      <c r="X397">
        <f>IF(OR(T397="",Setup!$B$10=""),0,IF(V397=0,T397/COUNTIF(Setup!$B$9:$B$20,"?*"),T397*AJ397/V397))</f>
        <v/>
      </c>
      <c r="Y397">
        <f>IF(OR(T397="",Setup!$B$11=""),0,IF(V397=0,T397/COUNTIF(Setup!$B$9:$B$20,"?*"),T397*AK397/V397))</f>
        <v/>
      </c>
      <c r="Z397">
        <f>IF(OR(T397="",Setup!$B$12=""),0,IF(V397=0,T397/COUNTIF(Setup!$B$9:$B$20,"?*"),T397*AL397/V397))</f>
        <v/>
      </c>
      <c r="AA397">
        <f>IF(OR(T397="",Setup!$B$13=""),0,IF(V397=0,T397/COUNTIF(Setup!$B$9:$B$20,"?*"),T397*AM397/V397))</f>
        <v/>
      </c>
      <c r="AB397">
        <f>IF(OR(T397="",Setup!$B$14=""),0,IF(V397=0,T397/COUNTIF(Setup!$B$9:$B$20,"?*"),T397*AN397/V397))</f>
        <v/>
      </c>
      <c r="AC397">
        <f>IF(OR(T397="",Setup!$B$15=""),0,IF(V397=0,T397/COUNTIF(Setup!$B$9:$B$20,"?*"),T397*AO397/V397))</f>
        <v/>
      </c>
      <c r="AD397">
        <f>IF(OR(T397="",Setup!$B$16=""),0,IF(V397=0,T397/COUNTIF(Setup!$B$9:$B$20,"?*"),T397*AP397/V397))</f>
        <v/>
      </c>
      <c r="AE397">
        <f>IF(OR(T397="",Setup!$B$17=""),0,IF(V397=0,T397/COUNTIF(Setup!$B$9:$B$20,"?*"),T397*AQ397/V397))</f>
        <v/>
      </c>
      <c r="AF397">
        <f>IF(OR(T397="",Setup!$B$18=""),0,IF(V397=0,T397/COUNTIF(Setup!$B$9:$B$20,"?*"),T397*AR397/V397))</f>
        <v/>
      </c>
      <c r="AG397">
        <f>IF(OR(T397="",Setup!$B$19=""),0,IF(V397=0,T397/COUNTIF(Setup!$B$9:$B$20,"?*"),T397*AS397/V397))</f>
        <v/>
      </c>
      <c r="AH397">
        <f>IF(OR(T397="",Setup!$B$20=""),0,IF(V397=0,T397/COUNTIF(Setup!$B$9:$B$20,"?*"),T397*AT397/V397))</f>
        <v/>
      </c>
      <c r="AI397">
        <f>IF(Setup!$B$9="",0,IF(H397="",0,IF(ISNUMBER(H397),H397,1)))</f>
        <v/>
      </c>
      <c r="AJ397">
        <f>IF(Setup!$B$10="",0,IF(I397="",0,IF(ISNUMBER(I397),I397,1)))</f>
        <v/>
      </c>
      <c r="AK397">
        <f>IF(Setup!$B$11="",0,IF(J397="",0,IF(ISNUMBER(J397),J397,1)))</f>
        <v/>
      </c>
      <c r="AL397">
        <f>IF(Setup!$B$12="",0,IF(K397="",0,IF(ISNUMBER(K397),K397,1)))</f>
        <v/>
      </c>
      <c r="AM397">
        <f>IF(Setup!$B$13="",0,IF(L397="",0,IF(ISNUMBER(L397),L397,1)))</f>
        <v/>
      </c>
      <c r="AN397">
        <f>IF(Setup!$B$14="",0,IF(M397="",0,IF(ISNUMBER(M397),M397,1)))</f>
        <v/>
      </c>
      <c r="AO397">
        <f>IF(Setup!$B$15="",0,IF(N397="",0,IF(ISNUMBER(N397),N397,1)))</f>
        <v/>
      </c>
      <c r="AP397">
        <f>IF(Setup!$B$16="",0,IF(O397="",0,IF(ISNUMBER(O397),O397,1)))</f>
        <v/>
      </c>
      <c r="AQ397">
        <f>IF(Setup!$B$17="",0,IF(P397="",0,IF(ISNUMBER(P397),P397,1)))</f>
        <v/>
      </c>
      <c r="AR397">
        <f>IF(Setup!$B$18="",0,IF(Q397="",0,IF(ISNUMBER(Q397),Q397,1)))</f>
        <v/>
      </c>
      <c r="AS397">
        <f>IF(Setup!$B$19="",0,IF(R397="",0,IF(ISNUMBER(R397),R397,1)))</f>
        <v/>
      </c>
      <c r="AT397">
        <f>IF(Setup!$B$20="",0,IF(S397="",0,IF(ISNUMBER(S397),S397,1)))</f>
        <v/>
      </c>
    </row>
    <row r="398">
      <c r="A398" s="1" t="n"/>
      <c r="B398" s="24" t="n"/>
      <c r="C398" s="25" t="n"/>
      <c r="D398" s="25" t="n"/>
      <c r="E398" s="26" t="n"/>
      <c r="F398" s="27" t="n"/>
      <c r="G398" s="17" t="n"/>
      <c r="H398" s="28" t="n"/>
      <c r="I398" s="28" t="n"/>
      <c r="J398" s="28" t="n"/>
      <c r="K398" s="28" t="n"/>
      <c r="L398" s="28" t="n"/>
      <c r="M398" s="28" t="n"/>
      <c r="N398" s="28" t="n"/>
      <c r="O398" s="28" t="n"/>
      <c r="P398" s="28" t="n"/>
      <c r="Q398" s="28" t="n"/>
      <c r="R398" s="28" t="n"/>
      <c r="S398" s="28" t="n"/>
      <c r="T398" s="29">
        <f>IF(N(E398)=0,"",E398*IF(F398="",1,IFERROR(INDEX(Setup!$E$9:$E$18,MATCH(F398,Setup!$D$9:$D$18,0)),0)))</f>
        <v/>
      </c>
      <c r="U398" s="30">
        <f>IF(T398="","",IF(V398=0,"Everyone",IF(COUNTIF(AI398:AT398,"&gt;0")=COUNTIF(Setup!$B$9:$B$20,"?*"),"Everyone",COUNTIF(AI398:AT398,"&gt;0")&amp;IF(COUNTIF(AI398:AT398,"&gt;0")=1," person"," people"))))</f>
        <v/>
      </c>
      <c r="V398" s="1">
        <f>SUM(AI398:AT398)</f>
        <v/>
      </c>
      <c r="W398">
        <f>IF(OR(T398="",Setup!$B$9=""),0,IF(V398=0,T398/COUNTIF(Setup!$B$9:$B$20,"?*"),T398*AI398/V398))</f>
        <v/>
      </c>
      <c r="X398">
        <f>IF(OR(T398="",Setup!$B$10=""),0,IF(V398=0,T398/COUNTIF(Setup!$B$9:$B$20,"?*"),T398*AJ398/V398))</f>
        <v/>
      </c>
      <c r="Y398">
        <f>IF(OR(T398="",Setup!$B$11=""),0,IF(V398=0,T398/COUNTIF(Setup!$B$9:$B$20,"?*"),T398*AK398/V398))</f>
        <v/>
      </c>
      <c r="Z398">
        <f>IF(OR(T398="",Setup!$B$12=""),0,IF(V398=0,T398/COUNTIF(Setup!$B$9:$B$20,"?*"),T398*AL398/V398))</f>
        <v/>
      </c>
      <c r="AA398">
        <f>IF(OR(T398="",Setup!$B$13=""),0,IF(V398=0,T398/COUNTIF(Setup!$B$9:$B$20,"?*"),T398*AM398/V398))</f>
        <v/>
      </c>
      <c r="AB398">
        <f>IF(OR(T398="",Setup!$B$14=""),0,IF(V398=0,T398/COUNTIF(Setup!$B$9:$B$20,"?*"),T398*AN398/V398))</f>
        <v/>
      </c>
      <c r="AC398">
        <f>IF(OR(T398="",Setup!$B$15=""),0,IF(V398=0,T398/COUNTIF(Setup!$B$9:$B$20,"?*"),T398*AO398/V398))</f>
        <v/>
      </c>
      <c r="AD398">
        <f>IF(OR(T398="",Setup!$B$16=""),0,IF(V398=0,T398/COUNTIF(Setup!$B$9:$B$20,"?*"),T398*AP398/V398))</f>
        <v/>
      </c>
      <c r="AE398">
        <f>IF(OR(T398="",Setup!$B$17=""),0,IF(V398=0,T398/COUNTIF(Setup!$B$9:$B$20,"?*"),T398*AQ398/V398))</f>
        <v/>
      </c>
      <c r="AF398">
        <f>IF(OR(T398="",Setup!$B$18=""),0,IF(V398=0,T398/COUNTIF(Setup!$B$9:$B$20,"?*"),T398*AR398/V398))</f>
        <v/>
      </c>
      <c r="AG398">
        <f>IF(OR(T398="",Setup!$B$19=""),0,IF(V398=0,T398/COUNTIF(Setup!$B$9:$B$20,"?*"),T398*AS398/V398))</f>
        <v/>
      </c>
      <c r="AH398">
        <f>IF(OR(T398="",Setup!$B$20=""),0,IF(V398=0,T398/COUNTIF(Setup!$B$9:$B$20,"?*"),T398*AT398/V398))</f>
        <v/>
      </c>
      <c r="AI398">
        <f>IF(Setup!$B$9="",0,IF(H398="",0,IF(ISNUMBER(H398),H398,1)))</f>
        <v/>
      </c>
      <c r="AJ398">
        <f>IF(Setup!$B$10="",0,IF(I398="",0,IF(ISNUMBER(I398),I398,1)))</f>
        <v/>
      </c>
      <c r="AK398">
        <f>IF(Setup!$B$11="",0,IF(J398="",0,IF(ISNUMBER(J398),J398,1)))</f>
        <v/>
      </c>
      <c r="AL398">
        <f>IF(Setup!$B$12="",0,IF(K398="",0,IF(ISNUMBER(K398),K398,1)))</f>
        <v/>
      </c>
      <c r="AM398">
        <f>IF(Setup!$B$13="",0,IF(L398="",0,IF(ISNUMBER(L398),L398,1)))</f>
        <v/>
      </c>
      <c r="AN398">
        <f>IF(Setup!$B$14="",0,IF(M398="",0,IF(ISNUMBER(M398),M398,1)))</f>
        <v/>
      </c>
      <c r="AO398">
        <f>IF(Setup!$B$15="",0,IF(N398="",0,IF(ISNUMBER(N398),N398,1)))</f>
        <v/>
      </c>
      <c r="AP398">
        <f>IF(Setup!$B$16="",0,IF(O398="",0,IF(ISNUMBER(O398),O398,1)))</f>
        <v/>
      </c>
      <c r="AQ398">
        <f>IF(Setup!$B$17="",0,IF(P398="",0,IF(ISNUMBER(P398),P398,1)))</f>
        <v/>
      </c>
      <c r="AR398">
        <f>IF(Setup!$B$18="",0,IF(Q398="",0,IF(ISNUMBER(Q398),Q398,1)))</f>
        <v/>
      </c>
      <c r="AS398">
        <f>IF(Setup!$B$19="",0,IF(R398="",0,IF(ISNUMBER(R398),R398,1)))</f>
        <v/>
      </c>
      <c r="AT398">
        <f>IF(Setup!$B$20="",0,IF(S398="",0,IF(ISNUMBER(S398),S398,1)))</f>
        <v/>
      </c>
    </row>
    <row r="399">
      <c r="A399" s="1" t="n"/>
      <c r="B399" s="24" t="n"/>
      <c r="C399" s="25" t="n"/>
      <c r="D399" s="25" t="n"/>
      <c r="E399" s="26" t="n"/>
      <c r="F399" s="27" t="n"/>
      <c r="G399" s="17" t="n"/>
      <c r="H399" s="28" t="n"/>
      <c r="I399" s="28" t="n"/>
      <c r="J399" s="28" t="n"/>
      <c r="K399" s="28" t="n"/>
      <c r="L399" s="28" t="n"/>
      <c r="M399" s="28" t="n"/>
      <c r="N399" s="28" t="n"/>
      <c r="O399" s="28" t="n"/>
      <c r="P399" s="28" t="n"/>
      <c r="Q399" s="28" t="n"/>
      <c r="R399" s="28" t="n"/>
      <c r="S399" s="28" t="n"/>
      <c r="T399" s="29">
        <f>IF(N(E399)=0,"",E399*IF(F399="",1,IFERROR(INDEX(Setup!$E$9:$E$18,MATCH(F399,Setup!$D$9:$D$18,0)),0)))</f>
        <v/>
      </c>
      <c r="U399" s="30">
        <f>IF(T399="","",IF(V399=0,"Everyone",IF(COUNTIF(AI399:AT399,"&gt;0")=COUNTIF(Setup!$B$9:$B$20,"?*"),"Everyone",COUNTIF(AI399:AT399,"&gt;0")&amp;IF(COUNTIF(AI399:AT399,"&gt;0")=1," person"," people"))))</f>
        <v/>
      </c>
      <c r="V399" s="1">
        <f>SUM(AI399:AT399)</f>
        <v/>
      </c>
      <c r="W399">
        <f>IF(OR(T399="",Setup!$B$9=""),0,IF(V399=0,T399/COUNTIF(Setup!$B$9:$B$20,"?*"),T399*AI399/V399))</f>
        <v/>
      </c>
      <c r="X399">
        <f>IF(OR(T399="",Setup!$B$10=""),0,IF(V399=0,T399/COUNTIF(Setup!$B$9:$B$20,"?*"),T399*AJ399/V399))</f>
        <v/>
      </c>
      <c r="Y399">
        <f>IF(OR(T399="",Setup!$B$11=""),0,IF(V399=0,T399/COUNTIF(Setup!$B$9:$B$20,"?*"),T399*AK399/V399))</f>
        <v/>
      </c>
      <c r="Z399">
        <f>IF(OR(T399="",Setup!$B$12=""),0,IF(V399=0,T399/COUNTIF(Setup!$B$9:$B$20,"?*"),T399*AL399/V399))</f>
        <v/>
      </c>
      <c r="AA399">
        <f>IF(OR(T399="",Setup!$B$13=""),0,IF(V399=0,T399/COUNTIF(Setup!$B$9:$B$20,"?*"),T399*AM399/V399))</f>
        <v/>
      </c>
      <c r="AB399">
        <f>IF(OR(T399="",Setup!$B$14=""),0,IF(V399=0,T399/COUNTIF(Setup!$B$9:$B$20,"?*"),T399*AN399/V399))</f>
        <v/>
      </c>
      <c r="AC399">
        <f>IF(OR(T399="",Setup!$B$15=""),0,IF(V399=0,T399/COUNTIF(Setup!$B$9:$B$20,"?*"),T399*AO399/V399))</f>
        <v/>
      </c>
      <c r="AD399">
        <f>IF(OR(T399="",Setup!$B$16=""),0,IF(V399=0,T399/COUNTIF(Setup!$B$9:$B$20,"?*"),T399*AP399/V399))</f>
        <v/>
      </c>
      <c r="AE399">
        <f>IF(OR(T399="",Setup!$B$17=""),0,IF(V399=0,T399/COUNTIF(Setup!$B$9:$B$20,"?*"),T399*AQ399/V399))</f>
        <v/>
      </c>
      <c r="AF399">
        <f>IF(OR(T399="",Setup!$B$18=""),0,IF(V399=0,T399/COUNTIF(Setup!$B$9:$B$20,"?*"),T399*AR399/V399))</f>
        <v/>
      </c>
      <c r="AG399">
        <f>IF(OR(T399="",Setup!$B$19=""),0,IF(V399=0,T399/COUNTIF(Setup!$B$9:$B$20,"?*"),T399*AS399/V399))</f>
        <v/>
      </c>
      <c r="AH399">
        <f>IF(OR(T399="",Setup!$B$20=""),0,IF(V399=0,T399/COUNTIF(Setup!$B$9:$B$20,"?*"),T399*AT399/V399))</f>
        <v/>
      </c>
      <c r="AI399">
        <f>IF(Setup!$B$9="",0,IF(H399="",0,IF(ISNUMBER(H399),H399,1)))</f>
        <v/>
      </c>
      <c r="AJ399">
        <f>IF(Setup!$B$10="",0,IF(I399="",0,IF(ISNUMBER(I399),I399,1)))</f>
        <v/>
      </c>
      <c r="AK399">
        <f>IF(Setup!$B$11="",0,IF(J399="",0,IF(ISNUMBER(J399),J399,1)))</f>
        <v/>
      </c>
      <c r="AL399">
        <f>IF(Setup!$B$12="",0,IF(K399="",0,IF(ISNUMBER(K399),K399,1)))</f>
        <v/>
      </c>
      <c r="AM399">
        <f>IF(Setup!$B$13="",0,IF(L399="",0,IF(ISNUMBER(L399),L399,1)))</f>
        <v/>
      </c>
      <c r="AN399">
        <f>IF(Setup!$B$14="",0,IF(M399="",0,IF(ISNUMBER(M399),M399,1)))</f>
        <v/>
      </c>
      <c r="AO399">
        <f>IF(Setup!$B$15="",0,IF(N399="",0,IF(ISNUMBER(N399),N399,1)))</f>
        <v/>
      </c>
      <c r="AP399">
        <f>IF(Setup!$B$16="",0,IF(O399="",0,IF(ISNUMBER(O399),O399,1)))</f>
        <v/>
      </c>
      <c r="AQ399">
        <f>IF(Setup!$B$17="",0,IF(P399="",0,IF(ISNUMBER(P399),P399,1)))</f>
        <v/>
      </c>
      <c r="AR399">
        <f>IF(Setup!$B$18="",0,IF(Q399="",0,IF(ISNUMBER(Q399),Q399,1)))</f>
        <v/>
      </c>
      <c r="AS399">
        <f>IF(Setup!$B$19="",0,IF(R399="",0,IF(ISNUMBER(R399),R399,1)))</f>
        <v/>
      </c>
      <c r="AT399">
        <f>IF(Setup!$B$20="",0,IF(S399="",0,IF(ISNUMBER(S399),S399,1)))</f>
        <v/>
      </c>
    </row>
    <row r="400">
      <c r="A400" s="1" t="n"/>
      <c r="B400" s="24" t="n"/>
      <c r="C400" s="25" t="n"/>
      <c r="D400" s="25" t="n"/>
      <c r="E400" s="26" t="n"/>
      <c r="F400" s="27" t="n"/>
      <c r="G400" s="17" t="n"/>
      <c r="H400" s="28" t="n"/>
      <c r="I400" s="28" t="n"/>
      <c r="J400" s="28" t="n"/>
      <c r="K400" s="28" t="n"/>
      <c r="L400" s="28" t="n"/>
      <c r="M400" s="28" t="n"/>
      <c r="N400" s="28" t="n"/>
      <c r="O400" s="28" t="n"/>
      <c r="P400" s="28" t="n"/>
      <c r="Q400" s="28" t="n"/>
      <c r="R400" s="28" t="n"/>
      <c r="S400" s="28" t="n"/>
      <c r="T400" s="29">
        <f>IF(N(E400)=0,"",E400*IF(F400="",1,IFERROR(INDEX(Setup!$E$9:$E$18,MATCH(F400,Setup!$D$9:$D$18,0)),0)))</f>
        <v/>
      </c>
      <c r="U400" s="30">
        <f>IF(T400="","",IF(V400=0,"Everyone",IF(COUNTIF(AI400:AT400,"&gt;0")=COUNTIF(Setup!$B$9:$B$20,"?*"),"Everyone",COUNTIF(AI400:AT400,"&gt;0")&amp;IF(COUNTIF(AI400:AT400,"&gt;0")=1," person"," people"))))</f>
        <v/>
      </c>
      <c r="V400" s="1">
        <f>SUM(AI400:AT400)</f>
        <v/>
      </c>
      <c r="W400">
        <f>IF(OR(T400="",Setup!$B$9=""),0,IF(V400=0,T400/COUNTIF(Setup!$B$9:$B$20,"?*"),T400*AI400/V400))</f>
        <v/>
      </c>
      <c r="X400">
        <f>IF(OR(T400="",Setup!$B$10=""),0,IF(V400=0,T400/COUNTIF(Setup!$B$9:$B$20,"?*"),T400*AJ400/V400))</f>
        <v/>
      </c>
      <c r="Y400">
        <f>IF(OR(T400="",Setup!$B$11=""),0,IF(V400=0,T400/COUNTIF(Setup!$B$9:$B$20,"?*"),T400*AK400/V400))</f>
        <v/>
      </c>
      <c r="Z400">
        <f>IF(OR(T400="",Setup!$B$12=""),0,IF(V400=0,T400/COUNTIF(Setup!$B$9:$B$20,"?*"),T400*AL400/V400))</f>
        <v/>
      </c>
      <c r="AA400">
        <f>IF(OR(T400="",Setup!$B$13=""),0,IF(V400=0,T400/COUNTIF(Setup!$B$9:$B$20,"?*"),T400*AM400/V400))</f>
        <v/>
      </c>
      <c r="AB400">
        <f>IF(OR(T400="",Setup!$B$14=""),0,IF(V400=0,T400/COUNTIF(Setup!$B$9:$B$20,"?*"),T400*AN400/V400))</f>
        <v/>
      </c>
      <c r="AC400">
        <f>IF(OR(T400="",Setup!$B$15=""),0,IF(V400=0,T400/COUNTIF(Setup!$B$9:$B$20,"?*"),T400*AO400/V400))</f>
        <v/>
      </c>
      <c r="AD400">
        <f>IF(OR(T400="",Setup!$B$16=""),0,IF(V400=0,T400/COUNTIF(Setup!$B$9:$B$20,"?*"),T400*AP400/V400))</f>
        <v/>
      </c>
      <c r="AE400">
        <f>IF(OR(T400="",Setup!$B$17=""),0,IF(V400=0,T400/COUNTIF(Setup!$B$9:$B$20,"?*"),T400*AQ400/V400))</f>
        <v/>
      </c>
      <c r="AF400">
        <f>IF(OR(T400="",Setup!$B$18=""),0,IF(V400=0,T400/COUNTIF(Setup!$B$9:$B$20,"?*"),T400*AR400/V400))</f>
        <v/>
      </c>
      <c r="AG400">
        <f>IF(OR(T400="",Setup!$B$19=""),0,IF(V400=0,T400/COUNTIF(Setup!$B$9:$B$20,"?*"),T400*AS400/V400))</f>
        <v/>
      </c>
      <c r="AH400">
        <f>IF(OR(T400="",Setup!$B$20=""),0,IF(V400=0,T400/COUNTIF(Setup!$B$9:$B$20,"?*"),T400*AT400/V400))</f>
        <v/>
      </c>
      <c r="AI400">
        <f>IF(Setup!$B$9="",0,IF(H400="",0,IF(ISNUMBER(H400),H400,1)))</f>
        <v/>
      </c>
      <c r="AJ400">
        <f>IF(Setup!$B$10="",0,IF(I400="",0,IF(ISNUMBER(I400),I400,1)))</f>
        <v/>
      </c>
      <c r="AK400">
        <f>IF(Setup!$B$11="",0,IF(J400="",0,IF(ISNUMBER(J400),J400,1)))</f>
        <v/>
      </c>
      <c r="AL400">
        <f>IF(Setup!$B$12="",0,IF(K400="",0,IF(ISNUMBER(K400),K400,1)))</f>
        <v/>
      </c>
      <c r="AM400">
        <f>IF(Setup!$B$13="",0,IF(L400="",0,IF(ISNUMBER(L400),L400,1)))</f>
        <v/>
      </c>
      <c r="AN400">
        <f>IF(Setup!$B$14="",0,IF(M400="",0,IF(ISNUMBER(M400),M400,1)))</f>
        <v/>
      </c>
      <c r="AO400">
        <f>IF(Setup!$B$15="",0,IF(N400="",0,IF(ISNUMBER(N400),N400,1)))</f>
        <v/>
      </c>
      <c r="AP400">
        <f>IF(Setup!$B$16="",0,IF(O400="",0,IF(ISNUMBER(O400),O400,1)))</f>
        <v/>
      </c>
      <c r="AQ400">
        <f>IF(Setup!$B$17="",0,IF(P400="",0,IF(ISNUMBER(P400),P400,1)))</f>
        <v/>
      </c>
      <c r="AR400">
        <f>IF(Setup!$B$18="",0,IF(Q400="",0,IF(ISNUMBER(Q400),Q400,1)))</f>
        <v/>
      </c>
      <c r="AS400">
        <f>IF(Setup!$B$19="",0,IF(R400="",0,IF(ISNUMBER(R400),R400,1)))</f>
        <v/>
      </c>
      <c r="AT400">
        <f>IF(Setup!$B$20="",0,IF(S400="",0,IF(ISNUMBER(S400),S400,1)))</f>
        <v/>
      </c>
    </row>
    <row r="401">
      <c r="A401" s="1" t="n"/>
      <c r="B401" s="24" t="n"/>
      <c r="C401" s="25" t="n"/>
      <c r="D401" s="25" t="n"/>
      <c r="E401" s="26" t="n"/>
      <c r="F401" s="27" t="n"/>
      <c r="G401" s="17" t="n"/>
      <c r="H401" s="28" t="n"/>
      <c r="I401" s="28" t="n"/>
      <c r="J401" s="28" t="n"/>
      <c r="K401" s="28" t="n"/>
      <c r="L401" s="28" t="n"/>
      <c r="M401" s="28" t="n"/>
      <c r="N401" s="28" t="n"/>
      <c r="O401" s="28" t="n"/>
      <c r="P401" s="28" t="n"/>
      <c r="Q401" s="28" t="n"/>
      <c r="R401" s="28" t="n"/>
      <c r="S401" s="28" t="n"/>
      <c r="T401" s="29">
        <f>IF(N(E401)=0,"",E401*IF(F401="",1,IFERROR(INDEX(Setup!$E$9:$E$18,MATCH(F401,Setup!$D$9:$D$18,0)),0)))</f>
        <v/>
      </c>
      <c r="U401" s="30">
        <f>IF(T401="","",IF(V401=0,"Everyone",IF(COUNTIF(AI401:AT401,"&gt;0")=COUNTIF(Setup!$B$9:$B$20,"?*"),"Everyone",COUNTIF(AI401:AT401,"&gt;0")&amp;IF(COUNTIF(AI401:AT401,"&gt;0")=1," person"," people"))))</f>
        <v/>
      </c>
      <c r="V401" s="1">
        <f>SUM(AI401:AT401)</f>
        <v/>
      </c>
      <c r="W401">
        <f>IF(OR(T401="",Setup!$B$9=""),0,IF(V401=0,T401/COUNTIF(Setup!$B$9:$B$20,"?*"),T401*AI401/V401))</f>
        <v/>
      </c>
      <c r="X401">
        <f>IF(OR(T401="",Setup!$B$10=""),0,IF(V401=0,T401/COUNTIF(Setup!$B$9:$B$20,"?*"),T401*AJ401/V401))</f>
        <v/>
      </c>
      <c r="Y401">
        <f>IF(OR(T401="",Setup!$B$11=""),0,IF(V401=0,T401/COUNTIF(Setup!$B$9:$B$20,"?*"),T401*AK401/V401))</f>
        <v/>
      </c>
      <c r="Z401">
        <f>IF(OR(T401="",Setup!$B$12=""),0,IF(V401=0,T401/COUNTIF(Setup!$B$9:$B$20,"?*"),T401*AL401/V401))</f>
        <v/>
      </c>
      <c r="AA401">
        <f>IF(OR(T401="",Setup!$B$13=""),0,IF(V401=0,T401/COUNTIF(Setup!$B$9:$B$20,"?*"),T401*AM401/V401))</f>
        <v/>
      </c>
      <c r="AB401">
        <f>IF(OR(T401="",Setup!$B$14=""),0,IF(V401=0,T401/COUNTIF(Setup!$B$9:$B$20,"?*"),T401*AN401/V401))</f>
        <v/>
      </c>
      <c r="AC401">
        <f>IF(OR(T401="",Setup!$B$15=""),0,IF(V401=0,T401/COUNTIF(Setup!$B$9:$B$20,"?*"),T401*AO401/V401))</f>
        <v/>
      </c>
      <c r="AD401">
        <f>IF(OR(T401="",Setup!$B$16=""),0,IF(V401=0,T401/COUNTIF(Setup!$B$9:$B$20,"?*"),T401*AP401/V401))</f>
        <v/>
      </c>
      <c r="AE401">
        <f>IF(OR(T401="",Setup!$B$17=""),0,IF(V401=0,T401/COUNTIF(Setup!$B$9:$B$20,"?*"),T401*AQ401/V401))</f>
        <v/>
      </c>
      <c r="AF401">
        <f>IF(OR(T401="",Setup!$B$18=""),0,IF(V401=0,T401/COUNTIF(Setup!$B$9:$B$20,"?*"),T401*AR401/V401))</f>
        <v/>
      </c>
      <c r="AG401">
        <f>IF(OR(T401="",Setup!$B$19=""),0,IF(V401=0,T401/COUNTIF(Setup!$B$9:$B$20,"?*"),T401*AS401/V401))</f>
        <v/>
      </c>
      <c r="AH401">
        <f>IF(OR(T401="",Setup!$B$20=""),0,IF(V401=0,T401/COUNTIF(Setup!$B$9:$B$20,"?*"),T401*AT401/V401))</f>
        <v/>
      </c>
      <c r="AI401">
        <f>IF(Setup!$B$9="",0,IF(H401="",0,IF(ISNUMBER(H401),H401,1)))</f>
        <v/>
      </c>
      <c r="AJ401">
        <f>IF(Setup!$B$10="",0,IF(I401="",0,IF(ISNUMBER(I401),I401,1)))</f>
        <v/>
      </c>
      <c r="AK401">
        <f>IF(Setup!$B$11="",0,IF(J401="",0,IF(ISNUMBER(J401),J401,1)))</f>
        <v/>
      </c>
      <c r="AL401">
        <f>IF(Setup!$B$12="",0,IF(K401="",0,IF(ISNUMBER(K401),K401,1)))</f>
        <v/>
      </c>
      <c r="AM401">
        <f>IF(Setup!$B$13="",0,IF(L401="",0,IF(ISNUMBER(L401),L401,1)))</f>
        <v/>
      </c>
      <c r="AN401">
        <f>IF(Setup!$B$14="",0,IF(M401="",0,IF(ISNUMBER(M401),M401,1)))</f>
        <v/>
      </c>
      <c r="AO401">
        <f>IF(Setup!$B$15="",0,IF(N401="",0,IF(ISNUMBER(N401),N401,1)))</f>
        <v/>
      </c>
      <c r="AP401">
        <f>IF(Setup!$B$16="",0,IF(O401="",0,IF(ISNUMBER(O401),O401,1)))</f>
        <v/>
      </c>
      <c r="AQ401">
        <f>IF(Setup!$B$17="",0,IF(P401="",0,IF(ISNUMBER(P401),P401,1)))</f>
        <v/>
      </c>
      <c r="AR401">
        <f>IF(Setup!$B$18="",0,IF(Q401="",0,IF(ISNUMBER(Q401),Q401,1)))</f>
        <v/>
      </c>
      <c r="AS401">
        <f>IF(Setup!$B$19="",0,IF(R401="",0,IF(ISNUMBER(R401),R401,1)))</f>
        <v/>
      </c>
      <c r="AT401">
        <f>IF(Setup!$B$20="",0,IF(S401="",0,IF(ISNUMBER(S401),S401,1)))</f>
        <v/>
      </c>
    </row>
    <row r="402">
      <c r="A402" s="1" t="n"/>
      <c r="B402" s="24" t="n"/>
      <c r="C402" s="25" t="n"/>
      <c r="D402" s="25" t="n"/>
      <c r="E402" s="26" t="n"/>
      <c r="F402" s="27" t="n"/>
      <c r="G402" s="17" t="n"/>
      <c r="H402" s="28" t="n"/>
      <c r="I402" s="28" t="n"/>
      <c r="J402" s="28" t="n"/>
      <c r="K402" s="28" t="n"/>
      <c r="L402" s="28" t="n"/>
      <c r="M402" s="28" t="n"/>
      <c r="N402" s="28" t="n"/>
      <c r="O402" s="28" t="n"/>
      <c r="P402" s="28" t="n"/>
      <c r="Q402" s="28" t="n"/>
      <c r="R402" s="28" t="n"/>
      <c r="S402" s="28" t="n"/>
      <c r="T402" s="29">
        <f>IF(N(E402)=0,"",E402*IF(F402="",1,IFERROR(INDEX(Setup!$E$9:$E$18,MATCH(F402,Setup!$D$9:$D$18,0)),0)))</f>
        <v/>
      </c>
      <c r="U402" s="30">
        <f>IF(T402="","",IF(V402=0,"Everyone",IF(COUNTIF(AI402:AT402,"&gt;0")=COUNTIF(Setup!$B$9:$B$20,"?*"),"Everyone",COUNTIF(AI402:AT402,"&gt;0")&amp;IF(COUNTIF(AI402:AT402,"&gt;0")=1," person"," people"))))</f>
        <v/>
      </c>
      <c r="V402" s="1">
        <f>SUM(AI402:AT402)</f>
        <v/>
      </c>
      <c r="W402">
        <f>IF(OR(T402="",Setup!$B$9=""),0,IF(V402=0,T402/COUNTIF(Setup!$B$9:$B$20,"?*"),T402*AI402/V402))</f>
        <v/>
      </c>
      <c r="X402">
        <f>IF(OR(T402="",Setup!$B$10=""),0,IF(V402=0,T402/COUNTIF(Setup!$B$9:$B$20,"?*"),T402*AJ402/V402))</f>
        <v/>
      </c>
      <c r="Y402">
        <f>IF(OR(T402="",Setup!$B$11=""),0,IF(V402=0,T402/COUNTIF(Setup!$B$9:$B$20,"?*"),T402*AK402/V402))</f>
        <v/>
      </c>
      <c r="Z402">
        <f>IF(OR(T402="",Setup!$B$12=""),0,IF(V402=0,T402/COUNTIF(Setup!$B$9:$B$20,"?*"),T402*AL402/V402))</f>
        <v/>
      </c>
      <c r="AA402">
        <f>IF(OR(T402="",Setup!$B$13=""),0,IF(V402=0,T402/COUNTIF(Setup!$B$9:$B$20,"?*"),T402*AM402/V402))</f>
        <v/>
      </c>
      <c r="AB402">
        <f>IF(OR(T402="",Setup!$B$14=""),0,IF(V402=0,T402/COUNTIF(Setup!$B$9:$B$20,"?*"),T402*AN402/V402))</f>
        <v/>
      </c>
      <c r="AC402">
        <f>IF(OR(T402="",Setup!$B$15=""),0,IF(V402=0,T402/COUNTIF(Setup!$B$9:$B$20,"?*"),T402*AO402/V402))</f>
        <v/>
      </c>
      <c r="AD402">
        <f>IF(OR(T402="",Setup!$B$16=""),0,IF(V402=0,T402/COUNTIF(Setup!$B$9:$B$20,"?*"),T402*AP402/V402))</f>
        <v/>
      </c>
      <c r="AE402">
        <f>IF(OR(T402="",Setup!$B$17=""),0,IF(V402=0,T402/COUNTIF(Setup!$B$9:$B$20,"?*"),T402*AQ402/V402))</f>
        <v/>
      </c>
      <c r="AF402">
        <f>IF(OR(T402="",Setup!$B$18=""),0,IF(V402=0,T402/COUNTIF(Setup!$B$9:$B$20,"?*"),T402*AR402/V402))</f>
        <v/>
      </c>
      <c r="AG402">
        <f>IF(OR(T402="",Setup!$B$19=""),0,IF(V402=0,T402/COUNTIF(Setup!$B$9:$B$20,"?*"),T402*AS402/V402))</f>
        <v/>
      </c>
      <c r="AH402">
        <f>IF(OR(T402="",Setup!$B$20=""),0,IF(V402=0,T402/COUNTIF(Setup!$B$9:$B$20,"?*"),T402*AT402/V402))</f>
        <v/>
      </c>
      <c r="AI402">
        <f>IF(Setup!$B$9="",0,IF(H402="",0,IF(ISNUMBER(H402),H402,1)))</f>
        <v/>
      </c>
      <c r="AJ402">
        <f>IF(Setup!$B$10="",0,IF(I402="",0,IF(ISNUMBER(I402),I402,1)))</f>
        <v/>
      </c>
      <c r="AK402">
        <f>IF(Setup!$B$11="",0,IF(J402="",0,IF(ISNUMBER(J402),J402,1)))</f>
        <v/>
      </c>
      <c r="AL402">
        <f>IF(Setup!$B$12="",0,IF(K402="",0,IF(ISNUMBER(K402),K402,1)))</f>
        <v/>
      </c>
      <c r="AM402">
        <f>IF(Setup!$B$13="",0,IF(L402="",0,IF(ISNUMBER(L402),L402,1)))</f>
        <v/>
      </c>
      <c r="AN402">
        <f>IF(Setup!$B$14="",0,IF(M402="",0,IF(ISNUMBER(M402),M402,1)))</f>
        <v/>
      </c>
      <c r="AO402">
        <f>IF(Setup!$B$15="",0,IF(N402="",0,IF(ISNUMBER(N402),N402,1)))</f>
        <v/>
      </c>
      <c r="AP402">
        <f>IF(Setup!$B$16="",0,IF(O402="",0,IF(ISNUMBER(O402),O402,1)))</f>
        <v/>
      </c>
      <c r="AQ402">
        <f>IF(Setup!$B$17="",0,IF(P402="",0,IF(ISNUMBER(P402),P402,1)))</f>
        <v/>
      </c>
      <c r="AR402">
        <f>IF(Setup!$B$18="",0,IF(Q402="",0,IF(ISNUMBER(Q402),Q402,1)))</f>
        <v/>
      </c>
      <c r="AS402">
        <f>IF(Setup!$B$19="",0,IF(R402="",0,IF(ISNUMBER(R402),R402,1)))</f>
        <v/>
      </c>
      <c r="AT402">
        <f>IF(Setup!$B$20="",0,IF(S402="",0,IF(ISNUMBER(S402),S402,1)))</f>
        <v/>
      </c>
    </row>
    <row r="403">
      <c r="A403" s="1" t="n"/>
      <c r="B403" s="24" t="n"/>
      <c r="C403" s="25" t="n"/>
      <c r="D403" s="25" t="n"/>
      <c r="E403" s="26" t="n"/>
      <c r="F403" s="27" t="n"/>
      <c r="G403" s="17" t="n"/>
      <c r="H403" s="28" t="n"/>
      <c r="I403" s="28" t="n"/>
      <c r="J403" s="28" t="n"/>
      <c r="K403" s="28" t="n"/>
      <c r="L403" s="28" t="n"/>
      <c r="M403" s="28" t="n"/>
      <c r="N403" s="28" t="n"/>
      <c r="O403" s="28" t="n"/>
      <c r="P403" s="28" t="n"/>
      <c r="Q403" s="28" t="n"/>
      <c r="R403" s="28" t="n"/>
      <c r="S403" s="28" t="n"/>
      <c r="T403" s="29">
        <f>IF(N(E403)=0,"",E403*IF(F403="",1,IFERROR(INDEX(Setup!$E$9:$E$18,MATCH(F403,Setup!$D$9:$D$18,0)),0)))</f>
        <v/>
      </c>
      <c r="U403" s="30">
        <f>IF(T403="","",IF(V403=0,"Everyone",IF(COUNTIF(AI403:AT403,"&gt;0")=COUNTIF(Setup!$B$9:$B$20,"?*"),"Everyone",COUNTIF(AI403:AT403,"&gt;0")&amp;IF(COUNTIF(AI403:AT403,"&gt;0")=1," person"," people"))))</f>
        <v/>
      </c>
      <c r="V403" s="1">
        <f>SUM(AI403:AT403)</f>
        <v/>
      </c>
      <c r="W403">
        <f>IF(OR(T403="",Setup!$B$9=""),0,IF(V403=0,T403/COUNTIF(Setup!$B$9:$B$20,"?*"),T403*AI403/V403))</f>
        <v/>
      </c>
      <c r="X403">
        <f>IF(OR(T403="",Setup!$B$10=""),0,IF(V403=0,T403/COUNTIF(Setup!$B$9:$B$20,"?*"),T403*AJ403/V403))</f>
        <v/>
      </c>
      <c r="Y403">
        <f>IF(OR(T403="",Setup!$B$11=""),0,IF(V403=0,T403/COUNTIF(Setup!$B$9:$B$20,"?*"),T403*AK403/V403))</f>
        <v/>
      </c>
      <c r="Z403">
        <f>IF(OR(T403="",Setup!$B$12=""),0,IF(V403=0,T403/COUNTIF(Setup!$B$9:$B$20,"?*"),T403*AL403/V403))</f>
        <v/>
      </c>
      <c r="AA403">
        <f>IF(OR(T403="",Setup!$B$13=""),0,IF(V403=0,T403/COUNTIF(Setup!$B$9:$B$20,"?*"),T403*AM403/V403))</f>
        <v/>
      </c>
      <c r="AB403">
        <f>IF(OR(T403="",Setup!$B$14=""),0,IF(V403=0,T403/COUNTIF(Setup!$B$9:$B$20,"?*"),T403*AN403/V403))</f>
        <v/>
      </c>
      <c r="AC403">
        <f>IF(OR(T403="",Setup!$B$15=""),0,IF(V403=0,T403/COUNTIF(Setup!$B$9:$B$20,"?*"),T403*AO403/V403))</f>
        <v/>
      </c>
      <c r="AD403">
        <f>IF(OR(T403="",Setup!$B$16=""),0,IF(V403=0,T403/COUNTIF(Setup!$B$9:$B$20,"?*"),T403*AP403/V403))</f>
        <v/>
      </c>
      <c r="AE403">
        <f>IF(OR(T403="",Setup!$B$17=""),0,IF(V403=0,T403/COUNTIF(Setup!$B$9:$B$20,"?*"),T403*AQ403/V403))</f>
        <v/>
      </c>
      <c r="AF403">
        <f>IF(OR(T403="",Setup!$B$18=""),0,IF(V403=0,T403/COUNTIF(Setup!$B$9:$B$20,"?*"),T403*AR403/V403))</f>
        <v/>
      </c>
      <c r="AG403">
        <f>IF(OR(T403="",Setup!$B$19=""),0,IF(V403=0,T403/COUNTIF(Setup!$B$9:$B$20,"?*"),T403*AS403/V403))</f>
        <v/>
      </c>
      <c r="AH403">
        <f>IF(OR(T403="",Setup!$B$20=""),0,IF(V403=0,T403/COUNTIF(Setup!$B$9:$B$20,"?*"),T403*AT403/V403))</f>
        <v/>
      </c>
      <c r="AI403">
        <f>IF(Setup!$B$9="",0,IF(H403="",0,IF(ISNUMBER(H403),H403,1)))</f>
        <v/>
      </c>
      <c r="AJ403">
        <f>IF(Setup!$B$10="",0,IF(I403="",0,IF(ISNUMBER(I403),I403,1)))</f>
        <v/>
      </c>
      <c r="AK403">
        <f>IF(Setup!$B$11="",0,IF(J403="",0,IF(ISNUMBER(J403),J403,1)))</f>
        <v/>
      </c>
      <c r="AL403">
        <f>IF(Setup!$B$12="",0,IF(K403="",0,IF(ISNUMBER(K403),K403,1)))</f>
        <v/>
      </c>
      <c r="AM403">
        <f>IF(Setup!$B$13="",0,IF(L403="",0,IF(ISNUMBER(L403),L403,1)))</f>
        <v/>
      </c>
      <c r="AN403">
        <f>IF(Setup!$B$14="",0,IF(M403="",0,IF(ISNUMBER(M403),M403,1)))</f>
        <v/>
      </c>
      <c r="AO403">
        <f>IF(Setup!$B$15="",0,IF(N403="",0,IF(ISNUMBER(N403),N403,1)))</f>
        <v/>
      </c>
      <c r="AP403">
        <f>IF(Setup!$B$16="",0,IF(O403="",0,IF(ISNUMBER(O403),O403,1)))</f>
        <v/>
      </c>
      <c r="AQ403">
        <f>IF(Setup!$B$17="",0,IF(P403="",0,IF(ISNUMBER(P403),P403,1)))</f>
        <v/>
      </c>
      <c r="AR403">
        <f>IF(Setup!$B$18="",0,IF(Q403="",0,IF(ISNUMBER(Q403),Q403,1)))</f>
        <v/>
      </c>
      <c r="AS403">
        <f>IF(Setup!$B$19="",0,IF(R403="",0,IF(ISNUMBER(R403),R403,1)))</f>
        <v/>
      </c>
      <c r="AT403">
        <f>IF(Setup!$B$20="",0,IF(S403="",0,IF(ISNUMBER(S403),S403,1)))</f>
        <v/>
      </c>
    </row>
    <row r="404">
      <c r="A404" s="1" t="n"/>
      <c r="B404" s="24" t="n"/>
      <c r="C404" s="25" t="n"/>
      <c r="D404" s="25" t="n"/>
      <c r="E404" s="26" t="n"/>
      <c r="F404" s="27" t="n"/>
      <c r="G404" s="17" t="n"/>
      <c r="H404" s="28" t="n"/>
      <c r="I404" s="28" t="n"/>
      <c r="J404" s="28" t="n"/>
      <c r="K404" s="28" t="n"/>
      <c r="L404" s="28" t="n"/>
      <c r="M404" s="28" t="n"/>
      <c r="N404" s="28" t="n"/>
      <c r="O404" s="28" t="n"/>
      <c r="P404" s="28" t="n"/>
      <c r="Q404" s="28" t="n"/>
      <c r="R404" s="28" t="n"/>
      <c r="S404" s="28" t="n"/>
      <c r="T404" s="29">
        <f>IF(N(E404)=0,"",E404*IF(F404="",1,IFERROR(INDEX(Setup!$E$9:$E$18,MATCH(F404,Setup!$D$9:$D$18,0)),0)))</f>
        <v/>
      </c>
      <c r="U404" s="30">
        <f>IF(T404="","",IF(V404=0,"Everyone",IF(COUNTIF(AI404:AT404,"&gt;0")=COUNTIF(Setup!$B$9:$B$20,"?*"),"Everyone",COUNTIF(AI404:AT404,"&gt;0")&amp;IF(COUNTIF(AI404:AT404,"&gt;0")=1," person"," people"))))</f>
        <v/>
      </c>
      <c r="V404" s="1">
        <f>SUM(AI404:AT404)</f>
        <v/>
      </c>
      <c r="W404">
        <f>IF(OR(T404="",Setup!$B$9=""),0,IF(V404=0,T404/COUNTIF(Setup!$B$9:$B$20,"?*"),T404*AI404/V404))</f>
        <v/>
      </c>
      <c r="X404">
        <f>IF(OR(T404="",Setup!$B$10=""),0,IF(V404=0,T404/COUNTIF(Setup!$B$9:$B$20,"?*"),T404*AJ404/V404))</f>
        <v/>
      </c>
      <c r="Y404">
        <f>IF(OR(T404="",Setup!$B$11=""),0,IF(V404=0,T404/COUNTIF(Setup!$B$9:$B$20,"?*"),T404*AK404/V404))</f>
        <v/>
      </c>
      <c r="Z404">
        <f>IF(OR(T404="",Setup!$B$12=""),0,IF(V404=0,T404/COUNTIF(Setup!$B$9:$B$20,"?*"),T404*AL404/V404))</f>
        <v/>
      </c>
      <c r="AA404">
        <f>IF(OR(T404="",Setup!$B$13=""),0,IF(V404=0,T404/COUNTIF(Setup!$B$9:$B$20,"?*"),T404*AM404/V404))</f>
        <v/>
      </c>
      <c r="AB404">
        <f>IF(OR(T404="",Setup!$B$14=""),0,IF(V404=0,T404/COUNTIF(Setup!$B$9:$B$20,"?*"),T404*AN404/V404))</f>
        <v/>
      </c>
      <c r="AC404">
        <f>IF(OR(T404="",Setup!$B$15=""),0,IF(V404=0,T404/COUNTIF(Setup!$B$9:$B$20,"?*"),T404*AO404/V404))</f>
        <v/>
      </c>
      <c r="AD404">
        <f>IF(OR(T404="",Setup!$B$16=""),0,IF(V404=0,T404/COUNTIF(Setup!$B$9:$B$20,"?*"),T404*AP404/V404))</f>
        <v/>
      </c>
      <c r="AE404">
        <f>IF(OR(T404="",Setup!$B$17=""),0,IF(V404=0,T404/COUNTIF(Setup!$B$9:$B$20,"?*"),T404*AQ404/V404))</f>
        <v/>
      </c>
      <c r="AF404">
        <f>IF(OR(T404="",Setup!$B$18=""),0,IF(V404=0,T404/COUNTIF(Setup!$B$9:$B$20,"?*"),T404*AR404/V404))</f>
        <v/>
      </c>
      <c r="AG404">
        <f>IF(OR(T404="",Setup!$B$19=""),0,IF(V404=0,T404/COUNTIF(Setup!$B$9:$B$20,"?*"),T404*AS404/V404))</f>
        <v/>
      </c>
      <c r="AH404">
        <f>IF(OR(T404="",Setup!$B$20=""),0,IF(V404=0,T404/COUNTIF(Setup!$B$9:$B$20,"?*"),T404*AT404/V404))</f>
        <v/>
      </c>
      <c r="AI404">
        <f>IF(Setup!$B$9="",0,IF(H404="",0,IF(ISNUMBER(H404),H404,1)))</f>
        <v/>
      </c>
      <c r="AJ404">
        <f>IF(Setup!$B$10="",0,IF(I404="",0,IF(ISNUMBER(I404),I404,1)))</f>
        <v/>
      </c>
      <c r="AK404">
        <f>IF(Setup!$B$11="",0,IF(J404="",0,IF(ISNUMBER(J404),J404,1)))</f>
        <v/>
      </c>
      <c r="AL404">
        <f>IF(Setup!$B$12="",0,IF(K404="",0,IF(ISNUMBER(K404),K404,1)))</f>
        <v/>
      </c>
      <c r="AM404">
        <f>IF(Setup!$B$13="",0,IF(L404="",0,IF(ISNUMBER(L404),L404,1)))</f>
        <v/>
      </c>
      <c r="AN404">
        <f>IF(Setup!$B$14="",0,IF(M404="",0,IF(ISNUMBER(M404),M404,1)))</f>
        <v/>
      </c>
      <c r="AO404">
        <f>IF(Setup!$B$15="",0,IF(N404="",0,IF(ISNUMBER(N404),N404,1)))</f>
        <v/>
      </c>
      <c r="AP404">
        <f>IF(Setup!$B$16="",0,IF(O404="",0,IF(ISNUMBER(O404),O404,1)))</f>
        <v/>
      </c>
      <c r="AQ404">
        <f>IF(Setup!$B$17="",0,IF(P404="",0,IF(ISNUMBER(P404),P404,1)))</f>
        <v/>
      </c>
      <c r="AR404">
        <f>IF(Setup!$B$18="",0,IF(Q404="",0,IF(ISNUMBER(Q404),Q404,1)))</f>
        <v/>
      </c>
      <c r="AS404">
        <f>IF(Setup!$B$19="",0,IF(R404="",0,IF(ISNUMBER(R404),R404,1)))</f>
        <v/>
      </c>
      <c r="AT404">
        <f>IF(Setup!$B$20="",0,IF(S404="",0,IF(ISNUMBER(S404),S404,1)))</f>
        <v/>
      </c>
    </row>
    <row r="405">
      <c r="A405" s="1" t="n"/>
      <c r="B405" s="24" t="n"/>
      <c r="C405" s="25" t="n"/>
      <c r="D405" s="25" t="n"/>
      <c r="E405" s="26" t="n"/>
      <c r="F405" s="27" t="n"/>
      <c r="G405" s="17" t="n"/>
      <c r="H405" s="28" t="n"/>
      <c r="I405" s="28" t="n"/>
      <c r="J405" s="28" t="n"/>
      <c r="K405" s="28" t="n"/>
      <c r="L405" s="28" t="n"/>
      <c r="M405" s="28" t="n"/>
      <c r="N405" s="28" t="n"/>
      <c r="O405" s="28" t="n"/>
      <c r="P405" s="28" t="n"/>
      <c r="Q405" s="28" t="n"/>
      <c r="R405" s="28" t="n"/>
      <c r="S405" s="28" t="n"/>
      <c r="T405" s="29">
        <f>IF(N(E405)=0,"",E405*IF(F405="",1,IFERROR(INDEX(Setup!$E$9:$E$18,MATCH(F405,Setup!$D$9:$D$18,0)),0)))</f>
        <v/>
      </c>
      <c r="U405" s="30">
        <f>IF(T405="","",IF(V405=0,"Everyone",IF(COUNTIF(AI405:AT405,"&gt;0")=COUNTIF(Setup!$B$9:$B$20,"?*"),"Everyone",COUNTIF(AI405:AT405,"&gt;0")&amp;IF(COUNTIF(AI405:AT405,"&gt;0")=1," person"," people"))))</f>
        <v/>
      </c>
      <c r="V405" s="1">
        <f>SUM(AI405:AT405)</f>
        <v/>
      </c>
      <c r="W405">
        <f>IF(OR(T405="",Setup!$B$9=""),0,IF(V405=0,T405/COUNTIF(Setup!$B$9:$B$20,"?*"),T405*AI405/V405))</f>
        <v/>
      </c>
      <c r="X405">
        <f>IF(OR(T405="",Setup!$B$10=""),0,IF(V405=0,T405/COUNTIF(Setup!$B$9:$B$20,"?*"),T405*AJ405/V405))</f>
        <v/>
      </c>
      <c r="Y405">
        <f>IF(OR(T405="",Setup!$B$11=""),0,IF(V405=0,T405/COUNTIF(Setup!$B$9:$B$20,"?*"),T405*AK405/V405))</f>
        <v/>
      </c>
      <c r="Z405">
        <f>IF(OR(T405="",Setup!$B$12=""),0,IF(V405=0,T405/COUNTIF(Setup!$B$9:$B$20,"?*"),T405*AL405/V405))</f>
        <v/>
      </c>
      <c r="AA405">
        <f>IF(OR(T405="",Setup!$B$13=""),0,IF(V405=0,T405/COUNTIF(Setup!$B$9:$B$20,"?*"),T405*AM405/V405))</f>
        <v/>
      </c>
      <c r="AB405">
        <f>IF(OR(T405="",Setup!$B$14=""),0,IF(V405=0,T405/COUNTIF(Setup!$B$9:$B$20,"?*"),T405*AN405/V405))</f>
        <v/>
      </c>
      <c r="AC405">
        <f>IF(OR(T405="",Setup!$B$15=""),0,IF(V405=0,T405/COUNTIF(Setup!$B$9:$B$20,"?*"),T405*AO405/V405))</f>
        <v/>
      </c>
      <c r="AD405">
        <f>IF(OR(T405="",Setup!$B$16=""),0,IF(V405=0,T405/COUNTIF(Setup!$B$9:$B$20,"?*"),T405*AP405/V405))</f>
        <v/>
      </c>
      <c r="AE405">
        <f>IF(OR(T405="",Setup!$B$17=""),0,IF(V405=0,T405/COUNTIF(Setup!$B$9:$B$20,"?*"),T405*AQ405/V405))</f>
        <v/>
      </c>
      <c r="AF405">
        <f>IF(OR(T405="",Setup!$B$18=""),0,IF(V405=0,T405/COUNTIF(Setup!$B$9:$B$20,"?*"),T405*AR405/V405))</f>
        <v/>
      </c>
      <c r="AG405">
        <f>IF(OR(T405="",Setup!$B$19=""),0,IF(V405=0,T405/COUNTIF(Setup!$B$9:$B$20,"?*"),T405*AS405/V405))</f>
        <v/>
      </c>
      <c r="AH405">
        <f>IF(OR(T405="",Setup!$B$20=""),0,IF(V405=0,T405/COUNTIF(Setup!$B$9:$B$20,"?*"),T405*AT405/V405))</f>
        <v/>
      </c>
      <c r="AI405">
        <f>IF(Setup!$B$9="",0,IF(H405="",0,IF(ISNUMBER(H405),H405,1)))</f>
        <v/>
      </c>
      <c r="AJ405">
        <f>IF(Setup!$B$10="",0,IF(I405="",0,IF(ISNUMBER(I405),I405,1)))</f>
        <v/>
      </c>
      <c r="AK405">
        <f>IF(Setup!$B$11="",0,IF(J405="",0,IF(ISNUMBER(J405),J405,1)))</f>
        <v/>
      </c>
      <c r="AL405">
        <f>IF(Setup!$B$12="",0,IF(K405="",0,IF(ISNUMBER(K405),K405,1)))</f>
        <v/>
      </c>
      <c r="AM405">
        <f>IF(Setup!$B$13="",0,IF(L405="",0,IF(ISNUMBER(L405),L405,1)))</f>
        <v/>
      </c>
      <c r="AN405">
        <f>IF(Setup!$B$14="",0,IF(M405="",0,IF(ISNUMBER(M405),M405,1)))</f>
        <v/>
      </c>
      <c r="AO405">
        <f>IF(Setup!$B$15="",0,IF(N405="",0,IF(ISNUMBER(N405),N405,1)))</f>
        <v/>
      </c>
      <c r="AP405">
        <f>IF(Setup!$B$16="",0,IF(O405="",0,IF(ISNUMBER(O405),O405,1)))</f>
        <v/>
      </c>
      <c r="AQ405">
        <f>IF(Setup!$B$17="",0,IF(P405="",0,IF(ISNUMBER(P405),P405,1)))</f>
        <v/>
      </c>
      <c r="AR405">
        <f>IF(Setup!$B$18="",0,IF(Q405="",0,IF(ISNUMBER(Q405),Q405,1)))</f>
        <v/>
      </c>
      <c r="AS405">
        <f>IF(Setup!$B$19="",0,IF(R405="",0,IF(ISNUMBER(R405),R405,1)))</f>
        <v/>
      </c>
      <c r="AT405">
        <f>IF(Setup!$B$20="",0,IF(S405="",0,IF(ISNUMBER(S405),S405,1)))</f>
        <v/>
      </c>
    </row>
    <row r="406">
      <c r="A406" s="1" t="n"/>
      <c r="B406" s="24" t="n"/>
      <c r="C406" s="25" t="n"/>
      <c r="D406" s="25" t="n"/>
      <c r="E406" s="26" t="n"/>
      <c r="F406" s="27" t="n"/>
      <c r="G406" s="17" t="n"/>
      <c r="H406" s="28" t="n"/>
      <c r="I406" s="28" t="n"/>
      <c r="J406" s="28" t="n"/>
      <c r="K406" s="28" t="n"/>
      <c r="L406" s="28" t="n"/>
      <c r="M406" s="28" t="n"/>
      <c r="N406" s="28" t="n"/>
      <c r="O406" s="28" t="n"/>
      <c r="P406" s="28" t="n"/>
      <c r="Q406" s="28" t="n"/>
      <c r="R406" s="28" t="n"/>
      <c r="S406" s="28" t="n"/>
      <c r="T406" s="29">
        <f>IF(N(E406)=0,"",E406*IF(F406="",1,IFERROR(INDEX(Setup!$E$9:$E$18,MATCH(F406,Setup!$D$9:$D$18,0)),0)))</f>
        <v/>
      </c>
      <c r="U406" s="30">
        <f>IF(T406="","",IF(V406=0,"Everyone",IF(COUNTIF(AI406:AT406,"&gt;0")=COUNTIF(Setup!$B$9:$B$20,"?*"),"Everyone",COUNTIF(AI406:AT406,"&gt;0")&amp;IF(COUNTIF(AI406:AT406,"&gt;0")=1," person"," people"))))</f>
        <v/>
      </c>
      <c r="V406" s="1">
        <f>SUM(AI406:AT406)</f>
        <v/>
      </c>
      <c r="W406">
        <f>IF(OR(T406="",Setup!$B$9=""),0,IF(V406=0,T406/COUNTIF(Setup!$B$9:$B$20,"?*"),T406*AI406/V406))</f>
        <v/>
      </c>
      <c r="X406">
        <f>IF(OR(T406="",Setup!$B$10=""),0,IF(V406=0,T406/COUNTIF(Setup!$B$9:$B$20,"?*"),T406*AJ406/V406))</f>
        <v/>
      </c>
      <c r="Y406">
        <f>IF(OR(T406="",Setup!$B$11=""),0,IF(V406=0,T406/COUNTIF(Setup!$B$9:$B$20,"?*"),T406*AK406/V406))</f>
        <v/>
      </c>
      <c r="Z406">
        <f>IF(OR(T406="",Setup!$B$12=""),0,IF(V406=0,T406/COUNTIF(Setup!$B$9:$B$20,"?*"),T406*AL406/V406))</f>
        <v/>
      </c>
      <c r="AA406">
        <f>IF(OR(T406="",Setup!$B$13=""),0,IF(V406=0,T406/COUNTIF(Setup!$B$9:$B$20,"?*"),T406*AM406/V406))</f>
        <v/>
      </c>
      <c r="AB406">
        <f>IF(OR(T406="",Setup!$B$14=""),0,IF(V406=0,T406/COUNTIF(Setup!$B$9:$B$20,"?*"),T406*AN406/V406))</f>
        <v/>
      </c>
      <c r="AC406">
        <f>IF(OR(T406="",Setup!$B$15=""),0,IF(V406=0,T406/COUNTIF(Setup!$B$9:$B$20,"?*"),T406*AO406/V406))</f>
        <v/>
      </c>
      <c r="AD406">
        <f>IF(OR(T406="",Setup!$B$16=""),0,IF(V406=0,T406/COUNTIF(Setup!$B$9:$B$20,"?*"),T406*AP406/V406))</f>
        <v/>
      </c>
      <c r="AE406">
        <f>IF(OR(T406="",Setup!$B$17=""),0,IF(V406=0,T406/COUNTIF(Setup!$B$9:$B$20,"?*"),T406*AQ406/V406))</f>
        <v/>
      </c>
      <c r="AF406">
        <f>IF(OR(T406="",Setup!$B$18=""),0,IF(V406=0,T406/COUNTIF(Setup!$B$9:$B$20,"?*"),T406*AR406/V406))</f>
        <v/>
      </c>
      <c r="AG406">
        <f>IF(OR(T406="",Setup!$B$19=""),0,IF(V406=0,T406/COUNTIF(Setup!$B$9:$B$20,"?*"),T406*AS406/V406))</f>
        <v/>
      </c>
      <c r="AH406">
        <f>IF(OR(T406="",Setup!$B$20=""),0,IF(V406=0,T406/COUNTIF(Setup!$B$9:$B$20,"?*"),T406*AT406/V406))</f>
        <v/>
      </c>
      <c r="AI406">
        <f>IF(Setup!$B$9="",0,IF(H406="",0,IF(ISNUMBER(H406),H406,1)))</f>
        <v/>
      </c>
      <c r="AJ406">
        <f>IF(Setup!$B$10="",0,IF(I406="",0,IF(ISNUMBER(I406),I406,1)))</f>
        <v/>
      </c>
      <c r="AK406">
        <f>IF(Setup!$B$11="",0,IF(J406="",0,IF(ISNUMBER(J406),J406,1)))</f>
        <v/>
      </c>
      <c r="AL406">
        <f>IF(Setup!$B$12="",0,IF(K406="",0,IF(ISNUMBER(K406),K406,1)))</f>
        <v/>
      </c>
      <c r="AM406">
        <f>IF(Setup!$B$13="",0,IF(L406="",0,IF(ISNUMBER(L406),L406,1)))</f>
        <v/>
      </c>
      <c r="AN406">
        <f>IF(Setup!$B$14="",0,IF(M406="",0,IF(ISNUMBER(M406),M406,1)))</f>
        <v/>
      </c>
      <c r="AO406">
        <f>IF(Setup!$B$15="",0,IF(N406="",0,IF(ISNUMBER(N406),N406,1)))</f>
        <v/>
      </c>
      <c r="AP406">
        <f>IF(Setup!$B$16="",0,IF(O406="",0,IF(ISNUMBER(O406),O406,1)))</f>
        <v/>
      </c>
      <c r="AQ406">
        <f>IF(Setup!$B$17="",0,IF(P406="",0,IF(ISNUMBER(P406),P406,1)))</f>
        <v/>
      </c>
      <c r="AR406">
        <f>IF(Setup!$B$18="",0,IF(Q406="",0,IF(ISNUMBER(Q406),Q406,1)))</f>
        <v/>
      </c>
      <c r="AS406">
        <f>IF(Setup!$B$19="",0,IF(R406="",0,IF(ISNUMBER(R406),R406,1)))</f>
        <v/>
      </c>
      <c r="AT406">
        <f>IF(Setup!$B$20="",0,IF(S406="",0,IF(ISNUMBER(S406),S406,1)))</f>
        <v/>
      </c>
    </row>
    <row r="407">
      <c r="A407" s="1" t="n"/>
      <c r="B407" s="24" t="n"/>
      <c r="C407" s="25" t="n"/>
      <c r="D407" s="25" t="n"/>
      <c r="E407" s="26" t="n"/>
      <c r="F407" s="27" t="n"/>
      <c r="G407" s="17" t="n"/>
      <c r="H407" s="28" t="n"/>
      <c r="I407" s="28" t="n"/>
      <c r="J407" s="28" t="n"/>
      <c r="K407" s="28" t="n"/>
      <c r="L407" s="28" t="n"/>
      <c r="M407" s="28" t="n"/>
      <c r="N407" s="28" t="n"/>
      <c r="O407" s="28" t="n"/>
      <c r="P407" s="28" t="n"/>
      <c r="Q407" s="28" t="n"/>
      <c r="R407" s="28" t="n"/>
      <c r="S407" s="28" t="n"/>
      <c r="T407" s="29">
        <f>IF(N(E407)=0,"",E407*IF(F407="",1,IFERROR(INDEX(Setup!$E$9:$E$18,MATCH(F407,Setup!$D$9:$D$18,0)),0)))</f>
        <v/>
      </c>
      <c r="U407" s="30">
        <f>IF(T407="","",IF(V407=0,"Everyone",IF(COUNTIF(AI407:AT407,"&gt;0")=COUNTIF(Setup!$B$9:$B$20,"?*"),"Everyone",COUNTIF(AI407:AT407,"&gt;0")&amp;IF(COUNTIF(AI407:AT407,"&gt;0")=1," person"," people"))))</f>
        <v/>
      </c>
      <c r="V407" s="1">
        <f>SUM(AI407:AT407)</f>
        <v/>
      </c>
      <c r="W407">
        <f>IF(OR(T407="",Setup!$B$9=""),0,IF(V407=0,T407/COUNTIF(Setup!$B$9:$B$20,"?*"),T407*AI407/V407))</f>
        <v/>
      </c>
      <c r="X407">
        <f>IF(OR(T407="",Setup!$B$10=""),0,IF(V407=0,T407/COUNTIF(Setup!$B$9:$B$20,"?*"),T407*AJ407/V407))</f>
        <v/>
      </c>
      <c r="Y407">
        <f>IF(OR(T407="",Setup!$B$11=""),0,IF(V407=0,T407/COUNTIF(Setup!$B$9:$B$20,"?*"),T407*AK407/V407))</f>
        <v/>
      </c>
      <c r="Z407">
        <f>IF(OR(T407="",Setup!$B$12=""),0,IF(V407=0,T407/COUNTIF(Setup!$B$9:$B$20,"?*"),T407*AL407/V407))</f>
        <v/>
      </c>
      <c r="AA407">
        <f>IF(OR(T407="",Setup!$B$13=""),0,IF(V407=0,T407/COUNTIF(Setup!$B$9:$B$20,"?*"),T407*AM407/V407))</f>
        <v/>
      </c>
      <c r="AB407">
        <f>IF(OR(T407="",Setup!$B$14=""),0,IF(V407=0,T407/COUNTIF(Setup!$B$9:$B$20,"?*"),T407*AN407/V407))</f>
        <v/>
      </c>
      <c r="AC407">
        <f>IF(OR(T407="",Setup!$B$15=""),0,IF(V407=0,T407/COUNTIF(Setup!$B$9:$B$20,"?*"),T407*AO407/V407))</f>
        <v/>
      </c>
      <c r="AD407">
        <f>IF(OR(T407="",Setup!$B$16=""),0,IF(V407=0,T407/COUNTIF(Setup!$B$9:$B$20,"?*"),T407*AP407/V407))</f>
        <v/>
      </c>
      <c r="AE407">
        <f>IF(OR(T407="",Setup!$B$17=""),0,IF(V407=0,T407/COUNTIF(Setup!$B$9:$B$20,"?*"),T407*AQ407/V407))</f>
        <v/>
      </c>
      <c r="AF407">
        <f>IF(OR(T407="",Setup!$B$18=""),0,IF(V407=0,T407/COUNTIF(Setup!$B$9:$B$20,"?*"),T407*AR407/V407))</f>
        <v/>
      </c>
      <c r="AG407">
        <f>IF(OR(T407="",Setup!$B$19=""),0,IF(V407=0,T407/COUNTIF(Setup!$B$9:$B$20,"?*"),T407*AS407/V407))</f>
        <v/>
      </c>
      <c r="AH407">
        <f>IF(OR(T407="",Setup!$B$20=""),0,IF(V407=0,T407/COUNTIF(Setup!$B$9:$B$20,"?*"),T407*AT407/V407))</f>
        <v/>
      </c>
      <c r="AI407">
        <f>IF(Setup!$B$9="",0,IF(H407="",0,IF(ISNUMBER(H407),H407,1)))</f>
        <v/>
      </c>
      <c r="AJ407">
        <f>IF(Setup!$B$10="",0,IF(I407="",0,IF(ISNUMBER(I407),I407,1)))</f>
        <v/>
      </c>
      <c r="AK407">
        <f>IF(Setup!$B$11="",0,IF(J407="",0,IF(ISNUMBER(J407),J407,1)))</f>
        <v/>
      </c>
      <c r="AL407">
        <f>IF(Setup!$B$12="",0,IF(K407="",0,IF(ISNUMBER(K407),K407,1)))</f>
        <v/>
      </c>
      <c r="AM407">
        <f>IF(Setup!$B$13="",0,IF(L407="",0,IF(ISNUMBER(L407),L407,1)))</f>
        <v/>
      </c>
      <c r="AN407">
        <f>IF(Setup!$B$14="",0,IF(M407="",0,IF(ISNUMBER(M407),M407,1)))</f>
        <v/>
      </c>
      <c r="AO407">
        <f>IF(Setup!$B$15="",0,IF(N407="",0,IF(ISNUMBER(N407),N407,1)))</f>
        <v/>
      </c>
      <c r="AP407">
        <f>IF(Setup!$B$16="",0,IF(O407="",0,IF(ISNUMBER(O407),O407,1)))</f>
        <v/>
      </c>
      <c r="AQ407">
        <f>IF(Setup!$B$17="",0,IF(P407="",0,IF(ISNUMBER(P407),P407,1)))</f>
        <v/>
      </c>
      <c r="AR407">
        <f>IF(Setup!$B$18="",0,IF(Q407="",0,IF(ISNUMBER(Q407),Q407,1)))</f>
        <v/>
      </c>
      <c r="AS407">
        <f>IF(Setup!$B$19="",0,IF(R407="",0,IF(ISNUMBER(R407),R407,1)))</f>
        <v/>
      </c>
      <c r="AT407">
        <f>IF(Setup!$B$20="",0,IF(S407="",0,IF(ISNUMBER(S407),S407,1)))</f>
        <v/>
      </c>
    </row>
    <row r="408">
      <c r="A408" s="1" t="n"/>
      <c r="B408" s="24" t="n"/>
      <c r="C408" s="25" t="n"/>
      <c r="D408" s="25" t="n"/>
      <c r="E408" s="26" t="n"/>
      <c r="F408" s="27" t="n"/>
      <c r="G408" s="17" t="n"/>
      <c r="H408" s="28" t="n"/>
      <c r="I408" s="28" t="n"/>
      <c r="J408" s="28" t="n"/>
      <c r="K408" s="28" t="n"/>
      <c r="L408" s="28" t="n"/>
      <c r="M408" s="28" t="n"/>
      <c r="N408" s="28" t="n"/>
      <c r="O408" s="28" t="n"/>
      <c r="P408" s="28" t="n"/>
      <c r="Q408" s="28" t="n"/>
      <c r="R408" s="28" t="n"/>
      <c r="S408" s="28" t="n"/>
      <c r="T408" s="29">
        <f>IF(N(E408)=0,"",E408*IF(F408="",1,IFERROR(INDEX(Setup!$E$9:$E$18,MATCH(F408,Setup!$D$9:$D$18,0)),0)))</f>
        <v/>
      </c>
      <c r="U408" s="30">
        <f>IF(T408="","",IF(V408=0,"Everyone",IF(COUNTIF(AI408:AT408,"&gt;0")=COUNTIF(Setup!$B$9:$B$20,"?*"),"Everyone",COUNTIF(AI408:AT408,"&gt;0")&amp;IF(COUNTIF(AI408:AT408,"&gt;0")=1," person"," people"))))</f>
        <v/>
      </c>
      <c r="V408" s="1">
        <f>SUM(AI408:AT408)</f>
        <v/>
      </c>
      <c r="W408">
        <f>IF(OR(T408="",Setup!$B$9=""),0,IF(V408=0,T408/COUNTIF(Setup!$B$9:$B$20,"?*"),T408*AI408/V408))</f>
        <v/>
      </c>
      <c r="X408">
        <f>IF(OR(T408="",Setup!$B$10=""),0,IF(V408=0,T408/COUNTIF(Setup!$B$9:$B$20,"?*"),T408*AJ408/V408))</f>
        <v/>
      </c>
      <c r="Y408">
        <f>IF(OR(T408="",Setup!$B$11=""),0,IF(V408=0,T408/COUNTIF(Setup!$B$9:$B$20,"?*"),T408*AK408/V408))</f>
        <v/>
      </c>
      <c r="Z408">
        <f>IF(OR(T408="",Setup!$B$12=""),0,IF(V408=0,T408/COUNTIF(Setup!$B$9:$B$20,"?*"),T408*AL408/V408))</f>
        <v/>
      </c>
      <c r="AA408">
        <f>IF(OR(T408="",Setup!$B$13=""),0,IF(V408=0,T408/COUNTIF(Setup!$B$9:$B$20,"?*"),T408*AM408/V408))</f>
        <v/>
      </c>
      <c r="AB408">
        <f>IF(OR(T408="",Setup!$B$14=""),0,IF(V408=0,T408/COUNTIF(Setup!$B$9:$B$20,"?*"),T408*AN408/V408))</f>
        <v/>
      </c>
      <c r="AC408">
        <f>IF(OR(T408="",Setup!$B$15=""),0,IF(V408=0,T408/COUNTIF(Setup!$B$9:$B$20,"?*"),T408*AO408/V408))</f>
        <v/>
      </c>
      <c r="AD408">
        <f>IF(OR(T408="",Setup!$B$16=""),0,IF(V408=0,T408/COUNTIF(Setup!$B$9:$B$20,"?*"),T408*AP408/V408))</f>
        <v/>
      </c>
      <c r="AE408">
        <f>IF(OR(T408="",Setup!$B$17=""),0,IF(V408=0,T408/COUNTIF(Setup!$B$9:$B$20,"?*"),T408*AQ408/V408))</f>
        <v/>
      </c>
      <c r="AF408">
        <f>IF(OR(T408="",Setup!$B$18=""),0,IF(V408=0,T408/COUNTIF(Setup!$B$9:$B$20,"?*"),T408*AR408/V408))</f>
        <v/>
      </c>
      <c r="AG408">
        <f>IF(OR(T408="",Setup!$B$19=""),0,IF(V408=0,T408/COUNTIF(Setup!$B$9:$B$20,"?*"),T408*AS408/V408))</f>
        <v/>
      </c>
      <c r="AH408">
        <f>IF(OR(T408="",Setup!$B$20=""),0,IF(V408=0,T408/COUNTIF(Setup!$B$9:$B$20,"?*"),T408*AT408/V408))</f>
        <v/>
      </c>
      <c r="AI408">
        <f>IF(Setup!$B$9="",0,IF(H408="",0,IF(ISNUMBER(H408),H408,1)))</f>
        <v/>
      </c>
      <c r="AJ408">
        <f>IF(Setup!$B$10="",0,IF(I408="",0,IF(ISNUMBER(I408),I408,1)))</f>
        <v/>
      </c>
      <c r="AK408">
        <f>IF(Setup!$B$11="",0,IF(J408="",0,IF(ISNUMBER(J408),J408,1)))</f>
        <v/>
      </c>
      <c r="AL408">
        <f>IF(Setup!$B$12="",0,IF(K408="",0,IF(ISNUMBER(K408),K408,1)))</f>
        <v/>
      </c>
      <c r="AM408">
        <f>IF(Setup!$B$13="",0,IF(L408="",0,IF(ISNUMBER(L408),L408,1)))</f>
        <v/>
      </c>
      <c r="AN408">
        <f>IF(Setup!$B$14="",0,IF(M408="",0,IF(ISNUMBER(M408),M408,1)))</f>
        <v/>
      </c>
      <c r="AO408">
        <f>IF(Setup!$B$15="",0,IF(N408="",0,IF(ISNUMBER(N408),N408,1)))</f>
        <v/>
      </c>
      <c r="AP408">
        <f>IF(Setup!$B$16="",0,IF(O408="",0,IF(ISNUMBER(O408),O408,1)))</f>
        <v/>
      </c>
      <c r="AQ408">
        <f>IF(Setup!$B$17="",0,IF(P408="",0,IF(ISNUMBER(P408),P408,1)))</f>
        <v/>
      </c>
      <c r="AR408">
        <f>IF(Setup!$B$18="",0,IF(Q408="",0,IF(ISNUMBER(Q408),Q408,1)))</f>
        <v/>
      </c>
      <c r="AS408">
        <f>IF(Setup!$B$19="",0,IF(R408="",0,IF(ISNUMBER(R408),R408,1)))</f>
        <v/>
      </c>
      <c r="AT408">
        <f>IF(Setup!$B$20="",0,IF(S408="",0,IF(ISNUMBER(S408),S408,1)))</f>
        <v/>
      </c>
    </row>
    <row r="409">
      <c r="A409" s="1" t="n"/>
      <c r="B409" s="24" t="n"/>
      <c r="C409" s="25" t="n"/>
      <c r="D409" s="25" t="n"/>
      <c r="E409" s="26" t="n"/>
      <c r="F409" s="27" t="n"/>
      <c r="G409" s="17" t="n"/>
      <c r="H409" s="28" t="n"/>
      <c r="I409" s="28" t="n"/>
      <c r="J409" s="28" t="n"/>
      <c r="K409" s="28" t="n"/>
      <c r="L409" s="28" t="n"/>
      <c r="M409" s="28" t="n"/>
      <c r="N409" s="28" t="n"/>
      <c r="O409" s="28" t="n"/>
      <c r="P409" s="28" t="n"/>
      <c r="Q409" s="28" t="n"/>
      <c r="R409" s="28" t="n"/>
      <c r="S409" s="28" t="n"/>
      <c r="T409" s="29">
        <f>IF(N(E409)=0,"",E409*IF(F409="",1,IFERROR(INDEX(Setup!$E$9:$E$18,MATCH(F409,Setup!$D$9:$D$18,0)),0)))</f>
        <v/>
      </c>
      <c r="U409" s="30">
        <f>IF(T409="","",IF(V409=0,"Everyone",IF(COUNTIF(AI409:AT409,"&gt;0")=COUNTIF(Setup!$B$9:$B$20,"?*"),"Everyone",COUNTIF(AI409:AT409,"&gt;0")&amp;IF(COUNTIF(AI409:AT409,"&gt;0")=1," person"," people"))))</f>
        <v/>
      </c>
      <c r="V409" s="1">
        <f>SUM(AI409:AT409)</f>
        <v/>
      </c>
      <c r="W409">
        <f>IF(OR(T409="",Setup!$B$9=""),0,IF(V409=0,T409/COUNTIF(Setup!$B$9:$B$20,"?*"),T409*AI409/V409))</f>
        <v/>
      </c>
      <c r="X409">
        <f>IF(OR(T409="",Setup!$B$10=""),0,IF(V409=0,T409/COUNTIF(Setup!$B$9:$B$20,"?*"),T409*AJ409/V409))</f>
        <v/>
      </c>
      <c r="Y409">
        <f>IF(OR(T409="",Setup!$B$11=""),0,IF(V409=0,T409/COUNTIF(Setup!$B$9:$B$20,"?*"),T409*AK409/V409))</f>
        <v/>
      </c>
      <c r="Z409">
        <f>IF(OR(T409="",Setup!$B$12=""),0,IF(V409=0,T409/COUNTIF(Setup!$B$9:$B$20,"?*"),T409*AL409/V409))</f>
        <v/>
      </c>
      <c r="AA409">
        <f>IF(OR(T409="",Setup!$B$13=""),0,IF(V409=0,T409/COUNTIF(Setup!$B$9:$B$20,"?*"),T409*AM409/V409))</f>
        <v/>
      </c>
      <c r="AB409">
        <f>IF(OR(T409="",Setup!$B$14=""),0,IF(V409=0,T409/COUNTIF(Setup!$B$9:$B$20,"?*"),T409*AN409/V409))</f>
        <v/>
      </c>
      <c r="AC409">
        <f>IF(OR(T409="",Setup!$B$15=""),0,IF(V409=0,T409/COUNTIF(Setup!$B$9:$B$20,"?*"),T409*AO409/V409))</f>
        <v/>
      </c>
      <c r="AD409">
        <f>IF(OR(T409="",Setup!$B$16=""),0,IF(V409=0,T409/COUNTIF(Setup!$B$9:$B$20,"?*"),T409*AP409/V409))</f>
        <v/>
      </c>
      <c r="AE409">
        <f>IF(OR(T409="",Setup!$B$17=""),0,IF(V409=0,T409/COUNTIF(Setup!$B$9:$B$20,"?*"),T409*AQ409/V409))</f>
        <v/>
      </c>
      <c r="AF409">
        <f>IF(OR(T409="",Setup!$B$18=""),0,IF(V409=0,T409/COUNTIF(Setup!$B$9:$B$20,"?*"),T409*AR409/V409))</f>
        <v/>
      </c>
      <c r="AG409">
        <f>IF(OR(T409="",Setup!$B$19=""),0,IF(V409=0,T409/COUNTIF(Setup!$B$9:$B$20,"?*"),T409*AS409/V409))</f>
        <v/>
      </c>
      <c r="AH409">
        <f>IF(OR(T409="",Setup!$B$20=""),0,IF(V409=0,T409/COUNTIF(Setup!$B$9:$B$20,"?*"),T409*AT409/V409))</f>
        <v/>
      </c>
      <c r="AI409">
        <f>IF(Setup!$B$9="",0,IF(H409="",0,IF(ISNUMBER(H409),H409,1)))</f>
        <v/>
      </c>
      <c r="AJ409">
        <f>IF(Setup!$B$10="",0,IF(I409="",0,IF(ISNUMBER(I409),I409,1)))</f>
        <v/>
      </c>
      <c r="AK409">
        <f>IF(Setup!$B$11="",0,IF(J409="",0,IF(ISNUMBER(J409),J409,1)))</f>
        <v/>
      </c>
      <c r="AL409">
        <f>IF(Setup!$B$12="",0,IF(K409="",0,IF(ISNUMBER(K409),K409,1)))</f>
        <v/>
      </c>
      <c r="AM409">
        <f>IF(Setup!$B$13="",0,IF(L409="",0,IF(ISNUMBER(L409),L409,1)))</f>
        <v/>
      </c>
      <c r="AN409">
        <f>IF(Setup!$B$14="",0,IF(M409="",0,IF(ISNUMBER(M409),M409,1)))</f>
        <v/>
      </c>
      <c r="AO409">
        <f>IF(Setup!$B$15="",0,IF(N409="",0,IF(ISNUMBER(N409),N409,1)))</f>
        <v/>
      </c>
      <c r="AP409">
        <f>IF(Setup!$B$16="",0,IF(O409="",0,IF(ISNUMBER(O409),O409,1)))</f>
        <v/>
      </c>
      <c r="AQ409">
        <f>IF(Setup!$B$17="",0,IF(P409="",0,IF(ISNUMBER(P409),P409,1)))</f>
        <v/>
      </c>
      <c r="AR409">
        <f>IF(Setup!$B$18="",0,IF(Q409="",0,IF(ISNUMBER(Q409),Q409,1)))</f>
        <v/>
      </c>
      <c r="AS409">
        <f>IF(Setup!$B$19="",0,IF(R409="",0,IF(ISNUMBER(R409),R409,1)))</f>
        <v/>
      </c>
      <c r="AT409">
        <f>IF(Setup!$B$20="",0,IF(S409="",0,IF(ISNUMBER(S409),S409,1)))</f>
        <v/>
      </c>
    </row>
    <row r="410">
      <c r="A410" s="1" t="n"/>
      <c r="B410" s="24" t="n"/>
      <c r="C410" s="25" t="n"/>
      <c r="D410" s="25" t="n"/>
      <c r="E410" s="26" t="n"/>
      <c r="F410" s="27" t="n"/>
      <c r="G410" s="17" t="n"/>
      <c r="H410" s="28" t="n"/>
      <c r="I410" s="28" t="n"/>
      <c r="J410" s="28" t="n"/>
      <c r="K410" s="28" t="n"/>
      <c r="L410" s="28" t="n"/>
      <c r="M410" s="28" t="n"/>
      <c r="N410" s="28" t="n"/>
      <c r="O410" s="28" t="n"/>
      <c r="P410" s="28" t="n"/>
      <c r="Q410" s="28" t="n"/>
      <c r="R410" s="28" t="n"/>
      <c r="S410" s="28" t="n"/>
      <c r="T410" s="29">
        <f>IF(N(E410)=0,"",E410*IF(F410="",1,IFERROR(INDEX(Setup!$E$9:$E$18,MATCH(F410,Setup!$D$9:$D$18,0)),0)))</f>
        <v/>
      </c>
      <c r="U410" s="30">
        <f>IF(T410="","",IF(V410=0,"Everyone",IF(COUNTIF(AI410:AT410,"&gt;0")=COUNTIF(Setup!$B$9:$B$20,"?*"),"Everyone",COUNTIF(AI410:AT410,"&gt;0")&amp;IF(COUNTIF(AI410:AT410,"&gt;0")=1," person"," people"))))</f>
        <v/>
      </c>
      <c r="V410" s="1">
        <f>SUM(AI410:AT410)</f>
        <v/>
      </c>
      <c r="W410">
        <f>IF(OR(T410="",Setup!$B$9=""),0,IF(V410=0,T410/COUNTIF(Setup!$B$9:$B$20,"?*"),T410*AI410/V410))</f>
        <v/>
      </c>
      <c r="X410">
        <f>IF(OR(T410="",Setup!$B$10=""),0,IF(V410=0,T410/COUNTIF(Setup!$B$9:$B$20,"?*"),T410*AJ410/V410))</f>
        <v/>
      </c>
      <c r="Y410">
        <f>IF(OR(T410="",Setup!$B$11=""),0,IF(V410=0,T410/COUNTIF(Setup!$B$9:$B$20,"?*"),T410*AK410/V410))</f>
        <v/>
      </c>
      <c r="Z410">
        <f>IF(OR(T410="",Setup!$B$12=""),0,IF(V410=0,T410/COUNTIF(Setup!$B$9:$B$20,"?*"),T410*AL410/V410))</f>
        <v/>
      </c>
      <c r="AA410">
        <f>IF(OR(T410="",Setup!$B$13=""),0,IF(V410=0,T410/COUNTIF(Setup!$B$9:$B$20,"?*"),T410*AM410/V410))</f>
        <v/>
      </c>
      <c r="AB410">
        <f>IF(OR(T410="",Setup!$B$14=""),0,IF(V410=0,T410/COUNTIF(Setup!$B$9:$B$20,"?*"),T410*AN410/V410))</f>
        <v/>
      </c>
      <c r="AC410">
        <f>IF(OR(T410="",Setup!$B$15=""),0,IF(V410=0,T410/COUNTIF(Setup!$B$9:$B$20,"?*"),T410*AO410/V410))</f>
        <v/>
      </c>
      <c r="AD410">
        <f>IF(OR(T410="",Setup!$B$16=""),0,IF(V410=0,T410/COUNTIF(Setup!$B$9:$B$20,"?*"),T410*AP410/V410))</f>
        <v/>
      </c>
      <c r="AE410">
        <f>IF(OR(T410="",Setup!$B$17=""),0,IF(V410=0,T410/COUNTIF(Setup!$B$9:$B$20,"?*"),T410*AQ410/V410))</f>
        <v/>
      </c>
      <c r="AF410">
        <f>IF(OR(T410="",Setup!$B$18=""),0,IF(V410=0,T410/COUNTIF(Setup!$B$9:$B$20,"?*"),T410*AR410/V410))</f>
        <v/>
      </c>
      <c r="AG410">
        <f>IF(OR(T410="",Setup!$B$19=""),0,IF(V410=0,T410/COUNTIF(Setup!$B$9:$B$20,"?*"),T410*AS410/V410))</f>
        <v/>
      </c>
      <c r="AH410">
        <f>IF(OR(T410="",Setup!$B$20=""),0,IF(V410=0,T410/COUNTIF(Setup!$B$9:$B$20,"?*"),T410*AT410/V410))</f>
        <v/>
      </c>
      <c r="AI410">
        <f>IF(Setup!$B$9="",0,IF(H410="",0,IF(ISNUMBER(H410),H410,1)))</f>
        <v/>
      </c>
      <c r="AJ410">
        <f>IF(Setup!$B$10="",0,IF(I410="",0,IF(ISNUMBER(I410),I410,1)))</f>
        <v/>
      </c>
      <c r="AK410">
        <f>IF(Setup!$B$11="",0,IF(J410="",0,IF(ISNUMBER(J410),J410,1)))</f>
        <v/>
      </c>
      <c r="AL410">
        <f>IF(Setup!$B$12="",0,IF(K410="",0,IF(ISNUMBER(K410),K410,1)))</f>
        <v/>
      </c>
      <c r="AM410">
        <f>IF(Setup!$B$13="",0,IF(L410="",0,IF(ISNUMBER(L410),L410,1)))</f>
        <v/>
      </c>
      <c r="AN410">
        <f>IF(Setup!$B$14="",0,IF(M410="",0,IF(ISNUMBER(M410),M410,1)))</f>
        <v/>
      </c>
      <c r="AO410">
        <f>IF(Setup!$B$15="",0,IF(N410="",0,IF(ISNUMBER(N410),N410,1)))</f>
        <v/>
      </c>
      <c r="AP410">
        <f>IF(Setup!$B$16="",0,IF(O410="",0,IF(ISNUMBER(O410),O410,1)))</f>
        <v/>
      </c>
      <c r="AQ410">
        <f>IF(Setup!$B$17="",0,IF(P410="",0,IF(ISNUMBER(P410),P410,1)))</f>
        <v/>
      </c>
      <c r="AR410">
        <f>IF(Setup!$B$18="",0,IF(Q410="",0,IF(ISNUMBER(Q410),Q410,1)))</f>
        <v/>
      </c>
      <c r="AS410">
        <f>IF(Setup!$B$19="",0,IF(R410="",0,IF(ISNUMBER(R410),R410,1)))</f>
        <v/>
      </c>
      <c r="AT410">
        <f>IF(Setup!$B$20="",0,IF(S410="",0,IF(ISNUMBER(S410),S410,1)))</f>
        <v/>
      </c>
    </row>
    <row r="411">
      <c r="A411" s="1" t="n"/>
      <c r="B411" s="24" t="n"/>
      <c r="C411" s="25" t="n"/>
      <c r="D411" s="25" t="n"/>
      <c r="E411" s="26" t="n"/>
      <c r="F411" s="27" t="n"/>
      <c r="G411" s="17" t="n"/>
      <c r="H411" s="28" t="n"/>
      <c r="I411" s="28" t="n"/>
      <c r="J411" s="28" t="n"/>
      <c r="K411" s="28" t="n"/>
      <c r="L411" s="28" t="n"/>
      <c r="M411" s="28" t="n"/>
      <c r="N411" s="28" t="n"/>
      <c r="O411" s="28" t="n"/>
      <c r="P411" s="28" t="n"/>
      <c r="Q411" s="28" t="n"/>
      <c r="R411" s="28" t="n"/>
      <c r="S411" s="28" t="n"/>
      <c r="T411" s="29">
        <f>IF(N(E411)=0,"",E411*IF(F411="",1,IFERROR(INDEX(Setup!$E$9:$E$18,MATCH(F411,Setup!$D$9:$D$18,0)),0)))</f>
        <v/>
      </c>
      <c r="U411" s="30">
        <f>IF(T411="","",IF(V411=0,"Everyone",IF(COUNTIF(AI411:AT411,"&gt;0")=COUNTIF(Setup!$B$9:$B$20,"?*"),"Everyone",COUNTIF(AI411:AT411,"&gt;0")&amp;IF(COUNTIF(AI411:AT411,"&gt;0")=1," person"," people"))))</f>
        <v/>
      </c>
      <c r="V411" s="1">
        <f>SUM(AI411:AT411)</f>
        <v/>
      </c>
      <c r="W411">
        <f>IF(OR(T411="",Setup!$B$9=""),0,IF(V411=0,T411/COUNTIF(Setup!$B$9:$B$20,"?*"),T411*AI411/V411))</f>
        <v/>
      </c>
      <c r="X411">
        <f>IF(OR(T411="",Setup!$B$10=""),0,IF(V411=0,T411/COUNTIF(Setup!$B$9:$B$20,"?*"),T411*AJ411/V411))</f>
        <v/>
      </c>
      <c r="Y411">
        <f>IF(OR(T411="",Setup!$B$11=""),0,IF(V411=0,T411/COUNTIF(Setup!$B$9:$B$20,"?*"),T411*AK411/V411))</f>
        <v/>
      </c>
      <c r="Z411">
        <f>IF(OR(T411="",Setup!$B$12=""),0,IF(V411=0,T411/COUNTIF(Setup!$B$9:$B$20,"?*"),T411*AL411/V411))</f>
        <v/>
      </c>
      <c r="AA411">
        <f>IF(OR(T411="",Setup!$B$13=""),0,IF(V411=0,T411/COUNTIF(Setup!$B$9:$B$20,"?*"),T411*AM411/V411))</f>
        <v/>
      </c>
      <c r="AB411">
        <f>IF(OR(T411="",Setup!$B$14=""),0,IF(V411=0,T411/COUNTIF(Setup!$B$9:$B$20,"?*"),T411*AN411/V411))</f>
        <v/>
      </c>
      <c r="AC411">
        <f>IF(OR(T411="",Setup!$B$15=""),0,IF(V411=0,T411/COUNTIF(Setup!$B$9:$B$20,"?*"),T411*AO411/V411))</f>
        <v/>
      </c>
      <c r="AD411">
        <f>IF(OR(T411="",Setup!$B$16=""),0,IF(V411=0,T411/COUNTIF(Setup!$B$9:$B$20,"?*"),T411*AP411/V411))</f>
        <v/>
      </c>
      <c r="AE411">
        <f>IF(OR(T411="",Setup!$B$17=""),0,IF(V411=0,T411/COUNTIF(Setup!$B$9:$B$20,"?*"),T411*AQ411/V411))</f>
        <v/>
      </c>
      <c r="AF411">
        <f>IF(OR(T411="",Setup!$B$18=""),0,IF(V411=0,T411/COUNTIF(Setup!$B$9:$B$20,"?*"),T411*AR411/V411))</f>
        <v/>
      </c>
      <c r="AG411">
        <f>IF(OR(T411="",Setup!$B$19=""),0,IF(V411=0,T411/COUNTIF(Setup!$B$9:$B$20,"?*"),T411*AS411/V411))</f>
        <v/>
      </c>
      <c r="AH411">
        <f>IF(OR(T411="",Setup!$B$20=""),0,IF(V411=0,T411/COUNTIF(Setup!$B$9:$B$20,"?*"),T411*AT411/V411))</f>
        <v/>
      </c>
      <c r="AI411">
        <f>IF(Setup!$B$9="",0,IF(H411="",0,IF(ISNUMBER(H411),H411,1)))</f>
        <v/>
      </c>
      <c r="AJ411">
        <f>IF(Setup!$B$10="",0,IF(I411="",0,IF(ISNUMBER(I411),I411,1)))</f>
        <v/>
      </c>
      <c r="AK411">
        <f>IF(Setup!$B$11="",0,IF(J411="",0,IF(ISNUMBER(J411),J411,1)))</f>
        <v/>
      </c>
      <c r="AL411">
        <f>IF(Setup!$B$12="",0,IF(K411="",0,IF(ISNUMBER(K411),K411,1)))</f>
        <v/>
      </c>
      <c r="AM411">
        <f>IF(Setup!$B$13="",0,IF(L411="",0,IF(ISNUMBER(L411),L411,1)))</f>
        <v/>
      </c>
      <c r="AN411">
        <f>IF(Setup!$B$14="",0,IF(M411="",0,IF(ISNUMBER(M411),M411,1)))</f>
        <v/>
      </c>
      <c r="AO411">
        <f>IF(Setup!$B$15="",0,IF(N411="",0,IF(ISNUMBER(N411),N411,1)))</f>
        <v/>
      </c>
      <c r="AP411">
        <f>IF(Setup!$B$16="",0,IF(O411="",0,IF(ISNUMBER(O411),O411,1)))</f>
        <v/>
      </c>
      <c r="AQ411">
        <f>IF(Setup!$B$17="",0,IF(P411="",0,IF(ISNUMBER(P411),P411,1)))</f>
        <v/>
      </c>
      <c r="AR411">
        <f>IF(Setup!$B$18="",0,IF(Q411="",0,IF(ISNUMBER(Q411),Q411,1)))</f>
        <v/>
      </c>
      <c r="AS411">
        <f>IF(Setup!$B$19="",0,IF(R411="",0,IF(ISNUMBER(R411),R411,1)))</f>
        <v/>
      </c>
      <c r="AT411">
        <f>IF(Setup!$B$20="",0,IF(S411="",0,IF(ISNUMBER(S411),S411,1)))</f>
        <v/>
      </c>
    </row>
    <row r="412">
      <c r="A412" s="1" t="n"/>
      <c r="B412" s="24" t="n"/>
      <c r="C412" s="25" t="n"/>
      <c r="D412" s="25" t="n"/>
      <c r="E412" s="26" t="n"/>
      <c r="F412" s="27" t="n"/>
      <c r="G412" s="17" t="n"/>
      <c r="H412" s="28" t="n"/>
      <c r="I412" s="28" t="n"/>
      <c r="J412" s="28" t="n"/>
      <c r="K412" s="28" t="n"/>
      <c r="L412" s="28" t="n"/>
      <c r="M412" s="28" t="n"/>
      <c r="N412" s="28" t="n"/>
      <c r="O412" s="28" t="n"/>
      <c r="P412" s="28" t="n"/>
      <c r="Q412" s="28" t="n"/>
      <c r="R412" s="28" t="n"/>
      <c r="S412" s="28" t="n"/>
      <c r="T412" s="29">
        <f>IF(N(E412)=0,"",E412*IF(F412="",1,IFERROR(INDEX(Setup!$E$9:$E$18,MATCH(F412,Setup!$D$9:$D$18,0)),0)))</f>
        <v/>
      </c>
      <c r="U412" s="30">
        <f>IF(T412="","",IF(V412=0,"Everyone",IF(COUNTIF(AI412:AT412,"&gt;0")=COUNTIF(Setup!$B$9:$B$20,"?*"),"Everyone",COUNTIF(AI412:AT412,"&gt;0")&amp;IF(COUNTIF(AI412:AT412,"&gt;0")=1," person"," people"))))</f>
        <v/>
      </c>
      <c r="V412" s="1">
        <f>SUM(AI412:AT412)</f>
        <v/>
      </c>
      <c r="W412">
        <f>IF(OR(T412="",Setup!$B$9=""),0,IF(V412=0,T412/COUNTIF(Setup!$B$9:$B$20,"?*"),T412*AI412/V412))</f>
        <v/>
      </c>
      <c r="X412">
        <f>IF(OR(T412="",Setup!$B$10=""),0,IF(V412=0,T412/COUNTIF(Setup!$B$9:$B$20,"?*"),T412*AJ412/V412))</f>
        <v/>
      </c>
      <c r="Y412">
        <f>IF(OR(T412="",Setup!$B$11=""),0,IF(V412=0,T412/COUNTIF(Setup!$B$9:$B$20,"?*"),T412*AK412/V412))</f>
        <v/>
      </c>
      <c r="Z412">
        <f>IF(OR(T412="",Setup!$B$12=""),0,IF(V412=0,T412/COUNTIF(Setup!$B$9:$B$20,"?*"),T412*AL412/V412))</f>
        <v/>
      </c>
      <c r="AA412">
        <f>IF(OR(T412="",Setup!$B$13=""),0,IF(V412=0,T412/COUNTIF(Setup!$B$9:$B$20,"?*"),T412*AM412/V412))</f>
        <v/>
      </c>
      <c r="AB412">
        <f>IF(OR(T412="",Setup!$B$14=""),0,IF(V412=0,T412/COUNTIF(Setup!$B$9:$B$20,"?*"),T412*AN412/V412))</f>
        <v/>
      </c>
      <c r="AC412">
        <f>IF(OR(T412="",Setup!$B$15=""),0,IF(V412=0,T412/COUNTIF(Setup!$B$9:$B$20,"?*"),T412*AO412/V412))</f>
        <v/>
      </c>
      <c r="AD412">
        <f>IF(OR(T412="",Setup!$B$16=""),0,IF(V412=0,T412/COUNTIF(Setup!$B$9:$B$20,"?*"),T412*AP412/V412))</f>
        <v/>
      </c>
      <c r="AE412">
        <f>IF(OR(T412="",Setup!$B$17=""),0,IF(V412=0,T412/COUNTIF(Setup!$B$9:$B$20,"?*"),T412*AQ412/V412))</f>
        <v/>
      </c>
      <c r="AF412">
        <f>IF(OR(T412="",Setup!$B$18=""),0,IF(V412=0,T412/COUNTIF(Setup!$B$9:$B$20,"?*"),T412*AR412/V412))</f>
        <v/>
      </c>
      <c r="AG412">
        <f>IF(OR(T412="",Setup!$B$19=""),0,IF(V412=0,T412/COUNTIF(Setup!$B$9:$B$20,"?*"),T412*AS412/V412))</f>
        <v/>
      </c>
      <c r="AH412">
        <f>IF(OR(T412="",Setup!$B$20=""),0,IF(V412=0,T412/COUNTIF(Setup!$B$9:$B$20,"?*"),T412*AT412/V412))</f>
        <v/>
      </c>
      <c r="AI412">
        <f>IF(Setup!$B$9="",0,IF(H412="",0,IF(ISNUMBER(H412),H412,1)))</f>
        <v/>
      </c>
      <c r="AJ412">
        <f>IF(Setup!$B$10="",0,IF(I412="",0,IF(ISNUMBER(I412),I412,1)))</f>
        <v/>
      </c>
      <c r="AK412">
        <f>IF(Setup!$B$11="",0,IF(J412="",0,IF(ISNUMBER(J412),J412,1)))</f>
        <v/>
      </c>
      <c r="AL412">
        <f>IF(Setup!$B$12="",0,IF(K412="",0,IF(ISNUMBER(K412),K412,1)))</f>
        <v/>
      </c>
      <c r="AM412">
        <f>IF(Setup!$B$13="",0,IF(L412="",0,IF(ISNUMBER(L412),L412,1)))</f>
        <v/>
      </c>
      <c r="AN412">
        <f>IF(Setup!$B$14="",0,IF(M412="",0,IF(ISNUMBER(M412),M412,1)))</f>
        <v/>
      </c>
      <c r="AO412">
        <f>IF(Setup!$B$15="",0,IF(N412="",0,IF(ISNUMBER(N412),N412,1)))</f>
        <v/>
      </c>
      <c r="AP412">
        <f>IF(Setup!$B$16="",0,IF(O412="",0,IF(ISNUMBER(O412),O412,1)))</f>
        <v/>
      </c>
      <c r="AQ412">
        <f>IF(Setup!$B$17="",0,IF(P412="",0,IF(ISNUMBER(P412),P412,1)))</f>
        <v/>
      </c>
      <c r="AR412">
        <f>IF(Setup!$B$18="",0,IF(Q412="",0,IF(ISNUMBER(Q412),Q412,1)))</f>
        <v/>
      </c>
      <c r="AS412">
        <f>IF(Setup!$B$19="",0,IF(R412="",0,IF(ISNUMBER(R412),R412,1)))</f>
        <v/>
      </c>
      <c r="AT412">
        <f>IF(Setup!$B$20="",0,IF(S412="",0,IF(ISNUMBER(S412),S412,1)))</f>
        <v/>
      </c>
    </row>
    <row r="413">
      <c r="A413" s="1" t="n"/>
      <c r="B413" s="24" t="n"/>
      <c r="C413" s="25" t="n"/>
      <c r="D413" s="25" t="n"/>
      <c r="E413" s="26" t="n"/>
      <c r="F413" s="27" t="n"/>
      <c r="G413" s="17" t="n"/>
      <c r="H413" s="28" t="n"/>
      <c r="I413" s="28" t="n"/>
      <c r="J413" s="28" t="n"/>
      <c r="K413" s="28" t="n"/>
      <c r="L413" s="28" t="n"/>
      <c r="M413" s="28" t="n"/>
      <c r="N413" s="28" t="n"/>
      <c r="O413" s="28" t="n"/>
      <c r="P413" s="28" t="n"/>
      <c r="Q413" s="28" t="n"/>
      <c r="R413" s="28" t="n"/>
      <c r="S413" s="28" t="n"/>
      <c r="T413" s="29">
        <f>IF(N(E413)=0,"",E413*IF(F413="",1,IFERROR(INDEX(Setup!$E$9:$E$18,MATCH(F413,Setup!$D$9:$D$18,0)),0)))</f>
        <v/>
      </c>
      <c r="U413" s="30">
        <f>IF(T413="","",IF(V413=0,"Everyone",IF(COUNTIF(AI413:AT413,"&gt;0")=COUNTIF(Setup!$B$9:$B$20,"?*"),"Everyone",COUNTIF(AI413:AT413,"&gt;0")&amp;IF(COUNTIF(AI413:AT413,"&gt;0")=1," person"," people"))))</f>
        <v/>
      </c>
      <c r="V413" s="1">
        <f>SUM(AI413:AT413)</f>
        <v/>
      </c>
      <c r="W413">
        <f>IF(OR(T413="",Setup!$B$9=""),0,IF(V413=0,T413/COUNTIF(Setup!$B$9:$B$20,"?*"),T413*AI413/V413))</f>
        <v/>
      </c>
      <c r="X413">
        <f>IF(OR(T413="",Setup!$B$10=""),0,IF(V413=0,T413/COUNTIF(Setup!$B$9:$B$20,"?*"),T413*AJ413/V413))</f>
        <v/>
      </c>
      <c r="Y413">
        <f>IF(OR(T413="",Setup!$B$11=""),0,IF(V413=0,T413/COUNTIF(Setup!$B$9:$B$20,"?*"),T413*AK413/V413))</f>
        <v/>
      </c>
      <c r="Z413">
        <f>IF(OR(T413="",Setup!$B$12=""),0,IF(V413=0,T413/COUNTIF(Setup!$B$9:$B$20,"?*"),T413*AL413/V413))</f>
        <v/>
      </c>
      <c r="AA413">
        <f>IF(OR(T413="",Setup!$B$13=""),0,IF(V413=0,T413/COUNTIF(Setup!$B$9:$B$20,"?*"),T413*AM413/V413))</f>
        <v/>
      </c>
      <c r="AB413">
        <f>IF(OR(T413="",Setup!$B$14=""),0,IF(V413=0,T413/COUNTIF(Setup!$B$9:$B$20,"?*"),T413*AN413/V413))</f>
        <v/>
      </c>
      <c r="AC413">
        <f>IF(OR(T413="",Setup!$B$15=""),0,IF(V413=0,T413/COUNTIF(Setup!$B$9:$B$20,"?*"),T413*AO413/V413))</f>
        <v/>
      </c>
      <c r="AD413">
        <f>IF(OR(T413="",Setup!$B$16=""),0,IF(V413=0,T413/COUNTIF(Setup!$B$9:$B$20,"?*"),T413*AP413/V413))</f>
        <v/>
      </c>
      <c r="AE413">
        <f>IF(OR(T413="",Setup!$B$17=""),0,IF(V413=0,T413/COUNTIF(Setup!$B$9:$B$20,"?*"),T413*AQ413/V413))</f>
        <v/>
      </c>
      <c r="AF413">
        <f>IF(OR(T413="",Setup!$B$18=""),0,IF(V413=0,T413/COUNTIF(Setup!$B$9:$B$20,"?*"),T413*AR413/V413))</f>
        <v/>
      </c>
      <c r="AG413">
        <f>IF(OR(T413="",Setup!$B$19=""),0,IF(V413=0,T413/COUNTIF(Setup!$B$9:$B$20,"?*"),T413*AS413/V413))</f>
        <v/>
      </c>
      <c r="AH413">
        <f>IF(OR(T413="",Setup!$B$20=""),0,IF(V413=0,T413/COUNTIF(Setup!$B$9:$B$20,"?*"),T413*AT413/V413))</f>
        <v/>
      </c>
      <c r="AI413">
        <f>IF(Setup!$B$9="",0,IF(H413="",0,IF(ISNUMBER(H413),H413,1)))</f>
        <v/>
      </c>
      <c r="AJ413">
        <f>IF(Setup!$B$10="",0,IF(I413="",0,IF(ISNUMBER(I413),I413,1)))</f>
        <v/>
      </c>
      <c r="AK413">
        <f>IF(Setup!$B$11="",0,IF(J413="",0,IF(ISNUMBER(J413),J413,1)))</f>
        <v/>
      </c>
      <c r="AL413">
        <f>IF(Setup!$B$12="",0,IF(K413="",0,IF(ISNUMBER(K413),K413,1)))</f>
        <v/>
      </c>
      <c r="AM413">
        <f>IF(Setup!$B$13="",0,IF(L413="",0,IF(ISNUMBER(L413),L413,1)))</f>
        <v/>
      </c>
      <c r="AN413">
        <f>IF(Setup!$B$14="",0,IF(M413="",0,IF(ISNUMBER(M413),M413,1)))</f>
        <v/>
      </c>
      <c r="AO413">
        <f>IF(Setup!$B$15="",0,IF(N413="",0,IF(ISNUMBER(N413),N413,1)))</f>
        <v/>
      </c>
      <c r="AP413">
        <f>IF(Setup!$B$16="",0,IF(O413="",0,IF(ISNUMBER(O413),O413,1)))</f>
        <v/>
      </c>
      <c r="AQ413">
        <f>IF(Setup!$B$17="",0,IF(P413="",0,IF(ISNUMBER(P413),P413,1)))</f>
        <v/>
      </c>
      <c r="AR413">
        <f>IF(Setup!$B$18="",0,IF(Q413="",0,IF(ISNUMBER(Q413),Q413,1)))</f>
        <v/>
      </c>
      <c r="AS413">
        <f>IF(Setup!$B$19="",0,IF(R413="",0,IF(ISNUMBER(R413),R413,1)))</f>
        <v/>
      </c>
      <c r="AT413">
        <f>IF(Setup!$B$20="",0,IF(S413="",0,IF(ISNUMBER(S413),S413,1)))</f>
        <v/>
      </c>
    </row>
    <row r="414">
      <c r="A414" s="1" t="n"/>
      <c r="B414" s="24" t="n"/>
      <c r="C414" s="25" t="n"/>
      <c r="D414" s="25" t="n"/>
      <c r="E414" s="26" t="n"/>
      <c r="F414" s="27" t="n"/>
      <c r="G414" s="17" t="n"/>
      <c r="H414" s="28" t="n"/>
      <c r="I414" s="28" t="n"/>
      <c r="J414" s="28" t="n"/>
      <c r="K414" s="28" t="n"/>
      <c r="L414" s="28" t="n"/>
      <c r="M414" s="28" t="n"/>
      <c r="N414" s="28" t="n"/>
      <c r="O414" s="28" t="n"/>
      <c r="P414" s="28" t="n"/>
      <c r="Q414" s="28" t="n"/>
      <c r="R414" s="28" t="n"/>
      <c r="S414" s="28" t="n"/>
      <c r="T414" s="29">
        <f>IF(N(E414)=0,"",E414*IF(F414="",1,IFERROR(INDEX(Setup!$E$9:$E$18,MATCH(F414,Setup!$D$9:$D$18,0)),0)))</f>
        <v/>
      </c>
      <c r="U414" s="30">
        <f>IF(T414="","",IF(V414=0,"Everyone",IF(COUNTIF(AI414:AT414,"&gt;0")=COUNTIF(Setup!$B$9:$B$20,"?*"),"Everyone",COUNTIF(AI414:AT414,"&gt;0")&amp;IF(COUNTIF(AI414:AT414,"&gt;0")=1," person"," people"))))</f>
        <v/>
      </c>
      <c r="V414" s="1">
        <f>SUM(AI414:AT414)</f>
        <v/>
      </c>
      <c r="W414">
        <f>IF(OR(T414="",Setup!$B$9=""),0,IF(V414=0,T414/COUNTIF(Setup!$B$9:$B$20,"?*"),T414*AI414/V414))</f>
        <v/>
      </c>
      <c r="X414">
        <f>IF(OR(T414="",Setup!$B$10=""),0,IF(V414=0,T414/COUNTIF(Setup!$B$9:$B$20,"?*"),T414*AJ414/V414))</f>
        <v/>
      </c>
      <c r="Y414">
        <f>IF(OR(T414="",Setup!$B$11=""),0,IF(V414=0,T414/COUNTIF(Setup!$B$9:$B$20,"?*"),T414*AK414/V414))</f>
        <v/>
      </c>
      <c r="Z414">
        <f>IF(OR(T414="",Setup!$B$12=""),0,IF(V414=0,T414/COUNTIF(Setup!$B$9:$B$20,"?*"),T414*AL414/V414))</f>
        <v/>
      </c>
      <c r="AA414">
        <f>IF(OR(T414="",Setup!$B$13=""),0,IF(V414=0,T414/COUNTIF(Setup!$B$9:$B$20,"?*"),T414*AM414/V414))</f>
        <v/>
      </c>
      <c r="AB414">
        <f>IF(OR(T414="",Setup!$B$14=""),0,IF(V414=0,T414/COUNTIF(Setup!$B$9:$B$20,"?*"),T414*AN414/V414))</f>
        <v/>
      </c>
      <c r="AC414">
        <f>IF(OR(T414="",Setup!$B$15=""),0,IF(V414=0,T414/COUNTIF(Setup!$B$9:$B$20,"?*"),T414*AO414/V414))</f>
        <v/>
      </c>
      <c r="AD414">
        <f>IF(OR(T414="",Setup!$B$16=""),0,IF(V414=0,T414/COUNTIF(Setup!$B$9:$B$20,"?*"),T414*AP414/V414))</f>
        <v/>
      </c>
      <c r="AE414">
        <f>IF(OR(T414="",Setup!$B$17=""),0,IF(V414=0,T414/COUNTIF(Setup!$B$9:$B$20,"?*"),T414*AQ414/V414))</f>
        <v/>
      </c>
      <c r="AF414">
        <f>IF(OR(T414="",Setup!$B$18=""),0,IF(V414=0,T414/COUNTIF(Setup!$B$9:$B$20,"?*"),T414*AR414/V414))</f>
        <v/>
      </c>
      <c r="AG414">
        <f>IF(OR(T414="",Setup!$B$19=""),0,IF(V414=0,T414/COUNTIF(Setup!$B$9:$B$20,"?*"),T414*AS414/V414))</f>
        <v/>
      </c>
      <c r="AH414">
        <f>IF(OR(T414="",Setup!$B$20=""),0,IF(V414=0,T414/COUNTIF(Setup!$B$9:$B$20,"?*"),T414*AT414/V414))</f>
        <v/>
      </c>
      <c r="AI414">
        <f>IF(Setup!$B$9="",0,IF(H414="",0,IF(ISNUMBER(H414),H414,1)))</f>
        <v/>
      </c>
      <c r="AJ414">
        <f>IF(Setup!$B$10="",0,IF(I414="",0,IF(ISNUMBER(I414),I414,1)))</f>
        <v/>
      </c>
      <c r="AK414">
        <f>IF(Setup!$B$11="",0,IF(J414="",0,IF(ISNUMBER(J414),J414,1)))</f>
        <v/>
      </c>
      <c r="AL414">
        <f>IF(Setup!$B$12="",0,IF(K414="",0,IF(ISNUMBER(K414),K414,1)))</f>
        <v/>
      </c>
      <c r="AM414">
        <f>IF(Setup!$B$13="",0,IF(L414="",0,IF(ISNUMBER(L414),L414,1)))</f>
        <v/>
      </c>
      <c r="AN414">
        <f>IF(Setup!$B$14="",0,IF(M414="",0,IF(ISNUMBER(M414),M414,1)))</f>
        <v/>
      </c>
      <c r="AO414">
        <f>IF(Setup!$B$15="",0,IF(N414="",0,IF(ISNUMBER(N414),N414,1)))</f>
        <v/>
      </c>
      <c r="AP414">
        <f>IF(Setup!$B$16="",0,IF(O414="",0,IF(ISNUMBER(O414),O414,1)))</f>
        <v/>
      </c>
      <c r="AQ414">
        <f>IF(Setup!$B$17="",0,IF(P414="",0,IF(ISNUMBER(P414),P414,1)))</f>
        <v/>
      </c>
      <c r="AR414">
        <f>IF(Setup!$B$18="",0,IF(Q414="",0,IF(ISNUMBER(Q414),Q414,1)))</f>
        <v/>
      </c>
      <c r="AS414">
        <f>IF(Setup!$B$19="",0,IF(R414="",0,IF(ISNUMBER(R414),R414,1)))</f>
        <v/>
      </c>
      <c r="AT414">
        <f>IF(Setup!$B$20="",0,IF(S414="",0,IF(ISNUMBER(S414),S414,1)))</f>
        <v/>
      </c>
    </row>
    <row r="415">
      <c r="A415" s="1" t="n"/>
      <c r="B415" s="24" t="n"/>
      <c r="C415" s="25" t="n"/>
      <c r="D415" s="25" t="n"/>
      <c r="E415" s="26" t="n"/>
      <c r="F415" s="27" t="n"/>
      <c r="G415" s="17" t="n"/>
      <c r="H415" s="28" t="n"/>
      <c r="I415" s="28" t="n"/>
      <c r="J415" s="28" t="n"/>
      <c r="K415" s="28" t="n"/>
      <c r="L415" s="28" t="n"/>
      <c r="M415" s="28" t="n"/>
      <c r="N415" s="28" t="n"/>
      <c r="O415" s="28" t="n"/>
      <c r="P415" s="28" t="n"/>
      <c r="Q415" s="28" t="n"/>
      <c r="R415" s="28" t="n"/>
      <c r="S415" s="28" t="n"/>
      <c r="T415" s="29">
        <f>IF(N(E415)=0,"",E415*IF(F415="",1,IFERROR(INDEX(Setup!$E$9:$E$18,MATCH(F415,Setup!$D$9:$D$18,0)),0)))</f>
        <v/>
      </c>
      <c r="U415" s="30">
        <f>IF(T415="","",IF(V415=0,"Everyone",IF(COUNTIF(AI415:AT415,"&gt;0")=COUNTIF(Setup!$B$9:$B$20,"?*"),"Everyone",COUNTIF(AI415:AT415,"&gt;0")&amp;IF(COUNTIF(AI415:AT415,"&gt;0")=1," person"," people"))))</f>
        <v/>
      </c>
      <c r="V415" s="1">
        <f>SUM(AI415:AT415)</f>
        <v/>
      </c>
      <c r="W415">
        <f>IF(OR(T415="",Setup!$B$9=""),0,IF(V415=0,T415/COUNTIF(Setup!$B$9:$B$20,"?*"),T415*AI415/V415))</f>
        <v/>
      </c>
      <c r="X415">
        <f>IF(OR(T415="",Setup!$B$10=""),0,IF(V415=0,T415/COUNTIF(Setup!$B$9:$B$20,"?*"),T415*AJ415/V415))</f>
        <v/>
      </c>
      <c r="Y415">
        <f>IF(OR(T415="",Setup!$B$11=""),0,IF(V415=0,T415/COUNTIF(Setup!$B$9:$B$20,"?*"),T415*AK415/V415))</f>
        <v/>
      </c>
      <c r="Z415">
        <f>IF(OR(T415="",Setup!$B$12=""),0,IF(V415=0,T415/COUNTIF(Setup!$B$9:$B$20,"?*"),T415*AL415/V415))</f>
        <v/>
      </c>
      <c r="AA415">
        <f>IF(OR(T415="",Setup!$B$13=""),0,IF(V415=0,T415/COUNTIF(Setup!$B$9:$B$20,"?*"),T415*AM415/V415))</f>
        <v/>
      </c>
      <c r="AB415">
        <f>IF(OR(T415="",Setup!$B$14=""),0,IF(V415=0,T415/COUNTIF(Setup!$B$9:$B$20,"?*"),T415*AN415/V415))</f>
        <v/>
      </c>
      <c r="AC415">
        <f>IF(OR(T415="",Setup!$B$15=""),0,IF(V415=0,T415/COUNTIF(Setup!$B$9:$B$20,"?*"),T415*AO415/V415))</f>
        <v/>
      </c>
      <c r="AD415">
        <f>IF(OR(T415="",Setup!$B$16=""),0,IF(V415=0,T415/COUNTIF(Setup!$B$9:$B$20,"?*"),T415*AP415/V415))</f>
        <v/>
      </c>
      <c r="AE415">
        <f>IF(OR(T415="",Setup!$B$17=""),0,IF(V415=0,T415/COUNTIF(Setup!$B$9:$B$20,"?*"),T415*AQ415/V415))</f>
        <v/>
      </c>
      <c r="AF415">
        <f>IF(OR(T415="",Setup!$B$18=""),0,IF(V415=0,T415/COUNTIF(Setup!$B$9:$B$20,"?*"),T415*AR415/V415))</f>
        <v/>
      </c>
      <c r="AG415">
        <f>IF(OR(T415="",Setup!$B$19=""),0,IF(V415=0,T415/COUNTIF(Setup!$B$9:$B$20,"?*"),T415*AS415/V415))</f>
        <v/>
      </c>
      <c r="AH415">
        <f>IF(OR(T415="",Setup!$B$20=""),0,IF(V415=0,T415/COUNTIF(Setup!$B$9:$B$20,"?*"),T415*AT415/V415))</f>
        <v/>
      </c>
      <c r="AI415">
        <f>IF(Setup!$B$9="",0,IF(H415="",0,IF(ISNUMBER(H415),H415,1)))</f>
        <v/>
      </c>
      <c r="AJ415">
        <f>IF(Setup!$B$10="",0,IF(I415="",0,IF(ISNUMBER(I415),I415,1)))</f>
        <v/>
      </c>
      <c r="AK415">
        <f>IF(Setup!$B$11="",0,IF(J415="",0,IF(ISNUMBER(J415),J415,1)))</f>
        <v/>
      </c>
      <c r="AL415">
        <f>IF(Setup!$B$12="",0,IF(K415="",0,IF(ISNUMBER(K415),K415,1)))</f>
        <v/>
      </c>
      <c r="AM415">
        <f>IF(Setup!$B$13="",0,IF(L415="",0,IF(ISNUMBER(L415),L415,1)))</f>
        <v/>
      </c>
      <c r="AN415">
        <f>IF(Setup!$B$14="",0,IF(M415="",0,IF(ISNUMBER(M415),M415,1)))</f>
        <v/>
      </c>
      <c r="AO415">
        <f>IF(Setup!$B$15="",0,IF(N415="",0,IF(ISNUMBER(N415),N415,1)))</f>
        <v/>
      </c>
      <c r="AP415">
        <f>IF(Setup!$B$16="",0,IF(O415="",0,IF(ISNUMBER(O415),O415,1)))</f>
        <v/>
      </c>
      <c r="AQ415">
        <f>IF(Setup!$B$17="",0,IF(P415="",0,IF(ISNUMBER(P415),P415,1)))</f>
        <v/>
      </c>
      <c r="AR415">
        <f>IF(Setup!$B$18="",0,IF(Q415="",0,IF(ISNUMBER(Q415),Q415,1)))</f>
        <v/>
      </c>
      <c r="AS415">
        <f>IF(Setup!$B$19="",0,IF(R415="",0,IF(ISNUMBER(R415),R415,1)))</f>
        <v/>
      </c>
      <c r="AT415">
        <f>IF(Setup!$B$20="",0,IF(S415="",0,IF(ISNUMBER(S415),S415,1)))</f>
        <v/>
      </c>
    </row>
    <row r="416">
      <c r="A416" s="1" t="n"/>
      <c r="B416" s="24" t="n"/>
      <c r="C416" s="25" t="n"/>
      <c r="D416" s="25" t="n"/>
      <c r="E416" s="26" t="n"/>
      <c r="F416" s="27" t="n"/>
      <c r="G416" s="17" t="n"/>
      <c r="H416" s="28" t="n"/>
      <c r="I416" s="28" t="n"/>
      <c r="J416" s="28" t="n"/>
      <c r="K416" s="28" t="n"/>
      <c r="L416" s="28" t="n"/>
      <c r="M416" s="28" t="n"/>
      <c r="N416" s="28" t="n"/>
      <c r="O416" s="28" t="n"/>
      <c r="P416" s="28" t="n"/>
      <c r="Q416" s="28" t="n"/>
      <c r="R416" s="28" t="n"/>
      <c r="S416" s="28" t="n"/>
      <c r="T416" s="29">
        <f>IF(N(E416)=0,"",E416*IF(F416="",1,IFERROR(INDEX(Setup!$E$9:$E$18,MATCH(F416,Setup!$D$9:$D$18,0)),0)))</f>
        <v/>
      </c>
      <c r="U416" s="30">
        <f>IF(T416="","",IF(V416=0,"Everyone",IF(COUNTIF(AI416:AT416,"&gt;0")=COUNTIF(Setup!$B$9:$B$20,"?*"),"Everyone",COUNTIF(AI416:AT416,"&gt;0")&amp;IF(COUNTIF(AI416:AT416,"&gt;0")=1," person"," people"))))</f>
        <v/>
      </c>
      <c r="V416" s="1">
        <f>SUM(AI416:AT416)</f>
        <v/>
      </c>
      <c r="W416">
        <f>IF(OR(T416="",Setup!$B$9=""),0,IF(V416=0,T416/COUNTIF(Setup!$B$9:$B$20,"?*"),T416*AI416/V416))</f>
        <v/>
      </c>
      <c r="X416">
        <f>IF(OR(T416="",Setup!$B$10=""),0,IF(V416=0,T416/COUNTIF(Setup!$B$9:$B$20,"?*"),T416*AJ416/V416))</f>
        <v/>
      </c>
      <c r="Y416">
        <f>IF(OR(T416="",Setup!$B$11=""),0,IF(V416=0,T416/COUNTIF(Setup!$B$9:$B$20,"?*"),T416*AK416/V416))</f>
        <v/>
      </c>
      <c r="Z416">
        <f>IF(OR(T416="",Setup!$B$12=""),0,IF(V416=0,T416/COUNTIF(Setup!$B$9:$B$20,"?*"),T416*AL416/V416))</f>
        <v/>
      </c>
      <c r="AA416">
        <f>IF(OR(T416="",Setup!$B$13=""),0,IF(V416=0,T416/COUNTIF(Setup!$B$9:$B$20,"?*"),T416*AM416/V416))</f>
        <v/>
      </c>
      <c r="AB416">
        <f>IF(OR(T416="",Setup!$B$14=""),0,IF(V416=0,T416/COUNTIF(Setup!$B$9:$B$20,"?*"),T416*AN416/V416))</f>
        <v/>
      </c>
      <c r="AC416">
        <f>IF(OR(T416="",Setup!$B$15=""),0,IF(V416=0,T416/COUNTIF(Setup!$B$9:$B$20,"?*"),T416*AO416/V416))</f>
        <v/>
      </c>
      <c r="AD416">
        <f>IF(OR(T416="",Setup!$B$16=""),0,IF(V416=0,T416/COUNTIF(Setup!$B$9:$B$20,"?*"),T416*AP416/V416))</f>
        <v/>
      </c>
      <c r="AE416">
        <f>IF(OR(T416="",Setup!$B$17=""),0,IF(V416=0,T416/COUNTIF(Setup!$B$9:$B$20,"?*"),T416*AQ416/V416))</f>
        <v/>
      </c>
      <c r="AF416">
        <f>IF(OR(T416="",Setup!$B$18=""),0,IF(V416=0,T416/COUNTIF(Setup!$B$9:$B$20,"?*"),T416*AR416/V416))</f>
        <v/>
      </c>
      <c r="AG416">
        <f>IF(OR(T416="",Setup!$B$19=""),0,IF(V416=0,T416/COUNTIF(Setup!$B$9:$B$20,"?*"),T416*AS416/V416))</f>
        <v/>
      </c>
      <c r="AH416">
        <f>IF(OR(T416="",Setup!$B$20=""),0,IF(V416=0,T416/COUNTIF(Setup!$B$9:$B$20,"?*"),T416*AT416/V416))</f>
        <v/>
      </c>
      <c r="AI416">
        <f>IF(Setup!$B$9="",0,IF(H416="",0,IF(ISNUMBER(H416),H416,1)))</f>
        <v/>
      </c>
      <c r="AJ416">
        <f>IF(Setup!$B$10="",0,IF(I416="",0,IF(ISNUMBER(I416),I416,1)))</f>
        <v/>
      </c>
      <c r="AK416">
        <f>IF(Setup!$B$11="",0,IF(J416="",0,IF(ISNUMBER(J416),J416,1)))</f>
        <v/>
      </c>
      <c r="AL416">
        <f>IF(Setup!$B$12="",0,IF(K416="",0,IF(ISNUMBER(K416),K416,1)))</f>
        <v/>
      </c>
      <c r="AM416">
        <f>IF(Setup!$B$13="",0,IF(L416="",0,IF(ISNUMBER(L416),L416,1)))</f>
        <v/>
      </c>
      <c r="AN416">
        <f>IF(Setup!$B$14="",0,IF(M416="",0,IF(ISNUMBER(M416),M416,1)))</f>
        <v/>
      </c>
      <c r="AO416">
        <f>IF(Setup!$B$15="",0,IF(N416="",0,IF(ISNUMBER(N416),N416,1)))</f>
        <v/>
      </c>
      <c r="AP416">
        <f>IF(Setup!$B$16="",0,IF(O416="",0,IF(ISNUMBER(O416),O416,1)))</f>
        <v/>
      </c>
      <c r="AQ416">
        <f>IF(Setup!$B$17="",0,IF(P416="",0,IF(ISNUMBER(P416),P416,1)))</f>
        <v/>
      </c>
      <c r="AR416">
        <f>IF(Setup!$B$18="",0,IF(Q416="",0,IF(ISNUMBER(Q416),Q416,1)))</f>
        <v/>
      </c>
      <c r="AS416">
        <f>IF(Setup!$B$19="",0,IF(R416="",0,IF(ISNUMBER(R416),R416,1)))</f>
        <v/>
      </c>
      <c r="AT416">
        <f>IF(Setup!$B$20="",0,IF(S416="",0,IF(ISNUMBER(S416),S416,1)))</f>
        <v/>
      </c>
    </row>
    <row r="417">
      <c r="A417" s="1" t="n"/>
      <c r="B417" s="24" t="n"/>
      <c r="C417" s="25" t="n"/>
      <c r="D417" s="25" t="n"/>
      <c r="E417" s="26" t="n"/>
      <c r="F417" s="27" t="n"/>
      <c r="G417" s="17" t="n"/>
      <c r="H417" s="28" t="n"/>
      <c r="I417" s="28" t="n"/>
      <c r="J417" s="28" t="n"/>
      <c r="K417" s="28" t="n"/>
      <c r="L417" s="28" t="n"/>
      <c r="M417" s="28" t="n"/>
      <c r="N417" s="28" t="n"/>
      <c r="O417" s="28" t="n"/>
      <c r="P417" s="28" t="n"/>
      <c r="Q417" s="28" t="n"/>
      <c r="R417" s="28" t="n"/>
      <c r="S417" s="28" t="n"/>
      <c r="T417" s="29">
        <f>IF(N(E417)=0,"",E417*IF(F417="",1,IFERROR(INDEX(Setup!$E$9:$E$18,MATCH(F417,Setup!$D$9:$D$18,0)),0)))</f>
        <v/>
      </c>
      <c r="U417" s="30">
        <f>IF(T417="","",IF(V417=0,"Everyone",IF(COUNTIF(AI417:AT417,"&gt;0")=COUNTIF(Setup!$B$9:$B$20,"?*"),"Everyone",COUNTIF(AI417:AT417,"&gt;0")&amp;IF(COUNTIF(AI417:AT417,"&gt;0")=1," person"," people"))))</f>
        <v/>
      </c>
      <c r="V417" s="1">
        <f>SUM(AI417:AT417)</f>
        <v/>
      </c>
      <c r="W417">
        <f>IF(OR(T417="",Setup!$B$9=""),0,IF(V417=0,T417/COUNTIF(Setup!$B$9:$B$20,"?*"),T417*AI417/V417))</f>
        <v/>
      </c>
      <c r="X417">
        <f>IF(OR(T417="",Setup!$B$10=""),0,IF(V417=0,T417/COUNTIF(Setup!$B$9:$B$20,"?*"),T417*AJ417/V417))</f>
        <v/>
      </c>
      <c r="Y417">
        <f>IF(OR(T417="",Setup!$B$11=""),0,IF(V417=0,T417/COUNTIF(Setup!$B$9:$B$20,"?*"),T417*AK417/V417))</f>
        <v/>
      </c>
      <c r="Z417">
        <f>IF(OR(T417="",Setup!$B$12=""),0,IF(V417=0,T417/COUNTIF(Setup!$B$9:$B$20,"?*"),T417*AL417/V417))</f>
        <v/>
      </c>
      <c r="AA417">
        <f>IF(OR(T417="",Setup!$B$13=""),0,IF(V417=0,T417/COUNTIF(Setup!$B$9:$B$20,"?*"),T417*AM417/V417))</f>
        <v/>
      </c>
      <c r="AB417">
        <f>IF(OR(T417="",Setup!$B$14=""),0,IF(V417=0,T417/COUNTIF(Setup!$B$9:$B$20,"?*"),T417*AN417/V417))</f>
        <v/>
      </c>
      <c r="AC417">
        <f>IF(OR(T417="",Setup!$B$15=""),0,IF(V417=0,T417/COUNTIF(Setup!$B$9:$B$20,"?*"),T417*AO417/V417))</f>
        <v/>
      </c>
      <c r="AD417">
        <f>IF(OR(T417="",Setup!$B$16=""),0,IF(V417=0,T417/COUNTIF(Setup!$B$9:$B$20,"?*"),T417*AP417/V417))</f>
        <v/>
      </c>
      <c r="AE417">
        <f>IF(OR(T417="",Setup!$B$17=""),0,IF(V417=0,T417/COUNTIF(Setup!$B$9:$B$20,"?*"),T417*AQ417/V417))</f>
        <v/>
      </c>
      <c r="AF417">
        <f>IF(OR(T417="",Setup!$B$18=""),0,IF(V417=0,T417/COUNTIF(Setup!$B$9:$B$20,"?*"),T417*AR417/V417))</f>
        <v/>
      </c>
      <c r="AG417">
        <f>IF(OR(T417="",Setup!$B$19=""),0,IF(V417=0,T417/COUNTIF(Setup!$B$9:$B$20,"?*"),T417*AS417/V417))</f>
        <v/>
      </c>
      <c r="AH417">
        <f>IF(OR(T417="",Setup!$B$20=""),0,IF(V417=0,T417/COUNTIF(Setup!$B$9:$B$20,"?*"),T417*AT417/V417))</f>
        <v/>
      </c>
      <c r="AI417">
        <f>IF(Setup!$B$9="",0,IF(H417="",0,IF(ISNUMBER(H417),H417,1)))</f>
        <v/>
      </c>
      <c r="AJ417">
        <f>IF(Setup!$B$10="",0,IF(I417="",0,IF(ISNUMBER(I417),I417,1)))</f>
        <v/>
      </c>
      <c r="AK417">
        <f>IF(Setup!$B$11="",0,IF(J417="",0,IF(ISNUMBER(J417),J417,1)))</f>
        <v/>
      </c>
      <c r="AL417">
        <f>IF(Setup!$B$12="",0,IF(K417="",0,IF(ISNUMBER(K417),K417,1)))</f>
        <v/>
      </c>
      <c r="AM417">
        <f>IF(Setup!$B$13="",0,IF(L417="",0,IF(ISNUMBER(L417),L417,1)))</f>
        <v/>
      </c>
      <c r="AN417">
        <f>IF(Setup!$B$14="",0,IF(M417="",0,IF(ISNUMBER(M417),M417,1)))</f>
        <v/>
      </c>
      <c r="AO417">
        <f>IF(Setup!$B$15="",0,IF(N417="",0,IF(ISNUMBER(N417),N417,1)))</f>
        <v/>
      </c>
      <c r="AP417">
        <f>IF(Setup!$B$16="",0,IF(O417="",0,IF(ISNUMBER(O417),O417,1)))</f>
        <v/>
      </c>
      <c r="AQ417">
        <f>IF(Setup!$B$17="",0,IF(P417="",0,IF(ISNUMBER(P417),P417,1)))</f>
        <v/>
      </c>
      <c r="AR417">
        <f>IF(Setup!$B$18="",0,IF(Q417="",0,IF(ISNUMBER(Q417),Q417,1)))</f>
        <v/>
      </c>
      <c r="AS417">
        <f>IF(Setup!$B$19="",0,IF(R417="",0,IF(ISNUMBER(R417),R417,1)))</f>
        <v/>
      </c>
      <c r="AT417">
        <f>IF(Setup!$B$20="",0,IF(S417="",0,IF(ISNUMBER(S417),S417,1)))</f>
        <v/>
      </c>
    </row>
    <row r="418">
      <c r="A418" s="1" t="n"/>
      <c r="B418" s="24" t="n"/>
      <c r="C418" s="25" t="n"/>
      <c r="D418" s="25" t="n"/>
      <c r="E418" s="26" t="n"/>
      <c r="F418" s="27" t="n"/>
      <c r="G418" s="17" t="n"/>
      <c r="H418" s="28" t="n"/>
      <c r="I418" s="28" t="n"/>
      <c r="J418" s="28" t="n"/>
      <c r="K418" s="28" t="n"/>
      <c r="L418" s="28" t="n"/>
      <c r="M418" s="28" t="n"/>
      <c r="N418" s="28" t="n"/>
      <c r="O418" s="28" t="n"/>
      <c r="P418" s="28" t="n"/>
      <c r="Q418" s="28" t="n"/>
      <c r="R418" s="28" t="n"/>
      <c r="S418" s="28" t="n"/>
      <c r="T418" s="29">
        <f>IF(N(E418)=0,"",E418*IF(F418="",1,IFERROR(INDEX(Setup!$E$9:$E$18,MATCH(F418,Setup!$D$9:$D$18,0)),0)))</f>
        <v/>
      </c>
      <c r="U418" s="30">
        <f>IF(T418="","",IF(V418=0,"Everyone",IF(COUNTIF(AI418:AT418,"&gt;0")=COUNTIF(Setup!$B$9:$B$20,"?*"),"Everyone",COUNTIF(AI418:AT418,"&gt;0")&amp;IF(COUNTIF(AI418:AT418,"&gt;0")=1," person"," people"))))</f>
        <v/>
      </c>
      <c r="V418" s="1">
        <f>SUM(AI418:AT418)</f>
        <v/>
      </c>
      <c r="W418">
        <f>IF(OR(T418="",Setup!$B$9=""),0,IF(V418=0,T418/COUNTIF(Setup!$B$9:$B$20,"?*"),T418*AI418/V418))</f>
        <v/>
      </c>
      <c r="X418">
        <f>IF(OR(T418="",Setup!$B$10=""),0,IF(V418=0,T418/COUNTIF(Setup!$B$9:$B$20,"?*"),T418*AJ418/V418))</f>
        <v/>
      </c>
      <c r="Y418">
        <f>IF(OR(T418="",Setup!$B$11=""),0,IF(V418=0,T418/COUNTIF(Setup!$B$9:$B$20,"?*"),T418*AK418/V418))</f>
        <v/>
      </c>
      <c r="Z418">
        <f>IF(OR(T418="",Setup!$B$12=""),0,IF(V418=0,T418/COUNTIF(Setup!$B$9:$B$20,"?*"),T418*AL418/V418))</f>
        <v/>
      </c>
      <c r="AA418">
        <f>IF(OR(T418="",Setup!$B$13=""),0,IF(V418=0,T418/COUNTIF(Setup!$B$9:$B$20,"?*"),T418*AM418/V418))</f>
        <v/>
      </c>
      <c r="AB418">
        <f>IF(OR(T418="",Setup!$B$14=""),0,IF(V418=0,T418/COUNTIF(Setup!$B$9:$B$20,"?*"),T418*AN418/V418))</f>
        <v/>
      </c>
      <c r="AC418">
        <f>IF(OR(T418="",Setup!$B$15=""),0,IF(V418=0,T418/COUNTIF(Setup!$B$9:$B$20,"?*"),T418*AO418/V418))</f>
        <v/>
      </c>
      <c r="AD418">
        <f>IF(OR(T418="",Setup!$B$16=""),0,IF(V418=0,T418/COUNTIF(Setup!$B$9:$B$20,"?*"),T418*AP418/V418))</f>
        <v/>
      </c>
      <c r="AE418">
        <f>IF(OR(T418="",Setup!$B$17=""),0,IF(V418=0,T418/COUNTIF(Setup!$B$9:$B$20,"?*"),T418*AQ418/V418))</f>
        <v/>
      </c>
      <c r="AF418">
        <f>IF(OR(T418="",Setup!$B$18=""),0,IF(V418=0,T418/COUNTIF(Setup!$B$9:$B$20,"?*"),T418*AR418/V418))</f>
        <v/>
      </c>
      <c r="AG418">
        <f>IF(OR(T418="",Setup!$B$19=""),0,IF(V418=0,T418/COUNTIF(Setup!$B$9:$B$20,"?*"),T418*AS418/V418))</f>
        <v/>
      </c>
      <c r="AH418">
        <f>IF(OR(T418="",Setup!$B$20=""),0,IF(V418=0,T418/COUNTIF(Setup!$B$9:$B$20,"?*"),T418*AT418/V418))</f>
        <v/>
      </c>
      <c r="AI418">
        <f>IF(Setup!$B$9="",0,IF(H418="",0,IF(ISNUMBER(H418),H418,1)))</f>
        <v/>
      </c>
      <c r="AJ418">
        <f>IF(Setup!$B$10="",0,IF(I418="",0,IF(ISNUMBER(I418),I418,1)))</f>
        <v/>
      </c>
      <c r="AK418">
        <f>IF(Setup!$B$11="",0,IF(J418="",0,IF(ISNUMBER(J418),J418,1)))</f>
        <v/>
      </c>
      <c r="AL418">
        <f>IF(Setup!$B$12="",0,IF(K418="",0,IF(ISNUMBER(K418),K418,1)))</f>
        <v/>
      </c>
      <c r="AM418">
        <f>IF(Setup!$B$13="",0,IF(L418="",0,IF(ISNUMBER(L418),L418,1)))</f>
        <v/>
      </c>
      <c r="AN418">
        <f>IF(Setup!$B$14="",0,IF(M418="",0,IF(ISNUMBER(M418),M418,1)))</f>
        <v/>
      </c>
      <c r="AO418">
        <f>IF(Setup!$B$15="",0,IF(N418="",0,IF(ISNUMBER(N418),N418,1)))</f>
        <v/>
      </c>
      <c r="AP418">
        <f>IF(Setup!$B$16="",0,IF(O418="",0,IF(ISNUMBER(O418),O418,1)))</f>
        <v/>
      </c>
      <c r="AQ418">
        <f>IF(Setup!$B$17="",0,IF(P418="",0,IF(ISNUMBER(P418),P418,1)))</f>
        <v/>
      </c>
      <c r="AR418">
        <f>IF(Setup!$B$18="",0,IF(Q418="",0,IF(ISNUMBER(Q418),Q418,1)))</f>
        <v/>
      </c>
      <c r="AS418">
        <f>IF(Setup!$B$19="",0,IF(R418="",0,IF(ISNUMBER(R418),R418,1)))</f>
        <v/>
      </c>
      <c r="AT418">
        <f>IF(Setup!$B$20="",0,IF(S418="",0,IF(ISNUMBER(S418),S418,1)))</f>
        <v/>
      </c>
    </row>
    <row r="419">
      <c r="A419" s="1" t="n"/>
      <c r="B419" s="24" t="n"/>
      <c r="C419" s="25" t="n"/>
      <c r="D419" s="25" t="n"/>
      <c r="E419" s="26" t="n"/>
      <c r="F419" s="27" t="n"/>
      <c r="G419" s="17" t="n"/>
      <c r="H419" s="28" t="n"/>
      <c r="I419" s="28" t="n"/>
      <c r="J419" s="28" t="n"/>
      <c r="K419" s="28" t="n"/>
      <c r="L419" s="28" t="n"/>
      <c r="M419" s="28" t="n"/>
      <c r="N419" s="28" t="n"/>
      <c r="O419" s="28" t="n"/>
      <c r="P419" s="28" t="n"/>
      <c r="Q419" s="28" t="n"/>
      <c r="R419" s="28" t="n"/>
      <c r="S419" s="28" t="n"/>
      <c r="T419" s="29">
        <f>IF(N(E419)=0,"",E419*IF(F419="",1,IFERROR(INDEX(Setup!$E$9:$E$18,MATCH(F419,Setup!$D$9:$D$18,0)),0)))</f>
        <v/>
      </c>
      <c r="U419" s="30">
        <f>IF(T419="","",IF(V419=0,"Everyone",IF(COUNTIF(AI419:AT419,"&gt;0")=COUNTIF(Setup!$B$9:$B$20,"?*"),"Everyone",COUNTIF(AI419:AT419,"&gt;0")&amp;IF(COUNTIF(AI419:AT419,"&gt;0")=1," person"," people"))))</f>
        <v/>
      </c>
      <c r="V419" s="1">
        <f>SUM(AI419:AT419)</f>
        <v/>
      </c>
      <c r="W419">
        <f>IF(OR(T419="",Setup!$B$9=""),0,IF(V419=0,T419/COUNTIF(Setup!$B$9:$B$20,"?*"),T419*AI419/V419))</f>
        <v/>
      </c>
      <c r="X419">
        <f>IF(OR(T419="",Setup!$B$10=""),0,IF(V419=0,T419/COUNTIF(Setup!$B$9:$B$20,"?*"),T419*AJ419/V419))</f>
        <v/>
      </c>
      <c r="Y419">
        <f>IF(OR(T419="",Setup!$B$11=""),0,IF(V419=0,T419/COUNTIF(Setup!$B$9:$B$20,"?*"),T419*AK419/V419))</f>
        <v/>
      </c>
      <c r="Z419">
        <f>IF(OR(T419="",Setup!$B$12=""),0,IF(V419=0,T419/COUNTIF(Setup!$B$9:$B$20,"?*"),T419*AL419/V419))</f>
        <v/>
      </c>
      <c r="AA419">
        <f>IF(OR(T419="",Setup!$B$13=""),0,IF(V419=0,T419/COUNTIF(Setup!$B$9:$B$20,"?*"),T419*AM419/V419))</f>
        <v/>
      </c>
      <c r="AB419">
        <f>IF(OR(T419="",Setup!$B$14=""),0,IF(V419=0,T419/COUNTIF(Setup!$B$9:$B$20,"?*"),T419*AN419/V419))</f>
        <v/>
      </c>
      <c r="AC419">
        <f>IF(OR(T419="",Setup!$B$15=""),0,IF(V419=0,T419/COUNTIF(Setup!$B$9:$B$20,"?*"),T419*AO419/V419))</f>
        <v/>
      </c>
      <c r="AD419">
        <f>IF(OR(T419="",Setup!$B$16=""),0,IF(V419=0,T419/COUNTIF(Setup!$B$9:$B$20,"?*"),T419*AP419/V419))</f>
        <v/>
      </c>
      <c r="AE419">
        <f>IF(OR(T419="",Setup!$B$17=""),0,IF(V419=0,T419/COUNTIF(Setup!$B$9:$B$20,"?*"),T419*AQ419/V419))</f>
        <v/>
      </c>
      <c r="AF419">
        <f>IF(OR(T419="",Setup!$B$18=""),0,IF(V419=0,T419/COUNTIF(Setup!$B$9:$B$20,"?*"),T419*AR419/V419))</f>
        <v/>
      </c>
      <c r="AG419">
        <f>IF(OR(T419="",Setup!$B$19=""),0,IF(V419=0,T419/COUNTIF(Setup!$B$9:$B$20,"?*"),T419*AS419/V419))</f>
        <v/>
      </c>
      <c r="AH419">
        <f>IF(OR(T419="",Setup!$B$20=""),0,IF(V419=0,T419/COUNTIF(Setup!$B$9:$B$20,"?*"),T419*AT419/V419))</f>
        <v/>
      </c>
      <c r="AI419">
        <f>IF(Setup!$B$9="",0,IF(H419="",0,IF(ISNUMBER(H419),H419,1)))</f>
        <v/>
      </c>
      <c r="AJ419">
        <f>IF(Setup!$B$10="",0,IF(I419="",0,IF(ISNUMBER(I419),I419,1)))</f>
        <v/>
      </c>
      <c r="AK419">
        <f>IF(Setup!$B$11="",0,IF(J419="",0,IF(ISNUMBER(J419),J419,1)))</f>
        <v/>
      </c>
      <c r="AL419">
        <f>IF(Setup!$B$12="",0,IF(K419="",0,IF(ISNUMBER(K419),K419,1)))</f>
        <v/>
      </c>
      <c r="AM419">
        <f>IF(Setup!$B$13="",0,IF(L419="",0,IF(ISNUMBER(L419),L419,1)))</f>
        <v/>
      </c>
      <c r="AN419">
        <f>IF(Setup!$B$14="",0,IF(M419="",0,IF(ISNUMBER(M419),M419,1)))</f>
        <v/>
      </c>
      <c r="AO419">
        <f>IF(Setup!$B$15="",0,IF(N419="",0,IF(ISNUMBER(N419),N419,1)))</f>
        <v/>
      </c>
      <c r="AP419">
        <f>IF(Setup!$B$16="",0,IF(O419="",0,IF(ISNUMBER(O419),O419,1)))</f>
        <v/>
      </c>
      <c r="AQ419">
        <f>IF(Setup!$B$17="",0,IF(P419="",0,IF(ISNUMBER(P419),P419,1)))</f>
        <v/>
      </c>
      <c r="AR419">
        <f>IF(Setup!$B$18="",0,IF(Q419="",0,IF(ISNUMBER(Q419),Q419,1)))</f>
        <v/>
      </c>
      <c r="AS419">
        <f>IF(Setup!$B$19="",0,IF(R419="",0,IF(ISNUMBER(R419),R419,1)))</f>
        <v/>
      </c>
      <c r="AT419">
        <f>IF(Setup!$B$20="",0,IF(S419="",0,IF(ISNUMBER(S419),S419,1)))</f>
        <v/>
      </c>
    </row>
    <row r="420">
      <c r="A420" s="1" t="n"/>
      <c r="B420" s="24" t="n"/>
      <c r="C420" s="25" t="n"/>
      <c r="D420" s="25" t="n"/>
      <c r="E420" s="26" t="n"/>
      <c r="F420" s="27" t="n"/>
      <c r="G420" s="17" t="n"/>
      <c r="H420" s="28" t="n"/>
      <c r="I420" s="28" t="n"/>
      <c r="J420" s="28" t="n"/>
      <c r="K420" s="28" t="n"/>
      <c r="L420" s="28" t="n"/>
      <c r="M420" s="28" t="n"/>
      <c r="N420" s="28" t="n"/>
      <c r="O420" s="28" t="n"/>
      <c r="P420" s="28" t="n"/>
      <c r="Q420" s="28" t="n"/>
      <c r="R420" s="28" t="n"/>
      <c r="S420" s="28" t="n"/>
      <c r="T420" s="29">
        <f>IF(N(E420)=0,"",E420*IF(F420="",1,IFERROR(INDEX(Setup!$E$9:$E$18,MATCH(F420,Setup!$D$9:$D$18,0)),0)))</f>
        <v/>
      </c>
      <c r="U420" s="30">
        <f>IF(T420="","",IF(V420=0,"Everyone",IF(COUNTIF(AI420:AT420,"&gt;0")=COUNTIF(Setup!$B$9:$B$20,"?*"),"Everyone",COUNTIF(AI420:AT420,"&gt;0")&amp;IF(COUNTIF(AI420:AT420,"&gt;0")=1," person"," people"))))</f>
        <v/>
      </c>
      <c r="V420" s="1">
        <f>SUM(AI420:AT420)</f>
        <v/>
      </c>
      <c r="W420">
        <f>IF(OR(T420="",Setup!$B$9=""),0,IF(V420=0,T420/COUNTIF(Setup!$B$9:$B$20,"?*"),T420*AI420/V420))</f>
        <v/>
      </c>
      <c r="X420">
        <f>IF(OR(T420="",Setup!$B$10=""),0,IF(V420=0,T420/COUNTIF(Setup!$B$9:$B$20,"?*"),T420*AJ420/V420))</f>
        <v/>
      </c>
      <c r="Y420">
        <f>IF(OR(T420="",Setup!$B$11=""),0,IF(V420=0,T420/COUNTIF(Setup!$B$9:$B$20,"?*"),T420*AK420/V420))</f>
        <v/>
      </c>
      <c r="Z420">
        <f>IF(OR(T420="",Setup!$B$12=""),0,IF(V420=0,T420/COUNTIF(Setup!$B$9:$B$20,"?*"),T420*AL420/V420))</f>
        <v/>
      </c>
      <c r="AA420">
        <f>IF(OR(T420="",Setup!$B$13=""),0,IF(V420=0,T420/COUNTIF(Setup!$B$9:$B$20,"?*"),T420*AM420/V420))</f>
        <v/>
      </c>
      <c r="AB420">
        <f>IF(OR(T420="",Setup!$B$14=""),0,IF(V420=0,T420/COUNTIF(Setup!$B$9:$B$20,"?*"),T420*AN420/V420))</f>
        <v/>
      </c>
      <c r="AC420">
        <f>IF(OR(T420="",Setup!$B$15=""),0,IF(V420=0,T420/COUNTIF(Setup!$B$9:$B$20,"?*"),T420*AO420/V420))</f>
        <v/>
      </c>
      <c r="AD420">
        <f>IF(OR(T420="",Setup!$B$16=""),0,IF(V420=0,T420/COUNTIF(Setup!$B$9:$B$20,"?*"),T420*AP420/V420))</f>
        <v/>
      </c>
      <c r="AE420">
        <f>IF(OR(T420="",Setup!$B$17=""),0,IF(V420=0,T420/COUNTIF(Setup!$B$9:$B$20,"?*"),T420*AQ420/V420))</f>
        <v/>
      </c>
      <c r="AF420">
        <f>IF(OR(T420="",Setup!$B$18=""),0,IF(V420=0,T420/COUNTIF(Setup!$B$9:$B$20,"?*"),T420*AR420/V420))</f>
        <v/>
      </c>
      <c r="AG420">
        <f>IF(OR(T420="",Setup!$B$19=""),0,IF(V420=0,T420/COUNTIF(Setup!$B$9:$B$20,"?*"),T420*AS420/V420))</f>
        <v/>
      </c>
      <c r="AH420">
        <f>IF(OR(T420="",Setup!$B$20=""),0,IF(V420=0,T420/COUNTIF(Setup!$B$9:$B$20,"?*"),T420*AT420/V420))</f>
        <v/>
      </c>
      <c r="AI420">
        <f>IF(Setup!$B$9="",0,IF(H420="",0,IF(ISNUMBER(H420),H420,1)))</f>
        <v/>
      </c>
      <c r="AJ420">
        <f>IF(Setup!$B$10="",0,IF(I420="",0,IF(ISNUMBER(I420),I420,1)))</f>
        <v/>
      </c>
      <c r="AK420">
        <f>IF(Setup!$B$11="",0,IF(J420="",0,IF(ISNUMBER(J420),J420,1)))</f>
        <v/>
      </c>
      <c r="AL420">
        <f>IF(Setup!$B$12="",0,IF(K420="",0,IF(ISNUMBER(K420),K420,1)))</f>
        <v/>
      </c>
      <c r="AM420">
        <f>IF(Setup!$B$13="",0,IF(L420="",0,IF(ISNUMBER(L420),L420,1)))</f>
        <v/>
      </c>
      <c r="AN420">
        <f>IF(Setup!$B$14="",0,IF(M420="",0,IF(ISNUMBER(M420),M420,1)))</f>
        <v/>
      </c>
      <c r="AO420">
        <f>IF(Setup!$B$15="",0,IF(N420="",0,IF(ISNUMBER(N420),N420,1)))</f>
        <v/>
      </c>
      <c r="AP420">
        <f>IF(Setup!$B$16="",0,IF(O420="",0,IF(ISNUMBER(O420),O420,1)))</f>
        <v/>
      </c>
      <c r="AQ420">
        <f>IF(Setup!$B$17="",0,IF(P420="",0,IF(ISNUMBER(P420),P420,1)))</f>
        <v/>
      </c>
      <c r="AR420">
        <f>IF(Setup!$B$18="",0,IF(Q420="",0,IF(ISNUMBER(Q420),Q420,1)))</f>
        <v/>
      </c>
      <c r="AS420">
        <f>IF(Setup!$B$19="",0,IF(R420="",0,IF(ISNUMBER(R420),R420,1)))</f>
        <v/>
      </c>
      <c r="AT420">
        <f>IF(Setup!$B$20="",0,IF(S420="",0,IF(ISNUMBER(S420),S420,1)))</f>
        <v/>
      </c>
    </row>
    <row r="421">
      <c r="A421" s="1" t="n"/>
      <c r="B421" s="24" t="n"/>
      <c r="C421" s="25" t="n"/>
      <c r="D421" s="25" t="n"/>
      <c r="E421" s="26" t="n"/>
      <c r="F421" s="27" t="n"/>
      <c r="G421" s="17" t="n"/>
      <c r="H421" s="28" t="n"/>
      <c r="I421" s="28" t="n"/>
      <c r="J421" s="28" t="n"/>
      <c r="K421" s="28" t="n"/>
      <c r="L421" s="28" t="n"/>
      <c r="M421" s="28" t="n"/>
      <c r="N421" s="28" t="n"/>
      <c r="O421" s="28" t="n"/>
      <c r="P421" s="28" t="n"/>
      <c r="Q421" s="28" t="n"/>
      <c r="R421" s="28" t="n"/>
      <c r="S421" s="28" t="n"/>
      <c r="T421" s="29">
        <f>IF(N(E421)=0,"",E421*IF(F421="",1,IFERROR(INDEX(Setup!$E$9:$E$18,MATCH(F421,Setup!$D$9:$D$18,0)),0)))</f>
        <v/>
      </c>
      <c r="U421" s="30">
        <f>IF(T421="","",IF(V421=0,"Everyone",IF(COUNTIF(AI421:AT421,"&gt;0")=COUNTIF(Setup!$B$9:$B$20,"?*"),"Everyone",COUNTIF(AI421:AT421,"&gt;0")&amp;IF(COUNTIF(AI421:AT421,"&gt;0")=1," person"," people"))))</f>
        <v/>
      </c>
      <c r="V421" s="1">
        <f>SUM(AI421:AT421)</f>
        <v/>
      </c>
      <c r="W421">
        <f>IF(OR(T421="",Setup!$B$9=""),0,IF(V421=0,T421/COUNTIF(Setup!$B$9:$B$20,"?*"),T421*AI421/V421))</f>
        <v/>
      </c>
      <c r="X421">
        <f>IF(OR(T421="",Setup!$B$10=""),0,IF(V421=0,T421/COUNTIF(Setup!$B$9:$B$20,"?*"),T421*AJ421/V421))</f>
        <v/>
      </c>
      <c r="Y421">
        <f>IF(OR(T421="",Setup!$B$11=""),0,IF(V421=0,T421/COUNTIF(Setup!$B$9:$B$20,"?*"),T421*AK421/V421))</f>
        <v/>
      </c>
      <c r="Z421">
        <f>IF(OR(T421="",Setup!$B$12=""),0,IF(V421=0,T421/COUNTIF(Setup!$B$9:$B$20,"?*"),T421*AL421/V421))</f>
        <v/>
      </c>
      <c r="AA421">
        <f>IF(OR(T421="",Setup!$B$13=""),0,IF(V421=0,T421/COUNTIF(Setup!$B$9:$B$20,"?*"),T421*AM421/V421))</f>
        <v/>
      </c>
      <c r="AB421">
        <f>IF(OR(T421="",Setup!$B$14=""),0,IF(V421=0,T421/COUNTIF(Setup!$B$9:$B$20,"?*"),T421*AN421/V421))</f>
        <v/>
      </c>
      <c r="AC421">
        <f>IF(OR(T421="",Setup!$B$15=""),0,IF(V421=0,T421/COUNTIF(Setup!$B$9:$B$20,"?*"),T421*AO421/V421))</f>
        <v/>
      </c>
      <c r="AD421">
        <f>IF(OR(T421="",Setup!$B$16=""),0,IF(V421=0,T421/COUNTIF(Setup!$B$9:$B$20,"?*"),T421*AP421/V421))</f>
        <v/>
      </c>
      <c r="AE421">
        <f>IF(OR(T421="",Setup!$B$17=""),0,IF(V421=0,T421/COUNTIF(Setup!$B$9:$B$20,"?*"),T421*AQ421/V421))</f>
        <v/>
      </c>
      <c r="AF421">
        <f>IF(OR(T421="",Setup!$B$18=""),0,IF(V421=0,T421/COUNTIF(Setup!$B$9:$B$20,"?*"),T421*AR421/V421))</f>
        <v/>
      </c>
      <c r="AG421">
        <f>IF(OR(T421="",Setup!$B$19=""),0,IF(V421=0,T421/COUNTIF(Setup!$B$9:$B$20,"?*"),T421*AS421/V421))</f>
        <v/>
      </c>
      <c r="AH421">
        <f>IF(OR(T421="",Setup!$B$20=""),0,IF(V421=0,T421/COUNTIF(Setup!$B$9:$B$20,"?*"),T421*AT421/V421))</f>
        <v/>
      </c>
      <c r="AI421">
        <f>IF(Setup!$B$9="",0,IF(H421="",0,IF(ISNUMBER(H421),H421,1)))</f>
        <v/>
      </c>
      <c r="AJ421">
        <f>IF(Setup!$B$10="",0,IF(I421="",0,IF(ISNUMBER(I421),I421,1)))</f>
        <v/>
      </c>
      <c r="AK421">
        <f>IF(Setup!$B$11="",0,IF(J421="",0,IF(ISNUMBER(J421),J421,1)))</f>
        <v/>
      </c>
      <c r="AL421">
        <f>IF(Setup!$B$12="",0,IF(K421="",0,IF(ISNUMBER(K421),K421,1)))</f>
        <v/>
      </c>
      <c r="AM421">
        <f>IF(Setup!$B$13="",0,IF(L421="",0,IF(ISNUMBER(L421),L421,1)))</f>
        <v/>
      </c>
      <c r="AN421">
        <f>IF(Setup!$B$14="",0,IF(M421="",0,IF(ISNUMBER(M421),M421,1)))</f>
        <v/>
      </c>
      <c r="AO421">
        <f>IF(Setup!$B$15="",0,IF(N421="",0,IF(ISNUMBER(N421),N421,1)))</f>
        <v/>
      </c>
      <c r="AP421">
        <f>IF(Setup!$B$16="",0,IF(O421="",0,IF(ISNUMBER(O421),O421,1)))</f>
        <v/>
      </c>
      <c r="AQ421">
        <f>IF(Setup!$B$17="",0,IF(P421="",0,IF(ISNUMBER(P421),P421,1)))</f>
        <v/>
      </c>
      <c r="AR421">
        <f>IF(Setup!$B$18="",0,IF(Q421="",0,IF(ISNUMBER(Q421),Q421,1)))</f>
        <v/>
      </c>
      <c r="AS421">
        <f>IF(Setup!$B$19="",0,IF(R421="",0,IF(ISNUMBER(R421),R421,1)))</f>
        <v/>
      </c>
      <c r="AT421">
        <f>IF(Setup!$B$20="",0,IF(S421="",0,IF(ISNUMBER(S421),S421,1)))</f>
        <v/>
      </c>
    </row>
    <row r="422">
      <c r="A422" s="1" t="n"/>
      <c r="B422" s="24" t="n"/>
      <c r="C422" s="25" t="n"/>
      <c r="D422" s="25" t="n"/>
      <c r="E422" s="26" t="n"/>
      <c r="F422" s="27" t="n"/>
      <c r="G422" s="17" t="n"/>
      <c r="H422" s="28" t="n"/>
      <c r="I422" s="28" t="n"/>
      <c r="J422" s="28" t="n"/>
      <c r="K422" s="28" t="n"/>
      <c r="L422" s="28" t="n"/>
      <c r="M422" s="28" t="n"/>
      <c r="N422" s="28" t="n"/>
      <c r="O422" s="28" t="n"/>
      <c r="P422" s="28" t="n"/>
      <c r="Q422" s="28" t="n"/>
      <c r="R422" s="28" t="n"/>
      <c r="S422" s="28" t="n"/>
      <c r="T422" s="29">
        <f>IF(N(E422)=0,"",E422*IF(F422="",1,IFERROR(INDEX(Setup!$E$9:$E$18,MATCH(F422,Setup!$D$9:$D$18,0)),0)))</f>
        <v/>
      </c>
      <c r="U422" s="30">
        <f>IF(T422="","",IF(V422=0,"Everyone",IF(COUNTIF(AI422:AT422,"&gt;0")=COUNTIF(Setup!$B$9:$B$20,"?*"),"Everyone",COUNTIF(AI422:AT422,"&gt;0")&amp;IF(COUNTIF(AI422:AT422,"&gt;0")=1," person"," people"))))</f>
        <v/>
      </c>
      <c r="V422" s="1">
        <f>SUM(AI422:AT422)</f>
        <v/>
      </c>
      <c r="W422">
        <f>IF(OR(T422="",Setup!$B$9=""),0,IF(V422=0,T422/COUNTIF(Setup!$B$9:$B$20,"?*"),T422*AI422/V422))</f>
        <v/>
      </c>
      <c r="X422">
        <f>IF(OR(T422="",Setup!$B$10=""),0,IF(V422=0,T422/COUNTIF(Setup!$B$9:$B$20,"?*"),T422*AJ422/V422))</f>
        <v/>
      </c>
      <c r="Y422">
        <f>IF(OR(T422="",Setup!$B$11=""),0,IF(V422=0,T422/COUNTIF(Setup!$B$9:$B$20,"?*"),T422*AK422/V422))</f>
        <v/>
      </c>
      <c r="Z422">
        <f>IF(OR(T422="",Setup!$B$12=""),0,IF(V422=0,T422/COUNTIF(Setup!$B$9:$B$20,"?*"),T422*AL422/V422))</f>
        <v/>
      </c>
      <c r="AA422">
        <f>IF(OR(T422="",Setup!$B$13=""),0,IF(V422=0,T422/COUNTIF(Setup!$B$9:$B$20,"?*"),T422*AM422/V422))</f>
        <v/>
      </c>
      <c r="AB422">
        <f>IF(OR(T422="",Setup!$B$14=""),0,IF(V422=0,T422/COUNTIF(Setup!$B$9:$B$20,"?*"),T422*AN422/V422))</f>
        <v/>
      </c>
      <c r="AC422">
        <f>IF(OR(T422="",Setup!$B$15=""),0,IF(V422=0,T422/COUNTIF(Setup!$B$9:$B$20,"?*"),T422*AO422/V422))</f>
        <v/>
      </c>
      <c r="AD422">
        <f>IF(OR(T422="",Setup!$B$16=""),0,IF(V422=0,T422/COUNTIF(Setup!$B$9:$B$20,"?*"),T422*AP422/V422))</f>
        <v/>
      </c>
      <c r="AE422">
        <f>IF(OR(T422="",Setup!$B$17=""),0,IF(V422=0,T422/COUNTIF(Setup!$B$9:$B$20,"?*"),T422*AQ422/V422))</f>
        <v/>
      </c>
      <c r="AF422">
        <f>IF(OR(T422="",Setup!$B$18=""),0,IF(V422=0,T422/COUNTIF(Setup!$B$9:$B$20,"?*"),T422*AR422/V422))</f>
        <v/>
      </c>
      <c r="AG422">
        <f>IF(OR(T422="",Setup!$B$19=""),0,IF(V422=0,T422/COUNTIF(Setup!$B$9:$B$20,"?*"),T422*AS422/V422))</f>
        <v/>
      </c>
      <c r="AH422">
        <f>IF(OR(T422="",Setup!$B$20=""),0,IF(V422=0,T422/COUNTIF(Setup!$B$9:$B$20,"?*"),T422*AT422/V422))</f>
        <v/>
      </c>
      <c r="AI422">
        <f>IF(Setup!$B$9="",0,IF(H422="",0,IF(ISNUMBER(H422),H422,1)))</f>
        <v/>
      </c>
      <c r="AJ422">
        <f>IF(Setup!$B$10="",0,IF(I422="",0,IF(ISNUMBER(I422),I422,1)))</f>
        <v/>
      </c>
      <c r="AK422">
        <f>IF(Setup!$B$11="",0,IF(J422="",0,IF(ISNUMBER(J422),J422,1)))</f>
        <v/>
      </c>
      <c r="AL422">
        <f>IF(Setup!$B$12="",0,IF(K422="",0,IF(ISNUMBER(K422),K422,1)))</f>
        <v/>
      </c>
      <c r="AM422">
        <f>IF(Setup!$B$13="",0,IF(L422="",0,IF(ISNUMBER(L422),L422,1)))</f>
        <v/>
      </c>
      <c r="AN422">
        <f>IF(Setup!$B$14="",0,IF(M422="",0,IF(ISNUMBER(M422),M422,1)))</f>
        <v/>
      </c>
      <c r="AO422">
        <f>IF(Setup!$B$15="",0,IF(N422="",0,IF(ISNUMBER(N422),N422,1)))</f>
        <v/>
      </c>
      <c r="AP422">
        <f>IF(Setup!$B$16="",0,IF(O422="",0,IF(ISNUMBER(O422),O422,1)))</f>
        <v/>
      </c>
      <c r="AQ422">
        <f>IF(Setup!$B$17="",0,IF(P422="",0,IF(ISNUMBER(P422),P422,1)))</f>
        <v/>
      </c>
      <c r="AR422">
        <f>IF(Setup!$B$18="",0,IF(Q422="",0,IF(ISNUMBER(Q422),Q422,1)))</f>
        <v/>
      </c>
      <c r="AS422">
        <f>IF(Setup!$B$19="",0,IF(R422="",0,IF(ISNUMBER(R422),R422,1)))</f>
        <v/>
      </c>
      <c r="AT422">
        <f>IF(Setup!$B$20="",0,IF(S422="",0,IF(ISNUMBER(S422),S422,1)))</f>
        <v/>
      </c>
    </row>
    <row r="423">
      <c r="A423" s="1" t="n"/>
      <c r="B423" s="24" t="n"/>
      <c r="C423" s="25" t="n"/>
      <c r="D423" s="25" t="n"/>
      <c r="E423" s="26" t="n"/>
      <c r="F423" s="27" t="n"/>
      <c r="G423" s="17" t="n"/>
      <c r="H423" s="28" t="n"/>
      <c r="I423" s="28" t="n"/>
      <c r="J423" s="28" t="n"/>
      <c r="K423" s="28" t="n"/>
      <c r="L423" s="28" t="n"/>
      <c r="M423" s="28" t="n"/>
      <c r="N423" s="28" t="n"/>
      <c r="O423" s="28" t="n"/>
      <c r="P423" s="28" t="n"/>
      <c r="Q423" s="28" t="n"/>
      <c r="R423" s="28" t="n"/>
      <c r="S423" s="28" t="n"/>
      <c r="T423" s="29">
        <f>IF(N(E423)=0,"",E423*IF(F423="",1,IFERROR(INDEX(Setup!$E$9:$E$18,MATCH(F423,Setup!$D$9:$D$18,0)),0)))</f>
        <v/>
      </c>
      <c r="U423" s="30">
        <f>IF(T423="","",IF(V423=0,"Everyone",IF(COUNTIF(AI423:AT423,"&gt;0")=COUNTIF(Setup!$B$9:$B$20,"?*"),"Everyone",COUNTIF(AI423:AT423,"&gt;0")&amp;IF(COUNTIF(AI423:AT423,"&gt;0")=1," person"," people"))))</f>
        <v/>
      </c>
      <c r="V423" s="1">
        <f>SUM(AI423:AT423)</f>
        <v/>
      </c>
      <c r="W423">
        <f>IF(OR(T423="",Setup!$B$9=""),0,IF(V423=0,T423/COUNTIF(Setup!$B$9:$B$20,"?*"),T423*AI423/V423))</f>
        <v/>
      </c>
      <c r="X423">
        <f>IF(OR(T423="",Setup!$B$10=""),0,IF(V423=0,T423/COUNTIF(Setup!$B$9:$B$20,"?*"),T423*AJ423/V423))</f>
        <v/>
      </c>
      <c r="Y423">
        <f>IF(OR(T423="",Setup!$B$11=""),0,IF(V423=0,T423/COUNTIF(Setup!$B$9:$B$20,"?*"),T423*AK423/V423))</f>
        <v/>
      </c>
      <c r="Z423">
        <f>IF(OR(T423="",Setup!$B$12=""),0,IF(V423=0,T423/COUNTIF(Setup!$B$9:$B$20,"?*"),T423*AL423/V423))</f>
        <v/>
      </c>
      <c r="AA423">
        <f>IF(OR(T423="",Setup!$B$13=""),0,IF(V423=0,T423/COUNTIF(Setup!$B$9:$B$20,"?*"),T423*AM423/V423))</f>
        <v/>
      </c>
      <c r="AB423">
        <f>IF(OR(T423="",Setup!$B$14=""),0,IF(V423=0,T423/COUNTIF(Setup!$B$9:$B$20,"?*"),T423*AN423/V423))</f>
        <v/>
      </c>
      <c r="AC423">
        <f>IF(OR(T423="",Setup!$B$15=""),0,IF(V423=0,T423/COUNTIF(Setup!$B$9:$B$20,"?*"),T423*AO423/V423))</f>
        <v/>
      </c>
      <c r="AD423">
        <f>IF(OR(T423="",Setup!$B$16=""),0,IF(V423=0,T423/COUNTIF(Setup!$B$9:$B$20,"?*"),T423*AP423/V423))</f>
        <v/>
      </c>
      <c r="AE423">
        <f>IF(OR(T423="",Setup!$B$17=""),0,IF(V423=0,T423/COUNTIF(Setup!$B$9:$B$20,"?*"),T423*AQ423/V423))</f>
        <v/>
      </c>
      <c r="AF423">
        <f>IF(OR(T423="",Setup!$B$18=""),0,IF(V423=0,T423/COUNTIF(Setup!$B$9:$B$20,"?*"),T423*AR423/V423))</f>
        <v/>
      </c>
      <c r="AG423">
        <f>IF(OR(T423="",Setup!$B$19=""),0,IF(V423=0,T423/COUNTIF(Setup!$B$9:$B$20,"?*"),T423*AS423/V423))</f>
        <v/>
      </c>
      <c r="AH423">
        <f>IF(OR(T423="",Setup!$B$20=""),0,IF(V423=0,T423/COUNTIF(Setup!$B$9:$B$20,"?*"),T423*AT423/V423))</f>
        <v/>
      </c>
      <c r="AI423">
        <f>IF(Setup!$B$9="",0,IF(H423="",0,IF(ISNUMBER(H423),H423,1)))</f>
        <v/>
      </c>
      <c r="AJ423">
        <f>IF(Setup!$B$10="",0,IF(I423="",0,IF(ISNUMBER(I423),I423,1)))</f>
        <v/>
      </c>
      <c r="AK423">
        <f>IF(Setup!$B$11="",0,IF(J423="",0,IF(ISNUMBER(J423),J423,1)))</f>
        <v/>
      </c>
      <c r="AL423">
        <f>IF(Setup!$B$12="",0,IF(K423="",0,IF(ISNUMBER(K423),K423,1)))</f>
        <v/>
      </c>
      <c r="AM423">
        <f>IF(Setup!$B$13="",0,IF(L423="",0,IF(ISNUMBER(L423),L423,1)))</f>
        <v/>
      </c>
      <c r="AN423">
        <f>IF(Setup!$B$14="",0,IF(M423="",0,IF(ISNUMBER(M423),M423,1)))</f>
        <v/>
      </c>
      <c r="AO423">
        <f>IF(Setup!$B$15="",0,IF(N423="",0,IF(ISNUMBER(N423),N423,1)))</f>
        <v/>
      </c>
      <c r="AP423">
        <f>IF(Setup!$B$16="",0,IF(O423="",0,IF(ISNUMBER(O423),O423,1)))</f>
        <v/>
      </c>
      <c r="AQ423">
        <f>IF(Setup!$B$17="",0,IF(P423="",0,IF(ISNUMBER(P423),P423,1)))</f>
        <v/>
      </c>
      <c r="AR423">
        <f>IF(Setup!$B$18="",0,IF(Q423="",0,IF(ISNUMBER(Q423),Q423,1)))</f>
        <v/>
      </c>
      <c r="AS423">
        <f>IF(Setup!$B$19="",0,IF(R423="",0,IF(ISNUMBER(R423),R423,1)))</f>
        <v/>
      </c>
      <c r="AT423">
        <f>IF(Setup!$B$20="",0,IF(S423="",0,IF(ISNUMBER(S423),S423,1)))</f>
        <v/>
      </c>
    </row>
    <row r="424">
      <c r="A424" s="1" t="n"/>
      <c r="B424" s="24" t="n"/>
      <c r="C424" s="25" t="n"/>
      <c r="D424" s="25" t="n"/>
      <c r="E424" s="26" t="n"/>
      <c r="F424" s="27" t="n"/>
      <c r="G424" s="17" t="n"/>
      <c r="H424" s="28" t="n"/>
      <c r="I424" s="28" t="n"/>
      <c r="J424" s="28" t="n"/>
      <c r="K424" s="28" t="n"/>
      <c r="L424" s="28" t="n"/>
      <c r="M424" s="28" t="n"/>
      <c r="N424" s="28" t="n"/>
      <c r="O424" s="28" t="n"/>
      <c r="P424" s="28" t="n"/>
      <c r="Q424" s="28" t="n"/>
      <c r="R424" s="28" t="n"/>
      <c r="S424" s="28" t="n"/>
      <c r="T424" s="29">
        <f>IF(N(E424)=0,"",E424*IF(F424="",1,IFERROR(INDEX(Setup!$E$9:$E$18,MATCH(F424,Setup!$D$9:$D$18,0)),0)))</f>
        <v/>
      </c>
      <c r="U424" s="30">
        <f>IF(T424="","",IF(V424=0,"Everyone",IF(COUNTIF(AI424:AT424,"&gt;0")=COUNTIF(Setup!$B$9:$B$20,"?*"),"Everyone",COUNTIF(AI424:AT424,"&gt;0")&amp;IF(COUNTIF(AI424:AT424,"&gt;0")=1," person"," people"))))</f>
        <v/>
      </c>
      <c r="V424" s="1">
        <f>SUM(AI424:AT424)</f>
        <v/>
      </c>
      <c r="W424">
        <f>IF(OR(T424="",Setup!$B$9=""),0,IF(V424=0,T424/COUNTIF(Setup!$B$9:$B$20,"?*"),T424*AI424/V424))</f>
        <v/>
      </c>
      <c r="X424">
        <f>IF(OR(T424="",Setup!$B$10=""),0,IF(V424=0,T424/COUNTIF(Setup!$B$9:$B$20,"?*"),T424*AJ424/V424))</f>
        <v/>
      </c>
      <c r="Y424">
        <f>IF(OR(T424="",Setup!$B$11=""),0,IF(V424=0,T424/COUNTIF(Setup!$B$9:$B$20,"?*"),T424*AK424/V424))</f>
        <v/>
      </c>
      <c r="Z424">
        <f>IF(OR(T424="",Setup!$B$12=""),0,IF(V424=0,T424/COUNTIF(Setup!$B$9:$B$20,"?*"),T424*AL424/V424))</f>
        <v/>
      </c>
      <c r="AA424">
        <f>IF(OR(T424="",Setup!$B$13=""),0,IF(V424=0,T424/COUNTIF(Setup!$B$9:$B$20,"?*"),T424*AM424/V424))</f>
        <v/>
      </c>
      <c r="AB424">
        <f>IF(OR(T424="",Setup!$B$14=""),0,IF(V424=0,T424/COUNTIF(Setup!$B$9:$B$20,"?*"),T424*AN424/V424))</f>
        <v/>
      </c>
      <c r="AC424">
        <f>IF(OR(T424="",Setup!$B$15=""),0,IF(V424=0,T424/COUNTIF(Setup!$B$9:$B$20,"?*"),T424*AO424/V424))</f>
        <v/>
      </c>
      <c r="AD424">
        <f>IF(OR(T424="",Setup!$B$16=""),0,IF(V424=0,T424/COUNTIF(Setup!$B$9:$B$20,"?*"),T424*AP424/V424))</f>
        <v/>
      </c>
      <c r="AE424">
        <f>IF(OR(T424="",Setup!$B$17=""),0,IF(V424=0,T424/COUNTIF(Setup!$B$9:$B$20,"?*"),T424*AQ424/V424))</f>
        <v/>
      </c>
      <c r="AF424">
        <f>IF(OR(T424="",Setup!$B$18=""),0,IF(V424=0,T424/COUNTIF(Setup!$B$9:$B$20,"?*"),T424*AR424/V424))</f>
        <v/>
      </c>
      <c r="AG424">
        <f>IF(OR(T424="",Setup!$B$19=""),0,IF(V424=0,T424/COUNTIF(Setup!$B$9:$B$20,"?*"),T424*AS424/V424))</f>
        <v/>
      </c>
      <c r="AH424">
        <f>IF(OR(T424="",Setup!$B$20=""),0,IF(V424=0,T424/COUNTIF(Setup!$B$9:$B$20,"?*"),T424*AT424/V424))</f>
        <v/>
      </c>
      <c r="AI424">
        <f>IF(Setup!$B$9="",0,IF(H424="",0,IF(ISNUMBER(H424),H424,1)))</f>
        <v/>
      </c>
      <c r="AJ424">
        <f>IF(Setup!$B$10="",0,IF(I424="",0,IF(ISNUMBER(I424),I424,1)))</f>
        <v/>
      </c>
      <c r="AK424">
        <f>IF(Setup!$B$11="",0,IF(J424="",0,IF(ISNUMBER(J424),J424,1)))</f>
        <v/>
      </c>
      <c r="AL424">
        <f>IF(Setup!$B$12="",0,IF(K424="",0,IF(ISNUMBER(K424),K424,1)))</f>
        <v/>
      </c>
      <c r="AM424">
        <f>IF(Setup!$B$13="",0,IF(L424="",0,IF(ISNUMBER(L424),L424,1)))</f>
        <v/>
      </c>
      <c r="AN424">
        <f>IF(Setup!$B$14="",0,IF(M424="",0,IF(ISNUMBER(M424),M424,1)))</f>
        <v/>
      </c>
      <c r="AO424">
        <f>IF(Setup!$B$15="",0,IF(N424="",0,IF(ISNUMBER(N424),N424,1)))</f>
        <v/>
      </c>
      <c r="AP424">
        <f>IF(Setup!$B$16="",0,IF(O424="",0,IF(ISNUMBER(O424),O424,1)))</f>
        <v/>
      </c>
      <c r="AQ424">
        <f>IF(Setup!$B$17="",0,IF(P424="",0,IF(ISNUMBER(P424),P424,1)))</f>
        <v/>
      </c>
      <c r="AR424">
        <f>IF(Setup!$B$18="",0,IF(Q424="",0,IF(ISNUMBER(Q424),Q424,1)))</f>
        <v/>
      </c>
      <c r="AS424">
        <f>IF(Setup!$B$19="",0,IF(R424="",0,IF(ISNUMBER(R424),R424,1)))</f>
        <v/>
      </c>
      <c r="AT424">
        <f>IF(Setup!$B$20="",0,IF(S424="",0,IF(ISNUMBER(S424),S424,1)))</f>
        <v/>
      </c>
    </row>
    <row r="425">
      <c r="A425" s="1" t="n"/>
      <c r="B425" s="24" t="n"/>
      <c r="C425" s="25" t="n"/>
      <c r="D425" s="25" t="n"/>
      <c r="E425" s="26" t="n"/>
      <c r="F425" s="27" t="n"/>
      <c r="G425" s="17" t="n"/>
      <c r="H425" s="28" t="n"/>
      <c r="I425" s="28" t="n"/>
      <c r="J425" s="28" t="n"/>
      <c r="K425" s="28" t="n"/>
      <c r="L425" s="28" t="n"/>
      <c r="M425" s="28" t="n"/>
      <c r="N425" s="28" t="n"/>
      <c r="O425" s="28" t="n"/>
      <c r="P425" s="28" t="n"/>
      <c r="Q425" s="28" t="n"/>
      <c r="R425" s="28" t="n"/>
      <c r="S425" s="28" t="n"/>
      <c r="T425" s="29">
        <f>IF(N(E425)=0,"",E425*IF(F425="",1,IFERROR(INDEX(Setup!$E$9:$E$18,MATCH(F425,Setup!$D$9:$D$18,0)),0)))</f>
        <v/>
      </c>
      <c r="U425" s="30">
        <f>IF(T425="","",IF(V425=0,"Everyone",IF(COUNTIF(AI425:AT425,"&gt;0")=COUNTIF(Setup!$B$9:$B$20,"?*"),"Everyone",COUNTIF(AI425:AT425,"&gt;0")&amp;IF(COUNTIF(AI425:AT425,"&gt;0")=1," person"," people"))))</f>
        <v/>
      </c>
      <c r="V425" s="1">
        <f>SUM(AI425:AT425)</f>
        <v/>
      </c>
      <c r="W425">
        <f>IF(OR(T425="",Setup!$B$9=""),0,IF(V425=0,T425/COUNTIF(Setup!$B$9:$B$20,"?*"),T425*AI425/V425))</f>
        <v/>
      </c>
      <c r="X425">
        <f>IF(OR(T425="",Setup!$B$10=""),0,IF(V425=0,T425/COUNTIF(Setup!$B$9:$B$20,"?*"),T425*AJ425/V425))</f>
        <v/>
      </c>
      <c r="Y425">
        <f>IF(OR(T425="",Setup!$B$11=""),0,IF(V425=0,T425/COUNTIF(Setup!$B$9:$B$20,"?*"),T425*AK425/V425))</f>
        <v/>
      </c>
      <c r="Z425">
        <f>IF(OR(T425="",Setup!$B$12=""),0,IF(V425=0,T425/COUNTIF(Setup!$B$9:$B$20,"?*"),T425*AL425/V425))</f>
        <v/>
      </c>
      <c r="AA425">
        <f>IF(OR(T425="",Setup!$B$13=""),0,IF(V425=0,T425/COUNTIF(Setup!$B$9:$B$20,"?*"),T425*AM425/V425))</f>
        <v/>
      </c>
      <c r="AB425">
        <f>IF(OR(T425="",Setup!$B$14=""),0,IF(V425=0,T425/COUNTIF(Setup!$B$9:$B$20,"?*"),T425*AN425/V425))</f>
        <v/>
      </c>
      <c r="AC425">
        <f>IF(OR(T425="",Setup!$B$15=""),0,IF(V425=0,T425/COUNTIF(Setup!$B$9:$B$20,"?*"),T425*AO425/V425))</f>
        <v/>
      </c>
      <c r="AD425">
        <f>IF(OR(T425="",Setup!$B$16=""),0,IF(V425=0,T425/COUNTIF(Setup!$B$9:$B$20,"?*"),T425*AP425/V425))</f>
        <v/>
      </c>
      <c r="AE425">
        <f>IF(OR(T425="",Setup!$B$17=""),0,IF(V425=0,T425/COUNTIF(Setup!$B$9:$B$20,"?*"),T425*AQ425/V425))</f>
        <v/>
      </c>
      <c r="AF425">
        <f>IF(OR(T425="",Setup!$B$18=""),0,IF(V425=0,T425/COUNTIF(Setup!$B$9:$B$20,"?*"),T425*AR425/V425))</f>
        <v/>
      </c>
      <c r="AG425">
        <f>IF(OR(T425="",Setup!$B$19=""),0,IF(V425=0,T425/COUNTIF(Setup!$B$9:$B$20,"?*"),T425*AS425/V425))</f>
        <v/>
      </c>
      <c r="AH425">
        <f>IF(OR(T425="",Setup!$B$20=""),0,IF(V425=0,T425/COUNTIF(Setup!$B$9:$B$20,"?*"),T425*AT425/V425))</f>
        <v/>
      </c>
      <c r="AI425">
        <f>IF(Setup!$B$9="",0,IF(H425="",0,IF(ISNUMBER(H425),H425,1)))</f>
        <v/>
      </c>
      <c r="AJ425">
        <f>IF(Setup!$B$10="",0,IF(I425="",0,IF(ISNUMBER(I425),I425,1)))</f>
        <v/>
      </c>
      <c r="AK425">
        <f>IF(Setup!$B$11="",0,IF(J425="",0,IF(ISNUMBER(J425),J425,1)))</f>
        <v/>
      </c>
      <c r="AL425">
        <f>IF(Setup!$B$12="",0,IF(K425="",0,IF(ISNUMBER(K425),K425,1)))</f>
        <v/>
      </c>
      <c r="AM425">
        <f>IF(Setup!$B$13="",0,IF(L425="",0,IF(ISNUMBER(L425),L425,1)))</f>
        <v/>
      </c>
      <c r="AN425">
        <f>IF(Setup!$B$14="",0,IF(M425="",0,IF(ISNUMBER(M425),M425,1)))</f>
        <v/>
      </c>
      <c r="AO425">
        <f>IF(Setup!$B$15="",0,IF(N425="",0,IF(ISNUMBER(N425),N425,1)))</f>
        <v/>
      </c>
      <c r="AP425">
        <f>IF(Setup!$B$16="",0,IF(O425="",0,IF(ISNUMBER(O425),O425,1)))</f>
        <v/>
      </c>
      <c r="AQ425">
        <f>IF(Setup!$B$17="",0,IF(P425="",0,IF(ISNUMBER(P425),P425,1)))</f>
        <v/>
      </c>
      <c r="AR425">
        <f>IF(Setup!$B$18="",0,IF(Q425="",0,IF(ISNUMBER(Q425),Q425,1)))</f>
        <v/>
      </c>
      <c r="AS425">
        <f>IF(Setup!$B$19="",0,IF(R425="",0,IF(ISNUMBER(R425),R425,1)))</f>
        <v/>
      </c>
      <c r="AT425">
        <f>IF(Setup!$B$20="",0,IF(S425="",0,IF(ISNUMBER(S425),S425,1)))</f>
        <v/>
      </c>
    </row>
    <row r="426">
      <c r="A426" s="1" t="n"/>
      <c r="B426" s="24" t="n"/>
      <c r="C426" s="25" t="n"/>
      <c r="D426" s="25" t="n"/>
      <c r="E426" s="26" t="n"/>
      <c r="F426" s="27" t="n"/>
      <c r="G426" s="17" t="n"/>
      <c r="H426" s="28" t="n"/>
      <c r="I426" s="28" t="n"/>
      <c r="J426" s="28" t="n"/>
      <c r="K426" s="28" t="n"/>
      <c r="L426" s="28" t="n"/>
      <c r="M426" s="28" t="n"/>
      <c r="N426" s="28" t="n"/>
      <c r="O426" s="28" t="n"/>
      <c r="P426" s="28" t="n"/>
      <c r="Q426" s="28" t="n"/>
      <c r="R426" s="28" t="n"/>
      <c r="S426" s="28" t="n"/>
      <c r="T426" s="29">
        <f>IF(N(E426)=0,"",E426*IF(F426="",1,IFERROR(INDEX(Setup!$E$9:$E$18,MATCH(F426,Setup!$D$9:$D$18,0)),0)))</f>
        <v/>
      </c>
      <c r="U426" s="30">
        <f>IF(T426="","",IF(V426=0,"Everyone",IF(COUNTIF(AI426:AT426,"&gt;0")=COUNTIF(Setup!$B$9:$B$20,"?*"),"Everyone",COUNTIF(AI426:AT426,"&gt;0")&amp;IF(COUNTIF(AI426:AT426,"&gt;0")=1," person"," people"))))</f>
        <v/>
      </c>
      <c r="V426" s="1">
        <f>SUM(AI426:AT426)</f>
        <v/>
      </c>
      <c r="W426">
        <f>IF(OR(T426="",Setup!$B$9=""),0,IF(V426=0,T426/COUNTIF(Setup!$B$9:$B$20,"?*"),T426*AI426/V426))</f>
        <v/>
      </c>
      <c r="X426">
        <f>IF(OR(T426="",Setup!$B$10=""),0,IF(V426=0,T426/COUNTIF(Setup!$B$9:$B$20,"?*"),T426*AJ426/V426))</f>
        <v/>
      </c>
      <c r="Y426">
        <f>IF(OR(T426="",Setup!$B$11=""),0,IF(V426=0,T426/COUNTIF(Setup!$B$9:$B$20,"?*"),T426*AK426/V426))</f>
        <v/>
      </c>
      <c r="Z426">
        <f>IF(OR(T426="",Setup!$B$12=""),0,IF(V426=0,T426/COUNTIF(Setup!$B$9:$B$20,"?*"),T426*AL426/V426))</f>
        <v/>
      </c>
      <c r="AA426">
        <f>IF(OR(T426="",Setup!$B$13=""),0,IF(V426=0,T426/COUNTIF(Setup!$B$9:$B$20,"?*"),T426*AM426/V426))</f>
        <v/>
      </c>
      <c r="AB426">
        <f>IF(OR(T426="",Setup!$B$14=""),0,IF(V426=0,T426/COUNTIF(Setup!$B$9:$B$20,"?*"),T426*AN426/V426))</f>
        <v/>
      </c>
      <c r="AC426">
        <f>IF(OR(T426="",Setup!$B$15=""),0,IF(V426=0,T426/COUNTIF(Setup!$B$9:$B$20,"?*"),T426*AO426/V426))</f>
        <v/>
      </c>
      <c r="AD426">
        <f>IF(OR(T426="",Setup!$B$16=""),0,IF(V426=0,T426/COUNTIF(Setup!$B$9:$B$20,"?*"),T426*AP426/V426))</f>
        <v/>
      </c>
      <c r="AE426">
        <f>IF(OR(T426="",Setup!$B$17=""),0,IF(V426=0,T426/COUNTIF(Setup!$B$9:$B$20,"?*"),T426*AQ426/V426))</f>
        <v/>
      </c>
      <c r="AF426">
        <f>IF(OR(T426="",Setup!$B$18=""),0,IF(V426=0,T426/COUNTIF(Setup!$B$9:$B$20,"?*"),T426*AR426/V426))</f>
        <v/>
      </c>
      <c r="AG426">
        <f>IF(OR(T426="",Setup!$B$19=""),0,IF(V426=0,T426/COUNTIF(Setup!$B$9:$B$20,"?*"),T426*AS426/V426))</f>
        <v/>
      </c>
      <c r="AH426">
        <f>IF(OR(T426="",Setup!$B$20=""),0,IF(V426=0,T426/COUNTIF(Setup!$B$9:$B$20,"?*"),T426*AT426/V426))</f>
        <v/>
      </c>
      <c r="AI426">
        <f>IF(Setup!$B$9="",0,IF(H426="",0,IF(ISNUMBER(H426),H426,1)))</f>
        <v/>
      </c>
      <c r="AJ426">
        <f>IF(Setup!$B$10="",0,IF(I426="",0,IF(ISNUMBER(I426),I426,1)))</f>
        <v/>
      </c>
      <c r="AK426">
        <f>IF(Setup!$B$11="",0,IF(J426="",0,IF(ISNUMBER(J426),J426,1)))</f>
        <v/>
      </c>
      <c r="AL426">
        <f>IF(Setup!$B$12="",0,IF(K426="",0,IF(ISNUMBER(K426),K426,1)))</f>
        <v/>
      </c>
      <c r="AM426">
        <f>IF(Setup!$B$13="",0,IF(L426="",0,IF(ISNUMBER(L426),L426,1)))</f>
        <v/>
      </c>
      <c r="AN426">
        <f>IF(Setup!$B$14="",0,IF(M426="",0,IF(ISNUMBER(M426),M426,1)))</f>
        <v/>
      </c>
      <c r="AO426">
        <f>IF(Setup!$B$15="",0,IF(N426="",0,IF(ISNUMBER(N426),N426,1)))</f>
        <v/>
      </c>
      <c r="AP426">
        <f>IF(Setup!$B$16="",0,IF(O426="",0,IF(ISNUMBER(O426),O426,1)))</f>
        <v/>
      </c>
      <c r="AQ426">
        <f>IF(Setup!$B$17="",0,IF(P426="",0,IF(ISNUMBER(P426),P426,1)))</f>
        <v/>
      </c>
      <c r="AR426">
        <f>IF(Setup!$B$18="",0,IF(Q426="",0,IF(ISNUMBER(Q426),Q426,1)))</f>
        <v/>
      </c>
      <c r="AS426">
        <f>IF(Setup!$B$19="",0,IF(R426="",0,IF(ISNUMBER(R426),R426,1)))</f>
        <v/>
      </c>
      <c r="AT426">
        <f>IF(Setup!$B$20="",0,IF(S426="",0,IF(ISNUMBER(S426),S426,1)))</f>
        <v/>
      </c>
    </row>
    <row r="427">
      <c r="A427" s="1" t="n"/>
      <c r="B427" s="24" t="n"/>
      <c r="C427" s="25" t="n"/>
      <c r="D427" s="25" t="n"/>
      <c r="E427" s="26" t="n"/>
      <c r="F427" s="27" t="n"/>
      <c r="G427" s="17" t="n"/>
      <c r="H427" s="28" t="n"/>
      <c r="I427" s="28" t="n"/>
      <c r="J427" s="28" t="n"/>
      <c r="K427" s="28" t="n"/>
      <c r="L427" s="28" t="n"/>
      <c r="M427" s="28" t="n"/>
      <c r="N427" s="28" t="n"/>
      <c r="O427" s="28" t="n"/>
      <c r="P427" s="28" t="n"/>
      <c r="Q427" s="28" t="n"/>
      <c r="R427" s="28" t="n"/>
      <c r="S427" s="28" t="n"/>
      <c r="T427" s="29">
        <f>IF(N(E427)=0,"",E427*IF(F427="",1,IFERROR(INDEX(Setup!$E$9:$E$18,MATCH(F427,Setup!$D$9:$D$18,0)),0)))</f>
        <v/>
      </c>
      <c r="U427" s="30">
        <f>IF(T427="","",IF(V427=0,"Everyone",IF(COUNTIF(AI427:AT427,"&gt;0")=COUNTIF(Setup!$B$9:$B$20,"?*"),"Everyone",COUNTIF(AI427:AT427,"&gt;0")&amp;IF(COUNTIF(AI427:AT427,"&gt;0")=1," person"," people"))))</f>
        <v/>
      </c>
      <c r="V427" s="1">
        <f>SUM(AI427:AT427)</f>
        <v/>
      </c>
      <c r="W427">
        <f>IF(OR(T427="",Setup!$B$9=""),0,IF(V427=0,T427/COUNTIF(Setup!$B$9:$B$20,"?*"),T427*AI427/V427))</f>
        <v/>
      </c>
      <c r="X427">
        <f>IF(OR(T427="",Setup!$B$10=""),0,IF(V427=0,T427/COUNTIF(Setup!$B$9:$B$20,"?*"),T427*AJ427/V427))</f>
        <v/>
      </c>
      <c r="Y427">
        <f>IF(OR(T427="",Setup!$B$11=""),0,IF(V427=0,T427/COUNTIF(Setup!$B$9:$B$20,"?*"),T427*AK427/V427))</f>
        <v/>
      </c>
      <c r="Z427">
        <f>IF(OR(T427="",Setup!$B$12=""),0,IF(V427=0,T427/COUNTIF(Setup!$B$9:$B$20,"?*"),T427*AL427/V427))</f>
        <v/>
      </c>
      <c r="AA427">
        <f>IF(OR(T427="",Setup!$B$13=""),0,IF(V427=0,T427/COUNTIF(Setup!$B$9:$B$20,"?*"),T427*AM427/V427))</f>
        <v/>
      </c>
      <c r="AB427">
        <f>IF(OR(T427="",Setup!$B$14=""),0,IF(V427=0,T427/COUNTIF(Setup!$B$9:$B$20,"?*"),T427*AN427/V427))</f>
        <v/>
      </c>
      <c r="AC427">
        <f>IF(OR(T427="",Setup!$B$15=""),0,IF(V427=0,T427/COUNTIF(Setup!$B$9:$B$20,"?*"),T427*AO427/V427))</f>
        <v/>
      </c>
      <c r="AD427">
        <f>IF(OR(T427="",Setup!$B$16=""),0,IF(V427=0,T427/COUNTIF(Setup!$B$9:$B$20,"?*"),T427*AP427/V427))</f>
        <v/>
      </c>
      <c r="AE427">
        <f>IF(OR(T427="",Setup!$B$17=""),0,IF(V427=0,T427/COUNTIF(Setup!$B$9:$B$20,"?*"),T427*AQ427/V427))</f>
        <v/>
      </c>
      <c r="AF427">
        <f>IF(OR(T427="",Setup!$B$18=""),0,IF(V427=0,T427/COUNTIF(Setup!$B$9:$B$20,"?*"),T427*AR427/V427))</f>
        <v/>
      </c>
      <c r="AG427">
        <f>IF(OR(T427="",Setup!$B$19=""),0,IF(V427=0,T427/COUNTIF(Setup!$B$9:$B$20,"?*"),T427*AS427/V427))</f>
        <v/>
      </c>
      <c r="AH427">
        <f>IF(OR(T427="",Setup!$B$20=""),0,IF(V427=0,T427/COUNTIF(Setup!$B$9:$B$20,"?*"),T427*AT427/V427))</f>
        <v/>
      </c>
      <c r="AI427">
        <f>IF(Setup!$B$9="",0,IF(H427="",0,IF(ISNUMBER(H427),H427,1)))</f>
        <v/>
      </c>
      <c r="AJ427">
        <f>IF(Setup!$B$10="",0,IF(I427="",0,IF(ISNUMBER(I427),I427,1)))</f>
        <v/>
      </c>
      <c r="AK427">
        <f>IF(Setup!$B$11="",0,IF(J427="",0,IF(ISNUMBER(J427),J427,1)))</f>
        <v/>
      </c>
      <c r="AL427">
        <f>IF(Setup!$B$12="",0,IF(K427="",0,IF(ISNUMBER(K427),K427,1)))</f>
        <v/>
      </c>
      <c r="AM427">
        <f>IF(Setup!$B$13="",0,IF(L427="",0,IF(ISNUMBER(L427),L427,1)))</f>
        <v/>
      </c>
      <c r="AN427">
        <f>IF(Setup!$B$14="",0,IF(M427="",0,IF(ISNUMBER(M427),M427,1)))</f>
        <v/>
      </c>
      <c r="AO427">
        <f>IF(Setup!$B$15="",0,IF(N427="",0,IF(ISNUMBER(N427),N427,1)))</f>
        <v/>
      </c>
      <c r="AP427">
        <f>IF(Setup!$B$16="",0,IF(O427="",0,IF(ISNUMBER(O427),O427,1)))</f>
        <v/>
      </c>
      <c r="AQ427">
        <f>IF(Setup!$B$17="",0,IF(P427="",0,IF(ISNUMBER(P427),P427,1)))</f>
        <v/>
      </c>
      <c r="AR427">
        <f>IF(Setup!$B$18="",0,IF(Q427="",0,IF(ISNUMBER(Q427),Q427,1)))</f>
        <v/>
      </c>
      <c r="AS427">
        <f>IF(Setup!$B$19="",0,IF(R427="",0,IF(ISNUMBER(R427),R427,1)))</f>
        <v/>
      </c>
      <c r="AT427">
        <f>IF(Setup!$B$20="",0,IF(S427="",0,IF(ISNUMBER(S427),S427,1)))</f>
        <v/>
      </c>
    </row>
    <row r="428">
      <c r="A428" s="1" t="n"/>
      <c r="B428" s="24" t="n"/>
      <c r="C428" s="25" t="n"/>
      <c r="D428" s="25" t="n"/>
      <c r="E428" s="26" t="n"/>
      <c r="F428" s="27" t="n"/>
      <c r="G428" s="17" t="n"/>
      <c r="H428" s="28" t="n"/>
      <c r="I428" s="28" t="n"/>
      <c r="J428" s="28" t="n"/>
      <c r="K428" s="28" t="n"/>
      <c r="L428" s="28" t="n"/>
      <c r="M428" s="28" t="n"/>
      <c r="N428" s="28" t="n"/>
      <c r="O428" s="28" t="n"/>
      <c r="P428" s="28" t="n"/>
      <c r="Q428" s="28" t="n"/>
      <c r="R428" s="28" t="n"/>
      <c r="S428" s="28" t="n"/>
      <c r="T428" s="29">
        <f>IF(N(E428)=0,"",E428*IF(F428="",1,IFERROR(INDEX(Setup!$E$9:$E$18,MATCH(F428,Setup!$D$9:$D$18,0)),0)))</f>
        <v/>
      </c>
      <c r="U428" s="30">
        <f>IF(T428="","",IF(V428=0,"Everyone",IF(COUNTIF(AI428:AT428,"&gt;0")=COUNTIF(Setup!$B$9:$B$20,"?*"),"Everyone",COUNTIF(AI428:AT428,"&gt;0")&amp;IF(COUNTIF(AI428:AT428,"&gt;0")=1," person"," people"))))</f>
        <v/>
      </c>
      <c r="V428" s="1">
        <f>SUM(AI428:AT428)</f>
        <v/>
      </c>
      <c r="W428">
        <f>IF(OR(T428="",Setup!$B$9=""),0,IF(V428=0,T428/COUNTIF(Setup!$B$9:$B$20,"?*"),T428*AI428/V428))</f>
        <v/>
      </c>
      <c r="X428">
        <f>IF(OR(T428="",Setup!$B$10=""),0,IF(V428=0,T428/COUNTIF(Setup!$B$9:$B$20,"?*"),T428*AJ428/V428))</f>
        <v/>
      </c>
      <c r="Y428">
        <f>IF(OR(T428="",Setup!$B$11=""),0,IF(V428=0,T428/COUNTIF(Setup!$B$9:$B$20,"?*"),T428*AK428/V428))</f>
        <v/>
      </c>
      <c r="Z428">
        <f>IF(OR(T428="",Setup!$B$12=""),0,IF(V428=0,T428/COUNTIF(Setup!$B$9:$B$20,"?*"),T428*AL428/V428))</f>
        <v/>
      </c>
      <c r="AA428">
        <f>IF(OR(T428="",Setup!$B$13=""),0,IF(V428=0,T428/COUNTIF(Setup!$B$9:$B$20,"?*"),T428*AM428/V428))</f>
        <v/>
      </c>
      <c r="AB428">
        <f>IF(OR(T428="",Setup!$B$14=""),0,IF(V428=0,T428/COUNTIF(Setup!$B$9:$B$20,"?*"),T428*AN428/V428))</f>
        <v/>
      </c>
      <c r="AC428">
        <f>IF(OR(T428="",Setup!$B$15=""),0,IF(V428=0,T428/COUNTIF(Setup!$B$9:$B$20,"?*"),T428*AO428/V428))</f>
        <v/>
      </c>
      <c r="AD428">
        <f>IF(OR(T428="",Setup!$B$16=""),0,IF(V428=0,T428/COUNTIF(Setup!$B$9:$B$20,"?*"),T428*AP428/V428))</f>
        <v/>
      </c>
      <c r="AE428">
        <f>IF(OR(T428="",Setup!$B$17=""),0,IF(V428=0,T428/COUNTIF(Setup!$B$9:$B$20,"?*"),T428*AQ428/V428))</f>
        <v/>
      </c>
      <c r="AF428">
        <f>IF(OR(T428="",Setup!$B$18=""),0,IF(V428=0,T428/COUNTIF(Setup!$B$9:$B$20,"?*"),T428*AR428/V428))</f>
        <v/>
      </c>
      <c r="AG428">
        <f>IF(OR(T428="",Setup!$B$19=""),0,IF(V428=0,T428/COUNTIF(Setup!$B$9:$B$20,"?*"),T428*AS428/V428))</f>
        <v/>
      </c>
      <c r="AH428">
        <f>IF(OR(T428="",Setup!$B$20=""),0,IF(V428=0,T428/COUNTIF(Setup!$B$9:$B$20,"?*"),T428*AT428/V428))</f>
        <v/>
      </c>
      <c r="AI428">
        <f>IF(Setup!$B$9="",0,IF(H428="",0,IF(ISNUMBER(H428),H428,1)))</f>
        <v/>
      </c>
      <c r="AJ428">
        <f>IF(Setup!$B$10="",0,IF(I428="",0,IF(ISNUMBER(I428),I428,1)))</f>
        <v/>
      </c>
      <c r="AK428">
        <f>IF(Setup!$B$11="",0,IF(J428="",0,IF(ISNUMBER(J428),J428,1)))</f>
        <v/>
      </c>
      <c r="AL428">
        <f>IF(Setup!$B$12="",0,IF(K428="",0,IF(ISNUMBER(K428),K428,1)))</f>
        <v/>
      </c>
      <c r="AM428">
        <f>IF(Setup!$B$13="",0,IF(L428="",0,IF(ISNUMBER(L428),L428,1)))</f>
        <v/>
      </c>
      <c r="AN428">
        <f>IF(Setup!$B$14="",0,IF(M428="",0,IF(ISNUMBER(M428),M428,1)))</f>
        <v/>
      </c>
      <c r="AO428">
        <f>IF(Setup!$B$15="",0,IF(N428="",0,IF(ISNUMBER(N428),N428,1)))</f>
        <v/>
      </c>
      <c r="AP428">
        <f>IF(Setup!$B$16="",0,IF(O428="",0,IF(ISNUMBER(O428),O428,1)))</f>
        <v/>
      </c>
      <c r="AQ428">
        <f>IF(Setup!$B$17="",0,IF(P428="",0,IF(ISNUMBER(P428),P428,1)))</f>
        <v/>
      </c>
      <c r="AR428">
        <f>IF(Setup!$B$18="",0,IF(Q428="",0,IF(ISNUMBER(Q428),Q428,1)))</f>
        <v/>
      </c>
      <c r="AS428">
        <f>IF(Setup!$B$19="",0,IF(R428="",0,IF(ISNUMBER(R428),R428,1)))</f>
        <v/>
      </c>
      <c r="AT428">
        <f>IF(Setup!$B$20="",0,IF(S428="",0,IF(ISNUMBER(S428),S428,1)))</f>
        <v/>
      </c>
    </row>
    <row r="429">
      <c r="A429" s="1" t="n"/>
      <c r="B429" s="24" t="n"/>
      <c r="C429" s="25" t="n"/>
      <c r="D429" s="25" t="n"/>
      <c r="E429" s="26" t="n"/>
      <c r="F429" s="27" t="n"/>
      <c r="G429" s="17" t="n"/>
      <c r="H429" s="28" t="n"/>
      <c r="I429" s="28" t="n"/>
      <c r="J429" s="28" t="n"/>
      <c r="K429" s="28" t="n"/>
      <c r="L429" s="28" t="n"/>
      <c r="M429" s="28" t="n"/>
      <c r="N429" s="28" t="n"/>
      <c r="O429" s="28" t="n"/>
      <c r="P429" s="28" t="n"/>
      <c r="Q429" s="28" t="n"/>
      <c r="R429" s="28" t="n"/>
      <c r="S429" s="28" t="n"/>
      <c r="T429" s="29">
        <f>IF(N(E429)=0,"",E429*IF(F429="",1,IFERROR(INDEX(Setup!$E$9:$E$18,MATCH(F429,Setup!$D$9:$D$18,0)),0)))</f>
        <v/>
      </c>
      <c r="U429" s="30">
        <f>IF(T429="","",IF(V429=0,"Everyone",IF(COUNTIF(AI429:AT429,"&gt;0")=COUNTIF(Setup!$B$9:$B$20,"?*"),"Everyone",COUNTIF(AI429:AT429,"&gt;0")&amp;IF(COUNTIF(AI429:AT429,"&gt;0")=1," person"," people"))))</f>
        <v/>
      </c>
      <c r="V429" s="1">
        <f>SUM(AI429:AT429)</f>
        <v/>
      </c>
      <c r="W429">
        <f>IF(OR(T429="",Setup!$B$9=""),0,IF(V429=0,T429/COUNTIF(Setup!$B$9:$B$20,"?*"),T429*AI429/V429))</f>
        <v/>
      </c>
      <c r="X429">
        <f>IF(OR(T429="",Setup!$B$10=""),0,IF(V429=0,T429/COUNTIF(Setup!$B$9:$B$20,"?*"),T429*AJ429/V429))</f>
        <v/>
      </c>
      <c r="Y429">
        <f>IF(OR(T429="",Setup!$B$11=""),0,IF(V429=0,T429/COUNTIF(Setup!$B$9:$B$20,"?*"),T429*AK429/V429))</f>
        <v/>
      </c>
      <c r="Z429">
        <f>IF(OR(T429="",Setup!$B$12=""),0,IF(V429=0,T429/COUNTIF(Setup!$B$9:$B$20,"?*"),T429*AL429/V429))</f>
        <v/>
      </c>
      <c r="AA429">
        <f>IF(OR(T429="",Setup!$B$13=""),0,IF(V429=0,T429/COUNTIF(Setup!$B$9:$B$20,"?*"),T429*AM429/V429))</f>
        <v/>
      </c>
      <c r="AB429">
        <f>IF(OR(T429="",Setup!$B$14=""),0,IF(V429=0,T429/COUNTIF(Setup!$B$9:$B$20,"?*"),T429*AN429/V429))</f>
        <v/>
      </c>
      <c r="AC429">
        <f>IF(OR(T429="",Setup!$B$15=""),0,IF(V429=0,T429/COUNTIF(Setup!$B$9:$B$20,"?*"),T429*AO429/V429))</f>
        <v/>
      </c>
      <c r="AD429">
        <f>IF(OR(T429="",Setup!$B$16=""),0,IF(V429=0,T429/COUNTIF(Setup!$B$9:$B$20,"?*"),T429*AP429/V429))</f>
        <v/>
      </c>
      <c r="AE429">
        <f>IF(OR(T429="",Setup!$B$17=""),0,IF(V429=0,T429/COUNTIF(Setup!$B$9:$B$20,"?*"),T429*AQ429/V429))</f>
        <v/>
      </c>
      <c r="AF429">
        <f>IF(OR(T429="",Setup!$B$18=""),0,IF(V429=0,T429/COUNTIF(Setup!$B$9:$B$20,"?*"),T429*AR429/V429))</f>
        <v/>
      </c>
      <c r="AG429">
        <f>IF(OR(T429="",Setup!$B$19=""),0,IF(V429=0,T429/COUNTIF(Setup!$B$9:$B$20,"?*"),T429*AS429/V429))</f>
        <v/>
      </c>
      <c r="AH429">
        <f>IF(OR(T429="",Setup!$B$20=""),0,IF(V429=0,T429/COUNTIF(Setup!$B$9:$B$20,"?*"),T429*AT429/V429))</f>
        <v/>
      </c>
      <c r="AI429">
        <f>IF(Setup!$B$9="",0,IF(H429="",0,IF(ISNUMBER(H429),H429,1)))</f>
        <v/>
      </c>
      <c r="AJ429">
        <f>IF(Setup!$B$10="",0,IF(I429="",0,IF(ISNUMBER(I429),I429,1)))</f>
        <v/>
      </c>
      <c r="AK429">
        <f>IF(Setup!$B$11="",0,IF(J429="",0,IF(ISNUMBER(J429),J429,1)))</f>
        <v/>
      </c>
      <c r="AL429">
        <f>IF(Setup!$B$12="",0,IF(K429="",0,IF(ISNUMBER(K429),K429,1)))</f>
        <v/>
      </c>
      <c r="AM429">
        <f>IF(Setup!$B$13="",0,IF(L429="",0,IF(ISNUMBER(L429),L429,1)))</f>
        <v/>
      </c>
      <c r="AN429">
        <f>IF(Setup!$B$14="",0,IF(M429="",0,IF(ISNUMBER(M429),M429,1)))</f>
        <v/>
      </c>
      <c r="AO429">
        <f>IF(Setup!$B$15="",0,IF(N429="",0,IF(ISNUMBER(N429),N429,1)))</f>
        <v/>
      </c>
      <c r="AP429">
        <f>IF(Setup!$B$16="",0,IF(O429="",0,IF(ISNUMBER(O429),O429,1)))</f>
        <v/>
      </c>
      <c r="AQ429">
        <f>IF(Setup!$B$17="",0,IF(P429="",0,IF(ISNUMBER(P429),P429,1)))</f>
        <v/>
      </c>
      <c r="AR429">
        <f>IF(Setup!$B$18="",0,IF(Q429="",0,IF(ISNUMBER(Q429),Q429,1)))</f>
        <v/>
      </c>
      <c r="AS429">
        <f>IF(Setup!$B$19="",0,IF(R429="",0,IF(ISNUMBER(R429),R429,1)))</f>
        <v/>
      </c>
      <c r="AT429">
        <f>IF(Setup!$B$20="",0,IF(S429="",0,IF(ISNUMBER(S429),S429,1)))</f>
        <v/>
      </c>
    </row>
    <row r="430">
      <c r="A430" s="1" t="n"/>
      <c r="B430" s="24" t="n"/>
      <c r="C430" s="25" t="n"/>
      <c r="D430" s="25" t="n"/>
      <c r="E430" s="26" t="n"/>
      <c r="F430" s="27" t="n"/>
      <c r="G430" s="17" t="n"/>
      <c r="H430" s="28" t="n"/>
      <c r="I430" s="28" t="n"/>
      <c r="J430" s="28" t="n"/>
      <c r="K430" s="28" t="n"/>
      <c r="L430" s="28" t="n"/>
      <c r="M430" s="28" t="n"/>
      <c r="N430" s="28" t="n"/>
      <c r="O430" s="28" t="n"/>
      <c r="P430" s="28" t="n"/>
      <c r="Q430" s="28" t="n"/>
      <c r="R430" s="28" t="n"/>
      <c r="S430" s="28" t="n"/>
      <c r="T430" s="29">
        <f>IF(N(E430)=0,"",E430*IF(F430="",1,IFERROR(INDEX(Setup!$E$9:$E$18,MATCH(F430,Setup!$D$9:$D$18,0)),0)))</f>
        <v/>
      </c>
      <c r="U430" s="30">
        <f>IF(T430="","",IF(V430=0,"Everyone",IF(COUNTIF(AI430:AT430,"&gt;0")=COUNTIF(Setup!$B$9:$B$20,"?*"),"Everyone",COUNTIF(AI430:AT430,"&gt;0")&amp;IF(COUNTIF(AI430:AT430,"&gt;0")=1," person"," people"))))</f>
        <v/>
      </c>
      <c r="V430" s="1">
        <f>SUM(AI430:AT430)</f>
        <v/>
      </c>
      <c r="W430">
        <f>IF(OR(T430="",Setup!$B$9=""),0,IF(V430=0,T430/COUNTIF(Setup!$B$9:$B$20,"?*"),T430*AI430/V430))</f>
        <v/>
      </c>
      <c r="X430">
        <f>IF(OR(T430="",Setup!$B$10=""),0,IF(V430=0,T430/COUNTIF(Setup!$B$9:$B$20,"?*"),T430*AJ430/V430))</f>
        <v/>
      </c>
      <c r="Y430">
        <f>IF(OR(T430="",Setup!$B$11=""),0,IF(V430=0,T430/COUNTIF(Setup!$B$9:$B$20,"?*"),T430*AK430/V430))</f>
        <v/>
      </c>
      <c r="Z430">
        <f>IF(OR(T430="",Setup!$B$12=""),0,IF(V430=0,T430/COUNTIF(Setup!$B$9:$B$20,"?*"),T430*AL430/V430))</f>
        <v/>
      </c>
      <c r="AA430">
        <f>IF(OR(T430="",Setup!$B$13=""),0,IF(V430=0,T430/COUNTIF(Setup!$B$9:$B$20,"?*"),T430*AM430/V430))</f>
        <v/>
      </c>
      <c r="AB430">
        <f>IF(OR(T430="",Setup!$B$14=""),0,IF(V430=0,T430/COUNTIF(Setup!$B$9:$B$20,"?*"),T430*AN430/V430))</f>
        <v/>
      </c>
      <c r="AC430">
        <f>IF(OR(T430="",Setup!$B$15=""),0,IF(V430=0,T430/COUNTIF(Setup!$B$9:$B$20,"?*"),T430*AO430/V430))</f>
        <v/>
      </c>
      <c r="AD430">
        <f>IF(OR(T430="",Setup!$B$16=""),0,IF(V430=0,T430/COUNTIF(Setup!$B$9:$B$20,"?*"),T430*AP430/V430))</f>
        <v/>
      </c>
      <c r="AE430">
        <f>IF(OR(T430="",Setup!$B$17=""),0,IF(V430=0,T430/COUNTIF(Setup!$B$9:$B$20,"?*"),T430*AQ430/V430))</f>
        <v/>
      </c>
      <c r="AF430">
        <f>IF(OR(T430="",Setup!$B$18=""),0,IF(V430=0,T430/COUNTIF(Setup!$B$9:$B$20,"?*"),T430*AR430/V430))</f>
        <v/>
      </c>
      <c r="AG430">
        <f>IF(OR(T430="",Setup!$B$19=""),0,IF(V430=0,T430/COUNTIF(Setup!$B$9:$B$20,"?*"),T430*AS430/V430))</f>
        <v/>
      </c>
      <c r="AH430">
        <f>IF(OR(T430="",Setup!$B$20=""),0,IF(V430=0,T430/COUNTIF(Setup!$B$9:$B$20,"?*"),T430*AT430/V430))</f>
        <v/>
      </c>
      <c r="AI430">
        <f>IF(Setup!$B$9="",0,IF(H430="",0,IF(ISNUMBER(H430),H430,1)))</f>
        <v/>
      </c>
      <c r="AJ430">
        <f>IF(Setup!$B$10="",0,IF(I430="",0,IF(ISNUMBER(I430),I430,1)))</f>
        <v/>
      </c>
      <c r="AK430">
        <f>IF(Setup!$B$11="",0,IF(J430="",0,IF(ISNUMBER(J430),J430,1)))</f>
        <v/>
      </c>
      <c r="AL430">
        <f>IF(Setup!$B$12="",0,IF(K430="",0,IF(ISNUMBER(K430),K430,1)))</f>
        <v/>
      </c>
      <c r="AM430">
        <f>IF(Setup!$B$13="",0,IF(L430="",0,IF(ISNUMBER(L430),L430,1)))</f>
        <v/>
      </c>
      <c r="AN430">
        <f>IF(Setup!$B$14="",0,IF(M430="",0,IF(ISNUMBER(M430),M430,1)))</f>
        <v/>
      </c>
      <c r="AO430">
        <f>IF(Setup!$B$15="",0,IF(N430="",0,IF(ISNUMBER(N430),N430,1)))</f>
        <v/>
      </c>
      <c r="AP430">
        <f>IF(Setup!$B$16="",0,IF(O430="",0,IF(ISNUMBER(O430),O430,1)))</f>
        <v/>
      </c>
      <c r="AQ430">
        <f>IF(Setup!$B$17="",0,IF(P430="",0,IF(ISNUMBER(P430),P430,1)))</f>
        <v/>
      </c>
      <c r="AR430">
        <f>IF(Setup!$B$18="",0,IF(Q430="",0,IF(ISNUMBER(Q430),Q430,1)))</f>
        <v/>
      </c>
      <c r="AS430">
        <f>IF(Setup!$B$19="",0,IF(R430="",0,IF(ISNUMBER(R430),R430,1)))</f>
        <v/>
      </c>
      <c r="AT430">
        <f>IF(Setup!$B$20="",0,IF(S430="",0,IF(ISNUMBER(S430),S430,1)))</f>
        <v/>
      </c>
    </row>
    <row r="431">
      <c r="A431" s="1" t="n"/>
      <c r="B431" s="24" t="n"/>
      <c r="C431" s="25" t="n"/>
      <c r="D431" s="25" t="n"/>
      <c r="E431" s="26" t="n"/>
      <c r="F431" s="27" t="n"/>
      <c r="G431" s="17" t="n"/>
      <c r="H431" s="28" t="n"/>
      <c r="I431" s="28" t="n"/>
      <c r="J431" s="28" t="n"/>
      <c r="K431" s="28" t="n"/>
      <c r="L431" s="28" t="n"/>
      <c r="M431" s="28" t="n"/>
      <c r="N431" s="28" t="n"/>
      <c r="O431" s="28" t="n"/>
      <c r="P431" s="28" t="n"/>
      <c r="Q431" s="28" t="n"/>
      <c r="R431" s="28" t="n"/>
      <c r="S431" s="28" t="n"/>
      <c r="T431" s="29">
        <f>IF(N(E431)=0,"",E431*IF(F431="",1,IFERROR(INDEX(Setup!$E$9:$E$18,MATCH(F431,Setup!$D$9:$D$18,0)),0)))</f>
        <v/>
      </c>
      <c r="U431" s="30">
        <f>IF(T431="","",IF(V431=0,"Everyone",IF(COUNTIF(AI431:AT431,"&gt;0")=COUNTIF(Setup!$B$9:$B$20,"?*"),"Everyone",COUNTIF(AI431:AT431,"&gt;0")&amp;IF(COUNTIF(AI431:AT431,"&gt;0")=1," person"," people"))))</f>
        <v/>
      </c>
      <c r="V431" s="1">
        <f>SUM(AI431:AT431)</f>
        <v/>
      </c>
      <c r="W431">
        <f>IF(OR(T431="",Setup!$B$9=""),0,IF(V431=0,T431/COUNTIF(Setup!$B$9:$B$20,"?*"),T431*AI431/V431))</f>
        <v/>
      </c>
      <c r="X431">
        <f>IF(OR(T431="",Setup!$B$10=""),0,IF(V431=0,T431/COUNTIF(Setup!$B$9:$B$20,"?*"),T431*AJ431/V431))</f>
        <v/>
      </c>
      <c r="Y431">
        <f>IF(OR(T431="",Setup!$B$11=""),0,IF(V431=0,T431/COUNTIF(Setup!$B$9:$B$20,"?*"),T431*AK431/V431))</f>
        <v/>
      </c>
      <c r="Z431">
        <f>IF(OR(T431="",Setup!$B$12=""),0,IF(V431=0,T431/COUNTIF(Setup!$B$9:$B$20,"?*"),T431*AL431/V431))</f>
        <v/>
      </c>
      <c r="AA431">
        <f>IF(OR(T431="",Setup!$B$13=""),0,IF(V431=0,T431/COUNTIF(Setup!$B$9:$B$20,"?*"),T431*AM431/V431))</f>
        <v/>
      </c>
      <c r="AB431">
        <f>IF(OR(T431="",Setup!$B$14=""),0,IF(V431=0,T431/COUNTIF(Setup!$B$9:$B$20,"?*"),T431*AN431/V431))</f>
        <v/>
      </c>
      <c r="AC431">
        <f>IF(OR(T431="",Setup!$B$15=""),0,IF(V431=0,T431/COUNTIF(Setup!$B$9:$B$20,"?*"),T431*AO431/V431))</f>
        <v/>
      </c>
      <c r="AD431">
        <f>IF(OR(T431="",Setup!$B$16=""),0,IF(V431=0,T431/COUNTIF(Setup!$B$9:$B$20,"?*"),T431*AP431/V431))</f>
        <v/>
      </c>
      <c r="AE431">
        <f>IF(OR(T431="",Setup!$B$17=""),0,IF(V431=0,T431/COUNTIF(Setup!$B$9:$B$20,"?*"),T431*AQ431/V431))</f>
        <v/>
      </c>
      <c r="AF431">
        <f>IF(OR(T431="",Setup!$B$18=""),0,IF(V431=0,T431/COUNTIF(Setup!$B$9:$B$20,"?*"),T431*AR431/V431))</f>
        <v/>
      </c>
      <c r="AG431">
        <f>IF(OR(T431="",Setup!$B$19=""),0,IF(V431=0,T431/COUNTIF(Setup!$B$9:$B$20,"?*"),T431*AS431/V431))</f>
        <v/>
      </c>
      <c r="AH431">
        <f>IF(OR(T431="",Setup!$B$20=""),0,IF(V431=0,T431/COUNTIF(Setup!$B$9:$B$20,"?*"),T431*AT431/V431))</f>
        <v/>
      </c>
      <c r="AI431">
        <f>IF(Setup!$B$9="",0,IF(H431="",0,IF(ISNUMBER(H431),H431,1)))</f>
        <v/>
      </c>
      <c r="AJ431">
        <f>IF(Setup!$B$10="",0,IF(I431="",0,IF(ISNUMBER(I431),I431,1)))</f>
        <v/>
      </c>
      <c r="AK431">
        <f>IF(Setup!$B$11="",0,IF(J431="",0,IF(ISNUMBER(J431),J431,1)))</f>
        <v/>
      </c>
      <c r="AL431">
        <f>IF(Setup!$B$12="",0,IF(K431="",0,IF(ISNUMBER(K431),K431,1)))</f>
        <v/>
      </c>
      <c r="AM431">
        <f>IF(Setup!$B$13="",0,IF(L431="",0,IF(ISNUMBER(L431),L431,1)))</f>
        <v/>
      </c>
      <c r="AN431">
        <f>IF(Setup!$B$14="",0,IF(M431="",0,IF(ISNUMBER(M431),M431,1)))</f>
        <v/>
      </c>
      <c r="AO431">
        <f>IF(Setup!$B$15="",0,IF(N431="",0,IF(ISNUMBER(N431),N431,1)))</f>
        <v/>
      </c>
      <c r="AP431">
        <f>IF(Setup!$B$16="",0,IF(O431="",0,IF(ISNUMBER(O431),O431,1)))</f>
        <v/>
      </c>
      <c r="AQ431">
        <f>IF(Setup!$B$17="",0,IF(P431="",0,IF(ISNUMBER(P431),P431,1)))</f>
        <v/>
      </c>
      <c r="AR431">
        <f>IF(Setup!$B$18="",0,IF(Q431="",0,IF(ISNUMBER(Q431),Q431,1)))</f>
        <v/>
      </c>
      <c r="AS431">
        <f>IF(Setup!$B$19="",0,IF(R431="",0,IF(ISNUMBER(R431),R431,1)))</f>
        <v/>
      </c>
      <c r="AT431">
        <f>IF(Setup!$B$20="",0,IF(S431="",0,IF(ISNUMBER(S431),S431,1)))</f>
        <v/>
      </c>
    </row>
    <row r="432">
      <c r="A432" s="1" t="n"/>
      <c r="B432" s="24" t="n"/>
      <c r="C432" s="25" t="n"/>
      <c r="D432" s="25" t="n"/>
      <c r="E432" s="26" t="n"/>
      <c r="F432" s="27" t="n"/>
      <c r="G432" s="17" t="n"/>
      <c r="H432" s="28" t="n"/>
      <c r="I432" s="28" t="n"/>
      <c r="J432" s="28" t="n"/>
      <c r="K432" s="28" t="n"/>
      <c r="L432" s="28" t="n"/>
      <c r="M432" s="28" t="n"/>
      <c r="N432" s="28" t="n"/>
      <c r="O432" s="28" t="n"/>
      <c r="P432" s="28" t="n"/>
      <c r="Q432" s="28" t="n"/>
      <c r="R432" s="28" t="n"/>
      <c r="S432" s="28" t="n"/>
      <c r="T432" s="29">
        <f>IF(N(E432)=0,"",E432*IF(F432="",1,IFERROR(INDEX(Setup!$E$9:$E$18,MATCH(F432,Setup!$D$9:$D$18,0)),0)))</f>
        <v/>
      </c>
      <c r="U432" s="30">
        <f>IF(T432="","",IF(V432=0,"Everyone",IF(COUNTIF(AI432:AT432,"&gt;0")=COUNTIF(Setup!$B$9:$B$20,"?*"),"Everyone",COUNTIF(AI432:AT432,"&gt;0")&amp;IF(COUNTIF(AI432:AT432,"&gt;0")=1," person"," people"))))</f>
        <v/>
      </c>
      <c r="V432" s="1">
        <f>SUM(AI432:AT432)</f>
        <v/>
      </c>
      <c r="W432">
        <f>IF(OR(T432="",Setup!$B$9=""),0,IF(V432=0,T432/COUNTIF(Setup!$B$9:$B$20,"?*"),T432*AI432/V432))</f>
        <v/>
      </c>
      <c r="X432">
        <f>IF(OR(T432="",Setup!$B$10=""),0,IF(V432=0,T432/COUNTIF(Setup!$B$9:$B$20,"?*"),T432*AJ432/V432))</f>
        <v/>
      </c>
      <c r="Y432">
        <f>IF(OR(T432="",Setup!$B$11=""),0,IF(V432=0,T432/COUNTIF(Setup!$B$9:$B$20,"?*"),T432*AK432/V432))</f>
        <v/>
      </c>
      <c r="Z432">
        <f>IF(OR(T432="",Setup!$B$12=""),0,IF(V432=0,T432/COUNTIF(Setup!$B$9:$B$20,"?*"),T432*AL432/V432))</f>
        <v/>
      </c>
      <c r="AA432">
        <f>IF(OR(T432="",Setup!$B$13=""),0,IF(V432=0,T432/COUNTIF(Setup!$B$9:$B$20,"?*"),T432*AM432/V432))</f>
        <v/>
      </c>
      <c r="AB432">
        <f>IF(OR(T432="",Setup!$B$14=""),0,IF(V432=0,T432/COUNTIF(Setup!$B$9:$B$20,"?*"),T432*AN432/V432))</f>
        <v/>
      </c>
      <c r="AC432">
        <f>IF(OR(T432="",Setup!$B$15=""),0,IF(V432=0,T432/COUNTIF(Setup!$B$9:$B$20,"?*"),T432*AO432/V432))</f>
        <v/>
      </c>
      <c r="AD432">
        <f>IF(OR(T432="",Setup!$B$16=""),0,IF(V432=0,T432/COUNTIF(Setup!$B$9:$B$20,"?*"),T432*AP432/V432))</f>
        <v/>
      </c>
      <c r="AE432">
        <f>IF(OR(T432="",Setup!$B$17=""),0,IF(V432=0,T432/COUNTIF(Setup!$B$9:$B$20,"?*"),T432*AQ432/V432))</f>
        <v/>
      </c>
      <c r="AF432">
        <f>IF(OR(T432="",Setup!$B$18=""),0,IF(V432=0,T432/COUNTIF(Setup!$B$9:$B$20,"?*"),T432*AR432/V432))</f>
        <v/>
      </c>
      <c r="AG432">
        <f>IF(OR(T432="",Setup!$B$19=""),0,IF(V432=0,T432/COUNTIF(Setup!$B$9:$B$20,"?*"),T432*AS432/V432))</f>
        <v/>
      </c>
      <c r="AH432">
        <f>IF(OR(T432="",Setup!$B$20=""),0,IF(V432=0,T432/COUNTIF(Setup!$B$9:$B$20,"?*"),T432*AT432/V432))</f>
        <v/>
      </c>
      <c r="AI432">
        <f>IF(Setup!$B$9="",0,IF(H432="",0,IF(ISNUMBER(H432),H432,1)))</f>
        <v/>
      </c>
      <c r="AJ432">
        <f>IF(Setup!$B$10="",0,IF(I432="",0,IF(ISNUMBER(I432),I432,1)))</f>
        <v/>
      </c>
      <c r="AK432">
        <f>IF(Setup!$B$11="",0,IF(J432="",0,IF(ISNUMBER(J432),J432,1)))</f>
        <v/>
      </c>
      <c r="AL432">
        <f>IF(Setup!$B$12="",0,IF(K432="",0,IF(ISNUMBER(K432),K432,1)))</f>
        <v/>
      </c>
      <c r="AM432">
        <f>IF(Setup!$B$13="",0,IF(L432="",0,IF(ISNUMBER(L432),L432,1)))</f>
        <v/>
      </c>
      <c r="AN432">
        <f>IF(Setup!$B$14="",0,IF(M432="",0,IF(ISNUMBER(M432),M432,1)))</f>
        <v/>
      </c>
      <c r="AO432">
        <f>IF(Setup!$B$15="",0,IF(N432="",0,IF(ISNUMBER(N432),N432,1)))</f>
        <v/>
      </c>
      <c r="AP432">
        <f>IF(Setup!$B$16="",0,IF(O432="",0,IF(ISNUMBER(O432),O432,1)))</f>
        <v/>
      </c>
      <c r="AQ432">
        <f>IF(Setup!$B$17="",0,IF(P432="",0,IF(ISNUMBER(P432),P432,1)))</f>
        <v/>
      </c>
      <c r="AR432">
        <f>IF(Setup!$B$18="",0,IF(Q432="",0,IF(ISNUMBER(Q432),Q432,1)))</f>
        <v/>
      </c>
      <c r="AS432">
        <f>IF(Setup!$B$19="",0,IF(R432="",0,IF(ISNUMBER(R432),R432,1)))</f>
        <v/>
      </c>
      <c r="AT432">
        <f>IF(Setup!$B$20="",0,IF(S432="",0,IF(ISNUMBER(S432),S432,1)))</f>
        <v/>
      </c>
    </row>
    <row r="433">
      <c r="A433" s="1" t="n"/>
      <c r="B433" s="24" t="n"/>
      <c r="C433" s="25" t="n"/>
      <c r="D433" s="25" t="n"/>
      <c r="E433" s="26" t="n"/>
      <c r="F433" s="27" t="n"/>
      <c r="G433" s="17" t="n"/>
      <c r="H433" s="28" t="n"/>
      <c r="I433" s="28" t="n"/>
      <c r="J433" s="28" t="n"/>
      <c r="K433" s="28" t="n"/>
      <c r="L433" s="28" t="n"/>
      <c r="M433" s="28" t="n"/>
      <c r="N433" s="28" t="n"/>
      <c r="O433" s="28" t="n"/>
      <c r="P433" s="28" t="n"/>
      <c r="Q433" s="28" t="n"/>
      <c r="R433" s="28" t="n"/>
      <c r="S433" s="28" t="n"/>
      <c r="T433" s="29">
        <f>IF(N(E433)=0,"",E433*IF(F433="",1,IFERROR(INDEX(Setup!$E$9:$E$18,MATCH(F433,Setup!$D$9:$D$18,0)),0)))</f>
        <v/>
      </c>
      <c r="U433" s="30">
        <f>IF(T433="","",IF(V433=0,"Everyone",IF(COUNTIF(AI433:AT433,"&gt;0")=COUNTIF(Setup!$B$9:$B$20,"?*"),"Everyone",COUNTIF(AI433:AT433,"&gt;0")&amp;IF(COUNTIF(AI433:AT433,"&gt;0")=1," person"," people"))))</f>
        <v/>
      </c>
      <c r="V433" s="1">
        <f>SUM(AI433:AT433)</f>
        <v/>
      </c>
      <c r="W433">
        <f>IF(OR(T433="",Setup!$B$9=""),0,IF(V433=0,T433/COUNTIF(Setup!$B$9:$B$20,"?*"),T433*AI433/V433))</f>
        <v/>
      </c>
      <c r="X433">
        <f>IF(OR(T433="",Setup!$B$10=""),0,IF(V433=0,T433/COUNTIF(Setup!$B$9:$B$20,"?*"),T433*AJ433/V433))</f>
        <v/>
      </c>
      <c r="Y433">
        <f>IF(OR(T433="",Setup!$B$11=""),0,IF(V433=0,T433/COUNTIF(Setup!$B$9:$B$20,"?*"),T433*AK433/V433))</f>
        <v/>
      </c>
      <c r="Z433">
        <f>IF(OR(T433="",Setup!$B$12=""),0,IF(V433=0,T433/COUNTIF(Setup!$B$9:$B$20,"?*"),T433*AL433/V433))</f>
        <v/>
      </c>
      <c r="AA433">
        <f>IF(OR(T433="",Setup!$B$13=""),0,IF(V433=0,T433/COUNTIF(Setup!$B$9:$B$20,"?*"),T433*AM433/V433))</f>
        <v/>
      </c>
      <c r="AB433">
        <f>IF(OR(T433="",Setup!$B$14=""),0,IF(V433=0,T433/COUNTIF(Setup!$B$9:$B$20,"?*"),T433*AN433/V433))</f>
        <v/>
      </c>
      <c r="AC433">
        <f>IF(OR(T433="",Setup!$B$15=""),0,IF(V433=0,T433/COUNTIF(Setup!$B$9:$B$20,"?*"),T433*AO433/V433))</f>
        <v/>
      </c>
      <c r="AD433">
        <f>IF(OR(T433="",Setup!$B$16=""),0,IF(V433=0,T433/COUNTIF(Setup!$B$9:$B$20,"?*"),T433*AP433/V433))</f>
        <v/>
      </c>
      <c r="AE433">
        <f>IF(OR(T433="",Setup!$B$17=""),0,IF(V433=0,T433/COUNTIF(Setup!$B$9:$B$20,"?*"),T433*AQ433/V433))</f>
        <v/>
      </c>
      <c r="AF433">
        <f>IF(OR(T433="",Setup!$B$18=""),0,IF(V433=0,T433/COUNTIF(Setup!$B$9:$B$20,"?*"),T433*AR433/V433))</f>
        <v/>
      </c>
      <c r="AG433">
        <f>IF(OR(T433="",Setup!$B$19=""),0,IF(V433=0,T433/COUNTIF(Setup!$B$9:$B$20,"?*"),T433*AS433/V433))</f>
        <v/>
      </c>
      <c r="AH433">
        <f>IF(OR(T433="",Setup!$B$20=""),0,IF(V433=0,T433/COUNTIF(Setup!$B$9:$B$20,"?*"),T433*AT433/V433))</f>
        <v/>
      </c>
      <c r="AI433">
        <f>IF(Setup!$B$9="",0,IF(H433="",0,IF(ISNUMBER(H433),H433,1)))</f>
        <v/>
      </c>
      <c r="AJ433">
        <f>IF(Setup!$B$10="",0,IF(I433="",0,IF(ISNUMBER(I433),I433,1)))</f>
        <v/>
      </c>
      <c r="AK433">
        <f>IF(Setup!$B$11="",0,IF(J433="",0,IF(ISNUMBER(J433),J433,1)))</f>
        <v/>
      </c>
      <c r="AL433">
        <f>IF(Setup!$B$12="",0,IF(K433="",0,IF(ISNUMBER(K433),K433,1)))</f>
        <v/>
      </c>
      <c r="AM433">
        <f>IF(Setup!$B$13="",0,IF(L433="",0,IF(ISNUMBER(L433),L433,1)))</f>
        <v/>
      </c>
      <c r="AN433">
        <f>IF(Setup!$B$14="",0,IF(M433="",0,IF(ISNUMBER(M433),M433,1)))</f>
        <v/>
      </c>
      <c r="AO433">
        <f>IF(Setup!$B$15="",0,IF(N433="",0,IF(ISNUMBER(N433),N433,1)))</f>
        <v/>
      </c>
      <c r="AP433">
        <f>IF(Setup!$B$16="",0,IF(O433="",0,IF(ISNUMBER(O433),O433,1)))</f>
        <v/>
      </c>
      <c r="AQ433">
        <f>IF(Setup!$B$17="",0,IF(P433="",0,IF(ISNUMBER(P433),P433,1)))</f>
        <v/>
      </c>
      <c r="AR433">
        <f>IF(Setup!$B$18="",0,IF(Q433="",0,IF(ISNUMBER(Q433),Q433,1)))</f>
        <v/>
      </c>
      <c r="AS433">
        <f>IF(Setup!$B$19="",0,IF(R433="",0,IF(ISNUMBER(R433),R433,1)))</f>
        <v/>
      </c>
      <c r="AT433">
        <f>IF(Setup!$B$20="",0,IF(S433="",0,IF(ISNUMBER(S433),S433,1)))</f>
        <v/>
      </c>
    </row>
    <row r="434">
      <c r="A434" s="1" t="n"/>
      <c r="B434" s="24" t="n"/>
      <c r="C434" s="25" t="n"/>
      <c r="D434" s="25" t="n"/>
      <c r="E434" s="26" t="n"/>
      <c r="F434" s="27" t="n"/>
      <c r="G434" s="17" t="n"/>
      <c r="H434" s="28" t="n"/>
      <c r="I434" s="28" t="n"/>
      <c r="J434" s="28" t="n"/>
      <c r="K434" s="28" t="n"/>
      <c r="L434" s="28" t="n"/>
      <c r="M434" s="28" t="n"/>
      <c r="N434" s="28" t="n"/>
      <c r="O434" s="28" t="n"/>
      <c r="P434" s="28" t="n"/>
      <c r="Q434" s="28" t="n"/>
      <c r="R434" s="28" t="n"/>
      <c r="S434" s="28" t="n"/>
      <c r="T434" s="29">
        <f>IF(N(E434)=0,"",E434*IF(F434="",1,IFERROR(INDEX(Setup!$E$9:$E$18,MATCH(F434,Setup!$D$9:$D$18,0)),0)))</f>
        <v/>
      </c>
      <c r="U434" s="30">
        <f>IF(T434="","",IF(V434=0,"Everyone",IF(COUNTIF(AI434:AT434,"&gt;0")=COUNTIF(Setup!$B$9:$B$20,"?*"),"Everyone",COUNTIF(AI434:AT434,"&gt;0")&amp;IF(COUNTIF(AI434:AT434,"&gt;0")=1," person"," people"))))</f>
        <v/>
      </c>
      <c r="V434" s="1">
        <f>SUM(AI434:AT434)</f>
        <v/>
      </c>
      <c r="W434">
        <f>IF(OR(T434="",Setup!$B$9=""),0,IF(V434=0,T434/COUNTIF(Setup!$B$9:$B$20,"?*"),T434*AI434/V434))</f>
        <v/>
      </c>
      <c r="X434">
        <f>IF(OR(T434="",Setup!$B$10=""),0,IF(V434=0,T434/COUNTIF(Setup!$B$9:$B$20,"?*"),T434*AJ434/V434))</f>
        <v/>
      </c>
      <c r="Y434">
        <f>IF(OR(T434="",Setup!$B$11=""),0,IF(V434=0,T434/COUNTIF(Setup!$B$9:$B$20,"?*"),T434*AK434/V434))</f>
        <v/>
      </c>
      <c r="Z434">
        <f>IF(OR(T434="",Setup!$B$12=""),0,IF(V434=0,T434/COUNTIF(Setup!$B$9:$B$20,"?*"),T434*AL434/V434))</f>
        <v/>
      </c>
      <c r="AA434">
        <f>IF(OR(T434="",Setup!$B$13=""),0,IF(V434=0,T434/COUNTIF(Setup!$B$9:$B$20,"?*"),T434*AM434/V434))</f>
        <v/>
      </c>
      <c r="AB434">
        <f>IF(OR(T434="",Setup!$B$14=""),0,IF(V434=0,T434/COUNTIF(Setup!$B$9:$B$20,"?*"),T434*AN434/V434))</f>
        <v/>
      </c>
      <c r="AC434">
        <f>IF(OR(T434="",Setup!$B$15=""),0,IF(V434=0,T434/COUNTIF(Setup!$B$9:$B$20,"?*"),T434*AO434/V434))</f>
        <v/>
      </c>
      <c r="AD434">
        <f>IF(OR(T434="",Setup!$B$16=""),0,IF(V434=0,T434/COUNTIF(Setup!$B$9:$B$20,"?*"),T434*AP434/V434))</f>
        <v/>
      </c>
      <c r="AE434">
        <f>IF(OR(T434="",Setup!$B$17=""),0,IF(V434=0,T434/COUNTIF(Setup!$B$9:$B$20,"?*"),T434*AQ434/V434))</f>
        <v/>
      </c>
      <c r="AF434">
        <f>IF(OR(T434="",Setup!$B$18=""),0,IF(V434=0,T434/COUNTIF(Setup!$B$9:$B$20,"?*"),T434*AR434/V434))</f>
        <v/>
      </c>
      <c r="AG434">
        <f>IF(OR(T434="",Setup!$B$19=""),0,IF(V434=0,T434/COUNTIF(Setup!$B$9:$B$20,"?*"),T434*AS434/V434))</f>
        <v/>
      </c>
      <c r="AH434">
        <f>IF(OR(T434="",Setup!$B$20=""),0,IF(V434=0,T434/COUNTIF(Setup!$B$9:$B$20,"?*"),T434*AT434/V434))</f>
        <v/>
      </c>
      <c r="AI434">
        <f>IF(Setup!$B$9="",0,IF(H434="",0,IF(ISNUMBER(H434),H434,1)))</f>
        <v/>
      </c>
      <c r="AJ434">
        <f>IF(Setup!$B$10="",0,IF(I434="",0,IF(ISNUMBER(I434),I434,1)))</f>
        <v/>
      </c>
      <c r="AK434">
        <f>IF(Setup!$B$11="",0,IF(J434="",0,IF(ISNUMBER(J434),J434,1)))</f>
        <v/>
      </c>
      <c r="AL434">
        <f>IF(Setup!$B$12="",0,IF(K434="",0,IF(ISNUMBER(K434),K434,1)))</f>
        <v/>
      </c>
      <c r="AM434">
        <f>IF(Setup!$B$13="",0,IF(L434="",0,IF(ISNUMBER(L434),L434,1)))</f>
        <v/>
      </c>
      <c r="AN434">
        <f>IF(Setup!$B$14="",0,IF(M434="",0,IF(ISNUMBER(M434),M434,1)))</f>
        <v/>
      </c>
      <c r="AO434">
        <f>IF(Setup!$B$15="",0,IF(N434="",0,IF(ISNUMBER(N434),N434,1)))</f>
        <v/>
      </c>
      <c r="AP434">
        <f>IF(Setup!$B$16="",0,IF(O434="",0,IF(ISNUMBER(O434),O434,1)))</f>
        <v/>
      </c>
      <c r="AQ434">
        <f>IF(Setup!$B$17="",0,IF(P434="",0,IF(ISNUMBER(P434),P434,1)))</f>
        <v/>
      </c>
      <c r="AR434">
        <f>IF(Setup!$B$18="",0,IF(Q434="",0,IF(ISNUMBER(Q434),Q434,1)))</f>
        <v/>
      </c>
      <c r="AS434">
        <f>IF(Setup!$B$19="",0,IF(R434="",0,IF(ISNUMBER(R434),R434,1)))</f>
        <v/>
      </c>
      <c r="AT434">
        <f>IF(Setup!$B$20="",0,IF(S434="",0,IF(ISNUMBER(S434),S434,1)))</f>
        <v/>
      </c>
    </row>
    <row r="435">
      <c r="A435" s="1" t="n"/>
      <c r="B435" s="24" t="n"/>
      <c r="C435" s="25" t="n"/>
      <c r="D435" s="25" t="n"/>
      <c r="E435" s="26" t="n"/>
      <c r="F435" s="27" t="n"/>
      <c r="G435" s="17" t="n"/>
      <c r="H435" s="28" t="n"/>
      <c r="I435" s="28" t="n"/>
      <c r="J435" s="28" t="n"/>
      <c r="K435" s="28" t="n"/>
      <c r="L435" s="28" t="n"/>
      <c r="M435" s="28" t="n"/>
      <c r="N435" s="28" t="n"/>
      <c r="O435" s="28" t="n"/>
      <c r="P435" s="28" t="n"/>
      <c r="Q435" s="28" t="n"/>
      <c r="R435" s="28" t="n"/>
      <c r="S435" s="28" t="n"/>
      <c r="T435" s="29">
        <f>IF(N(E435)=0,"",E435*IF(F435="",1,IFERROR(INDEX(Setup!$E$9:$E$18,MATCH(F435,Setup!$D$9:$D$18,0)),0)))</f>
        <v/>
      </c>
      <c r="U435" s="30">
        <f>IF(T435="","",IF(V435=0,"Everyone",IF(COUNTIF(AI435:AT435,"&gt;0")=COUNTIF(Setup!$B$9:$B$20,"?*"),"Everyone",COUNTIF(AI435:AT435,"&gt;0")&amp;IF(COUNTIF(AI435:AT435,"&gt;0")=1," person"," people"))))</f>
        <v/>
      </c>
      <c r="V435" s="1">
        <f>SUM(AI435:AT435)</f>
        <v/>
      </c>
      <c r="W435">
        <f>IF(OR(T435="",Setup!$B$9=""),0,IF(V435=0,T435/COUNTIF(Setup!$B$9:$B$20,"?*"),T435*AI435/V435))</f>
        <v/>
      </c>
      <c r="X435">
        <f>IF(OR(T435="",Setup!$B$10=""),0,IF(V435=0,T435/COUNTIF(Setup!$B$9:$B$20,"?*"),T435*AJ435/V435))</f>
        <v/>
      </c>
      <c r="Y435">
        <f>IF(OR(T435="",Setup!$B$11=""),0,IF(V435=0,T435/COUNTIF(Setup!$B$9:$B$20,"?*"),T435*AK435/V435))</f>
        <v/>
      </c>
      <c r="Z435">
        <f>IF(OR(T435="",Setup!$B$12=""),0,IF(V435=0,T435/COUNTIF(Setup!$B$9:$B$20,"?*"),T435*AL435/V435))</f>
        <v/>
      </c>
      <c r="AA435">
        <f>IF(OR(T435="",Setup!$B$13=""),0,IF(V435=0,T435/COUNTIF(Setup!$B$9:$B$20,"?*"),T435*AM435/V435))</f>
        <v/>
      </c>
      <c r="AB435">
        <f>IF(OR(T435="",Setup!$B$14=""),0,IF(V435=0,T435/COUNTIF(Setup!$B$9:$B$20,"?*"),T435*AN435/V435))</f>
        <v/>
      </c>
      <c r="AC435">
        <f>IF(OR(T435="",Setup!$B$15=""),0,IF(V435=0,T435/COUNTIF(Setup!$B$9:$B$20,"?*"),T435*AO435/V435))</f>
        <v/>
      </c>
      <c r="AD435">
        <f>IF(OR(T435="",Setup!$B$16=""),0,IF(V435=0,T435/COUNTIF(Setup!$B$9:$B$20,"?*"),T435*AP435/V435))</f>
        <v/>
      </c>
      <c r="AE435">
        <f>IF(OR(T435="",Setup!$B$17=""),0,IF(V435=0,T435/COUNTIF(Setup!$B$9:$B$20,"?*"),T435*AQ435/V435))</f>
        <v/>
      </c>
      <c r="AF435">
        <f>IF(OR(T435="",Setup!$B$18=""),0,IF(V435=0,T435/COUNTIF(Setup!$B$9:$B$20,"?*"),T435*AR435/V435))</f>
        <v/>
      </c>
      <c r="AG435">
        <f>IF(OR(T435="",Setup!$B$19=""),0,IF(V435=0,T435/COUNTIF(Setup!$B$9:$B$20,"?*"),T435*AS435/V435))</f>
        <v/>
      </c>
      <c r="AH435">
        <f>IF(OR(T435="",Setup!$B$20=""),0,IF(V435=0,T435/COUNTIF(Setup!$B$9:$B$20,"?*"),T435*AT435/V435))</f>
        <v/>
      </c>
      <c r="AI435">
        <f>IF(Setup!$B$9="",0,IF(H435="",0,IF(ISNUMBER(H435),H435,1)))</f>
        <v/>
      </c>
      <c r="AJ435">
        <f>IF(Setup!$B$10="",0,IF(I435="",0,IF(ISNUMBER(I435),I435,1)))</f>
        <v/>
      </c>
      <c r="AK435">
        <f>IF(Setup!$B$11="",0,IF(J435="",0,IF(ISNUMBER(J435),J435,1)))</f>
        <v/>
      </c>
      <c r="AL435">
        <f>IF(Setup!$B$12="",0,IF(K435="",0,IF(ISNUMBER(K435),K435,1)))</f>
        <v/>
      </c>
      <c r="AM435">
        <f>IF(Setup!$B$13="",0,IF(L435="",0,IF(ISNUMBER(L435),L435,1)))</f>
        <v/>
      </c>
      <c r="AN435">
        <f>IF(Setup!$B$14="",0,IF(M435="",0,IF(ISNUMBER(M435),M435,1)))</f>
        <v/>
      </c>
      <c r="AO435">
        <f>IF(Setup!$B$15="",0,IF(N435="",0,IF(ISNUMBER(N435),N435,1)))</f>
        <v/>
      </c>
      <c r="AP435">
        <f>IF(Setup!$B$16="",0,IF(O435="",0,IF(ISNUMBER(O435),O435,1)))</f>
        <v/>
      </c>
      <c r="AQ435">
        <f>IF(Setup!$B$17="",0,IF(P435="",0,IF(ISNUMBER(P435),P435,1)))</f>
        <v/>
      </c>
      <c r="AR435">
        <f>IF(Setup!$B$18="",0,IF(Q435="",0,IF(ISNUMBER(Q435),Q435,1)))</f>
        <v/>
      </c>
      <c r="AS435">
        <f>IF(Setup!$B$19="",0,IF(R435="",0,IF(ISNUMBER(R435),R435,1)))</f>
        <v/>
      </c>
      <c r="AT435">
        <f>IF(Setup!$B$20="",0,IF(S435="",0,IF(ISNUMBER(S435),S435,1)))</f>
        <v/>
      </c>
    </row>
    <row r="436">
      <c r="A436" s="1" t="n"/>
      <c r="B436" s="24" t="n"/>
      <c r="C436" s="25" t="n"/>
      <c r="D436" s="25" t="n"/>
      <c r="E436" s="26" t="n"/>
      <c r="F436" s="27" t="n"/>
      <c r="G436" s="17" t="n"/>
      <c r="H436" s="28" t="n"/>
      <c r="I436" s="28" t="n"/>
      <c r="J436" s="28" t="n"/>
      <c r="K436" s="28" t="n"/>
      <c r="L436" s="28" t="n"/>
      <c r="M436" s="28" t="n"/>
      <c r="N436" s="28" t="n"/>
      <c r="O436" s="28" t="n"/>
      <c r="P436" s="28" t="n"/>
      <c r="Q436" s="28" t="n"/>
      <c r="R436" s="28" t="n"/>
      <c r="S436" s="28" t="n"/>
      <c r="T436" s="29">
        <f>IF(N(E436)=0,"",E436*IF(F436="",1,IFERROR(INDEX(Setup!$E$9:$E$18,MATCH(F436,Setup!$D$9:$D$18,0)),0)))</f>
        <v/>
      </c>
      <c r="U436" s="30">
        <f>IF(T436="","",IF(V436=0,"Everyone",IF(COUNTIF(AI436:AT436,"&gt;0")=COUNTIF(Setup!$B$9:$B$20,"?*"),"Everyone",COUNTIF(AI436:AT436,"&gt;0")&amp;IF(COUNTIF(AI436:AT436,"&gt;0")=1," person"," people"))))</f>
        <v/>
      </c>
      <c r="V436" s="1">
        <f>SUM(AI436:AT436)</f>
        <v/>
      </c>
      <c r="W436">
        <f>IF(OR(T436="",Setup!$B$9=""),0,IF(V436=0,T436/COUNTIF(Setup!$B$9:$B$20,"?*"),T436*AI436/V436))</f>
        <v/>
      </c>
      <c r="X436">
        <f>IF(OR(T436="",Setup!$B$10=""),0,IF(V436=0,T436/COUNTIF(Setup!$B$9:$B$20,"?*"),T436*AJ436/V436))</f>
        <v/>
      </c>
      <c r="Y436">
        <f>IF(OR(T436="",Setup!$B$11=""),0,IF(V436=0,T436/COUNTIF(Setup!$B$9:$B$20,"?*"),T436*AK436/V436))</f>
        <v/>
      </c>
      <c r="Z436">
        <f>IF(OR(T436="",Setup!$B$12=""),0,IF(V436=0,T436/COUNTIF(Setup!$B$9:$B$20,"?*"),T436*AL436/V436))</f>
        <v/>
      </c>
      <c r="AA436">
        <f>IF(OR(T436="",Setup!$B$13=""),0,IF(V436=0,T436/COUNTIF(Setup!$B$9:$B$20,"?*"),T436*AM436/V436))</f>
        <v/>
      </c>
      <c r="AB436">
        <f>IF(OR(T436="",Setup!$B$14=""),0,IF(V436=0,T436/COUNTIF(Setup!$B$9:$B$20,"?*"),T436*AN436/V436))</f>
        <v/>
      </c>
      <c r="AC436">
        <f>IF(OR(T436="",Setup!$B$15=""),0,IF(V436=0,T436/COUNTIF(Setup!$B$9:$B$20,"?*"),T436*AO436/V436))</f>
        <v/>
      </c>
      <c r="AD436">
        <f>IF(OR(T436="",Setup!$B$16=""),0,IF(V436=0,T436/COUNTIF(Setup!$B$9:$B$20,"?*"),T436*AP436/V436))</f>
        <v/>
      </c>
      <c r="AE436">
        <f>IF(OR(T436="",Setup!$B$17=""),0,IF(V436=0,T436/COUNTIF(Setup!$B$9:$B$20,"?*"),T436*AQ436/V436))</f>
        <v/>
      </c>
      <c r="AF436">
        <f>IF(OR(T436="",Setup!$B$18=""),0,IF(V436=0,T436/COUNTIF(Setup!$B$9:$B$20,"?*"),T436*AR436/V436))</f>
        <v/>
      </c>
      <c r="AG436">
        <f>IF(OR(T436="",Setup!$B$19=""),0,IF(V436=0,T436/COUNTIF(Setup!$B$9:$B$20,"?*"),T436*AS436/V436))</f>
        <v/>
      </c>
      <c r="AH436">
        <f>IF(OR(T436="",Setup!$B$20=""),0,IF(V436=0,T436/COUNTIF(Setup!$B$9:$B$20,"?*"),T436*AT436/V436))</f>
        <v/>
      </c>
      <c r="AI436">
        <f>IF(Setup!$B$9="",0,IF(H436="",0,IF(ISNUMBER(H436),H436,1)))</f>
        <v/>
      </c>
      <c r="AJ436">
        <f>IF(Setup!$B$10="",0,IF(I436="",0,IF(ISNUMBER(I436),I436,1)))</f>
        <v/>
      </c>
      <c r="AK436">
        <f>IF(Setup!$B$11="",0,IF(J436="",0,IF(ISNUMBER(J436),J436,1)))</f>
        <v/>
      </c>
      <c r="AL436">
        <f>IF(Setup!$B$12="",0,IF(K436="",0,IF(ISNUMBER(K436),K436,1)))</f>
        <v/>
      </c>
      <c r="AM436">
        <f>IF(Setup!$B$13="",0,IF(L436="",0,IF(ISNUMBER(L436),L436,1)))</f>
        <v/>
      </c>
      <c r="AN436">
        <f>IF(Setup!$B$14="",0,IF(M436="",0,IF(ISNUMBER(M436),M436,1)))</f>
        <v/>
      </c>
      <c r="AO436">
        <f>IF(Setup!$B$15="",0,IF(N436="",0,IF(ISNUMBER(N436),N436,1)))</f>
        <v/>
      </c>
      <c r="AP436">
        <f>IF(Setup!$B$16="",0,IF(O436="",0,IF(ISNUMBER(O436),O436,1)))</f>
        <v/>
      </c>
      <c r="AQ436">
        <f>IF(Setup!$B$17="",0,IF(P436="",0,IF(ISNUMBER(P436),P436,1)))</f>
        <v/>
      </c>
      <c r="AR436">
        <f>IF(Setup!$B$18="",0,IF(Q436="",0,IF(ISNUMBER(Q436),Q436,1)))</f>
        <v/>
      </c>
      <c r="AS436">
        <f>IF(Setup!$B$19="",0,IF(R436="",0,IF(ISNUMBER(R436),R436,1)))</f>
        <v/>
      </c>
      <c r="AT436">
        <f>IF(Setup!$B$20="",0,IF(S436="",0,IF(ISNUMBER(S436),S436,1)))</f>
        <v/>
      </c>
    </row>
    <row r="437">
      <c r="A437" s="1" t="n"/>
      <c r="B437" s="24" t="n"/>
      <c r="C437" s="25" t="n"/>
      <c r="D437" s="25" t="n"/>
      <c r="E437" s="26" t="n"/>
      <c r="F437" s="27" t="n"/>
      <c r="G437" s="17" t="n"/>
      <c r="H437" s="28" t="n"/>
      <c r="I437" s="28" t="n"/>
      <c r="J437" s="28" t="n"/>
      <c r="K437" s="28" t="n"/>
      <c r="L437" s="28" t="n"/>
      <c r="M437" s="28" t="n"/>
      <c r="N437" s="28" t="n"/>
      <c r="O437" s="28" t="n"/>
      <c r="P437" s="28" t="n"/>
      <c r="Q437" s="28" t="n"/>
      <c r="R437" s="28" t="n"/>
      <c r="S437" s="28" t="n"/>
      <c r="T437" s="29">
        <f>IF(N(E437)=0,"",E437*IF(F437="",1,IFERROR(INDEX(Setup!$E$9:$E$18,MATCH(F437,Setup!$D$9:$D$18,0)),0)))</f>
        <v/>
      </c>
      <c r="U437" s="30">
        <f>IF(T437="","",IF(V437=0,"Everyone",IF(COUNTIF(AI437:AT437,"&gt;0")=COUNTIF(Setup!$B$9:$B$20,"?*"),"Everyone",COUNTIF(AI437:AT437,"&gt;0")&amp;IF(COUNTIF(AI437:AT437,"&gt;0")=1," person"," people"))))</f>
        <v/>
      </c>
      <c r="V437" s="1">
        <f>SUM(AI437:AT437)</f>
        <v/>
      </c>
      <c r="W437">
        <f>IF(OR(T437="",Setup!$B$9=""),0,IF(V437=0,T437/COUNTIF(Setup!$B$9:$B$20,"?*"),T437*AI437/V437))</f>
        <v/>
      </c>
      <c r="X437">
        <f>IF(OR(T437="",Setup!$B$10=""),0,IF(V437=0,T437/COUNTIF(Setup!$B$9:$B$20,"?*"),T437*AJ437/V437))</f>
        <v/>
      </c>
      <c r="Y437">
        <f>IF(OR(T437="",Setup!$B$11=""),0,IF(V437=0,T437/COUNTIF(Setup!$B$9:$B$20,"?*"),T437*AK437/V437))</f>
        <v/>
      </c>
      <c r="Z437">
        <f>IF(OR(T437="",Setup!$B$12=""),0,IF(V437=0,T437/COUNTIF(Setup!$B$9:$B$20,"?*"),T437*AL437/V437))</f>
        <v/>
      </c>
      <c r="AA437">
        <f>IF(OR(T437="",Setup!$B$13=""),0,IF(V437=0,T437/COUNTIF(Setup!$B$9:$B$20,"?*"),T437*AM437/V437))</f>
        <v/>
      </c>
      <c r="AB437">
        <f>IF(OR(T437="",Setup!$B$14=""),0,IF(V437=0,T437/COUNTIF(Setup!$B$9:$B$20,"?*"),T437*AN437/V437))</f>
        <v/>
      </c>
      <c r="AC437">
        <f>IF(OR(T437="",Setup!$B$15=""),0,IF(V437=0,T437/COUNTIF(Setup!$B$9:$B$20,"?*"),T437*AO437/V437))</f>
        <v/>
      </c>
      <c r="AD437">
        <f>IF(OR(T437="",Setup!$B$16=""),0,IF(V437=0,T437/COUNTIF(Setup!$B$9:$B$20,"?*"),T437*AP437/V437))</f>
        <v/>
      </c>
      <c r="AE437">
        <f>IF(OR(T437="",Setup!$B$17=""),0,IF(V437=0,T437/COUNTIF(Setup!$B$9:$B$20,"?*"),T437*AQ437/V437))</f>
        <v/>
      </c>
      <c r="AF437">
        <f>IF(OR(T437="",Setup!$B$18=""),0,IF(V437=0,T437/COUNTIF(Setup!$B$9:$B$20,"?*"),T437*AR437/V437))</f>
        <v/>
      </c>
      <c r="AG437">
        <f>IF(OR(T437="",Setup!$B$19=""),0,IF(V437=0,T437/COUNTIF(Setup!$B$9:$B$20,"?*"),T437*AS437/V437))</f>
        <v/>
      </c>
      <c r="AH437">
        <f>IF(OR(T437="",Setup!$B$20=""),0,IF(V437=0,T437/COUNTIF(Setup!$B$9:$B$20,"?*"),T437*AT437/V437))</f>
        <v/>
      </c>
      <c r="AI437">
        <f>IF(Setup!$B$9="",0,IF(H437="",0,IF(ISNUMBER(H437),H437,1)))</f>
        <v/>
      </c>
      <c r="AJ437">
        <f>IF(Setup!$B$10="",0,IF(I437="",0,IF(ISNUMBER(I437),I437,1)))</f>
        <v/>
      </c>
      <c r="AK437">
        <f>IF(Setup!$B$11="",0,IF(J437="",0,IF(ISNUMBER(J437),J437,1)))</f>
        <v/>
      </c>
      <c r="AL437">
        <f>IF(Setup!$B$12="",0,IF(K437="",0,IF(ISNUMBER(K437),K437,1)))</f>
        <v/>
      </c>
      <c r="AM437">
        <f>IF(Setup!$B$13="",0,IF(L437="",0,IF(ISNUMBER(L437),L437,1)))</f>
        <v/>
      </c>
      <c r="AN437">
        <f>IF(Setup!$B$14="",0,IF(M437="",0,IF(ISNUMBER(M437),M437,1)))</f>
        <v/>
      </c>
      <c r="AO437">
        <f>IF(Setup!$B$15="",0,IF(N437="",0,IF(ISNUMBER(N437),N437,1)))</f>
        <v/>
      </c>
      <c r="AP437">
        <f>IF(Setup!$B$16="",0,IF(O437="",0,IF(ISNUMBER(O437),O437,1)))</f>
        <v/>
      </c>
      <c r="AQ437">
        <f>IF(Setup!$B$17="",0,IF(P437="",0,IF(ISNUMBER(P437),P437,1)))</f>
        <v/>
      </c>
      <c r="AR437">
        <f>IF(Setup!$B$18="",0,IF(Q437="",0,IF(ISNUMBER(Q437),Q437,1)))</f>
        <v/>
      </c>
      <c r="AS437">
        <f>IF(Setup!$B$19="",0,IF(R437="",0,IF(ISNUMBER(R437),R437,1)))</f>
        <v/>
      </c>
      <c r="AT437">
        <f>IF(Setup!$B$20="",0,IF(S437="",0,IF(ISNUMBER(S437),S437,1)))</f>
        <v/>
      </c>
    </row>
    <row r="438">
      <c r="A438" s="1" t="n"/>
      <c r="B438" s="24" t="n"/>
      <c r="C438" s="25" t="n"/>
      <c r="D438" s="25" t="n"/>
      <c r="E438" s="26" t="n"/>
      <c r="F438" s="27" t="n"/>
      <c r="G438" s="17" t="n"/>
      <c r="H438" s="28" t="n"/>
      <c r="I438" s="28" t="n"/>
      <c r="J438" s="28" t="n"/>
      <c r="K438" s="28" t="n"/>
      <c r="L438" s="28" t="n"/>
      <c r="M438" s="28" t="n"/>
      <c r="N438" s="28" t="n"/>
      <c r="O438" s="28" t="n"/>
      <c r="P438" s="28" t="n"/>
      <c r="Q438" s="28" t="n"/>
      <c r="R438" s="28" t="n"/>
      <c r="S438" s="28" t="n"/>
      <c r="T438" s="29">
        <f>IF(N(E438)=0,"",E438*IF(F438="",1,IFERROR(INDEX(Setup!$E$9:$E$18,MATCH(F438,Setup!$D$9:$D$18,0)),0)))</f>
        <v/>
      </c>
      <c r="U438" s="30">
        <f>IF(T438="","",IF(V438=0,"Everyone",IF(COUNTIF(AI438:AT438,"&gt;0")=COUNTIF(Setup!$B$9:$B$20,"?*"),"Everyone",COUNTIF(AI438:AT438,"&gt;0")&amp;IF(COUNTIF(AI438:AT438,"&gt;0")=1," person"," people"))))</f>
        <v/>
      </c>
      <c r="V438" s="1">
        <f>SUM(AI438:AT438)</f>
        <v/>
      </c>
      <c r="W438">
        <f>IF(OR(T438="",Setup!$B$9=""),0,IF(V438=0,T438/COUNTIF(Setup!$B$9:$B$20,"?*"),T438*AI438/V438))</f>
        <v/>
      </c>
      <c r="X438">
        <f>IF(OR(T438="",Setup!$B$10=""),0,IF(V438=0,T438/COUNTIF(Setup!$B$9:$B$20,"?*"),T438*AJ438/V438))</f>
        <v/>
      </c>
      <c r="Y438">
        <f>IF(OR(T438="",Setup!$B$11=""),0,IF(V438=0,T438/COUNTIF(Setup!$B$9:$B$20,"?*"),T438*AK438/V438))</f>
        <v/>
      </c>
      <c r="Z438">
        <f>IF(OR(T438="",Setup!$B$12=""),0,IF(V438=0,T438/COUNTIF(Setup!$B$9:$B$20,"?*"),T438*AL438/V438))</f>
        <v/>
      </c>
      <c r="AA438">
        <f>IF(OR(T438="",Setup!$B$13=""),0,IF(V438=0,T438/COUNTIF(Setup!$B$9:$B$20,"?*"),T438*AM438/V438))</f>
        <v/>
      </c>
      <c r="AB438">
        <f>IF(OR(T438="",Setup!$B$14=""),0,IF(V438=0,T438/COUNTIF(Setup!$B$9:$B$20,"?*"),T438*AN438/V438))</f>
        <v/>
      </c>
      <c r="AC438">
        <f>IF(OR(T438="",Setup!$B$15=""),0,IF(V438=0,T438/COUNTIF(Setup!$B$9:$B$20,"?*"),T438*AO438/V438))</f>
        <v/>
      </c>
      <c r="AD438">
        <f>IF(OR(T438="",Setup!$B$16=""),0,IF(V438=0,T438/COUNTIF(Setup!$B$9:$B$20,"?*"),T438*AP438/V438))</f>
        <v/>
      </c>
      <c r="AE438">
        <f>IF(OR(T438="",Setup!$B$17=""),0,IF(V438=0,T438/COUNTIF(Setup!$B$9:$B$20,"?*"),T438*AQ438/V438))</f>
        <v/>
      </c>
      <c r="AF438">
        <f>IF(OR(T438="",Setup!$B$18=""),0,IF(V438=0,T438/COUNTIF(Setup!$B$9:$B$20,"?*"),T438*AR438/V438))</f>
        <v/>
      </c>
      <c r="AG438">
        <f>IF(OR(T438="",Setup!$B$19=""),0,IF(V438=0,T438/COUNTIF(Setup!$B$9:$B$20,"?*"),T438*AS438/V438))</f>
        <v/>
      </c>
      <c r="AH438">
        <f>IF(OR(T438="",Setup!$B$20=""),0,IF(V438=0,T438/COUNTIF(Setup!$B$9:$B$20,"?*"),T438*AT438/V438))</f>
        <v/>
      </c>
      <c r="AI438">
        <f>IF(Setup!$B$9="",0,IF(H438="",0,IF(ISNUMBER(H438),H438,1)))</f>
        <v/>
      </c>
      <c r="AJ438">
        <f>IF(Setup!$B$10="",0,IF(I438="",0,IF(ISNUMBER(I438),I438,1)))</f>
        <v/>
      </c>
      <c r="AK438">
        <f>IF(Setup!$B$11="",0,IF(J438="",0,IF(ISNUMBER(J438),J438,1)))</f>
        <v/>
      </c>
      <c r="AL438">
        <f>IF(Setup!$B$12="",0,IF(K438="",0,IF(ISNUMBER(K438),K438,1)))</f>
        <v/>
      </c>
      <c r="AM438">
        <f>IF(Setup!$B$13="",0,IF(L438="",0,IF(ISNUMBER(L438),L438,1)))</f>
        <v/>
      </c>
      <c r="AN438">
        <f>IF(Setup!$B$14="",0,IF(M438="",0,IF(ISNUMBER(M438),M438,1)))</f>
        <v/>
      </c>
      <c r="AO438">
        <f>IF(Setup!$B$15="",0,IF(N438="",0,IF(ISNUMBER(N438),N438,1)))</f>
        <v/>
      </c>
      <c r="AP438">
        <f>IF(Setup!$B$16="",0,IF(O438="",0,IF(ISNUMBER(O438),O438,1)))</f>
        <v/>
      </c>
      <c r="AQ438">
        <f>IF(Setup!$B$17="",0,IF(P438="",0,IF(ISNUMBER(P438),P438,1)))</f>
        <v/>
      </c>
      <c r="AR438">
        <f>IF(Setup!$B$18="",0,IF(Q438="",0,IF(ISNUMBER(Q438),Q438,1)))</f>
        <v/>
      </c>
      <c r="AS438">
        <f>IF(Setup!$B$19="",0,IF(R438="",0,IF(ISNUMBER(R438),R438,1)))</f>
        <v/>
      </c>
      <c r="AT438">
        <f>IF(Setup!$B$20="",0,IF(S438="",0,IF(ISNUMBER(S438),S438,1)))</f>
        <v/>
      </c>
    </row>
    <row r="439">
      <c r="A439" s="1" t="n"/>
      <c r="B439" s="24" t="n"/>
      <c r="C439" s="25" t="n"/>
      <c r="D439" s="25" t="n"/>
      <c r="E439" s="26" t="n"/>
      <c r="F439" s="27" t="n"/>
      <c r="G439" s="17" t="n"/>
      <c r="H439" s="28" t="n"/>
      <c r="I439" s="28" t="n"/>
      <c r="J439" s="28" t="n"/>
      <c r="K439" s="28" t="n"/>
      <c r="L439" s="28" t="n"/>
      <c r="M439" s="28" t="n"/>
      <c r="N439" s="28" t="n"/>
      <c r="O439" s="28" t="n"/>
      <c r="P439" s="28" t="n"/>
      <c r="Q439" s="28" t="n"/>
      <c r="R439" s="28" t="n"/>
      <c r="S439" s="28" t="n"/>
      <c r="T439" s="29">
        <f>IF(N(E439)=0,"",E439*IF(F439="",1,IFERROR(INDEX(Setup!$E$9:$E$18,MATCH(F439,Setup!$D$9:$D$18,0)),0)))</f>
        <v/>
      </c>
      <c r="U439" s="30">
        <f>IF(T439="","",IF(V439=0,"Everyone",IF(COUNTIF(AI439:AT439,"&gt;0")=COUNTIF(Setup!$B$9:$B$20,"?*"),"Everyone",COUNTIF(AI439:AT439,"&gt;0")&amp;IF(COUNTIF(AI439:AT439,"&gt;0")=1," person"," people"))))</f>
        <v/>
      </c>
      <c r="V439" s="1">
        <f>SUM(AI439:AT439)</f>
        <v/>
      </c>
      <c r="W439">
        <f>IF(OR(T439="",Setup!$B$9=""),0,IF(V439=0,T439/COUNTIF(Setup!$B$9:$B$20,"?*"),T439*AI439/V439))</f>
        <v/>
      </c>
      <c r="X439">
        <f>IF(OR(T439="",Setup!$B$10=""),0,IF(V439=0,T439/COUNTIF(Setup!$B$9:$B$20,"?*"),T439*AJ439/V439))</f>
        <v/>
      </c>
      <c r="Y439">
        <f>IF(OR(T439="",Setup!$B$11=""),0,IF(V439=0,T439/COUNTIF(Setup!$B$9:$B$20,"?*"),T439*AK439/V439))</f>
        <v/>
      </c>
      <c r="Z439">
        <f>IF(OR(T439="",Setup!$B$12=""),0,IF(V439=0,T439/COUNTIF(Setup!$B$9:$B$20,"?*"),T439*AL439/V439))</f>
        <v/>
      </c>
      <c r="AA439">
        <f>IF(OR(T439="",Setup!$B$13=""),0,IF(V439=0,T439/COUNTIF(Setup!$B$9:$B$20,"?*"),T439*AM439/V439))</f>
        <v/>
      </c>
      <c r="AB439">
        <f>IF(OR(T439="",Setup!$B$14=""),0,IF(V439=0,T439/COUNTIF(Setup!$B$9:$B$20,"?*"),T439*AN439/V439))</f>
        <v/>
      </c>
      <c r="AC439">
        <f>IF(OR(T439="",Setup!$B$15=""),0,IF(V439=0,T439/COUNTIF(Setup!$B$9:$B$20,"?*"),T439*AO439/V439))</f>
        <v/>
      </c>
      <c r="AD439">
        <f>IF(OR(T439="",Setup!$B$16=""),0,IF(V439=0,T439/COUNTIF(Setup!$B$9:$B$20,"?*"),T439*AP439/V439))</f>
        <v/>
      </c>
      <c r="AE439">
        <f>IF(OR(T439="",Setup!$B$17=""),0,IF(V439=0,T439/COUNTIF(Setup!$B$9:$B$20,"?*"),T439*AQ439/V439))</f>
        <v/>
      </c>
      <c r="AF439">
        <f>IF(OR(T439="",Setup!$B$18=""),0,IF(V439=0,T439/COUNTIF(Setup!$B$9:$B$20,"?*"),T439*AR439/V439))</f>
        <v/>
      </c>
      <c r="AG439">
        <f>IF(OR(T439="",Setup!$B$19=""),0,IF(V439=0,T439/COUNTIF(Setup!$B$9:$B$20,"?*"),T439*AS439/V439))</f>
        <v/>
      </c>
      <c r="AH439">
        <f>IF(OR(T439="",Setup!$B$20=""),0,IF(V439=0,T439/COUNTIF(Setup!$B$9:$B$20,"?*"),T439*AT439/V439))</f>
        <v/>
      </c>
      <c r="AI439">
        <f>IF(Setup!$B$9="",0,IF(H439="",0,IF(ISNUMBER(H439),H439,1)))</f>
        <v/>
      </c>
      <c r="AJ439">
        <f>IF(Setup!$B$10="",0,IF(I439="",0,IF(ISNUMBER(I439),I439,1)))</f>
        <v/>
      </c>
      <c r="AK439">
        <f>IF(Setup!$B$11="",0,IF(J439="",0,IF(ISNUMBER(J439),J439,1)))</f>
        <v/>
      </c>
      <c r="AL439">
        <f>IF(Setup!$B$12="",0,IF(K439="",0,IF(ISNUMBER(K439),K439,1)))</f>
        <v/>
      </c>
      <c r="AM439">
        <f>IF(Setup!$B$13="",0,IF(L439="",0,IF(ISNUMBER(L439),L439,1)))</f>
        <v/>
      </c>
      <c r="AN439">
        <f>IF(Setup!$B$14="",0,IF(M439="",0,IF(ISNUMBER(M439),M439,1)))</f>
        <v/>
      </c>
      <c r="AO439">
        <f>IF(Setup!$B$15="",0,IF(N439="",0,IF(ISNUMBER(N439),N439,1)))</f>
        <v/>
      </c>
      <c r="AP439">
        <f>IF(Setup!$B$16="",0,IF(O439="",0,IF(ISNUMBER(O439),O439,1)))</f>
        <v/>
      </c>
      <c r="AQ439">
        <f>IF(Setup!$B$17="",0,IF(P439="",0,IF(ISNUMBER(P439),P439,1)))</f>
        <v/>
      </c>
      <c r="AR439">
        <f>IF(Setup!$B$18="",0,IF(Q439="",0,IF(ISNUMBER(Q439),Q439,1)))</f>
        <v/>
      </c>
      <c r="AS439">
        <f>IF(Setup!$B$19="",0,IF(R439="",0,IF(ISNUMBER(R439),R439,1)))</f>
        <v/>
      </c>
      <c r="AT439">
        <f>IF(Setup!$B$20="",0,IF(S439="",0,IF(ISNUMBER(S439),S439,1)))</f>
        <v/>
      </c>
    </row>
    <row r="440">
      <c r="A440" s="1" t="n"/>
      <c r="B440" s="24" t="n"/>
      <c r="C440" s="25" t="n"/>
      <c r="D440" s="25" t="n"/>
      <c r="E440" s="26" t="n"/>
      <c r="F440" s="27" t="n"/>
      <c r="G440" s="17" t="n"/>
      <c r="H440" s="28" t="n"/>
      <c r="I440" s="28" t="n"/>
      <c r="J440" s="28" t="n"/>
      <c r="K440" s="28" t="n"/>
      <c r="L440" s="28" t="n"/>
      <c r="M440" s="28" t="n"/>
      <c r="N440" s="28" t="n"/>
      <c r="O440" s="28" t="n"/>
      <c r="P440" s="28" t="n"/>
      <c r="Q440" s="28" t="n"/>
      <c r="R440" s="28" t="n"/>
      <c r="S440" s="28" t="n"/>
      <c r="T440" s="29">
        <f>IF(N(E440)=0,"",E440*IF(F440="",1,IFERROR(INDEX(Setup!$E$9:$E$18,MATCH(F440,Setup!$D$9:$D$18,0)),0)))</f>
        <v/>
      </c>
      <c r="U440" s="30">
        <f>IF(T440="","",IF(V440=0,"Everyone",IF(COUNTIF(AI440:AT440,"&gt;0")=COUNTIF(Setup!$B$9:$B$20,"?*"),"Everyone",COUNTIF(AI440:AT440,"&gt;0")&amp;IF(COUNTIF(AI440:AT440,"&gt;0")=1," person"," people"))))</f>
        <v/>
      </c>
      <c r="V440" s="1">
        <f>SUM(AI440:AT440)</f>
        <v/>
      </c>
      <c r="W440">
        <f>IF(OR(T440="",Setup!$B$9=""),0,IF(V440=0,T440/COUNTIF(Setup!$B$9:$B$20,"?*"),T440*AI440/V440))</f>
        <v/>
      </c>
      <c r="X440">
        <f>IF(OR(T440="",Setup!$B$10=""),0,IF(V440=0,T440/COUNTIF(Setup!$B$9:$B$20,"?*"),T440*AJ440/V440))</f>
        <v/>
      </c>
      <c r="Y440">
        <f>IF(OR(T440="",Setup!$B$11=""),0,IF(V440=0,T440/COUNTIF(Setup!$B$9:$B$20,"?*"),T440*AK440/V440))</f>
        <v/>
      </c>
      <c r="Z440">
        <f>IF(OR(T440="",Setup!$B$12=""),0,IF(V440=0,T440/COUNTIF(Setup!$B$9:$B$20,"?*"),T440*AL440/V440))</f>
        <v/>
      </c>
      <c r="AA440">
        <f>IF(OR(T440="",Setup!$B$13=""),0,IF(V440=0,T440/COUNTIF(Setup!$B$9:$B$20,"?*"),T440*AM440/V440))</f>
        <v/>
      </c>
      <c r="AB440">
        <f>IF(OR(T440="",Setup!$B$14=""),0,IF(V440=0,T440/COUNTIF(Setup!$B$9:$B$20,"?*"),T440*AN440/V440))</f>
        <v/>
      </c>
      <c r="AC440">
        <f>IF(OR(T440="",Setup!$B$15=""),0,IF(V440=0,T440/COUNTIF(Setup!$B$9:$B$20,"?*"),T440*AO440/V440))</f>
        <v/>
      </c>
      <c r="AD440">
        <f>IF(OR(T440="",Setup!$B$16=""),0,IF(V440=0,T440/COUNTIF(Setup!$B$9:$B$20,"?*"),T440*AP440/V440))</f>
        <v/>
      </c>
      <c r="AE440">
        <f>IF(OR(T440="",Setup!$B$17=""),0,IF(V440=0,T440/COUNTIF(Setup!$B$9:$B$20,"?*"),T440*AQ440/V440))</f>
        <v/>
      </c>
      <c r="AF440">
        <f>IF(OR(T440="",Setup!$B$18=""),0,IF(V440=0,T440/COUNTIF(Setup!$B$9:$B$20,"?*"),T440*AR440/V440))</f>
        <v/>
      </c>
      <c r="AG440">
        <f>IF(OR(T440="",Setup!$B$19=""),0,IF(V440=0,T440/COUNTIF(Setup!$B$9:$B$20,"?*"),T440*AS440/V440))</f>
        <v/>
      </c>
      <c r="AH440">
        <f>IF(OR(T440="",Setup!$B$20=""),0,IF(V440=0,T440/COUNTIF(Setup!$B$9:$B$20,"?*"),T440*AT440/V440))</f>
        <v/>
      </c>
      <c r="AI440">
        <f>IF(Setup!$B$9="",0,IF(H440="",0,IF(ISNUMBER(H440),H440,1)))</f>
        <v/>
      </c>
      <c r="AJ440">
        <f>IF(Setup!$B$10="",0,IF(I440="",0,IF(ISNUMBER(I440),I440,1)))</f>
        <v/>
      </c>
      <c r="AK440">
        <f>IF(Setup!$B$11="",0,IF(J440="",0,IF(ISNUMBER(J440),J440,1)))</f>
        <v/>
      </c>
      <c r="AL440">
        <f>IF(Setup!$B$12="",0,IF(K440="",0,IF(ISNUMBER(K440),K440,1)))</f>
        <v/>
      </c>
      <c r="AM440">
        <f>IF(Setup!$B$13="",0,IF(L440="",0,IF(ISNUMBER(L440),L440,1)))</f>
        <v/>
      </c>
      <c r="AN440">
        <f>IF(Setup!$B$14="",0,IF(M440="",0,IF(ISNUMBER(M440),M440,1)))</f>
        <v/>
      </c>
      <c r="AO440">
        <f>IF(Setup!$B$15="",0,IF(N440="",0,IF(ISNUMBER(N440),N440,1)))</f>
        <v/>
      </c>
      <c r="AP440">
        <f>IF(Setup!$B$16="",0,IF(O440="",0,IF(ISNUMBER(O440),O440,1)))</f>
        <v/>
      </c>
      <c r="AQ440">
        <f>IF(Setup!$B$17="",0,IF(P440="",0,IF(ISNUMBER(P440),P440,1)))</f>
        <v/>
      </c>
      <c r="AR440">
        <f>IF(Setup!$B$18="",0,IF(Q440="",0,IF(ISNUMBER(Q440),Q440,1)))</f>
        <v/>
      </c>
      <c r="AS440">
        <f>IF(Setup!$B$19="",0,IF(R440="",0,IF(ISNUMBER(R440),R440,1)))</f>
        <v/>
      </c>
      <c r="AT440">
        <f>IF(Setup!$B$20="",0,IF(S440="",0,IF(ISNUMBER(S440),S440,1)))</f>
        <v/>
      </c>
    </row>
    <row r="441">
      <c r="A441" s="1" t="n"/>
      <c r="B441" s="24" t="n"/>
      <c r="C441" s="25" t="n"/>
      <c r="D441" s="25" t="n"/>
      <c r="E441" s="26" t="n"/>
      <c r="F441" s="27" t="n"/>
      <c r="G441" s="17" t="n"/>
      <c r="H441" s="28" t="n"/>
      <c r="I441" s="28" t="n"/>
      <c r="J441" s="28" t="n"/>
      <c r="K441" s="28" t="n"/>
      <c r="L441" s="28" t="n"/>
      <c r="M441" s="28" t="n"/>
      <c r="N441" s="28" t="n"/>
      <c r="O441" s="28" t="n"/>
      <c r="P441" s="28" t="n"/>
      <c r="Q441" s="28" t="n"/>
      <c r="R441" s="28" t="n"/>
      <c r="S441" s="28" t="n"/>
      <c r="T441" s="29">
        <f>IF(N(E441)=0,"",E441*IF(F441="",1,IFERROR(INDEX(Setup!$E$9:$E$18,MATCH(F441,Setup!$D$9:$D$18,0)),0)))</f>
        <v/>
      </c>
      <c r="U441" s="30">
        <f>IF(T441="","",IF(V441=0,"Everyone",IF(COUNTIF(AI441:AT441,"&gt;0")=COUNTIF(Setup!$B$9:$B$20,"?*"),"Everyone",COUNTIF(AI441:AT441,"&gt;0")&amp;IF(COUNTIF(AI441:AT441,"&gt;0")=1," person"," people"))))</f>
        <v/>
      </c>
      <c r="V441" s="1">
        <f>SUM(AI441:AT441)</f>
        <v/>
      </c>
      <c r="W441">
        <f>IF(OR(T441="",Setup!$B$9=""),0,IF(V441=0,T441/COUNTIF(Setup!$B$9:$B$20,"?*"),T441*AI441/V441))</f>
        <v/>
      </c>
      <c r="X441">
        <f>IF(OR(T441="",Setup!$B$10=""),0,IF(V441=0,T441/COUNTIF(Setup!$B$9:$B$20,"?*"),T441*AJ441/V441))</f>
        <v/>
      </c>
      <c r="Y441">
        <f>IF(OR(T441="",Setup!$B$11=""),0,IF(V441=0,T441/COUNTIF(Setup!$B$9:$B$20,"?*"),T441*AK441/V441))</f>
        <v/>
      </c>
      <c r="Z441">
        <f>IF(OR(T441="",Setup!$B$12=""),0,IF(V441=0,T441/COUNTIF(Setup!$B$9:$B$20,"?*"),T441*AL441/V441))</f>
        <v/>
      </c>
      <c r="AA441">
        <f>IF(OR(T441="",Setup!$B$13=""),0,IF(V441=0,T441/COUNTIF(Setup!$B$9:$B$20,"?*"),T441*AM441/V441))</f>
        <v/>
      </c>
      <c r="AB441">
        <f>IF(OR(T441="",Setup!$B$14=""),0,IF(V441=0,T441/COUNTIF(Setup!$B$9:$B$20,"?*"),T441*AN441/V441))</f>
        <v/>
      </c>
      <c r="AC441">
        <f>IF(OR(T441="",Setup!$B$15=""),0,IF(V441=0,T441/COUNTIF(Setup!$B$9:$B$20,"?*"),T441*AO441/V441))</f>
        <v/>
      </c>
      <c r="AD441">
        <f>IF(OR(T441="",Setup!$B$16=""),0,IF(V441=0,T441/COUNTIF(Setup!$B$9:$B$20,"?*"),T441*AP441/V441))</f>
        <v/>
      </c>
      <c r="AE441">
        <f>IF(OR(T441="",Setup!$B$17=""),0,IF(V441=0,T441/COUNTIF(Setup!$B$9:$B$20,"?*"),T441*AQ441/V441))</f>
        <v/>
      </c>
      <c r="AF441">
        <f>IF(OR(T441="",Setup!$B$18=""),0,IF(V441=0,T441/COUNTIF(Setup!$B$9:$B$20,"?*"),T441*AR441/V441))</f>
        <v/>
      </c>
      <c r="AG441">
        <f>IF(OR(T441="",Setup!$B$19=""),0,IF(V441=0,T441/COUNTIF(Setup!$B$9:$B$20,"?*"),T441*AS441/V441))</f>
        <v/>
      </c>
      <c r="AH441">
        <f>IF(OR(T441="",Setup!$B$20=""),0,IF(V441=0,T441/COUNTIF(Setup!$B$9:$B$20,"?*"),T441*AT441/V441))</f>
        <v/>
      </c>
      <c r="AI441">
        <f>IF(Setup!$B$9="",0,IF(H441="",0,IF(ISNUMBER(H441),H441,1)))</f>
        <v/>
      </c>
      <c r="AJ441">
        <f>IF(Setup!$B$10="",0,IF(I441="",0,IF(ISNUMBER(I441),I441,1)))</f>
        <v/>
      </c>
      <c r="AK441">
        <f>IF(Setup!$B$11="",0,IF(J441="",0,IF(ISNUMBER(J441),J441,1)))</f>
        <v/>
      </c>
      <c r="AL441">
        <f>IF(Setup!$B$12="",0,IF(K441="",0,IF(ISNUMBER(K441),K441,1)))</f>
        <v/>
      </c>
      <c r="AM441">
        <f>IF(Setup!$B$13="",0,IF(L441="",0,IF(ISNUMBER(L441),L441,1)))</f>
        <v/>
      </c>
      <c r="AN441">
        <f>IF(Setup!$B$14="",0,IF(M441="",0,IF(ISNUMBER(M441),M441,1)))</f>
        <v/>
      </c>
      <c r="AO441">
        <f>IF(Setup!$B$15="",0,IF(N441="",0,IF(ISNUMBER(N441),N441,1)))</f>
        <v/>
      </c>
      <c r="AP441">
        <f>IF(Setup!$B$16="",0,IF(O441="",0,IF(ISNUMBER(O441),O441,1)))</f>
        <v/>
      </c>
      <c r="AQ441">
        <f>IF(Setup!$B$17="",0,IF(P441="",0,IF(ISNUMBER(P441),P441,1)))</f>
        <v/>
      </c>
      <c r="AR441">
        <f>IF(Setup!$B$18="",0,IF(Q441="",0,IF(ISNUMBER(Q441),Q441,1)))</f>
        <v/>
      </c>
      <c r="AS441">
        <f>IF(Setup!$B$19="",0,IF(R441="",0,IF(ISNUMBER(R441),R441,1)))</f>
        <v/>
      </c>
      <c r="AT441">
        <f>IF(Setup!$B$20="",0,IF(S441="",0,IF(ISNUMBER(S441),S441,1)))</f>
        <v/>
      </c>
    </row>
    <row r="442">
      <c r="A442" s="1" t="n"/>
      <c r="B442" s="24" t="n"/>
      <c r="C442" s="25" t="n"/>
      <c r="D442" s="25" t="n"/>
      <c r="E442" s="26" t="n"/>
      <c r="F442" s="27" t="n"/>
      <c r="G442" s="17" t="n"/>
      <c r="H442" s="28" t="n"/>
      <c r="I442" s="28" t="n"/>
      <c r="J442" s="28" t="n"/>
      <c r="K442" s="28" t="n"/>
      <c r="L442" s="28" t="n"/>
      <c r="M442" s="28" t="n"/>
      <c r="N442" s="28" t="n"/>
      <c r="O442" s="28" t="n"/>
      <c r="P442" s="28" t="n"/>
      <c r="Q442" s="28" t="n"/>
      <c r="R442" s="28" t="n"/>
      <c r="S442" s="28" t="n"/>
      <c r="T442" s="29">
        <f>IF(N(E442)=0,"",E442*IF(F442="",1,IFERROR(INDEX(Setup!$E$9:$E$18,MATCH(F442,Setup!$D$9:$D$18,0)),0)))</f>
        <v/>
      </c>
      <c r="U442" s="30">
        <f>IF(T442="","",IF(V442=0,"Everyone",IF(COUNTIF(AI442:AT442,"&gt;0")=COUNTIF(Setup!$B$9:$B$20,"?*"),"Everyone",COUNTIF(AI442:AT442,"&gt;0")&amp;IF(COUNTIF(AI442:AT442,"&gt;0")=1," person"," people"))))</f>
        <v/>
      </c>
      <c r="V442" s="1">
        <f>SUM(AI442:AT442)</f>
        <v/>
      </c>
      <c r="W442">
        <f>IF(OR(T442="",Setup!$B$9=""),0,IF(V442=0,T442/COUNTIF(Setup!$B$9:$B$20,"?*"),T442*AI442/V442))</f>
        <v/>
      </c>
      <c r="X442">
        <f>IF(OR(T442="",Setup!$B$10=""),0,IF(V442=0,T442/COUNTIF(Setup!$B$9:$B$20,"?*"),T442*AJ442/V442))</f>
        <v/>
      </c>
      <c r="Y442">
        <f>IF(OR(T442="",Setup!$B$11=""),0,IF(V442=0,T442/COUNTIF(Setup!$B$9:$B$20,"?*"),T442*AK442/V442))</f>
        <v/>
      </c>
      <c r="Z442">
        <f>IF(OR(T442="",Setup!$B$12=""),0,IF(V442=0,T442/COUNTIF(Setup!$B$9:$B$20,"?*"),T442*AL442/V442))</f>
        <v/>
      </c>
      <c r="AA442">
        <f>IF(OR(T442="",Setup!$B$13=""),0,IF(V442=0,T442/COUNTIF(Setup!$B$9:$B$20,"?*"),T442*AM442/V442))</f>
        <v/>
      </c>
      <c r="AB442">
        <f>IF(OR(T442="",Setup!$B$14=""),0,IF(V442=0,T442/COUNTIF(Setup!$B$9:$B$20,"?*"),T442*AN442/V442))</f>
        <v/>
      </c>
      <c r="AC442">
        <f>IF(OR(T442="",Setup!$B$15=""),0,IF(V442=0,T442/COUNTIF(Setup!$B$9:$B$20,"?*"),T442*AO442/V442))</f>
        <v/>
      </c>
      <c r="AD442">
        <f>IF(OR(T442="",Setup!$B$16=""),0,IF(V442=0,T442/COUNTIF(Setup!$B$9:$B$20,"?*"),T442*AP442/V442))</f>
        <v/>
      </c>
      <c r="AE442">
        <f>IF(OR(T442="",Setup!$B$17=""),0,IF(V442=0,T442/COUNTIF(Setup!$B$9:$B$20,"?*"),T442*AQ442/V442))</f>
        <v/>
      </c>
      <c r="AF442">
        <f>IF(OR(T442="",Setup!$B$18=""),0,IF(V442=0,T442/COUNTIF(Setup!$B$9:$B$20,"?*"),T442*AR442/V442))</f>
        <v/>
      </c>
      <c r="AG442">
        <f>IF(OR(T442="",Setup!$B$19=""),0,IF(V442=0,T442/COUNTIF(Setup!$B$9:$B$20,"?*"),T442*AS442/V442))</f>
        <v/>
      </c>
      <c r="AH442">
        <f>IF(OR(T442="",Setup!$B$20=""),0,IF(V442=0,T442/COUNTIF(Setup!$B$9:$B$20,"?*"),T442*AT442/V442))</f>
        <v/>
      </c>
      <c r="AI442">
        <f>IF(Setup!$B$9="",0,IF(H442="",0,IF(ISNUMBER(H442),H442,1)))</f>
        <v/>
      </c>
      <c r="AJ442">
        <f>IF(Setup!$B$10="",0,IF(I442="",0,IF(ISNUMBER(I442),I442,1)))</f>
        <v/>
      </c>
      <c r="AK442">
        <f>IF(Setup!$B$11="",0,IF(J442="",0,IF(ISNUMBER(J442),J442,1)))</f>
        <v/>
      </c>
      <c r="AL442">
        <f>IF(Setup!$B$12="",0,IF(K442="",0,IF(ISNUMBER(K442),K442,1)))</f>
        <v/>
      </c>
      <c r="AM442">
        <f>IF(Setup!$B$13="",0,IF(L442="",0,IF(ISNUMBER(L442),L442,1)))</f>
        <v/>
      </c>
      <c r="AN442">
        <f>IF(Setup!$B$14="",0,IF(M442="",0,IF(ISNUMBER(M442),M442,1)))</f>
        <v/>
      </c>
      <c r="AO442">
        <f>IF(Setup!$B$15="",0,IF(N442="",0,IF(ISNUMBER(N442),N442,1)))</f>
        <v/>
      </c>
      <c r="AP442">
        <f>IF(Setup!$B$16="",0,IF(O442="",0,IF(ISNUMBER(O442),O442,1)))</f>
        <v/>
      </c>
      <c r="AQ442">
        <f>IF(Setup!$B$17="",0,IF(P442="",0,IF(ISNUMBER(P442),P442,1)))</f>
        <v/>
      </c>
      <c r="AR442">
        <f>IF(Setup!$B$18="",0,IF(Q442="",0,IF(ISNUMBER(Q442),Q442,1)))</f>
        <v/>
      </c>
      <c r="AS442">
        <f>IF(Setup!$B$19="",0,IF(R442="",0,IF(ISNUMBER(R442),R442,1)))</f>
        <v/>
      </c>
      <c r="AT442">
        <f>IF(Setup!$B$20="",0,IF(S442="",0,IF(ISNUMBER(S442),S442,1)))</f>
        <v/>
      </c>
    </row>
    <row r="443">
      <c r="A443" s="1" t="n"/>
      <c r="B443" s="24" t="n"/>
      <c r="C443" s="25" t="n"/>
      <c r="D443" s="25" t="n"/>
      <c r="E443" s="26" t="n"/>
      <c r="F443" s="27" t="n"/>
      <c r="G443" s="17" t="n"/>
      <c r="H443" s="28" t="n"/>
      <c r="I443" s="28" t="n"/>
      <c r="J443" s="28" t="n"/>
      <c r="K443" s="28" t="n"/>
      <c r="L443" s="28" t="n"/>
      <c r="M443" s="28" t="n"/>
      <c r="N443" s="28" t="n"/>
      <c r="O443" s="28" t="n"/>
      <c r="P443" s="28" t="n"/>
      <c r="Q443" s="28" t="n"/>
      <c r="R443" s="28" t="n"/>
      <c r="S443" s="28" t="n"/>
      <c r="T443" s="29">
        <f>IF(N(E443)=0,"",E443*IF(F443="",1,IFERROR(INDEX(Setup!$E$9:$E$18,MATCH(F443,Setup!$D$9:$D$18,0)),0)))</f>
        <v/>
      </c>
      <c r="U443" s="30">
        <f>IF(T443="","",IF(V443=0,"Everyone",IF(COUNTIF(AI443:AT443,"&gt;0")=COUNTIF(Setup!$B$9:$B$20,"?*"),"Everyone",COUNTIF(AI443:AT443,"&gt;0")&amp;IF(COUNTIF(AI443:AT443,"&gt;0")=1," person"," people"))))</f>
        <v/>
      </c>
      <c r="V443" s="1">
        <f>SUM(AI443:AT443)</f>
        <v/>
      </c>
      <c r="W443">
        <f>IF(OR(T443="",Setup!$B$9=""),0,IF(V443=0,T443/COUNTIF(Setup!$B$9:$B$20,"?*"),T443*AI443/V443))</f>
        <v/>
      </c>
      <c r="X443">
        <f>IF(OR(T443="",Setup!$B$10=""),0,IF(V443=0,T443/COUNTIF(Setup!$B$9:$B$20,"?*"),T443*AJ443/V443))</f>
        <v/>
      </c>
      <c r="Y443">
        <f>IF(OR(T443="",Setup!$B$11=""),0,IF(V443=0,T443/COUNTIF(Setup!$B$9:$B$20,"?*"),T443*AK443/V443))</f>
        <v/>
      </c>
      <c r="Z443">
        <f>IF(OR(T443="",Setup!$B$12=""),0,IF(V443=0,T443/COUNTIF(Setup!$B$9:$B$20,"?*"),T443*AL443/V443))</f>
        <v/>
      </c>
      <c r="AA443">
        <f>IF(OR(T443="",Setup!$B$13=""),0,IF(V443=0,T443/COUNTIF(Setup!$B$9:$B$20,"?*"),T443*AM443/V443))</f>
        <v/>
      </c>
      <c r="AB443">
        <f>IF(OR(T443="",Setup!$B$14=""),0,IF(V443=0,T443/COUNTIF(Setup!$B$9:$B$20,"?*"),T443*AN443/V443))</f>
        <v/>
      </c>
      <c r="AC443">
        <f>IF(OR(T443="",Setup!$B$15=""),0,IF(V443=0,T443/COUNTIF(Setup!$B$9:$B$20,"?*"),T443*AO443/V443))</f>
        <v/>
      </c>
      <c r="AD443">
        <f>IF(OR(T443="",Setup!$B$16=""),0,IF(V443=0,T443/COUNTIF(Setup!$B$9:$B$20,"?*"),T443*AP443/V443))</f>
        <v/>
      </c>
      <c r="AE443">
        <f>IF(OR(T443="",Setup!$B$17=""),0,IF(V443=0,T443/COUNTIF(Setup!$B$9:$B$20,"?*"),T443*AQ443/V443))</f>
        <v/>
      </c>
      <c r="AF443">
        <f>IF(OR(T443="",Setup!$B$18=""),0,IF(V443=0,T443/COUNTIF(Setup!$B$9:$B$20,"?*"),T443*AR443/V443))</f>
        <v/>
      </c>
      <c r="AG443">
        <f>IF(OR(T443="",Setup!$B$19=""),0,IF(V443=0,T443/COUNTIF(Setup!$B$9:$B$20,"?*"),T443*AS443/V443))</f>
        <v/>
      </c>
      <c r="AH443">
        <f>IF(OR(T443="",Setup!$B$20=""),0,IF(V443=0,T443/COUNTIF(Setup!$B$9:$B$20,"?*"),T443*AT443/V443))</f>
        <v/>
      </c>
      <c r="AI443">
        <f>IF(Setup!$B$9="",0,IF(H443="",0,IF(ISNUMBER(H443),H443,1)))</f>
        <v/>
      </c>
      <c r="AJ443">
        <f>IF(Setup!$B$10="",0,IF(I443="",0,IF(ISNUMBER(I443),I443,1)))</f>
        <v/>
      </c>
      <c r="AK443">
        <f>IF(Setup!$B$11="",0,IF(J443="",0,IF(ISNUMBER(J443),J443,1)))</f>
        <v/>
      </c>
      <c r="AL443">
        <f>IF(Setup!$B$12="",0,IF(K443="",0,IF(ISNUMBER(K443),K443,1)))</f>
        <v/>
      </c>
      <c r="AM443">
        <f>IF(Setup!$B$13="",0,IF(L443="",0,IF(ISNUMBER(L443),L443,1)))</f>
        <v/>
      </c>
      <c r="AN443">
        <f>IF(Setup!$B$14="",0,IF(M443="",0,IF(ISNUMBER(M443),M443,1)))</f>
        <v/>
      </c>
      <c r="AO443">
        <f>IF(Setup!$B$15="",0,IF(N443="",0,IF(ISNUMBER(N443),N443,1)))</f>
        <v/>
      </c>
      <c r="AP443">
        <f>IF(Setup!$B$16="",0,IF(O443="",0,IF(ISNUMBER(O443),O443,1)))</f>
        <v/>
      </c>
      <c r="AQ443">
        <f>IF(Setup!$B$17="",0,IF(P443="",0,IF(ISNUMBER(P443),P443,1)))</f>
        <v/>
      </c>
      <c r="AR443">
        <f>IF(Setup!$B$18="",0,IF(Q443="",0,IF(ISNUMBER(Q443),Q443,1)))</f>
        <v/>
      </c>
      <c r="AS443">
        <f>IF(Setup!$B$19="",0,IF(R443="",0,IF(ISNUMBER(R443),R443,1)))</f>
        <v/>
      </c>
      <c r="AT443">
        <f>IF(Setup!$B$20="",0,IF(S443="",0,IF(ISNUMBER(S443),S443,1)))</f>
        <v/>
      </c>
    </row>
    <row r="444">
      <c r="A444" s="1" t="n"/>
      <c r="B444" s="24" t="n"/>
      <c r="C444" s="25" t="n"/>
      <c r="D444" s="25" t="n"/>
      <c r="E444" s="26" t="n"/>
      <c r="F444" s="27" t="n"/>
      <c r="G444" s="17" t="n"/>
      <c r="H444" s="28" t="n"/>
      <c r="I444" s="28" t="n"/>
      <c r="J444" s="28" t="n"/>
      <c r="K444" s="28" t="n"/>
      <c r="L444" s="28" t="n"/>
      <c r="M444" s="28" t="n"/>
      <c r="N444" s="28" t="n"/>
      <c r="O444" s="28" t="n"/>
      <c r="P444" s="28" t="n"/>
      <c r="Q444" s="28" t="n"/>
      <c r="R444" s="28" t="n"/>
      <c r="S444" s="28" t="n"/>
      <c r="T444" s="29">
        <f>IF(N(E444)=0,"",E444*IF(F444="",1,IFERROR(INDEX(Setup!$E$9:$E$18,MATCH(F444,Setup!$D$9:$D$18,0)),0)))</f>
        <v/>
      </c>
      <c r="U444" s="30">
        <f>IF(T444="","",IF(V444=0,"Everyone",IF(COUNTIF(AI444:AT444,"&gt;0")=COUNTIF(Setup!$B$9:$B$20,"?*"),"Everyone",COUNTIF(AI444:AT444,"&gt;0")&amp;IF(COUNTIF(AI444:AT444,"&gt;0")=1," person"," people"))))</f>
        <v/>
      </c>
      <c r="V444" s="1">
        <f>SUM(AI444:AT444)</f>
        <v/>
      </c>
      <c r="W444">
        <f>IF(OR(T444="",Setup!$B$9=""),0,IF(V444=0,T444/COUNTIF(Setup!$B$9:$B$20,"?*"),T444*AI444/V444))</f>
        <v/>
      </c>
      <c r="X444">
        <f>IF(OR(T444="",Setup!$B$10=""),0,IF(V444=0,T444/COUNTIF(Setup!$B$9:$B$20,"?*"),T444*AJ444/V444))</f>
        <v/>
      </c>
      <c r="Y444">
        <f>IF(OR(T444="",Setup!$B$11=""),0,IF(V444=0,T444/COUNTIF(Setup!$B$9:$B$20,"?*"),T444*AK444/V444))</f>
        <v/>
      </c>
      <c r="Z444">
        <f>IF(OR(T444="",Setup!$B$12=""),0,IF(V444=0,T444/COUNTIF(Setup!$B$9:$B$20,"?*"),T444*AL444/V444))</f>
        <v/>
      </c>
      <c r="AA444">
        <f>IF(OR(T444="",Setup!$B$13=""),0,IF(V444=0,T444/COUNTIF(Setup!$B$9:$B$20,"?*"),T444*AM444/V444))</f>
        <v/>
      </c>
      <c r="AB444">
        <f>IF(OR(T444="",Setup!$B$14=""),0,IF(V444=0,T444/COUNTIF(Setup!$B$9:$B$20,"?*"),T444*AN444/V444))</f>
        <v/>
      </c>
      <c r="AC444">
        <f>IF(OR(T444="",Setup!$B$15=""),0,IF(V444=0,T444/COUNTIF(Setup!$B$9:$B$20,"?*"),T444*AO444/V444))</f>
        <v/>
      </c>
      <c r="AD444">
        <f>IF(OR(T444="",Setup!$B$16=""),0,IF(V444=0,T444/COUNTIF(Setup!$B$9:$B$20,"?*"),T444*AP444/V444))</f>
        <v/>
      </c>
      <c r="AE444">
        <f>IF(OR(T444="",Setup!$B$17=""),0,IF(V444=0,T444/COUNTIF(Setup!$B$9:$B$20,"?*"),T444*AQ444/V444))</f>
        <v/>
      </c>
      <c r="AF444">
        <f>IF(OR(T444="",Setup!$B$18=""),0,IF(V444=0,T444/COUNTIF(Setup!$B$9:$B$20,"?*"),T444*AR444/V444))</f>
        <v/>
      </c>
      <c r="AG444">
        <f>IF(OR(T444="",Setup!$B$19=""),0,IF(V444=0,T444/COUNTIF(Setup!$B$9:$B$20,"?*"),T444*AS444/V444))</f>
        <v/>
      </c>
      <c r="AH444">
        <f>IF(OR(T444="",Setup!$B$20=""),0,IF(V444=0,T444/COUNTIF(Setup!$B$9:$B$20,"?*"),T444*AT444/V444))</f>
        <v/>
      </c>
      <c r="AI444">
        <f>IF(Setup!$B$9="",0,IF(H444="",0,IF(ISNUMBER(H444),H444,1)))</f>
        <v/>
      </c>
      <c r="AJ444">
        <f>IF(Setup!$B$10="",0,IF(I444="",0,IF(ISNUMBER(I444),I444,1)))</f>
        <v/>
      </c>
      <c r="AK444">
        <f>IF(Setup!$B$11="",0,IF(J444="",0,IF(ISNUMBER(J444),J444,1)))</f>
        <v/>
      </c>
      <c r="AL444">
        <f>IF(Setup!$B$12="",0,IF(K444="",0,IF(ISNUMBER(K444),K444,1)))</f>
        <v/>
      </c>
      <c r="AM444">
        <f>IF(Setup!$B$13="",0,IF(L444="",0,IF(ISNUMBER(L444),L444,1)))</f>
        <v/>
      </c>
      <c r="AN444">
        <f>IF(Setup!$B$14="",0,IF(M444="",0,IF(ISNUMBER(M444),M444,1)))</f>
        <v/>
      </c>
      <c r="AO444">
        <f>IF(Setup!$B$15="",0,IF(N444="",0,IF(ISNUMBER(N444),N444,1)))</f>
        <v/>
      </c>
      <c r="AP444">
        <f>IF(Setup!$B$16="",0,IF(O444="",0,IF(ISNUMBER(O444),O444,1)))</f>
        <v/>
      </c>
      <c r="AQ444">
        <f>IF(Setup!$B$17="",0,IF(P444="",0,IF(ISNUMBER(P444),P444,1)))</f>
        <v/>
      </c>
      <c r="AR444">
        <f>IF(Setup!$B$18="",0,IF(Q444="",0,IF(ISNUMBER(Q444),Q444,1)))</f>
        <v/>
      </c>
      <c r="AS444">
        <f>IF(Setup!$B$19="",0,IF(R444="",0,IF(ISNUMBER(R444),R444,1)))</f>
        <v/>
      </c>
      <c r="AT444">
        <f>IF(Setup!$B$20="",0,IF(S444="",0,IF(ISNUMBER(S444),S444,1)))</f>
        <v/>
      </c>
    </row>
    <row r="445">
      <c r="A445" s="1" t="n"/>
      <c r="B445" s="24" t="n"/>
      <c r="C445" s="25" t="n"/>
      <c r="D445" s="25" t="n"/>
      <c r="E445" s="26" t="n"/>
      <c r="F445" s="27" t="n"/>
      <c r="G445" s="17" t="n"/>
      <c r="H445" s="28" t="n"/>
      <c r="I445" s="28" t="n"/>
      <c r="J445" s="28" t="n"/>
      <c r="K445" s="28" t="n"/>
      <c r="L445" s="28" t="n"/>
      <c r="M445" s="28" t="n"/>
      <c r="N445" s="28" t="n"/>
      <c r="O445" s="28" t="n"/>
      <c r="P445" s="28" t="n"/>
      <c r="Q445" s="28" t="n"/>
      <c r="R445" s="28" t="n"/>
      <c r="S445" s="28" t="n"/>
      <c r="T445" s="29">
        <f>IF(N(E445)=0,"",E445*IF(F445="",1,IFERROR(INDEX(Setup!$E$9:$E$18,MATCH(F445,Setup!$D$9:$D$18,0)),0)))</f>
        <v/>
      </c>
      <c r="U445" s="30">
        <f>IF(T445="","",IF(V445=0,"Everyone",IF(COUNTIF(AI445:AT445,"&gt;0")=COUNTIF(Setup!$B$9:$B$20,"?*"),"Everyone",COUNTIF(AI445:AT445,"&gt;0")&amp;IF(COUNTIF(AI445:AT445,"&gt;0")=1," person"," people"))))</f>
        <v/>
      </c>
      <c r="V445" s="1">
        <f>SUM(AI445:AT445)</f>
        <v/>
      </c>
      <c r="W445">
        <f>IF(OR(T445="",Setup!$B$9=""),0,IF(V445=0,T445/COUNTIF(Setup!$B$9:$B$20,"?*"),T445*AI445/V445))</f>
        <v/>
      </c>
      <c r="X445">
        <f>IF(OR(T445="",Setup!$B$10=""),0,IF(V445=0,T445/COUNTIF(Setup!$B$9:$B$20,"?*"),T445*AJ445/V445))</f>
        <v/>
      </c>
      <c r="Y445">
        <f>IF(OR(T445="",Setup!$B$11=""),0,IF(V445=0,T445/COUNTIF(Setup!$B$9:$B$20,"?*"),T445*AK445/V445))</f>
        <v/>
      </c>
      <c r="Z445">
        <f>IF(OR(T445="",Setup!$B$12=""),0,IF(V445=0,T445/COUNTIF(Setup!$B$9:$B$20,"?*"),T445*AL445/V445))</f>
        <v/>
      </c>
      <c r="AA445">
        <f>IF(OR(T445="",Setup!$B$13=""),0,IF(V445=0,T445/COUNTIF(Setup!$B$9:$B$20,"?*"),T445*AM445/V445))</f>
        <v/>
      </c>
      <c r="AB445">
        <f>IF(OR(T445="",Setup!$B$14=""),0,IF(V445=0,T445/COUNTIF(Setup!$B$9:$B$20,"?*"),T445*AN445/V445))</f>
        <v/>
      </c>
      <c r="AC445">
        <f>IF(OR(T445="",Setup!$B$15=""),0,IF(V445=0,T445/COUNTIF(Setup!$B$9:$B$20,"?*"),T445*AO445/V445))</f>
        <v/>
      </c>
      <c r="AD445">
        <f>IF(OR(T445="",Setup!$B$16=""),0,IF(V445=0,T445/COUNTIF(Setup!$B$9:$B$20,"?*"),T445*AP445/V445))</f>
        <v/>
      </c>
      <c r="AE445">
        <f>IF(OR(T445="",Setup!$B$17=""),0,IF(V445=0,T445/COUNTIF(Setup!$B$9:$B$20,"?*"),T445*AQ445/V445))</f>
        <v/>
      </c>
      <c r="AF445">
        <f>IF(OR(T445="",Setup!$B$18=""),0,IF(V445=0,T445/COUNTIF(Setup!$B$9:$B$20,"?*"),T445*AR445/V445))</f>
        <v/>
      </c>
      <c r="AG445">
        <f>IF(OR(T445="",Setup!$B$19=""),0,IF(V445=0,T445/COUNTIF(Setup!$B$9:$B$20,"?*"),T445*AS445/V445))</f>
        <v/>
      </c>
      <c r="AH445">
        <f>IF(OR(T445="",Setup!$B$20=""),0,IF(V445=0,T445/COUNTIF(Setup!$B$9:$B$20,"?*"),T445*AT445/V445))</f>
        <v/>
      </c>
      <c r="AI445">
        <f>IF(Setup!$B$9="",0,IF(H445="",0,IF(ISNUMBER(H445),H445,1)))</f>
        <v/>
      </c>
      <c r="AJ445">
        <f>IF(Setup!$B$10="",0,IF(I445="",0,IF(ISNUMBER(I445),I445,1)))</f>
        <v/>
      </c>
      <c r="AK445">
        <f>IF(Setup!$B$11="",0,IF(J445="",0,IF(ISNUMBER(J445),J445,1)))</f>
        <v/>
      </c>
      <c r="AL445">
        <f>IF(Setup!$B$12="",0,IF(K445="",0,IF(ISNUMBER(K445),K445,1)))</f>
        <v/>
      </c>
      <c r="AM445">
        <f>IF(Setup!$B$13="",0,IF(L445="",0,IF(ISNUMBER(L445),L445,1)))</f>
        <v/>
      </c>
      <c r="AN445">
        <f>IF(Setup!$B$14="",0,IF(M445="",0,IF(ISNUMBER(M445),M445,1)))</f>
        <v/>
      </c>
      <c r="AO445">
        <f>IF(Setup!$B$15="",0,IF(N445="",0,IF(ISNUMBER(N445),N445,1)))</f>
        <v/>
      </c>
      <c r="AP445">
        <f>IF(Setup!$B$16="",0,IF(O445="",0,IF(ISNUMBER(O445),O445,1)))</f>
        <v/>
      </c>
      <c r="AQ445">
        <f>IF(Setup!$B$17="",0,IF(P445="",0,IF(ISNUMBER(P445),P445,1)))</f>
        <v/>
      </c>
      <c r="AR445">
        <f>IF(Setup!$B$18="",0,IF(Q445="",0,IF(ISNUMBER(Q445),Q445,1)))</f>
        <v/>
      </c>
      <c r="AS445">
        <f>IF(Setup!$B$19="",0,IF(R445="",0,IF(ISNUMBER(R445),R445,1)))</f>
        <v/>
      </c>
      <c r="AT445">
        <f>IF(Setup!$B$20="",0,IF(S445="",0,IF(ISNUMBER(S445),S445,1)))</f>
        <v/>
      </c>
    </row>
    <row r="446">
      <c r="A446" s="1" t="n"/>
      <c r="B446" s="24" t="n"/>
      <c r="C446" s="25" t="n"/>
      <c r="D446" s="25" t="n"/>
      <c r="E446" s="26" t="n"/>
      <c r="F446" s="27" t="n"/>
      <c r="G446" s="17" t="n"/>
      <c r="H446" s="28" t="n"/>
      <c r="I446" s="28" t="n"/>
      <c r="J446" s="28" t="n"/>
      <c r="K446" s="28" t="n"/>
      <c r="L446" s="28" t="n"/>
      <c r="M446" s="28" t="n"/>
      <c r="N446" s="28" t="n"/>
      <c r="O446" s="28" t="n"/>
      <c r="P446" s="28" t="n"/>
      <c r="Q446" s="28" t="n"/>
      <c r="R446" s="28" t="n"/>
      <c r="S446" s="28" t="n"/>
      <c r="T446" s="29">
        <f>IF(N(E446)=0,"",E446*IF(F446="",1,IFERROR(INDEX(Setup!$E$9:$E$18,MATCH(F446,Setup!$D$9:$D$18,0)),0)))</f>
        <v/>
      </c>
      <c r="U446" s="30">
        <f>IF(T446="","",IF(V446=0,"Everyone",IF(COUNTIF(AI446:AT446,"&gt;0")=COUNTIF(Setup!$B$9:$B$20,"?*"),"Everyone",COUNTIF(AI446:AT446,"&gt;0")&amp;IF(COUNTIF(AI446:AT446,"&gt;0")=1," person"," people"))))</f>
        <v/>
      </c>
      <c r="V446" s="1">
        <f>SUM(AI446:AT446)</f>
        <v/>
      </c>
      <c r="W446">
        <f>IF(OR(T446="",Setup!$B$9=""),0,IF(V446=0,T446/COUNTIF(Setup!$B$9:$B$20,"?*"),T446*AI446/V446))</f>
        <v/>
      </c>
      <c r="X446">
        <f>IF(OR(T446="",Setup!$B$10=""),0,IF(V446=0,T446/COUNTIF(Setup!$B$9:$B$20,"?*"),T446*AJ446/V446))</f>
        <v/>
      </c>
      <c r="Y446">
        <f>IF(OR(T446="",Setup!$B$11=""),0,IF(V446=0,T446/COUNTIF(Setup!$B$9:$B$20,"?*"),T446*AK446/V446))</f>
        <v/>
      </c>
      <c r="Z446">
        <f>IF(OR(T446="",Setup!$B$12=""),0,IF(V446=0,T446/COUNTIF(Setup!$B$9:$B$20,"?*"),T446*AL446/V446))</f>
        <v/>
      </c>
      <c r="AA446">
        <f>IF(OR(T446="",Setup!$B$13=""),0,IF(V446=0,T446/COUNTIF(Setup!$B$9:$B$20,"?*"),T446*AM446/V446))</f>
        <v/>
      </c>
      <c r="AB446">
        <f>IF(OR(T446="",Setup!$B$14=""),0,IF(V446=0,T446/COUNTIF(Setup!$B$9:$B$20,"?*"),T446*AN446/V446))</f>
        <v/>
      </c>
      <c r="AC446">
        <f>IF(OR(T446="",Setup!$B$15=""),0,IF(V446=0,T446/COUNTIF(Setup!$B$9:$B$20,"?*"),T446*AO446/V446))</f>
        <v/>
      </c>
      <c r="AD446">
        <f>IF(OR(T446="",Setup!$B$16=""),0,IF(V446=0,T446/COUNTIF(Setup!$B$9:$B$20,"?*"),T446*AP446/V446))</f>
        <v/>
      </c>
      <c r="AE446">
        <f>IF(OR(T446="",Setup!$B$17=""),0,IF(V446=0,T446/COUNTIF(Setup!$B$9:$B$20,"?*"),T446*AQ446/V446))</f>
        <v/>
      </c>
      <c r="AF446">
        <f>IF(OR(T446="",Setup!$B$18=""),0,IF(V446=0,T446/COUNTIF(Setup!$B$9:$B$20,"?*"),T446*AR446/V446))</f>
        <v/>
      </c>
      <c r="AG446">
        <f>IF(OR(T446="",Setup!$B$19=""),0,IF(V446=0,T446/COUNTIF(Setup!$B$9:$B$20,"?*"),T446*AS446/V446))</f>
        <v/>
      </c>
      <c r="AH446">
        <f>IF(OR(T446="",Setup!$B$20=""),0,IF(V446=0,T446/COUNTIF(Setup!$B$9:$B$20,"?*"),T446*AT446/V446))</f>
        <v/>
      </c>
      <c r="AI446">
        <f>IF(Setup!$B$9="",0,IF(H446="",0,IF(ISNUMBER(H446),H446,1)))</f>
        <v/>
      </c>
      <c r="AJ446">
        <f>IF(Setup!$B$10="",0,IF(I446="",0,IF(ISNUMBER(I446),I446,1)))</f>
        <v/>
      </c>
      <c r="AK446">
        <f>IF(Setup!$B$11="",0,IF(J446="",0,IF(ISNUMBER(J446),J446,1)))</f>
        <v/>
      </c>
      <c r="AL446">
        <f>IF(Setup!$B$12="",0,IF(K446="",0,IF(ISNUMBER(K446),K446,1)))</f>
        <v/>
      </c>
      <c r="AM446">
        <f>IF(Setup!$B$13="",0,IF(L446="",0,IF(ISNUMBER(L446),L446,1)))</f>
        <v/>
      </c>
      <c r="AN446">
        <f>IF(Setup!$B$14="",0,IF(M446="",0,IF(ISNUMBER(M446),M446,1)))</f>
        <v/>
      </c>
      <c r="AO446">
        <f>IF(Setup!$B$15="",0,IF(N446="",0,IF(ISNUMBER(N446),N446,1)))</f>
        <v/>
      </c>
      <c r="AP446">
        <f>IF(Setup!$B$16="",0,IF(O446="",0,IF(ISNUMBER(O446),O446,1)))</f>
        <v/>
      </c>
      <c r="AQ446">
        <f>IF(Setup!$B$17="",0,IF(P446="",0,IF(ISNUMBER(P446),P446,1)))</f>
        <v/>
      </c>
      <c r="AR446">
        <f>IF(Setup!$B$18="",0,IF(Q446="",0,IF(ISNUMBER(Q446),Q446,1)))</f>
        <v/>
      </c>
      <c r="AS446">
        <f>IF(Setup!$B$19="",0,IF(R446="",0,IF(ISNUMBER(R446),R446,1)))</f>
        <v/>
      </c>
      <c r="AT446">
        <f>IF(Setup!$B$20="",0,IF(S446="",0,IF(ISNUMBER(S446),S446,1)))</f>
        <v/>
      </c>
    </row>
    <row r="447">
      <c r="A447" s="1" t="n"/>
      <c r="B447" s="24" t="n"/>
      <c r="C447" s="25" t="n"/>
      <c r="D447" s="25" t="n"/>
      <c r="E447" s="26" t="n"/>
      <c r="F447" s="27" t="n"/>
      <c r="G447" s="17" t="n"/>
      <c r="H447" s="28" t="n"/>
      <c r="I447" s="28" t="n"/>
      <c r="J447" s="28" t="n"/>
      <c r="K447" s="28" t="n"/>
      <c r="L447" s="28" t="n"/>
      <c r="M447" s="28" t="n"/>
      <c r="N447" s="28" t="n"/>
      <c r="O447" s="28" t="n"/>
      <c r="P447" s="28" t="n"/>
      <c r="Q447" s="28" t="n"/>
      <c r="R447" s="28" t="n"/>
      <c r="S447" s="28" t="n"/>
      <c r="T447" s="29">
        <f>IF(N(E447)=0,"",E447*IF(F447="",1,IFERROR(INDEX(Setup!$E$9:$E$18,MATCH(F447,Setup!$D$9:$D$18,0)),0)))</f>
        <v/>
      </c>
      <c r="U447" s="30">
        <f>IF(T447="","",IF(V447=0,"Everyone",IF(COUNTIF(AI447:AT447,"&gt;0")=COUNTIF(Setup!$B$9:$B$20,"?*"),"Everyone",COUNTIF(AI447:AT447,"&gt;0")&amp;IF(COUNTIF(AI447:AT447,"&gt;0")=1," person"," people"))))</f>
        <v/>
      </c>
      <c r="V447" s="1">
        <f>SUM(AI447:AT447)</f>
        <v/>
      </c>
      <c r="W447">
        <f>IF(OR(T447="",Setup!$B$9=""),0,IF(V447=0,T447/COUNTIF(Setup!$B$9:$B$20,"?*"),T447*AI447/V447))</f>
        <v/>
      </c>
      <c r="X447">
        <f>IF(OR(T447="",Setup!$B$10=""),0,IF(V447=0,T447/COUNTIF(Setup!$B$9:$B$20,"?*"),T447*AJ447/V447))</f>
        <v/>
      </c>
      <c r="Y447">
        <f>IF(OR(T447="",Setup!$B$11=""),0,IF(V447=0,T447/COUNTIF(Setup!$B$9:$B$20,"?*"),T447*AK447/V447))</f>
        <v/>
      </c>
      <c r="Z447">
        <f>IF(OR(T447="",Setup!$B$12=""),0,IF(V447=0,T447/COUNTIF(Setup!$B$9:$B$20,"?*"),T447*AL447/V447))</f>
        <v/>
      </c>
      <c r="AA447">
        <f>IF(OR(T447="",Setup!$B$13=""),0,IF(V447=0,T447/COUNTIF(Setup!$B$9:$B$20,"?*"),T447*AM447/V447))</f>
        <v/>
      </c>
      <c r="AB447">
        <f>IF(OR(T447="",Setup!$B$14=""),0,IF(V447=0,T447/COUNTIF(Setup!$B$9:$B$20,"?*"),T447*AN447/V447))</f>
        <v/>
      </c>
      <c r="AC447">
        <f>IF(OR(T447="",Setup!$B$15=""),0,IF(V447=0,T447/COUNTIF(Setup!$B$9:$B$20,"?*"),T447*AO447/V447))</f>
        <v/>
      </c>
      <c r="AD447">
        <f>IF(OR(T447="",Setup!$B$16=""),0,IF(V447=0,T447/COUNTIF(Setup!$B$9:$B$20,"?*"),T447*AP447/V447))</f>
        <v/>
      </c>
      <c r="AE447">
        <f>IF(OR(T447="",Setup!$B$17=""),0,IF(V447=0,T447/COUNTIF(Setup!$B$9:$B$20,"?*"),T447*AQ447/V447))</f>
        <v/>
      </c>
      <c r="AF447">
        <f>IF(OR(T447="",Setup!$B$18=""),0,IF(V447=0,T447/COUNTIF(Setup!$B$9:$B$20,"?*"),T447*AR447/V447))</f>
        <v/>
      </c>
      <c r="AG447">
        <f>IF(OR(T447="",Setup!$B$19=""),0,IF(V447=0,T447/COUNTIF(Setup!$B$9:$B$20,"?*"),T447*AS447/V447))</f>
        <v/>
      </c>
      <c r="AH447">
        <f>IF(OR(T447="",Setup!$B$20=""),0,IF(V447=0,T447/COUNTIF(Setup!$B$9:$B$20,"?*"),T447*AT447/V447))</f>
        <v/>
      </c>
      <c r="AI447">
        <f>IF(Setup!$B$9="",0,IF(H447="",0,IF(ISNUMBER(H447),H447,1)))</f>
        <v/>
      </c>
      <c r="AJ447">
        <f>IF(Setup!$B$10="",0,IF(I447="",0,IF(ISNUMBER(I447),I447,1)))</f>
        <v/>
      </c>
      <c r="AK447">
        <f>IF(Setup!$B$11="",0,IF(J447="",0,IF(ISNUMBER(J447),J447,1)))</f>
        <v/>
      </c>
      <c r="AL447">
        <f>IF(Setup!$B$12="",0,IF(K447="",0,IF(ISNUMBER(K447),K447,1)))</f>
        <v/>
      </c>
      <c r="AM447">
        <f>IF(Setup!$B$13="",0,IF(L447="",0,IF(ISNUMBER(L447),L447,1)))</f>
        <v/>
      </c>
      <c r="AN447">
        <f>IF(Setup!$B$14="",0,IF(M447="",0,IF(ISNUMBER(M447),M447,1)))</f>
        <v/>
      </c>
      <c r="AO447">
        <f>IF(Setup!$B$15="",0,IF(N447="",0,IF(ISNUMBER(N447),N447,1)))</f>
        <v/>
      </c>
      <c r="AP447">
        <f>IF(Setup!$B$16="",0,IF(O447="",0,IF(ISNUMBER(O447),O447,1)))</f>
        <v/>
      </c>
      <c r="AQ447">
        <f>IF(Setup!$B$17="",0,IF(P447="",0,IF(ISNUMBER(P447),P447,1)))</f>
        <v/>
      </c>
      <c r="AR447">
        <f>IF(Setup!$B$18="",0,IF(Q447="",0,IF(ISNUMBER(Q447),Q447,1)))</f>
        <v/>
      </c>
      <c r="AS447">
        <f>IF(Setup!$B$19="",0,IF(R447="",0,IF(ISNUMBER(R447),R447,1)))</f>
        <v/>
      </c>
      <c r="AT447">
        <f>IF(Setup!$B$20="",0,IF(S447="",0,IF(ISNUMBER(S447),S447,1)))</f>
        <v/>
      </c>
    </row>
    <row r="448">
      <c r="A448" s="1" t="n"/>
      <c r="B448" s="24" t="n"/>
      <c r="C448" s="25" t="n"/>
      <c r="D448" s="25" t="n"/>
      <c r="E448" s="26" t="n"/>
      <c r="F448" s="27" t="n"/>
      <c r="G448" s="17" t="n"/>
      <c r="H448" s="28" t="n"/>
      <c r="I448" s="28" t="n"/>
      <c r="J448" s="28" t="n"/>
      <c r="K448" s="28" t="n"/>
      <c r="L448" s="28" t="n"/>
      <c r="M448" s="28" t="n"/>
      <c r="N448" s="28" t="n"/>
      <c r="O448" s="28" t="n"/>
      <c r="P448" s="28" t="n"/>
      <c r="Q448" s="28" t="n"/>
      <c r="R448" s="28" t="n"/>
      <c r="S448" s="28" t="n"/>
      <c r="T448" s="29">
        <f>IF(N(E448)=0,"",E448*IF(F448="",1,IFERROR(INDEX(Setup!$E$9:$E$18,MATCH(F448,Setup!$D$9:$D$18,0)),0)))</f>
        <v/>
      </c>
      <c r="U448" s="30">
        <f>IF(T448="","",IF(V448=0,"Everyone",IF(COUNTIF(AI448:AT448,"&gt;0")=COUNTIF(Setup!$B$9:$B$20,"?*"),"Everyone",COUNTIF(AI448:AT448,"&gt;0")&amp;IF(COUNTIF(AI448:AT448,"&gt;0")=1," person"," people"))))</f>
        <v/>
      </c>
      <c r="V448" s="1">
        <f>SUM(AI448:AT448)</f>
        <v/>
      </c>
      <c r="W448">
        <f>IF(OR(T448="",Setup!$B$9=""),0,IF(V448=0,T448/COUNTIF(Setup!$B$9:$B$20,"?*"),T448*AI448/V448))</f>
        <v/>
      </c>
      <c r="X448">
        <f>IF(OR(T448="",Setup!$B$10=""),0,IF(V448=0,T448/COUNTIF(Setup!$B$9:$B$20,"?*"),T448*AJ448/V448))</f>
        <v/>
      </c>
      <c r="Y448">
        <f>IF(OR(T448="",Setup!$B$11=""),0,IF(V448=0,T448/COUNTIF(Setup!$B$9:$B$20,"?*"),T448*AK448/V448))</f>
        <v/>
      </c>
      <c r="Z448">
        <f>IF(OR(T448="",Setup!$B$12=""),0,IF(V448=0,T448/COUNTIF(Setup!$B$9:$B$20,"?*"),T448*AL448/V448))</f>
        <v/>
      </c>
      <c r="AA448">
        <f>IF(OR(T448="",Setup!$B$13=""),0,IF(V448=0,T448/COUNTIF(Setup!$B$9:$B$20,"?*"),T448*AM448/V448))</f>
        <v/>
      </c>
      <c r="AB448">
        <f>IF(OR(T448="",Setup!$B$14=""),0,IF(V448=0,T448/COUNTIF(Setup!$B$9:$B$20,"?*"),T448*AN448/V448))</f>
        <v/>
      </c>
      <c r="AC448">
        <f>IF(OR(T448="",Setup!$B$15=""),0,IF(V448=0,T448/COUNTIF(Setup!$B$9:$B$20,"?*"),T448*AO448/V448))</f>
        <v/>
      </c>
      <c r="AD448">
        <f>IF(OR(T448="",Setup!$B$16=""),0,IF(V448=0,T448/COUNTIF(Setup!$B$9:$B$20,"?*"),T448*AP448/V448))</f>
        <v/>
      </c>
      <c r="AE448">
        <f>IF(OR(T448="",Setup!$B$17=""),0,IF(V448=0,T448/COUNTIF(Setup!$B$9:$B$20,"?*"),T448*AQ448/V448))</f>
        <v/>
      </c>
      <c r="AF448">
        <f>IF(OR(T448="",Setup!$B$18=""),0,IF(V448=0,T448/COUNTIF(Setup!$B$9:$B$20,"?*"),T448*AR448/V448))</f>
        <v/>
      </c>
      <c r="AG448">
        <f>IF(OR(T448="",Setup!$B$19=""),0,IF(V448=0,T448/COUNTIF(Setup!$B$9:$B$20,"?*"),T448*AS448/V448))</f>
        <v/>
      </c>
      <c r="AH448">
        <f>IF(OR(T448="",Setup!$B$20=""),0,IF(V448=0,T448/COUNTIF(Setup!$B$9:$B$20,"?*"),T448*AT448/V448))</f>
        <v/>
      </c>
      <c r="AI448">
        <f>IF(Setup!$B$9="",0,IF(H448="",0,IF(ISNUMBER(H448),H448,1)))</f>
        <v/>
      </c>
      <c r="AJ448">
        <f>IF(Setup!$B$10="",0,IF(I448="",0,IF(ISNUMBER(I448),I448,1)))</f>
        <v/>
      </c>
      <c r="AK448">
        <f>IF(Setup!$B$11="",0,IF(J448="",0,IF(ISNUMBER(J448),J448,1)))</f>
        <v/>
      </c>
      <c r="AL448">
        <f>IF(Setup!$B$12="",0,IF(K448="",0,IF(ISNUMBER(K448),K448,1)))</f>
        <v/>
      </c>
      <c r="AM448">
        <f>IF(Setup!$B$13="",0,IF(L448="",0,IF(ISNUMBER(L448),L448,1)))</f>
        <v/>
      </c>
      <c r="AN448">
        <f>IF(Setup!$B$14="",0,IF(M448="",0,IF(ISNUMBER(M448),M448,1)))</f>
        <v/>
      </c>
      <c r="AO448">
        <f>IF(Setup!$B$15="",0,IF(N448="",0,IF(ISNUMBER(N448),N448,1)))</f>
        <v/>
      </c>
      <c r="AP448">
        <f>IF(Setup!$B$16="",0,IF(O448="",0,IF(ISNUMBER(O448),O448,1)))</f>
        <v/>
      </c>
      <c r="AQ448">
        <f>IF(Setup!$B$17="",0,IF(P448="",0,IF(ISNUMBER(P448),P448,1)))</f>
        <v/>
      </c>
      <c r="AR448">
        <f>IF(Setup!$B$18="",0,IF(Q448="",0,IF(ISNUMBER(Q448),Q448,1)))</f>
        <v/>
      </c>
      <c r="AS448">
        <f>IF(Setup!$B$19="",0,IF(R448="",0,IF(ISNUMBER(R448),R448,1)))</f>
        <v/>
      </c>
      <c r="AT448">
        <f>IF(Setup!$B$20="",0,IF(S448="",0,IF(ISNUMBER(S448),S448,1)))</f>
        <v/>
      </c>
    </row>
    <row r="449">
      <c r="A449" s="1" t="n"/>
      <c r="B449" s="24" t="n"/>
      <c r="C449" s="25" t="n"/>
      <c r="D449" s="25" t="n"/>
      <c r="E449" s="26" t="n"/>
      <c r="F449" s="27" t="n"/>
      <c r="G449" s="17" t="n"/>
      <c r="H449" s="28" t="n"/>
      <c r="I449" s="28" t="n"/>
      <c r="J449" s="28" t="n"/>
      <c r="K449" s="28" t="n"/>
      <c r="L449" s="28" t="n"/>
      <c r="M449" s="28" t="n"/>
      <c r="N449" s="28" t="n"/>
      <c r="O449" s="28" t="n"/>
      <c r="P449" s="28" t="n"/>
      <c r="Q449" s="28" t="n"/>
      <c r="R449" s="28" t="n"/>
      <c r="S449" s="28" t="n"/>
      <c r="T449" s="29">
        <f>IF(N(E449)=0,"",E449*IF(F449="",1,IFERROR(INDEX(Setup!$E$9:$E$18,MATCH(F449,Setup!$D$9:$D$18,0)),0)))</f>
        <v/>
      </c>
      <c r="U449" s="30">
        <f>IF(T449="","",IF(V449=0,"Everyone",IF(COUNTIF(AI449:AT449,"&gt;0")=COUNTIF(Setup!$B$9:$B$20,"?*"),"Everyone",COUNTIF(AI449:AT449,"&gt;0")&amp;IF(COUNTIF(AI449:AT449,"&gt;0")=1," person"," people"))))</f>
        <v/>
      </c>
      <c r="V449" s="1">
        <f>SUM(AI449:AT449)</f>
        <v/>
      </c>
      <c r="W449">
        <f>IF(OR(T449="",Setup!$B$9=""),0,IF(V449=0,T449/COUNTIF(Setup!$B$9:$B$20,"?*"),T449*AI449/V449))</f>
        <v/>
      </c>
      <c r="X449">
        <f>IF(OR(T449="",Setup!$B$10=""),0,IF(V449=0,T449/COUNTIF(Setup!$B$9:$B$20,"?*"),T449*AJ449/V449))</f>
        <v/>
      </c>
      <c r="Y449">
        <f>IF(OR(T449="",Setup!$B$11=""),0,IF(V449=0,T449/COUNTIF(Setup!$B$9:$B$20,"?*"),T449*AK449/V449))</f>
        <v/>
      </c>
      <c r="Z449">
        <f>IF(OR(T449="",Setup!$B$12=""),0,IF(V449=0,T449/COUNTIF(Setup!$B$9:$B$20,"?*"),T449*AL449/V449))</f>
        <v/>
      </c>
      <c r="AA449">
        <f>IF(OR(T449="",Setup!$B$13=""),0,IF(V449=0,T449/COUNTIF(Setup!$B$9:$B$20,"?*"),T449*AM449/V449))</f>
        <v/>
      </c>
      <c r="AB449">
        <f>IF(OR(T449="",Setup!$B$14=""),0,IF(V449=0,T449/COUNTIF(Setup!$B$9:$B$20,"?*"),T449*AN449/V449))</f>
        <v/>
      </c>
      <c r="AC449">
        <f>IF(OR(T449="",Setup!$B$15=""),0,IF(V449=0,T449/COUNTIF(Setup!$B$9:$B$20,"?*"),T449*AO449/V449))</f>
        <v/>
      </c>
      <c r="AD449">
        <f>IF(OR(T449="",Setup!$B$16=""),0,IF(V449=0,T449/COUNTIF(Setup!$B$9:$B$20,"?*"),T449*AP449/V449))</f>
        <v/>
      </c>
      <c r="AE449">
        <f>IF(OR(T449="",Setup!$B$17=""),0,IF(V449=0,T449/COUNTIF(Setup!$B$9:$B$20,"?*"),T449*AQ449/V449))</f>
        <v/>
      </c>
      <c r="AF449">
        <f>IF(OR(T449="",Setup!$B$18=""),0,IF(V449=0,T449/COUNTIF(Setup!$B$9:$B$20,"?*"),T449*AR449/V449))</f>
        <v/>
      </c>
      <c r="AG449">
        <f>IF(OR(T449="",Setup!$B$19=""),0,IF(V449=0,T449/COUNTIF(Setup!$B$9:$B$20,"?*"),T449*AS449/V449))</f>
        <v/>
      </c>
      <c r="AH449">
        <f>IF(OR(T449="",Setup!$B$20=""),0,IF(V449=0,T449/COUNTIF(Setup!$B$9:$B$20,"?*"),T449*AT449/V449))</f>
        <v/>
      </c>
      <c r="AI449">
        <f>IF(Setup!$B$9="",0,IF(H449="",0,IF(ISNUMBER(H449),H449,1)))</f>
        <v/>
      </c>
      <c r="AJ449">
        <f>IF(Setup!$B$10="",0,IF(I449="",0,IF(ISNUMBER(I449),I449,1)))</f>
        <v/>
      </c>
      <c r="AK449">
        <f>IF(Setup!$B$11="",0,IF(J449="",0,IF(ISNUMBER(J449),J449,1)))</f>
        <v/>
      </c>
      <c r="AL449">
        <f>IF(Setup!$B$12="",0,IF(K449="",0,IF(ISNUMBER(K449),K449,1)))</f>
        <v/>
      </c>
      <c r="AM449">
        <f>IF(Setup!$B$13="",0,IF(L449="",0,IF(ISNUMBER(L449),L449,1)))</f>
        <v/>
      </c>
      <c r="AN449">
        <f>IF(Setup!$B$14="",0,IF(M449="",0,IF(ISNUMBER(M449),M449,1)))</f>
        <v/>
      </c>
      <c r="AO449">
        <f>IF(Setup!$B$15="",0,IF(N449="",0,IF(ISNUMBER(N449),N449,1)))</f>
        <v/>
      </c>
      <c r="AP449">
        <f>IF(Setup!$B$16="",0,IF(O449="",0,IF(ISNUMBER(O449),O449,1)))</f>
        <v/>
      </c>
      <c r="AQ449">
        <f>IF(Setup!$B$17="",0,IF(P449="",0,IF(ISNUMBER(P449),P449,1)))</f>
        <v/>
      </c>
      <c r="AR449">
        <f>IF(Setup!$B$18="",0,IF(Q449="",0,IF(ISNUMBER(Q449),Q449,1)))</f>
        <v/>
      </c>
      <c r="AS449">
        <f>IF(Setup!$B$19="",0,IF(R449="",0,IF(ISNUMBER(R449),R449,1)))</f>
        <v/>
      </c>
      <c r="AT449">
        <f>IF(Setup!$B$20="",0,IF(S449="",0,IF(ISNUMBER(S449),S449,1)))</f>
        <v/>
      </c>
    </row>
    <row r="450">
      <c r="A450" s="1" t="n"/>
      <c r="B450" s="24" t="n"/>
      <c r="C450" s="25" t="n"/>
      <c r="D450" s="25" t="n"/>
      <c r="E450" s="26" t="n"/>
      <c r="F450" s="27" t="n"/>
      <c r="G450" s="17" t="n"/>
      <c r="H450" s="28" t="n"/>
      <c r="I450" s="28" t="n"/>
      <c r="J450" s="28" t="n"/>
      <c r="K450" s="28" t="n"/>
      <c r="L450" s="28" t="n"/>
      <c r="M450" s="28" t="n"/>
      <c r="N450" s="28" t="n"/>
      <c r="O450" s="28" t="n"/>
      <c r="P450" s="28" t="n"/>
      <c r="Q450" s="28" t="n"/>
      <c r="R450" s="28" t="n"/>
      <c r="S450" s="28" t="n"/>
      <c r="T450" s="29">
        <f>IF(N(E450)=0,"",E450*IF(F450="",1,IFERROR(INDEX(Setup!$E$9:$E$18,MATCH(F450,Setup!$D$9:$D$18,0)),0)))</f>
        <v/>
      </c>
      <c r="U450" s="30">
        <f>IF(T450="","",IF(V450=0,"Everyone",IF(COUNTIF(AI450:AT450,"&gt;0")=COUNTIF(Setup!$B$9:$B$20,"?*"),"Everyone",COUNTIF(AI450:AT450,"&gt;0")&amp;IF(COUNTIF(AI450:AT450,"&gt;0")=1," person"," people"))))</f>
        <v/>
      </c>
      <c r="V450" s="1">
        <f>SUM(AI450:AT450)</f>
        <v/>
      </c>
      <c r="W450">
        <f>IF(OR(T450="",Setup!$B$9=""),0,IF(V450=0,T450/COUNTIF(Setup!$B$9:$B$20,"?*"),T450*AI450/V450))</f>
        <v/>
      </c>
      <c r="X450">
        <f>IF(OR(T450="",Setup!$B$10=""),0,IF(V450=0,T450/COUNTIF(Setup!$B$9:$B$20,"?*"),T450*AJ450/V450))</f>
        <v/>
      </c>
      <c r="Y450">
        <f>IF(OR(T450="",Setup!$B$11=""),0,IF(V450=0,T450/COUNTIF(Setup!$B$9:$B$20,"?*"),T450*AK450/V450))</f>
        <v/>
      </c>
      <c r="Z450">
        <f>IF(OR(T450="",Setup!$B$12=""),0,IF(V450=0,T450/COUNTIF(Setup!$B$9:$B$20,"?*"),T450*AL450/V450))</f>
        <v/>
      </c>
      <c r="AA450">
        <f>IF(OR(T450="",Setup!$B$13=""),0,IF(V450=0,T450/COUNTIF(Setup!$B$9:$B$20,"?*"),T450*AM450/V450))</f>
        <v/>
      </c>
      <c r="AB450">
        <f>IF(OR(T450="",Setup!$B$14=""),0,IF(V450=0,T450/COUNTIF(Setup!$B$9:$B$20,"?*"),T450*AN450/V450))</f>
        <v/>
      </c>
      <c r="AC450">
        <f>IF(OR(T450="",Setup!$B$15=""),0,IF(V450=0,T450/COUNTIF(Setup!$B$9:$B$20,"?*"),T450*AO450/V450))</f>
        <v/>
      </c>
      <c r="AD450">
        <f>IF(OR(T450="",Setup!$B$16=""),0,IF(V450=0,T450/COUNTIF(Setup!$B$9:$B$20,"?*"),T450*AP450/V450))</f>
        <v/>
      </c>
      <c r="AE450">
        <f>IF(OR(T450="",Setup!$B$17=""),0,IF(V450=0,T450/COUNTIF(Setup!$B$9:$B$20,"?*"),T450*AQ450/V450))</f>
        <v/>
      </c>
      <c r="AF450">
        <f>IF(OR(T450="",Setup!$B$18=""),0,IF(V450=0,T450/COUNTIF(Setup!$B$9:$B$20,"?*"),T450*AR450/V450))</f>
        <v/>
      </c>
      <c r="AG450">
        <f>IF(OR(T450="",Setup!$B$19=""),0,IF(V450=0,T450/COUNTIF(Setup!$B$9:$B$20,"?*"),T450*AS450/V450))</f>
        <v/>
      </c>
      <c r="AH450">
        <f>IF(OR(T450="",Setup!$B$20=""),0,IF(V450=0,T450/COUNTIF(Setup!$B$9:$B$20,"?*"),T450*AT450/V450))</f>
        <v/>
      </c>
      <c r="AI450">
        <f>IF(Setup!$B$9="",0,IF(H450="",0,IF(ISNUMBER(H450),H450,1)))</f>
        <v/>
      </c>
      <c r="AJ450">
        <f>IF(Setup!$B$10="",0,IF(I450="",0,IF(ISNUMBER(I450),I450,1)))</f>
        <v/>
      </c>
      <c r="AK450">
        <f>IF(Setup!$B$11="",0,IF(J450="",0,IF(ISNUMBER(J450),J450,1)))</f>
        <v/>
      </c>
      <c r="AL450">
        <f>IF(Setup!$B$12="",0,IF(K450="",0,IF(ISNUMBER(K450),K450,1)))</f>
        <v/>
      </c>
      <c r="AM450">
        <f>IF(Setup!$B$13="",0,IF(L450="",0,IF(ISNUMBER(L450),L450,1)))</f>
        <v/>
      </c>
      <c r="AN450">
        <f>IF(Setup!$B$14="",0,IF(M450="",0,IF(ISNUMBER(M450),M450,1)))</f>
        <v/>
      </c>
      <c r="AO450">
        <f>IF(Setup!$B$15="",0,IF(N450="",0,IF(ISNUMBER(N450),N450,1)))</f>
        <v/>
      </c>
      <c r="AP450">
        <f>IF(Setup!$B$16="",0,IF(O450="",0,IF(ISNUMBER(O450),O450,1)))</f>
        <v/>
      </c>
      <c r="AQ450">
        <f>IF(Setup!$B$17="",0,IF(P450="",0,IF(ISNUMBER(P450),P450,1)))</f>
        <v/>
      </c>
      <c r="AR450">
        <f>IF(Setup!$B$18="",0,IF(Q450="",0,IF(ISNUMBER(Q450),Q450,1)))</f>
        <v/>
      </c>
      <c r="AS450">
        <f>IF(Setup!$B$19="",0,IF(R450="",0,IF(ISNUMBER(R450),R450,1)))</f>
        <v/>
      </c>
      <c r="AT450">
        <f>IF(Setup!$B$20="",0,IF(S450="",0,IF(ISNUMBER(S450),S450,1)))</f>
        <v/>
      </c>
    </row>
    <row r="451">
      <c r="A451" s="1" t="n"/>
      <c r="B451" s="24" t="n"/>
      <c r="C451" s="25" t="n"/>
      <c r="D451" s="25" t="n"/>
      <c r="E451" s="26" t="n"/>
      <c r="F451" s="27" t="n"/>
      <c r="G451" s="17" t="n"/>
      <c r="H451" s="28" t="n"/>
      <c r="I451" s="28" t="n"/>
      <c r="J451" s="28" t="n"/>
      <c r="K451" s="28" t="n"/>
      <c r="L451" s="28" t="n"/>
      <c r="M451" s="28" t="n"/>
      <c r="N451" s="28" t="n"/>
      <c r="O451" s="28" t="n"/>
      <c r="P451" s="28" t="n"/>
      <c r="Q451" s="28" t="n"/>
      <c r="R451" s="28" t="n"/>
      <c r="S451" s="28" t="n"/>
      <c r="T451" s="29">
        <f>IF(N(E451)=0,"",E451*IF(F451="",1,IFERROR(INDEX(Setup!$E$9:$E$18,MATCH(F451,Setup!$D$9:$D$18,0)),0)))</f>
        <v/>
      </c>
      <c r="U451" s="30">
        <f>IF(T451="","",IF(V451=0,"Everyone",IF(COUNTIF(AI451:AT451,"&gt;0")=COUNTIF(Setup!$B$9:$B$20,"?*"),"Everyone",COUNTIF(AI451:AT451,"&gt;0")&amp;IF(COUNTIF(AI451:AT451,"&gt;0")=1," person"," people"))))</f>
        <v/>
      </c>
      <c r="V451" s="1">
        <f>SUM(AI451:AT451)</f>
        <v/>
      </c>
      <c r="W451">
        <f>IF(OR(T451="",Setup!$B$9=""),0,IF(V451=0,T451/COUNTIF(Setup!$B$9:$B$20,"?*"),T451*AI451/V451))</f>
        <v/>
      </c>
      <c r="X451">
        <f>IF(OR(T451="",Setup!$B$10=""),0,IF(V451=0,T451/COUNTIF(Setup!$B$9:$B$20,"?*"),T451*AJ451/V451))</f>
        <v/>
      </c>
      <c r="Y451">
        <f>IF(OR(T451="",Setup!$B$11=""),0,IF(V451=0,T451/COUNTIF(Setup!$B$9:$B$20,"?*"),T451*AK451/V451))</f>
        <v/>
      </c>
      <c r="Z451">
        <f>IF(OR(T451="",Setup!$B$12=""),0,IF(V451=0,T451/COUNTIF(Setup!$B$9:$B$20,"?*"),T451*AL451/V451))</f>
        <v/>
      </c>
      <c r="AA451">
        <f>IF(OR(T451="",Setup!$B$13=""),0,IF(V451=0,T451/COUNTIF(Setup!$B$9:$B$20,"?*"),T451*AM451/V451))</f>
        <v/>
      </c>
      <c r="AB451">
        <f>IF(OR(T451="",Setup!$B$14=""),0,IF(V451=0,T451/COUNTIF(Setup!$B$9:$B$20,"?*"),T451*AN451/V451))</f>
        <v/>
      </c>
      <c r="AC451">
        <f>IF(OR(T451="",Setup!$B$15=""),0,IF(V451=0,T451/COUNTIF(Setup!$B$9:$B$20,"?*"),T451*AO451/V451))</f>
        <v/>
      </c>
      <c r="AD451">
        <f>IF(OR(T451="",Setup!$B$16=""),0,IF(V451=0,T451/COUNTIF(Setup!$B$9:$B$20,"?*"),T451*AP451/V451))</f>
        <v/>
      </c>
      <c r="AE451">
        <f>IF(OR(T451="",Setup!$B$17=""),0,IF(V451=0,T451/COUNTIF(Setup!$B$9:$B$20,"?*"),T451*AQ451/V451))</f>
        <v/>
      </c>
      <c r="AF451">
        <f>IF(OR(T451="",Setup!$B$18=""),0,IF(V451=0,T451/COUNTIF(Setup!$B$9:$B$20,"?*"),T451*AR451/V451))</f>
        <v/>
      </c>
      <c r="AG451">
        <f>IF(OR(T451="",Setup!$B$19=""),0,IF(V451=0,T451/COUNTIF(Setup!$B$9:$B$20,"?*"),T451*AS451/V451))</f>
        <v/>
      </c>
      <c r="AH451">
        <f>IF(OR(T451="",Setup!$B$20=""),0,IF(V451=0,T451/COUNTIF(Setup!$B$9:$B$20,"?*"),T451*AT451/V451))</f>
        <v/>
      </c>
      <c r="AI451">
        <f>IF(Setup!$B$9="",0,IF(H451="",0,IF(ISNUMBER(H451),H451,1)))</f>
        <v/>
      </c>
      <c r="AJ451">
        <f>IF(Setup!$B$10="",0,IF(I451="",0,IF(ISNUMBER(I451),I451,1)))</f>
        <v/>
      </c>
      <c r="AK451">
        <f>IF(Setup!$B$11="",0,IF(J451="",0,IF(ISNUMBER(J451),J451,1)))</f>
        <v/>
      </c>
      <c r="AL451">
        <f>IF(Setup!$B$12="",0,IF(K451="",0,IF(ISNUMBER(K451),K451,1)))</f>
        <v/>
      </c>
      <c r="AM451">
        <f>IF(Setup!$B$13="",0,IF(L451="",0,IF(ISNUMBER(L451),L451,1)))</f>
        <v/>
      </c>
      <c r="AN451">
        <f>IF(Setup!$B$14="",0,IF(M451="",0,IF(ISNUMBER(M451),M451,1)))</f>
        <v/>
      </c>
      <c r="AO451">
        <f>IF(Setup!$B$15="",0,IF(N451="",0,IF(ISNUMBER(N451),N451,1)))</f>
        <v/>
      </c>
      <c r="AP451">
        <f>IF(Setup!$B$16="",0,IF(O451="",0,IF(ISNUMBER(O451),O451,1)))</f>
        <v/>
      </c>
      <c r="AQ451">
        <f>IF(Setup!$B$17="",0,IF(P451="",0,IF(ISNUMBER(P451),P451,1)))</f>
        <v/>
      </c>
      <c r="AR451">
        <f>IF(Setup!$B$18="",0,IF(Q451="",0,IF(ISNUMBER(Q451),Q451,1)))</f>
        <v/>
      </c>
      <c r="AS451">
        <f>IF(Setup!$B$19="",0,IF(R451="",0,IF(ISNUMBER(R451),R451,1)))</f>
        <v/>
      </c>
      <c r="AT451">
        <f>IF(Setup!$B$20="",0,IF(S451="",0,IF(ISNUMBER(S451),S451,1)))</f>
        <v/>
      </c>
    </row>
    <row r="452">
      <c r="A452" s="1" t="n"/>
      <c r="B452" s="24" t="n"/>
      <c r="C452" s="25" t="n"/>
      <c r="D452" s="25" t="n"/>
      <c r="E452" s="26" t="n"/>
      <c r="F452" s="27" t="n"/>
      <c r="G452" s="17" t="n"/>
      <c r="H452" s="28" t="n"/>
      <c r="I452" s="28" t="n"/>
      <c r="J452" s="28" t="n"/>
      <c r="K452" s="28" t="n"/>
      <c r="L452" s="28" t="n"/>
      <c r="M452" s="28" t="n"/>
      <c r="N452" s="28" t="n"/>
      <c r="O452" s="28" t="n"/>
      <c r="P452" s="28" t="n"/>
      <c r="Q452" s="28" t="n"/>
      <c r="R452" s="28" t="n"/>
      <c r="S452" s="28" t="n"/>
      <c r="T452" s="29">
        <f>IF(N(E452)=0,"",E452*IF(F452="",1,IFERROR(INDEX(Setup!$E$9:$E$18,MATCH(F452,Setup!$D$9:$D$18,0)),0)))</f>
        <v/>
      </c>
      <c r="U452" s="30">
        <f>IF(T452="","",IF(V452=0,"Everyone",IF(COUNTIF(AI452:AT452,"&gt;0")=COUNTIF(Setup!$B$9:$B$20,"?*"),"Everyone",COUNTIF(AI452:AT452,"&gt;0")&amp;IF(COUNTIF(AI452:AT452,"&gt;0")=1," person"," people"))))</f>
        <v/>
      </c>
      <c r="V452" s="1">
        <f>SUM(AI452:AT452)</f>
        <v/>
      </c>
      <c r="W452">
        <f>IF(OR(T452="",Setup!$B$9=""),0,IF(V452=0,T452/COUNTIF(Setup!$B$9:$B$20,"?*"),T452*AI452/V452))</f>
        <v/>
      </c>
      <c r="X452">
        <f>IF(OR(T452="",Setup!$B$10=""),0,IF(V452=0,T452/COUNTIF(Setup!$B$9:$B$20,"?*"),T452*AJ452/V452))</f>
        <v/>
      </c>
      <c r="Y452">
        <f>IF(OR(T452="",Setup!$B$11=""),0,IF(V452=0,T452/COUNTIF(Setup!$B$9:$B$20,"?*"),T452*AK452/V452))</f>
        <v/>
      </c>
      <c r="Z452">
        <f>IF(OR(T452="",Setup!$B$12=""),0,IF(V452=0,T452/COUNTIF(Setup!$B$9:$B$20,"?*"),T452*AL452/V452))</f>
        <v/>
      </c>
      <c r="AA452">
        <f>IF(OR(T452="",Setup!$B$13=""),0,IF(V452=0,T452/COUNTIF(Setup!$B$9:$B$20,"?*"),T452*AM452/V452))</f>
        <v/>
      </c>
      <c r="AB452">
        <f>IF(OR(T452="",Setup!$B$14=""),0,IF(V452=0,T452/COUNTIF(Setup!$B$9:$B$20,"?*"),T452*AN452/V452))</f>
        <v/>
      </c>
      <c r="AC452">
        <f>IF(OR(T452="",Setup!$B$15=""),0,IF(V452=0,T452/COUNTIF(Setup!$B$9:$B$20,"?*"),T452*AO452/V452))</f>
        <v/>
      </c>
      <c r="AD452">
        <f>IF(OR(T452="",Setup!$B$16=""),0,IF(V452=0,T452/COUNTIF(Setup!$B$9:$B$20,"?*"),T452*AP452/V452))</f>
        <v/>
      </c>
      <c r="AE452">
        <f>IF(OR(T452="",Setup!$B$17=""),0,IF(V452=0,T452/COUNTIF(Setup!$B$9:$B$20,"?*"),T452*AQ452/V452))</f>
        <v/>
      </c>
      <c r="AF452">
        <f>IF(OR(T452="",Setup!$B$18=""),0,IF(V452=0,T452/COUNTIF(Setup!$B$9:$B$20,"?*"),T452*AR452/V452))</f>
        <v/>
      </c>
      <c r="AG452">
        <f>IF(OR(T452="",Setup!$B$19=""),0,IF(V452=0,T452/COUNTIF(Setup!$B$9:$B$20,"?*"),T452*AS452/V452))</f>
        <v/>
      </c>
      <c r="AH452">
        <f>IF(OR(T452="",Setup!$B$20=""),0,IF(V452=0,T452/COUNTIF(Setup!$B$9:$B$20,"?*"),T452*AT452/V452))</f>
        <v/>
      </c>
      <c r="AI452">
        <f>IF(Setup!$B$9="",0,IF(H452="",0,IF(ISNUMBER(H452),H452,1)))</f>
        <v/>
      </c>
      <c r="AJ452">
        <f>IF(Setup!$B$10="",0,IF(I452="",0,IF(ISNUMBER(I452),I452,1)))</f>
        <v/>
      </c>
      <c r="AK452">
        <f>IF(Setup!$B$11="",0,IF(J452="",0,IF(ISNUMBER(J452),J452,1)))</f>
        <v/>
      </c>
      <c r="AL452">
        <f>IF(Setup!$B$12="",0,IF(K452="",0,IF(ISNUMBER(K452),K452,1)))</f>
        <v/>
      </c>
      <c r="AM452">
        <f>IF(Setup!$B$13="",0,IF(L452="",0,IF(ISNUMBER(L452),L452,1)))</f>
        <v/>
      </c>
      <c r="AN452">
        <f>IF(Setup!$B$14="",0,IF(M452="",0,IF(ISNUMBER(M452),M452,1)))</f>
        <v/>
      </c>
      <c r="AO452">
        <f>IF(Setup!$B$15="",0,IF(N452="",0,IF(ISNUMBER(N452),N452,1)))</f>
        <v/>
      </c>
      <c r="AP452">
        <f>IF(Setup!$B$16="",0,IF(O452="",0,IF(ISNUMBER(O452),O452,1)))</f>
        <v/>
      </c>
      <c r="AQ452">
        <f>IF(Setup!$B$17="",0,IF(P452="",0,IF(ISNUMBER(P452),P452,1)))</f>
        <v/>
      </c>
      <c r="AR452">
        <f>IF(Setup!$B$18="",0,IF(Q452="",0,IF(ISNUMBER(Q452),Q452,1)))</f>
        <v/>
      </c>
      <c r="AS452">
        <f>IF(Setup!$B$19="",0,IF(R452="",0,IF(ISNUMBER(R452),R452,1)))</f>
        <v/>
      </c>
      <c r="AT452">
        <f>IF(Setup!$B$20="",0,IF(S452="",0,IF(ISNUMBER(S452),S452,1)))</f>
        <v/>
      </c>
    </row>
    <row r="453">
      <c r="A453" s="1" t="n"/>
      <c r="B453" s="24" t="n"/>
      <c r="C453" s="25" t="n"/>
      <c r="D453" s="25" t="n"/>
      <c r="E453" s="26" t="n"/>
      <c r="F453" s="27" t="n"/>
      <c r="G453" s="17" t="n"/>
      <c r="H453" s="28" t="n"/>
      <c r="I453" s="28" t="n"/>
      <c r="J453" s="28" t="n"/>
      <c r="K453" s="28" t="n"/>
      <c r="L453" s="28" t="n"/>
      <c r="M453" s="28" t="n"/>
      <c r="N453" s="28" t="n"/>
      <c r="O453" s="28" t="n"/>
      <c r="P453" s="28" t="n"/>
      <c r="Q453" s="28" t="n"/>
      <c r="R453" s="28" t="n"/>
      <c r="S453" s="28" t="n"/>
      <c r="T453" s="29">
        <f>IF(N(E453)=0,"",E453*IF(F453="",1,IFERROR(INDEX(Setup!$E$9:$E$18,MATCH(F453,Setup!$D$9:$D$18,0)),0)))</f>
        <v/>
      </c>
      <c r="U453" s="30">
        <f>IF(T453="","",IF(V453=0,"Everyone",IF(COUNTIF(AI453:AT453,"&gt;0")=COUNTIF(Setup!$B$9:$B$20,"?*"),"Everyone",COUNTIF(AI453:AT453,"&gt;0")&amp;IF(COUNTIF(AI453:AT453,"&gt;0")=1," person"," people"))))</f>
        <v/>
      </c>
      <c r="V453" s="1">
        <f>SUM(AI453:AT453)</f>
        <v/>
      </c>
      <c r="W453">
        <f>IF(OR(T453="",Setup!$B$9=""),0,IF(V453=0,T453/COUNTIF(Setup!$B$9:$B$20,"?*"),T453*AI453/V453))</f>
        <v/>
      </c>
      <c r="X453">
        <f>IF(OR(T453="",Setup!$B$10=""),0,IF(V453=0,T453/COUNTIF(Setup!$B$9:$B$20,"?*"),T453*AJ453/V453))</f>
        <v/>
      </c>
      <c r="Y453">
        <f>IF(OR(T453="",Setup!$B$11=""),0,IF(V453=0,T453/COUNTIF(Setup!$B$9:$B$20,"?*"),T453*AK453/V453))</f>
        <v/>
      </c>
      <c r="Z453">
        <f>IF(OR(T453="",Setup!$B$12=""),0,IF(V453=0,T453/COUNTIF(Setup!$B$9:$B$20,"?*"),T453*AL453/V453))</f>
        <v/>
      </c>
      <c r="AA453">
        <f>IF(OR(T453="",Setup!$B$13=""),0,IF(V453=0,T453/COUNTIF(Setup!$B$9:$B$20,"?*"),T453*AM453/V453))</f>
        <v/>
      </c>
      <c r="AB453">
        <f>IF(OR(T453="",Setup!$B$14=""),0,IF(V453=0,T453/COUNTIF(Setup!$B$9:$B$20,"?*"),T453*AN453/V453))</f>
        <v/>
      </c>
      <c r="AC453">
        <f>IF(OR(T453="",Setup!$B$15=""),0,IF(V453=0,T453/COUNTIF(Setup!$B$9:$B$20,"?*"),T453*AO453/V453))</f>
        <v/>
      </c>
      <c r="AD453">
        <f>IF(OR(T453="",Setup!$B$16=""),0,IF(V453=0,T453/COUNTIF(Setup!$B$9:$B$20,"?*"),T453*AP453/V453))</f>
        <v/>
      </c>
      <c r="AE453">
        <f>IF(OR(T453="",Setup!$B$17=""),0,IF(V453=0,T453/COUNTIF(Setup!$B$9:$B$20,"?*"),T453*AQ453/V453))</f>
        <v/>
      </c>
      <c r="AF453">
        <f>IF(OR(T453="",Setup!$B$18=""),0,IF(V453=0,T453/COUNTIF(Setup!$B$9:$B$20,"?*"),T453*AR453/V453))</f>
        <v/>
      </c>
      <c r="AG453">
        <f>IF(OR(T453="",Setup!$B$19=""),0,IF(V453=0,T453/COUNTIF(Setup!$B$9:$B$20,"?*"),T453*AS453/V453))</f>
        <v/>
      </c>
      <c r="AH453">
        <f>IF(OR(T453="",Setup!$B$20=""),0,IF(V453=0,T453/COUNTIF(Setup!$B$9:$B$20,"?*"),T453*AT453/V453))</f>
        <v/>
      </c>
      <c r="AI453">
        <f>IF(Setup!$B$9="",0,IF(H453="",0,IF(ISNUMBER(H453),H453,1)))</f>
        <v/>
      </c>
      <c r="AJ453">
        <f>IF(Setup!$B$10="",0,IF(I453="",0,IF(ISNUMBER(I453),I453,1)))</f>
        <v/>
      </c>
      <c r="AK453">
        <f>IF(Setup!$B$11="",0,IF(J453="",0,IF(ISNUMBER(J453),J453,1)))</f>
        <v/>
      </c>
      <c r="AL453">
        <f>IF(Setup!$B$12="",0,IF(K453="",0,IF(ISNUMBER(K453),K453,1)))</f>
        <v/>
      </c>
      <c r="AM453">
        <f>IF(Setup!$B$13="",0,IF(L453="",0,IF(ISNUMBER(L453),L453,1)))</f>
        <v/>
      </c>
      <c r="AN453">
        <f>IF(Setup!$B$14="",0,IF(M453="",0,IF(ISNUMBER(M453),M453,1)))</f>
        <v/>
      </c>
      <c r="AO453">
        <f>IF(Setup!$B$15="",0,IF(N453="",0,IF(ISNUMBER(N453),N453,1)))</f>
        <v/>
      </c>
      <c r="AP453">
        <f>IF(Setup!$B$16="",0,IF(O453="",0,IF(ISNUMBER(O453),O453,1)))</f>
        <v/>
      </c>
      <c r="AQ453">
        <f>IF(Setup!$B$17="",0,IF(P453="",0,IF(ISNUMBER(P453),P453,1)))</f>
        <v/>
      </c>
      <c r="AR453">
        <f>IF(Setup!$B$18="",0,IF(Q453="",0,IF(ISNUMBER(Q453),Q453,1)))</f>
        <v/>
      </c>
      <c r="AS453">
        <f>IF(Setup!$B$19="",0,IF(R453="",0,IF(ISNUMBER(R453),R453,1)))</f>
        <v/>
      </c>
      <c r="AT453">
        <f>IF(Setup!$B$20="",0,IF(S453="",0,IF(ISNUMBER(S453),S453,1)))</f>
        <v/>
      </c>
    </row>
    <row r="454">
      <c r="A454" s="1" t="n"/>
      <c r="B454" s="24" t="n"/>
      <c r="C454" s="25" t="n"/>
      <c r="D454" s="25" t="n"/>
      <c r="E454" s="26" t="n"/>
      <c r="F454" s="27" t="n"/>
      <c r="G454" s="17" t="n"/>
      <c r="H454" s="28" t="n"/>
      <c r="I454" s="28" t="n"/>
      <c r="J454" s="28" t="n"/>
      <c r="K454" s="28" t="n"/>
      <c r="L454" s="28" t="n"/>
      <c r="M454" s="28" t="n"/>
      <c r="N454" s="28" t="n"/>
      <c r="O454" s="28" t="n"/>
      <c r="P454" s="28" t="n"/>
      <c r="Q454" s="28" t="n"/>
      <c r="R454" s="28" t="n"/>
      <c r="S454" s="28" t="n"/>
      <c r="T454" s="29">
        <f>IF(N(E454)=0,"",E454*IF(F454="",1,IFERROR(INDEX(Setup!$E$9:$E$18,MATCH(F454,Setup!$D$9:$D$18,0)),0)))</f>
        <v/>
      </c>
      <c r="U454" s="30">
        <f>IF(T454="","",IF(V454=0,"Everyone",IF(COUNTIF(AI454:AT454,"&gt;0")=COUNTIF(Setup!$B$9:$B$20,"?*"),"Everyone",COUNTIF(AI454:AT454,"&gt;0")&amp;IF(COUNTIF(AI454:AT454,"&gt;0")=1," person"," people"))))</f>
        <v/>
      </c>
      <c r="V454" s="1">
        <f>SUM(AI454:AT454)</f>
        <v/>
      </c>
      <c r="W454">
        <f>IF(OR(T454="",Setup!$B$9=""),0,IF(V454=0,T454/COUNTIF(Setup!$B$9:$B$20,"?*"),T454*AI454/V454))</f>
        <v/>
      </c>
      <c r="X454">
        <f>IF(OR(T454="",Setup!$B$10=""),0,IF(V454=0,T454/COUNTIF(Setup!$B$9:$B$20,"?*"),T454*AJ454/V454))</f>
        <v/>
      </c>
      <c r="Y454">
        <f>IF(OR(T454="",Setup!$B$11=""),0,IF(V454=0,T454/COUNTIF(Setup!$B$9:$B$20,"?*"),T454*AK454/V454))</f>
        <v/>
      </c>
      <c r="Z454">
        <f>IF(OR(T454="",Setup!$B$12=""),0,IF(V454=0,T454/COUNTIF(Setup!$B$9:$B$20,"?*"),T454*AL454/V454))</f>
        <v/>
      </c>
      <c r="AA454">
        <f>IF(OR(T454="",Setup!$B$13=""),0,IF(V454=0,T454/COUNTIF(Setup!$B$9:$B$20,"?*"),T454*AM454/V454))</f>
        <v/>
      </c>
      <c r="AB454">
        <f>IF(OR(T454="",Setup!$B$14=""),0,IF(V454=0,T454/COUNTIF(Setup!$B$9:$B$20,"?*"),T454*AN454/V454))</f>
        <v/>
      </c>
      <c r="AC454">
        <f>IF(OR(T454="",Setup!$B$15=""),0,IF(V454=0,T454/COUNTIF(Setup!$B$9:$B$20,"?*"),T454*AO454/V454))</f>
        <v/>
      </c>
      <c r="AD454">
        <f>IF(OR(T454="",Setup!$B$16=""),0,IF(V454=0,T454/COUNTIF(Setup!$B$9:$B$20,"?*"),T454*AP454/V454))</f>
        <v/>
      </c>
      <c r="AE454">
        <f>IF(OR(T454="",Setup!$B$17=""),0,IF(V454=0,T454/COUNTIF(Setup!$B$9:$B$20,"?*"),T454*AQ454/V454))</f>
        <v/>
      </c>
      <c r="AF454">
        <f>IF(OR(T454="",Setup!$B$18=""),0,IF(V454=0,T454/COUNTIF(Setup!$B$9:$B$20,"?*"),T454*AR454/V454))</f>
        <v/>
      </c>
      <c r="AG454">
        <f>IF(OR(T454="",Setup!$B$19=""),0,IF(V454=0,T454/COUNTIF(Setup!$B$9:$B$20,"?*"),T454*AS454/V454))</f>
        <v/>
      </c>
      <c r="AH454">
        <f>IF(OR(T454="",Setup!$B$20=""),0,IF(V454=0,T454/COUNTIF(Setup!$B$9:$B$20,"?*"),T454*AT454/V454))</f>
        <v/>
      </c>
      <c r="AI454">
        <f>IF(Setup!$B$9="",0,IF(H454="",0,IF(ISNUMBER(H454),H454,1)))</f>
        <v/>
      </c>
      <c r="AJ454">
        <f>IF(Setup!$B$10="",0,IF(I454="",0,IF(ISNUMBER(I454),I454,1)))</f>
        <v/>
      </c>
      <c r="AK454">
        <f>IF(Setup!$B$11="",0,IF(J454="",0,IF(ISNUMBER(J454),J454,1)))</f>
        <v/>
      </c>
      <c r="AL454">
        <f>IF(Setup!$B$12="",0,IF(K454="",0,IF(ISNUMBER(K454),K454,1)))</f>
        <v/>
      </c>
      <c r="AM454">
        <f>IF(Setup!$B$13="",0,IF(L454="",0,IF(ISNUMBER(L454),L454,1)))</f>
        <v/>
      </c>
      <c r="AN454">
        <f>IF(Setup!$B$14="",0,IF(M454="",0,IF(ISNUMBER(M454),M454,1)))</f>
        <v/>
      </c>
      <c r="AO454">
        <f>IF(Setup!$B$15="",0,IF(N454="",0,IF(ISNUMBER(N454),N454,1)))</f>
        <v/>
      </c>
      <c r="AP454">
        <f>IF(Setup!$B$16="",0,IF(O454="",0,IF(ISNUMBER(O454),O454,1)))</f>
        <v/>
      </c>
      <c r="AQ454">
        <f>IF(Setup!$B$17="",0,IF(P454="",0,IF(ISNUMBER(P454),P454,1)))</f>
        <v/>
      </c>
      <c r="AR454">
        <f>IF(Setup!$B$18="",0,IF(Q454="",0,IF(ISNUMBER(Q454),Q454,1)))</f>
        <v/>
      </c>
      <c r="AS454">
        <f>IF(Setup!$B$19="",0,IF(R454="",0,IF(ISNUMBER(R454),R454,1)))</f>
        <v/>
      </c>
      <c r="AT454">
        <f>IF(Setup!$B$20="",0,IF(S454="",0,IF(ISNUMBER(S454),S454,1)))</f>
        <v/>
      </c>
    </row>
    <row r="455">
      <c r="A455" s="1" t="n"/>
      <c r="B455" s="24" t="n"/>
      <c r="C455" s="25" t="n"/>
      <c r="D455" s="25" t="n"/>
      <c r="E455" s="26" t="n"/>
      <c r="F455" s="27" t="n"/>
      <c r="G455" s="17" t="n"/>
      <c r="H455" s="28" t="n"/>
      <c r="I455" s="28" t="n"/>
      <c r="J455" s="28" t="n"/>
      <c r="K455" s="28" t="n"/>
      <c r="L455" s="28" t="n"/>
      <c r="M455" s="28" t="n"/>
      <c r="N455" s="28" t="n"/>
      <c r="O455" s="28" t="n"/>
      <c r="P455" s="28" t="n"/>
      <c r="Q455" s="28" t="n"/>
      <c r="R455" s="28" t="n"/>
      <c r="S455" s="28" t="n"/>
      <c r="T455" s="29">
        <f>IF(N(E455)=0,"",E455*IF(F455="",1,IFERROR(INDEX(Setup!$E$9:$E$18,MATCH(F455,Setup!$D$9:$D$18,0)),0)))</f>
        <v/>
      </c>
      <c r="U455" s="30">
        <f>IF(T455="","",IF(V455=0,"Everyone",IF(COUNTIF(AI455:AT455,"&gt;0")=COUNTIF(Setup!$B$9:$B$20,"?*"),"Everyone",COUNTIF(AI455:AT455,"&gt;0")&amp;IF(COUNTIF(AI455:AT455,"&gt;0")=1," person"," people"))))</f>
        <v/>
      </c>
      <c r="V455" s="1">
        <f>SUM(AI455:AT455)</f>
        <v/>
      </c>
      <c r="W455">
        <f>IF(OR(T455="",Setup!$B$9=""),0,IF(V455=0,T455/COUNTIF(Setup!$B$9:$B$20,"?*"),T455*AI455/V455))</f>
        <v/>
      </c>
      <c r="X455">
        <f>IF(OR(T455="",Setup!$B$10=""),0,IF(V455=0,T455/COUNTIF(Setup!$B$9:$B$20,"?*"),T455*AJ455/V455))</f>
        <v/>
      </c>
      <c r="Y455">
        <f>IF(OR(T455="",Setup!$B$11=""),0,IF(V455=0,T455/COUNTIF(Setup!$B$9:$B$20,"?*"),T455*AK455/V455))</f>
        <v/>
      </c>
      <c r="Z455">
        <f>IF(OR(T455="",Setup!$B$12=""),0,IF(V455=0,T455/COUNTIF(Setup!$B$9:$B$20,"?*"),T455*AL455/V455))</f>
        <v/>
      </c>
      <c r="AA455">
        <f>IF(OR(T455="",Setup!$B$13=""),0,IF(V455=0,T455/COUNTIF(Setup!$B$9:$B$20,"?*"),T455*AM455/V455))</f>
        <v/>
      </c>
      <c r="AB455">
        <f>IF(OR(T455="",Setup!$B$14=""),0,IF(V455=0,T455/COUNTIF(Setup!$B$9:$B$20,"?*"),T455*AN455/V455))</f>
        <v/>
      </c>
      <c r="AC455">
        <f>IF(OR(T455="",Setup!$B$15=""),0,IF(V455=0,T455/COUNTIF(Setup!$B$9:$B$20,"?*"),T455*AO455/V455))</f>
        <v/>
      </c>
      <c r="AD455">
        <f>IF(OR(T455="",Setup!$B$16=""),0,IF(V455=0,T455/COUNTIF(Setup!$B$9:$B$20,"?*"),T455*AP455/V455))</f>
        <v/>
      </c>
      <c r="AE455">
        <f>IF(OR(T455="",Setup!$B$17=""),0,IF(V455=0,T455/COUNTIF(Setup!$B$9:$B$20,"?*"),T455*AQ455/V455))</f>
        <v/>
      </c>
      <c r="AF455">
        <f>IF(OR(T455="",Setup!$B$18=""),0,IF(V455=0,T455/COUNTIF(Setup!$B$9:$B$20,"?*"),T455*AR455/V455))</f>
        <v/>
      </c>
      <c r="AG455">
        <f>IF(OR(T455="",Setup!$B$19=""),0,IF(V455=0,T455/COUNTIF(Setup!$B$9:$B$20,"?*"),T455*AS455/V455))</f>
        <v/>
      </c>
      <c r="AH455">
        <f>IF(OR(T455="",Setup!$B$20=""),0,IF(V455=0,T455/COUNTIF(Setup!$B$9:$B$20,"?*"),T455*AT455/V455))</f>
        <v/>
      </c>
      <c r="AI455">
        <f>IF(Setup!$B$9="",0,IF(H455="",0,IF(ISNUMBER(H455),H455,1)))</f>
        <v/>
      </c>
      <c r="AJ455">
        <f>IF(Setup!$B$10="",0,IF(I455="",0,IF(ISNUMBER(I455),I455,1)))</f>
        <v/>
      </c>
      <c r="AK455">
        <f>IF(Setup!$B$11="",0,IF(J455="",0,IF(ISNUMBER(J455),J455,1)))</f>
        <v/>
      </c>
      <c r="AL455">
        <f>IF(Setup!$B$12="",0,IF(K455="",0,IF(ISNUMBER(K455),K455,1)))</f>
        <v/>
      </c>
      <c r="AM455">
        <f>IF(Setup!$B$13="",0,IF(L455="",0,IF(ISNUMBER(L455),L455,1)))</f>
        <v/>
      </c>
      <c r="AN455">
        <f>IF(Setup!$B$14="",0,IF(M455="",0,IF(ISNUMBER(M455),M455,1)))</f>
        <v/>
      </c>
      <c r="AO455">
        <f>IF(Setup!$B$15="",0,IF(N455="",0,IF(ISNUMBER(N455),N455,1)))</f>
        <v/>
      </c>
      <c r="AP455">
        <f>IF(Setup!$B$16="",0,IF(O455="",0,IF(ISNUMBER(O455),O455,1)))</f>
        <v/>
      </c>
      <c r="AQ455">
        <f>IF(Setup!$B$17="",0,IF(P455="",0,IF(ISNUMBER(P455),P455,1)))</f>
        <v/>
      </c>
      <c r="AR455">
        <f>IF(Setup!$B$18="",0,IF(Q455="",0,IF(ISNUMBER(Q455),Q455,1)))</f>
        <v/>
      </c>
      <c r="AS455">
        <f>IF(Setup!$B$19="",0,IF(R455="",0,IF(ISNUMBER(R455),R455,1)))</f>
        <v/>
      </c>
      <c r="AT455">
        <f>IF(Setup!$B$20="",0,IF(S455="",0,IF(ISNUMBER(S455),S455,1)))</f>
        <v/>
      </c>
    </row>
    <row r="456">
      <c r="A456" s="1" t="n"/>
      <c r="B456" s="24" t="n"/>
      <c r="C456" s="25" t="n"/>
      <c r="D456" s="25" t="n"/>
      <c r="E456" s="26" t="n"/>
      <c r="F456" s="27" t="n"/>
      <c r="G456" s="17" t="n"/>
      <c r="H456" s="28" t="n"/>
      <c r="I456" s="28" t="n"/>
      <c r="J456" s="28" t="n"/>
      <c r="K456" s="28" t="n"/>
      <c r="L456" s="28" t="n"/>
      <c r="M456" s="28" t="n"/>
      <c r="N456" s="28" t="n"/>
      <c r="O456" s="28" t="n"/>
      <c r="P456" s="28" t="n"/>
      <c r="Q456" s="28" t="n"/>
      <c r="R456" s="28" t="n"/>
      <c r="S456" s="28" t="n"/>
      <c r="T456" s="29">
        <f>IF(N(E456)=0,"",E456*IF(F456="",1,IFERROR(INDEX(Setup!$E$9:$E$18,MATCH(F456,Setup!$D$9:$D$18,0)),0)))</f>
        <v/>
      </c>
      <c r="U456" s="30">
        <f>IF(T456="","",IF(V456=0,"Everyone",IF(COUNTIF(AI456:AT456,"&gt;0")=COUNTIF(Setup!$B$9:$B$20,"?*"),"Everyone",COUNTIF(AI456:AT456,"&gt;0")&amp;IF(COUNTIF(AI456:AT456,"&gt;0")=1," person"," people"))))</f>
        <v/>
      </c>
      <c r="V456" s="1">
        <f>SUM(AI456:AT456)</f>
        <v/>
      </c>
      <c r="W456">
        <f>IF(OR(T456="",Setup!$B$9=""),0,IF(V456=0,T456/COUNTIF(Setup!$B$9:$B$20,"?*"),T456*AI456/V456))</f>
        <v/>
      </c>
      <c r="X456">
        <f>IF(OR(T456="",Setup!$B$10=""),0,IF(V456=0,T456/COUNTIF(Setup!$B$9:$B$20,"?*"),T456*AJ456/V456))</f>
        <v/>
      </c>
      <c r="Y456">
        <f>IF(OR(T456="",Setup!$B$11=""),0,IF(V456=0,T456/COUNTIF(Setup!$B$9:$B$20,"?*"),T456*AK456/V456))</f>
        <v/>
      </c>
      <c r="Z456">
        <f>IF(OR(T456="",Setup!$B$12=""),0,IF(V456=0,T456/COUNTIF(Setup!$B$9:$B$20,"?*"),T456*AL456/V456))</f>
        <v/>
      </c>
      <c r="AA456">
        <f>IF(OR(T456="",Setup!$B$13=""),0,IF(V456=0,T456/COUNTIF(Setup!$B$9:$B$20,"?*"),T456*AM456/V456))</f>
        <v/>
      </c>
      <c r="AB456">
        <f>IF(OR(T456="",Setup!$B$14=""),0,IF(V456=0,T456/COUNTIF(Setup!$B$9:$B$20,"?*"),T456*AN456/V456))</f>
        <v/>
      </c>
      <c r="AC456">
        <f>IF(OR(T456="",Setup!$B$15=""),0,IF(V456=0,T456/COUNTIF(Setup!$B$9:$B$20,"?*"),T456*AO456/V456))</f>
        <v/>
      </c>
      <c r="AD456">
        <f>IF(OR(T456="",Setup!$B$16=""),0,IF(V456=0,T456/COUNTIF(Setup!$B$9:$B$20,"?*"),T456*AP456/V456))</f>
        <v/>
      </c>
      <c r="AE456">
        <f>IF(OR(T456="",Setup!$B$17=""),0,IF(V456=0,T456/COUNTIF(Setup!$B$9:$B$20,"?*"),T456*AQ456/V456))</f>
        <v/>
      </c>
      <c r="AF456">
        <f>IF(OR(T456="",Setup!$B$18=""),0,IF(V456=0,T456/COUNTIF(Setup!$B$9:$B$20,"?*"),T456*AR456/V456))</f>
        <v/>
      </c>
      <c r="AG456">
        <f>IF(OR(T456="",Setup!$B$19=""),0,IF(V456=0,T456/COUNTIF(Setup!$B$9:$B$20,"?*"),T456*AS456/V456))</f>
        <v/>
      </c>
      <c r="AH456">
        <f>IF(OR(T456="",Setup!$B$20=""),0,IF(V456=0,T456/COUNTIF(Setup!$B$9:$B$20,"?*"),T456*AT456/V456))</f>
        <v/>
      </c>
      <c r="AI456">
        <f>IF(Setup!$B$9="",0,IF(H456="",0,IF(ISNUMBER(H456),H456,1)))</f>
        <v/>
      </c>
      <c r="AJ456">
        <f>IF(Setup!$B$10="",0,IF(I456="",0,IF(ISNUMBER(I456),I456,1)))</f>
        <v/>
      </c>
      <c r="AK456">
        <f>IF(Setup!$B$11="",0,IF(J456="",0,IF(ISNUMBER(J456),J456,1)))</f>
        <v/>
      </c>
      <c r="AL456">
        <f>IF(Setup!$B$12="",0,IF(K456="",0,IF(ISNUMBER(K456),K456,1)))</f>
        <v/>
      </c>
      <c r="AM456">
        <f>IF(Setup!$B$13="",0,IF(L456="",0,IF(ISNUMBER(L456),L456,1)))</f>
        <v/>
      </c>
      <c r="AN456">
        <f>IF(Setup!$B$14="",0,IF(M456="",0,IF(ISNUMBER(M456),M456,1)))</f>
        <v/>
      </c>
      <c r="AO456">
        <f>IF(Setup!$B$15="",0,IF(N456="",0,IF(ISNUMBER(N456),N456,1)))</f>
        <v/>
      </c>
      <c r="AP456">
        <f>IF(Setup!$B$16="",0,IF(O456="",0,IF(ISNUMBER(O456),O456,1)))</f>
        <v/>
      </c>
      <c r="AQ456">
        <f>IF(Setup!$B$17="",0,IF(P456="",0,IF(ISNUMBER(P456),P456,1)))</f>
        <v/>
      </c>
      <c r="AR456">
        <f>IF(Setup!$B$18="",0,IF(Q456="",0,IF(ISNUMBER(Q456),Q456,1)))</f>
        <v/>
      </c>
      <c r="AS456">
        <f>IF(Setup!$B$19="",0,IF(R456="",0,IF(ISNUMBER(R456),R456,1)))</f>
        <v/>
      </c>
      <c r="AT456">
        <f>IF(Setup!$B$20="",0,IF(S456="",0,IF(ISNUMBER(S456),S456,1)))</f>
        <v/>
      </c>
    </row>
    <row r="457">
      <c r="A457" s="1" t="n"/>
      <c r="B457" s="24" t="n"/>
      <c r="C457" s="25" t="n"/>
      <c r="D457" s="25" t="n"/>
      <c r="E457" s="26" t="n"/>
      <c r="F457" s="27" t="n"/>
      <c r="G457" s="17" t="n"/>
      <c r="H457" s="28" t="n"/>
      <c r="I457" s="28" t="n"/>
      <c r="J457" s="28" t="n"/>
      <c r="K457" s="28" t="n"/>
      <c r="L457" s="28" t="n"/>
      <c r="M457" s="28" t="n"/>
      <c r="N457" s="28" t="n"/>
      <c r="O457" s="28" t="n"/>
      <c r="P457" s="28" t="n"/>
      <c r="Q457" s="28" t="n"/>
      <c r="R457" s="28" t="n"/>
      <c r="S457" s="28" t="n"/>
      <c r="T457" s="29">
        <f>IF(N(E457)=0,"",E457*IF(F457="",1,IFERROR(INDEX(Setup!$E$9:$E$18,MATCH(F457,Setup!$D$9:$D$18,0)),0)))</f>
        <v/>
      </c>
      <c r="U457" s="30">
        <f>IF(T457="","",IF(V457=0,"Everyone",IF(COUNTIF(AI457:AT457,"&gt;0")=COUNTIF(Setup!$B$9:$B$20,"?*"),"Everyone",COUNTIF(AI457:AT457,"&gt;0")&amp;IF(COUNTIF(AI457:AT457,"&gt;0")=1," person"," people"))))</f>
        <v/>
      </c>
      <c r="V457" s="1">
        <f>SUM(AI457:AT457)</f>
        <v/>
      </c>
      <c r="W457">
        <f>IF(OR(T457="",Setup!$B$9=""),0,IF(V457=0,T457/COUNTIF(Setup!$B$9:$B$20,"?*"),T457*AI457/V457))</f>
        <v/>
      </c>
      <c r="X457">
        <f>IF(OR(T457="",Setup!$B$10=""),0,IF(V457=0,T457/COUNTIF(Setup!$B$9:$B$20,"?*"),T457*AJ457/V457))</f>
        <v/>
      </c>
      <c r="Y457">
        <f>IF(OR(T457="",Setup!$B$11=""),0,IF(V457=0,T457/COUNTIF(Setup!$B$9:$B$20,"?*"),T457*AK457/V457))</f>
        <v/>
      </c>
      <c r="Z457">
        <f>IF(OR(T457="",Setup!$B$12=""),0,IF(V457=0,T457/COUNTIF(Setup!$B$9:$B$20,"?*"),T457*AL457/V457))</f>
        <v/>
      </c>
      <c r="AA457">
        <f>IF(OR(T457="",Setup!$B$13=""),0,IF(V457=0,T457/COUNTIF(Setup!$B$9:$B$20,"?*"),T457*AM457/V457))</f>
        <v/>
      </c>
      <c r="AB457">
        <f>IF(OR(T457="",Setup!$B$14=""),0,IF(V457=0,T457/COUNTIF(Setup!$B$9:$B$20,"?*"),T457*AN457/V457))</f>
        <v/>
      </c>
      <c r="AC457">
        <f>IF(OR(T457="",Setup!$B$15=""),0,IF(V457=0,T457/COUNTIF(Setup!$B$9:$B$20,"?*"),T457*AO457/V457))</f>
        <v/>
      </c>
      <c r="AD457">
        <f>IF(OR(T457="",Setup!$B$16=""),0,IF(V457=0,T457/COUNTIF(Setup!$B$9:$B$20,"?*"),T457*AP457/V457))</f>
        <v/>
      </c>
      <c r="AE457">
        <f>IF(OR(T457="",Setup!$B$17=""),0,IF(V457=0,T457/COUNTIF(Setup!$B$9:$B$20,"?*"),T457*AQ457/V457))</f>
        <v/>
      </c>
      <c r="AF457">
        <f>IF(OR(T457="",Setup!$B$18=""),0,IF(V457=0,T457/COUNTIF(Setup!$B$9:$B$20,"?*"),T457*AR457/V457))</f>
        <v/>
      </c>
      <c r="AG457">
        <f>IF(OR(T457="",Setup!$B$19=""),0,IF(V457=0,T457/COUNTIF(Setup!$B$9:$B$20,"?*"),T457*AS457/V457))</f>
        <v/>
      </c>
      <c r="AH457">
        <f>IF(OR(T457="",Setup!$B$20=""),0,IF(V457=0,T457/COUNTIF(Setup!$B$9:$B$20,"?*"),T457*AT457/V457))</f>
        <v/>
      </c>
      <c r="AI457">
        <f>IF(Setup!$B$9="",0,IF(H457="",0,IF(ISNUMBER(H457),H457,1)))</f>
        <v/>
      </c>
      <c r="AJ457">
        <f>IF(Setup!$B$10="",0,IF(I457="",0,IF(ISNUMBER(I457),I457,1)))</f>
        <v/>
      </c>
      <c r="AK457">
        <f>IF(Setup!$B$11="",0,IF(J457="",0,IF(ISNUMBER(J457),J457,1)))</f>
        <v/>
      </c>
      <c r="AL457">
        <f>IF(Setup!$B$12="",0,IF(K457="",0,IF(ISNUMBER(K457),K457,1)))</f>
        <v/>
      </c>
      <c r="AM457">
        <f>IF(Setup!$B$13="",0,IF(L457="",0,IF(ISNUMBER(L457),L457,1)))</f>
        <v/>
      </c>
      <c r="AN457">
        <f>IF(Setup!$B$14="",0,IF(M457="",0,IF(ISNUMBER(M457),M457,1)))</f>
        <v/>
      </c>
      <c r="AO457">
        <f>IF(Setup!$B$15="",0,IF(N457="",0,IF(ISNUMBER(N457),N457,1)))</f>
        <v/>
      </c>
      <c r="AP457">
        <f>IF(Setup!$B$16="",0,IF(O457="",0,IF(ISNUMBER(O457),O457,1)))</f>
        <v/>
      </c>
      <c r="AQ457">
        <f>IF(Setup!$B$17="",0,IF(P457="",0,IF(ISNUMBER(P457),P457,1)))</f>
        <v/>
      </c>
      <c r="AR457">
        <f>IF(Setup!$B$18="",0,IF(Q457="",0,IF(ISNUMBER(Q457),Q457,1)))</f>
        <v/>
      </c>
      <c r="AS457">
        <f>IF(Setup!$B$19="",0,IF(R457="",0,IF(ISNUMBER(R457),R457,1)))</f>
        <v/>
      </c>
      <c r="AT457">
        <f>IF(Setup!$B$20="",0,IF(S457="",0,IF(ISNUMBER(S457),S457,1)))</f>
        <v/>
      </c>
    </row>
    <row r="458">
      <c r="A458" s="1" t="n"/>
      <c r="B458" s="24" t="n"/>
      <c r="C458" s="25" t="n"/>
      <c r="D458" s="25" t="n"/>
      <c r="E458" s="26" t="n"/>
      <c r="F458" s="27" t="n"/>
      <c r="G458" s="17" t="n"/>
      <c r="H458" s="28" t="n"/>
      <c r="I458" s="28" t="n"/>
      <c r="J458" s="28" t="n"/>
      <c r="K458" s="28" t="n"/>
      <c r="L458" s="28" t="n"/>
      <c r="M458" s="28" t="n"/>
      <c r="N458" s="28" t="n"/>
      <c r="O458" s="28" t="n"/>
      <c r="P458" s="28" t="n"/>
      <c r="Q458" s="28" t="n"/>
      <c r="R458" s="28" t="n"/>
      <c r="S458" s="28" t="n"/>
      <c r="T458" s="29">
        <f>IF(N(E458)=0,"",E458*IF(F458="",1,IFERROR(INDEX(Setup!$E$9:$E$18,MATCH(F458,Setup!$D$9:$D$18,0)),0)))</f>
        <v/>
      </c>
      <c r="U458" s="30">
        <f>IF(T458="","",IF(V458=0,"Everyone",IF(COUNTIF(AI458:AT458,"&gt;0")=COUNTIF(Setup!$B$9:$B$20,"?*"),"Everyone",COUNTIF(AI458:AT458,"&gt;0")&amp;IF(COUNTIF(AI458:AT458,"&gt;0")=1," person"," people"))))</f>
        <v/>
      </c>
      <c r="V458" s="1">
        <f>SUM(AI458:AT458)</f>
        <v/>
      </c>
      <c r="W458">
        <f>IF(OR(T458="",Setup!$B$9=""),0,IF(V458=0,T458/COUNTIF(Setup!$B$9:$B$20,"?*"),T458*AI458/V458))</f>
        <v/>
      </c>
      <c r="X458">
        <f>IF(OR(T458="",Setup!$B$10=""),0,IF(V458=0,T458/COUNTIF(Setup!$B$9:$B$20,"?*"),T458*AJ458/V458))</f>
        <v/>
      </c>
      <c r="Y458">
        <f>IF(OR(T458="",Setup!$B$11=""),0,IF(V458=0,T458/COUNTIF(Setup!$B$9:$B$20,"?*"),T458*AK458/V458))</f>
        <v/>
      </c>
      <c r="Z458">
        <f>IF(OR(T458="",Setup!$B$12=""),0,IF(V458=0,T458/COUNTIF(Setup!$B$9:$B$20,"?*"),T458*AL458/V458))</f>
        <v/>
      </c>
      <c r="AA458">
        <f>IF(OR(T458="",Setup!$B$13=""),0,IF(V458=0,T458/COUNTIF(Setup!$B$9:$B$20,"?*"),T458*AM458/V458))</f>
        <v/>
      </c>
      <c r="AB458">
        <f>IF(OR(T458="",Setup!$B$14=""),0,IF(V458=0,T458/COUNTIF(Setup!$B$9:$B$20,"?*"),T458*AN458/V458))</f>
        <v/>
      </c>
      <c r="AC458">
        <f>IF(OR(T458="",Setup!$B$15=""),0,IF(V458=0,T458/COUNTIF(Setup!$B$9:$B$20,"?*"),T458*AO458/V458))</f>
        <v/>
      </c>
      <c r="AD458">
        <f>IF(OR(T458="",Setup!$B$16=""),0,IF(V458=0,T458/COUNTIF(Setup!$B$9:$B$20,"?*"),T458*AP458/V458))</f>
        <v/>
      </c>
      <c r="AE458">
        <f>IF(OR(T458="",Setup!$B$17=""),0,IF(V458=0,T458/COUNTIF(Setup!$B$9:$B$20,"?*"),T458*AQ458/V458))</f>
        <v/>
      </c>
      <c r="AF458">
        <f>IF(OR(T458="",Setup!$B$18=""),0,IF(V458=0,T458/COUNTIF(Setup!$B$9:$B$20,"?*"),T458*AR458/V458))</f>
        <v/>
      </c>
      <c r="AG458">
        <f>IF(OR(T458="",Setup!$B$19=""),0,IF(V458=0,T458/COUNTIF(Setup!$B$9:$B$20,"?*"),T458*AS458/V458))</f>
        <v/>
      </c>
      <c r="AH458">
        <f>IF(OR(T458="",Setup!$B$20=""),0,IF(V458=0,T458/COUNTIF(Setup!$B$9:$B$20,"?*"),T458*AT458/V458))</f>
        <v/>
      </c>
      <c r="AI458">
        <f>IF(Setup!$B$9="",0,IF(H458="",0,IF(ISNUMBER(H458),H458,1)))</f>
        <v/>
      </c>
      <c r="AJ458">
        <f>IF(Setup!$B$10="",0,IF(I458="",0,IF(ISNUMBER(I458),I458,1)))</f>
        <v/>
      </c>
      <c r="AK458">
        <f>IF(Setup!$B$11="",0,IF(J458="",0,IF(ISNUMBER(J458),J458,1)))</f>
        <v/>
      </c>
      <c r="AL458">
        <f>IF(Setup!$B$12="",0,IF(K458="",0,IF(ISNUMBER(K458),K458,1)))</f>
        <v/>
      </c>
      <c r="AM458">
        <f>IF(Setup!$B$13="",0,IF(L458="",0,IF(ISNUMBER(L458),L458,1)))</f>
        <v/>
      </c>
      <c r="AN458">
        <f>IF(Setup!$B$14="",0,IF(M458="",0,IF(ISNUMBER(M458),M458,1)))</f>
        <v/>
      </c>
      <c r="AO458">
        <f>IF(Setup!$B$15="",0,IF(N458="",0,IF(ISNUMBER(N458),N458,1)))</f>
        <v/>
      </c>
      <c r="AP458">
        <f>IF(Setup!$B$16="",0,IF(O458="",0,IF(ISNUMBER(O458),O458,1)))</f>
        <v/>
      </c>
      <c r="AQ458">
        <f>IF(Setup!$B$17="",0,IF(P458="",0,IF(ISNUMBER(P458),P458,1)))</f>
        <v/>
      </c>
      <c r="AR458">
        <f>IF(Setup!$B$18="",0,IF(Q458="",0,IF(ISNUMBER(Q458),Q458,1)))</f>
        <v/>
      </c>
      <c r="AS458">
        <f>IF(Setup!$B$19="",0,IF(R458="",0,IF(ISNUMBER(R458),R458,1)))</f>
        <v/>
      </c>
      <c r="AT458">
        <f>IF(Setup!$B$20="",0,IF(S458="",0,IF(ISNUMBER(S458),S458,1)))</f>
        <v/>
      </c>
    </row>
    <row r="459">
      <c r="A459" s="1" t="n"/>
      <c r="B459" s="24" t="n"/>
      <c r="C459" s="25" t="n"/>
      <c r="D459" s="25" t="n"/>
      <c r="E459" s="26" t="n"/>
      <c r="F459" s="27" t="n"/>
      <c r="G459" s="17" t="n"/>
      <c r="H459" s="28" t="n"/>
      <c r="I459" s="28" t="n"/>
      <c r="J459" s="28" t="n"/>
      <c r="K459" s="28" t="n"/>
      <c r="L459" s="28" t="n"/>
      <c r="M459" s="28" t="n"/>
      <c r="N459" s="28" t="n"/>
      <c r="O459" s="28" t="n"/>
      <c r="P459" s="28" t="n"/>
      <c r="Q459" s="28" t="n"/>
      <c r="R459" s="28" t="n"/>
      <c r="S459" s="28" t="n"/>
      <c r="T459" s="29">
        <f>IF(N(E459)=0,"",E459*IF(F459="",1,IFERROR(INDEX(Setup!$E$9:$E$18,MATCH(F459,Setup!$D$9:$D$18,0)),0)))</f>
        <v/>
      </c>
      <c r="U459" s="30">
        <f>IF(T459="","",IF(V459=0,"Everyone",IF(COUNTIF(AI459:AT459,"&gt;0")=COUNTIF(Setup!$B$9:$B$20,"?*"),"Everyone",COUNTIF(AI459:AT459,"&gt;0")&amp;IF(COUNTIF(AI459:AT459,"&gt;0")=1," person"," people"))))</f>
        <v/>
      </c>
      <c r="V459" s="1">
        <f>SUM(AI459:AT459)</f>
        <v/>
      </c>
      <c r="W459">
        <f>IF(OR(T459="",Setup!$B$9=""),0,IF(V459=0,T459/COUNTIF(Setup!$B$9:$B$20,"?*"),T459*AI459/V459))</f>
        <v/>
      </c>
      <c r="X459">
        <f>IF(OR(T459="",Setup!$B$10=""),0,IF(V459=0,T459/COUNTIF(Setup!$B$9:$B$20,"?*"),T459*AJ459/V459))</f>
        <v/>
      </c>
      <c r="Y459">
        <f>IF(OR(T459="",Setup!$B$11=""),0,IF(V459=0,T459/COUNTIF(Setup!$B$9:$B$20,"?*"),T459*AK459/V459))</f>
        <v/>
      </c>
      <c r="Z459">
        <f>IF(OR(T459="",Setup!$B$12=""),0,IF(V459=0,T459/COUNTIF(Setup!$B$9:$B$20,"?*"),T459*AL459/V459))</f>
        <v/>
      </c>
      <c r="AA459">
        <f>IF(OR(T459="",Setup!$B$13=""),0,IF(V459=0,T459/COUNTIF(Setup!$B$9:$B$20,"?*"),T459*AM459/V459))</f>
        <v/>
      </c>
      <c r="AB459">
        <f>IF(OR(T459="",Setup!$B$14=""),0,IF(V459=0,T459/COUNTIF(Setup!$B$9:$B$20,"?*"),T459*AN459/V459))</f>
        <v/>
      </c>
      <c r="AC459">
        <f>IF(OR(T459="",Setup!$B$15=""),0,IF(V459=0,T459/COUNTIF(Setup!$B$9:$B$20,"?*"),T459*AO459/V459))</f>
        <v/>
      </c>
      <c r="AD459">
        <f>IF(OR(T459="",Setup!$B$16=""),0,IF(V459=0,T459/COUNTIF(Setup!$B$9:$B$20,"?*"),T459*AP459/V459))</f>
        <v/>
      </c>
      <c r="AE459">
        <f>IF(OR(T459="",Setup!$B$17=""),0,IF(V459=0,T459/COUNTIF(Setup!$B$9:$B$20,"?*"),T459*AQ459/V459))</f>
        <v/>
      </c>
      <c r="AF459">
        <f>IF(OR(T459="",Setup!$B$18=""),0,IF(V459=0,T459/COUNTIF(Setup!$B$9:$B$20,"?*"),T459*AR459/V459))</f>
        <v/>
      </c>
      <c r="AG459">
        <f>IF(OR(T459="",Setup!$B$19=""),0,IF(V459=0,T459/COUNTIF(Setup!$B$9:$B$20,"?*"),T459*AS459/V459))</f>
        <v/>
      </c>
      <c r="AH459">
        <f>IF(OR(T459="",Setup!$B$20=""),0,IF(V459=0,T459/COUNTIF(Setup!$B$9:$B$20,"?*"),T459*AT459/V459))</f>
        <v/>
      </c>
      <c r="AI459">
        <f>IF(Setup!$B$9="",0,IF(H459="",0,IF(ISNUMBER(H459),H459,1)))</f>
        <v/>
      </c>
      <c r="AJ459">
        <f>IF(Setup!$B$10="",0,IF(I459="",0,IF(ISNUMBER(I459),I459,1)))</f>
        <v/>
      </c>
      <c r="AK459">
        <f>IF(Setup!$B$11="",0,IF(J459="",0,IF(ISNUMBER(J459),J459,1)))</f>
        <v/>
      </c>
      <c r="AL459">
        <f>IF(Setup!$B$12="",0,IF(K459="",0,IF(ISNUMBER(K459),K459,1)))</f>
        <v/>
      </c>
      <c r="AM459">
        <f>IF(Setup!$B$13="",0,IF(L459="",0,IF(ISNUMBER(L459),L459,1)))</f>
        <v/>
      </c>
      <c r="AN459">
        <f>IF(Setup!$B$14="",0,IF(M459="",0,IF(ISNUMBER(M459),M459,1)))</f>
        <v/>
      </c>
      <c r="AO459">
        <f>IF(Setup!$B$15="",0,IF(N459="",0,IF(ISNUMBER(N459),N459,1)))</f>
        <v/>
      </c>
      <c r="AP459">
        <f>IF(Setup!$B$16="",0,IF(O459="",0,IF(ISNUMBER(O459),O459,1)))</f>
        <v/>
      </c>
      <c r="AQ459">
        <f>IF(Setup!$B$17="",0,IF(P459="",0,IF(ISNUMBER(P459),P459,1)))</f>
        <v/>
      </c>
      <c r="AR459">
        <f>IF(Setup!$B$18="",0,IF(Q459="",0,IF(ISNUMBER(Q459),Q459,1)))</f>
        <v/>
      </c>
      <c r="AS459">
        <f>IF(Setup!$B$19="",0,IF(R459="",0,IF(ISNUMBER(R459),R459,1)))</f>
        <v/>
      </c>
      <c r="AT459">
        <f>IF(Setup!$B$20="",0,IF(S459="",0,IF(ISNUMBER(S459),S459,1)))</f>
        <v/>
      </c>
    </row>
    <row r="460">
      <c r="A460" s="1" t="n"/>
      <c r="B460" s="24" t="n"/>
      <c r="C460" s="25" t="n"/>
      <c r="D460" s="25" t="n"/>
      <c r="E460" s="26" t="n"/>
      <c r="F460" s="27" t="n"/>
      <c r="G460" s="17" t="n"/>
      <c r="H460" s="28" t="n"/>
      <c r="I460" s="28" t="n"/>
      <c r="J460" s="28" t="n"/>
      <c r="K460" s="28" t="n"/>
      <c r="L460" s="28" t="n"/>
      <c r="M460" s="28" t="n"/>
      <c r="N460" s="28" t="n"/>
      <c r="O460" s="28" t="n"/>
      <c r="P460" s="28" t="n"/>
      <c r="Q460" s="28" t="n"/>
      <c r="R460" s="28" t="n"/>
      <c r="S460" s="28" t="n"/>
      <c r="T460" s="29">
        <f>IF(N(E460)=0,"",E460*IF(F460="",1,IFERROR(INDEX(Setup!$E$9:$E$18,MATCH(F460,Setup!$D$9:$D$18,0)),0)))</f>
        <v/>
      </c>
      <c r="U460" s="30">
        <f>IF(T460="","",IF(V460=0,"Everyone",IF(COUNTIF(AI460:AT460,"&gt;0")=COUNTIF(Setup!$B$9:$B$20,"?*"),"Everyone",COUNTIF(AI460:AT460,"&gt;0")&amp;IF(COUNTIF(AI460:AT460,"&gt;0")=1," person"," people"))))</f>
        <v/>
      </c>
      <c r="V460" s="1">
        <f>SUM(AI460:AT460)</f>
        <v/>
      </c>
      <c r="W460">
        <f>IF(OR(T460="",Setup!$B$9=""),0,IF(V460=0,T460/COUNTIF(Setup!$B$9:$B$20,"?*"),T460*AI460/V460))</f>
        <v/>
      </c>
      <c r="X460">
        <f>IF(OR(T460="",Setup!$B$10=""),0,IF(V460=0,T460/COUNTIF(Setup!$B$9:$B$20,"?*"),T460*AJ460/V460))</f>
        <v/>
      </c>
      <c r="Y460">
        <f>IF(OR(T460="",Setup!$B$11=""),0,IF(V460=0,T460/COUNTIF(Setup!$B$9:$B$20,"?*"),T460*AK460/V460))</f>
        <v/>
      </c>
      <c r="Z460">
        <f>IF(OR(T460="",Setup!$B$12=""),0,IF(V460=0,T460/COUNTIF(Setup!$B$9:$B$20,"?*"),T460*AL460/V460))</f>
        <v/>
      </c>
      <c r="AA460">
        <f>IF(OR(T460="",Setup!$B$13=""),0,IF(V460=0,T460/COUNTIF(Setup!$B$9:$B$20,"?*"),T460*AM460/V460))</f>
        <v/>
      </c>
      <c r="AB460">
        <f>IF(OR(T460="",Setup!$B$14=""),0,IF(V460=0,T460/COUNTIF(Setup!$B$9:$B$20,"?*"),T460*AN460/V460))</f>
        <v/>
      </c>
      <c r="AC460">
        <f>IF(OR(T460="",Setup!$B$15=""),0,IF(V460=0,T460/COUNTIF(Setup!$B$9:$B$20,"?*"),T460*AO460/V460))</f>
        <v/>
      </c>
      <c r="AD460">
        <f>IF(OR(T460="",Setup!$B$16=""),0,IF(V460=0,T460/COUNTIF(Setup!$B$9:$B$20,"?*"),T460*AP460/V460))</f>
        <v/>
      </c>
      <c r="AE460">
        <f>IF(OR(T460="",Setup!$B$17=""),0,IF(V460=0,T460/COUNTIF(Setup!$B$9:$B$20,"?*"),T460*AQ460/V460))</f>
        <v/>
      </c>
      <c r="AF460">
        <f>IF(OR(T460="",Setup!$B$18=""),0,IF(V460=0,T460/COUNTIF(Setup!$B$9:$B$20,"?*"),T460*AR460/V460))</f>
        <v/>
      </c>
      <c r="AG460">
        <f>IF(OR(T460="",Setup!$B$19=""),0,IF(V460=0,T460/COUNTIF(Setup!$B$9:$B$20,"?*"),T460*AS460/V460))</f>
        <v/>
      </c>
      <c r="AH460">
        <f>IF(OR(T460="",Setup!$B$20=""),0,IF(V460=0,T460/COUNTIF(Setup!$B$9:$B$20,"?*"),T460*AT460/V460))</f>
        <v/>
      </c>
      <c r="AI460">
        <f>IF(Setup!$B$9="",0,IF(H460="",0,IF(ISNUMBER(H460),H460,1)))</f>
        <v/>
      </c>
      <c r="AJ460">
        <f>IF(Setup!$B$10="",0,IF(I460="",0,IF(ISNUMBER(I460),I460,1)))</f>
        <v/>
      </c>
      <c r="AK460">
        <f>IF(Setup!$B$11="",0,IF(J460="",0,IF(ISNUMBER(J460),J460,1)))</f>
        <v/>
      </c>
      <c r="AL460">
        <f>IF(Setup!$B$12="",0,IF(K460="",0,IF(ISNUMBER(K460),K460,1)))</f>
        <v/>
      </c>
      <c r="AM460">
        <f>IF(Setup!$B$13="",0,IF(L460="",0,IF(ISNUMBER(L460),L460,1)))</f>
        <v/>
      </c>
      <c r="AN460">
        <f>IF(Setup!$B$14="",0,IF(M460="",0,IF(ISNUMBER(M460),M460,1)))</f>
        <v/>
      </c>
      <c r="AO460">
        <f>IF(Setup!$B$15="",0,IF(N460="",0,IF(ISNUMBER(N460),N460,1)))</f>
        <v/>
      </c>
      <c r="AP460">
        <f>IF(Setup!$B$16="",0,IF(O460="",0,IF(ISNUMBER(O460),O460,1)))</f>
        <v/>
      </c>
      <c r="AQ460">
        <f>IF(Setup!$B$17="",0,IF(P460="",0,IF(ISNUMBER(P460),P460,1)))</f>
        <v/>
      </c>
      <c r="AR460">
        <f>IF(Setup!$B$18="",0,IF(Q460="",0,IF(ISNUMBER(Q460),Q460,1)))</f>
        <v/>
      </c>
      <c r="AS460">
        <f>IF(Setup!$B$19="",0,IF(R460="",0,IF(ISNUMBER(R460),R460,1)))</f>
        <v/>
      </c>
      <c r="AT460">
        <f>IF(Setup!$B$20="",0,IF(S460="",0,IF(ISNUMBER(S460),S460,1)))</f>
        <v/>
      </c>
    </row>
    <row r="461">
      <c r="A461" s="1" t="n"/>
      <c r="B461" s="24" t="n"/>
      <c r="C461" s="25" t="n"/>
      <c r="D461" s="25" t="n"/>
      <c r="E461" s="26" t="n"/>
      <c r="F461" s="27" t="n"/>
      <c r="G461" s="17" t="n"/>
      <c r="H461" s="28" t="n"/>
      <c r="I461" s="28" t="n"/>
      <c r="J461" s="28" t="n"/>
      <c r="K461" s="28" t="n"/>
      <c r="L461" s="28" t="n"/>
      <c r="M461" s="28" t="n"/>
      <c r="N461" s="28" t="n"/>
      <c r="O461" s="28" t="n"/>
      <c r="P461" s="28" t="n"/>
      <c r="Q461" s="28" t="n"/>
      <c r="R461" s="28" t="n"/>
      <c r="S461" s="28" t="n"/>
      <c r="T461" s="29">
        <f>IF(N(E461)=0,"",E461*IF(F461="",1,IFERROR(INDEX(Setup!$E$9:$E$18,MATCH(F461,Setup!$D$9:$D$18,0)),0)))</f>
        <v/>
      </c>
      <c r="U461" s="30">
        <f>IF(T461="","",IF(V461=0,"Everyone",IF(COUNTIF(AI461:AT461,"&gt;0")=COUNTIF(Setup!$B$9:$B$20,"?*"),"Everyone",COUNTIF(AI461:AT461,"&gt;0")&amp;IF(COUNTIF(AI461:AT461,"&gt;0")=1," person"," people"))))</f>
        <v/>
      </c>
      <c r="V461" s="1">
        <f>SUM(AI461:AT461)</f>
        <v/>
      </c>
      <c r="W461">
        <f>IF(OR(T461="",Setup!$B$9=""),0,IF(V461=0,T461/COUNTIF(Setup!$B$9:$B$20,"?*"),T461*AI461/V461))</f>
        <v/>
      </c>
      <c r="X461">
        <f>IF(OR(T461="",Setup!$B$10=""),0,IF(V461=0,T461/COUNTIF(Setup!$B$9:$B$20,"?*"),T461*AJ461/V461))</f>
        <v/>
      </c>
      <c r="Y461">
        <f>IF(OR(T461="",Setup!$B$11=""),0,IF(V461=0,T461/COUNTIF(Setup!$B$9:$B$20,"?*"),T461*AK461/V461))</f>
        <v/>
      </c>
      <c r="Z461">
        <f>IF(OR(T461="",Setup!$B$12=""),0,IF(V461=0,T461/COUNTIF(Setup!$B$9:$B$20,"?*"),T461*AL461/V461))</f>
        <v/>
      </c>
      <c r="AA461">
        <f>IF(OR(T461="",Setup!$B$13=""),0,IF(V461=0,T461/COUNTIF(Setup!$B$9:$B$20,"?*"),T461*AM461/V461))</f>
        <v/>
      </c>
      <c r="AB461">
        <f>IF(OR(T461="",Setup!$B$14=""),0,IF(V461=0,T461/COUNTIF(Setup!$B$9:$B$20,"?*"),T461*AN461/V461))</f>
        <v/>
      </c>
      <c r="AC461">
        <f>IF(OR(T461="",Setup!$B$15=""),0,IF(V461=0,T461/COUNTIF(Setup!$B$9:$B$20,"?*"),T461*AO461/V461))</f>
        <v/>
      </c>
      <c r="AD461">
        <f>IF(OR(T461="",Setup!$B$16=""),0,IF(V461=0,T461/COUNTIF(Setup!$B$9:$B$20,"?*"),T461*AP461/V461))</f>
        <v/>
      </c>
      <c r="AE461">
        <f>IF(OR(T461="",Setup!$B$17=""),0,IF(V461=0,T461/COUNTIF(Setup!$B$9:$B$20,"?*"),T461*AQ461/V461))</f>
        <v/>
      </c>
      <c r="AF461">
        <f>IF(OR(T461="",Setup!$B$18=""),0,IF(V461=0,T461/COUNTIF(Setup!$B$9:$B$20,"?*"),T461*AR461/V461))</f>
        <v/>
      </c>
      <c r="AG461">
        <f>IF(OR(T461="",Setup!$B$19=""),0,IF(V461=0,T461/COUNTIF(Setup!$B$9:$B$20,"?*"),T461*AS461/V461))</f>
        <v/>
      </c>
      <c r="AH461">
        <f>IF(OR(T461="",Setup!$B$20=""),0,IF(V461=0,T461/COUNTIF(Setup!$B$9:$B$20,"?*"),T461*AT461/V461))</f>
        <v/>
      </c>
      <c r="AI461">
        <f>IF(Setup!$B$9="",0,IF(H461="",0,IF(ISNUMBER(H461),H461,1)))</f>
        <v/>
      </c>
      <c r="AJ461">
        <f>IF(Setup!$B$10="",0,IF(I461="",0,IF(ISNUMBER(I461),I461,1)))</f>
        <v/>
      </c>
      <c r="AK461">
        <f>IF(Setup!$B$11="",0,IF(J461="",0,IF(ISNUMBER(J461),J461,1)))</f>
        <v/>
      </c>
      <c r="AL461">
        <f>IF(Setup!$B$12="",0,IF(K461="",0,IF(ISNUMBER(K461),K461,1)))</f>
        <v/>
      </c>
      <c r="AM461">
        <f>IF(Setup!$B$13="",0,IF(L461="",0,IF(ISNUMBER(L461),L461,1)))</f>
        <v/>
      </c>
      <c r="AN461">
        <f>IF(Setup!$B$14="",0,IF(M461="",0,IF(ISNUMBER(M461),M461,1)))</f>
        <v/>
      </c>
      <c r="AO461">
        <f>IF(Setup!$B$15="",0,IF(N461="",0,IF(ISNUMBER(N461),N461,1)))</f>
        <v/>
      </c>
      <c r="AP461">
        <f>IF(Setup!$B$16="",0,IF(O461="",0,IF(ISNUMBER(O461),O461,1)))</f>
        <v/>
      </c>
      <c r="AQ461">
        <f>IF(Setup!$B$17="",0,IF(P461="",0,IF(ISNUMBER(P461),P461,1)))</f>
        <v/>
      </c>
      <c r="AR461">
        <f>IF(Setup!$B$18="",0,IF(Q461="",0,IF(ISNUMBER(Q461),Q461,1)))</f>
        <v/>
      </c>
      <c r="AS461">
        <f>IF(Setup!$B$19="",0,IF(R461="",0,IF(ISNUMBER(R461),R461,1)))</f>
        <v/>
      </c>
      <c r="AT461">
        <f>IF(Setup!$B$20="",0,IF(S461="",0,IF(ISNUMBER(S461),S461,1)))</f>
        <v/>
      </c>
    </row>
    <row r="462">
      <c r="A462" s="1" t="n"/>
      <c r="B462" s="24" t="n"/>
      <c r="C462" s="25" t="n"/>
      <c r="D462" s="25" t="n"/>
      <c r="E462" s="26" t="n"/>
      <c r="F462" s="27" t="n"/>
      <c r="G462" s="17" t="n"/>
      <c r="H462" s="28" t="n"/>
      <c r="I462" s="28" t="n"/>
      <c r="J462" s="28" t="n"/>
      <c r="K462" s="28" t="n"/>
      <c r="L462" s="28" t="n"/>
      <c r="M462" s="28" t="n"/>
      <c r="N462" s="28" t="n"/>
      <c r="O462" s="28" t="n"/>
      <c r="P462" s="28" t="n"/>
      <c r="Q462" s="28" t="n"/>
      <c r="R462" s="28" t="n"/>
      <c r="S462" s="28" t="n"/>
      <c r="T462" s="29">
        <f>IF(N(E462)=0,"",E462*IF(F462="",1,IFERROR(INDEX(Setup!$E$9:$E$18,MATCH(F462,Setup!$D$9:$D$18,0)),0)))</f>
        <v/>
      </c>
      <c r="U462" s="30">
        <f>IF(T462="","",IF(V462=0,"Everyone",IF(COUNTIF(AI462:AT462,"&gt;0")=COUNTIF(Setup!$B$9:$B$20,"?*"),"Everyone",COUNTIF(AI462:AT462,"&gt;0")&amp;IF(COUNTIF(AI462:AT462,"&gt;0")=1," person"," people"))))</f>
        <v/>
      </c>
      <c r="V462" s="1">
        <f>SUM(AI462:AT462)</f>
        <v/>
      </c>
      <c r="W462">
        <f>IF(OR(T462="",Setup!$B$9=""),0,IF(V462=0,T462/COUNTIF(Setup!$B$9:$B$20,"?*"),T462*AI462/V462))</f>
        <v/>
      </c>
      <c r="X462">
        <f>IF(OR(T462="",Setup!$B$10=""),0,IF(V462=0,T462/COUNTIF(Setup!$B$9:$B$20,"?*"),T462*AJ462/V462))</f>
        <v/>
      </c>
      <c r="Y462">
        <f>IF(OR(T462="",Setup!$B$11=""),0,IF(V462=0,T462/COUNTIF(Setup!$B$9:$B$20,"?*"),T462*AK462/V462))</f>
        <v/>
      </c>
      <c r="Z462">
        <f>IF(OR(T462="",Setup!$B$12=""),0,IF(V462=0,T462/COUNTIF(Setup!$B$9:$B$20,"?*"),T462*AL462/V462))</f>
        <v/>
      </c>
      <c r="AA462">
        <f>IF(OR(T462="",Setup!$B$13=""),0,IF(V462=0,T462/COUNTIF(Setup!$B$9:$B$20,"?*"),T462*AM462/V462))</f>
        <v/>
      </c>
      <c r="AB462">
        <f>IF(OR(T462="",Setup!$B$14=""),0,IF(V462=0,T462/COUNTIF(Setup!$B$9:$B$20,"?*"),T462*AN462/V462))</f>
        <v/>
      </c>
      <c r="AC462">
        <f>IF(OR(T462="",Setup!$B$15=""),0,IF(V462=0,T462/COUNTIF(Setup!$B$9:$B$20,"?*"),T462*AO462/V462))</f>
        <v/>
      </c>
      <c r="AD462">
        <f>IF(OR(T462="",Setup!$B$16=""),0,IF(V462=0,T462/COUNTIF(Setup!$B$9:$B$20,"?*"),T462*AP462/V462))</f>
        <v/>
      </c>
      <c r="AE462">
        <f>IF(OR(T462="",Setup!$B$17=""),0,IF(V462=0,T462/COUNTIF(Setup!$B$9:$B$20,"?*"),T462*AQ462/V462))</f>
        <v/>
      </c>
      <c r="AF462">
        <f>IF(OR(T462="",Setup!$B$18=""),0,IF(V462=0,T462/COUNTIF(Setup!$B$9:$B$20,"?*"),T462*AR462/V462))</f>
        <v/>
      </c>
      <c r="AG462">
        <f>IF(OR(T462="",Setup!$B$19=""),0,IF(V462=0,T462/COUNTIF(Setup!$B$9:$B$20,"?*"),T462*AS462/V462))</f>
        <v/>
      </c>
      <c r="AH462">
        <f>IF(OR(T462="",Setup!$B$20=""),0,IF(V462=0,T462/COUNTIF(Setup!$B$9:$B$20,"?*"),T462*AT462/V462))</f>
        <v/>
      </c>
      <c r="AI462">
        <f>IF(Setup!$B$9="",0,IF(H462="",0,IF(ISNUMBER(H462),H462,1)))</f>
        <v/>
      </c>
      <c r="AJ462">
        <f>IF(Setup!$B$10="",0,IF(I462="",0,IF(ISNUMBER(I462),I462,1)))</f>
        <v/>
      </c>
      <c r="AK462">
        <f>IF(Setup!$B$11="",0,IF(J462="",0,IF(ISNUMBER(J462),J462,1)))</f>
        <v/>
      </c>
      <c r="AL462">
        <f>IF(Setup!$B$12="",0,IF(K462="",0,IF(ISNUMBER(K462),K462,1)))</f>
        <v/>
      </c>
      <c r="AM462">
        <f>IF(Setup!$B$13="",0,IF(L462="",0,IF(ISNUMBER(L462),L462,1)))</f>
        <v/>
      </c>
      <c r="AN462">
        <f>IF(Setup!$B$14="",0,IF(M462="",0,IF(ISNUMBER(M462),M462,1)))</f>
        <v/>
      </c>
      <c r="AO462">
        <f>IF(Setup!$B$15="",0,IF(N462="",0,IF(ISNUMBER(N462),N462,1)))</f>
        <v/>
      </c>
      <c r="AP462">
        <f>IF(Setup!$B$16="",0,IF(O462="",0,IF(ISNUMBER(O462),O462,1)))</f>
        <v/>
      </c>
      <c r="AQ462">
        <f>IF(Setup!$B$17="",0,IF(P462="",0,IF(ISNUMBER(P462),P462,1)))</f>
        <v/>
      </c>
      <c r="AR462">
        <f>IF(Setup!$B$18="",0,IF(Q462="",0,IF(ISNUMBER(Q462),Q462,1)))</f>
        <v/>
      </c>
      <c r="AS462">
        <f>IF(Setup!$B$19="",0,IF(R462="",0,IF(ISNUMBER(R462),R462,1)))</f>
        <v/>
      </c>
      <c r="AT462">
        <f>IF(Setup!$B$20="",0,IF(S462="",0,IF(ISNUMBER(S462),S462,1)))</f>
        <v/>
      </c>
    </row>
    <row r="463">
      <c r="A463" s="1" t="n"/>
      <c r="B463" s="24" t="n"/>
      <c r="C463" s="25" t="n"/>
      <c r="D463" s="25" t="n"/>
      <c r="E463" s="26" t="n"/>
      <c r="F463" s="27" t="n"/>
      <c r="G463" s="17" t="n"/>
      <c r="H463" s="28" t="n"/>
      <c r="I463" s="28" t="n"/>
      <c r="J463" s="28" t="n"/>
      <c r="K463" s="28" t="n"/>
      <c r="L463" s="28" t="n"/>
      <c r="M463" s="28" t="n"/>
      <c r="N463" s="28" t="n"/>
      <c r="O463" s="28" t="n"/>
      <c r="P463" s="28" t="n"/>
      <c r="Q463" s="28" t="n"/>
      <c r="R463" s="28" t="n"/>
      <c r="S463" s="28" t="n"/>
      <c r="T463" s="29">
        <f>IF(N(E463)=0,"",E463*IF(F463="",1,IFERROR(INDEX(Setup!$E$9:$E$18,MATCH(F463,Setup!$D$9:$D$18,0)),0)))</f>
        <v/>
      </c>
      <c r="U463" s="30">
        <f>IF(T463="","",IF(V463=0,"Everyone",IF(COUNTIF(AI463:AT463,"&gt;0")=COUNTIF(Setup!$B$9:$B$20,"?*"),"Everyone",COUNTIF(AI463:AT463,"&gt;0")&amp;IF(COUNTIF(AI463:AT463,"&gt;0")=1," person"," people"))))</f>
        <v/>
      </c>
      <c r="V463" s="1">
        <f>SUM(AI463:AT463)</f>
        <v/>
      </c>
      <c r="W463">
        <f>IF(OR(T463="",Setup!$B$9=""),0,IF(V463=0,T463/COUNTIF(Setup!$B$9:$B$20,"?*"),T463*AI463/V463))</f>
        <v/>
      </c>
      <c r="X463">
        <f>IF(OR(T463="",Setup!$B$10=""),0,IF(V463=0,T463/COUNTIF(Setup!$B$9:$B$20,"?*"),T463*AJ463/V463))</f>
        <v/>
      </c>
      <c r="Y463">
        <f>IF(OR(T463="",Setup!$B$11=""),0,IF(V463=0,T463/COUNTIF(Setup!$B$9:$B$20,"?*"),T463*AK463/V463))</f>
        <v/>
      </c>
      <c r="Z463">
        <f>IF(OR(T463="",Setup!$B$12=""),0,IF(V463=0,T463/COUNTIF(Setup!$B$9:$B$20,"?*"),T463*AL463/V463))</f>
        <v/>
      </c>
      <c r="AA463">
        <f>IF(OR(T463="",Setup!$B$13=""),0,IF(V463=0,T463/COUNTIF(Setup!$B$9:$B$20,"?*"),T463*AM463/V463))</f>
        <v/>
      </c>
      <c r="AB463">
        <f>IF(OR(T463="",Setup!$B$14=""),0,IF(V463=0,T463/COUNTIF(Setup!$B$9:$B$20,"?*"),T463*AN463/V463))</f>
        <v/>
      </c>
      <c r="AC463">
        <f>IF(OR(T463="",Setup!$B$15=""),0,IF(V463=0,T463/COUNTIF(Setup!$B$9:$B$20,"?*"),T463*AO463/V463))</f>
        <v/>
      </c>
      <c r="AD463">
        <f>IF(OR(T463="",Setup!$B$16=""),0,IF(V463=0,T463/COUNTIF(Setup!$B$9:$B$20,"?*"),T463*AP463/V463))</f>
        <v/>
      </c>
      <c r="AE463">
        <f>IF(OR(T463="",Setup!$B$17=""),0,IF(V463=0,T463/COUNTIF(Setup!$B$9:$B$20,"?*"),T463*AQ463/V463))</f>
        <v/>
      </c>
      <c r="AF463">
        <f>IF(OR(T463="",Setup!$B$18=""),0,IF(V463=0,T463/COUNTIF(Setup!$B$9:$B$20,"?*"),T463*AR463/V463))</f>
        <v/>
      </c>
      <c r="AG463">
        <f>IF(OR(T463="",Setup!$B$19=""),0,IF(V463=0,T463/COUNTIF(Setup!$B$9:$B$20,"?*"),T463*AS463/V463))</f>
        <v/>
      </c>
      <c r="AH463">
        <f>IF(OR(T463="",Setup!$B$20=""),0,IF(V463=0,T463/COUNTIF(Setup!$B$9:$B$20,"?*"),T463*AT463/V463))</f>
        <v/>
      </c>
      <c r="AI463">
        <f>IF(Setup!$B$9="",0,IF(H463="",0,IF(ISNUMBER(H463),H463,1)))</f>
        <v/>
      </c>
      <c r="AJ463">
        <f>IF(Setup!$B$10="",0,IF(I463="",0,IF(ISNUMBER(I463),I463,1)))</f>
        <v/>
      </c>
      <c r="AK463">
        <f>IF(Setup!$B$11="",0,IF(J463="",0,IF(ISNUMBER(J463),J463,1)))</f>
        <v/>
      </c>
      <c r="AL463">
        <f>IF(Setup!$B$12="",0,IF(K463="",0,IF(ISNUMBER(K463),K463,1)))</f>
        <v/>
      </c>
      <c r="AM463">
        <f>IF(Setup!$B$13="",0,IF(L463="",0,IF(ISNUMBER(L463),L463,1)))</f>
        <v/>
      </c>
      <c r="AN463">
        <f>IF(Setup!$B$14="",0,IF(M463="",0,IF(ISNUMBER(M463),M463,1)))</f>
        <v/>
      </c>
      <c r="AO463">
        <f>IF(Setup!$B$15="",0,IF(N463="",0,IF(ISNUMBER(N463),N463,1)))</f>
        <v/>
      </c>
      <c r="AP463">
        <f>IF(Setup!$B$16="",0,IF(O463="",0,IF(ISNUMBER(O463),O463,1)))</f>
        <v/>
      </c>
      <c r="AQ463">
        <f>IF(Setup!$B$17="",0,IF(P463="",0,IF(ISNUMBER(P463),P463,1)))</f>
        <v/>
      </c>
      <c r="AR463">
        <f>IF(Setup!$B$18="",0,IF(Q463="",0,IF(ISNUMBER(Q463),Q463,1)))</f>
        <v/>
      </c>
      <c r="AS463">
        <f>IF(Setup!$B$19="",0,IF(R463="",0,IF(ISNUMBER(R463),R463,1)))</f>
        <v/>
      </c>
      <c r="AT463">
        <f>IF(Setup!$B$20="",0,IF(S463="",0,IF(ISNUMBER(S463),S463,1)))</f>
        <v/>
      </c>
    </row>
    <row r="464">
      <c r="A464" s="1" t="n"/>
      <c r="B464" s="24" t="n"/>
      <c r="C464" s="25" t="n"/>
      <c r="D464" s="25" t="n"/>
      <c r="E464" s="26" t="n"/>
      <c r="F464" s="27" t="n"/>
      <c r="G464" s="17" t="n"/>
      <c r="H464" s="28" t="n"/>
      <c r="I464" s="28" t="n"/>
      <c r="J464" s="28" t="n"/>
      <c r="K464" s="28" t="n"/>
      <c r="L464" s="28" t="n"/>
      <c r="M464" s="28" t="n"/>
      <c r="N464" s="28" t="n"/>
      <c r="O464" s="28" t="n"/>
      <c r="P464" s="28" t="n"/>
      <c r="Q464" s="28" t="n"/>
      <c r="R464" s="28" t="n"/>
      <c r="S464" s="28" t="n"/>
      <c r="T464" s="29">
        <f>IF(N(E464)=0,"",E464*IF(F464="",1,IFERROR(INDEX(Setup!$E$9:$E$18,MATCH(F464,Setup!$D$9:$D$18,0)),0)))</f>
        <v/>
      </c>
      <c r="U464" s="30">
        <f>IF(T464="","",IF(V464=0,"Everyone",IF(COUNTIF(AI464:AT464,"&gt;0")=COUNTIF(Setup!$B$9:$B$20,"?*"),"Everyone",COUNTIF(AI464:AT464,"&gt;0")&amp;IF(COUNTIF(AI464:AT464,"&gt;0")=1," person"," people"))))</f>
        <v/>
      </c>
      <c r="V464" s="1">
        <f>SUM(AI464:AT464)</f>
        <v/>
      </c>
      <c r="W464">
        <f>IF(OR(T464="",Setup!$B$9=""),0,IF(V464=0,T464/COUNTIF(Setup!$B$9:$B$20,"?*"),T464*AI464/V464))</f>
        <v/>
      </c>
      <c r="X464">
        <f>IF(OR(T464="",Setup!$B$10=""),0,IF(V464=0,T464/COUNTIF(Setup!$B$9:$B$20,"?*"),T464*AJ464/V464))</f>
        <v/>
      </c>
      <c r="Y464">
        <f>IF(OR(T464="",Setup!$B$11=""),0,IF(V464=0,T464/COUNTIF(Setup!$B$9:$B$20,"?*"),T464*AK464/V464))</f>
        <v/>
      </c>
      <c r="Z464">
        <f>IF(OR(T464="",Setup!$B$12=""),0,IF(V464=0,T464/COUNTIF(Setup!$B$9:$B$20,"?*"),T464*AL464/V464))</f>
        <v/>
      </c>
      <c r="AA464">
        <f>IF(OR(T464="",Setup!$B$13=""),0,IF(V464=0,T464/COUNTIF(Setup!$B$9:$B$20,"?*"),T464*AM464/V464))</f>
        <v/>
      </c>
      <c r="AB464">
        <f>IF(OR(T464="",Setup!$B$14=""),0,IF(V464=0,T464/COUNTIF(Setup!$B$9:$B$20,"?*"),T464*AN464/V464))</f>
        <v/>
      </c>
      <c r="AC464">
        <f>IF(OR(T464="",Setup!$B$15=""),0,IF(V464=0,T464/COUNTIF(Setup!$B$9:$B$20,"?*"),T464*AO464/V464))</f>
        <v/>
      </c>
      <c r="AD464">
        <f>IF(OR(T464="",Setup!$B$16=""),0,IF(V464=0,T464/COUNTIF(Setup!$B$9:$B$20,"?*"),T464*AP464/V464))</f>
        <v/>
      </c>
      <c r="AE464">
        <f>IF(OR(T464="",Setup!$B$17=""),0,IF(V464=0,T464/COUNTIF(Setup!$B$9:$B$20,"?*"),T464*AQ464/V464))</f>
        <v/>
      </c>
      <c r="AF464">
        <f>IF(OR(T464="",Setup!$B$18=""),0,IF(V464=0,T464/COUNTIF(Setup!$B$9:$B$20,"?*"),T464*AR464/V464))</f>
        <v/>
      </c>
      <c r="AG464">
        <f>IF(OR(T464="",Setup!$B$19=""),0,IF(V464=0,T464/COUNTIF(Setup!$B$9:$B$20,"?*"),T464*AS464/V464))</f>
        <v/>
      </c>
      <c r="AH464">
        <f>IF(OR(T464="",Setup!$B$20=""),0,IF(V464=0,T464/COUNTIF(Setup!$B$9:$B$20,"?*"),T464*AT464/V464))</f>
        <v/>
      </c>
      <c r="AI464">
        <f>IF(Setup!$B$9="",0,IF(H464="",0,IF(ISNUMBER(H464),H464,1)))</f>
        <v/>
      </c>
      <c r="AJ464">
        <f>IF(Setup!$B$10="",0,IF(I464="",0,IF(ISNUMBER(I464),I464,1)))</f>
        <v/>
      </c>
      <c r="AK464">
        <f>IF(Setup!$B$11="",0,IF(J464="",0,IF(ISNUMBER(J464),J464,1)))</f>
        <v/>
      </c>
      <c r="AL464">
        <f>IF(Setup!$B$12="",0,IF(K464="",0,IF(ISNUMBER(K464),K464,1)))</f>
        <v/>
      </c>
      <c r="AM464">
        <f>IF(Setup!$B$13="",0,IF(L464="",0,IF(ISNUMBER(L464),L464,1)))</f>
        <v/>
      </c>
      <c r="AN464">
        <f>IF(Setup!$B$14="",0,IF(M464="",0,IF(ISNUMBER(M464),M464,1)))</f>
        <v/>
      </c>
      <c r="AO464">
        <f>IF(Setup!$B$15="",0,IF(N464="",0,IF(ISNUMBER(N464),N464,1)))</f>
        <v/>
      </c>
      <c r="AP464">
        <f>IF(Setup!$B$16="",0,IF(O464="",0,IF(ISNUMBER(O464),O464,1)))</f>
        <v/>
      </c>
      <c r="AQ464">
        <f>IF(Setup!$B$17="",0,IF(P464="",0,IF(ISNUMBER(P464),P464,1)))</f>
        <v/>
      </c>
      <c r="AR464">
        <f>IF(Setup!$B$18="",0,IF(Q464="",0,IF(ISNUMBER(Q464),Q464,1)))</f>
        <v/>
      </c>
      <c r="AS464">
        <f>IF(Setup!$B$19="",0,IF(R464="",0,IF(ISNUMBER(R464),R464,1)))</f>
        <v/>
      </c>
      <c r="AT464">
        <f>IF(Setup!$B$20="",0,IF(S464="",0,IF(ISNUMBER(S464),S464,1)))</f>
        <v/>
      </c>
    </row>
    <row r="465">
      <c r="A465" s="1" t="n"/>
      <c r="B465" s="24" t="n"/>
      <c r="C465" s="25" t="n"/>
      <c r="D465" s="25" t="n"/>
      <c r="E465" s="26" t="n"/>
      <c r="F465" s="27" t="n"/>
      <c r="G465" s="17" t="n"/>
      <c r="H465" s="28" t="n"/>
      <c r="I465" s="28" t="n"/>
      <c r="J465" s="28" t="n"/>
      <c r="K465" s="28" t="n"/>
      <c r="L465" s="28" t="n"/>
      <c r="M465" s="28" t="n"/>
      <c r="N465" s="28" t="n"/>
      <c r="O465" s="28" t="n"/>
      <c r="P465" s="28" t="n"/>
      <c r="Q465" s="28" t="n"/>
      <c r="R465" s="28" t="n"/>
      <c r="S465" s="28" t="n"/>
      <c r="T465" s="29">
        <f>IF(N(E465)=0,"",E465*IF(F465="",1,IFERROR(INDEX(Setup!$E$9:$E$18,MATCH(F465,Setup!$D$9:$D$18,0)),0)))</f>
        <v/>
      </c>
      <c r="U465" s="30">
        <f>IF(T465="","",IF(V465=0,"Everyone",IF(COUNTIF(AI465:AT465,"&gt;0")=COUNTIF(Setup!$B$9:$B$20,"?*"),"Everyone",COUNTIF(AI465:AT465,"&gt;0")&amp;IF(COUNTIF(AI465:AT465,"&gt;0")=1," person"," people"))))</f>
        <v/>
      </c>
      <c r="V465" s="1">
        <f>SUM(AI465:AT465)</f>
        <v/>
      </c>
      <c r="W465">
        <f>IF(OR(T465="",Setup!$B$9=""),0,IF(V465=0,T465/COUNTIF(Setup!$B$9:$B$20,"?*"),T465*AI465/V465))</f>
        <v/>
      </c>
      <c r="X465">
        <f>IF(OR(T465="",Setup!$B$10=""),0,IF(V465=0,T465/COUNTIF(Setup!$B$9:$B$20,"?*"),T465*AJ465/V465))</f>
        <v/>
      </c>
      <c r="Y465">
        <f>IF(OR(T465="",Setup!$B$11=""),0,IF(V465=0,T465/COUNTIF(Setup!$B$9:$B$20,"?*"),T465*AK465/V465))</f>
        <v/>
      </c>
      <c r="Z465">
        <f>IF(OR(T465="",Setup!$B$12=""),0,IF(V465=0,T465/COUNTIF(Setup!$B$9:$B$20,"?*"),T465*AL465/V465))</f>
        <v/>
      </c>
      <c r="AA465">
        <f>IF(OR(T465="",Setup!$B$13=""),0,IF(V465=0,T465/COUNTIF(Setup!$B$9:$B$20,"?*"),T465*AM465/V465))</f>
        <v/>
      </c>
      <c r="AB465">
        <f>IF(OR(T465="",Setup!$B$14=""),0,IF(V465=0,T465/COUNTIF(Setup!$B$9:$B$20,"?*"),T465*AN465/V465))</f>
        <v/>
      </c>
      <c r="AC465">
        <f>IF(OR(T465="",Setup!$B$15=""),0,IF(V465=0,T465/COUNTIF(Setup!$B$9:$B$20,"?*"),T465*AO465/V465))</f>
        <v/>
      </c>
      <c r="AD465">
        <f>IF(OR(T465="",Setup!$B$16=""),0,IF(V465=0,T465/COUNTIF(Setup!$B$9:$B$20,"?*"),T465*AP465/V465))</f>
        <v/>
      </c>
      <c r="AE465">
        <f>IF(OR(T465="",Setup!$B$17=""),0,IF(V465=0,T465/COUNTIF(Setup!$B$9:$B$20,"?*"),T465*AQ465/V465))</f>
        <v/>
      </c>
      <c r="AF465">
        <f>IF(OR(T465="",Setup!$B$18=""),0,IF(V465=0,T465/COUNTIF(Setup!$B$9:$B$20,"?*"),T465*AR465/V465))</f>
        <v/>
      </c>
      <c r="AG465">
        <f>IF(OR(T465="",Setup!$B$19=""),0,IF(V465=0,T465/COUNTIF(Setup!$B$9:$B$20,"?*"),T465*AS465/V465))</f>
        <v/>
      </c>
      <c r="AH465">
        <f>IF(OR(T465="",Setup!$B$20=""),0,IF(V465=0,T465/COUNTIF(Setup!$B$9:$B$20,"?*"),T465*AT465/V465))</f>
        <v/>
      </c>
      <c r="AI465">
        <f>IF(Setup!$B$9="",0,IF(H465="",0,IF(ISNUMBER(H465),H465,1)))</f>
        <v/>
      </c>
      <c r="AJ465">
        <f>IF(Setup!$B$10="",0,IF(I465="",0,IF(ISNUMBER(I465),I465,1)))</f>
        <v/>
      </c>
      <c r="AK465">
        <f>IF(Setup!$B$11="",0,IF(J465="",0,IF(ISNUMBER(J465),J465,1)))</f>
        <v/>
      </c>
      <c r="AL465">
        <f>IF(Setup!$B$12="",0,IF(K465="",0,IF(ISNUMBER(K465),K465,1)))</f>
        <v/>
      </c>
      <c r="AM465">
        <f>IF(Setup!$B$13="",0,IF(L465="",0,IF(ISNUMBER(L465),L465,1)))</f>
        <v/>
      </c>
      <c r="AN465">
        <f>IF(Setup!$B$14="",0,IF(M465="",0,IF(ISNUMBER(M465),M465,1)))</f>
        <v/>
      </c>
      <c r="AO465">
        <f>IF(Setup!$B$15="",0,IF(N465="",0,IF(ISNUMBER(N465),N465,1)))</f>
        <v/>
      </c>
      <c r="AP465">
        <f>IF(Setup!$B$16="",0,IF(O465="",0,IF(ISNUMBER(O465),O465,1)))</f>
        <v/>
      </c>
      <c r="AQ465">
        <f>IF(Setup!$B$17="",0,IF(P465="",0,IF(ISNUMBER(P465),P465,1)))</f>
        <v/>
      </c>
      <c r="AR465">
        <f>IF(Setup!$B$18="",0,IF(Q465="",0,IF(ISNUMBER(Q465),Q465,1)))</f>
        <v/>
      </c>
      <c r="AS465">
        <f>IF(Setup!$B$19="",0,IF(R465="",0,IF(ISNUMBER(R465),R465,1)))</f>
        <v/>
      </c>
      <c r="AT465">
        <f>IF(Setup!$B$20="",0,IF(S465="",0,IF(ISNUMBER(S465),S465,1)))</f>
        <v/>
      </c>
    </row>
    <row r="466">
      <c r="A466" s="1" t="n"/>
      <c r="B466" s="24" t="n"/>
      <c r="C466" s="25" t="n"/>
      <c r="D466" s="25" t="n"/>
      <c r="E466" s="26" t="n"/>
      <c r="F466" s="27" t="n"/>
      <c r="G466" s="17" t="n"/>
      <c r="H466" s="28" t="n"/>
      <c r="I466" s="28" t="n"/>
      <c r="J466" s="28" t="n"/>
      <c r="K466" s="28" t="n"/>
      <c r="L466" s="28" t="n"/>
      <c r="M466" s="28" t="n"/>
      <c r="N466" s="28" t="n"/>
      <c r="O466" s="28" t="n"/>
      <c r="P466" s="28" t="n"/>
      <c r="Q466" s="28" t="n"/>
      <c r="R466" s="28" t="n"/>
      <c r="S466" s="28" t="n"/>
      <c r="T466" s="29">
        <f>IF(N(E466)=0,"",E466*IF(F466="",1,IFERROR(INDEX(Setup!$E$9:$E$18,MATCH(F466,Setup!$D$9:$D$18,0)),0)))</f>
        <v/>
      </c>
      <c r="U466" s="30">
        <f>IF(T466="","",IF(V466=0,"Everyone",IF(COUNTIF(AI466:AT466,"&gt;0")=COUNTIF(Setup!$B$9:$B$20,"?*"),"Everyone",COUNTIF(AI466:AT466,"&gt;0")&amp;IF(COUNTIF(AI466:AT466,"&gt;0")=1," person"," people"))))</f>
        <v/>
      </c>
      <c r="V466" s="1">
        <f>SUM(AI466:AT466)</f>
        <v/>
      </c>
      <c r="W466">
        <f>IF(OR(T466="",Setup!$B$9=""),0,IF(V466=0,T466/COUNTIF(Setup!$B$9:$B$20,"?*"),T466*AI466/V466))</f>
        <v/>
      </c>
      <c r="X466">
        <f>IF(OR(T466="",Setup!$B$10=""),0,IF(V466=0,T466/COUNTIF(Setup!$B$9:$B$20,"?*"),T466*AJ466/V466))</f>
        <v/>
      </c>
      <c r="Y466">
        <f>IF(OR(T466="",Setup!$B$11=""),0,IF(V466=0,T466/COUNTIF(Setup!$B$9:$B$20,"?*"),T466*AK466/V466))</f>
        <v/>
      </c>
      <c r="Z466">
        <f>IF(OR(T466="",Setup!$B$12=""),0,IF(V466=0,T466/COUNTIF(Setup!$B$9:$B$20,"?*"),T466*AL466/V466))</f>
        <v/>
      </c>
      <c r="AA466">
        <f>IF(OR(T466="",Setup!$B$13=""),0,IF(V466=0,T466/COUNTIF(Setup!$B$9:$B$20,"?*"),T466*AM466/V466))</f>
        <v/>
      </c>
      <c r="AB466">
        <f>IF(OR(T466="",Setup!$B$14=""),0,IF(V466=0,T466/COUNTIF(Setup!$B$9:$B$20,"?*"),T466*AN466/V466))</f>
        <v/>
      </c>
      <c r="AC466">
        <f>IF(OR(T466="",Setup!$B$15=""),0,IF(V466=0,T466/COUNTIF(Setup!$B$9:$B$20,"?*"),T466*AO466/V466))</f>
        <v/>
      </c>
      <c r="AD466">
        <f>IF(OR(T466="",Setup!$B$16=""),0,IF(V466=0,T466/COUNTIF(Setup!$B$9:$B$20,"?*"),T466*AP466/V466))</f>
        <v/>
      </c>
      <c r="AE466">
        <f>IF(OR(T466="",Setup!$B$17=""),0,IF(V466=0,T466/COUNTIF(Setup!$B$9:$B$20,"?*"),T466*AQ466/V466))</f>
        <v/>
      </c>
      <c r="AF466">
        <f>IF(OR(T466="",Setup!$B$18=""),0,IF(V466=0,T466/COUNTIF(Setup!$B$9:$B$20,"?*"),T466*AR466/V466))</f>
        <v/>
      </c>
      <c r="AG466">
        <f>IF(OR(T466="",Setup!$B$19=""),0,IF(V466=0,T466/COUNTIF(Setup!$B$9:$B$20,"?*"),T466*AS466/V466))</f>
        <v/>
      </c>
      <c r="AH466">
        <f>IF(OR(T466="",Setup!$B$20=""),0,IF(V466=0,T466/COUNTIF(Setup!$B$9:$B$20,"?*"),T466*AT466/V466))</f>
        <v/>
      </c>
      <c r="AI466">
        <f>IF(Setup!$B$9="",0,IF(H466="",0,IF(ISNUMBER(H466),H466,1)))</f>
        <v/>
      </c>
      <c r="AJ466">
        <f>IF(Setup!$B$10="",0,IF(I466="",0,IF(ISNUMBER(I466),I466,1)))</f>
        <v/>
      </c>
      <c r="AK466">
        <f>IF(Setup!$B$11="",0,IF(J466="",0,IF(ISNUMBER(J466),J466,1)))</f>
        <v/>
      </c>
      <c r="AL466">
        <f>IF(Setup!$B$12="",0,IF(K466="",0,IF(ISNUMBER(K466),K466,1)))</f>
        <v/>
      </c>
      <c r="AM466">
        <f>IF(Setup!$B$13="",0,IF(L466="",0,IF(ISNUMBER(L466),L466,1)))</f>
        <v/>
      </c>
      <c r="AN466">
        <f>IF(Setup!$B$14="",0,IF(M466="",0,IF(ISNUMBER(M466),M466,1)))</f>
        <v/>
      </c>
      <c r="AO466">
        <f>IF(Setup!$B$15="",0,IF(N466="",0,IF(ISNUMBER(N466),N466,1)))</f>
        <v/>
      </c>
      <c r="AP466">
        <f>IF(Setup!$B$16="",0,IF(O466="",0,IF(ISNUMBER(O466),O466,1)))</f>
        <v/>
      </c>
      <c r="AQ466">
        <f>IF(Setup!$B$17="",0,IF(P466="",0,IF(ISNUMBER(P466),P466,1)))</f>
        <v/>
      </c>
      <c r="AR466">
        <f>IF(Setup!$B$18="",0,IF(Q466="",0,IF(ISNUMBER(Q466),Q466,1)))</f>
        <v/>
      </c>
      <c r="AS466">
        <f>IF(Setup!$B$19="",0,IF(R466="",0,IF(ISNUMBER(R466),R466,1)))</f>
        <v/>
      </c>
      <c r="AT466">
        <f>IF(Setup!$B$20="",0,IF(S466="",0,IF(ISNUMBER(S466),S466,1)))</f>
        <v/>
      </c>
    </row>
    <row r="467">
      <c r="A467" s="1" t="n"/>
      <c r="B467" s="24" t="n"/>
      <c r="C467" s="25" t="n"/>
      <c r="D467" s="25" t="n"/>
      <c r="E467" s="26" t="n"/>
      <c r="F467" s="27" t="n"/>
      <c r="G467" s="17" t="n"/>
      <c r="H467" s="28" t="n"/>
      <c r="I467" s="28" t="n"/>
      <c r="J467" s="28" t="n"/>
      <c r="K467" s="28" t="n"/>
      <c r="L467" s="28" t="n"/>
      <c r="M467" s="28" t="n"/>
      <c r="N467" s="28" t="n"/>
      <c r="O467" s="28" t="n"/>
      <c r="P467" s="28" t="n"/>
      <c r="Q467" s="28" t="n"/>
      <c r="R467" s="28" t="n"/>
      <c r="S467" s="28" t="n"/>
      <c r="T467" s="29">
        <f>IF(N(E467)=0,"",E467*IF(F467="",1,IFERROR(INDEX(Setup!$E$9:$E$18,MATCH(F467,Setup!$D$9:$D$18,0)),0)))</f>
        <v/>
      </c>
      <c r="U467" s="30">
        <f>IF(T467="","",IF(V467=0,"Everyone",IF(COUNTIF(AI467:AT467,"&gt;0")=COUNTIF(Setup!$B$9:$B$20,"?*"),"Everyone",COUNTIF(AI467:AT467,"&gt;0")&amp;IF(COUNTIF(AI467:AT467,"&gt;0")=1," person"," people"))))</f>
        <v/>
      </c>
      <c r="V467" s="1">
        <f>SUM(AI467:AT467)</f>
        <v/>
      </c>
      <c r="W467">
        <f>IF(OR(T467="",Setup!$B$9=""),0,IF(V467=0,T467/COUNTIF(Setup!$B$9:$B$20,"?*"),T467*AI467/V467))</f>
        <v/>
      </c>
      <c r="X467">
        <f>IF(OR(T467="",Setup!$B$10=""),0,IF(V467=0,T467/COUNTIF(Setup!$B$9:$B$20,"?*"),T467*AJ467/V467))</f>
        <v/>
      </c>
      <c r="Y467">
        <f>IF(OR(T467="",Setup!$B$11=""),0,IF(V467=0,T467/COUNTIF(Setup!$B$9:$B$20,"?*"),T467*AK467/V467))</f>
        <v/>
      </c>
      <c r="Z467">
        <f>IF(OR(T467="",Setup!$B$12=""),0,IF(V467=0,T467/COUNTIF(Setup!$B$9:$B$20,"?*"),T467*AL467/V467))</f>
        <v/>
      </c>
      <c r="AA467">
        <f>IF(OR(T467="",Setup!$B$13=""),0,IF(V467=0,T467/COUNTIF(Setup!$B$9:$B$20,"?*"),T467*AM467/V467))</f>
        <v/>
      </c>
      <c r="AB467">
        <f>IF(OR(T467="",Setup!$B$14=""),0,IF(V467=0,T467/COUNTIF(Setup!$B$9:$B$20,"?*"),T467*AN467/V467))</f>
        <v/>
      </c>
      <c r="AC467">
        <f>IF(OR(T467="",Setup!$B$15=""),0,IF(V467=0,T467/COUNTIF(Setup!$B$9:$B$20,"?*"),T467*AO467/V467))</f>
        <v/>
      </c>
      <c r="AD467">
        <f>IF(OR(T467="",Setup!$B$16=""),0,IF(V467=0,T467/COUNTIF(Setup!$B$9:$B$20,"?*"),T467*AP467/V467))</f>
        <v/>
      </c>
      <c r="AE467">
        <f>IF(OR(T467="",Setup!$B$17=""),0,IF(V467=0,T467/COUNTIF(Setup!$B$9:$B$20,"?*"),T467*AQ467/V467))</f>
        <v/>
      </c>
      <c r="AF467">
        <f>IF(OR(T467="",Setup!$B$18=""),0,IF(V467=0,T467/COUNTIF(Setup!$B$9:$B$20,"?*"),T467*AR467/V467))</f>
        <v/>
      </c>
      <c r="AG467">
        <f>IF(OR(T467="",Setup!$B$19=""),0,IF(V467=0,T467/COUNTIF(Setup!$B$9:$B$20,"?*"),T467*AS467/V467))</f>
        <v/>
      </c>
      <c r="AH467">
        <f>IF(OR(T467="",Setup!$B$20=""),0,IF(V467=0,T467/COUNTIF(Setup!$B$9:$B$20,"?*"),T467*AT467/V467))</f>
        <v/>
      </c>
      <c r="AI467">
        <f>IF(Setup!$B$9="",0,IF(H467="",0,IF(ISNUMBER(H467),H467,1)))</f>
        <v/>
      </c>
      <c r="AJ467">
        <f>IF(Setup!$B$10="",0,IF(I467="",0,IF(ISNUMBER(I467),I467,1)))</f>
        <v/>
      </c>
      <c r="AK467">
        <f>IF(Setup!$B$11="",0,IF(J467="",0,IF(ISNUMBER(J467),J467,1)))</f>
        <v/>
      </c>
      <c r="AL467">
        <f>IF(Setup!$B$12="",0,IF(K467="",0,IF(ISNUMBER(K467),K467,1)))</f>
        <v/>
      </c>
      <c r="AM467">
        <f>IF(Setup!$B$13="",0,IF(L467="",0,IF(ISNUMBER(L467),L467,1)))</f>
        <v/>
      </c>
      <c r="AN467">
        <f>IF(Setup!$B$14="",0,IF(M467="",0,IF(ISNUMBER(M467),M467,1)))</f>
        <v/>
      </c>
      <c r="AO467">
        <f>IF(Setup!$B$15="",0,IF(N467="",0,IF(ISNUMBER(N467),N467,1)))</f>
        <v/>
      </c>
      <c r="AP467">
        <f>IF(Setup!$B$16="",0,IF(O467="",0,IF(ISNUMBER(O467),O467,1)))</f>
        <v/>
      </c>
      <c r="AQ467">
        <f>IF(Setup!$B$17="",0,IF(P467="",0,IF(ISNUMBER(P467),P467,1)))</f>
        <v/>
      </c>
      <c r="AR467">
        <f>IF(Setup!$B$18="",0,IF(Q467="",0,IF(ISNUMBER(Q467),Q467,1)))</f>
        <v/>
      </c>
      <c r="AS467">
        <f>IF(Setup!$B$19="",0,IF(R467="",0,IF(ISNUMBER(R467),R467,1)))</f>
        <v/>
      </c>
      <c r="AT467">
        <f>IF(Setup!$B$20="",0,IF(S467="",0,IF(ISNUMBER(S467),S467,1)))</f>
        <v/>
      </c>
    </row>
    <row r="468">
      <c r="A468" s="1" t="n"/>
      <c r="B468" s="24" t="n"/>
      <c r="C468" s="25" t="n"/>
      <c r="D468" s="25" t="n"/>
      <c r="E468" s="26" t="n"/>
      <c r="F468" s="27" t="n"/>
      <c r="G468" s="17" t="n"/>
      <c r="H468" s="28" t="n"/>
      <c r="I468" s="28" t="n"/>
      <c r="J468" s="28" t="n"/>
      <c r="K468" s="28" t="n"/>
      <c r="L468" s="28" t="n"/>
      <c r="M468" s="28" t="n"/>
      <c r="N468" s="28" t="n"/>
      <c r="O468" s="28" t="n"/>
      <c r="P468" s="28" t="n"/>
      <c r="Q468" s="28" t="n"/>
      <c r="R468" s="28" t="n"/>
      <c r="S468" s="28" t="n"/>
      <c r="T468" s="29">
        <f>IF(N(E468)=0,"",E468*IF(F468="",1,IFERROR(INDEX(Setup!$E$9:$E$18,MATCH(F468,Setup!$D$9:$D$18,0)),0)))</f>
        <v/>
      </c>
      <c r="U468" s="30">
        <f>IF(T468="","",IF(V468=0,"Everyone",IF(COUNTIF(AI468:AT468,"&gt;0")=COUNTIF(Setup!$B$9:$B$20,"?*"),"Everyone",COUNTIF(AI468:AT468,"&gt;0")&amp;IF(COUNTIF(AI468:AT468,"&gt;0")=1," person"," people"))))</f>
        <v/>
      </c>
      <c r="V468" s="1">
        <f>SUM(AI468:AT468)</f>
        <v/>
      </c>
      <c r="W468">
        <f>IF(OR(T468="",Setup!$B$9=""),0,IF(V468=0,T468/COUNTIF(Setup!$B$9:$B$20,"?*"),T468*AI468/V468))</f>
        <v/>
      </c>
      <c r="X468">
        <f>IF(OR(T468="",Setup!$B$10=""),0,IF(V468=0,T468/COUNTIF(Setup!$B$9:$B$20,"?*"),T468*AJ468/V468))</f>
        <v/>
      </c>
      <c r="Y468">
        <f>IF(OR(T468="",Setup!$B$11=""),0,IF(V468=0,T468/COUNTIF(Setup!$B$9:$B$20,"?*"),T468*AK468/V468))</f>
        <v/>
      </c>
      <c r="Z468">
        <f>IF(OR(T468="",Setup!$B$12=""),0,IF(V468=0,T468/COUNTIF(Setup!$B$9:$B$20,"?*"),T468*AL468/V468))</f>
        <v/>
      </c>
      <c r="AA468">
        <f>IF(OR(T468="",Setup!$B$13=""),0,IF(V468=0,T468/COUNTIF(Setup!$B$9:$B$20,"?*"),T468*AM468/V468))</f>
        <v/>
      </c>
      <c r="AB468">
        <f>IF(OR(T468="",Setup!$B$14=""),0,IF(V468=0,T468/COUNTIF(Setup!$B$9:$B$20,"?*"),T468*AN468/V468))</f>
        <v/>
      </c>
      <c r="AC468">
        <f>IF(OR(T468="",Setup!$B$15=""),0,IF(V468=0,T468/COUNTIF(Setup!$B$9:$B$20,"?*"),T468*AO468/V468))</f>
        <v/>
      </c>
      <c r="AD468">
        <f>IF(OR(T468="",Setup!$B$16=""),0,IF(V468=0,T468/COUNTIF(Setup!$B$9:$B$20,"?*"),T468*AP468/V468))</f>
        <v/>
      </c>
      <c r="AE468">
        <f>IF(OR(T468="",Setup!$B$17=""),0,IF(V468=0,T468/COUNTIF(Setup!$B$9:$B$20,"?*"),T468*AQ468/V468))</f>
        <v/>
      </c>
      <c r="AF468">
        <f>IF(OR(T468="",Setup!$B$18=""),0,IF(V468=0,T468/COUNTIF(Setup!$B$9:$B$20,"?*"),T468*AR468/V468))</f>
        <v/>
      </c>
      <c r="AG468">
        <f>IF(OR(T468="",Setup!$B$19=""),0,IF(V468=0,T468/COUNTIF(Setup!$B$9:$B$20,"?*"),T468*AS468/V468))</f>
        <v/>
      </c>
      <c r="AH468">
        <f>IF(OR(T468="",Setup!$B$20=""),0,IF(V468=0,T468/COUNTIF(Setup!$B$9:$B$20,"?*"),T468*AT468/V468))</f>
        <v/>
      </c>
      <c r="AI468">
        <f>IF(Setup!$B$9="",0,IF(H468="",0,IF(ISNUMBER(H468),H468,1)))</f>
        <v/>
      </c>
      <c r="AJ468">
        <f>IF(Setup!$B$10="",0,IF(I468="",0,IF(ISNUMBER(I468),I468,1)))</f>
        <v/>
      </c>
      <c r="AK468">
        <f>IF(Setup!$B$11="",0,IF(J468="",0,IF(ISNUMBER(J468),J468,1)))</f>
        <v/>
      </c>
      <c r="AL468">
        <f>IF(Setup!$B$12="",0,IF(K468="",0,IF(ISNUMBER(K468),K468,1)))</f>
        <v/>
      </c>
      <c r="AM468">
        <f>IF(Setup!$B$13="",0,IF(L468="",0,IF(ISNUMBER(L468),L468,1)))</f>
        <v/>
      </c>
      <c r="AN468">
        <f>IF(Setup!$B$14="",0,IF(M468="",0,IF(ISNUMBER(M468),M468,1)))</f>
        <v/>
      </c>
      <c r="AO468">
        <f>IF(Setup!$B$15="",0,IF(N468="",0,IF(ISNUMBER(N468),N468,1)))</f>
        <v/>
      </c>
      <c r="AP468">
        <f>IF(Setup!$B$16="",0,IF(O468="",0,IF(ISNUMBER(O468),O468,1)))</f>
        <v/>
      </c>
      <c r="AQ468">
        <f>IF(Setup!$B$17="",0,IF(P468="",0,IF(ISNUMBER(P468),P468,1)))</f>
        <v/>
      </c>
      <c r="AR468">
        <f>IF(Setup!$B$18="",0,IF(Q468="",0,IF(ISNUMBER(Q468),Q468,1)))</f>
        <v/>
      </c>
      <c r="AS468">
        <f>IF(Setup!$B$19="",0,IF(R468="",0,IF(ISNUMBER(R468),R468,1)))</f>
        <v/>
      </c>
      <c r="AT468">
        <f>IF(Setup!$B$20="",0,IF(S468="",0,IF(ISNUMBER(S468),S468,1)))</f>
        <v/>
      </c>
    </row>
    <row r="469">
      <c r="A469" s="1" t="n"/>
      <c r="B469" s="24" t="n"/>
      <c r="C469" s="25" t="n"/>
      <c r="D469" s="25" t="n"/>
      <c r="E469" s="26" t="n"/>
      <c r="F469" s="27" t="n"/>
      <c r="G469" s="17" t="n"/>
      <c r="H469" s="28" t="n"/>
      <c r="I469" s="28" t="n"/>
      <c r="J469" s="28" t="n"/>
      <c r="K469" s="28" t="n"/>
      <c r="L469" s="28" t="n"/>
      <c r="M469" s="28" t="n"/>
      <c r="N469" s="28" t="n"/>
      <c r="O469" s="28" t="n"/>
      <c r="P469" s="28" t="n"/>
      <c r="Q469" s="28" t="n"/>
      <c r="R469" s="28" t="n"/>
      <c r="S469" s="28" t="n"/>
      <c r="T469" s="29">
        <f>IF(N(E469)=0,"",E469*IF(F469="",1,IFERROR(INDEX(Setup!$E$9:$E$18,MATCH(F469,Setup!$D$9:$D$18,0)),0)))</f>
        <v/>
      </c>
      <c r="U469" s="30">
        <f>IF(T469="","",IF(V469=0,"Everyone",IF(COUNTIF(AI469:AT469,"&gt;0")=COUNTIF(Setup!$B$9:$B$20,"?*"),"Everyone",COUNTIF(AI469:AT469,"&gt;0")&amp;IF(COUNTIF(AI469:AT469,"&gt;0")=1," person"," people"))))</f>
        <v/>
      </c>
      <c r="V469" s="1">
        <f>SUM(AI469:AT469)</f>
        <v/>
      </c>
      <c r="W469">
        <f>IF(OR(T469="",Setup!$B$9=""),0,IF(V469=0,T469/COUNTIF(Setup!$B$9:$B$20,"?*"),T469*AI469/V469))</f>
        <v/>
      </c>
      <c r="X469">
        <f>IF(OR(T469="",Setup!$B$10=""),0,IF(V469=0,T469/COUNTIF(Setup!$B$9:$B$20,"?*"),T469*AJ469/V469))</f>
        <v/>
      </c>
      <c r="Y469">
        <f>IF(OR(T469="",Setup!$B$11=""),0,IF(V469=0,T469/COUNTIF(Setup!$B$9:$B$20,"?*"),T469*AK469/V469))</f>
        <v/>
      </c>
      <c r="Z469">
        <f>IF(OR(T469="",Setup!$B$12=""),0,IF(V469=0,T469/COUNTIF(Setup!$B$9:$B$20,"?*"),T469*AL469/V469))</f>
        <v/>
      </c>
      <c r="AA469">
        <f>IF(OR(T469="",Setup!$B$13=""),0,IF(V469=0,T469/COUNTIF(Setup!$B$9:$B$20,"?*"),T469*AM469/V469))</f>
        <v/>
      </c>
      <c r="AB469">
        <f>IF(OR(T469="",Setup!$B$14=""),0,IF(V469=0,T469/COUNTIF(Setup!$B$9:$B$20,"?*"),T469*AN469/V469))</f>
        <v/>
      </c>
      <c r="AC469">
        <f>IF(OR(T469="",Setup!$B$15=""),0,IF(V469=0,T469/COUNTIF(Setup!$B$9:$B$20,"?*"),T469*AO469/V469))</f>
        <v/>
      </c>
      <c r="AD469">
        <f>IF(OR(T469="",Setup!$B$16=""),0,IF(V469=0,T469/COUNTIF(Setup!$B$9:$B$20,"?*"),T469*AP469/V469))</f>
        <v/>
      </c>
      <c r="AE469">
        <f>IF(OR(T469="",Setup!$B$17=""),0,IF(V469=0,T469/COUNTIF(Setup!$B$9:$B$20,"?*"),T469*AQ469/V469))</f>
        <v/>
      </c>
      <c r="AF469">
        <f>IF(OR(T469="",Setup!$B$18=""),0,IF(V469=0,T469/COUNTIF(Setup!$B$9:$B$20,"?*"),T469*AR469/V469))</f>
        <v/>
      </c>
      <c r="AG469">
        <f>IF(OR(T469="",Setup!$B$19=""),0,IF(V469=0,T469/COUNTIF(Setup!$B$9:$B$20,"?*"),T469*AS469/V469))</f>
        <v/>
      </c>
      <c r="AH469">
        <f>IF(OR(T469="",Setup!$B$20=""),0,IF(V469=0,T469/COUNTIF(Setup!$B$9:$B$20,"?*"),T469*AT469/V469))</f>
        <v/>
      </c>
      <c r="AI469">
        <f>IF(Setup!$B$9="",0,IF(H469="",0,IF(ISNUMBER(H469),H469,1)))</f>
        <v/>
      </c>
      <c r="AJ469">
        <f>IF(Setup!$B$10="",0,IF(I469="",0,IF(ISNUMBER(I469),I469,1)))</f>
        <v/>
      </c>
      <c r="AK469">
        <f>IF(Setup!$B$11="",0,IF(J469="",0,IF(ISNUMBER(J469),J469,1)))</f>
        <v/>
      </c>
      <c r="AL469">
        <f>IF(Setup!$B$12="",0,IF(K469="",0,IF(ISNUMBER(K469),K469,1)))</f>
        <v/>
      </c>
      <c r="AM469">
        <f>IF(Setup!$B$13="",0,IF(L469="",0,IF(ISNUMBER(L469),L469,1)))</f>
        <v/>
      </c>
      <c r="AN469">
        <f>IF(Setup!$B$14="",0,IF(M469="",0,IF(ISNUMBER(M469),M469,1)))</f>
        <v/>
      </c>
      <c r="AO469">
        <f>IF(Setup!$B$15="",0,IF(N469="",0,IF(ISNUMBER(N469),N469,1)))</f>
        <v/>
      </c>
      <c r="AP469">
        <f>IF(Setup!$B$16="",0,IF(O469="",0,IF(ISNUMBER(O469),O469,1)))</f>
        <v/>
      </c>
      <c r="AQ469">
        <f>IF(Setup!$B$17="",0,IF(P469="",0,IF(ISNUMBER(P469),P469,1)))</f>
        <v/>
      </c>
      <c r="AR469">
        <f>IF(Setup!$B$18="",0,IF(Q469="",0,IF(ISNUMBER(Q469),Q469,1)))</f>
        <v/>
      </c>
      <c r="AS469">
        <f>IF(Setup!$B$19="",0,IF(R469="",0,IF(ISNUMBER(R469),R469,1)))</f>
        <v/>
      </c>
      <c r="AT469">
        <f>IF(Setup!$B$20="",0,IF(S469="",0,IF(ISNUMBER(S469),S469,1)))</f>
        <v/>
      </c>
    </row>
    <row r="470">
      <c r="A470" s="1" t="n"/>
      <c r="B470" s="24" t="n"/>
      <c r="C470" s="25" t="n"/>
      <c r="D470" s="25" t="n"/>
      <c r="E470" s="26" t="n"/>
      <c r="F470" s="27" t="n"/>
      <c r="G470" s="17" t="n"/>
      <c r="H470" s="28" t="n"/>
      <c r="I470" s="28" t="n"/>
      <c r="J470" s="28" t="n"/>
      <c r="K470" s="28" t="n"/>
      <c r="L470" s="28" t="n"/>
      <c r="M470" s="28" t="n"/>
      <c r="N470" s="28" t="n"/>
      <c r="O470" s="28" t="n"/>
      <c r="P470" s="28" t="n"/>
      <c r="Q470" s="28" t="n"/>
      <c r="R470" s="28" t="n"/>
      <c r="S470" s="28" t="n"/>
      <c r="T470" s="29">
        <f>IF(N(E470)=0,"",E470*IF(F470="",1,IFERROR(INDEX(Setup!$E$9:$E$18,MATCH(F470,Setup!$D$9:$D$18,0)),0)))</f>
        <v/>
      </c>
      <c r="U470" s="30">
        <f>IF(T470="","",IF(V470=0,"Everyone",IF(COUNTIF(AI470:AT470,"&gt;0")=COUNTIF(Setup!$B$9:$B$20,"?*"),"Everyone",COUNTIF(AI470:AT470,"&gt;0")&amp;IF(COUNTIF(AI470:AT470,"&gt;0")=1," person"," people"))))</f>
        <v/>
      </c>
      <c r="V470" s="1">
        <f>SUM(AI470:AT470)</f>
        <v/>
      </c>
      <c r="W470">
        <f>IF(OR(T470="",Setup!$B$9=""),0,IF(V470=0,T470/COUNTIF(Setup!$B$9:$B$20,"?*"),T470*AI470/V470))</f>
        <v/>
      </c>
      <c r="X470">
        <f>IF(OR(T470="",Setup!$B$10=""),0,IF(V470=0,T470/COUNTIF(Setup!$B$9:$B$20,"?*"),T470*AJ470/V470))</f>
        <v/>
      </c>
      <c r="Y470">
        <f>IF(OR(T470="",Setup!$B$11=""),0,IF(V470=0,T470/COUNTIF(Setup!$B$9:$B$20,"?*"),T470*AK470/V470))</f>
        <v/>
      </c>
      <c r="Z470">
        <f>IF(OR(T470="",Setup!$B$12=""),0,IF(V470=0,T470/COUNTIF(Setup!$B$9:$B$20,"?*"),T470*AL470/V470))</f>
        <v/>
      </c>
      <c r="AA470">
        <f>IF(OR(T470="",Setup!$B$13=""),0,IF(V470=0,T470/COUNTIF(Setup!$B$9:$B$20,"?*"),T470*AM470/V470))</f>
        <v/>
      </c>
      <c r="AB470">
        <f>IF(OR(T470="",Setup!$B$14=""),0,IF(V470=0,T470/COUNTIF(Setup!$B$9:$B$20,"?*"),T470*AN470/V470))</f>
        <v/>
      </c>
      <c r="AC470">
        <f>IF(OR(T470="",Setup!$B$15=""),0,IF(V470=0,T470/COUNTIF(Setup!$B$9:$B$20,"?*"),T470*AO470/V470))</f>
        <v/>
      </c>
      <c r="AD470">
        <f>IF(OR(T470="",Setup!$B$16=""),0,IF(V470=0,T470/COUNTIF(Setup!$B$9:$B$20,"?*"),T470*AP470/V470))</f>
        <v/>
      </c>
      <c r="AE470">
        <f>IF(OR(T470="",Setup!$B$17=""),0,IF(V470=0,T470/COUNTIF(Setup!$B$9:$B$20,"?*"),T470*AQ470/V470))</f>
        <v/>
      </c>
      <c r="AF470">
        <f>IF(OR(T470="",Setup!$B$18=""),0,IF(V470=0,T470/COUNTIF(Setup!$B$9:$B$20,"?*"),T470*AR470/V470))</f>
        <v/>
      </c>
      <c r="AG470">
        <f>IF(OR(T470="",Setup!$B$19=""),0,IF(V470=0,T470/COUNTIF(Setup!$B$9:$B$20,"?*"),T470*AS470/V470))</f>
        <v/>
      </c>
      <c r="AH470">
        <f>IF(OR(T470="",Setup!$B$20=""),0,IF(V470=0,T470/COUNTIF(Setup!$B$9:$B$20,"?*"),T470*AT470/V470))</f>
        <v/>
      </c>
      <c r="AI470">
        <f>IF(Setup!$B$9="",0,IF(H470="",0,IF(ISNUMBER(H470),H470,1)))</f>
        <v/>
      </c>
      <c r="AJ470">
        <f>IF(Setup!$B$10="",0,IF(I470="",0,IF(ISNUMBER(I470),I470,1)))</f>
        <v/>
      </c>
      <c r="AK470">
        <f>IF(Setup!$B$11="",0,IF(J470="",0,IF(ISNUMBER(J470),J470,1)))</f>
        <v/>
      </c>
      <c r="AL470">
        <f>IF(Setup!$B$12="",0,IF(K470="",0,IF(ISNUMBER(K470),K470,1)))</f>
        <v/>
      </c>
      <c r="AM470">
        <f>IF(Setup!$B$13="",0,IF(L470="",0,IF(ISNUMBER(L470),L470,1)))</f>
        <v/>
      </c>
      <c r="AN470">
        <f>IF(Setup!$B$14="",0,IF(M470="",0,IF(ISNUMBER(M470),M470,1)))</f>
        <v/>
      </c>
      <c r="AO470">
        <f>IF(Setup!$B$15="",0,IF(N470="",0,IF(ISNUMBER(N470),N470,1)))</f>
        <v/>
      </c>
      <c r="AP470">
        <f>IF(Setup!$B$16="",0,IF(O470="",0,IF(ISNUMBER(O470),O470,1)))</f>
        <v/>
      </c>
      <c r="AQ470">
        <f>IF(Setup!$B$17="",0,IF(P470="",0,IF(ISNUMBER(P470),P470,1)))</f>
        <v/>
      </c>
      <c r="AR470">
        <f>IF(Setup!$B$18="",0,IF(Q470="",0,IF(ISNUMBER(Q470),Q470,1)))</f>
        <v/>
      </c>
      <c r="AS470">
        <f>IF(Setup!$B$19="",0,IF(R470="",0,IF(ISNUMBER(R470),R470,1)))</f>
        <v/>
      </c>
      <c r="AT470">
        <f>IF(Setup!$B$20="",0,IF(S470="",0,IF(ISNUMBER(S470),S470,1)))</f>
        <v/>
      </c>
    </row>
    <row r="471">
      <c r="A471" s="1" t="n"/>
      <c r="B471" s="24" t="n"/>
      <c r="C471" s="25" t="n"/>
      <c r="D471" s="25" t="n"/>
      <c r="E471" s="26" t="n"/>
      <c r="F471" s="27" t="n"/>
      <c r="G471" s="17" t="n"/>
      <c r="H471" s="28" t="n"/>
      <c r="I471" s="28" t="n"/>
      <c r="J471" s="28" t="n"/>
      <c r="K471" s="28" t="n"/>
      <c r="L471" s="28" t="n"/>
      <c r="M471" s="28" t="n"/>
      <c r="N471" s="28" t="n"/>
      <c r="O471" s="28" t="n"/>
      <c r="P471" s="28" t="n"/>
      <c r="Q471" s="28" t="n"/>
      <c r="R471" s="28" t="n"/>
      <c r="S471" s="28" t="n"/>
      <c r="T471" s="29">
        <f>IF(N(E471)=0,"",E471*IF(F471="",1,IFERROR(INDEX(Setup!$E$9:$E$18,MATCH(F471,Setup!$D$9:$D$18,0)),0)))</f>
        <v/>
      </c>
      <c r="U471" s="30">
        <f>IF(T471="","",IF(V471=0,"Everyone",IF(COUNTIF(AI471:AT471,"&gt;0")=COUNTIF(Setup!$B$9:$B$20,"?*"),"Everyone",COUNTIF(AI471:AT471,"&gt;0")&amp;IF(COUNTIF(AI471:AT471,"&gt;0")=1," person"," people"))))</f>
        <v/>
      </c>
      <c r="V471" s="1">
        <f>SUM(AI471:AT471)</f>
        <v/>
      </c>
      <c r="W471">
        <f>IF(OR(T471="",Setup!$B$9=""),0,IF(V471=0,T471/COUNTIF(Setup!$B$9:$B$20,"?*"),T471*AI471/V471))</f>
        <v/>
      </c>
      <c r="X471">
        <f>IF(OR(T471="",Setup!$B$10=""),0,IF(V471=0,T471/COUNTIF(Setup!$B$9:$B$20,"?*"),T471*AJ471/V471))</f>
        <v/>
      </c>
      <c r="Y471">
        <f>IF(OR(T471="",Setup!$B$11=""),0,IF(V471=0,T471/COUNTIF(Setup!$B$9:$B$20,"?*"),T471*AK471/V471))</f>
        <v/>
      </c>
      <c r="Z471">
        <f>IF(OR(T471="",Setup!$B$12=""),0,IF(V471=0,T471/COUNTIF(Setup!$B$9:$B$20,"?*"),T471*AL471/V471))</f>
        <v/>
      </c>
      <c r="AA471">
        <f>IF(OR(T471="",Setup!$B$13=""),0,IF(V471=0,T471/COUNTIF(Setup!$B$9:$B$20,"?*"),T471*AM471/V471))</f>
        <v/>
      </c>
      <c r="AB471">
        <f>IF(OR(T471="",Setup!$B$14=""),0,IF(V471=0,T471/COUNTIF(Setup!$B$9:$B$20,"?*"),T471*AN471/V471))</f>
        <v/>
      </c>
      <c r="AC471">
        <f>IF(OR(T471="",Setup!$B$15=""),0,IF(V471=0,T471/COUNTIF(Setup!$B$9:$B$20,"?*"),T471*AO471/V471))</f>
        <v/>
      </c>
      <c r="AD471">
        <f>IF(OR(T471="",Setup!$B$16=""),0,IF(V471=0,T471/COUNTIF(Setup!$B$9:$B$20,"?*"),T471*AP471/V471))</f>
        <v/>
      </c>
      <c r="AE471">
        <f>IF(OR(T471="",Setup!$B$17=""),0,IF(V471=0,T471/COUNTIF(Setup!$B$9:$B$20,"?*"),T471*AQ471/V471))</f>
        <v/>
      </c>
      <c r="AF471">
        <f>IF(OR(T471="",Setup!$B$18=""),0,IF(V471=0,T471/COUNTIF(Setup!$B$9:$B$20,"?*"),T471*AR471/V471))</f>
        <v/>
      </c>
      <c r="AG471">
        <f>IF(OR(T471="",Setup!$B$19=""),0,IF(V471=0,T471/COUNTIF(Setup!$B$9:$B$20,"?*"),T471*AS471/V471))</f>
        <v/>
      </c>
      <c r="AH471">
        <f>IF(OR(T471="",Setup!$B$20=""),0,IF(V471=0,T471/COUNTIF(Setup!$B$9:$B$20,"?*"),T471*AT471/V471))</f>
        <v/>
      </c>
      <c r="AI471">
        <f>IF(Setup!$B$9="",0,IF(H471="",0,IF(ISNUMBER(H471),H471,1)))</f>
        <v/>
      </c>
      <c r="AJ471">
        <f>IF(Setup!$B$10="",0,IF(I471="",0,IF(ISNUMBER(I471),I471,1)))</f>
        <v/>
      </c>
      <c r="AK471">
        <f>IF(Setup!$B$11="",0,IF(J471="",0,IF(ISNUMBER(J471),J471,1)))</f>
        <v/>
      </c>
      <c r="AL471">
        <f>IF(Setup!$B$12="",0,IF(K471="",0,IF(ISNUMBER(K471),K471,1)))</f>
        <v/>
      </c>
      <c r="AM471">
        <f>IF(Setup!$B$13="",0,IF(L471="",0,IF(ISNUMBER(L471),L471,1)))</f>
        <v/>
      </c>
      <c r="AN471">
        <f>IF(Setup!$B$14="",0,IF(M471="",0,IF(ISNUMBER(M471),M471,1)))</f>
        <v/>
      </c>
      <c r="AO471">
        <f>IF(Setup!$B$15="",0,IF(N471="",0,IF(ISNUMBER(N471),N471,1)))</f>
        <v/>
      </c>
      <c r="AP471">
        <f>IF(Setup!$B$16="",0,IF(O471="",0,IF(ISNUMBER(O471),O471,1)))</f>
        <v/>
      </c>
      <c r="AQ471">
        <f>IF(Setup!$B$17="",0,IF(P471="",0,IF(ISNUMBER(P471),P471,1)))</f>
        <v/>
      </c>
      <c r="AR471">
        <f>IF(Setup!$B$18="",0,IF(Q471="",0,IF(ISNUMBER(Q471),Q471,1)))</f>
        <v/>
      </c>
      <c r="AS471">
        <f>IF(Setup!$B$19="",0,IF(R471="",0,IF(ISNUMBER(R471),R471,1)))</f>
        <v/>
      </c>
      <c r="AT471">
        <f>IF(Setup!$B$20="",0,IF(S471="",0,IF(ISNUMBER(S471),S471,1)))</f>
        <v/>
      </c>
    </row>
    <row r="472">
      <c r="A472" s="1" t="n"/>
      <c r="B472" s="24" t="n"/>
      <c r="C472" s="25" t="n"/>
      <c r="D472" s="25" t="n"/>
      <c r="E472" s="26" t="n"/>
      <c r="F472" s="27" t="n"/>
      <c r="G472" s="17" t="n"/>
      <c r="H472" s="28" t="n"/>
      <c r="I472" s="28" t="n"/>
      <c r="J472" s="28" t="n"/>
      <c r="K472" s="28" t="n"/>
      <c r="L472" s="28" t="n"/>
      <c r="M472" s="28" t="n"/>
      <c r="N472" s="28" t="n"/>
      <c r="O472" s="28" t="n"/>
      <c r="P472" s="28" t="n"/>
      <c r="Q472" s="28" t="n"/>
      <c r="R472" s="28" t="n"/>
      <c r="S472" s="28" t="n"/>
      <c r="T472" s="29">
        <f>IF(N(E472)=0,"",E472*IF(F472="",1,IFERROR(INDEX(Setup!$E$9:$E$18,MATCH(F472,Setup!$D$9:$D$18,0)),0)))</f>
        <v/>
      </c>
      <c r="U472" s="30">
        <f>IF(T472="","",IF(V472=0,"Everyone",IF(COUNTIF(AI472:AT472,"&gt;0")=COUNTIF(Setup!$B$9:$B$20,"?*"),"Everyone",COUNTIF(AI472:AT472,"&gt;0")&amp;IF(COUNTIF(AI472:AT472,"&gt;0")=1," person"," people"))))</f>
        <v/>
      </c>
      <c r="V472" s="1">
        <f>SUM(AI472:AT472)</f>
        <v/>
      </c>
      <c r="W472">
        <f>IF(OR(T472="",Setup!$B$9=""),0,IF(V472=0,T472/COUNTIF(Setup!$B$9:$B$20,"?*"),T472*AI472/V472))</f>
        <v/>
      </c>
      <c r="X472">
        <f>IF(OR(T472="",Setup!$B$10=""),0,IF(V472=0,T472/COUNTIF(Setup!$B$9:$B$20,"?*"),T472*AJ472/V472))</f>
        <v/>
      </c>
      <c r="Y472">
        <f>IF(OR(T472="",Setup!$B$11=""),0,IF(V472=0,T472/COUNTIF(Setup!$B$9:$B$20,"?*"),T472*AK472/V472))</f>
        <v/>
      </c>
      <c r="Z472">
        <f>IF(OR(T472="",Setup!$B$12=""),0,IF(V472=0,T472/COUNTIF(Setup!$B$9:$B$20,"?*"),T472*AL472/V472))</f>
        <v/>
      </c>
      <c r="AA472">
        <f>IF(OR(T472="",Setup!$B$13=""),0,IF(V472=0,T472/COUNTIF(Setup!$B$9:$B$20,"?*"),T472*AM472/V472))</f>
        <v/>
      </c>
      <c r="AB472">
        <f>IF(OR(T472="",Setup!$B$14=""),0,IF(V472=0,T472/COUNTIF(Setup!$B$9:$B$20,"?*"),T472*AN472/V472))</f>
        <v/>
      </c>
      <c r="AC472">
        <f>IF(OR(T472="",Setup!$B$15=""),0,IF(V472=0,T472/COUNTIF(Setup!$B$9:$B$20,"?*"),T472*AO472/V472))</f>
        <v/>
      </c>
      <c r="AD472">
        <f>IF(OR(T472="",Setup!$B$16=""),0,IF(V472=0,T472/COUNTIF(Setup!$B$9:$B$20,"?*"),T472*AP472/V472))</f>
        <v/>
      </c>
      <c r="AE472">
        <f>IF(OR(T472="",Setup!$B$17=""),0,IF(V472=0,T472/COUNTIF(Setup!$B$9:$B$20,"?*"),T472*AQ472/V472))</f>
        <v/>
      </c>
      <c r="AF472">
        <f>IF(OR(T472="",Setup!$B$18=""),0,IF(V472=0,T472/COUNTIF(Setup!$B$9:$B$20,"?*"),T472*AR472/V472))</f>
        <v/>
      </c>
      <c r="AG472">
        <f>IF(OR(T472="",Setup!$B$19=""),0,IF(V472=0,T472/COUNTIF(Setup!$B$9:$B$20,"?*"),T472*AS472/V472))</f>
        <v/>
      </c>
      <c r="AH472">
        <f>IF(OR(T472="",Setup!$B$20=""),0,IF(V472=0,T472/COUNTIF(Setup!$B$9:$B$20,"?*"),T472*AT472/V472))</f>
        <v/>
      </c>
      <c r="AI472">
        <f>IF(Setup!$B$9="",0,IF(H472="",0,IF(ISNUMBER(H472),H472,1)))</f>
        <v/>
      </c>
      <c r="AJ472">
        <f>IF(Setup!$B$10="",0,IF(I472="",0,IF(ISNUMBER(I472),I472,1)))</f>
        <v/>
      </c>
      <c r="AK472">
        <f>IF(Setup!$B$11="",0,IF(J472="",0,IF(ISNUMBER(J472),J472,1)))</f>
        <v/>
      </c>
      <c r="AL472">
        <f>IF(Setup!$B$12="",0,IF(K472="",0,IF(ISNUMBER(K472),K472,1)))</f>
        <v/>
      </c>
      <c r="AM472">
        <f>IF(Setup!$B$13="",0,IF(L472="",0,IF(ISNUMBER(L472),L472,1)))</f>
        <v/>
      </c>
      <c r="AN472">
        <f>IF(Setup!$B$14="",0,IF(M472="",0,IF(ISNUMBER(M472),M472,1)))</f>
        <v/>
      </c>
      <c r="AO472">
        <f>IF(Setup!$B$15="",0,IF(N472="",0,IF(ISNUMBER(N472),N472,1)))</f>
        <v/>
      </c>
      <c r="AP472">
        <f>IF(Setup!$B$16="",0,IF(O472="",0,IF(ISNUMBER(O472),O472,1)))</f>
        <v/>
      </c>
      <c r="AQ472">
        <f>IF(Setup!$B$17="",0,IF(P472="",0,IF(ISNUMBER(P472),P472,1)))</f>
        <v/>
      </c>
      <c r="AR472">
        <f>IF(Setup!$B$18="",0,IF(Q472="",0,IF(ISNUMBER(Q472),Q472,1)))</f>
        <v/>
      </c>
      <c r="AS472">
        <f>IF(Setup!$B$19="",0,IF(R472="",0,IF(ISNUMBER(R472),R472,1)))</f>
        <v/>
      </c>
      <c r="AT472">
        <f>IF(Setup!$B$20="",0,IF(S472="",0,IF(ISNUMBER(S472),S472,1)))</f>
        <v/>
      </c>
    </row>
    <row r="473">
      <c r="A473" s="1" t="n"/>
      <c r="B473" s="24" t="n"/>
      <c r="C473" s="25" t="n"/>
      <c r="D473" s="25" t="n"/>
      <c r="E473" s="26" t="n"/>
      <c r="F473" s="27" t="n"/>
      <c r="G473" s="17" t="n"/>
      <c r="H473" s="28" t="n"/>
      <c r="I473" s="28" t="n"/>
      <c r="J473" s="28" t="n"/>
      <c r="K473" s="28" t="n"/>
      <c r="L473" s="28" t="n"/>
      <c r="M473" s="28" t="n"/>
      <c r="N473" s="28" t="n"/>
      <c r="O473" s="28" t="n"/>
      <c r="P473" s="28" t="n"/>
      <c r="Q473" s="28" t="n"/>
      <c r="R473" s="28" t="n"/>
      <c r="S473" s="28" t="n"/>
      <c r="T473" s="29">
        <f>IF(N(E473)=0,"",E473*IF(F473="",1,IFERROR(INDEX(Setup!$E$9:$E$18,MATCH(F473,Setup!$D$9:$D$18,0)),0)))</f>
        <v/>
      </c>
      <c r="U473" s="30">
        <f>IF(T473="","",IF(V473=0,"Everyone",IF(COUNTIF(AI473:AT473,"&gt;0")=COUNTIF(Setup!$B$9:$B$20,"?*"),"Everyone",COUNTIF(AI473:AT473,"&gt;0")&amp;IF(COUNTIF(AI473:AT473,"&gt;0")=1," person"," people"))))</f>
        <v/>
      </c>
      <c r="V473" s="1">
        <f>SUM(AI473:AT473)</f>
        <v/>
      </c>
      <c r="W473">
        <f>IF(OR(T473="",Setup!$B$9=""),0,IF(V473=0,T473/COUNTIF(Setup!$B$9:$B$20,"?*"),T473*AI473/V473))</f>
        <v/>
      </c>
      <c r="X473">
        <f>IF(OR(T473="",Setup!$B$10=""),0,IF(V473=0,T473/COUNTIF(Setup!$B$9:$B$20,"?*"),T473*AJ473/V473))</f>
        <v/>
      </c>
      <c r="Y473">
        <f>IF(OR(T473="",Setup!$B$11=""),0,IF(V473=0,T473/COUNTIF(Setup!$B$9:$B$20,"?*"),T473*AK473/V473))</f>
        <v/>
      </c>
      <c r="Z473">
        <f>IF(OR(T473="",Setup!$B$12=""),0,IF(V473=0,T473/COUNTIF(Setup!$B$9:$B$20,"?*"),T473*AL473/V473))</f>
        <v/>
      </c>
      <c r="AA473">
        <f>IF(OR(T473="",Setup!$B$13=""),0,IF(V473=0,T473/COUNTIF(Setup!$B$9:$B$20,"?*"),T473*AM473/V473))</f>
        <v/>
      </c>
      <c r="AB473">
        <f>IF(OR(T473="",Setup!$B$14=""),0,IF(V473=0,T473/COUNTIF(Setup!$B$9:$B$20,"?*"),T473*AN473/V473))</f>
        <v/>
      </c>
      <c r="AC473">
        <f>IF(OR(T473="",Setup!$B$15=""),0,IF(V473=0,T473/COUNTIF(Setup!$B$9:$B$20,"?*"),T473*AO473/V473))</f>
        <v/>
      </c>
      <c r="AD473">
        <f>IF(OR(T473="",Setup!$B$16=""),0,IF(V473=0,T473/COUNTIF(Setup!$B$9:$B$20,"?*"),T473*AP473/V473))</f>
        <v/>
      </c>
      <c r="AE473">
        <f>IF(OR(T473="",Setup!$B$17=""),0,IF(V473=0,T473/COUNTIF(Setup!$B$9:$B$20,"?*"),T473*AQ473/V473))</f>
        <v/>
      </c>
      <c r="AF473">
        <f>IF(OR(T473="",Setup!$B$18=""),0,IF(V473=0,T473/COUNTIF(Setup!$B$9:$B$20,"?*"),T473*AR473/V473))</f>
        <v/>
      </c>
      <c r="AG473">
        <f>IF(OR(T473="",Setup!$B$19=""),0,IF(V473=0,T473/COUNTIF(Setup!$B$9:$B$20,"?*"),T473*AS473/V473))</f>
        <v/>
      </c>
      <c r="AH473">
        <f>IF(OR(T473="",Setup!$B$20=""),0,IF(V473=0,T473/COUNTIF(Setup!$B$9:$B$20,"?*"),T473*AT473/V473))</f>
        <v/>
      </c>
      <c r="AI473">
        <f>IF(Setup!$B$9="",0,IF(H473="",0,IF(ISNUMBER(H473),H473,1)))</f>
        <v/>
      </c>
      <c r="AJ473">
        <f>IF(Setup!$B$10="",0,IF(I473="",0,IF(ISNUMBER(I473),I473,1)))</f>
        <v/>
      </c>
      <c r="AK473">
        <f>IF(Setup!$B$11="",0,IF(J473="",0,IF(ISNUMBER(J473),J473,1)))</f>
        <v/>
      </c>
      <c r="AL473">
        <f>IF(Setup!$B$12="",0,IF(K473="",0,IF(ISNUMBER(K473),K473,1)))</f>
        <v/>
      </c>
      <c r="AM473">
        <f>IF(Setup!$B$13="",0,IF(L473="",0,IF(ISNUMBER(L473),L473,1)))</f>
        <v/>
      </c>
      <c r="AN473">
        <f>IF(Setup!$B$14="",0,IF(M473="",0,IF(ISNUMBER(M473),M473,1)))</f>
        <v/>
      </c>
      <c r="AO473">
        <f>IF(Setup!$B$15="",0,IF(N473="",0,IF(ISNUMBER(N473),N473,1)))</f>
        <v/>
      </c>
      <c r="AP473">
        <f>IF(Setup!$B$16="",0,IF(O473="",0,IF(ISNUMBER(O473),O473,1)))</f>
        <v/>
      </c>
      <c r="AQ473">
        <f>IF(Setup!$B$17="",0,IF(P473="",0,IF(ISNUMBER(P473),P473,1)))</f>
        <v/>
      </c>
      <c r="AR473">
        <f>IF(Setup!$B$18="",0,IF(Q473="",0,IF(ISNUMBER(Q473),Q473,1)))</f>
        <v/>
      </c>
      <c r="AS473">
        <f>IF(Setup!$B$19="",0,IF(R473="",0,IF(ISNUMBER(R473),R473,1)))</f>
        <v/>
      </c>
      <c r="AT473">
        <f>IF(Setup!$B$20="",0,IF(S473="",0,IF(ISNUMBER(S473),S473,1)))</f>
        <v/>
      </c>
    </row>
    <row r="474">
      <c r="A474" s="1" t="n"/>
      <c r="B474" s="24" t="n"/>
      <c r="C474" s="25" t="n"/>
      <c r="D474" s="25" t="n"/>
      <c r="E474" s="26" t="n"/>
      <c r="F474" s="27" t="n"/>
      <c r="G474" s="17" t="n"/>
      <c r="H474" s="28" t="n"/>
      <c r="I474" s="28" t="n"/>
      <c r="J474" s="28" t="n"/>
      <c r="K474" s="28" t="n"/>
      <c r="L474" s="28" t="n"/>
      <c r="M474" s="28" t="n"/>
      <c r="N474" s="28" t="n"/>
      <c r="O474" s="28" t="n"/>
      <c r="P474" s="28" t="n"/>
      <c r="Q474" s="28" t="n"/>
      <c r="R474" s="28" t="n"/>
      <c r="S474" s="28" t="n"/>
      <c r="T474" s="29">
        <f>IF(N(E474)=0,"",E474*IF(F474="",1,IFERROR(INDEX(Setup!$E$9:$E$18,MATCH(F474,Setup!$D$9:$D$18,0)),0)))</f>
        <v/>
      </c>
      <c r="U474" s="30">
        <f>IF(T474="","",IF(V474=0,"Everyone",IF(COUNTIF(AI474:AT474,"&gt;0")=COUNTIF(Setup!$B$9:$B$20,"?*"),"Everyone",COUNTIF(AI474:AT474,"&gt;0")&amp;IF(COUNTIF(AI474:AT474,"&gt;0")=1," person"," people"))))</f>
        <v/>
      </c>
      <c r="V474" s="1">
        <f>SUM(AI474:AT474)</f>
        <v/>
      </c>
      <c r="W474">
        <f>IF(OR(T474="",Setup!$B$9=""),0,IF(V474=0,T474/COUNTIF(Setup!$B$9:$B$20,"?*"),T474*AI474/V474))</f>
        <v/>
      </c>
      <c r="X474">
        <f>IF(OR(T474="",Setup!$B$10=""),0,IF(V474=0,T474/COUNTIF(Setup!$B$9:$B$20,"?*"),T474*AJ474/V474))</f>
        <v/>
      </c>
      <c r="Y474">
        <f>IF(OR(T474="",Setup!$B$11=""),0,IF(V474=0,T474/COUNTIF(Setup!$B$9:$B$20,"?*"),T474*AK474/V474))</f>
        <v/>
      </c>
      <c r="Z474">
        <f>IF(OR(T474="",Setup!$B$12=""),0,IF(V474=0,T474/COUNTIF(Setup!$B$9:$B$20,"?*"),T474*AL474/V474))</f>
        <v/>
      </c>
      <c r="AA474">
        <f>IF(OR(T474="",Setup!$B$13=""),0,IF(V474=0,T474/COUNTIF(Setup!$B$9:$B$20,"?*"),T474*AM474/V474))</f>
        <v/>
      </c>
      <c r="AB474">
        <f>IF(OR(T474="",Setup!$B$14=""),0,IF(V474=0,T474/COUNTIF(Setup!$B$9:$B$20,"?*"),T474*AN474/V474))</f>
        <v/>
      </c>
      <c r="AC474">
        <f>IF(OR(T474="",Setup!$B$15=""),0,IF(V474=0,T474/COUNTIF(Setup!$B$9:$B$20,"?*"),T474*AO474/V474))</f>
        <v/>
      </c>
      <c r="AD474">
        <f>IF(OR(T474="",Setup!$B$16=""),0,IF(V474=0,T474/COUNTIF(Setup!$B$9:$B$20,"?*"),T474*AP474/V474))</f>
        <v/>
      </c>
      <c r="AE474">
        <f>IF(OR(T474="",Setup!$B$17=""),0,IF(V474=0,T474/COUNTIF(Setup!$B$9:$B$20,"?*"),T474*AQ474/V474))</f>
        <v/>
      </c>
      <c r="AF474">
        <f>IF(OR(T474="",Setup!$B$18=""),0,IF(V474=0,T474/COUNTIF(Setup!$B$9:$B$20,"?*"),T474*AR474/V474))</f>
        <v/>
      </c>
      <c r="AG474">
        <f>IF(OR(T474="",Setup!$B$19=""),0,IF(V474=0,T474/COUNTIF(Setup!$B$9:$B$20,"?*"),T474*AS474/V474))</f>
        <v/>
      </c>
      <c r="AH474">
        <f>IF(OR(T474="",Setup!$B$20=""),0,IF(V474=0,T474/COUNTIF(Setup!$B$9:$B$20,"?*"),T474*AT474/V474))</f>
        <v/>
      </c>
      <c r="AI474">
        <f>IF(Setup!$B$9="",0,IF(H474="",0,IF(ISNUMBER(H474),H474,1)))</f>
        <v/>
      </c>
      <c r="AJ474">
        <f>IF(Setup!$B$10="",0,IF(I474="",0,IF(ISNUMBER(I474),I474,1)))</f>
        <v/>
      </c>
      <c r="AK474">
        <f>IF(Setup!$B$11="",0,IF(J474="",0,IF(ISNUMBER(J474),J474,1)))</f>
        <v/>
      </c>
      <c r="AL474">
        <f>IF(Setup!$B$12="",0,IF(K474="",0,IF(ISNUMBER(K474),K474,1)))</f>
        <v/>
      </c>
      <c r="AM474">
        <f>IF(Setup!$B$13="",0,IF(L474="",0,IF(ISNUMBER(L474),L474,1)))</f>
        <v/>
      </c>
      <c r="AN474">
        <f>IF(Setup!$B$14="",0,IF(M474="",0,IF(ISNUMBER(M474),M474,1)))</f>
        <v/>
      </c>
      <c r="AO474">
        <f>IF(Setup!$B$15="",0,IF(N474="",0,IF(ISNUMBER(N474),N474,1)))</f>
        <v/>
      </c>
      <c r="AP474">
        <f>IF(Setup!$B$16="",0,IF(O474="",0,IF(ISNUMBER(O474),O474,1)))</f>
        <v/>
      </c>
      <c r="AQ474">
        <f>IF(Setup!$B$17="",0,IF(P474="",0,IF(ISNUMBER(P474),P474,1)))</f>
        <v/>
      </c>
      <c r="AR474">
        <f>IF(Setup!$B$18="",0,IF(Q474="",0,IF(ISNUMBER(Q474),Q474,1)))</f>
        <v/>
      </c>
      <c r="AS474">
        <f>IF(Setup!$B$19="",0,IF(R474="",0,IF(ISNUMBER(R474),R474,1)))</f>
        <v/>
      </c>
      <c r="AT474">
        <f>IF(Setup!$B$20="",0,IF(S474="",0,IF(ISNUMBER(S474),S474,1)))</f>
        <v/>
      </c>
    </row>
    <row r="475">
      <c r="A475" s="1" t="n"/>
      <c r="B475" s="24" t="n"/>
      <c r="C475" s="25" t="n"/>
      <c r="D475" s="25" t="n"/>
      <c r="E475" s="26" t="n"/>
      <c r="F475" s="27" t="n"/>
      <c r="G475" s="17" t="n"/>
      <c r="H475" s="28" t="n"/>
      <c r="I475" s="28" t="n"/>
      <c r="J475" s="28" t="n"/>
      <c r="K475" s="28" t="n"/>
      <c r="L475" s="28" t="n"/>
      <c r="M475" s="28" t="n"/>
      <c r="N475" s="28" t="n"/>
      <c r="O475" s="28" t="n"/>
      <c r="P475" s="28" t="n"/>
      <c r="Q475" s="28" t="n"/>
      <c r="R475" s="28" t="n"/>
      <c r="S475" s="28" t="n"/>
      <c r="T475" s="29">
        <f>IF(N(E475)=0,"",E475*IF(F475="",1,IFERROR(INDEX(Setup!$E$9:$E$18,MATCH(F475,Setup!$D$9:$D$18,0)),0)))</f>
        <v/>
      </c>
      <c r="U475" s="30">
        <f>IF(T475="","",IF(V475=0,"Everyone",IF(COUNTIF(AI475:AT475,"&gt;0")=COUNTIF(Setup!$B$9:$B$20,"?*"),"Everyone",COUNTIF(AI475:AT475,"&gt;0")&amp;IF(COUNTIF(AI475:AT475,"&gt;0")=1," person"," people"))))</f>
        <v/>
      </c>
      <c r="V475" s="1">
        <f>SUM(AI475:AT475)</f>
        <v/>
      </c>
      <c r="W475">
        <f>IF(OR(T475="",Setup!$B$9=""),0,IF(V475=0,T475/COUNTIF(Setup!$B$9:$B$20,"?*"),T475*AI475/V475))</f>
        <v/>
      </c>
      <c r="X475">
        <f>IF(OR(T475="",Setup!$B$10=""),0,IF(V475=0,T475/COUNTIF(Setup!$B$9:$B$20,"?*"),T475*AJ475/V475))</f>
        <v/>
      </c>
      <c r="Y475">
        <f>IF(OR(T475="",Setup!$B$11=""),0,IF(V475=0,T475/COUNTIF(Setup!$B$9:$B$20,"?*"),T475*AK475/V475))</f>
        <v/>
      </c>
      <c r="Z475">
        <f>IF(OR(T475="",Setup!$B$12=""),0,IF(V475=0,T475/COUNTIF(Setup!$B$9:$B$20,"?*"),T475*AL475/V475))</f>
        <v/>
      </c>
      <c r="AA475">
        <f>IF(OR(T475="",Setup!$B$13=""),0,IF(V475=0,T475/COUNTIF(Setup!$B$9:$B$20,"?*"),T475*AM475/V475))</f>
        <v/>
      </c>
      <c r="AB475">
        <f>IF(OR(T475="",Setup!$B$14=""),0,IF(V475=0,T475/COUNTIF(Setup!$B$9:$B$20,"?*"),T475*AN475/V475))</f>
        <v/>
      </c>
      <c r="AC475">
        <f>IF(OR(T475="",Setup!$B$15=""),0,IF(V475=0,T475/COUNTIF(Setup!$B$9:$B$20,"?*"),T475*AO475/V475))</f>
        <v/>
      </c>
      <c r="AD475">
        <f>IF(OR(T475="",Setup!$B$16=""),0,IF(V475=0,T475/COUNTIF(Setup!$B$9:$B$20,"?*"),T475*AP475/V475))</f>
        <v/>
      </c>
      <c r="AE475">
        <f>IF(OR(T475="",Setup!$B$17=""),0,IF(V475=0,T475/COUNTIF(Setup!$B$9:$B$20,"?*"),T475*AQ475/V475))</f>
        <v/>
      </c>
      <c r="AF475">
        <f>IF(OR(T475="",Setup!$B$18=""),0,IF(V475=0,T475/COUNTIF(Setup!$B$9:$B$20,"?*"),T475*AR475/V475))</f>
        <v/>
      </c>
      <c r="AG475">
        <f>IF(OR(T475="",Setup!$B$19=""),0,IF(V475=0,T475/COUNTIF(Setup!$B$9:$B$20,"?*"),T475*AS475/V475))</f>
        <v/>
      </c>
      <c r="AH475">
        <f>IF(OR(T475="",Setup!$B$20=""),0,IF(V475=0,T475/COUNTIF(Setup!$B$9:$B$20,"?*"),T475*AT475/V475))</f>
        <v/>
      </c>
      <c r="AI475">
        <f>IF(Setup!$B$9="",0,IF(H475="",0,IF(ISNUMBER(H475),H475,1)))</f>
        <v/>
      </c>
      <c r="AJ475">
        <f>IF(Setup!$B$10="",0,IF(I475="",0,IF(ISNUMBER(I475),I475,1)))</f>
        <v/>
      </c>
      <c r="AK475">
        <f>IF(Setup!$B$11="",0,IF(J475="",0,IF(ISNUMBER(J475),J475,1)))</f>
        <v/>
      </c>
      <c r="AL475">
        <f>IF(Setup!$B$12="",0,IF(K475="",0,IF(ISNUMBER(K475),K475,1)))</f>
        <v/>
      </c>
      <c r="AM475">
        <f>IF(Setup!$B$13="",0,IF(L475="",0,IF(ISNUMBER(L475),L475,1)))</f>
        <v/>
      </c>
      <c r="AN475">
        <f>IF(Setup!$B$14="",0,IF(M475="",0,IF(ISNUMBER(M475),M475,1)))</f>
        <v/>
      </c>
      <c r="AO475">
        <f>IF(Setup!$B$15="",0,IF(N475="",0,IF(ISNUMBER(N475),N475,1)))</f>
        <v/>
      </c>
      <c r="AP475">
        <f>IF(Setup!$B$16="",0,IF(O475="",0,IF(ISNUMBER(O475),O475,1)))</f>
        <v/>
      </c>
      <c r="AQ475">
        <f>IF(Setup!$B$17="",0,IF(P475="",0,IF(ISNUMBER(P475),P475,1)))</f>
        <v/>
      </c>
      <c r="AR475">
        <f>IF(Setup!$B$18="",0,IF(Q475="",0,IF(ISNUMBER(Q475),Q475,1)))</f>
        <v/>
      </c>
      <c r="AS475">
        <f>IF(Setup!$B$19="",0,IF(R475="",0,IF(ISNUMBER(R475),R475,1)))</f>
        <v/>
      </c>
      <c r="AT475">
        <f>IF(Setup!$B$20="",0,IF(S475="",0,IF(ISNUMBER(S475),S475,1)))</f>
        <v/>
      </c>
    </row>
    <row r="476">
      <c r="A476" s="1" t="n"/>
      <c r="B476" s="24" t="n"/>
      <c r="C476" s="25" t="n"/>
      <c r="D476" s="25" t="n"/>
      <c r="E476" s="26" t="n"/>
      <c r="F476" s="27" t="n"/>
      <c r="G476" s="17" t="n"/>
      <c r="H476" s="28" t="n"/>
      <c r="I476" s="28" t="n"/>
      <c r="J476" s="28" t="n"/>
      <c r="K476" s="28" t="n"/>
      <c r="L476" s="28" t="n"/>
      <c r="M476" s="28" t="n"/>
      <c r="N476" s="28" t="n"/>
      <c r="O476" s="28" t="n"/>
      <c r="P476" s="28" t="n"/>
      <c r="Q476" s="28" t="n"/>
      <c r="R476" s="28" t="n"/>
      <c r="S476" s="28" t="n"/>
      <c r="T476" s="29">
        <f>IF(N(E476)=0,"",E476*IF(F476="",1,IFERROR(INDEX(Setup!$E$9:$E$18,MATCH(F476,Setup!$D$9:$D$18,0)),0)))</f>
        <v/>
      </c>
      <c r="U476" s="30">
        <f>IF(T476="","",IF(V476=0,"Everyone",IF(COUNTIF(AI476:AT476,"&gt;0")=COUNTIF(Setup!$B$9:$B$20,"?*"),"Everyone",COUNTIF(AI476:AT476,"&gt;0")&amp;IF(COUNTIF(AI476:AT476,"&gt;0")=1," person"," people"))))</f>
        <v/>
      </c>
      <c r="V476" s="1">
        <f>SUM(AI476:AT476)</f>
        <v/>
      </c>
      <c r="W476">
        <f>IF(OR(T476="",Setup!$B$9=""),0,IF(V476=0,T476/COUNTIF(Setup!$B$9:$B$20,"?*"),T476*AI476/V476))</f>
        <v/>
      </c>
      <c r="X476">
        <f>IF(OR(T476="",Setup!$B$10=""),0,IF(V476=0,T476/COUNTIF(Setup!$B$9:$B$20,"?*"),T476*AJ476/V476))</f>
        <v/>
      </c>
      <c r="Y476">
        <f>IF(OR(T476="",Setup!$B$11=""),0,IF(V476=0,T476/COUNTIF(Setup!$B$9:$B$20,"?*"),T476*AK476/V476))</f>
        <v/>
      </c>
      <c r="Z476">
        <f>IF(OR(T476="",Setup!$B$12=""),0,IF(V476=0,T476/COUNTIF(Setup!$B$9:$B$20,"?*"),T476*AL476/V476))</f>
        <v/>
      </c>
      <c r="AA476">
        <f>IF(OR(T476="",Setup!$B$13=""),0,IF(V476=0,T476/COUNTIF(Setup!$B$9:$B$20,"?*"),T476*AM476/V476))</f>
        <v/>
      </c>
      <c r="AB476">
        <f>IF(OR(T476="",Setup!$B$14=""),0,IF(V476=0,T476/COUNTIF(Setup!$B$9:$B$20,"?*"),T476*AN476/V476))</f>
        <v/>
      </c>
      <c r="AC476">
        <f>IF(OR(T476="",Setup!$B$15=""),0,IF(V476=0,T476/COUNTIF(Setup!$B$9:$B$20,"?*"),T476*AO476/V476))</f>
        <v/>
      </c>
      <c r="AD476">
        <f>IF(OR(T476="",Setup!$B$16=""),0,IF(V476=0,T476/COUNTIF(Setup!$B$9:$B$20,"?*"),T476*AP476/V476))</f>
        <v/>
      </c>
      <c r="AE476">
        <f>IF(OR(T476="",Setup!$B$17=""),0,IF(V476=0,T476/COUNTIF(Setup!$B$9:$B$20,"?*"),T476*AQ476/V476))</f>
        <v/>
      </c>
      <c r="AF476">
        <f>IF(OR(T476="",Setup!$B$18=""),0,IF(V476=0,T476/COUNTIF(Setup!$B$9:$B$20,"?*"),T476*AR476/V476))</f>
        <v/>
      </c>
      <c r="AG476">
        <f>IF(OR(T476="",Setup!$B$19=""),0,IF(V476=0,T476/COUNTIF(Setup!$B$9:$B$20,"?*"),T476*AS476/V476))</f>
        <v/>
      </c>
      <c r="AH476">
        <f>IF(OR(T476="",Setup!$B$20=""),0,IF(V476=0,T476/COUNTIF(Setup!$B$9:$B$20,"?*"),T476*AT476/V476))</f>
        <v/>
      </c>
      <c r="AI476">
        <f>IF(Setup!$B$9="",0,IF(H476="",0,IF(ISNUMBER(H476),H476,1)))</f>
        <v/>
      </c>
      <c r="AJ476">
        <f>IF(Setup!$B$10="",0,IF(I476="",0,IF(ISNUMBER(I476),I476,1)))</f>
        <v/>
      </c>
      <c r="AK476">
        <f>IF(Setup!$B$11="",0,IF(J476="",0,IF(ISNUMBER(J476),J476,1)))</f>
        <v/>
      </c>
      <c r="AL476">
        <f>IF(Setup!$B$12="",0,IF(K476="",0,IF(ISNUMBER(K476),K476,1)))</f>
        <v/>
      </c>
      <c r="AM476">
        <f>IF(Setup!$B$13="",0,IF(L476="",0,IF(ISNUMBER(L476),L476,1)))</f>
        <v/>
      </c>
      <c r="AN476">
        <f>IF(Setup!$B$14="",0,IF(M476="",0,IF(ISNUMBER(M476),M476,1)))</f>
        <v/>
      </c>
      <c r="AO476">
        <f>IF(Setup!$B$15="",0,IF(N476="",0,IF(ISNUMBER(N476),N476,1)))</f>
        <v/>
      </c>
      <c r="AP476">
        <f>IF(Setup!$B$16="",0,IF(O476="",0,IF(ISNUMBER(O476),O476,1)))</f>
        <v/>
      </c>
      <c r="AQ476">
        <f>IF(Setup!$B$17="",0,IF(P476="",0,IF(ISNUMBER(P476),P476,1)))</f>
        <v/>
      </c>
      <c r="AR476">
        <f>IF(Setup!$B$18="",0,IF(Q476="",0,IF(ISNUMBER(Q476),Q476,1)))</f>
        <v/>
      </c>
      <c r="AS476">
        <f>IF(Setup!$B$19="",0,IF(R476="",0,IF(ISNUMBER(R476),R476,1)))</f>
        <v/>
      </c>
      <c r="AT476">
        <f>IF(Setup!$B$20="",0,IF(S476="",0,IF(ISNUMBER(S476),S476,1)))</f>
        <v/>
      </c>
    </row>
    <row r="477">
      <c r="A477" s="1" t="n"/>
      <c r="B477" s="24" t="n"/>
      <c r="C477" s="25" t="n"/>
      <c r="D477" s="25" t="n"/>
      <c r="E477" s="26" t="n"/>
      <c r="F477" s="27" t="n"/>
      <c r="G477" s="17" t="n"/>
      <c r="H477" s="28" t="n"/>
      <c r="I477" s="28" t="n"/>
      <c r="J477" s="28" t="n"/>
      <c r="K477" s="28" t="n"/>
      <c r="L477" s="28" t="n"/>
      <c r="M477" s="28" t="n"/>
      <c r="N477" s="28" t="n"/>
      <c r="O477" s="28" t="n"/>
      <c r="P477" s="28" t="n"/>
      <c r="Q477" s="28" t="n"/>
      <c r="R477" s="28" t="n"/>
      <c r="S477" s="28" t="n"/>
      <c r="T477" s="29">
        <f>IF(N(E477)=0,"",E477*IF(F477="",1,IFERROR(INDEX(Setup!$E$9:$E$18,MATCH(F477,Setup!$D$9:$D$18,0)),0)))</f>
        <v/>
      </c>
      <c r="U477" s="30">
        <f>IF(T477="","",IF(V477=0,"Everyone",IF(COUNTIF(AI477:AT477,"&gt;0")=COUNTIF(Setup!$B$9:$B$20,"?*"),"Everyone",COUNTIF(AI477:AT477,"&gt;0")&amp;IF(COUNTIF(AI477:AT477,"&gt;0")=1," person"," people"))))</f>
        <v/>
      </c>
      <c r="V477" s="1">
        <f>SUM(AI477:AT477)</f>
        <v/>
      </c>
      <c r="W477">
        <f>IF(OR(T477="",Setup!$B$9=""),0,IF(V477=0,T477/COUNTIF(Setup!$B$9:$B$20,"?*"),T477*AI477/V477))</f>
        <v/>
      </c>
      <c r="X477">
        <f>IF(OR(T477="",Setup!$B$10=""),0,IF(V477=0,T477/COUNTIF(Setup!$B$9:$B$20,"?*"),T477*AJ477/V477))</f>
        <v/>
      </c>
      <c r="Y477">
        <f>IF(OR(T477="",Setup!$B$11=""),0,IF(V477=0,T477/COUNTIF(Setup!$B$9:$B$20,"?*"),T477*AK477/V477))</f>
        <v/>
      </c>
      <c r="Z477">
        <f>IF(OR(T477="",Setup!$B$12=""),0,IF(V477=0,T477/COUNTIF(Setup!$B$9:$B$20,"?*"),T477*AL477/V477))</f>
        <v/>
      </c>
      <c r="AA477">
        <f>IF(OR(T477="",Setup!$B$13=""),0,IF(V477=0,T477/COUNTIF(Setup!$B$9:$B$20,"?*"),T477*AM477/V477))</f>
        <v/>
      </c>
      <c r="AB477">
        <f>IF(OR(T477="",Setup!$B$14=""),0,IF(V477=0,T477/COUNTIF(Setup!$B$9:$B$20,"?*"),T477*AN477/V477))</f>
        <v/>
      </c>
      <c r="AC477">
        <f>IF(OR(T477="",Setup!$B$15=""),0,IF(V477=0,T477/COUNTIF(Setup!$B$9:$B$20,"?*"),T477*AO477/V477))</f>
        <v/>
      </c>
      <c r="AD477">
        <f>IF(OR(T477="",Setup!$B$16=""),0,IF(V477=0,T477/COUNTIF(Setup!$B$9:$B$20,"?*"),T477*AP477/V477))</f>
        <v/>
      </c>
      <c r="AE477">
        <f>IF(OR(T477="",Setup!$B$17=""),0,IF(V477=0,T477/COUNTIF(Setup!$B$9:$B$20,"?*"),T477*AQ477/V477))</f>
        <v/>
      </c>
      <c r="AF477">
        <f>IF(OR(T477="",Setup!$B$18=""),0,IF(V477=0,T477/COUNTIF(Setup!$B$9:$B$20,"?*"),T477*AR477/V477))</f>
        <v/>
      </c>
      <c r="AG477">
        <f>IF(OR(T477="",Setup!$B$19=""),0,IF(V477=0,T477/COUNTIF(Setup!$B$9:$B$20,"?*"),T477*AS477/V477))</f>
        <v/>
      </c>
      <c r="AH477">
        <f>IF(OR(T477="",Setup!$B$20=""),0,IF(V477=0,T477/COUNTIF(Setup!$B$9:$B$20,"?*"),T477*AT477/V477))</f>
        <v/>
      </c>
      <c r="AI477">
        <f>IF(Setup!$B$9="",0,IF(H477="",0,IF(ISNUMBER(H477),H477,1)))</f>
        <v/>
      </c>
      <c r="AJ477">
        <f>IF(Setup!$B$10="",0,IF(I477="",0,IF(ISNUMBER(I477),I477,1)))</f>
        <v/>
      </c>
      <c r="AK477">
        <f>IF(Setup!$B$11="",0,IF(J477="",0,IF(ISNUMBER(J477),J477,1)))</f>
        <v/>
      </c>
      <c r="AL477">
        <f>IF(Setup!$B$12="",0,IF(K477="",0,IF(ISNUMBER(K477),K477,1)))</f>
        <v/>
      </c>
      <c r="AM477">
        <f>IF(Setup!$B$13="",0,IF(L477="",0,IF(ISNUMBER(L477),L477,1)))</f>
        <v/>
      </c>
      <c r="AN477">
        <f>IF(Setup!$B$14="",0,IF(M477="",0,IF(ISNUMBER(M477),M477,1)))</f>
        <v/>
      </c>
      <c r="AO477">
        <f>IF(Setup!$B$15="",0,IF(N477="",0,IF(ISNUMBER(N477),N477,1)))</f>
        <v/>
      </c>
      <c r="AP477">
        <f>IF(Setup!$B$16="",0,IF(O477="",0,IF(ISNUMBER(O477),O477,1)))</f>
        <v/>
      </c>
      <c r="AQ477">
        <f>IF(Setup!$B$17="",0,IF(P477="",0,IF(ISNUMBER(P477),P477,1)))</f>
        <v/>
      </c>
      <c r="AR477">
        <f>IF(Setup!$B$18="",0,IF(Q477="",0,IF(ISNUMBER(Q477),Q477,1)))</f>
        <v/>
      </c>
      <c r="AS477">
        <f>IF(Setup!$B$19="",0,IF(R477="",0,IF(ISNUMBER(R477),R477,1)))</f>
        <v/>
      </c>
      <c r="AT477">
        <f>IF(Setup!$B$20="",0,IF(S477="",0,IF(ISNUMBER(S477),S477,1)))</f>
        <v/>
      </c>
    </row>
    <row r="478">
      <c r="A478" s="1" t="n"/>
      <c r="B478" s="24" t="n"/>
      <c r="C478" s="25" t="n"/>
      <c r="D478" s="25" t="n"/>
      <c r="E478" s="26" t="n"/>
      <c r="F478" s="27" t="n"/>
      <c r="G478" s="17" t="n"/>
      <c r="H478" s="28" t="n"/>
      <c r="I478" s="28" t="n"/>
      <c r="J478" s="28" t="n"/>
      <c r="K478" s="28" t="n"/>
      <c r="L478" s="28" t="n"/>
      <c r="M478" s="28" t="n"/>
      <c r="N478" s="28" t="n"/>
      <c r="O478" s="28" t="n"/>
      <c r="P478" s="28" t="n"/>
      <c r="Q478" s="28" t="n"/>
      <c r="R478" s="28" t="n"/>
      <c r="S478" s="28" t="n"/>
      <c r="T478" s="29">
        <f>IF(N(E478)=0,"",E478*IF(F478="",1,IFERROR(INDEX(Setup!$E$9:$E$18,MATCH(F478,Setup!$D$9:$D$18,0)),0)))</f>
        <v/>
      </c>
      <c r="U478" s="30">
        <f>IF(T478="","",IF(V478=0,"Everyone",IF(COUNTIF(AI478:AT478,"&gt;0")=COUNTIF(Setup!$B$9:$B$20,"?*"),"Everyone",COUNTIF(AI478:AT478,"&gt;0")&amp;IF(COUNTIF(AI478:AT478,"&gt;0")=1," person"," people"))))</f>
        <v/>
      </c>
      <c r="V478" s="1">
        <f>SUM(AI478:AT478)</f>
        <v/>
      </c>
      <c r="W478">
        <f>IF(OR(T478="",Setup!$B$9=""),0,IF(V478=0,T478/COUNTIF(Setup!$B$9:$B$20,"?*"),T478*AI478/V478))</f>
        <v/>
      </c>
      <c r="X478">
        <f>IF(OR(T478="",Setup!$B$10=""),0,IF(V478=0,T478/COUNTIF(Setup!$B$9:$B$20,"?*"),T478*AJ478/V478))</f>
        <v/>
      </c>
      <c r="Y478">
        <f>IF(OR(T478="",Setup!$B$11=""),0,IF(V478=0,T478/COUNTIF(Setup!$B$9:$B$20,"?*"),T478*AK478/V478))</f>
        <v/>
      </c>
      <c r="Z478">
        <f>IF(OR(T478="",Setup!$B$12=""),0,IF(V478=0,T478/COUNTIF(Setup!$B$9:$B$20,"?*"),T478*AL478/V478))</f>
        <v/>
      </c>
      <c r="AA478">
        <f>IF(OR(T478="",Setup!$B$13=""),0,IF(V478=0,T478/COUNTIF(Setup!$B$9:$B$20,"?*"),T478*AM478/V478))</f>
        <v/>
      </c>
      <c r="AB478">
        <f>IF(OR(T478="",Setup!$B$14=""),0,IF(V478=0,T478/COUNTIF(Setup!$B$9:$B$20,"?*"),T478*AN478/V478))</f>
        <v/>
      </c>
      <c r="AC478">
        <f>IF(OR(T478="",Setup!$B$15=""),0,IF(V478=0,T478/COUNTIF(Setup!$B$9:$B$20,"?*"),T478*AO478/V478))</f>
        <v/>
      </c>
      <c r="AD478">
        <f>IF(OR(T478="",Setup!$B$16=""),0,IF(V478=0,T478/COUNTIF(Setup!$B$9:$B$20,"?*"),T478*AP478/V478))</f>
        <v/>
      </c>
      <c r="AE478">
        <f>IF(OR(T478="",Setup!$B$17=""),0,IF(V478=0,T478/COUNTIF(Setup!$B$9:$B$20,"?*"),T478*AQ478/V478))</f>
        <v/>
      </c>
      <c r="AF478">
        <f>IF(OR(T478="",Setup!$B$18=""),0,IF(V478=0,T478/COUNTIF(Setup!$B$9:$B$20,"?*"),T478*AR478/V478))</f>
        <v/>
      </c>
      <c r="AG478">
        <f>IF(OR(T478="",Setup!$B$19=""),0,IF(V478=0,T478/COUNTIF(Setup!$B$9:$B$20,"?*"),T478*AS478/V478))</f>
        <v/>
      </c>
      <c r="AH478">
        <f>IF(OR(T478="",Setup!$B$20=""),0,IF(V478=0,T478/COUNTIF(Setup!$B$9:$B$20,"?*"),T478*AT478/V478))</f>
        <v/>
      </c>
      <c r="AI478">
        <f>IF(Setup!$B$9="",0,IF(H478="",0,IF(ISNUMBER(H478),H478,1)))</f>
        <v/>
      </c>
      <c r="AJ478">
        <f>IF(Setup!$B$10="",0,IF(I478="",0,IF(ISNUMBER(I478),I478,1)))</f>
        <v/>
      </c>
      <c r="AK478">
        <f>IF(Setup!$B$11="",0,IF(J478="",0,IF(ISNUMBER(J478),J478,1)))</f>
        <v/>
      </c>
      <c r="AL478">
        <f>IF(Setup!$B$12="",0,IF(K478="",0,IF(ISNUMBER(K478),K478,1)))</f>
        <v/>
      </c>
      <c r="AM478">
        <f>IF(Setup!$B$13="",0,IF(L478="",0,IF(ISNUMBER(L478),L478,1)))</f>
        <v/>
      </c>
      <c r="AN478">
        <f>IF(Setup!$B$14="",0,IF(M478="",0,IF(ISNUMBER(M478),M478,1)))</f>
        <v/>
      </c>
      <c r="AO478">
        <f>IF(Setup!$B$15="",0,IF(N478="",0,IF(ISNUMBER(N478),N478,1)))</f>
        <v/>
      </c>
      <c r="AP478">
        <f>IF(Setup!$B$16="",0,IF(O478="",0,IF(ISNUMBER(O478),O478,1)))</f>
        <v/>
      </c>
      <c r="AQ478">
        <f>IF(Setup!$B$17="",0,IF(P478="",0,IF(ISNUMBER(P478),P478,1)))</f>
        <v/>
      </c>
      <c r="AR478">
        <f>IF(Setup!$B$18="",0,IF(Q478="",0,IF(ISNUMBER(Q478),Q478,1)))</f>
        <v/>
      </c>
      <c r="AS478">
        <f>IF(Setup!$B$19="",0,IF(R478="",0,IF(ISNUMBER(R478),R478,1)))</f>
        <v/>
      </c>
      <c r="AT478">
        <f>IF(Setup!$B$20="",0,IF(S478="",0,IF(ISNUMBER(S478),S478,1)))</f>
        <v/>
      </c>
    </row>
    <row r="479">
      <c r="A479" s="1" t="n"/>
      <c r="B479" s="24" t="n"/>
      <c r="C479" s="25" t="n"/>
      <c r="D479" s="25" t="n"/>
      <c r="E479" s="26" t="n"/>
      <c r="F479" s="27" t="n"/>
      <c r="G479" s="17" t="n"/>
      <c r="H479" s="28" t="n"/>
      <c r="I479" s="28" t="n"/>
      <c r="J479" s="28" t="n"/>
      <c r="K479" s="28" t="n"/>
      <c r="L479" s="28" t="n"/>
      <c r="M479" s="28" t="n"/>
      <c r="N479" s="28" t="n"/>
      <c r="O479" s="28" t="n"/>
      <c r="P479" s="28" t="n"/>
      <c r="Q479" s="28" t="n"/>
      <c r="R479" s="28" t="n"/>
      <c r="S479" s="28" t="n"/>
      <c r="T479" s="29">
        <f>IF(N(E479)=0,"",E479*IF(F479="",1,IFERROR(INDEX(Setup!$E$9:$E$18,MATCH(F479,Setup!$D$9:$D$18,0)),0)))</f>
        <v/>
      </c>
      <c r="U479" s="30">
        <f>IF(T479="","",IF(V479=0,"Everyone",IF(COUNTIF(AI479:AT479,"&gt;0")=COUNTIF(Setup!$B$9:$B$20,"?*"),"Everyone",COUNTIF(AI479:AT479,"&gt;0")&amp;IF(COUNTIF(AI479:AT479,"&gt;0")=1," person"," people"))))</f>
        <v/>
      </c>
      <c r="V479" s="1">
        <f>SUM(AI479:AT479)</f>
        <v/>
      </c>
      <c r="W479">
        <f>IF(OR(T479="",Setup!$B$9=""),0,IF(V479=0,T479/COUNTIF(Setup!$B$9:$B$20,"?*"),T479*AI479/V479))</f>
        <v/>
      </c>
      <c r="X479">
        <f>IF(OR(T479="",Setup!$B$10=""),0,IF(V479=0,T479/COUNTIF(Setup!$B$9:$B$20,"?*"),T479*AJ479/V479))</f>
        <v/>
      </c>
      <c r="Y479">
        <f>IF(OR(T479="",Setup!$B$11=""),0,IF(V479=0,T479/COUNTIF(Setup!$B$9:$B$20,"?*"),T479*AK479/V479))</f>
        <v/>
      </c>
      <c r="Z479">
        <f>IF(OR(T479="",Setup!$B$12=""),0,IF(V479=0,T479/COUNTIF(Setup!$B$9:$B$20,"?*"),T479*AL479/V479))</f>
        <v/>
      </c>
      <c r="AA479">
        <f>IF(OR(T479="",Setup!$B$13=""),0,IF(V479=0,T479/COUNTIF(Setup!$B$9:$B$20,"?*"),T479*AM479/V479))</f>
        <v/>
      </c>
      <c r="AB479">
        <f>IF(OR(T479="",Setup!$B$14=""),0,IF(V479=0,T479/COUNTIF(Setup!$B$9:$B$20,"?*"),T479*AN479/V479))</f>
        <v/>
      </c>
      <c r="AC479">
        <f>IF(OR(T479="",Setup!$B$15=""),0,IF(V479=0,T479/COUNTIF(Setup!$B$9:$B$20,"?*"),T479*AO479/V479))</f>
        <v/>
      </c>
      <c r="AD479">
        <f>IF(OR(T479="",Setup!$B$16=""),0,IF(V479=0,T479/COUNTIF(Setup!$B$9:$B$20,"?*"),T479*AP479/V479))</f>
        <v/>
      </c>
      <c r="AE479">
        <f>IF(OR(T479="",Setup!$B$17=""),0,IF(V479=0,T479/COUNTIF(Setup!$B$9:$B$20,"?*"),T479*AQ479/V479))</f>
        <v/>
      </c>
      <c r="AF479">
        <f>IF(OR(T479="",Setup!$B$18=""),0,IF(V479=0,T479/COUNTIF(Setup!$B$9:$B$20,"?*"),T479*AR479/V479))</f>
        <v/>
      </c>
      <c r="AG479">
        <f>IF(OR(T479="",Setup!$B$19=""),0,IF(V479=0,T479/COUNTIF(Setup!$B$9:$B$20,"?*"),T479*AS479/V479))</f>
        <v/>
      </c>
      <c r="AH479">
        <f>IF(OR(T479="",Setup!$B$20=""),0,IF(V479=0,T479/COUNTIF(Setup!$B$9:$B$20,"?*"),T479*AT479/V479))</f>
        <v/>
      </c>
      <c r="AI479">
        <f>IF(Setup!$B$9="",0,IF(H479="",0,IF(ISNUMBER(H479),H479,1)))</f>
        <v/>
      </c>
      <c r="AJ479">
        <f>IF(Setup!$B$10="",0,IF(I479="",0,IF(ISNUMBER(I479),I479,1)))</f>
        <v/>
      </c>
      <c r="AK479">
        <f>IF(Setup!$B$11="",0,IF(J479="",0,IF(ISNUMBER(J479),J479,1)))</f>
        <v/>
      </c>
      <c r="AL479">
        <f>IF(Setup!$B$12="",0,IF(K479="",0,IF(ISNUMBER(K479),K479,1)))</f>
        <v/>
      </c>
      <c r="AM479">
        <f>IF(Setup!$B$13="",0,IF(L479="",0,IF(ISNUMBER(L479),L479,1)))</f>
        <v/>
      </c>
      <c r="AN479">
        <f>IF(Setup!$B$14="",0,IF(M479="",0,IF(ISNUMBER(M479),M479,1)))</f>
        <v/>
      </c>
      <c r="AO479">
        <f>IF(Setup!$B$15="",0,IF(N479="",0,IF(ISNUMBER(N479),N479,1)))</f>
        <v/>
      </c>
      <c r="AP479">
        <f>IF(Setup!$B$16="",0,IF(O479="",0,IF(ISNUMBER(O479),O479,1)))</f>
        <v/>
      </c>
      <c r="AQ479">
        <f>IF(Setup!$B$17="",0,IF(P479="",0,IF(ISNUMBER(P479),P479,1)))</f>
        <v/>
      </c>
      <c r="AR479">
        <f>IF(Setup!$B$18="",0,IF(Q479="",0,IF(ISNUMBER(Q479),Q479,1)))</f>
        <v/>
      </c>
      <c r="AS479">
        <f>IF(Setup!$B$19="",0,IF(R479="",0,IF(ISNUMBER(R479),R479,1)))</f>
        <v/>
      </c>
      <c r="AT479">
        <f>IF(Setup!$B$20="",0,IF(S479="",0,IF(ISNUMBER(S479),S479,1)))</f>
        <v/>
      </c>
    </row>
    <row r="480">
      <c r="A480" s="1" t="n"/>
      <c r="B480" s="24" t="n"/>
      <c r="C480" s="25" t="n"/>
      <c r="D480" s="25" t="n"/>
      <c r="E480" s="26" t="n"/>
      <c r="F480" s="27" t="n"/>
      <c r="G480" s="17" t="n"/>
      <c r="H480" s="28" t="n"/>
      <c r="I480" s="28" t="n"/>
      <c r="J480" s="28" t="n"/>
      <c r="K480" s="28" t="n"/>
      <c r="L480" s="28" t="n"/>
      <c r="M480" s="28" t="n"/>
      <c r="N480" s="28" t="n"/>
      <c r="O480" s="28" t="n"/>
      <c r="P480" s="28" t="n"/>
      <c r="Q480" s="28" t="n"/>
      <c r="R480" s="28" t="n"/>
      <c r="S480" s="28" t="n"/>
      <c r="T480" s="29">
        <f>IF(N(E480)=0,"",E480*IF(F480="",1,IFERROR(INDEX(Setup!$E$9:$E$18,MATCH(F480,Setup!$D$9:$D$18,0)),0)))</f>
        <v/>
      </c>
      <c r="U480" s="30">
        <f>IF(T480="","",IF(V480=0,"Everyone",IF(COUNTIF(AI480:AT480,"&gt;0")=COUNTIF(Setup!$B$9:$B$20,"?*"),"Everyone",COUNTIF(AI480:AT480,"&gt;0")&amp;IF(COUNTIF(AI480:AT480,"&gt;0")=1," person"," people"))))</f>
        <v/>
      </c>
      <c r="V480" s="1">
        <f>SUM(AI480:AT480)</f>
        <v/>
      </c>
      <c r="W480">
        <f>IF(OR(T480="",Setup!$B$9=""),0,IF(V480=0,T480/COUNTIF(Setup!$B$9:$B$20,"?*"),T480*AI480/V480))</f>
        <v/>
      </c>
      <c r="X480">
        <f>IF(OR(T480="",Setup!$B$10=""),0,IF(V480=0,T480/COUNTIF(Setup!$B$9:$B$20,"?*"),T480*AJ480/V480))</f>
        <v/>
      </c>
      <c r="Y480">
        <f>IF(OR(T480="",Setup!$B$11=""),0,IF(V480=0,T480/COUNTIF(Setup!$B$9:$B$20,"?*"),T480*AK480/V480))</f>
        <v/>
      </c>
      <c r="Z480">
        <f>IF(OR(T480="",Setup!$B$12=""),0,IF(V480=0,T480/COUNTIF(Setup!$B$9:$B$20,"?*"),T480*AL480/V480))</f>
        <v/>
      </c>
      <c r="AA480">
        <f>IF(OR(T480="",Setup!$B$13=""),0,IF(V480=0,T480/COUNTIF(Setup!$B$9:$B$20,"?*"),T480*AM480/V480))</f>
        <v/>
      </c>
      <c r="AB480">
        <f>IF(OR(T480="",Setup!$B$14=""),0,IF(V480=0,T480/COUNTIF(Setup!$B$9:$B$20,"?*"),T480*AN480/V480))</f>
        <v/>
      </c>
      <c r="AC480">
        <f>IF(OR(T480="",Setup!$B$15=""),0,IF(V480=0,T480/COUNTIF(Setup!$B$9:$B$20,"?*"),T480*AO480/V480))</f>
        <v/>
      </c>
      <c r="AD480">
        <f>IF(OR(T480="",Setup!$B$16=""),0,IF(V480=0,T480/COUNTIF(Setup!$B$9:$B$20,"?*"),T480*AP480/V480))</f>
        <v/>
      </c>
      <c r="AE480">
        <f>IF(OR(T480="",Setup!$B$17=""),0,IF(V480=0,T480/COUNTIF(Setup!$B$9:$B$20,"?*"),T480*AQ480/V480))</f>
        <v/>
      </c>
      <c r="AF480">
        <f>IF(OR(T480="",Setup!$B$18=""),0,IF(V480=0,T480/COUNTIF(Setup!$B$9:$B$20,"?*"),T480*AR480/V480))</f>
        <v/>
      </c>
      <c r="AG480">
        <f>IF(OR(T480="",Setup!$B$19=""),0,IF(V480=0,T480/COUNTIF(Setup!$B$9:$B$20,"?*"),T480*AS480/V480))</f>
        <v/>
      </c>
      <c r="AH480">
        <f>IF(OR(T480="",Setup!$B$20=""),0,IF(V480=0,T480/COUNTIF(Setup!$B$9:$B$20,"?*"),T480*AT480/V480))</f>
        <v/>
      </c>
      <c r="AI480">
        <f>IF(Setup!$B$9="",0,IF(H480="",0,IF(ISNUMBER(H480),H480,1)))</f>
        <v/>
      </c>
      <c r="AJ480">
        <f>IF(Setup!$B$10="",0,IF(I480="",0,IF(ISNUMBER(I480),I480,1)))</f>
        <v/>
      </c>
      <c r="AK480">
        <f>IF(Setup!$B$11="",0,IF(J480="",0,IF(ISNUMBER(J480),J480,1)))</f>
        <v/>
      </c>
      <c r="AL480">
        <f>IF(Setup!$B$12="",0,IF(K480="",0,IF(ISNUMBER(K480),K480,1)))</f>
        <v/>
      </c>
      <c r="AM480">
        <f>IF(Setup!$B$13="",0,IF(L480="",0,IF(ISNUMBER(L480),L480,1)))</f>
        <v/>
      </c>
      <c r="AN480">
        <f>IF(Setup!$B$14="",0,IF(M480="",0,IF(ISNUMBER(M480),M480,1)))</f>
        <v/>
      </c>
      <c r="AO480">
        <f>IF(Setup!$B$15="",0,IF(N480="",0,IF(ISNUMBER(N480),N480,1)))</f>
        <v/>
      </c>
      <c r="AP480">
        <f>IF(Setup!$B$16="",0,IF(O480="",0,IF(ISNUMBER(O480),O480,1)))</f>
        <v/>
      </c>
      <c r="AQ480">
        <f>IF(Setup!$B$17="",0,IF(P480="",0,IF(ISNUMBER(P480),P480,1)))</f>
        <v/>
      </c>
      <c r="AR480">
        <f>IF(Setup!$B$18="",0,IF(Q480="",0,IF(ISNUMBER(Q480),Q480,1)))</f>
        <v/>
      </c>
      <c r="AS480">
        <f>IF(Setup!$B$19="",0,IF(R480="",0,IF(ISNUMBER(R480),R480,1)))</f>
        <v/>
      </c>
      <c r="AT480">
        <f>IF(Setup!$B$20="",0,IF(S480="",0,IF(ISNUMBER(S480),S480,1)))</f>
        <v/>
      </c>
    </row>
    <row r="481">
      <c r="A481" s="1" t="n"/>
      <c r="B481" s="24" t="n"/>
      <c r="C481" s="25" t="n"/>
      <c r="D481" s="25" t="n"/>
      <c r="E481" s="26" t="n"/>
      <c r="F481" s="27" t="n"/>
      <c r="G481" s="17" t="n"/>
      <c r="H481" s="28" t="n"/>
      <c r="I481" s="28" t="n"/>
      <c r="J481" s="28" t="n"/>
      <c r="K481" s="28" t="n"/>
      <c r="L481" s="28" t="n"/>
      <c r="M481" s="28" t="n"/>
      <c r="N481" s="28" t="n"/>
      <c r="O481" s="28" t="n"/>
      <c r="P481" s="28" t="n"/>
      <c r="Q481" s="28" t="n"/>
      <c r="R481" s="28" t="n"/>
      <c r="S481" s="28" t="n"/>
      <c r="T481" s="29">
        <f>IF(N(E481)=0,"",E481*IF(F481="",1,IFERROR(INDEX(Setup!$E$9:$E$18,MATCH(F481,Setup!$D$9:$D$18,0)),0)))</f>
        <v/>
      </c>
      <c r="U481" s="30">
        <f>IF(T481="","",IF(V481=0,"Everyone",IF(COUNTIF(AI481:AT481,"&gt;0")=COUNTIF(Setup!$B$9:$B$20,"?*"),"Everyone",COUNTIF(AI481:AT481,"&gt;0")&amp;IF(COUNTIF(AI481:AT481,"&gt;0")=1," person"," people"))))</f>
        <v/>
      </c>
      <c r="V481" s="1">
        <f>SUM(AI481:AT481)</f>
        <v/>
      </c>
      <c r="W481">
        <f>IF(OR(T481="",Setup!$B$9=""),0,IF(V481=0,T481/COUNTIF(Setup!$B$9:$B$20,"?*"),T481*AI481/V481))</f>
        <v/>
      </c>
      <c r="X481">
        <f>IF(OR(T481="",Setup!$B$10=""),0,IF(V481=0,T481/COUNTIF(Setup!$B$9:$B$20,"?*"),T481*AJ481/V481))</f>
        <v/>
      </c>
      <c r="Y481">
        <f>IF(OR(T481="",Setup!$B$11=""),0,IF(V481=0,T481/COUNTIF(Setup!$B$9:$B$20,"?*"),T481*AK481/V481))</f>
        <v/>
      </c>
      <c r="Z481">
        <f>IF(OR(T481="",Setup!$B$12=""),0,IF(V481=0,T481/COUNTIF(Setup!$B$9:$B$20,"?*"),T481*AL481/V481))</f>
        <v/>
      </c>
      <c r="AA481">
        <f>IF(OR(T481="",Setup!$B$13=""),0,IF(V481=0,T481/COUNTIF(Setup!$B$9:$B$20,"?*"),T481*AM481/V481))</f>
        <v/>
      </c>
      <c r="AB481">
        <f>IF(OR(T481="",Setup!$B$14=""),0,IF(V481=0,T481/COUNTIF(Setup!$B$9:$B$20,"?*"),T481*AN481/V481))</f>
        <v/>
      </c>
      <c r="AC481">
        <f>IF(OR(T481="",Setup!$B$15=""),0,IF(V481=0,T481/COUNTIF(Setup!$B$9:$B$20,"?*"),T481*AO481/V481))</f>
        <v/>
      </c>
      <c r="AD481">
        <f>IF(OR(T481="",Setup!$B$16=""),0,IF(V481=0,T481/COUNTIF(Setup!$B$9:$B$20,"?*"),T481*AP481/V481))</f>
        <v/>
      </c>
      <c r="AE481">
        <f>IF(OR(T481="",Setup!$B$17=""),0,IF(V481=0,T481/COUNTIF(Setup!$B$9:$B$20,"?*"),T481*AQ481/V481))</f>
        <v/>
      </c>
      <c r="AF481">
        <f>IF(OR(T481="",Setup!$B$18=""),0,IF(V481=0,T481/COUNTIF(Setup!$B$9:$B$20,"?*"),T481*AR481/V481))</f>
        <v/>
      </c>
      <c r="AG481">
        <f>IF(OR(T481="",Setup!$B$19=""),0,IF(V481=0,T481/COUNTIF(Setup!$B$9:$B$20,"?*"),T481*AS481/V481))</f>
        <v/>
      </c>
      <c r="AH481">
        <f>IF(OR(T481="",Setup!$B$20=""),0,IF(V481=0,T481/COUNTIF(Setup!$B$9:$B$20,"?*"),T481*AT481/V481))</f>
        <v/>
      </c>
      <c r="AI481">
        <f>IF(Setup!$B$9="",0,IF(H481="",0,IF(ISNUMBER(H481),H481,1)))</f>
        <v/>
      </c>
      <c r="AJ481">
        <f>IF(Setup!$B$10="",0,IF(I481="",0,IF(ISNUMBER(I481),I481,1)))</f>
        <v/>
      </c>
      <c r="AK481">
        <f>IF(Setup!$B$11="",0,IF(J481="",0,IF(ISNUMBER(J481),J481,1)))</f>
        <v/>
      </c>
      <c r="AL481">
        <f>IF(Setup!$B$12="",0,IF(K481="",0,IF(ISNUMBER(K481),K481,1)))</f>
        <v/>
      </c>
      <c r="AM481">
        <f>IF(Setup!$B$13="",0,IF(L481="",0,IF(ISNUMBER(L481),L481,1)))</f>
        <v/>
      </c>
      <c r="AN481">
        <f>IF(Setup!$B$14="",0,IF(M481="",0,IF(ISNUMBER(M481),M481,1)))</f>
        <v/>
      </c>
      <c r="AO481">
        <f>IF(Setup!$B$15="",0,IF(N481="",0,IF(ISNUMBER(N481),N481,1)))</f>
        <v/>
      </c>
      <c r="AP481">
        <f>IF(Setup!$B$16="",0,IF(O481="",0,IF(ISNUMBER(O481),O481,1)))</f>
        <v/>
      </c>
      <c r="AQ481">
        <f>IF(Setup!$B$17="",0,IF(P481="",0,IF(ISNUMBER(P481),P481,1)))</f>
        <v/>
      </c>
      <c r="AR481">
        <f>IF(Setup!$B$18="",0,IF(Q481="",0,IF(ISNUMBER(Q481),Q481,1)))</f>
        <v/>
      </c>
      <c r="AS481">
        <f>IF(Setup!$B$19="",0,IF(R481="",0,IF(ISNUMBER(R481),R481,1)))</f>
        <v/>
      </c>
      <c r="AT481">
        <f>IF(Setup!$B$20="",0,IF(S481="",0,IF(ISNUMBER(S481),S481,1)))</f>
        <v/>
      </c>
    </row>
    <row r="482">
      <c r="A482" s="1" t="n"/>
      <c r="B482" s="24" t="n"/>
      <c r="C482" s="25" t="n"/>
      <c r="D482" s="25" t="n"/>
      <c r="E482" s="26" t="n"/>
      <c r="F482" s="27" t="n"/>
      <c r="G482" s="17" t="n"/>
      <c r="H482" s="28" t="n"/>
      <c r="I482" s="28" t="n"/>
      <c r="J482" s="28" t="n"/>
      <c r="K482" s="28" t="n"/>
      <c r="L482" s="28" t="n"/>
      <c r="M482" s="28" t="n"/>
      <c r="N482" s="28" t="n"/>
      <c r="O482" s="28" t="n"/>
      <c r="P482" s="28" t="n"/>
      <c r="Q482" s="28" t="n"/>
      <c r="R482" s="28" t="n"/>
      <c r="S482" s="28" t="n"/>
      <c r="T482" s="29">
        <f>IF(N(E482)=0,"",E482*IF(F482="",1,IFERROR(INDEX(Setup!$E$9:$E$18,MATCH(F482,Setup!$D$9:$D$18,0)),0)))</f>
        <v/>
      </c>
      <c r="U482" s="30">
        <f>IF(T482="","",IF(V482=0,"Everyone",IF(COUNTIF(AI482:AT482,"&gt;0")=COUNTIF(Setup!$B$9:$B$20,"?*"),"Everyone",COUNTIF(AI482:AT482,"&gt;0")&amp;IF(COUNTIF(AI482:AT482,"&gt;0")=1," person"," people"))))</f>
        <v/>
      </c>
      <c r="V482" s="1">
        <f>SUM(AI482:AT482)</f>
        <v/>
      </c>
      <c r="W482">
        <f>IF(OR(T482="",Setup!$B$9=""),0,IF(V482=0,T482/COUNTIF(Setup!$B$9:$B$20,"?*"),T482*AI482/V482))</f>
        <v/>
      </c>
      <c r="X482">
        <f>IF(OR(T482="",Setup!$B$10=""),0,IF(V482=0,T482/COUNTIF(Setup!$B$9:$B$20,"?*"),T482*AJ482/V482))</f>
        <v/>
      </c>
      <c r="Y482">
        <f>IF(OR(T482="",Setup!$B$11=""),0,IF(V482=0,T482/COUNTIF(Setup!$B$9:$B$20,"?*"),T482*AK482/V482))</f>
        <v/>
      </c>
      <c r="Z482">
        <f>IF(OR(T482="",Setup!$B$12=""),0,IF(V482=0,T482/COUNTIF(Setup!$B$9:$B$20,"?*"),T482*AL482/V482))</f>
        <v/>
      </c>
      <c r="AA482">
        <f>IF(OR(T482="",Setup!$B$13=""),0,IF(V482=0,T482/COUNTIF(Setup!$B$9:$B$20,"?*"),T482*AM482/V482))</f>
        <v/>
      </c>
      <c r="AB482">
        <f>IF(OR(T482="",Setup!$B$14=""),0,IF(V482=0,T482/COUNTIF(Setup!$B$9:$B$20,"?*"),T482*AN482/V482))</f>
        <v/>
      </c>
      <c r="AC482">
        <f>IF(OR(T482="",Setup!$B$15=""),0,IF(V482=0,T482/COUNTIF(Setup!$B$9:$B$20,"?*"),T482*AO482/V482))</f>
        <v/>
      </c>
      <c r="AD482">
        <f>IF(OR(T482="",Setup!$B$16=""),0,IF(V482=0,T482/COUNTIF(Setup!$B$9:$B$20,"?*"),T482*AP482/V482))</f>
        <v/>
      </c>
      <c r="AE482">
        <f>IF(OR(T482="",Setup!$B$17=""),0,IF(V482=0,T482/COUNTIF(Setup!$B$9:$B$20,"?*"),T482*AQ482/V482))</f>
        <v/>
      </c>
      <c r="AF482">
        <f>IF(OR(T482="",Setup!$B$18=""),0,IF(V482=0,T482/COUNTIF(Setup!$B$9:$B$20,"?*"),T482*AR482/V482))</f>
        <v/>
      </c>
      <c r="AG482">
        <f>IF(OR(T482="",Setup!$B$19=""),0,IF(V482=0,T482/COUNTIF(Setup!$B$9:$B$20,"?*"),T482*AS482/V482))</f>
        <v/>
      </c>
      <c r="AH482">
        <f>IF(OR(T482="",Setup!$B$20=""),0,IF(V482=0,T482/COUNTIF(Setup!$B$9:$B$20,"?*"),T482*AT482/V482))</f>
        <v/>
      </c>
      <c r="AI482">
        <f>IF(Setup!$B$9="",0,IF(H482="",0,IF(ISNUMBER(H482),H482,1)))</f>
        <v/>
      </c>
      <c r="AJ482">
        <f>IF(Setup!$B$10="",0,IF(I482="",0,IF(ISNUMBER(I482),I482,1)))</f>
        <v/>
      </c>
      <c r="AK482">
        <f>IF(Setup!$B$11="",0,IF(J482="",0,IF(ISNUMBER(J482),J482,1)))</f>
        <v/>
      </c>
      <c r="AL482">
        <f>IF(Setup!$B$12="",0,IF(K482="",0,IF(ISNUMBER(K482),K482,1)))</f>
        <v/>
      </c>
      <c r="AM482">
        <f>IF(Setup!$B$13="",0,IF(L482="",0,IF(ISNUMBER(L482),L482,1)))</f>
        <v/>
      </c>
      <c r="AN482">
        <f>IF(Setup!$B$14="",0,IF(M482="",0,IF(ISNUMBER(M482),M482,1)))</f>
        <v/>
      </c>
      <c r="AO482">
        <f>IF(Setup!$B$15="",0,IF(N482="",0,IF(ISNUMBER(N482),N482,1)))</f>
        <v/>
      </c>
      <c r="AP482">
        <f>IF(Setup!$B$16="",0,IF(O482="",0,IF(ISNUMBER(O482),O482,1)))</f>
        <v/>
      </c>
      <c r="AQ482">
        <f>IF(Setup!$B$17="",0,IF(P482="",0,IF(ISNUMBER(P482),P482,1)))</f>
        <v/>
      </c>
      <c r="AR482">
        <f>IF(Setup!$B$18="",0,IF(Q482="",0,IF(ISNUMBER(Q482),Q482,1)))</f>
        <v/>
      </c>
      <c r="AS482">
        <f>IF(Setup!$B$19="",0,IF(R482="",0,IF(ISNUMBER(R482),R482,1)))</f>
        <v/>
      </c>
      <c r="AT482">
        <f>IF(Setup!$B$20="",0,IF(S482="",0,IF(ISNUMBER(S482),S482,1)))</f>
        <v/>
      </c>
    </row>
    <row r="483">
      <c r="A483" s="1" t="n"/>
      <c r="B483" s="24" t="n"/>
      <c r="C483" s="25" t="n"/>
      <c r="D483" s="25" t="n"/>
      <c r="E483" s="26" t="n"/>
      <c r="F483" s="27" t="n"/>
      <c r="G483" s="17" t="n"/>
      <c r="H483" s="28" t="n"/>
      <c r="I483" s="28" t="n"/>
      <c r="J483" s="28" t="n"/>
      <c r="K483" s="28" t="n"/>
      <c r="L483" s="28" t="n"/>
      <c r="M483" s="28" t="n"/>
      <c r="N483" s="28" t="n"/>
      <c r="O483" s="28" t="n"/>
      <c r="P483" s="28" t="n"/>
      <c r="Q483" s="28" t="n"/>
      <c r="R483" s="28" t="n"/>
      <c r="S483" s="28" t="n"/>
      <c r="T483" s="29">
        <f>IF(N(E483)=0,"",E483*IF(F483="",1,IFERROR(INDEX(Setup!$E$9:$E$18,MATCH(F483,Setup!$D$9:$D$18,0)),0)))</f>
        <v/>
      </c>
      <c r="U483" s="30">
        <f>IF(T483="","",IF(V483=0,"Everyone",IF(COUNTIF(AI483:AT483,"&gt;0")=COUNTIF(Setup!$B$9:$B$20,"?*"),"Everyone",COUNTIF(AI483:AT483,"&gt;0")&amp;IF(COUNTIF(AI483:AT483,"&gt;0")=1," person"," people"))))</f>
        <v/>
      </c>
      <c r="V483" s="1">
        <f>SUM(AI483:AT483)</f>
        <v/>
      </c>
      <c r="W483">
        <f>IF(OR(T483="",Setup!$B$9=""),0,IF(V483=0,T483/COUNTIF(Setup!$B$9:$B$20,"?*"),T483*AI483/V483))</f>
        <v/>
      </c>
      <c r="X483">
        <f>IF(OR(T483="",Setup!$B$10=""),0,IF(V483=0,T483/COUNTIF(Setup!$B$9:$B$20,"?*"),T483*AJ483/V483))</f>
        <v/>
      </c>
      <c r="Y483">
        <f>IF(OR(T483="",Setup!$B$11=""),0,IF(V483=0,T483/COUNTIF(Setup!$B$9:$B$20,"?*"),T483*AK483/V483))</f>
        <v/>
      </c>
      <c r="Z483">
        <f>IF(OR(T483="",Setup!$B$12=""),0,IF(V483=0,T483/COUNTIF(Setup!$B$9:$B$20,"?*"),T483*AL483/V483))</f>
        <v/>
      </c>
      <c r="AA483">
        <f>IF(OR(T483="",Setup!$B$13=""),0,IF(V483=0,T483/COUNTIF(Setup!$B$9:$B$20,"?*"),T483*AM483/V483))</f>
        <v/>
      </c>
      <c r="AB483">
        <f>IF(OR(T483="",Setup!$B$14=""),0,IF(V483=0,T483/COUNTIF(Setup!$B$9:$B$20,"?*"),T483*AN483/V483))</f>
        <v/>
      </c>
      <c r="AC483">
        <f>IF(OR(T483="",Setup!$B$15=""),0,IF(V483=0,T483/COUNTIF(Setup!$B$9:$B$20,"?*"),T483*AO483/V483))</f>
        <v/>
      </c>
      <c r="AD483">
        <f>IF(OR(T483="",Setup!$B$16=""),0,IF(V483=0,T483/COUNTIF(Setup!$B$9:$B$20,"?*"),T483*AP483/V483))</f>
        <v/>
      </c>
      <c r="AE483">
        <f>IF(OR(T483="",Setup!$B$17=""),0,IF(V483=0,T483/COUNTIF(Setup!$B$9:$B$20,"?*"),T483*AQ483/V483))</f>
        <v/>
      </c>
      <c r="AF483">
        <f>IF(OR(T483="",Setup!$B$18=""),0,IF(V483=0,T483/COUNTIF(Setup!$B$9:$B$20,"?*"),T483*AR483/V483))</f>
        <v/>
      </c>
      <c r="AG483">
        <f>IF(OR(T483="",Setup!$B$19=""),0,IF(V483=0,T483/COUNTIF(Setup!$B$9:$B$20,"?*"),T483*AS483/V483))</f>
        <v/>
      </c>
      <c r="AH483">
        <f>IF(OR(T483="",Setup!$B$20=""),0,IF(V483=0,T483/COUNTIF(Setup!$B$9:$B$20,"?*"),T483*AT483/V483))</f>
        <v/>
      </c>
      <c r="AI483">
        <f>IF(Setup!$B$9="",0,IF(H483="",0,IF(ISNUMBER(H483),H483,1)))</f>
        <v/>
      </c>
      <c r="AJ483">
        <f>IF(Setup!$B$10="",0,IF(I483="",0,IF(ISNUMBER(I483),I483,1)))</f>
        <v/>
      </c>
      <c r="AK483">
        <f>IF(Setup!$B$11="",0,IF(J483="",0,IF(ISNUMBER(J483),J483,1)))</f>
        <v/>
      </c>
      <c r="AL483">
        <f>IF(Setup!$B$12="",0,IF(K483="",0,IF(ISNUMBER(K483),K483,1)))</f>
        <v/>
      </c>
      <c r="AM483">
        <f>IF(Setup!$B$13="",0,IF(L483="",0,IF(ISNUMBER(L483),L483,1)))</f>
        <v/>
      </c>
      <c r="AN483">
        <f>IF(Setup!$B$14="",0,IF(M483="",0,IF(ISNUMBER(M483),M483,1)))</f>
        <v/>
      </c>
      <c r="AO483">
        <f>IF(Setup!$B$15="",0,IF(N483="",0,IF(ISNUMBER(N483),N483,1)))</f>
        <v/>
      </c>
      <c r="AP483">
        <f>IF(Setup!$B$16="",0,IF(O483="",0,IF(ISNUMBER(O483),O483,1)))</f>
        <v/>
      </c>
      <c r="AQ483">
        <f>IF(Setup!$B$17="",0,IF(P483="",0,IF(ISNUMBER(P483),P483,1)))</f>
        <v/>
      </c>
      <c r="AR483">
        <f>IF(Setup!$B$18="",0,IF(Q483="",0,IF(ISNUMBER(Q483),Q483,1)))</f>
        <v/>
      </c>
      <c r="AS483">
        <f>IF(Setup!$B$19="",0,IF(R483="",0,IF(ISNUMBER(R483),R483,1)))</f>
        <v/>
      </c>
      <c r="AT483">
        <f>IF(Setup!$B$20="",0,IF(S483="",0,IF(ISNUMBER(S483),S483,1)))</f>
        <v/>
      </c>
    </row>
    <row r="484">
      <c r="A484" s="1" t="n"/>
      <c r="B484" s="24" t="n"/>
      <c r="C484" s="25" t="n"/>
      <c r="D484" s="25" t="n"/>
      <c r="E484" s="26" t="n"/>
      <c r="F484" s="27" t="n"/>
      <c r="G484" s="17" t="n"/>
      <c r="H484" s="28" t="n"/>
      <c r="I484" s="28" t="n"/>
      <c r="J484" s="28" t="n"/>
      <c r="K484" s="28" t="n"/>
      <c r="L484" s="28" t="n"/>
      <c r="M484" s="28" t="n"/>
      <c r="N484" s="28" t="n"/>
      <c r="O484" s="28" t="n"/>
      <c r="P484" s="28" t="n"/>
      <c r="Q484" s="28" t="n"/>
      <c r="R484" s="28" t="n"/>
      <c r="S484" s="28" t="n"/>
      <c r="T484" s="29">
        <f>IF(N(E484)=0,"",E484*IF(F484="",1,IFERROR(INDEX(Setup!$E$9:$E$18,MATCH(F484,Setup!$D$9:$D$18,0)),0)))</f>
        <v/>
      </c>
      <c r="U484" s="30">
        <f>IF(T484="","",IF(V484=0,"Everyone",IF(COUNTIF(AI484:AT484,"&gt;0")=COUNTIF(Setup!$B$9:$B$20,"?*"),"Everyone",COUNTIF(AI484:AT484,"&gt;0")&amp;IF(COUNTIF(AI484:AT484,"&gt;0")=1," person"," people"))))</f>
        <v/>
      </c>
      <c r="V484" s="1">
        <f>SUM(AI484:AT484)</f>
        <v/>
      </c>
      <c r="W484">
        <f>IF(OR(T484="",Setup!$B$9=""),0,IF(V484=0,T484/COUNTIF(Setup!$B$9:$B$20,"?*"),T484*AI484/V484))</f>
        <v/>
      </c>
      <c r="X484">
        <f>IF(OR(T484="",Setup!$B$10=""),0,IF(V484=0,T484/COUNTIF(Setup!$B$9:$B$20,"?*"),T484*AJ484/V484))</f>
        <v/>
      </c>
      <c r="Y484">
        <f>IF(OR(T484="",Setup!$B$11=""),0,IF(V484=0,T484/COUNTIF(Setup!$B$9:$B$20,"?*"),T484*AK484/V484))</f>
        <v/>
      </c>
      <c r="Z484">
        <f>IF(OR(T484="",Setup!$B$12=""),0,IF(V484=0,T484/COUNTIF(Setup!$B$9:$B$20,"?*"),T484*AL484/V484))</f>
        <v/>
      </c>
      <c r="AA484">
        <f>IF(OR(T484="",Setup!$B$13=""),0,IF(V484=0,T484/COUNTIF(Setup!$B$9:$B$20,"?*"),T484*AM484/V484))</f>
        <v/>
      </c>
      <c r="AB484">
        <f>IF(OR(T484="",Setup!$B$14=""),0,IF(V484=0,T484/COUNTIF(Setup!$B$9:$B$20,"?*"),T484*AN484/V484))</f>
        <v/>
      </c>
      <c r="AC484">
        <f>IF(OR(T484="",Setup!$B$15=""),0,IF(V484=0,T484/COUNTIF(Setup!$B$9:$B$20,"?*"),T484*AO484/V484))</f>
        <v/>
      </c>
      <c r="AD484">
        <f>IF(OR(T484="",Setup!$B$16=""),0,IF(V484=0,T484/COUNTIF(Setup!$B$9:$B$20,"?*"),T484*AP484/V484))</f>
        <v/>
      </c>
      <c r="AE484">
        <f>IF(OR(T484="",Setup!$B$17=""),0,IF(V484=0,T484/COUNTIF(Setup!$B$9:$B$20,"?*"),T484*AQ484/V484))</f>
        <v/>
      </c>
      <c r="AF484">
        <f>IF(OR(T484="",Setup!$B$18=""),0,IF(V484=0,T484/COUNTIF(Setup!$B$9:$B$20,"?*"),T484*AR484/V484))</f>
        <v/>
      </c>
      <c r="AG484">
        <f>IF(OR(T484="",Setup!$B$19=""),0,IF(V484=0,T484/COUNTIF(Setup!$B$9:$B$20,"?*"),T484*AS484/V484))</f>
        <v/>
      </c>
      <c r="AH484">
        <f>IF(OR(T484="",Setup!$B$20=""),0,IF(V484=0,T484/COUNTIF(Setup!$B$9:$B$20,"?*"),T484*AT484/V484))</f>
        <v/>
      </c>
      <c r="AI484">
        <f>IF(Setup!$B$9="",0,IF(H484="",0,IF(ISNUMBER(H484),H484,1)))</f>
        <v/>
      </c>
      <c r="AJ484">
        <f>IF(Setup!$B$10="",0,IF(I484="",0,IF(ISNUMBER(I484),I484,1)))</f>
        <v/>
      </c>
      <c r="AK484">
        <f>IF(Setup!$B$11="",0,IF(J484="",0,IF(ISNUMBER(J484),J484,1)))</f>
        <v/>
      </c>
      <c r="AL484">
        <f>IF(Setup!$B$12="",0,IF(K484="",0,IF(ISNUMBER(K484),K484,1)))</f>
        <v/>
      </c>
      <c r="AM484">
        <f>IF(Setup!$B$13="",0,IF(L484="",0,IF(ISNUMBER(L484),L484,1)))</f>
        <v/>
      </c>
      <c r="AN484">
        <f>IF(Setup!$B$14="",0,IF(M484="",0,IF(ISNUMBER(M484),M484,1)))</f>
        <v/>
      </c>
      <c r="AO484">
        <f>IF(Setup!$B$15="",0,IF(N484="",0,IF(ISNUMBER(N484),N484,1)))</f>
        <v/>
      </c>
      <c r="AP484">
        <f>IF(Setup!$B$16="",0,IF(O484="",0,IF(ISNUMBER(O484),O484,1)))</f>
        <v/>
      </c>
      <c r="AQ484">
        <f>IF(Setup!$B$17="",0,IF(P484="",0,IF(ISNUMBER(P484),P484,1)))</f>
        <v/>
      </c>
      <c r="AR484">
        <f>IF(Setup!$B$18="",0,IF(Q484="",0,IF(ISNUMBER(Q484),Q484,1)))</f>
        <v/>
      </c>
      <c r="AS484">
        <f>IF(Setup!$B$19="",0,IF(R484="",0,IF(ISNUMBER(R484),R484,1)))</f>
        <v/>
      </c>
      <c r="AT484">
        <f>IF(Setup!$B$20="",0,IF(S484="",0,IF(ISNUMBER(S484),S484,1)))</f>
        <v/>
      </c>
    </row>
    <row r="485">
      <c r="A485" s="1" t="n"/>
      <c r="B485" s="24" t="n"/>
      <c r="C485" s="25" t="n"/>
      <c r="D485" s="25" t="n"/>
      <c r="E485" s="26" t="n"/>
      <c r="F485" s="27" t="n"/>
      <c r="G485" s="17" t="n"/>
      <c r="H485" s="28" t="n"/>
      <c r="I485" s="28" t="n"/>
      <c r="J485" s="28" t="n"/>
      <c r="K485" s="28" t="n"/>
      <c r="L485" s="28" t="n"/>
      <c r="M485" s="28" t="n"/>
      <c r="N485" s="28" t="n"/>
      <c r="O485" s="28" t="n"/>
      <c r="P485" s="28" t="n"/>
      <c r="Q485" s="28" t="n"/>
      <c r="R485" s="28" t="n"/>
      <c r="S485" s="28" t="n"/>
      <c r="T485" s="29">
        <f>IF(N(E485)=0,"",E485*IF(F485="",1,IFERROR(INDEX(Setup!$E$9:$E$18,MATCH(F485,Setup!$D$9:$D$18,0)),0)))</f>
        <v/>
      </c>
      <c r="U485" s="30">
        <f>IF(T485="","",IF(V485=0,"Everyone",IF(COUNTIF(AI485:AT485,"&gt;0")=COUNTIF(Setup!$B$9:$B$20,"?*"),"Everyone",COUNTIF(AI485:AT485,"&gt;0")&amp;IF(COUNTIF(AI485:AT485,"&gt;0")=1," person"," people"))))</f>
        <v/>
      </c>
      <c r="V485" s="1">
        <f>SUM(AI485:AT485)</f>
        <v/>
      </c>
      <c r="W485">
        <f>IF(OR(T485="",Setup!$B$9=""),0,IF(V485=0,T485/COUNTIF(Setup!$B$9:$B$20,"?*"),T485*AI485/V485))</f>
        <v/>
      </c>
      <c r="X485">
        <f>IF(OR(T485="",Setup!$B$10=""),0,IF(V485=0,T485/COUNTIF(Setup!$B$9:$B$20,"?*"),T485*AJ485/V485))</f>
        <v/>
      </c>
      <c r="Y485">
        <f>IF(OR(T485="",Setup!$B$11=""),0,IF(V485=0,T485/COUNTIF(Setup!$B$9:$B$20,"?*"),T485*AK485/V485))</f>
        <v/>
      </c>
      <c r="Z485">
        <f>IF(OR(T485="",Setup!$B$12=""),0,IF(V485=0,T485/COUNTIF(Setup!$B$9:$B$20,"?*"),T485*AL485/V485))</f>
        <v/>
      </c>
      <c r="AA485">
        <f>IF(OR(T485="",Setup!$B$13=""),0,IF(V485=0,T485/COUNTIF(Setup!$B$9:$B$20,"?*"),T485*AM485/V485))</f>
        <v/>
      </c>
      <c r="AB485">
        <f>IF(OR(T485="",Setup!$B$14=""),0,IF(V485=0,T485/COUNTIF(Setup!$B$9:$B$20,"?*"),T485*AN485/V485))</f>
        <v/>
      </c>
      <c r="AC485">
        <f>IF(OR(T485="",Setup!$B$15=""),0,IF(V485=0,T485/COUNTIF(Setup!$B$9:$B$20,"?*"),T485*AO485/V485))</f>
        <v/>
      </c>
      <c r="AD485">
        <f>IF(OR(T485="",Setup!$B$16=""),0,IF(V485=0,T485/COUNTIF(Setup!$B$9:$B$20,"?*"),T485*AP485/V485))</f>
        <v/>
      </c>
      <c r="AE485">
        <f>IF(OR(T485="",Setup!$B$17=""),0,IF(V485=0,T485/COUNTIF(Setup!$B$9:$B$20,"?*"),T485*AQ485/V485))</f>
        <v/>
      </c>
      <c r="AF485">
        <f>IF(OR(T485="",Setup!$B$18=""),0,IF(V485=0,T485/COUNTIF(Setup!$B$9:$B$20,"?*"),T485*AR485/V485))</f>
        <v/>
      </c>
      <c r="AG485">
        <f>IF(OR(T485="",Setup!$B$19=""),0,IF(V485=0,T485/COUNTIF(Setup!$B$9:$B$20,"?*"),T485*AS485/V485))</f>
        <v/>
      </c>
      <c r="AH485">
        <f>IF(OR(T485="",Setup!$B$20=""),0,IF(V485=0,T485/COUNTIF(Setup!$B$9:$B$20,"?*"),T485*AT485/V485))</f>
        <v/>
      </c>
      <c r="AI485">
        <f>IF(Setup!$B$9="",0,IF(H485="",0,IF(ISNUMBER(H485),H485,1)))</f>
        <v/>
      </c>
      <c r="AJ485">
        <f>IF(Setup!$B$10="",0,IF(I485="",0,IF(ISNUMBER(I485),I485,1)))</f>
        <v/>
      </c>
      <c r="AK485">
        <f>IF(Setup!$B$11="",0,IF(J485="",0,IF(ISNUMBER(J485),J485,1)))</f>
        <v/>
      </c>
      <c r="AL485">
        <f>IF(Setup!$B$12="",0,IF(K485="",0,IF(ISNUMBER(K485),K485,1)))</f>
        <v/>
      </c>
      <c r="AM485">
        <f>IF(Setup!$B$13="",0,IF(L485="",0,IF(ISNUMBER(L485),L485,1)))</f>
        <v/>
      </c>
      <c r="AN485">
        <f>IF(Setup!$B$14="",0,IF(M485="",0,IF(ISNUMBER(M485),M485,1)))</f>
        <v/>
      </c>
      <c r="AO485">
        <f>IF(Setup!$B$15="",0,IF(N485="",0,IF(ISNUMBER(N485),N485,1)))</f>
        <v/>
      </c>
      <c r="AP485">
        <f>IF(Setup!$B$16="",0,IF(O485="",0,IF(ISNUMBER(O485),O485,1)))</f>
        <v/>
      </c>
      <c r="AQ485">
        <f>IF(Setup!$B$17="",0,IF(P485="",0,IF(ISNUMBER(P485),P485,1)))</f>
        <v/>
      </c>
      <c r="AR485">
        <f>IF(Setup!$B$18="",0,IF(Q485="",0,IF(ISNUMBER(Q485),Q485,1)))</f>
        <v/>
      </c>
      <c r="AS485">
        <f>IF(Setup!$B$19="",0,IF(R485="",0,IF(ISNUMBER(R485),R485,1)))</f>
        <v/>
      </c>
      <c r="AT485">
        <f>IF(Setup!$B$20="",0,IF(S485="",0,IF(ISNUMBER(S485),S485,1)))</f>
        <v/>
      </c>
    </row>
    <row r="486">
      <c r="A486" s="1" t="n"/>
      <c r="B486" s="24" t="n"/>
      <c r="C486" s="25" t="n"/>
      <c r="D486" s="25" t="n"/>
      <c r="E486" s="26" t="n"/>
      <c r="F486" s="27" t="n"/>
      <c r="G486" s="17" t="n"/>
      <c r="H486" s="28" t="n"/>
      <c r="I486" s="28" t="n"/>
      <c r="J486" s="28" t="n"/>
      <c r="K486" s="28" t="n"/>
      <c r="L486" s="28" t="n"/>
      <c r="M486" s="28" t="n"/>
      <c r="N486" s="28" t="n"/>
      <c r="O486" s="28" t="n"/>
      <c r="P486" s="28" t="n"/>
      <c r="Q486" s="28" t="n"/>
      <c r="R486" s="28" t="n"/>
      <c r="S486" s="28" t="n"/>
      <c r="T486" s="29">
        <f>IF(N(E486)=0,"",E486*IF(F486="",1,IFERROR(INDEX(Setup!$E$9:$E$18,MATCH(F486,Setup!$D$9:$D$18,0)),0)))</f>
        <v/>
      </c>
      <c r="U486" s="30">
        <f>IF(T486="","",IF(V486=0,"Everyone",IF(COUNTIF(AI486:AT486,"&gt;0")=COUNTIF(Setup!$B$9:$B$20,"?*"),"Everyone",COUNTIF(AI486:AT486,"&gt;0")&amp;IF(COUNTIF(AI486:AT486,"&gt;0")=1," person"," people"))))</f>
        <v/>
      </c>
      <c r="V486" s="1">
        <f>SUM(AI486:AT486)</f>
        <v/>
      </c>
      <c r="W486">
        <f>IF(OR(T486="",Setup!$B$9=""),0,IF(V486=0,T486/COUNTIF(Setup!$B$9:$B$20,"?*"),T486*AI486/V486))</f>
        <v/>
      </c>
      <c r="X486">
        <f>IF(OR(T486="",Setup!$B$10=""),0,IF(V486=0,T486/COUNTIF(Setup!$B$9:$B$20,"?*"),T486*AJ486/V486))</f>
        <v/>
      </c>
      <c r="Y486">
        <f>IF(OR(T486="",Setup!$B$11=""),0,IF(V486=0,T486/COUNTIF(Setup!$B$9:$B$20,"?*"),T486*AK486/V486))</f>
        <v/>
      </c>
      <c r="Z486">
        <f>IF(OR(T486="",Setup!$B$12=""),0,IF(V486=0,T486/COUNTIF(Setup!$B$9:$B$20,"?*"),T486*AL486/V486))</f>
        <v/>
      </c>
      <c r="AA486">
        <f>IF(OR(T486="",Setup!$B$13=""),0,IF(V486=0,T486/COUNTIF(Setup!$B$9:$B$20,"?*"),T486*AM486/V486))</f>
        <v/>
      </c>
      <c r="AB486">
        <f>IF(OR(T486="",Setup!$B$14=""),0,IF(V486=0,T486/COUNTIF(Setup!$B$9:$B$20,"?*"),T486*AN486/V486))</f>
        <v/>
      </c>
      <c r="AC486">
        <f>IF(OR(T486="",Setup!$B$15=""),0,IF(V486=0,T486/COUNTIF(Setup!$B$9:$B$20,"?*"),T486*AO486/V486))</f>
        <v/>
      </c>
      <c r="AD486">
        <f>IF(OR(T486="",Setup!$B$16=""),0,IF(V486=0,T486/COUNTIF(Setup!$B$9:$B$20,"?*"),T486*AP486/V486))</f>
        <v/>
      </c>
      <c r="AE486">
        <f>IF(OR(T486="",Setup!$B$17=""),0,IF(V486=0,T486/COUNTIF(Setup!$B$9:$B$20,"?*"),T486*AQ486/V486))</f>
        <v/>
      </c>
      <c r="AF486">
        <f>IF(OR(T486="",Setup!$B$18=""),0,IF(V486=0,T486/COUNTIF(Setup!$B$9:$B$20,"?*"),T486*AR486/V486))</f>
        <v/>
      </c>
      <c r="AG486">
        <f>IF(OR(T486="",Setup!$B$19=""),0,IF(V486=0,T486/COUNTIF(Setup!$B$9:$B$20,"?*"),T486*AS486/V486))</f>
        <v/>
      </c>
      <c r="AH486">
        <f>IF(OR(T486="",Setup!$B$20=""),0,IF(V486=0,T486/COUNTIF(Setup!$B$9:$B$20,"?*"),T486*AT486/V486))</f>
        <v/>
      </c>
      <c r="AI486">
        <f>IF(Setup!$B$9="",0,IF(H486="",0,IF(ISNUMBER(H486),H486,1)))</f>
        <v/>
      </c>
      <c r="AJ486">
        <f>IF(Setup!$B$10="",0,IF(I486="",0,IF(ISNUMBER(I486),I486,1)))</f>
        <v/>
      </c>
      <c r="AK486">
        <f>IF(Setup!$B$11="",0,IF(J486="",0,IF(ISNUMBER(J486),J486,1)))</f>
        <v/>
      </c>
      <c r="AL486">
        <f>IF(Setup!$B$12="",0,IF(K486="",0,IF(ISNUMBER(K486),K486,1)))</f>
        <v/>
      </c>
      <c r="AM486">
        <f>IF(Setup!$B$13="",0,IF(L486="",0,IF(ISNUMBER(L486),L486,1)))</f>
        <v/>
      </c>
      <c r="AN486">
        <f>IF(Setup!$B$14="",0,IF(M486="",0,IF(ISNUMBER(M486),M486,1)))</f>
        <v/>
      </c>
      <c r="AO486">
        <f>IF(Setup!$B$15="",0,IF(N486="",0,IF(ISNUMBER(N486),N486,1)))</f>
        <v/>
      </c>
      <c r="AP486">
        <f>IF(Setup!$B$16="",0,IF(O486="",0,IF(ISNUMBER(O486),O486,1)))</f>
        <v/>
      </c>
      <c r="AQ486">
        <f>IF(Setup!$B$17="",0,IF(P486="",0,IF(ISNUMBER(P486),P486,1)))</f>
        <v/>
      </c>
      <c r="AR486">
        <f>IF(Setup!$B$18="",0,IF(Q486="",0,IF(ISNUMBER(Q486),Q486,1)))</f>
        <v/>
      </c>
      <c r="AS486">
        <f>IF(Setup!$B$19="",0,IF(R486="",0,IF(ISNUMBER(R486),R486,1)))</f>
        <v/>
      </c>
      <c r="AT486">
        <f>IF(Setup!$B$20="",0,IF(S486="",0,IF(ISNUMBER(S486),S486,1)))</f>
        <v/>
      </c>
    </row>
    <row r="487">
      <c r="A487" s="1" t="n"/>
      <c r="B487" s="24" t="n"/>
      <c r="C487" s="25" t="n"/>
      <c r="D487" s="25" t="n"/>
      <c r="E487" s="26" t="n"/>
      <c r="F487" s="27" t="n"/>
      <c r="G487" s="17" t="n"/>
      <c r="H487" s="28" t="n"/>
      <c r="I487" s="28" t="n"/>
      <c r="J487" s="28" t="n"/>
      <c r="K487" s="28" t="n"/>
      <c r="L487" s="28" t="n"/>
      <c r="M487" s="28" t="n"/>
      <c r="N487" s="28" t="n"/>
      <c r="O487" s="28" t="n"/>
      <c r="P487" s="28" t="n"/>
      <c r="Q487" s="28" t="n"/>
      <c r="R487" s="28" t="n"/>
      <c r="S487" s="28" t="n"/>
      <c r="T487" s="29">
        <f>IF(N(E487)=0,"",E487*IF(F487="",1,IFERROR(INDEX(Setup!$E$9:$E$18,MATCH(F487,Setup!$D$9:$D$18,0)),0)))</f>
        <v/>
      </c>
      <c r="U487" s="30">
        <f>IF(T487="","",IF(V487=0,"Everyone",IF(COUNTIF(AI487:AT487,"&gt;0")=COUNTIF(Setup!$B$9:$B$20,"?*"),"Everyone",COUNTIF(AI487:AT487,"&gt;0")&amp;IF(COUNTIF(AI487:AT487,"&gt;0")=1," person"," people"))))</f>
        <v/>
      </c>
      <c r="V487" s="1">
        <f>SUM(AI487:AT487)</f>
        <v/>
      </c>
      <c r="W487">
        <f>IF(OR(T487="",Setup!$B$9=""),0,IF(V487=0,T487/COUNTIF(Setup!$B$9:$B$20,"?*"),T487*AI487/V487))</f>
        <v/>
      </c>
      <c r="X487">
        <f>IF(OR(T487="",Setup!$B$10=""),0,IF(V487=0,T487/COUNTIF(Setup!$B$9:$B$20,"?*"),T487*AJ487/V487))</f>
        <v/>
      </c>
      <c r="Y487">
        <f>IF(OR(T487="",Setup!$B$11=""),0,IF(V487=0,T487/COUNTIF(Setup!$B$9:$B$20,"?*"),T487*AK487/V487))</f>
        <v/>
      </c>
      <c r="Z487">
        <f>IF(OR(T487="",Setup!$B$12=""),0,IF(V487=0,T487/COUNTIF(Setup!$B$9:$B$20,"?*"),T487*AL487/V487))</f>
        <v/>
      </c>
      <c r="AA487">
        <f>IF(OR(T487="",Setup!$B$13=""),0,IF(V487=0,T487/COUNTIF(Setup!$B$9:$B$20,"?*"),T487*AM487/V487))</f>
        <v/>
      </c>
      <c r="AB487">
        <f>IF(OR(T487="",Setup!$B$14=""),0,IF(V487=0,T487/COUNTIF(Setup!$B$9:$B$20,"?*"),T487*AN487/V487))</f>
        <v/>
      </c>
      <c r="AC487">
        <f>IF(OR(T487="",Setup!$B$15=""),0,IF(V487=0,T487/COUNTIF(Setup!$B$9:$B$20,"?*"),T487*AO487/V487))</f>
        <v/>
      </c>
      <c r="AD487">
        <f>IF(OR(T487="",Setup!$B$16=""),0,IF(V487=0,T487/COUNTIF(Setup!$B$9:$B$20,"?*"),T487*AP487/V487))</f>
        <v/>
      </c>
      <c r="AE487">
        <f>IF(OR(T487="",Setup!$B$17=""),0,IF(V487=0,T487/COUNTIF(Setup!$B$9:$B$20,"?*"),T487*AQ487/V487))</f>
        <v/>
      </c>
      <c r="AF487">
        <f>IF(OR(T487="",Setup!$B$18=""),0,IF(V487=0,T487/COUNTIF(Setup!$B$9:$B$20,"?*"),T487*AR487/V487))</f>
        <v/>
      </c>
      <c r="AG487">
        <f>IF(OR(T487="",Setup!$B$19=""),0,IF(V487=0,T487/COUNTIF(Setup!$B$9:$B$20,"?*"),T487*AS487/V487))</f>
        <v/>
      </c>
      <c r="AH487">
        <f>IF(OR(T487="",Setup!$B$20=""),0,IF(V487=0,T487/COUNTIF(Setup!$B$9:$B$20,"?*"),T487*AT487/V487))</f>
        <v/>
      </c>
      <c r="AI487">
        <f>IF(Setup!$B$9="",0,IF(H487="",0,IF(ISNUMBER(H487),H487,1)))</f>
        <v/>
      </c>
      <c r="AJ487">
        <f>IF(Setup!$B$10="",0,IF(I487="",0,IF(ISNUMBER(I487),I487,1)))</f>
        <v/>
      </c>
      <c r="AK487">
        <f>IF(Setup!$B$11="",0,IF(J487="",0,IF(ISNUMBER(J487),J487,1)))</f>
        <v/>
      </c>
      <c r="AL487">
        <f>IF(Setup!$B$12="",0,IF(K487="",0,IF(ISNUMBER(K487),K487,1)))</f>
        <v/>
      </c>
      <c r="AM487">
        <f>IF(Setup!$B$13="",0,IF(L487="",0,IF(ISNUMBER(L487),L487,1)))</f>
        <v/>
      </c>
      <c r="AN487">
        <f>IF(Setup!$B$14="",0,IF(M487="",0,IF(ISNUMBER(M487),M487,1)))</f>
        <v/>
      </c>
      <c r="AO487">
        <f>IF(Setup!$B$15="",0,IF(N487="",0,IF(ISNUMBER(N487),N487,1)))</f>
        <v/>
      </c>
      <c r="AP487">
        <f>IF(Setup!$B$16="",0,IF(O487="",0,IF(ISNUMBER(O487),O487,1)))</f>
        <v/>
      </c>
      <c r="AQ487">
        <f>IF(Setup!$B$17="",0,IF(P487="",0,IF(ISNUMBER(P487),P487,1)))</f>
        <v/>
      </c>
      <c r="AR487">
        <f>IF(Setup!$B$18="",0,IF(Q487="",0,IF(ISNUMBER(Q487),Q487,1)))</f>
        <v/>
      </c>
      <c r="AS487">
        <f>IF(Setup!$B$19="",0,IF(R487="",0,IF(ISNUMBER(R487),R487,1)))</f>
        <v/>
      </c>
      <c r="AT487">
        <f>IF(Setup!$B$20="",0,IF(S487="",0,IF(ISNUMBER(S487),S487,1)))</f>
        <v/>
      </c>
    </row>
    <row r="488">
      <c r="A488" s="1" t="n"/>
      <c r="B488" s="24" t="n"/>
      <c r="C488" s="25" t="n"/>
      <c r="D488" s="25" t="n"/>
      <c r="E488" s="26" t="n"/>
      <c r="F488" s="27" t="n"/>
      <c r="G488" s="17" t="n"/>
      <c r="H488" s="28" t="n"/>
      <c r="I488" s="28" t="n"/>
      <c r="J488" s="28" t="n"/>
      <c r="K488" s="28" t="n"/>
      <c r="L488" s="28" t="n"/>
      <c r="M488" s="28" t="n"/>
      <c r="N488" s="28" t="n"/>
      <c r="O488" s="28" t="n"/>
      <c r="P488" s="28" t="n"/>
      <c r="Q488" s="28" t="n"/>
      <c r="R488" s="28" t="n"/>
      <c r="S488" s="28" t="n"/>
      <c r="T488" s="29">
        <f>IF(N(E488)=0,"",E488*IF(F488="",1,IFERROR(INDEX(Setup!$E$9:$E$18,MATCH(F488,Setup!$D$9:$D$18,0)),0)))</f>
        <v/>
      </c>
      <c r="U488" s="30">
        <f>IF(T488="","",IF(V488=0,"Everyone",IF(COUNTIF(AI488:AT488,"&gt;0")=COUNTIF(Setup!$B$9:$B$20,"?*"),"Everyone",COUNTIF(AI488:AT488,"&gt;0")&amp;IF(COUNTIF(AI488:AT488,"&gt;0")=1," person"," people"))))</f>
        <v/>
      </c>
      <c r="V488" s="1">
        <f>SUM(AI488:AT488)</f>
        <v/>
      </c>
      <c r="W488">
        <f>IF(OR(T488="",Setup!$B$9=""),0,IF(V488=0,T488/COUNTIF(Setup!$B$9:$B$20,"?*"),T488*AI488/V488))</f>
        <v/>
      </c>
      <c r="X488">
        <f>IF(OR(T488="",Setup!$B$10=""),0,IF(V488=0,T488/COUNTIF(Setup!$B$9:$B$20,"?*"),T488*AJ488/V488))</f>
        <v/>
      </c>
      <c r="Y488">
        <f>IF(OR(T488="",Setup!$B$11=""),0,IF(V488=0,T488/COUNTIF(Setup!$B$9:$B$20,"?*"),T488*AK488/V488))</f>
        <v/>
      </c>
      <c r="Z488">
        <f>IF(OR(T488="",Setup!$B$12=""),0,IF(V488=0,T488/COUNTIF(Setup!$B$9:$B$20,"?*"),T488*AL488/V488))</f>
        <v/>
      </c>
      <c r="AA488">
        <f>IF(OR(T488="",Setup!$B$13=""),0,IF(V488=0,T488/COUNTIF(Setup!$B$9:$B$20,"?*"),T488*AM488/V488))</f>
        <v/>
      </c>
      <c r="AB488">
        <f>IF(OR(T488="",Setup!$B$14=""),0,IF(V488=0,T488/COUNTIF(Setup!$B$9:$B$20,"?*"),T488*AN488/V488))</f>
        <v/>
      </c>
      <c r="AC488">
        <f>IF(OR(T488="",Setup!$B$15=""),0,IF(V488=0,T488/COUNTIF(Setup!$B$9:$B$20,"?*"),T488*AO488/V488))</f>
        <v/>
      </c>
      <c r="AD488">
        <f>IF(OR(T488="",Setup!$B$16=""),0,IF(V488=0,T488/COUNTIF(Setup!$B$9:$B$20,"?*"),T488*AP488/V488))</f>
        <v/>
      </c>
      <c r="AE488">
        <f>IF(OR(T488="",Setup!$B$17=""),0,IF(V488=0,T488/COUNTIF(Setup!$B$9:$B$20,"?*"),T488*AQ488/V488))</f>
        <v/>
      </c>
      <c r="AF488">
        <f>IF(OR(T488="",Setup!$B$18=""),0,IF(V488=0,T488/COUNTIF(Setup!$B$9:$B$20,"?*"),T488*AR488/V488))</f>
        <v/>
      </c>
      <c r="AG488">
        <f>IF(OR(T488="",Setup!$B$19=""),0,IF(V488=0,T488/COUNTIF(Setup!$B$9:$B$20,"?*"),T488*AS488/V488))</f>
        <v/>
      </c>
      <c r="AH488">
        <f>IF(OR(T488="",Setup!$B$20=""),0,IF(V488=0,T488/COUNTIF(Setup!$B$9:$B$20,"?*"),T488*AT488/V488))</f>
        <v/>
      </c>
      <c r="AI488">
        <f>IF(Setup!$B$9="",0,IF(H488="",0,IF(ISNUMBER(H488),H488,1)))</f>
        <v/>
      </c>
      <c r="AJ488">
        <f>IF(Setup!$B$10="",0,IF(I488="",0,IF(ISNUMBER(I488),I488,1)))</f>
        <v/>
      </c>
      <c r="AK488">
        <f>IF(Setup!$B$11="",0,IF(J488="",0,IF(ISNUMBER(J488),J488,1)))</f>
        <v/>
      </c>
      <c r="AL488">
        <f>IF(Setup!$B$12="",0,IF(K488="",0,IF(ISNUMBER(K488),K488,1)))</f>
        <v/>
      </c>
      <c r="AM488">
        <f>IF(Setup!$B$13="",0,IF(L488="",0,IF(ISNUMBER(L488),L488,1)))</f>
        <v/>
      </c>
      <c r="AN488">
        <f>IF(Setup!$B$14="",0,IF(M488="",0,IF(ISNUMBER(M488),M488,1)))</f>
        <v/>
      </c>
      <c r="AO488">
        <f>IF(Setup!$B$15="",0,IF(N488="",0,IF(ISNUMBER(N488),N488,1)))</f>
        <v/>
      </c>
      <c r="AP488">
        <f>IF(Setup!$B$16="",0,IF(O488="",0,IF(ISNUMBER(O488),O488,1)))</f>
        <v/>
      </c>
      <c r="AQ488">
        <f>IF(Setup!$B$17="",0,IF(P488="",0,IF(ISNUMBER(P488),P488,1)))</f>
        <v/>
      </c>
      <c r="AR488">
        <f>IF(Setup!$B$18="",0,IF(Q488="",0,IF(ISNUMBER(Q488),Q488,1)))</f>
        <v/>
      </c>
      <c r="AS488">
        <f>IF(Setup!$B$19="",0,IF(R488="",0,IF(ISNUMBER(R488),R488,1)))</f>
        <v/>
      </c>
      <c r="AT488">
        <f>IF(Setup!$B$20="",0,IF(S488="",0,IF(ISNUMBER(S488),S488,1)))</f>
        <v/>
      </c>
    </row>
    <row r="489">
      <c r="A489" s="1" t="n"/>
      <c r="B489" s="24" t="n"/>
      <c r="C489" s="25" t="n"/>
      <c r="D489" s="25" t="n"/>
      <c r="E489" s="26" t="n"/>
      <c r="F489" s="27" t="n"/>
      <c r="G489" s="17" t="n"/>
      <c r="H489" s="28" t="n"/>
      <c r="I489" s="28" t="n"/>
      <c r="J489" s="28" t="n"/>
      <c r="K489" s="28" t="n"/>
      <c r="L489" s="28" t="n"/>
      <c r="M489" s="28" t="n"/>
      <c r="N489" s="28" t="n"/>
      <c r="O489" s="28" t="n"/>
      <c r="P489" s="28" t="n"/>
      <c r="Q489" s="28" t="n"/>
      <c r="R489" s="28" t="n"/>
      <c r="S489" s="28" t="n"/>
      <c r="T489" s="29">
        <f>IF(N(E489)=0,"",E489*IF(F489="",1,IFERROR(INDEX(Setup!$E$9:$E$18,MATCH(F489,Setup!$D$9:$D$18,0)),0)))</f>
        <v/>
      </c>
      <c r="U489" s="30">
        <f>IF(T489="","",IF(V489=0,"Everyone",IF(COUNTIF(AI489:AT489,"&gt;0")=COUNTIF(Setup!$B$9:$B$20,"?*"),"Everyone",COUNTIF(AI489:AT489,"&gt;0")&amp;IF(COUNTIF(AI489:AT489,"&gt;0")=1," person"," people"))))</f>
        <v/>
      </c>
      <c r="V489" s="1">
        <f>SUM(AI489:AT489)</f>
        <v/>
      </c>
      <c r="W489">
        <f>IF(OR(T489="",Setup!$B$9=""),0,IF(V489=0,T489/COUNTIF(Setup!$B$9:$B$20,"?*"),T489*AI489/V489))</f>
        <v/>
      </c>
      <c r="X489">
        <f>IF(OR(T489="",Setup!$B$10=""),0,IF(V489=0,T489/COUNTIF(Setup!$B$9:$B$20,"?*"),T489*AJ489/V489))</f>
        <v/>
      </c>
      <c r="Y489">
        <f>IF(OR(T489="",Setup!$B$11=""),0,IF(V489=0,T489/COUNTIF(Setup!$B$9:$B$20,"?*"),T489*AK489/V489))</f>
        <v/>
      </c>
      <c r="Z489">
        <f>IF(OR(T489="",Setup!$B$12=""),0,IF(V489=0,T489/COUNTIF(Setup!$B$9:$B$20,"?*"),T489*AL489/V489))</f>
        <v/>
      </c>
      <c r="AA489">
        <f>IF(OR(T489="",Setup!$B$13=""),0,IF(V489=0,T489/COUNTIF(Setup!$B$9:$B$20,"?*"),T489*AM489/V489))</f>
        <v/>
      </c>
      <c r="AB489">
        <f>IF(OR(T489="",Setup!$B$14=""),0,IF(V489=0,T489/COUNTIF(Setup!$B$9:$B$20,"?*"),T489*AN489/V489))</f>
        <v/>
      </c>
      <c r="AC489">
        <f>IF(OR(T489="",Setup!$B$15=""),0,IF(V489=0,T489/COUNTIF(Setup!$B$9:$B$20,"?*"),T489*AO489/V489))</f>
        <v/>
      </c>
      <c r="AD489">
        <f>IF(OR(T489="",Setup!$B$16=""),0,IF(V489=0,T489/COUNTIF(Setup!$B$9:$B$20,"?*"),T489*AP489/V489))</f>
        <v/>
      </c>
      <c r="AE489">
        <f>IF(OR(T489="",Setup!$B$17=""),0,IF(V489=0,T489/COUNTIF(Setup!$B$9:$B$20,"?*"),T489*AQ489/V489))</f>
        <v/>
      </c>
      <c r="AF489">
        <f>IF(OR(T489="",Setup!$B$18=""),0,IF(V489=0,T489/COUNTIF(Setup!$B$9:$B$20,"?*"),T489*AR489/V489))</f>
        <v/>
      </c>
      <c r="AG489">
        <f>IF(OR(T489="",Setup!$B$19=""),0,IF(V489=0,T489/COUNTIF(Setup!$B$9:$B$20,"?*"),T489*AS489/V489))</f>
        <v/>
      </c>
      <c r="AH489">
        <f>IF(OR(T489="",Setup!$B$20=""),0,IF(V489=0,T489/COUNTIF(Setup!$B$9:$B$20,"?*"),T489*AT489/V489))</f>
        <v/>
      </c>
      <c r="AI489">
        <f>IF(Setup!$B$9="",0,IF(H489="",0,IF(ISNUMBER(H489),H489,1)))</f>
        <v/>
      </c>
      <c r="AJ489">
        <f>IF(Setup!$B$10="",0,IF(I489="",0,IF(ISNUMBER(I489),I489,1)))</f>
        <v/>
      </c>
      <c r="AK489">
        <f>IF(Setup!$B$11="",0,IF(J489="",0,IF(ISNUMBER(J489),J489,1)))</f>
        <v/>
      </c>
      <c r="AL489">
        <f>IF(Setup!$B$12="",0,IF(K489="",0,IF(ISNUMBER(K489),K489,1)))</f>
        <v/>
      </c>
      <c r="AM489">
        <f>IF(Setup!$B$13="",0,IF(L489="",0,IF(ISNUMBER(L489),L489,1)))</f>
        <v/>
      </c>
      <c r="AN489">
        <f>IF(Setup!$B$14="",0,IF(M489="",0,IF(ISNUMBER(M489),M489,1)))</f>
        <v/>
      </c>
      <c r="AO489">
        <f>IF(Setup!$B$15="",0,IF(N489="",0,IF(ISNUMBER(N489),N489,1)))</f>
        <v/>
      </c>
      <c r="AP489">
        <f>IF(Setup!$B$16="",0,IF(O489="",0,IF(ISNUMBER(O489),O489,1)))</f>
        <v/>
      </c>
      <c r="AQ489">
        <f>IF(Setup!$B$17="",0,IF(P489="",0,IF(ISNUMBER(P489),P489,1)))</f>
        <v/>
      </c>
      <c r="AR489">
        <f>IF(Setup!$B$18="",0,IF(Q489="",0,IF(ISNUMBER(Q489),Q489,1)))</f>
        <v/>
      </c>
      <c r="AS489">
        <f>IF(Setup!$B$19="",0,IF(R489="",0,IF(ISNUMBER(R489),R489,1)))</f>
        <v/>
      </c>
      <c r="AT489">
        <f>IF(Setup!$B$20="",0,IF(S489="",0,IF(ISNUMBER(S489),S489,1)))</f>
        <v/>
      </c>
    </row>
    <row r="490">
      <c r="A490" s="1" t="n"/>
      <c r="B490" s="24" t="n"/>
      <c r="C490" s="25" t="n"/>
      <c r="D490" s="25" t="n"/>
      <c r="E490" s="26" t="n"/>
      <c r="F490" s="27" t="n"/>
      <c r="G490" s="17" t="n"/>
      <c r="H490" s="28" t="n"/>
      <c r="I490" s="28" t="n"/>
      <c r="J490" s="28" t="n"/>
      <c r="K490" s="28" t="n"/>
      <c r="L490" s="28" t="n"/>
      <c r="M490" s="28" t="n"/>
      <c r="N490" s="28" t="n"/>
      <c r="O490" s="28" t="n"/>
      <c r="P490" s="28" t="n"/>
      <c r="Q490" s="28" t="n"/>
      <c r="R490" s="28" t="n"/>
      <c r="S490" s="28" t="n"/>
      <c r="T490" s="29">
        <f>IF(N(E490)=0,"",E490*IF(F490="",1,IFERROR(INDEX(Setup!$E$9:$E$18,MATCH(F490,Setup!$D$9:$D$18,0)),0)))</f>
        <v/>
      </c>
      <c r="U490" s="30">
        <f>IF(T490="","",IF(V490=0,"Everyone",IF(COUNTIF(AI490:AT490,"&gt;0")=COUNTIF(Setup!$B$9:$B$20,"?*"),"Everyone",COUNTIF(AI490:AT490,"&gt;0")&amp;IF(COUNTIF(AI490:AT490,"&gt;0")=1," person"," people"))))</f>
        <v/>
      </c>
      <c r="V490" s="1">
        <f>SUM(AI490:AT490)</f>
        <v/>
      </c>
      <c r="W490">
        <f>IF(OR(T490="",Setup!$B$9=""),0,IF(V490=0,T490/COUNTIF(Setup!$B$9:$B$20,"?*"),T490*AI490/V490))</f>
        <v/>
      </c>
      <c r="X490">
        <f>IF(OR(T490="",Setup!$B$10=""),0,IF(V490=0,T490/COUNTIF(Setup!$B$9:$B$20,"?*"),T490*AJ490/V490))</f>
        <v/>
      </c>
      <c r="Y490">
        <f>IF(OR(T490="",Setup!$B$11=""),0,IF(V490=0,T490/COUNTIF(Setup!$B$9:$B$20,"?*"),T490*AK490/V490))</f>
        <v/>
      </c>
      <c r="Z490">
        <f>IF(OR(T490="",Setup!$B$12=""),0,IF(V490=0,T490/COUNTIF(Setup!$B$9:$B$20,"?*"),T490*AL490/V490))</f>
        <v/>
      </c>
      <c r="AA490">
        <f>IF(OR(T490="",Setup!$B$13=""),0,IF(V490=0,T490/COUNTIF(Setup!$B$9:$B$20,"?*"),T490*AM490/V490))</f>
        <v/>
      </c>
      <c r="AB490">
        <f>IF(OR(T490="",Setup!$B$14=""),0,IF(V490=0,T490/COUNTIF(Setup!$B$9:$B$20,"?*"),T490*AN490/V490))</f>
        <v/>
      </c>
      <c r="AC490">
        <f>IF(OR(T490="",Setup!$B$15=""),0,IF(V490=0,T490/COUNTIF(Setup!$B$9:$B$20,"?*"),T490*AO490/V490))</f>
        <v/>
      </c>
      <c r="AD490">
        <f>IF(OR(T490="",Setup!$B$16=""),0,IF(V490=0,T490/COUNTIF(Setup!$B$9:$B$20,"?*"),T490*AP490/V490))</f>
        <v/>
      </c>
      <c r="AE490">
        <f>IF(OR(T490="",Setup!$B$17=""),0,IF(V490=0,T490/COUNTIF(Setup!$B$9:$B$20,"?*"),T490*AQ490/V490))</f>
        <v/>
      </c>
      <c r="AF490">
        <f>IF(OR(T490="",Setup!$B$18=""),0,IF(V490=0,T490/COUNTIF(Setup!$B$9:$B$20,"?*"),T490*AR490/V490))</f>
        <v/>
      </c>
      <c r="AG490">
        <f>IF(OR(T490="",Setup!$B$19=""),0,IF(V490=0,T490/COUNTIF(Setup!$B$9:$B$20,"?*"),T490*AS490/V490))</f>
        <v/>
      </c>
      <c r="AH490">
        <f>IF(OR(T490="",Setup!$B$20=""),0,IF(V490=0,T490/COUNTIF(Setup!$B$9:$B$20,"?*"),T490*AT490/V490))</f>
        <v/>
      </c>
      <c r="AI490">
        <f>IF(Setup!$B$9="",0,IF(H490="",0,IF(ISNUMBER(H490),H490,1)))</f>
        <v/>
      </c>
      <c r="AJ490">
        <f>IF(Setup!$B$10="",0,IF(I490="",0,IF(ISNUMBER(I490),I490,1)))</f>
        <v/>
      </c>
      <c r="AK490">
        <f>IF(Setup!$B$11="",0,IF(J490="",0,IF(ISNUMBER(J490),J490,1)))</f>
        <v/>
      </c>
      <c r="AL490">
        <f>IF(Setup!$B$12="",0,IF(K490="",0,IF(ISNUMBER(K490),K490,1)))</f>
        <v/>
      </c>
      <c r="AM490">
        <f>IF(Setup!$B$13="",0,IF(L490="",0,IF(ISNUMBER(L490),L490,1)))</f>
        <v/>
      </c>
      <c r="AN490">
        <f>IF(Setup!$B$14="",0,IF(M490="",0,IF(ISNUMBER(M490),M490,1)))</f>
        <v/>
      </c>
      <c r="AO490">
        <f>IF(Setup!$B$15="",0,IF(N490="",0,IF(ISNUMBER(N490),N490,1)))</f>
        <v/>
      </c>
      <c r="AP490">
        <f>IF(Setup!$B$16="",0,IF(O490="",0,IF(ISNUMBER(O490),O490,1)))</f>
        <v/>
      </c>
      <c r="AQ490">
        <f>IF(Setup!$B$17="",0,IF(P490="",0,IF(ISNUMBER(P490),P490,1)))</f>
        <v/>
      </c>
      <c r="AR490">
        <f>IF(Setup!$B$18="",0,IF(Q490="",0,IF(ISNUMBER(Q490),Q490,1)))</f>
        <v/>
      </c>
      <c r="AS490">
        <f>IF(Setup!$B$19="",0,IF(R490="",0,IF(ISNUMBER(R490),R490,1)))</f>
        <v/>
      </c>
      <c r="AT490">
        <f>IF(Setup!$B$20="",0,IF(S490="",0,IF(ISNUMBER(S490),S490,1)))</f>
        <v/>
      </c>
    </row>
    <row r="491">
      <c r="A491" s="1" t="n"/>
      <c r="B491" s="24" t="n"/>
      <c r="C491" s="25" t="n"/>
      <c r="D491" s="25" t="n"/>
      <c r="E491" s="26" t="n"/>
      <c r="F491" s="27" t="n"/>
      <c r="G491" s="17" t="n"/>
      <c r="H491" s="28" t="n"/>
      <c r="I491" s="28" t="n"/>
      <c r="J491" s="28" t="n"/>
      <c r="K491" s="28" t="n"/>
      <c r="L491" s="28" t="n"/>
      <c r="M491" s="28" t="n"/>
      <c r="N491" s="28" t="n"/>
      <c r="O491" s="28" t="n"/>
      <c r="P491" s="28" t="n"/>
      <c r="Q491" s="28" t="n"/>
      <c r="R491" s="28" t="n"/>
      <c r="S491" s="28" t="n"/>
      <c r="T491" s="29">
        <f>IF(N(E491)=0,"",E491*IF(F491="",1,IFERROR(INDEX(Setup!$E$9:$E$18,MATCH(F491,Setup!$D$9:$D$18,0)),0)))</f>
        <v/>
      </c>
      <c r="U491" s="30">
        <f>IF(T491="","",IF(V491=0,"Everyone",IF(COUNTIF(AI491:AT491,"&gt;0")=COUNTIF(Setup!$B$9:$B$20,"?*"),"Everyone",COUNTIF(AI491:AT491,"&gt;0")&amp;IF(COUNTIF(AI491:AT491,"&gt;0")=1," person"," people"))))</f>
        <v/>
      </c>
      <c r="V491" s="1">
        <f>SUM(AI491:AT491)</f>
        <v/>
      </c>
      <c r="W491">
        <f>IF(OR(T491="",Setup!$B$9=""),0,IF(V491=0,T491/COUNTIF(Setup!$B$9:$B$20,"?*"),T491*AI491/V491))</f>
        <v/>
      </c>
      <c r="X491">
        <f>IF(OR(T491="",Setup!$B$10=""),0,IF(V491=0,T491/COUNTIF(Setup!$B$9:$B$20,"?*"),T491*AJ491/V491))</f>
        <v/>
      </c>
      <c r="Y491">
        <f>IF(OR(T491="",Setup!$B$11=""),0,IF(V491=0,T491/COUNTIF(Setup!$B$9:$B$20,"?*"),T491*AK491/V491))</f>
        <v/>
      </c>
      <c r="Z491">
        <f>IF(OR(T491="",Setup!$B$12=""),0,IF(V491=0,T491/COUNTIF(Setup!$B$9:$B$20,"?*"),T491*AL491/V491))</f>
        <v/>
      </c>
      <c r="AA491">
        <f>IF(OR(T491="",Setup!$B$13=""),0,IF(V491=0,T491/COUNTIF(Setup!$B$9:$B$20,"?*"),T491*AM491/V491))</f>
        <v/>
      </c>
      <c r="AB491">
        <f>IF(OR(T491="",Setup!$B$14=""),0,IF(V491=0,T491/COUNTIF(Setup!$B$9:$B$20,"?*"),T491*AN491/V491))</f>
        <v/>
      </c>
      <c r="AC491">
        <f>IF(OR(T491="",Setup!$B$15=""),0,IF(V491=0,T491/COUNTIF(Setup!$B$9:$B$20,"?*"),T491*AO491/V491))</f>
        <v/>
      </c>
      <c r="AD491">
        <f>IF(OR(T491="",Setup!$B$16=""),0,IF(V491=0,T491/COUNTIF(Setup!$B$9:$B$20,"?*"),T491*AP491/V491))</f>
        <v/>
      </c>
      <c r="AE491">
        <f>IF(OR(T491="",Setup!$B$17=""),0,IF(V491=0,T491/COUNTIF(Setup!$B$9:$B$20,"?*"),T491*AQ491/V491))</f>
        <v/>
      </c>
      <c r="AF491">
        <f>IF(OR(T491="",Setup!$B$18=""),0,IF(V491=0,T491/COUNTIF(Setup!$B$9:$B$20,"?*"),T491*AR491/V491))</f>
        <v/>
      </c>
      <c r="AG491">
        <f>IF(OR(T491="",Setup!$B$19=""),0,IF(V491=0,T491/COUNTIF(Setup!$B$9:$B$20,"?*"),T491*AS491/V491))</f>
        <v/>
      </c>
      <c r="AH491">
        <f>IF(OR(T491="",Setup!$B$20=""),0,IF(V491=0,T491/COUNTIF(Setup!$B$9:$B$20,"?*"),T491*AT491/V491))</f>
        <v/>
      </c>
      <c r="AI491">
        <f>IF(Setup!$B$9="",0,IF(H491="",0,IF(ISNUMBER(H491),H491,1)))</f>
        <v/>
      </c>
      <c r="AJ491">
        <f>IF(Setup!$B$10="",0,IF(I491="",0,IF(ISNUMBER(I491),I491,1)))</f>
        <v/>
      </c>
      <c r="AK491">
        <f>IF(Setup!$B$11="",0,IF(J491="",0,IF(ISNUMBER(J491),J491,1)))</f>
        <v/>
      </c>
      <c r="AL491">
        <f>IF(Setup!$B$12="",0,IF(K491="",0,IF(ISNUMBER(K491),K491,1)))</f>
        <v/>
      </c>
      <c r="AM491">
        <f>IF(Setup!$B$13="",0,IF(L491="",0,IF(ISNUMBER(L491),L491,1)))</f>
        <v/>
      </c>
      <c r="AN491">
        <f>IF(Setup!$B$14="",0,IF(M491="",0,IF(ISNUMBER(M491),M491,1)))</f>
        <v/>
      </c>
      <c r="AO491">
        <f>IF(Setup!$B$15="",0,IF(N491="",0,IF(ISNUMBER(N491),N491,1)))</f>
        <v/>
      </c>
      <c r="AP491">
        <f>IF(Setup!$B$16="",0,IF(O491="",0,IF(ISNUMBER(O491),O491,1)))</f>
        <v/>
      </c>
      <c r="AQ491">
        <f>IF(Setup!$B$17="",0,IF(P491="",0,IF(ISNUMBER(P491),P491,1)))</f>
        <v/>
      </c>
      <c r="AR491">
        <f>IF(Setup!$B$18="",0,IF(Q491="",0,IF(ISNUMBER(Q491),Q491,1)))</f>
        <v/>
      </c>
      <c r="AS491">
        <f>IF(Setup!$B$19="",0,IF(R491="",0,IF(ISNUMBER(R491),R491,1)))</f>
        <v/>
      </c>
      <c r="AT491">
        <f>IF(Setup!$B$20="",0,IF(S491="",0,IF(ISNUMBER(S491),S491,1)))</f>
        <v/>
      </c>
    </row>
    <row r="492">
      <c r="A492" s="1" t="n"/>
      <c r="B492" s="24" t="n"/>
      <c r="C492" s="25" t="n"/>
      <c r="D492" s="25" t="n"/>
      <c r="E492" s="26" t="n"/>
      <c r="F492" s="27" t="n"/>
      <c r="G492" s="17" t="n"/>
      <c r="H492" s="28" t="n"/>
      <c r="I492" s="28" t="n"/>
      <c r="J492" s="28" t="n"/>
      <c r="K492" s="28" t="n"/>
      <c r="L492" s="28" t="n"/>
      <c r="M492" s="28" t="n"/>
      <c r="N492" s="28" t="n"/>
      <c r="O492" s="28" t="n"/>
      <c r="P492" s="28" t="n"/>
      <c r="Q492" s="28" t="n"/>
      <c r="R492" s="28" t="n"/>
      <c r="S492" s="28" t="n"/>
      <c r="T492" s="29">
        <f>IF(N(E492)=0,"",E492*IF(F492="",1,IFERROR(INDEX(Setup!$E$9:$E$18,MATCH(F492,Setup!$D$9:$D$18,0)),0)))</f>
        <v/>
      </c>
      <c r="U492" s="30">
        <f>IF(T492="","",IF(V492=0,"Everyone",IF(COUNTIF(AI492:AT492,"&gt;0")=COUNTIF(Setup!$B$9:$B$20,"?*"),"Everyone",COUNTIF(AI492:AT492,"&gt;0")&amp;IF(COUNTIF(AI492:AT492,"&gt;0")=1," person"," people"))))</f>
        <v/>
      </c>
      <c r="V492" s="1">
        <f>SUM(AI492:AT492)</f>
        <v/>
      </c>
      <c r="W492">
        <f>IF(OR(T492="",Setup!$B$9=""),0,IF(V492=0,T492/COUNTIF(Setup!$B$9:$B$20,"?*"),T492*AI492/V492))</f>
        <v/>
      </c>
      <c r="X492">
        <f>IF(OR(T492="",Setup!$B$10=""),0,IF(V492=0,T492/COUNTIF(Setup!$B$9:$B$20,"?*"),T492*AJ492/V492))</f>
        <v/>
      </c>
      <c r="Y492">
        <f>IF(OR(T492="",Setup!$B$11=""),0,IF(V492=0,T492/COUNTIF(Setup!$B$9:$B$20,"?*"),T492*AK492/V492))</f>
        <v/>
      </c>
      <c r="Z492">
        <f>IF(OR(T492="",Setup!$B$12=""),0,IF(V492=0,T492/COUNTIF(Setup!$B$9:$B$20,"?*"),T492*AL492/V492))</f>
        <v/>
      </c>
      <c r="AA492">
        <f>IF(OR(T492="",Setup!$B$13=""),0,IF(V492=0,T492/COUNTIF(Setup!$B$9:$B$20,"?*"),T492*AM492/V492))</f>
        <v/>
      </c>
      <c r="AB492">
        <f>IF(OR(T492="",Setup!$B$14=""),0,IF(V492=0,T492/COUNTIF(Setup!$B$9:$B$20,"?*"),T492*AN492/V492))</f>
        <v/>
      </c>
      <c r="AC492">
        <f>IF(OR(T492="",Setup!$B$15=""),0,IF(V492=0,T492/COUNTIF(Setup!$B$9:$B$20,"?*"),T492*AO492/V492))</f>
        <v/>
      </c>
      <c r="AD492">
        <f>IF(OR(T492="",Setup!$B$16=""),0,IF(V492=0,T492/COUNTIF(Setup!$B$9:$B$20,"?*"),T492*AP492/V492))</f>
        <v/>
      </c>
      <c r="AE492">
        <f>IF(OR(T492="",Setup!$B$17=""),0,IF(V492=0,T492/COUNTIF(Setup!$B$9:$B$20,"?*"),T492*AQ492/V492))</f>
        <v/>
      </c>
      <c r="AF492">
        <f>IF(OR(T492="",Setup!$B$18=""),0,IF(V492=0,T492/COUNTIF(Setup!$B$9:$B$20,"?*"),T492*AR492/V492))</f>
        <v/>
      </c>
      <c r="AG492">
        <f>IF(OR(T492="",Setup!$B$19=""),0,IF(V492=0,T492/COUNTIF(Setup!$B$9:$B$20,"?*"),T492*AS492/V492))</f>
        <v/>
      </c>
      <c r="AH492">
        <f>IF(OR(T492="",Setup!$B$20=""),0,IF(V492=0,T492/COUNTIF(Setup!$B$9:$B$20,"?*"),T492*AT492/V492))</f>
        <v/>
      </c>
      <c r="AI492">
        <f>IF(Setup!$B$9="",0,IF(H492="",0,IF(ISNUMBER(H492),H492,1)))</f>
        <v/>
      </c>
      <c r="AJ492">
        <f>IF(Setup!$B$10="",0,IF(I492="",0,IF(ISNUMBER(I492),I492,1)))</f>
        <v/>
      </c>
      <c r="AK492">
        <f>IF(Setup!$B$11="",0,IF(J492="",0,IF(ISNUMBER(J492),J492,1)))</f>
        <v/>
      </c>
      <c r="AL492">
        <f>IF(Setup!$B$12="",0,IF(K492="",0,IF(ISNUMBER(K492),K492,1)))</f>
        <v/>
      </c>
      <c r="AM492">
        <f>IF(Setup!$B$13="",0,IF(L492="",0,IF(ISNUMBER(L492),L492,1)))</f>
        <v/>
      </c>
      <c r="AN492">
        <f>IF(Setup!$B$14="",0,IF(M492="",0,IF(ISNUMBER(M492),M492,1)))</f>
        <v/>
      </c>
      <c r="AO492">
        <f>IF(Setup!$B$15="",0,IF(N492="",0,IF(ISNUMBER(N492),N492,1)))</f>
        <v/>
      </c>
      <c r="AP492">
        <f>IF(Setup!$B$16="",0,IF(O492="",0,IF(ISNUMBER(O492),O492,1)))</f>
        <v/>
      </c>
      <c r="AQ492">
        <f>IF(Setup!$B$17="",0,IF(P492="",0,IF(ISNUMBER(P492),P492,1)))</f>
        <v/>
      </c>
      <c r="AR492">
        <f>IF(Setup!$B$18="",0,IF(Q492="",0,IF(ISNUMBER(Q492),Q492,1)))</f>
        <v/>
      </c>
      <c r="AS492">
        <f>IF(Setup!$B$19="",0,IF(R492="",0,IF(ISNUMBER(R492),R492,1)))</f>
        <v/>
      </c>
      <c r="AT492">
        <f>IF(Setup!$B$20="",0,IF(S492="",0,IF(ISNUMBER(S492),S492,1)))</f>
        <v/>
      </c>
    </row>
    <row r="493">
      <c r="A493" s="1" t="n"/>
      <c r="B493" s="24" t="n"/>
      <c r="C493" s="25" t="n"/>
      <c r="D493" s="25" t="n"/>
      <c r="E493" s="26" t="n"/>
      <c r="F493" s="27" t="n"/>
      <c r="G493" s="17" t="n"/>
      <c r="H493" s="28" t="n"/>
      <c r="I493" s="28" t="n"/>
      <c r="J493" s="28" t="n"/>
      <c r="K493" s="28" t="n"/>
      <c r="L493" s="28" t="n"/>
      <c r="M493" s="28" t="n"/>
      <c r="N493" s="28" t="n"/>
      <c r="O493" s="28" t="n"/>
      <c r="P493" s="28" t="n"/>
      <c r="Q493" s="28" t="n"/>
      <c r="R493" s="28" t="n"/>
      <c r="S493" s="28" t="n"/>
      <c r="T493" s="29">
        <f>IF(N(E493)=0,"",E493*IF(F493="",1,IFERROR(INDEX(Setup!$E$9:$E$18,MATCH(F493,Setup!$D$9:$D$18,0)),0)))</f>
        <v/>
      </c>
      <c r="U493" s="30">
        <f>IF(T493="","",IF(V493=0,"Everyone",IF(COUNTIF(AI493:AT493,"&gt;0")=COUNTIF(Setup!$B$9:$B$20,"?*"),"Everyone",COUNTIF(AI493:AT493,"&gt;0")&amp;IF(COUNTIF(AI493:AT493,"&gt;0")=1," person"," people"))))</f>
        <v/>
      </c>
      <c r="V493" s="1">
        <f>SUM(AI493:AT493)</f>
        <v/>
      </c>
      <c r="W493">
        <f>IF(OR(T493="",Setup!$B$9=""),0,IF(V493=0,T493/COUNTIF(Setup!$B$9:$B$20,"?*"),T493*AI493/V493))</f>
        <v/>
      </c>
      <c r="X493">
        <f>IF(OR(T493="",Setup!$B$10=""),0,IF(V493=0,T493/COUNTIF(Setup!$B$9:$B$20,"?*"),T493*AJ493/V493))</f>
        <v/>
      </c>
      <c r="Y493">
        <f>IF(OR(T493="",Setup!$B$11=""),0,IF(V493=0,T493/COUNTIF(Setup!$B$9:$B$20,"?*"),T493*AK493/V493))</f>
        <v/>
      </c>
      <c r="Z493">
        <f>IF(OR(T493="",Setup!$B$12=""),0,IF(V493=0,T493/COUNTIF(Setup!$B$9:$B$20,"?*"),T493*AL493/V493))</f>
        <v/>
      </c>
      <c r="AA493">
        <f>IF(OR(T493="",Setup!$B$13=""),0,IF(V493=0,T493/COUNTIF(Setup!$B$9:$B$20,"?*"),T493*AM493/V493))</f>
        <v/>
      </c>
      <c r="AB493">
        <f>IF(OR(T493="",Setup!$B$14=""),0,IF(V493=0,T493/COUNTIF(Setup!$B$9:$B$20,"?*"),T493*AN493/V493))</f>
        <v/>
      </c>
      <c r="AC493">
        <f>IF(OR(T493="",Setup!$B$15=""),0,IF(V493=0,T493/COUNTIF(Setup!$B$9:$B$20,"?*"),T493*AO493/V493))</f>
        <v/>
      </c>
      <c r="AD493">
        <f>IF(OR(T493="",Setup!$B$16=""),0,IF(V493=0,T493/COUNTIF(Setup!$B$9:$B$20,"?*"),T493*AP493/V493))</f>
        <v/>
      </c>
      <c r="AE493">
        <f>IF(OR(T493="",Setup!$B$17=""),0,IF(V493=0,T493/COUNTIF(Setup!$B$9:$B$20,"?*"),T493*AQ493/V493))</f>
        <v/>
      </c>
      <c r="AF493">
        <f>IF(OR(T493="",Setup!$B$18=""),0,IF(V493=0,T493/COUNTIF(Setup!$B$9:$B$20,"?*"),T493*AR493/V493))</f>
        <v/>
      </c>
      <c r="AG493">
        <f>IF(OR(T493="",Setup!$B$19=""),0,IF(V493=0,T493/COUNTIF(Setup!$B$9:$B$20,"?*"),T493*AS493/V493))</f>
        <v/>
      </c>
      <c r="AH493">
        <f>IF(OR(T493="",Setup!$B$20=""),0,IF(V493=0,T493/COUNTIF(Setup!$B$9:$B$20,"?*"),T493*AT493/V493))</f>
        <v/>
      </c>
      <c r="AI493">
        <f>IF(Setup!$B$9="",0,IF(H493="",0,IF(ISNUMBER(H493),H493,1)))</f>
        <v/>
      </c>
      <c r="AJ493">
        <f>IF(Setup!$B$10="",0,IF(I493="",0,IF(ISNUMBER(I493),I493,1)))</f>
        <v/>
      </c>
      <c r="AK493">
        <f>IF(Setup!$B$11="",0,IF(J493="",0,IF(ISNUMBER(J493),J493,1)))</f>
        <v/>
      </c>
      <c r="AL493">
        <f>IF(Setup!$B$12="",0,IF(K493="",0,IF(ISNUMBER(K493),K493,1)))</f>
        <v/>
      </c>
      <c r="AM493">
        <f>IF(Setup!$B$13="",0,IF(L493="",0,IF(ISNUMBER(L493),L493,1)))</f>
        <v/>
      </c>
      <c r="AN493">
        <f>IF(Setup!$B$14="",0,IF(M493="",0,IF(ISNUMBER(M493),M493,1)))</f>
        <v/>
      </c>
      <c r="AO493">
        <f>IF(Setup!$B$15="",0,IF(N493="",0,IF(ISNUMBER(N493),N493,1)))</f>
        <v/>
      </c>
      <c r="AP493">
        <f>IF(Setup!$B$16="",0,IF(O493="",0,IF(ISNUMBER(O493),O493,1)))</f>
        <v/>
      </c>
      <c r="AQ493">
        <f>IF(Setup!$B$17="",0,IF(P493="",0,IF(ISNUMBER(P493),P493,1)))</f>
        <v/>
      </c>
      <c r="AR493">
        <f>IF(Setup!$B$18="",0,IF(Q493="",0,IF(ISNUMBER(Q493),Q493,1)))</f>
        <v/>
      </c>
      <c r="AS493">
        <f>IF(Setup!$B$19="",0,IF(R493="",0,IF(ISNUMBER(R493),R493,1)))</f>
        <v/>
      </c>
      <c r="AT493">
        <f>IF(Setup!$B$20="",0,IF(S493="",0,IF(ISNUMBER(S493),S493,1)))</f>
        <v/>
      </c>
    </row>
    <row r="494">
      <c r="A494" s="1" t="n"/>
      <c r="B494" s="24" t="n"/>
      <c r="C494" s="25" t="n"/>
      <c r="D494" s="25" t="n"/>
      <c r="E494" s="26" t="n"/>
      <c r="F494" s="27" t="n"/>
      <c r="G494" s="17" t="n"/>
      <c r="H494" s="28" t="n"/>
      <c r="I494" s="28" t="n"/>
      <c r="J494" s="28" t="n"/>
      <c r="K494" s="28" t="n"/>
      <c r="L494" s="28" t="n"/>
      <c r="M494" s="28" t="n"/>
      <c r="N494" s="28" t="n"/>
      <c r="O494" s="28" t="n"/>
      <c r="P494" s="28" t="n"/>
      <c r="Q494" s="28" t="n"/>
      <c r="R494" s="28" t="n"/>
      <c r="S494" s="28" t="n"/>
      <c r="T494" s="29">
        <f>IF(N(E494)=0,"",E494*IF(F494="",1,IFERROR(INDEX(Setup!$E$9:$E$18,MATCH(F494,Setup!$D$9:$D$18,0)),0)))</f>
        <v/>
      </c>
      <c r="U494" s="30">
        <f>IF(T494="","",IF(V494=0,"Everyone",IF(COUNTIF(AI494:AT494,"&gt;0")=COUNTIF(Setup!$B$9:$B$20,"?*"),"Everyone",COUNTIF(AI494:AT494,"&gt;0")&amp;IF(COUNTIF(AI494:AT494,"&gt;0")=1," person"," people"))))</f>
        <v/>
      </c>
      <c r="V494" s="1">
        <f>SUM(AI494:AT494)</f>
        <v/>
      </c>
      <c r="W494">
        <f>IF(OR(T494="",Setup!$B$9=""),0,IF(V494=0,T494/COUNTIF(Setup!$B$9:$B$20,"?*"),T494*AI494/V494))</f>
        <v/>
      </c>
      <c r="X494">
        <f>IF(OR(T494="",Setup!$B$10=""),0,IF(V494=0,T494/COUNTIF(Setup!$B$9:$B$20,"?*"),T494*AJ494/V494))</f>
        <v/>
      </c>
      <c r="Y494">
        <f>IF(OR(T494="",Setup!$B$11=""),0,IF(V494=0,T494/COUNTIF(Setup!$B$9:$B$20,"?*"),T494*AK494/V494))</f>
        <v/>
      </c>
      <c r="Z494">
        <f>IF(OR(T494="",Setup!$B$12=""),0,IF(V494=0,T494/COUNTIF(Setup!$B$9:$B$20,"?*"),T494*AL494/V494))</f>
        <v/>
      </c>
      <c r="AA494">
        <f>IF(OR(T494="",Setup!$B$13=""),0,IF(V494=0,T494/COUNTIF(Setup!$B$9:$B$20,"?*"),T494*AM494/V494))</f>
        <v/>
      </c>
      <c r="AB494">
        <f>IF(OR(T494="",Setup!$B$14=""),0,IF(V494=0,T494/COUNTIF(Setup!$B$9:$B$20,"?*"),T494*AN494/V494))</f>
        <v/>
      </c>
      <c r="AC494">
        <f>IF(OR(T494="",Setup!$B$15=""),0,IF(V494=0,T494/COUNTIF(Setup!$B$9:$B$20,"?*"),T494*AO494/V494))</f>
        <v/>
      </c>
      <c r="AD494">
        <f>IF(OR(T494="",Setup!$B$16=""),0,IF(V494=0,T494/COUNTIF(Setup!$B$9:$B$20,"?*"),T494*AP494/V494))</f>
        <v/>
      </c>
      <c r="AE494">
        <f>IF(OR(T494="",Setup!$B$17=""),0,IF(V494=0,T494/COUNTIF(Setup!$B$9:$B$20,"?*"),T494*AQ494/V494))</f>
        <v/>
      </c>
      <c r="AF494">
        <f>IF(OR(T494="",Setup!$B$18=""),0,IF(V494=0,T494/COUNTIF(Setup!$B$9:$B$20,"?*"),T494*AR494/V494))</f>
        <v/>
      </c>
      <c r="AG494">
        <f>IF(OR(T494="",Setup!$B$19=""),0,IF(V494=0,T494/COUNTIF(Setup!$B$9:$B$20,"?*"),T494*AS494/V494))</f>
        <v/>
      </c>
      <c r="AH494">
        <f>IF(OR(T494="",Setup!$B$20=""),0,IF(V494=0,T494/COUNTIF(Setup!$B$9:$B$20,"?*"),T494*AT494/V494))</f>
        <v/>
      </c>
      <c r="AI494">
        <f>IF(Setup!$B$9="",0,IF(H494="",0,IF(ISNUMBER(H494),H494,1)))</f>
        <v/>
      </c>
      <c r="AJ494">
        <f>IF(Setup!$B$10="",0,IF(I494="",0,IF(ISNUMBER(I494),I494,1)))</f>
        <v/>
      </c>
      <c r="AK494">
        <f>IF(Setup!$B$11="",0,IF(J494="",0,IF(ISNUMBER(J494),J494,1)))</f>
        <v/>
      </c>
      <c r="AL494">
        <f>IF(Setup!$B$12="",0,IF(K494="",0,IF(ISNUMBER(K494),K494,1)))</f>
        <v/>
      </c>
      <c r="AM494">
        <f>IF(Setup!$B$13="",0,IF(L494="",0,IF(ISNUMBER(L494),L494,1)))</f>
        <v/>
      </c>
      <c r="AN494">
        <f>IF(Setup!$B$14="",0,IF(M494="",0,IF(ISNUMBER(M494),M494,1)))</f>
        <v/>
      </c>
      <c r="AO494">
        <f>IF(Setup!$B$15="",0,IF(N494="",0,IF(ISNUMBER(N494),N494,1)))</f>
        <v/>
      </c>
      <c r="AP494">
        <f>IF(Setup!$B$16="",0,IF(O494="",0,IF(ISNUMBER(O494),O494,1)))</f>
        <v/>
      </c>
      <c r="AQ494">
        <f>IF(Setup!$B$17="",0,IF(P494="",0,IF(ISNUMBER(P494),P494,1)))</f>
        <v/>
      </c>
      <c r="AR494">
        <f>IF(Setup!$B$18="",0,IF(Q494="",0,IF(ISNUMBER(Q494),Q494,1)))</f>
        <v/>
      </c>
      <c r="AS494">
        <f>IF(Setup!$B$19="",0,IF(R494="",0,IF(ISNUMBER(R494),R494,1)))</f>
        <v/>
      </c>
      <c r="AT494">
        <f>IF(Setup!$B$20="",0,IF(S494="",0,IF(ISNUMBER(S494),S494,1)))</f>
        <v/>
      </c>
    </row>
    <row r="495">
      <c r="A495" s="1" t="n"/>
      <c r="B495" s="24" t="n"/>
      <c r="C495" s="25" t="n"/>
      <c r="D495" s="25" t="n"/>
      <c r="E495" s="26" t="n"/>
      <c r="F495" s="27" t="n"/>
      <c r="G495" s="17" t="n"/>
      <c r="H495" s="28" t="n"/>
      <c r="I495" s="28" t="n"/>
      <c r="J495" s="28" t="n"/>
      <c r="K495" s="28" t="n"/>
      <c r="L495" s="28" t="n"/>
      <c r="M495" s="28" t="n"/>
      <c r="N495" s="28" t="n"/>
      <c r="O495" s="28" t="n"/>
      <c r="P495" s="28" t="n"/>
      <c r="Q495" s="28" t="n"/>
      <c r="R495" s="28" t="n"/>
      <c r="S495" s="28" t="n"/>
      <c r="T495" s="29">
        <f>IF(N(E495)=0,"",E495*IF(F495="",1,IFERROR(INDEX(Setup!$E$9:$E$18,MATCH(F495,Setup!$D$9:$D$18,0)),0)))</f>
        <v/>
      </c>
      <c r="U495" s="30">
        <f>IF(T495="","",IF(V495=0,"Everyone",IF(COUNTIF(AI495:AT495,"&gt;0")=COUNTIF(Setup!$B$9:$B$20,"?*"),"Everyone",COUNTIF(AI495:AT495,"&gt;0")&amp;IF(COUNTIF(AI495:AT495,"&gt;0")=1," person"," people"))))</f>
        <v/>
      </c>
      <c r="V495" s="1">
        <f>SUM(AI495:AT495)</f>
        <v/>
      </c>
      <c r="W495">
        <f>IF(OR(T495="",Setup!$B$9=""),0,IF(V495=0,T495/COUNTIF(Setup!$B$9:$B$20,"?*"),T495*AI495/V495))</f>
        <v/>
      </c>
      <c r="X495">
        <f>IF(OR(T495="",Setup!$B$10=""),0,IF(V495=0,T495/COUNTIF(Setup!$B$9:$B$20,"?*"),T495*AJ495/V495))</f>
        <v/>
      </c>
      <c r="Y495">
        <f>IF(OR(T495="",Setup!$B$11=""),0,IF(V495=0,T495/COUNTIF(Setup!$B$9:$B$20,"?*"),T495*AK495/V495))</f>
        <v/>
      </c>
      <c r="Z495">
        <f>IF(OR(T495="",Setup!$B$12=""),0,IF(V495=0,T495/COUNTIF(Setup!$B$9:$B$20,"?*"),T495*AL495/V495))</f>
        <v/>
      </c>
      <c r="AA495">
        <f>IF(OR(T495="",Setup!$B$13=""),0,IF(V495=0,T495/COUNTIF(Setup!$B$9:$B$20,"?*"),T495*AM495/V495))</f>
        <v/>
      </c>
      <c r="AB495">
        <f>IF(OR(T495="",Setup!$B$14=""),0,IF(V495=0,T495/COUNTIF(Setup!$B$9:$B$20,"?*"),T495*AN495/V495))</f>
        <v/>
      </c>
      <c r="AC495">
        <f>IF(OR(T495="",Setup!$B$15=""),0,IF(V495=0,T495/COUNTIF(Setup!$B$9:$B$20,"?*"),T495*AO495/V495))</f>
        <v/>
      </c>
      <c r="AD495">
        <f>IF(OR(T495="",Setup!$B$16=""),0,IF(V495=0,T495/COUNTIF(Setup!$B$9:$B$20,"?*"),T495*AP495/V495))</f>
        <v/>
      </c>
      <c r="AE495">
        <f>IF(OR(T495="",Setup!$B$17=""),0,IF(V495=0,T495/COUNTIF(Setup!$B$9:$B$20,"?*"),T495*AQ495/V495))</f>
        <v/>
      </c>
      <c r="AF495">
        <f>IF(OR(T495="",Setup!$B$18=""),0,IF(V495=0,T495/COUNTIF(Setup!$B$9:$B$20,"?*"),T495*AR495/V495))</f>
        <v/>
      </c>
      <c r="AG495">
        <f>IF(OR(T495="",Setup!$B$19=""),0,IF(V495=0,T495/COUNTIF(Setup!$B$9:$B$20,"?*"),T495*AS495/V495))</f>
        <v/>
      </c>
      <c r="AH495">
        <f>IF(OR(T495="",Setup!$B$20=""),0,IF(V495=0,T495/COUNTIF(Setup!$B$9:$B$20,"?*"),T495*AT495/V495))</f>
        <v/>
      </c>
      <c r="AI495">
        <f>IF(Setup!$B$9="",0,IF(H495="",0,IF(ISNUMBER(H495),H495,1)))</f>
        <v/>
      </c>
      <c r="AJ495">
        <f>IF(Setup!$B$10="",0,IF(I495="",0,IF(ISNUMBER(I495),I495,1)))</f>
        <v/>
      </c>
      <c r="AK495">
        <f>IF(Setup!$B$11="",0,IF(J495="",0,IF(ISNUMBER(J495),J495,1)))</f>
        <v/>
      </c>
      <c r="AL495">
        <f>IF(Setup!$B$12="",0,IF(K495="",0,IF(ISNUMBER(K495),K495,1)))</f>
        <v/>
      </c>
      <c r="AM495">
        <f>IF(Setup!$B$13="",0,IF(L495="",0,IF(ISNUMBER(L495),L495,1)))</f>
        <v/>
      </c>
      <c r="AN495">
        <f>IF(Setup!$B$14="",0,IF(M495="",0,IF(ISNUMBER(M495),M495,1)))</f>
        <v/>
      </c>
      <c r="AO495">
        <f>IF(Setup!$B$15="",0,IF(N495="",0,IF(ISNUMBER(N495),N495,1)))</f>
        <v/>
      </c>
      <c r="AP495">
        <f>IF(Setup!$B$16="",0,IF(O495="",0,IF(ISNUMBER(O495),O495,1)))</f>
        <v/>
      </c>
      <c r="AQ495">
        <f>IF(Setup!$B$17="",0,IF(P495="",0,IF(ISNUMBER(P495),P495,1)))</f>
        <v/>
      </c>
      <c r="AR495">
        <f>IF(Setup!$B$18="",0,IF(Q495="",0,IF(ISNUMBER(Q495),Q495,1)))</f>
        <v/>
      </c>
      <c r="AS495">
        <f>IF(Setup!$B$19="",0,IF(R495="",0,IF(ISNUMBER(R495),R495,1)))</f>
        <v/>
      </c>
      <c r="AT495">
        <f>IF(Setup!$B$20="",0,IF(S495="",0,IF(ISNUMBER(S495),S495,1)))</f>
        <v/>
      </c>
    </row>
    <row r="496">
      <c r="A496" s="1" t="n"/>
      <c r="B496" s="24" t="n"/>
      <c r="C496" s="25" t="n"/>
      <c r="D496" s="25" t="n"/>
      <c r="E496" s="26" t="n"/>
      <c r="F496" s="27" t="n"/>
      <c r="G496" s="17" t="n"/>
      <c r="H496" s="28" t="n"/>
      <c r="I496" s="28" t="n"/>
      <c r="J496" s="28" t="n"/>
      <c r="K496" s="28" t="n"/>
      <c r="L496" s="28" t="n"/>
      <c r="M496" s="28" t="n"/>
      <c r="N496" s="28" t="n"/>
      <c r="O496" s="28" t="n"/>
      <c r="P496" s="28" t="n"/>
      <c r="Q496" s="28" t="n"/>
      <c r="R496" s="28" t="n"/>
      <c r="S496" s="28" t="n"/>
      <c r="T496" s="29">
        <f>IF(N(E496)=0,"",E496*IF(F496="",1,IFERROR(INDEX(Setup!$E$9:$E$18,MATCH(F496,Setup!$D$9:$D$18,0)),0)))</f>
        <v/>
      </c>
      <c r="U496" s="30">
        <f>IF(T496="","",IF(V496=0,"Everyone",IF(COUNTIF(AI496:AT496,"&gt;0")=COUNTIF(Setup!$B$9:$B$20,"?*"),"Everyone",COUNTIF(AI496:AT496,"&gt;0")&amp;IF(COUNTIF(AI496:AT496,"&gt;0")=1," person"," people"))))</f>
        <v/>
      </c>
      <c r="V496" s="1">
        <f>SUM(AI496:AT496)</f>
        <v/>
      </c>
      <c r="W496">
        <f>IF(OR(T496="",Setup!$B$9=""),0,IF(V496=0,T496/COUNTIF(Setup!$B$9:$B$20,"?*"),T496*AI496/V496))</f>
        <v/>
      </c>
      <c r="X496">
        <f>IF(OR(T496="",Setup!$B$10=""),0,IF(V496=0,T496/COUNTIF(Setup!$B$9:$B$20,"?*"),T496*AJ496/V496))</f>
        <v/>
      </c>
      <c r="Y496">
        <f>IF(OR(T496="",Setup!$B$11=""),0,IF(V496=0,T496/COUNTIF(Setup!$B$9:$B$20,"?*"),T496*AK496/V496))</f>
        <v/>
      </c>
      <c r="Z496">
        <f>IF(OR(T496="",Setup!$B$12=""),0,IF(V496=0,T496/COUNTIF(Setup!$B$9:$B$20,"?*"),T496*AL496/V496))</f>
        <v/>
      </c>
      <c r="AA496">
        <f>IF(OR(T496="",Setup!$B$13=""),0,IF(V496=0,T496/COUNTIF(Setup!$B$9:$B$20,"?*"),T496*AM496/V496))</f>
        <v/>
      </c>
      <c r="AB496">
        <f>IF(OR(T496="",Setup!$B$14=""),0,IF(V496=0,T496/COUNTIF(Setup!$B$9:$B$20,"?*"),T496*AN496/V496))</f>
        <v/>
      </c>
      <c r="AC496">
        <f>IF(OR(T496="",Setup!$B$15=""),0,IF(V496=0,T496/COUNTIF(Setup!$B$9:$B$20,"?*"),T496*AO496/V496))</f>
        <v/>
      </c>
      <c r="AD496">
        <f>IF(OR(T496="",Setup!$B$16=""),0,IF(V496=0,T496/COUNTIF(Setup!$B$9:$B$20,"?*"),T496*AP496/V496))</f>
        <v/>
      </c>
      <c r="AE496">
        <f>IF(OR(T496="",Setup!$B$17=""),0,IF(V496=0,T496/COUNTIF(Setup!$B$9:$B$20,"?*"),T496*AQ496/V496))</f>
        <v/>
      </c>
      <c r="AF496">
        <f>IF(OR(T496="",Setup!$B$18=""),0,IF(V496=0,T496/COUNTIF(Setup!$B$9:$B$20,"?*"),T496*AR496/V496))</f>
        <v/>
      </c>
      <c r="AG496">
        <f>IF(OR(T496="",Setup!$B$19=""),0,IF(V496=0,T496/COUNTIF(Setup!$B$9:$B$20,"?*"),T496*AS496/V496))</f>
        <v/>
      </c>
      <c r="AH496">
        <f>IF(OR(T496="",Setup!$B$20=""),0,IF(V496=0,T496/COUNTIF(Setup!$B$9:$B$20,"?*"),T496*AT496/V496))</f>
        <v/>
      </c>
      <c r="AI496">
        <f>IF(Setup!$B$9="",0,IF(H496="",0,IF(ISNUMBER(H496),H496,1)))</f>
        <v/>
      </c>
      <c r="AJ496">
        <f>IF(Setup!$B$10="",0,IF(I496="",0,IF(ISNUMBER(I496),I496,1)))</f>
        <v/>
      </c>
      <c r="AK496">
        <f>IF(Setup!$B$11="",0,IF(J496="",0,IF(ISNUMBER(J496),J496,1)))</f>
        <v/>
      </c>
      <c r="AL496">
        <f>IF(Setup!$B$12="",0,IF(K496="",0,IF(ISNUMBER(K496),K496,1)))</f>
        <v/>
      </c>
      <c r="AM496">
        <f>IF(Setup!$B$13="",0,IF(L496="",0,IF(ISNUMBER(L496),L496,1)))</f>
        <v/>
      </c>
      <c r="AN496">
        <f>IF(Setup!$B$14="",0,IF(M496="",0,IF(ISNUMBER(M496),M496,1)))</f>
        <v/>
      </c>
      <c r="AO496">
        <f>IF(Setup!$B$15="",0,IF(N496="",0,IF(ISNUMBER(N496),N496,1)))</f>
        <v/>
      </c>
      <c r="AP496">
        <f>IF(Setup!$B$16="",0,IF(O496="",0,IF(ISNUMBER(O496),O496,1)))</f>
        <v/>
      </c>
      <c r="AQ496">
        <f>IF(Setup!$B$17="",0,IF(P496="",0,IF(ISNUMBER(P496),P496,1)))</f>
        <v/>
      </c>
      <c r="AR496">
        <f>IF(Setup!$B$18="",0,IF(Q496="",0,IF(ISNUMBER(Q496),Q496,1)))</f>
        <v/>
      </c>
      <c r="AS496">
        <f>IF(Setup!$B$19="",0,IF(R496="",0,IF(ISNUMBER(R496),R496,1)))</f>
        <v/>
      </c>
      <c r="AT496">
        <f>IF(Setup!$B$20="",0,IF(S496="",0,IF(ISNUMBER(S496),S496,1)))</f>
        <v/>
      </c>
    </row>
    <row r="497">
      <c r="A497" s="1" t="n"/>
      <c r="B497" s="24" t="n"/>
      <c r="C497" s="25" t="n"/>
      <c r="D497" s="25" t="n"/>
      <c r="E497" s="26" t="n"/>
      <c r="F497" s="27" t="n"/>
      <c r="G497" s="17" t="n"/>
      <c r="H497" s="28" t="n"/>
      <c r="I497" s="28" t="n"/>
      <c r="J497" s="28" t="n"/>
      <c r="K497" s="28" t="n"/>
      <c r="L497" s="28" t="n"/>
      <c r="M497" s="28" t="n"/>
      <c r="N497" s="28" t="n"/>
      <c r="O497" s="28" t="n"/>
      <c r="P497" s="28" t="n"/>
      <c r="Q497" s="28" t="n"/>
      <c r="R497" s="28" t="n"/>
      <c r="S497" s="28" t="n"/>
      <c r="T497" s="29">
        <f>IF(N(E497)=0,"",E497*IF(F497="",1,IFERROR(INDEX(Setup!$E$9:$E$18,MATCH(F497,Setup!$D$9:$D$18,0)),0)))</f>
        <v/>
      </c>
      <c r="U497" s="30">
        <f>IF(T497="","",IF(V497=0,"Everyone",IF(COUNTIF(AI497:AT497,"&gt;0")=COUNTIF(Setup!$B$9:$B$20,"?*"),"Everyone",COUNTIF(AI497:AT497,"&gt;0")&amp;IF(COUNTIF(AI497:AT497,"&gt;0")=1," person"," people"))))</f>
        <v/>
      </c>
      <c r="V497" s="1">
        <f>SUM(AI497:AT497)</f>
        <v/>
      </c>
      <c r="W497">
        <f>IF(OR(T497="",Setup!$B$9=""),0,IF(V497=0,T497/COUNTIF(Setup!$B$9:$B$20,"?*"),T497*AI497/V497))</f>
        <v/>
      </c>
      <c r="X497">
        <f>IF(OR(T497="",Setup!$B$10=""),0,IF(V497=0,T497/COUNTIF(Setup!$B$9:$B$20,"?*"),T497*AJ497/V497))</f>
        <v/>
      </c>
      <c r="Y497">
        <f>IF(OR(T497="",Setup!$B$11=""),0,IF(V497=0,T497/COUNTIF(Setup!$B$9:$B$20,"?*"),T497*AK497/V497))</f>
        <v/>
      </c>
      <c r="Z497">
        <f>IF(OR(T497="",Setup!$B$12=""),0,IF(V497=0,T497/COUNTIF(Setup!$B$9:$B$20,"?*"),T497*AL497/V497))</f>
        <v/>
      </c>
      <c r="AA497">
        <f>IF(OR(T497="",Setup!$B$13=""),0,IF(V497=0,T497/COUNTIF(Setup!$B$9:$B$20,"?*"),T497*AM497/V497))</f>
        <v/>
      </c>
      <c r="AB497">
        <f>IF(OR(T497="",Setup!$B$14=""),0,IF(V497=0,T497/COUNTIF(Setup!$B$9:$B$20,"?*"),T497*AN497/V497))</f>
        <v/>
      </c>
      <c r="AC497">
        <f>IF(OR(T497="",Setup!$B$15=""),0,IF(V497=0,T497/COUNTIF(Setup!$B$9:$B$20,"?*"),T497*AO497/V497))</f>
        <v/>
      </c>
      <c r="AD497">
        <f>IF(OR(T497="",Setup!$B$16=""),0,IF(V497=0,T497/COUNTIF(Setup!$B$9:$B$20,"?*"),T497*AP497/V497))</f>
        <v/>
      </c>
      <c r="AE497">
        <f>IF(OR(T497="",Setup!$B$17=""),0,IF(V497=0,T497/COUNTIF(Setup!$B$9:$B$20,"?*"),T497*AQ497/V497))</f>
        <v/>
      </c>
      <c r="AF497">
        <f>IF(OR(T497="",Setup!$B$18=""),0,IF(V497=0,T497/COUNTIF(Setup!$B$9:$B$20,"?*"),T497*AR497/V497))</f>
        <v/>
      </c>
      <c r="AG497">
        <f>IF(OR(T497="",Setup!$B$19=""),0,IF(V497=0,T497/COUNTIF(Setup!$B$9:$B$20,"?*"),T497*AS497/V497))</f>
        <v/>
      </c>
      <c r="AH497">
        <f>IF(OR(T497="",Setup!$B$20=""),0,IF(V497=0,T497/COUNTIF(Setup!$B$9:$B$20,"?*"),T497*AT497/V497))</f>
        <v/>
      </c>
      <c r="AI497">
        <f>IF(Setup!$B$9="",0,IF(H497="",0,IF(ISNUMBER(H497),H497,1)))</f>
        <v/>
      </c>
      <c r="AJ497">
        <f>IF(Setup!$B$10="",0,IF(I497="",0,IF(ISNUMBER(I497),I497,1)))</f>
        <v/>
      </c>
      <c r="AK497">
        <f>IF(Setup!$B$11="",0,IF(J497="",0,IF(ISNUMBER(J497),J497,1)))</f>
        <v/>
      </c>
      <c r="AL497">
        <f>IF(Setup!$B$12="",0,IF(K497="",0,IF(ISNUMBER(K497),K497,1)))</f>
        <v/>
      </c>
      <c r="AM497">
        <f>IF(Setup!$B$13="",0,IF(L497="",0,IF(ISNUMBER(L497),L497,1)))</f>
        <v/>
      </c>
      <c r="AN497">
        <f>IF(Setup!$B$14="",0,IF(M497="",0,IF(ISNUMBER(M497),M497,1)))</f>
        <v/>
      </c>
      <c r="AO497">
        <f>IF(Setup!$B$15="",0,IF(N497="",0,IF(ISNUMBER(N497),N497,1)))</f>
        <v/>
      </c>
      <c r="AP497">
        <f>IF(Setup!$B$16="",0,IF(O497="",0,IF(ISNUMBER(O497),O497,1)))</f>
        <v/>
      </c>
      <c r="AQ497">
        <f>IF(Setup!$B$17="",0,IF(P497="",0,IF(ISNUMBER(P497),P497,1)))</f>
        <v/>
      </c>
      <c r="AR497">
        <f>IF(Setup!$B$18="",0,IF(Q497="",0,IF(ISNUMBER(Q497),Q497,1)))</f>
        <v/>
      </c>
      <c r="AS497">
        <f>IF(Setup!$B$19="",0,IF(R497="",0,IF(ISNUMBER(R497),R497,1)))</f>
        <v/>
      </c>
      <c r="AT497">
        <f>IF(Setup!$B$20="",0,IF(S497="",0,IF(ISNUMBER(S497),S497,1)))</f>
        <v/>
      </c>
    </row>
    <row r="498">
      <c r="A498" s="1" t="n"/>
      <c r="B498" s="24" t="n"/>
      <c r="C498" s="25" t="n"/>
      <c r="D498" s="25" t="n"/>
      <c r="E498" s="26" t="n"/>
      <c r="F498" s="27" t="n"/>
      <c r="G498" s="17" t="n"/>
      <c r="H498" s="28" t="n"/>
      <c r="I498" s="28" t="n"/>
      <c r="J498" s="28" t="n"/>
      <c r="K498" s="28" t="n"/>
      <c r="L498" s="28" t="n"/>
      <c r="M498" s="28" t="n"/>
      <c r="N498" s="28" t="n"/>
      <c r="O498" s="28" t="n"/>
      <c r="P498" s="28" t="n"/>
      <c r="Q498" s="28" t="n"/>
      <c r="R498" s="28" t="n"/>
      <c r="S498" s="28" t="n"/>
      <c r="T498" s="29">
        <f>IF(N(E498)=0,"",E498*IF(F498="",1,IFERROR(INDEX(Setup!$E$9:$E$18,MATCH(F498,Setup!$D$9:$D$18,0)),0)))</f>
        <v/>
      </c>
      <c r="U498" s="30">
        <f>IF(T498="","",IF(V498=0,"Everyone",IF(COUNTIF(AI498:AT498,"&gt;0")=COUNTIF(Setup!$B$9:$B$20,"?*"),"Everyone",COUNTIF(AI498:AT498,"&gt;0")&amp;IF(COUNTIF(AI498:AT498,"&gt;0")=1," person"," people"))))</f>
        <v/>
      </c>
      <c r="V498" s="1">
        <f>SUM(AI498:AT498)</f>
        <v/>
      </c>
      <c r="W498">
        <f>IF(OR(T498="",Setup!$B$9=""),0,IF(V498=0,T498/COUNTIF(Setup!$B$9:$B$20,"?*"),T498*AI498/V498))</f>
        <v/>
      </c>
      <c r="X498">
        <f>IF(OR(T498="",Setup!$B$10=""),0,IF(V498=0,T498/COUNTIF(Setup!$B$9:$B$20,"?*"),T498*AJ498/V498))</f>
        <v/>
      </c>
      <c r="Y498">
        <f>IF(OR(T498="",Setup!$B$11=""),0,IF(V498=0,T498/COUNTIF(Setup!$B$9:$B$20,"?*"),T498*AK498/V498))</f>
        <v/>
      </c>
      <c r="Z498">
        <f>IF(OR(T498="",Setup!$B$12=""),0,IF(V498=0,T498/COUNTIF(Setup!$B$9:$B$20,"?*"),T498*AL498/V498))</f>
        <v/>
      </c>
      <c r="AA498">
        <f>IF(OR(T498="",Setup!$B$13=""),0,IF(V498=0,T498/COUNTIF(Setup!$B$9:$B$20,"?*"),T498*AM498/V498))</f>
        <v/>
      </c>
      <c r="AB498">
        <f>IF(OR(T498="",Setup!$B$14=""),0,IF(V498=0,T498/COUNTIF(Setup!$B$9:$B$20,"?*"),T498*AN498/V498))</f>
        <v/>
      </c>
      <c r="AC498">
        <f>IF(OR(T498="",Setup!$B$15=""),0,IF(V498=0,T498/COUNTIF(Setup!$B$9:$B$20,"?*"),T498*AO498/V498))</f>
        <v/>
      </c>
      <c r="AD498">
        <f>IF(OR(T498="",Setup!$B$16=""),0,IF(V498=0,T498/COUNTIF(Setup!$B$9:$B$20,"?*"),T498*AP498/V498))</f>
        <v/>
      </c>
      <c r="AE498">
        <f>IF(OR(T498="",Setup!$B$17=""),0,IF(V498=0,T498/COUNTIF(Setup!$B$9:$B$20,"?*"),T498*AQ498/V498))</f>
        <v/>
      </c>
      <c r="AF498">
        <f>IF(OR(T498="",Setup!$B$18=""),0,IF(V498=0,T498/COUNTIF(Setup!$B$9:$B$20,"?*"),T498*AR498/V498))</f>
        <v/>
      </c>
      <c r="AG498">
        <f>IF(OR(T498="",Setup!$B$19=""),0,IF(V498=0,T498/COUNTIF(Setup!$B$9:$B$20,"?*"),T498*AS498/V498))</f>
        <v/>
      </c>
      <c r="AH498">
        <f>IF(OR(T498="",Setup!$B$20=""),0,IF(V498=0,T498/COUNTIF(Setup!$B$9:$B$20,"?*"),T498*AT498/V498))</f>
        <v/>
      </c>
      <c r="AI498">
        <f>IF(Setup!$B$9="",0,IF(H498="",0,IF(ISNUMBER(H498),H498,1)))</f>
        <v/>
      </c>
      <c r="AJ498">
        <f>IF(Setup!$B$10="",0,IF(I498="",0,IF(ISNUMBER(I498),I498,1)))</f>
        <v/>
      </c>
      <c r="AK498">
        <f>IF(Setup!$B$11="",0,IF(J498="",0,IF(ISNUMBER(J498),J498,1)))</f>
        <v/>
      </c>
      <c r="AL498">
        <f>IF(Setup!$B$12="",0,IF(K498="",0,IF(ISNUMBER(K498),K498,1)))</f>
        <v/>
      </c>
      <c r="AM498">
        <f>IF(Setup!$B$13="",0,IF(L498="",0,IF(ISNUMBER(L498),L498,1)))</f>
        <v/>
      </c>
      <c r="AN498">
        <f>IF(Setup!$B$14="",0,IF(M498="",0,IF(ISNUMBER(M498),M498,1)))</f>
        <v/>
      </c>
      <c r="AO498">
        <f>IF(Setup!$B$15="",0,IF(N498="",0,IF(ISNUMBER(N498),N498,1)))</f>
        <v/>
      </c>
      <c r="AP498">
        <f>IF(Setup!$B$16="",0,IF(O498="",0,IF(ISNUMBER(O498),O498,1)))</f>
        <v/>
      </c>
      <c r="AQ498">
        <f>IF(Setup!$B$17="",0,IF(P498="",0,IF(ISNUMBER(P498),P498,1)))</f>
        <v/>
      </c>
      <c r="AR498">
        <f>IF(Setup!$B$18="",0,IF(Q498="",0,IF(ISNUMBER(Q498),Q498,1)))</f>
        <v/>
      </c>
      <c r="AS498">
        <f>IF(Setup!$B$19="",0,IF(R498="",0,IF(ISNUMBER(R498),R498,1)))</f>
        <v/>
      </c>
      <c r="AT498">
        <f>IF(Setup!$B$20="",0,IF(S498="",0,IF(ISNUMBER(S498),S498,1)))</f>
        <v/>
      </c>
    </row>
    <row r="499">
      <c r="A499" s="1" t="n"/>
      <c r="B499" s="24" t="n"/>
      <c r="C499" s="25" t="n"/>
      <c r="D499" s="25" t="n"/>
      <c r="E499" s="26" t="n"/>
      <c r="F499" s="27" t="n"/>
      <c r="G499" s="17" t="n"/>
      <c r="H499" s="28" t="n"/>
      <c r="I499" s="28" t="n"/>
      <c r="J499" s="28" t="n"/>
      <c r="K499" s="28" t="n"/>
      <c r="L499" s="28" t="n"/>
      <c r="M499" s="28" t="n"/>
      <c r="N499" s="28" t="n"/>
      <c r="O499" s="28" t="n"/>
      <c r="P499" s="28" t="n"/>
      <c r="Q499" s="28" t="n"/>
      <c r="R499" s="28" t="n"/>
      <c r="S499" s="28" t="n"/>
      <c r="T499" s="29">
        <f>IF(N(E499)=0,"",E499*IF(F499="",1,IFERROR(INDEX(Setup!$E$9:$E$18,MATCH(F499,Setup!$D$9:$D$18,0)),0)))</f>
        <v/>
      </c>
      <c r="U499" s="30">
        <f>IF(T499="","",IF(V499=0,"Everyone",IF(COUNTIF(AI499:AT499,"&gt;0")=COUNTIF(Setup!$B$9:$B$20,"?*"),"Everyone",COUNTIF(AI499:AT499,"&gt;0")&amp;IF(COUNTIF(AI499:AT499,"&gt;0")=1," person"," people"))))</f>
        <v/>
      </c>
      <c r="V499" s="1">
        <f>SUM(AI499:AT499)</f>
        <v/>
      </c>
      <c r="W499">
        <f>IF(OR(T499="",Setup!$B$9=""),0,IF(V499=0,T499/COUNTIF(Setup!$B$9:$B$20,"?*"),T499*AI499/V499))</f>
        <v/>
      </c>
      <c r="X499">
        <f>IF(OR(T499="",Setup!$B$10=""),0,IF(V499=0,T499/COUNTIF(Setup!$B$9:$B$20,"?*"),T499*AJ499/V499))</f>
        <v/>
      </c>
      <c r="Y499">
        <f>IF(OR(T499="",Setup!$B$11=""),0,IF(V499=0,T499/COUNTIF(Setup!$B$9:$B$20,"?*"),T499*AK499/V499))</f>
        <v/>
      </c>
      <c r="Z499">
        <f>IF(OR(T499="",Setup!$B$12=""),0,IF(V499=0,T499/COUNTIF(Setup!$B$9:$B$20,"?*"),T499*AL499/V499))</f>
        <v/>
      </c>
      <c r="AA499">
        <f>IF(OR(T499="",Setup!$B$13=""),0,IF(V499=0,T499/COUNTIF(Setup!$B$9:$B$20,"?*"),T499*AM499/V499))</f>
        <v/>
      </c>
      <c r="AB499">
        <f>IF(OR(T499="",Setup!$B$14=""),0,IF(V499=0,T499/COUNTIF(Setup!$B$9:$B$20,"?*"),T499*AN499/V499))</f>
        <v/>
      </c>
      <c r="AC499">
        <f>IF(OR(T499="",Setup!$B$15=""),0,IF(V499=0,T499/COUNTIF(Setup!$B$9:$B$20,"?*"),T499*AO499/V499))</f>
        <v/>
      </c>
      <c r="AD499">
        <f>IF(OR(T499="",Setup!$B$16=""),0,IF(V499=0,T499/COUNTIF(Setup!$B$9:$B$20,"?*"),T499*AP499/V499))</f>
        <v/>
      </c>
      <c r="AE499">
        <f>IF(OR(T499="",Setup!$B$17=""),0,IF(V499=0,T499/COUNTIF(Setup!$B$9:$B$20,"?*"),T499*AQ499/V499))</f>
        <v/>
      </c>
      <c r="AF499">
        <f>IF(OR(T499="",Setup!$B$18=""),0,IF(V499=0,T499/COUNTIF(Setup!$B$9:$B$20,"?*"),T499*AR499/V499))</f>
        <v/>
      </c>
      <c r="AG499">
        <f>IF(OR(T499="",Setup!$B$19=""),0,IF(V499=0,T499/COUNTIF(Setup!$B$9:$B$20,"?*"),T499*AS499/V499))</f>
        <v/>
      </c>
      <c r="AH499">
        <f>IF(OR(T499="",Setup!$B$20=""),0,IF(V499=0,T499/COUNTIF(Setup!$B$9:$B$20,"?*"),T499*AT499/V499))</f>
        <v/>
      </c>
      <c r="AI499">
        <f>IF(Setup!$B$9="",0,IF(H499="",0,IF(ISNUMBER(H499),H499,1)))</f>
        <v/>
      </c>
      <c r="AJ499">
        <f>IF(Setup!$B$10="",0,IF(I499="",0,IF(ISNUMBER(I499),I499,1)))</f>
        <v/>
      </c>
      <c r="AK499">
        <f>IF(Setup!$B$11="",0,IF(J499="",0,IF(ISNUMBER(J499),J499,1)))</f>
        <v/>
      </c>
      <c r="AL499">
        <f>IF(Setup!$B$12="",0,IF(K499="",0,IF(ISNUMBER(K499),K499,1)))</f>
        <v/>
      </c>
      <c r="AM499">
        <f>IF(Setup!$B$13="",0,IF(L499="",0,IF(ISNUMBER(L499),L499,1)))</f>
        <v/>
      </c>
      <c r="AN499">
        <f>IF(Setup!$B$14="",0,IF(M499="",0,IF(ISNUMBER(M499),M499,1)))</f>
        <v/>
      </c>
      <c r="AO499">
        <f>IF(Setup!$B$15="",0,IF(N499="",0,IF(ISNUMBER(N499),N499,1)))</f>
        <v/>
      </c>
      <c r="AP499">
        <f>IF(Setup!$B$16="",0,IF(O499="",0,IF(ISNUMBER(O499),O499,1)))</f>
        <v/>
      </c>
      <c r="AQ499">
        <f>IF(Setup!$B$17="",0,IF(P499="",0,IF(ISNUMBER(P499),P499,1)))</f>
        <v/>
      </c>
      <c r="AR499">
        <f>IF(Setup!$B$18="",0,IF(Q499="",0,IF(ISNUMBER(Q499),Q499,1)))</f>
        <v/>
      </c>
      <c r="AS499">
        <f>IF(Setup!$B$19="",0,IF(R499="",0,IF(ISNUMBER(R499),R499,1)))</f>
        <v/>
      </c>
      <c r="AT499">
        <f>IF(Setup!$B$20="",0,IF(S499="",0,IF(ISNUMBER(S499),S499,1)))</f>
        <v/>
      </c>
    </row>
    <row r="500">
      <c r="A500" s="1" t="n"/>
      <c r="B500" s="24" t="n"/>
      <c r="C500" s="25" t="n"/>
      <c r="D500" s="25" t="n"/>
      <c r="E500" s="26" t="n"/>
      <c r="F500" s="27" t="n"/>
      <c r="G500" s="17" t="n"/>
      <c r="H500" s="28" t="n"/>
      <c r="I500" s="28" t="n"/>
      <c r="J500" s="28" t="n"/>
      <c r="K500" s="28" t="n"/>
      <c r="L500" s="28" t="n"/>
      <c r="M500" s="28" t="n"/>
      <c r="N500" s="28" t="n"/>
      <c r="O500" s="28" t="n"/>
      <c r="P500" s="28" t="n"/>
      <c r="Q500" s="28" t="n"/>
      <c r="R500" s="28" t="n"/>
      <c r="S500" s="28" t="n"/>
      <c r="T500" s="29">
        <f>IF(N(E500)=0,"",E500*IF(F500="",1,IFERROR(INDEX(Setup!$E$9:$E$18,MATCH(F500,Setup!$D$9:$D$18,0)),0)))</f>
        <v/>
      </c>
      <c r="U500" s="30">
        <f>IF(T500="","",IF(V500=0,"Everyone",IF(COUNTIF(AI500:AT500,"&gt;0")=COUNTIF(Setup!$B$9:$B$20,"?*"),"Everyone",COUNTIF(AI500:AT500,"&gt;0")&amp;IF(COUNTIF(AI500:AT500,"&gt;0")=1," person"," people"))))</f>
        <v/>
      </c>
      <c r="V500" s="1">
        <f>SUM(AI500:AT500)</f>
        <v/>
      </c>
      <c r="W500">
        <f>IF(OR(T500="",Setup!$B$9=""),0,IF(V500=0,T500/COUNTIF(Setup!$B$9:$B$20,"?*"),T500*AI500/V500))</f>
        <v/>
      </c>
      <c r="X500">
        <f>IF(OR(T500="",Setup!$B$10=""),0,IF(V500=0,T500/COUNTIF(Setup!$B$9:$B$20,"?*"),T500*AJ500/V500))</f>
        <v/>
      </c>
      <c r="Y500">
        <f>IF(OR(T500="",Setup!$B$11=""),0,IF(V500=0,T500/COUNTIF(Setup!$B$9:$B$20,"?*"),T500*AK500/V500))</f>
        <v/>
      </c>
      <c r="Z500">
        <f>IF(OR(T500="",Setup!$B$12=""),0,IF(V500=0,T500/COUNTIF(Setup!$B$9:$B$20,"?*"),T500*AL500/V500))</f>
        <v/>
      </c>
      <c r="AA500">
        <f>IF(OR(T500="",Setup!$B$13=""),0,IF(V500=0,T500/COUNTIF(Setup!$B$9:$B$20,"?*"),T500*AM500/V500))</f>
        <v/>
      </c>
      <c r="AB500">
        <f>IF(OR(T500="",Setup!$B$14=""),0,IF(V500=0,T500/COUNTIF(Setup!$B$9:$B$20,"?*"),T500*AN500/V500))</f>
        <v/>
      </c>
      <c r="AC500">
        <f>IF(OR(T500="",Setup!$B$15=""),0,IF(V500=0,T500/COUNTIF(Setup!$B$9:$B$20,"?*"),T500*AO500/V500))</f>
        <v/>
      </c>
      <c r="AD500">
        <f>IF(OR(T500="",Setup!$B$16=""),0,IF(V500=0,T500/COUNTIF(Setup!$B$9:$B$20,"?*"),T500*AP500/V500))</f>
        <v/>
      </c>
      <c r="AE500">
        <f>IF(OR(T500="",Setup!$B$17=""),0,IF(V500=0,T500/COUNTIF(Setup!$B$9:$B$20,"?*"),T500*AQ500/V500))</f>
        <v/>
      </c>
      <c r="AF500">
        <f>IF(OR(T500="",Setup!$B$18=""),0,IF(V500=0,T500/COUNTIF(Setup!$B$9:$B$20,"?*"),T500*AR500/V500))</f>
        <v/>
      </c>
      <c r="AG500">
        <f>IF(OR(T500="",Setup!$B$19=""),0,IF(V500=0,T500/COUNTIF(Setup!$B$9:$B$20,"?*"),T500*AS500/V500))</f>
        <v/>
      </c>
      <c r="AH500">
        <f>IF(OR(T500="",Setup!$B$20=""),0,IF(V500=0,T500/COUNTIF(Setup!$B$9:$B$20,"?*"),T500*AT500/V500))</f>
        <v/>
      </c>
      <c r="AI500">
        <f>IF(Setup!$B$9="",0,IF(H500="",0,IF(ISNUMBER(H500),H500,1)))</f>
        <v/>
      </c>
      <c r="AJ500">
        <f>IF(Setup!$B$10="",0,IF(I500="",0,IF(ISNUMBER(I500),I500,1)))</f>
        <v/>
      </c>
      <c r="AK500">
        <f>IF(Setup!$B$11="",0,IF(J500="",0,IF(ISNUMBER(J500),J500,1)))</f>
        <v/>
      </c>
      <c r="AL500">
        <f>IF(Setup!$B$12="",0,IF(K500="",0,IF(ISNUMBER(K500),K500,1)))</f>
        <v/>
      </c>
      <c r="AM500">
        <f>IF(Setup!$B$13="",0,IF(L500="",0,IF(ISNUMBER(L500),L500,1)))</f>
        <v/>
      </c>
      <c r="AN500">
        <f>IF(Setup!$B$14="",0,IF(M500="",0,IF(ISNUMBER(M500),M500,1)))</f>
        <v/>
      </c>
      <c r="AO500">
        <f>IF(Setup!$B$15="",0,IF(N500="",0,IF(ISNUMBER(N500),N500,1)))</f>
        <v/>
      </c>
      <c r="AP500">
        <f>IF(Setup!$B$16="",0,IF(O500="",0,IF(ISNUMBER(O500),O500,1)))</f>
        <v/>
      </c>
      <c r="AQ500">
        <f>IF(Setup!$B$17="",0,IF(P500="",0,IF(ISNUMBER(P500),P500,1)))</f>
        <v/>
      </c>
      <c r="AR500">
        <f>IF(Setup!$B$18="",0,IF(Q500="",0,IF(ISNUMBER(Q500),Q500,1)))</f>
        <v/>
      </c>
      <c r="AS500">
        <f>IF(Setup!$B$19="",0,IF(R500="",0,IF(ISNUMBER(R500),R500,1)))</f>
        <v/>
      </c>
      <c r="AT500">
        <f>IF(Setup!$B$20="",0,IF(S500="",0,IF(ISNUMBER(S500),S500,1)))</f>
        <v/>
      </c>
    </row>
    <row r="501">
      <c r="A501" s="1" t="n"/>
      <c r="B501" s="24" t="n"/>
      <c r="C501" s="25" t="n"/>
      <c r="D501" s="25" t="n"/>
      <c r="E501" s="26" t="n"/>
      <c r="F501" s="27" t="n"/>
      <c r="G501" s="17" t="n"/>
      <c r="H501" s="28" t="n"/>
      <c r="I501" s="28" t="n"/>
      <c r="J501" s="28" t="n"/>
      <c r="K501" s="28" t="n"/>
      <c r="L501" s="28" t="n"/>
      <c r="M501" s="28" t="n"/>
      <c r="N501" s="28" t="n"/>
      <c r="O501" s="28" t="n"/>
      <c r="P501" s="28" t="n"/>
      <c r="Q501" s="28" t="n"/>
      <c r="R501" s="28" t="n"/>
      <c r="S501" s="28" t="n"/>
      <c r="T501" s="29">
        <f>IF(N(E501)=0,"",E501*IF(F501="",1,IFERROR(INDEX(Setup!$E$9:$E$18,MATCH(F501,Setup!$D$9:$D$18,0)),0)))</f>
        <v/>
      </c>
      <c r="U501" s="30">
        <f>IF(T501="","",IF(V501=0,"Everyone",IF(COUNTIF(AI501:AT501,"&gt;0")=COUNTIF(Setup!$B$9:$B$20,"?*"),"Everyone",COUNTIF(AI501:AT501,"&gt;0")&amp;IF(COUNTIF(AI501:AT501,"&gt;0")=1," person"," people"))))</f>
        <v/>
      </c>
      <c r="V501" s="1">
        <f>SUM(AI501:AT501)</f>
        <v/>
      </c>
      <c r="W501">
        <f>IF(OR(T501="",Setup!$B$9=""),0,IF(V501=0,T501/COUNTIF(Setup!$B$9:$B$20,"?*"),T501*AI501/V501))</f>
        <v/>
      </c>
      <c r="X501">
        <f>IF(OR(T501="",Setup!$B$10=""),0,IF(V501=0,T501/COUNTIF(Setup!$B$9:$B$20,"?*"),T501*AJ501/V501))</f>
        <v/>
      </c>
      <c r="Y501">
        <f>IF(OR(T501="",Setup!$B$11=""),0,IF(V501=0,T501/COUNTIF(Setup!$B$9:$B$20,"?*"),T501*AK501/V501))</f>
        <v/>
      </c>
      <c r="Z501">
        <f>IF(OR(T501="",Setup!$B$12=""),0,IF(V501=0,T501/COUNTIF(Setup!$B$9:$B$20,"?*"),T501*AL501/V501))</f>
        <v/>
      </c>
      <c r="AA501">
        <f>IF(OR(T501="",Setup!$B$13=""),0,IF(V501=0,T501/COUNTIF(Setup!$B$9:$B$20,"?*"),T501*AM501/V501))</f>
        <v/>
      </c>
      <c r="AB501">
        <f>IF(OR(T501="",Setup!$B$14=""),0,IF(V501=0,T501/COUNTIF(Setup!$B$9:$B$20,"?*"),T501*AN501/V501))</f>
        <v/>
      </c>
      <c r="AC501">
        <f>IF(OR(T501="",Setup!$B$15=""),0,IF(V501=0,T501/COUNTIF(Setup!$B$9:$B$20,"?*"),T501*AO501/V501))</f>
        <v/>
      </c>
      <c r="AD501">
        <f>IF(OR(T501="",Setup!$B$16=""),0,IF(V501=0,T501/COUNTIF(Setup!$B$9:$B$20,"?*"),T501*AP501/V501))</f>
        <v/>
      </c>
      <c r="AE501">
        <f>IF(OR(T501="",Setup!$B$17=""),0,IF(V501=0,T501/COUNTIF(Setup!$B$9:$B$20,"?*"),T501*AQ501/V501))</f>
        <v/>
      </c>
      <c r="AF501">
        <f>IF(OR(T501="",Setup!$B$18=""),0,IF(V501=0,T501/COUNTIF(Setup!$B$9:$B$20,"?*"),T501*AR501/V501))</f>
        <v/>
      </c>
      <c r="AG501">
        <f>IF(OR(T501="",Setup!$B$19=""),0,IF(V501=0,T501/COUNTIF(Setup!$B$9:$B$20,"?*"),T501*AS501/V501))</f>
        <v/>
      </c>
      <c r="AH501">
        <f>IF(OR(T501="",Setup!$B$20=""),0,IF(V501=0,T501/COUNTIF(Setup!$B$9:$B$20,"?*"),T501*AT501/V501))</f>
        <v/>
      </c>
      <c r="AI501">
        <f>IF(Setup!$B$9="",0,IF(H501="",0,IF(ISNUMBER(H501),H501,1)))</f>
        <v/>
      </c>
      <c r="AJ501">
        <f>IF(Setup!$B$10="",0,IF(I501="",0,IF(ISNUMBER(I501),I501,1)))</f>
        <v/>
      </c>
      <c r="AK501">
        <f>IF(Setup!$B$11="",0,IF(J501="",0,IF(ISNUMBER(J501),J501,1)))</f>
        <v/>
      </c>
      <c r="AL501">
        <f>IF(Setup!$B$12="",0,IF(K501="",0,IF(ISNUMBER(K501),K501,1)))</f>
        <v/>
      </c>
      <c r="AM501">
        <f>IF(Setup!$B$13="",0,IF(L501="",0,IF(ISNUMBER(L501),L501,1)))</f>
        <v/>
      </c>
      <c r="AN501">
        <f>IF(Setup!$B$14="",0,IF(M501="",0,IF(ISNUMBER(M501),M501,1)))</f>
        <v/>
      </c>
      <c r="AO501">
        <f>IF(Setup!$B$15="",0,IF(N501="",0,IF(ISNUMBER(N501),N501,1)))</f>
        <v/>
      </c>
      <c r="AP501">
        <f>IF(Setup!$B$16="",0,IF(O501="",0,IF(ISNUMBER(O501),O501,1)))</f>
        <v/>
      </c>
      <c r="AQ501">
        <f>IF(Setup!$B$17="",0,IF(P501="",0,IF(ISNUMBER(P501),P501,1)))</f>
        <v/>
      </c>
      <c r="AR501">
        <f>IF(Setup!$B$18="",0,IF(Q501="",0,IF(ISNUMBER(Q501),Q501,1)))</f>
        <v/>
      </c>
      <c r="AS501">
        <f>IF(Setup!$B$19="",0,IF(R501="",0,IF(ISNUMBER(R501),R501,1)))</f>
        <v/>
      </c>
      <c r="AT501">
        <f>IF(Setup!$B$20="",0,IF(S501="",0,IF(ISNUMBER(S501),S501,1)))</f>
        <v/>
      </c>
    </row>
    <row r="502">
      <c r="A502" s="1" t="n"/>
      <c r="B502" s="24" t="n"/>
      <c r="C502" s="25" t="n"/>
      <c r="D502" s="25" t="n"/>
      <c r="E502" s="26" t="n"/>
      <c r="F502" s="27" t="n"/>
      <c r="G502" s="17" t="n"/>
      <c r="H502" s="28" t="n"/>
      <c r="I502" s="28" t="n"/>
      <c r="J502" s="28" t="n"/>
      <c r="K502" s="28" t="n"/>
      <c r="L502" s="28" t="n"/>
      <c r="M502" s="28" t="n"/>
      <c r="N502" s="28" t="n"/>
      <c r="O502" s="28" t="n"/>
      <c r="P502" s="28" t="n"/>
      <c r="Q502" s="28" t="n"/>
      <c r="R502" s="28" t="n"/>
      <c r="S502" s="28" t="n"/>
      <c r="T502" s="29">
        <f>IF(N(E502)=0,"",E502*IF(F502="",1,IFERROR(INDEX(Setup!$E$9:$E$18,MATCH(F502,Setup!$D$9:$D$18,0)),0)))</f>
        <v/>
      </c>
      <c r="U502" s="30">
        <f>IF(T502="","",IF(V502=0,"Everyone",IF(COUNTIF(AI502:AT502,"&gt;0")=COUNTIF(Setup!$B$9:$B$20,"?*"),"Everyone",COUNTIF(AI502:AT502,"&gt;0")&amp;IF(COUNTIF(AI502:AT502,"&gt;0")=1," person"," people"))))</f>
        <v/>
      </c>
      <c r="V502" s="1">
        <f>SUM(AI502:AT502)</f>
        <v/>
      </c>
      <c r="W502">
        <f>IF(OR(T502="",Setup!$B$9=""),0,IF(V502=0,T502/COUNTIF(Setup!$B$9:$B$20,"?*"),T502*AI502/V502))</f>
        <v/>
      </c>
      <c r="X502">
        <f>IF(OR(T502="",Setup!$B$10=""),0,IF(V502=0,T502/COUNTIF(Setup!$B$9:$B$20,"?*"),T502*AJ502/V502))</f>
        <v/>
      </c>
      <c r="Y502">
        <f>IF(OR(T502="",Setup!$B$11=""),0,IF(V502=0,T502/COUNTIF(Setup!$B$9:$B$20,"?*"),T502*AK502/V502))</f>
        <v/>
      </c>
      <c r="Z502">
        <f>IF(OR(T502="",Setup!$B$12=""),0,IF(V502=0,T502/COUNTIF(Setup!$B$9:$B$20,"?*"),T502*AL502/V502))</f>
        <v/>
      </c>
      <c r="AA502">
        <f>IF(OR(T502="",Setup!$B$13=""),0,IF(V502=0,T502/COUNTIF(Setup!$B$9:$B$20,"?*"),T502*AM502/V502))</f>
        <v/>
      </c>
      <c r="AB502">
        <f>IF(OR(T502="",Setup!$B$14=""),0,IF(V502=0,T502/COUNTIF(Setup!$B$9:$B$20,"?*"),T502*AN502/V502))</f>
        <v/>
      </c>
      <c r="AC502">
        <f>IF(OR(T502="",Setup!$B$15=""),0,IF(V502=0,T502/COUNTIF(Setup!$B$9:$B$20,"?*"),T502*AO502/V502))</f>
        <v/>
      </c>
      <c r="AD502">
        <f>IF(OR(T502="",Setup!$B$16=""),0,IF(V502=0,T502/COUNTIF(Setup!$B$9:$B$20,"?*"),T502*AP502/V502))</f>
        <v/>
      </c>
      <c r="AE502">
        <f>IF(OR(T502="",Setup!$B$17=""),0,IF(V502=0,T502/COUNTIF(Setup!$B$9:$B$20,"?*"),T502*AQ502/V502))</f>
        <v/>
      </c>
      <c r="AF502">
        <f>IF(OR(T502="",Setup!$B$18=""),0,IF(V502=0,T502/COUNTIF(Setup!$B$9:$B$20,"?*"),T502*AR502/V502))</f>
        <v/>
      </c>
      <c r="AG502">
        <f>IF(OR(T502="",Setup!$B$19=""),0,IF(V502=0,T502/COUNTIF(Setup!$B$9:$B$20,"?*"),T502*AS502/V502))</f>
        <v/>
      </c>
      <c r="AH502">
        <f>IF(OR(T502="",Setup!$B$20=""),0,IF(V502=0,T502/COUNTIF(Setup!$B$9:$B$20,"?*"),T502*AT502/V502))</f>
        <v/>
      </c>
      <c r="AI502">
        <f>IF(Setup!$B$9="",0,IF(H502="",0,IF(ISNUMBER(H502),H502,1)))</f>
        <v/>
      </c>
      <c r="AJ502">
        <f>IF(Setup!$B$10="",0,IF(I502="",0,IF(ISNUMBER(I502),I502,1)))</f>
        <v/>
      </c>
      <c r="AK502">
        <f>IF(Setup!$B$11="",0,IF(J502="",0,IF(ISNUMBER(J502),J502,1)))</f>
        <v/>
      </c>
      <c r="AL502">
        <f>IF(Setup!$B$12="",0,IF(K502="",0,IF(ISNUMBER(K502),K502,1)))</f>
        <v/>
      </c>
      <c r="AM502">
        <f>IF(Setup!$B$13="",0,IF(L502="",0,IF(ISNUMBER(L502),L502,1)))</f>
        <v/>
      </c>
      <c r="AN502">
        <f>IF(Setup!$B$14="",0,IF(M502="",0,IF(ISNUMBER(M502),M502,1)))</f>
        <v/>
      </c>
      <c r="AO502">
        <f>IF(Setup!$B$15="",0,IF(N502="",0,IF(ISNUMBER(N502),N502,1)))</f>
        <v/>
      </c>
      <c r="AP502">
        <f>IF(Setup!$B$16="",0,IF(O502="",0,IF(ISNUMBER(O502),O502,1)))</f>
        <v/>
      </c>
      <c r="AQ502">
        <f>IF(Setup!$B$17="",0,IF(P502="",0,IF(ISNUMBER(P502),P502,1)))</f>
        <v/>
      </c>
      <c r="AR502">
        <f>IF(Setup!$B$18="",0,IF(Q502="",0,IF(ISNUMBER(Q502),Q502,1)))</f>
        <v/>
      </c>
      <c r="AS502">
        <f>IF(Setup!$B$19="",0,IF(R502="",0,IF(ISNUMBER(R502),R502,1)))</f>
        <v/>
      </c>
      <c r="AT502">
        <f>IF(Setup!$B$20="",0,IF(S502="",0,IF(ISNUMBER(S502),S502,1)))</f>
        <v/>
      </c>
    </row>
    <row r="503">
      <c r="A503" s="1" t="n"/>
      <c r="B503" s="24" t="n"/>
      <c r="C503" s="25" t="n"/>
      <c r="D503" s="25" t="n"/>
      <c r="E503" s="26" t="n"/>
      <c r="F503" s="27" t="n"/>
      <c r="G503" s="17" t="n"/>
      <c r="H503" s="28" t="n"/>
      <c r="I503" s="28" t="n"/>
      <c r="J503" s="28" t="n"/>
      <c r="K503" s="28" t="n"/>
      <c r="L503" s="28" t="n"/>
      <c r="M503" s="28" t="n"/>
      <c r="N503" s="28" t="n"/>
      <c r="O503" s="28" t="n"/>
      <c r="P503" s="28" t="n"/>
      <c r="Q503" s="28" t="n"/>
      <c r="R503" s="28" t="n"/>
      <c r="S503" s="28" t="n"/>
      <c r="T503" s="29">
        <f>IF(N(E503)=0,"",E503*IF(F503="",1,IFERROR(INDEX(Setup!$E$9:$E$18,MATCH(F503,Setup!$D$9:$D$18,0)),0)))</f>
        <v/>
      </c>
      <c r="U503" s="30">
        <f>IF(T503="","",IF(V503=0,"Everyone",IF(COUNTIF(AI503:AT503,"&gt;0")=COUNTIF(Setup!$B$9:$B$20,"?*"),"Everyone",COUNTIF(AI503:AT503,"&gt;0")&amp;IF(COUNTIF(AI503:AT503,"&gt;0")=1," person"," people"))))</f>
        <v/>
      </c>
      <c r="V503" s="1">
        <f>SUM(AI503:AT503)</f>
        <v/>
      </c>
      <c r="W503">
        <f>IF(OR(T503="",Setup!$B$9=""),0,IF(V503=0,T503/COUNTIF(Setup!$B$9:$B$20,"?*"),T503*AI503/V503))</f>
        <v/>
      </c>
      <c r="X503">
        <f>IF(OR(T503="",Setup!$B$10=""),0,IF(V503=0,T503/COUNTIF(Setup!$B$9:$B$20,"?*"),T503*AJ503/V503))</f>
        <v/>
      </c>
      <c r="Y503">
        <f>IF(OR(T503="",Setup!$B$11=""),0,IF(V503=0,T503/COUNTIF(Setup!$B$9:$B$20,"?*"),T503*AK503/V503))</f>
        <v/>
      </c>
      <c r="Z503">
        <f>IF(OR(T503="",Setup!$B$12=""),0,IF(V503=0,T503/COUNTIF(Setup!$B$9:$B$20,"?*"),T503*AL503/V503))</f>
        <v/>
      </c>
      <c r="AA503">
        <f>IF(OR(T503="",Setup!$B$13=""),0,IF(V503=0,T503/COUNTIF(Setup!$B$9:$B$20,"?*"),T503*AM503/V503))</f>
        <v/>
      </c>
      <c r="AB503">
        <f>IF(OR(T503="",Setup!$B$14=""),0,IF(V503=0,T503/COUNTIF(Setup!$B$9:$B$20,"?*"),T503*AN503/V503))</f>
        <v/>
      </c>
      <c r="AC503">
        <f>IF(OR(T503="",Setup!$B$15=""),0,IF(V503=0,T503/COUNTIF(Setup!$B$9:$B$20,"?*"),T503*AO503/V503))</f>
        <v/>
      </c>
      <c r="AD503">
        <f>IF(OR(T503="",Setup!$B$16=""),0,IF(V503=0,T503/COUNTIF(Setup!$B$9:$B$20,"?*"),T503*AP503/V503))</f>
        <v/>
      </c>
      <c r="AE503">
        <f>IF(OR(T503="",Setup!$B$17=""),0,IF(V503=0,T503/COUNTIF(Setup!$B$9:$B$20,"?*"),T503*AQ503/V503))</f>
        <v/>
      </c>
      <c r="AF503">
        <f>IF(OR(T503="",Setup!$B$18=""),0,IF(V503=0,T503/COUNTIF(Setup!$B$9:$B$20,"?*"),T503*AR503/V503))</f>
        <v/>
      </c>
      <c r="AG503">
        <f>IF(OR(T503="",Setup!$B$19=""),0,IF(V503=0,T503/COUNTIF(Setup!$B$9:$B$20,"?*"),T503*AS503/V503))</f>
        <v/>
      </c>
      <c r="AH503">
        <f>IF(OR(T503="",Setup!$B$20=""),0,IF(V503=0,T503/COUNTIF(Setup!$B$9:$B$20,"?*"),T503*AT503/V503))</f>
        <v/>
      </c>
      <c r="AI503">
        <f>IF(Setup!$B$9="",0,IF(H503="",0,IF(ISNUMBER(H503),H503,1)))</f>
        <v/>
      </c>
      <c r="AJ503">
        <f>IF(Setup!$B$10="",0,IF(I503="",0,IF(ISNUMBER(I503),I503,1)))</f>
        <v/>
      </c>
      <c r="AK503">
        <f>IF(Setup!$B$11="",0,IF(J503="",0,IF(ISNUMBER(J503),J503,1)))</f>
        <v/>
      </c>
      <c r="AL503">
        <f>IF(Setup!$B$12="",0,IF(K503="",0,IF(ISNUMBER(K503),K503,1)))</f>
        <v/>
      </c>
      <c r="AM503">
        <f>IF(Setup!$B$13="",0,IF(L503="",0,IF(ISNUMBER(L503),L503,1)))</f>
        <v/>
      </c>
      <c r="AN503">
        <f>IF(Setup!$B$14="",0,IF(M503="",0,IF(ISNUMBER(M503),M503,1)))</f>
        <v/>
      </c>
      <c r="AO503">
        <f>IF(Setup!$B$15="",0,IF(N503="",0,IF(ISNUMBER(N503),N503,1)))</f>
        <v/>
      </c>
      <c r="AP503">
        <f>IF(Setup!$B$16="",0,IF(O503="",0,IF(ISNUMBER(O503),O503,1)))</f>
        <v/>
      </c>
      <c r="AQ503">
        <f>IF(Setup!$B$17="",0,IF(P503="",0,IF(ISNUMBER(P503),P503,1)))</f>
        <v/>
      </c>
      <c r="AR503">
        <f>IF(Setup!$B$18="",0,IF(Q503="",0,IF(ISNUMBER(Q503),Q503,1)))</f>
        <v/>
      </c>
      <c r="AS503">
        <f>IF(Setup!$B$19="",0,IF(R503="",0,IF(ISNUMBER(R503),R503,1)))</f>
        <v/>
      </c>
      <c r="AT503">
        <f>IF(Setup!$B$20="",0,IF(S503="",0,IF(ISNUMBER(S503),S503,1)))</f>
        <v/>
      </c>
    </row>
    <row r="504">
      <c r="A504" s="1" t="n"/>
      <c r="B504" s="24" t="n"/>
      <c r="C504" s="25" t="n"/>
      <c r="D504" s="25" t="n"/>
      <c r="E504" s="26" t="n"/>
      <c r="F504" s="27" t="n"/>
      <c r="G504" s="17" t="n"/>
      <c r="H504" s="28" t="n"/>
      <c r="I504" s="28" t="n"/>
      <c r="J504" s="28" t="n"/>
      <c r="K504" s="28" t="n"/>
      <c r="L504" s="28" t="n"/>
      <c r="M504" s="28" t="n"/>
      <c r="N504" s="28" t="n"/>
      <c r="O504" s="28" t="n"/>
      <c r="P504" s="28" t="n"/>
      <c r="Q504" s="28" t="n"/>
      <c r="R504" s="28" t="n"/>
      <c r="S504" s="28" t="n"/>
      <c r="T504" s="29">
        <f>IF(N(E504)=0,"",E504*IF(F504="",1,IFERROR(INDEX(Setup!$E$9:$E$18,MATCH(F504,Setup!$D$9:$D$18,0)),0)))</f>
        <v/>
      </c>
      <c r="U504" s="30">
        <f>IF(T504="","",IF(V504=0,"Everyone",IF(COUNTIF(AI504:AT504,"&gt;0")=COUNTIF(Setup!$B$9:$B$20,"?*"),"Everyone",COUNTIF(AI504:AT504,"&gt;0")&amp;IF(COUNTIF(AI504:AT504,"&gt;0")=1," person"," people"))))</f>
        <v/>
      </c>
      <c r="V504" s="1">
        <f>SUM(AI504:AT504)</f>
        <v/>
      </c>
      <c r="W504">
        <f>IF(OR(T504="",Setup!$B$9=""),0,IF(V504=0,T504/COUNTIF(Setup!$B$9:$B$20,"?*"),T504*AI504/V504))</f>
        <v/>
      </c>
      <c r="X504">
        <f>IF(OR(T504="",Setup!$B$10=""),0,IF(V504=0,T504/COUNTIF(Setup!$B$9:$B$20,"?*"),T504*AJ504/V504))</f>
        <v/>
      </c>
      <c r="Y504">
        <f>IF(OR(T504="",Setup!$B$11=""),0,IF(V504=0,T504/COUNTIF(Setup!$B$9:$B$20,"?*"),T504*AK504/V504))</f>
        <v/>
      </c>
      <c r="Z504">
        <f>IF(OR(T504="",Setup!$B$12=""),0,IF(V504=0,T504/COUNTIF(Setup!$B$9:$B$20,"?*"),T504*AL504/V504))</f>
        <v/>
      </c>
      <c r="AA504">
        <f>IF(OR(T504="",Setup!$B$13=""),0,IF(V504=0,T504/COUNTIF(Setup!$B$9:$B$20,"?*"),T504*AM504/V504))</f>
        <v/>
      </c>
      <c r="AB504">
        <f>IF(OR(T504="",Setup!$B$14=""),0,IF(V504=0,T504/COUNTIF(Setup!$B$9:$B$20,"?*"),T504*AN504/V504))</f>
        <v/>
      </c>
      <c r="AC504">
        <f>IF(OR(T504="",Setup!$B$15=""),0,IF(V504=0,T504/COUNTIF(Setup!$B$9:$B$20,"?*"),T504*AO504/V504))</f>
        <v/>
      </c>
      <c r="AD504">
        <f>IF(OR(T504="",Setup!$B$16=""),0,IF(V504=0,T504/COUNTIF(Setup!$B$9:$B$20,"?*"),T504*AP504/V504))</f>
        <v/>
      </c>
      <c r="AE504">
        <f>IF(OR(T504="",Setup!$B$17=""),0,IF(V504=0,T504/COUNTIF(Setup!$B$9:$B$20,"?*"),T504*AQ504/V504))</f>
        <v/>
      </c>
      <c r="AF504">
        <f>IF(OR(T504="",Setup!$B$18=""),0,IF(V504=0,T504/COUNTIF(Setup!$B$9:$B$20,"?*"),T504*AR504/V504))</f>
        <v/>
      </c>
      <c r="AG504">
        <f>IF(OR(T504="",Setup!$B$19=""),0,IF(V504=0,T504/COUNTIF(Setup!$B$9:$B$20,"?*"),T504*AS504/V504))</f>
        <v/>
      </c>
      <c r="AH504">
        <f>IF(OR(T504="",Setup!$B$20=""),0,IF(V504=0,T504/COUNTIF(Setup!$B$9:$B$20,"?*"),T504*AT504/V504))</f>
        <v/>
      </c>
      <c r="AI504">
        <f>IF(Setup!$B$9="",0,IF(H504="",0,IF(ISNUMBER(H504),H504,1)))</f>
        <v/>
      </c>
      <c r="AJ504">
        <f>IF(Setup!$B$10="",0,IF(I504="",0,IF(ISNUMBER(I504),I504,1)))</f>
        <v/>
      </c>
      <c r="AK504">
        <f>IF(Setup!$B$11="",0,IF(J504="",0,IF(ISNUMBER(J504),J504,1)))</f>
        <v/>
      </c>
      <c r="AL504">
        <f>IF(Setup!$B$12="",0,IF(K504="",0,IF(ISNUMBER(K504),K504,1)))</f>
        <v/>
      </c>
      <c r="AM504">
        <f>IF(Setup!$B$13="",0,IF(L504="",0,IF(ISNUMBER(L504),L504,1)))</f>
        <v/>
      </c>
      <c r="AN504">
        <f>IF(Setup!$B$14="",0,IF(M504="",0,IF(ISNUMBER(M504),M504,1)))</f>
        <v/>
      </c>
      <c r="AO504">
        <f>IF(Setup!$B$15="",0,IF(N504="",0,IF(ISNUMBER(N504),N504,1)))</f>
        <v/>
      </c>
      <c r="AP504">
        <f>IF(Setup!$B$16="",0,IF(O504="",0,IF(ISNUMBER(O504),O504,1)))</f>
        <v/>
      </c>
      <c r="AQ504">
        <f>IF(Setup!$B$17="",0,IF(P504="",0,IF(ISNUMBER(P504),P504,1)))</f>
        <v/>
      </c>
      <c r="AR504">
        <f>IF(Setup!$B$18="",0,IF(Q504="",0,IF(ISNUMBER(Q504),Q504,1)))</f>
        <v/>
      </c>
      <c r="AS504">
        <f>IF(Setup!$B$19="",0,IF(R504="",0,IF(ISNUMBER(R504),R504,1)))</f>
        <v/>
      </c>
      <c r="AT504">
        <f>IF(Setup!$B$20="",0,IF(S504="",0,IF(ISNUMBER(S504),S504,1)))</f>
        <v/>
      </c>
    </row>
    <row r="505">
      <c r="A505" s="1" t="n"/>
      <c r="B505" s="24" t="n"/>
      <c r="C505" s="25" t="n"/>
      <c r="D505" s="25" t="n"/>
      <c r="E505" s="26" t="n"/>
      <c r="F505" s="27" t="n"/>
      <c r="G505" s="17" t="n"/>
      <c r="H505" s="28" t="n"/>
      <c r="I505" s="28" t="n"/>
      <c r="J505" s="28" t="n"/>
      <c r="K505" s="28" t="n"/>
      <c r="L505" s="28" t="n"/>
      <c r="M505" s="28" t="n"/>
      <c r="N505" s="28" t="n"/>
      <c r="O505" s="28" t="n"/>
      <c r="P505" s="28" t="n"/>
      <c r="Q505" s="28" t="n"/>
      <c r="R505" s="28" t="n"/>
      <c r="S505" s="28" t="n"/>
      <c r="T505" s="29">
        <f>IF(N(E505)=0,"",E505*IF(F505="",1,IFERROR(INDEX(Setup!$E$9:$E$18,MATCH(F505,Setup!$D$9:$D$18,0)),0)))</f>
        <v/>
      </c>
      <c r="U505" s="30">
        <f>IF(T505="","",IF(V505=0,"Everyone",IF(COUNTIF(AI505:AT505,"&gt;0")=COUNTIF(Setup!$B$9:$B$20,"?*"),"Everyone",COUNTIF(AI505:AT505,"&gt;0")&amp;IF(COUNTIF(AI505:AT505,"&gt;0")=1," person"," people"))))</f>
        <v/>
      </c>
      <c r="V505" s="1">
        <f>SUM(AI505:AT505)</f>
        <v/>
      </c>
      <c r="W505">
        <f>IF(OR(T505="",Setup!$B$9=""),0,IF(V505=0,T505/COUNTIF(Setup!$B$9:$B$20,"?*"),T505*AI505/V505))</f>
        <v/>
      </c>
      <c r="X505">
        <f>IF(OR(T505="",Setup!$B$10=""),0,IF(V505=0,T505/COUNTIF(Setup!$B$9:$B$20,"?*"),T505*AJ505/V505))</f>
        <v/>
      </c>
      <c r="Y505">
        <f>IF(OR(T505="",Setup!$B$11=""),0,IF(V505=0,T505/COUNTIF(Setup!$B$9:$B$20,"?*"),T505*AK505/V505))</f>
        <v/>
      </c>
      <c r="Z505">
        <f>IF(OR(T505="",Setup!$B$12=""),0,IF(V505=0,T505/COUNTIF(Setup!$B$9:$B$20,"?*"),T505*AL505/V505))</f>
        <v/>
      </c>
      <c r="AA505">
        <f>IF(OR(T505="",Setup!$B$13=""),0,IF(V505=0,T505/COUNTIF(Setup!$B$9:$B$20,"?*"),T505*AM505/V505))</f>
        <v/>
      </c>
      <c r="AB505">
        <f>IF(OR(T505="",Setup!$B$14=""),0,IF(V505=0,T505/COUNTIF(Setup!$B$9:$B$20,"?*"),T505*AN505/V505))</f>
        <v/>
      </c>
      <c r="AC505">
        <f>IF(OR(T505="",Setup!$B$15=""),0,IF(V505=0,T505/COUNTIF(Setup!$B$9:$B$20,"?*"),T505*AO505/V505))</f>
        <v/>
      </c>
      <c r="AD505">
        <f>IF(OR(T505="",Setup!$B$16=""),0,IF(V505=0,T505/COUNTIF(Setup!$B$9:$B$20,"?*"),T505*AP505/V505))</f>
        <v/>
      </c>
      <c r="AE505">
        <f>IF(OR(T505="",Setup!$B$17=""),0,IF(V505=0,T505/COUNTIF(Setup!$B$9:$B$20,"?*"),T505*AQ505/V505))</f>
        <v/>
      </c>
      <c r="AF505">
        <f>IF(OR(T505="",Setup!$B$18=""),0,IF(V505=0,T505/COUNTIF(Setup!$B$9:$B$20,"?*"),T505*AR505/V505))</f>
        <v/>
      </c>
      <c r="AG505">
        <f>IF(OR(T505="",Setup!$B$19=""),0,IF(V505=0,T505/COUNTIF(Setup!$B$9:$B$20,"?*"),T505*AS505/V505))</f>
        <v/>
      </c>
      <c r="AH505">
        <f>IF(OR(T505="",Setup!$B$20=""),0,IF(V505=0,T505/COUNTIF(Setup!$B$9:$B$20,"?*"),T505*AT505/V505))</f>
        <v/>
      </c>
      <c r="AI505">
        <f>IF(Setup!$B$9="",0,IF(H505="",0,IF(ISNUMBER(H505),H505,1)))</f>
        <v/>
      </c>
      <c r="AJ505">
        <f>IF(Setup!$B$10="",0,IF(I505="",0,IF(ISNUMBER(I505),I505,1)))</f>
        <v/>
      </c>
      <c r="AK505">
        <f>IF(Setup!$B$11="",0,IF(J505="",0,IF(ISNUMBER(J505),J505,1)))</f>
        <v/>
      </c>
      <c r="AL505">
        <f>IF(Setup!$B$12="",0,IF(K505="",0,IF(ISNUMBER(K505),K505,1)))</f>
        <v/>
      </c>
      <c r="AM505">
        <f>IF(Setup!$B$13="",0,IF(L505="",0,IF(ISNUMBER(L505),L505,1)))</f>
        <v/>
      </c>
      <c r="AN505">
        <f>IF(Setup!$B$14="",0,IF(M505="",0,IF(ISNUMBER(M505),M505,1)))</f>
        <v/>
      </c>
      <c r="AO505">
        <f>IF(Setup!$B$15="",0,IF(N505="",0,IF(ISNUMBER(N505),N505,1)))</f>
        <v/>
      </c>
      <c r="AP505">
        <f>IF(Setup!$B$16="",0,IF(O505="",0,IF(ISNUMBER(O505),O505,1)))</f>
        <v/>
      </c>
      <c r="AQ505">
        <f>IF(Setup!$B$17="",0,IF(P505="",0,IF(ISNUMBER(P505),P505,1)))</f>
        <v/>
      </c>
      <c r="AR505">
        <f>IF(Setup!$B$18="",0,IF(Q505="",0,IF(ISNUMBER(Q505),Q505,1)))</f>
        <v/>
      </c>
      <c r="AS505">
        <f>IF(Setup!$B$19="",0,IF(R505="",0,IF(ISNUMBER(R505),R505,1)))</f>
        <v/>
      </c>
      <c r="AT505">
        <f>IF(Setup!$B$20="",0,IF(S505="",0,IF(ISNUMBER(S505),S505,1)))</f>
        <v/>
      </c>
    </row>
    <row r="50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</row>
  </sheetData>
  <conditionalFormatting sqref="H6:S505">
    <cfRule type="expression" priority="1" dxfId="3">
      <formula>AND(H6&lt;&gt;"",H$5&lt;&gt;"")</formula>
    </cfRule>
  </conditionalFormatting>
  <conditionalFormatting sqref="B6:U505">
    <cfRule type="expression" priority="2" dxfId="4">
      <formula>$D6="Paying back"</formula>
    </cfRule>
  </conditionalFormatting>
  <conditionalFormatting sqref="G6:G505">
    <cfRule type="expression" priority="3" dxfId="5">
      <formula>AND(G6&lt;&gt;"",COUNTIF(Setup!$B$9:$B$20,G6)=0)</formula>
    </cfRule>
  </conditionalFormatting>
  <dataValidations count="3">
    <dataValidation sqref="D6:D505" showDropDown="0" showInputMessage="0" showErrorMessage="1" allowBlank="1" type="list">
      <formula1>"Lodging,Food,Transport,Activities,Groceries,Other,Paying back"</formula1>
    </dataValidation>
    <dataValidation sqref="F6:F505" showDropDown="0" showInputMessage="0" showErrorMessage="1" allowBlank="1" type="list">
      <formula1>=Setup!$D$9:$D$18</formula1>
    </dataValidation>
    <dataValidation sqref="G6:G505" showDropDown="0" showInputMessage="0" showErrorMessage="1" allowBlank="1" type="list">
      <formula1>=Setup!$B$9:$B$20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7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06" customWidth="1" min="3" max="3"/>
  </cols>
  <sheetData>
    <row r="1">
      <c r="A1" s="1" t="n"/>
      <c r="B1" s="1" t="n"/>
      <c r="C1" s="1" t="n"/>
      <c r="D1" s="1" t="n"/>
    </row>
    <row r="2" ht="32" customHeight="1">
      <c r="A2" s="1" t="n"/>
      <c r="B2" s="2" t="inlineStr">
        <is>
          <t>Start here</t>
        </is>
      </c>
      <c r="C2" s="1" t="n"/>
      <c r="D2" s="1" t="n"/>
    </row>
    <row r="3">
      <c r="A3" s="1" t="n"/>
      <c r="B3" s="3" t="inlineStr">
        <is>
          <t>Type only in the yellow cells. Everything else is calculated.</t>
        </is>
      </c>
      <c r="C3" s="1" t="n"/>
      <c r="D3" s="1" t="n"/>
    </row>
    <row r="4">
      <c r="A4" s="1" t="n"/>
      <c r="B4" s="1" t="n"/>
      <c r="C4" s="1" t="n"/>
      <c r="D4" s="1" t="n"/>
    </row>
    <row r="5">
      <c r="A5" s="1" t="n"/>
      <c r="B5" s="31" t="inlineStr">
        <is>
          <t>1</t>
        </is>
      </c>
      <c r="C5" s="32" t="inlineStr">
        <is>
          <t>Setup: the trip's name, your home currency, the people on the trip and what other currencies are worth.</t>
        </is>
      </c>
      <c r="D5" s="1" t="n"/>
    </row>
    <row r="6">
      <c r="A6" s="1" t="n"/>
      <c r="B6" s="1" t="n"/>
      <c r="C6" s="1" t="n"/>
      <c r="D6" s="1" t="n"/>
    </row>
    <row r="7">
      <c r="A7" s="1" t="n"/>
      <c r="B7" s="31" t="inlineStr">
        <is>
          <t>2</t>
        </is>
      </c>
      <c r="C7" s="32" t="inlineStr">
        <is>
          <t>Expenses: one line per expense, with the amount, currency and who paid.</t>
        </is>
      </c>
      <c r="D7" s="1" t="n"/>
    </row>
    <row r="8">
      <c r="A8" s="1" t="n"/>
      <c r="B8" s="1" t="n"/>
      <c r="C8" s="1" t="n"/>
      <c r="D8" s="1" t="n"/>
    </row>
    <row r="9">
      <c r="A9" s="1" t="n"/>
      <c r="B9" s="31" t="inlineStr">
        <is>
          <t>3</t>
        </is>
      </c>
      <c r="C9" s="32" t="inlineStr">
        <is>
          <t>Leave the shares empty to split an expense between everyone. Or put an x under the people who share it.</t>
        </is>
      </c>
      <c r="D9" s="1" t="n"/>
    </row>
    <row r="10">
      <c r="A10" s="1" t="n"/>
      <c r="B10" s="1" t="n"/>
      <c r="C10" s="1" t="n"/>
      <c r="D10" s="1" t="n"/>
    </row>
    <row r="11">
      <c r="A11" s="1" t="n"/>
      <c r="B11" s="31" t="inlineStr">
        <is>
          <t>4</t>
        </is>
      </c>
      <c r="C11" s="32" t="inlineStr">
        <is>
          <t>A number instead of an x gives someone more shares, for example 2 for someone who had two tickets.</t>
        </is>
      </c>
      <c r="D11" s="1" t="n"/>
    </row>
    <row r="12">
      <c r="A12" s="1" t="n"/>
      <c r="B12" s="1" t="n"/>
      <c r="C12" s="1" t="n"/>
      <c r="D12" s="1" t="n"/>
    </row>
    <row r="13">
      <c r="A13" s="1" t="n"/>
      <c r="B13" s="31" t="inlineStr">
        <is>
          <t>5</t>
        </is>
      </c>
      <c r="C13" s="32" t="inlineStr">
        <is>
          <t>Dashboard: what each person paid, their share, their balance, and who pays whom to settle up.</t>
        </is>
      </c>
      <c r="D13" s="1" t="n"/>
    </row>
    <row r="14">
      <c r="A14" s="1" t="n"/>
      <c r="B14" s="1" t="n"/>
      <c r="C14" s="1" t="n"/>
      <c r="D14" s="1" t="n"/>
    </row>
    <row r="15">
      <c r="A15" s="1" t="n"/>
      <c r="B15" s="1" t="n"/>
      <c r="C15" s="1" t="n"/>
      <c r="D15" s="1" t="n"/>
    </row>
    <row r="16">
      <c r="A16" s="1" t="n"/>
      <c r="B16" s="1" t="n"/>
      <c r="C16" s="3" t="inlineStr">
        <is>
          <t>When someone pays another person back, add it as an expense in the category Paying back, paid by the one who pays, with an x under the one who gets the money.</t>
        </is>
      </c>
      <c r="D16" s="1" t="n"/>
    </row>
    <row r="17">
      <c r="A17" s="1" t="n"/>
      <c r="B17" s="1" t="n"/>
      <c r="C17" s="1" t="n"/>
      <c r="D17" s="1" t="n"/>
    </row>
    <row r="18">
      <c r="A18" s="1" t="n"/>
      <c r="B18" s="1" t="n"/>
      <c r="C18" s="3" t="inlineStr">
        <is>
          <t>The example trip shows how it works. Delete it and start with your own.</t>
        </is>
      </c>
      <c r="D18" s="1" t="n"/>
    </row>
    <row r="19">
      <c r="A19" s="1" t="n"/>
      <c r="B19" s="1" t="n"/>
      <c r="C19" s="1" t="n"/>
      <c r="D19" s="1" t="n"/>
    </row>
    <row r="20">
      <c r="A20" s="1" t="n"/>
      <c r="B20" s="1" t="n"/>
      <c r="C20" s="3" t="inlineStr">
        <is>
          <t>Works in Google Sheets and Microsoft Excel, with any currencies.</t>
        </is>
      </c>
      <c r="D20" s="1" t="n"/>
    </row>
    <row r="21">
      <c r="A21" s="1" t="n"/>
      <c r="B21" s="1" t="n"/>
      <c r="C21" s="1" t="n"/>
      <c r="D21" s="1" t="n"/>
    </row>
    <row r="22">
      <c r="A22" s="1" t="n"/>
      <c r="B22" s="1" t="n"/>
      <c r="C22" s="1" t="n"/>
      <c r="D22" s="1" t="n"/>
    </row>
    <row r="23">
      <c r="A23" s="1" t="n"/>
      <c r="B23" s="1" t="n"/>
      <c r="C23" s="1" t="n"/>
      <c r="D23" s="1" t="n"/>
    </row>
    <row r="24">
      <c r="A24" s="1" t="n"/>
      <c r="B24" s="1" t="n"/>
      <c r="C24" s="1" t="n"/>
      <c r="D24" s="1" t="n"/>
    </row>
    <row r="25">
      <c r="A25" s="1" t="n"/>
      <c r="B25" s="1" t="n"/>
      <c r="C25" s="1" t="n"/>
      <c r="D25" s="1" t="n"/>
    </row>
    <row r="26">
      <c r="A26" s="1" t="n"/>
      <c r="B26" s="1" t="n"/>
      <c r="C26" s="1" t="n"/>
      <c r="D26" s="1" t="n"/>
    </row>
    <row r="27">
      <c r="A27" s="1" t="n"/>
      <c r="B27" s="1" t="n"/>
      <c r="C27" s="1" t="n"/>
      <c r="D27" s="1" t="n"/>
    </row>
    <row r="28">
      <c r="A28" s="1" t="n"/>
      <c r="B28" s="1" t="n"/>
      <c r="C28" s="1" t="n"/>
      <c r="D28" s="1" t="n"/>
    </row>
    <row r="29">
      <c r="A29" s="1" t="n"/>
      <c r="B29" s="1" t="n"/>
      <c r="C29" s="1" t="n"/>
      <c r="D29" s="1" t="n"/>
    </row>
    <row r="30">
      <c r="A30" s="1" t="n"/>
      <c r="B30" s="1" t="n"/>
      <c r="C30" s="1" t="n"/>
      <c r="D30" s="1" t="n"/>
    </row>
    <row r="31">
      <c r="A31" s="1" t="n"/>
      <c r="B31" s="1" t="n"/>
      <c r="C31" s="1" t="n"/>
      <c r="D31" s="1" t="n"/>
    </row>
    <row r="32">
      <c r="A32" s="1" t="n"/>
      <c r="B32" s="1" t="n"/>
      <c r="C32" s="1" t="n"/>
      <c r="D32" s="1" t="n"/>
    </row>
    <row r="33">
      <c r="A33" s="1" t="n"/>
      <c r="B33" s="1" t="n"/>
      <c r="C33" s="1" t="n"/>
      <c r="D33" s="1" t="n"/>
    </row>
    <row r="34">
      <c r="A34" s="1" t="n"/>
      <c r="B34" s="1" t="n"/>
      <c r="C34" s="1" t="n"/>
      <c r="D34" s="1" t="n"/>
    </row>
    <row r="35">
      <c r="A35" s="1" t="n"/>
      <c r="B35" s="1" t="n"/>
      <c r="C35" s="1" t="n"/>
      <c r="D35" s="1" t="n"/>
    </row>
    <row r="36">
      <c r="A36" s="1" t="n"/>
      <c r="B36" s="1" t="n"/>
      <c r="C36" s="1" t="n"/>
      <c r="D36" s="1" t="n"/>
    </row>
    <row r="37">
      <c r="A37" s="1" t="n"/>
      <c r="B37" s="1" t="n"/>
      <c r="C37" s="1" t="n"/>
      <c r="D37" s="1" t="n"/>
    </row>
    <row r="38">
      <c r="A38" s="1" t="n"/>
      <c r="B38" s="1" t="n"/>
      <c r="C38" s="1" t="n"/>
      <c r="D38" s="1" t="n"/>
    </row>
    <row r="39">
      <c r="A39" s="1" t="n"/>
      <c r="B39" s="1" t="n"/>
      <c r="C39" s="1" t="n"/>
      <c r="D39" s="1" t="n"/>
    </row>
    <row r="40">
      <c r="A40" s="1" t="n"/>
      <c r="B40" s="1" t="n"/>
      <c r="C40" s="1" t="n"/>
      <c r="D40" s="1" t="n"/>
    </row>
    <row r="41">
      <c r="A41" s="1" t="n"/>
      <c r="B41" s="1" t="n"/>
      <c r="C41" s="1" t="n"/>
      <c r="D41" s="1" t="n"/>
    </row>
    <row r="42">
      <c r="A42" s="1" t="n"/>
      <c r="B42" s="1" t="n"/>
      <c r="C42" s="1" t="n"/>
      <c r="D42" s="1" t="n"/>
    </row>
    <row r="43">
      <c r="A43" s="1" t="n"/>
      <c r="B43" s="1" t="n"/>
      <c r="C43" s="1" t="n"/>
      <c r="D43" s="1" t="n"/>
    </row>
    <row r="44">
      <c r="A44" s="1" t="n"/>
      <c r="B44" s="1" t="n"/>
      <c r="C44" s="1" t="n"/>
      <c r="D44" s="1" t="n"/>
    </row>
    <row r="45">
      <c r="A45" s="1" t="n"/>
      <c r="B45" s="1" t="n"/>
      <c r="C45" s="1" t="n"/>
      <c r="D45" s="1" t="n"/>
    </row>
    <row r="46">
      <c r="A46" s="1" t="n"/>
      <c r="B46" s="1" t="n"/>
      <c r="C46" s="1" t="n"/>
      <c r="D46" s="1" t="n"/>
    </row>
    <row r="47">
      <c r="A47" s="1" t="n"/>
      <c r="B47" s="1" t="n"/>
      <c r="C47" s="1" t="n"/>
      <c r="D47" s="1" t="n"/>
    </row>
    <row r="48">
      <c r="A48" s="1" t="n"/>
      <c r="B48" s="1" t="n"/>
      <c r="C48" s="1" t="n"/>
      <c r="D48" s="1" t="n"/>
    </row>
    <row r="49">
      <c r="A49" s="1" t="n"/>
      <c r="B49" s="1" t="n"/>
      <c r="C49" s="1" t="n"/>
      <c r="D49" s="1" t="n"/>
    </row>
    <row r="50">
      <c r="A50" s="1" t="n"/>
      <c r="B50" s="1" t="n"/>
      <c r="C50" s="1" t="n"/>
      <c r="D50" s="1" t="n"/>
    </row>
    <row r="51">
      <c r="A51" s="1" t="n"/>
      <c r="B51" s="1" t="n"/>
      <c r="C51" s="1" t="n"/>
      <c r="D51" s="1" t="n"/>
    </row>
    <row r="52">
      <c r="A52" s="1" t="n"/>
      <c r="B52" s="1" t="n"/>
      <c r="C52" s="1" t="n"/>
      <c r="D52" s="1" t="n"/>
    </row>
    <row r="53">
      <c r="A53" s="1" t="n"/>
      <c r="B53" s="1" t="n"/>
      <c r="C53" s="1" t="n"/>
      <c r="D53" s="1" t="n"/>
    </row>
    <row r="54">
      <c r="A54" s="1" t="n"/>
      <c r="B54" s="1" t="n"/>
      <c r="C54" s="1" t="n"/>
      <c r="D54" s="1" t="n"/>
    </row>
    <row r="55">
      <c r="A55" s="1" t="n"/>
      <c r="B55" s="1" t="n"/>
      <c r="C55" s="1" t="n"/>
      <c r="D55" s="1" t="n"/>
    </row>
    <row r="56">
      <c r="A56" s="1" t="n"/>
      <c r="B56" s="1" t="n"/>
      <c r="C56" s="1" t="n"/>
      <c r="D56" s="1" t="n"/>
    </row>
    <row r="57">
      <c r="A57" s="1" t="n"/>
      <c r="B57" s="1" t="n"/>
      <c r="C57" s="1" t="n"/>
      <c r="D57" s="1" t="n"/>
    </row>
    <row r="58">
      <c r="A58" s="1" t="n"/>
      <c r="B58" s="1" t="n"/>
      <c r="C58" s="1" t="n"/>
      <c r="D58" s="1" t="n"/>
    </row>
    <row r="59">
      <c r="A59" s="1" t="n"/>
      <c r="B59" s="1" t="n"/>
      <c r="C59" s="1" t="n"/>
      <c r="D59" s="1" t="n"/>
    </row>
    <row r="60">
      <c r="A60" s="1" t="n"/>
      <c r="B60" s="1" t="n"/>
      <c r="C60" s="1" t="n"/>
      <c r="D60" s="1" t="n"/>
    </row>
    <row r="61">
      <c r="A61" s="1" t="n"/>
      <c r="B61" s="1" t="n"/>
      <c r="C61" s="1" t="n"/>
      <c r="D61" s="1" t="n"/>
    </row>
    <row r="62">
      <c r="A62" s="1" t="n"/>
      <c r="B62" s="1" t="n"/>
      <c r="C62" s="1" t="n"/>
      <c r="D62" s="1" t="n"/>
    </row>
    <row r="63">
      <c r="A63" s="1" t="n"/>
      <c r="B63" s="1" t="n"/>
      <c r="C63" s="1" t="n"/>
      <c r="D63" s="1" t="n"/>
    </row>
    <row r="64">
      <c r="A64" s="1" t="n"/>
      <c r="B64" s="1" t="n"/>
      <c r="C64" s="1" t="n"/>
      <c r="D64" s="1" t="n"/>
    </row>
    <row r="65">
      <c r="A65" s="1" t="n"/>
      <c r="B65" s="1" t="n"/>
      <c r="C65" s="1" t="n"/>
      <c r="D65" s="1" t="n"/>
    </row>
    <row r="66">
      <c r="A66" s="1" t="n"/>
      <c r="B66" s="1" t="n"/>
      <c r="C66" s="1" t="n"/>
      <c r="D66" s="1" t="n"/>
    </row>
    <row r="67">
      <c r="A67" s="1" t="n"/>
      <c r="B67" s="1" t="n"/>
      <c r="C67" s="1" t="n"/>
      <c r="D67" s="1" t="n"/>
    </row>
    <row r="68">
      <c r="A68" s="1" t="n"/>
      <c r="B68" s="1" t="n"/>
      <c r="C68" s="1" t="n"/>
      <c r="D68" s="1" t="n"/>
    </row>
    <row r="69">
      <c r="A69" s="1" t="n"/>
      <c r="B69" s="1" t="n"/>
      <c r="C69" s="1" t="n"/>
      <c r="D69" s="1" t="n"/>
    </row>
    <row r="70">
      <c r="A70" s="1" t="n"/>
      <c r="B70" s="1" t="n"/>
      <c r="C70" s="1" t="n"/>
      <c r="D70" s="1" t="n"/>
    </row>
    <row r="71">
      <c r="A71" s="1" t="n"/>
      <c r="B71" s="1" t="n"/>
      <c r="C71" s="1" t="n"/>
      <c r="D71" s="1" t="n"/>
    </row>
    <row r="72">
      <c r="A72" s="1" t="n"/>
      <c r="B72" s="1" t="n"/>
      <c r="C72" s="1" t="n"/>
      <c r="D72" s="1" t="n"/>
    </row>
    <row r="73">
      <c r="A73" s="1" t="n"/>
      <c r="B73" s="1" t="n"/>
      <c r="C73" s="1" t="n"/>
      <c r="D73" s="1" t="n"/>
    </row>
    <row r="74">
      <c r="A74" s="1" t="n"/>
      <c r="B74" s="1" t="n"/>
      <c r="C74" s="1" t="n"/>
      <c r="D74" s="1" t="n"/>
    </row>
    <row r="75">
      <c r="A75" s="1" t="n"/>
      <c r="B75" s="1" t="n"/>
      <c r="C75" s="1" t="n"/>
      <c r="D75" s="1" t="n"/>
    </row>
    <row r="76">
      <c r="A76" s="1" t="n"/>
      <c r="B76" s="1" t="n"/>
      <c r="C76" s="1" t="n"/>
      <c r="D76" s="1" t="n"/>
    </row>
    <row r="77">
      <c r="A77" s="1" t="n"/>
      <c r="B77" s="1" t="n"/>
      <c r="C77" s="1" t="n"/>
      <c r="D77" s="1" t="n"/>
    </row>
    <row r="78">
      <c r="A78" s="1" t="n"/>
      <c r="B78" s="1" t="n"/>
      <c r="C78" s="1" t="n"/>
      <c r="D78" s="1" t="n"/>
    </row>
    <row r="79">
      <c r="A79" s="1" t="n"/>
      <c r="B79" s="1" t="n"/>
      <c r="C79" s="1" t="n"/>
      <c r="D79" s="1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2026-09-28T13:55:49Z</dcterms:created>
  <dcterms:modified xsi:type="dcterms:W3CDTF">2026-09-28T13:55:50Z</dcterms:modified>
</cp:coreProperties>
</file>