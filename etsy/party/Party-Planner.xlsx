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Guests" sheetId="2" state="visible" r:id="rId2"/>
    <sheet name="Tasks" sheetId="3" state="visible" r:id="rId3"/>
    <sheet name="Food and drinks" sheetId="4" state="visible" r:id="rId4"/>
    <sheet name="Budget" sheetId="5" state="visible" r:id="rId5"/>
    <sheet name="The day" sheetId="6" state="visible" r:id="rId6"/>
    <sheet name="Start Her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ddd d mmm"/>
    <numFmt numFmtId="165" formatCode="0.##"/>
    <numFmt numFmtId="166" formatCode="yyyy-mm-dd"/>
    <numFmt numFmtId="167" formatCode="DD MMM YYYY"/>
    <numFmt numFmtId="168" formatCode="#,##0.00;;"/>
    <numFmt numFmtId="169" formatCode="0;;"/>
  </numFmts>
  <fonts count="14">
    <font>
      <name val="Calibri"/>
      <family val="2"/>
      <color theme="1"/>
      <sz val="11"/>
      <scheme val="minor"/>
    </font>
    <font>
      <name val="Arial"/>
      <b val="1"/>
      <color rgb="0015525A"/>
      <sz val="22"/>
    </font>
    <font>
      <name val="Arial"/>
      <i val="1"/>
      <color rgb="006B7B80"/>
      <sz val="11"/>
    </font>
    <font>
      <name val="Arial"/>
      <b val="1"/>
      <color rgb="00FFFFFF"/>
      <sz val="11"/>
    </font>
    <font>
      <name val="Arial"/>
      <b val="1"/>
      <color rgb="001E2A2F"/>
      <sz val="11"/>
    </font>
    <font>
      <name val="Arial"/>
      <color rgb="001E2A2F"/>
      <sz val="11"/>
    </font>
    <font>
      <name val="Arial"/>
      <i val="1"/>
      <color rgb="006B7B80"/>
      <sz val="9"/>
    </font>
    <font>
      <name val="Arial"/>
      <b val="1"/>
      <color rgb="006B7B80"/>
      <sz val="10"/>
    </font>
    <font>
      <name val="Arial"/>
      <b val="1"/>
      <color rgb="001F6F78"/>
      <sz val="16"/>
    </font>
    <font>
      <name val="Arial"/>
      <b val="1"/>
      <color rgb="00B4541F"/>
      <sz val="16"/>
    </font>
    <font>
      <name val="Arial"/>
      <b val="1"/>
      <color rgb="0015525A"/>
      <sz val="10"/>
    </font>
    <font>
      <name val="Arial"/>
      <color rgb="001F6F78"/>
      <sz val="12"/>
    </font>
    <font>
      <name val="Arial"/>
      <b val="1"/>
      <color rgb="001F6F78"/>
      <sz val="18"/>
    </font>
    <font>
      <name val="Arial"/>
      <color rgb="001E2A2F"/>
      <sz val="13"/>
    </font>
  </fonts>
  <fills count="5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1F6F78"/>
        <bgColor rgb="001F6F78"/>
      </patternFill>
    </fill>
    <fill>
      <patternFill patternType="solid">
        <fgColor rgb="00FFF4C2"/>
        <bgColor rgb="00FFF4C2"/>
      </patternFill>
    </fill>
  </fills>
  <borders count="6">
    <border>
      <left/>
      <right/>
      <top/>
      <bottom/>
      <diagonal/>
    </border>
    <border>
      <left style="thin">
        <color rgb="00D5DBDB"/>
      </left>
      <right style="thin">
        <color rgb="00D5DBDB"/>
      </right>
      <top style="thin">
        <color rgb="00D5DBDB"/>
      </top>
      <bottom style="thin">
        <color rgb="00D5DBDB"/>
      </bottom>
    </border>
    <border>
      <left/>
      <right/>
      <top style="thin">
        <color rgb="00D5DBDB"/>
      </top>
      <bottom/>
      <diagonal/>
    </border>
    <border>
      <left/>
      <right style="thin">
        <color rgb="00D5DBDB"/>
      </right>
      <top style="thin">
        <color rgb="00D5DBDB"/>
      </top>
      <bottom/>
      <diagonal/>
    </border>
    <border>
      <left/>
      <right/>
      <top style="thin">
        <color rgb="00D5DBDB"/>
      </top>
      <bottom style="thin">
        <color rgb="00D5DBDB"/>
      </bottom>
      <diagonal/>
    </border>
    <border>
      <left/>
      <right style="thin">
        <color rgb="00D5DBDB"/>
      </right>
      <top style="thin">
        <color rgb="00D5DBDB"/>
      </top>
      <bottom style="thin">
        <color rgb="00D5DBDB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4" fillId="2" borderId="0" pivotButton="0" quotePrefix="0" xfId="0"/>
    <xf numFmtId="0" fontId="4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167" fontId="4" fillId="4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right"/>
    </xf>
    <xf numFmtId="20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0" fontId="7" fillId="2" borderId="1" pivotButton="0" quotePrefix="0" xfId="0"/>
    <xf numFmtId="49" fontId="8" fillId="2" borderId="1" applyAlignment="1" pivotButton="0" quotePrefix="0" xfId="0">
      <alignment horizontal="right"/>
    </xf>
    <xf numFmtId="1" fontId="8" fillId="2" borderId="1" applyAlignment="1" pivotButton="0" quotePrefix="0" xfId="0">
      <alignment horizontal="right"/>
    </xf>
    <xf numFmtId="1" fontId="9" fillId="2" borderId="1" applyAlignment="1" pivotButton="0" quotePrefix="0" xfId="0">
      <alignment horizontal="right"/>
    </xf>
    <xf numFmtId="4" fontId="8" fillId="2" borderId="1" applyAlignment="1" pivotButton="0" quotePrefix="0" xfId="0">
      <alignment horizontal="right"/>
    </xf>
    <xf numFmtId="0" fontId="3" fillId="3" borderId="1" applyAlignment="1" pivotButton="0" quotePrefix="0" xfId="0">
      <alignment horizontal="center" vertical="center" wrapText="1"/>
    </xf>
    <xf numFmtId="0" fontId="4" fillId="2" borderId="1" pivotButton="0" quotePrefix="0" xfId="0"/>
    <xf numFmtId="164" fontId="5" fillId="2" borderId="1" applyAlignment="1" pivotButton="0" quotePrefix="0" xfId="0">
      <alignment horizontal="center" vertical="center"/>
    </xf>
    <xf numFmtId="0" fontId="5" fillId="2" borderId="1" pivotButton="0" quotePrefix="0" xfId="0"/>
    <xf numFmtId="0" fontId="5" fillId="2" borderId="1" applyAlignment="1" pivotButton="0" quotePrefix="0" xfId="0">
      <alignment horizontal="center" vertical="center"/>
    </xf>
    <xf numFmtId="1" fontId="5" fillId="2" borderId="1" applyAlignment="1" pivotButton="0" quotePrefix="0" xfId="0">
      <alignment horizontal="center" vertical="center"/>
    </xf>
    <xf numFmtId="1" fontId="4" fillId="2" borderId="1" applyAlignment="1" pivotButton="0" quotePrefix="0" xfId="0">
      <alignment horizontal="center" vertical="center"/>
    </xf>
    <xf numFmtId="0" fontId="10" fillId="2" borderId="0" pivotButton="0" quotePrefix="0" xfId="0"/>
    <xf numFmtId="168" fontId="5" fillId="2" borderId="1" pivotButton="0" quotePrefix="0" xfId="0"/>
    <xf numFmtId="169" fontId="5" fillId="2" borderId="1" applyAlignment="1" pivotButton="0" quotePrefix="0" xfId="0">
      <alignment horizontal="center" vertical="center"/>
    </xf>
    <xf numFmtId="4" fontId="4" fillId="2" borderId="1" pivotButton="0" quotePrefix="0" xfId="0"/>
    <xf numFmtId="0" fontId="11" fillId="2" borderId="0" pivotButton="0" quotePrefix="0" xfId="0"/>
    <xf numFmtId="0" fontId="5" fillId="4" borderId="1" pivotButton="0" quotePrefix="0" xfId="0"/>
    <xf numFmtId="0" fontId="5" fillId="4" borderId="1" applyAlignment="1" pivotButton="0" quotePrefix="0" xfId="0">
      <alignment horizontal="center" vertical="center"/>
    </xf>
    <xf numFmtId="1" fontId="5" fillId="4" borderId="1" applyAlignment="1" pivotButton="0" quotePrefix="0" xfId="0">
      <alignment horizontal="center" vertical="center"/>
    </xf>
    <xf numFmtId="9" fontId="4" fillId="4" borderId="1" applyAlignment="1" pivotButton="0" quotePrefix="0" xfId="0">
      <alignment horizontal="center" vertical="center"/>
    </xf>
    <xf numFmtId="0" fontId="6" fillId="2" borderId="0" pivotButton="0" quotePrefix="0" xfId="0"/>
    <xf numFmtId="165" fontId="5" fillId="4" borderId="1" applyAlignment="1" pivotButton="0" quotePrefix="0" xfId="0">
      <alignment horizontal="center" vertical="center"/>
    </xf>
    <xf numFmtId="4" fontId="5" fillId="4" borderId="1" pivotButton="0" quotePrefix="0" xfId="0"/>
    <xf numFmtId="4" fontId="5" fillId="2" borderId="1" pivotButton="0" quotePrefix="0" xfId="0"/>
    <xf numFmtId="167" fontId="5" fillId="4" borderId="1" pivotButton="0" quotePrefix="0" xfId="0"/>
    <xf numFmtId="20" fontId="5" fillId="4" borderId="1" applyAlignment="1" pivotButton="0" quotePrefix="0" xfId="0">
      <alignment horizontal="center" vertical="center"/>
    </xf>
    <xf numFmtId="0" fontId="12" fillId="2" borderId="0" pivotButton="0" quotePrefix="0" xfId="0"/>
    <xf numFmtId="0" fontId="13" fillId="2" borderId="0" pivotButton="0" quotePrefix="0" xfId="0"/>
  </cellXfs>
  <cellStyles count="1">
    <cellStyle name="Normal" xfId="0" builtinId="0" hidden="0"/>
  </cellStyles>
  <dxfs count="6">
    <dxf>
      <font>
        <name val="Arial"/>
        <b val="1"/>
        <color rgb="00B4541F"/>
        <sz val="16"/>
      </font>
    </dxf>
    <dxf>
      <fill>
        <patternFill patternType="solid">
          <fgColor rgb="00F9C9C4"/>
          <bgColor rgb="00F9C9C4"/>
        </patternFill>
      </fill>
    </dxf>
    <dxf>
      <fill>
        <patternFill patternType="solid">
          <fgColor rgb="00FFE2B8"/>
          <bgColor rgb="00FFE2B8"/>
        </patternFill>
      </fill>
    </dxf>
    <dxf>
      <fill>
        <patternFill patternType="solid">
          <fgColor rgb="00D8F0DC"/>
          <bgColor rgb="00D8F0DC"/>
        </patternFill>
      </fill>
    </dxf>
    <dxf>
      <fill>
        <patternFill patternType="solid">
          <fgColor rgb="00EEF1F1"/>
          <bgColor rgb="00EEF1F1"/>
        </patternFill>
      </fill>
    </dxf>
    <dxf>
      <font>
        <name val="Arial"/>
        <color rgb="009AA7A9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4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3" customWidth="1" min="8" max="8"/>
    <col width="26" customWidth="1" min="9" max="9"/>
    <col width="11" customWidth="1" min="10" max="10"/>
    <col width="11" customWidth="1" min="11" max="11"/>
    <col width="11" customWidth="1" min="12" max="12"/>
    <col width="3" customWidth="1" min="13" max="13"/>
    <col hidden="1" width="13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32" customHeight="1">
      <c r="A2" s="1" t="n"/>
      <c r="B2" s="2">
        <f>IF(C4="","Party planner",C4)</f>
        <v/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1" t="n"/>
      <c r="B3" s="3" t="inlineStr">
        <is>
          <t>The countdown, the guests, the checklist and the money for the party.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1" t="n"/>
      <c r="B4" s="4" t="inlineStr">
        <is>
          <t>Party</t>
        </is>
      </c>
      <c r="C4" s="5" t="inlineStr">
        <is>
          <t>Mia turns 7</t>
        </is>
      </c>
      <c r="D4" s="6" t="n"/>
      <c r="E4" s="7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</row>
    <row r="5">
      <c r="A5" s="1" t="n"/>
      <c r="B5" s="4" t="inlineStr">
        <is>
          <t>Date</t>
        </is>
      </c>
      <c r="C5" s="8" t="n">
        <v>46319</v>
      </c>
      <c r="D5" s="9" t="inlineStr">
        <is>
          <t>Starts</t>
        </is>
      </c>
      <c r="E5" s="10" t="n">
        <v>0.5833333333333334</v>
      </c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>
      <c r="A6" s="1" t="n"/>
      <c r="B6" s="4" t="inlineStr">
        <is>
          <t>Budget</t>
        </is>
      </c>
      <c r="C6" s="11" t="n">
        <v>1100</v>
      </c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s="1" t="n"/>
      <c r="B8" s="12" t="inlineStr">
        <is>
          <t>Countdown</t>
        </is>
      </c>
      <c r="C8" s="12" t="inlineStr">
        <is>
          <t>Coming</t>
        </is>
      </c>
      <c r="D8" s="12" t="inlineStr">
        <is>
          <t>No answer yet</t>
        </is>
      </c>
      <c r="E8" s="12" t="inlineStr">
        <is>
          <t>Tasks done</t>
        </is>
      </c>
      <c r="F8" s="12" t="inlineStr">
        <is>
          <t>Late tasks</t>
        </is>
      </c>
      <c r="G8" s="12" t="inlineStr">
        <is>
          <t>Budget left</t>
        </is>
      </c>
      <c r="H8" s="1" t="n"/>
      <c r="I8" s="1" t="n"/>
      <c r="J8" s="1" t="n"/>
      <c r="K8" s="1" t="n"/>
      <c r="L8" s="1" t="n"/>
      <c r="M8" s="1" t="n"/>
      <c r="N8" s="1" t="n"/>
    </row>
    <row r="9" ht="34" customHeight="1">
      <c r="A9" s="1" t="n"/>
      <c r="B9" s="13">
        <f>IF($C$5="","",IF($C$5-TODAY()&gt;1,($C$5-TODAY())&amp;" days",IF($C$5-TODAY()=1,"Tomorrow",IF($C$5=TODAY(),"Today","Done"))))</f>
        <v/>
      </c>
      <c r="C9" s="14">
        <f>SUMIFS(Guests!$M$6:$M$305,Guests!$D$6:$D$305,"Yes")+SUMIFS(Guests!$N$6:$N$305,Guests!$D$6:$D$305,"Yes")</f>
        <v/>
      </c>
      <c r="D9" s="15">
        <f>SUMIFS(Guests!$M$6:$M$305,Guests!$O$6:$O$305,"No answer")+SUMIFS(Guests!$N$6:$N$305,Guests!$O$6:$O$305,"No answer")</f>
        <v/>
      </c>
      <c r="E9" s="13">
        <f>COUNTIFS(Tasks!$B$6:$B$65,"&lt;&gt;",Tasks!$F$6:$F$65,"&lt;&gt;")&amp;" of "&amp;COUNTIF(Tasks!$B$6:$B$65,"?*")</f>
        <v/>
      </c>
      <c r="F9" s="15">
        <f>COUNTIF(Tasks!$G$6:$G$65,"Late")</f>
        <v/>
      </c>
      <c r="G9" s="16">
        <f>IF(N($C$6)=0,"",$C$6-(SUM(Budget!$M$6:$M$55)+SUM('Food and drinks'!$K$8:$K$47)))</f>
        <v/>
      </c>
      <c r="H9" s="1" t="n"/>
      <c r="I9" s="1" t="n"/>
      <c r="J9" s="1" t="n"/>
      <c r="K9" s="1" t="n"/>
      <c r="L9" s="1" t="n"/>
      <c r="M9" s="1" t="n"/>
      <c r="N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</row>
    <row r="11" ht="30" customHeight="1">
      <c r="A11" s="1" t="n"/>
      <c r="B11" s="17" t="inlineStr">
        <is>
          <t>Next up</t>
        </is>
      </c>
      <c r="C11" s="6" t="n"/>
      <c r="D11" s="7" t="n"/>
      <c r="E11" s="17" t="inlineStr">
        <is>
          <t>Date</t>
        </is>
      </c>
      <c r="F11" s="17" t="inlineStr">
        <is>
          <t>Who</t>
        </is>
      </c>
      <c r="G11" s="17" t="inlineStr">
        <is>
          <t>Status</t>
        </is>
      </c>
      <c r="H11" s="1" t="n"/>
      <c r="I11" s="17" t="inlineStr">
        <is>
          <t>Guests</t>
        </is>
      </c>
      <c r="J11" s="17" t="inlineStr">
        <is>
          <t>Adults</t>
        </is>
      </c>
      <c r="K11" s="17" t="inlineStr">
        <is>
          <t>Kids</t>
        </is>
      </c>
      <c r="L11" s="17" t="inlineStr">
        <is>
          <t>Total</t>
        </is>
      </c>
      <c r="M11" s="1" t="n"/>
      <c r="N11" s="1" t="n"/>
    </row>
    <row r="12">
      <c r="A12" s="1" t="n"/>
      <c r="B12" s="18">
        <f>IF(O12="",IF($C$5="","Type the date of the party first","Nothing left to do"),INDEX(Tasks!$B$6:$B$65,MATCH(O12,Tasks!$J$6:$J$65,0)))</f>
        <v/>
      </c>
      <c r="C12" s="6" t="n"/>
      <c r="D12" s="7" t="n"/>
      <c r="E12" s="19">
        <f>IF(O12="","",INT(O12))</f>
        <v/>
      </c>
      <c r="F12" s="20">
        <f>IF(O12="","",INDEX(Tasks!$E$6:$E$65,MATCH(O12,Tasks!$J$6:$J$65,0)))</f>
        <v/>
      </c>
      <c r="G12" s="21">
        <f>IF(O12="","",INDEX(Tasks!$G$6:$G$65,MATCH(O12,Tasks!$J$6:$J$65,0)))</f>
        <v/>
      </c>
      <c r="H12" s="1" t="n"/>
      <c r="I12" s="18" t="inlineStr">
        <is>
          <t>Coming</t>
        </is>
      </c>
      <c r="J12" s="22">
        <f>SUMIFS(Guests!$M$6:$M$305,Guests!$O$6:$O$305,"Yes")</f>
        <v/>
      </c>
      <c r="K12" s="22">
        <f>SUMIFS(Guests!$N$6:$N$305,Guests!$O$6:$O$305,"Yes")</f>
        <v/>
      </c>
      <c r="L12" s="23">
        <f>J12+K12</f>
        <v/>
      </c>
      <c r="M12" s="1" t="n"/>
      <c r="N12" s="1" t="n"/>
      <c r="O12">
        <f>IFERROR(SMALL(Tasks!$J$6:$J$65,1),"")</f>
        <v/>
      </c>
    </row>
    <row r="13">
      <c r="A13" s="1" t="n"/>
      <c r="B13" s="18">
        <f>IF(O13="","",INDEX(Tasks!$B$6:$B$65,MATCH(O13,Tasks!$J$6:$J$65,0)))</f>
        <v/>
      </c>
      <c r="C13" s="6" t="n"/>
      <c r="D13" s="7" t="n"/>
      <c r="E13" s="19">
        <f>IF(O13="","",INT(O13))</f>
        <v/>
      </c>
      <c r="F13" s="20">
        <f>IF(O13="","",INDEX(Tasks!$E$6:$E$65,MATCH(O13,Tasks!$J$6:$J$65,0)))</f>
        <v/>
      </c>
      <c r="G13" s="21">
        <f>IF(O13="","",INDEX(Tasks!$G$6:$G$65,MATCH(O13,Tasks!$J$6:$J$65,0)))</f>
        <v/>
      </c>
      <c r="H13" s="1" t="n"/>
      <c r="I13" s="18" t="inlineStr">
        <is>
          <t>Maybe</t>
        </is>
      </c>
      <c r="J13" s="22">
        <f>SUMIFS(Guests!$M$6:$M$305,Guests!$O$6:$O$305,"Maybe")</f>
        <v/>
      </c>
      <c r="K13" s="22">
        <f>SUMIFS(Guests!$N$6:$N$305,Guests!$O$6:$O$305,"Maybe")</f>
        <v/>
      </c>
      <c r="L13" s="23">
        <f>J13+K13</f>
        <v/>
      </c>
      <c r="M13" s="1" t="n"/>
      <c r="N13" s="1" t="n"/>
      <c r="O13">
        <f>IFERROR(SMALL(Tasks!$J$6:$J$65,2),"")</f>
        <v/>
      </c>
    </row>
    <row r="14">
      <c r="A14" s="1" t="n"/>
      <c r="B14" s="18">
        <f>IF(O14="","",INDEX(Tasks!$B$6:$B$65,MATCH(O14,Tasks!$J$6:$J$65,0)))</f>
        <v/>
      </c>
      <c r="C14" s="6" t="n"/>
      <c r="D14" s="7" t="n"/>
      <c r="E14" s="19">
        <f>IF(O14="","",INT(O14))</f>
        <v/>
      </c>
      <c r="F14" s="20">
        <f>IF(O14="","",INDEX(Tasks!$E$6:$E$65,MATCH(O14,Tasks!$J$6:$J$65,0)))</f>
        <v/>
      </c>
      <c r="G14" s="21">
        <f>IF(O14="","",INDEX(Tasks!$G$6:$G$65,MATCH(O14,Tasks!$J$6:$J$65,0)))</f>
        <v/>
      </c>
      <c r="H14" s="1" t="n"/>
      <c r="I14" s="18" t="inlineStr">
        <is>
          <t>No answer yet</t>
        </is>
      </c>
      <c r="J14" s="22">
        <f>SUMIFS(Guests!$M$6:$M$305,Guests!$O$6:$O$305,"No answer")</f>
        <v/>
      </c>
      <c r="K14" s="22">
        <f>SUMIFS(Guests!$N$6:$N$305,Guests!$O$6:$O$305,"No answer")</f>
        <v/>
      </c>
      <c r="L14" s="23">
        <f>J14+K14</f>
        <v/>
      </c>
      <c r="M14" s="1" t="n"/>
      <c r="N14" s="1" t="n"/>
      <c r="O14">
        <f>IFERROR(SMALL(Tasks!$J$6:$J$65,3),"")</f>
        <v/>
      </c>
    </row>
    <row r="15">
      <c r="A15" s="1" t="n"/>
      <c r="B15" s="18">
        <f>IF(O15="","",INDEX(Tasks!$B$6:$B$65,MATCH(O15,Tasks!$J$6:$J$65,0)))</f>
        <v/>
      </c>
      <c r="C15" s="6" t="n"/>
      <c r="D15" s="7" t="n"/>
      <c r="E15" s="19">
        <f>IF(O15="","",INT(O15))</f>
        <v/>
      </c>
      <c r="F15" s="20">
        <f>IF(O15="","",INDEX(Tasks!$E$6:$E$65,MATCH(O15,Tasks!$J$6:$J$65,0)))</f>
        <v/>
      </c>
      <c r="G15" s="21">
        <f>IF(O15="","",INDEX(Tasks!$G$6:$G$65,MATCH(O15,Tasks!$J$6:$J$65,0)))</f>
        <v/>
      </c>
      <c r="H15" s="1" t="n"/>
      <c r="I15" s="18" t="inlineStr">
        <is>
          <t>Can't come</t>
        </is>
      </c>
      <c r="J15" s="22">
        <f>SUMIFS(Guests!$M$6:$M$305,Guests!$O$6:$O$305,"No")</f>
        <v/>
      </c>
      <c r="K15" s="22">
        <f>SUMIFS(Guests!$N$6:$N$305,Guests!$O$6:$O$305,"No")</f>
        <v/>
      </c>
      <c r="L15" s="23">
        <f>J15+K15</f>
        <v/>
      </c>
      <c r="M15" s="1" t="n"/>
      <c r="N15" s="1" t="n"/>
      <c r="O15">
        <f>IFERROR(SMALL(Tasks!$J$6:$J$65,4),"")</f>
        <v/>
      </c>
    </row>
    <row r="16">
      <c r="A16" s="1" t="n"/>
      <c r="B16" s="18">
        <f>IF(O16="","",INDEX(Tasks!$B$6:$B$65,MATCH(O16,Tasks!$J$6:$J$65,0)))</f>
        <v/>
      </c>
      <c r="C16" s="6" t="n"/>
      <c r="D16" s="7" t="n"/>
      <c r="E16" s="19">
        <f>IF(O16="","",INT(O16))</f>
        <v/>
      </c>
      <c r="F16" s="20">
        <f>IF(O16="","",INDEX(Tasks!$E$6:$E$65,MATCH(O16,Tasks!$J$6:$J$65,0)))</f>
        <v/>
      </c>
      <c r="G16" s="21">
        <f>IF(O16="","",INDEX(Tasks!$G$6:$G$65,MATCH(O16,Tasks!$J$6:$J$65,0)))</f>
        <v/>
      </c>
      <c r="H16" s="1" t="n"/>
      <c r="I16" s="18" t="inlineStr">
        <is>
          <t>Invited</t>
        </is>
      </c>
      <c r="J16" s="23">
        <f>SUM(J12:J15)</f>
        <v/>
      </c>
      <c r="K16" s="23">
        <f>SUM(K12:K15)</f>
        <v/>
      </c>
      <c r="L16" s="23">
        <f>SUM(L12:L15)</f>
        <v/>
      </c>
      <c r="M16" s="1" t="n"/>
      <c r="N16" s="1" t="n"/>
      <c r="O16">
        <f>IFERROR(SMALL(Tasks!$J$6:$J$65,5),"")</f>
        <v/>
      </c>
    </row>
    <row r="17">
      <c r="A17" s="1" t="n"/>
      <c r="B17" s="18">
        <f>IF(O17="","",INDEX(Tasks!$B$6:$B$65,MATCH(O17,Tasks!$J$6:$J$65,0)))</f>
        <v/>
      </c>
      <c r="C17" s="6" t="n"/>
      <c r="D17" s="7" t="n"/>
      <c r="E17" s="19">
        <f>IF(O17="","",INT(O17))</f>
        <v/>
      </c>
      <c r="F17" s="20">
        <f>IF(O17="","",INDEX(Tasks!$E$6:$E$65,MATCH(O17,Tasks!$J$6:$J$65,0)))</f>
        <v/>
      </c>
      <c r="G17" s="21">
        <f>IF(O17="","",INDEX(Tasks!$G$6:$G$65,MATCH(O17,Tasks!$J$6:$J$65,0)))</f>
        <v/>
      </c>
      <c r="H17" s="1" t="n"/>
      <c r="I17" s="24">
        <f>"Thank-you notes to send: "&amp;COUNTIF(Guests!$J$6:$J$305,"To send")</f>
        <v/>
      </c>
      <c r="J17" s="1" t="n"/>
      <c r="K17" s="1" t="n"/>
      <c r="L17" s="1" t="n"/>
      <c r="M17" s="1" t="n"/>
      <c r="N17" s="1" t="n"/>
      <c r="O17">
        <f>IFERROR(SMALL(Tasks!$J$6:$J$65,6),"")</f>
        <v/>
      </c>
    </row>
    <row r="18">
      <c r="A18" s="1" t="n"/>
      <c r="B18" s="18">
        <f>IF(O18="","",INDEX(Tasks!$B$6:$B$65,MATCH(O18,Tasks!$J$6:$J$65,0)))</f>
        <v/>
      </c>
      <c r="C18" s="6" t="n"/>
      <c r="D18" s="7" t="n"/>
      <c r="E18" s="19">
        <f>IF(O18="","",INT(O18))</f>
        <v/>
      </c>
      <c r="F18" s="20">
        <f>IF(O18="","",INDEX(Tasks!$E$6:$E$65,MATCH(O18,Tasks!$J$6:$J$65,0)))</f>
        <v/>
      </c>
      <c r="G18" s="21">
        <f>IF(O18="","",INDEX(Tasks!$G$6:$G$65,MATCH(O18,Tasks!$J$6:$J$65,0)))</f>
        <v/>
      </c>
      <c r="H18" s="1" t="n"/>
      <c r="I18" s="1" t="n"/>
      <c r="J18" s="1" t="n"/>
      <c r="K18" s="1" t="n"/>
      <c r="L18" s="1" t="n"/>
      <c r="M18" s="1" t="n"/>
      <c r="N18" s="1" t="n"/>
      <c r="O18">
        <f>IFERROR(SMALL(Tasks!$J$6:$J$65,7),"")</f>
        <v/>
      </c>
    </row>
    <row r="19">
      <c r="A19" s="1" t="n"/>
      <c r="B19" s="18">
        <f>IF(O19="","",INDEX(Tasks!$B$6:$B$65,MATCH(O19,Tasks!$J$6:$J$65,0)))</f>
        <v/>
      </c>
      <c r="C19" s="6" t="n"/>
      <c r="D19" s="7" t="n"/>
      <c r="E19" s="19">
        <f>IF(O19="","",INT(O19))</f>
        <v/>
      </c>
      <c r="F19" s="20">
        <f>IF(O19="","",INDEX(Tasks!$E$6:$E$65,MATCH(O19,Tasks!$J$6:$J$65,0)))</f>
        <v/>
      </c>
      <c r="G19" s="21">
        <f>IF(O19="","",INDEX(Tasks!$G$6:$G$65,MATCH(O19,Tasks!$J$6:$J$65,0)))</f>
        <v/>
      </c>
      <c r="H19" s="1" t="n"/>
      <c r="I19" s="1" t="n"/>
      <c r="J19" s="1" t="n"/>
      <c r="K19" s="1" t="n"/>
      <c r="L19" s="1" t="n"/>
      <c r="M19" s="1" t="n"/>
      <c r="N19" s="1" t="n"/>
      <c r="O19">
        <f>IFERROR(SMALL(Tasks!$J$6:$J$65,8),"")</f>
        <v/>
      </c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 ht="30" customHeight="1">
      <c r="A21" s="1" t="n"/>
      <c r="B21" s="17" t="inlineStr">
        <is>
          <t>Money</t>
        </is>
      </c>
      <c r="C21" s="17" t="inlineStr">
        <is>
          <t>Planned</t>
        </is>
      </c>
      <c r="D21" s="17" t="inlineStr">
        <is>
          <t>Paid</t>
        </is>
      </c>
      <c r="E21" s="17" t="inlineStr">
        <is>
          <t>Still to pay</t>
        </is>
      </c>
      <c r="F21" s="1" t="n"/>
      <c r="G21" s="1" t="n"/>
      <c r="H21" s="1" t="n"/>
      <c r="I21" s="17" t="inlineStr">
        <is>
          <t>Dietary needs of guests coming</t>
        </is>
      </c>
      <c r="J21" s="17" t="inlineStr">
        <is>
          <t>Guests</t>
        </is>
      </c>
      <c r="K21" s="1" t="n"/>
      <c r="L21" s="1" t="n"/>
      <c r="M21" s="1" t="n"/>
      <c r="N21" s="1" t="n"/>
    </row>
    <row r="22">
      <c r="A22" s="1" t="n"/>
      <c r="B22" s="18" t="inlineStr">
        <is>
          <t>Venue</t>
        </is>
      </c>
      <c r="C22" s="25">
        <f>SUMIFS(Budget!$M$6:$M$55,Budget!$C$6:$C$55,B22)</f>
        <v/>
      </c>
      <c r="D22" s="25">
        <f>SUMIFS(Budget!$G$6:$G$55,Budget!$C$6:$C$55,B22)</f>
        <v/>
      </c>
      <c r="E22" s="25">
        <f>SUMIFS(Budget!$H$6:$H$55,Budget!$C$6:$C$55,B22)</f>
        <v/>
      </c>
      <c r="F22" s="1" t="n"/>
      <c r="G22" s="1" t="n"/>
      <c r="H22" s="1" t="n"/>
      <c r="I22" s="18" t="inlineStr">
        <is>
          <t>Vegetarian</t>
        </is>
      </c>
      <c r="J22" s="26">
        <f>COUNTIFS(Guests!$G$6:$G$305,I22,Guests!$D$6:$D$305,"Yes")</f>
        <v/>
      </c>
      <c r="K22" s="1" t="n"/>
      <c r="L22" s="1" t="n"/>
      <c r="M22" s="1" t="n"/>
      <c r="N22" s="1" t="n"/>
    </row>
    <row r="23">
      <c r="A23" s="1" t="n"/>
      <c r="B23" s="18" t="inlineStr">
        <is>
          <t>Cake</t>
        </is>
      </c>
      <c r="C23" s="25">
        <f>SUMIFS(Budget!$M$6:$M$55,Budget!$C$6:$C$55,B23)</f>
        <v/>
      </c>
      <c r="D23" s="25">
        <f>SUMIFS(Budget!$G$6:$G$55,Budget!$C$6:$C$55,B23)</f>
        <v/>
      </c>
      <c r="E23" s="25">
        <f>SUMIFS(Budget!$H$6:$H$55,Budget!$C$6:$C$55,B23)</f>
        <v/>
      </c>
      <c r="F23" s="1" t="n"/>
      <c r="G23" s="1" t="n"/>
      <c r="H23" s="1" t="n"/>
      <c r="I23" s="18" t="inlineStr">
        <is>
          <t>Vegan</t>
        </is>
      </c>
      <c r="J23" s="26">
        <f>COUNTIFS(Guests!$G$6:$G$305,I23,Guests!$D$6:$D$305,"Yes")</f>
        <v/>
      </c>
      <c r="K23" s="1" t="n"/>
      <c r="L23" s="1" t="n"/>
      <c r="M23" s="1" t="n"/>
      <c r="N23" s="1" t="n"/>
    </row>
    <row r="24">
      <c r="A24" s="1" t="n"/>
      <c r="B24" s="18" t="inlineStr">
        <is>
          <t>Decorations</t>
        </is>
      </c>
      <c r="C24" s="25">
        <f>SUMIFS(Budget!$M$6:$M$55,Budget!$C$6:$C$55,B24)</f>
        <v/>
      </c>
      <c r="D24" s="25">
        <f>SUMIFS(Budget!$G$6:$G$55,Budget!$C$6:$C$55,B24)</f>
        <v/>
      </c>
      <c r="E24" s="25">
        <f>SUMIFS(Budget!$H$6:$H$55,Budget!$C$6:$C$55,B24)</f>
        <v/>
      </c>
      <c r="F24" s="1" t="n"/>
      <c r="G24" s="1" t="n"/>
      <c r="H24" s="1" t="n"/>
      <c r="I24" s="18" t="inlineStr">
        <is>
          <t>Gluten free</t>
        </is>
      </c>
      <c r="J24" s="26">
        <f>COUNTIFS(Guests!$G$6:$G$305,I24,Guests!$D$6:$D$305,"Yes")</f>
        <v/>
      </c>
      <c r="K24" s="1" t="n"/>
      <c r="L24" s="1" t="n"/>
      <c r="M24" s="1" t="n"/>
      <c r="N24" s="1" t="n"/>
    </row>
    <row r="25">
      <c r="A25" s="1" t="n"/>
      <c r="B25" s="18" t="inlineStr">
        <is>
          <t>Entertainment</t>
        </is>
      </c>
      <c r="C25" s="25">
        <f>SUMIFS(Budget!$M$6:$M$55,Budget!$C$6:$C$55,B25)</f>
        <v/>
      </c>
      <c r="D25" s="25">
        <f>SUMIFS(Budget!$G$6:$G$55,Budget!$C$6:$C$55,B25)</f>
        <v/>
      </c>
      <c r="E25" s="25">
        <f>SUMIFS(Budget!$H$6:$H$55,Budget!$C$6:$C$55,B25)</f>
        <v/>
      </c>
      <c r="F25" s="1" t="n"/>
      <c r="G25" s="1" t="n"/>
      <c r="H25" s="1" t="n"/>
      <c r="I25" s="18" t="inlineStr">
        <is>
          <t>Dairy free</t>
        </is>
      </c>
      <c r="J25" s="26">
        <f>COUNTIFS(Guests!$G$6:$G$305,I25,Guests!$D$6:$D$305,"Yes")</f>
        <v/>
      </c>
      <c r="K25" s="1" t="n"/>
      <c r="L25" s="1" t="n"/>
      <c r="M25" s="1" t="n"/>
      <c r="N25" s="1" t="n"/>
    </row>
    <row r="26">
      <c r="A26" s="1" t="n"/>
      <c r="B26" s="18" t="inlineStr">
        <is>
          <t>Rentals</t>
        </is>
      </c>
      <c r="C26" s="25">
        <f>SUMIFS(Budget!$M$6:$M$55,Budget!$C$6:$C$55,B26)</f>
        <v/>
      </c>
      <c r="D26" s="25">
        <f>SUMIFS(Budget!$G$6:$G$55,Budget!$C$6:$C$55,B26)</f>
        <v/>
      </c>
      <c r="E26" s="25">
        <f>SUMIFS(Budget!$H$6:$H$55,Budget!$C$6:$C$55,B26)</f>
        <v/>
      </c>
      <c r="F26" s="1" t="n"/>
      <c r="G26" s="1" t="n"/>
      <c r="H26" s="1" t="n"/>
      <c r="I26" s="18" t="inlineStr">
        <is>
          <t>Nut allergy</t>
        </is>
      </c>
      <c r="J26" s="26">
        <f>COUNTIFS(Guests!$G$6:$G$305,I26,Guests!$D$6:$D$305,"Yes")</f>
        <v/>
      </c>
      <c r="K26" s="1" t="n"/>
      <c r="L26" s="1" t="n"/>
      <c r="M26" s="1" t="n"/>
      <c r="N26" s="1" t="n"/>
    </row>
    <row r="27">
      <c r="A27" s="1" t="n"/>
      <c r="B27" s="18" t="inlineStr">
        <is>
          <t>Invitations</t>
        </is>
      </c>
      <c r="C27" s="25">
        <f>SUMIFS(Budget!$M$6:$M$55,Budget!$C$6:$C$55,B27)</f>
        <v/>
      </c>
      <c r="D27" s="25">
        <f>SUMIFS(Budget!$G$6:$G$55,Budget!$C$6:$C$55,B27)</f>
        <v/>
      </c>
      <c r="E27" s="25">
        <f>SUMIFS(Budget!$H$6:$H$55,Budget!$C$6:$C$55,B27)</f>
        <v/>
      </c>
      <c r="F27" s="1" t="n"/>
      <c r="G27" s="1" t="n"/>
      <c r="H27" s="1" t="n"/>
      <c r="I27" s="18" t="inlineStr">
        <is>
          <t>Halal</t>
        </is>
      </c>
      <c r="J27" s="26">
        <f>COUNTIFS(Guests!$G$6:$G$305,I27,Guests!$D$6:$D$305,"Yes")</f>
        <v/>
      </c>
      <c r="K27" s="1" t="n"/>
      <c r="L27" s="1" t="n"/>
      <c r="M27" s="1" t="n"/>
      <c r="N27" s="1" t="n"/>
    </row>
    <row r="28">
      <c r="A28" s="1" t="n"/>
      <c r="B28" s="18" t="inlineStr">
        <is>
          <t>Favours</t>
        </is>
      </c>
      <c r="C28" s="25">
        <f>SUMIFS(Budget!$M$6:$M$55,Budget!$C$6:$C$55,B28)</f>
        <v/>
      </c>
      <c r="D28" s="25">
        <f>SUMIFS(Budget!$G$6:$G$55,Budget!$C$6:$C$55,B28)</f>
        <v/>
      </c>
      <c r="E28" s="25">
        <f>SUMIFS(Budget!$H$6:$H$55,Budget!$C$6:$C$55,B28)</f>
        <v/>
      </c>
      <c r="F28" s="1" t="n"/>
      <c r="G28" s="1" t="n"/>
      <c r="H28" s="1" t="n"/>
      <c r="I28" s="18" t="inlineStr">
        <is>
          <t>Kosher</t>
        </is>
      </c>
      <c r="J28" s="26">
        <f>COUNTIFS(Guests!$G$6:$G$305,I28,Guests!$D$6:$D$305,"Yes")</f>
        <v/>
      </c>
      <c r="K28" s="1" t="n"/>
      <c r="L28" s="1" t="n"/>
      <c r="M28" s="1" t="n"/>
      <c r="N28" s="1" t="n"/>
    </row>
    <row r="29">
      <c r="A29" s="1" t="n"/>
      <c r="B29" s="18" t="inlineStr">
        <is>
          <t>Photos</t>
        </is>
      </c>
      <c r="C29" s="25">
        <f>SUMIFS(Budget!$M$6:$M$55,Budget!$C$6:$C$55,B29)</f>
        <v/>
      </c>
      <c r="D29" s="25">
        <f>SUMIFS(Budget!$G$6:$G$55,Budget!$C$6:$C$55,B29)</f>
        <v/>
      </c>
      <c r="E29" s="25">
        <f>SUMIFS(Budget!$H$6:$H$55,Budget!$C$6:$C$55,B29)</f>
        <v/>
      </c>
      <c r="F29" s="1" t="n"/>
      <c r="G29" s="1" t="n"/>
      <c r="H29" s="1" t="n"/>
      <c r="I29" s="18" t="inlineStr">
        <is>
          <t>Other</t>
        </is>
      </c>
      <c r="J29" s="26">
        <f>COUNTIFS(Guests!$G$6:$G$305,I29,Guests!$D$6:$D$305,"Yes")</f>
        <v/>
      </c>
      <c r="K29" s="1" t="n"/>
      <c r="L29" s="1" t="n"/>
      <c r="M29" s="1" t="n"/>
      <c r="N29" s="1" t="n"/>
    </row>
    <row r="30">
      <c r="A30" s="1" t="n"/>
      <c r="B30" s="18" t="inlineStr">
        <is>
          <t>Outfits</t>
        </is>
      </c>
      <c r="C30" s="25">
        <f>SUMIFS(Budget!$M$6:$M$55,Budget!$C$6:$C$55,B30)</f>
        <v/>
      </c>
      <c r="D30" s="25">
        <f>SUMIFS(Budget!$G$6:$G$55,Budget!$C$6:$C$55,B30)</f>
        <v/>
      </c>
      <c r="E30" s="25">
        <f>SUMIFS(Budget!$H$6:$H$55,Budget!$C$6:$C$55,B30)</f>
        <v/>
      </c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18" t="inlineStr">
        <is>
          <t>Other</t>
        </is>
      </c>
      <c r="C31" s="25">
        <f>SUMIFS(Budget!$M$6:$M$55,Budget!$C$6:$C$55,B31)</f>
        <v/>
      </c>
      <c r="D31" s="25">
        <f>SUMIFS(Budget!$G$6:$G$55,Budget!$C$6:$C$55,B31)</f>
        <v/>
      </c>
      <c r="E31" s="25">
        <f>SUMIFS(Budget!$H$6:$H$55,Budget!$C$6:$C$55,B31)</f>
        <v/>
      </c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" t="n"/>
      <c r="B32" s="18" t="inlineStr">
        <is>
          <t>Food and drinks</t>
        </is>
      </c>
      <c r="C32" s="25">
        <f>SUM('Food and drinks'!$K$8:$K$47)</f>
        <v/>
      </c>
      <c r="D32" s="25">
        <f>SUMIFS('Food and drinks'!$K$8:$K$47,'Food and drinks'!$L$8:$L$47,"&lt;&gt;")</f>
        <v/>
      </c>
      <c r="E32" s="25">
        <f>C32-D32</f>
        <v/>
      </c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" t="n"/>
      <c r="B33" s="18" t="inlineStr">
        <is>
          <t>Total</t>
        </is>
      </c>
      <c r="C33" s="27">
        <f>SUM(Budget!$M$6:$M$55)+SUM('Food and drinks'!$K$8:$K$47)</f>
        <v/>
      </c>
      <c r="D33" s="27">
        <f>SUM(Budget!$G$6:$G$55)+SUMIFS('Food and drinks'!$K$8:$K$47,'Food and drinks'!$L$8:$L$47,"&lt;&gt;")</f>
        <v/>
      </c>
      <c r="E33" s="27">
        <f>SUM(Budget!$H$6:$H$55)+SUM('Food and drinks'!$K$8:$K$47)-SUMIFS('Food and drinks'!$K$8:$K$47,'Food and drinks'!$L$8:$L$47,"&lt;&gt;")</f>
        <v/>
      </c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28">
        <f>IF(N($C$6)=0,"",REPT("█",MIN(24,MAX(0,ROUND((MIN(1,C33/$C$6))*24,0))))&amp;REPT("░",24-MIN(24,MAX(0,ROUND((MIN(1,C33/$C$6))*24,0)))))</f>
        <v/>
      </c>
      <c r="E34" s="24">
        <f>IF(N($C$6)=0,"",IF(C33&gt;$C$6,"Over by "&amp;FIXED(C33-$C$6,2),FIXED(C33/$C$6*100,0)&amp;"% of the budget"))</f>
        <v/>
      </c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</row>
  </sheetData>
  <mergeCells count="11">
    <mergeCell ref="B11:D11"/>
    <mergeCell ref="B19:D19"/>
    <mergeCell ref="B14:D14"/>
    <mergeCell ref="B15:D15"/>
    <mergeCell ref="B17:D17"/>
    <mergeCell ref="C4:E4"/>
    <mergeCell ref="B13:D13"/>
    <mergeCell ref="B18:D18"/>
    <mergeCell ref="B12:D12"/>
    <mergeCell ref="B16:D16"/>
    <mergeCell ref="B34:D34"/>
  </mergeCells>
  <conditionalFormatting sqref="G9">
    <cfRule type="expression" priority="1" dxfId="0">
      <formula>AND(ISNUMBER(G9),G9&lt;0)</formula>
    </cfRule>
  </conditionalFormatting>
  <conditionalFormatting sqref="G12:G19">
    <cfRule type="expression" priority="2" dxfId="1">
      <formula>G12="Late"</formula>
    </cfRule>
    <cfRule type="expression" priority="3" dxfId="2">
      <formula>G12="This week"</formula>
    </cfRule>
  </conditionalFormatting>
  <conditionalFormatting sqref="I12:L12">
    <cfRule type="expression" priority="4" dxfId="3">
      <formula>TRUE</formula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30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8" customWidth="1" min="2" max="2"/>
    <col width="12" customWidth="1" min="3" max="3"/>
    <col width="10" customWidth="1" min="4" max="4"/>
    <col width="8" customWidth="1" min="5" max="5"/>
    <col width="8" customWidth="1" min="6" max="6"/>
    <col width="14" customWidth="1" min="7" max="7"/>
    <col width="22" customWidth="1" min="8" max="8"/>
    <col width="11" customWidth="1" min="9" max="9"/>
    <col width="13" customWidth="1" min="10" max="10"/>
    <col width="26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32" customHeight="1">
      <c r="A2" s="1" t="n"/>
      <c r="B2" s="2" t="inlineStr">
        <is>
          <t>Guests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1" t="n"/>
      <c r="B3" s="3" t="inlineStr">
        <is>
          <t>One line per guest or family. The answers, head counts and dietary needs add up on the Dashboard.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</row>
    <row r="5" ht="30" customHeight="1">
      <c r="A5" s="1" t="n"/>
      <c r="B5" s="17" t="inlineStr">
        <is>
          <t>Name</t>
        </is>
      </c>
      <c r="C5" s="17" t="inlineStr">
        <is>
          <t>Group</t>
        </is>
      </c>
      <c r="D5" s="17" t="inlineStr">
        <is>
          <t>Answer</t>
        </is>
      </c>
      <c r="E5" s="17" t="inlineStr">
        <is>
          <t>Adults</t>
        </is>
      </c>
      <c r="F5" s="17" t="inlineStr">
        <is>
          <t>Kids</t>
        </is>
      </c>
      <c r="G5" s="17" t="inlineStr">
        <is>
          <t>Dietary needs</t>
        </is>
      </c>
      <c r="H5" s="17" t="inlineStr">
        <is>
          <t>Gift</t>
        </is>
      </c>
      <c r="I5" s="17" t="inlineStr">
        <is>
          <t>Card sent</t>
        </is>
      </c>
      <c r="J5" s="17" t="inlineStr">
        <is>
          <t>Thank you</t>
        </is>
      </c>
      <c r="K5" s="17" t="inlineStr">
        <is>
          <t>Notes</t>
        </is>
      </c>
      <c r="L5" s="1" t="n"/>
    </row>
    <row r="6">
      <c r="A6" s="1" t="n"/>
      <c r="B6" s="5" t="inlineStr">
        <is>
          <t>Grandma Rosa and Grandpa Joe</t>
        </is>
      </c>
      <c r="C6" s="29" t="inlineStr">
        <is>
          <t>Family</t>
        </is>
      </c>
      <c r="D6" s="30" t="inlineStr">
        <is>
          <t>Yes</t>
        </is>
      </c>
      <c r="E6" s="31" t="n">
        <v>2</v>
      </c>
      <c r="F6" s="31" t="n">
        <v>0</v>
      </c>
      <c r="G6" s="29" t="n"/>
      <c r="H6" s="29" t="n"/>
      <c r="I6" s="30" t="n"/>
      <c r="J6" s="21">
        <f>IF(H6="","",IF(I6="","To send","Sent"))</f>
        <v/>
      </c>
      <c r="K6" s="29" t="inlineStr">
        <is>
          <t>Bringing the photo album</t>
        </is>
      </c>
      <c r="L6" s="1" t="n"/>
      <c r="M6">
        <f>IF(B6="",0,IF(E6="",1,N(E6)))</f>
        <v/>
      </c>
      <c r="N6">
        <f>IF(B6="",0,N(F6))</f>
        <v/>
      </c>
      <c r="O6">
        <f>IF(B6="","",IF(D6="","No answer",D6))</f>
        <v/>
      </c>
    </row>
    <row r="7">
      <c r="A7" s="1" t="n"/>
      <c r="B7" s="5" t="inlineStr">
        <is>
          <t>Aunt Clara and Ben</t>
        </is>
      </c>
      <c r="C7" s="29" t="inlineStr">
        <is>
          <t>Family</t>
        </is>
      </c>
      <c r="D7" s="30" t="inlineStr">
        <is>
          <t>Yes</t>
        </is>
      </c>
      <c r="E7" s="31" t="n">
        <v>2</v>
      </c>
      <c r="F7" s="31" t="n">
        <v>2</v>
      </c>
      <c r="G7" s="29" t="inlineStr">
        <is>
          <t>Vegetarian</t>
        </is>
      </c>
      <c r="H7" s="29" t="n"/>
      <c r="I7" s="30" t="n"/>
      <c r="J7" s="21">
        <f>IF(H7="","",IF(I7="","To send","Sent"))</f>
        <v/>
      </c>
      <c r="K7" s="29" t="n"/>
      <c r="L7" s="1" t="n"/>
      <c r="M7">
        <f>IF(B7="",0,IF(E7="",1,N(E7)))</f>
        <v/>
      </c>
      <c r="N7">
        <f>IF(B7="",0,N(F7))</f>
        <v/>
      </c>
      <c r="O7">
        <f>IF(B7="","",IF(D7="","No answer",D7))</f>
        <v/>
      </c>
    </row>
    <row r="8">
      <c r="A8" s="1" t="n"/>
      <c r="B8" s="5" t="inlineStr">
        <is>
          <t>Uncle Dan</t>
        </is>
      </c>
      <c r="C8" s="29" t="inlineStr">
        <is>
          <t>Family</t>
        </is>
      </c>
      <c r="D8" s="30" t="inlineStr">
        <is>
          <t>No</t>
        </is>
      </c>
      <c r="E8" s="31" t="n">
        <v>1</v>
      </c>
      <c r="F8" s="31" t="n">
        <v>0</v>
      </c>
      <c r="G8" s="29" t="n"/>
      <c r="H8" s="29" t="inlineStr">
        <is>
          <t>Book and card by post</t>
        </is>
      </c>
      <c r="I8" s="30" t="inlineStr">
        <is>
          <t>x</t>
        </is>
      </c>
      <c r="J8" s="21">
        <f>IF(H8="","",IF(I8="","To send","Sent"))</f>
        <v/>
      </c>
      <c r="K8" s="29" t="inlineStr">
        <is>
          <t>Away that weekend</t>
        </is>
      </c>
      <c r="L8" s="1" t="n"/>
      <c r="M8">
        <f>IF(B8="",0,IF(E8="",1,N(E8)))</f>
        <v/>
      </c>
      <c r="N8">
        <f>IF(B8="",0,N(F8))</f>
        <v/>
      </c>
      <c r="O8">
        <f>IF(B8="","",IF(D8="","No answer",D8))</f>
        <v/>
      </c>
    </row>
    <row r="9">
      <c r="A9" s="1" t="n"/>
      <c r="B9" s="5" t="inlineStr">
        <is>
          <t>The Okafor family</t>
        </is>
      </c>
      <c r="C9" s="29" t="inlineStr">
        <is>
          <t>School</t>
        </is>
      </c>
      <c r="D9" s="30" t="inlineStr">
        <is>
          <t>Yes</t>
        </is>
      </c>
      <c r="E9" s="31" t="n">
        <v>2</v>
      </c>
      <c r="F9" s="31" t="n">
        <v>2</v>
      </c>
      <c r="G9" s="29" t="n"/>
      <c r="H9" s="29" t="n"/>
      <c r="I9" s="30" t="n"/>
      <c r="J9" s="21">
        <f>IF(H9="","",IF(I9="","To send","Sent"))</f>
        <v/>
      </c>
      <c r="K9" s="29" t="n"/>
      <c r="L9" s="1" t="n"/>
      <c r="M9">
        <f>IF(B9="",0,IF(E9="",1,N(E9)))</f>
        <v/>
      </c>
      <c r="N9">
        <f>IF(B9="",0,N(F9))</f>
        <v/>
      </c>
      <c r="O9">
        <f>IF(B9="","",IF(D9="","No answer",D9))</f>
        <v/>
      </c>
    </row>
    <row r="10">
      <c r="A10" s="1" t="n"/>
      <c r="B10" s="5" t="inlineStr">
        <is>
          <t>The Lindqvist family</t>
        </is>
      </c>
      <c r="C10" s="29" t="inlineStr">
        <is>
          <t>School</t>
        </is>
      </c>
      <c r="D10" s="30" t="inlineStr">
        <is>
          <t>Yes</t>
        </is>
      </c>
      <c r="E10" s="31" t="n">
        <v>1</v>
      </c>
      <c r="F10" s="31" t="n">
        <v>1</v>
      </c>
      <c r="G10" s="29" t="inlineStr">
        <is>
          <t>Nut allergy</t>
        </is>
      </c>
      <c r="H10" s="29" t="n"/>
      <c r="I10" s="30" t="n"/>
      <c r="J10" s="21">
        <f>IF(H10="","",IF(I10="","To send","Sent"))</f>
        <v/>
      </c>
      <c r="K10" s="29" t="inlineStr">
        <is>
          <t>Ask about the cake</t>
        </is>
      </c>
      <c r="L10" s="1" t="n"/>
      <c r="M10">
        <f>IF(B10="",0,IF(E10="",1,N(E10)))</f>
        <v/>
      </c>
      <c r="N10">
        <f>IF(B10="",0,N(F10))</f>
        <v/>
      </c>
      <c r="O10">
        <f>IF(B10="","",IF(D10="","No answer",D10))</f>
        <v/>
      </c>
    </row>
    <row r="11">
      <c r="A11" s="1" t="n"/>
      <c r="B11" s="5" t="inlineStr">
        <is>
          <t>The Brandt family</t>
        </is>
      </c>
      <c r="C11" s="29" t="inlineStr">
        <is>
          <t>School</t>
        </is>
      </c>
      <c r="D11" s="30" t="inlineStr">
        <is>
          <t>Maybe</t>
        </is>
      </c>
      <c r="E11" s="31" t="n">
        <v>2</v>
      </c>
      <c r="F11" s="31" t="n">
        <v>1</v>
      </c>
      <c r="G11" s="29" t="n"/>
      <c r="H11" s="29" t="n"/>
      <c r="I11" s="30" t="n"/>
      <c r="J11" s="21">
        <f>IF(H11="","",IF(I11="","To send","Sent"))</f>
        <v/>
      </c>
      <c r="K11" s="29" t="n"/>
      <c r="L11" s="1" t="n"/>
      <c r="M11">
        <f>IF(B11="",0,IF(E11="",1,N(E11)))</f>
        <v/>
      </c>
      <c r="N11">
        <f>IF(B11="",0,N(F11))</f>
        <v/>
      </c>
      <c r="O11">
        <f>IF(B11="","",IF(D11="","No answer",D11))</f>
        <v/>
      </c>
    </row>
    <row r="12">
      <c r="A12" s="1" t="n"/>
      <c r="B12" s="5" t="inlineStr">
        <is>
          <t>The Varga family</t>
        </is>
      </c>
      <c r="C12" s="29" t="inlineStr">
        <is>
          <t>School</t>
        </is>
      </c>
      <c r="D12" s="30" t="inlineStr">
        <is>
          <t>Yes</t>
        </is>
      </c>
      <c r="E12" s="31" t="n">
        <v>2</v>
      </c>
      <c r="F12" s="31" t="n">
        <v>1</v>
      </c>
      <c r="G12" s="29" t="n"/>
      <c r="H12" s="29" t="n"/>
      <c r="I12" s="30" t="n"/>
      <c r="J12" s="21">
        <f>IF(H12="","",IF(I12="","To send","Sent"))</f>
        <v/>
      </c>
      <c r="K12" s="29" t="n"/>
      <c r="L12" s="1" t="n"/>
      <c r="M12">
        <f>IF(B12="",0,IF(E12="",1,N(E12)))</f>
        <v/>
      </c>
      <c r="N12">
        <f>IF(B12="",0,N(F12))</f>
        <v/>
      </c>
      <c r="O12">
        <f>IF(B12="","",IF(D12="","No answer",D12))</f>
        <v/>
      </c>
    </row>
    <row r="13">
      <c r="A13" s="1" t="n"/>
      <c r="B13" s="5" t="inlineStr">
        <is>
          <t>The Castell family</t>
        </is>
      </c>
      <c r="C13" s="29" t="inlineStr">
        <is>
          <t>School</t>
        </is>
      </c>
      <c r="D13" s="30" t="inlineStr">
        <is>
          <t>Yes</t>
        </is>
      </c>
      <c r="E13" s="31" t="n">
        <v>1</v>
      </c>
      <c r="F13" s="31" t="n">
        <v>2</v>
      </c>
      <c r="G13" s="29" t="inlineStr">
        <is>
          <t>Gluten free</t>
        </is>
      </c>
      <c r="H13" s="29" t="n"/>
      <c r="I13" s="30" t="n"/>
      <c r="J13" s="21">
        <f>IF(H13="","",IF(I13="","To send","Sent"))</f>
        <v/>
      </c>
      <c r="K13" s="29" t="n"/>
      <c r="L13" s="1" t="n"/>
      <c r="M13">
        <f>IF(B13="",0,IF(E13="",1,N(E13)))</f>
        <v/>
      </c>
      <c r="N13">
        <f>IF(B13="",0,N(F13))</f>
        <v/>
      </c>
      <c r="O13">
        <f>IF(B13="","",IF(D13="","No answer",D13))</f>
        <v/>
      </c>
    </row>
    <row r="14">
      <c r="A14" s="1" t="n"/>
      <c r="B14" s="5" t="inlineStr">
        <is>
          <t>The Holloway family</t>
        </is>
      </c>
      <c r="C14" s="29" t="inlineStr">
        <is>
          <t>School</t>
        </is>
      </c>
      <c r="D14" s="30" t="inlineStr">
        <is>
          <t>No</t>
        </is>
      </c>
      <c r="E14" s="31" t="n">
        <v>2</v>
      </c>
      <c r="F14" s="31" t="n">
        <v>1</v>
      </c>
      <c r="G14" s="29" t="n"/>
      <c r="H14" s="29" t="inlineStr">
        <is>
          <t>Gift card</t>
        </is>
      </c>
      <c r="I14" s="30" t="n"/>
      <c r="J14" s="21">
        <f>IF(H14="","",IF(I14="","To send","Sent"))</f>
        <v/>
      </c>
      <c r="K14" s="29" t="n"/>
      <c r="L14" s="1" t="n"/>
      <c r="M14">
        <f>IF(B14="",0,IF(E14="",1,N(E14)))</f>
        <v/>
      </c>
      <c r="N14">
        <f>IF(B14="",0,N(F14))</f>
        <v/>
      </c>
      <c r="O14">
        <f>IF(B14="","",IF(D14="","No answer",D14))</f>
        <v/>
      </c>
    </row>
    <row r="15">
      <c r="A15" s="1" t="n"/>
      <c r="B15" s="5" t="inlineStr">
        <is>
          <t>The Quill family</t>
        </is>
      </c>
      <c r="C15" s="29" t="inlineStr">
        <is>
          <t>School</t>
        </is>
      </c>
      <c r="D15" s="30" t="n"/>
      <c r="E15" s="31" t="n">
        <v>2</v>
      </c>
      <c r="F15" s="31" t="n">
        <v>1</v>
      </c>
      <c r="G15" s="29" t="n"/>
      <c r="H15" s="29" t="n"/>
      <c r="I15" s="30" t="n"/>
      <c r="J15" s="21">
        <f>IF(H15="","",IF(I15="","To send","Sent"))</f>
        <v/>
      </c>
      <c r="K15" s="29" t="n"/>
      <c r="L15" s="1" t="n"/>
      <c r="M15">
        <f>IF(B15="",0,IF(E15="",1,N(E15)))</f>
        <v/>
      </c>
      <c r="N15">
        <f>IF(B15="",0,N(F15))</f>
        <v/>
      </c>
      <c r="O15">
        <f>IF(B15="","",IF(D15="","No answer",D15))</f>
        <v/>
      </c>
    </row>
    <row r="16">
      <c r="A16" s="1" t="n"/>
      <c r="B16" s="5" t="inlineStr">
        <is>
          <t>The Rook family</t>
        </is>
      </c>
      <c r="C16" s="29" t="inlineStr">
        <is>
          <t>School</t>
        </is>
      </c>
      <c r="D16" s="30" t="inlineStr">
        <is>
          <t>Yes</t>
        </is>
      </c>
      <c r="E16" s="31" t="n">
        <v>2</v>
      </c>
      <c r="F16" s="31" t="n">
        <v>1</v>
      </c>
      <c r="G16" s="29" t="n"/>
      <c r="H16" s="29" t="n"/>
      <c r="I16" s="30" t="n"/>
      <c r="J16" s="21">
        <f>IF(H16="","",IF(I16="","To send","Sent"))</f>
        <v/>
      </c>
      <c r="K16" s="29" t="n"/>
      <c r="L16" s="1" t="n"/>
      <c r="M16">
        <f>IF(B16="",0,IF(E16="",1,N(E16)))</f>
        <v/>
      </c>
      <c r="N16">
        <f>IF(B16="",0,N(F16))</f>
        <v/>
      </c>
      <c r="O16">
        <f>IF(B16="","",IF(D16="","No answer",D16))</f>
        <v/>
      </c>
    </row>
    <row r="17">
      <c r="A17" s="1" t="n"/>
      <c r="B17" s="5" t="inlineStr">
        <is>
          <t>The Ashby family</t>
        </is>
      </c>
      <c r="C17" s="29" t="inlineStr">
        <is>
          <t>School</t>
        </is>
      </c>
      <c r="D17" s="30" t="n"/>
      <c r="E17" s="31" t="n">
        <v>1</v>
      </c>
      <c r="F17" s="31" t="n">
        <v>1</v>
      </c>
      <c r="G17" s="29" t="n"/>
      <c r="H17" s="29" t="n"/>
      <c r="I17" s="30" t="n"/>
      <c r="J17" s="21">
        <f>IF(H17="","",IF(I17="","To send","Sent"))</f>
        <v/>
      </c>
      <c r="K17" s="29" t="n"/>
      <c r="L17" s="1" t="n"/>
      <c r="M17">
        <f>IF(B17="",0,IF(E17="",1,N(E17)))</f>
        <v/>
      </c>
      <c r="N17">
        <f>IF(B17="",0,N(F17))</f>
        <v/>
      </c>
      <c r="O17">
        <f>IF(B17="","",IF(D17="","No answer",D17))</f>
        <v/>
      </c>
    </row>
    <row r="18">
      <c r="A18" s="1" t="n"/>
      <c r="B18" s="5" t="inlineStr">
        <is>
          <t>Nadia and Sam</t>
        </is>
      </c>
      <c r="C18" s="29" t="inlineStr">
        <is>
          <t>Friends</t>
        </is>
      </c>
      <c r="D18" s="30" t="inlineStr">
        <is>
          <t>Yes</t>
        </is>
      </c>
      <c r="E18" s="31" t="n">
        <v>2</v>
      </c>
      <c r="F18" s="31" t="n">
        <v>0</v>
      </c>
      <c r="G18" s="29" t="inlineStr">
        <is>
          <t>Vegan</t>
        </is>
      </c>
      <c r="H18" s="29" t="n"/>
      <c r="I18" s="30" t="n"/>
      <c r="J18" s="21">
        <f>IF(H18="","",IF(I18="","To send","Sent"))</f>
        <v/>
      </c>
      <c r="K18" s="29" t="n"/>
      <c r="L18" s="1" t="n"/>
      <c r="M18">
        <f>IF(B18="",0,IF(E18="",1,N(E18)))</f>
        <v/>
      </c>
      <c r="N18">
        <f>IF(B18="",0,N(F18))</f>
        <v/>
      </c>
      <c r="O18">
        <f>IF(B18="","",IF(D18="","No answer",D18))</f>
        <v/>
      </c>
    </row>
    <row r="19">
      <c r="A19" s="1" t="n"/>
      <c r="B19" s="5" t="inlineStr">
        <is>
          <t>Iris</t>
        </is>
      </c>
      <c r="C19" s="29" t="inlineStr">
        <is>
          <t>Friends</t>
        </is>
      </c>
      <c r="D19" s="30" t="inlineStr">
        <is>
          <t>Yes</t>
        </is>
      </c>
      <c r="E19" s="31" t="n">
        <v>1</v>
      </c>
      <c r="F19" s="31" t="n">
        <v>0</v>
      </c>
      <c r="G19" s="29" t="n"/>
      <c r="H19" s="29" t="n"/>
      <c r="I19" s="30" t="n"/>
      <c r="J19" s="21">
        <f>IF(H19="","",IF(I19="","To send","Sent"))</f>
        <v/>
      </c>
      <c r="K19" s="29" t="inlineStr">
        <is>
          <t>Can help with the games</t>
        </is>
      </c>
      <c r="L19" s="1" t="n"/>
      <c r="M19">
        <f>IF(B19="",0,IF(E19="",1,N(E19)))</f>
        <v/>
      </c>
      <c r="N19">
        <f>IF(B19="",0,N(F19))</f>
        <v/>
      </c>
      <c r="O19">
        <f>IF(B19="","",IF(D19="","No answer",D19))</f>
        <v/>
      </c>
    </row>
    <row r="20">
      <c r="A20" s="1" t="n"/>
      <c r="B20" s="5" t="inlineStr">
        <is>
          <t>Tomas and Ines</t>
        </is>
      </c>
      <c r="C20" s="29" t="inlineStr">
        <is>
          <t>Friends</t>
        </is>
      </c>
      <c r="D20" s="30" t="inlineStr">
        <is>
          <t>Maybe</t>
        </is>
      </c>
      <c r="E20" s="31" t="n">
        <v>2</v>
      </c>
      <c r="F20" s="31" t="n">
        <v>1</v>
      </c>
      <c r="G20" s="29" t="n"/>
      <c r="H20" s="29" t="n"/>
      <c r="I20" s="30" t="n"/>
      <c r="J20" s="21">
        <f>IF(H20="","",IF(I20="","To send","Sent"))</f>
        <v/>
      </c>
      <c r="K20" s="29" t="n"/>
      <c r="L20" s="1" t="n"/>
      <c r="M20">
        <f>IF(B20="",0,IF(E20="",1,N(E20)))</f>
        <v/>
      </c>
      <c r="N20">
        <f>IF(B20="",0,N(F20))</f>
        <v/>
      </c>
      <c r="O20">
        <f>IF(B20="","",IF(D20="","No answer",D20))</f>
        <v/>
      </c>
    </row>
    <row r="21">
      <c r="A21" s="1" t="n"/>
      <c r="B21" s="5" t="inlineStr">
        <is>
          <t>The Marlowe family</t>
        </is>
      </c>
      <c r="C21" s="29" t="inlineStr">
        <is>
          <t>Neighbours</t>
        </is>
      </c>
      <c r="D21" s="30" t="inlineStr">
        <is>
          <t>Yes</t>
        </is>
      </c>
      <c r="E21" s="31" t="n">
        <v>2</v>
      </c>
      <c r="F21" s="31" t="n">
        <v>2</v>
      </c>
      <c r="G21" s="29" t="n"/>
      <c r="H21" s="29" t="n"/>
      <c r="I21" s="30" t="n"/>
      <c r="J21" s="21">
        <f>IF(H21="","",IF(I21="","To send","Sent"))</f>
        <v/>
      </c>
      <c r="K21" s="29" t="n"/>
      <c r="L21" s="1" t="n"/>
      <c r="M21">
        <f>IF(B21="",0,IF(E21="",1,N(E21)))</f>
        <v/>
      </c>
      <c r="N21">
        <f>IF(B21="",0,N(F21))</f>
        <v/>
      </c>
      <c r="O21">
        <f>IF(B21="","",IF(D21="","No answer",D21))</f>
        <v/>
      </c>
    </row>
    <row r="22">
      <c r="A22" s="1" t="n"/>
      <c r="B22" s="5" t="inlineStr">
        <is>
          <t>Mr and Mrs Thorne</t>
        </is>
      </c>
      <c r="C22" s="29" t="inlineStr">
        <is>
          <t>Neighbours</t>
        </is>
      </c>
      <c r="D22" s="30" t="n"/>
      <c r="E22" s="31" t="n">
        <v>2</v>
      </c>
      <c r="F22" s="31" t="n">
        <v>0</v>
      </c>
      <c r="G22" s="29" t="n"/>
      <c r="H22" s="29" t="n"/>
      <c r="I22" s="30" t="n"/>
      <c r="J22" s="21">
        <f>IF(H22="","",IF(I22="","To send","Sent"))</f>
        <v/>
      </c>
      <c r="K22" s="29" t="n"/>
      <c r="L22" s="1" t="n"/>
      <c r="M22">
        <f>IF(B22="",0,IF(E22="",1,N(E22)))</f>
        <v/>
      </c>
      <c r="N22">
        <f>IF(B22="",0,N(F22))</f>
        <v/>
      </c>
      <c r="O22">
        <f>IF(B22="","",IF(D22="","No answer",D22))</f>
        <v/>
      </c>
    </row>
    <row r="23">
      <c r="A23" s="1" t="n"/>
      <c r="B23" s="5" t="inlineStr">
        <is>
          <t>Coach Wren</t>
        </is>
      </c>
      <c r="C23" s="29" t="inlineStr">
        <is>
          <t>Other</t>
        </is>
      </c>
      <c r="D23" s="30" t="inlineStr">
        <is>
          <t>Yes</t>
        </is>
      </c>
      <c r="E23" s="31" t="n">
        <v>1</v>
      </c>
      <c r="F23" s="31" t="n">
        <v>0</v>
      </c>
      <c r="G23" s="29" t="inlineStr">
        <is>
          <t>Dairy free</t>
        </is>
      </c>
      <c r="H23" s="29" t="n"/>
      <c r="I23" s="30" t="n"/>
      <c r="J23" s="21">
        <f>IF(H23="","",IF(I23="","To send","Sent"))</f>
        <v/>
      </c>
      <c r="K23" s="29" t="n"/>
      <c r="L23" s="1" t="n"/>
      <c r="M23">
        <f>IF(B23="",0,IF(E23="",1,N(E23)))</f>
        <v/>
      </c>
      <c r="N23">
        <f>IF(B23="",0,N(F23))</f>
        <v/>
      </c>
      <c r="O23">
        <f>IF(B23="","",IF(D23="","No answer",D23))</f>
        <v/>
      </c>
    </row>
    <row r="24">
      <c r="A24" s="1" t="n"/>
      <c r="B24" s="5" t="inlineStr">
        <is>
          <t>The Fennimore family</t>
        </is>
      </c>
      <c r="C24" s="29" t="inlineStr">
        <is>
          <t>School</t>
        </is>
      </c>
      <c r="D24" s="30" t="inlineStr">
        <is>
          <t>Yes</t>
        </is>
      </c>
      <c r="E24" s="31" t="n">
        <v>2</v>
      </c>
      <c r="F24" s="31" t="n">
        <v>1</v>
      </c>
      <c r="G24" s="29" t="n"/>
      <c r="H24" s="29" t="n"/>
      <c r="I24" s="30" t="n"/>
      <c r="J24" s="21">
        <f>IF(H24="","",IF(I24="","To send","Sent"))</f>
        <v/>
      </c>
      <c r="K24" s="29" t="n"/>
      <c r="L24" s="1" t="n"/>
      <c r="M24">
        <f>IF(B24="",0,IF(E24="",1,N(E24)))</f>
        <v/>
      </c>
      <c r="N24">
        <f>IF(B24="",0,N(F24))</f>
        <v/>
      </c>
      <c r="O24">
        <f>IF(B24="","",IF(D24="","No answer",D24))</f>
        <v/>
      </c>
    </row>
    <row r="25">
      <c r="A25" s="1" t="n"/>
      <c r="B25" s="5" t="inlineStr">
        <is>
          <t>Jude</t>
        </is>
      </c>
      <c r="C25" s="29" t="inlineStr">
        <is>
          <t>Friends</t>
        </is>
      </c>
      <c r="D25" s="30" t="n"/>
      <c r="E25" s="31" t="n">
        <v>1</v>
      </c>
      <c r="F25" s="31" t="n">
        <v>0</v>
      </c>
      <c r="G25" s="29" t="n"/>
      <c r="H25" s="29" t="n"/>
      <c r="I25" s="30" t="n"/>
      <c r="J25" s="21">
        <f>IF(H25="","",IF(I25="","To send","Sent"))</f>
        <v/>
      </c>
      <c r="K25" s="29" t="n"/>
      <c r="L25" s="1" t="n"/>
      <c r="M25">
        <f>IF(B25="",0,IF(E25="",1,N(E25)))</f>
        <v/>
      </c>
      <c r="N25">
        <f>IF(B25="",0,N(F25))</f>
        <v/>
      </c>
      <c r="O25">
        <f>IF(B25="","",IF(D25="","No answer",D25))</f>
        <v/>
      </c>
    </row>
    <row r="26">
      <c r="A26" s="1" t="n"/>
      <c r="B26" s="5" t="n"/>
      <c r="C26" s="29" t="n"/>
      <c r="D26" s="30" t="n"/>
      <c r="E26" s="31" t="n"/>
      <c r="F26" s="31" t="n"/>
      <c r="G26" s="29" t="n"/>
      <c r="H26" s="29" t="n"/>
      <c r="I26" s="30" t="n"/>
      <c r="J26" s="21">
        <f>IF(H26="","",IF(I26="","To send","Sent"))</f>
        <v/>
      </c>
      <c r="K26" s="29" t="n"/>
      <c r="L26" s="1" t="n"/>
      <c r="M26">
        <f>IF(B26="",0,IF(E26="",1,N(E26)))</f>
        <v/>
      </c>
      <c r="N26">
        <f>IF(B26="",0,N(F26))</f>
        <v/>
      </c>
      <c r="O26">
        <f>IF(B26="","",IF(D26="","No answer",D26))</f>
        <v/>
      </c>
    </row>
    <row r="27">
      <c r="A27" s="1" t="n"/>
      <c r="B27" s="5" t="n"/>
      <c r="C27" s="29" t="n"/>
      <c r="D27" s="30" t="n"/>
      <c r="E27" s="31" t="n"/>
      <c r="F27" s="31" t="n"/>
      <c r="G27" s="29" t="n"/>
      <c r="H27" s="29" t="n"/>
      <c r="I27" s="30" t="n"/>
      <c r="J27" s="21">
        <f>IF(H27="","",IF(I27="","To send","Sent"))</f>
        <v/>
      </c>
      <c r="K27" s="29" t="n"/>
      <c r="L27" s="1" t="n"/>
      <c r="M27">
        <f>IF(B27="",0,IF(E27="",1,N(E27)))</f>
        <v/>
      </c>
      <c r="N27">
        <f>IF(B27="",0,N(F27))</f>
        <v/>
      </c>
      <c r="O27">
        <f>IF(B27="","",IF(D27="","No answer",D27))</f>
        <v/>
      </c>
    </row>
    <row r="28">
      <c r="A28" s="1" t="n"/>
      <c r="B28" s="5" t="n"/>
      <c r="C28" s="29" t="n"/>
      <c r="D28" s="30" t="n"/>
      <c r="E28" s="31" t="n"/>
      <c r="F28" s="31" t="n"/>
      <c r="G28" s="29" t="n"/>
      <c r="H28" s="29" t="n"/>
      <c r="I28" s="30" t="n"/>
      <c r="J28" s="21">
        <f>IF(H28="","",IF(I28="","To send","Sent"))</f>
        <v/>
      </c>
      <c r="K28" s="29" t="n"/>
      <c r="L28" s="1" t="n"/>
      <c r="M28">
        <f>IF(B28="",0,IF(E28="",1,N(E28)))</f>
        <v/>
      </c>
      <c r="N28">
        <f>IF(B28="",0,N(F28))</f>
        <v/>
      </c>
      <c r="O28">
        <f>IF(B28="","",IF(D28="","No answer",D28))</f>
        <v/>
      </c>
    </row>
    <row r="29">
      <c r="A29" s="1" t="n"/>
      <c r="B29" s="5" t="n"/>
      <c r="C29" s="29" t="n"/>
      <c r="D29" s="30" t="n"/>
      <c r="E29" s="31" t="n"/>
      <c r="F29" s="31" t="n"/>
      <c r="G29" s="29" t="n"/>
      <c r="H29" s="29" t="n"/>
      <c r="I29" s="30" t="n"/>
      <c r="J29" s="21">
        <f>IF(H29="","",IF(I29="","To send","Sent"))</f>
        <v/>
      </c>
      <c r="K29" s="29" t="n"/>
      <c r="L29" s="1" t="n"/>
      <c r="M29">
        <f>IF(B29="",0,IF(E29="",1,N(E29)))</f>
        <v/>
      </c>
      <c r="N29">
        <f>IF(B29="",0,N(F29))</f>
        <v/>
      </c>
      <c r="O29">
        <f>IF(B29="","",IF(D29="","No answer",D29))</f>
        <v/>
      </c>
    </row>
    <row r="30">
      <c r="A30" s="1" t="n"/>
      <c r="B30" s="5" t="n"/>
      <c r="C30" s="29" t="n"/>
      <c r="D30" s="30" t="n"/>
      <c r="E30" s="31" t="n"/>
      <c r="F30" s="31" t="n"/>
      <c r="G30" s="29" t="n"/>
      <c r="H30" s="29" t="n"/>
      <c r="I30" s="30" t="n"/>
      <c r="J30" s="21">
        <f>IF(H30="","",IF(I30="","To send","Sent"))</f>
        <v/>
      </c>
      <c r="K30" s="29" t="n"/>
      <c r="L30" s="1" t="n"/>
      <c r="M30">
        <f>IF(B30="",0,IF(E30="",1,N(E30)))</f>
        <v/>
      </c>
      <c r="N30">
        <f>IF(B30="",0,N(F30))</f>
        <v/>
      </c>
      <c r="O30">
        <f>IF(B30="","",IF(D30="","No answer",D30))</f>
        <v/>
      </c>
    </row>
    <row r="31">
      <c r="A31" s="1" t="n"/>
      <c r="B31" s="5" t="n"/>
      <c r="C31" s="29" t="n"/>
      <c r="D31" s="30" t="n"/>
      <c r="E31" s="31" t="n"/>
      <c r="F31" s="31" t="n"/>
      <c r="G31" s="29" t="n"/>
      <c r="H31" s="29" t="n"/>
      <c r="I31" s="30" t="n"/>
      <c r="J31" s="21">
        <f>IF(H31="","",IF(I31="","To send","Sent"))</f>
        <v/>
      </c>
      <c r="K31" s="29" t="n"/>
      <c r="L31" s="1" t="n"/>
      <c r="M31">
        <f>IF(B31="",0,IF(E31="",1,N(E31)))</f>
        <v/>
      </c>
      <c r="N31">
        <f>IF(B31="",0,N(F31))</f>
        <v/>
      </c>
      <c r="O31">
        <f>IF(B31="","",IF(D31="","No answer",D31))</f>
        <v/>
      </c>
    </row>
    <row r="32">
      <c r="A32" s="1" t="n"/>
      <c r="B32" s="5" t="n"/>
      <c r="C32" s="29" t="n"/>
      <c r="D32" s="30" t="n"/>
      <c r="E32" s="31" t="n"/>
      <c r="F32" s="31" t="n"/>
      <c r="G32" s="29" t="n"/>
      <c r="H32" s="29" t="n"/>
      <c r="I32" s="30" t="n"/>
      <c r="J32" s="21">
        <f>IF(H32="","",IF(I32="","To send","Sent"))</f>
        <v/>
      </c>
      <c r="K32" s="29" t="n"/>
      <c r="L32" s="1" t="n"/>
      <c r="M32">
        <f>IF(B32="",0,IF(E32="",1,N(E32)))</f>
        <v/>
      </c>
      <c r="N32">
        <f>IF(B32="",0,N(F32))</f>
        <v/>
      </c>
      <c r="O32">
        <f>IF(B32="","",IF(D32="","No answer",D32))</f>
        <v/>
      </c>
    </row>
    <row r="33">
      <c r="A33" s="1" t="n"/>
      <c r="B33" s="5" t="n"/>
      <c r="C33" s="29" t="n"/>
      <c r="D33" s="30" t="n"/>
      <c r="E33" s="31" t="n"/>
      <c r="F33" s="31" t="n"/>
      <c r="G33" s="29" t="n"/>
      <c r="H33" s="29" t="n"/>
      <c r="I33" s="30" t="n"/>
      <c r="J33" s="21">
        <f>IF(H33="","",IF(I33="","To send","Sent"))</f>
        <v/>
      </c>
      <c r="K33" s="29" t="n"/>
      <c r="L33" s="1" t="n"/>
      <c r="M33">
        <f>IF(B33="",0,IF(E33="",1,N(E33)))</f>
        <v/>
      </c>
      <c r="N33">
        <f>IF(B33="",0,N(F33))</f>
        <v/>
      </c>
      <c r="O33">
        <f>IF(B33="","",IF(D33="","No answer",D33))</f>
        <v/>
      </c>
    </row>
    <row r="34">
      <c r="A34" s="1" t="n"/>
      <c r="B34" s="5" t="n"/>
      <c r="C34" s="29" t="n"/>
      <c r="D34" s="30" t="n"/>
      <c r="E34" s="31" t="n"/>
      <c r="F34" s="31" t="n"/>
      <c r="G34" s="29" t="n"/>
      <c r="H34" s="29" t="n"/>
      <c r="I34" s="30" t="n"/>
      <c r="J34" s="21">
        <f>IF(H34="","",IF(I34="","To send","Sent"))</f>
        <v/>
      </c>
      <c r="K34" s="29" t="n"/>
      <c r="L34" s="1" t="n"/>
      <c r="M34">
        <f>IF(B34="",0,IF(E34="",1,N(E34)))</f>
        <v/>
      </c>
      <c r="N34">
        <f>IF(B34="",0,N(F34))</f>
        <v/>
      </c>
      <c r="O34">
        <f>IF(B34="","",IF(D34="","No answer",D34))</f>
        <v/>
      </c>
    </row>
    <row r="35">
      <c r="A35" s="1" t="n"/>
      <c r="B35" s="5" t="n"/>
      <c r="C35" s="29" t="n"/>
      <c r="D35" s="30" t="n"/>
      <c r="E35" s="31" t="n"/>
      <c r="F35" s="31" t="n"/>
      <c r="G35" s="29" t="n"/>
      <c r="H35" s="29" t="n"/>
      <c r="I35" s="30" t="n"/>
      <c r="J35" s="21">
        <f>IF(H35="","",IF(I35="","To send","Sent"))</f>
        <v/>
      </c>
      <c r="K35" s="29" t="n"/>
      <c r="L35" s="1" t="n"/>
      <c r="M35">
        <f>IF(B35="",0,IF(E35="",1,N(E35)))</f>
        <v/>
      </c>
      <c r="N35">
        <f>IF(B35="",0,N(F35))</f>
        <v/>
      </c>
      <c r="O35">
        <f>IF(B35="","",IF(D35="","No answer",D35))</f>
        <v/>
      </c>
    </row>
    <row r="36">
      <c r="A36" s="1" t="n"/>
      <c r="B36" s="5" t="n"/>
      <c r="C36" s="29" t="n"/>
      <c r="D36" s="30" t="n"/>
      <c r="E36" s="31" t="n"/>
      <c r="F36" s="31" t="n"/>
      <c r="G36" s="29" t="n"/>
      <c r="H36" s="29" t="n"/>
      <c r="I36" s="30" t="n"/>
      <c r="J36" s="21">
        <f>IF(H36="","",IF(I36="","To send","Sent"))</f>
        <v/>
      </c>
      <c r="K36" s="29" t="n"/>
      <c r="L36" s="1" t="n"/>
      <c r="M36">
        <f>IF(B36="",0,IF(E36="",1,N(E36)))</f>
        <v/>
      </c>
      <c r="N36">
        <f>IF(B36="",0,N(F36))</f>
        <v/>
      </c>
      <c r="O36">
        <f>IF(B36="","",IF(D36="","No answer",D36))</f>
        <v/>
      </c>
    </row>
    <row r="37">
      <c r="A37" s="1" t="n"/>
      <c r="B37" s="5" t="n"/>
      <c r="C37" s="29" t="n"/>
      <c r="D37" s="30" t="n"/>
      <c r="E37" s="31" t="n"/>
      <c r="F37" s="31" t="n"/>
      <c r="G37" s="29" t="n"/>
      <c r="H37" s="29" t="n"/>
      <c r="I37" s="30" t="n"/>
      <c r="J37" s="21">
        <f>IF(H37="","",IF(I37="","To send","Sent"))</f>
        <v/>
      </c>
      <c r="K37" s="29" t="n"/>
      <c r="L37" s="1" t="n"/>
      <c r="M37">
        <f>IF(B37="",0,IF(E37="",1,N(E37)))</f>
        <v/>
      </c>
      <c r="N37">
        <f>IF(B37="",0,N(F37))</f>
        <v/>
      </c>
      <c r="O37">
        <f>IF(B37="","",IF(D37="","No answer",D37))</f>
        <v/>
      </c>
    </row>
    <row r="38">
      <c r="A38" s="1" t="n"/>
      <c r="B38" s="5" t="n"/>
      <c r="C38" s="29" t="n"/>
      <c r="D38" s="30" t="n"/>
      <c r="E38" s="31" t="n"/>
      <c r="F38" s="31" t="n"/>
      <c r="G38" s="29" t="n"/>
      <c r="H38" s="29" t="n"/>
      <c r="I38" s="30" t="n"/>
      <c r="J38" s="21">
        <f>IF(H38="","",IF(I38="","To send","Sent"))</f>
        <v/>
      </c>
      <c r="K38" s="29" t="n"/>
      <c r="L38" s="1" t="n"/>
      <c r="M38">
        <f>IF(B38="",0,IF(E38="",1,N(E38)))</f>
        <v/>
      </c>
      <c r="N38">
        <f>IF(B38="",0,N(F38))</f>
        <v/>
      </c>
      <c r="O38">
        <f>IF(B38="","",IF(D38="","No answer",D38))</f>
        <v/>
      </c>
    </row>
    <row r="39">
      <c r="A39" s="1" t="n"/>
      <c r="B39" s="5" t="n"/>
      <c r="C39" s="29" t="n"/>
      <c r="D39" s="30" t="n"/>
      <c r="E39" s="31" t="n"/>
      <c r="F39" s="31" t="n"/>
      <c r="G39" s="29" t="n"/>
      <c r="H39" s="29" t="n"/>
      <c r="I39" s="30" t="n"/>
      <c r="J39" s="21">
        <f>IF(H39="","",IF(I39="","To send","Sent"))</f>
        <v/>
      </c>
      <c r="K39" s="29" t="n"/>
      <c r="L39" s="1" t="n"/>
      <c r="M39">
        <f>IF(B39="",0,IF(E39="",1,N(E39)))</f>
        <v/>
      </c>
      <c r="N39">
        <f>IF(B39="",0,N(F39))</f>
        <v/>
      </c>
      <c r="O39">
        <f>IF(B39="","",IF(D39="","No answer",D39))</f>
        <v/>
      </c>
    </row>
    <row r="40">
      <c r="A40" s="1" t="n"/>
      <c r="B40" s="5" t="n"/>
      <c r="C40" s="29" t="n"/>
      <c r="D40" s="30" t="n"/>
      <c r="E40" s="31" t="n"/>
      <c r="F40" s="31" t="n"/>
      <c r="G40" s="29" t="n"/>
      <c r="H40" s="29" t="n"/>
      <c r="I40" s="30" t="n"/>
      <c r="J40" s="21">
        <f>IF(H40="","",IF(I40="","To send","Sent"))</f>
        <v/>
      </c>
      <c r="K40" s="29" t="n"/>
      <c r="L40" s="1" t="n"/>
      <c r="M40">
        <f>IF(B40="",0,IF(E40="",1,N(E40)))</f>
        <v/>
      </c>
      <c r="N40">
        <f>IF(B40="",0,N(F40))</f>
        <v/>
      </c>
      <c r="O40">
        <f>IF(B40="","",IF(D40="","No answer",D40))</f>
        <v/>
      </c>
    </row>
    <row r="41">
      <c r="A41" s="1" t="n"/>
      <c r="B41" s="5" t="n"/>
      <c r="C41" s="29" t="n"/>
      <c r="D41" s="30" t="n"/>
      <c r="E41" s="31" t="n"/>
      <c r="F41" s="31" t="n"/>
      <c r="G41" s="29" t="n"/>
      <c r="H41" s="29" t="n"/>
      <c r="I41" s="30" t="n"/>
      <c r="J41" s="21">
        <f>IF(H41="","",IF(I41="","To send","Sent"))</f>
        <v/>
      </c>
      <c r="K41" s="29" t="n"/>
      <c r="L41" s="1" t="n"/>
      <c r="M41">
        <f>IF(B41="",0,IF(E41="",1,N(E41)))</f>
        <v/>
      </c>
      <c r="N41">
        <f>IF(B41="",0,N(F41))</f>
        <v/>
      </c>
      <c r="O41">
        <f>IF(B41="","",IF(D41="","No answer",D41))</f>
        <v/>
      </c>
    </row>
    <row r="42">
      <c r="A42" s="1" t="n"/>
      <c r="B42" s="5" t="n"/>
      <c r="C42" s="29" t="n"/>
      <c r="D42" s="30" t="n"/>
      <c r="E42" s="31" t="n"/>
      <c r="F42" s="31" t="n"/>
      <c r="G42" s="29" t="n"/>
      <c r="H42" s="29" t="n"/>
      <c r="I42" s="30" t="n"/>
      <c r="J42" s="21">
        <f>IF(H42="","",IF(I42="","To send","Sent"))</f>
        <v/>
      </c>
      <c r="K42" s="29" t="n"/>
      <c r="L42" s="1" t="n"/>
      <c r="M42">
        <f>IF(B42="",0,IF(E42="",1,N(E42)))</f>
        <v/>
      </c>
      <c r="N42">
        <f>IF(B42="",0,N(F42))</f>
        <v/>
      </c>
      <c r="O42">
        <f>IF(B42="","",IF(D42="","No answer",D42))</f>
        <v/>
      </c>
    </row>
    <row r="43">
      <c r="A43" s="1" t="n"/>
      <c r="B43" s="5" t="n"/>
      <c r="C43" s="29" t="n"/>
      <c r="D43" s="30" t="n"/>
      <c r="E43" s="31" t="n"/>
      <c r="F43" s="31" t="n"/>
      <c r="G43" s="29" t="n"/>
      <c r="H43" s="29" t="n"/>
      <c r="I43" s="30" t="n"/>
      <c r="J43" s="21">
        <f>IF(H43="","",IF(I43="","To send","Sent"))</f>
        <v/>
      </c>
      <c r="K43" s="29" t="n"/>
      <c r="L43" s="1" t="n"/>
      <c r="M43">
        <f>IF(B43="",0,IF(E43="",1,N(E43)))</f>
        <v/>
      </c>
      <c r="N43">
        <f>IF(B43="",0,N(F43))</f>
        <v/>
      </c>
      <c r="O43">
        <f>IF(B43="","",IF(D43="","No answer",D43))</f>
        <v/>
      </c>
    </row>
    <row r="44">
      <c r="A44" s="1" t="n"/>
      <c r="B44" s="5" t="n"/>
      <c r="C44" s="29" t="n"/>
      <c r="D44" s="30" t="n"/>
      <c r="E44" s="31" t="n"/>
      <c r="F44" s="31" t="n"/>
      <c r="G44" s="29" t="n"/>
      <c r="H44" s="29" t="n"/>
      <c r="I44" s="30" t="n"/>
      <c r="J44" s="21">
        <f>IF(H44="","",IF(I44="","To send","Sent"))</f>
        <v/>
      </c>
      <c r="K44" s="29" t="n"/>
      <c r="L44" s="1" t="n"/>
      <c r="M44">
        <f>IF(B44="",0,IF(E44="",1,N(E44)))</f>
        <v/>
      </c>
      <c r="N44">
        <f>IF(B44="",0,N(F44))</f>
        <v/>
      </c>
      <c r="O44">
        <f>IF(B44="","",IF(D44="","No answer",D44))</f>
        <v/>
      </c>
    </row>
    <row r="45">
      <c r="A45" s="1" t="n"/>
      <c r="B45" s="5" t="n"/>
      <c r="C45" s="29" t="n"/>
      <c r="D45" s="30" t="n"/>
      <c r="E45" s="31" t="n"/>
      <c r="F45" s="31" t="n"/>
      <c r="G45" s="29" t="n"/>
      <c r="H45" s="29" t="n"/>
      <c r="I45" s="30" t="n"/>
      <c r="J45" s="21">
        <f>IF(H45="","",IF(I45="","To send","Sent"))</f>
        <v/>
      </c>
      <c r="K45" s="29" t="n"/>
      <c r="L45" s="1" t="n"/>
      <c r="M45">
        <f>IF(B45="",0,IF(E45="",1,N(E45)))</f>
        <v/>
      </c>
      <c r="N45">
        <f>IF(B45="",0,N(F45))</f>
        <v/>
      </c>
      <c r="O45">
        <f>IF(B45="","",IF(D45="","No answer",D45))</f>
        <v/>
      </c>
    </row>
    <row r="46">
      <c r="A46" s="1" t="n"/>
      <c r="B46" s="5" t="n"/>
      <c r="C46" s="29" t="n"/>
      <c r="D46" s="30" t="n"/>
      <c r="E46" s="31" t="n"/>
      <c r="F46" s="31" t="n"/>
      <c r="G46" s="29" t="n"/>
      <c r="H46" s="29" t="n"/>
      <c r="I46" s="30" t="n"/>
      <c r="J46" s="21">
        <f>IF(H46="","",IF(I46="","To send","Sent"))</f>
        <v/>
      </c>
      <c r="K46" s="29" t="n"/>
      <c r="L46" s="1" t="n"/>
      <c r="M46">
        <f>IF(B46="",0,IF(E46="",1,N(E46)))</f>
        <v/>
      </c>
      <c r="N46">
        <f>IF(B46="",0,N(F46))</f>
        <v/>
      </c>
      <c r="O46">
        <f>IF(B46="","",IF(D46="","No answer",D46))</f>
        <v/>
      </c>
    </row>
    <row r="47">
      <c r="A47" s="1" t="n"/>
      <c r="B47" s="5" t="n"/>
      <c r="C47" s="29" t="n"/>
      <c r="D47" s="30" t="n"/>
      <c r="E47" s="31" t="n"/>
      <c r="F47" s="31" t="n"/>
      <c r="G47" s="29" t="n"/>
      <c r="H47" s="29" t="n"/>
      <c r="I47" s="30" t="n"/>
      <c r="J47" s="21">
        <f>IF(H47="","",IF(I47="","To send","Sent"))</f>
        <v/>
      </c>
      <c r="K47" s="29" t="n"/>
      <c r="L47" s="1" t="n"/>
      <c r="M47">
        <f>IF(B47="",0,IF(E47="",1,N(E47)))</f>
        <v/>
      </c>
      <c r="N47">
        <f>IF(B47="",0,N(F47))</f>
        <v/>
      </c>
      <c r="O47">
        <f>IF(B47="","",IF(D47="","No answer",D47))</f>
        <v/>
      </c>
    </row>
    <row r="48">
      <c r="A48" s="1" t="n"/>
      <c r="B48" s="5" t="n"/>
      <c r="C48" s="29" t="n"/>
      <c r="D48" s="30" t="n"/>
      <c r="E48" s="31" t="n"/>
      <c r="F48" s="31" t="n"/>
      <c r="G48" s="29" t="n"/>
      <c r="H48" s="29" t="n"/>
      <c r="I48" s="30" t="n"/>
      <c r="J48" s="21">
        <f>IF(H48="","",IF(I48="","To send","Sent"))</f>
        <v/>
      </c>
      <c r="K48" s="29" t="n"/>
      <c r="L48" s="1" t="n"/>
      <c r="M48">
        <f>IF(B48="",0,IF(E48="",1,N(E48)))</f>
        <v/>
      </c>
      <c r="N48">
        <f>IF(B48="",0,N(F48))</f>
        <v/>
      </c>
      <c r="O48">
        <f>IF(B48="","",IF(D48="","No answer",D48))</f>
        <v/>
      </c>
    </row>
    <row r="49">
      <c r="A49" s="1" t="n"/>
      <c r="B49" s="5" t="n"/>
      <c r="C49" s="29" t="n"/>
      <c r="D49" s="30" t="n"/>
      <c r="E49" s="31" t="n"/>
      <c r="F49" s="31" t="n"/>
      <c r="G49" s="29" t="n"/>
      <c r="H49" s="29" t="n"/>
      <c r="I49" s="30" t="n"/>
      <c r="J49" s="21">
        <f>IF(H49="","",IF(I49="","To send","Sent"))</f>
        <v/>
      </c>
      <c r="K49" s="29" t="n"/>
      <c r="L49" s="1" t="n"/>
      <c r="M49">
        <f>IF(B49="",0,IF(E49="",1,N(E49)))</f>
        <v/>
      </c>
      <c r="N49">
        <f>IF(B49="",0,N(F49))</f>
        <v/>
      </c>
      <c r="O49">
        <f>IF(B49="","",IF(D49="","No answer",D49))</f>
        <v/>
      </c>
    </row>
    <row r="50">
      <c r="A50" s="1" t="n"/>
      <c r="B50" s="5" t="n"/>
      <c r="C50" s="29" t="n"/>
      <c r="D50" s="30" t="n"/>
      <c r="E50" s="31" t="n"/>
      <c r="F50" s="31" t="n"/>
      <c r="G50" s="29" t="n"/>
      <c r="H50" s="29" t="n"/>
      <c r="I50" s="30" t="n"/>
      <c r="J50" s="21">
        <f>IF(H50="","",IF(I50="","To send","Sent"))</f>
        <v/>
      </c>
      <c r="K50" s="29" t="n"/>
      <c r="L50" s="1" t="n"/>
      <c r="M50">
        <f>IF(B50="",0,IF(E50="",1,N(E50)))</f>
        <v/>
      </c>
      <c r="N50">
        <f>IF(B50="",0,N(F50))</f>
        <v/>
      </c>
      <c r="O50">
        <f>IF(B50="","",IF(D50="","No answer",D50))</f>
        <v/>
      </c>
    </row>
    <row r="51">
      <c r="A51" s="1" t="n"/>
      <c r="B51" s="5" t="n"/>
      <c r="C51" s="29" t="n"/>
      <c r="D51" s="30" t="n"/>
      <c r="E51" s="31" t="n"/>
      <c r="F51" s="31" t="n"/>
      <c r="G51" s="29" t="n"/>
      <c r="H51" s="29" t="n"/>
      <c r="I51" s="30" t="n"/>
      <c r="J51" s="21">
        <f>IF(H51="","",IF(I51="","To send","Sent"))</f>
        <v/>
      </c>
      <c r="K51" s="29" t="n"/>
      <c r="L51" s="1" t="n"/>
      <c r="M51">
        <f>IF(B51="",0,IF(E51="",1,N(E51)))</f>
        <v/>
      </c>
      <c r="N51">
        <f>IF(B51="",0,N(F51))</f>
        <v/>
      </c>
      <c r="O51">
        <f>IF(B51="","",IF(D51="","No answer",D51))</f>
        <v/>
      </c>
    </row>
    <row r="52">
      <c r="A52" s="1" t="n"/>
      <c r="B52" s="5" t="n"/>
      <c r="C52" s="29" t="n"/>
      <c r="D52" s="30" t="n"/>
      <c r="E52" s="31" t="n"/>
      <c r="F52" s="31" t="n"/>
      <c r="G52" s="29" t="n"/>
      <c r="H52" s="29" t="n"/>
      <c r="I52" s="30" t="n"/>
      <c r="J52" s="21">
        <f>IF(H52="","",IF(I52="","To send","Sent"))</f>
        <v/>
      </c>
      <c r="K52" s="29" t="n"/>
      <c r="L52" s="1" t="n"/>
      <c r="M52">
        <f>IF(B52="",0,IF(E52="",1,N(E52)))</f>
        <v/>
      </c>
      <c r="N52">
        <f>IF(B52="",0,N(F52))</f>
        <v/>
      </c>
      <c r="O52">
        <f>IF(B52="","",IF(D52="","No answer",D52))</f>
        <v/>
      </c>
    </row>
    <row r="53">
      <c r="A53" s="1" t="n"/>
      <c r="B53" s="5" t="n"/>
      <c r="C53" s="29" t="n"/>
      <c r="D53" s="30" t="n"/>
      <c r="E53" s="31" t="n"/>
      <c r="F53" s="31" t="n"/>
      <c r="G53" s="29" t="n"/>
      <c r="H53" s="29" t="n"/>
      <c r="I53" s="30" t="n"/>
      <c r="J53" s="21">
        <f>IF(H53="","",IF(I53="","To send","Sent"))</f>
        <v/>
      </c>
      <c r="K53" s="29" t="n"/>
      <c r="L53" s="1" t="n"/>
      <c r="M53">
        <f>IF(B53="",0,IF(E53="",1,N(E53)))</f>
        <v/>
      </c>
      <c r="N53">
        <f>IF(B53="",0,N(F53))</f>
        <v/>
      </c>
      <c r="O53">
        <f>IF(B53="","",IF(D53="","No answer",D53))</f>
        <v/>
      </c>
    </row>
    <row r="54">
      <c r="A54" s="1" t="n"/>
      <c r="B54" s="5" t="n"/>
      <c r="C54" s="29" t="n"/>
      <c r="D54" s="30" t="n"/>
      <c r="E54" s="31" t="n"/>
      <c r="F54" s="31" t="n"/>
      <c r="G54" s="29" t="n"/>
      <c r="H54" s="29" t="n"/>
      <c r="I54" s="30" t="n"/>
      <c r="J54" s="21">
        <f>IF(H54="","",IF(I54="","To send","Sent"))</f>
        <v/>
      </c>
      <c r="K54" s="29" t="n"/>
      <c r="L54" s="1" t="n"/>
      <c r="M54">
        <f>IF(B54="",0,IF(E54="",1,N(E54)))</f>
        <v/>
      </c>
      <c r="N54">
        <f>IF(B54="",0,N(F54))</f>
        <v/>
      </c>
      <c r="O54">
        <f>IF(B54="","",IF(D54="","No answer",D54))</f>
        <v/>
      </c>
    </row>
    <row r="55">
      <c r="A55" s="1" t="n"/>
      <c r="B55" s="5" t="n"/>
      <c r="C55" s="29" t="n"/>
      <c r="D55" s="30" t="n"/>
      <c r="E55" s="31" t="n"/>
      <c r="F55" s="31" t="n"/>
      <c r="G55" s="29" t="n"/>
      <c r="H55" s="29" t="n"/>
      <c r="I55" s="30" t="n"/>
      <c r="J55" s="21">
        <f>IF(H55="","",IF(I55="","To send","Sent"))</f>
        <v/>
      </c>
      <c r="K55" s="29" t="n"/>
      <c r="L55" s="1" t="n"/>
      <c r="M55">
        <f>IF(B55="",0,IF(E55="",1,N(E55)))</f>
        <v/>
      </c>
      <c r="N55">
        <f>IF(B55="",0,N(F55))</f>
        <v/>
      </c>
      <c r="O55">
        <f>IF(B55="","",IF(D55="","No answer",D55))</f>
        <v/>
      </c>
    </row>
    <row r="56">
      <c r="A56" s="1" t="n"/>
      <c r="B56" s="5" t="n"/>
      <c r="C56" s="29" t="n"/>
      <c r="D56" s="30" t="n"/>
      <c r="E56" s="31" t="n"/>
      <c r="F56" s="31" t="n"/>
      <c r="G56" s="29" t="n"/>
      <c r="H56" s="29" t="n"/>
      <c r="I56" s="30" t="n"/>
      <c r="J56" s="21">
        <f>IF(H56="","",IF(I56="","To send","Sent"))</f>
        <v/>
      </c>
      <c r="K56" s="29" t="n"/>
      <c r="L56" s="1" t="n"/>
      <c r="M56">
        <f>IF(B56="",0,IF(E56="",1,N(E56)))</f>
        <v/>
      </c>
      <c r="N56">
        <f>IF(B56="",0,N(F56))</f>
        <v/>
      </c>
      <c r="O56">
        <f>IF(B56="","",IF(D56="","No answer",D56))</f>
        <v/>
      </c>
    </row>
    <row r="57">
      <c r="A57" s="1" t="n"/>
      <c r="B57" s="5" t="n"/>
      <c r="C57" s="29" t="n"/>
      <c r="D57" s="30" t="n"/>
      <c r="E57" s="31" t="n"/>
      <c r="F57" s="31" t="n"/>
      <c r="G57" s="29" t="n"/>
      <c r="H57" s="29" t="n"/>
      <c r="I57" s="30" t="n"/>
      <c r="J57" s="21">
        <f>IF(H57="","",IF(I57="","To send","Sent"))</f>
        <v/>
      </c>
      <c r="K57" s="29" t="n"/>
      <c r="L57" s="1" t="n"/>
      <c r="M57">
        <f>IF(B57="",0,IF(E57="",1,N(E57)))</f>
        <v/>
      </c>
      <c r="N57">
        <f>IF(B57="",0,N(F57))</f>
        <v/>
      </c>
      <c r="O57">
        <f>IF(B57="","",IF(D57="","No answer",D57))</f>
        <v/>
      </c>
    </row>
    <row r="58">
      <c r="A58" s="1" t="n"/>
      <c r="B58" s="5" t="n"/>
      <c r="C58" s="29" t="n"/>
      <c r="D58" s="30" t="n"/>
      <c r="E58" s="31" t="n"/>
      <c r="F58" s="31" t="n"/>
      <c r="G58" s="29" t="n"/>
      <c r="H58" s="29" t="n"/>
      <c r="I58" s="30" t="n"/>
      <c r="J58" s="21">
        <f>IF(H58="","",IF(I58="","To send","Sent"))</f>
        <v/>
      </c>
      <c r="K58" s="29" t="n"/>
      <c r="L58" s="1" t="n"/>
      <c r="M58">
        <f>IF(B58="",0,IF(E58="",1,N(E58)))</f>
        <v/>
      </c>
      <c r="N58">
        <f>IF(B58="",0,N(F58))</f>
        <v/>
      </c>
      <c r="O58">
        <f>IF(B58="","",IF(D58="","No answer",D58))</f>
        <v/>
      </c>
    </row>
    <row r="59">
      <c r="A59" s="1" t="n"/>
      <c r="B59" s="5" t="n"/>
      <c r="C59" s="29" t="n"/>
      <c r="D59" s="30" t="n"/>
      <c r="E59" s="31" t="n"/>
      <c r="F59" s="31" t="n"/>
      <c r="G59" s="29" t="n"/>
      <c r="H59" s="29" t="n"/>
      <c r="I59" s="30" t="n"/>
      <c r="J59" s="21">
        <f>IF(H59="","",IF(I59="","To send","Sent"))</f>
        <v/>
      </c>
      <c r="K59" s="29" t="n"/>
      <c r="L59" s="1" t="n"/>
      <c r="M59">
        <f>IF(B59="",0,IF(E59="",1,N(E59)))</f>
        <v/>
      </c>
      <c r="N59">
        <f>IF(B59="",0,N(F59))</f>
        <v/>
      </c>
      <c r="O59">
        <f>IF(B59="","",IF(D59="","No answer",D59))</f>
        <v/>
      </c>
    </row>
    <row r="60">
      <c r="A60" s="1" t="n"/>
      <c r="B60" s="5" t="n"/>
      <c r="C60" s="29" t="n"/>
      <c r="D60" s="30" t="n"/>
      <c r="E60" s="31" t="n"/>
      <c r="F60" s="31" t="n"/>
      <c r="G60" s="29" t="n"/>
      <c r="H60" s="29" t="n"/>
      <c r="I60" s="30" t="n"/>
      <c r="J60" s="21">
        <f>IF(H60="","",IF(I60="","To send","Sent"))</f>
        <v/>
      </c>
      <c r="K60" s="29" t="n"/>
      <c r="L60" s="1" t="n"/>
      <c r="M60">
        <f>IF(B60="",0,IF(E60="",1,N(E60)))</f>
        <v/>
      </c>
      <c r="N60">
        <f>IF(B60="",0,N(F60))</f>
        <v/>
      </c>
      <c r="O60">
        <f>IF(B60="","",IF(D60="","No answer",D60))</f>
        <v/>
      </c>
    </row>
    <row r="61">
      <c r="A61" s="1" t="n"/>
      <c r="B61" s="5" t="n"/>
      <c r="C61" s="29" t="n"/>
      <c r="D61" s="30" t="n"/>
      <c r="E61" s="31" t="n"/>
      <c r="F61" s="31" t="n"/>
      <c r="G61" s="29" t="n"/>
      <c r="H61" s="29" t="n"/>
      <c r="I61" s="30" t="n"/>
      <c r="J61" s="21">
        <f>IF(H61="","",IF(I61="","To send","Sent"))</f>
        <v/>
      </c>
      <c r="K61" s="29" t="n"/>
      <c r="L61" s="1" t="n"/>
      <c r="M61">
        <f>IF(B61="",0,IF(E61="",1,N(E61)))</f>
        <v/>
      </c>
      <c r="N61">
        <f>IF(B61="",0,N(F61))</f>
        <v/>
      </c>
      <c r="O61">
        <f>IF(B61="","",IF(D61="","No answer",D61))</f>
        <v/>
      </c>
    </row>
    <row r="62">
      <c r="A62" s="1" t="n"/>
      <c r="B62" s="5" t="n"/>
      <c r="C62" s="29" t="n"/>
      <c r="D62" s="30" t="n"/>
      <c r="E62" s="31" t="n"/>
      <c r="F62" s="31" t="n"/>
      <c r="G62" s="29" t="n"/>
      <c r="H62" s="29" t="n"/>
      <c r="I62" s="30" t="n"/>
      <c r="J62" s="21">
        <f>IF(H62="","",IF(I62="","To send","Sent"))</f>
        <v/>
      </c>
      <c r="K62" s="29" t="n"/>
      <c r="L62" s="1" t="n"/>
      <c r="M62">
        <f>IF(B62="",0,IF(E62="",1,N(E62)))</f>
        <v/>
      </c>
      <c r="N62">
        <f>IF(B62="",0,N(F62))</f>
        <v/>
      </c>
      <c r="O62">
        <f>IF(B62="","",IF(D62="","No answer",D62))</f>
        <v/>
      </c>
    </row>
    <row r="63">
      <c r="A63" s="1" t="n"/>
      <c r="B63" s="5" t="n"/>
      <c r="C63" s="29" t="n"/>
      <c r="D63" s="30" t="n"/>
      <c r="E63" s="31" t="n"/>
      <c r="F63" s="31" t="n"/>
      <c r="G63" s="29" t="n"/>
      <c r="H63" s="29" t="n"/>
      <c r="I63" s="30" t="n"/>
      <c r="J63" s="21">
        <f>IF(H63="","",IF(I63="","To send","Sent"))</f>
        <v/>
      </c>
      <c r="K63" s="29" t="n"/>
      <c r="L63" s="1" t="n"/>
      <c r="M63">
        <f>IF(B63="",0,IF(E63="",1,N(E63)))</f>
        <v/>
      </c>
      <c r="N63">
        <f>IF(B63="",0,N(F63))</f>
        <v/>
      </c>
      <c r="O63">
        <f>IF(B63="","",IF(D63="","No answer",D63))</f>
        <v/>
      </c>
    </row>
    <row r="64">
      <c r="A64" s="1" t="n"/>
      <c r="B64" s="5" t="n"/>
      <c r="C64" s="29" t="n"/>
      <c r="D64" s="30" t="n"/>
      <c r="E64" s="31" t="n"/>
      <c r="F64" s="31" t="n"/>
      <c r="G64" s="29" t="n"/>
      <c r="H64" s="29" t="n"/>
      <c r="I64" s="30" t="n"/>
      <c r="J64" s="21">
        <f>IF(H64="","",IF(I64="","To send","Sent"))</f>
        <v/>
      </c>
      <c r="K64" s="29" t="n"/>
      <c r="L64" s="1" t="n"/>
      <c r="M64">
        <f>IF(B64="",0,IF(E64="",1,N(E64)))</f>
        <v/>
      </c>
      <c r="N64">
        <f>IF(B64="",0,N(F64))</f>
        <v/>
      </c>
      <c r="O64">
        <f>IF(B64="","",IF(D64="","No answer",D64))</f>
        <v/>
      </c>
    </row>
    <row r="65">
      <c r="A65" s="1" t="n"/>
      <c r="B65" s="5" t="n"/>
      <c r="C65" s="29" t="n"/>
      <c r="D65" s="30" t="n"/>
      <c r="E65" s="31" t="n"/>
      <c r="F65" s="31" t="n"/>
      <c r="G65" s="29" t="n"/>
      <c r="H65" s="29" t="n"/>
      <c r="I65" s="30" t="n"/>
      <c r="J65" s="21">
        <f>IF(H65="","",IF(I65="","To send","Sent"))</f>
        <v/>
      </c>
      <c r="K65" s="29" t="n"/>
      <c r="L65" s="1" t="n"/>
      <c r="M65">
        <f>IF(B65="",0,IF(E65="",1,N(E65)))</f>
        <v/>
      </c>
      <c r="N65">
        <f>IF(B65="",0,N(F65))</f>
        <v/>
      </c>
      <c r="O65">
        <f>IF(B65="","",IF(D65="","No answer",D65))</f>
        <v/>
      </c>
    </row>
    <row r="66">
      <c r="A66" s="1" t="n"/>
      <c r="B66" s="5" t="n"/>
      <c r="C66" s="29" t="n"/>
      <c r="D66" s="30" t="n"/>
      <c r="E66" s="31" t="n"/>
      <c r="F66" s="31" t="n"/>
      <c r="G66" s="29" t="n"/>
      <c r="H66" s="29" t="n"/>
      <c r="I66" s="30" t="n"/>
      <c r="J66" s="21">
        <f>IF(H66="","",IF(I66="","To send","Sent"))</f>
        <v/>
      </c>
      <c r="K66" s="29" t="n"/>
      <c r="L66" s="1" t="n"/>
      <c r="M66">
        <f>IF(B66="",0,IF(E66="",1,N(E66)))</f>
        <v/>
      </c>
      <c r="N66">
        <f>IF(B66="",0,N(F66))</f>
        <v/>
      </c>
      <c r="O66">
        <f>IF(B66="","",IF(D66="","No answer",D66))</f>
        <v/>
      </c>
    </row>
    <row r="67">
      <c r="A67" s="1" t="n"/>
      <c r="B67" s="5" t="n"/>
      <c r="C67" s="29" t="n"/>
      <c r="D67" s="30" t="n"/>
      <c r="E67" s="31" t="n"/>
      <c r="F67" s="31" t="n"/>
      <c r="G67" s="29" t="n"/>
      <c r="H67" s="29" t="n"/>
      <c r="I67" s="30" t="n"/>
      <c r="J67" s="21">
        <f>IF(H67="","",IF(I67="","To send","Sent"))</f>
        <v/>
      </c>
      <c r="K67" s="29" t="n"/>
      <c r="L67" s="1" t="n"/>
      <c r="M67">
        <f>IF(B67="",0,IF(E67="",1,N(E67)))</f>
        <v/>
      </c>
      <c r="N67">
        <f>IF(B67="",0,N(F67))</f>
        <v/>
      </c>
      <c r="O67">
        <f>IF(B67="","",IF(D67="","No answer",D67))</f>
        <v/>
      </c>
    </row>
    <row r="68">
      <c r="A68" s="1" t="n"/>
      <c r="B68" s="5" t="n"/>
      <c r="C68" s="29" t="n"/>
      <c r="D68" s="30" t="n"/>
      <c r="E68" s="31" t="n"/>
      <c r="F68" s="31" t="n"/>
      <c r="G68" s="29" t="n"/>
      <c r="H68" s="29" t="n"/>
      <c r="I68" s="30" t="n"/>
      <c r="J68" s="21">
        <f>IF(H68="","",IF(I68="","To send","Sent"))</f>
        <v/>
      </c>
      <c r="K68" s="29" t="n"/>
      <c r="L68" s="1" t="n"/>
      <c r="M68">
        <f>IF(B68="",0,IF(E68="",1,N(E68)))</f>
        <v/>
      </c>
      <c r="N68">
        <f>IF(B68="",0,N(F68))</f>
        <v/>
      </c>
      <c r="O68">
        <f>IF(B68="","",IF(D68="","No answer",D68))</f>
        <v/>
      </c>
    </row>
    <row r="69">
      <c r="A69" s="1" t="n"/>
      <c r="B69" s="5" t="n"/>
      <c r="C69" s="29" t="n"/>
      <c r="D69" s="30" t="n"/>
      <c r="E69" s="31" t="n"/>
      <c r="F69" s="31" t="n"/>
      <c r="G69" s="29" t="n"/>
      <c r="H69" s="29" t="n"/>
      <c r="I69" s="30" t="n"/>
      <c r="J69" s="21">
        <f>IF(H69="","",IF(I69="","To send","Sent"))</f>
        <v/>
      </c>
      <c r="K69" s="29" t="n"/>
      <c r="L69" s="1" t="n"/>
      <c r="M69">
        <f>IF(B69="",0,IF(E69="",1,N(E69)))</f>
        <v/>
      </c>
      <c r="N69">
        <f>IF(B69="",0,N(F69))</f>
        <v/>
      </c>
      <c r="O69">
        <f>IF(B69="","",IF(D69="","No answer",D69))</f>
        <v/>
      </c>
    </row>
    <row r="70">
      <c r="A70" s="1" t="n"/>
      <c r="B70" s="5" t="n"/>
      <c r="C70" s="29" t="n"/>
      <c r="D70" s="30" t="n"/>
      <c r="E70" s="31" t="n"/>
      <c r="F70" s="31" t="n"/>
      <c r="G70" s="29" t="n"/>
      <c r="H70" s="29" t="n"/>
      <c r="I70" s="30" t="n"/>
      <c r="J70" s="21">
        <f>IF(H70="","",IF(I70="","To send","Sent"))</f>
        <v/>
      </c>
      <c r="K70" s="29" t="n"/>
      <c r="L70" s="1" t="n"/>
      <c r="M70">
        <f>IF(B70="",0,IF(E70="",1,N(E70)))</f>
        <v/>
      </c>
      <c r="N70">
        <f>IF(B70="",0,N(F70))</f>
        <v/>
      </c>
      <c r="O70">
        <f>IF(B70="","",IF(D70="","No answer",D70))</f>
        <v/>
      </c>
    </row>
    <row r="71">
      <c r="A71" s="1" t="n"/>
      <c r="B71" s="5" t="n"/>
      <c r="C71" s="29" t="n"/>
      <c r="D71" s="30" t="n"/>
      <c r="E71" s="31" t="n"/>
      <c r="F71" s="31" t="n"/>
      <c r="G71" s="29" t="n"/>
      <c r="H71" s="29" t="n"/>
      <c r="I71" s="30" t="n"/>
      <c r="J71" s="21">
        <f>IF(H71="","",IF(I71="","To send","Sent"))</f>
        <v/>
      </c>
      <c r="K71" s="29" t="n"/>
      <c r="L71" s="1" t="n"/>
      <c r="M71">
        <f>IF(B71="",0,IF(E71="",1,N(E71)))</f>
        <v/>
      </c>
      <c r="N71">
        <f>IF(B71="",0,N(F71))</f>
        <v/>
      </c>
      <c r="O71">
        <f>IF(B71="","",IF(D71="","No answer",D71))</f>
        <v/>
      </c>
    </row>
    <row r="72">
      <c r="A72" s="1" t="n"/>
      <c r="B72" s="5" t="n"/>
      <c r="C72" s="29" t="n"/>
      <c r="D72" s="30" t="n"/>
      <c r="E72" s="31" t="n"/>
      <c r="F72" s="31" t="n"/>
      <c r="G72" s="29" t="n"/>
      <c r="H72" s="29" t="n"/>
      <c r="I72" s="30" t="n"/>
      <c r="J72" s="21">
        <f>IF(H72="","",IF(I72="","To send","Sent"))</f>
        <v/>
      </c>
      <c r="K72" s="29" t="n"/>
      <c r="L72" s="1" t="n"/>
      <c r="M72">
        <f>IF(B72="",0,IF(E72="",1,N(E72)))</f>
        <v/>
      </c>
      <c r="N72">
        <f>IF(B72="",0,N(F72))</f>
        <v/>
      </c>
      <c r="O72">
        <f>IF(B72="","",IF(D72="","No answer",D72))</f>
        <v/>
      </c>
    </row>
    <row r="73">
      <c r="A73" s="1" t="n"/>
      <c r="B73" s="5" t="n"/>
      <c r="C73" s="29" t="n"/>
      <c r="D73" s="30" t="n"/>
      <c r="E73" s="31" t="n"/>
      <c r="F73" s="31" t="n"/>
      <c r="G73" s="29" t="n"/>
      <c r="H73" s="29" t="n"/>
      <c r="I73" s="30" t="n"/>
      <c r="J73" s="21">
        <f>IF(H73="","",IF(I73="","To send","Sent"))</f>
        <v/>
      </c>
      <c r="K73" s="29" t="n"/>
      <c r="L73" s="1" t="n"/>
      <c r="M73">
        <f>IF(B73="",0,IF(E73="",1,N(E73)))</f>
        <v/>
      </c>
      <c r="N73">
        <f>IF(B73="",0,N(F73))</f>
        <v/>
      </c>
      <c r="O73">
        <f>IF(B73="","",IF(D73="","No answer",D73))</f>
        <v/>
      </c>
    </row>
    <row r="74">
      <c r="A74" s="1" t="n"/>
      <c r="B74" s="5" t="n"/>
      <c r="C74" s="29" t="n"/>
      <c r="D74" s="30" t="n"/>
      <c r="E74" s="31" t="n"/>
      <c r="F74" s="31" t="n"/>
      <c r="G74" s="29" t="n"/>
      <c r="H74" s="29" t="n"/>
      <c r="I74" s="30" t="n"/>
      <c r="J74" s="21">
        <f>IF(H74="","",IF(I74="","To send","Sent"))</f>
        <v/>
      </c>
      <c r="K74" s="29" t="n"/>
      <c r="L74" s="1" t="n"/>
      <c r="M74">
        <f>IF(B74="",0,IF(E74="",1,N(E74)))</f>
        <v/>
      </c>
      <c r="N74">
        <f>IF(B74="",0,N(F74))</f>
        <v/>
      </c>
      <c r="O74">
        <f>IF(B74="","",IF(D74="","No answer",D74))</f>
        <v/>
      </c>
    </row>
    <row r="75">
      <c r="A75" s="1" t="n"/>
      <c r="B75" s="5" t="n"/>
      <c r="C75" s="29" t="n"/>
      <c r="D75" s="30" t="n"/>
      <c r="E75" s="31" t="n"/>
      <c r="F75" s="31" t="n"/>
      <c r="G75" s="29" t="n"/>
      <c r="H75" s="29" t="n"/>
      <c r="I75" s="30" t="n"/>
      <c r="J75" s="21">
        <f>IF(H75="","",IF(I75="","To send","Sent"))</f>
        <v/>
      </c>
      <c r="K75" s="29" t="n"/>
      <c r="L75" s="1" t="n"/>
      <c r="M75">
        <f>IF(B75="",0,IF(E75="",1,N(E75)))</f>
        <v/>
      </c>
      <c r="N75">
        <f>IF(B75="",0,N(F75))</f>
        <v/>
      </c>
      <c r="O75">
        <f>IF(B75="","",IF(D75="","No answer",D75))</f>
        <v/>
      </c>
    </row>
    <row r="76">
      <c r="A76" s="1" t="n"/>
      <c r="B76" s="5" t="n"/>
      <c r="C76" s="29" t="n"/>
      <c r="D76" s="30" t="n"/>
      <c r="E76" s="31" t="n"/>
      <c r="F76" s="31" t="n"/>
      <c r="G76" s="29" t="n"/>
      <c r="H76" s="29" t="n"/>
      <c r="I76" s="30" t="n"/>
      <c r="J76" s="21">
        <f>IF(H76="","",IF(I76="","To send","Sent"))</f>
        <v/>
      </c>
      <c r="K76" s="29" t="n"/>
      <c r="L76" s="1" t="n"/>
      <c r="M76">
        <f>IF(B76="",0,IF(E76="",1,N(E76)))</f>
        <v/>
      </c>
      <c r="N76">
        <f>IF(B76="",0,N(F76))</f>
        <v/>
      </c>
      <c r="O76">
        <f>IF(B76="","",IF(D76="","No answer",D76))</f>
        <v/>
      </c>
    </row>
    <row r="77">
      <c r="A77" s="1" t="n"/>
      <c r="B77" s="5" t="n"/>
      <c r="C77" s="29" t="n"/>
      <c r="D77" s="30" t="n"/>
      <c r="E77" s="31" t="n"/>
      <c r="F77" s="31" t="n"/>
      <c r="G77" s="29" t="n"/>
      <c r="H77" s="29" t="n"/>
      <c r="I77" s="30" t="n"/>
      <c r="J77" s="21">
        <f>IF(H77="","",IF(I77="","To send","Sent"))</f>
        <v/>
      </c>
      <c r="K77" s="29" t="n"/>
      <c r="L77" s="1" t="n"/>
      <c r="M77">
        <f>IF(B77="",0,IF(E77="",1,N(E77)))</f>
        <v/>
      </c>
      <c r="N77">
        <f>IF(B77="",0,N(F77))</f>
        <v/>
      </c>
      <c r="O77">
        <f>IF(B77="","",IF(D77="","No answer",D77))</f>
        <v/>
      </c>
    </row>
    <row r="78">
      <c r="A78" s="1" t="n"/>
      <c r="B78" s="5" t="n"/>
      <c r="C78" s="29" t="n"/>
      <c r="D78" s="30" t="n"/>
      <c r="E78" s="31" t="n"/>
      <c r="F78" s="31" t="n"/>
      <c r="G78" s="29" t="n"/>
      <c r="H78" s="29" t="n"/>
      <c r="I78" s="30" t="n"/>
      <c r="J78" s="21">
        <f>IF(H78="","",IF(I78="","To send","Sent"))</f>
        <v/>
      </c>
      <c r="K78" s="29" t="n"/>
      <c r="L78" s="1" t="n"/>
      <c r="M78">
        <f>IF(B78="",0,IF(E78="",1,N(E78)))</f>
        <v/>
      </c>
      <c r="N78">
        <f>IF(B78="",0,N(F78))</f>
        <v/>
      </c>
      <c r="O78">
        <f>IF(B78="","",IF(D78="","No answer",D78))</f>
        <v/>
      </c>
    </row>
    <row r="79">
      <c r="A79" s="1" t="n"/>
      <c r="B79" s="5" t="n"/>
      <c r="C79" s="29" t="n"/>
      <c r="D79" s="30" t="n"/>
      <c r="E79" s="31" t="n"/>
      <c r="F79" s="31" t="n"/>
      <c r="G79" s="29" t="n"/>
      <c r="H79" s="29" t="n"/>
      <c r="I79" s="30" t="n"/>
      <c r="J79" s="21">
        <f>IF(H79="","",IF(I79="","To send","Sent"))</f>
        <v/>
      </c>
      <c r="K79" s="29" t="n"/>
      <c r="L79" s="1" t="n"/>
      <c r="M79">
        <f>IF(B79="",0,IF(E79="",1,N(E79)))</f>
        <v/>
      </c>
      <c r="N79">
        <f>IF(B79="",0,N(F79))</f>
        <v/>
      </c>
      <c r="O79">
        <f>IF(B79="","",IF(D79="","No answer",D79))</f>
        <v/>
      </c>
    </row>
    <row r="80">
      <c r="A80" s="1" t="n"/>
      <c r="B80" s="5" t="n"/>
      <c r="C80" s="29" t="n"/>
      <c r="D80" s="30" t="n"/>
      <c r="E80" s="31" t="n"/>
      <c r="F80" s="31" t="n"/>
      <c r="G80" s="29" t="n"/>
      <c r="H80" s="29" t="n"/>
      <c r="I80" s="30" t="n"/>
      <c r="J80" s="21">
        <f>IF(H80="","",IF(I80="","To send","Sent"))</f>
        <v/>
      </c>
      <c r="K80" s="29" t="n"/>
      <c r="L80" s="1" t="n"/>
      <c r="M80">
        <f>IF(B80="",0,IF(E80="",1,N(E80)))</f>
        <v/>
      </c>
      <c r="N80">
        <f>IF(B80="",0,N(F80))</f>
        <v/>
      </c>
      <c r="O80">
        <f>IF(B80="","",IF(D80="","No answer",D80))</f>
        <v/>
      </c>
    </row>
    <row r="81">
      <c r="A81" s="1" t="n"/>
      <c r="B81" s="5" t="n"/>
      <c r="C81" s="29" t="n"/>
      <c r="D81" s="30" t="n"/>
      <c r="E81" s="31" t="n"/>
      <c r="F81" s="31" t="n"/>
      <c r="G81" s="29" t="n"/>
      <c r="H81" s="29" t="n"/>
      <c r="I81" s="30" t="n"/>
      <c r="J81" s="21">
        <f>IF(H81="","",IF(I81="","To send","Sent"))</f>
        <v/>
      </c>
      <c r="K81" s="29" t="n"/>
      <c r="L81" s="1" t="n"/>
      <c r="M81">
        <f>IF(B81="",0,IF(E81="",1,N(E81)))</f>
        <v/>
      </c>
      <c r="N81">
        <f>IF(B81="",0,N(F81))</f>
        <v/>
      </c>
      <c r="O81">
        <f>IF(B81="","",IF(D81="","No answer",D81))</f>
        <v/>
      </c>
    </row>
    <row r="82">
      <c r="A82" s="1" t="n"/>
      <c r="B82" s="5" t="n"/>
      <c r="C82" s="29" t="n"/>
      <c r="D82" s="30" t="n"/>
      <c r="E82" s="31" t="n"/>
      <c r="F82" s="31" t="n"/>
      <c r="G82" s="29" t="n"/>
      <c r="H82" s="29" t="n"/>
      <c r="I82" s="30" t="n"/>
      <c r="J82" s="21">
        <f>IF(H82="","",IF(I82="","To send","Sent"))</f>
        <v/>
      </c>
      <c r="K82" s="29" t="n"/>
      <c r="L82" s="1" t="n"/>
      <c r="M82">
        <f>IF(B82="",0,IF(E82="",1,N(E82)))</f>
        <v/>
      </c>
      <c r="N82">
        <f>IF(B82="",0,N(F82))</f>
        <v/>
      </c>
      <c r="O82">
        <f>IF(B82="","",IF(D82="","No answer",D82))</f>
        <v/>
      </c>
    </row>
    <row r="83">
      <c r="A83" s="1" t="n"/>
      <c r="B83" s="5" t="n"/>
      <c r="C83" s="29" t="n"/>
      <c r="D83" s="30" t="n"/>
      <c r="E83" s="31" t="n"/>
      <c r="F83" s="31" t="n"/>
      <c r="G83" s="29" t="n"/>
      <c r="H83" s="29" t="n"/>
      <c r="I83" s="30" t="n"/>
      <c r="J83" s="21">
        <f>IF(H83="","",IF(I83="","To send","Sent"))</f>
        <v/>
      </c>
      <c r="K83" s="29" t="n"/>
      <c r="L83" s="1" t="n"/>
      <c r="M83">
        <f>IF(B83="",0,IF(E83="",1,N(E83)))</f>
        <v/>
      </c>
      <c r="N83">
        <f>IF(B83="",0,N(F83))</f>
        <v/>
      </c>
      <c r="O83">
        <f>IF(B83="","",IF(D83="","No answer",D83))</f>
        <v/>
      </c>
    </row>
    <row r="84">
      <c r="A84" s="1" t="n"/>
      <c r="B84" s="5" t="n"/>
      <c r="C84" s="29" t="n"/>
      <c r="D84" s="30" t="n"/>
      <c r="E84" s="31" t="n"/>
      <c r="F84" s="31" t="n"/>
      <c r="G84" s="29" t="n"/>
      <c r="H84" s="29" t="n"/>
      <c r="I84" s="30" t="n"/>
      <c r="J84" s="21">
        <f>IF(H84="","",IF(I84="","To send","Sent"))</f>
        <v/>
      </c>
      <c r="K84" s="29" t="n"/>
      <c r="L84" s="1" t="n"/>
      <c r="M84">
        <f>IF(B84="",0,IF(E84="",1,N(E84)))</f>
        <v/>
      </c>
      <c r="N84">
        <f>IF(B84="",0,N(F84))</f>
        <v/>
      </c>
      <c r="O84">
        <f>IF(B84="","",IF(D84="","No answer",D84))</f>
        <v/>
      </c>
    </row>
    <row r="85">
      <c r="A85" s="1" t="n"/>
      <c r="B85" s="5" t="n"/>
      <c r="C85" s="29" t="n"/>
      <c r="D85" s="30" t="n"/>
      <c r="E85" s="31" t="n"/>
      <c r="F85" s="31" t="n"/>
      <c r="G85" s="29" t="n"/>
      <c r="H85" s="29" t="n"/>
      <c r="I85" s="30" t="n"/>
      <c r="J85" s="21">
        <f>IF(H85="","",IF(I85="","To send","Sent"))</f>
        <v/>
      </c>
      <c r="K85" s="29" t="n"/>
      <c r="L85" s="1" t="n"/>
      <c r="M85">
        <f>IF(B85="",0,IF(E85="",1,N(E85)))</f>
        <v/>
      </c>
      <c r="N85">
        <f>IF(B85="",0,N(F85))</f>
        <v/>
      </c>
      <c r="O85">
        <f>IF(B85="","",IF(D85="","No answer",D85))</f>
        <v/>
      </c>
    </row>
    <row r="86">
      <c r="A86" s="1" t="n"/>
      <c r="B86" s="5" t="n"/>
      <c r="C86" s="29" t="n"/>
      <c r="D86" s="30" t="n"/>
      <c r="E86" s="31" t="n"/>
      <c r="F86" s="31" t="n"/>
      <c r="G86" s="29" t="n"/>
      <c r="H86" s="29" t="n"/>
      <c r="I86" s="30" t="n"/>
      <c r="J86" s="21">
        <f>IF(H86="","",IF(I86="","To send","Sent"))</f>
        <v/>
      </c>
      <c r="K86" s="29" t="n"/>
      <c r="L86" s="1" t="n"/>
      <c r="M86">
        <f>IF(B86="",0,IF(E86="",1,N(E86)))</f>
        <v/>
      </c>
      <c r="N86">
        <f>IF(B86="",0,N(F86))</f>
        <v/>
      </c>
      <c r="O86">
        <f>IF(B86="","",IF(D86="","No answer",D86))</f>
        <v/>
      </c>
    </row>
    <row r="87">
      <c r="A87" s="1" t="n"/>
      <c r="B87" s="5" t="n"/>
      <c r="C87" s="29" t="n"/>
      <c r="D87" s="30" t="n"/>
      <c r="E87" s="31" t="n"/>
      <c r="F87" s="31" t="n"/>
      <c r="G87" s="29" t="n"/>
      <c r="H87" s="29" t="n"/>
      <c r="I87" s="30" t="n"/>
      <c r="J87" s="21">
        <f>IF(H87="","",IF(I87="","To send","Sent"))</f>
        <v/>
      </c>
      <c r="K87" s="29" t="n"/>
      <c r="L87" s="1" t="n"/>
      <c r="M87">
        <f>IF(B87="",0,IF(E87="",1,N(E87)))</f>
        <v/>
      </c>
      <c r="N87">
        <f>IF(B87="",0,N(F87))</f>
        <v/>
      </c>
      <c r="O87">
        <f>IF(B87="","",IF(D87="","No answer",D87))</f>
        <v/>
      </c>
    </row>
    <row r="88">
      <c r="A88" s="1" t="n"/>
      <c r="B88" s="5" t="n"/>
      <c r="C88" s="29" t="n"/>
      <c r="D88" s="30" t="n"/>
      <c r="E88" s="31" t="n"/>
      <c r="F88" s="31" t="n"/>
      <c r="G88" s="29" t="n"/>
      <c r="H88" s="29" t="n"/>
      <c r="I88" s="30" t="n"/>
      <c r="J88" s="21">
        <f>IF(H88="","",IF(I88="","To send","Sent"))</f>
        <v/>
      </c>
      <c r="K88" s="29" t="n"/>
      <c r="L88" s="1" t="n"/>
      <c r="M88">
        <f>IF(B88="",0,IF(E88="",1,N(E88)))</f>
        <v/>
      </c>
      <c r="N88">
        <f>IF(B88="",0,N(F88))</f>
        <v/>
      </c>
      <c r="O88">
        <f>IF(B88="","",IF(D88="","No answer",D88))</f>
        <v/>
      </c>
    </row>
    <row r="89">
      <c r="A89" s="1" t="n"/>
      <c r="B89" s="5" t="n"/>
      <c r="C89" s="29" t="n"/>
      <c r="D89" s="30" t="n"/>
      <c r="E89" s="31" t="n"/>
      <c r="F89" s="31" t="n"/>
      <c r="G89" s="29" t="n"/>
      <c r="H89" s="29" t="n"/>
      <c r="I89" s="30" t="n"/>
      <c r="J89" s="21">
        <f>IF(H89="","",IF(I89="","To send","Sent"))</f>
        <v/>
      </c>
      <c r="K89" s="29" t="n"/>
      <c r="L89" s="1" t="n"/>
      <c r="M89">
        <f>IF(B89="",0,IF(E89="",1,N(E89)))</f>
        <v/>
      </c>
      <c r="N89">
        <f>IF(B89="",0,N(F89))</f>
        <v/>
      </c>
      <c r="O89">
        <f>IF(B89="","",IF(D89="","No answer",D89))</f>
        <v/>
      </c>
    </row>
    <row r="90">
      <c r="A90" s="1" t="n"/>
      <c r="B90" s="5" t="n"/>
      <c r="C90" s="29" t="n"/>
      <c r="D90" s="30" t="n"/>
      <c r="E90" s="31" t="n"/>
      <c r="F90" s="31" t="n"/>
      <c r="G90" s="29" t="n"/>
      <c r="H90" s="29" t="n"/>
      <c r="I90" s="30" t="n"/>
      <c r="J90" s="21">
        <f>IF(H90="","",IF(I90="","To send","Sent"))</f>
        <v/>
      </c>
      <c r="K90" s="29" t="n"/>
      <c r="L90" s="1" t="n"/>
      <c r="M90">
        <f>IF(B90="",0,IF(E90="",1,N(E90)))</f>
        <v/>
      </c>
      <c r="N90">
        <f>IF(B90="",0,N(F90))</f>
        <v/>
      </c>
      <c r="O90">
        <f>IF(B90="","",IF(D90="","No answer",D90))</f>
        <v/>
      </c>
    </row>
    <row r="91">
      <c r="A91" s="1" t="n"/>
      <c r="B91" s="5" t="n"/>
      <c r="C91" s="29" t="n"/>
      <c r="D91" s="30" t="n"/>
      <c r="E91" s="31" t="n"/>
      <c r="F91" s="31" t="n"/>
      <c r="G91" s="29" t="n"/>
      <c r="H91" s="29" t="n"/>
      <c r="I91" s="30" t="n"/>
      <c r="J91" s="21">
        <f>IF(H91="","",IF(I91="","To send","Sent"))</f>
        <v/>
      </c>
      <c r="K91" s="29" t="n"/>
      <c r="L91" s="1" t="n"/>
      <c r="M91">
        <f>IF(B91="",0,IF(E91="",1,N(E91)))</f>
        <v/>
      </c>
      <c r="N91">
        <f>IF(B91="",0,N(F91))</f>
        <v/>
      </c>
      <c r="O91">
        <f>IF(B91="","",IF(D91="","No answer",D91))</f>
        <v/>
      </c>
    </row>
    <row r="92">
      <c r="A92" s="1" t="n"/>
      <c r="B92" s="5" t="n"/>
      <c r="C92" s="29" t="n"/>
      <c r="D92" s="30" t="n"/>
      <c r="E92" s="31" t="n"/>
      <c r="F92" s="31" t="n"/>
      <c r="G92" s="29" t="n"/>
      <c r="H92" s="29" t="n"/>
      <c r="I92" s="30" t="n"/>
      <c r="J92" s="21">
        <f>IF(H92="","",IF(I92="","To send","Sent"))</f>
        <v/>
      </c>
      <c r="K92" s="29" t="n"/>
      <c r="L92" s="1" t="n"/>
      <c r="M92">
        <f>IF(B92="",0,IF(E92="",1,N(E92)))</f>
        <v/>
      </c>
      <c r="N92">
        <f>IF(B92="",0,N(F92))</f>
        <v/>
      </c>
      <c r="O92">
        <f>IF(B92="","",IF(D92="","No answer",D92))</f>
        <v/>
      </c>
    </row>
    <row r="93">
      <c r="A93" s="1" t="n"/>
      <c r="B93" s="5" t="n"/>
      <c r="C93" s="29" t="n"/>
      <c r="D93" s="30" t="n"/>
      <c r="E93" s="31" t="n"/>
      <c r="F93" s="31" t="n"/>
      <c r="G93" s="29" t="n"/>
      <c r="H93" s="29" t="n"/>
      <c r="I93" s="30" t="n"/>
      <c r="J93" s="21">
        <f>IF(H93="","",IF(I93="","To send","Sent"))</f>
        <v/>
      </c>
      <c r="K93" s="29" t="n"/>
      <c r="L93" s="1" t="n"/>
      <c r="M93">
        <f>IF(B93="",0,IF(E93="",1,N(E93)))</f>
        <v/>
      </c>
      <c r="N93">
        <f>IF(B93="",0,N(F93))</f>
        <v/>
      </c>
      <c r="O93">
        <f>IF(B93="","",IF(D93="","No answer",D93))</f>
        <v/>
      </c>
    </row>
    <row r="94">
      <c r="A94" s="1" t="n"/>
      <c r="B94" s="5" t="n"/>
      <c r="C94" s="29" t="n"/>
      <c r="D94" s="30" t="n"/>
      <c r="E94" s="31" t="n"/>
      <c r="F94" s="31" t="n"/>
      <c r="G94" s="29" t="n"/>
      <c r="H94" s="29" t="n"/>
      <c r="I94" s="30" t="n"/>
      <c r="J94" s="21">
        <f>IF(H94="","",IF(I94="","To send","Sent"))</f>
        <v/>
      </c>
      <c r="K94" s="29" t="n"/>
      <c r="L94" s="1" t="n"/>
      <c r="M94">
        <f>IF(B94="",0,IF(E94="",1,N(E94)))</f>
        <v/>
      </c>
      <c r="N94">
        <f>IF(B94="",0,N(F94))</f>
        <v/>
      </c>
      <c r="O94">
        <f>IF(B94="","",IF(D94="","No answer",D94))</f>
        <v/>
      </c>
    </row>
    <row r="95">
      <c r="A95" s="1" t="n"/>
      <c r="B95" s="5" t="n"/>
      <c r="C95" s="29" t="n"/>
      <c r="D95" s="30" t="n"/>
      <c r="E95" s="31" t="n"/>
      <c r="F95" s="31" t="n"/>
      <c r="G95" s="29" t="n"/>
      <c r="H95" s="29" t="n"/>
      <c r="I95" s="30" t="n"/>
      <c r="J95" s="21">
        <f>IF(H95="","",IF(I95="","To send","Sent"))</f>
        <v/>
      </c>
      <c r="K95" s="29" t="n"/>
      <c r="L95" s="1" t="n"/>
      <c r="M95">
        <f>IF(B95="",0,IF(E95="",1,N(E95)))</f>
        <v/>
      </c>
      <c r="N95">
        <f>IF(B95="",0,N(F95))</f>
        <v/>
      </c>
      <c r="O95">
        <f>IF(B95="","",IF(D95="","No answer",D95))</f>
        <v/>
      </c>
    </row>
    <row r="96">
      <c r="A96" s="1" t="n"/>
      <c r="B96" s="5" t="n"/>
      <c r="C96" s="29" t="n"/>
      <c r="D96" s="30" t="n"/>
      <c r="E96" s="31" t="n"/>
      <c r="F96" s="31" t="n"/>
      <c r="G96" s="29" t="n"/>
      <c r="H96" s="29" t="n"/>
      <c r="I96" s="30" t="n"/>
      <c r="J96" s="21">
        <f>IF(H96="","",IF(I96="","To send","Sent"))</f>
        <v/>
      </c>
      <c r="K96" s="29" t="n"/>
      <c r="L96" s="1" t="n"/>
      <c r="M96">
        <f>IF(B96="",0,IF(E96="",1,N(E96)))</f>
        <v/>
      </c>
      <c r="N96">
        <f>IF(B96="",0,N(F96))</f>
        <v/>
      </c>
      <c r="O96">
        <f>IF(B96="","",IF(D96="","No answer",D96))</f>
        <v/>
      </c>
    </row>
    <row r="97">
      <c r="A97" s="1" t="n"/>
      <c r="B97" s="5" t="n"/>
      <c r="C97" s="29" t="n"/>
      <c r="D97" s="30" t="n"/>
      <c r="E97" s="31" t="n"/>
      <c r="F97" s="31" t="n"/>
      <c r="G97" s="29" t="n"/>
      <c r="H97" s="29" t="n"/>
      <c r="I97" s="30" t="n"/>
      <c r="J97" s="21">
        <f>IF(H97="","",IF(I97="","To send","Sent"))</f>
        <v/>
      </c>
      <c r="K97" s="29" t="n"/>
      <c r="L97" s="1" t="n"/>
      <c r="M97">
        <f>IF(B97="",0,IF(E97="",1,N(E97)))</f>
        <v/>
      </c>
      <c r="N97">
        <f>IF(B97="",0,N(F97))</f>
        <v/>
      </c>
      <c r="O97">
        <f>IF(B97="","",IF(D97="","No answer",D97))</f>
        <v/>
      </c>
    </row>
    <row r="98">
      <c r="A98" s="1" t="n"/>
      <c r="B98" s="5" t="n"/>
      <c r="C98" s="29" t="n"/>
      <c r="D98" s="30" t="n"/>
      <c r="E98" s="31" t="n"/>
      <c r="F98" s="31" t="n"/>
      <c r="G98" s="29" t="n"/>
      <c r="H98" s="29" t="n"/>
      <c r="I98" s="30" t="n"/>
      <c r="J98" s="21">
        <f>IF(H98="","",IF(I98="","To send","Sent"))</f>
        <v/>
      </c>
      <c r="K98" s="29" t="n"/>
      <c r="L98" s="1" t="n"/>
      <c r="M98">
        <f>IF(B98="",0,IF(E98="",1,N(E98)))</f>
        <v/>
      </c>
      <c r="N98">
        <f>IF(B98="",0,N(F98))</f>
        <v/>
      </c>
      <c r="O98">
        <f>IF(B98="","",IF(D98="","No answer",D98))</f>
        <v/>
      </c>
    </row>
    <row r="99">
      <c r="A99" s="1" t="n"/>
      <c r="B99" s="5" t="n"/>
      <c r="C99" s="29" t="n"/>
      <c r="D99" s="30" t="n"/>
      <c r="E99" s="31" t="n"/>
      <c r="F99" s="31" t="n"/>
      <c r="G99" s="29" t="n"/>
      <c r="H99" s="29" t="n"/>
      <c r="I99" s="30" t="n"/>
      <c r="J99" s="21">
        <f>IF(H99="","",IF(I99="","To send","Sent"))</f>
        <v/>
      </c>
      <c r="K99" s="29" t="n"/>
      <c r="L99" s="1" t="n"/>
      <c r="M99">
        <f>IF(B99="",0,IF(E99="",1,N(E99)))</f>
        <v/>
      </c>
      <c r="N99">
        <f>IF(B99="",0,N(F99))</f>
        <v/>
      </c>
      <c r="O99">
        <f>IF(B99="","",IF(D99="","No answer",D99))</f>
        <v/>
      </c>
    </row>
    <row r="100">
      <c r="A100" s="1" t="n"/>
      <c r="B100" s="5" t="n"/>
      <c r="C100" s="29" t="n"/>
      <c r="D100" s="30" t="n"/>
      <c r="E100" s="31" t="n"/>
      <c r="F100" s="31" t="n"/>
      <c r="G100" s="29" t="n"/>
      <c r="H100" s="29" t="n"/>
      <c r="I100" s="30" t="n"/>
      <c r="J100" s="21">
        <f>IF(H100="","",IF(I100="","To send","Sent"))</f>
        <v/>
      </c>
      <c r="K100" s="29" t="n"/>
      <c r="L100" s="1" t="n"/>
      <c r="M100">
        <f>IF(B100="",0,IF(E100="",1,N(E100)))</f>
        <v/>
      </c>
      <c r="N100">
        <f>IF(B100="",0,N(F100))</f>
        <v/>
      </c>
      <c r="O100">
        <f>IF(B100="","",IF(D100="","No answer",D100))</f>
        <v/>
      </c>
    </row>
    <row r="101">
      <c r="A101" s="1" t="n"/>
      <c r="B101" s="5" t="n"/>
      <c r="C101" s="29" t="n"/>
      <c r="D101" s="30" t="n"/>
      <c r="E101" s="31" t="n"/>
      <c r="F101" s="31" t="n"/>
      <c r="G101" s="29" t="n"/>
      <c r="H101" s="29" t="n"/>
      <c r="I101" s="30" t="n"/>
      <c r="J101" s="21">
        <f>IF(H101="","",IF(I101="","To send","Sent"))</f>
        <v/>
      </c>
      <c r="K101" s="29" t="n"/>
      <c r="L101" s="1" t="n"/>
      <c r="M101">
        <f>IF(B101="",0,IF(E101="",1,N(E101)))</f>
        <v/>
      </c>
      <c r="N101">
        <f>IF(B101="",0,N(F101))</f>
        <v/>
      </c>
      <c r="O101">
        <f>IF(B101="","",IF(D101="","No answer",D101))</f>
        <v/>
      </c>
    </row>
    <row r="102">
      <c r="A102" s="1" t="n"/>
      <c r="B102" s="5" t="n"/>
      <c r="C102" s="29" t="n"/>
      <c r="D102" s="30" t="n"/>
      <c r="E102" s="31" t="n"/>
      <c r="F102" s="31" t="n"/>
      <c r="G102" s="29" t="n"/>
      <c r="H102" s="29" t="n"/>
      <c r="I102" s="30" t="n"/>
      <c r="J102" s="21">
        <f>IF(H102="","",IF(I102="","To send","Sent"))</f>
        <v/>
      </c>
      <c r="K102" s="29" t="n"/>
      <c r="L102" s="1" t="n"/>
      <c r="M102">
        <f>IF(B102="",0,IF(E102="",1,N(E102)))</f>
        <v/>
      </c>
      <c r="N102">
        <f>IF(B102="",0,N(F102))</f>
        <v/>
      </c>
      <c r="O102">
        <f>IF(B102="","",IF(D102="","No answer",D102))</f>
        <v/>
      </c>
    </row>
    <row r="103">
      <c r="A103" s="1" t="n"/>
      <c r="B103" s="5" t="n"/>
      <c r="C103" s="29" t="n"/>
      <c r="D103" s="30" t="n"/>
      <c r="E103" s="31" t="n"/>
      <c r="F103" s="31" t="n"/>
      <c r="G103" s="29" t="n"/>
      <c r="H103" s="29" t="n"/>
      <c r="I103" s="30" t="n"/>
      <c r="J103" s="21">
        <f>IF(H103="","",IF(I103="","To send","Sent"))</f>
        <v/>
      </c>
      <c r="K103" s="29" t="n"/>
      <c r="L103" s="1" t="n"/>
      <c r="M103">
        <f>IF(B103="",0,IF(E103="",1,N(E103)))</f>
        <v/>
      </c>
      <c r="N103">
        <f>IF(B103="",0,N(F103))</f>
        <v/>
      </c>
      <c r="O103">
        <f>IF(B103="","",IF(D103="","No answer",D103))</f>
        <v/>
      </c>
    </row>
    <row r="104">
      <c r="A104" s="1" t="n"/>
      <c r="B104" s="5" t="n"/>
      <c r="C104" s="29" t="n"/>
      <c r="D104" s="30" t="n"/>
      <c r="E104" s="31" t="n"/>
      <c r="F104" s="31" t="n"/>
      <c r="G104" s="29" t="n"/>
      <c r="H104" s="29" t="n"/>
      <c r="I104" s="30" t="n"/>
      <c r="J104" s="21">
        <f>IF(H104="","",IF(I104="","To send","Sent"))</f>
        <v/>
      </c>
      <c r="K104" s="29" t="n"/>
      <c r="L104" s="1" t="n"/>
      <c r="M104">
        <f>IF(B104="",0,IF(E104="",1,N(E104)))</f>
        <v/>
      </c>
      <c r="N104">
        <f>IF(B104="",0,N(F104))</f>
        <v/>
      </c>
      <c r="O104">
        <f>IF(B104="","",IF(D104="","No answer",D104))</f>
        <v/>
      </c>
    </row>
    <row r="105">
      <c r="A105" s="1" t="n"/>
      <c r="B105" s="5" t="n"/>
      <c r="C105" s="29" t="n"/>
      <c r="D105" s="30" t="n"/>
      <c r="E105" s="31" t="n"/>
      <c r="F105" s="31" t="n"/>
      <c r="G105" s="29" t="n"/>
      <c r="H105" s="29" t="n"/>
      <c r="I105" s="30" t="n"/>
      <c r="J105" s="21">
        <f>IF(H105="","",IF(I105="","To send","Sent"))</f>
        <v/>
      </c>
      <c r="K105" s="29" t="n"/>
      <c r="L105" s="1" t="n"/>
      <c r="M105">
        <f>IF(B105="",0,IF(E105="",1,N(E105)))</f>
        <v/>
      </c>
      <c r="N105">
        <f>IF(B105="",0,N(F105))</f>
        <v/>
      </c>
      <c r="O105">
        <f>IF(B105="","",IF(D105="","No answer",D105))</f>
        <v/>
      </c>
    </row>
    <row r="106">
      <c r="A106" s="1" t="n"/>
      <c r="B106" s="5" t="n"/>
      <c r="C106" s="29" t="n"/>
      <c r="D106" s="30" t="n"/>
      <c r="E106" s="31" t="n"/>
      <c r="F106" s="31" t="n"/>
      <c r="G106" s="29" t="n"/>
      <c r="H106" s="29" t="n"/>
      <c r="I106" s="30" t="n"/>
      <c r="J106" s="21">
        <f>IF(H106="","",IF(I106="","To send","Sent"))</f>
        <v/>
      </c>
      <c r="K106" s="29" t="n"/>
      <c r="L106" s="1" t="n"/>
      <c r="M106">
        <f>IF(B106="",0,IF(E106="",1,N(E106)))</f>
        <v/>
      </c>
      <c r="N106">
        <f>IF(B106="",0,N(F106))</f>
        <v/>
      </c>
      <c r="O106">
        <f>IF(B106="","",IF(D106="","No answer",D106))</f>
        <v/>
      </c>
    </row>
    <row r="107">
      <c r="A107" s="1" t="n"/>
      <c r="B107" s="5" t="n"/>
      <c r="C107" s="29" t="n"/>
      <c r="D107" s="30" t="n"/>
      <c r="E107" s="31" t="n"/>
      <c r="F107" s="31" t="n"/>
      <c r="G107" s="29" t="n"/>
      <c r="H107" s="29" t="n"/>
      <c r="I107" s="30" t="n"/>
      <c r="J107" s="21">
        <f>IF(H107="","",IF(I107="","To send","Sent"))</f>
        <v/>
      </c>
      <c r="K107" s="29" t="n"/>
      <c r="L107" s="1" t="n"/>
      <c r="M107">
        <f>IF(B107="",0,IF(E107="",1,N(E107)))</f>
        <v/>
      </c>
      <c r="N107">
        <f>IF(B107="",0,N(F107))</f>
        <v/>
      </c>
      <c r="O107">
        <f>IF(B107="","",IF(D107="","No answer",D107))</f>
        <v/>
      </c>
    </row>
    <row r="108">
      <c r="A108" s="1" t="n"/>
      <c r="B108" s="5" t="n"/>
      <c r="C108" s="29" t="n"/>
      <c r="D108" s="30" t="n"/>
      <c r="E108" s="31" t="n"/>
      <c r="F108" s="31" t="n"/>
      <c r="G108" s="29" t="n"/>
      <c r="H108" s="29" t="n"/>
      <c r="I108" s="30" t="n"/>
      <c r="J108" s="21">
        <f>IF(H108="","",IF(I108="","To send","Sent"))</f>
        <v/>
      </c>
      <c r="K108" s="29" t="n"/>
      <c r="L108" s="1" t="n"/>
      <c r="M108">
        <f>IF(B108="",0,IF(E108="",1,N(E108)))</f>
        <v/>
      </c>
      <c r="N108">
        <f>IF(B108="",0,N(F108))</f>
        <v/>
      </c>
      <c r="O108">
        <f>IF(B108="","",IF(D108="","No answer",D108))</f>
        <v/>
      </c>
    </row>
    <row r="109">
      <c r="A109" s="1" t="n"/>
      <c r="B109" s="5" t="n"/>
      <c r="C109" s="29" t="n"/>
      <c r="D109" s="30" t="n"/>
      <c r="E109" s="31" t="n"/>
      <c r="F109" s="31" t="n"/>
      <c r="G109" s="29" t="n"/>
      <c r="H109" s="29" t="n"/>
      <c r="I109" s="30" t="n"/>
      <c r="J109" s="21">
        <f>IF(H109="","",IF(I109="","To send","Sent"))</f>
        <v/>
      </c>
      <c r="K109" s="29" t="n"/>
      <c r="L109" s="1" t="n"/>
      <c r="M109">
        <f>IF(B109="",0,IF(E109="",1,N(E109)))</f>
        <v/>
      </c>
      <c r="N109">
        <f>IF(B109="",0,N(F109))</f>
        <v/>
      </c>
      <c r="O109">
        <f>IF(B109="","",IF(D109="","No answer",D109))</f>
        <v/>
      </c>
    </row>
    <row r="110">
      <c r="A110" s="1" t="n"/>
      <c r="B110" s="5" t="n"/>
      <c r="C110" s="29" t="n"/>
      <c r="D110" s="30" t="n"/>
      <c r="E110" s="31" t="n"/>
      <c r="F110" s="31" t="n"/>
      <c r="G110" s="29" t="n"/>
      <c r="H110" s="29" t="n"/>
      <c r="I110" s="30" t="n"/>
      <c r="J110" s="21">
        <f>IF(H110="","",IF(I110="","To send","Sent"))</f>
        <v/>
      </c>
      <c r="K110" s="29" t="n"/>
      <c r="L110" s="1" t="n"/>
      <c r="M110">
        <f>IF(B110="",0,IF(E110="",1,N(E110)))</f>
        <v/>
      </c>
      <c r="N110">
        <f>IF(B110="",0,N(F110))</f>
        <v/>
      </c>
      <c r="O110">
        <f>IF(B110="","",IF(D110="","No answer",D110))</f>
        <v/>
      </c>
    </row>
    <row r="111">
      <c r="A111" s="1" t="n"/>
      <c r="B111" s="5" t="n"/>
      <c r="C111" s="29" t="n"/>
      <c r="D111" s="30" t="n"/>
      <c r="E111" s="31" t="n"/>
      <c r="F111" s="31" t="n"/>
      <c r="G111" s="29" t="n"/>
      <c r="H111" s="29" t="n"/>
      <c r="I111" s="30" t="n"/>
      <c r="J111" s="21">
        <f>IF(H111="","",IF(I111="","To send","Sent"))</f>
        <v/>
      </c>
      <c r="K111" s="29" t="n"/>
      <c r="L111" s="1" t="n"/>
      <c r="M111">
        <f>IF(B111="",0,IF(E111="",1,N(E111)))</f>
        <v/>
      </c>
      <c r="N111">
        <f>IF(B111="",0,N(F111))</f>
        <v/>
      </c>
      <c r="O111">
        <f>IF(B111="","",IF(D111="","No answer",D111))</f>
        <v/>
      </c>
    </row>
    <row r="112">
      <c r="A112" s="1" t="n"/>
      <c r="B112" s="5" t="n"/>
      <c r="C112" s="29" t="n"/>
      <c r="D112" s="30" t="n"/>
      <c r="E112" s="31" t="n"/>
      <c r="F112" s="31" t="n"/>
      <c r="G112" s="29" t="n"/>
      <c r="H112" s="29" t="n"/>
      <c r="I112" s="30" t="n"/>
      <c r="J112" s="21">
        <f>IF(H112="","",IF(I112="","To send","Sent"))</f>
        <v/>
      </c>
      <c r="K112" s="29" t="n"/>
      <c r="L112" s="1" t="n"/>
      <c r="M112">
        <f>IF(B112="",0,IF(E112="",1,N(E112)))</f>
        <v/>
      </c>
      <c r="N112">
        <f>IF(B112="",0,N(F112))</f>
        <v/>
      </c>
      <c r="O112">
        <f>IF(B112="","",IF(D112="","No answer",D112))</f>
        <v/>
      </c>
    </row>
    <row r="113">
      <c r="A113" s="1" t="n"/>
      <c r="B113" s="5" t="n"/>
      <c r="C113" s="29" t="n"/>
      <c r="D113" s="30" t="n"/>
      <c r="E113" s="31" t="n"/>
      <c r="F113" s="31" t="n"/>
      <c r="G113" s="29" t="n"/>
      <c r="H113" s="29" t="n"/>
      <c r="I113" s="30" t="n"/>
      <c r="J113" s="21">
        <f>IF(H113="","",IF(I113="","To send","Sent"))</f>
        <v/>
      </c>
      <c r="K113" s="29" t="n"/>
      <c r="L113" s="1" t="n"/>
      <c r="M113">
        <f>IF(B113="",0,IF(E113="",1,N(E113)))</f>
        <v/>
      </c>
      <c r="N113">
        <f>IF(B113="",0,N(F113))</f>
        <v/>
      </c>
      <c r="O113">
        <f>IF(B113="","",IF(D113="","No answer",D113))</f>
        <v/>
      </c>
    </row>
    <row r="114">
      <c r="A114" s="1" t="n"/>
      <c r="B114" s="5" t="n"/>
      <c r="C114" s="29" t="n"/>
      <c r="D114" s="30" t="n"/>
      <c r="E114" s="31" t="n"/>
      <c r="F114" s="31" t="n"/>
      <c r="G114" s="29" t="n"/>
      <c r="H114" s="29" t="n"/>
      <c r="I114" s="30" t="n"/>
      <c r="J114" s="21">
        <f>IF(H114="","",IF(I114="","To send","Sent"))</f>
        <v/>
      </c>
      <c r="K114" s="29" t="n"/>
      <c r="L114" s="1" t="n"/>
      <c r="M114">
        <f>IF(B114="",0,IF(E114="",1,N(E114)))</f>
        <v/>
      </c>
      <c r="N114">
        <f>IF(B114="",0,N(F114))</f>
        <v/>
      </c>
      <c r="O114">
        <f>IF(B114="","",IF(D114="","No answer",D114))</f>
        <v/>
      </c>
    </row>
    <row r="115">
      <c r="A115" s="1" t="n"/>
      <c r="B115" s="5" t="n"/>
      <c r="C115" s="29" t="n"/>
      <c r="D115" s="30" t="n"/>
      <c r="E115" s="31" t="n"/>
      <c r="F115" s="31" t="n"/>
      <c r="G115" s="29" t="n"/>
      <c r="H115" s="29" t="n"/>
      <c r="I115" s="30" t="n"/>
      <c r="J115" s="21">
        <f>IF(H115="","",IF(I115="","To send","Sent"))</f>
        <v/>
      </c>
      <c r="K115" s="29" t="n"/>
      <c r="L115" s="1" t="n"/>
      <c r="M115">
        <f>IF(B115="",0,IF(E115="",1,N(E115)))</f>
        <v/>
      </c>
      <c r="N115">
        <f>IF(B115="",0,N(F115))</f>
        <v/>
      </c>
      <c r="O115">
        <f>IF(B115="","",IF(D115="","No answer",D115))</f>
        <v/>
      </c>
    </row>
    <row r="116">
      <c r="A116" s="1" t="n"/>
      <c r="B116" s="5" t="n"/>
      <c r="C116" s="29" t="n"/>
      <c r="D116" s="30" t="n"/>
      <c r="E116" s="31" t="n"/>
      <c r="F116" s="31" t="n"/>
      <c r="G116" s="29" t="n"/>
      <c r="H116" s="29" t="n"/>
      <c r="I116" s="30" t="n"/>
      <c r="J116" s="21">
        <f>IF(H116="","",IF(I116="","To send","Sent"))</f>
        <v/>
      </c>
      <c r="K116" s="29" t="n"/>
      <c r="L116" s="1" t="n"/>
      <c r="M116">
        <f>IF(B116="",0,IF(E116="",1,N(E116)))</f>
        <v/>
      </c>
      <c r="N116">
        <f>IF(B116="",0,N(F116))</f>
        <v/>
      </c>
      <c r="O116">
        <f>IF(B116="","",IF(D116="","No answer",D116))</f>
        <v/>
      </c>
    </row>
    <row r="117">
      <c r="A117" s="1" t="n"/>
      <c r="B117" s="5" t="n"/>
      <c r="C117" s="29" t="n"/>
      <c r="D117" s="30" t="n"/>
      <c r="E117" s="31" t="n"/>
      <c r="F117" s="31" t="n"/>
      <c r="G117" s="29" t="n"/>
      <c r="H117" s="29" t="n"/>
      <c r="I117" s="30" t="n"/>
      <c r="J117" s="21">
        <f>IF(H117="","",IF(I117="","To send","Sent"))</f>
        <v/>
      </c>
      <c r="K117" s="29" t="n"/>
      <c r="L117" s="1" t="n"/>
      <c r="M117">
        <f>IF(B117="",0,IF(E117="",1,N(E117)))</f>
        <v/>
      </c>
      <c r="N117">
        <f>IF(B117="",0,N(F117))</f>
        <v/>
      </c>
      <c r="O117">
        <f>IF(B117="","",IF(D117="","No answer",D117))</f>
        <v/>
      </c>
    </row>
    <row r="118">
      <c r="A118" s="1" t="n"/>
      <c r="B118" s="5" t="n"/>
      <c r="C118" s="29" t="n"/>
      <c r="D118" s="30" t="n"/>
      <c r="E118" s="31" t="n"/>
      <c r="F118" s="31" t="n"/>
      <c r="G118" s="29" t="n"/>
      <c r="H118" s="29" t="n"/>
      <c r="I118" s="30" t="n"/>
      <c r="J118" s="21">
        <f>IF(H118="","",IF(I118="","To send","Sent"))</f>
        <v/>
      </c>
      <c r="K118" s="29" t="n"/>
      <c r="L118" s="1" t="n"/>
      <c r="M118">
        <f>IF(B118="",0,IF(E118="",1,N(E118)))</f>
        <v/>
      </c>
      <c r="N118">
        <f>IF(B118="",0,N(F118))</f>
        <v/>
      </c>
      <c r="O118">
        <f>IF(B118="","",IF(D118="","No answer",D118))</f>
        <v/>
      </c>
    </row>
    <row r="119">
      <c r="A119" s="1" t="n"/>
      <c r="B119" s="5" t="n"/>
      <c r="C119" s="29" t="n"/>
      <c r="D119" s="30" t="n"/>
      <c r="E119" s="31" t="n"/>
      <c r="F119" s="31" t="n"/>
      <c r="G119" s="29" t="n"/>
      <c r="H119" s="29" t="n"/>
      <c r="I119" s="30" t="n"/>
      <c r="J119" s="21">
        <f>IF(H119="","",IF(I119="","To send","Sent"))</f>
        <v/>
      </c>
      <c r="K119" s="29" t="n"/>
      <c r="L119" s="1" t="n"/>
      <c r="M119">
        <f>IF(B119="",0,IF(E119="",1,N(E119)))</f>
        <v/>
      </c>
      <c r="N119">
        <f>IF(B119="",0,N(F119))</f>
        <v/>
      </c>
      <c r="O119">
        <f>IF(B119="","",IF(D119="","No answer",D119))</f>
        <v/>
      </c>
    </row>
    <row r="120">
      <c r="A120" s="1" t="n"/>
      <c r="B120" s="5" t="n"/>
      <c r="C120" s="29" t="n"/>
      <c r="D120" s="30" t="n"/>
      <c r="E120" s="31" t="n"/>
      <c r="F120" s="31" t="n"/>
      <c r="G120" s="29" t="n"/>
      <c r="H120" s="29" t="n"/>
      <c r="I120" s="30" t="n"/>
      <c r="J120" s="21">
        <f>IF(H120="","",IF(I120="","To send","Sent"))</f>
        <v/>
      </c>
      <c r="K120" s="29" t="n"/>
      <c r="L120" s="1" t="n"/>
      <c r="M120">
        <f>IF(B120="",0,IF(E120="",1,N(E120)))</f>
        <v/>
      </c>
      <c r="N120">
        <f>IF(B120="",0,N(F120))</f>
        <v/>
      </c>
      <c r="O120">
        <f>IF(B120="","",IF(D120="","No answer",D120))</f>
        <v/>
      </c>
    </row>
    <row r="121">
      <c r="A121" s="1" t="n"/>
      <c r="B121" s="5" t="n"/>
      <c r="C121" s="29" t="n"/>
      <c r="D121" s="30" t="n"/>
      <c r="E121" s="31" t="n"/>
      <c r="F121" s="31" t="n"/>
      <c r="G121" s="29" t="n"/>
      <c r="H121" s="29" t="n"/>
      <c r="I121" s="30" t="n"/>
      <c r="J121" s="21">
        <f>IF(H121="","",IF(I121="","To send","Sent"))</f>
        <v/>
      </c>
      <c r="K121" s="29" t="n"/>
      <c r="L121" s="1" t="n"/>
      <c r="M121">
        <f>IF(B121="",0,IF(E121="",1,N(E121)))</f>
        <v/>
      </c>
      <c r="N121">
        <f>IF(B121="",0,N(F121))</f>
        <v/>
      </c>
      <c r="O121">
        <f>IF(B121="","",IF(D121="","No answer",D121))</f>
        <v/>
      </c>
    </row>
    <row r="122">
      <c r="A122" s="1" t="n"/>
      <c r="B122" s="5" t="n"/>
      <c r="C122" s="29" t="n"/>
      <c r="D122" s="30" t="n"/>
      <c r="E122" s="31" t="n"/>
      <c r="F122" s="31" t="n"/>
      <c r="G122" s="29" t="n"/>
      <c r="H122" s="29" t="n"/>
      <c r="I122" s="30" t="n"/>
      <c r="J122" s="21">
        <f>IF(H122="","",IF(I122="","To send","Sent"))</f>
        <v/>
      </c>
      <c r="K122" s="29" t="n"/>
      <c r="L122" s="1" t="n"/>
      <c r="M122">
        <f>IF(B122="",0,IF(E122="",1,N(E122)))</f>
        <v/>
      </c>
      <c r="N122">
        <f>IF(B122="",0,N(F122))</f>
        <v/>
      </c>
      <c r="O122">
        <f>IF(B122="","",IF(D122="","No answer",D122))</f>
        <v/>
      </c>
    </row>
    <row r="123">
      <c r="A123" s="1" t="n"/>
      <c r="B123" s="5" t="n"/>
      <c r="C123" s="29" t="n"/>
      <c r="D123" s="30" t="n"/>
      <c r="E123" s="31" t="n"/>
      <c r="F123" s="31" t="n"/>
      <c r="G123" s="29" t="n"/>
      <c r="H123" s="29" t="n"/>
      <c r="I123" s="30" t="n"/>
      <c r="J123" s="21">
        <f>IF(H123="","",IF(I123="","To send","Sent"))</f>
        <v/>
      </c>
      <c r="K123" s="29" t="n"/>
      <c r="L123" s="1" t="n"/>
      <c r="M123">
        <f>IF(B123="",0,IF(E123="",1,N(E123)))</f>
        <v/>
      </c>
      <c r="N123">
        <f>IF(B123="",0,N(F123))</f>
        <v/>
      </c>
      <c r="O123">
        <f>IF(B123="","",IF(D123="","No answer",D123))</f>
        <v/>
      </c>
    </row>
    <row r="124">
      <c r="A124" s="1" t="n"/>
      <c r="B124" s="5" t="n"/>
      <c r="C124" s="29" t="n"/>
      <c r="D124" s="30" t="n"/>
      <c r="E124" s="31" t="n"/>
      <c r="F124" s="31" t="n"/>
      <c r="G124" s="29" t="n"/>
      <c r="H124" s="29" t="n"/>
      <c r="I124" s="30" t="n"/>
      <c r="J124" s="21">
        <f>IF(H124="","",IF(I124="","To send","Sent"))</f>
        <v/>
      </c>
      <c r="K124" s="29" t="n"/>
      <c r="L124" s="1" t="n"/>
      <c r="M124">
        <f>IF(B124="",0,IF(E124="",1,N(E124)))</f>
        <v/>
      </c>
      <c r="N124">
        <f>IF(B124="",0,N(F124))</f>
        <v/>
      </c>
      <c r="O124">
        <f>IF(B124="","",IF(D124="","No answer",D124))</f>
        <v/>
      </c>
    </row>
    <row r="125">
      <c r="A125" s="1" t="n"/>
      <c r="B125" s="5" t="n"/>
      <c r="C125" s="29" t="n"/>
      <c r="D125" s="30" t="n"/>
      <c r="E125" s="31" t="n"/>
      <c r="F125" s="31" t="n"/>
      <c r="G125" s="29" t="n"/>
      <c r="H125" s="29" t="n"/>
      <c r="I125" s="30" t="n"/>
      <c r="J125" s="21">
        <f>IF(H125="","",IF(I125="","To send","Sent"))</f>
        <v/>
      </c>
      <c r="K125" s="29" t="n"/>
      <c r="L125" s="1" t="n"/>
      <c r="M125">
        <f>IF(B125="",0,IF(E125="",1,N(E125)))</f>
        <v/>
      </c>
      <c r="N125">
        <f>IF(B125="",0,N(F125))</f>
        <v/>
      </c>
      <c r="O125">
        <f>IF(B125="","",IF(D125="","No answer",D125))</f>
        <v/>
      </c>
    </row>
    <row r="126">
      <c r="A126" s="1" t="n"/>
      <c r="B126" s="5" t="n"/>
      <c r="C126" s="29" t="n"/>
      <c r="D126" s="30" t="n"/>
      <c r="E126" s="31" t="n"/>
      <c r="F126" s="31" t="n"/>
      <c r="G126" s="29" t="n"/>
      <c r="H126" s="29" t="n"/>
      <c r="I126" s="30" t="n"/>
      <c r="J126" s="21">
        <f>IF(H126="","",IF(I126="","To send","Sent"))</f>
        <v/>
      </c>
      <c r="K126" s="29" t="n"/>
      <c r="L126" s="1" t="n"/>
      <c r="M126">
        <f>IF(B126="",0,IF(E126="",1,N(E126)))</f>
        <v/>
      </c>
      <c r="N126">
        <f>IF(B126="",0,N(F126))</f>
        <v/>
      </c>
      <c r="O126">
        <f>IF(B126="","",IF(D126="","No answer",D126))</f>
        <v/>
      </c>
    </row>
    <row r="127">
      <c r="A127" s="1" t="n"/>
      <c r="B127" s="5" t="n"/>
      <c r="C127" s="29" t="n"/>
      <c r="D127" s="30" t="n"/>
      <c r="E127" s="31" t="n"/>
      <c r="F127" s="31" t="n"/>
      <c r="G127" s="29" t="n"/>
      <c r="H127" s="29" t="n"/>
      <c r="I127" s="30" t="n"/>
      <c r="J127" s="21">
        <f>IF(H127="","",IF(I127="","To send","Sent"))</f>
        <v/>
      </c>
      <c r="K127" s="29" t="n"/>
      <c r="L127" s="1" t="n"/>
      <c r="M127">
        <f>IF(B127="",0,IF(E127="",1,N(E127)))</f>
        <v/>
      </c>
      <c r="N127">
        <f>IF(B127="",0,N(F127))</f>
        <v/>
      </c>
      <c r="O127">
        <f>IF(B127="","",IF(D127="","No answer",D127))</f>
        <v/>
      </c>
    </row>
    <row r="128">
      <c r="A128" s="1" t="n"/>
      <c r="B128" s="5" t="n"/>
      <c r="C128" s="29" t="n"/>
      <c r="D128" s="30" t="n"/>
      <c r="E128" s="31" t="n"/>
      <c r="F128" s="31" t="n"/>
      <c r="G128" s="29" t="n"/>
      <c r="H128" s="29" t="n"/>
      <c r="I128" s="30" t="n"/>
      <c r="J128" s="21">
        <f>IF(H128="","",IF(I128="","To send","Sent"))</f>
        <v/>
      </c>
      <c r="K128" s="29" t="n"/>
      <c r="L128" s="1" t="n"/>
      <c r="M128">
        <f>IF(B128="",0,IF(E128="",1,N(E128)))</f>
        <v/>
      </c>
      <c r="N128">
        <f>IF(B128="",0,N(F128))</f>
        <v/>
      </c>
      <c r="O128">
        <f>IF(B128="","",IF(D128="","No answer",D128))</f>
        <v/>
      </c>
    </row>
    <row r="129">
      <c r="A129" s="1" t="n"/>
      <c r="B129" s="5" t="n"/>
      <c r="C129" s="29" t="n"/>
      <c r="D129" s="30" t="n"/>
      <c r="E129" s="31" t="n"/>
      <c r="F129" s="31" t="n"/>
      <c r="G129" s="29" t="n"/>
      <c r="H129" s="29" t="n"/>
      <c r="I129" s="30" t="n"/>
      <c r="J129" s="21">
        <f>IF(H129="","",IF(I129="","To send","Sent"))</f>
        <v/>
      </c>
      <c r="K129" s="29" t="n"/>
      <c r="L129" s="1" t="n"/>
      <c r="M129">
        <f>IF(B129="",0,IF(E129="",1,N(E129)))</f>
        <v/>
      </c>
      <c r="N129">
        <f>IF(B129="",0,N(F129))</f>
        <v/>
      </c>
      <c r="O129">
        <f>IF(B129="","",IF(D129="","No answer",D129))</f>
        <v/>
      </c>
    </row>
    <row r="130">
      <c r="A130" s="1" t="n"/>
      <c r="B130" s="5" t="n"/>
      <c r="C130" s="29" t="n"/>
      <c r="D130" s="30" t="n"/>
      <c r="E130" s="31" t="n"/>
      <c r="F130" s="31" t="n"/>
      <c r="G130" s="29" t="n"/>
      <c r="H130" s="29" t="n"/>
      <c r="I130" s="30" t="n"/>
      <c r="J130" s="21">
        <f>IF(H130="","",IF(I130="","To send","Sent"))</f>
        <v/>
      </c>
      <c r="K130" s="29" t="n"/>
      <c r="L130" s="1" t="n"/>
      <c r="M130">
        <f>IF(B130="",0,IF(E130="",1,N(E130)))</f>
        <v/>
      </c>
      <c r="N130">
        <f>IF(B130="",0,N(F130))</f>
        <v/>
      </c>
      <c r="O130">
        <f>IF(B130="","",IF(D130="","No answer",D130))</f>
        <v/>
      </c>
    </row>
    <row r="131">
      <c r="A131" s="1" t="n"/>
      <c r="B131" s="5" t="n"/>
      <c r="C131" s="29" t="n"/>
      <c r="D131" s="30" t="n"/>
      <c r="E131" s="31" t="n"/>
      <c r="F131" s="31" t="n"/>
      <c r="G131" s="29" t="n"/>
      <c r="H131" s="29" t="n"/>
      <c r="I131" s="30" t="n"/>
      <c r="J131" s="21">
        <f>IF(H131="","",IF(I131="","To send","Sent"))</f>
        <v/>
      </c>
      <c r="K131" s="29" t="n"/>
      <c r="L131" s="1" t="n"/>
      <c r="M131">
        <f>IF(B131="",0,IF(E131="",1,N(E131)))</f>
        <v/>
      </c>
      <c r="N131">
        <f>IF(B131="",0,N(F131))</f>
        <v/>
      </c>
      <c r="O131">
        <f>IF(B131="","",IF(D131="","No answer",D131))</f>
        <v/>
      </c>
    </row>
    <row r="132">
      <c r="A132" s="1" t="n"/>
      <c r="B132" s="5" t="n"/>
      <c r="C132" s="29" t="n"/>
      <c r="D132" s="30" t="n"/>
      <c r="E132" s="31" t="n"/>
      <c r="F132" s="31" t="n"/>
      <c r="G132" s="29" t="n"/>
      <c r="H132" s="29" t="n"/>
      <c r="I132" s="30" t="n"/>
      <c r="J132" s="21">
        <f>IF(H132="","",IF(I132="","To send","Sent"))</f>
        <v/>
      </c>
      <c r="K132" s="29" t="n"/>
      <c r="L132" s="1" t="n"/>
      <c r="M132">
        <f>IF(B132="",0,IF(E132="",1,N(E132)))</f>
        <v/>
      </c>
      <c r="N132">
        <f>IF(B132="",0,N(F132))</f>
        <v/>
      </c>
      <c r="O132">
        <f>IF(B132="","",IF(D132="","No answer",D132))</f>
        <v/>
      </c>
    </row>
    <row r="133">
      <c r="A133" s="1" t="n"/>
      <c r="B133" s="5" t="n"/>
      <c r="C133" s="29" t="n"/>
      <c r="D133" s="30" t="n"/>
      <c r="E133" s="31" t="n"/>
      <c r="F133" s="31" t="n"/>
      <c r="G133" s="29" t="n"/>
      <c r="H133" s="29" t="n"/>
      <c r="I133" s="30" t="n"/>
      <c r="J133" s="21">
        <f>IF(H133="","",IF(I133="","To send","Sent"))</f>
        <v/>
      </c>
      <c r="K133" s="29" t="n"/>
      <c r="L133" s="1" t="n"/>
      <c r="M133">
        <f>IF(B133="",0,IF(E133="",1,N(E133)))</f>
        <v/>
      </c>
      <c r="N133">
        <f>IF(B133="",0,N(F133))</f>
        <v/>
      </c>
      <c r="O133">
        <f>IF(B133="","",IF(D133="","No answer",D133))</f>
        <v/>
      </c>
    </row>
    <row r="134">
      <c r="A134" s="1" t="n"/>
      <c r="B134" s="5" t="n"/>
      <c r="C134" s="29" t="n"/>
      <c r="D134" s="30" t="n"/>
      <c r="E134" s="31" t="n"/>
      <c r="F134" s="31" t="n"/>
      <c r="G134" s="29" t="n"/>
      <c r="H134" s="29" t="n"/>
      <c r="I134" s="30" t="n"/>
      <c r="J134" s="21">
        <f>IF(H134="","",IF(I134="","To send","Sent"))</f>
        <v/>
      </c>
      <c r="K134" s="29" t="n"/>
      <c r="L134" s="1" t="n"/>
      <c r="M134">
        <f>IF(B134="",0,IF(E134="",1,N(E134)))</f>
        <v/>
      </c>
      <c r="N134">
        <f>IF(B134="",0,N(F134))</f>
        <v/>
      </c>
      <c r="O134">
        <f>IF(B134="","",IF(D134="","No answer",D134))</f>
        <v/>
      </c>
    </row>
    <row r="135">
      <c r="A135" s="1" t="n"/>
      <c r="B135" s="5" t="n"/>
      <c r="C135" s="29" t="n"/>
      <c r="D135" s="30" t="n"/>
      <c r="E135" s="31" t="n"/>
      <c r="F135" s="31" t="n"/>
      <c r="G135" s="29" t="n"/>
      <c r="H135" s="29" t="n"/>
      <c r="I135" s="30" t="n"/>
      <c r="J135" s="21">
        <f>IF(H135="","",IF(I135="","To send","Sent"))</f>
        <v/>
      </c>
      <c r="K135" s="29" t="n"/>
      <c r="L135" s="1" t="n"/>
      <c r="M135">
        <f>IF(B135="",0,IF(E135="",1,N(E135)))</f>
        <v/>
      </c>
      <c r="N135">
        <f>IF(B135="",0,N(F135))</f>
        <v/>
      </c>
      <c r="O135">
        <f>IF(B135="","",IF(D135="","No answer",D135))</f>
        <v/>
      </c>
    </row>
    <row r="136">
      <c r="A136" s="1" t="n"/>
      <c r="B136" s="5" t="n"/>
      <c r="C136" s="29" t="n"/>
      <c r="D136" s="30" t="n"/>
      <c r="E136" s="31" t="n"/>
      <c r="F136" s="31" t="n"/>
      <c r="G136" s="29" t="n"/>
      <c r="H136" s="29" t="n"/>
      <c r="I136" s="30" t="n"/>
      <c r="J136" s="21">
        <f>IF(H136="","",IF(I136="","To send","Sent"))</f>
        <v/>
      </c>
      <c r="K136" s="29" t="n"/>
      <c r="L136" s="1" t="n"/>
      <c r="M136">
        <f>IF(B136="",0,IF(E136="",1,N(E136)))</f>
        <v/>
      </c>
      <c r="N136">
        <f>IF(B136="",0,N(F136))</f>
        <v/>
      </c>
      <c r="O136">
        <f>IF(B136="","",IF(D136="","No answer",D136))</f>
        <v/>
      </c>
    </row>
    <row r="137">
      <c r="A137" s="1" t="n"/>
      <c r="B137" s="5" t="n"/>
      <c r="C137" s="29" t="n"/>
      <c r="D137" s="30" t="n"/>
      <c r="E137" s="31" t="n"/>
      <c r="F137" s="31" t="n"/>
      <c r="G137" s="29" t="n"/>
      <c r="H137" s="29" t="n"/>
      <c r="I137" s="30" t="n"/>
      <c r="J137" s="21">
        <f>IF(H137="","",IF(I137="","To send","Sent"))</f>
        <v/>
      </c>
      <c r="K137" s="29" t="n"/>
      <c r="L137" s="1" t="n"/>
      <c r="M137">
        <f>IF(B137="",0,IF(E137="",1,N(E137)))</f>
        <v/>
      </c>
      <c r="N137">
        <f>IF(B137="",0,N(F137))</f>
        <v/>
      </c>
      <c r="O137">
        <f>IF(B137="","",IF(D137="","No answer",D137))</f>
        <v/>
      </c>
    </row>
    <row r="138">
      <c r="A138" s="1" t="n"/>
      <c r="B138" s="5" t="n"/>
      <c r="C138" s="29" t="n"/>
      <c r="D138" s="30" t="n"/>
      <c r="E138" s="31" t="n"/>
      <c r="F138" s="31" t="n"/>
      <c r="G138" s="29" t="n"/>
      <c r="H138" s="29" t="n"/>
      <c r="I138" s="30" t="n"/>
      <c r="J138" s="21">
        <f>IF(H138="","",IF(I138="","To send","Sent"))</f>
        <v/>
      </c>
      <c r="K138" s="29" t="n"/>
      <c r="L138" s="1" t="n"/>
      <c r="M138">
        <f>IF(B138="",0,IF(E138="",1,N(E138)))</f>
        <v/>
      </c>
      <c r="N138">
        <f>IF(B138="",0,N(F138))</f>
        <v/>
      </c>
      <c r="O138">
        <f>IF(B138="","",IF(D138="","No answer",D138))</f>
        <v/>
      </c>
    </row>
    <row r="139">
      <c r="A139" s="1" t="n"/>
      <c r="B139" s="5" t="n"/>
      <c r="C139" s="29" t="n"/>
      <c r="D139" s="30" t="n"/>
      <c r="E139" s="31" t="n"/>
      <c r="F139" s="31" t="n"/>
      <c r="G139" s="29" t="n"/>
      <c r="H139" s="29" t="n"/>
      <c r="I139" s="30" t="n"/>
      <c r="J139" s="21">
        <f>IF(H139="","",IF(I139="","To send","Sent"))</f>
        <v/>
      </c>
      <c r="K139" s="29" t="n"/>
      <c r="L139" s="1" t="n"/>
      <c r="M139">
        <f>IF(B139="",0,IF(E139="",1,N(E139)))</f>
        <v/>
      </c>
      <c r="N139">
        <f>IF(B139="",0,N(F139))</f>
        <v/>
      </c>
      <c r="O139">
        <f>IF(B139="","",IF(D139="","No answer",D139))</f>
        <v/>
      </c>
    </row>
    <row r="140">
      <c r="A140" s="1" t="n"/>
      <c r="B140" s="5" t="n"/>
      <c r="C140" s="29" t="n"/>
      <c r="D140" s="30" t="n"/>
      <c r="E140" s="31" t="n"/>
      <c r="F140" s="31" t="n"/>
      <c r="G140" s="29" t="n"/>
      <c r="H140" s="29" t="n"/>
      <c r="I140" s="30" t="n"/>
      <c r="J140" s="21">
        <f>IF(H140="","",IF(I140="","To send","Sent"))</f>
        <v/>
      </c>
      <c r="K140" s="29" t="n"/>
      <c r="L140" s="1" t="n"/>
      <c r="M140">
        <f>IF(B140="",0,IF(E140="",1,N(E140)))</f>
        <v/>
      </c>
      <c r="N140">
        <f>IF(B140="",0,N(F140))</f>
        <v/>
      </c>
      <c r="O140">
        <f>IF(B140="","",IF(D140="","No answer",D140))</f>
        <v/>
      </c>
    </row>
    <row r="141">
      <c r="A141" s="1" t="n"/>
      <c r="B141" s="5" t="n"/>
      <c r="C141" s="29" t="n"/>
      <c r="D141" s="30" t="n"/>
      <c r="E141" s="31" t="n"/>
      <c r="F141" s="31" t="n"/>
      <c r="G141" s="29" t="n"/>
      <c r="H141" s="29" t="n"/>
      <c r="I141" s="30" t="n"/>
      <c r="J141" s="21">
        <f>IF(H141="","",IF(I141="","To send","Sent"))</f>
        <v/>
      </c>
      <c r="K141" s="29" t="n"/>
      <c r="L141" s="1" t="n"/>
      <c r="M141">
        <f>IF(B141="",0,IF(E141="",1,N(E141)))</f>
        <v/>
      </c>
      <c r="N141">
        <f>IF(B141="",0,N(F141))</f>
        <v/>
      </c>
      <c r="O141">
        <f>IF(B141="","",IF(D141="","No answer",D141))</f>
        <v/>
      </c>
    </row>
    <row r="142">
      <c r="A142" s="1" t="n"/>
      <c r="B142" s="5" t="n"/>
      <c r="C142" s="29" t="n"/>
      <c r="D142" s="30" t="n"/>
      <c r="E142" s="31" t="n"/>
      <c r="F142" s="31" t="n"/>
      <c r="G142" s="29" t="n"/>
      <c r="H142" s="29" t="n"/>
      <c r="I142" s="30" t="n"/>
      <c r="J142" s="21">
        <f>IF(H142="","",IF(I142="","To send","Sent"))</f>
        <v/>
      </c>
      <c r="K142" s="29" t="n"/>
      <c r="L142" s="1" t="n"/>
      <c r="M142">
        <f>IF(B142="",0,IF(E142="",1,N(E142)))</f>
        <v/>
      </c>
      <c r="N142">
        <f>IF(B142="",0,N(F142))</f>
        <v/>
      </c>
      <c r="O142">
        <f>IF(B142="","",IF(D142="","No answer",D142))</f>
        <v/>
      </c>
    </row>
    <row r="143">
      <c r="A143" s="1" t="n"/>
      <c r="B143" s="5" t="n"/>
      <c r="C143" s="29" t="n"/>
      <c r="D143" s="30" t="n"/>
      <c r="E143" s="31" t="n"/>
      <c r="F143" s="31" t="n"/>
      <c r="G143" s="29" t="n"/>
      <c r="H143" s="29" t="n"/>
      <c r="I143" s="30" t="n"/>
      <c r="J143" s="21">
        <f>IF(H143="","",IF(I143="","To send","Sent"))</f>
        <v/>
      </c>
      <c r="K143" s="29" t="n"/>
      <c r="L143" s="1" t="n"/>
      <c r="M143">
        <f>IF(B143="",0,IF(E143="",1,N(E143)))</f>
        <v/>
      </c>
      <c r="N143">
        <f>IF(B143="",0,N(F143))</f>
        <v/>
      </c>
      <c r="O143">
        <f>IF(B143="","",IF(D143="","No answer",D143))</f>
        <v/>
      </c>
    </row>
    <row r="144">
      <c r="A144" s="1" t="n"/>
      <c r="B144" s="5" t="n"/>
      <c r="C144" s="29" t="n"/>
      <c r="D144" s="30" t="n"/>
      <c r="E144" s="31" t="n"/>
      <c r="F144" s="31" t="n"/>
      <c r="G144" s="29" t="n"/>
      <c r="H144" s="29" t="n"/>
      <c r="I144" s="30" t="n"/>
      <c r="J144" s="21">
        <f>IF(H144="","",IF(I144="","To send","Sent"))</f>
        <v/>
      </c>
      <c r="K144" s="29" t="n"/>
      <c r="L144" s="1" t="n"/>
      <c r="M144">
        <f>IF(B144="",0,IF(E144="",1,N(E144)))</f>
        <v/>
      </c>
      <c r="N144">
        <f>IF(B144="",0,N(F144))</f>
        <v/>
      </c>
      <c r="O144">
        <f>IF(B144="","",IF(D144="","No answer",D144))</f>
        <v/>
      </c>
    </row>
    <row r="145">
      <c r="A145" s="1" t="n"/>
      <c r="B145" s="5" t="n"/>
      <c r="C145" s="29" t="n"/>
      <c r="D145" s="30" t="n"/>
      <c r="E145" s="31" t="n"/>
      <c r="F145" s="31" t="n"/>
      <c r="G145" s="29" t="n"/>
      <c r="H145" s="29" t="n"/>
      <c r="I145" s="30" t="n"/>
      <c r="J145" s="21">
        <f>IF(H145="","",IF(I145="","To send","Sent"))</f>
        <v/>
      </c>
      <c r="K145" s="29" t="n"/>
      <c r="L145" s="1" t="n"/>
      <c r="M145">
        <f>IF(B145="",0,IF(E145="",1,N(E145)))</f>
        <v/>
      </c>
      <c r="N145">
        <f>IF(B145="",0,N(F145))</f>
        <v/>
      </c>
      <c r="O145">
        <f>IF(B145="","",IF(D145="","No answer",D145))</f>
        <v/>
      </c>
    </row>
    <row r="146">
      <c r="A146" s="1" t="n"/>
      <c r="B146" s="5" t="n"/>
      <c r="C146" s="29" t="n"/>
      <c r="D146" s="30" t="n"/>
      <c r="E146" s="31" t="n"/>
      <c r="F146" s="31" t="n"/>
      <c r="G146" s="29" t="n"/>
      <c r="H146" s="29" t="n"/>
      <c r="I146" s="30" t="n"/>
      <c r="J146" s="21">
        <f>IF(H146="","",IF(I146="","To send","Sent"))</f>
        <v/>
      </c>
      <c r="K146" s="29" t="n"/>
      <c r="L146" s="1" t="n"/>
      <c r="M146">
        <f>IF(B146="",0,IF(E146="",1,N(E146)))</f>
        <v/>
      </c>
      <c r="N146">
        <f>IF(B146="",0,N(F146))</f>
        <v/>
      </c>
      <c r="O146">
        <f>IF(B146="","",IF(D146="","No answer",D146))</f>
        <v/>
      </c>
    </row>
    <row r="147">
      <c r="A147" s="1" t="n"/>
      <c r="B147" s="5" t="n"/>
      <c r="C147" s="29" t="n"/>
      <c r="D147" s="30" t="n"/>
      <c r="E147" s="31" t="n"/>
      <c r="F147" s="31" t="n"/>
      <c r="G147" s="29" t="n"/>
      <c r="H147" s="29" t="n"/>
      <c r="I147" s="30" t="n"/>
      <c r="J147" s="21">
        <f>IF(H147="","",IF(I147="","To send","Sent"))</f>
        <v/>
      </c>
      <c r="K147" s="29" t="n"/>
      <c r="L147" s="1" t="n"/>
      <c r="M147">
        <f>IF(B147="",0,IF(E147="",1,N(E147)))</f>
        <v/>
      </c>
      <c r="N147">
        <f>IF(B147="",0,N(F147))</f>
        <v/>
      </c>
      <c r="O147">
        <f>IF(B147="","",IF(D147="","No answer",D147))</f>
        <v/>
      </c>
    </row>
    <row r="148">
      <c r="A148" s="1" t="n"/>
      <c r="B148" s="5" t="n"/>
      <c r="C148" s="29" t="n"/>
      <c r="D148" s="30" t="n"/>
      <c r="E148" s="31" t="n"/>
      <c r="F148" s="31" t="n"/>
      <c r="G148" s="29" t="n"/>
      <c r="H148" s="29" t="n"/>
      <c r="I148" s="30" t="n"/>
      <c r="J148" s="21">
        <f>IF(H148="","",IF(I148="","To send","Sent"))</f>
        <v/>
      </c>
      <c r="K148" s="29" t="n"/>
      <c r="L148" s="1" t="n"/>
      <c r="M148">
        <f>IF(B148="",0,IF(E148="",1,N(E148)))</f>
        <v/>
      </c>
      <c r="N148">
        <f>IF(B148="",0,N(F148))</f>
        <v/>
      </c>
      <c r="O148">
        <f>IF(B148="","",IF(D148="","No answer",D148))</f>
        <v/>
      </c>
    </row>
    <row r="149">
      <c r="A149" s="1" t="n"/>
      <c r="B149" s="5" t="n"/>
      <c r="C149" s="29" t="n"/>
      <c r="D149" s="30" t="n"/>
      <c r="E149" s="31" t="n"/>
      <c r="F149" s="31" t="n"/>
      <c r="G149" s="29" t="n"/>
      <c r="H149" s="29" t="n"/>
      <c r="I149" s="30" t="n"/>
      <c r="J149" s="21">
        <f>IF(H149="","",IF(I149="","To send","Sent"))</f>
        <v/>
      </c>
      <c r="K149" s="29" t="n"/>
      <c r="L149" s="1" t="n"/>
      <c r="M149">
        <f>IF(B149="",0,IF(E149="",1,N(E149)))</f>
        <v/>
      </c>
      <c r="N149">
        <f>IF(B149="",0,N(F149))</f>
        <v/>
      </c>
      <c r="O149">
        <f>IF(B149="","",IF(D149="","No answer",D149))</f>
        <v/>
      </c>
    </row>
    <row r="150">
      <c r="A150" s="1" t="n"/>
      <c r="B150" s="5" t="n"/>
      <c r="C150" s="29" t="n"/>
      <c r="D150" s="30" t="n"/>
      <c r="E150" s="31" t="n"/>
      <c r="F150" s="31" t="n"/>
      <c r="G150" s="29" t="n"/>
      <c r="H150" s="29" t="n"/>
      <c r="I150" s="30" t="n"/>
      <c r="J150" s="21">
        <f>IF(H150="","",IF(I150="","To send","Sent"))</f>
        <v/>
      </c>
      <c r="K150" s="29" t="n"/>
      <c r="L150" s="1" t="n"/>
      <c r="M150">
        <f>IF(B150="",0,IF(E150="",1,N(E150)))</f>
        <v/>
      </c>
      <c r="N150">
        <f>IF(B150="",0,N(F150))</f>
        <v/>
      </c>
      <c r="O150">
        <f>IF(B150="","",IF(D150="","No answer",D150))</f>
        <v/>
      </c>
    </row>
    <row r="151">
      <c r="A151" s="1" t="n"/>
      <c r="B151" s="5" t="n"/>
      <c r="C151" s="29" t="n"/>
      <c r="D151" s="30" t="n"/>
      <c r="E151" s="31" t="n"/>
      <c r="F151" s="31" t="n"/>
      <c r="G151" s="29" t="n"/>
      <c r="H151" s="29" t="n"/>
      <c r="I151" s="30" t="n"/>
      <c r="J151" s="21">
        <f>IF(H151="","",IF(I151="","To send","Sent"))</f>
        <v/>
      </c>
      <c r="K151" s="29" t="n"/>
      <c r="L151" s="1" t="n"/>
      <c r="M151">
        <f>IF(B151="",0,IF(E151="",1,N(E151)))</f>
        <v/>
      </c>
      <c r="N151">
        <f>IF(B151="",0,N(F151))</f>
        <v/>
      </c>
      <c r="O151">
        <f>IF(B151="","",IF(D151="","No answer",D151))</f>
        <v/>
      </c>
    </row>
    <row r="152">
      <c r="A152" s="1" t="n"/>
      <c r="B152" s="5" t="n"/>
      <c r="C152" s="29" t="n"/>
      <c r="D152" s="30" t="n"/>
      <c r="E152" s="31" t="n"/>
      <c r="F152" s="31" t="n"/>
      <c r="G152" s="29" t="n"/>
      <c r="H152" s="29" t="n"/>
      <c r="I152" s="30" t="n"/>
      <c r="J152" s="21">
        <f>IF(H152="","",IF(I152="","To send","Sent"))</f>
        <v/>
      </c>
      <c r="K152" s="29" t="n"/>
      <c r="L152" s="1" t="n"/>
      <c r="M152">
        <f>IF(B152="",0,IF(E152="",1,N(E152)))</f>
        <v/>
      </c>
      <c r="N152">
        <f>IF(B152="",0,N(F152))</f>
        <v/>
      </c>
      <c r="O152">
        <f>IF(B152="","",IF(D152="","No answer",D152))</f>
        <v/>
      </c>
    </row>
    <row r="153">
      <c r="A153" s="1" t="n"/>
      <c r="B153" s="5" t="n"/>
      <c r="C153" s="29" t="n"/>
      <c r="D153" s="30" t="n"/>
      <c r="E153" s="31" t="n"/>
      <c r="F153" s="31" t="n"/>
      <c r="G153" s="29" t="n"/>
      <c r="H153" s="29" t="n"/>
      <c r="I153" s="30" t="n"/>
      <c r="J153" s="21">
        <f>IF(H153="","",IF(I153="","To send","Sent"))</f>
        <v/>
      </c>
      <c r="K153" s="29" t="n"/>
      <c r="L153" s="1" t="n"/>
      <c r="M153">
        <f>IF(B153="",0,IF(E153="",1,N(E153)))</f>
        <v/>
      </c>
      <c r="N153">
        <f>IF(B153="",0,N(F153))</f>
        <v/>
      </c>
      <c r="O153">
        <f>IF(B153="","",IF(D153="","No answer",D153))</f>
        <v/>
      </c>
    </row>
    <row r="154">
      <c r="A154" s="1" t="n"/>
      <c r="B154" s="5" t="n"/>
      <c r="C154" s="29" t="n"/>
      <c r="D154" s="30" t="n"/>
      <c r="E154" s="31" t="n"/>
      <c r="F154" s="31" t="n"/>
      <c r="G154" s="29" t="n"/>
      <c r="H154" s="29" t="n"/>
      <c r="I154" s="30" t="n"/>
      <c r="J154" s="21">
        <f>IF(H154="","",IF(I154="","To send","Sent"))</f>
        <v/>
      </c>
      <c r="K154" s="29" t="n"/>
      <c r="L154" s="1" t="n"/>
      <c r="M154">
        <f>IF(B154="",0,IF(E154="",1,N(E154)))</f>
        <v/>
      </c>
      <c r="N154">
        <f>IF(B154="",0,N(F154))</f>
        <v/>
      </c>
      <c r="O154">
        <f>IF(B154="","",IF(D154="","No answer",D154))</f>
        <v/>
      </c>
    </row>
    <row r="155">
      <c r="A155" s="1" t="n"/>
      <c r="B155" s="5" t="n"/>
      <c r="C155" s="29" t="n"/>
      <c r="D155" s="30" t="n"/>
      <c r="E155" s="31" t="n"/>
      <c r="F155" s="31" t="n"/>
      <c r="G155" s="29" t="n"/>
      <c r="H155" s="29" t="n"/>
      <c r="I155" s="30" t="n"/>
      <c r="J155" s="21">
        <f>IF(H155="","",IF(I155="","To send","Sent"))</f>
        <v/>
      </c>
      <c r="K155" s="29" t="n"/>
      <c r="L155" s="1" t="n"/>
      <c r="M155">
        <f>IF(B155="",0,IF(E155="",1,N(E155)))</f>
        <v/>
      </c>
      <c r="N155">
        <f>IF(B155="",0,N(F155))</f>
        <v/>
      </c>
      <c r="O155">
        <f>IF(B155="","",IF(D155="","No answer",D155))</f>
        <v/>
      </c>
    </row>
    <row r="156">
      <c r="A156" s="1" t="n"/>
      <c r="B156" s="5" t="n"/>
      <c r="C156" s="29" t="n"/>
      <c r="D156" s="30" t="n"/>
      <c r="E156" s="31" t="n"/>
      <c r="F156" s="31" t="n"/>
      <c r="G156" s="29" t="n"/>
      <c r="H156" s="29" t="n"/>
      <c r="I156" s="30" t="n"/>
      <c r="J156" s="21">
        <f>IF(H156="","",IF(I156="","To send","Sent"))</f>
        <v/>
      </c>
      <c r="K156" s="29" t="n"/>
      <c r="L156" s="1" t="n"/>
      <c r="M156">
        <f>IF(B156="",0,IF(E156="",1,N(E156)))</f>
        <v/>
      </c>
      <c r="N156">
        <f>IF(B156="",0,N(F156))</f>
        <v/>
      </c>
      <c r="O156">
        <f>IF(B156="","",IF(D156="","No answer",D156))</f>
        <v/>
      </c>
    </row>
    <row r="157">
      <c r="A157" s="1" t="n"/>
      <c r="B157" s="5" t="n"/>
      <c r="C157" s="29" t="n"/>
      <c r="D157" s="30" t="n"/>
      <c r="E157" s="31" t="n"/>
      <c r="F157" s="31" t="n"/>
      <c r="G157" s="29" t="n"/>
      <c r="H157" s="29" t="n"/>
      <c r="I157" s="30" t="n"/>
      <c r="J157" s="21">
        <f>IF(H157="","",IF(I157="","To send","Sent"))</f>
        <v/>
      </c>
      <c r="K157" s="29" t="n"/>
      <c r="L157" s="1" t="n"/>
      <c r="M157">
        <f>IF(B157="",0,IF(E157="",1,N(E157)))</f>
        <v/>
      </c>
      <c r="N157">
        <f>IF(B157="",0,N(F157))</f>
        <v/>
      </c>
      <c r="O157">
        <f>IF(B157="","",IF(D157="","No answer",D157))</f>
        <v/>
      </c>
    </row>
    <row r="158">
      <c r="A158" s="1" t="n"/>
      <c r="B158" s="5" t="n"/>
      <c r="C158" s="29" t="n"/>
      <c r="D158" s="30" t="n"/>
      <c r="E158" s="31" t="n"/>
      <c r="F158" s="31" t="n"/>
      <c r="G158" s="29" t="n"/>
      <c r="H158" s="29" t="n"/>
      <c r="I158" s="30" t="n"/>
      <c r="J158" s="21">
        <f>IF(H158="","",IF(I158="","To send","Sent"))</f>
        <v/>
      </c>
      <c r="K158" s="29" t="n"/>
      <c r="L158" s="1" t="n"/>
      <c r="M158">
        <f>IF(B158="",0,IF(E158="",1,N(E158)))</f>
        <v/>
      </c>
      <c r="N158">
        <f>IF(B158="",0,N(F158))</f>
        <v/>
      </c>
      <c r="O158">
        <f>IF(B158="","",IF(D158="","No answer",D158))</f>
        <v/>
      </c>
    </row>
    <row r="159">
      <c r="A159" s="1" t="n"/>
      <c r="B159" s="5" t="n"/>
      <c r="C159" s="29" t="n"/>
      <c r="D159" s="30" t="n"/>
      <c r="E159" s="31" t="n"/>
      <c r="F159" s="31" t="n"/>
      <c r="G159" s="29" t="n"/>
      <c r="H159" s="29" t="n"/>
      <c r="I159" s="30" t="n"/>
      <c r="J159" s="21">
        <f>IF(H159="","",IF(I159="","To send","Sent"))</f>
        <v/>
      </c>
      <c r="K159" s="29" t="n"/>
      <c r="L159" s="1" t="n"/>
      <c r="M159">
        <f>IF(B159="",0,IF(E159="",1,N(E159)))</f>
        <v/>
      </c>
      <c r="N159">
        <f>IF(B159="",0,N(F159))</f>
        <v/>
      </c>
      <c r="O159">
        <f>IF(B159="","",IF(D159="","No answer",D159))</f>
        <v/>
      </c>
    </row>
    <row r="160">
      <c r="A160" s="1" t="n"/>
      <c r="B160" s="5" t="n"/>
      <c r="C160" s="29" t="n"/>
      <c r="D160" s="30" t="n"/>
      <c r="E160" s="31" t="n"/>
      <c r="F160" s="31" t="n"/>
      <c r="G160" s="29" t="n"/>
      <c r="H160" s="29" t="n"/>
      <c r="I160" s="30" t="n"/>
      <c r="J160" s="21">
        <f>IF(H160="","",IF(I160="","To send","Sent"))</f>
        <v/>
      </c>
      <c r="K160" s="29" t="n"/>
      <c r="L160" s="1" t="n"/>
      <c r="M160">
        <f>IF(B160="",0,IF(E160="",1,N(E160)))</f>
        <v/>
      </c>
      <c r="N160">
        <f>IF(B160="",0,N(F160))</f>
        <v/>
      </c>
      <c r="O160">
        <f>IF(B160="","",IF(D160="","No answer",D160))</f>
        <v/>
      </c>
    </row>
    <row r="161">
      <c r="A161" s="1" t="n"/>
      <c r="B161" s="5" t="n"/>
      <c r="C161" s="29" t="n"/>
      <c r="D161" s="30" t="n"/>
      <c r="E161" s="31" t="n"/>
      <c r="F161" s="31" t="n"/>
      <c r="G161" s="29" t="n"/>
      <c r="H161" s="29" t="n"/>
      <c r="I161" s="30" t="n"/>
      <c r="J161" s="21">
        <f>IF(H161="","",IF(I161="","To send","Sent"))</f>
        <v/>
      </c>
      <c r="K161" s="29" t="n"/>
      <c r="L161" s="1" t="n"/>
      <c r="M161">
        <f>IF(B161="",0,IF(E161="",1,N(E161)))</f>
        <v/>
      </c>
      <c r="N161">
        <f>IF(B161="",0,N(F161))</f>
        <v/>
      </c>
      <c r="O161">
        <f>IF(B161="","",IF(D161="","No answer",D161))</f>
        <v/>
      </c>
    </row>
    <row r="162">
      <c r="A162" s="1" t="n"/>
      <c r="B162" s="5" t="n"/>
      <c r="C162" s="29" t="n"/>
      <c r="D162" s="30" t="n"/>
      <c r="E162" s="31" t="n"/>
      <c r="F162" s="31" t="n"/>
      <c r="G162" s="29" t="n"/>
      <c r="H162" s="29" t="n"/>
      <c r="I162" s="30" t="n"/>
      <c r="J162" s="21">
        <f>IF(H162="","",IF(I162="","To send","Sent"))</f>
        <v/>
      </c>
      <c r="K162" s="29" t="n"/>
      <c r="L162" s="1" t="n"/>
      <c r="M162">
        <f>IF(B162="",0,IF(E162="",1,N(E162)))</f>
        <v/>
      </c>
      <c r="N162">
        <f>IF(B162="",0,N(F162))</f>
        <v/>
      </c>
      <c r="O162">
        <f>IF(B162="","",IF(D162="","No answer",D162))</f>
        <v/>
      </c>
    </row>
    <row r="163">
      <c r="A163" s="1" t="n"/>
      <c r="B163" s="5" t="n"/>
      <c r="C163" s="29" t="n"/>
      <c r="D163" s="30" t="n"/>
      <c r="E163" s="31" t="n"/>
      <c r="F163" s="31" t="n"/>
      <c r="G163" s="29" t="n"/>
      <c r="H163" s="29" t="n"/>
      <c r="I163" s="30" t="n"/>
      <c r="J163" s="21">
        <f>IF(H163="","",IF(I163="","To send","Sent"))</f>
        <v/>
      </c>
      <c r="K163" s="29" t="n"/>
      <c r="L163" s="1" t="n"/>
      <c r="M163">
        <f>IF(B163="",0,IF(E163="",1,N(E163)))</f>
        <v/>
      </c>
      <c r="N163">
        <f>IF(B163="",0,N(F163))</f>
        <v/>
      </c>
      <c r="O163">
        <f>IF(B163="","",IF(D163="","No answer",D163))</f>
        <v/>
      </c>
    </row>
    <row r="164">
      <c r="A164" s="1" t="n"/>
      <c r="B164" s="5" t="n"/>
      <c r="C164" s="29" t="n"/>
      <c r="D164" s="30" t="n"/>
      <c r="E164" s="31" t="n"/>
      <c r="F164" s="31" t="n"/>
      <c r="G164" s="29" t="n"/>
      <c r="H164" s="29" t="n"/>
      <c r="I164" s="30" t="n"/>
      <c r="J164" s="21">
        <f>IF(H164="","",IF(I164="","To send","Sent"))</f>
        <v/>
      </c>
      <c r="K164" s="29" t="n"/>
      <c r="L164" s="1" t="n"/>
      <c r="M164">
        <f>IF(B164="",0,IF(E164="",1,N(E164)))</f>
        <v/>
      </c>
      <c r="N164">
        <f>IF(B164="",0,N(F164))</f>
        <v/>
      </c>
      <c r="O164">
        <f>IF(B164="","",IF(D164="","No answer",D164))</f>
        <v/>
      </c>
    </row>
    <row r="165">
      <c r="A165" s="1" t="n"/>
      <c r="B165" s="5" t="n"/>
      <c r="C165" s="29" t="n"/>
      <c r="D165" s="30" t="n"/>
      <c r="E165" s="31" t="n"/>
      <c r="F165" s="31" t="n"/>
      <c r="G165" s="29" t="n"/>
      <c r="H165" s="29" t="n"/>
      <c r="I165" s="30" t="n"/>
      <c r="J165" s="21">
        <f>IF(H165="","",IF(I165="","To send","Sent"))</f>
        <v/>
      </c>
      <c r="K165" s="29" t="n"/>
      <c r="L165" s="1" t="n"/>
      <c r="M165">
        <f>IF(B165="",0,IF(E165="",1,N(E165)))</f>
        <v/>
      </c>
      <c r="N165">
        <f>IF(B165="",0,N(F165))</f>
        <v/>
      </c>
      <c r="O165">
        <f>IF(B165="","",IF(D165="","No answer",D165))</f>
        <v/>
      </c>
    </row>
    <row r="166">
      <c r="A166" s="1" t="n"/>
      <c r="B166" s="5" t="n"/>
      <c r="C166" s="29" t="n"/>
      <c r="D166" s="30" t="n"/>
      <c r="E166" s="31" t="n"/>
      <c r="F166" s="31" t="n"/>
      <c r="G166" s="29" t="n"/>
      <c r="H166" s="29" t="n"/>
      <c r="I166" s="30" t="n"/>
      <c r="J166" s="21">
        <f>IF(H166="","",IF(I166="","To send","Sent"))</f>
        <v/>
      </c>
      <c r="K166" s="29" t="n"/>
      <c r="L166" s="1" t="n"/>
      <c r="M166">
        <f>IF(B166="",0,IF(E166="",1,N(E166)))</f>
        <v/>
      </c>
      <c r="N166">
        <f>IF(B166="",0,N(F166))</f>
        <v/>
      </c>
      <c r="O166">
        <f>IF(B166="","",IF(D166="","No answer",D166))</f>
        <v/>
      </c>
    </row>
    <row r="167">
      <c r="A167" s="1" t="n"/>
      <c r="B167" s="5" t="n"/>
      <c r="C167" s="29" t="n"/>
      <c r="D167" s="30" t="n"/>
      <c r="E167" s="31" t="n"/>
      <c r="F167" s="31" t="n"/>
      <c r="G167" s="29" t="n"/>
      <c r="H167" s="29" t="n"/>
      <c r="I167" s="30" t="n"/>
      <c r="J167" s="21">
        <f>IF(H167="","",IF(I167="","To send","Sent"))</f>
        <v/>
      </c>
      <c r="K167" s="29" t="n"/>
      <c r="L167" s="1" t="n"/>
      <c r="M167">
        <f>IF(B167="",0,IF(E167="",1,N(E167)))</f>
        <v/>
      </c>
      <c r="N167">
        <f>IF(B167="",0,N(F167))</f>
        <v/>
      </c>
      <c r="O167">
        <f>IF(B167="","",IF(D167="","No answer",D167))</f>
        <v/>
      </c>
    </row>
    <row r="168">
      <c r="A168" s="1" t="n"/>
      <c r="B168" s="5" t="n"/>
      <c r="C168" s="29" t="n"/>
      <c r="D168" s="30" t="n"/>
      <c r="E168" s="31" t="n"/>
      <c r="F168" s="31" t="n"/>
      <c r="G168" s="29" t="n"/>
      <c r="H168" s="29" t="n"/>
      <c r="I168" s="30" t="n"/>
      <c r="J168" s="21">
        <f>IF(H168="","",IF(I168="","To send","Sent"))</f>
        <v/>
      </c>
      <c r="K168" s="29" t="n"/>
      <c r="L168" s="1" t="n"/>
      <c r="M168">
        <f>IF(B168="",0,IF(E168="",1,N(E168)))</f>
        <v/>
      </c>
      <c r="N168">
        <f>IF(B168="",0,N(F168))</f>
        <v/>
      </c>
      <c r="O168">
        <f>IF(B168="","",IF(D168="","No answer",D168))</f>
        <v/>
      </c>
    </row>
    <row r="169">
      <c r="A169" s="1" t="n"/>
      <c r="B169" s="5" t="n"/>
      <c r="C169" s="29" t="n"/>
      <c r="D169" s="30" t="n"/>
      <c r="E169" s="31" t="n"/>
      <c r="F169" s="31" t="n"/>
      <c r="G169" s="29" t="n"/>
      <c r="H169" s="29" t="n"/>
      <c r="I169" s="30" t="n"/>
      <c r="J169" s="21">
        <f>IF(H169="","",IF(I169="","To send","Sent"))</f>
        <v/>
      </c>
      <c r="K169" s="29" t="n"/>
      <c r="L169" s="1" t="n"/>
      <c r="M169">
        <f>IF(B169="",0,IF(E169="",1,N(E169)))</f>
        <v/>
      </c>
      <c r="N169">
        <f>IF(B169="",0,N(F169))</f>
        <v/>
      </c>
      <c r="O169">
        <f>IF(B169="","",IF(D169="","No answer",D169))</f>
        <v/>
      </c>
    </row>
    <row r="170">
      <c r="A170" s="1" t="n"/>
      <c r="B170" s="5" t="n"/>
      <c r="C170" s="29" t="n"/>
      <c r="D170" s="30" t="n"/>
      <c r="E170" s="31" t="n"/>
      <c r="F170" s="31" t="n"/>
      <c r="G170" s="29" t="n"/>
      <c r="H170" s="29" t="n"/>
      <c r="I170" s="30" t="n"/>
      <c r="J170" s="21">
        <f>IF(H170="","",IF(I170="","To send","Sent"))</f>
        <v/>
      </c>
      <c r="K170" s="29" t="n"/>
      <c r="L170" s="1" t="n"/>
      <c r="M170">
        <f>IF(B170="",0,IF(E170="",1,N(E170)))</f>
        <v/>
      </c>
      <c r="N170">
        <f>IF(B170="",0,N(F170))</f>
        <v/>
      </c>
      <c r="O170">
        <f>IF(B170="","",IF(D170="","No answer",D170))</f>
        <v/>
      </c>
    </row>
    <row r="171">
      <c r="A171" s="1" t="n"/>
      <c r="B171" s="5" t="n"/>
      <c r="C171" s="29" t="n"/>
      <c r="D171" s="30" t="n"/>
      <c r="E171" s="31" t="n"/>
      <c r="F171" s="31" t="n"/>
      <c r="G171" s="29" t="n"/>
      <c r="H171" s="29" t="n"/>
      <c r="I171" s="30" t="n"/>
      <c r="J171" s="21">
        <f>IF(H171="","",IF(I171="","To send","Sent"))</f>
        <v/>
      </c>
      <c r="K171" s="29" t="n"/>
      <c r="L171" s="1" t="n"/>
      <c r="M171">
        <f>IF(B171="",0,IF(E171="",1,N(E171)))</f>
        <v/>
      </c>
      <c r="N171">
        <f>IF(B171="",0,N(F171))</f>
        <v/>
      </c>
      <c r="O171">
        <f>IF(B171="","",IF(D171="","No answer",D171))</f>
        <v/>
      </c>
    </row>
    <row r="172">
      <c r="A172" s="1" t="n"/>
      <c r="B172" s="5" t="n"/>
      <c r="C172" s="29" t="n"/>
      <c r="D172" s="30" t="n"/>
      <c r="E172" s="31" t="n"/>
      <c r="F172" s="31" t="n"/>
      <c r="G172" s="29" t="n"/>
      <c r="H172" s="29" t="n"/>
      <c r="I172" s="30" t="n"/>
      <c r="J172" s="21">
        <f>IF(H172="","",IF(I172="","To send","Sent"))</f>
        <v/>
      </c>
      <c r="K172" s="29" t="n"/>
      <c r="L172" s="1" t="n"/>
      <c r="M172">
        <f>IF(B172="",0,IF(E172="",1,N(E172)))</f>
        <v/>
      </c>
      <c r="N172">
        <f>IF(B172="",0,N(F172))</f>
        <v/>
      </c>
      <c r="O172">
        <f>IF(B172="","",IF(D172="","No answer",D172))</f>
        <v/>
      </c>
    </row>
    <row r="173">
      <c r="A173" s="1" t="n"/>
      <c r="B173" s="5" t="n"/>
      <c r="C173" s="29" t="n"/>
      <c r="D173" s="30" t="n"/>
      <c r="E173" s="31" t="n"/>
      <c r="F173" s="31" t="n"/>
      <c r="G173" s="29" t="n"/>
      <c r="H173" s="29" t="n"/>
      <c r="I173" s="30" t="n"/>
      <c r="J173" s="21">
        <f>IF(H173="","",IF(I173="","To send","Sent"))</f>
        <v/>
      </c>
      <c r="K173" s="29" t="n"/>
      <c r="L173" s="1" t="n"/>
      <c r="M173">
        <f>IF(B173="",0,IF(E173="",1,N(E173)))</f>
        <v/>
      </c>
      <c r="N173">
        <f>IF(B173="",0,N(F173))</f>
        <v/>
      </c>
      <c r="O173">
        <f>IF(B173="","",IF(D173="","No answer",D173))</f>
        <v/>
      </c>
    </row>
    <row r="174">
      <c r="A174" s="1" t="n"/>
      <c r="B174" s="5" t="n"/>
      <c r="C174" s="29" t="n"/>
      <c r="D174" s="30" t="n"/>
      <c r="E174" s="31" t="n"/>
      <c r="F174" s="31" t="n"/>
      <c r="G174" s="29" t="n"/>
      <c r="H174" s="29" t="n"/>
      <c r="I174" s="30" t="n"/>
      <c r="J174" s="21">
        <f>IF(H174="","",IF(I174="","To send","Sent"))</f>
        <v/>
      </c>
      <c r="K174" s="29" t="n"/>
      <c r="L174" s="1" t="n"/>
      <c r="M174">
        <f>IF(B174="",0,IF(E174="",1,N(E174)))</f>
        <v/>
      </c>
      <c r="N174">
        <f>IF(B174="",0,N(F174))</f>
        <v/>
      </c>
      <c r="O174">
        <f>IF(B174="","",IF(D174="","No answer",D174))</f>
        <v/>
      </c>
    </row>
    <row r="175">
      <c r="A175" s="1" t="n"/>
      <c r="B175" s="5" t="n"/>
      <c r="C175" s="29" t="n"/>
      <c r="D175" s="30" t="n"/>
      <c r="E175" s="31" t="n"/>
      <c r="F175" s="31" t="n"/>
      <c r="G175" s="29" t="n"/>
      <c r="H175" s="29" t="n"/>
      <c r="I175" s="30" t="n"/>
      <c r="J175" s="21">
        <f>IF(H175="","",IF(I175="","To send","Sent"))</f>
        <v/>
      </c>
      <c r="K175" s="29" t="n"/>
      <c r="L175" s="1" t="n"/>
      <c r="M175">
        <f>IF(B175="",0,IF(E175="",1,N(E175)))</f>
        <v/>
      </c>
      <c r="N175">
        <f>IF(B175="",0,N(F175))</f>
        <v/>
      </c>
      <c r="O175">
        <f>IF(B175="","",IF(D175="","No answer",D175))</f>
        <v/>
      </c>
    </row>
    <row r="176">
      <c r="A176" s="1" t="n"/>
      <c r="B176" s="5" t="n"/>
      <c r="C176" s="29" t="n"/>
      <c r="D176" s="30" t="n"/>
      <c r="E176" s="31" t="n"/>
      <c r="F176" s="31" t="n"/>
      <c r="G176" s="29" t="n"/>
      <c r="H176" s="29" t="n"/>
      <c r="I176" s="30" t="n"/>
      <c r="J176" s="21">
        <f>IF(H176="","",IF(I176="","To send","Sent"))</f>
        <v/>
      </c>
      <c r="K176" s="29" t="n"/>
      <c r="L176" s="1" t="n"/>
      <c r="M176">
        <f>IF(B176="",0,IF(E176="",1,N(E176)))</f>
        <v/>
      </c>
      <c r="N176">
        <f>IF(B176="",0,N(F176))</f>
        <v/>
      </c>
      <c r="O176">
        <f>IF(B176="","",IF(D176="","No answer",D176))</f>
        <v/>
      </c>
    </row>
    <row r="177">
      <c r="A177" s="1" t="n"/>
      <c r="B177" s="5" t="n"/>
      <c r="C177" s="29" t="n"/>
      <c r="D177" s="30" t="n"/>
      <c r="E177" s="31" t="n"/>
      <c r="F177" s="31" t="n"/>
      <c r="G177" s="29" t="n"/>
      <c r="H177" s="29" t="n"/>
      <c r="I177" s="30" t="n"/>
      <c r="J177" s="21">
        <f>IF(H177="","",IF(I177="","To send","Sent"))</f>
        <v/>
      </c>
      <c r="K177" s="29" t="n"/>
      <c r="L177" s="1" t="n"/>
      <c r="M177">
        <f>IF(B177="",0,IF(E177="",1,N(E177)))</f>
        <v/>
      </c>
      <c r="N177">
        <f>IF(B177="",0,N(F177))</f>
        <v/>
      </c>
      <c r="O177">
        <f>IF(B177="","",IF(D177="","No answer",D177))</f>
        <v/>
      </c>
    </row>
    <row r="178">
      <c r="A178" s="1" t="n"/>
      <c r="B178" s="5" t="n"/>
      <c r="C178" s="29" t="n"/>
      <c r="D178" s="30" t="n"/>
      <c r="E178" s="31" t="n"/>
      <c r="F178" s="31" t="n"/>
      <c r="G178" s="29" t="n"/>
      <c r="H178" s="29" t="n"/>
      <c r="I178" s="30" t="n"/>
      <c r="J178" s="21">
        <f>IF(H178="","",IF(I178="","To send","Sent"))</f>
        <v/>
      </c>
      <c r="K178" s="29" t="n"/>
      <c r="L178" s="1" t="n"/>
      <c r="M178">
        <f>IF(B178="",0,IF(E178="",1,N(E178)))</f>
        <v/>
      </c>
      <c r="N178">
        <f>IF(B178="",0,N(F178))</f>
        <v/>
      </c>
      <c r="O178">
        <f>IF(B178="","",IF(D178="","No answer",D178))</f>
        <v/>
      </c>
    </row>
    <row r="179">
      <c r="A179" s="1" t="n"/>
      <c r="B179" s="5" t="n"/>
      <c r="C179" s="29" t="n"/>
      <c r="D179" s="30" t="n"/>
      <c r="E179" s="31" t="n"/>
      <c r="F179" s="31" t="n"/>
      <c r="G179" s="29" t="n"/>
      <c r="H179" s="29" t="n"/>
      <c r="I179" s="30" t="n"/>
      <c r="J179" s="21">
        <f>IF(H179="","",IF(I179="","To send","Sent"))</f>
        <v/>
      </c>
      <c r="K179" s="29" t="n"/>
      <c r="L179" s="1" t="n"/>
      <c r="M179">
        <f>IF(B179="",0,IF(E179="",1,N(E179)))</f>
        <v/>
      </c>
      <c r="N179">
        <f>IF(B179="",0,N(F179))</f>
        <v/>
      </c>
      <c r="O179">
        <f>IF(B179="","",IF(D179="","No answer",D179))</f>
        <v/>
      </c>
    </row>
    <row r="180">
      <c r="A180" s="1" t="n"/>
      <c r="B180" s="5" t="n"/>
      <c r="C180" s="29" t="n"/>
      <c r="D180" s="30" t="n"/>
      <c r="E180" s="31" t="n"/>
      <c r="F180" s="31" t="n"/>
      <c r="G180" s="29" t="n"/>
      <c r="H180" s="29" t="n"/>
      <c r="I180" s="30" t="n"/>
      <c r="J180" s="21">
        <f>IF(H180="","",IF(I180="","To send","Sent"))</f>
        <v/>
      </c>
      <c r="K180" s="29" t="n"/>
      <c r="L180" s="1" t="n"/>
      <c r="M180">
        <f>IF(B180="",0,IF(E180="",1,N(E180)))</f>
        <v/>
      </c>
      <c r="N180">
        <f>IF(B180="",0,N(F180))</f>
        <v/>
      </c>
      <c r="O180">
        <f>IF(B180="","",IF(D180="","No answer",D180))</f>
        <v/>
      </c>
    </row>
    <row r="181">
      <c r="A181" s="1" t="n"/>
      <c r="B181" s="5" t="n"/>
      <c r="C181" s="29" t="n"/>
      <c r="D181" s="30" t="n"/>
      <c r="E181" s="31" t="n"/>
      <c r="F181" s="31" t="n"/>
      <c r="G181" s="29" t="n"/>
      <c r="H181" s="29" t="n"/>
      <c r="I181" s="30" t="n"/>
      <c r="J181" s="21">
        <f>IF(H181="","",IF(I181="","To send","Sent"))</f>
        <v/>
      </c>
      <c r="K181" s="29" t="n"/>
      <c r="L181" s="1" t="n"/>
      <c r="M181">
        <f>IF(B181="",0,IF(E181="",1,N(E181)))</f>
        <v/>
      </c>
      <c r="N181">
        <f>IF(B181="",0,N(F181))</f>
        <v/>
      </c>
      <c r="O181">
        <f>IF(B181="","",IF(D181="","No answer",D181))</f>
        <v/>
      </c>
    </row>
    <row r="182">
      <c r="A182" s="1" t="n"/>
      <c r="B182" s="5" t="n"/>
      <c r="C182" s="29" t="n"/>
      <c r="D182" s="30" t="n"/>
      <c r="E182" s="31" t="n"/>
      <c r="F182" s="31" t="n"/>
      <c r="G182" s="29" t="n"/>
      <c r="H182" s="29" t="n"/>
      <c r="I182" s="30" t="n"/>
      <c r="J182" s="21">
        <f>IF(H182="","",IF(I182="","To send","Sent"))</f>
        <v/>
      </c>
      <c r="K182" s="29" t="n"/>
      <c r="L182" s="1" t="n"/>
      <c r="M182">
        <f>IF(B182="",0,IF(E182="",1,N(E182)))</f>
        <v/>
      </c>
      <c r="N182">
        <f>IF(B182="",0,N(F182))</f>
        <v/>
      </c>
      <c r="O182">
        <f>IF(B182="","",IF(D182="","No answer",D182))</f>
        <v/>
      </c>
    </row>
    <row r="183">
      <c r="A183" s="1" t="n"/>
      <c r="B183" s="5" t="n"/>
      <c r="C183" s="29" t="n"/>
      <c r="D183" s="30" t="n"/>
      <c r="E183" s="31" t="n"/>
      <c r="F183" s="31" t="n"/>
      <c r="G183" s="29" t="n"/>
      <c r="H183" s="29" t="n"/>
      <c r="I183" s="30" t="n"/>
      <c r="J183" s="21">
        <f>IF(H183="","",IF(I183="","To send","Sent"))</f>
        <v/>
      </c>
      <c r="K183" s="29" t="n"/>
      <c r="L183" s="1" t="n"/>
      <c r="M183">
        <f>IF(B183="",0,IF(E183="",1,N(E183)))</f>
        <v/>
      </c>
      <c r="N183">
        <f>IF(B183="",0,N(F183))</f>
        <v/>
      </c>
      <c r="O183">
        <f>IF(B183="","",IF(D183="","No answer",D183))</f>
        <v/>
      </c>
    </row>
    <row r="184">
      <c r="A184" s="1" t="n"/>
      <c r="B184" s="5" t="n"/>
      <c r="C184" s="29" t="n"/>
      <c r="D184" s="30" t="n"/>
      <c r="E184" s="31" t="n"/>
      <c r="F184" s="31" t="n"/>
      <c r="G184" s="29" t="n"/>
      <c r="H184" s="29" t="n"/>
      <c r="I184" s="30" t="n"/>
      <c r="J184" s="21">
        <f>IF(H184="","",IF(I184="","To send","Sent"))</f>
        <v/>
      </c>
      <c r="K184" s="29" t="n"/>
      <c r="L184" s="1" t="n"/>
      <c r="M184">
        <f>IF(B184="",0,IF(E184="",1,N(E184)))</f>
        <v/>
      </c>
      <c r="N184">
        <f>IF(B184="",0,N(F184))</f>
        <v/>
      </c>
      <c r="O184">
        <f>IF(B184="","",IF(D184="","No answer",D184))</f>
        <v/>
      </c>
    </row>
    <row r="185">
      <c r="A185" s="1" t="n"/>
      <c r="B185" s="5" t="n"/>
      <c r="C185" s="29" t="n"/>
      <c r="D185" s="30" t="n"/>
      <c r="E185" s="31" t="n"/>
      <c r="F185" s="31" t="n"/>
      <c r="G185" s="29" t="n"/>
      <c r="H185" s="29" t="n"/>
      <c r="I185" s="30" t="n"/>
      <c r="J185" s="21">
        <f>IF(H185="","",IF(I185="","To send","Sent"))</f>
        <v/>
      </c>
      <c r="K185" s="29" t="n"/>
      <c r="L185" s="1" t="n"/>
      <c r="M185">
        <f>IF(B185="",0,IF(E185="",1,N(E185)))</f>
        <v/>
      </c>
      <c r="N185">
        <f>IF(B185="",0,N(F185))</f>
        <v/>
      </c>
      <c r="O185">
        <f>IF(B185="","",IF(D185="","No answer",D185))</f>
        <v/>
      </c>
    </row>
    <row r="186">
      <c r="A186" s="1" t="n"/>
      <c r="B186" s="5" t="n"/>
      <c r="C186" s="29" t="n"/>
      <c r="D186" s="30" t="n"/>
      <c r="E186" s="31" t="n"/>
      <c r="F186" s="31" t="n"/>
      <c r="G186" s="29" t="n"/>
      <c r="H186" s="29" t="n"/>
      <c r="I186" s="30" t="n"/>
      <c r="J186" s="21">
        <f>IF(H186="","",IF(I186="","To send","Sent"))</f>
        <v/>
      </c>
      <c r="K186" s="29" t="n"/>
      <c r="L186" s="1" t="n"/>
      <c r="M186">
        <f>IF(B186="",0,IF(E186="",1,N(E186)))</f>
        <v/>
      </c>
      <c r="N186">
        <f>IF(B186="",0,N(F186))</f>
        <v/>
      </c>
      <c r="O186">
        <f>IF(B186="","",IF(D186="","No answer",D186))</f>
        <v/>
      </c>
    </row>
    <row r="187">
      <c r="A187" s="1" t="n"/>
      <c r="B187" s="5" t="n"/>
      <c r="C187" s="29" t="n"/>
      <c r="D187" s="30" t="n"/>
      <c r="E187" s="31" t="n"/>
      <c r="F187" s="31" t="n"/>
      <c r="G187" s="29" t="n"/>
      <c r="H187" s="29" t="n"/>
      <c r="I187" s="30" t="n"/>
      <c r="J187" s="21">
        <f>IF(H187="","",IF(I187="","To send","Sent"))</f>
        <v/>
      </c>
      <c r="K187" s="29" t="n"/>
      <c r="L187" s="1" t="n"/>
      <c r="M187">
        <f>IF(B187="",0,IF(E187="",1,N(E187)))</f>
        <v/>
      </c>
      <c r="N187">
        <f>IF(B187="",0,N(F187))</f>
        <v/>
      </c>
      <c r="O187">
        <f>IF(B187="","",IF(D187="","No answer",D187))</f>
        <v/>
      </c>
    </row>
    <row r="188">
      <c r="A188" s="1" t="n"/>
      <c r="B188" s="5" t="n"/>
      <c r="C188" s="29" t="n"/>
      <c r="D188" s="30" t="n"/>
      <c r="E188" s="31" t="n"/>
      <c r="F188" s="31" t="n"/>
      <c r="G188" s="29" t="n"/>
      <c r="H188" s="29" t="n"/>
      <c r="I188" s="30" t="n"/>
      <c r="J188" s="21">
        <f>IF(H188="","",IF(I188="","To send","Sent"))</f>
        <v/>
      </c>
      <c r="K188" s="29" t="n"/>
      <c r="L188" s="1" t="n"/>
      <c r="M188">
        <f>IF(B188="",0,IF(E188="",1,N(E188)))</f>
        <v/>
      </c>
      <c r="N188">
        <f>IF(B188="",0,N(F188))</f>
        <v/>
      </c>
      <c r="O188">
        <f>IF(B188="","",IF(D188="","No answer",D188))</f>
        <v/>
      </c>
    </row>
    <row r="189">
      <c r="A189" s="1" t="n"/>
      <c r="B189" s="5" t="n"/>
      <c r="C189" s="29" t="n"/>
      <c r="D189" s="30" t="n"/>
      <c r="E189" s="31" t="n"/>
      <c r="F189" s="31" t="n"/>
      <c r="G189" s="29" t="n"/>
      <c r="H189" s="29" t="n"/>
      <c r="I189" s="30" t="n"/>
      <c r="J189" s="21">
        <f>IF(H189="","",IF(I189="","To send","Sent"))</f>
        <v/>
      </c>
      <c r="K189" s="29" t="n"/>
      <c r="L189" s="1" t="n"/>
      <c r="M189">
        <f>IF(B189="",0,IF(E189="",1,N(E189)))</f>
        <v/>
      </c>
      <c r="N189">
        <f>IF(B189="",0,N(F189))</f>
        <v/>
      </c>
      <c r="O189">
        <f>IF(B189="","",IF(D189="","No answer",D189))</f>
        <v/>
      </c>
    </row>
    <row r="190">
      <c r="A190" s="1" t="n"/>
      <c r="B190" s="5" t="n"/>
      <c r="C190" s="29" t="n"/>
      <c r="D190" s="30" t="n"/>
      <c r="E190" s="31" t="n"/>
      <c r="F190" s="31" t="n"/>
      <c r="G190" s="29" t="n"/>
      <c r="H190" s="29" t="n"/>
      <c r="I190" s="30" t="n"/>
      <c r="J190" s="21">
        <f>IF(H190="","",IF(I190="","To send","Sent"))</f>
        <v/>
      </c>
      <c r="K190" s="29" t="n"/>
      <c r="L190" s="1" t="n"/>
      <c r="M190">
        <f>IF(B190="",0,IF(E190="",1,N(E190)))</f>
        <v/>
      </c>
      <c r="N190">
        <f>IF(B190="",0,N(F190))</f>
        <v/>
      </c>
      <c r="O190">
        <f>IF(B190="","",IF(D190="","No answer",D190))</f>
        <v/>
      </c>
    </row>
    <row r="191">
      <c r="A191" s="1" t="n"/>
      <c r="B191" s="5" t="n"/>
      <c r="C191" s="29" t="n"/>
      <c r="D191" s="30" t="n"/>
      <c r="E191" s="31" t="n"/>
      <c r="F191" s="31" t="n"/>
      <c r="G191" s="29" t="n"/>
      <c r="H191" s="29" t="n"/>
      <c r="I191" s="30" t="n"/>
      <c r="J191" s="21">
        <f>IF(H191="","",IF(I191="","To send","Sent"))</f>
        <v/>
      </c>
      <c r="K191" s="29" t="n"/>
      <c r="L191" s="1" t="n"/>
      <c r="M191">
        <f>IF(B191="",0,IF(E191="",1,N(E191)))</f>
        <v/>
      </c>
      <c r="N191">
        <f>IF(B191="",0,N(F191))</f>
        <v/>
      </c>
      <c r="O191">
        <f>IF(B191="","",IF(D191="","No answer",D191))</f>
        <v/>
      </c>
    </row>
    <row r="192">
      <c r="A192" s="1" t="n"/>
      <c r="B192" s="5" t="n"/>
      <c r="C192" s="29" t="n"/>
      <c r="D192" s="30" t="n"/>
      <c r="E192" s="31" t="n"/>
      <c r="F192" s="31" t="n"/>
      <c r="G192" s="29" t="n"/>
      <c r="H192" s="29" t="n"/>
      <c r="I192" s="30" t="n"/>
      <c r="J192" s="21">
        <f>IF(H192="","",IF(I192="","To send","Sent"))</f>
        <v/>
      </c>
      <c r="K192" s="29" t="n"/>
      <c r="L192" s="1" t="n"/>
      <c r="M192">
        <f>IF(B192="",0,IF(E192="",1,N(E192)))</f>
        <v/>
      </c>
      <c r="N192">
        <f>IF(B192="",0,N(F192))</f>
        <v/>
      </c>
      <c r="O192">
        <f>IF(B192="","",IF(D192="","No answer",D192))</f>
        <v/>
      </c>
    </row>
    <row r="193">
      <c r="A193" s="1" t="n"/>
      <c r="B193" s="5" t="n"/>
      <c r="C193" s="29" t="n"/>
      <c r="D193" s="30" t="n"/>
      <c r="E193" s="31" t="n"/>
      <c r="F193" s="31" t="n"/>
      <c r="G193" s="29" t="n"/>
      <c r="H193" s="29" t="n"/>
      <c r="I193" s="30" t="n"/>
      <c r="J193" s="21">
        <f>IF(H193="","",IF(I193="","To send","Sent"))</f>
        <v/>
      </c>
      <c r="K193" s="29" t="n"/>
      <c r="L193" s="1" t="n"/>
      <c r="M193">
        <f>IF(B193="",0,IF(E193="",1,N(E193)))</f>
        <v/>
      </c>
      <c r="N193">
        <f>IF(B193="",0,N(F193))</f>
        <v/>
      </c>
      <c r="O193">
        <f>IF(B193="","",IF(D193="","No answer",D193))</f>
        <v/>
      </c>
    </row>
    <row r="194">
      <c r="A194" s="1" t="n"/>
      <c r="B194" s="5" t="n"/>
      <c r="C194" s="29" t="n"/>
      <c r="D194" s="30" t="n"/>
      <c r="E194" s="31" t="n"/>
      <c r="F194" s="31" t="n"/>
      <c r="G194" s="29" t="n"/>
      <c r="H194" s="29" t="n"/>
      <c r="I194" s="30" t="n"/>
      <c r="J194" s="21">
        <f>IF(H194="","",IF(I194="","To send","Sent"))</f>
        <v/>
      </c>
      <c r="K194" s="29" t="n"/>
      <c r="L194" s="1" t="n"/>
      <c r="M194">
        <f>IF(B194="",0,IF(E194="",1,N(E194)))</f>
        <v/>
      </c>
      <c r="N194">
        <f>IF(B194="",0,N(F194))</f>
        <v/>
      </c>
      <c r="O194">
        <f>IF(B194="","",IF(D194="","No answer",D194))</f>
        <v/>
      </c>
    </row>
    <row r="195">
      <c r="A195" s="1" t="n"/>
      <c r="B195" s="5" t="n"/>
      <c r="C195" s="29" t="n"/>
      <c r="D195" s="30" t="n"/>
      <c r="E195" s="31" t="n"/>
      <c r="F195" s="31" t="n"/>
      <c r="G195" s="29" t="n"/>
      <c r="H195" s="29" t="n"/>
      <c r="I195" s="30" t="n"/>
      <c r="J195" s="21">
        <f>IF(H195="","",IF(I195="","To send","Sent"))</f>
        <v/>
      </c>
      <c r="K195" s="29" t="n"/>
      <c r="L195" s="1" t="n"/>
      <c r="M195">
        <f>IF(B195="",0,IF(E195="",1,N(E195)))</f>
        <v/>
      </c>
      <c r="N195">
        <f>IF(B195="",0,N(F195))</f>
        <v/>
      </c>
      <c r="O195">
        <f>IF(B195="","",IF(D195="","No answer",D195))</f>
        <v/>
      </c>
    </row>
    <row r="196">
      <c r="A196" s="1" t="n"/>
      <c r="B196" s="5" t="n"/>
      <c r="C196" s="29" t="n"/>
      <c r="D196" s="30" t="n"/>
      <c r="E196" s="31" t="n"/>
      <c r="F196" s="31" t="n"/>
      <c r="G196" s="29" t="n"/>
      <c r="H196" s="29" t="n"/>
      <c r="I196" s="30" t="n"/>
      <c r="J196" s="21">
        <f>IF(H196="","",IF(I196="","To send","Sent"))</f>
        <v/>
      </c>
      <c r="K196" s="29" t="n"/>
      <c r="L196" s="1" t="n"/>
      <c r="M196">
        <f>IF(B196="",0,IF(E196="",1,N(E196)))</f>
        <v/>
      </c>
      <c r="N196">
        <f>IF(B196="",0,N(F196))</f>
        <v/>
      </c>
      <c r="O196">
        <f>IF(B196="","",IF(D196="","No answer",D196))</f>
        <v/>
      </c>
    </row>
    <row r="197">
      <c r="A197" s="1" t="n"/>
      <c r="B197" s="5" t="n"/>
      <c r="C197" s="29" t="n"/>
      <c r="D197" s="30" t="n"/>
      <c r="E197" s="31" t="n"/>
      <c r="F197" s="31" t="n"/>
      <c r="G197" s="29" t="n"/>
      <c r="H197" s="29" t="n"/>
      <c r="I197" s="30" t="n"/>
      <c r="J197" s="21">
        <f>IF(H197="","",IF(I197="","To send","Sent"))</f>
        <v/>
      </c>
      <c r="K197" s="29" t="n"/>
      <c r="L197" s="1" t="n"/>
      <c r="M197">
        <f>IF(B197="",0,IF(E197="",1,N(E197)))</f>
        <v/>
      </c>
      <c r="N197">
        <f>IF(B197="",0,N(F197))</f>
        <v/>
      </c>
      <c r="O197">
        <f>IF(B197="","",IF(D197="","No answer",D197))</f>
        <v/>
      </c>
    </row>
    <row r="198">
      <c r="A198" s="1" t="n"/>
      <c r="B198" s="5" t="n"/>
      <c r="C198" s="29" t="n"/>
      <c r="D198" s="30" t="n"/>
      <c r="E198" s="31" t="n"/>
      <c r="F198" s="31" t="n"/>
      <c r="G198" s="29" t="n"/>
      <c r="H198" s="29" t="n"/>
      <c r="I198" s="30" t="n"/>
      <c r="J198" s="21">
        <f>IF(H198="","",IF(I198="","To send","Sent"))</f>
        <v/>
      </c>
      <c r="K198" s="29" t="n"/>
      <c r="L198" s="1" t="n"/>
      <c r="M198">
        <f>IF(B198="",0,IF(E198="",1,N(E198)))</f>
        <v/>
      </c>
      <c r="N198">
        <f>IF(B198="",0,N(F198))</f>
        <v/>
      </c>
      <c r="O198">
        <f>IF(B198="","",IF(D198="","No answer",D198))</f>
        <v/>
      </c>
    </row>
    <row r="199">
      <c r="A199" s="1" t="n"/>
      <c r="B199" s="5" t="n"/>
      <c r="C199" s="29" t="n"/>
      <c r="D199" s="30" t="n"/>
      <c r="E199" s="31" t="n"/>
      <c r="F199" s="31" t="n"/>
      <c r="G199" s="29" t="n"/>
      <c r="H199" s="29" t="n"/>
      <c r="I199" s="30" t="n"/>
      <c r="J199" s="21">
        <f>IF(H199="","",IF(I199="","To send","Sent"))</f>
        <v/>
      </c>
      <c r="K199" s="29" t="n"/>
      <c r="L199" s="1" t="n"/>
      <c r="M199">
        <f>IF(B199="",0,IF(E199="",1,N(E199)))</f>
        <v/>
      </c>
      <c r="N199">
        <f>IF(B199="",0,N(F199))</f>
        <v/>
      </c>
      <c r="O199">
        <f>IF(B199="","",IF(D199="","No answer",D199))</f>
        <v/>
      </c>
    </row>
    <row r="200">
      <c r="A200" s="1" t="n"/>
      <c r="B200" s="5" t="n"/>
      <c r="C200" s="29" t="n"/>
      <c r="D200" s="30" t="n"/>
      <c r="E200" s="31" t="n"/>
      <c r="F200" s="31" t="n"/>
      <c r="G200" s="29" t="n"/>
      <c r="H200" s="29" t="n"/>
      <c r="I200" s="30" t="n"/>
      <c r="J200" s="21">
        <f>IF(H200="","",IF(I200="","To send","Sent"))</f>
        <v/>
      </c>
      <c r="K200" s="29" t="n"/>
      <c r="L200" s="1" t="n"/>
      <c r="M200">
        <f>IF(B200="",0,IF(E200="",1,N(E200)))</f>
        <v/>
      </c>
      <c r="N200">
        <f>IF(B200="",0,N(F200))</f>
        <v/>
      </c>
      <c r="O200">
        <f>IF(B200="","",IF(D200="","No answer",D200))</f>
        <v/>
      </c>
    </row>
    <row r="201">
      <c r="A201" s="1" t="n"/>
      <c r="B201" s="5" t="n"/>
      <c r="C201" s="29" t="n"/>
      <c r="D201" s="30" t="n"/>
      <c r="E201" s="31" t="n"/>
      <c r="F201" s="31" t="n"/>
      <c r="G201" s="29" t="n"/>
      <c r="H201" s="29" t="n"/>
      <c r="I201" s="30" t="n"/>
      <c r="J201" s="21">
        <f>IF(H201="","",IF(I201="","To send","Sent"))</f>
        <v/>
      </c>
      <c r="K201" s="29" t="n"/>
      <c r="L201" s="1" t="n"/>
      <c r="M201">
        <f>IF(B201="",0,IF(E201="",1,N(E201)))</f>
        <v/>
      </c>
      <c r="N201">
        <f>IF(B201="",0,N(F201))</f>
        <v/>
      </c>
      <c r="O201">
        <f>IF(B201="","",IF(D201="","No answer",D201))</f>
        <v/>
      </c>
    </row>
    <row r="202">
      <c r="A202" s="1" t="n"/>
      <c r="B202" s="5" t="n"/>
      <c r="C202" s="29" t="n"/>
      <c r="D202" s="30" t="n"/>
      <c r="E202" s="31" t="n"/>
      <c r="F202" s="31" t="n"/>
      <c r="G202" s="29" t="n"/>
      <c r="H202" s="29" t="n"/>
      <c r="I202" s="30" t="n"/>
      <c r="J202" s="21">
        <f>IF(H202="","",IF(I202="","To send","Sent"))</f>
        <v/>
      </c>
      <c r="K202" s="29" t="n"/>
      <c r="L202" s="1" t="n"/>
      <c r="M202">
        <f>IF(B202="",0,IF(E202="",1,N(E202)))</f>
        <v/>
      </c>
      <c r="N202">
        <f>IF(B202="",0,N(F202))</f>
        <v/>
      </c>
      <c r="O202">
        <f>IF(B202="","",IF(D202="","No answer",D202))</f>
        <v/>
      </c>
    </row>
    <row r="203">
      <c r="A203" s="1" t="n"/>
      <c r="B203" s="5" t="n"/>
      <c r="C203" s="29" t="n"/>
      <c r="D203" s="30" t="n"/>
      <c r="E203" s="31" t="n"/>
      <c r="F203" s="31" t="n"/>
      <c r="G203" s="29" t="n"/>
      <c r="H203" s="29" t="n"/>
      <c r="I203" s="30" t="n"/>
      <c r="J203" s="21">
        <f>IF(H203="","",IF(I203="","To send","Sent"))</f>
        <v/>
      </c>
      <c r="K203" s="29" t="n"/>
      <c r="L203" s="1" t="n"/>
      <c r="M203">
        <f>IF(B203="",0,IF(E203="",1,N(E203)))</f>
        <v/>
      </c>
      <c r="N203">
        <f>IF(B203="",0,N(F203))</f>
        <v/>
      </c>
      <c r="O203">
        <f>IF(B203="","",IF(D203="","No answer",D203))</f>
        <v/>
      </c>
    </row>
    <row r="204">
      <c r="A204" s="1" t="n"/>
      <c r="B204" s="5" t="n"/>
      <c r="C204" s="29" t="n"/>
      <c r="D204" s="30" t="n"/>
      <c r="E204" s="31" t="n"/>
      <c r="F204" s="31" t="n"/>
      <c r="G204" s="29" t="n"/>
      <c r="H204" s="29" t="n"/>
      <c r="I204" s="30" t="n"/>
      <c r="J204" s="21">
        <f>IF(H204="","",IF(I204="","To send","Sent"))</f>
        <v/>
      </c>
      <c r="K204" s="29" t="n"/>
      <c r="L204" s="1" t="n"/>
      <c r="M204">
        <f>IF(B204="",0,IF(E204="",1,N(E204)))</f>
        <v/>
      </c>
      <c r="N204">
        <f>IF(B204="",0,N(F204))</f>
        <v/>
      </c>
      <c r="O204">
        <f>IF(B204="","",IF(D204="","No answer",D204))</f>
        <v/>
      </c>
    </row>
    <row r="205">
      <c r="A205" s="1" t="n"/>
      <c r="B205" s="5" t="n"/>
      <c r="C205" s="29" t="n"/>
      <c r="D205" s="30" t="n"/>
      <c r="E205" s="31" t="n"/>
      <c r="F205" s="31" t="n"/>
      <c r="G205" s="29" t="n"/>
      <c r="H205" s="29" t="n"/>
      <c r="I205" s="30" t="n"/>
      <c r="J205" s="21">
        <f>IF(H205="","",IF(I205="","To send","Sent"))</f>
        <v/>
      </c>
      <c r="K205" s="29" t="n"/>
      <c r="L205" s="1" t="n"/>
      <c r="M205">
        <f>IF(B205="",0,IF(E205="",1,N(E205)))</f>
        <v/>
      </c>
      <c r="N205">
        <f>IF(B205="",0,N(F205))</f>
        <v/>
      </c>
      <c r="O205">
        <f>IF(B205="","",IF(D205="","No answer",D205))</f>
        <v/>
      </c>
    </row>
    <row r="206">
      <c r="A206" s="1" t="n"/>
      <c r="B206" s="5" t="n"/>
      <c r="C206" s="29" t="n"/>
      <c r="D206" s="30" t="n"/>
      <c r="E206" s="31" t="n"/>
      <c r="F206" s="31" t="n"/>
      <c r="G206" s="29" t="n"/>
      <c r="H206" s="29" t="n"/>
      <c r="I206" s="30" t="n"/>
      <c r="J206" s="21">
        <f>IF(H206="","",IF(I206="","To send","Sent"))</f>
        <v/>
      </c>
      <c r="K206" s="29" t="n"/>
      <c r="L206" s="1" t="n"/>
      <c r="M206">
        <f>IF(B206="",0,IF(E206="",1,N(E206)))</f>
        <v/>
      </c>
      <c r="N206">
        <f>IF(B206="",0,N(F206))</f>
        <v/>
      </c>
      <c r="O206">
        <f>IF(B206="","",IF(D206="","No answer",D206))</f>
        <v/>
      </c>
    </row>
    <row r="207">
      <c r="A207" s="1" t="n"/>
      <c r="B207" s="5" t="n"/>
      <c r="C207" s="29" t="n"/>
      <c r="D207" s="30" t="n"/>
      <c r="E207" s="31" t="n"/>
      <c r="F207" s="31" t="n"/>
      <c r="G207" s="29" t="n"/>
      <c r="H207" s="29" t="n"/>
      <c r="I207" s="30" t="n"/>
      <c r="J207" s="21">
        <f>IF(H207="","",IF(I207="","To send","Sent"))</f>
        <v/>
      </c>
      <c r="K207" s="29" t="n"/>
      <c r="L207" s="1" t="n"/>
      <c r="M207">
        <f>IF(B207="",0,IF(E207="",1,N(E207)))</f>
        <v/>
      </c>
      <c r="N207">
        <f>IF(B207="",0,N(F207))</f>
        <v/>
      </c>
      <c r="O207">
        <f>IF(B207="","",IF(D207="","No answer",D207))</f>
        <v/>
      </c>
    </row>
    <row r="208">
      <c r="A208" s="1" t="n"/>
      <c r="B208" s="5" t="n"/>
      <c r="C208" s="29" t="n"/>
      <c r="D208" s="30" t="n"/>
      <c r="E208" s="31" t="n"/>
      <c r="F208" s="31" t="n"/>
      <c r="G208" s="29" t="n"/>
      <c r="H208" s="29" t="n"/>
      <c r="I208" s="30" t="n"/>
      <c r="J208" s="21">
        <f>IF(H208="","",IF(I208="","To send","Sent"))</f>
        <v/>
      </c>
      <c r="K208" s="29" t="n"/>
      <c r="L208" s="1" t="n"/>
      <c r="M208">
        <f>IF(B208="",0,IF(E208="",1,N(E208)))</f>
        <v/>
      </c>
      <c r="N208">
        <f>IF(B208="",0,N(F208))</f>
        <v/>
      </c>
      <c r="O208">
        <f>IF(B208="","",IF(D208="","No answer",D208))</f>
        <v/>
      </c>
    </row>
    <row r="209">
      <c r="A209" s="1" t="n"/>
      <c r="B209" s="5" t="n"/>
      <c r="C209" s="29" t="n"/>
      <c r="D209" s="30" t="n"/>
      <c r="E209" s="31" t="n"/>
      <c r="F209" s="31" t="n"/>
      <c r="G209" s="29" t="n"/>
      <c r="H209" s="29" t="n"/>
      <c r="I209" s="30" t="n"/>
      <c r="J209" s="21">
        <f>IF(H209="","",IF(I209="","To send","Sent"))</f>
        <v/>
      </c>
      <c r="K209" s="29" t="n"/>
      <c r="L209" s="1" t="n"/>
      <c r="M209">
        <f>IF(B209="",0,IF(E209="",1,N(E209)))</f>
        <v/>
      </c>
      <c r="N209">
        <f>IF(B209="",0,N(F209))</f>
        <v/>
      </c>
      <c r="O209">
        <f>IF(B209="","",IF(D209="","No answer",D209))</f>
        <v/>
      </c>
    </row>
    <row r="210">
      <c r="A210" s="1" t="n"/>
      <c r="B210" s="5" t="n"/>
      <c r="C210" s="29" t="n"/>
      <c r="D210" s="30" t="n"/>
      <c r="E210" s="31" t="n"/>
      <c r="F210" s="31" t="n"/>
      <c r="G210" s="29" t="n"/>
      <c r="H210" s="29" t="n"/>
      <c r="I210" s="30" t="n"/>
      <c r="J210" s="21">
        <f>IF(H210="","",IF(I210="","To send","Sent"))</f>
        <v/>
      </c>
      <c r="K210" s="29" t="n"/>
      <c r="L210" s="1" t="n"/>
      <c r="M210">
        <f>IF(B210="",0,IF(E210="",1,N(E210)))</f>
        <v/>
      </c>
      <c r="N210">
        <f>IF(B210="",0,N(F210))</f>
        <v/>
      </c>
      <c r="O210">
        <f>IF(B210="","",IF(D210="","No answer",D210))</f>
        <v/>
      </c>
    </row>
    <row r="211">
      <c r="A211" s="1" t="n"/>
      <c r="B211" s="5" t="n"/>
      <c r="C211" s="29" t="n"/>
      <c r="D211" s="30" t="n"/>
      <c r="E211" s="31" t="n"/>
      <c r="F211" s="31" t="n"/>
      <c r="G211" s="29" t="n"/>
      <c r="H211" s="29" t="n"/>
      <c r="I211" s="30" t="n"/>
      <c r="J211" s="21">
        <f>IF(H211="","",IF(I211="","To send","Sent"))</f>
        <v/>
      </c>
      <c r="K211" s="29" t="n"/>
      <c r="L211" s="1" t="n"/>
      <c r="M211">
        <f>IF(B211="",0,IF(E211="",1,N(E211)))</f>
        <v/>
      </c>
      <c r="N211">
        <f>IF(B211="",0,N(F211))</f>
        <v/>
      </c>
      <c r="O211">
        <f>IF(B211="","",IF(D211="","No answer",D211))</f>
        <v/>
      </c>
    </row>
    <row r="212">
      <c r="A212" s="1" t="n"/>
      <c r="B212" s="5" t="n"/>
      <c r="C212" s="29" t="n"/>
      <c r="D212" s="30" t="n"/>
      <c r="E212" s="31" t="n"/>
      <c r="F212" s="31" t="n"/>
      <c r="G212" s="29" t="n"/>
      <c r="H212" s="29" t="n"/>
      <c r="I212" s="30" t="n"/>
      <c r="J212" s="21">
        <f>IF(H212="","",IF(I212="","To send","Sent"))</f>
        <v/>
      </c>
      <c r="K212" s="29" t="n"/>
      <c r="L212" s="1" t="n"/>
      <c r="M212">
        <f>IF(B212="",0,IF(E212="",1,N(E212)))</f>
        <v/>
      </c>
      <c r="N212">
        <f>IF(B212="",0,N(F212))</f>
        <v/>
      </c>
      <c r="O212">
        <f>IF(B212="","",IF(D212="","No answer",D212))</f>
        <v/>
      </c>
    </row>
    <row r="213">
      <c r="A213" s="1" t="n"/>
      <c r="B213" s="5" t="n"/>
      <c r="C213" s="29" t="n"/>
      <c r="D213" s="30" t="n"/>
      <c r="E213" s="31" t="n"/>
      <c r="F213" s="31" t="n"/>
      <c r="G213" s="29" t="n"/>
      <c r="H213" s="29" t="n"/>
      <c r="I213" s="30" t="n"/>
      <c r="J213" s="21">
        <f>IF(H213="","",IF(I213="","To send","Sent"))</f>
        <v/>
      </c>
      <c r="K213" s="29" t="n"/>
      <c r="L213" s="1" t="n"/>
      <c r="M213">
        <f>IF(B213="",0,IF(E213="",1,N(E213)))</f>
        <v/>
      </c>
      <c r="N213">
        <f>IF(B213="",0,N(F213))</f>
        <v/>
      </c>
      <c r="O213">
        <f>IF(B213="","",IF(D213="","No answer",D213))</f>
        <v/>
      </c>
    </row>
    <row r="214">
      <c r="A214" s="1" t="n"/>
      <c r="B214" s="5" t="n"/>
      <c r="C214" s="29" t="n"/>
      <c r="D214" s="30" t="n"/>
      <c r="E214" s="31" t="n"/>
      <c r="F214" s="31" t="n"/>
      <c r="G214" s="29" t="n"/>
      <c r="H214" s="29" t="n"/>
      <c r="I214" s="30" t="n"/>
      <c r="J214" s="21">
        <f>IF(H214="","",IF(I214="","To send","Sent"))</f>
        <v/>
      </c>
      <c r="K214" s="29" t="n"/>
      <c r="L214" s="1" t="n"/>
      <c r="M214">
        <f>IF(B214="",0,IF(E214="",1,N(E214)))</f>
        <v/>
      </c>
      <c r="N214">
        <f>IF(B214="",0,N(F214))</f>
        <v/>
      </c>
      <c r="O214">
        <f>IF(B214="","",IF(D214="","No answer",D214))</f>
        <v/>
      </c>
    </row>
    <row r="215">
      <c r="A215" s="1" t="n"/>
      <c r="B215" s="5" t="n"/>
      <c r="C215" s="29" t="n"/>
      <c r="D215" s="30" t="n"/>
      <c r="E215" s="31" t="n"/>
      <c r="F215" s="31" t="n"/>
      <c r="G215" s="29" t="n"/>
      <c r="H215" s="29" t="n"/>
      <c r="I215" s="30" t="n"/>
      <c r="J215" s="21">
        <f>IF(H215="","",IF(I215="","To send","Sent"))</f>
        <v/>
      </c>
      <c r="K215" s="29" t="n"/>
      <c r="L215" s="1" t="n"/>
      <c r="M215">
        <f>IF(B215="",0,IF(E215="",1,N(E215)))</f>
        <v/>
      </c>
      <c r="N215">
        <f>IF(B215="",0,N(F215))</f>
        <v/>
      </c>
      <c r="O215">
        <f>IF(B215="","",IF(D215="","No answer",D215))</f>
        <v/>
      </c>
    </row>
    <row r="216">
      <c r="A216" s="1" t="n"/>
      <c r="B216" s="5" t="n"/>
      <c r="C216" s="29" t="n"/>
      <c r="D216" s="30" t="n"/>
      <c r="E216" s="31" t="n"/>
      <c r="F216" s="31" t="n"/>
      <c r="G216" s="29" t="n"/>
      <c r="H216" s="29" t="n"/>
      <c r="I216" s="30" t="n"/>
      <c r="J216" s="21">
        <f>IF(H216="","",IF(I216="","To send","Sent"))</f>
        <v/>
      </c>
      <c r="K216" s="29" t="n"/>
      <c r="L216" s="1" t="n"/>
      <c r="M216">
        <f>IF(B216="",0,IF(E216="",1,N(E216)))</f>
        <v/>
      </c>
      <c r="N216">
        <f>IF(B216="",0,N(F216))</f>
        <v/>
      </c>
      <c r="O216">
        <f>IF(B216="","",IF(D216="","No answer",D216))</f>
        <v/>
      </c>
    </row>
    <row r="217">
      <c r="A217" s="1" t="n"/>
      <c r="B217" s="5" t="n"/>
      <c r="C217" s="29" t="n"/>
      <c r="D217" s="30" t="n"/>
      <c r="E217" s="31" t="n"/>
      <c r="F217" s="31" t="n"/>
      <c r="G217" s="29" t="n"/>
      <c r="H217" s="29" t="n"/>
      <c r="I217" s="30" t="n"/>
      <c r="J217" s="21">
        <f>IF(H217="","",IF(I217="","To send","Sent"))</f>
        <v/>
      </c>
      <c r="K217" s="29" t="n"/>
      <c r="L217" s="1" t="n"/>
      <c r="M217">
        <f>IF(B217="",0,IF(E217="",1,N(E217)))</f>
        <v/>
      </c>
      <c r="N217">
        <f>IF(B217="",0,N(F217))</f>
        <v/>
      </c>
      <c r="O217">
        <f>IF(B217="","",IF(D217="","No answer",D217))</f>
        <v/>
      </c>
    </row>
    <row r="218">
      <c r="A218" s="1" t="n"/>
      <c r="B218" s="5" t="n"/>
      <c r="C218" s="29" t="n"/>
      <c r="D218" s="30" t="n"/>
      <c r="E218" s="31" t="n"/>
      <c r="F218" s="31" t="n"/>
      <c r="G218" s="29" t="n"/>
      <c r="H218" s="29" t="n"/>
      <c r="I218" s="30" t="n"/>
      <c r="J218" s="21">
        <f>IF(H218="","",IF(I218="","To send","Sent"))</f>
        <v/>
      </c>
      <c r="K218" s="29" t="n"/>
      <c r="L218" s="1" t="n"/>
      <c r="M218">
        <f>IF(B218="",0,IF(E218="",1,N(E218)))</f>
        <v/>
      </c>
      <c r="N218">
        <f>IF(B218="",0,N(F218))</f>
        <v/>
      </c>
      <c r="O218">
        <f>IF(B218="","",IF(D218="","No answer",D218))</f>
        <v/>
      </c>
    </row>
    <row r="219">
      <c r="A219" s="1" t="n"/>
      <c r="B219" s="5" t="n"/>
      <c r="C219" s="29" t="n"/>
      <c r="D219" s="30" t="n"/>
      <c r="E219" s="31" t="n"/>
      <c r="F219" s="31" t="n"/>
      <c r="G219" s="29" t="n"/>
      <c r="H219" s="29" t="n"/>
      <c r="I219" s="30" t="n"/>
      <c r="J219" s="21">
        <f>IF(H219="","",IF(I219="","To send","Sent"))</f>
        <v/>
      </c>
      <c r="K219" s="29" t="n"/>
      <c r="L219" s="1" t="n"/>
      <c r="M219">
        <f>IF(B219="",0,IF(E219="",1,N(E219)))</f>
        <v/>
      </c>
      <c r="N219">
        <f>IF(B219="",0,N(F219))</f>
        <v/>
      </c>
      <c r="O219">
        <f>IF(B219="","",IF(D219="","No answer",D219))</f>
        <v/>
      </c>
    </row>
    <row r="220">
      <c r="A220" s="1" t="n"/>
      <c r="B220" s="5" t="n"/>
      <c r="C220" s="29" t="n"/>
      <c r="D220" s="30" t="n"/>
      <c r="E220" s="31" t="n"/>
      <c r="F220" s="31" t="n"/>
      <c r="G220" s="29" t="n"/>
      <c r="H220" s="29" t="n"/>
      <c r="I220" s="30" t="n"/>
      <c r="J220" s="21">
        <f>IF(H220="","",IF(I220="","To send","Sent"))</f>
        <v/>
      </c>
      <c r="K220" s="29" t="n"/>
      <c r="L220" s="1" t="n"/>
      <c r="M220">
        <f>IF(B220="",0,IF(E220="",1,N(E220)))</f>
        <v/>
      </c>
      <c r="N220">
        <f>IF(B220="",0,N(F220))</f>
        <v/>
      </c>
      <c r="O220">
        <f>IF(B220="","",IF(D220="","No answer",D220))</f>
        <v/>
      </c>
    </row>
    <row r="221">
      <c r="A221" s="1" t="n"/>
      <c r="B221" s="5" t="n"/>
      <c r="C221" s="29" t="n"/>
      <c r="D221" s="30" t="n"/>
      <c r="E221" s="31" t="n"/>
      <c r="F221" s="31" t="n"/>
      <c r="G221" s="29" t="n"/>
      <c r="H221" s="29" t="n"/>
      <c r="I221" s="30" t="n"/>
      <c r="J221" s="21">
        <f>IF(H221="","",IF(I221="","To send","Sent"))</f>
        <v/>
      </c>
      <c r="K221" s="29" t="n"/>
      <c r="L221" s="1" t="n"/>
      <c r="M221">
        <f>IF(B221="",0,IF(E221="",1,N(E221)))</f>
        <v/>
      </c>
      <c r="N221">
        <f>IF(B221="",0,N(F221))</f>
        <v/>
      </c>
      <c r="O221">
        <f>IF(B221="","",IF(D221="","No answer",D221))</f>
        <v/>
      </c>
    </row>
    <row r="222">
      <c r="A222" s="1" t="n"/>
      <c r="B222" s="5" t="n"/>
      <c r="C222" s="29" t="n"/>
      <c r="D222" s="30" t="n"/>
      <c r="E222" s="31" t="n"/>
      <c r="F222" s="31" t="n"/>
      <c r="G222" s="29" t="n"/>
      <c r="H222" s="29" t="n"/>
      <c r="I222" s="30" t="n"/>
      <c r="J222" s="21">
        <f>IF(H222="","",IF(I222="","To send","Sent"))</f>
        <v/>
      </c>
      <c r="K222" s="29" t="n"/>
      <c r="L222" s="1" t="n"/>
      <c r="M222">
        <f>IF(B222="",0,IF(E222="",1,N(E222)))</f>
        <v/>
      </c>
      <c r="N222">
        <f>IF(B222="",0,N(F222))</f>
        <v/>
      </c>
      <c r="O222">
        <f>IF(B222="","",IF(D222="","No answer",D222))</f>
        <v/>
      </c>
    </row>
    <row r="223">
      <c r="A223" s="1" t="n"/>
      <c r="B223" s="5" t="n"/>
      <c r="C223" s="29" t="n"/>
      <c r="D223" s="30" t="n"/>
      <c r="E223" s="31" t="n"/>
      <c r="F223" s="31" t="n"/>
      <c r="G223" s="29" t="n"/>
      <c r="H223" s="29" t="n"/>
      <c r="I223" s="30" t="n"/>
      <c r="J223" s="21">
        <f>IF(H223="","",IF(I223="","To send","Sent"))</f>
        <v/>
      </c>
      <c r="K223" s="29" t="n"/>
      <c r="L223" s="1" t="n"/>
      <c r="M223">
        <f>IF(B223="",0,IF(E223="",1,N(E223)))</f>
        <v/>
      </c>
      <c r="N223">
        <f>IF(B223="",0,N(F223))</f>
        <v/>
      </c>
      <c r="O223">
        <f>IF(B223="","",IF(D223="","No answer",D223))</f>
        <v/>
      </c>
    </row>
    <row r="224">
      <c r="A224" s="1" t="n"/>
      <c r="B224" s="5" t="n"/>
      <c r="C224" s="29" t="n"/>
      <c r="D224" s="30" t="n"/>
      <c r="E224" s="31" t="n"/>
      <c r="F224" s="31" t="n"/>
      <c r="G224" s="29" t="n"/>
      <c r="H224" s="29" t="n"/>
      <c r="I224" s="30" t="n"/>
      <c r="J224" s="21">
        <f>IF(H224="","",IF(I224="","To send","Sent"))</f>
        <v/>
      </c>
      <c r="K224" s="29" t="n"/>
      <c r="L224" s="1" t="n"/>
      <c r="M224">
        <f>IF(B224="",0,IF(E224="",1,N(E224)))</f>
        <v/>
      </c>
      <c r="N224">
        <f>IF(B224="",0,N(F224))</f>
        <v/>
      </c>
      <c r="O224">
        <f>IF(B224="","",IF(D224="","No answer",D224))</f>
        <v/>
      </c>
    </row>
    <row r="225">
      <c r="A225" s="1" t="n"/>
      <c r="B225" s="5" t="n"/>
      <c r="C225" s="29" t="n"/>
      <c r="D225" s="30" t="n"/>
      <c r="E225" s="31" t="n"/>
      <c r="F225" s="31" t="n"/>
      <c r="G225" s="29" t="n"/>
      <c r="H225" s="29" t="n"/>
      <c r="I225" s="30" t="n"/>
      <c r="J225" s="21">
        <f>IF(H225="","",IF(I225="","To send","Sent"))</f>
        <v/>
      </c>
      <c r="K225" s="29" t="n"/>
      <c r="L225" s="1" t="n"/>
      <c r="M225">
        <f>IF(B225="",0,IF(E225="",1,N(E225)))</f>
        <v/>
      </c>
      <c r="N225">
        <f>IF(B225="",0,N(F225))</f>
        <v/>
      </c>
      <c r="O225">
        <f>IF(B225="","",IF(D225="","No answer",D225))</f>
        <v/>
      </c>
    </row>
    <row r="226">
      <c r="A226" s="1" t="n"/>
      <c r="B226" s="5" t="n"/>
      <c r="C226" s="29" t="n"/>
      <c r="D226" s="30" t="n"/>
      <c r="E226" s="31" t="n"/>
      <c r="F226" s="31" t="n"/>
      <c r="G226" s="29" t="n"/>
      <c r="H226" s="29" t="n"/>
      <c r="I226" s="30" t="n"/>
      <c r="J226" s="21">
        <f>IF(H226="","",IF(I226="","To send","Sent"))</f>
        <v/>
      </c>
      <c r="K226" s="29" t="n"/>
      <c r="L226" s="1" t="n"/>
      <c r="M226">
        <f>IF(B226="",0,IF(E226="",1,N(E226)))</f>
        <v/>
      </c>
      <c r="N226">
        <f>IF(B226="",0,N(F226))</f>
        <v/>
      </c>
      <c r="O226">
        <f>IF(B226="","",IF(D226="","No answer",D226))</f>
        <v/>
      </c>
    </row>
    <row r="227">
      <c r="A227" s="1" t="n"/>
      <c r="B227" s="5" t="n"/>
      <c r="C227" s="29" t="n"/>
      <c r="D227" s="30" t="n"/>
      <c r="E227" s="31" t="n"/>
      <c r="F227" s="31" t="n"/>
      <c r="G227" s="29" t="n"/>
      <c r="H227" s="29" t="n"/>
      <c r="I227" s="30" t="n"/>
      <c r="J227" s="21">
        <f>IF(H227="","",IF(I227="","To send","Sent"))</f>
        <v/>
      </c>
      <c r="K227" s="29" t="n"/>
      <c r="L227" s="1" t="n"/>
      <c r="M227">
        <f>IF(B227="",0,IF(E227="",1,N(E227)))</f>
        <v/>
      </c>
      <c r="N227">
        <f>IF(B227="",0,N(F227))</f>
        <v/>
      </c>
      <c r="O227">
        <f>IF(B227="","",IF(D227="","No answer",D227))</f>
        <v/>
      </c>
    </row>
    <row r="228">
      <c r="A228" s="1" t="n"/>
      <c r="B228" s="5" t="n"/>
      <c r="C228" s="29" t="n"/>
      <c r="D228" s="30" t="n"/>
      <c r="E228" s="31" t="n"/>
      <c r="F228" s="31" t="n"/>
      <c r="G228" s="29" t="n"/>
      <c r="H228" s="29" t="n"/>
      <c r="I228" s="30" t="n"/>
      <c r="J228" s="21">
        <f>IF(H228="","",IF(I228="","To send","Sent"))</f>
        <v/>
      </c>
      <c r="K228" s="29" t="n"/>
      <c r="L228" s="1" t="n"/>
      <c r="M228">
        <f>IF(B228="",0,IF(E228="",1,N(E228)))</f>
        <v/>
      </c>
      <c r="N228">
        <f>IF(B228="",0,N(F228))</f>
        <v/>
      </c>
      <c r="O228">
        <f>IF(B228="","",IF(D228="","No answer",D228))</f>
        <v/>
      </c>
    </row>
    <row r="229">
      <c r="A229" s="1" t="n"/>
      <c r="B229" s="5" t="n"/>
      <c r="C229" s="29" t="n"/>
      <c r="D229" s="30" t="n"/>
      <c r="E229" s="31" t="n"/>
      <c r="F229" s="31" t="n"/>
      <c r="G229" s="29" t="n"/>
      <c r="H229" s="29" t="n"/>
      <c r="I229" s="30" t="n"/>
      <c r="J229" s="21">
        <f>IF(H229="","",IF(I229="","To send","Sent"))</f>
        <v/>
      </c>
      <c r="K229" s="29" t="n"/>
      <c r="L229" s="1" t="n"/>
      <c r="M229">
        <f>IF(B229="",0,IF(E229="",1,N(E229)))</f>
        <v/>
      </c>
      <c r="N229">
        <f>IF(B229="",0,N(F229))</f>
        <v/>
      </c>
      <c r="O229">
        <f>IF(B229="","",IF(D229="","No answer",D229))</f>
        <v/>
      </c>
    </row>
    <row r="230">
      <c r="A230" s="1" t="n"/>
      <c r="B230" s="5" t="n"/>
      <c r="C230" s="29" t="n"/>
      <c r="D230" s="30" t="n"/>
      <c r="E230" s="31" t="n"/>
      <c r="F230" s="31" t="n"/>
      <c r="G230" s="29" t="n"/>
      <c r="H230" s="29" t="n"/>
      <c r="I230" s="30" t="n"/>
      <c r="J230" s="21">
        <f>IF(H230="","",IF(I230="","To send","Sent"))</f>
        <v/>
      </c>
      <c r="K230" s="29" t="n"/>
      <c r="L230" s="1" t="n"/>
      <c r="M230">
        <f>IF(B230="",0,IF(E230="",1,N(E230)))</f>
        <v/>
      </c>
      <c r="N230">
        <f>IF(B230="",0,N(F230))</f>
        <v/>
      </c>
      <c r="O230">
        <f>IF(B230="","",IF(D230="","No answer",D230))</f>
        <v/>
      </c>
    </row>
    <row r="231">
      <c r="A231" s="1" t="n"/>
      <c r="B231" s="5" t="n"/>
      <c r="C231" s="29" t="n"/>
      <c r="D231" s="30" t="n"/>
      <c r="E231" s="31" t="n"/>
      <c r="F231" s="31" t="n"/>
      <c r="G231" s="29" t="n"/>
      <c r="H231" s="29" t="n"/>
      <c r="I231" s="30" t="n"/>
      <c r="J231" s="21">
        <f>IF(H231="","",IF(I231="","To send","Sent"))</f>
        <v/>
      </c>
      <c r="K231" s="29" t="n"/>
      <c r="L231" s="1" t="n"/>
      <c r="M231">
        <f>IF(B231="",0,IF(E231="",1,N(E231)))</f>
        <v/>
      </c>
      <c r="N231">
        <f>IF(B231="",0,N(F231))</f>
        <v/>
      </c>
      <c r="O231">
        <f>IF(B231="","",IF(D231="","No answer",D231))</f>
        <v/>
      </c>
    </row>
    <row r="232">
      <c r="A232" s="1" t="n"/>
      <c r="B232" s="5" t="n"/>
      <c r="C232" s="29" t="n"/>
      <c r="D232" s="30" t="n"/>
      <c r="E232" s="31" t="n"/>
      <c r="F232" s="31" t="n"/>
      <c r="G232" s="29" t="n"/>
      <c r="H232" s="29" t="n"/>
      <c r="I232" s="30" t="n"/>
      <c r="J232" s="21">
        <f>IF(H232="","",IF(I232="","To send","Sent"))</f>
        <v/>
      </c>
      <c r="K232" s="29" t="n"/>
      <c r="L232" s="1" t="n"/>
      <c r="M232">
        <f>IF(B232="",0,IF(E232="",1,N(E232)))</f>
        <v/>
      </c>
      <c r="N232">
        <f>IF(B232="",0,N(F232))</f>
        <v/>
      </c>
      <c r="O232">
        <f>IF(B232="","",IF(D232="","No answer",D232))</f>
        <v/>
      </c>
    </row>
    <row r="233">
      <c r="A233" s="1" t="n"/>
      <c r="B233" s="5" t="n"/>
      <c r="C233" s="29" t="n"/>
      <c r="D233" s="30" t="n"/>
      <c r="E233" s="31" t="n"/>
      <c r="F233" s="31" t="n"/>
      <c r="G233" s="29" t="n"/>
      <c r="H233" s="29" t="n"/>
      <c r="I233" s="30" t="n"/>
      <c r="J233" s="21">
        <f>IF(H233="","",IF(I233="","To send","Sent"))</f>
        <v/>
      </c>
      <c r="K233" s="29" t="n"/>
      <c r="L233" s="1" t="n"/>
      <c r="M233">
        <f>IF(B233="",0,IF(E233="",1,N(E233)))</f>
        <v/>
      </c>
      <c r="N233">
        <f>IF(B233="",0,N(F233))</f>
        <v/>
      </c>
      <c r="O233">
        <f>IF(B233="","",IF(D233="","No answer",D233))</f>
        <v/>
      </c>
    </row>
    <row r="234">
      <c r="A234" s="1" t="n"/>
      <c r="B234" s="5" t="n"/>
      <c r="C234" s="29" t="n"/>
      <c r="D234" s="30" t="n"/>
      <c r="E234" s="31" t="n"/>
      <c r="F234" s="31" t="n"/>
      <c r="G234" s="29" t="n"/>
      <c r="H234" s="29" t="n"/>
      <c r="I234" s="30" t="n"/>
      <c r="J234" s="21">
        <f>IF(H234="","",IF(I234="","To send","Sent"))</f>
        <v/>
      </c>
      <c r="K234" s="29" t="n"/>
      <c r="L234" s="1" t="n"/>
      <c r="M234">
        <f>IF(B234="",0,IF(E234="",1,N(E234)))</f>
        <v/>
      </c>
      <c r="N234">
        <f>IF(B234="",0,N(F234))</f>
        <v/>
      </c>
      <c r="O234">
        <f>IF(B234="","",IF(D234="","No answer",D234))</f>
        <v/>
      </c>
    </row>
    <row r="235">
      <c r="A235" s="1" t="n"/>
      <c r="B235" s="5" t="n"/>
      <c r="C235" s="29" t="n"/>
      <c r="D235" s="30" t="n"/>
      <c r="E235" s="31" t="n"/>
      <c r="F235" s="31" t="n"/>
      <c r="G235" s="29" t="n"/>
      <c r="H235" s="29" t="n"/>
      <c r="I235" s="30" t="n"/>
      <c r="J235" s="21">
        <f>IF(H235="","",IF(I235="","To send","Sent"))</f>
        <v/>
      </c>
      <c r="K235" s="29" t="n"/>
      <c r="L235" s="1" t="n"/>
      <c r="M235">
        <f>IF(B235="",0,IF(E235="",1,N(E235)))</f>
        <v/>
      </c>
      <c r="N235">
        <f>IF(B235="",0,N(F235))</f>
        <v/>
      </c>
      <c r="O235">
        <f>IF(B235="","",IF(D235="","No answer",D235))</f>
        <v/>
      </c>
    </row>
    <row r="236">
      <c r="A236" s="1" t="n"/>
      <c r="B236" s="5" t="n"/>
      <c r="C236" s="29" t="n"/>
      <c r="D236" s="30" t="n"/>
      <c r="E236" s="31" t="n"/>
      <c r="F236" s="31" t="n"/>
      <c r="G236" s="29" t="n"/>
      <c r="H236" s="29" t="n"/>
      <c r="I236" s="30" t="n"/>
      <c r="J236" s="21">
        <f>IF(H236="","",IF(I236="","To send","Sent"))</f>
        <v/>
      </c>
      <c r="K236" s="29" t="n"/>
      <c r="L236" s="1" t="n"/>
      <c r="M236">
        <f>IF(B236="",0,IF(E236="",1,N(E236)))</f>
        <v/>
      </c>
      <c r="N236">
        <f>IF(B236="",0,N(F236))</f>
        <v/>
      </c>
      <c r="O236">
        <f>IF(B236="","",IF(D236="","No answer",D236))</f>
        <v/>
      </c>
    </row>
    <row r="237">
      <c r="A237" s="1" t="n"/>
      <c r="B237" s="5" t="n"/>
      <c r="C237" s="29" t="n"/>
      <c r="D237" s="30" t="n"/>
      <c r="E237" s="31" t="n"/>
      <c r="F237" s="31" t="n"/>
      <c r="G237" s="29" t="n"/>
      <c r="H237" s="29" t="n"/>
      <c r="I237" s="30" t="n"/>
      <c r="J237" s="21">
        <f>IF(H237="","",IF(I237="","To send","Sent"))</f>
        <v/>
      </c>
      <c r="K237" s="29" t="n"/>
      <c r="L237" s="1" t="n"/>
      <c r="M237">
        <f>IF(B237="",0,IF(E237="",1,N(E237)))</f>
        <v/>
      </c>
      <c r="N237">
        <f>IF(B237="",0,N(F237))</f>
        <v/>
      </c>
      <c r="O237">
        <f>IF(B237="","",IF(D237="","No answer",D237))</f>
        <v/>
      </c>
    </row>
    <row r="238">
      <c r="A238" s="1" t="n"/>
      <c r="B238" s="5" t="n"/>
      <c r="C238" s="29" t="n"/>
      <c r="D238" s="30" t="n"/>
      <c r="E238" s="31" t="n"/>
      <c r="F238" s="31" t="n"/>
      <c r="G238" s="29" t="n"/>
      <c r="H238" s="29" t="n"/>
      <c r="I238" s="30" t="n"/>
      <c r="J238" s="21">
        <f>IF(H238="","",IF(I238="","To send","Sent"))</f>
        <v/>
      </c>
      <c r="K238" s="29" t="n"/>
      <c r="L238" s="1" t="n"/>
      <c r="M238">
        <f>IF(B238="",0,IF(E238="",1,N(E238)))</f>
        <v/>
      </c>
      <c r="N238">
        <f>IF(B238="",0,N(F238))</f>
        <v/>
      </c>
      <c r="O238">
        <f>IF(B238="","",IF(D238="","No answer",D238))</f>
        <v/>
      </c>
    </row>
    <row r="239">
      <c r="A239" s="1" t="n"/>
      <c r="B239" s="5" t="n"/>
      <c r="C239" s="29" t="n"/>
      <c r="D239" s="30" t="n"/>
      <c r="E239" s="31" t="n"/>
      <c r="F239" s="31" t="n"/>
      <c r="G239" s="29" t="n"/>
      <c r="H239" s="29" t="n"/>
      <c r="I239" s="30" t="n"/>
      <c r="J239" s="21">
        <f>IF(H239="","",IF(I239="","To send","Sent"))</f>
        <v/>
      </c>
      <c r="K239" s="29" t="n"/>
      <c r="L239" s="1" t="n"/>
      <c r="M239">
        <f>IF(B239="",0,IF(E239="",1,N(E239)))</f>
        <v/>
      </c>
      <c r="N239">
        <f>IF(B239="",0,N(F239))</f>
        <v/>
      </c>
      <c r="O239">
        <f>IF(B239="","",IF(D239="","No answer",D239))</f>
        <v/>
      </c>
    </row>
    <row r="240">
      <c r="A240" s="1" t="n"/>
      <c r="B240" s="5" t="n"/>
      <c r="C240" s="29" t="n"/>
      <c r="D240" s="30" t="n"/>
      <c r="E240" s="31" t="n"/>
      <c r="F240" s="31" t="n"/>
      <c r="G240" s="29" t="n"/>
      <c r="H240" s="29" t="n"/>
      <c r="I240" s="30" t="n"/>
      <c r="J240" s="21">
        <f>IF(H240="","",IF(I240="","To send","Sent"))</f>
        <v/>
      </c>
      <c r="K240" s="29" t="n"/>
      <c r="L240" s="1" t="n"/>
      <c r="M240">
        <f>IF(B240="",0,IF(E240="",1,N(E240)))</f>
        <v/>
      </c>
      <c r="N240">
        <f>IF(B240="",0,N(F240))</f>
        <v/>
      </c>
      <c r="O240">
        <f>IF(B240="","",IF(D240="","No answer",D240))</f>
        <v/>
      </c>
    </row>
    <row r="241">
      <c r="A241" s="1" t="n"/>
      <c r="B241" s="5" t="n"/>
      <c r="C241" s="29" t="n"/>
      <c r="D241" s="30" t="n"/>
      <c r="E241" s="31" t="n"/>
      <c r="F241" s="31" t="n"/>
      <c r="G241" s="29" t="n"/>
      <c r="H241" s="29" t="n"/>
      <c r="I241" s="30" t="n"/>
      <c r="J241" s="21">
        <f>IF(H241="","",IF(I241="","To send","Sent"))</f>
        <v/>
      </c>
      <c r="K241" s="29" t="n"/>
      <c r="L241" s="1" t="n"/>
      <c r="M241">
        <f>IF(B241="",0,IF(E241="",1,N(E241)))</f>
        <v/>
      </c>
      <c r="N241">
        <f>IF(B241="",0,N(F241))</f>
        <v/>
      </c>
      <c r="O241">
        <f>IF(B241="","",IF(D241="","No answer",D241))</f>
        <v/>
      </c>
    </row>
    <row r="242">
      <c r="A242" s="1" t="n"/>
      <c r="B242" s="5" t="n"/>
      <c r="C242" s="29" t="n"/>
      <c r="D242" s="30" t="n"/>
      <c r="E242" s="31" t="n"/>
      <c r="F242" s="31" t="n"/>
      <c r="G242" s="29" t="n"/>
      <c r="H242" s="29" t="n"/>
      <c r="I242" s="30" t="n"/>
      <c r="J242" s="21">
        <f>IF(H242="","",IF(I242="","To send","Sent"))</f>
        <v/>
      </c>
      <c r="K242" s="29" t="n"/>
      <c r="L242" s="1" t="n"/>
      <c r="M242">
        <f>IF(B242="",0,IF(E242="",1,N(E242)))</f>
        <v/>
      </c>
      <c r="N242">
        <f>IF(B242="",0,N(F242))</f>
        <v/>
      </c>
      <c r="O242">
        <f>IF(B242="","",IF(D242="","No answer",D242))</f>
        <v/>
      </c>
    </row>
    <row r="243">
      <c r="A243" s="1" t="n"/>
      <c r="B243" s="5" t="n"/>
      <c r="C243" s="29" t="n"/>
      <c r="D243" s="30" t="n"/>
      <c r="E243" s="31" t="n"/>
      <c r="F243" s="31" t="n"/>
      <c r="G243" s="29" t="n"/>
      <c r="H243" s="29" t="n"/>
      <c r="I243" s="30" t="n"/>
      <c r="J243" s="21">
        <f>IF(H243="","",IF(I243="","To send","Sent"))</f>
        <v/>
      </c>
      <c r="K243" s="29" t="n"/>
      <c r="L243" s="1" t="n"/>
      <c r="M243">
        <f>IF(B243="",0,IF(E243="",1,N(E243)))</f>
        <v/>
      </c>
      <c r="N243">
        <f>IF(B243="",0,N(F243))</f>
        <v/>
      </c>
      <c r="O243">
        <f>IF(B243="","",IF(D243="","No answer",D243))</f>
        <v/>
      </c>
    </row>
    <row r="244">
      <c r="A244" s="1" t="n"/>
      <c r="B244" s="5" t="n"/>
      <c r="C244" s="29" t="n"/>
      <c r="D244" s="30" t="n"/>
      <c r="E244" s="31" t="n"/>
      <c r="F244" s="31" t="n"/>
      <c r="G244" s="29" t="n"/>
      <c r="H244" s="29" t="n"/>
      <c r="I244" s="30" t="n"/>
      <c r="J244" s="21">
        <f>IF(H244="","",IF(I244="","To send","Sent"))</f>
        <v/>
      </c>
      <c r="K244" s="29" t="n"/>
      <c r="L244" s="1" t="n"/>
      <c r="M244">
        <f>IF(B244="",0,IF(E244="",1,N(E244)))</f>
        <v/>
      </c>
      <c r="N244">
        <f>IF(B244="",0,N(F244))</f>
        <v/>
      </c>
      <c r="O244">
        <f>IF(B244="","",IF(D244="","No answer",D244))</f>
        <v/>
      </c>
    </row>
    <row r="245">
      <c r="A245" s="1" t="n"/>
      <c r="B245" s="5" t="n"/>
      <c r="C245" s="29" t="n"/>
      <c r="D245" s="30" t="n"/>
      <c r="E245" s="31" t="n"/>
      <c r="F245" s="31" t="n"/>
      <c r="G245" s="29" t="n"/>
      <c r="H245" s="29" t="n"/>
      <c r="I245" s="30" t="n"/>
      <c r="J245" s="21">
        <f>IF(H245="","",IF(I245="","To send","Sent"))</f>
        <v/>
      </c>
      <c r="K245" s="29" t="n"/>
      <c r="L245" s="1" t="n"/>
      <c r="M245">
        <f>IF(B245="",0,IF(E245="",1,N(E245)))</f>
        <v/>
      </c>
      <c r="N245">
        <f>IF(B245="",0,N(F245))</f>
        <v/>
      </c>
      <c r="O245">
        <f>IF(B245="","",IF(D245="","No answer",D245))</f>
        <v/>
      </c>
    </row>
    <row r="246">
      <c r="A246" s="1" t="n"/>
      <c r="B246" s="5" t="n"/>
      <c r="C246" s="29" t="n"/>
      <c r="D246" s="30" t="n"/>
      <c r="E246" s="31" t="n"/>
      <c r="F246" s="31" t="n"/>
      <c r="G246" s="29" t="n"/>
      <c r="H246" s="29" t="n"/>
      <c r="I246" s="30" t="n"/>
      <c r="J246" s="21">
        <f>IF(H246="","",IF(I246="","To send","Sent"))</f>
        <v/>
      </c>
      <c r="K246" s="29" t="n"/>
      <c r="L246" s="1" t="n"/>
      <c r="M246">
        <f>IF(B246="",0,IF(E246="",1,N(E246)))</f>
        <v/>
      </c>
      <c r="N246">
        <f>IF(B246="",0,N(F246))</f>
        <v/>
      </c>
      <c r="O246">
        <f>IF(B246="","",IF(D246="","No answer",D246))</f>
        <v/>
      </c>
    </row>
    <row r="247">
      <c r="A247" s="1" t="n"/>
      <c r="B247" s="5" t="n"/>
      <c r="C247" s="29" t="n"/>
      <c r="D247" s="30" t="n"/>
      <c r="E247" s="31" t="n"/>
      <c r="F247" s="31" t="n"/>
      <c r="G247" s="29" t="n"/>
      <c r="H247" s="29" t="n"/>
      <c r="I247" s="30" t="n"/>
      <c r="J247" s="21">
        <f>IF(H247="","",IF(I247="","To send","Sent"))</f>
        <v/>
      </c>
      <c r="K247" s="29" t="n"/>
      <c r="L247" s="1" t="n"/>
      <c r="M247">
        <f>IF(B247="",0,IF(E247="",1,N(E247)))</f>
        <v/>
      </c>
      <c r="N247">
        <f>IF(B247="",0,N(F247))</f>
        <v/>
      </c>
      <c r="O247">
        <f>IF(B247="","",IF(D247="","No answer",D247))</f>
        <v/>
      </c>
    </row>
    <row r="248">
      <c r="A248" s="1" t="n"/>
      <c r="B248" s="5" t="n"/>
      <c r="C248" s="29" t="n"/>
      <c r="D248" s="30" t="n"/>
      <c r="E248" s="31" t="n"/>
      <c r="F248" s="31" t="n"/>
      <c r="G248" s="29" t="n"/>
      <c r="H248" s="29" t="n"/>
      <c r="I248" s="30" t="n"/>
      <c r="J248" s="21">
        <f>IF(H248="","",IF(I248="","To send","Sent"))</f>
        <v/>
      </c>
      <c r="K248" s="29" t="n"/>
      <c r="L248" s="1" t="n"/>
      <c r="M248">
        <f>IF(B248="",0,IF(E248="",1,N(E248)))</f>
        <v/>
      </c>
      <c r="N248">
        <f>IF(B248="",0,N(F248))</f>
        <v/>
      </c>
      <c r="O248">
        <f>IF(B248="","",IF(D248="","No answer",D248))</f>
        <v/>
      </c>
    </row>
    <row r="249">
      <c r="A249" s="1" t="n"/>
      <c r="B249" s="5" t="n"/>
      <c r="C249" s="29" t="n"/>
      <c r="D249" s="30" t="n"/>
      <c r="E249" s="31" t="n"/>
      <c r="F249" s="31" t="n"/>
      <c r="G249" s="29" t="n"/>
      <c r="H249" s="29" t="n"/>
      <c r="I249" s="30" t="n"/>
      <c r="J249" s="21">
        <f>IF(H249="","",IF(I249="","To send","Sent"))</f>
        <v/>
      </c>
      <c r="K249" s="29" t="n"/>
      <c r="L249" s="1" t="n"/>
      <c r="M249">
        <f>IF(B249="",0,IF(E249="",1,N(E249)))</f>
        <v/>
      </c>
      <c r="N249">
        <f>IF(B249="",0,N(F249))</f>
        <v/>
      </c>
      <c r="O249">
        <f>IF(B249="","",IF(D249="","No answer",D249))</f>
        <v/>
      </c>
    </row>
    <row r="250">
      <c r="A250" s="1" t="n"/>
      <c r="B250" s="5" t="n"/>
      <c r="C250" s="29" t="n"/>
      <c r="D250" s="30" t="n"/>
      <c r="E250" s="31" t="n"/>
      <c r="F250" s="31" t="n"/>
      <c r="G250" s="29" t="n"/>
      <c r="H250" s="29" t="n"/>
      <c r="I250" s="30" t="n"/>
      <c r="J250" s="21">
        <f>IF(H250="","",IF(I250="","To send","Sent"))</f>
        <v/>
      </c>
      <c r="K250" s="29" t="n"/>
      <c r="L250" s="1" t="n"/>
      <c r="M250">
        <f>IF(B250="",0,IF(E250="",1,N(E250)))</f>
        <v/>
      </c>
      <c r="N250">
        <f>IF(B250="",0,N(F250))</f>
        <v/>
      </c>
      <c r="O250">
        <f>IF(B250="","",IF(D250="","No answer",D250))</f>
        <v/>
      </c>
    </row>
    <row r="251">
      <c r="A251" s="1" t="n"/>
      <c r="B251" s="5" t="n"/>
      <c r="C251" s="29" t="n"/>
      <c r="D251" s="30" t="n"/>
      <c r="E251" s="31" t="n"/>
      <c r="F251" s="31" t="n"/>
      <c r="G251" s="29" t="n"/>
      <c r="H251" s="29" t="n"/>
      <c r="I251" s="30" t="n"/>
      <c r="J251" s="21">
        <f>IF(H251="","",IF(I251="","To send","Sent"))</f>
        <v/>
      </c>
      <c r="K251" s="29" t="n"/>
      <c r="L251" s="1" t="n"/>
      <c r="M251">
        <f>IF(B251="",0,IF(E251="",1,N(E251)))</f>
        <v/>
      </c>
      <c r="N251">
        <f>IF(B251="",0,N(F251))</f>
        <v/>
      </c>
      <c r="O251">
        <f>IF(B251="","",IF(D251="","No answer",D251))</f>
        <v/>
      </c>
    </row>
    <row r="252">
      <c r="A252" s="1" t="n"/>
      <c r="B252" s="5" t="n"/>
      <c r="C252" s="29" t="n"/>
      <c r="D252" s="30" t="n"/>
      <c r="E252" s="31" t="n"/>
      <c r="F252" s="31" t="n"/>
      <c r="G252" s="29" t="n"/>
      <c r="H252" s="29" t="n"/>
      <c r="I252" s="30" t="n"/>
      <c r="J252" s="21">
        <f>IF(H252="","",IF(I252="","To send","Sent"))</f>
        <v/>
      </c>
      <c r="K252" s="29" t="n"/>
      <c r="L252" s="1" t="n"/>
      <c r="M252">
        <f>IF(B252="",0,IF(E252="",1,N(E252)))</f>
        <v/>
      </c>
      <c r="N252">
        <f>IF(B252="",0,N(F252))</f>
        <v/>
      </c>
      <c r="O252">
        <f>IF(B252="","",IF(D252="","No answer",D252))</f>
        <v/>
      </c>
    </row>
    <row r="253">
      <c r="A253" s="1" t="n"/>
      <c r="B253" s="5" t="n"/>
      <c r="C253" s="29" t="n"/>
      <c r="D253" s="30" t="n"/>
      <c r="E253" s="31" t="n"/>
      <c r="F253" s="31" t="n"/>
      <c r="G253" s="29" t="n"/>
      <c r="H253" s="29" t="n"/>
      <c r="I253" s="30" t="n"/>
      <c r="J253" s="21">
        <f>IF(H253="","",IF(I253="","To send","Sent"))</f>
        <v/>
      </c>
      <c r="K253" s="29" t="n"/>
      <c r="L253" s="1" t="n"/>
      <c r="M253">
        <f>IF(B253="",0,IF(E253="",1,N(E253)))</f>
        <v/>
      </c>
      <c r="N253">
        <f>IF(B253="",0,N(F253))</f>
        <v/>
      </c>
      <c r="O253">
        <f>IF(B253="","",IF(D253="","No answer",D253))</f>
        <v/>
      </c>
    </row>
    <row r="254">
      <c r="A254" s="1" t="n"/>
      <c r="B254" s="5" t="n"/>
      <c r="C254" s="29" t="n"/>
      <c r="D254" s="30" t="n"/>
      <c r="E254" s="31" t="n"/>
      <c r="F254" s="31" t="n"/>
      <c r="G254" s="29" t="n"/>
      <c r="H254" s="29" t="n"/>
      <c r="I254" s="30" t="n"/>
      <c r="J254" s="21">
        <f>IF(H254="","",IF(I254="","To send","Sent"))</f>
        <v/>
      </c>
      <c r="K254" s="29" t="n"/>
      <c r="L254" s="1" t="n"/>
      <c r="M254">
        <f>IF(B254="",0,IF(E254="",1,N(E254)))</f>
        <v/>
      </c>
      <c r="N254">
        <f>IF(B254="",0,N(F254))</f>
        <v/>
      </c>
      <c r="O254">
        <f>IF(B254="","",IF(D254="","No answer",D254))</f>
        <v/>
      </c>
    </row>
    <row r="255">
      <c r="A255" s="1" t="n"/>
      <c r="B255" s="5" t="n"/>
      <c r="C255" s="29" t="n"/>
      <c r="D255" s="30" t="n"/>
      <c r="E255" s="31" t="n"/>
      <c r="F255" s="31" t="n"/>
      <c r="G255" s="29" t="n"/>
      <c r="H255" s="29" t="n"/>
      <c r="I255" s="30" t="n"/>
      <c r="J255" s="21">
        <f>IF(H255="","",IF(I255="","To send","Sent"))</f>
        <v/>
      </c>
      <c r="K255" s="29" t="n"/>
      <c r="L255" s="1" t="n"/>
      <c r="M255">
        <f>IF(B255="",0,IF(E255="",1,N(E255)))</f>
        <v/>
      </c>
      <c r="N255">
        <f>IF(B255="",0,N(F255))</f>
        <v/>
      </c>
      <c r="O255">
        <f>IF(B255="","",IF(D255="","No answer",D255))</f>
        <v/>
      </c>
    </row>
    <row r="256">
      <c r="A256" s="1" t="n"/>
      <c r="B256" s="5" t="n"/>
      <c r="C256" s="29" t="n"/>
      <c r="D256" s="30" t="n"/>
      <c r="E256" s="31" t="n"/>
      <c r="F256" s="31" t="n"/>
      <c r="G256" s="29" t="n"/>
      <c r="H256" s="29" t="n"/>
      <c r="I256" s="30" t="n"/>
      <c r="J256" s="21">
        <f>IF(H256="","",IF(I256="","To send","Sent"))</f>
        <v/>
      </c>
      <c r="K256" s="29" t="n"/>
      <c r="L256" s="1" t="n"/>
      <c r="M256">
        <f>IF(B256="",0,IF(E256="",1,N(E256)))</f>
        <v/>
      </c>
      <c r="N256">
        <f>IF(B256="",0,N(F256))</f>
        <v/>
      </c>
      <c r="O256">
        <f>IF(B256="","",IF(D256="","No answer",D256))</f>
        <v/>
      </c>
    </row>
    <row r="257">
      <c r="A257" s="1" t="n"/>
      <c r="B257" s="5" t="n"/>
      <c r="C257" s="29" t="n"/>
      <c r="D257" s="30" t="n"/>
      <c r="E257" s="31" t="n"/>
      <c r="F257" s="31" t="n"/>
      <c r="G257" s="29" t="n"/>
      <c r="H257" s="29" t="n"/>
      <c r="I257" s="30" t="n"/>
      <c r="J257" s="21">
        <f>IF(H257="","",IF(I257="","To send","Sent"))</f>
        <v/>
      </c>
      <c r="K257" s="29" t="n"/>
      <c r="L257" s="1" t="n"/>
      <c r="M257">
        <f>IF(B257="",0,IF(E257="",1,N(E257)))</f>
        <v/>
      </c>
      <c r="N257">
        <f>IF(B257="",0,N(F257))</f>
        <v/>
      </c>
      <c r="O257">
        <f>IF(B257="","",IF(D257="","No answer",D257))</f>
        <v/>
      </c>
    </row>
    <row r="258">
      <c r="A258" s="1" t="n"/>
      <c r="B258" s="5" t="n"/>
      <c r="C258" s="29" t="n"/>
      <c r="D258" s="30" t="n"/>
      <c r="E258" s="31" t="n"/>
      <c r="F258" s="31" t="n"/>
      <c r="G258" s="29" t="n"/>
      <c r="H258" s="29" t="n"/>
      <c r="I258" s="30" t="n"/>
      <c r="J258" s="21">
        <f>IF(H258="","",IF(I258="","To send","Sent"))</f>
        <v/>
      </c>
      <c r="K258" s="29" t="n"/>
      <c r="L258" s="1" t="n"/>
      <c r="M258">
        <f>IF(B258="",0,IF(E258="",1,N(E258)))</f>
        <v/>
      </c>
      <c r="N258">
        <f>IF(B258="",0,N(F258))</f>
        <v/>
      </c>
      <c r="O258">
        <f>IF(B258="","",IF(D258="","No answer",D258))</f>
        <v/>
      </c>
    </row>
    <row r="259">
      <c r="A259" s="1" t="n"/>
      <c r="B259" s="5" t="n"/>
      <c r="C259" s="29" t="n"/>
      <c r="D259" s="30" t="n"/>
      <c r="E259" s="31" t="n"/>
      <c r="F259" s="31" t="n"/>
      <c r="G259" s="29" t="n"/>
      <c r="H259" s="29" t="n"/>
      <c r="I259" s="30" t="n"/>
      <c r="J259" s="21">
        <f>IF(H259="","",IF(I259="","To send","Sent"))</f>
        <v/>
      </c>
      <c r="K259" s="29" t="n"/>
      <c r="L259" s="1" t="n"/>
      <c r="M259">
        <f>IF(B259="",0,IF(E259="",1,N(E259)))</f>
        <v/>
      </c>
      <c r="N259">
        <f>IF(B259="",0,N(F259))</f>
        <v/>
      </c>
      <c r="O259">
        <f>IF(B259="","",IF(D259="","No answer",D259))</f>
        <v/>
      </c>
    </row>
    <row r="260">
      <c r="A260" s="1" t="n"/>
      <c r="B260" s="5" t="n"/>
      <c r="C260" s="29" t="n"/>
      <c r="D260" s="30" t="n"/>
      <c r="E260" s="31" t="n"/>
      <c r="F260" s="31" t="n"/>
      <c r="G260" s="29" t="n"/>
      <c r="H260" s="29" t="n"/>
      <c r="I260" s="30" t="n"/>
      <c r="J260" s="21">
        <f>IF(H260="","",IF(I260="","To send","Sent"))</f>
        <v/>
      </c>
      <c r="K260" s="29" t="n"/>
      <c r="L260" s="1" t="n"/>
      <c r="M260">
        <f>IF(B260="",0,IF(E260="",1,N(E260)))</f>
        <v/>
      </c>
      <c r="N260">
        <f>IF(B260="",0,N(F260))</f>
        <v/>
      </c>
      <c r="O260">
        <f>IF(B260="","",IF(D260="","No answer",D260))</f>
        <v/>
      </c>
    </row>
    <row r="261">
      <c r="A261" s="1" t="n"/>
      <c r="B261" s="5" t="n"/>
      <c r="C261" s="29" t="n"/>
      <c r="D261" s="30" t="n"/>
      <c r="E261" s="31" t="n"/>
      <c r="F261" s="31" t="n"/>
      <c r="G261" s="29" t="n"/>
      <c r="H261" s="29" t="n"/>
      <c r="I261" s="30" t="n"/>
      <c r="J261" s="21">
        <f>IF(H261="","",IF(I261="","To send","Sent"))</f>
        <v/>
      </c>
      <c r="K261" s="29" t="n"/>
      <c r="L261" s="1" t="n"/>
      <c r="M261">
        <f>IF(B261="",0,IF(E261="",1,N(E261)))</f>
        <v/>
      </c>
      <c r="N261">
        <f>IF(B261="",0,N(F261))</f>
        <v/>
      </c>
      <c r="O261">
        <f>IF(B261="","",IF(D261="","No answer",D261))</f>
        <v/>
      </c>
    </row>
    <row r="262">
      <c r="A262" s="1" t="n"/>
      <c r="B262" s="5" t="n"/>
      <c r="C262" s="29" t="n"/>
      <c r="D262" s="30" t="n"/>
      <c r="E262" s="31" t="n"/>
      <c r="F262" s="31" t="n"/>
      <c r="G262" s="29" t="n"/>
      <c r="H262" s="29" t="n"/>
      <c r="I262" s="30" t="n"/>
      <c r="J262" s="21">
        <f>IF(H262="","",IF(I262="","To send","Sent"))</f>
        <v/>
      </c>
      <c r="K262" s="29" t="n"/>
      <c r="L262" s="1" t="n"/>
      <c r="M262">
        <f>IF(B262="",0,IF(E262="",1,N(E262)))</f>
        <v/>
      </c>
      <c r="N262">
        <f>IF(B262="",0,N(F262))</f>
        <v/>
      </c>
      <c r="O262">
        <f>IF(B262="","",IF(D262="","No answer",D262))</f>
        <v/>
      </c>
    </row>
    <row r="263">
      <c r="A263" s="1" t="n"/>
      <c r="B263" s="5" t="n"/>
      <c r="C263" s="29" t="n"/>
      <c r="D263" s="30" t="n"/>
      <c r="E263" s="31" t="n"/>
      <c r="F263" s="31" t="n"/>
      <c r="G263" s="29" t="n"/>
      <c r="H263" s="29" t="n"/>
      <c r="I263" s="30" t="n"/>
      <c r="J263" s="21">
        <f>IF(H263="","",IF(I263="","To send","Sent"))</f>
        <v/>
      </c>
      <c r="K263" s="29" t="n"/>
      <c r="L263" s="1" t="n"/>
      <c r="M263">
        <f>IF(B263="",0,IF(E263="",1,N(E263)))</f>
        <v/>
      </c>
      <c r="N263">
        <f>IF(B263="",0,N(F263))</f>
        <v/>
      </c>
      <c r="O263">
        <f>IF(B263="","",IF(D263="","No answer",D263))</f>
        <v/>
      </c>
    </row>
    <row r="264">
      <c r="A264" s="1" t="n"/>
      <c r="B264" s="5" t="n"/>
      <c r="C264" s="29" t="n"/>
      <c r="D264" s="30" t="n"/>
      <c r="E264" s="31" t="n"/>
      <c r="F264" s="31" t="n"/>
      <c r="G264" s="29" t="n"/>
      <c r="H264" s="29" t="n"/>
      <c r="I264" s="30" t="n"/>
      <c r="J264" s="21">
        <f>IF(H264="","",IF(I264="","To send","Sent"))</f>
        <v/>
      </c>
      <c r="K264" s="29" t="n"/>
      <c r="L264" s="1" t="n"/>
      <c r="M264">
        <f>IF(B264="",0,IF(E264="",1,N(E264)))</f>
        <v/>
      </c>
      <c r="N264">
        <f>IF(B264="",0,N(F264))</f>
        <v/>
      </c>
      <c r="O264">
        <f>IF(B264="","",IF(D264="","No answer",D264))</f>
        <v/>
      </c>
    </row>
    <row r="265">
      <c r="A265" s="1" t="n"/>
      <c r="B265" s="5" t="n"/>
      <c r="C265" s="29" t="n"/>
      <c r="D265" s="30" t="n"/>
      <c r="E265" s="31" t="n"/>
      <c r="F265" s="31" t="n"/>
      <c r="G265" s="29" t="n"/>
      <c r="H265" s="29" t="n"/>
      <c r="I265" s="30" t="n"/>
      <c r="J265" s="21">
        <f>IF(H265="","",IF(I265="","To send","Sent"))</f>
        <v/>
      </c>
      <c r="K265" s="29" t="n"/>
      <c r="L265" s="1" t="n"/>
      <c r="M265">
        <f>IF(B265="",0,IF(E265="",1,N(E265)))</f>
        <v/>
      </c>
      <c r="N265">
        <f>IF(B265="",0,N(F265))</f>
        <v/>
      </c>
      <c r="O265">
        <f>IF(B265="","",IF(D265="","No answer",D265))</f>
        <v/>
      </c>
    </row>
    <row r="266">
      <c r="A266" s="1" t="n"/>
      <c r="B266" s="5" t="n"/>
      <c r="C266" s="29" t="n"/>
      <c r="D266" s="30" t="n"/>
      <c r="E266" s="31" t="n"/>
      <c r="F266" s="31" t="n"/>
      <c r="G266" s="29" t="n"/>
      <c r="H266" s="29" t="n"/>
      <c r="I266" s="30" t="n"/>
      <c r="J266" s="21">
        <f>IF(H266="","",IF(I266="","To send","Sent"))</f>
        <v/>
      </c>
      <c r="K266" s="29" t="n"/>
      <c r="L266" s="1" t="n"/>
      <c r="M266">
        <f>IF(B266="",0,IF(E266="",1,N(E266)))</f>
        <v/>
      </c>
      <c r="N266">
        <f>IF(B266="",0,N(F266))</f>
        <v/>
      </c>
      <c r="O266">
        <f>IF(B266="","",IF(D266="","No answer",D266))</f>
        <v/>
      </c>
    </row>
    <row r="267">
      <c r="A267" s="1" t="n"/>
      <c r="B267" s="5" t="n"/>
      <c r="C267" s="29" t="n"/>
      <c r="D267" s="30" t="n"/>
      <c r="E267" s="31" t="n"/>
      <c r="F267" s="31" t="n"/>
      <c r="G267" s="29" t="n"/>
      <c r="H267" s="29" t="n"/>
      <c r="I267" s="30" t="n"/>
      <c r="J267" s="21">
        <f>IF(H267="","",IF(I267="","To send","Sent"))</f>
        <v/>
      </c>
      <c r="K267" s="29" t="n"/>
      <c r="L267" s="1" t="n"/>
      <c r="M267">
        <f>IF(B267="",0,IF(E267="",1,N(E267)))</f>
        <v/>
      </c>
      <c r="N267">
        <f>IF(B267="",0,N(F267))</f>
        <v/>
      </c>
      <c r="O267">
        <f>IF(B267="","",IF(D267="","No answer",D267))</f>
        <v/>
      </c>
    </row>
    <row r="268">
      <c r="A268" s="1" t="n"/>
      <c r="B268" s="5" t="n"/>
      <c r="C268" s="29" t="n"/>
      <c r="D268" s="30" t="n"/>
      <c r="E268" s="31" t="n"/>
      <c r="F268" s="31" t="n"/>
      <c r="G268" s="29" t="n"/>
      <c r="H268" s="29" t="n"/>
      <c r="I268" s="30" t="n"/>
      <c r="J268" s="21">
        <f>IF(H268="","",IF(I268="","To send","Sent"))</f>
        <v/>
      </c>
      <c r="K268" s="29" t="n"/>
      <c r="L268" s="1" t="n"/>
      <c r="M268">
        <f>IF(B268="",0,IF(E268="",1,N(E268)))</f>
        <v/>
      </c>
      <c r="N268">
        <f>IF(B268="",0,N(F268))</f>
        <v/>
      </c>
      <c r="O268">
        <f>IF(B268="","",IF(D268="","No answer",D268))</f>
        <v/>
      </c>
    </row>
    <row r="269">
      <c r="A269" s="1" t="n"/>
      <c r="B269" s="5" t="n"/>
      <c r="C269" s="29" t="n"/>
      <c r="D269" s="30" t="n"/>
      <c r="E269" s="31" t="n"/>
      <c r="F269" s="31" t="n"/>
      <c r="G269" s="29" t="n"/>
      <c r="H269" s="29" t="n"/>
      <c r="I269" s="30" t="n"/>
      <c r="J269" s="21">
        <f>IF(H269="","",IF(I269="","To send","Sent"))</f>
        <v/>
      </c>
      <c r="K269" s="29" t="n"/>
      <c r="L269" s="1" t="n"/>
      <c r="M269">
        <f>IF(B269="",0,IF(E269="",1,N(E269)))</f>
        <v/>
      </c>
      <c r="N269">
        <f>IF(B269="",0,N(F269))</f>
        <v/>
      </c>
      <c r="O269">
        <f>IF(B269="","",IF(D269="","No answer",D269))</f>
        <v/>
      </c>
    </row>
    <row r="270">
      <c r="A270" s="1" t="n"/>
      <c r="B270" s="5" t="n"/>
      <c r="C270" s="29" t="n"/>
      <c r="D270" s="30" t="n"/>
      <c r="E270" s="31" t="n"/>
      <c r="F270" s="31" t="n"/>
      <c r="G270" s="29" t="n"/>
      <c r="H270" s="29" t="n"/>
      <c r="I270" s="30" t="n"/>
      <c r="J270" s="21">
        <f>IF(H270="","",IF(I270="","To send","Sent"))</f>
        <v/>
      </c>
      <c r="K270" s="29" t="n"/>
      <c r="L270" s="1" t="n"/>
      <c r="M270">
        <f>IF(B270="",0,IF(E270="",1,N(E270)))</f>
        <v/>
      </c>
      <c r="N270">
        <f>IF(B270="",0,N(F270))</f>
        <v/>
      </c>
      <c r="O270">
        <f>IF(B270="","",IF(D270="","No answer",D270))</f>
        <v/>
      </c>
    </row>
    <row r="271">
      <c r="A271" s="1" t="n"/>
      <c r="B271" s="5" t="n"/>
      <c r="C271" s="29" t="n"/>
      <c r="D271" s="30" t="n"/>
      <c r="E271" s="31" t="n"/>
      <c r="F271" s="31" t="n"/>
      <c r="G271" s="29" t="n"/>
      <c r="H271" s="29" t="n"/>
      <c r="I271" s="30" t="n"/>
      <c r="J271" s="21">
        <f>IF(H271="","",IF(I271="","To send","Sent"))</f>
        <v/>
      </c>
      <c r="K271" s="29" t="n"/>
      <c r="L271" s="1" t="n"/>
      <c r="M271">
        <f>IF(B271="",0,IF(E271="",1,N(E271)))</f>
        <v/>
      </c>
      <c r="N271">
        <f>IF(B271="",0,N(F271))</f>
        <v/>
      </c>
      <c r="O271">
        <f>IF(B271="","",IF(D271="","No answer",D271))</f>
        <v/>
      </c>
    </row>
    <row r="272">
      <c r="A272" s="1" t="n"/>
      <c r="B272" s="5" t="n"/>
      <c r="C272" s="29" t="n"/>
      <c r="D272" s="30" t="n"/>
      <c r="E272" s="31" t="n"/>
      <c r="F272" s="31" t="n"/>
      <c r="G272" s="29" t="n"/>
      <c r="H272" s="29" t="n"/>
      <c r="I272" s="30" t="n"/>
      <c r="J272" s="21">
        <f>IF(H272="","",IF(I272="","To send","Sent"))</f>
        <v/>
      </c>
      <c r="K272" s="29" t="n"/>
      <c r="L272" s="1" t="n"/>
      <c r="M272">
        <f>IF(B272="",0,IF(E272="",1,N(E272)))</f>
        <v/>
      </c>
      <c r="N272">
        <f>IF(B272="",0,N(F272))</f>
        <v/>
      </c>
      <c r="O272">
        <f>IF(B272="","",IF(D272="","No answer",D272))</f>
        <v/>
      </c>
    </row>
    <row r="273">
      <c r="A273" s="1" t="n"/>
      <c r="B273" s="5" t="n"/>
      <c r="C273" s="29" t="n"/>
      <c r="D273" s="30" t="n"/>
      <c r="E273" s="31" t="n"/>
      <c r="F273" s="31" t="n"/>
      <c r="G273" s="29" t="n"/>
      <c r="H273" s="29" t="n"/>
      <c r="I273" s="30" t="n"/>
      <c r="J273" s="21">
        <f>IF(H273="","",IF(I273="","To send","Sent"))</f>
        <v/>
      </c>
      <c r="K273" s="29" t="n"/>
      <c r="L273" s="1" t="n"/>
      <c r="M273">
        <f>IF(B273="",0,IF(E273="",1,N(E273)))</f>
        <v/>
      </c>
      <c r="N273">
        <f>IF(B273="",0,N(F273))</f>
        <v/>
      </c>
      <c r="O273">
        <f>IF(B273="","",IF(D273="","No answer",D273))</f>
        <v/>
      </c>
    </row>
    <row r="274">
      <c r="A274" s="1" t="n"/>
      <c r="B274" s="5" t="n"/>
      <c r="C274" s="29" t="n"/>
      <c r="D274" s="30" t="n"/>
      <c r="E274" s="31" t="n"/>
      <c r="F274" s="31" t="n"/>
      <c r="G274" s="29" t="n"/>
      <c r="H274" s="29" t="n"/>
      <c r="I274" s="30" t="n"/>
      <c r="J274" s="21">
        <f>IF(H274="","",IF(I274="","To send","Sent"))</f>
        <v/>
      </c>
      <c r="K274" s="29" t="n"/>
      <c r="L274" s="1" t="n"/>
      <c r="M274">
        <f>IF(B274="",0,IF(E274="",1,N(E274)))</f>
        <v/>
      </c>
      <c r="N274">
        <f>IF(B274="",0,N(F274))</f>
        <v/>
      </c>
      <c r="O274">
        <f>IF(B274="","",IF(D274="","No answer",D274))</f>
        <v/>
      </c>
    </row>
    <row r="275">
      <c r="A275" s="1" t="n"/>
      <c r="B275" s="5" t="n"/>
      <c r="C275" s="29" t="n"/>
      <c r="D275" s="30" t="n"/>
      <c r="E275" s="31" t="n"/>
      <c r="F275" s="31" t="n"/>
      <c r="G275" s="29" t="n"/>
      <c r="H275" s="29" t="n"/>
      <c r="I275" s="30" t="n"/>
      <c r="J275" s="21">
        <f>IF(H275="","",IF(I275="","To send","Sent"))</f>
        <v/>
      </c>
      <c r="K275" s="29" t="n"/>
      <c r="L275" s="1" t="n"/>
      <c r="M275">
        <f>IF(B275="",0,IF(E275="",1,N(E275)))</f>
        <v/>
      </c>
      <c r="N275">
        <f>IF(B275="",0,N(F275))</f>
        <v/>
      </c>
      <c r="O275">
        <f>IF(B275="","",IF(D275="","No answer",D275))</f>
        <v/>
      </c>
    </row>
    <row r="276">
      <c r="A276" s="1" t="n"/>
      <c r="B276" s="5" t="n"/>
      <c r="C276" s="29" t="n"/>
      <c r="D276" s="30" t="n"/>
      <c r="E276" s="31" t="n"/>
      <c r="F276" s="31" t="n"/>
      <c r="G276" s="29" t="n"/>
      <c r="H276" s="29" t="n"/>
      <c r="I276" s="30" t="n"/>
      <c r="J276" s="21">
        <f>IF(H276="","",IF(I276="","To send","Sent"))</f>
        <v/>
      </c>
      <c r="K276" s="29" t="n"/>
      <c r="L276" s="1" t="n"/>
      <c r="M276">
        <f>IF(B276="",0,IF(E276="",1,N(E276)))</f>
        <v/>
      </c>
      <c r="N276">
        <f>IF(B276="",0,N(F276))</f>
        <v/>
      </c>
      <c r="O276">
        <f>IF(B276="","",IF(D276="","No answer",D276))</f>
        <v/>
      </c>
    </row>
    <row r="277">
      <c r="A277" s="1" t="n"/>
      <c r="B277" s="5" t="n"/>
      <c r="C277" s="29" t="n"/>
      <c r="D277" s="30" t="n"/>
      <c r="E277" s="31" t="n"/>
      <c r="F277" s="31" t="n"/>
      <c r="G277" s="29" t="n"/>
      <c r="H277" s="29" t="n"/>
      <c r="I277" s="30" t="n"/>
      <c r="J277" s="21">
        <f>IF(H277="","",IF(I277="","To send","Sent"))</f>
        <v/>
      </c>
      <c r="K277" s="29" t="n"/>
      <c r="L277" s="1" t="n"/>
      <c r="M277">
        <f>IF(B277="",0,IF(E277="",1,N(E277)))</f>
        <v/>
      </c>
      <c r="N277">
        <f>IF(B277="",0,N(F277))</f>
        <v/>
      </c>
      <c r="O277">
        <f>IF(B277="","",IF(D277="","No answer",D277))</f>
        <v/>
      </c>
    </row>
    <row r="278">
      <c r="A278" s="1" t="n"/>
      <c r="B278" s="5" t="n"/>
      <c r="C278" s="29" t="n"/>
      <c r="D278" s="30" t="n"/>
      <c r="E278" s="31" t="n"/>
      <c r="F278" s="31" t="n"/>
      <c r="G278" s="29" t="n"/>
      <c r="H278" s="29" t="n"/>
      <c r="I278" s="30" t="n"/>
      <c r="J278" s="21">
        <f>IF(H278="","",IF(I278="","To send","Sent"))</f>
        <v/>
      </c>
      <c r="K278" s="29" t="n"/>
      <c r="L278" s="1" t="n"/>
      <c r="M278">
        <f>IF(B278="",0,IF(E278="",1,N(E278)))</f>
        <v/>
      </c>
      <c r="N278">
        <f>IF(B278="",0,N(F278))</f>
        <v/>
      </c>
      <c r="O278">
        <f>IF(B278="","",IF(D278="","No answer",D278))</f>
        <v/>
      </c>
    </row>
    <row r="279">
      <c r="A279" s="1" t="n"/>
      <c r="B279" s="5" t="n"/>
      <c r="C279" s="29" t="n"/>
      <c r="D279" s="30" t="n"/>
      <c r="E279" s="31" t="n"/>
      <c r="F279" s="31" t="n"/>
      <c r="G279" s="29" t="n"/>
      <c r="H279" s="29" t="n"/>
      <c r="I279" s="30" t="n"/>
      <c r="J279" s="21">
        <f>IF(H279="","",IF(I279="","To send","Sent"))</f>
        <v/>
      </c>
      <c r="K279" s="29" t="n"/>
      <c r="L279" s="1" t="n"/>
      <c r="M279">
        <f>IF(B279="",0,IF(E279="",1,N(E279)))</f>
        <v/>
      </c>
      <c r="N279">
        <f>IF(B279="",0,N(F279))</f>
        <v/>
      </c>
      <c r="O279">
        <f>IF(B279="","",IF(D279="","No answer",D279))</f>
        <v/>
      </c>
    </row>
    <row r="280">
      <c r="A280" s="1" t="n"/>
      <c r="B280" s="5" t="n"/>
      <c r="C280" s="29" t="n"/>
      <c r="D280" s="30" t="n"/>
      <c r="E280" s="31" t="n"/>
      <c r="F280" s="31" t="n"/>
      <c r="G280" s="29" t="n"/>
      <c r="H280" s="29" t="n"/>
      <c r="I280" s="30" t="n"/>
      <c r="J280" s="21">
        <f>IF(H280="","",IF(I280="","To send","Sent"))</f>
        <v/>
      </c>
      <c r="K280" s="29" t="n"/>
      <c r="L280" s="1" t="n"/>
      <c r="M280">
        <f>IF(B280="",0,IF(E280="",1,N(E280)))</f>
        <v/>
      </c>
      <c r="N280">
        <f>IF(B280="",0,N(F280))</f>
        <v/>
      </c>
      <c r="O280">
        <f>IF(B280="","",IF(D280="","No answer",D280))</f>
        <v/>
      </c>
    </row>
    <row r="281">
      <c r="A281" s="1" t="n"/>
      <c r="B281" s="5" t="n"/>
      <c r="C281" s="29" t="n"/>
      <c r="D281" s="30" t="n"/>
      <c r="E281" s="31" t="n"/>
      <c r="F281" s="31" t="n"/>
      <c r="G281" s="29" t="n"/>
      <c r="H281" s="29" t="n"/>
      <c r="I281" s="30" t="n"/>
      <c r="J281" s="21">
        <f>IF(H281="","",IF(I281="","To send","Sent"))</f>
        <v/>
      </c>
      <c r="K281" s="29" t="n"/>
      <c r="L281" s="1" t="n"/>
      <c r="M281">
        <f>IF(B281="",0,IF(E281="",1,N(E281)))</f>
        <v/>
      </c>
      <c r="N281">
        <f>IF(B281="",0,N(F281))</f>
        <v/>
      </c>
      <c r="O281">
        <f>IF(B281="","",IF(D281="","No answer",D281))</f>
        <v/>
      </c>
    </row>
    <row r="282">
      <c r="A282" s="1" t="n"/>
      <c r="B282" s="5" t="n"/>
      <c r="C282" s="29" t="n"/>
      <c r="D282" s="30" t="n"/>
      <c r="E282" s="31" t="n"/>
      <c r="F282" s="31" t="n"/>
      <c r="G282" s="29" t="n"/>
      <c r="H282" s="29" t="n"/>
      <c r="I282" s="30" t="n"/>
      <c r="J282" s="21">
        <f>IF(H282="","",IF(I282="","To send","Sent"))</f>
        <v/>
      </c>
      <c r="K282" s="29" t="n"/>
      <c r="L282" s="1" t="n"/>
      <c r="M282">
        <f>IF(B282="",0,IF(E282="",1,N(E282)))</f>
        <v/>
      </c>
      <c r="N282">
        <f>IF(B282="",0,N(F282))</f>
        <v/>
      </c>
      <c r="O282">
        <f>IF(B282="","",IF(D282="","No answer",D282))</f>
        <v/>
      </c>
    </row>
    <row r="283">
      <c r="A283" s="1" t="n"/>
      <c r="B283" s="5" t="n"/>
      <c r="C283" s="29" t="n"/>
      <c r="D283" s="30" t="n"/>
      <c r="E283" s="31" t="n"/>
      <c r="F283" s="31" t="n"/>
      <c r="G283" s="29" t="n"/>
      <c r="H283" s="29" t="n"/>
      <c r="I283" s="30" t="n"/>
      <c r="J283" s="21">
        <f>IF(H283="","",IF(I283="","To send","Sent"))</f>
        <v/>
      </c>
      <c r="K283" s="29" t="n"/>
      <c r="L283" s="1" t="n"/>
      <c r="M283">
        <f>IF(B283="",0,IF(E283="",1,N(E283)))</f>
        <v/>
      </c>
      <c r="N283">
        <f>IF(B283="",0,N(F283))</f>
        <v/>
      </c>
      <c r="O283">
        <f>IF(B283="","",IF(D283="","No answer",D283))</f>
        <v/>
      </c>
    </row>
    <row r="284">
      <c r="A284" s="1" t="n"/>
      <c r="B284" s="5" t="n"/>
      <c r="C284" s="29" t="n"/>
      <c r="D284" s="30" t="n"/>
      <c r="E284" s="31" t="n"/>
      <c r="F284" s="31" t="n"/>
      <c r="G284" s="29" t="n"/>
      <c r="H284" s="29" t="n"/>
      <c r="I284" s="30" t="n"/>
      <c r="J284" s="21">
        <f>IF(H284="","",IF(I284="","To send","Sent"))</f>
        <v/>
      </c>
      <c r="K284" s="29" t="n"/>
      <c r="L284" s="1" t="n"/>
      <c r="M284">
        <f>IF(B284="",0,IF(E284="",1,N(E284)))</f>
        <v/>
      </c>
      <c r="N284">
        <f>IF(B284="",0,N(F284))</f>
        <v/>
      </c>
      <c r="O284">
        <f>IF(B284="","",IF(D284="","No answer",D284))</f>
        <v/>
      </c>
    </row>
    <row r="285">
      <c r="A285" s="1" t="n"/>
      <c r="B285" s="5" t="n"/>
      <c r="C285" s="29" t="n"/>
      <c r="D285" s="30" t="n"/>
      <c r="E285" s="31" t="n"/>
      <c r="F285" s="31" t="n"/>
      <c r="G285" s="29" t="n"/>
      <c r="H285" s="29" t="n"/>
      <c r="I285" s="30" t="n"/>
      <c r="J285" s="21">
        <f>IF(H285="","",IF(I285="","To send","Sent"))</f>
        <v/>
      </c>
      <c r="K285" s="29" t="n"/>
      <c r="L285" s="1" t="n"/>
      <c r="M285">
        <f>IF(B285="",0,IF(E285="",1,N(E285)))</f>
        <v/>
      </c>
      <c r="N285">
        <f>IF(B285="",0,N(F285))</f>
        <v/>
      </c>
      <c r="O285">
        <f>IF(B285="","",IF(D285="","No answer",D285))</f>
        <v/>
      </c>
    </row>
    <row r="286">
      <c r="A286" s="1" t="n"/>
      <c r="B286" s="5" t="n"/>
      <c r="C286" s="29" t="n"/>
      <c r="D286" s="30" t="n"/>
      <c r="E286" s="31" t="n"/>
      <c r="F286" s="31" t="n"/>
      <c r="G286" s="29" t="n"/>
      <c r="H286" s="29" t="n"/>
      <c r="I286" s="30" t="n"/>
      <c r="J286" s="21">
        <f>IF(H286="","",IF(I286="","To send","Sent"))</f>
        <v/>
      </c>
      <c r="K286" s="29" t="n"/>
      <c r="L286" s="1" t="n"/>
      <c r="M286">
        <f>IF(B286="",0,IF(E286="",1,N(E286)))</f>
        <v/>
      </c>
      <c r="N286">
        <f>IF(B286="",0,N(F286))</f>
        <v/>
      </c>
      <c r="O286">
        <f>IF(B286="","",IF(D286="","No answer",D286))</f>
        <v/>
      </c>
    </row>
    <row r="287">
      <c r="A287" s="1" t="n"/>
      <c r="B287" s="5" t="n"/>
      <c r="C287" s="29" t="n"/>
      <c r="D287" s="30" t="n"/>
      <c r="E287" s="31" t="n"/>
      <c r="F287" s="31" t="n"/>
      <c r="G287" s="29" t="n"/>
      <c r="H287" s="29" t="n"/>
      <c r="I287" s="30" t="n"/>
      <c r="J287" s="21">
        <f>IF(H287="","",IF(I287="","To send","Sent"))</f>
        <v/>
      </c>
      <c r="K287" s="29" t="n"/>
      <c r="L287" s="1" t="n"/>
      <c r="M287">
        <f>IF(B287="",0,IF(E287="",1,N(E287)))</f>
        <v/>
      </c>
      <c r="N287">
        <f>IF(B287="",0,N(F287))</f>
        <v/>
      </c>
      <c r="O287">
        <f>IF(B287="","",IF(D287="","No answer",D287))</f>
        <v/>
      </c>
    </row>
    <row r="288">
      <c r="A288" s="1" t="n"/>
      <c r="B288" s="5" t="n"/>
      <c r="C288" s="29" t="n"/>
      <c r="D288" s="30" t="n"/>
      <c r="E288" s="31" t="n"/>
      <c r="F288" s="31" t="n"/>
      <c r="G288" s="29" t="n"/>
      <c r="H288" s="29" t="n"/>
      <c r="I288" s="30" t="n"/>
      <c r="J288" s="21">
        <f>IF(H288="","",IF(I288="","To send","Sent"))</f>
        <v/>
      </c>
      <c r="K288" s="29" t="n"/>
      <c r="L288" s="1" t="n"/>
      <c r="M288">
        <f>IF(B288="",0,IF(E288="",1,N(E288)))</f>
        <v/>
      </c>
      <c r="N288">
        <f>IF(B288="",0,N(F288))</f>
        <v/>
      </c>
      <c r="O288">
        <f>IF(B288="","",IF(D288="","No answer",D288))</f>
        <v/>
      </c>
    </row>
    <row r="289">
      <c r="A289" s="1" t="n"/>
      <c r="B289" s="5" t="n"/>
      <c r="C289" s="29" t="n"/>
      <c r="D289" s="30" t="n"/>
      <c r="E289" s="31" t="n"/>
      <c r="F289" s="31" t="n"/>
      <c r="G289" s="29" t="n"/>
      <c r="H289" s="29" t="n"/>
      <c r="I289" s="30" t="n"/>
      <c r="J289" s="21">
        <f>IF(H289="","",IF(I289="","To send","Sent"))</f>
        <v/>
      </c>
      <c r="K289" s="29" t="n"/>
      <c r="L289" s="1" t="n"/>
      <c r="M289">
        <f>IF(B289="",0,IF(E289="",1,N(E289)))</f>
        <v/>
      </c>
      <c r="N289">
        <f>IF(B289="",0,N(F289))</f>
        <v/>
      </c>
      <c r="O289">
        <f>IF(B289="","",IF(D289="","No answer",D289))</f>
        <v/>
      </c>
    </row>
    <row r="290">
      <c r="A290" s="1" t="n"/>
      <c r="B290" s="5" t="n"/>
      <c r="C290" s="29" t="n"/>
      <c r="D290" s="30" t="n"/>
      <c r="E290" s="31" t="n"/>
      <c r="F290" s="31" t="n"/>
      <c r="G290" s="29" t="n"/>
      <c r="H290" s="29" t="n"/>
      <c r="I290" s="30" t="n"/>
      <c r="J290" s="21">
        <f>IF(H290="","",IF(I290="","To send","Sent"))</f>
        <v/>
      </c>
      <c r="K290" s="29" t="n"/>
      <c r="L290" s="1" t="n"/>
      <c r="M290">
        <f>IF(B290="",0,IF(E290="",1,N(E290)))</f>
        <v/>
      </c>
      <c r="N290">
        <f>IF(B290="",0,N(F290))</f>
        <v/>
      </c>
      <c r="O290">
        <f>IF(B290="","",IF(D290="","No answer",D290))</f>
        <v/>
      </c>
    </row>
    <row r="291">
      <c r="A291" s="1" t="n"/>
      <c r="B291" s="5" t="n"/>
      <c r="C291" s="29" t="n"/>
      <c r="D291" s="30" t="n"/>
      <c r="E291" s="31" t="n"/>
      <c r="F291" s="31" t="n"/>
      <c r="G291" s="29" t="n"/>
      <c r="H291" s="29" t="n"/>
      <c r="I291" s="30" t="n"/>
      <c r="J291" s="21">
        <f>IF(H291="","",IF(I291="","To send","Sent"))</f>
        <v/>
      </c>
      <c r="K291" s="29" t="n"/>
      <c r="L291" s="1" t="n"/>
      <c r="M291">
        <f>IF(B291="",0,IF(E291="",1,N(E291)))</f>
        <v/>
      </c>
      <c r="N291">
        <f>IF(B291="",0,N(F291))</f>
        <v/>
      </c>
      <c r="O291">
        <f>IF(B291="","",IF(D291="","No answer",D291))</f>
        <v/>
      </c>
    </row>
    <row r="292">
      <c r="A292" s="1" t="n"/>
      <c r="B292" s="5" t="n"/>
      <c r="C292" s="29" t="n"/>
      <c r="D292" s="30" t="n"/>
      <c r="E292" s="31" t="n"/>
      <c r="F292" s="31" t="n"/>
      <c r="G292" s="29" t="n"/>
      <c r="H292" s="29" t="n"/>
      <c r="I292" s="30" t="n"/>
      <c r="J292" s="21">
        <f>IF(H292="","",IF(I292="","To send","Sent"))</f>
        <v/>
      </c>
      <c r="K292" s="29" t="n"/>
      <c r="L292" s="1" t="n"/>
      <c r="M292">
        <f>IF(B292="",0,IF(E292="",1,N(E292)))</f>
        <v/>
      </c>
      <c r="N292">
        <f>IF(B292="",0,N(F292))</f>
        <v/>
      </c>
      <c r="O292">
        <f>IF(B292="","",IF(D292="","No answer",D292))</f>
        <v/>
      </c>
    </row>
    <row r="293">
      <c r="A293" s="1" t="n"/>
      <c r="B293" s="5" t="n"/>
      <c r="C293" s="29" t="n"/>
      <c r="D293" s="30" t="n"/>
      <c r="E293" s="31" t="n"/>
      <c r="F293" s="31" t="n"/>
      <c r="G293" s="29" t="n"/>
      <c r="H293" s="29" t="n"/>
      <c r="I293" s="30" t="n"/>
      <c r="J293" s="21">
        <f>IF(H293="","",IF(I293="","To send","Sent"))</f>
        <v/>
      </c>
      <c r="K293" s="29" t="n"/>
      <c r="L293" s="1" t="n"/>
      <c r="M293">
        <f>IF(B293="",0,IF(E293="",1,N(E293)))</f>
        <v/>
      </c>
      <c r="N293">
        <f>IF(B293="",0,N(F293))</f>
        <v/>
      </c>
      <c r="O293">
        <f>IF(B293="","",IF(D293="","No answer",D293))</f>
        <v/>
      </c>
    </row>
    <row r="294">
      <c r="A294" s="1" t="n"/>
      <c r="B294" s="5" t="n"/>
      <c r="C294" s="29" t="n"/>
      <c r="D294" s="30" t="n"/>
      <c r="E294" s="31" t="n"/>
      <c r="F294" s="31" t="n"/>
      <c r="G294" s="29" t="n"/>
      <c r="H294" s="29" t="n"/>
      <c r="I294" s="30" t="n"/>
      <c r="J294" s="21">
        <f>IF(H294="","",IF(I294="","To send","Sent"))</f>
        <v/>
      </c>
      <c r="K294" s="29" t="n"/>
      <c r="L294" s="1" t="n"/>
      <c r="M294">
        <f>IF(B294="",0,IF(E294="",1,N(E294)))</f>
        <v/>
      </c>
      <c r="N294">
        <f>IF(B294="",0,N(F294))</f>
        <v/>
      </c>
      <c r="O294">
        <f>IF(B294="","",IF(D294="","No answer",D294))</f>
        <v/>
      </c>
    </row>
    <row r="295">
      <c r="A295" s="1" t="n"/>
      <c r="B295" s="5" t="n"/>
      <c r="C295" s="29" t="n"/>
      <c r="D295" s="30" t="n"/>
      <c r="E295" s="31" t="n"/>
      <c r="F295" s="31" t="n"/>
      <c r="G295" s="29" t="n"/>
      <c r="H295" s="29" t="n"/>
      <c r="I295" s="30" t="n"/>
      <c r="J295" s="21">
        <f>IF(H295="","",IF(I295="","To send","Sent"))</f>
        <v/>
      </c>
      <c r="K295" s="29" t="n"/>
      <c r="L295" s="1" t="n"/>
      <c r="M295">
        <f>IF(B295="",0,IF(E295="",1,N(E295)))</f>
        <v/>
      </c>
      <c r="N295">
        <f>IF(B295="",0,N(F295))</f>
        <v/>
      </c>
      <c r="O295">
        <f>IF(B295="","",IF(D295="","No answer",D295))</f>
        <v/>
      </c>
    </row>
    <row r="296">
      <c r="A296" s="1" t="n"/>
      <c r="B296" s="5" t="n"/>
      <c r="C296" s="29" t="n"/>
      <c r="D296" s="30" t="n"/>
      <c r="E296" s="31" t="n"/>
      <c r="F296" s="31" t="n"/>
      <c r="G296" s="29" t="n"/>
      <c r="H296" s="29" t="n"/>
      <c r="I296" s="30" t="n"/>
      <c r="J296" s="21">
        <f>IF(H296="","",IF(I296="","To send","Sent"))</f>
        <v/>
      </c>
      <c r="K296" s="29" t="n"/>
      <c r="L296" s="1" t="n"/>
      <c r="M296">
        <f>IF(B296="",0,IF(E296="",1,N(E296)))</f>
        <v/>
      </c>
      <c r="N296">
        <f>IF(B296="",0,N(F296))</f>
        <v/>
      </c>
      <c r="O296">
        <f>IF(B296="","",IF(D296="","No answer",D296))</f>
        <v/>
      </c>
    </row>
    <row r="297">
      <c r="A297" s="1" t="n"/>
      <c r="B297" s="5" t="n"/>
      <c r="C297" s="29" t="n"/>
      <c r="D297" s="30" t="n"/>
      <c r="E297" s="31" t="n"/>
      <c r="F297" s="31" t="n"/>
      <c r="G297" s="29" t="n"/>
      <c r="H297" s="29" t="n"/>
      <c r="I297" s="30" t="n"/>
      <c r="J297" s="21">
        <f>IF(H297="","",IF(I297="","To send","Sent"))</f>
        <v/>
      </c>
      <c r="K297" s="29" t="n"/>
      <c r="L297" s="1" t="n"/>
      <c r="M297">
        <f>IF(B297="",0,IF(E297="",1,N(E297)))</f>
        <v/>
      </c>
      <c r="N297">
        <f>IF(B297="",0,N(F297))</f>
        <v/>
      </c>
      <c r="O297">
        <f>IF(B297="","",IF(D297="","No answer",D297))</f>
        <v/>
      </c>
    </row>
    <row r="298">
      <c r="A298" s="1" t="n"/>
      <c r="B298" s="5" t="n"/>
      <c r="C298" s="29" t="n"/>
      <c r="D298" s="30" t="n"/>
      <c r="E298" s="31" t="n"/>
      <c r="F298" s="31" t="n"/>
      <c r="G298" s="29" t="n"/>
      <c r="H298" s="29" t="n"/>
      <c r="I298" s="30" t="n"/>
      <c r="J298" s="21">
        <f>IF(H298="","",IF(I298="","To send","Sent"))</f>
        <v/>
      </c>
      <c r="K298" s="29" t="n"/>
      <c r="L298" s="1" t="n"/>
      <c r="M298">
        <f>IF(B298="",0,IF(E298="",1,N(E298)))</f>
        <v/>
      </c>
      <c r="N298">
        <f>IF(B298="",0,N(F298))</f>
        <v/>
      </c>
      <c r="O298">
        <f>IF(B298="","",IF(D298="","No answer",D298))</f>
        <v/>
      </c>
    </row>
    <row r="299">
      <c r="A299" s="1" t="n"/>
      <c r="B299" s="5" t="n"/>
      <c r="C299" s="29" t="n"/>
      <c r="D299" s="30" t="n"/>
      <c r="E299" s="31" t="n"/>
      <c r="F299" s="31" t="n"/>
      <c r="G299" s="29" t="n"/>
      <c r="H299" s="29" t="n"/>
      <c r="I299" s="30" t="n"/>
      <c r="J299" s="21">
        <f>IF(H299="","",IF(I299="","To send","Sent"))</f>
        <v/>
      </c>
      <c r="K299" s="29" t="n"/>
      <c r="L299" s="1" t="n"/>
      <c r="M299">
        <f>IF(B299="",0,IF(E299="",1,N(E299)))</f>
        <v/>
      </c>
      <c r="N299">
        <f>IF(B299="",0,N(F299))</f>
        <v/>
      </c>
      <c r="O299">
        <f>IF(B299="","",IF(D299="","No answer",D299))</f>
        <v/>
      </c>
    </row>
    <row r="300">
      <c r="A300" s="1" t="n"/>
      <c r="B300" s="5" t="n"/>
      <c r="C300" s="29" t="n"/>
      <c r="D300" s="30" t="n"/>
      <c r="E300" s="31" t="n"/>
      <c r="F300" s="31" t="n"/>
      <c r="G300" s="29" t="n"/>
      <c r="H300" s="29" t="n"/>
      <c r="I300" s="30" t="n"/>
      <c r="J300" s="21">
        <f>IF(H300="","",IF(I300="","To send","Sent"))</f>
        <v/>
      </c>
      <c r="K300" s="29" t="n"/>
      <c r="L300" s="1" t="n"/>
      <c r="M300">
        <f>IF(B300="",0,IF(E300="",1,N(E300)))</f>
        <v/>
      </c>
      <c r="N300">
        <f>IF(B300="",0,N(F300))</f>
        <v/>
      </c>
      <c r="O300">
        <f>IF(B300="","",IF(D300="","No answer",D300))</f>
        <v/>
      </c>
    </row>
    <row r="301">
      <c r="A301" s="1" t="n"/>
      <c r="B301" s="5" t="n"/>
      <c r="C301" s="29" t="n"/>
      <c r="D301" s="30" t="n"/>
      <c r="E301" s="31" t="n"/>
      <c r="F301" s="31" t="n"/>
      <c r="G301" s="29" t="n"/>
      <c r="H301" s="29" t="n"/>
      <c r="I301" s="30" t="n"/>
      <c r="J301" s="21">
        <f>IF(H301="","",IF(I301="","To send","Sent"))</f>
        <v/>
      </c>
      <c r="K301" s="29" t="n"/>
      <c r="L301" s="1" t="n"/>
      <c r="M301">
        <f>IF(B301="",0,IF(E301="",1,N(E301)))</f>
        <v/>
      </c>
      <c r="N301">
        <f>IF(B301="",0,N(F301))</f>
        <v/>
      </c>
      <c r="O301">
        <f>IF(B301="","",IF(D301="","No answer",D301))</f>
        <v/>
      </c>
    </row>
    <row r="302">
      <c r="A302" s="1" t="n"/>
      <c r="B302" s="5" t="n"/>
      <c r="C302" s="29" t="n"/>
      <c r="D302" s="30" t="n"/>
      <c r="E302" s="31" t="n"/>
      <c r="F302" s="31" t="n"/>
      <c r="G302" s="29" t="n"/>
      <c r="H302" s="29" t="n"/>
      <c r="I302" s="30" t="n"/>
      <c r="J302" s="21">
        <f>IF(H302="","",IF(I302="","To send","Sent"))</f>
        <v/>
      </c>
      <c r="K302" s="29" t="n"/>
      <c r="L302" s="1" t="n"/>
      <c r="M302">
        <f>IF(B302="",0,IF(E302="",1,N(E302)))</f>
        <v/>
      </c>
      <c r="N302">
        <f>IF(B302="",0,N(F302))</f>
        <v/>
      </c>
      <c r="O302">
        <f>IF(B302="","",IF(D302="","No answer",D302))</f>
        <v/>
      </c>
    </row>
    <row r="303">
      <c r="A303" s="1" t="n"/>
      <c r="B303" s="5" t="n"/>
      <c r="C303" s="29" t="n"/>
      <c r="D303" s="30" t="n"/>
      <c r="E303" s="31" t="n"/>
      <c r="F303" s="31" t="n"/>
      <c r="G303" s="29" t="n"/>
      <c r="H303" s="29" t="n"/>
      <c r="I303" s="30" t="n"/>
      <c r="J303" s="21">
        <f>IF(H303="","",IF(I303="","To send","Sent"))</f>
        <v/>
      </c>
      <c r="K303" s="29" t="n"/>
      <c r="L303" s="1" t="n"/>
      <c r="M303">
        <f>IF(B303="",0,IF(E303="",1,N(E303)))</f>
        <v/>
      </c>
      <c r="N303">
        <f>IF(B303="",0,N(F303))</f>
        <v/>
      </c>
      <c r="O303">
        <f>IF(B303="","",IF(D303="","No answer",D303))</f>
        <v/>
      </c>
    </row>
    <row r="304">
      <c r="A304" s="1" t="n"/>
      <c r="B304" s="5" t="n"/>
      <c r="C304" s="29" t="n"/>
      <c r="D304" s="30" t="n"/>
      <c r="E304" s="31" t="n"/>
      <c r="F304" s="31" t="n"/>
      <c r="G304" s="29" t="n"/>
      <c r="H304" s="29" t="n"/>
      <c r="I304" s="30" t="n"/>
      <c r="J304" s="21">
        <f>IF(H304="","",IF(I304="","To send","Sent"))</f>
        <v/>
      </c>
      <c r="K304" s="29" t="n"/>
      <c r="L304" s="1" t="n"/>
      <c r="M304">
        <f>IF(B304="",0,IF(E304="",1,N(E304)))</f>
        <v/>
      </c>
      <c r="N304">
        <f>IF(B304="",0,N(F304))</f>
        <v/>
      </c>
      <c r="O304">
        <f>IF(B304="","",IF(D304="","No answer",D304))</f>
        <v/>
      </c>
    </row>
    <row r="305">
      <c r="A305" s="1" t="n"/>
      <c r="B305" s="5" t="n"/>
      <c r="C305" s="29" t="n"/>
      <c r="D305" s="30" t="n"/>
      <c r="E305" s="31" t="n"/>
      <c r="F305" s="31" t="n"/>
      <c r="G305" s="29" t="n"/>
      <c r="H305" s="29" t="n"/>
      <c r="I305" s="30" t="n"/>
      <c r="J305" s="21">
        <f>IF(H305="","",IF(I305="","To send","Sent"))</f>
        <v/>
      </c>
      <c r="K305" s="29" t="n"/>
      <c r="L305" s="1" t="n"/>
      <c r="M305">
        <f>IF(B305="",0,IF(E305="",1,N(E305)))</f>
        <v/>
      </c>
      <c r="N305">
        <f>IF(B305="",0,N(F305))</f>
        <v/>
      </c>
      <c r="O305">
        <f>IF(B305="","",IF(D305="","No answer",D305))</f>
        <v/>
      </c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</row>
  </sheetData>
  <conditionalFormatting sqref="D6:D305">
    <cfRule type="expression" priority="1" dxfId="3">
      <formula>D6="Yes"</formula>
    </cfRule>
    <cfRule type="expression" priority="2" dxfId="2">
      <formula>D6="Maybe"</formula>
    </cfRule>
    <cfRule type="expression" priority="3" dxfId="4">
      <formula>D6="No"</formula>
    </cfRule>
  </conditionalFormatting>
  <conditionalFormatting sqref="B6:K305">
    <cfRule type="expression" priority="4" dxfId="5">
      <formula>$D6="No"</formula>
    </cfRule>
  </conditionalFormatting>
  <conditionalFormatting sqref="J6:J305">
    <cfRule type="expression" priority="5" dxfId="2">
      <formula>J6="To send"</formula>
    </cfRule>
  </conditionalFormatting>
  <dataValidations count="3">
    <dataValidation sqref="C6:C305" showDropDown="0" showInputMessage="0" showErrorMessage="0" allowBlank="1" type="list">
      <formula1>"Family,Friends,School,Work,Neighbours,Other"</formula1>
    </dataValidation>
    <dataValidation sqref="D6:D305" showDropDown="0" showInputMessage="0" showErrorMessage="1" allowBlank="1" type="list">
      <formula1>"Yes,Maybe,No"</formula1>
    </dataValidation>
    <dataValidation sqref="G6:G305" showDropDown="0" showInputMessage="0" showErrorMessage="0" allowBlank="1" type="list">
      <formula1>"Vegetarian,Vegan,Gluten free,Dairy free,Nut allergy,Halal,Kosher,Other"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6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8" customWidth="1" min="2" max="2"/>
    <col width="9" customWidth="1" min="3" max="3"/>
    <col width="16" customWidth="1" min="4" max="4"/>
    <col width="16" customWidth="1" min="5" max="5"/>
    <col width="8" customWidth="1" min="6" max="6"/>
    <col width="12" customWidth="1" min="7" max="7"/>
    <col width="30" customWidth="1" min="8" max="8"/>
    <col hidden="1" width="13" customWidth="1" min="10" max="10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32" customHeight="1">
      <c r="A2" s="1" t="n"/>
      <c r="B2" s="2" t="inlineStr">
        <is>
          <t>Tasks</t>
        </is>
      </c>
      <c r="C2" s="1" t="n"/>
      <c r="D2" s="1" t="n"/>
      <c r="E2" s="1" t="n"/>
      <c r="F2" s="1" t="n"/>
      <c r="G2" s="1" t="n"/>
      <c r="H2" s="1" t="n"/>
      <c r="I2" s="1" t="n"/>
    </row>
    <row r="3">
      <c r="A3" s="1" t="n"/>
      <c r="B3" s="3" t="inlineStr">
        <is>
          <t>The checklist, counted back from the day of the party. Change the days before and the dates follow. 0 is the day itself, and a minus number is after it.</t>
        </is>
      </c>
      <c r="C3" s="1" t="n"/>
      <c r="D3" s="1" t="n"/>
      <c r="E3" s="1" t="n"/>
      <c r="F3" s="1" t="n"/>
      <c r="G3" s="1" t="n"/>
      <c r="H3" s="1" t="n"/>
      <c r="I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</row>
    <row r="5" ht="30" customHeight="1">
      <c r="A5" s="1" t="n"/>
      <c r="B5" s="17" t="inlineStr">
        <is>
          <t>Task</t>
        </is>
      </c>
      <c r="C5" s="17" t="inlineStr">
        <is>
          <t>Days before</t>
        </is>
      </c>
      <c r="D5" s="17" t="inlineStr">
        <is>
          <t>Date</t>
        </is>
      </c>
      <c r="E5" s="17" t="inlineStr">
        <is>
          <t>Who</t>
        </is>
      </c>
      <c r="F5" s="17" t="inlineStr">
        <is>
          <t>Done</t>
        </is>
      </c>
      <c r="G5" s="17" t="inlineStr">
        <is>
          <t>Status</t>
        </is>
      </c>
      <c r="H5" s="17" t="inlineStr">
        <is>
          <t>Notes</t>
        </is>
      </c>
      <c r="I5" s="1" t="n"/>
    </row>
    <row r="6">
      <c r="A6" s="1" t="n"/>
      <c r="B6" s="5" t="inlineStr">
        <is>
          <t>Set the date, the time and the budget</t>
        </is>
      </c>
      <c r="C6" s="31" t="n">
        <v>56</v>
      </c>
      <c r="D6" s="19">
        <f>IF(OR(B6="",C6="",Dashboard!$C$5=""),"",Dashboard!$C$5-C6)</f>
        <v/>
      </c>
      <c r="E6" s="29" t="inlineStr">
        <is>
          <t>Mum</t>
        </is>
      </c>
      <c r="F6" s="30" t="inlineStr">
        <is>
          <t>x</t>
        </is>
      </c>
      <c r="G6" s="21">
        <f>IF(B6="","",IF(F6&lt;&gt;"","Done",IF(D6="","",IF(D6&lt;TODAY(),"Late",IF(D6-TODAY()&lt;=7,"This week","Coming")))))</f>
        <v/>
      </c>
      <c r="H6" s="29" t="n"/>
      <c r="I6" s="1" t="n"/>
      <c r="J6">
        <f>IF(AND(B6&lt;&gt;"",F6="",D6&lt;&gt;""),D6+ROW()/10000000,"")</f>
        <v/>
      </c>
    </row>
    <row r="7">
      <c r="A7" s="1" t="n"/>
      <c r="B7" s="5" t="inlineStr">
        <is>
          <t>Book the venue</t>
        </is>
      </c>
      <c r="C7" s="31" t="n">
        <v>56</v>
      </c>
      <c r="D7" s="19">
        <f>IF(OR(B7="",C7="",Dashboard!$C$5=""),"",Dashboard!$C$5-C7)</f>
        <v/>
      </c>
      <c r="E7" s="29" t="inlineStr">
        <is>
          <t>Mum</t>
        </is>
      </c>
      <c r="F7" s="30" t="inlineStr">
        <is>
          <t>x</t>
        </is>
      </c>
      <c r="G7" s="21">
        <f>IF(B7="","",IF(F7&lt;&gt;"","Done",IF(D7="","",IF(D7&lt;TODAY(),"Late",IF(D7-TODAY()&lt;=7,"This week","Coming")))))</f>
        <v/>
      </c>
      <c r="H7" s="29" t="n"/>
      <c r="I7" s="1" t="n"/>
      <c r="J7">
        <f>IF(AND(B7&lt;&gt;"",F7="",D7&lt;&gt;""),D7+ROW()/10000000,"")</f>
        <v/>
      </c>
    </row>
    <row r="8">
      <c r="A8" s="1" t="n"/>
      <c r="B8" s="5" t="inlineStr">
        <is>
          <t>Make the guest list</t>
        </is>
      </c>
      <c r="C8" s="31" t="n">
        <v>49</v>
      </c>
      <c r="D8" s="19">
        <f>IF(OR(B8="",C8="",Dashboard!$C$5=""),"",Dashboard!$C$5-C8)</f>
        <v/>
      </c>
      <c r="E8" s="29" t="inlineStr">
        <is>
          <t>Mum and Dad</t>
        </is>
      </c>
      <c r="F8" s="30" t="inlineStr">
        <is>
          <t>x</t>
        </is>
      </c>
      <c r="G8" s="21">
        <f>IF(B8="","",IF(F8&lt;&gt;"","Done",IF(D8="","",IF(D8&lt;TODAY(),"Late",IF(D8-TODAY()&lt;=7,"This week","Coming")))))</f>
        <v/>
      </c>
      <c r="H8" s="29" t="n"/>
      <c r="I8" s="1" t="n"/>
      <c r="J8">
        <f>IF(AND(B8&lt;&gt;"",F8="",D8&lt;&gt;""),D8+ROW()/10000000,"")</f>
        <v/>
      </c>
    </row>
    <row r="9">
      <c r="A9" s="1" t="n"/>
      <c r="B9" s="5" t="inlineStr">
        <is>
          <t>Send the invitations</t>
        </is>
      </c>
      <c r="C9" s="31" t="n">
        <v>42</v>
      </c>
      <c r="D9" s="19">
        <f>IF(OR(B9="",C9="",Dashboard!$C$5=""),"",Dashboard!$C$5-C9)</f>
        <v/>
      </c>
      <c r="E9" s="29" t="inlineStr">
        <is>
          <t>Dad</t>
        </is>
      </c>
      <c r="F9" s="30" t="inlineStr">
        <is>
          <t>x</t>
        </is>
      </c>
      <c r="G9" s="21">
        <f>IF(B9="","",IF(F9&lt;&gt;"","Done",IF(D9="","",IF(D9&lt;TODAY(),"Late",IF(D9-TODAY()&lt;=7,"This week","Coming")))))</f>
        <v/>
      </c>
      <c r="H9" s="29" t="n"/>
      <c r="I9" s="1" t="n"/>
      <c r="J9">
        <f>IF(AND(B9&lt;&gt;"",F9="",D9&lt;&gt;""),D9+ROW()/10000000,"")</f>
        <v/>
      </c>
    </row>
    <row r="10">
      <c r="A10" s="1" t="n"/>
      <c r="B10" s="5" t="inlineStr">
        <is>
          <t>Book the entertainment</t>
        </is>
      </c>
      <c r="C10" s="31" t="n">
        <v>42</v>
      </c>
      <c r="D10" s="19">
        <f>IF(OR(B10="",C10="",Dashboard!$C$5=""),"",Dashboard!$C$5-C10)</f>
        <v/>
      </c>
      <c r="E10" s="29" t="inlineStr">
        <is>
          <t>Dad</t>
        </is>
      </c>
      <c r="F10" s="30" t="inlineStr">
        <is>
          <t>x</t>
        </is>
      </c>
      <c r="G10" s="21">
        <f>IF(B10="","",IF(F10&lt;&gt;"","Done",IF(D10="","",IF(D10&lt;TODAY(),"Late",IF(D10-TODAY()&lt;=7,"This week","Coming")))))</f>
        <v/>
      </c>
      <c r="H10" s="29" t="n"/>
      <c r="I10" s="1" t="n"/>
      <c r="J10">
        <f>IF(AND(B10&lt;&gt;"",F10="",D10&lt;&gt;""),D10+ROW()/10000000,"")</f>
        <v/>
      </c>
    </row>
    <row r="11">
      <c r="A11" s="1" t="n"/>
      <c r="B11" s="5" t="inlineStr">
        <is>
          <t>Order the cake</t>
        </is>
      </c>
      <c r="C11" s="31" t="n">
        <v>35</v>
      </c>
      <c r="D11" s="19">
        <f>IF(OR(B11="",C11="",Dashboard!$C$5=""),"",Dashboard!$C$5-C11)</f>
        <v/>
      </c>
      <c r="E11" s="29" t="inlineStr">
        <is>
          <t>Mum</t>
        </is>
      </c>
      <c r="F11" s="30" t="inlineStr">
        <is>
          <t>x</t>
        </is>
      </c>
      <c r="G11" s="21">
        <f>IF(B11="","",IF(F11&lt;&gt;"","Done",IF(D11="","",IF(D11&lt;TODAY(),"Late",IF(D11-TODAY()&lt;=7,"This week","Coming")))))</f>
        <v/>
      </c>
      <c r="H11" s="29" t="n"/>
      <c r="I11" s="1" t="n"/>
      <c r="J11">
        <f>IF(AND(B11&lt;&gt;"",F11="",D11&lt;&gt;""),D11+ROW()/10000000,"")</f>
        <v/>
      </c>
    </row>
    <row r="12">
      <c r="A12" s="1" t="n"/>
      <c r="B12" s="5" t="inlineStr">
        <is>
          <t>Choose a theme and decorations</t>
        </is>
      </c>
      <c r="C12" s="31" t="n">
        <v>35</v>
      </c>
      <c r="D12" s="19">
        <f>IF(OR(B12="",C12="",Dashboard!$C$5=""),"",Dashboard!$C$5-C12)</f>
        <v/>
      </c>
      <c r="E12" s="29" t="inlineStr">
        <is>
          <t>Mia and Mum</t>
        </is>
      </c>
      <c r="F12" s="30" t="inlineStr">
        <is>
          <t>x</t>
        </is>
      </c>
      <c r="G12" s="21">
        <f>IF(B12="","",IF(F12&lt;&gt;"","Done",IF(D12="","",IF(D12&lt;TODAY(),"Late",IF(D12-TODAY()&lt;=7,"This week","Coming")))))</f>
        <v/>
      </c>
      <c r="H12" s="29" t="n"/>
      <c r="I12" s="1" t="n"/>
      <c r="J12">
        <f>IF(AND(B12&lt;&gt;"",F12="",D12&lt;&gt;""),D12+ROW()/10000000,"")</f>
        <v/>
      </c>
    </row>
    <row r="13">
      <c r="A13" s="1" t="n"/>
      <c r="B13" s="5" t="inlineStr">
        <is>
          <t>Plan the menu</t>
        </is>
      </c>
      <c r="C13" s="31" t="n">
        <v>30</v>
      </c>
      <c r="D13" s="19">
        <f>IF(OR(B13="",C13="",Dashboard!$C$5=""),"",Dashboard!$C$5-C13)</f>
        <v/>
      </c>
      <c r="E13" s="29" t="inlineStr">
        <is>
          <t>Dad</t>
        </is>
      </c>
      <c r="F13" s="30" t="inlineStr">
        <is>
          <t>x</t>
        </is>
      </c>
      <c r="G13" s="21">
        <f>IF(B13="","",IF(F13&lt;&gt;"","Done",IF(D13="","",IF(D13&lt;TODAY(),"Late",IF(D13-TODAY()&lt;=7,"This week","Coming")))))</f>
        <v/>
      </c>
      <c r="H13" s="29" t="n"/>
      <c r="I13" s="1" t="n"/>
      <c r="J13">
        <f>IF(AND(B13&lt;&gt;"",F13="",D13&lt;&gt;""),D13+ROW()/10000000,"")</f>
        <v/>
      </c>
    </row>
    <row r="14">
      <c r="A14" s="1" t="n"/>
      <c r="B14" s="5" t="inlineStr">
        <is>
          <t>Order the party bags</t>
        </is>
      </c>
      <c r="C14" s="31" t="n">
        <v>35</v>
      </c>
      <c r="D14" s="19">
        <f>IF(OR(B14="",C14="",Dashboard!$C$5=""),"",Dashboard!$C$5-C14)</f>
        <v/>
      </c>
      <c r="E14" s="29" t="inlineStr">
        <is>
          <t>Mum</t>
        </is>
      </c>
      <c r="F14" s="30" t="n"/>
      <c r="G14" s="21">
        <f>IF(B14="","",IF(F14&lt;&gt;"","Done",IF(D14="","",IF(D14&lt;TODAY(),"Late",IF(D14-TODAY()&lt;=7,"This week","Coming")))))</f>
        <v/>
      </c>
      <c r="H14" s="29" t="n"/>
      <c r="I14" s="1" t="n"/>
      <c r="J14">
        <f>IF(AND(B14&lt;&gt;"",F14="",D14&lt;&gt;""),D14+ROW()/10000000,"")</f>
        <v/>
      </c>
    </row>
    <row r="15">
      <c r="A15" s="1" t="n"/>
      <c r="B15" s="5" t="inlineStr">
        <is>
          <t>Book a face painter</t>
        </is>
      </c>
      <c r="C15" s="31" t="n">
        <v>28</v>
      </c>
      <c r="D15" s="19">
        <f>IF(OR(B15="",C15="",Dashboard!$C$5=""),"",Dashboard!$C$5-C15)</f>
        <v/>
      </c>
      <c r="E15" s="29" t="inlineStr">
        <is>
          <t>Mum</t>
        </is>
      </c>
      <c r="F15" s="30" t="inlineStr">
        <is>
          <t>x</t>
        </is>
      </c>
      <c r="G15" s="21">
        <f>IF(B15="","",IF(F15&lt;&gt;"","Done",IF(D15="","",IF(D15&lt;TODAY(),"Late",IF(D15-TODAY()&lt;=7,"This week","Coming")))))</f>
        <v/>
      </c>
      <c r="H15" s="29" t="n"/>
      <c r="I15" s="1" t="n"/>
      <c r="J15">
        <f>IF(AND(B15&lt;&gt;"",F15="",D15&lt;&gt;""),D15+ROW()/10000000,"")</f>
        <v/>
      </c>
    </row>
    <row r="16">
      <c r="A16" s="1" t="n"/>
      <c r="B16" s="5" t="inlineStr">
        <is>
          <t>Rent extra tables and chairs</t>
        </is>
      </c>
      <c r="C16" s="31" t="n">
        <v>21</v>
      </c>
      <c r="D16" s="19">
        <f>IF(OR(B16="",C16="",Dashboard!$C$5=""),"",Dashboard!$C$5-C16)</f>
        <v/>
      </c>
      <c r="E16" s="29" t="inlineStr">
        <is>
          <t>Dad</t>
        </is>
      </c>
      <c r="F16" s="30" t="n"/>
      <c r="G16" s="21">
        <f>IF(B16="","",IF(F16&lt;&gt;"","Done",IF(D16="","",IF(D16&lt;TODAY(),"Late",IF(D16-TODAY()&lt;=7,"This week","Coming")))))</f>
        <v/>
      </c>
      <c r="H16" s="29" t="n"/>
      <c r="I16" s="1" t="n"/>
      <c r="J16">
        <f>IF(AND(B16&lt;&gt;"",F16="",D16&lt;&gt;""),D16+ROW()/10000000,"")</f>
        <v/>
      </c>
    </row>
    <row r="17">
      <c r="A17" s="1" t="n"/>
      <c r="B17" s="5" t="inlineStr">
        <is>
          <t>Follow up on the answers</t>
        </is>
      </c>
      <c r="C17" s="31" t="n">
        <v>21</v>
      </c>
      <c r="D17" s="19">
        <f>IF(OR(B17="",C17="",Dashboard!$C$5=""),"",Dashboard!$C$5-C17)</f>
        <v/>
      </c>
      <c r="E17" s="29" t="inlineStr">
        <is>
          <t>Mum</t>
        </is>
      </c>
      <c r="F17" s="30" t="n"/>
      <c r="G17" s="21">
        <f>IF(B17="","",IF(F17&lt;&gt;"","Done",IF(D17="","",IF(D17&lt;TODAY(),"Late",IF(D17-TODAY()&lt;=7,"This week","Coming")))))</f>
        <v/>
      </c>
      <c r="H17" s="29" t="n"/>
      <c r="I17" s="1" t="n"/>
      <c r="J17">
        <f>IF(AND(B17&lt;&gt;"",F17="",D17&lt;&gt;""),D17+ROW()/10000000,"")</f>
        <v/>
      </c>
    </row>
    <row r="18">
      <c r="A18" s="1" t="n"/>
      <c r="B18" s="5" t="inlineStr">
        <is>
          <t>Plan the games and the music</t>
        </is>
      </c>
      <c r="C18" s="31" t="n">
        <v>18</v>
      </c>
      <c r="D18" s="19">
        <f>IF(OR(B18="",C18="",Dashboard!$C$5=""),"",Dashboard!$C$5-C18)</f>
        <v/>
      </c>
      <c r="E18" s="29" t="inlineStr">
        <is>
          <t>Iris</t>
        </is>
      </c>
      <c r="F18" s="30" t="n"/>
      <c r="G18" s="21">
        <f>IF(B18="","",IF(F18&lt;&gt;"","Done",IF(D18="","",IF(D18&lt;TODAY(),"Late",IF(D18-TODAY()&lt;=7,"This week","Coming")))))</f>
        <v/>
      </c>
      <c r="H18" s="29" t="n"/>
      <c r="I18" s="1" t="n"/>
      <c r="J18">
        <f>IF(AND(B18&lt;&gt;"",F18="",D18&lt;&gt;""),D18+ROW()/10000000,"")</f>
        <v/>
      </c>
    </row>
    <row r="19">
      <c r="A19" s="1" t="n"/>
      <c r="B19" s="5" t="inlineStr">
        <is>
          <t>Buy balloons and a banner</t>
        </is>
      </c>
      <c r="C19" s="31" t="n">
        <v>14</v>
      </c>
      <c r="D19" s="19">
        <f>IF(OR(B19="",C19="",Dashboard!$C$5=""),"",Dashboard!$C$5-C19)</f>
        <v/>
      </c>
      <c r="E19" s="29" t="inlineStr">
        <is>
          <t>Dad</t>
        </is>
      </c>
      <c r="F19" s="30" t="n"/>
      <c r="G19" s="21">
        <f>IF(B19="","",IF(F19&lt;&gt;"","Done",IF(D19="","",IF(D19&lt;TODAY(),"Late",IF(D19-TODAY()&lt;=7,"This week","Coming")))))</f>
        <v/>
      </c>
      <c r="H19" s="29" t="n"/>
      <c r="I19" s="1" t="n"/>
      <c r="J19">
        <f>IF(AND(B19&lt;&gt;"",F19="",D19&lt;&gt;""),D19+ROW()/10000000,"")</f>
        <v/>
      </c>
    </row>
    <row r="20">
      <c r="A20" s="1" t="n"/>
      <c r="B20" s="5" t="inlineStr">
        <is>
          <t>Confirm the entertainment</t>
        </is>
      </c>
      <c r="C20" s="31" t="n">
        <v>14</v>
      </c>
      <c r="D20" s="19">
        <f>IF(OR(B20="",C20="",Dashboard!$C$5=""),"",Dashboard!$C$5-C20)</f>
        <v/>
      </c>
      <c r="E20" s="29" t="inlineStr">
        <is>
          <t>Dad</t>
        </is>
      </c>
      <c r="F20" s="30" t="n"/>
      <c r="G20" s="21">
        <f>IF(B20="","",IF(F20&lt;&gt;"","Done",IF(D20="","",IF(D20&lt;TODAY(),"Late",IF(D20-TODAY()&lt;=7,"This week","Coming")))))</f>
        <v/>
      </c>
      <c r="H20" s="29" t="n"/>
      <c r="I20" s="1" t="n"/>
      <c r="J20">
        <f>IF(AND(B20&lt;&gt;"",F20="",D20&lt;&gt;""),D20+ROW()/10000000,"")</f>
        <v/>
      </c>
    </row>
    <row r="21">
      <c r="A21" s="1" t="n"/>
      <c r="B21" s="5" t="inlineStr">
        <is>
          <t>Make the plan for the day</t>
        </is>
      </c>
      <c r="C21" s="31" t="n">
        <v>12</v>
      </c>
      <c r="D21" s="19">
        <f>IF(OR(B21="",C21="",Dashboard!$C$5=""),"",Dashboard!$C$5-C21)</f>
        <v/>
      </c>
      <c r="E21" s="29" t="inlineStr">
        <is>
          <t>Mum</t>
        </is>
      </c>
      <c r="F21" s="30" t="n"/>
      <c r="G21" s="21">
        <f>IF(B21="","",IF(F21&lt;&gt;"","Done",IF(D21="","",IF(D21&lt;TODAY(),"Late",IF(D21-TODAY()&lt;=7,"This week","Coming")))))</f>
        <v/>
      </c>
      <c r="H21" s="29" t="n"/>
      <c r="I21" s="1" t="n"/>
      <c r="J21">
        <f>IF(AND(B21&lt;&gt;"",F21="",D21&lt;&gt;""),D21+ROW()/10000000,"")</f>
        <v/>
      </c>
    </row>
    <row r="22">
      <c r="A22" s="1" t="n"/>
      <c r="B22" s="5" t="inlineStr">
        <is>
          <t>Final guest count for the food</t>
        </is>
      </c>
      <c r="C22" s="31" t="n">
        <v>10</v>
      </c>
      <c r="D22" s="19">
        <f>IF(OR(B22="",C22="",Dashboard!$C$5=""),"",Dashboard!$C$5-C22)</f>
        <v/>
      </c>
      <c r="E22" s="29" t="inlineStr">
        <is>
          <t>Mum</t>
        </is>
      </c>
      <c r="F22" s="30" t="n"/>
      <c r="G22" s="21">
        <f>IF(B22="","",IF(F22&lt;&gt;"","Done",IF(D22="","",IF(D22&lt;TODAY(),"Late",IF(D22-TODAY()&lt;=7,"This week","Coming")))))</f>
        <v/>
      </c>
      <c r="H22" s="29" t="n"/>
      <c r="I22" s="1" t="n"/>
      <c r="J22">
        <f>IF(AND(B22&lt;&gt;"",F22="",D22&lt;&gt;""),D22+ROW()/10000000,"")</f>
        <v/>
      </c>
    </row>
    <row r="23">
      <c r="A23" s="1" t="n"/>
      <c r="B23" s="5" t="inlineStr">
        <is>
          <t>Shop for drinks and snacks</t>
        </is>
      </c>
      <c r="C23" s="31" t="n">
        <v>7</v>
      </c>
      <c r="D23" s="19">
        <f>IF(OR(B23="",C23="",Dashboard!$C$5=""),"",Dashboard!$C$5-C23)</f>
        <v/>
      </c>
      <c r="E23" s="29" t="inlineStr">
        <is>
          <t>Dad</t>
        </is>
      </c>
      <c r="F23" s="30" t="n"/>
      <c r="G23" s="21">
        <f>IF(B23="","",IF(F23&lt;&gt;"","Done",IF(D23="","",IF(D23&lt;TODAY(),"Late",IF(D23-TODAY()&lt;=7,"This week","Coming")))))</f>
        <v/>
      </c>
      <c r="H23" s="29" t="n"/>
      <c r="I23" s="1" t="n"/>
      <c r="J23">
        <f>IF(AND(B23&lt;&gt;"",F23="",D23&lt;&gt;""),D23+ROW()/10000000,"")</f>
        <v/>
      </c>
    </row>
    <row r="24">
      <c r="A24" s="1" t="n"/>
      <c r="B24" s="5" t="inlineStr">
        <is>
          <t>Confirm the venue and the cake</t>
        </is>
      </c>
      <c r="C24" s="31" t="n">
        <v>7</v>
      </c>
      <c r="D24" s="19">
        <f>IF(OR(B24="",C24="",Dashboard!$C$5=""),"",Dashboard!$C$5-C24)</f>
        <v/>
      </c>
      <c r="E24" s="29" t="inlineStr">
        <is>
          <t>Mum</t>
        </is>
      </c>
      <c r="F24" s="30" t="n"/>
      <c r="G24" s="21">
        <f>IF(B24="","",IF(F24&lt;&gt;"","Done",IF(D24="","",IF(D24&lt;TODAY(),"Late",IF(D24-TODAY()&lt;=7,"This week","Coming")))))</f>
        <v/>
      </c>
      <c r="H24" s="29" t="n"/>
      <c r="I24" s="1" t="n"/>
      <c r="J24">
        <f>IF(AND(B24&lt;&gt;"",F24="",D24&lt;&gt;""),D24+ROW()/10000000,"")</f>
        <v/>
      </c>
    </row>
    <row r="25">
      <c r="A25" s="1" t="n"/>
      <c r="B25" s="5" t="inlineStr">
        <is>
          <t>Ask helpers for a job each</t>
        </is>
      </c>
      <c r="C25" s="31" t="n">
        <v>5</v>
      </c>
      <c r="D25" s="19">
        <f>IF(OR(B25="",C25="",Dashboard!$C$5=""),"",Dashboard!$C$5-C25)</f>
        <v/>
      </c>
      <c r="E25" s="29" t="inlineStr">
        <is>
          <t>Mum</t>
        </is>
      </c>
      <c r="F25" s="30" t="n"/>
      <c r="G25" s="21">
        <f>IF(B25="","",IF(F25&lt;&gt;"","Done",IF(D25="","",IF(D25&lt;TODAY(),"Late",IF(D25-TODAY()&lt;=7,"This week","Coming")))))</f>
        <v/>
      </c>
      <c r="H25" s="29" t="n"/>
      <c r="I25" s="1" t="n"/>
      <c r="J25">
        <f>IF(AND(B25&lt;&gt;"",F25="",D25&lt;&gt;""),D25+ROW()/10000000,"")</f>
        <v/>
      </c>
    </row>
    <row r="26">
      <c r="A26" s="1" t="n"/>
      <c r="B26" s="5" t="inlineStr">
        <is>
          <t>Charge the camera and the speaker</t>
        </is>
      </c>
      <c r="C26" s="31" t="n">
        <v>2</v>
      </c>
      <c r="D26" s="19">
        <f>IF(OR(B26="",C26="",Dashboard!$C$5=""),"",Dashboard!$C$5-C26)</f>
        <v/>
      </c>
      <c r="E26" s="29" t="inlineStr">
        <is>
          <t>Dad</t>
        </is>
      </c>
      <c r="F26" s="30" t="n"/>
      <c r="G26" s="21">
        <f>IF(B26="","",IF(F26&lt;&gt;"","Done",IF(D26="","",IF(D26&lt;TODAY(),"Late",IF(D26-TODAY()&lt;=7,"This week","Coming")))))</f>
        <v/>
      </c>
      <c r="H26" s="29" t="n"/>
      <c r="I26" s="1" t="n"/>
      <c r="J26">
        <f>IF(AND(B26&lt;&gt;"",F26="",D26&lt;&gt;""),D26+ROW()/10000000,"")</f>
        <v/>
      </c>
    </row>
    <row r="27">
      <c r="A27" s="1" t="n"/>
      <c r="B27" s="5" t="inlineStr">
        <is>
          <t>Buy fresh food and ice</t>
        </is>
      </c>
      <c r="C27" s="31" t="n">
        <v>1</v>
      </c>
      <c r="D27" s="19">
        <f>IF(OR(B27="",C27="",Dashboard!$C$5=""),"",Dashboard!$C$5-C27)</f>
        <v/>
      </c>
      <c r="E27" s="29" t="inlineStr">
        <is>
          <t>Dad</t>
        </is>
      </c>
      <c r="F27" s="30" t="n"/>
      <c r="G27" s="21">
        <f>IF(B27="","",IF(F27&lt;&gt;"","Done",IF(D27="","",IF(D27&lt;TODAY(),"Late",IF(D27-TODAY()&lt;=7,"This week","Coming")))))</f>
        <v/>
      </c>
      <c r="H27" s="29" t="n"/>
      <c r="I27" s="1" t="n"/>
      <c r="J27">
        <f>IF(AND(B27&lt;&gt;"",F27="",D27&lt;&gt;""),D27+ROW()/10000000,"")</f>
        <v/>
      </c>
    </row>
    <row r="28">
      <c r="A28" s="1" t="n"/>
      <c r="B28" s="5" t="inlineStr">
        <is>
          <t>Pick up the cake</t>
        </is>
      </c>
      <c r="C28" s="31" t="n">
        <v>1</v>
      </c>
      <c r="D28" s="19">
        <f>IF(OR(B28="",C28="",Dashboard!$C$5=""),"",Dashboard!$C$5-C28)</f>
        <v/>
      </c>
      <c r="E28" s="29" t="inlineStr">
        <is>
          <t>Mum</t>
        </is>
      </c>
      <c r="F28" s="30" t="n"/>
      <c r="G28" s="21">
        <f>IF(B28="","",IF(F28&lt;&gt;"","Done",IF(D28="","",IF(D28&lt;TODAY(),"Late",IF(D28-TODAY()&lt;=7,"This week","Coming")))))</f>
        <v/>
      </c>
      <c r="H28" s="29" t="n"/>
      <c r="I28" s="1" t="n"/>
      <c r="J28">
        <f>IF(AND(B28&lt;&gt;"",F28="",D28&lt;&gt;""),D28+ROW()/10000000,"")</f>
        <v/>
      </c>
    </row>
    <row r="29">
      <c r="A29" s="1" t="n"/>
      <c r="B29" s="5" t="inlineStr">
        <is>
          <t>Set up the decorations</t>
        </is>
      </c>
      <c r="C29" s="31" t="n">
        <v>0</v>
      </c>
      <c r="D29" s="19">
        <f>IF(OR(B29="",C29="",Dashboard!$C$5=""),"",Dashboard!$C$5-C29)</f>
        <v/>
      </c>
      <c r="E29" s="29" t="inlineStr">
        <is>
          <t>Everyone</t>
        </is>
      </c>
      <c r="F29" s="30" t="n"/>
      <c r="G29" s="21">
        <f>IF(B29="","",IF(F29&lt;&gt;"","Done",IF(D29="","",IF(D29&lt;TODAY(),"Late",IF(D29-TODAY()&lt;=7,"This week","Coming")))))</f>
        <v/>
      </c>
      <c r="H29" s="29" t="n"/>
      <c r="I29" s="1" t="n"/>
      <c r="J29">
        <f>IF(AND(B29&lt;&gt;"",F29="",D29&lt;&gt;""),D29+ROW()/10000000,"")</f>
        <v/>
      </c>
    </row>
    <row r="30">
      <c r="A30" s="1" t="n"/>
      <c r="B30" s="5" t="inlineStr">
        <is>
          <t>Send thank-you notes</t>
        </is>
      </c>
      <c r="C30" s="31" t="n">
        <v>-3</v>
      </c>
      <c r="D30" s="19">
        <f>IF(OR(B30="",C30="",Dashboard!$C$5=""),"",Dashboard!$C$5-C30)</f>
        <v/>
      </c>
      <c r="E30" s="29" t="inlineStr">
        <is>
          <t>Mia and Mum</t>
        </is>
      </c>
      <c r="F30" s="30" t="n"/>
      <c r="G30" s="21">
        <f>IF(B30="","",IF(F30&lt;&gt;"","Done",IF(D30="","",IF(D30&lt;TODAY(),"Late",IF(D30-TODAY()&lt;=7,"This week","Coming")))))</f>
        <v/>
      </c>
      <c r="H30" s="29" t="n"/>
      <c r="I30" s="1" t="n"/>
      <c r="J30">
        <f>IF(AND(B30&lt;&gt;"",F30="",D30&lt;&gt;""),D30+ROW()/10000000,"")</f>
        <v/>
      </c>
    </row>
    <row r="31">
      <c r="A31" s="1" t="n"/>
      <c r="B31" s="5" t="inlineStr">
        <is>
          <t>Return the rentals</t>
        </is>
      </c>
      <c r="C31" s="31" t="n">
        <v>-2</v>
      </c>
      <c r="D31" s="19">
        <f>IF(OR(B31="",C31="",Dashboard!$C$5=""),"",Dashboard!$C$5-C31)</f>
        <v/>
      </c>
      <c r="E31" s="29" t="inlineStr">
        <is>
          <t>Dad</t>
        </is>
      </c>
      <c r="F31" s="30" t="n"/>
      <c r="G31" s="21">
        <f>IF(B31="","",IF(F31&lt;&gt;"","Done",IF(D31="","",IF(D31&lt;TODAY(),"Late",IF(D31-TODAY()&lt;=7,"This week","Coming")))))</f>
        <v/>
      </c>
      <c r="H31" s="29" t="n"/>
      <c r="I31" s="1" t="n"/>
      <c r="J31">
        <f>IF(AND(B31&lt;&gt;"",F31="",D31&lt;&gt;""),D31+ROW()/10000000,"")</f>
        <v/>
      </c>
    </row>
    <row r="32">
      <c r="A32" s="1" t="n"/>
      <c r="B32" s="5" t="inlineStr">
        <is>
          <t>Share the photos</t>
        </is>
      </c>
      <c r="C32" s="31" t="n">
        <v>-4</v>
      </c>
      <c r="D32" s="19">
        <f>IF(OR(B32="",C32="",Dashboard!$C$5=""),"",Dashboard!$C$5-C32)</f>
        <v/>
      </c>
      <c r="E32" s="29" t="inlineStr">
        <is>
          <t>Mum</t>
        </is>
      </c>
      <c r="F32" s="30" t="n"/>
      <c r="G32" s="21">
        <f>IF(B32="","",IF(F32&lt;&gt;"","Done",IF(D32="","",IF(D32&lt;TODAY(),"Late",IF(D32-TODAY()&lt;=7,"This week","Coming")))))</f>
        <v/>
      </c>
      <c r="H32" s="29" t="n"/>
      <c r="I32" s="1" t="n"/>
      <c r="J32">
        <f>IF(AND(B32&lt;&gt;"",F32="",D32&lt;&gt;""),D32+ROW()/10000000,"")</f>
        <v/>
      </c>
    </row>
    <row r="33">
      <c r="A33" s="1" t="n"/>
      <c r="B33" s="5" t="n"/>
      <c r="C33" s="31" t="n"/>
      <c r="D33" s="19">
        <f>IF(OR(B33="",C33="",Dashboard!$C$5=""),"",Dashboard!$C$5-C33)</f>
        <v/>
      </c>
      <c r="E33" s="29" t="n"/>
      <c r="F33" s="30" t="n"/>
      <c r="G33" s="21">
        <f>IF(B33="","",IF(F33&lt;&gt;"","Done",IF(D33="","",IF(D33&lt;TODAY(),"Late",IF(D33-TODAY()&lt;=7,"This week","Coming")))))</f>
        <v/>
      </c>
      <c r="H33" s="29" t="n"/>
      <c r="I33" s="1" t="n"/>
      <c r="J33">
        <f>IF(AND(B33&lt;&gt;"",F33="",D33&lt;&gt;""),D33+ROW()/10000000,"")</f>
        <v/>
      </c>
    </row>
    <row r="34">
      <c r="A34" s="1" t="n"/>
      <c r="B34" s="5" t="n"/>
      <c r="C34" s="31" t="n"/>
      <c r="D34" s="19">
        <f>IF(OR(B34="",C34="",Dashboard!$C$5=""),"",Dashboard!$C$5-C34)</f>
        <v/>
      </c>
      <c r="E34" s="29" t="n"/>
      <c r="F34" s="30" t="n"/>
      <c r="G34" s="21">
        <f>IF(B34="","",IF(F34&lt;&gt;"","Done",IF(D34="","",IF(D34&lt;TODAY(),"Late",IF(D34-TODAY()&lt;=7,"This week","Coming")))))</f>
        <v/>
      </c>
      <c r="H34" s="29" t="n"/>
      <c r="I34" s="1" t="n"/>
      <c r="J34">
        <f>IF(AND(B34&lt;&gt;"",F34="",D34&lt;&gt;""),D34+ROW()/10000000,"")</f>
        <v/>
      </c>
    </row>
    <row r="35">
      <c r="A35" s="1" t="n"/>
      <c r="B35" s="5" t="n"/>
      <c r="C35" s="31" t="n"/>
      <c r="D35" s="19">
        <f>IF(OR(B35="",C35="",Dashboard!$C$5=""),"",Dashboard!$C$5-C35)</f>
        <v/>
      </c>
      <c r="E35" s="29" t="n"/>
      <c r="F35" s="30" t="n"/>
      <c r="G35" s="21">
        <f>IF(B35="","",IF(F35&lt;&gt;"","Done",IF(D35="","",IF(D35&lt;TODAY(),"Late",IF(D35-TODAY()&lt;=7,"This week","Coming")))))</f>
        <v/>
      </c>
      <c r="H35" s="29" t="n"/>
      <c r="I35" s="1" t="n"/>
      <c r="J35">
        <f>IF(AND(B35&lt;&gt;"",F35="",D35&lt;&gt;""),D35+ROW()/10000000,"")</f>
        <v/>
      </c>
    </row>
    <row r="36">
      <c r="A36" s="1" t="n"/>
      <c r="B36" s="5" t="n"/>
      <c r="C36" s="31" t="n"/>
      <c r="D36" s="19">
        <f>IF(OR(B36="",C36="",Dashboard!$C$5=""),"",Dashboard!$C$5-C36)</f>
        <v/>
      </c>
      <c r="E36" s="29" t="n"/>
      <c r="F36" s="30" t="n"/>
      <c r="G36" s="21">
        <f>IF(B36="","",IF(F36&lt;&gt;"","Done",IF(D36="","",IF(D36&lt;TODAY(),"Late",IF(D36-TODAY()&lt;=7,"This week","Coming")))))</f>
        <v/>
      </c>
      <c r="H36" s="29" t="n"/>
      <c r="I36" s="1" t="n"/>
      <c r="J36">
        <f>IF(AND(B36&lt;&gt;"",F36="",D36&lt;&gt;""),D36+ROW()/10000000,"")</f>
        <v/>
      </c>
    </row>
    <row r="37">
      <c r="A37" s="1" t="n"/>
      <c r="B37" s="5" t="n"/>
      <c r="C37" s="31" t="n"/>
      <c r="D37" s="19">
        <f>IF(OR(B37="",C37="",Dashboard!$C$5=""),"",Dashboard!$C$5-C37)</f>
        <v/>
      </c>
      <c r="E37" s="29" t="n"/>
      <c r="F37" s="30" t="n"/>
      <c r="G37" s="21">
        <f>IF(B37="","",IF(F37&lt;&gt;"","Done",IF(D37="","",IF(D37&lt;TODAY(),"Late",IF(D37-TODAY()&lt;=7,"This week","Coming")))))</f>
        <v/>
      </c>
      <c r="H37" s="29" t="n"/>
      <c r="I37" s="1" t="n"/>
      <c r="J37">
        <f>IF(AND(B37&lt;&gt;"",F37="",D37&lt;&gt;""),D37+ROW()/10000000,"")</f>
        <v/>
      </c>
    </row>
    <row r="38">
      <c r="A38" s="1" t="n"/>
      <c r="B38" s="5" t="n"/>
      <c r="C38" s="31" t="n"/>
      <c r="D38" s="19">
        <f>IF(OR(B38="",C38="",Dashboard!$C$5=""),"",Dashboard!$C$5-C38)</f>
        <v/>
      </c>
      <c r="E38" s="29" t="n"/>
      <c r="F38" s="30" t="n"/>
      <c r="G38" s="21">
        <f>IF(B38="","",IF(F38&lt;&gt;"","Done",IF(D38="","",IF(D38&lt;TODAY(),"Late",IF(D38-TODAY()&lt;=7,"This week","Coming")))))</f>
        <v/>
      </c>
      <c r="H38" s="29" t="n"/>
      <c r="I38" s="1" t="n"/>
      <c r="J38">
        <f>IF(AND(B38&lt;&gt;"",F38="",D38&lt;&gt;""),D38+ROW()/10000000,"")</f>
        <v/>
      </c>
    </row>
    <row r="39">
      <c r="A39" s="1" t="n"/>
      <c r="B39" s="5" t="n"/>
      <c r="C39" s="31" t="n"/>
      <c r="D39" s="19">
        <f>IF(OR(B39="",C39="",Dashboard!$C$5=""),"",Dashboard!$C$5-C39)</f>
        <v/>
      </c>
      <c r="E39" s="29" t="n"/>
      <c r="F39" s="30" t="n"/>
      <c r="G39" s="21">
        <f>IF(B39="","",IF(F39&lt;&gt;"","Done",IF(D39="","",IF(D39&lt;TODAY(),"Late",IF(D39-TODAY()&lt;=7,"This week","Coming")))))</f>
        <v/>
      </c>
      <c r="H39" s="29" t="n"/>
      <c r="I39" s="1" t="n"/>
      <c r="J39">
        <f>IF(AND(B39&lt;&gt;"",F39="",D39&lt;&gt;""),D39+ROW()/10000000,"")</f>
        <v/>
      </c>
    </row>
    <row r="40">
      <c r="A40" s="1" t="n"/>
      <c r="B40" s="5" t="n"/>
      <c r="C40" s="31" t="n"/>
      <c r="D40" s="19">
        <f>IF(OR(B40="",C40="",Dashboard!$C$5=""),"",Dashboard!$C$5-C40)</f>
        <v/>
      </c>
      <c r="E40" s="29" t="n"/>
      <c r="F40" s="30" t="n"/>
      <c r="G40" s="21">
        <f>IF(B40="","",IF(F40&lt;&gt;"","Done",IF(D40="","",IF(D40&lt;TODAY(),"Late",IF(D40-TODAY()&lt;=7,"This week","Coming")))))</f>
        <v/>
      </c>
      <c r="H40" s="29" t="n"/>
      <c r="I40" s="1" t="n"/>
      <c r="J40">
        <f>IF(AND(B40&lt;&gt;"",F40="",D40&lt;&gt;""),D40+ROW()/10000000,"")</f>
        <v/>
      </c>
    </row>
    <row r="41">
      <c r="A41" s="1" t="n"/>
      <c r="B41" s="5" t="n"/>
      <c r="C41" s="31" t="n"/>
      <c r="D41" s="19">
        <f>IF(OR(B41="",C41="",Dashboard!$C$5=""),"",Dashboard!$C$5-C41)</f>
        <v/>
      </c>
      <c r="E41" s="29" t="n"/>
      <c r="F41" s="30" t="n"/>
      <c r="G41" s="21">
        <f>IF(B41="","",IF(F41&lt;&gt;"","Done",IF(D41="","",IF(D41&lt;TODAY(),"Late",IF(D41-TODAY()&lt;=7,"This week","Coming")))))</f>
        <v/>
      </c>
      <c r="H41" s="29" t="n"/>
      <c r="I41" s="1" t="n"/>
      <c r="J41">
        <f>IF(AND(B41&lt;&gt;"",F41="",D41&lt;&gt;""),D41+ROW()/10000000,"")</f>
        <v/>
      </c>
    </row>
    <row r="42">
      <c r="A42" s="1" t="n"/>
      <c r="B42" s="5" t="n"/>
      <c r="C42" s="31" t="n"/>
      <c r="D42" s="19">
        <f>IF(OR(B42="",C42="",Dashboard!$C$5=""),"",Dashboard!$C$5-C42)</f>
        <v/>
      </c>
      <c r="E42" s="29" t="n"/>
      <c r="F42" s="30" t="n"/>
      <c r="G42" s="21">
        <f>IF(B42="","",IF(F42&lt;&gt;"","Done",IF(D42="","",IF(D42&lt;TODAY(),"Late",IF(D42-TODAY()&lt;=7,"This week","Coming")))))</f>
        <v/>
      </c>
      <c r="H42" s="29" t="n"/>
      <c r="I42" s="1" t="n"/>
      <c r="J42">
        <f>IF(AND(B42&lt;&gt;"",F42="",D42&lt;&gt;""),D42+ROW()/10000000,"")</f>
        <v/>
      </c>
    </row>
    <row r="43">
      <c r="A43" s="1" t="n"/>
      <c r="B43" s="5" t="n"/>
      <c r="C43" s="31" t="n"/>
      <c r="D43" s="19">
        <f>IF(OR(B43="",C43="",Dashboard!$C$5=""),"",Dashboard!$C$5-C43)</f>
        <v/>
      </c>
      <c r="E43" s="29" t="n"/>
      <c r="F43" s="30" t="n"/>
      <c r="G43" s="21">
        <f>IF(B43="","",IF(F43&lt;&gt;"","Done",IF(D43="","",IF(D43&lt;TODAY(),"Late",IF(D43-TODAY()&lt;=7,"This week","Coming")))))</f>
        <v/>
      </c>
      <c r="H43" s="29" t="n"/>
      <c r="I43" s="1" t="n"/>
      <c r="J43">
        <f>IF(AND(B43&lt;&gt;"",F43="",D43&lt;&gt;""),D43+ROW()/10000000,"")</f>
        <v/>
      </c>
    </row>
    <row r="44">
      <c r="A44" s="1" t="n"/>
      <c r="B44" s="5" t="n"/>
      <c r="C44" s="31" t="n"/>
      <c r="D44" s="19">
        <f>IF(OR(B44="",C44="",Dashboard!$C$5=""),"",Dashboard!$C$5-C44)</f>
        <v/>
      </c>
      <c r="E44" s="29" t="n"/>
      <c r="F44" s="30" t="n"/>
      <c r="G44" s="21">
        <f>IF(B44="","",IF(F44&lt;&gt;"","Done",IF(D44="","",IF(D44&lt;TODAY(),"Late",IF(D44-TODAY()&lt;=7,"This week","Coming")))))</f>
        <v/>
      </c>
      <c r="H44" s="29" t="n"/>
      <c r="I44" s="1" t="n"/>
      <c r="J44">
        <f>IF(AND(B44&lt;&gt;"",F44="",D44&lt;&gt;""),D44+ROW()/10000000,"")</f>
        <v/>
      </c>
    </row>
    <row r="45">
      <c r="A45" s="1" t="n"/>
      <c r="B45" s="5" t="n"/>
      <c r="C45" s="31" t="n"/>
      <c r="D45" s="19">
        <f>IF(OR(B45="",C45="",Dashboard!$C$5=""),"",Dashboard!$C$5-C45)</f>
        <v/>
      </c>
      <c r="E45" s="29" t="n"/>
      <c r="F45" s="30" t="n"/>
      <c r="G45" s="21">
        <f>IF(B45="","",IF(F45&lt;&gt;"","Done",IF(D45="","",IF(D45&lt;TODAY(),"Late",IF(D45-TODAY()&lt;=7,"This week","Coming")))))</f>
        <v/>
      </c>
      <c r="H45" s="29" t="n"/>
      <c r="I45" s="1" t="n"/>
      <c r="J45">
        <f>IF(AND(B45&lt;&gt;"",F45="",D45&lt;&gt;""),D45+ROW()/10000000,"")</f>
        <v/>
      </c>
    </row>
    <row r="46">
      <c r="A46" s="1" t="n"/>
      <c r="B46" s="5" t="n"/>
      <c r="C46" s="31" t="n"/>
      <c r="D46" s="19">
        <f>IF(OR(B46="",C46="",Dashboard!$C$5=""),"",Dashboard!$C$5-C46)</f>
        <v/>
      </c>
      <c r="E46" s="29" t="n"/>
      <c r="F46" s="30" t="n"/>
      <c r="G46" s="21">
        <f>IF(B46="","",IF(F46&lt;&gt;"","Done",IF(D46="","",IF(D46&lt;TODAY(),"Late",IF(D46-TODAY()&lt;=7,"This week","Coming")))))</f>
        <v/>
      </c>
      <c r="H46" s="29" t="n"/>
      <c r="I46" s="1" t="n"/>
      <c r="J46">
        <f>IF(AND(B46&lt;&gt;"",F46="",D46&lt;&gt;""),D46+ROW()/10000000,"")</f>
        <v/>
      </c>
    </row>
    <row r="47">
      <c r="A47" s="1" t="n"/>
      <c r="B47" s="5" t="n"/>
      <c r="C47" s="31" t="n"/>
      <c r="D47" s="19">
        <f>IF(OR(B47="",C47="",Dashboard!$C$5=""),"",Dashboard!$C$5-C47)</f>
        <v/>
      </c>
      <c r="E47" s="29" t="n"/>
      <c r="F47" s="30" t="n"/>
      <c r="G47" s="21">
        <f>IF(B47="","",IF(F47&lt;&gt;"","Done",IF(D47="","",IF(D47&lt;TODAY(),"Late",IF(D47-TODAY()&lt;=7,"This week","Coming")))))</f>
        <v/>
      </c>
      <c r="H47" s="29" t="n"/>
      <c r="I47" s="1" t="n"/>
      <c r="J47">
        <f>IF(AND(B47&lt;&gt;"",F47="",D47&lt;&gt;""),D47+ROW()/10000000,"")</f>
        <v/>
      </c>
    </row>
    <row r="48">
      <c r="A48" s="1" t="n"/>
      <c r="B48" s="5" t="n"/>
      <c r="C48" s="31" t="n"/>
      <c r="D48" s="19">
        <f>IF(OR(B48="",C48="",Dashboard!$C$5=""),"",Dashboard!$C$5-C48)</f>
        <v/>
      </c>
      <c r="E48" s="29" t="n"/>
      <c r="F48" s="30" t="n"/>
      <c r="G48" s="21">
        <f>IF(B48="","",IF(F48&lt;&gt;"","Done",IF(D48="","",IF(D48&lt;TODAY(),"Late",IF(D48-TODAY()&lt;=7,"This week","Coming")))))</f>
        <v/>
      </c>
      <c r="H48" s="29" t="n"/>
      <c r="I48" s="1" t="n"/>
      <c r="J48">
        <f>IF(AND(B48&lt;&gt;"",F48="",D48&lt;&gt;""),D48+ROW()/10000000,"")</f>
        <v/>
      </c>
    </row>
    <row r="49">
      <c r="A49" s="1" t="n"/>
      <c r="B49" s="5" t="n"/>
      <c r="C49" s="31" t="n"/>
      <c r="D49" s="19">
        <f>IF(OR(B49="",C49="",Dashboard!$C$5=""),"",Dashboard!$C$5-C49)</f>
        <v/>
      </c>
      <c r="E49" s="29" t="n"/>
      <c r="F49" s="30" t="n"/>
      <c r="G49" s="21">
        <f>IF(B49="","",IF(F49&lt;&gt;"","Done",IF(D49="","",IF(D49&lt;TODAY(),"Late",IF(D49-TODAY()&lt;=7,"This week","Coming")))))</f>
        <v/>
      </c>
      <c r="H49" s="29" t="n"/>
      <c r="I49" s="1" t="n"/>
      <c r="J49">
        <f>IF(AND(B49&lt;&gt;"",F49="",D49&lt;&gt;""),D49+ROW()/10000000,"")</f>
        <v/>
      </c>
    </row>
    <row r="50">
      <c r="A50" s="1" t="n"/>
      <c r="B50" s="5" t="n"/>
      <c r="C50" s="31" t="n"/>
      <c r="D50" s="19">
        <f>IF(OR(B50="",C50="",Dashboard!$C$5=""),"",Dashboard!$C$5-C50)</f>
        <v/>
      </c>
      <c r="E50" s="29" t="n"/>
      <c r="F50" s="30" t="n"/>
      <c r="G50" s="21">
        <f>IF(B50="","",IF(F50&lt;&gt;"","Done",IF(D50="","",IF(D50&lt;TODAY(),"Late",IF(D50-TODAY()&lt;=7,"This week","Coming")))))</f>
        <v/>
      </c>
      <c r="H50" s="29" t="n"/>
      <c r="I50" s="1" t="n"/>
      <c r="J50">
        <f>IF(AND(B50&lt;&gt;"",F50="",D50&lt;&gt;""),D50+ROW()/10000000,"")</f>
        <v/>
      </c>
    </row>
    <row r="51">
      <c r="A51" s="1" t="n"/>
      <c r="B51" s="5" t="n"/>
      <c r="C51" s="31" t="n"/>
      <c r="D51" s="19">
        <f>IF(OR(B51="",C51="",Dashboard!$C$5=""),"",Dashboard!$C$5-C51)</f>
        <v/>
      </c>
      <c r="E51" s="29" t="n"/>
      <c r="F51" s="30" t="n"/>
      <c r="G51" s="21">
        <f>IF(B51="","",IF(F51&lt;&gt;"","Done",IF(D51="","",IF(D51&lt;TODAY(),"Late",IF(D51-TODAY()&lt;=7,"This week","Coming")))))</f>
        <v/>
      </c>
      <c r="H51" s="29" t="n"/>
      <c r="I51" s="1" t="n"/>
      <c r="J51">
        <f>IF(AND(B51&lt;&gt;"",F51="",D51&lt;&gt;""),D51+ROW()/10000000,"")</f>
        <v/>
      </c>
    </row>
    <row r="52">
      <c r="A52" s="1" t="n"/>
      <c r="B52" s="5" t="n"/>
      <c r="C52" s="31" t="n"/>
      <c r="D52" s="19">
        <f>IF(OR(B52="",C52="",Dashboard!$C$5=""),"",Dashboard!$C$5-C52)</f>
        <v/>
      </c>
      <c r="E52" s="29" t="n"/>
      <c r="F52" s="30" t="n"/>
      <c r="G52" s="21">
        <f>IF(B52="","",IF(F52&lt;&gt;"","Done",IF(D52="","",IF(D52&lt;TODAY(),"Late",IF(D52-TODAY()&lt;=7,"This week","Coming")))))</f>
        <v/>
      </c>
      <c r="H52" s="29" t="n"/>
      <c r="I52" s="1" t="n"/>
      <c r="J52">
        <f>IF(AND(B52&lt;&gt;"",F52="",D52&lt;&gt;""),D52+ROW()/10000000,"")</f>
        <v/>
      </c>
    </row>
    <row r="53">
      <c r="A53" s="1" t="n"/>
      <c r="B53" s="5" t="n"/>
      <c r="C53" s="31" t="n"/>
      <c r="D53" s="19">
        <f>IF(OR(B53="",C53="",Dashboard!$C$5=""),"",Dashboard!$C$5-C53)</f>
        <v/>
      </c>
      <c r="E53" s="29" t="n"/>
      <c r="F53" s="30" t="n"/>
      <c r="G53" s="21">
        <f>IF(B53="","",IF(F53&lt;&gt;"","Done",IF(D53="","",IF(D53&lt;TODAY(),"Late",IF(D53-TODAY()&lt;=7,"This week","Coming")))))</f>
        <v/>
      </c>
      <c r="H53" s="29" t="n"/>
      <c r="I53" s="1" t="n"/>
      <c r="J53">
        <f>IF(AND(B53&lt;&gt;"",F53="",D53&lt;&gt;""),D53+ROW()/10000000,"")</f>
        <v/>
      </c>
    </row>
    <row r="54">
      <c r="A54" s="1" t="n"/>
      <c r="B54" s="5" t="n"/>
      <c r="C54" s="31" t="n"/>
      <c r="D54" s="19">
        <f>IF(OR(B54="",C54="",Dashboard!$C$5=""),"",Dashboard!$C$5-C54)</f>
        <v/>
      </c>
      <c r="E54" s="29" t="n"/>
      <c r="F54" s="30" t="n"/>
      <c r="G54" s="21">
        <f>IF(B54="","",IF(F54&lt;&gt;"","Done",IF(D54="","",IF(D54&lt;TODAY(),"Late",IF(D54-TODAY()&lt;=7,"This week","Coming")))))</f>
        <v/>
      </c>
      <c r="H54" s="29" t="n"/>
      <c r="I54" s="1" t="n"/>
      <c r="J54">
        <f>IF(AND(B54&lt;&gt;"",F54="",D54&lt;&gt;""),D54+ROW()/10000000,"")</f>
        <v/>
      </c>
    </row>
    <row r="55">
      <c r="A55" s="1" t="n"/>
      <c r="B55" s="5" t="n"/>
      <c r="C55" s="31" t="n"/>
      <c r="D55" s="19">
        <f>IF(OR(B55="",C55="",Dashboard!$C$5=""),"",Dashboard!$C$5-C55)</f>
        <v/>
      </c>
      <c r="E55" s="29" t="n"/>
      <c r="F55" s="30" t="n"/>
      <c r="G55" s="21">
        <f>IF(B55="","",IF(F55&lt;&gt;"","Done",IF(D55="","",IF(D55&lt;TODAY(),"Late",IF(D55-TODAY()&lt;=7,"This week","Coming")))))</f>
        <v/>
      </c>
      <c r="H55" s="29" t="n"/>
      <c r="I55" s="1" t="n"/>
      <c r="J55">
        <f>IF(AND(B55&lt;&gt;"",F55="",D55&lt;&gt;""),D55+ROW()/10000000,"")</f>
        <v/>
      </c>
    </row>
    <row r="56">
      <c r="A56" s="1" t="n"/>
      <c r="B56" s="5" t="n"/>
      <c r="C56" s="31" t="n"/>
      <c r="D56" s="19">
        <f>IF(OR(B56="",C56="",Dashboard!$C$5=""),"",Dashboard!$C$5-C56)</f>
        <v/>
      </c>
      <c r="E56" s="29" t="n"/>
      <c r="F56" s="30" t="n"/>
      <c r="G56" s="21">
        <f>IF(B56="","",IF(F56&lt;&gt;"","Done",IF(D56="","",IF(D56&lt;TODAY(),"Late",IF(D56-TODAY()&lt;=7,"This week","Coming")))))</f>
        <v/>
      </c>
      <c r="H56" s="29" t="n"/>
      <c r="I56" s="1" t="n"/>
      <c r="J56">
        <f>IF(AND(B56&lt;&gt;"",F56="",D56&lt;&gt;""),D56+ROW()/10000000,"")</f>
        <v/>
      </c>
    </row>
    <row r="57">
      <c r="A57" s="1" t="n"/>
      <c r="B57" s="5" t="n"/>
      <c r="C57" s="31" t="n"/>
      <c r="D57" s="19">
        <f>IF(OR(B57="",C57="",Dashboard!$C$5=""),"",Dashboard!$C$5-C57)</f>
        <v/>
      </c>
      <c r="E57" s="29" t="n"/>
      <c r="F57" s="30" t="n"/>
      <c r="G57" s="21">
        <f>IF(B57="","",IF(F57&lt;&gt;"","Done",IF(D57="","",IF(D57&lt;TODAY(),"Late",IF(D57-TODAY()&lt;=7,"This week","Coming")))))</f>
        <v/>
      </c>
      <c r="H57" s="29" t="n"/>
      <c r="I57" s="1" t="n"/>
      <c r="J57">
        <f>IF(AND(B57&lt;&gt;"",F57="",D57&lt;&gt;""),D57+ROW()/10000000,"")</f>
        <v/>
      </c>
    </row>
    <row r="58">
      <c r="A58" s="1" t="n"/>
      <c r="B58" s="5" t="n"/>
      <c r="C58" s="31" t="n"/>
      <c r="D58" s="19">
        <f>IF(OR(B58="",C58="",Dashboard!$C$5=""),"",Dashboard!$C$5-C58)</f>
        <v/>
      </c>
      <c r="E58" s="29" t="n"/>
      <c r="F58" s="30" t="n"/>
      <c r="G58" s="21">
        <f>IF(B58="","",IF(F58&lt;&gt;"","Done",IF(D58="","",IF(D58&lt;TODAY(),"Late",IF(D58-TODAY()&lt;=7,"This week","Coming")))))</f>
        <v/>
      </c>
      <c r="H58" s="29" t="n"/>
      <c r="I58" s="1" t="n"/>
      <c r="J58">
        <f>IF(AND(B58&lt;&gt;"",F58="",D58&lt;&gt;""),D58+ROW()/10000000,"")</f>
        <v/>
      </c>
    </row>
    <row r="59">
      <c r="A59" s="1" t="n"/>
      <c r="B59" s="5" t="n"/>
      <c r="C59" s="31" t="n"/>
      <c r="D59" s="19">
        <f>IF(OR(B59="",C59="",Dashboard!$C$5=""),"",Dashboard!$C$5-C59)</f>
        <v/>
      </c>
      <c r="E59" s="29" t="n"/>
      <c r="F59" s="30" t="n"/>
      <c r="G59" s="21">
        <f>IF(B59="","",IF(F59&lt;&gt;"","Done",IF(D59="","",IF(D59&lt;TODAY(),"Late",IF(D59-TODAY()&lt;=7,"This week","Coming")))))</f>
        <v/>
      </c>
      <c r="H59" s="29" t="n"/>
      <c r="I59" s="1" t="n"/>
      <c r="J59">
        <f>IF(AND(B59&lt;&gt;"",F59="",D59&lt;&gt;""),D59+ROW()/10000000,"")</f>
        <v/>
      </c>
    </row>
    <row r="60">
      <c r="A60" s="1" t="n"/>
      <c r="B60" s="5" t="n"/>
      <c r="C60" s="31" t="n"/>
      <c r="D60" s="19">
        <f>IF(OR(B60="",C60="",Dashboard!$C$5=""),"",Dashboard!$C$5-C60)</f>
        <v/>
      </c>
      <c r="E60" s="29" t="n"/>
      <c r="F60" s="30" t="n"/>
      <c r="G60" s="21">
        <f>IF(B60="","",IF(F60&lt;&gt;"","Done",IF(D60="","",IF(D60&lt;TODAY(),"Late",IF(D60-TODAY()&lt;=7,"This week","Coming")))))</f>
        <v/>
      </c>
      <c r="H60" s="29" t="n"/>
      <c r="I60" s="1" t="n"/>
      <c r="J60">
        <f>IF(AND(B60&lt;&gt;"",F60="",D60&lt;&gt;""),D60+ROW()/10000000,"")</f>
        <v/>
      </c>
    </row>
    <row r="61">
      <c r="A61" s="1" t="n"/>
      <c r="B61" s="5" t="n"/>
      <c r="C61" s="31" t="n"/>
      <c r="D61" s="19">
        <f>IF(OR(B61="",C61="",Dashboard!$C$5=""),"",Dashboard!$C$5-C61)</f>
        <v/>
      </c>
      <c r="E61" s="29" t="n"/>
      <c r="F61" s="30" t="n"/>
      <c r="G61" s="21">
        <f>IF(B61="","",IF(F61&lt;&gt;"","Done",IF(D61="","",IF(D61&lt;TODAY(),"Late",IF(D61-TODAY()&lt;=7,"This week","Coming")))))</f>
        <v/>
      </c>
      <c r="H61" s="29" t="n"/>
      <c r="I61" s="1" t="n"/>
      <c r="J61">
        <f>IF(AND(B61&lt;&gt;"",F61="",D61&lt;&gt;""),D61+ROW()/10000000,"")</f>
        <v/>
      </c>
    </row>
    <row r="62">
      <c r="A62" s="1" t="n"/>
      <c r="B62" s="5" t="n"/>
      <c r="C62" s="31" t="n"/>
      <c r="D62" s="19">
        <f>IF(OR(B62="",C62="",Dashboard!$C$5=""),"",Dashboard!$C$5-C62)</f>
        <v/>
      </c>
      <c r="E62" s="29" t="n"/>
      <c r="F62" s="30" t="n"/>
      <c r="G62" s="21">
        <f>IF(B62="","",IF(F62&lt;&gt;"","Done",IF(D62="","",IF(D62&lt;TODAY(),"Late",IF(D62-TODAY()&lt;=7,"This week","Coming")))))</f>
        <v/>
      </c>
      <c r="H62" s="29" t="n"/>
      <c r="I62" s="1" t="n"/>
      <c r="J62">
        <f>IF(AND(B62&lt;&gt;"",F62="",D62&lt;&gt;""),D62+ROW()/10000000,"")</f>
        <v/>
      </c>
    </row>
    <row r="63">
      <c r="A63" s="1" t="n"/>
      <c r="B63" s="5" t="n"/>
      <c r="C63" s="31" t="n"/>
      <c r="D63" s="19">
        <f>IF(OR(B63="",C63="",Dashboard!$C$5=""),"",Dashboard!$C$5-C63)</f>
        <v/>
      </c>
      <c r="E63" s="29" t="n"/>
      <c r="F63" s="30" t="n"/>
      <c r="G63" s="21">
        <f>IF(B63="","",IF(F63&lt;&gt;"","Done",IF(D63="","",IF(D63&lt;TODAY(),"Late",IF(D63-TODAY()&lt;=7,"This week","Coming")))))</f>
        <v/>
      </c>
      <c r="H63" s="29" t="n"/>
      <c r="I63" s="1" t="n"/>
      <c r="J63">
        <f>IF(AND(B63&lt;&gt;"",F63="",D63&lt;&gt;""),D63+ROW()/10000000,"")</f>
        <v/>
      </c>
    </row>
    <row r="64">
      <c r="A64" s="1" t="n"/>
      <c r="B64" s="5" t="n"/>
      <c r="C64" s="31" t="n"/>
      <c r="D64" s="19">
        <f>IF(OR(B64="",C64="",Dashboard!$C$5=""),"",Dashboard!$C$5-C64)</f>
        <v/>
      </c>
      <c r="E64" s="29" t="n"/>
      <c r="F64" s="30" t="n"/>
      <c r="G64" s="21">
        <f>IF(B64="","",IF(F64&lt;&gt;"","Done",IF(D64="","",IF(D64&lt;TODAY(),"Late",IF(D64-TODAY()&lt;=7,"This week","Coming")))))</f>
        <v/>
      </c>
      <c r="H64" s="29" t="n"/>
      <c r="I64" s="1" t="n"/>
      <c r="J64">
        <f>IF(AND(B64&lt;&gt;"",F64="",D64&lt;&gt;""),D64+ROW()/10000000,"")</f>
        <v/>
      </c>
    </row>
    <row r="65">
      <c r="A65" s="1" t="n"/>
      <c r="B65" s="5" t="n"/>
      <c r="C65" s="31" t="n"/>
      <c r="D65" s="19">
        <f>IF(OR(B65="",C65="",Dashboard!$C$5=""),"",Dashboard!$C$5-C65)</f>
        <v/>
      </c>
      <c r="E65" s="29" t="n"/>
      <c r="F65" s="30" t="n"/>
      <c r="G65" s="21">
        <f>IF(B65="","",IF(F65&lt;&gt;"","Done",IF(D65="","",IF(D65&lt;TODAY(),"Late",IF(D65-TODAY()&lt;=7,"This week","Coming")))))</f>
        <v/>
      </c>
      <c r="H65" s="29" t="n"/>
      <c r="I65" s="1" t="n"/>
      <c r="J65">
        <f>IF(AND(B65&lt;&gt;"",F65="",D65&lt;&gt;""),D65+ROW()/10000000,"")</f>
        <v/>
      </c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</row>
  </sheetData>
  <conditionalFormatting sqref="G6:G65">
    <cfRule type="expression" priority="1" dxfId="3">
      <formula>G6="Done"</formula>
    </cfRule>
    <cfRule type="expression" priority="2" dxfId="1">
      <formula>G6="Late"</formula>
    </cfRule>
    <cfRule type="expression" priority="3" dxfId="2">
      <formula>G6="This week"</formula>
    </cfRule>
  </conditionalFormatting>
  <conditionalFormatting sqref="B6:E65">
    <cfRule type="expression" priority="4" dxfId="5">
      <formula>$F6&lt;&gt;""</formula>
    </cfRule>
  </conditionalFormatting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49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1" customWidth="1" min="11" max="11"/>
    <col width="8" customWidth="1" min="12" max="12"/>
    <col width="20" customWidth="1" min="13" max="13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32" customHeight="1">
      <c r="A2" s="1" t="n"/>
      <c r="B2" s="2" t="inlineStr">
        <is>
          <t>Food and drinks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1" t="n"/>
      <c r="B3" s="3" t="inlineStr">
        <is>
          <t>How much to buy, for everyone who may come: the yes, the maybe and those who have not answered. Amounts per person are for the whole party.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1" t="n"/>
      <c r="B4" s="4" t="inlineStr">
        <is>
          <t>Adults</t>
        </is>
      </c>
      <c r="C4" s="23">
        <f>SUMIFS(Guests!$M$6:$M$305,Guests!$D$6:$D$305,"&lt;&gt;No")</f>
        <v/>
      </c>
      <c r="D4" s="1" t="n"/>
      <c r="E4" s="4" t="inlineStr">
        <is>
          <t>Extra, to be safe</t>
        </is>
      </c>
      <c r="F4" s="1" t="n"/>
      <c r="G4" s="32" t="n">
        <v>0.1</v>
      </c>
      <c r="H4" s="1" t="n"/>
      <c r="I4" s="33" t="inlineStr">
        <is>
          <t>A common rule for drinks: one per guest for each hour, and one more.</t>
        </is>
      </c>
      <c r="J4" s="1" t="n"/>
      <c r="K4" s="1" t="n"/>
      <c r="L4" s="1" t="n"/>
      <c r="M4" s="1" t="n"/>
      <c r="N4" s="1" t="n"/>
    </row>
    <row r="5">
      <c r="A5" s="1" t="n"/>
      <c r="B5" s="4" t="inlineStr">
        <is>
          <t>Kids</t>
        </is>
      </c>
      <c r="C5" s="23">
        <f>SUMIFS(Guests!$N$6:$N$305,Guests!$D$6:$D$305,"&lt;&gt;No")</f>
        <v/>
      </c>
      <c r="D5" s="1" t="n"/>
      <c r="E5" s="1" t="n"/>
      <c r="F5" s="1" t="n"/>
      <c r="G5" s="1" t="n"/>
      <c r="H5" s="1" t="n"/>
      <c r="I5" s="33" t="inlineStr">
        <is>
          <t>Needed and packs round up, so there is always enough.</t>
        </is>
      </c>
      <c r="J5" s="1" t="n"/>
      <c r="K5" s="1" t="n"/>
      <c r="L5" s="1" t="n"/>
      <c r="M5" s="1" t="n"/>
      <c r="N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 ht="30" customHeight="1">
      <c r="A7" s="1" t="n"/>
      <c r="B7" s="17" t="inlineStr">
        <is>
          <t>Item</t>
        </is>
      </c>
      <c r="C7" s="17" t="inlineStr">
        <is>
          <t>Kind</t>
        </is>
      </c>
      <c r="D7" s="17" t="inlineStr">
        <is>
          <t>Per adult</t>
        </is>
      </c>
      <c r="E7" s="17" t="inlineStr">
        <is>
          <t>Per kid</t>
        </is>
      </c>
      <c r="F7" s="17" t="inlineStr">
        <is>
          <t>Unit</t>
        </is>
      </c>
      <c r="G7" s="17" t="inlineStr">
        <is>
          <t>Needed</t>
        </is>
      </c>
      <c r="H7" s="17" t="inlineStr">
        <is>
          <t>Pack of</t>
        </is>
      </c>
      <c r="I7" s="17" t="inlineStr">
        <is>
          <t>Packs</t>
        </is>
      </c>
      <c r="J7" s="17" t="inlineStr">
        <is>
          <t>Price a pack</t>
        </is>
      </c>
      <c r="K7" s="17" t="inlineStr">
        <is>
          <t>Cost</t>
        </is>
      </c>
      <c r="L7" s="17" t="inlineStr">
        <is>
          <t>Bought</t>
        </is>
      </c>
      <c r="M7" s="17" t="inlineStr">
        <is>
          <t>Where</t>
        </is>
      </c>
      <c r="N7" s="1" t="n"/>
    </row>
    <row r="8">
      <c r="A8" s="1" t="n"/>
      <c r="B8" s="5" t="inlineStr">
        <is>
          <t>Pizza</t>
        </is>
      </c>
      <c r="C8" s="29" t="inlineStr">
        <is>
          <t>Food</t>
        </is>
      </c>
      <c r="D8" s="34" t="n">
        <v>2</v>
      </c>
      <c r="E8" s="34" t="n">
        <v>2</v>
      </c>
      <c r="F8" s="30" t="inlineStr">
        <is>
          <t>slices</t>
        </is>
      </c>
      <c r="G8" s="23">
        <f>IF(B8="","",ROUNDUP(ROUND((N(D8)*$C$4+N(E8)*$C$5)*(1+N($G$4)),6),0))</f>
        <v/>
      </c>
      <c r="H8" s="31" t="n">
        <v>8</v>
      </c>
      <c r="I8" s="23">
        <f>IF(OR(G8="",N(H8)=0),"",ROUNDUP(ROUND(G8/H8,6),0))</f>
        <v/>
      </c>
      <c r="J8" s="35" t="n">
        <v>11</v>
      </c>
      <c r="K8" s="36">
        <f>IF(OR(I8="",J8=""),"",I8*J8)</f>
        <v/>
      </c>
      <c r="L8" s="30" t="n"/>
      <c r="M8" s="29" t="n"/>
      <c r="N8" s="1" t="n"/>
    </row>
    <row r="9">
      <c r="A9" s="1" t="n"/>
      <c r="B9" s="5" t="inlineStr">
        <is>
          <t>Wraps and sandwiches</t>
        </is>
      </c>
      <c r="C9" s="29" t="inlineStr">
        <is>
          <t>Food</t>
        </is>
      </c>
      <c r="D9" s="34" t="n">
        <v>1</v>
      </c>
      <c r="E9" s="34" t="n">
        <v>0.5</v>
      </c>
      <c r="F9" s="30" t="inlineStr">
        <is>
          <t>pieces</t>
        </is>
      </c>
      <c r="G9" s="23">
        <f>IF(B9="","",ROUNDUP(ROUND((N(D9)*$C$4+N(E9)*$C$5)*(1+N($G$4)),6),0))</f>
        <v/>
      </c>
      <c r="H9" s="31" t="n">
        <v>12</v>
      </c>
      <c r="I9" s="23">
        <f>IF(OR(G9="",N(H9)=0),"",ROUNDUP(ROUND(G9/H9,6),0))</f>
        <v/>
      </c>
      <c r="J9" s="35" t="n">
        <v>12</v>
      </c>
      <c r="K9" s="36">
        <f>IF(OR(I9="",J9=""),"",I9*J9)</f>
        <v/>
      </c>
      <c r="L9" s="30" t="n"/>
      <c r="M9" s="29" t="n"/>
      <c r="N9" s="1" t="n"/>
    </row>
    <row r="10">
      <c r="A10" s="1" t="n"/>
      <c r="B10" s="5" t="inlineStr">
        <is>
          <t>Crisps and snacks</t>
        </is>
      </c>
      <c r="C10" s="29" t="inlineStr">
        <is>
          <t>Food</t>
        </is>
      </c>
      <c r="D10" s="34" t="n">
        <v>0.5</v>
      </c>
      <c r="E10" s="34" t="n">
        <v>0.5</v>
      </c>
      <c r="F10" s="30" t="inlineStr">
        <is>
          <t>bags</t>
        </is>
      </c>
      <c r="G10" s="23">
        <f>IF(B10="","",ROUNDUP(ROUND((N(D10)*$C$4+N(E10)*$C$5)*(1+N($G$4)),6),0))</f>
        <v/>
      </c>
      <c r="H10" s="31" t="n">
        <v>6</v>
      </c>
      <c r="I10" s="23">
        <f>IF(OR(G10="",N(H10)=0),"",ROUNDUP(ROUND(G10/H10,6),0))</f>
        <v/>
      </c>
      <c r="J10" s="35" t="n">
        <v>3.2</v>
      </c>
      <c r="K10" s="36">
        <f>IF(OR(I10="",J10=""),"",I10*J10)</f>
        <v/>
      </c>
      <c r="L10" s="30" t="inlineStr">
        <is>
          <t>x</t>
        </is>
      </c>
      <c r="M10" s="29" t="n"/>
      <c r="N10" s="1" t="n"/>
    </row>
    <row r="11">
      <c r="A11" s="1" t="n"/>
      <c r="B11" s="5" t="inlineStr">
        <is>
          <t>Fruit platter</t>
        </is>
      </c>
      <c r="C11" s="29" t="inlineStr">
        <is>
          <t>Food</t>
        </is>
      </c>
      <c r="D11" s="34" t="n">
        <v>0.5</v>
      </c>
      <c r="E11" s="34" t="n">
        <v>1</v>
      </c>
      <c r="F11" s="30" t="inlineStr">
        <is>
          <t>portions</t>
        </is>
      </c>
      <c r="G11" s="23">
        <f>IF(B11="","",ROUNDUP(ROUND((N(D11)*$C$4+N(E11)*$C$5)*(1+N($G$4)),6),0))</f>
        <v/>
      </c>
      <c r="H11" s="31" t="n">
        <v>12</v>
      </c>
      <c r="I11" s="23">
        <f>IF(OR(G11="",N(H11)=0),"",ROUNDUP(ROUND(G11/H11,6),0))</f>
        <v/>
      </c>
      <c r="J11" s="35" t="n">
        <v>10</v>
      </c>
      <c r="K11" s="36">
        <f>IF(OR(I11="",J11=""),"",I11*J11)</f>
        <v/>
      </c>
      <c r="L11" s="30" t="n"/>
      <c r="M11" s="29" t="n"/>
      <c r="N11" s="1" t="n"/>
    </row>
    <row r="12">
      <c r="A12" s="1" t="n"/>
      <c r="B12" s="5" t="inlineStr">
        <is>
          <t>Veggies and dip</t>
        </is>
      </c>
      <c r="C12" s="29" t="inlineStr">
        <is>
          <t>Food</t>
        </is>
      </c>
      <c r="D12" s="34" t="n">
        <v>0.3</v>
      </c>
      <c r="E12" s="34" t="n">
        <v>0.2</v>
      </c>
      <c r="F12" s="30" t="inlineStr">
        <is>
          <t>portions</t>
        </is>
      </c>
      <c r="G12" s="23">
        <f>IF(B12="","",ROUNDUP(ROUND((N(D12)*$C$4+N(E12)*$C$5)*(1+N($G$4)),6),0))</f>
        <v/>
      </c>
      <c r="H12" s="31" t="n">
        <v>10</v>
      </c>
      <c r="I12" s="23">
        <f>IF(OR(G12="",N(H12)=0),"",ROUNDUP(ROUND(G12/H12,6),0))</f>
        <v/>
      </c>
      <c r="J12" s="35" t="n">
        <v>9.5</v>
      </c>
      <c r="K12" s="36">
        <f>IF(OR(I12="",J12=""),"",I12*J12)</f>
        <v/>
      </c>
      <c r="L12" s="30" t="n"/>
      <c r="M12" s="29" t="n"/>
      <c r="N12" s="1" t="n"/>
    </row>
    <row r="13">
      <c r="A13" s="1" t="n"/>
      <c r="B13" s="5" t="inlineStr">
        <is>
          <t>Soft drinks</t>
        </is>
      </c>
      <c r="C13" s="29" t="inlineStr">
        <is>
          <t>Drinks</t>
        </is>
      </c>
      <c r="D13" s="34" t="n">
        <v>2</v>
      </c>
      <c r="E13" s="34" t="n">
        <v>1</v>
      </c>
      <c r="F13" s="30" t="inlineStr">
        <is>
          <t>cans</t>
        </is>
      </c>
      <c r="G13" s="23">
        <f>IF(B13="","",ROUNDUP(ROUND((N(D13)*$C$4+N(E13)*$C$5)*(1+N($G$4)),6),0))</f>
        <v/>
      </c>
      <c r="H13" s="31" t="n">
        <v>24</v>
      </c>
      <c r="I13" s="23">
        <f>IF(OR(G13="",N(H13)=0),"",ROUNDUP(ROUND(G13/H13,6),0))</f>
        <v/>
      </c>
      <c r="J13" s="35" t="n">
        <v>11</v>
      </c>
      <c r="K13" s="36">
        <f>IF(OR(I13="",J13=""),"",I13*J13)</f>
        <v/>
      </c>
      <c r="L13" s="30" t="inlineStr">
        <is>
          <t>x</t>
        </is>
      </c>
      <c r="M13" s="29" t="n"/>
      <c r="N13" s="1" t="n"/>
    </row>
    <row r="14">
      <c r="A14" s="1" t="n"/>
      <c r="B14" s="5" t="inlineStr">
        <is>
          <t>Juice boxes</t>
        </is>
      </c>
      <c r="C14" s="29" t="inlineStr">
        <is>
          <t>Drinks</t>
        </is>
      </c>
      <c r="D14" s="34" t="n">
        <v>0</v>
      </c>
      <c r="E14" s="34" t="n">
        <v>2</v>
      </c>
      <c r="F14" s="30" t="inlineStr">
        <is>
          <t>boxes</t>
        </is>
      </c>
      <c r="G14" s="23">
        <f>IF(B14="","",ROUNDUP(ROUND((N(D14)*$C$4+N(E14)*$C$5)*(1+N($G$4)),6),0))</f>
        <v/>
      </c>
      <c r="H14" s="31" t="n">
        <v>10</v>
      </c>
      <c r="I14" s="23">
        <f>IF(OR(G14="",N(H14)=0),"",ROUNDUP(ROUND(G14/H14,6),0))</f>
        <v/>
      </c>
      <c r="J14" s="35" t="n">
        <v>4.5</v>
      </c>
      <c r="K14" s="36">
        <f>IF(OR(I14="",J14=""),"",I14*J14)</f>
        <v/>
      </c>
      <c r="L14" s="30" t="inlineStr">
        <is>
          <t>x</t>
        </is>
      </c>
      <c r="M14" s="29" t="n"/>
      <c r="N14" s="1" t="n"/>
    </row>
    <row r="15">
      <c r="A15" s="1" t="n"/>
      <c r="B15" s="5" t="inlineStr">
        <is>
          <t>Water</t>
        </is>
      </c>
      <c r="C15" s="29" t="inlineStr">
        <is>
          <t>Drinks</t>
        </is>
      </c>
      <c r="D15" s="34" t="n">
        <v>1</v>
      </c>
      <c r="E15" s="34" t="n">
        <v>1</v>
      </c>
      <c r="F15" s="30" t="inlineStr">
        <is>
          <t>bottles</t>
        </is>
      </c>
      <c r="G15" s="23">
        <f>IF(B15="","",ROUNDUP(ROUND((N(D15)*$C$4+N(E15)*$C$5)*(1+N($G$4)),6),0))</f>
        <v/>
      </c>
      <c r="H15" s="31" t="n">
        <v>24</v>
      </c>
      <c r="I15" s="23">
        <f>IF(OR(G15="",N(H15)=0),"",ROUNDUP(ROUND(G15/H15,6),0))</f>
        <v/>
      </c>
      <c r="J15" s="35" t="n">
        <v>5</v>
      </c>
      <c r="K15" s="36">
        <f>IF(OR(I15="",J15=""),"",I15*J15)</f>
        <v/>
      </c>
      <c r="L15" s="30" t="n"/>
      <c r="M15" s="29" t="n"/>
      <c r="N15" s="1" t="n"/>
    </row>
    <row r="16">
      <c r="A16" s="1" t="n"/>
      <c r="B16" s="5" t="inlineStr">
        <is>
          <t>Coffee and tea</t>
        </is>
      </c>
      <c r="C16" s="29" t="inlineStr">
        <is>
          <t>Drinks</t>
        </is>
      </c>
      <c r="D16" s="34" t="n">
        <v>1</v>
      </c>
      <c r="E16" s="34" t="n">
        <v>0</v>
      </c>
      <c r="F16" s="30" t="inlineStr">
        <is>
          <t>cups</t>
        </is>
      </c>
      <c r="G16" s="23">
        <f>IF(B16="","",ROUNDUP(ROUND((N(D16)*$C$4+N(E16)*$C$5)*(1+N($G$4)),6),0))</f>
        <v/>
      </c>
      <c r="H16" s="31" t="n">
        <v>40</v>
      </c>
      <c r="I16" s="23">
        <f>IF(OR(G16="",N(H16)=0),"",ROUNDUP(ROUND(G16/H16,6),0))</f>
        <v/>
      </c>
      <c r="J16" s="35" t="n">
        <v>7.5</v>
      </c>
      <c r="K16" s="36">
        <f>IF(OR(I16="",J16=""),"",I16*J16)</f>
        <v/>
      </c>
      <c r="L16" s="30" t="n"/>
      <c r="M16" s="29" t="n"/>
      <c r="N16" s="1" t="n"/>
    </row>
    <row r="17">
      <c r="A17" s="1" t="n"/>
      <c r="B17" s="5" t="inlineStr">
        <is>
          <t>Ice</t>
        </is>
      </c>
      <c r="C17" s="29" t="inlineStr">
        <is>
          <t>Drinks</t>
        </is>
      </c>
      <c r="D17" s="34" t="n">
        <v>0.05</v>
      </c>
      <c r="E17" s="34" t="n">
        <v>0.05</v>
      </c>
      <c r="F17" s="30" t="inlineStr">
        <is>
          <t>bags</t>
        </is>
      </c>
      <c r="G17" s="23">
        <f>IF(B17="","",ROUNDUP(ROUND((N(D17)*$C$4+N(E17)*$C$5)*(1+N($G$4)),6),0))</f>
        <v/>
      </c>
      <c r="H17" s="31" t="n">
        <v>1</v>
      </c>
      <c r="I17" s="23">
        <f>IF(OR(G17="",N(H17)=0),"",ROUNDUP(ROUND(G17/H17,6),0))</f>
        <v/>
      </c>
      <c r="J17" s="35" t="n">
        <v>2.5</v>
      </c>
      <c r="K17" s="36">
        <f>IF(OR(I17="",J17=""),"",I17*J17)</f>
        <v/>
      </c>
      <c r="L17" s="30" t="n"/>
      <c r="M17" s="29" t="n"/>
      <c r="N17" s="1" t="n"/>
    </row>
    <row r="18">
      <c r="A18" s="1" t="n"/>
      <c r="B18" s="5" t="inlineStr">
        <is>
          <t>Plates</t>
        </is>
      </c>
      <c r="C18" s="29" t="inlineStr">
        <is>
          <t>Supplies</t>
        </is>
      </c>
      <c r="D18" s="34" t="n">
        <v>2</v>
      </c>
      <c r="E18" s="34" t="n">
        <v>2</v>
      </c>
      <c r="F18" s="30" t="inlineStr">
        <is>
          <t>plates</t>
        </is>
      </c>
      <c r="G18" s="23">
        <f>IF(B18="","",ROUNDUP(ROUND((N(D18)*$C$4+N(E18)*$C$5)*(1+N($G$4)),6),0))</f>
        <v/>
      </c>
      <c r="H18" s="31" t="n">
        <v>50</v>
      </c>
      <c r="I18" s="23">
        <f>IF(OR(G18="",N(H18)=0),"",ROUNDUP(ROUND(G18/H18,6),0))</f>
        <v/>
      </c>
      <c r="J18" s="35" t="n">
        <v>4</v>
      </c>
      <c r="K18" s="36">
        <f>IF(OR(I18="",J18=""),"",I18*J18)</f>
        <v/>
      </c>
      <c r="L18" s="30" t="inlineStr">
        <is>
          <t>x</t>
        </is>
      </c>
      <c r="M18" s="29" t="n"/>
      <c r="N18" s="1" t="n"/>
    </row>
    <row r="19">
      <c r="A19" s="1" t="n"/>
      <c r="B19" s="5" t="inlineStr">
        <is>
          <t>Cups</t>
        </is>
      </c>
      <c r="C19" s="29" t="inlineStr">
        <is>
          <t>Supplies</t>
        </is>
      </c>
      <c r="D19" s="34" t="n">
        <v>3</v>
      </c>
      <c r="E19" s="34" t="n">
        <v>3</v>
      </c>
      <c r="F19" s="30" t="inlineStr">
        <is>
          <t>cups</t>
        </is>
      </c>
      <c r="G19" s="23">
        <f>IF(B19="","",ROUNDUP(ROUND((N(D19)*$C$4+N(E19)*$C$5)*(1+N($G$4)),6),0))</f>
        <v/>
      </c>
      <c r="H19" s="31" t="n">
        <v>50</v>
      </c>
      <c r="I19" s="23">
        <f>IF(OR(G19="",N(H19)=0),"",ROUNDUP(ROUND(G19/H19,6),0))</f>
        <v/>
      </c>
      <c r="J19" s="35" t="n">
        <v>3.5</v>
      </c>
      <c r="K19" s="36">
        <f>IF(OR(I19="",J19=""),"",I19*J19)</f>
        <v/>
      </c>
      <c r="L19" s="30" t="inlineStr">
        <is>
          <t>x</t>
        </is>
      </c>
      <c r="M19" s="29" t="n"/>
      <c r="N19" s="1" t="n"/>
    </row>
    <row r="20">
      <c r="A20" s="1" t="n"/>
      <c r="B20" s="5" t="inlineStr">
        <is>
          <t>Napkins</t>
        </is>
      </c>
      <c r="C20" s="29" t="inlineStr">
        <is>
          <t>Supplies</t>
        </is>
      </c>
      <c r="D20" s="34" t="n">
        <v>3</v>
      </c>
      <c r="E20" s="34" t="n">
        <v>3</v>
      </c>
      <c r="F20" s="30" t="inlineStr">
        <is>
          <t>napkins</t>
        </is>
      </c>
      <c r="G20" s="23">
        <f>IF(B20="","",ROUNDUP(ROUND((N(D20)*$C$4+N(E20)*$C$5)*(1+N($G$4)),6),0))</f>
        <v/>
      </c>
      <c r="H20" s="31" t="n">
        <v>100</v>
      </c>
      <c r="I20" s="23">
        <f>IF(OR(G20="",N(H20)=0),"",ROUNDUP(ROUND(G20/H20,6),0))</f>
        <v/>
      </c>
      <c r="J20" s="35" t="n">
        <v>2.5</v>
      </c>
      <c r="K20" s="36">
        <f>IF(OR(I20="",J20=""),"",I20*J20)</f>
        <v/>
      </c>
      <c r="L20" s="30" t="inlineStr">
        <is>
          <t>x</t>
        </is>
      </c>
      <c r="M20" s="29" t="n"/>
      <c r="N20" s="1" t="n"/>
    </row>
    <row r="21">
      <c r="A21" s="1" t="n"/>
      <c r="B21" s="5" t="n"/>
      <c r="C21" s="29" t="n"/>
      <c r="D21" s="34" t="n"/>
      <c r="E21" s="34" t="n"/>
      <c r="F21" s="30" t="n"/>
      <c r="G21" s="23">
        <f>IF(B21="","",ROUNDUP(ROUND((N(D21)*$C$4+N(E21)*$C$5)*(1+N($G$4)),6),0))</f>
        <v/>
      </c>
      <c r="H21" s="31" t="n"/>
      <c r="I21" s="23">
        <f>IF(OR(G21="",N(H21)=0),"",ROUNDUP(ROUND(G21/H21,6),0))</f>
        <v/>
      </c>
      <c r="J21" s="35" t="n"/>
      <c r="K21" s="36">
        <f>IF(OR(I21="",J21=""),"",I21*J21)</f>
        <v/>
      </c>
      <c r="L21" s="30" t="n"/>
      <c r="M21" s="29" t="n"/>
      <c r="N21" s="1" t="n"/>
    </row>
    <row r="22">
      <c r="A22" s="1" t="n"/>
      <c r="B22" s="5" t="n"/>
      <c r="C22" s="29" t="n"/>
      <c r="D22" s="34" t="n"/>
      <c r="E22" s="34" t="n"/>
      <c r="F22" s="30" t="n"/>
      <c r="G22" s="23">
        <f>IF(B22="","",ROUNDUP(ROUND((N(D22)*$C$4+N(E22)*$C$5)*(1+N($G$4)),6),0))</f>
        <v/>
      </c>
      <c r="H22" s="31" t="n"/>
      <c r="I22" s="23">
        <f>IF(OR(G22="",N(H22)=0),"",ROUNDUP(ROUND(G22/H22,6),0))</f>
        <v/>
      </c>
      <c r="J22" s="35" t="n"/>
      <c r="K22" s="36">
        <f>IF(OR(I22="",J22=""),"",I22*J22)</f>
        <v/>
      </c>
      <c r="L22" s="30" t="n"/>
      <c r="M22" s="29" t="n"/>
      <c r="N22" s="1" t="n"/>
    </row>
    <row r="23">
      <c r="A23" s="1" t="n"/>
      <c r="B23" s="5" t="n"/>
      <c r="C23" s="29" t="n"/>
      <c r="D23" s="34" t="n"/>
      <c r="E23" s="34" t="n"/>
      <c r="F23" s="30" t="n"/>
      <c r="G23" s="23">
        <f>IF(B23="","",ROUNDUP(ROUND((N(D23)*$C$4+N(E23)*$C$5)*(1+N($G$4)),6),0))</f>
        <v/>
      </c>
      <c r="H23" s="31" t="n"/>
      <c r="I23" s="23">
        <f>IF(OR(G23="",N(H23)=0),"",ROUNDUP(ROUND(G23/H23,6),0))</f>
        <v/>
      </c>
      <c r="J23" s="35" t="n"/>
      <c r="K23" s="36">
        <f>IF(OR(I23="",J23=""),"",I23*J23)</f>
        <v/>
      </c>
      <c r="L23" s="30" t="n"/>
      <c r="M23" s="29" t="n"/>
      <c r="N23" s="1" t="n"/>
    </row>
    <row r="24">
      <c r="A24" s="1" t="n"/>
      <c r="B24" s="5" t="n"/>
      <c r="C24" s="29" t="n"/>
      <c r="D24" s="34" t="n"/>
      <c r="E24" s="34" t="n"/>
      <c r="F24" s="30" t="n"/>
      <c r="G24" s="23">
        <f>IF(B24="","",ROUNDUP(ROUND((N(D24)*$C$4+N(E24)*$C$5)*(1+N($G$4)),6),0))</f>
        <v/>
      </c>
      <c r="H24" s="31" t="n"/>
      <c r="I24" s="23">
        <f>IF(OR(G24="",N(H24)=0),"",ROUNDUP(ROUND(G24/H24,6),0))</f>
        <v/>
      </c>
      <c r="J24" s="35" t="n"/>
      <c r="K24" s="36">
        <f>IF(OR(I24="",J24=""),"",I24*J24)</f>
        <v/>
      </c>
      <c r="L24" s="30" t="n"/>
      <c r="M24" s="29" t="n"/>
      <c r="N24" s="1" t="n"/>
    </row>
    <row r="25">
      <c r="A25" s="1" t="n"/>
      <c r="B25" s="5" t="n"/>
      <c r="C25" s="29" t="n"/>
      <c r="D25" s="34" t="n"/>
      <c r="E25" s="34" t="n"/>
      <c r="F25" s="30" t="n"/>
      <c r="G25" s="23">
        <f>IF(B25="","",ROUNDUP(ROUND((N(D25)*$C$4+N(E25)*$C$5)*(1+N($G$4)),6),0))</f>
        <v/>
      </c>
      <c r="H25" s="31" t="n"/>
      <c r="I25" s="23">
        <f>IF(OR(G25="",N(H25)=0),"",ROUNDUP(ROUND(G25/H25,6),0))</f>
        <v/>
      </c>
      <c r="J25" s="35" t="n"/>
      <c r="K25" s="36">
        <f>IF(OR(I25="",J25=""),"",I25*J25)</f>
        <v/>
      </c>
      <c r="L25" s="30" t="n"/>
      <c r="M25" s="29" t="n"/>
      <c r="N25" s="1" t="n"/>
    </row>
    <row r="26">
      <c r="A26" s="1" t="n"/>
      <c r="B26" s="5" t="n"/>
      <c r="C26" s="29" t="n"/>
      <c r="D26" s="34" t="n"/>
      <c r="E26" s="34" t="n"/>
      <c r="F26" s="30" t="n"/>
      <c r="G26" s="23">
        <f>IF(B26="","",ROUNDUP(ROUND((N(D26)*$C$4+N(E26)*$C$5)*(1+N($G$4)),6),0))</f>
        <v/>
      </c>
      <c r="H26" s="31" t="n"/>
      <c r="I26" s="23">
        <f>IF(OR(G26="",N(H26)=0),"",ROUNDUP(ROUND(G26/H26,6),0))</f>
        <v/>
      </c>
      <c r="J26" s="35" t="n"/>
      <c r="K26" s="36">
        <f>IF(OR(I26="",J26=""),"",I26*J26)</f>
        <v/>
      </c>
      <c r="L26" s="30" t="n"/>
      <c r="M26" s="29" t="n"/>
      <c r="N26" s="1" t="n"/>
    </row>
    <row r="27">
      <c r="A27" s="1" t="n"/>
      <c r="B27" s="5" t="n"/>
      <c r="C27" s="29" t="n"/>
      <c r="D27" s="34" t="n"/>
      <c r="E27" s="34" t="n"/>
      <c r="F27" s="30" t="n"/>
      <c r="G27" s="23">
        <f>IF(B27="","",ROUNDUP(ROUND((N(D27)*$C$4+N(E27)*$C$5)*(1+N($G$4)),6),0))</f>
        <v/>
      </c>
      <c r="H27" s="31" t="n"/>
      <c r="I27" s="23">
        <f>IF(OR(G27="",N(H27)=0),"",ROUNDUP(ROUND(G27/H27,6),0))</f>
        <v/>
      </c>
      <c r="J27" s="35" t="n"/>
      <c r="K27" s="36">
        <f>IF(OR(I27="",J27=""),"",I27*J27)</f>
        <v/>
      </c>
      <c r="L27" s="30" t="n"/>
      <c r="M27" s="29" t="n"/>
      <c r="N27" s="1" t="n"/>
    </row>
    <row r="28">
      <c r="A28" s="1" t="n"/>
      <c r="B28" s="5" t="n"/>
      <c r="C28" s="29" t="n"/>
      <c r="D28" s="34" t="n"/>
      <c r="E28" s="34" t="n"/>
      <c r="F28" s="30" t="n"/>
      <c r="G28" s="23">
        <f>IF(B28="","",ROUNDUP(ROUND((N(D28)*$C$4+N(E28)*$C$5)*(1+N($G$4)),6),0))</f>
        <v/>
      </c>
      <c r="H28" s="31" t="n"/>
      <c r="I28" s="23">
        <f>IF(OR(G28="",N(H28)=0),"",ROUNDUP(ROUND(G28/H28,6),0))</f>
        <v/>
      </c>
      <c r="J28" s="35" t="n"/>
      <c r="K28" s="36">
        <f>IF(OR(I28="",J28=""),"",I28*J28)</f>
        <v/>
      </c>
      <c r="L28" s="30" t="n"/>
      <c r="M28" s="29" t="n"/>
      <c r="N28" s="1" t="n"/>
    </row>
    <row r="29">
      <c r="A29" s="1" t="n"/>
      <c r="B29" s="5" t="n"/>
      <c r="C29" s="29" t="n"/>
      <c r="D29" s="34" t="n"/>
      <c r="E29" s="34" t="n"/>
      <c r="F29" s="30" t="n"/>
      <c r="G29" s="23">
        <f>IF(B29="","",ROUNDUP(ROUND((N(D29)*$C$4+N(E29)*$C$5)*(1+N($G$4)),6),0))</f>
        <v/>
      </c>
      <c r="H29" s="31" t="n"/>
      <c r="I29" s="23">
        <f>IF(OR(G29="",N(H29)=0),"",ROUNDUP(ROUND(G29/H29,6),0))</f>
        <v/>
      </c>
      <c r="J29" s="35" t="n"/>
      <c r="K29" s="36">
        <f>IF(OR(I29="",J29=""),"",I29*J29)</f>
        <v/>
      </c>
      <c r="L29" s="30" t="n"/>
      <c r="M29" s="29" t="n"/>
      <c r="N29" s="1" t="n"/>
    </row>
    <row r="30">
      <c r="A30" s="1" t="n"/>
      <c r="B30" s="5" t="n"/>
      <c r="C30" s="29" t="n"/>
      <c r="D30" s="34" t="n"/>
      <c r="E30" s="34" t="n"/>
      <c r="F30" s="30" t="n"/>
      <c r="G30" s="23">
        <f>IF(B30="","",ROUNDUP(ROUND((N(D30)*$C$4+N(E30)*$C$5)*(1+N($G$4)),6),0))</f>
        <v/>
      </c>
      <c r="H30" s="31" t="n"/>
      <c r="I30" s="23">
        <f>IF(OR(G30="",N(H30)=0),"",ROUNDUP(ROUND(G30/H30,6),0))</f>
        <v/>
      </c>
      <c r="J30" s="35" t="n"/>
      <c r="K30" s="36">
        <f>IF(OR(I30="",J30=""),"",I30*J30)</f>
        <v/>
      </c>
      <c r="L30" s="30" t="n"/>
      <c r="M30" s="29" t="n"/>
      <c r="N30" s="1" t="n"/>
    </row>
    <row r="31">
      <c r="A31" s="1" t="n"/>
      <c r="B31" s="5" t="n"/>
      <c r="C31" s="29" t="n"/>
      <c r="D31" s="34" t="n"/>
      <c r="E31" s="34" t="n"/>
      <c r="F31" s="30" t="n"/>
      <c r="G31" s="23">
        <f>IF(B31="","",ROUNDUP(ROUND((N(D31)*$C$4+N(E31)*$C$5)*(1+N($G$4)),6),0))</f>
        <v/>
      </c>
      <c r="H31" s="31" t="n"/>
      <c r="I31" s="23">
        <f>IF(OR(G31="",N(H31)=0),"",ROUNDUP(ROUND(G31/H31,6),0))</f>
        <v/>
      </c>
      <c r="J31" s="35" t="n"/>
      <c r="K31" s="36">
        <f>IF(OR(I31="",J31=""),"",I31*J31)</f>
        <v/>
      </c>
      <c r="L31" s="30" t="n"/>
      <c r="M31" s="29" t="n"/>
      <c r="N31" s="1" t="n"/>
    </row>
    <row r="32">
      <c r="A32" s="1" t="n"/>
      <c r="B32" s="5" t="n"/>
      <c r="C32" s="29" t="n"/>
      <c r="D32" s="34" t="n"/>
      <c r="E32" s="34" t="n"/>
      <c r="F32" s="30" t="n"/>
      <c r="G32" s="23">
        <f>IF(B32="","",ROUNDUP(ROUND((N(D32)*$C$4+N(E32)*$C$5)*(1+N($G$4)),6),0))</f>
        <v/>
      </c>
      <c r="H32" s="31" t="n"/>
      <c r="I32" s="23">
        <f>IF(OR(G32="",N(H32)=0),"",ROUNDUP(ROUND(G32/H32,6),0))</f>
        <v/>
      </c>
      <c r="J32" s="35" t="n"/>
      <c r="K32" s="36">
        <f>IF(OR(I32="",J32=""),"",I32*J32)</f>
        <v/>
      </c>
      <c r="L32" s="30" t="n"/>
      <c r="M32" s="29" t="n"/>
      <c r="N32" s="1" t="n"/>
    </row>
    <row r="33">
      <c r="A33" s="1" t="n"/>
      <c r="B33" s="5" t="n"/>
      <c r="C33" s="29" t="n"/>
      <c r="D33" s="34" t="n"/>
      <c r="E33" s="34" t="n"/>
      <c r="F33" s="30" t="n"/>
      <c r="G33" s="23">
        <f>IF(B33="","",ROUNDUP(ROUND((N(D33)*$C$4+N(E33)*$C$5)*(1+N($G$4)),6),0))</f>
        <v/>
      </c>
      <c r="H33" s="31" t="n"/>
      <c r="I33" s="23">
        <f>IF(OR(G33="",N(H33)=0),"",ROUNDUP(ROUND(G33/H33,6),0))</f>
        <v/>
      </c>
      <c r="J33" s="35" t="n"/>
      <c r="K33" s="36">
        <f>IF(OR(I33="",J33=""),"",I33*J33)</f>
        <v/>
      </c>
      <c r="L33" s="30" t="n"/>
      <c r="M33" s="29" t="n"/>
      <c r="N33" s="1" t="n"/>
    </row>
    <row r="34">
      <c r="A34" s="1" t="n"/>
      <c r="B34" s="5" t="n"/>
      <c r="C34" s="29" t="n"/>
      <c r="D34" s="34" t="n"/>
      <c r="E34" s="34" t="n"/>
      <c r="F34" s="30" t="n"/>
      <c r="G34" s="23">
        <f>IF(B34="","",ROUNDUP(ROUND((N(D34)*$C$4+N(E34)*$C$5)*(1+N($G$4)),6),0))</f>
        <v/>
      </c>
      <c r="H34" s="31" t="n"/>
      <c r="I34" s="23">
        <f>IF(OR(G34="",N(H34)=0),"",ROUNDUP(ROUND(G34/H34,6),0))</f>
        <v/>
      </c>
      <c r="J34" s="35" t="n"/>
      <c r="K34" s="36">
        <f>IF(OR(I34="",J34=""),"",I34*J34)</f>
        <v/>
      </c>
      <c r="L34" s="30" t="n"/>
      <c r="M34" s="29" t="n"/>
      <c r="N34" s="1" t="n"/>
    </row>
    <row r="35">
      <c r="A35" s="1" t="n"/>
      <c r="B35" s="5" t="n"/>
      <c r="C35" s="29" t="n"/>
      <c r="D35" s="34" t="n"/>
      <c r="E35" s="34" t="n"/>
      <c r="F35" s="30" t="n"/>
      <c r="G35" s="23">
        <f>IF(B35="","",ROUNDUP(ROUND((N(D35)*$C$4+N(E35)*$C$5)*(1+N($G$4)),6),0))</f>
        <v/>
      </c>
      <c r="H35" s="31" t="n"/>
      <c r="I35" s="23">
        <f>IF(OR(G35="",N(H35)=0),"",ROUNDUP(ROUND(G35/H35,6),0))</f>
        <v/>
      </c>
      <c r="J35" s="35" t="n"/>
      <c r="K35" s="36">
        <f>IF(OR(I35="",J35=""),"",I35*J35)</f>
        <v/>
      </c>
      <c r="L35" s="30" t="n"/>
      <c r="M35" s="29" t="n"/>
      <c r="N35" s="1" t="n"/>
    </row>
    <row r="36">
      <c r="A36" s="1" t="n"/>
      <c r="B36" s="5" t="n"/>
      <c r="C36" s="29" t="n"/>
      <c r="D36" s="34" t="n"/>
      <c r="E36" s="34" t="n"/>
      <c r="F36" s="30" t="n"/>
      <c r="G36" s="23">
        <f>IF(B36="","",ROUNDUP(ROUND((N(D36)*$C$4+N(E36)*$C$5)*(1+N($G$4)),6),0))</f>
        <v/>
      </c>
      <c r="H36" s="31" t="n"/>
      <c r="I36" s="23">
        <f>IF(OR(G36="",N(H36)=0),"",ROUNDUP(ROUND(G36/H36,6),0))</f>
        <v/>
      </c>
      <c r="J36" s="35" t="n"/>
      <c r="K36" s="36">
        <f>IF(OR(I36="",J36=""),"",I36*J36)</f>
        <v/>
      </c>
      <c r="L36" s="30" t="n"/>
      <c r="M36" s="29" t="n"/>
      <c r="N36" s="1" t="n"/>
    </row>
    <row r="37">
      <c r="A37" s="1" t="n"/>
      <c r="B37" s="5" t="n"/>
      <c r="C37" s="29" t="n"/>
      <c r="D37" s="34" t="n"/>
      <c r="E37" s="34" t="n"/>
      <c r="F37" s="30" t="n"/>
      <c r="G37" s="23">
        <f>IF(B37="","",ROUNDUP(ROUND((N(D37)*$C$4+N(E37)*$C$5)*(1+N($G$4)),6),0))</f>
        <v/>
      </c>
      <c r="H37" s="31" t="n"/>
      <c r="I37" s="23">
        <f>IF(OR(G37="",N(H37)=0),"",ROUNDUP(ROUND(G37/H37,6),0))</f>
        <v/>
      </c>
      <c r="J37" s="35" t="n"/>
      <c r="K37" s="36">
        <f>IF(OR(I37="",J37=""),"",I37*J37)</f>
        <v/>
      </c>
      <c r="L37" s="30" t="n"/>
      <c r="M37" s="29" t="n"/>
      <c r="N37" s="1" t="n"/>
    </row>
    <row r="38">
      <c r="A38" s="1" t="n"/>
      <c r="B38" s="5" t="n"/>
      <c r="C38" s="29" t="n"/>
      <c r="D38" s="34" t="n"/>
      <c r="E38" s="34" t="n"/>
      <c r="F38" s="30" t="n"/>
      <c r="G38" s="23">
        <f>IF(B38="","",ROUNDUP(ROUND((N(D38)*$C$4+N(E38)*$C$5)*(1+N($G$4)),6),0))</f>
        <v/>
      </c>
      <c r="H38" s="31" t="n"/>
      <c r="I38" s="23">
        <f>IF(OR(G38="",N(H38)=0),"",ROUNDUP(ROUND(G38/H38,6),0))</f>
        <v/>
      </c>
      <c r="J38" s="35" t="n"/>
      <c r="K38" s="36">
        <f>IF(OR(I38="",J38=""),"",I38*J38)</f>
        <v/>
      </c>
      <c r="L38" s="30" t="n"/>
      <c r="M38" s="29" t="n"/>
      <c r="N38" s="1" t="n"/>
    </row>
    <row r="39">
      <c r="A39" s="1" t="n"/>
      <c r="B39" s="5" t="n"/>
      <c r="C39" s="29" t="n"/>
      <c r="D39" s="34" t="n"/>
      <c r="E39" s="34" t="n"/>
      <c r="F39" s="30" t="n"/>
      <c r="G39" s="23">
        <f>IF(B39="","",ROUNDUP(ROUND((N(D39)*$C$4+N(E39)*$C$5)*(1+N($G$4)),6),0))</f>
        <v/>
      </c>
      <c r="H39" s="31" t="n"/>
      <c r="I39" s="23">
        <f>IF(OR(G39="",N(H39)=0),"",ROUNDUP(ROUND(G39/H39,6),0))</f>
        <v/>
      </c>
      <c r="J39" s="35" t="n"/>
      <c r="K39" s="36">
        <f>IF(OR(I39="",J39=""),"",I39*J39)</f>
        <v/>
      </c>
      <c r="L39" s="30" t="n"/>
      <c r="M39" s="29" t="n"/>
      <c r="N39" s="1" t="n"/>
    </row>
    <row r="40">
      <c r="A40" s="1" t="n"/>
      <c r="B40" s="5" t="n"/>
      <c r="C40" s="29" t="n"/>
      <c r="D40" s="34" t="n"/>
      <c r="E40" s="34" t="n"/>
      <c r="F40" s="30" t="n"/>
      <c r="G40" s="23">
        <f>IF(B40="","",ROUNDUP(ROUND((N(D40)*$C$4+N(E40)*$C$5)*(1+N($G$4)),6),0))</f>
        <v/>
      </c>
      <c r="H40" s="31" t="n"/>
      <c r="I40" s="23">
        <f>IF(OR(G40="",N(H40)=0),"",ROUNDUP(ROUND(G40/H40,6),0))</f>
        <v/>
      </c>
      <c r="J40" s="35" t="n"/>
      <c r="K40" s="36">
        <f>IF(OR(I40="",J40=""),"",I40*J40)</f>
        <v/>
      </c>
      <c r="L40" s="30" t="n"/>
      <c r="M40" s="29" t="n"/>
      <c r="N40" s="1" t="n"/>
    </row>
    <row r="41">
      <c r="A41" s="1" t="n"/>
      <c r="B41" s="5" t="n"/>
      <c r="C41" s="29" t="n"/>
      <c r="D41" s="34" t="n"/>
      <c r="E41" s="34" t="n"/>
      <c r="F41" s="30" t="n"/>
      <c r="G41" s="23">
        <f>IF(B41="","",ROUNDUP(ROUND((N(D41)*$C$4+N(E41)*$C$5)*(1+N($G$4)),6),0))</f>
        <v/>
      </c>
      <c r="H41" s="31" t="n"/>
      <c r="I41" s="23">
        <f>IF(OR(G41="",N(H41)=0),"",ROUNDUP(ROUND(G41/H41,6),0))</f>
        <v/>
      </c>
      <c r="J41" s="35" t="n"/>
      <c r="K41" s="36">
        <f>IF(OR(I41="",J41=""),"",I41*J41)</f>
        <v/>
      </c>
      <c r="L41" s="30" t="n"/>
      <c r="M41" s="29" t="n"/>
      <c r="N41" s="1" t="n"/>
    </row>
    <row r="42">
      <c r="A42" s="1" t="n"/>
      <c r="B42" s="5" t="n"/>
      <c r="C42" s="29" t="n"/>
      <c r="D42" s="34" t="n"/>
      <c r="E42" s="34" t="n"/>
      <c r="F42" s="30" t="n"/>
      <c r="G42" s="23">
        <f>IF(B42="","",ROUNDUP(ROUND((N(D42)*$C$4+N(E42)*$C$5)*(1+N($G$4)),6),0))</f>
        <v/>
      </c>
      <c r="H42" s="31" t="n"/>
      <c r="I42" s="23">
        <f>IF(OR(G42="",N(H42)=0),"",ROUNDUP(ROUND(G42/H42,6),0))</f>
        <v/>
      </c>
      <c r="J42" s="35" t="n"/>
      <c r="K42" s="36">
        <f>IF(OR(I42="",J42=""),"",I42*J42)</f>
        <v/>
      </c>
      <c r="L42" s="30" t="n"/>
      <c r="M42" s="29" t="n"/>
      <c r="N42" s="1" t="n"/>
    </row>
    <row r="43">
      <c r="A43" s="1" t="n"/>
      <c r="B43" s="5" t="n"/>
      <c r="C43" s="29" t="n"/>
      <c r="D43" s="34" t="n"/>
      <c r="E43" s="34" t="n"/>
      <c r="F43" s="30" t="n"/>
      <c r="G43" s="23">
        <f>IF(B43="","",ROUNDUP(ROUND((N(D43)*$C$4+N(E43)*$C$5)*(1+N($G$4)),6),0))</f>
        <v/>
      </c>
      <c r="H43" s="31" t="n"/>
      <c r="I43" s="23">
        <f>IF(OR(G43="",N(H43)=0),"",ROUNDUP(ROUND(G43/H43,6),0))</f>
        <v/>
      </c>
      <c r="J43" s="35" t="n"/>
      <c r="K43" s="36">
        <f>IF(OR(I43="",J43=""),"",I43*J43)</f>
        <v/>
      </c>
      <c r="L43" s="30" t="n"/>
      <c r="M43" s="29" t="n"/>
      <c r="N43" s="1" t="n"/>
    </row>
    <row r="44">
      <c r="A44" s="1" t="n"/>
      <c r="B44" s="5" t="n"/>
      <c r="C44" s="29" t="n"/>
      <c r="D44" s="34" t="n"/>
      <c r="E44" s="34" t="n"/>
      <c r="F44" s="30" t="n"/>
      <c r="G44" s="23">
        <f>IF(B44="","",ROUNDUP(ROUND((N(D44)*$C$4+N(E44)*$C$5)*(1+N($G$4)),6),0))</f>
        <v/>
      </c>
      <c r="H44" s="31" t="n"/>
      <c r="I44" s="23">
        <f>IF(OR(G44="",N(H44)=0),"",ROUNDUP(ROUND(G44/H44,6),0))</f>
        <v/>
      </c>
      <c r="J44" s="35" t="n"/>
      <c r="K44" s="36">
        <f>IF(OR(I44="",J44=""),"",I44*J44)</f>
        <v/>
      </c>
      <c r="L44" s="30" t="n"/>
      <c r="M44" s="29" t="n"/>
      <c r="N44" s="1" t="n"/>
    </row>
    <row r="45">
      <c r="A45" s="1" t="n"/>
      <c r="B45" s="5" t="n"/>
      <c r="C45" s="29" t="n"/>
      <c r="D45" s="34" t="n"/>
      <c r="E45" s="34" t="n"/>
      <c r="F45" s="30" t="n"/>
      <c r="G45" s="23">
        <f>IF(B45="","",ROUNDUP(ROUND((N(D45)*$C$4+N(E45)*$C$5)*(1+N($G$4)),6),0))</f>
        <v/>
      </c>
      <c r="H45" s="31" t="n"/>
      <c r="I45" s="23">
        <f>IF(OR(G45="",N(H45)=0),"",ROUNDUP(ROUND(G45/H45,6),0))</f>
        <v/>
      </c>
      <c r="J45" s="35" t="n"/>
      <c r="K45" s="36">
        <f>IF(OR(I45="",J45=""),"",I45*J45)</f>
        <v/>
      </c>
      <c r="L45" s="30" t="n"/>
      <c r="M45" s="29" t="n"/>
      <c r="N45" s="1" t="n"/>
    </row>
    <row r="46">
      <c r="A46" s="1" t="n"/>
      <c r="B46" s="5" t="n"/>
      <c r="C46" s="29" t="n"/>
      <c r="D46" s="34" t="n"/>
      <c r="E46" s="34" t="n"/>
      <c r="F46" s="30" t="n"/>
      <c r="G46" s="23">
        <f>IF(B46="","",ROUNDUP(ROUND((N(D46)*$C$4+N(E46)*$C$5)*(1+N($G$4)),6),0))</f>
        <v/>
      </c>
      <c r="H46" s="31" t="n"/>
      <c r="I46" s="23">
        <f>IF(OR(G46="",N(H46)=0),"",ROUNDUP(ROUND(G46/H46,6),0))</f>
        <v/>
      </c>
      <c r="J46" s="35" t="n"/>
      <c r="K46" s="36">
        <f>IF(OR(I46="",J46=""),"",I46*J46)</f>
        <v/>
      </c>
      <c r="L46" s="30" t="n"/>
      <c r="M46" s="29" t="n"/>
      <c r="N46" s="1" t="n"/>
    </row>
    <row r="47">
      <c r="A47" s="1" t="n"/>
      <c r="B47" s="5" t="n"/>
      <c r="C47" s="29" t="n"/>
      <c r="D47" s="34" t="n"/>
      <c r="E47" s="34" t="n"/>
      <c r="F47" s="30" t="n"/>
      <c r="G47" s="23">
        <f>IF(B47="","",ROUNDUP(ROUND((N(D47)*$C$4+N(E47)*$C$5)*(1+N($G$4)),6),0))</f>
        <v/>
      </c>
      <c r="H47" s="31" t="n"/>
      <c r="I47" s="23">
        <f>IF(OR(G47="",N(H47)=0),"",ROUNDUP(ROUND(G47/H47,6),0))</f>
        <v/>
      </c>
      <c r="J47" s="35" t="n"/>
      <c r="K47" s="36">
        <f>IF(OR(I47="",J47=""),"",I47*J47)</f>
        <v/>
      </c>
      <c r="L47" s="30" t="n"/>
      <c r="M47" s="29" t="n"/>
      <c r="N47" s="1" t="n"/>
    </row>
    <row r="48">
      <c r="A48" s="1" t="n"/>
      <c r="B48" s="4" t="inlineStr">
        <is>
          <t>Total</t>
        </is>
      </c>
      <c r="C48" s="1" t="n"/>
      <c r="D48" s="1" t="n"/>
      <c r="E48" s="1" t="n"/>
      <c r="F48" s="1" t="n"/>
      <c r="G48" s="1" t="n"/>
      <c r="H48" s="1" t="n"/>
      <c r="I48" s="1" t="n"/>
      <c r="J48" s="1" t="n"/>
      <c r="K48" s="27">
        <f>SUM(K8:K47)</f>
        <v/>
      </c>
      <c r="L48" s="1" t="n"/>
      <c r="M48" s="1" t="n"/>
      <c r="N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</row>
  </sheetData>
  <conditionalFormatting sqref="B8:K47">
    <cfRule type="expression" priority="1" dxfId="5">
      <formula>$L8&lt;&gt;""</formula>
    </cfRule>
  </conditionalFormatting>
  <conditionalFormatting sqref="L8:L47">
    <cfRule type="expression" priority="2" dxfId="3">
      <formula>L8&lt;&gt;""</formula>
    </cfRule>
  </conditionalFormatting>
  <dataValidations count="1">
    <dataValidation sqref="C8:C47" showDropDown="0" showInputMessage="0" showErrorMessage="0" allowBlank="1" type="list">
      <formula1>"Food,Drinks,Supplies"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5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8" customWidth="1" min="2" max="2"/>
    <col width="14" customWidth="1" min="3" max="3"/>
    <col width="18" customWidth="1" min="4" max="4"/>
    <col width="11" customWidth="1" min="5" max="5"/>
    <col width="11" customWidth="1" min="6" max="6"/>
    <col width="11" customWidth="1" min="7" max="7"/>
    <col width="11" customWidth="1" min="8" max="8"/>
    <col width="13" customWidth="1" min="9" max="9"/>
    <col width="12" customWidth="1" min="10" max="10"/>
    <col width="22" customWidth="1" min="11" max="11"/>
    <col hidden="1" width="13" customWidth="1" min="13" max="13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32" customHeight="1">
      <c r="A2" s="1" t="n"/>
      <c r="B2" s="2" t="inlineStr">
        <is>
          <t>Budget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1" t="n"/>
      <c r="B3" s="3" t="inlineStr">
        <is>
          <t>Everything you book or buy besides the food: what it costs, what you paid and when the rest is due.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</row>
    <row r="5" ht="30" customHeight="1">
      <c r="A5" s="1" t="n"/>
      <c r="B5" s="17" t="inlineStr">
        <is>
          <t>Item</t>
        </is>
      </c>
      <c r="C5" s="17" t="inlineStr">
        <is>
          <t>Category</t>
        </is>
      </c>
      <c r="D5" s="17" t="inlineStr">
        <is>
          <t>Shop or vendor</t>
        </is>
      </c>
      <c r="E5" s="17" t="inlineStr">
        <is>
          <t>Estimate</t>
        </is>
      </c>
      <c r="F5" s="17" t="inlineStr">
        <is>
          <t>Final price</t>
        </is>
      </c>
      <c r="G5" s="17" t="inlineStr">
        <is>
          <t>Paid</t>
        </is>
      </c>
      <c r="H5" s="17" t="inlineStr">
        <is>
          <t>Still to pay</t>
        </is>
      </c>
      <c r="I5" s="17" t="inlineStr">
        <is>
          <t>Pay by</t>
        </is>
      </c>
      <c r="J5" s="17" t="inlineStr">
        <is>
          <t>Status</t>
        </is>
      </c>
      <c r="K5" s="17" t="inlineStr">
        <is>
          <t>Notes</t>
        </is>
      </c>
      <c r="L5" s="1" t="n"/>
    </row>
    <row r="6">
      <c r="A6" s="1" t="n"/>
      <c r="B6" s="5" t="inlineStr">
        <is>
          <t>Community hall, 3 hours</t>
        </is>
      </c>
      <c r="C6" s="29" t="inlineStr">
        <is>
          <t>Venue</t>
        </is>
      </c>
      <c r="D6" s="29" t="inlineStr">
        <is>
          <t>Rowan Street hall</t>
        </is>
      </c>
      <c r="E6" s="35" t="n">
        <v>180</v>
      </c>
      <c r="F6" s="35" t="n">
        <v>180</v>
      </c>
      <c r="G6" s="35" t="n">
        <v>50</v>
      </c>
      <c r="H6" s="36">
        <f>IF(B6="","",MAX(0,IF(F6&lt;&gt;"",F6,N(E6))-N(G6)))</f>
        <v/>
      </c>
      <c r="I6" s="37" t="n">
        <v>46312</v>
      </c>
      <c r="J6" s="21">
        <f>IF(B6="","",IF(H6&lt;=0,"Paid",IF(I6="","To pay",IF(I6&lt;TODAY(),"Late",IF(I6-TODAY()&lt;=7,"Due soon","To pay")))))</f>
        <v/>
      </c>
      <c r="K6" s="29" t="n"/>
      <c r="L6" s="1" t="n"/>
      <c r="M6">
        <f>IF(B6="",0,IF(F6&lt;&gt;"",F6,N(E6)))</f>
        <v/>
      </c>
    </row>
    <row r="7">
      <c r="A7" s="1" t="n"/>
      <c r="B7" s="5" t="inlineStr">
        <is>
          <t>Unicorn cake, 24 slices</t>
        </is>
      </c>
      <c r="C7" s="29" t="inlineStr">
        <is>
          <t>Cake</t>
        </is>
      </c>
      <c r="D7" s="29" t="inlineStr">
        <is>
          <t>Corner bakery</t>
        </is>
      </c>
      <c r="E7" s="35" t="n">
        <v>60</v>
      </c>
      <c r="F7" s="35" t="n">
        <v>55</v>
      </c>
      <c r="G7" s="35" t="n">
        <v>20</v>
      </c>
      <c r="H7" s="36">
        <f>IF(B7="","",MAX(0,IF(F7&lt;&gt;"",F7,N(E7))-N(G7)))</f>
        <v/>
      </c>
      <c r="I7" s="37" t="n">
        <v>46318</v>
      </c>
      <c r="J7" s="21">
        <f>IF(B7="","",IF(H7&lt;=0,"Paid",IF(I7="","To pay",IF(I7&lt;TODAY(),"Late",IF(I7-TODAY()&lt;=7,"Due soon","To pay")))))</f>
        <v/>
      </c>
      <c r="K7" s="29" t="n"/>
      <c r="L7" s="1" t="n"/>
      <c r="M7">
        <f>IF(B7="",0,IF(F7&lt;&gt;"",F7,N(E7)))</f>
        <v/>
      </c>
    </row>
    <row r="8">
      <c r="A8" s="1" t="n"/>
      <c r="B8" s="5" t="inlineStr">
        <is>
          <t>Balloons and a banner</t>
        </is>
      </c>
      <c r="C8" s="29" t="inlineStr">
        <is>
          <t>Decorations</t>
        </is>
      </c>
      <c r="D8" s="29" t="inlineStr">
        <is>
          <t>Party shop</t>
        </is>
      </c>
      <c r="E8" s="35" t="n">
        <v>45</v>
      </c>
      <c r="F8" s="35" t="n">
        <v>38.6</v>
      </c>
      <c r="G8" s="35" t="n">
        <v>38.6</v>
      </c>
      <c r="H8" s="36">
        <f>IF(B8="","",MAX(0,IF(F8&lt;&gt;"",F8,N(E8))-N(G8)))</f>
        <v/>
      </c>
      <c r="I8" s="37" t="n"/>
      <c r="J8" s="21">
        <f>IF(B8="","",IF(H8&lt;=0,"Paid",IF(I8="","To pay",IF(I8&lt;TODAY(),"Late",IF(I8-TODAY()&lt;=7,"Due soon","To pay")))))</f>
        <v/>
      </c>
      <c r="K8" s="29" t="n"/>
      <c r="L8" s="1" t="n"/>
      <c r="M8">
        <f>IF(B8="",0,IF(F8&lt;&gt;"",F8,N(E8)))</f>
        <v/>
      </c>
    </row>
    <row r="9">
      <c r="A9" s="1" t="n"/>
      <c r="B9" s="5" t="inlineStr">
        <is>
          <t>Magician, 45 minutes</t>
        </is>
      </c>
      <c r="C9" s="29" t="inlineStr">
        <is>
          <t>Entertainment</t>
        </is>
      </c>
      <c r="D9" s="29" t="inlineStr">
        <is>
          <t>Magic Max</t>
        </is>
      </c>
      <c r="E9" s="35" t="n">
        <v>150</v>
      </c>
      <c r="F9" s="35" t="n">
        <v>150</v>
      </c>
      <c r="G9" s="35" t="n">
        <v>0</v>
      </c>
      <c r="H9" s="36">
        <f>IF(B9="","",MAX(0,IF(F9&lt;&gt;"",F9,N(E9))-N(G9)))</f>
        <v/>
      </c>
      <c r="I9" s="37" t="n">
        <v>46319</v>
      </c>
      <c r="J9" s="21">
        <f>IF(B9="","",IF(H9&lt;=0,"Paid",IF(I9="","To pay",IF(I9&lt;TODAY(),"Late",IF(I9-TODAY()&lt;=7,"Due soon","To pay")))))</f>
        <v/>
      </c>
      <c r="K9" s="29" t="n"/>
      <c r="L9" s="1" t="n"/>
      <c r="M9">
        <f>IF(B9="",0,IF(F9&lt;&gt;"",F9,N(E9)))</f>
        <v/>
      </c>
    </row>
    <row r="10">
      <c r="A10" s="1" t="n"/>
      <c r="B10" s="5" t="inlineStr">
        <is>
          <t>Face painting</t>
        </is>
      </c>
      <c r="C10" s="29" t="inlineStr">
        <is>
          <t>Entertainment</t>
        </is>
      </c>
      <c r="D10" s="29" t="inlineStr">
        <is>
          <t>Painted Faces</t>
        </is>
      </c>
      <c r="E10" s="35" t="n">
        <v>90</v>
      </c>
      <c r="F10" s="35" t="n">
        <v>90</v>
      </c>
      <c r="G10" s="35" t="n">
        <v>20</v>
      </c>
      <c r="H10" s="36">
        <f>IF(B10="","",MAX(0,IF(F10&lt;&gt;"",F10,N(E10))-N(G10)))</f>
        <v/>
      </c>
      <c r="I10" s="37" t="n">
        <v>46319</v>
      </c>
      <c r="J10" s="21">
        <f>IF(B10="","",IF(H10&lt;=0,"Paid",IF(I10="","To pay",IF(I10&lt;TODAY(),"Late",IF(I10-TODAY()&lt;=7,"Due soon","To pay")))))</f>
        <v/>
      </c>
      <c r="K10" s="29" t="n"/>
      <c r="L10" s="1" t="n"/>
      <c r="M10">
        <f>IF(B10="",0,IF(F10&lt;&gt;"",F10,N(E10)))</f>
        <v/>
      </c>
    </row>
    <row r="11">
      <c r="A11" s="1" t="n"/>
      <c r="B11" s="5" t="inlineStr">
        <is>
          <t>Extra tables and chairs</t>
        </is>
      </c>
      <c r="C11" s="29" t="inlineStr">
        <is>
          <t>Rentals</t>
        </is>
      </c>
      <c r="D11" s="29" t="inlineStr">
        <is>
          <t>Hire shop</t>
        </is>
      </c>
      <c r="E11" s="35" t="n">
        <v>35</v>
      </c>
      <c r="F11" s="35" t="n"/>
      <c r="G11" s="35" t="n">
        <v>0</v>
      </c>
      <c r="H11" s="36">
        <f>IF(B11="","",MAX(0,IF(F11&lt;&gt;"",F11,N(E11))-N(G11)))</f>
        <v/>
      </c>
      <c r="I11" s="37" t="n">
        <v>46317</v>
      </c>
      <c r="J11" s="21">
        <f>IF(B11="","",IF(H11&lt;=0,"Paid",IF(I11="","To pay",IF(I11&lt;TODAY(),"Late",IF(I11-TODAY()&lt;=7,"Due soon","To pay")))))</f>
        <v/>
      </c>
      <c r="K11" s="29" t="n"/>
      <c r="L11" s="1" t="n"/>
      <c r="M11">
        <f>IF(B11="",0,IF(F11&lt;&gt;"",F11,N(E11)))</f>
        <v/>
      </c>
    </row>
    <row r="12">
      <c r="A12" s="1" t="n"/>
      <c r="B12" s="5" t="inlineStr">
        <is>
          <t>Printed invitations</t>
        </is>
      </c>
      <c r="C12" s="29" t="inlineStr">
        <is>
          <t>Invitations</t>
        </is>
      </c>
      <c r="D12" s="29" t="inlineStr">
        <is>
          <t>Print shop</t>
        </is>
      </c>
      <c r="E12" s="35" t="n">
        <v>18</v>
      </c>
      <c r="F12" s="35" t="n">
        <v>16.5</v>
      </c>
      <c r="G12" s="35" t="n">
        <v>16.5</v>
      </c>
      <c r="H12" s="36">
        <f>IF(B12="","",MAX(0,IF(F12&lt;&gt;"",F12,N(E12))-N(G12)))</f>
        <v/>
      </c>
      <c r="I12" s="37" t="n"/>
      <c r="J12" s="21">
        <f>IF(B12="","",IF(H12&lt;=0,"Paid",IF(I12="","To pay",IF(I12&lt;TODAY(),"Late",IF(I12-TODAY()&lt;=7,"Due soon","To pay")))))</f>
        <v/>
      </c>
      <c r="K12" s="29" t="n"/>
      <c r="L12" s="1" t="n"/>
      <c r="M12">
        <f>IF(B12="",0,IF(F12&lt;&gt;"",F12,N(E12)))</f>
        <v/>
      </c>
    </row>
    <row r="13">
      <c r="A13" s="1" t="n"/>
      <c r="B13" s="5" t="inlineStr">
        <is>
          <t>Party bags</t>
        </is>
      </c>
      <c r="C13" s="29" t="inlineStr">
        <is>
          <t>Favours</t>
        </is>
      </c>
      <c r="D13" s="29" t="n"/>
      <c r="E13" s="35" t="n">
        <v>40</v>
      </c>
      <c r="F13" s="35" t="n"/>
      <c r="G13" s="35" t="n">
        <v>0</v>
      </c>
      <c r="H13" s="36">
        <f>IF(B13="","",MAX(0,IF(F13&lt;&gt;"",F13,N(E13))-N(G13)))</f>
        <v/>
      </c>
      <c r="I13" s="37" t="n">
        <v>46298</v>
      </c>
      <c r="J13" s="21">
        <f>IF(B13="","",IF(H13&lt;=0,"Paid",IF(I13="","To pay",IF(I13&lt;TODAY(),"Late",IF(I13-TODAY()&lt;=7,"Due soon","To pay")))))</f>
        <v/>
      </c>
      <c r="K13" s="29" t="n"/>
      <c r="L13" s="1" t="n"/>
      <c r="M13">
        <f>IF(B13="",0,IF(F13&lt;&gt;"",F13,N(E13)))</f>
        <v/>
      </c>
    </row>
    <row r="14">
      <c r="A14" s="1" t="n"/>
      <c r="B14" s="5" t="n"/>
      <c r="C14" s="29" t="n"/>
      <c r="D14" s="29" t="n"/>
      <c r="E14" s="35" t="n"/>
      <c r="F14" s="35" t="n"/>
      <c r="G14" s="35" t="n"/>
      <c r="H14" s="36">
        <f>IF(B14="","",MAX(0,IF(F14&lt;&gt;"",F14,N(E14))-N(G14)))</f>
        <v/>
      </c>
      <c r="I14" s="37" t="n"/>
      <c r="J14" s="21">
        <f>IF(B14="","",IF(H14&lt;=0,"Paid",IF(I14="","To pay",IF(I14&lt;TODAY(),"Late",IF(I14-TODAY()&lt;=7,"Due soon","To pay")))))</f>
        <v/>
      </c>
      <c r="K14" s="29" t="n"/>
      <c r="L14" s="1" t="n"/>
      <c r="M14">
        <f>IF(B14="",0,IF(F14&lt;&gt;"",F14,N(E14)))</f>
        <v/>
      </c>
    </row>
    <row r="15">
      <c r="A15" s="1" t="n"/>
      <c r="B15" s="5" t="n"/>
      <c r="C15" s="29" t="n"/>
      <c r="D15" s="29" t="n"/>
      <c r="E15" s="35" t="n"/>
      <c r="F15" s="35" t="n"/>
      <c r="G15" s="35" t="n"/>
      <c r="H15" s="36">
        <f>IF(B15="","",MAX(0,IF(F15&lt;&gt;"",F15,N(E15))-N(G15)))</f>
        <v/>
      </c>
      <c r="I15" s="37" t="n"/>
      <c r="J15" s="21">
        <f>IF(B15="","",IF(H15&lt;=0,"Paid",IF(I15="","To pay",IF(I15&lt;TODAY(),"Late",IF(I15-TODAY()&lt;=7,"Due soon","To pay")))))</f>
        <v/>
      </c>
      <c r="K15" s="29" t="n"/>
      <c r="L15" s="1" t="n"/>
      <c r="M15">
        <f>IF(B15="",0,IF(F15&lt;&gt;"",F15,N(E15)))</f>
        <v/>
      </c>
    </row>
    <row r="16">
      <c r="A16" s="1" t="n"/>
      <c r="B16" s="5" t="n"/>
      <c r="C16" s="29" t="n"/>
      <c r="D16" s="29" t="n"/>
      <c r="E16" s="35" t="n"/>
      <c r="F16" s="35" t="n"/>
      <c r="G16" s="35" t="n"/>
      <c r="H16" s="36">
        <f>IF(B16="","",MAX(0,IF(F16&lt;&gt;"",F16,N(E16))-N(G16)))</f>
        <v/>
      </c>
      <c r="I16" s="37" t="n"/>
      <c r="J16" s="21">
        <f>IF(B16="","",IF(H16&lt;=0,"Paid",IF(I16="","To pay",IF(I16&lt;TODAY(),"Late",IF(I16-TODAY()&lt;=7,"Due soon","To pay")))))</f>
        <v/>
      </c>
      <c r="K16" s="29" t="n"/>
      <c r="L16" s="1" t="n"/>
      <c r="M16">
        <f>IF(B16="",0,IF(F16&lt;&gt;"",F16,N(E16)))</f>
        <v/>
      </c>
    </row>
    <row r="17">
      <c r="A17" s="1" t="n"/>
      <c r="B17" s="5" t="n"/>
      <c r="C17" s="29" t="n"/>
      <c r="D17" s="29" t="n"/>
      <c r="E17" s="35" t="n"/>
      <c r="F17" s="35" t="n"/>
      <c r="G17" s="35" t="n"/>
      <c r="H17" s="36">
        <f>IF(B17="","",MAX(0,IF(F17&lt;&gt;"",F17,N(E17))-N(G17)))</f>
        <v/>
      </c>
      <c r="I17" s="37" t="n"/>
      <c r="J17" s="21">
        <f>IF(B17="","",IF(H17&lt;=0,"Paid",IF(I17="","To pay",IF(I17&lt;TODAY(),"Late",IF(I17-TODAY()&lt;=7,"Due soon","To pay")))))</f>
        <v/>
      </c>
      <c r="K17" s="29" t="n"/>
      <c r="L17" s="1" t="n"/>
      <c r="M17">
        <f>IF(B17="",0,IF(F17&lt;&gt;"",F17,N(E17)))</f>
        <v/>
      </c>
    </row>
    <row r="18">
      <c r="A18" s="1" t="n"/>
      <c r="B18" s="5" t="n"/>
      <c r="C18" s="29" t="n"/>
      <c r="D18" s="29" t="n"/>
      <c r="E18" s="35" t="n"/>
      <c r="F18" s="35" t="n"/>
      <c r="G18" s="35" t="n"/>
      <c r="H18" s="36">
        <f>IF(B18="","",MAX(0,IF(F18&lt;&gt;"",F18,N(E18))-N(G18)))</f>
        <v/>
      </c>
      <c r="I18" s="37" t="n"/>
      <c r="J18" s="21">
        <f>IF(B18="","",IF(H18&lt;=0,"Paid",IF(I18="","To pay",IF(I18&lt;TODAY(),"Late",IF(I18-TODAY()&lt;=7,"Due soon","To pay")))))</f>
        <v/>
      </c>
      <c r="K18" s="29" t="n"/>
      <c r="L18" s="1" t="n"/>
      <c r="M18">
        <f>IF(B18="",0,IF(F18&lt;&gt;"",F18,N(E18)))</f>
        <v/>
      </c>
    </row>
    <row r="19">
      <c r="A19" s="1" t="n"/>
      <c r="B19" s="5" t="n"/>
      <c r="C19" s="29" t="n"/>
      <c r="D19" s="29" t="n"/>
      <c r="E19" s="35" t="n"/>
      <c r="F19" s="35" t="n"/>
      <c r="G19" s="35" t="n"/>
      <c r="H19" s="36">
        <f>IF(B19="","",MAX(0,IF(F19&lt;&gt;"",F19,N(E19))-N(G19)))</f>
        <v/>
      </c>
      <c r="I19" s="37" t="n"/>
      <c r="J19" s="21">
        <f>IF(B19="","",IF(H19&lt;=0,"Paid",IF(I19="","To pay",IF(I19&lt;TODAY(),"Late",IF(I19-TODAY()&lt;=7,"Due soon","To pay")))))</f>
        <v/>
      </c>
      <c r="K19" s="29" t="n"/>
      <c r="L19" s="1" t="n"/>
      <c r="M19">
        <f>IF(B19="",0,IF(F19&lt;&gt;"",F19,N(E19)))</f>
        <v/>
      </c>
    </row>
    <row r="20">
      <c r="A20" s="1" t="n"/>
      <c r="B20" s="5" t="n"/>
      <c r="C20" s="29" t="n"/>
      <c r="D20" s="29" t="n"/>
      <c r="E20" s="35" t="n"/>
      <c r="F20" s="35" t="n"/>
      <c r="G20" s="35" t="n"/>
      <c r="H20" s="36">
        <f>IF(B20="","",MAX(0,IF(F20&lt;&gt;"",F20,N(E20))-N(G20)))</f>
        <v/>
      </c>
      <c r="I20" s="37" t="n"/>
      <c r="J20" s="21">
        <f>IF(B20="","",IF(H20&lt;=0,"Paid",IF(I20="","To pay",IF(I20&lt;TODAY(),"Late",IF(I20-TODAY()&lt;=7,"Due soon","To pay")))))</f>
        <v/>
      </c>
      <c r="K20" s="29" t="n"/>
      <c r="L20" s="1" t="n"/>
      <c r="M20">
        <f>IF(B20="",0,IF(F20&lt;&gt;"",F20,N(E20)))</f>
        <v/>
      </c>
    </row>
    <row r="21">
      <c r="A21" s="1" t="n"/>
      <c r="B21" s="5" t="n"/>
      <c r="C21" s="29" t="n"/>
      <c r="D21" s="29" t="n"/>
      <c r="E21" s="35" t="n"/>
      <c r="F21" s="35" t="n"/>
      <c r="G21" s="35" t="n"/>
      <c r="H21" s="36">
        <f>IF(B21="","",MAX(0,IF(F21&lt;&gt;"",F21,N(E21))-N(G21)))</f>
        <v/>
      </c>
      <c r="I21" s="37" t="n"/>
      <c r="J21" s="21">
        <f>IF(B21="","",IF(H21&lt;=0,"Paid",IF(I21="","To pay",IF(I21&lt;TODAY(),"Late",IF(I21-TODAY()&lt;=7,"Due soon","To pay")))))</f>
        <v/>
      </c>
      <c r="K21" s="29" t="n"/>
      <c r="L21" s="1" t="n"/>
      <c r="M21">
        <f>IF(B21="",0,IF(F21&lt;&gt;"",F21,N(E21)))</f>
        <v/>
      </c>
    </row>
    <row r="22">
      <c r="A22" s="1" t="n"/>
      <c r="B22" s="5" t="n"/>
      <c r="C22" s="29" t="n"/>
      <c r="D22" s="29" t="n"/>
      <c r="E22" s="35" t="n"/>
      <c r="F22" s="35" t="n"/>
      <c r="G22" s="35" t="n"/>
      <c r="H22" s="36">
        <f>IF(B22="","",MAX(0,IF(F22&lt;&gt;"",F22,N(E22))-N(G22)))</f>
        <v/>
      </c>
      <c r="I22" s="37" t="n"/>
      <c r="J22" s="21">
        <f>IF(B22="","",IF(H22&lt;=0,"Paid",IF(I22="","To pay",IF(I22&lt;TODAY(),"Late",IF(I22-TODAY()&lt;=7,"Due soon","To pay")))))</f>
        <v/>
      </c>
      <c r="K22" s="29" t="n"/>
      <c r="L22" s="1" t="n"/>
      <c r="M22">
        <f>IF(B22="",0,IF(F22&lt;&gt;"",F22,N(E22)))</f>
        <v/>
      </c>
    </row>
    <row r="23">
      <c r="A23" s="1" t="n"/>
      <c r="B23" s="5" t="n"/>
      <c r="C23" s="29" t="n"/>
      <c r="D23" s="29" t="n"/>
      <c r="E23" s="35" t="n"/>
      <c r="F23" s="35" t="n"/>
      <c r="G23" s="35" t="n"/>
      <c r="H23" s="36">
        <f>IF(B23="","",MAX(0,IF(F23&lt;&gt;"",F23,N(E23))-N(G23)))</f>
        <v/>
      </c>
      <c r="I23" s="37" t="n"/>
      <c r="J23" s="21">
        <f>IF(B23="","",IF(H23&lt;=0,"Paid",IF(I23="","To pay",IF(I23&lt;TODAY(),"Late",IF(I23-TODAY()&lt;=7,"Due soon","To pay")))))</f>
        <v/>
      </c>
      <c r="K23" s="29" t="n"/>
      <c r="L23" s="1" t="n"/>
      <c r="M23">
        <f>IF(B23="",0,IF(F23&lt;&gt;"",F23,N(E23)))</f>
        <v/>
      </c>
    </row>
    <row r="24">
      <c r="A24" s="1" t="n"/>
      <c r="B24" s="5" t="n"/>
      <c r="C24" s="29" t="n"/>
      <c r="D24" s="29" t="n"/>
      <c r="E24" s="35" t="n"/>
      <c r="F24" s="35" t="n"/>
      <c r="G24" s="35" t="n"/>
      <c r="H24" s="36">
        <f>IF(B24="","",MAX(0,IF(F24&lt;&gt;"",F24,N(E24))-N(G24)))</f>
        <v/>
      </c>
      <c r="I24" s="37" t="n"/>
      <c r="J24" s="21">
        <f>IF(B24="","",IF(H24&lt;=0,"Paid",IF(I24="","To pay",IF(I24&lt;TODAY(),"Late",IF(I24-TODAY()&lt;=7,"Due soon","To pay")))))</f>
        <v/>
      </c>
      <c r="K24" s="29" t="n"/>
      <c r="L24" s="1" t="n"/>
      <c r="M24">
        <f>IF(B24="",0,IF(F24&lt;&gt;"",F24,N(E24)))</f>
        <v/>
      </c>
    </row>
    <row r="25">
      <c r="A25" s="1" t="n"/>
      <c r="B25" s="5" t="n"/>
      <c r="C25" s="29" t="n"/>
      <c r="D25" s="29" t="n"/>
      <c r="E25" s="35" t="n"/>
      <c r="F25" s="35" t="n"/>
      <c r="G25" s="35" t="n"/>
      <c r="H25" s="36">
        <f>IF(B25="","",MAX(0,IF(F25&lt;&gt;"",F25,N(E25))-N(G25)))</f>
        <v/>
      </c>
      <c r="I25" s="37" t="n"/>
      <c r="J25" s="21">
        <f>IF(B25="","",IF(H25&lt;=0,"Paid",IF(I25="","To pay",IF(I25&lt;TODAY(),"Late",IF(I25-TODAY()&lt;=7,"Due soon","To pay")))))</f>
        <v/>
      </c>
      <c r="K25" s="29" t="n"/>
      <c r="L25" s="1" t="n"/>
      <c r="M25">
        <f>IF(B25="",0,IF(F25&lt;&gt;"",F25,N(E25)))</f>
        <v/>
      </c>
    </row>
    <row r="26">
      <c r="A26" s="1" t="n"/>
      <c r="B26" s="5" t="n"/>
      <c r="C26" s="29" t="n"/>
      <c r="D26" s="29" t="n"/>
      <c r="E26" s="35" t="n"/>
      <c r="F26" s="35" t="n"/>
      <c r="G26" s="35" t="n"/>
      <c r="H26" s="36">
        <f>IF(B26="","",MAX(0,IF(F26&lt;&gt;"",F26,N(E26))-N(G26)))</f>
        <v/>
      </c>
      <c r="I26" s="37" t="n"/>
      <c r="J26" s="21">
        <f>IF(B26="","",IF(H26&lt;=0,"Paid",IF(I26="","To pay",IF(I26&lt;TODAY(),"Late",IF(I26-TODAY()&lt;=7,"Due soon","To pay")))))</f>
        <v/>
      </c>
      <c r="K26" s="29" t="n"/>
      <c r="L26" s="1" t="n"/>
      <c r="M26">
        <f>IF(B26="",0,IF(F26&lt;&gt;"",F26,N(E26)))</f>
        <v/>
      </c>
    </row>
    <row r="27">
      <c r="A27" s="1" t="n"/>
      <c r="B27" s="5" t="n"/>
      <c r="C27" s="29" t="n"/>
      <c r="D27" s="29" t="n"/>
      <c r="E27" s="35" t="n"/>
      <c r="F27" s="35" t="n"/>
      <c r="G27" s="35" t="n"/>
      <c r="H27" s="36">
        <f>IF(B27="","",MAX(0,IF(F27&lt;&gt;"",F27,N(E27))-N(G27)))</f>
        <v/>
      </c>
      <c r="I27" s="37" t="n"/>
      <c r="J27" s="21">
        <f>IF(B27="","",IF(H27&lt;=0,"Paid",IF(I27="","To pay",IF(I27&lt;TODAY(),"Late",IF(I27-TODAY()&lt;=7,"Due soon","To pay")))))</f>
        <v/>
      </c>
      <c r="K27" s="29" t="n"/>
      <c r="L27" s="1" t="n"/>
      <c r="M27">
        <f>IF(B27="",0,IF(F27&lt;&gt;"",F27,N(E27)))</f>
        <v/>
      </c>
    </row>
    <row r="28">
      <c r="A28" s="1" t="n"/>
      <c r="B28" s="5" t="n"/>
      <c r="C28" s="29" t="n"/>
      <c r="D28" s="29" t="n"/>
      <c r="E28" s="35" t="n"/>
      <c r="F28" s="35" t="n"/>
      <c r="G28" s="35" t="n"/>
      <c r="H28" s="36">
        <f>IF(B28="","",MAX(0,IF(F28&lt;&gt;"",F28,N(E28))-N(G28)))</f>
        <v/>
      </c>
      <c r="I28" s="37" t="n"/>
      <c r="J28" s="21">
        <f>IF(B28="","",IF(H28&lt;=0,"Paid",IF(I28="","To pay",IF(I28&lt;TODAY(),"Late",IF(I28-TODAY()&lt;=7,"Due soon","To pay")))))</f>
        <v/>
      </c>
      <c r="K28" s="29" t="n"/>
      <c r="L28" s="1" t="n"/>
      <c r="M28">
        <f>IF(B28="",0,IF(F28&lt;&gt;"",F28,N(E28)))</f>
        <v/>
      </c>
    </row>
    <row r="29">
      <c r="A29" s="1" t="n"/>
      <c r="B29" s="5" t="n"/>
      <c r="C29" s="29" t="n"/>
      <c r="D29" s="29" t="n"/>
      <c r="E29" s="35" t="n"/>
      <c r="F29" s="35" t="n"/>
      <c r="G29" s="35" t="n"/>
      <c r="H29" s="36">
        <f>IF(B29="","",MAX(0,IF(F29&lt;&gt;"",F29,N(E29))-N(G29)))</f>
        <v/>
      </c>
      <c r="I29" s="37" t="n"/>
      <c r="J29" s="21">
        <f>IF(B29="","",IF(H29&lt;=0,"Paid",IF(I29="","To pay",IF(I29&lt;TODAY(),"Late",IF(I29-TODAY()&lt;=7,"Due soon","To pay")))))</f>
        <v/>
      </c>
      <c r="K29" s="29" t="n"/>
      <c r="L29" s="1" t="n"/>
      <c r="M29">
        <f>IF(B29="",0,IF(F29&lt;&gt;"",F29,N(E29)))</f>
        <v/>
      </c>
    </row>
    <row r="30">
      <c r="A30" s="1" t="n"/>
      <c r="B30" s="5" t="n"/>
      <c r="C30" s="29" t="n"/>
      <c r="D30" s="29" t="n"/>
      <c r="E30" s="35" t="n"/>
      <c r="F30" s="35" t="n"/>
      <c r="G30" s="35" t="n"/>
      <c r="H30" s="36">
        <f>IF(B30="","",MAX(0,IF(F30&lt;&gt;"",F30,N(E30))-N(G30)))</f>
        <v/>
      </c>
      <c r="I30" s="37" t="n"/>
      <c r="J30" s="21">
        <f>IF(B30="","",IF(H30&lt;=0,"Paid",IF(I30="","To pay",IF(I30&lt;TODAY(),"Late",IF(I30-TODAY()&lt;=7,"Due soon","To pay")))))</f>
        <v/>
      </c>
      <c r="K30" s="29" t="n"/>
      <c r="L30" s="1" t="n"/>
      <c r="M30">
        <f>IF(B30="",0,IF(F30&lt;&gt;"",F30,N(E30)))</f>
        <v/>
      </c>
    </row>
    <row r="31">
      <c r="A31" s="1" t="n"/>
      <c r="B31" s="5" t="n"/>
      <c r="C31" s="29" t="n"/>
      <c r="D31" s="29" t="n"/>
      <c r="E31" s="35" t="n"/>
      <c r="F31" s="35" t="n"/>
      <c r="G31" s="35" t="n"/>
      <c r="H31" s="36">
        <f>IF(B31="","",MAX(0,IF(F31&lt;&gt;"",F31,N(E31))-N(G31)))</f>
        <v/>
      </c>
      <c r="I31" s="37" t="n"/>
      <c r="J31" s="21">
        <f>IF(B31="","",IF(H31&lt;=0,"Paid",IF(I31="","To pay",IF(I31&lt;TODAY(),"Late",IF(I31-TODAY()&lt;=7,"Due soon","To pay")))))</f>
        <v/>
      </c>
      <c r="K31" s="29" t="n"/>
      <c r="L31" s="1" t="n"/>
      <c r="M31">
        <f>IF(B31="",0,IF(F31&lt;&gt;"",F31,N(E31)))</f>
        <v/>
      </c>
    </row>
    <row r="32">
      <c r="A32" s="1" t="n"/>
      <c r="B32" s="5" t="n"/>
      <c r="C32" s="29" t="n"/>
      <c r="D32" s="29" t="n"/>
      <c r="E32" s="35" t="n"/>
      <c r="F32" s="35" t="n"/>
      <c r="G32" s="35" t="n"/>
      <c r="H32" s="36">
        <f>IF(B32="","",MAX(0,IF(F32&lt;&gt;"",F32,N(E32))-N(G32)))</f>
        <v/>
      </c>
      <c r="I32" s="37" t="n"/>
      <c r="J32" s="21">
        <f>IF(B32="","",IF(H32&lt;=0,"Paid",IF(I32="","To pay",IF(I32&lt;TODAY(),"Late",IF(I32-TODAY()&lt;=7,"Due soon","To pay")))))</f>
        <v/>
      </c>
      <c r="K32" s="29" t="n"/>
      <c r="L32" s="1" t="n"/>
      <c r="M32">
        <f>IF(B32="",0,IF(F32&lt;&gt;"",F32,N(E32)))</f>
        <v/>
      </c>
    </row>
    <row r="33">
      <c r="A33" s="1" t="n"/>
      <c r="B33" s="5" t="n"/>
      <c r="C33" s="29" t="n"/>
      <c r="D33" s="29" t="n"/>
      <c r="E33" s="35" t="n"/>
      <c r="F33" s="35" t="n"/>
      <c r="G33" s="35" t="n"/>
      <c r="H33" s="36">
        <f>IF(B33="","",MAX(0,IF(F33&lt;&gt;"",F33,N(E33))-N(G33)))</f>
        <v/>
      </c>
      <c r="I33" s="37" t="n"/>
      <c r="J33" s="21">
        <f>IF(B33="","",IF(H33&lt;=0,"Paid",IF(I33="","To pay",IF(I33&lt;TODAY(),"Late",IF(I33-TODAY()&lt;=7,"Due soon","To pay")))))</f>
        <v/>
      </c>
      <c r="K33" s="29" t="n"/>
      <c r="L33" s="1" t="n"/>
      <c r="M33">
        <f>IF(B33="",0,IF(F33&lt;&gt;"",F33,N(E33)))</f>
        <v/>
      </c>
    </row>
    <row r="34">
      <c r="A34" s="1" t="n"/>
      <c r="B34" s="5" t="n"/>
      <c r="C34" s="29" t="n"/>
      <c r="D34" s="29" t="n"/>
      <c r="E34" s="35" t="n"/>
      <c r="F34" s="35" t="n"/>
      <c r="G34" s="35" t="n"/>
      <c r="H34" s="36">
        <f>IF(B34="","",MAX(0,IF(F34&lt;&gt;"",F34,N(E34))-N(G34)))</f>
        <v/>
      </c>
      <c r="I34" s="37" t="n"/>
      <c r="J34" s="21">
        <f>IF(B34="","",IF(H34&lt;=0,"Paid",IF(I34="","To pay",IF(I34&lt;TODAY(),"Late",IF(I34-TODAY()&lt;=7,"Due soon","To pay")))))</f>
        <v/>
      </c>
      <c r="K34" s="29" t="n"/>
      <c r="L34" s="1" t="n"/>
      <c r="M34">
        <f>IF(B34="",0,IF(F34&lt;&gt;"",F34,N(E34)))</f>
        <v/>
      </c>
    </row>
    <row r="35">
      <c r="A35" s="1" t="n"/>
      <c r="B35" s="5" t="n"/>
      <c r="C35" s="29" t="n"/>
      <c r="D35" s="29" t="n"/>
      <c r="E35" s="35" t="n"/>
      <c r="F35" s="35" t="n"/>
      <c r="G35" s="35" t="n"/>
      <c r="H35" s="36">
        <f>IF(B35="","",MAX(0,IF(F35&lt;&gt;"",F35,N(E35))-N(G35)))</f>
        <v/>
      </c>
      <c r="I35" s="37" t="n"/>
      <c r="J35" s="21">
        <f>IF(B35="","",IF(H35&lt;=0,"Paid",IF(I35="","To pay",IF(I35&lt;TODAY(),"Late",IF(I35-TODAY()&lt;=7,"Due soon","To pay")))))</f>
        <v/>
      </c>
      <c r="K35" s="29" t="n"/>
      <c r="L35" s="1" t="n"/>
      <c r="M35">
        <f>IF(B35="",0,IF(F35&lt;&gt;"",F35,N(E35)))</f>
        <v/>
      </c>
    </row>
    <row r="36">
      <c r="A36" s="1" t="n"/>
      <c r="B36" s="5" t="n"/>
      <c r="C36" s="29" t="n"/>
      <c r="D36" s="29" t="n"/>
      <c r="E36" s="35" t="n"/>
      <c r="F36" s="35" t="n"/>
      <c r="G36" s="35" t="n"/>
      <c r="H36" s="36">
        <f>IF(B36="","",MAX(0,IF(F36&lt;&gt;"",F36,N(E36))-N(G36)))</f>
        <v/>
      </c>
      <c r="I36" s="37" t="n"/>
      <c r="J36" s="21">
        <f>IF(B36="","",IF(H36&lt;=0,"Paid",IF(I36="","To pay",IF(I36&lt;TODAY(),"Late",IF(I36-TODAY()&lt;=7,"Due soon","To pay")))))</f>
        <v/>
      </c>
      <c r="K36" s="29" t="n"/>
      <c r="L36" s="1" t="n"/>
      <c r="M36">
        <f>IF(B36="",0,IF(F36&lt;&gt;"",F36,N(E36)))</f>
        <v/>
      </c>
    </row>
    <row r="37">
      <c r="A37" s="1" t="n"/>
      <c r="B37" s="5" t="n"/>
      <c r="C37" s="29" t="n"/>
      <c r="D37" s="29" t="n"/>
      <c r="E37" s="35" t="n"/>
      <c r="F37" s="35" t="n"/>
      <c r="G37" s="35" t="n"/>
      <c r="H37" s="36">
        <f>IF(B37="","",MAX(0,IF(F37&lt;&gt;"",F37,N(E37))-N(G37)))</f>
        <v/>
      </c>
      <c r="I37" s="37" t="n"/>
      <c r="J37" s="21">
        <f>IF(B37="","",IF(H37&lt;=0,"Paid",IF(I37="","To pay",IF(I37&lt;TODAY(),"Late",IF(I37-TODAY()&lt;=7,"Due soon","To pay")))))</f>
        <v/>
      </c>
      <c r="K37" s="29" t="n"/>
      <c r="L37" s="1" t="n"/>
      <c r="M37">
        <f>IF(B37="",0,IF(F37&lt;&gt;"",F37,N(E37)))</f>
        <v/>
      </c>
    </row>
    <row r="38">
      <c r="A38" s="1" t="n"/>
      <c r="B38" s="5" t="n"/>
      <c r="C38" s="29" t="n"/>
      <c r="D38" s="29" t="n"/>
      <c r="E38" s="35" t="n"/>
      <c r="F38" s="35" t="n"/>
      <c r="G38" s="35" t="n"/>
      <c r="H38" s="36">
        <f>IF(B38="","",MAX(0,IF(F38&lt;&gt;"",F38,N(E38))-N(G38)))</f>
        <v/>
      </c>
      <c r="I38" s="37" t="n"/>
      <c r="J38" s="21">
        <f>IF(B38="","",IF(H38&lt;=0,"Paid",IF(I38="","To pay",IF(I38&lt;TODAY(),"Late",IF(I38-TODAY()&lt;=7,"Due soon","To pay")))))</f>
        <v/>
      </c>
      <c r="K38" s="29" t="n"/>
      <c r="L38" s="1" t="n"/>
      <c r="M38">
        <f>IF(B38="",0,IF(F38&lt;&gt;"",F38,N(E38)))</f>
        <v/>
      </c>
    </row>
    <row r="39">
      <c r="A39" s="1" t="n"/>
      <c r="B39" s="5" t="n"/>
      <c r="C39" s="29" t="n"/>
      <c r="D39" s="29" t="n"/>
      <c r="E39" s="35" t="n"/>
      <c r="F39" s="35" t="n"/>
      <c r="G39" s="35" t="n"/>
      <c r="H39" s="36">
        <f>IF(B39="","",MAX(0,IF(F39&lt;&gt;"",F39,N(E39))-N(G39)))</f>
        <v/>
      </c>
      <c r="I39" s="37" t="n"/>
      <c r="J39" s="21">
        <f>IF(B39="","",IF(H39&lt;=0,"Paid",IF(I39="","To pay",IF(I39&lt;TODAY(),"Late",IF(I39-TODAY()&lt;=7,"Due soon","To pay")))))</f>
        <v/>
      </c>
      <c r="K39" s="29" t="n"/>
      <c r="L39" s="1" t="n"/>
      <c r="M39">
        <f>IF(B39="",0,IF(F39&lt;&gt;"",F39,N(E39)))</f>
        <v/>
      </c>
    </row>
    <row r="40">
      <c r="A40" s="1" t="n"/>
      <c r="B40" s="5" t="n"/>
      <c r="C40" s="29" t="n"/>
      <c r="D40" s="29" t="n"/>
      <c r="E40" s="35" t="n"/>
      <c r="F40" s="35" t="n"/>
      <c r="G40" s="35" t="n"/>
      <c r="H40" s="36">
        <f>IF(B40="","",MAX(0,IF(F40&lt;&gt;"",F40,N(E40))-N(G40)))</f>
        <v/>
      </c>
      <c r="I40" s="37" t="n"/>
      <c r="J40" s="21">
        <f>IF(B40="","",IF(H40&lt;=0,"Paid",IF(I40="","To pay",IF(I40&lt;TODAY(),"Late",IF(I40-TODAY()&lt;=7,"Due soon","To pay")))))</f>
        <v/>
      </c>
      <c r="K40" s="29" t="n"/>
      <c r="L40" s="1" t="n"/>
      <c r="M40">
        <f>IF(B40="",0,IF(F40&lt;&gt;"",F40,N(E40)))</f>
        <v/>
      </c>
    </row>
    <row r="41">
      <c r="A41" s="1" t="n"/>
      <c r="B41" s="5" t="n"/>
      <c r="C41" s="29" t="n"/>
      <c r="D41" s="29" t="n"/>
      <c r="E41" s="35" t="n"/>
      <c r="F41" s="35" t="n"/>
      <c r="G41" s="35" t="n"/>
      <c r="H41" s="36">
        <f>IF(B41="","",MAX(0,IF(F41&lt;&gt;"",F41,N(E41))-N(G41)))</f>
        <v/>
      </c>
      <c r="I41" s="37" t="n"/>
      <c r="J41" s="21">
        <f>IF(B41="","",IF(H41&lt;=0,"Paid",IF(I41="","To pay",IF(I41&lt;TODAY(),"Late",IF(I41-TODAY()&lt;=7,"Due soon","To pay")))))</f>
        <v/>
      </c>
      <c r="K41" s="29" t="n"/>
      <c r="L41" s="1" t="n"/>
      <c r="M41">
        <f>IF(B41="",0,IF(F41&lt;&gt;"",F41,N(E41)))</f>
        <v/>
      </c>
    </row>
    <row r="42">
      <c r="A42" s="1" t="n"/>
      <c r="B42" s="5" t="n"/>
      <c r="C42" s="29" t="n"/>
      <c r="D42" s="29" t="n"/>
      <c r="E42" s="35" t="n"/>
      <c r="F42" s="35" t="n"/>
      <c r="G42" s="35" t="n"/>
      <c r="H42" s="36">
        <f>IF(B42="","",MAX(0,IF(F42&lt;&gt;"",F42,N(E42))-N(G42)))</f>
        <v/>
      </c>
      <c r="I42" s="37" t="n"/>
      <c r="J42" s="21">
        <f>IF(B42="","",IF(H42&lt;=0,"Paid",IF(I42="","To pay",IF(I42&lt;TODAY(),"Late",IF(I42-TODAY()&lt;=7,"Due soon","To pay")))))</f>
        <v/>
      </c>
      <c r="K42" s="29" t="n"/>
      <c r="L42" s="1" t="n"/>
      <c r="M42">
        <f>IF(B42="",0,IF(F42&lt;&gt;"",F42,N(E42)))</f>
        <v/>
      </c>
    </row>
    <row r="43">
      <c r="A43" s="1" t="n"/>
      <c r="B43" s="5" t="n"/>
      <c r="C43" s="29" t="n"/>
      <c r="D43" s="29" t="n"/>
      <c r="E43" s="35" t="n"/>
      <c r="F43" s="35" t="n"/>
      <c r="G43" s="35" t="n"/>
      <c r="H43" s="36">
        <f>IF(B43="","",MAX(0,IF(F43&lt;&gt;"",F43,N(E43))-N(G43)))</f>
        <v/>
      </c>
      <c r="I43" s="37" t="n"/>
      <c r="J43" s="21">
        <f>IF(B43="","",IF(H43&lt;=0,"Paid",IF(I43="","To pay",IF(I43&lt;TODAY(),"Late",IF(I43-TODAY()&lt;=7,"Due soon","To pay")))))</f>
        <v/>
      </c>
      <c r="K43" s="29" t="n"/>
      <c r="L43" s="1" t="n"/>
      <c r="M43">
        <f>IF(B43="",0,IF(F43&lt;&gt;"",F43,N(E43)))</f>
        <v/>
      </c>
    </row>
    <row r="44">
      <c r="A44" s="1" t="n"/>
      <c r="B44" s="5" t="n"/>
      <c r="C44" s="29" t="n"/>
      <c r="D44" s="29" t="n"/>
      <c r="E44" s="35" t="n"/>
      <c r="F44" s="35" t="n"/>
      <c r="G44" s="35" t="n"/>
      <c r="H44" s="36">
        <f>IF(B44="","",MAX(0,IF(F44&lt;&gt;"",F44,N(E44))-N(G44)))</f>
        <v/>
      </c>
      <c r="I44" s="37" t="n"/>
      <c r="J44" s="21">
        <f>IF(B44="","",IF(H44&lt;=0,"Paid",IF(I44="","To pay",IF(I44&lt;TODAY(),"Late",IF(I44-TODAY()&lt;=7,"Due soon","To pay")))))</f>
        <v/>
      </c>
      <c r="K44" s="29" t="n"/>
      <c r="L44" s="1" t="n"/>
      <c r="M44">
        <f>IF(B44="",0,IF(F44&lt;&gt;"",F44,N(E44)))</f>
        <v/>
      </c>
    </row>
    <row r="45">
      <c r="A45" s="1" t="n"/>
      <c r="B45" s="5" t="n"/>
      <c r="C45" s="29" t="n"/>
      <c r="D45" s="29" t="n"/>
      <c r="E45" s="35" t="n"/>
      <c r="F45" s="35" t="n"/>
      <c r="G45" s="35" t="n"/>
      <c r="H45" s="36">
        <f>IF(B45="","",MAX(0,IF(F45&lt;&gt;"",F45,N(E45))-N(G45)))</f>
        <v/>
      </c>
      <c r="I45" s="37" t="n"/>
      <c r="J45" s="21">
        <f>IF(B45="","",IF(H45&lt;=0,"Paid",IF(I45="","To pay",IF(I45&lt;TODAY(),"Late",IF(I45-TODAY()&lt;=7,"Due soon","To pay")))))</f>
        <v/>
      </c>
      <c r="K45" s="29" t="n"/>
      <c r="L45" s="1" t="n"/>
      <c r="M45">
        <f>IF(B45="",0,IF(F45&lt;&gt;"",F45,N(E45)))</f>
        <v/>
      </c>
    </row>
    <row r="46">
      <c r="A46" s="1" t="n"/>
      <c r="B46" s="5" t="n"/>
      <c r="C46" s="29" t="n"/>
      <c r="D46" s="29" t="n"/>
      <c r="E46" s="35" t="n"/>
      <c r="F46" s="35" t="n"/>
      <c r="G46" s="35" t="n"/>
      <c r="H46" s="36">
        <f>IF(B46="","",MAX(0,IF(F46&lt;&gt;"",F46,N(E46))-N(G46)))</f>
        <v/>
      </c>
      <c r="I46" s="37" t="n"/>
      <c r="J46" s="21">
        <f>IF(B46="","",IF(H46&lt;=0,"Paid",IF(I46="","To pay",IF(I46&lt;TODAY(),"Late",IF(I46-TODAY()&lt;=7,"Due soon","To pay")))))</f>
        <v/>
      </c>
      <c r="K46" s="29" t="n"/>
      <c r="L46" s="1" t="n"/>
      <c r="M46">
        <f>IF(B46="",0,IF(F46&lt;&gt;"",F46,N(E46)))</f>
        <v/>
      </c>
    </row>
    <row r="47">
      <c r="A47" s="1" t="n"/>
      <c r="B47" s="5" t="n"/>
      <c r="C47" s="29" t="n"/>
      <c r="D47" s="29" t="n"/>
      <c r="E47" s="35" t="n"/>
      <c r="F47" s="35" t="n"/>
      <c r="G47" s="35" t="n"/>
      <c r="H47" s="36">
        <f>IF(B47="","",MAX(0,IF(F47&lt;&gt;"",F47,N(E47))-N(G47)))</f>
        <v/>
      </c>
      <c r="I47" s="37" t="n"/>
      <c r="J47" s="21">
        <f>IF(B47="","",IF(H47&lt;=0,"Paid",IF(I47="","To pay",IF(I47&lt;TODAY(),"Late",IF(I47-TODAY()&lt;=7,"Due soon","To pay")))))</f>
        <v/>
      </c>
      <c r="K47" s="29" t="n"/>
      <c r="L47" s="1" t="n"/>
      <c r="M47">
        <f>IF(B47="",0,IF(F47&lt;&gt;"",F47,N(E47)))</f>
        <v/>
      </c>
    </row>
    <row r="48">
      <c r="A48" s="1" t="n"/>
      <c r="B48" s="5" t="n"/>
      <c r="C48" s="29" t="n"/>
      <c r="D48" s="29" t="n"/>
      <c r="E48" s="35" t="n"/>
      <c r="F48" s="35" t="n"/>
      <c r="G48" s="35" t="n"/>
      <c r="H48" s="36">
        <f>IF(B48="","",MAX(0,IF(F48&lt;&gt;"",F48,N(E48))-N(G48)))</f>
        <v/>
      </c>
      <c r="I48" s="37" t="n"/>
      <c r="J48" s="21">
        <f>IF(B48="","",IF(H48&lt;=0,"Paid",IF(I48="","To pay",IF(I48&lt;TODAY(),"Late",IF(I48-TODAY()&lt;=7,"Due soon","To pay")))))</f>
        <v/>
      </c>
      <c r="K48" s="29" t="n"/>
      <c r="L48" s="1" t="n"/>
      <c r="M48">
        <f>IF(B48="",0,IF(F48&lt;&gt;"",F48,N(E48)))</f>
        <v/>
      </c>
    </row>
    <row r="49">
      <c r="A49" s="1" t="n"/>
      <c r="B49" s="5" t="n"/>
      <c r="C49" s="29" t="n"/>
      <c r="D49" s="29" t="n"/>
      <c r="E49" s="35" t="n"/>
      <c r="F49" s="35" t="n"/>
      <c r="G49" s="35" t="n"/>
      <c r="H49" s="36">
        <f>IF(B49="","",MAX(0,IF(F49&lt;&gt;"",F49,N(E49))-N(G49)))</f>
        <v/>
      </c>
      <c r="I49" s="37" t="n"/>
      <c r="J49" s="21">
        <f>IF(B49="","",IF(H49&lt;=0,"Paid",IF(I49="","To pay",IF(I49&lt;TODAY(),"Late",IF(I49-TODAY()&lt;=7,"Due soon","To pay")))))</f>
        <v/>
      </c>
      <c r="K49" s="29" t="n"/>
      <c r="L49" s="1" t="n"/>
      <c r="M49">
        <f>IF(B49="",0,IF(F49&lt;&gt;"",F49,N(E49)))</f>
        <v/>
      </c>
    </row>
    <row r="50">
      <c r="A50" s="1" t="n"/>
      <c r="B50" s="5" t="n"/>
      <c r="C50" s="29" t="n"/>
      <c r="D50" s="29" t="n"/>
      <c r="E50" s="35" t="n"/>
      <c r="F50" s="35" t="n"/>
      <c r="G50" s="35" t="n"/>
      <c r="H50" s="36">
        <f>IF(B50="","",MAX(0,IF(F50&lt;&gt;"",F50,N(E50))-N(G50)))</f>
        <v/>
      </c>
      <c r="I50" s="37" t="n"/>
      <c r="J50" s="21">
        <f>IF(B50="","",IF(H50&lt;=0,"Paid",IF(I50="","To pay",IF(I50&lt;TODAY(),"Late",IF(I50-TODAY()&lt;=7,"Due soon","To pay")))))</f>
        <v/>
      </c>
      <c r="K50" s="29" t="n"/>
      <c r="L50" s="1" t="n"/>
      <c r="M50">
        <f>IF(B50="",0,IF(F50&lt;&gt;"",F50,N(E50)))</f>
        <v/>
      </c>
    </row>
    <row r="51">
      <c r="A51" s="1" t="n"/>
      <c r="B51" s="5" t="n"/>
      <c r="C51" s="29" t="n"/>
      <c r="D51" s="29" t="n"/>
      <c r="E51" s="35" t="n"/>
      <c r="F51" s="35" t="n"/>
      <c r="G51" s="35" t="n"/>
      <c r="H51" s="36">
        <f>IF(B51="","",MAX(0,IF(F51&lt;&gt;"",F51,N(E51))-N(G51)))</f>
        <v/>
      </c>
      <c r="I51" s="37" t="n"/>
      <c r="J51" s="21">
        <f>IF(B51="","",IF(H51&lt;=0,"Paid",IF(I51="","To pay",IF(I51&lt;TODAY(),"Late",IF(I51-TODAY()&lt;=7,"Due soon","To pay")))))</f>
        <v/>
      </c>
      <c r="K51" s="29" t="n"/>
      <c r="L51" s="1" t="n"/>
      <c r="M51">
        <f>IF(B51="",0,IF(F51&lt;&gt;"",F51,N(E51)))</f>
        <v/>
      </c>
    </row>
    <row r="52">
      <c r="A52" s="1" t="n"/>
      <c r="B52" s="5" t="n"/>
      <c r="C52" s="29" t="n"/>
      <c r="D52" s="29" t="n"/>
      <c r="E52" s="35" t="n"/>
      <c r="F52" s="35" t="n"/>
      <c r="G52" s="35" t="n"/>
      <c r="H52" s="36">
        <f>IF(B52="","",MAX(0,IF(F52&lt;&gt;"",F52,N(E52))-N(G52)))</f>
        <v/>
      </c>
      <c r="I52" s="37" t="n"/>
      <c r="J52" s="21">
        <f>IF(B52="","",IF(H52&lt;=0,"Paid",IF(I52="","To pay",IF(I52&lt;TODAY(),"Late",IF(I52-TODAY()&lt;=7,"Due soon","To pay")))))</f>
        <v/>
      </c>
      <c r="K52" s="29" t="n"/>
      <c r="L52" s="1" t="n"/>
      <c r="M52">
        <f>IF(B52="",0,IF(F52&lt;&gt;"",F52,N(E52)))</f>
        <v/>
      </c>
    </row>
    <row r="53">
      <c r="A53" s="1" t="n"/>
      <c r="B53" s="5" t="n"/>
      <c r="C53" s="29" t="n"/>
      <c r="D53" s="29" t="n"/>
      <c r="E53" s="35" t="n"/>
      <c r="F53" s="35" t="n"/>
      <c r="G53" s="35" t="n"/>
      <c r="H53" s="36">
        <f>IF(B53="","",MAX(0,IF(F53&lt;&gt;"",F53,N(E53))-N(G53)))</f>
        <v/>
      </c>
      <c r="I53" s="37" t="n"/>
      <c r="J53" s="21">
        <f>IF(B53="","",IF(H53&lt;=0,"Paid",IF(I53="","To pay",IF(I53&lt;TODAY(),"Late",IF(I53-TODAY()&lt;=7,"Due soon","To pay")))))</f>
        <v/>
      </c>
      <c r="K53" s="29" t="n"/>
      <c r="L53" s="1" t="n"/>
      <c r="M53">
        <f>IF(B53="",0,IF(F53&lt;&gt;"",F53,N(E53)))</f>
        <v/>
      </c>
    </row>
    <row r="54">
      <c r="A54" s="1" t="n"/>
      <c r="B54" s="5" t="n"/>
      <c r="C54" s="29" t="n"/>
      <c r="D54" s="29" t="n"/>
      <c r="E54" s="35" t="n"/>
      <c r="F54" s="35" t="n"/>
      <c r="G54" s="35" t="n"/>
      <c r="H54" s="36">
        <f>IF(B54="","",MAX(0,IF(F54&lt;&gt;"",F54,N(E54))-N(G54)))</f>
        <v/>
      </c>
      <c r="I54" s="37" t="n"/>
      <c r="J54" s="21">
        <f>IF(B54="","",IF(H54&lt;=0,"Paid",IF(I54="","To pay",IF(I54&lt;TODAY(),"Late",IF(I54-TODAY()&lt;=7,"Due soon","To pay")))))</f>
        <v/>
      </c>
      <c r="K54" s="29" t="n"/>
      <c r="L54" s="1" t="n"/>
      <c r="M54">
        <f>IF(B54="",0,IF(F54&lt;&gt;"",F54,N(E54)))</f>
        <v/>
      </c>
    </row>
    <row r="55">
      <c r="A55" s="1" t="n"/>
      <c r="B55" s="5" t="n"/>
      <c r="C55" s="29" t="n"/>
      <c r="D55" s="29" t="n"/>
      <c r="E55" s="35" t="n"/>
      <c r="F55" s="35" t="n"/>
      <c r="G55" s="35" t="n"/>
      <c r="H55" s="36">
        <f>IF(B55="","",MAX(0,IF(F55&lt;&gt;"",F55,N(E55))-N(G55)))</f>
        <v/>
      </c>
      <c r="I55" s="37" t="n"/>
      <c r="J55" s="21">
        <f>IF(B55="","",IF(H55&lt;=0,"Paid",IF(I55="","To pay",IF(I55&lt;TODAY(),"Late",IF(I55-TODAY()&lt;=7,"Due soon","To pay")))))</f>
        <v/>
      </c>
      <c r="K55" s="29" t="n"/>
      <c r="L55" s="1" t="n"/>
      <c r="M55">
        <f>IF(B55="",0,IF(F55&lt;&gt;"",F55,N(E55)))</f>
        <v/>
      </c>
    </row>
    <row r="56">
      <c r="A56" s="1" t="n"/>
      <c r="B56" s="33" t="inlineStr">
        <is>
          <t>The final price counts once you know it. Until then the estimate does.</t>
        </is>
      </c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</row>
  </sheetData>
  <conditionalFormatting sqref="J6:J55">
    <cfRule type="expression" priority="1" dxfId="3">
      <formula>J6="Paid"</formula>
    </cfRule>
    <cfRule type="expression" priority="2" dxfId="1">
      <formula>J6="Late"</formula>
    </cfRule>
    <cfRule type="expression" priority="3" dxfId="2">
      <formula>J6="Due soon"</formula>
    </cfRule>
  </conditionalFormatting>
  <dataValidations count="1">
    <dataValidation sqref="C6:C55" showDropDown="0" showInputMessage="0" showErrorMessage="0" allowBlank="1" type="list">
      <formula1>"Venue,Cake,Decorations,Entertainment,Rentals,Invitations,Favours,Photos,Outfits,Other"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4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44" customWidth="1" min="3" max="3"/>
    <col width="20" customWidth="1" min="4" max="4"/>
    <col width="34" customWidth="1" min="5" max="5"/>
  </cols>
  <sheetData>
    <row r="1">
      <c r="A1" s="1" t="n"/>
      <c r="B1" s="1" t="n"/>
      <c r="C1" s="1" t="n"/>
      <c r="D1" s="1" t="n"/>
      <c r="E1" s="1" t="n"/>
      <c r="F1" s="1" t="n"/>
    </row>
    <row r="2" ht="32" customHeight="1">
      <c r="A2" s="1" t="n"/>
      <c r="B2" s="2" t="inlineStr">
        <is>
          <t>The day</t>
        </is>
      </c>
      <c r="C2" s="1" t="n"/>
      <c r="D2" s="1" t="n"/>
      <c r="E2" s="1" t="n"/>
      <c r="F2" s="1" t="n"/>
    </row>
    <row r="3">
      <c r="A3" s="1" t="n"/>
      <c r="B3" s="3" t="inlineStr">
        <is>
          <t>The plan for the party itself, hour by hour, and who looks after what.</t>
        </is>
      </c>
      <c r="C3" s="1" t="n"/>
      <c r="D3" s="1" t="n"/>
      <c r="E3" s="1" t="n"/>
      <c r="F3" s="1" t="n"/>
    </row>
    <row r="4">
      <c r="A4" s="1" t="n"/>
      <c r="B4" s="1" t="n"/>
      <c r="C4" s="1" t="n"/>
      <c r="D4" s="1" t="n"/>
      <c r="E4" s="1" t="n"/>
      <c r="F4" s="1" t="n"/>
    </row>
    <row r="5" ht="30" customHeight="1">
      <c r="A5" s="1" t="n"/>
      <c r="B5" s="17" t="inlineStr">
        <is>
          <t>Time</t>
        </is>
      </c>
      <c r="C5" s="17" t="inlineStr">
        <is>
          <t>What happens</t>
        </is>
      </c>
      <c r="D5" s="17" t="inlineStr">
        <is>
          <t>Who</t>
        </is>
      </c>
      <c r="E5" s="17" t="inlineStr">
        <is>
          <t>Notes</t>
        </is>
      </c>
      <c r="F5" s="1" t="n"/>
    </row>
    <row r="6">
      <c r="A6" s="1" t="n"/>
      <c r="B6" s="38" t="n">
        <v>0.5208333333333334</v>
      </c>
      <c r="C6" s="5" t="inlineStr">
        <is>
          <t>Set up the room, balloons and tables</t>
        </is>
      </c>
      <c r="D6" s="29" t="inlineStr">
        <is>
          <t>Dad and Iris</t>
        </is>
      </c>
      <c r="E6" s="29" t="n"/>
      <c r="F6" s="1" t="n"/>
    </row>
    <row r="7">
      <c r="A7" s="1" t="n"/>
      <c r="B7" s="38" t="n">
        <v>0.5625</v>
      </c>
      <c r="C7" s="5" t="inlineStr">
        <is>
          <t>Food and drinks out, music on</t>
        </is>
      </c>
      <c r="D7" s="29" t="inlineStr">
        <is>
          <t>Dad</t>
        </is>
      </c>
      <c r="E7" s="29" t="n"/>
      <c r="F7" s="1" t="n"/>
    </row>
    <row r="8">
      <c r="A8" s="1" t="n"/>
      <c r="B8" s="38" t="n">
        <v>0.5833333333333334</v>
      </c>
      <c r="C8" s="5" t="inlineStr">
        <is>
          <t>Guests arrive, face painting starts</t>
        </is>
      </c>
      <c r="D8" s="29" t="inlineStr">
        <is>
          <t>Mum</t>
        </is>
      </c>
      <c r="E8" s="29" t="n"/>
      <c r="F8" s="1" t="n"/>
    </row>
    <row r="9">
      <c r="A9" s="1" t="n"/>
      <c r="B9" s="38" t="n">
        <v>0.6145833333333334</v>
      </c>
      <c r="C9" s="5" t="inlineStr">
        <is>
          <t>Games in the hall</t>
        </is>
      </c>
      <c r="D9" s="29" t="inlineStr">
        <is>
          <t>Iris</t>
        </is>
      </c>
      <c r="E9" s="29" t="n"/>
      <c r="F9" s="1" t="n"/>
    </row>
    <row r="10">
      <c r="A10" s="1" t="n"/>
      <c r="B10" s="38" t="n">
        <v>0.6458333333333334</v>
      </c>
      <c r="C10" s="5" t="inlineStr">
        <is>
          <t>Magician</t>
        </is>
      </c>
      <c r="D10" s="29" t="inlineStr">
        <is>
          <t>Magic Max</t>
        </is>
      </c>
      <c r="E10" s="29" t="n"/>
      <c r="F10" s="1" t="n"/>
    </row>
    <row r="11">
      <c r="A11" s="1" t="n"/>
      <c r="B11" s="38" t="n">
        <v>0.6770833333333334</v>
      </c>
      <c r="C11" s="5" t="inlineStr">
        <is>
          <t>Pizza and snacks</t>
        </is>
      </c>
      <c r="D11" s="29" t="inlineStr">
        <is>
          <t>Everyone</t>
        </is>
      </c>
      <c r="E11" s="29" t="n"/>
      <c r="F11" s="1" t="n"/>
    </row>
    <row r="12">
      <c r="A12" s="1" t="n"/>
      <c r="B12" s="38" t="n">
        <v>0.6979166666666666</v>
      </c>
      <c r="C12" s="5" t="inlineStr">
        <is>
          <t>Cake and singing</t>
        </is>
      </c>
      <c r="D12" s="29" t="inlineStr">
        <is>
          <t>Mum</t>
        </is>
      </c>
      <c r="E12" s="29" t="n"/>
      <c r="F12" s="1" t="n"/>
    </row>
    <row r="13">
      <c r="A13" s="1" t="n"/>
      <c r="B13" s="38" t="n">
        <v>0.71875</v>
      </c>
      <c r="C13" s="5" t="inlineStr">
        <is>
          <t>Party bags and goodbyes</t>
        </is>
      </c>
      <c r="D13" s="29" t="inlineStr">
        <is>
          <t>Mia</t>
        </is>
      </c>
      <c r="E13" s="29" t="n"/>
      <c r="F13" s="1" t="n"/>
    </row>
    <row r="14">
      <c r="A14" s="1" t="n"/>
      <c r="B14" s="38" t="n">
        <v>0.7291666666666666</v>
      </c>
      <c r="C14" s="5" t="inlineStr">
        <is>
          <t>Tidy up and return the hall key</t>
        </is>
      </c>
      <c r="D14" s="29" t="inlineStr">
        <is>
          <t>Dad</t>
        </is>
      </c>
      <c r="E14" s="29" t="n"/>
      <c r="F14" s="1" t="n"/>
    </row>
    <row r="15">
      <c r="A15" s="1" t="n"/>
      <c r="B15" s="38" t="n"/>
      <c r="C15" s="5" t="n"/>
      <c r="D15" s="29" t="n"/>
      <c r="E15" s="29" t="n"/>
      <c r="F15" s="1" t="n"/>
    </row>
    <row r="16">
      <c r="A16" s="1" t="n"/>
      <c r="B16" s="38" t="n"/>
      <c r="C16" s="5" t="n"/>
      <c r="D16" s="29" t="n"/>
      <c r="E16" s="29" t="n"/>
      <c r="F16" s="1" t="n"/>
    </row>
    <row r="17">
      <c r="A17" s="1" t="n"/>
      <c r="B17" s="38" t="n"/>
      <c r="C17" s="5" t="n"/>
      <c r="D17" s="29" t="n"/>
      <c r="E17" s="29" t="n"/>
      <c r="F17" s="1" t="n"/>
    </row>
    <row r="18">
      <c r="A18" s="1" t="n"/>
      <c r="B18" s="38" t="n"/>
      <c r="C18" s="5" t="n"/>
      <c r="D18" s="29" t="n"/>
      <c r="E18" s="29" t="n"/>
      <c r="F18" s="1" t="n"/>
    </row>
    <row r="19">
      <c r="A19" s="1" t="n"/>
      <c r="B19" s="38" t="n"/>
      <c r="C19" s="5" t="n"/>
      <c r="D19" s="29" t="n"/>
      <c r="E19" s="29" t="n"/>
      <c r="F19" s="1" t="n"/>
    </row>
    <row r="20">
      <c r="A20" s="1" t="n"/>
      <c r="B20" s="38" t="n"/>
      <c r="C20" s="5" t="n"/>
      <c r="D20" s="29" t="n"/>
      <c r="E20" s="29" t="n"/>
      <c r="F20" s="1" t="n"/>
    </row>
    <row r="21">
      <c r="A21" s="1" t="n"/>
      <c r="B21" s="38" t="n"/>
      <c r="C21" s="5" t="n"/>
      <c r="D21" s="29" t="n"/>
      <c r="E21" s="29" t="n"/>
      <c r="F21" s="1" t="n"/>
    </row>
    <row r="22">
      <c r="A22" s="1" t="n"/>
      <c r="B22" s="38" t="n"/>
      <c r="C22" s="5" t="n"/>
      <c r="D22" s="29" t="n"/>
      <c r="E22" s="29" t="n"/>
      <c r="F22" s="1" t="n"/>
    </row>
    <row r="23">
      <c r="A23" s="1" t="n"/>
      <c r="B23" s="38" t="n"/>
      <c r="C23" s="5" t="n"/>
      <c r="D23" s="29" t="n"/>
      <c r="E23" s="29" t="n"/>
      <c r="F23" s="1" t="n"/>
    </row>
    <row r="24">
      <c r="A24" s="1" t="n"/>
      <c r="B24" s="38" t="n"/>
      <c r="C24" s="5" t="n"/>
      <c r="D24" s="29" t="n"/>
      <c r="E24" s="29" t="n"/>
      <c r="F24" s="1" t="n"/>
    </row>
    <row r="25">
      <c r="A25" s="1" t="n"/>
      <c r="B25" s="38" t="n"/>
      <c r="C25" s="5" t="n"/>
      <c r="D25" s="29" t="n"/>
      <c r="E25" s="29" t="n"/>
      <c r="F25" s="1" t="n"/>
    </row>
    <row r="26">
      <c r="A26" s="1" t="n"/>
      <c r="B26" s="38" t="n"/>
      <c r="C26" s="5" t="n"/>
      <c r="D26" s="29" t="n"/>
      <c r="E26" s="29" t="n"/>
      <c r="F26" s="1" t="n"/>
    </row>
    <row r="27">
      <c r="A27" s="1" t="n"/>
      <c r="B27" s="38" t="n"/>
      <c r="C27" s="5" t="n"/>
      <c r="D27" s="29" t="n"/>
      <c r="E27" s="29" t="n"/>
      <c r="F27" s="1" t="n"/>
    </row>
    <row r="28">
      <c r="A28" s="1" t="n"/>
      <c r="B28" s="38" t="n"/>
      <c r="C28" s="5" t="n"/>
      <c r="D28" s="29" t="n"/>
      <c r="E28" s="29" t="n"/>
      <c r="F28" s="1" t="n"/>
    </row>
    <row r="29">
      <c r="A29" s="1" t="n"/>
      <c r="B29" s="38" t="n"/>
      <c r="C29" s="5" t="n"/>
      <c r="D29" s="29" t="n"/>
      <c r="E29" s="29" t="n"/>
      <c r="F29" s="1" t="n"/>
    </row>
    <row r="30">
      <c r="A30" s="1" t="n"/>
      <c r="B30" s="38" t="n"/>
      <c r="C30" s="5" t="n"/>
      <c r="D30" s="29" t="n"/>
      <c r="E30" s="29" t="n"/>
      <c r="F30" s="1" t="n"/>
    </row>
    <row r="31">
      <c r="A31" s="1" t="n"/>
      <c r="B31" s="38" t="n"/>
      <c r="C31" s="5" t="n"/>
      <c r="D31" s="29" t="n"/>
      <c r="E31" s="29" t="n"/>
      <c r="F31" s="1" t="n"/>
    </row>
    <row r="32">
      <c r="A32" s="1" t="n"/>
      <c r="B32" s="38" t="n"/>
      <c r="C32" s="5" t="n"/>
      <c r="D32" s="29" t="n"/>
      <c r="E32" s="29" t="n"/>
      <c r="F32" s="1" t="n"/>
    </row>
    <row r="33">
      <c r="A33" s="1" t="n"/>
      <c r="B33" s="38" t="n"/>
      <c r="C33" s="5" t="n"/>
      <c r="D33" s="29" t="n"/>
      <c r="E33" s="29" t="n"/>
      <c r="F33" s="1" t="n"/>
    </row>
    <row r="34">
      <c r="A34" s="1" t="n"/>
      <c r="B34" s="38" t="n"/>
      <c r="C34" s="5" t="n"/>
      <c r="D34" s="29" t="n"/>
      <c r="E34" s="29" t="n"/>
      <c r="F34" s="1" t="n"/>
    </row>
    <row r="35">
      <c r="A35" s="1" t="n"/>
      <c r="B35" s="38" t="n"/>
      <c r="C35" s="5" t="n"/>
      <c r="D35" s="29" t="n"/>
      <c r="E35" s="29" t="n"/>
      <c r="F35" s="1" t="n"/>
    </row>
    <row r="36">
      <c r="A36" s="1" t="n"/>
      <c r="B36" s="38" t="n"/>
      <c r="C36" s="5" t="n"/>
      <c r="D36" s="29" t="n"/>
      <c r="E36" s="29" t="n"/>
      <c r="F36" s="1" t="n"/>
    </row>
    <row r="37">
      <c r="A37" s="1" t="n"/>
      <c r="B37" s="38" t="n"/>
      <c r="C37" s="5" t="n"/>
      <c r="D37" s="29" t="n"/>
      <c r="E37" s="29" t="n"/>
      <c r="F37" s="1" t="n"/>
    </row>
    <row r="38">
      <c r="A38" s="1" t="n"/>
      <c r="B38" s="38" t="n"/>
      <c r="C38" s="5" t="n"/>
      <c r="D38" s="29" t="n"/>
      <c r="E38" s="29" t="n"/>
      <c r="F38" s="1" t="n"/>
    </row>
    <row r="39">
      <c r="A39" s="1" t="n"/>
      <c r="B39" s="38" t="n"/>
      <c r="C39" s="5" t="n"/>
      <c r="D39" s="29" t="n"/>
      <c r="E39" s="29" t="n"/>
      <c r="F39" s="1" t="n"/>
    </row>
    <row r="40">
      <c r="A40" s="1" t="n"/>
      <c r="B40" s="38" t="n"/>
      <c r="C40" s="5" t="n"/>
      <c r="D40" s="29" t="n"/>
      <c r="E40" s="29" t="n"/>
      <c r="F40" s="1" t="n"/>
    </row>
    <row r="41">
      <c r="A41" s="1" t="n"/>
      <c r="B41" s="1" t="n"/>
      <c r="C41" s="1" t="n"/>
      <c r="D41" s="1" t="n"/>
      <c r="E41" s="1" t="n"/>
      <c r="F41" s="1" t="n"/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7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06" customWidth="1" min="3" max="3"/>
  </cols>
  <sheetData>
    <row r="1">
      <c r="A1" s="1" t="n"/>
      <c r="B1" s="1" t="n"/>
      <c r="C1" s="1" t="n"/>
      <c r="D1" s="1" t="n"/>
    </row>
    <row r="2" ht="32" customHeight="1">
      <c r="A2" s="1" t="n"/>
      <c r="B2" s="2" t="inlineStr">
        <is>
          <t>Start here</t>
        </is>
      </c>
      <c r="C2" s="1" t="n"/>
      <c r="D2" s="1" t="n"/>
    </row>
    <row r="3">
      <c r="A3" s="1" t="n"/>
      <c r="B3" s="3" t="inlineStr">
        <is>
          <t>Type only in the yellow cells. Everything else is calculated.</t>
        </is>
      </c>
      <c r="C3" s="1" t="n"/>
      <c r="D3" s="1" t="n"/>
    </row>
    <row r="4">
      <c r="A4" s="1" t="n"/>
      <c r="B4" s="1" t="n"/>
      <c r="C4" s="1" t="n"/>
      <c r="D4" s="1" t="n"/>
    </row>
    <row r="5">
      <c r="A5" s="1" t="n"/>
      <c r="B5" s="39" t="inlineStr">
        <is>
          <t>1</t>
        </is>
      </c>
      <c r="C5" s="40" t="inlineStr">
        <is>
          <t>Dashboard: the name of the party, the date, the time it starts and your budget.</t>
        </is>
      </c>
      <c r="D5" s="1" t="n"/>
    </row>
    <row r="6">
      <c r="A6" s="1" t="n"/>
      <c r="B6" s="1" t="n"/>
      <c r="C6" s="1" t="n"/>
      <c r="D6" s="1" t="n"/>
    </row>
    <row r="7">
      <c r="A7" s="1" t="n"/>
      <c r="B7" s="39" t="inlineStr">
        <is>
          <t>2</t>
        </is>
      </c>
      <c r="C7" s="40" t="inlineStr">
        <is>
          <t>Guests: one line per guest or family, with their answer and how many adults and kids.</t>
        </is>
      </c>
      <c r="D7" s="1" t="n"/>
    </row>
    <row r="8">
      <c r="A8" s="1" t="n"/>
      <c r="B8" s="1" t="n"/>
      <c r="C8" s="1" t="n"/>
      <c r="D8" s="1" t="n"/>
    </row>
    <row r="9">
      <c r="A9" s="1" t="n"/>
      <c r="B9" s="39" t="inlineStr">
        <is>
          <t>3</t>
        </is>
      </c>
      <c r="C9" s="40" t="inlineStr">
        <is>
          <t>Tasks: a checklist is ready, counted back from the date. Put an x under Done as you go.</t>
        </is>
      </c>
      <c r="D9" s="1" t="n"/>
    </row>
    <row r="10">
      <c r="A10" s="1" t="n"/>
      <c r="B10" s="1" t="n"/>
      <c r="C10" s="1" t="n"/>
      <c r="D10" s="1" t="n"/>
    </row>
    <row r="11">
      <c r="A11" s="1" t="n"/>
      <c r="B11" s="39" t="inlineStr">
        <is>
          <t>4</t>
        </is>
      </c>
      <c r="C11" s="40" t="inlineStr">
        <is>
          <t>Food and drinks: how much each person eats or drinks, and the size and price of a pack. It says what to buy.</t>
        </is>
      </c>
      <c r="D11" s="1" t="n"/>
    </row>
    <row r="12">
      <c r="A12" s="1" t="n"/>
      <c r="B12" s="1" t="n"/>
      <c r="C12" s="1" t="n"/>
      <c r="D12" s="1" t="n"/>
    </row>
    <row r="13">
      <c r="A13" s="1" t="n"/>
      <c r="B13" s="39" t="inlineStr">
        <is>
          <t>5</t>
        </is>
      </c>
      <c r="C13" s="40" t="inlineStr">
        <is>
          <t>Budget and The day: what you book or buy, what you paid, and the plan for the party hour by hour.</t>
        </is>
      </c>
      <c r="D13" s="1" t="n"/>
    </row>
    <row r="14">
      <c r="A14" s="1" t="n"/>
      <c r="B14" s="1" t="n"/>
      <c r="C14" s="1" t="n"/>
      <c r="D14" s="1" t="n"/>
    </row>
    <row r="15">
      <c r="A15" s="1" t="n"/>
      <c r="B15" s="1" t="n"/>
      <c r="C15" s="1" t="n"/>
      <c r="D15" s="1" t="n"/>
    </row>
    <row r="16">
      <c r="A16" s="1" t="n"/>
      <c r="B16" s="1" t="n"/>
      <c r="C16" s="3" t="inlineStr">
        <is>
          <t>The example party, its guests and its shops are made up. Delete them and add your own.</t>
        </is>
      </c>
      <c r="D16" s="1" t="n"/>
    </row>
    <row r="17">
      <c r="A17" s="1" t="n"/>
      <c r="B17" s="1" t="n"/>
      <c r="C17" s="1" t="n"/>
      <c r="D17" s="1" t="n"/>
    </row>
    <row r="18">
      <c r="A18" s="1" t="n"/>
      <c r="B18" s="1" t="n"/>
      <c r="C18" s="3" t="inlineStr">
        <is>
          <t>Change the date and every task date moves with it.</t>
        </is>
      </c>
      <c r="D18" s="1" t="n"/>
    </row>
    <row r="19">
      <c r="A19" s="1" t="n"/>
      <c r="B19" s="1" t="n"/>
      <c r="C19" s="1" t="n"/>
      <c r="D19" s="1" t="n"/>
    </row>
    <row r="20">
      <c r="A20" s="1" t="n"/>
      <c r="B20" s="1" t="n"/>
      <c r="C20" s="3" t="inlineStr">
        <is>
          <t>Works in Google Sheets and Microsoft Excel, in any currency.</t>
        </is>
      </c>
      <c r="D20" s="1" t="n"/>
    </row>
    <row r="21">
      <c r="A21" s="1" t="n"/>
      <c r="B21" s="1" t="n"/>
      <c r="C21" s="1" t="n"/>
      <c r="D21" s="1" t="n"/>
    </row>
    <row r="22">
      <c r="A22" s="1" t="n"/>
      <c r="B22" s="1" t="n"/>
      <c r="C22" s="1" t="n"/>
      <c r="D22" s="1" t="n"/>
    </row>
    <row r="23">
      <c r="A23" s="1" t="n"/>
      <c r="B23" s="1" t="n"/>
      <c r="C23" s="1" t="n"/>
      <c r="D23" s="1" t="n"/>
    </row>
    <row r="24">
      <c r="A24" s="1" t="n"/>
      <c r="B24" s="1" t="n"/>
      <c r="C24" s="1" t="n"/>
      <c r="D24" s="1" t="n"/>
    </row>
    <row r="25">
      <c r="A25" s="1" t="n"/>
      <c r="B25" s="1" t="n"/>
      <c r="C25" s="1" t="n"/>
      <c r="D25" s="1" t="n"/>
    </row>
    <row r="26">
      <c r="A26" s="1" t="n"/>
      <c r="B26" s="1" t="n"/>
      <c r="C26" s="1" t="n"/>
      <c r="D26" s="1" t="n"/>
    </row>
    <row r="27">
      <c r="A27" s="1" t="n"/>
      <c r="B27" s="1" t="n"/>
      <c r="C27" s="1" t="n"/>
      <c r="D27" s="1" t="n"/>
    </row>
    <row r="28">
      <c r="A28" s="1" t="n"/>
      <c r="B28" s="1" t="n"/>
      <c r="C28" s="1" t="n"/>
      <c r="D28" s="1" t="n"/>
    </row>
    <row r="29">
      <c r="A29" s="1" t="n"/>
      <c r="B29" s="1" t="n"/>
      <c r="C29" s="1" t="n"/>
      <c r="D29" s="1" t="n"/>
    </row>
    <row r="30">
      <c r="A30" s="1" t="n"/>
      <c r="B30" s="1" t="n"/>
      <c r="C30" s="1" t="n"/>
      <c r="D30" s="1" t="n"/>
    </row>
    <row r="31">
      <c r="A31" s="1" t="n"/>
      <c r="B31" s="1" t="n"/>
      <c r="C31" s="1" t="n"/>
      <c r="D31" s="1" t="n"/>
    </row>
    <row r="32">
      <c r="A32" s="1" t="n"/>
      <c r="B32" s="1" t="n"/>
      <c r="C32" s="1" t="n"/>
      <c r="D32" s="1" t="n"/>
    </row>
    <row r="33">
      <c r="A33" s="1" t="n"/>
      <c r="B33" s="1" t="n"/>
      <c r="C33" s="1" t="n"/>
      <c r="D33" s="1" t="n"/>
    </row>
    <row r="34">
      <c r="A34" s="1" t="n"/>
      <c r="B34" s="1" t="n"/>
      <c r="C34" s="1" t="n"/>
      <c r="D34" s="1" t="n"/>
    </row>
    <row r="35">
      <c r="A35" s="1" t="n"/>
      <c r="B35" s="1" t="n"/>
      <c r="C35" s="1" t="n"/>
      <c r="D35" s="1" t="n"/>
    </row>
    <row r="36">
      <c r="A36" s="1" t="n"/>
      <c r="B36" s="1" t="n"/>
      <c r="C36" s="1" t="n"/>
      <c r="D36" s="1" t="n"/>
    </row>
    <row r="37">
      <c r="A37" s="1" t="n"/>
      <c r="B37" s="1" t="n"/>
      <c r="C37" s="1" t="n"/>
      <c r="D37" s="1" t="n"/>
    </row>
    <row r="38">
      <c r="A38" s="1" t="n"/>
      <c r="B38" s="1" t="n"/>
      <c r="C38" s="1" t="n"/>
      <c r="D38" s="1" t="n"/>
    </row>
    <row r="39">
      <c r="A39" s="1" t="n"/>
      <c r="B39" s="1" t="n"/>
      <c r="C39" s="1" t="n"/>
      <c r="D39" s="1" t="n"/>
    </row>
    <row r="40">
      <c r="A40" s="1" t="n"/>
      <c r="B40" s="1" t="n"/>
      <c r="C40" s="1" t="n"/>
      <c r="D40" s="1" t="n"/>
    </row>
    <row r="41">
      <c r="A41" s="1" t="n"/>
      <c r="B41" s="1" t="n"/>
      <c r="C41" s="1" t="n"/>
      <c r="D41" s="1" t="n"/>
    </row>
    <row r="42">
      <c r="A42" s="1" t="n"/>
      <c r="B42" s="1" t="n"/>
      <c r="C42" s="1" t="n"/>
      <c r="D42" s="1" t="n"/>
    </row>
    <row r="43">
      <c r="A43" s="1" t="n"/>
      <c r="B43" s="1" t="n"/>
      <c r="C43" s="1" t="n"/>
      <c r="D43" s="1" t="n"/>
    </row>
    <row r="44">
      <c r="A44" s="1" t="n"/>
      <c r="B44" s="1" t="n"/>
      <c r="C44" s="1" t="n"/>
      <c r="D44" s="1" t="n"/>
    </row>
    <row r="45">
      <c r="A45" s="1" t="n"/>
      <c r="B45" s="1" t="n"/>
      <c r="C45" s="1" t="n"/>
      <c r="D45" s="1" t="n"/>
    </row>
    <row r="46">
      <c r="A46" s="1" t="n"/>
      <c r="B46" s="1" t="n"/>
      <c r="C46" s="1" t="n"/>
      <c r="D46" s="1" t="n"/>
    </row>
    <row r="47">
      <c r="A47" s="1" t="n"/>
      <c r="B47" s="1" t="n"/>
      <c r="C47" s="1" t="n"/>
      <c r="D47" s="1" t="n"/>
    </row>
    <row r="48">
      <c r="A48" s="1" t="n"/>
      <c r="B48" s="1" t="n"/>
      <c r="C48" s="1" t="n"/>
      <c r="D48" s="1" t="n"/>
    </row>
    <row r="49">
      <c r="A49" s="1" t="n"/>
      <c r="B49" s="1" t="n"/>
      <c r="C49" s="1" t="n"/>
      <c r="D49" s="1" t="n"/>
    </row>
    <row r="50">
      <c r="A50" s="1" t="n"/>
      <c r="B50" s="1" t="n"/>
      <c r="C50" s="1" t="n"/>
      <c r="D50" s="1" t="n"/>
    </row>
    <row r="51">
      <c r="A51" s="1" t="n"/>
      <c r="B51" s="1" t="n"/>
      <c r="C51" s="1" t="n"/>
      <c r="D51" s="1" t="n"/>
    </row>
    <row r="52">
      <c r="A52" s="1" t="n"/>
      <c r="B52" s="1" t="n"/>
      <c r="C52" s="1" t="n"/>
      <c r="D52" s="1" t="n"/>
    </row>
    <row r="53">
      <c r="A53" s="1" t="n"/>
      <c r="B53" s="1" t="n"/>
      <c r="C53" s="1" t="n"/>
      <c r="D53" s="1" t="n"/>
    </row>
    <row r="54">
      <c r="A54" s="1" t="n"/>
      <c r="B54" s="1" t="n"/>
      <c r="C54" s="1" t="n"/>
      <c r="D54" s="1" t="n"/>
    </row>
    <row r="55">
      <c r="A55" s="1" t="n"/>
      <c r="B55" s="1" t="n"/>
      <c r="C55" s="1" t="n"/>
      <c r="D55" s="1" t="n"/>
    </row>
    <row r="56">
      <c r="A56" s="1" t="n"/>
      <c r="B56" s="1" t="n"/>
      <c r="C56" s="1" t="n"/>
      <c r="D56" s="1" t="n"/>
    </row>
    <row r="57">
      <c r="A57" s="1" t="n"/>
      <c r="B57" s="1" t="n"/>
      <c r="C57" s="1" t="n"/>
      <c r="D57" s="1" t="n"/>
    </row>
    <row r="58">
      <c r="A58" s="1" t="n"/>
      <c r="B58" s="1" t="n"/>
      <c r="C58" s="1" t="n"/>
      <c r="D58" s="1" t="n"/>
    </row>
    <row r="59">
      <c r="A59" s="1" t="n"/>
      <c r="B59" s="1" t="n"/>
      <c r="C59" s="1" t="n"/>
      <c r="D59" s="1" t="n"/>
    </row>
    <row r="60">
      <c r="A60" s="1" t="n"/>
      <c r="B60" s="1" t="n"/>
      <c r="C60" s="1" t="n"/>
      <c r="D60" s="1" t="n"/>
    </row>
    <row r="61">
      <c r="A61" s="1" t="n"/>
      <c r="B61" s="1" t="n"/>
      <c r="C61" s="1" t="n"/>
      <c r="D61" s="1" t="n"/>
    </row>
    <row r="62">
      <c r="A62" s="1" t="n"/>
      <c r="B62" s="1" t="n"/>
      <c r="C62" s="1" t="n"/>
      <c r="D62" s="1" t="n"/>
    </row>
    <row r="63">
      <c r="A63" s="1" t="n"/>
      <c r="B63" s="1" t="n"/>
      <c r="C63" s="1" t="n"/>
      <c r="D63" s="1" t="n"/>
    </row>
    <row r="64">
      <c r="A64" s="1" t="n"/>
      <c r="B64" s="1" t="n"/>
      <c r="C64" s="1" t="n"/>
      <c r="D64" s="1" t="n"/>
    </row>
    <row r="65">
      <c r="A65" s="1" t="n"/>
      <c r="B65" s="1" t="n"/>
      <c r="C65" s="1" t="n"/>
      <c r="D65" s="1" t="n"/>
    </row>
    <row r="66">
      <c r="A66" s="1" t="n"/>
      <c r="B66" s="1" t="n"/>
      <c r="C66" s="1" t="n"/>
      <c r="D66" s="1" t="n"/>
    </row>
    <row r="67">
      <c r="A67" s="1" t="n"/>
      <c r="B67" s="1" t="n"/>
      <c r="C67" s="1" t="n"/>
      <c r="D67" s="1" t="n"/>
    </row>
    <row r="68">
      <c r="A68" s="1" t="n"/>
      <c r="B68" s="1" t="n"/>
      <c r="C68" s="1" t="n"/>
      <c r="D68" s="1" t="n"/>
    </row>
    <row r="69">
      <c r="A69" s="1" t="n"/>
      <c r="B69" s="1" t="n"/>
      <c r="C69" s="1" t="n"/>
      <c r="D69" s="1" t="n"/>
    </row>
    <row r="70">
      <c r="A70" s="1" t="n"/>
      <c r="B70" s="1" t="n"/>
      <c r="C70" s="1" t="n"/>
      <c r="D70" s="1" t="n"/>
    </row>
    <row r="71">
      <c r="A71" s="1" t="n"/>
      <c r="B71" s="1" t="n"/>
      <c r="C71" s="1" t="n"/>
      <c r="D71" s="1" t="n"/>
    </row>
    <row r="72">
      <c r="A72" s="1" t="n"/>
      <c r="B72" s="1" t="n"/>
      <c r="C72" s="1" t="n"/>
      <c r="D72" s="1" t="n"/>
    </row>
    <row r="73">
      <c r="A73" s="1" t="n"/>
      <c r="B73" s="1" t="n"/>
      <c r="C73" s="1" t="n"/>
      <c r="D73" s="1" t="n"/>
    </row>
    <row r="74">
      <c r="A74" s="1" t="n"/>
      <c r="B74" s="1" t="n"/>
      <c r="C74" s="1" t="n"/>
      <c r="D74" s="1" t="n"/>
    </row>
    <row r="75">
      <c r="A75" s="1" t="n"/>
      <c r="B75" s="1" t="n"/>
      <c r="C75" s="1" t="n"/>
      <c r="D75" s="1" t="n"/>
    </row>
    <row r="76">
      <c r="A76" s="1" t="n"/>
      <c r="B76" s="1" t="n"/>
      <c r="C76" s="1" t="n"/>
      <c r="D76" s="1" t="n"/>
    </row>
    <row r="77">
      <c r="A77" s="1" t="n"/>
      <c r="B77" s="1" t="n"/>
      <c r="C77" s="1" t="n"/>
      <c r="D77" s="1" t="n"/>
    </row>
    <row r="78">
      <c r="A78" s="1" t="n"/>
      <c r="B78" s="1" t="n"/>
      <c r="C78" s="1" t="n"/>
      <c r="D78" s="1" t="n"/>
    </row>
    <row r="79">
      <c r="A79" s="1" t="n"/>
      <c r="B79" s="1" t="n"/>
      <c r="C79" s="1" t="n"/>
      <c r="D79" s="1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2026-09-28T15:14:49Z</dcterms:created>
  <dcterms:modified xsi:type="dcterms:W3CDTF">2026-09-28T15:14:50Z</dcterms:modified>
</cp:coreProperties>
</file>