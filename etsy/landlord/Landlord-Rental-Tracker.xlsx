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ettings" sheetId="2" state="visible" r:id="rId2"/>
    <sheet name="Units" sheetId="3" state="visible" r:id="rId3"/>
    <sheet name="Rent log" sheetId="4" state="visible" r:id="rId4"/>
    <sheet name="Expenses" sheetId="5" state="visible" r:id="rId5"/>
    <sheet name="Rent roll" sheetId="6" state="visible" r:id="rId6"/>
    <sheet name="Start He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#,##0.00;[Red]-#,##0.00"/>
  </numFmts>
  <fonts count="14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FFFFFF"/>
      <sz val="11"/>
    </font>
    <font>
      <name val="Arial"/>
      <b val="1"/>
      <color rgb="001E2A2F"/>
      <sz val="11"/>
    </font>
    <font>
      <name val="Arial"/>
      <color rgb="001E2A2F"/>
      <sz val="11"/>
    </font>
    <font>
      <name val="Arial"/>
      <i val="1"/>
      <color rgb="006B7B80"/>
      <sz val="10"/>
    </font>
    <font>
      <name val="Arial"/>
      <b val="1"/>
      <color rgb="006B7B80"/>
      <sz val="10"/>
    </font>
    <font>
      <name val="Arial"/>
      <color rgb="001E2A2F"/>
      <sz val="10"/>
    </font>
    <font>
      <name val="Arial"/>
      <b val="1"/>
      <color rgb="001F6F78"/>
      <sz val="16"/>
    </font>
    <font>
      <name val="Arial"/>
      <b val="1"/>
      <color rgb="00B4541F"/>
      <sz val="16"/>
    </font>
    <font>
      <name val="Arial"/>
      <i val="1"/>
      <color rgb="006B7B80"/>
      <sz val="9"/>
    </font>
    <font>
      <name val="Arial"/>
      <b val="1"/>
      <color rgb="001F6F78"/>
      <sz val="18"/>
    </font>
    <font>
      <name val="Arial"/>
      <color rgb="001E2A2F"/>
      <sz val="13"/>
    </font>
  </fonts>
  <fills count="10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F6F78"/>
        <bgColor rgb="001F6F78"/>
      </patternFill>
    </fill>
    <fill>
      <patternFill patternType="solid">
        <fgColor rgb="00FFF4C2"/>
        <bgColor rgb="00FFF4C2"/>
      </patternFill>
    </fill>
    <fill>
      <patternFill patternType="solid">
        <fgColor rgb="00D8F0DC"/>
        <bgColor rgb="00D8F0DC"/>
      </patternFill>
    </fill>
    <fill>
      <patternFill patternType="solid">
        <fgColor rgb="00FFE2B8"/>
        <bgColor rgb="00FFE2B8"/>
      </patternFill>
    </fill>
    <fill>
      <patternFill patternType="solid">
        <fgColor rgb="00F9C9C4"/>
        <bgColor rgb="00F9C9C4"/>
      </patternFill>
    </fill>
    <fill>
      <patternFill patternType="solid">
        <fgColor rgb="00EEF1F1"/>
        <bgColor rgb="00EEF1F1"/>
      </patternFill>
    </fill>
    <fill>
      <patternFill patternType="solid">
        <fgColor rgb="00E3E8FF"/>
        <bgColor rgb="00E3E8FF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4" fillId="2" borderId="0" pivotButton="0" quotePrefix="0" xfId="0"/>
    <xf numFmtId="1" fontId="4" fillId="4" borderId="1" applyAlignment="1" pivotButton="0" quotePrefix="0" xfId="0">
      <alignment horizontal="center" vertical="center"/>
    </xf>
    <xf numFmtId="0" fontId="7" fillId="2" borderId="1" pivotButton="0" quotePrefix="0" xfId="0"/>
    <xf numFmtId="4" fontId="9" fillId="2" borderId="1" applyAlignment="1" pivotButton="0" quotePrefix="0" xfId="0">
      <alignment horizontal="right"/>
    </xf>
    <xf numFmtId="4" fontId="10" fillId="2" borderId="1" applyAlignment="1" pivotButton="0" quotePrefix="0" xfId="0">
      <alignment horizontal="right"/>
    </xf>
    <xf numFmtId="166" fontId="9" fillId="2" borderId="1" applyAlignment="1" pivotButton="0" quotePrefix="0" xfId="0">
      <alignment horizontal="right"/>
    </xf>
    <xf numFmtId="0" fontId="9" fillId="2" borderId="1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4" fontId="5" fillId="2" borderId="1" pivotButton="0" quotePrefix="0" xfId="0"/>
    <xf numFmtId="166" fontId="4" fillId="2" borderId="1" pivotButton="0" quotePrefix="0" xfId="0"/>
    <xf numFmtId="0" fontId="5" fillId="7" borderId="1" applyAlignment="1" pivotButton="0" quotePrefix="0" xfId="0">
      <alignment vertical="center"/>
    </xf>
    <xf numFmtId="0" fontId="0" fillId="0" borderId="1" pivotButton="0" quotePrefix="0" xfId="0"/>
    <xf numFmtId="0" fontId="5" fillId="6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4" fillId="2" borderId="1" pivotButton="0" quotePrefix="0" xfId="0"/>
    <xf numFmtId="1" fontId="5" fillId="2" borderId="1" applyAlignment="1" pivotButton="0" quotePrefix="0" xfId="0">
      <alignment horizontal="center" vertical="center"/>
    </xf>
    <xf numFmtId="4" fontId="4" fillId="2" borderId="1" pivotButton="0" quotePrefix="0" xfId="0"/>
    <xf numFmtId="0" fontId="11" fillId="2" borderId="0" pivotButton="0" quotePrefix="0" xfId="0"/>
    <xf numFmtId="0" fontId="4" fillId="4" borderId="1" pivotButton="0" quotePrefix="0" xfId="0"/>
    <xf numFmtId="0" fontId="6" fillId="2" borderId="0" pivotButton="0" quotePrefix="0" xfId="0"/>
    <xf numFmtId="0" fontId="5" fillId="4" borderId="1" pivotButton="0" quotePrefix="0" xfId="0"/>
    <xf numFmtId="4" fontId="5" fillId="4" borderId="1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pivotButton="0" quotePrefix="0" xfId="0"/>
    <xf numFmtId="0" fontId="5" fillId="2" borderId="1" pivotButton="0" quotePrefix="0" xfId="0"/>
    <xf numFmtId="3" fontId="5" fillId="2" borderId="1" pivotButton="0" quotePrefix="0" xfId="0"/>
    <xf numFmtId="0" fontId="7" fillId="2" borderId="0" pivotButton="0" quotePrefix="0" xfId="0"/>
    <xf numFmtId="0" fontId="8" fillId="5" borderId="1" pivotButton="0" quotePrefix="0" xfId="0"/>
    <xf numFmtId="0" fontId="8" fillId="6" borderId="1" pivotButton="0" quotePrefix="0" xfId="0"/>
    <xf numFmtId="0" fontId="8" fillId="7" borderId="1" pivotButton="0" quotePrefix="0" xfId="0"/>
    <xf numFmtId="0" fontId="8" fillId="8" borderId="1" pivotButton="0" quotePrefix="0" xfId="0"/>
    <xf numFmtId="0" fontId="12" fillId="2" borderId="0" pivotButton="0" quotePrefix="0" xfId="0"/>
    <xf numFmtId="0" fontId="13" fillId="2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E6F2F2"/>
          <bgColor rgb="00E6F2F2"/>
        </patternFill>
      </fill>
    </dxf>
    <dxf>
      <fill>
        <patternFill patternType="solid">
          <fgColor rgb="00D8F0DC"/>
          <bgColor rgb="00D8F0DC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E3E8FF"/>
          <bgColor rgb="00E3E8FF"/>
        </patternFill>
      </fill>
    </dxf>
    <dxf>
      <font>
        <name val="Arial"/>
        <b val="1"/>
        <color rgb="009B1C1C"/>
      </font>
      <fill>
        <patternFill patternType="solid">
          <fgColor rgb="00F9C9C4"/>
          <bgColor rgb="00F9C9C4"/>
        </patternFill>
      </fill>
    </dxf>
    <dxf>
      <font>
        <name val="Arial"/>
        <color rgb="009AA7A9"/>
      </font>
      <fill>
        <patternFill patternType="solid">
          <fgColor rgb="00EEF1F1"/>
          <bgColor rgb="00EEF1F1"/>
        </patternFill>
      </fill>
    </dxf>
    <dxf>
      <fill>
        <patternFill patternType="solid">
          <fgColor rgb="00F9C9C4"/>
          <bgColor rgb="00F9C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Rent received and expenses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'Dashboard'!D9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'Dashboard'!$B$10:$B$21</f>
            </numRef>
          </cat>
          <val>
            <numRef>
              <f>'Dashboard'!$D$10:$D$21</f>
            </numRef>
          </val>
        </ser>
        <ser>
          <idx val="1"/>
          <order val="1"/>
          <tx>
            <strRef>
              <f>'Dashboard'!E9</f>
            </strRef>
          </tx>
          <spPr>
            <a:solidFill>
              <a:srgbClr val="E0A21B"/>
            </a:solidFill>
            <a:ln>
              <a:prstDash val="solid"/>
            </a:ln>
          </spPr>
          <cat>
            <numRef>
              <f>'Dashboard'!$B$10:$B$21</f>
            </numRef>
          </cat>
          <val>
            <numRef>
              <f>'Dashboard'!$E$10:$E$21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24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" customWidth="1" min="8" max="8"/>
    <col width="24" customWidth="1" min="9" max="9"/>
    <col width="13" customWidth="1" min="10" max="10"/>
    <col width="14" customWidth="1" min="11" max="11"/>
    <col width="14" customWidth="1" min="12" max="12"/>
    <col width="3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2" customHeight="1">
      <c r="A2" s="1" t="n"/>
      <c r="B2" s="2" t="inlineStr">
        <is>
          <t>Landlord dashboard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" t="inlineStr">
        <is>
          <t>Pick a year. Rent owed counts only rents whose due date and grace days have passed.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4" t="inlineStr">
        <is>
          <t>Year</t>
        </is>
      </c>
      <c r="C4" s="5" t="n">
        <v>2026</v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6" t="inlineStr">
        <is>
          <t>Rent received</t>
        </is>
      </c>
      <c r="C6" s="6" t="inlineStr">
        <is>
          <t>Rent owed now</t>
        </is>
      </c>
      <c r="D6" s="6" t="inlineStr">
        <is>
          <t>Expenses</t>
        </is>
      </c>
      <c r="E6" s="6" t="inlineStr">
        <is>
          <t>Net income</t>
        </is>
      </c>
      <c r="F6" s="6" t="inlineStr">
        <is>
          <t>Units let</t>
        </is>
      </c>
      <c r="G6" s="6" t="inlineStr">
        <is>
          <t>Deposits held</t>
        </is>
      </c>
      <c r="H6" s="1" t="n"/>
      <c r="I6" s="1" t="n"/>
      <c r="J6" s="1" t="n"/>
      <c r="K6" s="1" t="n"/>
      <c r="L6" s="1" t="n"/>
      <c r="M6" s="1" t="n"/>
      <c r="N6" s="1" t="n"/>
    </row>
    <row r="7" ht="34" customHeight="1">
      <c r="A7" s="1" t="n"/>
      <c r="B7" s="7">
        <f>SUM('Rent roll'!$Q$6:$Q$25)</f>
        <v/>
      </c>
      <c r="C7" s="8">
        <f>SUM('Rent roll'!$R$6:$R$25)</f>
        <v/>
      </c>
      <c r="D7" s="8">
        <f>SUMIFS(Expenses!$E$6:$E$1005,Expenses!$B$6:$B$1005,"&gt;="&amp;DATE($C$4,1,1),Expenses!$B$6:$B$1005,"&lt;="&amp;DATE($C$4,12,31))</f>
        <v/>
      </c>
      <c r="E7" s="9">
        <f>B7-D7</f>
        <v/>
      </c>
      <c r="F7" s="10">
        <f>COUNTIFS(Units!$K$6:$K$25,"Active")+COUNTIFS(Units!$K$6:$K$25,"Ends in*")&amp;" of "&amp;COUNTIFS(Units!$B$6:$B$25,"?*")</f>
        <v/>
      </c>
      <c r="G7" s="7">
        <f>SUMIFS(Units!$J$6:$J$25,Units!$K$6:$K$25,"Active")+SUMIFS(Units!$J$6:$J$25,Units!$K$6:$K$25,"Ends in*")</f>
        <v/>
      </c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30" customHeight="1">
      <c r="A9" s="1" t="n"/>
      <c r="B9" s="11" t="inlineStr">
        <is>
          <t>Month</t>
        </is>
      </c>
      <c r="C9" s="11" t="inlineStr">
        <is>
          <t>Rent due</t>
        </is>
      </c>
      <c r="D9" s="11" t="inlineStr">
        <is>
          <t>Received</t>
        </is>
      </c>
      <c r="E9" s="11" t="inlineStr">
        <is>
          <t>Expenses</t>
        </is>
      </c>
      <c r="F9" s="11" t="inlineStr">
        <is>
          <t>Net</t>
        </is>
      </c>
      <c r="G9" s="1" t="n"/>
      <c r="H9" s="1" t="n"/>
      <c r="I9" s="12" t="inlineStr">
        <is>
          <t>Needs attention</t>
        </is>
      </c>
      <c r="M9" s="1" t="n"/>
      <c r="N9" s="1" t="n"/>
    </row>
    <row r="10">
      <c r="A10" s="1" t="n"/>
      <c r="B10" s="13" t="inlineStr">
        <is>
          <t>Jan</t>
        </is>
      </c>
      <c r="C10" s="14">
        <f>SUM('Rent roll'!T6:T25)</f>
        <v/>
      </c>
      <c r="D10" s="14">
        <f>SUM('Rent roll'!E6:E25)</f>
        <v/>
      </c>
      <c r="E10" s="14">
        <f>SUMIFS(Expenses!$E$6:$E$1005,Expenses!$B$6:$B$1005,"&gt;="&amp;DATE($C$4,1,1),Expenses!$B$6:$B$1005,"&lt;="&amp;EOMONTH(DATE($C$4,1,1),0))</f>
        <v/>
      </c>
      <c r="F10" s="15">
        <f>D10-E10</f>
        <v/>
      </c>
      <c r="G10" s="1" t="n"/>
      <c r="H10" s="1" t="n"/>
      <c r="I10" s="16">
        <f>IF(COUNTIFS('Rent roll'!$R$6:$R$25,"&gt;0")=0,"No rent is owed",IF(COUNTIFS('Rent roll'!$R$6:$R$25,"&gt;0")=1,"1 unit owes",COUNTIFS('Rent roll'!$R$6:$R$25,"&gt;0")&amp;" units owe")&amp;" rent: "&amp;FIXED(SUM('Rent roll'!$R$6:$R$25),2))</f>
        <v/>
      </c>
      <c r="J10" s="17" t="n"/>
      <c r="K10" s="17" t="n"/>
      <c r="L10" s="17" t="n"/>
      <c r="M10" s="1" t="n"/>
      <c r="N10" s="1" t="n"/>
    </row>
    <row r="11">
      <c r="A11" s="1" t="n"/>
      <c r="B11" s="13" t="inlineStr">
        <is>
          <t>Feb</t>
        </is>
      </c>
      <c r="C11" s="14">
        <f>SUM('Rent roll'!U6:U25)</f>
        <v/>
      </c>
      <c r="D11" s="14">
        <f>SUM('Rent roll'!F6:F25)</f>
        <v/>
      </c>
      <c r="E11" s="14">
        <f>SUMIFS(Expenses!$E$6:$E$1005,Expenses!$B$6:$B$1005,"&gt;="&amp;DATE($C$4,2,1),Expenses!$B$6:$B$1005,"&lt;="&amp;EOMONTH(DATE($C$4,2,1),0))</f>
        <v/>
      </c>
      <c r="F11" s="15">
        <f>D11-E11</f>
        <v/>
      </c>
      <c r="G11" s="1" t="n"/>
      <c r="H11" s="1" t="n"/>
      <c r="I11" s="18">
        <f>IF(COUNTIFS(Units!$K$6:$K$25,"Ends in*")=0,"No lease ends in the next 60 days",IF(COUNTIFS(Units!$K$6:$K$25,"Ends in*")=1,"1 lease ends",COUNTIFS(Units!$K$6:$K$25,"Ends in*")&amp;" leases end")&amp;" in the next 60 days")</f>
        <v/>
      </c>
      <c r="J11" s="17" t="n"/>
      <c r="K11" s="17" t="n"/>
      <c r="L11" s="17" t="n"/>
      <c r="M11" s="1" t="n"/>
      <c r="N11" s="1" t="n"/>
    </row>
    <row r="12">
      <c r="A12" s="1" t="n"/>
      <c r="B12" s="13" t="inlineStr">
        <is>
          <t>Mar</t>
        </is>
      </c>
      <c r="C12" s="14">
        <f>SUM('Rent roll'!V6:V25)</f>
        <v/>
      </c>
      <c r="D12" s="14">
        <f>SUM('Rent roll'!G6:G25)</f>
        <v/>
      </c>
      <c r="E12" s="14">
        <f>SUMIFS(Expenses!$E$6:$E$1005,Expenses!$B$6:$B$1005,"&gt;="&amp;DATE($C$4,3,1),Expenses!$B$6:$B$1005,"&lt;="&amp;EOMONTH(DATE($C$4,3,1),0))</f>
        <v/>
      </c>
      <c r="F12" s="15">
        <f>D12-E12</f>
        <v/>
      </c>
      <c r="G12" s="1" t="n"/>
      <c r="H12" s="1" t="n"/>
      <c r="I12" s="19">
        <f>IF(COUNTIFS(Units!$K$6:$K$25,"Vacant")+COUNTIFS(Units!$K$6:$K$25,"Lease ended")=0,"Every unit is let",IF(COUNTIFS(Units!$K$6:$K$25,"Vacant")+COUNTIFS(Units!$K$6:$K$25,"Lease ended")=1,"1 unit is",COUNTIFS(Units!$K$6:$K$25,"Vacant")+COUNTIFS(Units!$K$6:$K$25,"Lease ended")&amp;" units are")&amp;" empty")</f>
        <v/>
      </c>
      <c r="J12" s="17" t="n"/>
      <c r="K12" s="17" t="n"/>
      <c r="L12" s="17" t="n"/>
      <c r="M12" s="1" t="n"/>
      <c r="N12" s="1" t="n"/>
    </row>
    <row r="13">
      <c r="A13" s="1" t="n"/>
      <c r="B13" s="13" t="inlineStr">
        <is>
          <t>Apr</t>
        </is>
      </c>
      <c r="C13" s="14">
        <f>SUM('Rent roll'!W6:W25)</f>
        <v/>
      </c>
      <c r="D13" s="14">
        <f>SUM('Rent roll'!H6:H25)</f>
        <v/>
      </c>
      <c r="E13" s="14">
        <f>SUMIFS(Expenses!$E$6:$E$1005,Expenses!$B$6:$B$1005,"&gt;="&amp;DATE($C$4,4,1),Expenses!$B$6:$B$1005,"&lt;="&amp;EOMONTH(DATE($C$4,4,1),0))</f>
        <v/>
      </c>
      <c r="F13" s="15">
        <f>D13-E13</f>
        <v/>
      </c>
      <c r="G13" s="1" t="n"/>
      <c r="H13" s="1" t="n"/>
      <c r="I13" s="19">
        <f>IF(COUNTIFS('Rent roll'!$S$6:$S$25,"Part paid*")=0,"No part payments this month",IF(COUNTIFS('Rent roll'!$S$6:$S$25,"Part paid*")=1,"1 unit has",COUNTIFS('Rent roll'!$S$6:$S$25,"Part paid*")&amp;" units have")&amp;" paid part of this month")</f>
        <v/>
      </c>
      <c r="J13" s="17" t="n"/>
      <c r="K13" s="17" t="n"/>
      <c r="L13" s="17" t="n"/>
      <c r="M13" s="1" t="n"/>
      <c r="N13" s="1" t="n"/>
    </row>
    <row r="14">
      <c r="A14" s="1" t="n"/>
      <c r="B14" s="13" t="inlineStr">
        <is>
          <t>May</t>
        </is>
      </c>
      <c r="C14" s="14">
        <f>SUM('Rent roll'!X6:X25)</f>
        <v/>
      </c>
      <c r="D14" s="14">
        <f>SUM('Rent roll'!I6:I25)</f>
        <v/>
      </c>
      <c r="E14" s="14">
        <f>SUMIFS(Expenses!$E$6:$E$1005,Expenses!$B$6:$B$1005,"&gt;="&amp;DATE($C$4,5,1),Expenses!$B$6:$B$1005,"&lt;="&amp;EOMONTH(DATE($C$4,5,1),0))</f>
        <v/>
      </c>
      <c r="F14" s="15">
        <f>D14-E14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3" t="inlineStr">
        <is>
          <t>Jun</t>
        </is>
      </c>
      <c r="C15" s="14">
        <f>SUM('Rent roll'!Y6:Y25)</f>
        <v/>
      </c>
      <c r="D15" s="14">
        <f>SUM('Rent roll'!J6:J25)</f>
        <v/>
      </c>
      <c r="E15" s="14">
        <f>SUMIFS(Expenses!$E$6:$E$1005,Expenses!$B$6:$B$1005,"&gt;="&amp;DATE($C$4,6,1),Expenses!$B$6:$B$1005,"&lt;="&amp;EOMONTH(DATE($C$4,6,1),0))</f>
        <v/>
      </c>
      <c r="F15" s="15">
        <f>D15-E15</f>
        <v/>
      </c>
      <c r="G15" s="1" t="n"/>
      <c r="H15" s="1" t="n"/>
      <c r="I15" s="11" t="inlineStr">
        <is>
          <t>Property</t>
        </is>
      </c>
      <c r="J15" s="11" t="inlineStr">
        <is>
          <t>Units</t>
        </is>
      </c>
      <c r="K15" s="11" t="inlineStr">
        <is>
          <t>Rent received</t>
        </is>
      </c>
      <c r="L15" s="11" t="inlineStr">
        <is>
          <t>Net</t>
        </is>
      </c>
      <c r="M15" s="1" t="n"/>
      <c r="N15" s="1" t="n"/>
    </row>
    <row r="16">
      <c r="A16" s="1" t="n"/>
      <c r="B16" s="13" t="inlineStr">
        <is>
          <t>Jul</t>
        </is>
      </c>
      <c r="C16" s="14">
        <f>SUM('Rent roll'!Z6:Z25)</f>
        <v/>
      </c>
      <c r="D16" s="14">
        <f>SUM('Rent roll'!K6:K25)</f>
        <v/>
      </c>
      <c r="E16" s="14">
        <f>SUMIFS(Expenses!$E$6:$E$1005,Expenses!$B$6:$B$1005,"&gt;="&amp;DATE($C$4,7,1),Expenses!$B$6:$B$1005,"&lt;="&amp;EOMONTH(DATE($C$4,7,1),0))</f>
        <v/>
      </c>
      <c r="F16" s="15">
        <f>D16-E16</f>
        <v/>
      </c>
      <c r="G16" s="1" t="n"/>
      <c r="H16" s="1" t="n"/>
      <c r="I16" s="20">
        <f>IF(Settings!B6="","",Settings!B6)</f>
        <v/>
      </c>
      <c r="J16" s="21">
        <f>IF(I16="","",COUNTIFS(Units!$C$6:$C$25,I16))</f>
        <v/>
      </c>
      <c r="K16" s="14">
        <f>IF(I16="","",SUMIFS('Rent roll'!$Q$6:$Q$25,'Rent roll'!$AR$6:$AR$25,I16))</f>
        <v/>
      </c>
      <c r="L16" s="15">
        <f>IF(I16="","",K16-SUMIFS(Expenses!$E$6:$E$1005,Expenses!$C$6:$C$1005,I16,Expenses!$B$6:$B$1005,"&gt;="&amp;DATE($C$4,1,1),Expenses!$B$6:$B$1005,"&lt;="&amp;DATE($C$4,12,31)))</f>
        <v/>
      </c>
      <c r="M16" s="1" t="n"/>
      <c r="N16" s="1" t="n"/>
    </row>
    <row r="17">
      <c r="A17" s="1" t="n"/>
      <c r="B17" s="13" t="inlineStr">
        <is>
          <t>Aug</t>
        </is>
      </c>
      <c r="C17" s="14">
        <f>SUM('Rent roll'!AA6:AA25)</f>
        <v/>
      </c>
      <c r="D17" s="14">
        <f>SUM('Rent roll'!L6:L25)</f>
        <v/>
      </c>
      <c r="E17" s="14">
        <f>SUMIFS(Expenses!$E$6:$E$1005,Expenses!$B$6:$B$1005,"&gt;="&amp;DATE($C$4,8,1),Expenses!$B$6:$B$1005,"&lt;="&amp;EOMONTH(DATE($C$4,8,1),0))</f>
        <v/>
      </c>
      <c r="F17" s="15">
        <f>D17-E17</f>
        <v/>
      </c>
      <c r="G17" s="1" t="n"/>
      <c r="H17" s="1" t="n"/>
      <c r="I17" s="20">
        <f>IF(Settings!B7="","",Settings!B7)</f>
        <v/>
      </c>
      <c r="J17" s="21">
        <f>IF(I17="","",COUNTIFS(Units!$C$6:$C$25,I17))</f>
        <v/>
      </c>
      <c r="K17" s="14">
        <f>IF(I17="","",SUMIFS('Rent roll'!$Q$6:$Q$25,'Rent roll'!$AR$6:$AR$25,I17))</f>
        <v/>
      </c>
      <c r="L17" s="15">
        <f>IF(I17="","",K17-SUMIFS(Expenses!$E$6:$E$1005,Expenses!$C$6:$C$1005,I17,Expenses!$B$6:$B$1005,"&gt;="&amp;DATE($C$4,1,1),Expenses!$B$6:$B$1005,"&lt;="&amp;DATE($C$4,12,31)))</f>
        <v/>
      </c>
      <c r="M17" s="1" t="n"/>
      <c r="N17" s="1" t="n"/>
    </row>
    <row r="18">
      <c r="A18" s="1" t="n"/>
      <c r="B18" s="13" t="inlineStr">
        <is>
          <t>Sep</t>
        </is>
      </c>
      <c r="C18" s="14">
        <f>SUM('Rent roll'!AB6:AB25)</f>
        <v/>
      </c>
      <c r="D18" s="14">
        <f>SUM('Rent roll'!M6:M25)</f>
        <v/>
      </c>
      <c r="E18" s="14">
        <f>SUMIFS(Expenses!$E$6:$E$1005,Expenses!$B$6:$B$1005,"&gt;="&amp;DATE($C$4,9,1),Expenses!$B$6:$B$1005,"&lt;="&amp;EOMONTH(DATE($C$4,9,1),0))</f>
        <v/>
      </c>
      <c r="F18" s="15">
        <f>D18-E18</f>
        <v/>
      </c>
      <c r="G18" s="1" t="n"/>
      <c r="H18" s="1" t="n"/>
      <c r="I18" s="20">
        <f>IF(Settings!B8="","",Settings!B8)</f>
        <v/>
      </c>
      <c r="J18" s="21">
        <f>IF(I18="","",COUNTIFS(Units!$C$6:$C$25,I18))</f>
        <v/>
      </c>
      <c r="K18" s="14">
        <f>IF(I18="","",SUMIFS('Rent roll'!$Q$6:$Q$25,'Rent roll'!$AR$6:$AR$25,I18))</f>
        <v/>
      </c>
      <c r="L18" s="15">
        <f>IF(I18="","",K18-SUMIFS(Expenses!$E$6:$E$1005,Expenses!$C$6:$C$1005,I18,Expenses!$B$6:$B$1005,"&gt;="&amp;DATE($C$4,1,1),Expenses!$B$6:$B$1005,"&lt;="&amp;DATE($C$4,12,31)))</f>
        <v/>
      </c>
      <c r="M18" s="1" t="n"/>
      <c r="N18" s="1" t="n"/>
    </row>
    <row r="19">
      <c r="A19" s="1" t="n"/>
      <c r="B19" s="13" t="inlineStr">
        <is>
          <t>Oct</t>
        </is>
      </c>
      <c r="C19" s="14">
        <f>SUM('Rent roll'!AC6:AC25)</f>
        <v/>
      </c>
      <c r="D19" s="14">
        <f>SUM('Rent roll'!N6:N25)</f>
        <v/>
      </c>
      <c r="E19" s="14">
        <f>SUMIFS(Expenses!$E$6:$E$1005,Expenses!$B$6:$B$1005,"&gt;="&amp;DATE($C$4,10,1),Expenses!$B$6:$B$1005,"&lt;="&amp;EOMONTH(DATE($C$4,10,1),0))</f>
        <v/>
      </c>
      <c r="F19" s="15">
        <f>D19-E19</f>
        <v/>
      </c>
      <c r="G19" s="1" t="n"/>
      <c r="H19" s="1" t="n"/>
      <c r="I19" s="20">
        <f>IF(Settings!B9="","",Settings!B9)</f>
        <v/>
      </c>
      <c r="J19" s="21">
        <f>IF(I19="","",COUNTIFS(Units!$C$6:$C$25,I19))</f>
        <v/>
      </c>
      <c r="K19" s="14">
        <f>IF(I19="","",SUMIFS('Rent roll'!$Q$6:$Q$25,'Rent roll'!$AR$6:$AR$25,I19))</f>
        <v/>
      </c>
      <c r="L19" s="15">
        <f>IF(I19="","",K19-SUMIFS(Expenses!$E$6:$E$1005,Expenses!$C$6:$C$1005,I19,Expenses!$B$6:$B$1005,"&gt;="&amp;DATE($C$4,1,1),Expenses!$B$6:$B$1005,"&lt;="&amp;DATE($C$4,12,31)))</f>
        <v/>
      </c>
      <c r="M19" s="1" t="n"/>
      <c r="N19" s="1" t="n"/>
    </row>
    <row r="20">
      <c r="A20" s="1" t="n"/>
      <c r="B20" s="13" t="inlineStr">
        <is>
          <t>Nov</t>
        </is>
      </c>
      <c r="C20" s="14">
        <f>SUM('Rent roll'!AD6:AD25)</f>
        <v/>
      </c>
      <c r="D20" s="14">
        <f>SUM('Rent roll'!O6:O25)</f>
        <v/>
      </c>
      <c r="E20" s="14">
        <f>SUMIFS(Expenses!$E$6:$E$1005,Expenses!$B$6:$B$1005,"&gt;="&amp;DATE($C$4,11,1),Expenses!$B$6:$B$1005,"&lt;="&amp;EOMONTH(DATE($C$4,11,1),0))</f>
        <v/>
      </c>
      <c r="F20" s="15">
        <f>D20-E20</f>
        <v/>
      </c>
      <c r="G20" s="1" t="n"/>
      <c r="H20" s="1" t="n"/>
      <c r="I20" s="20">
        <f>IF(Settings!B10="","",Settings!B10)</f>
        <v/>
      </c>
      <c r="J20" s="21">
        <f>IF(I20="","",COUNTIFS(Units!$C$6:$C$25,I20))</f>
        <v/>
      </c>
      <c r="K20" s="14">
        <f>IF(I20="","",SUMIFS('Rent roll'!$Q$6:$Q$25,'Rent roll'!$AR$6:$AR$25,I20))</f>
        <v/>
      </c>
      <c r="L20" s="15">
        <f>IF(I20="","",K20-SUMIFS(Expenses!$E$6:$E$1005,Expenses!$C$6:$C$1005,I20,Expenses!$B$6:$B$1005,"&gt;="&amp;DATE($C$4,1,1),Expenses!$B$6:$B$1005,"&lt;="&amp;DATE($C$4,12,31)))</f>
        <v/>
      </c>
      <c r="M20" s="1" t="n"/>
      <c r="N20" s="1" t="n"/>
    </row>
    <row r="21">
      <c r="A21" s="1" t="n"/>
      <c r="B21" s="13" t="inlineStr">
        <is>
          <t>Dec</t>
        </is>
      </c>
      <c r="C21" s="14">
        <f>SUM('Rent roll'!AE6:AE25)</f>
        <v/>
      </c>
      <c r="D21" s="14">
        <f>SUM('Rent roll'!P6:P25)</f>
        <v/>
      </c>
      <c r="E21" s="14">
        <f>SUMIFS(Expenses!$E$6:$E$1005,Expenses!$B$6:$B$1005,"&gt;="&amp;DATE($C$4,12,1),Expenses!$B$6:$B$1005,"&lt;="&amp;EOMONTH(DATE($C$4,12,1),0))</f>
        <v/>
      </c>
      <c r="F21" s="15">
        <f>D21-E21</f>
        <v/>
      </c>
      <c r="G21" s="1" t="n"/>
      <c r="H21" s="1" t="n"/>
      <c r="I21" s="20">
        <f>IF(Settings!B11="","",Settings!B11)</f>
        <v/>
      </c>
      <c r="J21" s="21">
        <f>IF(I21="","",COUNTIFS(Units!$C$6:$C$25,I21))</f>
        <v/>
      </c>
      <c r="K21" s="14">
        <f>IF(I21="","",SUMIFS('Rent roll'!$Q$6:$Q$25,'Rent roll'!$AR$6:$AR$25,I21))</f>
        <v/>
      </c>
      <c r="L21" s="15">
        <f>IF(I21="","",K21-SUMIFS(Expenses!$E$6:$E$1005,Expenses!$C$6:$C$1005,I21,Expenses!$B$6:$B$1005,"&gt;="&amp;DATE($C$4,1,1),Expenses!$B$6:$B$1005,"&lt;="&amp;DATE($C$4,12,31)))</f>
        <v/>
      </c>
      <c r="M21" s="1" t="n"/>
      <c r="N21" s="1" t="n"/>
    </row>
    <row r="22">
      <c r="A22" s="1" t="n"/>
      <c r="B22" s="13" t="inlineStr">
        <is>
          <t>Year</t>
        </is>
      </c>
      <c r="C22" s="22">
        <f>SUM(C10:C21)</f>
        <v/>
      </c>
      <c r="D22" s="22">
        <f>SUM(D10:D21)</f>
        <v/>
      </c>
      <c r="E22" s="22">
        <f>SUM(E10:E21)</f>
        <v/>
      </c>
      <c r="F22" s="15">
        <f>SUM(F10:F21)</f>
        <v/>
      </c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23" t="inlineStr">
        <is>
          <t>Net is the rent received minus expenses. Rent due counts every month with an active lease.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</sheetData>
  <mergeCells count="5">
    <mergeCell ref="I13:L13"/>
    <mergeCell ref="I9:L9"/>
    <mergeCell ref="I12:L12"/>
    <mergeCell ref="I10:L10"/>
    <mergeCell ref="I11:L11"/>
  </mergeCells>
  <conditionalFormatting sqref="B10:F21">
    <cfRule type="expression" priority="1" dxfId="0">
      <formula>AND($C$4=YEAR(TODAY()),ROW()-9=MONTH(TODAY()))</formula>
    </cfRule>
  </conditionalFormatting>
  <conditionalFormatting sqref="I10">
    <cfRule type="expression" priority="2" dxfId="1">
      <formula>LEFT(I10,2)="No"</formula>
    </cfRule>
  </conditionalFormatting>
  <conditionalFormatting sqref="I11">
    <cfRule type="expression" priority="3" dxfId="1">
      <formula>LEFT(I11,2)="No"</formula>
    </cfRule>
  </conditionalFormatting>
  <conditionalFormatting sqref="I12">
    <cfRule type="expression" priority="4" dxfId="1">
      <formula>LEFT(I12,5)="Every"</formula>
    </cfRule>
  </conditionalFormatting>
  <conditionalFormatting sqref="I13">
    <cfRule type="expression" priority="5" dxfId="1">
      <formula>LEFT(I13,2)="No"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" customWidth="1" min="3" max="3"/>
    <col width="60" customWidth="1" min="4" max="4"/>
  </cols>
  <sheetData>
    <row r="1">
      <c r="A1" s="1" t="n"/>
      <c r="B1" s="1" t="n"/>
      <c r="C1" s="1" t="n"/>
      <c r="D1" s="1" t="n"/>
      <c r="E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</row>
    <row r="3">
      <c r="A3" s="1" t="n"/>
      <c r="B3" s="3" t="inlineStr">
        <is>
          <t>Your properties and expense categories. The lists in the other tabs follow them.</t>
        </is>
      </c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 ht="30" customHeight="1">
      <c r="A5" s="1" t="n"/>
      <c r="B5" s="11" t="inlineStr">
        <is>
          <t>Properties (up to 6)</t>
        </is>
      </c>
      <c r="C5" s="1" t="n"/>
      <c r="D5" s="1" t="n"/>
      <c r="E5" s="1" t="n"/>
    </row>
    <row r="6">
      <c r="A6" s="1" t="n"/>
      <c r="B6" s="24" t="inlineStr">
        <is>
          <t>12 Oak Street</t>
        </is>
      </c>
      <c r="C6" s="1" t="n"/>
      <c r="D6" s="25" t="inlineStr">
        <is>
          <t>A property can have several units. List the units on the Units tab.</t>
        </is>
      </c>
      <c r="E6" s="1" t="n"/>
    </row>
    <row r="7">
      <c r="A7" s="1" t="n"/>
      <c r="B7" s="24" t="inlineStr">
        <is>
          <t>8 River Road</t>
        </is>
      </c>
      <c r="C7" s="1" t="n"/>
      <c r="D7" s="1" t="n"/>
      <c r="E7" s="1" t="n"/>
    </row>
    <row r="8">
      <c r="A8" s="1" t="n"/>
      <c r="B8" s="24" t="n"/>
      <c r="C8" s="1" t="n"/>
      <c r="D8" s="1" t="n"/>
      <c r="E8" s="1" t="n"/>
    </row>
    <row r="9">
      <c r="A9" s="1" t="n"/>
      <c r="B9" s="24" t="n"/>
      <c r="C9" s="1" t="n"/>
      <c r="D9" s="1" t="n"/>
      <c r="E9" s="1" t="n"/>
    </row>
    <row r="10">
      <c r="A10" s="1" t="n"/>
      <c r="B10" s="24" t="n"/>
      <c r="C10" s="1" t="n"/>
      <c r="D10" s="1" t="n"/>
      <c r="E10" s="1" t="n"/>
    </row>
    <row r="11">
      <c r="A11" s="1" t="n"/>
      <c r="B11" s="24" t="n"/>
      <c r="C11" s="1" t="n"/>
      <c r="D11" s="1" t="n"/>
      <c r="E11" s="1" t="n"/>
    </row>
    <row r="12">
      <c r="A12" s="1" t="n"/>
      <c r="B12" s="1" t="n"/>
      <c r="C12" s="1" t="n"/>
      <c r="D12" s="1" t="n"/>
      <c r="E12" s="1" t="n"/>
    </row>
    <row r="13">
      <c r="A13" s="1" t="n"/>
      <c r="B13" s="1" t="n"/>
      <c r="C13" s="1" t="n"/>
      <c r="D13" s="1" t="n"/>
      <c r="E13" s="1" t="n"/>
    </row>
    <row r="14" ht="30" customHeight="1">
      <c r="A14" s="1" t="n"/>
      <c r="B14" s="11" t="inlineStr">
        <is>
          <t>Expense categories</t>
        </is>
      </c>
      <c r="C14" s="1" t="n"/>
      <c r="D14" s="1" t="n"/>
      <c r="E14" s="1" t="n"/>
    </row>
    <row r="15">
      <c r="A15" s="1" t="n"/>
      <c r="B15" s="26" t="inlineStr">
        <is>
          <t>Mortgage interest</t>
        </is>
      </c>
      <c r="C15" s="1" t="n"/>
      <c r="D15" s="1" t="n"/>
      <c r="E15" s="1" t="n"/>
    </row>
    <row r="16">
      <c r="A16" s="1" t="n"/>
      <c r="B16" s="26" t="inlineStr">
        <is>
          <t>Insurance</t>
        </is>
      </c>
      <c r="C16" s="1" t="n"/>
      <c r="D16" s="1" t="n"/>
      <c r="E16" s="1" t="n"/>
    </row>
    <row r="17">
      <c r="A17" s="1" t="n"/>
      <c r="B17" s="26" t="inlineStr">
        <is>
          <t>Property tax</t>
        </is>
      </c>
      <c r="C17" s="1" t="n"/>
      <c r="D17" s="1" t="n"/>
      <c r="E17" s="1" t="n"/>
    </row>
    <row r="18">
      <c r="A18" s="1" t="n"/>
      <c r="B18" s="26" t="inlineStr">
        <is>
          <t>Repairs</t>
        </is>
      </c>
      <c r="C18" s="1" t="n"/>
      <c r="D18" s="1" t="n"/>
      <c r="E18" s="1" t="n"/>
    </row>
    <row r="19">
      <c r="A19" s="1" t="n"/>
      <c r="B19" s="26" t="inlineStr">
        <is>
          <t>Maintenance</t>
        </is>
      </c>
      <c r="C19" s="1" t="n"/>
      <c r="D19" s="1" t="n"/>
      <c r="E19" s="1" t="n"/>
    </row>
    <row r="20">
      <c r="A20" s="1" t="n"/>
      <c r="B20" s="26" t="inlineStr">
        <is>
          <t>Utilities</t>
        </is>
      </c>
      <c r="C20" s="1" t="n"/>
      <c r="D20" s="1" t="n"/>
      <c r="E20" s="1" t="n"/>
    </row>
    <row r="21">
      <c r="A21" s="1" t="n"/>
      <c r="B21" s="26" t="inlineStr">
        <is>
          <t>HOA fees</t>
        </is>
      </c>
      <c r="C21" s="1" t="n"/>
      <c r="D21" s="1" t="n"/>
      <c r="E21" s="1" t="n"/>
    </row>
    <row r="22">
      <c r="A22" s="1" t="n"/>
      <c r="B22" s="26" t="inlineStr">
        <is>
          <t>Management</t>
        </is>
      </c>
      <c r="C22" s="1" t="n"/>
      <c r="D22" s="1" t="n"/>
      <c r="E22" s="1" t="n"/>
    </row>
    <row r="23">
      <c r="A23" s="1" t="n"/>
      <c r="B23" s="26" t="inlineStr">
        <is>
          <t>Legal and accounting</t>
        </is>
      </c>
      <c r="C23" s="1" t="n"/>
      <c r="D23" s="1" t="n"/>
      <c r="E23" s="1" t="n"/>
    </row>
    <row r="24">
      <c r="A24" s="1" t="n"/>
      <c r="B24" s="26" t="inlineStr">
        <is>
          <t>Other</t>
        </is>
      </c>
      <c r="C24" s="1" t="n"/>
      <c r="D24" s="1" t="n"/>
      <c r="E24" s="1" t="n"/>
    </row>
    <row r="25">
      <c r="A25" s="1" t="n"/>
      <c r="B25" s="1" t="n"/>
      <c r="C25" s="1" t="n"/>
      <c r="D25" s="1" t="n"/>
      <c r="E25" s="1" t="n"/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</row>
    <row r="33">
      <c r="A33" s="1" t="n"/>
      <c r="B33" s="1" t="n"/>
      <c r="C33" s="1" t="n"/>
      <c r="D33" s="1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4" customWidth="1" min="4" max="4"/>
    <col width="11" customWidth="1" min="5" max="5"/>
    <col width="9" customWidth="1" min="6" max="6"/>
    <col width="9" customWidth="1" min="7" max="7"/>
    <col width="13" customWidth="1" min="8" max="8"/>
    <col width="13" customWidth="1" min="9" max="9"/>
    <col width="11" customWidth="1" min="10" max="10"/>
    <col width="20" customWidth="1" min="11" max="11"/>
    <col width="20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2" customHeight="1">
      <c r="A2" s="1" t="n"/>
      <c r="B2" s="2" t="inlineStr">
        <is>
          <t>Units and leases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3" t="inlineStr">
        <is>
          <t>One line per unit. The lease status updates by itself.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30" customHeight="1">
      <c r="A5" s="1" t="n"/>
      <c r="B5" s="11" t="inlineStr">
        <is>
          <t>Unit</t>
        </is>
      </c>
      <c r="C5" s="11" t="inlineStr">
        <is>
          <t>Property</t>
        </is>
      </c>
      <c r="D5" s="11" t="inlineStr">
        <is>
          <t>Tenant</t>
        </is>
      </c>
      <c r="E5" s="11" t="inlineStr">
        <is>
          <t>Rent</t>
        </is>
      </c>
      <c r="F5" s="11" t="inlineStr">
        <is>
          <t>Due day</t>
        </is>
      </c>
      <c r="G5" s="11" t="inlineStr">
        <is>
          <t>Grace days</t>
        </is>
      </c>
      <c r="H5" s="11" t="inlineStr">
        <is>
          <t>Lease start</t>
        </is>
      </c>
      <c r="I5" s="11" t="inlineStr">
        <is>
          <t>Lease end</t>
        </is>
      </c>
      <c r="J5" s="11" t="inlineStr">
        <is>
          <t>Deposit</t>
        </is>
      </c>
      <c r="K5" s="11" t="inlineStr">
        <is>
          <t>Lease status</t>
        </is>
      </c>
      <c r="L5" s="11" t="inlineStr">
        <is>
          <t>Note</t>
        </is>
      </c>
      <c r="M5" s="1" t="n"/>
    </row>
    <row r="6">
      <c r="A6" s="1" t="n"/>
      <c r="B6" s="24" t="inlineStr">
        <is>
          <t>Oak Street, apt 1</t>
        </is>
      </c>
      <c r="C6" s="26" t="inlineStr">
        <is>
          <t>12 Oak Street</t>
        </is>
      </c>
      <c r="D6" s="26" t="inlineStr">
        <is>
          <t>Maria L.</t>
        </is>
      </c>
      <c r="E6" s="27" t="n">
        <v>1150</v>
      </c>
      <c r="F6" s="28" t="n">
        <v>1</v>
      </c>
      <c r="G6" s="28" t="n">
        <v>5</v>
      </c>
      <c r="H6" s="29" t="n">
        <v>45809</v>
      </c>
      <c r="I6" s="29" t="n">
        <v>46538</v>
      </c>
      <c r="J6" s="27" t="n">
        <v>1150</v>
      </c>
      <c r="K6" s="30">
        <f>IF(B6="","",IF(D6="","Vacant",IF(AND(I6&lt;&gt;"",I6&lt;TODAY()),"Lease ended",IF(AND(I6&lt;&gt;"",(I6-TODAY())&lt;=60),"Ends in "&amp;(I6-TODAY())&amp;IF((I6-TODAY())=1," day"," days"),"Active"))))</f>
        <v/>
      </c>
      <c r="L6" s="26" t="n"/>
      <c r="M6" s="1" t="n"/>
    </row>
    <row r="7">
      <c r="A7" s="1" t="n"/>
      <c r="B7" s="24" t="inlineStr">
        <is>
          <t>Oak Street, apt 2</t>
        </is>
      </c>
      <c r="C7" s="26" t="inlineStr">
        <is>
          <t>12 Oak Street</t>
        </is>
      </c>
      <c r="D7" s="26" t="inlineStr">
        <is>
          <t>James T.</t>
        </is>
      </c>
      <c r="E7" s="27" t="n">
        <v>1200</v>
      </c>
      <c r="F7" s="28" t="n">
        <v>1</v>
      </c>
      <c r="G7" s="28" t="n">
        <v>5</v>
      </c>
      <c r="H7" s="29" t="n">
        <v>45962</v>
      </c>
      <c r="I7" s="29" t="n">
        <v>46326</v>
      </c>
      <c r="J7" s="27" t="n">
        <v>1200</v>
      </c>
      <c r="K7" s="30">
        <f>IF(B7="","",IF(D7="","Vacant",IF(AND(I7&lt;&gt;"",I7&lt;TODAY()),"Lease ended",IF(AND(I7&lt;&gt;"",(I7-TODAY())&lt;=60),"Ends in "&amp;(I7-TODAY())&amp;IF((I7-TODAY())=1," day"," days"),"Active"))))</f>
        <v/>
      </c>
      <c r="L7" s="26" t="n"/>
      <c r="M7" s="1" t="n"/>
    </row>
    <row r="8">
      <c r="A8" s="1" t="n"/>
      <c r="B8" s="24" t="inlineStr">
        <is>
          <t>Oak Street, apt 3</t>
        </is>
      </c>
      <c r="C8" s="26" t="inlineStr">
        <is>
          <t>12 Oak Street</t>
        </is>
      </c>
      <c r="D8" s="26" t="inlineStr">
        <is>
          <t>Kevin P.</t>
        </is>
      </c>
      <c r="E8" s="27" t="n">
        <v>950</v>
      </c>
      <c r="F8" s="28" t="n">
        <v>1</v>
      </c>
      <c r="G8" s="28" t="n">
        <v>5</v>
      </c>
      <c r="H8" s="29" t="n">
        <v>45689</v>
      </c>
      <c r="I8" s="29" t="n">
        <v>46234</v>
      </c>
      <c r="J8" s="27" t="n">
        <v>950</v>
      </c>
      <c r="K8" s="30">
        <f>IF(B8="","",IF(D8="","Vacant",IF(AND(I8&lt;&gt;"",I8&lt;TODAY()),"Lease ended",IF(AND(I8&lt;&gt;"",(I8-TODAY())&lt;=60),"Ends in "&amp;(I8-TODAY())&amp;IF((I8-TODAY())=1," day"," days"),"Active"))))</f>
        <v/>
      </c>
      <c r="L8" s="26" t="n"/>
      <c r="M8" s="1" t="n"/>
    </row>
    <row r="9">
      <c r="A9" s="1" t="n"/>
      <c r="B9" s="24" t="inlineStr">
        <is>
          <t>River Road house</t>
        </is>
      </c>
      <c r="C9" s="26" t="inlineStr">
        <is>
          <t>8 River Road</t>
        </is>
      </c>
      <c r="D9" s="26" t="inlineStr">
        <is>
          <t>Priya S.</t>
        </is>
      </c>
      <c r="E9" s="27" t="n">
        <v>1800</v>
      </c>
      <c r="F9" s="28" t="n">
        <v>1</v>
      </c>
      <c r="G9" s="28" t="n">
        <v>5</v>
      </c>
      <c r="H9" s="29" t="n">
        <v>45536</v>
      </c>
      <c r="I9" s="29" t="n"/>
      <c r="J9" s="27" t="n">
        <v>1800</v>
      </c>
      <c r="K9" s="30">
        <f>IF(B9="","",IF(D9="","Vacant",IF(AND(I9&lt;&gt;"",I9&lt;TODAY()),"Lease ended",IF(AND(I9&lt;&gt;"",(I9-TODAY())&lt;=60),"Ends in "&amp;(I9-TODAY())&amp;IF((I9-TODAY())=1," day"," days"),"Active"))))</f>
        <v/>
      </c>
      <c r="L9" s="26" t="n"/>
      <c r="M9" s="1" t="n"/>
    </row>
    <row r="10">
      <c r="A10" s="1" t="n"/>
      <c r="B10" s="24" t="n"/>
      <c r="C10" s="26" t="n"/>
      <c r="D10" s="26" t="n"/>
      <c r="E10" s="27" t="n"/>
      <c r="F10" s="28" t="n"/>
      <c r="G10" s="28" t="n"/>
      <c r="H10" s="29" t="n"/>
      <c r="I10" s="29" t="n"/>
      <c r="J10" s="27" t="n"/>
      <c r="K10" s="30">
        <f>IF(B10="","",IF(D10="","Vacant",IF(AND(I10&lt;&gt;"",I10&lt;TODAY()),"Lease ended",IF(AND(I10&lt;&gt;"",(I10-TODAY())&lt;=60),"Ends in "&amp;(I10-TODAY())&amp;IF((I10-TODAY())=1," day"," days"),"Active"))))</f>
        <v/>
      </c>
      <c r="L10" s="26" t="n"/>
      <c r="M10" s="1" t="n"/>
    </row>
    <row r="11">
      <c r="A11" s="1" t="n"/>
      <c r="B11" s="24" t="n"/>
      <c r="C11" s="26" t="n"/>
      <c r="D11" s="26" t="n"/>
      <c r="E11" s="27" t="n"/>
      <c r="F11" s="28" t="n"/>
      <c r="G11" s="28" t="n"/>
      <c r="H11" s="29" t="n"/>
      <c r="I11" s="29" t="n"/>
      <c r="J11" s="27" t="n"/>
      <c r="K11" s="30">
        <f>IF(B11="","",IF(D11="","Vacant",IF(AND(I11&lt;&gt;"",I11&lt;TODAY()),"Lease ended",IF(AND(I11&lt;&gt;"",(I11-TODAY())&lt;=60),"Ends in "&amp;(I11-TODAY())&amp;IF((I11-TODAY())=1," day"," days"),"Active"))))</f>
        <v/>
      </c>
      <c r="L11" s="26" t="n"/>
      <c r="M11" s="1" t="n"/>
    </row>
    <row r="12">
      <c r="A12" s="1" t="n"/>
      <c r="B12" s="24" t="n"/>
      <c r="C12" s="26" t="n"/>
      <c r="D12" s="26" t="n"/>
      <c r="E12" s="27" t="n"/>
      <c r="F12" s="28" t="n"/>
      <c r="G12" s="28" t="n"/>
      <c r="H12" s="29" t="n"/>
      <c r="I12" s="29" t="n"/>
      <c r="J12" s="27" t="n"/>
      <c r="K12" s="30">
        <f>IF(B12="","",IF(D12="","Vacant",IF(AND(I12&lt;&gt;"",I12&lt;TODAY()),"Lease ended",IF(AND(I12&lt;&gt;"",(I12-TODAY())&lt;=60),"Ends in "&amp;(I12-TODAY())&amp;IF((I12-TODAY())=1," day"," days"),"Active"))))</f>
        <v/>
      </c>
      <c r="L12" s="26" t="n"/>
      <c r="M12" s="1" t="n"/>
    </row>
    <row r="13">
      <c r="A13" s="1" t="n"/>
      <c r="B13" s="24" t="n"/>
      <c r="C13" s="26" t="n"/>
      <c r="D13" s="26" t="n"/>
      <c r="E13" s="27" t="n"/>
      <c r="F13" s="28" t="n"/>
      <c r="G13" s="28" t="n"/>
      <c r="H13" s="29" t="n"/>
      <c r="I13" s="29" t="n"/>
      <c r="J13" s="27" t="n"/>
      <c r="K13" s="30">
        <f>IF(B13="","",IF(D13="","Vacant",IF(AND(I13&lt;&gt;"",I13&lt;TODAY()),"Lease ended",IF(AND(I13&lt;&gt;"",(I13-TODAY())&lt;=60),"Ends in "&amp;(I13-TODAY())&amp;IF((I13-TODAY())=1," day"," days"),"Active"))))</f>
        <v/>
      </c>
      <c r="L13" s="26" t="n"/>
      <c r="M13" s="1" t="n"/>
    </row>
    <row r="14">
      <c r="A14" s="1" t="n"/>
      <c r="B14" s="24" t="n"/>
      <c r="C14" s="26" t="n"/>
      <c r="D14" s="26" t="n"/>
      <c r="E14" s="27" t="n"/>
      <c r="F14" s="28" t="n"/>
      <c r="G14" s="28" t="n"/>
      <c r="H14" s="29" t="n"/>
      <c r="I14" s="29" t="n"/>
      <c r="J14" s="27" t="n"/>
      <c r="K14" s="30">
        <f>IF(B14="","",IF(D14="","Vacant",IF(AND(I14&lt;&gt;"",I14&lt;TODAY()),"Lease ended",IF(AND(I14&lt;&gt;"",(I14-TODAY())&lt;=60),"Ends in "&amp;(I14-TODAY())&amp;IF((I14-TODAY())=1," day"," days"),"Active"))))</f>
        <v/>
      </c>
      <c r="L14" s="26" t="n"/>
      <c r="M14" s="1" t="n"/>
    </row>
    <row r="15">
      <c r="A15" s="1" t="n"/>
      <c r="B15" s="24" t="n"/>
      <c r="C15" s="26" t="n"/>
      <c r="D15" s="26" t="n"/>
      <c r="E15" s="27" t="n"/>
      <c r="F15" s="28" t="n"/>
      <c r="G15" s="28" t="n"/>
      <c r="H15" s="29" t="n"/>
      <c r="I15" s="29" t="n"/>
      <c r="J15" s="27" t="n"/>
      <c r="K15" s="30">
        <f>IF(B15="","",IF(D15="","Vacant",IF(AND(I15&lt;&gt;"",I15&lt;TODAY()),"Lease ended",IF(AND(I15&lt;&gt;"",(I15-TODAY())&lt;=60),"Ends in "&amp;(I15-TODAY())&amp;IF((I15-TODAY())=1," day"," days"),"Active"))))</f>
        <v/>
      </c>
      <c r="L15" s="26" t="n"/>
      <c r="M15" s="1" t="n"/>
    </row>
    <row r="16">
      <c r="A16" s="1" t="n"/>
      <c r="B16" s="24" t="n"/>
      <c r="C16" s="26" t="n"/>
      <c r="D16" s="26" t="n"/>
      <c r="E16" s="27" t="n"/>
      <c r="F16" s="28" t="n"/>
      <c r="G16" s="28" t="n"/>
      <c r="H16" s="29" t="n"/>
      <c r="I16" s="29" t="n"/>
      <c r="J16" s="27" t="n"/>
      <c r="K16" s="30">
        <f>IF(B16="","",IF(D16="","Vacant",IF(AND(I16&lt;&gt;"",I16&lt;TODAY()),"Lease ended",IF(AND(I16&lt;&gt;"",(I16-TODAY())&lt;=60),"Ends in "&amp;(I16-TODAY())&amp;IF((I16-TODAY())=1," day"," days"),"Active"))))</f>
        <v/>
      </c>
      <c r="L16" s="26" t="n"/>
      <c r="M16" s="1" t="n"/>
    </row>
    <row r="17">
      <c r="A17" s="1" t="n"/>
      <c r="B17" s="24" t="n"/>
      <c r="C17" s="26" t="n"/>
      <c r="D17" s="26" t="n"/>
      <c r="E17" s="27" t="n"/>
      <c r="F17" s="28" t="n"/>
      <c r="G17" s="28" t="n"/>
      <c r="H17" s="29" t="n"/>
      <c r="I17" s="29" t="n"/>
      <c r="J17" s="27" t="n"/>
      <c r="K17" s="30">
        <f>IF(B17="","",IF(D17="","Vacant",IF(AND(I17&lt;&gt;"",I17&lt;TODAY()),"Lease ended",IF(AND(I17&lt;&gt;"",(I17-TODAY())&lt;=60),"Ends in "&amp;(I17-TODAY())&amp;IF((I17-TODAY())=1," day"," days"),"Active"))))</f>
        <v/>
      </c>
      <c r="L17" s="26" t="n"/>
      <c r="M17" s="1" t="n"/>
    </row>
    <row r="18">
      <c r="A18" s="1" t="n"/>
      <c r="B18" s="24" t="n"/>
      <c r="C18" s="26" t="n"/>
      <c r="D18" s="26" t="n"/>
      <c r="E18" s="27" t="n"/>
      <c r="F18" s="28" t="n"/>
      <c r="G18" s="28" t="n"/>
      <c r="H18" s="29" t="n"/>
      <c r="I18" s="29" t="n"/>
      <c r="J18" s="27" t="n"/>
      <c r="K18" s="30">
        <f>IF(B18="","",IF(D18="","Vacant",IF(AND(I18&lt;&gt;"",I18&lt;TODAY()),"Lease ended",IF(AND(I18&lt;&gt;"",(I18-TODAY())&lt;=60),"Ends in "&amp;(I18-TODAY())&amp;IF((I18-TODAY())=1," day"," days"),"Active"))))</f>
        <v/>
      </c>
      <c r="L18" s="26" t="n"/>
      <c r="M18" s="1" t="n"/>
    </row>
    <row r="19">
      <c r="A19" s="1" t="n"/>
      <c r="B19" s="24" t="n"/>
      <c r="C19" s="26" t="n"/>
      <c r="D19" s="26" t="n"/>
      <c r="E19" s="27" t="n"/>
      <c r="F19" s="28" t="n"/>
      <c r="G19" s="28" t="n"/>
      <c r="H19" s="29" t="n"/>
      <c r="I19" s="29" t="n"/>
      <c r="J19" s="27" t="n"/>
      <c r="K19" s="30">
        <f>IF(B19="","",IF(D19="","Vacant",IF(AND(I19&lt;&gt;"",I19&lt;TODAY()),"Lease ended",IF(AND(I19&lt;&gt;"",(I19-TODAY())&lt;=60),"Ends in "&amp;(I19-TODAY())&amp;IF((I19-TODAY())=1," day"," days"),"Active"))))</f>
        <v/>
      </c>
      <c r="L19" s="26" t="n"/>
      <c r="M19" s="1" t="n"/>
    </row>
    <row r="20">
      <c r="A20" s="1" t="n"/>
      <c r="B20" s="24" t="n"/>
      <c r="C20" s="26" t="n"/>
      <c r="D20" s="26" t="n"/>
      <c r="E20" s="27" t="n"/>
      <c r="F20" s="28" t="n"/>
      <c r="G20" s="28" t="n"/>
      <c r="H20" s="29" t="n"/>
      <c r="I20" s="29" t="n"/>
      <c r="J20" s="27" t="n"/>
      <c r="K20" s="30">
        <f>IF(B20="","",IF(D20="","Vacant",IF(AND(I20&lt;&gt;"",I20&lt;TODAY()),"Lease ended",IF(AND(I20&lt;&gt;"",(I20-TODAY())&lt;=60),"Ends in "&amp;(I20-TODAY())&amp;IF((I20-TODAY())=1," day"," days"),"Active"))))</f>
        <v/>
      </c>
      <c r="L20" s="26" t="n"/>
      <c r="M20" s="1" t="n"/>
    </row>
    <row r="21">
      <c r="A21" s="1" t="n"/>
      <c r="B21" s="24" t="n"/>
      <c r="C21" s="26" t="n"/>
      <c r="D21" s="26" t="n"/>
      <c r="E21" s="27" t="n"/>
      <c r="F21" s="28" t="n"/>
      <c r="G21" s="28" t="n"/>
      <c r="H21" s="29" t="n"/>
      <c r="I21" s="29" t="n"/>
      <c r="J21" s="27" t="n"/>
      <c r="K21" s="30">
        <f>IF(B21="","",IF(D21="","Vacant",IF(AND(I21&lt;&gt;"",I21&lt;TODAY()),"Lease ended",IF(AND(I21&lt;&gt;"",(I21-TODAY())&lt;=60),"Ends in "&amp;(I21-TODAY())&amp;IF((I21-TODAY())=1," day"," days"),"Active"))))</f>
        <v/>
      </c>
      <c r="L21" s="26" t="n"/>
      <c r="M21" s="1" t="n"/>
    </row>
    <row r="22">
      <c r="A22" s="1" t="n"/>
      <c r="B22" s="24" t="n"/>
      <c r="C22" s="26" t="n"/>
      <c r="D22" s="26" t="n"/>
      <c r="E22" s="27" t="n"/>
      <c r="F22" s="28" t="n"/>
      <c r="G22" s="28" t="n"/>
      <c r="H22" s="29" t="n"/>
      <c r="I22" s="29" t="n"/>
      <c r="J22" s="27" t="n"/>
      <c r="K22" s="30">
        <f>IF(B22="","",IF(D22="","Vacant",IF(AND(I22&lt;&gt;"",I22&lt;TODAY()),"Lease ended",IF(AND(I22&lt;&gt;"",(I22-TODAY())&lt;=60),"Ends in "&amp;(I22-TODAY())&amp;IF((I22-TODAY())=1," day"," days"),"Active"))))</f>
        <v/>
      </c>
      <c r="L22" s="26" t="n"/>
      <c r="M22" s="1" t="n"/>
    </row>
    <row r="23">
      <c r="A23" s="1" t="n"/>
      <c r="B23" s="24" t="n"/>
      <c r="C23" s="26" t="n"/>
      <c r="D23" s="26" t="n"/>
      <c r="E23" s="27" t="n"/>
      <c r="F23" s="28" t="n"/>
      <c r="G23" s="28" t="n"/>
      <c r="H23" s="29" t="n"/>
      <c r="I23" s="29" t="n"/>
      <c r="J23" s="27" t="n"/>
      <c r="K23" s="30">
        <f>IF(B23="","",IF(D23="","Vacant",IF(AND(I23&lt;&gt;"",I23&lt;TODAY()),"Lease ended",IF(AND(I23&lt;&gt;"",(I23-TODAY())&lt;=60),"Ends in "&amp;(I23-TODAY())&amp;IF((I23-TODAY())=1," day"," days"),"Active"))))</f>
        <v/>
      </c>
      <c r="L23" s="26" t="n"/>
      <c r="M23" s="1" t="n"/>
    </row>
    <row r="24">
      <c r="A24" s="1" t="n"/>
      <c r="B24" s="24" t="n"/>
      <c r="C24" s="26" t="n"/>
      <c r="D24" s="26" t="n"/>
      <c r="E24" s="27" t="n"/>
      <c r="F24" s="28" t="n"/>
      <c r="G24" s="28" t="n"/>
      <c r="H24" s="29" t="n"/>
      <c r="I24" s="29" t="n"/>
      <c r="J24" s="27" t="n"/>
      <c r="K24" s="30">
        <f>IF(B24="","",IF(D24="","Vacant",IF(AND(I24&lt;&gt;"",I24&lt;TODAY()),"Lease ended",IF(AND(I24&lt;&gt;"",(I24-TODAY())&lt;=60),"Ends in "&amp;(I24-TODAY())&amp;IF((I24-TODAY())=1," day"," days"),"Active"))))</f>
        <v/>
      </c>
      <c r="L24" s="26" t="n"/>
      <c r="M24" s="1" t="n"/>
    </row>
    <row r="25">
      <c r="A25" s="1" t="n"/>
      <c r="B25" s="24" t="n"/>
      <c r="C25" s="26" t="n"/>
      <c r="D25" s="26" t="n"/>
      <c r="E25" s="27" t="n"/>
      <c r="F25" s="28" t="n"/>
      <c r="G25" s="28" t="n"/>
      <c r="H25" s="29" t="n"/>
      <c r="I25" s="29" t="n"/>
      <c r="J25" s="27" t="n"/>
      <c r="K25" s="30">
        <f>IF(B25="","",IF(D25="","Vacant",IF(AND(I25&lt;&gt;"",I25&lt;TODAY()),"Lease ended",IF(AND(I25&lt;&gt;"",(I25-TODAY())&lt;=60),"Ends in "&amp;(I25-TODAY())&amp;IF((I25-TODAY())=1," day"," days"),"Active"))))</f>
        <v/>
      </c>
      <c r="L25" s="26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25" t="inlineStr">
        <is>
          <t>When a tenant leaves, keep the line and its lease end date so the past months stay right.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</sheetData>
  <conditionalFormatting sqref="K6:K25">
    <cfRule type="expression" priority="1" dxfId="1">
      <formula>$K6="Active"</formula>
    </cfRule>
    <cfRule type="expression" priority="2" dxfId="2">
      <formula>LEFT($K6,7)="Ends in"</formula>
    </cfRule>
    <cfRule type="expression" priority="3" dxfId="3">
      <formula>OR($K6="Vacant",$K6="Lease ended")</formula>
    </cfRule>
  </conditionalFormatting>
  <dataValidations count="1">
    <dataValidation sqref="C6:C25" showDropDown="0" showInputMessage="0" showErrorMessage="0" allowBlank="1" type="list">
      <formula1>=Settings!$B$6:$B$11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00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22" customWidth="1" min="3" max="3"/>
    <col width="12" customWidth="1" min="4" max="4"/>
    <col width="13" customWidth="1" min="5" max="5"/>
    <col width="15" customWidth="1" min="6" max="6"/>
    <col width="28" customWidth="1" min="7" max="7"/>
    <col hidden="1" width="13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Rent received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One line per payment. Leave 'For month' empty when it is for the month it arrives in.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1" t="n"/>
      <c r="B5" s="11" t="inlineStr">
        <is>
          <t>Date received</t>
        </is>
      </c>
      <c r="C5" s="11" t="inlineStr">
        <is>
          <t>Unit</t>
        </is>
      </c>
      <c r="D5" s="11" t="inlineStr">
        <is>
          <t>Amount</t>
        </is>
      </c>
      <c r="E5" s="11" t="inlineStr">
        <is>
          <t>For month</t>
        </is>
      </c>
      <c r="F5" s="11" t="inlineStr">
        <is>
          <t>Method</t>
        </is>
      </c>
      <c r="G5" s="11" t="inlineStr">
        <is>
          <t>Note</t>
        </is>
      </c>
      <c r="H5" s="1" t="n"/>
    </row>
    <row r="6">
      <c r="A6" s="1" t="n"/>
      <c r="B6" s="29" t="n">
        <v>46023</v>
      </c>
      <c r="C6" s="26" t="inlineStr">
        <is>
          <t>Oak Street, apt 2</t>
        </is>
      </c>
      <c r="D6" s="27" t="n">
        <v>1200</v>
      </c>
      <c r="E6" s="29" t="n"/>
      <c r="F6" s="26" t="inlineStr">
        <is>
          <t>Bank transfer</t>
        </is>
      </c>
      <c r="G6" s="26" t="inlineStr"/>
      <c r="H6" s="1">
        <f>IF(B6="","",IF(E6="",B6,E6))</f>
        <v/>
      </c>
    </row>
    <row r="7">
      <c r="A7" s="1" t="n"/>
      <c r="B7" s="29" t="n">
        <v>46024</v>
      </c>
      <c r="C7" s="26" t="inlineStr">
        <is>
          <t>Oak Street, apt 1</t>
        </is>
      </c>
      <c r="D7" s="27" t="n">
        <v>1150</v>
      </c>
      <c r="E7" s="29" t="n"/>
      <c r="F7" s="26" t="inlineStr">
        <is>
          <t>Bank transfer</t>
        </is>
      </c>
      <c r="G7" s="26" t="inlineStr"/>
      <c r="H7" s="1">
        <f>IF(B7="","",IF(E7="",B7,E7))</f>
        <v/>
      </c>
    </row>
    <row r="8">
      <c r="A8" s="1" t="n"/>
      <c r="B8" s="29" t="n">
        <v>46025</v>
      </c>
      <c r="C8" s="26" t="inlineStr">
        <is>
          <t>Oak Street, apt 3</t>
        </is>
      </c>
      <c r="D8" s="27" t="n">
        <v>950</v>
      </c>
      <c r="E8" s="29" t="n"/>
      <c r="F8" s="26" t="inlineStr">
        <is>
          <t>Check</t>
        </is>
      </c>
      <c r="G8" s="26" t="inlineStr"/>
      <c r="H8" s="1">
        <f>IF(B8="","",IF(E8="",B8,E8))</f>
        <v/>
      </c>
    </row>
    <row r="9">
      <c r="A9" s="1" t="n"/>
      <c r="B9" s="29" t="n">
        <v>46026</v>
      </c>
      <c r="C9" s="26" t="inlineStr">
        <is>
          <t>River Road house</t>
        </is>
      </c>
      <c r="D9" s="27" t="n">
        <v>1800</v>
      </c>
      <c r="E9" s="29" t="n">
        <v>46023</v>
      </c>
      <c r="F9" s="26" t="inlineStr">
        <is>
          <t>App</t>
        </is>
      </c>
      <c r="G9" s="26" t="inlineStr"/>
      <c r="H9" s="1">
        <f>IF(B9="","",IF(E9="",B9,E9))</f>
        <v/>
      </c>
    </row>
    <row r="10">
      <c r="A10" s="1" t="n"/>
      <c r="B10" s="29" t="n">
        <v>46054</v>
      </c>
      <c r="C10" s="26" t="inlineStr">
        <is>
          <t>Oak Street, apt 2</t>
        </is>
      </c>
      <c r="D10" s="27" t="n">
        <v>1200</v>
      </c>
      <c r="E10" s="29" t="n"/>
      <c r="F10" s="26" t="inlineStr">
        <is>
          <t>Bank transfer</t>
        </is>
      </c>
      <c r="G10" s="26" t="inlineStr"/>
      <c r="H10" s="1">
        <f>IF(B10="","",IF(E10="",B10,E10))</f>
        <v/>
      </c>
    </row>
    <row r="11">
      <c r="A11" s="1" t="n"/>
      <c r="B11" s="29" t="n">
        <v>46055</v>
      </c>
      <c r="C11" s="26" t="inlineStr">
        <is>
          <t>Oak Street, apt 1</t>
        </is>
      </c>
      <c r="D11" s="27" t="n">
        <v>1150</v>
      </c>
      <c r="E11" s="29" t="n"/>
      <c r="F11" s="26" t="inlineStr">
        <is>
          <t>Bank transfer</t>
        </is>
      </c>
      <c r="G11" s="26" t="inlineStr"/>
      <c r="H11" s="1">
        <f>IF(B11="","",IF(E11="",B11,E11))</f>
        <v/>
      </c>
    </row>
    <row r="12">
      <c r="A12" s="1" t="n"/>
      <c r="B12" s="29" t="n">
        <v>46056</v>
      </c>
      <c r="C12" s="26" t="inlineStr">
        <is>
          <t>Oak Street, apt 3</t>
        </is>
      </c>
      <c r="D12" s="27" t="n">
        <v>950</v>
      </c>
      <c r="E12" s="29" t="n"/>
      <c r="F12" s="26" t="inlineStr">
        <is>
          <t>Check</t>
        </is>
      </c>
      <c r="G12" s="26" t="inlineStr"/>
      <c r="H12" s="1">
        <f>IF(B12="","",IF(E12="",B12,E12))</f>
        <v/>
      </c>
    </row>
    <row r="13">
      <c r="A13" s="1" t="n"/>
      <c r="B13" s="29" t="n">
        <v>46057</v>
      </c>
      <c r="C13" s="26" t="inlineStr">
        <is>
          <t>River Road house</t>
        </is>
      </c>
      <c r="D13" s="27" t="n">
        <v>1800</v>
      </c>
      <c r="E13" s="29" t="n">
        <v>46054</v>
      </c>
      <c r="F13" s="26" t="inlineStr">
        <is>
          <t>App</t>
        </is>
      </c>
      <c r="G13" s="26" t="inlineStr"/>
      <c r="H13" s="1">
        <f>IF(B13="","",IF(E13="",B13,E13))</f>
        <v/>
      </c>
    </row>
    <row r="14">
      <c r="A14" s="1" t="n"/>
      <c r="B14" s="29" t="n">
        <v>46082</v>
      </c>
      <c r="C14" s="26" t="inlineStr">
        <is>
          <t>Oak Street, apt 2</t>
        </is>
      </c>
      <c r="D14" s="27" t="n">
        <v>1200</v>
      </c>
      <c r="E14" s="29" t="n"/>
      <c r="F14" s="26" t="inlineStr">
        <is>
          <t>Bank transfer</t>
        </is>
      </c>
      <c r="G14" s="26" t="inlineStr"/>
      <c r="H14" s="1">
        <f>IF(B14="","",IF(E14="",B14,E14))</f>
        <v/>
      </c>
    </row>
    <row r="15">
      <c r="A15" s="1" t="n"/>
      <c r="B15" s="29" t="n">
        <v>46083</v>
      </c>
      <c r="C15" s="26" t="inlineStr">
        <is>
          <t>Oak Street, apt 1</t>
        </is>
      </c>
      <c r="D15" s="27" t="n">
        <v>1150</v>
      </c>
      <c r="E15" s="29" t="n"/>
      <c r="F15" s="26" t="inlineStr">
        <is>
          <t>Bank transfer</t>
        </is>
      </c>
      <c r="G15" s="26" t="inlineStr"/>
      <c r="H15" s="1">
        <f>IF(B15="","",IF(E15="",B15,E15))</f>
        <v/>
      </c>
    </row>
    <row r="16">
      <c r="A16" s="1" t="n"/>
      <c r="B16" s="29" t="n">
        <v>46084</v>
      </c>
      <c r="C16" s="26" t="inlineStr">
        <is>
          <t>Oak Street, apt 3</t>
        </is>
      </c>
      <c r="D16" s="27" t="n">
        <v>950</v>
      </c>
      <c r="E16" s="29" t="n"/>
      <c r="F16" s="26" t="inlineStr">
        <is>
          <t>Check</t>
        </is>
      </c>
      <c r="G16" s="26" t="inlineStr"/>
      <c r="H16" s="1">
        <f>IF(B16="","",IF(E16="",B16,E16))</f>
        <v/>
      </c>
    </row>
    <row r="17">
      <c r="A17" s="1" t="n"/>
      <c r="B17" s="29" t="n">
        <v>46085</v>
      </c>
      <c r="C17" s="26" t="inlineStr">
        <is>
          <t>River Road house</t>
        </is>
      </c>
      <c r="D17" s="27" t="n">
        <v>1800</v>
      </c>
      <c r="E17" s="29" t="n">
        <v>46082</v>
      </c>
      <c r="F17" s="26" t="inlineStr">
        <is>
          <t>App</t>
        </is>
      </c>
      <c r="G17" s="26" t="inlineStr"/>
      <c r="H17" s="1">
        <f>IF(B17="","",IF(E17="",B17,E17))</f>
        <v/>
      </c>
    </row>
    <row r="18">
      <c r="A18" s="1" t="n"/>
      <c r="B18" s="29" t="n">
        <v>46113</v>
      </c>
      <c r="C18" s="26" t="inlineStr">
        <is>
          <t>Oak Street, apt 2</t>
        </is>
      </c>
      <c r="D18" s="27" t="n">
        <v>1200</v>
      </c>
      <c r="E18" s="29" t="n"/>
      <c r="F18" s="26" t="inlineStr">
        <is>
          <t>Bank transfer</t>
        </is>
      </c>
      <c r="G18" s="26" t="inlineStr"/>
      <c r="H18" s="1">
        <f>IF(B18="","",IF(E18="",B18,E18))</f>
        <v/>
      </c>
    </row>
    <row r="19">
      <c r="A19" s="1" t="n"/>
      <c r="B19" s="29" t="n">
        <v>46114</v>
      </c>
      <c r="C19" s="26" t="inlineStr">
        <is>
          <t>Oak Street, apt 1</t>
        </is>
      </c>
      <c r="D19" s="27" t="n">
        <v>1150</v>
      </c>
      <c r="E19" s="29" t="n"/>
      <c r="F19" s="26" t="inlineStr">
        <is>
          <t>Bank transfer</t>
        </is>
      </c>
      <c r="G19" s="26" t="inlineStr"/>
      <c r="H19" s="1">
        <f>IF(B19="","",IF(E19="",B19,E19))</f>
        <v/>
      </c>
    </row>
    <row r="20">
      <c r="A20" s="1" t="n"/>
      <c r="B20" s="29" t="n">
        <v>46115</v>
      </c>
      <c r="C20" s="26" t="inlineStr">
        <is>
          <t>Oak Street, apt 3</t>
        </is>
      </c>
      <c r="D20" s="27" t="n">
        <v>950</v>
      </c>
      <c r="E20" s="29" t="n"/>
      <c r="F20" s="26" t="inlineStr">
        <is>
          <t>Check</t>
        </is>
      </c>
      <c r="G20" s="26" t="inlineStr"/>
      <c r="H20" s="1">
        <f>IF(B20="","",IF(E20="",B20,E20))</f>
        <v/>
      </c>
    </row>
    <row r="21">
      <c r="A21" s="1" t="n"/>
      <c r="B21" s="29" t="n">
        <v>46116</v>
      </c>
      <c r="C21" s="26" t="inlineStr">
        <is>
          <t>River Road house</t>
        </is>
      </c>
      <c r="D21" s="27" t="n">
        <v>1800</v>
      </c>
      <c r="E21" s="29" t="n">
        <v>46113</v>
      </c>
      <c r="F21" s="26" t="inlineStr">
        <is>
          <t>App</t>
        </is>
      </c>
      <c r="G21" s="26" t="inlineStr"/>
      <c r="H21" s="1">
        <f>IF(B21="","",IF(E21="",B21,E21))</f>
        <v/>
      </c>
    </row>
    <row r="22">
      <c r="A22" s="1" t="n"/>
      <c r="B22" s="29" t="n">
        <v>46143</v>
      </c>
      <c r="C22" s="26" t="inlineStr">
        <is>
          <t>Oak Street, apt 2</t>
        </is>
      </c>
      <c r="D22" s="27" t="n">
        <v>1200</v>
      </c>
      <c r="E22" s="29" t="n"/>
      <c r="F22" s="26" t="inlineStr">
        <is>
          <t>Bank transfer</t>
        </is>
      </c>
      <c r="G22" s="26" t="inlineStr"/>
      <c r="H22" s="1">
        <f>IF(B22="","",IF(E22="",B22,E22))</f>
        <v/>
      </c>
    </row>
    <row r="23">
      <c r="A23" s="1" t="n"/>
      <c r="B23" s="29" t="n">
        <v>46144</v>
      </c>
      <c r="C23" s="26" t="inlineStr">
        <is>
          <t>Oak Street, apt 1</t>
        </is>
      </c>
      <c r="D23" s="27" t="n">
        <v>1150</v>
      </c>
      <c r="E23" s="29" t="n"/>
      <c r="F23" s="26" t="inlineStr">
        <is>
          <t>Bank transfer</t>
        </is>
      </c>
      <c r="G23" s="26" t="inlineStr"/>
      <c r="H23" s="1">
        <f>IF(B23="","",IF(E23="",B23,E23))</f>
        <v/>
      </c>
    </row>
    <row r="24">
      <c r="A24" s="1" t="n"/>
      <c r="B24" s="29" t="n">
        <v>46145</v>
      </c>
      <c r="C24" s="26" t="inlineStr">
        <is>
          <t>Oak Street, apt 3</t>
        </is>
      </c>
      <c r="D24" s="27" t="n">
        <v>950</v>
      </c>
      <c r="E24" s="29" t="n"/>
      <c r="F24" s="26" t="inlineStr">
        <is>
          <t>Check</t>
        </is>
      </c>
      <c r="G24" s="26" t="inlineStr"/>
      <c r="H24" s="1">
        <f>IF(B24="","",IF(E24="",B24,E24))</f>
        <v/>
      </c>
    </row>
    <row r="25">
      <c r="A25" s="1" t="n"/>
      <c r="B25" s="29" t="n">
        <v>46146</v>
      </c>
      <c r="C25" s="26" t="inlineStr">
        <is>
          <t>River Road house</t>
        </is>
      </c>
      <c r="D25" s="27" t="n">
        <v>1800</v>
      </c>
      <c r="E25" s="29" t="n">
        <v>46143</v>
      </c>
      <c r="F25" s="26" t="inlineStr">
        <is>
          <t>App</t>
        </is>
      </c>
      <c r="G25" s="26" t="inlineStr"/>
      <c r="H25" s="1">
        <f>IF(B25="","",IF(E25="",B25,E25))</f>
        <v/>
      </c>
    </row>
    <row r="26">
      <c r="A26" s="1" t="n"/>
      <c r="B26" s="29" t="n">
        <v>46174</v>
      </c>
      <c r="C26" s="26" t="inlineStr">
        <is>
          <t>Oak Street, apt 2</t>
        </is>
      </c>
      <c r="D26" s="27" t="n">
        <v>1200</v>
      </c>
      <c r="E26" s="29" t="n"/>
      <c r="F26" s="26" t="inlineStr">
        <is>
          <t>Bank transfer</t>
        </is>
      </c>
      <c r="G26" s="26" t="inlineStr"/>
      <c r="H26" s="1">
        <f>IF(B26="","",IF(E26="",B26,E26))</f>
        <v/>
      </c>
    </row>
    <row r="27">
      <c r="A27" s="1" t="n"/>
      <c r="B27" s="29" t="n">
        <v>46175</v>
      </c>
      <c r="C27" s="26" t="inlineStr">
        <is>
          <t>Oak Street, apt 1</t>
        </is>
      </c>
      <c r="D27" s="27" t="n">
        <v>1150</v>
      </c>
      <c r="E27" s="29" t="n"/>
      <c r="F27" s="26" t="inlineStr">
        <is>
          <t>Bank transfer</t>
        </is>
      </c>
      <c r="G27" s="26" t="inlineStr"/>
      <c r="H27" s="1">
        <f>IF(B27="","",IF(E27="",B27,E27))</f>
        <v/>
      </c>
    </row>
    <row r="28">
      <c r="A28" s="1" t="n"/>
      <c r="B28" s="29" t="n">
        <v>46176</v>
      </c>
      <c r="C28" s="26" t="inlineStr">
        <is>
          <t>Oak Street, apt 3</t>
        </is>
      </c>
      <c r="D28" s="27" t="n">
        <v>950</v>
      </c>
      <c r="E28" s="29" t="n"/>
      <c r="F28" s="26" t="inlineStr">
        <is>
          <t>Check</t>
        </is>
      </c>
      <c r="G28" s="26" t="inlineStr"/>
      <c r="H28" s="1">
        <f>IF(B28="","",IF(E28="",B28,E28))</f>
        <v/>
      </c>
    </row>
    <row r="29">
      <c r="A29" s="1" t="n"/>
      <c r="B29" s="29" t="n">
        <v>46185</v>
      </c>
      <c r="C29" s="26" t="inlineStr">
        <is>
          <t>River Road house</t>
        </is>
      </c>
      <c r="D29" s="27" t="n">
        <v>1800</v>
      </c>
      <c r="E29" s="29" t="n">
        <v>46174</v>
      </c>
      <c r="F29" s="26" t="inlineStr">
        <is>
          <t>App</t>
        </is>
      </c>
      <c r="G29" s="26" t="inlineStr">
        <is>
          <t>Paid late</t>
        </is>
      </c>
      <c r="H29" s="1">
        <f>IF(B29="","",IF(E29="",B29,E29))</f>
        <v/>
      </c>
    </row>
    <row r="30">
      <c r="A30" s="1" t="n"/>
      <c r="B30" s="29" t="n">
        <v>46204</v>
      </c>
      <c r="C30" s="26" t="inlineStr">
        <is>
          <t>Oak Street, apt 2</t>
        </is>
      </c>
      <c r="D30" s="27" t="n">
        <v>1200</v>
      </c>
      <c r="E30" s="29" t="n"/>
      <c r="F30" s="26" t="inlineStr">
        <is>
          <t>Bank transfer</t>
        </is>
      </c>
      <c r="G30" s="26" t="inlineStr"/>
      <c r="H30" s="1">
        <f>IF(B30="","",IF(E30="",B30,E30))</f>
        <v/>
      </c>
    </row>
    <row r="31">
      <c r="A31" s="1" t="n"/>
      <c r="B31" s="29" t="n">
        <v>46205</v>
      </c>
      <c r="C31" s="26" t="inlineStr">
        <is>
          <t>Oak Street, apt 1</t>
        </is>
      </c>
      <c r="D31" s="27" t="n">
        <v>1150</v>
      </c>
      <c r="E31" s="29" t="n"/>
      <c r="F31" s="26" t="inlineStr">
        <is>
          <t>Bank transfer</t>
        </is>
      </c>
      <c r="G31" s="26" t="inlineStr"/>
      <c r="H31" s="1">
        <f>IF(B31="","",IF(E31="",B31,E31))</f>
        <v/>
      </c>
    </row>
    <row r="32">
      <c r="A32" s="1" t="n"/>
      <c r="B32" s="29" t="n">
        <v>46206</v>
      </c>
      <c r="C32" s="26" t="inlineStr">
        <is>
          <t>Oak Street, apt 3</t>
        </is>
      </c>
      <c r="D32" s="27" t="n">
        <v>950</v>
      </c>
      <c r="E32" s="29" t="n"/>
      <c r="F32" s="26" t="inlineStr">
        <is>
          <t>Check</t>
        </is>
      </c>
      <c r="G32" s="26" t="inlineStr"/>
      <c r="H32" s="1">
        <f>IF(B32="","",IF(E32="",B32,E32))</f>
        <v/>
      </c>
    </row>
    <row r="33">
      <c r="A33" s="1" t="n"/>
      <c r="B33" s="29" t="n">
        <v>46207</v>
      </c>
      <c r="C33" s="26" t="inlineStr">
        <is>
          <t>River Road house</t>
        </is>
      </c>
      <c r="D33" s="27" t="n">
        <v>1800</v>
      </c>
      <c r="E33" s="29" t="n">
        <v>46204</v>
      </c>
      <c r="F33" s="26" t="inlineStr">
        <is>
          <t>App</t>
        </is>
      </c>
      <c r="G33" s="26" t="inlineStr"/>
      <c r="H33" s="1">
        <f>IF(B33="","",IF(E33="",B33,E33))</f>
        <v/>
      </c>
    </row>
    <row r="34">
      <c r="A34" s="1" t="n"/>
      <c r="B34" s="29" t="n">
        <v>46235</v>
      </c>
      <c r="C34" s="26" t="inlineStr">
        <is>
          <t>Oak Street, apt 2</t>
        </is>
      </c>
      <c r="D34" s="27" t="n">
        <v>1200</v>
      </c>
      <c r="E34" s="29" t="n"/>
      <c r="F34" s="26" t="inlineStr">
        <is>
          <t>Bank transfer</t>
        </is>
      </c>
      <c r="G34" s="26" t="inlineStr"/>
      <c r="H34" s="1">
        <f>IF(B34="","",IF(E34="",B34,E34))</f>
        <v/>
      </c>
    </row>
    <row r="35">
      <c r="A35" s="1" t="n"/>
      <c r="B35" s="29" t="n">
        <v>46236</v>
      </c>
      <c r="C35" s="26" t="inlineStr">
        <is>
          <t>Oak Street, apt 1</t>
        </is>
      </c>
      <c r="D35" s="27" t="n">
        <v>1150</v>
      </c>
      <c r="E35" s="29" t="n"/>
      <c r="F35" s="26" t="inlineStr">
        <is>
          <t>Bank transfer</t>
        </is>
      </c>
      <c r="G35" s="26" t="inlineStr"/>
      <c r="H35" s="1">
        <f>IF(B35="","",IF(E35="",B35,E35))</f>
        <v/>
      </c>
    </row>
    <row r="36">
      <c r="A36" s="1" t="n"/>
      <c r="B36" s="29" t="n">
        <v>46238</v>
      </c>
      <c r="C36" s="26" t="inlineStr">
        <is>
          <t>River Road house</t>
        </is>
      </c>
      <c r="D36" s="27" t="n">
        <v>1800</v>
      </c>
      <c r="E36" s="29" t="n">
        <v>46235</v>
      </c>
      <c r="F36" s="26" t="inlineStr">
        <is>
          <t>App</t>
        </is>
      </c>
      <c r="G36" s="26" t="inlineStr"/>
      <c r="H36" s="1">
        <f>IF(B36="","",IF(E36="",B36,E36))</f>
        <v/>
      </c>
    </row>
    <row r="37">
      <c r="A37" s="1" t="n"/>
      <c r="B37" s="29" t="n">
        <v>46266</v>
      </c>
      <c r="C37" s="26" t="inlineStr">
        <is>
          <t>Oak Street, apt 2</t>
        </is>
      </c>
      <c r="D37" s="27" t="n">
        <v>600</v>
      </c>
      <c r="E37" s="29" t="n"/>
      <c r="F37" s="26" t="inlineStr">
        <is>
          <t>Bank transfer</t>
        </is>
      </c>
      <c r="G37" s="26" t="inlineStr">
        <is>
          <t>Paid half, rest promised</t>
        </is>
      </c>
      <c r="H37" s="1">
        <f>IF(B37="","",IF(E37="",B37,E37))</f>
        <v/>
      </c>
    </row>
    <row r="38">
      <c r="A38" s="1" t="n"/>
      <c r="B38" s="29" t="n">
        <v>46267</v>
      </c>
      <c r="C38" s="26" t="inlineStr">
        <is>
          <t>Oak Street, apt 1</t>
        </is>
      </c>
      <c r="D38" s="27" t="n">
        <v>1150</v>
      </c>
      <c r="E38" s="29" t="n"/>
      <c r="F38" s="26" t="inlineStr">
        <is>
          <t>Bank transfer</t>
        </is>
      </c>
      <c r="G38" s="26" t="inlineStr"/>
      <c r="H38" s="1">
        <f>IF(B38="","",IF(E38="",B38,E38))</f>
        <v/>
      </c>
    </row>
    <row r="39">
      <c r="A39" s="1" t="n"/>
      <c r="B39" s="29" t="n">
        <v>46269</v>
      </c>
      <c r="C39" s="26" t="inlineStr">
        <is>
          <t>River Road house</t>
        </is>
      </c>
      <c r="D39" s="27" t="n">
        <v>1800</v>
      </c>
      <c r="E39" s="29" t="n">
        <v>46266</v>
      </c>
      <c r="F39" s="26" t="inlineStr">
        <is>
          <t>App</t>
        </is>
      </c>
      <c r="G39" s="26" t="inlineStr"/>
      <c r="H39" s="1">
        <f>IF(B39="","",IF(E39="",B39,E39))</f>
        <v/>
      </c>
    </row>
    <row r="40">
      <c r="A40" s="1" t="n"/>
      <c r="B40" s="29" t="n"/>
      <c r="C40" s="26" t="n"/>
      <c r="D40" s="27" t="n"/>
      <c r="E40" s="29" t="n"/>
      <c r="F40" s="26" t="n"/>
      <c r="G40" s="26" t="n"/>
      <c r="H40" s="1">
        <f>IF(B40="","",IF(E40="",B40,E40))</f>
        <v/>
      </c>
    </row>
    <row r="41">
      <c r="A41" s="1" t="n"/>
      <c r="B41" s="29" t="n"/>
      <c r="C41" s="26" t="n"/>
      <c r="D41" s="27" t="n"/>
      <c r="E41" s="29" t="n"/>
      <c r="F41" s="26" t="n"/>
      <c r="G41" s="26" t="n"/>
      <c r="H41" s="1">
        <f>IF(B41="","",IF(E41="",B41,E41))</f>
        <v/>
      </c>
    </row>
    <row r="42">
      <c r="A42" s="1" t="n"/>
      <c r="B42" s="29" t="n"/>
      <c r="C42" s="26" t="n"/>
      <c r="D42" s="27" t="n"/>
      <c r="E42" s="29" t="n"/>
      <c r="F42" s="26" t="n"/>
      <c r="G42" s="26" t="n"/>
      <c r="H42" s="1">
        <f>IF(B42="","",IF(E42="",B42,E42))</f>
        <v/>
      </c>
    </row>
    <row r="43">
      <c r="A43" s="1" t="n"/>
      <c r="B43" s="29" t="n"/>
      <c r="C43" s="26" t="n"/>
      <c r="D43" s="27" t="n"/>
      <c r="E43" s="29" t="n"/>
      <c r="F43" s="26" t="n"/>
      <c r="G43" s="26" t="n"/>
      <c r="H43" s="1">
        <f>IF(B43="","",IF(E43="",B43,E43))</f>
        <v/>
      </c>
    </row>
    <row r="44">
      <c r="A44" s="1" t="n"/>
      <c r="B44" s="29" t="n"/>
      <c r="C44" s="26" t="n"/>
      <c r="D44" s="27" t="n"/>
      <c r="E44" s="29" t="n"/>
      <c r="F44" s="26" t="n"/>
      <c r="G44" s="26" t="n"/>
      <c r="H44" s="1">
        <f>IF(B44="","",IF(E44="",B44,E44))</f>
        <v/>
      </c>
    </row>
    <row r="45">
      <c r="A45" s="1" t="n"/>
      <c r="B45" s="29" t="n"/>
      <c r="C45" s="26" t="n"/>
      <c r="D45" s="27" t="n"/>
      <c r="E45" s="29" t="n"/>
      <c r="F45" s="26" t="n"/>
      <c r="G45" s="26" t="n"/>
      <c r="H45" s="1">
        <f>IF(B45="","",IF(E45="",B45,E45))</f>
        <v/>
      </c>
    </row>
    <row r="46">
      <c r="A46" s="1" t="n"/>
      <c r="B46" s="29" t="n"/>
      <c r="C46" s="26" t="n"/>
      <c r="D46" s="27" t="n"/>
      <c r="E46" s="29" t="n"/>
      <c r="F46" s="26" t="n"/>
      <c r="G46" s="26" t="n"/>
      <c r="H46" s="1">
        <f>IF(B46="","",IF(E46="",B46,E46))</f>
        <v/>
      </c>
    </row>
    <row r="47">
      <c r="A47" s="1" t="n"/>
      <c r="B47" s="29" t="n"/>
      <c r="C47" s="26" t="n"/>
      <c r="D47" s="27" t="n"/>
      <c r="E47" s="29" t="n"/>
      <c r="F47" s="26" t="n"/>
      <c r="G47" s="26" t="n"/>
      <c r="H47" s="1">
        <f>IF(B47="","",IF(E47="",B47,E47))</f>
        <v/>
      </c>
    </row>
    <row r="48">
      <c r="A48" s="1" t="n"/>
      <c r="B48" s="29" t="n"/>
      <c r="C48" s="26" t="n"/>
      <c r="D48" s="27" t="n"/>
      <c r="E48" s="29" t="n"/>
      <c r="F48" s="26" t="n"/>
      <c r="G48" s="26" t="n"/>
      <c r="H48" s="1">
        <f>IF(B48="","",IF(E48="",B48,E48))</f>
        <v/>
      </c>
    </row>
    <row r="49">
      <c r="A49" s="1" t="n"/>
      <c r="B49" s="29" t="n"/>
      <c r="C49" s="26" t="n"/>
      <c r="D49" s="27" t="n"/>
      <c r="E49" s="29" t="n"/>
      <c r="F49" s="26" t="n"/>
      <c r="G49" s="26" t="n"/>
      <c r="H49" s="1">
        <f>IF(B49="","",IF(E49="",B49,E49))</f>
        <v/>
      </c>
    </row>
    <row r="50">
      <c r="A50" s="1" t="n"/>
      <c r="B50" s="29" t="n"/>
      <c r="C50" s="26" t="n"/>
      <c r="D50" s="27" t="n"/>
      <c r="E50" s="29" t="n"/>
      <c r="F50" s="26" t="n"/>
      <c r="G50" s="26" t="n"/>
      <c r="H50" s="1">
        <f>IF(B50="","",IF(E50="",B50,E50))</f>
        <v/>
      </c>
    </row>
    <row r="51">
      <c r="A51" s="1" t="n"/>
      <c r="B51" s="29" t="n"/>
      <c r="C51" s="26" t="n"/>
      <c r="D51" s="27" t="n"/>
      <c r="E51" s="29" t="n"/>
      <c r="F51" s="26" t="n"/>
      <c r="G51" s="26" t="n"/>
      <c r="H51" s="1">
        <f>IF(B51="","",IF(E51="",B51,E51))</f>
        <v/>
      </c>
    </row>
    <row r="52">
      <c r="A52" s="1" t="n"/>
      <c r="B52" s="29" t="n"/>
      <c r="C52" s="26" t="n"/>
      <c r="D52" s="27" t="n"/>
      <c r="E52" s="29" t="n"/>
      <c r="F52" s="26" t="n"/>
      <c r="G52" s="26" t="n"/>
      <c r="H52" s="1">
        <f>IF(B52="","",IF(E52="",B52,E52))</f>
        <v/>
      </c>
    </row>
    <row r="53">
      <c r="A53" s="1" t="n"/>
      <c r="B53" s="29" t="n"/>
      <c r="C53" s="26" t="n"/>
      <c r="D53" s="27" t="n"/>
      <c r="E53" s="29" t="n"/>
      <c r="F53" s="26" t="n"/>
      <c r="G53" s="26" t="n"/>
      <c r="H53" s="1">
        <f>IF(B53="","",IF(E53="",B53,E53))</f>
        <v/>
      </c>
    </row>
    <row r="54">
      <c r="A54" s="1" t="n"/>
      <c r="B54" s="29" t="n"/>
      <c r="C54" s="26" t="n"/>
      <c r="D54" s="27" t="n"/>
      <c r="E54" s="29" t="n"/>
      <c r="F54" s="26" t="n"/>
      <c r="G54" s="26" t="n"/>
      <c r="H54" s="1">
        <f>IF(B54="","",IF(E54="",B54,E54))</f>
        <v/>
      </c>
    </row>
    <row r="55">
      <c r="A55" s="1" t="n"/>
      <c r="B55" s="29" t="n"/>
      <c r="C55" s="26" t="n"/>
      <c r="D55" s="27" t="n"/>
      <c r="E55" s="29" t="n"/>
      <c r="F55" s="26" t="n"/>
      <c r="G55" s="26" t="n"/>
      <c r="H55" s="1">
        <f>IF(B55="","",IF(E55="",B55,E55))</f>
        <v/>
      </c>
    </row>
    <row r="56">
      <c r="A56" s="1" t="n"/>
      <c r="B56" s="29" t="n"/>
      <c r="C56" s="26" t="n"/>
      <c r="D56" s="27" t="n"/>
      <c r="E56" s="29" t="n"/>
      <c r="F56" s="26" t="n"/>
      <c r="G56" s="26" t="n"/>
      <c r="H56" s="1">
        <f>IF(B56="","",IF(E56="",B56,E56))</f>
        <v/>
      </c>
    </row>
    <row r="57">
      <c r="A57" s="1" t="n"/>
      <c r="B57" s="29" t="n"/>
      <c r="C57" s="26" t="n"/>
      <c r="D57" s="27" t="n"/>
      <c r="E57" s="29" t="n"/>
      <c r="F57" s="26" t="n"/>
      <c r="G57" s="26" t="n"/>
      <c r="H57" s="1">
        <f>IF(B57="","",IF(E57="",B57,E57))</f>
        <v/>
      </c>
    </row>
    <row r="58">
      <c r="A58" s="1" t="n"/>
      <c r="B58" s="29" t="n"/>
      <c r="C58" s="26" t="n"/>
      <c r="D58" s="27" t="n"/>
      <c r="E58" s="29" t="n"/>
      <c r="F58" s="26" t="n"/>
      <c r="G58" s="26" t="n"/>
      <c r="H58" s="1">
        <f>IF(B58="","",IF(E58="",B58,E58))</f>
        <v/>
      </c>
    </row>
    <row r="59">
      <c r="A59" s="1" t="n"/>
      <c r="B59" s="29" t="n"/>
      <c r="C59" s="26" t="n"/>
      <c r="D59" s="27" t="n"/>
      <c r="E59" s="29" t="n"/>
      <c r="F59" s="26" t="n"/>
      <c r="G59" s="26" t="n"/>
      <c r="H59" s="1">
        <f>IF(B59="","",IF(E59="",B59,E59))</f>
        <v/>
      </c>
    </row>
    <row r="60">
      <c r="A60" s="1" t="n"/>
      <c r="B60" s="29" t="n"/>
      <c r="C60" s="26" t="n"/>
      <c r="D60" s="27" t="n"/>
      <c r="E60" s="29" t="n"/>
      <c r="F60" s="26" t="n"/>
      <c r="G60" s="26" t="n"/>
      <c r="H60" s="1">
        <f>IF(B60="","",IF(E60="",B60,E60))</f>
        <v/>
      </c>
    </row>
    <row r="61">
      <c r="A61" s="1" t="n"/>
      <c r="B61" s="29" t="n"/>
      <c r="C61" s="26" t="n"/>
      <c r="D61" s="27" t="n"/>
      <c r="E61" s="29" t="n"/>
      <c r="F61" s="26" t="n"/>
      <c r="G61" s="26" t="n"/>
      <c r="H61" s="1">
        <f>IF(B61="","",IF(E61="",B61,E61))</f>
        <v/>
      </c>
    </row>
    <row r="62">
      <c r="A62" s="1" t="n"/>
      <c r="B62" s="29" t="n"/>
      <c r="C62" s="26" t="n"/>
      <c r="D62" s="27" t="n"/>
      <c r="E62" s="29" t="n"/>
      <c r="F62" s="26" t="n"/>
      <c r="G62" s="26" t="n"/>
      <c r="H62" s="1">
        <f>IF(B62="","",IF(E62="",B62,E62))</f>
        <v/>
      </c>
    </row>
    <row r="63">
      <c r="A63" s="1" t="n"/>
      <c r="B63" s="29" t="n"/>
      <c r="C63" s="26" t="n"/>
      <c r="D63" s="27" t="n"/>
      <c r="E63" s="29" t="n"/>
      <c r="F63" s="26" t="n"/>
      <c r="G63" s="26" t="n"/>
      <c r="H63" s="1">
        <f>IF(B63="","",IF(E63="",B63,E63))</f>
        <v/>
      </c>
    </row>
    <row r="64">
      <c r="A64" s="1" t="n"/>
      <c r="B64" s="29" t="n"/>
      <c r="C64" s="26" t="n"/>
      <c r="D64" s="27" t="n"/>
      <c r="E64" s="29" t="n"/>
      <c r="F64" s="26" t="n"/>
      <c r="G64" s="26" t="n"/>
      <c r="H64" s="1">
        <f>IF(B64="","",IF(E64="",B64,E64))</f>
        <v/>
      </c>
    </row>
    <row r="65">
      <c r="A65" s="1" t="n"/>
      <c r="B65" s="29" t="n"/>
      <c r="C65" s="26" t="n"/>
      <c r="D65" s="27" t="n"/>
      <c r="E65" s="29" t="n"/>
      <c r="F65" s="26" t="n"/>
      <c r="G65" s="26" t="n"/>
      <c r="H65" s="1">
        <f>IF(B65="","",IF(E65="",B65,E65))</f>
        <v/>
      </c>
    </row>
    <row r="66">
      <c r="A66" s="1" t="n"/>
      <c r="B66" s="29" t="n"/>
      <c r="C66" s="26" t="n"/>
      <c r="D66" s="27" t="n"/>
      <c r="E66" s="29" t="n"/>
      <c r="F66" s="26" t="n"/>
      <c r="G66" s="26" t="n"/>
      <c r="H66" s="1">
        <f>IF(B66="","",IF(E66="",B66,E66))</f>
        <v/>
      </c>
    </row>
    <row r="67">
      <c r="A67" s="1" t="n"/>
      <c r="B67" s="29" t="n"/>
      <c r="C67" s="26" t="n"/>
      <c r="D67" s="27" t="n"/>
      <c r="E67" s="29" t="n"/>
      <c r="F67" s="26" t="n"/>
      <c r="G67" s="26" t="n"/>
      <c r="H67" s="1">
        <f>IF(B67="","",IF(E67="",B67,E67))</f>
        <v/>
      </c>
    </row>
    <row r="68">
      <c r="A68" s="1" t="n"/>
      <c r="B68" s="29" t="n"/>
      <c r="C68" s="26" t="n"/>
      <c r="D68" s="27" t="n"/>
      <c r="E68" s="29" t="n"/>
      <c r="F68" s="26" t="n"/>
      <c r="G68" s="26" t="n"/>
      <c r="H68" s="1">
        <f>IF(B68="","",IF(E68="",B68,E68))</f>
        <v/>
      </c>
    </row>
    <row r="69">
      <c r="A69" s="1" t="n"/>
      <c r="B69" s="29" t="n"/>
      <c r="C69" s="26" t="n"/>
      <c r="D69" s="27" t="n"/>
      <c r="E69" s="29" t="n"/>
      <c r="F69" s="26" t="n"/>
      <c r="G69" s="26" t="n"/>
      <c r="H69" s="1">
        <f>IF(B69="","",IF(E69="",B69,E69))</f>
        <v/>
      </c>
    </row>
    <row r="70">
      <c r="A70" s="1" t="n"/>
      <c r="B70" s="29" t="n"/>
      <c r="C70" s="26" t="n"/>
      <c r="D70" s="27" t="n"/>
      <c r="E70" s="29" t="n"/>
      <c r="F70" s="26" t="n"/>
      <c r="G70" s="26" t="n"/>
      <c r="H70" s="1">
        <f>IF(B70="","",IF(E70="",B70,E70))</f>
        <v/>
      </c>
    </row>
    <row r="71">
      <c r="A71" s="1" t="n"/>
      <c r="B71" s="29" t="n"/>
      <c r="C71" s="26" t="n"/>
      <c r="D71" s="27" t="n"/>
      <c r="E71" s="29" t="n"/>
      <c r="F71" s="26" t="n"/>
      <c r="G71" s="26" t="n"/>
      <c r="H71" s="1">
        <f>IF(B71="","",IF(E71="",B71,E71))</f>
        <v/>
      </c>
    </row>
    <row r="72">
      <c r="A72" s="1" t="n"/>
      <c r="B72" s="29" t="n"/>
      <c r="C72" s="26" t="n"/>
      <c r="D72" s="27" t="n"/>
      <c r="E72" s="29" t="n"/>
      <c r="F72" s="26" t="n"/>
      <c r="G72" s="26" t="n"/>
      <c r="H72" s="1">
        <f>IF(B72="","",IF(E72="",B72,E72))</f>
        <v/>
      </c>
    </row>
    <row r="73">
      <c r="A73" s="1" t="n"/>
      <c r="B73" s="29" t="n"/>
      <c r="C73" s="26" t="n"/>
      <c r="D73" s="27" t="n"/>
      <c r="E73" s="29" t="n"/>
      <c r="F73" s="26" t="n"/>
      <c r="G73" s="26" t="n"/>
      <c r="H73" s="1">
        <f>IF(B73="","",IF(E73="",B73,E73))</f>
        <v/>
      </c>
    </row>
    <row r="74">
      <c r="A74" s="1" t="n"/>
      <c r="B74" s="29" t="n"/>
      <c r="C74" s="26" t="n"/>
      <c r="D74" s="27" t="n"/>
      <c r="E74" s="29" t="n"/>
      <c r="F74" s="26" t="n"/>
      <c r="G74" s="26" t="n"/>
      <c r="H74" s="1">
        <f>IF(B74="","",IF(E74="",B74,E74))</f>
        <v/>
      </c>
    </row>
    <row r="75">
      <c r="A75" s="1" t="n"/>
      <c r="B75" s="29" t="n"/>
      <c r="C75" s="26" t="n"/>
      <c r="D75" s="27" t="n"/>
      <c r="E75" s="29" t="n"/>
      <c r="F75" s="26" t="n"/>
      <c r="G75" s="26" t="n"/>
      <c r="H75" s="1">
        <f>IF(B75="","",IF(E75="",B75,E75))</f>
        <v/>
      </c>
    </row>
    <row r="76">
      <c r="A76" s="1" t="n"/>
      <c r="B76" s="29" t="n"/>
      <c r="C76" s="26" t="n"/>
      <c r="D76" s="27" t="n"/>
      <c r="E76" s="29" t="n"/>
      <c r="F76" s="26" t="n"/>
      <c r="G76" s="26" t="n"/>
      <c r="H76" s="1">
        <f>IF(B76="","",IF(E76="",B76,E76))</f>
        <v/>
      </c>
    </row>
    <row r="77">
      <c r="A77" s="1" t="n"/>
      <c r="B77" s="29" t="n"/>
      <c r="C77" s="26" t="n"/>
      <c r="D77" s="27" t="n"/>
      <c r="E77" s="29" t="n"/>
      <c r="F77" s="26" t="n"/>
      <c r="G77" s="26" t="n"/>
      <c r="H77" s="1">
        <f>IF(B77="","",IF(E77="",B77,E77))</f>
        <v/>
      </c>
    </row>
    <row r="78">
      <c r="A78" s="1" t="n"/>
      <c r="B78" s="29" t="n"/>
      <c r="C78" s="26" t="n"/>
      <c r="D78" s="27" t="n"/>
      <c r="E78" s="29" t="n"/>
      <c r="F78" s="26" t="n"/>
      <c r="G78" s="26" t="n"/>
      <c r="H78" s="1">
        <f>IF(B78="","",IF(E78="",B78,E78))</f>
        <v/>
      </c>
    </row>
    <row r="79">
      <c r="A79" s="1" t="n"/>
      <c r="B79" s="29" t="n"/>
      <c r="C79" s="26" t="n"/>
      <c r="D79" s="27" t="n"/>
      <c r="E79" s="29" t="n"/>
      <c r="F79" s="26" t="n"/>
      <c r="G79" s="26" t="n"/>
      <c r="H79" s="1">
        <f>IF(B79="","",IF(E79="",B79,E79))</f>
        <v/>
      </c>
    </row>
    <row r="80">
      <c r="A80" s="1" t="n"/>
      <c r="B80" s="29" t="n"/>
      <c r="C80" s="26" t="n"/>
      <c r="D80" s="27" t="n"/>
      <c r="E80" s="29" t="n"/>
      <c r="F80" s="26" t="n"/>
      <c r="G80" s="26" t="n"/>
      <c r="H80" s="1">
        <f>IF(B80="","",IF(E80="",B80,E80))</f>
        <v/>
      </c>
    </row>
    <row r="81">
      <c r="A81" s="1" t="n"/>
      <c r="B81" s="29" t="n"/>
      <c r="C81" s="26" t="n"/>
      <c r="D81" s="27" t="n"/>
      <c r="E81" s="29" t="n"/>
      <c r="F81" s="26" t="n"/>
      <c r="G81" s="26" t="n"/>
      <c r="H81" s="1">
        <f>IF(B81="","",IF(E81="",B81,E81))</f>
        <v/>
      </c>
    </row>
    <row r="82">
      <c r="A82" s="1" t="n"/>
      <c r="B82" s="29" t="n"/>
      <c r="C82" s="26" t="n"/>
      <c r="D82" s="27" t="n"/>
      <c r="E82" s="29" t="n"/>
      <c r="F82" s="26" t="n"/>
      <c r="G82" s="26" t="n"/>
      <c r="H82" s="1">
        <f>IF(B82="","",IF(E82="",B82,E82))</f>
        <v/>
      </c>
    </row>
    <row r="83">
      <c r="A83" s="1" t="n"/>
      <c r="B83" s="29" t="n"/>
      <c r="C83" s="26" t="n"/>
      <c r="D83" s="27" t="n"/>
      <c r="E83" s="29" t="n"/>
      <c r="F83" s="26" t="n"/>
      <c r="G83" s="26" t="n"/>
      <c r="H83" s="1">
        <f>IF(B83="","",IF(E83="",B83,E83))</f>
        <v/>
      </c>
    </row>
    <row r="84">
      <c r="A84" s="1" t="n"/>
      <c r="B84" s="29" t="n"/>
      <c r="C84" s="26" t="n"/>
      <c r="D84" s="27" t="n"/>
      <c r="E84" s="29" t="n"/>
      <c r="F84" s="26" t="n"/>
      <c r="G84" s="26" t="n"/>
      <c r="H84" s="1">
        <f>IF(B84="","",IF(E84="",B84,E84))</f>
        <v/>
      </c>
    </row>
    <row r="85">
      <c r="A85" s="1" t="n"/>
      <c r="B85" s="29" t="n"/>
      <c r="C85" s="26" t="n"/>
      <c r="D85" s="27" t="n"/>
      <c r="E85" s="29" t="n"/>
      <c r="F85" s="26" t="n"/>
      <c r="G85" s="26" t="n"/>
      <c r="H85" s="1">
        <f>IF(B85="","",IF(E85="",B85,E85))</f>
        <v/>
      </c>
    </row>
    <row r="86">
      <c r="A86" s="1" t="n"/>
      <c r="B86" s="29" t="n"/>
      <c r="C86" s="26" t="n"/>
      <c r="D86" s="27" t="n"/>
      <c r="E86" s="29" t="n"/>
      <c r="F86" s="26" t="n"/>
      <c r="G86" s="26" t="n"/>
      <c r="H86" s="1">
        <f>IF(B86="","",IF(E86="",B86,E86))</f>
        <v/>
      </c>
    </row>
    <row r="87">
      <c r="A87" s="1" t="n"/>
      <c r="B87" s="29" t="n"/>
      <c r="C87" s="26" t="n"/>
      <c r="D87" s="27" t="n"/>
      <c r="E87" s="29" t="n"/>
      <c r="F87" s="26" t="n"/>
      <c r="G87" s="26" t="n"/>
      <c r="H87" s="1">
        <f>IF(B87="","",IF(E87="",B87,E87))</f>
        <v/>
      </c>
    </row>
    <row r="88">
      <c r="A88" s="1" t="n"/>
      <c r="B88" s="29" t="n"/>
      <c r="C88" s="26" t="n"/>
      <c r="D88" s="27" t="n"/>
      <c r="E88" s="29" t="n"/>
      <c r="F88" s="26" t="n"/>
      <c r="G88" s="26" t="n"/>
      <c r="H88" s="1">
        <f>IF(B88="","",IF(E88="",B88,E88))</f>
        <v/>
      </c>
    </row>
    <row r="89">
      <c r="A89" s="1" t="n"/>
      <c r="B89" s="29" t="n"/>
      <c r="C89" s="26" t="n"/>
      <c r="D89" s="27" t="n"/>
      <c r="E89" s="29" t="n"/>
      <c r="F89" s="26" t="n"/>
      <c r="G89" s="26" t="n"/>
      <c r="H89" s="1">
        <f>IF(B89="","",IF(E89="",B89,E89))</f>
        <v/>
      </c>
    </row>
    <row r="90">
      <c r="A90" s="1" t="n"/>
      <c r="B90" s="29" t="n"/>
      <c r="C90" s="26" t="n"/>
      <c r="D90" s="27" t="n"/>
      <c r="E90" s="29" t="n"/>
      <c r="F90" s="26" t="n"/>
      <c r="G90" s="26" t="n"/>
      <c r="H90" s="1">
        <f>IF(B90="","",IF(E90="",B90,E90))</f>
        <v/>
      </c>
    </row>
    <row r="91">
      <c r="A91" s="1" t="n"/>
      <c r="B91" s="29" t="n"/>
      <c r="C91" s="26" t="n"/>
      <c r="D91" s="27" t="n"/>
      <c r="E91" s="29" t="n"/>
      <c r="F91" s="26" t="n"/>
      <c r="G91" s="26" t="n"/>
      <c r="H91" s="1">
        <f>IF(B91="","",IF(E91="",B91,E91))</f>
        <v/>
      </c>
    </row>
    <row r="92">
      <c r="A92" s="1" t="n"/>
      <c r="B92" s="29" t="n"/>
      <c r="C92" s="26" t="n"/>
      <c r="D92" s="27" t="n"/>
      <c r="E92" s="29" t="n"/>
      <c r="F92" s="26" t="n"/>
      <c r="G92" s="26" t="n"/>
      <c r="H92" s="1">
        <f>IF(B92="","",IF(E92="",B92,E92))</f>
        <v/>
      </c>
    </row>
    <row r="93">
      <c r="A93" s="1" t="n"/>
      <c r="B93" s="29" t="n"/>
      <c r="C93" s="26" t="n"/>
      <c r="D93" s="27" t="n"/>
      <c r="E93" s="29" t="n"/>
      <c r="F93" s="26" t="n"/>
      <c r="G93" s="26" t="n"/>
      <c r="H93" s="1">
        <f>IF(B93="","",IF(E93="",B93,E93))</f>
        <v/>
      </c>
    </row>
    <row r="94">
      <c r="A94" s="1" t="n"/>
      <c r="B94" s="29" t="n"/>
      <c r="C94" s="26" t="n"/>
      <c r="D94" s="27" t="n"/>
      <c r="E94" s="29" t="n"/>
      <c r="F94" s="26" t="n"/>
      <c r="G94" s="26" t="n"/>
      <c r="H94" s="1">
        <f>IF(B94="","",IF(E94="",B94,E94))</f>
        <v/>
      </c>
    </row>
    <row r="95">
      <c r="A95" s="1" t="n"/>
      <c r="B95" s="29" t="n"/>
      <c r="C95" s="26" t="n"/>
      <c r="D95" s="27" t="n"/>
      <c r="E95" s="29" t="n"/>
      <c r="F95" s="26" t="n"/>
      <c r="G95" s="26" t="n"/>
      <c r="H95" s="1">
        <f>IF(B95="","",IF(E95="",B95,E95))</f>
        <v/>
      </c>
    </row>
    <row r="96">
      <c r="A96" s="1" t="n"/>
      <c r="B96" s="29" t="n"/>
      <c r="C96" s="26" t="n"/>
      <c r="D96" s="27" t="n"/>
      <c r="E96" s="29" t="n"/>
      <c r="F96" s="26" t="n"/>
      <c r="G96" s="26" t="n"/>
      <c r="H96" s="1">
        <f>IF(B96="","",IF(E96="",B96,E96))</f>
        <v/>
      </c>
    </row>
    <row r="97">
      <c r="A97" s="1" t="n"/>
      <c r="B97" s="29" t="n"/>
      <c r="C97" s="26" t="n"/>
      <c r="D97" s="27" t="n"/>
      <c r="E97" s="29" t="n"/>
      <c r="F97" s="26" t="n"/>
      <c r="G97" s="26" t="n"/>
      <c r="H97" s="1">
        <f>IF(B97="","",IF(E97="",B97,E97))</f>
        <v/>
      </c>
    </row>
    <row r="98">
      <c r="A98" s="1" t="n"/>
      <c r="B98" s="29" t="n"/>
      <c r="C98" s="26" t="n"/>
      <c r="D98" s="27" t="n"/>
      <c r="E98" s="29" t="n"/>
      <c r="F98" s="26" t="n"/>
      <c r="G98" s="26" t="n"/>
      <c r="H98" s="1">
        <f>IF(B98="","",IF(E98="",B98,E98))</f>
        <v/>
      </c>
    </row>
    <row r="99">
      <c r="A99" s="1" t="n"/>
      <c r="B99" s="29" t="n"/>
      <c r="C99" s="26" t="n"/>
      <c r="D99" s="27" t="n"/>
      <c r="E99" s="29" t="n"/>
      <c r="F99" s="26" t="n"/>
      <c r="G99" s="26" t="n"/>
      <c r="H99" s="1">
        <f>IF(B99="","",IF(E99="",B99,E99))</f>
        <v/>
      </c>
    </row>
    <row r="100">
      <c r="A100" s="1" t="n"/>
      <c r="B100" s="29" t="n"/>
      <c r="C100" s="26" t="n"/>
      <c r="D100" s="27" t="n"/>
      <c r="E100" s="29" t="n"/>
      <c r="F100" s="26" t="n"/>
      <c r="G100" s="26" t="n"/>
      <c r="H100" s="1">
        <f>IF(B100="","",IF(E100="",B100,E100))</f>
        <v/>
      </c>
    </row>
    <row r="101">
      <c r="A101" s="1" t="n"/>
      <c r="B101" s="29" t="n"/>
      <c r="C101" s="26" t="n"/>
      <c r="D101" s="27" t="n"/>
      <c r="E101" s="29" t="n"/>
      <c r="F101" s="26" t="n"/>
      <c r="G101" s="26" t="n"/>
      <c r="H101" s="1">
        <f>IF(B101="","",IF(E101="",B101,E101))</f>
        <v/>
      </c>
    </row>
    <row r="102">
      <c r="A102" s="1" t="n"/>
      <c r="B102" s="29" t="n"/>
      <c r="C102" s="26" t="n"/>
      <c r="D102" s="27" t="n"/>
      <c r="E102" s="29" t="n"/>
      <c r="F102" s="26" t="n"/>
      <c r="G102" s="26" t="n"/>
      <c r="H102" s="1">
        <f>IF(B102="","",IF(E102="",B102,E102))</f>
        <v/>
      </c>
    </row>
    <row r="103">
      <c r="A103" s="1" t="n"/>
      <c r="B103" s="29" t="n"/>
      <c r="C103" s="26" t="n"/>
      <c r="D103" s="27" t="n"/>
      <c r="E103" s="29" t="n"/>
      <c r="F103" s="26" t="n"/>
      <c r="G103" s="26" t="n"/>
      <c r="H103" s="1">
        <f>IF(B103="","",IF(E103="",B103,E103))</f>
        <v/>
      </c>
    </row>
    <row r="104">
      <c r="A104" s="1" t="n"/>
      <c r="B104" s="29" t="n"/>
      <c r="C104" s="26" t="n"/>
      <c r="D104" s="27" t="n"/>
      <c r="E104" s="29" t="n"/>
      <c r="F104" s="26" t="n"/>
      <c r="G104" s="26" t="n"/>
      <c r="H104" s="1">
        <f>IF(B104="","",IF(E104="",B104,E104))</f>
        <v/>
      </c>
    </row>
    <row r="105">
      <c r="A105" s="1" t="n"/>
      <c r="B105" s="29" t="n"/>
      <c r="C105" s="26" t="n"/>
      <c r="D105" s="27" t="n"/>
      <c r="E105" s="29" t="n"/>
      <c r="F105" s="26" t="n"/>
      <c r="G105" s="26" t="n"/>
      <c r="H105" s="1">
        <f>IF(B105="","",IF(E105="",B105,E105))</f>
        <v/>
      </c>
    </row>
    <row r="106">
      <c r="A106" s="1" t="n"/>
      <c r="B106" s="29" t="n"/>
      <c r="C106" s="26" t="n"/>
      <c r="D106" s="27" t="n"/>
      <c r="E106" s="29" t="n"/>
      <c r="F106" s="26" t="n"/>
      <c r="G106" s="26" t="n"/>
      <c r="H106" s="1">
        <f>IF(B106="","",IF(E106="",B106,E106))</f>
        <v/>
      </c>
    </row>
    <row r="107">
      <c r="A107" s="1" t="n"/>
      <c r="B107" s="29" t="n"/>
      <c r="C107" s="26" t="n"/>
      <c r="D107" s="27" t="n"/>
      <c r="E107" s="29" t="n"/>
      <c r="F107" s="26" t="n"/>
      <c r="G107" s="26" t="n"/>
      <c r="H107" s="1">
        <f>IF(B107="","",IF(E107="",B107,E107))</f>
        <v/>
      </c>
    </row>
    <row r="108">
      <c r="A108" s="1" t="n"/>
      <c r="B108" s="29" t="n"/>
      <c r="C108" s="26" t="n"/>
      <c r="D108" s="27" t="n"/>
      <c r="E108" s="29" t="n"/>
      <c r="F108" s="26" t="n"/>
      <c r="G108" s="26" t="n"/>
      <c r="H108" s="1">
        <f>IF(B108="","",IF(E108="",B108,E108))</f>
        <v/>
      </c>
    </row>
    <row r="109">
      <c r="A109" s="1" t="n"/>
      <c r="B109" s="29" t="n"/>
      <c r="C109" s="26" t="n"/>
      <c r="D109" s="27" t="n"/>
      <c r="E109" s="29" t="n"/>
      <c r="F109" s="26" t="n"/>
      <c r="G109" s="26" t="n"/>
      <c r="H109" s="1">
        <f>IF(B109="","",IF(E109="",B109,E109))</f>
        <v/>
      </c>
    </row>
    <row r="110">
      <c r="A110" s="1" t="n"/>
      <c r="B110" s="29" t="n"/>
      <c r="C110" s="26" t="n"/>
      <c r="D110" s="27" t="n"/>
      <c r="E110" s="29" t="n"/>
      <c r="F110" s="26" t="n"/>
      <c r="G110" s="26" t="n"/>
      <c r="H110" s="1">
        <f>IF(B110="","",IF(E110="",B110,E110))</f>
        <v/>
      </c>
    </row>
    <row r="111">
      <c r="A111" s="1" t="n"/>
      <c r="B111" s="29" t="n"/>
      <c r="C111" s="26" t="n"/>
      <c r="D111" s="27" t="n"/>
      <c r="E111" s="29" t="n"/>
      <c r="F111" s="26" t="n"/>
      <c r="G111" s="26" t="n"/>
      <c r="H111" s="1">
        <f>IF(B111="","",IF(E111="",B111,E111))</f>
        <v/>
      </c>
    </row>
    <row r="112">
      <c r="A112" s="1" t="n"/>
      <c r="B112" s="29" t="n"/>
      <c r="C112" s="26" t="n"/>
      <c r="D112" s="27" t="n"/>
      <c r="E112" s="29" t="n"/>
      <c r="F112" s="26" t="n"/>
      <c r="G112" s="26" t="n"/>
      <c r="H112" s="1">
        <f>IF(B112="","",IF(E112="",B112,E112))</f>
        <v/>
      </c>
    </row>
    <row r="113">
      <c r="A113" s="1" t="n"/>
      <c r="B113" s="29" t="n"/>
      <c r="C113" s="26" t="n"/>
      <c r="D113" s="27" t="n"/>
      <c r="E113" s="29" t="n"/>
      <c r="F113" s="26" t="n"/>
      <c r="G113" s="26" t="n"/>
      <c r="H113" s="1">
        <f>IF(B113="","",IF(E113="",B113,E113))</f>
        <v/>
      </c>
    </row>
    <row r="114">
      <c r="A114" s="1" t="n"/>
      <c r="B114" s="29" t="n"/>
      <c r="C114" s="26" t="n"/>
      <c r="D114" s="27" t="n"/>
      <c r="E114" s="29" t="n"/>
      <c r="F114" s="26" t="n"/>
      <c r="G114" s="26" t="n"/>
      <c r="H114" s="1">
        <f>IF(B114="","",IF(E114="",B114,E114))</f>
        <v/>
      </c>
    </row>
    <row r="115">
      <c r="A115" s="1" t="n"/>
      <c r="B115" s="29" t="n"/>
      <c r="C115" s="26" t="n"/>
      <c r="D115" s="27" t="n"/>
      <c r="E115" s="29" t="n"/>
      <c r="F115" s="26" t="n"/>
      <c r="G115" s="26" t="n"/>
      <c r="H115" s="1">
        <f>IF(B115="","",IF(E115="",B115,E115))</f>
        <v/>
      </c>
    </row>
    <row r="116">
      <c r="A116" s="1" t="n"/>
      <c r="B116" s="29" t="n"/>
      <c r="C116" s="26" t="n"/>
      <c r="D116" s="27" t="n"/>
      <c r="E116" s="29" t="n"/>
      <c r="F116" s="26" t="n"/>
      <c r="G116" s="26" t="n"/>
      <c r="H116" s="1">
        <f>IF(B116="","",IF(E116="",B116,E116))</f>
        <v/>
      </c>
    </row>
    <row r="117">
      <c r="A117" s="1" t="n"/>
      <c r="B117" s="29" t="n"/>
      <c r="C117" s="26" t="n"/>
      <c r="D117" s="27" t="n"/>
      <c r="E117" s="29" t="n"/>
      <c r="F117" s="26" t="n"/>
      <c r="G117" s="26" t="n"/>
      <c r="H117" s="1">
        <f>IF(B117="","",IF(E117="",B117,E117))</f>
        <v/>
      </c>
    </row>
    <row r="118">
      <c r="A118" s="1" t="n"/>
      <c r="B118" s="29" t="n"/>
      <c r="C118" s="26" t="n"/>
      <c r="D118" s="27" t="n"/>
      <c r="E118" s="29" t="n"/>
      <c r="F118" s="26" t="n"/>
      <c r="G118" s="26" t="n"/>
      <c r="H118" s="1">
        <f>IF(B118="","",IF(E118="",B118,E118))</f>
        <v/>
      </c>
    </row>
    <row r="119">
      <c r="A119" s="1" t="n"/>
      <c r="B119" s="29" t="n"/>
      <c r="C119" s="26" t="n"/>
      <c r="D119" s="27" t="n"/>
      <c r="E119" s="29" t="n"/>
      <c r="F119" s="26" t="n"/>
      <c r="G119" s="26" t="n"/>
      <c r="H119" s="1">
        <f>IF(B119="","",IF(E119="",B119,E119))</f>
        <v/>
      </c>
    </row>
    <row r="120">
      <c r="A120" s="1" t="n"/>
      <c r="B120" s="29" t="n"/>
      <c r="C120" s="26" t="n"/>
      <c r="D120" s="27" t="n"/>
      <c r="E120" s="29" t="n"/>
      <c r="F120" s="26" t="n"/>
      <c r="G120" s="26" t="n"/>
      <c r="H120" s="1">
        <f>IF(B120="","",IF(E120="",B120,E120))</f>
        <v/>
      </c>
    </row>
    <row r="121">
      <c r="A121" s="1" t="n"/>
      <c r="B121" s="29" t="n"/>
      <c r="C121" s="26" t="n"/>
      <c r="D121" s="27" t="n"/>
      <c r="E121" s="29" t="n"/>
      <c r="F121" s="26" t="n"/>
      <c r="G121" s="26" t="n"/>
      <c r="H121" s="1">
        <f>IF(B121="","",IF(E121="",B121,E121))</f>
        <v/>
      </c>
    </row>
    <row r="122">
      <c r="A122" s="1" t="n"/>
      <c r="B122" s="29" t="n"/>
      <c r="C122" s="26" t="n"/>
      <c r="D122" s="27" t="n"/>
      <c r="E122" s="29" t="n"/>
      <c r="F122" s="26" t="n"/>
      <c r="G122" s="26" t="n"/>
      <c r="H122" s="1">
        <f>IF(B122="","",IF(E122="",B122,E122))</f>
        <v/>
      </c>
    </row>
    <row r="123">
      <c r="A123" s="1" t="n"/>
      <c r="B123" s="29" t="n"/>
      <c r="C123" s="26" t="n"/>
      <c r="D123" s="27" t="n"/>
      <c r="E123" s="29" t="n"/>
      <c r="F123" s="26" t="n"/>
      <c r="G123" s="26" t="n"/>
      <c r="H123" s="1">
        <f>IF(B123="","",IF(E123="",B123,E123))</f>
        <v/>
      </c>
    </row>
    <row r="124">
      <c r="A124" s="1" t="n"/>
      <c r="B124" s="29" t="n"/>
      <c r="C124" s="26" t="n"/>
      <c r="D124" s="27" t="n"/>
      <c r="E124" s="29" t="n"/>
      <c r="F124" s="26" t="n"/>
      <c r="G124" s="26" t="n"/>
      <c r="H124" s="1">
        <f>IF(B124="","",IF(E124="",B124,E124))</f>
        <v/>
      </c>
    </row>
    <row r="125">
      <c r="A125" s="1" t="n"/>
      <c r="B125" s="29" t="n"/>
      <c r="C125" s="26" t="n"/>
      <c r="D125" s="27" t="n"/>
      <c r="E125" s="29" t="n"/>
      <c r="F125" s="26" t="n"/>
      <c r="G125" s="26" t="n"/>
      <c r="H125" s="1">
        <f>IF(B125="","",IF(E125="",B125,E125))</f>
        <v/>
      </c>
    </row>
    <row r="126">
      <c r="A126" s="1" t="n"/>
      <c r="B126" s="29" t="n"/>
      <c r="C126" s="26" t="n"/>
      <c r="D126" s="27" t="n"/>
      <c r="E126" s="29" t="n"/>
      <c r="F126" s="26" t="n"/>
      <c r="G126" s="26" t="n"/>
      <c r="H126" s="1">
        <f>IF(B126="","",IF(E126="",B126,E126))</f>
        <v/>
      </c>
    </row>
    <row r="127">
      <c r="A127" s="1" t="n"/>
      <c r="B127" s="29" t="n"/>
      <c r="C127" s="26" t="n"/>
      <c r="D127" s="27" t="n"/>
      <c r="E127" s="29" t="n"/>
      <c r="F127" s="26" t="n"/>
      <c r="G127" s="26" t="n"/>
      <c r="H127" s="1">
        <f>IF(B127="","",IF(E127="",B127,E127))</f>
        <v/>
      </c>
    </row>
    <row r="128">
      <c r="A128" s="1" t="n"/>
      <c r="B128" s="29" t="n"/>
      <c r="C128" s="26" t="n"/>
      <c r="D128" s="27" t="n"/>
      <c r="E128" s="29" t="n"/>
      <c r="F128" s="26" t="n"/>
      <c r="G128" s="26" t="n"/>
      <c r="H128" s="1">
        <f>IF(B128="","",IF(E128="",B128,E128))</f>
        <v/>
      </c>
    </row>
    <row r="129">
      <c r="A129" s="1" t="n"/>
      <c r="B129" s="29" t="n"/>
      <c r="C129" s="26" t="n"/>
      <c r="D129" s="27" t="n"/>
      <c r="E129" s="29" t="n"/>
      <c r="F129" s="26" t="n"/>
      <c r="G129" s="26" t="n"/>
      <c r="H129" s="1">
        <f>IF(B129="","",IF(E129="",B129,E129))</f>
        <v/>
      </c>
    </row>
    <row r="130">
      <c r="A130" s="1" t="n"/>
      <c r="B130" s="29" t="n"/>
      <c r="C130" s="26" t="n"/>
      <c r="D130" s="27" t="n"/>
      <c r="E130" s="29" t="n"/>
      <c r="F130" s="26" t="n"/>
      <c r="G130" s="26" t="n"/>
      <c r="H130" s="1">
        <f>IF(B130="","",IF(E130="",B130,E130))</f>
        <v/>
      </c>
    </row>
    <row r="131">
      <c r="A131" s="1" t="n"/>
      <c r="B131" s="29" t="n"/>
      <c r="C131" s="26" t="n"/>
      <c r="D131" s="27" t="n"/>
      <c r="E131" s="29" t="n"/>
      <c r="F131" s="26" t="n"/>
      <c r="G131" s="26" t="n"/>
      <c r="H131" s="1">
        <f>IF(B131="","",IF(E131="",B131,E131))</f>
        <v/>
      </c>
    </row>
    <row r="132">
      <c r="A132" s="1" t="n"/>
      <c r="B132" s="29" t="n"/>
      <c r="C132" s="26" t="n"/>
      <c r="D132" s="27" t="n"/>
      <c r="E132" s="29" t="n"/>
      <c r="F132" s="26" t="n"/>
      <c r="G132" s="26" t="n"/>
      <c r="H132" s="1">
        <f>IF(B132="","",IF(E132="",B132,E132))</f>
        <v/>
      </c>
    </row>
    <row r="133">
      <c r="A133" s="1" t="n"/>
      <c r="B133" s="29" t="n"/>
      <c r="C133" s="26" t="n"/>
      <c r="D133" s="27" t="n"/>
      <c r="E133" s="29" t="n"/>
      <c r="F133" s="26" t="n"/>
      <c r="G133" s="26" t="n"/>
      <c r="H133" s="1">
        <f>IF(B133="","",IF(E133="",B133,E133))</f>
        <v/>
      </c>
    </row>
    <row r="134">
      <c r="A134" s="1" t="n"/>
      <c r="B134" s="29" t="n"/>
      <c r="C134" s="26" t="n"/>
      <c r="D134" s="27" t="n"/>
      <c r="E134" s="29" t="n"/>
      <c r="F134" s="26" t="n"/>
      <c r="G134" s="26" t="n"/>
      <c r="H134" s="1">
        <f>IF(B134="","",IF(E134="",B134,E134))</f>
        <v/>
      </c>
    </row>
    <row r="135">
      <c r="A135" s="1" t="n"/>
      <c r="B135" s="29" t="n"/>
      <c r="C135" s="26" t="n"/>
      <c r="D135" s="27" t="n"/>
      <c r="E135" s="29" t="n"/>
      <c r="F135" s="26" t="n"/>
      <c r="G135" s="26" t="n"/>
      <c r="H135" s="1">
        <f>IF(B135="","",IF(E135="",B135,E135))</f>
        <v/>
      </c>
    </row>
    <row r="136">
      <c r="A136" s="1" t="n"/>
      <c r="B136" s="29" t="n"/>
      <c r="C136" s="26" t="n"/>
      <c r="D136" s="27" t="n"/>
      <c r="E136" s="29" t="n"/>
      <c r="F136" s="26" t="n"/>
      <c r="G136" s="26" t="n"/>
      <c r="H136" s="1">
        <f>IF(B136="","",IF(E136="",B136,E136))</f>
        <v/>
      </c>
    </row>
    <row r="137">
      <c r="A137" s="1" t="n"/>
      <c r="B137" s="29" t="n"/>
      <c r="C137" s="26" t="n"/>
      <c r="D137" s="27" t="n"/>
      <c r="E137" s="29" t="n"/>
      <c r="F137" s="26" t="n"/>
      <c r="G137" s="26" t="n"/>
      <c r="H137" s="1">
        <f>IF(B137="","",IF(E137="",B137,E137))</f>
        <v/>
      </c>
    </row>
    <row r="138">
      <c r="A138" s="1" t="n"/>
      <c r="B138" s="29" t="n"/>
      <c r="C138" s="26" t="n"/>
      <c r="D138" s="27" t="n"/>
      <c r="E138" s="29" t="n"/>
      <c r="F138" s="26" t="n"/>
      <c r="G138" s="26" t="n"/>
      <c r="H138" s="1">
        <f>IF(B138="","",IF(E138="",B138,E138))</f>
        <v/>
      </c>
    </row>
    <row r="139">
      <c r="A139" s="1" t="n"/>
      <c r="B139" s="29" t="n"/>
      <c r="C139" s="26" t="n"/>
      <c r="D139" s="27" t="n"/>
      <c r="E139" s="29" t="n"/>
      <c r="F139" s="26" t="n"/>
      <c r="G139" s="26" t="n"/>
      <c r="H139" s="1">
        <f>IF(B139="","",IF(E139="",B139,E139))</f>
        <v/>
      </c>
    </row>
    <row r="140">
      <c r="A140" s="1" t="n"/>
      <c r="B140" s="29" t="n"/>
      <c r="C140" s="26" t="n"/>
      <c r="D140" s="27" t="n"/>
      <c r="E140" s="29" t="n"/>
      <c r="F140" s="26" t="n"/>
      <c r="G140" s="26" t="n"/>
      <c r="H140" s="1">
        <f>IF(B140="","",IF(E140="",B140,E140))</f>
        <v/>
      </c>
    </row>
    <row r="141">
      <c r="A141" s="1" t="n"/>
      <c r="B141" s="29" t="n"/>
      <c r="C141" s="26" t="n"/>
      <c r="D141" s="27" t="n"/>
      <c r="E141" s="29" t="n"/>
      <c r="F141" s="26" t="n"/>
      <c r="G141" s="26" t="n"/>
      <c r="H141" s="1">
        <f>IF(B141="","",IF(E141="",B141,E141))</f>
        <v/>
      </c>
    </row>
    <row r="142">
      <c r="A142" s="1" t="n"/>
      <c r="B142" s="29" t="n"/>
      <c r="C142" s="26" t="n"/>
      <c r="D142" s="27" t="n"/>
      <c r="E142" s="29" t="n"/>
      <c r="F142" s="26" t="n"/>
      <c r="G142" s="26" t="n"/>
      <c r="H142" s="1">
        <f>IF(B142="","",IF(E142="",B142,E142))</f>
        <v/>
      </c>
    </row>
    <row r="143">
      <c r="A143" s="1" t="n"/>
      <c r="B143" s="29" t="n"/>
      <c r="C143" s="26" t="n"/>
      <c r="D143" s="27" t="n"/>
      <c r="E143" s="29" t="n"/>
      <c r="F143" s="26" t="n"/>
      <c r="G143" s="26" t="n"/>
      <c r="H143" s="1">
        <f>IF(B143="","",IF(E143="",B143,E143))</f>
        <v/>
      </c>
    </row>
    <row r="144">
      <c r="A144" s="1" t="n"/>
      <c r="B144" s="29" t="n"/>
      <c r="C144" s="26" t="n"/>
      <c r="D144" s="27" t="n"/>
      <c r="E144" s="29" t="n"/>
      <c r="F144" s="26" t="n"/>
      <c r="G144" s="26" t="n"/>
      <c r="H144" s="1">
        <f>IF(B144="","",IF(E144="",B144,E144))</f>
        <v/>
      </c>
    </row>
    <row r="145">
      <c r="A145" s="1" t="n"/>
      <c r="B145" s="29" t="n"/>
      <c r="C145" s="26" t="n"/>
      <c r="D145" s="27" t="n"/>
      <c r="E145" s="29" t="n"/>
      <c r="F145" s="26" t="n"/>
      <c r="G145" s="26" t="n"/>
      <c r="H145" s="1">
        <f>IF(B145="","",IF(E145="",B145,E145))</f>
        <v/>
      </c>
    </row>
    <row r="146">
      <c r="A146" s="1" t="n"/>
      <c r="B146" s="29" t="n"/>
      <c r="C146" s="26" t="n"/>
      <c r="D146" s="27" t="n"/>
      <c r="E146" s="29" t="n"/>
      <c r="F146" s="26" t="n"/>
      <c r="G146" s="26" t="n"/>
      <c r="H146" s="1">
        <f>IF(B146="","",IF(E146="",B146,E146))</f>
        <v/>
      </c>
    </row>
    <row r="147">
      <c r="A147" s="1" t="n"/>
      <c r="B147" s="29" t="n"/>
      <c r="C147" s="26" t="n"/>
      <c r="D147" s="27" t="n"/>
      <c r="E147" s="29" t="n"/>
      <c r="F147" s="26" t="n"/>
      <c r="G147" s="26" t="n"/>
      <c r="H147" s="1">
        <f>IF(B147="","",IF(E147="",B147,E147))</f>
        <v/>
      </c>
    </row>
    <row r="148">
      <c r="A148" s="1" t="n"/>
      <c r="B148" s="29" t="n"/>
      <c r="C148" s="26" t="n"/>
      <c r="D148" s="27" t="n"/>
      <c r="E148" s="29" t="n"/>
      <c r="F148" s="26" t="n"/>
      <c r="G148" s="26" t="n"/>
      <c r="H148" s="1">
        <f>IF(B148="","",IF(E148="",B148,E148))</f>
        <v/>
      </c>
    </row>
    <row r="149">
      <c r="A149" s="1" t="n"/>
      <c r="B149" s="29" t="n"/>
      <c r="C149" s="26" t="n"/>
      <c r="D149" s="27" t="n"/>
      <c r="E149" s="29" t="n"/>
      <c r="F149" s="26" t="n"/>
      <c r="G149" s="26" t="n"/>
      <c r="H149" s="1">
        <f>IF(B149="","",IF(E149="",B149,E149))</f>
        <v/>
      </c>
    </row>
    <row r="150">
      <c r="A150" s="1" t="n"/>
      <c r="B150" s="29" t="n"/>
      <c r="C150" s="26" t="n"/>
      <c r="D150" s="27" t="n"/>
      <c r="E150" s="29" t="n"/>
      <c r="F150" s="26" t="n"/>
      <c r="G150" s="26" t="n"/>
      <c r="H150" s="1">
        <f>IF(B150="","",IF(E150="",B150,E150))</f>
        <v/>
      </c>
    </row>
    <row r="151">
      <c r="A151" s="1" t="n"/>
      <c r="B151" s="29" t="n"/>
      <c r="C151" s="26" t="n"/>
      <c r="D151" s="27" t="n"/>
      <c r="E151" s="29" t="n"/>
      <c r="F151" s="26" t="n"/>
      <c r="G151" s="26" t="n"/>
      <c r="H151" s="1">
        <f>IF(B151="","",IF(E151="",B151,E151))</f>
        <v/>
      </c>
    </row>
    <row r="152">
      <c r="A152" s="1" t="n"/>
      <c r="B152" s="29" t="n"/>
      <c r="C152" s="26" t="n"/>
      <c r="D152" s="27" t="n"/>
      <c r="E152" s="29" t="n"/>
      <c r="F152" s="26" t="n"/>
      <c r="G152" s="26" t="n"/>
      <c r="H152" s="1">
        <f>IF(B152="","",IF(E152="",B152,E152))</f>
        <v/>
      </c>
    </row>
    <row r="153">
      <c r="A153" s="1" t="n"/>
      <c r="B153" s="29" t="n"/>
      <c r="C153" s="26" t="n"/>
      <c r="D153" s="27" t="n"/>
      <c r="E153" s="29" t="n"/>
      <c r="F153" s="26" t="n"/>
      <c r="G153" s="26" t="n"/>
      <c r="H153" s="1">
        <f>IF(B153="","",IF(E153="",B153,E153))</f>
        <v/>
      </c>
    </row>
    <row r="154">
      <c r="A154" s="1" t="n"/>
      <c r="B154" s="29" t="n"/>
      <c r="C154" s="26" t="n"/>
      <c r="D154" s="27" t="n"/>
      <c r="E154" s="29" t="n"/>
      <c r="F154" s="26" t="n"/>
      <c r="G154" s="26" t="n"/>
      <c r="H154" s="1">
        <f>IF(B154="","",IF(E154="",B154,E154))</f>
        <v/>
      </c>
    </row>
    <row r="155">
      <c r="A155" s="1" t="n"/>
      <c r="B155" s="29" t="n"/>
      <c r="C155" s="26" t="n"/>
      <c r="D155" s="27" t="n"/>
      <c r="E155" s="29" t="n"/>
      <c r="F155" s="26" t="n"/>
      <c r="G155" s="26" t="n"/>
      <c r="H155" s="1">
        <f>IF(B155="","",IF(E155="",B155,E155))</f>
        <v/>
      </c>
    </row>
    <row r="156">
      <c r="A156" s="1" t="n"/>
      <c r="B156" s="29" t="n"/>
      <c r="C156" s="26" t="n"/>
      <c r="D156" s="27" t="n"/>
      <c r="E156" s="29" t="n"/>
      <c r="F156" s="26" t="n"/>
      <c r="G156" s="26" t="n"/>
      <c r="H156" s="1">
        <f>IF(B156="","",IF(E156="",B156,E156))</f>
        <v/>
      </c>
    </row>
    <row r="157">
      <c r="A157" s="1" t="n"/>
      <c r="B157" s="29" t="n"/>
      <c r="C157" s="26" t="n"/>
      <c r="D157" s="27" t="n"/>
      <c r="E157" s="29" t="n"/>
      <c r="F157" s="26" t="n"/>
      <c r="G157" s="26" t="n"/>
      <c r="H157" s="1">
        <f>IF(B157="","",IF(E157="",B157,E157))</f>
        <v/>
      </c>
    </row>
    <row r="158">
      <c r="A158" s="1" t="n"/>
      <c r="B158" s="29" t="n"/>
      <c r="C158" s="26" t="n"/>
      <c r="D158" s="27" t="n"/>
      <c r="E158" s="29" t="n"/>
      <c r="F158" s="26" t="n"/>
      <c r="G158" s="26" t="n"/>
      <c r="H158" s="1">
        <f>IF(B158="","",IF(E158="",B158,E158))</f>
        <v/>
      </c>
    </row>
    <row r="159">
      <c r="A159" s="1" t="n"/>
      <c r="B159" s="29" t="n"/>
      <c r="C159" s="26" t="n"/>
      <c r="D159" s="27" t="n"/>
      <c r="E159" s="29" t="n"/>
      <c r="F159" s="26" t="n"/>
      <c r="G159" s="26" t="n"/>
      <c r="H159" s="1">
        <f>IF(B159="","",IF(E159="",B159,E159))</f>
        <v/>
      </c>
    </row>
    <row r="160">
      <c r="A160" s="1" t="n"/>
      <c r="B160" s="29" t="n"/>
      <c r="C160" s="26" t="n"/>
      <c r="D160" s="27" t="n"/>
      <c r="E160" s="29" t="n"/>
      <c r="F160" s="26" t="n"/>
      <c r="G160" s="26" t="n"/>
      <c r="H160" s="1">
        <f>IF(B160="","",IF(E160="",B160,E160))</f>
        <v/>
      </c>
    </row>
    <row r="161">
      <c r="A161" s="1" t="n"/>
      <c r="B161" s="29" t="n"/>
      <c r="C161" s="26" t="n"/>
      <c r="D161" s="27" t="n"/>
      <c r="E161" s="29" t="n"/>
      <c r="F161" s="26" t="n"/>
      <c r="G161" s="26" t="n"/>
      <c r="H161" s="1">
        <f>IF(B161="","",IF(E161="",B161,E161))</f>
        <v/>
      </c>
    </row>
    <row r="162">
      <c r="A162" s="1" t="n"/>
      <c r="B162" s="29" t="n"/>
      <c r="C162" s="26" t="n"/>
      <c r="D162" s="27" t="n"/>
      <c r="E162" s="29" t="n"/>
      <c r="F162" s="26" t="n"/>
      <c r="G162" s="26" t="n"/>
      <c r="H162" s="1">
        <f>IF(B162="","",IF(E162="",B162,E162))</f>
        <v/>
      </c>
    </row>
    <row r="163">
      <c r="A163" s="1" t="n"/>
      <c r="B163" s="29" t="n"/>
      <c r="C163" s="26" t="n"/>
      <c r="D163" s="27" t="n"/>
      <c r="E163" s="29" t="n"/>
      <c r="F163" s="26" t="n"/>
      <c r="G163" s="26" t="n"/>
      <c r="H163" s="1">
        <f>IF(B163="","",IF(E163="",B163,E163))</f>
        <v/>
      </c>
    </row>
    <row r="164">
      <c r="A164" s="1" t="n"/>
      <c r="B164" s="29" t="n"/>
      <c r="C164" s="26" t="n"/>
      <c r="D164" s="27" t="n"/>
      <c r="E164" s="29" t="n"/>
      <c r="F164" s="26" t="n"/>
      <c r="G164" s="26" t="n"/>
      <c r="H164" s="1">
        <f>IF(B164="","",IF(E164="",B164,E164))</f>
        <v/>
      </c>
    </row>
    <row r="165">
      <c r="A165" s="1" t="n"/>
      <c r="B165" s="29" t="n"/>
      <c r="C165" s="26" t="n"/>
      <c r="D165" s="27" t="n"/>
      <c r="E165" s="29" t="n"/>
      <c r="F165" s="26" t="n"/>
      <c r="G165" s="26" t="n"/>
      <c r="H165" s="1">
        <f>IF(B165="","",IF(E165="",B165,E165))</f>
        <v/>
      </c>
    </row>
    <row r="166">
      <c r="A166" s="1" t="n"/>
      <c r="B166" s="29" t="n"/>
      <c r="C166" s="26" t="n"/>
      <c r="D166" s="27" t="n"/>
      <c r="E166" s="29" t="n"/>
      <c r="F166" s="26" t="n"/>
      <c r="G166" s="26" t="n"/>
      <c r="H166" s="1">
        <f>IF(B166="","",IF(E166="",B166,E166))</f>
        <v/>
      </c>
    </row>
    <row r="167">
      <c r="A167" s="1" t="n"/>
      <c r="B167" s="29" t="n"/>
      <c r="C167" s="26" t="n"/>
      <c r="D167" s="27" t="n"/>
      <c r="E167" s="29" t="n"/>
      <c r="F167" s="26" t="n"/>
      <c r="G167" s="26" t="n"/>
      <c r="H167" s="1">
        <f>IF(B167="","",IF(E167="",B167,E167))</f>
        <v/>
      </c>
    </row>
    <row r="168">
      <c r="A168" s="1" t="n"/>
      <c r="B168" s="29" t="n"/>
      <c r="C168" s="26" t="n"/>
      <c r="D168" s="27" t="n"/>
      <c r="E168" s="29" t="n"/>
      <c r="F168" s="26" t="n"/>
      <c r="G168" s="26" t="n"/>
      <c r="H168" s="1">
        <f>IF(B168="","",IF(E168="",B168,E168))</f>
        <v/>
      </c>
    </row>
    <row r="169">
      <c r="A169" s="1" t="n"/>
      <c r="B169" s="29" t="n"/>
      <c r="C169" s="26" t="n"/>
      <c r="D169" s="27" t="n"/>
      <c r="E169" s="29" t="n"/>
      <c r="F169" s="26" t="n"/>
      <c r="G169" s="26" t="n"/>
      <c r="H169" s="1">
        <f>IF(B169="","",IF(E169="",B169,E169))</f>
        <v/>
      </c>
    </row>
    <row r="170">
      <c r="A170" s="1" t="n"/>
      <c r="B170" s="29" t="n"/>
      <c r="C170" s="26" t="n"/>
      <c r="D170" s="27" t="n"/>
      <c r="E170" s="29" t="n"/>
      <c r="F170" s="26" t="n"/>
      <c r="G170" s="26" t="n"/>
      <c r="H170" s="1">
        <f>IF(B170="","",IF(E170="",B170,E170))</f>
        <v/>
      </c>
    </row>
    <row r="171">
      <c r="A171" s="1" t="n"/>
      <c r="B171" s="29" t="n"/>
      <c r="C171" s="26" t="n"/>
      <c r="D171" s="27" t="n"/>
      <c r="E171" s="29" t="n"/>
      <c r="F171" s="26" t="n"/>
      <c r="G171" s="26" t="n"/>
      <c r="H171" s="1">
        <f>IF(B171="","",IF(E171="",B171,E171))</f>
        <v/>
      </c>
    </row>
    <row r="172">
      <c r="A172" s="1" t="n"/>
      <c r="B172" s="29" t="n"/>
      <c r="C172" s="26" t="n"/>
      <c r="D172" s="27" t="n"/>
      <c r="E172" s="29" t="n"/>
      <c r="F172" s="26" t="n"/>
      <c r="G172" s="26" t="n"/>
      <c r="H172" s="1">
        <f>IF(B172="","",IF(E172="",B172,E172))</f>
        <v/>
      </c>
    </row>
    <row r="173">
      <c r="A173" s="1" t="n"/>
      <c r="B173" s="29" t="n"/>
      <c r="C173" s="26" t="n"/>
      <c r="D173" s="27" t="n"/>
      <c r="E173" s="29" t="n"/>
      <c r="F173" s="26" t="n"/>
      <c r="G173" s="26" t="n"/>
      <c r="H173" s="1">
        <f>IF(B173="","",IF(E173="",B173,E173))</f>
        <v/>
      </c>
    </row>
    <row r="174">
      <c r="A174" s="1" t="n"/>
      <c r="B174" s="29" t="n"/>
      <c r="C174" s="26" t="n"/>
      <c r="D174" s="27" t="n"/>
      <c r="E174" s="29" t="n"/>
      <c r="F174" s="26" t="n"/>
      <c r="G174" s="26" t="n"/>
      <c r="H174" s="1">
        <f>IF(B174="","",IF(E174="",B174,E174))</f>
        <v/>
      </c>
    </row>
    <row r="175">
      <c r="A175" s="1" t="n"/>
      <c r="B175" s="29" t="n"/>
      <c r="C175" s="26" t="n"/>
      <c r="D175" s="27" t="n"/>
      <c r="E175" s="29" t="n"/>
      <c r="F175" s="26" t="n"/>
      <c r="G175" s="26" t="n"/>
      <c r="H175" s="1">
        <f>IF(B175="","",IF(E175="",B175,E175))</f>
        <v/>
      </c>
    </row>
    <row r="176">
      <c r="A176" s="1" t="n"/>
      <c r="B176" s="29" t="n"/>
      <c r="C176" s="26" t="n"/>
      <c r="D176" s="27" t="n"/>
      <c r="E176" s="29" t="n"/>
      <c r="F176" s="26" t="n"/>
      <c r="G176" s="26" t="n"/>
      <c r="H176" s="1">
        <f>IF(B176="","",IF(E176="",B176,E176))</f>
        <v/>
      </c>
    </row>
    <row r="177">
      <c r="A177" s="1" t="n"/>
      <c r="B177" s="29" t="n"/>
      <c r="C177" s="26" t="n"/>
      <c r="D177" s="27" t="n"/>
      <c r="E177" s="29" t="n"/>
      <c r="F177" s="26" t="n"/>
      <c r="G177" s="26" t="n"/>
      <c r="H177" s="1">
        <f>IF(B177="","",IF(E177="",B177,E177))</f>
        <v/>
      </c>
    </row>
    <row r="178">
      <c r="A178" s="1" t="n"/>
      <c r="B178" s="29" t="n"/>
      <c r="C178" s="26" t="n"/>
      <c r="D178" s="27" t="n"/>
      <c r="E178" s="29" t="n"/>
      <c r="F178" s="26" t="n"/>
      <c r="G178" s="26" t="n"/>
      <c r="H178" s="1">
        <f>IF(B178="","",IF(E178="",B178,E178))</f>
        <v/>
      </c>
    </row>
    <row r="179">
      <c r="A179" s="1" t="n"/>
      <c r="B179" s="29" t="n"/>
      <c r="C179" s="26" t="n"/>
      <c r="D179" s="27" t="n"/>
      <c r="E179" s="29" t="n"/>
      <c r="F179" s="26" t="n"/>
      <c r="G179" s="26" t="n"/>
      <c r="H179" s="1">
        <f>IF(B179="","",IF(E179="",B179,E179))</f>
        <v/>
      </c>
    </row>
    <row r="180">
      <c r="A180" s="1" t="n"/>
      <c r="B180" s="29" t="n"/>
      <c r="C180" s="26" t="n"/>
      <c r="D180" s="27" t="n"/>
      <c r="E180" s="29" t="n"/>
      <c r="F180" s="26" t="n"/>
      <c r="G180" s="26" t="n"/>
      <c r="H180" s="1">
        <f>IF(B180="","",IF(E180="",B180,E180))</f>
        <v/>
      </c>
    </row>
    <row r="181">
      <c r="A181" s="1" t="n"/>
      <c r="B181" s="29" t="n"/>
      <c r="C181" s="26" t="n"/>
      <c r="D181" s="27" t="n"/>
      <c r="E181" s="29" t="n"/>
      <c r="F181" s="26" t="n"/>
      <c r="G181" s="26" t="n"/>
      <c r="H181" s="1">
        <f>IF(B181="","",IF(E181="",B181,E181))</f>
        <v/>
      </c>
    </row>
    <row r="182">
      <c r="A182" s="1" t="n"/>
      <c r="B182" s="29" t="n"/>
      <c r="C182" s="26" t="n"/>
      <c r="D182" s="27" t="n"/>
      <c r="E182" s="29" t="n"/>
      <c r="F182" s="26" t="n"/>
      <c r="G182" s="26" t="n"/>
      <c r="H182" s="1">
        <f>IF(B182="","",IF(E182="",B182,E182))</f>
        <v/>
      </c>
    </row>
    <row r="183">
      <c r="A183" s="1" t="n"/>
      <c r="B183" s="29" t="n"/>
      <c r="C183" s="26" t="n"/>
      <c r="D183" s="27" t="n"/>
      <c r="E183" s="29" t="n"/>
      <c r="F183" s="26" t="n"/>
      <c r="G183" s="26" t="n"/>
      <c r="H183" s="1">
        <f>IF(B183="","",IF(E183="",B183,E183))</f>
        <v/>
      </c>
    </row>
    <row r="184">
      <c r="A184" s="1" t="n"/>
      <c r="B184" s="29" t="n"/>
      <c r="C184" s="26" t="n"/>
      <c r="D184" s="27" t="n"/>
      <c r="E184" s="29" t="n"/>
      <c r="F184" s="26" t="n"/>
      <c r="G184" s="26" t="n"/>
      <c r="H184" s="1">
        <f>IF(B184="","",IF(E184="",B184,E184))</f>
        <v/>
      </c>
    </row>
    <row r="185">
      <c r="A185" s="1" t="n"/>
      <c r="B185" s="29" t="n"/>
      <c r="C185" s="26" t="n"/>
      <c r="D185" s="27" t="n"/>
      <c r="E185" s="29" t="n"/>
      <c r="F185" s="26" t="n"/>
      <c r="G185" s="26" t="n"/>
      <c r="H185" s="1">
        <f>IF(B185="","",IF(E185="",B185,E185))</f>
        <v/>
      </c>
    </row>
    <row r="186">
      <c r="A186" s="1" t="n"/>
      <c r="B186" s="29" t="n"/>
      <c r="C186" s="26" t="n"/>
      <c r="D186" s="27" t="n"/>
      <c r="E186" s="29" t="n"/>
      <c r="F186" s="26" t="n"/>
      <c r="G186" s="26" t="n"/>
      <c r="H186" s="1">
        <f>IF(B186="","",IF(E186="",B186,E186))</f>
        <v/>
      </c>
    </row>
    <row r="187">
      <c r="A187" s="1" t="n"/>
      <c r="B187" s="29" t="n"/>
      <c r="C187" s="26" t="n"/>
      <c r="D187" s="27" t="n"/>
      <c r="E187" s="29" t="n"/>
      <c r="F187" s="26" t="n"/>
      <c r="G187" s="26" t="n"/>
      <c r="H187" s="1">
        <f>IF(B187="","",IF(E187="",B187,E187))</f>
        <v/>
      </c>
    </row>
    <row r="188">
      <c r="A188" s="1" t="n"/>
      <c r="B188" s="29" t="n"/>
      <c r="C188" s="26" t="n"/>
      <c r="D188" s="27" t="n"/>
      <c r="E188" s="29" t="n"/>
      <c r="F188" s="26" t="n"/>
      <c r="G188" s="26" t="n"/>
      <c r="H188" s="1">
        <f>IF(B188="","",IF(E188="",B188,E188))</f>
        <v/>
      </c>
    </row>
    <row r="189">
      <c r="A189" s="1" t="n"/>
      <c r="B189" s="29" t="n"/>
      <c r="C189" s="26" t="n"/>
      <c r="D189" s="27" t="n"/>
      <c r="E189" s="29" t="n"/>
      <c r="F189" s="26" t="n"/>
      <c r="G189" s="26" t="n"/>
      <c r="H189" s="1">
        <f>IF(B189="","",IF(E189="",B189,E189))</f>
        <v/>
      </c>
    </row>
    <row r="190">
      <c r="A190" s="1" t="n"/>
      <c r="B190" s="29" t="n"/>
      <c r="C190" s="26" t="n"/>
      <c r="D190" s="27" t="n"/>
      <c r="E190" s="29" t="n"/>
      <c r="F190" s="26" t="n"/>
      <c r="G190" s="26" t="n"/>
      <c r="H190" s="1">
        <f>IF(B190="","",IF(E190="",B190,E190))</f>
        <v/>
      </c>
    </row>
    <row r="191">
      <c r="A191" s="1" t="n"/>
      <c r="B191" s="29" t="n"/>
      <c r="C191" s="26" t="n"/>
      <c r="D191" s="27" t="n"/>
      <c r="E191" s="29" t="n"/>
      <c r="F191" s="26" t="n"/>
      <c r="G191" s="26" t="n"/>
      <c r="H191" s="1">
        <f>IF(B191="","",IF(E191="",B191,E191))</f>
        <v/>
      </c>
    </row>
    <row r="192">
      <c r="A192" s="1" t="n"/>
      <c r="B192" s="29" t="n"/>
      <c r="C192" s="26" t="n"/>
      <c r="D192" s="27" t="n"/>
      <c r="E192" s="29" t="n"/>
      <c r="F192" s="26" t="n"/>
      <c r="G192" s="26" t="n"/>
      <c r="H192" s="1">
        <f>IF(B192="","",IF(E192="",B192,E192))</f>
        <v/>
      </c>
    </row>
    <row r="193">
      <c r="A193" s="1" t="n"/>
      <c r="B193" s="29" t="n"/>
      <c r="C193" s="26" t="n"/>
      <c r="D193" s="27" t="n"/>
      <c r="E193" s="29" t="n"/>
      <c r="F193" s="26" t="n"/>
      <c r="G193" s="26" t="n"/>
      <c r="H193" s="1">
        <f>IF(B193="","",IF(E193="",B193,E193))</f>
        <v/>
      </c>
    </row>
    <row r="194">
      <c r="A194" s="1" t="n"/>
      <c r="B194" s="29" t="n"/>
      <c r="C194" s="26" t="n"/>
      <c r="D194" s="27" t="n"/>
      <c r="E194" s="29" t="n"/>
      <c r="F194" s="26" t="n"/>
      <c r="G194" s="26" t="n"/>
      <c r="H194" s="1">
        <f>IF(B194="","",IF(E194="",B194,E194))</f>
        <v/>
      </c>
    </row>
    <row r="195">
      <c r="A195" s="1" t="n"/>
      <c r="B195" s="29" t="n"/>
      <c r="C195" s="26" t="n"/>
      <c r="D195" s="27" t="n"/>
      <c r="E195" s="29" t="n"/>
      <c r="F195" s="26" t="n"/>
      <c r="G195" s="26" t="n"/>
      <c r="H195" s="1">
        <f>IF(B195="","",IF(E195="",B195,E195))</f>
        <v/>
      </c>
    </row>
    <row r="196">
      <c r="A196" s="1" t="n"/>
      <c r="B196" s="29" t="n"/>
      <c r="C196" s="26" t="n"/>
      <c r="D196" s="27" t="n"/>
      <c r="E196" s="29" t="n"/>
      <c r="F196" s="26" t="n"/>
      <c r="G196" s="26" t="n"/>
      <c r="H196" s="1">
        <f>IF(B196="","",IF(E196="",B196,E196))</f>
        <v/>
      </c>
    </row>
    <row r="197">
      <c r="A197" s="1" t="n"/>
      <c r="B197" s="29" t="n"/>
      <c r="C197" s="26" t="n"/>
      <c r="D197" s="27" t="n"/>
      <c r="E197" s="29" t="n"/>
      <c r="F197" s="26" t="n"/>
      <c r="G197" s="26" t="n"/>
      <c r="H197" s="1">
        <f>IF(B197="","",IF(E197="",B197,E197))</f>
        <v/>
      </c>
    </row>
    <row r="198">
      <c r="A198" s="1" t="n"/>
      <c r="B198" s="29" t="n"/>
      <c r="C198" s="26" t="n"/>
      <c r="D198" s="27" t="n"/>
      <c r="E198" s="29" t="n"/>
      <c r="F198" s="26" t="n"/>
      <c r="G198" s="26" t="n"/>
      <c r="H198" s="1">
        <f>IF(B198="","",IF(E198="",B198,E198))</f>
        <v/>
      </c>
    </row>
    <row r="199">
      <c r="A199" s="1" t="n"/>
      <c r="B199" s="29" t="n"/>
      <c r="C199" s="26" t="n"/>
      <c r="D199" s="27" t="n"/>
      <c r="E199" s="29" t="n"/>
      <c r="F199" s="26" t="n"/>
      <c r="G199" s="26" t="n"/>
      <c r="H199" s="1">
        <f>IF(B199="","",IF(E199="",B199,E199))</f>
        <v/>
      </c>
    </row>
    <row r="200">
      <c r="A200" s="1" t="n"/>
      <c r="B200" s="29" t="n"/>
      <c r="C200" s="26" t="n"/>
      <c r="D200" s="27" t="n"/>
      <c r="E200" s="29" t="n"/>
      <c r="F200" s="26" t="n"/>
      <c r="G200" s="26" t="n"/>
      <c r="H200" s="1">
        <f>IF(B200="","",IF(E200="",B200,E200))</f>
        <v/>
      </c>
    </row>
    <row r="201">
      <c r="A201" s="1" t="n"/>
      <c r="B201" s="29" t="n"/>
      <c r="C201" s="26" t="n"/>
      <c r="D201" s="27" t="n"/>
      <c r="E201" s="29" t="n"/>
      <c r="F201" s="26" t="n"/>
      <c r="G201" s="26" t="n"/>
      <c r="H201" s="1">
        <f>IF(B201="","",IF(E201="",B201,E201))</f>
        <v/>
      </c>
    </row>
    <row r="202">
      <c r="A202" s="1" t="n"/>
      <c r="B202" s="29" t="n"/>
      <c r="C202" s="26" t="n"/>
      <c r="D202" s="27" t="n"/>
      <c r="E202" s="29" t="n"/>
      <c r="F202" s="26" t="n"/>
      <c r="G202" s="26" t="n"/>
      <c r="H202" s="1">
        <f>IF(B202="","",IF(E202="",B202,E202))</f>
        <v/>
      </c>
    </row>
    <row r="203">
      <c r="A203" s="1" t="n"/>
      <c r="B203" s="29" t="n"/>
      <c r="C203" s="26" t="n"/>
      <c r="D203" s="27" t="n"/>
      <c r="E203" s="29" t="n"/>
      <c r="F203" s="26" t="n"/>
      <c r="G203" s="26" t="n"/>
      <c r="H203" s="1">
        <f>IF(B203="","",IF(E203="",B203,E203))</f>
        <v/>
      </c>
    </row>
    <row r="204">
      <c r="A204" s="1" t="n"/>
      <c r="B204" s="29" t="n"/>
      <c r="C204" s="26" t="n"/>
      <c r="D204" s="27" t="n"/>
      <c r="E204" s="29" t="n"/>
      <c r="F204" s="26" t="n"/>
      <c r="G204" s="26" t="n"/>
      <c r="H204" s="1">
        <f>IF(B204="","",IF(E204="",B204,E204))</f>
        <v/>
      </c>
    </row>
    <row r="205">
      <c r="A205" s="1" t="n"/>
      <c r="B205" s="29" t="n"/>
      <c r="C205" s="26" t="n"/>
      <c r="D205" s="27" t="n"/>
      <c r="E205" s="29" t="n"/>
      <c r="F205" s="26" t="n"/>
      <c r="G205" s="26" t="n"/>
      <c r="H205" s="1">
        <f>IF(B205="","",IF(E205="",B205,E205))</f>
        <v/>
      </c>
    </row>
    <row r="206">
      <c r="A206" s="1" t="n"/>
      <c r="B206" s="29" t="n"/>
      <c r="C206" s="26" t="n"/>
      <c r="D206" s="27" t="n"/>
      <c r="E206" s="29" t="n"/>
      <c r="F206" s="26" t="n"/>
      <c r="G206" s="26" t="n"/>
      <c r="H206" s="1">
        <f>IF(B206="","",IF(E206="",B206,E206))</f>
        <v/>
      </c>
    </row>
    <row r="207">
      <c r="A207" s="1" t="n"/>
      <c r="B207" s="29" t="n"/>
      <c r="C207" s="26" t="n"/>
      <c r="D207" s="27" t="n"/>
      <c r="E207" s="29" t="n"/>
      <c r="F207" s="26" t="n"/>
      <c r="G207" s="26" t="n"/>
      <c r="H207" s="1">
        <f>IF(B207="","",IF(E207="",B207,E207))</f>
        <v/>
      </c>
    </row>
    <row r="208">
      <c r="A208" s="1" t="n"/>
      <c r="B208" s="29" t="n"/>
      <c r="C208" s="26" t="n"/>
      <c r="D208" s="27" t="n"/>
      <c r="E208" s="29" t="n"/>
      <c r="F208" s="26" t="n"/>
      <c r="G208" s="26" t="n"/>
      <c r="H208" s="1">
        <f>IF(B208="","",IF(E208="",B208,E208))</f>
        <v/>
      </c>
    </row>
    <row r="209">
      <c r="A209" s="1" t="n"/>
      <c r="B209" s="29" t="n"/>
      <c r="C209" s="26" t="n"/>
      <c r="D209" s="27" t="n"/>
      <c r="E209" s="29" t="n"/>
      <c r="F209" s="26" t="n"/>
      <c r="G209" s="26" t="n"/>
      <c r="H209" s="1">
        <f>IF(B209="","",IF(E209="",B209,E209))</f>
        <v/>
      </c>
    </row>
    <row r="210">
      <c r="A210" s="1" t="n"/>
      <c r="B210" s="29" t="n"/>
      <c r="C210" s="26" t="n"/>
      <c r="D210" s="27" t="n"/>
      <c r="E210" s="29" t="n"/>
      <c r="F210" s="26" t="n"/>
      <c r="G210" s="26" t="n"/>
      <c r="H210" s="1">
        <f>IF(B210="","",IF(E210="",B210,E210))</f>
        <v/>
      </c>
    </row>
    <row r="211">
      <c r="A211" s="1" t="n"/>
      <c r="B211" s="29" t="n"/>
      <c r="C211" s="26" t="n"/>
      <c r="D211" s="27" t="n"/>
      <c r="E211" s="29" t="n"/>
      <c r="F211" s="26" t="n"/>
      <c r="G211" s="26" t="n"/>
      <c r="H211" s="1">
        <f>IF(B211="","",IF(E211="",B211,E211))</f>
        <v/>
      </c>
    </row>
    <row r="212">
      <c r="A212" s="1" t="n"/>
      <c r="B212" s="29" t="n"/>
      <c r="C212" s="26" t="n"/>
      <c r="D212" s="27" t="n"/>
      <c r="E212" s="29" t="n"/>
      <c r="F212" s="26" t="n"/>
      <c r="G212" s="26" t="n"/>
      <c r="H212" s="1">
        <f>IF(B212="","",IF(E212="",B212,E212))</f>
        <v/>
      </c>
    </row>
    <row r="213">
      <c r="A213" s="1" t="n"/>
      <c r="B213" s="29" t="n"/>
      <c r="C213" s="26" t="n"/>
      <c r="D213" s="27" t="n"/>
      <c r="E213" s="29" t="n"/>
      <c r="F213" s="26" t="n"/>
      <c r="G213" s="26" t="n"/>
      <c r="H213" s="1">
        <f>IF(B213="","",IF(E213="",B213,E213))</f>
        <v/>
      </c>
    </row>
    <row r="214">
      <c r="A214" s="1" t="n"/>
      <c r="B214" s="29" t="n"/>
      <c r="C214" s="26" t="n"/>
      <c r="D214" s="27" t="n"/>
      <c r="E214" s="29" t="n"/>
      <c r="F214" s="26" t="n"/>
      <c r="G214" s="26" t="n"/>
      <c r="H214" s="1">
        <f>IF(B214="","",IF(E214="",B214,E214))</f>
        <v/>
      </c>
    </row>
    <row r="215">
      <c r="A215" s="1" t="n"/>
      <c r="B215" s="29" t="n"/>
      <c r="C215" s="26" t="n"/>
      <c r="D215" s="27" t="n"/>
      <c r="E215" s="29" t="n"/>
      <c r="F215" s="26" t="n"/>
      <c r="G215" s="26" t="n"/>
      <c r="H215" s="1">
        <f>IF(B215="","",IF(E215="",B215,E215))</f>
        <v/>
      </c>
    </row>
    <row r="216">
      <c r="A216" s="1" t="n"/>
      <c r="B216" s="29" t="n"/>
      <c r="C216" s="26" t="n"/>
      <c r="D216" s="27" t="n"/>
      <c r="E216" s="29" t="n"/>
      <c r="F216" s="26" t="n"/>
      <c r="G216" s="26" t="n"/>
      <c r="H216" s="1">
        <f>IF(B216="","",IF(E216="",B216,E216))</f>
        <v/>
      </c>
    </row>
    <row r="217">
      <c r="A217" s="1" t="n"/>
      <c r="B217" s="29" t="n"/>
      <c r="C217" s="26" t="n"/>
      <c r="D217" s="27" t="n"/>
      <c r="E217" s="29" t="n"/>
      <c r="F217" s="26" t="n"/>
      <c r="G217" s="26" t="n"/>
      <c r="H217" s="1">
        <f>IF(B217="","",IF(E217="",B217,E217))</f>
        <v/>
      </c>
    </row>
    <row r="218">
      <c r="A218" s="1" t="n"/>
      <c r="B218" s="29" t="n"/>
      <c r="C218" s="26" t="n"/>
      <c r="D218" s="27" t="n"/>
      <c r="E218" s="29" t="n"/>
      <c r="F218" s="26" t="n"/>
      <c r="G218" s="26" t="n"/>
      <c r="H218" s="1">
        <f>IF(B218="","",IF(E218="",B218,E218))</f>
        <v/>
      </c>
    </row>
    <row r="219">
      <c r="A219" s="1" t="n"/>
      <c r="B219" s="29" t="n"/>
      <c r="C219" s="26" t="n"/>
      <c r="D219" s="27" t="n"/>
      <c r="E219" s="29" t="n"/>
      <c r="F219" s="26" t="n"/>
      <c r="G219" s="26" t="n"/>
      <c r="H219" s="1">
        <f>IF(B219="","",IF(E219="",B219,E219))</f>
        <v/>
      </c>
    </row>
    <row r="220">
      <c r="A220" s="1" t="n"/>
      <c r="B220" s="29" t="n"/>
      <c r="C220" s="26" t="n"/>
      <c r="D220" s="27" t="n"/>
      <c r="E220" s="29" t="n"/>
      <c r="F220" s="26" t="n"/>
      <c r="G220" s="26" t="n"/>
      <c r="H220" s="1">
        <f>IF(B220="","",IF(E220="",B220,E220))</f>
        <v/>
      </c>
    </row>
    <row r="221">
      <c r="A221" s="1" t="n"/>
      <c r="B221" s="29" t="n"/>
      <c r="C221" s="26" t="n"/>
      <c r="D221" s="27" t="n"/>
      <c r="E221" s="29" t="n"/>
      <c r="F221" s="26" t="n"/>
      <c r="G221" s="26" t="n"/>
      <c r="H221" s="1">
        <f>IF(B221="","",IF(E221="",B221,E221))</f>
        <v/>
      </c>
    </row>
    <row r="222">
      <c r="A222" s="1" t="n"/>
      <c r="B222" s="29" t="n"/>
      <c r="C222" s="26" t="n"/>
      <c r="D222" s="27" t="n"/>
      <c r="E222" s="29" t="n"/>
      <c r="F222" s="26" t="n"/>
      <c r="G222" s="26" t="n"/>
      <c r="H222" s="1">
        <f>IF(B222="","",IF(E222="",B222,E222))</f>
        <v/>
      </c>
    </row>
    <row r="223">
      <c r="A223" s="1" t="n"/>
      <c r="B223" s="29" t="n"/>
      <c r="C223" s="26" t="n"/>
      <c r="D223" s="27" t="n"/>
      <c r="E223" s="29" t="n"/>
      <c r="F223" s="26" t="n"/>
      <c r="G223" s="26" t="n"/>
      <c r="H223" s="1">
        <f>IF(B223="","",IF(E223="",B223,E223))</f>
        <v/>
      </c>
    </row>
    <row r="224">
      <c r="A224" s="1" t="n"/>
      <c r="B224" s="29" t="n"/>
      <c r="C224" s="26" t="n"/>
      <c r="D224" s="27" t="n"/>
      <c r="E224" s="29" t="n"/>
      <c r="F224" s="26" t="n"/>
      <c r="G224" s="26" t="n"/>
      <c r="H224" s="1">
        <f>IF(B224="","",IF(E224="",B224,E224))</f>
        <v/>
      </c>
    </row>
    <row r="225">
      <c r="A225" s="1" t="n"/>
      <c r="B225" s="29" t="n"/>
      <c r="C225" s="26" t="n"/>
      <c r="D225" s="27" t="n"/>
      <c r="E225" s="29" t="n"/>
      <c r="F225" s="26" t="n"/>
      <c r="G225" s="26" t="n"/>
      <c r="H225" s="1">
        <f>IF(B225="","",IF(E225="",B225,E225))</f>
        <v/>
      </c>
    </row>
    <row r="226">
      <c r="A226" s="1" t="n"/>
      <c r="B226" s="29" t="n"/>
      <c r="C226" s="26" t="n"/>
      <c r="D226" s="27" t="n"/>
      <c r="E226" s="29" t="n"/>
      <c r="F226" s="26" t="n"/>
      <c r="G226" s="26" t="n"/>
      <c r="H226" s="1">
        <f>IF(B226="","",IF(E226="",B226,E226))</f>
        <v/>
      </c>
    </row>
    <row r="227">
      <c r="A227" s="1" t="n"/>
      <c r="B227" s="29" t="n"/>
      <c r="C227" s="26" t="n"/>
      <c r="D227" s="27" t="n"/>
      <c r="E227" s="29" t="n"/>
      <c r="F227" s="26" t="n"/>
      <c r="G227" s="26" t="n"/>
      <c r="H227" s="1">
        <f>IF(B227="","",IF(E227="",B227,E227))</f>
        <v/>
      </c>
    </row>
    <row r="228">
      <c r="A228" s="1" t="n"/>
      <c r="B228" s="29" t="n"/>
      <c r="C228" s="26" t="n"/>
      <c r="D228" s="27" t="n"/>
      <c r="E228" s="29" t="n"/>
      <c r="F228" s="26" t="n"/>
      <c r="G228" s="26" t="n"/>
      <c r="H228" s="1">
        <f>IF(B228="","",IF(E228="",B228,E228))</f>
        <v/>
      </c>
    </row>
    <row r="229">
      <c r="A229" s="1" t="n"/>
      <c r="B229" s="29" t="n"/>
      <c r="C229" s="26" t="n"/>
      <c r="D229" s="27" t="n"/>
      <c r="E229" s="29" t="n"/>
      <c r="F229" s="26" t="n"/>
      <c r="G229" s="26" t="n"/>
      <c r="H229" s="1">
        <f>IF(B229="","",IF(E229="",B229,E229))</f>
        <v/>
      </c>
    </row>
    <row r="230">
      <c r="A230" s="1" t="n"/>
      <c r="B230" s="29" t="n"/>
      <c r="C230" s="26" t="n"/>
      <c r="D230" s="27" t="n"/>
      <c r="E230" s="29" t="n"/>
      <c r="F230" s="26" t="n"/>
      <c r="G230" s="26" t="n"/>
      <c r="H230" s="1">
        <f>IF(B230="","",IF(E230="",B230,E230))</f>
        <v/>
      </c>
    </row>
    <row r="231">
      <c r="A231" s="1" t="n"/>
      <c r="B231" s="29" t="n"/>
      <c r="C231" s="26" t="n"/>
      <c r="D231" s="27" t="n"/>
      <c r="E231" s="29" t="n"/>
      <c r="F231" s="26" t="n"/>
      <c r="G231" s="26" t="n"/>
      <c r="H231" s="1">
        <f>IF(B231="","",IF(E231="",B231,E231))</f>
        <v/>
      </c>
    </row>
    <row r="232">
      <c r="A232" s="1" t="n"/>
      <c r="B232" s="29" t="n"/>
      <c r="C232" s="26" t="n"/>
      <c r="D232" s="27" t="n"/>
      <c r="E232" s="29" t="n"/>
      <c r="F232" s="26" t="n"/>
      <c r="G232" s="26" t="n"/>
      <c r="H232" s="1">
        <f>IF(B232="","",IF(E232="",B232,E232))</f>
        <v/>
      </c>
    </row>
    <row r="233">
      <c r="A233" s="1" t="n"/>
      <c r="B233" s="29" t="n"/>
      <c r="C233" s="26" t="n"/>
      <c r="D233" s="27" t="n"/>
      <c r="E233" s="29" t="n"/>
      <c r="F233" s="26" t="n"/>
      <c r="G233" s="26" t="n"/>
      <c r="H233" s="1">
        <f>IF(B233="","",IF(E233="",B233,E233))</f>
        <v/>
      </c>
    </row>
    <row r="234">
      <c r="A234" s="1" t="n"/>
      <c r="B234" s="29" t="n"/>
      <c r="C234" s="26" t="n"/>
      <c r="D234" s="27" t="n"/>
      <c r="E234" s="29" t="n"/>
      <c r="F234" s="26" t="n"/>
      <c r="G234" s="26" t="n"/>
      <c r="H234" s="1">
        <f>IF(B234="","",IF(E234="",B234,E234))</f>
        <v/>
      </c>
    </row>
    <row r="235">
      <c r="A235" s="1" t="n"/>
      <c r="B235" s="29" t="n"/>
      <c r="C235" s="26" t="n"/>
      <c r="D235" s="27" t="n"/>
      <c r="E235" s="29" t="n"/>
      <c r="F235" s="26" t="n"/>
      <c r="G235" s="26" t="n"/>
      <c r="H235" s="1">
        <f>IF(B235="","",IF(E235="",B235,E235))</f>
        <v/>
      </c>
    </row>
    <row r="236">
      <c r="A236" s="1" t="n"/>
      <c r="B236" s="29" t="n"/>
      <c r="C236" s="26" t="n"/>
      <c r="D236" s="27" t="n"/>
      <c r="E236" s="29" t="n"/>
      <c r="F236" s="26" t="n"/>
      <c r="G236" s="26" t="n"/>
      <c r="H236" s="1">
        <f>IF(B236="","",IF(E236="",B236,E236))</f>
        <v/>
      </c>
    </row>
    <row r="237">
      <c r="A237" s="1" t="n"/>
      <c r="B237" s="29" t="n"/>
      <c r="C237" s="26" t="n"/>
      <c r="D237" s="27" t="n"/>
      <c r="E237" s="29" t="n"/>
      <c r="F237" s="26" t="n"/>
      <c r="G237" s="26" t="n"/>
      <c r="H237" s="1">
        <f>IF(B237="","",IF(E237="",B237,E237))</f>
        <v/>
      </c>
    </row>
    <row r="238">
      <c r="A238" s="1" t="n"/>
      <c r="B238" s="29" t="n"/>
      <c r="C238" s="26" t="n"/>
      <c r="D238" s="27" t="n"/>
      <c r="E238" s="29" t="n"/>
      <c r="F238" s="26" t="n"/>
      <c r="G238" s="26" t="n"/>
      <c r="H238" s="1">
        <f>IF(B238="","",IF(E238="",B238,E238))</f>
        <v/>
      </c>
    </row>
    <row r="239">
      <c r="A239" s="1" t="n"/>
      <c r="B239" s="29" t="n"/>
      <c r="C239" s="26" t="n"/>
      <c r="D239" s="27" t="n"/>
      <c r="E239" s="29" t="n"/>
      <c r="F239" s="26" t="n"/>
      <c r="G239" s="26" t="n"/>
      <c r="H239" s="1">
        <f>IF(B239="","",IF(E239="",B239,E239))</f>
        <v/>
      </c>
    </row>
    <row r="240">
      <c r="A240" s="1" t="n"/>
      <c r="B240" s="29" t="n"/>
      <c r="C240" s="26" t="n"/>
      <c r="D240" s="27" t="n"/>
      <c r="E240" s="29" t="n"/>
      <c r="F240" s="26" t="n"/>
      <c r="G240" s="26" t="n"/>
      <c r="H240" s="1">
        <f>IF(B240="","",IF(E240="",B240,E240))</f>
        <v/>
      </c>
    </row>
    <row r="241">
      <c r="A241" s="1" t="n"/>
      <c r="B241" s="29" t="n"/>
      <c r="C241" s="26" t="n"/>
      <c r="D241" s="27" t="n"/>
      <c r="E241" s="29" t="n"/>
      <c r="F241" s="26" t="n"/>
      <c r="G241" s="26" t="n"/>
      <c r="H241" s="1">
        <f>IF(B241="","",IF(E241="",B241,E241))</f>
        <v/>
      </c>
    </row>
    <row r="242">
      <c r="A242" s="1" t="n"/>
      <c r="B242" s="29" t="n"/>
      <c r="C242" s="26" t="n"/>
      <c r="D242" s="27" t="n"/>
      <c r="E242" s="29" t="n"/>
      <c r="F242" s="26" t="n"/>
      <c r="G242" s="26" t="n"/>
      <c r="H242" s="1">
        <f>IF(B242="","",IF(E242="",B242,E242))</f>
        <v/>
      </c>
    </row>
    <row r="243">
      <c r="A243" s="1" t="n"/>
      <c r="B243" s="29" t="n"/>
      <c r="C243" s="26" t="n"/>
      <c r="D243" s="27" t="n"/>
      <c r="E243" s="29" t="n"/>
      <c r="F243" s="26" t="n"/>
      <c r="G243" s="26" t="n"/>
      <c r="H243" s="1">
        <f>IF(B243="","",IF(E243="",B243,E243))</f>
        <v/>
      </c>
    </row>
    <row r="244">
      <c r="A244" s="1" t="n"/>
      <c r="B244" s="29" t="n"/>
      <c r="C244" s="26" t="n"/>
      <c r="D244" s="27" t="n"/>
      <c r="E244" s="29" t="n"/>
      <c r="F244" s="26" t="n"/>
      <c r="G244" s="26" t="n"/>
      <c r="H244" s="1">
        <f>IF(B244="","",IF(E244="",B244,E244))</f>
        <v/>
      </c>
    </row>
    <row r="245">
      <c r="A245" s="1" t="n"/>
      <c r="B245" s="29" t="n"/>
      <c r="C245" s="26" t="n"/>
      <c r="D245" s="27" t="n"/>
      <c r="E245" s="29" t="n"/>
      <c r="F245" s="26" t="n"/>
      <c r="G245" s="26" t="n"/>
      <c r="H245" s="1">
        <f>IF(B245="","",IF(E245="",B245,E245))</f>
        <v/>
      </c>
    </row>
    <row r="246">
      <c r="A246" s="1" t="n"/>
      <c r="B246" s="29" t="n"/>
      <c r="C246" s="26" t="n"/>
      <c r="D246" s="27" t="n"/>
      <c r="E246" s="29" t="n"/>
      <c r="F246" s="26" t="n"/>
      <c r="G246" s="26" t="n"/>
      <c r="H246" s="1">
        <f>IF(B246="","",IF(E246="",B246,E246))</f>
        <v/>
      </c>
    </row>
    <row r="247">
      <c r="A247" s="1" t="n"/>
      <c r="B247" s="29" t="n"/>
      <c r="C247" s="26" t="n"/>
      <c r="D247" s="27" t="n"/>
      <c r="E247" s="29" t="n"/>
      <c r="F247" s="26" t="n"/>
      <c r="G247" s="26" t="n"/>
      <c r="H247" s="1">
        <f>IF(B247="","",IF(E247="",B247,E247))</f>
        <v/>
      </c>
    </row>
    <row r="248">
      <c r="A248" s="1" t="n"/>
      <c r="B248" s="29" t="n"/>
      <c r="C248" s="26" t="n"/>
      <c r="D248" s="27" t="n"/>
      <c r="E248" s="29" t="n"/>
      <c r="F248" s="26" t="n"/>
      <c r="G248" s="26" t="n"/>
      <c r="H248" s="1">
        <f>IF(B248="","",IF(E248="",B248,E248))</f>
        <v/>
      </c>
    </row>
    <row r="249">
      <c r="A249" s="1" t="n"/>
      <c r="B249" s="29" t="n"/>
      <c r="C249" s="26" t="n"/>
      <c r="D249" s="27" t="n"/>
      <c r="E249" s="29" t="n"/>
      <c r="F249" s="26" t="n"/>
      <c r="G249" s="26" t="n"/>
      <c r="H249" s="1">
        <f>IF(B249="","",IF(E249="",B249,E249))</f>
        <v/>
      </c>
    </row>
    <row r="250">
      <c r="A250" s="1" t="n"/>
      <c r="B250" s="29" t="n"/>
      <c r="C250" s="26" t="n"/>
      <c r="D250" s="27" t="n"/>
      <c r="E250" s="29" t="n"/>
      <c r="F250" s="26" t="n"/>
      <c r="G250" s="26" t="n"/>
      <c r="H250" s="1">
        <f>IF(B250="","",IF(E250="",B250,E250))</f>
        <v/>
      </c>
    </row>
    <row r="251">
      <c r="A251" s="1" t="n"/>
      <c r="B251" s="29" t="n"/>
      <c r="C251" s="26" t="n"/>
      <c r="D251" s="27" t="n"/>
      <c r="E251" s="29" t="n"/>
      <c r="F251" s="26" t="n"/>
      <c r="G251" s="26" t="n"/>
      <c r="H251" s="1">
        <f>IF(B251="","",IF(E251="",B251,E251))</f>
        <v/>
      </c>
    </row>
    <row r="252">
      <c r="A252" s="1" t="n"/>
      <c r="B252" s="29" t="n"/>
      <c r="C252" s="26" t="n"/>
      <c r="D252" s="27" t="n"/>
      <c r="E252" s="29" t="n"/>
      <c r="F252" s="26" t="n"/>
      <c r="G252" s="26" t="n"/>
      <c r="H252" s="1">
        <f>IF(B252="","",IF(E252="",B252,E252))</f>
        <v/>
      </c>
    </row>
    <row r="253">
      <c r="A253" s="1" t="n"/>
      <c r="B253" s="29" t="n"/>
      <c r="C253" s="26" t="n"/>
      <c r="D253" s="27" t="n"/>
      <c r="E253" s="29" t="n"/>
      <c r="F253" s="26" t="n"/>
      <c r="G253" s="26" t="n"/>
      <c r="H253" s="1">
        <f>IF(B253="","",IF(E253="",B253,E253))</f>
        <v/>
      </c>
    </row>
    <row r="254">
      <c r="A254" s="1" t="n"/>
      <c r="B254" s="29" t="n"/>
      <c r="C254" s="26" t="n"/>
      <c r="D254" s="27" t="n"/>
      <c r="E254" s="29" t="n"/>
      <c r="F254" s="26" t="n"/>
      <c r="G254" s="26" t="n"/>
      <c r="H254" s="1">
        <f>IF(B254="","",IF(E254="",B254,E254))</f>
        <v/>
      </c>
    </row>
    <row r="255">
      <c r="A255" s="1" t="n"/>
      <c r="B255" s="29" t="n"/>
      <c r="C255" s="26" t="n"/>
      <c r="D255" s="27" t="n"/>
      <c r="E255" s="29" t="n"/>
      <c r="F255" s="26" t="n"/>
      <c r="G255" s="26" t="n"/>
      <c r="H255" s="1">
        <f>IF(B255="","",IF(E255="",B255,E255))</f>
        <v/>
      </c>
    </row>
    <row r="256">
      <c r="A256" s="1" t="n"/>
      <c r="B256" s="29" t="n"/>
      <c r="C256" s="26" t="n"/>
      <c r="D256" s="27" t="n"/>
      <c r="E256" s="29" t="n"/>
      <c r="F256" s="26" t="n"/>
      <c r="G256" s="26" t="n"/>
      <c r="H256" s="1">
        <f>IF(B256="","",IF(E256="",B256,E256))</f>
        <v/>
      </c>
    </row>
    <row r="257">
      <c r="A257" s="1" t="n"/>
      <c r="B257" s="29" t="n"/>
      <c r="C257" s="26" t="n"/>
      <c r="D257" s="27" t="n"/>
      <c r="E257" s="29" t="n"/>
      <c r="F257" s="26" t="n"/>
      <c r="G257" s="26" t="n"/>
      <c r="H257" s="1">
        <f>IF(B257="","",IF(E257="",B257,E257))</f>
        <v/>
      </c>
    </row>
    <row r="258">
      <c r="A258" s="1" t="n"/>
      <c r="B258" s="29" t="n"/>
      <c r="C258" s="26" t="n"/>
      <c r="D258" s="27" t="n"/>
      <c r="E258" s="29" t="n"/>
      <c r="F258" s="26" t="n"/>
      <c r="G258" s="26" t="n"/>
      <c r="H258" s="1">
        <f>IF(B258="","",IF(E258="",B258,E258))</f>
        <v/>
      </c>
    </row>
    <row r="259">
      <c r="A259" s="1" t="n"/>
      <c r="B259" s="29" t="n"/>
      <c r="C259" s="26" t="n"/>
      <c r="D259" s="27" t="n"/>
      <c r="E259" s="29" t="n"/>
      <c r="F259" s="26" t="n"/>
      <c r="G259" s="26" t="n"/>
      <c r="H259" s="1">
        <f>IF(B259="","",IF(E259="",B259,E259))</f>
        <v/>
      </c>
    </row>
    <row r="260">
      <c r="A260" s="1" t="n"/>
      <c r="B260" s="29" t="n"/>
      <c r="C260" s="26" t="n"/>
      <c r="D260" s="27" t="n"/>
      <c r="E260" s="29" t="n"/>
      <c r="F260" s="26" t="n"/>
      <c r="G260" s="26" t="n"/>
      <c r="H260" s="1">
        <f>IF(B260="","",IF(E260="",B260,E260))</f>
        <v/>
      </c>
    </row>
    <row r="261">
      <c r="A261" s="1" t="n"/>
      <c r="B261" s="29" t="n"/>
      <c r="C261" s="26" t="n"/>
      <c r="D261" s="27" t="n"/>
      <c r="E261" s="29" t="n"/>
      <c r="F261" s="26" t="n"/>
      <c r="G261" s="26" t="n"/>
      <c r="H261" s="1">
        <f>IF(B261="","",IF(E261="",B261,E261))</f>
        <v/>
      </c>
    </row>
    <row r="262">
      <c r="A262" s="1" t="n"/>
      <c r="B262" s="29" t="n"/>
      <c r="C262" s="26" t="n"/>
      <c r="D262" s="27" t="n"/>
      <c r="E262" s="29" t="n"/>
      <c r="F262" s="26" t="n"/>
      <c r="G262" s="26" t="n"/>
      <c r="H262" s="1">
        <f>IF(B262="","",IF(E262="",B262,E262))</f>
        <v/>
      </c>
    </row>
    <row r="263">
      <c r="A263" s="1" t="n"/>
      <c r="B263" s="29" t="n"/>
      <c r="C263" s="26" t="n"/>
      <c r="D263" s="27" t="n"/>
      <c r="E263" s="29" t="n"/>
      <c r="F263" s="26" t="n"/>
      <c r="G263" s="26" t="n"/>
      <c r="H263" s="1">
        <f>IF(B263="","",IF(E263="",B263,E263))</f>
        <v/>
      </c>
    </row>
    <row r="264">
      <c r="A264" s="1" t="n"/>
      <c r="B264" s="29" t="n"/>
      <c r="C264" s="26" t="n"/>
      <c r="D264" s="27" t="n"/>
      <c r="E264" s="29" t="n"/>
      <c r="F264" s="26" t="n"/>
      <c r="G264" s="26" t="n"/>
      <c r="H264" s="1">
        <f>IF(B264="","",IF(E264="",B264,E264))</f>
        <v/>
      </c>
    </row>
    <row r="265">
      <c r="A265" s="1" t="n"/>
      <c r="B265" s="29" t="n"/>
      <c r="C265" s="26" t="n"/>
      <c r="D265" s="27" t="n"/>
      <c r="E265" s="29" t="n"/>
      <c r="F265" s="26" t="n"/>
      <c r="G265" s="26" t="n"/>
      <c r="H265" s="1">
        <f>IF(B265="","",IF(E265="",B265,E265))</f>
        <v/>
      </c>
    </row>
    <row r="266">
      <c r="A266" s="1" t="n"/>
      <c r="B266" s="29" t="n"/>
      <c r="C266" s="26" t="n"/>
      <c r="D266" s="27" t="n"/>
      <c r="E266" s="29" t="n"/>
      <c r="F266" s="26" t="n"/>
      <c r="G266" s="26" t="n"/>
      <c r="H266" s="1">
        <f>IF(B266="","",IF(E266="",B266,E266))</f>
        <v/>
      </c>
    </row>
    <row r="267">
      <c r="A267" s="1" t="n"/>
      <c r="B267" s="29" t="n"/>
      <c r="C267" s="26" t="n"/>
      <c r="D267" s="27" t="n"/>
      <c r="E267" s="29" t="n"/>
      <c r="F267" s="26" t="n"/>
      <c r="G267" s="26" t="n"/>
      <c r="H267" s="1">
        <f>IF(B267="","",IF(E267="",B267,E267))</f>
        <v/>
      </c>
    </row>
    <row r="268">
      <c r="A268" s="1" t="n"/>
      <c r="B268" s="29" t="n"/>
      <c r="C268" s="26" t="n"/>
      <c r="D268" s="27" t="n"/>
      <c r="E268" s="29" t="n"/>
      <c r="F268" s="26" t="n"/>
      <c r="G268" s="26" t="n"/>
      <c r="H268" s="1">
        <f>IF(B268="","",IF(E268="",B268,E268))</f>
        <v/>
      </c>
    </row>
    <row r="269">
      <c r="A269" s="1" t="n"/>
      <c r="B269" s="29" t="n"/>
      <c r="C269" s="26" t="n"/>
      <c r="D269" s="27" t="n"/>
      <c r="E269" s="29" t="n"/>
      <c r="F269" s="26" t="n"/>
      <c r="G269" s="26" t="n"/>
      <c r="H269" s="1">
        <f>IF(B269="","",IF(E269="",B269,E269))</f>
        <v/>
      </c>
    </row>
    <row r="270">
      <c r="A270" s="1" t="n"/>
      <c r="B270" s="29" t="n"/>
      <c r="C270" s="26" t="n"/>
      <c r="D270" s="27" t="n"/>
      <c r="E270" s="29" t="n"/>
      <c r="F270" s="26" t="n"/>
      <c r="G270" s="26" t="n"/>
      <c r="H270" s="1">
        <f>IF(B270="","",IF(E270="",B270,E270))</f>
        <v/>
      </c>
    </row>
    <row r="271">
      <c r="A271" s="1" t="n"/>
      <c r="B271" s="29" t="n"/>
      <c r="C271" s="26" t="n"/>
      <c r="D271" s="27" t="n"/>
      <c r="E271" s="29" t="n"/>
      <c r="F271" s="26" t="n"/>
      <c r="G271" s="26" t="n"/>
      <c r="H271" s="1">
        <f>IF(B271="","",IF(E271="",B271,E271))</f>
        <v/>
      </c>
    </row>
    <row r="272">
      <c r="A272" s="1" t="n"/>
      <c r="B272" s="29" t="n"/>
      <c r="C272" s="26" t="n"/>
      <c r="D272" s="27" t="n"/>
      <c r="E272" s="29" t="n"/>
      <c r="F272" s="26" t="n"/>
      <c r="G272" s="26" t="n"/>
      <c r="H272" s="1">
        <f>IF(B272="","",IF(E272="",B272,E272))</f>
        <v/>
      </c>
    </row>
    <row r="273">
      <c r="A273" s="1" t="n"/>
      <c r="B273" s="29" t="n"/>
      <c r="C273" s="26" t="n"/>
      <c r="D273" s="27" t="n"/>
      <c r="E273" s="29" t="n"/>
      <c r="F273" s="26" t="n"/>
      <c r="G273" s="26" t="n"/>
      <c r="H273" s="1">
        <f>IF(B273="","",IF(E273="",B273,E273))</f>
        <v/>
      </c>
    </row>
    <row r="274">
      <c r="A274" s="1" t="n"/>
      <c r="B274" s="29" t="n"/>
      <c r="C274" s="26" t="n"/>
      <c r="D274" s="27" t="n"/>
      <c r="E274" s="29" t="n"/>
      <c r="F274" s="26" t="n"/>
      <c r="G274" s="26" t="n"/>
      <c r="H274" s="1">
        <f>IF(B274="","",IF(E274="",B274,E274))</f>
        <v/>
      </c>
    </row>
    <row r="275">
      <c r="A275" s="1" t="n"/>
      <c r="B275" s="29" t="n"/>
      <c r="C275" s="26" t="n"/>
      <c r="D275" s="27" t="n"/>
      <c r="E275" s="29" t="n"/>
      <c r="F275" s="26" t="n"/>
      <c r="G275" s="26" t="n"/>
      <c r="H275" s="1">
        <f>IF(B275="","",IF(E275="",B275,E275))</f>
        <v/>
      </c>
    </row>
    <row r="276">
      <c r="A276" s="1" t="n"/>
      <c r="B276" s="29" t="n"/>
      <c r="C276" s="26" t="n"/>
      <c r="D276" s="27" t="n"/>
      <c r="E276" s="29" t="n"/>
      <c r="F276" s="26" t="n"/>
      <c r="G276" s="26" t="n"/>
      <c r="H276" s="1">
        <f>IF(B276="","",IF(E276="",B276,E276))</f>
        <v/>
      </c>
    </row>
    <row r="277">
      <c r="A277" s="1" t="n"/>
      <c r="B277" s="29" t="n"/>
      <c r="C277" s="26" t="n"/>
      <c r="D277" s="27" t="n"/>
      <c r="E277" s="29" t="n"/>
      <c r="F277" s="26" t="n"/>
      <c r="G277" s="26" t="n"/>
      <c r="H277" s="1">
        <f>IF(B277="","",IF(E277="",B277,E277))</f>
        <v/>
      </c>
    </row>
    <row r="278">
      <c r="A278" s="1" t="n"/>
      <c r="B278" s="29" t="n"/>
      <c r="C278" s="26" t="n"/>
      <c r="D278" s="27" t="n"/>
      <c r="E278" s="29" t="n"/>
      <c r="F278" s="26" t="n"/>
      <c r="G278" s="26" t="n"/>
      <c r="H278" s="1">
        <f>IF(B278="","",IF(E278="",B278,E278))</f>
        <v/>
      </c>
    </row>
    <row r="279">
      <c r="A279" s="1" t="n"/>
      <c r="B279" s="29" t="n"/>
      <c r="C279" s="26" t="n"/>
      <c r="D279" s="27" t="n"/>
      <c r="E279" s="29" t="n"/>
      <c r="F279" s="26" t="n"/>
      <c r="G279" s="26" t="n"/>
      <c r="H279" s="1">
        <f>IF(B279="","",IF(E279="",B279,E279))</f>
        <v/>
      </c>
    </row>
    <row r="280">
      <c r="A280" s="1" t="n"/>
      <c r="B280" s="29" t="n"/>
      <c r="C280" s="26" t="n"/>
      <c r="D280" s="27" t="n"/>
      <c r="E280" s="29" t="n"/>
      <c r="F280" s="26" t="n"/>
      <c r="G280" s="26" t="n"/>
      <c r="H280" s="1">
        <f>IF(B280="","",IF(E280="",B280,E280))</f>
        <v/>
      </c>
    </row>
    <row r="281">
      <c r="A281" s="1" t="n"/>
      <c r="B281" s="29" t="n"/>
      <c r="C281" s="26" t="n"/>
      <c r="D281" s="27" t="n"/>
      <c r="E281" s="29" t="n"/>
      <c r="F281" s="26" t="n"/>
      <c r="G281" s="26" t="n"/>
      <c r="H281" s="1">
        <f>IF(B281="","",IF(E281="",B281,E281))</f>
        <v/>
      </c>
    </row>
    <row r="282">
      <c r="A282" s="1" t="n"/>
      <c r="B282" s="29" t="n"/>
      <c r="C282" s="26" t="n"/>
      <c r="D282" s="27" t="n"/>
      <c r="E282" s="29" t="n"/>
      <c r="F282" s="26" t="n"/>
      <c r="G282" s="26" t="n"/>
      <c r="H282" s="1">
        <f>IF(B282="","",IF(E282="",B282,E282))</f>
        <v/>
      </c>
    </row>
    <row r="283">
      <c r="A283" s="1" t="n"/>
      <c r="B283" s="29" t="n"/>
      <c r="C283" s="26" t="n"/>
      <c r="D283" s="27" t="n"/>
      <c r="E283" s="29" t="n"/>
      <c r="F283" s="26" t="n"/>
      <c r="G283" s="26" t="n"/>
      <c r="H283" s="1">
        <f>IF(B283="","",IF(E283="",B283,E283))</f>
        <v/>
      </c>
    </row>
    <row r="284">
      <c r="A284" s="1" t="n"/>
      <c r="B284" s="29" t="n"/>
      <c r="C284" s="26" t="n"/>
      <c r="D284" s="27" t="n"/>
      <c r="E284" s="29" t="n"/>
      <c r="F284" s="26" t="n"/>
      <c r="G284" s="26" t="n"/>
      <c r="H284" s="1">
        <f>IF(B284="","",IF(E284="",B284,E284))</f>
        <v/>
      </c>
    </row>
    <row r="285">
      <c r="A285" s="1" t="n"/>
      <c r="B285" s="29" t="n"/>
      <c r="C285" s="26" t="n"/>
      <c r="D285" s="27" t="n"/>
      <c r="E285" s="29" t="n"/>
      <c r="F285" s="26" t="n"/>
      <c r="G285" s="26" t="n"/>
      <c r="H285" s="1">
        <f>IF(B285="","",IF(E285="",B285,E285))</f>
        <v/>
      </c>
    </row>
    <row r="286">
      <c r="A286" s="1" t="n"/>
      <c r="B286" s="29" t="n"/>
      <c r="C286" s="26" t="n"/>
      <c r="D286" s="27" t="n"/>
      <c r="E286" s="29" t="n"/>
      <c r="F286" s="26" t="n"/>
      <c r="G286" s="26" t="n"/>
      <c r="H286" s="1">
        <f>IF(B286="","",IF(E286="",B286,E286))</f>
        <v/>
      </c>
    </row>
    <row r="287">
      <c r="A287" s="1" t="n"/>
      <c r="B287" s="29" t="n"/>
      <c r="C287" s="26" t="n"/>
      <c r="D287" s="27" t="n"/>
      <c r="E287" s="29" t="n"/>
      <c r="F287" s="26" t="n"/>
      <c r="G287" s="26" t="n"/>
      <c r="H287" s="1">
        <f>IF(B287="","",IF(E287="",B287,E287))</f>
        <v/>
      </c>
    </row>
    <row r="288">
      <c r="A288" s="1" t="n"/>
      <c r="B288" s="29" t="n"/>
      <c r="C288" s="26" t="n"/>
      <c r="D288" s="27" t="n"/>
      <c r="E288" s="29" t="n"/>
      <c r="F288" s="26" t="n"/>
      <c r="G288" s="26" t="n"/>
      <c r="H288" s="1">
        <f>IF(B288="","",IF(E288="",B288,E288))</f>
        <v/>
      </c>
    </row>
    <row r="289">
      <c r="A289" s="1" t="n"/>
      <c r="B289" s="29" t="n"/>
      <c r="C289" s="26" t="n"/>
      <c r="D289" s="27" t="n"/>
      <c r="E289" s="29" t="n"/>
      <c r="F289" s="26" t="n"/>
      <c r="G289" s="26" t="n"/>
      <c r="H289" s="1">
        <f>IF(B289="","",IF(E289="",B289,E289))</f>
        <v/>
      </c>
    </row>
    <row r="290">
      <c r="A290" s="1" t="n"/>
      <c r="B290" s="29" t="n"/>
      <c r="C290" s="26" t="n"/>
      <c r="D290" s="27" t="n"/>
      <c r="E290" s="29" t="n"/>
      <c r="F290" s="26" t="n"/>
      <c r="G290" s="26" t="n"/>
      <c r="H290" s="1">
        <f>IF(B290="","",IF(E290="",B290,E290))</f>
        <v/>
      </c>
    </row>
    <row r="291">
      <c r="A291" s="1" t="n"/>
      <c r="B291" s="29" t="n"/>
      <c r="C291" s="26" t="n"/>
      <c r="D291" s="27" t="n"/>
      <c r="E291" s="29" t="n"/>
      <c r="F291" s="26" t="n"/>
      <c r="G291" s="26" t="n"/>
      <c r="H291" s="1">
        <f>IF(B291="","",IF(E291="",B291,E291))</f>
        <v/>
      </c>
    </row>
    <row r="292">
      <c r="A292" s="1" t="n"/>
      <c r="B292" s="29" t="n"/>
      <c r="C292" s="26" t="n"/>
      <c r="D292" s="27" t="n"/>
      <c r="E292" s="29" t="n"/>
      <c r="F292" s="26" t="n"/>
      <c r="G292" s="26" t="n"/>
      <c r="H292" s="1">
        <f>IF(B292="","",IF(E292="",B292,E292))</f>
        <v/>
      </c>
    </row>
    <row r="293">
      <c r="A293" s="1" t="n"/>
      <c r="B293" s="29" t="n"/>
      <c r="C293" s="26" t="n"/>
      <c r="D293" s="27" t="n"/>
      <c r="E293" s="29" t="n"/>
      <c r="F293" s="26" t="n"/>
      <c r="G293" s="26" t="n"/>
      <c r="H293" s="1">
        <f>IF(B293="","",IF(E293="",B293,E293))</f>
        <v/>
      </c>
    </row>
    <row r="294">
      <c r="A294" s="1" t="n"/>
      <c r="B294" s="29" t="n"/>
      <c r="C294" s="26" t="n"/>
      <c r="D294" s="27" t="n"/>
      <c r="E294" s="29" t="n"/>
      <c r="F294" s="26" t="n"/>
      <c r="G294" s="26" t="n"/>
      <c r="H294" s="1">
        <f>IF(B294="","",IF(E294="",B294,E294))</f>
        <v/>
      </c>
    </row>
    <row r="295">
      <c r="A295" s="1" t="n"/>
      <c r="B295" s="29" t="n"/>
      <c r="C295" s="26" t="n"/>
      <c r="D295" s="27" t="n"/>
      <c r="E295" s="29" t="n"/>
      <c r="F295" s="26" t="n"/>
      <c r="G295" s="26" t="n"/>
      <c r="H295" s="1">
        <f>IF(B295="","",IF(E295="",B295,E295))</f>
        <v/>
      </c>
    </row>
    <row r="296">
      <c r="A296" s="1" t="n"/>
      <c r="B296" s="29" t="n"/>
      <c r="C296" s="26" t="n"/>
      <c r="D296" s="27" t="n"/>
      <c r="E296" s="29" t="n"/>
      <c r="F296" s="26" t="n"/>
      <c r="G296" s="26" t="n"/>
      <c r="H296" s="1">
        <f>IF(B296="","",IF(E296="",B296,E296))</f>
        <v/>
      </c>
    </row>
    <row r="297">
      <c r="A297" s="1" t="n"/>
      <c r="B297" s="29" t="n"/>
      <c r="C297" s="26" t="n"/>
      <c r="D297" s="27" t="n"/>
      <c r="E297" s="29" t="n"/>
      <c r="F297" s="26" t="n"/>
      <c r="G297" s="26" t="n"/>
      <c r="H297" s="1">
        <f>IF(B297="","",IF(E297="",B297,E297))</f>
        <v/>
      </c>
    </row>
    <row r="298">
      <c r="A298" s="1" t="n"/>
      <c r="B298" s="29" t="n"/>
      <c r="C298" s="26" t="n"/>
      <c r="D298" s="27" t="n"/>
      <c r="E298" s="29" t="n"/>
      <c r="F298" s="26" t="n"/>
      <c r="G298" s="26" t="n"/>
      <c r="H298" s="1">
        <f>IF(B298="","",IF(E298="",B298,E298))</f>
        <v/>
      </c>
    </row>
    <row r="299">
      <c r="A299" s="1" t="n"/>
      <c r="B299" s="29" t="n"/>
      <c r="C299" s="26" t="n"/>
      <c r="D299" s="27" t="n"/>
      <c r="E299" s="29" t="n"/>
      <c r="F299" s="26" t="n"/>
      <c r="G299" s="26" t="n"/>
      <c r="H299" s="1">
        <f>IF(B299="","",IF(E299="",B299,E299))</f>
        <v/>
      </c>
    </row>
    <row r="300">
      <c r="A300" s="1" t="n"/>
      <c r="B300" s="29" t="n"/>
      <c r="C300" s="26" t="n"/>
      <c r="D300" s="27" t="n"/>
      <c r="E300" s="29" t="n"/>
      <c r="F300" s="26" t="n"/>
      <c r="G300" s="26" t="n"/>
      <c r="H300" s="1">
        <f>IF(B300="","",IF(E300="",B300,E300))</f>
        <v/>
      </c>
    </row>
    <row r="301">
      <c r="A301" s="1" t="n"/>
      <c r="B301" s="29" t="n"/>
      <c r="C301" s="26" t="n"/>
      <c r="D301" s="27" t="n"/>
      <c r="E301" s="29" t="n"/>
      <c r="F301" s="26" t="n"/>
      <c r="G301" s="26" t="n"/>
      <c r="H301" s="1">
        <f>IF(B301="","",IF(E301="",B301,E301))</f>
        <v/>
      </c>
    </row>
    <row r="302">
      <c r="A302" s="1" t="n"/>
      <c r="B302" s="29" t="n"/>
      <c r="C302" s="26" t="n"/>
      <c r="D302" s="27" t="n"/>
      <c r="E302" s="29" t="n"/>
      <c r="F302" s="26" t="n"/>
      <c r="G302" s="26" t="n"/>
      <c r="H302" s="1">
        <f>IF(B302="","",IF(E302="",B302,E302))</f>
        <v/>
      </c>
    </row>
    <row r="303">
      <c r="A303" s="1" t="n"/>
      <c r="B303" s="29" t="n"/>
      <c r="C303" s="26" t="n"/>
      <c r="D303" s="27" t="n"/>
      <c r="E303" s="29" t="n"/>
      <c r="F303" s="26" t="n"/>
      <c r="G303" s="26" t="n"/>
      <c r="H303" s="1">
        <f>IF(B303="","",IF(E303="",B303,E303))</f>
        <v/>
      </c>
    </row>
    <row r="304">
      <c r="A304" s="1" t="n"/>
      <c r="B304" s="29" t="n"/>
      <c r="C304" s="26" t="n"/>
      <c r="D304" s="27" t="n"/>
      <c r="E304" s="29" t="n"/>
      <c r="F304" s="26" t="n"/>
      <c r="G304" s="26" t="n"/>
      <c r="H304" s="1">
        <f>IF(B304="","",IF(E304="",B304,E304))</f>
        <v/>
      </c>
    </row>
    <row r="305">
      <c r="A305" s="1" t="n"/>
      <c r="B305" s="29" t="n"/>
      <c r="C305" s="26" t="n"/>
      <c r="D305" s="27" t="n"/>
      <c r="E305" s="29" t="n"/>
      <c r="F305" s="26" t="n"/>
      <c r="G305" s="26" t="n"/>
      <c r="H305" s="1">
        <f>IF(B305="","",IF(E305="",B305,E305))</f>
        <v/>
      </c>
    </row>
    <row r="306">
      <c r="A306" s="1" t="n"/>
      <c r="B306" s="29" t="n"/>
      <c r="C306" s="26" t="n"/>
      <c r="D306" s="27" t="n"/>
      <c r="E306" s="29" t="n"/>
      <c r="F306" s="26" t="n"/>
      <c r="G306" s="26" t="n"/>
      <c r="H306" s="1">
        <f>IF(B306="","",IF(E306="",B306,E306))</f>
        <v/>
      </c>
    </row>
    <row r="307">
      <c r="A307" s="1" t="n"/>
      <c r="B307" s="29" t="n"/>
      <c r="C307" s="26" t="n"/>
      <c r="D307" s="27" t="n"/>
      <c r="E307" s="29" t="n"/>
      <c r="F307" s="26" t="n"/>
      <c r="G307" s="26" t="n"/>
      <c r="H307" s="1">
        <f>IF(B307="","",IF(E307="",B307,E307))</f>
        <v/>
      </c>
    </row>
    <row r="308">
      <c r="A308" s="1" t="n"/>
      <c r="B308" s="29" t="n"/>
      <c r="C308" s="26" t="n"/>
      <c r="D308" s="27" t="n"/>
      <c r="E308" s="29" t="n"/>
      <c r="F308" s="26" t="n"/>
      <c r="G308" s="26" t="n"/>
      <c r="H308" s="1">
        <f>IF(B308="","",IF(E308="",B308,E308))</f>
        <v/>
      </c>
    </row>
    <row r="309">
      <c r="A309" s="1" t="n"/>
      <c r="B309" s="29" t="n"/>
      <c r="C309" s="26" t="n"/>
      <c r="D309" s="27" t="n"/>
      <c r="E309" s="29" t="n"/>
      <c r="F309" s="26" t="n"/>
      <c r="G309" s="26" t="n"/>
      <c r="H309" s="1">
        <f>IF(B309="","",IF(E309="",B309,E309))</f>
        <v/>
      </c>
    </row>
    <row r="310">
      <c r="A310" s="1" t="n"/>
      <c r="B310" s="29" t="n"/>
      <c r="C310" s="26" t="n"/>
      <c r="D310" s="27" t="n"/>
      <c r="E310" s="29" t="n"/>
      <c r="F310" s="26" t="n"/>
      <c r="G310" s="26" t="n"/>
      <c r="H310" s="1">
        <f>IF(B310="","",IF(E310="",B310,E310))</f>
        <v/>
      </c>
    </row>
    <row r="311">
      <c r="A311" s="1" t="n"/>
      <c r="B311" s="29" t="n"/>
      <c r="C311" s="26" t="n"/>
      <c r="D311" s="27" t="n"/>
      <c r="E311" s="29" t="n"/>
      <c r="F311" s="26" t="n"/>
      <c r="G311" s="26" t="n"/>
      <c r="H311" s="1">
        <f>IF(B311="","",IF(E311="",B311,E311))</f>
        <v/>
      </c>
    </row>
    <row r="312">
      <c r="A312" s="1" t="n"/>
      <c r="B312" s="29" t="n"/>
      <c r="C312" s="26" t="n"/>
      <c r="D312" s="27" t="n"/>
      <c r="E312" s="29" t="n"/>
      <c r="F312" s="26" t="n"/>
      <c r="G312" s="26" t="n"/>
      <c r="H312" s="1">
        <f>IF(B312="","",IF(E312="",B312,E312))</f>
        <v/>
      </c>
    </row>
    <row r="313">
      <c r="A313" s="1" t="n"/>
      <c r="B313" s="29" t="n"/>
      <c r="C313" s="26" t="n"/>
      <c r="D313" s="27" t="n"/>
      <c r="E313" s="29" t="n"/>
      <c r="F313" s="26" t="n"/>
      <c r="G313" s="26" t="n"/>
      <c r="H313" s="1">
        <f>IF(B313="","",IF(E313="",B313,E313))</f>
        <v/>
      </c>
    </row>
    <row r="314">
      <c r="A314" s="1" t="n"/>
      <c r="B314" s="29" t="n"/>
      <c r="C314" s="26" t="n"/>
      <c r="D314" s="27" t="n"/>
      <c r="E314" s="29" t="n"/>
      <c r="F314" s="26" t="n"/>
      <c r="G314" s="26" t="n"/>
      <c r="H314" s="1">
        <f>IF(B314="","",IF(E314="",B314,E314))</f>
        <v/>
      </c>
    </row>
    <row r="315">
      <c r="A315" s="1" t="n"/>
      <c r="B315" s="29" t="n"/>
      <c r="C315" s="26" t="n"/>
      <c r="D315" s="27" t="n"/>
      <c r="E315" s="29" t="n"/>
      <c r="F315" s="26" t="n"/>
      <c r="G315" s="26" t="n"/>
      <c r="H315" s="1">
        <f>IF(B315="","",IF(E315="",B315,E315))</f>
        <v/>
      </c>
    </row>
    <row r="316">
      <c r="A316" s="1" t="n"/>
      <c r="B316" s="29" t="n"/>
      <c r="C316" s="26" t="n"/>
      <c r="D316" s="27" t="n"/>
      <c r="E316" s="29" t="n"/>
      <c r="F316" s="26" t="n"/>
      <c r="G316" s="26" t="n"/>
      <c r="H316" s="1">
        <f>IF(B316="","",IF(E316="",B316,E316))</f>
        <v/>
      </c>
    </row>
    <row r="317">
      <c r="A317" s="1" t="n"/>
      <c r="B317" s="29" t="n"/>
      <c r="C317" s="26" t="n"/>
      <c r="D317" s="27" t="n"/>
      <c r="E317" s="29" t="n"/>
      <c r="F317" s="26" t="n"/>
      <c r="G317" s="26" t="n"/>
      <c r="H317" s="1">
        <f>IF(B317="","",IF(E317="",B317,E317))</f>
        <v/>
      </c>
    </row>
    <row r="318">
      <c r="A318" s="1" t="n"/>
      <c r="B318" s="29" t="n"/>
      <c r="C318" s="26" t="n"/>
      <c r="D318" s="27" t="n"/>
      <c r="E318" s="29" t="n"/>
      <c r="F318" s="26" t="n"/>
      <c r="G318" s="26" t="n"/>
      <c r="H318" s="1">
        <f>IF(B318="","",IF(E318="",B318,E318))</f>
        <v/>
      </c>
    </row>
    <row r="319">
      <c r="A319" s="1" t="n"/>
      <c r="B319" s="29" t="n"/>
      <c r="C319" s="26" t="n"/>
      <c r="D319" s="27" t="n"/>
      <c r="E319" s="29" t="n"/>
      <c r="F319" s="26" t="n"/>
      <c r="G319" s="26" t="n"/>
      <c r="H319" s="1">
        <f>IF(B319="","",IF(E319="",B319,E319))</f>
        <v/>
      </c>
    </row>
    <row r="320">
      <c r="A320" s="1" t="n"/>
      <c r="B320" s="29" t="n"/>
      <c r="C320" s="26" t="n"/>
      <c r="D320" s="27" t="n"/>
      <c r="E320" s="29" t="n"/>
      <c r="F320" s="26" t="n"/>
      <c r="G320" s="26" t="n"/>
      <c r="H320" s="1">
        <f>IF(B320="","",IF(E320="",B320,E320))</f>
        <v/>
      </c>
    </row>
    <row r="321">
      <c r="A321" s="1" t="n"/>
      <c r="B321" s="29" t="n"/>
      <c r="C321" s="26" t="n"/>
      <c r="D321" s="27" t="n"/>
      <c r="E321" s="29" t="n"/>
      <c r="F321" s="26" t="n"/>
      <c r="G321" s="26" t="n"/>
      <c r="H321" s="1">
        <f>IF(B321="","",IF(E321="",B321,E321))</f>
        <v/>
      </c>
    </row>
    <row r="322">
      <c r="A322" s="1" t="n"/>
      <c r="B322" s="29" t="n"/>
      <c r="C322" s="26" t="n"/>
      <c r="D322" s="27" t="n"/>
      <c r="E322" s="29" t="n"/>
      <c r="F322" s="26" t="n"/>
      <c r="G322" s="26" t="n"/>
      <c r="H322" s="1">
        <f>IF(B322="","",IF(E322="",B322,E322))</f>
        <v/>
      </c>
    </row>
    <row r="323">
      <c r="A323" s="1" t="n"/>
      <c r="B323" s="29" t="n"/>
      <c r="C323" s="26" t="n"/>
      <c r="D323" s="27" t="n"/>
      <c r="E323" s="29" t="n"/>
      <c r="F323" s="26" t="n"/>
      <c r="G323" s="26" t="n"/>
      <c r="H323" s="1">
        <f>IF(B323="","",IF(E323="",B323,E323))</f>
        <v/>
      </c>
    </row>
    <row r="324">
      <c r="A324" s="1" t="n"/>
      <c r="B324" s="29" t="n"/>
      <c r="C324" s="26" t="n"/>
      <c r="D324" s="27" t="n"/>
      <c r="E324" s="29" t="n"/>
      <c r="F324" s="26" t="n"/>
      <c r="G324" s="26" t="n"/>
      <c r="H324" s="1">
        <f>IF(B324="","",IF(E324="",B324,E324))</f>
        <v/>
      </c>
    </row>
    <row r="325">
      <c r="A325" s="1" t="n"/>
      <c r="B325" s="29" t="n"/>
      <c r="C325" s="26" t="n"/>
      <c r="D325" s="27" t="n"/>
      <c r="E325" s="29" t="n"/>
      <c r="F325" s="26" t="n"/>
      <c r="G325" s="26" t="n"/>
      <c r="H325" s="1">
        <f>IF(B325="","",IF(E325="",B325,E325))</f>
        <v/>
      </c>
    </row>
    <row r="326">
      <c r="A326" s="1" t="n"/>
      <c r="B326" s="29" t="n"/>
      <c r="C326" s="26" t="n"/>
      <c r="D326" s="27" t="n"/>
      <c r="E326" s="29" t="n"/>
      <c r="F326" s="26" t="n"/>
      <c r="G326" s="26" t="n"/>
      <c r="H326" s="1">
        <f>IF(B326="","",IF(E326="",B326,E326))</f>
        <v/>
      </c>
    </row>
    <row r="327">
      <c r="A327" s="1" t="n"/>
      <c r="B327" s="29" t="n"/>
      <c r="C327" s="26" t="n"/>
      <c r="D327" s="27" t="n"/>
      <c r="E327" s="29" t="n"/>
      <c r="F327" s="26" t="n"/>
      <c r="G327" s="26" t="n"/>
      <c r="H327" s="1">
        <f>IF(B327="","",IF(E327="",B327,E327))</f>
        <v/>
      </c>
    </row>
    <row r="328">
      <c r="A328" s="1" t="n"/>
      <c r="B328" s="29" t="n"/>
      <c r="C328" s="26" t="n"/>
      <c r="D328" s="27" t="n"/>
      <c r="E328" s="29" t="n"/>
      <c r="F328" s="26" t="n"/>
      <c r="G328" s="26" t="n"/>
      <c r="H328" s="1">
        <f>IF(B328="","",IF(E328="",B328,E328))</f>
        <v/>
      </c>
    </row>
    <row r="329">
      <c r="A329" s="1" t="n"/>
      <c r="B329" s="29" t="n"/>
      <c r="C329" s="26" t="n"/>
      <c r="D329" s="27" t="n"/>
      <c r="E329" s="29" t="n"/>
      <c r="F329" s="26" t="n"/>
      <c r="G329" s="26" t="n"/>
      <c r="H329" s="1">
        <f>IF(B329="","",IF(E329="",B329,E329))</f>
        <v/>
      </c>
    </row>
    <row r="330">
      <c r="A330" s="1" t="n"/>
      <c r="B330" s="29" t="n"/>
      <c r="C330" s="26" t="n"/>
      <c r="D330" s="27" t="n"/>
      <c r="E330" s="29" t="n"/>
      <c r="F330" s="26" t="n"/>
      <c r="G330" s="26" t="n"/>
      <c r="H330" s="1">
        <f>IF(B330="","",IF(E330="",B330,E330))</f>
        <v/>
      </c>
    </row>
    <row r="331">
      <c r="A331" s="1" t="n"/>
      <c r="B331" s="29" t="n"/>
      <c r="C331" s="26" t="n"/>
      <c r="D331" s="27" t="n"/>
      <c r="E331" s="29" t="n"/>
      <c r="F331" s="26" t="n"/>
      <c r="G331" s="26" t="n"/>
      <c r="H331" s="1">
        <f>IF(B331="","",IF(E331="",B331,E331))</f>
        <v/>
      </c>
    </row>
    <row r="332">
      <c r="A332" s="1" t="n"/>
      <c r="B332" s="29" t="n"/>
      <c r="C332" s="26" t="n"/>
      <c r="D332" s="27" t="n"/>
      <c r="E332" s="29" t="n"/>
      <c r="F332" s="26" t="n"/>
      <c r="G332" s="26" t="n"/>
      <c r="H332" s="1">
        <f>IF(B332="","",IF(E332="",B332,E332))</f>
        <v/>
      </c>
    </row>
    <row r="333">
      <c r="A333" s="1" t="n"/>
      <c r="B333" s="29" t="n"/>
      <c r="C333" s="26" t="n"/>
      <c r="D333" s="27" t="n"/>
      <c r="E333" s="29" t="n"/>
      <c r="F333" s="26" t="n"/>
      <c r="G333" s="26" t="n"/>
      <c r="H333" s="1">
        <f>IF(B333="","",IF(E333="",B333,E333))</f>
        <v/>
      </c>
    </row>
    <row r="334">
      <c r="A334" s="1" t="n"/>
      <c r="B334" s="29" t="n"/>
      <c r="C334" s="26" t="n"/>
      <c r="D334" s="27" t="n"/>
      <c r="E334" s="29" t="n"/>
      <c r="F334" s="26" t="n"/>
      <c r="G334" s="26" t="n"/>
      <c r="H334" s="1">
        <f>IF(B334="","",IF(E334="",B334,E334))</f>
        <v/>
      </c>
    </row>
    <row r="335">
      <c r="A335" s="1" t="n"/>
      <c r="B335" s="29" t="n"/>
      <c r="C335" s="26" t="n"/>
      <c r="D335" s="27" t="n"/>
      <c r="E335" s="29" t="n"/>
      <c r="F335" s="26" t="n"/>
      <c r="G335" s="26" t="n"/>
      <c r="H335" s="1">
        <f>IF(B335="","",IF(E335="",B335,E335))</f>
        <v/>
      </c>
    </row>
    <row r="336">
      <c r="A336" s="1" t="n"/>
      <c r="B336" s="29" t="n"/>
      <c r="C336" s="26" t="n"/>
      <c r="D336" s="27" t="n"/>
      <c r="E336" s="29" t="n"/>
      <c r="F336" s="26" t="n"/>
      <c r="G336" s="26" t="n"/>
      <c r="H336" s="1">
        <f>IF(B336="","",IF(E336="",B336,E336))</f>
        <v/>
      </c>
    </row>
    <row r="337">
      <c r="A337" s="1" t="n"/>
      <c r="B337" s="29" t="n"/>
      <c r="C337" s="26" t="n"/>
      <c r="D337" s="27" t="n"/>
      <c r="E337" s="29" t="n"/>
      <c r="F337" s="26" t="n"/>
      <c r="G337" s="26" t="n"/>
      <c r="H337" s="1">
        <f>IF(B337="","",IF(E337="",B337,E337))</f>
        <v/>
      </c>
    </row>
    <row r="338">
      <c r="A338" s="1" t="n"/>
      <c r="B338" s="29" t="n"/>
      <c r="C338" s="26" t="n"/>
      <c r="D338" s="27" t="n"/>
      <c r="E338" s="29" t="n"/>
      <c r="F338" s="26" t="n"/>
      <c r="G338" s="26" t="n"/>
      <c r="H338" s="1">
        <f>IF(B338="","",IF(E338="",B338,E338))</f>
        <v/>
      </c>
    </row>
    <row r="339">
      <c r="A339" s="1" t="n"/>
      <c r="B339" s="29" t="n"/>
      <c r="C339" s="26" t="n"/>
      <c r="D339" s="27" t="n"/>
      <c r="E339" s="29" t="n"/>
      <c r="F339" s="26" t="n"/>
      <c r="G339" s="26" t="n"/>
      <c r="H339" s="1">
        <f>IF(B339="","",IF(E339="",B339,E339))</f>
        <v/>
      </c>
    </row>
    <row r="340">
      <c r="A340" s="1" t="n"/>
      <c r="B340" s="29" t="n"/>
      <c r="C340" s="26" t="n"/>
      <c r="D340" s="27" t="n"/>
      <c r="E340" s="29" t="n"/>
      <c r="F340" s="26" t="n"/>
      <c r="G340" s="26" t="n"/>
      <c r="H340" s="1">
        <f>IF(B340="","",IF(E340="",B340,E340))</f>
        <v/>
      </c>
    </row>
    <row r="341">
      <c r="A341" s="1" t="n"/>
      <c r="B341" s="29" t="n"/>
      <c r="C341" s="26" t="n"/>
      <c r="D341" s="27" t="n"/>
      <c r="E341" s="29" t="n"/>
      <c r="F341" s="26" t="n"/>
      <c r="G341" s="26" t="n"/>
      <c r="H341" s="1">
        <f>IF(B341="","",IF(E341="",B341,E341))</f>
        <v/>
      </c>
    </row>
    <row r="342">
      <c r="A342" s="1" t="n"/>
      <c r="B342" s="29" t="n"/>
      <c r="C342" s="26" t="n"/>
      <c r="D342" s="27" t="n"/>
      <c r="E342" s="29" t="n"/>
      <c r="F342" s="26" t="n"/>
      <c r="G342" s="26" t="n"/>
      <c r="H342" s="1">
        <f>IF(B342="","",IF(E342="",B342,E342))</f>
        <v/>
      </c>
    </row>
    <row r="343">
      <c r="A343" s="1" t="n"/>
      <c r="B343" s="29" t="n"/>
      <c r="C343" s="26" t="n"/>
      <c r="D343" s="27" t="n"/>
      <c r="E343" s="29" t="n"/>
      <c r="F343" s="26" t="n"/>
      <c r="G343" s="26" t="n"/>
      <c r="H343" s="1">
        <f>IF(B343="","",IF(E343="",B343,E343))</f>
        <v/>
      </c>
    </row>
    <row r="344">
      <c r="A344" s="1" t="n"/>
      <c r="B344" s="29" t="n"/>
      <c r="C344" s="26" t="n"/>
      <c r="D344" s="27" t="n"/>
      <c r="E344" s="29" t="n"/>
      <c r="F344" s="26" t="n"/>
      <c r="G344" s="26" t="n"/>
      <c r="H344" s="1">
        <f>IF(B344="","",IF(E344="",B344,E344))</f>
        <v/>
      </c>
    </row>
    <row r="345">
      <c r="A345" s="1" t="n"/>
      <c r="B345" s="29" t="n"/>
      <c r="C345" s="26" t="n"/>
      <c r="D345" s="27" t="n"/>
      <c r="E345" s="29" t="n"/>
      <c r="F345" s="26" t="n"/>
      <c r="G345" s="26" t="n"/>
      <c r="H345" s="1">
        <f>IF(B345="","",IF(E345="",B345,E345))</f>
        <v/>
      </c>
    </row>
    <row r="346">
      <c r="A346" s="1" t="n"/>
      <c r="B346" s="29" t="n"/>
      <c r="C346" s="26" t="n"/>
      <c r="D346" s="27" t="n"/>
      <c r="E346" s="29" t="n"/>
      <c r="F346" s="26" t="n"/>
      <c r="G346" s="26" t="n"/>
      <c r="H346" s="1">
        <f>IF(B346="","",IF(E346="",B346,E346))</f>
        <v/>
      </c>
    </row>
    <row r="347">
      <c r="A347" s="1" t="n"/>
      <c r="B347" s="29" t="n"/>
      <c r="C347" s="26" t="n"/>
      <c r="D347" s="27" t="n"/>
      <c r="E347" s="29" t="n"/>
      <c r="F347" s="26" t="n"/>
      <c r="G347" s="26" t="n"/>
      <c r="H347" s="1">
        <f>IF(B347="","",IF(E347="",B347,E347))</f>
        <v/>
      </c>
    </row>
    <row r="348">
      <c r="A348" s="1" t="n"/>
      <c r="B348" s="29" t="n"/>
      <c r="C348" s="26" t="n"/>
      <c r="D348" s="27" t="n"/>
      <c r="E348" s="29" t="n"/>
      <c r="F348" s="26" t="n"/>
      <c r="G348" s="26" t="n"/>
      <c r="H348" s="1">
        <f>IF(B348="","",IF(E348="",B348,E348))</f>
        <v/>
      </c>
    </row>
    <row r="349">
      <c r="A349" s="1" t="n"/>
      <c r="B349" s="29" t="n"/>
      <c r="C349" s="26" t="n"/>
      <c r="D349" s="27" t="n"/>
      <c r="E349" s="29" t="n"/>
      <c r="F349" s="26" t="n"/>
      <c r="G349" s="26" t="n"/>
      <c r="H349" s="1">
        <f>IF(B349="","",IF(E349="",B349,E349))</f>
        <v/>
      </c>
    </row>
    <row r="350">
      <c r="A350" s="1" t="n"/>
      <c r="B350" s="29" t="n"/>
      <c r="C350" s="26" t="n"/>
      <c r="D350" s="27" t="n"/>
      <c r="E350" s="29" t="n"/>
      <c r="F350" s="26" t="n"/>
      <c r="G350" s="26" t="n"/>
      <c r="H350" s="1">
        <f>IF(B350="","",IF(E350="",B350,E350))</f>
        <v/>
      </c>
    </row>
    <row r="351">
      <c r="A351" s="1" t="n"/>
      <c r="B351" s="29" t="n"/>
      <c r="C351" s="26" t="n"/>
      <c r="D351" s="27" t="n"/>
      <c r="E351" s="29" t="n"/>
      <c r="F351" s="26" t="n"/>
      <c r="G351" s="26" t="n"/>
      <c r="H351" s="1">
        <f>IF(B351="","",IF(E351="",B351,E351))</f>
        <v/>
      </c>
    </row>
    <row r="352">
      <c r="A352" s="1" t="n"/>
      <c r="B352" s="29" t="n"/>
      <c r="C352" s="26" t="n"/>
      <c r="D352" s="27" t="n"/>
      <c r="E352" s="29" t="n"/>
      <c r="F352" s="26" t="n"/>
      <c r="G352" s="26" t="n"/>
      <c r="H352" s="1">
        <f>IF(B352="","",IF(E352="",B352,E352))</f>
        <v/>
      </c>
    </row>
    <row r="353">
      <c r="A353" s="1" t="n"/>
      <c r="B353" s="29" t="n"/>
      <c r="C353" s="26" t="n"/>
      <c r="D353" s="27" t="n"/>
      <c r="E353" s="29" t="n"/>
      <c r="F353" s="26" t="n"/>
      <c r="G353" s="26" t="n"/>
      <c r="H353" s="1">
        <f>IF(B353="","",IF(E353="",B353,E353))</f>
        <v/>
      </c>
    </row>
    <row r="354">
      <c r="A354" s="1" t="n"/>
      <c r="B354" s="29" t="n"/>
      <c r="C354" s="26" t="n"/>
      <c r="D354" s="27" t="n"/>
      <c r="E354" s="29" t="n"/>
      <c r="F354" s="26" t="n"/>
      <c r="G354" s="26" t="n"/>
      <c r="H354" s="1">
        <f>IF(B354="","",IF(E354="",B354,E354))</f>
        <v/>
      </c>
    </row>
    <row r="355">
      <c r="A355" s="1" t="n"/>
      <c r="B355" s="29" t="n"/>
      <c r="C355" s="26" t="n"/>
      <c r="D355" s="27" t="n"/>
      <c r="E355" s="29" t="n"/>
      <c r="F355" s="26" t="n"/>
      <c r="G355" s="26" t="n"/>
      <c r="H355" s="1">
        <f>IF(B355="","",IF(E355="",B355,E355))</f>
        <v/>
      </c>
    </row>
    <row r="356">
      <c r="A356" s="1" t="n"/>
      <c r="B356" s="29" t="n"/>
      <c r="C356" s="26" t="n"/>
      <c r="D356" s="27" t="n"/>
      <c r="E356" s="29" t="n"/>
      <c r="F356" s="26" t="n"/>
      <c r="G356" s="26" t="n"/>
      <c r="H356" s="1">
        <f>IF(B356="","",IF(E356="",B356,E356))</f>
        <v/>
      </c>
    </row>
    <row r="357">
      <c r="A357" s="1" t="n"/>
      <c r="B357" s="29" t="n"/>
      <c r="C357" s="26" t="n"/>
      <c r="D357" s="27" t="n"/>
      <c r="E357" s="29" t="n"/>
      <c r="F357" s="26" t="n"/>
      <c r="G357" s="26" t="n"/>
      <c r="H357" s="1">
        <f>IF(B357="","",IF(E357="",B357,E357))</f>
        <v/>
      </c>
    </row>
    <row r="358">
      <c r="A358" s="1" t="n"/>
      <c r="B358" s="29" t="n"/>
      <c r="C358" s="26" t="n"/>
      <c r="D358" s="27" t="n"/>
      <c r="E358" s="29" t="n"/>
      <c r="F358" s="26" t="n"/>
      <c r="G358" s="26" t="n"/>
      <c r="H358" s="1">
        <f>IF(B358="","",IF(E358="",B358,E358))</f>
        <v/>
      </c>
    </row>
    <row r="359">
      <c r="A359" s="1" t="n"/>
      <c r="B359" s="29" t="n"/>
      <c r="C359" s="26" t="n"/>
      <c r="D359" s="27" t="n"/>
      <c r="E359" s="29" t="n"/>
      <c r="F359" s="26" t="n"/>
      <c r="G359" s="26" t="n"/>
      <c r="H359" s="1">
        <f>IF(B359="","",IF(E359="",B359,E359))</f>
        <v/>
      </c>
    </row>
    <row r="360">
      <c r="A360" s="1" t="n"/>
      <c r="B360" s="29" t="n"/>
      <c r="C360" s="26" t="n"/>
      <c r="D360" s="27" t="n"/>
      <c r="E360" s="29" t="n"/>
      <c r="F360" s="26" t="n"/>
      <c r="G360" s="26" t="n"/>
      <c r="H360" s="1">
        <f>IF(B360="","",IF(E360="",B360,E360))</f>
        <v/>
      </c>
    </row>
    <row r="361">
      <c r="A361" s="1" t="n"/>
      <c r="B361" s="29" t="n"/>
      <c r="C361" s="26" t="n"/>
      <c r="D361" s="27" t="n"/>
      <c r="E361" s="29" t="n"/>
      <c r="F361" s="26" t="n"/>
      <c r="G361" s="26" t="n"/>
      <c r="H361" s="1">
        <f>IF(B361="","",IF(E361="",B361,E361))</f>
        <v/>
      </c>
    </row>
    <row r="362">
      <c r="A362" s="1" t="n"/>
      <c r="B362" s="29" t="n"/>
      <c r="C362" s="26" t="n"/>
      <c r="D362" s="27" t="n"/>
      <c r="E362" s="29" t="n"/>
      <c r="F362" s="26" t="n"/>
      <c r="G362" s="26" t="n"/>
      <c r="H362" s="1">
        <f>IF(B362="","",IF(E362="",B362,E362))</f>
        <v/>
      </c>
    </row>
    <row r="363">
      <c r="A363" s="1" t="n"/>
      <c r="B363" s="29" t="n"/>
      <c r="C363" s="26" t="n"/>
      <c r="D363" s="27" t="n"/>
      <c r="E363" s="29" t="n"/>
      <c r="F363" s="26" t="n"/>
      <c r="G363" s="26" t="n"/>
      <c r="H363" s="1">
        <f>IF(B363="","",IF(E363="",B363,E363))</f>
        <v/>
      </c>
    </row>
    <row r="364">
      <c r="A364" s="1" t="n"/>
      <c r="B364" s="29" t="n"/>
      <c r="C364" s="26" t="n"/>
      <c r="D364" s="27" t="n"/>
      <c r="E364" s="29" t="n"/>
      <c r="F364" s="26" t="n"/>
      <c r="G364" s="26" t="n"/>
      <c r="H364" s="1">
        <f>IF(B364="","",IF(E364="",B364,E364))</f>
        <v/>
      </c>
    </row>
    <row r="365">
      <c r="A365" s="1" t="n"/>
      <c r="B365" s="29" t="n"/>
      <c r="C365" s="26" t="n"/>
      <c r="D365" s="27" t="n"/>
      <c r="E365" s="29" t="n"/>
      <c r="F365" s="26" t="n"/>
      <c r="G365" s="26" t="n"/>
      <c r="H365" s="1">
        <f>IF(B365="","",IF(E365="",B365,E365))</f>
        <v/>
      </c>
    </row>
    <row r="366">
      <c r="A366" s="1" t="n"/>
      <c r="B366" s="29" t="n"/>
      <c r="C366" s="26" t="n"/>
      <c r="D366" s="27" t="n"/>
      <c r="E366" s="29" t="n"/>
      <c r="F366" s="26" t="n"/>
      <c r="G366" s="26" t="n"/>
      <c r="H366" s="1">
        <f>IF(B366="","",IF(E366="",B366,E366))</f>
        <v/>
      </c>
    </row>
    <row r="367">
      <c r="A367" s="1" t="n"/>
      <c r="B367" s="29" t="n"/>
      <c r="C367" s="26" t="n"/>
      <c r="D367" s="27" t="n"/>
      <c r="E367" s="29" t="n"/>
      <c r="F367" s="26" t="n"/>
      <c r="G367" s="26" t="n"/>
      <c r="H367" s="1">
        <f>IF(B367="","",IF(E367="",B367,E367))</f>
        <v/>
      </c>
    </row>
    <row r="368">
      <c r="A368" s="1" t="n"/>
      <c r="B368" s="29" t="n"/>
      <c r="C368" s="26" t="n"/>
      <c r="D368" s="27" t="n"/>
      <c r="E368" s="29" t="n"/>
      <c r="F368" s="26" t="n"/>
      <c r="G368" s="26" t="n"/>
      <c r="H368" s="1">
        <f>IF(B368="","",IF(E368="",B368,E368))</f>
        <v/>
      </c>
    </row>
    <row r="369">
      <c r="A369" s="1" t="n"/>
      <c r="B369" s="29" t="n"/>
      <c r="C369" s="26" t="n"/>
      <c r="D369" s="27" t="n"/>
      <c r="E369" s="29" t="n"/>
      <c r="F369" s="26" t="n"/>
      <c r="G369" s="26" t="n"/>
      <c r="H369" s="1">
        <f>IF(B369="","",IF(E369="",B369,E369))</f>
        <v/>
      </c>
    </row>
    <row r="370">
      <c r="A370" s="1" t="n"/>
      <c r="B370" s="29" t="n"/>
      <c r="C370" s="26" t="n"/>
      <c r="D370" s="27" t="n"/>
      <c r="E370" s="29" t="n"/>
      <c r="F370" s="26" t="n"/>
      <c r="G370" s="26" t="n"/>
      <c r="H370" s="1">
        <f>IF(B370="","",IF(E370="",B370,E370))</f>
        <v/>
      </c>
    </row>
    <row r="371">
      <c r="A371" s="1" t="n"/>
      <c r="B371" s="29" t="n"/>
      <c r="C371" s="26" t="n"/>
      <c r="D371" s="27" t="n"/>
      <c r="E371" s="29" t="n"/>
      <c r="F371" s="26" t="n"/>
      <c r="G371" s="26" t="n"/>
      <c r="H371" s="1">
        <f>IF(B371="","",IF(E371="",B371,E371))</f>
        <v/>
      </c>
    </row>
    <row r="372">
      <c r="A372" s="1" t="n"/>
      <c r="B372" s="29" t="n"/>
      <c r="C372" s="26" t="n"/>
      <c r="D372" s="27" t="n"/>
      <c r="E372" s="29" t="n"/>
      <c r="F372" s="26" t="n"/>
      <c r="G372" s="26" t="n"/>
      <c r="H372" s="1">
        <f>IF(B372="","",IF(E372="",B372,E372))</f>
        <v/>
      </c>
    </row>
    <row r="373">
      <c r="A373" s="1" t="n"/>
      <c r="B373" s="29" t="n"/>
      <c r="C373" s="26" t="n"/>
      <c r="D373" s="27" t="n"/>
      <c r="E373" s="29" t="n"/>
      <c r="F373" s="26" t="n"/>
      <c r="G373" s="26" t="n"/>
      <c r="H373" s="1">
        <f>IF(B373="","",IF(E373="",B373,E373))</f>
        <v/>
      </c>
    </row>
    <row r="374">
      <c r="A374" s="1" t="n"/>
      <c r="B374" s="29" t="n"/>
      <c r="C374" s="26" t="n"/>
      <c r="D374" s="27" t="n"/>
      <c r="E374" s="29" t="n"/>
      <c r="F374" s="26" t="n"/>
      <c r="G374" s="26" t="n"/>
      <c r="H374" s="1">
        <f>IF(B374="","",IF(E374="",B374,E374))</f>
        <v/>
      </c>
    </row>
    <row r="375">
      <c r="A375" s="1" t="n"/>
      <c r="B375" s="29" t="n"/>
      <c r="C375" s="26" t="n"/>
      <c r="D375" s="27" t="n"/>
      <c r="E375" s="29" t="n"/>
      <c r="F375" s="26" t="n"/>
      <c r="G375" s="26" t="n"/>
      <c r="H375" s="1">
        <f>IF(B375="","",IF(E375="",B375,E375))</f>
        <v/>
      </c>
    </row>
    <row r="376">
      <c r="A376" s="1" t="n"/>
      <c r="B376" s="29" t="n"/>
      <c r="C376" s="26" t="n"/>
      <c r="D376" s="27" t="n"/>
      <c r="E376" s="29" t="n"/>
      <c r="F376" s="26" t="n"/>
      <c r="G376" s="26" t="n"/>
      <c r="H376" s="1">
        <f>IF(B376="","",IF(E376="",B376,E376))</f>
        <v/>
      </c>
    </row>
    <row r="377">
      <c r="A377" s="1" t="n"/>
      <c r="B377" s="29" t="n"/>
      <c r="C377" s="26" t="n"/>
      <c r="D377" s="27" t="n"/>
      <c r="E377" s="29" t="n"/>
      <c r="F377" s="26" t="n"/>
      <c r="G377" s="26" t="n"/>
      <c r="H377" s="1">
        <f>IF(B377="","",IF(E377="",B377,E377))</f>
        <v/>
      </c>
    </row>
    <row r="378">
      <c r="A378" s="1" t="n"/>
      <c r="B378" s="29" t="n"/>
      <c r="C378" s="26" t="n"/>
      <c r="D378" s="27" t="n"/>
      <c r="E378" s="29" t="n"/>
      <c r="F378" s="26" t="n"/>
      <c r="G378" s="26" t="n"/>
      <c r="H378" s="1">
        <f>IF(B378="","",IF(E378="",B378,E378))</f>
        <v/>
      </c>
    </row>
    <row r="379">
      <c r="A379" s="1" t="n"/>
      <c r="B379" s="29" t="n"/>
      <c r="C379" s="26" t="n"/>
      <c r="D379" s="27" t="n"/>
      <c r="E379" s="29" t="n"/>
      <c r="F379" s="26" t="n"/>
      <c r="G379" s="26" t="n"/>
      <c r="H379" s="1">
        <f>IF(B379="","",IF(E379="",B379,E379))</f>
        <v/>
      </c>
    </row>
    <row r="380">
      <c r="A380" s="1" t="n"/>
      <c r="B380" s="29" t="n"/>
      <c r="C380" s="26" t="n"/>
      <c r="D380" s="27" t="n"/>
      <c r="E380" s="29" t="n"/>
      <c r="F380" s="26" t="n"/>
      <c r="G380" s="26" t="n"/>
      <c r="H380" s="1">
        <f>IF(B380="","",IF(E380="",B380,E380))</f>
        <v/>
      </c>
    </row>
    <row r="381">
      <c r="A381" s="1" t="n"/>
      <c r="B381" s="29" t="n"/>
      <c r="C381" s="26" t="n"/>
      <c r="D381" s="27" t="n"/>
      <c r="E381" s="29" t="n"/>
      <c r="F381" s="26" t="n"/>
      <c r="G381" s="26" t="n"/>
      <c r="H381" s="1">
        <f>IF(B381="","",IF(E381="",B381,E381))</f>
        <v/>
      </c>
    </row>
    <row r="382">
      <c r="A382" s="1" t="n"/>
      <c r="B382" s="29" t="n"/>
      <c r="C382" s="26" t="n"/>
      <c r="D382" s="27" t="n"/>
      <c r="E382" s="29" t="n"/>
      <c r="F382" s="26" t="n"/>
      <c r="G382" s="26" t="n"/>
      <c r="H382" s="1">
        <f>IF(B382="","",IF(E382="",B382,E382))</f>
        <v/>
      </c>
    </row>
    <row r="383">
      <c r="A383" s="1" t="n"/>
      <c r="B383" s="29" t="n"/>
      <c r="C383" s="26" t="n"/>
      <c r="D383" s="27" t="n"/>
      <c r="E383" s="29" t="n"/>
      <c r="F383" s="26" t="n"/>
      <c r="G383" s="26" t="n"/>
      <c r="H383" s="1">
        <f>IF(B383="","",IF(E383="",B383,E383))</f>
        <v/>
      </c>
    </row>
    <row r="384">
      <c r="A384" s="1" t="n"/>
      <c r="B384" s="29" t="n"/>
      <c r="C384" s="26" t="n"/>
      <c r="D384" s="27" t="n"/>
      <c r="E384" s="29" t="n"/>
      <c r="F384" s="26" t="n"/>
      <c r="G384" s="26" t="n"/>
      <c r="H384" s="1">
        <f>IF(B384="","",IF(E384="",B384,E384))</f>
        <v/>
      </c>
    </row>
    <row r="385">
      <c r="A385" s="1" t="n"/>
      <c r="B385" s="29" t="n"/>
      <c r="C385" s="26" t="n"/>
      <c r="D385" s="27" t="n"/>
      <c r="E385" s="29" t="n"/>
      <c r="F385" s="26" t="n"/>
      <c r="G385" s="26" t="n"/>
      <c r="H385" s="1">
        <f>IF(B385="","",IF(E385="",B385,E385))</f>
        <v/>
      </c>
    </row>
    <row r="386">
      <c r="A386" s="1" t="n"/>
      <c r="B386" s="29" t="n"/>
      <c r="C386" s="26" t="n"/>
      <c r="D386" s="27" t="n"/>
      <c r="E386" s="29" t="n"/>
      <c r="F386" s="26" t="n"/>
      <c r="G386" s="26" t="n"/>
      <c r="H386" s="1">
        <f>IF(B386="","",IF(E386="",B386,E386))</f>
        <v/>
      </c>
    </row>
    <row r="387">
      <c r="A387" s="1" t="n"/>
      <c r="B387" s="29" t="n"/>
      <c r="C387" s="26" t="n"/>
      <c r="D387" s="27" t="n"/>
      <c r="E387" s="29" t="n"/>
      <c r="F387" s="26" t="n"/>
      <c r="G387" s="26" t="n"/>
      <c r="H387" s="1">
        <f>IF(B387="","",IF(E387="",B387,E387))</f>
        <v/>
      </c>
    </row>
    <row r="388">
      <c r="A388" s="1" t="n"/>
      <c r="B388" s="29" t="n"/>
      <c r="C388" s="26" t="n"/>
      <c r="D388" s="27" t="n"/>
      <c r="E388" s="29" t="n"/>
      <c r="F388" s="26" t="n"/>
      <c r="G388" s="26" t="n"/>
      <c r="H388" s="1">
        <f>IF(B388="","",IF(E388="",B388,E388))</f>
        <v/>
      </c>
    </row>
    <row r="389">
      <c r="A389" s="1" t="n"/>
      <c r="B389" s="29" t="n"/>
      <c r="C389" s="26" t="n"/>
      <c r="D389" s="27" t="n"/>
      <c r="E389" s="29" t="n"/>
      <c r="F389" s="26" t="n"/>
      <c r="G389" s="26" t="n"/>
      <c r="H389" s="1">
        <f>IF(B389="","",IF(E389="",B389,E389))</f>
        <v/>
      </c>
    </row>
    <row r="390">
      <c r="A390" s="1" t="n"/>
      <c r="B390" s="29" t="n"/>
      <c r="C390" s="26" t="n"/>
      <c r="D390" s="27" t="n"/>
      <c r="E390" s="29" t="n"/>
      <c r="F390" s="26" t="n"/>
      <c r="G390" s="26" t="n"/>
      <c r="H390" s="1">
        <f>IF(B390="","",IF(E390="",B390,E390))</f>
        <v/>
      </c>
    </row>
    <row r="391">
      <c r="A391" s="1" t="n"/>
      <c r="B391" s="29" t="n"/>
      <c r="C391" s="26" t="n"/>
      <c r="D391" s="27" t="n"/>
      <c r="E391" s="29" t="n"/>
      <c r="F391" s="26" t="n"/>
      <c r="G391" s="26" t="n"/>
      <c r="H391" s="1">
        <f>IF(B391="","",IF(E391="",B391,E391))</f>
        <v/>
      </c>
    </row>
    <row r="392">
      <c r="A392" s="1" t="n"/>
      <c r="B392" s="29" t="n"/>
      <c r="C392" s="26" t="n"/>
      <c r="D392" s="27" t="n"/>
      <c r="E392" s="29" t="n"/>
      <c r="F392" s="26" t="n"/>
      <c r="G392" s="26" t="n"/>
      <c r="H392" s="1">
        <f>IF(B392="","",IF(E392="",B392,E392))</f>
        <v/>
      </c>
    </row>
    <row r="393">
      <c r="A393" s="1" t="n"/>
      <c r="B393" s="29" t="n"/>
      <c r="C393" s="26" t="n"/>
      <c r="D393" s="27" t="n"/>
      <c r="E393" s="29" t="n"/>
      <c r="F393" s="26" t="n"/>
      <c r="G393" s="26" t="n"/>
      <c r="H393" s="1">
        <f>IF(B393="","",IF(E393="",B393,E393))</f>
        <v/>
      </c>
    </row>
    <row r="394">
      <c r="A394" s="1" t="n"/>
      <c r="B394" s="29" t="n"/>
      <c r="C394" s="26" t="n"/>
      <c r="D394" s="27" t="n"/>
      <c r="E394" s="29" t="n"/>
      <c r="F394" s="26" t="n"/>
      <c r="G394" s="26" t="n"/>
      <c r="H394" s="1">
        <f>IF(B394="","",IF(E394="",B394,E394))</f>
        <v/>
      </c>
    </row>
    <row r="395">
      <c r="A395" s="1" t="n"/>
      <c r="B395" s="29" t="n"/>
      <c r="C395" s="26" t="n"/>
      <c r="D395" s="27" t="n"/>
      <c r="E395" s="29" t="n"/>
      <c r="F395" s="26" t="n"/>
      <c r="G395" s="26" t="n"/>
      <c r="H395" s="1">
        <f>IF(B395="","",IF(E395="",B395,E395))</f>
        <v/>
      </c>
    </row>
    <row r="396">
      <c r="A396" s="1" t="n"/>
      <c r="B396" s="29" t="n"/>
      <c r="C396" s="26" t="n"/>
      <c r="D396" s="27" t="n"/>
      <c r="E396" s="29" t="n"/>
      <c r="F396" s="26" t="n"/>
      <c r="G396" s="26" t="n"/>
      <c r="H396" s="1">
        <f>IF(B396="","",IF(E396="",B396,E396))</f>
        <v/>
      </c>
    </row>
    <row r="397">
      <c r="A397" s="1" t="n"/>
      <c r="B397" s="29" t="n"/>
      <c r="C397" s="26" t="n"/>
      <c r="D397" s="27" t="n"/>
      <c r="E397" s="29" t="n"/>
      <c r="F397" s="26" t="n"/>
      <c r="G397" s="26" t="n"/>
      <c r="H397" s="1">
        <f>IF(B397="","",IF(E397="",B397,E397))</f>
        <v/>
      </c>
    </row>
    <row r="398">
      <c r="A398" s="1" t="n"/>
      <c r="B398" s="29" t="n"/>
      <c r="C398" s="26" t="n"/>
      <c r="D398" s="27" t="n"/>
      <c r="E398" s="29" t="n"/>
      <c r="F398" s="26" t="n"/>
      <c r="G398" s="26" t="n"/>
      <c r="H398" s="1">
        <f>IF(B398="","",IF(E398="",B398,E398))</f>
        <v/>
      </c>
    </row>
    <row r="399">
      <c r="A399" s="1" t="n"/>
      <c r="B399" s="29" t="n"/>
      <c r="C399" s="26" t="n"/>
      <c r="D399" s="27" t="n"/>
      <c r="E399" s="29" t="n"/>
      <c r="F399" s="26" t="n"/>
      <c r="G399" s="26" t="n"/>
      <c r="H399" s="1">
        <f>IF(B399="","",IF(E399="",B399,E399))</f>
        <v/>
      </c>
    </row>
    <row r="400">
      <c r="A400" s="1" t="n"/>
      <c r="B400" s="29" t="n"/>
      <c r="C400" s="26" t="n"/>
      <c r="D400" s="27" t="n"/>
      <c r="E400" s="29" t="n"/>
      <c r="F400" s="26" t="n"/>
      <c r="G400" s="26" t="n"/>
      <c r="H400" s="1">
        <f>IF(B400="","",IF(E400="",B400,E400))</f>
        <v/>
      </c>
    </row>
    <row r="401">
      <c r="A401" s="1" t="n"/>
      <c r="B401" s="29" t="n"/>
      <c r="C401" s="26" t="n"/>
      <c r="D401" s="27" t="n"/>
      <c r="E401" s="29" t="n"/>
      <c r="F401" s="26" t="n"/>
      <c r="G401" s="26" t="n"/>
      <c r="H401" s="1">
        <f>IF(B401="","",IF(E401="",B401,E401))</f>
        <v/>
      </c>
    </row>
    <row r="402">
      <c r="A402" s="1" t="n"/>
      <c r="B402" s="29" t="n"/>
      <c r="C402" s="26" t="n"/>
      <c r="D402" s="27" t="n"/>
      <c r="E402" s="29" t="n"/>
      <c r="F402" s="26" t="n"/>
      <c r="G402" s="26" t="n"/>
      <c r="H402" s="1">
        <f>IF(B402="","",IF(E402="",B402,E402))</f>
        <v/>
      </c>
    </row>
    <row r="403">
      <c r="A403" s="1" t="n"/>
      <c r="B403" s="29" t="n"/>
      <c r="C403" s="26" t="n"/>
      <c r="D403" s="27" t="n"/>
      <c r="E403" s="29" t="n"/>
      <c r="F403" s="26" t="n"/>
      <c r="G403" s="26" t="n"/>
      <c r="H403" s="1">
        <f>IF(B403="","",IF(E403="",B403,E403))</f>
        <v/>
      </c>
    </row>
    <row r="404">
      <c r="A404" s="1" t="n"/>
      <c r="B404" s="29" t="n"/>
      <c r="C404" s="26" t="n"/>
      <c r="D404" s="27" t="n"/>
      <c r="E404" s="29" t="n"/>
      <c r="F404" s="26" t="n"/>
      <c r="G404" s="26" t="n"/>
      <c r="H404" s="1">
        <f>IF(B404="","",IF(E404="",B404,E404))</f>
        <v/>
      </c>
    </row>
    <row r="405">
      <c r="A405" s="1" t="n"/>
      <c r="B405" s="29" t="n"/>
      <c r="C405" s="26" t="n"/>
      <c r="D405" s="27" t="n"/>
      <c r="E405" s="29" t="n"/>
      <c r="F405" s="26" t="n"/>
      <c r="G405" s="26" t="n"/>
      <c r="H405" s="1">
        <f>IF(B405="","",IF(E405="",B405,E405))</f>
        <v/>
      </c>
    </row>
    <row r="406">
      <c r="A406" s="1" t="n"/>
      <c r="B406" s="29" t="n"/>
      <c r="C406" s="26" t="n"/>
      <c r="D406" s="27" t="n"/>
      <c r="E406" s="29" t="n"/>
      <c r="F406" s="26" t="n"/>
      <c r="G406" s="26" t="n"/>
      <c r="H406" s="1">
        <f>IF(B406="","",IF(E406="",B406,E406))</f>
        <v/>
      </c>
    </row>
    <row r="407">
      <c r="A407" s="1" t="n"/>
      <c r="B407" s="29" t="n"/>
      <c r="C407" s="26" t="n"/>
      <c r="D407" s="27" t="n"/>
      <c r="E407" s="29" t="n"/>
      <c r="F407" s="26" t="n"/>
      <c r="G407" s="26" t="n"/>
      <c r="H407" s="1">
        <f>IF(B407="","",IF(E407="",B407,E407))</f>
        <v/>
      </c>
    </row>
    <row r="408">
      <c r="A408" s="1" t="n"/>
      <c r="B408" s="29" t="n"/>
      <c r="C408" s="26" t="n"/>
      <c r="D408" s="27" t="n"/>
      <c r="E408" s="29" t="n"/>
      <c r="F408" s="26" t="n"/>
      <c r="G408" s="26" t="n"/>
      <c r="H408" s="1">
        <f>IF(B408="","",IF(E408="",B408,E408))</f>
        <v/>
      </c>
    </row>
    <row r="409">
      <c r="A409" s="1" t="n"/>
      <c r="B409" s="29" t="n"/>
      <c r="C409" s="26" t="n"/>
      <c r="D409" s="27" t="n"/>
      <c r="E409" s="29" t="n"/>
      <c r="F409" s="26" t="n"/>
      <c r="G409" s="26" t="n"/>
      <c r="H409" s="1">
        <f>IF(B409="","",IF(E409="",B409,E409))</f>
        <v/>
      </c>
    </row>
    <row r="410">
      <c r="A410" s="1" t="n"/>
      <c r="B410" s="29" t="n"/>
      <c r="C410" s="26" t="n"/>
      <c r="D410" s="27" t="n"/>
      <c r="E410" s="29" t="n"/>
      <c r="F410" s="26" t="n"/>
      <c r="G410" s="26" t="n"/>
      <c r="H410" s="1">
        <f>IF(B410="","",IF(E410="",B410,E410))</f>
        <v/>
      </c>
    </row>
    <row r="411">
      <c r="A411" s="1" t="n"/>
      <c r="B411" s="29" t="n"/>
      <c r="C411" s="26" t="n"/>
      <c r="D411" s="27" t="n"/>
      <c r="E411" s="29" t="n"/>
      <c r="F411" s="26" t="n"/>
      <c r="G411" s="26" t="n"/>
      <c r="H411" s="1">
        <f>IF(B411="","",IF(E411="",B411,E411))</f>
        <v/>
      </c>
    </row>
    <row r="412">
      <c r="A412" s="1" t="n"/>
      <c r="B412" s="29" t="n"/>
      <c r="C412" s="26" t="n"/>
      <c r="D412" s="27" t="n"/>
      <c r="E412" s="29" t="n"/>
      <c r="F412" s="26" t="n"/>
      <c r="G412" s="26" t="n"/>
      <c r="H412" s="1">
        <f>IF(B412="","",IF(E412="",B412,E412))</f>
        <v/>
      </c>
    </row>
    <row r="413">
      <c r="A413" s="1" t="n"/>
      <c r="B413" s="29" t="n"/>
      <c r="C413" s="26" t="n"/>
      <c r="D413" s="27" t="n"/>
      <c r="E413" s="29" t="n"/>
      <c r="F413" s="26" t="n"/>
      <c r="G413" s="26" t="n"/>
      <c r="H413" s="1">
        <f>IF(B413="","",IF(E413="",B413,E413))</f>
        <v/>
      </c>
    </row>
    <row r="414">
      <c r="A414" s="1" t="n"/>
      <c r="B414" s="29" t="n"/>
      <c r="C414" s="26" t="n"/>
      <c r="D414" s="27" t="n"/>
      <c r="E414" s="29" t="n"/>
      <c r="F414" s="26" t="n"/>
      <c r="G414" s="26" t="n"/>
      <c r="H414" s="1">
        <f>IF(B414="","",IF(E414="",B414,E414))</f>
        <v/>
      </c>
    </row>
    <row r="415">
      <c r="A415" s="1" t="n"/>
      <c r="B415" s="29" t="n"/>
      <c r="C415" s="26" t="n"/>
      <c r="D415" s="27" t="n"/>
      <c r="E415" s="29" t="n"/>
      <c r="F415" s="26" t="n"/>
      <c r="G415" s="26" t="n"/>
      <c r="H415" s="1">
        <f>IF(B415="","",IF(E415="",B415,E415))</f>
        <v/>
      </c>
    </row>
    <row r="416">
      <c r="A416" s="1" t="n"/>
      <c r="B416" s="29" t="n"/>
      <c r="C416" s="26" t="n"/>
      <c r="D416" s="27" t="n"/>
      <c r="E416" s="29" t="n"/>
      <c r="F416" s="26" t="n"/>
      <c r="G416" s="26" t="n"/>
      <c r="H416" s="1">
        <f>IF(B416="","",IF(E416="",B416,E416))</f>
        <v/>
      </c>
    </row>
    <row r="417">
      <c r="A417" s="1" t="n"/>
      <c r="B417" s="29" t="n"/>
      <c r="C417" s="26" t="n"/>
      <c r="D417" s="27" t="n"/>
      <c r="E417" s="29" t="n"/>
      <c r="F417" s="26" t="n"/>
      <c r="G417" s="26" t="n"/>
      <c r="H417" s="1">
        <f>IF(B417="","",IF(E417="",B417,E417))</f>
        <v/>
      </c>
    </row>
    <row r="418">
      <c r="A418" s="1" t="n"/>
      <c r="B418" s="29" t="n"/>
      <c r="C418" s="26" t="n"/>
      <c r="D418" s="27" t="n"/>
      <c r="E418" s="29" t="n"/>
      <c r="F418" s="26" t="n"/>
      <c r="G418" s="26" t="n"/>
      <c r="H418" s="1">
        <f>IF(B418="","",IF(E418="",B418,E418))</f>
        <v/>
      </c>
    </row>
    <row r="419">
      <c r="A419" s="1" t="n"/>
      <c r="B419" s="29" t="n"/>
      <c r="C419" s="26" t="n"/>
      <c r="D419" s="27" t="n"/>
      <c r="E419" s="29" t="n"/>
      <c r="F419" s="26" t="n"/>
      <c r="G419" s="26" t="n"/>
      <c r="H419" s="1">
        <f>IF(B419="","",IF(E419="",B419,E419))</f>
        <v/>
      </c>
    </row>
    <row r="420">
      <c r="A420" s="1" t="n"/>
      <c r="B420" s="29" t="n"/>
      <c r="C420" s="26" t="n"/>
      <c r="D420" s="27" t="n"/>
      <c r="E420" s="29" t="n"/>
      <c r="F420" s="26" t="n"/>
      <c r="G420" s="26" t="n"/>
      <c r="H420" s="1">
        <f>IF(B420="","",IF(E420="",B420,E420))</f>
        <v/>
      </c>
    </row>
    <row r="421">
      <c r="A421" s="1" t="n"/>
      <c r="B421" s="29" t="n"/>
      <c r="C421" s="26" t="n"/>
      <c r="D421" s="27" t="n"/>
      <c r="E421" s="29" t="n"/>
      <c r="F421" s="26" t="n"/>
      <c r="G421" s="26" t="n"/>
      <c r="H421" s="1">
        <f>IF(B421="","",IF(E421="",B421,E421))</f>
        <v/>
      </c>
    </row>
    <row r="422">
      <c r="A422" s="1" t="n"/>
      <c r="B422" s="29" t="n"/>
      <c r="C422" s="26" t="n"/>
      <c r="D422" s="27" t="n"/>
      <c r="E422" s="29" t="n"/>
      <c r="F422" s="26" t="n"/>
      <c r="G422" s="26" t="n"/>
      <c r="H422" s="1">
        <f>IF(B422="","",IF(E422="",B422,E422))</f>
        <v/>
      </c>
    </row>
    <row r="423">
      <c r="A423" s="1" t="n"/>
      <c r="B423" s="29" t="n"/>
      <c r="C423" s="26" t="n"/>
      <c r="D423" s="27" t="n"/>
      <c r="E423" s="29" t="n"/>
      <c r="F423" s="26" t="n"/>
      <c r="G423" s="26" t="n"/>
      <c r="H423" s="1">
        <f>IF(B423="","",IF(E423="",B423,E423))</f>
        <v/>
      </c>
    </row>
    <row r="424">
      <c r="A424" s="1" t="n"/>
      <c r="B424" s="29" t="n"/>
      <c r="C424" s="26" t="n"/>
      <c r="D424" s="27" t="n"/>
      <c r="E424" s="29" t="n"/>
      <c r="F424" s="26" t="n"/>
      <c r="G424" s="26" t="n"/>
      <c r="H424" s="1">
        <f>IF(B424="","",IF(E424="",B424,E424))</f>
        <v/>
      </c>
    </row>
    <row r="425">
      <c r="A425" s="1" t="n"/>
      <c r="B425" s="29" t="n"/>
      <c r="C425" s="26" t="n"/>
      <c r="D425" s="27" t="n"/>
      <c r="E425" s="29" t="n"/>
      <c r="F425" s="26" t="n"/>
      <c r="G425" s="26" t="n"/>
      <c r="H425" s="1">
        <f>IF(B425="","",IF(E425="",B425,E425))</f>
        <v/>
      </c>
    </row>
    <row r="426">
      <c r="A426" s="1" t="n"/>
      <c r="B426" s="29" t="n"/>
      <c r="C426" s="26" t="n"/>
      <c r="D426" s="27" t="n"/>
      <c r="E426" s="29" t="n"/>
      <c r="F426" s="26" t="n"/>
      <c r="G426" s="26" t="n"/>
      <c r="H426" s="1">
        <f>IF(B426="","",IF(E426="",B426,E426))</f>
        <v/>
      </c>
    </row>
    <row r="427">
      <c r="A427" s="1" t="n"/>
      <c r="B427" s="29" t="n"/>
      <c r="C427" s="26" t="n"/>
      <c r="D427" s="27" t="n"/>
      <c r="E427" s="29" t="n"/>
      <c r="F427" s="26" t="n"/>
      <c r="G427" s="26" t="n"/>
      <c r="H427" s="1">
        <f>IF(B427="","",IF(E427="",B427,E427))</f>
        <v/>
      </c>
    </row>
    <row r="428">
      <c r="A428" s="1" t="n"/>
      <c r="B428" s="29" t="n"/>
      <c r="C428" s="26" t="n"/>
      <c r="D428" s="27" t="n"/>
      <c r="E428" s="29" t="n"/>
      <c r="F428" s="26" t="n"/>
      <c r="G428" s="26" t="n"/>
      <c r="H428" s="1">
        <f>IF(B428="","",IF(E428="",B428,E428))</f>
        <v/>
      </c>
    </row>
    <row r="429">
      <c r="A429" s="1" t="n"/>
      <c r="B429" s="29" t="n"/>
      <c r="C429" s="26" t="n"/>
      <c r="D429" s="27" t="n"/>
      <c r="E429" s="29" t="n"/>
      <c r="F429" s="26" t="n"/>
      <c r="G429" s="26" t="n"/>
      <c r="H429" s="1">
        <f>IF(B429="","",IF(E429="",B429,E429))</f>
        <v/>
      </c>
    </row>
    <row r="430">
      <c r="A430" s="1" t="n"/>
      <c r="B430" s="29" t="n"/>
      <c r="C430" s="26" t="n"/>
      <c r="D430" s="27" t="n"/>
      <c r="E430" s="29" t="n"/>
      <c r="F430" s="26" t="n"/>
      <c r="G430" s="26" t="n"/>
      <c r="H430" s="1">
        <f>IF(B430="","",IF(E430="",B430,E430))</f>
        <v/>
      </c>
    </row>
    <row r="431">
      <c r="A431" s="1" t="n"/>
      <c r="B431" s="29" t="n"/>
      <c r="C431" s="26" t="n"/>
      <c r="D431" s="27" t="n"/>
      <c r="E431" s="29" t="n"/>
      <c r="F431" s="26" t="n"/>
      <c r="G431" s="26" t="n"/>
      <c r="H431" s="1">
        <f>IF(B431="","",IF(E431="",B431,E431))</f>
        <v/>
      </c>
    </row>
    <row r="432">
      <c r="A432" s="1" t="n"/>
      <c r="B432" s="29" t="n"/>
      <c r="C432" s="26" t="n"/>
      <c r="D432" s="27" t="n"/>
      <c r="E432" s="29" t="n"/>
      <c r="F432" s="26" t="n"/>
      <c r="G432" s="26" t="n"/>
      <c r="H432" s="1">
        <f>IF(B432="","",IF(E432="",B432,E432))</f>
        <v/>
      </c>
    </row>
    <row r="433">
      <c r="A433" s="1" t="n"/>
      <c r="B433" s="29" t="n"/>
      <c r="C433" s="26" t="n"/>
      <c r="D433" s="27" t="n"/>
      <c r="E433" s="29" t="n"/>
      <c r="F433" s="26" t="n"/>
      <c r="G433" s="26" t="n"/>
      <c r="H433" s="1">
        <f>IF(B433="","",IF(E433="",B433,E433))</f>
        <v/>
      </c>
    </row>
    <row r="434">
      <c r="A434" s="1" t="n"/>
      <c r="B434" s="29" t="n"/>
      <c r="C434" s="26" t="n"/>
      <c r="D434" s="27" t="n"/>
      <c r="E434" s="29" t="n"/>
      <c r="F434" s="26" t="n"/>
      <c r="G434" s="26" t="n"/>
      <c r="H434" s="1">
        <f>IF(B434="","",IF(E434="",B434,E434))</f>
        <v/>
      </c>
    </row>
    <row r="435">
      <c r="A435" s="1" t="n"/>
      <c r="B435" s="29" t="n"/>
      <c r="C435" s="26" t="n"/>
      <c r="D435" s="27" t="n"/>
      <c r="E435" s="29" t="n"/>
      <c r="F435" s="26" t="n"/>
      <c r="G435" s="26" t="n"/>
      <c r="H435" s="1">
        <f>IF(B435="","",IF(E435="",B435,E435))</f>
        <v/>
      </c>
    </row>
    <row r="436">
      <c r="A436" s="1" t="n"/>
      <c r="B436" s="29" t="n"/>
      <c r="C436" s="26" t="n"/>
      <c r="D436" s="27" t="n"/>
      <c r="E436" s="29" t="n"/>
      <c r="F436" s="26" t="n"/>
      <c r="G436" s="26" t="n"/>
      <c r="H436" s="1">
        <f>IF(B436="","",IF(E436="",B436,E436))</f>
        <v/>
      </c>
    </row>
    <row r="437">
      <c r="A437" s="1" t="n"/>
      <c r="B437" s="29" t="n"/>
      <c r="C437" s="26" t="n"/>
      <c r="D437" s="27" t="n"/>
      <c r="E437" s="29" t="n"/>
      <c r="F437" s="26" t="n"/>
      <c r="G437" s="26" t="n"/>
      <c r="H437" s="1">
        <f>IF(B437="","",IF(E437="",B437,E437))</f>
        <v/>
      </c>
    </row>
    <row r="438">
      <c r="A438" s="1" t="n"/>
      <c r="B438" s="29" t="n"/>
      <c r="C438" s="26" t="n"/>
      <c r="D438" s="27" t="n"/>
      <c r="E438" s="29" t="n"/>
      <c r="F438" s="26" t="n"/>
      <c r="G438" s="26" t="n"/>
      <c r="H438" s="1">
        <f>IF(B438="","",IF(E438="",B438,E438))</f>
        <v/>
      </c>
    </row>
    <row r="439">
      <c r="A439" s="1" t="n"/>
      <c r="B439" s="29" t="n"/>
      <c r="C439" s="26" t="n"/>
      <c r="D439" s="27" t="n"/>
      <c r="E439" s="29" t="n"/>
      <c r="F439" s="26" t="n"/>
      <c r="G439" s="26" t="n"/>
      <c r="H439" s="1">
        <f>IF(B439="","",IF(E439="",B439,E439))</f>
        <v/>
      </c>
    </row>
    <row r="440">
      <c r="A440" s="1" t="n"/>
      <c r="B440" s="29" t="n"/>
      <c r="C440" s="26" t="n"/>
      <c r="D440" s="27" t="n"/>
      <c r="E440" s="29" t="n"/>
      <c r="F440" s="26" t="n"/>
      <c r="G440" s="26" t="n"/>
      <c r="H440" s="1">
        <f>IF(B440="","",IF(E440="",B440,E440))</f>
        <v/>
      </c>
    </row>
    <row r="441">
      <c r="A441" s="1" t="n"/>
      <c r="B441" s="29" t="n"/>
      <c r="C441" s="26" t="n"/>
      <c r="D441" s="27" t="n"/>
      <c r="E441" s="29" t="n"/>
      <c r="F441" s="26" t="n"/>
      <c r="G441" s="26" t="n"/>
      <c r="H441" s="1">
        <f>IF(B441="","",IF(E441="",B441,E441))</f>
        <v/>
      </c>
    </row>
    <row r="442">
      <c r="A442" s="1" t="n"/>
      <c r="B442" s="29" t="n"/>
      <c r="C442" s="26" t="n"/>
      <c r="D442" s="27" t="n"/>
      <c r="E442" s="29" t="n"/>
      <c r="F442" s="26" t="n"/>
      <c r="G442" s="26" t="n"/>
      <c r="H442" s="1">
        <f>IF(B442="","",IF(E442="",B442,E442))</f>
        <v/>
      </c>
    </row>
    <row r="443">
      <c r="A443" s="1" t="n"/>
      <c r="B443" s="29" t="n"/>
      <c r="C443" s="26" t="n"/>
      <c r="D443" s="27" t="n"/>
      <c r="E443" s="29" t="n"/>
      <c r="F443" s="26" t="n"/>
      <c r="G443" s="26" t="n"/>
      <c r="H443" s="1">
        <f>IF(B443="","",IF(E443="",B443,E443))</f>
        <v/>
      </c>
    </row>
    <row r="444">
      <c r="A444" s="1" t="n"/>
      <c r="B444" s="29" t="n"/>
      <c r="C444" s="26" t="n"/>
      <c r="D444" s="27" t="n"/>
      <c r="E444" s="29" t="n"/>
      <c r="F444" s="26" t="n"/>
      <c r="G444" s="26" t="n"/>
      <c r="H444" s="1">
        <f>IF(B444="","",IF(E444="",B444,E444))</f>
        <v/>
      </c>
    </row>
    <row r="445">
      <c r="A445" s="1" t="n"/>
      <c r="B445" s="29" t="n"/>
      <c r="C445" s="26" t="n"/>
      <c r="D445" s="27" t="n"/>
      <c r="E445" s="29" t="n"/>
      <c r="F445" s="26" t="n"/>
      <c r="G445" s="26" t="n"/>
      <c r="H445" s="1">
        <f>IF(B445="","",IF(E445="",B445,E445))</f>
        <v/>
      </c>
    </row>
    <row r="446">
      <c r="A446" s="1" t="n"/>
      <c r="B446" s="29" t="n"/>
      <c r="C446" s="26" t="n"/>
      <c r="D446" s="27" t="n"/>
      <c r="E446" s="29" t="n"/>
      <c r="F446" s="26" t="n"/>
      <c r="G446" s="26" t="n"/>
      <c r="H446" s="1">
        <f>IF(B446="","",IF(E446="",B446,E446))</f>
        <v/>
      </c>
    </row>
    <row r="447">
      <c r="A447" s="1" t="n"/>
      <c r="B447" s="29" t="n"/>
      <c r="C447" s="26" t="n"/>
      <c r="D447" s="27" t="n"/>
      <c r="E447" s="29" t="n"/>
      <c r="F447" s="26" t="n"/>
      <c r="G447" s="26" t="n"/>
      <c r="H447" s="1">
        <f>IF(B447="","",IF(E447="",B447,E447))</f>
        <v/>
      </c>
    </row>
    <row r="448">
      <c r="A448" s="1" t="n"/>
      <c r="B448" s="29" t="n"/>
      <c r="C448" s="26" t="n"/>
      <c r="D448" s="27" t="n"/>
      <c r="E448" s="29" t="n"/>
      <c r="F448" s="26" t="n"/>
      <c r="G448" s="26" t="n"/>
      <c r="H448" s="1">
        <f>IF(B448="","",IF(E448="",B448,E448))</f>
        <v/>
      </c>
    </row>
    <row r="449">
      <c r="A449" s="1" t="n"/>
      <c r="B449" s="29" t="n"/>
      <c r="C449" s="26" t="n"/>
      <c r="D449" s="27" t="n"/>
      <c r="E449" s="29" t="n"/>
      <c r="F449" s="26" t="n"/>
      <c r="G449" s="26" t="n"/>
      <c r="H449" s="1">
        <f>IF(B449="","",IF(E449="",B449,E449))</f>
        <v/>
      </c>
    </row>
    <row r="450">
      <c r="A450" s="1" t="n"/>
      <c r="B450" s="29" t="n"/>
      <c r="C450" s="26" t="n"/>
      <c r="D450" s="27" t="n"/>
      <c r="E450" s="29" t="n"/>
      <c r="F450" s="26" t="n"/>
      <c r="G450" s="26" t="n"/>
      <c r="H450" s="1">
        <f>IF(B450="","",IF(E450="",B450,E450))</f>
        <v/>
      </c>
    </row>
    <row r="451">
      <c r="A451" s="1" t="n"/>
      <c r="B451" s="29" t="n"/>
      <c r="C451" s="26" t="n"/>
      <c r="D451" s="27" t="n"/>
      <c r="E451" s="29" t="n"/>
      <c r="F451" s="26" t="n"/>
      <c r="G451" s="26" t="n"/>
      <c r="H451" s="1">
        <f>IF(B451="","",IF(E451="",B451,E451))</f>
        <v/>
      </c>
    </row>
    <row r="452">
      <c r="A452" s="1" t="n"/>
      <c r="B452" s="29" t="n"/>
      <c r="C452" s="26" t="n"/>
      <c r="D452" s="27" t="n"/>
      <c r="E452" s="29" t="n"/>
      <c r="F452" s="26" t="n"/>
      <c r="G452" s="26" t="n"/>
      <c r="H452" s="1">
        <f>IF(B452="","",IF(E452="",B452,E452))</f>
        <v/>
      </c>
    </row>
    <row r="453">
      <c r="A453" s="1" t="n"/>
      <c r="B453" s="29" t="n"/>
      <c r="C453" s="26" t="n"/>
      <c r="D453" s="27" t="n"/>
      <c r="E453" s="29" t="n"/>
      <c r="F453" s="26" t="n"/>
      <c r="G453" s="26" t="n"/>
      <c r="H453" s="1">
        <f>IF(B453="","",IF(E453="",B453,E453))</f>
        <v/>
      </c>
    </row>
    <row r="454">
      <c r="A454" s="1" t="n"/>
      <c r="B454" s="29" t="n"/>
      <c r="C454" s="26" t="n"/>
      <c r="D454" s="27" t="n"/>
      <c r="E454" s="29" t="n"/>
      <c r="F454" s="26" t="n"/>
      <c r="G454" s="26" t="n"/>
      <c r="H454" s="1">
        <f>IF(B454="","",IF(E454="",B454,E454))</f>
        <v/>
      </c>
    </row>
    <row r="455">
      <c r="A455" s="1" t="n"/>
      <c r="B455" s="29" t="n"/>
      <c r="C455" s="26" t="n"/>
      <c r="D455" s="27" t="n"/>
      <c r="E455" s="29" t="n"/>
      <c r="F455" s="26" t="n"/>
      <c r="G455" s="26" t="n"/>
      <c r="H455" s="1">
        <f>IF(B455="","",IF(E455="",B455,E455))</f>
        <v/>
      </c>
    </row>
    <row r="456">
      <c r="A456" s="1" t="n"/>
      <c r="B456" s="29" t="n"/>
      <c r="C456" s="26" t="n"/>
      <c r="D456" s="27" t="n"/>
      <c r="E456" s="29" t="n"/>
      <c r="F456" s="26" t="n"/>
      <c r="G456" s="26" t="n"/>
      <c r="H456" s="1">
        <f>IF(B456="","",IF(E456="",B456,E456))</f>
        <v/>
      </c>
    </row>
    <row r="457">
      <c r="A457" s="1" t="n"/>
      <c r="B457" s="29" t="n"/>
      <c r="C457" s="26" t="n"/>
      <c r="D457" s="27" t="n"/>
      <c r="E457" s="29" t="n"/>
      <c r="F457" s="26" t="n"/>
      <c r="G457" s="26" t="n"/>
      <c r="H457" s="1">
        <f>IF(B457="","",IF(E457="",B457,E457))</f>
        <v/>
      </c>
    </row>
    <row r="458">
      <c r="A458" s="1" t="n"/>
      <c r="B458" s="29" t="n"/>
      <c r="C458" s="26" t="n"/>
      <c r="D458" s="27" t="n"/>
      <c r="E458" s="29" t="n"/>
      <c r="F458" s="26" t="n"/>
      <c r="G458" s="26" t="n"/>
      <c r="H458" s="1">
        <f>IF(B458="","",IF(E458="",B458,E458))</f>
        <v/>
      </c>
    </row>
    <row r="459">
      <c r="A459" s="1" t="n"/>
      <c r="B459" s="29" t="n"/>
      <c r="C459" s="26" t="n"/>
      <c r="D459" s="27" t="n"/>
      <c r="E459" s="29" t="n"/>
      <c r="F459" s="26" t="n"/>
      <c r="G459" s="26" t="n"/>
      <c r="H459" s="1">
        <f>IF(B459="","",IF(E459="",B459,E459))</f>
        <v/>
      </c>
    </row>
    <row r="460">
      <c r="A460" s="1" t="n"/>
      <c r="B460" s="29" t="n"/>
      <c r="C460" s="26" t="n"/>
      <c r="D460" s="27" t="n"/>
      <c r="E460" s="29" t="n"/>
      <c r="F460" s="26" t="n"/>
      <c r="G460" s="26" t="n"/>
      <c r="H460" s="1">
        <f>IF(B460="","",IF(E460="",B460,E460))</f>
        <v/>
      </c>
    </row>
    <row r="461">
      <c r="A461" s="1" t="n"/>
      <c r="B461" s="29" t="n"/>
      <c r="C461" s="26" t="n"/>
      <c r="D461" s="27" t="n"/>
      <c r="E461" s="29" t="n"/>
      <c r="F461" s="26" t="n"/>
      <c r="G461" s="26" t="n"/>
      <c r="H461" s="1">
        <f>IF(B461="","",IF(E461="",B461,E461))</f>
        <v/>
      </c>
    </row>
    <row r="462">
      <c r="A462" s="1" t="n"/>
      <c r="B462" s="29" t="n"/>
      <c r="C462" s="26" t="n"/>
      <c r="D462" s="27" t="n"/>
      <c r="E462" s="29" t="n"/>
      <c r="F462" s="26" t="n"/>
      <c r="G462" s="26" t="n"/>
      <c r="H462" s="1">
        <f>IF(B462="","",IF(E462="",B462,E462))</f>
        <v/>
      </c>
    </row>
    <row r="463">
      <c r="A463" s="1" t="n"/>
      <c r="B463" s="29" t="n"/>
      <c r="C463" s="26" t="n"/>
      <c r="D463" s="27" t="n"/>
      <c r="E463" s="29" t="n"/>
      <c r="F463" s="26" t="n"/>
      <c r="G463" s="26" t="n"/>
      <c r="H463" s="1">
        <f>IF(B463="","",IF(E463="",B463,E463))</f>
        <v/>
      </c>
    </row>
    <row r="464">
      <c r="A464" s="1" t="n"/>
      <c r="B464" s="29" t="n"/>
      <c r="C464" s="26" t="n"/>
      <c r="D464" s="27" t="n"/>
      <c r="E464" s="29" t="n"/>
      <c r="F464" s="26" t="n"/>
      <c r="G464" s="26" t="n"/>
      <c r="H464" s="1">
        <f>IF(B464="","",IF(E464="",B464,E464))</f>
        <v/>
      </c>
    </row>
    <row r="465">
      <c r="A465" s="1" t="n"/>
      <c r="B465" s="29" t="n"/>
      <c r="C465" s="26" t="n"/>
      <c r="D465" s="27" t="n"/>
      <c r="E465" s="29" t="n"/>
      <c r="F465" s="26" t="n"/>
      <c r="G465" s="26" t="n"/>
      <c r="H465" s="1">
        <f>IF(B465="","",IF(E465="",B465,E465))</f>
        <v/>
      </c>
    </row>
    <row r="466">
      <c r="A466" s="1" t="n"/>
      <c r="B466" s="29" t="n"/>
      <c r="C466" s="26" t="n"/>
      <c r="D466" s="27" t="n"/>
      <c r="E466" s="29" t="n"/>
      <c r="F466" s="26" t="n"/>
      <c r="G466" s="26" t="n"/>
      <c r="H466" s="1">
        <f>IF(B466="","",IF(E466="",B466,E466))</f>
        <v/>
      </c>
    </row>
    <row r="467">
      <c r="A467" s="1" t="n"/>
      <c r="B467" s="29" t="n"/>
      <c r="C467" s="26" t="n"/>
      <c r="D467" s="27" t="n"/>
      <c r="E467" s="29" t="n"/>
      <c r="F467" s="26" t="n"/>
      <c r="G467" s="26" t="n"/>
      <c r="H467" s="1">
        <f>IF(B467="","",IF(E467="",B467,E467))</f>
        <v/>
      </c>
    </row>
    <row r="468">
      <c r="A468" s="1" t="n"/>
      <c r="B468" s="29" t="n"/>
      <c r="C468" s="26" t="n"/>
      <c r="D468" s="27" t="n"/>
      <c r="E468" s="29" t="n"/>
      <c r="F468" s="26" t="n"/>
      <c r="G468" s="26" t="n"/>
      <c r="H468" s="1">
        <f>IF(B468="","",IF(E468="",B468,E468))</f>
        <v/>
      </c>
    </row>
    <row r="469">
      <c r="A469" s="1" t="n"/>
      <c r="B469" s="29" t="n"/>
      <c r="C469" s="26" t="n"/>
      <c r="D469" s="27" t="n"/>
      <c r="E469" s="29" t="n"/>
      <c r="F469" s="26" t="n"/>
      <c r="G469" s="26" t="n"/>
      <c r="H469" s="1">
        <f>IF(B469="","",IF(E469="",B469,E469))</f>
        <v/>
      </c>
    </row>
    <row r="470">
      <c r="A470" s="1" t="n"/>
      <c r="B470" s="29" t="n"/>
      <c r="C470" s="26" t="n"/>
      <c r="D470" s="27" t="n"/>
      <c r="E470" s="29" t="n"/>
      <c r="F470" s="26" t="n"/>
      <c r="G470" s="26" t="n"/>
      <c r="H470" s="1">
        <f>IF(B470="","",IF(E470="",B470,E470))</f>
        <v/>
      </c>
    </row>
    <row r="471">
      <c r="A471" s="1" t="n"/>
      <c r="B471" s="29" t="n"/>
      <c r="C471" s="26" t="n"/>
      <c r="D471" s="27" t="n"/>
      <c r="E471" s="29" t="n"/>
      <c r="F471" s="26" t="n"/>
      <c r="G471" s="26" t="n"/>
      <c r="H471" s="1">
        <f>IF(B471="","",IF(E471="",B471,E471))</f>
        <v/>
      </c>
    </row>
    <row r="472">
      <c r="A472" s="1" t="n"/>
      <c r="B472" s="29" t="n"/>
      <c r="C472" s="26" t="n"/>
      <c r="D472" s="27" t="n"/>
      <c r="E472" s="29" t="n"/>
      <c r="F472" s="26" t="n"/>
      <c r="G472" s="26" t="n"/>
      <c r="H472" s="1">
        <f>IF(B472="","",IF(E472="",B472,E472))</f>
        <v/>
      </c>
    </row>
    <row r="473">
      <c r="A473" s="1" t="n"/>
      <c r="B473" s="29" t="n"/>
      <c r="C473" s="26" t="n"/>
      <c r="D473" s="27" t="n"/>
      <c r="E473" s="29" t="n"/>
      <c r="F473" s="26" t="n"/>
      <c r="G473" s="26" t="n"/>
      <c r="H473" s="1">
        <f>IF(B473="","",IF(E473="",B473,E473))</f>
        <v/>
      </c>
    </row>
    <row r="474">
      <c r="A474" s="1" t="n"/>
      <c r="B474" s="29" t="n"/>
      <c r="C474" s="26" t="n"/>
      <c r="D474" s="27" t="n"/>
      <c r="E474" s="29" t="n"/>
      <c r="F474" s="26" t="n"/>
      <c r="G474" s="26" t="n"/>
      <c r="H474" s="1">
        <f>IF(B474="","",IF(E474="",B474,E474))</f>
        <v/>
      </c>
    </row>
    <row r="475">
      <c r="A475" s="1" t="n"/>
      <c r="B475" s="29" t="n"/>
      <c r="C475" s="26" t="n"/>
      <c r="D475" s="27" t="n"/>
      <c r="E475" s="29" t="n"/>
      <c r="F475" s="26" t="n"/>
      <c r="G475" s="26" t="n"/>
      <c r="H475" s="1">
        <f>IF(B475="","",IF(E475="",B475,E475))</f>
        <v/>
      </c>
    </row>
    <row r="476">
      <c r="A476" s="1" t="n"/>
      <c r="B476" s="29" t="n"/>
      <c r="C476" s="26" t="n"/>
      <c r="D476" s="27" t="n"/>
      <c r="E476" s="29" t="n"/>
      <c r="F476" s="26" t="n"/>
      <c r="G476" s="26" t="n"/>
      <c r="H476" s="1">
        <f>IF(B476="","",IF(E476="",B476,E476))</f>
        <v/>
      </c>
    </row>
    <row r="477">
      <c r="A477" s="1" t="n"/>
      <c r="B477" s="29" t="n"/>
      <c r="C477" s="26" t="n"/>
      <c r="D477" s="27" t="n"/>
      <c r="E477" s="29" t="n"/>
      <c r="F477" s="26" t="n"/>
      <c r="G477" s="26" t="n"/>
      <c r="H477" s="1">
        <f>IF(B477="","",IF(E477="",B477,E477))</f>
        <v/>
      </c>
    </row>
    <row r="478">
      <c r="A478" s="1" t="n"/>
      <c r="B478" s="29" t="n"/>
      <c r="C478" s="26" t="n"/>
      <c r="D478" s="27" t="n"/>
      <c r="E478" s="29" t="n"/>
      <c r="F478" s="26" t="n"/>
      <c r="G478" s="26" t="n"/>
      <c r="H478" s="1">
        <f>IF(B478="","",IF(E478="",B478,E478))</f>
        <v/>
      </c>
    </row>
    <row r="479">
      <c r="A479" s="1" t="n"/>
      <c r="B479" s="29" t="n"/>
      <c r="C479" s="26" t="n"/>
      <c r="D479" s="27" t="n"/>
      <c r="E479" s="29" t="n"/>
      <c r="F479" s="26" t="n"/>
      <c r="G479" s="26" t="n"/>
      <c r="H479" s="1">
        <f>IF(B479="","",IF(E479="",B479,E479))</f>
        <v/>
      </c>
    </row>
    <row r="480">
      <c r="A480" s="1" t="n"/>
      <c r="B480" s="29" t="n"/>
      <c r="C480" s="26" t="n"/>
      <c r="D480" s="27" t="n"/>
      <c r="E480" s="29" t="n"/>
      <c r="F480" s="26" t="n"/>
      <c r="G480" s="26" t="n"/>
      <c r="H480" s="1">
        <f>IF(B480="","",IF(E480="",B480,E480))</f>
        <v/>
      </c>
    </row>
    <row r="481">
      <c r="A481" s="1" t="n"/>
      <c r="B481" s="29" t="n"/>
      <c r="C481" s="26" t="n"/>
      <c r="D481" s="27" t="n"/>
      <c r="E481" s="29" t="n"/>
      <c r="F481" s="26" t="n"/>
      <c r="G481" s="26" t="n"/>
      <c r="H481" s="1">
        <f>IF(B481="","",IF(E481="",B481,E481))</f>
        <v/>
      </c>
    </row>
    <row r="482">
      <c r="A482" s="1" t="n"/>
      <c r="B482" s="29" t="n"/>
      <c r="C482" s="26" t="n"/>
      <c r="D482" s="27" t="n"/>
      <c r="E482" s="29" t="n"/>
      <c r="F482" s="26" t="n"/>
      <c r="G482" s="26" t="n"/>
      <c r="H482" s="1">
        <f>IF(B482="","",IF(E482="",B482,E482))</f>
        <v/>
      </c>
    </row>
    <row r="483">
      <c r="A483" s="1" t="n"/>
      <c r="B483" s="29" t="n"/>
      <c r="C483" s="26" t="n"/>
      <c r="D483" s="27" t="n"/>
      <c r="E483" s="29" t="n"/>
      <c r="F483" s="26" t="n"/>
      <c r="G483" s="26" t="n"/>
      <c r="H483" s="1">
        <f>IF(B483="","",IF(E483="",B483,E483))</f>
        <v/>
      </c>
    </row>
    <row r="484">
      <c r="A484" s="1" t="n"/>
      <c r="B484" s="29" t="n"/>
      <c r="C484" s="26" t="n"/>
      <c r="D484" s="27" t="n"/>
      <c r="E484" s="29" t="n"/>
      <c r="F484" s="26" t="n"/>
      <c r="G484" s="26" t="n"/>
      <c r="H484" s="1">
        <f>IF(B484="","",IF(E484="",B484,E484))</f>
        <v/>
      </c>
    </row>
    <row r="485">
      <c r="A485" s="1" t="n"/>
      <c r="B485" s="29" t="n"/>
      <c r="C485" s="26" t="n"/>
      <c r="D485" s="27" t="n"/>
      <c r="E485" s="29" t="n"/>
      <c r="F485" s="26" t="n"/>
      <c r="G485" s="26" t="n"/>
      <c r="H485" s="1">
        <f>IF(B485="","",IF(E485="",B485,E485))</f>
        <v/>
      </c>
    </row>
    <row r="486">
      <c r="A486" s="1" t="n"/>
      <c r="B486" s="29" t="n"/>
      <c r="C486" s="26" t="n"/>
      <c r="D486" s="27" t="n"/>
      <c r="E486" s="29" t="n"/>
      <c r="F486" s="26" t="n"/>
      <c r="G486" s="26" t="n"/>
      <c r="H486" s="1">
        <f>IF(B486="","",IF(E486="",B486,E486))</f>
        <v/>
      </c>
    </row>
    <row r="487">
      <c r="A487" s="1" t="n"/>
      <c r="B487" s="29" t="n"/>
      <c r="C487" s="26" t="n"/>
      <c r="D487" s="27" t="n"/>
      <c r="E487" s="29" t="n"/>
      <c r="F487" s="26" t="n"/>
      <c r="G487" s="26" t="n"/>
      <c r="H487" s="1">
        <f>IF(B487="","",IF(E487="",B487,E487))</f>
        <v/>
      </c>
    </row>
    <row r="488">
      <c r="A488" s="1" t="n"/>
      <c r="B488" s="29" t="n"/>
      <c r="C488" s="26" t="n"/>
      <c r="D488" s="27" t="n"/>
      <c r="E488" s="29" t="n"/>
      <c r="F488" s="26" t="n"/>
      <c r="G488" s="26" t="n"/>
      <c r="H488" s="1">
        <f>IF(B488="","",IF(E488="",B488,E488))</f>
        <v/>
      </c>
    </row>
    <row r="489">
      <c r="A489" s="1" t="n"/>
      <c r="B489" s="29" t="n"/>
      <c r="C489" s="26" t="n"/>
      <c r="D489" s="27" t="n"/>
      <c r="E489" s="29" t="n"/>
      <c r="F489" s="26" t="n"/>
      <c r="G489" s="26" t="n"/>
      <c r="H489" s="1">
        <f>IF(B489="","",IF(E489="",B489,E489))</f>
        <v/>
      </c>
    </row>
    <row r="490">
      <c r="A490" s="1" t="n"/>
      <c r="B490" s="29" t="n"/>
      <c r="C490" s="26" t="n"/>
      <c r="D490" s="27" t="n"/>
      <c r="E490" s="29" t="n"/>
      <c r="F490" s="26" t="n"/>
      <c r="G490" s="26" t="n"/>
      <c r="H490" s="1">
        <f>IF(B490="","",IF(E490="",B490,E490))</f>
        <v/>
      </c>
    </row>
    <row r="491">
      <c r="A491" s="1" t="n"/>
      <c r="B491" s="29" t="n"/>
      <c r="C491" s="26" t="n"/>
      <c r="D491" s="27" t="n"/>
      <c r="E491" s="29" t="n"/>
      <c r="F491" s="26" t="n"/>
      <c r="G491" s="26" t="n"/>
      <c r="H491" s="1">
        <f>IF(B491="","",IF(E491="",B491,E491))</f>
        <v/>
      </c>
    </row>
    <row r="492">
      <c r="A492" s="1" t="n"/>
      <c r="B492" s="29" t="n"/>
      <c r="C492" s="26" t="n"/>
      <c r="D492" s="27" t="n"/>
      <c r="E492" s="29" t="n"/>
      <c r="F492" s="26" t="n"/>
      <c r="G492" s="26" t="n"/>
      <c r="H492" s="1">
        <f>IF(B492="","",IF(E492="",B492,E492))</f>
        <v/>
      </c>
    </row>
    <row r="493">
      <c r="A493" s="1" t="n"/>
      <c r="B493" s="29" t="n"/>
      <c r="C493" s="26" t="n"/>
      <c r="D493" s="27" t="n"/>
      <c r="E493" s="29" t="n"/>
      <c r="F493" s="26" t="n"/>
      <c r="G493" s="26" t="n"/>
      <c r="H493" s="1">
        <f>IF(B493="","",IF(E493="",B493,E493))</f>
        <v/>
      </c>
    </row>
    <row r="494">
      <c r="A494" s="1" t="n"/>
      <c r="B494" s="29" t="n"/>
      <c r="C494" s="26" t="n"/>
      <c r="D494" s="27" t="n"/>
      <c r="E494" s="29" t="n"/>
      <c r="F494" s="26" t="n"/>
      <c r="G494" s="26" t="n"/>
      <c r="H494" s="1">
        <f>IF(B494="","",IF(E494="",B494,E494))</f>
        <v/>
      </c>
    </row>
    <row r="495">
      <c r="A495" s="1" t="n"/>
      <c r="B495" s="29" t="n"/>
      <c r="C495" s="26" t="n"/>
      <c r="D495" s="27" t="n"/>
      <c r="E495" s="29" t="n"/>
      <c r="F495" s="26" t="n"/>
      <c r="G495" s="26" t="n"/>
      <c r="H495" s="1">
        <f>IF(B495="","",IF(E495="",B495,E495))</f>
        <v/>
      </c>
    </row>
    <row r="496">
      <c r="A496" s="1" t="n"/>
      <c r="B496" s="29" t="n"/>
      <c r="C496" s="26" t="n"/>
      <c r="D496" s="27" t="n"/>
      <c r="E496" s="29" t="n"/>
      <c r="F496" s="26" t="n"/>
      <c r="G496" s="26" t="n"/>
      <c r="H496" s="1">
        <f>IF(B496="","",IF(E496="",B496,E496))</f>
        <v/>
      </c>
    </row>
    <row r="497">
      <c r="A497" s="1" t="n"/>
      <c r="B497" s="29" t="n"/>
      <c r="C497" s="26" t="n"/>
      <c r="D497" s="27" t="n"/>
      <c r="E497" s="29" t="n"/>
      <c r="F497" s="26" t="n"/>
      <c r="G497" s="26" t="n"/>
      <c r="H497" s="1">
        <f>IF(B497="","",IF(E497="",B497,E497))</f>
        <v/>
      </c>
    </row>
    <row r="498">
      <c r="A498" s="1" t="n"/>
      <c r="B498" s="29" t="n"/>
      <c r="C498" s="26" t="n"/>
      <c r="D498" s="27" t="n"/>
      <c r="E498" s="29" t="n"/>
      <c r="F498" s="26" t="n"/>
      <c r="G498" s="26" t="n"/>
      <c r="H498" s="1">
        <f>IF(B498="","",IF(E498="",B498,E498))</f>
        <v/>
      </c>
    </row>
    <row r="499">
      <c r="A499" s="1" t="n"/>
      <c r="B499" s="29" t="n"/>
      <c r="C499" s="26" t="n"/>
      <c r="D499" s="27" t="n"/>
      <c r="E499" s="29" t="n"/>
      <c r="F499" s="26" t="n"/>
      <c r="G499" s="26" t="n"/>
      <c r="H499" s="1">
        <f>IF(B499="","",IF(E499="",B499,E499))</f>
        <v/>
      </c>
    </row>
    <row r="500">
      <c r="A500" s="1" t="n"/>
      <c r="B500" s="29" t="n"/>
      <c r="C500" s="26" t="n"/>
      <c r="D500" s="27" t="n"/>
      <c r="E500" s="29" t="n"/>
      <c r="F500" s="26" t="n"/>
      <c r="G500" s="26" t="n"/>
      <c r="H500" s="1">
        <f>IF(B500="","",IF(E500="",B500,E500))</f>
        <v/>
      </c>
    </row>
    <row r="501">
      <c r="A501" s="1" t="n"/>
      <c r="B501" s="29" t="n"/>
      <c r="C501" s="26" t="n"/>
      <c r="D501" s="27" t="n"/>
      <c r="E501" s="29" t="n"/>
      <c r="F501" s="26" t="n"/>
      <c r="G501" s="26" t="n"/>
      <c r="H501" s="1">
        <f>IF(B501="","",IF(E501="",B501,E501))</f>
        <v/>
      </c>
    </row>
    <row r="502">
      <c r="A502" s="1" t="n"/>
      <c r="B502" s="29" t="n"/>
      <c r="C502" s="26" t="n"/>
      <c r="D502" s="27" t="n"/>
      <c r="E502" s="29" t="n"/>
      <c r="F502" s="26" t="n"/>
      <c r="G502" s="26" t="n"/>
      <c r="H502" s="1">
        <f>IF(B502="","",IF(E502="",B502,E502))</f>
        <v/>
      </c>
    </row>
    <row r="503">
      <c r="A503" s="1" t="n"/>
      <c r="B503" s="29" t="n"/>
      <c r="C503" s="26" t="n"/>
      <c r="D503" s="27" t="n"/>
      <c r="E503" s="29" t="n"/>
      <c r="F503" s="26" t="n"/>
      <c r="G503" s="26" t="n"/>
      <c r="H503" s="1">
        <f>IF(B503="","",IF(E503="",B503,E503))</f>
        <v/>
      </c>
    </row>
    <row r="504">
      <c r="A504" s="1" t="n"/>
      <c r="B504" s="29" t="n"/>
      <c r="C504" s="26" t="n"/>
      <c r="D504" s="27" t="n"/>
      <c r="E504" s="29" t="n"/>
      <c r="F504" s="26" t="n"/>
      <c r="G504" s="26" t="n"/>
      <c r="H504" s="1">
        <f>IF(B504="","",IF(E504="",B504,E504))</f>
        <v/>
      </c>
    </row>
    <row r="505">
      <c r="A505" s="1" t="n"/>
      <c r="B505" s="29" t="n"/>
      <c r="C505" s="26" t="n"/>
      <c r="D505" s="27" t="n"/>
      <c r="E505" s="29" t="n"/>
      <c r="F505" s="26" t="n"/>
      <c r="G505" s="26" t="n"/>
      <c r="H505" s="1">
        <f>IF(B505="","",IF(E505="",B505,E505))</f>
        <v/>
      </c>
    </row>
    <row r="506">
      <c r="A506" s="1" t="n"/>
      <c r="B506" s="29" t="n"/>
      <c r="C506" s="26" t="n"/>
      <c r="D506" s="27" t="n"/>
      <c r="E506" s="29" t="n"/>
      <c r="F506" s="26" t="n"/>
      <c r="G506" s="26" t="n"/>
      <c r="H506" s="1">
        <f>IF(B506="","",IF(E506="",B506,E506))</f>
        <v/>
      </c>
    </row>
    <row r="507">
      <c r="A507" s="1" t="n"/>
      <c r="B507" s="29" t="n"/>
      <c r="C507" s="26" t="n"/>
      <c r="D507" s="27" t="n"/>
      <c r="E507" s="29" t="n"/>
      <c r="F507" s="26" t="n"/>
      <c r="G507" s="26" t="n"/>
      <c r="H507" s="1">
        <f>IF(B507="","",IF(E507="",B507,E507))</f>
        <v/>
      </c>
    </row>
    <row r="508">
      <c r="A508" s="1" t="n"/>
      <c r="B508" s="29" t="n"/>
      <c r="C508" s="26" t="n"/>
      <c r="D508" s="27" t="n"/>
      <c r="E508" s="29" t="n"/>
      <c r="F508" s="26" t="n"/>
      <c r="G508" s="26" t="n"/>
      <c r="H508" s="1">
        <f>IF(B508="","",IF(E508="",B508,E508))</f>
        <v/>
      </c>
    </row>
    <row r="509">
      <c r="A509" s="1" t="n"/>
      <c r="B509" s="29" t="n"/>
      <c r="C509" s="26" t="n"/>
      <c r="D509" s="27" t="n"/>
      <c r="E509" s="29" t="n"/>
      <c r="F509" s="26" t="n"/>
      <c r="G509" s="26" t="n"/>
      <c r="H509" s="1">
        <f>IF(B509="","",IF(E509="",B509,E509))</f>
        <v/>
      </c>
    </row>
    <row r="510">
      <c r="A510" s="1" t="n"/>
      <c r="B510" s="29" t="n"/>
      <c r="C510" s="26" t="n"/>
      <c r="D510" s="27" t="n"/>
      <c r="E510" s="29" t="n"/>
      <c r="F510" s="26" t="n"/>
      <c r="G510" s="26" t="n"/>
      <c r="H510" s="1">
        <f>IF(B510="","",IF(E510="",B510,E510))</f>
        <v/>
      </c>
    </row>
    <row r="511">
      <c r="A511" s="1" t="n"/>
      <c r="B511" s="29" t="n"/>
      <c r="C511" s="26" t="n"/>
      <c r="D511" s="27" t="n"/>
      <c r="E511" s="29" t="n"/>
      <c r="F511" s="26" t="n"/>
      <c r="G511" s="26" t="n"/>
      <c r="H511" s="1">
        <f>IF(B511="","",IF(E511="",B511,E511))</f>
        <v/>
      </c>
    </row>
    <row r="512">
      <c r="A512" s="1" t="n"/>
      <c r="B512" s="29" t="n"/>
      <c r="C512" s="26" t="n"/>
      <c r="D512" s="27" t="n"/>
      <c r="E512" s="29" t="n"/>
      <c r="F512" s="26" t="n"/>
      <c r="G512" s="26" t="n"/>
      <c r="H512" s="1">
        <f>IF(B512="","",IF(E512="",B512,E512))</f>
        <v/>
      </c>
    </row>
    <row r="513">
      <c r="A513" s="1" t="n"/>
      <c r="B513" s="29" t="n"/>
      <c r="C513" s="26" t="n"/>
      <c r="D513" s="27" t="n"/>
      <c r="E513" s="29" t="n"/>
      <c r="F513" s="26" t="n"/>
      <c r="G513" s="26" t="n"/>
      <c r="H513" s="1">
        <f>IF(B513="","",IF(E513="",B513,E513))</f>
        <v/>
      </c>
    </row>
    <row r="514">
      <c r="A514" s="1" t="n"/>
      <c r="B514" s="29" t="n"/>
      <c r="C514" s="26" t="n"/>
      <c r="D514" s="27" t="n"/>
      <c r="E514" s="29" t="n"/>
      <c r="F514" s="26" t="n"/>
      <c r="G514" s="26" t="n"/>
      <c r="H514" s="1">
        <f>IF(B514="","",IF(E514="",B514,E514))</f>
        <v/>
      </c>
    </row>
    <row r="515">
      <c r="A515" s="1" t="n"/>
      <c r="B515" s="29" t="n"/>
      <c r="C515" s="26" t="n"/>
      <c r="D515" s="27" t="n"/>
      <c r="E515" s="29" t="n"/>
      <c r="F515" s="26" t="n"/>
      <c r="G515" s="26" t="n"/>
      <c r="H515" s="1">
        <f>IF(B515="","",IF(E515="",B515,E515))</f>
        <v/>
      </c>
    </row>
    <row r="516">
      <c r="A516" s="1" t="n"/>
      <c r="B516" s="29" t="n"/>
      <c r="C516" s="26" t="n"/>
      <c r="D516" s="27" t="n"/>
      <c r="E516" s="29" t="n"/>
      <c r="F516" s="26" t="n"/>
      <c r="G516" s="26" t="n"/>
      <c r="H516" s="1">
        <f>IF(B516="","",IF(E516="",B516,E516))</f>
        <v/>
      </c>
    </row>
    <row r="517">
      <c r="A517" s="1" t="n"/>
      <c r="B517" s="29" t="n"/>
      <c r="C517" s="26" t="n"/>
      <c r="D517" s="27" t="n"/>
      <c r="E517" s="29" t="n"/>
      <c r="F517" s="26" t="n"/>
      <c r="G517" s="26" t="n"/>
      <c r="H517" s="1">
        <f>IF(B517="","",IF(E517="",B517,E517))</f>
        <v/>
      </c>
    </row>
    <row r="518">
      <c r="A518" s="1" t="n"/>
      <c r="B518" s="29" t="n"/>
      <c r="C518" s="26" t="n"/>
      <c r="D518" s="27" t="n"/>
      <c r="E518" s="29" t="n"/>
      <c r="F518" s="26" t="n"/>
      <c r="G518" s="26" t="n"/>
      <c r="H518" s="1">
        <f>IF(B518="","",IF(E518="",B518,E518))</f>
        <v/>
      </c>
    </row>
    <row r="519">
      <c r="A519" s="1" t="n"/>
      <c r="B519" s="29" t="n"/>
      <c r="C519" s="26" t="n"/>
      <c r="D519" s="27" t="n"/>
      <c r="E519" s="29" t="n"/>
      <c r="F519" s="26" t="n"/>
      <c r="G519" s="26" t="n"/>
      <c r="H519" s="1">
        <f>IF(B519="","",IF(E519="",B519,E519))</f>
        <v/>
      </c>
    </row>
    <row r="520">
      <c r="A520" s="1" t="n"/>
      <c r="B520" s="29" t="n"/>
      <c r="C520" s="26" t="n"/>
      <c r="D520" s="27" t="n"/>
      <c r="E520" s="29" t="n"/>
      <c r="F520" s="26" t="n"/>
      <c r="G520" s="26" t="n"/>
      <c r="H520" s="1">
        <f>IF(B520="","",IF(E520="",B520,E520))</f>
        <v/>
      </c>
    </row>
    <row r="521">
      <c r="A521" s="1" t="n"/>
      <c r="B521" s="29" t="n"/>
      <c r="C521" s="26" t="n"/>
      <c r="D521" s="27" t="n"/>
      <c r="E521" s="29" t="n"/>
      <c r="F521" s="26" t="n"/>
      <c r="G521" s="26" t="n"/>
      <c r="H521" s="1">
        <f>IF(B521="","",IF(E521="",B521,E521))</f>
        <v/>
      </c>
    </row>
    <row r="522">
      <c r="A522" s="1" t="n"/>
      <c r="B522" s="29" t="n"/>
      <c r="C522" s="26" t="n"/>
      <c r="D522" s="27" t="n"/>
      <c r="E522" s="29" t="n"/>
      <c r="F522" s="26" t="n"/>
      <c r="G522" s="26" t="n"/>
      <c r="H522" s="1">
        <f>IF(B522="","",IF(E522="",B522,E522))</f>
        <v/>
      </c>
    </row>
    <row r="523">
      <c r="A523" s="1" t="n"/>
      <c r="B523" s="29" t="n"/>
      <c r="C523" s="26" t="n"/>
      <c r="D523" s="27" t="n"/>
      <c r="E523" s="29" t="n"/>
      <c r="F523" s="26" t="n"/>
      <c r="G523" s="26" t="n"/>
      <c r="H523" s="1">
        <f>IF(B523="","",IF(E523="",B523,E523))</f>
        <v/>
      </c>
    </row>
    <row r="524">
      <c r="A524" s="1" t="n"/>
      <c r="B524" s="29" t="n"/>
      <c r="C524" s="26" t="n"/>
      <c r="D524" s="27" t="n"/>
      <c r="E524" s="29" t="n"/>
      <c r="F524" s="26" t="n"/>
      <c r="G524" s="26" t="n"/>
      <c r="H524" s="1">
        <f>IF(B524="","",IF(E524="",B524,E524))</f>
        <v/>
      </c>
    </row>
    <row r="525">
      <c r="A525" s="1" t="n"/>
      <c r="B525" s="29" t="n"/>
      <c r="C525" s="26" t="n"/>
      <c r="D525" s="27" t="n"/>
      <c r="E525" s="29" t="n"/>
      <c r="F525" s="26" t="n"/>
      <c r="G525" s="26" t="n"/>
      <c r="H525" s="1">
        <f>IF(B525="","",IF(E525="",B525,E525))</f>
        <v/>
      </c>
    </row>
    <row r="526">
      <c r="A526" s="1" t="n"/>
      <c r="B526" s="29" t="n"/>
      <c r="C526" s="26" t="n"/>
      <c r="D526" s="27" t="n"/>
      <c r="E526" s="29" t="n"/>
      <c r="F526" s="26" t="n"/>
      <c r="G526" s="26" t="n"/>
      <c r="H526" s="1">
        <f>IF(B526="","",IF(E526="",B526,E526))</f>
        <v/>
      </c>
    </row>
    <row r="527">
      <c r="A527" s="1" t="n"/>
      <c r="B527" s="29" t="n"/>
      <c r="C527" s="26" t="n"/>
      <c r="D527" s="27" t="n"/>
      <c r="E527" s="29" t="n"/>
      <c r="F527" s="26" t="n"/>
      <c r="G527" s="26" t="n"/>
      <c r="H527" s="1">
        <f>IF(B527="","",IF(E527="",B527,E527))</f>
        <v/>
      </c>
    </row>
    <row r="528">
      <c r="A528" s="1" t="n"/>
      <c r="B528" s="29" t="n"/>
      <c r="C528" s="26" t="n"/>
      <c r="D528" s="27" t="n"/>
      <c r="E528" s="29" t="n"/>
      <c r="F528" s="26" t="n"/>
      <c r="G528" s="26" t="n"/>
      <c r="H528" s="1">
        <f>IF(B528="","",IF(E528="",B528,E528))</f>
        <v/>
      </c>
    </row>
    <row r="529">
      <c r="A529" s="1" t="n"/>
      <c r="B529" s="29" t="n"/>
      <c r="C529" s="26" t="n"/>
      <c r="D529" s="27" t="n"/>
      <c r="E529" s="29" t="n"/>
      <c r="F529" s="26" t="n"/>
      <c r="G529" s="26" t="n"/>
      <c r="H529" s="1">
        <f>IF(B529="","",IF(E529="",B529,E529))</f>
        <v/>
      </c>
    </row>
    <row r="530">
      <c r="A530" s="1" t="n"/>
      <c r="B530" s="29" t="n"/>
      <c r="C530" s="26" t="n"/>
      <c r="D530" s="27" t="n"/>
      <c r="E530" s="29" t="n"/>
      <c r="F530" s="26" t="n"/>
      <c r="G530" s="26" t="n"/>
      <c r="H530" s="1">
        <f>IF(B530="","",IF(E530="",B530,E530))</f>
        <v/>
      </c>
    </row>
    <row r="531">
      <c r="A531" s="1" t="n"/>
      <c r="B531" s="29" t="n"/>
      <c r="C531" s="26" t="n"/>
      <c r="D531" s="27" t="n"/>
      <c r="E531" s="29" t="n"/>
      <c r="F531" s="26" t="n"/>
      <c r="G531" s="26" t="n"/>
      <c r="H531" s="1">
        <f>IF(B531="","",IF(E531="",B531,E531))</f>
        <v/>
      </c>
    </row>
    <row r="532">
      <c r="A532" s="1" t="n"/>
      <c r="B532" s="29" t="n"/>
      <c r="C532" s="26" t="n"/>
      <c r="D532" s="27" t="n"/>
      <c r="E532" s="29" t="n"/>
      <c r="F532" s="26" t="n"/>
      <c r="G532" s="26" t="n"/>
      <c r="H532" s="1">
        <f>IF(B532="","",IF(E532="",B532,E532))</f>
        <v/>
      </c>
    </row>
    <row r="533">
      <c r="A533" s="1" t="n"/>
      <c r="B533" s="29" t="n"/>
      <c r="C533" s="26" t="n"/>
      <c r="D533" s="27" t="n"/>
      <c r="E533" s="29" t="n"/>
      <c r="F533" s="26" t="n"/>
      <c r="G533" s="26" t="n"/>
      <c r="H533" s="1">
        <f>IF(B533="","",IF(E533="",B533,E533))</f>
        <v/>
      </c>
    </row>
    <row r="534">
      <c r="A534" s="1" t="n"/>
      <c r="B534" s="29" t="n"/>
      <c r="C534" s="26" t="n"/>
      <c r="D534" s="27" t="n"/>
      <c r="E534" s="29" t="n"/>
      <c r="F534" s="26" t="n"/>
      <c r="G534" s="26" t="n"/>
      <c r="H534" s="1">
        <f>IF(B534="","",IF(E534="",B534,E534))</f>
        <v/>
      </c>
    </row>
    <row r="535">
      <c r="A535" s="1" t="n"/>
      <c r="B535" s="29" t="n"/>
      <c r="C535" s="26" t="n"/>
      <c r="D535" s="27" t="n"/>
      <c r="E535" s="29" t="n"/>
      <c r="F535" s="26" t="n"/>
      <c r="G535" s="26" t="n"/>
      <c r="H535" s="1">
        <f>IF(B535="","",IF(E535="",B535,E535))</f>
        <v/>
      </c>
    </row>
    <row r="536">
      <c r="A536" s="1" t="n"/>
      <c r="B536" s="29" t="n"/>
      <c r="C536" s="26" t="n"/>
      <c r="D536" s="27" t="n"/>
      <c r="E536" s="29" t="n"/>
      <c r="F536" s="26" t="n"/>
      <c r="G536" s="26" t="n"/>
      <c r="H536" s="1">
        <f>IF(B536="","",IF(E536="",B536,E536))</f>
        <v/>
      </c>
    </row>
    <row r="537">
      <c r="A537" s="1" t="n"/>
      <c r="B537" s="29" t="n"/>
      <c r="C537" s="26" t="n"/>
      <c r="D537" s="27" t="n"/>
      <c r="E537" s="29" t="n"/>
      <c r="F537" s="26" t="n"/>
      <c r="G537" s="26" t="n"/>
      <c r="H537" s="1">
        <f>IF(B537="","",IF(E537="",B537,E537))</f>
        <v/>
      </c>
    </row>
    <row r="538">
      <c r="A538" s="1" t="n"/>
      <c r="B538" s="29" t="n"/>
      <c r="C538" s="26" t="n"/>
      <c r="D538" s="27" t="n"/>
      <c r="E538" s="29" t="n"/>
      <c r="F538" s="26" t="n"/>
      <c r="G538" s="26" t="n"/>
      <c r="H538" s="1">
        <f>IF(B538="","",IF(E538="",B538,E538))</f>
        <v/>
      </c>
    </row>
    <row r="539">
      <c r="A539" s="1" t="n"/>
      <c r="B539" s="29" t="n"/>
      <c r="C539" s="26" t="n"/>
      <c r="D539" s="27" t="n"/>
      <c r="E539" s="29" t="n"/>
      <c r="F539" s="26" t="n"/>
      <c r="G539" s="26" t="n"/>
      <c r="H539" s="1">
        <f>IF(B539="","",IF(E539="",B539,E539))</f>
        <v/>
      </c>
    </row>
    <row r="540">
      <c r="A540" s="1" t="n"/>
      <c r="B540" s="29" t="n"/>
      <c r="C540" s="26" t="n"/>
      <c r="D540" s="27" t="n"/>
      <c r="E540" s="29" t="n"/>
      <c r="F540" s="26" t="n"/>
      <c r="G540" s="26" t="n"/>
      <c r="H540" s="1">
        <f>IF(B540="","",IF(E540="",B540,E540))</f>
        <v/>
      </c>
    </row>
    <row r="541">
      <c r="A541" s="1" t="n"/>
      <c r="B541" s="29" t="n"/>
      <c r="C541" s="26" t="n"/>
      <c r="D541" s="27" t="n"/>
      <c r="E541" s="29" t="n"/>
      <c r="F541" s="26" t="n"/>
      <c r="G541" s="26" t="n"/>
      <c r="H541" s="1">
        <f>IF(B541="","",IF(E541="",B541,E541))</f>
        <v/>
      </c>
    </row>
    <row r="542">
      <c r="A542" s="1" t="n"/>
      <c r="B542" s="29" t="n"/>
      <c r="C542" s="26" t="n"/>
      <c r="D542" s="27" t="n"/>
      <c r="E542" s="29" t="n"/>
      <c r="F542" s="26" t="n"/>
      <c r="G542" s="26" t="n"/>
      <c r="H542" s="1">
        <f>IF(B542="","",IF(E542="",B542,E542))</f>
        <v/>
      </c>
    </row>
    <row r="543">
      <c r="A543" s="1" t="n"/>
      <c r="B543" s="29" t="n"/>
      <c r="C543" s="26" t="n"/>
      <c r="D543" s="27" t="n"/>
      <c r="E543" s="29" t="n"/>
      <c r="F543" s="26" t="n"/>
      <c r="G543" s="26" t="n"/>
      <c r="H543" s="1">
        <f>IF(B543="","",IF(E543="",B543,E543))</f>
        <v/>
      </c>
    </row>
    <row r="544">
      <c r="A544" s="1" t="n"/>
      <c r="B544" s="29" t="n"/>
      <c r="C544" s="26" t="n"/>
      <c r="D544" s="27" t="n"/>
      <c r="E544" s="29" t="n"/>
      <c r="F544" s="26" t="n"/>
      <c r="G544" s="26" t="n"/>
      <c r="H544" s="1">
        <f>IF(B544="","",IF(E544="",B544,E544))</f>
        <v/>
      </c>
    </row>
    <row r="545">
      <c r="A545" s="1" t="n"/>
      <c r="B545" s="29" t="n"/>
      <c r="C545" s="26" t="n"/>
      <c r="D545" s="27" t="n"/>
      <c r="E545" s="29" t="n"/>
      <c r="F545" s="26" t="n"/>
      <c r="G545" s="26" t="n"/>
      <c r="H545" s="1">
        <f>IF(B545="","",IF(E545="",B545,E545))</f>
        <v/>
      </c>
    </row>
    <row r="546">
      <c r="A546" s="1" t="n"/>
      <c r="B546" s="29" t="n"/>
      <c r="C546" s="26" t="n"/>
      <c r="D546" s="27" t="n"/>
      <c r="E546" s="29" t="n"/>
      <c r="F546" s="26" t="n"/>
      <c r="G546" s="26" t="n"/>
      <c r="H546" s="1">
        <f>IF(B546="","",IF(E546="",B546,E546))</f>
        <v/>
      </c>
    </row>
    <row r="547">
      <c r="A547" s="1" t="n"/>
      <c r="B547" s="29" t="n"/>
      <c r="C547" s="26" t="n"/>
      <c r="D547" s="27" t="n"/>
      <c r="E547" s="29" t="n"/>
      <c r="F547" s="26" t="n"/>
      <c r="G547" s="26" t="n"/>
      <c r="H547" s="1">
        <f>IF(B547="","",IF(E547="",B547,E547))</f>
        <v/>
      </c>
    </row>
    <row r="548">
      <c r="A548" s="1" t="n"/>
      <c r="B548" s="29" t="n"/>
      <c r="C548" s="26" t="n"/>
      <c r="D548" s="27" t="n"/>
      <c r="E548" s="29" t="n"/>
      <c r="F548" s="26" t="n"/>
      <c r="G548" s="26" t="n"/>
      <c r="H548" s="1">
        <f>IF(B548="","",IF(E548="",B548,E548))</f>
        <v/>
      </c>
    </row>
    <row r="549">
      <c r="A549" s="1" t="n"/>
      <c r="B549" s="29" t="n"/>
      <c r="C549" s="26" t="n"/>
      <c r="D549" s="27" t="n"/>
      <c r="E549" s="29" t="n"/>
      <c r="F549" s="26" t="n"/>
      <c r="G549" s="26" t="n"/>
      <c r="H549" s="1">
        <f>IF(B549="","",IF(E549="",B549,E549))</f>
        <v/>
      </c>
    </row>
    <row r="550">
      <c r="A550" s="1" t="n"/>
      <c r="B550" s="29" t="n"/>
      <c r="C550" s="26" t="n"/>
      <c r="D550" s="27" t="n"/>
      <c r="E550" s="29" t="n"/>
      <c r="F550" s="26" t="n"/>
      <c r="G550" s="26" t="n"/>
      <c r="H550" s="1">
        <f>IF(B550="","",IF(E550="",B550,E550))</f>
        <v/>
      </c>
    </row>
    <row r="551">
      <c r="A551" s="1" t="n"/>
      <c r="B551" s="29" t="n"/>
      <c r="C551" s="26" t="n"/>
      <c r="D551" s="27" t="n"/>
      <c r="E551" s="29" t="n"/>
      <c r="F551" s="26" t="n"/>
      <c r="G551" s="26" t="n"/>
      <c r="H551" s="1">
        <f>IF(B551="","",IF(E551="",B551,E551))</f>
        <v/>
      </c>
    </row>
    <row r="552">
      <c r="A552" s="1" t="n"/>
      <c r="B552" s="29" t="n"/>
      <c r="C552" s="26" t="n"/>
      <c r="D552" s="27" t="n"/>
      <c r="E552" s="29" t="n"/>
      <c r="F552" s="26" t="n"/>
      <c r="G552" s="26" t="n"/>
      <c r="H552" s="1">
        <f>IF(B552="","",IF(E552="",B552,E552))</f>
        <v/>
      </c>
    </row>
    <row r="553">
      <c r="A553" s="1" t="n"/>
      <c r="B553" s="29" t="n"/>
      <c r="C553" s="26" t="n"/>
      <c r="D553" s="27" t="n"/>
      <c r="E553" s="29" t="n"/>
      <c r="F553" s="26" t="n"/>
      <c r="G553" s="26" t="n"/>
      <c r="H553" s="1">
        <f>IF(B553="","",IF(E553="",B553,E553))</f>
        <v/>
      </c>
    </row>
    <row r="554">
      <c r="A554" s="1" t="n"/>
      <c r="B554" s="29" t="n"/>
      <c r="C554" s="26" t="n"/>
      <c r="D554" s="27" t="n"/>
      <c r="E554" s="29" t="n"/>
      <c r="F554" s="26" t="n"/>
      <c r="G554" s="26" t="n"/>
      <c r="H554" s="1">
        <f>IF(B554="","",IF(E554="",B554,E554))</f>
        <v/>
      </c>
    </row>
    <row r="555">
      <c r="A555" s="1" t="n"/>
      <c r="B555" s="29" t="n"/>
      <c r="C555" s="26" t="n"/>
      <c r="D555" s="27" t="n"/>
      <c r="E555" s="29" t="n"/>
      <c r="F555" s="26" t="n"/>
      <c r="G555" s="26" t="n"/>
      <c r="H555" s="1">
        <f>IF(B555="","",IF(E555="",B555,E555))</f>
        <v/>
      </c>
    </row>
    <row r="556">
      <c r="A556" s="1" t="n"/>
      <c r="B556" s="29" t="n"/>
      <c r="C556" s="26" t="n"/>
      <c r="D556" s="27" t="n"/>
      <c r="E556" s="29" t="n"/>
      <c r="F556" s="26" t="n"/>
      <c r="G556" s="26" t="n"/>
      <c r="H556" s="1">
        <f>IF(B556="","",IF(E556="",B556,E556))</f>
        <v/>
      </c>
    </row>
    <row r="557">
      <c r="A557" s="1" t="n"/>
      <c r="B557" s="29" t="n"/>
      <c r="C557" s="26" t="n"/>
      <c r="D557" s="27" t="n"/>
      <c r="E557" s="29" t="n"/>
      <c r="F557" s="26" t="n"/>
      <c r="G557" s="26" t="n"/>
      <c r="H557" s="1">
        <f>IF(B557="","",IF(E557="",B557,E557))</f>
        <v/>
      </c>
    </row>
    <row r="558">
      <c r="A558" s="1" t="n"/>
      <c r="B558" s="29" t="n"/>
      <c r="C558" s="26" t="n"/>
      <c r="D558" s="27" t="n"/>
      <c r="E558" s="29" t="n"/>
      <c r="F558" s="26" t="n"/>
      <c r="G558" s="26" t="n"/>
      <c r="H558" s="1">
        <f>IF(B558="","",IF(E558="",B558,E558))</f>
        <v/>
      </c>
    </row>
    <row r="559">
      <c r="A559" s="1" t="n"/>
      <c r="B559" s="29" t="n"/>
      <c r="C559" s="26" t="n"/>
      <c r="D559" s="27" t="n"/>
      <c r="E559" s="29" t="n"/>
      <c r="F559" s="26" t="n"/>
      <c r="G559" s="26" t="n"/>
      <c r="H559" s="1">
        <f>IF(B559="","",IF(E559="",B559,E559))</f>
        <v/>
      </c>
    </row>
    <row r="560">
      <c r="A560" s="1" t="n"/>
      <c r="B560" s="29" t="n"/>
      <c r="C560" s="26" t="n"/>
      <c r="D560" s="27" t="n"/>
      <c r="E560" s="29" t="n"/>
      <c r="F560" s="26" t="n"/>
      <c r="G560" s="26" t="n"/>
      <c r="H560" s="1">
        <f>IF(B560="","",IF(E560="",B560,E560))</f>
        <v/>
      </c>
    </row>
    <row r="561">
      <c r="A561" s="1" t="n"/>
      <c r="B561" s="29" t="n"/>
      <c r="C561" s="26" t="n"/>
      <c r="D561" s="27" t="n"/>
      <c r="E561" s="29" t="n"/>
      <c r="F561" s="26" t="n"/>
      <c r="G561" s="26" t="n"/>
      <c r="H561" s="1">
        <f>IF(B561="","",IF(E561="",B561,E561))</f>
        <v/>
      </c>
    </row>
    <row r="562">
      <c r="A562" s="1" t="n"/>
      <c r="B562" s="29" t="n"/>
      <c r="C562" s="26" t="n"/>
      <c r="D562" s="27" t="n"/>
      <c r="E562" s="29" t="n"/>
      <c r="F562" s="26" t="n"/>
      <c r="G562" s="26" t="n"/>
      <c r="H562" s="1">
        <f>IF(B562="","",IF(E562="",B562,E562))</f>
        <v/>
      </c>
    </row>
    <row r="563">
      <c r="A563" s="1" t="n"/>
      <c r="B563" s="29" t="n"/>
      <c r="C563" s="26" t="n"/>
      <c r="D563" s="27" t="n"/>
      <c r="E563" s="29" t="n"/>
      <c r="F563" s="26" t="n"/>
      <c r="G563" s="26" t="n"/>
      <c r="H563" s="1">
        <f>IF(B563="","",IF(E563="",B563,E563))</f>
        <v/>
      </c>
    </row>
    <row r="564">
      <c r="A564" s="1" t="n"/>
      <c r="B564" s="29" t="n"/>
      <c r="C564" s="26" t="n"/>
      <c r="D564" s="27" t="n"/>
      <c r="E564" s="29" t="n"/>
      <c r="F564" s="26" t="n"/>
      <c r="G564" s="26" t="n"/>
      <c r="H564" s="1">
        <f>IF(B564="","",IF(E564="",B564,E564))</f>
        <v/>
      </c>
    </row>
    <row r="565">
      <c r="A565" s="1" t="n"/>
      <c r="B565" s="29" t="n"/>
      <c r="C565" s="26" t="n"/>
      <c r="D565" s="27" t="n"/>
      <c r="E565" s="29" t="n"/>
      <c r="F565" s="26" t="n"/>
      <c r="G565" s="26" t="n"/>
      <c r="H565" s="1">
        <f>IF(B565="","",IF(E565="",B565,E565))</f>
        <v/>
      </c>
    </row>
    <row r="566">
      <c r="A566" s="1" t="n"/>
      <c r="B566" s="29" t="n"/>
      <c r="C566" s="26" t="n"/>
      <c r="D566" s="27" t="n"/>
      <c r="E566" s="29" t="n"/>
      <c r="F566" s="26" t="n"/>
      <c r="G566" s="26" t="n"/>
      <c r="H566" s="1">
        <f>IF(B566="","",IF(E566="",B566,E566))</f>
        <v/>
      </c>
    </row>
    <row r="567">
      <c r="A567" s="1" t="n"/>
      <c r="B567" s="29" t="n"/>
      <c r="C567" s="26" t="n"/>
      <c r="D567" s="27" t="n"/>
      <c r="E567" s="29" t="n"/>
      <c r="F567" s="26" t="n"/>
      <c r="G567" s="26" t="n"/>
      <c r="H567" s="1">
        <f>IF(B567="","",IF(E567="",B567,E567))</f>
        <v/>
      </c>
    </row>
    <row r="568">
      <c r="A568" s="1" t="n"/>
      <c r="B568" s="29" t="n"/>
      <c r="C568" s="26" t="n"/>
      <c r="D568" s="27" t="n"/>
      <c r="E568" s="29" t="n"/>
      <c r="F568" s="26" t="n"/>
      <c r="G568" s="26" t="n"/>
      <c r="H568" s="1">
        <f>IF(B568="","",IF(E568="",B568,E568))</f>
        <v/>
      </c>
    </row>
    <row r="569">
      <c r="A569" s="1" t="n"/>
      <c r="B569" s="29" t="n"/>
      <c r="C569" s="26" t="n"/>
      <c r="D569" s="27" t="n"/>
      <c r="E569" s="29" t="n"/>
      <c r="F569" s="26" t="n"/>
      <c r="G569" s="26" t="n"/>
      <c r="H569" s="1">
        <f>IF(B569="","",IF(E569="",B569,E569))</f>
        <v/>
      </c>
    </row>
    <row r="570">
      <c r="A570" s="1" t="n"/>
      <c r="B570" s="29" t="n"/>
      <c r="C570" s="26" t="n"/>
      <c r="D570" s="27" t="n"/>
      <c r="E570" s="29" t="n"/>
      <c r="F570" s="26" t="n"/>
      <c r="G570" s="26" t="n"/>
      <c r="H570" s="1">
        <f>IF(B570="","",IF(E570="",B570,E570))</f>
        <v/>
      </c>
    </row>
    <row r="571">
      <c r="A571" s="1" t="n"/>
      <c r="B571" s="29" t="n"/>
      <c r="C571" s="26" t="n"/>
      <c r="D571" s="27" t="n"/>
      <c r="E571" s="29" t="n"/>
      <c r="F571" s="26" t="n"/>
      <c r="G571" s="26" t="n"/>
      <c r="H571" s="1">
        <f>IF(B571="","",IF(E571="",B571,E571))</f>
        <v/>
      </c>
    </row>
    <row r="572">
      <c r="A572" s="1" t="n"/>
      <c r="B572" s="29" t="n"/>
      <c r="C572" s="26" t="n"/>
      <c r="D572" s="27" t="n"/>
      <c r="E572" s="29" t="n"/>
      <c r="F572" s="26" t="n"/>
      <c r="G572" s="26" t="n"/>
      <c r="H572" s="1">
        <f>IF(B572="","",IF(E572="",B572,E572))</f>
        <v/>
      </c>
    </row>
    <row r="573">
      <c r="A573" s="1" t="n"/>
      <c r="B573" s="29" t="n"/>
      <c r="C573" s="26" t="n"/>
      <c r="D573" s="27" t="n"/>
      <c r="E573" s="29" t="n"/>
      <c r="F573" s="26" t="n"/>
      <c r="G573" s="26" t="n"/>
      <c r="H573" s="1">
        <f>IF(B573="","",IF(E573="",B573,E573))</f>
        <v/>
      </c>
    </row>
    <row r="574">
      <c r="A574" s="1" t="n"/>
      <c r="B574" s="29" t="n"/>
      <c r="C574" s="26" t="n"/>
      <c r="D574" s="27" t="n"/>
      <c r="E574" s="29" t="n"/>
      <c r="F574" s="26" t="n"/>
      <c r="G574" s="26" t="n"/>
      <c r="H574" s="1">
        <f>IF(B574="","",IF(E574="",B574,E574))</f>
        <v/>
      </c>
    </row>
    <row r="575">
      <c r="A575" s="1" t="n"/>
      <c r="B575" s="29" t="n"/>
      <c r="C575" s="26" t="n"/>
      <c r="D575" s="27" t="n"/>
      <c r="E575" s="29" t="n"/>
      <c r="F575" s="26" t="n"/>
      <c r="G575" s="26" t="n"/>
      <c r="H575" s="1">
        <f>IF(B575="","",IF(E575="",B575,E575))</f>
        <v/>
      </c>
    </row>
    <row r="576">
      <c r="A576" s="1" t="n"/>
      <c r="B576" s="29" t="n"/>
      <c r="C576" s="26" t="n"/>
      <c r="D576" s="27" t="n"/>
      <c r="E576" s="29" t="n"/>
      <c r="F576" s="26" t="n"/>
      <c r="G576" s="26" t="n"/>
      <c r="H576" s="1">
        <f>IF(B576="","",IF(E576="",B576,E576))</f>
        <v/>
      </c>
    </row>
    <row r="577">
      <c r="A577" s="1" t="n"/>
      <c r="B577" s="29" t="n"/>
      <c r="C577" s="26" t="n"/>
      <c r="D577" s="27" t="n"/>
      <c r="E577" s="29" t="n"/>
      <c r="F577" s="26" t="n"/>
      <c r="G577" s="26" t="n"/>
      <c r="H577" s="1">
        <f>IF(B577="","",IF(E577="",B577,E577))</f>
        <v/>
      </c>
    </row>
    <row r="578">
      <c r="A578" s="1" t="n"/>
      <c r="B578" s="29" t="n"/>
      <c r="C578" s="26" t="n"/>
      <c r="D578" s="27" t="n"/>
      <c r="E578" s="29" t="n"/>
      <c r="F578" s="26" t="n"/>
      <c r="G578" s="26" t="n"/>
      <c r="H578" s="1">
        <f>IF(B578="","",IF(E578="",B578,E578))</f>
        <v/>
      </c>
    </row>
    <row r="579">
      <c r="A579" s="1" t="n"/>
      <c r="B579" s="29" t="n"/>
      <c r="C579" s="26" t="n"/>
      <c r="D579" s="27" t="n"/>
      <c r="E579" s="29" t="n"/>
      <c r="F579" s="26" t="n"/>
      <c r="G579" s="26" t="n"/>
      <c r="H579" s="1">
        <f>IF(B579="","",IF(E579="",B579,E579))</f>
        <v/>
      </c>
    </row>
    <row r="580">
      <c r="A580" s="1" t="n"/>
      <c r="B580" s="29" t="n"/>
      <c r="C580" s="26" t="n"/>
      <c r="D580" s="27" t="n"/>
      <c r="E580" s="29" t="n"/>
      <c r="F580" s="26" t="n"/>
      <c r="G580" s="26" t="n"/>
      <c r="H580" s="1">
        <f>IF(B580="","",IF(E580="",B580,E580))</f>
        <v/>
      </c>
    </row>
    <row r="581">
      <c r="A581" s="1" t="n"/>
      <c r="B581" s="29" t="n"/>
      <c r="C581" s="26" t="n"/>
      <c r="D581" s="27" t="n"/>
      <c r="E581" s="29" t="n"/>
      <c r="F581" s="26" t="n"/>
      <c r="G581" s="26" t="n"/>
      <c r="H581" s="1">
        <f>IF(B581="","",IF(E581="",B581,E581))</f>
        <v/>
      </c>
    </row>
    <row r="582">
      <c r="A582" s="1" t="n"/>
      <c r="B582" s="29" t="n"/>
      <c r="C582" s="26" t="n"/>
      <c r="D582" s="27" t="n"/>
      <c r="E582" s="29" t="n"/>
      <c r="F582" s="26" t="n"/>
      <c r="G582" s="26" t="n"/>
      <c r="H582" s="1">
        <f>IF(B582="","",IF(E582="",B582,E582))</f>
        <v/>
      </c>
    </row>
    <row r="583">
      <c r="A583" s="1" t="n"/>
      <c r="B583" s="29" t="n"/>
      <c r="C583" s="26" t="n"/>
      <c r="D583" s="27" t="n"/>
      <c r="E583" s="29" t="n"/>
      <c r="F583" s="26" t="n"/>
      <c r="G583" s="26" t="n"/>
      <c r="H583" s="1">
        <f>IF(B583="","",IF(E583="",B583,E583))</f>
        <v/>
      </c>
    </row>
    <row r="584">
      <c r="A584" s="1" t="n"/>
      <c r="B584" s="29" t="n"/>
      <c r="C584" s="26" t="n"/>
      <c r="D584" s="27" t="n"/>
      <c r="E584" s="29" t="n"/>
      <c r="F584" s="26" t="n"/>
      <c r="G584" s="26" t="n"/>
      <c r="H584" s="1">
        <f>IF(B584="","",IF(E584="",B584,E584))</f>
        <v/>
      </c>
    </row>
    <row r="585">
      <c r="A585" s="1" t="n"/>
      <c r="B585" s="29" t="n"/>
      <c r="C585" s="26" t="n"/>
      <c r="D585" s="27" t="n"/>
      <c r="E585" s="29" t="n"/>
      <c r="F585" s="26" t="n"/>
      <c r="G585" s="26" t="n"/>
      <c r="H585" s="1">
        <f>IF(B585="","",IF(E585="",B585,E585))</f>
        <v/>
      </c>
    </row>
    <row r="586">
      <c r="A586" s="1" t="n"/>
      <c r="B586" s="29" t="n"/>
      <c r="C586" s="26" t="n"/>
      <c r="D586" s="27" t="n"/>
      <c r="E586" s="29" t="n"/>
      <c r="F586" s="26" t="n"/>
      <c r="G586" s="26" t="n"/>
      <c r="H586" s="1">
        <f>IF(B586="","",IF(E586="",B586,E586))</f>
        <v/>
      </c>
    </row>
    <row r="587">
      <c r="A587" s="1" t="n"/>
      <c r="B587" s="29" t="n"/>
      <c r="C587" s="26" t="n"/>
      <c r="D587" s="27" t="n"/>
      <c r="E587" s="29" t="n"/>
      <c r="F587" s="26" t="n"/>
      <c r="G587" s="26" t="n"/>
      <c r="H587" s="1">
        <f>IF(B587="","",IF(E587="",B587,E587))</f>
        <v/>
      </c>
    </row>
    <row r="588">
      <c r="A588" s="1" t="n"/>
      <c r="B588" s="29" t="n"/>
      <c r="C588" s="26" t="n"/>
      <c r="D588" s="27" t="n"/>
      <c r="E588" s="29" t="n"/>
      <c r="F588" s="26" t="n"/>
      <c r="G588" s="26" t="n"/>
      <c r="H588" s="1">
        <f>IF(B588="","",IF(E588="",B588,E588))</f>
        <v/>
      </c>
    </row>
    <row r="589">
      <c r="A589" s="1" t="n"/>
      <c r="B589" s="29" t="n"/>
      <c r="C589" s="26" t="n"/>
      <c r="D589" s="27" t="n"/>
      <c r="E589" s="29" t="n"/>
      <c r="F589" s="26" t="n"/>
      <c r="G589" s="26" t="n"/>
      <c r="H589" s="1">
        <f>IF(B589="","",IF(E589="",B589,E589))</f>
        <v/>
      </c>
    </row>
    <row r="590">
      <c r="A590" s="1" t="n"/>
      <c r="B590" s="29" t="n"/>
      <c r="C590" s="26" t="n"/>
      <c r="D590" s="27" t="n"/>
      <c r="E590" s="29" t="n"/>
      <c r="F590" s="26" t="n"/>
      <c r="G590" s="26" t="n"/>
      <c r="H590" s="1">
        <f>IF(B590="","",IF(E590="",B590,E590))</f>
        <v/>
      </c>
    </row>
    <row r="591">
      <c r="A591" s="1" t="n"/>
      <c r="B591" s="29" t="n"/>
      <c r="C591" s="26" t="n"/>
      <c r="D591" s="27" t="n"/>
      <c r="E591" s="29" t="n"/>
      <c r="F591" s="26" t="n"/>
      <c r="G591" s="26" t="n"/>
      <c r="H591" s="1">
        <f>IF(B591="","",IF(E591="",B591,E591))</f>
        <v/>
      </c>
    </row>
    <row r="592">
      <c r="A592" s="1" t="n"/>
      <c r="B592" s="29" t="n"/>
      <c r="C592" s="26" t="n"/>
      <c r="D592" s="27" t="n"/>
      <c r="E592" s="29" t="n"/>
      <c r="F592" s="26" t="n"/>
      <c r="G592" s="26" t="n"/>
      <c r="H592" s="1">
        <f>IF(B592="","",IF(E592="",B592,E592))</f>
        <v/>
      </c>
    </row>
    <row r="593">
      <c r="A593" s="1" t="n"/>
      <c r="B593" s="29" t="n"/>
      <c r="C593" s="26" t="n"/>
      <c r="D593" s="27" t="n"/>
      <c r="E593" s="29" t="n"/>
      <c r="F593" s="26" t="n"/>
      <c r="G593" s="26" t="n"/>
      <c r="H593" s="1">
        <f>IF(B593="","",IF(E593="",B593,E593))</f>
        <v/>
      </c>
    </row>
    <row r="594">
      <c r="A594" s="1" t="n"/>
      <c r="B594" s="29" t="n"/>
      <c r="C594" s="26" t="n"/>
      <c r="D594" s="27" t="n"/>
      <c r="E594" s="29" t="n"/>
      <c r="F594" s="26" t="n"/>
      <c r="G594" s="26" t="n"/>
      <c r="H594" s="1">
        <f>IF(B594="","",IF(E594="",B594,E594))</f>
        <v/>
      </c>
    </row>
    <row r="595">
      <c r="A595" s="1" t="n"/>
      <c r="B595" s="29" t="n"/>
      <c r="C595" s="26" t="n"/>
      <c r="D595" s="27" t="n"/>
      <c r="E595" s="29" t="n"/>
      <c r="F595" s="26" t="n"/>
      <c r="G595" s="26" t="n"/>
      <c r="H595" s="1">
        <f>IF(B595="","",IF(E595="",B595,E595))</f>
        <v/>
      </c>
    </row>
    <row r="596">
      <c r="A596" s="1" t="n"/>
      <c r="B596" s="29" t="n"/>
      <c r="C596" s="26" t="n"/>
      <c r="D596" s="27" t="n"/>
      <c r="E596" s="29" t="n"/>
      <c r="F596" s="26" t="n"/>
      <c r="G596" s="26" t="n"/>
      <c r="H596" s="1">
        <f>IF(B596="","",IF(E596="",B596,E596))</f>
        <v/>
      </c>
    </row>
    <row r="597">
      <c r="A597" s="1" t="n"/>
      <c r="B597" s="29" t="n"/>
      <c r="C597" s="26" t="n"/>
      <c r="D597" s="27" t="n"/>
      <c r="E597" s="29" t="n"/>
      <c r="F597" s="26" t="n"/>
      <c r="G597" s="26" t="n"/>
      <c r="H597" s="1">
        <f>IF(B597="","",IF(E597="",B597,E597))</f>
        <v/>
      </c>
    </row>
    <row r="598">
      <c r="A598" s="1" t="n"/>
      <c r="B598" s="29" t="n"/>
      <c r="C598" s="26" t="n"/>
      <c r="D598" s="27" t="n"/>
      <c r="E598" s="29" t="n"/>
      <c r="F598" s="26" t="n"/>
      <c r="G598" s="26" t="n"/>
      <c r="H598" s="1">
        <f>IF(B598="","",IF(E598="",B598,E598))</f>
        <v/>
      </c>
    </row>
    <row r="599">
      <c r="A599" s="1" t="n"/>
      <c r="B599" s="29" t="n"/>
      <c r="C599" s="26" t="n"/>
      <c r="D599" s="27" t="n"/>
      <c r="E599" s="29" t="n"/>
      <c r="F599" s="26" t="n"/>
      <c r="G599" s="26" t="n"/>
      <c r="H599" s="1">
        <f>IF(B599="","",IF(E599="",B599,E599))</f>
        <v/>
      </c>
    </row>
    <row r="600">
      <c r="A600" s="1" t="n"/>
      <c r="B600" s="29" t="n"/>
      <c r="C600" s="26" t="n"/>
      <c r="D600" s="27" t="n"/>
      <c r="E600" s="29" t="n"/>
      <c r="F600" s="26" t="n"/>
      <c r="G600" s="26" t="n"/>
      <c r="H600" s="1">
        <f>IF(B600="","",IF(E600="",B600,E600))</f>
        <v/>
      </c>
    </row>
    <row r="601">
      <c r="A601" s="1" t="n"/>
      <c r="B601" s="29" t="n"/>
      <c r="C601" s="26" t="n"/>
      <c r="D601" s="27" t="n"/>
      <c r="E601" s="29" t="n"/>
      <c r="F601" s="26" t="n"/>
      <c r="G601" s="26" t="n"/>
      <c r="H601" s="1">
        <f>IF(B601="","",IF(E601="",B601,E601))</f>
        <v/>
      </c>
    </row>
    <row r="602">
      <c r="A602" s="1" t="n"/>
      <c r="B602" s="29" t="n"/>
      <c r="C602" s="26" t="n"/>
      <c r="D602" s="27" t="n"/>
      <c r="E602" s="29" t="n"/>
      <c r="F602" s="26" t="n"/>
      <c r="G602" s="26" t="n"/>
      <c r="H602" s="1">
        <f>IF(B602="","",IF(E602="",B602,E602))</f>
        <v/>
      </c>
    </row>
    <row r="603">
      <c r="A603" s="1" t="n"/>
      <c r="B603" s="29" t="n"/>
      <c r="C603" s="26" t="n"/>
      <c r="D603" s="27" t="n"/>
      <c r="E603" s="29" t="n"/>
      <c r="F603" s="26" t="n"/>
      <c r="G603" s="26" t="n"/>
      <c r="H603" s="1">
        <f>IF(B603="","",IF(E603="",B603,E603))</f>
        <v/>
      </c>
    </row>
    <row r="604">
      <c r="A604" s="1" t="n"/>
      <c r="B604" s="29" t="n"/>
      <c r="C604" s="26" t="n"/>
      <c r="D604" s="27" t="n"/>
      <c r="E604" s="29" t="n"/>
      <c r="F604" s="26" t="n"/>
      <c r="G604" s="26" t="n"/>
      <c r="H604" s="1">
        <f>IF(B604="","",IF(E604="",B604,E604))</f>
        <v/>
      </c>
    </row>
    <row r="605">
      <c r="A605" s="1" t="n"/>
      <c r="B605" s="29" t="n"/>
      <c r="C605" s="26" t="n"/>
      <c r="D605" s="27" t="n"/>
      <c r="E605" s="29" t="n"/>
      <c r="F605" s="26" t="n"/>
      <c r="G605" s="26" t="n"/>
      <c r="H605" s="1">
        <f>IF(B605="","",IF(E605="",B605,E605))</f>
        <v/>
      </c>
    </row>
    <row r="606">
      <c r="A606" s="1" t="n"/>
      <c r="B606" s="29" t="n"/>
      <c r="C606" s="26" t="n"/>
      <c r="D606" s="27" t="n"/>
      <c r="E606" s="29" t="n"/>
      <c r="F606" s="26" t="n"/>
      <c r="G606" s="26" t="n"/>
      <c r="H606" s="1">
        <f>IF(B606="","",IF(E606="",B606,E606))</f>
        <v/>
      </c>
    </row>
    <row r="607">
      <c r="A607" s="1" t="n"/>
      <c r="B607" s="29" t="n"/>
      <c r="C607" s="26" t="n"/>
      <c r="D607" s="27" t="n"/>
      <c r="E607" s="29" t="n"/>
      <c r="F607" s="26" t="n"/>
      <c r="G607" s="26" t="n"/>
      <c r="H607" s="1">
        <f>IF(B607="","",IF(E607="",B607,E607))</f>
        <v/>
      </c>
    </row>
    <row r="608">
      <c r="A608" s="1" t="n"/>
      <c r="B608" s="29" t="n"/>
      <c r="C608" s="26" t="n"/>
      <c r="D608" s="27" t="n"/>
      <c r="E608" s="29" t="n"/>
      <c r="F608" s="26" t="n"/>
      <c r="G608" s="26" t="n"/>
      <c r="H608" s="1">
        <f>IF(B608="","",IF(E608="",B608,E608))</f>
        <v/>
      </c>
    </row>
    <row r="609">
      <c r="A609" s="1" t="n"/>
      <c r="B609" s="29" t="n"/>
      <c r="C609" s="26" t="n"/>
      <c r="D609" s="27" t="n"/>
      <c r="E609" s="29" t="n"/>
      <c r="F609" s="26" t="n"/>
      <c r="G609" s="26" t="n"/>
      <c r="H609" s="1">
        <f>IF(B609="","",IF(E609="",B609,E609))</f>
        <v/>
      </c>
    </row>
    <row r="610">
      <c r="A610" s="1" t="n"/>
      <c r="B610" s="29" t="n"/>
      <c r="C610" s="26" t="n"/>
      <c r="D610" s="27" t="n"/>
      <c r="E610" s="29" t="n"/>
      <c r="F610" s="26" t="n"/>
      <c r="G610" s="26" t="n"/>
      <c r="H610" s="1">
        <f>IF(B610="","",IF(E610="",B610,E610))</f>
        <v/>
      </c>
    </row>
    <row r="611">
      <c r="A611" s="1" t="n"/>
      <c r="B611" s="29" t="n"/>
      <c r="C611" s="26" t="n"/>
      <c r="D611" s="27" t="n"/>
      <c r="E611" s="29" t="n"/>
      <c r="F611" s="26" t="n"/>
      <c r="G611" s="26" t="n"/>
      <c r="H611" s="1">
        <f>IF(B611="","",IF(E611="",B611,E611))</f>
        <v/>
      </c>
    </row>
    <row r="612">
      <c r="A612" s="1" t="n"/>
      <c r="B612" s="29" t="n"/>
      <c r="C612" s="26" t="n"/>
      <c r="D612" s="27" t="n"/>
      <c r="E612" s="29" t="n"/>
      <c r="F612" s="26" t="n"/>
      <c r="G612" s="26" t="n"/>
      <c r="H612" s="1">
        <f>IF(B612="","",IF(E612="",B612,E612))</f>
        <v/>
      </c>
    </row>
    <row r="613">
      <c r="A613" s="1" t="n"/>
      <c r="B613" s="29" t="n"/>
      <c r="C613" s="26" t="n"/>
      <c r="D613" s="27" t="n"/>
      <c r="E613" s="29" t="n"/>
      <c r="F613" s="26" t="n"/>
      <c r="G613" s="26" t="n"/>
      <c r="H613" s="1">
        <f>IF(B613="","",IF(E613="",B613,E613))</f>
        <v/>
      </c>
    </row>
    <row r="614">
      <c r="A614" s="1" t="n"/>
      <c r="B614" s="29" t="n"/>
      <c r="C614" s="26" t="n"/>
      <c r="D614" s="27" t="n"/>
      <c r="E614" s="29" t="n"/>
      <c r="F614" s="26" t="n"/>
      <c r="G614" s="26" t="n"/>
      <c r="H614" s="1">
        <f>IF(B614="","",IF(E614="",B614,E614))</f>
        <v/>
      </c>
    </row>
    <row r="615">
      <c r="A615" s="1" t="n"/>
      <c r="B615" s="29" t="n"/>
      <c r="C615" s="26" t="n"/>
      <c r="D615" s="27" t="n"/>
      <c r="E615" s="29" t="n"/>
      <c r="F615" s="26" t="n"/>
      <c r="G615" s="26" t="n"/>
      <c r="H615" s="1">
        <f>IF(B615="","",IF(E615="",B615,E615))</f>
        <v/>
      </c>
    </row>
    <row r="616">
      <c r="A616" s="1" t="n"/>
      <c r="B616" s="29" t="n"/>
      <c r="C616" s="26" t="n"/>
      <c r="D616" s="27" t="n"/>
      <c r="E616" s="29" t="n"/>
      <c r="F616" s="26" t="n"/>
      <c r="G616" s="26" t="n"/>
      <c r="H616" s="1">
        <f>IF(B616="","",IF(E616="",B616,E616))</f>
        <v/>
      </c>
    </row>
    <row r="617">
      <c r="A617" s="1" t="n"/>
      <c r="B617" s="29" t="n"/>
      <c r="C617" s="26" t="n"/>
      <c r="D617" s="27" t="n"/>
      <c r="E617" s="29" t="n"/>
      <c r="F617" s="26" t="n"/>
      <c r="G617" s="26" t="n"/>
      <c r="H617" s="1">
        <f>IF(B617="","",IF(E617="",B617,E617))</f>
        <v/>
      </c>
    </row>
    <row r="618">
      <c r="A618" s="1" t="n"/>
      <c r="B618" s="29" t="n"/>
      <c r="C618" s="26" t="n"/>
      <c r="D618" s="27" t="n"/>
      <c r="E618" s="29" t="n"/>
      <c r="F618" s="26" t="n"/>
      <c r="G618" s="26" t="n"/>
      <c r="H618" s="1">
        <f>IF(B618="","",IF(E618="",B618,E618))</f>
        <v/>
      </c>
    </row>
    <row r="619">
      <c r="A619" s="1" t="n"/>
      <c r="B619" s="29" t="n"/>
      <c r="C619" s="26" t="n"/>
      <c r="D619" s="27" t="n"/>
      <c r="E619" s="29" t="n"/>
      <c r="F619" s="26" t="n"/>
      <c r="G619" s="26" t="n"/>
      <c r="H619" s="1">
        <f>IF(B619="","",IF(E619="",B619,E619))</f>
        <v/>
      </c>
    </row>
    <row r="620">
      <c r="A620" s="1" t="n"/>
      <c r="B620" s="29" t="n"/>
      <c r="C620" s="26" t="n"/>
      <c r="D620" s="27" t="n"/>
      <c r="E620" s="29" t="n"/>
      <c r="F620" s="26" t="n"/>
      <c r="G620" s="26" t="n"/>
      <c r="H620" s="1">
        <f>IF(B620="","",IF(E620="",B620,E620))</f>
        <v/>
      </c>
    </row>
    <row r="621">
      <c r="A621" s="1" t="n"/>
      <c r="B621" s="29" t="n"/>
      <c r="C621" s="26" t="n"/>
      <c r="D621" s="27" t="n"/>
      <c r="E621" s="29" t="n"/>
      <c r="F621" s="26" t="n"/>
      <c r="G621" s="26" t="n"/>
      <c r="H621" s="1">
        <f>IF(B621="","",IF(E621="",B621,E621))</f>
        <v/>
      </c>
    </row>
    <row r="622">
      <c r="A622" s="1" t="n"/>
      <c r="B622" s="29" t="n"/>
      <c r="C622" s="26" t="n"/>
      <c r="D622" s="27" t="n"/>
      <c r="E622" s="29" t="n"/>
      <c r="F622" s="26" t="n"/>
      <c r="G622" s="26" t="n"/>
      <c r="H622" s="1">
        <f>IF(B622="","",IF(E622="",B622,E622))</f>
        <v/>
      </c>
    </row>
    <row r="623">
      <c r="A623" s="1" t="n"/>
      <c r="B623" s="29" t="n"/>
      <c r="C623" s="26" t="n"/>
      <c r="D623" s="27" t="n"/>
      <c r="E623" s="29" t="n"/>
      <c r="F623" s="26" t="n"/>
      <c r="G623" s="26" t="n"/>
      <c r="H623" s="1">
        <f>IF(B623="","",IF(E623="",B623,E623))</f>
        <v/>
      </c>
    </row>
    <row r="624">
      <c r="A624" s="1" t="n"/>
      <c r="B624" s="29" t="n"/>
      <c r="C624" s="26" t="n"/>
      <c r="D624" s="27" t="n"/>
      <c r="E624" s="29" t="n"/>
      <c r="F624" s="26" t="n"/>
      <c r="G624" s="26" t="n"/>
      <c r="H624" s="1">
        <f>IF(B624="","",IF(E624="",B624,E624))</f>
        <v/>
      </c>
    </row>
    <row r="625">
      <c r="A625" s="1" t="n"/>
      <c r="B625" s="29" t="n"/>
      <c r="C625" s="26" t="n"/>
      <c r="D625" s="27" t="n"/>
      <c r="E625" s="29" t="n"/>
      <c r="F625" s="26" t="n"/>
      <c r="G625" s="26" t="n"/>
      <c r="H625" s="1">
        <f>IF(B625="","",IF(E625="",B625,E625))</f>
        <v/>
      </c>
    </row>
    <row r="626">
      <c r="A626" s="1" t="n"/>
      <c r="B626" s="29" t="n"/>
      <c r="C626" s="26" t="n"/>
      <c r="D626" s="27" t="n"/>
      <c r="E626" s="29" t="n"/>
      <c r="F626" s="26" t="n"/>
      <c r="G626" s="26" t="n"/>
      <c r="H626" s="1">
        <f>IF(B626="","",IF(E626="",B626,E626))</f>
        <v/>
      </c>
    </row>
    <row r="627">
      <c r="A627" s="1" t="n"/>
      <c r="B627" s="29" t="n"/>
      <c r="C627" s="26" t="n"/>
      <c r="D627" s="27" t="n"/>
      <c r="E627" s="29" t="n"/>
      <c r="F627" s="26" t="n"/>
      <c r="G627" s="26" t="n"/>
      <c r="H627" s="1">
        <f>IF(B627="","",IF(E627="",B627,E627))</f>
        <v/>
      </c>
    </row>
    <row r="628">
      <c r="A628" s="1" t="n"/>
      <c r="B628" s="29" t="n"/>
      <c r="C628" s="26" t="n"/>
      <c r="D628" s="27" t="n"/>
      <c r="E628" s="29" t="n"/>
      <c r="F628" s="26" t="n"/>
      <c r="G628" s="26" t="n"/>
      <c r="H628" s="1">
        <f>IF(B628="","",IF(E628="",B628,E628))</f>
        <v/>
      </c>
    </row>
    <row r="629">
      <c r="A629" s="1" t="n"/>
      <c r="B629" s="29" t="n"/>
      <c r="C629" s="26" t="n"/>
      <c r="D629" s="27" t="n"/>
      <c r="E629" s="29" t="n"/>
      <c r="F629" s="26" t="n"/>
      <c r="G629" s="26" t="n"/>
      <c r="H629" s="1">
        <f>IF(B629="","",IF(E629="",B629,E629))</f>
        <v/>
      </c>
    </row>
    <row r="630">
      <c r="A630" s="1" t="n"/>
      <c r="B630" s="29" t="n"/>
      <c r="C630" s="26" t="n"/>
      <c r="D630" s="27" t="n"/>
      <c r="E630" s="29" t="n"/>
      <c r="F630" s="26" t="n"/>
      <c r="G630" s="26" t="n"/>
      <c r="H630" s="1">
        <f>IF(B630="","",IF(E630="",B630,E630))</f>
        <v/>
      </c>
    </row>
    <row r="631">
      <c r="A631" s="1" t="n"/>
      <c r="B631" s="29" t="n"/>
      <c r="C631" s="26" t="n"/>
      <c r="D631" s="27" t="n"/>
      <c r="E631" s="29" t="n"/>
      <c r="F631" s="26" t="n"/>
      <c r="G631" s="26" t="n"/>
      <c r="H631" s="1">
        <f>IF(B631="","",IF(E631="",B631,E631))</f>
        <v/>
      </c>
    </row>
    <row r="632">
      <c r="A632" s="1" t="n"/>
      <c r="B632" s="29" t="n"/>
      <c r="C632" s="26" t="n"/>
      <c r="D632" s="27" t="n"/>
      <c r="E632" s="29" t="n"/>
      <c r="F632" s="26" t="n"/>
      <c r="G632" s="26" t="n"/>
      <c r="H632" s="1">
        <f>IF(B632="","",IF(E632="",B632,E632))</f>
        <v/>
      </c>
    </row>
    <row r="633">
      <c r="A633" s="1" t="n"/>
      <c r="B633" s="29" t="n"/>
      <c r="C633" s="26" t="n"/>
      <c r="D633" s="27" t="n"/>
      <c r="E633" s="29" t="n"/>
      <c r="F633" s="26" t="n"/>
      <c r="G633" s="26" t="n"/>
      <c r="H633" s="1">
        <f>IF(B633="","",IF(E633="",B633,E633))</f>
        <v/>
      </c>
    </row>
    <row r="634">
      <c r="A634" s="1" t="n"/>
      <c r="B634" s="29" t="n"/>
      <c r="C634" s="26" t="n"/>
      <c r="D634" s="27" t="n"/>
      <c r="E634" s="29" t="n"/>
      <c r="F634" s="26" t="n"/>
      <c r="G634" s="26" t="n"/>
      <c r="H634" s="1">
        <f>IF(B634="","",IF(E634="",B634,E634))</f>
        <v/>
      </c>
    </row>
    <row r="635">
      <c r="A635" s="1" t="n"/>
      <c r="B635" s="29" t="n"/>
      <c r="C635" s="26" t="n"/>
      <c r="D635" s="27" t="n"/>
      <c r="E635" s="29" t="n"/>
      <c r="F635" s="26" t="n"/>
      <c r="G635" s="26" t="n"/>
      <c r="H635" s="1">
        <f>IF(B635="","",IF(E635="",B635,E635))</f>
        <v/>
      </c>
    </row>
    <row r="636">
      <c r="A636" s="1" t="n"/>
      <c r="B636" s="29" t="n"/>
      <c r="C636" s="26" t="n"/>
      <c r="D636" s="27" t="n"/>
      <c r="E636" s="29" t="n"/>
      <c r="F636" s="26" t="n"/>
      <c r="G636" s="26" t="n"/>
      <c r="H636" s="1">
        <f>IF(B636="","",IF(E636="",B636,E636))</f>
        <v/>
      </c>
    </row>
    <row r="637">
      <c r="A637" s="1" t="n"/>
      <c r="B637" s="29" t="n"/>
      <c r="C637" s="26" t="n"/>
      <c r="D637" s="27" t="n"/>
      <c r="E637" s="29" t="n"/>
      <c r="F637" s="26" t="n"/>
      <c r="G637" s="26" t="n"/>
      <c r="H637" s="1">
        <f>IF(B637="","",IF(E637="",B637,E637))</f>
        <v/>
      </c>
    </row>
    <row r="638">
      <c r="A638" s="1" t="n"/>
      <c r="B638" s="29" t="n"/>
      <c r="C638" s="26" t="n"/>
      <c r="D638" s="27" t="n"/>
      <c r="E638" s="29" t="n"/>
      <c r="F638" s="26" t="n"/>
      <c r="G638" s="26" t="n"/>
      <c r="H638" s="1">
        <f>IF(B638="","",IF(E638="",B638,E638))</f>
        <v/>
      </c>
    </row>
    <row r="639">
      <c r="A639" s="1" t="n"/>
      <c r="B639" s="29" t="n"/>
      <c r="C639" s="26" t="n"/>
      <c r="D639" s="27" t="n"/>
      <c r="E639" s="29" t="n"/>
      <c r="F639" s="26" t="n"/>
      <c r="G639" s="26" t="n"/>
      <c r="H639" s="1">
        <f>IF(B639="","",IF(E639="",B639,E639))</f>
        <v/>
      </c>
    </row>
    <row r="640">
      <c r="A640" s="1" t="n"/>
      <c r="B640" s="29" t="n"/>
      <c r="C640" s="26" t="n"/>
      <c r="D640" s="27" t="n"/>
      <c r="E640" s="29" t="n"/>
      <c r="F640" s="26" t="n"/>
      <c r="G640" s="26" t="n"/>
      <c r="H640" s="1">
        <f>IF(B640="","",IF(E640="",B640,E640))</f>
        <v/>
      </c>
    </row>
    <row r="641">
      <c r="A641" s="1" t="n"/>
      <c r="B641" s="29" t="n"/>
      <c r="C641" s="26" t="n"/>
      <c r="D641" s="27" t="n"/>
      <c r="E641" s="29" t="n"/>
      <c r="F641" s="26" t="n"/>
      <c r="G641" s="26" t="n"/>
      <c r="H641" s="1">
        <f>IF(B641="","",IF(E641="",B641,E641))</f>
        <v/>
      </c>
    </row>
    <row r="642">
      <c r="A642" s="1" t="n"/>
      <c r="B642" s="29" t="n"/>
      <c r="C642" s="26" t="n"/>
      <c r="D642" s="27" t="n"/>
      <c r="E642" s="29" t="n"/>
      <c r="F642" s="26" t="n"/>
      <c r="G642" s="26" t="n"/>
      <c r="H642" s="1">
        <f>IF(B642="","",IF(E642="",B642,E642))</f>
        <v/>
      </c>
    </row>
    <row r="643">
      <c r="A643" s="1" t="n"/>
      <c r="B643" s="29" t="n"/>
      <c r="C643" s="26" t="n"/>
      <c r="D643" s="27" t="n"/>
      <c r="E643" s="29" t="n"/>
      <c r="F643" s="26" t="n"/>
      <c r="G643" s="26" t="n"/>
      <c r="H643" s="1">
        <f>IF(B643="","",IF(E643="",B643,E643))</f>
        <v/>
      </c>
    </row>
    <row r="644">
      <c r="A644" s="1" t="n"/>
      <c r="B644" s="29" t="n"/>
      <c r="C644" s="26" t="n"/>
      <c r="D644" s="27" t="n"/>
      <c r="E644" s="29" t="n"/>
      <c r="F644" s="26" t="n"/>
      <c r="G644" s="26" t="n"/>
      <c r="H644" s="1">
        <f>IF(B644="","",IF(E644="",B644,E644))</f>
        <v/>
      </c>
    </row>
    <row r="645">
      <c r="A645" s="1" t="n"/>
      <c r="B645" s="29" t="n"/>
      <c r="C645" s="26" t="n"/>
      <c r="D645" s="27" t="n"/>
      <c r="E645" s="29" t="n"/>
      <c r="F645" s="26" t="n"/>
      <c r="G645" s="26" t="n"/>
      <c r="H645" s="1">
        <f>IF(B645="","",IF(E645="",B645,E645))</f>
        <v/>
      </c>
    </row>
    <row r="646">
      <c r="A646" s="1" t="n"/>
      <c r="B646" s="29" t="n"/>
      <c r="C646" s="26" t="n"/>
      <c r="D646" s="27" t="n"/>
      <c r="E646" s="29" t="n"/>
      <c r="F646" s="26" t="n"/>
      <c r="G646" s="26" t="n"/>
      <c r="H646" s="1">
        <f>IF(B646="","",IF(E646="",B646,E646))</f>
        <v/>
      </c>
    </row>
    <row r="647">
      <c r="A647" s="1" t="n"/>
      <c r="B647" s="29" t="n"/>
      <c r="C647" s="26" t="n"/>
      <c r="D647" s="27" t="n"/>
      <c r="E647" s="29" t="n"/>
      <c r="F647" s="26" t="n"/>
      <c r="G647" s="26" t="n"/>
      <c r="H647" s="1">
        <f>IF(B647="","",IF(E647="",B647,E647))</f>
        <v/>
      </c>
    </row>
    <row r="648">
      <c r="A648" s="1" t="n"/>
      <c r="B648" s="29" t="n"/>
      <c r="C648" s="26" t="n"/>
      <c r="D648" s="27" t="n"/>
      <c r="E648" s="29" t="n"/>
      <c r="F648" s="26" t="n"/>
      <c r="G648" s="26" t="n"/>
      <c r="H648" s="1">
        <f>IF(B648="","",IF(E648="",B648,E648))</f>
        <v/>
      </c>
    </row>
    <row r="649">
      <c r="A649" s="1" t="n"/>
      <c r="B649" s="29" t="n"/>
      <c r="C649" s="26" t="n"/>
      <c r="D649" s="27" t="n"/>
      <c r="E649" s="29" t="n"/>
      <c r="F649" s="26" t="n"/>
      <c r="G649" s="26" t="n"/>
      <c r="H649" s="1">
        <f>IF(B649="","",IF(E649="",B649,E649))</f>
        <v/>
      </c>
    </row>
    <row r="650">
      <c r="A650" s="1" t="n"/>
      <c r="B650" s="29" t="n"/>
      <c r="C650" s="26" t="n"/>
      <c r="D650" s="27" t="n"/>
      <c r="E650" s="29" t="n"/>
      <c r="F650" s="26" t="n"/>
      <c r="G650" s="26" t="n"/>
      <c r="H650" s="1">
        <f>IF(B650="","",IF(E650="",B650,E650))</f>
        <v/>
      </c>
    </row>
    <row r="651">
      <c r="A651" s="1" t="n"/>
      <c r="B651" s="29" t="n"/>
      <c r="C651" s="26" t="n"/>
      <c r="D651" s="27" t="n"/>
      <c r="E651" s="29" t="n"/>
      <c r="F651" s="26" t="n"/>
      <c r="G651" s="26" t="n"/>
      <c r="H651" s="1">
        <f>IF(B651="","",IF(E651="",B651,E651))</f>
        <v/>
      </c>
    </row>
    <row r="652">
      <c r="A652" s="1" t="n"/>
      <c r="B652" s="29" t="n"/>
      <c r="C652" s="26" t="n"/>
      <c r="D652" s="27" t="n"/>
      <c r="E652" s="29" t="n"/>
      <c r="F652" s="26" t="n"/>
      <c r="G652" s="26" t="n"/>
      <c r="H652" s="1">
        <f>IF(B652="","",IF(E652="",B652,E652))</f>
        <v/>
      </c>
    </row>
    <row r="653">
      <c r="A653" s="1" t="n"/>
      <c r="B653" s="29" t="n"/>
      <c r="C653" s="26" t="n"/>
      <c r="D653" s="27" t="n"/>
      <c r="E653" s="29" t="n"/>
      <c r="F653" s="26" t="n"/>
      <c r="G653" s="26" t="n"/>
      <c r="H653" s="1">
        <f>IF(B653="","",IF(E653="",B653,E653))</f>
        <v/>
      </c>
    </row>
    <row r="654">
      <c r="A654" s="1" t="n"/>
      <c r="B654" s="29" t="n"/>
      <c r="C654" s="26" t="n"/>
      <c r="D654" s="27" t="n"/>
      <c r="E654" s="29" t="n"/>
      <c r="F654" s="26" t="n"/>
      <c r="G654" s="26" t="n"/>
      <c r="H654" s="1">
        <f>IF(B654="","",IF(E654="",B654,E654))</f>
        <v/>
      </c>
    </row>
    <row r="655">
      <c r="A655" s="1" t="n"/>
      <c r="B655" s="29" t="n"/>
      <c r="C655" s="26" t="n"/>
      <c r="D655" s="27" t="n"/>
      <c r="E655" s="29" t="n"/>
      <c r="F655" s="26" t="n"/>
      <c r="G655" s="26" t="n"/>
      <c r="H655" s="1">
        <f>IF(B655="","",IF(E655="",B655,E655))</f>
        <v/>
      </c>
    </row>
    <row r="656">
      <c r="A656" s="1" t="n"/>
      <c r="B656" s="29" t="n"/>
      <c r="C656" s="26" t="n"/>
      <c r="D656" s="27" t="n"/>
      <c r="E656" s="29" t="n"/>
      <c r="F656" s="26" t="n"/>
      <c r="G656" s="26" t="n"/>
      <c r="H656" s="1">
        <f>IF(B656="","",IF(E656="",B656,E656))</f>
        <v/>
      </c>
    </row>
    <row r="657">
      <c r="A657" s="1" t="n"/>
      <c r="B657" s="29" t="n"/>
      <c r="C657" s="26" t="n"/>
      <c r="D657" s="27" t="n"/>
      <c r="E657" s="29" t="n"/>
      <c r="F657" s="26" t="n"/>
      <c r="G657" s="26" t="n"/>
      <c r="H657" s="1">
        <f>IF(B657="","",IF(E657="",B657,E657))</f>
        <v/>
      </c>
    </row>
    <row r="658">
      <c r="A658" s="1" t="n"/>
      <c r="B658" s="29" t="n"/>
      <c r="C658" s="26" t="n"/>
      <c r="D658" s="27" t="n"/>
      <c r="E658" s="29" t="n"/>
      <c r="F658" s="26" t="n"/>
      <c r="G658" s="26" t="n"/>
      <c r="H658" s="1">
        <f>IF(B658="","",IF(E658="",B658,E658))</f>
        <v/>
      </c>
    </row>
    <row r="659">
      <c r="A659" s="1" t="n"/>
      <c r="B659" s="29" t="n"/>
      <c r="C659" s="26" t="n"/>
      <c r="D659" s="27" t="n"/>
      <c r="E659" s="29" t="n"/>
      <c r="F659" s="26" t="n"/>
      <c r="G659" s="26" t="n"/>
      <c r="H659" s="1">
        <f>IF(B659="","",IF(E659="",B659,E659))</f>
        <v/>
      </c>
    </row>
    <row r="660">
      <c r="A660" s="1" t="n"/>
      <c r="B660" s="29" t="n"/>
      <c r="C660" s="26" t="n"/>
      <c r="D660" s="27" t="n"/>
      <c r="E660" s="29" t="n"/>
      <c r="F660" s="26" t="n"/>
      <c r="G660" s="26" t="n"/>
      <c r="H660" s="1">
        <f>IF(B660="","",IF(E660="",B660,E660))</f>
        <v/>
      </c>
    </row>
    <row r="661">
      <c r="A661" s="1" t="n"/>
      <c r="B661" s="29" t="n"/>
      <c r="C661" s="26" t="n"/>
      <c r="D661" s="27" t="n"/>
      <c r="E661" s="29" t="n"/>
      <c r="F661" s="26" t="n"/>
      <c r="G661" s="26" t="n"/>
      <c r="H661" s="1">
        <f>IF(B661="","",IF(E661="",B661,E661))</f>
        <v/>
      </c>
    </row>
    <row r="662">
      <c r="A662" s="1" t="n"/>
      <c r="B662" s="29" t="n"/>
      <c r="C662" s="26" t="n"/>
      <c r="D662" s="27" t="n"/>
      <c r="E662" s="29" t="n"/>
      <c r="F662" s="26" t="n"/>
      <c r="G662" s="26" t="n"/>
      <c r="H662" s="1">
        <f>IF(B662="","",IF(E662="",B662,E662))</f>
        <v/>
      </c>
    </row>
    <row r="663">
      <c r="A663" s="1" t="n"/>
      <c r="B663" s="29" t="n"/>
      <c r="C663" s="26" t="n"/>
      <c r="D663" s="27" t="n"/>
      <c r="E663" s="29" t="n"/>
      <c r="F663" s="26" t="n"/>
      <c r="G663" s="26" t="n"/>
      <c r="H663" s="1">
        <f>IF(B663="","",IF(E663="",B663,E663))</f>
        <v/>
      </c>
    </row>
    <row r="664">
      <c r="A664" s="1" t="n"/>
      <c r="B664" s="29" t="n"/>
      <c r="C664" s="26" t="n"/>
      <c r="D664" s="27" t="n"/>
      <c r="E664" s="29" t="n"/>
      <c r="F664" s="26" t="n"/>
      <c r="G664" s="26" t="n"/>
      <c r="H664" s="1">
        <f>IF(B664="","",IF(E664="",B664,E664))</f>
        <v/>
      </c>
    </row>
    <row r="665">
      <c r="A665" s="1" t="n"/>
      <c r="B665" s="29" t="n"/>
      <c r="C665" s="26" t="n"/>
      <c r="D665" s="27" t="n"/>
      <c r="E665" s="29" t="n"/>
      <c r="F665" s="26" t="n"/>
      <c r="G665" s="26" t="n"/>
      <c r="H665" s="1">
        <f>IF(B665="","",IF(E665="",B665,E665))</f>
        <v/>
      </c>
    </row>
    <row r="666">
      <c r="A666" s="1" t="n"/>
      <c r="B666" s="29" t="n"/>
      <c r="C666" s="26" t="n"/>
      <c r="D666" s="27" t="n"/>
      <c r="E666" s="29" t="n"/>
      <c r="F666" s="26" t="n"/>
      <c r="G666" s="26" t="n"/>
      <c r="H666" s="1">
        <f>IF(B666="","",IF(E666="",B666,E666))</f>
        <v/>
      </c>
    </row>
    <row r="667">
      <c r="A667" s="1" t="n"/>
      <c r="B667" s="29" t="n"/>
      <c r="C667" s="26" t="n"/>
      <c r="D667" s="27" t="n"/>
      <c r="E667" s="29" t="n"/>
      <c r="F667" s="26" t="n"/>
      <c r="G667" s="26" t="n"/>
      <c r="H667" s="1">
        <f>IF(B667="","",IF(E667="",B667,E667))</f>
        <v/>
      </c>
    </row>
    <row r="668">
      <c r="A668" s="1" t="n"/>
      <c r="B668" s="29" t="n"/>
      <c r="C668" s="26" t="n"/>
      <c r="D668" s="27" t="n"/>
      <c r="E668" s="29" t="n"/>
      <c r="F668" s="26" t="n"/>
      <c r="G668" s="26" t="n"/>
      <c r="H668" s="1">
        <f>IF(B668="","",IF(E668="",B668,E668))</f>
        <v/>
      </c>
    </row>
    <row r="669">
      <c r="A669" s="1" t="n"/>
      <c r="B669" s="29" t="n"/>
      <c r="C669" s="26" t="n"/>
      <c r="D669" s="27" t="n"/>
      <c r="E669" s="29" t="n"/>
      <c r="F669" s="26" t="n"/>
      <c r="G669" s="26" t="n"/>
      <c r="H669" s="1">
        <f>IF(B669="","",IF(E669="",B669,E669))</f>
        <v/>
      </c>
    </row>
    <row r="670">
      <c r="A670" s="1" t="n"/>
      <c r="B670" s="29" t="n"/>
      <c r="C670" s="26" t="n"/>
      <c r="D670" s="27" t="n"/>
      <c r="E670" s="29" t="n"/>
      <c r="F670" s="26" t="n"/>
      <c r="G670" s="26" t="n"/>
      <c r="H670" s="1">
        <f>IF(B670="","",IF(E670="",B670,E670))</f>
        <v/>
      </c>
    </row>
    <row r="671">
      <c r="A671" s="1" t="n"/>
      <c r="B671" s="29" t="n"/>
      <c r="C671" s="26" t="n"/>
      <c r="D671" s="27" t="n"/>
      <c r="E671" s="29" t="n"/>
      <c r="F671" s="26" t="n"/>
      <c r="G671" s="26" t="n"/>
      <c r="H671" s="1">
        <f>IF(B671="","",IF(E671="",B671,E671))</f>
        <v/>
      </c>
    </row>
    <row r="672">
      <c r="A672" s="1" t="n"/>
      <c r="B672" s="29" t="n"/>
      <c r="C672" s="26" t="n"/>
      <c r="D672" s="27" t="n"/>
      <c r="E672" s="29" t="n"/>
      <c r="F672" s="26" t="n"/>
      <c r="G672" s="26" t="n"/>
      <c r="H672" s="1">
        <f>IF(B672="","",IF(E672="",B672,E672))</f>
        <v/>
      </c>
    </row>
    <row r="673">
      <c r="A673" s="1" t="n"/>
      <c r="B673" s="29" t="n"/>
      <c r="C673" s="26" t="n"/>
      <c r="D673" s="27" t="n"/>
      <c r="E673" s="29" t="n"/>
      <c r="F673" s="26" t="n"/>
      <c r="G673" s="26" t="n"/>
      <c r="H673" s="1">
        <f>IF(B673="","",IF(E673="",B673,E673))</f>
        <v/>
      </c>
    </row>
    <row r="674">
      <c r="A674" s="1" t="n"/>
      <c r="B674" s="29" t="n"/>
      <c r="C674" s="26" t="n"/>
      <c r="D674" s="27" t="n"/>
      <c r="E674" s="29" t="n"/>
      <c r="F674" s="26" t="n"/>
      <c r="G674" s="26" t="n"/>
      <c r="H674" s="1">
        <f>IF(B674="","",IF(E674="",B674,E674))</f>
        <v/>
      </c>
    </row>
    <row r="675">
      <c r="A675" s="1" t="n"/>
      <c r="B675" s="29" t="n"/>
      <c r="C675" s="26" t="n"/>
      <c r="D675" s="27" t="n"/>
      <c r="E675" s="29" t="n"/>
      <c r="F675" s="26" t="n"/>
      <c r="G675" s="26" t="n"/>
      <c r="H675" s="1">
        <f>IF(B675="","",IF(E675="",B675,E675))</f>
        <v/>
      </c>
    </row>
    <row r="676">
      <c r="A676" s="1" t="n"/>
      <c r="B676" s="29" t="n"/>
      <c r="C676" s="26" t="n"/>
      <c r="D676" s="27" t="n"/>
      <c r="E676" s="29" t="n"/>
      <c r="F676" s="26" t="n"/>
      <c r="G676" s="26" t="n"/>
      <c r="H676" s="1">
        <f>IF(B676="","",IF(E676="",B676,E676))</f>
        <v/>
      </c>
    </row>
    <row r="677">
      <c r="A677" s="1" t="n"/>
      <c r="B677" s="29" t="n"/>
      <c r="C677" s="26" t="n"/>
      <c r="D677" s="27" t="n"/>
      <c r="E677" s="29" t="n"/>
      <c r="F677" s="26" t="n"/>
      <c r="G677" s="26" t="n"/>
      <c r="H677" s="1">
        <f>IF(B677="","",IF(E677="",B677,E677))</f>
        <v/>
      </c>
    </row>
    <row r="678">
      <c r="A678" s="1" t="n"/>
      <c r="B678" s="29" t="n"/>
      <c r="C678" s="26" t="n"/>
      <c r="D678" s="27" t="n"/>
      <c r="E678" s="29" t="n"/>
      <c r="F678" s="26" t="n"/>
      <c r="G678" s="26" t="n"/>
      <c r="H678" s="1">
        <f>IF(B678="","",IF(E678="",B678,E678))</f>
        <v/>
      </c>
    </row>
    <row r="679">
      <c r="A679" s="1" t="n"/>
      <c r="B679" s="29" t="n"/>
      <c r="C679" s="26" t="n"/>
      <c r="D679" s="27" t="n"/>
      <c r="E679" s="29" t="n"/>
      <c r="F679" s="26" t="n"/>
      <c r="G679" s="26" t="n"/>
      <c r="H679" s="1">
        <f>IF(B679="","",IF(E679="",B679,E679))</f>
        <v/>
      </c>
    </row>
    <row r="680">
      <c r="A680" s="1" t="n"/>
      <c r="B680" s="29" t="n"/>
      <c r="C680" s="26" t="n"/>
      <c r="D680" s="27" t="n"/>
      <c r="E680" s="29" t="n"/>
      <c r="F680" s="26" t="n"/>
      <c r="G680" s="26" t="n"/>
      <c r="H680" s="1">
        <f>IF(B680="","",IF(E680="",B680,E680))</f>
        <v/>
      </c>
    </row>
    <row r="681">
      <c r="A681" s="1" t="n"/>
      <c r="B681" s="29" t="n"/>
      <c r="C681" s="26" t="n"/>
      <c r="D681" s="27" t="n"/>
      <c r="E681" s="29" t="n"/>
      <c r="F681" s="26" t="n"/>
      <c r="G681" s="26" t="n"/>
      <c r="H681" s="1">
        <f>IF(B681="","",IF(E681="",B681,E681))</f>
        <v/>
      </c>
    </row>
    <row r="682">
      <c r="A682" s="1" t="n"/>
      <c r="B682" s="29" t="n"/>
      <c r="C682" s="26" t="n"/>
      <c r="D682" s="27" t="n"/>
      <c r="E682" s="29" t="n"/>
      <c r="F682" s="26" t="n"/>
      <c r="G682" s="26" t="n"/>
      <c r="H682" s="1">
        <f>IF(B682="","",IF(E682="",B682,E682))</f>
        <v/>
      </c>
    </row>
    <row r="683">
      <c r="A683" s="1" t="n"/>
      <c r="B683" s="29" t="n"/>
      <c r="C683" s="26" t="n"/>
      <c r="D683" s="27" t="n"/>
      <c r="E683" s="29" t="n"/>
      <c r="F683" s="26" t="n"/>
      <c r="G683" s="26" t="n"/>
      <c r="H683" s="1">
        <f>IF(B683="","",IF(E683="",B683,E683))</f>
        <v/>
      </c>
    </row>
    <row r="684">
      <c r="A684" s="1" t="n"/>
      <c r="B684" s="29" t="n"/>
      <c r="C684" s="26" t="n"/>
      <c r="D684" s="27" t="n"/>
      <c r="E684" s="29" t="n"/>
      <c r="F684" s="26" t="n"/>
      <c r="G684" s="26" t="n"/>
      <c r="H684" s="1">
        <f>IF(B684="","",IF(E684="",B684,E684))</f>
        <v/>
      </c>
    </row>
    <row r="685">
      <c r="A685" s="1" t="n"/>
      <c r="B685" s="29" t="n"/>
      <c r="C685" s="26" t="n"/>
      <c r="D685" s="27" t="n"/>
      <c r="E685" s="29" t="n"/>
      <c r="F685" s="26" t="n"/>
      <c r="G685" s="26" t="n"/>
      <c r="H685" s="1">
        <f>IF(B685="","",IF(E685="",B685,E685))</f>
        <v/>
      </c>
    </row>
    <row r="686">
      <c r="A686" s="1" t="n"/>
      <c r="B686" s="29" t="n"/>
      <c r="C686" s="26" t="n"/>
      <c r="D686" s="27" t="n"/>
      <c r="E686" s="29" t="n"/>
      <c r="F686" s="26" t="n"/>
      <c r="G686" s="26" t="n"/>
      <c r="H686" s="1">
        <f>IF(B686="","",IF(E686="",B686,E686))</f>
        <v/>
      </c>
    </row>
    <row r="687">
      <c r="A687" s="1" t="n"/>
      <c r="B687" s="29" t="n"/>
      <c r="C687" s="26" t="n"/>
      <c r="D687" s="27" t="n"/>
      <c r="E687" s="29" t="n"/>
      <c r="F687" s="26" t="n"/>
      <c r="G687" s="26" t="n"/>
      <c r="H687" s="1">
        <f>IF(B687="","",IF(E687="",B687,E687))</f>
        <v/>
      </c>
    </row>
    <row r="688">
      <c r="A688" s="1" t="n"/>
      <c r="B688" s="29" t="n"/>
      <c r="C688" s="26" t="n"/>
      <c r="D688" s="27" t="n"/>
      <c r="E688" s="29" t="n"/>
      <c r="F688" s="26" t="n"/>
      <c r="G688" s="26" t="n"/>
      <c r="H688" s="1">
        <f>IF(B688="","",IF(E688="",B688,E688))</f>
        <v/>
      </c>
    </row>
    <row r="689">
      <c r="A689" s="1" t="n"/>
      <c r="B689" s="29" t="n"/>
      <c r="C689" s="26" t="n"/>
      <c r="D689" s="27" t="n"/>
      <c r="E689" s="29" t="n"/>
      <c r="F689" s="26" t="n"/>
      <c r="G689" s="26" t="n"/>
      <c r="H689" s="1">
        <f>IF(B689="","",IF(E689="",B689,E689))</f>
        <v/>
      </c>
    </row>
    <row r="690">
      <c r="A690" s="1" t="n"/>
      <c r="B690" s="29" t="n"/>
      <c r="C690" s="26" t="n"/>
      <c r="D690" s="27" t="n"/>
      <c r="E690" s="29" t="n"/>
      <c r="F690" s="26" t="n"/>
      <c r="G690" s="26" t="n"/>
      <c r="H690" s="1">
        <f>IF(B690="","",IF(E690="",B690,E690))</f>
        <v/>
      </c>
    </row>
    <row r="691">
      <c r="A691" s="1" t="n"/>
      <c r="B691" s="29" t="n"/>
      <c r="C691" s="26" t="n"/>
      <c r="D691" s="27" t="n"/>
      <c r="E691" s="29" t="n"/>
      <c r="F691" s="26" t="n"/>
      <c r="G691" s="26" t="n"/>
      <c r="H691" s="1">
        <f>IF(B691="","",IF(E691="",B691,E691))</f>
        <v/>
      </c>
    </row>
    <row r="692">
      <c r="A692" s="1" t="n"/>
      <c r="B692" s="29" t="n"/>
      <c r="C692" s="26" t="n"/>
      <c r="D692" s="27" t="n"/>
      <c r="E692" s="29" t="n"/>
      <c r="F692" s="26" t="n"/>
      <c r="G692" s="26" t="n"/>
      <c r="H692" s="1">
        <f>IF(B692="","",IF(E692="",B692,E692))</f>
        <v/>
      </c>
    </row>
    <row r="693">
      <c r="A693" s="1" t="n"/>
      <c r="B693" s="29" t="n"/>
      <c r="C693" s="26" t="n"/>
      <c r="D693" s="27" t="n"/>
      <c r="E693" s="29" t="n"/>
      <c r="F693" s="26" t="n"/>
      <c r="G693" s="26" t="n"/>
      <c r="H693" s="1">
        <f>IF(B693="","",IF(E693="",B693,E693))</f>
        <v/>
      </c>
    </row>
    <row r="694">
      <c r="A694" s="1" t="n"/>
      <c r="B694" s="29" t="n"/>
      <c r="C694" s="26" t="n"/>
      <c r="D694" s="27" t="n"/>
      <c r="E694" s="29" t="n"/>
      <c r="F694" s="26" t="n"/>
      <c r="G694" s="26" t="n"/>
      <c r="H694" s="1">
        <f>IF(B694="","",IF(E694="",B694,E694))</f>
        <v/>
      </c>
    </row>
    <row r="695">
      <c r="A695" s="1" t="n"/>
      <c r="B695" s="29" t="n"/>
      <c r="C695" s="26" t="n"/>
      <c r="D695" s="27" t="n"/>
      <c r="E695" s="29" t="n"/>
      <c r="F695" s="26" t="n"/>
      <c r="G695" s="26" t="n"/>
      <c r="H695" s="1">
        <f>IF(B695="","",IF(E695="",B695,E695))</f>
        <v/>
      </c>
    </row>
    <row r="696">
      <c r="A696" s="1" t="n"/>
      <c r="B696" s="29" t="n"/>
      <c r="C696" s="26" t="n"/>
      <c r="D696" s="27" t="n"/>
      <c r="E696" s="29" t="n"/>
      <c r="F696" s="26" t="n"/>
      <c r="G696" s="26" t="n"/>
      <c r="H696" s="1">
        <f>IF(B696="","",IF(E696="",B696,E696))</f>
        <v/>
      </c>
    </row>
    <row r="697">
      <c r="A697" s="1" t="n"/>
      <c r="B697" s="29" t="n"/>
      <c r="C697" s="26" t="n"/>
      <c r="D697" s="27" t="n"/>
      <c r="E697" s="29" t="n"/>
      <c r="F697" s="26" t="n"/>
      <c r="G697" s="26" t="n"/>
      <c r="H697" s="1">
        <f>IF(B697="","",IF(E697="",B697,E697))</f>
        <v/>
      </c>
    </row>
    <row r="698">
      <c r="A698" s="1" t="n"/>
      <c r="B698" s="29" t="n"/>
      <c r="C698" s="26" t="n"/>
      <c r="D698" s="27" t="n"/>
      <c r="E698" s="29" t="n"/>
      <c r="F698" s="26" t="n"/>
      <c r="G698" s="26" t="n"/>
      <c r="H698" s="1">
        <f>IF(B698="","",IF(E698="",B698,E698))</f>
        <v/>
      </c>
    </row>
    <row r="699">
      <c r="A699" s="1" t="n"/>
      <c r="B699" s="29" t="n"/>
      <c r="C699" s="26" t="n"/>
      <c r="D699" s="27" t="n"/>
      <c r="E699" s="29" t="n"/>
      <c r="F699" s="26" t="n"/>
      <c r="G699" s="26" t="n"/>
      <c r="H699" s="1">
        <f>IF(B699="","",IF(E699="",B699,E699))</f>
        <v/>
      </c>
    </row>
    <row r="700">
      <c r="A700" s="1" t="n"/>
      <c r="B700" s="29" t="n"/>
      <c r="C700" s="26" t="n"/>
      <c r="D700" s="27" t="n"/>
      <c r="E700" s="29" t="n"/>
      <c r="F700" s="26" t="n"/>
      <c r="G700" s="26" t="n"/>
      <c r="H700" s="1">
        <f>IF(B700="","",IF(E700="",B700,E700))</f>
        <v/>
      </c>
    </row>
    <row r="701">
      <c r="A701" s="1" t="n"/>
      <c r="B701" s="29" t="n"/>
      <c r="C701" s="26" t="n"/>
      <c r="D701" s="27" t="n"/>
      <c r="E701" s="29" t="n"/>
      <c r="F701" s="26" t="n"/>
      <c r="G701" s="26" t="n"/>
      <c r="H701" s="1">
        <f>IF(B701="","",IF(E701="",B701,E701))</f>
        <v/>
      </c>
    </row>
    <row r="702">
      <c r="A702" s="1" t="n"/>
      <c r="B702" s="29" t="n"/>
      <c r="C702" s="26" t="n"/>
      <c r="D702" s="27" t="n"/>
      <c r="E702" s="29" t="n"/>
      <c r="F702" s="26" t="n"/>
      <c r="G702" s="26" t="n"/>
      <c r="H702" s="1">
        <f>IF(B702="","",IF(E702="",B702,E702))</f>
        <v/>
      </c>
    </row>
    <row r="703">
      <c r="A703" s="1" t="n"/>
      <c r="B703" s="29" t="n"/>
      <c r="C703" s="26" t="n"/>
      <c r="D703" s="27" t="n"/>
      <c r="E703" s="29" t="n"/>
      <c r="F703" s="26" t="n"/>
      <c r="G703" s="26" t="n"/>
      <c r="H703" s="1">
        <f>IF(B703="","",IF(E703="",B703,E703))</f>
        <v/>
      </c>
    </row>
    <row r="704">
      <c r="A704" s="1" t="n"/>
      <c r="B704" s="29" t="n"/>
      <c r="C704" s="26" t="n"/>
      <c r="D704" s="27" t="n"/>
      <c r="E704" s="29" t="n"/>
      <c r="F704" s="26" t="n"/>
      <c r="G704" s="26" t="n"/>
      <c r="H704" s="1">
        <f>IF(B704="","",IF(E704="",B704,E704))</f>
        <v/>
      </c>
    </row>
    <row r="705">
      <c r="A705" s="1" t="n"/>
      <c r="B705" s="29" t="n"/>
      <c r="C705" s="26" t="n"/>
      <c r="D705" s="27" t="n"/>
      <c r="E705" s="29" t="n"/>
      <c r="F705" s="26" t="n"/>
      <c r="G705" s="26" t="n"/>
      <c r="H705" s="1">
        <f>IF(B705="","",IF(E705="",B705,E705))</f>
        <v/>
      </c>
    </row>
    <row r="706">
      <c r="A706" s="1" t="n"/>
      <c r="B706" s="29" t="n"/>
      <c r="C706" s="26" t="n"/>
      <c r="D706" s="27" t="n"/>
      <c r="E706" s="29" t="n"/>
      <c r="F706" s="26" t="n"/>
      <c r="G706" s="26" t="n"/>
      <c r="H706" s="1">
        <f>IF(B706="","",IF(E706="",B706,E706))</f>
        <v/>
      </c>
    </row>
    <row r="707">
      <c r="A707" s="1" t="n"/>
      <c r="B707" s="29" t="n"/>
      <c r="C707" s="26" t="n"/>
      <c r="D707" s="27" t="n"/>
      <c r="E707" s="29" t="n"/>
      <c r="F707" s="26" t="n"/>
      <c r="G707" s="26" t="n"/>
      <c r="H707" s="1">
        <f>IF(B707="","",IF(E707="",B707,E707))</f>
        <v/>
      </c>
    </row>
    <row r="708">
      <c r="A708" s="1" t="n"/>
      <c r="B708" s="29" t="n"/>
      <c r="C708" s="26" t="n"/>
      <c r="D708" s="27" t="n"/>
      <c r="E708" s="29" t="n"/>
      <c r="F708" s="26" t="n"/>
      <c r="G708" s="26" t="n"/>
      <c r="H708" s="1">
        <f>IF(B708="","",IF(E708="",B708,E708))</f>
        <v/>
      </c>
    </row>
    <row r="709">
      <c r="A709" s="1" t="n"/>
      <c r="B709" s="29" t="n"/>
      <c r="C709" s="26" t="n"/>
      <c r="D709" s="27" t="n"/>
      <c r="E709" s="29" t="n"/>
      <c r="F709" s="26" t="n"/>
      <c r="G709" s="26" t="n"/>
      <c r="H709" s="1">
        <f>IF(B709="","",IF(E709="",B709,E709))</f>
        <v/>
      </c>
    </row>
    <row r="710">
      <c r="A710" s="1" t="n"/>
      <c r="B710" s="29" t="n"/>
      <c r="C710" s="26" t="n"/>
      <c r="D710" s="27" t="n"/>
      <c r="E710" s="29" t="n"/>
      <c r="F710" s="26" t="n"/>
      <c r="G710" s="26" t="n"/>
      <c r="H710" s="1">
        <f>IF(B710="","",IF(E710="",B710,E710))</f>
        <v/>
      </c>
    </row>
    <row r="711">
      <c r="A711" s="1" t="n"/>
      <c r="B711" s="29" t="n"/>
      <c r="C711" s="26" t="n"/>
      <c r="D711" s="27" t="n"/>
      <c r="E711" s="29" t="n"/>
      <c r="F711" s="26" t="n"/>
      <c r="G711" s="26" t="n"/>
      <c r="H711" s="1">
        <f>IF(B711="","",IF(E711="",B711,E711))</f>
        <v/>
      </c>
    </row>
    <row r="712">
      <c r="A712" s="1" t="n"/>
      <c r="B712" s="29" t="n"/>
      <c r="C712" s="26" t="n"/>
      <c r="D712" s="27" t="n"/>
      <c r="E712" s="29" t="n"/>
      <c r="F712" s="26" t="n"/>
      <c r="G712" s="26" t="n"/>
      <c r="H712" s="1">
        <f>IF(B712="","",IF(E712="",B712,E712))</f>
        <v/>
      </c>
    </row>
    <row r="713">
      <c r="A713" s="1" t="n"/>
      <c r="B713" s="29" t="n"/>
      <c r="C713" s="26" t="n"/>
      <c r="D713" s="27" t="n"/>
      <c r="E713" s="29" t="n"/>
      <c r="F713" s="26" t="n"/>
      <c r="G713" s="26" t="n"/>
      <c r="H713" s="1">
        <f>IF(B713="","",IF(E713="",B713,E713))</f>
        <v/>
      </c>
    </row>
    <row r="714">
      <c r="A714" s="1" t="n"/>
      <c r="B714" s="29" t="n"/>
      <c r="C714" s="26" t="n"/>
      <c r="D714" s="27" t="n"/>
      <c r="E714" s="29" t="n"/>
      <c r="F714" s="26" t="n"/>
      <c r="G714" s="26" t="n"/>
      <c r="H714" s="1">
        <f>IF(B714="","",IF(E714="",B714,E714))</f>
        <v/>
      </c>
    </row>
    <row r="715">
      <c r="A715" s="1" t="n"/>
      <c r="B715" s="29" t="n"/>
      <c r="C715" s="26" t="n"/>
      <c r="D715" s="27" t="n"/>
      <c r="E715" s="29" t="n"/>
      <c r="F715" s="26" t="n"/>
      <c r="G715" s="26" t="n"/>
      <c r="H715" s="1">
        <f>IF(B715="","",IF(E715="",B715,E715))</f>
        <v/>
      </c>
    </row>
    <row r="716">
      <c r="A716" s="1" t="n"/>
      <c r="B716" s="29" t="n"/>
      <c r="C716" s="26" t="n"/>
      <c r="D716" s="27" t="n"/>
      <c r="E716" s="29" t="n"/>
      <c r="F716" s="26" t="n"/>
      <c r="G716" s="26" t="n"/>
      <c r="H716" s="1">
        <f>IF(B716="","",IF(E716="",B716,E716))</f>
        <v/>
      </c>
    </row>
    <row r="717">
      <c r="A717" s="1" t="n"/>
      <c r="B717" s="29" t="n"/>
      <c r="C717" s="26" t="n"/>
      <c r="D717" s="27" t="n"/>
      <c r="E717" s="29" t="n"/>
      <c r="F717" s="26" t="n"/>
      <c r="G717" s="26" t="n"/>
      <c r="H717" s="1">
        <f>IF(B717="","",IF(E717="",B717,E717))</f>
        <v/>
      </c>
    </row>
    <row r="718">
      <c r="A718" s="1" t="n"/>
      <c r="B718" s="29" t="n"/>
      <c r="C718" s="26" t="n"/>
      <c r="D718" s="27" t="n"/>
      <c r="E718" s="29" t="n"/>
      <c r="F718" s="26" t="n"/>
      <c r="G718" s="26" t="n"/>
      <c r="H718" s="1">
        <f>IF(B718="","",IF(E718="",B718,E718))</f>
        <v/>
      </c>
    </row>
    <row r="719">
      <c r="A719" s="1" t="n"/>
      <c r="B719" s="29" t="n"/>
      <c r="C719" s="26" t="n"/>
      <c r="D719" s="27" t="n"/>
      <c r="E719" s="29" t="n"/>
      <c r="F719" s="26" t="n"/>
      <c r="G719" s="26" t="n"/>
      <c r="H719" s="1">
        <f>IF(B719="","",IF(E719="",B719,E719))</f>
        <v/>
      </c>
    </row>
    <row r="720">
      <c r="A720" s="1" t="n"/>
      <c r="B720" s="29" t="n"/>
      <c r="C720" s="26" t="n"/>
      <c r="D720" s="27" t="n"/>
      <c r="E720" s="29" t="n"/>
      <c r="F720" s="26" t="n"/>
      <c r="G720" s="26" t="n"/>
      <c r="H720" s="1">
        <f>IF(B720="","",IF(E720="",B720,E720))</f>
        <v/>
      </c>
    </row>
    <row r="721">
      <c r="A721" s="1" t="n"/>
      <c r="B721" s="29" t="n"/>
      <c r="C721" s="26" t="n"/>
      <c r="D721" s="27" t="n"/>
      <c r="E721" s="29" t="n"/>
      <c r="F721" s="26" t="n"/>
      <c r="G721" s="26" t="n"/>
      <c r="H721" s="1">
        <f>IF(B721="","",IF(E721="",B721,E721))</f>
        <v/>
      </c>
    </row>
    <row r="722">
      <c r="A722" s="1" t="n"/>
      <c r="B722" s="29" t="n"/>
      <c r="C722" s="26" t="n"/>
      <c r="D722" s="27" t="n"/>
      <c r="E722" s="29" t="n"/>
      <c r="F722" s="26" t="n"/>
      <c r="G722" s="26" t="n"/>
      <c r="H722" s="1">
        <f>IF(B722="","",IF(E722="",B722,E722))</f>
        <v/>
      </c>
    </row>
    <row r="723">
      <c r="A723" s="1" t="n"/>
      <c r="B723" s="29" t="n"/>
      <c r="C723" s="26" t="n"/>
      <c r="D723" s="27" t="n"/>
      <c r="E723" s="29" t="n"/>
      <c r="F723" s="26" t="n"/>
      <c r="G723" s="26" t="n"/>
      <c r="H723" s="1">
        <f>IF(B723="","",IF(E723="",B723,E723))</f>
        <v/>
      </c>
    </row>
    <row r="724">
      <c r="A724" s="1" t="n"/>
      <c r="B724" s="29" t="n"/>
      <c r="C724" s="26" t="n"/>
      <c r="D724" s="27" t="n"/>
      <c r="E724" s="29" t="n"/>
      <c r="F724" s="26" t="n"/>
      <c r="G724" s="26" t="n"/>
      <c r="H724" s="1">
        <f>IF(B724="","",IF(E724="",B724,E724))</f>
        <v/>
      </c>
    </row>
    <row r="725">
      <c r="A725" s="1" t="n"/>
      <c r="B725" s="29" t="n"/>
      <c r="C725" s="26" t="n"/>
      <c r="D725" s="27" t="n"/>
      <c r="E725" s="29" t="n"/>
      <c r="F725" s="26" t="n"/>
      <c r="G725" s="26" t="n"/>
      <c r="H725" s="1">
        <f>IF(B725="","",IF(E725="",B725,E725))</f>
        <v/>
      </c>
    </row>
    <row r="726">
      <c r="A726" s="1" t="n"/>
      <c r="B726" s="29" t="n"/>
      <c r="C726" s="26" t="n"/>
      <c r="D726" s="27" t="n"/>
      <c r="E726" s="29" t="n"/>
      <c r="F726" s="26" t="n"/>
      <c r="G726" s="26" t="n"/>
      <c r="H726" s="1">
        <f>IF(B726="","",IF(E726="",B726,E726))</f>
        <v/>
      </c>
    </row>
    <row r="727">
      <c r="A727" s="1" t="n"/>
      <c r="B727" s="29" t="n"/>
      <c r="C727" s="26" t="n"/>
      <c r="D727" s="27" t="n"/>
      <c r="E727" s="29" t="n"/>
      <c r="F727" s="26" t="n"/>
      <c r="G727" s="26" t="n"/>
      <c r="H727" s="1">
        <f>IF(B727="","",IF(E727="",B727,E727))</f>
        <v/>
      </c>
    </row>
    <row r="728">
      <c r="A728" s="1" t="n"/>
      <c r="B728" s="29" t="n"/>
      <c r="C728" s="26" t="n"/>
      <c r="D728" s="27" t="n"/>
      <c r="E728" s="29" t="n"/>
      <c r="F728" s="26" t="n"/>
      <c r="G728" s="26" t="n"/>
      <c r="H728" s="1">
        <f>IF(B728="","",IF(E728="",B728,E728))</f>
        <v/>
      </c>
    </row>
    <row r="729">
      <c r="A729" s="1" t="n"/>
      <c r="B729" s="29" t="n"/>
      <c r="C729" s="26" t="n"/>
      <c r="D729" s="27" t="n"/>
      <c r="E729" s="29" t="n"/>
      <c r="F729" s="26" t="n"/>
      <c r="G729" s="26" t="n"/>
      <c r="H729" s="1">
        <f>IF(B729="","",IF(E729="",B729,E729))</f>
        <v/>
      </c>
    </row>
    <row r="730">
      <c r="A730" s="1" t="n"/>
      <c r="B730" s="29" t="n"/>
      <c r="C730" s="26" t="n"/>
      <c r="D730" s="27" t="n"/>
      <c r="E730" s="29" t="n"/>
      <c r="F730" s="26" t="n"/>
      <c r="G730" s="26" t="n"/>
      <c r="H730" s="1">
        <f>IF(B730="","",IF(E730="",B730,E730))</f>
        <v/>
      </c>
    </row>
    <row r="731">
      <c r="A731" s="1" t="n"/>
      <c r="B731" s="29" t="n"/>
      <c r="C731" s="26" t="n"/>
      <c r="D731" s="27" t="n"/>
      <c r="E731" s="29" t="n"/>
      <c r="F731" s="26" t="n"/>
      <c r="G731" s="26" t="n"/>
      <c r="H731" s="1">
        <f>IF(B731="","",IF(E731="",B731,E731))</f>
        <v/>
      </c>
    </row>
    <row r="732">
      <c r="A732" s="1" t="n"/>
      <c r="B732" s="29" t="n"/>
      <c r="C732" s="26" t="n"/>
      <c r="D732" s="27" t="n"/>
      <c r="E732" s="29" t="n"/>
      <c r="F732" s="26" t="n"/>
      <c r="G732" s="26" t="n"/>
      <c r="H732" s="1">
        <f>IF(B732="","",IF(E732="",B732,E732))</f>
        <v/>
      </c>
    </row>
    <row r="733">
      <c r="A733" s="1" t="n"/>
      <c r="B733" s="29" t="n"/>
      <c r="C733" s="26" t="n"/>
      <c r="D733" s="27" t="n"/>
      <c r="E733" s="29" t="n"/>
      <c r="F733" s="26" t="n"/>
      <c r="G733" s="26" t="n"/>
      <c r="H733" s="1">
        <f>IF(B733="","",IF(E733="",B733,E733))</f>
        <v/>
      </c>
    </row>
    <row r="734">
      <c r="A734" s="1" t="n"/>
      <c r="B734" s="29" t="n"/>
      <c r="C734" s="26" t="n"/>
      <c r="D734" s="27" t="n"/>
      <c r="E734" s="29" t="n"/>
      <c r="F734" s="26" t="n"/>
      <c r="G734" s="26" t="n"/>
      <c r="H734" s="1">
        <f>IF(B734="","",IF(E734="",B734,E734))</f>
        <v/>
      </c>
    </row>
    <row r="735">
      <c r="A735" s="1" t="n"/>
      <c r="B735" s="29" t="n"/>
      <c r="C735" s="26" t="n"/>
      <c r="D735" s="27" t="n"/>
      <c r="E735" s="29" t="n"/>
      <c r="F735" s="26" t="n"/>
      <c r="G735" s="26" t="n"/>
      <c r="H735" s="1">
        <f>IF(B735="","",IF(E735="",B735,E735))</f>
        <v/>
      </c>
    </row>
    <row r="736">
      <c r="A736" s="1" t="n"/>
      <c r="B736" s="29" t="n"/>
      <c r="C736" s="26" t="n"/>
      <c r="D736" s="27" t="n"/>
      <c r="E736" s="29" t="n"/>
      <c r="F736" s="26" t="n"/>
      <c r="G736" s="26" t="n"/>
      <c r="H736" s="1">
        <f>IF(B736="","",IF(E736="",B736,E736))</f>
        <v/>
      </c>
    </row>
    <row r="737">
      <c r="A737" s="1" t="n"/>
      <c r="B737" s="29" t="n"/>
      <c r="C737" s="26" t="n"/>
      <c r="D737" s="27" t="n"/>
      <c r="E737" s="29" t="n"/>
      <c r="F737" s="26" t="n"/>
      <c r="G737" s="26" t="n"/>
      <c r="H737" s="1">
        <f>IF(B737="","",IF(E737="",B737,E737))</f>
        <v/>
      </c>
    </row>
    <row r="738">
      <c r="A738" s="1" t="n"/>
      <c r="B738" s="29" t="n"/>
      <c r="C738" s="26" t="n"/>
      <c r="D738" s="27" t="n"/>
      <c r="E738" s="29" t="n"/>
      <c r="F738" s="26" t="n"/>
      <c r="G738" s="26" t="n"/>
      <c r="H738" s="1">
        <f>IF(B738="","",IF(E738="",B738,E738))</f>
        <v/>
      </c>
    </row>
    <row r="739">
      <c r="A739" s="1" t="n"/>
      <c r="B739" s="29" t="n"/>
      <c r="C739" s="26" t="n"/>
      <c r="D739" s="27" t="n"/>
      <c r="E739" s="29" t="n"/>
      <c r="F739" s="26" t="n"/>
      <c r="G739" s="26" t="n"/>
      <c r="H739" s="1">
        <f>IF(B739="","",IF(E739="",B739,E739))</f>
        <v/>
      </c>
    </row>
    <row r="740">
      <c r="A740" s="1" t="n"/>
      <c r="B740" s="29" t="n"/>
      <c r="C740" s="26" t="n"/>
      <c r="D740" s="27" t="n"/>
      <c r="E740" s="29" t="n"/>
      <c r="F740" s="26" t="n"/>
      <c r="G740" s="26" t="n"/>
      <c r="H740" s="1">
        <f>IF(B740="","",IF(E740="",B740,E740))</f>
        <v/>
      </c>
    </row>
    <row r="741">
      <c r="A741" s="1" t="n"/>
      <c r="B741" s="29" t="n"/>
      <c r="C741" s="26" t="n"/>
      <c r="D741" s="27" t="n"/>
      <c r="E741" s="29" t="n"/>
      <c r="F741" s="26" t="n"/>
      <c r="G741" s="26" t="n"/>
      <c r="H741" s="1">
        <f>IF(B741="","",IF(E741="",B741,E741))</f>
        <v/>
      </c>
    </row>
    <row r="742">
      <c r="A742" s="1" t="n"/>
      <c r="B742" s="29" t="n"/>
      <c r="C742" s="26" t="n"/>
      <c r="D742" s="27" t="n"/>
      <c r="E742" s="29" t="n"/>
      <c r="F742" s="26" t="n"/>
      <c r="G742" s="26" t="n"/>
      <c r="H742" s="1">
        <f>IF(B742="","",IF(E742="",B742,E742))</f>
        <v/>
      </c>
    </row>
    <row r="743">
      <c r="A743" s="1" t="n"/>
      <c r="B743" s="29" t="n"/>
      <c r="C743" s="26" t="n"/>
      <c r="D743" s="27" t="n"/>
      <c r="E743" s="29" t="n"/>
      <c r="F743" s="26" t="n"/>
      <c r="G743" s="26" t="n"/>
      <c r="H743" s="1">
        <f>IF(B743="","",IF(E743="",B743,E743))</f>
        <v/>
      </c>
    </row>
    <row r="744">
      <c r="A744" s="1" t="n"/>
      <c r="B744" s="29" t="n"/>
      <c r="C744" s="26" t="n"/>
      <c r="D744" s="27" t="n"/>
      <c r="E744" s="29" t="n"/>
      <c r="F744" s="26" t="n"/>
      <c r="G744" s="26" t="n"/>
      <c r="H744" s="1">
        <f>IF(B744="","",IF(E744="",B744,E744))</f>
        <v/>
      </c>
    </row>
    <row r="745">
      <c r="A745" s="1" t="n"/>
      <c r="B745" s="29" t="n"/>
      <c r="C745" s="26" t="n"/>
      <c r="D745" s="27" t="n"/>
      <c r="E745" s="29" t="n"/>
      <c r="F745" s="26" t="n"/>
      <c r="G745" s="26" t="n"/>
      <c r="H745" s="1">
        <f>IF(B745="","",IF(E745="",B745,E745))</f>
        <v/>
      </c>
    </row>
    <row r="746">
      <c r="A746" s="1" t="n"/>
      <c r="B746" s="29" t="n"/>
      <c r="C746" s="26" t="n"/>
      <c r="D746" s="27" t="n"/>
      <c r="E746" s="29" t="n"/>
      <c r="F746" s="26" t="n"/>
      <c r="G746" s="26" t="n"/>
      <c r="H746" s="1">
        <f>IF(B746="","",IF(E746="",B746,E746))</f>
        <v/>
      </c>
    </row>
    <row r="747">
      <c r="A747" s="1" t="n"/>
      <c r="B747" s="29" t="n"/>
      <c r="C747" s="26" t="n"/>
      <c r="D747" s="27" t="n"/>
      <c r="E747" s="29" t="n"/>
      <c r="F747" s="26" t="n"/>
      <c r="G747" s="26" t="n"/>
      <c r="H747" s="1">
        <f>IF(B747="","",IF(E747="",B747,E747))</f>
        <v/>
      </c>
    </row>
    <row r="748">
      <c r="A748" s="1" t="n"/>
      <c r="B748" s="29" t="n"/>
      <c r="C748" s="26" t="n"/>
      <c r="D748" s="27" t="n"/>
      <c r="E748" s="29" t="n"/>
      <c r="F748" s="26" t="n"/>
      <c r="G748" s="26" t="n"/>
      <c r="H748" s="1">
        <f>IF(B748="","",IF(E748="",B748,E748))</f>
        <v/>
      </c>
    </row>
    <row r="749">
      <c r="A749" s="1" t="n"/>
      <c r="B749" s="29" t="n"/>
      <c r="C749" s="26" t="n"/>
      <c r="D749" s="27" t="n"/>
      <c r="E749" s="29" t="n"/>
      <c r="F749" s="26" t="n"/>
      <c r="G749" s="26" t="n"/>
      <c r="H749" s="1">
        <f>IF(B749="","",IF(E749="",B749,E749))</f>
        <v/>
      </c>
    </row>
    <row r="750">
      <c r="A750" s="1" t="n"/>
      <c r="B750" s="29" t="n"/>
      <c r="C750" s="26" t="n"/>
      <c r="D750" s="27" t="n"/>
      <c r="E750" s="29" t="n"/>
      <c r="F750" s="26" t="n"/>
      <c r="G750" s="26" t="n"/>
      <c r="H750" s="1">
        <f>IF(B750="","",IF(E750="",B750,E750))</f>
        <v/>
      </c>
    </row>
    <row r="751">
      <c r="A751" s="1" t="n"/>
      <c r="B751" s="29" t="n"/>
      <c r="C751" s="26" t="n"/>
      <c r="D751" s="27" t="n"/>
      <c r="E751" s="29" t="n"/>
      <c r="F751" s="26" t="n"/>
      <c r="G751" s="26" t="n"/>
      <c r="H751" s="1">
        <f>IF(B751="","",IF(E751="",B751,E751))</f>
        <v/>
      </c>
    </row>
    <row r="752">
      <c r="A752" s="1" t="n"/>
      <c r="B752" s="29" t="n"/>
      <c r="C752" s="26" t="n"/>
      <c r="D752" s="27" t="n"/>
      <c r="E752" s="29" t="n"/>
      <c r="F752" s="26" t="n"/>
      <c r="G752" s="26" t="n"/>
      <c r="H752" s="1">
        <f>IF(B752="","",IF(E752="",B752,E752))</f>
        <v/>
      </c>
    </row>
    <row r="753">
      <c r="A753" s="1" t="n"/>
      <c r="B753" s="29" t="n"/>
      <c r="C753" s="26" t="n"/>
      <c r="D753" s="27" t="n"/>
      <c r="E753" s="29" t="n"/>
      <c r="F753" s="26" t="n"/>
      <c r="G753" s="26" t="n"/>
      <c r="H753" s="1">
        <f>IF(B753="","",IF(E753="",B753,E753))</f>
        <v/>
      </c>
    </row>
    <row r="754">
      <c r="A754" s="1" t="n"/>
      <c r="B754" s="29" t="n"/>
      <c r="C754" s="26" t="n"/>
      <c r="D754" s="27" t="n"/>
      <c r="E754" s="29" t="n"/>
      <c r="F754" s="26" t="n"/>
      <c r="G754" s="26" t="n"/>
      <c r="H754" s="1">
        <f>IF(B754="","",IF(E754="",B754,E754))</f>
        <v/>
      </c>
    </row>
    <row r="755">
      <c r="A755" s="1" t="n"/>
      <c r="B755" s="29" t="n"/>
      <c r="C755" s="26" t="n"/>
      <c r="D755" s="27" t="n"/>
      <c r="E755" s="29" t="n"/>
      <c r="F755" s="26" t="n"/>
      <c r="G755" s="26" t="n"/>
      <c r="H755" s="1">
        <f>IF(B755="","",IF(E755="",B755,E755))</f>
        <v/>
      </c>
    </row>
    <row r="756">
      <c r="A756" s="1" t="n"/>
      <c r="B756" s="29" t="n"/>
      <c r="C756" s="26" t="n"/>
      <c r="D756" s="27" t="n"/>
      <c r="E756" s="29" t="n"/>
      <c r="F756" s="26" t="n"/>
      <c r="G756" s="26" t="n"/>
      <c r="H756" s="1">
        <f>IF(B756="","",IF(E756="",B756,E756))</f>
        <v/>
      </c>
    </row>
    <row r="757">
      <c r="A757" s="1" t="n"/>
      <c r="B757" s="29" t="n"/>
      <c r="C757" s="26" t="n"/>
      <c r="D757" s="27" t="n"/>
      <c r="E757" s="29" t="n"/>
      <c r="F757" s="26" t="n"/>
      <c r="G757" s="26" t="n"/>
      <c r="H757" s="1">
        <f>IF(B757="","",IF(E757="",B757,E757))</f>
        <v/>
      </c>
    </row>
    <row r="758">
      <c r="A758" s="1" t="n"/>
      <c r="B758" s="29" t="n"/>
      <c r="C758" s="26" t="n"/>
      <c r="D758" s="27" t="n"/>
      <c r="E758" s="29" t="n"/>
      <c r="F758" s="26" t="n"/>
      <c r="G758" s="26" t="n"/>
      <c r="H758" s="1">
        <f>IF(B758="","",IF(E758="",B758,E758))</f>
        <v/>
      </c>
    </row>
    <row r="759">
      <c r="A759" s="1" t="n"/>
      <c r="B759" s="29" t="n"/>
      <c r="C759" s="26" t="n"/>
      <c r="D759" s="27" t="n"/>
      <c r="E759" s="29" t="n"/>
      <c r="F759" s="26" t="n"/>
      <c r="G759" s="26" t="n"/>
      <c r="H759" s="1">
        <f>IF(B759="","",IF(E759="",B759,E759))</f>
        <v/>
      </c>
    </row>
    <row r="760">
      <c r="A760" s="1" t="n"/>
      <c r="B760" s="29" t="n"/>
      <c r="C760" s="26" t="n"/>
      <c r="D760" s="27" t="n"/>
      <c r="E760" s="29" t="n"/>
      <c r="F760" s="26" t="n"/>
      <c r="G760" s="26" t="n"/>
      <c r="H760" s="1">
        <f>IF(B760="","",IF(E760="",B760,E760))</f>
        <v/>
      </c>
    </row>
    <row r="761">
      <c r="A761" s="1" t="n"/>
      <c r="B761" s="29" t="n"/>
      <c r="C761" s="26" t="n"/>
      <c r="D761" s="27" t="n"/>
      <c r="E761" s="29" t="n"/>
      <c r="F761" s="26" t="n"/>
      <c r="G761" s="26" t="n"/>
      <c r="H761" s="1">
        <f>IF(B761="","",IF(E761="",B761,E761))</f>
        <v/>
      </c>
    </row>
    <row r="762">
      <c r="A762" s="1" t="n"/>
      <c r="B762" s="29" t="n"/>
      <c r="C762" s="26" t="n"/>
      <c r="D762" s="27" t="n"/>
      <c r="E762" s="29" t="n"/>
      <c r="F762" s="26" t="n"/>
      <c r="G762" s="26" t="n"/>
      <c r="H762" s="1">
        <f>IF(B762="","",IF(E762="",B762,E762))</f>
        <v/>
      </c>
    </row>
    <row r="763">
      <c r="A763" s="1" t="n"/>
      <c r="B763" s="29" t="n"/>
      <c r="C763" s="26" t="n"/>
      <c r="D763" s="27" t="n"/>
      <c r="E763" s="29" t="n"/>
      <c r="F763" s="26" t="n"/>
      <c r="G763" s="26" t="n"/>
      <c r="H763" s="1">
        <f>IF(B763="","",IF(E763="",B763,E763))</f>
        <v/>
      </c>
    </row>
    <row r="764">
      <c r="A764" s="1" t="n"/>
      <c r="B764" s="29" t="n"/>
      <c r="C764" s="26" t="n"/>
      <c r="D764" s="27" t="n"/>
      <c r="E764" s="29" t="n"/>
      <c r="F764" s="26" t="n"/>
      <c r="G764" s="26" t="n"/>
      <c r="H764" s="1">
        <f>IF(B764="","",IF(E764="",B764,E764))</f>
        <v/>
      </c>
    </row>
    <row r="765">
      <c r="A765" s="1" t="n"/>
      <c r="B765" s="29" t="n"/>
      <c r="C765" s="26" t="n"/>
      <c r="D765" s="27" t="n"/>
      <c r="E765" s="29" t="n"/>
      <c r="F765" s="26" t="n"/>
      <c r="G765" s="26" t="n"/>
      <c r="H765" s="1">
        <f>IF(B765="","",IF(E765="",B765,E765))</f>
        <v/>
      </c>
    </row>
    <row r="766">
      <c r="A766" s="1" t="n"/>
      <c r="B766" s="29" t="n"/>
      <c r="C766" s="26" t="n"/>
      <c r="D766" s="27" t="n"/>
      <c r="E766" s="29" t="n"/>
      <c r="F766" s="26" t="n"/>
      <c r="G766" s="26" t="n"/>
      <c r="H766" s="1">
        <f>IF(B766="","",IF(E766="",B766,E766))</f>
        <v/>
      </c>
    </row>
    <row r="767">
      <c r="A767" s="1" t="n"/>
      <c r="B767" s="29" t="n"/>
      <c r="C767" s="26" t="n"/>
      <c r="D767" s="27" t="n"/>
      <c r="E767" s="29" t="n"/>
      <c r="F767" s="26" t="n"/>
      <c r="G767" s="26" t="n"/>
      <c r="H767" s="1">
        <f>IF(B767="","",IF(E767="",B767,E767))</f>
        <v/>
      </c>
    </row>
    <row r="768">
      <c r="A768" s="1" t="n"/>
      <c r="B768" s="29" t="n"/>
      <c r="C768" s="26" t="n"/>
      <c r="D768" s="27" t="n"/>
      <c r="E768" s="29" t="n"/>
      <c r="F768" s="26" t="n"/>
      <c r="G768" s="26" t="n"/>
      <c r="H768" s="1">
        <f>IF(B768="","",IF(E768="",B768,E768))</f>
        <v/>
      </c>
    </row>
    <row r="769">
      <c r="A769" s="1" t="n"/>
      <c r="B769" s="29" t="n"/>
      <c r="C769" s="26" t="n"/>
      <c r="D769" s="27" t="n"/>
      <c r="E769" s="29" t="n"/>
      <c r="F769" s="26" t="n"/>
      <c r="G769" s="26" t="n"/>
      <c r="H769" s="1">
        <f>IF(B769="","",IF(E769="",B769,E769))</f>
        <v/>
      </c>
    </row>
    <row r="770">
      <c r="A770" s="1" t="n"/>
      <c r="B770" s="29" t="n"/>
      <c r="C770" s="26" t="n"/>
      <c r="D770" s="27" t="n"/>
      <c r="E770" s="29" t="n"/>
      <c r="F770" s="26" t="n"/>
      <c r="G770" s="26" t="n"/>
      <c r="H770" s="1">
        <f>IF(B770="","",IF(E770="",B770,E770))</f>
        <v/>
      </c>
    </row>
    <row r="771">
      <c r="A771" s="1" t="n"/>
      <c r="B771" s="29" t="n"/>
      <c r="C771" s="26" t="n"/>
      <c r="D771" s="27" t="n"/>
      <c r="E771" s="29" t="n"/>
      <c r="F771" s="26" t="n"/>
      <c r="G771" s="26" t="n"/>
      <c r="H771" s="1">
        <f>IF(B771="","",IF(E771="",B771,E771))</f>
        <v/>
      </c>
    </row>
    <row r="772">
      <c r="A772" s="1" t="n"/>
      <c r="B772" s="29" t="n"/>
      <c r="C772" s="26" t="n"/>
      <c r="D772" s="27" t="n"/>
      <c r="E772" s="29" t="n"/>
      <c r="F772" s="26" t="n"/>
      <c r="G772" s="26" t="n"/>
      <c r="H772" s="1">
        <f>IF(B772="","",IF(E772="",B772,E772))</f>
        <v/>
      </c>
    </row>
    <row r="773">
      <c r="A773" s="1" t="n"/>
      <c r="B773" s="29" t="n"/>
      <c r="C773" s="26" t="n"/>
      <c r="D773" s="27" t="n"/>
      <c r="E773" s="29" t="n"/>
      <c r="F773" s="26" t="n"/>
      <c r="G773" s="26" t="n"/>
      <c r="H773" s="1">
        <f>IF(B773="","",IF(E773="",B773,E773))</f>
        <v/>
      </c>
    </row>
    <row r="774">
      <c r="A774" s="1" t="n"/>
      <c r="B774" s="29" t="n"/>
      <c r="C774" s="26" t="n"/>
      <c r="D774" s="27" t="n"/>
      <c r="E774" s="29" t="n"/>
      <c r="F774" s="26" t="n"/>
      <c r="G774" s="26" t="n"/>
      <c r="H774" s="1">
        <f>IF(B774="","",IF(E774="",B774,E774))</f>
        <v/>
      </c>
    </row>
    <row r="775">
      <c r="A775" s="1" t="n"/>
      <c r="B775" s="29" t="n"/>
      <c r="C775" s="26" t="n"/>
      <c r="D775" s="27" t="n"/>
      <c r="E775" s="29" t="n"/>
      <c r="F775" s="26" t="n"/>
      <c r="G775" s="26" t="n"/>
      <c r="H775" s="1">
        <f>IF(B775="","",IF(E775="",B775,E775))</f>
        <v/>
      </c>
    </row>
    <row r="776">
      <c r="A776" s="1" t="n"/>
      <c r="B776" s="29" t="n"/>
      <c r="C776" s="26" t="n"/>
      <c r="D776" s="27" t="n"/>
      <c r="E776" s="29" t="n"/>
      <c r="F776" s="26" t="n"/>
      <c r="G776" s="26" t="n"/>
      <c r="H776" s="1">
        <f>IF(B776="","",IF(E776="",B776,E776))</f>
        <v/>
      </c>
    </row>
    <row r="777">
      <c r="A777" s="1" t="n"/>
      <c r="B777" s="29" t="n"/>
      <c r="C777" s="26" t="n"/>
      <c r="D777" s="27" t="n"/>
      <c r="E777" s="29" t="n"/>
      <c r="F777" s="26" t="n"/>
      <c r="G777" s="26" t="n"/>
      <c r="H777" s="1">
        <f>IF(B777="","",IF(E777="",B777,E777))</f>
        <v/>
      </c>
    </row>
    <row r="778">
      <c r="A778" s="1" t="n"/>
      <c r="B778" s="29" t="n"/>
      <c r="C778" s="26" t="n"/>
      <c r="D778" s="27" t="n"/>
      <c r="E778" s="29" t="n"/>
      <c r="F778" s="26" t="n"/>
      <c r="G778" s="26" t="n"/>
      <c r="H778" s="1">
        <f>IF(B778="","",IF(E778="",B778,E778))</f>
        <v/>
      </c>
    </row>
    <row r="779">
      <c r="A779" s="1" t="n"/>
      <c r="B779" s="29" t="n"/>
      <c r="C779" s="26" t="n"/>
      <c r="D779" s="27" t="n"/>
      <c r="E779" s="29" t="n"/>
      <c r="F779" s="26" t="n"/>
      <c r="G779" s="26" t="n"/>
      <c r="H779" s="1">
        <f>IF(B779="","",IF(E779="",B779,E779))</f>
        <v/>
      </c>
    </row>
    <row r="780">
      <c r="A780" s="1" t="n"/>
      <c r="B780" s="29" t="n"/>
      <c r="C780" s="26" t="n"/>
      <c r="D780" s="27" t="n"/>
      <c r="E780" s="29" t="n"/>
      <c r="F780" s="26" t="n"/>
      <c r="G780" s="26" t="n"/>
      <c r="H780" s="1">
        <f>IF(B780="","",IF(E780="",B780,E780))</f>
        <v/>
      </c>
    </row>
    <row r="781">
      <c r="A781" s="1" t="n"/>
      <c r="B781" s="29" t="n"/>
      <c r="C781" s="26" t="n"/>
      <c r="D781" s="27" t="n"/>
      <c r="E781" s="29" t="n"/>
      <c r="F781" s="26" t="n"/>
      <c r="G781" s="26" t="n"/>
      <c r="H781" s="1">
        <f>IF(B781="","",IF(E781="",B781,E781))</f>
        <v/>
      </c>
    </row>
    <row r="782">
      <c r="A782" s="1" t="n"/>
      <c r="B782" s="29" t="n"/>
      <c r="C782" s="26" t="n"/>
      <c r="D782" s="27" t="n"/>
      <c r="E782" s="29" t="n"/>
      <c r="F782" s="26" t="n"/>
      <c r="G782" s="26" t="n"/>
      <c r="H782" s="1">
        <f>IF(B782="","",IF(E782="",B782,E782))</f>
        <v/>
      </c>
    </row>
    <row r="783">
      <c r="A783" s="1" t="n"/>
      <c r="B783" s="29" t="n"/>
      <c r="C783" s="26" t="n"/>
      <c r="D783" s="27" t="n"/>
      <c r="E783" s="29" t="n"/>
      <c r="F783" s="26" t="n"/>
      <c r="G783" s="26" t="n"/>
      <c r="H783" s="1">
        <f>IF(B783="","",IF(E783="",B783,E783))</f>
        <v/>
      </c>
    </row>
    <row r="784">
      <c r="A784" s="1" t="n"/>
      <c r="B784" s="29" t="n"/>
      <c r="C784" s="26" t="n"/>
      <c r="D784" s="27" t="n"/>
      <c r="E784" s="29" t="n"/>
      <c r="F784" s="26" t="n"/>
      <c r="G784" s="26" t="n"/>
      <c r="H784" s="1">
        <f>IF(B784="","",IF(E784="",B784,E784))</f>
        <v/>
      </c>
    </row>
    <row r="785">
      <c r="A785" s="1" t="n"/>
      <c r="B785" s="29" t="n"/>
      <c r="C785" s="26" t="n"/>
      <c r="D785" s="27" t="n"/>
      <c r="E785" s="29" t="n"/>
      <c r="F785" s="26" t="n"/>
      <c r="G785" s="26" t="n"/>
      <c r="H785" s="1">
        <f>IF(B785="","",IF(E785="",B785,E785))</f>
        <v/>
      </c>
    </row>
    <row r="786">
      <c r="A786" s="1" t="n"/>
      <c r="B786" s="29" t="n"/>
      <c r="C786" s="26" t="n"/>
      <c r="D786" s="27" t="n"/>
      <c r="E786" s="29" t="n"/>
      <c r="F786" s="26" t="n"/>
      <c r="G786" s="26" t="n"/>
      <c r="H786" s="1">
        <f>IF(B786="","",IF(E786="",B786,E786))</f>
        <v/>
      </c>
    </row>
    <row r="787">
      <c r="A787" s="1" t="n"/>
      <c r="B787" s="29" t="n"/>
      <c r="C787" s="26" t="n"/>
      <c r="D787" s="27" t="n"/>
      <c r="E787" s="29" t="n"/>
      <c r="F787" s="26" t="n"/>
      <c r="G787" s="26" t="n"/>
      <c r="H787" s="1">
        <f>IF(B787="","",IF(E787="",B787,E787))</f>
        <v/>
      </c>
    </row>
    <row r="788">
      <c r="A788" s="1" t="n"/>
      <c r="B788" s="29" t="n"/>
      <c r="C788" s="26" t="n"/>
      <c r="D788" s="27" t="n"/>
      <c r="E788" s="29" t="n"/>
      <c r="F788" s="26" t="n"/>
      <c r="G788" s="26" t="n"/>
      <c r="H788" s="1">
        <f>IF(B788="","",IF(E788="",B788,E788))</f>
        <v/>
      </c>
    </row>
    <row r="789">
      <c r="A789" s="1" t="n"/>
      <c r="B789" s="29" t="n"/>
      <c r="C789" s="26" t="n"/>
      <c r="D789" s="27" t="n"/>
      <c r="E789" s="29" t="n"/>
      <c r="F789" s="26" t="n"/>
      <c r="G789" s="26" t="n"/>
      <c r="H789" s="1">
        <f>IF(B789="","",IF(E789="",B789,E789))</f>
        <v/>
      </c>
    </row>
    <row r="790">
      <c r="A790" s="1" t="n"/>
      <c r="B790" s="29" t="n"/>
      <c r="C790" s="26" t="n"/>
      <c r="D790" s="27" t="n"/>
      <c r="E790" s="29" t="n"/>
      <c r="F790" s="26" t="n"/>
      <c r="G790" s="26" t="n"/>
      <c r="H790" s="1">
        <f>IF(B790="","",IF(E790="",B790,E790))</f>
        <v/>
      </c>
    </row>
    <row r="791">
      <c r="A791" s="1" t="n"/>
      <c r="B791" s="29" t="n"/>
      <c r="C791" s="26" t="n"/>
      <c r="D791" s="27" t="n"/>
      <c r="E791" s="29" t="n"/>
      <c r="F791" s="26" t="n"/>
      <c r="G791" s="26" t="n"/>
      <c r="H791" s="1">
        <f>IF(B791="","",IF(E791="",B791,E791))</f>
        <v/>
      </c>
    </row>
    <row r="792">
      <c r="A792" s="1" t="n"/>
      <c r="B792" s="29" t="n"/>
      <c r="C792" s="26" t="n"/>
      <c r="D792" s="27" t="n"/>
      <c r="E792" s="29" t="n"/>
      <c r="F792" s="26" t="n"/>
      <c r="G792" s="26" t="n"/>
      <c r="H792" s="1">
        <f>IF(B792="","",IF(E792="",B792,E792))</f>
        <v/>
      </c>
    </row>
    <row r="793">
      <c r="A793" s="1" t="n"/>
      <c r="B793" s="29" t="n"/>
      <c r="C793" s="26" t="n"/>
      <c r="D793" s="27" t="n"/>
      <c r="E793" s="29" t="n"/>
      <c r="F793" s="26" t="n"/>
      <c r="G793" s="26" t="n"/>
      <c r="H793" s="1">
        <f>IF(B793="","",IF(E793="",B793,E793))</f>
        <v/>
      </c>
    </row>
    <row r="794">
      <c r="A794" s="1" t="n"/>
      <c r="B794" s="29" t="n"/>
      <c r="C794" s="26" t="n"/>
      <c r="D794" s="27" t="n"/>
      <c r="E794" s="29" t="n"/>
      <c r="F794" s="26" t="n"/>
      <c r="G794" s="26" t="n"/>
      <c r="H794" s="1">
        <f>IF(B794="","",IF(E794="",B794,E794))</f>
        <v/>
      </c>
    </row>
    <row r="795">
      <c r="A795" s="1" t="n"/>
      <c r="B795" s="29" t="n"/>
      <c r="C795" s="26" t="n"/>
      <c r="D795" s="27" t="n"/>
      <c r="E795" s="29" t="n"/>
      <c r="F795" s="26" t="n"/>
      <c r="G795" s="26" t="n"/>
      <c r="H795" s="1">
        <f>IF(B795="","",IF(E795="",B795,E795))</f>
        <v/>
      </c>
    </row>
    <row r="796">
      <c r="A796" s="1" t="n"/>
      <c r="B796" s="29" t="n"/>
      <c r="C796" s="26" t="n"/>
      <c r="D796" s="27" t="n"/>
      <c r="E796" s="29" t="n"/>
      <c r="F796" s="26" t="n"/>
      <c r="G796" s="26" t="n"/>
      <c r="H796" s="1">
        <f>IF(B796="","",IF(E796="",B796,E796))</f>
        <v/>
      </c>
    </row>
    <row r="797">
      <c r="A797" s="1" t="n"/>
      <c r="B797" s="29" t="n"/>
      <c r="C797" s="26" t="n"/>
      <c r="D797" s="27" t="n"/>
      <c r="E797" s="29" t="n"/>
      <c r="F797" s="26" t="n"/>
      <c r="G797" s="26" t="n"/>
      <c r="H797" s="1">
        <f>IF(B797="","",IF(E797="",B797,E797))</f>
        <v/>
      </c>
    </row>
    <row r="798">
      <c r="A798" s="1" t="n"/>
      <c r="B798" s="29" t="n"/>
      <c r="C798" s="26" t="n"/>
      <c r="D798" s="27" t="n"/>
      <c r="E798" s="29" t="n"/>
      <c r="F798" s="26" t="n"/>
      <c r="G798" s="26" t="n"/>
      <c r="H798" s="1">
        <f>IF(B798="","",IF(E798="",B798,E798))</f>
        <v/>
      </c>
    </row>
    <row r="799">
      <c r="A799" s="1" t="n"/>
      <c r="B799" s="29" t="n"/>
      <c r="C799" s="26" t="n"/>
      <c r="D799" s="27" t="n"/>
      <c r="E799" s="29" t="n"/>
      <c r="F799" s="26" t="n"/>
      <c r="G799" s="26" t="n"/>
      <c r="H799" s="1">
        <f>IF(B799="","",IF(E799="",B799,E799))</f>
        <v/>
      </c>
    </row>
    <row r="800">
      <c r="A800" s="1" t="n"/>
      <c r="B800" s="29" t="n"/>
      <c r="C800" s="26" t="n"/>
      <c r="D800" s="27" t="n"/>
      <c r="E800" s="29" t="n"/>
      <c r="F800" s="26" t="n"/>
      <c r="G800" s="26" t="n"/>
      <c r="H800" s="1">
        <f>IF(B800="","",IF(E800="",B800,E800))</f>
        <v/>
      </c>
    </row>
    <row r="801">
      <c r="A801" s="1" t="n"/>
      <c r="B801" s="29" t="n"/>
      <c r="C801" s="26" t="n"/>
      <c r="D801" s="27" t="n"/>
      <c r="E801" s="29" t="n"/>
      <c r="F801" s="26" t="n"/>
      <c r="G801" s="26" t="n"/>
      <c r="H801" s="1">
        <f>IF(B801="","",IF(E801="",B801,E801))</f>
        <v/>
      </c>
    </row>
    <row r="802">
      <c r="A802" s="1" t="n"/>
      <c r="B802" s="29" t="n"/>
      <c r="C802" s="26" t="n"/>
      <c r="D802" s="27" t="n"/>
      <c r="E802" s="29" t="n"/>
      <c r="F802" s="26" t="n"/>
      <c r="G802" s="26" t="n"/>
      <c r="H802" s="1">
        <f>IF(B802="","",IF(E802="",B802,E802))</f>
        <v/>
      </c>
    </row>
    <row r="803">
      <c r="A803" s="1" t="n"/>
      <c r="B803" s="29" t="n"/>
      <c r="C803" s="26" t="n"/>
      <c r="D803" s="27" t="n"/>
      <c r="E803" s="29" t="n"/>
      <c r="F803" s="26" t="n"/>
      <c r="G803" s="26" t="n"/>
      <c r="H803" s="1">
        <f>IF(B803="","",IF(E803="",B803,E803))</f>
        <v/>
      </c>
    </row>
    <row r="804">
      <c r="A804" s="1" t="n"/>
      <c r="B804" s="29" t="n"/>
      <c r="C804" s="26" t="n"/>
      <c r="D804" s="27" t="n"/>
      <c r="E804" s="29" t="n"/>
      <c r="F804" s="26" t="n"/>
      <c r="G804" s="26" t="n"/>
      <c r="H804" s="1">
        <f>IF(B804="","",IF(E804="",B804,E804))</f>
        <v/>
      </c>
    </row>
    <row r="805">
      <c r="A805" s="1" t="n"/>
      <c r="B805" s="29" t="n"/>
      <c r="C805" s="26" t="n"/>
      <c r="D805" s="27" t="n"/>
      <c r="E805" s="29" t="n"/>
      <c r="F805" s="26" t="n"/>
      <c r="G805" s="26" t="n"/>
      <c r="H805" s="1">
        <f>IF(B805="","",IF(E805="",B805,E805))</f>
        <v/>
      </c>
    </row>
    <row r="806">
      <c r="A806" s="1" t="n"/>
      <c r="B806" s="29" t="n"/>
      <c r="C806" s="26" t="n"/>
      <c r="D806" s="27" t="n"/>
      <c r="E806" s="29" t="n"/>
      <c r="F806" s="26" t="n"/>
      <c r="G806" s="26" t="n"/>
      <c r="H806" s="1">
        <f>IF(B806="","",IF(E806="",B806,E806))</f>
        <v/>
      </c>
    </row>
    <row r="807">
      <c r="A807" s="1" t="n"/>
      <c r="B807" s="29" t="n"/>
      <c r="C807" s="26" t="n"/>
      <c r="D807" s="27" t="n"/>
      <c r="E807" s="29" t="n"/>
      <c r="F807" s="26" t="n"/>
      <c r="G807" s="26" t="n"/>
      <c r="H807" s="1">
        <f>IF(B807="","",IF(E807="",B807,E807))</f>
        <v/>
      </c>
    </row>
    <row r="808">
      <c r="A808" s="1" t="n"/>
      <c r="B808" s="29" t="n"/>
      <c r="C808" s="26" t="n"/>
      <c r="D808" s="27" t="n"/>
      <c r="E808" s="29" t="n"/>
      <c r="F808" s="26" t="n"/>
      <c r="G808" s="26" t="n"/>
      <c r="H808" s="1">
        <f>IF(B808="","",IF(E808="",B808,E808))</f>
        <v/>
      </c>
    </row>
    <row r="809">
      <c r="A809" s="1" t="n"/>
      <c r="B809" s="29" t="n"/>
      <c r="C809" s="26" t="n"/>
      <c r="D809" s="27" t="n"/>
      <c r="E809" s="29" t="n"/>
      <c r="F809" s="26" t="n"/>
      <c r="G809" s="26" t="n"/>
      <c r="H809" s="1">
        <f>IF(B809="","",IF(E809="",B809,E809))</f>
        <v/>
      </c>
    </row>
    <row r="810">
      <c r="A810" s="1" t="n"/>
      <c r="B810" s="29" t="n"/>
      <c r="C810" s="26" t="n"/>
      <c r="D810" s="27" t="n"/>
      <c r="E810" s="29" t="n"/>
      <c r="F810" s="26" t="n"/>
      <c r="G810" s="26" t="n"/>
      <c r="H810" s="1">
        <f>IF(B810="","",IF(E810="",B810,E810))</f>
        <v/>
      </c>
    </row>
    <row r="811">
      <c r="A811" s="1" t="n"/>
      <c r="B811" s="29" t="n"/>
      <c r="C811" s="26" t="n"/>
      <c r="D811" s="27" t="n"/>
      <c r="E811" s="29" t="n"/>
      <c r="F811" s="26" t="n"/>
      <c r="G811" s="26" t="n"/>
      <c r="H811" s="1">
        <f>IF(B811="","",IF(E811="",B811,E811))</f>
        <v/>
      </c>
    </row>
    <row r="812">
      <c r="A812" s="1" t="n"/>
      <c r="B812" s="29" t="n"/>
      <c r="C812" s="26" t="n"/>
      <c r="D812" s="27" t="n"/>
      <c r="E812" s="29" t="n"/>
      <c r="F812" s="26" t="n"/>
      <c r="G812" s="26" t="n"/>
      <c r="H812" s="1">
        <f>IF(B812="","",IF(E812="",B812,E812))</f>
        <v/>
      </c>
    </row>
    <row r="813">
      <c r="A813" s="1" t="n"/>
      <c r="B813" s="29" t="n"/>
      <c r="C813" s="26" t="n"/>
      <c r="D813" s="27" t="n"/>
      <c r="E813" s="29" t="n"/>
      <c r="F813" s="26" t="n"/>
      <c r="G813" s="26" t="n"/>
      <c r="H813" s="1">
        <f>IF(B813="","",IF(E813="",B813,E813))</f>
        <v/>
      </c>
    </row>
    <row r="814">
      <c r="A814" s="1" t="n"/>
      <c r="B814" s="29" t="n"/>
      <c r="C814" s="26" t="n"/>
      <c r="D814" s="27" t="n"/>
      <c r="E814" s="29" t="n"/>
      <c r="F814" s="26" t="n"/>
      <c r="G814" s="26" t="n"/>
      <c r="H814" s="1">
        <f>IF(B814="","",IF(E814="",B814,E814))</f>
        <v/>
      </c>
    </row>
    <row r="815">
      <c r="A815" s="1" t="n"/>
      <c r="B815" s="29" t="n"/>
      <c r="C815" s="26" t="n"/>
      <c r="D815" s="27" t="n"/>
      <c r="E815" s="29" t="n"/>
      <c r="F815" s="26" t="n"/>
      <c r="G815" s="26" t="n"/>
      <c r="H815" s="1">
        <f>IF(B815="","",IF(E815="",B815,E815))</f>
        <v/>
      </c>
    </row>
    <row r="816">
      <c r="A816" s="1" t="n"/>
      <c r="B816" s="29" t="n"/>
      <c r="C816" s="26" t="n"/>
      <c r="D816" s="27" t="n"/>
      <c r="E816" s="29" t="n"/>
      <c r="F816" s="26" t="n"/>
      <c r="G816" s="26" t="n"/>
      <c r="H816" s="1">
        <f>IF(B816="","",IF(E816="",B816,E816))</f>
        <v/>
      </c>
    </row>
    <row r="817">
      <c r="A817" s="1" t="n"/>
      <c r="B817" s="29" t="n"/>
      <c r="C817" s="26" t="n"/>
      <c r="D817" s="27" t="n"/>
      <c r="E817" s="29" t="n"/>
      <c r="F817" s="26" t="n"/>
      <c r="G817" s="26" t="n"/>
      <c r="H817" s="1">
        <f>IF(B817="","",IF(E817="",B817,E817))</f>
        <v/>
      </c>
    </row>
    <row r="818">
      <c r="A818" s="1" t="n"/>
      <c r="B818" s="29" t="n"/>
      <c r="C818" s="26" t="n"/>
      <c r="D818" s="27" t="n"/>
      <c r="E818" s="29" t="n"/>
      <c r="F818" s="26" t="n"/>
      <c r="G818" s="26" t="n"/>
      <c r="H818" s="1">
        <f>IF(B818="","",IF(E818="",B818,E818))</f>
        <v/>
      </c>
    </row>
    <row r="819">
      <c r="A819" s="1" t="n"/>
      <c r="B819" s="29" t="n"/>
      <c r="C819" s="26" t="n"/>
      <c r="D819" s="27" t="n"/>
      <c r="E819" s="29" t="n"/>
      <c r="F819" s="26" t="n"/>
      <c r="G819" s="26" t="n"/>
      <c r="H819" s="1">
        <f>IF(B819="","",IF(E819="",B819,E819))</f>
        <v/>
      </c>
    </row>
    <row r="820">
      <c r="A820" s="1" t="n"/>
      <c r="B820" s="29" t="n"/>
      <c r="C820" s="26" t="n"/>
      <c r="D820" s="27" t="n"/>
      <c r="E820" s="29" t="n"/>
      <c r="F820" s="26" t="n"/>
      <c r="G820" s="26" t="n"/>
      <c r="H820" s="1">
        <f>IF(B820="","",IF(E820="",B820,E820))</f>
        <v/>
      </c>
    </row>
    <row r="821">
      <c r="A821" s="1" t="n"/>
      <c r="B821" s="29" t="n"/>
      <c r="C821" s="26" t="n"/>
      <c r="D821" s="27" t="n"/>
      <c r="E821" s="29" t="n"/>
      <c r="F821" s="26" t="n"/>
      <c r="G821" s="26" t="n"/>
      <c r="H821" s="1">
        <f>IF(B821="","",IF(E821="",B821,E821))</f>
        <v/>
      </c>
    </row>
    <row r="822">
      <c r="A822" s="1" t="n"/>
      <c r="B822" s="29" t="n"/>
      <c r="C822" s="26" t="n"/>
      <c r="D822" s="27" t="n"/>
      <c r="E822" s="29" t="n"/>
      <c r="F822" s="26" t="n"/>
      <c r="G822" s="26" t="n"/>
      <c r="H822" s="1">
        <f>IF(B822="","",IF(E822="",B822,E822))</f>
        <v/>
      </c>
    </row>
    <row r="823">
      <c r="A823" s="1" t="n"/>
      <c r="B823" s="29" t="n"/>
      <c r="C823" s="26" t="n"/>
      <c r="D823" s="27" t="n"/>
      <c r="E823" s="29" t="n"/>
      <c r="F823" s="26" t="n"/>
      <c r="G823" s="26" t="n"/>
      <c r="H823" s="1">
        <f>IF(B823="","",IF(E823="",B823,E823))</f>
        <v/>
      </c>
    </row>
    <row r="824">
      <c r="A824" s="1" t="n"/>
      <c r="B824" s="29" t="n"/>
      <c r="C824" s="26" t="n"/>
      <c r="D824" s="27" t="n"/>
      <c r="E824" s="29" t="n"/>
      <c r="F824" s="26" t="n"/>
      <c r="G824" s="26" t="n"/>
      <c r="H824" s="1">
        <f>IF(B824="","",IF(E824="",B824,E824))</f>
        <v/>
      </c>
    </row>
    <row r="825">
      <c r="A825" s="1" t="n"/>
      <c r="B825" s="29" t="n"/>
      <c r="C825" s="26" t="n"/>
      <c r="D825" s="27" t="n"/>
      <c r="E825" s="29" t="n"/>
      <c r="F825" s="26" t="n"/>
      <c r="G825" s="26" t="n"/>
      <c r="H825" s="1">
        <f>IF(B825="","",IF(E825="",B825,E825))</f>
        <v/>
      </c>
    </row>
    <row r="826">
      <c r="A826" s="1" t="n"/>
      <c r="B826" s="29" t="n"/>
      <c r="C826" s="26" t="n"/>
      <c r="D826" s="27" t="n"/>
      <c r="E826" s="29" t="n"/>
      <c r="F826" s="26" t="n"/>
      <c r="G826" s="26" t="n"/>
      <c r="H826" s="1">
        <f>IF(B826="","",IF(E826="",B826,E826))</f>
        <v/>
      </c>
    </row>
    <row r="827">
      <c r="A827" s="1" t="n"/>
      <c r="B827" s="29" t="n"/>
      <c r="C827" s="26" t="n"/>
      <c r="D827" s="27" t="n"/>
      <c r="E827" s="29" t="n"/>
      <c r="F827" s="26" t="n"/>
      <c r="G827" s="26" t="n"/>
      <c r="H827" s="1">
        <f>IF(B827="","",IF(E827="",B827,E827))</f>
        <v/>
      </c>
    </row>
    <row r="828">
      <c r="A828" s="1" t="n"/>
      <c r="B828" s="29" t="n"/>
      <c r="C828" s="26" t="n"/>
      <c r="D828" s="27" t="n"/>
      <c r="E828" s="29" t="n"/>
      <c r="F828" s="26" t="n"/>
      <c r="G828" s="26" t="n"/>
      <c r="H828" s="1">
        <f>IF(B828="","",IF(E828="",B828,E828))</f>
        <v/>
      </c>
    </row>
    <row r="829">
      <c r="A829" s="1" t="n"/>
      <c r="B829" s="29" t="n"/>
      <c r="C829" s="26" t="n"/>
      <c r="D829" s="27" t="n"/>
      <c r="E829" s="29" t="n"/>
      <c r="F829" s="26" t="n"/>
      <c r="G829" s="26" t="n"/>
      <c r="H829" s="1">
        <f>IF(B829="","",IF(E829="",B829,E829))</f>
        <v/>
      </c>
    </row>
    <row r="830">
      <c r="A830" s="1" t="n"/>
      <c r="B830" s="29" t="n"/>
      <c r="C830" s="26" t="n"/>
      <c r="D830" s="27" t="n"/>
      <c r="E830" s="29" t="n"/>
      <c r="F830" s="26" t="n"/>
      <c r="G830" s="26" t="n"/>
      <c r="H830" s="1">
        <f>IF(B830="","",IF(E830="",B830,E830))</f>
        <v/>
      </c>
    </row>
    <row r="831">
      <c r="A831" s="1" t="n"/>
      <c r="B831" s="29" t="n"/>
      <c r="C831" s="26" t="n"/>
      <c r="D831" s="27" t="n"/>
      <c r="E831" s="29" t="n"/>
      <c r="F831" s="26" t="n"/>
      <c r="G831" s="26" t="n"/>
      <c r="H831" s="1">
        <f>IF(B831="","",IF(E831="",B831,E831))</f>
        <v/>
      </c>
    </row>
    <row r="832">
      <c r="A832" s="1" t="n"/>
      <c r="B832" s="29" t="n"/>
      <c r="C832" s="26" t="n"/>
      <c r="D832" s="27" t="n"/>
      <c r="E832" s="29" t="n"/>
      <c r="F832" s="26" t="n"/>
      <c r="G832" s="26" t="n"/>
      <c r="H832" s="1">
        <f>IF(B832="","",IF(E832="",B832,E832))</f>
        <v/>
      </c>
    </row>
    <row r="833">
      <c r="A833" s="1" t="n"/>
      <c r="B833" s="29" t="n"/>
      <c r="C833" s="26" t="n"/>
      <c r="D833" s="27" t="n"/>
      <c r="E833" s="29" t="n"/>
      <c r="F833" s="26" t="n"/>
      <c r="G833" s="26" t="n"/>
      <c r="H833" s="1">
        <f>IF(B833="","",IF(E833="",B833,E833))</f>
        <v/>
      </c>
    </row>
    <row r="834">
      <c r="A834" s="1" t="n"/>
      <c r="B834" s="29" t="n"/>
      <c r="C834" s="26" t="n"/>
      <c r="D834" s="27" t="n"/>
      <c r="E834" s="29" t="n"/>
      <c r="F834" s="26" t="n"/>
      <c r="G834" s="26" t="n"/>
      <c r="H834" s="1">
        <f>IF(B834="","",IF(E834="",B834,E834))</f>
        <v/>
      </c>
    </row>
    <row r="835">
      <c r="A835" s="1" t="n"/>
      <c r="B835" s="29" t="n"/>
      <c r="C835" s="26" t="n"/>
      <c r="D835" s="27" t="n"/>
      <c r="E835" s="29" t="n"/>
      <c r="F835" s="26" t="n"/>
      <c r="G835" s="26" t="n"/>
      <c r="H835" s="1">
        <f>IF(B835="","",IF(E835="",B835,E835))</f>
        <v/>
      </c>
    </row>
    <row r="836">
      <c r="A836" s="1" t="n"/>
      <c r="B836" s="29" t="n"/>
      <c r="C836" s="26" t="n"/>
      <c r="D836" s="27" t="n"/>
      <c r="E836" s="29" t="n"/>
      <c r="F836" s="26" t="n"/>
      <c r="G836" s="26" t="n"/>
      <c r="H836" s="1">
        <f>IF(B836="","",IF(E836="",B836,E836))</f>
        <v/>
      </c>
    </row>
    <row r="837">
      <c r="A837" s="1" t="n"/>
      <c r="B837" s="29" t="n"/>
      <c r="C837" s="26" t="n"/>
      <c r="D837" s="27" t="n"/>
      <c r="E837" s="29" t="n"/>
      <c r="F837" s="26" t="n"/>
      <c r="G837" s="26" t="n"/>
      <c r="H837" s="1">
        <f>IF(B837="","",IF(E837="",B837,E837))</f>
        <v/>
      </c>
    </row>
    <row r="838">
      <c r="A838" s="1" t="n"/>
      <c r="B838" s="29" t="n"/>
      <c r="C838" s="26" t="n"/>
      <c r="D838" s="27" t="n"/>
      <c r="E838" s="29" t="n"/>
      <c r="F838" s="26" t="n"/>
      <c r="G838" s="26" t="n"/>
      <c r="H838" s="1">
        <f>IF(B838="","",IF(E838="",B838,E838))</f>
        <v/>
      </c>
    </row>
    <row r="839">
      <c r="A839" s="1" t="n"/>
      <c r="B839" s="29" t="n"/>
      <c r="C839" s="26" t="n"/>
      <c r="D839" s="27" t="n"/>
      <c r="E839" s="29" t="n"/>
      <c r="F839" s="26" t="n"/>
      <c r="G839" s="26" t="n"/>
      <c r="H839" s="1">
        <f>IF(B839="","",IF(E839="",B839,E839))</f>
        <v/>
      </c>
    </row>
    <row r="840">
      <c r="A840" s="1" t="n"/>
      <c r="B840" s="29" t="n"/>
      <c r="C840" s="26" t="n"/>
      <c r="D840" s="27" t="n"/>
      <c r="E840" s="29" t="n"/>
      <c r="F840" s="26" t="n"/>
      <c r="G840" s="26" t="n"/>
      <c r="H840" s="1">
        <f>IF(B840="","",IF(E840="",B840,E840))</f>
        <v/>
      </c>
    </row>
    <row r="841">
      <c r="A841" s="1" t="n"/>
      <c r="B841" s="29" t="n"/>
      <c r="C841" s="26" t="n"/>
      <c r="D841" s="27" t="n"/>
      <c r="E841" s="29" t="n"/>
      <c r="F841" s="26" t="n"/>
      <c r="G841" s="26" t="n"/>
      <c r="H841" s="1">
        <f>IF(B841="","",IF(E841="",B841,E841))</f>
        <v/>
      </c>
    </row>
    <row r="842">
      <c r="A842" s="1" t="n"/>
      <c r="B842" s="29" t="n"/>
      <c r="C842" s="26" t="n"/>
      <c r="D842" s="27" t="n"/>
      <c r="E842" s="29" t="n"/>
      <c r="F842" s="26" t="n"/>
      <c r="G842" s="26" t="n"/>
      <c r="H842" s="1">
        <f>IF(B842="","",IF(E842="",B842,E842))</f>
        <v/>
      </c>
    </row>
    <row r="843">
      <c r="A843" s="1" t="n"/>
      <c r="B843" s="29" t="n"/>
      <c r="C843" s="26" t="n"/>
      <c r="D843" s="27" t="n"/>
      <c r="E843" s="29" t="n"/>
      <c r="F843" s="26" t="n"/>
      <c r="G843" s="26" t="n"/>
      <c r="H843" s="1">
        <f>IF(B843="","",IF(E843="",B843,E843))</f>
        <v/>
      </c>
    </row>
    <row r="844">
      <c r="A844" s="1" t="n"/>
      <c r="B844" s="29" t="n"/>
      <c r="C844" s="26" t="n"/>
      <c r="D844" s="27" t="n"/>
      <c r="E844" s="29" t="n"/>
      <c r="F844" s="26" t="n"/>
      <c r="G844" s="26" t="n"/>
      <c r="H844" s="1">
        <f>IF(B844="","",IF(E844="",B844,E844))</f>
        <v/>
      </c>
    </row>
    <row r="845">
      <c r="A845" s="1" t="n"/>
      <c r="B845" s="29" t="n"/>
      <c r="C845" s="26" t="n"/>
      <c r="D845" s="27" t="n"/>
      <c r="E845" s="29" t="n"/>
      <c r="F845" s="26" t="n"/>
      <c r="G845" s="26" t="n"/>
      <c r="H845" s="1">
        <f>IF(B845="","",IF(E845="",B845,E845))</f>
        <v/>
      </c>
    </row>
    <row r="846">
      <c r="A846" s="1" t="n"/>
      <c r="B846" s="29" t="n"/>
      <c r="C846" s="26" t="n"/>
      <c r="D846" s="27" t="n"/>
      <c r="E846" s="29" t="n"/>
      <c r="F846" s="26" t="n"/>
      <c r="G846" s="26" t="n"/>
      <c r="H846" s="1">
        <f>IF(B846="","",IF(E846="",B846,E846))</f>
        <v/>
      </c>
    </row>
    <row r="847">
      <c r="A847" s="1" t="n"/>
      <c r="B847" s="29" t="n"/>
      <c r="C847" s="26" t="n"/>
      <c r="D847" s="27" t="n"/>
      <c r="E847" s="29" t="n"/>
      <c r="F847" s="26" t="n"/>
      <c r="G847" s="26" t="n"/>
      <c r="H847" s="1">
        <f>IF(B847="","",IF(E847="",B847,E847))</f>
        <v/>
      </c>
    </row>
    <row r="848">
      <c r="A848" s="1" t="n"/>
      <c r="B848" s="29" t="n"/>
      <c r="C848" s="26" t="n"/>
      <c r="D848" s="27" t="n"/>
      <c r="E848" s="29" t="n"/>
      <c r="F848" s="26" t="n"/>
      <c r="G848" s="26" t="n"/>
      <c r="H848" s="1">
        <f>IF(B848="","",IF(E848="",B848,E848))</f>
        <v/>
      </c>
    </row>
    <row r="849">
      <c r="A849" s="1" t="n"/>
      <c r="B849" s="29" t="n"/>
      <c r="C849" s="26" t="n"/>
      <c r="D849" s="27" t="n"/>
      <c r="E849" s="29" t="n"/>
      <c r="F849" s="26" t="n"/>
      <c r="G849" s="26" t="n"/>
      <c r="H849" s="1">
        <f>IF(B849="","",IF(E849="",B849,E849))</f>
        <v/>
      </c>
    </row>
    <row r="850">
      <c r="A850" s="1" t="n"/>
      <c r="B850" s="29" t="n"/>
      <c r="C850" s="26" t="n"/>
      <c r="D850" s="27" t="n"/>
      <c r="E850" s="29" t="n"/>
      <c r="F850" s="26" t="n"/>
      <c r="G850" s="26" t="n"/>
      <c r="H850" s="1">
        <f>IF(B850="","",IF(E850="",B850,E850))</f>
        <v/>
      </c>
    </row>
    <row r="851">
      <c r="A851" s="1" t="n"/>
      <c r="B851" s="29" t="n"/>
      <c r="C851" s="26" t="n"/>
      <c r="D851" s="27" t="n"/>
      <c r="E851" s="29" t="n"/>
      <c r="F851" s="26" t="n"/>
      <c r="G851" s="26" t="n"/>
      <c r="H851" s="1">
        <f>IF(B851="","",IF(E851="",B851,E851))</f>
        <v/>
      </c>
    </row>
    <row r="852">
      <c r="A852" s="1" t="n"/>
      <c r="B852" s="29" t="n"/>
      <c r="C852" s="26" t="n"/>
      <c r="D852" s="27" t="n"/>
      <c r="E852" s="29" t="n"/>
      <c r="F852" s="26" t="n"/>
      <c r="G852" s="26" t="n"/>
      <c r="H852" s="1">
        <f>IF(B852="","",IF(E852="",B852,E852))</f>
        <v/>
      </c>
    </row>
    <row r="853">
      <c r="A853" s="1" t="n"/>
      <c r="B853" s="29" t="n"/>
      <c r="C853" s="26" t="n"/>
      <c r="D853" s="27" t="n"/>
      <c r="E853" s="29" t="n"/>
      <c r="F853" s="26" t="n"/>
      <c r="G853" s="26" t="n"/>
      <c r="H853" s="1">
        <f>IF(B853="","",IF(E853="",B853,E853))</f>
        <v/>
      </c>
    </row>
    <row r="854">
      <c r="A854" s="1" t="n"/>
      <c r="B854" s="29" t="n"/>
      <c r="C854" s="26" t="n"/>
      <c r="D854" s="27" t="n"/>
      <c r="E854" s="29" t="n"/>
      <c r="F854" s="26" t="n"/>
      <c r="G854" s="26" t="n"/>
      <c r="H854" s="1">
        <f>IF(B854="","",IF(E854="",B854,E854))</f>
        <v/>
      </c>
    </row>
    <row r="855">
      <c r="A855" s="1" t="n"/>
      <c r="B855" s="29" t="n"/>
      <c r="C855" s="26" t="n"/>
      <c r="D855" s="27" t="n"/>
      <c r="E855" s="29" t="n"/>
      <c r="F855" s="26" t="n"/>
      <c r="G855" s="26" t="n"/>
      <c r="H855" s="1">
        <f>IF(B855="","",IF(E855="",B855,E855))</f>
        <v/>
      </c>
    </row>
    <row r="856">
      <c r="A856" s="1" t="n"/>
      <c r="B856" s="29" t="n"/>
      <c r="C856" s="26" t="n"/>
      <c r="D856" s="27" t="n"/>
      <c r="E856" s="29" t="n"/>
      <c r="F856" s="26" t="n"/>
      <c r="G856" s="26" t="n"/>
      <c r="H856" s="1">
        <f>IF(B856="","",IF(E856="",B856,E856))</f>
        <v/>
      </c>
    </row>
    <row r="857">
      <c r="A857" s="1" t="n"/>
      <c r="B857" s="29" t="n"/>
      <c r="C857" s="26" t="n"/>
      <c r="D857" s="27" t="n"/>
      <c r="E857" s="29" t="n"/>
      <c r="F857" s="26" t="n"/>
      <c r="G857" s="26" t="n"/>
      <c r="H857" s="1">
        <f>IF(B857="","",IF(E857="",B857,E857))</f>
        <v/>
      </c>
    </row>
    <row r="858">
      <c r="A858" s="1" t="n"/>
      <c r="B858" s="29" t="n"/>
      <c r="C858" s="26" t="n"/>
      <c r="D858" s="27" t="n"/>
      <c r="E858" s="29" t="n"/>
      <c r="F858" s="26" t="n"/>
      <c r="G858" s="26" t="n"/>
      <c r="H858" s="1">
        <f>IF(B858="","",IF(E858="",B858,E858))</f>
        <v/>
      </c>
    </row>
    <row r="859">
      <c r="A859" s="1" t="n"/>
      <c r="B859" s="29" t="n"/>
      <c r="C859" s="26" t="n"/>
      <c r="D859" s="27" t="n"/>
      <c r="E859" s="29" t="n"/>
      <c r="F859" s="26" t="n"/>
      <c r="G859" s="26" t="n"/>
      <c r="H859" s="1">
        <f>IF(B859="","",IF(E859="",B859,E859))</f>
        <v/>
      </c>
    </row>
    <row r="860">
      <c r="A860" s="1" t="n"/>
      <c r="B860" s="29" t="n"/>
      <c r="C860" s="26" t="n"/>
      <c r="D860" s="27" t="n"/>
      <c r="E860" s="29" t="n"/>
      <c r="F860" s="26" t="n"/>
      <c r="G860" s="26" t="n"/>
      <c r="H860" s="1">
        <f>IF(B860="","",IF(E860="",B860,E860))</f>
        <v/>
      </c>
    </row>
    <row r="861">
      <c r="A861" s="1" t="n"/>
      <c r="B861" s="29" t="n"/>
      <c r="C861" s="26" t="n"/>
      <c r="D861" s="27" t="n"/>
      <c r="E861" s="29" t="n"/>
      <c r="F861" s="26" t="n"/>
      <c r="G861" s="26" t="n"/>
      <c r="H861" s="1">
        <f>IF(B861="","",IF(E861="",B861,E861))</f>
        <v/>
      </c>
    </row>
    <row r="862">
      <c r="A862" s="1" t="n"/>
      <c r="B862" s="29" t="n"/>
      <c r="C862" s="26" t="n"/>
      <c r="D862" s="27" t="n"/>
      <c r="E862" s="29" t="n"/>
      <c r="F862" s="26" t="n"/>
      <c r="G862" s="26" t="n"/>
      <c r="H862" s="1">
        <f>IF(B862="","",IF(E862="",B862,E862))</f>
        <v/>
      </c>
    </row>
    <row r="863">
      <c r="A863" s="1" t="n"/>
      <c r="B863" s="29" t="n"/>
      <c r="C863" s="26" t="n"/>
      <c r="D863" s="27" t="n"/>
      <c r="E863" s="29" t="n"/>
      <c r="F863" s="26" t="n"/>
      <c r="G863" s="26" t="n"/>
      <c r="H863" s="1">
        <f>IF(B863="","",IF(E863="",B863,E863))</f>
        <v/>
      </c>
    </row>
    <row r="864">
      <c r="A864" s="1" t="n"/>
      <c r="B864" s="29" t="n"/>
      <c r="C864" s="26" t="n"/>
      <c r="D864" s="27" t="n"/>
      <c r="E864" s="29" t="n"/>
      <c r="F864" s="26" t="n"/>
      <c r="G864" s="26" t="n"/>
      <c r="H864" s="1">
        <f>IF(B864="","",IF(E864="",B864,E864))</f>
        <v/>
      </c>
    </row>
    <row r="865">
      <c r="A865" s="1" t="n"/>
      <c r="B865" s="29" t="n"/>
      <c r="C865" s="26" t="n"/>
      <c r="D865" s="27" t="n"/>
      <c r="E865" s="29" t="n"/>
      <c r="F865" s="26" t="n"/>
      <c r="G865" s="26" t="n"/>
      <c r="H865" s="1">
        <f>IF(B865="","",IF(E865="",B865,E865))</f>
        <v/>
      </c>
    </row>
    <row r="866">
      <c r="A866" s="1" t="n"/>
      <c r="B866" s="29" t="n"/>
      <c r="C866" s="26" t="n"/>
      <c r="D866" s="27" t="n"/>
      <c r="E866" s="29" t="n"/>
      <c r="F866" s="26" t="n"/>
      <c r="G866" s="26" t="n"/>
      <c r="H866" s="1">
        <f>IF(B866="","",IF(E866="",B866,E866))</f>
        <v/>
      </c>
    </row>
    <row r="867">
      <c r="A867" s="1" t="n"/>
      <c r="B867" s="29" t="n"/>
      <c r="C867" s="26" t="n"/>
      <c r="D867" s="27" t="n"/>
      <c r="E867" s="29" t="n"/>
      <c r="F867" s="26" t="n"/>
      <c r="G867" s="26" t="n"/>
      <c r="H867" s="1">
        <f>IF(B867="","",IF(E867="",B867,E867))</f>
        <v/>
      </c>
    </row>
    <row r="868">
      <c r="A868" s="1" t="n"/>
      <c r="B868" s="29" t="n"/>
      <c r="C868" s="26" t="n"/>
      <c r="D868" s="27" t="n"/>
      <c r="E868" s="29" t="n"/>
      <c r="F868" s="26" t="n"/>
      <c r="G868" s="26" t="n"/>
      <c r="H868" s="1">
        <f>IF(B868="","",IF(E868="",B868,E868))</f>
        <v/>
      </c>
    </row>
    <row r="869">
      <c r="A869" s="1" t="n"/>
      <c r="B869" s="29" t="n"/>
      <c r="C869" s="26" t="n"/>
      <c r="D869" s="27" t="n"/>
      <c r="E869" s="29" t="n"/>
      <c r="F869" s="26" t="n"/>
      <c r="G869" s="26" t="n"/>
      <c r="H869" s="1">
        <f>IF(B869="","",IF(E869="",B869,E869))</f>
        <v/>
      </c>
    </row>
    <row r="870">
      <c r="A870" s="1" t="n"/>
      <c r="B870" s="29" t="n"/>
      <c r="C870" s="26" t="n"/>
      <c r="D870" s="27" t="n"/>
      <c r="E870" s="29" t="n"/>
      <c r="F870" s="26" t="n"/>
      <c r="G870" s="26" t="n"/>
      <c r="H870" s="1">
        <f>IF(B870="","",IF(E870="",B870,E870))</f>
        <v/>
      </c>
    </row>
    <row r="871">
      <c r="A871" s="1" t="n"/>
      <c r="B871" s="29" t="n"/>
      <c r="C871" s="26" t="n"/>
      <c r="D871" s="27" t="n"/>
      <c r="E871" s="29" t="n"/>
      <c r="F871" s="26" t="n"/>
      <c r="G871" s="26" t="n"/>
      <c r="H871" s="1">
        <f>IF(B871="","",IF(E871="",B871,E871))</f>
        <v/>
      </c>
    </row>
    <row r="872">
      <c r="A872" s="1" t="n"/>
      <c r="B872" s="29" t="n"/>
      <c r="C872" s="26" t="n"/>
      <c r="D872" s="27" t="n"/>
      <c r="E872" s="29" t="n"/>
      <c r="F872" s="26" t="n"/>
      <c r="G872" s="26" t="n"/>
      <c r="H872" s="1">
        <f>IF(B872="","",IF(E872="",B872,E872))</f>
        <v/>
      </c>
    </row>
    <row r="873">
      <c r="A873" s="1" t="n"/>
      <c r="B873" s="29" t="n"/>
      <c r="C873" s="26" t="n"/>
      <c r="D873" s="27" t="n"/>
      <c r="E873" s="29" t="n"/>
      <c r="F873" s="26" t="n"/>
      <c r="G873" s="26" t="n"/>
      <c r="H873" s="1">
        <f>IF(B873="","",IF(E873="",B873,E873))</f>
        <v/>
      </c>
    </row>
    <row r="874">
      <c r="A874" s="1" t="n"/>
      <c r="B874" s="29" t="n"/>
      <c r="C874" s="26" t="n"/>
      <c r="D874" s="27" t="n"/>
      <c r="E874" s="29" t="n"/>
      <c r="F874" s="26" t="n"/>
      <c r="G874" s="26" t="n"/>
      <c r="H874" s="1">
        <f>IF(B874="","",IF(E874="",B874,E874))</f>
        <v/>
      </c>
    </row>
    <row r="875">
      <c r="A875" s="1" t="n"/>
      <c r="B875" s="29" t="n"/>
      <c r="C875" s="26" t="n"/>
      <c r="D875" s="27" t="n"/>
      <c r="E875" s="29" t="n"/>
      <c r="F875" s="26" t="n"/>
      <c r="G875" s="26" t="n"/>
      <c r="H875" s="1">
        <f>IF(B875="","",IF(E875="",B875,E875))</f>
        <v/>
      </c>
    </row>
    <row r="876">
      <c r="A876" s="1" t="n"/>
      <c r="B876" s="29" t="n"/>
      <c r="C876" s="26" t="n"/>
      <c r="D876" s="27" t="n"/>
      <c r="E876" s="29" t="n"/>
      <c r="F876" s="26" t="n"/>
      <c r="G876" s="26" t="n"/>
      <c r="H876" s="1">
        <f>IF(B876="","",IF(E876="",B876,E876))</f>
        <v/>
      </c>
    </row>
    <row r="877">
      <c r="A877" s="1" t="n"/>
      <c r="B877" s="29" t="n"/>
      <c r="C877" s="26" t="n"/>
      <c r="D877" s="27" t="n"/>
      <c r="E877" s="29" t="n"/>
      <c r="F877" s="26" t="n"/>
      <c r="G877" s="26" t="n"/>
      <c r="H877" s="1">
        <f>IF(B877="","",IF(E877="",B877,E877))</f>
        <v/>
      </c>
    </row>
    <row r="878">
      <c r="A878" s="1" t="n"/>
      <c r="B878" s="29" t="n"/>
      <c r="C878" s="26" t="n"/>
      <c r="D878" s="27" t="n"/>
      <c r="E878" s="29" t="n"/>
      <c r="F878" s="26" t="n"/>
      <c r="G878" s="26" t="n"/>
      <c r="H878" s="1">
        <f>IF(B878="","",IF(E878="",B878,E878))</f>
        <v/>
      </c>
    </row>
    <row r="879">
      <c r="A879" s="1" t="n"/>
      <c r="B879" s="29" t="n"/>
      <c r="C879" s="26" t="n"/>
      <c r="D879" s="27" t="n"/>
      <c r="E879" s="29" t="n"/>
      <c r="F879" s="26" t="n"/>
      <c r="G879" s="26" t="n"/>
      <c r="H879" s="1">
        <f>IF(B879="","",IF(E879="",B879,E879))</f>
        <v/>
      </c>
    </row>
    <row r="880">
      <c r="A880" s="1" t="n"/>
      <c r="B880" s="29" t="n"/>
      <c r="C880" s="26" t="n"/>
      <c r="D880" s="27" t="n"/>
      <c r="E880" s="29" t="n"/>
      <c r="F880" s="26" t="n"/>
      <c r="G880" s="26" t="n"/>
      <c r="H880" s="1">
        <f>IF(B880="","",IF(E880="",B880,E880))</f>
        <v/>
      </c>
    </row>
    <row r="881">
      <c r="A881" s="1" t="n"/>
      <c r="B881" s="29" t="n"/>
      <c r="C881" s="26" t="n"/>
      <c r="D881" s="27" t="n"/>
      <c r="E881" s="29" t="n"/>
      <c r="F881" s="26" t="n"/>
      <c r="G881" s="26" t="n"/>
      <c r="H881" s="1">
        <f>IF(B881="","",IF(E881="",B881,E881))</f>
        <v/>
      </c>
    </row>
    <row r="882">
      <c r="A882" s="1" t="n"/>
      <c r="B882" s="29" t="n"/>
      <c r="C882" s="26" t="n"/>
      <c r="D882" s="27" t="n"/>
      <c r="E882" s="29" t="n"/>
      <c r="F882" s="26" t="n"/>
      <c r="G882" s="26" t="n"/>
      <c r="H882" s="1">
        <f>IF(B882="","",IF(E882="",B882,E882))</f>
        <v/>
      </c>
    </row>
    <row r="883">
      <c r="A883" s="1" t="n"/>
      <c r="B883" s="29" t="n"/>
      <c r="C883" s="26" t="n"/>
      <c r="D883" s="27" t="n"/>
      <c r="E883" s="29" t="n"/>
      <c r="F883" s="26" t="n"/>
      <c r="G883" s="26" t="n"/>
      <c r="H883" s="1">
        <f>IF(B883="","",IF(E883="",B883,E883))</f>
        <v/>
      </c>
    </row>
    <row r="884">
      <c r="A884" s="1" t="n"/>
      <c r="B884" s="29" t="n"/>
      <c r="C884" s="26" t="n"/>
      <c r="D884" s="27" t="n"/>
      <c r="E884" s="29" t="n"/>
      <c r="F884" s="26" t="n"/>
      <c r="G884" s="26" t="n"/>
      <c r="H884" s="1">
        <f>IF(B884="","",IF(E884="",B884,E884))</f>
        <v/>
      </c>
    </row>
    <row r="885">
      <c r="A885" s="1" t="n"/>
      <c r="B885" s="29" t="n"/>
      <c r="C885" s="26" t="n"/>
      <c r="D885" s="27" t="n"/>
      <c r="E885" s="29" t="n"/>
      <c r="F885" s="26" t="n"/>
      <c r="G885" s="26" t="n"/>
      <c r="H885" s="1">
        <f>IF(B885="","",IF(E885="",B885,E885))</f>
        <v/>
      </c>
    </row>
    <row r="886">
      <c r="A886" s="1" t="n"/>
      <c r="B886" s="29" t="n"/>
      <c r="C886" s="26" t="n"/>
      <c r="D886" s="27" t="n"/>
      <c r="E886" s="29" t="n"/>
      <c r="F886" s="26" t="n"/>
      <c r="G886" s="26" t="n"/>
      <c r="H886" s="1">
        <f>IF(B886="","",IF(E886="",B886,E886))</f>
        <v/>
      </c>
    </row>
    <row r="887">
      <c r="A887" s="1" t="n"/>
      <c r="B887" s="29" t="n"/>
      <c r="C887" s="26" t="n"/>
      <c r="D887" s="27" t="n"/>
      <c r="E887" s="29" t="n"/>
      <c r="F887" s="26" t="n"/>
      <c r="G887" s="26" t="n"/>
      <c r="H887" s="1">
        <f>IF(B887="","",IF(E887="",B887,E887))</f>
        <v/>
      </c>
    </row>
    <row r="888">
      <c r="A888" s="1" t="n"/>
      <c r="B888" s="29" t="n"/>
      <c r="C888" s="26" t="n"/>
      <c r="D888" s="27" t="n"/>
      <c r="E888" s="29" t="n"/>
      <c r="F888" s="26" t="n"/>
      <c r="G888" s="26" t="n"/>
      <c r="H888" s="1">
        <f>IF(B888="","",IF(E888="",B888,E888))</f>
        <v/>
      </c>
    </row>
    <row r="889">
      <c r="A889" s="1" t="n"/>
      <c r="B889" s="29" t="n"/>
      <c r="C889" s="26" t="n"/>
      <c r="D889" s="27" t="n"/>
      <c r="E889" s="29" t="n"/>
      <c r="F889" s="26" t="n"/>
      <c r="G889" s="26" t="n"/>
      <c r="H889" s="1">
        <f>IF(B889="","",IF(E889="",B889,E889))</f>
        <v/>
      </c>
    </row>
    <row r="890">
      <c r="A890" s="1" t="n"/>
      <c r="B890" s="29" t="n"/>
      <c r="C890" s="26" t="n"/>
      <c r="D890" s="27" t="n"/>
      <c r="E890" s="29" t="n"/>
      <c r="F890" s="26" t="n"/>
      <c r="G890" s="26" t="n"/>
      <c r="H890" s="1">
        <f>IF(B890="","",IF(E890="",B890,E890))</f>
        <v/>
      </c>
    </row>
    <row r="891">
      <c r="A891" s="1" t="n"/>
      <c r="B891" s="29" t="n"/>
      <c r="C891" s="26" t="n"/>
      <c r="D891" s="27" t="n"/>
      <c r="E891" s="29" t="n"/>
      <c r="F891" s="26" t="n"/>
      <c r="G891" s="26" t="n"/>
      <c r="H891" s="1">
        <f>IF(B891="","",IF(E891="",B891,E891))</f>
        <v/>
      </c>
    </row>
    <row r="892">
      <c r="A892" s="1" t="n"/>
      <c r="B892" s="29" t="n"/>
      <c r="C892" s="26" t="n"/>
      <c r="D892" s="27" t="n"/>
      <c r="E892" s="29" t="n"/>
      <c r="F892" s="26" t="n"/>
      <c r="G892" s="26" t="n"/>
      <c r="H892" s="1">
        <f>IF(B892="","",IF(E892="",B892,E892))</f>
        <v/>
      </c>
    </row>
    <row r="893">
      <c r="A893" s="1" t="n"/>
      <c r="B893" s="29" t="n"/>
      <c r="C893" s="26" t="n"/>
      <c r="D893" s="27" t="n"/>
      <c r="E893" s="29" t="n"/>
      <c r="F893" s="26" t="n"/>
      <c r="G893" s="26" t="n"/>
      <c r="H893" s="1">
        <f>IF(B893="","",IF(E893="",B893,E893))</f>
        <v/>
      </c>
    </row>
    <row r="894">
      <c r="A894" s="1" t="n"/>
      <c r="B894" s="29" t="n"/>
      <c r="C894" s="26" t="n"/>
      <c r="D894" s="27" t="n"/>
      <c r="E894" s="29" t="n"/>
      <c r="F894" s="26" t="n"/>
      <c r="G894" s="26" t="n"/>
      <c r="H894" s="1">
        <f>IF(B894="","",IF(E894="",B894,E894))</f>
        <v/>
      </c>
    </row>
    <row r="895">
      <c r="A895" s="1" t="n"/>
      <c r="B895" s="29" t="n"/>
      <c r="C895" s="26" t="n"/>
      <c r="D895" s="27" t="n"/>
      <c r="E895" s="29" t="n"/>
      <c r="F895" s="26" t="n"/>
      <c r="G895" s="26" t="n"/>
      <c r="H895" s="1">
        <f>IF(B895="","",IF(E895="",B895,E895))</f>
        <v/>
      </c>
    </row>
    <row r="896">
      <c r="A896" s="1" t="n"/>
      <c r="B896" s="29" t="n"/>
      <c r="C896" s="26" t="n"/>
      <c r="D896" s="27" t="n"/>
      <c r="E896" s="29" t="n"/>
      <c r="F896" s="26" t="n"/>
      <c r="G896" s="26" t="n"/>
      <c r="H896" s="1">
        <f>IF(B896="","",IF(E896="",B896,E896))</f>
        <v/>
      </c>
    </row>
    <row r="897">
      <c r="A897" s="1" t="n"/>
      <c r="B897" s="29" t="n"/>
      <c r="C897" s="26" t="n"/>
      <c r="D897" s="27" t="n"/>
      <c r="E897" s="29" t="n"/>
      <c r="F897" s="26" t="n"/>
      <c r="G897" s="26" t="n"/>
      <c r="H897" s="1">
        <f>IF(B897="","",IF(E897="",B897,E897))</f>
        <v/>
      </c>
    </row>
    <row r="898">
      <c r="A898" s="1" t="n"/>
      <c r="B898" s="29" t="n"/>
      <c r="C898" s="26" t="n"/>
      <c r="D898" s="27" t="n"/>
      <c r="E898" s="29" t="n"/>
      <c r="F898" s="26" t="n"/>
      <c r="G898" s="26" t="n"/>
      <c r="H898" s="1">
        <f>IF(B898="","",IF(E898="",B898,E898))</f>
        <v/>
      </c>
    </row>
    <row r="899">
      <c r="A899" s="1" t="n"/>
      <c r="B899" s="29" t="n"/>
      <c r="C899" s="26" t="n"/>
      <c r="D899" s="27" t="n"/>
      <c r="E899" s="29" t="n"/>
      <c r="F899" s="26" t="n"/>
      <c r="G899" s="26" t="n"/>
      <c r="H899" s="1">
        <f>IF(B899="","",IF(E899="",B899,E899))</f>
        <v/>
      </c>
    </row>
    <row r="900">
      <c r="A900" s="1" t="n"/>
      <c r="B900" s="29" t="n"/>
      <c r="C900" s="26" t="n"/>
      <c r="D900" s="27" t="n"/>
      <c r="E900" s="29" t="n"/>
      <c r="F900" s="26" t="n"/>
      <c r="G900" s="26" t="n"/>
      <c r="H900" s="1">
        <f>IF(B900="","",IF(E900="",B900,E900))</f>
        <v/>
      </c>
    </row>
    <row r="901">
      <c r="A901" s="1" t="n"/>
      <c r="B901" s="29" t="n"/>
      <c r="C901" s="26" t="n"/>
      <c r="D901" s="27" t="n"/>
      <c r="E901" s="29" t="n"/>
      <c r="F901" s="26" t="n"/>
      <c r="G901" s="26" t="n"/>
      <c r="H901" s="1">
        <f>IF(B901="","",IF(E901="",B901,E901))</f>
        <v/>
      </c>
    </row>
    <row r="902">
      <c r="A902" s="1" t="n"/>
      <c r="B902" s="29" t="n"/>
      <c r="C902" s="26" t="n"/>
      <c r="D902" s="27" t="n"/>
      <c r="E902" s="29" t="n"/>
      <c r="F902" s="26" t="n"/>
      <c r="G902" s="26" t="n"/>
      <c r="H902" s="1">
        <f>IF(B902="","",IF(E902="",B902,E902))</f>
        <v/>
      </c>
    </row>
    <row r="903">
      <c r="A903" s="1" t="n"/>
      <c r="B903" s="29" t="n"/>
      <c r="C903" s="26" t="n"/>
      <c r="D903" s="27" t="n"/>
      <c r="E903" s="29" t="n"/>
      <c r="F903" s="26" t="n"/>
      <c r="G903" s="26" t="n"/>
      <c r="H903" s="1">
        <f>IF(B903="","",IF(E903="",B903,E903))</f>
        <v/>
      </c>
    </row>
    <row r="904">
      <c r="A904" s="1" t="n"/>
      <c r="B904" s="29" t="n"/>
      <c r="C904" s="26" t="n"/>
      <c r="D904" s="27" t="n"/>
      <c r="E904" s="29" t="n"/>
      <c r="F904" s="26" t="n"/>
      <c r="G904" s="26" t="n"/>
      <c r="H904" s="1">
        <f>IF(B904="","",IF(E904="",B904,E904))</f>
        <v/>
      </c>
    </row>
    <row r="905">
      <c r="A905" s="1" t="n"/>
      <c r="B905" s="29" t="n"/>
      <c r="C905" s="26" t="n"/>
      <c r="D905" s="27" t="n"/>
      <c r="E905" s="29" t="n"/>
      <c r="F905" s="26" t="n"/>
      <c r="G905" s="26" t="n"/>
      <c r="H905" s="1">
        <f>IF(B905="","",IF(E905="",B905,E905))</f>
        <v/>
      </c>
    </row>
    <row r="906">
      <c r="A906" s="1" t="n"/>
      <c r="B906" s="29" t="n"/>
      <c r="C906" s="26" t="n"/>
      <c r="D906" s="27" t="n"/>
      <c r="E906" s="29" t="n"/>
      <c r="F906" s="26" t="n"/>
      <c r="G906" s="26" t="n"/>
      <c r="H906" s="1">
        <f>IF(B906="","",IF(E906="",B906,E906))</f>
        <v/>
      </c>
    </row>
    <row r="907">
      <c r="A907" s="1" t="n"/>
      <c r="B907" s="29" t="n"/>
      <c r="C907" s="26" t="n"/>
      <c r="D907" s="27" t="n"/>
      <c r="E907" s="29" t="n"/>
      <c r="F907" s="26" t="n"/>
      <c r="G907" s="26" t="n"/>
      <c r="H907" s="1">
        <f>IF(B907="","",IF(E907="",B907,E907))</f>
        <v/>
      </c>
    </row>
    <row r="908">
      <c r="A908" s="1" t="n"/>
      <c r="B908" s="29" t="n"/>
      <c r="C908" s="26" t="n"/>
      <c r="D908" s="27" t="n"/>
      <c r="E908" s="29" t="n"/>
      <c r="F908" s="26" t="n"/>
      <c r="G908" s="26" t="n"/>
      <c r="H908" s="1">
        <f>IF(B908="","",IF(E908="",B908,E908))</f>
        <v/>
      </c>
    </row>
    <row r="909">
      <c r="A909" s="1" t="n"/>
      <c r="B909" s="29" t="n"/>
      <c r="C909" s="26" t="n"/>
      <c r="D909" s="27" t="n"/>
      <c r="E909" s="29" t="n"/>
      <c r="F909" s="26" t="n"/>
      <c r="G909" s="26" t="n"/>
      <c r="H909" s="1">
        <f>IF(B909="","",IF(E909="",B909,E909))</f>
        <v/>
      </c>
    </row>
    <row r="910">
      <c r="A910" s="1" t="n"/>
      <c r="B910" s="29" t="n"/>
      <c r="C910" s="26" t="n"/>
      <c r="D910" s="27" t="n"/>
      <c r="E910" s="29" t="n"/>
      <c r="F910" s="26" t="n"/>
      <c r="G910" s="26" t="n"/>
      <c r="H910" s="1">
        <f>IF(B910="","",IF(E910="",B910,E910))</f>
        <v/>
      </c>
    </row>
    <row r="911">
      <c r="A911" s="1" t="n"/>
      <c r="B911" s="29" t="n"/>
      <c r="C911" s="26" t="n"/>
      <c r="D911" s="27" t="n"/>
      <c r="E911" s="29" t="n"/>
      <c r="F911" s="26" t="n"/>
      <c r="G911" s="26" t="n"/>
      <c r="H911" s="1">
        <f>IF(B911="","",IF(E911="",B911,E911))</f>
        <v/>
      </c>
    </row>
    <row r="912">
      <c r="A912" s="1" t="n"/>
      <c r="B912" s="29" t="n"/>
      <c r="C912" s="26" t="n"/>
      <c r="D912" s="27" t="n"/>
      <c r="E912" s="29" t="n"/>
      <c r="F912" s="26" t="n"/>
      <c r="G912" s="26" t="n"/>
      <c r="H912" s="1">
        <f>IF(B912="","",IF(E912="",B912,E912))</f>
        <v/>
      </c>
    </row>
    <row r="913">
      <c r="A913" s="1" t="n"/>
      <c r="B913" s="29" t="n"/>
      <c r="C913" s="26" t="n"/>
      <c r="D913" s="27" t="n"/>
      <c r="E913" s="29" t="n"/>
      <c r="F913" s="26" t="n"/>
      <c r="G913" s="26" t="n"/>
      <c r="H913" s="1">
        <f>IF(B913="","",IF(E913="",B913,E913))</f>
        <v/>
      </c>
    </row>
    <row r="914">
      <c r="A914" s="1" t="n"/>
      <c r="B914" s="29" t="n"/>
      <c r="C914" s="26" t="n"/>
      <c r="D914" s="27" t="n"/>
      <c r="E914" s="29" t="n"/>
      <c r="F914" s="26" t="n"/>
      <c r="G914" s="26" t="n"/>
      <c r="H914" s="1">
        <f>IF(B914="","",IF(E914="",B914,E914))</f>
        <v/>
      </c>
    </row>
    <row r="915">
      <c r="A915" s="1" t="n"/>
      <c r="B915" s="29" t="n"/>
      <c r="C915" s="26" t="n"/>
      <c r="D915" s="27" t="n"/>
      <c r="E915" s="29" t="n"/>
      <c r="F915" s="26" t="n"/>
      <c r="G915" s="26" t="n"/>
      <c r="H915" s="1">
        <f>IF(B915="","",IF(E915="",B915,E915))</f>
        <v/>
      </c>
    </row>
    <row r="916">
      <c r="A916" s="1" t="n"/>
      <c r="B916" s="29" t="n"/>
      <c r="C916" s="26" t="n"/>
      <c r="D916" s="27" t="n"/>
      <c r="E916" s="29" t="n"/>
      <c r="F916" s="26" t="n"/>
      <c r="G916" s="26" t="n"/>
      <c r="H916" s="1">
        <f>IF(B916="","",IF(E916="",B916,E916))</f>
        <v/>
      </c>
    </row>
    <row r="917">
      <c r="A917" s="1" t="n"/>
      <c r="B917" s="29" t="n"/>
      <c r="C917" s="26" t="n"/>
      <c r="D917" s="27" t="n"/>
      <c r="E917" s="29" t="n"/>
      <c r="F917" s="26" t="n"/>
      <c r="G917" s="26" t="n"/>
      <c r="H917" s="1">
        <f>IF(B917="","",IF(E917="",B917,E917))</f>
        <v/>
      </c>
    </row>
    <row r="918">
      <c r="A918" s="1" t="n"/>
      <c r="B918" s="29" t="n"/>
      <c r="C918" s="26" t="n"/>
      <c r="D918" s="27" t="n"/>
      <c r="E918" s="29" t="n"/>
      <c r="F918" s="26" t="n"/>
      <c r="G918" s="26" t="n"/>
      <c r="H918" s="1">
        <f>IF(B918="","",IF(E918="",B918,E918))</f>
        <v/>
      </c>
    </row>
    <row r="919">
      <c r="A919" s="1" t="n"/>
      <c r="B919" s="29" t="n"/>
      <c r="C919" s="26" t="n"/>
      <c r="D919" s="27" t="n"/>
      <c r="E919" s="29" t="n"/>
      <c r="F919" s="26" t="n"/>
      <c r="G919" s="26" t="n"/>
      <c r="H919" s="1">
        <f>IF(B919="","",IF(E919="",B919,E919))</f>
        <v/>
      </c>
    </row>
    <row r="920">
      <c r="A920" s="1" t="n"/>
      <c r="B920" s="29" t="n"/>
      <c r="C920" s="26" t="n"/>
      <c r="D920" s="27" t="n"/>
      <c r="E920" s="29" t="n"/>
      <c r="F920" s="26" t="n"/>
      <c r="G920" s="26" t="n"/>
      <c r="H920" s="1">
        <f>IF(B920="","",IF(E920="",B920,E920))</f>
        <v/>
      </c>
    </row>
    <row r="921">
      <c r="A921" s="1" t="n"/>
      <c r="B921" s="29" t="n"/>
      <c r="C921" s="26" t="n"/>
      <c r="D921" s="27" t="n"/>
      <c r="E921" s="29" t="n"/>
      <c r="F921" s="26" t="n"/>
      <c r="G921" s="26" t="n"/>
      <c r="H921" s="1">
        <f>IF(B921="","",IF(E921="",B921,E921))</f>
        <v/>
      </c>
    </row>
    <row r="922">
      <c r="A922" s="1" t="n"/>
      <c r="B922" s="29" t="n"/>
      <c r="C922" s="26" t="n"/>
      <c r="D922" s="27" t="n"/>
      <c r="E922" s="29" t="n"/>
      <c r="F922" s="26" t="n"/>
      <c r="G922" s="26" t="n"/>
      <c r="H922" s="1">
        <f>IF(B922="","",IF(E922="",B922,E922))</f>
        <v/>
      </c>
    </row>
    <row r="923">
      <c r="A923" s="1" t="n"/>
      <c r="B923" s="29" t="n"/>
      <c r="C923" s="26" t="n"/>
      <c r="D923" s="27" t="n"/>
      <c r="E923" s="29" t="n"/>
      <c r="F923" s="26" t="n"/>
      <c r="G923" s="26" t="n"/>
      <c r="H923" s="1">
        <f>IF(B923="","",IF(E923="",B923,E923))</f>
        <v/>
      </c>
    </row>
    <row r="924">
      <c r="A924" s="1" t="n"/>
      <c r="B924" s="29" t="n"/>
      <c r="C924" s="26" t="n"/>
      <c r="D924" s="27" t="n"/>
      <c r="E924" s="29" t="n"/>
      <c r="F924" s="26" t="n"/>
      <c r="G924" s="26" t="n"/>
      <c r="H924" s="1">
        <f>IF(B924="","",IF(E924="",B924,E924))</f>
        <v/>
      </c>
    </row>
    <row r="925">
      <c r="A925" s="1" t="n"/>
      <c r="B925" s="29" t="n"/>
      <c r="C925" s="26" t="n"/>
      <c r="D925" s="27" t="n"/>
      <c r="E925" s="29" t="n"/>
      <c r="F925" s="26" t="n"/>
      <c r="G925" s="26" t="n"/>
      <c r="H925" s="1">
        <f>IF(B925="","",IF(E925="",B925,E925))</f>
        <v/>
      </c>
    </row>
    <row r="926">
      <c r="A926" s="1" t="n"/>
      <c r="B926" s="29" t="n"/>
      <c r="C926" s="26" t="n"/>
      <c r="D926" s="27" t="n"/>
      <c r="E926" s="29" t="n"/>
      <c r="F926" s="26" t="n"/>
      <c r="G926" s="26" t="n"/>
      <c r="H926" s="1">
        <f>IF(B926="","",IF(E926="",B926,E926))</f>
        <v/>
      </c>
    </row>
    <row r="927">
      <c r="A927" s="1" t="n"/>
      <c r="B927" s="29" t="n"/>
      <c r="C927" s="26" t="n"/>
      <c r="D927" s="27" t="n"/>
      <c r="E927" s="29" t="n"/>
      <c r="F927" s="26" t="n"/>
      <c r="G927" s="26" t="n"/>
      <c r="H927" s="1">
        <f>IF(B927="","",IF(E927="",B927,E927))</f>
        <v/>
      </c>
    </row>
    <row r="928">
      <c r="A928" s="1" t="n"/>
      <c r="B928" s="29" t="n"/>
      <c r="C928" s="26" t="n"/>
      <c r="D928" s="27" t="n"/>
      <c r="E928" s="29" t="n"/>
      <c r="F928" s="26" t="n"/>
      <c r="G928" s="26" t="n"/>
      <c r="H928" s="1">
        <f>IF(B928="","",IF(E928="",B928,E928))</f>
        <v/>
      </c>
    </row>
    <row r="929">
      <c r="A929" s="1" t="n"/>
      <c r="B929" s="29" t="n"/>
      <c r="C929" s="26" t="n"/>
      <c r="D929" s="27" t="n"/>
      <c r="E929" s="29" t="n"/>
      <c r="F929" s="26" t="n"/>
      <c r="G929" s="26" t="n"/>
      <c r="H929" s="1">
        <f>IF(B929="","",IF(E929="",B929,E929))</f>
        <v/>
      </c>
    </row>
    <row r="930">
      <c r="A930" s="1" t="n"/>
      <c r="B930" s="29" t="n"/>
      <c r="C930" s="26" t="n"/>
      <c r="D930" s="27" t="n"/>
      <c r="E930" s="29" t="n"/>
      <c r="F930" s="26" t="n"/>
      <c r="G930" s="26" t="n"/>
      <c r="H930" s="1">
        <f>IF(B930="","",IF(E930="",B930,E930))</f>
        <v/>
      </c>
    </row>
    <row r="931">
      <c r="A931" s="1" t="n"/>
      <c r="B931" s="29" t="n"/>
      <c r="C931" s="26" t="n"/>
      <c r="D931" s="27" t="n"/>
      <c r="E931" s="29" t="n"/>
      <c r="F931" s="26" t="n"/>
      <c r="G931" s="26" t="n"/>
      <c r="H931" s="1">
        <f>IF(B931="","",IF(E931="",B931,E931))</f>
        <v/>
      </c>
    </row>
    <row r="932">
      <c r="A932" s="1" t="n"/>
      <c r="B932" s="29" t="n"/>
      <c r="C932" s="26" t="n"/>
      <c r="D932" s="27" t="n"/>
      <c r="E932" s="29" t="n"/>
      <c r="F932" s="26" t="n"/>
      <c r="G932" s="26" t="n"/>
      <c r="H932" s="1">
        <f>IF(B932="","",IF(E932="",B932,E932))</f>
        <v/>
      </c>
    </row>
    <row r="933">
      <c r="A933" s="1" t="n"/>
      <c r="B933" s="29" t="n"/>
      <c r="C933" s="26" t="n"/>
      <c r="D933" s="27" t="n"/>
      <c r="E933" s="29" t="n"/>
      <c r="F933" s="26" t="n"/>
      <c r="G933" s="26" t="n"/>
      <c r="H933" s="1">
        <f>IF(B933="","",IF(E933="",B933,E933))</f>
        <v/>
      </c>
    </row>
    <row r="934">
      <c r="A934" s="1" t="n"/>
      <c r="B934" s="29" t="n"/>
      <c r="C934" s="26" t="n"/>
      <c r="D934" s="27" t="n"/>
      <c r="E934" s="29" t="n"/>
      <c r="F934" s="26" t="n"/>
      <c r="G934" s="26" t="n"/>
      <c r="H934" s="1">
        <f>IF(B934="","",IF(E934="",B934,E934))</f>
        <v/>
      </c>
    </row>
    <row r="935">
      <c r="A935" s="1" t="n"/>
      <c r="B935" s="29" t="n"/>
      <c r="C935" s="26" t="n"/>
      <c r="D935" s="27" t="n"/>
      <c r="E935" s="29" t="n"/>
      <c r="F935" s="26" t="n"/>
      <c r="G935" s="26" t="n"/>
      <c r="H935" s="1">
        <f>IF(B935="","",IF(E935="",B935,E935))</f>
        <v/>
      </c>
    </row>
    <row r="936">
      <c r="A936" s="1" t="n"/>
      <c r="B936" s="29" t="n"/>
      <c r="C936" s="26" t="n"/>
      <c r="D936" s="27" t="n"/>
      <c r="E936" s="29" t="n"/>
      <c r="F936" s="26" t="n"/>
      <c r="G936" s="26" t="n"/>
      <c r="H936" s="1">
        <f>IF(B936="","",IF(E936="",B936,E936))</f>
        <v/>
      </c>
    </row>
    <row r="937">
      <c r="A937" s="1" t="n"/>
      <c r="B937" s="29" t="n"/>
      <c r="C937" s="26" t="n"/>
      <c r="D937" s="27" t="n"/>
      <c r="E937" s="29" t="n"/>
      <c r="F937" s="26" t="n"/>
      <c r="G937" s="26" t="n"/>
      <c r="H937" s="1">
        <f>IF(B937="","",IF(E937="",B937,E937))</f>
        <v/>
      </c>
    </row>
    <row r="938">
      <c r="A938" s="1" t="n"/>
      <c r="B938" s="29" t="n"/>
      <c r="C938" s="26" t="n"/>
      <c r="D938" s="27" t="n"/>
      <c r="E938" s="29" t="n"/>
      <c r="F938" s="26" t="n"/>
      <c r="G938" s="26" t="n"/>
      <c r="H938" s="1">
        <f>IF(B938="","",IF(E938="",B938,E938))</f>
        <v/>
      </c>
    </row>
    <row r="939">
      <c r="A939" s="1" t="n"/>
      <c r="B939" s="29" t="n"/>
      <c r="C939" s="26" t="n"/>
      <c r="D939" s="27" t="n"/>
      <c r="E939" s="29" t="n"/>
      <c r="F939" s="26" t="n"/>
      <c r="G939" s="26" t="n"/>
      <c r="H939" s="1">
        <f>IF(B939="","",IF(E939="",B939,E939))</f>
        <v/>
      </c>
    </row>
    <row r="940">
      <c r="A940" s="1" t="n"/>
      <c r="B940" s="29" t="n"/>
      <c r="C940" s="26" t="n"/>
      <c r="D940" s="27" t="n"/>
      <c r="E940" s="29" t="n"/>
      <c r="F940" s="26" t="n"/>
      <c r="G940" s="26" t="n"/>
      <c r="H940" s="1">
        <f>IF(B940="","",IF(E940="",B940,E940))</f>
        <v/>
      </c>
    </row>
    <row r="941">
      <c r="A941" s="1" t="n"/>
      <c r="B941" s="29" t="n"/>
      <c r="C941" s="26" t="n"/>
      <c r="D941" s="27" t="n"/>
      <c r="E941" s="29" t="n"/>
      <c r="F941" s="26" t="n"/>
      <c r="G941" s="26" t="n"/>
      <c r="H941" s="1">
        <f>IF(B941="","",IF(E941="",B941,E941))</f>
        <v/>
      </c>
    </row>
    <row r="942">
      <c r="A942" s="1" t="n"/>
      <c r="B942" s="29" t="n"/>
      <c r="C942" s="26" t="n"/>
      <c r="D942" s="27" t="n"/>
      <c r="E942" s="29" t="n"/>
      <c r="F942" s="26" t="n"/>
      <c r="G942" s="26" t="n"/>
      <c r="H942" s="1">
        <f>IF(B942="","",IF(E942="",B942,E942))</f>
        <v/>
      </c>
    </row>
    <row r="943">
      <c r="A943" s="1" t="n"/>
      <c r="B943" s="29" t="n"/>
      <c r="C943" s="26" t="n"/>
      <c r="D943" s="27" t="n"/>
      <c r="E943" s="29" t="n"/>
      <c r="F943" s="26" t="n"/>
      <c r="G943" s="26" t="n"/>
      <c r="H943" s="1">
        <f>IF(B943="","",IF(E943="",B943,E943))</f>
        <v/>
      </c>
    </row>
    <row r="944">
      <c r="A944" s="1" t="n"/>
      <c r="B944" s="29" t="n"/>
      <c r="C944" s="26" t="n"/>
      <c r="D944" s="27" t="n"/>
      <c r="E944" s="29" t="n"/>
      <c r="F944" s="26" t="n"/>
      <c r="G944" s="26" t="n"/>
      <c r="H944" s="1">
        <f>IF(B944="","",IF(E944="",B944,E944))</f>
        <v/>
      </c>
    </row>
    <row r="945">
      <c r="A945" s="1" t="n"/>
      <c r="B945" s="29" t="n"/>
      <c r="C945" s="26" t="n"/>
      <c r="D945" s="27" t="n"/>
      <c r="E945" s="29" t="n"/>
      <c r="F945" s="26" t="n"/>
      <c r="G945" s="26" t="n"/>
      <c r="H945" s="1">
        <f>IF(B945="","",IF(E945="",B945,E945))</f>
        <v/>
      </c>
    </row>
    <row r="946">
      <c r="A946" s="1" t="n"/>
      <c r="B946" s="29" t="n"/>
      <c r="C946" s="26" t="n"/>
      <c r="D946" s="27" t="n"/>
      <c r="E946" s="29" t="n"/>
      <c r="F946" s="26" t="n"/>
      <c r="G946" s="26" t="n"/>
      <c r="H946" s="1">
        <f>IF(B946="","",IF(E946="",B946,E946))</f>
        <v/>
      </c>
    </row>
    <row r="947">
      <c r="A947" s="1" t="n"/>
      <c r="B947" s="29" t="n"/>
      <c r="C947" s="26" t="n"/>
      <c r="D947" s="27" t="n"/>
      <c r="E947" s="29" t="n"/>
      <c r="F947" s="26" t="n"/>
      <c r="G947" s="26" t="n"/>
      <c r="H947" s="1">
        <f>IF(B947="","",IF(E947="",B947,E947))</f>
        <v/>
      </c>
    </row>
    <row r="948">
      <c r="A948" s="1" t="n"/>
      <c r="B948" s="29" t="n"/>
      <c r="C948" s="26" t="n"/>
      <c r="D948" s="27" t="n"/>
      <c r="E948" s="29" t="n"/>
      <c r="F948" s="26" t="n"/>
      <c r="G948" s="26" t="n"/>
      <c r="H948" s="1">
        <f>IF(B948="","",IF(E948="",B948,E948))</f>
        <v/>
      </c>
    </row>
    <row r="949">
      <c r="A949" s="1" t="n"/>
      <c r="B949" s="29" t="n"/>
      <c r="C949" s="26" t="n"/>
      <c r="D949" s="27" t="n"/>
      <c r="E949" s="29" t="n"/>
      <c r="F949" s="26" t="n"/>
      <c r="G949" s="26" t="n"/>
      <c r="H949" s="1">
        <f>IF(B949="","",IF(E949="",B949,E949))</f>
        <v/>
      </c>
    </row>
    <row r="950">
      <c r="A950" s="1" t="n"/>
      <c r="B950" s="29" t="n"/>
      <c r="C950" s="26" t="n"/>
      <c r="D950" s="27" t="n"/>
      <c r="E950" s="29" t="n"/>
      <c r="F950" s="26" t="n"/>
      <c r="G950" s="26" t="n"/>
      <c r="H950" s="1">
        <f>IF(B950="","",IF(E950="",B950,E950))</f>
        <v/>
      </c>
    </row>
    <row r="951">
      <c r="A951" s="1" t="n"/>
      <c r="B951" s="29" t="n"/>
      <c r="C951" s="26" t="n"/>
      <c r="D951" s="27" t="n"/>
      <c r="E951" s="29" t="n"/>
      <c r="F951" s="26" t="n"/>
      <c r="G951" s="26" t="n"/>
      <c r="H951" s="1">
        <f>IF(B951="","",IF(E951="",B951,E951))</f>
        <v/>
      </c>
    </row>
    <row r="952">
      <c r="A952" s="1" t="n"/>
      <c r="B952" s="29" t="n"/>
      <c r="C952" s="26" t="n"/>
      <c r="D952" s="27" t="n"/>
      <c r="E952" s="29" t="n"/>
      <c r="F952" s="26" t="n"/>
      <c r="G952" s="26" t="n"/>
      <c r="H952" s="1">
        <f>IF(B952="","",IF(E952="",B952,E952))</f>
        <v/>
      </c>
    </row>
    <row r="953">
      <c r="A953" s="1" t="n"/>
      <c r="B953" s="29" t="n"/>
      <c r="C953" s="26" t="n"/>
      <c r="D953" s="27" t="n"/>
      <c r="E953" s="29" t="n"/>
      <c r="F953" s="26" t="n"/>
      <c r="G953" s="26" t="n"/>
      <c r="H953" s="1">
        <f>IF(B953="","",IF(E953="",B953,E953))</f>
        <v/>
      </c>
    </row>
    <row r="954">
      <c r="A954" s="1" t="n"/>
      <c r="B954" s="29" t="n"/>
      <c r="C954" s="26" t="n"/>
      <c r="D954" s="27" t="n"/>
      <c r="E954" s="29" t="n"/>
      <c r="F954" s="26" t="n"/>
      <c r="G954" s="26" t="n"/>
      <c r="H954" s="1">
        <f>IF(B954="","",IF(E954="",B954,E954))</f>
        <v/>
      </c>
    </row>
    <row r="955">
      <c r="A955" s="1" t="n"/>
      <c r="B955" s="29" t="n"/>
      <c r="C955" s="26" t="n"/>
      <c r="D955" s="27" t="n"/>
      <c r="E955" s="29" t="n"/>
      <c r="F955" s="26" t="n"/>
      <c r="G955" s="26" t="n"/>
      <c r="H955" s="1">
        <f>IF(B955="","",IF(E955="",B955,E955))</f>
        <v/>
      </c>
    </row>
    <row r="956">
      <c r="A956" s="1" t="n"/>
      <c r="B956" s="29" t="n"/>
      <c r="C956" s="26" t="n"/>
      <c r="D956" s="27" t="n"/>
      <c r="E956" s="29" t="n"/>
      <c r="F956" s="26" t="n"/>
      <c r="G956" s="26" t="n"/>
      <c r="H956" s="1">
        <f>IF(B956="","",IF(E956="",B956,E956))</f>
        <v/>
      </c>
    </row>
    <row r="957">
      <c r="A957" s="1" t="n"/>
      <c r="B957" s="29" t="n"/>
      <c r="C957" s="26" t="n"/>
      <c r="D957" s="27" t="n"/>
      <c r="E957" s="29" t="n"/>
      <c r="F957" s="26" t="n"/>
      <c r="G957" s="26" t="n"/>
      <c r="H957" s="1">
        <f>IF(B957="","",IF(E957="",B957,E957))</f>
        <v/>
      </c>
    </row>
    <row r="958">
      <c r="A958" s="1" t="n"/>
      <c r="B958" s="29" t="n"/>
      <c r="C958" s="26" t="n"/>
      <c r="D958" s="27" t="n"/>
      <c r="E958" s="29" t="n"/>
      <c r="F958" s="26" t="n"/>
      <c r="G958" s="26" t="n"/>
      <c r="H958" s="1">
        <f>IF(B958="","",IF(E958="",B958,E958))</f>
        <v/>
      </c>
    </row>
    <row r="959">
      <c r="A959" s="1" t="n"/>
      <c r="B959" s="29" t="n"/>
      <c r="C959" s="26" t="n"/>
      <c r="D959" s="27" t="n"/>
      <c r="E959" s="29" t="n"/>
      <c r="F959" s="26" t="n"/>
      <c r="G959" s="26" t="n"/>
      <c r="H959" s="1">
        <f>IF(B959="","",IF(E959="",B959,E959))</f>
        <v/>
      </c>
    </row>
    <row r="960">
      <c r="A960" s="1" t="n"/>
      <c r="B960" s="29" t="n"/>
      <c r="C960" s="26" t="n"/>
      <c r="D960" s="27" t="n"/>
      <c r="E960" s="29" t="n"/>
      <c r="F960" s="26" t="n"/>
      <c r="G960" s="26" t="n"/>
      <c r="H960" s="1">
        <f>IF(B960="","",IF(E960="",B960,E960))</f>
        <v/>
      </c>
    </row>
    <row r="961">
      <c r="A961" s="1" t="n"/>
      <c r="B961" s="29" t="n"/>
      <c r="C961" s="26" t="n"/>
      <c r="D961" s="27" t="n"/>
      <c r="E961" s="29" t="n"/>
      <c r="F961" s="26" t="n"/>
      <c r="G961" s="26" t="n"/>
      <c r="H961" s="1">
        <f>IF(B961="","",IF(E961="",B961,E961))</f>
        <v/>
      </c>
    </row>
    <row r="962">
      <c r="A962" s="1" t="n"/>
      <c r="B962" s="29" t="n"/>
      <c r="C962" s="26" t="n"/>
      <c r="D962" s="27" t="n"/>
      <c r="E962" s="29" t="n"/>
      <c r="F962" s="26" t="n"/>
      <c r="G962" s="26" t="n"/>
      <c r="H962" s="1">
        <f>IF(B962="","",IF(E962="",B962,E962))</f>
        <v/>
      </c>
    </row>
    <row r="963">
      <c r="A963" s="1" t="n"/>
      <c r="B963" s="29" t="n"/>
      <c r="C963" s="26" t="n"/>
      <c r="D963" s="27" t="n"/>
      <c r="E963" s="29" t="n"/>
      <c r="F963" s="26" t="n"/>
      <c r="G963" s="26" t="n"/>
      <c r="H963" s="1">
        <f>IF(B963="","",IF(E963="",B963,E963))</f>
        <v/>
      </c>
    </row>
    <row r="964">
      <c r="A964" s="1" t="n"/>
      <c r="B964" s="29" t="n"/>
      <c r="C964" s="26" t="n"/>
      <c r="D964" s="27" t="n"/>
      <c r="E964" s="29" t="n"/>
      <c r="F964" s="26" t="n"/>
      <c r="G964" s="26" t="n"/>
      <c r="H964" s="1">
        <f>IF(B964="","",IF(E964="",B964,E964))</f>
        <v/>
      </c>
    </row>
    <row r="965">
      <c r="A965" s="1" t="n"/>
      <c r="B965" s="29" t="n"/>
      <c r="C965" s="26" t="n"/>
      <c r="D965" s="27" t="n"/>
      <c r="E965" s="29" t="n"/>
      <c r="F965" s="26" t="n"/>
      <c r="G965" s="26" t="n"/>
      <c r="H965" s="1">
        <f>IF(B965="","",IF(E965="",B965,E965))</f>
        <v/>
      </c>
    </row>
    <row r="966">
      <c r="A966" s="1" t="n"/>
      <c r="B966" s="29" t="n"/>
      <c r="C966" s="26" t="n"/>
      <c r="D966" s="27" t="n"/>
      <c r="E966" s="29" t="n"/>
      <c r="F966" s="26" t="n"/>
      <c r="G966" s="26" t="n"/>
      <c r="H966" s="1">
        <f>IF(B966="","",IF(E966="",B966,E966))</f>
        <v/>
      </c>
    </row>
    <row r="967">
      <c r="A967" s="1" t="n"/>
      <c r="B967" s="29" t="n"/>
      <c r="C967" s="26" t="n"/>
      <c r="D967" s="27" t="n"/>
      <c r="E967" s="29" t="n"/>
      <c r="F967" s="26" t="n"/>
      <c r="G967" s="26" t="n"/>
      <c r="H967" s="1">
        <f>IF(B967="","",IF(E967="",B967,E967))</f>
        <v/>
      </c>
    </row>
    <row r="968">
      <c r="A968" s="1" t="n"/>
      <c r="B968" s="29" t="n"/>
      <c r="C968" s="26" t="n"/>
      <c r="D968" s="27" t="n"/>
      <c r="E968" s="29" t="n"/>
      <c r="F968" s="26" t="n"/>
      <c r="G968" s="26" t="n"/>
      <c r="H968" s="1">
        <f>IF(B968="","",IF(E968="",B968,E968))</f>
        <v/>
      </c>
    </row>
    <row r="969">
      <c r="A969" s="1" t="n"/>
      <c r="B969" s="29" t="n"/>
      <c r="C969" s="26" t="n"/>
      <c r="D969" s="27" t="n"/>
      <c r="E969" s="29" t="n"/>
      <c r="F969" s="26" t="n"/>
      <c r="G969" s="26" t="n"/>
      <c r="H969" s="1">
        <f>IF(B969="","",IF(E969="",B969,E969))</f>
        <v/>
      </c>
    </row>
    <row r="970">
      <c r="A970" s="1" t="n"/>
      <c r="B970" s="29" t="n"/>
      <c r="C970" s="26" t="n"/>
      <c r="D970" s="27" t="n"/>
      <c r="E970" s="29" t="n"/>
      <c r="F970" s="26" t="n"/>
      <c r="G970" s="26" t="n"/>
      <c r="H970" s="1">
        <f>IF(B970="","",IF(E970="",B970,E970))</f>
        <v/>
      </c>
    </row>
    <row r="971">
      <c r="A971" s="1" t="n"/>
      <c r="B971" s="29" t="n"/>
      <c r="C971" s="26" t="n"/>
      <c r="D971" s="27" t="n"/>
      <c r="E971" s="29" t="n"/>
      <c r="F971" s="26" t="n"/>
      <c r="G971" s="26" t="n"/>
      <c r="H971" s="1">
        <f>IF(B971="","",IF(E971="",B971,E971))</f>
        <v/>
      </c>
    </row>
    <row r="972">
      <c r="A972" s="1" t="n"/>
      <c r="B972" s="29" t="n"/>
      <c r="C972" s="26" t="n"/>
      <c r="D972" s="27" t="n"/>
      <c r="E972" s="29" t="n"/>
      <c r="F972" s="26" t="n"/>
      <c r="G972" s="26" t="n"/>
      <c r="H972" s="1">
        <f>IF(B972="","",IF(E972="",B972,E972))</f>
        <v/>
      </c>
    </row>
    <row r="973">
      <c r="A973" s="1" t="n"/>
      <c r="B973" s="29" t="n"/>
      <c r="C973" s="26" t="n"/>
      <c r="D973" s="27" t="n"/>
      <c r="E973" s="29" t="n"/>
      <c r="F973" s="26" t="n"/>
      <c r="G973" s="26" t="n"/>
      <c r="H973" s="1">
        <f>IF(B973="","",IF(E973="",B973,E973))</f>
        <v/>
      </c>
    </row>
    <row r="974">
      <c r="A974" s="1" t="n"/>
      <c r="B974" s="29" t="n"/>
      <c r="C974" s="26" t="n"/>
      <c r="D974" s="27" t="n"/>
      <c r="E974" s="29" t="n"/>
      <c r="F974" s="26" t="n"/>
      <c r="G974" s="26" t="n"/>
      <c r="H974" s="1">
        <f>IF(B974="","",IF(E974="",B974,E974))</f>
        <v/>
      </c>
    </row>
    <row r="975">
      <c r="A975" s="1" t="n"/>
      <c r="B975" s="29" t="n"/>
      <c r="C975" s="26" t="n"/>
      <c r="D975" s="27" t="n"/>
      <c r="E975" s="29" t="n"/>
      <c r="F975" s="26" t="n"/>
      <c r="G975" s="26" t="n"/>
      <c r="H975" s="1">
        <f>IF(B975="","",IF(E975="",B975,E975))</f>
        <v/>
      </c>
    </row>
    <row r="976">
      <c r="A976" s="1" t="n"/>
      <c r="B976" s="29" t="n"/>
      <c r="C976" s="26" t="n"/>
      <c r="D976" s="27" t="n"/>
      <c r="E976" s="29" t="n"/>
      <c r="F976" s="26" t="n"/>
      <c r="G976" s="26" t="n"/>
      <c r="H976" s="1">
        <f>IF(B976="","",IF(E976="",B976,E976))</f>
        <v/>
      </c>
    </row>
    <row r="977">
      <c r="A977" s="1" t="n"/>
      <c r="B977" s="29" t="n"/>
      <c r="C977" s="26" t="n"/>
      <c r="D977" s="27" t="n"/>
      <c r="E977" s="29" t="n"/>
      <c r="F977" s="26" t="n"/>
      <c r="G977" s="26" t="n"/>
      <c r="H977" s="1">
        <f>IF(B977="","",IF(E977="",B977,E977))</f>
        <v/>
      </c>
    </row>
    <row r="978">
      <c r="A978" s="1" t="n"/>
      <c r="B978" s="29" t="n"/>
      <c r="C978" s="26" t="n"/>
      <c r="D978" s="27" t="n"/>
      <c r="E978" s="29" t="n"/>
      <c r="F978" s="26" t="n"/>
      <c r="G978" s="26" t="n"/>
      <c r="H978" s="1">
        <f>IF(B978="","",IF(E978="",B978,E978))</f>
        <v/>
      </c>
    </row>
    <row r="979">
      <c r="A979" s="1" t="n"/>
      <c r="B979" s="29" t="n"/>
      <c r="C979" s="26" t="n"/>
      <c r="D979" s="27" t="n"/>
      <c r="E979" s="29" t="n"/>
      <c r="F979" s="26" t="n"/>
      <c r="G979" s="26" t="n"/>
      <c r="H979" s="1">
        <f>IF(B979="","",IF(E979="",B979,E979))</f>
        <v/>
      </c>
    </row>
    <row r="980">
      <c r="A980" s="1" t="n"/>
      <c r="B980" s="29" t="n"/>
      <c r="C980" s="26" t="n"/>
      <c r="D980" s="27" t="n"/>
      <c r="E980" s="29" t="n"/>
      <c r="F980" s="26" t="n"/>
      <c r="G980" s="26" t="n"/>
      <c r="H980" s="1">
        <f>IF(B980="","",IF(E980="",B980,E980))</f>
        <v/>
      </c>
    </row>
    <row r="981">
      <c r="A981" s="1" t="n"/>
      <c r="B981" s="29" t="n"/>
      <c r="C981" s="26" t="n"/>
      <c r="D981" s="27" t="n"/>
      <c r="E981" s="29" t="n"/>
      <c r="F981" s="26" t="n"/>
      <c r="G981" s="26" t="n"/>
      <c r="H981" s="1">
        <f>IF(B981="","",IF(E981="",B981,E981))</f>
        <v/>
      </c>
    </row>
    <row r="982">
      <c r="A982" s="1" t="n"/>
      <c r="B982" s="29" t="n"/>
      <c r="C982" s="26" t="n"/>
      <c r="D982" s="27" t="n"/>
      <c r="E982" s="29" t="n"/>
      <c r="F982" s="26" t="n"/>
      <c r="G982" s="26" t="n"/>
      <c r="H982" s="1">
        <f>IF(B982="","",IF(E982="",B982,E982))</f>
        <v/>
      </c>
    </row>
    <row r="983">
      <c r="A983" s="1" t="n"/>
      <c r="B983" s="29" t="n"/>
      <c r="C983" s="26" t="n"/>
      <c r="D983" s="27" t="n"/>
      <c r="E983" s="29" t="n"/>
      <c r="F983" s="26" t="n"/>
      <c r="G983" s="26" t="n"/>
      <c r="H983" s="1">
        <f>IF(B983="","",IF(E983="",B983,E983))</f>
        <v/>
      </c>
    </row>
    <row r="984">
      <c r="A984" s="1" t="n"/>
      <c r="B984" s="29" t="n"/>
      <c r="C984" s="26" t="n"/>
      <c r="D984" s="27" t="n"/>
      <c r="E984" s="29" t="n"/>
      <c r="F984" s="26" t="n"/>
      <c r="G984" s="26" t="n"/>
      <c r="H984" s="1">
        <f>IF(B984="","",IF(E984="",B984,E984))</f>
        <v/>
      </c>
    </row>
    <row r="985">
      <c r="A985" s="1" t="n"/>
      <c r="B985" s="29" t="n"/>
      <c r="C985" s="26" t="n"/>
      <c r="D985" s="27" t="n"/>
      <c r="E985" s="29" t="n"/>
      <c r="F985" s="26" t="n"/>
      <c r="G985" s="26" t="n"/>
      <c r="H985" s="1">
        <f>IF(B985="","",IF(E985="",B985,E985))</f>
        <v/>
      </c>
    </row>
    <row r="986">
      <c r="A986" s="1" t="n"/>
      <c r="B986" s="29" t="n"/>
      <c r="C986" s="26" t="n"/>
      <c r="D986" s="27" t="n"/>
      <c r="E986" s="29" t="n"/>
      <c r="F986" s="26" t="n"/>
      <c r="G986" s="26" t="n"/>
      <c r="H986" s="1">
        <f>IF(B986="","",IF(E986="",B986,E986))</f>
        <v/>
      </c>
    </row>
    <row r="987">
      <c r="A987" s="1" t="n"/>
      <c r="B987" s="29" t="n"/>
      <c r="C987" s="26" t="n"/>
      <c r="D987" s="27" t="n"/>
      <c r="E987" s="29" t="n"/>
      <c r="F987" s="26" t="n"/>
      <c r="G987" s="26" t="n"/>
      <c r="H987" s="1">
        <f>IF(B987="","",IF(E987="",B987,E987))</f>
        <v/>
      </c>
    </row>
    <row r="988">
      <c r="A988" s="1" t="n"/>
      <c r="B988" s="29" t="n"/>
      <c r="C988" s="26" t="n"/>
      <c r="D988" s="27" t="n"/>
      <c r="E988" s="29" t="n"/>
      <c r="F988" s="26" t="n"/>
      <c r="G988" s="26" t="n"/>
      <c r="H988" s="1">
        <f>IF(B988="","",IF(E988="",B988,E988))</f>
        <v/>
      </c>
    </row>
    <row r="989">
      <c r="A989" s="1" t="n"/>
      <c r="B989" s="29" t="n"/>
      <c r="C989" s="26" t="n"/>
      <c r="D989" s="27" t="n"/>
      <c r="E989" s="29" t="n"/>
      <c r="F989" s="26" t="n"/>
      <c r="G989" s="26" t="n"/>
      <c r="H989" s="1">
        <f>IF(B989="","",IF(E989="",B989,E989))</f>
        <v/>
      </c>
    </row>
    <row r="990">
      <c r="A990" s="1" t="n"/>
      <c r="B990" s="29" t="n"/>
      <c r="C990" s="26" t="n"/>
      <c r="D990" s="27" t="n"/>
      <c r="E990" s="29" t="n"/>
      <c r="F990" s="26" t="n"/>
      <c r="G990" s="26" t="n"/>
      <c r="H990" s="1">
        <f>IF(B990="","",IF(E990="",B990,E990))</f>
        <v/>
      </c>
    </row>
    <row r="991">
      <c r="A991" s="1" t="n"/>
      <c r="B991" s="29" t="n"/>
      <c r="C991" s="26" t="n"/>
      <c r="D991" s="27" t="n"/>
      <c r="E991" s="29" t="n"/>
      <c r="F991" s="26" t="n"/>
      <c r="G991" s="26" t="n"/>
      <c r="H991" s="1">
        <f>IF(B991="","",IF(E991="",B991,E991))</f>
        <v/>
      </c>
    </row>
    <row r="992">
      <c r="A992" s="1" t="n"/>
      <c r="B992" s="29" t="n"/>
      <c r="C992" s="26" t="n"/>
      <c r="D992" s="27" t="n"/>
      <c r="E992" s="29" t="n"/>
      <c r="F992" s="26" t="n"/>
      <c r="G992" s="26" t="n"/>
      <c r="H992" s="1">
        <f>IF(B992="","",IF(E992="",B992,E992))</f>
        <v/>
      </c>
    </row>
    <row r="993">
      <c r="A993" s="1" t="n"/>
      <c r="B993" s="29" t="n"/>
      <c r="C993" s="26" t="n"/>
      <c r="D993" s="27" t="n"/>
      <c r="E993" s="29" t="n"/>
      <c r="F993" s="26" t="n"/>
      <c r="G993" s="26" t="n"/>
      <c r="H993" s="1">
        <f>IF(B993="","",IF(E993="",B993,E993))</f>
        <v/>
      </c>
    </row>
    <row r="994">
      <c r="A994" s="1" t="n"/>
      <c r="B994" s="29" t="n"/>
      <c r="C994" s="26" t="n"/>
      <c r="D994" s="27" t="n"/>
      <c r="E994" s="29" t="n"/>
      <c r="F994" s="26" t="n"/>
      <c r="G994" s="26" t="n"/>
      <c r="H994" s="1">
        <f>IF(B994="","",IF(E994="",B994,E994))</f>
        <v/>
      </c>
    </row>
    <row r="995">
      <c r="A995" s="1" t="n"/>
      <c r="B995" s="29" t="n"/>
      <c r="C995" s="26" t="n"/>
      <c r="D995" s="27" t="n"/>
      <c r="E995" s="29" t="n"/>
      <c r="F995" s="26" t="n"/>
      <c r="G995" s="26" t="n"/>
      <c r="H995" s="1">
        <f>IF(B995="","",IF(E995="",B995,E995))</f>
        <v/>
      </c>
    </row>
    <row r="996">
      <c r="A996" s="1" t="n"/>
      <c r="B996" s="29" t="n"/>
      <c r="C996" s="26" t="n"/>
      <c r="D996" s="27" t="n"/>
      <c r="E996" s="29" t="n"/>
      <c r="F996" s="26" t="n"/>
      <c r="G996" s="26" t="n"/>
      <c r="H996" s="1">
        <f>IF(B996="","",IF(E996="",B996,E996))</f>
        <v/>
      </c>
    </row>
    <row r="997">
      <c r="A997" s="1" t="n"/>
      <c r="B997" s="29" t="n"/>
      <c r="C997" s="26" t="n"/>
      <c r="D997" s="27" t="n"/>
      <c r="E997" s="29" t="n"/>
      <c r="F997" s="26" t="n"/>
      <c r="G997" s="26" t="n"/>
      <c r="H997" s="1">
        <f>IF(B997="","",IF(E997="",B997,E997))</f>
        <v/>
      </c>
    </row>
    <row r="998">
      <c r="A998" s="1" t="n"/>
      <c r="B998" s="29" t="n"/>
      <c r="C998" s="26" t="n"/>
      <c r="D998" s="27" t="n"/>
      <c r="E998" s="29" t="n"/>
      <c r="F998" s="26" t="n"/>
      <c r="G998" s="26" t="n"/>
      <c r="H998" s="1">
        <f>IF(B998="","",IF(E998="",B998,E998))</f>
        <v/>
      </c>
    </row>
    <row r="999">
      <c r="A999" s="1" t="n"/>
      <c r="B999" s="29" t="n"/>
      <c r="C999" s="26" t="n"/>
      <c r="D999" s="27" t="n"/>
      <c r="E999" s="29" t="n"/>
      <c r="F999" s="26" t="n"/>
      <c r="G999" s="26" t="n"/>
      <c r="H999" s="1">
        <f>IF(B999="","",IF(E999="",B999,E999))</f>
        <v/>
      </c>
    </row>
    <row r="1000">
      <c r="A1000" s="1" t="n"/>
      <c r="B1000" s="29" t="n"/>
      <c r="C1000" s="26" t="n"/>
      <c r="D1000" s="27" t="n"/>
      <c r="E1000" s="29" t="n"/>
      <c r="F1000" s="26" t="n"/>
      <c r="G1000" s="26" t="n"/>
      <c r="H1000" s="1">
        <f>IF(B1000="","",IF(E1000="",B1000,E1000))</f>
        <v/>
      </c>
    </row>
    <row r="1001">
      <c r="A1001" s="1" t="n"/>
      <c r="B1001" s="29" t="n"/>
      <c r="C1001" s="26" t="n"/>
      <c r="D1001" s="27" t="n"/>
      <c r="E1001" s="29" t="n"/>
      <c r="F1001" s="26" t="n"/>
      <c r="G1001" s="26" t="n"/>
      <c r="H1001" s="1">
        <f>IF(B1001="","",IF(E1001="",B1001,E1001))</f>
        <v/>
      </c>
    </row>
    <row r="1002">
      <c r="A1002" s="1" t="n"/>
      <c r="B1002" s="29" t="n"/>
      <c r="C1002" s="26" t="n"/>
      <c r="D1002" s="27" t="n"/>
      <c r="E1002" s="29" t="n"/>
      <c r="F1002" s="26" t="n"/>
      <c r="G1002" s="26" t="n"/>
      <c r="H1002" s="1">
        <f>IF(B1002="","",IF(E1002="",B1002,E1002))</f>
        <v/>
      </c>
    </row>
    <row r="1003">
      <c r="A1003" s="1" t="n"/>
      <c r="B1003" s="29" t="n"/>
      <c r="C1003" s="26" t="n"/>
      <c r="D1003" s="27" t="n"/>
      <c r="E1003" s="29" t="n"/>
      <c r="F1003" s="26" t="n"/>
      <c r="G1003" s="26" t="n"/>
      <c r="H1003" s="1">
        <f>IF(B1003="","",IF(E1003="",B1003,E1003))</f>
        <v/>
      </c>
    </row>
    <row r="1004">
      <c r="A1004" s="1" t="n"/>
      <c r="B1004" s="29" t="n"/>
      <c r="C1004" s="26" t="n"/>
      <c r="D1004" s="27" t="n"/>
      <c r="E1004" s="29" t="n"/>
      <c r="F1004" s="26" t="n"/>
      <c r="G1004" s="26" t="n"/>
      <c r="H1004" s="1">
        <f>IF(B1004="","",IF(E1004="",B1004,E1004))</f>
        <v/>
      </c>
    </row>
    <row r="1005">
      <c r="A1005" s="1" t="n"/>
      <c r="B1005" s="29" t="n"/>
      <c r="C1005" s="26" t="n"/>
      <c r="D1005" s="27" t="n"/>
      <c r="E1005" s="29" t="n"/>
      <c r="F1005" s="26" t="n"/>
      <c r="G1005" s="26" t="n"/>
      <c r="H1005" s="1">
        <f>IF(B1005="","",IF(E1005="",B1005,E1005))</f>
        <v/>
      </c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</row>
  </sheetData>
  <dataValidations count="2">
    <dataValidation sqref="C6:C1005" showDropDown="0" showInputMessage="0" showErrorMessage="0" allowBlank="1" type="list">
      <formula1>=Units!$B$6:$B$25</formula1>
    </dataValidation>
    <dataValidation sqref="F6:F1005" showDropDown="0" showInputMessage="0" showErrorMessage="0" allowBlank="1" type="list">
      <formula1>"Bank transfer,Check,Cash,App,Other"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00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8" customWidth="1" min="3" max="3"/>
    <col width="22" customWidth="1" min="4" max="4"/>
    <col width="12" customWidth="1" min="5" max="5"/>
    <col width="32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" t="n"/>
      <c r="B2" s="2" t="inlineStr">
        <is>
          <t>Expenses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One line per cost, with the property it belongs to.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30" customHeight="1">
      <c r="A5" s="1" t="n"/>
      <c r="B5" s="11" t="inlineStr">
        <is>
          <t>Date</t>
        </is>
      </c>
      <c r="C5" s="11" t="inlineStr">
        <is>
          <t>Property</t>
        </is>
      </c>
      <c r="D5" s="11" t="inlineStr">
        <is>
          <t>Category</t>
        </is>
      </c>
      <c r="E5" s="11" t="inlineStr">
        <is>
          <t>Amount</t>
        </is>
      </c>
      <c r="F5" s="11" t="inlineStr">
        <is>
          <t>Note</t>
        </is>
      </c>
      <c r="G5" s="1" t="n"/>
    </row>
    <row r="6">
      <c r="A6" s="1" t="n"/>
      <c r="B6" s="29" t="n">
        <v>46027</v>
      </c>
      <c r="C6" s="26" t="inlineStr">
        <is>
          <t>12 Oak Street</t>
        </is>
      </c>
      <c r="D6" s="26" t="inlineStr">
        <is>
          <t>Mortgage interest</t>
        </is>
      </c>
      <c r="E6" s="27" t="n">
        <v>1100</v>
      </c>
      <c r="F6" s="26" t="inlineStr"/>
      <c r="G6" s="1" t="n"/>
    </row>
    <row r="7">
      <c r="A7" s="1" t="n"/>
      <c r="B7" s="29" t="n">
        <v>46027</v>
      </c>
      <c r="C7" s="26" t="inlineStr">
        <is>
          <t>8 River Road</t>
        </is>
      </c>
      <c r="D7" s="26" t="inlineStr">
        <is>
          <t>Mortgage interest</t>
        </is>
      </c>
      <c r="E7" s="27" t="n">
        <v>650</v>
      </c>
      <c r="F7" s="26" t="inlineStr"/>
      <c r="G7" s="1" t="n"/>
    </row>
    <row r="8">
      <c r="A8" s="1" t="n"/>
      <c r="B8" s="29" t="n">
        <v>46036</v>
      </c>
      <c r="C8" s="26" t="inlineStr">
        <is>
          <t>12 Oak Street</t>
        </is>
      </c>
      <c r="D8" s="26" t="inlineStr">
        <is>
          <t>Repairs</t>
        </is>
      </c>
      <c r="E8" s="27" t="n">
        <v>480</v>
      </c>
      <c r="F8" s="26" t="inlineStr">
        <is>
          <t>Boiler repair</t>
        </is>
      </c>
      <c r="G8" s="1" t="n"/>
    </row>
    <row r="9">
      <c r="A9" s="1" t="n"/>
      <c r="B9" s="29" t="n">
        <v>46058</v>
      </c>
      <c r="C9" s="26" t="inlineStr">
        <is>
          <t>12 Oak Street</t>
        </is>
      </c>
      <c r="D9" s="26" t="inlineStr">
        <is>
          <t>Mortgage interest</t>
        </is>
      </c>
      <c r="E9" s="27" t="n">
        <v>1100</v>
      </c>
      <c r="F9" s="26" t="inlineStr"/>
      <c r="G9" s="1" t="n"/>
    </row>
    <row r="10">
      <c r="A10" s="1" t="n"/>
      <c r="B10" s="29" t="n">
        <v>46058</v>
      </c>
      <c r="C10" s="26" t="inlineStr">
        <is>
          <t>8 River Road</t>
        </is>
      </c>
      <c r="D10" s="26" t="inlineStr">
        <is>
          <t>Mortgage interest</t>
        </is>
      </c>
      <c r="E10" s="27" t="n">
        <v>650</v>
      </c>
      <c r="F10" s="26" t="inlineStr"/>
      <c r="G10" s="1" t="n"/>
    </row>
    <row r="11">
      <c r="A11" s="1" t="n"/>
      <c r="B11" s="29" t="n">
        <v>46063</v>
      </c>
      <c r="C11" s="26" t="inlineStr">
        <is>
          <t>12 Oak Street</t>
        </is>
      </c>
      <c r="D11" s="26" t="inlineStr">
        <is>
          <t>Insurance</t>
        </is>
      </c>
      <c r="E11" s="27" t="n">
        <v>1200</v>
      </c>
      <c r="F11" s="26" t="inlineStr">
        <is>
          <t>Building insurance, yearly</t>
        </is>
      </c>
      <c r="G11" s="1" t="n"/>
    </row>
    <row r="12">
      <c r="A12" s="1" t="n"/>
      <c r="B12" s="29" t="n">
        <v>46086</v>
      </c>
      <c r="C12" s="26" t="inlineStr">
        <is>
          <t>12 Oak Street</t>
        </is>
      </c>
      <c r="D12" s="26" t="inlineStr">
        <is>
          <t>Mortgage interest</t>
        </is>
      </c>
      <c r="E12" s="27" t="n">
        <v>1100</v>
      </c>
      <c r="F12" s="26" t="inlineStr"/>
      <c r="G12" s="1" t="n"/>
    </row>
    <row r="13">
      <c r="A13" s="1" t="n"/>
      <c r="B13" s="29" t="n">
        <v>46086</v>
      </c>
      <c r="C13" s="26" t="inlineStr">
        <is>
          <t>8 River Road</t>
        </is>
      </c>
      <c r="D13" s="26" t="inlineStr">
        <is>
          <t>Mortgage interest</t>
        </is>
      </c>
      <c r="E13" s="27" t="n">
        <v>650</v>
      </c>
      <c r="F13" s="26" t="inlineStr"/>
      <c r="G13" s="1" t="n"/>
    </row>
    <row r="14">
      <c r="A14" s="1" t="n"/>
      <c r="B14" s="29" t="n">
        <v>46091</v>
      </c>
      <c r="C14" s="26" t="inlineStr">
        <is>
          <t>8 River Road</t>
        </is>
      </c>
      <c r="D14" s="26" t="inlineStr">
        <is>
          <t>Insurance</t>
        </is>
      </c>
      <c r="E14" s="27" t="n">
        <v>900</v>
      </c>
      <c r="F14" s="26" t="inlineStr">
        <is>
          <t>Home insurance, yearly</t>
        </is>
      </c>
      <c r="G14" s="1" t="n"/>
    </row>
    <row r="15">
      <c r="A15" s="1" t="n"/>
      <c r="B15" s="29" t="n">
        <v>46117</v>
      </c>
      <c r="C15" s="26" t="inlineStr">
        <is>
          <t>12 Oak Street</t>
        </is>
      </c>
      <c r="D15" s="26" t="inlineStr">
        <is>
          <t>Mortgage interest</t>
        </is>
      </c>
      <c r="E15" s="27" t="n">
        <v>1100</v>
      </c>
      <c r="F15" s="26" t="inlineStr"/>
      <c r="G15" s="1" t="n"/>
    </row>
    <row r="16">
      <c r="A16" s="1" t="n"/>
      <c r="B16" s="29" t="n">
        <v>46117</v>
      </c>
      <c r="C16" s="26" t="inlineStr">
        <is>
          <t>8 River Road</t>
        </is>
      </c>
      <c r="D16" s="26" t="inlineStr">
        <is>
          <t>Mortgage interest</t>
        </is>
      </c>
      <c r="E16" s="27" t="n">
        <v>650</v>
      </c>
      <c r="F16" s="26" t="inlineStr"/>
      <c r="G16" s="1" t="n"/>
    </row>
    <row r="17">
      <c r="A17" s="1" t="n"/>
      <c r="B17" s="29" t="n">
        <v>46127</v>
      </c>
      <c r="C17" s="26" t="inlineStr">
        <is>
          <t>12 Oak Street</t>
        </is>
      </c>
      <c r="D17" s="26" t="inlineStr">
        <is>
          <t>Property tax</t>
        </is>
      </c>
      <c r="E17" s="27" t="n">
        <v>2400</v>
      </c>
      <c r="F17" s="26" t="inlineStr">
        <is>
          <t>First half</t>
        </is>
      </c>
      <c r="G17" s="1" t="n"/>
    </row>
    <row r="18">
      <c r="A18" s="1" t="n"/>
      <c r="B18" s="29" t="n">
        <v>46134</v>
      </c>
      <c r="C18" s="26" t="inlineStr">
        <is>
          <t>8 River Road</t>
        </is>
      </c>
      <c r="D18" s="26" t="inlineStr">
        <is>
          <t>Maintenance</t>
        </is>
      </c>
      <c r="E18" s="27" t="n">
        <v>150</v>
      </c>
      <c r="F18" s="26" t="inlineStr">
        <is>
          <t>Gutter cleaning</t>
        </is>
      </c>
      <c r="G18" s="1" t="n"/>
    </row>
    <row r="19">
      <c r="A19" s="1" t="n"/>
      <c r="B19" s="29" t="n">
        <v>46147</v>
      </c>
      <c r="C19" s="26" t="inlineStr">
        <is>
          <t>12 Oak Street</t>
        </is>
      </c>
      <c r="D19" s="26" t="inlineStr">
        <is>
          <t>Mortgage interest</t>
        </is>
      </c>
      <c r="E19" s="27" t="n">
        <v>1100</v>
      </c>
      <c r="F19" s="26" t="inlineStr"/>
      <c r="G19" s="1" t="n"/>
    </row>
    <row r="20">
      <c r="A20" s="1" t="n"/>
      <c r="B20" s="29" t="n">
        <v>46147</v>
      </c>
      <c r="C20" s="26" t="inlineStr">
        <is>
          <t>8 River Road</t>
        </is>
      </c>
      <c r="D20" s="26" t="inlineStr">
        <is>
          <t>Mortgage interest</t>
        </is>
      </c>
      <c r="E20" s="27" t="n">
        <v>650</v>
      </c>
      <c r="F20" s="26" t="inlineStr"/>
      <c r="G20" s="1" t="n"/>
    </row>
    <row r="21">
      <c r="A21" s="1" t="n"/>
      <c r="B21" s="29" t="n">
        <v>46157</v>
      </c>
      <c r="C21" s="26" t="inlineStr">
        <is>
          <t>8 River Road</t>
        </is>
      </c>
      <c r="D21" s="26" t="inlineStr">
        <is>
          <t>Property tax</t>
        </is>
      </c>
      <c r="E21" s="27" t="n">
        <v>1600</v>
      </c>
      <c r="F21" s="26" t="inlineStr">
        <is>
          <t>Yearly</t>
        </is>
      </c>
      <c r="G21" s="1" t="n"/>
    </row>
    <row r="22">
      <c r="A22" s="1" t="n"/>
      <c r="B22" s="29" t="n">
        <v>46178</v>
      </c>
      <c r="C22" s="26" t="inlineStr">
        <is>
          <t>12 Oak Street</t>
        </is>
      </c>
      <c r="D22" s="26" t="inlineStr">
        <is>
          <t>Mortgage interest</t>
        </is>
      </c>
      <c r="E22" s="27" t="n">
        <v>1100</v>
      </c>
      <c r="F22" s="26" t="inlineStr"/>
      <c r="G22" s="1" t="n"/>
    </row>
    <row r="23">
      <c r="A23" s="1" t="n"/>
      <c r="B23" s="29" t="n">
        <v>46178</v>
      </c>
      <c r="C23" s="26" t="inlineStr">
        <is>
          <t>8 River Road</t>
        </is>
      </c>
      <c r="D23" s="26" t="inlineStr">
        <is>
          <t>Mortgage interest</t>
        </is>
      </c>
      <c r="E23" s="27" t="n">
        <v>650</v>
      </c>
      <c r="F23" s="26" t="inlineStr"/>
      <c r="G23" s="1" t="n"/>
    </row>
    <row r="24">
      <c r="A24" s="1" t="n"/>
      <c r="B24" s="29" t="n">
        <v>46208</v>
      </c>
      <c r="C24" s="26" t="inlineStr">
        <is>
          <t>12 Oak Street</t>
        </is>
      </c>
      <c r="D24" s="26" t="inlineStr">
        <is>
          <t>Mortgage interest</t>
        </is>
      </c>
      <c r="E24" s="27" t="n">
        <v>1100</v>
      </c>
      <c r="F24" s="26" t="inlineStr"/>
      <c r="G24" s="1" t="n"/>
    </row>
    <row r="25">
      <c r="A25" s="1" t="n"/>
      <c r="B25" s="29" t="n">
        <v>46208</v>
      </c>
      <c r="C25" s="26" t="inlineStr">
        <is>
          <t>8 River Road</t>
        </is>
      </c>
      <c r="D25" s="26" t="inlineStr">
        <is>
          <t>Mortgage interest</t>
        </is>
      </c>
      <c r="E25" s="27" t="n">
        <v>650</v>
      </c>
      <c r="F25" s="26" t="inlineStr"/>
      <c r="G25" s="1" t="n"/>
    </row>
    <row r="26">
      <c r="A26" s="1" t="n"/>
      <c r="B26" s="29" t="n">
        <v>46239</v>
      </c>
      <c r="C26" s="26" t="inlineStr">
        <is>
          <t>12 Oak Street</t>
        </is>
      </c>
      <c r="D26" s="26" t="inlineStr">
        <is>
          <t>Mortgage interest</t>
        </is>
      </c>
      <c r="E26" s="27" t="n">
        <v>1100</v>
      </c>
      <c r="F26" s="26" t="inlineStr"/>
      <c r="G26" s="1" t="n"/>
    </row>
    <row r="27">
      <c r="A27" s="1" t="n"/>
      <c r="B27" s="29" t="n">
        <v>46239</v>
      </c>
      <c r="C27" s="26" t="inlineStr">
        <is>
          <t>8 River Road</t>
        </is>
      </c>
      <c r="D27" s="26" t="inlineStr">
        <is>
          <t>Mortgage interest</t>
        </is>
      </c>
      <c r="E27" s="27" t="n">
        <v>650</v>
      </c>
      <c r="F27" s="26" t="inlineStr"/>
      <c r="G27" s="1" t="n"/>
    </row>
    <row r="28">
      <c r="A28" s="1" t="n"/>
      <c r="B28" s="29" t="n">
        <v>46252</v>
      </c>
      <c r="C28" s="26" t="inlineStr">
        <is>
          <t>12 Oak Street</t>
        </is>
      </c>
      <c r="D28" s="26" t="inlineStr">
        <is>
          <t>Repairs</t>
        </is>
      </c>
      <c r="E28" s="27" t="n">
        <v>650</v>
      </c>
      <c r="F28" s="26" t="inlineStr">
        <is>
          <t>Paint apt 3 between tenants</t>
        </is>
      </c>
      <c r="G28" s="1" t="n"/>
    </row>
    <row r="29">
      <c r="A29" s="1" t="n"/>
      <c r="B29" s="29" t="n">
        <v>46263</v>
      </c>
      <c r="C29" s="26" t="inlineStr">
        <is>
          <t>12 Oak Street</t>
        </is>
      </c>
      <c r="D29" s="26" t="inlineStr">
        <is>
          <t>Legal and accounting</t>
        </is>
      </c>
      <c r="E29" s="27" t="n">
        <v>120</v>
      </c>
      <c r="F29" s="26" t="inlineStr">
        <is>
          <t>New lease template</t>
        </is>
      </c>
      <c r="G29" s="1" t="n"/>
    </row>
    <row r="30">
      <c r="A30" s="1" t="n"/>
      <c r="B30" s="29" t="n">
        <v>46270</v>
      </c>
      <c r="C30" s="26" t="inlineStr">
        <is>
          <t>12 Oak Street</t>
        </is>
      </c>
      <c r="D30" s="26" t="inlineStr">
        <is>
          <t>Mortgage interest</t>
        </is>
      </c>
      <c r="E30" s="27" t="n">
        <v>1100</v>
      </c>
      <c r="F30" s="26" t="inlineStr"/>
      <c r="G30" s="1" t="n"/>
    </row>
    <row r="31">
      <c r="A31" s="1" t="n"/>
      <c r="B31" s="29" t="n">
        <v>46270</v>
      </c>
      <c r="C31" s="26" t="inlineStr">
        <is>
          <t>8 River Road</t>
        </is>
      </c>
      <c r="D31" s="26" t="inlineStr">
        <is>
          <t>Mortgage interest</t>
        </is>
      </c>
      <c r="E31" s="27" t="n">
        <v>650</v>
      </c>
      <c r="F31" s="26" t="inlineStr"/>
      <c r="G31" s="1" t="n"/>
    </row>
    <row r="32">
      <c r="A32" s="1" t="n"/>
      <c r="B32" s="29" t="n"/>
      <c r="C32" s="26" t="n"/>
      <c r="D32" s="26" t="n"/>
      <c r="E32" s="27" t="n"/>
      <c r="F32" s="26" t="n"/>
      <c r="G32" s="1" t="n"/>
    </row>
    <row r="33">
      <c r="A33" s="1" t="n"/>
      <c r="B33" s="29" t="n"/>
      <c r="C33" s="26" t="n"/>
      <c r="D33" s="26" t="n"/>
      <c r="E33" s="27" t="n"/>
      <c r="F33" s="26" t="n"/>
      <c r="G33" s="1" t="n"/>
    </row>
    <row r="34">
      <c r="A34" s="1" t="n"/>
      <c r="B34" s="29" t="n"/>
      <c r="C34" s="26" t="n"/>
      <c r="D34" s="26" t="n"/>
      <c r="E34" s="27" t="n"/>
      <c r="F34" s="26" t="n"/>
      <c r="G34" s="1" t="n"/>
    </row>
    <row r="35">
      <c r="A35" s="1" t="n"/>
      <c r="B35" s="29" t="n"/>
      <c r="C35" s="26" t="n"/>
      <c r="D35" s="26" t="n"/>
      <c r="E35" s="27" t="n"/>
      <c r="F35" s="26" t="n"/>
      <c r="G35" s="1" t="n"/>
    </row>
    <row r="36">
      <c r="A36" s="1" t="n"/>
      <c r="B36" s="29" t="n"/>
      <c r="C36" s="26" t="n"/>
      <c r="D36" s="26" t="n"/>
      <c r="E36" s="27" t="n"/>
      <c r="F36" s="26" t="n"/>
      <c r="G36" s="1" t="n"/>
    </row>
    <row r="37">
      <c r="A37" s="1" t="n"/>
      <c r="B37" s="29" t="n"/>
      <c r="C37" s="26" t="n"/>
      <c r="D37" s="26" t="n"/>
      <c r="E37" s="27" t="n"/>
      <c r="F37" s="26" t="n"/>
      <c r="G37" s="1" t="n"/>
    </row>
    <row r="38">
      <c r="A38" s="1" t="n"/>
      <c r="B38" s="29" t="n"/>
      <c r="C38" s="26" t="n"/>
      <c r="D38" s="26" t="n"/>
      <c r="E38" s="27" t="n"/>
      <c r="F38" s="26" t="n"/>
      <c r="G38" s="1" t="n"/>
    </row>
    <row r="39">
      <c r="A39" s="1" t="n"/>
      <c r="B39" s="29" t="n"/>
      <c r="C39" s="26" t="n"/>
      <c r="D39" s="26" t="n"/>
      <c r="E39" s="27" t="n"/>
      <c r="F39" s="26" t="n"/>
      <c r="G39" s="1" t="n"/>
    </row>
    <row r="40">
      <c r="A40" s="1" t="n"/>
      <c r="B40" s="29" t="n"/>
      <c r="C40" s="26" t="n"/>
      <c r="D40" s="26" t="n"/>
      <c r="E40" s="27" t="n"/>
      <c r="F40" s="26" t="n"/>
      <c r="G40" s="1" t="n"/>
    </row>
    <row r="41">
      <c r="A41" s="1" t="n"/>
      <c r="B41" s="29" t="n"/>
      <c r="C41" s="26" t="n"/>
      <c r="D41" s="26" t="n"/>
      <c r="E41" s="27" t="n"/>
      <c r="F41" s="26" t="n"/>
      <c r="G41" s="1" t="n"/>
    </row>
    <row r="42">
      <c r="A42" s="1" t="n"/>
      <c r="B42" s="29" t="n"/>
      <c r="C42" s="26" t="n"/>
      <c r="D42" s="26" t="n"/>
      <c r="E42" s="27" t="n"/>
      <c r="F42" s="26" t="n"/>
      <c r="G42" s="1" t="n"/>
    </row>
    <row r="43">
      <c r="A43" s="1" t="n"/>
      <c r="B43" s="29" t="n"/>
      <c r="C43" s="26" t="n"/>
      <c r="D43" s="26" t="n"/>
      <c r="E43" s="27" t="n"/>
      <c r="F43" s="26" t="n"/>
      <c r="G43" s="1" t="n"/>
    </row>
    <row r="44">
      <c r="A44" s="1" t="n"/>
      <c r="B44" s="29" t="n"/>
      <c r="C44" s="26" t="n"/>
      <c r="D44" s="26" t="n"/>
      <c r="E44" s="27" t="n"/>
      <c r="F44" s="26" t="n"/>
      <c r="G44" s="1" t="n"/>
    </row>
    <row r="45">
      <c r="A45" s="1" t="n"/>
      <c r="B45" s="29" t="n"/>
      <c r="C45" s="26" t="n"/>
      <c r="D45" s="26" t="n"/>
      <c r="E45" s="27" t="n"/>
      <c r="F45" s="26" t="n"/>
      <c r="G45" s="1" t="n"/>
    </row>
    <row r="46">
      <c r="A46" s="1" t="n"/>
      <c r="B46" s="29" t="n"/>
      <c r="C46" s="26" t="n"/>
      <c r="D46" s="26" t="n"/>
      <c r="E46" s="27" t="n"/>
      <c r="F46" s="26" t="n"/>
      <c r="G46" s="1" t="n"/>
    </row>
    <row r="47">
      <c r="A47" s="1" t="n"/>
      <c r="B47" s="29" t="n"/>
      <c r="C47" s="26" t="n"/>
      <c r="D47" s="26" t="n"/>
      <c r="E47" s="27" t="n"/>
      <c r="F47" s="26" t="n"/>
      <c r="G47" s="1" t="n"/>
    </row>
    <row r="48">
      <c r="A48" s="1" t="n"/>
      <c r="B48" s="29" t="n"/>
      <c r="C48" s="26" t="n"/>
      <c r="D48" s="26" t="n"/>
      <c r="E48" s="27" t="n"/>
      <c r="F48" s="26" t="n"/>
      <c r="G48" s="1" t="n"/>
    </row>
    <row r="49">
      <c r="A49" s="1" t="n"/>
      <c r="B49" s="29" t="n"/>
      <c r="C49" s="26" t="n"/>
      <c r="D49" s="26" t="n"/>
      <c r="E49" s="27" t="n"/>
      <c r="F49" s="26" t="n"/>
      <c r="G49" s="1" t="n"/>
    </row>
    <row r="50">
      <c r="A50" s="1" t="n"/>
      <c r="B50" s="29" t="n"/>
      <c r="C50" s="26" t="n"/>
      <c r="D50" s="26" t="n"/>
      <c r="E50" s="27" t="n"/>
      <c r="F50" s="26" t="n"/>
      <c r="G50" s="1" t="n"/>
    </row>
    <row r="51">
      <c r="A51" s="1" t="n"/>
      <c r="B51" s="29" t="n"/>
      <c r="C51" s="26" t="n"/>
      <c r="D51" s="26" t="n"/>
      <c r="E51" s="27" t="n"/>
      <c r="F51" s="26" t="n"/>
      <c r="G51" s="1" t="n"/>
    </row>
    <row r="52">
      <c r="A52" s="1" t="n"/>
      <c r="B52" s="29" t="n"/>
      <c r="C52" s="26" t="n"/>
      <c r="D52" s="26" t="n"/>
      <c r="E52" s="27" t="n"/>
      <c r="F52" s="26" t="n"/>
      <c r="G52" s="1" t="n"/>
    </row>
    <row r="53">
      <c r="A53" s="1" t="n"/>
      <c r="B53" s="29" t="n"/>
      <c r="C53" s="26" t="n"/>
      <c r="D53" s="26" t="n"/>
      <c r="E53" s="27" t="n"/>
      <c r="F53" s="26" t="n"/>
      <c r="G53" s="1" t="n"/>
    </row>
    <row r="54">
      <c r="A54" s="1" t="n"/>
      <c r="B54" s="29" t="n"/>
      <c r="C54" s="26" t="n"/>
      <c r="D54" s="26" t="n"/>
      <c r="E54" s="27" t="n"/>
      <c r="F54" s="26" t="n"/>
      <c r="G54" s="1" t="n"/>
    </row>
    <row r="55">
      <c r="A55" s="1" t="n"/>
      <c r="B55" s="29" t="n"/>
      <c r="C55" s="26" t="n"/>
      <c r="D55" s="26" t="n"/>
      <c r="E55" s="27" t="n"/>
      <c r="F55" s="26" t="n"/>
      <c r="G55" s="1" t="n"/>
    </row>
    <row r="56">
      <c r="A56" s="1" t="n"/>
      <c r="B56" s="29" t="n"/>
      <c r="C56" s="26" t="n"/>
      <c r="D56" s="26" t="n"/>
      <c r="E56" s="27" t="n"/>
      <c r="F56" s="26" t="n"/>
      <c r="G56" s="1" t="n"/>
    </row>
    <row r="57">
      <c r="A57" s="1" t="n"/>
      <c r="B57" s="29" t="n"/>
      <c r="C57" s="26" t="n"/>
      <c r="D57" s="26" t="n"/>
      <c r="E57" s="27" t="n"/>
      <c r="F57" s="26" t="n"/>
      <c r="G57" s="1" t="n"/>
    </row>
    <row r="58">
      <c r="A58" s="1" t="n"/>
      <c r="B58" s="29" t="n"/>
      <c r="C58" s="26" t="n"/>
      <c r="D58" s="26" t="n"/>
      <c r="E58" s="27" t="n"/>
      <c r="F58" s="26" t="n"/>
      <c r="G58" s="1" t="n"/>
    </row>
    <row r="59">
      <c r="A59" s="1" t="n"/>
      <c r="B59" s="29" t="n"/>
      <c r="C59" s="26" t="n"/>
      <c r="D59" s="26" t="n"/>
      <c r="E59" s="27" t="n"/>
      <c r="F59" s="26" t="n"/>
      <c r="G59" s="1" t="n"/>
    </row>
    <row r="60">
      <c r="A60" s="1" t="n"/>
      <c r="B60" s="29" t="n"/>
      <c r="C60" s="26" t="n"/>
      <c r="D60" s="26" t="n"/>
      <c r="E60" s="27" t="n"/>
      <c r="F60" s="26" t="n"/>
      <c r="G60" s="1" t="n"/>
    </row>
    <row r="61">
      <c r="A61" s="1" t="n"/>
      <c r="B61" s="29" t="n"/>
      <c r="C61" s="26" t="n"/>
      <c r="D61" s="26" t="n"/>
      <c r="E61" s="27" t="n"/>
      <c r="F61" s="26" t="n"/>
      <c r="G61" s="1" t="n"/>
    </row>
    <row r="62">
      <c r="A62" s="1" t="n"/>
      <c r="B62" s="29" t="n"/>
      <c r="C62" s="26" t="n"/>
      <c r="D62" s="26" t="n"/>
      <c r="E62" s="27" t="n"/>
      <c r="F62" s="26" t="n"/>
      <c r="G62" s="1" t="n"/>
    </row>
    <row r="63">
      <c r="A63" s="1" t="n"/>
      <c r="B63" s="29" t="n"/>
      <c r="C63" s="26" t="n"/>
      <c r="D63" s="26" t="n"/>
      <c r="E63" s="27" t="n"/>
      <c r="F63" s="26" t="n"/>
      <c r="G63" s="1" t="n"/>
    </row>
    <row r="64">
      <c r="A64" s="1" t="n"/>
      <c r="B64" s="29" t="n"/>
      <c r="C64" s="26" t="n"/>
      <c r="D64" s="26" t="n"/>
      <c r="E64" s="27" t="n"/>
      <c r="F64" s="26" t="n"/>
      <c r="G64" s="1" t="n"/>
    </row>
    <row r="65">
      <c r="A65" s="1" t="n"/>
      <c r="B65" s="29" t="n"/>
      <c r="C65" s="26" t="n"/>
      <c r="D65" s="26" t="n"/>
      <c r="E65" s="27" t="n"/>
      <c r="F65" s="26" t="n"/>
      <c r="G65" s="1" t="n"/>
    </row>
    <row r="66">
      <c r="A66" s="1" t="n"/>
      <c r="B66" s="29" t="n"/>
      <c r="C66" s="26" t="n"/>
      <c r="D66" s="26" t="n"/>
      <c r="E66" s="27" t="n"/>
      <c r="F66" s="26" t="n"/>
      <c r="G66" s="1" t="n"/>
    </row>
    <row r="67">
      <c r="A67" s="1" t="n"/>
      <c r="B67" s="29" t="n"/>
      <c r="C67" s="26" t="n"/>
      <c r="D67" s="26" t="n"/>
      <c r="E67" s="27" t="n"/>
      <c r="F67" s="26" t="n"/>
      <c r="G67" s="1" t="n"/>
    </row>
    <row r="68">
      <c r="A68" s="1" t="n"/>
      <c r="B68" s="29" t="n"/>
      <c r="C68" s="26" t="n"/>
      <c r="D68" s="26" t="n"/>
      <c r="E68" s="27" t="n"/>
      <c r="F68" s="26" t="n"/>
      <c r="G68" s="1" t="n"/>
    </row>
    <row r="69">
      <c r="A69" s="1" t="n"/>
      <c r="B69" s="29" t="n"/>
      <c r="C69" s="26" t="n"/>
      <c r="D69" s="26" t="n"/>
      <c r="E69" s="27" t="n"/>
      <c r="F69" s="26" t="n"/>
      <c r="G69" s="1" t="n"/>
    </row>
    <row r="70">
      <c r="A70" s="1" t="n"/>
      <c r="B70" s="29" t="n"/>
      <c r="C70" s="26" t="n"/>
      <c r="D70" s="26" t="n"/>
      <c r="E70" s="27" t="n"/>
      <c r="F70" s="26" t="n"/>
      <c r="G70" s="1" t="n"/>
    </row>
    <row r="71">
      <c r="A71" s="1" t="n"/>
      <c r="B71" s="29" t="n"/>
      <c r="C71" s="26" t="n"/>
      <c r="D71" s="26" t="n"/>
      <c r="E71" s="27" t="n"/>
      <c r="F71" s="26" t="n"/>
      <c r="G71" s="1" t="n"/>
    </row>
    <row r="72">
      <c r="A72" s="1" t="n"/>
      <c r="B72" s="29" t="n"/>
      <c r="C72" s="26" t="n"/>
      <c r="D72" s="26" t="n"/>
      <c r="E72" s="27" t="n"/>
      <c r="F72" s="26" t="n"/>
      <c r="G72" s="1" t="n"/>
    </row>
    <row r="73">
      <c r="A73" s="1" t="n"/>
      <c r="B73" s="29" t="n"/>
      <c r="C73" s="26" t="n"/>
      <c r="D73" s="26" t="n"/>
      <c r="E73" s="27" t="n"/>
      <c r="F73" s="26" t="n"/>
      <c r="G73" s="1" t="n"/>
    </row>
    <row r="74">
      <c r="A74" s="1" t="n"/>
      <c r="B74" s="29" t="n"/>
      <c r="C74" s="26" t="n"/>
      <c r="D74" s="26" t="n"/>
      <c r="E74" s="27" t="n"/>
      <c r="F74" s="26" t="n"/>
      <c r="G74" s="1" t="n"/>
    </row>
    <row r="75">
      <c r="A75" s="1" t="n"/>
      <c r="B75" s="29" t="n"/>
      <c r="C75" s="26" t="n"/>
      <c r="D75" s="26" t="n"/>
      <c r="E75" s="27" t="n"/>
      <c r="F75" s="26" t="n"/>
      <c r="G75" s="1" t="n"/>
    </row>
    <row r="76">
      <c r="A76" s="1" t="n"/>
      <c r="B76" s="29" t="n"/>
      <c r="C76" s="26" t="n"/>
      <c r="D76" s="26" t="n"/>
      <c r="E76" s="27" t="n"/>
      <c r="F76" s="26" t="n"/>
      <c r="G76" s="1" t="n"/>
    </row>
    <row r="77">
      <c r="A77" s="1" t="n"/>
      <c r="B77" s="29" t="n"/>
      <c r="C77" s="26" t="n"/>
      <c r="D77" s="26" t="n"/>
      <c r="E77" s="27" t="n"/>
      <c r="F77" s="26" t="n"/>
      <c r="G77" s="1" t="n"/>
    </row>
    <row r="78">
      <c r="A78" s="1" t="n"/>
      <c r="B78" s="29" t="n"/>
      <c r="C78" s="26" t="n"/>
      <c r="D78" s="26" t="n"/>
      <c r="E78" s="27" t="n"/>
      <c r="F78" s="26" t="n"/>
      <c r="G78" s="1" t="n"/>
    </row>
    <row r="79">
      <c r="A79" s="1" t="n"/>
      <c r="B79" s="29" t="n"/>
      <c r="C79" s="26" t="n"/>
      <c r="D79" s="26" t="n"/>
      <c r="E79" s="27" t="n"/>
      <c r="F79" s="26" t="n"/>
      <c r="G79" s="1" t="n"/>
    </row>
    <row r="80">
      <c r="A80" s="1" t="n"/>
      <c r="B80" s="29" t="n"/>
      <c r="C80" s="26" t="n"/>
      <c r="D80" s="26" t="n"/>
      <c r="E80" s="27" t="n"/>
      <c r="F80" s="26" t="n"/>
      <c r="G80" s="1" t="n"/>
    </row>
    <row r="81">
      <c r="A81" s="1" t="n"/>
      <c r="B81" s="29" t="n"/>
      <c r="C81" s="26" t="n"/>
      <c r="D81" s="26" t="n"/>
      <c r="E81" s="27" t="n"/>
      <c r="F81" s="26" t="n"/>
      <c r="G81" s="1" t="n"/>
    </row>
    <row r="82">
      <c r="A82" s="1" t="n"/>
      <c r="B82" s="29" t="n"/>
      <c r="C82" s="26" t="n"/>
      <c r="D82" s="26" t="n"/>
      <c r="E82" s="27" t="n"/>
      <c r="F82" s="26" t="n"/>
      <c r="G82" s="1" t="n"/>
    </row>
    <row r="83">
      <c r="A83" s="1" t="n"/>
      <c r="B83" s="29" t="n"/>
      <c r="C83" s="26" t="n"/>
      <c r="D83" s="26" t="n"/>
      <c r="E83" s="27" t="n"/>
      <c r="F83" s="26" t="n"/>
      <c r="G83" s="1" t="n"/>
    </row>
    <row r="84">
      <c r="A84" s="1" t="n"/>
      <c r="B84" s="29" t="n"/>
      <c r="C84" s="26" t="n"/>
      <c r="D84" s="26" t="n"/>
      <c r="E84" s="27" t="n"/>
      <c r="F84" s="26" t="n"/>
      <c r="G84" s="1" t="n"/>
    </row>
    <row r="85">
      <c r="A85" s="1" t="n"/>
      <c r="B85" s="29" t="n"/>
      <c r="C85" s="26" t="n"/>
      <c r="D85" s="26" t="n"/>
      <c r="E85" s="27" t="n"/>
      <c r="F85" s="26" t="n"/>
      <c r="G85" s="1" t="n"/>
    </row>
    <row r="86">
      <c r="A86" s="1" t="n"/>
      <c r="B86" s="29" t="n"/>
      <c r="C86" s="26" t="n"/>
      <c r="D86" s="26" t="n"/>
      <c r="E86" s="27" t="n"/>
      <c r="F86" s="26" t="n"/>
      <c r="G86" s="1" t="n"/>
    </row>
    <row r="87">
      <c r="A87" s="1" t="n"/>
      <c r="B87" s="29" t="n"/>
      <c r="C87" s="26" t="n"/>
      <c r="D87" s="26" t="n"/>
      <c r="E87" s="27" t="n"/>
      <c r="F87" s="26" t="n"/>
      <c r="G87" s="1" t="n"/>
    </row>
    <row r="88">
      <c r="A88" s="1" t="n"/>
      <c r="B88" s="29" t="n"/>
      <c r="C88" s="26" t="n"/>
      <c r="D88" s="26" t="n"/>
      <c r="E88" s="27" t="n"/>
      <c r="F88" s="26" t="n"/>
      <c r="G88" s="1" t="n"/>
    </row>
    <row r="89">
      <c r="A89" s="1" t="n"/>
      <c r="B89" s="29" t="n"/>
      <c r="C89" s="26" t="n"/>
      <c r="D89" s="26" t="n"/>
      <c r="E89" s="27" t="n"/>
      <c r="F89" s="26" t="n"/>
      <c r="G89" s="1" t="n"/>
    </row>
    <row r="90">
      <c r="A90" s="1" t="n"/>
      <c r="B90" s="29" t="n"/>
      <c r="C90" s="26" t="n"/>
      <c r="D90" s="26" t="n"/>
      <c r="E90" s="27" t="n"/>
      <c r="F90" s="26" t="n"/>
      <c r="G90" s="1" t="n"/>
    </row>
    <row r="91">
      <c r="A91" s="1" t="n"/>
      <c r="B91" s="29" t="n"/>
      <c r="C91" s="26" t="n"/>
      <c r="D91" s="26" t="n"/>
      <c r="E91" s="27" t="n"/>
      <c r="F91" s="26" t="n"/>
      <c r="G91" s="1" t="n"/>
    </row>
    <row r="92">
      <c r="A92" s="1" t="n"/>
      <c r="B92" s="29" t="n"/>
      <c r="C92" s="26" t="n"/>
      <c r="D92" s="26" t="n"/>
      <c r="E92" s="27" t="n"/>
      <c r="F92" s="26" t="n"/>
      <c r="G92" s="1" t="n"/>
    </row>
    <row r="93">
      <c r="A93" s="1" t="n"/>
      <c r="B93" s="29" t="n"/>
      <c r="C93" s="26" t="n"/>
      <c r="D93" s="26" t="n"/>
      <c r="E93" s="27" t="n"/>
      <c r="F93" s="26" t="n"/>
      <c r="G93" s="1" t="n"/>
    </row>
    <row r="94">
      <c r="A94" s="1" t="n"/>
      <c r="B94" s="29" t="n"/>
      <c r="C94" s="26" t="n"/>
      <c r="D94" s="26" t="n"/>
      <c r="E94" s="27" t="n"/>
      <c r="F94" s="26" t="n"/>
      <c r="G94" s="1" t="n"/>
    </row>
    <row r="95">
      <c r="A95" s="1" t="n"/>
      <c r="B95" s="29" t="n"/>
      <c r="C95" s="26" t="n"/>
      <c r="D95" s="26" t="n"/>
      <c r="E95" s="27" t="n"/>
      <c r="F95" s="26" t="n"/>
      <c r="G95" s="1" t="n"/>
    </row>
    <row r="96">
      <c r="A96" s="1" t="n"/>
      <c r="B96" s="29" t="n"/>
      <c r="C96" s="26" t="n"/>
      <c r="D96" s="26" t="n"/>
      <c r="E96" s="27" t="n"/>
      <c r="F96" s="26" t="n"/>
      <c r="G96" s="1" t="n"/>
    </row>
    <row r="97">
      <c r="A97" s="1" t="n"/>
      <c r="B97" s="29" t="n"/>
      <c r="C97" s="26" t="n"/>
      <c r="D97" s="26" t="n"/>
      <c r="E97" s="27" t="n"/>
      <c r="F97" s="26" t="n"/>
      <c r="G97" s="1" t="n"/>
    </row>
    <row r="98">
      <c r="A98" s="1" t="n"/>
      <c r="B98" s="29" t="n"/>
      <c r="C98" s="26" t="n"/>
      <c r="D98" s="26" t="n"/>
      <c r="E98" s="27" t="n"/>
      <c r="F98" s="26" t="n"/>
      <c r="G98" s="1" t="n"/>
    </row>
    <row r="99">
      <c r="A99" s="1" t="n"/>
      <c r="B99" s="29" t="n"/>
      <c r="C99" s="26" t="n"/>
      <c r="D99" s="26" t="n"/>
      <c r="E99" s="27" t="n"/>
      <c r="F99" s="26" t="n"/>
      <c r="G99" s="1" t="n"/>
    </row>
    <row r="100">
      <c r="A100" s="1" t="n"/>
      <c r="B100" s="29" t="n"/>
      <c r="C100" s="26" t="n"/>
      <c r="D100" s="26" t="n"/>
      <c r="E100" s="27" t="n"/>
      <c r="F100" s="26" t="n"/>
      <c r="G100" s="1" t="n"/>
    </row>
    <row r="101">
      <c r="A101" s="1" t="n"/>
      <c r="B101" s="29" t="n"/>
      <c r="C101" s="26" t="n"/>
      <c r="D101" s="26" t="n"/>
      <c r="E101" s="27" t="n"/>
      <c r="F101" s="26" t="n"/>
      <c r="G101" s="1" t="n"/>
    </row>
    <row r="102">
      <c r="A102" s="1" t="n"/>
      <c r="B102" s="29" t="n"/>
      <c r="C102" s="26" t="n"/>
      <c r="D102" s="26" t="n"/>
      <c r="E102" s="27" t="n"/>
      <c r="F102" s="26" t="n"/>
      <c r="G102" s="1" t="n"/>
    </row>
    <row r="103">
      <c r="A103" s="1" t="n"/>
      <c r="B103" s="29" t="n"/>
      <c r="C103" s="26" t="n"/>
      <c r="D103" s="26" t="n"/>
      <c r="E103" s="27" t="n"/>
      <c r="F103" s="26" t="n"/>
      <c r="G103" s="1" t="n"/>
    </row>
    <row r="104">
      <c r="A104" s="1" t="n"/>
      <c r="B104" s="29" t="n"/>
      <c r="C104" s="26" t="n"/>
      <c r="D104" s="26" t="n"/>
      <c r="E104" s="27" t="n"/>
      <c r="F104" s="26" t="n"/>
      <c r="G104" s="1" t="n"/>
    </row>
    <row r="105">
      <c r="A105" s="1" t="n"/>
      <c r="B105" s="29" t="n"/>
      <c r="C105" s="26" t="n"/>
      <c r="D105" s="26" t="n"/>
      <c r="E105" s="27" t="n"/>
      <c r="F105" s="26" t="n"/>
      <c r="G105" s="1" t="n"/>
    </row>
    <row r="106">
      <c r="A106" s="1" t="n"/>
      <c r="B106" s="29" t="n"/>
      <c r="C106" s="26" t="n"/>
      <c r="D106" s="26" t="n"/>
      <c r="E106" s="27" t="n"/>
      <c r="F106" s="26" t="n"/>
      <c r="G106" s="1" t="n"/>
    </row>
    <row r="107">
      <c r="A107" s="1" t="n"/>
      <c r="B107" s="29" t="n"/>
      <c r="C107" s="26" t="n"/>
      <c r="D107" s="26" t="n"/>
      <c r="E107" s="27" t="n"/>
      <c r="F107" s="26" t="n"/>
      <c r="G107" s="1" t="n"/>
    </row>
    <row r="108">
      <c r="A108" s="1" t="n"/>
      <c r="B108" s="29" t="n"/>
      <c r="C108" s="26" t="n"/>
      <c r="D108" s="26" t="n"/>
      <c r="E108" s="27" t="n"/>
      <c r="F108" s="26" t="n"/>
      <c r="G108" s="1" t="n"/>
    </row>
    <row r="109">
      <c r="A109" s="1" t="n"/>
      <c r="B109" s="29" t="n"/>
      <c r="C109" s="26" t="n"/>
      <c r="D109" s="26" t="n"/>
      <c r="E109" s="27" t="n"/>
      <c r="F109" s="26" t="n"/>
      <c r="G109" s="1" t="n"/>
    </row>
    <row r="110">
      <c r="A110" s="1" t="n"/>
      <c r="B110" s="29" t="n"/>
      <c r="C110" s="26" t="n"/>
      <c r="D110" s="26" t="n"/>
      <c r="E110" s="27" t="n"/>
      <c r="F110" s="26" t="n"/>
      <c r="G110" s="1" t="n"/>
    </row>
    <row r="111">
      <c r="A111" s="1" t="n"/>
      <c r="B111" s="29" t="n"/>
      <c r="C111" s="26" t="n"/>
      <c r="D111" s="26" t="n"/>
      <c r="E111" s="27" t="n"/>
      <c r="F111" s="26" t="n"/>
      <c r="G111" s="1" t="n"/>
    </row>
    <row r="112">
      <c r="A112" s="1" t="n"/>
      <c r="B112" s="29" t="n"/>
      <c r="C112" s="26" t="n"/>
      <c r="D112" s="26" t="n"/>
      <c r="E112" s="27" t="n"/>
      <c r="F112" s="26" t="n"/>
      <c r="G112" s="1" t="n"/>
    </row>
    <row r="113">
      <c r="A113" s="1" t="n"/>
      <c r="B113" s="29" t="n"/>
      <c r="C113" s="26" t="n"/>
      <c r="D113" s="26" t="n"/>
      <c r="E113" s="27" t="n"/>
      <c r="F113" s="26" t="n"/>
      <c r="G113" s="1" t="n"/>
    </row>
    <row r="114">
      <c r="A114" s="1" t="n"/>
      <c r="B114" s="29" t="n"/>
      <c r="C114" s="26" t="n"/>
      <c r="D114" s="26" t="n"/>
      <c r="E114" s="27" t="n"/>
      <c r="F114" s="26" t="n"/>
      <c r="G114" s="1" t="n"/>
    </row>
    <row r="115">
      <c r="A115" s="1" t="n"/>
      <c r="B115" s="29" t="n"/>
      <c r="C115" s="26" t="n"/>
      <c r="D115" s="26" t="n"/>
      <c r="E115" s="27" t="n"/>
      <c r="F115" s="26" t="n"/>
      <c r="G115" s="1" t="n"/>
    </row>
    <row r="116">
      <c r="A116" s="1" t="n"/>
      <c r="B116" s="29" t="n"/>
      <c r="C116" s="26" t="n"/>
      <c r="D116" s="26" t="n"/>
      <c r="E116" s="27" t="n"/>
      <c r="F116" s="26" t="n"/>
      <c r="G116" s="1" t="n"/>
    </row>
    <row r="117">
      <c r="A117" s="1" t="n"/>
      <c r="B117" s="29" t="n"/>
      <c r="C117" s="26" t="n"/>
      <c r="D117" s="26" t="n"/>
      <c r="E117" s="27" t="n"/>
      <c r="F117" s="26" t="n"/>
      <c r="G117" s="1" t="n"/>
    </row>
    <row r="118">
      <c r="A118" s="1" t="n"/>
      <c r="B118" s="29" t="n"/>
      <c r="C118" s="26" t="n"/>
      <c r="D118" s="26" t="n"/>
      <c r="E118" s="27" t="n"/>
      <c r="F118" s="26" t="n"/>
      <c r="G118" s="1" t="n"/>
    </row>
    <row r="119">
      <c r="A119" s="1" t="n"/>
      <c r="B119" s="29" t="n"/>
      <c r="C119" s="26" t="n"/>
      <c r="D119" s="26" t="n"/>
      <c r="E119" s="27" t="n"/>
      <c r="F119" s="26" t="n"/>
      <c r="G119" s="1" t="n"/>
    </row>
    <row r="120">
      <c r="A120" s="1" t="n"/>
      <c r="B120" s="29" t="n"/>
      <c r="C120" s="26" t="n"/>
      <c r="D120" s="26" t="n"/>
      <c r="E120" s="27" t="n"/>
      <c r="F120" s="26" t="n"/>
      <c r="G120" s="1" t="n"/>
    </row>
    <row r="121">
      <c r="A121" s="1" t="n"/>
      <c r="B121" s="29" t="n"/>
      <c r="C121" s="26" t="n"/>
      <c r="D121" s="26" t="n"/>
      <c r="E121" s="27" t="n"/>
      <c r="F121" s="26" t="n"/>
      <c r="G121" s="1" t="n"/>
    </row>
    <row r="122">
      <c r="A122" s="1" t="n"/>
      <c r="B122" s="29" t="n"/>
      <c r="C122" s="26" t="n"/>
      <c r="D122" s="26" t="n"/>
      <c r="E122" s="27" t="n"/>
      <c r="F122" s="26" t="n"/>
      <c r="G122" s="1" t="n"/>
    </row>
    <row r="123">
      <c r="A123" s="1" t="n"/>
      <c r="B123" s="29" t="n"/>
      <c r="C123" s="26" t="n"/>
      <c r="D123" s="26" t="n"/>
      <c r="E123" s="27" t="n"/>
      <c r="F123" s="26" t="n"/>
      <c r="G123" s="1" t="n"/>
    </row>
    <row r="124">
      <c r="A124" s="1" t="n"/>
      <c r="B124" s="29" t="n"/>
      <c r="C124" s="26" t="n"/>
      <c r="D124" s="26" t="n"/>
      <c r="E124" s="27" t="n"/>
      <c r="F124" s="26" t="n"/>
      <c r="G124" s="1" t="n"/>
    </row>
    <row r="125">
      <c r="A125" s="1" t="n"/>
      <c r="B125" s="29" t="n"/>
      <c r="C125" s="26" t="n"/>
      <c r="D125" s="26" t="n"/>
      <c r="E125" s="27" t="n"/>
      <c r="F125" s="26" t="n"/>
      <c r="G125" s="1" t="n"/>
    </row>
    <row r="126">
      <c r="A126" s="1" t="n"/>
      <c r="B126" s="29" t="n"/>
      <c r="C126" s="26" t="n"/>
      <c r="D126" s="26" t="n"/>
      <c r="E126" s="27" t="n"/>
      <c r="F126" s="26" t="n"/>
      <c r="G126" s="1" t="n"/>
    </row>
    <row r="127">
      <c r="A127" s="1" t="n"/>
      <c r="B127" s="29" t="n"/>
      <c r="C127" s="26" t="n"/>
      <c r="D127" s="26" t="n"/>
      <c r="E127" s="27" t="n"/>
      <c r="F127" s="26" t="n"/>
      <c r="G127" s="1" t="n"/>
    </row>
    <row r="128">
      <c r="A128" s="1" t="n"/>
      <c r="B128" s="29" t="n"/>
      <c r="C128" s="26" t="n"/>
      <c r="D128" s="26" t="n"/>
      <c r="E128" s="27" t="n"/>
      <c r="F128" s="26" t="n"/>
      <c r="G128" s="1" t="n"/>
    </row>
    <row r="129">
      <c r="A129" s="1" t="n"/>
      <c r="B129" s="29" t="n"/>
      <c r="C129" s="26" t="n"/>
      <c r="D129" s="26" t="n"/>
      <c r="E129" s="27" t="n"/>
      <c r="F129" s="26" t="n"/>
      <c r="G129" s="1" t="n"/>
    </row>
    <row r="130">
      <c r="A130" s="1" t="n"/>
      <c r="B130" s="29" t="n"/>
      <c r="C130" s="26" t="n"/>
      <c r="D130" s="26" t="n"/>
      <c r="E130" s="27" t="n"/>
      <c r="F130" s="26" t="n"/>
      <c r="G130" s="1" t="n"/>
    </row>
    <row r="131">
      <c r="A131" s="1" t="n"/>
      <c r="B131" s="29" t="n"/>
      <c r="C131" s="26" t="n"/>
      <c r="D131" s="26" t="n"/>
      <c r="E131" s="27" t="n"/>
      <c r="F131" s="26" t="n"/>
      <c r="G131" s="1" t="n"/>
    </row>
    <row r="132">
      <c r="A132" s="1" t="n"/>
      <c r="B132" s="29" t="n"/>
      <c r="C132" s="26" t="n"/>
      <c r="D132" s="26" t="n"/>
      <c r="E132" s="27" t="n"/>
      <c r="F132" s="26" t="n"/>
      <c r="G132" s="1" t="n"/>
    </row>
    <row r="133">
      <c r="A133" s="1" t="n"/>
      <c r="B133" s="29" t="n"/>
      <c r="C133" s="26" t="n"/>
      <c r="D133" s="26" t="n"/>
      <c r="E133" s="27" t="n"/>
      <c r="F133" s="26" t="n"/>
      <c r="G133" s="1" t="n"/>
    </row>
    <row r="134">
      <c r="A134" s="1" t="n"/>
      <c r="B134" s="29" t="n"/>
      <c r="C134" s="26" t="n"/>
      <c r="D134" s="26" t="n"/>
      <c r="E134" s="27" t="n"/>
      <c r="F134" s="26" t="n"/>
      <c r="G134" s="1" t="n"/>
    </row>
    <row r="135">
      <c r="A135" s="1" t="n"/>
      <c r="B135" s="29" t="n"/>
      <c r="C135" s="26" t="n"/>
      <c r="D135" s="26" t="n"/>
      <c r="E135" s="27" t="n"/>
      <c r="F135" s="26" t="n"/>
      <c r="G135" s="1" t="n"/>
    </row>
    <row r="136">
      <c r="A136" s="1" t="n"/>
      <c r="B136" s="29" t="n"/>
      <c r="C136" s="26" t="n"/>
      <c r="D136" s="26" t="n"/>
      <c r="E136" s="27" t="n"/>
      <c r="F136" s="26" t="n"/>
      <c r="G136" s="1" t="n"/>
    </row>
    <row r="137">
      <c r="A137" s="1" t="n"/>
      <c r="B137" s="29" t="n"/>
      <c r="C137" s="26" t="n"/>
      <c r="D137" s="26" t="n"/>
      <c r="E137" s="27" t="n"/>
      <c r="F137" s="26" t="n"/>
      <c r="G137" s="1" t="n"/>
    </row>
    <row r="138">
      <c r="A138" s="1" t="n"/>
      <c r="B138" s="29" t="n"/>
      <c r="C138" s="26" t="n"/>
      <c r="D138" s="26" t="n"/>
      <c r="E138" s="27" t="n"/>
      <c r="F138" s="26" t="n"/>
      <c r="G138" s="1" t="n"/>
    </row>
    <row r="139">
      <c r="A139" s="1" t="n"/>
      <c r="B139" s="29" t="n"/>
      <c r="C139" s="26" t="n"/>
      <c r="D139" s="26" t="n"/>
      <c r="E139" s="27" t="n"/>
      <c r="F139" s="26" t="n"/>
      <c r="G139" s="1" t="n"/>
    </row>
    <row r="140">
      <c r="A140" s="1" t="n"/>
      <c r="B140" s="29" t="n"/>
      <c r="C140" s="26" t="n"/>
      <c r="D140" s="26" t="n"/>
      <c r="E140" s="27" t="n"/>
      <c r="F140" s="26" t="n"/>
      <c r="G140" s="1" t="n"/>
    </row>
    <row r="141">
      <c r="A141" s="1" t="n"/>
      <c r="B141" s="29" t="n"/>
      <c r="C141" s="26" t="n"/>
      <c r="D141" s="26" t="n"/>
      <c r="E141" s="27" t="n"/>
      <c r="F141" s="26" t="n"/>
      <c r="G141" s="1" t="n"/>
    </row>
    <row r="142">
      <c r="A142" s="1" t="n"/>
      <c r="B142" s="29" t="n"/>
      <c r="C142" s="26" t="n"/>
      <c r="D142" s="26" t="n"/>
      <c r="E142" s="27" t="n"/>
      <c r="F142" s="26" t="n"/>
      <c r="G142" s="1" t="n"/>
    </row>
    <row r="143">
      <c r="A143" s="1" t="n"/>
      <c r="B143" s="29" t="n"/>
      <c r="C143" s="26" t="n"/>
      <c r="D143" s="26" t="n"/>
      <c r="E143" s="27" t="n"/>
      <c r="F143" s="26" t="n"/>
      <c r="G143" s="1" t="n"/>
    </row>
    <row r="144">
      <c r="A144" s="1" t="n"/>
      <c r="B144" s="29" t="n"/>
      <c r="C144" s="26" t="n"/>
      <c r="D144" s="26" t="n"/>
      <c r="E144" s="27" t="n"/>
      <c r="F144" s="26" t="n"/>
      <c r="G144" s="1" t="n"/>
    </row>
    <row r="145">
      <c r="A145" s="1" t="n"/>
      <c r="B145" s="29" t="n"/>
      <c r="C145" s="26" t="n"/>
      <c r="D145" s="26" t="n"/>
      <c r="E145" s="27" t="n"/>
      <c r="F145" s="26" t="n"/>
      <c r="G145" s="1" t="n"/>
    </row>
    <row r="146">
      <c r="A146" s="1" t="n"/>
      <c r="B146" s="29" t="n"/>
      <c r="C146" s="26" t="n"/>
      <c r="D146" s="26" t="n"/>
      <c r="E146" s="27" t="n"/>
      <c r="F146" s="26" t="n"/>
      <c r="G146" s="1" t="n"/>
    </row>
    <row r="147">
      <c r="A147" s="1" t="n"/>
      <c r="B147" s="29" t="n"/>
      <c r="C147" s="26" t="n"/>
      <c r="D147" s="26" t="n"/>
      <c r="E147" s="27" t="n"/>
      <c r="F147" s="26" t="n"/>
      <c r="G147" s="1" t="n"/>
    </row>
    <row r="148">
      <c r="A148" s="1" t="n"/>
      <c r="B148" s="29" t="n"/>
      <c r="C148" s="26" t="n"/>
      <c r="D148" s="26" t="n"/>
      <c r="E148" s="27" t="n"/>
      <c r="F148" s="26" t="n"/>
      <c r="G148" s="1" t="n"/>
    </row>
    <row r="149">
      <c r="A149" s="1" t="n"/>
      <c r="B149" s="29" t="n"/>
      <c r="C149" s="26" t="n"/>
      <c r="D149" s="26" t="n"/>
      <c r="E149" s="27" t="n"/>
      <c r="F149" s="26" t="n"/>
      <c r="G149" s="1" t="n"/>
    </row>
    <row r="150">
      <c r="A150" s="1" t="n"/>
      <c r="B150" s="29" t="n"/>
      <c r="C150" s="26" t="n"/>
      <c r="D150" s="26" t="n"/>
      <c r="E150" s="27" t="n"/>
      <c r="F150" s="26" t="n"/>
      <c r="G150" s="1" t="n"/>
    </row>
    <row r="151">
      <c r="A151" s="1" t="n"/>
      <c r="B151" s="29" t="n"/>
      <c r="C151" s="26" t="n"/>
      <c r="D151" s="26" t="n"/>
      <c r="E151" s="27" t="n"/>
      <c r="F151" s="26" t="n"/>
      <c r="G151" s="1" t="n"/>
    </row>
    <row r="152">
      <c r="A152" s="1" t="n"/>
      <c r="B152" s="29" t="n"/>
      <c r="C152" s="26" t="n"/>
      <c r="D152" s="26" t="n"/>
      <c r="E152" s="27" t="n"/>
      <c r="F152" s="26" t="n"/>
      <c r="G152" s="1" t="n"/>
    </row>
    <row r="153">
      <c r="A153" s="1" t="n"/>
      <c r="B153" s="29" t="n"/>
      <c r="C153" s="26" t="n"/>
      <c r="D153" s="26" t="n"/>
      <c r="E153" s="27" t="n"/>
      <c r="F153" s="26" t="n"/>
      <c r="G153" s="1" t="n"/>
    </row>
    <row r="154">
      <c r="A154" s="1" t="n"/>
      <c r="B154" s="29" t="n"/>
      <c r="C154" s="26" t="n"/>
      <c r="D154" s="26" t="n"/>
      <c r="E154" s="27" t="n"/>
      <c r="F154" s="26" t="n"/>
      <c r="G154" s="1" t="n"/>
    </row>
    <row r="155">
      <c r="A155" s="1" t="n"/>
      <c r="B155" s="29" t="n"/>
      <c r="C155" s="26" t="n"/>
      <c r="D155" s="26" t="n"/>
      <c r="E155" s="27" t="n"/>
      <c r="F155" s="26" t="n"/>
      <c r="G155" s="1" t="n"/>
    </row>
    <row r="156">
      <c r="A156" s="1" t="n"/>
      <c r="B156" s="29" t="n"/>
      <c r="C156" s="26" t="n"/>
      <c r="D156" s="26" t="n"/>
      <c r="E156" s="27" t="n"/>
      <c r="F156" s="26" t="n"/>
      <c r="G156" s="1" t="n"/>
    </row>
    <row r="157">
      <c r="A157" s="1" t="n"/>
      <c r="B157" s="29" t="n"/>
      <c r="C157" s="26" t="n"/>
      <c r="D157" s="26" t="n"/>
      <c r="E157" s="27" t="n"/>
      <c r="F157" s="26" t="n"/>
      <c r="G157" s="1" t="n"/>
    </row>
    <row r="158">
      <c r="A158" s="1" t="n"/>
      <c r="B158" s="29" t="n"/>
      <c r="C158" s="26" t="n"/>
      <c r="D158" s="26" t="n"/>
      <c r="E158" s="27" t="n"/>
      <c r="F158" s="26" t="n"/>
      <c r="G158" s="1" t="n"/>
    </row>
    <row r="159">
      <c r="A159" s="1" t="n"/>
      <c r="B159" s="29" t="n"/>
      <c r="C159" s="26" t="n"/>
      <c r="D159" s="26" t="n"/>
      <c r="E159" s="27" t="n"/>
      <c r="F159" s="26" t="n"/>
      <c r="G159" s="1" t="n"/>
    </row>
    <row r="160">
      <c r="A160" s="1" t="n"/>
      <c r="B160" s="29" t="n"/>
      <c r="C160" s="26" t="n"/>
      <c r="D160" s="26" t="n"/>
      <c r="E160" s="27" t="n"/>
      <c r="F160" s="26" t="n"/>
      <c r="G160" s="1" t="n"/>
    </row>
    <row r="161">
      <c r="A161" s="1" t="n"/>
      <c r="B161" s="29" t="n"/>
      <c r="C161" s="26" t="n"/>
      <c r="D161" s="26" t="n"/>
      <c r="E161" s="27" t="n"/>
      <c r="F161" s="26" t="n"/>
      <c r="G161" s="1" t="n"/>
    </row>
    <row r="162">
      <c r="A162" s="1" t="n"/>
      <c r="B162" s="29" t="n"/>
      <c r="C162" s="26" t="n"/>
      <c r="D162" s="26" t="n"/>
      <c r="E162" s="27" t="n"/>
      <c r="F162" s="26" t="n"/>
      <c r="G162" s="1" t="n"/>
    </row>
    <row r="163">
      <c r="A163" s="1" t="n"/>
      <c r="B163" s="29" t="n"/>
      <c r="C163" s="26" t="n"/>
      <c r="D163" s="26" t="n"/>
      <c r="E163" s="27" t="n"/>
      <c r="F163" s="26" t="n"/>
      <c r="G163" s="1" t="n"/>
    </row>
    <row r="164">
      <c r="A164" s="1" t="n"/>
      <c r="B164" s="29" t="n"/>
      <c r="C164" s="26" t="n"/>
      <c r="D164" s="26" t="n"/>
      <c r="E164" s="27" t="n"/>
      <c r="F164" s="26" t="n"/>
      <c r="G164" s="1" t="n"/>
    </row>
    <row r="165">
      <c r="A165" s="1" t="n"/>
      <c r="B165" s="29" t="n"/>
      <c r="C165" s="26" t="n"/>
      <c r="D165" s="26" t="n"/>
      <c r="E165" s="27" t="n"/>
      <c r="F165" s="26" t="n"/>
      <c r="G165" s="1" t="n"/>
    </row>
    <row r="166">
      <c r="A166" s="1" t="n"/>
      <c r="B166" s="29" t="n"/>
      <c r="C166" s="26" t="n"/>
      <c r="D166" s="26" t="n"/>
      <c r="E166" s="27" t="n"/>
      <c r="F166" s="26" t="n"/>
      <c r="G166" s="1" t="n"/>
    </row>
    <row r="167">
      <c r="A167" s="1" t="n"/>
      <c r="B167" s="29" t="n"/>
      <c r="C167" s="26" t="n"/>
      <c r="D167" s="26" t="n"/>
      <c r="E167" s="27" t="n"/>
      <c r="F167" s="26" t="n"/>
      <c r="G167" s="1" t="n"/>
    </row>
    <row r="168">
      <c r="A168" s="1" t="n"/>
      <c r="B168" s="29" t="n"/>
      <c r="C168" s="26" t="n"/>
      <c r="D168" s="26" t="n"/>
      <c r="E168" s="27" t="n"/>
      <c r="F168" s="26" t="n"/>
      <c r="G168" s="1" t="n"/>
    </row>
    <row r="169">
      <c r="A169" s="1" t="n"/>
      <c r="B169" s="29" t="n"/>
      <c r="C169" s="26" t="n"/>
      <c r="D169" s="26" t="n"/>
      <c r="E169" s="27" t="n"/>
      <c r="F169" s="26" t="n"/>
      <c r="G169" s="1" t="n"/>
    </row>
    <row r="170">
      <c r="A170" s="1" t="n"/>
      <c r="B170" s="29" t="n"/>
      <c r="C170" s="26" t="n"/>
      <c r="D170" s="26" t="n"/>
      <c r="E170" s="27" t="n"/>
      <c r="F170" s="26" t="n"/>
      <c r="G170" s="1" t="n"/>
    </row>
    <row r="171">
      <c r="A171" s="1" t="n"/>
      <c r="B171" s="29" t="n"/>
      <c r="C171" s="26" t="n"/>
      <c r="D171" s="26" t="n"/>
      <c r="E171" s="27" t="n"/>
      <c r="F171" s="26" t="n"/>
      <c r="G171" s="1" t="n"/>
    </row>
    <row r="172">
      <c r="A172" s="1" t="n"/>
      <c r="B172" s="29" t="n"/>
      <c r="C172" s="26" t="n"/>
      <c r="D172" s="26" t="n"/>
      <c r="E172" s="27" t="n"/>
      <c r="F172" s="26" t="n"/>
      <c r="G172" s="1" t="n"/>
    </row>
    <row r="173">
      <c r="A173" s="1" t="n"/>
      <c r="B173" s="29" t="n"/>
      <c r="C173" s="26" t="n"/>
      <c r="D173" s="26" t="n"/>
      <c r="E173" s="27" t="n"/>
      <c r="F173" s="26" t="n"/>
      <c r="G173" s="1" t="n"/>
    </row>
    <row r="174">
      <c r="A174" s="1" t="n"/>
      <c r="B174" s="29" t="n"/>
      <c r="C174" s="26" t="n"/>
      <c r="D174" s="26" t="n"/>
      <c r="E174" s="27" t="n"/>
      <c r="F174" s="26" t="n"/>
      <c r="G174" s="1" t="n"/>
    </row>
    <row r="175">
      <c r="A175" s="1" t="n"/>
      <c r="B175" s="29" t="n"/>
      <c r="C175" s="26" t="n"/>
      <c r="D175" s="26" t="n"/>
      <c r="E175" s="27" t="n"/>
      <c r="F175" s="26" t="n"/>
      <c r="G175" s="1" t="n"/>
    </row>
    <row r="176">
      <c r="A176" s="1" t="n"/>
      <c r="B176" s="29" t="n"/>
      <c r="C176" s="26" t="n"/>
      <c r="D176" s="26" t="n"/>
      <c r="E176" s="27" t="n"/>
      <c r="F176" s="26" t="n"/>
      <c r="G176" s="1" t="n"/>
    </row>
    <row r="177">
      <c r="A177" s="1" t="n"/>
      <c r="B177" s="29" t="n"/>
      <c r="C177" s="26" t="n"/>
      <c r="D177" s="26" t="n"/>
      <c r="E177" s="27" t="n"/>
      <c r="F177" s="26" t="n"/>
      <c r="G177" s="1" t="n"/>
    </row>
    <row r="178">
      <c r="A178" s="1" t="n"/>
      <c r="B178" s="29" t="n"/>
      <c r="C178" s="26" t="n"/>
      <c r="D178" s="26" t="n"/>
      <c r="E178" s="27" t="n"/>
      <c r="F178" s="26" t="n"/>
      <c r="G178" s="1" t="n"/>
    </row>
    <row r="179">
      <c r="A179" s="1" t="n"/>
      <c r="B179" s="29" t="n"/>
      <c r="C179" s="26" t="n"/>
      <c r="D179" s="26" t="n"/>
      <c r="E179" s="27" t="n"/>
      <c r="F179" s="26" t="n"/>
      <c r="G179" s="1" t="n"/>
    </row>
    <row r="180">
      <c r="A180" s="1" t="n"/>
      <c r="B180" s="29" t="n"/>
      <c r="C180" s="26" t="n"/>
      <c r="D180" s="26" t="n"/>
      <c r="E180" s="27" t="n"/>
      <c r="F180" s="26" t="n"/>
      <c r="G180" s="1" t="n"/>
    </row>
    <row r="181">
      <c r="A181" s="1" t="n"/>
      <c r="B181" s="29" t="n"/>
      <c r="C181" s="26" t="n"/>
      <c r="D181" s="26" t="n"/>
      <c r="E181" s="27" t="n"/>
      <c r="F181" s="26" t="n"/>
      <c r="G181" s="1" t="n"/>
    </row>
    <row r="182">
      <c r="A182" s="1" t="n"/>
      <c r="B182" s="29" t="n"/>
      <c r="C182" s="26" t="n"/>
      <c r="D182" s="26" t="n"/>
      <c r="E182" s="27" t="n"/>
      <c r="F182" s="26" t="n"/>
      <c r="G182" s="1" t="n"/>
    </row>
    <row r="183">
      <c r="A183" s="1" t="n"/>
      <c r="B183" s="29" t="n"/>
      <c r="C183" s="26" t="n"/>
      <c r="D183" s="26" t="n"/>
      <c r="E183" s="27" t="n"/>
      <c r="F183" s="26" t="n"/>
      <c r="G183" s="1" t="n"/>
    </row>
    <row r="184">
      <c r="A184" s="1" t="n"/>
      <c r="B184" s="29" t="n"/>
      <c r="C184" s="26" t="n"/>
      <c r="D184" s="26" t="n"/>
      <c r="E184" s="27" t="n"/>
      <c r="F184" s="26" t="n"/>
      <c r="G184" s="1" t="n"/>
    </row>
    <row r="185">
      <c r="A185" s="1" t="n"/>
      <c r="B185" s="29" t="n"/>
      <c r="C185" s="26" t="n"/>
      <c r="D185" s="26" t="n"/>
      <c r="E185" s="27" t="n"/>
      <c r="F185" s="26" t="n"/>
      <c r="G185" s="1" t="n"/>
    </row>
    <row r="186">
      <c r="A186" s="1" t="n"/>
      <c r="B186" s="29" t="n"/>
      <c r="C186" s="26" t="n"/>
      <c r="D186" s="26" t="n"/>
      <c r="E186" s="27" t="n"/>
      <c r="F186" s="26" t="n"/>
      <c r="G186" s="1" t="n"/>
    </row>
    <row r="187">
      <c r="A187" s="1" t="n"/>
      <c r="B187" s="29" t="n"/>
      <c r="C187" s="26" t="n"/>
      <c r="D187" s="26" t="n"/>
      <c r="E187" s="27" t="n"/>
      <c r="F187" s="26" t="n"/>
      <c r="G187" s="1" t="n"/>
    </row>
    <row r="188">
      <c r="A188" s="1" t="n"/>
      <c r="B188" s="29" t="n"/>
      <c r="C188" s="26" t="n"/>
      <c r="D188" s="26" t="n"/>
      <c r="E188" s="27" t="n"/>
      <c r="F188" s="26" t="n"/>
      <c r="G188" s="1" t="n"/>
    </row>
    <row r="189">
      <c r="A189" s="1" t="n"/>
      <c r="B189" s="29" t="n"/>
      <c r="C189" s="26" t="n"/>
      <c r="D189" s="26" t="n"/>
      <c r="E189" s="27" t="n"/>
      <c r="F189" s="26" t="n"/>
      <c r="G189" s="1" t="n"/>
    </row>
    <row r="190">
      <c r="A190" s="1" t="n"/>
      <c r="B190" s="29" t="n"/>
      <c r="C190" s="26" t="n"/>
      <c r="D190" s="26" t="n"/>
      <c r="E190" s="27" t="n"/>
      <c r="F190" s="26" t="n"/>
      <c r="G190" s="1" t="n"/>
    </row>
    <row r="191">
      <c r="A191" s="1" t="n"/>
      <c r="B191" s="29" t="n"/>
      <c r="C191" s="26" t="n"/>
      <c r="D191" s="26" t="n"/>
      <c r="E191" s="27" t="n"/>
      <c r="F191" s="26" t="n"/>
      <c r="G191" s="1" t="n"/>
    </row>
    <row r="192">
      <c r="A192" s="1" t="n"/>
      <c r="B192" s="29" t="n"/>
      <c r="C192" s="26" t="n"/>
      <c r="D192" s="26" t="n"/>
      <c r="E192" s="27" t="n"/>
      <c r="F192" s="26" t="n"/>
      <c r="G192" s="1" t="n"/>
    </row>
    <row r="193">
      <c r="A193" s="1" t="n"/>
      <c r="B193" s="29" t="n"/>
      <c r="C193" s="26" t="n"/>
      <c r="D193" s="26" t="n"/>
      <c r="E193" s="27" t="n"/>
      <c r="F193" s="26" t="n"/>
      <c r="G193" s="1" t="n"/>
    </row>
    <row r="194">
      <c r="A194" s="1" t="n"/>
      <c r="B194" s="29" t="n"/>
      <c r="C194" s="26" t="n"/>
      <c r="D194" s="26" t="n"/>
      <c r="E194" s="27" t="n"/>
      <c r="F194" s="26" t="n"/>
      <c r="G194" s="1" t="n"/>
    </row>
    <row r="195">
      <c r="A195" s="1" t="n"/>
      <c r="B195" s="29" t="n"/>
      <c r="C195" s="26" t="n"/>
      <c r="D195" s="26" t="n"/>
      <c r="E195" s="27" t="n"/>
      <c r="F195" s="26" t="n"/>
      <c r="G195" s="1" t="n"/>
    </row>
    <row r="196">
      <c r="A196" s="1" t="n"/>
      <c r="B196" s="29" t="n"/>
      <c r="C196" s="26" t="n"/>
      <c r="D196" s="26" t="n"/>
      <c r="E196" s="27" t="n"/>
      <c r="F196" s="26" t="n"/>
      <c r="G196" s="1" t="n"/>
    </row>
    <row r="197">
      <c r="A197" s="1" t="n"/>
      <c r="B197" s="29" t="n"/>
      <c r="C197" s="26" t="n"/>
      <c r="D197" s="26" t="n"/>
      <c r="E197" s="27" t="n"/>
      <c r="F197" s="26" t="n"/>
      <c r="G197" s="1" t="n"/>
    </row>
    <row r="198">
      <c r="A198" s="1" t="n"/>
      <c r="B198" s="29" t="n"/>
      <c r="C198" s="26" t="n"/>
      <c r="D198" s="26" t="n"/>
      <c r="E198" s="27" t="n"/>
      <c r="F198" s="26" t="n"/>
      <c r="G198" s="1" t="n"/>
    </row>
    <row r="199">
      <c r="A199" s="1" t="n"/>
      <c r="B199" s="29" t="n"/>
      <c r="C199" s="26" t="n"/>
      <c r="D199" s="26" t="n"/>
      <c r="E199" s="27" t="n"/>
      <c r="F199" s="26" t="n"/>
      <c r="G199" s="1" t="n"/>
    </row>
    <row r="200">
      <c r="A200" s="1" t="n"/>
      <c r="B200" s="29" t="n"/>
      <c r="C200" s="26" t="n"/>
      <c r="D200" s="26" t="n"/>
      <c r="E200" s="27" t="n"/>
      <c r="F200" s="26" t="n"/>
      <c r="G200" s="1" t="n"/>
    </row>
    <row r="201">
      <c r="A201" s="1" t="n"/>
      <c r="B201" s="29" t="n"/>
      <c r="C201" s="26" t="n"/>
      <c r="D201" s="26" t="n"/>
      <c r="E201" s="27" t="n"/>
      <c r="F201" s="26" t="n"/>
      <c r="G201" s="1" t="n"/>
    </row>
    <row r="202">
      <c r="A202" s="1" t="n"/>
      <c r="B202" s="29" t="n"/>
      <c r="C202" s="26" t="n"/>
      <c r="D202" s="26" t="n"/>
      <c r="E202" s="27" t="n"/>
      <c r="F202" s="26" t="n"/>
      <c r="G202" s="1" t="n"/>
    </row>
    <row r="203">
      <c r="A203" s="1" t="n"/>
      <c r="B203" s="29" t="n"/>
      <c r="C203" s="26" t="n"/>
      <c r="D203" s="26" t="n"/>
      <c r="E203" s="27" t="n"/>
      <c r="F203" s="26" t="n"/>
      <c r="G203" s="1" t="n"/>
    </row>
    <row r="204">
      <c r="A204" s="1" t="n"/>
      <c r="B204" s="29" t="n"/>
      <c r="C204" s="26" t="n"/>
      <c r="D204" s="26" t="n"/>
      <c r="E204" s="27" t="n"/>
      <c r="F204" s="26" t="n"/>
      <c r="G204" s="1" t="n"/>
    </row>
    <row r="205">
      <c r="A205" s="1" t="n"/>
      <c r="B205" s="29" t="n"/>
      <c r="C205" s="26" t="n"/>
      <c r="D205" s="26" t="n"/>
      <c r="E205" s="27" t="n"/>
      <c r="F205" s="26" t="n"/>
      <c r="G205" s="1" t="n"/>
    </row>
    <row r="206">
      <c r="A206" s="1" t="n"/>
      <c r="B206" s="29" t="n"/>
      <c r="C206" s="26" t="n"/>
      <c r="D206" s="26" t="n"/>
      <c r="E206" s="27" t="n"/>
      <c r="F206" s="26" t="n"/>
      <c r="G206" s="1" t="n"/>
    </row>
    <row r="207">
      <c r="A207" s="1" t="n"/>
      <c r="B207" s="29" t="n"/>
      <c r="C207" s="26" t="n"/>
      <c r="D207" s="26" t="n"/>
      <c r="E207" s="27" t="n"/>
      <c r="F207" s="26" t="n"/>
      <c r="G207" s="1" t="n"/>
    </row>
    <row r="208">
      <c r="A208" s="1" t="n"/>
      <c r="B208" s="29" t="n"/>
      <c r="C208" s="26" t="n"/>
      <c r="D208" s="26" t="n"/>
      <c r="E208" s="27" t="n"/>
      <c r="F208" s="26" t="n"/>
      <c r="G208" s="1" t="n"/>
    </row>
    <row r="209">
      <c r="A209" s="1" t="n"/>
      <c r="B209" s="29" t="n"/>
      <c r="C209" s="26" t="n"/>
      <c r="D209" s="26" t="n"/>
      <c r="E209" s="27" t="n"/>
      <c r="F209" s="26" t="n"/>
      <c r="G209" s="1" t="n"/>
    </row>
    <row r="210">
      <c r="A210" s="1" t="n"/>
      <c r="B210" s="29" t="n"/>
      <c r="C210" s="26" t="n"/>
      <c r="D210" s="26" t="n"/>
      <c r="E210" s="27" t="n"/>
      <c r="F210" s="26" t="n"/>
      <c r="G210" s="1" t="n"/>
    </row>
    <row r="211">
      <c r="A211" s="1" t="n"/>
      <c r="B211" s="29" t="n"/>
      <c r="C211" s="26" t="n"/>
      <c r="D211" s="26" t="n"/>
      <c r="E211" s="27" t="n"/>
      <c r="F211" s="26" t="n"/>
      <c r="G211" s="1" t="n"/>
    </row>
    <row r="212">
      <c r="A212" s="1" t="n"/>
      <c r="B212" s="29" t="n"/>
      <c r="C212" s="26" t="n"/>
      <c r="D212" s="26" t="n"/>
      <c r="E212" s="27" t="n"/>
      <c r="F212" s="26" t="n"/>
      <c r="G212" s="1" t="n"/>
    </row>
    <row r="213">
      <c r="A213" s="1" t="n"/>
      <c r="B213" s="29" t="n"/>
      <c r="C213" s="26" t="n"/>
      <c r="D213" s="26" t="n"/>
      <c r="E213" s="27" t="n"/>
      <c r="F213" s="26" t="n"/>
      <c r="G213" s="1" t="n"/>
    </row>
    <row r="214">
      <c r="A214" s="1" t="n"/>
      <c r="B214" s="29" t="n"/>
      <c r="C214" s="26" t="n"/>
      <c r="D214" s="26" t="n"/>
      <c r="E214" s="27" t="n"/>
      <c r="F214" s="26" t="n"/>
      <c r="G214" s="1" t="n"/>
    </row>
    <row r="215">
      <c r="A215" s="1" t="n"/>
      <c r="B215" s="29" t="n"/>
      <c r="C215" s="26" t="n"/>
      <c r="D215" s="26" t="n"/>
      <c r="E215" s="27" t="n"/>
      <c r="F215" s="26" t="n"/>
      <c r="G215" s="1" t="n"/>
    </row>
    <row r="216">
      <c r="A216" s="1" t="n"/>
      <c r="B216" s="29" t="n"/>
      <c r="C216" s="26" t="n"/>
      <c r="D216" s="26" t="n"/>
      <c r="E216" s="27" t="n"/>
      <c r="F216" s="26" t="n"/>
      <c r="G216" s="1" t="n"/>
    </row>
    <row r="217">
      <c r="A217" s="1" t="n"/>
      <c r="B217" s="29" t="n"/>
      <c r="C217" s="26" t="n"/>
      <c r="D217" s="26" t="n"/>
      <c r="E217" s="27" t="n"/>
      <c r="F217" s="26" t="n"/>
      <c r="G217" s="1" t="n"/>
    </row>
    <row r="218">
      <c r="A218" s="1" t="n"/>
      <c r="B218" s="29" t="n"/>
      <c r="C218" s="26" t="n"/>
      <c r="D218" s="26" t="n"/>
      <c r="E218" s="27" t="n"/>
      <c r="F218" s="26" t="n"/>
      <c r="G218" s="1" t="n"/>
    </row>
    <row r="219">
      <c r="A219" s="1" t="n"/>
      <c r="B219" s="29" t="n"/>
      <c r="C219" s="26" t="n"/>
      <c r="D219" s="26" t="n"/>
      <c r="E219" s="27" t="n"/>
      <c r="F219" s="26" t="n"/>
      <c r="G219" s="1" t="n"/>
    </row>
    <row r="220">
      <c r="A220" s="1" t="n"/>
      <c r="B220" s="29" t="n"/>
      <c r="C220" s="26" t="n"/>
      <c r="D220" s="26" t="n"/>
      <c r="E220" s="27" t="n"/>
      <c r="F220" s="26" t="n"/>
      <c r="G220" s="1" t="n"/>
    </row>
    <row r="221">
      <c r="A221" s="1" t="n"/>
      <c r="B221" s="29" t="n"/>
      <c r="C221" s="26" t="n"/>
      <c r="D221" s="26" t="n"/>
      <c r="E221" s="27" t="n"/>
      <c r="F221" s="26" t="n"/>
      <c r="G221" s="1" t="n"/>
    </row>
    <row r="222">
      <c r="A222" s="1" t="n"/>
      <c r="B222" s="29" t="n"/>
      <c r="C222" s="26" t="n"/>
      <c r="D222" s="26" t="n"/>
      <c r="E222" s="27" t="n"/>
      <c r="F222" s="26" t="n"/>
      <c r="G222" s="1" t="n"/>
    </row>
    <row r="223">
      <c r="A223" s="1" t="n"/>
      <c r="B223" s="29" t="n"/>
      <c r="C223" s="26" t="n"/>
      <c r="D223" s="26" t="n"/>
      <c r="E223" s="27" t="n"/>
      <c r="F223" s="26" t="n"/>
      <c r="G223" s="1" t="n"/>
    </row>
    <row r="224">
      <c r="A224" s="1" t="n"/>
      <c r="B224" s="29" t="n"/>
      <c r="C224" s="26" t="n"/>
      <c r="D224" s="26" t="n"/>
      <c r="E224" s="27" t="n"/>
      <c r="F224" s="26" t="n"/>
      <c r="G224" s="1" t="n"/>
    </row>
    <row r="225">
      <c r="A225" s="1" t="n"/>
      <c r="B225" s="29" t="n"/>
      <c r="C225" s="26" t="n"/>
      <c r="D225" s="26" t="n"/>
      <c r="E225" s="27" t="n"/>
      <c r="F225" s="26" t="n"/>
      <c r="G225" s="1" t="n"/>
    </row>
    <row r="226">
      <c r="A226" s="1" t="n"/>
      <c r="B226" s="29" t="n"/>
      <c r="C226" s="26" t="n"/>
      <c r="D226" s="26" t="n"/>
      <c r="E226" s="27" t="n"/>
      <c r="F226" s="26" t="n"/>
      <c r="G226" s="1" t="n"/>
    </row>
    <row r="227">
      <c r="A227" s="1" t="n"/>
      <c r="B227" s="29" t="n"/>
      <c r="C227" s="26" t="n"/>
      <c r="D227" s="26" t="n"/>
      <c r="E227" s="27" t="n"/>
      <c r="F227" s="26" t="n"/>
      <c r="G227" s="1" t="n"/>
    </row>
    <row r="228">
      <c r="A228" s="1" t="n"/>
      <c r="B228" s="29" t="n"/>
      <c r="C228" s="26" t="n"/>
      <c r="D228" s="26" t="n"/>
      <c r="E228" s="27" t="n"/>
      <c r="F228" s="26" t="n"/>
      <c r="G228" s="1" t="n"/>
    </row>
    <row r="229">
      <c r="A229" s="1" t="n"/>
      <c r="B229" s="29" t="n"/>
      <c r="C229" s="26" t="n"/>
      <c r="D229" s="26" t="n"/>
      <c r="E229" s="27" t="n"/>
      <c r="F229" s="26" t="n"/>
      <c r="G229" s="1" t="n"/>
    </row>
    <row r="230">
      <c r="A230" s="1" t="n"/>
      <c r="B230" s="29" t="n"/>
      <c r="C230" s="26" t="n"/>
      <c r="D230" s="26" t="n"/>
      <c r="E230" s="27" t="n"/>
      <c r="F230" s="26" t="n"/>
      <c r="G230" s="1" t="n"/>
    </row>
    <row r="231">
      <c r="A231" s="1" t="n"/>
      <c r="B231" s="29" t="n"/>
      <c r="C231" s="26" t="n"/>
      <c r="D231" s="26" t="n"/>
      <c r="E231" s="27" t="n"/>
      <c r="F231" s="26" t="n"/>
      <c r="G231" s="1" t="n"/>
    </row>
    <row r="232">
      <c r="A232" s="1" t="n"/>
      <c r="B232" s="29" t="n"/>
      <c r="C232" s="26" t="n"/>
      <c r="D232" s="26" t="n"/>
      <c r="E232" s="27" t="n"/>
      <c r="F232" s="26" t="n"/>
      <c r="G232" s="1" t="n"/>
    </row>
    <row r="233">
      <c r="A233" s="1" t="n"/>
      <c r="B233" s="29" t="n"/>
      <c r="C233" s="26" t="n"/>
      <c r="D233" s="26" t="n"/>
      <c r="E233" s="27" t="n"/>
      <c r="F233" s="26" t="n"/>
      <c r="G233" s="1" t="n"/>
    </row>
    <row r="234">
      <c r="A234" s="1" t="n"/>
      <c r="B234" s="29" t="n"/>
      <c r="C234" s="26" t="n"/>
      <c r="D234" s="26" t="n"/>
      <c r="E234" s="27" t="n"/>
      <c r="F234" s="26" t="n"/>
      <c r="G234" s="1" t="n"/>
    </row>
    <row r="235">
      <c r="A235" s="1" t="n"/>
      <c r="B235" s="29" t="n"/>
      <c r="C235" s="26" t="n"/>
      <c r="D235" s="26" t="n"/>
      <c r="E235" s="27" t="n"/>
      <c r="F235" s="26" t="n"/>
      <c r="G235" s="1" t="n"/>
    </row>
    <row r="236">
      <c r="A236" s="1" t="n"/>
      <c r="B236" s="29" t="n"/>
      <c r="C236" s="26" t="n"/>
      <c r="D236" s="26" t="n"/>
      <c r="E236" s="27" t="n"/>
      <c r="F236" s="26" t="n"/>
      <c r="G236" s="1" t="n"/>
    </row>
    <row r="237">
      <c r="A237" s="1" t="n"/>
      <c r="B237" s="29" t="n"/>
      <c r="C237" s="26" t="n"/>
      <c r="D237" s="26" t="n"/>
      <c r="E237" s="27" t="n"/>
      <c r="F237" s="26" t="n"/>
      <c r="G237" s="1" t="n"/>
    </row>
    <row r="238">
      <c r="A238" s="1" t="n"/>
      <c r="B238" s="29" t="n"/>
      <c r="C238" s="26" t="n"/>
      <c r="D238" s="26" t="n"/>
      <c r="E238" s="27" t="n"/>
      <c r="F238" s="26" t="n"/>
      <c r="G238" s="1" t="n"/>
    </row>
    <row r="239">
      <c r="A239" s="1" t="n"/>
      <c r="B239" s="29" t="n"/>
      <c r="C239" s="26" t="n"/>
      <c r="D239" s="26" t="n"/>
      <c r="E239" s="27" t="n"/>
      <c r="F239" s="26" t="n"/>
      <c r="G239" s="1" t="n"/>
    </row>
    <row r="240">
      <c r="A240" s="1" t="n"/>
      <c r="B240" s="29" t="n"/>
      <c r="C240" s="26" t="n"/>
      <c r="D240" s="26" t="n"/>
      <c r="E240" s="27" t="n"/>
      <c r="F240" s="26" t="n"/>
      <c r="G240" s="1" t="n"/>
    </row>
    <row r="241">
      <c r="A241" s="1" t="n"/>
      <c r="B241" s="29" t="n"/>
      <c r="C241" s="26" t="n"/>
      <c r="D241" s="26" t="n"/>
      <c r="E241" s="27" t="n"/>
      <c r="F241" s="26" t="n"/>
      <c r="G241" s="1" t="n"/>
    </row>
    <row r="242">
      <c r="A242" s="1" t="n"/>
      <c r="B242" s="29" t="n"/>
      <c r="C242" s="26" t="n"/>
      <c r="D242" s="26" t="n"/>
      <c r="E242" s="27" t="n"/>
      <c r="F242" s="26" t="n"/>
      <c r="G242" s="1" t="n"/>
    </row>
    <row r="243">
      <c r="A243" s="1" t="n"/>
      <c r="B243" s="29" t="n"/>
      <c r="C243" s="26" t="n"/>
      <c r="D243" s="26" t="n"/>
      <c r="E243" s="27" t="n"/>
      <c r="F243" s="26" t="n"/>
      <c r="G243" s="1" t="n"/>
    </row>
    <row r="244">
      <c r="A244" s="1" t="n"/>
      <c r="B244" s="29" t="n"/>
      <c r="C244" s="26" t="n"/>
      <c r="D244" s="26" t="n"/>
      <c r="E244" s="27" t="n"/>
      <c r="F244" s="26" t="n"/>
      <c r="G244" s="1" t="n"/>
    </row>
    <row r="245">
      <c r="A245" s="1" t="n"/>
      <c r="B245" s="29" t="n"/>
      <c r="C245" s="26" t="n"/>
      <c r="D245" s="26" t="n"/>
      <c r="E245" s="27" t="n"/>
      <c r="F245" s="26" t="n"/>
      <c r="G245" s="1" t="n"/>
    </row>
    <row r="246">
      <c r="A246" s="1" t="n"/>
      <c r="B246" s="29" t="n"/>
      <c r="C246" s="26" t="n"/>
      <c r="D246" s="26" t="n"/>
      <c r="E246" s="27" t="n"/>
      <c r="F246" s="26" t="n"/>
      <c r="G246" s="1" t="n"/>
    </row>
    <row r="247">
      <c r="A247" s="1" t="n"/>
      <c r="B247" s="29" t="n"/>
      <c r="C247" s="26" t="n"/>
      <c r="D247" s="26" t="n"/>
      <c r="E247" s="27" t="n"/>
      <c r="F247" s="26" t="n"/>
      <c r="G247" s="1" t="n"/>
    </row>
    <row r="248">
      <c r="A248" s="1" t="n"/>
      <c r="B248" s="29" t="n"/>
      <c r="C248" s="26" t="n"/>
      <c r="D248" s="26" t="n"/>
      <c r="E248" s="27" t="n"/>
      <c r="F248" s="26" t="n"/>
      <c r="G248" s="1" t="n"/>
    </row>
    <row r="249">
      <c r="A249" s="1" t="n"/>
      <c r="B249" s="29" t="n"/>
      <c r="C249" s="26" t="n"/>
      <c r="D249" s="26" t="n"/>
      <c r="E249" s="27" t="n"/>
      <c r="F249" s="26" t="n"/>
      <c r="G249" s="1" t="n"/>
    </row>
    <row r="250">
      <c r="A250" s="1" t="n"/>
      <c r="B250" s="29" t="n"/>
      <c r="C250" s="26" t="n"/>
      <c r="D250" s="26" t="n"/>
      <c r="E250" s="27" t="n"/>
      <c r="F250" s="26" t="n"/>
      <c r="G250" s="1" t="n"/>
    </row>
    <row r="251">
      <c r="A251" s="1" t="n"/>
      <c r="B251" s="29" t="n"/>
      <c r="C251" s="26" t="n"/>
      <c r="D251" s="26" t="n"/>
      <c r="E251" s="27" t="n"/>
      <c r="F251" s="26" t="n"/>
      <c r="G251" s="1" t="n"/>
    </row>
    <row r="252">
      <c r="A252" s="1" t="n"/>
      <c r="B252" s="29" t="n"/>
      <c r="C252" s="26" t="n"/>
      <c r="D252" s="26" t="n"/>
      <c r="E252" s="27" t="n"/>
      <c r="F252" s="26" t="n"/>
      <c r="G252" s="1" t="n"/>
    </row>
    <row r="253">
      <c r="A253" s="1" t="n"/>
      <c r="B253" s="29" t="n"/>
      <c r="C253" s="26" t="n"/>
      <c r="D253" s="26" t="n"/>
      <c r="E253" s="27" t="n"/>
      <c r="F253" s="26" t="n"/>
      <c r="G253" s="1" t="n"/>
    </row>
    <row r="254">
      <c r="A254" s="1" t="n"/>
      <c r="B254" s="29" t="n"/>
      <c r="C254" s="26" t="n"/>
      <c r="D254" s="26" t="n"/>
      <c r="E254" s="27" t="n"/>
      <c r="F254" s="26" t="n"/>
      <c r="G254" s="1" t="n"/>
    </row>
    <row r="255">
      <c r="A255" s="1" t="n"/>
      <c r="B255" s="29" t="n"/>
      <c r="C255" s="26" t="n"/>
      <c r="D255" s="26" t="n"/>
      <c r="E255" s="27" t="n"/>
      <c r="F255" s="26" t="n"/>
      <c r="G255" s="1" t="n"/>
    </row>
    <row r="256">
      <c r="A256" s="1" t="n"/>
      <c r="B256" s="29" t="n"/>
      <c r="C256" s="26" t="n"/>
      <c r="D256" s="26" t="n"/>
      <c r="E256" s="27" t="n"/>
      <c r="F256" s="26" t="n"/>
      <c r="G256" s="1" t="n"/>
    </row>
    <row r="257">
      <c r="A257" s="1" t="n"/>
      <c r="B257" s="29" t="n"/>
      <c r="C257" s="26" t="n"/>
      <c r="D257" s="26" t="n"/>
      <c r="E257" s="27" t="n"/>
      <c r="F257" s="26" t="n"/>
      <c r="G257" s="1" t="n"/>
    </row>
    <row r="258">
      <c r="A258" s="1" t="n"/>
      <c r="B258" s="29" t="n"/>
      <c r="C258" s="26" t="n"/>
      <c r="D258" s="26" t="n"/>
      <c r="E258" s="27" t="n"/>
      <c r="F258" s="26" t="n"/>
      <c r="G258" s="1" t="n"/>
    </row>
    <row r="259">
      <c r="A259" s="1" t="n"/>
      <c r="B259" s="29" t="n"/>
      <c r="C259" s="26" t="n"/>
      <c r="D259" s="26" t="n"/>
      <c r="E259" s="27" t="n"/>
      <c r="F259" s="26" t="n"/>
      <c r="G259" s="1" t="n"/>
    </row>
    <row r="260">
      <c r="A260" s="1" t="n"/>
      <c r="B260" s="29" t="n"/>
      <c r="C260" s="26" t="n"/>
      <c r="D260" s="26" t="n"/>
      <c r="E260" s="27" t="n"/>
      <c r="F260" s="26" t="n"/>
      <c r="G260" s="1" t="n"/>
    </row>
    <row r="261">
      <c r="A261" s="1" t="n"/>
      <c r="B261" s="29" t="n"/>
      <c r="C261" s="26" t="n"/>
      <c r="D261" s="26" t="n"/>
      <c r="E261" s="27" t="n"/>
      <c r="F261" s="26" t="n"/>
      <c r="G261" s="1" t="n"/>
    </row>
    <row r="262">
      <c r="A262" s="1" t="n"/>
      <c r="B262" s="29" t="n"/>
      <c r="C262" s="26" t="n"/>
      <c r="D262" s="26" t="n"/>
      <c r="E262" s="27" t="n"/>
      <c r="F262" s="26" t="n"/>
      <c r="G262" s="1" t="n"/>
    </row>
    <row r="263">
      <c r="A263" s="1" t="n"/>
      <c r="B263" s="29" t="n"/>
      <c r="C263" s="26" t="n"/>
      <c r="D263" s="26" t="n"/>
      <c r="E263" s="27" t="n"/>
      <c r="F263" s="26" t="n"/>
      <c r="G263" s="1" t="n"/>
    </row>
    <row r="264">
      <c r="A264" s="1" t="n"/>
      <c r="B264" s="29" t="n"/>
      <c r="C264" s="26" t="n"/>
      <c r="D264" s="26" t="n"/>
      <c r="E264" s="27" t="n"/>
      <c r="F264" s="26" t="n"/>
      <c r="G264" s="1" t="n"/>
    </row>
    <row r="265">
      <c r="A265" s="1" t="n"/>
      <c r="B265" s="29" t="n"/>
      <c r="C265" s="26" t="n"/>
      <c r="D265" s="26" t="n"/>
      <c r="E265" s="27" t="n"/>
      <c r="F265" s="26" t="n"/>
      <c r="G265" s="1" t="n"/>
    </row>
    <row r="266">
      <c r="A266" s="1" t="n"/>
      <c r="B266" s="29" t="n"/>
      <c r="C266" s="26" t="n"/>
      <c r="D266" s="26" t="n"/>
      <c r="E266" s="27" t="n"/>
      <c r="F266" s="26" t="n"/>
      <c r="G266" s="1" t="n"/>
    </row>
    <row r="267">
      <c r="A267" s="1" t="n"/>
      <c r="B267" s="29" t="n"/>
      <c r="C267" s="26" t="n"/>
      <c r="D267" s="26" t="n"/>
      <c r="E267" s="27" t="n"/>
      <c r="F267" s="26" t="n"/>
      <c r="G267" s="1" t="n"/>
    </row>
    <row r="268">
      <c r="A268" s="1" t="n"/>
      <c r="B268" s="29" t="n"/>
      <c r="C268" s="26" t="n"/>
      <c r="D268" s="26" t="n"/>
      <c r="E268" s="27" t="n"/>
      <c r="F268" s="26" t="n"/>
      <c r="G268" s="1" t="n"/>
    </row>
    <row r="269">
      <c r="A269" s="1" t="n"/>
      <c r="B269" s="29" t="n"/>
      <c r="C269" s="26" t="n"/>
      <c r="D269" s="26" t="n"/>
      <c r="E269" s="27" t="n"/>
      <c r="F269" s="26" t="n"/>
      <c r="G269" s="1" t="n"/>
    </row>
    <row r="270">
      <c r="A270" s="1" t="n"/>
      <c r="B270" s="29" t="n"/>
      <c r="C270" s="26" t="n"/>
      <c r="D270" s="26" t="n"/>
      <c r="E270" s="27" t="n"/>
      <c r="F270" s="26" t="n"/>
      <c r="G270" s="1" t="n"/>
    </row>
    <row r="271">
      <c r="A271" s="1" t="n"/>
      <c r="B271" s="29" t="n"/>
      <c r="C271" s="26" t="n"/>
      <c r="D271" s="26" t="n"/>
      <c r="E271" s="27" t="n"/>
      <c r="F271" s="26" t="n"/>
      <c r="G271" s="1" t="n"/>
    </row>
    <row r="272">
      <c r="A272" s="1" t="n"/>
      <c r="B272" s="29" t="n"/>
      <c r="C272" s="26" t="n"/>
      <c r="D272" s="26" t="n"/>
      <c r="E272" s="27" t="n"/>
      <c r="F272" s="26" t="n"/>
      <c r="G272" s="1" t="n"/>
    </row>
    <row r="273">
      <c r="A273" s="1" t="n"/>
      <c r="B273" s="29" t="n"/>
      <c r="C273" s="26" t="n"/>
      <c r="D273" s="26" t="n"/>
      <c r="E273" s="27" t="n"/>
      <c r="F273" s="26" t="n"/>
      <c r="G273" s="1" t="n"/>
    </row>
    <row r="274">
      <c r="A274" s="1" t="n"/>
      <c r="B274" s="29" t="n"/>
      <c r="C274" s="26" t="n"/>
      <c r="D274" s="26" t="n"/>
      <c r="E274" s="27" t="n"/>
      <c r="F274" s="26" t="n"/>
      <c r="G274" s="1" t="n"/>
    </row>
    <row r="275">
      <c r="A275" s="1" t="n"/>
      <c r="B275" s="29" t="n"/>
      <c r="C275" s="26" t="n"/>
      <c r="D275" s="26" t="n"/>
      <c r="E275" s="27" t="n"/>
      <c r="F275" s="26" t="n"/>
      <c r="G275" s="1" t="n"/>
    </row>
    <row r="276">
      <c r="A276" s="1" t="n"/>
      <c r="B276" s="29" t="n"/>
      <c r="C276" s="26" t="n"/>
      <c r="D276" s="26" t="n"/>
      <c r="E276" s="27" t="n"/>
      <c r="F276" s="26" t="n"/>
      <c r="G276" s="1" t="n"/>
    </row>
    <row r="277">
      <c r="A277" s="1" t="n"/>
      <c r="B277" s="29" t="n"/>
      <c r="C277" s="26" t="n"/>
      <c r="D277" s="26" t="n"/>
      <c r="E277" s="27" t="n"/>
      <c r="F277" s="26" t="n"/>
      <c r="G277" s="1" t="n"/>
    </row>
    <row r="278">
      <c r="A278" s="1" t="n"/>
      <c r="B278" s="29" t="n"/>
      <c r="C278" s="26" t="n"/>
      <c r="D278" s="26" t="n"/>
      <c r="E278" s="27" t="n"/>
      <c r="F278" s="26" t="n"/>
      <c r="G278" s="1" t="n"/>
    </row>
    <row r="279">
      <c r="A279" s="1" t="n"/>
      <c r="B279" s="29" t="n"/>
      <c r="C279" s="26" t="n"/>
      <c r="D279" s="26" t="n"/>
      <c r="E279" s="27" t="n"/>
      <c r="F279" s="26" t="n"/>
      <c r="G279" s="1" t="n"/>
    </row>
    <row r="280">
      <c r="A280" s="1" t="n"/>
      <c r="B280" s="29" t="n"/>
      <c r="C280" s="26" t="n"/>
      <c r="D280" s="26" t="n"/>
      <c r="E280" s="27" t="n"/>
      <c r="F280" s="26" t="n"/>
      <c r="G280" s="1" t="n"/>
    </row>
    <row r="281">
      <c r="A281" s="1" t="n"/>
      <c r="B281" s="29" t="n"/>
      <c r="C281" s="26" t="n"/>
      <c r="D281" s="26" t="n"/>
      <c r="E281" s="27" t="n"/>
      <c r="F281" s="26" t="n"/>
      <c r="G281" s="1" t="n"/>
    </row>
    <row r="282">
      <c r="A282" s="1" t="n"/>
      <c r="B282" s="29" t="n"/>
      <c r="C282" s="26" t="n"/>
      <c r="D282" s="26" t="n"/>
      <c r="E282" s="27" t="n"/>
      <c r="F282" s="26" t="n"/>
      <c r="G282" s="1" t="n"/>
    </row>
    <row r="283">
      <c r="A283" s="1" t="n"/>
      <c r="B283" s="29" t="n"/>
      <c r="C283" s="26" t="n"/>
      <c r="D283" s="26" t="n"/>
      <c r="E283" s="27" t="n"/>
      <c r="F283" s="26" t="n"/>
      <c r="G283" s="1" t="n"/>
    </row>
    <row r="284">
      <c r="A284" s="1" t="n"/>
      <c r="B284" s="29" t="n"/>
      <c r="C284" s="26" t="n"/>
      <c r="D284" s="26" t="n"/>
      <c r="E284" s="27" t="n"/>
      <c r="F284" s="26" t="n"/>
      <c r="G284" s="1" t="n"/>
    </row>
    <row r="285">
      <c r="A285" s="1" t="n"/>
      <c r="B285" s="29" t="n"/>
      <c r="C285" s="26" t="n"/>
      <c r="D285" s="26" t="n"/>
      <c r="E285" s="27" t="n"/>
      <c r="F285" s="26" t="n"/>
      <c r="G285" s="1" t="n"/>
    </row>
    <row r="286">
      <c r="A286" s="1" t="n"/>
      <c r="B286" s="29" t="n"/>
      <c r="C286" s="26" t="n"/>
      <c r="D286" s="26" t="n"/>
      <c r="E286" s="27" t="n"/>
      <c r="F286" s="26" t="n"/>
      <c r="G286" s="1" t="n"/>
    </row>
    <row r="287">
      <c r="A287" s="1" t="n"/>
      <c r="B287" s="29" t="n"/>
      <c r="C287" s="26" t="n"/>
      <c r="D287" s="26" t="n"/>
      <c r="E287" s="27" t="n"/>
      <c r="F287" s="26" t="n"/>
      <c r="G287" s="1" t="n"/>
    </row>
    <row r="288">
      <c r="A288" s="1" t="n"/>
      <c r="B288" s="29" t="n"/>
      <c r="C288" s="26" t="n"/>
      <c r="D288" s="26" t="n"/>
      <c r="E288" s="27" t="n"/>
      <c r="F288" s="26" t="n"/>
      <c r="G288" s="1" t="n"/>
    </row>
    <row r="289">
      <c r="A289" s="1" t="n"/>
      <c r="B289" s="29" t="n"/>
      <c r="C289" s="26" t="n"/>
      <c r="D289" s="26" t="n"/>
      <c r="E289" s="27" t="n"/>
      <c r="F289" s="26" t="n"/>
      <c r="G289" s="1" t="n"/>
    </row>
    <row r="290">
      <c r="A290" s="1" t="n"/>
      <c r="B290" s="29" t="n"/>
      <c r="C290" s="26" t="n"/>
      <c r="D290" s="26" t="n"/>
      <c r="E290" s="27" t="n"/>
      <c r="F290" s="26" t="n"/>
      <c r="G290" s="1" t="n"/>
    </row>
    <row r="291">
      <c r="A291" s="1" t="n"/>
      <c r="B291" s="29" t="n"/>
      <c r="C291" s="26" t="n"/>
      <c r="D291" s="26" t="n"/>
      <c r="E291" s="27" t="n"/>
      <c r="F291" s="26" t="n"/>
      <c r="G291" s="1" t="n"/>
    </row>
    <row r="292">
      <c r="A292" s="1" t="n"/>
      <c r="B292" s="29" t="n"/>
      <c r="C292" s="26" t="n"/>
      <c r="D292" s="26" t="n"/>
      <c r="E292" s="27" t="n"/>
      <c r="F292" s="26" t="n"/>
      <c r="G292" s="1" t="n"/>
    </row>
    <row r="293">
      <c r="A293" s="1" t="n"/>
      <c r="B293" s="29" t="n"/>
      <c r="C293" s="26" t="n"/>
      <c r="D293" s="26" t="n"/>
      <c r="E293" s="27" t="n"/>
      <c r="F293" s="26" t="n"/>
      <c r="G293" s="1" t="n"/>
    </row>
    <row r="294">
      <c r="A294" s="1" t="n"/>
      <c r="B294" s="29" t="n"/>
      <c r="C294" s="26" t="n"/>
      <c r="D294" s="26" t="n"/>
      <c r="E294" s="27" t="n"/>
      <c r="F294" s="26" t="n"/>
      <c r="G294" s="1" t="n"/>
    </row>
    <row r="295">
      <c r="A295" s="1" t="n"/>
      <c r="B295" s="29" t="n"/>
      <c r="C295" s="26" t="n"/>
      <c r="D295" s="26" t="n"/>
      <c r="E295" s="27" t="n"/>
      <c r="F295" s="26" t="n"/>
      <c r="G295" s="1" t="n"/>
    </row>
    <row r="296">
      <c r="A296" s="1" t="n"/>
      <c r="B296" s="29" t="n"/>
      <c r="C296" s="26" t="n"/>
      <c r="D296" s="26" t="n"/>
      <c r="E296" s="27" t="n"/>
      <c r="F296" s="26" t="n"/>
      <c r="G296" s="1" t="n"/>
    </row>
    <row r="297">
      <c r="A297" s="1" t="n"/>
      <c r="B297" s="29" t="n"/>
      <c r="C297" s="26" t="n"/>
      <c r="D297" s="26" t="n"/>
      <c r="E297" s="27" t="n"/>
      <c r="F297" s="26" t="n"/>
      <c r="G297" s="1" t="n"/>
    </row>
    <row r="298">
      <c r="A298" s="1" t="n"/>
      <c r="B298" s="29" t="n"/>
      <c r="C298" s="26" t="n"/>
      <c r="D298" s="26" t="n"/>
      <c r="E298" s="27" t="n"/>
      <c r="F298" s="26" t="n"/>
      <c r="G298" s="1" t="n"/>
    </row>
    <row r="299">
      <c r="A299" s="1" t="n"/>
      <c r="B299" s="29" t="n"/>
      <c r="C299" s="26" t="n"/>
      <c r="D299" s="26" t="n"/>
      <c r="E299" s="27" t="n"/>
      <c r="F299" s="26" t="n"/>
      <c r="G299" s="1" t="n"/>
    </row>
    <row r="300">
      <c r="A300" s="1" t="n"/>
      <c r="B300" s="29" t="n"/>
      <c r="C300" s="26" t="n"/>
      <c r="D300" s="26" t="n"/>
      <c r="E300" s="27" t="n"/>
      <c r="F300" s="26" t="n"/>
      <c r="G300" s="1" t="n"/>
    </row>
    <row r="301">
      <c r="A301" s="1" t="n"/>
      <c r="B301" s="29" t="n"/>
      <c r="C301" s="26" t="n"/>
      <c r="D301" s="26" t="n"/>
      <c r="E301" s="27" t="n"/>
      <c r="F301" s="26" t="n"/>
      <c r="G301" s="1" t="n"/>
    </row>
    <row r="302">
      <c r="A302" s="1" t="n"/>
      <c r="B302" s="29" t="n"/>
      <c r="C302" s="26" t="n"/>
      <c r="D302" s="26" t="n"/>
      <c r="E302" s="27" t="n"/>
      <c r="F302" s="26" t="n"/>
      <c r="G302" s="1" t="n"/>
    </row>
    <row r="303">
      <c r="A303" s="1" t="n"/>
      <c r="B303" s="29" t="n"/>
      <c r="C303" s="26" t="n"/>
      <c r="D303" s="26" t="n"/>
      <c r="E303" s="27" t="n"/>
      <c r="F303" s="26" t="n"/>
      <c r="G303" s="1" t="n"/>
    </row>
    <row r="304">
      <c r="A304" s="1" t="n"/>
      <c r="B304" s="29" t="n"/>
      <c r="C304" s="26" t="n"/>
      <c r="D304" s="26" t="n"/>
      <c r="E304" s="27" t="n"/>
      <c r="F304" s="26" t="n"/>
      <c r="G304" s="1" t="n"/>
    </row>
    <row r="305">
      <c r="A305" s="1" t="n"/>
      <c r="B305" s="29" t="n"/>
      <c r="C305" s="26" t="n"/>
      <c r="D305" s="26" t="n"/>
      <c r="E305" s="27" t="n"/>
      <c r="F305" s="26" t="n"/>
      <c r="G305" s="1" t="n"/>
    </row>
    <row r="306">
      <c r="A306" s="1" t="n"/>
      <c r="B306" s="29" t="n"/>
      <c r="C306" s="26" t="n"/>
      <c r="D306" s="26" t="n"/>
      <c r="E306" s="27" t="n"/>
      <c r="F306" s="26" t="n"/>
      <c r="G306" s="1" t="n"/>
    </row>
    <row r="307">
      <c r="A307" s="1" t="n"/>
      <c r="B307" s="29" t="n"/>
      <c r="C307" s="26" t="n"/>
      <c r="D307" s="26" t="n"/>
      <c r="E307" s="27" t="n"/>
      <c r="F307" s="26" t="n"/>
      <c r="G307" s="1" t="n"/>
    </row>
    <row r="308">
      <c r="A308" s="1" t="n"/>
      <c r="B308" s="29" t="n"/>
      <c r="C308" s="26" t="n"/>
      <c r="D308" s="26" t="n"/>
      <c r="E308" s="27" t="n"/>
      <c r="F308" s="26" t="n"/>
      <c r="G308" s="1" t="n"/>
    </row>
    <row r="309">
      <c r="A309" s="1" t="n"/>
      <c r="B309" s="29" t="n"/>
      <c r="C309" s="26" t="n"/>
      <c r="D309" s="26" t="n"/>
      <c r="E309" s="27" t="n"/>
      <c r="F309" s="26" t="n"/>
      <c r="G309" s="1" t="n"/>
    </row>
    <row r="310">
      <c r="A310" s="1" t="n"/>
      <c r="B310" s="29" t="n"/>
      <c r="C310" s="26" t="n"/>
      <c r="D310" s="26" t="n"/>
      <c r="E310" s="27" t="n"/>
      <c r="F310" s="26" t="n"/>
      <c r="G310" s="1" t="n"/>
    </row>
    <row r="311">
      <c r="A311" s="1" t="n"/>
      <c r="B311" s="29" t="n"/>
      <c r="C311" s="26" t="n"/>
      <c r="D311" s="26" t="n"/>
      <c r="E311" s="27" t="n"/>
      <c r="F311" s="26" t="n"/>
      <c r="G311" s="1" t="n"/>
    </row>
    <row r="312">
      <c r="A312" s="1" t="n"/>
      <c r="B312" s="29" t="n"/>
      <c r="C312" s="26" t="n"/>
      <c r="D312" s="26" t="n"/>
      <c r="E312" s="27" t="n"/>
      <c r="F312" s="26" t="n"/>
      <c r="G312" s="1" t="n"/>
    </row>
    <row r="313">
      <c r="A313" s="1" t="n"/>
      <c r="B313" s="29" t="n"/>
      <c r="C313" s="26" t="n"/>
      <c r="D313" s="26" t="n"/>
      <c r="E313" s="27" t="n"/>
      <c r="F313" s="26" t="n"/>
      <c r="G313" s="1" t="n"/>
    </row>
    <row r="314">
      <c r="A314" s="1" t="n"/>
      <c r="B314" s="29" t="n"/>
      <c r="C314" s="26" t="n"/>
      <c r="D314" s="26" t="n"/>
      <c r="E314" s="27" t="n"/>
      <c r="F314" s="26" t="n"/>
      <c r="G314" s="1" t="n"/>
    </row>
    <row r="315">
      <c r="A315" s="1" t="n"/>
      <c r="B315" s="29" t="n"/>
      <c r="C315" s="26" t="n"/>
      <c r="D315" s="26" t="n"/>
      <c r="E315" s="27" t="n"/>
      <c r="F315" s="26" t="n"/>
      <c r="G315" s="1" t="n"/>
    </row>
    <row r="316">
      <c r="A316" s="1" t="n"/>
      <c r="B316" s="29" t="n"/>
      <c r="C316" s="26" t="n"/>
      <c r="D316" s="26" t="n"/>
      <c r="E316" s="27" t="n"/>
      <c r="F316" s="26" t="n"/>
      <c r="G316" s="1" t="n"/>
    </row>
    <row r="317">
      <c r="A317" s="1" t="n"/>
      <c r="B317" s="29" t="n"/>
      <c r="C317" s="26" t="n"/>
      <c r="D317" s="26" t="n"/>
      <c r="E317" s="27" t="n"/>
      <c r="F317" s="26" t="n"/>
      <c r="G317" s="1" t="n"/>
    </row>
    <row r="318">
      <c r="A318" s="1" t="n"/>
      <c r="B318" s="29" t="n"/>
      <c r="C318" s="26" t="n"/>
      <c r="D318" s="26" t="n"/>
      <c r="E318" s="27" t="n"/>
      <c r="F318" s="26" t="n"/>
      <c r="G318" s="1" t="n"/>
    </row>
    <row r="319">
      <c r="A319" s="1" t="n"/>
      <c r="B319" s="29" t="n"/>
      <c r="C319" s="26" t="n"/>
      <c r="D319" s="26" t="n"/>
      <c r="E319" s="27" t="n"/>
      <c r="F319" s="26" t="n"/>
      <c r="G319" s="1" t="n"/>
    </row>
    <row r="320">
      <c r="A320" s="1" t="n"/>
      <c r="B320" s="29" t="n"/>
      <c r="C320" s="26" t="n"/>
      <c r="D320" s="26" t="n"/>
      <c r="E320" s="27" t="n"/>
      <c r="F320" s="26" t="n"/>
      <c r="G320" s="1" t="n"/>
    </row>
    <row r="321">
      <c r="A321" s="1" t="n"/>
      <c r="B321" s="29" t="n"/>
      <c r="C321" s="26" t="n"/>
      <c r="D321" s="26" t="n"/>
      <c r="E321" s="27" t="n"/>
      <c r="F321" s="26" t="n"/>
      <c r="G321" s="1" t="n"/>
    </row>
    <row r="322">
      <c r="A322" s="1" t="n"/>
      <c r="B322" s="29" t="n"/>
      <c r="C322" s="26" t="n"/>
      <c r="D322" s="26" t="n"/>
      <c r="E322" s="27" t="n"/>
      <c r="F322" s="26" t="n"/>
      <c r="G322" s="1" t="n"/>
    </row>
    <row r="323">
      <c r="A323" s="1" t="n"/>
      <c r="B323" s="29" t="n"/>
      <c r="C323" s="26" t="n"/>
      <c r="D323" s="26" t="n"/>
      <c r="E323" s="27" t="n"/>
      <c r="F323" s="26" t="n"/>
      <c r="G323" s="1" t="n"/>
    </row>
    <row r="324">
      <c r="A324" s="1" t="n"/>
      <c r="B324" s="29" t="n"/>
      <c r="C324" s="26" t="n"/>
      <c r="D324" s="26" t="n"/>
      <c r="E324" s="27" t="n"/>
      <c r="F324" s="26" t="n"/>
      <c r="G324" s="1" t="n"/>
    </row>
    <row r="325">
      <c r="A325" s="1" t="n"/>
      <c r="B325" s="29" t="n"/>
      <c r="C325" s="26" t="n"/>
      <c r="D325" s="26" t="n"/>
      <c r="E325" s="27" t="n"/>
      <c r="F325" s="26" t="n"/>
      <c r="G325" s="1" t="n"/>
    </row>
    <row r="326">
      <c r="A326" s="1" t="n"/>
      <c r="B326" s="29" t="n"/>
      <c r="C326" s="26" t="n"/>
      <c r="D326" s="26" t="n"/>
      <c r="E326" s="27" t="n"/>
      <c r="F326" s="26" t="n"/>
      <c r="G326" s="1" t="n"/>
    </row>
    <row r="327">
      <c r="A327" s="1" t="n"/>
      <c r="B327" s="29" t="n"/>
      <c r="C327" s="26" t="n"/>
      <c r="D327" s="26" t="n"/>
      <c r="E327" s="27" t="n"/>
      <c r="F327" s="26" t="n"/>
      <c r="G327" s="1" t="n"/>
    </row>
    <row r="328">
      <c r="A328" s="1" t="n"/>
      <c r="B328" s="29" t="n"/>
      <c r="C328" s="26" t="n"/>
      <c r="D328" s="26" t="n"/>
      <c r="E328" s="27" t="n"/>
      <c r="F328" s="26" t="n"/>
      <c r="G328" s="1" t="n"/>
    </row>
    <row r="329">
      <c r="A329" s="1" t="n"/>
      <c r="B329" s="29" t="n"/>
      <c r="C329" s="26" t="n"/>
      <c r="D329" s="26" t="n"/>
      <c r="E329" s="27" t="n"/>
      <c r="F329" s="26" t="n"/>
      <c r="G329" s="1" t="n"/>
    </row>
    <row r="330">
      <c r="A330" s="1" t="n"/>
      <c r="B330" s="29" t="n"/>
      <c r="C330" s="26" t="n"/>
      <c r="D330" s="26" t="n"/>
      <c r="E330" s="27" t="n"/>
      <c r="F330" s="26" t="n"/>
      <c r="G330" s="1" t="n"/>
    </row>
    <row r="331">
      <c r="A331" s="1" t="n"/>
      <c r="B331" s="29" t="n"/>
      <c r="C331" s="26" t="n"/>
      <c r="D331" s="26" t="n"/>
      <c r="E331" s="27" t="n"/>
      <c r="F331" s="26" t="n"/>
      <c r="G331" s="1" t="n"/>
    </row>
    <row r="332">
      <c r="A332" s="1" t="n"/>
      <c r="B332" s="29" t="n"/>
      <c r="C332" s="26" t="n"/>
      <c r="D332" s="26" t="n"/>
      <c r="E332" s="27" t="n"/>
      <c r="F332" s="26" t="n"/>
      <c r="G332" s="1" t="n"/>
    </row>
    <row r="333">
      <c r="A333" s="1" t="n"/>
      <c r="B333" s="29" t="n"/>
      <c r="C333" s="26" t="n"/>
      <c r="D333" s="26" t="n"/>
      <c r="E333" s="27" t="n"/>
      <c r="F333" s="26" t="n"/>
      <c r="G333" s="1" t="n"/>
    </row>
    <row r="334">
      <c r="A334" s="1" t="n"/>
      <c r="B334" s="29" t="n"/>
      <c r="C334" s="26" t="n"/>
      <c r="D334" s="26" t="n"/>
      <c r="E334" s="27" t="n"/>
      <c r="F334" s="26" t="n"/>
      <c r="G334" s="1" t="n"/>
    </row>
    <row r="335">
      <c r="A335" s="1" t="n"/>
      <c r="B335" s="29" t="n"/>
      <c r="C335" s="26" t="n"/>
      <c r="D335" s="26" t="n"/>
      <c r="E335" s="27" t="n"/>
      <c r="F335" s="26" t="n"/>
      <c r="G335" s="1" t="n"/>
    </row>
    <row r="336">
      <c r="A336" s="1" t="n"/>
      <c r="B336" s="29" t="n"/>
      <c r="C336" s="26" t="n"/>
      <c r="D336" s="26" t="n"/>
      <c r="E336" s="27" t="n"/>
      <c r="F336" s="26" t="n"/>
      <c r="G336" s="1" t="n"/>
    </row>
    <row r="337">
      <c r="A337" s="1" t="n"/>
      <c r="B337" s="29" t="n"/>
      <c r="C337" s="26" t="n"/>
      <c r="D337" s="26" t="n"/>
      <c r="E337" s="27" t="n"/>
      <c r="F337" s="26" t="n"/>
      <c r="G337" s="1" t="n"/>
    </row>
    <row r="338">
      <c r="A338" s="1" t="n"/>
      <c r="B338" s="29" t="n"/>
      <c r="C338" s="26" t="n"/>
      <c r="D338" s="26" t="n"/>
      <c r="E338" s="27" t="n"/>
      <c r="F338" s="26" t="n"/>
      <c r="G338" s="1" t="n"/>
    </row>
    <row r="339">
      <c r="A339" s="1" t="n"/>
      <c r="B339" s="29" t="n"/>
      <c r="C339" s="26" t="n"/>
      <c r="D339" s="26" t="n"/>
      <c r="E339" s="27" t="n"/>
      <c r="F339" s="26" t="n"/>
      <c r="G339" s="1" t="n"/>
    </row>
    <row r="340">
      <c r="A340" s="1" t="n"/>
      <c r="B340" s="29" t="n"/>
      <c r="C340" s="26" t="n"/>
      <c r="D340" s="26" t="n"/>
      <c r="E340" s="27" t="n"/>
      <c r="F340" s="26" t="n"/>
      <c r="G340" s="1" t="n"/>
    </row>
    <row r="341">
      <c r="A341" s="1" t="n"/>
      <c r="B341" s="29" t="n"/>
      <c r="C341" s="26" t="n"/>
      <c r="D341" s="26" t="n"/>
      <c r="E341" s="27" t="n"/>
      <c r="F341" s="26" t="n"/>
      <c r="G341" s="1" t="n"/>
    </row>
    <row r="342">
      <c r="A342" s="1" t="n"/>
      <c r="B342" s="29" t="n"/>
      <c r="C342" s="26" t="n"/>
      <c r="D342" s="26" t="n"/>
      <c r="E342" s="27" t="n"/>
      <c r="F342" s="26" t="n"/>
      <c r="G342" s="1" t="n"/>
    </row>
    <row r="343">
      <c r="A343" s="1" t="n"/>
      <c r="B343" s="29" t="n"/>
      <c r="C343" s="26" t="n"/>
      <c r="D343" s="26" t="n"/>
      <c r="E343" s="27" t="n"/>
      <c r="F343" s="26" t="n"/>
      <c r="G343" s="1" t="n"/>
    </row>
    <row r="344">
      <c r="A344" s="1" t="n"/>
      <c r="B344" s="29" t="n"/>
      <c r="C344" s="26" t="n"/>
      <c r="D344" s="26" t="n"/>
      <c r="E344" s="27" t="n"/>
      <c r="F344" s="26" t="n"/>
      <c r="G344" s="1" t="n"/>
    </row>
    <row r="345">
      <c r="A345" s="1" t="n"/>
      <c r="B345" s="29" t="n"/>
      <c r="C345" s="26" t="n"/>
      <c r="D345" s="26" t="n"/>
      <c r="E345" s="27" t="n"/>
      <c r="F345" s="26" t="n"/>
      <c r="G345" s="1" t="n"/>
    </row>
    <row r="346">
      <c r="A346" s="1" t="n"/>
      <c r="B346" s="29" t="n"/>
      <c r="C346" s="26" t="n"/>
      <c r="D346" s="26" t="n"/>
      <c r="E346" s="27" t="n"/>
      <c r="F346" s="26" t="n"/>
      <c r="G346" s="1" t="n"/>
    </row>
    <row r="347">
      <c r="A347" s="1" t="n"/>
      <c r="B347" s="29" t="n"/>
      <c r="C347" s="26" t="n"/>
      <c r="D347" s="26" t="n"/>
      <c r="E347" s="27" t="n"/>
      <c r="F347" s="26" t="n"/>
      <c r="G347" s="1" t="n"/>
    </row>
    <row r="348">
      <c r="A348" s="1" t="n"/>
      <c r="B348" s="29" t="n"/>
      <c r="C348" s="26" t="n"/>
      <c r="D348" s="26" t="n"/>
      <c r="E348" s="27" t="n"/>
      <c r="F348" s="26" t="n"/>
      <c r="G348" s="1" t="n"/>
    </row>
    <row r="349">
      <c r="A349" s="1" t="n"/>
      <c r="B349" s="29" t="n"/>
      <c r="C349" s="26" t="n"/>
      <c r="D349" s="26" t="n"/>
      <c r="E349" s="27" t="n"/>
      <c r="F349" s="26" t="n"/>
      <c r="G349" s="1" t="n"/>
    </row>
    <row r="350">
      <c r="A350" s="1" t="n"/>
      <c r="B350" s="29" t="n"/>
      <c r="C350" s="26" t="n"/>
      <c r="D350" s="26" t="n"/>
      <c r="E350" s="27" t="n"/>
      <c r="F350" s="26" t="n"/>
      <c r="G350" s="1" t="n"/>
    </row>
    <row r="351">
      <c r="A351" s="1" t="n"/>
      <c r="B351" s="29" t="n"/>
      <c r="C351" s="26" t="n"/>
      <c r="D351" s="26" t="n"/>
      <c r="E351" s="27" t="n"/>
      <c r="F351" s="26" t="n"/>
      <c r="G351" s="1" t="n"/>
    </row>
    <row r="352">
      <c r="A352" s="1" t="n"/>
      <c r="B352" s="29" t="n"/>
      <c r="C352" s="26" t="n"/>
      <c r="D352" s="26" t="n"/>
      <c r="E352" s="27" t="n"/>
      <c r="F352" s="26" t="n"/>
      <c r="G352" s="1" t="n"/>
    </row>
    <row r="353">
      <c r="A353" s="1" t="n"/>
      <c r="B353" s="29" t="n"/>
      <c r="C353" s="26" t="n"/>
      <c r="D353" s="26" t="n"/>
      <c r="E353" s="27" t="n"/>
      <c r="F353" s="26" t="n"/>
      <c r="G353" s="1" t="n"/>
    </row>
    <row r="354">
      <c r="A354" s="1" t="n"/>
      <c r="B354" s="29" t="n"/>
      <c r="C354" s="26" t="n"/>
      <c r="D354" s="26" t="n"/>
      <c r="E354" s="27" t="n"/>
      <c r="F354" s="26" t="n"/>
      <c r="G354" s="1" t="n"/>
    </row>
    <row r="355">
      <c r="A355" s="1" t="n"/>
      <c r="B355" s="29" t="n"/>
      <c r="C355" s="26" t="n"/>
      <c r="D355" s="26" t="n"/>
      <c r="E355" s="27" t="n"/>
      <c r="F355" s="26" t="n"/>
      <c r="G355" s="1" t="n"/>
    </row>
    <row r="356">
      <c r="A356" s="1" t="n"/>
      <c r="B356" s="29" t="n"/>
      <c r="C356" s="26" t="n"/>
      <c r="D356" s="26" t="n"/>
      <c r="E356" s="27" t="n"/>
      <c r="F356" s="26" t="n"/>
      <c r="G356" s="1" t="n"/>
    </row>
    <row r="357">
      <c r="A357" s="1" t="n"/>
      <c r="B357" s="29" t="n"/>
      <c r="C357" s="26" t="n"/>
      <c r="D357" s="26" t="n"/>
      <c r="E357" s="27" t="n"/>
      <c r="F357" s="26" t="n"/>
      <c r="G357" s="1" t="n"/>
    </row>
    <row r="358">
      <c r="A358" s="1" t="n"/>
      <c r="B358" s="29" t="n"/>
      <c r="C358" s="26" t="n"/>
      <c r="D358" s="26" t="n"/>
      <c r="E358" s="27" t="n"/>
      <c r="F358" s="26" t="n"/>
      <c r="G358" s="1" t="n"/>
    </row>
    <row r="359">
      <c r="A359" s="1" t="n"/>
      <c r="B359" s="29" t="n"/>
      <c r="C359" s="26" t="n"/>
      <c r="D359" s="26" t="n"/>
      <c r="E359" s="27" t="n"/>
      <c r="F359" s="26" t="n"/>
      <c r="G359" s="1" t="n"/>
    </row>
    <row r="360">
      <c r="A360" s="1" t="n"/>
      <c r="B360" s="29" t="n"/>
      <c r="C360" s="26" t="n"/>
      <c r="D360" s="26" t="n"/>
      <c r="E360" s="27" t="n"/>
      <c r="F360" s="26" t="n"/>
      <c r="G360" s="1" t="n"/>
    </row>
    <row r="361">
      <c r="A361" s="1" t="n"/>
      <c r="B361" s="29" t="n"/>
      <c r="C361" s="26" t="n"/>
      <c r="D361" s="26" t="n"/>
      <c r="E361" s="27" t="n"/>
      <c r="F361" s="26" t="n"/>
      <c r="G361" s="1" t="n"/>
    </row>
    <row r="362">
      <c r="A362" s="1" t="n"/>
      <c r="B362" s="29" t="n"/>
      <c r="C362" s="26" t="n"/>
      <c r="D362" s="26" t="n"/>
      <c r="E362" s="27" t="n"/>
      <c r="F362" s="26" t="n"/>
      <c r="G362" s="1" t="n"/>
    </row>
    <row r="363">
      <c r="A363" s="1" t="n"/>
      <c r="B363" s="29" t="n"/>
      <c r="C363" s="26" t="n"/>
      <c r="D363" s="26" t="n"/>
      <c r="E363" s="27" t="n"/>
      <c r="F363" s="26" t="n"/>
      <c r="G363" s="1" t="n"/>
    </row>
    <row r="364">
      <c r="A364" s="1" t="n"/>
      <c r="B364" s="29" t="n"/>
      <c r="C364" s="26" t="n"/>
      <c r="D364" s="26" t="n"/>
      <c r="E364" s="27" t="n"/>
      <c r="F364" s="26" t="n"/>
      <c r="G364" s="1" t="n"/>
    </row>
    <row r="365">
      <c r="A365" s="1" t="n"/>
      <c r="B365" s="29" t="n"/>
      <c r="C365" s="26" t="n"/>
      <c r="D365" s="26" t="n"/>
      <c r="E365" s="27" t="n"/>
      <c r="F365" s="26" t="n"/>
      <c r="G365" s="1" t="n"/>
    </row>
    <row r="366">
      <c r="A366" s="1" t="n"/>
      <c r="B366" s="29" t="n"/>
      <c r="C366" s="26" t="n"/>
      <c r="D366" s="26" t="n"/>
      <c r="E366" s="27" t="n"/>
      <c r="F366" s="26" t="n"/>
      <c r="G366" s="1" t="n"/>
    </row>
    <row r="367">
      <c r="A367" s="1" t="n"/>
      <c r="B367" s="29" t="n"/>
      <c r="C367" s="26" t="n"/>
      <c r="D367" s="26" t="n"/>
      <c r="E367" s="27" t="n"/>
      <c r="F367" s="26" t="n"/>
      <c r="G367" s="1" t="n"/>
    </row>
    <row r="368">
      <c r="A368" s="1" t="n"/>
      <c r="B368" s="29" t="n"/>
      <c r="C368" s="26" t="n"/>
      <c r="D368" s="26" t="n"/>
      <c r="E368" s="27" t="n"/>
      <c r="F368" s="26" t="n"/>
      <c r="G368" s="1" t="n"/>
    </row>
    <row r="369">
      <c r="A369" s="1" t="n"/>
      <c r="B369" s="29" t="n"/>
      <c r="C369" s="26" t="n"/>
      <c r="D369" s="26" t="n"/>
      <c r="E369" s="27" t="n"/>
      <c r="F369" s="26" t="n"/>
      <c r="G369" s="1" t="n"/>
    </row>
    <row r="370">
      <c r="A370" s="1" t="n"/>
      <c r="B370" s="29" t="n"/>
      <c r="C370" s="26" t="n"/>
      <c r="D370" s="26" t="n"/>
      <c r="E370" s="27" t="n"/>
      <c r="F370" s="26" t="n"/>
      <c r="G370" s="1" t="n"/>
    </row>
    <row r="371">
      <c r="A371" s="1" t="n"/>
      <c r="B371" s="29" t="n"/>
      <c r="C371" s="26" t="n"/>
      <c r="D371" s="26" t="n"/>
      <c r="E371" s="27" t="n"/>
      <c r="F371" s="26" t="n"/>
      <c r="G371" s="1" t="n"/>
    </row>
    <row r="372">
      <c r="A372" s="1" t="n"/>
      <c r="B372" s="29" t="n"/>
      <c r="C372" s="26" t="n"/>
      <c r="D372" s="26" t="n"/>
      <c r="E372" s="27" t="n"/>
      <c r="F372" s="26" t="n"/>
      <c r="G372" s="1" t="n"/>
    </row>
    <row r="373">
      <c r="A373" s="1" t="n"/>
      <c r="B373" s="29" t="n"/>
      <c r="C373" s="26" t="n"/>
      <c r="D373" s="26" t="n"/>
      <c r="E373" s="27" t="n"/>
      <c r="F373" s="26" t="n"/>
      <c r="G373" s="1" t="n"/>
    </row>
    <row r="374">
      <c r="A374" s="1" t="n"/>
      <c r="B374" s="29" t="n"/>
      <c r="C374" s="26" t="n"/>
      <c r="D374" s="26" t="n"/>
      <c r="E374" s="27" t="n"/>
      <c r="F374" s="26" t="n"/>
      <c r="G374" s="1" t="n"/>
    </row>
    <row r="375">
      <c r="A375" s="1" t="n"/>
      <c r="B375" s="29" t="n"/>
      <c r="C375" s="26" t="n"/>
      <c r="D375" s="26" t="n"/>
      <c r="E375" s="27" t="n"/>
      <c r="F375" s="26" t="n"/>
      <c r="G375" s="1" t="n"/>
    </row>
    <row r="376">
      <c r="A376" s="1" t="n"/>
      <c r="B376" s="29" t="n"/>
      <c r="C376" s="26" t="n"/>
      <c r="D376" s="26" t="n"/>
      <c r="E376" s="27" t="n"/>
      <c r="F376" s="26" t="n"/>
      <c r="G376" s="1" t="n"/>
    </row>
    <row r="377">
      <c r="A377" s="1" t="n"/>
      <c r="B377" s="29" t="n"/>
      <c r="C377" s="26" t="n"/>
      <c r="D377" s="26" t="n"/>
      <c r="E377" s="27" t="n"/>
      <c r="F377" s="26" t="n"/>
      <c r="G377" s="1" t="n"/>
    </row>
    <row r="378">
      <c r="A378" s="1" t="n"/>
      <c r="B378" s="29" t="n"/>
      <c r="C378" s="26" t="n"/>
      <c r="D378" s="26" t="n"/>
      <c r="E378" s="27" t="n"/>
      <c r="F378" s="26" t="n"/>
      <c r="G378" s="1" t="n"/>
    </row>
    <row r="379">
      <c r="A379" s="1" t="n"/>
      <c r="B379" s="29" t="n"/>
      <c r="C379" s="26" t="n"/>
      <c r="D379" s="26" t="n"/>
      <c r="E379" s="27" t="n"/>
      <c r="F379" s="26" t="n"/>
      <c r="G379" s="1" t="n"/>
    </row>
    <row r="380">
      <c r="A380" s="1" t="n"/>
      <c r="B380" s="29" t="n"/>
      <c r="C380" s="26" t="n"/>
      <c r="D380" s="26" t="n"/>
      <c r="E380" s="27" t="n"/>
      <c r="F380" s="26" t="n"/>
      <c r="G380" s="1" t="n"/>
    </row>
    <row r="381">
      <c r="A381" s="1" t="n"/>
      <c r="B381" s="29" t="n"/>
      <c r="C381" s="26" t="n"/>
      <c r="D381" s="26" t="n"/>
      <c r="E381" s="27" t="n"/>
      <c r="F381" s="26" t="n"/>
      <c r="G381" s="1" t="n"/>
    </row>
    <row r="382">
      <c r="A382" s="1" t="n"/>
      <c r="B382" s="29" t="n"/>
      <c r="C382" s="26" t="n"/>
      <c r="D382" s="26" t="n"/>
      <c r="E382" s="27" t="n"/>
      <c r="F382" s="26" t="n"/>
      <c r="G382" s="1" t="n"/>
    </row>
    <row r="383">
      <c r="A383" s="1" t="n"/>
      <c r="B383" s="29" t="n"/>
      <c r="C383" s="26" t="n"/>
      <c r="D383" s="26" t="n"/>
      <c r="E383" s="27" t="n"/>
      <c r="F383" s="26" t="n"/>
      <c r="G383" s="1" t="n"/>
    </row>
    <row r="384">
      <c r="A384" s="1" t="n"/>
      <c r="B384" s="29" t="n"/>
      <c r="C384" s="26" t="n"/>
      <c r="D384" s="26" t="n"/>
      <c r="E384" s="27" t="n"/>
      <c r="F384" s="26" t="n"/>
      <c r="G384" s="1" t="n"/>
    </row>
    <row r="385">
      <c r="A385" s="1" t="n"/>
      <c r="B385" s="29" t="n"/>
      <c r="C385" s="26" t="n"/>
      <c r="D385" s="26" t="n"/>
      <c r="E385" s="27" t="n"/>
      <c r="F385" s="26" t="n"/>
      <c r="G385" s="1" t="n"/>
    </row>
    <row r="386">
      <c r="A386" s="1" t="n"/>
      <c r="B386" s="29" t="n"/>
      <c r="C386" s="26" t="n"/>
      <c r="D386" s="26" t="n"/>
      <c r="E386" s="27" t="n"/>
      <c r="F386" s="26" t="n"/>
      <c r="G386" s="1" t="n"/>
    </row>
    <row r="387">
      <c r="A387" s="1" t="n"/>
      <c r="B387" s="29" t="n"/>
      <c r="C387" s="26" t="n"/>
      <c r="D387" s="26" t="n"/>
      <c r="E387" s="27" t="n"/>
      <c r="F387" s="26" t="n"/>
      <c r="G387" s="1" t="n"/>
    </row>
    <row r="388">
      <c r="A388" s="1" t="n"/>
      <c r="B388" s="29" t="n"/>
      <c r="C388" s="26" t="n"/>
      <c r="D388" s="26" t="n"/>
      <c r="E388" s="27" t="n"/>
      <c r="F388" s="26" t="n"/>
      <c r="G388" s="1" t="n"/>
    </row>
    <row r="389">
      <c r="A389" s="1" t="n"/>
      <c r="B389" s="29" t="n"/>
      <c r="C389" s="26" t="n"/>
      <c r="D389" s="26" t="n"/>
      <c r="E389" s="27" t="n"/>
      <c r="F389" s="26" t="n"/>
      <c r="G389" s="1" t="n"/>
    </row>
    <row r="390">
      <c r="A390" s="1" t="n"/>
      <c r="B390" s="29" t="n"/>
      <c r="C390" s="26" t="n"/>
      <c r="D390" s="26" t="n"/>
      <c r="E390" s="27" t="n"/>
      <c r="F390" s="26" t="n"/>
      <c r="G390" s="1" t="n"/>
    </row>
    <row r="391">
      <c r="A391" s="1" t="n"/>
      <c r="B391" s="29" t="n"/>
      <c r="C391" s="26" t="n"/>
      <c r="D391" s="26" t="n"/>
      <c r="E391" s="27" t="n"/>
      <c r="F391" s="26" t="n"/>
      <c r="G391" s="1" t="n"/>
    </row>
    <row r="392">
      <c r="A392" s="1" t="n"/>
      <c r="B392" s="29" t="n"/>
      <c r="C392" s="26" t="n"/>
      <c r="D392" s="26" t="n"/>
      <c r="E392" s="27" t="n"/>
      <c r="F392" s="26" t="n"/>
      <c r="G392" s="1" t="n"/>
    </row>
    <row r="393">
      <c r="A393" s="1" t="n"/>
      <c r="B393" s="29" t="n"/>
      <c r="C393" s="26" t="n"/>
      <c r="D393" s="26" t="n"/>
      <c r="E393" s="27" t="n"/>
      <c r="F393" s="26" t="n"/>
      <c r="G393" s="1" t="n"/>
    </row>
    <row r="394">
      <c r="A394" s="1" t="n"/>
      <c r="B394" s="29" t="n"/>
      <c r="C394" s="26" t="n"/>
      <c r="D394" s="26" t="n"/>
      <c r="E394" s="27" t="n"/>
      <c r="F394" s="26" t="n"/>
      <c r="G394" s="1" t="n"/>
    </row>
    <row r="395">
      <c r="A395" s="1" t="n"/>
      <c r="B395" s="29" t="n"/>
      <c r="C395" s="26" t="n"/>
      <c r="D395" s="26" t="n"/>
      <c r="E395" s="27" t="n"/>
      <c r="F395" s="26" t="n"/>
      <c r="G395" s="1" t="n"/>
    </row>
    <row r="396">
      <c r="A396" s="1" t="n"/>
      <c r="B396" s="29" t="n"/>
      <c r="C396" s="26" t="n"/>
      <c r="D396" s="26" t="n"/>
      <c r="E396" s="27" t="n"/>
      <c r="F396" s="26" t="n"/>
      <c r="G396" s="1" t="n"/>
    </row>
    <row r="397">
      <c r="A397" s="1" t="n"/>
      <c r="B397" s="29" t="n"/>
      <c r="C397" s="26" t="n"/>
      <c r="D397" s="26" t="n"/>
      <c r="E397" s="27" t="n"/>
      <c r="F397" s="26" t="n"/>
      <c r="G397" s="1" t="n"/>
    </row>
    <row r="398">
      <c r="A398" s="1" t="n"/>
      <c r="B398" s="29" t="n"/>
      <c r="C398" s="26" t="n"/>
      <c r="D398" s="26" t="n"/>
      <c r="E398" s="27" t="n"/>
      <c r="F398" s="26" t="n"/>
      <c r="G398" s="1" t="n"/>
    </row>
    <row r="399">
      <c r="A399" s="1" t="n"/>
      <c r="B399" s="29" t="n"/>
      <c r="C399" s="26" t="n"/>
      <c r="D399" s="26" t="n"/>
      <c r="E399" s="27" t="n"/>
      <c r="F399" s="26" t="n"/>
      <c r="G399" s="1" t="n"/>
    </row>
    <row r="400">
      <c r="A400" s="1" t="n"/>
      <c r="B400" s="29" t="n"/>
      <c r="C400" s="26" t="n"/>
      <c r="D400" s="26" t="n"/>
      <c r="E400" s="27" t="n"/>
      <c r="F400" s="26" t="n"/>
      <c r="G400" s="1" t="n"/>
    </row>
    <row r="401">
      <c r="A401" s="1" t="n"/>
      <c r="B401" s="29" t="n"/>
      <c r="C401" s="26" t="n"/>
      <c r="D401" s="26" t="n"/>
      <c r="E401" s="27" t="n"/>
      <c r="F401" s="26" t="n"/>
      <c r="G401" s="1" t="n"/>
    </row>
    <row r="402">
      <c r="A402" s="1" t="n"/>
      <c r="B402" s="29" t="n"/>
      <c r="C402" s="26" t="n"/>
      <c r="D402" s="26" t="n"/>
      <c r="E402" s="27" t="n"/>
      <c r="F402" s="26" t="n"/>
      <c r="G402" s="1" t="n"/>
    </row>
    <row r="403">
      <c r="A403" s="1" t="n"/>
      <c r="B403" s="29" t="n"/>
      <c r="C403" s="26" t="n"/>
      <c r="D403" s="26" t="n"/>
      <c r="E403" s="27" t="n"/>
      <c r="F403" s="26" t="n"/>
      <c r="G403" s="1" t="n"/>
    </row>
    <row r="404">
      <c r="A404" s="1" t="n"/>
      <c r="B404" s="29" t="n"/>
      <c r="C404" s="26" t="n"/>
      <c r="D404" s="26" t="n"/>
      <c r="E404" s="27" t="n"/>
      <c r="F404" s="26" t="n"/>
      <c r="G404" s="1" t="n"/>
    </row>
    <row r="405">
      <c r="A405" s="1" t="n"/>
      <c r="B405" s="29" t="n"/>
      <c r="C405" s="26" t="n"/>
      <c r="D405" s="26" t="n"/>
      <c r="E405" s="27" t="n"/>
      <c r="F405" s="26" t="n"/>
      <c r="G405" s="1" t="n"/>
    </row>
    <row r="406">
      <c r="A406" s="1" t="n"/>
      <c r="B406" s="29" t="n"/>
      <c r="C406" s="26" t="n"/>
      <c r="D406" s="26" t="n"/>
      <c r="E406" s="27" t="n"/>
      <c r="F406" s="26" t="n"/>
      <c r="G406" s="1" t="n"/>
    </row>
    <row r="407">
      <c r="A407" s="1" t="n"/>
      <c r="B407" s="29" t="n"/>
      <c r="C407" s="26" t="n"/>
      <c r="D407" s="26" t="n"/>
      <c r="E407" s="27" t="n"/>
      <c r="F407" s="26" t="n"/>
      <c r="G407" s="1" t="n"/>
    </row>
    <row r="408">
      <c r="A408" s="1" t="n"/>
      <c r="B408" s="29" t="n"/>
      <c r="C408" s="26" t="n"/>
      <c r="D408" s="26" t="n"/>
      <c r="E408" s="27" t="n"/>
      <c r="F408" s="26" t="n"/>
      <c r="G408" s="1" t="n"/>
    </row>
    <row r="409">
      <c r="A409" s="1" t="n"/>
      <c r="B409" s="29" t="n"/>
      <c r="C409" s="26" t="n"/>
      <c r="D409" s="26" t="n"/>
      <c r="E409" s="27" t="n"/>
      <c r="F409" s="26" t="n"/>
      <c r="G409" s="1" t="n"/>
    </row>
    <row r="410">
      <c r="A410" s="1" t="n"/>
      <c r="B410" s="29" t="n"/>
      <c r="C410" s="26" t="n"/>
      <c r="D410" s="26" t="n"/>
      <c r="E410" s="27" t="n"/>
      <c r="F410" s="26" t="n"/>
      <c r="G410" s="1" t="n"/>
    </row>
    <row r="411">
      <c r="A411" s="1" t="n"/>
      <c r="B411" s="29" t="n"/>
      <c r="C411" s="26" t="n"/>
      <c r="D411" s="26" t="n"/>
      <c r="E411" s="27" t="n"/>
      <c r="F411" s="26" t="n"/>
      <c r="G411" s="1" t="n"/>
    </row>
    <row r="412">
      <c r="A412" s="1" t="n"/>
      <c r="B412" s="29" t="n"/>
      <c r="C412" s="26" t="n"/>
      <c r="D412" s="26" t="n"/>
      <c r="E412" s="27" t="n"/>
      <c r="F412" s="26" t="n"/>
      <c r="G412" s="1" t="n"/>
    </row>
    <row r="413">
      <c r="A413" s="1" t="n"/>
      <c r="B413" s="29" t="n"/>
      <c r="C413" s="26" t="n"/>
      <c r="D413" s="26" t="n"/>
      <c r="E413" s="27" t="n"/>
      <c r="F413" s="26" t="n"/>
      <c r="G413" s="1" t="n"/>
    </row>
    <row r="414">
      <c r="A414" s="1" t="n"/>
      <c r="B414" s="29" t="n"/>
      <c r="C414" s="26" t="n"/>
      <c r="D414" s="26" t="n"/>
      <c r="E414" s="27" t="n"/>
      <c r="F414" s="26" t="n"/>
      <c r="G414" s="1" t="n"/>
    </row>
    <row r="415">
      <c r="A415" s="1" t="n"/>
      <c r="B415" s="29" t="n"/>
      <c r="C415" s="26" t="n"/>
      <c r="D415" s="26" t="n"/>
      <c r="E415" s="27" t="n"/>
      <c r="F415" s="26" t="n"/>
      <c r="G415" s="1" t="n"/>
    </row>
    <row r="416">
      <c r="A416" s="1" t="n"/>
      <c r="B416" s="29" t="n"/>
      <c r="C416" s="26" t="n"/>
      <c r="D416" s="26" t="n"/>
      <c r="E416" s="27" t="n"/>
      <c r="F416" s="26" t="n"/>
      <c r="G416" s="1" t="n"/>
    </row>
    <row r="417">
      <c r="A417" s="1" t="n"/>
      <c r="B417" s="29" t="n"/>
      <c r="C417" s="26" t="n"/>
      <c r="D417" s="26" t="n"/>
      <c r="E417" s="27" t="n"/>
      <c r="F417" s="26" t="n"/>
      <c r="G417" s="1" t="n"/>
    </row>
    <row r="418">
      <c r="A418" s="1" t="n"/>
      <c r="B418" s="29" t="n"/>
      <c r="C418" s="26" t="n"/>
      <c r="D418" s="26" t="n"/>
      <c r="E418" s="27" t="n"/>
      <c r="F418" s="26" t="n"/>
      <c r="G418" s="1" t="n"/>
    </row>
    <row r="419">
      <c r="A419" s="1" t="n"/>
      <c r="B419" s="29" t="n"/>
      <c r="C419" s="26" t="n"/>
      <c r="D419" s="26" t="n"/>
      <c r="E419" s="27" t="n"/>
      <c r="F419" s="26" t="n"/>
      <c r="G419" s="1" t="n"/>
    </row>
    <row r="420">
      <c r="A420" s="1" t="n"/>
      <c r="B420" s="29" t="n"/>
      <c r="C420" s="26" t="n"/>
      <c r="D420" s="26" t="n"/>
      <c r="E420" s="27" t="n"/>
      <c r="F420" s="26" t="n"/>
      <c r="G420" s="1" t="n"/>
    </row>
    <row r="421">
      <c r="A421" s="1" t="n"/>
      <c r="B421" s="29" t="n"/>
      <c r="C421" s="26" t="n"/>
      <c r="D421" s="26" t="n"/>
      <c r="E421" s="27" t="n"/>
      <c r="F421" s="26" t="n"/>
      <c r="G421" s="1" t="n"/>
    </row>
    <row r="422">
      <c r="A422" s="1" t="n"/>
      <c r="B422" s="29" t="n"/>
      <c r="C422" s="26" t="n"/>
      <c r="D422" s="26" t="n"/>
      <c r="E422" s="27" t="n"/>
      <c r="F422" s="26" t="n"/>
      <c r="G422" s="1" t="n"/>
    </row>
    <row r="423">
      <c r="A423" s="1" t="n"/>
      <c r="B423" s="29" t="n"/>
      <c r="C423" s="26" t="n"/>
      <c r="D423" s="26" t="n"/>
      <c r="E423" s="27" t="n"/>
      <c r="F423" s="26" t="n"/>
      <c r="G423" s="1" t="n"/>
    </row>
    <row r="424">
      <c r="A424" s="1" t="n"/>
      <c r="B424" s="29" t="n"/>
      <c r="C424" s="26" t="n"/>
      <c r="D424" s="26" t="n"/>
      <c r="E424" s="27" t="n"/>
      <c r="F424" s="26" t="n"/>
      <c r="G424" s="1" t="n"/>
    </row>
    <row r="425">
      <c r="A425" s="1" t="n"/>
      <c r="B425" s="29" t="n"/>
      <c r="C425" s="26" t="n"/>
      <c r="D425" s="26" t="n"/>
      <c r="E425" s="27" t="n"/>
      <c r="F425" s="26" t="n"/>
      <c r="G425" s="1" t="n"/>
    </row>
    <row r="426">
      <c r="A426" s="1" t="n"/>
      <c r="B426" s="29" t="n"/>
      <c r="C426" s="26" t="n"/>
      <c r="D426" s="26" t="n"/>
      <c r="E426" s="27" t="n"/>
      <c r="F426" s="26" t="n"/>
      <c r="G426" s="1" t="n"/>
    </row>
    <row r="427">
      <c r="A427" s="1" t="n"/>
      <c r="B427" s="29" t="n"/>
      <c r="C427" s="26" t="n"/>
      <c r="D427" s="26" t="n"/>
      <c r="E427" s="27" t="n"/>
      <c r="F427" s="26" t="n"/>
      <c r="G427" s="1" t="n"/>
    </row>
    <row r="428">
      <c r="A428" s="1" t="n"/>
      <c r="B428" s="29" t="n"/>
      <c r="C428" s="26" t="n"/>
      <c r="D428" s="26" t="n"/>
      <c r="E428" s="27" t="n"/>
      <c r="F428" s="26" t="n"/>
      <c r="G428" s="1" t="n"/>
    </row>
    <row r="429">
      <c r="A429" s="1" t="n"/>
      <c r="B429" s="29" t="n"/>
      <c r="C429" s="26" t="n"/>
      <c r="D429" s="26" t="n"/>
      <c r="E429" s="27" t="n"/>
      <c r="F429" s="26" t="n"/>
      <c r="G429" s="1" t="n"/>
    </row>
    <row r="430">
      <c r="A430" s="1" t="n"/>
      <c r="B430" s="29" t="n"/>
      <c r="C430" s="26" t="n"/>
      <c r="D430" s="26" t="n"/>
      <c r="E430" s="27" t="n"/>
      <c r="F430" s="26" t="n"/>
      <c r="G430" s="1" t="n"/>
    </row>
    <row r="431">
      <c r="A431" s="1" t="n"/>
      <c r="B431" s="29" t="n"/>
      <c r="C431" s="26" t="n"/>
      <c r="D431" s="26" t="n"/>
      <c r="E431" s="27" t="n"/>
      <c r="F431" s="26" t="n"/>
      <c r="G431" s="1" t="n"/>
    </row>
    <row r="432">
      <c r="A432" s="1" t="n"/>
      <c r="B432" s="29" t="n"/>
      <c r="C432" s="26" t="n"/>
      <c r="D432" s="26" t="n"/>
      <c r="E432" s="27" t="n"/>
      <c r="F432" s="26" t="n"/>
      <c r="G432" s="1" t="n"/>
    </row>
    <row r="433">
      <c r="A433" s="1" t="n"/>
      <c r="B433" s="29" t="n"/>
      <c r="C433" s="26" t="n"/>
      <c r="D433" s="26" t="n"/>
      <c r="E433" s="27" t="n"/>
      <c r="F433" s="26" t="n"/>
      <c r="G433" s="1" t="n"/>
    </row>
    <row r="434">
      <c r="A434" s="1" t="n"/>
      <c r="B434" s="29" t="n"/>
      <c r="C434" s="26" t="n"/>
      <c r="D434" s="26" t="n"/>
      <c r="E434" s="27" t="n"/>
      <c r="F434" s="26" t="n"/>
      <c r="G434" s="1" t="n"/>
    </row>
    <row r="435">
      <c r="A435" s="1" t="n"/>
      <c r="B435" s="29" t="n"/>
      <c r="C435" s="26" t="n"/>
      <c r="D435" s="26" t="n"/>
      <c r="E435" s="27" t="n"/>
      <c r="F435" s="26" t="n"/>
      <c r="G435" s="1" t="n"/>
    </row>
    <row r="436">
      <c r="A436" s="1" t="n"/>
      <c r="B436" s="29" t="n"/>
      <c r="C436" s="26" t="n"/>
      <c r="D436" s="26" t="n"/>
      <c r="E436" s="27" t="n"/>
      <c r="F436" s="26" t="n"/>
      <c r="G436" s="1" t="n"/>
    </row>
    <row r="437">
      <c r="A437" s="1" t="n"/>
      <c r="B437" s="29" t="n"/>
      <c r="C437" s="26" t="n"/>
      <c r="D437" s="26" t="n"/>
      <c r="E437" s="27" t="n"/>
      <c r="F437" s="26" t="n"/>
      <c r="G437" s="1" t="n"/>
    </row>
    <row r="438">
      <c r="A438" s="1" t="n"/>
      <c r="B438" s="29" t="n"/>
      <c r="C438" s="26" t="n"/>
      <c r="D438" s="26" t="n"/>
      <c r="E438" s="27" t="n"/>
      <c r="F438" s="26" t="n"/>
      <c r="G438" s="1" t="n"/>
    </row>
    <row r="439">
      <c r="A439" s="1" t="n"/>
      <c r="B439" s="29" t="n"/>
      <c r="C439" s="26" t="n"/>
      <c r="D439" s="26" t="n"/>
      <c r="E439" s="27" t="n"/>
      <c r="F439" s="26" t="n"/>
      <c r="G439" s="1" t="n"/>
    </row>
    <row r="440">
      <c r="A440" s="1" t="n"/>
      <c r="B440" s="29" t="n"/>
      <c r="C440" s="26" t="n"/>
      <c r="D440" s="26" t="n"/>
      <c r="E440" s="27" t="n"/>
      <c r="F440" s="26" t="n"/>
      <c r="G440" s="1" t="n"/>
    </row>
    <row r="441">
      <c r="A441" s="1" t="n"/>
      <c r="B441" s="29" t="n"/>
      <c r="C441" s="26" t="n"/>
      <c r="D441" s="26" t="n"/>
      <c r="E441" s="27" t="n"/>
      <c r="F441" s="26" t="n"/>
      <c r="G441" s="1" t="n"/>
    </row>
    <row r="442">
      <c r="A442" s="1" t="n"/>
      <c r="B442" s="29" t="n"/>
      <c r="C442" s="26" t="n"/>
      <c r="D442" s="26" t="n"/>
      <c r="E442" s="27" t="n"/>
      <c r="F442" s="26" t="n"/>
      <c r="G442" s="1" t="n"/>
    </row>
    <row r="443">
      <c r="A443" s="1" t="n"/>
      <c r="B443" s="29" t="n"/>
      <c r="C443" s="26" t="n"/>
      <c r="D443" s="26" t="n"/>
      <c r="E443" s="27" t="n"/>
      <c r="F443" s="26" t="n"/>
      <c r="G443" s="1" t="n"/>
    </row>
    <row r="444">
      <c r="A444" s="1" t="n"/>
      <c r="B444" s="29" t="n"/>
      <c r="C444" s="26" t="n"/>
      <c r="D444" s="26" t="n"/>
      <c r="E444" s="27" t="n"/>
      <c r="F444" s="26" t="n"/>
      <c r="G444" s="1" t="n"/>
    </row>
    <row r="445">
      <c r="A445" s="1" t="n"/>
      <c r="B445" s="29" t="n"/>
      <c r="C445" s="26" t="n"/>
      <c r="D445" s="26" t="n"/>
      <c r="E445" s="27" t="n"/>
      <c r="F445" s="26" t="n"/>
      <c r="G445" s="1" t="n"/>
    </row>
    <row r="446">
      <c r="A446" s="1" t="n"/>
      <c r="B446" s="29" t="n"/>
      <c r="C446" s="26" t="n"/>
      <c r="D446" s="26" t="n"/>
      <c r="E446" s="27" t="n"/>
      <c r="F446" s="26" t="n"/>
      <c r="G446" s="1" t="n"/>
    </row>
    <row r="447">
      <c r="A447" s="1" t="n"/>
      <c r="B447" s="29" t="n"/>
      <c r="C447" s="26" t="n"/>
      <c r="D447" s="26" t="n"/>
      <c r="E447" s="27" t="n"/>
      <c r="F447" s="26" t="n"/>
      <c r="G447" s="1" t="n"/>
    </row>
    <row r="448">
      <c r="A448" s="1" t="n"/>
      <c r="B448" s="29" t="n"/>
      <c r="C448" s="26" t="n"/>
      <c r="D448" s="26" t="n"/>
      <c r="E448" s="27" t="n"/>
      <c r="F448" s="26" t="n"/>
      <c r="G448" s="1" t="n"/>
    </row>
    <row r="449">
      <c r="A449" s="1" t="n"/>
      <c r="B449" s="29" t="n"/>
      <c r="C449" s="26" t="n"/>
      <c r="D449" s="26" t="n"/>
      <c r="E449" s="27" t="n"/>
      <c r="F449" s="26" t="n"/>
      <c r="G449" s="1" t="n"/>
    </row>
    <row r="450">
      <c r="A450" s="1" t="n"/>
      <c r="B450" s="29" t="n"/>
      <c r="C450" s="26" t="n"/>
      <c r="D450" s="26" t="n"/>
      <c r="E450" s="27" t="n"/>
      <c r="F450" s="26" t="n"/>
      <c r="G450" s="1" t="n"/>
    </row>
    <row r="451">
      <c r="A451" s="1" t="n"/>
      <c r="B451" s="29" t="n"/>
      <c r="C451" s="26" t="n"/>
      <c r="D451" s="26" t="n"/>
      <c r="E451" s="27" t="n"/>
      <c r="F451" s="26" t="n"/>
      <c r="G451" s="1" t="n"/>
    </row>
    <row r="452">
      <c r="A452" s="1" t="n"/>
      <c r="B452" s="29" t="n"/>
      <c r="C452" s="26" t="n"/>
      <c r="D452" s="26" t="n"/>
      <c r="E452" s="27" t="n"/>
      <c r="F452" s="26" t="n"/>
      <c r="G452" s="1" t="n"/>
    </row>
    <row r="453">
      <c r="A453" s="1" t="n"/>
      <c r="B453" s="29" t="n"/>
      <c r="C453" s="26" t="n"/>
      <c r="D453" s="26" t="n"/>
      <c r="E453" s="27" t="n"/>
      <c r="F453" s="26" t="n"/>
      <c r="G453" s="1" t="n"/>
    </row>
    <row r="454">
      <c r="A454" s="1" t="n"/>
      <c r="B454" s="29" t="n"/>
      <c r="C454" s="26" t="n"/>
      <c r="D454" s="26" t="n"/>
      <c r="E454" s="27" t="n"/>
      <c r="F454" s="26" t="n"/>
      <c r="G454" s="1" t="n"/>
    </row>
    <row r="455">
      <c r="A455" s="1" t="n"/>
      <c r="B455" s="29" t="n"/>
      <c r="C455" s="26" t="n"/>
      <c r="D455" s="26" t="n"/>
      <c r="E455" s="27" t="n"/>
      <c r="F455" s="26" t="n"/>
      <c r="G455" s="1" t="n"/>
    </row>
    <row r="456">
      <c r="A456" s="1" t="n"/>
      <c r="B456" s="29" t="n"/>
      <c r="C456" s="26" t="n"/>
      <c r="D456" s="26" t="n"/>
      <c r="E456" s="27" t="n"/>
      <c r="F456" s="26" t="n"/>
      <c r="G456" s="1" t="n"/>
    </row>
    <row r="457">
      <c r="A457" s="1" t="n"/>
      <c r="B457" s="29" t="n"/>
      <c r="C457" s="26" t="n"/>
      <c r="D457" s="26" t="n"/>
      <c r="E457" s="27" t="n"/>
      <c r="F457" s="26" t="n"/>
      <c r="G457" s="1" t="n"/>
    </row>
    <row r="458">
      <c r="A458" s="1" t="n"/>
      <c r="B458" s="29" t="n"/>
      <c r="C458" s="26" t="n"/>
      <c r="D458" s="26" t="n"/>
      <c r="E458" s="27" t="n"/>
      <c r="F458" s="26" t="n"/>
      <c r="G458" s="1" t="n"/>
    </row>
    <row r="459">
      <c r="A459" s="1" t="n"/>
      <c r="B459" s="29" t="n"/>
      <c r="C459" s="26" t="n"/>
      <c r="D459" s="26" t="n"/>
      <c r="E459" s="27" t="n"/>
      <c r="F459" s="26" t="n"/>
      <c r="G459" s="1" t="n"/>
    </row>
    <row r="460">
      <c r="A460" s="1" t="n"/>
      <c r="B460" s="29" t="n"/>
      <c r="C460" s="26" t="n"/>
      <c r="D460" s="26" t="n"/>
      <c r="E460" s="27" t="n"/>
      <c r="F460" s="26" t="n"/>
      <c r="G460" s="1" t="n"/>
    </row>
    <row r="461">
      <c r="A461" s="1" t="n"/>
      <c r="B461" s="29" t="n"/>
      <c r="C461" s="26" t="n"/>
      <c r="D461" s="26" t="n"/>
      <c r="E461" s="27" t="n"/>
      <c r="F461" s="26" t="n"/>
      <c r="G461" s="1" t="n"/>
    </row>
    <row r="462">
      <c r="A462" s="1" t="n"/>
      <c r="B462" s="29" t="n"/>
      <c r="C462" s="26" t="n"/>
      <c r="D462" s="26" t="n"/>
      <c r="E462" s="27" t="n"/>
      <c r="F462" s="26" t="n"/>
      <c r="G462" s="1" t="n"/>
    </row>
    <row r="463">
      <c r="A463" s="1" t="n"/>
      <c r="B463" s="29" t="n"/>
      <c r="C463" s="26" t="n"/>
      <c r="D463" s="26" t="n"/>
      <c r="E463" s="27" t="n"/>
      <c r="F463" s="26" t="n"/>
      <c r="G463" s="1" t="n"/>
    </row>
    <row r="464">
      <c r="A464" s="1" t="n"/>
      <c r="B464" s="29" t="n"/>
      <c r="C464" s="26" t="n"/>
      <c r="D464" s="26" t="n"/>
      <c r="E464" s="27" t="n"/>
      <c r="F464" s="26" t="n"/>
      <c r="G464" s="1" t="n"/>
    </row>
    <row r="465">
      <c r="A465" s="1" t="n"/>
      <c r="B465" s="29" t="n"/>
      <c r="C465" s="26" t="n"/>
      <c r="D465" s="26" t="n"/>
      <c r="E465" s="27" t="n"/>
      <c r="F465" s="26" t="n"/>
      <c r="G465" s="1" t="n"/>
    </row>
    <row r="466">
      <c r="A466" s="1" t="n"/>
      <c r="B466" s="29" t="n"/>
      <c r="C466" s="26" t="n"/>
      <c r="D466" s="26" t="n"/>
      <c r="E466" s="27" t="n"/>
      <c r="F466" s="26" t="n"/>
      <c r="G466" s="1" t="n"/>
    </row>
    <row r="467">
      <c r="A467" s="1" t="n"/>
      <c r="B467" s="29" t="n"/>
      <c r="C467" s="26" t="n"/>
      <c r="D467" s="26" t="n"/>
      <c r="E467" s="27" t="n"/>
      <c r="F467" s="26" t="n"/>
      <c r="G467" s="1" t="n"/>
    </row>
    <row r="468">
      <c r="A468" s="1" t="n"/>
      <c r="B468" s="29" t="n"/>
      <c r="C468" s="26" t="n"/>
      <c r="D468" s="26" t="n"/>
      <c r="E468" s="27" t="n"/>
      <c r="F468" s="26" t="n"/>
      <c r="G468" s="1" t="n"/>
    </row>
    <row r="469">
      <c r="A469" s="1" t="n"/>
      <c r="B469" s="29" t="n"/>
      <c r="C469" s="26" t="n"/>
      <c r="D469" s="26" t="n"/>
      <c r="E469" s="27" t="n"/>
      <c r="F469" s="26" t="n"/>
      <c r="G469" s="1" t="n"/>
    </row>
    <row r="470">
      <c r="A470" s="1" t="n"/>
      <c r="B470" s="29" t="n"/>
      <c r="C470" s="26" t="n"/>
      <c r="D470" s="26" t="n"/>
      <c r="E470" s="27" t="n"/>
      <c r="F470" s="26" t="n"/>
      <c r="G470" s="1" t="n"/>
    </row>
    <row r="471">
      <c r="A471" s="1" t="n"/>
      <c r="B471" s="29" t="n"/>
      <c r="C471" s="26" t="n"/>
      <c r="D471" s="26" t="n"/>
      <c r="E471" s="27" t="n"/>
      <c r="F471" s="26" t="n"/>
      <c r="G471" s="1" t="n"/>
    </row>
    <row r="472">
      <c r="A472" s="1" t="n"/>
      <c r="B472" s="29" t="n"/>
      <c r="C472" s="26" t="n"/>
      <c r="D472" s="26" t="n"/>
      <c r="E472" s="27" t="n"/>
      <c r="F472" s="26" t="n"/>
      <c r="G472" s="1" t="n"/>
    </row>
    <row r="473">
      <c r="A473" s="1" t="n"/>
      <c r="B473" s="29" t="n"/>
      <c r="C473" s="26" t="n"/>
      <c r="D473" s="26" t="n"/>
      <c r="E473" s="27" t="n"/>
      <c r="F473" s="26" t="n"/>
      <c r="G473" s="1" t="n"/>
    </row>
    <row r="474">
      <c r="A474" s="1" t="n"/>
      <c r="B474" s="29" t="n"/>
      <c r="C474" s="26" t="n"/>
      <c r="D474" s="26" t="n"/>
      <c r="E474" s="27" t="n"/>
      <c r="F474" s="26" t="n"/>
      <c r="G474" s="1" t="n"/>
    </row>
    <row r="475">
      <c r="A475" s="1" t="n"/>
      <c r="B475" s="29" t="n"/>
      <c r="C475" s="26" t="n"/>
      <c r="D475" s="26" t="n"/>
      <c r="E475" s="27" t="n"/>
      <c r="F475" s="26" t="n"/>
      <c r="G475" s="1" t="n"/>
    </row>
    <row r="476">
      <c r="A476" s="1" t="n"/>
      <c r="B476" s="29" t="n"/>
      <c r="C476" s="26" t="n"/>
      <c r="D476" s="26" t="n"/>
      <c r="E476" s="27" t="n"/>
      <c r="F476" s="26" t="n"/>
      <c r="G476" s="1" t="n"/>
    </row>
    <row r="477">
      <c r="A477" s="1" t="n"/>
      <c r="B477" s="29" t="n"/>
      <c r="C477" s="26" t="n"/>
      <c r="D477" s="26" t="n"/>
      <c r="E477" s="27" t="n"/>
      <c r="F477" s="26" t="n"/>
      <c r="G477" s="1" t="n"/>
    </row>
    <row r="478">
      <c r="A478" s="1" t="n"/>
      <c r="B478" s="29" t="n"/>
      <c r="C478" s="26" t="n"/>
      <c r="D478" s="26" t="n"/>
      <c r="E478" s="27" t="n"/>
      <c r="F478" s="26" t="n"/>
      <c r="G478" s="1" t="n"/>
    </row>
    <row r="479">
      <c r="A479" s="1" t="n"/>
      <c r="B479" s="29" t="n"/>
      <c r="C479" s="26" t="n"/>
      <c r="D479" s="26" t="n"/>
      <c r="E479" s="27" t="n"/>
      <c r="F479" s="26" t="n"/>
      <c r="G479" s="1" t="n"/>
    </row>
    <row r="480">
      <c r="A480" s="1" t="n"/>
      <c r="B480" s="29" t="n"/>
      <c r="C480" s="26" t="n"/>
      <c r="D480" s="26" t="n"/>
      <c r="E480" s="27" t="n"/>
      <c r="F480" s="26" t="n"/>
      <c r="G480" s="1" t="n"/>
    </row>
    <row r="481">
      <c r="A481" s="1" t="n"/>
      <c r="B481" s="29" t="n"/>
      <c r="C481" s="26" t="n"/>
      <c r="D481" s="26" t="n"/>
      <c r="E481" s="27" t="n"/>
      <c r="F481" s="26" t="n"/>
      <c r="G481" s="1" t="n"/>
    </row>
    <row r="482">
      <c r="A482" s="1" t="n"/>
      <c r="B482" s="29" t="n"/>
      <c r="C482" s="26" t="n"/>
      <c r="D482" s="26" t="n"/>
      <c r="E482" s="27" t="n"/>
      <c r="F482" s="26" t="n"/>
      <c r="G482" s="1" t="n"/>
    </row>
    <row r="483">
      <c r="A483" s="1" t="n"/>
      <c r="B483" s="29" t="n"/>
      <c r="C483" s="26" t="n"/>
      <c r="D483" s="26" t="n"/>
      <c r="E483" s="27" t="n"/>
      <c r="F483" s="26" t="n"/>
      <c r="G483" s="1" t="n"/>
    </row>
    <row r="484">
      <c r="A484" s="1" t="n"/>
      <c r="B484" s="29" t="n"/>
      <c r="C484" s="26" t="n"/>
      <c r="D484" s="26" t="n"/>
      <c r="E484" s="27" t="n"/>
      <c r="F484" s="26" t="n"/>
      <c r="G484" s="1" t="n"/>
    </row>
    <row r="485">
      <c r="A485" s="1" t="n"/>
      <c r="B485" s="29" t="n"/>
      <c r="C485" s="26" t="n"/>
      <c r="D485" s="26" t="n"/>
      <c r="E485" s="27" t="n"/>
      <c r="F485" s="26" t="n"/>
      <c r="G485" s="1" t="n"/>
    </row>
    <row r="486">
      <c r="A486" s="1" t="n"/>
      <c r="B486" s="29" t="n"/>
      <c r="C486" s="26" t="n"/>
      <c r="D486" s="26" t="n"/>
      <c r="E486" s="27" t="n"/>
      <c r="F486" s="26" t="n"/>
      <c r="G486" s="1" t="n"/>
    </row>
    <row r="487">
      <c r="A487" s="1" t="n"/>
      <c r="B487" s="29" t="n"/>
      <c r="C487" s="26" t="n"/>
      <c r="D487" s="26" t="n"/>
      <c r="E487" s="27" t="n"/>
      <c r="F487" s="26" t="n"/>
      <c r="G487" s="1" t="n"/>
    </row>
    <row r="488">
      <c r="A488" s="1" t="n"/>
      <c r="B488" s="29" t="n"/>
      <c r="C488" s="26" t="n"/>
      <c r="D488" s="26" t="n"/>
      <c r="E488" s="27" t="n"/>
      <c r="F488" s="26" t="n"/>
      <c r="G488" s="1" t="n"/>
    </row>
    <row r="489">
      <c r="A489" s="1" t="n"/>
      <c r="B489" s="29" t="n"/>
      <c r="C489" s="26" t="n"/>
      <c r="D489" s="26" t="n"/>
      <c r="E489" s="27" t="n"/>
      <c r="F489" s="26" t="n"/>
      <c r="G489" s="1" t="n"/>
    </row>
    <row r="490">
      <c r="A490" s="1" t="n"/>
      <c r="B490" s="29" t="n"/>
      <c r="C490" s="26" t="n"/>
      <c r="D490" s="26" t="n"/>
      <c r="E490" s="27" t="n"/>
      <c r="F490" s="26" t="n"/>
      <c r="G490" s="1" t="n"/>
    </row>
    <row r="491">
      <c r="A491" s="1" t="n"/>
      <c r="B491" s="29" t="n"/>
      <c r="C491" s="26" t="n"/>
      <c r="D491" s="26" t="n"/>
      <c r="E491" s="27" t="n"/>
      <c r="F491" s="26" t="n"/>
      <c r="G491" s="1" t="n"/>
    </row>
    <row r="492">
      <c r="A492" s="1" t="n"/>
      <c r="B492" s="29" t="n"/>
      <c r="C492" s="26" t="n"/>
      <c r="D492" s="26" t="n"/>
      <c r="E492" s="27" t="n"/>
      <c r="F492" s="26" t="n"/>
      <c r="G492" s="1" t="n"/>
    </row>
    <row r="493">
      <c r="A493" s="1" t="n"/>
      <c r="B493" s="29" t="n"/>
      <c r="C493" s="26" t="n"/>
      <c r="D493" s="26" t="n"/>
      <c r="E493" s="27" t="n"/>
      <c r="F493" s="26" t="n"/>
      <c r="G493" s="1" t="n"/>
    </row>
    <row r="494">
      <c r="A494" s="1" t="n"/>
      <c r="B494" s="29" t="n"/>
      <c r="C494" s="26" t="n"/>
      <c r="D494" s="26" t="n"/>
      <c r="E494" s="27" t="n"/>
      <c r="F494" s="26" t="n"/>
      <c r="G494" s="1" t="n"/>
    </row>
    <row r="495">
      <c r="A495" s="1" t="n"/>
      <c r="B495" s="29" t="n"/>
      <c r="C495" s="26" t="n"/>
      <c r="D495" s="26" t="n"/>
      <c r="E495" s="27" t="n"/>
      <c r="F495" s="26" t="n"/>
      <c r="G495" s="1" t="n"/>
    </row>
    <row r="496">
      <c r="A496" s="1" t="n"/>
      <c r="B496" s="29" t="n"/>
      <c r="C496" s="26" t="n"/>
      <c r="D496" s="26" t="n"/>
      <c r="E496" s="27" t="n"/>
      <c r="F496" s="26" t="n"/>
      <c r="G496" s="1" t="n"/>
    </row>
    <row r="497">
      <c r="A497" s="1" t="n"/>
      <c r="B497" s="29" t="n"/>
      <c r="C497" s="26" t="n"/>
      <c r="D497" s="26" t="n"/>
      <c r="E497" s="27" t="n"/>
      <c r="F497" s="26" t="n"/>
      <c r="G497" s="1" t="n"/>
    </row>
    <row r="498">
      <c r="A498" s="1" t="n"/>
      <c r="B498" s="29" t="n"/>
      <c r="C498" s="26" t="n"/>
      <c r="D498" s="26" t="n"/>
      <c r="E498" s="27" t="n"/>
      <c r="F498" s="26" t="n"/>
      <c r="G498" s="1" t="n"/>
    </row>
    <row r="499">
      <c r="A499" s="1" t="n"/>
      <c r="B499" s="29" t="n"/>
      <c r="C499" s="26" t="n"/>
      <c r="D499" s="26" t="n"/>
      <c r="E499" s="27" t="n"/>
      <c r="F499" s="26" t="n"/>
      <c r="G499" s="1" t="n"/>
    </row>
    <row r="500">
      <c r="A500" s="1" t="n"/>
      <c r="B500" s="29" t="n"/>
      <c r="C500" s="26" t="n"/>
      <c r="D500" s="26" t="n"/>
      <c r="E500" s="27" t="n"/>
      <c r="F500" s="26" t="n"/>
      <c r="G500" s="1" t="n"/>
    </row>
    <row r="501">
      <c r="A501" s="1" t="n"/>
      <c r="B501" s="29" t="n"/>
      <c r="C501" s="26" t="n"/>
      <c r="D501" s="26" t="n"/>
      <c r="E501" s="27" t="n"/>
      <c r="F501" s="26" t="n"/>
      <c r="G501" s="1" t="n"/>
    </row>
    <row r="502">
      <c r="A502" s="1" t="n"/>
      <c r="B502" s="29" t="n"/>
      <c r="C502" s="26" t="n"/>
      <c r="D502" s="26" t="n"/>
      <c r="E502" s="27" t="n"/>
      <c r="F502" s="26" t="n"/>
      <c r="G502" s="1" t="n"/>
    </row>
    <row r="503">
      <c r="A503" s="1" t="n"/>
      <c r="B503" s="29" t="n"/>
      <c r="C503" s="26" t="n"/>
      <c r="D503" s="26" t="n"/>
      <c r="E503" s="27" t="n"/>
      <c r="F503" s="26" t="n"/>
      <c r="G503" s="1" t="n"/>
    </row>
    <row r="504">
      <c r="A504" s="1" t="n"/>
      <c r="B504" s="29" t="n"/>
      <c r="C504" s="26" t="n"/>
      <c r="D504" s="26" t="n"/>
      <c r="E504" s="27" t="n"/>
      <c r="F504" s="26" t="n"/>
      <c r="G504" s="1" t="n"/>
    </row>
    <row r="505">
      <c r="A505" s="1" t="n"/>
      <c r="B505" s="29" t="n"/>
      <c r="C505" s="26" t="n"/>
      <c r="D505" s="26" t="n"/>
      <c r="E505" s="27" t="n"/>
      <c r="F505" s="26" t="n"/>
      <c r="G505" s="1" t="n"/>
    </row>
    <row r="506">
      <c r="A506" s="1" t="n"/>
      <c r="B506" s="29" t="n"/>
      <c r="C506" s="26" t="n"/>
      <c r="D506" s="26" t="n"/>
      <c r="E506" s="27" t="n"/>
      <c r="F506" s="26" t="n"/>
      <c r="G506" s="1" t="n"/>
    </row>
    <row r="507">
      <c r="A507" s="1" t="n"/>
      <c r="B507" s="29" t="n"/>
      <c r="C507" s="26" t="n"/>
      <c r="D507" s="26" t="n"/>
      <c r="E507" s="27" t="n"/>
      <c r="F507" s="26" t="n"/>
      <c r="G507" s="1" t="n"/>
    </row>
    <row r="508">
      <c r="A508" s="1" t="n"/>
      <c r="B508" s="29" t="n"/>
      <c r="C508" s="26" t="n"/>
      <c r="D508" s="26" t="n"/>
      <c r="E508" s="27" t="n"/>
      <c r="F508" s="26" t="n"/>
      <c r="G508" s="1" t="n"/>
    </row>
    <row r="509">
      <c r="A509" s="1" t="n"/>
      <c r="B509" s="29" t="n"/>
      <c r="C509" s="26" t="n"/>
      <c r="D509" s="26" t="n"/>
      <c r="E509" s="27" t="n"/>
      <c r="F509" s="26" t="n"/>
      <c r="G509" s="1" t="n"/>
    </row>
    <row r="510">
      <c r="A510" s="1" t="n"/>
      <c r="B510" s="29" t="n"/>
      <c r="C510" s="26" t="n"/>
      <c r="D510" s="26" t="n"/>
      <c r="E510" s="27" t="n"/>
      <c r="F510" s="26" t="n"/>
      <c r="G510" s="1" t="n"/>
    </row>
    <row r="511">
      <c r="A511" s="1" t="n"/>
      <c r="B511" s="29" t="n"/>
      <c r="C511" s="26" t="n"/>
      <c r="D511" s="26" t="n"/>
      <c r="E511" s="27" t="n"/>
      <c r="F511" s="26" t="n"/>
      <c r="G511" s="1" t="n"/>
    </row>
    <row r="512">
      <c r="A512" s="1" t="n"/>
      <c r="B512" s="29" t="n"/>
      <c r="C512" s="26" t="n"/>
      <c r="D512" s="26" t="n"/>
      <c r="E512" s="27" t="n"/>
      <c r="F512" s="26" t="n"/>
      <c r="G512" s="1" t="n"/>
    </row>
    <row r="513">
      <c r="A513" s="1" t="n"/>
      <c r="B513" s="29" t="n"/>
      <c r="C513" s="26" t="n"/>
      <c r="D513" s="26" t="n"/>
      <c r="E513" s="27" t="n"/>
      <c r="F513" s="26" t="n"/>
      <c r="G513" s="1" t="n"/>
    </row>
    <row r="514">
      <c r="A514" s="1" t="n"/>
      <c r="B514" s="29" t="n"/>
      <c r="C514" s="26" t="n"/>
      <c r="D514" s="26" t="n"/>
      <c r="E514" s="27" t="n"/>
      <c r="F514" s="26" t="n"/>
      <c r="G514" s="1" t="n"/>
    </row>
    <row r="515">
      <c r="A515" s="1" t="n"/>
      <c r="B515" s="29" t="n"/>
      <c r="C515" s="26" t="n"/>
      <c r="D515" s="26" t="n"/>
      <c r="E515" s="27" t="n"/>
      <c r="F515" s="26" t="n"/>
      <c r="G515" s="1" t="n"/>
    </row>
    <row r="516">
      <c r="A516" s="1" t="n"/>
      <c r="B516" s="29" t="n"/>
      <c r="C516" s="26" t="n"/>
      <c r="D516" s="26" t="n"/>
      <c r="E516" s="27" t="n"/>
      <c r="F516" s="26" t="n"/>
      <c r="G516" s="1" t="n"/>
    </row>
    <row r="517">
      <c r="A517" s="1" t="n"/>
      <c r="B517" s="29" t="n"/>
      <c r="C517" s="26" t="n"/>
      <c r="D517" s="26" t="n"/>
      <c r="E517" s="27" t="n"/>
      <c r="F517" s="26" t="n"/>
      <c r="G517" s="1" t="n"/>
    </row>
    <row r="518">
      <c r="A518" s="1" t="n"/>
      <c r="B518" s="29" t="n"/>
      <c r="C518" s="26" t="n"/>
      <c r="D518" s="26" t="n"/>
      <c r="E518" s="27" t="n"/>
      <c r="F518" s="26" t="n"/>
      <c r="G518" s="1" t="n"/>
    </row>
    <row r="519">
      <c r="A519" s="1" t="n"/>
      <c r="B519" s="29" t="n"/>
      <c r="C519" s="26" t="n"/>
      <c r="D519" s="26" t="n"/>
      <c r="E519" s="27" t="n"/>
      <c r="F519" s="26" t="n"/>
      <c r="G519" s="1" t="n"/>
    </row>
    <row r="520">
      <c r="A520" s="1" t="n"/>
      <c r="B520" s="29" t="n"/>
      <c r="C520" s="26" t="n"/>
      <c r="D520" s="26" t="n"/>
      <c r="E520" s="27" t="n"/>
      <c r="F520" s="26" t="n"/>
      <c r="G520" s="1" t="n"/>
    </row>
    <row r="521">
      <c r="A521" s="1" t="n"/>
      <c r="B521" s="29" t="n"/>
      <c r="C521" s="26" t="n"/>
      <c r="D521" s="26" t="n"/>
      <c r="E521" s="27" t="n"/>
      <c r="F521" s="26" t="n"/>
      <c r="G521" s="1" t="n"/>
    </row>
    <row r="522">
      <c r="A522" s="1" t="n"/>
      <c r="B522" s="29" t="n"/>
      <c r="C522" s="26" t="n"/>
      <c r="D522" s="26" t="n"/>
      <c r="E522" s="27" t="n"/>
      <c r="F522" s="26" t="n"/>
      <c r="G522" s="1" t="n"/>
    </row>
    <row r="523">
      <c r="A523" s="1" t="n"/>
      <c r="B523" s="29" t="n"/>
      <c r="C523" s="26" t="n"/>
      <c r="D523" s="26" t="n"/>
      <c r="E523" s="27" t="n"/>
      <c r="F523" s="26" t="n"/>
      <c r="G523" s="1" t="n"/>
    </row>
    <row r="524">
      <c r="A524" s="1" t="n"/>
      <c r="B524" s="29" t="n"/>
      <c r="C524" s="26" t="n"/>
      <c r="D524" s="26" t="n"/>
      <c r="E524" s="27" t="n"/>
      <c r="F524" s="26" t="n"/>
      <c r="G524" s="1" t="n"/>
    </row>
    <row r="525">
      <c r="A525" s="1" t="n"/>
      <c r="B525" s="29" t="n"/>
      <c r="C525" s="26" t="n"/>
      <c r="D525" s="26" t="n"/>
      <c r="E525" s="27" t="n"/>
      <c r="F525" s="26" t="n"/>
      <c r="G525" s="1" t="n"/>
    </row>
    <row r="526">
      <c r="A526" s="1" t="n"/>
      <c r="B526" s="29" t="n"/>
      <c r="C526" s="26" t="n"/>
      <c r="D526" s="26" t="n"/>
      <c r="E526" s="27" t="n"/>
      <c r="F526" s="26" t="n"/>
      <c r="G526" s="1" t="n"/>
    </row>
    <row r="527">
      <c r="A527" s="1" t="n"/>
      <c r="B527" s="29" t="n"/>
      <c r="C527" s="26" t="n"/>
      <c r="D527" s="26" t="n"/>
      <c r="E527" s="27" t="n"/>
      <c r="F527" s="26" t="n"/>
      <c r="G527" s="1" t="n"/>
    </row>
    <row r="528">
      <c r="A528" s="1" t="n"/>
      <c r="B528" s="29" t="n"/>
      <c r="C528" s="26" t="n"/>
      <c r="D528" s="26" t="n"/>
      <c r="E528" s="27" t="n"/>
      <c r="F528" s="26" t="n"/>
      <c r="G528" s="1" t="n"/>
    </row>
    <row r="529">
      <c r="A529" s="1" t="n"/>
      <c r="B529" s="29" t="n"/>
      <c r="C529" s="26" t="n"/>
      <c r="D529" s="26" t="n"/>
      <c r="E529" s="27" t="n"/>
      <c r="F529" s="26" t="n"/>
      <c r="G529" s="1" t="n"/>
    </row>
    <row r="530">
      <c r="A530" s="1" t="n"/>
      <c r="B530" s="29" t="n"/>
      <c r="C530" s="26" t="n"/>
      <c r="D530" s="26" t="n"/>
      <c r="E530" s="27" t="n"/>
      <c r="F530" s="26" t="n"/>
      <c r="G530" s="1" t="n"/>
    </row>
    <row r="531">
      <c r="A531" s="1" t="n"/>
      <c r="B531" s="29" t="n"/>
      <c r="C531" s="26" t="n"/>
      <c r="D531" s="26" t="n"/>
      <c r="E531" s="27" t="n"/>
      <c r="F531" s="26" t="n"/>
      <c r="G531" s="1" t="n"/>
    </row>
    <row r="532">
      <c r="A532" s="1" t="n"/>
      <c r="B532" s="29" t="n"/>
      <c r="C532" s="26" t="n"/>
      <c r="D532" s="26" t="n"/>
      <c r="E532" s="27" t="n"/>
      <c r="F532" s="26" t="n"/>
      <c r="G532" s="1" t="n"/>
    </row>
    <row r="533">
      <c r="A533" s="1" t="n"/>
      <c r="B533" s="29" t="n"/>
      <c r="C533" s="26" t="n"/>
      <c r="D533" s="26" t="n"/>
      <c r="E533" s="27" t="n"/>
      <c r="F533" s="26" t="n"/>
      <c r="G533" s="1" t="n"/>
    </row>
    <row r="534">
      <c r="A534" s="1" t="n"/>
      <c r="B534" s="29" t="n"/>
      <c r="C534" s="26" t="n"/>
      <c r="D534" s="26" t="n"/>
      <c r="E534" s="27" t="n"/>
      <c r="F534" s="26" t="n"/>
      <c r="G534" s="1" t="n"/>
    </row>
    <row r="535">
      <c r="A535" s="1" t="n"/>
      <c r="B535" s="29" t="n"/>
      <c r="C535" s="26" t="n"/>
      <c r="D535" s="26" t="n"/>
      <c r="E535" s="27" t="n"/>
      <c r="F535" s="26" t="n"/>
      <c r="G535" s="1" t="n"/>
    </row>
    <row r="536">
      <c r="A536" s="1" t="n"/>
      <c r="B536" s="29" t="n"/>
      <c r="C536" s="26" t="n"/>
      <c r="D536" s="26" t="n"/>
      <c r="E536" s="27" t="n"/>
      <c r="F536" s="26" t="n"/>
      <c r="G536" s="1" t="n"/>
    </row>
    <row r="537">
      <c r="A537" s="1" t="n"/>
      <c r="B537" s="29" t="n"/>
      <c r="C537" s="26" t="n"/>
      <c r="D537" s="26" t="n"/>
      <c r="E537" s="27" t="n"/>
      <c r="F537" s="26" t="n"/>
      <c r="G537" s="1" t="n"/>
    </row>
    <row r="538">
      <c r="A538" s="1" t="n"/>
      <c r="B538" s="29" t="n"/>
      <c r="C538" s="26" t="n"/>
      <c r="D538" s="26" t="n"/>
      <c r="E538" s="27" t="n"/>
      <c r="F538" s="26" t="n"/>
      <c r="G538" s="1" t="n"/>
    </row>
    <row r="539">
      <c r="A539" s="1" t="n"/>
      <c r="B539" s="29" t="n"/>
      <c r="C539" s="26" t="n"/>
      <c r="D539" s="26" t="n"/>
      <c r="E539" s="27" t="n"/>
      <c r="F539" s="26" t="n"/>
      <c r="G539" s="1" t="n"/>
    </row>
    <row r="540">
      <c r="A540" s="1" t="n"/>
      <c r="B540" s="29" t="n"/>
      <c r="C540" s="26" t="n"/>
      <c r="D540" s="26" t="n"/>
      <c r="E540" s="27" t="n"/>
      <c r="F540" s="26" t="n"/>
      <c r="G540" s="1" t="n"/>
    </row>
    <row r="541">
      <c r="A541" s="1" t="n"/>
      <c r="B541" s="29" t="n"/>
      <c r="C541" s="26" t="n"/>
      <c r="D541" s="26" t="n"/>
      <c r="E541" s="27" t="n"/>
      <c r="F541" s="26" t="n"/>
      <c r="G541" s="1" t="n"/>
    </row>
    <row r="542">
      <c r="A542" s="1" t="n"/>
      <c r="B542" s="29" t="n"/>
      <c r="C542" s="26" t="n"/>
      <c r="D542" s="26" t="n"/>
      <c r="E542" s="27" t="n"/>
      <c r="F542" s="26" t="n"/>
      <c r="G542" s="1" t="n"/>
    </row>
    <row r="543">
      <c r="A543" s="1" t="n"/>
      <c r="B543" s="29" t="n"/>
      <c r="C543" s="26" t="n"/>
      <c r="D543" s="26" t="n"/>
      <c r="E543" s="27" t="n"/>
      <c r="F543" s="26" t="n"/>
      <c r="G543" s="1" t="n"/>
    </row>
    <row r="544">
      <c r="A544" s="1" t="n"/>
      <c r="B544" s="29" t="n"/>
      <c r="C544" s="26" t="n"/>
      <c r="D544" s="26" t="n"/>
      <c r="E544" s="27" t="n"/>
      <c r="F544" s="26" t="n"/>
      <c r="G544" s="1" t="n"/>
    </row>
    <row r="545">
      <c r="A545" s="1" t="n"/>
      <c r="B545" s="29" t="n"/>
      <c r="C545" s="26" t="n"/>
      <c r="D545" s="26" t="n"/>
      <c r="E545" s="27" t="n"/>
      <c r="F545" s="26" t="n"/>
      <c r="G545" s="1" t="n"/>
    </row>
    <row r="546">
      <c r="A546" s="1" t="n"/>
      <c r="B546" s="29" t="n"/>
      <c r="C546" s="26" t="n"/>
      <c r="D546" s="26" t="n"/>
      <c r="E546" s="27" t="n"/>
      <c r="F546" s="26" t="n"/>
      <c r="G546" s="1" t="n"/>
    </row>
    <row r="547">
      <c r="A547" s="1" t="n"/>
      <c r="B547" s="29" t="n"/>
      <c r="C547" s="26" t="n"/>
      <c r="D547" s="26" t="n"/>
      <c r="E547" s="27" t="n"/>
      <c r="F547" s="26" t="n"/>
      <c r="G547" s="1" t="n"/>
    </row>
    <row r="548">
      <c r="A548" s="1" t="n"/>
      <c r="B548" s="29" t="n"/>
      <c r="C548" s="26" t="n"/>
      <c r="D548" s="26" t="n"/>
      <c r="E548" s="27" t="n"/>
      <c r="F548" s="26" t="n"/>
      <c r="G548" s="1" t="n"/>
    </row>
    <row r="549">
      <c r="A549" s="1" t="n"/>
      <c r="B549" s="29" t="n"/>
      <c r="C549" s="26" t="n"/>
      <c r="D549" s="26" t="n"/>
      <c r="E549" s="27" t="n"/>
      <c r="F549" s="26" t="n"/>
      <c r="G549" s="1" t="n"/>
    </row>
    <row r="550">
      <c r="A550" s="1" t="n"/>
      <c r="B550" s="29" t="n"/>
      <c r="C550" s="26" t="n"/>
      <c r="D550" s="26" t="n"/>
      <c r="E550" s="27" t="n"/>
      <c r="F550" s="26" t="n"/>
      <c r="G550" s="1" t="n"/>
    </row>
    <row r="551">
      <c r="A551" s="1" t="n"/>
      <c r="B551" s="29" t="n"/>
      <c r="C551" s="26" t="n"/>
      <c r="D551" s="26" t="n"/>
      <c r="E551" s="27" t="n"/>
      <c r="F551" s="26" t="n"/>
      <c r="G551" s="1" t="n"/>
    </row>
    <row r="552">
      <c r="A552" s="1" t="n"/>
      <c r="B552" s="29" t="n"/>
      <c r="C552" s="26" t="n"/>
      <c r="D552" s="26" t="n"/>
      <c r="E552" s="27" t="n"/>
      <c r="F552" s="26" t="n"/>
      <c r="G552" s="1" t="n"/>
    </row>
    <row r="553">
      <c r="A553" s="1" t="n"/>
      <c r="B553" s="29" t="n"/>
      <c r="C553" s="26" t="n"/>
      <c r="D553" s="26" t="n"/>
      <c r="E553" s="27" t="n"/>
      <c r="F553" s="26" t="n"/>
      <c r="G553" s="1" t="n"/>
    </row>
    <row r="554">
      <c r="A554" s="1" t="n"/>
      <c r="B554" s="29" t="n"/>
      <c r="C554" s="26" t="n"/>
      <c r="D554" s="26" t="n"/>
      <c r="E554" s="27" t="n"/>
      <c r="F554" s="26" t="n"/>
      <c r="G554" s="1" t="n"/>
    </row>
    <row r="555">
      <c r="A555" s="1" t="n"/>
      <c r="B555" s="29" t="n"/>
      <c r="C555" s="26" t="n"/>
      <c r="D555" s="26" t="n"/>
      <c r="E555" s="27" t="n"/>
      <c r="F555" s="26" t="n"/>
      <c r="G555" s="1" t="n"/>
    </row>
    <row r="556">
      <c r="A556" s="1" t="n"/>
      <c r="B556" s="29" t="n"/>
      <c r="C556" s="26" t="n"/>
      <c r="D556" s="26" t="n"/>
      <c r="E556" s="27" t="n"/>
      <c r="F556" s="26" t="n"/>
      <c r="G556" s="1" t="n"/>
    </row>
    <row r="557">
      <c r="A557" s="1" t="n"/>
      <c r="B557" s="29" t="n"/>
      <c r="C557" s="26" t="n"/>
      <c r="D557" s="26" t="n"/>
      <c r="E557" s="27" t="n"/>
      <c r="F557" s="26" t="n"/>
      <c r="G557" s="1" t="n"/>
    </row>
    <row r="558">
      <c r="A558" s="1" t="n"/>
      <c r="B558" s="29" t="n"/>
      <c r="C558" s="26" t="n"/>
      <c r="D558" s="26" t="n"/>
      <c r="E558" s="27" t="n"/>
      <c r="F558" s="26" t="n"/>
      <c r="G558" s="1" t="n"/>
    </row>
    <row r="559">
      <c r="A559" s="1" t="n"/>
      <c r="B559" s="29" t="n"/>
      <c r="C559" s="26" t="n"/>
      <c r="D559" s="26" t="n"/>
      <c r="E559" s="27" t="n"/>
      <c r="F559" s="26" t="n"/>
      <c r="G559" s="1" t="n"/>
    </row>
    <row r="560">
      <c r="A560" s="1" t="n"/>
      <c r="B560" s="29" t="n"/>
      <c r="C560" s="26" t="n"/>
      <c r="D560" s="26" t="n"/>
      <c r="E560" s="27" t="n"/>
      <c r="F560" s="26" t="n"/>
      <c r="G560" s="1" t="n"/>
    </row>
    <row r="561">
      <c r="A561" s="1" t="n"/>
      <c r="B561" s="29" t="n"/>
      <c r="C561" s="26" t="n"/>
      <c r="D561" s="26" t="n"/>
      <c r="E561" s="27" t="n"/>
      <c r="F561" s="26" t="n"/>
      <c r="G561" s="1" t="n"/>
    </row>
    <row r="562">
      <c r="A562" s="1" t="n"/>
      <c r="B562" s="29" t="n"/>
      <c r="C562" s="26" t="n"/>
      <c r="D562" s="26" t="n"/>
      <c r="E562" s="27" t="n"/>
      <c r="F562" s="26" t="n"/>
      <c r="G562" s="1" t="n"/>
    </row>
    <row r="563">
      <c r="A563" s="1" t="n"/>
      <c r="B563" s="29" t="n"/>
      <c r="C563" s="26" t="n"/>
      <c r="D563" s="26" t="n"/>
      <c r="E563" s="27" t="n"/>
      <c r="F563" s="26" t="n"/>
      <c r="G563" s="1" t="n"/>
    </row>
    <row r="564">
      <c r="A564" s="1" t="n"/>
      <c r="B564" s="29" t="n"/>
      <c r="C564" s="26" t="n"/>
      <c r="D564" s="26" t="n"/>
      <c r="E564" s="27" t="n"/>
      <c r="F564" s="26" t="n"/>
      <c r="G564" s="1" t="n"/>
    </row>
    <row r="565">
      <c r="A565" s="1" t="n"/>
      <c r="B565" s="29" t="n"/>
      <c r="C565" s="26" t="n"/>
      <c r="D565" s="26" t="n"/>
      <c r="E565" s="27" t="n"/>
      <c r="F565" s="26" t="n"/>
      <c r="G565" s="1" t="n"/>
    </row>
    <row r="566">
      <c r="A566" s="1" t="n"/>
      <c r="B566" s="29" t="n"/>
      <c r="C566" s="26" t="n"/>
      <c r="D566" s="26" t="n"/>
      <c r="E566" s="27" t="n"/>
      <c r="F566" s="26" t="n"/>
      <c r="G566" s="1" t="n"/>
    </row>
    <row r="567">
      <c r="A567" s="1" t="n"/>
      <c r="B567" s="29" t="n"/>
      <c r="C567" s="26" t="n"/>
      <c r="D567" s="26" t="n"/>
      <c r="E567" s="27" t="n"/>
      <c r="F567" s="26" t="n"/>
      <c r="G567" s="1" t="n"/>
    </row>
    <row r="568">
      <c r="A568" s="1" t="n"/>
      <c r="B568" s="29" t="n"/>
      <c r="C568" s="26" t="n"/>
      <c r="D568" s="26" t="n"/>
      <c r="E568" s="27" t="n"/>
      <c r="F568" s="26" t="n"/>
      <c r="G568" s="1" t="n"/>
    </row>
    <row r="569">
      <c r="A569" s="1" t="n"/>
      <c r="B569" s="29" t="n"/>
      <c r="C569" s="26" t="n"/>
      <c r="D569" s="26" t="n"/>
      <c r="E569" s="27" t="n"/>
      <c r="F569" s="26" t="n"/>
      <c r="G569" s="1" t="n"/>
    </row>
    <row r="570">
      <c r="A570" s="1" t="n"/>
      <c r="B570" s="29" t="n"/>
      <c r="C570" s="26" t="n"/>
      <c r="D570" s="26" t="n"/>
      <c r="E570" s="27" t="n"/>
      <c r="F570" s="26" t="n"/>
      <c r="G570" s="1" t="n"/>
    </row>
    <row r="571">
      <c r="A571" s="1" t="n"/>
      <c r="B571" s="29" t="n"/>
      <c r="C571" s="26" t="n"/>
      <c r="D571" s="26" t="n"/>
      <c r="E571" s="27" t="n"/>
      <c r="F571" s="26" t="n"/>
      <c r="G571" s="1" t="n"/>
    </row>
    <row r="572">
      <c r="A572" s="1" t="n"/>
      <c r="B572" s="29" t="n"/>
      <c r="C572" s="26" t="n"/>
      <c r="D572" s="26" t="n"/>
      <c r="E572" s="27" t="n"/>
      <c r="F572" s="26" t="n"/>
      <c r="G572" s="1" t="n"/>
    </row>
    <row r="573">
      <c r="A573" s="1" t="n"/>
      <c r="B573" s="29" t="n"/>
      <c r="C573" s="26" t="n"/>
      <c r="D573" s="26" t="n"/>
      <c r="E573" s="27" t="n"/>
      <c r="F573" s="26" t="n"/>
      <c r="G573" s="1" t="n"/>
    </row>
    <row r="574">
      <c r="A574" s="1" t="n"/>
      <c r="B574" s="29" t="n"/>
      <c r="C574" s="26" t="n"/>
      <c r="D574" s="26" t="n"/>
      <c r="E574" s="27" t="n"/>
      <c r="F574" s="26" t="n"/>
      <c r="G574" s="1" t="n"/>
    </row>
    <row r="575">
      <c r="A575" s="1" t="n"/>
      <c r="B575" s="29" t="n"/>
      <c r="C575" s="26" t="n"/>
      <c r="D575" s="26" t="n"/>
      <c r="E575" s="27" t="n"/>
      <c r="F575" s="26" t="n"/>
      <c r="G575" s="1" t="n"/>
    </row>
    <row r="576">
      <c r="A576" s="1" t="n"/>
      <c r="B576" s="29" t="n"/>
      <c r="C576" s="26" t="n"/>
      <c r="D576" s="26" t="n"/>
      <c r="E576" s="27" t="n"/>
      <c r="F576" s="26" t="n"/>
      <c r="G576" s="1" t="n"/>
    </row>
    <row r="577">
      <c r="A577" s="1" t="n"/>
      <c r="B577" s="29" t="n"/>
      <c r="C577" s="26" t="n"/>
      <c r="D577" s="26" t="n"/>
      <c r="E577" s="27" t="n"/>
      <c r="F577" s="26" t="n"/>
      <c r="G577" s="1" t="n"/>
    </row>
    <row r="578">
      <c r="A578" s="1" t="n"/>
      <c r="B578" s="29" t="n"/>
      <c r="C578" s="26" t="n"/>
      <c r="D578" s="26" t="n"/>
      <c r="E578" s="27" t="n"/>
      <c r="F578" s="26" t="n"/>
      <c r="G578" s="1" t="n"/>
    </row>
    <row r="579">
      <c r="A579" s="1" t="n"/>
      <c r="B579" s="29" t="n"/>
      <c r="C579" s="26" t="n"/>
      <c r="D579" s="26" t="n"/>
      <c r="E579" s="27" t="n"/>
      <c r="F579" s="26" t="n"/>
      <c r="G579" s="1" t="n"/>
    </row>
    <row r="580">
      <c r="A580" s="1" t="n"/>
      <c r="B580" s="29" t="n"/>
      <c r="C580" s="26" t="n"/>
      <c r="D580" s="26" t="n"/>
      <c r="E580" s="27" t="n"/>
      <c r="F580" s="26" t="n"/>
      <c r="G580" s="1" t="n"/>
    </row>
    <row r="581">
      <c r="A581" s="1" t="n"/>
      <c r="B581" s="29" t="n"/>
      <c r="C581" s="26" t="n"/>
      <c r="D581" s="26" t="n"/>
      <c r="E581" s="27" t="n"/>
      <c r="F581" s="26" t="n"/>
      <c r="G581" s="1" t="n"/>
    </row>
    <row r="582">
      <c r="A582" s="1" t="n"/>
      <c r="B582" s="29" t="n"/>
      <c r="C582" s="26" t="n"/>
      <c r="D582" s="26" t="n"/>
      <c r="E582" s="27" t="n"/>
      <c r="F582" s="26" t="n"/>
      <c r="G582" s="1" t="n"/>
    </row>
    <row r="583">
      <c r="A583" s="1" t="n"/>
      <c r="B583" s="29" t="n"/>
      <c r="C583" s="26" t="n"/>
      <c r="D583" s="26" t="n"/>
      <c r="E583" s="27" t="n"/>
      <c r="F583" s="26" t="n"/>
      <c r="G583" s="1" t="n"/>
    </row>
    <row r="584">
      <c r="A584" s="1" t="n"/>
      <c r="B584" s="29" t="n"/>
      <c r="C584" s="26" t="n"/>
      <c r="D584" s="26" t="n"/>
      <c r="E584" s="27" t="n"/>
      <c r="F584" s="26" t="n"/>
      <c r="G584" s="1" t="n"/>
    </row>
    <row r="585">
      <c r="A585" s="1" t="n"/>
      <c r="B585" s="29" t="n"/>
      <c r="C585" s="26" t="n"/>
      <c r="D585" s="26" t="n"/>
      <c r="E585" s="27" t="n"/>
      <c r="F585" s="26" t="n"/>
      <c r="G585" s="1" t="n"/>
    </row>
    <row r="586">
      <c r="A586" s="1" t="n"/>
      <c r="B586" s="29" t="n"/>
      <c r="C586" s="26" t="n"/>
      <c r="D586" s="26" t="n"/>
      <c r="E586" s="27" t="n"/>
      <c r="F586" s="26" t="n"/>
      <c r="G586" s="1" t="n"/>
    </row>
    <row r="587">
      <c r="A587" s="1" t="n"/>
      <c r="B587" s="29" t="n"/>
      <c r="C587" s="26" t="n"/>
      <c r="D587" s="26" t="n"/>
      <c r="E587" s="27" t="n"/>
      <c r="F587" s="26" t="n"/>
      <c r="G587" s="1" t="n"/>
    </row>
    <row r="588">
      <c r="A588" s="1" t="n"/>
      <c r="B588" s="29" t="n"/>
      <c r="C588" s="26" t="n"/>
      <c r="D588" s="26" t="n"/>
      <c r="E588" s="27" t="n"/>
      <c r="F588" s="26" t="n"/>
      <c r="G588" s="1" t="n"/>
    </row>
    <row r="589">
      <c r="A589" s="1" t="n"/>
      <c r="B589" s="29" t="n"/>
      <c r="C589" s="26" t="n"/>
      <c r="D589" s="26" t="n"/>
      <c r="E589" s="27" t="n"/>
      <c r="F589" s="26" t="n"/>
      <c r="G589" s="1" t="n"/>
    </row>
    <row r="590">
      <c r="A590" s="1" t="n"/>
      <c r="B590" s="29" t="n"/>
      <c r="C590" s="26" t="n"/>
      <c r="D590" s="26" t="n"/>
      <c r="E590" s="27" t="n"/>
      <c r="F590" s="26" t="n"/>
      <c r="G590" s="1" t="n"/>
    </row>
    <row r="591">
      <c r="A591" s="1" t="n"/>
      <c r="B591" s="29" t="n"/>
      <c r="C591" s="26" t="n"/>
      <c r="D591" s="26" t="n"/>
      <c r="E591" s="27" t="n"/>
      <c r="F591" s="26" t="n"/>
      <c r="G591" s="1" t="n"/>
    </row>
    <row r="592">
      <c r="A592" s="1" t="n"/>
      <c r="B592" s="29" t="n"/>
      <c r="C592" s="26" t="n"/>
      <c r="D592" s="26" t="n"/>
      <c r="E592" s="27" t="n"/>
      <c r="F592" s="26" t="n"/>
      <c r="G592" s="1" t="n"/>
    </row>
    <row r="593">
      <c r="A593" s="1" t="n"/>
      <c r="B593" s="29" t="n"/>
      <c r="C593" s="26" t="n"/>
      <c r="D593" s="26" t="n"/>
      <c r="E593" s="27" t="n"/>
      <c r="F593" s="26" t="n"/>
      <c r="G593" s="1" t="n"/>
    </row>
    <row r="594">
      <c r="A594" s="1" t="n"/>
      <c r="B594" s="29" t="n"/>
      <c r="C594" s="26" t="n"/>
      <c r="D594" s="26" t="n"/>
      <c r="E594" s="27" t="n"/>
      <c r="F594" s="26" t="n"/>
      <c r="G594" s="1" t="n"/>
    </row>
    <row r="595">
      <c r="A595" s="1" t="n"/>
      <c r="B595" s="29" t="n"/>
      <c r="C595" s="26" t="n"/>
      <c r="D595" s="26" t="n"/>
      <c r="E595" s="27" t="n"/>
      <c r="F595" s="26" t="n"/>
      <c r="G595" s="1" t="n"/>
    </row>
    <row r="596">
      <c r="A596" s="1" t="n"/>
      <c r="B596" s="29" t="n"/>
      <c r="C596" s="26" t="n"/>
      <c r="D596" s="26" t="n"/>
      <c r="E596" s="27" t="n"/>
      <c r="F596" s="26" t="n"/>
      <c r="G596" s="1" t="n"/>
    </row>
    <row r="597">
      <c r="A597" s="1" t="n"/>
      <c r="B597" s="29" t="n"/>
      <c r="C597" s="26" t="n"/>
      <c r="D597" s="26" t="n"/>
      <c r="E597" s="27" t="n"/>
      <c r="F597" s="26" t="n"/>
      <c r="G597" s="1" t="n"/>
    </row>
    <row r="598">
      <c r="A598" s="1" t="n"/>
      <c r="B598" s="29" t="n"/>
      <c r="C598" s="26" t="n"/>
      <c r="D598" s="26" t="n"/>
      <c r="E598" s="27" t="n"/>
      <c r="F598" s="26" t="n"/>
      <c r="G598" s="1" t="n"/>
    </row>
    <row r="599">
      <c r="A599" s="1" t="n"/>
      <c r="B599" s="29" t="n"/>
      <c r="C599" s="26" t="n"/>
      <c r="D599" s="26" t="n"/>
      <c r="E599" s="27" t="n"/>
      <c r="F599" s="26" t="n"/>
      <c r="G599" s="1" t="n"/>
    </row>
    <row r="600">
      <c r="A600" s="1" t="n"/>
      <c r="B600" s="29" t="n"/>
      <c r="C600" s="26" t="n"/>
      <c r="D600" s="26" t="n"/>
      <c r="E600" s="27" t="n"/>
      <c r="F600" s="26" t="n"/>
      <c r="G600" s="1" t="n"/>
    </row>
    <row r="601">
      <c r="A601" s="1" t="n"/>
      <c r="B601" s="29" t="n"/>
      <c r="C601" s="26" t="n"/>
      <c r="D601" s="26" t="n"/>
      <c r="E601" s="27" t="n"/>
      <c r="F601" s="26" t="n"/>
      <c r="G601" s="1" t="n"/>
    </row>
    <row r="602">
      <c r="A602" s="1" t="n"/>
      <c r="B602" s="29" t="n"/>
      <c r="C602" s="26" t="n"/>
      <c r="D602" s="26" t="n"/>
      <c r="E602" s="27" t="n"/>
      <c r="F602" s="26" t="n"/>
      <c r="G602" s="1" t="n"/>
    </row>
    <row r="603">
      <c r="A603" s="1" t="n"/>
      <c r="B603" s="29" t="n"/>
      <c r="C603" s="26" t="n"/>
      <c r="D603" s="26" t="n"/>
      <c r="E603" s="27" t="n"/>
      <c r="F603" s="26" t="n"/>
      <c r="G603" s="1" t="n"/>
    </row>
    <row r="604">
      <c r="A604" s="1" t="n"/>
      <c r="B604" s="29" t="n"/>
      <c r="C604" s="26" t="n"/>
      <c r="D604" s="26" t="n"/>
      <c r="E604" s="27" t="n"/>
      <c r="F604" s="26" t="n"/>
      <c r="G604" s="1" t="n"/>
    </row>
    <row r="605">
      <c r="A605" s="1" t="n"/>
      <c r="B605" s="29" t="n"/>
      <c r="C605" s="26" t="n"/>
      <c r="D605" s="26" t="n"/>
      <c r="E605" s="27" t="n"/>
      <c r="F605" s="26" t="n"/>
      <c r="G605" s="1" t="n"/>
    </row>
    <row r="606">
      <c r="A606" s="1" t="n"/>
      <c r="B606" s="29" t="n"/>
      <c r="C606" s="26" t="n"/>
      <c r="D606" s="26" t="n"/>
      <c r="E606" s="27" t="n"/>
      <c r="F606" s="26" t="n"/>
      <c r="G606" s="1" t="n"/>
    </row>
    <row r="607">
      <c r="A607" s="1" t="n"/>
      <c r="B607" s="29" t="n"/>
      <c r="C607" s="26" t="n"/>
      <c r="D607" s="26" t="n"/>
      <c r="E607" s="27" t="n"/>
      <c r="F607" s="26" t="n"/>
      <c r="G607" s="1" t="n"/>
    </row>
    <row r="608">
      <c r="A608" s="1" t="n"/>
      <c r="B608" s="29" t="n"/>
      <c r="C608" s="26" t="n"/>
      <c r="D608" s="26" t="n"/>
      <c r="E608" s="27" t="n"/>
      <c r="F608" s="26" t="n"/>
      <c r="G608" s="1" t="n"/>
    </row>
    <row r="609">
      <c r="A609" s="1" t="n"/>
      <c r="B609" s="29" t="n"/>
      <c r="C609" s="26" t="n"/>
      <c r="D609" s="26" t="n"/>
      <c r="E609" s="27" t="n"/>
      <c r="F609" s="26" t="n"/>
      <c r="G609" s="1" t="n"/>
    </row>
    <row r="610">
      <c r="A610" s="1" t="n"/>
      <c r="B610" s="29" t="n"/>
      <c r="C610" s="26" t="n"/>
      <c r="D610" s="26" t="n"/>
      <c r="E610" s="27" t="n"/>
      <c r="F610" s="26" t="n"/>
      <c r="G610" s="1" t="n"/>
    </row>
    <row r="611">
      <c r="A611" s="1" t="n"/>
      <c r="B611" s="29" t="n"/>
      <c r="C611" s="26" t="n"/>
      <c r="D611" s="26" t="n"/>
      <c r="E611" s="27" t="n"/>
      <c r="F611" s="26" t="n"/>
      <c r="G611" s="1" t="n"/>
    </row>
    <row r="612">
      <c r="A612" s="1" t="n"/>
      <c r="B612" s="29" t="n"/>
      <c r="C612" s="26" t="n"/>
      <c r="D612" s="26" t="n"/>
      <c r="E612" s="27" t="n"/>
      <c r="F612" s="26" t="n"/>
      <c r="G612" s="1" t="n"/>
    </row>
    <row r="613">
      <c r="A613" s="1" t="n"/>
      <c r="B613" s="29" t="n"/>
      <c r="C613" s="26" t="n"/>
      <c r="D613" s="26" t="n"/>
      <c r="E613" s="27" t="n"/>
      <c r="F613" s="26" t="n"/>
      <c r="G613" s="1" t="n"/>
    </row>
    <row r="614">
      <c r="A614" s="1" t="n"/>
      <c r="B614" s="29" t="n"/>
      <c r="C614" s="26" t="n"/>
      <c r="D614" s="26" t="n"/>
      <c r="E614" s="27" t="n"/>
      <c r="F614" s="26" t="n"/>
      <c r="G614" s="1" t="n"/>
    </row>
    <row r="615">
      <c r="A615" s="1" t="n"/>
      <c r="B615" s="29" t="n"/>
      <c r="C615" s="26" t="n"/>
      <c r="D615" s="26" t="n"/>
      <c r="E615" s="27" t="n"/>
      <c r="F615" s="26" t="n"/>
      <c r="G615" s="1" t="n"/>
    </row>
    <row r="616">
      <c r="A616" s="1" t="n"/>
      <c r="B616" s="29" t="n"/>
      <c r="C616" s="26" t="n"/>
      <c r="D616" s="26" t="n"/>
      <c r="E616" s="27" t="n"/>
      <c r="F616" s="26" t="n"/>
      <c r="G616" s="1" t="n"/>
    </row>
    <row r="617">
      <c r="A617" s="1" t="n"/>
      <c r="B617" s="29" t="n"/>
      <c r="C617" s="26" t="n"/>
      <c r="D617" s="26" t="n"/>
      <c r="E617" s="27" t="n"/>
      <c r="F617" s="26" t="n"/>
      <c r="G617" s="1" t="n"/>
    </row>
    <row r="618">
      <c r="A618" s="1" t="n"/>
      <c r="B618" s="29" t="n"/>
      <c r="C618" s="26" t="n"/>
      <c r="D618" s="26" t="n"/>
      <c r="E618" s="27" t="n"/>
      <c r="F618" s="26" t="n"/>
      <c r="G618" s="1" t="n"/>
    </row>
    <row r="619">
      <c r="A619" s="1" t="n"/>
      <c r="B619" s="29" t="n"/>
      <c r="C619" s="26" t="n"/>
      <c r="D619" s="26" t="n"/>
      <c r="E619" s="27" t="n"/>
      <c r="F619" s="26" t="n"/>
      <c r="G619" s="1" t="n"/>
    </row>
    <row r="620">
      <c r="A620" s="1" t="n"/>
      <c r="B620" s="29" t="n"/>
      <c r="C620" s="26" t="n"/>
      <c r="D620" s="26" t="n"/>
      <c r="E620" s="27" t="n"/>
      <c r="F620" s="26" t="n"/>
      <c r="G620" s="1" t="n"/>
    </row>
    <row r="621">
      <c r="A621" s="1" t="n"/>
      <c r="B621" s="29" t="n"/>
      <c r="C621" s="26" t="n"/>
      <c r="D621" s="26" t="n"/>
      <c r="E621" s="27" t="n"/>
      <c r="F621" s="26" t="n"/>
      <c r="G621" s="1" t="n"/>
    </row>
    <row r="622">
      <c r="A622" s="1" t="n"/>
      <c r="B622" s="29" t="n"/>
      <c r="C622" s="26" t="n"/>
      <c r="D622" s="26" t="n"/>
      <c r="E622" s="27" t="n"/>
      <c r="F622" s="26" t="n"/>
      <c r="G622" s="1" t="n"/>
    </row>
    <row r="623">
      <c r="A623" s="1" t="n"/>
      <c r="B623" s="29" t="n"/>
      <c r="C623" s="26" t="n"/>
      <c r="D623" s="26" t="n"/>
      <c r="E623" s="27" t="n"/>
      <c r="F623" s="26" t="n"/>
      <c r="G623" s="1" t="n"/>
    </row>
    <row r="624">
      <c r="A624" s="1" t="n"/>
      <c r="B624" s="29" t="n"/>
      <c r="C624" s="26" t="n"/>
      <c r="D624" s="26" t="n"/>
      <c r="E624" s="27" t="n"/>
      <c r="F624" s="26" t="n"/>
      <c r="G624" s="1" t="n"/>
    </row>
    <row r="625">
      <c r="A625" s="1" t="n"/>
      <c r="B625" s="29" t="n"/>
      <c r="C625" s="26" t="n"/>
      <c r="D625" s="26" t="n"/>
      <c r="E625" s="27" t="n"/>
      <c r="F625" s="26" t="n"/>
      <c r="G625" s="1" t="n"/>
    </row>
    <row r="626">
      <c r="A626" s="1" t="n"/>
      <c r="B626" s="29" t="n"/>
      <c r="C626" s="26" t="n"/>
      <c r="D626" s="26" t="n"/>
      <c r="E626" s="27" t="n"/>
      <c r="F626" s="26" t="n"/>
      <c r="G626" s="1" t="n"/>
    </row>
    <row r="627">
      <c r="A627" s="1" t="n"/>
      <c r="B627" s="29" t="n"/>
      <c r="C627" s="26" t="n"/>
      <c r="D627" s="26" t="n"/>
      <c r="E627" s="27" t="n"/>
      <c r="F627" s="26" t="n"/>
      <c r="G627" s="1" t="n"/>
    </row>
    <row r="628">
      <c r="A628" s="1" t="n"/>
      <c r="B628" s="29" t="n"/>
      <c r="C628" s="26" t="n"/>
      <c r="D628" s="26" t="n"/>
      <c r="E628" s="27" t="n"/>
      <c r="F628" s="26" t="n"/>
      <c r="G628" s="1" t="n"/>
    </row>
    <row r="629">
      <c r="A629" s="1" t="n"/>
      <c r="B629" s="29" t="n"/>
      <c r="C629" s="26" t="n"/>
      <c r="D629" s="26" t="n"/>
      <c r="E629" s="27" t="n"/>
      <c r="F629" s="26" t="n"/>
      <c r="G629" s="1" t="n"/>
    </row>
    <row r="630">
      <c r="A630" s="1" t="n"/>
      <c r="B630" s="29" t="n"/>
      <c r="C630" s="26" t="n"/>
      <c r="D630" s="26" t="n"/>
      <c r="E630" s="27" t="n"/>
      <c r="F630" s="26" t="n"/>
      <c r="G630" s="1" t="n"/>
    </row>
    <row r="631">
      <c r="A631" s="1" t="n"/>
      <c r="B631" s="29" t="n"/>
      <c r="C631" s="26" t="n"/>
      <c r="D631" s="26" t="n"/>
      <c r="E631" s="27" t="n"/>
      <c r="F631" s="26" t="n"/>
      <c r="G631" s="1" t="n"/>
    </row>
    <row r="632">
      <c r="A632" s="1" t="n"/>
      <c r="B632" s="29" t="n"/>
      <c r="C632" s="26" t="n"/>
      <c r="D632" s="26" t="n"/>
      <c r="E632" s="27" t="n"/>
      <c r="F632" s="26" t="n"/>
      <c r="G632" s="1" t="n"/>
    </row>
    <row r="633">
      <c r="A633" s="1" t="n"/>
      <c r="B633" s="29" t="n"/>
      <c r="C633" s="26" t="n"/>
      <c r="D633" s="26" t="n"/>
      <c r="E633" s="27" t="n"/>
      <c r="F633" s="26" t="n"/>
      <c r="G633" s="1" t="n"/>
    </row>
    <row r="634">
      <c r="A634" s="1" t="n"/>
      <c r="B634" s="29" t="n"/>
      <c r="C634" s="26" t="n"/>
      <c r="D634" s="26" t="n"/>
      <c r="E634" s="27" t="n"/>
      <c r="F634" s="26" t="n"/>
      <c r="G634" s="1" t="n"/>
    </row>
    <row r="635">
      <c r="A635" s="1" t="n"/>
      <c r="B635" s="29" t="n"/>
      <c r="C635" s="26" t="n"/>
      <c r="D635" s="26" t="n"/>
      <c r="E635" s="27" t="n"/>
      <c r="F635" s="26" t="n"/>
      <c r="G635" s="1" t="n"/>
    </row>
    <row r="636">
      <c r="A636" s="1" t="n"/>
      <c r="B636" s="29" t="n"/>
      <c r="C636" s="26" t="n"/>
      <c r="D636" s="26" t="n"/>
      <c r="E636" s="27" t="n"/>
      <c r="F636" s="26" t="n"/>
      <c r="G636" s="1" t="n"/>
    </row>
    <row r="637">
      <c r="A637" s="1" t="n"/>
      <c r="B637" s="29" t="n"/>
      <c r="C637" s="26" t="n"/>
      <c r="D637" s="26" t="n"/>
      <c r="E637" s="27" t="n"/>
      <c r="F637" s="26" t="n"/>
      <c r="G637" s="1" t="n"/>
    </row>
    <row r="638">
      <c r="A638" s="1" t="n"/>
      <c r="B638" s="29" t="n"/>
      <c r="C638" s="26" t="n"/>
      <c r="D638" s="26" t="n"/>
      <c r="E638" s="27" t="n"/>
      <c r="F638" s="26" t="n"/>
      <c r="G638" s="1" t="n"/>
    </row>
    <row r="639">
      <c r="A639" s="1" t="n"/>
      <c r="B639" s="29" t="n"/>
      <c r="C639" s="26" t="n"/>
      <c r="D639" s="26" t="n"/>
      <c r="E639" s="27" t="n"/>
      <c r="F639" s="26" t="n"/>
      <c r="G639" s="1" t="n"/>
    </row>
    <row r="640">
      <c r="A640" s="1" t="n"/>
      <c r="B640" s="29" t="n"/>
      <c r="C640" s="26" t="n"/>
      <c r="D640" s="26" t="n"/>
      <c r="E640" s="27" t="n"/>
      <c r="F640" s="26" t="n"/>
      <c r="G640" s="1" t="n"/>
    </row>
    <row r="641">
      <c r="A641" s="1" t="n"/>
      <c r="B641" s="29" t="n"/>
      <c r="C641" s="26" t="n"/>
      <c r="D641" s="26" t="n"/>
      <c r="E641" s="27" t="n"/>
      <c r="F641" s="26" t="n"/>
      <c r="G641" s="1" t="n"/>
    </row>
    <row r="642">
      <c r="A642" s="1" t="n"/>
      <c r="B642" s="29" t="n"/>
      <c r="C642" s="26" t="n"/>
      <c r="D642" s="26" t="n"/>
      <c r="E642" s="27" t="n"/>
      <c r="F642" s="26" t="n"/>
      <c r="G642" s="1" t="n"/>
    </row>
    <row r="643">
      <c r="A643" s="1" t="n"/>
      <c r="B643" s="29" t="n"/>
      <c r="C643" s="26" t="n"/>
      <c r="D643" s="26" t="n"/>
      <c r="E643" s="27" t="n"/>
      <c r="F643" s="26" t="n"/>
      <c r="G643" s="1" t="n"/>
    </row>
    <row r="644">
      <c r="A644" s="1" t="n"/>
      <c r="B644" s="29" t="n"/>
      <c r="C644" s="26" t="n"/>
      <c r="D644" s="26" t="n"/>
      <c r="E644" s="27" t="n"/>
      <c r="F644" s="26" t="n"/>
      <c r="G644" s="1" t="n"/>
    </row>
    <row r="645">
      <c r="A645" s="1" t="n"/>
      <c r="B645" s="29" t="n"/>
      <c r="C645" s="26" t="n"/>
      <c r="D645" s="26" t="n"/>
      <c r="E645" s="27" t="n"/>
      <c r="F645" s="26" t="n"/>
      <c r="G645" s="1" t="n"/>
    </row>
    <row r="646">
      <c r="A646" s="1" t="n"/>
      <c r="B646" s="29" t="n"/>
      <c r="C646" s="26" t="n"/>
      <c r="D646" s="26" t="n"/>
      <c r="E646" s="27" t="n"/>
      <c r="F646" s="26" t="n"/>
      <c r="G646" s="1" t="n"/>
    </row>
    <row r="647">
      <c r="A647" s="1" t="n"/>
      <c r="B647" s="29" t="n"/>
      <c r="C647" s="26" t="n"/>
      <c r="D647" s="26" t="n"/>
      <c r="E647" s="27" t="n"/>
      <c r="F647" s="26" t="n"/>
      <c r="G647" s="1" t="n"/>
    </row>
    <row r="648">
      <c r="A648" s="1" t="n"/>
      <c r="B648" s="29" t="n"/>
      <c r="C648" s="26" t="n"/>
      <c r="D648" s="26" t="n"/>
      <c r="E648" s="27" t="n"/>
      <c r="F648" s="26" t="n"/>
      <c r="G648" s="1" t="n"/>
    </row>
    <row r="649">
      <c r="A649" s="1" t="n"/>
      <c r="B649" s="29" t="n"/>
      <c r="C649" s="26" t="n"/>
      <c r="D649" s="26" t="n"/>
      <c r="E649" s="27" t="n"/>
      <c r="F649" s="26" t="n"/>
      <c r="G649" s="1" t="n"/>
    </row>
    <row r="650">
      <c r="A650" s="1" t="n"/>
      <c r="B650" s="29" t="n"/>
      <c r="C650" s="26" t="n"/>
      <c r="D650" s="26" t="n"/>
      <c r="E650" s="27" t="n"/>
      <c r="F650" s="26" t="n"/>
      <c r="G650" s="1" t="n"/>
    </row>
    <row r="651">
      <c r="A651" s="1" t="n"/>
      <c r="B651" s="29" t="n"/>
      <c r="C651" s="26" t="n"/>
      <c r="D651" s="26" t="n"/>
      <c r="E651" s="27" t="n"/>
      <c r="F651" s="26" t="n"/>
      <c r="G651" s="1" t="n"/>
    </row>
    <row r="652">
      <c r="A652" s="1" t="n"/>
      <c r="B652" s="29" t="n"/>
      <c r="C652" s="26" t="n"/>
      <c r="D652" s="26" t="n"/>
      <c r="E652" s="27" t="n"/>
      <c r="F652" s="26" t="n"/>
      <c r="G652" s="1" t="n"/>
    </row>
    <row r="653">
      <c r="A653" s="1" t="n"/>
      <c r="B653" s="29" t="n"/>
      <c r="C653" s="26" t="n"/>
      <c r="D653" s="26" t="n"/>
      <c r="E653" s="27" t="n"/>
      <c r="F653" s="26" t="n"/>
      <c r="G653" s="1" t="n"/>
    </row>
    <row r="654">
      <c r="A654" s="1" t="n"/>
      <c r="B654" s="29" t="n"/>
      <c r="C654" s="26" t="n"/>
      <c r="D654" s="26" t="n"/>
      <c r="E654" s="27" t="n"/>
      <c r="F654" s="26" t="n"/>
      <c r="G654" s="1" t="n"/>
    </row>
    <row r="655">
      <c r="A655" s="1" t="n"/>
      <c r="B655" s="29" t="n"/>
      <c r="C655" s="26" t="n"/>
      <c r="D655" s="26" t="n"/>
      <c r="E655" s="27" t="n"/>
      <c r="F655" s="26" t="n"/>
      <c r="G655" s="1" t="n"/>
    </row>
    <row r="656">
      <c r="A656" s="1" t="n"/>
      <c r="B656" s="29" t="n"/>
      <c r="C656" s="26" t="n"/>
      <c r="D656" s="26" t="n"/>
      <c r="E656" s="27" t="n"/>
      <c r="F656" s="26" t="n"/>
      <c r="G656" s="1" t="n"/>
    </row>
    <row r="657">
      <c r="A657" s="1" t="n"/>
      <c r="B657" s="29" t="n"/>
      <c r="C657" s="26" t="n"/>
      <c r="D657" s="26" t="n"/>
      <c r="E657" s="27" t="n"/>
      <c r="F657" s="26" t="n"/>
      <c r="G657" s="1" t="n"/>
    </row>
    <row r="658">
      <c r="A658" s="1" t="n"/>
      <c r="B658" s="29" t="n"/>
      <c r="C658" s="26" t="n"/>
      <c r="D658" s="26" t="n"/>
      <c r="E658" s="27" t="n"/>
      <c r="F658" s="26" t="n"/>
      <c r="G658" s="1" t="n"/>
    </row>
    <row r="659">
      <c r="A659" s="1" t="n"/>
      <c r="B659" s="29" t="n"/>
      <c r="C659" s="26" t="n"/>
      <c r="D659" s="26" t="n"/>
      <c r="E659" s="27" t="n"/>
      <c r="F659" s="26" t="n"/>
      <c r="G659" s="1" t="n"/>
    </row>
    <row r="660">
      <c r="A660" s="1" t="n"/>
      <c r="B660" s="29" t="n"/>
      <c r="C660" s="26" t="n"/>
      <c r="D660" s="26" t="n"/>
      <c r="E660" s="27" t="n"/>
      <c r="F660" s="26" t="n"/>
      <c r="G660" s="1" t="n"/>
    </row>
    <row r="661">
      <c r="A661" s="1" t="n"/>
      <c r="B661" s="29" t="n"/>
      <c r="C661" s="26" t="n"/>
      <c r="D661" s="26" t="n"/>
      <c r="E661" s="27" t="n"/>
      <c r="F661" s="26" t="n"/>
      <c r="G661" s="1" t="n"/>
    </row>
    <row r="662">
      <c r="A662" s="1" t="n"/>
      <c r="B662" s="29" t="n"/>
      <c r="C662" s="26" t="n"/>
      <c r="D662" s="26" t="n"/>
      <c r="E662" s="27" t="n"/>
      <c r="F662" s="26" t="n"/>
      <c r="G662" s="1" t="n"/>
    </row>
    <row r="663">
      <c r="A663" s="1" t="n"/>
      <c r="B663" s="29" t="n"/>
      <c r="C663" s="26" t="n"/>
      <c r="D663" s="26" t="n"/>
      <c r="E663" s="27" t="n"/>
      <c r="F663" s="26" t="n"/>
      <c r="G663" s="1" t="n"/>
    </row>
    <row r="664">
      <c r="A664" s="1" t="n"/>
      <c r="B664" s="29" t="n"/>
      <c r="C664" s="26" t="n"/>
      <c r="D664" s="26" t="n"/>
      <c r="E664" s="27" t="n"/>
      <c r="F664" s="26" t="n"/>
      <c r="G664" s="1" t="n"/>
    </row>
    <row r="665">
      <c r="A665" s="1" t="n"/>
      <c r="B665" s="29" t="n"/>
      <c r="C665" s="26" t="n"/>
      <c r="D665" s="26" t="n"/>
      <c r="E665" s="27" t="n"/>
      <c r="F665" s="26" t="n"/>
      <c r="G665" s="1" t="n"/>
    </row>
    <row r="666">
      <c r="A666" s="1" t="n"/>
      <c r="B666" s="29" t="n"/>
      <c r="C666" s="26" t="n"/>
      <c r="D666" s="26" t="n"/>
      <c r="E666" s="27" t="n"/>
      <c r="F666" s="26" t="n"/>
      <c r="G666" s="1" t="n"/>
    </row>
    <row r="667">
      <c r="A667" s="1" t="n"/>
      <c r="B667" s="29" t="n"/>
      <c r="C667" s="26" t="n"/>
      <c r="D667" s="26" t="n"/>
      <c r="E667" s="27" t="n"/>
      <c r="F667" s="26" t="n"/>
      <c r="G667" s="1" t="n"/>
    </row>
    <row r="668">
      <c r="A668" s="1" t="n"/>
      <c r="B668" s="29" t="n"/>
      <c r="C668" s="26" t="n"/>
      <c r="D668" s="26" t="n"/>
      <c r="E668" s="27" t="n"/>
      <c r="F668" s="26" t="n"/>
      <c r="G668" s="1" t="n"/>
    </row>
    <row r="669">
      <c r="A669" s="1" t="n"/>
      <c r="B669" s="29" t="n"/>
      <c r="C669" s="26" t="n"/>
      <c r="D669" s="26" t="n"/>
      <c r="E669" s="27" t="n"/>
      <c r="F669" s="26" t="n"/>
      <c r="G669" s="1" t="n"/>
    </row>
    <row r="670">
      <c r="A670" s="1" t="n"/>
      <c r="B670" s="29" t="n"/>
      <c r="C670" s="26" t="n"/>
      <c r="D670" s="26" t="n"/>
      <c r="E670" s="27" t="n"/>
      <c r="F670" s="26" t="n"/>
      <c r="G670" s="1" t="n"/>
    </row>
    <row r="671">
      <c r="A671" s="1" t="n"/>
      <c r="B671" s="29" t="n"/>
      <c r="C671" s="26" t="n"/>
      <c r="D671" s="26" t="n"/>
      <c r="E671" s="27" t="n"/>
      <c r="F671" s="26" t="n"/>
      <c r="G671" s="1" t="n"/>
    </row>
    <row r="672">
      <c r="A672" s="1" t="n"/>
      <c r="B672" s="29" t="n"/>
      <c r="C672" s="26" t="n"/>
      <c r="D672" s="26" t="n"/>
      <c r="E672" s="27" t="n"/>
      <c r="F672" s="26" t="n"/>
      <c r="G672" s="1" t="n"/>
    </row>
    <row r="673">
      <c r="A673" s="1" t="n"/>
      <c r="B673" s="29" t="n"/>
      <c r="C673" s="26" t="n"/>
      <c r="D673" s="26" t="n"/>
      <c r="E673" s="27" t="n"/>
      <c r="F673" s="26" t="n"/>
      <c r="G673" s="1" t="n"/>
    </row>
    <row r="674">
      <c r="A674" s="1" t="n"/>
      <c r="B674" s="29" t="n"/>
      <c r="C674" s="26" t="n"/>
      <c r="D674" s="26" t="n"/>
      <c r="E674" s="27" t="n"/>
      <c r="F674" s="26" t="n"/>
      <c r="G674" s="1" t="n"/>
    </row>
    <row r="675">
      <c r="A675" s="1" t="n"/>
      <c r="B675" s="29" t="n"/>
      <c r="C675" s="26" t="n"/>
      <c r="D675" s="26" t="n"/>
      <c r="E675" s="27" t="n"/>
      <c r="F675" s="26" t="n"/>
      <c r="G675" s="1" t="n"/>
    </row>
    <row r="676">
      <c r="A676" s="1" t="n"/>
      <c r="B676" s="29" t="n"/>
      <c r="C676" s="26" t="n"/>
      <c r="D676" s="26" t="n"/>
      <c r="E676" s="27" t="n"/>
      <c r="F676" s="26" t="n"/>
      <c r="G676" s="1" t="n"/>
    </row>
    <row r="677">
      <c r="A677" s="1" t="n"/>
      <c r="B677" s="29" t="n"/>
      <c r="C677" s="26" t="n"/>
      <c r="D677" s="26" t="n"/>
      <c r="E677" s="27" t="n"/>
      <c r="F677" s="26" t="n"/>
      <c r="G677" s="1" t="n"/>
    </row>
    <row r="678">
      <c r="A678" s="1" t="n"/>
      <c r="B678" s="29" t="n"/>
      <c r="C678" s="26" t="n"/>
      <c r="D678" s="26" t="n"/>
      <c r="E678" s="27" t="n"/>
      <c r="F678" s="26" t="n"/>
      <c r="G678" s="1" t="n"/>
    </row>
    <row r="679">
      <c r="A679" s="1" t="n"/>
      <c r="B679" s="29" t="n"/>
      <c r="C679" s="26" t="n"/>
      <c r="D679" s="26" t="n"/>
      <c r="E679" s="27" t="n"/>
      <c r="F679" s="26" t="n"/>
      <c r="G679" s="1" t="n"/>
    </row>
    <row r="680">
      <c r="A680" s="1" t="n"/>
      <c r="B680" s="29" t="n"/>
      <c r="C680" s="26" t="n"/>
      <c r="D680" s="26" t="n"/>
      <c r="E680" s="27" t="n"/>
      <c r="F680" s="26" t="n"/>
      <c r="G680" s="1" t="n"/>
    </row>
    <row r="681">
      <c r="A681" s="1" t="n"/>
      <c r="B681" s="29" t="n"/>
      <c r="C681" s="26" t="n"/>
      <c r="D681" s="26" t="n"/>
      <c r="E681" s="27" t="n"/>
      <c r="F681" s="26" t="n"/>
      <c r="G681" s="1" t="n"/>
    </row>
    <row r="682">
      <c r="A682" s="1" t="n"/>
      <c r="B682" s="29" t="n"/>
      <c r="C682" s="26" t="n"/>
      <c r="D682" s="26" t="n"/>
      <c r="E682" s="27" t="n"/>
      <c r="F682" s="26" t="n"/>
      <c r="G682" s="1" t="n"/>
    </row>
    <row r="683">
      <c r="A683" s="1" t="n"/>
      <c r="B683" s="29" t="n"/>
      <c r="C683" s="26" t="n"/>
      <c r="D683" s="26" t="n"/>
      <c r="E683" s="27" t="n"/>
      <c r="F683" s="26" t="n"/>
      <c r="G683" s="1" t="n"/>
    </row>
    <row r="684">
      <c r="A684" s="1" t="n"/>
      <c r="B684" s="29" t="n"/>
      <c r="C684" s="26" t="n"/>
      <c r="D684" s="26" t="n"/>
      <c r="E684" s="27" t="n"/>
      <c r="F684" s="26" t="n"/>
      <c r="G684" s="1" t="n"/>
    </row>
    <row r="685">
      <c r="A685" s="1" t="n"/>
      <c r="B685" s="29" t="n"/>
      <c r="C685" s="26" t="n"/>
      <c r="D685" s="26" t="n"/>
      <c r="E685" s="27" t="n"/>
      <c r="F685" s="26" t="n"/>
      <c r="G685" s="1" t="n"/>
    </row>
    <row r="686">
      <c r="A686" s="1" t="n"/>
      <c r="B686" s="29" t="n"/>
      <c r="C686" s="26" t="n"/>
      <c r="D686" s="26" t="n"/>
      <c r="E686" s="27" t="n"/>
      <c r="F686" s="26" t="n"/>
      <c r="G686" s="1" t="n"/>
    </row>
    <row r="687">
      <c r="A687" s="1" t="n"/>
      <c r="B687" s="29" t="n"/>
      <c r="C687" s="26" t="n"/>
      <c r="D687" s="26" t="n"/>
      <c r="E687" s="27" t="n"/>
      <c r="F687" s="26" t="n"/>
      <c r="G687" s="1" t="n"/>
    </row>
    <row r="688">
      <c r="A688" s="1" t="n"/>
      <c r="B688" s="29" t="n"/>
      <c r="C688" s="26" t="n"/>
      <c r="D688" s="26" t="n"/>
      <c r="E688" s="27" t="n"/>
      <c r="F688" s="26" t="n"/>
      <c r="G688" s="1" t="n"/>
    </row>
    <row r="689">
      <c r="A689" s="1" t="n"/>
      <c r="B689" s="29" t="n"/>
      <c r="C689" s="26" t="n"/>
      <c r="D689" s="26" t="n"/>
      <c r="E689" s="27" t="n"/>
      <c r="F689" s="26" t="n"/>
      <c r="G689" s="1" t="n"/>
    </row>
    <row r="690">
      <c r="A690" s="1" t="n"/>
      <c r="B690" s="29" t="n"/>
      <c r="C690" s="26" t="n"/>
      <c r="D690" s="26" t="n"/>
      <c r="E690" s="27" t="n"/>
      <c r="F690" s="26" t="n"/>
      <c r="G690" s="1" t="n"/>
    </row>
    <row r="691">
      <c r="A691" s="1" t="n"/>
      <c r="B691" s="29" t="n"/>
      <c r="C691" s="26" t="n"/>
      <c r="D691" s="26" t="n"/>
      <c r="E691" s="27" t="n"/>
      <c r="F691" s="26" t="n"/>
      <c r="G691" s="1" t="n"/>
    </row>
    <row r="692">
      <c r="A692" s="1" t="n"/>
      <c r="B692" s="29" t="n"/>
      <c r="C692" s="26" t="n"/>
      <c r="D692" s="26" t="n"/>
      <c r="E692" s="27" t="n"/>
      <c r="F692" s="26" t="n"/>
      <c r="G692" s="1" t="n"/>
    </row>
    <row r="693">
      <c r="A693" s="1" t="n"/>
      <c r="B693" s="29" t="n"/>
      <c r="C693" s="26" t="n"/>
      <c r="D693" s="26" t="n"/>
      <c r="E693" s="27" t="n"/>
      <c r="F693" s="26" t="n"/>
      <c r="G693" s="1" t="n"/>
    </row>
    <row r="694">
      <c r="A694" s="1" t="n"/>
      <c r="B694" s="29" t="n"/>
      <c r="C694" s="26" t="n"/>
      <c r="D694" s="26" t="n"/>
      <c r="E694" s="27" t="n"/>
      <c r="F694" s="26" t="n"/>
      <c r="G694" s="1" t="n"/>
    </row>
    <row r="695">
      <c r="A695" s="1" t="n"/>
      <c r="B695" s="29" t="n"/>
      <c r="C695" s="26" t="n"/>
      <c r="D695" s="26" t="n"/>
      <c r="E695" s="27" t="n"/>
      <c r="F695" s="26" t="n"/>
      <c r="G695" s="1" t="n"/>
    </row>
    <row r="696">
      <c r="A696" s="1" t="n"/>
      <c r="B696" s="29" t="n"/>
      <c r="C696" s="26" t="n"/>
      <c r="D696" s="26" t="n"/>
      <c r="E696" s="27" t="n"/>
      <c r="F696" s="26" t="n"/>
      <c r="G696" s="1" t="n"/>
    </row>
    <row r="697">
      <c r="A697" s="1" t="n"/>
      <c r="B697" s="29" t="n"/>
      <c r="C697" s="26" t="n"/>
      <c r="D697" s="26" t="n"/>
      <c r="E697" s="27" t="n"/>
      <c r="F697" s="26" t="n"/>
      <c r="G697" s="1" t="n"/>
    </row>
    <row r="698">
      <c r="A698" s="1" t="n"/>
      <c r="B698" s="29" t="n"/>
      <c r="C698" s="26" t="n"/>
      <c r="D698" s="26" t="n"/>
      <c r="E698" s="27" t="n"/>
      <c r="F698" s="26" t="n"/>
      <c r="G698" s="1" t="n"/>
    </row>
    <row r="699">
      <c r="A699" s="1" t="n"/>
      <c r="B699" s="29" t="n"/>
      <c r="C699" s="26" t="n"/>
      <c r="D699" s="26" t="n"/>
      <c r="E699" s="27" t="n"/>
      <c r="F699" s="26" t="n"/>
      <c r="G699" s="1" t="n"/>
    </row>
    <row r="700">
      <c r="A700" s="1" t="n"/>
      <c r="B700" s="29" t="n"/>
      <c r="C700" s="26" t="n"/>
      <c r="D700" s="26" t="n"/>
      <c r="E700" s="27" t="n"/>
      <c r="F700" s="26" t="n"/>
      <c r="G700" s="1" t="n"/>
    </row>
    <row r="701">
      <c r="A701" s="1" t="n"/>
      <c r="B701" s="29" t="n"/>
      <c r="C701" s="26" t="n"/>
      <c r="D701" s="26" t="n"/>
      <c r="E701" s="27" t="n"/>
      <c r="F701" s="26" t="n"/>
      <c r="G701" s="1" t="n"/>
    </row>
    <row r="702">
      <c r="A702" s="1" t="n"/>
      <c r="B702" s="29" t="n"/>
      <c r="C702" s="26" t="n"/>
      <c r="D702" s="26" t="n"/>
      <c r="E702" s="27" t="n"/>
      <c r="F702" s="26" t="n"/>
      <c r="G702" s="1" t="n"/>
    </row>
    <row r="703">
      <c r="A703" s="1" t="n"/>
      <c r="B703" s="29" t="n"/>
      <c r="C703" s="26" t="n"/>
      <c r="D703" s="26" t="n"/>
      <c r="E703" s="27" t="n"/>
      <c r="F703" s="26" t="n"/>
      <c r="G703" s="1" t="n"/>
    </row>
    <row r="704">
      <c r="A704" s="1" t="n"/>
      <c r="B704" s="29" t="n"/>
      <c r="C704" s="26" t="n"/>
      <c r="D704" s="26" t="n"/>
      <c r="E704" s="27" t="n"/>
      <c r="F704" s="26" t="n"/>
      <c r="G704" s="1" t="n"/>
    </row>
    <row r="705">
      <c r="A705" s="1" t="n"/>
      <c r="B705" s="29" t="n"/>
      <c r="C705" s="26" t="n"/>
      <c r="D705" s="26" t="n"/>
      <c r="E705" s="27" t="n"/>
      <c r="F705" s="26" t="n"/>
      <c r="G705" s="1" t="n"/>
    </row>
    <row r="706">
      <c r="A706" s="1" t="n"/>
      <c r="B706" s="29" t="n"/>
      <c r="C706" s="26" t="n"/>
      <c r="D706" s="26" t="n"/>
      <c r="E706" s="27" t="n"/>
      <c r="F706" s="26" t="n"/>
      <c r="G706" s="1" t="n"/>
    </row>
    <row r="707">
      <c r="A707" s="1" t="n"/>
      <c r="B707" s="29" t="n"/>
      <c r="C707" s="26" t="n"/>
      <c r="D707" s="26" t="n"/>
      <c r="E707" s="27" t="n"/>
      <c r="F707" s="26" t="n"/>
      <c r="G707" s="1" t="n"/>
    </row>
    <row r="708">
      <c r="A708" s="1" t="n"/>
      <c r="B708" s="29" t="n"/>
      <c r="C708" s="26" t="n"/>
      <c r="D708" s="26" t="n"/>
      <c r="E708" s="27" t="n"/>
      <c r="F708" s="26" t="n"/>
      <c r="G708" s="1" t="n"/>
    </row>
    <row r="709">
      <c r="A709" s="1" t="n"/>
      <c r="B709" s="29" t="n"/>
      <c r="C709" s="26" t="n"/>
      <c r="D709" s="26" t="n"/>
      <c r="E709" s="27" t="n"/>
      <c r="F709" s="26" t="n"/>
      <c r="G709" s="1" t="n"/>
    </row>
    <row r="710">
      <c r="A710" s="1" t="n"/>
      <c r="B710" s="29" t="n"/>
      <c r="C710" s="26" t="n"/>
      <c r="D710" s="26" t="n"/>
      <c r="E710" s="27" t="n"/>
      <c r="F710" s="26" t="n"/>
      <c r="G710" s="1" t="n"/>
    </row>
    <row r="711">
      <c r="A711" s="1" t="n"/>
      <c r="B711" s="29" t="n"/>
      <c r="C711" s="26" t="n"/>
      <c r="D711" s="26" t="n"/>
      <c r="E711" s="27" t="n"/>
      <c r="F711" s="26" t="n"/>
      <c r="G711" s="1" t="n"/>
    </row>
    <row r="712">
      <c r="A712" s="1" t="n"/>
      <c r="B712" s="29" t="n"/>
      <c r="C712" s="26" t="n"/>
      <c r="D712" s="26" t="n"/>
      <c r="E712" s="27" t="n"/>
      <c r="F712" s="26" t="n"/>
      <c r="G712" s="1" t="n"/>
    </row>
    <row r="713">
      <c r="A713" s="1" t="n"/>
      <c r="B713" s="29" t="n"/>
      <c r="C713" s="26" t="n"/>
      <c r="D713" s="26" t="n"/>
      <c r="E713" s="27" t="n"/>
      <c r="F713" s="26" t="n"/>
      <c r="G713" s="1" t="n"/>
    </row>
    <row r="714">
      <c r="A714" s="1" t="n"/>
      <c r="B714" s="29" t="n"/>
      <c r="C714" s="26" t="n"/>
      <c r="D714" s="26" t="n"/>
      <c r="E714" s="27" t="n"/>
      <c r="F714" s="26" t="n"/>
      <c r="G714" s="1" t="n"/>
    </row>
    <row r="715">
      <c r="A715" s="1" t="n"/>
      <c r="B715" s="29" t="n"/>
      <c r="C715" s="26" t="n"/>
      <c r="D715" s="26" t="n"/>
      <c r="E715" s="27" t="n"/>
      <c r="F715" s="26" t="n"/>
      <c r="G715" s="1" t="n"/>
    </row>
    <row r="716">
      <c r="A716" s="1" t="n"/>
      <c r="B716" s="29" t="n"/>
      <c r="C716" s="26" t="n"/>
      <c r="D716" s="26" t="n"/>
      <c r="E716" s="27" t="n"/>
      <c r="F716" s="26" t="n"/>
      <c r="G716" s="1" t="n"/>
    </row>
    <row r="717">
      <c r="A717" s="1" t="n"/>
      <c r="B717" s="29" t="n"/>
      <c r="C717" s="26" t="n"/>
      <c r="D717" s="26" t="n"/>
      <c r="E717" s="27" t="n"/>
      <c r="F717" s="26" t="n"/>
      <c r="G717" s="1" t="n"/>
    </row>
    <row r="718">
      <c r="A718" s="1" t="n"/>
      <c r="B718" s="29" t="n"/>
      <c r="C718" s="26" t="n"/>
      <c r="D718" s="26" t="n"/>
      <c r="E718" s="27" t="n"/>
      <c r="F718" s="26" t="n"/>
      <c r="G718" s="1" t="n"/>
    </row>
    <row r="719">
      <c r="A719" s="1" t="n"/>
      <c r="B719" s="29" t="n"/>
      <c r="C719" s="26" t="n"/>
      <c r="D719" s="26" t="n"/>
      <c r="E719" s="27" t="n"/>
      <c r="F719" s="26" t="n"/>
      <c r="G719" s="1" t="n"/>
    </row>
    <row r="720">
      <c r="A720" s="1" t="n"/>
      <c r="B720" s="29" t="n"/>
      <c r="C720" s="26" t="n"/>
      <c r="D720" s="26" t="n"/>
      <c r="E720" s="27" t="n"/>
      <c r="F720" s="26" t="n"/>
      <c r="G720" s="1" t="n"/>
    </row>
    <row r="721">
      <c r="A721" s="1" t="n"/>
      <c r="B721" s="29" t="n"/>
      <c r="C721" s="26" t="n"/>
      <c r="D721" s="26" t="n"/>
      <c r="E721" s="27" t="n"/>
      <c r="F721" s="26" t="n"/>
      <c r="G721" s="1" t="n"/>
    </row>
    <row r="722">
      <c r="A722" s="1" t="n"/>
      <c r="B722" s="29" t="n"/>
      <c r="C722" s="26" t="n"/>
      <c r="D722" s="26" t="n"/>
      <c r="E722" s="27" t="n"/>
      <c r="F722" s="26" t="n"/>
      <c r="G722" s="1" t="n"/>
    </row>
    <row r="723">
      <c r="A723" s="1" t="n"/>
      <c r="B723" s="29" t="n"/>
      <c r="C723" s="26" t="n"/>
      <c r="D723" s="26" t="n"/>
      <c r="E723" s="27" t="n"/>
      <c r="F723" s="26" t="n"/>
      <c r="G723" s="1" t="n"/>
    </row>
    <row r="724">
      <c r="A724" s="1" t="n"/>
      <c r="B724" s="29" t="n"/>
      <c r="C724" s="26" t="n"/>
      <c r="D724" s="26" t="n"/>
      <c r="E724" s="27" t="n"/>
      <c r="F724" s="26" t="n"/>
      <c r="G724" s="1" t="n"/>
    </row>
    <row r="725">
      <c r="A725" s="1" t="n"/>
      <c r="B725" s="29" t="n"/>
      <c r="C725" s="26" t="n"/>
      <c r="D725" s="26" t="n"/>
      <c r="E725" s="27" t="n"/>
      <c r="F725" s="26" t="n"/>
      <c r="G725" s="1" t="n"/>
    </row>
    <row r="726">
      <c r="A726" s="1" t="n"/>
      <c r="B726" s="29" t="n"/>
      <c r="C726" s="26" t="n"/>
      <c r="D726" s="26" t="n"/>
      <c r="E726" s="27" t="n"/>
      <c r="F726" s="26" t="n"/>
      <c r="G726" s="1" t="n"/>
    </row>
    <row r="727">
      <c r="A727" s="1" t="n"/>
      <c r="B727" s="29" t="n"/>
      <c r="C727" s="26" t="n"/>
      <c r="D727" s="26" t="n"/>
      <c r="E727" s="27" t="n"/>
      <c r="F727" s="26" t="n"/>
      <c r="G727" s="1" t="n"/>
    </row>
    <row r="728">
      <c r="A728" s="1" t="n"/>
      <c r="B728" s="29" t="n"/>
      <c r="C728" s="26" t="n"/>
      <c r="D728" s="26" t="n"/>
      <c r="E728" s="27" t="n"/>
      <c r="F728" s="26" t="n"/>
      <c r="G728" s="1" t="n"/>
    </row>
    <row r="729">
      <c r="A729" s="1" t="n"/>
      <c r="B729" s="29" t="n"/>
      <c r="C729" s="26" t="n"/>
      <c r="D729" s="26" t="n"/>
      <c r="E729" s="27" t="n"/>
      <c r="F729" s="26" t="n"/>
      <c r="G729" s="1" t="n"/>
    </row>
    <row r="730">
      <c r="A730" s="1" t="n"/>
      <c r="B730" s="29" t="n"/>
      <c r="C730" s="26" t="n"/>
      <c r="D730" s="26" t="n"/>
      <c r="E730" s="27" t="n"/>
      <c r="F730" s="26" t="n"/>
      <c r="G730" s="1" t="n"/>
    </row>
    <row r="731">
      <c r="A731" s="1" t="n"/>
      <c r="B731" s="29" t="n"/>
      <c r="C731" s="26" t="n"/>
      <c r="D731" s="26" t="n"/>
      <c r="E731" s="27" t="n"/>
      <c r="F731" s="26" t="n"/>
      <c r="G731" s="1" t="n"/>
    </row>
    <row r="732">
      <c r="A732" s="1" t="n"/>
      <c r="B732" s="29" t="n"/>
      <c r="C732" s="26" t="n"/>
      <c r="D732" s="26" t="n"/>
      <c r="E732" s="27" t="n"/>
      <c r="F732" s="26" t="n"/>
      <c r="G732" s="1" t="n"/>
    </row>
    <row r="733">
      <c r="A733" s="1" t="n"/>
      <c r="B733" s="29" t="n"/>
      <c r="C733" s="26" t="n"/>
      <c r="D733" s="26" t="n"/>
      <c r="E733" s="27" t="n"/>
      <c r="F733" s="26" t="n"/>
      <c r="G733" s="1" t="n"/>
    </row>
    <row r="734">
      <c r="A734" s="1" t="n"/>
      <c r="B734" s="29" t="n"/>
      <c r="C734" s="26" t="n"/>
      <c r="D734" s="26" t="n"/>
      <c r="E734" s="27" t="n"/>
      <c r="F734" s="26" t="n"/>
      <c r="G734" s="1" t="n"/>
    </row>
    <row r="735">
      <c r="A735" s="1" t="n"/>
      <c r="B735" s="29" t="n"/>
      <c r="C735" s="26" t="n"/>
      <c r="D735" s="26" t="n"/>
      <c r="E735" s="27" t="n"/>
      <c r="F735" s="26" t="n"/>
      <c r="G735" s="1" t="n"/>
    </row>
    <row r="736">
      <c r="A736" s="1" t="n"/>
      <c r="B736" s="29" t="n"/>
      <c r="C736" s="26" t="n"/>
      <c r="D736" s="26" t="n"/>
      <c r="E736" s="27" t="n"/>
      <c r="F736" s="26" t="n"/>
      <c r="G736" s="1" t="n"/>
    </row>
    <row r="737">
      <c r="A737" s="1" t="n"/>
      <c r="B737" s="29" t="n"/>
      <c r="C737" s="26" t="n"/>
      <c r="D737" s="26" t="n"/>
      <c r="E737" s="27" t="n"/>
      <c r="F737" s="26" t="n"/>
      <c r="G737" s="1" t="n"/>
    </row>
    <row r="738">
      <c r="A738" s="1" t="n"/>
      <c r="B738" s="29" t="n"/>
      <c r="C738" s="26" t="n"/>
      <c r="D738" s="26" t="n"/>
      <c r="E738" s="27" t="n"/>
      <c r="F738" s="26" t="n"/>
      <c r="G738" s="1" t="n"/>
    </row>
    <row r="739">
      <c r="A739" s="1" t="n"/>
      <c r="B739" s="29" t="n"/>
      <c r="C739" s="26" t="n"/>
      <c r="D739" s="26" t="n"/>
      <c r="E739" s="27" t="n"/>
      <c r="F739" s="26" t="n"/>
      <c r="G739" s="1" t="n"/>
    </row>
    <row r="740">
      <c r="A740" s="1" t="n"/>
      <c r="B740" s="29" t="n"/>
      <c r="C740" s="26" t="n"/>
      <c r="D740" s="26" t="n"/>
      <c r="E740" s="27" t="n"/>
      <c r="F740" s="26" t="n"/>
      <c r="G740" s="1" t="n"/>
    </row>
    <row r="741">
      <c r="A741" s="1" t="n"/>
      <c r="B741" s="29" t="n"/>
      <c r="C741" s="26" t="n"/>
      <c r="D741" s="26" t="n"/>
      <c r="E741" s="27" t="n"/>
      <c r="F741" s="26" t="n"/>
      <c r="G741" s="1" t="n"/>
    </row>
    <row r="742">
      <c r="A742" s="1" t="n"/>
      <c r="B742" s="29" t="n"/>
      <c r="C742" s="26" t="n"/>
      <c r="D742" s="26" t="n"/>
      <c r="E742" s="27" t="n"/>
      <c r="F742" s="26" t="n"/>
      <c r="G742" s="1" t="n"/>
    </row>
    <row r="743">
      <c r="A743" s="1" t="n"/>
      <c r="B743" s="29" t="n"/>
      <c r="C743" s="26" t="n"/>
      <c r="D743" s="26" t="n"/>
      <c r="E743" s="27" t="n"/>
      <c r="F743" s="26" t="n"/>
      <c r="G743" s="1" t="n"/>
    </row>
    <row r="744">
      <c r="A744" s="1" t="n"/>
      <c r="B744" s="29" t="n"/>
      <c r="C744" s="26" t="n"/>
      <c r="D744" s="26" t="n"/>
      <c r="E744" s="27" t="n"/>
      <c r="F744" s="26" t="n"/>
      <c r="G744" s="1" t="n"/>
    </row>
    <row r="745">
      <c r="A745" s="1" t="n"/>
      <c r="B745" s="29" t="n"/>
      <c r="C745" s="26" t="n"/>
      <c r="D745" s="26" t="n"/>
      <c r="E745" s="27" t="n"/>
      <c r="F745" s="26" t="n"/>
      <c r="G745" s="1" t="n"/>
    </row>
    <row r="746">
      <c r="A746" s="1" t="n"/>
      <c r="B746" s="29" t="n"/>
      <c r="C746" s="26" t="n"/>
      <c r="D746" s="26" t="n"/>
      <c r="E746" s="27" t="n"/>
      <c r="F746" s="26" t="n"/>
      <c r="G746" s="1" t="n"/>
    </row>
    <row r="747">
      <c r="A747" s="1" t="n"/>
      <c r="B747" s="29" t="n"/>
      <c r="C747" s="26" t="n"/>
      <c r="D747" s="26" t="n"/>
      <c r="E747" s="27" t="n"/>
      <c r="F747" s="26" t="n"/>
      <c r="G747" s="1" t="n"/>
    </row>
    <row r="748">
      <c r="A748" s="1" t="n"/>
      <c r="B748" s="29" t="n"/>
      <c r="C748" s="26" t="n"/>
      <c r="D748" s="26" t="n"/>
      <c r="E748" s="27" t="n"/>
      <c r="F748" s="26" t="n"/>
      <c r="G748" s="1" t="n"/>
    </row>
    <row r="749">
      <c r="A749" s="1" t="n"/>
      <c r="B749" s="29" t="n"/>
      <c r="C749" s="26" t="n"/>
      <c r="D749" s="26" t="n"/>
      <c r="E749" s="27" t="n"/>
      <c r="F749" s="26" t="n"/>
      <c r="G749" s="1" t="n"/>
    </row>
    <row r="750">
      <c r="A750" s="1" t="n"/>
      <c r="B750" s="29" t="n"/>
      <c r="C750" s="26" t="n"/>
      <c r="D750" s="26" t="n"/>
      <c r="E750" s="27" t="n"/>
      <c r="F750" s="26" t="n"/>
      <c r="G750" s="1" t="n"/>
    </row>
    <row r="751">
      <c r="A751" s="1" t="n"/>
      <c r="B751" s="29" t="n"/>
      <c r="C751" s="26" t="n"/>
      <c r="D751" s="26" t="n"/>
      <c r="E751" s="27" t="n"/>
      <c r="F751" s="26" t="n"/>
      <c r="G751" s="1" t="n"/>
    </row>
    <row r="752">
      <c r="A752" s="1" t="n"/>
      <c r="B752" s="29" t="n"/>
      <c r="C752" s="26" t="n"/>
      <c r="D752" s="26" t="n"/>
      <c r="E752" s="27" t="n"/>
      <c r="F752" s="26" t="n"/>
      <c r="G752" s="1" t="n"/>
    </row>
    <row r="753">
      <c r="A753" s="1" t="n"/>
      <c r="B753" s="29" t="n"/>
      <c r="C753" s="26" t="n"/>
      <c r="D753" s="26" t="n"/>
      <c r="E753" s="27" t="n"/>
      <c r="F753" s="26" t="n"/>
      <c r="G753" s="1" t="n"/>
    </row>
    <row r="754">
      <c r="A754" s="1" t="n"/>
      <c r="B754" s="29" t="n"/>
      <c r="C754" s="26" t="n"/>
      <c r="D754" s="26" t="n"/>
      <c r="E754" s="27" t="n"/>
      <c r="F754" s="26" t="n"/>
      <c r="G754" s="1" t="n"/>
    </row>
    <row r="755">
      <c r="A755" s="1" t="n"/>
      <c r="B755" s="29" t="n"/>
      <c r="C755" s="26" t="n"/>
      <c r="D755" s="26" t="n"/>
      <c r="E755" s="27" t="n"/>
      <c r="F755" s="26" t="n"/>
      <c r="G755" s="1" t="n"/>
    </row>
    <row r="756">
      <c r="A756" s="1" t="n"/>
      <c r="B756" s="29" t="n"/>
      <c r="C756" s="26" t="n"/>
      <c r="D756" s="26" t="n"/>
      <c r="E756" s="27" t="n"/>
      <c r="F756" s="26" t="n"/>
      <c r="G756" s="1" t="n"/>
    </row>
    <row r="757">
      <c r="A757" s="1" t="n"/>
      <c r="B757" s="29" t="n"/>
      <c r="C757" s="26" t="n"/>
      <c r="D757" s="26" t="n"/>
      <c r="E757" s="27" t="n"/>
      <c r="F757" s="26" t="n"/>
      <c r="G757" s="1" t="n"/>
    </row>
    <row r="758">
      <c r="A758" s="1" t="n"/>
      <c r="B758" s="29" t="n"/>
      <c r="C758" s="26" t="n"/>
      <c r="D758" s="26" t="n"/>
      <c r="E758" s="27" t="n"/>
      <c r="F758" s="26" t="n"/>
      <c r="G758" s="1" t="n"/>
    </row>
    <row r="759">
      <c r="A759" s="1" t="n"/>
      <c r="B759" s="29" t="n"/>
      <c r="C759" s="26" t="n"/>
      <c r="D759" s="26" t="n"/>
      <c r="E759" s="27" t="n"/>
      <c r="F759" s="26" t="n"/>
      <c r="G759" s="1" t="n"/>
    </row>
    <row r="760">
      <c r="A760" s="1" t="n"/>
      <c r="B760" s="29" t="n"/>
      <c r="C760" s="26" t="n"/>
      <c r="D760" s="26" t="n"/>
      <c r="E760" s="27" t="n"/>
      <c r="F760" s="26" t="n"/>
      <c r="G760" s="1" t="n"/>
    </row>
    <row r="761">
      <c r="A761" s="1" t="n"/>
      <c r="B761" s="29" t="n"/>
      <c r="C761" s="26" t="n"/>
      <c r="D761" s="26" t="n"/>
      <c r="E761" s="27" t="n"/>
      <c r="F761" s="26" t="n"/>
      <c r="G761" s="1" t="n"/>
    </row>
    <row r="762">
      <c r="A762" s="1" t="n"/>
      <c r="B762" s="29" t="n"/>
      <c r="C762" s="26" t="n"/>
      <c r="D762" s="26" t="n"/>
      <c r="E762" s="27" t="n"/>
      <c r="F762" s="26" t="n"/>
      <c r="G762" s="1" t="n"/>
    </row>
    <row r="763">
      <c r="A763" s="1" t="n"/>
      <c r="B763" s="29" t="n"/>
      <c r="C763" s="26" t="n"/>
      <c r="D763" s="26" t="n"/>
      <c r="E763" s="27" t="n"/>
      <c r="F763" s="26" t="n"/>
      <c r="G763" s="1" t="n"/>
    </row>
    <row r="764">
      <c r="A764" s="1" t="n"/>
      <c r="B764" s="29" t="n"/>
      <c r="C764" s="26" t="n"/>
      <c r="D764" s="26" t="n"/>
      <c r="E764" s="27" t="n"/>
      <c r="F764" s="26" t="n"/>
      <c r="G764" s="1" t="n"/>
    </row>
    <row r="765">
      <c r="A765" s="1" t="n"/>
      <c r="B765" s="29" t="n"/>
      <c r="C765" s="26" t="n"/>
      <c r="D765" s="26" t="n"/>
      <c r="E765" s="27" t="n"/>
      <c r="F765" s="26" t="n"/>
      <c r="G765" s="1" t="n"/>
    </row>
    <row r="766">
      <c r="A766" s="1" t="n"/>
      <c r="B766" s="29" t="n"/>
      <c r="C766" s="26" t="n"/>
      <c r="D766" s="26" t="n"/>
      <c r="E766" s="27" t="n"/>
      <c r="F766" s="26" t="n"/>
      <c r="G766" s="1" t="n"/>
    </row>
    <row r="767">
      <c r="A767" s="1" t="n"/>
      <c r="B767" s="29" t="n"/>
      <c r="C767" s="26" t="n"/>
      <c r="D767" s="26" t="n"/>
      <c r="E767" s="27" t="n"/>
      <c r="F767" s="26" t="n"/>
      <c r="G767" s="1" t="n"/>
    </row>
    <row r="768">
      <c r="A768" s="1" t="n"/>
      <c r="B768" s="29" t="n"/>
      <c r="C768" s="26" t="n"/>
      <c r="D768" s="26" t="n"/>
      <c r="E768" s="27" t="n"/>
      <c r="F768" s="26" t="n"/>
      <c r="G768" s="1" t="n"/>
    </row>
    <row r="769">
      <c r="A769" s="1" t="n"/>
      <c r="B769" s="29" t="n"/>
      <c r="C769" s="26" t="n"/>
      <c r="D769" s="26" t="n"/>
      <c r="E769" s="27" t="n"/>
      <c r="F769" s="26" t="n"/>
      <c r="G769" s="1" t="n"/>
    </row>
    <row r="770">
      <c r="A770" s="1" t="n"/>
      <c r="B770" s="29" t="n"/>
      <c r="C770" s="26" t="n"/>
      <c r="D770" s="26" t="n"/>
      <c r="E770" s="27" t="n"/>
      <c r="F770" s="26" t="n"/>
      <c r="G770" s="1" t="n"/>
    </row>
    <row r="771">
      <c r="A771" s="1" t="n"/>
      <c r="B771" s="29" t="n"/>
      <c r="C771" s="26" t="n"/>
      <c r="D771" s="26" t="n"/>
      <c r="E771" s="27" t="n"/>
      <c r="F771" s="26" t="n"/>
      <c r="G771" s="1" t="n"/>
    </row>
    <row r="772">
      <c r="A772" s="1" t="n"/>
      <c r="B772" s="29" t="n"/>
      <c r="C772" s="26" t="n"/>
      <c r="D772" s="26" t="n"/>
      <c r="E772" s="27" t="n"/>
      <c r="F772" s="26" t="n"/>
      <c r="G772" s="1" t="n"/>
    </row>
    <row r="773">
      <c r="A773" s="1" t="n"/>
      <c r="B773" s="29" t="n"/>
      <c r="C773" s="26" t="n"/>
      <c r="D773" s="26" t="n"/>
      <c r="E773" s="27" t="n"/>
      <c r="F773" s="26" t="n"/>
      <c r="G773" s="1" t="n"/>
    </row>
    <row r="774">
      <c r="A774" s="1" t="n"/>
      <c r="B774" s="29" t="n"/>
      <c r="C774" s="26" t="n"/>
      <c r="D774" s="26" t="n"/>
      <c r="E774" s="27" t="n"/>
      <c r="F774" s="26" t="n"/>
      <c r="G774" s="1" t="n"/>
    </row>
    <row r="775">
      <c r="A775" s="1" t="n"/>
      <c r="B775" s="29" t="n"/>
      <c r="C775" s="26" t="n"/>
      <c r="D775" s="26" t="n"/>
      <c r="E775" s="27" t="n"/>
      <c r="F775" s="26" t="n"/>
      <c r="G775" s="1" t="n"/>
    </row>
    <row r="776">
      <c r="A776" s="1" t="n"/>
      <c r="B776" s="29" t="n"/>
      <c r="C776" s="26" t="n"/>
      <c r="D776" s="26" t="n"/>
      <c r="E776" s="27" t="n"/>
      <c r="F776" s="26" t="n"/>
      <c r="G776" s="1" t="n"/>
    </row>
    <row r="777">
      <c r="A777" s="1" t="n"/>
      <c r="B777" s="29" t="n"/>
      <c r="C777" s="26" t="n"/>
      <c r="D777" s="26" t="n"/>
      <c r="E777" s="27" t="n"/>
      <c r="F777" s="26" t="n"/>
      <c r="G777" s="1" t="n"/>
    </row>
    <row r="778">
      <c r="A778" s="1" t="n"/>
      <c r="B778" s="29" t="n"/>
      <c r="C778" s="26" t="n"/>
      <c r="D778" s="26" t="n"/>
      <c r="E778" s="27" t="n"/>
      <c r="F778" s="26" t="n"/>
      <c r="G778" s="1" t="n"/>
    </row>
    <row r="779">
      <c r="A779" s="1" t="n"/>
      <c r="B779" s="29" t="n"/>
      <c r="C779" s="26" t="n"/>
      <c r="D779" s="26" t="n"/>
      <c r="E779" s="27" t="n"/>
      <c r="F779" s="26" t="n"/>
      <c r="G779" s="1" t="n"/>
    </row>
    <row r="780">
      <c r="A780" s="1" t="n"/>
      <c r="B780" s="29" t="n"/>
      <c r="C780" s="26" t="n"/>
      <c r="D780" s="26" t="n"/>
      <c r="E780" s="27" t="n"/>
      <c r="F780" s="26" t="n"/>
      <c r="G780" s="1" t="n"/>
    </row>
    <row r="781">
      <c r="A781" s="1" t="n"/>
      <c r="B781" s="29" t="n"/>
      <c r="C781" s="26" t="n"/>
      <c r="D781" s="26" t="n"/>
      <c r="E781" s="27" t="n"/>
      <c r="F781" s="26" t="n"/>
      <c r="G781" s="1" t="n"/>
    </row>
    <row r="782">
      <c r="A782" s="1" t="n"/>
      <c r="B782" s="29" t="n"/>
      <c r="C782" s="26" t="n"/>
      <c r="D782" s="26" t="n"/>
      <c r="E782" s="27" t="n"/>
      <c r="F782" s="26" t="n"/>
      <c r="G782" s="1" t="n"/>
    </row>
    <row r="783">
      <c r="A783" s="1" t="n"/>
      <c r="B783" s="29" t="n"/>
      <c r="C783" s="26" t="n"/>
      <c r="D783" s="26" t="n"/>
      <c r="E783" s="27" t="n"/>
      <c r="F783" s="26" t="n"/>
      <c r="G783" s="1" t="n"/>
    </row>
    <row r="784">
      <c r="A784" s="1" t="n"/>
      <c r="B784" s="29" t="n"/>
      <c r="C784" s="26" t="n"/>
      <c r="D784" s="26" t="n"/>
      <c r="E784" s="27" t="n"/>
      <c r="F784" s="26" t="n"/>
      <c r="G784" s="1" t="n"/>
    </row>
    <row r="785">
      <c r="A785" s="1" t="n"/>
      <c r="B785" s="29" t="n"/>
      <c r="C785" s="26" t="n"/>
      <c r="D785" s="26" t="n"/>
      <c r="E785" s="27" t="n"/>
      <c r="F785" s="26" t="n"/>
      <c r="G785" s="1" t="n"/>
    </row>
    <row r="786">
      <c r="A786" s="1" t="n"/>
      <c r="B786" s="29" t="n"/>
      <c r="C786" s="26" t="n"/>
      <c r="D786" s="26" t="n"/>
      <c r="E786" s="27" t="n"/>
      <c r="F786" s="26" t="n"/>
      <c r="G786" s="1" t="n"/>
    </row>
    <row r="787">
      <c r="A787" s="1" t="n"/>
      <c r="B787" s="29" t="n"/>
      <c r="C787" s="26" t="n"/>
      <c r="D787" s="26" t="n"/>
      <c r="E787" s="27" t="n"/>
      <c r="F787" s="26" t="n"/>
      <c r="G787" s="1" t="n"/>
    </row>
    <row r="788">
      <c r="A788" s="1" t="n"/>
      <c r="B788" s="29" t="n"/>
      <c r="C788" s="26" t="n"/>
      <c r="D788" s="26" t="n"/>
      <c r="E788" s="27" t="n"/>
      <c r="F788" s="26" t="n"/>
      <c r="G788" s="1" t="n"/>
    </row>
    <row r="789">
      <c r="A789" s="1" t="n"/>
      <c r="B789" s="29" t="n"/>
      <c r="C789" s="26" t="n"/>
      <c r="D789" s="26" t="n"/>
      <c r="E789" s="27" t="n"/>
      <c r="F789" s="26" t="n"/>
      <c r="G789" s="1" t="n"/>
    </row>
    <row r="790">
      <c r="A790" s="1" t="n"/>
      <c r="B790" s="29" t="n"/>
      <c r="C790" s="26" t="n"/>
      <c r="D790" s="26" t="n"/>
      <c r="E790" s="27" t="n"/>
      <c r="F790" s="26" t="n"/>
      <c r="G790" s="1" t="n"/>
    </row>
    <row r="791">
      <c r="A791" s="1" t="n"/>
      <c r="B791" s="29" t="n"/>
      <c r="C791" s="26" t="n"/>
      <c r="D791" s="26" t="n"/>
      <c r="E791" s="27" t="n"/>
      <c r="F791" s="26" t="n"/>
      <c r="G791" s="1" t="n"/>
    </row>
    <row r="792">
      <c r="A792" s="1" t="n"/>
      <c r="B792" s="29" t="n"/>
      <c r="C792" s="26" t="n"/>
      <c r="D792" s="26" t="n"/>
      <c r="E792" s="27" t="n"/>
      <c r="F792" s="26" t="n"/>
      <c r="G792" s="1" t="n"/>
    </row>
    <row r="793">
      <c r="A793" s="1" t="n"/>
      <c r="B793" s="29" t="n"/>
      <c r="C793" s="26" t="n"/>
      <c r="D793" s="26" t="n"/>
      <c r="E793" s="27" t="n"/>
      <c r="F793" s="26" t="n"/>
      <c r="G793" s="1" t="n"/>
    </row>
    <row r="794">
      <c r="A794" s="1" t="n"/>
      <c r="B794" s="29" t="n"/>
      <c r="C794" s="26" t="n"/>
      <c r="D794" s="26" t="n"/>
      <c r="E794" s="27" t="n"/>
      <c r="F794" s="26" t="n"/>
      <c r="G794" s="1" t="n"/>
    </row>
    <row r="795">
      <c r="A795" s="1" t="n"/>
      <c r="B795" s="29" t="n"/>
      <c r="C795" s="26" t="n"/>
      <c r="D795" s="26" t="n"/>
      <c r="E795" s="27" t="n"/>
      <c r="F795" s="26" t="n"/>
      <c r="G795" s="1" t="n"/>
    </row>
    <row r="796">
      <c r="A796" s="1" t="n"/>
      <c r="B796" s="29" t="n"/>
      <c r="C796" s="26" t="n"/>
      <c r="D796" s="26" t="n"/>
      <c r="E796" s="27" t="n"/>
      <c r="F796" s="26" t="n"/>
      <c r="G796" s="1" t="n"/>
    </row>
    <row r="797">
      <c r="A797" s="1" t="n"/>
      <c r="B797" s="29" t="n"/>
      <c r="C797" s="26" t="n"/>
      <c r="D797" s="26" t="n"/>
      <c r="E797" s="27" t="n"/>
      <c r="F797" s="26" t="n"/>
      <c r="G797" s="1" t="n"/>
    </row>
    <row r="798">
      <c r="A798" s="1" t="n"/>
      <c r="B798" s="29" t="n"/>
      <c r="C798" s="26" t="n"/>
      <c r="D798" s="26" t="n"/>
      <c r="E798" s="27" t="n"/>
      <c r="F798" s="26" t="n"/>
      <c r="G798" s="1" t="n"/>
    </row>
    <row r="799">
      <c r="A799" s="1" t="n"/>
      <c r="B799" s="29" t="n"/>
      <c r="C799" s="26" t="n"/>
      <c r="D799" s="26" t="n"/>
      <c r="E799" s="27" t="n"/>
      <c r="F799" s="26" t="n"/>
      <c r="G799" s="1" t="n"/>
    </row>
    <row r="800">
      <c r="A800" s="1" t="n"/>
      <c r="B800" s="29" t="n"/>
      <c r="C800" s="26" t="n"/>
      <c r="D800" s="26" t="n"/>
      <c r="E800" s="27" t="n"/>
      <c r="F800" s="26" t="n"/>
      <c r="G800" s="1" t="n"/>
    </row>
    <row r="801">
      <c r="A801" s="1" t="n"/>
      <c r="B801" s="29" t="n"/>
      <c r="C801" s="26" t="n"/>
      <c r="D801" s="26" t="n"/>
      <c r="E801" s="27" t="n"/>
      <c r="F801" s="26" t="n"/>
      <c r="G801" s="1" t="n"/>
    </row>
    <row r="802">
      <c r="A802" s="1" t="n"/>
      <c r="B802" s="29" t="n"/>
      <c r="C802" s="26" t="n"/>
      <c r="D802" s="26" t="n"/>
      <c r="E802" s="27" t="n"/>
      <c r="F802" s="26" t="n"/>
      <c r="G802" s="1" t="n"/>
    </row>
    <row r="803">
      <c r="A803" s="1" t="n"/>
      <c r="B803" s="29" t="n"/>
      <c r="C803" s="26" t="n"/>
      <c r="D803" s="26" t="n"/>
      <c r="E803" s="27" t="n"/>
      <c r="F803" s="26" t="n"/>
      <c r="G803" s="1" t="n"/>
    </row>
    <row r="804">
      <c r="A804" s="1" t="n"/>
      <c r="B804" s="29" t="n"/>
      <c r="C804" s="26" t="n"/>
      <c r="D804" s="26" t="n"/>
      <c r="E804" s="27" t="n"/>
      <c r="F804" s="26" t="n"/>
      <c r="G804" s="1" t="n"/>
    </row>
    <row r="805">
      <c r="A805" s="1" t="n"/>
      <c r="B805" s="29" t="n"/>
      <c r="C805" s="26" t="n"/>
      <c r="D805" s="26" t="n"/>
      <c r="E805" s="27" t="n"/>
      <c r="F805" s="26" t="n"/>
      <c r="G805" s="1" t="n"/>
    </row>
    <row r="806">
      <c r="A806" s="1" t="n"/>
      <c r="B806" s="29" t="n"/>
      <c r="C806" s="26" t="n"/>
      <c r="D806" s="26" t="n"/>
      <c r="E806" s="27" t="n"/>
      <c r="F806" s="26" t="n"/>
      <c r="G806" s="1" t="n"/>
    </row>
    <row r="807">
      <c r="A807" s="1" t="n"/>
      <c r="B807" s="29" t="n"/>
      <c r="C807" s="26" t="n"/>
      <c r="D807" s="26" t="n"/>
      <c r="E807" s="27" t="n"/>
      <c r="F807" s="26" t="n"/>
      <c r="G807" s="1" t="n"/>
    </row>
    <row r="808">
      <c r="A808" s="1" t="n"/>
      <c r="B808" s="29" t="n"/>
      <c r="C808" s="26" t="n"/>
      <c r="D808" s="26" t="n"/>
      <c r="E808" s="27" t="n"/>
      <c r="F808" s="26" t="n"/>
      <c r="G808" s="1" t="n"/>
    </row>
    <row r="809">
      <c r="A809" s="1" t="n"/>
      <c r="B809" s="29" t="n"/>
      <c r="C809" s="26" t="n"/>
      <c r="D809" s="26" t="n"/>
      <c r="E809" s="27" t="n"/>
      <c r="F809" s="26" t="n"/>
      <c r="G809" s="1" t="n"/>
    </row>
    <row r="810">
      <c r="A810" s="1" t="n"/>
      <c r="B810" s="29" t="n"/>
      <c r="C810" s="26" t="n"/>
      <c r="D810" s="26" t="n"/>
      <c r="E810" s="27" t="n"/>
      <c r="F810" s="26" t="n"/>
      <c r="G810" s="1" t="n"/>
    </row>
    <row r="811">
      <c r="A811" s="1" t="n"/>
      <c r="B811" s="29" t="n"/>
      <c r="C811" s="26" t="n"/>
      <c r="D811" s="26" t="n"/>
      <c r="E811" s="27" t="n"/>
      <c r="F811" s="26" t="n"/>
      <c r="G811" s="1" t="n"/>
    </row>
    <row r="812">
      <c r="A812" s="1" t="n"/>
      <c r="B812" s="29" t="n"/>
      <c r="C812" s="26" t="n"/>
      <c r="D812" s="26" t="n"/>
      <c r="E812" s="27" t="n"/>
      <c r="F812" s="26" t="n"/>
      <c r="G812" s="1" t="n"/>
    </row>
    <row r="813">
      <c r="A813" s="1" t="n"/>
      <c r="B813" s="29" t="n"/>
      <c r="C813" s="26" t="n"/>
      <c r="D813" s="26" t="n"/>
      <c r="E813" s="27" t="n"/>
      <c r="F813" s="26" t="n"/>
      <c r="G813" s="1" t="n"/>
    </row>
    <row r="814">
      <c r="A814" s="1" t="n"/>
      <c r="B814" s="29" t="n"/>
      <c r="C814" s="26" t="n"/>
      <c r="D814" s="26" t="n"/>
      <c r="E814" s="27" t="n"/>
      <c r="F814" s="26" t="n"/>
      <c r="G814" s="1" t="n"/>
    </row>
    <row r="815">
      <c r="A815" s="1" t="n"/>
      <c r="B815" s="29" t="n"/>
      <c r="C815" s="26" t="n"/>
      <c r="D815" s="26" t="n"/>
      <c r="E815" s="27" t="n"/>
      <c r="F815" s="26" t="n"/>
      <c r="G815" s="1" t="n"/>
    </row>
    <row r="816">
      <c r="A816" s="1" t="n"/>
      <c r="B816" s="29" t="n"/>
      <c r="C816" s="26" t="n"/>
      <c r="D816" s="26" t="n"/>
      <c r="E816" s="27" t="n"/>
      <c r="F816" s="26" t="n"/>
      <c r="G816" s="1" t="n"/>
    </row>
    <row r="817">
      <c r="A817" s="1" t="n"/>
      <c r="B817" s="29" t="n"/>
      <c r="C817" s="26" t="n"/>
      <c r="D817" s="26" t="n"/>
      <c r="E817" s="27" t="n"/>
      <c r="F817" s="26" t="n"/>
      <c r="G817" s="1" t="n"/>
    </row>
    <row r="818">
      <c r="A818" s="1" t="n"/>
      <c r="B818" s="29" t="n"/>
      <c r="C818" s="26" t="n"/>
      <c r="D818" s="26" t="n"/>
      <c r="E818" s="27" t="n"/>
      <c r="F818" s="26" t="n"/>
      <c r="G818" s="1" t="n"/>
    </row>
    <row r="819">
      <c r="A819" s="1" t="n"/>
      <c r="B819" s="29" t="n"/>
      <c r="C819" s="26" t="n"/>
      <c r="D819" s="26" t="n"/>
      <c r="E819" s="27" t="n"/>
      <c r="F819" s="26" t="n"/>
      <c r="G819" s="1" t="n"/>
    </row>
    <row r="820">
      <c r="A820" s="1" t="n"/>
      <c r="B820" s="29" t="n"/>
      <c r="C820" s="26" t="n"/>
      <c r="D820" s="26" t="n"/>
      <c r="E820" s="27" t="n"/>
      <c r="F820" s="26" t="n"/>
      <c r="G820" s="1" t="n"/>
    </row>
    <row r="821">
      <c r="A821" s="1" t="n"/>
      <c r="B821" s="29" t="n"/>
      <c r="C821" s="26" t="n"/>
      <c r="D821" s="26" t="n"/>
      <c r="E821" s="27" t="n"/>
      <c r="F821" s="26" t="n"/>
      <c r="G821" s="1" t="n"/>
    </row>
    <row r="822">
      <c r="A822" s="1" t="n"/>
      <c r="B822" s="29" t="n"/>
      <c r="C822" s="26" t="n"/>
      <c r="D822" s="26" t="n"/>
      <c r="E822" s="27" t="n"/>
      <c r="F822" s="26" t="n"/>
      <c r="G822" s="1" t="n"/>
    </row>
    <row r="823">
      <c r="A823" s="1" t="n"/>
      <c r="B823" s="29" t="n"/>
      <c r="C823" s="26" t="n"/>
      <c r="D823" s="26" t="n"/>
      <c r="E823" s="27" t="n"/>
      <c r="F823" s="26" t="n"/>
      <c r="G823" s="1" t="n"/>
    </row>
    <row r="824">
      <c r="A824" s="1" t="n"/>
      <c r="B824" s="29" t="n"/>
      <c r="C824" s="26" t="n"/>
      <c r="D824" s="26" t="n"/>
      <c r="E824" s="27" t="n"/>
      <c r="F824" s="26" t="n"/>
      <c r="G824" s="1" t="n"/>
    </row>
    <row r="825">
      <c r="A825" s="1" t="n"/>
      <c r="B825" s="29" t="n"/>
      <c r="C825" s="26" t="n"/>
      <c r="D825" s="26" t="n"/>
      <c r="E825" s="27" t="n"/>
      <c r="F825" s="26" t="n"/>
      <c r="G825" s="1" t="n"/>
    </row>
    <row r="826">
      <c r="A826" s="1" t="n"/>
      <c r="B826" s="29" t="n"/>
      <c r="C826" s="26" t="n"/>
      <c r="D826" s="26" t="n"/>
      <c r="E826" s="27" t="n"/>
      <c r="F826" s="26" t="n"/>
      <c r="G826" s="1" t="n"/>
    </row>
    <row r="827">
      <c r="A827" s="1" t="n"/>
      <c r="B827" s="29" t="n"/>
      <c r="C827" s="26" t="n"/>
      <c r="D827" s="26" t="n"/>
      <c r="E827" s="27" t="n"/>
      <c r="F827" s="26" t="n"/>
      <c r="G827" s="1" t="n"/>
    </row>
    <row r="828">
      <c r="A828" s="1" t="n"/>
      <c r="B828" s="29" t="n"/>
      <c r="C828" s="26" t="n"/>
      <c r="D828" s="26" t="n"/>
      <c r="E828" s="27" t="n"/>
      <c r="F828" s="26" t="n"/>
      <c r="G828" s="1" t="n"/>
    </row>
    <row r="829">
      <c r="A829" s="1" t="n"/>
      <c r="B829" s="29" t="n"/>
      <c r="C829" s="26" t="n"/>
      <c r="D829" s="26" t="n"/>
      <c r="E829" s="27" t="n"/>
      <c r="F829" s="26" t="n"/>
      <c r="G829" s="1" t="n"/>
    </row>
    <row r="830">
      <c r="A830" s="1" t="n"/>
      <c r="B830" s="29" t="n"/>
      <c r="C830" s="26" t="n"/>
      <c r="D830" s="26" t="n"/>
      <c r="E830" s="27" t="n"/>
      <c r="F830" s="26" t="n"/>
      <c r="G830" s="1" t="n"/>
    </row>
    <row r="831">
      <c r="A831" s="1" t="n"/>
      <c r="B831" s="29" t="n"/>
      <c r="C831" s="26" t="n"/>
      <c r="D831" s="26" t="n"/>
      <c r="E831" s="27" t="n"/>
      <c r="F831" s="26" t="n"/>
      <c r="G831" s="1" t="n"/>
    </row>
    <row r="832">
      <c r="A832" s="1" t="n"/>
      <c r="B832" s="29" t="n"/>
      <c r="C832" s="26" t="n"/>
      <c r="D832" s="26" t="n"/>
      <c r="E832" s="27" t="n"/>
      <c r="F832" s="26" t="n"/>
      <c r="G832" s="1" t="n"/>
    </row>
    <row r="833">
      <c r="A833" s="1" t="n"/>
      <c r="B833" s="29" t="n"/>
      <c r="C833" s="26" t="n"/>
      <c r="D833" s="26" t="n"/>
      <c r="E833" s="27" t="n"/>
      <c r="F833" s="26" t="n"/>
      <c r="G833" s="1" t="n"/>
    </row>
    <row r="834">
      <c r="A834" s="1" t="n"/>
      <c r="B834" s="29" t="n"/>
      <c r="C834" s="26" t="n"/>
      <c r="D834" s="26" t="n"/>
      <c r="E834" s="27" t="n"/>
      <c r="F834" s="26" t="n"/>
      <c r="G834" s="1" t="n"/>
    </row>
    <row r="835">
      <c r="A835" s="1" t="n"/>
      <c r="B835" s="29" t="n"/>
      <c r="C835" s="26" t="n"/>
      <c r="D835" s="26" t="n"/>
      <c r="E835" s="27" t="n"/>
      <c r="F835" s="26" t="n"/>
      <c r="G835" s="1" t="n"/>
    </row>
    <row r="836">
      <c r="A836" s="1" t="n"/>
      <c r="B836" s="29" t="n"/>
      <c r="C836" s="26" t="n"/>
      <c r="D836" s="26" t="n"/>
      <c r="E836" s="27" t="n"/>
      <c r="F836" s="26" t="n"/>
      <c r="G836" s="1" t="n"/>
    </row>
    <row r="837">
      <c r="A837" s="1" t="n"/>
      <c r="B837" s="29" t="n"/>
      <c r="C837" s="26" t="n"/>
      <c r="D837" s="26" t="n"/>
      <c r="E837" s="27" t="n"/>
      <c r="F837" s="26" t="n"/>
      <c r="G837" s="1" t="n"/>
    </row>
    <row r="838">
      <c r="A838" s="1" t="n"/>
      <c r="B838" s="29" t="n"/>
      <c r="C838" s="26" t="n"/>
      <c r="D838" s="26" t="n"/>
      <c r="E838" s="27" t="n"/>
      <c r="F838" s="26" t="n"/>
      <c r="G838" s="1" t="n"/>
    </row>
    <row r="839">
      <c r="A839" s="1" t="n"/>
      <c r="B839" s="29" t="n"/>
      <c r="C839" s="26" t="n"/>
      <c r="D839" s="26" t="n"/>
      <c r="E839" s="27" t="n"/>
      <c r="F839" s="26" t="n"/>
      <c r="G839" s="1" t="n"/>
    </row>
    <row r="840">
      <c r="A840" s="1" t="n"/>
      <c r="B840" s="29" t="n"/>
      <c r="C840" s="26" t="n"/>
      <c r="D840" s="26" t="n"/>
      <c r="E840" s="27" t="n"/>
      <c r="F840" s="26" t="n"/>
      <c r="G840" s="1" t="n"/>
    </row>
    <row r="841">
      <c r="A841" s="1" t="n"/>
      <c r="B841" s="29" t="n"/>
      <c r="C841" s="26" t="n"/>
      <c r="D841" s="26" t="n"/>
      <c r="E841" s="27" t="n"/>
      <c r="F841" s="26" t="n"/>
      <c r="G841" s="1" t="n"/>
    </row>
    <row r="842">
      <c r="A842" s="1" t="n"/>
      <c r="B842" s="29" t="n"/>
      <c r="C842" s="26" t="n"/>
      <c r="D842" s="26" t="n"/>
      <c r="E842" s="27" t="n"/>
      <c r="F842" s="26" t="n"/>
      <c r="G842" s="1" t="n"/>
    </row>
    <row r="843">
      <c r="A843" s="1" t="n"/>
      <c r="B843" s="29" t="n"/>
      <c r="C843" s="26" t="n"/>
      <c r="D843" s="26" t="n"/>
      <c r="E843" s="27" t="n"/>
      <c r="F843" s="26" t="n"/>
      <c r="G843" s="1" t="n"/>
    </row>
    <row r="844">
      <c r="A844" s="1" t="n"/>
      <c r="B844" s="29" t="n"/>
      <c r="C844" s="26" t="n"/>
      <c r="D844" s="26" t="n"/>
      <c r="E844" s="27" t="n"/>
      <c r="F844" s="26" t="n"/>
      <c r="G844" s="1" t="n"/>
    </row>
    <row r="845">
      <c r="A845" s="1" t="n"/>
      <c r="B845" s="29" t="n"/>
      <c r="C845" s="26" t="n"/>
      <c r="D845" s="26" t="n"/>
      <c r="E845" s="27" t="n"/>
      <c r="F845" s="26" t="n"/>
      <c r="G845" s="1" t="n"/>
    </row>
    <row r="846">
      <c r="A846" s="1" t="n"/>
      <c r="B846" s="29" t="n"/>
      <c r="C846" s="26" t="n"/>
      <c r="D846" s="26" t="n"/>
      <c r="E846" s="27" t="n"/>
      <c r="F846" s="26" t="n"/>
      <c r="G846" s="1" t="n"/>
    </row>
    <row r="847">
      <c r="A847" s="1" t="n"/>
      <c r="B847" s="29" t="n"/>
      <c r="C847" s="26" t="n"/>
      <c r="D847" s="26" t="n"/>
      <c r="E847" s="27" t="n"/>
      <c r="F847" s="26" t="n"/>
      <c r="G847" s="1" t="n"/>
    </row>
    <row r="848">
      <c r="A848" s="1" t="n"/>
      <c r="B848" s="29" t="n"/>
      <c r="C848" s="26" t="n"/>
      <c r="D848" s="26" t="n"/>
      <c r="E848" s="27" t="n"/>
      <c r="F848" s="26" t="n"/>
      <c r="G848" s="1" t="n"/>
    </row>
    <row r="849">
      <c r="A849" s="1" t="n"/>
      <c r="B849" s="29" t="n"/>
      <c r="C849" s="26" t="n"/>
      <c r="D849" s="26" t="n"/>
      <c r="E849" s="27" t="n"/>
      <c r="F849" s="26" t="n"/>
      <c r="G849" s="1" t="n"/>
    </row>
    <row r="850">
      <c r="A850" s="1" t="n"/>
      <c r="B850" s="29" t="n"/>
      <c r="C850" s="26" t="n"/>
      <c r="D850" s="26" t="n"/>
      <c r="E850" s="27" t="n"/>
      <c r="F850" s="26" t="n"/>
      <c r="G850" s="1" t="n"/>
    </row>
    <row r="851">
      <c r="A851" s="1" t="n"/>
      <c r="B851" s="29" t="n"/>
      <c r="C851" s="26" t="n"/>
      <c r="D851" s="26" t="n"/>
      <c r="E851" s="27" t="n"/>
      <c r="F851" s="26" t="n"/>
      <c r="G851" s="1" t="n"/>
    </row>
    <row r="852">
      <c r="A852" s="1" t="n"/>
      <c r="B852" s="29" t="n"/>
      <c r="C852" s="26" t="n"/>
      <c r="D852" s="26" t="n"/>
      <c r="E852" s="27" t="n"/>
      <c r="F852" s="26" t="n"/>
      <c r="G852" s="1" t="n"/>
    </row>
    <row r="853">
      <c r="A853" s="1" t="n"/>
      <c r="B853" s="29" t="n"/>
      <c r="C853" s="26" t="n"/>
      <c r="D853" s="26" t="n"/>
      <c r="E853" s="27" t="n"/>
      <c r="F853" s="26" t="n"/>
      <c r="G853" s="1" t="n"/>
    </row>
    <row r="854">
      <c r="A854" s="1" t="n"/>
      <c r="B854" s="29" t="n"/>
      <c r="C854" s="26" t="n"/>
      <c r="D854" s="26" t="n"/>
      <c r="E854" s="27" t="n"/>
      <c r="F854" s="26" t="n"/>
      <c r="G854" s="1" t="n"/>
    </row>
    <row r="855">
      <c r="A855" s="1" t="n"/>
      <c r="B855" s="29" t="n"/>
      <c r="C855" s="26" t="n"/>
      <c r="D855" s="26" t="n"/>
      <c r="E855" s="27" t="n"/>
      <c r="F855" s="26" t="n"/>
      <c r="G855" s="1" t="n"/>
    </row>
    <row r="856">
      <c r="A856" s="1" t="n"/>
      <c r="B856" s="29" t="n"/>
      <c r="C856" s="26" t="n"/>
      <c r="D856" s="26" t="n"/>
      <c r="E856" s="27" t="n"/>
      <c r="F856" s="26" t="n"/>
      <c r="G856" s="1" t="n"/>
    </row>
    <row r="857">
      <c r="A857" s="1" t="n"/>
      <c r="B857" s="29" t="n"/>
      <c r="C857" s="26" t="n"/>
      <c r="D857" s="26" t="n"/>
      <c r="E857" s="27" t="n"/>
      <c r="F857" s="26" t="n"/>
      <c r="G857" s="1" t="n"/>
    </row>
    <row r="858">
      <c r="A858" s="1" t="n"/>
      <c r="B858" s="29" t="n"/>
      <c r="C858" s="26" t="n"/>
      <c r="D858" s="26" t="n"/>
      <c r="E858" s="27" t="n"/>
      <c r="F858" s="26" t="n"/>
      <c r="G858" s="1" t="n"/>
    </row>
    <row r="859">
      <c r="A859" s="1" t="n"/>
      <c r="B859" s="29" t="n"/>
      <c r="C859" s="26" t="n"/>
      <c r="D859" s="26" t="n"/>
      <c r="E859" s="27" t="n"/>
      <c r="F859" s="26" t="n"/>
      <c r="G859" s="1" t="n"/>
    </row>
    <row r="860">
      <c r="A860" s="1" t="n"/>
      <c r="B860" s="29" t="n"/>
      <c r="C860" s="26" t="n"/>
      <c r="D860" s="26" t="n"/>
      <c r="E860" s="27" t="n"/>
      <c r="F860" s="26" t="n"/>
      <c r="G860" s="1" t="n"/>
    </row>
    <row r="861">
      <c r="A861" s="1" t="n"/>
      <c r="B861" s="29" t="n"/>
      <c r="C861" s="26" t="n"/>
      <c r="D861" s="26" t="n"/>
      <c r="E861" s="27" t="n"/>
      <c r="F861" s="26" t="n"/>
      <c r="G861" s="1" t="n"/>
    </row>
    <row r="862">
      <c r="A862" s="1" t="n"/>
      <c r="B862" s="29" t="n"/>
      <c r="C862" s="26" t="n"/>
      <c r="D862" s="26" t="n"/>
      <c r="E862" s="27" t="n"/>
      <c r="F862" s="26" t="n"/>
      <c r="G862" s="1" t="n"/>
    </row>
    <row r="863">
      <c r="A863" s="1" t="n"/>
      <c r="B863" s="29" t="n"/>
      <c r="C863" s="26" t="n"/>
      <c r="D863" s="26" t="n"/>
      <c r="E863" s="27" t="n"/>
      <c r="F863" s="26" t="n"/>
      <c r="G863" s="1" t="n"/>
    </row>
    <row r="864">
      <c r="A864" s="1" t="n"/>
      <c r="B864" s="29" t="n"/>
      <c r="C864" s="26" t="n"/>
      <c r="D864" s="26" t="n"/>
      <c r="E864" s="27" t="n"/>
      <c r="F864" s="26" t="n"/>
      <c r="G864" s="1" t="n"/>
    </row>
    <row r="865">
      <c r="A865" s="1" t="n"/>
      <c r="B865" s="29" t="n"/>
      <c r="C865" s="26" t="n"/>
      <c r="D865" s="26" t="n"/>
      <c r="E865" s="27" t="n"/>
      <c r="F865" s="26" t="n"/>
      <c r="G865" s="1" t="n"/>
    </row>
    <row r="866">
      <c r="A866" s="1" t="n"/>
      <c r="B866" s="29" t="n"/>
      <c r="C866" s="26" t="n"/>
      <c r="D866" s="26" t="n"/>
      <c r="E866" s="27" t="n"/>
      <c r="F866" s="26" t="n"/>
      <c r="G866" s="1" t="n"/>
    </row>
    <row r="867">
      <c r="A867" s="1" t="n"/>
      <c r="B867" s="29" t="n"/>
      <c r="C867" s="26" t="n"/>
      <c r="D867" s="26" t="n"/>
      <c r="E867" s="27" t="n"/>
      <c r="F867" s="26" t="n"/>
      <c r="G867" s="1" t="n"/>
    </row>
    <row r="868">
      <c r="A868" s="1" t="n"/>
      <c r="B868" s="29" t="n"/>
      <c r="C868" s="26" t="n"/>
      <c r="D868" s="26" t="n"/>
      <c r="E868" s="27" t="n"/>
      <c r="F868" s="26" t="n"/>
      <c r="G868" s="1" t="n"/>
    </row>
    <row r="869">
      <c r="A869" s="1" t="n"/>
      <c r="B869" s="29" t="n"/>
      <c r="C869" s="26" t="n"/>
      <c r="D869" s="26" t="n"/>
      <c r="E869" s="27" t="n"/>
      <c r="F869" s="26" t="n"/>
      <c r="G869" s="1" t="n"/>
    </row>
    <row r="870">
      <c r="A870" s="1" t="n"/>
      <c r="B870" s="29" t="n"/>
      <c r="C870" s="26" t="n"/>
      <c r="D870" s="26" t="n"/>
      <c r="E870" s="27" t="n"/>
      <c r="F870" s="26" t="n"/>
      <c r="G870" s="1" t="n"/>
    </row>
    <row r="871">
      <c r="A871" s="1" t="n"/>
      <c r="B871" s="29" t="n"/>
      <c r="C871" s="26" t="n"/>
      <c r="D871" s="26" t="n"/>
      <c r="E871" s="27" t="n"/>
      <c r="F871" s="26" t="n"/>
      <c r="G871" s="1" t="n"/>
    </row>
    <row r="872">
      <c r="A872" s="1" t="n"/>
      <c r="B872" s="29" t="n"/>
      <c r="C872" s="26" t="n"/>
      <c r="D872" s="26" t="n"/>
      <c r="E872" s="27" t="n"/>
      <c r="F872" s="26" t="n"/>
      <c r="G872" s="1" t="n"/>
    </row>
    <row r="873">
      <c r="A873" s="1" t="n"/>
      <c r="B873" s="29" t="n"/>
      <c r="C873" s="26" t="n"/>
      <c r="D873" s="26" t="n"/>
      <c r="E873" s="27" t="n"/>
      <c r="F873" s="26" t="n"/>
      <c r="G873" s="1" t="n"/>
    </row>
    <row r="874">
      <c r="A874" s="1" t="n"/>
      <c r="B874" s="29" t="n"/>
      <c r="C874" s="26" t="n"/>
      <c r="D874" s="26" t="n"/>
      <c r="E874" s="27" t="n"/>
      <c r="F874" s="26" t="n"/>
      <c r="G874" s="1" t="n"/>
    </row>
    <row r="875">
      <c r="A875" s="1" t="n"/>
      <c r="B875" s="29" t="n"/>
      <c r="C875" s="26" t="n"/>
      <c r="D875" s="26" t="n"/>
      <c r="E875" s="27" t="n"/>
      <c r="F875" s="26" t="n"/>
      <c r="G875" s="1" t="n"/>
    </row>
    <row r="876">
      <c r="A876" s="1" t="n"/>
      <c r="B876" s="29" t="n"/>
      <c r="C876" s="26" t="n"/>
      <c r="D876" s="26" t="n"/>
      <c r="E876" s="27" t="n"/>
      <c r="F876" s="26" t="n"/>
      <c r="G876" s="1" t="n"/>
    </row>
    <row r="877">
      <c r="A877" s="1" t="n"/>
      <c r="B877" s="29" t="n"/>
      <c r="C877" s="26" t="n"/>
      <c r="D877" s="26" t="n"/>
      <c r="E877" s="27" t="n"/>
      <c r="F877" s="26" t="n"/>
      <c r="G877" s="1" t="n"/>
    </row>
    <row r="878">
      <c r="A878" s="1" t="n"/>
      <c r="B878" s="29" t="n"/>
      <c r="C878" s="26" t="n"/>
      <c r="D878" s="26" t="n"/>
      <c r="E878" s="27" t="n"/>
      <c r="F878" s="26" t="n"/>
      <c r="G878" s="1" t="n"/>
    </row>
    <row r="879">
      <c r="A879" s="1" t="n"/>
      <c r="B879" s="29" t="n"/>
      <c r="C879" s="26" t="n"/>
      <c r="D879" s="26" t="n"/>
      <c r="E879" s="27" t="n"/>
      <c r="F879" s="26" t="n"/>
      <c r="G879" s="1" t="n"/>
    </row>
    <row r="880">
      <c r="A880" s="1" t="n"/>
      <c r="B880" s="29" t="n"/>
      <c r="C880" s="26" t="n"/>
      <c r="D880" s="26" t="n"/>
      <c r="E880" s="27" t="n"/>
      <c r="F880" s="26" t="n"/>
      <c r="G880" s="1" t="n"/>
    </row>
    <row r="881">
      <c r="A881" s="1" t="n"/>
      <c r="B881" s="29" t="n"/>
      <c r="C881" s="26" t="n"/>
      <c r="D881" s="26" t="n"/>
      <c r="E881" s="27" t="n"/>
      <c r="F881" s="26" t="n"/>
      <c r="G881" s="1" t="n"/>
    </row>
    <row r="882">
      <c r="A882" s="1" t="n"/>
      <c r="B882" s="29" t="n"/>
      <c r="C882" s="26" t="n"/>
      <c r="D882" s="26" t="n"/>
      <c r="E882" s="27" t="n"/>
      <c r="F882" s="26" t="n"/>
      <c r="G882" s="1" t="n"/>
    </row>
    <row r="883">
      <c r="A883" s="1" t="n"/>
      <c r="B883" s="29" t="n"/>
      <c r="C883" s="26" t="n"/>
      <c r="D883" s="26" t="n"/>
      <c r="E883" s="27" t="n"/>
      <c r="F883" s="26" t="n"/>
      <c r="G883" s="1" t="n"/>
    </row>
    <row r="884">
      <c r="A884" s="1" t="n"/>
      <c r="B884" s="29" t="n"/>
      <c r="C884" s="26" t="n"/>
      <c r="D884" s="26" t="n"/>
      <c r="E884" s="27" t="n"/>
      <c r="F884" s="26" t="n"/>
      <c r="G884" s="1" t="n"/>
    </row>
    <row r="885">
      <c r="A885" s="1" t="n"/>
      <c r="B885" s="29" t="n"/>
      <c r="C885" s="26" t="n"/>
      <c r="D885" s="26" t="n"/>
      <c r="E885" s="27" t="n"/>
      <c r="F885" s="26" t="n"/>
      <c r="G885" s="1" t="n"/>
    </row>
    <row r="886">
      <c r="A886" s="1" t="n"/>
      <c r="B886" s="29" t="n"/>
      <c r="C886" s="26" t="n"/>
      <c r="D886" s="26" t="n"/>
      <c r="E886" s="27" t="n"/>
      <c r="F886" s="26" t="n"/>
      <c r="G886" s="1" t="n"/>
    </row>
    <row r="887">
      <c r="A887" s="1" t="n"/>
      <c r="B887" s="29" t="n"/>
      <c r="C887" s="26" t="n"/>
      <c r="D887" s="26" t="n"/>
      <c r="E887" s="27" t="n"/>
      <c r="F887" s="26" t="n"/>
      <c r="G887" s="1" t="n"/>
    </row>
    <row r="888">
      <c r="A888" s="1" t="n"/>
      <c r="B888" s="29" t="n"/>
      <c r="C888" s="26" t="n"/>
      <c r="D888" s="26" t="n"/>
      <c r="E888" s="27" t="n"/>
      <c r="F888" s="26" t="n"/>
      <c r="G888" s="1" t="n"/>
    </row>
    <row r="889">
      <c r="A889" s="1" t="n"/>
      <c r="B889" s="29" t="n"/>
      <c r="C889" s="26" t="n"/>
      <c r="D889" s="26" t="n"/>
      <c r="E889" s="27" t="n"/>
      <c r="F889" s="26" t="n"/>
      <c r="G889" s="1" t="n"/>
    </row>
    <row r="890">
      <c r="A890" s="1" t="n"/>
      <c r="B890" s="29" t="n"/>
      <c r="C890" s="26" t="n"/>
      <c r="D890" s="26" t="n"/>
      <c r="E890" s="27" t="n"/>
      <c r="F890" s="26" t="n"/>
      <c r="G890" s="1" t="n"/>
    </row>
    <row r="891">
      <c r="A891" s="1" t="n"/>
      <c r="B891" s="29" t="n"/>
      <c r="C891" s="26" t="n"/>
      <c r="D891" s="26" t="n"/>
      <c r="E891" s="27" t="n"/>
      <c r="F891" s="26" t="n"/>
      <c r="G891" s="1" t="n"/>
    </row>
    <row r="892">
      <c r="A892" s="1" t="n"/>
      <c r="B892" s="29" t="n"/>
      <c r="C892" s="26" t="n"/>
      <c r="D892" s="26" t="n"/>
      <c r="E892" s="27" t="n"/>
      <c r="F892" s="26" t="n"/>
      <c r="G892" s="1" t="n"/>
    </row>
    <row r="893">
      <c r="A893" s="1" t="n"/>
      <c r="B893" s="29" t="n"/>
      <c r="C893" s="26" t="n"/>
      <c r="D893" s="26" t="n"/>
      <c r="E893" s="27" t="n"/>
      <c r="F893" s="26" t="n"/>
      <c r="G893" s="1" t="n"/>
    </row>
    <row r="894">
      <c r="A894" s="1" t="n"/>
      <c r="B894" s="29" t="n"/>
      <c r="C894" s="26" t="n"/>
      <c r="D894" s="26" t="n"/>
      <c r="E894" s="27" t="n"/>
      <c r="F894" s="26" t="n"/>
      <c r="G894" s="1" t="n"/>
    </row>
    <row r="895">
      <c r="A895" s="1" t="n"/>
      <c r="B895" s="29" t="n"/>
      <c r="C895" s="26" t="n"/>
      <c r="D895" s="26" t="n"/>
      <c r="E895" s="27" t="n"/>
      <c r="F895" s="26" t="n"/>
      <c r="G895" s="1" t="n"/>
    </row>
    <row r="896">
      <c r="A896" s="1" t="n"/>
      <c r="B896" s="29" t="n"/>
      <c r="C896" s="26" t="n"/>
      <c r="D896" s="26" t="n"/>
      <c r="E896" s="27" t="n"/>
      <c r="F896" s="26" t="n"/>
      <c r="G896" s="1" t="n"/>
    </row>
    <row r="897">
      <c r="A897" s="1" t="n"/>
      <c r="B897" s="29" t="n"/>
      <c r="C897" s="26" t="n"/>
      <c r="D897" s="26" t="n"/>
      <c r="E897" s="27" t="n"/>
      <c r="F897" s="26" t="n"/>
      <c r="G897" s="1" t="n"/>
    </row>
    <row r="898">
      <c r="A898" s="1" t="n"/>
      <c r="B898" s="29" t="n"/>
      <c r="C898" s="26" t="n"/>
      <c r="D898" s="26" t="n"/>
      <c r="E898" s="27" t="n"/>
      <c r="F898" s="26" t="n"/>
      <c r="G898" s="1" t="n"/>
    </row>
    <row r="899">
      <c r="A899" s="1" t="n"/>
      <c r="B899" s="29" t="n"/>
      <c r="C899" s="26" t="n"/>
      <c r="D899" s="26" t="n"/>
      <c r="E899" s="27" t="n"/>
      <c r="F899" s="26" t="n"/>
      <c r="G899" s="1" t="n"/>
    </row>
    <row r="900">
      <c r="A900" s="1" t="n"/>
      <c r="B900" s="29" t="n"/>
      <c r="C900" s="26" t="n"/>
      <c r="D900" s="26" t="n"/>
      <c r="E900" s="27" t="n"/>
      <c r="F900" s="26" t="n"/>
      <c r="G900" s="1" t="n"/>
    </row>
    <row r="901">
      <c r="A901" s="1" t="n"/>
      <c r="B901" s="29" t="n"/>
      <c r="C901" s="26" t="n"/>
      <c r="D901" s="26" t="n"/>
      <c r="E901" s="27" t="n"/>
      <c r="F901" s="26" t="n"/>
      <c r="G901" s="1" t="n"/>
    </row>
    <row r="902">
      <c r="A902" s="1" t="n"/>
      <c r="B902" s="29" t="n"/>
      <c r="C902" s="26" t="n"/>
      <c r="D902" s="26" t="n"/>
      <c r="E902" s="27" t="n"/>
      <c r="F902" s="26" t="n"/>
      <c r="G902" s="1" t="n"/>
    </row>
    <row r="903">
      <c r="A903" s="1" t="n"/>
      <c r="B903" s="29" t="n"/>
      <c r="C903" s="26" t="n"/>
      <c r="D903" s="26" t="n"/>
      <c r="E903" s="27" t="n"/>
      <c r="F903" s="26" t="n"/>
      <c r="G903" s="1" t="n"/>
    </row>
    <row r="904">
      <c r="A904" s="1" t="n"/>
      <c r="B904" s="29" t="n"/>
      <c r="C904" s="26" t="n"/>
      <c r="D904" s="26" t="n"/>
      <c r="E904" s="27" t="n"/>
      <c r="F904" s="26" t="n"/>
      <c r="G904" s="1" t="n"/>
    </row>
    <row r="905">
      <c r="A905" s="1" t="n"/>
      <c r="B905" s="29" t="n"/>
      <c r="C905" s="26" t="n"/>
      <c r="D905" s="26" t="n"/>
      <c r="E905" s="27" t="n"/>
      <c r="F905" s="26" t="n"/>
      <c r="G905" s="1" t="n"/>
    </row>
    <row r="906">
      <c r="A906" s="1" t="n"/>
      <c r="B906" s="29" t="n"/>
      <c r="C906" s="26" t="n"/>
      <c r="D906" s="26" t="n"/>
      <c r="E906" s="27" t="n"/>
      <c r="F906" s="26" t="n"/>
      <c r="G906" s="1" t="n"/>
    </row>
    <row r="907">
      <c r="A907" s="1" t="n"/>
      <c r="B907" s="29" t="n"/>
      <c r="C907" s="26" t="n"/>
      <c r="D907" s="26" t="n"/>
      <c r="E907" s="27" t="n"/>
      <c r="F907" s="26" t="n"/>
      <c r="G907" s="1" t="n"/>
    </row>
    <row r="908">
      <c r="A908" s="1" t="n"/>
      <c r="B908" s="29" t="n"/>
      <c r="C908" s="26" t="n"/>
      <c r="D908" s="26" t="n"/>
      <c r="E908" s="27" t="n"/>
      <c r="F908" s="26" t="n"/>
      <c r="G908" s="1" t="n"/>
    </row>
    <row r="909">
      <c r="A909" s="1" t="n"/>
      <c r="B909" s="29" t="n"/>
      <c r="C909" s="26" t="n"/>
      <c r="D909" s="26" t="n"/>
      <c r="E909" s="27" t="n"/>
      <c r="F909" s="26" t="n"/>
      <c r="G909" s="1" t="n"/>
    </row>
    <row r="910">
      <c r="A910" s="1" t="n"/>
      <c r="B910" s="29" t="n"/>
      <c r="C910" s="26" t="n"/>
      <c r="D910" s="26" t="n"/>
      <c r="E910" s="27" t="n"/>
      <c r="F910" s="26" t="n"/>
      <c r="G910" s="1" t="n"/>
    </row>
    <row r="911">
      <c r="A911" s="1" t="n"/>
      <c r="B911" s="29" t="n"/>
      <c r="C911" s="26" t="n"/>
      <c r="D911" s="26" t="n"/>
      <c r="E911" s="27" t="n"/>
      <c r="F911" s="26" t="n"/>
      <c r="G911" s="1" t="n"/>
    </row>
    <row r="912">
      <c r="A912" s="1" t="n"/>
      <c r="B912" s="29" t="n"/>
      <c r="C912" s="26" t="n"/>
      <c r="D912" s="26" t="n"/>
      <c r="E912" s="27" t="n"/>
      <c r="F912" s="26" t="n"/>
      <c r="G912" s="1" t="n"/>
    </row>
    <row r="913">
      <c r="A913" s="1" t="n"/>
      <c r="B913" s="29" t="n"/>
      <c r="C913" s="26" t="n"/>
      <c r="D913" s="26" t="n"/>
      <c r="E913" s="27" t="n"/>
      <c r="F913" s="26" t="n"/>
      <c r="G913" s="1" t="n"/>
    </row>
    <row r="914">
      <c r="A914" s="1" t="n"/>
      <c r="B914" s="29" t="n"/>
      <c r="C914" s="26" t="n"/>
      <c r="D914" s="26" t="n"/>
      <c r="E914" s="27" t="n"/>
      <c r="F914" s="26" t="n"/>
      <c r="G914" s="1" t="n"/>
    </row>
    <row r="915">
      <c r="A915" s="1" t="n"/>
      <c r="B915" s="29" t="n"/>
      <c r="C915" s="26" t="n"/>
      <c r="D915" s="26" t="n"/>
      <c r="E915" s="27" t="n"/>
      <c r="F915" s="26" t="n"/>
      <c r="G915" s="1" t="n"/>
    </row>
    <row r="916">
      <c r="A916" s="1" t="n"/>
      <c r="B916" s="29" t="n"/>
      <c r="C916" s="26" t="n"/>
      <c r="D916" s="26" t="n"/>
      <c r="E916" s="27" t="n"/>
      <c r="F916" s="26" t="n"/>
      <c r="G916" s="1" t="n"/>
    </row>
    <row r="917">
      <c r="A917" s="1" t="n"/>
      <c r="B917" s="29" t="n"/>
      <c r="C917" s="26" t="n"/>
      <c r="D917" s="26" t="n"/>
      <c r="E917" s="27" t="n"/>
      <c r="F917" s="26" t="n"/>
      <c r="G917" s="1" t="n"/>
    </row>
    <row r="918">
      <c r="A918" s="1" t="n"/>
      <c r="B918" s="29" t="n"/>
      <c r="C918" s="26" t="n"/>
      <c r="D918" s="26" t="n"/>
      <c r="E918" s="27" t="n"/>
      <c r="F918" s="26" t="n"/>
      <c r="G918" s="1" t="n"/>
    </row>
    <row r="919">
      <c r="A919" s="1" t="n"/>
      <c r="B919" s="29" t="n"/>
      <c r="C919" s="26" t="n"/>
      <c r="D919" s="26" t="n"/>
      <c r="E919" s="27" t="n"/>
      <c r="F919" s="26" t="n"/>
      <c r="G919" s="1" t="n"/>
    </row>
    <row r="920">
      <c r="A920" s="1" t="n"/>
      <c r="B920" s="29" t="n"/>
      <c r="C920" s="26" t="n"/>
      <c r="D920" s="26" t="n"/>
      <c r="E920" s="27" t="n"/>
      <c r="F920" s="26" t="n"/>
      <c r="G920" s="1" t="n"/>
    </row>
    <row r="921">
      <c r="A921" s="1" t="n"/>
      <c r="B921" s="29" t="n"/>
      <c r="C921" s="26" t="n"/>
      <c r="D921" s="26" t="n"/>
      <c r="E921" s="27" t="n"/>
      <c r="F921" s="26" t="n"/>
      <c r="G921" s="1" t="n"/>
    </row>
    <row r="922">
      <c r="A922" s="1" t="n"/>
      <c r="B922" s="29" t="n"/>
      <c r="C922" s="26" t="n"/>
      <c r="D922" s="26" t="n"/>
      <c r="E922" s="27" t="n"/>
      <c r="F922" s="26" t="n"/>
      <c r="G922" s="1" t="n"/>
    </row>
    <row r="923">
      <c r="A923" s="1" t="n"/>
      <c r="B923" s="29" t="n"/>
      <c r="C923" s="26" t="n"/>
      <c r="D923" s="26" t="n"/>
      <c r="E923" s="27" t="n"/>
      <c r="F923" s="26" t="n"/>
      <c r="G923" s="1" t="n"/>
    </row>
    <row r="924">
      <c r="A924" s="1" t="n"/>
      <c r="B924" s="29" t="n"/>
      <c r="C924" s="26" t="n"/>
      <c r="D924" s="26" t="n"/>
      <c r="E924" s="27" t="n"/>
      <c r="F924" s="26" t="n"/>
      <c r="G924" s="1" t="n"/>
    </row>
    <row r="925">
      <c r="A925" s="1" t="n"/>
      <c r="B925" s="29" t="n"/>
      <c r="C925" s="26" t="n"/>
      <c r="D925" s="26" t="n"/>
      <c r="E925" s="27" t="n"/>
      <c r="F925" s="26" t="n"/>
      <c r="G925" s="1" t="n"/>
    </row>
    <row r="926">
      <c r="A926" s="1" t="n"/>
      <c r="B926" s="29" t="n"/>
      <c r="C926" s="26" t="n"/>
      <c r="D926" s="26" t="n"/>
      <c r="E926" s="27" t="n"/>
      <c r="F926" s="26" t="n"/>
      <c r="G926" s="1" t="n"/>
    </row>
    <row r="927">
      <c r="A927" s="1" t="n"/>
      <c r="B927" s="29" t="n"/>
      <c r="C927" s="26" t="n"/>
      <c r="D927" s="26" t="n"/>
      <c r="E927" s="27" t="n"/>
      <c r="F927" s="26" t="n"/>
      <c r="G927" s="1" t="n"/>
    </row>
    <row r="928">
      <c r="A928" s="1" t="n"/>
      <c r="B928" s="29" t="n"/>
      <c r="C928" s="26" t="n"/>
      <c r="D928" s="26" t="n"/>
      <c r="E928" s="27" t="n"/>
      <c r="F928" s="26" t="n"/>
      <c r="G928" s="1" t="n"/>
    </row>
    <row r="929">
      <c r="A929" s="1" t="n"/>
      <c r="B929" s="29" t="n"/>
      <c r="C929" s="26" t="n"/>
      <c r="D929" s="26" t="n"/>
      <c r="E929" s="27" t="n"/>
      <c r="F929" s="26" t="n"/>
      <c r="G929" s="1" t="n"/>
    </row>
    <row r="930">
      <c r="A930" s="1" t="n"/>
      <c r="B930" s="29" t="n"/>
      <c r="C930" s="26" t="n"/>
      <c r="D930" s="26" t="n"/>
      <c r="E930" s="27" t="n"/>
      <c r="F930" s="26" t="n"/>
      <c r="G930" s="1" t="n"/>
    </row>
    <row r="931">
      <c r="A931" s="1" t="n"/>
      <c r="B931" s="29" t="n"/>
      <c r="C931" s="26" t="n"/>
      <c r="D931" s="26" t="n"/>
      <c r="E931" s="27" t="n"/>
      <c r="F931" s="26" t="n"/>
      <c r="G931" s="1" t="n"/>
    </row>
    <row r="932">
      <c r="A932" s="1" t="n"/>
      <c r="B932" s="29" t="n"/>
      <c r="C932" s="26" t="n"/>
      <c r="D932" s="26" t="n"/>
      <c r="E932" s="27" t="n"/>
      <c r="F932" s="26" t="n"/>
      <c r="G932" s="1" t="n"/>
    </row>
    <row r="933">
      <c r="A933" s="1" t="n"/>
      <c r="B933" s="29" t="n"/>
      <c r="C933" s="26" t="n"/>
      <c r="D933" s="26" t="n"/>
      <c r="E933" s="27" t="n"/>
      <c r="F933" s="26" t="n"/>
      <c r="G933" s="1" t="n"/>
    </row>
    <row r="934">
      <c r="A934" s="1" t="n"/>
      <c r="B934" s="29" t="n"/>
      <c r="C934" s="26" t="n"/>
      <c r="D934" s="26" t="n"/>
      <c r="E934" s="27" t="n"/>
      <c r="F934" s="26" t="n"/>
      <c r="G934" s="1" t="n"/>
    </row>
    <row r="935">
      <c r="A935" s="1" t="n"/>
      <c r="B935" s="29" t="n"/>
      <c r="C935" s="26" t="n"/>
      <c r="D935" s="26" t="n"/>
      <c r="E935" s="27" t="n"/>
      <c r="F935" s="26" t="n"/>
      <c r="G935" s="1" t="n"/>
    </row>
    <row r="936">
      <c r="A936" s="1" t="n"/>
      <c r="B936" s="29" t="n"/>
      <c r="C936" s="26" t="n"/>
      <c r="D936" s="26" t="n"/>
      <c r="E936" s="27" t="n"/>
      <c r="F936" s="26" t="n"/>
      <c r="G936" s="1" t="n"/>
    </row>
    <row r="937">
      <c r="A937" s="1" t="n"/>
      <c r="B937" s="29" t="n"/>
      <c r="C937" s="26" t="n"/>
      <c r="D937" s="26" t="n"/>
      <c r="E937" s="27" t="n"/>
      <c r="F937" s="26" t="n"/>
      <c r="G937" s="1" t="n"/>
    </row>
    <row r="938">
      <c r="A938" s="1" t="n"/>
      <c r="B938" s="29" t="n"/>
      <c r="C938" s="26" t="n"/>
      <c r="D938" s="26" t="n"/>
      <c r="E938" s="27" t="n"/>
      <c r="F938" s="26" t="n"/>
      <c r="G938" s="1" t="n"/>
    </row>
    <row r="939">
      <c r="A939" s="1" t="n"/>
      <c r="B939" s="29" t="n"/>
      <c r="C939" s="26" t="n"/>
      <c r="D939" s="26" t="n"/>
      <c r="E939" s="27" t="n"/>
      <c r="F939" s="26" t="n"/>
      <c r="G939" s="1" t="n"/>
    </row>
    <row r="940">
      <c r="A940" s="1" t="n"/>
      <c r="B940" s="29" t="n"/>
      <c r="C940" s="26" t="n"/>
      <c r="D940" s="26" t="n"/>
      <c r="E940" s="27" t="n"/>
      <c r="F940" s="26" t="n"/>
      <c r="G940" s="1" t="n"/>
    </row>
    <row r="941">
      <c r="A941" s="1" t="n"/>
      <c r="B941" s="29" t="n"/>
      <c r="C941" s="26" t="n"/>
      <c r="D941" s="26" t="n"/>
      <c r="E941" s="27" t="n"/>
      <c r="F941" s="26" t="n"/>
      <c r="G941" s="1" t="n"/>
    </row>
    <row r="942">
      <c r="A942" s="1" t="n"/>
      <c r="B942" s="29" t="n"/>
      <c r="C942" s="26" t="n"/>
      <c r="D942" s="26" t="n"/>
      <c r="E942" s="27" t="n"/>
      <c r="F942" s="26" t="n"/>
      <c r="G942" s="1" t="n"/>
    </row>
    <row r="943">
      <c r="A943" s="1" t="n"/>
      <c r="B943" s="29" t="n"/>
      <c r="C943" s="26" t="n"/>
      <c r="D943" s="26" t="n"/>
      <c r="E943" s="27" t="n"/>
      <c r="F943" s="26" t="n"/>
      <c r="G943" s="1" t="n"/>
    </row>
    <row r="944">
      <c r="A944" s="1" t="n"/>
      <c r="B944" s="29" t="n"/>
      <c r="C944" s="26" t="n"/>
      <c r="D944" s="26" t="n"/>
      <c r="E944" s="27" t="n"/>
      <c r="F944" s="26" t="n"/>
      <c r="G944" s="1" t="n"/>
    </row>
    <row r="945">
      <c r="A945" s="1" t="n"/>
      <c r="B945" s="29" t="n"/>
      <c r="C945" s="26" t="n"/>
      <c r="D945" s="26" t="n"/>
      <c r="E945" s="27" t="n"/>
      <c r="F945" s="26" t="n"/>
      <c r="G945" s="1" t="n"/>
    </row>
    <row r="946">
      <c r="A946" s="1" t="n"/>
      <c r="B946" s="29" t="n"/>
      <c r="C946" s="26" t="n"/>
      <c r="D946" s="26" t="n"/>
      <c r="E946" s="27" t="n"/>
      <c r="F946" s="26" t="n"/>
      <c r="G946" s="1" t="n"/>
    </row>
    <row r="947">
      <c r="A947" s="1" t="n"/>
      <c r="B947" s="29" t="n"/>
      <c r="C947" s="26" t="n"/>
      <c r="D947" s="26" t="n"/>
      <c r="E947" s="27" t="n"/>
      <c r="F947" s="26" t="n"/>
      <c r="G947" s="1" t="n"/>
    </row>
    <row r="948">
      <c r="A948" s="1" t="n"/>
      <c r="B948" s="29" t="n"/>
      <c r="C948" s="26" t="n"/>
      <c r="D948" s="26" t="n"/>
      <c r="E948" s="27" t="n"/>
      <c r="F948" s="26" t="n"/>
      <c r="G948" s="1" t="n"/>
    </row>
    <row r="949">
      <c r="A949" s="1" t="n"/>
      <c r="B949" s="29" t="n"/>
      <c r="C949" s="26" t="n"/>
      <c r="D949" s="26" t="n"/>
      <c r="E949" s="27" t="n"/>
      <c r="F949" s="26" t="n"/>
      <c r="G949" s="1" t="n"/>
    </row>
    <row r="950">
      <c r="A950" s="1" t="n"/>
      <c r="B950" s="29" t="n"/>
      <c r="C950" s="26" t="n"/>
      <c r="D950" s="26" t="n"/>
      <c r="E950" s="27" t="n"/>
      <c r="F950" s="26" t="n"/>
      <c r="G950" s="1" t="n"/>
    </row>
    <row r="951">
      <c r="A951" s="1" t="n"/>
      <c r="B951" s="29" t="n"/>
      <c r="C951" s="26" t="n"/>
      <c r="D951" s="26" t="n"/>
      <c r="E951" s="27" t="n"/>
      <c r="F951" s="26" t="n"/>
      <c r="G951" s="1" t="n"/>
    </row>
    <row r="952">
      <c r="A952" s="1" t="n"/>
      <c r="B952" s="29" t="n"/>
      <c r="C952" s="26" t="n"/>
      <c r="D952" s="26" t="n"/>
      <c r="E952" s="27" t="n"/>
      <c r="F952" s="26" t="n"/>
      <c r="G952" s="1" t="n"/>
    </row>
    <row r="953">
      <c r="A953" s="1" t="n"/>
      <c r="B953" s="29" t="n"/>
      <c r="C953" s="26" t="n"/>
      <c r="D953" s="26" t="n"/>
      <c r="E953" s="27" t="n"/>
      <c r="F953" s="26" t="n"/>
      <c r="G953" s="1" t="n"/>
    </row>
    <row r="954">
      <c r="A954" s="1" t="n"/>
      <c r="B954" s="29" t="n"/>
      <c r="C954" s="26" t="n"/>
      <c r="D954" s="26" t="n"/>
      <c r="E954" s="27" t="n"/>
      <c r="F954" s="26" t="n"/>
      <c r="G954" s="1" t="n"/>
    </row>
    <row r="955">
      <c r="A955" s="1" t="n"/>
      <c r="B955" s="29" t="n"/>
      <c r="C955" s="26" t="n"/>
      <c r="D955" s="26" t="n"/>
      <c r="E955" s="27" t="n"/>
      <c r="F955" s="26" t="n"/>
      <c r="G955" s="1" t="n"/>
    </row>
    <row r="956">
      <c r="A956" s="1" t="n"/>
      <c r="B956" s="29" t="n"/>
      <c r="C956" s="26" t="n"/>
      <c r="D956" s="26" t="n"/>
      <c r="E956" s="27" t="n"/>
      <c r="F956" s="26" t="n"/>
      <c r="G956" s="1" t="n"/>
    </row>
    <row r="957">
      <c r="A957" s="1" t="n"/>
      <c r="B957" s="29" t="n"/>
      <c r="C957" s="26" t="n"/>
      <c r="D957" s="26" t="n"/>
      <c r="E957" s="27" t="n"/>
      <c r="F957" s="26" t="n"/>
      <c r="G957" s="1" t="n"/>
    </row>
    <row r="958">
      <c r="A958" s="1" t="n"/>
      <c r="B958" s="29" t="n"/>
      <c r="C958" s="26" t="n"/>
      <c r="D958" s="26" t="n"/>
      <c r="E958" s="27" t="n"/>
      <c r="F958" s="26" t="n"/>
      <c r="G958" s="1" t="n"/>
    </row>
    <row r="959">
      <c r="A959" s="1" t="n"/>
      <c r="B959" s="29" t="n"/>
      <c r="C959" s="26" t="n"/>
      <c r="D959" s="26" t="n"/>
      <c r="E959" s="27" t="n"/>
      <c r="F959" s="26" t="n"/>
      <c r="G959" s="1" t="n"/>
    </row>
    <row r="960">
      <c r="A960" s="1" t="n"/>
      <c r="B960" s="29" t="n"/>
      <c r="C960" s="26" t="n"/>
      <c r="D960" s="26" t="n"/>
      <c r="E960" s="27" t="n"/>
      <c r="F960" s="26" t="n"/>
      <c r="G960" s="1" t="n"/>
    </row>
    <row r="961">
      <c r="A961" s="1" t="n"/>
      <c r="B961" s="29" t="n"/>
      <c r="C961" s="26" t="n"/>
      <c r="D961" s="26" t="n"/>
      <c r="E961" s="27" t="n"/>
      <c r="F961" s="26" t="n"/>
      <c r="G961" s="1" t="n"/>
    </row>
    <row r="962">
      <c r="A962" s="1" t="n"/>
      <c r="B962" s="29" t="n"/>
      <c r="C962" s="26" t="n"/>
      <c r="D962" s="26" t="n"/>
      <c r="E962" s="27" t="n"/>
      <c r="F962" s="26" t="n"/>
      <c r="G962" s="1" t="n"/>
    </row>
    <row r="963">
      <c r="A963" s="1" t="n"/>
      <c r="B963" s="29" t="n"/>
      <c r="C963" s="26" t="n"/>
      <c r="D963" s="26" t="n"/>
      <c r="E963" s="27" t="n"/>
      <c r="F963" s="26" t="n"/>
      <c r="G963" s="1" t="n"/>
    </row>
    <row r="964">
      <c r="A964" s="1" t="n"/>
      <c r="B964" s="29" t="n"/>
      <c r="C964" s="26" t="n"/>
      <c r="D964" s="26" t="n"/>
      <c r="E964" s="27" t="n"/>
      <c r="F964" s="26" t="n"/>
      <c r="G964" s="1" t="n"/>
    </row>
    <row r="965">
      <c r="A965" s="1" t="n"/>
      <c r="B965" s="29" t="n"/>
      <c r="C965" s="26" t="n"/>
      <c r="D965" s="26" t="n"/>
      <c r="E965" s="27" t="n"/>
      <c r="F965" s="26" t="n"/>
      <c r="G965" s="1" t="n"/>
    </row>
    <row r="966">
      <c r="A966" s="1" t="n"/>
      <c r="B966" s="29" t="n"/>
      <c r="C966" s="26" t="n"/>
      <c r="D966" s="26" t="n"/>
      <c r="E966" s="27" t="n"/>
      <c r="F966" s="26" t="n"/>
      <c r="G966" s="1" t="n"/>
    </row>
    <row r="967">
      <c r="A967" s="1" t="n"/>
      <c r="B967" s="29" t="n"/>
      <c r="C967" s="26" t="n"/>
      <c r="D967" s="26" t="n"/>
      <c r="E967" s="27" t="n"/>
      <c r="F967" s="26" t="n"/>
      <c r="G967" s="1" t="n"/>
    </row>
    <row r="968">
      <c r="A968" s="1" t="n"/>
      <c r="B968" s="29" t="n"/>
      <c r="C968" s="26" t="n"/>
      <c r="D968" s="26" t="n"/>
      <c r="E968" s="27" t="n"/>
      <c r="F968" s="26" t="n"/>
      <c r="G968" s="1" t="n"/>
    </row>
    <row r="969">
      <c r="A969" s="1" t="n"/>
      <c r="B969" s="29" t="n"/>
      <c r="C969" s="26" t="n"/>
      <c r="D969" s="26" t="n"/>
      <c r="E969" s="27" t="n"/>
      <c r="F969" s="26" t="n"/>
      <c r="G969" s="1" t="n"/>
    </row>
    <row r="970">
      <c r="A970" s="1" t="n"/>
      <c r="B970" s="29" t="n"/>
      <c r="C970" s="26" t="n"/>
      <c r="D970" s="26" t="n"/>
      <c r="E970" s="27" t="n"/>
      <c r="F970" s="26" t="n"/>
      <c r="G970" s="1" t="n"/>
    </row>
    <row r="971">
      <c r="A971" s="1" t="n"/>
      <c r="B971" s="29" t="n"/>
      <c r="C971" s="26" t="n"/>
      <c r="D971" s="26" t="n"/>
      <c r="E971" s="27" t="n"/>
      <c r="F971" s="26" t="n"/>
      <c r="G971" s="1" t="n"/>
    </row>
    <row r="972">
      <c r="A972" s="1" t="n"/>
      <c r="B972" s="29" t="n"/>
      <c r="C972" s="26" t="n"/>
      <c r="D972" s="26" t="n"/>
      <c r="E972" s="27" t="n"/>
      <c r="F972" s="26" t="n"/>
      <c r="G972" s="1" t="n"/>
    </row>
    <row r="973">
      <c r="A973" s="1" t="n"/>
      <c r="B973" s="29" t="n"/>
      <c r="C973" s="26" t="n"/>
      <c r="D973" s="26" t="n"/>
      <c r="E973" s="27" t="n"/>
      <c r="F973" s="26" t="n"/>
      <c r="G973" s="1" t="n"/>
    </row>
    <row r="974">
      <c r="A974" s="1" t="n"/>
      <c r="B974" s="29" t="n"/>
      <c r="C974" s="26" t="n"/>
      <c r="D974" s="26" t="n"/>
      <c r="E974" s="27" t="n"/>
      <c r="F974" s="26" t="n"/>
      <c r="G974" s="1" t="n"/>
    </row>
    <row r="975">
      <c r="A975" s="1" t="n"/>
      <c r="B975" s="29" t="n"/>
      <c r="C975" s="26" t="n"/>
      <c r="D975" s="26" t="n"/>
      <c r="E975" s="27" t="n"/>
      <c r="F975" s="26" t="n"/>
      <c r="G975" s="1" t="n"/>
    </row>
    <row r="976">
      <c r="A976" s="1" t="n"/>
      <c r="B976" s="29" t="n"/>
      <c r="C976" s="26" t="n"/>
      <c r="D976" s="26" t="n"/>
      <c r="E976" s="27" t="n"/>
      <c r="F976" s="26" t="n"/>
      <c r="G976" s="1" t="n"/>
    </row>
    <row r="977">
      <c r="A977" s="1" t="n"/>
      <c r="B977" s="29" t="n"/>
      <c r="C977" s="26" t="n"/>
      <c r="D977" s="26" t="n"/>
      <c r="E977" s="27" t="n"/>
      <c r="F977" s="26" t="n"/>
      <c r="G977" s="1" t="n"/>
    </row>
    <row r="978">
      <c r="A978" s="1" t="n"/>
      <c r="B978" s="29" t="n"/>
      <c r="C978" s="26" t="n"/>
      <c r="D978" s="26" t="n"/>
      <c r="E978" s="27" t="n"/>
      <c r="F978" s="26" t="n"/>
      <c r="G978" s="1" t="n"/>
    </row>
    <row r="979">
      <c r="A979" s="1" t="n"/>
      <c r="B979" s="29" t="n"/>
      <c r="C979" s="26" t="n"/>
      <c r="D979" s="26" t="n"/>
      <c r="E979" s="27" t="n"/>
      <c r="F979" s="26" t="n"/>
      <c r="G979" s="1" t="n"/>
    </row>
    <row r="980">
      <c r="A980" s="1" t="n"/>
      <c r="B980" s="29" t="n"/>
      <c r="C980" s="26" t="n"/>
      <c r="D980" s="26" t="n"/>
      <c r="E980" s="27" t="n"/>
      <c r="F980" s="26" t="n"/>
      <c r="G980" s="1" t="n"/>
    </row>
    <row r="981">
      <c r="A981" s="1" t="n"/>
      <c r="B981" s="29" t="n"/>
      <c r="C981" s="26" t="n"/>
      <c r="D981" s="26" t="n"/>
      <c r="E981" s="27" t="n"/>
      <c r="F981" s="26" t="n"/>
      <c r="G981" s="1" t="n"/>
    </row>
    <row r="982">
      <c r="A982" s="1" t="n"/>
      <c r="B982" s="29" t="n"/>
      <c r="C982" s="26" t="n"/>
      <c r="D982" s="26" t="n"/>
      <c r="E982" s="27" t="n"/>
      <c r="F982" s="26" t="n"/>
      <c r="G982" s="1" t="n"/>
    </row>
    <row r="983">
      <c r="A983" s="1" t="n"/>
      <c r="B983" s="29" t="n"/>
      <c r="C983" s="26" t="n"/>
      <c r="D983" s="26" t="n"/>
      <c r="E983" s="27" t="n"/>
      <c r="F983" s="26" t="n"/>
      <c r="G983" s="1" t="n"/>
    </row>
    <row r="984">
      <c r="A984" s="1" t="n"/>
      <c r="B984" s="29" t="n"/>
      <c r="C984" s="26" t="n"/>
      <c r="D984" s="26" t="n"/>
      <c r="E984" s="27" t="n"/>
      <c r="F984" s="26" t="n"/>
      <c r="G984" s="1" t="n"/>
    </row>
    <row r="985">
      <c r="A985" s="1" t="n"/>
      <c r="B985" s="29" t="n"/>
      <c r="C985" s="26" t="n"/>
      <c r="D985" s="26" t="n"/>
      <c r="E985" s="27" t="n"/>
      <c r="F985" s="26" t="n"/>
      <c r="G985" s="1" t="n"/>
    </row>
    <row r="986">
      <c r="A986" s="1" t="n"/>
      <c r="B986" s="29" t="n"/>
      <c r="C986" s="26" t="n"/>
      <c r="D986" s="26" t="n"/>
      <c r="E986" s="27" t="n"/>
      <c r="F986" s="26" t="n"/>
      <c r="G986" s="1" t="n"/>
    </row>
    <row r="987">
      <c r="A987" s="1" t="n"/>
      <c r="B987" s="29" t="n"/>
      <c r="C987" s="26" t="n"/>
      <c r="D987" s="26" t="n"/>
      <c r="E987" s="27" t="n"/>
      <c r="F987" s="26" t="n"/>
      <c r="G987" s="1" t="n"/>
    </row>
    <row r="988">
      <c r="A988" s="1" t="n"/>
      <c r="B988" s="29" t="n"/>
      <c r="C988" s="26" t="n"/>
      <c r="D988" s="26" t="n"/>
      <c r="E988" s="27" t="n"/>
      <c r="F988" s="26" t="n"/>
      <c r="G988" s="1" t="n"/>
    </row>
    <row r="989">
      <c r="A989" s="1" t="n"/>
      <c r="B989" s="29" t="n"/>
      <c r="C989" s="26" t="n"/>
      <c r="D989" s="26" t="n"/>
      <c r="E989" s="27" t="n"/>
      <c r="F989" s="26" t="n"/>
      <c r="G989" s="1" t="n"/>
    </row>
    <row r="990">
      <c r="A990" s="1" t="n"/>
      <c r="B990" s="29" t="n"/>
      <c r="C990" s="26" t="n"/>
      <c r="D990" s="26" t="n"/>
      <c r="E990" s="27" t="n"/>
      <c r="F990" s="26" t="n"/>
      <c r="G990" s="1" t="n"/>
    </row>
    <row r="991">
      <c r="A991" s="1" t="n"/>
      <c r="B991" s="29" t="n"/>
      <c r="C991" s="26" t="n"/>
      <c r="D991" s="26" t="n"/>
      <c r="E991" s="27" t="n"/>
      <c r="F991" s="26" t="n"/>
      <c r="G991" s="1" t="n"/>
    </row>
    <row r="992">
      <c r="A992" s="1" t="n"/>
      <c r="B992" s="29" t="n"/>
      <c r="C992" s="26" t="n"/>
      <c r="D992" s="26" t="n"/>
      <c r="E992" s="27" t="n"/>
      <c r="F992" s="26" t="n"/>
      <c r="G992" s="1" t="n"/>
    </row>
    <row r="993">
      <c r="A993" s="1" t="n"/>
      <c r="B993" s="29" t="n"/>
      <c r="C993" s="26" t="n"/>
      <c r="D993" s="26" t="n"/>
      <c r="E993" s="27" t="n"/>
      <c r="F993" s="26" t="n"/>
      <c r="G993" s="1" t="n"/>
    </row>
    <row r="994">
      <c r="A994" s="1" t="n"/>
      <c r="B994" s="29" t="n"/>
      <c r="C994" s="26" t="n"/>
      <c r="D994" s="26" t="n"/>
      <c r="E994" s="27" t="n"/>
      <c r="F994" s="26" t="n"/>
      <c r="G994" s="1" t="n"/>
    </row>
    <row r="995">
      <c r="A995" s="1" t="n"/>
      <c r="B995" s="29" t="n"/>
      <c r="C995" s="26" t="n"/>
      <c r="D995" s="26" t="n"/>
      <c r="E995" s="27" t="n"/>
      <c r="F995" s="26" t="n"/>
      <c r="G995" s="1" t="n"/>
    </row>
    <row r="996">
      <c r="A996" s="1" t="n"/>
      <c r="B996" s="29" t="n"/>
      <c r="C996" s="26" t="n"/>
      <c r="D996" s="26" t="n"/>
      <c r="E996" s="27" t="n"/>
      <c r="F996" s="26" t="n"/>
      <c r="G996" s="1" t="n"/>
    </row>
    <row r="997">
      <c r="A997" s="1" t="n"/>
      <c r="B997" s="29" t="n"/>
      <c r="C997" s="26" t="n"/>
      <c r="D997" s="26" t="n"/>
      <c r="E997" s="27" t="n"/>
      <c r="F997" s="26" t="n"/>
      <c r="G997" s="1" t="n"/>
    </row>
    <row r="998">
      <c r="A998" s="1" t="n"/>
      <c r="B998" s="29" t="n"/>
      <c r="C998" s="26" t="n"/>
      <c r="D998" s="26" t="n"/>
      <c r="E998" s="27" t="n"/>
      <c r="F998" s="26" t="n"/>
      <c r="G998" s="1" t="n"/>
    </row>
    <row r="999">
      <c r="A999" s="1" t="n"/>
      <c r="B999" s="29" t="n"/>
      <c r="C999" s="26" t="n"/>
      <c r="D999" s="26" t="n"/>
      <c r="E999" s="27" t="n"/>
      <c r="F999" s="26" t="n"/>
      <c r="G999" s="1" t="n"/>
    </row>
    <row r="1000">
      <c r="A1000" s="1" t="n"/>
      <c r="B1000" s="29" t="n"/>
      <c r="C1000" s="26" t="n"/>
      <c r="D1000" s="26" t="n"/>
      <c r="E1000" s="27" t="n"/>
      <c r="F1000" s="26" t="n"/>
      <c r="G1000" s="1" t="n"/>
    </row>
    <row r="1001">
      <c r="A1001" s="1" t="n"/>
      <c r="B1001" s="29" t="n"/>
      <c r="C1001" s="26" t="n"/>
      <c r="D1001" s="26" t="n"/>
      <c r="E1001" s="27" t="n"/>
      <c r="F1001" s="26" t="n"/>
      <c r="G1001" s="1" t="n"/>
    </row>
    <row r="1002">
      <c r="A1002" s="1" t="n"/>
      <c r="B1002" s="29" t="n"/>
      <c r="C1002" s="26" t="n"/>
      <c r="D1002" s="26" t="n"/>
      <c r="E1002" s="27" t="n"/>
      <c r="F1002" s="26" t="n"/>
      <c r="G1002" s="1" t="n"/>
    </row>
    <row r="1003">
      <c r="A1003" s="1" t="n"/>
      <c r="B1003" s="29" t="n"/>
      <c r="C1003" s="26" t="n"/>
      <c r="D1003" s="26" t="n"/>
      <c r="E1003" s="27" t="n"/>
      <c r="F1003" s="26" t="n"/>
      <c r="G1003" s="1" t="n"/>
    </row>
    <row r="1004">
      <c r="A1004" s="1" t="n"/>
      <c r="B1004" s="29" t="n"/>
      <c r="C1004" s="26" t="n"/>
      <c r="D1004" s="26" t="n"/>
      <c r="E1004" s="27" t="n"/>
      <c r="F1004" s="26" t="n"/>
      <c r="G1004" s="1" t="n"/>
    </row>
    <row r="1005">
      <c r="A1005" s="1" t="n"/>
      <c r="B1005" s="29" t="n"/>
      <c r="C1005" s="26" t="n"/>
      <c r="D1005" s="26" t="n"/>
      <c r="E1005" s="27" t="n"/>
      <c r="F1005" s="26" t="n"/>
      <c r="G1005" s="1" t="n"/>
    </row>
    <row r="1006">
      <c r="A1006" s="1" t="n"/>
      <c r="B1006" s="1" t="n"/>
      <c r="C1006" s="1" t="n"/>
      <c r="D1006" s="1" t="n"/>
      <c r="E1006" s="1" t="n"/>
      <c r="F1006" s="1" t="n"/>
      <c r="G1006" s="1" t="n"/>
    </row>
  </sheetData>
  <dataValidations count="2">
    <dataValidation sqref="C6:C1005" showDropDown="0" showInputMessage="0" showErrorMessage="0" allowBlank="1" type="list">
      <formula1>=Settings!$B$6:$B$11</formula1>
    </dataValidation>
    <dataValidation sqref="D6:D1005" showDropDown="0" showInputMessage="0" showErrorMessage="0" allowBlank="1" type="list">
      <formula1>=Settings!$B$15:$B$24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R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22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2" customHeight="1">
      <c r="A2" s="1" t="n"/>
      <c r="B2" s="2" t="inlineStr">
        <is>
          <t>Rent roll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3" t="inlineStr">
        <is>
          <t>Rent received per unit and month for the year on the Dashboard.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 ht="30" customHeight="1">
      <c r="A5" s="1" t="n"/>
      <c r="B5" s="11" t="inlineStr">
        <is>
          <t>Unit</t>
        </is>
      </c>
      <c r="C5" s="11" t="inlineStr">
        <is>
          <t>Tenant</t>
        </is>
      </c>
      <c r="D5" s="11" t="inlineStr">
        <is>
          <t>Rent</t>
        </is>
      </c>
      <c r="E5" s="11" t="inlineStr">
        <is>
          <t>Jan</t>
        </is>
      </c>
      <c r="F5" s="11" t="inlineStr">
        <is>
          <t>Feb</t>
        </is>
      </c>
      <c r="G5" s="11" t="inlineStr">
        <is>
          <t>Mar</t>
        </is>
      </c>
      <c r="H5" s="11" t="inlineStr">
        <is>
          <t>Apr</t>
        </is>
      </c>
      <c r="I5" s="11" t="inlineStr">
        <is>
          <t>May</t>
        </is>
      </c>
      <c r="J5" s="11" t="inlineStr">
        <is>
          <t>Jun</t>
        </is>
      </c>
      <c r="K5" s="11" t="inlineStr">
        <is>
          <t>Jul</t>
        </is>
      </c>
      <c r="L5" s="11" t="inlineStr">
        <is>
          <t>Aug</t>
        </is>
      </c>
      <c r="M5" s="11" t="inlineStr">
        <is>
          <t>Sep</t>
        </is>
      </c>
      <c r="N5" s="11" t="inlineStr">
        <is>
          <t>Oct</t>
        </is>
      </c>
      <c r="O5" s="11" t="inlineStr">
        <is>
          <t>Nov</t>
        </is>
      </c>
      <c r="P5" s="11" t="inlineStr">
        <is>
          <t>Dec</t>
        </is>
      </c>
      <c r="Q5" s="11" t="inlineStr">
        <is>
          <t>Received</t>
        </is>
      </c>
      <c r="R5" s="11" t="inlineStr">
        <is>
          <t>Owed now</t>
        </is>
      </c>
      <c r="S5" s="11" t="inlineStr">
        <is>
          <t>This month</t>
        </is>
      </c>
      <c r="T5" s="1" t="n"/>
    </row>
    <row r="6">
      <c r="A6" s="1" t="n"/>
      <c r="B6" s="20">
        <f>IF(Units!B6="","",Units!B6)</f>
        <v/>
      </c>
      <c r="C6" s="30">
        <f>IF(B6="","",Units!D6)</f>
        <v/>
      </c>
      <c r="D6" s="14">
        <f>IF(B6="","",Units!E6)</f>
        <v/>
      </c>
      <c r="E6" s="31">
        <f>IF($B6="","",IF(AND(SUMIFS('Rent log'!$D$6:$D$1005,'Rent log'!$C$6:$C$1005,$B6,'Rent log'!$H$6:$H$1005,"&gt;="&amp;DATE(Dashboard!$C$4,1,1),'Rent log'!$H$6:$H$1005,"&lt;="&amp;EOMONTH(DATE(Dashboard!$C$4,1,1),0))=0,DATE(Dashboard!$C$4,1,1)&gt;TODAY()),"",SUMIFS('Rent log'!$D$6:$D$1005,'Rent log'!$C$6:$C$1005,$B6,'Rent log'!$H$6:$H$1005,"&gt;="&amp;DATE(Dashboard!$C$4,1,1),'Rent log'!$H$6:$H$1005,"&lt;="&amp;EOMONTH(DATE(Dashboard!$C$4,1,1),0))))</f>
        <v/>
      </c>
      <c r="F6" s="31">
        <f>IF($B6="","",IF(AND(SUMIFS('Rent log'!$D$6:$D$1005,'Rent log'!$C$6:$C$1005,$B6,'Rent log'!$H$6:$H$1005,"&gt;="&amp;DATE(Dashboard!$C$4,2,1),'Rent log'!$H$6:$H$1005,"&lt;="&amp;EOMONTH(DATE(Dashboard!$C$4,2,1),0))=0,DATE(Dashboard!$C$4,2,1)&gt;TODAY()),"",SUMIFS('Rent log'!$D$6:$D$1005,'Rent log'!$C$6:$C$1005,$B6,'Rent log'!$H$6:$H$1005,"&gt;="&amp;DATE(Dashboard!$C$4,2,1),'Rent log'!$H$6:$H$1005,"&lt;="&amp;EOMONTH(DATE(Dashboard!$C$4,2,1),0))))</f>
        <v/>
      </c>
      <c r="G6" s="31">
        <f>IF($B6="","",IF(AND(SUMIFS('Rent log'!$D$6:$D$1005,'Rent log'!$C$6:$C$1005,$B6,'Rent log'!$H$6:$H$1005,"&gt;="&amp;DATE(Dashboard!$C$4,3,1),'Rent log'!$H$6:$H$1005,"&lt;="&amp;EOMONTH(DATE(Dashboard!$C$4,3,1),0))=0,DATE(Dashboard!$C$4,3,1)&gt;TODAY()),"",SUMIFS('Rent log'!$D$6:$D$1005,'Rent log'!$C$6:$C$1005,$B6,'Rent log'!$H$6:$H$1005,"&gt;="&amp;DATE(Dashboard!$C$4,3,1),'Rent log'!$H$6:$H$1005,"&lt;="&amp;EOMONTH(DATE(Dashboard!$C$4,3,1),0))))</f>
        <v/>
      </c>
      <c r="H6" s="31">
        <f>IF($B6="","",IF(AND(SUMIFS('Rent log'!$D$6:$D$1005,'Rent log'!$C$6:$C$1005,$B6,'Rent log'!$H$6:$H$1005,"&gt;="&amp;DATE(Dashboard!$C$4,4,1),'Rent log'!$H$6:$H$1005,"&lt;="&amp;EOMONTH(DATE(Dashboard!$C$4,4,1),0))=0,DATE(Dashboard!$C$4,4,1)&gt;TODAY()),"",SUMIFS('Rent log'!$D$6:$D$1005,'Rent log'!$C$6:$C$1005,$B6,'Rent log'!$H$6:$H$1005,"&gt;="&amp;DATE(Dashboard!$C$4,4,1),'Rent log'!$H$6:$H$1005,"&lt;="&amp;EOMONTH(DATE(Dashboard!$C$4,4,1),0))))</f>
        <v/>
      </c>
      <c r="I6" s="31">
        <f>IF($B6="","",IF(AND(SUMIFS('Rent log'!$D$6:$D$1005,'Rent log'!$C$6:$C$1005,$B6,'Rent log'!$H$6:$H$1005,"&gt;="&amp;DATE(Dashboard!$C$4,5,1),'Rent log'!$H$6:$H$1005,"&lt;="&amp;EOMONTH(DATE(Dashboard!$C$4,5,1),0))=0,DATE(Dashboard!$C$4,5,1)&gt;TODAY()),"",SUMIFS('Rent log'!$D$6:$D$1005,'Rent log'!$C$6:$C$1005,$B6,'Rent log'!$H$6:$H$1005,"&gt;="&amp;DATE(Dashboard!$C$4,5,1),'Rent log'!$H$6:$H$1005,"&lt;="&amp;EOMONTH(DATE(Dashboard!$C$4,5,1),0))))</f>
        <v/>
      </c>
      <c r="J6" s="31">
        <f>IF($B6="","",IF(AND(SUMIFS('Rent log'!$D$6:$D$1005,'Rent log'!$C$6:$C$1005,$B6,'Rent log'!$H$6:$H$1005,"&gt;="&amp;DATE(Dashboard!$C$4,6,1),'Rent log'!$H$6:$H$1005,"&lt;="&amp;EOMONTH(DATE(Dashboard!$C$4,6,1),0))=0,DATE(Dashboard!$C$4,6,1)&gt;TODAY()),"",SUMIFS('Rent log'!$D$6:$D$1005,'Rent log'!$C$6:$C$1005,$B6,'Rent log'!$H$6:$H$1005,"&gt;="&amp;DATE(Dashboard!$C$4,6,1),'Rent log'!$H$6:$H$1005,"&lt;="&amp;EOMONTH(DATE(Dashboard!$C$4,6,1),0))))</f>
        <v/>
      </c>
      <c r="K6" s="31">
        <f>IF($B6="","",IF(AND(SUMIFS('Rent log'!$D$6:$D$1005,'Rent log'!$C$6:$C$1005,$B6,'Rent log'!$H$6:$H$1005,"&gt;="&amp;DATE(Dashboard!$C$4,7,1),'Rent log'!$H$6:$H$1005,"&lt;="&amp;EOMONTH(DATE(Dashboard!$C$4,7,1),0))=0,DATE(Dashboard!$C$4,7,1)&gt;TODAY()),"",SUMIFS('Rent log'!$D$6:$D$1005,'Rent log'!$C$6:$C$1005,$B6,'Rent log'!$H$6:$H$1005,"&gt;="&amp;DATE(Dashboard!$C$4,7,1),'Rent log'!$H$6:$H$1005,"&lt;="&amp;EOMONTH(DATE(Dashboard!$C$4,7,1),0))))</f>
        <v/>
      </c>
      <c r="L6" s="31">
        <f>IF($B6="","",IF(AND(SUMIFS('Rent log'!$D$6:$D$1005,'Rent log'!$C$6:$C$1005,$B6,'Rent log'!$H$6:$H$1005,"&gt;="&amp;DATE(Dashboard!$C$4,8,1),'Rent log'!$H$6:$H$1005,"&lt;="&amp;EOMONTH(DATE(Dashboard!$C$4,8,1),0))=0,DATE(Dashboard!$C$4,8,1)&gt;TODAY()),"",SUMIFS('Rent log'!$D$6:$D$1005,'Rent log'!$C$6:$C$1005,$B6,'Rent log'!$H$6:$H$1005,"&gt;="&amp;DATE(Dashboard!$C$4,8,1),'Rent log'!$H$6:$H$1005,"&lt;="&amp;EOMONTH(DATE(Dashboard!$C$4,8,1),0))))</f>
        <v/>
      </c>
      <c r="M6" s="31">
        <f>IF($B6="","",IF(AND(SUMIFS('Rent log'!$D$6:$D$1005,'Rent log'!$C$6:$C$1005,$B6,'Rent log'!$H$6:$H$1005,"&gt;="&amp;DATE(Dashboard!$C$4,9,1),'Rent log'!$H$6:$H$1005,"&lt;="&amp;EOMONTH(DATE(Dashboard!$C$4,9,1),0))=0,DATE(Dashboard!$C$4,9,1)&gt;TODAY()),"",SUMIFS('Rent log'!$D$6:$D$1005,'Rent log'!$C$6:$C$1005,$B6,'Rent log'!$H$6:$H$1005,"&gt;="&amp;DATE(Dashboard!$C$4,9,1),'Rent log'!$H$6:$H$1005,"&lt;="&amp;EOMONTH(DATE(Dashboard!$C$4,9,1),0))))</f>
        <v/>
      </c>
      <c r="N6" s="31">
        <f>IF($B6="","",IF(AND(SUMIFS('Rent log'!$D$6:$D$1005,'Rent log'!$C$6:$C$1005,$B6,'Rent log'!$H$6:$H$1005,"&gt;="&amp;DATE(Dashboard!$C$4,10,1),'Rent log'!$H$6:$H$1005,"&lt;="&amp;EOMONTH(DATE(Dashboard!$C$4,10,1),0))=0,DATE(Dashboard!$C$4,10,1)&gt;TODAY()),"",SUMIFS('Rent log'!$D$6:$D$1005,'Rent log'!$C$6:$C$1005,$B6,'Rent log'!$H$6:$H$1005,"&gt;="&amp;DATE(Dashboard!$C$4,10,1),'Rent log'!$H$6:$H$1005,"&lt;="&amp;EOMONTH(DATE(Dashboard!$C$4,10,1),0))))</f>
        <v/>
      </c>
      <c r="O6" s="31">
        <f>IF($B6="","",IF(AND(SUMIFS('Rent log'!$D$6:$D$1005,'Rent log'!$C$6:$C$1005,$B6,'Rent log'!$H$6:$H$1005,"&gt;="&amp;DATE(Dashboard!$C$4,11,1),'Rent log'!$H$6:$H$1005,"&lt;="&amp;EOMONTH(DATE(Dashboard!$C$4,11,1),0))=0,DATE(Dashboard!$C$4,11,1)&gt;TODAY()),"",SUMIFS('Rent log'!$D$6:$D$1005,'Rent log'!$C$6:$C$1005,$B6,'Rent log'!$H$6:$H$1005,"&gt;="&amp;DATE(Dashboard!$C$4,11,1),'Rent log'!$H$6:$H$1005,"&lt;="&amp;EOMONTH(DATE(Dashboard!$C$4,11,1),0))))</f>
        <v/>
      </c>
      <c r="P6" s="31">
        <f>IF($B6="","",IF(AND(SUMIFS('Rent log'!$D$6:$D$1005,'Rent log'!$C$6:$C$1005,$B6,'Rent log'!$H$6:$H$1005,"&gt;="&amp;DATE(Dashboard!$C$4,12,1),'Rent log'!$H$6:$H$1005,"&lt;="&amp;EOMONTH(DATE(Dashboard!$C$4,12,1),0))=0,DATE(Dashboard!$C$4,12,1)&gt;TODAY()),"",SUMIFS('Rent log'!$D$6:$D$1005,'Rent log'!$C$6:$C$1005,$B6,'Rent log'!$H$6:$H$1005,"&gt;="&amp;DATE(Dashboard!$C$4,12,1),'Rent log'!$H$6:$H$1005,"&lt;="&amp;EOMONTH(DATE(Dashboard!$C$4,12,1),0))))</f>
        <v/>
      </c>
      <c r="Q6" s="22">
        <f>IF(B6="","",SUM(E6:P6))</f>
        <v/>
      </c>
      <c r="R6" s="22">
        <f>IF(B6="","",SUM(AF6:AQ6))</f>
        <v/>
      </c>
      <c r="S6" s="30">
        <f>IF(B6="","",IF(Dashboard!$C$4&lt;&gt;YEAR(TODAY()),"",IF(INDEX(T6:AE6,MONTH(TODAY()))=0,"No rent due",IF(N(INDEX(E6:P6,MONTH(TODAY())))&gt;=INDEX(T6:AE6,MONTH(TODAY())),"Paid",IF(TODAY()&gt;DATE(YEAR(TODAY()),MONTH(TODAY()),MIN(N(Units!$F6)+(N(Units!$F6)=0),DAY(EOMONTH(TODAY(),0))))+N(Units!$G6),"Late: "&amp;FIXED(INDEX(T6:AE6,MONTH(TODAY()))-N(INDEX(E6:P6,MONTH(TODAY()))),2)&amp;" owed",IF(N(INDEX(E6:P6,MONTH(TODAY())))&gt;0,"Part paid: "&amp;FIXED(INDEX(T6:AE6,MONTH(TODAY()))-N(INDEX(E6:P6,MONTH(TODAY()))),2)&amp;" left","Due on the "&amp;MIN(N(Units!$F6)+(N(Units!$F6)=0),DAY(EOMONTH(TODAY(),0)))&amp;IF(AND(MIN(N(Units!$F6)+(N(Units!$F6)=0),DAY(EOMONTH(TODAY(),0)))&gt;=11,MIN(N(Units!$F6)+(N(Units!$F6)=0),DAY(EOMONTH(TODAY(),0)))&lt;=13),"th",IF(MOD(MIN(N(Units!$F6)+(N(Units!$F6)=0),DAY(EOMONTH(TODAY(),0))),10)=1,"st",IF(MOD(MIN(N(Units!$F6)+(N(Units!$F6)=0),DAY(EOMONTH(TODAY(),0))),10)=2,"nd",IF(MOD(MIN(N(Units!$F6)+(N(Units!$F6)=0),DAY(EOMONTH(TODAY(),0))),10)=3,"rd","th"))))))))))</f>
        <v/>
      </c>
      <c r="T6" s="1">
        <f>IF($B6="",0,IF(AND(OR(Units!$H6="",Units!$H6&lt;=EOMONTH(DATE(Dashboard!$C$4,1,1),0)),OR(Units!$I6="",Units!$I6&gt;=DATE(Dashboard!$C$4,1,1))),N(Units!$E6),0))</f>
        <v/>
      </c>
      <c r="U6">
        <f>IF($B6="",0,IF(AND(OR(Units!$H6="",Units!$H6&lt;=EOMONTH(DATE(Dashboard!$C$4,2,1),0)),OR(Units!$I6="",Units!$I6&gt;=DATE(Dashboard!$C$4,2,1))),N(Units!$E6),0))</f>
        <v/>
      </c>
      <c r="V6">
        <f>IF($B6="",0,IF(AND(OR(Units!$H6="",Units!$H6&lt;=EOMONTH(DATE(Dashboard!$C$4,3,1),0)),OR(Units!$I6="",Units!$I6&gt;=DATE(Dashboard!$C$4,3,1))),N(Units!$E6),0))</f>
        <v/>
      </c>
      <c r="W6">
        <f>IF($B6="",0,IF(AND(OR(Units!$H6="",Units!$H6&lt;=EOMONTH(DATE(Dashboard!$C$4,4,1),0)),OR(Units!$I6="",Units!$I6&gt;=DATE(Dashboard!$C$4,4,1))),N(Units!$E6),0))</f>
        <v/>
      </c>
      <c r="X6">
        <f>IF($B6="",0,IF(AND(OR(Units!$H6="",Units!$H6&lt;=EOMONTH(DATE(Dashboard!$C$4,5,1),0)),OR(Units!$I6="",Units!$I6&gt;=DATE(Dashboard!$C$4,5,1))),N(Units!$E6),0))</f>
        <v/>
      </c>
      <c r="Y6">
        <f>IF($B6="",0,IF(AND(OR(Units!$H6="",Units!$H6&lt;=EOMONTH(DATE(Dashboard!$C$4,6,1),0)),OR(Units!$I6="",Units!$I6&gt;=DATE(Dashboard!$C$4,6,1))),N(Units!$E6),0))</f>
        <v/>
      </c>
      <c r="Z6">
        <f>IF($B6="",0,IF(AND(OR(Units!$H6="",Units!$H6&lt;=EOMONTH(DATE(Dashboard!$C$4,7,1),0)),OR(Units!$I6="",Units!$I6&gt;=DATE(Dashboard!$C$4,7,1))),N(Units!$E6),0))</f>
        <v/>
      </c>
      <c r="AA6">
        <f>IF($B6="",0,IF(AND(OR(Units!$H6="",Units!$H6&lt;=EOMONTH(DATE(Dashboard!$C$4,8,1),0)),OR(Units!$I6="",Units!$I6&gt;=DATE(Dashboard!$C$4,8,1))),N(Units!$E6),0))</f>
        <v/>
      </c>
      <c r="AB6">
        <f>IF($B6="",0,IF(AND(OR(Units!$H6="",Units!$H6&lt;=EOMONTH(DATE(Dashboard!$C$4,9,1),0)),OR(Units!$I6="",Units!$I6&gt;=DATE(Dashboard!$C$4,9,1))),N(Units!$E6),0))</f>
        <v/>
      </c>
      <c r="AC6">
        <f>IF($B6="",0,IF(AND(OR(Units!$H6="",Units!$H6&lt;=EOMONTH(DATE(Dashboard!$C$4,10,1),0)),OR(Units!$I6="",Units!$I6&gt;=DATE(Dashboard!$C$4,10,1))),N(Units!$E6),0))</f>
        <v/>
      </c>
      <c r="AD6">
        <f>IF($B6="",0,IF(AND(OR(Units!$H6="",Units!$H6&lt;=EOMONTH(DATE(Dashboard!$C$4,11,1),0)),OR(Units!$I6="",Units!$I6&gt;=DATE(Dashboard!$C$4,11,1))),N(Units!$E6),0))</f>
        <v/>
      </c>
      <c r="AE6">
        <f>IF($B6="",0,IF(AND(OR(Units!$H6="",Units!$H6&lt;=EOMONTH(DATE(Dashboard!$C$4,12,1),0)),OR(Units!$I6="",Units!$I6&gt;=DATE(Dashboard!$C$4,12,1))),N(Units!$E6),0))</f>
        <v/>
      </c>
      <c r="AF6">
        <f>IF(AND(T6&gt;0,DATE(Dashboard!$C$4,1,MIN(N(Units!$F6)+(N(Units!$F6)=0),DAY(EOMONTH(DATE(Dashboard!$C$4,1,1),0))))+N(Units!$G6)&lt;TODAY()),MAX(0,T6-N(E6)),0)</f>
        <v/>
      </c>
      <c r="AG6">
        <f>IF(AND(U6&gt;0,DATE(Dashboard!$C$4,2,MIN(N(Units!$F6)+(N(Units!$F6)=0),DAY(EOMONTH(DATE(Dashboard!$C$4,2,1),0))))+N(Units!$G6)&lt;TODAY()),MAX(0,U6-N(F6)),0)</f>
        <v/>
      </c>
      <c r="AH6">
        <f>IF(AND(V6&gt;0,DATE(Dashboard!$C$4,3,MIN(N(Units!$F6)+(N(Units!$F6)=0),DAY(EOMONTH(DATE(Dashboard!$C$4,3,1),0))))+N(Units!$G6)&lt;TODAY()),MAX(0,V6-N(G6)),0)</f>
        <v/>
      </c>
      <c r="AI6">
        <f>IF(AND(W6&gt;0,DATE(Dashboard!$C$4,4,MIN(N(Units!$F6)+(N(Units!$F6)=0),DAY(EOMONTH(DATE(Dashboard!$C$4,4,1),0))))+N(Units!$G6)&lt;TODAY()),MAX(0,W6-N(H6)),0)</f>
        <v/>
      </c>
      <c r="AJ6">
        <f>IF(AND(X6&gt;0,DATE(Dashboard!$C$4,5,MIN(N(Units!$F6)+(N(Units!$F6)=0),DAY(EOMONTH(DATE(Dashboard!$C$4,5,1),0))))+N(Units!$G6)&lt;TODAY()),MAX(0,X6-N(I6)),0)</f>
        <v/>
      </c>
      <c r="AK6">
        <f>IF(AND(Y6&gt;0,DATE(Dashboard!$C$4,6,MIN(N(Units!$F6)+(N(Units!$F6)=0),DAY(EOMONTH(DATE(Dashboard!$C$4,6,1),0))))+N(Units!$G6)&lt;TODAY()),MAX(0,Y6-N(J6)),0)</f>
        <v/>
      </c>
      <c r="AL6">
        <f>IF(AND(Z6&gt;0,DATE(Dashboard!$C$4,7,MIN(N(Units!$F6)+(N(Units!$F6)=0),DAY(EOMONTH(DATE(Dashboard!$C$4,7,1),0))))+N(Units!$G6)&lt;TODAY()),MAX(0,Z6-N(K6)),0)</f>
        <v/>
      </c>
      <c r="AM6">
        <f>IF(AND(AA6&gt;0,DATE(Dashboard!$C$4,8,MIN(N(Units!$F6)+(N(Units!$F6)=0),DAY(EOMONTH(DATE(Dashboard!$C$4,8,1),0))))+N(Units!$G6)&lt;TODAY()),MAX(0,AA6-N(L6)),0)</f>
        <v/>
      </c>
      <c r="AN6">
        <f>IF(AND(AB6&gt;0,DATE(Dashboard!$C$4,9,MIN(N(Units!$F6)+(N(Units!$F6)=0),DAY(EOMONTH(DATE(Dashboard!$C$4,9,1),0))))+N(Units!$G6)&lt;TODAY()),MAX(0,AB6-N(M6)),0)</f>
        <v/>
      </c>
      <c r="AO6">
        <f>IF(AND(AC6&gt;0,DATE(Dashboard!$C$4,10,MIN(N(Units!$F6)+(N(Units!$F6)=0),DAY(EOMONTH(DATE(Dashboard!$C$4,10,1),0))))+N(Units!$G6)&lt;TODAY()),MAX(0,AC6-N(N6)),0)</f>
        <v/>
      </c>
      <c r="AP6">
        <f>IF(AND(AD6&gt;0,DATE(Dashboard!$C$4,11,MIN(N(Units!$F6)+(N(Units!$F6)=0),DAY(EOMONTH(DATE(Dashboard!$C$4,11,1),0))))+N(Units!$G6)&lt;TODAY()),MAX(0,AD6-N(O6)),0)</f>
        <v/>
      </c>
      <c r="AQ6">
        <f>IF(AND(AE6&gt;0,DATE(Dashboard!$C$4,12,MIN(N(Units!$F6)+(N(Units!$F6)=0),DAY(EOMONTH(DATE(Dashboard!$C$4,12,1),0))))+N(Units!$G6)&lt;TODAY()),MAX(0,AE6-N(P6)),0)</f>
        <v/>
      </c>
      <c r="AR6">
        <f>IF(B6="","",Units!C6)</f>
        <v/>
      </c>
    </row>
    <row r="7">
      <c r="A7" s="1" t="n"/>
      <c r="B7" s="20">
        <f>IF(Units!B7="","",Units!B7)</f>
        <v/>
      </c>
      <c r="C7" s="30">
        <f>IF(B7="","",Units!D7)</f>
        <v/>
      </c>
      <c r="D7" s="14">
        <f>IF(B7="","",Units!E7)</f>
        <v/>
      </c>
      <c r="E7" s="31">
        <f>IF($B7="","",IF(AND(SUMIFS('Rent log'!$D$6:$D$1005,'Rent log'!$C$6:$C$1005,$B7,'Rent log'!$H$6:$H$1005,"&gt;="&amp;DATE(Dashboard!$C$4,1,1),'Rent log'!$H$6:$H$1005,"&lt;="&amp;EOMONTH(DATE(Dashboard!$C$4,1,1),0))=0,DATE(Dashboard!$C$4,1,1)&gt;TODAY()),"",SUMIFS('Rent log'!$D$6:$D$1005,'Rent log'!$C$6:$C$1005,$B7,'Rent log'!$H$6:$H$1005,"&gt;="&amp;DATE(Dashboard!$C$4,1,1),'Rent log'!$H$6:$H$1005,"&lt;="&amp;EOMONTH(DATE(Dashboard!$C$4,1,1),0))))</f>
        <v/>
      </c>
      <c r="F7" s="31">
        <f>IF($B7="","",IF(AND(SUMIFS('Rent log'!$D$6:$D$1005,'Rent log'!$C$6:$C$1005,$B7,'Rent log'!$H$6:$H$1005,"&gt;="&amp;DATE(Dashboard!$C$4,2,1),'Rent log'!$H$6:$H$1005,"&lt;="&amp;EOMONTH(DATE(Dashboard!$C$4,2,1),0))=0,DATE(Dashboard!$C$4,2,1)&gt;TODAY()),"",SUMIFS('Rent log'!$D$6:$D$1005,'Rent log'!$C$6:$C$1005,$B7,'Rent log'!$H$6:$H$1005,"&gt;="&amp;DATE(Dashboard!$C$4,2,1),'Rent log'!$H$6:$H$1005,"&lt;="&amp;EOMONTH(DATE(Dashboard!$C$4,2,1),0))))</f>
        <v/>
      </c>
      <c r="G7" s="31">
        <f>IF($B7="","",IF(AND(SUMIFS('Rent log'!$D$6:$D$1005,'Rent log'!$C$6:$C$1005,$B7,'Rent log'!$H$6:$H$1005,"&gt;="&amp;DATE(Dashboard!$C$4,3,1),'Rent log'!$H$6:$H$1005,"&lt;="&amp;EOMONTH(DATE(Dashboard!$C$4,3,1),0))=0,DATE(Dashboard!$C$4,3,1)&gt;TODAY()),"",SUMIFS('Rent log'!$D$6:$D$1005,'Rent log'!$C$6:$C$1005,$B7,'Rent log'!$H$6:$H$1005,"&gt;="&amp;DATE(Dashboard!$C$4,3,1),'Rent log'!$H$6:$H$1005,"&lt;="&amp;EOMONTH(DATE(Dashboard!$C$4,3,1),0))))</f>
        <v/>
      </c>
      <c r="H7" s="31">
        <f>IF($B7="","",IF(AND(SUMIFS('Rent log'!$D$6:$D$1005,'Rent log'!$C$6:$C$1005,$B7,'Rent log'!$H$6:$H$1005,"&gt;="&amp;DATE(Dashboard!$C$4,4,1),'Rent log'!$H$6:$H$1005,"&lt;="&amp;EOMONTH(DATE(Dashboard!$C$4,4,1),0))=0,DATE(Dashboard!$C$4,4,1)&gt;TODAY()),"",SUMIFS('Rent log'!$D$6:$D$1005,'Rent log'!$C$6:$C$1005,$B7,'Rent log'!$H$6:$H$1005,"&gt;="&amp;DATE(Dashboard!$C$4,4,1),'Rent log'!$H$6:$H$1005,"&lt;="&amp;EOMONTH(DATE(Dashboard!$C$4,4,1),0))))</f>
        <v/>
      </c>
      <c r="I7" s="31">
        <f>IF($B7="","",IF(AND(SUMIFS('Rent log'!$D$6:$D$1005,'Rent log'!$C$6:$C$1005,$B7,'Rent log'!$H$6:$H$1005,"&gt;="&amp;DATE(Dashboard!$C$4,5,1),'Rent log'!$H$6:$H$1005,"&lt;="&amp;EOMONTH(DATE(Dashboard!$C$4,5,1),0))=0,DATE(Dashboard!$C$4,5,1)&gt;TODAY()),"",SUMIFS('Rent log'!$D$6:$D$1005,'Rent log'!$C$6:$C$1005,$B7,'Rent log'!$H$6:$H$1005,"&gt;="&amp;DATE(Dashboard!$C$4,5,1),'Rent log'!$H$6:$H$1005,"&lt;="&amp;EOMONTH(DATE(Dashboard!$C$4,5,1),0))))</f>
        <v/>
      </c>
      <c r="J7" s="31">
        <f>IF($B7="","",IF(AND(SUMIFS('Rent log'!$D$6:$D$1005,'Rent log'!$C$6:$C$1005,$B7,'Rent log'!$H$6:$H$1005,"&gt;="&amp;DATE(Dashboard!$C$4,6,1),'Rent log'!$H$6:$H$1005,"&lt;="&amp;EOMONTH(DATE(Dashboard!$C$4,6,1),0))=0,DATE(Dashboard!$C$4,6,1)&gt;TODAY()),"",SUMIFS('Rent log'!$D$6:$D$1005,'Rent log'!$C$6:$C$1005,$B7,'Rent log'!$H$6:$H$1005,"&gt;="&amp;DATE(Dashboard!$C$4,6,1),'Rent log'!$H$6:$H$1005,"&lt;="&amp;EOMONTH(DATE(Dashboard!$C$4,6,1),0))))</f>
        <v/>
      </c>
      <c r="K7" s="31">
        <f>IF($B7="","",IF(AND(SUMIFS('Rent log'!$D$6:$D$1005,'Rent log'!$C$6:$C$1005,$B7,'Rent log'!$H$6:$H$1005,"&gt;="&amp;DATE(Dashboard!$C$4,7,1),'Rent log'!$H$6:$H$1005,"&lt;="&amp;EOMONTH(DATE(Dashboard!$C$4,7,1),0))=0,DATE(Dashboard!$C$4,7,1)&gt;TODAY()),"",SUMIFS('Rent log'!$D$6:$D$1005,'Rent log'!$C$6:$C$1005,$B7,'Rent log'!$H$6:$H$1005,"&gt;="&amp;DATE(Dashboard!$C$4,7,1),'Rent log'!$H$6:$H$1005,"&lt;="&amp;EOMONTH(DATE(Dashboard!$C$4,7,1),0))))</f>
        <v/>
      </c>
      <c r="L7" s="31">
        <f>IF($B7="","",IF(AND(SUMIFS('Rent log'!$D$6:$D$1005,'Rent log'!$C$6:$C$1005,$B7,'Rent log'!$H$6:$H$1005,"&gt;="&amp;DATE(Dashboard!$C$4,8,1),'Rent log'!$H$6:$H$1005,"&lt;="&amp;EOMONTH(DATE(Dashboard!$C$4,8,1),0))=0,DATE(Dashboard!$C$4,8,1)&gt;TODAY()),"",SUMIFS('Rent log'!$D$6:$D$1005,'Rent log'!$C$6:$C$1005,$B7,'Rent log'!$H$6:$H$1005,"&gt;="&amp;DATE(Dashboard!$C$4,8,1),'Rent log'!$H$6:$H$1005,"&lt;="&amp;EOMONTH(DATE(Dashboard!$C$4,8,1),0))))</f>
        <v/>
      </c>
      <c r="M7" s="31">
        <f>IF($B7="","",IF(AND(SUMIFS('Rent log'!$D$6:$D$1005,'Rent log'!$C$6:$C$1005,$B7,'Rent log'!$H$6:$H$1005,"&gt;="&amp;DATE(Dashboard!$C$4,9,1),'Rent log'!$H$6:$H$1005,"&lt;="&amp;EOMONTH(DATE(Dashboard!$C$4,9,1),0))=0,DATE(Dashboard!$C$4,9,1)&gt;TODAY()),"",SUMIFS('Rent log'!$D$6:$D$1005,'Rent log'!$C$6:$C$1005,$B7,'Rent log'!$H$6:$H$1005,"&gt;="&amp;DATE(Dashboard!$C$4,9,1),'Rent log'!$H$6:$H$1005,"&lt;="&amp;EOMONTH(DATE(Dashboard!$C$4,9,1),0))))</f>
        <v/>
      </c>
      <c r="N7" s="31">
        <f>IF($B7="","",IF(AND(SUMIFS('Rent log'!$D$6:$D$1005,'Rent log'!$C$6:$C$1005,$B7,'Rent log'!$H$6:$H$1005,"&gt;="&amp;DATE(Dashboard!$C$4,10,1),'Rent log'!$H$6:$H$1005,"&lt;="&amp;EOMONTH(DATE(Dashboard!$C$4,10,1),0))=0,DATE(Dashboard!$C$4,10,1)&gt;TODAY()),"",SUMIFS('Rent log'!$D$6:$D$1005,'Rent log'!$C$6:$C$1005,$B7,'Rent log'!$H$6:$H$1005,"&gt;="&amp;DATE(Dashboard!$C$4,10,1),'Rent log'!$H$6:$H$1005,"&lt;="&amp;EOMONTH(DATE(Dashboard!$C$4,10,1),0))))</f>
        <v/>
      </c>
      <c r="O7" s="31">
        <f>IF($B7="","",IF(AND(SUMIFS('Rent log'!$D$6:$D$1005,'Rent log'!$C$6:$C$1005,$B7,'Rent log'!$H$6:$H$1005,"&gt;="&amp;DATE(Dashboard!$C$4,11,1),'Rent log'!$H$6:$H$1005,"&lt;="&amp;EOMONTH(DATE(Dashboard!$C$4,11,1),0))=0,DATE(Dashboard!$C$4,11,1)&gt;TODAY()),"",SUMIFS('Rent log'!$D$6:$D$1005,'Rent log'!$C$6:$C$1005,$B7,'Rent log'!$H$6:$H$1005,"&gt;="&amp;DATE(Dashboard!$C$4,11,1),'Rent log'!$H$6:$H$1005,"&lt;="&amp;EOMONTH(DATE(Dashboard!$C$4,11,1),0))))</f>
        <v/>
      </c>
      <c r="P7" s="31">
        <f>IF($B7="","",IF(AND(SUMIFS('Rent log'!$D$6:$D$1005,'Rent log'!$C$6:$C$1005,$B7,'Rent log'!$H$6:$H$1005,"&gt;="&amp;DATE(Dashboard!$C$4,12,1),'Rent log'!$H$6:$H$1005,"&lt;="&amp;EOMONTH(DATE(Dashboard!$C$4,12,1),0))=0,DATE(Dashboard!$C$4,12,1)&gt;TODAY()),"",SUMIFS('Rent log'!$D$6:$D$1005,'Rent log'!$C$6:$C$1005,$B7,'Rent log'!$H$6:$H$1005,"&gt;="&amp;DATE(Dashboard!$C$4,12,1),'Rent log'!$H$6:$H$1005,"&lt;="&amp;EOMONTH(DATE(Dashboard!$C$4,12,1),0))))</f>
        <v/>
      </c>
      <c r="Q7" s="22">
        <f>IF(B7="","",SUM(E7:P7))</f>
        <v/>
      </c>
      <c r="R7" s="22">
        <f>IF(B7="","",SUM(AF7:AQ7))</f>
        <v/>
      </c>
      <c r="S7" s="30">
        <f>IF(B7="","",IF(Dashboard!$C$4&lt;&gt;YEAR(TODAY()),"",IF(INDEX(T7:AE7,MONTH(TODAY()))=0,"No rent due",IF(N(INDEX(E7:P7,MONTH(TODAY())))&gt;=INDEX(T7:AE7,MONTH(TODAY())),"Paid",IF(TODAY()&gt;DATE(YEAR(TODAY()),MONTH(TODAY()),MIN(N(Units!$F7)+(N(Units!$F7)=0),DAY(EOMONTH(TODAY(),0))))+N(Units!$G7),"Late: "&amp;FIXED(INDEX(T7:AE7,MONTH(TODAY()))-N(INDEX(E7:P7,MONTH(TODAY()))),2)&amp;" owed",IF(N(INDEX(E7:P7,MONTH(TODAY())))&gt;0,"Part paid: "&amp;FIXED(INDEX(T7:AE7,MONTH(TODAY()))-N(INDEX(E7:P7,MONTH(TODAY()))),2)&amp;" left","Due on the "&amp;MIN(N(Units!$F7)+(N(Units!$F7)=0),DAY(EOMONTH(TODAY(),0)))&amp;IF(AND(MIN(N(Units!$F7)+(N(Units!$F7)=0),DAY(EOMONTH(TODAY(),0)))&gt;=11,MIN(N(Units!$F7)+(N(Units!$F7)=0),DAY(EOMONTH(TODAY(),0)))&lt;=13),"th",IF(MOD(MIN(N(Units!$F7)+(N(Units!$F7)=0),DAY(EOMONTH(TODAY(),0))),10)=1,"st",IF(MOD(MIN(N(Units!$F7)+(N(Units!$F7)=0),DAY(EOMONTH(TODAY(),0))),10)=2,"nd",IF(MOD(MIN(N(Units!$F7)+(N(Units!$F7)=0),DAY(EOMONTH(TODAY(),0))),10)=3,"rd","th"))))))))))</f>
        <v/>
      </c>
      <c r="T7" s="1">
        <f>IF($B7="",0,IF(AND(OR(Units!$H7="",Units!$H7&lt;=EOMONTH(DATE(Dashboard!$C$4,1,1),0)),OR(Units!$I7="",Units!$I7&gt;=DATE(Dashboard!$C$4,1,1))),N(Units!$E7),0))</f>
        <v/>
      </c>
      <c r="U7">
        <f>IF($B7="",0,IF(AND(OR(Units!$H7="",Units!$H7&lt;=EOMONTH(DATE(Dashboard!$C$4,2,1),0)),OR(Units!$I7="",Units!$I7&gt;=DATE(Dashboard!$C$4,2,1))),N(Units!$E7),0))</f>
        <v/>
      </c>
      <c r="V7">
        <f>IF($B7="",0,IF(AND(OR(Units!$H7="",Units!$H7&lt;=EOMONTH(DATE(Dashboard!$C$4,3,1),0)),OR(Units!$I7="",Units!$I7&gt;=DATE(Dashboard!$C$4,3,1))),N(Units!$E7),0))</f>
        <v/>
      </c>
      <c r="W7">
        <f>IF($B7="",0,IF(AND(OR(Units!$H7="",Units!$H7&lt;=EOMONTH(DATE(Dashboard!$C$4,4,1),0)),OR(Units!$I7="",Units!$I7&gt;=DATE(Dashboard!$C$4,4,1))),N(Units!$E7),0))</f>
        <v/>
      </c>
      <c r="X7">
        <f>IF($B7="",0,IF(AND(OR(Units!$H7="",Units!$H7&lt;=EOMONTH(DATE(Dashboard!$C$4,5,1),0)),OR(Units!$I7="",Units!$I7&gt;=DATE(Dashboard!$C$4,5,1))),N(Units!$E7),0))</f>
        <v/>
      </c>
      <c r="Y7">
        <f>IF($B7="",0,IF(AND(OR(Units!$H7="",Units!$H7&lt;=EOMONTH(DATE(Dashboard!$C$4,6,1),0)),OR(Units!$I7="",Units!$I7&gt;=DATE(Dashboard!$C$4,6,1))),N(Units!$E7),0))</f>
        <v/>
      </c>
      <c r="Z7">
        <f>IF($B7="",0,IF(AND(OR(Units!$H7="",Units!$H7&lt;=EOMONTH(DATE(Dashboard!$C$4,7,1),0)),OR(Units!$I7="",Units!$I7&gt;=DATE(Dashboard!$C$4,7,1))),N(Units!$E7),0))</f>
        <v/>
      </c>
      <c r="AA7">
        <f>IF($B7="",0,IF(AND(OR(Units!$H7="",Units!$H7&lt;=EOMONTH(DATE(Dashboard!$C$4,8,1),0)),OR(Units!$I7="",Units!$I7&gt;=DATE(Dashboard!$C$4,8,1))),N(Units!$E7),0))</f>
        <v/>
      </c>
      <c r="AB7">
        <f>IF($B7="",0,IF(AND(OR(Units!$H7="",Units!$H7&lt;=EOMONTH(DATE(Dashboard!$C$4,9,1),0)),OR(Units!$I7="",Units!$I7&gt;=DATE(Dashboard!$C$4,9,1))),N(Units!$E7),0))</f>
        <v/>
      </c>
      <c r="AC7">
        <f>IF($B7="",0,IF(AND(OR(Units!$H7="",Units!$H7&lt;=EOMONTH(DATE(Dashboard!$C$4,10,1),0)),OR(Units!$I7="",Units!$I7&gt;=DATE(Dashboard!$C$4,10,1))),N(Units!$E7),0))</f>
        <v/>
      </c>
      <c r="AD7">
        <f>IF($B7="",0,IF(AND(OR(Units!$H7="",Units!$H7&lt;=EOMONTH(DATE(Dashboard!$C$4,11,1),0)),OR(Units!$I7="",Units!$I7&gt;=DATE(Dashboard!$C$4,11,1))),N(Units!$E7),0))</f>
        <v/>
      </c>
      <c r="AE7">
        <f>IF($B7="",0,IF(AND(OR(Units!$H7="",Units!$H7&lt;=EOMONTH(DATE(Dashboard!$C$4,12,1),0)),OR(Units!$I7="",Units!$I7&gt;=DATE(Dashboard!$C$4,12,1))),N(Units!$E7),0))</f>
        <v/>
      </c>
      <c r="AF7">
        <f>IF(AND(T7&gt;0,DATE(Dashboard!$C$4,1,MIN(N(Units!$F7)+(N(Units!$F7)=0),DAY(EOMONTH(DATE(Dashboard!$C$4,1,1),0))))+N(Units!$G7)&lt;TODAY()),MAX(0,T7-N(E7)),0)</f>
        <v/>
      </c>
      <c r="AG7">
        <f>IF(AND(U7&gt;0,DATE(Dashboard!$C$4,2,MIN(N(Units!$F7)+(N(Units!$F7)=0),DAY(EOMONTH(DATE(Dashboard!$C$4,2,1),0))))+N(Units!$G7)&lt;TODAY()),MAX(0,U7-N(F7)),0)</f>
        <v/>
      </c>
      <c r="AH7">
        <f>IF(AND(V7&gt;0,DATE(Dashboard!$C$4,3,MIN(N(Units!$F7)+(N(Units!$F7)=0),DAY(EOMONTH(DATE(Dashboard!$C$4,3,1),0))))+N(Units!$G7)&lt;TODAY()),MAX(0,V7-N(G7)),0)</f>
        <v/>
      </c>
      <c r="AI7">
        <f>IF(AND(W7&gt;0,DATE(Dashboard!$C$4,4,MIN(N(Units!$F7)+(N(Units!$F7)=0),DAY(EOMONTH(DATE(Dashboard!$C$4,4,1),0))))+N(Units!$G7)&lt;TODAY()),MAX(0,W7-N(H7)),0)</f>
        <v/>
      </c>
      <c r="AJ7">
        <f>IF(AND(X7&gt;0,DATE(Dashboard!$C$4,5,MIN(N(Units!$F7)+(N(Units!$F7)=0),DAY(EOMONTH(DATE(Dashboard!$C$4,5,1),0))))+N(Units!$G7)&lt;TODAY()),MAX(0,X7-N(I7)),0)</f>
        <v/>
      </c>
      <c r="AK7">
        <f>IF(AND(Y7&gt;0,DATE(Dashboard!$C$4,6,MIN(N(Units!$F7)+(N(Units!$F7)=0),DAY(EOMONTH(DATE(Dashboard!$C$4,6,1),0))))+N(Units!$G7)&lt;TODAY()),MAX(0,Y7-N(J7)),0)</f>
        <v/>
      </c>
      <c r="AL7">
        <f>IF(AND(Z7&gt;0,DATE(Dashboard!$C$4,7,MIN(N(Units!$F7)+(N(Units!$F7)=0),DAY(EOMONTH(DATE(Dashboard!$C$4,7,1),0))))+N(Units!$G7)&lt;TODAY()),MAX(0,Z7-N(K7)),0)</f>
        <v/>
      </c>
      <c r="AM7">
        <f>IF(AND(AA7&gt;0,DATE(Dashboard!$C$4,8,MIN(N(Units!$F7)+(N(Units!$F7)=0),DAY(EOMONTH(DATE(Dashboard!$C$4,8,1),0))))+N(Units!$G7)&lt;TODAY()),MAX(0,AA7-N(L7)),0)</f>
        <v/>
      </c>
      <c r="AN7">
        <f>IF(AND(AB7&gt;0,DATE(Dashboard!$C$4,9,MIN(N(Units!$F7)+(N(Units!$F7)=0),DAY(EOMONTH(DATE(Dashboard!$C$4,9,1),0))))+N(Units!$G7)&lt;TODAY()),MAX(0,AB7-N(M7)),0)</f>
        <v/>
      </c>
      <c r="AO7">
        <f>IF(AND(AC7&gt;0,DATE(Dashboard!$C$4,10,MIN(N(Units!$F7)+(N(Units!$F7)=0),DAY(EOMONTH(DATE(Dashboard!$C$4,10,1),0))))+N(Units!$G7)&lt;TODAY()),MAX(0,AC7-N(N7)),0)</f>
        <v/>
      </c>
      <c r="AP7">
        <f>IF(AND(AD7&gt;0,DATE(Dashboard!$C$4,11,MIN(N(Units!$F7)+(N(Units!$F7)=0),DAY(EOMONTH(DATE(Dashboard!$C$4,11,1),0))))+N(Units!$G7)&lt;TODAY()),MAX(0,AD7-N(O7)),0)</f>
        <v/>
      </c>
      <c r="AQ7">
        <f>IF(AND(AE7&gt;0,DATE(Dashboard!$C$4,12,MIN(N(Units!$F7)+(N(Units!$F7)=0),DAY(EOMONTH(DATE(Dashboard!$C$4,12,1),0))))+N(Units!$G7)&lt;TODAY()),MAX(0,AE7-N(P7)),0)</f>
        <v/>
      </c>
      <c r="AR7">
        <f>IF(B7="","",Units!C7)</f>
        <v/>
      </c>
    </row>
    <row r="8">
      <c r="A8" s="1" t="n"/>
      <c r="B8" s="20">
        <f>IF(Units!B8="","",Units!B8)</f>
        <v/>
      </c>
      <c r="C8" s="30">
        <f>IF(B8="","",Units!D8)</f>
        <v/>
      </c>
      <c r="D8" s="14">
        <f>IF(B8="","",Units!E8)</f>
        <v/>
      </c>
      <c r="E8" s="31">
        <f>IF($B8="","",IF(AND(SUMIFS('Rent log'!$D$6:$D$1005,'Rent log'!$C$6:$C$1005,$B8,'Rent log'!$H$6:$H$1005,"&gt;="&amp;DATE(Dashboard!$C$4,1,1),'Rent log'!$H$6:$H$1005,"&lt;="&amp;EOMONTH(DATE(Dashboard!$C$4,1,1),0))=0,DATE(Dashboard!$C$4,1,1)&gt;TODAY()),"",SUMIFS('Rent log'!$D$6:$D$1005,'Rent log'!$C$6:$C$1005,$B8,'Rent log'!$H$6:$H$1005,"&gt;="&amp;DATE(Dashboard!$C$4,1,1),'Rent log'!$H$6:$H$1005,"&lt;="&amp;EOMONTH(DATE(Dashboard!$C$4,1,1),0))))</f>
        <v/>
      </c>
      <c r="F8" s="31">
        <f>IF($B8="","",IF(AND(SUMIFS('Rent log'!$D$6:$D$1005,'Rent log'!$C$6:$C$1005,$B8,'Rent log'!$H$6:$H$1005,"&gt;="&amp;DATE(Dashboard!$C$4,2,1),'Rent log'!$H$6:$H$1005,"&lt;="&amp;EOMONTH(DATE(Dashboard!$C$4,2,1),0))=0,DATE(Dashboard!$C$4,2,1)&gt;TODAY()),"",SUMIFS('Rent log'!$D$6:$D$1005,'Rent log'!$C$6:$C$1005,$B8,'Rent log'!$H$6:$H$1005,"&gt;="&amp;DATE(Dashboard!$C$4,2,1),'Rent log'!$H$6:$H$1005,"&lt;="&amp;EOMONTH(DATE(Dashboard!$C$4,2,1),0))))</f>
        <v/>
      </c>
      <c r="G8" s="31">
        <f>IF($B8="","",IF(AND(SUMIFS('Rent log'!$D$6:$D$1005,'Rent log'!$C$6:$C$1005,$B8,'Rent log'!$H$6:$H$1005,"&gt;="&amp;DATE(Dashboard!$C$4,3,1),'Rent log'!$H$6:$H$1005,"&lt;="&amp;EOMONTH(DATE(Dashboard!$C$4,3,1),0))=0,DATE(Dashboard!$C$4,3,1)&gt;TODAY()),"",SUMIFS('Rent log'!$D$6:$D$1005,'Rent log'!$C$6:$C$1005,$B8,'Rent log'!$H$6:$H$1005,"&gt;="&amp;DATE(Dashboard!$C$4,3,1),'Rent log'!$H$6:$H$1005,"&lt;="&amp;EOMONTH(DATE(Dashboard!$C$4,3,1),0))))</f>
        <v/>
      </c>
      <c r="H8" s="31">
        <f>IF($B8="","",IF(AND(SUMIFS('Rent log'!$D$6:$D$1005,'Rent log'!$C$6:$C$1005,$B8,'Rent log'!$H$6:$H$1005,"&gt;="&amp;DATE(Dashboard!$C$4,4,1),'Rent log'!$H$6:$H$1005,"&lt;="&amp;EOMONTH(DATE(Dashboard!$C$4,4,1),0))=0,DATE(Dashboard!$C$4,4,1)&gt;TODAY()),"",SUMIFS('Rent log'!$D$6:$D$1005,'Rent log'!$C$6:$C$1005,$B8,'Rent log'!$H$6:$H$1005,"&gt;="&amp;DATE(Dashboard!$C$4,4,1),'Rent log'!$H$6:$H$1005,"&lt;="&amp;EOMONTH(DATE(Dashboard!$C$4,4,1),0))))</f>
        <v/>
      </c>
      <c r="I8" s="31">
        <f>IF($B8="","",IF(AND(SUMIFS('Rent log'!$D$6:$D$1005,'Rent log'!$C$6:$C$1005,$B8,'Rent log'!$H$6:$H$1005,"&gt;="&amp;DATE(Dashboard!$C$4,5,1),'Rent log'!$H$6:$H$1005,"&lt;="&amp;EOMONTH(DATE(Dashboard!$C$4,5,1),0))=0,DATE(Dashboard!$C$4,5,1)&gt;TODAY()),"",SUMIFS('Rent log'!$D$6:$D$1005,'Rent log'!$C$6:$C$1005,$B8,'Rent log'!$H$6:$H$1005,"&gt;="&amp;DATE(Dashboard!$C$4,5,1),'Rent log'!$H$6:$H$1005,"&lt;="&amp;EOMONTH(DATE(Dashboard!$C$4,5,1),0))))</f>
        <v/>
      </c>
      <c r="J8" s="31">
        <f>IF($B8="","",IF(AND(SUMIFS('Rent log'!$D$6:$D$1005,'Rent log'!$C$6:$C$1005,$B8,'Rent log'!$H$6:$H$1005,"&gt;="&amp;DATE(Dashboard!$C$4,6,1),'Rent log'!$H$6:$H$1005,"&lt;="&amp;EOMONTH(DATE(Dashboard!$C$4,6,1),0))=0,DATE(Dashboard!$C$4,6,1)&gt;TODAY()),"",SUMIFS('Rent log'!$D$6:$D$1005,'Rent log'!$C$6:$C$1005,$B8,'Rent log'!$H$6:$H$1005,"&gt;="&amp;DATE(Dashboard!$C$4,6,1),'Rent log'!$H$6:$H$1005,"&lt;="&amp;EOMONTH(DATE(Dashboard!$C$4,6,1),0))))</f>
        <v/>
      </c>
      <c r="K8" s="31">
        <f>IF($B8="","",IF(AND(SUMIFS('Rent log'!$D$6:$D$1005,'Rent log'!$C$6:$C$1005,$B8,'Rent log'!$H$6:$H$1005,"&gt;="&amp;DATE(Dashboard!$C$4,7,1),'Rent log'!$H$6:$H$1005,"&lt;="&amp;EOMONTH(DATE(Dashboard!$C$4,7,1),0))=0,DATE(Dashboard!$C$4,7,1)&gt;TODAY()),"",SUMIFS('Rent log'!$D$6:$D$1005,'Rent log'!$C$6:$C$1005,$B8,'Rent log'!$H$6:$H$1005,"&gt;="&amp;DATE(Dashboard!$C$4,7,1),'Rent log'!$H$6:$H$1005,"&lt;="&amp;EOMONTH(DATE(Dashboard!$C$4,7,1),0))))</f>
        <v/>
      </c>
      <c r="L8" s="31">
        <f>IF($B8="","",IF(AND(SUMIFS('Rent log'!$D$6:$D$1005,'Rent log'!$C$6:$C$1005,$B8,'Rent log'!$H$6:$H$1005,"&gt;="&amp;DATE(Dashboard!$C$4,8,1),'Rent log'!$H$6:$H$1005,"&lt;="&amp;EOMONTH(DATE(Dashboard!$C$4,8,1),0))=0,DATE(Dashboard!$C$4,8,1)&gt;TODAY()),"",SUMIFS('Rent log'!$D$6:$D$1005,'Rent log'!$C$6:$C$1005,$B8,'Rent log'!$H$6:$H$1005,"&gt;="&amp;DATE(Dashboard!$C$4,8,1),'Rent log'!$H$6:$H$1005,"&lt;="&amp;EOMONTH(DATE(Dashboard!$C$4,8,1),0))))</f>
        <v/>
      </c>
      <c r="M8" s="31">
        <f>IF($B8="","",IF(AND(SUMIFS('Rent log'!$D$6:$D$1005,'Rent log'!$C$6:$C$1005,$B8,'Rent log'!$H$6:$H$1005,"&gt;="&amp;DATE(Dashboard!$C$4,9,1),'Rent log'!$H$6:$H$1005,"&lt;="&amp;EOMONTH(DATE(Dashboard!$C$4,9,1),0))=0,DATE(Dashboard!$C$4,9,1)&gt;TODAY()),"",SUMIFS('Rent log'!$D$6:$D$1005,'Rent log'!$C$6:$C$1005,$B8,'Rent log'!$H$6:$H$1005,"&gt;="&amp;DATE(Dashboard!$C$4,9,1),'Rent log'!$H$6:$H$1005,"&lt;="&amp;EOMONTH(DATE(Dashboard!$C$4,9,1),0))))</f>
        <v/>
      </c>
      <c r="N8" s="31">
        <f>IF($B8="","",IF(AND(SUMIFS('Rent log'!$D$6:$D$1005,'Rent log'!$C$6:$C$1005,$B8,'Rent log'!$H$6:$H$1005,"&gt;="&amp;DATE(Dashboard!$C$4,10,1),'Rent log'!$H$6:$H$1005,"&lt;="&amp;EOMONTH(DATE(Dashboard!$C$4,10,1),0))=0,DATE(Dashboard!$C$4,10,1)&gt;TODAY()),"",SUMIFS('Rent log'!$D$6:$D$1005,'Rent log'!$C$6:$C$1005,$B8,'Rent log'!$H$6:$H$1005,"&gt;="&amp;DATE(Dashboard!$C$4,10,1),'Rent log'!$H$6:$H$1005,"&lt;="&amp;EOMONTH(DATE(Dashboard!$C$4,10,1),0))))</f>
        <v/>
      </c>
      <c r="O8" s="31">
        <f>IF($B8="","",IF(AND(SUMIFS('Rent log'!$D$6:$D$1005,'Rent log'!$C$6:$C$1005,$B8,'Rent log'!$H$6:$H$1005,"&gt;="&amp;DATE(Dashboard!$C$4,11,1),'Rent log'!$H$6:$H$1005,"&lt;="&amp;EOMONTH(DATE(Dashboard!$C$4,11,1),0))=0,DATE(Dashboard!$C$4,11,1)&gt;TODAY()),"",SUMIFS('Rent log'!$D$6:$D$1005,'Rent log'!$C$6:$C$1005,$B8,'Rent log'!$H$6:$H$1005,"&gt;="&amp;DATE(Dashboard!$C$4,11,1),'Rent log'!$H$6:$H$1005,"&lt;="&amp;EOMONTH(DATE(Dashboard!$C$4,11,1),0))))</f>
        <v/>
      </c>
      <c r="P8" s="31">
        <f>IF($B8="","",IF(AND(SUMIFS('Rent log'!$D$6:$D$1005,'Rent log'!$C$6:$C$1005,$B8,'Rent log'!$H$6:$H$1005,"&gt;="&amp;DATE(Dashboard!$C$4,12,1),'Rent log'!$H$6:$H$1005,"&lt;="&amp;EOMONTH(DATE(Dashboard!$C$4,12,1),0))=0,DATE(Dashboard!$C$4,12,1)&gt;TODAY()),"",SUMIFS('Rent log'!$D$6:$D$1005,'Rent log'!$C$6:$C$1005,$B8,'Rent log'!$H$6:$H$1005,"&gt;="&amp;DATE(Dashboard!$C$4,12,1),'Rent log'!$H$6:$H$1005,"&lt;="&amp;EOMONTH(DATE(Dashboard!$C$4,12,1),0))))</f>
        <v/>
      </c>
      <c r="Q8" s="22">
        <f>IF(B8="","",SUM(E8:P8))</f>
        <v/>
      </c>
      <c r="R8" s="22">
        <f>IF(B8="","",SUM(AF8:AQ8))</f>
        <v/>
      </c>
      <c r="S8" s="30">
        <f>IF(B8="","",IF(Dashboard!$C$4&lt;&gt;YEAR(TODAY()),"",IF(INDEX(T8:AE8,MONTH(TODAY()))=0,"No rent due",IF(N(INDEX(E8:P8,MONTH(TODAY())))&gt;=INDEX(T8:AE8,MONTH(TODAY())),"Paid",IF(TODAY()&gt;DATE(YEAR(TODAY()),MONTH(TODAY()),MIN(N(Units!$F8)+(N(Units!$F8)=0),DAY(EOMONTH(TODAY(),0))))+N(Units!$G8),"Late: "&amp;FIXED(INDEX(T8:AE8,MONTH(TODAY()))-N(INDEX(E8:P8,MONTH(TODAY()))),2)&amp;" owed",IF(N(INDEX(E8:P8,MONTH(TODAY())))&gt;0,"Part paid: "&amp;FIXED(INDEX(T8:AE8,MONTH(TODAY()))-N(INDEX(E8:P8,MONTH(TODAY()))),2)&amp;" left","Due on the "&amp;MIN(N(Units!$F8)+(N(Units!$F8)=0),DAY(EOMONTH(TODAY(),0)))&amp;IF(AND(MIN(N(Units!$F8)+(N(Units!$F8)=0),DAY(EOMONTH(TODAY(),0)))&gt;=11,MIN(N(Units!$F8)+(N(Units!$F8)=0),DAY(EOMONTH(TODAY(),0)))&lt;=13),"th",IF(MOD(MIN(N(Units!$F8)+(N(Units!$F8)=0),DAY(EOMONTH(TODAY(),0))),10)=1,"st",IF(MOD(MIN(N(Units!$F8)+(N(Units!$F8)=0),DAY(EOMONTH(TODAY(),0))),10)=2,"nd",IF(MOD(MIN(N(Units!$F8)+(N(Units!$F8)=0),DAY(EOMONTH(TODAY(),0))),10)=3,"rd","th"))))))))))</f>
        <v/>
      </c>
      <c r="T8" s="1">
        <f>IF($B8="",0,IF(AND(OR(Units!$H8="",Units!$H8&lt;=EOMONTH(DATE(Dashboard!$C$4,1,1),0)),OR(Units!$I8="",Units!$I8&gt;=DATE(Dashboard!$C$4,1,1))),N(Units!$E8),0))</f>
        <v/>
      </c>
      <c r="U8">
        <f>IF($B8="",0,IF(AND(OR(Units!$H8="",Units!$H8&lt;=EOMONTH(DATE(Dashboard!$C$4,2,1),0)),OR(Units!$I8="",Units!$I8&gt;=DATE(Dashboard!$C$4,2,1))),N(Units!$E8),0))</f>
        <v/>
      </c>
      <c r="V8">
        <f>IF($B8="",0,IF(AND(OR(Units!$H8="",Units!$H8&lt;=EOMONTH(DATE(Dashboard!$C$4,3,1),0)),OR(Units!$I8="",Units!$I8&gt;=DATE(Dashboard!$C$4,3,1))),N(Units!$E8),0))</f>
        <v/>
      </c>
      <c r="W8">
        <f>IF($B8="",0,IF(AND(OR(Units!$H8="",Units!$H8&lt;=EOMONTH(DATE(Dashboard!$C$4,4,1),0)),OR(Units!$I8="",Units!$I8&gt;=DATE(Dashboard!$C$4,4,1))),N(Units!$E8),0))</f>
        <v/>
      </c>
      <c r="X8">
        <f>IF($B8="",0,IF(AND(OR(Units!$H8="",Units!$H8&lt;=EOMONTH(DATE(Dashboard!$C$4,5,1),0)),OR(Units!$I8="",Units!$I8&gt;=DATE(Dashboard!$C$4,5,1))),N(Units!$E8),0))</f>
        <v/>
      </c>
      <c r="Y8">
        <f>IF($B8="",0,IF(AND(OR(Units!$H8="",Units!$H8&lt;=EOMONTH(DATE(Dashboard!$C$4,6,1),0)),OR(Units!$I8="",Units!$I8&gt;=DATE(Dashboard!$C$4,6,1))),N(Units!$E8),0))</f>
        <v/>
      </c>
      <c r="Z8">
        <f>IF($B8="",0,IF(AND(OR(Units!$H8="",Units!$H8&lt;=EOMONTH(DATE(Dashboard!$C$4,7,1),0)),OR(Units!$I8="",Units!$I8&gt;=DATE(Dashboard!$C$4,7,1))),N(Units!$E8),0))</f>
        <v/>
      </c>
      <c r="AA8">
        <f>IF($B8="",0,IF(AND(OR(Units!$H8="",Units!$H8&lt;=EOMONTH(DATE(Dashboard!$C$4,8,1),0)),OR(Units!$I8="",Units!$I8&gt;=DATE(Dashboard!$C$4,8,1))),N(Units!$E8),0))</f>
        <v/>
      </c>
      <c r="AB8">
        <f>IF($B8="",0,IF(AND(OR(Units!$H8="",Units!$H8&lt;=EOMONTH(DATE(Dashboard!$C$4,9,1),0)),OR(Units!$I8="",Units!$I8&gt;=DATE(Dashboard!$C$4,9,1))),N(Units!$E8),0))</f>
        <v/>
      </c>
      <c r="AC8">
        <f>IF($B8="",0,IF(AND(OR(Units!$H8="",Units!$H8&lt;=EOMONTH(DATE(Dashboard!$C$4,10,1),0)),OR(Units!$I8="",Units!$I8&gt;=DATE(Dashboard!$C$4,10,1))),N(Units!$E8),0))</f>
        <v/>
      </c>
      <c r="AD8">
        <f>IF($B8="",0,IF(AND(OR(Units!$H8="",Units!$H8&lt;=EOMONTH(DATE(Dashboard!$C$4,11,1),0)),OR(Units!$I8="",Units!$I8&gt;=DATE(Dashboard!$C$4,11,1))),N(Units!$E8),0))</f>
        <v/>
      </c>
      <c r="AE8">
        <f>IF($B8="",0,IF(AND(OR(Units!$H8="",Units!$H8&lt;=EOMONTH(DATE(Dashboard!$C$4,12,1),0)),OR(Units!$I8="",Units!$I8&gt;=DATE(Dashboard!$C$4,12,1))),N(Units!$E8),0))</f>
        <v/>
      </c>
      <c r="AF8">
        <f>IF(AND(T8&gt;0,DATE(Dashboard!$C$4,1,MIN(N(Units!$F8)+(N(Units!$F8)=0),DAY(EOMONTH(DATE(Dashboard!$C$4,1,1),0))))+N(Units!$G8)&lt;TODAY()),MAX(0,T8-N(E8)),0)</f>
        <v/>
      </c>
      <c r="AG8">
        <f>IF(AND(U8&gt;0,DATE(Dashboard!$C$4,2,MIN(N(Units!$F8)+(N(Units!$F8)=0),DAY(EOMONTH(DATE(Dashboard!$C$4,2,1),0))))+N(Units!$G8)&lt;TODAY()),MAX(0,U8-N(F8)),0)</f>
        <v/>
      </c>
      <c r="AH8">
        <f>IF(AND(V8&gt;0,DATE(Dashboard!$C$4,3,MIN(N(Units!$F8)+(N(Units!$F8)=0),DAY(EOMONTH(DATE(Dashboard!$C$4,3,1),0))))+N(Units!$G8)&lt;TODAY()),MAX(0,V8-N(G8)),0)</f>
        <v/>
      </c>
      <c r="AI8">
        <f>IF(AND(W8&gt;0,DATE(Dashboard!$C$4,4,MIN(N(Units!$F8)+(N(Units!$F8)=0),DAY(EOMONTH(DATE(Dashboard!$C$4,4,1),0))))+N(Units!$G8)&lt;TODAY()),MAX(0,W8-N(H8)),0)</f>
        <v/>
      </c>
      <c r="AJ8">
        <f>IF(AND(X8&gt;0,DATE(Dashboard!$C$4,5,MIN(N(Units!$F8)+(N(Units!$F8)=0),DAY(EOMONTH(DATE(Dashboard!$C$4,5,1),0))))+N(Units!$G8)&lt;TODAY()),MAX(0,X8-N(I8)),0)</f>
        <v/>
      </c>
      <c r="AK8">
        <f>IF(AND(Y8&gt;0,DATE(Dashboard!$C$4,6,MIN(N(Units!$F8)+(N(Units!$F8)=0),DAY(EOMONTH(DATE(Dashboard!$C$4,6,1),0))))+N(Units!$G8)&lt;TODAY()),MAX(0,Y8-N(J8)),0)</f>
        <v/>
      </c>
      <c r="AL8">
        <f>IF(AND(Z8&gt;0,DATE(Dashboard!$C$4,7,MIN(N(Units!$F8)+(N(Units!$F8)=0),DAY(EOMONTH(DATE(Dashboard!$C$4,7,1),0))))+N(Units!$G8)&lt;TODAY()),MAX(0,Z8-N(K8)),0)</f>
        <v/>
      </c>
      <c r="AM8">
        <f>IF(AND(AA8&gt;0,DATE(Dashboard!$C$4,8,MIN(N(Units!$F8)+(N(Units!$F8)=0),DAY(EOMONTH(DATE(Dashboard!$C$4,8,1),0))))+N(Units!$G8)&lt;TODAY()),MAX(0,AA8-N(L8)),0)</f>
        <v/>
      </c>
      <c r="AN8">
        <f>IF(AND(AB8&gt;0,DATE(Dashboard!$C$4,9,MIN(N(Units!$F8)+(N(Units!$F8)=0),DAY(EOMONTH(DATE(Dashboard!$C$4,9,1),0))))+N(Units!$G8)&lt;TODAY()),MAX(0,AB8-N(M8)),0)</f>
        <v/>
      </c>
      <c r="AO8">
        <f>IF(AND(AC8&gt;0,DATE(Dashboard!$C$4,10,MIN(N(Units!$F8)+(N(Units!$F8)=0),DAY(EOMONTH(DATE(Dashboard!$C$4,10,1),0))))+N(Units!$G8)&lt;TODAY()),MAX(0,AC8-N(N8)),0)</f>
        <v/>
      </c>
      <c r="AP8">
        <f>IF(AND(AD8&gt;0,DATE(Dashboard!$C$4,11,MIN(N(Units!$F8)+(N(Units!$F8)=0),DAY(EOMONTH(DATE(Dashboard!$C$4,11,1),0))))+N(Units!$G8)&lt;TODAY()),MAX(0,AD8-N(O8)),0)</f>
        <v/>
      </c>
      <c r="AQ8">
        <f>IF(AND(AE8&gt;0,DATE(Dashboard!$C$4,12,MIN(N(Units!$F8)+(N(Units!$F8)=0),DAY(EOMONTH(DATE(Dashboard!$C$4,12,1),0))))+N(Units!$G8)&lt;TODAY()),MAX(0,AE8-N(P8)),0)</f>
        <v/>
      </c>
      <c r="AR8">
        <f>IF(B8="","",Units!C8)</f>
        <v/>
      </c>
    </row>
    <row r="9">
      <c r="A9" s="1" t="n"/>
      <c r="B9" s="20">
        <f>IF(Units!B9="","",Units!B9)</f>
        <v/>
      </c>
      <c r="C9" s="30">
        <f>IF(B9="","",Units!D9)</f>
        <v/>
      </c>
      <c r="D9" s="14">
        <f>IF(B9="","",Units!E9)</f>
        <v/>
      </c>
      <c r="E9" s="31">
        <f>IF($B9="","",IF(AND(SUMIFS('Rent log'!$D$6:$D$1005,'Rent log'!$C$6:$C$1005,$B9,'Rent log'!$H$6:$H$1005,"&gt;="&amp;DATE(Dashboard!$C$4,1,1),'Rent log'!$H$6:$H$1005,"&lt;="&amp;EOMONTH(DATE(Dashboard!$C$4,1,1),0))=0,DATE(Dashboard!$C$4,1,1)&gt;TODAY()),"",SUMIFS('Rent log'!$D$6:$D$1005,'Rent log'!$C$6:$C$1005,$B9,'Rent log'!$H$6:$H$1005,"&gt;="&amp;DATE(Dashboard!$C$4,1,1),'Rent log'!$H$6:$H$1005,"&lt;="&amp;EOMONTH(DATE(Dashboard!$C$4,1,1),0))))</f>
        <v/>
      </c>
      <c r="F9" s="31">
        <f>IF($B9="","",IF(AND(SUMIFS('Rent log'!$D$6:$D$1005,'Rent log'!$C$6:$C$1005,$B9,'Rent log'!$H$6:$H$1005,"&gt;="&amp;DATE(Dashboard!$C$4,2,1),'Rent log'!$H$6:$H$1005,"&lt;="&amp;EOMONTH(DATE(Dashboard!$C$4,2,1),0))=0,DATE(Dashboard!$C$4,2,1)&gt;TODAY()),"",SUMIFS('Rent log'!$D$6:$D$1005,'Rent log'!$C$6:$C$1005,$B9,'Rent log'!$H$6:$H$1005,"&gt;="&amp;DATE(Dashboard!$C$4,2,1),'Rent log'!$H$6:$H$1005,"&lt;="&amp;EOMONTH(DATE(Dashboard!$C$4,2,1),0))))</f>
        <v/>
      </c>
      <c r="G9" s="31">
        <f>IF($B9="","",IF(AND(SUMIFS('Rent log'!$D$6:$D$1005,'Rent log'!$C$6:$C$1005,$B9,'Rent log'!$H$6:$H$1005,"&gt;="&amp;DATE(Dashboard!$C$4,3,1),'Rent log'!$H$6:$H$1005,"&lt;="&amp;EOMONTH(DATE(Dashboard!$C$4,3,1),0))=0,DATE(Dashboard!$C$4,3,1)&gt;TODAY()),"",SUMIFS('Rent log'!$D$6:$D$1005,'Rent log'!$C$6:$C$1005,$B9,'Rent log'!$H$6:$H$1005,"&gt;="&amp;DATE(Dashboard!$C$4,3,1),'Rent log'!$H$6:$H$1005,"&lt;="&amp;EOMONTH(DATE(Dashboard!$C$4,3,1),0))))</f>
        <v/>
      </c>
      <c r="H9" s="31">
        <f>IF($B9="","",IF(AND(SUMIFS('Rent log'!$D$6:$D$1005,'Rent log'!$C$6:$C$1005,$B9,'Rent log'!$H$6:$H$1005,"&gt;="&amp;DATE(Dashboard!$C$4,4,1),'Rent log'!$H$6:$H$1005,"&lt;="&amp;EOMONTH(DATE(Dashboard!$C$4,4,1),0))=0,DATE(Dashboard!$C$4,4,1)&gt;TODAY()),"",SUMIFS('Rent log'!$D$6:$D$1005,'Rent log'!$C$6:$C$1005,$B9,'Rent log'!$H$6:$H$1005,"&gt;="&amp;DATE(Dashboard!$C$4,4,1),'Rent log'!$H$6:$H$1005,"&lt;="&amp;EOMONTH(DATE(Dashboard!$C$4,4,1),0))))</f>
        <v/>
      </c>
      <c r="I9" s="31">
        <f>IF($B9="","",IF(AND(SUMIFS('Rent log'!$D$6:$D$1005,'Rent log'!$C$6:$C$1005,$B9,'Rent log'!$H$6:$H$1005,"&gt;="&amp;DATE(Dashboard!$C$4,5,1),'Rent log'!$H$6:$H$1005,"&lt;="&amp;EOMONTH(DATE(Dashboard!$C$4,5,1),0))=0,DATE(Dashboard!$C$4,5,1)&gt;TODAY()),"",SUMIFS('Rent log'!$D$6:$D$1005,'Rent log'!$C$6:$C$1005,$B9,'Rent log'!$H$6:$H$1005,"&gt;="&amp;DATE(Dashboard!$C$4,5,1),'Rent log'!$H$6:$H$1005,"&lt;="&amp;EOMONTH(DATE(Dashboard!$C$4,5,1),0))))</f>
        <v/>
      </c>
      <c r="J9" s="31">
        <f>IF($B9="","",IF(AND(SUMIFS('Rent log'!$D$6:$D$1005,'Rent log'!$C$6:$C$1005,$B9,'Rent log'!$H$6:$H$1005,"&gt;="&amp;DATE(Dashboard!$C$4,6,1),'Rent log'!$H$6:$H$1005,"&lt;="&amp;EOMONTH(DATE(Dashboard!$C$4,6,1),0))=0,DATE(Dashboard!$C$4,6,1)&gt;TODAY()),"",SUMIFS('Rent log'!$D$6:$D$1005,'Rent log'!$C$6:$C$1005,$B9,'Rent log'!$H$6:$H$1005,"&gt;="&amp;DATE(Dashboard!$C$4,6,1),'Rent log'!$H$6:$H$1005,"&lt;="&amp;EOMONTH(DATE(Dashboard!$C$4,6,1),0))))</f>
        <v/>
      </c>
      <c r="K9" s="31">
        <f>IF($B9="","",IF(AND(SUMIFS('Rent log'!$D$6:$D$1005,'Rent log'!$C$6:$C$1005,$B9,'Rent log'!$H$6:$H$1005,"&gt;="&amp;DATE(Dashboard!$C$4,7,1),'Rent log'!$H$6:$H$1005,"&lt;="&amp;EOMONTH(DATE(Dashboard!$C$4,7,1),0))=0,DATE(Dashboard!$C$4,7,1)&gt;TODAY()),"",SUMIFS('Rent log'!$D$6:$D$1005,'Rent log'!$C$6:$C$1005,$B9,'Rent log'!$H$6:$H$1005,"&gt;="&amp;DATE(Dashboard!$C$4,7,1),'Rent log'!$H$6:$H$1005,"&lt;="&amp;EOMONTH(DATE(Dashboard!$C$4,7,1),0))))</f>
        <v/>
      </c>
      <c r="L9" s="31">
        <f>IF($B9="","",IF(AND(SUMIFS('Rent log'!$D$6:$D$1005,'Rent log'!$C$6:$C$1005,$B9,'Rent log'!$H$6:$H$1005,"&gt;="&amp;DATE(Dashboard!$C$4,8,1),'Rent log'!$H$6:$H$1005,"&lt;="&amp;EOMONTH(DATE(Dashboard!$C$4,8,1),0))=0,DATE(Dashboard!$C$4,8,1)&gt;TODAY()),"",SUMIFS('Rent log'!$D$6:$D$1005,'Rent log'!$C$6:$C$1005,$B9,'Rent log'!$H$6:$H$1005,"&gt;="&amp;DATE(Dashboard!$C$4,8,1),'Rent log'!$H$6:$H$1005,"&lt;="&amp;EOMONTH(DATE(Dashboard!$C$4,8,1),0))))</f>
        <v/>
      </c>
      <c r="M9" s="31">
        <f>IF($B9="","",IF(AND(SUMIFS('Rent log'!$D$6:$D$1005,'Rent log'!$C$6:$C$1005,$B9,'Rent log'!$H$6:$H$1005,"&gt;="&amp;DATE(Dashboard!$C$4,9,1),'Rent log'!$H$6:$H$1005,"&lt;="&amp;EOMONTH(DATE(Dashboard!$C$4,9,1),0))=0,DATE(Dashboard!$C$4,9,1)&gt;TODAY()),"",SUMIFS('Rent log'!$D$6:$D$1005,'Rent log'!$C$6:$C$1005,$B9,'Rent log'!$H$6:$H$1005,"&gt;="&amp;DATE(Dashboard!$C$4,9,1),'Rent log'!$H$6:$H$1005,"&lt;="&amp;EOMONTH(DATE(Dashboard!$C$4,9,1),0))))</f>
        <v/>
      </c>
      <c r="N9" s="31">
        <f>IF($B9="","",IF(AND(SUMIFS('Rent log'!$D$6:$D$1005,'Rent log'!$C$6:$C$1005,$B9,'Rent log'!$H$6:$H$1005,"&gt;="&amp;DATE(Dashboard!$C$4,10,1),'Rent log'!$H$6:$H$1005,"&lt;="&amp;EOMONTH(DATE(Dashboard!$C$4,10,1),0))=0,DATE(Dashboard!$C$4,10,1)&gt;TODAY()),"",SUMIFS('Rent log'!$D$6:$D$1005,'Rent log'!$C$6:$C$1005,$B9,'Rent log'!$H$6:$H$1005,"&gt;="&amp;DATE(Dashboard!$C$4,10,1),'Rent log'!$H$6:$H$1005,"&lt;="&amp;EOMONTH(DATE(Dashboard!$C$4,10,1),0))))</f>
        <v/>
      </c>
      <c r="O9" s="31">
        <f>IF($B9="","",IF(AND(SUMIFS('Rent log'!$D$6:$D$1005,'Rent log'!$C$6:$C$1005,$B9,'Rent log'!$H$6:$H$1005,"&gt;="&amp;DATE(Dashboard!$C$4,11,1),'Rent log'!$H$6:$H$1005,"&lt;="&amp;EOMONTH(DATE(Dashboard!$C$4,11,1),0))=0,DATE(Dashboard!$C$4,11,1)&gt;TODAY()),"",SUMIFS('Rent log'!$D$6:$D$1005,'Rent log'!$C$6:$C$1005,$B9,'Rent log'!$H$6:$H$1005,"&gt;="&amp;DATE(Dashboard!$C$4,11,1),'Rent log'!$H$6:$H$1005,"&lt;="&amp;EOMONTH(DATE(Dashboard!$C$4,11,1),0))))</f>
        <v/>
      </c>
      <c r="P9" s="31">
        <f>IF($B9="","",IF(AND(SUMIFS('Rent log'!$D$6:$D$1005,'Rent log'!$C$6:$C$1005,$B9,'Rent log'!$H$6:$H$1005,"&gt;="&amp;DATE(Dashboard!$C$4,12,1),'Rent log'!$H$6:$H$1005,"&lt;="&amp;EOMONTH(DATE(Dashboard!$C$4,12,1),0))=0,DATE(Dashboard!$C$4,12,1)&gt;TODAY()),"",SUMIFS('Rent log'!$D$6:$D$1005,'Rent log'!$C$6:$C$1005,$B9,'Rent log'!$H$6:$H$1005,"&gt;="&amp;DATE(Dashboard!$C$4,12,1),'Rent log'!$H$6:$H$1005,"&lt;="&amp;EOMONTH(DATE(Dashboard!$C$4,12,1),0))))</f>
        <v/>
      </c>
      <c r="Q9" s="22">
        <f>IF(B9="","",SUM(E9:P9))</f>
        <v/>
      </c>
      <c r="R9" s="22">
        <f>IF(B9="","",SUM(AF9:AQ9))</f>
        <v/>
      </c>
      <c r="S9" s="30">
        <f>IF(B9="","",IF(Dashboard!$C$4&lt;&gt;YEAR(TODAY()),"",IF(INDEX(T9:AE9,MONTH(TODAY()))=0,"No rent due",IF(N(INDEX(E9:P9,MONTH(TODAY())))&gt;=INDEX(T9:AE9,MONTH(TODAY())),"Paid",IF(TODAY()&gt;DATE(YEAR(TODAY()),MONTH(TODAY()),MIN(N(Units!$F9)+(N(Units!$F9)=0),DAY(EOMONTH(TODAY(),0))))+N(Units!$G9),"Late: "&amp;FIXED(INDEX(T9:AE9,MONTH(TODAY()))-N(INDEX(E9:P9,MONTH(TODAY()))),2)&amp;" owed",IF(N(INDEX(E9:P9,MONTH(TODAY())))&gt;0,"Part paid: "&amp;FIXED(INDEX(T9:AE9,MONTH(TODAY()))-N(INDEX(E9:P9,MONTH(TODAY()))),2)&amp;" left","Due on the "&amp;MIN(N(Units!$F9)+(N(Units!$F9)=0),DAY(EOMONTH(TODAY(),0)))&amp;IF(AND(MIN(N(Units!$F9)+(N(Units!$F9)=0),DAY(EOMONTH(TODAY(),0)))&gt;=11,MIN(N(Units!$F9)+(N(Units!$F9)=0),DAY(EOMONTH(TODAY(),0)))&lt;=13),"th",IF(MOD(MIN(N(Units!$F9)+(N(Units!$F9)=0),DAY(EOMONTH(TODAY(),0))),10)=1,"st",IF(MOD(MIN(N(Units!$F9)+(N(Units!$F9)=0),DAY(EOMONTH(TODAY(),0))),10)=2,"nd",IF(MOD(MIN(N(Units!$F9)+(N(Units!$F9)=0),DAY(EOMONTH(TODAY(),0))),10)=3,"rd","th"))))))))))</f>
        <v/>
      </c>
      <c r="T9" s="1">
        <f>IF($B9="",0,IF(AND(OR(Units!$H9="",Units!$H9&lt;=EOMONTH(DATE(Dashboard!$C$4,1,1),0)),OR(Units!$I9="",Units!$I9&gt;=DATE(Dashboard!$C$4,1,1))),N(Units!$E9),0))</f>
        <v/>
      </c>
      <c r="U9">
        <f>IF($B9="",0,IF(AND(OR(Units!$H9="",Units!$H9&lt;=EOMONTH(DATE(Dashboard!$C$4,2,1),0)),OR(Units!$I9="",Units!$I9&gt;=DATE(Dashboard!$C$4,2,1))),N(Units!$E9),0))</f>
        <v/>
      </c>
      <c r="V9">
        <f>IF($B9="",0,IF(AND(OR(Units!$H9="",Units!$H9&lt;=EOMONTH(DATE(Dashboard!$C$4,3,1),0)),OR(Units!$I9="",Units!$I9&gt;=DATE(Dashboard!$C$4,3,1))),N(Units!$E9),0))</f>
        <v/>
      </c>
      <c r="W9">
        <f>IF($B9="",0,IF(AND(OR(Units!$H9="",Units!$H9&lt;=EOMONTH(DATE(Dashboard!$C$4,4,1),0)),OR(Units!$I9="",Units!$I9&gt;=DATE(Dashboard!$C$4,4,1))),N(Units!$E9),0))</f>
        <v/>
      </c>
      <c r="X9">
        <f>IF($B9="",0,IF(AND(OR(Units!$H9="",Units!$H9&lt;=EOMONTH(DATE(Dashboard!$C$4,5,1),0)),OR(Units!$I9="",Units!$I9&gt;=DATE(Dashboard!$C$4,5,1))),N(Units!$E9),0))</f>
        <v/>
      </c>
      <c r="Y9">
        <f>IF($B9="",0,IF(AND(OR(Units!$H9="",Units!$H9&lt;=EOMONTH(DATE(Dashboard!$C$4,6,1),0)),OR(Units!$I9="",Units!$I9&gt;=DATE(Dashboard!$C$4,6,1))),N(Units!$E9),0))</f>
        <v/>
      </c>
      <c r="Z9">
        <f>IF($B9="",0,IF(AND(OR(Units!$H9="",Units!$H9&lt;=EOMONTH(DATE(Dashboard!$C$4,7,1),0)),OR(Units!$I9="",Units!$I9&gt;=DATE(Dashboard!$C$4,7,1))),N(Units!$E9),0))</f>
        <v/>
      </c>
      <c r="AA9">
        <f>IF($B9="",0,IF(AND(OR(Units!$H9="",Units!$H9&lt;=EOMONTH(DATE(Dashboard!$C$4,8,1),0)),OR(Units!$I9="",Units!$I9&gt;=DATE(Dashboard!$C$4,8,1))),N(Units!$E9),0))</f>
        <v/>
      </c>
      <c r="AB9">
        <f>IF($B9="",0,IF(AND(OR(Units!$H9="",Units!$H9&lt;=EOMONTH(DATE(Dashboard!$C$4,9,1),0)),OR(Units!$I9="",Units!$I9&gt;=DATE(Dashboard!$C$4,9,1))),N(Units!$E9),0))</f>
        <v/>
      </c>
      <c r="AC9">
        <f>IF($B9="",0,IF(AND(OR(Units!$H9="",Units!$H9&lt;=EOMONTH(DATE(Dashboard!$C$4,10,1),0)),OR(Units!$I9="",Units!$I9&gt;=DATE(Dashboard!$C$4,10,1))),N(Units!$E9),0))</f>
        <v/>
      </c>
      <c r="AD9">
        <f>IF($B9="",0,IF(AND(OR(Units!$H9="",Units!$H9&lt;=EOMONTH(DATE(Dashboard!$C$4,11,1),0)),OR(Units!$I9="",Units!$I9&gt;=DATE(Dashboard!$C$4,11,1))),N(Units!$E9),0))</f>
        <v/>
      </c>
      <c r="AE9">
        <f>IF($B9="",0,IF(AND(OR(Units!$H9="",Units!$H9&lt;=EOMONTH(DATE(Dashboard!$C$4,12,1),0)),OR(Units!$I9="",Units!$I9&gt;=DATE(Dashboard!$C$4,12,1))),N(Units!$E9),0))</f>
        <v/>
      </c>
      <c r="AF9">
        <f>IF(AND(T9&gt;0,DATE(Dashboard!$C$4,1,MIN(N(Units!$F9)+(N(Units!$F9)=0),DAY(EOMONTH(DATE(Dashboard!$C$4,1,1),0))))+N(Units!$G9)&lt;TODAY()),MAX(0,T9-N(E9)),0)</f>
        <v/>
      </c>
      <c r="AG9">
        <f>IF(AND(U9&gt;0,DATE(Dashboard!$C$4,2,MIN(N(Units!$F9)+(N(Units!$F9)=0),DAY(EOMONTH(DATE(Dashboard!$C$4,2,1),0))))+N(Units!$G9)&lt;TODAY()),MAX(0,U9-N(F9)),0)</f>
        <v/>
      </c>
      <c r="AH9">
        <f>IF(AND(V9&gt;0,DATE(Dashboard!$C$4,3,MIN(N(Units!$F9)+(N(Units!$F9)=0),DAY(EOMONTH(DATE(Dashboard!$C$4,3,1),0))))+N(Units!$G9)&lt;TODAY()),MAX(0,V9-N(G9)),0)</f>
        <v/>
      </c>
      <c r="AI9">
        <f>IF(AND(W9&gt;0,DATE(Dashboard!$C$4,4,MIN(N(Units!$F9)+(N(Units!$F9)=0),DAY(EOMONTH(DATE(Dashboard!$C$4,4,1),0))))+N(Units!$G9)&lt;TODAY()),MAX(0,W9-N(H9)),0)</f>
        <v/>
      </c>
      <c r="AJ9">
        <f>IF(AND(X9&gt;0,DATE(Dashboard!$C$4,5,MIN(N(Units!$F9)+(N(Units!$F9)=0),DAY(EOMONTH(DATE(Dashboard!$C$4,5,1),0))))+N(Units!$G9)&lt;TODAY()),MAX(0,X9-N(I9)),0)</f>
        <v/>
      </c>
      <c r="AK9">
        <f>IF(AND(Y9&gt;0,DATE(Dashboard!$C$4,6,MIN(N(Units!$F9)+(N(Units!$F9)=0),DAY(EOMONTH(DATE(Dashboard!$C$4,6,1),0))))+N(Units!$G9)&lt;TODAY()),MAX(0,Y9-N(J9)),0)</f>
        <v/>
      </c>
      <c r="AL9">
        <f>IF(AND(Z9&gt;0,DATE(Dashboard!$C$4,7,MIN(N(Units!$F9)+(N(Units!$F9)=0),DAY(EOMONTH(DATE(Dashboard!$C$4,7,1),0))))+N(Units!$G9)&lt;TODAY()),MAX(0,Z9-N(K9)),0)</f>
        <v/>
      </c>
      <c r="AM9">
        <f>IF(AND(AA9&gt;0,DATE(Dashboard!$C$4,8,MIN(N(Units!$F9)+(N(Units!$F9)=0),DAY(EOMONTH(DATE(Dashboard!$C$4,8,1),0))))+N(Units!$G9)&lt;TODAY()),MAX(0,AA9-N(L9)),0)</f>
        <v/>
      </c>
      <c r="AN9">
        <f>IF(AND(AB9&gt;0,DATE(Dashboard!$C$4,9,MIN(N(Units!$F9)+(N(Units!$F9)=0),DAY(EOMONTH(DATE(Dashboard!$C$4,9,1),0))))+N(Units!$G9)&lt;TODAY()),MAX(0,AB9-N(M9)),0)</f>
        <v/>
      </c>
      <c r="AO9">
        <f>IF(AND(AC9&gt;0,DATE(Dashboard!$C$4,10,MIN(N(Units!$F9)+(N(Units!$F9)=0),DAY(EOMONTH(DATE(Dashboard!$C$4,10,1),0))))+N(Units!$G9)&lt;TODAY()),MAX(0,AC9-N(N9)),0)</f>
        <v/>
      </c>
      <c r="AP9">
        <f>IF(AND(AD9&gt;0,DATE(Dashboard!$C$4,11,MIN(N(Units!$F9)+(N(Units!$F9)=0),DAY(EOMONTH(DATE(Dashboard!$C$4,11,1),0))))+N(Units!$G9)&lt;TODAY()),MAX(0,AD9-N(O9)),0)</f>
        <v/>
      </c>
      <c r="AQ9">
        <f>IF(AND(AE9&gt;0,DATE(Dashboard!$C$4,12,MIN(N(Units!$F9)+(N(Units!$F9)=0),DAY(EOMONTH(DATE(Dashboard!$C$4,12,1),0))))+N(Units!$G9)&lt;TODAY()),MAX(0,AE9-N(P9)),0)</f>
        <v/>
      </c>
      <c r="AR9">
        <f>IF(B9="","",Units!C9)</f>
        <v/>
      </c>
    </row>
    <row r="10">
      <c r="A10" s="1" t="n"/>
      <c r="B10" s="20">
        <f>IF(Units!B10="","",Units!B10)</f>
        <v/>
      </c>
      <c r="C10" s="30">
        <f>IF(B10="","",Units!D10)</f>
        <v/>
      </c>
      <c r="D10" s="14">
        <f>IF(B10="","",Units!E10)</f>
        <v/>
      </c>
      <c r="E10" s="31">
        <f>IF($B10="","",IF(AND(SUMIFS('Rent log'!$D$6:$D$1005,'Rent log'!$C$6:$C$1005,$B10,'Rent log'!$H$6:$H$1005,"&gt;="&amp;DATE(Dashboard!$C$4,1,1),'Rent log'!$H$6:$H$1005,"&lt;="&amp;EOMONTH(DATE(Dashboard!$C$4,1,1),0))=0,DATE(Dashboard!$C$4,1,1)&gt;TODAY()),"",SUMIFS('Rent log'!$D$6:$D$1005,'Rent log'!$C$6:$C$1005,$B10,'Rent log'!$H$6:$H$1005,"&gt;="&amp;DATE(Dashboard!$C$4,1,1),'Rent log'!$H$6:$H$1005,"&lt;="&amp;EOMONTH(DATE(Dashboard!$C$4,1,1),0))))</f>
        <v/>
      </c>
      <c r="F10" s="31">
        <f>IF($B10="","",IF(AND(SUMIFS('Rent log'!$D$6:$D$1005,'Rent log'!$C$6:$C$1005,$B10,'Rent log'!$H$6:$H$1005,"&gt;="&amp;DATE(Dashboard!$C$4,2,1),'Rent log'!$H$6:$H$1005,"&lt;="&amp;EOMONTH(DATE(Dashboard!$C$4,2,1),0))=0,DATE(Dashboard!$C$4,2,1)&gt;TODAY()),"",SUMIFS('Rent log'!$D$6:$D$1005,'Rent log'!$C$6:$C$1005,$B10,'Rent log'!$H$6:$H$1005,"&gt;="&amp;DATE(Dashboard!$C$4,2,1),'Rent log'!$H$6:$H$1005,"&lt;="&amp;EOMONTH(DATE(Dashboard!$C$4,2,1),0))))</f>
        <v/>
      </c>
      <c r="G10" s="31">
        <f>IF($B10="","",IF(AND(SUMIFS('Rent log'!$D$6:$D$1005,'Rent log'!$C$6:$C$1005,$B10,'Rent log'!$H$6:$H$1005,"&gt;="&amp;DATE(Dashboard!$C$4,3,1),'Rent log'!$H$6:$H$1005,"&lt;="&amp;EOMONTH(DATE(Dashboard!$C$4,3,1),0))=0,DATE(Dashboard!$C$4,3,1)&gt;TODAY()),"",SUMIFS('Rent log'!$D$6:$D$1005,'Rent log'!$C$6:$C$1005,$B10,'Rent log'!$H$6:$H$1005,"&gt;="&amp;DATE(Dashboard!$C$4,3,1),'Rent log'!$H$6:$H$1005,"&lt;="&amp;EOMONTH(DATE(Dashboard!$C$4,3,1),0))))</f>
        <v/>
      </c>
      <c r="H10" s="31">
        <f>IF($B10="","",IF(AND(SUMIFS('Rent log'!$D$6:$D$1005,'Rent log'!$C$6:$C$1005,$B10,'Rent log'!$H$6:$H$1005,"&gt;="&amp;DATE(Dashboard!$C$4,4,1),'Rent log'!$H$6:$H$1005,"&lt;="&amp;EOMONTH(DATE(Dashboard!$C$4,4,1),0))=0,DATE(Dashboard!$C$4,4,1)&gt;TODAY()),"",SUMIFS('Rent log'!$D$6:$D$1005,'Rent log'!$C$6:$C$1005,$B10,'Rent log'!$H$6:$H$1005,"&gt;="&amp;DATE(Dashboard!$C$4,4,1),'Rent log'!$H$6:$H$1005,"&lt;="&amp;EOMONTH(DATE(Dashboard!$C$4,4,1),0))))</f>
        <v/>
      </c>
      <c r="I10" s="31">
        <f>IF($B10="","",IF(AND(SUMIFS('Rent log'!$D$6:$D$1005,'Rent log'!$C$6:$C$1005,$B10,'Rent log'!$H$6:$H$1005,"&gt;="&amp;DATE(Dashboard!$C$4,5,1),'Rent log'!$H$6:$H$1005,"&lt;="&amp;EOMONTH(DATE(Dashboard!$C$4,5,1),0))=0,DATE(Dashboard!$C$4,5,1)&gt;TODAY()),"",SUMIFS('Rent log'!$D$6:$D$1005,'Rent log'!$C$6:$C$1005,$B10,'Rent log'!$H$6:$H$1005,"&gt;="&amp;DATE(Dashboard!$C$4,5,1),'Rent log'!$H$6:$H$1005,"&lt;="&amp;EOMONTH(DATE(Dashboard!$C$4,5,1),0))))</f>
        <v/>
      </c>
      <c r="J10" s="31">
        <f>IF($B10="","",IF(AND(SUMIFS('Rent log'!$D$6:$D$1005,'Rent log'!$C$6:$C$1005,$B10,'Rent log'!$H$6:$H$1005,"&gt;="&amp;DATE(Dashboard!$C$4,6,1),'Rent log'!$H$6:$H$1005,"&lt;="&amp;EOMONTH(DATE(Dashboard!$C$4,6,1),0))=0,DATE(Dashboard!$C$4,6,1)&gt;TODAY()),"",SUMIFS('Rent log'!$D$6:$D$1005,'Rent log'!$C$6:$C$1005,$B10,'Rent log'!$H$6:$H$1005,"&gt;="&amp;DATE(Dashboard!$C$4,6,1),'Rent log'!$H$6:$H$1005,"&lt;="&amp;EOMONTH(DATE(Dashboard!$C$4,6,1),0))))</f>
        <v/>
      </c>
      <c r="K10" s="31">
        <f>IF($B10="","",IF(AND(SUMIFS('Rent log'!$D$6:$D$1005,'Rent log'!$C$6:$C$1005,$B10,'Rent log'!$H$6:$H$1005,"&gt;="&amp;DATE(Dashboard!$C$4,7,1),'Rent log'!$H$6:$H$1005,"&lt;="&amp;EOMONTH(DATE(Dashboard!$C$4,7,1),0))=0,DATE(Dashboard!$C$4,7,1)&gt;TODAY()),"",SUMIFS('Rent log'!$D$6:$D$1005,'Rent log'!$C$6:$C$1005,$B10,'Rent log'!$H$6:$H$1005,"&gt;="&amp;DATE(Dashboard!$C$4,7,1),'Rent log'!$H$6:$H$1005,"&lt;="&amp;EOMONTH(DATE(Dashboard!$C$4,7,1),0))))</f>
        <v/>
      </c>
      <c r="L10" s="31">
        <f>IF($B10="","",IF(AND(SUMIFS('Rent log'!$D$6:$D$1005,'Rent log'!$C$6:$C$1005,$B10,'Rent log'!$H$6:$H$1005,"&gt;="&amp;DATE(Dashboard!$C$4,8,1),'Rent log'!$H$6:$H$1005,"&lt;="&amp;EOMONTH(DATE(Dashboard!$C$4,8,1),0))=0,DATE(Dashboard!$C$4,8,1)&gt;TODAY()),"",SUMIFS('Rent log'!$D$6:$D$1005,'Rent log'!$C$6:$C$1005,$B10,'Rent log'!$H$6:$H$1005,"&gt;="&amp;DATE(Dashboard!$C$4,8,1),'Rent log'!$H$6:$H$1005,"&lt;="&amp;EOMONTH(DATE(Dashboard!$C$4,8,1),0))))</f>
        <v/>
      </c>
      <c r="M10" s="31">
        <f>IF($B10="","",IF(AND(SUMIFS('Rent log'!$D$6:$D$1005,'Rent log'!$C$6:$C$1005,$B10,'Rent log'!$H$6:$H$1005,"&gt;="&amp;DATE(Dashboard!$C$4,9,1),'Rent log'!$H$6:$H$1005,"&lt;="&amp;EOMONTH(DATE(Dashboard!$C$4,9,1),0))=0,DATE(Dashboard!$C$4,9,1)&gt;TODAY()),"",SUMIFS('Rent log'!$D$6:$D$1005,'Rent log'!$C$6:$C$1005,$B10,'Rent log'!$H$6:$H$1005,"&gt;="&amp;DATE(Dashboard!$C$4,9,1),'Rent log'!$H$6:$H$1005,"&lt;="&amp;EOMONTH(DATE(Dashboard!$C$4,9,1),0))))</f>
        <v/>
      </c>
      <c r="N10" s="31">
        <f>IF($B10="","",IF(AND(SUMIFS('Rent log'!$D$6:$D$1005,'Rent log'!$C$6:$C$1005,$B10,'Rent log'!$H$6:$H$1005,"&gt;="&amp;DATE(Dashboard!$C$4,10,1),'Rent log'!$H$6:$H$1005,"&lt;="&amp;EOMONTH(DATE(Dashboard!$C$4,10,1),0))=0,DATE(Dashboard!$C$4,10,1)&gt;TODAY()),"",SUMIFS('Rent log'!$D$6:$D$1005,'Rent log'!$C$6:$C$1005,$B10,'Rent log'!$H$6:$H$1005,"&gt;="&amp;DATE(Dashboard!$C$4,10,1),'Rent log'!$H$6:$H$1005,"&lt;="&amp;EOMONTH(DATE(Dashboard!$C$4,10,1),0))))</f>
        <v/>
      </c>
      <c r="O10" s="31">
        <f>IF($B10="","",IF(AND(SUMIFS('Rent log'!$D$6:$D$1005,'Rent log'!$C$6:$C$1005,$B10,'Rent log'!$H$6:$H$1005,"&gt;="&amp;DATE(Dashboard!$C$4,11,1),'Rent log'!$H$6:$H$1005,"&lt;="&amp;EOMONTH(DATE(Dashboard!$C$4,11,1),0))=0,DATE(Dashboard!$C$4,11,1)&gt;TODAY()),"",SUMIFS('Rent log'!$D$6:$D$1005,'Rent log'!$C$6:$C$1005,$B10,'Rent log'!$H$6:$H$1005,"&gt;="&amp;DATE(Dashboard!$C$4,11,1),'Rent log'!$H$6:$H$1005,"&lt;="&amp;EOMONTH(DATE(Dashboard!$C$4,11,1),0))))</f>
        <v/>
      </c>
      <c r="P10" s="31">
        <f>IF($B10="","",IF(AND(SUMIFS('Rent log'!$D$6:$D$1005,'Rent log'!$C$6:$C$1005,$B10,'Rent log'!$H$6:$H$1005,"&gt;="&amp;DATE(Dashboard!$C$4,12,1),'Rent log'!$H$6:$H$1005,"&lt;="&amp;EOMONTH(DATE(Dashboard!$C$4,12,1),0))=0,DATE(Dashboard!$C$4,12,1)&gt;TODAY()),"",SUMIFS('Rent log'!$D$6:$D$1005,'Rent log'!$C$6:$C$1005,$B10,'Rent log'!$H$6:$H$1005,"&gt;="&amp;DATE(Dashboard!$C$4,12,1),'Rent log'!$H$6:$H$1005,"&lt;="&amp;EOMONTH(DATE(Dashboard!$C$4,12,1),0))))</f>
        <v/>
      </c>
      <c r="Q10" s="22">
        <f>IF(B10="","",SUM(E10:P10))</f>
        <v/>
      </c>
      <c r="R10" s="22">
        <f>IF(B10="","",SUM(AF10:AQ10))</f>
        <v/>
      </c>
      <c r="S10" s="30">
        <f>IF(B10="","",IF(Dashboard!$C$4&lt;&gt;YEAR(TODAY()),"",IF(INDEX(T10:AE10,MONTH(TODAY()))=0,"No rent due",IF(N(INDEX(E10:P10,MONTH(TODAY())))&gt;=INDEX(T10:AE10,MONTH(TODAY())),"Paid",IF(TODAY()&gt;DATE(YEAR(TODAY()),MONTH(TODAY()),MIN(N(Units!$F10)+(N(Units!$F10)=0),DAY(EOMONTH(TODAY(),0))))+N(Units!$G10),"Late: "&amp;FIXED(INDEX(T10:AE10,MONTH(TODAY()))-N(INDEX(E10:P10,MONTH(TODAY()))),2)&amp;" owed",IF(N(INDEX(E10:P10,MONTH(TODAY())))&gt;0,"Part paid: "&amp;FIXED(INDEX(T10:AE10,MONTH(TODAY()))-N(INDEX(E10:P10,MONTH(TODAY()))),2)&amp;" left","Due on the "&amp;MIN(N(Units!$F10)+(N(Units!$F10)=0),DAY(EOMONTH(TODAY(),0)))&amp;IF(AND(MIN(N(Units!$F10)+(N(Units!$F10)=0),DAY(EOMONTH(TODAY(),0)))&gt;=11,MIN(N(Units!$F10)+(N(Units!$F10)=0),DAY(EOMONTH(TODAY(),0)))&lt;=13),"th",IF(MOD(MIN(N(Units!$F10)+(N(Units!$F10)=0),DAY(EOMONTH(TODAY(),0))),10)=1,"st",IF(MOD(MIN(N(Units!$F10)+(N(Units!$F10)=0),DAY(EOMONTH(TODAY(),0))),10)=2,"nd",IF(MOD(MIN(N(Units!$F10)+(N(Units!$F10)=0),DAY(EOMONTH(TODAY(),0))),10)=3,"rd","th"))))))))))</f>
        <v/>
      </c>
      <c r="T10" s="1">
        <f>IF($B10="",0,IF(AND(OR(Units!$H10="",Units!$H10&lt;=EOMONTH(DATE(Dashboard!$C$4,1,1),0)),OR(Units!$I10="",Units!$I10&gt;=DATE(Dashboard!$C$4,1,1))),N(Units!$E10),0))</f>
        <v/>
      </c>
      <c r="U10">
        <f>IF($B10="",0,IF(AND(OR(Units!$H10="",Units!$H10&lt;=EOMONTH(DATE(Dashboard!$C$4,2,1),0)),OR(Units!$I10="",Units!$I10&gt;=DATE(Dashboard!$C$4,2,1))),N(Units!$E10),0))</f>
        <v/>
      </c>
      <c r="V10">
        <f>IF($B10="",0,IF(AND(OR(Units!$H10="",Units!$H10&lt;=EOMONTH(DATE(Dashboard!$C$4,3,1),0)),OR(Units!$I10="",Units!$I10&gt;=DATE(Dashboard!$C$4,3,1))),N(Units!$E10),0))</f>
        <v/>
      </c>
      <c r="W10">
        <f>IF($B10="",0,IF(AND(OR(Units!$H10="",Units!$H10&lt;=EOMONTH(DATE(Dashboard!$C$4,4,1),0)),OR(Units!$I10="",Units!$I10&gt;=DATE(Dashboard!$C$4,4,1))),N(Units!$E10),0))</f>
        <v/>
      </c>
      <c r="X10">
        <f>IF($B10="",0,IF(AND(OR(Units!$H10="",Units!$H10&lt;=EOMONTH(DATE(Dashboard!$C$4,5,1),0)),OR(Units!$I10="",Units!$I10&gt;=DATE(Dashboard!$C$4,5,1))),N(Units!$E10),0))</f>
        <v/>
      </c>
      <c r="Y10">
        <f>IF($B10="",0,IF(AND(OR(Units!$H10="",Units!$H10&lt;=EOMONTH(DATE(Dashboard!$C$4,6,1),0)),OR(Units!$I10="",Units!$I10&gt;=DATE(Dashboard!$C$4,6,1))),N(Units!$E10),0))</f>
        <v/>
      </c>
      <c r="Z10">
        <f>IF($B10="",0,IF(AND(OR(Units!$H10="",Units!$H10&lt;=EOMONTH(DATE(Dashboard!$C$4,7,1),0)),OR(Units!$I10="",Units!$I10&gt;=DATE(Dashboard!$C$4,7,1))),N(Units!$E10),0))</f>
        <v/>
      </c>
      <c r="AA10">
        <f>IF($B10="",0,IF(AND(OR(Units!$H10="",Units!$H10&lt;=EOMONTH(DATE(Dashboard!$C$4,8,1),0)),OR(Units!$I10="",Units!$I10&gt;=DATE(Dashboard!$C$4,8,1))),N(Units!$E10),0))</f>
        <v/>
      </c>
      <c r="AB10">
        <f>IF($B10="",0,IF(AND(OR(Units!$H10="",Units!$H10&lt;=EOMONTH(DATE(Dashboard!$C$4,9,1),0)),OR(Units!$I10="",Units!$I10&gt;=DATE(Dashboard!$C$4,9,1))),N(Units!$E10),0))</f>
        <v/>
      </c>
      <c r="AC10">
        <f>IF($B10="",0,IF(AND(OR(Units!$H10="",Units!$H10&lt;=EOMONTH(DATE(Dashboard!$C$4,10,1),0)),OR(Units!$I10="",Units!$I10&gt;=DATE(Dashboard!$C$4,10,1))),N(Units!$E10),0))</f>
        <v/>
      </c>
      <c r="AD10">
        <f>IF($B10="",0,IF(AND(OR(Units!$H10="",Units!$H10&lt;=EOMONTH(DATE(Dashboard!$C$4,11,1),0)),OR(Units!$I10="",Units!$I10&gt;=DATE(Dashboard!$C$4,11,1))),N(Units!$E10),0))</f>
        <v/>
      </c>
      <c r="AE10">
        <f>IF($B10="",0,IF(AND(OR(Units!$H10="",Units!$H10&lt;=EOMONTH(DATE(Dashboard!$C$4,12,1),0)),OR(Units!$I10="",Units!$I10&gt;=DATE(Dashboard!$C$4,12,1))),N(Units!$E10),0))</f>
        <v/>
      </c>
      <c r="AF10">
        <f>IF(AND(T10&gt;0,DATE(Dashboard!$C$4,1,MIN(N(Units!$F10)+(N(Units!$F10)=0),DAY(EOMONTH(DATE(Dashboard!$C$4,1,1),0))))+N(Units!$G10)&lt;TODAY()),MAX(0,T10-N(E10)),0)</f>
        <v/>
      </c>
      <c r="AG10">
        <f>IF(AND(U10&gt;0,DATE(Dashboard!$C$4,2,MIN(N(Units!$F10)+(N(Units!$F10)=0),DAY(EOMONTH(DATE(Dashboard!$C$4,2,1),0))))+N(Units!$G10)&lt;TODAY()),MAX(0,U10-N(F10)),0)</f>
        <v/>
      </c>
      <c r="AH10">
        <f>IF(AND(V10&gt;0,DATE(Dashboard!$C$4,3,MIN(N(Units!$F10)+(N(Units!$F10)=0),DAY(EOMONTH(DATE(Dashboard!$C$4,3,1),0))))+N(Units!$G10)&lt;TODAY()),MAX(0,V10-N(G10)),0)</f>
        <v/>
      </c>
      <c r="AI10">
        <f>IF(AND(W10&gt;0,DATE(Dashboard!$C$4,4,MIN(N(Units!$F10)+(N(Units!$F10)=0),DAY(EOMONTH(DATE(Dashboard!$C$4,4,1),0))))+N(Units!$G10)&lt;TODAY()),MAX(0,W10-N(H10)),0)</f>
        <v/>
      </c>
      <c r="AJ10">
        <f>IF(AND(X10&gt;0,DATE(Dashboard!$C$4,5,MIN(N(Units!$F10)+(N(Units!$F10)=0),DAY(EOMONTH(DATE(Dashboard!$C$4,5,1),0))))+N(Units!$G10)&lt;TODAY()),MAX(0,X10-N(I10)),0)</f>
        <v/>
      </c>
      <c r="AK10">
        <f>IF(AND(Y10&gt;0,DATE(Dashboard!$C$4,6,MIN(N(Units!$F10)+(N(Units!$F10)=0),DAY(EOMONTH(DATE(Dashboard!$C$4,6,1),0))))+N(Units!$G10)&lt;TODAY()),MAX(0,Y10-N(J10)),0)</f>
        <v/>
      </c>
      <c r="AL10">
        <f>IF(AND(Z10&gt;0,DATE(Dashboard!$C$4,7,MIN(N(Units!$F10)+(N(Units!$F10)=0),DAY(EOMONTH(DATE(Dashboard!$C$4,7,1),0))))+N(Units!$G10)&lt;TODAY()),MAX(0,Z10-N(K10)),0)</f>
        <v/>
      </c>
      <c r="AM10">
        <f>IF(AND(AA10&gt;0,DATE(Dashboard!$C$4,8,MIN(N(Units!$F10)+(N(Units!$F10)=0),DAY(EOMONTH(DATE(Dashboard!$C$4,8,1),0))))+N(Units!$G10)&lt;TODAY()),MAX(0,AA10-N(L10)),0)</f>
        <v/>
      </c>
      <c r="AN10">
        <f>IF(AND(AB10&gt;0,DATE(Dashboard!$C$4,9,MIN(N(Units!$F10)+(N(Units!$F10)=0),DAY(EOMONTH(DATE(Dashboard!$C$4,9,1),0))))+N(Units!$G10)&lt;TODAY()),MAX(0,AB10-N(M10)),0)</f>
        <v/>
      </c>
      <c r="AO10">
        <f>IF(AND(AC10&gt;0,DATE(Dashboard!$C$4,10,MIN(N(Units!$F10)+(N(Units!$F10)=0),DAY(EOMONTH(DATE(Dashboard!$C$4,10,1),0))))+N(Units!$G10)&lt;TODAY()),MAX(0,AC10-N(N10)),0)</f>
        <v/>
      </c>
      <c r="AP10">
        <f>IF(AND(AD10&gt;0,DATE(Dashboard!$C$4,11,MIN(N(Units!$F10)+(N(Units!$F10)=0),DAY(EOMONTH(DATE(Dashboard!$C$4,11,1),0))))+N(Units!$G10)&lt;TODAY()),MAX(0,AD10-N(O10)),0)</f>
        <v/>
      </c>
      <c r="AQ10">
        <f>IF(AND(AE10&gt;0,DATE(Dashboard!$C$4,12,MIN(N(Units!$F10)+(N(Units!$F10)=0),DAY(EOMONTH(DATE(Dashboard!$C$4,12,1),0))))+N(Units!$G10)&lt;TODAY()),MAX(0,AE10-N(P10)),0)</f>
        <v/>
      </c>
      <c r="AR10">
        <f>IF(B10="","",Units!C10)</f>
        <v/>
      </c>
    </row>
    <row r="11">
      <c r="A11" s="1" t="n"/>
      <c r="B11" s="20">
        <f>IF(Units!B11="","",Units!B11)</f>
        <v/>
      </c>
      <c r="C11" s="30">
        <f>IF(B11="","",Units!D11)</f>
        <v/>
      </c>
      <c r="D11" s="14">
        <f>IF(B11="","",Units!E11)</f>
        <v/>
      </c>
      <c r="E11" s="31">
        <f>IF($B11="","",IF(AND(SUMIFS('Rent log'!$D$6:$D$1005,'Rent log'!$C$6:$C$1005,$B11,'Rent log'!$H$6:$H$1005,"&gt;="&amp;DATE(Dashboard!$C$4,1,1),'Rent log'!$H$6:$H$1005,"&lt;="&amp;EOMONTH(DATE(Dashboard!$C$4,1,1),0))=0,DATE(Dashboard!$C$4,1,1)&gt;TODAY()),"",SUMIFS('Rent log'!$D$6:$D$1005,'Rent log'!$C$6:$C$1005,$B11,'Rent log'!$H$6:$H$1005,"&gt;="&amp;DATE(Dashboard!$C$4,1,1),'Rent log'!$H$6:$H$1005,"&lt;="&amp;EOMONTH(DATE(Dashboard!$C$4,1,1),0))))</f>
        <v/>
      </c>
      <c r="F11" s="31">
        <f>IF($B11="","",IF(AND(SUMIFS('Rent log'!$D$6:$D$1005,'Rent log'!$C$6:$C$1005,$B11,'Rent log'!$H$6:$H$1005,"&gt;="&amp;DATE(Dashboard!$C$4,2,1),'Rent log'!$H$6:$H$1005,"&lt;="&amp;EOMONTH(DATE(Dashboard!$C$4,2,1),0))=0,DATE(Dashboard!$C$4,2,1)&gt;TODAY()),"",SUMIFS('Rent log'!$D$6:$D$1005,'Rent log'!$C$6:$C$1005,$B11,'Rent log'!$H$6:$H$1005,"&gt;="&amp;DATE(Dashboard!$C$4,2,1),'Rent log'!$H$6:$H$1005,"&lt;="&amp;EOMONTH(DATE(Dashboard!$C$4,2,1),0))))</f>
        <v/>
      </c>
      <c r="G11" s="31">
        <f>IF($B11="","",IF(AND(SUMIFS('Rent log'!$D$6:$D$1005,'Rent log'!$C$6:$C$1005,$B11,'Rent log'!$H$6:$H$1005,"&gt;="&amp;DATE(Dashboard!$C$4,3,1),'Rent log'!$H$6:$H$1005,"&lt;="&amp;EOMONTH(DATE(Dashboard!$C$4,3,1),0))=0,DATE(Dashboard!$C$4,3,1)&gt;TODAY()),"",SUMIFS('Rent log'!$D$6:$D$1005,'Rent log'!$C$6:$C$1005,$B11,'Rent log'!$H$6:$H$1005,"&gt;="&amp;DATE(Dashboard!$C$4,3,1),'Rent log'!$H$6:$H$1005,"&lt;="&amp;EOMONTH(DATE(Dashboard!$C$4,3,1),0))))</f>
        <v/>
      </c>
      <c r="H11" s="31">
        <f>IF($B11="","",IF(AND(SUMIFS('Rent log'!$D$6:$D$1005,'Rent log'!$C$6:$C$1005,$B11,'Rent log'!$H$6:$H$1005,"&gt;="&amp;DATE(Dashboard!$C$4,4,1),'Rent log'!$H$6:$H$1005,"&lt;="&amp;EOMONTH(DATE(Dashboard!$C$4,4,1),0))=0,DATE(Dashboard!$C$4,4,1)&gt;TODAY()),"",SUMIFS('Rent log'!$D$6:$D$1005,'Rent log'!$C$6:$C$1005,$B11,'Rent log'!$H$6:$H$1005,"&gt;="&amp;DATE(Dashboard!$C$4,4,1),'Rent log'!$H$6:$H$1005,"&lt;="&amp;EOMONTH(DATE(Dashboard!$C$4,4,1),0))))</f>
        <v/>
      </c>
      <c r="I11" s="31">
        <f>IF($B11="","",IF(AND(SUMIFS('Rent log'!$D$6:$D$1005,'Rent log'!$C$6:$C$1005,$B11,'Rent log'!$H$6:$H$1005,"&gt;="&amp;DATE(Dashboard!$C$4,5,1),'Rent log'!$H$6:$H$1005,"&lt;="&amp;EOMONTH(DATE(Dashboard!$C$4,5,1),0))=0,DATE(Dashboard!$C$4,5,1)&gt;TODAY()),"",SUMIFS('Rent log'!$D$6:$D$1005,'Rent log'!$C$6:$C$1005,$B11,'Rent log'!$H$6:$H$1005,"&gt;="&amp;DATE(Dashboard!$C$4,5,1),'Rent log'!$H$6:$H$1005,"&lt;="&amp;EOMONTH(DATE(Dashboard!$C$4,5,1),0))))</f>
        <v/>
      </c>
      <c r="J11" s="31">
        <f>IF($B11="","",IF(AND(SUMIFS('Rent log'!$D$6:$D$1005,'Rent log'!$C$6:$C$1005,$B11,'Rent log'!$H$6:$H$1005,"&gt;="&amp;DATE(Dashboard!$C$4,6,1),'Rent log'!$H$6:$H$1005,"&lt;="&amp;EOMONTH(DATE(Dashboard!$C$4,6,1),0))=0,DATE(Dashboard!$C$4,6,1)&gt;TODAY()),"",SUMIFS('Rent log'!$D$6:$D$1005,'Rent log'!$C$6:$C$1005,$B11,'Rent log'!$H$6:$H$1005,"&gt;="&amp;DATE(Dashboard!$C$4,6,1),'Rent log'!$H$6:$H$1005,"&lt;="&amp;EOMONTH(DATE(Dashboard!$C$4,6,1),0))))</f>
        <v/>
      </c>
      <c r="K11" s="31">
        <f>IF($B11="","",IF(AND(SUMIFS('Rent log'!$D$6:$D$1005,'Rent log'!$C$6:$C$1005,$B11,'Rent log'!$H$6:$H$1005,"&gt;="&amp;DATE(Dashboard!$C$4,7,1),'Rent log'!$H$6:$H$1005,"&lt;="&amp;EOMONTH(DATE(Dashboard!$C$4,7,1),0))=0,DATE(Dashboard!$C$4,7,1)&gt;TODAY()),"",SUMIFS('Rent log'!$D$6:$D$1005,'Rent log'!$C$6:$C$1005,$B11,'Rent log'!$H$6:$H$1005,"&gt;="&amp;DATE(Dashboard!$C$4,7,1),'Rent log'!$H$6:$H$1005,"&lt;="&amp;EOMONTH(DATE(Dashboard!$C$4,7,1),0))))</f>
        <v/>
      </c>
      <c r="L11" s="31">
        <f>IF($B11="","",IF(AND(SUMIFS('Rent log'!$D$6:$D$1005,'Rent log'!$C$6:$C$1005,$B11,'Rent log'!$H$6:$H$1005,"&gt;="&amp;DATE(Dashboard!$C$4,8,1),'Rent log'!$H$6:$H$1005,"&lt;="&amp;EOMONTH(DATE(Dashboard!$C$4,8,1),0))=0,DATE(Dashboard!$C$4,8,1)&gt;TODAY()),"",SUMIFS('Rent log'!$D$6:$D$1005,'Rent log'!$C$6:$C$1005,$B11,'Rent log'!$H$6:$H$1005,"&gt;="&amp;DATE(Dashboard!$C$4,8,1),'Rent log'!$H$6:$H$1005,"&lt;="&amp;EOMONTH(DATE(Dashboard!$C$4,8,1),0))))</f>
        <v/>
      </c>
      <c r="M11" s="31">
        <f>IF($B11="","",IF(AND(SUMIFS('Rent log'!$D$6:$D$1005,'Rent log'!$C$6:$C$1005,$B11,'Rent log'!$H$6:$H$1005,"&gt;="&amp;DATE(Dashboard!$C$4,9,1),'Rent log'!$H$6:$H$1005,"&lt;="&amp;EOMONTH(DATE(Dashboard!$C$4,9,1),0))=0,DATE(Dashboard!$C$4,9,1)&gt;TODAY()),"",SUMIFS('Rent log'!$D$6:$D$1005,'Rent log'!$C$6:$C$1005,$B11,'Rent log'!$H$6:$H$1005,"&gt;="&amp;DATE(Dashboard!$C$4,9,1),'Rent log'!$H$6:$H$1005,"&lt;="&amp;EOMONTH(DATE(Dashboard!$C$4,9,1),0))))</f>
        <v/>
      </c>
      <c r="N11" s="31">
        <f>IF($B11="","",IF(AND(SUMIFS('Rent log'!$D$6:$D$1005,'Rent log'!$C$6:$C$1005,$B11,'Rent log'!$H$6:$H$1005,"&gt;="&amp;DATE(Dashboard!$C$4,10,1),'Rent log'!$H$6:$H$1005,"&lt;="&amp;EOMONTH(DATE(Dashboard!$C$4,10,1),0))=0,DATE(Dashboard!$C$4,10,1)&gt;TODAY()),"",SUMIFS('Rent log'!$D$6:$D$1005,'Rent log'!$C$6:$C$1005,$B11,'Rent log'!$H$6:$H$1005,"&gt;="&amp;DATE(Dashboard!$C$4,10,1),'Rent log'!$H$6:$H$1005,"&lt;="&amp;EOMONTH(DATE(Dashboard!$C$4,10,1),0))))</f>
        <v/>
      </c>
      <c r="O11" s="31">
        <f>IF($B11="","",IF(AND(SUMIFS('Rent log'!$D$6:$D$1005,'Rent log'!$C$6:$C$1005,$B11,'Rent log'!$H$6:$H$1005,"&gt;="&amp;DATE(Dashboard!$C$4,11,1),'Rent log'!$H$6:$H$1005,"&lt;="&amp;EOMONTH(DATE(Dashboard!$C$4,11,1),0))=0,DATE(Dashboard!$C$4,11,1)&gt;TODAY()),"",SUMIFS('Rent log'!$D$6:$D$1005,'Rent log'!$C$6:$C$1005,$B11,'Rent log'!$H$6:$H$1005,"&gt;="&amp;DATE(Dashboard!$C$4,11,1),'Rent log'!$H$6:$H$1005,"&lt;="&amp;EOMONTH(DATE(Dashboard!$C$4,11,1),0))))</f>
        <v/>
      </c>
      <c r="P11" s="31">
        <f>IF($B11="","",IF(AND(SUMIFS('Rent log'!$D$6:$D$1005,'Rent log'!$C$6:$C$1005,$B11,'Rent log'!$H$6:$H$1005,"&gt;="&amp;DATE(Dashboard!$C$4,12,1),'Rent log'!$H$6:$H$1005,"&lt;="&amp;EOMONTH(DATE(Dashboard!$C$4,12,1),0))=0,DATE(Dashboard!$C$4,12,1)&gt;TODAY()),"",SUMIFS('Rent log'!$D$6:$D$1005,'Rent log'!$C$6:$C$1005,$B11,'Rent log'!$H$6:$H$1005,"&gt;="&amp;DATE(Dashboard!$C$4,12,1),'Rent log'!$H$6:$H$1005,"&lt;="&amp;EOMONTH(DATE(Dashboard!$C$4,12,1),0))))</f>
        <v/>
      </c>
      <c r="Q11" s="22">
        <f>IF(B11="","",SUM(E11:P11))</f>
        <v/>
      </c>
      <c r="R11" s="22">
        <f>IF(B11="","",SUM(AF11:AQ11))</f>
        <v/>
      </c>
      <c r="S11" s="30">
        <f>IF(B11="","",IF(Dashboard!$C$4&lt;&gt;YEAR(TODAY()),"",IF(INDEX(T11:AE11,MONTH(TODAY()))=0,"No rent due",IF(N(INDEX(E11:P11,MONTH(TODAY())))&gt;=INDEX(T11:AE11,MONTH(TODAY())),"Paid",IF(TODAY()&gt;DATE(YEAR(TODAY()),MONTH(TODAY()),MIN(N(Units!$F11)+(N(Units!$F11)=0),DAY(EOMONTH(TODAY(),0))))+N(Units!$G11),"Late: "&amp;FIXED(INDEX(T11:AE11,MONTH(TODAY()))-N(INDEX(E11:P11,MONTH(TODAY()))),2)&amp;" owed",IF(N(INDEX(E11:P11,MONTH(TODAY())))&gt;0,"Part paid: "&amp;FIXED(INDEX(T11:AE11,MONTH(TODAY()))-N(INDEX(E11:P11,MONTH(TODAY()))),2)&amp;" left","Due on the "&amp;MIN(N(Units!$F11)+(N(Units!$F11)=0),DAY(EOMONTH(TODAY(),0)))&amp;IF(AND(MIN(N(Units!$F11)+(N(Units!$F11)=0),DAY(EOMONTH(TODAY(),0)))&gt;=11,MIN(N(Units!$F11)+(N(Units!$F11)=0),DAY(EOMONTH(TODAY(),0)))&lt;=13),"th",IF(MOD(MIN(N(Units!$F11)+(N(Units!$F11)=0),DAY(EOMONTH(TODAY(),0))),10)=1,"st",IF(MOD(MIN(N(Units!$F11)+(N(Units!$F11)=0),DAY(EOMONTH(TODAY(),0))),10)=2,"nd",IF(MOD(MIN(N(Units!$F11)+(N(Units!$F11)=0),DAY(EOMONTH(TODAY(),0))),10)=3,"rd","th"))))))))))</f>
        <v/>
      </c>
      <c r="T11" s="1">
        <f>IF($B11="",0,IF(AND(OR(Units!$H11="",Units!$H11&lt;=EOMONTH(DATE(Dashboard!$C$4,1,1),0)),OR(Units!$I11="",Units!$I11&gt;=DATE(Dashboard!$C$4,1,1))),N(Units!$E11),0))</f>
        <v/>
      </c>
      <c r="U11">
        <f>IF($B11="",0,IF(AND(OR(Units!$H11="",Units!$H11&lt;=EOMONTH(DATE(Dashboard!$C$4,2,1),0)),OR(Units!$I11="",Units!$I11&gt;=DATE(Dashboard!$C$4,2,1))),N(Units!$E11),0))</f>
        <v/>
      </c>
      <c r="V11">
        <f>IF($B11="",0,IF(AND(OR(Units!$H11="",Units!$H11&lt;=EOMONTH(DATE(Dashboard!$C$4,3,1),0)),OR(Units!$I11="",Units!$I11&gt;=DATE(Dashboard!$C$4,3,1))),N(Units!$E11),0))</f>
        <v/>
      </c>
      <c r="W11">
        <f>IF($B11="",0,IF(AND(OR(Units!$H11="",Units!$H11&lt;=EOMONTH(DATE(Dashboard!$C$4,4,1),0)),OR(Units!$I11="",Units!$I11&gt;=DATE(Dashboard!$C$4,4,1))),N(Units!$E11),0))</f>
        <v/>
      </c>
      <c r="X11">
        <f>IF($B11="",0,IF(AND(OR(Units!$H11="",Units!$H11&lt;=EOMONTH(DATE(Dashboard!$C$4,5,1),0)),OR(Units!$I11="",Units!$I11&gt;=DATE(Dashboard!$C$4,5,1))),N(Units!$E11),0))</f>
        <v/>
      </c>
      <c r="Y11">
        <f>IF($B11="",0,IF(AND(OR(Units!$H11="",Units!$H11&lt;=EOMONTH(DATE(Dashboard!$C$4,6,1),0)),OR(Units!$I11="",Units!$I11&gt;=DATE(Dashboard!$C$4,6,1))),N(Units!$E11),0))</f>
        <v/>
      </c>
      <c r="Z11">
        <f>IF($B11="",0,IF(AND(OR(Units!$H11="",Units!$H11&lt;=EOMONTH(DATE(Dashboard!$C$4,7,1),0)),OR(Units!$I11="",Units!$I11&gt;=DATE(Dashboard!$C$4,7,1))),N(Units!$E11),0))</f>
        <v/>
      </c>
      <c r="AA11">
        <f>IF($B11="",0,IF(AND(OR(Units!$H11="",Units!$H11&lt;=EOMONTH(DATE(Dashboard!$C$4,8,1),0)),OR(Units!$I11="",Units!$I11&gt;=DATE(Dashboard!$C$4,8,1))),N(Units!$E11),0))</f>
        <v/>
      </c>
      <c r="AB11">
        <f>IF($B11="",0,IF(AND(OR(Units!$H11="",Units!$H11&lt;=EOMONTH(DATE(Dashboard!$C$4,9,1),0)),OR(Units!$I11="",Units!$I11&gt;=DATE(Dashboard!$C$4,9,1))),N(Units!$E11),0))</f>
        <v/>
      </c>
      <c r="AC11">
        <f>IF($B11="",0,IF(AND(OR(Units!$H11="",Units!$H11&lt;=EOMONTH(DATE(Dashboard!$C$4,10,1),0)),OR(Units!$I11="",Units!$I11&gt;=DATE(Dashboard!$C$4,10,1))),N(Units!$E11),0))</f>
        <v/>
      </c>
      <c r="AD11">
        <f>IF($B11="",0,IF(AND(OR(Units!$H11="",Units!$H11&lt;=EOMONTH(DATE(Dashboard!$C$4,11,1),0)),OR(Units!$I11="",Units!$I11&gt;=DATE(Dashboard!$C$4,11,1))),N(Units!$E11),0))</f>
        <v/>
      </c>
      <c r="AE11">
        <f>IF($B11="",0,IF(AND(OR(Units!$H11="",Units!$H11&lt;=EOMONTH(DATE(Dashboard!$C$4,12,1),0)),OR(Units!$I11="",Units!$I11&gt;=DATE(Dashboard!$C$4,12,1))),N(Units!$E11),0))</f>
        <v/>
      </c>
      <c r="AF11">
        <f>IF(AND(T11&gt;0,DATE(Dashboard!$C$4,1,MIN(N(Units!$F11)+(N(Units!$F11)=0),DAY(EOMONTH(DATE(Dashboard!$C$4,1,1),0))))+N(Units!$G11)&lt;TODAY()),MAX(0,T11-N(E11)),0)</f>
        <v/>
      </c>
      <c r="AG11">
        <f>IF(AND(U11&gt;0,DATE(Dashboard!$C$4,2,MIN(N(Units!$F11)+(N(Units!$F11)=0),DAY(EOMONTH(DATE(Dashboard!$C$4,2,1),0))))+N(Units!$G11)&lt;TODAY()),MAX(0,U11-N(F11)),0)</f>
        <v/>
      </c>
      <c r="AH11">
        <f>IF(AND(V11&gt;0,DATE(Dashboard!$C$4,3,MIN(N(Units!$F11)+(N(Units!$F11)=0),DAY(EOMONTH(DATE(Dashboard!$C$4,3,1),0))))+N(Units!$G11)&lt;TODAY()),MAX(0,V11-N(G11)),0)</f>
        <v/>
      </c>
      <c r="AI11">
        <f>IF(AND(W11&gt;0,DATE(Dashboard!$C$4,4,MIN(N(Units!$F11)+(N(Units!$F11)=0),DAY(EOMONTH(DATE(Dashboard!$C$4,4,1),0))))+N(Units!$G11)&lt;TODAY()),MAX(0,W11-N(H11)),0)</f>
        <v/>
      </c>
      <c r="AJ11">
        <f>IF(AND(X11&gt;0,DATE(Dashboard!$C$4,5,MIN(N(Units!$F11)+(N(Units!$F11)=0),DAY(EOMONTH(DATE(Dashboard!$C$4,5,1),0))))+N(Units!$G11)&lt;TODAY()),MAX(0,X11-N(I11)),0)</f>
        <v/>
      </c>
      <c r="AK11">
        <f>IF(AND(Y11&gt;0,DATE(Dashboard!$C$4,6,MIN(N(Units!$F11)+(N(Units!$F11)=0),DAY(EOMONTH(DATE(Dashboard!$C$4,6,1),0))))+N(Units!$G11)&lt;TODAY()),MAX(0,Y11-N(J11)),0)</f>
        <v/>
      </c>
      <c r="AL11">
        <f>IF(AND(Z11&gt;0,DATE(Dashboard!$C$4,7,MIN(N(Units!$F11)+(N(Units!$F11)=0),DAY(EOMONTH(DATE(Dashboard!$C$4,7,1),0))))+N(Units!$G11)&lt;TODAY()),MAX(0,Z11-N(K11)),0)</f>
        <v/>
      </c>
      <c r="AM11">
        <f>IF(AND(AA11&gt;0,DATE(Dashboard!$C$4,8,MIN(N(Units!$F11)+(N(Units!$F11)=0),DAY(EOMONTH(DATE(Dashboard!$C$4,8,1),0))))+N(Units!$G11)&lt;TODAY()),MAX(0,AA11-N(L11)),0)</f>
        <v/>
      </c>
      <c r="AN11">
        <f>IF(AND(AB11&gt;0,DATE(Dashboard!$C$4,9,MIN(N(Units!$F11)+(N(Units!$F11)=0),DAY(EOMONTH(DATE(Dashboard!$C$4,9,1),0))))+N(Units!$G11)&lt;TODAY()),MAX(0,AB11-N(M11)),0)</f>
        <v/>
      </c>
      <c r="AO11">
        <f>IF(AND(AC11&gt;0,DATE(Dashboard!$C$4,10,MIN(N(Units!$F11)+(N(Units!$F11)=0),DAY(EOMONTH(DATE(Dashboard!$C$4,10,1),0))))+N(Units!$G11)&lt;TODAY()),MAX(0,AC11-N(N11)),0)</f>
        <v/>
      </c>
      <c r="AP11">
        <f>IF(AND(AD11&gt;0,DATE(Dashboard!$C$4,11,MIN(N(Units!$F11)+(N(Units!$F11)=0),DAY(EOMONTH(DATE(Dashboard!$C$4,11,1),0))))+N(Units!$G11)&lt;TODAY()),MAX(0,AD11-N(O11)),0)</f>
        <v/>
      </c>
      <c r="AQ11">
        <f>IF(AND(AE11&gt;0,DATE(Dashboard!$C$4,12,MIN(N(Units!$F11)+(N(Units!$F11)=0),DAY(EOMONTH(DATE(Dashboard!$C$4,12,1),0))))+N(Units!$G11)&lt;TODAY()),MAX(0,AE11-N(P11)),0)</f>
        <v/>
      </c>
      <c r="AR11">
        <f>IF(B11="","",Units!C11)</f>
        <v/>
      </c>
    </row>
    <row r="12">
      <c r="A12" s="1" t="n"/>
      <c r="B12" s="20">
        <f>IF(Units!B12="","",Units!B12)</f>
        <v/>
      </c>
      <c r="C12" s="30">
        <f>IF(B12="","",Units!D12)</f>
        <v/>
      </c>
      <c r="D12" s="14">
        <f>IF(B12="","",Units!E12)</f>
        <v/>
      </c>
      <c r="E12" s="31">
        <f>IF($B12="","",IF(AND(SUMIFS('Rent log'!$D$6:$D$1005,'Rent log'!$C$6:$C$1005,$B12,'Rent log'!$H$6:$H$1005,"&gt;="&amp;DATE(Dashboard!$C$4,1,1),'Rent log'!$H$6:$H$1005,"&lt;="&amp;EOMONTH(DATE(Dashboard!$C$4,1,1),0))=0,DATE(Dashboard!$C$4,1,1)&gt;TODAY()),"",SUMIFS('Rent log'!$D$6:$D$1005,'Rent log'!$C$6:$C$1005,$B12,'Rent log'!$H$6:$H$1005,"&gt;="&amp;DATE(Dashboard!$C$4,1,1),'Rent log'!$H$6:$H$1005,"&lt;="&amp;EOMONTH(DATE(Dashboard!$C$4,1,1),0))))</f>
        <v/>
      </c>
      <c r="F12" s="31">
        <f>IF($B12="","",IF(AND(SUMIFS('Rent log'!$D$6:$D$1005,'Rent log'!$C$6:$C$1005,$B12,'Rent log'!$H$6:$H$1005,"&gt;="&amp;DATE(Dashboard!$C$4,2,1),'Rent log'!$H$6:$H$1005,"&lt;="&amp;EOMONTH(DATE(Dashboard!$C$4,2,1),0))=0,DATE(Dashboard!$C$4,2,1)&gt;TODAY()),"",SUMIFS('Rent log'!$D$6:$D$1005,'Rent log'!$C$6:$C$1005,$B12,'Rent log'!$H$6:$H$1005,"&gt;="&amp;DATE(Dashboard!$C$4,2,1),'Rent log'!$H$6:$H$1005,"&lt;="&amp;EOMONTH(DATE(Dashboard!$C$4,2,1),0))))</f>
        <v/>
      </c>
      <c r="G12" s="31">
        <f>IF($B12="","",IF(AND(SUMIFS('Rent log'!$D$6:$D$1005,'Rent log'!$C$6:$C$1005,$B12,'Rent log'!$H$6:$H$1005,"&gt;="&amp;DATE(Dashboard!$C$4,3,1),'Rent log'!$H$6:$H$1005,"&lt;="&amp;EOMONTH(DATE(Dashboard!$C$4,3,1),0))=0,DATE(Dashboard!$C$4,3,1)&gt;TODAY()),"",SUMIFS('Rent log'!$D$6:$D$1005,'Rent log'!$C$6:$C$1005,$B12,'Rent log'!$H$6:$H$1005,"&gt;="&amp;DATE(Dashboard!$C$4,3,1),'Rent log'!$H$6:$H$1005,"&lt;="&amp;EOMONTH(DATE(Dashboard!$C$4,3,1),0))))</f>
        <v/>
      </c>
      <c r="H12" s="31">
        <f>IF($B12="","",IF(AND(SUMIFS('Rent log'!$D$6:$D$1005,'Rent log'!$C$6:$C$1005,$B12,'Rent log'!$H$6:$H$1005,"&gt;="&amp;DATE(Dashboard!$C$4,4,1),'Rent log'!$H$6:$H$1005,"&lt;="&amp;EOMONTH(DATE(Dashboard!$C$4,4,1),0))=0,DATE(Dashboard!$C$4,4,1)&gt;TODAY()),"",SUMIFS('Rent log'!$D$6:$D$1005,'Rent log'!$C$6:$C$1005,$B12,'Rent log'!$H$6:$H$1005,"&gt;="&amp;DATE(Dashboard!$C$4,4,1),'Rent log'!$H$6:$H$1005,"&lt;="&amp;EOMONTH(DATE(Dashboard!$C$4,4,1),0))))</f>
        <v/>
      </c>
      <c r="I12" s="31">
        <f>IF($B12="","",IF(AND(SUMIFS('Rent log'!$D$6:$D$1005,'Rent log'!$C$6:$C$1005,$B12,'Rent log'!$H$6:$H$1005,"&gt;="&amp;DATE(Dashboard!$C$4,5,1),'Rent log'!$H$6:$H$1005,"&lt;="&amp;EOMONTH(DATE(Dashboard!$C$4,5,1),0))=0,DATE(Dashboard!$C$4,5,1)&gt;TODAY()),"",SUMIFS('Rent log'!$D$6:$D$1005,'Rent log'!$C$6:$C$1005,$B12,'Rent log'!$H$6:$H$1005,"&gt;="&amp;DATE(Dashboard!$C$4,5,1),'Rent log'!$H$6:$H$1005,"&lt;="&amp;EOMONTH(DATE(Dashboard!$C$4,5,1),0))))</f>
        <v/>
      </c>
      <c r="J12" s="31">
        <f>IF($B12="","",IF(AND(SUMIFS('Rent log'!$D$6:$D$1005,'Rent log'!$C$6:$C$1005,$B12,'Rent log'!$H$6:$H$1005,"&gt;="&amp;DATE(Dashboard!$C$4,6,1),'Rent log'!$H$6:$H$1005,"&lt;="&amp;EOMONTH(DATE(Dashboard!$C$4,6,1),0))=0,DATE(Dashboard!$C$4,6,1)&gt;TODAY()),"",SUMIFS('Rent log'!$D$6:$D$1005,'Rent log'!$C$6:$C$1005,$B12,'Rent log'!$H$6:$H$1005,"&gt;="&amp;DATE(Dashboard!$C$4,6,1),'Rent log'!$H$6:$H$1005,"&lt;="&amp;EOMONTH(DATE(Dashboard!$C$4,6,1),0))))</f>
        <v/>
      </c>
      <c r="K12" s="31">
        <f>IF($B12="","",IF(AND(SUMIFS('Rent log'!$D$6:$D$1005,'Rent log'!$C$6:$C$1005,$B12,'Rent log'!$H$6:$H$1005,"&gt;="&amp;DATE(Dashboard!$C$4,7,1),'Rent log'!$H$6:$H$1005,"&lt;="&amp;EOMONTH(DATE(Dashboard!$C$4,7,1),0))=0,DATE(Dashboard!$C$4,7,1)&gt;TODAY()),"",SUMIFS('Rent log'!$D$6:$D$1005,'Rent log'!$C$6:$C$1005,$B12,'Rent log'!$H$6:$H$1005,"&gt;="&amp;DATE(Dashboard!$C$4,7,1),'Rent log'!$H$6:$H$1005,"&lt;="&amp;EOMONTH(DATE(Dashboard!$C$4,7,1),0))))</f>
        <v/>
      </c>
      <c r="L12" s="31">
        <f>IF($B12="","",IF(AND(SUMIFS('Rent log'!$D$6:$D$1005,'Rent log'!$C$6:$C$1005,$B12,'Rent log'!$H$6:$H$1005,"&gt;="&amp;DATE(Dashboard!$C$4,8,1),'Rent log'!$H$6:$H$1005,"&lt;="&amp;EOMONTH(DATE(Dashboard!$C$4,8,1),0))=0,DATE(Dashboard!$C$4,8,1)&gt;TODAY()),"",SUMIFS('Rent log'!$D$6:$D$1005,'Rent log'!$C$6:$C$1005,$B12,'Rent log'!$H$6:$H$1005,"&gt;="&amp;DATE(Dashboard!$C$4,8,1),'Rent log'!$H$6:$H$1005,"&lt;="&amp;EOMONTH(DATE(Dashboard!$C$4,8,1),0))))</f>
        <v/>
      </c>
      <c r="M12" s="31">
        <f>IF($B12="","",IF(AND(SUMIFS('Rent log'!$D$6:$D$1005,'Rent log'!$C$6:$C$1005,$B12,'Rent log'!$H$6:$H$1005,"&gt;="&amp;DATE(Dashboard!$C$4,9,1),'Rent log'!$H$6:$H$1005,"&lt;="&amp;EOMONTH(DATE(Dashboard!$C$4,9,1),0))=0,DATE(Dashboard!$C$4,9,1)&gt;TODAY()),"",SUMIFS('Rent log'!$D$6:$D$1005,'Rent log'!$C$6:$C$1005,$B12,'Rent log'!$H$6:$H$1005,"&gt;="&amp;DATE(Dashboard!$C$4,9,1),'Rent log'!$H$6:$H$1005,"&lt;="&amp;EOMONTH(DATE(Dashboard!$C$4,9,1),0))))</f>
        <v/>
      </c>
      <c r="N12" s="31">
        <f>IF($B12="","",IF(AND(SUMIFS('Rent log'!$D$6:$D$1005,'Rent log'!$C$6:$C$1005,$B12,'Rent log'!$H$6:$H$1005,"&gt;="&amp;DATE(Dashboard!$C$4,10,1),'Rent log'!$H$6:$H$1005,"&lt;="&amp;EOMONTH(DATE(Dashboard!$C$4,10,1),0))=0,DATE(Dashboard!$C$4,10,1)&gt;TODAY()),"",SUMIFS('Rent log'!$D$6:$D$1005,'Rent log'!$C$6:$C$1005,$B12,'Rent log'!$H$6:$H$1005,"&gt;="&amp;DATE(Dashboard!$C$4,10,1),'Rent log'!$H$6:$H$1005,"&lt;="&amp;EOMONTH(DATE(Dashboard!$C$4,10,1),0))))</f>
        <v/>
      </c>
      <c r="O12" s="31">
        <f>IF($B12="","",IF(AND(SUMIFS('Rent log'!$D$6:$D$1005,'Rent log'!$C$6:$C$1005,$B12,'Rent log'!$H$6:$H$1005,"&gt;="&amp;DATE(Dashboard!$C$4,11,1),'Rent log'!$H$6:$H$1005,"&lt;="&amp;EOMONTH(DATE(Dashboard!$C$4,11,1),0))=0,DATE(Dashboard!$C$4,11,1)&gt;TODAY()),"",SUMIFS('Rent log'!$D$6:$D$1005,'Rent log'!$C$6:$C$1005,$B12,'Rent log'!$H$6:$H$1005,"&gt;="&amp;DATE(Dashboard!$C$4,11,1),'Rent log'!$H$6:$H$1005,"&lt;="&amp;EOMONTH(DATE(Dashboard!$C$4,11,1),0))))</f>
        <v/>
      </c>
      <c r="P12" s="31">
        <f>IF($B12="","",IF(AND(SUMIFS('Rent log'!$D$6:$D$1005,'Rent log'!$C$6:$C$1005,$B12,'Rent log'!$H$6:$H$1005,"&gt;="&amp;DATE(Dashboard!$C$4,12,1),'Rent log'!$H$6:$H$1005,"&lt;="&amp;EOMONTH(DATE(Dashboard!$C$4,12,1),0))=0,DATE(Dashboard!$C$4,12,1)&gt;TODAY()),"",SUMIFS('Rent log'!$D$6:$D$1005,'Rent log'!$C$6:$C$1005,$B12,'Rent log'!$H$6:$H$1005,"&gt;="&amp;DATE(Dashboard!$C$4,12,1),'Rent log'!$H$6:$H$1005,"&lt;="&amp;EOMONTH(DATE(Dashboard!$C$4,12,1),0))))</f>
        <v/>
      </c>
      <c r="Q12" s="22">
        <f>IF(B12="","",SUM(E12:P12))</f>
        <v/>
      </c>
      <c r="R12" s="22">
        <f>IF(B12="","",SUM(AF12:AQ12))</f>
        <v/>
      </c>
      <c r="S12" s="30">
        <f>IF(B12="","",IF(Dashboard!$C$4&lt;&gt;YEAR(TODAY()),"",IF(INDEX(T12:AE12,MONTH(TODAY()))=0,"No rent due",IF(N(INDEX(E12:P12,MONTH(TODAY())))&gt;=INDEX(T12:AE12,MONTH(TODAY())),"Paid",IF(TODAY()&gt;DATE(YEAR(TODAY()),MONTH(TODAY()),MIN(N(Units!$F12)+(N(Units!$F12)=0),DAY(EOMONTH(TODAY(),0))))+N(Units!$G12),"Late: "&amp;FIXED(INDEX(T12:AE12,MONTH(TODAY()))-N(INDEX(E12:P12,MONTH(TODAY()))),2)&amp;" owed",IF(N(INDEX(E12:P12,MONTH(TODAY())))&gt;0,"Part paid: "&amp;FIXED(INDEX(T12:AE12,MONTH(TODAY()))-N(INDEX(E12:P12,MONTH(TODAY()))),2)&amp;" left","Due on the "&amp;MIN(N(Units!$F12)+(N(Units!$F12)=0),DAY(EOMONTH(TODAY(),0)))&amp;IF(AND(MIN(N(Units!$F12)+(N(Units!$F12)=0),DAY(EOMONTH(TODAY(),0)))&gt;=11,MIN(N(Units!$F12)+(N(Units!$F12)=0),DAY(EOMONTH(TODAY(),0)))&lt;=13),"th",IF(MOD(MIN(N(Units!$F12)+(N(Units!$F12)=0),DAY(EOMONTH(TODAY(),0))),10)=1,"st",IF(MOD(MIN(N(Units!$F12)+(N(Units!$F12)=0),DAY(EOMONTH(TODAY(),0))),10)=2,"nd",IF(MOD(MIN(N(Units!$F12)+(N(Units!$F12)=0),DAY(EOMONTH(TODAY(),0))),10)=3,"rd","th"))))))))))</f>
        <v/>
      </c>
      <c r="T12" s="1">
        <f>IF($B12="",0,IF(AND(OR(Units!$H12="",Units!$H12&lt;=EOMONTH(DATE(Dashboard!$C$4,1,1),0)),OR(Units!$I12="",Units!$I12&gt;=DATE(Dashboard!$C$4,1,1))),N(Units!$E12),0))</f>
        <v/>
      </c>
      <c r="U12">
        <f>IF($B12="",0,IF(AND(OR(Units!$H12="",Units!$H12&lt;=EOMONTH(DATE(Dashboard!$C$4,2,1),0)),OR(Units!$I12="",Units!$I12&gt;=DATE(Dashboard!$C$4,2,1))),N(Units!$E12),0))</f>
        <v/>
      </c>
      <c r="V12">
        <f>IF($B12="",0,IF(AND(OR(Units!$H12="",Units!$H12&lt;=EOMONTH(DATE(Dashboard!$C$4,3,1),0)),OR(Units!$I12="",Units!$I12&gt;=DATE(Dashboard!$C$4,3,1))),N(Units!$E12),0))</f>
        <v/>
      </c>
      <c r="W12">
        <f>IF($B12="",0,IF(AND(OR(Units!$H12="",Units!$H12&lt;=EOMONTH(DATE(Dashboard!$C$4,4,1),0)),OR(Units!$I12="",Units!$I12&gt;=DATE(Dashboard!$C$4,4,1))),N(Units!$E12),0))</f>
        <v/>
      </c>
      <c r="X12">
        <f>IF($B12="",0,IF(AND(OR(Units!$H12="",Units!$H12&lt;=EOMONTH(DATE(Dashboard!$C$4,5,1),0)),OR(Units!$I12="",Units!$I12&gt;=DATE(Dashboard!$C$4,5,1))),N(Units!$E12),0))</f>
        <v/>
      </c>
      <c r="Y12">
        <f>IF($B12="",0,IF(AND(OR(Units!$H12="",Units!$H12&lt;=EOMONTH(DATE(Dashboard!$C$4,6,1),0)),OR(Units!$I12="",Units!$I12&gt;=DATE(Dashboard!$C$4,6,1))),N(Units!$E12),0))</f>
        <v/>
      </c>
      <c r="Z12">
        <f>IF($B12="",0,IF(AND(OR(Units!$H12="",Units!$H12&lt;=EOMONTH(DATE(Dashboard!$C$4,7,1),0)),OR(Units!$I12="",Units!$I12&gt;=DATE(Dashboard!$C$4,7,1))),N(Units!$E12),0))</f>
        <v/>
      </c>
      <c r="AA12">
        <f>IF($B12="",0,IF(AND(OR(Units!$H12="",Units!$H12&lt;=EOMONTH(DATE(Dashboard!$C$4,8,1),0)),OR(Units!$I12="",Units!$I12&gt;=DATE(Dashboard!$C$4,8,1))),N(Units!$E12),0))</f>
        <v/>
      </c>
      <c r="AB12">
        <f>IF($B12="",0,IF(AND(OR(Units!$H12="",Units!$H12&lt;=EOMONTH(DATE(Dashboard!$C$4,9,1),0)),OR(Units!$I12="",Units!$I12&gt;=DATE(Dashboard!$C$4,9,1))),N(Units!$E12),0))</f>
        <v/>
      </c>
      <c r="AC12">
        <f>IF($B12="",0,IF(AND(OR(Units!$H12="",Units!$H12&lt;=EOMONTH(DATE(Dashboard!$C$4,10,1),0)),OR(Units!$I12="",Units!$I12&gt;=DATE(Dashboard!$C$4,10,1))),N(Units!$E12),0))</f>
        <v/>
      </c>
      <c r="AD12">
        <f>IF($B12="",0,IF(AND(OR(Units!$H12="",Units!$H12&lt;=EOMONTH(DATE(Dashboard!$C$4,11,1),0)),OR(Units!$I12="",Units!$I12&gt;=DATE(Dashboard!$C$4,11,1))),N(Units!$E12),0))</f>
        <v/>
      </c>
      <c r="AE12">
        <f>IF($B12="",0,IF(AND(OR(Units!$H12="",Units!$H12&lt;=EOMONTH(DATE(Dashboard!$C$4,12,1),0)),OR(Units!$I12="",Units!$I12&gt;=DATE(Dashboard!$C$4,12,1))),N(Units!$E12),0))</f>
        <v/>
      </c>
      <c r="AF12">
        <f>IF(AND(T12&gt;0,DATE(Dashboard!$C$4,1,MIN(N(Units!$F12)+(N(Units!$F12)=0),DAY(EOMONTH(DATE(Dashboard!$C$4,1,1),0))))+N(Units!$G12)&lt;TODAY()),MAX(0,T12-N(E12)),0)</f>
        <v/>
      </c>
      <c r="AG12">
        <f>IF(AND(U12&gt;0,DATE(Dashboard!$C$4,2,MIN(N(Units!$F12)+(N(Units!$F12)=0),DAY(EOMONTH(DATE(Dashboard!$C$4,2,1),0))))+N(Units!$G12)&lt;TODAY()),MAX(0,U12-N(F12)),0)</f>
        <v/>
      </c>
      <c r="AH12">
        <f>IF(AND(V12&gt;0,DATE(Dashboard!$C$4,3,MIN(N(Units!$F12)+(N(Units!$F12)=0),DAY(EOMONTH(DATE(Dashboard!$C$4,3,1),0))))+N(Units!$G12)&lt;TODAY()),MAX(0,V12-N(G12)),0)</f>
        <v/>
      </c>
      <c r="AI12">
        <f>IF(AND(W12&gt;0,DATE(Dashboard!$C$4,4,MIN(N(Units!$F12)+(N(Units!$F12)=0),DAY(EOMONTH(DATE(Dashboard!$C$4,4,1),0))))+N(Units!$G12)&lt;TODAY()),MAX(0,W12-N(H12)),0)</f>
        <v/>
      </c>
      <c r="AJ12">
        <f>IF(AND(X12&gt;0,DATE(Dashboard!$C$4,5,MIN(N(Units!$F12)+(N(Units!$F12)=0),DAY(EOMONTH(DATE(Dashboard!$C$4,5,1),0))))+N(Units!$G12)&lt;TODAY()),MAX(0,X12-N(I12)),0)</f>
        <v/>
      </c>
      <c r="AK12">
        <f>IF(AND(Y12&gt;0,DATE(Dashboard!$C$4,6,MIN(N(Units!$F12)+(N(Units!$F12)=0),DAY(EOMONTH(DATE(Dashboard!$C$4,6,1),0))))+N(Units!$G12)&lt;TODAY()),MAX(0,Y12-N(J12)),0)</f>
        <v/>
      </c>
      <c r="AL12">
        <f>IF(AND(Z12&gt;0,DATE(Dashboard!$C$4,7,MIN(N(Units!$F12)+(N(Units!$F12)=0),DAY(EOMONTH(DATE(Dashboard!$C$4,7,1),0))))+N(Units!$G12)&lt;TODAY()),MAX(0,Z12-N(K12)),0)</f>
        <v/>
      </c>
      <c r="AM12">
        <f>IF(AND(AA12&gt;0,DATE(Dashboard!$C$4,8,MIN(N(Units!$F12)+(N(Units!$F12)=0),DAY(EOMONTH(DATE(Dashboard!$C$4,8,1),0))))+N(Units!$G12)&lt;TODAY()),MAX(0,AA12-N(L12)),0)</f>
        <v/>
      </c>
      <c r="AN12">
        <f>IF(AND(AB12&gt;0,DATE(Dashboard!$C$4,9,MIN(N(Units!$F12)+(N(Units!$F12)=0),DAY(EOMONTH(DATE(Dashboard!$C$4,9,1),0))))+N(Units!$G12)&lt;TODAY()),MAX(0,AB12-N(M12)),0)</f>
        <v/>
      </c>
      <c r="AO12">
        <f>IF(AND(AC12&gt;0,DATE(Dashboard!$C$4,10,MIN(N(Units!$F12)+(N(Units!$F12)=0),DAY(EOMONTH(DATE(Dashboard!$C$4,10,1),0))))+N(Units!$G12)&lt;TODAY()),MAX(0,AC12-N(N12)),0)</f>
        <v/>
      </c>
      <c r="AP12">
        <f>IF(AND(AD12&gt;0,DATE(Dashboard!$C$4,11,MIN(N(Units!$F12)+(N(Units!$F12)=0),DAY(EOMONTH(DATE(Dashboard!$C$4,11,1),0))))+N(Units!$G12)&lt;TODAY()),MAX(0,AD12-N(O12)),0)</f>
        <v/>
      </c>
      <c r="AQ12">
        <f>IF(AND(AE12&gt;0,DATE(Dashboard!$C$4,12,MIN(N(Units!$F12)+(N(Units!$F12)=0),DAY(EOMONTH(DATE(Dashboard!$C$4,12,1),0))))+N(Units!$G12)&lt;TODAY()),MAX(0,AE12-N(P12)),0)</f>
        <v/>
      </c>
      <c r="AR12">
        <f>IF(B12="","",Units!C12)</f>
        <v/>
      </c>
    </row>
    <row r="13">
      <c r="A13" s="1" t="n"/>
      <c r="B13" s="20">
        <f>IF(Units!B13="","",Units!B13)</f>
        <v/>
      </c>
      <c r="C13" s="30">
        <f>IF(B13="","",Units!D13)</f>
        <v/>
      </c>
      <c r="D13" s="14">
        <f>IF(B13="","",Units!E13)</f>
        <v/>
      </c>
      <c r="E13" s="31">
        <f>IF($B13="","",IF(AND(SUMIFS('Rent log'!$D$6:$D$1005,'Rent log'!$C$6:$C$1005,$B13,'Rent log'!$H$6:$H$1005,"&gt;="&amp;DATE(Dashboard!$C$4,1,1),'Rent log'!$H$6:$H$1005,"&lt;="&amp;EOMONTH(DATE(Dashboard!$C$4,1,1),0))=0,DATE(Dashboard!$C$4,1,1)&gt;TODAY()),"",SUMIFS('Rent log'!$D$6:$D$1005,'Rent log'!$C$6:$C$1005,$B13,'Rent log'!$H$6:$H$1005,"&gt;="&amp;DATE(Dashboard!$C$4,1,1),'Rent log'!$H$6:$H$1005,"&lt;="&amp;EOMONTH(DATE(Dashboard!$C$4,1,1),0))))</f>
        <v/>
      </c>
      <c r="F13" s="31">
        <f>IF($B13="","",IF(AND(SUMIFS('Rent log'!$D$6:$D$1005,'Rent log'!$C$6:$C$1005,$B13,'Rent log'!$H$6:$H$1005,"&gt;="&amp;DATE(Dashboard!$C$4,2,1),'Rent log'!$H$6:$H$1005,"&lt;="&amp;EOMONTH(DATE(Dashboard!$C$4,2,1),0))=0,DATE(Dashboard!$C$4,2,1)&gt;TODAY()),"",SUMIFS('Rent log'!$D$6:$D$1005,'Rent log'!$C$6:$C$1005,$B13,'Rent log'!$H$6:$H$1005,"&gt;="&amp;DATE(Dashboard!$C$4,2,1),'Rent log'!$H$6:$H$1005,"&lt;="&amp;EOMONTH(DATE(Dashboard!$C$4,2,1),0))))</f>
        <v/>
      </c>
      <c r="G13" s="31">
        <f>IF($B13="","",IF(AND(SUMIFS('Rent log'!$D$6:$D$1005,'Rent log'!$C$6:$C$1005,$B13,'Rent log'!$H$6:$H$1005,"&gt;="&amp;DATE(Dashboard!$C$4,3,1),'Rent log'!$H$6:$H$1005,"&lt;="&amp;EOMONTH(DATE(Dashboard!$C$4,3,1),0))=0,DATE(Dashboard!$C$4,3,1)&gt;TODAY()),"",SUMIFS('Rent log'!$D$6:$D$1005,'Rent log'!$C$6:$C$1005,$B13,'Rent log'!$H$6:$H$1005,"&gt;="&amp;DATE(Dashboard!$C$4,3,1),'Rent log'!$H$6:$H$1005,"&lt;="&amp;EOMONTH(DATE(Dashboard!$C$4,3,1),0))))</f>
        <v/>
      </c>
      <c r="H13" s="31">
        <f>IF($B13="","",IF(AND(SUMIFS('Rent log'!$D$6:$D$1005,'Rent log'!$C$6:$C$1005,$B13,'Rent log'!$H$6:$H$1005,"&gt;="&amp;DATE(Dashboard!$C$4,4,1),'Rent log'!$H$6:$H$1005,"&lt;="&amp;EOMONTH(DATE(Dashboard!$C$4,4,1),0))=0,DATE(Dashboard!$C$4,4,1)&gt;TODAY()),"",SUMIFS('Rent log'!$D$6:$D$1005,'Rent log'!$C$6:$C$1005,$B13,'Rent log'!$H$6:$H$1005,"&gt;="&amp;DATE(Dashboard!$C$4,4,1),'Rent log'!$H$6:$H$1005,"&lt;="&amp;EOMONTH(DATE(Dashboard!$C$4,4,1),0))))</f>
        <v/>
      </c>
      <c r="I13" s="31">
        <f>IF($B13="","",IF(AND(SUMIFS('Rent log'!$D$6:$D$1005,'Rent log'!$C$6:$C$1005,$B13,'Rent log'!$H$6:$H$1005,"&gt;="&amp;DATE(Dashboard!$C$4,5,1),'Rent log'!$H$6:$H$1005,"&lt;="&amp;EOMONTH(DATE(Dashboard!$C$4,5,1),0))=0,DATE(Dashboard!$C$4,5,1)&gt;TODAY()),"",SUMIFS('Rent log'!$D$6:$D$1005,'Rent log'!$C$6:$C$1005,$B13,'Rent log'!$H$6:$H$1005,"&gt;="&amp;DATE(Dashboard!$C$4,5,1),'Rent log'!$H$6:$H$1005,"&lt;="&amp;EOMONTH(DATE(Dashboard!$C$4,5,1),0))))</f>
        <v/>
      </c>
      <c r="J13" s="31">
        <f>IF($B13="","",IF(AND(SUMIFS('Rent log'!$D$6:$D$1005,'Rent log'!$C$6:$C$1005,$B13,'Rent log'!$H$6:$H$1005,"&gt;="&amp;DATE(Dashboard!$C$4,6,1),'Rent log'!$H$6:$H$1005,"&lt;="&amp;EOMONTH(DATE(Dashboard!$C$4,6,1),0))=0,DATE(Dashboard!$C$4,6,1)&gt;TODAY()),"",SUMIFS('Rent log'!$D$6:$D$1005,'Rent log'!$C$6:$C$1005,$B13,'Rent log'!$H$6:$H$1005,"&gt;="&amp;DATE(Dashboard!$C$4,6,1),'Rent log'!$H$6:$H$1005,"&lt;="&amp;EOMONTH(DATE(Dashboard!$C$4,6,1),0))))</f>
        <v/>
      </c>
      <c r="K13" s="31">
        <f>IF($B13="","",IF(AND(SUMIFS('Rent log'!$D$6:$D$1005,'Rent log'!$C$6:$C$1005,$B13,'Rent log'!$H$6:$H$1005,"&gt;="&amp;DATE(Dashboard!$C$4,7,1),'Rent log'!$H$6:$H$1005,"&lt;="&amp;EOMONTH(DATE(Dashboard!$C$4,7,1),0))=0,DATE(Dashboard!$C$4,7,1)&gt;TODAY()),"",SUMIFS('Rent log'!$D$6:$D$1005,'Rent log'!$C$6:$C$1005,$B13,'Rent log'!$H$6:$H$1005,"&gt;="&amp;DATE(Dashboard!$C$4,7,1),'Rent log'!$H$6:$H$1005,"&lt;="&amp;EOMONTH(DATE(Dashboard!$C$4,7,1),0))))</f>
        <v/>
      </c>
      <c r="L13" s="31">
        <f>IF($B13="","",IF(AND(SUMIFS('Rent log'!$D$6:$D$1005,'Rent log'!$C$6:$C$1005,$B13,'Rent log'!$H$6:$H$1005,"&gt;="&amp;DATE(Dashboard!$C$4,8,1),'Rent log'!$H$6:$H$1005,"&lt;="&amp;EOMONTH(DATE(Dashboard!$C$4,8,1),0))=0,DATE(Dashboard!$C$4,8,1)&gt;TODAY()),"",SUMIFS('Rent log'!$D$6:$D$1005,'Rent log'!$C$6:$C$1005,$B13,'Rent log'!$H$6:$H$1005,"&gt;="&amp;DATE(Dashboard!$C$4,8,1),'Rent log'!$H$6:$H$1005,"&lt;="&amp;EOMONTH(DATE(Dashboard!$C$4,8,1),0))))</f>
        <v/>
      </c>
      <c r="M13" s="31">
        <f>IF($B13="","",IF(AND(SUMIFS('Rent log'!$D$6:$D$1005,'Rent log'!$C$6:$C$1005,$B13,'Rent log'!$H$6:$H$1005,"&gt;="&amp;DATE(Dashboard!$C$4,9,1),'Rent log'!$H$6:$H$1005,"&lt;="&amp;EOMONTH(DATE(Dashboard!$C$4,9,1),0))=0,DATE(Dashboard!$C$4,9,1)&gt;TODAY()),"",SUMIFS('Rent log'!$D$6:$D$1005,'Rent log'!$C$6:$C$1005,$B13,'Rent log'!$H$6:$H$1005,"&gt;="&amp;DATE(Dashboard!$C$4,9,1),'Rent log'!$H$6:$H$1005,"&lt;="&amp;EOMONTH(DATE(Dashboard!$C$4,9,1),0))))</f>
        <v/>
      </c>
      <c r="N13" s="31">
        <f>IF($B13="","",IF(AND(SUMIFS('Rent log'!$D$6:$D$1005,'Rent log'!$C$6:$C$1005,$B13,'Rent log'!$H$6:$H$1005,"&gt;="&amp;DATE(Dashboard!$C$4,10,1),'Rent log'!$H$6:$H$1005,"&lt;="&amp;EOMONTH(DATE(Dashboard!$C$4,10,1),0))=0,DATE(Dashboard!$C$4,10,1)&gt;TODAY()),"",SUMIFS('Rent log'!$D$6:$D$1005,'Rent log'!$C$6:$C$1005,$B13,'Rent log'!$H$6:$H$1005,"&gt;="&amp;DATE(Dashboard!$C$4,10,1),'Rent log'!$H$6:$H$1005,"&lt;="&amp;EOMONTH(DATE(Dashboard!$C$4,10,1),0))))</f>
        <v/>
      </c>
      <c r="O13" s="31">
        <f>IF($B13="","",IF(AND(SUMIFS('Rent log'!$D$6:$D$1005,'Rent log'!$C$6:$C$1005,$B13,'Rent log'!$H$6:$H$1005,"&gt;="&amp;DATE(Dashboard!$C$4,11,1),'Rent log'!$H$6:$H$1005,"&lt;="&amp;EOMONTH(DATE(Dashboard!$C$4,11,1),0))=0,DATE(Dashboard!$C$4,11,1)&gt;TODAY()),"",SUMIFS('Rent log'!$D$6:$D$1005,'Rent log'!$C$6:$C$1005,$B13,'Rent log'!$H$6:$H$1005,"&gt;="&amp;DATE(Dashboard!$C$4,11,1),'Rent log'!$H$6:$H$1005,"&lt;="&amp;EOMONTH(DATE(Dashboard!$C$4,11,1),0))))</f>
        <v/>
      </c>
      <c r="P13" s="31">
        <f>IF($B13="","",IF(AND(SUMIFS('Rent log'!$D$6:$D$1005,'Rent log'!$C$6:$C$1005,$B13,'Rent log'!$H$6:$H$1005,"&gt;="&amp;DATE(Dashboard!$C$4,12,1),'Rent log'!$H$6:$H$1005,"&lt;="&amp;EOMONTH(DATE(Dashboard!$C$4,12,1),0))=0,DATE(Dashboard!$C$4,12,1)&gt;TODAY()),"",SUMIFS('Rent log'!$D$6:$D$1005,'Rent log'!$C$6:$C$1005,$B13,'Rent log'!$H$6:$H$1005,"&gt;="&amp;DATE(Dashboard!$C$4,12,1),'Rent log'!$H$6:$H$1005,"&lt;="&amp;EOMONTH(DATE(Dashboard!$C$4,12,1),0))))</f>
        <v/>
      </c>
      <c r="Q13" s="22">
        <f>IF(B13="","",SUM(E13:P13))</f>
        <v/>
      </c>
      <c r="R13" s="22">
        <f>IF(B13="","",SUM(AF13:AQ13))</f>
        <v/>
      </c>
      <c r="S13" s="30">
        <f>IF(B13="","",IF(Dashboard!$C$4&lt;&gt;YEAR(TODAY()),"",IF(INDEX(T13:AE13,MONTH(TODAY()))=0,"No rent due",IF(N(INDEX(E13:P13,MONTH(TODAY())))&gt;=INDEX(T13:AE13,MONTH(TODAY())),"Paid",IF(TODAY()&gt;DATE(YEAR(TODAY()),MONTH(TODAY()),MIN(N(Units!$F13)+(N(Units!$F13)=0),DAY(EOMONTH(TODAY(),0))))+N(Units!$G13),"Late: "&amp;FIXED(INDEX(T13:AE13,MONTH(TODAY()))-N(INDEX(E13:P13,MONTH(TODAY()))),2)&amp;" owed",IF(N(INDEX(E13:P13,MONTH(TODAY())))&gt;0,"Part paid: "&amp;FIXED(INDEX(T13:AE13,MONTH(TODAY()))-N(INDEX(E13:P13,MONTH(TODAY()))),2)&amp;" left","Due on the "&amp;MIN(N(Units!$F13)+(N(Units!$F13)=0),DAY(EOMONTH(TODAY(),0)))&amp;IF(AND(MIN(N(Units!$F13)+(N(Units!$F13)=0),DAY(EOMONTH(TODAY(),0)))&gt;=11,MIN(N(Units!$F13)+(N(Units!$F13)=0),DAY(EOMONTH(TODAY(),0)))&lt;=13),"th",IF(MOD(MIN(N(Units!$F13)+(N(Units!$F13)=0),DAY(EOMONTH(TODAY(),0))),10)=1,"st",IF(MOD(MIN(N(Units!$F13)+(N(Units!$F13)=0),DAY(EOMONTH(TODAY(),0))),10)=2,"nd",IF(MOD(MIN(N(Units!$F13)+(N(Units!$F13)=0),DAY(EOMONTH(TODAY(),0))),10)=3,"rd","th"))))))))))</f>
        <v/>
      </c>
      <c r="T13" s="1">
        <f>IF($B13="",0,IF(AND(OR(Units!$H13="",Units!$H13&lt;=EOMONTH(DATE(Dashboard!$C$4,1,1),0)),OR(Units!$I13="",Units!$I13&gt;=DATE(Dashboard!$C$4,1,1))),N(Units!$E13),0))</f>
        <v/>
      </c>
      <c r="U13">
        <f>IF($B13="",0,IF(AND(OR(Units!$H13="",Units!$H13&lt;=EOMONTH(DATE(Dashboard!$C$4,2,1),0)),OR(Units!$I13="",Units!$I13&gt;=DATE(Dashboard!$C$4,2,1))),N(Units!$E13),0))</f>
        <v/>
      </c>
      <c r="V13">
        <f>IF($B13="",0,IF(AND(OR(Units!$H13="",Units!$H13&lt;=EOMONTH(DATE(Dashboard!$C$4,3,1),0)),OR(Units!$I13="",Units!$I13&gt;=DATE(Dashboard!$C$4,3,1))),N(Units!$E13),0))</f>
        <v/>
      </c>
      <c r="W13">
        <f>IF($B13="",0,IF(AND(OR(Units!$H13="",Units!$H13&lt;=EOMONTH(DATE(Dashboard!$C$4,4,1),0)),OR(Units!$I13="",Units!$I13&gt;=DATE(Dashboard!$C$4,4,1))),N(Units!$E13),0))</f>
        <v/>
      </c>
      <c r="X13">
        <f>IF($B13="",0,IF(AND(OR(Units!$H13="",Units!$H13&lt;=EOMONTH(DATE(Dashboard!$C$4,5,1),0)),OR(Units!$I13="",Units!$I13&gt;=DATE(Dashboard!$C$4,5,1))),N(Units!$E13),0))</f>
        <v/>
      </c>
      <c r="Y13">
        <f>IF($B13="",0,IF(AND(OR(Units!$H13="",Units!$H13&lt;=EOMONTH(DATE(Dashboard!$C$4,6,1),0)),OR(Units!$I13="",Units!$I13&gt;=DATE(Dashboard!$C$4,6,1))),N(Units!$E13),0))</f>
        <v/>
      </c>
      <c r="Z13">
        <f>IF($B13="",0,IF(AND(OR(Units!$H13="",Units!$H13&lt;=EOMONTH(DATE(Dashboard!$C$4,7,1),0)),OR(Units!$I13="",Units!$I13&gt;=DATE(Dashboard!$C$4,7,1))),N(Units!$E13),0))</f>
        <v/>
      </c>
      <c r="AA13">
        <f>IF($B13="",0,IF(AND(OR(Units!$H13="",Units!$H13&lt;=EOMONTH(DATE(Dashboard!$C$4,8,1),0)),OR(Units!$I13="",Units!$I13&gt;=DATE(Dashboard!$C$4,8,1))),N(Units!$E13),0))</f>
        <v/>
      </c>
      <c r="AB13">
        <f>IF($B13="",0,IF(AND(OR(Units!$H13="",Units!$H13&lt;=EOMONTH(DATE(Dashboard!$C$4,9,1),0)),OR(Units!$I13="",Units!$I13&gt;=DATE(Dashboard!$C$4,9,1))),N(Units!$E13),0))</f>
        <v/>
      </c>
      <c r="AC13">
        <f>IF($B13="",0,IF(AND(OR(Units!$H13="",Units!$H13&lt;=EOMONTH(DATE(Dashboard!$C$4,10,1),0)),OR(Units!$I13="",Units!$I13&gt;=DATE(Dashboard!$C$4,10,1))),N(Units!$E13),0))</f>
        <v/>
      </c>
      <c r="AD13">
        <f>IF($B13="",0,IF(AND(OR(Units!$H13="",Units!$H13&lt;=EOMONTH(DATE(Dashboard!$C$4,11,1),0)),OR(Units!$I13="",Units!$I13&gt;=DATE(Dashboard!$C$4,11,1))),N(Units!$E13),0))</f>
        <v/>
      </c>
      <c r="AE13">
        <f>IF($B13="",0,IF(AND(OR(Units!$H13="",Units!$H13&lt;=EOMONTH(DATE(Dashboard!$C$4,12,1),0)),OR(Units!$I13="",Units!$I13&gt;=DATE(Dashboard!$C$4,12,1))),N(Units!$E13),0))</f>
        <v/>
      </c>
      <c r="AF13">
        <f>IF(AND(T13&gt;0,DATE(Dashboard!$C$4,1,MIN(N(Units!$F13)+(N(Units!$F13)=0),DAY(EOMONTH(DATE(Dashboard!$C$4,1,1),0))))+N(Units!$G13)&lt;TODAY()),MAX(0,T13-N(E13)),0)</f>
        <v/>
      </c>
      <c r="AG13">
        <f>IF(AND(U13&gt;0,DATE(Dashboard!$C$4,2,MIN(N(Units!$F13)+(N(Units!$F13)=0),DAY(EOMONTH(DATE(Dashboard!$C$4,2,1),0))))+N(Units!$G13)&lt;TODAY()),MAX(0,U13-N(F13)),0)</f>
        <v/>
      </c>
      <c r="AH13">
        <f>IF(AND(V13&gt;0,DATE(Dashboard!$C$4,3,MIN(N(Units!$F13)+(N(Units!$F13)=0),DAY(EOMONTH(DATE(Dashboard!$C$4,3,1),0))))+N(Units!$G13)&lt;TODAY()),MAX(0,V13-N(G13)),0)</f>
        <v/>
      </c>
      <c r="AI13">
        <f>IF(AND(W13&gt;0,DATE(Dashboard!$C$4,4,MIN(N(Units!$F13)+(N(Units!$F13)=0),DAY(EOMONTH(DATE(Dashboard!$C$4,4,1),0))))+N(Units!$G13)&lt;TODAY()),MAX(0,W13-N(H13)),0)</f>
        <v/>
      </c>
      <c r="AJ13">
        <f>IF(AND(X13&gt;0,DATE(Dashboard!$C$4,5,MIN(N(Units!$F13)+(N(Units!$F13)=0),DAY(EOMONTH(DATE(Dashboard!$C$4,5,1),0))))+N(Units!$G13)&lt;TODAY()),MAX(0,X13-N(I13)),0)</f>
        <v/>
      </c>
      <c r="AK13">
        <f>IF(AND(Y13&gt;0,DATE(Dashboard!$C$4,6,MIN(N(Units!$F13)+(N(Units!$F13)=0),DAY(EOMONTH(DATE(Dashboard!$C$4,6,1),0))))+N(Units!$G13)&lt;TODAY()),MAX(0,Y13-N(J13)),0)</f>
        <v/>
      </c>
      <c r="AL13">
        <f>IF(AND(Z13&gt;0,DATE(Dashboard!$C$4,7,MIN(N(Units!$F13)+(N(Units!$F13)=0),DAY(EOMONTH(DATE(Dashboard!$C$4,7,1),0))))+N(Units!$G13)&lt;TODAY()),MAX(0,Z13-N(K13)),0)</f>
        <v/>
      </c>
      <c r="AM13">
        <f>IF(AND(AA13&gt;0,DATE(Dashboard!$C$4,8,MIN(N(Units!$F13)+(N(Units!$F13)=0),DAY(EOMONTH(DATE(Dashboard!$C$4,8,1),0))))+N(Units!$G13)&lt;TODAY()),MAX(0,AA13-N(L13)),0)</f>
        <v/>
      </c>
      <c r="AN13">
        <f>IF(AND(AB13&gt;0,DATE(Dashboard!$C$4,9,MIN(N(Units!$F13)+(N(Units!$F13)=0),DAY(EOMONTH(DATE(Dashboard!$C$4,9,1),0))))+N(Units!$G13)&lt;TODAY()),MAX(0,AB13-N(M13)),0)</f>
        <v/>
      </c>
      <c r="AO13">
        <f>IF(AND(AC13&gt;0,DATE(Dashboard!$C$4,10,MIN(N(Units!$F13)+(N(Units!$F13)=0),DAY(EOMONTH(DATE(Dashboard!$C$4,10,1),0))))+N(Units!$G13)&lt;TODAY()),MAX(0,AC13-N(N13)),0)</f>
        <v/>
      </c>
      <c r="AP13">
        <f>IF(AND(AD13&gt;0,DATE(Dashboard!$C$4,11,MIN(N(Units!$F13)+(N(Units!$F13)=0),DAY(EOMONTH(DATE(Dashboard!$C$4,11,1),0))))+N(Units!$G13)&lt;TODAY()),MAX(0,AD13-N(O13)),0)</f>
        <v/>
      </c>
      <c r="AQ13">
        <f>IF(AND(AE13&gt;0,DATE(Dashboard!$C$4,12,MIN(N(Units!$F13)+(N(Units!$F13)=0),DAY(EOMONTH(DATE(Dashboard!$C$4,12,1),0))))+N(Units!$G13)&lt;TODAY()),MAX(0,AE13-N(P13)),0)</f>
        <v/>
      </c>
      <c r="AR13">
        <f>IF(B13="","",Units!C13)</f>
        <v/>
      </c>
    </row>
    <row r="14">
      <c r="A14" s="1" t="n"/>
      <c r="B14" s="20">
        <f>IF(Units!B14="","",Units!B14)</f>
        <v/>
      </c>
      <c r="C14" s="30">
        <f>IF(B14="","",Units!D14)</f>
        <v/>
      </c>
      <c r="D14" s="14">
        <f>IF(B14="","",Units!E14)</f>
        <v/>
      </c>
      <c r="E14" s="31">
        <f>IF($B14="","",IF(AND(SUMIFS('Rent log'!$D$6:$D$1005,'Rent log'!$C$6:$C$1005,$B14,'Rent log'!$H$6:$H$1005,"&gt;="&amp;DATE(Dashboard!$C$4,1,1),'Rent log'!$H$6:$H$1005,"&lt;="&amp;EOMONTH(DATE(Dashboard!$C$4,1,1),0))=0,DATE(Dashboard!$C$4,1,1)&gt;TODAY()),"",SUMIFS('Rent log'!$D$6:$D$1005,'Rent log'!$C$6:$C$1005,$B14,'Rent log'!$H$6:$H$1005,"&gt;="&amp;DATE(Dashboard!$C$4,1,1),'Rent log'!$H$6:$H$1005,"&lt;="&amp;EOMONTH(DATE(Dashboard!$C$4,1,1),0))))</f>
        <v/>
      </c>
      <c r="F14" s="31">
        <f>IF($B14="","",IF(AND(SUMIFS('Rent log'!$D$6:$D$1005,'Rent log'!$C$6:$C$1005,$B14,'Rent log'!$H$6:$H$1005,"&gt;="&amp;DATE(Dashboard!$C$4,2,1),'Rent log'!$H$6:$H$1005,"&lt;="&amp;EOMONTH(DATE(Dashboard!$C$4,2,1),0))=0,DATE(Dashboard!$C$4,2,1)&gt;TODAY()),"",SUMIFS('Rent log'!$D$6:$D$1005,'Rent log'!$C$6:$C$1005,$B14,'Rent log'!$H$6:$H$1005,"&gt;="&amp;DATE(Dashboard!$C$4,2,1),'Rent log'!$H$6:$H$1005,"&lt;="&amp;EOMONTH(DATE(Dashboard!$C$4,2,1),0))))</f>
        <v/>
      </c>
      <c r="G14" s="31">
        <f>IF($B14="","",IF(AND(SUMIFS('Rent log'!$D$6:$D$1005,'Rent log'!$C$6:$C$1005,$B14,'Rent log'!$H$6:$H$1005,"&gt;="&amp;DATE(Dashboard!$C$4,3,1),'Rent log'!$H$6:$H$1005,"&lt;="&amp;EOMONTH(DATE(Dashboard!$C$4,3,1),0))=0,DATE(Dashboard!$C$4,3,1)&gt;TODAY()),"",SUMIFS('Rent log'!$D$6:$D$1005,'Rent log'!$C$6:$C$1005,$B14,'Rent log'!$H$6:$H$1005,"&gt;="&amp;DATE(Dashboard!$C$4,3,1),'Rent log'!$H$6:$H$1005,"&lt;="&amp;EOMONTH(DATE(Dashboard!$C$4,3,1),0))))</f>
        <v/>
      </c>
      <c r="H14" s="31">
        <f>IF($B14="","",IF(AND(SUMIFS('Rent log'!$D$6:$D$1005,'Rent log'!$C$6:$C$1005,$B14,'Rent log'!$H$6:$H$1005,"&gt;="&amp;DATE(Dashboard!$C$4,4,1),'Rent log'!$H$6:$H$1005,"&lt;="&amp;EOMONTH(DATE(Dashboard!$C$4,4,1),0))=0,DATE(Dashboard!$C$4,4,1)&gt;TODAY()),"",SUMIFS('Rent log'!$D$6:$D$1005,'Rent log'!$C$6:$C$1005,$B14,'Rent log'!$H$6:$H$1005,"&gt;="&amp;DATE(Dashboard!$C$4,4,1),'Rent log'!$H$6:$H$1005,"&lt;="&amp;EOMONTH(DATE(Dashboard!$C$4,4,1),0))))</f>
        <v/>
      </c>
      <c r="I14" s="31">
        <f>IF($B14="","",IF(AND(SUMIFS('Rent log'!$D$6:$D$1005,'Rent log'!$C$6:$C$1005,$B14,'Rent log'!$H$6:$H$1005,"&gt;="&amp;DATE(Dashboard!$C$4,5,1),'Rent log'!$H$6:$H$1005,"&lt;="&amp;EOMONTH(DATE(Dashboard!$C$4,5,1),0))=0,DATE(Dashboard!$C$4,5,1)&gt;TODAY()),"",SUMIFS('Rent log'!$D$6:$D$1005,'Rent log'!$C$6:$C$1005,$B14,'Rent log'!$H$6:$H$1005,"&gt;="&amp;DATE(Dashboard!$C$4,5,1),'Rent log'!$H$6:$H$1005,"&lt;="&amp;EOMONTH(DATE(Dashboard!$C$4,5,1),0))))</f>
        <v/>
      </c>
      <c r="J14" s="31">
        <f>IF($B14="","",IF(AND(SUMIFS('Rent log'!$D$6:$D$1005,'Rent log'!$C$6:$C$1005,$B14,'Rent log'!$H$6:$H$1005,"&gt;="&amp;DATE(Dashboard!$C$4,6,1),'Rent log'!$H$6:$H$1005,"&lt;="&amp;EOMONTH(DATE(Dashboard!$C$4,6,1),0))=0,DATE(Dashboard!$C$4,6,1)&gt;TODAY()),"",SUMIFS('Rent log'!$D$6:$D$1005,'Rent log'!$C$6:$C$1005,$B14,'Rent log'!$H$6:$H$1005,"&gt;="&amp;DATE(Dashboard!$C$4,6,1),'Rent log'!$H$6:$H$1005,"&lt;="&amp;EOMONTH(DATE(Dashboard!$C$4,6,1),0))))</f>
        <v/>
      </c>
      <c r="K14" s="31">
        <f>IF($B14="","",IF(AND(SUMIFS('Rent log'!$D$6:$D$1005,'Rent log'!$C$6:$C$1005,$B14,'Rent log'!$H$6:$H$1005,"&gt;="&amp;DATE(Dashboard!$C$4,7,1),'Rent log'!$H$6:$H$1005,"&lt;="&amp;EOMONTH(DATE(Dashboard!$C$4,7,1),0))=0,DATE(Dashboard!$C$4,7,1)&gt;TODAY()),"",SUMIFS('Rent log'!$D$6:$D$1005,'Rent log'!$C$6:$C$1005,$B14,'Rent log'!$H$6:$H$1005,"&gt;="&amp;DATE(Dashboard!$C$4,7,1),'Rent log'!$H$6:$H$1005,"&lt;="&amp;EOMONTH(DATE(Dashboard!$C$4,7,1),0))))</f>
        <v/>
      </c>
      <c r="L14" s="31">
        <f>IF($B14="","",IF(AND(SUMIFS('Rent log'!$D$6:$D$1005,'Rent log'!$C$6:$C$1005,$B14,'Rent log'!$H$6:$H$1005,"&gt;="&amp;DATE(Dashboard!$C$4,8,1),'Rent log'!$H$6:$H$1005,"&lt;="&amp;EOMONTH(DATE(Dashboard!$C$4,8,1),0))=0,DATE(Dashboard!$C$4,8,1)&gt;TODAY()),"",SUMIFS('Rent log'!$D$6:$D$1005,'Rent log'!$C$6:$C$1005,$B14,'Rent log'!$H$6:$H$1005,"&gt;="&amp;DATE(Dashboard!$C$4,8,1),'Rent log'!$H$6:$H$1005,"&lt;="&amp;EOMONTH(DATE(Dashboard!$C$4,8,1),0))))</f>
        <v/>
      </c>
      <c r="M14" s="31">
        <f>IF($B14="","",IF(AND(SUMIFS('Rent log'!$D$6:$D$1005,'Rent log'!$C$6:$C$1005,$B14,'Rent log'!$H$6:$H$1005,"&gt;="&amp;DATE(Dashboard!$C$4,9,1),'Rent log'!$H$6:$H$1005,"&lt;="&amp;EOMONTH(DATE(Dashboard!$C$4,9,1),0))=0,DATE(Dashboard!$C$4,9,1)&gt;TODAY()),"",SUMIFS('Rent log'!$D$6:$D$1005,'Rent log'!$C$6:$C$1005,$B14,'Rent log'!$H$6:$H$1005,"&gt;="&amp;DATE(Dashboard!$C$4,9,1),'Rent log'!$H$6:$H$1005,"&lt;="&amp;EOMONTH(DATE(Dashboard!$C$4,9,1),0))))</f>
        <v/>
      </c>
      <c r="N14" s="31">
        <f>IF($B14="","",IF(AND(SUMIFS('Rent log'!$D$6:$D$1005,'Rent log'!$C$6:$C$1005,$B14,'Rent log'!$H$6:$H$1005,"&gt;="&amp;DATE(Dashboard!$C$4,10,1),'Rent log'!$H$6:$H$1005,"&lt;="&amp;EOMONTH(DATE(Dashboard!$C$4,10,1),0))=0,DATE(Dashboard!$C$4,10,1)&gt;TODAY()),"",SUMIFS('Rent log'!$D$6:$D$1005,'Rent log'!$C$6:$C$1005,$B14,'Rent log'!$H$6:$H$1005,"&gt;="&amp;DATE(Dashboard!$C$4,10,1),'Rent log'!$H$6:$H$1005,"&lt;="&amp;EOMONTH(DATE(Dashboard!$C$4,10,1),0))))</f>
        <v/>
      </c>
      <c r="O14" s="31">
        <f>IF($B14="","",IF(AND(SUMIFS('Rent log'!$D$6:$D$1005,'Rent log'!$C$6:$C$1005,$B14,'Rent log'!$H$6:$H$1005,"&gt;="&amp;DATE(Dashboard!$C$4,11,1),'Rent log'!$H$6:$H$1005,"&lt;="&amp;EOMONTH(DATE(Dashboard!$C$4,11,1),0))=0,DATE(Dashboard!$C$4,11,1)&gt;TODAY()),"",SUMIFS('Rent log'!$D$6:$D$1005,'Rent log'!$C$6:$C$1005,$B14,'Rent log'!$H$6:$H$1005,"&gt;="&amp;DATE(Dashboard!$C$4,11,1),'Rent log'!$H$6:$H$1005,"&lt;="&amp;EOMONTH(DATE(Dashboard!$C$4,11,1),0))))</f>
        <v/>
      </c>
      <c r="P14" s="31">
        <f>IF($B14="","",IF(AND(SUMIFS('Rent log'!$D$6:$D$1005,'Rent log'!$C$6:$C$1005,$B14,'Rent log'!$H$6:$H$1005,"&gt;="&amp;DATE(Dashboard!$C$4,12,1),'Rent log'!$H$6:$H$1005,"&lt;="&amp;EOMONTH(DATE(Dashboard!$C$4,12,1),0))=0,DATE(Dashboard!$C$4,12,1)&gt;TODAY()),"",SUMIFS('Rent log'!$D$6:$D$1005,'Rent log'!$C$6:$C$1005,$B14,'Rent log'!$H$6:$H$1005,"&gt;="&amp;DATE(Dashboard!$C$4,12,1),'Rent log'!$H$6:$H$1005,"&lt;="&amp;EOMONTH(DATE(Dashboard!$C$4,12,1),0))))</f>
        <v/>
      </c>
      <c r="Q14" s="22">
        <f>IF(B14="","",SUM(E14:P14))</f>
        <v/>
      </c>
      <c r="R14" s="22">
        <f>IF(B14="","",SUM(AF14:AQ14))</f>
        <v/>
      </c>
      <c r="S14" s="30">
        <f>IF(B14="","",IF(Dashboard!$C$4&lt;&gt;YEAR(TODAY()),"",IF(INDEX(T14:AE14,MONTH(TODAY()))=0,"No rent due",IF(N(INDEX(E14:P14,MONTH(TODAY())))&gt;=INDEX(T14:AE14,MONTH(TODAY())),"Paid",IF(TODAY()&gt;DATE(YEAR(TODAY()),MONTH(TODAY()),MIN(N(Units!$F14)+(N(Units!$F14)=0),DAY(EOMONTH(TODAY(),0))))+N(Units!$G14),"Late: "&amp;FIXED(INDEX(T14:AE14,MONTH(TODAY()))-N(INDEX(E14:P14,MONTH(TODAY()))),2)&amp;" owed",IF(N(INDEX(E14:P14,MONTH(TODAY())))&gt;0,"Part paid: "&amp;FIXED(INDEX(T14:AE14,MONTH(TODAY()))-N(INDEX(E14:P14,MONTH(TODAY()))),2)&amp;" left","Due on the "&amp;MIN(N(Units!$F14)+(N(Units!$F14)=0),DAY(EOMONTH(TODAY(),0)))&amp;IF(AND(MIN(N(Units!$F14)+(N(Units!$F14)=0),DAY(EOMONTH(TODAY(),0)))&gt;=11,MIN(N(Units!$F14)+(N(Units!$F14)=0),DAY(EOMONTH(TODAY(),0)))&lt;=13),"th",IF(MOD(MIN(N(Units!$F14)+(N(Units!$F14)=0),DAY(EOMONTH(TODAY(),0))),10)=1,"st",IF(MOD(MIN(N(Units!$F14)+(N(Units!$F14)=0),DAY(EOMONTH(TODAY(),0))),10)=2,"nd",IF(MOD(MIN(N(Units!$F14)+(N(Units!$F14)=0),DAY(EOMONTH(TODAY(),0))),10)=3,"rd","th"))))))))))</f>
        <v/>
      </c>
      <c r="T14" s="1">
        <f>IF($B14="",0,IF(AND(OR(Units!$H14="",Units!$H14&lt;=EOMONTH(DATE(Dashboard!$C$4,1,1),0)),OR(Units!$I14="",Units!$I14&gt;=DATE(Dashboard!$C$4,1,1))),N(Units!$E14),0))</f>
        <v/>
      </c>
      <c r="U14">
        <f>IF($B14="",0,IF(AND(OR(Units!$H14="",Units!$H14&lt;=EOMONTH(DATE(Dashboard!$C$4,2,1),0)),OR(Units!$I14="",Units!$I14&gt;=DATE(Dashboard!$C$4,2,1))),N(Units!$E14),0))</f>
        <v/>
      </c>
      <c r="V14">
        <f>IF($B14="",0,IF(AND(OR(Units!$H14="",Units!$H14&lt;=EOMONTH(DATE(Dashboard!$C$4,3,1),0)),OR(Units!$I14="",Units!$I14&gt;=DATE(Dashboard!$C$4,3,1))),N(Units!$E14),0))</f>
        <v/>
      </c>
      <c r="W14">
        <f>IF($B14="",0,IF(AND(OR(Units!$H14="",Units!$H14&lt;=EOMONTH(DATE(Dashboard!$C$4,4,1),0)),OR(Units!$I14="",Units!$I14&gt;=DATE(Dashboard!$C$4,4,1))),N(Units!$E14),0))</f>
        <v/>
      </c>
      <c r="X14">
        <f>IF($B14="",0,IF(AND(OR(Units!$H14="",Units!$H14&lt;=EOMONTH(DATE(Dashboard!$C$4,5,1),0)),OR(Units!$I14="",Units!$I14&gt;=DATE(Dashboard!$C$4,5,1))),N(Units!$E14),0))</f>
        <v/>
      </c>
      <c r="Y14">
        <f>IF($B14="",0,IF(AND(OR(Units!$H14="",Units!$H14&lt;=EOMONTH(DATE(Dashboard!$C$4,6,1),0)),OR(Units!$I14="",Units!$I14&gt;=DATE(Dashboard!$C$4,6,1))),N(Units!$E14),0))</f>
        <v/>
      </c>
      <c r="Z14">
        <f>IF($B14="",0,IF(AND(OR(Units!$H14="",Units!$H14&lt;=EOMONTH(DATE(Dashboard!$C$4,7,1),0)),OR(Units!$I14="",Units!$I14&gt;=DATE(Dashboard!$C$4,7,1))),N(Units!$E14),0))</f>
        <v/>
      </c>
      <c r="AA14">
        <f>IF($B14="",0,IF(AND(OR(Units!$H14="",Units!$H14&lt;=EOMONTH(DATE(Dashboard!$C$4,8,1),0)),OR(Units!$I14="",Units!$I14&gt;=DATE(Dashboard!$C$4,8,1))),N(Units!$E14),0))</f>
        <v/>
      </c>
      <c r="AB14">
        <f>IF($B14="",0,IF(AND(OR(Units!$H14="",Units!$H14&lt;=EOMONTH(DATE(Dashboard!$C$4,9,1),0)),OR(Units!$I14="",Units!$I14&gt;=DATE(Dashboard!$C$4,9,1))),N(Units!$E14),0))</f>
        <v/>
      </c>
      <c r="AC14">
        <f>IF($B14="",0,IF(AND(OR(Units!$H14="",Units!$H14&lt;=EOMONTH(DATE(Dashboard!$C$4,10,1),0)),OR(Units!$I14="",Units!$I14&gt;=DATE(Dashboard!$C$4,10,1))),N(Units!$E14),0))</f>
        <v/>
      </c>
      <c r="AD14">
        <f>IF($B14="",0,IF(AND(OR(Units!$H14="",Units!$H14&lt;=EOMONTH(DATE(Dashboard!$C$4,11,1),0)),OR(Units!$I14="",Units!$I14&gt;=DATE(Dashboard!$C$4,11,1))),N(Units!$E14),0))</f>
        <v/>
      </c>
      <c r="AE14">
        <f>IF($B14="",0,IF(AND(OR(Units!$H14="",Units!$H14&lt;=EOMONTH(DATE(Dashboard!$C$4,12,1),0)),OR(Units!$I14="",Units!$I14&gt;=DATE(Dashboard!$C$4,12,1))),N(Units!$E14),0))</f>
        <v/>
      </c>
      <c r="AF14">
        <f>IF(AND(T14&gt;0,DATE(Dashboard!$C$4,1,MIN(N(Units!$F14)+(N(Units!$F14)=0),DAY(EOMONTH(DATE(Dashboard!$C$4,1,1),0))))+N(Units!$G14)&lt;TODAY()),MAX(0,T14-N(E14)),0)</f>
        <v/>
      </c>
      <c r="AG14">
        <f>IF(AND(U14&gt;0,DATE(Dashboard!$C$4,2,MIN(N(Units!$F14)+(N(Units!$F14)=0),DAY(EOMONTH(DATE(Dashboard!$C$4,2,1),0))))+N(Units!$G14)&lt;TODAY()),MAX(0,U14-N(F14)),0)</f>
        <v/>
      </c>
      <c r="AH14">
        <f>IF(AND(V14&gt;0,DATE(Dashboard!$C$4,3,MIN(N(Units!$F14)+(N(Units!$F14)=0),DAY(EOMONTH(DATE(Dashboard!$C$4,3,1),0))))+N(Units!$G14)&lt;TODAY()),MAX(0,V14-N(G14)),0)</f>
        <v/>
      </c>
      <c r="AI14">
        <f>IF(AND(W14&gt;0,DATE(Dashboard!$C$4,4,MIN(N(Units!$F14)+(N(Units!$F14)=0),DAY(EOMONTH(DATE(Dashboard!$C$4,4,1),0))))+N(Units!$G14)&lt;TODAY()),MAX(0,W14-N(H14)),0)</f>
        <v/>
      </c>
      <c r="AJ14">
        <f>IF(AND(X14&gt;0,DATE(Dashboard!$C$4,5,MIN(N(Units!$F14)+(N(Units!$F14)=0),DAY(EOMONTH(DATE(Dashboard!$C$4,5,1),0))))+N(Units!$G14)&lt;TODAY()),MAX(0,X14-N(I14)),0)</f>
        <v/>
      </c>
      <c r="AK14">
        <f>IF(AND(Y14&gt;0,DATE(Dashboard!$C$4,6,MIN(N(Units!$F14)+(N(Units!$F14)=0),DAY(EOMONTH(DATE(Dashboard!$C$4,6,1),0))))+N(Units!$G14)&lt;TODAY()),MAX(0,Y14-N(J14)),0)</f>
        <v/>
      </c>
      <c r="AL14">
        <f>IF(AND(Z14&gt;0,DATE(Dashboard!$C$4,7,MIN(N(Units!$F14)+(N(Units!$F14)=0),DAY(EOMONTH(DATE(Dashboard!$C$4,7,1),0))))+N(Units!$G14)&lt;TODAY()),MAX(0,Z14-N(K14)),0)</f>
        <v/>
      </c>
      <c r="AM14">
        <f>IF(AND(AA14&gt;0,DATE(Dashboard!$C$4,8,MIN(N(Units!$F14)+(N(Units!$F14)=0),DAY(EOMONTH(DATE(Dashboard!$C$4,8,1),0))))+N(Units!$G14)&lt;TODAY()),MAX(0,AA14-N(L14)),0)</f>
        <v/>
      </c>
      <c r="AN14">
        <f>IF(AND(AB14&gt;0,DATE(Dashboard!$C$4,9,MIN(N(Units!$F14)+(N(Units!$F14)=0),DAY(EOMONTH(DATE(Dashboard!$C$4,9,1),0))))+N(Units!$G14)&lt;TODAY()),MAX(0,AB14-N(M14)),0)</f>
        <v/>
      </c>
      <c r="AO14">
        <f>IF(AND(AC14&gt;0,DATE(Dashboard!$C$4,10,MIN(N(Units!$F14)+(N(Units!$F14)=0),DAY(EOMONTH(DATE(Dashboard!$C$4,10,1),0))))+N(Units!$G14)&lt;TODAY()),MAX(0,AC14-N(N14)),0)</f>
        <v/>
      </c>
      <c r="AP14">
        <f>IF(AND(AD14&gt;0,DATE(Dashboard!$C$4,11,MIN(N(Units!$F14)+(N(Units!$F14)=0),DAY(EOMONTH(DATE(Dashboard!$C$4,11,1),0))))+N(Units!$G14)&lt;TODAY()),MAX(0,AD14-N(O14)),0)</f>
        <v/>
      </c>
      <c r="AQ14">
        <f>IF(AND(AE14&gt;0,DATE(Dashboard!$C$4,12,MIN(N(Units!$F14)+(N(Units!$F14)=0),DAY(EOMONTH(DATE(Dashboard!$C$4,12,1),0))))+N(Units!$G14)&lt;TODAY()),MAX(0,AE14-N(P14)),0)</f>
        <v/>
      </c>
      <c r="AR14">
        <f>IF(B14="","",Units!C14)</f>
        <v/>
      </c>
    </row>
    <row r="15">
      <c r="A15" s="1" t="n"/>
      <c r="B15" s="20">
        <f>IF(Units!B15="","",Units!B15)</f>
        <v/>
      </c>
      <c r="C15" s="30">
        <f>IF(B15="","",Units!D15)</f>
        <v/>
      </c>
      <c r="D15" s="14">
        <f>IF(B15="","",Units!E15)</f>
        <v/>
      </c>
      <c r="E15" s="31">
        <f>IF($B15="","",IF(AND(SUMIFS('Rent log'!$D$6:$D$1005,'Rent log'!$C$6:$C$1005,$B15,'Rent log'!$H$6:$H$1005,"&gt;="&amp;DATE(Dashboard!$C$4,1,1),'Rent log'!$H$6:$H$1005,"&lt;="&amp;EOMONTH(DATE(Dashboard!$C$4,1,1),0))=0,DATE(Dashboard!$C$4,1,1)&gt;TODAY()),"",SUMIFS('Rent log'!$D$6:$D$1005,'Rent log'!$C$6:$C$1005,$B15,'Rent log'!$H$6:$H$1005,"&gt;="&amp;DATE(Dashboard!$C$4,1,1),'Rent log'!$H$6:$H$1005,"&lt;="&amp;EOMONTH(DATE(Dashboard!$C$4,1,1),0))))</f>
        <v/>
      </c>
      <c r="F15" s="31">
        <f>IF($B15="","",IF(AND(SUMIFS('Rent log'!$D$6:$D$1005,'Rent log'!$C$6:$C$1005,$B15,'Rent log'!$H$6:$H$1005,"&gt;="&amp;DATE(Dashboard!$C$4,2,1),'Rent log'!$H$6:$H$1005,"&lt;="&amp;EOMONTH(DATE(Dashboard!$C$4,2,1),0))=0,DATE(Dashboard!$C$4,2,1)&gt;TODAY()),"",SUMIFS('Rent log'!$D$6:$D$1005,'Rent log'!$C$6:$C$1005,$B15,'Rent log'!$H$6:$H$1005,"&gt;="&amp;DATE(Dashboard!$C$4,2,1),'Rent log'!$H$6:$H$1005,"&lt;="&amp;EOMONTH(DATE(Dashboard!$C$4,2,1),0))))</f>
        <v/>
      </c>
      <c r="G15" s="31">
        <f>IF($B15="","",IF(AND(SUMIFS('Rent log'!$D$6:$D$1005,'Rent log'!$C$6:$C$1005,$B15,'Rent log'!$H$6:$H$1005,"&gt;="&amp;DATE(Dashboard!$C$4,3,1),'Rent log'!$H$6:$H$1005,"&lt;="&amp;EOMONTH(DATE(Dashboard!$C$4,3,1),0))=0,DATE(Dashboard!$C$4,3,1)&gt;TODAY()),"",SUMIFS('Rent log'!$D$6:$D$1005,'Rent log'!$C$6:$C$1005,$B15,'Rent log'!$H$6:$H$1005,"&gt;="&amp;DATE(Dashboard!$C$4,3,1),'Rent log'!$H$6:$H$1005,"&lt;="&amp;EOMONTH(DATE(Dashboard!$C$4,3,1),0))))</f>
        <v/>
      </c>
      <c r="H15" s="31">
        <f>IF($B15="","",IF(AND(SUMIFS('Rent log'!$D$6:$D$1005,'Rent log'!$C$6:$C$1005,$B15,'Rent log'!$H$6:$H$1005,"&gt;="&amp;DATE(Dashboard!$C$4,4,1),'Rent log'!$H$6:$H$1005,"&lt;="&amp;EOMONTH(DATE(Dashboard!$C$4,4,1),0))=0,DATE(Dashboard!$C$4,4,1)&gt;TODAY()),"",SUMIFS('Rent log'!$D$6:$D$1005,'Rent log'!$C$6:$C$1005,$B15,'Rent log'!$H$6:$H$1005,"&gt;="&amp;DATE(Dashboard!$C$4,4,1),'Rent log'!$H$6:$H$1005,"&lt;="&amp;EOMONTH(DATE(Dashboard!$C$4,4,1),0))))</f>
        <v/>
      </c>
      <c r="I15" s="31">
        <f>IF($B15="","",IF(AND(SUMIFS('Rent log'!$D$6:$D$1005,'Rent log'!$C$6:$C$1005,$B15,'Rent log'!$H$6:$H$1005,"&gt;="&amp;DATE(Dashboard!$C$4,5,1),'Rent log'!$H$6:$H$1005,"&lt;="&amp;EOMONTH(DATE(Dashboard!$C$4,5,1),0))=0,DATE(Dashboard!$C$4,5,1)&gt;TODAY()),"",SUMIFS('Rent log'!$D$6:$D$1005,'Rent log'!$C$6:$C$1005,$B15,'Rent log'!$H$6:$H$1005,"&gt;="&amp;DATE(Dashboard!$C$4,5,1),'Rent log'!$H$6:$H$1005,"&lt;="&amp;EOMONTH(DATE(Dashboard!$C$4,5,1),0))))</f>
        <v/>
      </c>
      <c r="J15" s="31">
        <f>IF($B15="","",IF(AND(SUMIFS('Rent log'!$D$6:$D$1005,'Rent log'!$C$6:$C$1005,$B15,'Rent log'!$H$6:$H$1005,"&gt;="&amp;DATE(Dashboard!$C$4,6,1),'Rent log'!$H$6:$H$1005,"&lt;="&amp;EOMONTH(DATE(Dashboard!$C$4,6,1),0))=0,DATE(Dashboard!$C$4,6,1)&gt;TODAY()),"",SUMIFS('Rent log'!$D$6:$D$1005,'Rent log'!$C$6:$C$1005,$B15,'Rent log'!$H$6:$H$1005,"&gt;="&amp;DATE(Dashboard!$C$4,6,1),'Rent log'!$H$6:$H$1005,"&lt;="&amp;EOMONTH(DATE(Dashboard!$C$4,6,1),0))))</f>
        <v/>
      </c>
      <c r="K15" s="31">
        <f>IF($B15="","",IF(AND(SUMIFS('Rent log'!$D$6:$D$1005,'Rent log'!$C$6:$C$1005,$B15,'Rent log'!$H$6:$H$1005,"&gt;="&amp;DATE(Dashboard!$C$4,7,1),'Rent log'!$H$6:$H$1005,"&lt;="&amp;EOMONTH(DATE(Dashboard!$C$4,7,1),0))=0,DATE(Dashboard!$C$4,7,1)&gt;TODAY()),"",SUMIFS('Rent log'!$D$6:$D$1005,'Rent log'!$C$6:$C$1005,$B15,'Rent log'!$H$6:$H$1005,"&gt;="&amp;DATE(Dashboard!$C$4,7,1),'Rent log'!$H$6:$H$1005,"&lt;="&amp;EOMONTH(DATE(Dashboard!$C$4,7,1),0))))</f>
        <v/>
      </c>
      <c r="L15" s="31">
        <f>IF($B15="","",IF(AND(SUMIFS('Rent log'!$D$6:$D$1005,'Rent log'!$C$6:$C$1005,$B15,'Rent log'!$H$6:$H$1005,"&gt;="&amp;DATE(Dashboard!$C$4,8,1),'Rent log'!$H$6:$H$1005,"&lt;="&amp;EOMONTH(DATE(Dashboard!$C$4,8,1),0))=0,DATE(Dashboard!$C$4,8,1)&gt;TODAY()),"",SUMIFS('Rent log'!$D$6:$D$1005,'Rent log'!$C$6:$C$1005,$B15,'Rent log'!$H$6:$H$1005,"&gt;="&amp;DATE(Dashboard!$C$4,8,1),'Rent log'!$H$6:$H$1005,"&lt;="&amp;EOMONTH(DATE(Dashboard!$C$4,8,1),0))))</f>
        <v/>
      </c>
      <c r="M15" s="31">
        <f>IF($B15="","",IF(AND(SUMIFS('Rent log'!$D$6:$D$1005,'Rent log'!$C$6:$C$1005,$B15,'Rent log'!$H$6:$H$1005,"&gt;="&amp;DATE(Dashboard!$C$4,9,1),'Rent log'!$H$6:$H$1005,"&lt;="&amp;EOMONTH(DATE(Dashboard!$C$4,9,1),0))=0,DATE(Dashboard!$C$4,9,1)&gt;TODAY()),"",SUMIFS('Rent log'!$D$6:$D$1005,'Rent log'!$C$6:$C$1005,$B15,'Rent log'!$H$6:$H$1005,"&gt;="&amp;DATE(Dashboard!$C$4,9,1),'Rent log'!$H$6:$H$1005,"&lt;="&amp;EOMONTH(DATE(Dashboard!$C$4,9,1),0))))</f>
        <v/>
      </c>
      <c r="N15" s="31">
        <f>IF($B15="","",IF(AND(SUMIFS('Rent log'!$D$6:$D$1005,'Rent log'!$C$6:$C$1005,$B15,'Rent log'!$H$6:$H$1005,"&gt;="&amp;DATE(Dashboard!$C$4,10,1),'Rent log'!$H$6:$H$1005,"&lt;="&amp;EOMONTH(DATE(Dashboard!$C$4,10,1),0))=0,DATE(Dashboard!$C$4,10,1)&gt;TODAY()),"",SUMIFS('Rent log'!$D$6:$D$1005,'Rent log'!$C$6:$C$1005,$B15,'Rent log'!$H$6:$H$1005,"&gt;="&amp;DATE(Dashboard!$C$4,10,1),'Rent log'!$H$6:$H$1005,"&lt;="&amp;EOMONTH(DATE(Dashboard!$C$4,10,1),0))))</f>
        <v/>
      </c>
      <c r="O15" s="31">
        <f>IF($B15="","",IF(AND(SUMIFS('Rent log'!$D$6:$D$1005,'Rent log'!$C$6:$C$1005,$B15,'Rent log'!$H$6:$H$1005,"&gt;="&amp;DATE(Dashboard!$C$4,11,1),'Rent log'!$H$6:$H$1005,"&lt;="&amp;EOMONTH(DATE(Dashboard!$C$4,11,1),0))=0,DATE(Dashboard!$C$4,11,1)&gt;TODAY()),"",SUMIFS('Rent log'!$D$6:$D$1005,'Rent log'!$C$6:$C$1005,$B15,'Rent log'!$H$6:$H$1005,"&gt;="&amp;DATE(Dashboard!$C$4,11,1),'Rent log'!$H$6:$H$1005,"&lt;="&amp;EOMONTH(DATE(Dashboard!$C$4,11,1),0))))</f>
        <v/>
      </c>
      <c r="P15" s="31">
        <f>IF($B15="","",IF(AND(SUMIFS('Rent log'!$D$6:$D$1005,'Rent log'!$C$6:$C$1005,$B15,'Rent log'!$H$6:$H$1005,"&gt;="&amp;DATE(Dashboard!$C$4,12,1),'Rent log'!$H$6:$H$1005,"&lt;="&amp;EOMONTH(DATE(Dashboard!$C$4,12,1),0))=0,DATE(Dashboard!$C$4,12,1)&gt;TODAY()),"",SUMIFS('Rent log'!$D$6:$D$1005,'Rent log'!$C$6:$C$1005,$B15,'Rent log'!$H$6:$H$1005,"&gt;="&amp;DATE(Dashboard!$C$4,12,1),'Rent log'!$H$6:$H$1005,"&lt;="&amp;EOMONTH(DATE(Dashboard!$C$4,12,1),0))))</f>
        <v/>
      </c>
      <c r="Q15" s="22">
        <f>IF(B15="","",SUM(E15:P15))</f>
        <v/>
      </c>
      <c r="R15" s="22">
        <f>IF(B15="","",SUM(AF15:AQ15))</f>
        <v/>
      </c>
      <c r="S15" s="30">
        <f>IF(B15="","",IF(Dashboard!$C$4&lt;&gt;YEAR(TODAY()),"",IF(INDEX(T15:AE15,MONTH(TODAY()))=0,"No rent due",IF(N(INDEX(E15:P15,MONTH(TODAY())))&gt;=INDEX(T15:AE15,MONTH(TODAY())),"Paid",IF(TODAY()&gt;DATE(YEAR(TODAY()),MONTH(TODAY()),MIN(N(Units!$F15)+(N(Units!$F15)=0),DAY(EOMONTH(TODAY(),0))))+N(Units!$G15),"Late: "&amp;FIXED(INDEX(T15:AE15,MONTH(TODAY()))-N(INDEX(E15:P15,MONTH(TODAY()))),2)&amp;" owed",IF(N(INDEX(E15:P15,MONTH(TODAY())))&gt;0,"Part paid: "&amp;FIXED(INDEX(T15:AE15,MONTH(TODAY()))-N(INDEX(E15:P15,MONTH(TODAY()))),2)&amp;" left","Due on the "&amp;MIN(N(Units!$F15)+(N(Units!$F15)=0),DAY(EOMONTH(TODAY(),0)))&amp;IF(AND(MIN(N(Units!$F15)+(N(Units!$F15)=0),DAY(EOMONTH(TODAY(),0)))&gt;=11,MIN(N(Units!$F15)+(N(Units!$F15)=0),DAY(EOMONTH(TODAY(),0)))&lt;=13),"th",IF(MOD(MIN(N(Units!$F15)+(N(Units!$F15)=0),DAY(EOMONTH(TODAY(),0))),10)=1,"st",IF(MOD(MIN(N(Units!$F15)+(N(Units!$F15)=0),DAY(EOMONTH(TODAY(),0))),10)=2,"nd",IF(MOD(MIN(N(Units!$F15)+(N(Units!$F15)=0),DAY(EOMONTH(TODAY(),0))),10)=3,"rd","th"))))))))))</f>
        <v/>
      </c>
      <c r="T15" s="1">
        <f>IF($B15="",0,IF(AND(OR(Units!$H15="",Units!$H15&lt;=EOMONTH(DATE(Dashboard!$C$4,1,1),0)),OR(Units!$I15="",Units!$I15&gt;=DATE(Dashboard!$C$4,1,1))),N(Units!$E15),0))</f>
        <v/>
      </c>
      <c r="U15">
        <f>IF($B15="",0,IF(AND(OR(Units!$H15="",Units!$H15&lt;=EOMONTH(DATE(Dashboard!$C$4,2,1),0)),OR(Units!$I15="",Units!$I15&gt;=DATE(Dashboard!$C$4,2,1))),N(Units!$E15),0))</f>
        <v/>
      </c>
      <c r="V15">
        <f>IF($B15="",0,IF(AND(OR(Units!$H15="",Units!$H15&lt;=EOMONTH(DATE(Dashboard!$C$4,3,1),0)),OR(Units!$I15="",Units!$I15&gt;=DATE(Dashboard!$C$4,3,1))),N(Units!$E15),0))</f>
        <v/>
      </c>
      <c r="W15">
        <f>IF($B15="",0,IF(AND(OR(Units!$H15="",Units!$H15&lt;=EOMONTH(DATE(Dashboard!$C$4,4,1),0)),OR(Units!$I15="",Units!$I15&gt;=DATE(Dashboard!$C$4,4,1))),N(Units!$E15),0))</f>
        <v/>
      </c>
      <c r="X15">
        <f>IF($B15="",0,IF(AND(OR(Units!$H15="",Units!$H15&lt;=EOMONTH(DATE(Dashboard!$C$4,5,1),0)),OR(Units!$I15="",Units!$I15&gt;=DATE(Dashboard!$C$4,5,1))),N(Units!$E15),0))</f>
        <v/>
      </c>
      <c r="Y15">
        <f>IF($B15="",0,IF(AND(OR(Units!$H15="",Units!$H15&lt;=EOMONTH(DATE(Dashboard!$C$4,6,1),0)),OR(Units!$I15="",Units!$I15&gt;=DATE(Dashboard!$C$4,6,1))),N(Units!$E15),0))</f>
        <v/>
      </c>
      <c r="Z15">
        <f>IF($B15="",0,IF(AND(OR(Units!$H15="",Units!$H15&lt;=EOMONTH(DATE(Dashboard!$C$4,7,1),0)),OR(Units!$I15="",Units!$I15&gt;=DATE(Dashboard!$C$4,7,1))),N(Units!$E15),0))</f>
        <v/>
      </c>
      <c r="AA15">
        <f>IF($B15="",0,IF(AND(OR(Units!$H15="",Units!$H15&lt;=EOMONTH(DATE(Dashboard!$C$4,8,1),0)),OR(Units!$I15="",Units!$I15&gt;=DATE(Dashboard!$C$4,8,1))),N(Units!$E15),0))</f>
        <v/>
      </c>
      <c r="AB15">
        <f>IF($B15="",0,IF(AND(OR(Units!$H15="",Units!$H15&lt;=EOMONTH(DATE(Dashboard!$C$4,9,1),0)),OR(Units!$I15="",Units!$I15&gt;=DATE(Dashboard!$C$4,9,1))),N(Units!$E15),0))</f>
        <v/>
      </c>
      <c r="AC15">
        <f>IF($B15="",0,IF(AND(OR(Units!$H15="",Units!$H15&lt;=EOMONTH(DATE(Dashboard!$C$4,10,1),0)),OR(Units!$I15="",Units!$I15&gt;=DATE(Dashboard!$C$4,10,1))),N(Units!$E15),0))</f>
        <v/>
      </c>
      <c r="AD15">
        <f>IF($B15="",0,IF(AND(OR(Units!$H15="",Units!$H15&lt;=EOMONTH(DATE(Dashboard!$C$4,11,1),0)),OR(Units!$I15="",Units!$I15&gt;=DATE(Dashboard!$C$4,11,1))),N(Units!$E15),0))</f>
        <v/>
      </c>
      <c r="AE15">
        <f>IF($B15="",0,IF(AND(OR(Units!$H15="",Units!$H15&lt;=EOMONTH(DATE(Dashboard!$C$4,12,1),0)),OR(Units!$I15="",Units!$I15&gt;=DATE(Dashboard!$C$4,12,1))),N(Units!$E15),0))</f>
        <v/>
      </c>
      <c r="AF15">
        <f>IF(AND(T15&gt;0,DATE(Dashboard!$C$4,1,MIN(N(Units!$F15)+(N(Units!$F15)=0),DAY(EOMONTH(DATE(Dashboard!$C$4,1,1),0))))+N(Units!$G15)&lt;TODAY()),MAX(0,T15-N(E15)),0)</f>
        <v/>
      </c>
      <c r="AG15">
        <f>IF(AND(U15&gt;0,DATE(Dashboard!$C$4,2,MIN(N(Units!$F15)+(N(Units!$F15)=0),DAY(EOMONTH(DATE(Dashboard!$C$4,2,1),0))))+N(Units!$G15)&lt;TODAY()),MAX(0,U15-N(F15)),0)</f>
        <v/>
      </c>
      <c r="AH15">
        <f>IF(AND(V15&gt;0,DATE(Dashboard!$C$4,3,MIN(N(Units!$F15)+(N(Units!$F15)=0),DAY(EOMONTH(DATE(Dashboard!$C$4,3,1),0))))+N(Units!$G15)&lt;TODAY()),MAX(0,V15-N(G15)),0)</f>
        <v/>
      </c>
      <c r="AI15">
        <f>IF(AND(W15&gt;0,DATE(Dashboard!$C$4,4,MIN(N(Units!$F15)+(N(Units!$F15)=0),DAY(EOMONTH(DATE(Dashboard!$C$4,4,1),0))))+N(Units!$G15)&lt;TODAY()),MAX(0,W15-N(H15)),0)</f>
        <v/>
      </c>
      <c r="AJ15">
        <f>IF(AND(X15&gt;0,DATE(Dashboard!$C$4,5,MIN(N(Units!$F15)+(N(Units!$F15)=0),DAY(EOMONTH(DATE(Dashboard!$C$4,5,1),0))))+N(Units!$G15)&lt;TODAY()),MAX(0,X15-N(I15)),0)</f>
        <v/>
      </c>
      <c r="AK15">
        <f>IF(AND(Y15&gt;0,DATE(Dashboard!$C$4,6,MIN(N(Units!$F15)+(N(Units!$F15)=0),DAY(EOMONTH(DATE(Dashboard!$C$4,6,1),0))))+N(Units!$G15)&lt;TODAY()),MAX(0,Y15-N(J15)),0)</f>
        <v/>
      </c>
      <c r="AL15">
        <f>IF(AND(Z15&gt;0,DATE(Dashboard!$C$4,7,MIN(N(Units!$F15)+(N(Units!$F15)=0),DAY(EOMONTH(DATE(Dashboard!$C$4,7,1),0))))+N(Units!$G15)&lt;TODAY()),MAX(0,Z15-N(K15)),0)</f>
        <v/>
      </c>
      <c r="AM15">
        <f>IF(AND(AA15&gt;0,DATE(Dashboard!$C$4,8,MIN(N(Units!$F15)+(N(Units!$F15)=0),DAY(EOMONTH(DATE(Dashboard!$C$4,8,1),0))))+N(Units!$G15)&lt;TODAY()),MAX(0,AA15-N(L15)),0)</f>
        <v/>
      </c>
      <c r="AN15">
        <f>IF(AND(AB15&gt;0,DATE(Dashboard!$C$4,9,MIN(N(Units!$F15)+(N(Units!$F15)=0),DAY(EOMONTH(DATE(Dashboard!$C$4,9,1),0))))+N(Units!$G15)&lt;TODAY()),MAX(0,AB15-N(M15)),0)</f>
        <v/>
      </c>
      <c r="AO15">
        <f>IF(AND(AC15&gt;0,DATE(Dashboard!$C$4,10,MIN(N(Units!$F15)+(N(Units!$F15)=0),DAY(EOMONTH(DATE(Dashboard!$C$4,10,1),0))))+N(Units!$G15)&lt;TODAY()),MAX(0,AC15-N(N15)),0)</f>
        <v/>
      </c>
      <c r="AP15">
        <f>IF(AND(AD15&gt;0,DATE(Dashboard!$C$4,11,MIN(N(Units!$F15)+(N(Units!$F15)=0),DAY(EOMONTH(DATE(Dashboard!$C$4,11,1),0))))+N(Units!$G15)&lt;TODAY()),MAX(0,AD15-N(O15)),0)</f>
        <v/>
      </c>
      <c r="AQ15">
        <f>IF(AND(AE15&gt;0,DATE(Dashboard!$C$4,12,MIN(N(Units!$F15)+(N(Units!$F15)=0),DAY(EOMONTH(DATE(Dashboard!$C$4,12,1),0))))+N(Units!$G15)&lt;TODAY()),MAX(0,AE15-N(P15)),0)</f>
        <v/>
      </c>
      <c r="AR15">
        <f>IF(B15="","",Units!C15)</f>
        <v/>
      </c>
    </row>
    <row r="16">
      <c r="A16" s="1" t="n"/>
      <c r="B16" s="20">
        <f>IF(Units!B16="","",Units!B16)</f>
        <v/>
      </c>
      <c r="C16" s="30">
        <f>IF(B16="","",Units!D16)</f>
        <v/>
      </c>
      <c r="D16" s="14">
        <f>IF(B16="","",Units!E16)</f>
        <v/>
      </c>
      <c r="E16" s="31">
        <f>IF($B16="","",IF(AND(SUMIFS('Rent log'!$D$6:$D$1005,'Rent log'!$C$6:$C$1005,$B16,'Rent log'!$H$6:$H$1005,"&gt;="&amp;DATE(Dashboard!$C$4,1,1),'Rent log'!$H$6:$H$1005,"&lt;="&amp;EOMONTH(DATE(Dashboard!$C$4,1,1),0))=0,DATE(Dashboard!$C$4,1,1)&gt;TODAY()),"",SUMIFS('Rent log'!$D$6:$D$1005,'Rent log'!$C$6:$C$1005,$B16,'Rent log'!$H$6:$H$1005,"&gt;="&amp;DATE(Dashboard!$C$4,1,1),'Rent log'!$H$6:$H$1005,"&lt;="&amp;EOMONTH(DATE(Dashboard!$C$4,1,1),0))))</f>
        <v/>
      </c>
      <c r="F16" s="31">
        <f>IF($B16="","",IF(AND(SUMIFS('Rent log'!$D$6:$D$1005,'Rent log'!$C$6:$C$1005,$B16,'Rent log'!$H$6:$H$1005,"&gt;="&amp;DATE(Dashboard!$C$4,2,1),'Rent log'!$H$6:$H$1005,"&lt;="&amp;EOMONTH(DATE(Dashboard!$C$4,2,1),0))=0,DATE(Dashboard!$C$4,2,1)&gt;TODAY()),"",SUMIFS('Rent log'!$D$6:$D$1005,'Rent log'!$C$6:$C$1005,$B16,'Rent log'!$H$6:$H$1005,"&gt;="&amp;DATE(Dashboard!$C$4,2,1),'Rent log'!$H$6:$H$1005,"&lt;="&amp;EOMONTH(DATE(Dashboard!$C$4,2,1),0))))</f>
        <v/>
      </c>
      <c r="G16" s="31">
        <f>IF($B16="","",IF(AND(SUMIFS('Rent log'!$D$6:$D$1005,'Rent log'!$C$6:$C$1005,$B16,'Rent log'!$H$6:$H$1005,"&gt;="&amp;DATE(Dashboard!$C$4,3,1),'Rent log'!$H$6:$H$1005,"&lt;="&amp;EOMONTH(DATE(Dashboard!$C$4,3,1),0))=0,DATE(Dashboard!$C$4,3,1)&gt;TODAY()),"",SUMIFS('Rent log'!$D$6:$D$1005,'Rent log'!$C$6:$C$1005,$B16,'Rent log'!$H$6:$H$1005,"&gt;="&amp;DATE(Dashboard!$C$4,3,1),'Rent log'!$H$6:$H$1005,"&lt;="&amp;EOMONTH(DATE(Dashboard!$C$4,3,1),0))))</f>
        <v/>
      </c>
      <c r="H16" s="31">
        <f>IF($B16="","",IF(AND(SUMIFS('Rent log'!$D$6:$D$1005,'Rent log'!$C$6:$C$1005,$B16,'Rent log'!$H$6:$H$1005,"&gt;="&amp;DATE(Dashboard!$C$4,4,1),'Rent log'!$H$6:$H$1005,"&lt;="&amp;EOMONTH(DATE(Dashboard!$C$4,4,1),0))=0,DATE(Dashboard!$C$4,4,1)&gt;TODAY()),"",SUMIFS('Rent log'!$D$6:$D$1005,'Rent log'!$C$6:$C$1005,$B16,'Rent log'!$H$6:$H$1005,"&gt;="&amp;DATE(Dashboard!$C$4,4,1),'Rent log'!$H$6:$H$1005,"&lt;="&amp;EOMONTH(DATE(Dashboard!$C$4,4,1),0))))</f>
        <v/>
      </c>
      <c r="I16" s="31">
        <f>IF($B16="","",IF(AND(SUMIFS('Rent log'!$D$6:$D$1005,'Rent log'!$C$6:$C$1005,$B16,'Rent log'!$H$6:$H$1005,"&gt;="&amp;DATE(Dashboard!$C$4,5,1),'Rent log'!$H$6:$H$1005,"&lt;="&amp;EOMONTH(DATE(Dashboard!$C$4,5,1),0))=0,DATE(Dashboard!$C$4,5,1)&gt;TODAY()),"",SUMIFS('Rent log'!$D$6:$D$1005,'Rent log'!$C$6:$C$1005,$B16,'Rent log'!$H$6:$H$1005,"&gt;="&amp;DATE(Dashboard!$C$4,5,1),'Rent log'!$H$6:$H$1005,"&lt;="&amp;EOMONTH(DATE(Dashboard!$C$4,5,1),0))))</f>
        <v/>
      </c>
      <c r="J16" s="31">
        <f>IF($B16="","",IF(AND(SUMIFS('Rent log'!$D$6:$D$1005,'Rent log'!$C$6:$C$1005,$B16,'Rent log'!$H$6:$H$1005,"&gt;="&amp;DATE(Dashboard!$C$4,6,1),'Rent log'!$H$6:$H$1005,"&lt;="&amp;EOMONTH(DATE(Dashboard!$C$4,6,1),0))=0,DATE(Dashboard!$C$4,6,1)&gt;TODAY()),"",SUMIFS('Rent log'!$D$6:$D$1005,'Rent log'!$C$6:$C$1005,$B16,'Rent log'!$H$6:$H$1005,"&gt;="&amp;DATE(Dashboard!$C$4,6,1),'Rent log'!$H$6:$H$1005,"&lt;="&amp;EOMONTH(DATE(Dashboard!$C$4,6,1),0))))</f>
        <v/>
      </c>
      <c r="K16" s="31">
        <f>IF($B16="","",IF(AND(SUMIFS('Rent log'!$D$6:$D$1005,'Rent log'!$C$6:$C$1005,$B16,'Rent log'!$H$6:$H$1005,"&gt;="&amp;DATE(Dashboard!$C$4,7,1),'Rent log'!$H$6:$H$1005,"&lt;="&amp;EOMONTH(DATE(Dashboard!$C$4,7,1),0))=0,DATE(Dashboard!$C$4,7,1)&gt;TODAY()),"",SUMIFS('Rent log'!$D$6:$D$1005,'Rent log'!$C$6:$C$1005,$B16,'Rent log'!$H$6:$H$1005,"&gt;="&amp;DATE(Dashboard!$C$4,7,1),'Rent log'!$H$6:$H$1005,"&lt;="&amp;EOMONTH(DATE(Dashboard!$C$4,7,1),0))))</f>
        <v/>
      </c>
      <c r="L16" s="31">
        <f>IF($B16="","",IF(AND(SUMIFS('Rent log'!$D$6:$D$1005,'Rent log'!$C$6:$C$1005,$B16,'Rent log'!$H$6:$H$1005,"&gt;="&amp;DATE(Dashboard!$C$4,8,1),'Rent log'!$H$6:$H$1005,"&lt;="&amp;EOMONTH(DATE(Dashboard!$C$4,8,1),0))=0,DATE(Dashboard!$C$4,8,1)&gt;TODAY()),"",SUMIFS('Rent log'!$D$6:$D$1005,'Rent log'!$C$6:$C$1005,$B16,'Rent log'!$H$6:$H$1005,"&gt;="&amp;DATE(Dashboard!$C$4,8,1),'Rent log'!$H$6:$H$1005,"&lt;="&amp;EOMONTH(DATE(Dashboard!$C$4,8,1),0))))</f>
        <v/>
      </c>
      <c r="M16" s="31">
        <f>IF($B16="","",IF(AND(SUMIFS('Rent log'!$D$6:$D$1005,'Rent log'!$C$6:$C$1005,$B16,'Rent log'!$H$6:$H$1005,"&gt;="&amp;DATE(Dashboard!$C$4,9,1),'Rent log'!$H$6:$H$1005,"&lt;="&amp;EOMONTH(DATE(Dashboard!$C$4,9,1),0))=0,DATE(Dashboard!$C$4,9,1)&gt;TODAY()),"",SUMIFS('Rent log'!$D$6:$D$1005,'Rent log'!$C$6:$C$1005,$B16,'Rent log'!$H$6:$H$1005,"&gt;="&amp;DATE(Dashboard!$C$4,9,1),'Rent log'!$H$6:$H$1005,"&lt;="&amp;EOMONTH(DATE(Dashboard!$C$4,9,1),0))))</f>
        <v/>
      </c>
      <c r="N16" s="31">
        <f>IF($B16="","",IF(AND(SUMIFS('Rent log'!$D$6:$D$1005,'Rent log'!$C$6:$C$1005,$B16,'Rent log'!$H$6:$H$1005,"&gt;="&amp;DATE(Dashboard!$C$4,10,1),'Rent log'!$H$6:$H$1005,"&lt;="&amp;EOMONTH(DATE(Dashboard!$C$4,10,1),0))=0,DATE(Dashboard!$C$4,10,1)&gt;TODAY()),"",SUMIFS('Rent log'!$D$6:$D$1005,'Rent log'!$C$6:$C$1005,$B16,'Rent log'!$H$6:$H$1005,"&gt;="&amp;DATE(Dashboard!$C$4,10,1),'Rent log'!$H$6:$H$1005,"&lt;="&amp;EOMONTH(DATE(Dashboard!$C$4,10,1),0))))</f>
        <v/>
      </c>
      <c r="O16" s="31">
        <f>IF($B16="","",IF(AND(SUMIFS('Rent log'!$D$6:$D$1005,'Rent log'!$C$6:$C$1005,$B16,'Rent log'!$H$6:$H$1005,"&gt;="&amp;DATE(Dashboard!$C$4,11,1),'Rent log'!$H$6:$H$1005,"&lt;="&amp;EOMONTH(DATE(Dashboard!$C$4,11,1),0))=0,DATE(Dashboard!$C$4,11,1)&gt;TODAY()),"",SUMIFS('Rent log'!$D$6:$D$1005,'Rent log'!$C$6:$C$1005,$B16,'Rent log'!$H$6:$H$1005,"&gt;="&amp;DATE(Dashboard!$C$4,11,1),'Rent log'!$H$6:$H$1005,"&lt;="&amp;EOMONTH(DATE(Dashboard!$C$4,11,1),0))))</f>
        <v/>
      </c>
      <c r="P16" s="31">
        <f>IF($B16="","",IF(AND(SUMIFS('Rent log'!$D$6:$D$1005,'Rent log'!$C$6:$C$1005,$B16,'Rent log'!$H$6:$H$1005,"&gt;="&amp;DATE(Dashboard!$C$4,12,1),'Rent log'!$H$6:$H$1005,"&lt;="&amp;EOMONTH(DATE(Dashboard!$C$4,12,1),0))=0,DATE(Dashboard!$C$4,12,1)&gt;TODAY()),"",SUMIFS('Rent log'!$D$6:$D$1005,'Rent log'!$C$6:$C$1005,$B16,'Rent log'!$H$6:$H$1005,"&gt;="&amp;DATE(Dashboard!$C$4,12,1),'Rent log'!$H$6:$H$1005,"&lt;="&amp;EOMONTH(DATE(Dashboard!$C$4,12,1),0))))</f>
        <v/>
      </c>
      <c r="Q16" s="22">
        <f>IF(B16="","",SUM(E16:P16))</f>
        <v/>
      </c>
      <c r="R16" s="22">
        <f>IF(B16="","",SUM(AF16:AQ16))</f>
        <v/>
      </c>
      <c r="S16" s="30">
        <f>IF(B16="","",IF(Dashboard!$C$4&lt;&gt;YEAR(TODAY()),"",IF(INDEX(T16:AE16,MONTH(TODAY()))=0,"No rent due",IF(N(INDEX(E16:P16,MONTH(TODAY())))&gt;=INDEX(T16:AE16,MONTH(TODAY())),"Paid",IF(TODAY()&gt;DATE(YEAR(TODAY()),MONTH(TODAY()),MIN(N(Units!$F16)+(N(Units!$F16)=0),DAY(EOMONTH(TODAY(),0))))+N(Units!$G16),"Late: "&amp;FIXED(INDEX(T16:AE16,MONTH(TODAY()))-N(INDEX(E16:P16,MONTH(TODAY()))),2)&amp;" owed",IF(N(INDEX(E16:P16,MONTH(TODAY())))&gt;0,"Part paid: "&amp;FIXED(INDEX(T16:AE16,MONTH(TODAY()))-N(INDEX(E16:P16,MONTH(TODAY()))),2)&amp;" left","Due on the "&amp;MIN(N(Units!$F16)+(N(Units!$F16)=0),DAY(EOMONTH(TODAY(),0)))&amp;IF(AND(MIN(N(Units!$F16)+(N(Units!$F16)=0),DAY(EOMONTH(TODAY(),0)))&gt;=11,MIN(N(Units!$F16)+(N(Units!$F16)=0),DAY(EOMONTH(TODAY(),0)))&lt;=13),"th",IF(MOD(MIN(N(Units!$F16)+(N(Units!$F16)=0),DAY(EOMONTH(TODAY(),0))),10)=1,"st",IF(MOD(MIN(N(Units!$F16)+(N(Units!$F16)=0),DAY(EOMONTH(TODAY(),0))),10)=2,"nd",IF(MOD(MIN(N(Units!$F16)+(N(Units!$F16)=0),DAY(EOMONTH(TODAY(),0))),10)=3,"rd","th"))))))))))</f>
        <v/>
      </c>
      <c r="T16" s="1">
        <f>IF($B16="",0,IF(AND(OR(Units!$H16="",Units!$H16&lt;=EOMONTH(DATE(Dashboard!$C$4,1,1),0)),OR(Units!$I16="",Units!$I16&gt;=DATE(Dashboard!$C$4,1,1))),N(Units!$E16),0))</f>
        <v/>
      </c>
      <c r="U16">
        <f>IF($B16="",0,IF(AND(OR(Units!$H16="",Units!$H16&lt;=EOMONTH(DATE(Dashboard!$C$4,2,1),0)),OR(Units!$I16="",Units!$I16&gt;=DATE(Dashboard!$C$4,2,1))),N(Units!$E16),0))</f>
        <v/>
      </c>
      <c r="V16">
        <f>IF($B16="",0,IF(AND(OR(Units!$H16="",Units!$H16&lt;=EOMONTH(DATE(Dashboard!$C$4,3,1),0)),OR(Units!$I16="",Units!$I16&gt;=DATE(Dashboard!$C$4,3,1))),N(Units!$E16),0))</f>
        <v/>
      </c>
      <c r="W16">
        <f>IF($B16="",0,IF(AND(OR(Units!$H16="",Units!$H16&lt;=EOMONTH(DATE(Dashboard!$C$4,4,1),0)),OR(Units!$I16="",Units!$I16&gt;=DATE(Dashboard!$C$4,4,1))),N(Units!$E16),0))</f>
        <v/>
      </c>
      <c r="X16">
        <f>IF($B16="",0,IF(AND(OR(Units!$H16="",Units!$H16&lt;=EOMONTH(DATE(Dashboard!$C$4,5,1),0)),OR(Units!$I16="",Units!$I16&gt;=DATE(Dashboard!$C$4,5,1))),N(Units!$E16),0))</f>
        <v/>
      </c>
      <c r="Y16">
        <f>IF($B16="",0,IF(AND(OR(Units!$H16="",Units!$H16&lt;=EOMONTH(DATE(Dashboard!$C$4,6,1),0)),OR(Units!$I16="",Units!$I16&gt;=DATE(Dashboard!$C$4,6,1))),N(Units!$E16),0))</f>
        <v/>
      </c>
      <c r="Z16">
        <f>IF($B16="",0,IF(AND(OR(Units!$H16="",Units!$H16&lt;=EOMONTH(DATE(Dashboard!$C$4,7,1),0)),OR(Units!$I16="",Units!$I16&gt;=DATE(Dashboard!$C$4,7,1))),N(Units!$E16),0))</f>
        <v/>
      </c>
      <c r="AA16">
        <f>IF($B16="",0,IF(AND(OR(Units!$H16="",Units!$H16&lt;=EOMONTH(DATE(Dashboard!$C$4,8,1),0)),OR(Units!$I16="",Units!$I16&gt;=DATE(Dashboard!$C$4,8,1))),N(Units!$E16),0))</f>
        <v/>
      </c>
      <c r="AB16">
        <f>IF($B16="",0,IF(AND(OR(Units!$H16="",Units!$H16&lt;=EOMONTH(DATE(Dashboard!$C$4,9,1),0)),OR(Units!$I16="",Units!$I16&gt;=DATE(Dashboard!$C$4,9,1))),N(Units!$E16),0))</f>
        <v/>
      </c>
      <c r="AC16">
        <f>IF($B16="",0,IF(AND(OR(Units!$H16="",Units!$H16&lt;=EOMONTH(DATE(Dashboard!$C$4,10,1),0)),OR(Units!$I16="",Units!$I16&gt;=DATE(Dashboard!$C$4,10,1))),N(Units!$E16),0))</f>
        <v/>
      </c>
      <c r="AD16">
        <f>IF($B16="",0,IF(AND(OR(Units!$H16="",Units!$H16&lt;=EOMONTH(DATE(Dashboard!$C$4,11,1),0)),OR(Units!$I16="",Units!$I16&gt;=DATE(Dashboard!$C$4,11,1))),N(Units!$E16),0))</f>
        <v/>
      </c>
      <c r="AE16">
        <f>IF($B16="",0,IF(AND(OR(Units!$H16="",Units!$H16&lt;=EOMONTH(DATE(Dashboard!$C$4,12,1),0)),OR(Units!$I16="",Units!$I16&gt;=DATE(Dashboard!$C$4,12,1))),N(Units!$E16),0))</f>
        <v/>
      </c>
      <c r="AF16">
        <f>IF(AND(T16&gt;0,DATE(Dashboard!$C$4,1,MIN(N(Units!$F16)+(N(Units!$F16)=0),DAY(EOMONTH(DATE(Dashboard!$C$4,1,1),0))))+N(Units!$G16)&lt;TODAY()),MAX(0,T16-N(E16)),0)</f>
        <v/>
      </c>
      <c r="AG16">
        <f>IF(AND(U16&gt;0,DATE(Dashboard!$C$4,2,MIN(N(Units!$F16)+(N(Units!$F16)=0),DAY(EOMONTH(DATE(Dashboard!$C$4,2,1),0))))+N(Units!$G16)&lt;TODAY()),MAX(0,U16-N(F16)),0)</f>
        <v/>
      </c>
      <c r="AH16">
        <f>IF(AND(V16&gt;0,DATE(Dashboard!$C$4,3,MIN(N(Units!$F16)+(N(Units!$F16)=0),DAY(EOMONTH(DATE(Dashboard!$C$4,3,1),0))))+N(Units!$G16)&lt;TODAY()),MAX(0,V16-N(G16)),0)</f>
        <v/>
      </c>
      <c r="AI16">
        <f>IF(AND(W16&gt;0,DATE(Dashboard!$C$4,4,MIN(N(Units!$F16)+(N(Units!$F16)=0),DAY(EOMONTH(DATE(Dashboard!$C$4,4,1),0))))+N(Units!$G16)&lt;TODAY()),MAX(0,W16-N(H16)),0)</f>
        <v/>
      </c>
      <c r="AJ16">
        <f>IF(AND(X16&gt;0,DATE(Dashboard!$C$4,5,MIN(N(Units!$F16)+(N(Units!$F16)=0),DAY(EOMONTH(DATE(Dashboard!$C$4,5,1),0))))+N(Units!$G16)&lt;TODAY()),MAX(0,X16-N(I16)),0)</f>
        <v/>
      </c>
      <c r="AK16">
        <f>IF(AND(Y16&gt;0,DATE(Dashboard!$C$4,6,MIN(N(Units!$F16)+(N(Units!$F16)=0),DAY(EOMONTH(DATE(Dashboard!$C$4,6,1),0))))+N(Units!$G16)&lt;TODAY()),MAX(0,Y16-N(J16)),0)</f>
        <v/>
      </c>
      <c r="AL16">
        <f>IF(AND(Z16&gt;0,DATE(Dashboard!$C$4,7,MIN(N(Units!$F16)+(N(Units!$F16)=0),DAY(EOMONTH(DATE(Dashboard!$C$4,7,1),0))))+N(Units!$G16)&lt;TODAY()),MAX(0,Z16-N(K16)),0)</f>
        <v/>
      </c>
      <c r="AM16">
        <f>IF(AND(AA16&gt;0,DATE(Dashboard!$C$4,8,MIN(N(Units!$F16)+(N(Units!$F16)=0),DAY(EOMONTH(DATE(Dashboard!$C$4,8,1),0))))+N(Units!$G16)&lt;TODAY()),MAX(0,AA16-N(L16)),0)</f>
        <v/>
      </c>
      <c r="AN16">
        <f>IF(AND(AB16&gt;0,DATE(Dashboard!$C$4,9,MIN(N(Units!$F16)+(N(Units!$F16)=0),DAY(EOMONTH(DATE(Dashboard!$C$4,9,1),0))))+N(Units!$G16)&lt;TODAY()),MAX(0,AB16-N(M16)),0)</f>
        <v/>
      </c>
      <c r="AO16">
        <f>IF(AND(AC16&gt;0,DATE(Dashboard!$C$4,10,MIN(N(Units!$F16)+(N(Units!$F16)=0),DAY(EOMONTH(DATE(Dashboard!$C$4,10,1),0))))+N(Units!$G16)&lt;TODAY()),MAX(0,AC16-N(N16)),0)</f>
        <v/>
      </c>
      <c r="AP16">
        <f>IF(AND(AD16&gt;0,DATE(Dashboard!$C$4,11,MIN(N(Units!$F16)+(N(Units!$F16)=0),DAY(EOMONTH(DATE(Dashboard!$C$4,11,1),0))))+N(Units!$G16)&lt;TODAY()),MAX(0,AD16-N(O16)),0)</f>
        <v/>
      </c>
      <c r="AQ16">
        <f>IF(AND(AE16&gt;0,DATE(Dashboard!$C$4,12,MIN(N(Units!$F16)+(N(Units!$F16)=0),DAY(EOMONTH(DATE(Dashboard!$C$4,12,1),0))))+N(Units!$G16)&lt;TODAY()),MAX(0,AE16-N(P16)),0)</f>
        <v/>
      </c>
      <c r="AR16">
        <f>IF(B16="","",Units!C16)</f>
        <v/>
      </c>
    </row>
    <row r="17">
      <c r="A17" s="1" t="n"/>
      <c r="B17" s="20">
        <f>IF(Units!B17="","",Units!B17)</f>
        <v/>
      </c>
      <c r="C17" s="30">
        <f>IF(B17="","",Units!D17)</f>
        <v/>
      </c>
      <c r="D17" s="14">
        <f>IF(B17="","",Units!E17)</f>
        <v/>
      </c>
      <c r="E17" s="31">
        <f>IF($B17="","",IF(AND(SUMIFS('Rent log'!$D$6:$D$1005,'Rent log'!$C$6:$C$1005,$B17,'Rent log'!$H$6:$H$1005,"&gt;="&amp;DATE(Dashboard!$C$4,1,1),'Rent log'!$H$6:$H$1005,"&lt;="&amp;EOMONTH(DATE(Dashboard!$C$4,1,1),0))=0,DATE(Dashboard!$C$4,1,1)&gt;TODAY()),"",SUMIFS('Rent log'!$D$6:$D$1005,'Rent log'!$C$6:$C$1005,$B17,'Rent log'!$H$6:$H$1005,"&gt;="&amp;DATE(Dashboard!$C$4,1,1),'Rent log'!$H$6:$H$1005,"&lt;="&amp;EOMONTH(DATE(Dashboard!$C$4,1,1),0))))</f>
        <v/>
      </c>
      <c r="F17" s="31">
        <f>IF($B17="","",IF(AND(SUMIFS('Rent log'!$D$6:$D$1005,'Rent log'!$C$6:$C$1005,$B17,'Rent log'!$H$6:$H$1005,"&gt;="&amp;DATE(Dashboard!$C$4,2,1),'Rent log'!$H$6:$H$1005,"&lt;="&amp;EOMONTH(DATE(Dashboard!$C$4,2,1),0))=0,DATE(Dashboard!$C$4,2,1)&gt;TODAY()),"",SUMIFS('Rent log'!$D$6:$D$1005,'Rent log'!$C$6:$C$1005,$B17,'Rent log'!$H$6:$H$1005,"&gt;="&amp;DATE(Dashboard!$C$4,2,1),'Rent log'!$H$6:$H$1005,"&lt;="&amp;EOMONTH(DATE(Dashboard!$C$4,2,1),0))))</f>
        <v/>
      </c>
      <c r="G17" s="31">
        <f>IF($B17="","",IF(AND(SUMIFS('Rent log'!$D$6:$D$1005,'Rent log'!$C$6:$C$1005,$B17,'Rent log'!$H$6:$H$1005,"&gt;="&amp;DATE(Dashboard!$C$4,3,1),'Rent log'!$H$6:$H$1005,"&lt;="&amp;EOMONTH(DATE(Dashboard!$C$4,3,1),0))=0,DATE(Dashboard!$C$4,3,1)&gt;TODAY()),"",SUMIFS('Rent log'!$D$6:$D$1005,'Rent log'!$C$6:$C$1005,$B17,'Rent log'!$H$6:$H$1005,"&gt;="&amp;DATE(Dashboard!$C$4,3,1),'Rent log'!$H$6:$H$1005,"&lt;="&amp;EOMONTH(DATE(Dashboard!$C$4,3,1),0))))</f>
        <v/>
      </c>
      <c r="H17" s="31">
        <f>IF($B17="","",IF(AND(SUMIFS('Rent log'!$D$6:$D$1005,'Rent log'!$C$6:$C$1005,$B17,'Rent log'!$H$6:$H$1005,"&gt;="&amp;DATE(Dashboard!$C$4,4,1),'Rent log'!$H$6:$H$1005,"&lt;="&amp;EOMONTH(DATE(Dashboard!$C$4,4,1),0))=0,DATE(Dashboard!$C$4,4,1)&gt;TODAY()),"",SUMIFS('Rent log'!$D$6:$D$1005,'Rent log'!$C$6:$C$1005,$B17,'Rent log'!$H$6:$H$1005,"&gt;="&amp;DATE(Dashboard!$C$4,4,1),'Rent log'!$H$6:$H$1005,"&lt;="&amp;EOMONTH(DATE(Dashboard!$C$4,4,1),0))))</f>
        <v/>
      </c>
      <c r="I17" s="31">
        <f>IF($B17="","",IF(AND(SUMIFS('Rent log'!$D$6:$D$1005,'Rent log'!$C$6:$C$1005,$B17,'Rent log'!$H$6:$H$1005,"&gt;="&amp;DATE(Dashboard!$C$4,5,1),'Rent log'!$H$6:$H$1005,"&lt;="&amp;EOMONTH(DATE(Dashboard!$C$4,5,1),0))=0,DATE(Dashboard!$C$4,5,1)&gt;TODAY()),"",SUMIFS('Rent log'!$D$6:$D$1005,'Rent log'!$C$6:$C$1005,$B17,'Rent log'!$H$6:$H$1005,"&gt;="&amp;DATE(Dashboard!$C$4,5,1),'Rent log'!$H$6:$H$1005,"&lt;="&amp;EOMONTH(DATE(Dashboard!$C$4,5,1),0))))</f>
        <v/>
      </c>
      <c r="J17" s="31">
        <f>IF($B17="","",IF(AND(SUMIFS('Rent log'!$D$6:$D$1005,'Rent log'!$C$6:$C$1005,$B17,'Rent log'!$H$6:$H$1005,"&gt;="&amp;DATE(Dashboard!$C$4,6,1),'Rent log'!$H$6:$H$1005,"&lt;="&amp;EOMONTH(DATE(Dashboard!$C$4,6,1),0))=0,DATE(Dashboard!$C$4,6,1)&gt;TODAY()),"",SUMIFS('Rent log'!$D$6:$D$1005,'Rent log'!$C$6:$C$1005,$B17,'Rent log'!$H$6:$H$1005,"&gt;="&amp;DATE(Dashboard!$C$4,6,1),'Rent log'!$H$6:$H$1005,"&lt;="&amp;EOMONTH(DATE(Dashboard!$C$4,6,1),0))))</f>
        <v/>
      </c>
      <c r="K17" s="31">
        <f>IF($B17="","",IF(AND(SUMIFS('Rent log'!$D$6:$D$1005,'Rent log'!$C$6:$C$1005,$B17,'Rent log'!$H$6:$H$1005,"&gt;="&amp;DATE(Dashboard!$C$4,7,1),'Rent log'!$H$6:$H$1005,"&lt;="&amp;EOMONTH(DATE(Dashboard!$C$4,7,1),0))=0,DATE(Dashboard!$C$4,7,1)&gt;TODAY()),"",SUMIFS('Rent log'!$D$6:$D$1005,'Rent log'!$C$6:$C$1005,$B17,'Rent log'!$H$6:$H$1005,"&gt;="&amp;DATE(Dashboard!$C$4,7,1),'Rent log'!$H$6:$H$1005,"&lt;="&amp;EOMONTH(DATE(Dashboard!$C$4,7,1),0))))</f>
        <v/>
      </c>
      <c r="L17" s="31">
        <f>IF($B17="","",IF(AND(SUMIFS('Rent log'!$D$6:$D$1005,'Rent log'!$C$6:$C$1005,$B17,'Rent log'!$H$6:$H$1005,"&gt;="&amp;DATE(Dashboard!$C$4,8,1),'Rent log'!$H$6:$H$1005,"&lt;="&amp;EOMONTH(DATE(Dashboard!$C$4,8,1),0))=0,DATE(Dashboard!$C$4,8,1)&gt;TODAY()),"",SUMIFS('Rent log'!$D$6:$D$1005,'Rent log'!$C$6:$C$1005,$B17,'Rent log'!$H$6:$H$1005,"&gt;="&amp;DATE(Dashboard!$C$4,8,1),'Rent log'!$H$6:$H$1005,"&lt;="&amp;EOMONTH(DATE(Dashboard!$C$4,8,1),0))))</f>
        <v/>
      </c>
      <c r="M17" s="31">
        <f>IF($B17="","",IF(AND(SUMIFS('Rent log'!$D$6:$D$1005,'Rent log'!$C$6:$C$1005,$B17,'Rent log'!$H$6:$H$1005,"&gt;="&amp;DATE(Dashboard!$C$4,9,1),'Rent log'!$H$6:$H$1005,"&lt;="&amp;EOMONTH(DATE(Dashboard!$C$4,9,1),0))=0,DATE(Dashboard!$C$4,9,1)&gt;TODAY()),"",SUMIFS('Rent log'!$D$6:$D$1005,'Rent log'!$C$6:$C$1005,$B17,'Rent log'!$H$6:$H$1005,"&gt;="&amp;DATE(Dashboard!$C$4,9,1),'Rent log'!$H$6:$H$1005,"&lt;="&amp;EOMONTH(DATE(Dashboard!$C$4,9,1),0))))</f>
        <v/>
      </c>
      <c r="N17" s="31">
        <f>IF($B17="","",IF(AND(SUMIFS('Rent log'!$D$6:$D$1005,'Rent log'!$C$6:$C$1005,$B17,'Rent log'!$H$6:$H$1005,"&gt;="&amp;DATE(Dashboard!$C$4,10,1),'Rent log'!$H$6:$H$1005,"&lt;="&amp;EOMONTH(DATE(Dashboard!$C$4,10,1),0))=0,DATE(Dashboard!$C$4,10,1)&gt;TODAY()),"",SUMIFS('Rent log'!$D$6:$D$1005,'Rent log'!$C$6:$C$1005,$B17,'Rent log'!$H$6:$H$1005,"&gt;="&amp;DATE(Dashboard!$C$4,10,1),'Rent log'!$H$6:$H$1005,"&lt;="&amp;EOMONTH(DATE(Dashboard!$C$4,10,1),0))))</f>
        <v/>
      </c>
      <c r="O17" s="31">
        <f>IF($B17="","",IF(AND(SUMIFS('Rent log'!$D$6:$D$1005,'Rent log'!$C$6:$C$1005,$B17,'Rent log'!$H$6:$H$1005,"&gt;="&amp;DATE(Dashboard!$C$4,11,1),'Rent log'!$H$6:$H$1005,"&lt;="&amp;EOMONTH(DATE(Dashboard!$C$4,11,1),0))=0,DATE(Dashboard!$C$4,11,1)&gt;TODAY()),"",SUMIFS('Rent log'!$D$6:$D$1005,'Rent log'!$C$6:$C$1005,$B17,'Rent log'!$H$6:$H$1005,"&gt;="&amp;DATE(Dashboard!$C$4,11,1),'Rent log'!$H$6:$H$1005,"&lt;="&amp;EOMONTH(DATE(Dashboard!$C$4,11,1),0))))</f>
        <v/>
      </c>
      <c r="P17" s="31">
        <f>IF($B17="","",IF(AND(SUMIFS('Rent log'!$D$6:$D$1005,'Rent log'!$C$6:$C$1005,$B17,'Rent log'!$H$6:$H$1005,"&gt;="&amp;DATE(Dashboard!$C$4,12,1),'Rent log'!$H$6:$H$1005,"&lt;="&amp;EOMONTH(DATE(Dashboard!$C$4,12,1),0))=0,DATE(Dashboard!$C$4,12,1)&gt;TODAY()),"",SUMIFS('Rent log'!$D$6:$D$1005,'Rent log'!$C$6:$C$1005,$B17,'Rent log'!$H$6:$H$1005,"&gt;="&amp;DATE(Dashboard!$C$4,12,1),'Rent log'!$H$6:$H$1005,"&lt;="&amp;EOMONTH(DATE(Dashboard!$C$4,12,1),0))))</f>
        <v/>
      </c>
      <c r="Q17" s="22">
        <f>IF(B17="","",SUM(E17:P17))</f>
        <v/>
      </c>
      <c r="R17" s="22">
        <f>IF(B17="","",SUM(AF17:AQ17))</f>
        <v/>
      </c>
      <c r="S17" s="30">
        <f>IF(B17="","",IF(Dashboard!$C$4&lt;&gt;YEAR(TODAY()),"",IF(INDEX(T17:AE17,MONTH(TODAY()))=0,"No rent due",IF(N(INDEX(E17:P17,MONTH(TODAY())))&gt;=INDEX(T17:AE17,MONTH(TODAY())),"Paid",IF(TODAY()&gt;DATE(YEAR(TODAY()),MONTH(TODAY()),MIN(N(Units!$F17)+(N(Units!$F17)=0),DAY(EOMONTH(TODAY(),0))))+N(Units!$G17),"Late: "&amp;FIXED(INDEX(T17:AE17,MONTH(TODAY()))-N(INDEX(E17:P17,MONTH(TODAY()))),2)&amp;" owed",IF(N(INDEX(E17:P17,MONTH(TODAY())))&gt;0,"Part paid: "&amp;FIXED(INDEX(T17:AE17,MONTH(TODAY()))-N(INDEX(E17:P17,MONTH(TODAY()))),2)&amp;" left","Due on the "&amp;MIN(N(Units!$F17)+(N(Units!$F17)=0),DAY(EOMONTH(TODAY(),0)))&amp;IF(AND(MIN(N(Units!$F17)+(N(Units!$F17)=0),DAY(EOMONTH(TODAY(),0)))&gt;=11,MIN(N(Units!$F17)+(N(Units!$F17)=0),DAY(EOMONTH(TODAY(),0)))&lt;=13),"th",IF(MOD(MIN(N(Units!$F17)+(N(Units!$F17)=0),DAY(EOMONTH(TODAY(),0))),10)=1,"st",IF(MOD(MIN(N(Units!$F17)+(N(Units!$F17)=0),DAY(EOMONTH(TODAY(),0))),10)=2,"nd",IF(MOD(MIN(N(Units!$F17)+(N(Units!$F17)=0),DAY(EOMONTH(TODAY(),0))),10)=3,"rd","th"))))))))))</f>
        <v/>
      </c>
      <c r="T17" s="1">
        <f>IF($B17="",0,IF(AND(OR(Units!$H17="",Units!$H17&lt;=EOMONTH(DATE(Dashboard!$C$4,1,1),0)),OR(Units!$I17="",Units!$I17&gt;=DATE(Dashboard!$C$4,1,1))),N(Units!$E17),0))</f>
        <v/>
      </c>
      <c r="U17">
        <f>IF($B17="",0,IF(AND(OR(Units!$H17="",Units!$H17&lt;=EOMONTH(DATE(Dashboard!$C$4,2,1),0)),OR(Units!$I17="",Units!$I17&gt;=DATE(Dashboard!$C$4,2,1))),N(Units!$E17),0))</f>
        <v/>
      </c>
      <c r="V17">
        <f>IF($B17="",0,IF(AND(OR(Units!$H17="",Units!$H17&lt;=EOMONTH(DATE(Dashboard!$C$4,3,1),0)),OR(Units!$I17="",Units!$I17&gt;=DATE(Dashboard!$C$4,3,1))),N(Units!$E17),0))</f>
        <v/>
      </c>
      <c r="W17">
        <f>IF($B17="",0,IF(AND(OR(Units!$H17="",Units!$H17&lt;=EOMONTH(DATE(Dashboard!$C$4,4,1),0)),OR(Units!$I17="",Units!$I17&gt;=DATE(Dashboard!$C$4,4,1))),N(Units!$E17),0))</f>
        <v/>
      </c>
      <c r="X17">
        <f>IF($B17="",0,IF(AND(OR(Units!$H17="",Units!$H17&lt;=EOMONTH(DATE(Dashboard!$C$4,5,1),0)),OR(Units!$I17="",Units!$I17&gt;=DATE(Dashboard!$C$4,5,1))),N(Units!$E17),0))</f>
        <v/>
      </c>
      <c r="Y17">
        <f>IF($B17="",0,IF(AND(OR(Units!$H17="",Units!$H17&lt;=EOMONTH(DATE(Dashboard!$C$4,6,1),0)),OR(Units!$I17="",Units!$I17&gt;=DATE(Dashboard!$C$4,6,1))),N(Units!$E17),0))</f>
        <v/>
      </c>
      <c r="Z17">
        <f>IF($B17="",0,IF(AND(OR(Units!$H17="",Units!$H17&lt;=EOMONTH(DATE(Dashboard!$C$4,7,1),0)),OR(Units!$I17="",Units!$I17&gt;=DATE(Dashboard!$C$4,7,1))),N(Units!$E17),0))</f>
        <v/>
      </c>
      <c r="AA17">
        <f>IF($B17="",0,IF(AND(OR(Units!$H17="",Units!$H17&lt;=EOMONTH(DATE(Dashboard!$C$4,8,1),0)),OR(Units!$I17="",Units!$I17&gt;=DATE(Dashboard!$C$4,8,1))),N(Units!$E17),0))</f>
        <v/>
      </c>
      <c r="AB17">
        <f>IF($B17="",0,IF(AND(OR(Units!$H17="",Units!$H17&lt;=EOMONTH(DATE(Dashboard!$C$4,9,1),0)),OR(Units!$I17="",Units!$I17&gt;=DATE(Dashboard!$C$4,9,1))),N(Units!$E17),0))</f>
        <v/>
      </c>
      <c r="AC17">
        <f>IF($B17="",0,IF(AND(OR(Units!$H17="",Units!$H17&lt;=EOMONTH(DATE(Dashboard!$C$4,10,1),0)),OR(Units!$I17="",Units!$I17&gt;=DATE(Dashboard!$C$4,10,1))),N(Units!$E17),0))</f>
        <v/>
      </c>
      <c r="AD17">
        <f>IF($B17="",0,IF(AND(OR(Units!$H17="",Units!$H17&lt;=EOMONTH(DATE(Dashboard!$C$4,11,1),0)),OR(Units!$I17="",Units!$I17&gt;=DATE(Dashboard!$C$4,11,1))),N(Units!$E17),0))</f>
        <v/>
      </c>
      <c r="AE17">
        <f>IF($B17="",0,IF(AND(OR(Units!$H17="",Units!$H17&lt;=EOMONTH(DATE(Dashboard!$C$4,12,1),0)),OR(Units!$I17="",Units!$I17&gt;=DATE(Dashboard!$C$4,12,1))),N(Units!$E17),0))</f>
        <v/>
      </c>
      <c r="AF17">
        <f>IF(AND(T17&gt;0,DATE(Dashboard!$C$4,1,MIN(N(Units!$F17)+(N(Units!$F17)=0),DAY(EOMONTH(DATE(Dashboard!$C$4,1,1),0))))+N(Units!$G17)&lt;TODAY()),MAX(0,T17-N(E17)),0)</f>
        <v/>
      </c>
      <c r="AG17">
        <f>IF(AND(U17&gt;0,DATE(Dashboard!$C$4,2,MIN(N(Units!$F17)+(N(Units!$F17)=0),DAY(EOMONTH(DATE(Dashboard!$C$4,2,1),0))))+N(Units!$G17)&lt;TODAY()),MAX(0,U17-N(F17)),0)</f>
        <v/>
      </c>
      <c r="AH17">
        <f>IF(AND(V17&gt;0,DATE(Dashboard!$C$4,3,MIN(N(Units!$F17)+(N(Units!$F17)=0),DAY(EOMONTH(DATE(Dashboard!$C$4,3,1),0))))+N(Units!$G17)&lt;TODAY()),MAX(0,V17-N(G17)),0)</f>
        <v/>
      </c>
      <c r="AI17">
        <f>IF(AND(W17&gt;0,DATE(Dashboard!$C$4,4,MIN(N(Units!$F17)+(N(Units!$F17)=0),DAY(EOMONTH(DATE(Dashboard!$C$4,4,1),0))))+N(Units!$G17)&lt;TODAY()),MAX(0,W17-N(H17)),0)</f>
        <v/>
      </c>
      <c r="AJ17">
        <f>IF(AND(X17&gt;0,DATE(Dashboard!$C$4,5,MIN(N(Units!$F17)+(N(Units!$F17)=0),DAY(EOMONTH(DATE(Dashboard!$C$4,5,1),0))))+N(Units!$G17)&lt;TODAY()),MAX(0,X17-N(I17)),0)</f>
        <v/>
      </c>
      <c r="AK17">
        <f>IF(AND(Y17&gt;0,DATE(Dashboard!$C$4,6,MIN(N(Units!$F17)+(N(Units!$F17)=0),DAY(EOMONTH(DATE(Dashboard!$C$4,6,1),0))))+N(Units!$G17)&lt;TODAY()),MAX(0,Y17-N(J17)),0)</f>
        <v/>
      </c>
      <c r="AL17">
        <f>IF(AND(Z17&gt;0,DATE(Dashboard!$C$4,7,MIN(N(Units!$F17)+(N(Units!$F17)=0),DAY(EOMONTH(DATE(Dashboard!$C$4,7,1),0))))+N(Units!$G17)&lt;TODAY()),MAX(0,Z17-N(K17)),0)</f>
        <v/>
      </c>
      <c r="AM17">
        <f>IF(AND(AA17&gt;0,DATE(Dashboard!$C$4,8,MIN(N(Units!$F17)+(N(Units!$F17)=0),DAY(EOMONTH(DATE(Dashboard!$C$4,8,1),0))))+N(Units!$G17)&lt;TODAY()),MAX(0,AA17-N(L17)),0)</f>
        <v/>
      </c>
      <c r="AN17">
        <f>IF(AND(AB17&gt;0,DATE(Dashboard!$C$4,9,MIN(N(Units!$F17)+(N(Units!$F17)=0),DAY(EOMONTH(DATE(Dashboard!$C$4,9,1),0))))+N(Units!$G17)&lt;TODAY()),MAX(0,AB17-N(M17)),0)</f>
        <v/>
      </c>
      <c r="AO17">
        <f>IF(AND(AC17&gt;0,DATE(Dashboard!$C$4,10,MIN(N(Units!$F17)+(N(Units!$F17)=0),DAY(EOMONTH(DATE(Dashboard!$C$4,10,1),0))))+N(Units!$G17)&lt;TODAY()),MAX(0,AC17-N(N17)),0)</f>
        <v/>
      </c>
      <c r="AP17">
        <f>IF(AND(AD17&gt;0,DATE(Dashboard!$C$4,11,MIN(N(Units!$F17)+(N(Units!$F17)=0),DAY(EOMONTH(DATE(Dashboard!$C$4,11,1),0))))+N(Units!$G17)&lt;TODAY()),MAX(0,AD17-N(O17)),0)</f>
        <v/>
      </c>
      <c r="AQ17">
        <f>IF(AND(AE17&gt;0,DATE(Dashboard!$C$4,12,MIN(N(Units!$F17)+(N(Units!$F17)=0),DAY(EOMONTH(DATE(Dashboard!$C$4,12,1),0))))+N(Units!$G17)&lt;TODAY()),MAX(0,AE17-N(P17)),0)</f>
        <v/>
      </c>
      <c r="AR17">
        <f>IF(B17="","",Units!C17)</f>
        <v/>
      </c>
    </row>
    <row r="18">
      <c r="A18" s="1" t="n"/>
      <c r="B18" s="20">
        <f>IF(Units!B18="","",Units!B18)</f>
        <v/>
      </c>
      <c r="C18" s="30">
        <f>IF(B18="","",Units!D18)</f>
        <v/>
      </c>
      <c r="D18" s="14">
        <f>IF(B18="","",Units!E18)</f>
        <v/>
      </c>
      <c r="E18" s="31">
        <f>IF($B18="","",IF(AND(SUMIFS('Rent log'!$D$6:$D$1005,'Rent log'!$C$6:$C$1005,$B18,'Rent log'!$H$6:$H$1005,"&gt;="&amp;DATE(Dashboard!$C$4,1,1),'Rent log'!$H$6:$H$1005,"&lt;="&amp;EOMONTH(DATE(Dashboard!$C$4,1,1),0))=0,DATE(Dashboard!$C$4,1,1)&gt;TODAY()),"",SUMIFS('Rent log'!$D$6:$D$1005,'Rent log'!$C$6:$C$1005,$B18,'Rent log'!$H$6:$H$1005,"&gt;="&amp;DATE(Dashboard!$C$4,1,1),'Rent log'!$H$6:$H$1005,"&lt;="&amp;EOMONTH(DATE(Dashboard!$C$4,1,1),0))))</f>
        <v/>
      </c>
      <c r="F18" s="31">
        <f>IF($B18="","",IF(AND(SUMIFS('Rent log'!$D$6:$D$1005,'Rent log'!$C$6:$C$1005,$B18,'Rent log'!$H$6:$H$1005,"&gt;="&amp;DATE(Dashboard!$C$4,2,1),'Rent log'!$H$6:$H$1005,"&lt;="&amp;EOMONTH(DATE(Dashboard!$C$4,2,1),0))=0,DATE(Dashboard!$C$4,2,1)&gt;TODAY()),"",SUMIFS('Rent log'!$D$6:$D$1005,'Rent log'!$C$6:$C$1005,$B18,'Rent log'!$H$6:$H$1005,"&gt;="&amp;DATE(Dashboard!$C$4,2,1),'Rent log'!$H$6:$H$1005,"&lt;="&amp;EOMONTH(DATE(Dashboard!$C$4,2,1),0))))</f>
        <v/>
      </c>
      <c r="G18" s="31">
        <f>IF($B18="","",IF(AND(SUMIFS('Rent log'!$D$6:$D$1005,'Rent log'!$C$6:$C$1005,$B18,'Rent log'!$H$6:$H$1005,"&gt;="&amp;DATE(Dashboard!$C$4,3,1),'Rent log'!$H$6:$H$1005,"&lt;="&amp;EOMONTH(DATE(Dashboard!$C$4,3,1),0))=0,DATE(Dashboard!$C$4,3,1)&gt;TODAY()),"",SUMIFS('Rent log'!$D$6:$D$1005,'Rent log'!$C$6:$C$1005,$B18,'Rent log'!$H$6:$H$1005,"&gt;="&amp;DATE(Dashboard!$C$4,3,1),'Rent log'!$H$6:$H$1005,"&lt;="&amp;EOMONTH(DATE(Dashboard!$C$4,3,1),0))))</f>
        <v/>
      </c>
      <c r="H18" s="31">
        <f>IF($B18="","",IF(AND(SUMIFS('Rent log'!$D$6:$D$1005,'Rent log'!$C$6:$C$1005,$B18,'Rent log'!$H$6:$H$1005,"&gt;="&amp;DATE(Dashboard!$C$4,4,1),'Rent log'!$H$6:$H$1005,"&lt;="&amp;EOMONTH(DATE(Dashboard!$C$4,4,1),0))=0,DATE(Dashboard!$C$4,4,1)&gt;TODAY()),"",SUMIFS('Rent log'!$D$6:$D$1005,'Rent log'!$C$6:$C$1005,$B18,'Rent log'!$H$6:$H$1005,"&gt;="&amp;DATE(Dashboard!$C$4,4,1),'Rent log'!$H$6:$H$1005,"&lt;="&amp;EOMONTH(DATE(Dashboard!$C$4,4,1),0))))</f>
        <v/>
      </c>
      <c r="I18" s="31">
        <f>IF($B18="","",IF(AND(SUMIFS('Rent log'!$D$6:$D$1005,'Rent log'!$C$6:$C$1005,$B18,'Rent log'!$H$6:$H$1005,"&gt;="&amp;DATE(Dashboard!$C$4,5,1),'Rent log'!$H$6:$H$1005,"&lt;="&amp;EOMONTH(DATE(Dashboard!$C$4,5,1),0))=0,DATE(Dashboard!$C$4,5,1)&gt;TODAY()),"",SUMIFS('Rent log'!$D$6:$D$1005,'Rent log'!$C$6:$C$1005,$B18,'Rent log'!$H$6:$H$1005,"&gt;="&amp;DATE(Dashboard!$C$4,5,1),'Rent log'!$H$6:$H$1005,"&lt;="&amp;EOMONTH(DATE(Dashboard!$C$4,5,1),0))))</f>
        <v/>
      </c>
      <c r="J18" s="31">
        <f>IF($B18="","",IF(AND(SUMIFS('Rent log'!$D$6:$D$1005,'Rent log'!$C$6:$C$1005,$B18,'Rent log'!$H$6:$H$1005,"&gt;="&amp;DATE(Dashboard!$C$4,6,1),'Rent log'!$H$6:$H$1005,"&lt;="&amp;EOMONTH(DATE(Dashboard!$C$4,6,1),0))=0,DATE(Dashboard!$C$4,6,1)&gt;TODAY()),"",SUMIFS('Rent log'!$D$6:$D$1005,'Rent log'!$C$6:$C$1005,$B18,'Rent log'!$H$6:$H$1005,"&gt;="&amp;DATE(Dashboard!$C$4,6,1),'Rent log'!$H$6:$H$1005,"&lt;="&amp;EOMONTH(DATE(Dashboard!$C$4,6,1),0))))</f>
        <v/>
      </c>
      <c r="K18" s="31">
        <f>IF($B18="","",IF(AND(SUMIFS('Rent log'!$D$6:$D$1005,'Rent log'!$C$6:$C$1005,$B18,'Rent log'!$H$6:$H$1005,"&gt;="&amp;DATE(Dashboard!$C$4,7,1),'Rent log'!$H$6:$H$1005,"&lt;="&amp;EOMONTH(DATE(Dashboard!$C$4,7,1),0))=0,DATE(Dashboard!$C$4,7,1)&gt;TODAY()),"",SUMIFS('Rent log'!$D$6:$D$1005,'Rent log'!$C$6:$C$1005,$B18,'Rent log'!$H$6:$H$1005,"&gt;="&amp;DATE(Dashboard!$C$4,7,1),'Rent log'!$H$6:$H$1005,"&lt;="&amp;EOMONTH(DATE(Dashboard!$C$4,7,1),0))))</f>
        <v/>
      </c>
      <c r="L18" s="31">
        <f>IF($B18="","",IF(AND(SUMIFS('Rent log'!$D$6:$D$1005,'Rent log'!$C$6:$C$1005,$B18,'Rent log'!$H$6:$H$1005,"&gt;="&amp;DATE(Dashboard!$C$4,8,1),'Rent log'!$H$6:$H$1005,"&lt;="&amp;EOMONTH(DATE(Dashboard!$C$4,8,1),0))=0,DATE(Dashboard!$C$4,8,1)&gt;TODAY()),"",SUMIFS('Rent log'!$D$6:$D$1005,'Rent log'!$C$6:$C$1005,$B18,'Rent log'!$H$6:$H$1005,"&gt;="&amp;DATE(Dashboard!$C$4,8,1),'Rent log'!$H$6:$H$1005,"&lt;="&amp;EOMONTH(DATE(Dashboard!$C$4,8,1),0))))</f>
        <v/>
      </c>
      <c r="M18" s="31">
        <f>IF($B18="","",IF(AND(SUMIFS('Rent log'!$D$6:$D$1005,'Rent log'!$C$6:$C$1005,$B18,'Rent log'!$H$6:$H$1005,"&gt;="&amp;DATE(Dashboard!$C$4,9,1),'Rent log'!$H$6:$H$1005,"&lt;="&amp;EOMONTH(DATE(Dashboard!$C$4,9,1),0))=0,DATE(Dashboard!$C$4,9,1)&gt;TODAY()),"",SUMIFS('Rent log'!$D$6:$D$1005,'Rent log'!$C$6:$C$1005,$B18,'Rent log'!$H$6:$H$1005,"&gt;="&amp;DATE(Dashboard!$C$4,9,1),'Rent log'!$H$6:$H$1005,"&lt;="&amp;EOMONTH(DATE(Dashboard!$C$4,9,1),0))))</f>
        <v/>
      </c>
      <c r="N18" s="31">
        <f>IF($B18="","",IF(AND(SUMIFS('Rent log'!$D$6:$D$1005,'Rent log'!$C$6:$C$1005,$B18,'Rent log'!$H$6:$H$1005,"&gt;="&amp;DATE(Dashboard!$C$4,10,1),'Rent log'!$H$6:$H$1005,"&lt;="&amp;EOMONTH(DATE(Dashboard!$C$4,10,1),0))=0,DATE(Dashboard!$C$4,10,1)&gt;TODAY()),"",SUMIFS('Rent log'!$D$6:$D$1005,'Rent log'!$C$6:$C$1005,$B18,'Rent log'!$H$6:$H$1005,"&gt;="&amp;DATE(Dashboard!$C$4,10,1),'Rent log'!$H$6:$H$1005,"&lt;="&amp;EOMONTH(DATE(Dashboard!$C$4,10,1),0))))</f>
        <v/>
      </c>
      <c r="O18" s="31">
        <f>IF($B18="","",IF(AND(SUMIFS('Rent log'!$D$6:$D$1005,'Rent log'!$C$6:$C$1005,$B18,'Rent log'!$H$6:$H$1005,"&gt;="&amp;DATE(Dashboard!$C$4,11,1),'Rent log'!$H$6:$H$1005,"&lt;="&amp;EOMONTH(DATE(Dashboard!$C$4,11,1),0))=0,DATE(Dashboard!$C$4,11,1)&gt;TODAY()),"",SUMIFS('Rent log'!$D$6:$D$1005,'Rent log'!$C$6:$C$1005,$B18,'Rent log'!$H$6:$H$1005,"&gt;="&amp;DATE(Dashboard!$C$4,11,1),'Rent log'!$H$6:$H$1005,"&lt;="&amp;EOMONTH(DATE(Dashboard!$C$4,11,1),0))))</f>
        <v/>
      </c>
      <c r="P18" s="31">
        <f>IF($B18="","",IF(AND(SUMIFS('Rent log'!$D$6:$D$1005,'Rent log'!$C$6:$C$1005,$B18,'Rent log'!$H$6:$H$1005,"&gt;="&amp;DATE(Dashboard!$C$4,12,1),'Rent log'!$H$6:$H$1005,"&lt;="&amp;EOMONTH(DATE(Dashboard!$C$4,12,1),0))=0,DATE(Dashboard!$C$4,12,1)&gt;TODAY()),"",SUMIFS('Rent log'!$D$6:$D$1005,'Rent log'!$C$6:$C$1005,$B18,'Rent log'!$H$6:$H$1005,"&gt;="&amp;DATE(Dashboard!$C$4,12,1),'Rent log'!$H$6:$H$1005,"&lt;="&amp;EOMONTH(DATE(Dashboard!$C$4,12,1),0))))</f>
        <v/>
      </c>
      <c r="Q18" s="22">
        <f>IF(B18="","",SUM(E18:P18))</f>
        <v/>
      </c>
      <c r="R18" s="22">
        <f>IF(B18="","",SUM(AF18:AQ18))</f>
        <v/>
      </c>
      <c r="S18" s="30">
        <f>IF(B18="","",IF(Dashboard!$C$4&lt;&gt;YEAR(TODAY()),"",IF(INDEX(T18:AE18,MONTH(TODAY()))=0,"No rent due",IF(N(INDEX(E18:P18,MONTH(TODAY())))&gt;=INDEX(T18:AE18,MONTH(TODAY())),"Paid",IF(TODAY()&gt;DATE(YEAR(TODAY()),MONTH(TODAY()),MIN(N(Units!$F18)+(N(Units!$F18)=0),DAY(EOMONTH(TODAY(),0))))+N(Units!$G18),"Late: "&amp;FIXED(INDEX(T18:AE18,MONTH(TODAY()))-N(INDEX(E18:P18,MONTH(TODAY()))),2)&amp;" owed",IF(N(INDEX(E18:P18,MONTH(TODAY())))&gt;0,"Part paid: "&amp;FIXED(INDEX(T18:AE18,MONTH(TODAY()))-N(INDEX(E18:P18,MONTH(TODAY()))),2)&amp;" left","Due on the "&amp;MIN(N(Units!$F18)+(N(Units!$F18)=0),DAY(EOMONTH(TODAY(),0)))&amp;IF(AND(MIN(N(Units!$F18)+(N(Units!$F18)=0),DAY(EOMONTH(TODAY(),0)))&gt;=11,MIN(N(Units!$F18)+(N(Units!$F18)=0),DAY(EOMONTH(TODAY(),0)))&lt;=13),"th",IF(MOD(MIN(N(Units!$F18)+(N(Units!$F18)=0),DAY(EOMONTH(TODAY(),0))),10)=1,"st",IF(MOD(MIN(N(Units!$F18)+(N(Units!$F18)=0),DAY(EOMONTH(TODAY(),0))),10)=2,"nd",IF(MOD(MIN(N(Units!$F18)+(N(Units!$F18)=0),DAY(EOMONTH(TODAY(),0))),10)=3,"rd","th"))))))))))</f>
        <v/>
      </c>
      <c r="T18" s="1">
        <f>IF($B18="",0,IF(AND(OR(Units!$H18="",Units!$H18&lt;=EOMONTH(DATE(Dashboard!$C$4,1,1),0)),OR(Units!$I18="",Units!$I18&gt;=DATE(Dashboard!$C$4,1,1))),N(Units!$E18),0))</f>
        <v/>
      </c>
      <c r="U18">
        <f>IF($B18="",0,IF(AND(OR(Units!$H18="",Units!$H18&lt;=EOMONTH(DATE(Dashboard!$C$4,2,1),0)),OR(Units!$I18="",Units!$I18&gt;=DATE(Dashboard!$C$4,2,1))),N(Units!$E18),0))</f>
        <v/>
      </c>
      <c r="V18">
        <f>IF($B18="",0,IF(AND(OR(Units!$H18="",Units!$H18&lt;=EOMONTH(DATE(Dashboard!$C$4,3,1),0)),OR(Units!$I18="",Units!$I18&gt;=DATE(Dashboard!$C$4,3,1))),N(Units!$E18),0))</f>
        <v/>
      </c>
      <c r="W18">
        <f>IF($B18="",0,IF(AND(OR(Units!$H18="",Units!$H18&lt;=EOMONTH(DATE(Dashboard!$C$4,4,1),0)),OR(Units!$I18="",Units!$I18&gt;=DATE(Dashboard!$C$4,4,1))),N(Units!$E18),0))</f>
        <v/>
      </c>
      <c r="X18">
        <f>IF($B18="",0,IF(AND(OR(Units!$H18="",Units!$H18&lt;=EOMONTH(DATE(Dashboard!$C$4,5,1),0)),OR(Units!$I18="",Units!$I18&gt;=DATE(Dashboard!$C$4,5,1))),N(Units!$E18),0))</f>
        <v/>
      </c>
      <c r="Y18">
        <f>IF($B18="",0,IF(AND(OR(Units!$H18="",Units!$H18&lt;=EOMONTH(DATE(Dashboard!$C$4,6,1),0)),OR(Units!$I18="",Units!$I18&gt;=DATE(Dashboard!$C$4,6,1))),N(Units!$E18),0))</f>
        <v/>
      </c>
      <c r="Z18">
        <f>IF($B18="",0,IF(AND(OR(Units!$H18="",Units!$H18&lt;=EOMONTH(DATE(Dashboard!$C$4,7,1),0)),OR(Units!$I18="",Units!$I18&gt;=DATE(Dashboard!$C$4,7,1))),N(Units!$E18),0))</f>
        <v/>
      </c>
      <c r="AA18">
        <f>IF($B18="",0,IF(AND(OR(Units!$H18="",Units!$H18&lt;=EOMONTH(DATE(Dashboard!$C$4,8,1),0)),OR(Units!$I18="",Units!$I18&gt;=DATE(Dashboard!$C$4,8,1))),N(Units!$E18),0))</f>
        <v/>
      </c>
      <c r="AB18">
        <f>IF($B18="",0,IF(AND(OR(Units!$H18="",Units!$H18&lt;=EOMONTH(DATE(Dashboard!$C$4,9,1),0)),OR(Units!$I18="",Units!$I18&gt;=DATE(Dashboard!$C$4,9,1))),N(Units!$E18),0))</f>
        <v/>
      </c>
      <c r="AC18">
        <f>IF($B18="",0,IF(AND(OR(Units!$H18="",Units!$H18&lt;=EOMONTH(DATE(Dashboard!$C$4,10,1),0)),OR(Units!$I18="",Units!$I18&gt;=DATE(Dashboard!$C$4,10,1))),N(Units!$E18),0))</f>
        <v/>
      </c>
      <c r="AD18">
        <f>IF($B18="",0,IF(AND(OR(Units!$H18="",Units!$H18&lt;=EOMONTH(DATE(Dashboard!$C$4,11,1),0)),OR(Units!$I18="",Units!$I18&gt;=DATE(Dashboard!$C$4,11,1))),N(Units!$E18),0))</f>
        <v/>
      </c>
      <c r="AE18">
        <f>IF($B18="",0,IF(AND(OR(Units!$H18="",Units!$H18&lt;=EOMONTH(DATE(Dashboard!$C$4,12,1),0)),OR(Units!$I18="",Units!$I18&gt;=DATE(Dashboard!$C$4,12,1))),N(Units!$E18),0))</f>
        <v/>
      </c>
      <c r="AF18">
        <f>IF(AND(T18&gt;0,DATE(Dashboard!$C$4,1,MIN(N(Units!$F18)+(N(Units!$F18)=0),DAY(EOMONTH(DATE(Dashboard!$C$4,1,1),0))))+N(Units!$G18)&lt;TODAY()),MAX(0,T18-N(E18)),0)</f>
        <v/>
      </c>
      <c r="AG18">
        <f>IF(AND(U18&gt;0,DATE(Dashboard!$C$4,2,MIN(N(Units!$F18)+(N(Units!$F18)=0),DAY(EOMONTH(DATE(Dashboard!$C$4,2,1),0))))+N(Units!$G18)&lt;TODAY()),MAX(0,U18-N(F18)),0)</f>
        <v/>
      </c>
      <c r="AH18">
        <f>IF(AND(V18&gt;0,DATE(Dashboard!$C$4,3,MIN(N(Units!$F18)+(N(Units!$F18)=0),DAY(EOMONTH(DATE(Dashboard!$C$4,3,1),0))))+N(Units!$G18)&lt;TODAY()),MAX(0,V18-N(G18)),0)</f>
        <v/>
      </c>
      <c r="AI18">
        <f>IF(AND(W18&gt;0,DATE(Dashboard!$C$4,4,MIN(N(Units!$F18)+(N(Units!$F18)=0),DAY(EOMONTH(DATE(Dashboard!$C$4,4,1),0))))+N(Units!$G18)&lt;TODAY()),MAX(0,W18-N(H18)),0)</f>
        <v/>
      </c>
      <c r="AJ18">
        <f>IF(AND(X18&gt;0,DATE(Dashboard!$C$4,5,MIN(N(Units!$F18)+(N(Units!$F18)=0),DAY(EOMONTH(DATE(Dashboard!$C$4,5,1),0))))+N(Units!$G18)&lt;TODAY()),MAX(0,X18-N(I18)),0)</f>
        <v/>
      </c>
      <c r="AK18">
        <f>IF(AND(Y18&gt;0,DATE(Dashboard!$C$4,6,MIN(N(Units!$F18)+(N(Units!$F18)=0),DAY(EOMONTH(DATE(Dashboard!$C$4,6,1),0))))+N(Units!$G18)&lt;TODAY()),MAX(0,Y18-N(J18)),0)</f>
        <v/>
      </c>
      <c r="AL18">
        <f>IF(AND(Z18&gt;0,DATE(Dashboard!$C$4,7,MIN(N(Units!$F18)+(N(Units!$F18)=0),DAY(EOMONTH(DATE(Dashboard!$C$4,7,1),0))))+N(Units!$G18)&lt;TODAY()),MAX(0,Z18-N(K18)),0)</f>
        <v/>
      </c>
      <c r="AM18">
        <f>IF(AND(AA18&gt;0,DATE(Dashboard!$C$4,8,MIN(N(Units!$F18)+(N(Units!$F18)=0),DAY(EOMONTH(DATE(Dashboard!$C$4,8,1),0))))+N(Units!$G18)&lt;TODAY()),MAX(0,AA18-N(L18)),0)</f>
        <v/>
      </c>
      <c r="AN18">
        <f>IF(AND(AB18&gt;0,DATE(Dashboard!$C$4,9,MIN(N(Units!$F18)+(N(Units!$F18)=0),DAY(EOMONTH(DATE(Dashboard!$C$4,9,1),0))))+N(Units!$G18)&lt;TODAY()),MAX(0,AB18-N(M18)),0)</f>
        <v/>
      </c>
      <c r="AO18">
        <f>IF(AND(AC18&gt;0,DATE(Dashboard!$C$4,10,MIN(N(Units!$F18)+(N(Units!$F18)=0),DAY(EOMONTH(DATE(Dashboard!$C$4,10,1),0))))+N(Units!$G18)&lt;TODAY()),MAX(0,AC18-N(N18)),0)</f>
        <v/>
      </c>
      <c r="AP18">
        <f>IF(AND(AD18&gt;0,DATE(Dashboard!$C$4,11,MIN(N(Units!$F18)+(N(Units!$F18)=0),DAY(EOMONTH(DATE(Dashboard!$C$4,11,1),0))))+N(Units!$G18)&lt;TODAY()),MAX(0,AD18-N(O18)),0)</f>
        <v/>
      </c>
      <c r="AQ18">
        <f>IF(AND(AE18&gt;0,DATE(Dashboard!$C$4,12,MIN(N(Units!$F18)+(N(Units!$F18)=0),DAY(EOMONTH(DATE(Dashboard!$C$4,12,1),0))))+N(Units!$G18)&lt;TODAY()),MAX(0,AE18-N(P18)),0)</f>
        <v/>
      </c>
      <c r="AR18">
        <f>IF(B18="","",Units!C18)</f>
        <v/>
      </c>
    </row>
    <row r="19">
      <c r="A19" s="1" t="n"/>
      <c r="B19" s="20">
        <f>IF(Units!B19="","",Units!B19)</f>
        <v/>
      </c>
      <c r="C19" s="30">
        <f>IF(B19="","",Units!D19)</f>
        <v/>
      </c>
      <c r="D19" s="14">
        <f>IF(B19="","",Units!E19)</f>
        <v/>
      </c>
      <c r="E19" s="31">
        <f>IF($B19="","",IF(AND(SUMIFS('Rent log'!$D$6:$D$1005,'Rent log'!$C$6:$C$1005,$B19,'Rent log'!$H$6:$H$1005,"&gt;="&amp;DATE(Dashboard!$C$4,1,1),'Rent log'!$H$6:$H$1005,"&lt;="&amp;EOMONTH(DATE(Dashboard!$C$4,1,1),0))=0,DATE(Dashboard!$C$4,1,1)&gt;TODAY()),"",SUMIFS('Rent log'!$D$6:$D$1005,'Rent log'!$C$6:$C$1005,$B19,'Rent log'!$H$6:$H$1005,"&gt;="&amp;DATE(Dashboard!$C$4,1,1),'Rent log'!$H$6:$H$1005,"&lt;="&amp;EOMONTH(DATE(Dashboard!$C$4,1,1),0))))</f>
        <v/>
      </c>
      <c r="F19" s="31">
        <f>IF($B19="","",IF(AND(SUMIFS('Rent log'!$D$6:$D$1005,'Rent log'!$C$6:$C$1005,$B19,'Rent log'!$H$6:$H$1005,"&gt;="&amp;DATE(Dashboard!$C$4,2,1),'Rent log'!$H$6:$H$1005,"&lt;="&amp;EOMONTH(DATE(Dashboard!$C$4,2,1),0))=0,DATE(Dashboard!$C$4,2,1)&gt;TODAY()),"",SUMIFS('Rent log'!$D$6:$D$1005,'Rent log'!$C$6:$C$1005,$B19,'Rent log'!$H$6:$H$1005,"&gt;="&amp;DATE(Dashboard!$C$4,2,1),'Rent log'!$H$6:$H$1005,"&lt;="&amp;EOMONTH(DATE(Dashboard!$C$4,2,1),0))))</f>
        <v/>
      </c>
      <c r="G19" s="31">
        <f>IF($B19="","",IF(AND(SUMIFS('Rent log'!$D$6:$D$1005,'Rent log'!$C$6:$C$1005,$B19,'Rent log'!$H$6:$H$1005,"&gt;="&amp;DATE(Dashboard!$C$4,3,1),'Rent log'!$H$6:$H$1005,"&lt;="&amp;EOMONTH(DATE(Dashboard!$C$4,3,1),0))=0,DATE(Dashboard!$C$4,3,1)&gt;TODAY()),"",SUMIFS('Rent log'!$D$6:$D$1005,'Rent log'!$C$6:$C$1005,$B19,'Rent log'!$H$6:$H$1005,"&gt;="&amp;DATE(Dashboard!$C$4,3,1),'Rent log'!$H$6:$H$1005,"&lt;="&amp;EOMONTH(DATE(Dashboard!$C$4,3,1),0))))</f>
        <v/>
      </c>
      <c r="H19" s="31">
        <f>IF($B19="","",IF(AND(SUMIFS('Rent log'!$D$6:$D$1005,'Rent log'!$C$6:$C$1005,$B19,'Rent log'!$H$6:$H$1005,"&gt;="&amp;DATE(Dashboard!$C$4,4,1),'Rent log'!$H$6:$H$1005,"&lt;="&amp;EOMONTH(DATE(Dashboard!$C$4,4,1),0))=0,DATE(Dashboard!$C$4,4,1)&gt;TODAY()),"",SUMIFS('Rent log'!$D$6:$D$1005,'Rent log'!$C$6:$C$1005,$B19,'Rent log'!$H$6:$H$1005,"&gt;="&amp;DATE(Dashboard!$C$4,4,1),'Rent log'!$H$6:$H$1005,"&lt;="&amp;EOMONTH(DATE(Dashboard!$C$4,4,1),0))))</f>
        <v/>
      </c>
      <c r="I19" s="31">
        <f>IF($B19="","",IF(AND(SUMIFS('Rent log'!$D$6:$D$1005,'Rent log'!$C$6:$C$1005,$B19,'Rent log'!$H$6:$H$1005,"&gt;="&amp;DATE(Dashboard!$C$4,5,1),'Rent log'!$H$6:$H$1005,"&lt;="&amp;EOMONTH(DATE(Dashboard!$C$4,5,1),0))=0,DATE(Dashboard!$C$4,5,1)&gt;TODAY()),"",SUMIFS('Rent log'!$D$6:$D$1005,'Rent log'!$C$6:$C$1005,$B19,'Rent log'!$H$6:$H$1005,"&gt;="&amp;DATE(Dashboard!$C$4,5,1),'Rent log'!$H$6:$H$1005,"&lt;="&amp;EOMONTH(DATE(Dashboard!$C$4,5,1),0))))</f>
        <v/>
      </c>
      <c r="J19" s="31">
        <f>IF($B19="","",IF(AND(SUMIFS('Rent log'!$D$6:$D$1005,'Rent log'!$C$6:$C$1005,$B19,'Rent log'!$H$6:$H$1005,"&gt;="&amp;DATE(Dashboard!$C$4,6,1),'Rent log'!$H$6:$H$1005,"&lt;="&amp;EOMONTH(DATE(Dashboard!$C$4,6,1),0))=0,DATE(Dashboard!$C$4,6,1)&gt;TODAY()),"",SUMIFS('Rent log'!$D$6:$D$1005,'Rent log'!$C$6:$C$1005,$B19,'Rent log'!$H$6:$H$1005,"&gt;="&amp;DATE(Dashboard!$C$4,6,1),'Rent log'!$H$6:$H$1005,"&lt;="&amp;EOMONTH(DATE(Dashboard!$C$4,6,1),0))))</f>
        <v/>
      </c>
      <c r="K19" s="31">
        <f>IF($B19="","",IF(AND(SUMIFS('Rent log'!$D$6:$D$1005,'Rent log'!$C$6:$C$1005,$B19,'Rent log'!$H$6:$H$1005,"&gt;="&amp;DATE(Dashboard!$C$4,7,1),'Rent log'!$H$6:$H$1005,"&lt;="&amp;EOMONTH(DATE(Dashboard!$C$4,7,1),0))=0,DATE(Dashboard!$C$4,7,1)&gt;TODAY()),"",SUMIFS('Rent log'!$D$6:$D$1005,'Rent log'!$C$6:$C$1005,$B19,'Rent log'!$H$6:$H$1005,"&gt;="&amp;DATE(Dashboard!$C$4,7,1),'Rent log'!$H$6:$H$1005,"&lt;="&amp;EOMONTH(DATE(Dashboard!$C$4,7,1),0))))</f>
        <v/>
      </c>
      <c r="L19" s="31">
        <f>IF($B19="","",IF(AND(SUMIFS('Rent log'!$D$6:$D$1005,'Rent log'!$C$6:$C$1005,$B19,'Rent log'!$H$6:$H$1005,"&gt;="&amp;DATE(Dashboard!$C$4,8,1),'Rent log'!$H$6:$H$1005,"&lt;="&amp;EOMONTH(DATE(Dashboard!$C$4,8,1),0))=0,DATE(Dashboard!$C$4,8,1)&gt;TODAY()),"",SUMIFS('Rent log'!$D$6:$D$1005,'Rent log'!$C$6:$C$1005,$B19,'Rent log'!$H$6:$H$1005,"&gt;="&amp;DATE(Dashboard!$C$4,8,1),'Rent log'!$H$6:$H$1005,"&lt;="&amp;EOMONTH(DATE(Dashboard!$C$4,8,1),0))))</f>
        <v/>
      </c>
      <c r="M19" s="31">
        <f>IF($B19="","",IF(AND(SUMIFS('Rent log'!$D$6:$D$1005,'Rent log'!$C$6:$C$1005,$B19,'Rent log'!$H$6:$H$1005,"&gt;="&amp;DATE(Dashboard!$C$4,9,1),'Rent log'!$H$6:$H$1005,"&lt;="&amp;EOMONTH(DATE(Dashboard!$C$4,9,1),0))=0,DATE(Dashboard!$C$4,9,1)&gt;TODAY()),"",SUMIFS('Rent log'!$D$6:$D$1005,'Rent log'!$C$6:$C$1005,$B19,'Rent log'!$H$6:$H$1005,"&gt;="&amp;DATE(Dashboard!$C$4,9,1),'Rent log'!$H$6:$H$1005,"&lt;="&amp;EOMONTH(DATE(Dashboard!$C$4,9,1),0))))</f>
        <v/>
      </c>
      <c r="N19" s="31">
        <f>IF($B19="","",IF(AND(SUMIFS('Rent log'!$D$6:$D$1005,'Rent log'!$C$6:$C$1005,$B19,'Rent log'!$H$6:$H$1005,"&gt;="&amp;DATE(Dashboard!$C$4,10,1),'Rent log'!$H$6:$H$1005,"&lt;="&amp;EOMONTH(DATE(Dashboard!$C$4,10,1),0))=0,DATE(Dashboard!$C$4,10,1)&gt;TODAY()),"",SUMIFS('Rent log'!$D$6:$D$1005,'Rent log'!$C$6:$C$1005,$B19,'Rent log'!$H$6:$H$1005,"&gt;="&amp;DATE(Dashboard!$C$4,10,1),'Rent log'!$H$6:$H$1005,"&lt;="&amp;EOMONTH(DATE(Dashboard!$C$4,10,1),0))))</f>
        <v/>
      </c>
      <c r="O19" s="31">
        <f>IF($B19="","",IF(AND(SUMIFS('Rent log'!$D$6:$D$1005,'Rent log'!$C$6:$C$1005,$B19,'Rent log'!$H$6:$H$1005,"&gt;="&amp;DATE(Dashboard!$C$4,11,1),'Rent log'!$H$6:$H$1005,"&lt;="&amp;EOMONTH(DATE(Dashboard!$C$4,11,1),0))=0,DATE(Dashboard!$C$4,11,1)&gt;TODAY()),"",SUMIFS('Rent log'!$D$6:$D$1005,'Rent log'!$C$6:$C$1005,$B19,'Rent log'!$H$6:$H$1005,"&gt;="&amp;DATE(Dashboard!$C$4,11,1),'Rent log'!$H$6:$H$1005,"&lt;="&amp;EOMONTH(DATE(Dashboard!$C$4,11,1),0))))</f>
        <v/>
      </c>
      <c r="P19" s="31">
        <f>IF($B19="","",IF(AND(SUMIFS('Rent log'!$D$6:$D$1005,'Rent log'!$C$6:$C$1005,$B19,'Rent log'!$H$6:$H$1005,"&gt;="&amp;DATE(Dashboard!$C$4,12,1),'Rent log'!$H$6:$H$1005,"&lt;="&amp;EOMONTH(DATE(Dashboard!$C$4,12,1),0))=0,DATE(Dashboard!$C$4,12,1)&gt;TODAY()),"",SUMIFS('Rent log'!$D$6:$D$1005,'Rent log'!$C$6:$C$1005,$B19,'Rent log'!$H$6:$H$1005,"&gt;="&amp;DATE(Dashboard!$C$4,12,1),'Rent log'!$H$6:$H$1005,"&lt;="&amp;EOMONTH(DATE(Dashboard!$C$4,12,1),0))))</f>
        <v/>
      </c>
      <c r="Q19" s="22">
        <f>IF(B19="","",SUM(E19:P19))</f>
        <v/>
      </c>
      <c r="R19" s="22">
        <f>IF(B19="","",SUM(AF19:AQ19))</f>
        <v/>
      </c>
      <c r="S19" s="30">
        <f>IF(B19="","",IF(Dashboard!$C$4&lt;&gt;YEAR(TODAY()),"",IF(INDEX(T19:AE19,MONTH(TODAY()))=0,"No rent due",IF(N(INDEX(E19:P19,MONTH(TODAY())))&gt;=INDEX(T19:AE19,MONTH(TODAY())),"Paid",IF(TODAY()&gt;DATE(YEAR(TODAY()),MONTH(TODAY()),MIN(N(Units!$F19)+(N(Units!$F19)=0),DAY(EOMONTH(TODAY(),0))))+N(Units!$G19),"Late: "&amp;FIXED(INDEX(T19:AE19,MONTH(TODAY()))-N(INDEX(E19:P19,MONTH(TODAY()))),2)&amp;" owed",IF(N(INDEX(E19:P19,MONTH(TODAY())))&gt;0,"Part paid: "&amp;FIXED(INDEX(T19:AE19,MONTH(TODAY()))-N(INDEX(E19:P19,MONTH(TODAY()))),2)&amp;" left","Due on the "&amp;MIN(N(Units!$F19)+(N(Units!$F19)=0),DAY(EOMONTH(TODAY(),0)))&amp;IF(AND(MIN(N(Units!$F19)+(N(Units!$F19)=0),DAY(EOMONTH(TODAY(),0)))&gt;=11,MIN(N(Units!$F19)+(N(Units!$F19)=0),DAY(EOMONTH(TODAY(),0)))&lt;=13),"th",IF(MOD(MIN(N(Units!$F19)+(N(Units!$F19)=0),DAY(EOMONTH(TODAY(),0))),10)=1,"st",IF(MOD(MIN(N(Units!$F19)+(N(Units!$F19)=0),DAY(EOMONTH(TODAY(),0))),10)=2,"nd",IF(MOD(MIN(N(Units!$F19)+(N(Units!$F19)=0),DAY(EOMONTH(TODAY(),0))),10)=3,"rd","th"))))))))))</f>
        <v/>
      </c>
      <c r="T19" s="1">
        <f>IF($B19="",0,IF(AND(OR(Units!$H19="",Units!$H19&lt;=EOMONTH(DATE(Dashboard!$C$4,1,1),0)),OR(Units!$I19="",Units!$I19&gt;=DATE(Dashboard!$C$4,1,1))),N(Units!$E19),0))</f>
        <v/>
      </c>
      <c r="U19">
        <f>IF($B19="",0,IF(AND(OR(Units!$H19="",Units!$H19&lt;=EOMONTH(DATE(Dashboard!$C$4,2,1),0)),OR(Units!$I19="",Units!$I19&gt;=DATE(Dashboard!$C$4,2,1))),N(Units!$E19),0))</f>
        <v/>
      </c>
      <c r="V19">
        <f>IF($B19="",0,IF(AND(OR(Units!$H19="",Units!$H19&lt;=EOMONTH(DATE(Dashboard!$C$4,3,1),0)),OR(Units!$I19="",Units!$I19&gt;=DATE(Dashboard!$C$4,3,1))),N(Units!$E19),0))</f>
        <v/>
      </c>
      <c r="W19">
        <f>IF($B19="",0,IF(AND(OR(Units!$H19="",Units!$H19&lt;=EOMONTH(DATE(Dashboard!$C$4,4,1),0)),OR(Units!$I19="",Units!$I19&gt;=DATE(Dashboard!$C$4,4,1))),N(Units!$E19),0))</f>
        <v/>
      </c>
      <c r="X19">
        <f>IF($B19="",0,IF(AND(OR(Units!$H19="",Units!$H19&lt;=EOMONTH(DATE(Dashboard!$C$4,5,1),0)),OR(Units!$I19="",Units!$I19&gt;=DATE(Dashboard!$C$4,5,1))),N(Units!$E19),0))</f>
        <v/>
      </c>
      <c r="Y19">
        <f>IF($B19="",0,IF(AND(OR(Units!$H19="",Units!$H19&lt;=EOMONTH(DATE(Dashboard!$C$4,6,1),0)),OR(Units!$I19="",Units!$I19&gt;=DATE(Dashboard!$C$4,6,1))),N(Units!$E19),0))</f>
        <v/>
      </c>
      <c r="Z19">
        <f>IF($B19="",0,IF(AND(OR(Units!$H19="",Units!$H19&lt;=EOMONTH(DATE(Dashboard!$C$4,7,1),0)),OR(Units!$I19="",Units!$I19&gt;=DATE(Dashboard!$C$4,7,1))),N(Units!$E19),0))</f>
        <v/>
      </c>
      <c r="AA19">
        <f>IF($B19="",0,IF(AND(OR(Units!$H19="",Units!$H19&lt;=EOMONTH(DATE(Dashboard!$C$4,8,1),0)),OR(Units!$I19="",Units!$I19&gt;=DATE(Dashboard!$C$4,8,1))),N(Units!$E19),0))</f>
        <v/>
      </c>
      <c r="AB19">
        <f>IF($B19="",0,IF(AND(OR(Units!$H19="",Units!$H19&lt;=EOMONTH(DATE(Dashboard!$C$4,9,1),0)),OR(Units!$I19="",Units!$I19&gt;=DATE(Dashboard!$C$4,9,1))),N(Units!$E19),0))</f>
        <v/>
      </c>
      <c r="AC19">
        <f>IF($B19="",0,IF(AND(OR(Units!$H19="",Units!$H19&lt;=EOMONTH(DATE(Dashboard!$C$4,10,1),0)),OR(Units!$I19="",Units!$I19&gt;=DATE(Dashboard!$C$4,10,1))),N(Units!$E19),0))</f>
        <v/>
      </c>
      <c r="AD19">
        <f>IF($B19="",0,IF(AND(OR(Units!$H19="",Units!$H19&lt;=EOMONTH(DATE(Dashboard!$C$4,11,1),0)),OR(Units!$I19="",Units!$I19&gt;=DATE(Dashboard!$C$4,11,1))),N(Units!$E19),0))</f>
        <v/>
      </c>
      <c r="AE19">
        <f>IF($B19="",0,IF(AND(OR(Units!$H19="",Units!$H19&lt;=EOMONTH(DATE(Dashboard!$C$4,12,1),0)),OR(Units!$I19="",Units!$I19&gt;=DATE(Dashboard!$C$4,12,1))),N(Units!$E19),0))</f>
        <v/>
      </c>
      <c r="AF19">
        <f>IF(AND(T19&gt;0,DATE(Dashboard!$C$4,1,MIN(N(Units!$F19)+(N(Units!$F19)=0),DAY(EOMONTH(DATE(Dashboard!$C$4,1,1),0))))+N(Units!$G19)&lt;TODAY()),MAX(0,T19-N(E19)),0)</f>
        <v/>
      </c>
      <c r="AG19">
        <f>IF(AND(U19&gt;0,DATE(Dashboard!$C$4,2,MIN(N(Units!$F19)+(N(Units!$F19)=0),DAY(EOMONTH(DATE(Dashboard!$C$4,2,1),0))))+N(Units!$G19)&lt;TODAY()),MAX(0,U19-N(F19)),0)</f>
        <v/>
      </c>
      <c r="AH19">
        <f>IF(AND(V19&gt;0,DATE(Dashboard!$C$4,3,MIN(N(Units!$F19)+(N(Units!$F19)=0),DAY(EOMONTH(DATE(Dashboard!$C$4,3,1),0))))+N(Units!$G19)&lt;TODAY()),MAX(0,V19-N(G19)),0)</f>
        <v/>
      </c>
      <c r="AI19">
        <f>IF(AND(W19&gt;0,DATE(Dashboard!$C$4,4,MIN(N(Units!$F19)+(N(Units!$F19)=0),DAY(EOMONTH(DATE(Dashboard!$C$4,4,1),0))))+N(Units!$G19)&lt;TODAY()),MAX(0,W19-N(H19)),0)</f>
        <v/>
      </c>
      <c r="AJ19">
        <f>IF(AND(X19&gt;0,DATE(Dashboard!$C$4,5,MIN(N(Units!$F19)+(N(Units!$F19)=0),DAY(EOMONTH(DATE(Dashboard!$C$4,5,1),0))))+N(Units!$G19)&lt;TODAY()),MAX(0,X19-N(I19)),0)</f>
        <v/>
      </c>
      <c r="AK19">
        <f>IF(AND(Y19&gt;0,DATE(Dashboard!$C$4,6,MIN(N(Units!$F19)+(N(Units!$F19)=0),DAY(EOMONTH(DATE(Dashboard!$C$4,6,1),0))))+N(Units!$G19)&lt;TODAY()),MAX(0,Y19-N(J19)),0)</f>
        <v/>
      </c>
      <c r="AL19">
        <f>IF(AND(Z19&gt;0,DATE(Dashboard!$C$4,7,MIN(N(Units!$F19)+(N(Units!$F19)=0),DAY(EOMONTH(DATE(Dashboard!$C$4,7,1),0))))+N(Units!$G19)&lt;TODAY()),MAX(0,Z19-N(K19)),0)</f>
        <v/>
      </c>
      <c r="AM19">
        <f>IF(AND(AA19&gt;0,DATE(Dashboard!$C$4,8,MIN(N(Units!$F19)+(N(Units!$F19)=0),DAY(EOMONTH(DATE(Dashboard!$C$4,8,1),0))))+N(Units!$G19)&lt;TODAY()),MAX(0,AA19-N(L19)),0)</f>
        <v/>
      </c>
      <c r="AN19">
        <f>IF(AND(AB19&gt;0,DATE(Dashboard!$C$4,9,MIN(N(Units!$F19)+(N(Units!$F19)=0),DAY(EOMONTH(DATE(Dashboard!$C$4,9,1),0))))+N(Units!$G19)&lt;TODAY()),MAX(0,AB19-N(M19)),0)</f>
        <v/>
      </c>
      <c r="AO19">
        <f>IF(AND(AC19&gt;0,DATE(Dashboard!$C$4,10,MIN(N(Units!$F19)+(N(Units!$F19)=0),DAY(EOMONTH(DATE(Dashboard!$C$4,10,1),0))))+N(Units!$G19)&lt;TODAY()),MAX(0,AC19-N(N19)),0)</f>
        <v/>
      </c>
      <c r="AP19">
        <f>IF(AND(AD19&gt;0,DATE(Dashboard!$C$4,11,MIN(N(Units!$F19)+(N(Units!$F19)=0),DAY(EOMONTH(DATE(Dashboard!$C$4,11,1),0))))+N(Units!$G19)&lt;TODAY()),MAX(0,AD19-N(O19)),0)</f>
        <v/>
      </c>
      <c r="AQ19">
        <f>IF(AND(AE19&gt;0,DATE(Dashboard!$C$4,12,MIN(N(Units!$F19)+(N(Units!$F19)=0),DAY(EOMONTH(DATE(Dashboard!$C$4,12,1),0))))+N(Units!$G19)&lt;TODAY()),MAX(0,AE19-N(P19)),0)</f>
        <v/>
      </c>
      <c r="AR19">
        <f>IF(B19="","",Units!C19)</f>
        <v/>
      </c>
    </row>
    <row r="20">
      <c r="A20" s="1" t="n"/>
      <c r="B20" s="20">
        <f>IF(Units!B20="","",Units!B20)</f>
        <v/>
      </c>
      <c r="C20" s="30">
        <f>IF(B20="","",Units!D20)</f>
        <v/>
      </c>
      <c r="D20" s="14">
        <f>IF(B20="","",Units!E20)</f>
        <v/>
      </c>
      <c r="E20" s="31">
        <f>IF($B20="","",IF(AND(SUMIFS('Rent log'!$D$6:$D$1005,'Rent log'!$C$6:$C$1005,$B20,'Rent log'!$H$6:$H$1005,"&gt;="&amp;DATE(Dashboard!$C$4,1,1),'Rent log'!$H$6:$H$1005,"&lt;="&amp;EOMONTH(DATE(Dashboard!$C$4,1,1),0))=0,DATE(Dashboard!$C$4,1,1)&gt;TODAY()),"",SUMIFS('Rent log'!$D$6:$D$1005,'Rent log'!$C$6:$C$1005,$B20,'Rent log'!$H$6:$H$1005,"&gt;="&amp;DATE(Dashboard!$C$4,1,1),'Rent log'!$H$6:$H$1005,"&lt;="&amp;EOMONTH(DATE(Dashboard!$C$4,1,1),0))))</f>
        <v/>
      </c>
      <c r="F20" s="31">
        <f>IF($B20="","",IF(AND(SUMIFS('Rent log'!$D$6:$D$1005,'Rent log'!$C$6:$C$1005,$B20,'Rent log'!$H$6:$H$1005,"&gt;="&amp;DATE(Dashboard!$C$4,2,1),'Rent log'!$H$6:$H$1005,"&lt;="&amp;EOMONTH(DATE(Dashboard!$C$4,2,1),0))=0,DATE(Dashboard!$C$4,2,1)&gt;TODAY()),"",SUMIFS('Rent log'!$D$6:$D$1005,'Rent log'!$C$6:$C$1005,$B20,'Rent log'!$H$6:$H$1005,"&gt;="&amp;DATE(Dashboard!$C$4,2,1),'Rent log'!$H$6:$H$1005,"&lt;="&amp;EOMONTH(DATE(Dashboard!$C$4,2,1),0))))</f>
        <v/>
      </c>
      <c r="G20" s="31">
        <f>IF($B20="","",IF(AND(SUMIFS('Rent log'!$D$6:$D$1005,'Rent log'!$C$6:$C$1005,$B20,'Rent log'!$H$6:$H$1005,"&gt;="&amp;DATE(Dashboard!$C$4,3,1),'Rent log'!$H$6:$H$1005,"&lt;="&amp;EOMONTH(DATE(Dashboard!$C$4,3,1),0))=0,DATE(Dashboard!$C$4,3,1)&gt;TODAY()),"",SUMIFS('Rent log'!$D$6:$D$1005,'Rent log'!$C$6:$C$1005,$B20,'Rent log'!$H$6:$H$1005,"&gt;="&amp;DATE(Dashboard!$C$4,3,1),'Rent log'!$H$6:$H$1005,"&lt;="&amp;EOMONTH(DATE(Dashboard!$C$4,3,1),0))))</f>
        <v/>
      </c>
      <c r="H20" s="31">
        <f>IF($B20="","",IF(AND(SUMIFS('Rent log'!$D$6:$D$1005,'Rent log'!$C$6:$C$1005,$B20,'Rent log'!$H$6:$H$1005,"&gt;="&amp;DATE(Dashboard!$C$4,4,1),'Rent log'!$H$6:$H$1005,"&lt;="&amp;EOMONTH(DATE(Dashboard!$C$4,4,1),0))=0,DATE(Dashboard!$C$4,4,1)&gt;TODAY()),"",SUMIFS('Rent log'!$D$6:$D$1005,'Rent log'!$C$6:$C$1005,$B20,'Rent log'!$H$6:$H$1005,"&gt;="&amp;DATE(Dashboard!$C$4,4,1),'Rent log'!$H$6:$H$1005,"&lt;="&amp;EOMONTH(DATE(Dashboard!$C$4,4,1),0))))</f>
        <v/>
      </c>
      <c r="I20" s="31">
        <f>IF($B20="","",IF(AND(SUMIFS('Rent log'!$D$6:$D$1005,'Rent log'!$C$6:$C$1005,$B20,'Rent log'!$H$6:$H$1005,"&gt;="&amp;DATE(Dashboard!$C$4,5,1),'Rent log'!$H$6:$H$1005,"&lt;="&amp;EOMONTH(DATE(Dashboard!$C$4,5,1),0))=0,DATE(Dashboard!$C$4,5,1)&gt;TODAY()),"",SUMIFS('Rent log'!$D$6:$D$1005,'Rent log'!$C$6:$C$1005,$B20,'Rent log'!$H$6:$H$1005,"&gt;="&amp;DATE(Dashboard!$C$4,5,1),'Rent log'!$H$6:$H$1005,"&lt;="&amp;EOMONTH(DATE(Dashboard!$C$4,5,1),0))))</f>
        <v/>
      </c>
      <c r="J20" s="31">
        <f>IF($B20="","",IF(AND(SUMIFS('Rent log'!$D$6:$D$1005,'Rent log'!$C$6:$C$1005,$B20,'Rent log'!$H$6:$H$1005,"&gt;="&amp;DATE(Dashboard!$C$4,6,1),'Rent log'!$H$6:$H$1005,"&lt;="&amp;EOMONTH(DATE(Dashboard!$C$4,6,1),0))=0,DATE(Dashboard!$C$4,6,1)&gt;TODAY()),"",SUMIFS('Rent log'!$D$6:$D$1005,'Rent log'!$C$6:$C$1005,$B20,'Rent log'!$H$6:$H$1005,"&gt;="&amp;DATE(Dashboard!$C$4,6,1),'Rent log'!$H$6:$H$1005,"&lt;="&amp;EOMONTH(DATE(Dashboard!$C$4,6,1),0))))</f>
        <v/>
      </c>
      <c r="K20" s="31">
        <f>IF($B20="","",IF(AND(SUMIFS('Rent log'!$D$6:$D$1005,'Rent log'!$C$6:$C$1005,$B20,'Rent log'!$H$6:$H$1005,"&gt;="&amp;DATE(Dashboard!$C$4,7,1),'Rent log'!$H$6:$H$1005,"&lt;="&amp;EOMONTH(DATE(Dashboard!$C$4,7,1),0))=0,DATE(Dashboard!$C$4,7,1)&gt;TODAY()),"",SUMIFS('Rent log'!$D$6:$D$1005,'Rent log'!$C$6:$C$1005,$B20,'Rent log'!$H$6:$H$1005,"&gt;="&amp;DATE(Dashboard!$C$4,7,1),'Rent log'!$H$6:$H$1005,"&lt;="&amp;EOMONTH(DATE(Dashboard!$C$4,7,1),0))))</f>
        <v/>
      </c>
      <c r="L20" s="31">
        <f>IF($B20="","",IF(AND(SUMIFS('Rent log'!$D$6:$D$1005,'Rent log'!$C$6:$C$1005,$B20,'Rent log'!$H$6:$H$1005,"&gt;="&amp;DATE(Dashboard!$C$4,8,1),'Rent log'!$H$6:$H$1005,"&lt;="&amp;EOMONTH(DATE(Dashboard!$C$4,8,1),0))=0,DATE(Dashboard!$C$4,8,1)&gt;TODAY()),"",SUMIFS('Rent log'!$D$6:$D$1005,'Rent log'!$C$6:$C$1005,$B20,'Rent log'!$H$6:$H$1005,"&gt;="&amp;DATE(Dashboard!$C$4,8,1),'Rent log'!$H$6:$H$1005,"&lt;="&amp;EOMONTH(DATE(Dashboard!$C$4,8,1),0))))</f>
        <v/>
      </c>
      <c r="M20" s="31">
        <f>IF($B20="","",IF(AND(SUMIFS('Rent log'!$D$6:$D$1005,'Rent log'!$C$6:$C$1005,$B20,'Rent log'!$H$6:$H$1005,"&gt;="&amp;DATE(Dashboard!$C$4,9,1),'Rent log'!$H$6:$H$1005,"&lt;="&amp;EOMONTH(DATE(Dashboard!$C$4,9,1),0))=0,DATE(Dashboard!$C$4,9,1)&gt;TODAY()),"",SUMIFS('Rent log'!$D$6:$D$1005,'Rent log'!$C$6:$C$1005,$B20,'Rent log'!$H$6:$H$1005,"&gt;="&amp;DATE(Dashboard!$C$4,9,1),'Rent log'!$H$6:$H$1005,"&lt;="&amp;EOMONTH(DATE(Dashboard!$C$4,9,1),0))))</f>
        <v/>
      </c>
      <c r="N20" s="31">
        <f>IF($B20="","",IF(AND(SUMIFS('Rent log'!$D$6:$D$1005,'Rent log'!$C$6:$C$1005,$B20,'Rent log'!$H$6:$H$1005,"&gt;="&amp;DATE(Dashboard!$C$4,10,1),'Rent log'!$H$6:$H$1005,"&lt;="&amp;EOMONTH(DATE(Dashboard!$C$4,10,1),0))=0,DATE(Dashboard!$C$4,10,1)&gt;TODAY()),"",SUMIFS('Rent log'!$D$6:$D$1005,'Rent log'!$C$6:$C$1005,$B20,'Rent log'!$H$6:$H$1005,"&gt;="&amp;DATE(Dashboard!$C$4,10,1),'Rent log'!$H$6:$H$1005,"&lt;="&amp;EOMONTH(DATE(Dashboard!$C$4,10,1),0))))</f>
        <v/>
      </c>
      <c r="O20" s="31">
        <f>IF($B20="","",IF(AND(SUMIFS('Rent log'!$D$6:$D$1005,'Rent log'!$C$6:$C$1005,$B20,'Rent log'!$H$6:$H$1005,"&gt;="&amp;DATE(Dashboard!$C$4,11,1),'Rent log'!$H$6:$H$1005,"&lt;="&amp;EOMONTH(DATE(Dashboard!$C$4,11,1),0))=0,DATE(Dashboard!$C$4,11,1)&gt;TODAY()),"",SUMIFS('Rent log'!$D$6:$D$1005,'Rent log'!$C$6:$C$1005,$B20,'Rent log'!$H$6:$H$1005,"&gt;="&amp;DATE(Dashboard!$C$4,11,1),'Rent log'!$H$6:$H$1005,"&lt;="&amp;EOMONTH(DATE(Dashboard!$C$4,11,1),0))))</f>
        <v/>
      </c>
      <c r="P20" s="31">
        <f>IF($B20="","",IF(AND(SUMIFS('Rent log'!$D$6:$D$1005,'Rent log'!$C$6:$C$1005,$B20,'Rent log'!$H$6:$H$1005,"&gt;="&amp;DATE(Dashboard!$C$4,12,1),'Rent log'!$H$6:$H$1005,"&lt;="&amp;EOMONTH(DATE(Dashboard!$C$4,12,1),0))=0,DATE(Dashboard!$C$4,12,1)&gt;TODAY()),"",SUMIFS('Rent log'!$D$6:$D$1005,'Rent log'!$C$6:$C$1005,$B20,'Rent log'!$H$6:$H$1005,"&gt;="&amp;DATE(Dashboard!$C$4,12,1),'Rent log'!$H$6:$H$1005,"&lt;="&amp;EOMONTH(DATE(Dashboard!$C$4,12,1),0))))</f>
        <v/>
      </c>
      <c r="Q20" s="22">
        <f>IF(B20="","",SUM(E20:P20))</f>
        <v/>
      </c>
      <c r="R20" s="22">
        <f>IF(B20="","",SUM(AF20:AQ20))</f>
        <v/>
      </c>
      <c r="S20" s="30">
        <f>IF(B20="","",IF(Dashboard!$C$4&lt;&gt;YEAR(TODAY()),"",IF(INDEX(T20:AE20,MONTH(TODAY()))=0,"No rent due",IF(N(INDEX(E20:P20,MONTH(TODAY())))&gt;=INDEX(T20:AE20,MONTH(TODAY())),"Paid",IF(TODAY()&gt;DATE(YEAR(TODAY()),MONTH(TODAY()),MIN(N(Units!$F20)+(N(Units!$F20)=0),DAY(EOMONTH(TODAY(),0))))+N(Units!$G20),"Late: "&amp;FIXED(INDEX(T20:AE20,MONTH(TODAY()))-N(INDEX(E20:P20,MONTH(TODAY()))),2)&amp;" owed",IF(N(INDEX(E20:P20,MONTH(TODAY())))&gt;0,"Part paid: "&amp;FIXED(INDEX(T20:AE20,MONTH(TODAY()))-N(INDEX(E20:P20,MONTH(TODAY()))),2)&amp;" left","Due on the "&amp;MIN(N(Units!$F20)+(N(Units!$F20)=0),DAY(EOMONTH(TODAY(),0)))&amp;IF(AND(MIN(N(Units!$F20)+(N(Units!$F20)=0),DAY(EOMONTH(TODAY(),0)))&gt;=11,MIN(N(Units!$F20)+(N(Units!$F20)=0),DAY(EOMONTH(TODAY(),0)))&lt;=13),"th",IF(MOD(MIN(N(Units!$F20)+(N(Units!$F20)=0),DAY(EOMONTH(TODAY(),0))),10)=1,"st",IF(MOD(MIN(N(Units!$F20)+(N(Units!$F20)=0),DAY(EOMONTH(TODAY(),0))),10)=2,"nd",IF(MOD(MIN(N(Units!$F20)+(N(Units!$F20)=0),DAY(EOMONTH(TODAY(),0))),10)=3,"rd","th"))))))))))</f>
        <v/>
      </c>
      <c r="T20" s="1">
        <f>IF($B20="",0,IF(AND(OR(Units!$H20="",Units!$H20&lt;=EOMONTH(DATE(Dashboard!$C$4,1,1),0)),OR(Units!$I20="",Units!$I20&gt;=DATE(Dashboard!$C$4,1,1))),N(Units!$E20),0))</f>
        <v/>
      </c>
      <c r="U20">
        <f>IF($B20="",0,IF(AND(OR(Units!$H20="",Units!$H20&lt;=EOMONTH(DATE(Dashboard!$C$4,2,1),0)),OR(Units!$I20="",Units!$I20&gt;=DATE(Dashboard!$C$4,2,1))),N(Units!$E20),0))</f>
        <v/>
      </c>
      <c r="V20">
        <f>IF($B20="",0,IF(AND(OR(Units!$H20="",Units!$H20&lt;=EOMONTH(DATE(Dashboard!$C$4,3,1),0)),OR(Units!$I20="",Units!$I20&gt;=DATE(Dashboard!$C$4,3,1))),N(Units!$E20),0))</f>
        <v/>
      </c>
      <c r="W20">
        <f>IF($B20="",0,IF(AND(OR(Units!$H20="",Units!$H20&lt;=EOMONTH(DATE(Dashboard!$C$4,4,1),0)),OR(Units!$I20="",Units!$I20&gt;=DATE(Dashboard!$C$4,4,1))),N(Units!$E20),0))</f>
        <v/>
      </c>
      <c r="X20">
        <f>IF($B20="",0,IF(AND(OR(Units!$H20="",Units!$H20&lt;=EOMONTH(DATE(Dashboard!$C$4,5,1),0)),OR(Units!$I20="",Units!$I20&gt;=DATE(Dashboard!$C$4,5,1))),N(Units!$E20),0))</f>
        <v/>
      </c>
      <c r="Y20">
        <f>IF($B20="",0,IF(AND(OR(Units!$H20="",Units!$H20&lt;=EOMONTH(DATE(Dashboard!$C$4,6,1),0)),OR(Units!$I20="",Units!$I20&gt;=DATE(Dashboard!$C$4,6,1))),N(Units!$E20),0))</f>
        <v/>
      </c>
      <c r="Z20">
        <f>IF($B20="",0,IF(AND(OR(Units!$H20="",Units!$H20&lt;=EOMONTH(DATE(Dashboard!$C$4,7,1),0)),OR(Units!$I20="",Units!$I20&gt;=DATE(Dashboard!$C$4,7,1))),N(Units!$E20),0))</f>
        <v/>
      </c>
      <c r="AA20">
        <f>IF($B20="",0,IF(AND(OR(Units!$H20="",Units!$H20&lt;=EOMONTH(DATE(Dashboard!$C$4,8,1),0)),OR(Units!$I20="",Units!$I20&gt;=DATE(Dashboard!$C$4,8,1))),N(Units!$E20),0))</f>
        <v/>
      </c>
      <c r="AB20">
        <f>IF($B20="",0,IF(AND(OR(Units!$H20="",Units!$H20&lt;=EOMONTH(DATE(Dashboard!$C$4,9,1),0)),OR(Units!$I20="",Units!$I20&gt;=DATE(Dashboard!$C$4,9,1))),N(Units!$E20),0))</f>
        <v/>
      </c>
      <c r="AC20">
        <f>IF($B20="",0,IF(AND(OR(Units!$H20="",Units!$H20&lt;=EOMONTH(DATE(Dashboard!$C$4,10,1),0)),OR(Units!$I20="",Units!$I20&gt;=DATE(Dashboard!$C$4,10,1))),N(Units!$E20),0))</f>
        <v/>
      </c>
      <c r="AD20">
        <f>IF($B20="",0,IF(AND(OR(Units!$H20="",Units!$H20&lt;=EOMONTH(DATE(Dashboard!$C$4,11,1),0)),OR(Units!$I20="",Units!$I20&gt;=DATE(Dashboard!$C$4,11,1))),N(Units!$E20),0))</f>
        <v/>
      </c>
      <c r="AE20">
        <f>IF($B20="",0,IF(AND(OR(Units!$H20="",Units!$H20&lt;=EOMONTH(DATE(Dashboard!$C$4,12,1),0)),OR(Units!$I20="",Units!$I20&gt;=DATE(Dashboard!$C$4,12,1))),N(Units!$E20),0))</f>
        <v/>
      </c>
      <c r="AF20">
        <f>IF(AND(T20&gt;0,DATE(Dashboard!$C$4,1,MIN(N(Units!$F20)+(N(Units!$F20)=0),DAY(EOMONTH(DATE(Dashboard!$C$4,1,1),0))))+N(Units!$G20)&lt;TODAY()),MAX(0,T20-N(E20)),0)</f>
        <v/>
      </c>
      <c r="AG20">
        <f>IF(AND(U20&gt;0,DATE(Dashboard!$C$4,2,MIN(N(Units!$F20)+(N(Units!$F20)=0),DAY(EOMONTH(DATE(Dashboard!$C$4,2,1),0))))+N(Units!$G20)&lt;TODAY()),MAX(0,U20-N(F20)),0)</f>
        <v/>
      </c>
      <c r="AH20">
        <f>IF(AND(V20&gt;0,DATE(Dashboard!$C$4,3,MIN(N(Units!$F20)+(N(Units!$F20)=0),DAY(EOMONTH(DATE(Dashboard!$C$4,3,1),0))))+N(Units!$G20)&lt;TODAY()),MAX(0,V20-N(G20)),0)</f>
        <v/>
      </c>
      <c r="AI20">
        <f>IF(AND(W20&gt;0,DATE(Dashboard!$C$4,4,MIN(N(Units!$F20)+(N(Units!$F20)=0),DAY(EOMONTH(DATE(Dashboard!$C$4,4,1),0))))+N(Units!$G20)&lt;TODAY()),MAX(0,W20-N(H20)),0)</f>
        <v/>
      </c>
      <c r="AJ20">
        <f>IF(AND(X20&gt;0,DATE(Dashboard!$C$4,5,MIN(N(Units!$F20)+(N(Units!$F20)=0),DAY(EOMONTH(DATE(Dashboard!$C$4,5,1),0))))+N(Units!$G20)&lt;TODAY()),MAX(0,X20-N(I20)),0)</f>
        <v/>
      </c>
      <c r="AK20">
        <f>IF(AND(Y20&gt;0,DATE(Dashboard!$C$4,6,MIN(N(Units!$F20)+(N(Units!$F20)=0),DAY(EOMONTH(DATE(Dashboard!$C$4,6,1),0))))+N(Units!$G20)&lt;TODAY()),MAX(0,Y20-N(J20)),0)</f>
        <v/>
      </c>
      <c r="AL20">
        <f>IF(AND(Z20&gt;0,DATE(Dashboard!$C$4,7,MIN(N(Units!$F20)+(N(Units!$F20)=0),DAY(EOMONTH(DATE(Dashboard!$C$4,7,1),0))))+N(Units!$G20)&lt;TODAY()),MAX(0,Z20-N(K20)),0)</f>
        <v/>
      </c>
      <c r="AM20">
        <f>IF(AND(AA20&gt;0,DATE(Dashboard!$C$4,8,MIN(N(Units!$F20)+(N(Units!$F20)=0),DAY(EOMONTH(DATE(Dashboard!$C$4,8,1),0))))+N(Units!$G20)&lt;TODAY()),MAX(0,AA20-N(L20)),0)</f>
        <v/>
      </c>
      <c r="AN20">
        <f>IF(AND(AB20&gt;0,DATE(Dashboard!$C$4,9,MIN(N(Units!$F20)+(N(Units!$F20)=0),DAY(EOMONTH(DATE(Dashboard!$C$4,9,1),0))))+N(Units!$G20)&lt;TODAY()),MAX(0,AB20-N(M20)),0)</f>
        <v/>
      </c>
      <c r="AO20">
        <f>IF(AND(AC20&gt;0,DATE(Dashboard!$C$4,10,MIN(N(Units!$F20)+(N(Units!$F20)=0),DAY(EOMONTH(DATE(Dashboard!$C$4,10,1),0))))+N(Units!$G20)&lt;TODAY()),MAX(0,AC20-N(N20)),0)</f>
        <v/>
      </c>
      <c r="AP20">
        <f>IF(AND(AD20&gt;0,DATE(Dashboard!$C$4,11,MIN(N(Units!$F20)+(N(Units!$F20)=0),DAY(EOMONTH(DATE(Dashboard!$C$4,11,1),0))))+N(Units!$G20)&lt;TODAY()),MAX(0,AD20-N(O20)),0)</f>
        <v/>
      </c>
      <c r="AQ20">
        <f>IF(AND(AE20&gt;0,DATE(Dashboard!$C$4,12,MIN(N(Units!$F20)+(N(Units!$F20)=0),DAY(EOMONTH(DATE(Dashboard!$C$4,12,1),0))))+N(Units!$G20)&lt;TODAY()),MAX(0,AE20-N(P20)),0)</f>
        <v/>
      </c>
      <c r="AR20">
        <f>IF(B20="","",Units!C20)</f>
        <v/>
      </c>
    </row>
    <row r="21">
      <c r="A21" s="1" t="n"/>
      <c r="B21" s="20">
        <f>IF(Units!B21="","",Units!B21)</f>
        <v/>
      </c>
      <c r="C21" s="30">
        <f>IF(B21="","",Units!D21)</f>
        <v/>
      </c>
      <c r="D21" s="14">
        <f>IF(B21="","",Units!E21)</f>
        <v/>
      </c>
      <c r="E21" s="31">
        <f>IF($B21="","",IF(AND(SUMIFS('Rent log'!$D$6:$D$1005,'Rent log'!$C$6:$C$1005,$B21,'Rent log'!$H$6:$H$1005,"&gt;="&amp;DATE(Dashboard!$C$4,1,1),'Rent log'!$H$6:$H$1005,"&lt;="&amp;EOMONTH(DATE(Dashboard!$C$4,1,1),0))=0,DATE(Dashboard!$C$4,1,1)&gt;TODAY()),"",SUMIFS('Rent log'!$D$6:$D$1005,'Rent log'!$C$6:$C$1005,$B21,'Rent log'!$H$6:$H$1005,"&gt;="&amp;DATE(Dashboard!$C$4,1,1),'Rent log'!$H$6:$H$1005,"&lt;="&amp;EOMONTH(DATE(Dashboard!$C$4,1,1),0))))</f>
        <v/>
      </c>
      <c r="F21" s="31">
        <f>IF($B21="","",IF(AND(SUMIFS('Rent log'!$D$6:$D$1005,'Rent log'!$C$6:$C$1005,$B21,'Rent log'!$H$6:$H$1005,"&gt;="&amp;DATE(Dashboard!$C$4,2,1),'Rent log'!$H$6:$H$1005,"&lt;="&amp;EOMONTH(DATE(Dashboard!$C$4,2,1),0))=0,DATE(Dashboard!$C$4,2,1)&gt;TODAY()),"",SUMIFS('Rent log'!$D$6:$D$1005,'Rent log'!$C$6:$C$1005,$B21,'Rent log'!$H$6:$H$1005,"&gt;="&amp;DATE(Dashboard!$C$4,2,1),'Rent log'!$H$6:$H$1005,"&lt;="&amp;EOMONTH(DATE(Dashboard!$C$4,2,1),0))))</f>
        <v/>
      </c>
      <c r="G21" s="31">
        <f>IF($B21="","",IF(AND(SUMIFS('Rent log'!$D$6:$D$1005,'Rent log'!$C$6:$C$1005,$B21,'Rent log'!$H$6:$H$1005,"&gt;="&amp;DATE(Dashboard!$C$4,3,1),'Rent log'!$H$6:$H$1005,"&lt;="&amp;EOMONTH(DATE(Dashboard!$C$4,3,1),0))=0,DATE(Dashboard!$C$4,3,1)&gt;TODAY()),"",SUMIFS('Rent log'!$D$6:$D$1005,'Rent log'!$C$6:$C$1005,$B21,'Rent log'!$H$6:$H$1005,"&gt;="&amp;DATE(Dashboard!$C$4,3,1),'Rent log'!$H$6:$H$1005,"&lt;="&amp;EOMONTH(DATE(Dashboard!$C$4,3,1),0))))</f>
        <v/>
      </c>
      <c r="H21" s="31">
        <f>IF($B21="","",IF(AND(SUMIFS('Rent log'!$D$6:$D$1005,'Rent log'!$C$6:$C$1005,$B21,'Rent log'!$H$6:$H$1005,"&gt;="&amp;DATE(Dashboard!$C$4,4,1),'Rent log'!$H$6:$H$1005,"&lt;="&amp;EOMONTH(DATE(Dashboard!$C$4,4,1),0))=0,DATE(Dashboard!$C$4,4,1)&gt;TODAY()),"",SUMIFS('Rent log'!$D$6:$D$1005,'Rent log'!$C$6:$C$1005,$B21,'Rent log'!$H$6:$H$1005,"&gt;="&amp;DATE(Dashboard!$C$4,4,1),'Rent log'!$H$6:$H$1005,"&lt;="&amp;EOMONTH(DATE(Dashboard!$C$4,4,1),0))))</f>
        <v/>
      </c>
      <c r="I21" s="31">
        <f>IF($B21="","",IF(AND(SUMIFS('Rent log'!$D$6:$D$1005,'Rent log'!$C$6:$C$1005,$B21,'Rent log'!$H$6:$H$1005,"&gt;="&amp;DATE(Dashboard!$C$4,5,1),'Rent log'!$H$6:$H$1005,"&lt;="&amp;EOMONTH(DATE(Dashboard!$C$4,5,1),0))=0,DATE(Dashboard!$C$4,5,1)&gt;TODAY()),"",SUMIFS('Rent log'!$D$6:$D$1005,'Rent log'!$C$6:$C$1005,$B21,'Rent log'!$H$6:$H$1005,"&gt;="&amp;DATE(Dashboard!$C$4,5,1),'Rent log'!$H$6:$H$1005,"&lt;="&amp;EOMONTH(DATE(Dashboard!$C$4,5,1),0))))</f>
        <v/>
      </c>
      <c r="J21" s="31">
        <f>IF($B21="","",IF(AND(SUMIFS('Rent log'!$D$6:$D$1005,'Rent log'!$C$6:$C$1005,$B21,'Rent log'!$H$6:$H$1005,"&gt;="&amp;DATE(Dashboard!$C$4,6,1),'Rent log'!$H$6:$H$1005,"&lt;="&amp;EOMONTH(DATE(Dashboard!$C$4,6,1),0))=0,DATE(Dashboard!$C$4,6,1)&gt;TODAY()),"",SUMIFS('Rent log'!$D$6:$D$1005,'Rent log'!$C$6:$C$1005,$B21,'Rent log'!$H$6:$H$1005,"&gt;="&amp;DATE(Dashboard!$C$4,6,1),'Rent log'!$H$6:$H$1005,"&lt;="&amp;EOMONTH(DATE(Dashboard!$C$4,6,1),0))))</f>
        <v/>
      </c>
      <c r="K21" s="31">
        <f>IF($B21="","",IF(AND(SUMIFS('Rent log'!$D$6:$D$1005,'Rent log'!$C$6:$C$1005,$B21,'Rent log'!$H$6:$H$1005,"&gt;="&amp;DATE(Dashboard!$C$4,7,1),'Rent log'!$H$6:$H$1005,"&lt;="&amp;EOMONTH(DATE(Dashboard!$C$4,7,1),0))=0,DATE(Dashboard!$C$4,7,1)&gt;TODAY()),"",SUMIFS('Rent log'!$D$6:$D$1005,'Rent log'!$C$6:$C$1005,$B21,'Rent log'!$H$6:$H$1005,"&gt;="&amp;DATE(Dashboard!$C$4,7,1),'Rent log'!$H$6:$H$1005,"&lt;="&amp;EOMONTH(DATE(Dashboard!$C$4,7,1),0))))</f>
        <v/>
      </c>
      <c r="L21" s="31">
        <f>IF($B21="","",IF(AND(SUMIFS('Rent log'!$D$6:$D$1005,'Rent log'!$C$6:$C$1005,$B21,'Rent log'!$H$6:$H$1005,"&gt;="&amp;DATE(Dashboard!$C$4,8,1),'Rent log'!$H$6:$H$1005,"&lt;="&amp;EOMONTH(DATE(Dashboard!$C$4,8,1),0))=0,DATE(Dashboard!$C$4,8,1)&gt;TODAY()),"",SUMIFS('Rent log'!$D$6:$D$1005,'Rent log'!$C$6:$C$1005,$B21,'Rent log'!$H$6:$H$1005,"&gt;="&amp;DATE(Dashboard!$C$4,8,1),'Rent log'!$H$6:$H$1005,"&lt;="&amp;EOMONTH(DATE(Dashboard!$C$4,8,1),0))))</f>
        <v/>
      </c>
      <c r="M21" s="31">
        <f>IF($B21="","",IF(AND(SUMIFS('Rent log'!$D$6:$D$1005,'Rent log'!$C$6:$C$1005,$B21,'Rent log'!$H$6:$H$1005,"&gt;="&amp;DATE(Dashboard!$C$4,9,1),'Rent log'!$H$6:$H$1005,"&lt;="&amp;EOMONTH(DATE(Dashboard!$C$4,9,1),0))=0,DATE(Dashboard!$C$4,9,1)&gt;TODAY()),"",SUMIFS('Rent log'!$D$6:$D$1005,'Rent log'!$C$6:$C$1005,$B21,'Rent log'!$H$6:$H$1005,"&gt;="&amp;DATE(Dashboard!$C$4,9,1),'Rent log'!$H$6:$H$1005,"&lt;="&amp;EOMONTH(DATE(Dashboard!$C$4,9,1),0))))</f>
        <v/>
      </c>
      <c r="N21" s="31">
        <f>IF($B21="","",IF(AND(SUMIFS('Rent log'!$D$6:$D$1005,'Rent log'!$C$6:$C$1005,$B21,'Rent log'!$H$6:$H$1005,"&gt;="&amp;DATE(Dashboard!$C$4,10,1),'Rent log'!$H$6:$H$1005,"&lt;="&amp;EOMONTH(DATE(Dashboard!$C$4,10,1),0))=0,DATE(Dashboard!$C$4,10,1)&gt;TODAY()),"",SUMIFS('Rent log'!$D$6:$D$1005,'Rent log'!$C$6:$C$1005,$B21,'Rent log'!$H$6:$H$1005,"&gt;="&amp;DATE(Dashboard!$C$4,10,1),'Rent log'!$H$6:$H$1005,"&lt;="&amp;EOMONTH(DATE(Dashboard!$C$4,10,1),0))))</f>
        <v/>
      </c>
      <c r="O21" s="31">
        <f>IF($B21="","",IF(AND(SUMIFS('Rent log'!$D$6:$D$1005,'Rent log'!$C$6:$C$1005,$B21,'Rent log'!$H$6:$H$1005,"&gt;="&amp;DATE(Dashboard!$C$4,11,1),'Rent log'!$H$6:$H$1005,"&lt;="&amp;EOMONTH(DATE(Dashboard!$C$4,11,1),0))=0,DATE(Dashboard!$C$4,11,1)&gt;TODAY()),"",SUMIFS('Rent log'!$D$6:$D$1005,'Rent log'!$C$6:$C$1005,$B21,'Rent log'!$H$6:$H$1005,"&gt;="&amp;DATE(Dashboard!$C$4,11,1),'Rent log'!$H$6:$H$1005,"&lt;="&amp;EOMONTH(DATE(Dashboard!$C$4,11,1),0))))</f>
        <v/>
      </c>
      <c r="P21" s="31">
        <f>IF($B21="","",IF(AND(SUMIFS('Rent log'!$D$6:$D$1005,'Rent log'!$C$6:$C$1005,$B21,'Rent log'!$H$6:$H$1005,"&gt;="&amp;DATE(Dashboard!$C$4,12,1),'Rent log'!$H$6:$H$1005,"&lt;="&amp;EOMONTH(DATE(Dashboard!$C$4,12,1),0))=0,DATE(Dashboard!$C$4,12,1)&gt;TODAY()),"",SUMIFS('Rent log'!$D$6:$D$1005,'Rent log'!$C$6:$C$1005,$B21,'Rent log'!$H$6:$H$1005,"&gt;="&amp;DATE(Dashboard!$C$4,12,1),'Rent log'!$H$6:$H$1005,"&lt;="&amp;EOMONTH(DATE(Dashboard!$C$4,12,1),0))))</f>
        <v/>
      </c>
      <c r="Q21" s="22">
        <f>IF(B21="","",SUM(E21:P21))</f>
        <v/>
      </c>
      <c r="R21" s="22">
        <f>IF(B21="","",SUM(AF21:AQ21))</f>
        <v/>
      </c>
      <c r="S21" s="30">
        <f>IF(B21="","",IF(Dashboard!$C$4&lt;&gt;YEAR(TODAY()),"",IF(INDEX(T21:AE21,MONTH(TODAY()))=0,"No rent due",IF(N(INDEX(E21:P21,MONTH(TODAY())))&gt;=INDEX(T21:AE21,MONTH(TODAY())),"Paid",IF(TODAY()&gt;DATE(YEAR(TODAY()),MONTH(TODAY()),MIN(N(Units!$F21)+(N(Units!$F21)=0),DAY(EOMONTH(TODAY(),0))))+N(Units!$G21),"Late: "&amp;FIXED(INDEX(T21:AE21,MONTH(TODAY()))-N(INDEX(E21:P21,MONTH(TODAY()))),2)&amp;" owed",IF(N(INDEX(E21:P21,MONTH(TODAY())))&gt;0,"Part paid: "&amp;FIXED(INDEX(T21:AE21,MONTH(TODAY()))-N(INDEX(E21:P21,MONTH(TODAY()))),2)&amp;" left","Due on the "&amp;MIN(N(Units!$F21)+(N(Units!$F21)=0),DAY(EOMONTH(TODAY(),0)))&amp;IF(AND(MIN(N(Units!$F21)+(N(Units!$F21)=0),DAY(EOMONTH(TODAY(),0)))&gt;=11,MIN(N(Units!$F21)+(N(Units!$F21)=0),DAY(EOMONTH(TODAY(),0)))&lt;=13),"th",IF(MOD(MIN(N(Units!$F21)+(N(Units!$F21)=0),DAY(EOMONTH(TODAY(),0))),10)=1,"st",IF(MOD(MIN(N(Units!$F21)+(N(Units!$F21)=0),DAY(EOMONTH(TODAY(),0))),10)=2,"nd",IF(MOD(MIN(N(Units!$F21)+(N(Units!$F21)=0),DAY(EOMONTH(TODAY(),0))),10)=3,"rd","th"))))))))))</f>
        <v/>
      </c>
      <c r="T21" s="1">
        <f>IF($B21="",0,IF(AND(OR(Units!$H21="",Units!$H21&lt;=EOMONTH(DATE(Dashboard!$C$4,1,1),0)),OR(Units!$I21="",Units!$I21&gt;=DATE(Dashboard!$C$4,1,1))),N(Units!$E21),0))</f>
        <v/>
      </c>
      <c r="U21">
        <f>IF($B21="",0,IF(AND(OR(Units!$H21="",Units!$H21&lt;=EOMONTH(DATE(Dashboard!$C$4,2,1),0)),OR(Units!$I21="",Units!$I21&gt;=DATE(Dashboard!$C$4,2,1))),N(Units!$E21),0))</f>
        <v/>
      </c>
      <c r="V21">
        <f>IF($B21="",0,IF(AND(OR(Units!$H21="",Units!$H21&lt;=EOMONTH(DATE(Dashboard!$C$4,3,1),0)),OR(Units!$I21="",Units!$I21&gt;=DATE(Dashboard!$C$4,3,1))),N(Units!$E21),0))</f>
        <v/>
      </c>
      <c r="W21">
        <f>IF($B21="",0,IF(AND(OR(Units!$H21="",Units!$H21&lt;=EOMONTH(DATE(Dashboard!$C$4,4,1),0)),OR(Units!$I21="",Units!$I21&gt;=DATE(Dashboard!$C$4,4,1))),N(Units!$E21),0))</f>
        <v/>
      </c>
      <c r="X21">
        <f>IF($B21="",0,IF(AND(OR(Units!$H21="",Units!$H21&lt;=EOMONTH(DATE(Dashboard!$C$4,5,1),0)),OR(Units!$I21="",Units!$I21&gt;=DATE(Dashboard!$C$4,5,1))),N(Units!$E21),0))</f>
        <v/>
      </c>
      <c r="Y21">
        <f>IF($B21="",0,IF(AND(OR(Units!$H21="",Units!$H21&lt;=EOMONTH(DATE(Dashboard!$C$4,6,1),0)),OR(Units!$I21="",Units!$I21&gt;=DATE(Dashboard!$C$4,6,1))),N(Units!$E21),0))</f>
        <v/>
      </c>
      <c r="Z21">
        <f>IF($B21="",0,IF(AND(OR(Units!$H21="",Units!$H21&lt;=EOMONTH(DATE(Dashboard!$C$4,7,1),0)),OR(Units!$I21="",Units!$I21&gt;=DATE(Dashboard!$C$4,7,1))),N(Units!$E21),0))</f>
        <v/>
      </c>
      <c r="AA21">
        <f>IF($B21="",0,IF(AND(OR(Units!$H21="",Units!$H21&lt;=EOMONTH(DATE(Dashboard!$C$4,8,1),0)),OR(Units!$I21="",Units!$I21&gt;=DATE(Dashboard!$C$4,8,1))),N(Units!$E21),0))</f>
        <v/>
      </c>
      <c r="AB21">
        <f>IF($B21="",0,IF(AND(OR(Units!$H21="",Units!$H21&lt;=EOMONTH(DATE(Dashboard!$C$4,9,1),0)),OR(Units!$I21="",Units!$I21&gt;=DATE(Dashboard!$C$4,9,1))),N(Units!$E21),0))</f>
        <v/>
      </c>
      <c r="AC21">
        <f>IF($B21="",0,IF(AND(OR(Units!$H21="",Units!$H21&lt;=EOMONTH(DATE(Dashboard!$C$4,10,1),0)),OR(Units!$I21="",Units!$I21&gt;=DATE(Dashboard!$C$4,10,1))),N(Units!$E21),0))</f>
        <v/>
      </c>
      <c r="AD21">
        <f>IF($B21="",0,IF(AND(OR(Units!$H21="",Units!$H21&lt;=EOMONTH(DATE(Dashboard!$C$4,11,1),0)),OR(Units!$I21="",Units!$I21&gt;=DATE(Dashboard!$C$4,11,1))),N(Units!$E21),0))</f>
        <v/>
      </c>
      <c r="AE21">
        <f>IF($B21="",0,IF(AND(OR(Units!$H21="",Units!$H21&lt;=EOMONTH(DATE(Dashboard!$C$4,12,1),0)),OR(Units!$I21="",Units!$I21&gt;=DATE(Dashboard!$C$4,12,1))),N(Units!$E21),0))</f>
        <v/>
      </c>
      <c r="AF21">
        <f>IF(AND(T21&gt;0,DATE(Dashboard!$C$4,1,MIN(N(Units!$F21)+(N(Units!$F21)=0),DAY(EOMONTH(DATE(Dashboard!$C$4,1,1),0))))+N(Units!$G21)&lt;TODAY()),MAX(0,T21-N(E21)),0)</f>
        <v/>
      </c>
      <c r="AG21">
        <f>IF(AND(U21&gt;0,DATE(Dashboard!$C$4,2,MIN(N(Units!$F21)+(N(Units!$F21)=0),DAY(EOMONTH(DATE(Dashboard!$C$4,2,1),0))))+N(Units!$G21)&lt;TODAY()),MAX(0,U21-N(F21)),0)</f>
        <v/>
      </c>
      <c r="AH21">
        <f>IF(AND(V21&gt;0,DATE(Dashboard!$C$4,3,MIN(N(Units!$F21)+(N(Units!$F21)=0),DAY(EOMONTH(DATE(Dashboard!$C$4,3,1),0))))+N(Units!$G21)&lt;TODAY()),MAX(0,V21-N(G21)),0)</f>
        <v/>
      </c>
      <c r="AI21">
        <f>IF(AND(W21&gt;0,DATE(Dashboard!$C$4,4,MIN(N(Units!$F21)+(N(Units!$F21)=0),DAY(EOMONTH(DATE(Dashboard!$C$4,4,1),0))))+N(Units!$G21)&lt;TODAY()),MAX(0,W21-N(H21)),0)</f>
        <v/>
      </c>
      <c r="AJ21">
        <f>IF(AND(X21&gt;0,DATE(Dashboard!$C$4,5,MIN(N(Units!$F21)+(N(Units!$F21)=0),DAY(EOMONTH(DATE(Dashboard!$C$4,5,1),0))))+N(Units!$G21)&lt;TODAY()),MAX(0,X21-N(I21)),0)</f>
        <v/>
      </c>
      <c r="AK21">
        <f>IF(AND(Y21&gt;0,DATE(Dashboard!$C$4,6,MIN(N(Units!$F21)+(N(Units!$F21)=0),DAY(EOMONTH(DATE(Dashboard!$C$4,6,1),0))))+N(Units!$G21)&lt;TODAY()),MAX(0,Y21-N(J21)),0)</f>
        <v/>
      </c>
      <c r="AL21">
        <f>IF(AND(Z21&gt;0,DATE(Dashboard!$C$4,7,MIN(N(Units!$F21)+(N(Units!$F21)=0),DAY(EOMONTH(DATE(Dashboard!$C$4,7,1),0))))+N(Units!$G21)&lt;TODAY()),MAX(0,Z21-N(K21)),0)</f>
        <v/>
      </c>
      <c r="AM21">
        <f>IF(AND(AA21&gt;0,DATE(Dashboard!$C$4,8,MIN(N(Units!$F21)+(N(Units!$F21)=0),DAY(EOMONTH(DATE(Dashboard!$C$4,8,1),0))))+N(Units!$G21)&lt;TODAY()),MAX(0,AA21-N(L21)),0)</f>
        <v/>
      </c>
      <c r="AN21">
        <f>IF(AND(AB21&gt;0,DATE(Dashboard!$C$4,9,MIN(N(Units!$F21)+(N(Units!$F21)=0),DAY(EOMONTH(DATE(Dashboard!$C$4,9,1),0))))+N(Units!$G21)&lt;TODAY()),MAX(0,AB21-N(M21)),0)</f>
        <v/>
      </c>
      <c r="AO21">
        <f>IF(AND(AC21&gt;0,DATE(Dashboard!$C$4,10,MIN(N(Units!$F21)+(N(Units!$F21)=0),DAY(EOMONTH(DATE(Dashboard!$C$4,10,1),0))))+N(Units!$G21)&lt;TODAY()),MAX(0,AC21-N(N21)),0)</f>
        <v/>
      </c>
      <c r="AP21">
        <f>IF(AND(AD21&gt;0,DATE(Dashboard!$C$4,11,MIN(N(Units!$F21)+(N(Units!$F21)=0),DAY(EOMONTH(DATE(Dashboard!$C$4,11,1),0))))+N(Units!$G21)&lt;TODAY()),MAX(0,AD21-N(O21)),0)</f>
        <v/>
      </c>
      <c r="AQ21">
        <f>IF(AND(AE21&gt;0,DATE(Dashboard!$C$4,12,MIN(N(Units!$F21)+(N(Units!$F21)=0),DAY(EOMONTH(DATE(Dashboard!$C$4,12,1),0))))+N(Units!$G21)&lt;TODAY()),MAX(0,AE21-N(P21)),0)</f>
        <v/>
      </c>
      <c r="AR21">
        <f>IF(B21="","",Units!C21)</f>
        <v/>
      </c>
    </row>
    <row r="22">
      <c r="A22" s="1" t="n"/>
      <c r="B22" s="20">
        <f>IF(Units!B22="","",Units!B22)</f>
        <v/>
      </c>
      <c r="C22" s="30">
        <f>IF(B22="","",Units!D22)</f>
        <v/>
      </c>
      <c r="D22" s="14">
        <f>IF(B22="","",Units!E22)</f>
        <v/>
      </c>
      <c r="E22" s="31">
        <f>IF($B22="","",IF(AND(SUMIFS('Rent log'!$D$6:$D$1005,'Rent log'!$C$6:$C$1005,$B22,'Rent log'!$H$6:$H$1005,"&gt;="&amp;DATE(Dashboard!$C$4,1,1),'Rent log'!$H$6:$H$1005,"&lt;="&amp;EOMONTH(DATE(Dashboard!$C$4,1,1),0))=0,DATE(Dashboard!$C$4,1,1)&gt;TODAY()),"",SUMIFS('Rent log'!$D$6:$D$1005,'Rent log'!$C$6:$C$1005,$B22,'Rent log'!$H$6:$H$1005,"&gt;="&amp;DATE(Dashboard!$C$4,1,1),'Rent log'!$H$6:$H$1005,"&lt;="&amp;EOMONTH(DATE(Dashboard!$C$4,1,1),0))))</f>
        <v/>
      </c>
      <c r="F22" s="31">
        <f>IF($B22="","",IF(AND(SUMIFS('Rent log'!$D$6:$D$1005,'Rent log'!$C$6:$C$1005,$B22,'Rent log'!$H$6:$H$1005,"&gt;="&amp;DATE(Dashboard!$C$4,2,1),'Rent log'!$H$6:$H$1005,"&lt;="&amp;EOMONTH(DATE(Dashboard!$C$4,2,1),0))=0,DATE(Dashboard!$C$4,2,1)&gt;TODAY()),"",SUMIFS('Rent log'!$D$6:$D$1005,'Rent log'!$C$6:$C$1005,$B22,'Rent log'!$H$6:$H$1005,"&gt;="&amp;DATE(Dashboard!$C$4,2,1),'Rent log'!$H$6:$H$1005,"&lt;="&amp;EOMONTH(DATE(Dashboard!$C$4,2,1),0))))</f>
        <v/>
      </c>
      <c r="G22" s="31">
        <f>IF($B22="","",IF(AND(SUMIFS('Rent log'!$D$6:$D$1005,'Rent log'!$C$6:$C$1005,$B22,'Rent log'!$H$6:$H$1005,"&gt;="&amp;DATE(Dashboard!$C$4,3,1),'Rent log'!$H$6:$H$1005,"&lt;="&amp;EOMONTH(DATE(Dashboard!$C$4,3,1),0))=0,DATE(Dashboard!$C$4,3,1)&gt;TODAY()),"",SUMIFS('Rent log'!$D$6:$D$1005,'Rent log'!$C$6:$C$1005,$B22,'Rent log'!$H$6:$H$1005,"&gt;="&amp;DATE(Dashboard!$C$4,3,1),'Rent log'!$H$6:$H$1005,"&lt;="&amp;EOMONTH(DATE(Dashboard!$C$4,3,1),0))))</f>
        <v/>
      </c>
      <c r="H22" s="31">
        <f>IF($B22="","",IF(AND(SUMIFS('Rent log'!$D$6:$D$1005,'Rent log'!$C$6:$C$1005,$B22,'Rent log'!$H$6:$H$1005,"&gt;="&amp;DATE(Dashboard!$C$4,4,1),'Rent log'!$H$6:$H$1005,"&lt;="&amp;EOMONTH(DATE(Dashboard!$C$4,4,1),0))=0,DATE(Dashboard!$C$4,4,1)&gt;TODAY()),"",SUMIFS('Rent log'!$D$6:$D$1005,'Rent log'!$C$6:$C$1005,$B22,'Rent log'!$H$6:$H$1005,"&gt;="&amp;DATE(Dashboard!$C$4,4,1),'Rent log'!$H$6:$H$1005,"&lt;="&amp;EOMONTH(DATE(Dashboard!$C$4,4,1),0))))</f>
        <v/>
      </c>
      <c r="I22" s="31">
        <f>IF($B22="","",IF(AND(SUMIFS('Rent log'!$D$6:$D$1005,'Rent log'!$C$6:$C$1005,$B22,'Rent log'!$H$6:$H$1005,"&gt;="&amp;DATE(Dashboard!$C$4,5,1),'Rent log'!$H$6:$H$1005,"&lt;="&amp;EOMONTH(DATE(Dashboard!$C$4,5,1),0))=0,DATE(Dashboard!$C$4,5,1)&gt;TODAY()),"",SUMIFS('Rent log'!$D$6:$D$1005,'Rent log'!$C$6:$C$1005,$B22,'Rent log'!$H$6:$H$1005,"&gt;="&amp;DATE(Dashboard!$C$4,5,1),'Rent log'!$H$6:$H$1005,"&lt;="&amp;EOMONTH(DATE(Dashboard!$C$4,5,1),0))))</f>
        <v/>
      </c>
      <c r="J22" s="31">
        <f>IF($B22="","",IF(AND(SUMIFS('Rent log'!$D$6:$D$1005,'Rent log'!$C$6:$C$1005,$B22,'Rent log'!$H$6:$H$1005,"&gt;="&amp;DATE(Dashboard!$C$4,6,1),'Rent log'!$H$6:$H$1005,"&lt;="&amp;EOMONTH(DATE(Dashboard!$C$4,6,1),0))=0,DATE(Dashboard!$C$4,6,1)&gt;TODAY()),"",SUMIFS('Rent log'!$D$6:$D$1005,'Rent log'!$C$6:$C$1005,$B22,'Rent log'!$H$6:$H$1005,"&gt;="&amp;DATE(Dashboard!$C$4,6,1),'Rent log'!$H$6:$H$1005,"&lt;="&amp;EOMONTH(DATE(Dashboard!$C$4,6,1),0))))</f>
        <v/>
      </c>
      <c r="K22" s="31">
        <f>IF($B22="","",IF(AND(SUMIFS('Rent log'!$D$6:$D$1005,'Rent log'!$C$6:$C$1005,$B22,'Rent log'!$H$6:$H$1005,"&gt;="&amp;DATE(Dashboard!$C$4,7,1),'Rent log'!$H$6:$H$1005,"&lt;="&amp;EOMONTH(DATE(Dashboard!$C$4,7,1),0))=0,DATE(Dashboard!$C$4,7,1)&gt;TODAY()),"",SUMIFS('Rent log'!$D$6:$D$1005,'Rent log'!$C$6:$C$1005,$B22,'Rent log'!$H$6:$H$1005,"&gt;="&amp;DATE(Dashboard!$C$4,7,1),'Rent log'!$H$6:$H$1005,"&lt;="&amp;EOMONTH(DATE(Dashboard!$C$4,7,1),0))))</f>
        <v/>
      </c>
      <c r="L22" s="31">
        <f>IF($B22="","",IF(AND(SUMIFS('Rent log'!$D$6:$D$1005,'Rent log'!$C$6:$C$1005,$B22,'Rent log'!$H$6:$H$1005,"&gt;="&amp;DATE(Dashboard!$C$4,8,1),'Rent log'!$H$6:$H$1005,"&lt;="&amp;EOMONTH(DATE(Dashboard!$C$4,8,1),0))=0,DATE(Dashboard!$C$4,8,1)&gt;TODAY()),"",SUMIFS('Rent log'!$D$6:$D$1005,'Rent log'!$C$6:$C$1005,$B22,'Rent log'!$H$6:$H$1005,"&gt;="&amp;DATE(Dashboard!$C$4,8,1),'Rent log'!$H$6:$H$1005,"&lt;="&amp;EOMONTH(DATE(Dashboard!$C$4,8,1),0))))</f>
        <v/>
      </c>
      <c r="M22" s="31">
        <f>IF($B22="","",IF(AND(SUMIFS('Rent log'!$D$6:$D$1005,'Rent log'!$C$6:$C$1005,$B22,'Rent log'!$H$6:$H$1005,"&gt;="&amp;DATE(Dashboard!$C$4,9,1),'Rent log'!$H$6:$H$1005,"&lt;="&amp;EOMONTH(DATE(Dashboard!$C$4,9,1),0))=0,DATE(Dashboard!$C$4,9,1)&gt;TODAY()),"",SUMIFS('Rent log'!$D$6:$D$1005,'Rent log'!$C$6:$C$1005,$B22,'Rent log'!$H$6:$H$1005,"&gt;="&amp;DATE(Dashboard!$C$4,9,1),'Rent log'!$H$6:$H$1005,"&lt;="&amp;EOMONTH(DATE(Dashboard!$C$4,9,1),0))))</f>
        <v/>
      </c>
      <c r="N22" s="31">
        <f>IF($B22="","",IF(AND(SUMIFS('Rent log'!$D$6:$D$1005,'Rent log'!$C$6:$C$1005,$B22,'Rent log'!$H$6:$H$1005,"&gt;="&amp;DATE(Dashboard!$C$4,10,1),'Rent log'!$H$6:$H$1005,"&lt;="&amp;EOMONTH(DATE(Dashboard!$C$4,10,1),0))=0,DATE(Dashboard!$C$4,10,1)&gt;TODAY()),"",SUMIFS('Rent log'!$D$6:$D$1005,'Rent log'!$C$6:$C$1005,$B22,'Rent log'!$H$6:$H$1005,"&gt;="&amp;DATE(Dashboard!$C$4,10,1),'Rent log'!$H$6:$H$1005,"&lt;="&amp;EOMONTH(DATE(Dashboard!$C$4,10,1),0))))</f>
        <v/>
      </c>
      <c r="O22" s="31">
        <f>IF($B22="","",IF(AND(SUMIFS('Rent log'!$D$6:$D$1005,'Rent log'!$C$6:$C$1005,$B22,'Rent log'!$H$6:$H$1005,"&gt;="&amp;DATE(Dashboard!$C$4,11,1),'Rent log'!$H$6:$H$1005,"&lt;="&amp;EOMONTH(DATE(Dashboard!$C$4,11,1),0))=0,DATE(Dashboard!$C$4,11,1)&gt;TODAY()),"",SUMIFS('Rent log'!$D$6:$D$1005,'Rent log'!$C$6:$C$1005,$B22,'Rent log'!$H$6:$H$1005,"&gt;="&amp;DATE(Dashboard!$C$4,11,1),'Rent log'!$H$6:$H$1005,"&lt;="&amp;EOMONTH(DATE(Dashboard!$C$4,11,1),0))))</f>
        <v/>
      </c>
      <c r="P22" s="31">
        <f>IF($B22="","",IF(AND(SUMIFS('Rent log'!$D$6:$D$1005,'Rent log'!$C$6:$C$1005,$B22,'Rent log'!$H$6:$H$1005,"&gt;="&amp;DATE(Dashboard!$C$4,12,1),'Rent log'!$H$6:$H$1005,"&lt;="&amp;EOMONTH(DATE(Dashboard!$C$4,12,1),0))=0,DATE(Dashboard!$C$4,12,1)&gt;TODAY()),"",SUMIFS('Rent log'!$D$6:$D$1005,'Rent log'!$C$6:$C$1005,$B22,'Rent log'!$H$6:$H$1005,"&gt;="&amp;DATE(Dashboard!$C$4,12,1),'Rent log'!$H$6:$H$1005,"&lt;="&amp;EOMONTH(DATE(Dashboard!$C$4,12,1),0))))</f>
        <v/>
      </c>
      <c r="Q22" s="22">
        <f>IF(B22="","",SUM(E22:P22))</f>
        <v/>
      </c>
      <c r="R22" s="22">
        <f>IF(B22="","",SUM(AF22:AQ22))</f>
        <v/>
      </c>
      <c r="S22" s="30">
        <f>IF(B22="","",IF(Dashboard!$C$4&lt;&gt;YEAR(TODAY()),"",IF(INDEX(T22:AE22,MONTH(TODAY()))=0,"No rent due",IF(N(INDEX(E22:P22,MONTH(TODAY())))&gt;=INDEX(T22:AE22,MONTH(TODAY())),"Paid",IF(TODAY()&gt;DATE(YEAR(TODAY()),MONTH(TODAY()),MIN(N(Units!$F22)+(N(Units!$F22)=0),DAY(EOMONTH(TODAY(),0))))+N(Units!$G22),"Late: "&amp;FIXED(INDEX(T22:AE22,MONTH(TODAY()))-N(INDEX(E22:P22,MONTH(TODAY()))),2)&amp;" owed",IF(N(INDEX(E22:P22,MONTH(TODAY())))&gt;0,"Part paid: "&amp;FIXED(INDEX(T22:AE22,MONTH(TODAY()))-N(INDEX(E22:P22,MONTH(TODAY()))),2)&amp;" left","Due on the "&amp;MIN(N(Units!$F22)+(N(Units!$F22)=0),DAY(EOMONTH(TODAY(),0)))&amp;IF(AND(MIN(N(Units!$F22)+(N(Units!$F22)=0),DAY(EOMONTH(TODAY(),0)))&gt;=11,MIN(N(Units!$F22)+(N(Units!$F22)=0),DAY(EOMONTH(TODAY(),0)))&lt;=13),"th",IF(MOD(MIN(N(Units!$F22)+(N(Units!$F22)=0),DAY(EOMONTH(TODAY(),0))),10)=1,"st",IF(MOD(MIN(N(Units!$F22)+(N(Units!$F22)=0),DAY(EOMONTH(TODAY(),0))),10)=2,"nd",IF(MOD(MIN(N(Units!$F22)+(N(Units!$F22)=0),DAY(EOMONTH(TODAY(),0))),10)=3,"rd","th"))))))))))</f>
        <v/>
      </c>
      <c r="T22" s="1">
        <f>IF($B22="",0,IF(AND(OR(Units!$H22="",Units!$H22&lt;=EOMONTH(DATE(Dashboard!$C$4,1,1),0)),OR(Units!$I22="",Units!$I22&gt;=DATE(Dashboard!$C$4,1,1))),N(Units!$E22),0))</f>
        <v/>
      </c>
      <c r="U22">
        <f>IF($B22="",0,IF(AND(OR(Units!$H22="",Units!$H22&lt;=EOMONTH(DATE(Dashboard!$C$4,2,1),0)),OR(Units!$I22="",Units!$I22&gt;=DATE(Dashboard!$C$4,2,1))),N(Units!$E22),0))</f>
        <v/>
      </c>
      <c r="V22">
        <f>IF($B22="",0,IF(AND(OR(Units!$H22="",Units!$H22&lt;=EOMONTH(DATE(Dashboard!$C$4,3,1),0)),OR(Units!$I22="",Units!$I22&gt;=DATE(Dashboard!$C$4,3,1))),N(Units!$E22),0))</f>
        <v/>
      </c>
      <c r="W22">
        <f>IF($B22="",0,IF(AND(OR(Units!$H22="",Units!$H22&lt;=EOMONTH(DATE(Dashboard!$C$4,4,1),0)),OR(Units!$I22="",Units!$I22&gt;=DATE(Dashboard!$C$4,4,1))),N(Units!$E22),0))</f>
        <v/>
      </c>
      <c r="X22">
        <f>IF($B22="",0,IF(AND(OR(Units!$H22="",Units!$H22&lt;=EOMONTH(DATE(Dashboard!$C$4,5,1),0)),OR(Units!$I22="",Units!$I22&gt;=DATE(Dashboard!$C$4,5,1))),N(Units!$E22),0))</f>
        <v/>
      </c>
      <c r="Y22">
        <f>IF($B22="",0,IF(AND(OR(Units!$H22="",Units!$H22&lt;=EOMONTH(DATE(Dashboard!$C$4,6,1),0)),OR(Units!$I22="",Units!$I22&gt;=DATE(Dashboard!$C$4,6,1))),N(Units!$E22),0))</f>
        <v/>
      </c>
      <c r="Z22">
        <f>IF($B22="",0,IF(AND(OR(Units!$H22="",Units!$H22&lt;=EOMONTH(DATE(Dashboard!$C$4,7,1),0)),OR(Units!$I22="",Units!$I22&gt;=DATE(Dashboard!$C$4,7,1))),N(Units!$E22),0))</f>
        <v/>
      </c>
      <c r="AA22">
        <f>IF($B22="",0,IF(AND(OR(Units!$H22="",Units!$H22&lt;=EOMONTH(DATE(Dashboard!$C$4,8,1),0)),OR(Units!$I22="",Units!$I22&gt;=DATE(Dashboard!$C$4,8,1))),N(Units!$E22),0))</f>
        <v/>
      </c>
      <c r="AB22">
        <f>IF($B22="",0,IF(AND(OR(Units!$H22="",Units!$H22&lt;=EOMONTH(DATE(Dashboard!$C$4,9,1),0)),OR(Units!$I22="",Units!$I22&gt;=DATE(Dashboard!$C$4,9,1))),N(Units!$E22),0))</f>
        <v/>
      </c>
      <c r="AC22">
        <f>IF($B22="",0,IF(AND(OR(Units!$H22="",Units!$H22&lt;=EOMONTH(DATE(Dashboard!$C$4,10,1),0)),OR(Units!$I22="",Units!$I22&gt;=DATE(Dashboard!$C$4,10,1))),N(Units!$E22),0))</f>
        <v/>
      </c>
      <c r="AD22">
        <f>IF($B22="",0,IF(AND(OR(Units!$H22="",Units!$H22&lt;=EOMONTH(DATE(Dashboard!$C$4,11,1),0)),OR(Units!$I22="",Units!$I22&gt;=DATE(Dashboard!$C$4,11,1))),N(Units!$E22),0))</f>
        <v/>
      </c>
      <c r="AE22">
        <f>IF($B22="",0,IF(AND(OR(Units!$H22="",Units!$H22&lt;=EOMONTH(DATE(Dashboard!$C$4,12,1),0)),OR(Units!$I22="",Units!$I22&gt;=DATE(Dashboard!$C$4,12,1))),N(Units!$E22),0))</f>
        <v/>
      </c>
      <c r="AF22">
        <f>IF(AND(T22&gt;0,DATE(Dashboard!$C$4,1,MIN(N(Units!$F22)+(N(Units!$F22)=0),DAY(EOMONTH(DATE(Dashboard!$C$4,1,1),0))))+N(Units!$G22)&lt;TODAY()),MAX(0,T22-N(E22)),0)</f>
        <v/>
      </c>
      <c r="AG22">
        <f>IF(AND(U22&gt;0,DATE(Dashboard!$C$4,2,MIN(N(Units!$F22)+(N(Units!$F22)=0),DAY(EOMONTH(DATE(Dashboard!$C$4,2,1),0))))+N(Units!$G22)&lt;TODAY()),MAX(0,U22-N(F22)),0)</f>
        <v/>
      </c>
      <c r="AH22">
        <f>IF(AND(V22&gt;0,DATE(Dashboard!$C$4,3,MIN(N(Units!$F22)+(N(Units!$F22)=0),DAY(EOMONTH(DATE(Dashboard!$C$4,3,1),0))))+N(Units!$G22)&lt;TODAY()),MAX(0,V22-N(G22)),0)</f>
        <v/>
      </c>
      <c r="AI22">
        <f>IF(AND(W22&gt;0,DATE(Dashboard!$C$4,4,MIN(N(Units!$F22)+(N(Units!$F22)=0),DAY(EOMONTH(DATE(Dashboard!$C$4,4,1),0))))+N(Units!$G22)&lt;TODAY()),MAX(0,W22-N(H22)),0)</f>
        <v/>
      </c>
      <c r="AJ22">
        <f>IF(AND(X22&gt;0,DATE(Dashboard!$C$4,5,MIN(N(Units!$F22)+(N(Units!$F22)=0),DAY(EOMONTH(DATE(Dashboard!$C$4,5,1),0))))+N(Units!$G22)&lt;TODAY()),MAX(0,X22-N(I22)),0)</f>
        <v/>
      </c>
      <c r="AK22">
        <f>IF(AND(Y22&gt;0,DATE(Dashboard!$C$4,6,MIN(N(Units!$F22)+(N(Units!$F22)=0),DAY(EOMONTH(DATE(Dashboard!$C$4,6,1),0))))+N(Units!$G22)&lt;TODAY()),MAX(0,Y22-N(J22)),0)</f>
        <v/>
      </c>
      <c r="AL22">
        <f>IF(AND(Z22&gt;0,DATE(Dashboard!$C$4,7,MIN(N(Units!$F22)+(N(Units!$F22)=0),DAY(EOMONTH(DATE(Dashboard!$C$4,7,1),0))))+N(Units!$G22)&lt;TODAY()),MAX(0,Z22-N(K22)),0)</f>
        <v/>
      </c>
      <c r="AM22">
        <f>IF(AND(AA22&gt;0,DATE(Dashboard!$C$4,8,MIN(N(Units!$F22)+(N(Units!$F22)=0),DAY(EOMONTH(DATE(Dashboard!$C$4,8,1),0))))+N(Units!$G22)&lt;TODAY()),MAX(0,AA22-N(L22)),0)</f>
        <v/>
      </c>
      <c r="AN22">
        <f>IF(AND(AB22&gt;0,DATE(Dashboard!$C$4,9,MIN(N(Units!$F22)+(N(Units!$F22)=0),DAY(EOMONTH(DATE(Dashboard!$C$4,9,1),0))))+N(Units!$G22)&lt;TODAY()),MAX(0,AB22-N(M22)),0)</f>
        <v/>
      </c>
      <c r="AO22">
        <f>IF(AND(AC22&gt;0,DATE(Dashboard!$C$4,10,MIN(N(Units!$F22)+(N(Units!$F22)=0),DAY(EOMONTH(DATE(Dashboard!$C$4,10,1),0))))+N(Units!$G22)&lt;TODAY()),MAX(0,AC22-N(N22)),0)</f>
        <v/>
      </c>
      <c r="AP22">
        <f>IF(AND(AD22&gt;0,DATE(Dashboard!$C$4,11,MIN(N(Units!$F22)+(N(Units!$F22)=0),DAY(EOMONTH(DATE(Dashboard!$C$4,11,1),0))))+N(Units!$G22)&lt;TODAY()),MAX(0,AD22-N(O22)),0)</f>
        <v/>
      </c>
      <c r="AQ22">
        <f>IF(AND(AE22&gt;0,DATE(Dashboard!$C$4,12,MIN(N(Units!$F22)+(N(Units!$F22)=0),DAY(EOMONTH(DATE(Dashboard!$C$4,12,1),0))))+N(Units!$G22)&lt;TODAY()),MAX(0,AE22-N(P22)),0)</f>
        <v/>
      </c>
      <c r="AR22">
        <f>IF(B22="","",Units!C22)</f>
        <v/>
      </c>
    </row>
    <row r="23">
      <c r="A23" s="1" t="n"/>
      <c r="B23" s="20">
        <f>IF(Units!B23="","",Units!B23)</f>
        <v/>
      </c>
      <c r="C23" s="30">
        <f>IF(B23="","",Units!D23)</f>
        <v/>
      </c>
      <c r="D23" s="14">
        <f>IF(B23="","",Units!E23)</f>
        <v/>
      </c>
      <c r="E23" s="31">
        <f>IF($B23="","",IF(AND(SUMIFS('Rent log'!$D$6:$D$1005,'Rent log'!$C$6:$C$1005,$B23,'Rent log'!$H$6:$H$1005,"&gt;="&amp;DATE(Dashboard!$C$4,1,1),'Rent log'!$H$6:$H$1005,"&lt;="&amp;EOMONTH(DATE(Dashboard!$C$4,1,1),0))=0,DATE(Dashboard!$C$4,1,1)&gt;TODAY()),"",SUMIFS('Rent log'!$D$6:$D$1005,'Rent log'!$C$6:$C$1005,$B23,'Rent log'!$H$6:$H$1005,"&gt;="&amp;DATE(Dashboard!$C$4,1,1),'Rent log'!$H$6:$H$1005,"&lt;="&amp;EOMONTH(DATE(Dashboard!$C$4,1,1),0))))</f>
        <v/>
      </c>
      <c r="F23" s="31">
        <f>IF($B23="","",IF(AND(SUMIFS('Rent log'!$D$6:$D$1005,'Rent log'!$C$6:$C$1005,$B23,'Rent log'!$H$6:$H$1005,"&gt;="&amp;DATE(Dashboard!$C$4,2,1),'Rent log'!$H$6:$H$1005,"&lt;="&amp;EOMONTH(DATE(Dashboard!$C$4,2,1),0))=0,DATE(Dashboard!$C$4,2,1)&gt;TODAY()),"",SUMIFS('Rent log'!$D$6:$D$1005,'Rent log'!$C$6:$C$1005,$B23,'Rent log'!$H$6:$H$1005,"&gt;="&amp;DATE(Dashboard!$C$4,2,1),'Rent log'!$H$6:$H$1005,"&lt;="&amp;EOMONTH(DATE(Dashboard!$C$4,2,1),0))))</f>
        <v/>
      </c>
      <c r="G23" s="31">
        <f>IF($B23="","",IF(AND(SUMIFS('Rent log'!$D$6:$D$1005,'Rent log'!$C$6:$C$1005,$B23,'Rent log'!$H$6:$H$1005,"&gt;="&amp;DATE(Dashboard!$C$4,3,1),'Rent log'!$H$6:$H$1005,"&lt;="&amp;EOMONTH(DATE(Dashboard!$C$4,3,1),0))=0,DATE(Dashboard!$C$4,3,1)&gt;TODAY()),"",SUMIFS('Rent log'!$D$6:$D$1005,'Rent log'!$C$6:$C$1005,$B23,'Rent log'!$H$6:$H$1005,"&gt;="&amp;DATE(Dashboard!$C$4,3,1),'Rent log'!$H$6:$H$1005,"&lt;="&amp;EOMONTH(DATE(Dashboard!$C$4,3,1),0))))</f>
        <v/>
      </c>
      <c r="H23" s="31">
        <f>IF($B23="","",IF(AND(SUMIFS('Rent log'!$D$6:$D$1005,'Rent log'!$C$6:$C$1005,$B23,'Rent log'!$H$6:$H$1005,"&gt;="&amp;DATE(Dashboard!$C$4,4,1),'Rent log'!$H$6:$H$1005,"&lt;="&amp;EOMONTH(DATE(Dashboard!$C$4,4,1),0))=0,DATE(Dashboard!$C$4,4,1)&gt;TODAY()),"",SUMIFS('Rent log'!$D$6:$D$1005,'Rent log'!$C$6:$C$1005,$B23,'Rent log'!$H$6:$H$1005,"&gt;="&amp;DATE(Dashboard!$C$4,4,1),'Rent log'!$H$6:$H$1005,"&lt;="&amp;EOMONTH(DATE(Dashboard!$C$4,4,1),0))))</f>
        <v/>
      </c>
      <c r="I23" s="31">
        <f>IF($B23="","",IF(AND(SUMIFS('Rent log'!$D$6:$D$1005,'Rent log'!$C$6:$C$1005,$B23,'Rent log'!$H$6:$H$1005,"&gt;="&amp;DATE(Dashboard!$C$4,5,1),'Rent log'!$H$6:$H$1005,"&lt;="&amp;EOMONTH(DATE(Dashboard!$C$4,5,1),0))=0,DATE(Dashboard!$C$4,5,1)&gt;TODAY()),"",SUMIFS('Rent log'!$D$6:$D$1005,'Rent log'!$C$6:$C$1005,$B23,'Rent log'!$H$6:$H$1005,"&gt;="&amp;DATE(Dashboard!$C$4,5,1),'Rent log'!$H$6:$H$1005,"&lt;="&amp;EOMONTH(DATE(Dashboard!$C$4,5,1),0))))</f>
        <v/>
      </c>
      <c r="J23" s="31">
        <f>IF($B23="","",IF(AND(SUMIFS('Rent log'!$D$6:$D$1005,'Rent log'!$C$6:$C$1005,$B23,'Rent log'!$H$6:$H$1005,"&gt;="&amp;DATE(Dashboard!$C$4,6,1),'Rent log'!$H$6:$H$1005,"&lt;="&amp;EOMONTH(DATE(Dashboard!$C$4,6,1),0))=0,DATE(Dashboard!$C$4,6,1)&gt;TODAY()),"",SUMIFS('Rent log'!$D$6:$D$1005,'Rent log'!$C$6:$C$1005,$B23,'Rent log'!$H$6:$H$1005,"&gt;="&amp;DATE(Dashboard!$C$4,6,1),'Rent log'!$H$6:$H$1005,"&lt;="&amp;EOMONTH(DATE(Dashboard!$C$4,6,1),0))))</f>
        <v/>
      </c>
      <c r="K23" s="31">
        <f>IF($B23="","",IF(AND(SUMIFS('Rent log'!$D$6:$D$1005,'Rent log'!$C$6:$C$1005,$B23,'Rent log'!$H$6:$H$1005,"&gt;="&amp;DATE(Dashboard!$C$4,7,1),'Rent log'!$H$6:$H$1005,"&lt;="&amp;EOMONTH(DATE(Dashboard!$C$4,7,1),0))=0,DATE(Dashboard!$C$4,7,1)&gt;TODAY()),"",SUMIFS('Rent log'!$D$6:$D$1005,'Rent log'!$C$6:$C$1005,$B23,'Rent log'!$H$6:$H$1005,"&gt;="&amp;DATE(Dashboard!$C$4,7,1),'Rent log'!$H$6:$H$1005,"&lt;="&amp;EOMONTH(DATE(Dashboard!$C$4,7,1),0))))</f>
        <v/>
      </c>
      <c r="L23" s="31">
        <f>IF($B23="","",IF(AND(SUMIFS('Rent log'!$D$6:$D$1005,'Rent log'!$C$6:$C$1005,$B23,'Rent log'!$H$6:$H$1005,"&gt;="&amp;DATE(Dashboard!$C$4,8,1),'Rent log'!$H$6:$H$1005,"&lt;="&amp;EOMONTH(DATE(Dashboard!$C$4,8,1),0))=0,DATE(Dashboard!$C$4,8,1)&gt;TODAY()),"",SUMIFS('Rent log'!$D$6:$D$1005,'Rent log'!$C$6:$C$1005,$B23,'Rent log'!$H$6:$H$1005,"&gt;="&amp;DATE(Dashboard!$C$4,8,1),'Rent log'!$H$6:$H$1005,"&lt;="&amp;EOMONTH(DATE(Dashboard!$C$4,8,1),0))))</f>
        <v/>
      </c>
      <c r="M23" s="31">
        <f>IF($B23="","",IF(AND(SUMIFS('Rent log'!$D$6:$D$1005,'Rent log'!$C$6:$C$1005,$B23,'Rent log'!$H$6:$H$1005,"&gt;="&amp;DATE(Dashboard!$C$4,9,1),'Rent log'!$H$6:$H$1005,"&lt;="&amp;EOMONTH(DATE(Dashboard!$C$4,9,1),0))=0,DATE(Dashboard!$C$4,9,1)&gt;TODAY()),"",SUMIFS('Rent log'!$D$6:$D$1005,'Rent log'!$C$6:$C$1005,$B23,'Rent log'!$H$6:$H$1005,"&gt;="&amp;DATE(Dashboard!$C$4,9,1),'Rent log'!$H$6:$H$1005,"&lt;="&amp;EOMONTH(DATE(Dashboard!$C$4,9,1),0))))</f>
        <v/>
      </c>
      <c r="N23" s="31">
        <f>IF($B23="","",IF(AND(SUMIFS('Rent log'!$D$6:$D$1005,'Rent log'!$C$6:$C$1005,$B23,'Rent log'!$H$6:$H$1005,"&gt;="&amp;DATE(Dashboard!$C$4,10,1),'Rent log'!$H$6:$H$1005,"&lt;="&amp;EOMONTH(DATE(Dashboard!$C$4,10,1),0))=0,DATE(Dashboard!$C$4,10,1)&gt;TODAY()),"",SUMIFS('Rent log'!$D$6:$D$1005,'Rent log'!$C$6:$C$1005,$B23,'Rent log'!$H$6:$H$1005,"&gt;="&amp;DATE(Dashboard!$C$4,10,1),'Rent log'!$H$6:$H$1005,"&lt;="&amp;EOMONTH(DATE(Dashboard!$C$4,10,1),0))))</f>
        <v/>
      </c>
      <c r="O23" s="31">
        <f>IF($B23="","",IF(AND(SUMIFS('Rent log'!$D$6:$D$1005,'Rent log'!$C$6:$C$1005,$B23,'Rent log'!$H$6:$H$1005,"&gt;="&amp;DATE(Dashboard!$C$4,11,1),'Rent log'!$H$6:$H$1005,"&lt;="&amp;EOMONTH(DATE(Dashboard!$C$4,11,1),0))=0,DATE(Dashboard!$C$4,11,1)&gt;TODAY()),"",SUMIFS('Rent log'!$D$6:$D$1005,'Rent log'!$C$6:$C$1005,$B23,'Rent log'!$H$6:$H$1005,"&gt;="&amp;DATE(Dashboard!$C$4,11,1),'Rent log'!$H$6:$H$1005,"&lt;="&amp;EOMONTH(DATE(Dashboard!$C$4,11,1),0))))</f>
        <v/>
      </c>
      <c r="P23" s="31">
        <f>IF($B23="","",IF(AND(SUMIFS('Rent log'!$D$6:$D$1005,'Rent log'!$C$6:$C$1005,$B23,'Rent log'!$H$6:$H$1005,"&gt;="&amp;DATE(Dashboard!$C$4,12,1),'Rent log'!$H$6:$H$1005,"&lt;="&amp;EOMONTH(DATE(Dashboard!$C$4,12,1),0))=0,DATE(Dashboard!$C$4,12,1)&gt;TODAY()),"",SUMIFS('Rent log'!$D$6:$D$1005,'Rent log'!$C$6:$C$1005,$B23,'Rent log'!$H$6:$H$1005,"&gt;="&amp;DATE(Dashboard!$C$4,12,1),'Rent log'!$H$6:$H$1005,"&lt;="&amp;EOMONTH(DATE(Dashboard!$C$4,12,1),0))))</f>
        <v/>
      </c>
      <c r="Q23" s="22">
        <f>IF(B23="","",SUM(E23:P23))</f>
        <v/>
      </c>
      <c r="R23" s="22">
        <f>IF(B23="","",SUM(AF23:AQ23))</f>
        <v/>
      </c>
      <c r="S23" s="30">
        <f>IF(B23="","",IF(Dashboard!$C$4&lt;&gt;YEAR(TODAY()),"",IF(INDEX(T23:AE23,MONTH(TODAY()))=0,"No rent due",IF(N(INDEX(E23:P23,MONTH(TODAY())))&gt;=INDEX(T23:AE23,MONTH(TODAY())),"Paid",IF(TODAY()&gt;DATE(YEAR(TODAY()),MONTH(TODAY()),MIN(N(Units!$F23)+(N(Units!$F23)=0),DAY(EOMONTH(TODAY(),0))))+N(Units!$G23),"Late: "&amp;FIXED(INDEX(T23:AE23,MONTH(TODAY()))-N(INDEX(E23:P23,MONTH(TODAY()))),2)&amp;" owed",IF(N(INDEX(E23:P23,MONTH(TODAY())))&gt;0,"Part paid: "&amp;FIXED(INDEX(T23:AE23,MONTH(TODAY()))-N(INDEX(E23:P23,MONTH(TODAY()))),2)&amp;" left","Due on the "&amp;MIN(N(Units!$F23)+(N(Units!$F23)=0),DAY(EOMONTH(TODAY(),0)))&amp;IF(AND(MIN(N(Units!$F23)+(N(Units!$F23)=0),DAY(EOMONTH(TODAY(),0)))&gt;=11,MIN(N(Units!$F23)+(N(Units!$F23)=0),DAY(EOMONTH(TODAY(),0)))&lt;=13),"th",IF(MOD(MIN(N(Units!$F23)+(N(Units!$F23)=0),DAY(EOMONTH(TODAY(),0))),10)=1,"st",IF(MOD(MIN(N(Units!$F23)+(N(Units!$F23)=0),DAY(EOMONTH(TODAY(),0))),10)=2,"nd",IF(MOD(MIN(N(Units!$F23)+(N(Units!$F23)=0),DAY(EOMONTH(TODAY(),0))),10)=3,"rd","th"))))))))))</f>
        <v/>
      </c>
      <c r="T23" s="1">
        <f>IF($B23="",0,IF(AND(OR(Units!$H23="",Units!$H23&lt;=EOMONTH(DATE(Dashboard!$C$4,1,1),0)),OR(Units!$I23="",Units!$I23&gt;=DATE(Dashboard!$C$4,1,1))),N(Units!$E23),0))</f>
        <v/>
      </c>
      <c r="U23">
        <f>IF($B23="",0,IF(AND(OR(Units!$H23="",Units!$H23&lt;=EOMONTH(DATE(Dashboard!$C$4,2,1),0)),OR(Units!$I23="",Units!$I23&gt;=DATE(Dashboard!$C$4,2,1))),N(Units!$E23),0))</f>
        <v/>
      </c>
      <c r="V23">
        <f>IF($B23="",0,IF(AND(OR(Units!$H23="",Units!$H23&lt;=EOMONTH(DATE(Dashboard!$C$4,3,1),0)),OR(Units!$I23="",Units!$I23&gt;=DATE(Dashboard!$C$4,3,1))),N(Units!$E23),0))</f>
        <v/>
      </c>
      <c r="W23">
        <f>IF($B23="",0,IF(AND(OR(Units!$H23="",Units!$H23&lt;=EOMONTH(DATE(Dashboard!$C$4,4,1),0)),OR(Units!$I23="",Units!$I23&gt;=DATE(Dashboard!$C$4,4,1))),N(Units!$E23),0))</f>
        <v/>
      </c>
      <c r="X23">
        <f>IF($B23="",0,IF(AND(OR(Units!$H23="",Units!$H23&lt;=EOMONTH(DATE(Dashboard!$C$4,5,1),0)),OR(Units!$I23="",Units!$I23&gt;=DATE(Dashboard!$C$4,5,1))),N(Units!$E23),0))</f>
        <v/>
      </c>
      <c r="Y23">
        <f>IF($B23="",0,IF(AND(OR(Units!$H23="",Units!$H23&lt;=EOMONTH(DATE(Dashboard!$C$4,6,1),0)),OR(Units!$I23="",Units!$I23&gt;=DATE(Dashboard!$C$4,6,1))),N(Units!$E23),0))</f>
        <v/>
      </c>
      <c r="Z23">
        <f>IF($B23="",0,IF(AND(OR(Units!$H23="",Units!$H23&lt;=EOMONTH(DATE(Dashboard!$C$4,7,1),0)),OR(Units!$I23="",Units!$I23&gt;=DATE(Dashboard!$C$4,7,1))),N(Units!$E23),0))</f>
        <v/>
      </c>
      <c r="AA23">
        <f>IF($B23="",0,IF(AND(OR(Units!$H23="",Units!$H23&lt;=EOMONTH(DATE(Dashboard!$C$4,8,1),0)),OR(Units!$I23="",Units!$I23&gt;=DATE(Dashboard!$C$4,8,1))),N(Units!$E23),0))</f>
        <v/>
      </c>
      <c r="AB23">
        <f>IF($B23="",0,IF(AND(OR(Units!$H23="",Units!$H23&lt;=EOMONTH(DATE(Dashboard!$C$4,9,1),0)),OR(Units!$I23="",Units!$I23&gt;=DATE(Dashboard!$C$4,9,1))),N(Units!$E23),0))</f>
        <v/>
      </c>
      <c r="AC23">
        <f>IF($B23="",0,IF(AND(OR(Units!$H23="",Units!$H23&lt;=EOMONTH(DATE(Dashboard!$C$4,10,1),0)),OR(Units!$I23="",Units!$I23&gt;=DATE(Dashboard!$C$4,10,1))),N(Units!$E23),0))</f>
        <v/>
      </c>
      <c r="AD23">
        <f>IF($B23="",0,IF(AND(OR(Units!$H23="",Units!$H23&lt;=EOMONTH(DATE(Dashboard!$C$4,11,1),0)),OR(Units!$I23="",Units!$I23&gt;=DATE(Dashboard!$C$4,11,1))),N(Units!$E23),0))</f>
        <v/>
      </c>
      <c r="AE23">
        <f>IF($B23="",0,IF(AND(OR(Units!$H23="",Units!$H23&lt;=EOMONTH(DATE(Dashboard!$C$4,12,1),0)),OR(Units!$I23="",Units!$I23&gt;=DATE(Dashboard!$C$4,12,1))),N(Units!$E23),0))</f>
        <v/>
      </c>
      <c r="AF23">
        <f>IF(AND(T23&gt;0,DATE(Dashboard!$C$4,1,MIN(N(Units!$F23)+(N(Units!$F23)=0),DAY(EOMONTH(DATE(Dashboard!$C$4,1,1),0))))+N(Units!$G23)&lt;TODAY()),MAX(0,T23-N(E23)),0)</f>
        <v/>
      </c>
      <c r="AG23">
        <f>IF(AND(U23&gt;0,DATE(Dashboard!$C$4,2,MIN(N(Units!$F23)+(N(Units!$F23)=0),DAY(EOMONTH(DATE(Dashboard!$C$4,2,1),0))))+N(Units!$G23)&lt;TODAY()),MAX(0,U23-N(F23)),0)</f>
        <v/>
      </c>
      <c r="AH23">
        <f>IF(AND(V23&gt;0,DATE(Dashboard!$C$4,3,MIN(N(Units!$F23)+(N(Units!$F23)=0),DAY(EOMONTH(DATE(Dashboard!$C$4,3,1),0))))+N(Units!$G23)&lt;TODAY()),MAX(0,V23-N(G23)),0)</f>
        <v/>
      </c>
      <c r="AI23">
        <f>IF(AND(W23&gt;0,DATE(Dashboard!$C$4,4,MIN(N(Units!$F23)+(N(Units!$F23)=0),DAY(EOMONTH(DATE(Dashboard!$C$4,4,1),0))))+N(Units!$G23)&lt;TODAY()),MAX(0,W23-N(H23)),0)</f>
        <v/>
      </c>
      <c r="AJ23">
        <f>IF(AND(X23&gt;0,DATE(Dashboard!$C$4,5,MIN(N(Units!$F23)+(N(Units!$F23)=0),DAY(EOMONTH(DATE(Dashboard!$C$4,5,1),0))))+N(Units!$G23)&lt;TODAY()),MAX(0,X23-N(I23)),0)</f>
        <v/>
      </c>
      <c r="AK23">
        <f>IF(AND(Y23&gt;0,DATE(Dashboard!$C$4,6,MIN(N(Units!$F23)+(N(Units!$F23)=0),DAY(EOMONTH(DATE(Dashboard!$C$4,6,1),0))))+N(Units!$G23)&lt;TODAY()),MAX(0,Y23-N(J23)),0)</f>
        <v/>
      </c>
      <c r="AL23">
        <f>IF(AND(Z23&gt;0,DATE(Dashboard!$C$4,7,MIN(N(Units!$F23)+(N(Units!$F23)=0),DAY(EOMONTH(DATE(Dashboard!$C$4,7,1),0))))+N(Units!$G23)&lt;TODAY()),MAX(0,Z23-N(K23)),0)</f>
        <v/>
      </c>
      <c r="AM23">
        <f>IF(AND(AA23&gt;0,DATE(Dashboard!$C$4,8,MIN(N(Units!$F23)+(N(Units!$F23)=0),DAY(EOMONTH(DATE(Dashboard!$C$4,8,1),0))))+N(Units!$G23)&lt;TODAY()),MAX(0,AA23-N(L23)),0)</f>
        <v/>
      </c>
      <c r="AN23">
        <f>IF(AND(AB23&gt;0,DATE(Dashboard!$C$4,9,MIN(N(Units!$F23)+(N(Units!$F23)=0),DAY(EOMONTH(DATE(Dashboard!$C$4,9,1),0))))+N(Units!$G23)&lt;TODAY()),MAX(0,AB23-N(M23)),0)</f>
        <v/>
      </c>
      <c r="AO23">
        <f>IF(AND(AC23&gt;0,DATE(Dashboard!$C$4,10,MIN(N(Units!$F23)+(N(Units!$F23)=0),DAY(EOMONTH(DATE(Dashboard!$C$4,10,1),0))))+N(Units!$G23)&lt;TODAY()),MAX(0,AC23-N(N23)),0)</f>
        <v/>
      </c>
      <c r="AP23">
        <f>IF(AND(AD23&gt;0,DATE(Dashboard!$C$4,11,MIN(N(Units!$F23)+(N(Units!$F23)=0),DAY(EOMONTH(DATE(Dashboard!$C$4,11,1),0))))+N(Units!$G23)&lt;TODAY()),MAX(0,AD23-N(O23)),0)</f>
        <v/>
      </c>
      <c r="AQ23">
        <f>IF(AND(AE23&gt;0,DATE(Dashboard!$C$4,12,MIN(N(Units!$F23)+(N(Units!$F23)=0),DAY(EOMONTH(DATE(Dashboard!$C$4,12,1),0))))+N(Units!$G23)&lt;TODAY()),MAX(0,AE23-N(P23)),0)</f>
        <v/>
      </c>
      <c r="AR23">
        <f>IF(B23="","",Units!C23)</f>
        <v/>
      </c>
    </row>
    <row r="24">
      <c r="A24" s="1" t="n"/>
      <c r="B24" s="20">
        <f>IF(Units!B24="","",Units!B24)</f>
        <v/>
      </c>
      <c r="C24" s="30">
        <f>IF(B24="","",Units!D24)</f>
        <v/>
      </c>
      <c r="D24" s="14">
        <f>IF(B24="","",Units!E24)</f>
        <v/>
      </c>
      <c r="E24" s="31">
        <f>IF($B24="","",IF(AND(SUMIFS('Rent log'!$D$6:$D$1005,'Rent log'!$C$6:$C$1005,$B24,'Rent log'!$H$6:$H$1005,"&gt;="&amp;DATE(Dashboard!$C$4,1,1),'Rent log'!$H$6:$H$1005,"&lt;="&amp;EOMONTH(DATE(Dashboard!$C$4,1,1),0))=0,DATE(Dashboard!$C$4,1,1)&gt;TODAY()),"",SUMIFS('Rent log'!$D$6:$D$1005,'Rent log'!$C$6:$C$1005,$B24,'Rent log'!$H$6:$H$1005,"&gt;="&amp;DATE(Dashboard!$C$4,1,1),'Rent log'!$H$6:$H$1005,"&lt;="&amp;EOMONTH(DATE(Dashboard!$C$4,1,1),0))))</f>
        <v/>
      </c>
      <c r="F24" s="31">
        <f>IF($B24="","",IF(AND(SUMIFS('Rent log'!$D$6:$D$1005,'Rent log'!$C$6:$C$1005,$B24,'Rent log'!$H$6:$H$1005,"&gt;="&amp;DATE(Dashboard!$C$4,2,1),'Rent log'!$H$6:$H$1005,"&lt;="&amp;EOMONTH(DATE(Dashboard!$C$4,2,1),0))=0,DATE(Dashboard!$C$4,2,1)&gt;TODAY()),"",SUMIFS('Rent log'!$D$6:$D$1005,'Rent log'!$C$6:$C$1005,$B24,'Rent log'!$H$6:$H$1005,"&gt;="&amp;DATE(Dashboard!$C$4,2,1),'Rent log'!$H$6:$H$1005,"&lt;="&amp;EOMONTH(DATE(Dashboard!$C$4,2,1),0))))</f>
        <v/>
      </c>
      <c r="G24" s="31">
        <f>IF($B24="","",IF(AND(SUMIFS('Rent log'!$D$6:$D$1005,'Rent log'!$C$6:$C$1005,$B24,'Rent log'!$H$6:$H$1005,"&gt;="&amp;DATE(Dashboard!$C$4,3,1),'Rent log'!$H$6:$H$1005,"&lt;="&amp;EOMONTH(DATE(Dashboard!$C$4,3,1),0))=0,DATE(Dashboard!$C$4,3,1)&gt;TODAY()),"",SUMIFS('Rent log'!$D$6:$D$1005,'Rent log'!$C$6:$C$1005,$B24,'Rent log'!$H$6:$H$1005,"&gt;="&amp;DATE(Dashboard!$C$4,3,1),'Rent log'!$H$6:$H$1005,"&lt;="&amp;EOMONTH(DATE(Dashboard!$C$4,3,1),0))))</f>
        <v/>
      </c>
      <c r="H24" s="31">
        <f>IF($B24="","",IF(AND(SUMIFS('Rent log'!$D$6:$D$1005,'Rent log'!$C$6:$C$1005,$B24,'Rent log'!$H$6:$H$1005,"&gt;="&amp;DATE(Dashboard!$C$4,4,1),'Rent log'!$H$6:$H$1005,"&lt;="&amp;EOMONTH(DATE(Dashboard!$C$4,4,1),0))=0,DATE(Dashboard!$C$4,4,1)&gt;TODAY()),"",SUMIFS('Rent log'!$D$6:$D$1005,'Rent log'!$C$6:$C$1005,$B24,'Rent log'!$H$6:$H$1005,"&gt;="&amp;DATE(Dashboard!$C$4,4,1),'Rent log'!$H$6:$H$1005,"&lt;="&amp;EOMONTH(DATE(Dashboard!$C$4,4,1),0))))</f>
        <v/>
      </c>
      <c r="I24" s="31">
        <f>IF($B24="","",IF(AND(SUMIFS('Rent log'!$D$6:$D$1005,'Rent log'!$C$6:$C$1005,$B24,'Rent log'!$H$6:$H$1005,"&gt;="&amp;DATE(Dashboard!$C$4,5,1),'Rent log'!$H$6:$H$1005,"&lt;="&amp;EOMONTH(DATE(Dashboard!$C$4,5,1),0))=0,DATE(Dashboard!$C$4,5,1)&gt;TODAY()),"",SUMIFS('Rent log'!$D$6:$D$1005,'Rent log'!$C$6:$C$1005,$B24,'Rent log'!$H$6:$H$1005,"&gt;="&amp;DATE(Dashboard!$C$4,5,1),'Rent log'!$H$6:$H$1005,"&lt;="&amp;EOMONTH(DATE(Dashboard!$C$4,5,1),0))))</f>
        <v/>
      </c>
      <c r="J24" s="31">
        <f>IF($B24="","",IF(AND(SUMIFS('Rent log'!$D$6:$D$1005,'Rent log'!$C$6:$C$1005,$B24,'Rent log'!$H$6:$H$1005,"&gt;="&amp;DATE(Dashboard!$C$4,6,1),'Rent log'!$H$6:$H$1005,"&lt;="&amp;EOMONTH(DATE(Dashboard!$C$4,6,1),0))=0,DATE(Dashboard!$C$4,6,1)&gt;TODAY()),"",SUMIFS('Rent log'!$D$6:$D$1005,'Rent log'!$C$6:$C$1005,$B24,'Rent log'!$H$6:$H$1005,"&gt;="&amp;DATE(Dashboard!$C$4,6,1),'Rent log'!$H$6:$H$1005,"&lt;="&amp;EOMONTH(DATE(Dashboard!$C$4,6,1),0))))</f>
        <v/>
      </c>
      <c r="K24" s="31">
        <f>IF($B24="","",IF(AND(SUMIFS('Rent log'!$D$6:$D$1005,'Rent log'!$C$6:$C$1005,$B24,'Rent log'!$H$6:$H$1005,"&gt;="&amp;DATE(Dashboard!$C$4,7,1),'Rent log'!$H$6:$H$1005,"&lt;="&amp;EOMONTH(DATE(Dashboard!$C$4,7,1),0))=0,DATE(Dashboard!$C$4,7,1)&gt;TODAY()),"",SUMIFS('Rent log'!$D$6:$D$1005,'Rent log'!$C$6:$C$1005,$B24,'Rent log'!$H$6:$H$1005,"&gt;="&amp;DATE(Dashboard!$C$4,7,1),'Rent log'!$H$6:$H$1005,"&lt;="&amp;EOMONTH(DATE(Dashboard!$C$4,7,1),0))))</f>
        <v/>
      </c>
      <c r="L24" s="31">
        <f>IF($B24="","",IF(AND(SUMIFS('Rent log'!$D$6:$D$1005,'Rent log'!$C$6:$C$1005,$B24,'Rent log'!$H$6:$H$1005,"&gt;="&amp;DATE(Dashboard!$C$4,8,1),'Rent log'!$H$6:$H$1005,"&lt;="&amp;EOMONTH(DATE(Dashboard!$C$4,8,1),0))=0,DATE(Dashboard!$C$4,8,1)&gt;TODAY()),"",SUMIFS('Rent log'!$D$6:$D$1005,'Rent log'!$C$6:$C$1005,$B24,'Rent log'!$H$6:$H$1005,"&gt;="&amp;DATE(Dashboard!$C$4,8,1),'Rent log'!$H$6:$H$1005,"&lt;="&amp;EOMONTH(DATE(Dashboard!$C$4,8,1),0))))</f>
        <v/>
      </c>
      <c r="M24" s="31">
        <f>IF($B24="","",IF(AND(SUMIFS('Rent log'!$D$6:$D$1005,'Rent log'!$C$6:$C$1005,$B24,'Rent log'!$H$6:$H$1005,"&gt;="&amp;DATE(Dashboard!$C$4,9,1),'Rent log'!$H$6:$H$1005,"&lt;="&amp;EOMONTH(DATE(Dashboard!$C$4,9,1),0))=0,DATE(Dashboard!$C$4,9,1)&gt;TODAY()),"",SUMIFS('Rent log'!$D$6:$D$1005,'Rent log'!$C$6:$C$1005,$B24,'Rent log'!$H$6:$H$1005,"&gt;="&amp;DATE(Dashboard!$C$4,9,1),'Rent log'!$H$6:$H$1005,"&lt;="&amp;EOMONTH(DATE(Dashboard!$C$4,9,1),0))))</f>
        <v/>
      </c>
      <c r="N24" s="31">
        <f>IF($B24="","",IF(AND(SUMIFS('Rent log'!$D$6:$D$1005,'Rent log'!$C$6:$C$1005,$B24,'Rent log'!$H$6:$H$1005,"&gt;="&amp;DATE(Dashboard!$C$4,10,1),'Rent log'!$H$6:$H$1005,"&lt;="&amp;EOMONTH(DATE(Dashboard!$C$4,10,1),0))=0,DATE(Dashboard!$C$4,10,1)&gt;TODAY()),"",SUMIFS('Rent log'!$D$6:$D$1005,'Rent log'!$C$6:$C$1005,$B24,'Rent log'!$H$6:$H$1005,"&gt;="&amp;DATE(Dashboard!$C$4,10,1),'Rent log'!$H$6:$H$1005,"&lt;="&amp;EOMONTH(DATE(Dashboard!$C$4,10,1),0))))</f>
        <v/>
      </c>
      <c r="O24" s="31">
        <f>IF($B24="","",IF(AND(SUMIFS('Rent log'!$D$6:$D$1005,'Rent log'!$C$6:$C$1005,$B24,'Rent log'!$H$6:$H$1005,"&gt;="&amp;DATE(Dashboard!$C$4,11,1),'Rent log'!$H$6:$H$1005,"&lt;="&amp;EOMONTH(DATE(Dashboard!$C$4,11,1),0))=0,DATE(Dashboard!$C$4,11,1)&gt;TODAY()),"",SUMIFS('Rent log'!$D$6:$D$1005,'Rent log'!$C$6:$C$1005,$B24,'Rent log'!$H$6:$H$1005,"&gt;="&amp;DATE(Dashboard!$C$4,11,1),'Rent log'!$H$6:$H$1005,"&lt;="&amp;EOMONTH(DATE(Dashboard!$C$4,11,1),0))))</f>
        <v/>
      </c>
      <c r="P24" s="31">
        <f>IF($B24="","",IF(AND(SUMIFS('Rent log'!$D$6:$D$1005,'Rent log'!$C$6:$C$1005,$B24,'Rent log'!$H$6:$H$1005,"&gt;="&amp;DATE(Dashboard!$C$4,12,1),'Rent log'!$H$6:$H$1005,"&lt;="&amp;EOMONTH(DATE(Dashboard!$C$4,12,1),0))=0,DATE(Dashboard!$C$4,12,1)&gt;TODAY()),"",SUMIFS('Rent log'!$D$6:$D$1005,'Rent log'!$C$6:$C$1005,$B24,'Rent log'!$H$6:$H$1005,"&gt;="&amp;DATE(Dashboard!$C$4,12,1),'Rent log'!$H$6:$H$1005,"&lt;="&amp;EOMONTH(DATE(Dashboard!$C$4,12,1),0))))</f>
        <v/>
      </c>
      <c r="Q24" s="22">
        <f>IF(B24="","",SUM(E24:P24))</f>
        <v/>
      </c>
      <c r="R24" s="22">
        <f>IF(B24="","",SUM(AF24:AQ24))</f>
        <v/>
      </c>
      <c r="S24" s="30">
        <f>IF(B24="","",IF(Dashboard!$C$4&lt;&gt;YEAR(TODAY()),"",IF(INDEX(T24:AE24,MONTH(TODAY()))=0,"No rent due",IF(N(INDEX(E24:P24,MONTH(TODAY())))&gt;=INDEX(T24:AE24,MONTH(TODAY())),"Paid",IF(TODAY()&gt;DATE(YEAR(TODAY()),MONTH(TODAY()),MIN(N(Units!$F24)+(N(Units!$F24)=0),DAY(EOMONTH(TODAY(),0))))+N(Units!$G24),"Late: "&amp;FIXED(INDEX(T24:AE24,MONTH(TODAY()))-N(INDEX(E24:P24,MONTH(TODAY()))),2)&amp;" owed",IF(N(INDEX(E24:P24,MONTH(TODAY())))&gt;0,"Part paid: "&amp;FIXED(INDEX(T24:AE24,MONTH(TODAY()))-N(INDEX(E24:P24,MONTH(TODAY()))),2)&amp;" left","Due on the "&amp;MIN(N(Units!$F24)+(N(Units!$F24)=0),DAY(EOMONTH(TODAY(),0)))&amp;IF(AND(MIN(N(Units!$F24)+(N(Units!$F24)=0),DAY(EOMONTH(TODAY(),0)))&gt;=11,MIN(N(Units!$F24)+(N(Units!$F24)=0),DAY(EOMONTH(TODAY(),0)))&lt;=13),"th",IF(MOD(MIN(N(Units!$F24)+(N(Units!$F24)=0),DAY(EOMONTH(TODAY(),0))),10)=1,"st",IF(MOD(MIN(N(Units!$F24)+(N(Units!$F24)=0),DAY(EOMONTH(TODAY(),0))),10)=2,"nd",IF(MOD(MIN(N(Units!$F24)+(N(Units!$F24)=0),DAY(EOMONTH(TODAY(),0))),10)=3,"rd","th"))))))))))</f>
        <v/>
      </c>
      <c r="T24" s="1">
        <f>IF($B24="",0,IF(AND(OR(Units!$H24="",Units!$H24&lt;=EOMONTH(DATE(Dashboard!$C$4,1,1),0)),OR(Units!$I24="",Units!$I24&gt;=DATE(Dashboard!$C$4,1,1))),N(Units!$E24),0))</f>
        <v/>
      </c>
      <c r="U24">
        <f>IF($B24="",0,IF(AND(OR(Units!$H24="",Units!$H24&lt;=EOMONTH(DATE(Dashboard!$C$4,2,1),0)),OR(Units!$I24="",Units!$I24&gt;=DATE(Dashboard!$C$4,2,1))),N(Units!$E24),0))</f>
        <v/>
      </c>
      <c r="V24">
        <f>IF($B24="",0,IF(AND(OR(Units!$H24="",Units!$H24&lt;=EOMONTH(DATE(Dashboard!$C$4,3,1),0)),OR(Units!$I24="",Units!$I24&gt;=DATE(Dashboard!$C$4,3,1))),N(Units!$E24),0))</f>
        <v/>
      </c>
      <c r="W24">
        <f>IF($B24="",0,IF(AND(OR(Units!$H24="",Units!$H24&lt;=EOMONTH(DATE(Dashboard!$C$4,4,1),0)),OR(Units!$I24="",Units!$I24&gt;=DATE(Dashboard!$C$4,4,1))),N(Units!$E24),0))</f>
        <v/>
      </c>
      <c r="X24">
        <f>IF($B24="",0,IF(AND(OR(Units!$H24="",Units!$H24&lt;=EOMONTH(DATE(Dashboard!$C$4,5,1),0)),OR(Units!$I24="",Units!$I24&gt;=DATE(Dashboard!$C$4,5,1))),N(Units!$E24),0))</f>
        <v/>
      </c>
      <c r="Y24">
        <f>IF($B24="",0,IF(AND(OR(Units!$H24="",Units!$H24&lt;=EOMONTH(DATE(Dashboard!$C$4,6,1),0)),OR(Units!$I24="",Units!$I24&gt;=DATE(Dashboard!$C$4,6,1))),N(Units!$E24),0))</f>
        <v/>
      </c>
      <c r="Z24">
        <f>IF($B24="",0,IF(AND(OR(Units!$H24="",Units!$H24&lt;=EOMONTH(DATE(Dashboard!$C$4,7,1),0)),OR(Units!$I24="",Units!$I24&gt;=DATE(Dashboard!$C$4,7,1))),N(Units!$E24),0))</f>
        <v/>
      </c>
      <c r="AA24">
        <f>IF($B24="",0,IF(AND(OR(Units!$H24="",Units!$H24&lt;=EOMONTH(DATE(Dashboard!$C$4,8,1),0)),OR(Units!$I24="",Units!$I24&gt;=DATE(Dashboard!$C$4,8,1))),N(Units!$E24),0))</f>
        <v/>
      </c>
      <c r="AB24">
        <f>IF($B24="",0,IF(AND(OR(Units!$H24="",Units!$H24&lt;=EOMONTH(DATE(Dashboard!$C$4,9,1),0)),OR(Units!$I24="",Units!$I24&gt;=DATE(Dashboard!$C$4,9,1))),N(Units!$E24),0))</f>
        <v/>
      </c>
      <c r="AC24">
        <f>IF($B24="",0,IF(AND(OR(Units!$H24="",Units!$H24&lt;=EOMONTH(DATE(Dashboard!$C$4,10,1),0)),OR(Units!$I24="",Units!$I24&gt;=DATE(Dashboard!$C$4,10,1))),N(Units!$E24),0))</f>
        <v/>
      </c>
      <c r="AD24">
        <f>IF($B24="",0,IF(AND(OR(Units!$H24="",Units!$H24&lt;=EOMONTH(DATE(Dashboard!$C$4,11,1),0)),OR(Units!$I24="",Units!$I24&gt;=DATE(Dashboard!$C$4,11,1))),N(Units!$E24),0))</f>
        <v/>
      </c>
      <c r="AE24">
        <f>IF($B24="",0,IF(AND(OR(Units!$H24="",Units!$H24&lt;=EOMONTH(DATE(Dashboard!$C$4,12,1),0)),OR(Units!$I24="",Units!$I24&gt;=DATE(Dashboard!$C$4,12,1))),N(Units!$E24),0))</f>
        <v/>
      </c>
      <c r="AF24">
        <f>IF(AND(T24&gt;0,DATE(Dashboard!$C$4,1,MIN(N(Units!$F24)+(N(Units!$F24)=0),DAY(EOMONTH(DATE(Dashboard!$C$4,1,1),0))))+N(Units!$G24)&lt;TODAY()),MAX(0,T24-N(E24)),0)</f>
        <v/>
      </c>
      <c r="AG24">
        <f>IF(AND(U24&gt;0,DATE(Dashboard!$C$4,2,MIN(N(Units!$F24)+(N(Units!$F24)=0),DAY(EOMONTH(DATE(Dashboard!$C$4,2,1),0))))+N(Units!$G24)&lt;TODAY()),MAX(0,U24-N(F24)),0)</f>
        <v/>
      </c>
      <c r="AH24">
        <f>IF(AND(V24&gt;0,DATE(Dashboard!$C$4,3,MIN(N(Units!$F24)+(N(Units!$F24)=0),DAY(EOMONTH(DATE(Dashboard!$C$4,3,1),0))))+N(Units!$G24)&lt;TODAY()),MAX(0,V24-N(G24)),0)</f>
        <v/>
      </c>
      <c r="AI24">
        <f>IF(AND(W24&gt;0,DATE(Dashboard!$C$4,4,MIN(N(Units!$F24)+(N(Units!$F24)=0),DAY(EOMONTH(DATE(Dashboard!$C$4,4,1),0))))+N(Units!$G24)&lt;TODAY()),MAX(0,W24-N(H24)),0)</f>
        <v/>
      </c>
      <c r="AJ24">
        <f>IF(AND(X24&gt;0,DATE(Dashboard!$C$4,5,MIN(N(Units!$F24)+(N(Units!$F24)=0),DAY(EOMONTH(DATE(Dashboard!$C$4,5,1),0))))+N(Units!$G24)&lt;TODAY()),MAX(0,X24-N(I24)),0)</f>
        <v/>
      </c>
      <c r="AK24">
        <f>IF(AND(Y24&gt;0,DATE(Dashboard!$C$4,6,MIN(N(Units!$F24)+(N(Units!$F24)=0),DAY(EOMONTH(DATE(Dashboard!$C$4,6,1),0))))+N(Units!$G24)&lt;TODAY()),MAX(0,Y24-N(J24)),0)</f>
        <v/>
      </c>
      <c r="AL24">
        <f>IF(AND(Z24&gt;0,DATE(Dashboard!$C$4,7,MIN(N(Units!$F24)+(N(Units!$F24)=0),DAY(EOMONTH(DATE(Dashboard!$C$4,7,1),0))))+N(Units!$G24)&lt;TODAY()),MAX(0,Z24-N(K24)),0)</f>
        <v/>
      </c>
      <c r="AM24">
        <f>IF(AND(AA24&gt;0,DATE(Dashboard!$C$4,8,MIN(N(Units!$F24)+(N(Units!$F24)=0),DAY(EOMONTH(DATE(Dashboard!$C$4,8,1),0))))+N(Units!$G24)&lt;TODAY()),MAX(0,AA24-N(L24)),0)</f>
        <v/>
      </c>
      <c r="AN24">
        <f>IF(AND(AB24&gt;0,DATE(Dashboard!$C$4,9,MIN(N(Units!$F24)+(N(Units!$F24)=0),DAY(EOMONTH(DATE(Dashboard!$C$4,9,1),0))))+N(Units!$G24)&lt;TODAY()),MAX(0,AB24-N(M24)),0)</f>
        <v/>
      </c>
      <c r="AO24">
        <f>IF(AND(AC24&gt;0,DATE(Dashboard!$C$4,10,MIN(N(Units!$F24)+(N(Units!$F24)=0),DAY(EOMONTH(DATE(Dashboard!$C$4,10,1),0))))+N(Units!$G24)&lt;TODAY()),MAX(0,AC24-N(N24)),0)</f>
        <v/>
      </c>
      <c r="AP24">
        <f>IF(AND(AD24&gt;0,DATE(Dashboard!$C$4,11,MIN(N(Units!$F24)+(N(Units!$F24)=0),DAY(EOMONTH(DATE(Dashboard!$C$4,11,1),0))))+N(Units!$G24)&lt;TODAY()),MAX(0,AD24-N(O24)),0)</f>
        <v/>
      </c>
      <c r="AQ24">
        <f>IF(AND(AE24&gt;0,DATE(Dashboard!$C$4,12,MIN(N(Units!$F24)+(N(Units!$F24)=0),DAY(EOMONTH(DATE(Dashboard!$C$4,12,1),0))))+N(Units!$G24)&lt;TODAY()),MAX(0,AE24-N(P24)),0)</f>
        <v/>
      </c>
      <c r="AR24">
        <f>IF(B24="","",Units!C24)</f>
        <v/>
      </c>
    </row>
    <row r="25">
      <c r="A25" s="1" t="n"/>
      <c r="B25" s="20">
        <f>IF(Units!B25="","",Units!B25)</f>
        <v/>
      </c>
      <c r="C25" s="30">
        <f>IF(B25="","",Units!D25)</f>
        <v/>
      </c>
      <c r="D25" s="14">
        <f>IF(B25="","",Units!E25)</f>
        <v/>
      </c>
      <c r="E25" s="31">
        <f>IF($B25="","",IF(AND(SUMIFS('Rent log'!$D$6:$D$1005,'Rent log'!$C$6:$C$1005,$B25,'Rent log'!$H$6:$H$1005,"&gt;="&amp;DATE(Dashboard!$C$4,1,1),'Rent log'!$H$6:$H$1005,"&lt;="&amp;EOMONTH(DATE(Dashboard!$C$4,1,1),0))=0,DATE(Dashboard!$C$4,1,1)&gt;TODAY()),"",SUMIFS('Rent log'!$D$6:$D$1005,'Rent log'!$C$6:$C$1005,$B25,'Rent log'!$H$6:$H$1005,"&gt;="&amp;DATE(Dashboard!$C$4,1,1),'Rent log'!$H$6:$H$1005,"&lt;="&amp;EOMONTH(DATE(Dashboard!$C$4,1,1),0))))</f>
        <v/>
      </c>
      <c r="F25" s="31">
        <f>IF($B25="","",IF(AND(SUMIFS('Rent log'!$D$6:$D$1005,'Rent log'!$C$6:$C$1005,$B25,'Rent log'!$H$6:$H$1005,"&gt;="&amp;DATE(Dashboard!$C$4,2,1),'Rent log'!$H$6:$H$1005,"&lt;="&amp;EOMONTH(DATE(Dashboard!$C$4,2,1),0))=0,DATE(Dashboard!$C$4,2,1)&gt;TODAY()),"",SUMIFS('Rent log'!$D$6:$D$1005,'Rent log'!$C$6:$C$1005,$B25,'Rent log'!$H$6:$H$1005,"&gt;="&amp;DATE(Dashboard!$C$4,2,1),'Rent log'!$H$6:$H$1005,"&lt;="&amp;EOMONTH(DATE(Dashboard!$C$4,2,1),0))))</f>
        <v/>
      </c>
      <c r="G25" s="31">
        <f>IF($B25="","",IF(AND(SUMIFS('Rent log'!$D$6:$D$1005,'Rent log'!$C$6:$C$1005,$B25,'Rent log'!$H$6:$H$1005,"&gt;="&amp;DATE(Dashboard!$C$4,3,1),'Rent log'!$H$6:$H$1005,"&lt;="&amp;EOMONTH(DATE(Dashboard!$C$4,3,1),0))=0,DATE(Dashboard!$C$4,3,1)&gt;TODAY()),"",SUMIFS('Rent log'!$D$6:$D$1005,'Rent log'!$C$6:$C$1005,$B25,'Rent log'!$H$6:$H$1005,"&gt;="&amp;DATE(Dashboard!$C$4,3,1),'Rent log'!$H$6:$H$1005,"&lt;="&amp;EOMONTH(DATE(Dashboard!$C$4,3,1),0))))</f>
        <v/>
      </c>
      <c r="H25" s="31">
        <f>IF($B25="","",IF(AND(SUMIFS('Rent log'!$D$6:$D$1005,'Rent log'!$C$6:$C$1005,$B25,'Rent log'!$H$6:$H$1005,"&gt;="&amp;DATE(Dashboard!$C$4,4,1),'Rent log'!$H$6:$H$1005,"&lt;="&amp;EOMONTH(DATE(Dashboard!$C$4,4,1),0))=0,DATE(Dashboard!$C$4,4,1)&gt;TODAY()),"",SUMIFS('Rent log'!$D$6:$D$1005,'Rent log'!$C$6:$C$1005,$B25,'Rent log'!$H$6:$H$1005,"&gt;="&amp;DATE(Dashboard!$C$4,4,1),'Rent log'!$H$6:$H$1005,"&lt;="&amp;EOMONTH(DATE(Dashboard!$C$4,4,1),0))))</f>
        <v/>
      </c>
      <c r="I25" s="31">
        <f>IF($B25="","",IF(AND(SUMIFS('Rent log'!$D$6:$D$1005,'Rent log'!$C$6:$C$1005,$B25,'Rent log'!$H$6:$H$1005,"&gt;="&amp;DATE(Dashboard!$C$4,5,1),'Rent log'!$H$6:$H$1005,"&lt;="&amp;EOMONTH(DATE(Dashboard!$C$4,5,1),0))=0,DATE(Dashboard!$C$4,5,1)&gt;TODAY()),"",SUMIFS('Rent log'!$D$6:$D$1005,'Rent log'!$C$6:$C$1005,$B25,'Rent log'!$H$6:$H$1005,"&gt;="&amp;DATE(Dashboard!$C$4,5,1),'Rent log'!$H$6:$H$1005,"&lt;="&amp;EOMONTH(DATE(Dashboard!$C$4,5,1),0))))</f>
        <v/>
      </c>
      <c r="J25" s="31">
        <f>IF($B25="","",IF(AND(SUMIFS('Rent log'!$D$6:$D$1005,'Rent log'!$C$6:$C$1005,$B25,'Rent log'!$H$6:$H$1005,"&gt;="&amp;DATE(Dashboard!$C$4,6,1),'Rent log'!$H$6:$H$1005,"&lt;="&amp;EOMONTH(DATE(Dashboard!$C$4,6,1),0))=0,DATE(Dashboard!$C$4,6,1)&gt;TODAY()),"",SUMIFS('Rent log'!$D$6:$D$1005,'Rent log'!$C$6:$C$1005,$B25,'Rent log'!$H$6:$H$1005,"&gt;="&amp;DATE(Dashboard!$C$4,6,1),'Rent log'!$H$6:$H$1005,"&lt;="&amp;EOMONTH(DATE(Dashboard!$C$4,6,1),0))))</f>
        <v/>
      </c>
      <c r="K25" s="31">
        <f>IF($B25="","",IF(AND(SUMIFS('Rent log'!$D$6:$D$1005,'Rent log'!$C$6:$C$1005,$B25,'Rent log'!$H$6:$H$1005,"&gt;="&amp;DATE(Dashboard!$C$4,7,1),'Rent log'!$H$6:$H$1005,"&lt;="&amp;EOMONTH(DATE(Dashboard!$C$4,7,1),0))=0,DATE(Dashboard!$C$4,7,1)&gt;TODAY()),"",SUMIFS('Rent log'!$D$6:$D$1005,'Rent log'!$C$6:$C$1005,$B25,'Rent log'!$H$6:$H$1005,"&gt;="&amp;DATE(Dashboard!$C$4,7,1),'Rent log'!$H$6:$H$1005,"&lt;="&amp;EOMONTH(DATE(Dashboard!$C$4,7,1),0))))</f>
        <v/>
      </c>
      <c r="L25" s="31">
        <f>IF($B25="","",IF(AND(SUMIFS('Rent log'!$D$6:$D$1005,'Rent log'!$C$6:$C$1005,$B25,'Rent log'!$H$6:$H$1005,"&gt;="&amp;DATE(Dashboard!$C$4,8,1),'Rent log'!$H$6:$H$1005,"&lt;="&amp;EOMONTH(DATE(Dashboard!$C$4,8,1),0))=0,DATE(Dashboard!$C$4,8,1)&gt;TODAY()),"",SUMIFS('Rent log'!$D$6:$D$1005,'Rent log'!$C$6:$C$1005,$B25,'Rent log'!$H$6:$H$1005,"&gt;="&amp;DATE(Dashboard!$C$4,8,1),'Rent log'!$H$6:$H$1005,"&lt;="&amp;EOMONTH(DATE(Dashboard!$C$4,8,1),0))))</f>
        <v/>
      </c>
      <c r="M25" s="31">
        <f>IF($B25="","",IF(AND(SUMIFS('Rent log'!$D$6:$D$1005,'Rent log'!$C$6:$C$1005,$B25,'Rent log'!$H$6:$H$1005,"&gt;="&amp;DATE(Dashboard!$C$4,9,1),'Rent log'!$H$6:$H$1005,"&lt;="&amp;EOMONTH(DATE(Dashboard!$C$4,9,1),0))=0,DATE(Dashboard!$C$4,9,1)&gt;TODAY()),"",SUMIFS('Rent log'!$D$6:$D$1005,'Rent log'!$C$6:$C$1005,$B25,'Rent log'!$H$6:$H$1005,"&gt;="&amp;DATE(Dashboard!$C$4,9,1),'Rent log'!$H$6:$H$1005,"&lt;="&amp;EOMONTH(DATE(Dashboard!$C$4,9,1),0))))</f>
        <v/>
      </c>
      <c r="N25" s="31">
        <f>IF($B25="","",IF(AND(SUMIFS('Rent log'!$D$6:$D$1005,'Rent log'!$C$6:$C$1005,$B25,'Rent log'!$H$6:$H$1005,"&gt;="&amp;DATE(Dashboard!$C$4,10,1),'Rent log'!$H$6:$H$1005,"&lt;="&amp;EOMONTH(DATE(Dashboard!$C$4,10,1),0))=0,DATE(Dashboard!$C$4,10,1)&gt;TODAY()),"",SUMIFS('Rent log'!$D$6:$D$1005,'Rent log'!$C$6:$C$1005,$B25,'Rent log'!$H$6:$H$1005,"&gt;="&amp;DATE(Dashboard!$C$4,10,1),'Rent log'!$H$6:$H$1005,"&lt;="&amp;EOMONTH(DATE(Dashboard!$C$4,10,1),0))))</f>
        <v/>
      </c>
      <c r="O25" s="31">
        <f>IF($B25="","",IF(AND(SUMIFS('Rent log'!$D$6:$D$1005,'Rent log'!$C$6:$C$1005,$B25,'Rent log'!$H$6:$H$1005,"&gt;="&amp;DATE(Dashboard!$C$4,11,1),'Rent log'!$H$6:$H$1005,"&lt;="&amp;EOMONTH(DATE(Dashboard!$C$4,11,1),0))=0,DATE(Dashboard!$C$4,11,1)&gt;TODAY()),"",SUMIFS('Rent log'!$D$6:$D$1005,'Rent log'!$C$6:$C$1005,$B25,'Rent log'!$H$6:$H$1005,"&gt;="&amp;DATE(Dashboard!$C$4,11,1),'Rent log'!$H$6:$H$1005,"&lt;="&amp;EOMONTH(DATE(Dashboard!$C$4,11,1),0))))</f>
        <v/>
      </c>
      <c r="P25" s="31">
        <f>IF($B25="","",IF(AND(SUMIFS('Rent log'!$D$6:$D$1005,'Rent log'!$C$6:$C$1005,$B25,'Rent log'!$H$6:$H$1005,"&gt;="&amp;DATE(Dashboard!$C$4,12,1),'Rent log'!$H$6:$H$1005,"&lt;="&amp;EOMONTH(DATE(Dashboard!$C$4,12,1),0))=0,DATE(Dashboard!$C$4,12,1)&gt;TODAY()),"",SUMIFS('Rent log'!$D$6:$D$1005,'Rent log'!$C$6:$C$1005,$B25,'Rent log'!$H$6:$H$1005,"&gt;="&amp;DATE(Dashboard!$C$4,12,1),'Rent log'!$H$6:$H$1005,"&lt;="&amp;EOMONTH(DATE(Dashboard!$C$4,12,1),0))))</f>
        <v/>
      </c>
      <c r="Q25" s="22">
        <f>IF(B25="","",SUM(E25:P25))</f>
        <v/>
      </c>
      <c r="R25" s="22">
        <f>IF(B25="","",SUM(AF25:AQ25))</f>
        <v/>
      </c>
      <c r="S25" s="30">
        <f>IF(B25="","",IF(Dashboard!$C$4&lt;&gt;YEAR(TODAY()),"",IF(INDEX(T25:AE25,MONTH(TODAY()))=0,"No rent due",IF(N(INDEX(E25:P25,MONTH(TODAY())))&gt;=INDEX(T25:AE25,MONTH(TODAY())),"Paid",IF(TODAY()&gt;DATE(YEAR(TODAY()),MONTH(TODAY()),MIN(N(Units!$F25)+(N(Units!$F25)=0),DAY(EOMONTH(TODAY(),0))))+N(Units!$G25),"Late: "&amp;FIXED(INDEX(T25:AE25,MONTH(TODAY()))-N(INDEX(E25:P25,MONTH(TODAY()))),2)&amp;" owed",IF(N(INDEX(E25:P25,MONTH(TODAY())))&gt;0,"Part paid: "&amp;FIXED(INDEX(T25:AE25,MONTH(TODAY()))-N(INDEX(E25:P25,MONTH(TODAY()))),2)&amp;" left","Due on the "&amp;MIN(N(Units!$F25)+(N(Units!$F25)=0),DAY(EOMONTH(TODAY(),0)))&amp;IF(AND(MIN(N(Units!$F25)+(N(Units!$F25)=0),DAY(EOMONTH(TODAY(),0)))&gt;=11,MIN(N(Units!$F25)+(N(Units!$F25)=0),DAY(EOMONTH(TODAY(),0)))&lt;=13),"th",IF(MOD(MIN(N(Units!$F25)+(N(Units!$F25)=0),DAY(EOMONTH(TODAY(),0))),10)=1,"st",IF(MOD(MIN(N(Units!$F25)+(N(Units!$F25)=0),DAY(EOMONTH(TODAY(),0))),10)=2,"nd",IF(MOD(MIN(N(Units!$F25)+(N(Units!$F25)=0),DAY(EOMONTH(TODAY(),0))),10)=3,"rd","th"))))))))))</f>
        <v/>
      </c>
      <c r="T25" s="1">
        <f>IF($B25="",0,IF(AND(OR(Units!$H25="",Units!$H25&lt;=EOMONTH(DATE(Dashboard!$C$4,1,1),0)),OR(Units!$I25="",Units!$I25&gt;=DATE(Dashboard!$C$4,1,1))),N(Units!$E25),0))</f>
        <v/>
      </c>
      <c r="U25">
        <f>IF($B25="",0,IF(AND(OR(Units!$H25="",Units!$H25&lt;=EOMONTH(DATE(Dashboard!$C$4,2,1),0)),OR(Units!$I25="",Units!$I25&gt;=DATE(Dashboard!$C$4,2,1))),N(Units!$E25),0))</f>
        <v/>
      </c>
      <c r="V25">
        <f>IF($B25="",0,IF(AND(OR(Units!$H25="",Units!$H25&lt;=EOMONTH(DATE(Dashboard!$C$4,3,1),0)),OR(Units!$I25="",Units!$I25&gt;=DATE(Dashboard!$C$4,3,1))),N(Units!$E25),0))</f>
        <v/>
      </c>
      <c r="W25">
        <f>IF($B25="",0,IF(AND(OR(Units!$H25="",Units!$H25&lt;=EOMONTH(DATE(Dashboard!$C$4,4,1),0)),OR(Units!$I25="",Units!$I25&gt;=DATE(Dashboard!$C$4,4,1))),N(Units!$E25),0))</f>
        <v/>
      </c>
      <c r="X25">
        <f>IF($B25="",0,IF(AND(OR(Units!$H25="",Units!$H25&lt;=EOMONTH(DATE(Dashboard!$C$4,5,1),0)),OR(Units!$I25="",Units!$I25&gt;=DATE(Dashboard!$C$4,5,1))),N(Units!$E25),0))</f>
        <v/>
      </c>
      <c r="Y25">
        <f>IF($B25="",0,IF(AND(OR(Units!$H25="",Units!$H25&lt;=EOMONTH(DATE(Dashboard!$C$4,6,1),0)),OR(Units!$I25="",Units!$I25&gt;=DATE(Dashboard!$C$4,6,1))),N(Units!$E25),0))</f>
        <v/>
      </c>
      <c r="Z25">
        <f>IF($B25="",0,IF(AND(OR(Units!$H25="",Units!$H25&lt;=EOMONTH(DATE(Dashboard!$C$4,7,1),0)),OR(Units!$I25="",Units!$I25&gt;=DATE(Dashboard!$C$4,7,1))),N(Units!$E25),0))</f>
        <v/>
      </c>
      <c r="AA25">
        <f>IF($B25="",0,IF(AND(OR(Units!$H25="",Units!$H25&lt;=EOMONTH(DATE(Dashboard!$C$4,8,1),0)),OR(Units!$I25="",Units!$I25&gt;=DATE(Dashboard!$C$4,8,1))),N(Units!$E25),0))</f>
        <v/>
      </c>
      <c r="AB25">
        <f>IF($B25="",0,IF(AND(OR(Units!$H25="",Units!$H25&lt;=EOMONTH(DATE(Dashboard!$C$4,9,1),0)),OR(Units!$I25="",Units!$I25&gt;=DATE(Dashboard!$C$4,9,1))),N(Units!$E25),0))</f>
        <v/>
      </c>
      <c r="AC25">
        <f>IF($B25="",0,IF(AND(OR(Units!$H25="",Units!$H25&lt;=EOMONTH(DATE(Dashboard!$C$4,10,1),0)),OR(Units!$I25="",Units!$I25&gt;=DATE(Dashboard!$C$4,10,1))),N(Units!$E25),0))</f>
        <v/>
      </c>
      <c r="AD25">
        <f>IF($B25="",0,IF(AND(OR(Units!$H25="",Units!$H25&lt;=EOMONTH(DATE(Dashboard!$C$4,11,1),0)),OR(Units!$I25="",Units!$I25&gt;=DATE(Dashboard!$C$4,11,1))),N(Units!$E25),0))</f>
        <v/>
      </c>
      <c r="AE25">
        <f>IF($B25="",0,IF(AND(OR(Units!$H25="",Units!$H25&lt;=EOMONTH(DATE(Dashboard!$C$4,12,1),0)),OR(Units!$I25="",Units!$I25&gt;=DATE(Dashboard!$C$4,12,1))),N(Units!$E25),0))</f>
        <v/>
      </c>
      <c r="AF25">
        <f>IF(AND(T25&gt;0,DATE(Dashboard!$C$4,1,MIN(N(Units!$F25)+(N(Units!$F25)=0),DAY(EOMONTH(DATE(Dashboard!$C$4,1,1),0))))+N(Units!$G25)&lt;TODAY()),MAX(0,T25-N(E25)),0)</f>
        <v/>
      </c>
      <c r="AG25">
        <f>IF(AND(U25&gt;0,DATE(Dashboard!$C$4,2,MIN(N(Units!$F25)+(N(Units!$F25)=0),DAY(EOMONTH(DATE(Dashboard!$C$4,2,1),0))))+N(Units!$G25)&lt;TODAY()),MAX(0,U25-N(F25)),0)</f>
        <v/>
      </c>
      <c r="AH25">
        <f>IF(AND(V25&gt;0,DATE(Dashboard!$C$4,3,MIN(N(Units!$F25)+(N(Units!$F25)=0),DAY(EOMONTH(DATE(Dashboard!$C$4,3,1),0))))+N(Units!$G25)&lt;TODAY()),MAX(0,V25-N(G25)),0)</f>
        <v/>
      </c>
      <c r="AI25">
        <f>IF(AND(W25&gt;0,DATE(Dashboard!$C$4,4,MIN(N(Units!$F25)+(N(Units!$F25)=0),DAY(EOMONTH(DATE(Dashboard!$C$4,4,1),0))))+N(Units!$G25)&lt;TODAY()),MAX(0,W25-N(H25)),0)</f>
        <v/>
      </c>
      <c r="AJ25">
        <f>IF(AND(X25&gt;0,DATE(Dashboard!$C$4,5,MIN(N(Units!$F25)+(N(Units!$F25)=0),DAY(EOMONTH(DATE(Dashboard!$C$4,5,1),0))))+N(Units!$G25)&lt;TODAY()),MAX(0,X25-N(I25)),0)</f>
        <v/>
      </c>
      <c r="AK25">
        <f>IF(AND(Y25&gt;0,DATE(Dashboard!$C$4,6,MIN(N(Units!$F25)+(N(Units!$F25)=0),DAY(EOMONTH(DATE(Dashboard!$C$4,6,1),0))))+N(Units!$G25)&lt;TODAY()),MAX(0,Y25-N(J25)),0)</f>
        <v/>
      </c>
      <c r="AL25">
        <f>IF(AND(Z25&gt;0,DATE(Dashboard!$C$4,7,MIN(N(Units!$F25)+(N(Units!$F25)=0),DAY(EOMONTH(DATE(Dashboard!$C$4,7,1),0))))+N(Units!$G25)&lt;TODAY()),MAX(0,Z25-N(K25)),0)</f>
        <v/>
      </c>
      <c r="AM25">
        <f>IF(AND(AA25&gt;0,DATE(Dashboard!$C$4,8,MIN(N(Units!$F25)+(N(Units!$F25)=0),DAY(EOMONTH(DATE(Dashboard!$C$4,8,1),0))))+N(Units!$G25)&lt;TODAY()),MAX(0,AA25-N(L25)),0)</f>
        <v/>
      </c>
      <c r="AN25">
        <f>IF(AND(AB25&gt;0,DATE(Dashboard!$C$4,9,MIN(N(Units!$F25)+(N(Units!$F25)=0),DAY(EOMONTH(DATE(Dashboard!$C$4,9,1),0))))+N(Units!$G25)&lt;TODAY()),MAX(0,AB25-N(M25)),0)</f>
        <v/>
      </c>
      <c r="AO25">
        <f>IF(AND(AC25&gt;0,DATE(Dashboard!$C$4,10,MIN(N(Units!$F25)+(N(Units!$F25)=0),DAY(EOMONTH(DATE(Dashboard!$C$4,10,1),0))))+N(Units!$G25)&lt;TODAY()),MAX(0,AC25-N(N25)),0)</f>
        <v/>
      </c>
      <c r="AP25">
        <f>IF(AND(AD25&gt;0,DATE(Dashboard!$C$4,11,MIN(N(Units!$F25)+(N(Units!$F25)=0),DAY(EOMONTH(DATE(Dashboard!$C$4,11,1),0))))+N(Units!$G25)&lt;TODAY()),MAX(0,AD25-N(O25)),0)</f>
        <v/>
      </c>
      <c r="AQ25">
        <f>IF(AND(AE25&gt;0,DATE(Dashboard!$C$4,12,MIN(N(Units!$F25)+(N(Units!$F25)=0),DAY(EOMONTH(DATE(Dashboard!$C$4,12,1),0))))+N(Units!$G25)&lt;TODAY()),MAX(0,AE25-N(P25)),0)</f>
        <v/>
      </c>
      <c r="AR25">
        <f>IF(B25="","",Units!C25)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</row>
    <row r="27">
      <c r="A27" s="1" t="n"/>
      <c r="B27" s="32" t="inlineStr">
        <is>
          <t>Colours:</t>
        </is>
      </c>
      <c r="C27" s="33" t="inlineStr">
        <is>
          <t>Paid in full</t>
        </is>
      </c>
      <c r="D27" s="1" t="n"/>
      <c r="E27" s="34" t="inlineStr">
        <is>
          <t>Part paid</t>
        </is>
      </c>
      <c r="F27" s="1" t="n"/>
      <c r="G27" s="35" t="inlineStr">
        <is>
          <t>Late</t>
        </is>
      </c>
      <c r="H27" s="1" t="n"/>
      <c r="I27" s="36" t="inlineStr">
        <is>
          <t>No rent due</t>
        </is>
      </c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</row>
  </sheetData>
  <conditionalFormatting sqref="E6:P25">
    <cfRule type="expression" priority="1" dxfId="1">
      <formula>AND($B6&lt;&gt;"",T6&gt;0,N(E6)&gt;=T6)</formula>
    </cfRule>
    <cfRule type="expression" priority="2" dxfId="4">
      <formula>AND($B6&lt;&gt;"",AF6&gt;0)</formula>
    </cfRule>
    <cfRule type="expression" priority="3" dxfId="2">
      <formula>AND($B6&lt;&gt;"",T6&gt;0,N(E6)&gt;0,N(E6)&lt;T6)</formula>
    </cfRule>
    <cfRule type="expression" priority="4" dxfId="5">
      <formula>AND($B6&lt;&gt;"",T6=0)</formula>
    </cfRule>
  </conditionalFormatting>
  <conditionalFormatting sqref="S6:S25">
    <cfRule type="expression" priority="5" dxfId="1">
      <formula>$S6="Paid"</formula>
    </cfRule>
    <cfRule type="expression" priority="6" dxfId="4">
      <formula>LEFT($S6,4)="Late"</formula>
    </cfRule>
    <cfRule type="expression" priority="7" dxfId="2">
      <formula>LEFT($S6,4)="Part"</formula>
    </cfRule>
  </conditionalFormatting>
  <conditionalFormatting sqref="R6:R25">
    <cfRule type="expression" priority="8" dxfId="6">
      <formula>N($R6)&gt;0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37" t="inlineStr">
        <is>
          <t>1</t>
        </is>
      </c>
      <c r="C5" s="38" t="inlineStr">
        <is>
          <t>Settings: type the names of your properties. A building with several flats is one property.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37" t="inlineStr">
        <is>
          <t>2</t>
        </is>
      </c>
      <c r="C7" s="38" t="inlineStr">
        <is>
          <t>Units: one line per unit, with the tenant, rent, due day, grace days, lease dates and deposit.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37" t="inlineStr">
        <is>
          <t>3</t>
        </is>
      </c>
      <c r="C9" s="38" t="inlineStr">
        <is>
          <t>Rent log: one line each time rent arrives. Fill in 'For month' only for rent paid early or late.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37" t="inlineStr">
        <is>
          <t>4</t>
        </is>
      </c>
      <c r="C11" s="38" t="inlineStr">
        <is>
          <t>Expenses: one line per cost, with its property and category.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37" t="inlineStr">
        <is>
          <t>5</t>
        </is>
      </c>
      <c r="C13" s="38" t="inlineStr">
        <is>
          <t>Rent roll and Dashboard: every month shows paid, part paid or late, with what is owed and your net income.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Rent counts as late once the due day and the grace days have passed.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The example units, payments and expenses show how it works. Delete them and add your own.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Excel, in any currency. It does not give tax advice.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2026-09-28T11:32:28Z</dcterms:created>
  <dcterms:modified xsi:type="dcterms:W3CDTF">2026-09-28T11:32:29Z</dcterms:modified>
</cp:coreProperties>
</file>