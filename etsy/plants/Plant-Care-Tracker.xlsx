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This week" sheetId="2" state="visible" r:id="rId2"/>
    <sheet name="Plants" sheetId="3" state="visible" r:id="rId3"/>
    <sheet name="Care log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growing season&quot;;;&quot;resting season&quot;"/>
    <numFmt numFmtId="165" formatCode="yyyy-mm-dd"/>
    <numFmt numFmtId="166" formatCode="DD MMM YYYY"/>
    <numFmt numFmtId="167" formatCode="ddd d mmm"/>
    <numFmt numFmtId="168" formatCode="mmm yyyy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15525A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1F5F99"/>
      <sz val="16"/>
    </font>
    <font>
      <name val="Arial"/>
      <b val="1"/>
      <color rgb="00B4541F"/>
      <sz val="16"/>
    </font>
    <font>
      <name val="Arial"/>
      <b val="1"/>
      <color rgb="002E7D32"/>
      <sz val="16"/>
    </font>
    <font>
      <name val="Arial"/>
      <b val="1"/>
      <color rgb="00B07A00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8" fillId="2" borderId="1" pivotButton="0" quotePrefix="0" xfId="0"/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1" fontId="12" fillId="2" borderId="1" applyAlignment="1" pivotButton="0" quotePrefix="0" xfId="0">
      <alignment horizontal="right"/>
    </xf>
    <xf numFmtId="1" fontId="13" fillId="2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4" fillId="2" borderId="0" pivotButton="0" quotePrefix="0" xfId="0"/>
    <xf numFmtId="0" fontId="3" fillId="2" borderId="1" pivotButton="0" quotePrefix="0" xfId="0"/>
    <xf numFmtId="0" fontId="7" fillId="2" borderId="1" pivotButton="0" quotePrefix="0" xfId="0"/>
    <xf numFmtId="0" fontId="3" fillId="3" borderId="1" pivotButton="0" quotePrefix="0" xfId="0"/>
    <xf numFmtId="0" fontId="7" fillId="3" borderId="1" pivotButton="0" quotePrefix="0" xfId="0"/>
    <xf numFmtId="1" fontId="7" fillId="3" borderId="1" applyAlignment="1" pivotButton="0" quotePrefix="0" xfId="0">
      <alignment horizontal="center" vertical="center"/>
    </xf>
    <xf numFmtId="166" fontId="7" fillId="3" borderId="1" pivotButton="0" quotePrefix="0" xfId="0"/>
    <xf numFmtId="166" fontId="7" fillId="2" borderId="1" pivotButton="0" quotePrefix="0" xfId="0"/>
    <xf numFmtId="167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2" borderId="0" pivotButton="0" quotePrefix="0" xfId="0"/>
    <xf numFmtId="164" fontId="4" fillId="2" borderId="0" applyAlignment="1" pivotButton="0" quotePrefix="0" xfId="0">
      <alignment horizontal="center"/>
    </xf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9C9C4"/>
          <bgColor rgb="00F9C9C4"/>
        </patternFill>
      </fill>
    </dxf>
    <dxf>
      <fill>
        <patternFill patternType="solid">
          <fgColor rgb="00DCEBFA"/>
          <bgColor rgb="00DCEBFA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CFE8E4"/>
          <bgColor rgb="00CFE8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3" customWidth="1" min="5" max="5"/>
    <col width="16" customWidth="1" min="6" max="6"/>
    <col width="14" customWidth="1" min="7" max="7"/>
    <col width="3" customWidth="1" min="8" max="8"/>
    <col width="16" customWidth="1" min="9" max="9"/>
    <col width="14" customWidth="1" min="10" max="10"/>
    <col width="3" customWidth="1" min="11" max="11"/>
    <col hidden="1" width="13" customWidth="1" min="20" max="20"/>
    <col hidden="1" width="13" customWidth="1" min="21" max="21"/>
    <col hidden="1" width="13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Plant care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What your plants need today and in the days ahead.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>
        <f>"Today, "&amp;DAY(TODAY())&amp;" "&amp;CHOOSE(MONTH(TODAY()),"Jan","Feb","Mar","Apr","May","Jun","Jul","Aug","Sep","Oct","Nov","Dec")&amp;": "&amp;IF(Settings!$C$7=1,"growing season","resting season")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5" t="inlineStr">
        <is>
          <t>Plants</t>
        </is>
      </c>
      <c r="C6" s="5" t="inlineStr">
        <is>
          <t>Water today</t>
        </is>
      </c>
      <c r="D6" s="5" t="inlineStr">
        <is>
          <t>Late</t>
        </is>
      </c>
      <c r="E6" s="1" t="n"/>
      <c r="F6" s="5" t="inlineStr">
        <is>
          <t>Feed this week</t>
        </is>
      </c>
      <c r="G6" s="1" t="n"/>
      <c r="H6" s="1" t="n"/>
      <c r="I6" s="5" t="inlineStr">
        <is>
          <t>Repot soon</t>
        </is>
      </c>
      <c r="J6" s="1" t="n"/>
      <c r="K6" s="1" t="n"/>
      <c r="L6" s="1" t="n"/>
    </row>
    <row r="7" ht="34" customHeight="1">
      <c r="A7" s="1" t="n"/>
      <c r="B7" s="6">
        <f>COUNTIF(Plants!$B$6:$B$65,"?*")</f>
        <v/>
      </c>
      <c r="C7" s="7">
        <f>COUNTIFS(Plants!$L$6:$L$65,"&lt;="&amp;TODAY())</f>
        <v/>
      </c>
      <c r="D7" s="8">
        <f>COUNTIFS(Plants!$L$6:$L$65,"&lt;"&amp;TODAY())</f>
        <v/>
      </c>
      <c r="E7" s="1" t="n"/>
      <c r="F7" s="9">
        <f>COUNTIFS(Plants!$W$6:$W$65,"&lt;"&amp;TODAY()+7)</f>
        <v/>
      </c>
      <c r="G7" s="1" t="n"/>
      <c r="H7" s="1" t="n"/>
      <c r="I7" s="10">
        <f>COUNTIFS(Plants!$X$6:$X$65,"&lt;"&amp;EDATE(TODAY(),2))</f>
        <v/>
      </c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1" t="n"/>
      <c r="B9" s="11" t="inlineStr">
        <is>
          <t>Water</t>
        </is>
      </c>
      <c r="C9" s="11" t="inlineStr">
        <is>
          <t>Spot</t>
        </is>
      </c>
      <c r="D9" s="11" t="inlineStr">
        <is>
          <t>When</t>
        </is>
      </c>
      <c r="E9" s="1" t="n"/>
      <c r="F9" s="11" t="inlineStr">
        <is>
          <t>Feed</t>
        </is>
      </c>
      <c r="G9" s="11" t="inlineStr">
        <is>
          <t>When</t>
        </is>
      </c>
      <c r="H9" s="1" t="n"/>
      <c r="I9" s="11" t="inlineStr">
        <is>
          <t>Repot</t>
        </is>
      </c>
      <c r="J9" s="11" t="inlineStr">
        <is>
          <t>When</t>
        </is>
      </c>
      <c r="K9" s="1" t="n"/>
      <c r="L9" s="1" t="n"/>
    </row>
    <row r="10">
      <c r="A10" s="1" t="n"/>
      <c r="B10" s="12">
        <f>IF(T10="","Nothing to water this week",INDEX(Plants!$B$6:$B$65,MATCH(T10,Plants!$V$6:$V$65,0)))</f>
        <v/>
      </c>
      <c r="C10" s="13">
        <f>IF(T10="","",INDEX(Plants!$D$6:$D$65,MATCH(T10,Plants!$V$6:$V$65,0)))</f>
        <v/>
      </c>
      <c r="D10" s="13">
        <f>IF(T10="","",IF(INT(T10)&lt;TODAY(),"Late "&amp;(TODAY()-INT(T10))&amp;IF((TODAY()-INT(T10))=1," day"," days"),IF(INT(T10)=TODAY(),"Today",CHOOSE(WEEKDAY(INT(T10),2),"Mon","Tue","Wed","Thu","Fri","Sat","Sun")&amp;" "&amp;DAY(INT(T10))&amp;" "&amp;CHOOSE(MONTH(INT(T10)),"Jan","Feb","Mar","Apr","May","Jun","Jul","Aug","Sep","Oct","Nov","Dec"))))</f>
        <v/>
      </c>
      <c r="E10" s="1" t="n"/>
      <c r="F10" s="12">
        <f>IF(U10="","No feeds this week",INDEX(Plants!$B$6:$B$65,MATCH(U10,Plants!$W$6:$W$65,0)))</f>
        <v/>
      </c>
      <c r="G10" s="13">
        <f>IF(U10="","",IF(INT(U10)&lt;=TODAY(),"Today",CHOOSE(WEEKDAY(INT(U10),2),"Mon","Tue","Wed","Thu","Fri","Sat","Sun")&amp;" "&amp;DAY(INT(U10))&amp;" "&amp;CHOOSE(MONTH(INT(U10)),"Jan","Feb","Mar","Apr","May","Jun","Jul","Aug","Sep","Oct","Nov","Dec")))</f>
        <v/>
      </c>
      <c r="H10" s="1" t="n"/>
      <c r="I10" s="12">
        <f>IF(V10="","No repots in the next two months",INDEX(Plants!$B$6:$B$65,MATCH(V10,Plants!$X$6:$X$65,0)))</f>
        <v/>
      </c>
      <c r="J10" s="13">
        <f>IF(V10="","",IF(INT(V10)&lt;=TODAY(),"Now",CHOOSE(MONTH(INT(V10)),"Jan","Feb","Mar","Apr","May","Jun","Jul","Aug","Sep","Oct","Nov","Dec")&amp;" "&amp;YEAR(INT(V10))))</f>
        <v/>
      </c>
      <c r="K10" s="1" t="n"/>
      <c r="L10" s="1" t="n"/>
      <c r="T10">
        <f>IFERROR(IF(SMALL(Plants!$V$6:$V$65,1)&lt;TODAY()+7,SMALL(Plants!$V$6:$V$65,1),""),"")</f>
        <v/>
      </c>
      <c r="U10">
        <f>IFERROR(IF(SMALL(Plants!$W$6:$W$65,1)&lt;TODAY()+7,SMALL(Plants!$W$6:$W$65,1),""),"")</f>
        <v/>
      </c>
      <c r="V10">
        <f>IFERROR(IF(SMALL(Plants!$X$6:$X$65,1)&lt;EDATE(TODAY(),2),SMALL(Plants!$X$6:$X$65,1),""),"")</f>
        <v/>
      </c>
    </row>
    <row r="11">
      <c r="A11" s="1" t="n"/>
      <c r="B11" s="12">
        <f>IF(T11="","",INDEX(Plants!$B$6:$B$65,MATCH(T11,Plants!$V$6:$V$65,0)))</f>
        <v/>
      </c>
      <c r="C11" s="13">
        <f>IF(T11="","",INDEX(Plants!$D$6:$D$65,MATCH(T11,Plants!$V$6:$V$65,0)))</f>
        <v/>
      </c>
      <c r="D11" s="13">
        <f>IF(T11="","",IF(INT(T11)&lt;TODAY(),"Late "&amp;(TODAY()-INT(T11))&amp;IF((TODAY()-INT(T11))=1," day"," days"),IF(INT(T11)=TODAY(),"Today",CHOOSE(WEEKDAY(INT(T11),2),"Mon","Tue","Wed","Thu","Fri","Sat","Sun")&amp;" "&amp;DAY(INT(T11))&amp;" "&amp;CHOOSE(MONTH(INT(T11)),"Jan","Feb","Mar","Apr","May","Jun","Jul","Aug","Sep","Oct","Nov","Dec"))))</f>
        <v/>
      </c>
      <c r="E11" s="1" t="n"/>
      <c r="F11" s="12">
        <f>IF(U11="","",INDEX(Plants!$B$6:$B$65,MATCH(U11,Plants!$W$6:$W$65,0)))</f>
        <v/>
      </c>
      <c r="G11" s="13">
        <f>IF(U11="","",IF(INT(U11)&lt;=TODAY(),"Today",CHOOSE(WEEKDAY(INT(U11),2),"Mon","Tue","Wed","Thu","Fri","Sat","Sun")&amp;" "&amp;DAY(INT(U11))&amp;" "&amp;CHOOSE(MONTH(INT(U11)),"Jan","Feb","Mar","Apr","May","Jun","Jul","Aug","Sep","Oct","Nov","Dec")))</f>
        <v/>
      </c>
      <c r="H11" s="1" t="n"/>
      <c r="I11" s="12">
        <f>IF(V11="","",INDEX(Plants!$B$6:$B$65,MATCH(V11,Plants!$X$6:$X$65,0)))</f>
        <v/>
      </c>
      <c r="J11" s="13">
        <f>IF(V11="","",IF(INT(V11)&lt;=TODAY(),"Now",CHOOSE(MONTH(INT(V11)),"Jan","Feb","Mar","Apr","May","Jun","Jul","Aug","Sep","Oct","Nov","Dec")&amp;" "&amp;YEAR(INT(V11))))</f>
        <v/>
      </c>
      <c r="K11" s="1" t="n"/>
      <c r="L11" s="1" t="n"/>
      <c r="T11">
        <f>IFERROR(IF(SMALL(Plants!$V$6:$V$65,2)&lt;TODAY()+7,SMALL(Plants!$V$6:$V$65,2),""),"")</f>
        <v/>
      </c>
      <c r="U11">
        <f>IFERROR(IF(SMALL(Plants!$W$6:$W$65,2)&lt;TODAY()+7,SMALL(Plants!$W$6:$W$65,2),""),"")</f>
        <v/>
      </c>
      <c r="V11">
        <f>IFERROR(IF(SMALL(Plants!$X$6:$X$65,2)&lt;EDATE(TODAY(),2),SMALL(Plants!$X$6:$X$65,2),""),"")</f>
        <v/>
      </c>
    </row>
    <row r="12">
      <c r="A12" s="1" t="n"/>
      <c r="B12" s="12">
        <f>IF(T12="","",INDEX(Plants!$B$6:$B$65,MATCH(T12,Plants!$V$6:$V$65,0)))</f>
        <v/>
      </c>
      <c r="C12" s="13">
        <f>IF(T12="","",INDEX(Plants!$D$6:$D$65,MATCH(T12,Plants!$V$6:$V$65,0)))</f>
        <v/>
      </c>
      <c r="D12" s="13">
        <f>IF(T12="","",IF(INT(T12)&lt;TODAY(),"Late "&amp;(TODAY()-INT(T12))&amp;IF((TODAY()-INT(T12))=1," day"," days"),IF(INT(T12)=TODAY(),"Today",CHOOSE(WEEKDAY(INT(T12),2),"Mon","Tue","Wed","Thu","Fri","Sat","Sun")&amp;" "&amp;DAY(INT(T12))&amp;" "&amp;CHOOSE(MONTH(INT(T12)),"Jan","Feb","Mar","Apr","May","Jun","Jul","Aug","Sep","Oct","Nov","Dec"))))</f>
        <v/>
      </c>
      <c r="E12" s="1" t="n"/>
      <c r="F12" s="12">
        <f>IF(U12="","",INDEX(Plants!$B$6:$B$65,MATCH(U12,Plants!$W$6:$W$65,0)))</f>
        <v/>
      </c>
      <c r="G12" s="13">
        <f>IF(U12="","",IF(INT(U12)&lt;=TODAY(),"Today",CHOOSE(WEEKDAY(INT(U12),2),"Mon","Tue","Wed","Thu","Fri","Sat","Sun")&amp;" "&amp;DAY(INT(U12))&amp;" "&amp;CHOOSE(MONTH(INT(U12)),"Jan","Feb","Mar","Apr","May","Jun","Jul","Aug","Sep","Oct","Nov","Dec")))</f>
        <v/>
      </c>
      <c r="H12" s="1" t="n"/>
      <c r="I12" s="12">
        <f>IF(V12="","",INDEX(Plants!$B$6:$B$65,MATCH(V12,Plants!$X$6:$X$65,0)))</f>
        <v/>
      </c>
      <c r="J12" s="13">
        <f>IF(V12="","",IF(INT(V12)&lt;=TODAY(),"Now",CHOOSE(MONTH(INT(V12)),"Jan","Feb","Mar","Apr","May","Jun","Jul","Aug","Sep","Oct","Nov","Dec")&amp;" "&amp;YEAR(INT(V12))))</f>
        <v/>
      </c>
      <c r="K12" s="1" t="n"/>
      <c r="L12" s="1" t="n"/>
      <c r="T12">
        <f>IFERROR(IF(SMALL(Plants!$V$6:$V$65,3)&lt;TODAY()+7,SMALL(Plants!$V$6:$V$65,3),""),"")</f>
        <v/>
      </c>
      <c r="U12">
        <f>IFERROR(IF(SMALL(Plants!$W$6:$W$65,3)&lt;TODAY()+7,SMALL(Plants!$W$6:$W$65,3),""),"")</f>
        <v/>
      </c>
      <c r="V12">
        <f>IFERROR(IF(SMALL(Plants!$X$6:$X$65,3)&lt;EDATE(TODAY(),2),SMALL(Plants!$X$6:$X$65,3),""),"")</f>
        <v/>
      </c>
    </row>
    <row r="13">
      <c r="A13" s="1" t="n"/>
      <c r="B13" s="12">
        <f>IF(T13="","",INDEX(Plants!$B$6:$B$65,MATCH(T13,Plants!$V$6:$V$65,0)))</f>
        <v/>
      </c>
      <c r="C13" s="13">
        <f>IF(T13="","",INDEX(Plants!$D$6:$D$65,MATCH(T13,Plants!$V$6:$V$65,0)))</f>
        <v/>
      </c>
      <c r="D13" s="13">
        <f>IF(T13="","",IF(INT(T13)&lt;TODAY(),"Late "&amp;(TODAY()-INT(T13))&amp;IF((TODAY()-INT(T13))=1," day"," days"),IF(INT(T13)=TODAY(),"Today",CHOOSE(WEEKDAY(INT(T13),2),"Mon","Tue","Wed","Thu","Fri","Sat","Sun")&amp;" "&amp;DAY(INT(T13))&amp;" "&amp;CHOOSE(MONTH(INT(T13)),"Jan","Feb","Mar","Apr","May","Jun","Jul","Aug","Sep","Oct","Nov","Dec"))))</f>
        <v/>
      </c>
      <c r="E13" s="1" t="n"/>
      <c r="F13" s="12">
        <f>IF(U13="","",INDEX(Plants!$B$6:$B$65,MATCH(U13,Plants!$W$6:$W$65,0)))</f>
        <v/>
      </c>
      <c r="G13" s="13">
        <f>IF(U13="","",IF(INT(U13)&lt;=TODAY(),"Today",CHOOSE(WEEKDAY(INT(U13),2),"Mon","Tue","Wed","Thu","Fri","Sat","Sun")&amp;" "&amp;DAY(INT(U13))&amp;" "&amp;CHOOSE(MONTH(INT(U13)),"Jan","Feb","Mar","Apr","May","Jun","Jul","Aug","Sep","Oct","Nov","Dec")))</f>
        <v/>
      </c>
      <c r="H13" s="1" t="n"/>
      <c r="I13" s="12">
        <f>IF(V13="","",INDEX(Plants!$B$6:$B$65,MATCH(V13,Plants!$X$6:$X$65,0)))</f>
        <v/>
      </c>
      <c r="J13" s="13">
        <f>IF(V13="","",IF(INT(V13)&lt;=TODAY(),"Now",CHOOSE(MONTH(INT(V13)),"Jan","Feb","Mar","Apr","May","Jun","Jul","Aug","Sep","Oct","Nov","Dec")&amp;" "&amp;YEAR(INT(V13))))</f>
        <v/>
      </c>
      <c r="K13" s="1" t="n"/>
      <c r="L13" s="1" t="n"/>
      <c r="T13">
        <f>IFERROR(IF(SMALL(Plants!$V$6:$V$65,4)&lt;TODAY()+7,SMALL(Plants!$V$6:$V$65,4),""),"")</f>
        <v/>
      </c>
      <c r="U13">
        <f>IFERROR(IF(SMALL(Plants!$W$6:$W$65,4)&lt;TODAY()+7,SMALL(Plants!$W$6:$W$65,4),""),"")</f>
        <v/>
      </c>
      <c r="V13">
        <f>IFERROR(IF(SMALL(Plants!$X$6:$X$65,4)&lt;EDATE(TODAY(),2),SMALL(Plants!$X$6:$X$65,4),""),"")</f>
        <v/>
      </c>
    </row>
    <row r="14">
      <c r="A14" s="1" t="n"/>
      <c r="B14" s="12">
        <f>IF(T14="","",INDEX(Plants!$B$6:$B$65,MATCH(T14,Plants!$V$6:$V$65,0)))</f>
        <v/>
      </c>
      <c r="C14" s="13">
        <f>IF(T14="","",INDEX(Plants!$D$6:$D$65,MATCH(T14,Plants!$V$6:$V$65,0)))</f>
        <v/>
      </c>
      <c r="D14" s="13">
        <f>IF(T14="","",IF(INT(T14)&lt;TODAY(),"Late "&amp;(TODAY()-INT(T14))&amp;IF((TODAY()-INT(T14))=1," day"," days"),IF(INT(T14)=TODAY(),"Today",CHOOSE(WEEKDAY(INT(T14),2),"Mon","Tue","Wed","Thu","Fri","Sat","Sun")&amp;" "&amp;DAY(INT(T14))&amp;" "&amp;CHOOSE(MONTH(INT(T14)),"Jan","Feb","Mar","Apr","May","Jun","Jul","Aug","Sep","Oct","Nov","Dec"))))</f>
        <v/>
      </c>
      <c r="E14" s="1" t="n"/>
      <c r="F14" s="12">
        <f>IF(U14="","",INDEX(Plants!$B$6:$B$65,MATCH(U14,Plants!$W$6:$W$65,0)))</f>
        <v/>
      </c>
      <c r="G14" s="13">
        <f>IF(U14="","",IF(INT(U14)&lt;=TODAY(),"Today",CHOOSE(WEEKDAY(INT(U14),2),"Mon","Tue","Wed","Thu","Fri","Sat","Sun")&amp;" "&amp;DAY(INT(U14))&amp;" "&amp;CHOOSE(MONTH(INT(U14)),"Jan","Feb","Mar","Apr","May","Jun","Jul","Aug","Sep","Oct","Nov","Dec")))</f>
        <v/>
      </c>
      <c r="H14" s="1" t="n"/>
      <c r="I14" s="12">
        <f>IF(V14="","",INDEX(Plants!$B$6:$B$65,MATCH(V14,Plants!$X$6:$X$65,0)))</f>
        <v/>
      </c>
      <c r="J14" s="13">
        <f>IF(V14="","",IF(INT(V14)&lt;=TODAY(),"Now",CHOOSE(MONTH(INT(V14)),"Jan","Feb","Mar","Apr","May","Jun","Jul","Aug","Sep","Oct","Nov","Dec")&amp;" "&amp;YEAR(INT(V14))))</f>
        <v/>
      </c>
      <c r="K14" s="1" t="n"/>
      <c r="L14" s="1" t="n"/>
      <c r="T14">
        <f>IFERROR(IF(SMALL(Plants!$V$6:$V$65,5)&lt;TODAY()+7,SMALL(Plants!$V$6:$V$65,5),""),"")</f>
        <v/>
      </c>
      <c r="U14">
        <f>IFERROR(IF(SMALL(Plants!$W$6:$W$65,5)&lt;TODAY()+7,SMALL(Plants!$W$6:$W$65,5),""),"")</f>
        <v/>
      </c>
      <c r="V14">
        <f>IFERROR(IF(SMALL(Plants!$X$6:$X$65,5)&lt;EDATE(TODAY(),2),SMALL(Plants!$X$6:$X$65,5),""),"")</f>
        <v/>
      </c>
    </row>
    <row r="15">
      <c r="A15" s="1" t="n"/>
      <c r="B15" s="12">
        <f>IF(T15="","",INDEX(Plants!$B$6:$B$65,MATCH(T15,Plants!$V$6:$V$65,0)))</f>
        <v/>
      </c>
      <c r="C15" s="13">
        <f>IF(T15="","",INDEX(Plants!$D$6:$D$65,MATCH(T15,Plants!$V$6:$V$65,0)))</f>
        <v/>
      </c>
      <c r="D15" s="13">
        <f>IF(T15="","",IF(INT(T15)&lt;TODAY(),"Late "&amp;(TODAY()-INT(T15))&amp;IF((TODAY()-INT(T15))=1," day"," days"),IF(INT(T15)=TODAY(),"Today",CHOOSE(WEEKDAY(INT(T15),2),"Mon","Tue","Wed","Thu","Fri","Sat","Sun")&amp;" "&amp;DAY(INT(T15))&amp;" "&amp;CHOOSE(MONTH(INT(T15)),"Jan","Feb","Mar","Apr","May","Jun","Jul","Aug","Sep","Oct","Nov","Dec"))))</f>
        <v/>
      </c>
      <c r="E15" s="1" t="n"/>
      <c r="F15" s="12">
        <f>IF(U15="","",INDEX(Plants!$B$6:$B$65,MATCH(U15,Plants!$W$6:$W$65,0)))</f>
        <v/>
      </c>
      <c r="G15" s="13">
        <f>IF(U15="","",IF(INT(U15)&lt;=TODAY(),"Today",CHOOSE(WEEKDAY(INT(U15),2),"Mon","Tue","Wed","Thu","Fri","Sat","Sun")&amp;" "&amp;DAY(INT(U15))&amp;" "&amp;CHOOSE(MONTH(INT(U15)),"Jan","Feb","Mar","Apr","May","Jun","Jul","Aug","Sep","Oct","Nov","Dec")))</f>
        <v/>
      </c>
      <c r="H15" s="1" t="n"/>
      <c r="I15" s="12">
        <f>IF(V15="","",INDEX(Plants!$B$6:$B$65,MATCH(V15,Plants!$X$6:$X$65,0)))</f>
        <v/>
      </c>
      <c r="J15" s="13">
        <f>IF(V15="","",IF(INT(V15)&lt;=TODAY(),"Now",CHOOSE(MONTH(INT(V15)),"Jan","Feb","Mar","Apr","May","Jun","Jul","Aug","Sep","Oct","Nov","Dec")&amp;" "&amp;YEAR(INT(V15))))</f>
        <v/>
      </c>
      <c r="K15" s="1" t="n"/>
      <c r="L15" s="1" t="n"/>
      <c r="T15">
        <f>IFERROR(IF(SMALL(Plants!$V$6:$V$65,6)&lt;TODAY()+7,SMALL(Plants!$V$6:$V$65,6),""),"")</f>
        <v/>
      </c>
      <c r="U15">
        <f>IFERROR(IF(SMALL(Plants!$W$6:$W$65,6)&lt;TODAY()+7,SMALL(Plants!$W$6:$W$65,6),""),"")</f>
        <v/>
      </c>
      <c r="V15">
        <f>IFERROR(IF(SMALL(Plants!$X$6:$X$65,6)&lt;EDATE(TODAY(),2),SMALL(Plants!$X$6:$X$65,6),""),"")</f>
        <v/>
      </c>
    </row>
    <row r="16">
      <c r="A16" s="1" t="n"/>
      <c r="B16" s="12">
        <f>IF(T16="","",INDEX(Plants!$B$6:$B$65,MATCH(T16,Plants!$V$6:$V$65,0)))</f>
        <v/>
      </c>
      <c r="C16" s="13">
        <f>IF(T16="","",INDEX(Plants!$D$6:$D$65,MATCH(T16,Plants!$V$6:$V$65,0)))</f>
        <v/>
      </c>
      <c r="D16" s="13">
        <f>IF(T16="","",IF(INT(T16)&lt;TODAY(),"Late "&amp;(TODAY()-INT(T16))&amp;IF((TODAY()-INT(T16))=1," day"," days"),IF(INT(T16)=TODAY(),"Today",CHOOSE(WEEKDAY(INT(T16),2),"Mon","Tue","Wed","Thu","Fri","Sat","Sun")&amp;" "&amp;DAY(INT(T16))&amp;" "&amp;CHOOSE(MONTH(INT(T16)),"Jan","Feb","Mar","Apr","May","Jun","Jul","Aug","Sep","Oct","Nov","Dec"))))</f>
        <v/>
      </c>
      <c r="E16" s="1" t="n"/>
      <c r="F16" s="12">
        <f>IF(U16="","",INDEX(Plants!$B$6:$B$65,MATCH(U16,Plants!$W$6:$W$65,0)))</f>
        <v/>
      </c>
      <c r="G16" s="13">
        <f>IF(U16="","",IF(INT(U16)&lt;=TODAY(),"Today",CHOOSE(WEEKDAY(INT(U16),2),"Mon","Tue","Wed","Thu","Fri","Sat","Sun")&amp;" "&amp;DAY(INT(U16))&amp;" "&amp;CHOOSE(MONTH(INT(U16)),"Jan","Feb","Mar","Apr","May","Jun","Jul","Aug","Sep","Oct","Nov","Dec")))</f>
        <v/>
      </c>
      <c r="H16" s="1" t="n"/>
      <c r="I16" s="12">
        <f>IF(V16="","",INDEX(Plants!$B$6:$B$65,MATCH(V16,Plants!$X$6:$X$65,0)))</f>
        <v/>
      </c>
      <c r="J16" s="13">
        <f>IF(V16="","",IF(INT(V16)&lt;=TODAY(),"Now",CHOOSE(MONTH(INT(V16)),"Jan","Feb","Mar","Apr","May","Jun","Jul","Aug","Sep","Oct","Nov","Dec")&amp;" "&amp;YEAR(INT(V16))))</f>
        <v/>
      </c>
      <c r="K16" s="1" t="n"/>
      <c r="L16" s="1" t="n"/>
      <c r="T16">
        <f>IFERROR(IF(SMALL(Plants!$V$6:$V$65,7)&lt;TODAY()+7,SMALL(Plants!$V$6:$V$65,7),""),"")</f>
        <v/>
      </c>
      <c r="U16">
        <f>IFERROR(IF(SMALL(Plants!$W$6:$W$65,7)&lt;TODAY()+7,SMALL(Plants!$W$6:$W$65,7),""),"")</f>
        <v/>
      </c>
      <c r="V16">
        <f>IFERROR(IF(SMALL(Plants!$X$6:$X$65,7)&lt;EDATE(TODAY(),2),SMALL(Plants!$X$6:$X$65,7),""),"")</f>
        <v/>
      </c>
    </row>
    <row r="17">
      <c r="A17" s="1" t="n"/>
      <c r="B17" s="12">
        <f>IF(T17="","",INDEX(Plants!$B$6:$B$65,MATCH(T17,Plants!$V$6:$V$65,0)))</f>
        <v/>
      </c>
      <c r="C17" s="13">
        <f>IF(T17="","",INDEX(Plants!$D$6:$D$65,MATCH(T17,Plants!$V$6:$V$65,0)))</f>
        <v/>
      </c>
      <c r="D17" s="13">
        <f>IF(T17="","",IF(INT(T17)&lt;TODAY(),"Late "&amp;(TODAY()-INT(T17))&amp;IF((TODAY()-INT(T17))=1," day"," days"),IF(INT(T17)=TODAY(),"Today",CHOOSE(WEEKDAY(INT(T17),2),"Mon","Tue","Wed","Thu","Fri","Sat","Sun")&amp;" "&amp;DAY(INT(T17))&amp;" "&amp;CHOOSE(MONTH(INT(T17)),"Jan","Feb","Mar","Apr","May","Jun","Jul","Aug","Sep","Oct","Nov","Dec"))))</f>
        <v/>
      </c>
      <c r="E17" s="1" t="n"/>
      <c r="F17" s="12">
        <f>IF(U17="","",INDEX(Plants!$B$6:$B$65,MATCH(U17,Plants!$W$6:$W$65,0)))</f>
        <v/>
      </c>
      <c r="G17" s="13">
        <f>IF(U17="","",IF(INT(U17)&lt;=TODAY(),"Today",CHOOSE(WEEKDAY(INT(U17),2),"Mon","Tue","Wed","Thu","Fri","Sat","Sun")&amp;" "&amp;DAY(INT(U17))&amp;" "&amp;CHOOSE(MONTH(INT(U17)),"Jan","Feb","Mar","Apr","May","Jun","Jul","Aug","Sep","Oct","Nov","Dec")))</f>
        <v/>
      </c>
      <c r="H17" s="1" t="n"/>
      <c r="I17" s="12">
        <f>IF(V17="","",INDEX(Plants!$B$6:$B$65,MATCH(V17,Plants!$X$6:$X$65,0)))</f>
        <v/>
      </c>
      <c r="J17" s="13">
        <f>IF(V17="","",IF(INT(V17)&lt;=TODAY(),"Now",CHOOSE(MONTH(INT(V17)),"Jan","Feb","Mar","Apr","May","Jun","Jul","Aug","Sep","Oct","Nov","Dec")&amp;" "&amp;YEAR(INT(V17))))</f>
        <v/>
      </c>
      <c r="K17" s="1" t="n"/>
      <c r="L17" s="1" t="n"/>
      <c r="T17">
        <f>IFERROR(IF(SMALL(Plants!$V$6:$V$65,8)&lt;TODAY()+7,SMALL(Plants!$V$6:$V$65,8),""),"")</f>
        <v/>
      </c>
      <c r="U17">
        <f>IFERROR(IF(SMALL(Plants!$W$6:$W$65,8)&lt;TODAY()+7,SMALL(Plants!$W$6:$W$65,8),""),"")</f>
        <v/>
      </c>
      <c r="V17">
        <f>IFERROR(IF(SMALL(Plants!$X$6:$X$65,8)&lt;EDATE(TODAY(),2),SMALL(Plants!$X$6:$X$65,8),""),"")</f>
        <v/>
      </c>
    </row>
    <row r="18">
      <c r="A18" s="1" t="n"/>
      <c r="B18" s="12">
        <f>IF(T18="","",INDEX(Plants!$B$6:$B$65,MATCH(T18,Plants!$V$6:$V$65,0)))</f>
        <v/>
      </c>
      <c r="C18" s="13">
        <f>IF(T18="","",INDEX(Plants!$D$6:$D$65,MATCH(T18,Plants!$V$6:$V$65,0)))</f>
        <v/>
      </c>
      <c r="D18" s="13">
        <f>IF(T18="","",IF(INT(T18)&lt;TODAY(),"Late "&amp;(TODAY()-INT(T18))&amp;IF((TODAY()-INT(T18))=1," day"," days"),IF(INT(T18)=TODAY(),"Today",CHOOSE(WEEKDAY(INT(T18),2),"Mon","Tue","Wed","Thu","Fri","Sat","Sun")&amp;" "&amp;DAY(INT(T18))&amp;" "&amp;CHOOSE(MONTH(INT(T18)),"Jan","Feb","Mar","Apr","May","Jun","Jul","Aug","Sep","Oct","Nov","Dec"))))</f>
        <v/>
      </c>
      <c r="E18" s="1" t="n"/>
      <c r="F18" s="12">
        <f>IF(U18="","",INDEX(Plants!$B$6:$B$65,MATCH(U18,Plants!$W$6:$W$65,0)))</f>
        <v/>
      </c>
      <c r="G18" s="13">
        <f>IF(U18="","",IF(INT(U18)&lt;=TODAY(),"Today",CHOOSE(WEEKDAY(INT(U18),2),"Mon","Tue","Wed","Thu","Fri","Sat","Sun")&amp;" "&amp;DAY(INT(U18))&amp;" "&amp;CHOOSE(MONTH(INT(U18)),"Jan","Feb","Mar","Apr","May","Jun","Jul","Aug","Sep","Oct","Nov","Dec")))</f>
        <v/>
      </c>
      <c r="H18" s="1" t="n"/>
      <c r="I18" s="12">
        <f>IF(V18="","",INDEX(Plants!$B$6:$B$65,MATCH(V18,Plants!$X$6:$X$65,0)))</f>
        <v/>
      </c>
      <c r="J18" s="13">
        <f>IF(V18="","",IF(INT(V18)&lt;=TODAY(),"Now",CHOOSE(MONTH(INT(V18)),"Jan","Feb","Mar","Apr","May","Jun","Jul","Aug","Sep","Oct","Nov","Dec")&amp;" "&amp;YEAR(INT(V18))))</f>
        <v/>
      </c>
      <c r="K18" s="1" t="n"/>
      <c r="L18" s="1" t="n"/>
      <c r="T18">
        <f>IFERROR(IF(SMALL(Plants!$V$6:$V$65,9)&lt;TODAY()+7,SMALL(Plants!$V$6:$V$65,9),""),"")</f>
        <v/>
      </c>
      <c r="U18">
        <f>IFERROR(IF(SMALL(Plants!$W$6:$W$65,9)&lt;TODAY()+7,SMALL(Plants!$W$6:$W$65,9),""),"")</f>
        <v/>
      </c>
      <c r="V18">
        <f>IFERROR(IF(SMALL(Plants!$X$6:$X$65,9)&lt;EDATE(TODAY(),2),SMALL(Plants!$X$6:$X$65,9),""),"")</f>
        <v/>
      </c>
    </row>
    <row r="19">
      <c r="A19" s="1" t="n"/>
      <c r="B19" s="12">
        <f>IF(T19="","",INDEX(Plants!$B$6:$B$65,MATCH(T19,Plants!$V$6:$V$65,0)))</f>
        <v/>
      </c>
      <c r="C19" s="13">
        <f>IF(T19="","",INDEX(Plants!$D$6:$D$65,MATCH(T19,Plants!$V$6:$V$65,0)))</f>
        <v/>
      </c>
      <c r="D19" s="13">
        <f>IF(T19="","",IF(INT(T19)&lt;TODAY(),"Late "&amp;(TODAY()-INT(T19))&amp;IF((TODAY()-INT(T19))=1," day"," days"),IF(INT(T19)=TODAY(),"Today",CHOOSE(WEEKDAY(INT(T19),2),"Mon","Tue","Wed","Thu","Fri","Sat","Sun")&amp;" "&amp;DAY(INT(T19))&amp;" "&amp;CHOOSE(MONTH(INT(T19)),"Jan","Feb","Mar","Apr","May","Jun","Jul","Aug","Sep","Oct","Nov","Dec"))))</f>
        <v/>
      </c>
      <c r="E19" s="1" t="n"/>
      <c r="F19" s="12">
        <f>IF(U19="","",INDEX(Plants!$B$6:$B$65,MATCH(U19,Plants!$W$6:$W$65,0)))</f>
        <v/>
      </c>
      <c r="G19" s="13">
        <f>IF(U19="","",IF(INT(U19)&lt;=TODAY(),"Today",CHOOSE(WEEKDAY(INT(U19),2),"Mon","Tue","Wed","Thu","Fri","Sat","Sun")&amp;" "&amp;DAY(INT(U19))&amp;" "&amp;CHOOSE(MONTH(INT(U19)),"Jan","Feb","Mar","Apr","May","Jun","Jul","Aug","Sep","Oct","Nov","Dec")))</f>
        <v/>
      </c>
      <c r="H19" s="1" t="n"/>
      <c r="I19" s="12">
        <f>IF(V19="","",INDEX(Plants!$B$6:$B$65,MATCH(V19,Plants!$X$6:$X$65,0)))</f>
        <v/>
      </c>
      <c r="J19" s="13">
        <f>IF(V19="","",IF(INT(V19)&lt;=TODAY(),"Now",CHOOSE(MONTH(INT(V19)),"Jan","Feb","Mar","Apr","May","Jun","Jul","Aug","Sep","Oct","Nov","Dec")&amp;" "&amp;YEAR(INT(V19))))</f>
        <v/>
      </c>
      <c r="K19" s="1" t="n"/>
      <c r="L19" s="1" t="n"/>
      <c r="T19">
        <f>IFERROR(IF(SMALL(Plants!$V$6:$V$65,10)&lt;TODAY()+7,SMALL(Plants!$V$6:$V$65,10),""),"")</f>
        <v/>
      </c>
      <c r="U19">
        <f>IFERROR(IF(SMALL(Plants!$W$6:$W$65,10)&lt;TODAY()+7,SMALL(Plants!$W$6:$W$65,10),""),"")</f>
        <v/>
      </c>
      <c r="V19">
        <f>IFERROR(IF(SMALL(Plants!$X$6:$X$65,10)&lt;EDATE(TODAY(),2),SMALL(Plants!$X$6:$X$65,10),""),"")</f>
        <v/>
      </c>
    </row>
    <row r="20">
      <c r="A20" s="1" t="n"/>
      <c r="B20" s="12">
        <f>IF(T20="","",INDEX(Plants!$B$6:$B$65,MATCH(T20,Plants!$V$6:$V$65,0)))</f>
        <v/>
      </c>
      <c r="C20" s="13">
        <f>IF(T20="","",INDEX(Plants!$D$6:$D$65,MATCH(T20,Plants!$V$6:$V$65,0)))</f>
        <v/>
      </c>
      <c r="D20" s="13">
        <f>IF(T20="","",IF(INT(T20)&lt;TODAY(),"Late "&amp;(TODAY()-INT(T20))&amp;IF((TODAY()-INT(T20))=1," day"," days"),IF(INT(T20)=TODAY(),"Today",CHOOSE(WEEKDAY(INT(T20),2),"Mon","Tue","Wed","Thu","Fri","Sat","Sun")&amp;" "&amp;DAY(INT(T20))&amp;" "&amp;CHOOSE(MONTH(INT(T20)),"Jan","Feb","Mar","Apr","May","Jun","Jul","Aug","Sep","Oct","Nov","Dec"))))</f>
        <v/>
      </c>
      <c r="E20" s="1" t="n"/>
      <c r="F20" s="12">
        <f>IF(U20="","",INDEX(Plants!$B$6:$B$65,MATCH(U20,Plants!$W$6:$W$65,0)))</f>
        <v/>
      </c>
      <c r="G20" s="13">
        <f>IF(U20="","",IF(INT(U20)&lt;=TODAY(),"Today",CHOOSE(WEEKDAY(INT(U20),2),"Mon","Tue","Wed","Thu","Fri","Sat","Sun")&amp;" "&amp;DAY(INT(U20))&amp;" "&amp;CHOOSE(MONTH(INT(U20)),"Jan","Feb","Mar","Apr","May","Jun","Jul","Aug","Sep","Oct","Nov","Dec")))</f>
        <v/>
      </c>
      <c r="H20" s="1" t="n"/>
      <c r="I20" s="12">
        <f>IF(V20="","",INDEX(Plants!$B$6:$B$65,MATCH(V20,Plants!$X$6:$X$65,0)))</f>
        <v/>
      </c>
      <c r="J20" s="13">
        <f>IF(V20="","",IF(INT(V20)&lt;=TODAY(),"Now",CHOOSE(MONTH(INT(V20)),"Jan","Feb","Mar","Apr","May","Jun","Jul","Aug","Sep","Oct","Nov","Dec")&amp;" "&amp;YEAR(INT(V20))))</f>
        <v/>
      </c>
      <c r="K20" s="1" t="n"/>
      <c r="L20" s="1" t="n"/>
      <c r="T20">
        <f>IFERROR(IF(SMALL(Plants!$V$6:$V$65,11)&lt;TODAY()+7,SMALL(Plants!$V$6:$V$65,11),""),"")</f>
        <v/>
      </c>
      <c r="U20">
        <f>IFERROR(IF(SMALL(Plants!$W$6:$W$65,11)&lt;TODAY()+7,SMALL(Plants!$W$6:$W$65,11),""),"")</f>
        <v/>
      </c>
      <c r="V20">
        <f>IFERROR(IF(SMALL(Plants!$X$6:$X$65,11)&lt;EDATE(TODAY(),2),SMALL(Plants!$X$6:$X$65,11),""),"")</f>
        <v/>
      </c>
    </row>
    <row r="21">
      <c r="A21" s="1" t="n"/>
      <c r="B21" s="12">
        <f>IF(T21="","",INDEX(Plants!$B$6:$B$65,MATCH(T21,Plants!$V$6:$V$65,0)))</f>
        <v/>
      </c>
      <c r="C21" s="13">
        <f>IF(T21="","",INDEX(Plants!$D$6:$D$65,MATCH(T21,Plants!$V$6:$V$65,0)))</f>
        <v/>
      </c>
      <c r="D21" s="13">
        <f>IF(T21="","",IF(INT(T21)&lt;TODAY(),"Late "&amp;(TODAY()-INT(T21))&amp;IF((TODAY()-INT(T21))=1," day"," days"),IF(INT(T21)=TODAY(),"Today",CHOOSE(WEEKDAY(INT(T21),2),"Mon","Tue","Wed","Thu","Fri","Sat","Sun")&amp;" "&amp;DAY(INT(T21))&amp;" "&amp;CHOOSE(MONTH(INT(T21)),"Jan","Feb","Mar","Apr","May","Jun","Jul","Aug","Sep","Oct","Nov","Dec"))))</f>
        <v/>
      </c>
      <c r="E21" s="1" t="n"/>
      <c r="F21" s="12">
        <f>IF(U21="","",INDEX(Plants!$B$6:$B$65,MATCH(U21,Plants!$W$6:$W$65,0)))</f>
        <v/>
      </c>
      <c r="G21" s="13">
        <f>IF(U21="","",IF(INT(U21)&lt;=TODAY(),"Today",CHOOSE(WEEKDAY(INT(U21),2),"Mon","Tue","Wed","Thu","Fri","Sat","Sun")&amp;" "&amp;DAY(INT(U21))&amp;" "&amp;CHOOSE(MONTH(INT(U21)),"Jan","Feb","Mar","Apr","May","Jun","Jul","Aug","Sep","Oct","Nov","Dec")))</f>
        <v/>
      </c>
      <c r="H21" s="1" t="n"/>
      <c r="I21" s="12">
        <f>IF(V21="","",INDEX(Plants!$B$6:$B$65,MATCH(V21,Plants!$X$6:$X$65,0)))</f>
        <v/>
      </c>
      <c r="J21" s="13">
        <f>IF(V21="","",IF(INT(V21)&lt;=TODAY(),"Now",CHOOSE(MONTH(INT(V21)),"Jan","Feb","Mar","Apr","May","Jun","Jul","Aug","Sep","Oct","Nov","Dec")&amp;" "&amp;YEAR(INT(V21))))</f>
        <v/>
      </c>
      <c r="K21" s="1" t="n"/>
      <c r="L21" s="1" t="n"/>
      <c r="T21">
        <f>IFERROR(IF(SMALL(Plants!$V$6:$V$65,12)&lt;TODAY()+7,SMALL(Plants!$V$6:$V$65,12),""),"")</f>
        <v/>
      </c>
      <c r="U21">
        <f>IFERROR(IF(SMALL(Plants!$W$6:$W$65,12)&lt;TODAY()+7,SMALL(Plants!$W$6:$W$65,12),""),"")</f>
        <v/>
      </c>
      <c r="V21">
        <f>IFERROR(IF(SMALL(Plants!$X$6:$X$65,12)&lt;EDATE(TODAY(),2),SMALL(Plants!$X$6:$X$65,12),""),"")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4" t="inlineStr">
        <is>
          <t>Water: the plants due in the next seven days, the late ones first. Feeds stop while plants rest. Repot: the next two months.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</sheetData>
  <conditionalFormatting sqref="D10:D21">
    <cfRule type="expression" priority="1" dxfId="0">
      <formula>LEFT(D10,4)="Late"</formula>
    </cfRule>
    <cfRule type="expression" priority="2" dxfId="1">
      <formula>D10="Today"</formula>
    </cfRule>
  </conditionalFormatting>
  <conditionalFormatting sqref="G10:G21">
    <cfRule type="expression" priority="3" dxfId="2">
      <formula>G10="Today"</formula>
    </cfRule>
  </conditionalFormatting>
  <conditionalFormatting sqref="J10:J21">
    <cfRule type="expression" priority="4" dxfId="3">
      <formula>J10="Now"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This week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What each plant needs over the next seven days, from what the care log says.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1" t="inlineStr">
        <is>
          <t>Plant</t>
        </is>
      </c>
      <c r="C5" s="11" t="inlineStr">
        <is>
          <t>Spot</t>
        </is>
      </c>
      <c r="D5" s="11">
        <f>CHOOSE(WEEKDAY(TODAY()+0,2),"Mon","Tue","Wed","Thu","Fri","Sat","Sun")&amp;" "&amp;DAY((TODAY()+0))&amp;" "&amp;CHOOSE(MONTH((TODAY()+0)),"Jan","Feb","Mar","Apr","May","Jun","Jul","Aug","Sep","Oct","Nov","Dec")</f>
        <v/>
      </c>
      <c r="E5" s="11">
        <f>CHOOSE(WEEKDAY(TODAY()+1,2),"Mon","Tue","Wed","Thu","Fri","Sat","Sun")&amp;" "&amp;DAY((TODAY()+1))&amp;" "&amp;CHOOSE(MONTH((TODAY()+1)),"Jan","Feb","Mar","Apr","May","Jun","Jul","Aug","Sep","Oct","Nov","Dec")</f>
        <v/>
      </c>
      <c r="F5" s="11">
        <f>CHOOSE(WEEKDAY(TODAY()+2,2),"Mon","Tue","Wed","Thu","Fri","Sat","Sun")&amp;" "&amp;DAY((TODAY()+2))&amp;" "&amp;CHOOSE(MONTH((TODAY()+2)),"Jan","Feb","Mar","Apr","May","Jun","Jul","Aug","Sep","Oct","Nov","Dec")</f>
        <v/>
      </c>
      <c r="G5" s="11">
        <f>CHOOSE(WEEKDAY(TODAY()+3,2),"Mon","Tue","Wed","Thu","Fri","Sat","Sun")&amp;" "&amp;DAY((TODAY()+3))&amp;" "&amp;CHOOSE(MONTH((TODAY()+3)),"Jan","Feb","Mar","Apr","May","Jun","Jul","Aug","Sep","Oct","Nov","Dec")</f>
        <v/>
      </c>
      <c r="H5" s="11">
        <f>CHOOSE(WEEKDAY(TODAY()+4,2),"Mon","Tue","Wed","Thu","Fri","Sat","Sun")&amp;" "&amp;DAY((TODAY()+4))&amp;" "&amp;CHOOSE(MONTH((TODAY()+4)),"Jan","Feb","Mar","Apr","May","Jun","Jul","Aug","Sep","Oct","Nov","Dec")</f>
        <v/>
      </c>
      <c r="I5" s="11">
        <f>CHOOSE(WEEKDAY(TODAY()+5,2),"Mon","Tue","Wed","Thu","Fri","Sat","Sun")&amp;" "&amp;DAY((TODAY()+5))&amp;" "&amp;CHOOSE(MONTH((TODAY()+5)),"Jan","Feb","Mar","Apr","May","Jun","Jul","Aug","Sep","Oct","Nov","Dec")</f>
        <v/>
      </c>
      <c r="J5" s="11">
        <f>CHOOSE(WEEKDAY(TODAY()+6,2),"Mon","Tue","Wed","Thu","Fri","Sat","Sun")&amp;" "&amp;DAY((TODAY()+6))&amp;" "&amp;CHOOSE(MONTH((TODAY()+6)),"Jan","Feb","Mar","Apr","May","Jun","Jul","Aug","Sep","Oct","Nov","Dec")</f>
        <v/>
      </c>
      <c r="K5" s="1" t="n"/>
    </row>
    <row r="6">
      <c r="A6" s="1" t="n"/>
      <c r="B6" s="15">
        <f>IF(Plants!B6="","",Plants!B6)</f>
        <v/>
      </c>
      <c r="C6" s="16">
        <f>IF(Plants!B6="","",Plants!D6)</f>
        <v/>
      </c>
      <c r="D6" s="13">
        <f>IF(AND(ISNUMBER(Plants!L6),N(Plants!S6)&gt;0,(TODAY()+0)&gt;=MAX(Plants!L6,TODAY()),MOD((TODAY()+0)-MAX(Plants!L6,TODAY()),MAX(1,N(Plants!S6)))=0),IF(AND(ISNUMBER(Plants!N6),N(Plants!H6)&gt;0,(TODAY()+0)&gt;=MAX(Plants!N6,TODAY()),MOD((TODAY()+0)-MAX(Plants!N6,TODAY()),MAX(1,N(Plants!H6)))=0),"Water, feed","Water"),IF(AND(ISNUMBER(Plants!N6),N(Plants!H6)&gt;0,(TODAY()+0)&gt;=MAX(Plants!N6,TODAY()),MOD((TODAY()+0)-MAX(Plants!N6,TODAY()),MAX(1,N(Plants!H6)))=0),"Feed",""))</f>
        <v/>
      </c>
      <c r="E6" s="13">
        <f>IF(AND(ISNUMBER(Plants!L6),N(Plants!S6)&gt;0,(TODAY()+1)&gt;=MAX(Plants!L6,TODAY()),MOD((TODAY()+1)-MAX(Plants!L6,TODAY()),MAX(1,N(Plants!S6)))=0),IF(AND(ISNUMBER(Plants!N6),N(Plants!H6)&gt;0,(TODAY()+1)&gt;=MAX(Plants!N6,TODAY()),MOD((TODAY()+1)-MAX(Plants!N6,TODAY()),MAX(1,N(Plants!H6)))=0),"Water, feed","Water"),IF(AND(ISNUMBER(Plants!N6),N(Plants!H6)&gt;0,(TODAY()+1)&gt;=MAX(Plants!N6,TODAY()),MOD((TODAY()+1)-MAX(Plants!N6,TODAY()),MAX(1,N(Plants!H6)))=0),"Feed",""))</f>
        <v/>
      </c>
      <c r="F6" s="13">
        <f>IF(AND(ISNUMBER(Plants!L6),N(Plants!S6)&gt;0,(TODAY()+2)&gt;=MAX(Plants!L6,TODAY()),MOD((TODAY()+2)-MAX(Plants!L6,TODAY()),MAX(1,N(Plants!S6)))=0),IF(AND(ISNUMBER(Plants!N6),N(Plants!H6)&gt;0,(TODAY()+2)&gt;=MAX(Plants!N6,TODAY()),MOD((TODAY()+2)-MAX(Plants!N6,TODAY()),MAX(1,N(Plants!H6)))=0),"Water, feed","Water"),IF(AND(ISNUMBER(Plants!N6),N(Plants!H6)&gt;0,(TODAY()+2)&gt;=MAX(Plants!N6,TODAY()),MOD((TODAY()+2)-MAX(Plants!N6,TODAY()),MAX(1,N(Plants!H6)))=0),"Feed",""))</f>
        <v/>
      </c>
      <c r="G6" s="13">
        <f>IF(AND(ISNUMBER(Plants!L6),N(Plants!S6)&gt;0,(TODAY()+3)&gt;=MAX(Plants!L6,TODAY()),MOD((TODAY()+3)-MAX(Plants!L6,TODAY()),MAX(1,N(Plants!S6)))=0),IF(AND(ISNUMBER(Plants!N6),N(Plants!H6)&gt;0,(TODAY()+3)&gt;=MAX(Plants!N6,TODAY()),MOD((TODAY()+3)-MAX(Plants!N6,TODAY()),MAX(1,N(Plants!H6)))=0),"Water, feed","Water"),IF(AND(ISNUMBER(Plants!N6),N(Plants!H6)&gt;0,(TODAY()+3)&gt;=MAX(Plants!N6,TODAY()),MOD((TODAY()+3)-MAX(Plants!N6,TODAY()),MAX(1,N(Plants!H6)))=0),"Feed",""))</f>
        <v/>
      </c>
      <c r="H6" s="13">
        <f>IF(AND(ISNUMBER(Plants!L6),N(Plants!S6)&gt;0,(TODAY()+4)&gt;=MAX(Plants!L6,TODAY()),MOD((TODAY()+4)-MAX(Plants!L6,TODAY()),MAX(1,N(Plants!S6)))=0),IF(AND(ISNUMBER(Plants!N6),N(Plants!H6)&gt;0,(TODAY()+4)&gt;=MAX(Plants!N6,TODAY()),MOD((TODAY()+4)-MAX(Plants!N6,TODAY()),MAX(1,N(Plants!H6)))=0),"Water, feed","Water"),IF(AND(ISNUMBER(Plants!N6),N(Plants!H6)&gt;0,(TODAY()+4)&gt;=MAX(Plants!N6,TODAY()),MOD((TODAY()+4)-MAX(Plants!N6,TODAY()),MAX(1,N(Plants!H6)))=0),"Feed",""))</f>
        <v/>
      </c>
      <c r="I6" s="13">
        <f>IF(AND(ISNUMBER(Plants!L6),N(Plants!S6)&gt;0,(TODAY()+5)&gt;=MAX(Plants!L6,TODAY()),MOD((TODAY()+5)-MAX(Plants!L6,TODAY()),MAX(1,N(Plants!S6)))=0),IF(AND(ISNUMBER(Plants!N6),N(Plants!H6)&gt;0,(TODAY()+5)&gt;=MAX(Plants!N6,TODAY()),MOD((TODAY()+5)-MAX(Plants!N6,TODAY()),MAX(1,N(Plants!H6)))=0),"Water, feed","Water"),IF(AND(ISNUMBER(Plants!N6),N(Plants!H6)&gt;0,(TODAY()+5)&gt;=MAX(Plants!N6,TODAY()),MOD((TODAY()+5)-MAX(Plants!N6,TODAY()),MAX(1,N(Plants!H6)))=0),"Feed",""))</f>
        <v/>
      </c>
      <c r="J6" s="13">
        <f>IF(AND(ISNUMBER(Plants!L6),N(Plants!S6)&gt;0,(TODAY()+6)&gt;=MAX(Plants!L6,TODAY()),MOD((TODAY()+6)-MAX(Plants!L6,TODAY()),MAX(1,N(Plants!S6)))=0),IF(AND(ISNUMBER(Plants!N6),N(Plants!H6)&gt;0,(TODAY()+6)&gt;=MAX(Plants!N6,TODAY()),MOD((TODAY()+6)-MAX(Plants!N6,TODAY()),MAX(1,N(Plants!H6)))=0),"Water, feed","Water"),IF(AND(ISNUMBER(Plants!N6),N(Plants!H6)&gt;0,(TODAY()+6)&gt;=MAX(Plants!N6,TODAY()),MOD((TODAY()+6)-MAX(Plants!N6,TODAY()),MAX(1,N(Plants!H6)))=0),"Feed",""))</f>
        <v/>
      </c>
      <c r="K6" s="1" t="n"/>
    </row>
    <row r="7">
      <c r="A7" s="1" t="n"/>
      <c r="B7" s="15">
        <f>IF(Plants!B7="","",Plants!B7)</f>
        <v/>
      </c>
      <c r="C7" s="16">
        <f>IF(Plants!B7="","",Plants!D7)</f>
        <v/>
      </c>
      <c r="D7" s="13">
        <f>IF(AND(ISNUMBER(Plants!L7),N(Plants!S7)&gt;0,(TODAY()+0)&gt;=MAX(Plants!L7,TODAY()),MOD((TODAY()+0)-MAX(Plants!L7,TODAY()),MAX(1,N(Plants!S7)))=0),IF(AND(ISNUMBER(Plants!N7),N(Plants!H7)&gt;0,(TODAY()+0)&gt;=MAX(Plants!N7,TODAY()),MOD((TODAY()+0)-MAX(Plants!N7,TODAY()),MAX(1,N(Plants!H7)))=0),"Water, feed","Water"),IF(AND(ISNUMBER(Plants!N7),N(Plants!H7)&gt;0,(TODAY()+0)&gt;=MAX(Plants!N7,TODAY()),MOD((TODAY()+0)-MAX(Plants!N7,TODAY()),MAX(1,N(Plants!H7)))=0),"Feed",""))</f>
        <v/>
      </c>
      <c r="E7" s="13">
        <f>IF(AND(ISNUMBER(Plants!L7),N(Plants!S7)&gt;0,(TODAY()+1)&gt;=MAX(Plants!L7,TODAY()),MOD((TODAY()+1)-MAX(Plants!L7,TODAY()),MAX(1,N(Plants!S7)))=0),IF(AND(ISNUMBER(Plants!N7),N(Plants!H7)&gt;0,(TODAY()+1)&gt;=MAX(Plants!N7,TODAY()),MOD((TODAY()+1)-MAX(Plants!N7,TODAY()),MAX(1,N(Plants!H7)))=0),"Water, feed","Water"),IF(AND(ISNUMBER(Plants!N7),N(Plants!H7)&gt;0,(TODAY()+1)&gt;=MAX(Plants!N7,TODAY()),MOD((TODAY()+1)-MAX(Plants!N7,TODAY()),MAX(1,N(Plants!H7)))=0),"Feed",""))</f>
        <v/>
      </c>
      <c r="F7" s="13">
        <f>IF(AND(ISNUMBER(Plants!L7),N(Plants!S7)&gt;0,(TODAY()+2)&gt;=MAX(Plants!L7,TODAY()),MOD((TODAY()+2)-MAX(Plants!L7,TODAY()),MAX(1,N(Plants!S7)))=0),IF(AND(ISNUMBER(Plants!N7),N(Plants!H7)&gt;0,(TODAY()+2)&gt;=MAX(Plants!N7,TODAY()),MOD((TODAY()+2)-MAX(Plants!N7,TODAY()),MAX(1,N(Plants!H7)))=0),"Water, feed","Water"),IF(AND(ISNUMBER(Plants!N7),N(Plants!H7)&gt;0,(TODAY()+2)&gt;=MAX(Plants!N7,TODAY()),MOD((TODAY()+2)-MAX(Plants!N7,TODAY()),MAX(1,N(Plants!H7)))=0),"Feed",""))</f>
        <v/>
      </c>
      <c r="G7" s="13">
        <f>IF(AND(ISNUMBER(Plants!L7),N(Plants!S7)&gt;0,(TODAY()+3)&gt;=MAX(Plants!L7,TODAY()),MOD((TODAY()+3)-MAX(Plants!L7,TODAY()),MAX(1,N(Plants!S7)))=0),IF(AND(ISNUMBER(Plants!N7),N(Plants!H7)&gt;0,(TODAY()+3)&gt;=MAX(Plants!N7,TODAY()),MOD((TODAY()+3)-MAX(Plants!N7,TODAY()),MAX(1,N(Plants!H7)))=0),"Water, feed","Water"),IF(AND(ISNUMBER(Plants!N7),N(Plants!H7)&gt;0,(TODAY()+3)&gt;=MAX(Plants!N7,TODAY()),MOD((TODAY()+3)-MAX(Plants!N7,TODAY()),MAX(1,N(Plants!H7)))=0),"Feed",""))</f>
        <v/>
      </c>
      <c r="H7" s="13">
        <f>IF(AND(ISNUMBER(Plants!L7),N(Plants!S7)&gt;0,(TODAY()+4)&gt;=MAX(Plants!L7,TODAY()),MOD((TODAY()+4)-MAX(Plants!L7,TODAY()),MAX(1,N(Plants!S7)))=0),IF(AND(ISNUMBER(Plants!N7),N(Plants!H7)&gt;0,(TODAY()+4)&gt;=MAX(Plants!N7,TODAY()),MOD((TODAY()+4)-MAX(Plants!N7,TODAY()),MAX(1,N(Plants!H7)))=0),"Water, feed","Water"),IF(AND(ISNUMBER(Plants!N7),N(Plants!H7)&gt;0,(TODAY()+4)&gt;=MAX(Plants!N7,TODAY()),MOD((TODAY()+4)-MAX(Plants!N7,TODAY()),MAX(1,N(Plants!H7)))=0),"Feed",""))</f>
        <v/>
      </c>
      <c r="I7" s="13">
        <f>IF(AND(ISNUMBER(Plants!L7),N(Plants!S7)&gt;0,(TODAY()+5)&gt;=MAX(Plants!L7,TODAY()),MOD((TODAY()+5)-MAX(Plants!L7,TODAY()),MAX(1,N(Plants!S7)))=0),IF(AND(ISNUMBER(Plants!N7),N(Plants!H7)&gt;0,(TODAY()+5)&gt;=MAX(Plants!N7,TODAY()),MOD((TODAY()+5)-MAX(Plants!N7,TODAY()),MAX(1,N(Plants!H7)))=0),"Water, feed","Water"),IF(AND(ISNUMBER(Plants!N7),N(Plants!H7)&gt;0,(TODAY()+5)&gt;=MAX(Plants!N7,TODAY()),MOD((TODAY()+5)-MAX(Plants!N7,TODAY()),MAX(1,N(Plants!H7)))=0),"Feed",""))</f>
        <v/>
      </c>
      <c r="J7" s="13">
        <f>IF(AND(ISNUMBER(Plants!L7),N(Plants!S7)&gt;0,(TODAY()+6)&gt;=MAX(Plants!L7,TODAY()),MOD((TODAY()+6)-MAX(Plants!L7,TODAY()),MAX(1,N(Plants!S7)))=0),IF(AND(ISNUMBER(Plants!N7),N(Plants!H7)&gt;0,(TODAY()+6)&gt;=MAX(Plants!N7,TODAY()),MOD((TODAY()+6)-MAX(Plants!N7,TODAY()),MAX(1,N(Plants!H7)))=0),"Water, feed","Water"),IF(AND(ISNUMBER(Plants!N7),N(Plants!H7)&gt;0,(TODAY()+6)&gt;=MAX(Plants!N7,TODAY()),MOD((TODAY()+6)-MAX(Plants!N7,TODAY()),MAX(1,N(Plants!H7)))=0),"Feed",""))</f>
        <v/>
      </c>
      <c r="K7" s="1" t="n"/>
    </row>
    <row r="8">
      <c r="A8" s="1" t="n"/>
      <c r="B8" s="15">
        <f>IF(Plants!B8="","",Plants!B8)</f>
        <v/>
      </c>
      <c r="C8" s="16">
        <f>IF(Plants!B8="","",Plants!D8)</f>
        <v/>
      </c>
      <c r="D8" s="13">
        <f>IF(AND(ISNUMBER(Plants!L8),N(Plants!S8)&gt;0,(TODAY()+0)&gt;=MAX(Plants!L8,TODAY()),MOD((TODAY()+0)-MAX(Plants!L8,TODAY()),MAX(1,N(Plants!S8)))=0),IF(AND(ISNUMBER(Plants!N8),N(Plants!H8)&gt;0,(TODAY()+0)&gt;=MAX(Plants!N8,TODAY()),MOD((TODAY()+0)-MAX(Plants!N8,TODAY()),MAX(1,N(Plants!H8)))=0),"Water, feed","Water"),IF(AND(ISNUMBER(Plants!N8),N(Plants!H8)&gt;0,(TODAY()+0)&gt;=MAX(Plants!N8,TODAY()),MOD((TODAY()+0)-MAX(Plants!N8,TODAY()),MAX(1,N(Plants!H8)))=0),"Feed",""))</f>
        <v/>
      </c>
      <c r="E8" s="13">
        <f>IF(AND(ISNUMBER(Plants!L8),N(Plants!S8)&gt;0,(TODAY()+1)&gt;=MAX(Plants!L8,TODAY()),MOD((TODAY()+1)-MAX(Plants!L8,TODAY()),MAX(1,N(Plants!S8)))=0),IF(AND(ISNUMBER(Plants!N8),N(Plants!H8)&gt;0,(TODAY()+1)&gt;=MAX(Plants!N8,TODAY()),MOD((TODAY()+1)-MAX(Plants!N8,TODAY()),MAX(1,N(Plants!H8)))=0),"Water, feed","Water"),IF(AND(ISNUMBER(Plants!N8),N(Plants!H8)&gt;0,(TODAY()+1)&gt;=MAX(Plants!N8,TODAY()),MOD((TODAY()+1)-MAX(Plants!N8,TODAY()),MAX(1,N(Plants!H8)))=0),"Feed",""))</f>
        <v/>
      </c>
      <c r="F8" s="13">
        <f>IF(AND(ISNUMBER(Plants!L8),N(Plants!S8)&gt;0,(TODAY()+2)&gt;=MAX(Plants!L8,TODAY()),MOD((TODAY()+2)-MAX(Plants!L8,TODAY()),MAX(1,N(Plants!S8)))=0),IF(AND(ISNUMBER(Plants!N8),N(Plants!H8)&gt;0,(TODAY()+2)&gt;=MAX(Plants!N8,TODAY()),MOD((TODAY()+2)-MAX(Plants!N8,TODAY()),MAX(1,N(Plants!H8)))=0),"Water, feed","Water"),IF(AND(ISNUMBER(Plants!N8),N(Plants!H8)&gt;0,(TODAY()+2)&gt;=MAX(Plants!N8,TODAY()),MOD((TODAY()+2)-MAX(Plants!N8,TODAY()),MAX(1,N(Plants!H8)))=0),"Feed",""))</f>
        <v/>
      </c>
      <c r="G8" s="13">
        <f>IF(AND(ISNUMBER(Plants!L8),N(Plants!S8)&gt;0,(TODAY()+3)&gt;=MAX(Plants!L8,TODAY()),MOD((TODAY()+3)-MAX(Plants!L8,TODAY()),MAX(1,N(Plants!S8)))=0),IF(AND(ISNUMBER(Plants!N8),N(Plants!H8)&gt;0,(TODAY()+3)&gt;=MAX(Plants!N8,TODAY()),MOD((TODAY()+3)-MAX(Plants!N8,TODAY()),MAX(1,N(Plants!H8)))=0),"Water, feed","Water"),IF(AND(ISNUMBER(Plants!N8),N(Plants!H8)&gt;0,(TODAY()+3)&gt;=MAX(Plants!N8,TODAY()),MOD((TODAY()+3)-MAX(Plants!N8,TODAY()),MAX(1,N(Plants!H8)))=0),"Feed",""))</f>
        <v/>
      </c>
      <c r="H8" s="13">
        <f>IF(AND(ISNUMBER(Plants!L8),N(Plants!S8)&gt;0,(TODAY()+4)&gt;=MAX(Plants!L8,TODAY()),MOD((TODAY()+4)-MAX(Plants!L8,TODAY()),MAX(1,N(Plants!S8)))=0),IF(AND(ISNUMBER(Plants!N8),N(Plants!H8)&gt;0,(TODAY()+4)&gt;=MAX(Plants!N8,TODAY()),MOD((TODAY()+4)-MAX(Plants!N8,TODAY()),MAX(1,N(Plants!H8)))=0),"Water, feed","Water"),IF(AND(ISNUMBER(Plants!N8),N(Plants!H8)&gt;0,(TODAY()+4)&gt;=MAX(Plants!N8,TODAY()),MOD((TODAY()+4)-MAX(Plants!N8,TODAY()),MAX(1,N(Plants!H8)))=0),"Feed",""))</f>
        <v/>
      </c>
      <c r="I8" s="13">
        <f>IF(AND(ISNUMBER(Plants!L8),N(Plants!S8)&gt;0,(TODAY()+5)&gt;=MAX(Plants!L8,TODAY()),MOD((TODAY()+5)-MAX(Plants!L8,TODAY()),MAX(1,N(Plants!S8)))=0),IF(AND(ISNUMBER(Plants!N8),N(Plants!H8)&gt;0,(TODAY()+5)&gt;=MAX(Plants!N8,TODAY()),MOD((TODAY()+5)-MAX(Plants!N8,TODAY()),MAX(1,N(Plants!H8)))=0),"Water, feed","Water"),IF(AND(ISNUMBER(Plants!N8),N(Plants!H8)&gt;0,(TODAY()+5)&gt;=MAX(Plants!N8,TODAY()),MOD((TODAY()+5)-MAX(Plants!N8,TODAY()),MAX(1,N(Plants!H8)))=0),"Feed",""))</f>
        <v/>
      </c>
      <c r="J8" s="13">
        <f>IF(AND(ISNUMBER(Plants!L8),N(Plants!S8)&gt;0,(TODAY()+6)&gt;=MAX(Plants!L8,TODAY()),MOD((TODAY()+6)-MAX(Plants!L8,TODAY()),MAX(1,N(Plants!S8)))=0),IF(AND(ISNUMBER(Plants!N8),N(Plants!H8)&gt;0,(TODAY()+6)&gt;=MAX(Plants!N8,TODAY()),MOD((TODAY()+6)-MAX(Plants!N8,TODAY()),MAX(1,N(Plants!H8)))=0),"Water, feed","Water"),IF(AND(ISNUMBER(Plants!N8),N(Plants!H8)&gt;0,(TODAY()+6)&gt;=MAX(Plants!N8,TODAY()),MOD((TODAY()+6)-MAX(Plants!N8,TODAY()),MAX(1,N(Plants!H8)))=0),"Feed",""))</f>
        <v/>
      </c>
      <c r="K8" s="1" t="n"/>
    </row>
    <row r="9">
      <c r="A9" s="1" t="n"/>
      <c r="B9" s="15">
        <f>IF(Plants!B9="","",Plants!B9)</f>
        <v/>
      </c>
      <c r="C9" s="16">
        <f>IF(Plants!B9="","",Plants!D9)</f>
        <v/>
      </c>
      <c r="D9" s="13">
        <f>IF(AND(ISNUMBER(Plants!L9),N(Plants!S9)&gt;0,(TODAY()+0)&gt;=MAX(Plants!L9,TODAY()),MOD((TODAY()+0)-MAX(Plants!L9,TODAY()),MAX(1,N(Plants!S9)))=0),IF(AND(ISNUMBER(Plants!N9),N(Plants!H9)&gt;0,(TODAY()+0)&gt;=MAX(Plants!N9,TODAY()),MOD((TODAY()+0)-MAX(Plants!N9,TODAY()),MAX(1,N(Plants!H9)))=0),"Water, feed","Water"),IF(AND(ISNUMBER(Plants!N9),N(Plants!H9)&gt;0,(TODAY()+0)&gt;=MAX(Plants!N9,TODAY()),MOD((TODAY()+0)-MAX(Plants!N9,TODAY()),MAX(1,N(Plants!H9)))=0),"Feed",""))</f>
        <v/>
      </c>
      <c r="E9" s="13">
        <f>IF(AND(ISNUMBER(Plants!L9),N(Plants!S9)&gt;0,(TODAY()+1)&gt;=MAX(Plants!L9,TODAY()),MOD((TODAY()+1)-MAX(Plants!L9,TODAY()),MAX(1,N(Plants!S9)))=0),IF(AND(ISNUMBER(Plants!N9),N(Plants!H9)&gt;0,(TODAY()+1)&gt;=MAX(Plants!N9,TODAY()),MOD((TODAY()+1)-MAX(Plants!N9,TODAY()),MAX(1,N(Plants!H9)))=0),"Water, feed","Water"),IF(AND(ISNUMBER(Plants!N9),N(Plants!H9)&gt;0,(TODAY()+1)&gt;=MAX(Plants!N9,TODAY()),MOD((TODAY()+1)-MAX(Plants!N9,TODAY()),MAX(1,N(Plants!H9)))=0),"Feed",""))</f>
        <v/>
      </c>
      <c r="F9" s="13">
        <f>IF(AND(ISNUMBER(Plants!L9),N(Plants!S9)&gt;0,(TODAY()+2)&gt;=MAX(Plants!L9,TODAY()),MOD((TODAY()+2)-MAX(Plants!L9,TODAY()),MAX(1,N(Plants!S9)))=0),IF(AND(ISNUMBER(Plants!N9),N(Plants!H9)&gt;0,(TODAY()+2)&gt;=MAX(Plants!N9,TODAY()),MOD((TODAY()+2)-MAX(Plants!N9,TODAY()),MAX(1,N(Plants!H9)))=0),"Water, feed","Water"),IF(AND(ISNUMBER(Plants!N9),N(Plants!H9)&gt;0,(TODAY()+2)&gt;=MAX(Plants!N9,TODAY()),MOD((TODAY()+2)-MAX(Plants!N9,TODAY()),MAX(1,N(Plants!H9)))=0),"Feed",""))</f>
        <v/>
      </c>
      <c r="G9" s="13">
        <f>IF(AND(ISNUMBER(Plants!L9),N(Plants!S9)&gt;0,(TODAY()+3)&gt;=MAX(Plants!L9,TODAY()),MOD((TODAY()+3)-MAX(Plants!L9,TODAY()),MAX(1,N(Plants!S9)))=0),IF(AND(ISNUMBER(Plants!N9),N(Plants!H9)&gt;0,(TODAY()+3)&gt;=MAX(Plants!N9,TODAY()),MOD((TODAY()+3)-MAX(Plants!N9,TODAY()),MAX(1,N(Plants!H9)))=0),"Water, feed","Water"),IF(AND(ISNUMBER(Plants!N9),N(Plants!H9)&gt;0,(TODAY()+3)&gt;=MAX(Plants!N9,TODAY()),MOD((TODAY()+3)-MAX(Plants!N9,TODAY()),MAX(1,N(Plants!H9)))=0),"Feed",""))</f>
        <v/>
      </c>
      <c r="H9" s="13">
        <f>IF(AND(ISNUMBER(Plants!L9),N(Plants!S9)&gt;0,(TODAY()+4)&gt;=MAX(Plants!L9,TODAY()),MOD((TODAY()+4)-MAX(Plants!L9,TODAY()),MAX(1,N(Plants!S9)))=0),IF(AND(ISNUMBER(Plants!N9),N(Plants!H9)&gt;0,(TODAY()+4)&gt;=MAX(Plants!N9,TODAY()),MOD((TODAY()+4)-MAX(Plants!N9,TODAY()),MAX(1,N(Plants!H9)))=0),"Water, feed","Water"),IF(AND(ISNUMBER(Plants!N9),N(Plants!H9)&gt;0,(TODAY()+4)&gt;=MAX(Plants!N9,TODAY()),MOD((TODAY()+4)-MAX(Plants!N9,TODAY()),MAX(1,N(Plants!H9)))=0),"Feed",""))</f>
        <v/>
      </c>
      <c r="I9" s="13">
        <f>IF(AND(ISNUMBER(Plants!L9),N(Plants!S9)&gt;0,(TODAY()+5)&gt;=MAX(Plants!L9,TODAY()),MOD((TODAY()+5)-MAX(Plants!L9,TODAY()),MAX(1,N(Plants!S9)))=0),IF(AND(ISNUMBER(Plants!N9),N(Plants!H9)&gt;0,(TODAY()+5)&gt;=MAX(Plants!N9,TODAY()),MOD((TODAY()+5)-MAX(Plants!N9,TODAY()),MAX(1,N(Plants!H9)))=0),"Water, feed","Water"),IF(AND(ISNUMBER(Plants!N9),N(Plants!H9)&gt;0,(TODAY()+5)&gt;=MAX(Plants!N9,TODAY()),MOD((TODAY()+5)-MAX(Plants!N9,TODAY()),MAX(1,N(Plants!H9)))=0),"Feed",""))</f>
        <v/>
      </c>
      <c r="J9" s="13">
        <f>IF(AND(ISNUMBER(Plants!L9),N(Plants!S9)&gt;0,(TODAY()+6)&gt;=MAX(Plants!L9,TODAY()),MOD((TODAY()+6)-MAX(Plants!L9,TODAY()),MAX(1,N(Plants!S9)))=0),IF(AND(ISNUMBER(Plants!N9),N(Plants!H9)&gt;0,(TODAY()+6)&gt;=MAX(Plants!N9,TODAY()),MOD((TODAY()+6)-MAX(Plants!N9,TODAY()),MAX(1,N(Plants!H9)))=0),"Water, feed","Water"),IF(AND(ISNUMBER(Plants!N9),N(Plants!H9)&gt;0,(TODAY()+6)&gt;=MAX(Plants!N9,TODAY()),MOD((TODAY()+6)-MAX(Plants!N9,TODAY()),MAX(1,N(Plants!H9)))=0),"Feed",""))</f>
        <v/>
      </c>
      <c r="K9" s="1" t="n"/>
    </row>
    <row r="10">
      <c r="A10" s="1" t="n"/>
      <c r="B10" s="15">
        <f>IF(Plants!B10="","",Plants!B10)</f>
        <v/>
      </c>
      <c r="C10" s="16">
        <f>IF(Plants!B10="","",Plants!D10)</f>
        <v/>
      </c>
      <c r="D10" s="13">
        <f>IF(AND(ISNUMBER(Plants!L10),N(Plants!S10)&gt;0,(TODAY()+0)&gt;=MAX(Plants!L10,TODAY()),MOD((TODAY()+0)-MAX(Plants!L10,TODAY()),MAX(1,N(Plants!S10)))=0),IF(AND(ISNUMBER(Plants!N10),N(Plants!H10)&gt;0,(TODAY()+0)&gt;=MAX(Plants!N10,TODAY()),MOD((TODAY()+0)-MAX(Plants!N10,TODAY()),MAX(1,N(Plants!H10)))=0),"Water, feed","Water"),IF(AND(ISNUMBER(Plants!N10),N(Plants!H10)&gt;0,(TODAY()+0)&gt;=MAX(Plants!N10,TODAY()),MOD((TODAY()+0)-MAX(Plants!N10,TODAY()),MAX(1,N(Plants!H10)))=0),"Feed",""))</f>
        <v/>
      </c>
      <c r="E10" s="13">
        <f>IF(AND(ISNUMBER(Plants!L10),N(Plants!S10)&gt;0,(TODAY()+1)&gt;=MAX(Plants!L10,TODAY()),MOD((TODAY()+1)-MAX(Plants!L10,TODAY()),MAX(1,N(Plants!S10)))=0),IF(AND(ISNUMBER(Plants!N10),N(Plants!H10)&gt;0,(TODAY()+1)&gt;=MAX(Plants!N10,TODAY()),MOD((TODAY()+1)-MAX(Plants!N10,TODAY()),MAX(1,N(Plants!H10)))=0),"Water, feed","Water"),IF(AND(ISNUMBER(Plants!N10),N(Plants!H10)&gt;0,(TODAY()+1)&gt;=MAX(Plants!N10,TODAY()),MOD((TODAY()+1)-MAX(Plants!N10,TODAY()),MAX(1,N(Plants!H10)))=0),"Feed",""))</f>
        <v/>
      </c>
      <c r="F10" s="13">
        <f>IF(AND(ISNUMBER(Plants!L10),N(Plants!S10)&gt;0,(TODAY()+2)&gt;=MAX(Plants!L10,TODAY()),MOD((TODAY()+2)-MAX(Plants!L10,TODAY()),MAX(1,N(Plants!S10)))=0),IF(AND(ISNUMBER(Plants!N10),N(Plants!H10)&gt;0,(TODAY()+2)&gt;=MAX(Plants!N10,TODAY()),MOD((TODAY()+2)-MAX(Plants!N10,TODAY()),MAX(1,N(Plants!H10)))=0),"Water, feed","Water"),IF(AND(ISNUMBER(Plants!N10),N(Plants!H10)&gt;0,(TODAY()+2)&gt;=MAX(Plants!N10,TODAY()),MOD((TODAY()+2)-MAX(Plants!N10,TODAY()),MAX(1,N(Plants!H10)))=0),"Feed",""))</f>
        <v/>
      </c>
      <c r="G10" s="13">
        <f>IF(AND(ISNUMBER(Plants!L10),N(Plants!S10)&gt;0,(TODAY()+3)&gt;=MAX(Plants!L10,TODAY()),MOD((TODAY()+3)-MAX(Plants!L10,TODAY()),MAX(1,N(Plants!S10)))=0),IF(AND(ISNUMBER(Plants!N10),N(Plants!H10)&gt;0,(TODAY()+3)&gt;=MAX(Plants!N10,TODAY()),MOD((TODAY()+3)-MAX(Plants!N10,TODAY()),MAX(1,N(Plants!H10)))=0),"Water, feed","Water"),IF(AND(ISNUMBER(Plants!N10),N(Plants!H10)&gt;0,(TODAY()+3)&gt;=MAX(Plants!N10,TODAY()),MOD((TODAY()+3)-MAX(Plants!N10,TODAY()),MAX(1,N(Plants!H10)))=0),"Feed",""))</f>
        <v/>
      </c>
      <c r="H10" s="13">
        <f>IF(AND(ISNUMBER(Plants!L10),N(Plants!S10)&gt;0,(TODAY()+4)&gt;=MAX(Plants!L10,TODAY()),MOD((TODAY()+4)-MAX(Plants!L10,TODAY()),MAX(1,N(Plants!S10)))=0),IF(AND(ISNUMBER(Plants!N10),N(Plants!H10)&gt;0,(TODAY()+4)&gt;=MAX(Plants!N10,TODAY()),MOD((TODAY()+4)-MAX(Plants!N10,TODAY()),MAX(1,N(Plants!H10)))=0),"Water, feed","Water"),IF(AND(ISNUMBER(Plants!N10),N(Plants!H10)&gt;0,(TODAY()+4)&gt;=MAX(Plants!N10,TODAY()),MOD((TODAY()+4)-MAX(Plants!N10,TODAY()),MAX(1,N(Plants!H10)))=0),"Feed",""))</f>
        <v/>
      </c>
      <c r="I10" s="13">
        <f>IF(AND(ISNUMBER(Plants!L10),N(Plants!S10)&gt;0,(TODAY()+5)&gt;=MAX(Plants!L10,TODAY()),MOD((TODAY()+5)-MAX(Plants!L10,TODAY()),MAX(1,N(Plants!S10)))=0),IF(AND(ISNUMBER(Plants!N10),N(Plants!H10)&gt;0,(TODAY()+5)&gt;=MAX(Plants!N10,TODAY()),MOD((TODAY()+5)-MAX(Plants!N10,TODAY()),MAX(1,N(Plants!H10)))=0),"Water, feed","Water"),IF(AND(ISNUMBER(Plants!N10),N(Plants!H10)&gt;0,(TODAY()+5)&gt;=MAX(Plants!N10,TODAY()),MOD((TODAY()+5)-MAX(Plants!N10,TODAY()),MAX(1,N(Plants!H10)))=0),"Feed",""))</f>
        <v/>
      </c>
      <c r="J10" s="13">
        <f>IF(AND(ISNUMBER(Plants!L10),N(Plants!S10)&gt;0,(TODAY()+6)&gt;=MAX(Plants!L10,TODAY()),MOD((TODAY()+6)-MAX(Plants!L10,TODAY()),MAX(1,N(Plants!S10)))=0),IF(AND(ISNUMBER(Plants!N10),N(Plants!H10)&gt;0,(TODAY()+6)&gt;=MAX(Plants!N10,TODAY()),MOD((TODAY()+6)-MAX(Plants!N10,TODAY()),MAX(1,N(Plants!H10)))=0),"Water, feed","Water"),IF(AND(ISNUMBER(Plants!N10),N(Plants!H10)&gt;0,(TODAY()+6)&gt;=MAX(Plants!N10,TODAY()),MOD((TODAY()+6)-MAX(Plants!N10,TODAY()),MAX(1,N(Plants!H10)))=0),"Feed",""))</f>
        <v/>
      </c>
      <c r="K10" s="1" t="n"/>
    </row>
    <row r="11">
      <c r="A11" s="1" t="n"/>
      <c r="B11" s="15">
        <f>IF(Plants!B11="","",Plants!B11)</f>
        <v/>
      </c>
      <c r="C11" s="16">
        <f>IF(Plants!B11="","",Plants!D11)</f>
        <v/>
      </c>
      <c r="D11" s="13">
        <f>IF(AND(ISNUMBER(Plants!L11),N(Plants!S11)&gt;0,(TODAY()+0)&gt;=MAX(Plants!L11,TODAY()),MOD((TODAY()+0)-MAX(Plants!L11,TODAY()),MAX(1,N(Plants!S11)))=0),IF(AND(ISNUMBER(Plants!N11),N(Plants!H11)&gt;0,(TODAY()+0)&gt;=MAX(Plants!N11,TODAY()),MOD((TODAY()+0)-MAX(Plants!N11,TODAY()),MAX(1,N(Plants!H11)))=0),"Water, feed","Water"),IF(AND(ISNUMBER(Plants!N11),N(Plants!H11)&gt;0,(TODAY()+0)&gt;=MAX(Plants!N11,TODAY()),MOD((TODAY()+0)-MAX(Plants!N11,TODAY()),MAX(1,N(Plants!H11)))=0),"Feed",""))</f>
        <v/>
      </c>
      <c r="E11" s="13">
        <f>IF(AND(ISNUMBER(Plants!L11),N(Plants!S11)&gt;0,(TODAY()+1)&gt;=MAX(Plants!L11,TODAY()),MOD((TODAY()+1)-MAX(Plants!L11,TODAY()),MAX(1,N(Plants!S11)))=0),IF(AND(ISNUMBER(Plants!N11),N(Plants!H11)&gt;0,(TODAY()+1)&gt;=MAX(Plants!N11,TODAY()),MOD((TODAY()+1)-MAX(Plants!N11,TODAY()),MAX(1,N(Plants!H11)))=0),"Water, feed","Water"),IF(AND(ISNUMBER(Plants!N11),N(Plants!H11)&gt;0,(TODAY()+1)&gt;=MAX(Plants!N11,TODAY()),MOD((TODAY()+1)-MAX(Plants!N11,TODAY()),MAX(1,N(Plants!H11)))=0),"Feed",""))</f>
        <v/>
      </c>
      <c r="F11" s="13">
        <f>IF(AND(ISNUMBER(Plants!L11),N(Plants!S11)&gt;0,(TODAY()+2)&gt;=MAX(Plants!L11,TODAY()),MOD((TODAY()+2)-MAX(Plants!L11,TODAY()),MAX(1,N(Plants!S11)))=0),IF(AND(ISNUMBER(Plants!N11),N(Plants!H11)&gt;0,(TODAY()+2)&gt;=MAX(Plants!N11,TODAY()),MOD((TODAY()+2)-MAX(Plants!N11,TODAY()),MAX(1,N(Plants!H11)))=0),"Water, feed","Water"),IF(AND(ISNUMBER(Plants!N11),N(Plants!H11)&gt;0,(TODAY()+2)&gt;=MAX(Plants!N11,TODAY()),MOD((TODAY()+2)-MAX(Plants!N11,TODAY()),MAX(1,N(Plants!H11)))=0),"Feed",""))</f>
        <v/>
      </c>
      <c r="G11" s="13">
        <f>IF(AND(ISNUMBER(Plants!L11),N(Plants!S11)&gt;0,(TODAY()+3)&gt;=MAX(Plants!L11,TODAY()),MOD((TODAY()+3)-MAX(Plants!L11,TODAY()),MAX(1,N(Plants!S11)))=0),IF(AND(ISNUMBER(Plants!N11),N(Plants!H11)&gt;0,(TODAY()+3)&gt;=MAX(Plants!N11,TODAY()),MOD((TODAY()+3)-MAX(Plants!N11,TODAY()),MAX(1,N(Plants!H11)))=0),"Water, feed","Water"),IF(AND(ISNUMBER(Plants!N11),N(Plants!H11)&gt;0,(TODAY()+3)&gt;=MAX(Plants!N11,TODAY()),MOD((TODAY()+3)-MAX(Plants!N11,TODAY()),MAX(1,N(Plants!H11)))=0),"Feed",""))</f>
        <v/>
      </c>
      <c r="H11" s="13">
        <f>IF(AND(ISNUMBER(Plants!L11),N(Plants!S11)&gt;0,(TODAY()+4)&gt;=MAX(Plants!L11,TODAY()),MOD((TODAY()+4)-MAX(Plants!L11,TODAY()),MAX(1,N(Plants!S11)))=0),IF(AND(ISNUMBER(Plants!N11),N(Plants!H11)&gt;0,(TODAY()+4)&gt;=MAX(Plants!N11,TODAY()),MOD((TODAY()+4)-MAX(Plants!N11,TODAY()),MAX(1,N(Plants!H11)))=0),"Water, feed","Water"),IF(AND(ISNUMBER(Plants!N11),N(Plants!H11)&gt;0,(TODAY()+4)&gt;=MAX(Plants!N11,TODAY()),MOD((TODAY()+4)-MAX(Plants!N11,TODAY()),MAX(1,N(Plants!H11)))=0),"Feed",""))</f>
        <v/>
      </c>
      <c r="I11" s="13">
        <f>IF(AND(ISNUMBER(Plants!L11),N(Plants!S11)&gt;0,(TODAY()+5)&gt;=MAX(Plants!L11,TODAY()),MOD((TODAY()+5)-MAX(Plants!L11,TODAY()),MAX(1,N(Plants!S11)))=0),IF(AND(ISNUMBER(Plants!N11),N(Plants!H11)&gt;0,(TODAY()+5)&gt;=MAX(Plants!N11,TODAY()),MOD((TODAY()+5)-MAX(Plants!N11,TODAY()),MAX(1,N(Plants!H11)))=0),"Water, feed","Water"),IF(AND(ISNUMBER(Plants!N11),N(Plants!H11)&gt;0,(TODAY()+5)&gt;=MAX(Plants!N11,TODAY()),MOD((TODAY()+5)-MAX(Plants!N11,TODAY()),MAX(1,N(Plants!H11)))=0),"Feed",""))</f>
        <v/>
      </c>
      <c r="J11" s="13">
        <f>IF(AND(ISNUMBER(Plants!L11),N(Plants!S11)&gt;0,(TODAY()+6)&gt;=MAX(Plants!L11,TODAY()),MOD((TODAY()+6)-MAX(Plants!L11,TODAY()),MAX(1,N(Plants!S11)))=0),IF(AND(ISNUMBER(Plants!N11),N(Plants!H11)&gt;0,(TODAY()+6)&gt;=MAX(Plants!N11,TODAY()),MOD((TODAY()+6)-MAX(Plants!N11,TODAY()),MAX(1,N(Plants!H11)))=0),"Water, feed","Water"),IF(AND(ISNUMBER(Plants!N11),N(Plants!H11)&gt;0,(TODAY()+6)&gt;=MAX(Plants!N11,TODAY()),MOD((TODAY()+6)-MAX(Plants!N11,TODAY()),MAX(1,N(Plants!H11)))=0),"Feed",""))</f>
        <v/>
      </c>
      <c r="K11" s="1" t="n"/>
    </row>
    <row r="12">
      <c r="A12" s="1" t="n"/>
      <c r="B12" s="15">
        <f>IF(Plants!B12="","",Plants!B12)</f>
        <v/>
      </c>
      <c r="C12" s="16">
        <f>IF(Plants!B12="","",Plants!D12)</f>
        <v/>
      </c>
      <c r="D12" s="13">
        <f>IF(AND(ISNUMBER(Plants!L12),N(Plants!S12)&gt;0,(TODAY()+0)&gt;=MAX(Plants!L12,TODAY()),MOD((TODAY()+0)-MAX(Plants!L12,TODAY()),MAX(1,N(Plants!S12)))=0),IF(AND(ISNUMBER(Plants!N12),N(Plants!H12)&gt;0,(TODAY()+0)&gt;=MAX(Plants!N12,TODAY()),MOD((TODAY()+0)-MAX(Plants!N12,TODAY()),MAX(1,N(Plants!H12)))=0),"Water, feed","Water"),IF(AND(ISNUMBER(Plants!N12),N(Plants!H12)&gt;0,(TODAY()+0)&gt;=MAX(Plants!N12,TODAY()),MOD((TODAY()+0)-MAX(Plants!N12,TODAY()),MAX(1,N(Plants!H12)))=0),"Feed",""))</f>
        <v/>
      </c>
      <c r="E12" s="13">
        <f>IF(AND(ISNUMBER(Plants!L12),N(Plants!S12)&gt;0,(TODAY()+1)&gt;=MAX(Plants!L12,TODAY()),MOD((TODAY()+1)-MAX(Plants!L12,TODAY()),MAX(1,N(Plants!S12)))=0),IF(AND(ISNUMBER(Plants!N12),N(Plants!H12)&gt;0,(TODAY()+1)&gt;=MAX(Plants!N12,TODAY()),MOD((TODAY()+1)-MAX(Plants!N12,TODAY()),MAX(1,N(Plants!H12)))=0),"Water, feed","Water"),IF(AND(ISNUMBER(Plants!N12),N(Plants!H12)&gt;0,(TODAY()+1)&gt;=MAX(Plants!N12,TODAY()),MOD((TODAY()+1)-MAX(Plants!N12,TODAY()),MAX(1,N(Plants!H12)))=0),"Feed",""))</f>
        <v/>
      </c>
      <c r="F12" s="13">
        <f>IF(AND(ISNUMBER(Plants!L12),N(Plants!S12)&gt;0,(TODAY()+2)&gt;=MAX(Plants!L12,TODAY()),MOD((TODAY()+2)-MAX(Plants!L12,TODAY()),MAX(1,N(Plants!S12)))=0),IF(AND(ISNUMBER(Plants!N12),N(Plants!H12)&gt;0,(TODAY()+2)&gt;=MAX(Plants!N12,TODAY()),MOD((TODAY()+2)-MAX(Plants!N12,TODAY()),MAX(1,N(Plants!H12)))=0),"Water, feed","Water"),IF(AND(ISNUMBER(Plants!N12),N(Plants!H12)&gt;0,(TODAY()+2)&gt;=MAX(Plants!N12,TODAY()),MOD((TODAY()+2)-MAX(Plants!N12,TODAY()),MAX(1,N(Plants!H12)))=0),"Feed",""))</f>
        <v/>
      </c>
      <c r="G12" s="13">
        <f>IF(AND(ISNUMBER(Plants!L12),N(Plants!S12)&gt;0,(TODAY()+3)&gt;=MAX(Plants!L12,TODAY()),MOD((TODAY()+3)-MAX(Plants!L12,TODAY()),MAX(1,N(Plants!S12)))=0),IF(AND(ISNUMBER(Plants!N12),N(Plants!H12)&gt;0,(TODAY()+3)&gt;=MAX(Plants!N12,TODAY()),MOD((TODAY()+3)-MAX(Plants!N12,TODAY()),MAX(1,N(Plants!H12)))=0),"Water, feed","Water"),IF(AND(ISNUMBER(Plants!N12),N(Plants!H12)&gt;0,(TODAY()+3)&gt;=MAX(Plants!N12,TODAY()),MOD((TODAY()+3)-MAX(Plants!N12,TODAY()),MAX(1,N(Plants!H12)))=0),"Feed",""))</f>
        <v/>
      </c>
      <c r="H12" s="13">
        <f>IF(AND(ISNUMBER(Plants!L12),N(Plants!S12)&gt;0,(TODAY()+4)&gt;=MAX(Plants!L12,TODAY()),MOD((TODAY()+4)-MAX(Plants!L12,TODAY()),MAX(1,N(Plants!S12)))=0),IF(AND(ISNUMBER(Plants!N12),N(Plants!H12)&gt;0,(TODAY()+4)&gt;=MAX(Plants!N12,TODAY()),MOD((TODAY()+4)-MAX(Plants!N12,TODAY()),MAX(1,N(Plants!H12)))=0),"Water, feed","Water"),IF(AND(ISNUMBER(Plants!N12),N(Plants!H12)&gt;0,(TODAY()+4)&gt;=MAX(Plants!N12,TODAY()),MOD((TODAY()+4)-MAX(Plants!N12,TODAY()),MAX(1,N(Plants!H12)))=0),"Feed",""))</f>
        <v/>
      </c>
      <c r="I12" s="13">
        <f>IF(AND(ISNUMBER(Plants!L12),N(Plants!S12)&gt;0,(TODAY()+5)&gt;=MAX(Plants!L12,TODAY()),MOD((TODAY()+5)-MAX(Plants!L12,TODAY()),MAX(1,N(Plants!S12)))=0),IF(AND(ISNUMBER(Plants!N12),N(Plants!H12)&gt;0,(TODAY()+5)&gt;=MAX(Plants!N12,TODAY()),MOD((TODAY()+5)-MAX(Plants!N12,TODAY()),MAX(1,N(Plants!H12)))=0),"Water, feed","Water"),IF(AND(ISNUMBER(Plants!N12),N(Plants!H12)&gt;0,(TODAY()+5)&gt;=MAX(Plants!N12,TODAY()),MOD((TODAY()+5)-MAX(Plants!N12,TODAY()),MAX(1,N(Plants!H12)))=0),"Feed",""))</f>
        <v/>
      </c>
      <c r="J12" s="13">
        <f>IF(AND(ISNUMBER(Plants!L12),N(Plants!S12)&gt;0,(TODAY()+6)&gt;=MAX(Plants!L12,TODAY()),MOD((TODAY()+6)-MAX(Plants!L12,TODAY()),MAX(1,N(Plants!S12)))=0),IF(AND(ISNUMBER(Plants!N12),N(Plants!H12)&gt;0,(TODAY()+6)&gt;=MAX(Plants!N12,TODAY()),MOD((TODAY()+6)-MAX(Plants!N12,TODAY()),MAX(1,N(Plants!H12)))=0),"Water, feed","Water"),IF(AND(ISNUMBER(Plants!N12),N(Plants!H12)&gt;0,(TODAY()+6)&gt;=MAX(Plants!N12,TODAY()),MOD((TODAY()+6)-MAX(Plants!N12,TODAY()),MAX(1,N(Plants!H12)))=0),"Feed",""))</f>
        <v/>
      </c>
      <c r="K12" s="1" t="n"/>
    </row>
    <row r="13">
      <c r="A13" s="1" t="n"/>
      <c r="B13" s="15">
        <f>IF(Plants!B13="","",Plants!B13)</f>
        <v/>
      </c>
      <c r="C13" s="16">
        <f>IF(Plants!B13="","",Plants!D13)</f>
        <v/>
      </c>
      <c r="D13" s="13">
        <f>IF(AND(ISNUMBER(Plants!L13),N(Plants!S13)&gt;0,(TODAY()+0)&gt;=MAX(Plants!L13,TODAY()),MOD((TODAY()+0)-MAX(Plants!L13,TODAY()),MAX(1,N(Plants!S13)))=0),IF(AND(ISNUMBER(Plants!N13),N(Plants!H13)&gt;0,(TODAY()+0)&gt;=MAX(Plants!N13,TODAY()),MOD((TODAY()+0)-MAX(Plants!N13,TODAY()),MAX(1,N(Plants!H13)))=0),"Water, feed","Water"),IF(AND(ISNUMBER(Plants!N13),N(Plants!H13)&gt;0,(TODAY()+0)&gt;=MAX(Plants!N13,TODAY()),MOD((TODAY()+0)-MAX(Plants!N13,TODAY()),MAX(1,N(Plants!H13)))=0),"Feed",""))</f>
        <v/>
      </c>
      <c r="E13" s="13">
        <f>IF(AND(ISNUMBER(Plants!L13),N(Plants!S13)&gt;0,(TODAY()+1)&gt;=MAX(Plants!L13,TODAY()),MOD((TODAY()+1)-MAX(Plants!L13,TODAY()),MAX(1,N(Plants!S13)))=0),IF(AND(ISNUMBER(Plants!N13),N(Plants!H13)&gt;0,(TODAY()+1)&gt;=MAX(Plants!N13,TODAY()),MOD((TODAY()+1)-MAX(Plants!N13,TODAY()),MAX(1,N(Plants!H13)))=0),"Water, feed","Water"),IF(AND(ISNUMBER(Plants!N13),N(Plants!H13)&gt;0,(TODAY()+1)&gt;=MAX(Plants!N13,TODAY()),MOD((TODAY()+1)-MAX(Plants!N13,TODAY()),MAX(1,N(Plants!H13)))=0),"Feed",""))</f>
        <v/>
      </c>
      <c r="F13" s="13">
        <f>IF(AND(ISNUMBER(Plants!L13),N(Plants!S13)&gt;0,(TODAY()+2)&gt;=MAX(Plants!L13,TODAY()),MOD((TODAY()+2)-MAX(Plants!L13,TODAY()),MAX(1,N(Plants!S13)))=0),IF(AND(ISNUMBER(Plants!N13),N(Plants!H13)&gt;0,(TODAY()+2)&gt;=MAX(Plants!N13,TODAY()),MOD((TODAY()+2)-MAX(Plants!N13,TODAY()),MAX(1,N(Plants!H13)))=0),"Water, feed","Water"),IF(AND(ISNUMBER(Plants!N13),N(Plants!H13)&gt;0,(TODAY()+2)&gt;=MAX(Plants!N13,TODAY()),MOD((TODAY()+2)-MAX(Plants!N13,TODAY()),MAX(1,N(Plants!H13)))=0),"Feed",""))</f>
        <v/>
      </c>
      <c r="G13" s="13">
        <f>IF(AND(ISNUMBER(Plants!L13),N(Plants!S13)&gt;0,(TODAY()+3)&gt;=MAX(Plants!L13,TODAY()),MOD((TODAY()+3)-MAX(Plants!L13,TODAY()),MAX(1,N(Plants!S13)))=0),IF(AND(ISNUMBER(Plants!N13),N(Plants!H13)&gt;0,(TODAY()+3)&gt;=MAX(Plants!N13,TODAY()),MOD((TODAY()+3)-MAX(Plants!N13,TODAY()),MAX(1,N(Plants!H13)))=0),"Water, feed","Water"),IF(AND(ISNUMBER(Plants!N13),N(Plants!H13)&gt;0,(TODAY()+3)&gt;=MAX(Plants!N13,TODAY()),MOD((TODAY()+3)-MAX(Plants!N13,TODAY()),MAX(1,N(Plants!H13)))=0),"Feed",""))</f>
        <v/>
      </c>
      <c r="H13" s="13">
        <f>IF(AND(ISNUMBER(Plants!L13),N(Plants!S13)&gt;0,(TODAY()+4)&gt;=MAX(Plants!L13,TODAY()),MOD((TODAY()+4)-MAX(Plants!L13,TODAY()),MAX(1,N(Plants!S13)))=0),IF(AND(ISNUMBER(Plants!N13),N(Plants!H13)&gt;0,(TODAY()+4)&gt;=MAX(Plants!N13,TODAY()),MOD((TODAY()+4)-MAX(Plants!N13,TODAY()),MAX(1,N(Plants!H13)))=0),"Water, feed","Water"),IF(AND(ISNUMBER(Plants!N13),N(Plants!H13)&gt;0,(TODAY()+4)&gt;=MAX(Plants!N13,TODAY()),MOD((TODAY()+4)-MAX(Plants!N13,TODAY()),MAX(1,N(Plants!H13)))=0),"Feed",""))</f>
        <v/>
      </c>
      <c r="I13" s="13">
        <f>IF(AND(ISNUMBER(Plants!L13),N(Plants!S13)&gt;0,(TODAY()+5)&gt;=MAX(Plants!L13,TODAY()),MOD((TODAY()+5)-MAX(Plants!L13,TODAY()),MAX(1,N(Plants!S13)))=0),IF(AND(ISNUMBER(Plants!N13),N(Plants!H13)&gt;0,(TODAY()+5)&gt;=MAX(Plants!N13,TODAY()),MOD((TODAY()+5)-MAX(Plants!N13,TODAY()),MAX(1,N(Plants!H13)))=0),"Water, feed","Water"),IF(AND(ISNUMBER(Plants!N13),N(Plants!H13)&gt;0,(TODAY()+5)&gt;=MAX(Plants!N13,TODAY()),MOD((TODAY()+5)-MAX(Plants!N13,TODAY()),MAX(1,N(Plants!H13)))=0),"Feed",""))</f>
        <v/>
      </c>
      <c r="J13" s="13">
        <f>IF(AND(ISNUMBER(Plants!L13),N(Plants!S13)&gt;0,(TODAY()+6)&gt;=MAX(Plants!L13,TODAY()),MOD((TODAY()+6)-MAX(Plants!L13,TODAY()),MAX(1,N(Plants!S13)))=0),IF(AND(ISNUMBER(Plants!N13),N(Plants!H13)&gt;0,(TODAY()+6)&gt;=MAX(Plants!N13,TODAY()),MOD((TODAY()+6)-MAX(Plants!N13,TODAY()),MAX(1,N(Plants!H13)))=0),"Water, feed","Water"),IF(AND(ISNUMBER(Plants!N13),N(Plants!H13)&gt;0,(TODAY()+6)&gt;=MAX(Plants!N13,TODAY()),MOD((TODAY()+6)-MAX(Plants!N13,TODAY()),MAX(1,N(Plants!H13)))=0),"Feed",""))</f>
        <v/>
      </c>
      <c r="K13" s="1" t="n"/>
    </row>
    <row r="14">
      <c r="A14" s="1" t="n"/>
      <c r="B14" s="15">
        <f>IF(Plants!B14="","",Plants!B14)</f>
        <v/>
      </c>
      <c r="C14" s="16">
        <f>IF(Plants!B14="","",Plants!D14)</f>
        <v/>
      </c>
      <c r="D14" s="13">
        <f>IF(AND(ISNUMBER(Plants!L14),N(Plants!S14)&gt;0,(TODAY()+0)&gt;=MAX(Plants!L14,TODAY()),MOD((TODAY()+0)-MAX(Plants!L14,TODAY()),MAX(1,N(Plants!S14)))=0),IF(AND(ISNUMBER(Plants!N14),N(Plants!H14)&gt;0,(TODAY()+0)&gt;=MAX(Plants!N14,TODAY()),MOD((TODAY()+0)-MAX(Plants!N14,TODAY()),MAX(1,N(Plants!H14)))=0),"Water, feed","Water"),IF(AND(ISNUMBER(Plants!N14),N(Plants!H14)&gt;0,(TODAY()+0)&gt;=MAX(Plants!N14,TODAY()),MOD((TODAY()+0)-MAX(Plants!N14,TODAY()),MAX(1,N(Plants!H14)))=0),"Feed",""))</f>
        <v/>
      </c>
      <c r="E14" s="13">
        <f>IF(AND(ISNUMBER(Plants!L14),N(Plants!S14)&gt;0,(TODAY()+1)&gt;=MAX(Plants!L14,TODAY()),MOD((TODAY()+1)-MAX(Plants!L14,TODAY()),MAX(1,N(Plants!S14)))=0),IF(AND(ISNUMBER(Plants!N14),N(Plants!H14)&gt;0,(TODAY()+1)&gt;=MAX(Plants!N14,TODAY()),MOD((TODAY()+1)-MAX(Plants!N14,TODAY()),MAX(1,N(Plants!H14)))=0),"Water, feed","Water"),IF(AND(ISNUMBER(Plants!N14),N(Plants!H14)&gt;0,(TODAY()+1)&gt;=MAX(Plants!N14,TODAY()),MOD((TODAY()+1)-MAX(Plants!N14,TODAY()),MAX(1,N(Plants!H14)))=0),"Feed",""))</f>
        <v/>
      </c>
      <c r="F14" s="13">
        <f>IF(AND(ISNUMBER(Plants!L14),N(Plants!S14)&gt;0,(TODAY()+2)&gt;=MAX(Plants!L14,TODAY()),MOD((TODAY()+2)-MAX(Plants!L14,TODAY()),MAX(1,N(Plants!S14)))=0),IF(AND(ISNUMBER(Plants!N14),N(Plants!H14)&gt;0,(TODAY()+2)&gt;=MAX(Plants!N14,TODAY()),MOD((TODAY()+2)-MAX(Plants!N14,TODAY()),MAX(1,N(Plants!H14)))=0),"Water, feed","Water"),IF(AND(ISNUMBER(Plants!N14),N(Plants!H14)&gt;0,(TODAY()+2)&gt;=MAX(Plants!N14,TODAY()),MOD((TODAY()+2)-MAX(Plants!N14,TODAY()),MAX(1,N(Plants!H14)))=0),"Feed",""))</f>
        <v/>
      </c>
      <c r="G14" s="13">
        <f>IF(AND(ISNUMBER(Plants!L14),N(Plants!S14)&gt;0,(TODAY()+3)&gt;=MAX(Plants!L14,TODAY()),MOD((TODAY()+3)-MAX(Plants!L14,TODAY()),MAX(1,N(Plants!S14)))=0),IF(AND(ISNUMBER(Plants!N14),N(Plants!H14)&gt;0,(TODAY()+3)&gt;=MAX(Plants!N14,TODAY()),MOD((TODAY()+3)-MAX(Plants!N14,TODAY()),MAX(1,N(Plants!H14)))=0),"Water, feed","Water"),IF(AND(ISNUMBER(Plants!N14),N(Plants!H14)&gt;0,(TODAY()+3)&gt;=MAX(Plants!N14,TODAY()),MOD((TODAY()+3)-MAX(Plants!N14,TODAY()),MAX(1,N(Plants!H14)))=0),"Feed",""))</f>
        <v/>
      </c>
      <c r="H14" s="13">
        <f>IF(AND(ISNUMBER(Plants!L14),N(Plants!S14)&gt;0,(TODAY()+4)&gt;=MAX(Plants!L14,TODAY()),MOD((TODAY()+4)-MAX(Plants!L14,TODAY()),MAX(1,N(Plants!S14)))=0),IF(AND(ISNUMBER(Plants!N14),N(Plants!H14)&gt;0,(TODAY()+4)&gt;=MAX(Plants!N14,TODAY()),MOD((TODAY()+4)-MAX(Plants!N14,TODAY()),MAX(1,N(Plants!H14)))=0),"Water, feed","Water"),IF(AND(ISNUMBER(Plants!N14),N(Plants!H14)&gt;0,(TODAY()+4)&gt;=MAX(Plants!N14,TODAY()),MOD((TODAY()+4)-MAX(Plants!N14,TODAY()),MAX(1,N(Plants!H14)))=0),"Feed",""))</f>
        <v/>
      </c>
      <c r="I14" s="13">
        <f>IF(AND(ISNUMBER(Plants!L14),N(Plants!S14)&gt;0,(TODAY()+5)&gt;=MAX(Plants!L14,TODAY()),MOD((TODAY()+5)-MAX(Plants!L14,TODAY()),MAX(1,N(Plants!S14)))=0),IF(AND(ISNUMBER(Plants!N14),N(Plants!H14)&gt;0,(TODAY()+5)&gt;=MAX(Plants!N14,TODAY()),MOD((TODAY()+5)-MAX(Plants!N14,TODAY()),MAX(1,N(Plants!H14)))=0),"Water, feed","Water"),IF(AND(ISNUMBER(Plants!N14),N(Plants!H14)&gt;0,(TODAY()+5)&gt;=MAX(Plants!N14,TODAY()),MOD((TODAY()+5)-MAX(Plants!N14,TODAY()),MAX(1,N(Plants!H14)))=0),"Feed",""))</f>
        <v/>
      </c>
      <c r="J14" s="13">
        <f>IF(AND(ISNUMBER(Plants!L14),N(Plants!S14)&gt;0,(TODAY()+6)&gt;=MAX(Plants!L14,TODAY()),MOD((TODAY()+6)-MAX(Plants!L14,TODAY()),MAX(1,N(Plants!S14)))=0),IF(AND(ISNUMBER(Plants!N14),N(Plants!H14)&gt;0,(TODAY()+6)&gt;=MAX(Plants!N14,TODAY()),MOD((TODAY()+6)-MAX(Plants!N14,TODAY()),MAX(1,N(Plants!H14)))=0),"Water, feed","Water"),IF(AND(ISNUMBER(Plants!N14),N(Plants!H14)&gt;0,(TODAY()+6)&gt;=MAX(Plants!N14,TODAY()),MOD((TODAY()+6)-MAX(Plants!N14,TODAY()),MAX(1,N(Plants!H14)))=0),"Feed",""))</f>
        <v/>
      </c>
      <c r="K14" s="1" t="n"/>
    </row>
    <row r="15">
      <c r="A15" s="1" t="n"/>
      <c r="B15" s="15">
        <f>IF(Plants!B15="","",Plants!B15)</f>
        <v/>
      </c>
      <c r="C15" s="16">
        <f>IF(Plants!B15="","",Plants!D15)</f>
        <v/>
      </c>
      <c r="D15" s="13">
        <f>IF(AND(ISNUMBER(Plants!L15),N(Plants!S15)&gt;0,(TODAY()+0)&gt;=MAX(Plants!L15,TODAY()),MOD((TODAY()+0)-MAX(Plants!L15,TODAY()),MAX(1,N(Plants!S15)))=0),IF(AND(ISNUMBER(Plants!N15),N(Plants!H15)&gt;0,(TODAY()+0)&gt;=MAX(Plants!N15,TODAY()),MOD((TODAY()+0)-MAX(Plants!N15,TODAY()),MAX(1,N(Plants!H15)))=0),"Water, feed","Water"),IF(AND(ISNUMBER(Plants!N15),N(Plants!H15)&gt;0,(TODAY()+0)&gt;=MAX(Plants!N15,TODAY()),MOD((TODAY()+0)-MAX(Plants!N15,TODAY()),MAX(1,N(Plants!H15)))=0),"Feed",""))</f>
        <v/>
      </c>
      <c r="E15" s="13">
        <f>IF(AND(ISNUMBER(Plants!L15),N(Plants!S15)&gt;0,(TODAY()+1)&gt;=MAX(Plants!L15,TODAY()),MOD((TODAY()+1)-MAX(Plants!L15,TODAY()),MAX(1,N(Plants!S15)))=0),IF(AND(ISNUMBER(Plants!N15),N(Plants!H15)&gt;0,(TODAY()+1)&gt;=MAX(Plants!N15,TODAY()),MOD((TODAY()+1)-MAX(Plants!N15,TODAY()),MAX(1,N(Plants!H15)))=0),"Water, feed","Water"),IF(AND(ISNUMBER(Plants!N15),N(Plants!H15)&gt;0,(TODAY()+1)&gt;=MAX(Plants!N15,TODAY()),MOD((TODAY()+1)-MAX(Plants!N15,TODAY()),MAX(1,N(Plants!H15)))=0),"Feed",""))</f>
        <v/>
      </c>
      <c r="F15" s="13">
        <f>IF(AND(ISNUMBER(Plants!L15),N(Plants!S15)&gt;0,(TODAY()+2)&gt;=MAX(Plants!L15,TODAY()),MOD((TODAY()+2)-MAX(Plants!L15,TODAY()),MAX(1,N(Plants!S15)))=0),IF(AND(ISNUMBER(Plants!N15),N(Plants!H15)&gt;0,(TODAY()+2)&gt;=MAX(Plants!N15,TODAY()),MOD((TODAY()+2)-MAX(Plants!N15,TODAY()),MAX(1,N(Plants!H15)))=0),"Water, feed","Water"),IF(AND(ISNUMBER(Plants!N15),N(Plants!H15)&gt;0,(TODAY()+2)&gt;=MAX(Plants!N15,TODAY()),MOD((TODAY()+2)-MAX(Plants!N15,TODAY()),MAX(1,N(Plants!H15)))=0),"Feed",""))</f>
        <v/>
      </c>
      <c r="G15" s="13">
        <f>IF(AND(ISNUMBER(Plants!L15),N(Plants!S15)&gt;0,(TODAY()+3)&gt;=MAX(Plants!L15,TODAY()),MOD((TODAY()+3)-MAX(Plants!L15,TODAY()),MAX(1,N(Plants!S15)))=0),IF(AND(ISNUMBER(Plants!N15),N(Plants!H15)&gt;0,(TODAY()+3)&gt;=MAX(Plants!N15,TODAY()),MOD((TODAY()+3)-MAX(Plants!N15,TODAY()),MAX(1,N(Plants!H15)))=0),"Water, feed","Water"),IF(AND(ISNUMBER(Plants!N15),N(Plants!H15)&gt;0,(TODAY()+3)&gt;=MAX(Plants!N15,TODAY()),MOD((TODAY()+3)-MAX(Plants!N15,TODAY()),MAX(1,N(Plants!H15)))=0),"Feed",""))</f>
        <v/>
      </c>
      <c r="H15" s="13">
        <f>IF(AND(ISNUMBER(Plants!L15),N(Plants!S15)&gt;0,(TODAY()+4)&gt;=MAX(Plants!L15,TODAY()),MOD((TODAY()+4)-MAX(Plants!L15,TODAY()),MAX(1,N(Plants!S15)))=0),IF(AND(ISNUMBER(Plants!N15),N(Plants!H15)&gt;0,(TODAY()+4)&gt;=MAX(Plants!N15,TODAY()),MOD((TODAY()+4)-MAX(Plants!N15,TODAY()),MAX(1,N(Plants!H15)))=0),"Water, feed","Water"),IF(AND(ISNUMBER(Plants!N15),N(Plants!H15)&gt;0,(TODAY()+4)&gt;=MAX(Plants!N15,TODAY()),MOD((TODAY()+4)-MAX(Plants!N15,TODAY()),MAX(1,N(Plants!H15)))=0),"Feed",""))</f>
        <v/>
      </c>
      <c r="I15" s="13">
        <f>IF(AND(ISNUMBER(Plants!L15),N(Plants!S15)&gt;0,(TODAY()+5)&gt;=MAX(Plants!L15,TODAY()),MOD((TODAY()+5)-MAX(Plants!L15,TODAY()),MAX(1,N(Plants!S15)))=0),IF(AND(ISNUMBER(Plants!N15),N(Plants!H15)&gt;0,(TODAY()+5)&gt;=MAX(Plants!N15,TODAY()),MOD((TODAY()+5)-MAX(Plants!N15,TODAY()),MAX(1,N(Plants!H15)))=0),"Water, feed","Water"),IF(AND(ISNUMBER(Plants!N15),N(Plants!H15)&gt;0,(TODAY()+5)&gt;=MAX(Plants!N15,TODAY()),MOD((TODAY()+5)-MAX(Plants!N15,TODAY()),MAX(1,N(Plants!H15)))=0),"Feed",""))</f>
        <v/>
      </c>
      <c r="J15" s="13">
        <f>IF(AND(ISNUMBER(Plants!L15),N(Plants!S15)&gt;0,(TODAY()+6)&gt;=MAX(Plants!L15,TODAY()),MOD((TODAY()+6)-MAX(Plants!L15,TODAY()),MAX(1,N(Plants!S15)))=0),IF(AND(ISNUMBER(Plants!N15),N(Plants!H15)&gt;0,(TODAY()+6)&gt;=MAX(Plants!N15,TODAY()),MOD((TODAY()+6)-MAX(Plants!N15,TODAY()),MAX(1,N(Plants!H15)))=0),"Water, feed","Water"),IF(AND(ISNUMBER(Plants!N15),N(Plants!H15)&gt;0,(TODAY()+6)&gt;=MAX(Plants!N15,TODAY()),MOD((TODAY()+6)-MAX(Plants!N15,TODAY()),MAX(1,N(Plants!H15)))=0),"Feed",""))</f>
        <v/>
      </c>
      <c r="K15" s="1" t="n"/>
    </row>
    <row r="16">
      <c r="A16" s="1" t="n"/>
      <c r="B16" s="15">
        <f>IF(Plants!B16="","",Plants!B16)</f>
        <v/>
      </c>
      <c r="C16" s="16">
        <f>IF(Plants!B16="","",Plants!D16)</f>
        <v/>
      </c>
      <c r="D16" s="13">
        <f>IF(AND(ISNUMBER(Plants!L16),N(Plants!S16)&gt;0,(TODAY()+0)&gt;=MAX(Plants!L16,TODAY()),MOD((TODAY()+0)-MAX(Plants!L16,TODAY()),MAX(1,N(Plants!S16)))=0),IF(AND(ISNUMBER(Plants!N16),N(Plants!H16)&gt;0,(TODAY()+0)&gt;=MAX(Plants!N16,TODAY()),MOD((TODAY()+0)-MAX(Plants!N16,TODAY()),MAX(1,N(Plants!H16)))=0),"Water, feed","Water"),IF(AND(ISNUMBER(Plants!N16),N(Plants!H16)&gt;0,(TODAY()+0)&gt;=MAX(Plants!N16,TODAY()),MOD((TODAY()+0)-MAX(Plants!N16,TODAY()),MAX(1,N(Plants!H16)))=0),"Feed",""))</f>
        <v/>
      </c>
      <c r="E16" s="13">
        <f>IF(AND(ISNUMBER(Plants!L16),N(Plants!S16)&gt;0,(TODAY()+1)&gt;=MAX(Plants!L16,TODAY()),MOD((TODAY()+1)-MAX(Plants!L16,TODAY()),MAX(1,N(Plants!S16)))=0),IF(AND(ISNUMBER(Plants!N16),N(Plants!H16)&gt;0,(TODAY()+1)&gt;=MAX(Plants!N16,TODAY()),MOD((TODAY()+1)-MAX(Plants!N16,TODAY()),MAX(1,N(Plants!H16)))=0),"Water, feed","Water"),IF(AND(ISNUMBER(Plants!N16),N(Plants!H16)&gt;0,(TODAY()+1)&gt;=MAX(Plants!N16,TODAY()),MOD((TODAY()+1)-MAX(Plants!N16,TODAY()),MAX(1,N(Plants!H16)))=0),"Feed",""))</f>
        <v/>
      </c>
      <c r="F16" s="13">
        <f>IF(AND(ISNUMBER(Plants!L16),N(Plants!S16)&gt;0,(TODAY()+2)&gt;=MAX(Plants!L16,TODAY()),MOD((TODAY()+2)-MAX(Plants!L16,TODAY()),MAX(1,N(Plants!S16)))=0),IF(AND(ISNUMBER(Plants!N16),N(Plants!H16)&gt;0,(TODAY()+2)&gt;=MAX(Plants!N16,TODAY()),MOD((TODAY()+2)-MAX(Plants!N16,TODAY()),MAX(1,N(Plants!H16)))=0),"Water, feed","Water"),IF(AND(ISNUMBER(Plants!N16),N(Plants!H16)&gt;0,(TODAY()+2)&gt;=MAX(Plants!N16,TODAY()),MOD((TODAY()+2)-MAX(Plants!N16,TODAY()),MAX(1,N(Plants!H16)))=0),"Feed",""))</f>
        <v/>
      </c>
      <c r="G16" s="13">
        <f>IF(AND(ISNUMBER(Plants!L16),N(Plants!S16)&gt;0,(TODAY()+3)&gt;=MAX(Plants!L16,TODAY()),MOD((TODAY()+3)-MAX(Plants!L16,TODAY()),MAX(1,N(Plants!S16)))=0),IF(AND(ISNUMBER(Plants!N16),N(Plants!H16)&gt;0,(TODAY()+3)&gt;=MAX(Plants!N16,TODAY()),MOD((TODAY()+3)-MAX(Plants!N16,TODAY()),MAX(1,N(Plants!H16)))=0),"Water, feed","Water"),IF(AND(ISNUMBER(Plants!N16),N(Plants!H16)&gt;0,(TODAY()+3)&gt;=MAX(Plants!N16,TODAY()),MOD((TODAY()+3)-MAX(Plants!N16,TODAY()),MAX(1,N(Plants!H16)))=0),"Feed",""))</f>
        <v/>
      </c>
      <c r="H16" s="13">
        <f>IF(AND(ISNUMBER(Plants!L16),N(Plants!S16)&gt;0,(TODAY()+4)&gt;=MAX(Plants!L16,TODAY()),MOD((TODAY()+4)-MAX(Plants!L16,TODAY()),MAX(1,N(Plants!S16)))=0),IF(AND(ISNUMBER(Plants!N16),N(Plants!H16)&gt;0,(TODAY()+4)&gt;=MAX(Plants!N16,TODAY()),MOD((TODAY()+4)-MAX(Plants!N16,TODAY()),MAX(1,N(Plants!H16)))=0),"Water, feed","Water"),IF(AND(ISNUMBER(Plants!N16),N(Plants!H16)&gt;0,(TODAY()+4)&gt;=MAX(Plants!N16,TODAY()),MOD((TODAY()+4)-MAX(Plants!N16,TODAY()),MAX(1,N(Plants!H16)))=0),"Feed",""))</f>
        <v/>
      </c>
      <c r="I16" s="13">
        <f>IF(AND(ISNUMBER(Plants!L16),N(Plants!S16)&gt;0,(TODAY()+5)&gt;=MAX(Plants!L16,TODAY()),MOD((TODAY()+5)-MAX(Plants!L16,TODAY()),MAX(1,N(Plants!S16)))=0),IF(AND(ISNUMBER(Plants!N16),N(Plants!H16)&gt;0,(TODAY()+5)&gt;=MAX(Plants!N16,TODAY()),MOD((TODAY()+5)-MAX(Plants!N16,TODAY()),MAX(1,N(Plants!H16)))=0),"Water, feed","Water"),IF(AND(ISNUMBER(Plants!N16),N(Plants!H16)&gt;0,(TODAY()+5)&gt;=MAX(Plants!N16,TODAY()),MOD((TODAY()+5)-MAX(Plants!N16,TODAY()),MAX(1,N(Plants!H16)))=0),"Feed",""))</f>
        <v/>
      </c>
      <c r="J16" s="13">
        <f>IF(AND(ISNUMBER(Plants!L16),N(Plants!S16)&gt;0,(TODAY()+6)&gt;=MAX(Plants!L16,TODAY()),MOD((TODAY()+6)-MAX(Plants!L16,TODAY()),MAX(1,N(Plants!S16)))=0),IF(AND(ISNUMBER(Plants!N16),N(Plants!H16)&gt;0,(TODAY()+6)&gt;=MAX(Plants!N16,TODAY()),MOD((TODAY()+6)-MAX(Plants!N16,TODAY()),MAX(1,N(Plants!H16)))=0),"Water, feed","Water"),IF(AND(ISNUMBER(Plants!N16),N(Plants!H16)&gt;0,(TODAY()+6)&gt;=MAX(Plants!N16,TODAY()),MOD((TODAY()+6)-MAX(Plants!N16,TODAY()),MAX(1,N(Plants!H16)))=0),"Feed",""))</f>
        <v/>
      </c>
      <c r="K16" s="1" t="n"/>
    </row>
    <row r="17">
      <c r="A17" s="1" t="n"/>
      <c r="B17" s="15">
        <f>IF(Plants!B17="","",Plants!B17)</f>
        <v/>
      </c>
      <c r="C17" s="16">
        <f>IF(Plants!B17="","",Plants!D17)</f>
        <v/>
      </c>
      <c r="D17" s="13">
        <f>IF(AND(ISNUMBER(Plants!L17),N(Plants!S17)&gt;0,(TODAY()+0)&gt;=MAX(Plants!L17,TODAY()),MOD((TODAY()+0)-MAX(Plants!L17,TODAY()),MAX(1,N(Plants!S17)))=0),IF(AND(ISNUMBER(Plants!N17),N(Plants!H17)&gt;0,(TODAY()+0)&gt;=MAX(Plants!N17,TODAY()),MOD((TODAY()+0)-MAX(Plants!N17,TODAY()),MAX(1,N(Plants!H17)))=0),"Water, feed","Water"),IF(AND(ISNUMBER(Plants!N17),N(Plants!H17)&gt;0,(TODAY()+0)&gt;=MAX(Plants!N17,TODAY()),MOD((TODAY()+0)-MAX(Plants!N17,TODAY()),MAX(1,N(Plants!H17)))=0),"Feed",""))</f>
        <v/>
      </c>
      <c r="E17" s="13">
        <f>IF(AND(ISNUMBER(Plants!L17),N(Plants!S17)&gt;0,(TODAY()+1)&gt;=MAX(Plants!L17,TODAY()),MOD((TODAY()+1)-MAX(Plants!L17,TODAY()),MAX(1,N(Plants!S17)))=0),IF(AND(ISNUMBER(Plants!N17),N(Plants!H17)&gt;0,(TODAY()+1)&gt;=MAX(Plants!N17,TODAY()),MOD((TODAY()+1)-MAX(Plants!N17,TODAY()),MAX(1,N(Plants!H17)))=0),"Water, feed","Water"),IF(AND(ISNUMBER(Plants!N17),N(Plants!H17)&gt;0,(TODAY()+1)&gt;=MAX(Plants!N17,TODAY()),MOD((TODAY()+1)-MAX(Plants!N17,TODAY()),MAX(1,N(Plants!H17)))=0),"Feed",""))</f>
        <v/>
      </c>
      <c r="F17" s="13">
        <f>IF(AND(ISNUMBER(Plants!L17),N(Plants!S17)&gt;0,(TODAY()+2)&gt;=MAX(Plants!L17,TODAY()),MOD((TODAY()+2)-MAX(Plants!L17,TODAY()),MAX(1,N(Plants!S17)))=0),IF(AND(ISNUMBER(Plants!N17),N(Plants!H17)&gt;0,(TODAY()+2)&gt;=MAX(Plants!N17,TODAY()),MOD((TODAY()+2)-MAX(Plants!N17,TODAY()),MAX(1,N(Plants!H17)))=0),"Water, feed","Water"),IF(AND(ISNUMBER(Plants!N17),N(Plants!H17)&gt;0,(TODAY()+2)&gt;=MAX(Plants!N17,TODAY()),MOD((TODAY()+2)-MAX(Plants!N17,TODAY()),MAX(1,N(Plants!H17)))=0),"Feed",""))</f>
        <v/>
      </c>
      <c r="G17" s="13">
        <f>IF(AND(ISNUMBER(Plants!L17),N(Plants!S17)&gt;0,(TODAY()+3)&gt;=MAX(Plants!L17,TODAY()),MOD((TODAY()+3)-MAX(Plants!L17,TODAY()),MAX(1,N(Plants!S17)))=0),IF(AND(ISNUMBER(Plants!N17),N(Plants!H17)&gt;0,(TODAY()+3)&gt;=MAX(Plants!N17,TODAY()),MOD((TODAY()+3)-MAX(Plants!N17,TODAY()),MAX(1,N(Plants!H17)))=0),"Water, feed","Water"),IF(AND(ISNUMBER(Plants!N17),N(Plants!H17)&gt;0,(TODAY()+3)&gt;=MAX(Plants!N17,TODAY()),MOD((TODAY()+3)-MAX(Plants!N17,TODAY()),MAX(1,N(Plants!H17)))=0),"Feed",""))</f>
        <v/>
      </c>
      <c r="H17" s="13">
        <f>IF(AND(ISNUMBER(Plants!L17),N(Plants!S17)&gt;0,(TODAY()+4)&gt;=MAX(Plants!L17,TODAY()),MOD((TODAY()+4)-MAX(Plants!L17,TODAY()),MAX(1,N(Plants!S17)))=0),IF(AND(ISNUMBER(Plants!N17),N(Plants!H17)&gt;0,(TODAY()+4)&gt;=MAX(Plants!N17,TODAY()),MOD((TODAY()+4)-MAX(Plants!N17,TODAY()),MAX(1,N(Plants!H17)))=0),"Water, feed","Water"),IF(AND(ISNUMBER(Plants!N17),N(Plants!H17)&gt;0,(TODAY()+4)&gt;=MAX(Plants!N17,TODAY()),MOD((TODAY()+4)-MAX(Plants!N17,TODAY()),MAX(1,N(Plants!H17)))=0),"Feed",""))</f>
        <v/>
      </c>
      <c r="I17" s="13">
        <f>IF(AND(ISNUMBER(Plants!L17),N(Plants!S17)&gt;0,(TODAY()+5)&gt;=MAX(Plants!L17,TODAY()),MOD((TODAY()+5)-MAX(Plants!L17,TODAY()),MAX(1,N(Plants!S17)))=0),IF(AND(ISNUMBER(Plants!N17),N(Plants!H17)&gt;0,(TODAY()+5)&gt;=MAX(Plants!N17,TODAY()),MOD((TODAY()+5)-MAX(Plants!N17,TODAY()),MAX(1,N(Plants!H17)))=0),"Water, feed","Water"),IF(AND(ISNUMBER(Plants!N17),N(Plants!H17)&gt;0,(TODAY()+5)&gt;=MAX(Plants!N17,TODAY()),MOD((TODAY()+5)-MAX(Plants!N17,TODAY()),MAX(1,N(Plants!H17)))=0),"Feed",""))</f>
        <v/>
      </c>
      <c r="J17" s="13">
        <f>IF(AND(ISNUMBER(Plants!L17),N(Plants!S17)&gt;0,(TODAY()+6)&gt;=MAX(Plants!L17,TODAY()),MOD((TODAY()+6)-MAX(Plants!L17,TODAY()),MAX(1,N(Plants!S17)))=0),IF(AND(ISNUMBER(Plants!N17),N(Plants!H17)&gt;0,(TODAY()+6)&gt;=MAX(Plants!N17,TODAY()),MOD((TODAY()+6)-MAX(Plants!N17,TODAY()),MAX(1,N(Plants!H17)))=0),"Water, feed","Water"),IF(AND(ISNUMBER(Plants!N17),N(Plants!H17)&gt;0,(TODAY()+6)&gt;=MAX(Plants!N17,TODAY()),MOD((TODAY()+6)-MAX(Plants!N17,TODAY()),MAX(1,N(Plants!H17)))=0),"Feed",""))</f>
        <v/>
      </c>
      <c r="K17" s="1" t="n"/>
    </row>
    <row r="18">
      <c r="A18" s="1" t="n"/>
      <c r="B18" s="15">
        <f>IF(Plants!B18="","",Plants!B18)</f>
        <v/>
      </c>
      <c r="C18" s="16">
        <f>IF(Plants!B18="","",Plants!D18)</f>
        <v/>
      </c>
      <c r="D18" s="13">
        <f>IF(AND(ISNUMBER(Plants!L18),N(Plants!S18)&gt;0,(TODAY()+0)&gt;=MAX(Plants!L18,TODAY()),MOD((TODAY()+0)-MAX(Plants!L18,TODAY()),MAX(1,N(Plants!S18)))=0),IF(AND(ISNUMBER(Plants!N18),N(Plants!H18)&gt;0,(TODAY()+0)&gt;=MAX(Plants!N18,TODAY()),MOD((TODAY()+0)-MAX(Plants!N18,TODAY()),MAX(1,N(Plants!H18)))=0),"Water, feed","Water"),IF(AND(ISNUMBER(Plants!N18),N(Plants!H18)&gt;0,(TODAY()+0)&gt;=MAX(Plants!N18,TODAY()),MOD((TODAY()+0)-MAX(Plants!N18,TODAY()),MAX(1,N(Plants!H18)))=0),"Feed",""))</f>
        <v/>
      </c>
      <c r="E18" s="13">
        <f>IF(AND(ISNUMBER(Plants!L18),N(Plants!S18)&gt;0,(TODAY()+1)&gt;=MAX(Plants!L18,TODAY()),MOD((TODAY()+1)-MAX(Plants!L18,TODAY()),MAX(1,N(Plants!S18)))=0),IF(AND(ISNUMBER(Plants!N18),N(Plants!H18)&gt;0,(TODAY()+1)&gt;=MAX(Plants!N18,TODAY()),MOD((TODAY()+1)-MAX(Plants!N18,TODAY()),MAX(1,N(Plants!H18)))=0),"Water, feed","Water"),IF(AND(ISNUMBER(Plants!N18),N(Plants!H18)&gt;0,(TODAY()+1)&gt;=MAX(Plants!N18,TODAY()),MOD((TODAY()+1)-MAX(Plants!N18,TODAY()),MAX(1,N(Plants!H18)))=0),"Feed",""))</f>
        <v/>
      </c>
      <c r="F18" s="13">
        <f>IF(AND(ISNUMBER(Plants!L18),N(Plants!S18)&gt;0,(TODAY()+2)&gt;=MAX(Plants!L18,TODAY()),MOD((TODAY()+2)-MAX(Plants!L18,TODAY()),MAX(1,N(Plants!S18)))=0),IF(AND(ISNUMBER(Plants!N18),N(Plants!H18)&gt;0,(TODAY()+2)&gt;=MAX(Plants!N18,TODAY()),MOD((TODAY()+2)-MAX(Plants!N18,TODAY()),MAX(1,N(Plants!H18)))=0),"Water, feed","Water"),IF(AND(ISNUMBER(Plants!N18),N(Plants!H18)&gt;0,(TODAY()+2)&gt;=MAX(Plants!N18,TODAY()),MOD((TODAY()+2)-MAX(Plants!N18,TODAY()),MAX(1,N(Plants!H18)))=0),"Feed",""))</f>
        <v/>
      </c>
      <c r="G18" s="13">
        <f>IF(AND(ISNUMBER(Plants!L18),N(Plants!S18)&gt;0,(TODAY()+3)&gt;=MAX(Plants!L18,TODAY()),MOD((TODAY()+3)-MAX(Plants!L18,TODAY()),MAX(1,N(Plants!S18)))=0),IF(AND(ISNUMBER(Plants!N18),N(Plants!H18)&gt;0,(TODAY()+3)&gt;=MAX(Plants!N18,TODAY()),MOD((TODAY()+3)-MAX(Plants!N18,TODAY()),MAX(1,N(Plants!H18)))=0),"Water, feed","Water"),IF(AND(ISNUMBER(Plants!N18),N(Plants!H18)&gt;0,(TODAY()+3)&gt;=MAX(Plants!N18,TODAY()),MOD((TODAY()+3)-MAX(Plants!N18,TODAY()),MAX(1,N(Plants!H18)))=0),"Feed",""))</f>
        <v/>
      </c>
      <c r="H18" s="13">
        <f>IF(AND(ISNUMBER(Plants!L18),N(Plants!S18)&gt;0,(TODAY()+4)&gt;=MAX(Plants!L18,TODAY()),MOD((TODAY()+4)-MAX(Plants!L18,TODAY()),MAX(1,N(Plants!S18)))=0),IF(AND(ISNUMBER(Plants!N18),N(Plants!H18)&gt;0,(TODAY()+4)&gt;=MAX(Plants!N18,TODAY()),MOD((TODAY()+4)-MAX(Plants!N18,TODAY()),MAX(1,N(Plants!H18)))=0),"Water, feed","Water"),IF(AND(ISNUMBER(Plants!N18),N(Plants!H18)&gt;0,(TODAY()+4)&gt;=MAX(Plants!N18,TODAY()),MOD((TODAY()+4)-MAX(Plants!N18,TODAY()),MAX(1,N(Plants!H18)))=0),"Feed",""))</f>
        <v/>
      </c>
      <c r="I18" s="13">
        <f>IF(AND(ISNUMBER(Plants!L18),N(Plants!S18)&gt;0,(TODAY()+5)&gt;=MAX(Plants!L18,TODAY()),MOD((TODAY()+5)-MAX(Plants!L18,TODAY()),MAX(1,N(Plants!S18)))=0),IF(AND(ISNUMBER(Plants!N18),N(Plants!H18)&gt;0,(TODAY()+5)&gt;=MAX(Plants!N18,TODAY()),MOD((TODAY()+5)-MAX(Plants!N18,TODAY()),MAX(1,N(Plants!H18)))=0),"Water, feed","Water"),IF(AND(ISNUMBER(Plants!N18),N(Plants!H18)&gt;0,(TODAY()+5)&gt;=MAX(Plants!N18,TODAY()),MOD((TODAY()+5)-MAX(Plants!N18,TODAY()),MAX(1,N(Plants!H18)))=0),"Feed",""))</f>
        <v/>
      </c>
      <c r="J18" s="13">
        <f>IF(AND(ISNUMBER(Plants!L18),N(Plants!S18)&gt;0,(TODAY()+6)&gt;=MAX(Plants!L18,TODAY()),MOD((TODAY()+6)-MAX(Plants!L18,TODAY()),MAX(1,N(Plants!S18)))=0),IF(AND(ISNUMBER(Plants!N18),N(Plants!H18)&gt;0,(TODAY()+6)&gt;=MAX(Plants!N18,TODAY()),MOD((TODAY()+6)-MAX(Plants!N18,TODAY()),MAX(1,N(Plants!H18)))=0),"Water, feed","Water"),IF(AND(ISNUMBER(Plants!N18),N(Plants!H18)&gt;0,(TODAY()+6)&gt;=MAX(Plants!N18,TODAY()),MOD((TODAY()+6)-MAX(Plants!N18,TODAY()),MAX(1,N(Plants!H18)))=0),"Feed",""))</f>
        <v/>
      </c>
      <c r="K18" s="1" t="n"/>
    </row>
    <row r="19">
      <c r="A19" s="1" t="n"/>
      <c r="B19" s="15">
        <f>IF(Plants!B19="","",Plants!B19)</f>
        <v/>
      </c>
      <c r="C19" s="16">
        <f>IF(Plants!B19="","",Plants!D19)</f>
        <v/>
      </c>
      <c r="D19" s="13">
        <f>IF(AND(ISNUMBER(Plants!L19),N(Plants!S19)&gt;0,(TODAY()+0)&gt;=MAX(Plants!L19,TODAY()),MOD((TODAY()+0)-MAX(Plants!L19,TODAY()),MAX(1,N(Plants!S19)))=0),IF(AND(ISNUMBER(Plants!N19),N(Plants!H19)&gt;0,(TODAY()+0)&gt;=MAX(Plants!N19,TODAY()),MOD((TODAY()+0)-MAX(Plants!N19,TODAY()),MAX(1,N(Plants!H19)))=0),"Water, feed","Water"),IF(AND(ISNUMBER(Plants!N19),N(Plants!H19)&gt;0,(TODAY()+0)&gt;=MAX(Plants!N19,TODAY()),MOD((TODAY()+0)-MAX(Plants!N19,TODAY()),MAX(1,N(Plants!H19)))=0),"Feed",""))</f>
        <v/>
      </c>
      <c r="E19" s="13">
        <f>IF(AND(ISNUMBER(Plants!L19),N(Plants!S19)&gt;0,(TODAY()+1)&gt;=MAX(Plants!L19,TODAY()),MOD((TODAY()+1)-MAX(Plants!L19,TODAY()),MAX(1,N(Plants!S19)))=0),IF(AND(ISNUMBER(Plants!N19),N(Plants!H19)&gt;0,(TODAY()+1)&gt;=MAX(Plants!N19,TODAY()),MOD((TODAY()+1)-MAX(Plants!N19,TODAY()),MAX(1,N(Plants!H19)))=0),"Water, feed","Water"),IF(AND(ISNUMBER(Plants!N19),N(Plants!H19)&gt;0,(TODAY()+1)&gt;=MAX(Plants!N19,TODAY()),MOD((TODAY()+1)-MAX(Plants!N19,TODAY()),MAX(1,N(Plants!H19)))=0),"Feed",""))</f>
        <v/>
      </c>
      <c r="F19" s="13">
        <f>IF(AND(ISNUMBER(Plants!L19),N(Plants!S19)&gt;0,(TODAY()+2)&gt;=MAX(Plants!L19,TODAY()),MOD((TODAY()+2)-MAX(Plants!L19,TODAY()),MAX(1,N(Plants!S19)))=0),IF(AND(ISNUMBER(Plants!N19),N(Plants!H19)&gt;0,(TODAY()+2)&gt;=MAX(Plants!N19,TODAY()),MOD((TODAY()+2)-MAX(Plants!N19,TODAY()),MAX(1,N(Plants!H19)))=0),"Water, feed","Water"),IF(AND(ISNUMBER(Plants!N19),N(Plants!H19)&gt;0,(TODAY()+2)&gt;=MAX(Plants!N19,TODAY()),MOD((TODAY()+2)-MAX(Plants!N19,TODAY()),MAX(1,N(Plants!H19)))=0),"Feed",""))</f>
        <v/>
      </c>
      <c r="G19" s="13">
        <f>IF(AND(ISNUMBER(Plants!L19),N(Plants!S19)&gt;0,(TODAY()+3)&gt;=MAX(Plants!L19,TODAY()),MOD((TODAY()+3)-MAX(Plants!L19,TODAY()),MAX(1,N(Plants!S19)))=0),IF(AND(ISNUMBER(Plants!N19),N(Plants!H19)&gt;0,(TODAY()+3)&gt;=MAX(Plants!N19,TODAY()),MOD((TODAY()+3)-MAX(Plants!N19,TODAY()),MAX(1,N(Plants!H19)))=0),"Water, feed","Water"),IF(AND(ISNUMBER(Plants!N19),N(Plants!H19)&gt;0,(TODAY()+3)&gt;=MAX(Plants!N19,TODAY()),MOD((TODAY()+3)-MAX(Plants!N19,TODAY()),MAX(1,N(Plants!H19)))=0),"Feed",""))</f>
        <v/>
      </c>
      <c r="H19" s="13">
        <f>IF(AND(ISNUMBER(Plants!L19),N(Plants!S19)&gt;0,(TODAY()+4)&gt;=MAX(Plants!L19,TODAY()),MOD((TODAY()+4)-MAX(Plants!L19,TODAY()),MAX(1,N(Plants!S19)))=0),IF(AND(ISNUMBER(Plants!N19),N(Plants!H19)&gt;0,(TODAY()+4)&gt;=MAX(Plants!N19,TODAY()),MOD((TODAY()+4)-MAX(Plants!N19,TODAY()),MAX(1,N(Plants!H19)))=0),"Water, feed","Water"),IF(AND(ISNUMBER(Plants!N19),N(Plants!H19)&gt;0,(TODAY()+4)&gt;=MAX(Plants!N19,TODAY()),MOD((TODAY()+4)-MAX(Plants!N19,TODAY()),MAX(1,N(Plants!H19)))=0),"Feed",""))</f>
        <v/>
      </c>
      <c r="I19" s="13">
        <f>IF(AND(ISNUMBER(Plants!L19),N(Plants!S19)&gt;0,(TODAY()+5)&gt;=MAX(Plants!L19,TODAY()),MOD((TODAY()+5)-MAX(Plants!L19,TODAY()),MAX(1,N(Plants!S19)))=0),IF(AND(ISNUMBER(Plants!N19),N(Plants!H19)&gt;0,(TODAY()+5)&gt;=MAX(Plants!N19,TODAY()),MOD((TODAY()+5)-MAX(Plants!N19,TODAY()),MAX(1,N(Plants!H19)))=0),"Water, feed","Water"),IF(AND(ISNUMBER(Plants!N19),N(Plants!H19)&gt;0,(TODAY()+5)&gt;=MAX(Plants!N19,TODAY()),MOD((TODAY()+5)-MAX(Plants!N19,TODAY()),MAX(1,N(Plants!H19)))=0),"Feed",""))</f>
        <v/>
      </c>
      <c r="J19" s="13">
        <f>IF(AND(ISNUMBER(Plants!L19),N(Plants!S19)&gt;0,(TODAY()+6)&gt;=MAX(Plants!L19,TODAY()),MOD((TODAY()+6)-MAX(Plants!L19,TODAY()),MAX(1,N(Plants!S19)))=0),IF(AND(ISNUMBER(Plants!N19),N(Plants!H19)&gt;0,(TODAY()+6)&gt;=MAX(Plants!N19,TODAY()),MOD((TODAY()+6)-MAX(Plants!N19,TODAY()),MAX(1,N(Plants!H19)))=0),"Water, feed","Water"),IF(AND(ISNUMBER(Plants!N19),N(Plants!H19)&gt;0,(TODAY()+6)&gt;=MAX(Plants!N19,TODAY()),MOD((TODAY()+6)-MAX(Plants!N19,TODAY()),MAX(1,N(Plants!H19)))=0),"Feed",""))</f>
        <v/>
      </c>
      <c r="K19" s="1" t="n"/>
    </row>
    <row r="20">
      <c r="A20" s="1" t="n"/>
      <c r="B20" s="15">
        <f>IF(Plants!B20="","",Plants!B20)</f>
        <v/>
      </c>
      <c r="C20" s="16">
        <f>IF(Plants!B20="","",Plants!D20)</f>
        <v/>
      </c>
      <c r="D20" s="13">
        <f>IF(AND(ISNUMBER(Plants!L20),N(Plants!S20)&gt;0,(TODAY()+0)&gt;=MAX(Plants!L20,TODAY()),MOD((TODAY()+0)-MAX(Plants!L20,TODAY()),MAX(1,N(Plants!S20)))=0),IF(AND(ISNUMBER(Plants!N20),N(Plants!H20)&gt;0,(TODAY()+0)&gt;=MAX(Plants!N20,TODAY()),MOD((TODAY()+0)-MAX(Plants!N20,TODAY()),MAX(1,N(Plants!H20)))=0),"Water, feed","Water"),IF(AND(ISNUMBER(Plants!N20),N(Plants!H20)&gt;0,(TODAY()+0)&gt;=MAX(Plants!N20,TODAY()),MOD((TODAY()+0)-MAX(Plants!N20,TODAY()),MAX(1,N(Plants!H20)))=0),"Feed",""))</f>
        <v/>
      </c>
      <c r="E20" s="13">
        <f>IF(AND(ISNUMBER(Plants!L20),N(Plants!S20)&gt;0,(TODAY()+1)&gt;=MAX(Plants!L20,TODAY()),MOD((TODAY()+1)-MAX(Plants!L20,TODAY()),MAX(1,N(Plants!S20)))=0),IF(AND(ISNUMBER(Plants!N20),N(Plants!H20)&gt;0,(TODAY()+1)&gt;=MAX(Plants!N20,TODAY()),MOD((TODAY()+1)-MAX(Plants!N20,TODAY()),MAX(1,N(Plants!H20)))=0),"Water, feed","Water"),IF(AND(ISNUMBER(Plants!N20),N(Plants!H20)&gt;0,(TODAY()+1)&gt;=MAX(Plants!N20,TODAY()),MOD((TODAY()+1)-MAX(Plants!N20,TODAY()),MAX(1,N(Plants!H20)))=0),"Feed",""))</f>
        <v/>
      </c>
      <c r="F20" s="13">
        <f>IF(AND(ISNUMBER(Plants!L20),N(Plants!S20)&gt;0,(TODAY()+2)&gt;=MAX(Plants!L20,TODAY()),MOD((TODAY()+2)-MAX(Plants!L20,TODAY()),MAX(1,N(Plants!S20)))=0),IF(AND(ISNUMBER(Plants!N20),N(Plants!H20)&gt;0,(TODAY()+2)&gt;=MAX(Plants!N20,TODAY()),MOD((TODAY()+2)-MAX(Plants!N20,TODAY()),MAX(1,N(Plants!H20)))=0),"Water, feed","Water"),IF(AND(ISNUMBER(Plants!N20),N(Plants!H20)&gt;0,(TODAY()+2)&gt;=MAX(Plants!N20,TODAY()),MOD((TODAY()+2)-MAX(Plants!N20,TODAY()),MAX(1,N(Plants!H20)))=0),"Feed",""))</f>
        <v/>
      </c>
      <c r="G20" s="13">
        <f>IF(AND(ISNUMBER(Plants!L20),N(Plants!S20)&gt;0,(TODAY()+3)&gt;=MAX(Plants!L20,TODAY()),MOD((TODAY()+3)-MAX(Plants!L20,TODAY()),MAX(1,N(Plants!S20)))=0),IF(AND(ISNUMBER(Plants!N20),N(Plants!H20)&gt;0,(TODAY()+3)&gt;=MAX(Plants!N20,TODAY()),MOD((TODAY()+3)-MAX(Plants!N20,TODAY()),MAX(1,N(Plants!H20)))=0),"Water, feed","Water"),IF(AND(ISNUMBER(Plants!N20),N(Plants!H20)&gt;0,(TODAY()+3)&gt;=MAX(Plants!N20,TODAY()),MOD((TODAY()+3)-MAX(Plants!N20,TODAY()),MAX(1,N(Plants!H20)))=0),"Feed",""))</f>
        <v/>
      </c>
      <c r="H20" s="13">
        <f>IF(AND(ISNUMBER(Plants!L20),N(Plants!S20)&gt;0,(TODAY()+4)&gt;=MAX(Plants!L20,TODAY()),MOD((TODAY()+4)-MAX(Plants!L20,TODAY()),MAX(1,N(Plants!S20)))=0),IF(AND(ISNUMBER(Plants!N20),N(Plants!H20)&gt;0,(TODAY()+4)&gt;=MAX(Plants!N20,TODAY()),MOD((TODAY()+4)-MAX(Plants!N20,TODAY()),MAX(1,N(Plants!H20)))=0),"Water, feed","Water"),IF(AND(ISNUMBER(Plants!N20),N(Plants!H20)&gt;0,(TODAY()+4)&gt;=MAX(Plants!N20,TODAY()),MOD((TODAY()+4)-MAX(Plants!N20,TODAY()),MAX(1,N(Plants!H20)))=0),"Feed",""))</f>
        <v/>
      </c>
      <c r="I20" s="13">
        <f>IF(AND(ISNUMBER(Plants!L20),N(Plants!S20)&gt;0,(TODAY()+5)&gt;=MAX(Plants!L20,TODAY()),MOD((TODAY()+5)-MAX(Plants!L20,TODAY()),MAX(1,N(Plants!S20)))=0),IF(AND(ISNUMBER(Plants!N20),N(Plants!H20)&gt;0,(TODAY()+5)&gt;=MAX(Plants!N20,TODAY()),MOD((TODAY()+5)-MAX(Plants!N20,TODAY()),MAX(1,N(Plants!H20)))=0),"Water, feed","Water"),IF(AND(ISNUMBER(Plants!N20),N(Plants!H20)&gt;0,(TODAY()+5)&gt;=MAX(Plants!N20,TODAY()),MOD((TODAY()+5)-MAX(Plants!N20,TODAY()),MAX(1,N(Plants!H20)))=0),"Feed",""))</f>
        <v/>
      </c>
      <c r="J20" s="13">
        <f>IF(AND(ISNUMBER(Plants!L20),N(Plants!S20)&gt;0,(TODAY()+6)&gt;=MAX(Plants!L20,TODAY()),MOD((TODAY()+6)-MAX(Plants!L20,TODAY()),MAX(1,N(Plants!S20)))=0),IF(AND(ISNUMBER(Plants!N20),N(Plants!H20)&gt;0,(TODAY()+6)&gt;=MAX(Plants!N20,TODAY()),MOD((TODAY()+6)-MAX(Plants!N20,TODAY()),MAX(1,N(Plants!H20)))=0),"Water, feed","Water"),IF(AND(ISNUMBER(Plants!N20),N(Plants!H20)&gt;0,(TODAY()+6)&gt;=MAX(Plants!N20,TODAY()),MOD((TODAY()+6)-MAX(Plants!N20,TODAY()),MAX(1,N(Plants!H20)))=0),"Feed",""))</f>
        <v/>
      </c>
      <c r="K20" s="1" t="n"/>
    </row>
    <row r="21">
      <c r="A21" s="1" t="n"/>
      <c r="B21" s="15">
        <f>IF(Plants!B21="","",Plants!B21)</f>
        <v/>
      </c>
      <c r="C21" s="16">
        <f>IF(Plants!B21="","",Plants!D21)</f>
        <v/>
      </c>
      <c r="D21" s="13">
        <f>IF(AND(ISNUMBER(Plants!L21),N(Plants!S21)&gt;0,(TODAY()+0)&gt;=MAX(Plants!L21,TODAY()),MOD((TODAY()+0)-MAX(Plants!L21,TODAY()),MAX(1,N(Plants!S21)))=0),IF(AND(ISNUMBER(Plants!N21),N(Plants!H21)&gt;0,(TODAY()+0)&gt;=MAX(Plants!N21,TODAY()),MOD((TODAY()+0)-MAX(Plants!N21,TODAY()),MAX(1,N(Plants!H21)))=0),"Water, feed","Water"),IF(AND(ISNUMBER(Plants!N21),N(Plants!H21)&gt;0,(TODAY()+0)&gt;=MAX(Plants!N21,TODAY()),MOD((TODAY()+0)-MAX(Plants!N21,TODAY()),MAX(1,N(Plants!H21)))=0),"Feed",""))</f>
        <v/>
      </c>
      <c r="E21" s="13">
        <f>IF(AND(ISNUMBER(Plants!L21),N(Plants!S21)&gt;0,(TODAY()+1)&gt;=MAX(Plants!L21,TODAY()),MOD((TODAY()+1)-MAX(Plants!L21,TODAY()),MAX(1,N(Plants!S21)))=0),IF(AND(ISNUMBER(Plants!N21),N(Plants!H21)&gt;0,(TODAY()+1)&gt;=MAX(Plants!N21,TODAY()),MOD((TODAY()+1)-MAX(Plants!N21,TODAY()),MAX(1,N(Plants!H21)))=0),"Water, feed","Water"),IF(AND(ISNUMBER(Plants!N21),N(Plants!H21)&gt;0,(TODAY()+1)&gt;=MAX(Plants!N21,TODAY()),MOD((TODAY()+1)-MAX(Plants!N21,TODAY()),MAX(1,N(Plants!H21)))=0),"Feed",""))</f>
        <v/>
      </c>
      <c r="F21" s="13">
        <f>IF(AND(ISNUMBER(Plants!L21),N(Plants!S21)&gt;0,(TODAY()+2)&gt;=MAX(Plants!L21,TODAY()),MOD((TODAY()+2)-MAX(Plants!L21,TODAY()),MAX(1,N(Plants!S21)))=0),IF(AND(ISNUMBER(Plants!N21),N(Plants!H21)&gt;0,(TODAY()+2)&gt;=MAX(Plants!N21,TODAY()),MOD((TODAY()+2)-MAX(Plants!N21,TODAY()),MAX(1,N(Plants!H21)))=0),"Water, feed","Water"),IF(AND(ISNUMBER(Plants!N21),N(Plants!H21)&gt;0,(TODAY()+2)&gt;=MAX(Plants!N21,TODAY()),MOD((TODAY()+2)-MAX(Plants!N21,TODAY()),MAX(1,N(Plants!H21)))=0),"Feed",""))</f>
        <v/>
      </c>
      <c r="G21" s="13">
        <f>IF(AND(ISNUMBER(Plants!L21),N(Plants!S21)&gt;0,(TODAY()+3)&gt;=MAX(Plants!L21,TODAY()),MOD((TODAY()+3)-MAX(Plants!L21,TODAY()),MAX(1,N(Plants!S21)))=0),IF(AND(ISNUMBER(Plants!N21),N(Plants!H21)&gt;0,(TODAY()+3)&gt;=MAX(Plants!N21,TODAY()),MOD((TODAY()+3)-MAX(Plants!N21,TODAY()),MAX(1,N(Plants!H21)))=0),"Water, feed","Water"),IF(AND(ISNUMBER(Plants!N21),N(Plants!H21)&gt;0,(TODAY()+3)&gt;=MAX(Plants!N21,TODAY()),MOD((TODAY()+3)-MAX(Plants!N21,TODAY()),MAX(1,N(Plants!H21)))=0),"Feed",""))</f>
        <v/>
      </c>
      <c r="H21" s="13">
        <f>IF(AND(ISNUMBER(Plants!L21),N(Plants!S21)&gt;0,(TODAY()+4)&gt;=MAX(Plants!L21,TODAY()),MOD((TODAY()+4)-MAX(Plants!L21,TODAY()),MAX(1,N(Plants!S21)))=0),IF(AND(ISNUMBER(Plants!N21),N(Plants!H21)&gt;0,(TODAY()+4)&gt;=MAX(Plants!N21,TODAY()),MOD((TODAY()+4)-MAX(Plants!N21,TODAY()),MAX(1,N(Plants!H21)))=0),"Water, feed","Water"),IF(AND(ISNUMBER(Plants!N21),N(Plants!H21)&gt;0,(TODAY()+4)&gt;=MAX(Plants!N21,TODAY()),MOD((TODAY()+4)-MAX(Plants!N21,TODAY()),MAX(1,N(Plants!H21)))=0),"Feed",""))</f>
        <v/>
      </c>
      <c r="I21" s="13">
        <f>IF(AND(ISNUMBER(Plants!L21),N(Plants!S21)&gt;0,(TODAY()+5)&gt;=MAX(Plants!L21,TODAY()),MOD((TODAY()+5)-MAX(Plants!L21,TODAY()),MAX(1,N(Plants!S21)))=0),IF(AND(ISNUMBER(Plants!N21),N(Plants!H21)&gt;0,(TODAY()+5)&gt;=MAX(Plants!N21,TODAY()),MOD((TODAY()+5)-MAX(Plants!N21,TODAY()),MAX(1,N(Plants!H21)))=0),"Water, feed","Water"),IF(AND(ISNUMBER(Plants!N21),N(Plants!H21)&gt;0,(TODAY()+5)&gt;=MAX(Plants!N21,TODAY()),MOD((TODAY()+5)-MAX(Plants!N21,TODAY()),MAX(1,N(Plants!H21)))=0),"Feed",""))</f>
        <v/>
      </c>
      <c r="J21" s="13">
        <f>IF(AND(ISNUMBER(Plants!L21),N(Plants!S21)&gt;0,(TODAY()+6)&gt;=MAX(Plants!L21,TODAY()),MOD((TODAY()+6)-MAX(Plants!L21,TODAY()),MAX(1,N(Plants!S21)))=0),IF(AND(ISNUMBER(Plants!N21),N(Plants!H21)&gt;0,(TODAY()+6)&gt;=MAX(Plants!N21,TODAY()),MOD((TODAY()+6)-MAX(Plants!N21,TODAY()),MAX(1,N(Plants!H21)))=0),"Water, feed","Water"),IF(AND(ISNUMBER(Plants!N21),N(Plants!H21)&gt;0,(TODAY()+6)&gt;=MAX(Plants!N21,TODAY()),MOD((TODAY()+6)-MAX(Plants!N21,TODAY()),MAX(1,N(Plants!H21)))=0),"Feed",""))</f>
        <v/>
      </c>
      <c r="K21" s="1" t="n"/>
    </row>
    <row r="22">
      <c r="A22" s="1" t="n"/>
      <c r="B22" s="15">
        <f>IF(Plants!B22="","",Plants!B22)</f>
        <v/>
      </c>
      <c r="C22" s="16">
        <f>IF(Plants!B22="","",Plants!D22)</f>
        <v/>
      </c>
      <c r="D22" s="13">
        <f>IF(AND(ISNUMBER(Plants!L22),N(Plants!S22)&gt;0,(TODAY()+0)&gt;=MAX(Plants!L22,TODAY()),MOD((TODAY()+0)-MAX(Plants!L22,TODAY()),MAX(1,N(Plants!S22)))=0),IF(AND(ISNUMBER(Plants!N22),N(Plants!H22)&gt;0,(TODAY()+0)&gt;=MAX(Plants!N22,TODAY()),MOD((TODAY()+0)-MAX(Plants!N22,TODAY()),MAX(1,N(Plants!H22)))=0),"Water, feed","Water"),IF(AND(ISNUMBER(Plants!N22),N(Plants!H22)&gt;0,(TODAY()+0)&gt;=MAX(Plants!N22,TODAY()),MOD((TODAY()+0)-MAX(Plants!N22,TODAY()),MAX(1,N(Plants!H22)))=0),"Feed",""))</f>
        <v/>
      </c>
      <c r="E22" s="13">
        <f>IF(AND(ISNUMBER(Plants!L22),N(Plants!S22)&gt;0,(TODAY()+1)&gt;=MAX(Plants!L22,TODAY()),MOD((TODAY()+1)-MAX(Plants!L22,TODAY()),MAX(1,N(Plants!S22)))=0),IF(AND(ISNUMBER(Plants!N22),N(Plants!H22)&gt;0,(TODAY()+1)&gt;=MAX(Plants!N22,TODAY()),MOD((TODAY()+1)-MAX(Plants!N22,TODAY()),MAX(1,N(Plants!H22)))=0),"Water, feed","Water"),IF(AND(ISNUMBER(Plants!N22),N(Plants!H22)&gt;0,(TODAY()+1)&gt;=MAX(Plants!N22,TODAY()),MOD((TODAY()+1)-MAX(Plants!N22,TODAY()),MAX(1,N(Plants!H22)))=0),"Feed",""))</f>
        <v/>
      </c>
      <c r="F22" s="13">
        <f>IF(AND(ISNUMBER(Plants!L22),N(Plants!S22)&gt;0,(TODAY()+2)&gt;=MAX(Plants!L22,TODAY()),MOD((TODAY()+2)-MAX(Plants!L22,TODAY()),MAX(1,N(Plants!S22)))=0),IF(AND(ISNUMBER(Plants!N22),N(Plants!H22)&gt;0,(TODAY()+2)&gt;=MAX(Plants!N22,TODAY()),MOD((TODAY()+2)-MAX(Plants!N22,TODAY()),MAX(1,N(Plants!H22)))=0),"Water, feed","Water"),IF(AND(ISNUMBER(Plants!N22),N(Plants!H22)&gt;0,(TODAY()+2)&gt;=MAX(Plants!N22,TODAY()),MOD((TODAY()+2)-MAX(Plants!N22,TODAY()),MAX(1,N(Plants!H22)))=0),"Feed",""))</f>
        <v/>
      </c>
      <c r="G22" s="13">
        <f>IF(AND(ISNUMBER(Plants!L22),N(Plants!S22)&gt;0,(TODAY()+3)&gt;=MAX(Plants!L22,TODAY()),MOD((TODAY()+3)-MAX(Plants!L22,TODAY()),MAX(1,N(Plants!S22)))=0),IF(AND(ISNUMBER(Plants!N22),N(Plants!H22)&gt;0,(TODAY()+3)&gt;=MAX(Plants!N22,TODAY()),MOD((TODAY()+3)-MAX(Plants!N22,TODAY()),MAX(1,N(Plants!H22)))=0),"Water, feed","Water"),IF(AND(ISNUMBER(Plants!N22),N(Plants!H22)&gt;0,(TODAY()+3)&gt;=MAX(Plants!N22,TODAY()),MOD((TODAY()+3)-MAX(Plants!N22,TODAY()),MAX(1,N(Plants!H22)))=0),"Feed",""))</f>
        <v/>
      </c>
      <c r="H22" s="13">
        <f>IF(AND(ISNUMBER(Plants!L22),N(Plants!S22)&gt;0,(TODAY()+4)&gt;=MAX(Plants!L22,TODAY()),MOD((TODAY()+4)-MAX(Plants!L22,TODAY()),MAX(1,N(Plants!S22)))=0),IF(AND(ISNUMBER(Plants!N22),N(Plants!H22)&gt;0,(TODAY()+4)&gt;=MAX(Plants!N22,TODAY()),MOD((TODAY()+4)-MAX(Plants!N22,TODAY()),MAX(1,N(Plants!H22)))=0),"Water, feed","Water"),IF(AND(ISNUMBER(Plants!N22),N(Plants!H22)&gt;0,(TODAY()+4)&gt;=MAX(Plants!N22,TODAY()),MOD((TODAY()+4)-MAX(Plants!N22,TODAY()),MAX(1,N(Plants!H22)))=0),"Feed",""))</f>
        <v/>
      </c>
      <c r="I22" s="13">
        <f>IF(AND(ISNUMBER(Plants!L22),N(Plants!S22)&gt;0,(TODAY()+5)&gt;=MAX(Plants!L22,TODAY()),MOD((TODAY()+5)-MAX(Plants!L22,TODAY()),MAX(1,N(Plants!S22)))=0),IF(AND(ISNUMBER(Plants!N22),N(Plants!H22)&gt;0,(TODAY()+5)&gt;=MAX(Plants!N22,TODAY()),MOD((TODAY()+5)-MAX(Plants!N22,TODAY()),MAX(1,N(Plants!H22)))=0),"Water, feed","Water"),IF(AND(ISNUMBER(Plants!N22),N(Plants!H22)&gt;0,(TODAY()+5)&gt;=MAX(Plants!N22,TODAY()),MOD((TODAY()+5)-MAX(Plants!N22,TODAY()),MAX(1,N(Plants!H22)))=0),"Feed",""))</f>
        <v/>
      </c>
      <c r="J22" s="13">
        <f>IF(AND(ISNUMBER(Plants!L22),N(Plants!S22)&gt;0,(TODAY()+6)&gt;=MAX(Plants!L22,TODAY()),MOD((TODAY()+6)-MAX(Plants!L22,TODAY()),MAX(1,N(Plants!S22)))=0),IF(AND(ISNUMBER(Plants!N22),N(Plants!H22)&gt;0,(TODAY()+6)&gt;=MAX(Plants!N22,TODAY()),MOD((TODAY()+6)-MAX(Plants!N22,TODAY()),MAX(1,N(Plants!H22)))=0),"Water, feed","Water"),IF(AND(ISNUMBER(Plants!N22),N(Plants!H22)&gt;0,(TODAY()+6)&gt;=MAX(Plants!N22,TODAY()),MOD((TODAY()+6)-MAX(Plants!N22,TODAY()),MAX(1,N(Plants!H22)))=0),"Feed",""))</f>
        <v/>
      </c>
      <c r="K22" s="1" t="n"/>
    </row>
    <row r="23">
      <c r="A23" s="1" t="n"/>
      <c r="B23" s="15">
        <f>IF(Plants!B23="","",Plants!B23)</f>
        <v/>
      </c>
      <c r="C23" s="16">
        <f>IF(Plants!B23="","",Plants!D23)</f>
        <v/>
      </c>
      <c r="D23" s="13">
        <f>IF(AND(ISNUMBER(Plants!L23),N(Plants!S23)&gt;0,(TODAY()+0)&gt;=MAX(Plants!L23,TODAY()),MOD((TODAY()+0)-MAX(Plants!L23,TODAY()),MAX(1,N(Plants!S23)))=0),IF(AND(ISNUMBER(Plants!N23),N(Plants!H23)&gt;0,(TODAY()+0)&gt;=MAX(Plants!N23,TODAY()),MOD((TODAY()+0)-MAX(Plants!N23,TODAY()),MAX(1,N(Plants!H23)))=0),"Water, feed","Water"),IF(AND(ISNUMBER(Plants!N23),N(Plants!H23)&gt;0,(TODAY()+0)&gt;=MAX(Plants!N23,TODAY()),MOD((TODAY()+0)-MAX(Plants!N23,TODAY()),MAX(1,N(Plants!H23)))=0),"Feed",""))</f>
        <v/>
      </c>
      <c r="E23" s="13">
        <f>IF(AND(ISNUMBER(Plants!L23),N(Plants!S23)&gt;0,(TODAY()+1)&gt;=MAX(Plants!L23,TODAY()),MOD((TODAY()+1)-MAX(Plants!L23,TODAY()),MAX(1,N(Plants!S23)))=0),IF(AND(ISNUMBER(Plants!N23),N(Plants!H23)&gt;0,(TODAY()+1)&gt;=MAX(Plants!N23,TODAY()),MOD((TODAY()+1)-MAX(Plants!N23,TODAY()),MAX(1,N(Plants!H23)))=0),"Water, feed","Water"),IF(AND(ISNUMBER(Plants!N23),N(Plants!H23)&gt;0,(TODAY()+1)&gt;=MAX(Plants!N23,TODAY()),MOD((TODAY()+1)-MAX(Plants!N23,TODAY()),MAX(1,N(Plants!H23)))=0),"Feed",""))</f>
        <v/>
      </c>
      <c r="F23" s="13">
        <f>IF(AND(ISNUMBER(Plants!L23),N(Plants!S23)&gt;0,(TODAY()+2)&gt;=MAX(Plants!L23,TODAY()),MOD((TODAY()+2)-MAX(Plants!L23,TODAY()),MAX(1,N(Plants!S23)))=0),IF(AND(ISNUMBER(Plants!N23),N(Plants!H23)&gt;0,(TODAY()+2)&gt;=MAX(Plants!N23,TODAY()),MOD((TODAY()+2)-MAX(Plants!N23,TODAY()),MAX(1,N(Plants!H23)))=0),"Water, feed","Water"),IF(AND(ISNUMBER(Plants!N23),N(Plants!H23)&gt;0,(TODAY()+2)&gt;=MAX(Plants!N23,TODAY()),MOD((TODAY()+2)-MAX(Plants!N23,TODAY()),MAX(1,N(Plants!H23)))=0),"Feed",""))</f>
        <v/>
      </c>
      <c r="G23" s="13">
        <f>IF(AND(ISNUMBER(Plants!L23),N(Plants!S23)&gt;0,(TODAY()+3)&gt;=MAX(Plants!L23,TODAY()),MOD((TODAY()+3)-MAX(Plants!L23,TODAY()),MAX(1,N(Plants!S23)))=0),IF(AND(ISNUMBER(Plants!N23),N(Plants!H23)&gt;0,(TODAY()+3)&gt;=MAX(Plants!N23,TODAY()),MOD((TODAY()+3)-MAX(Plants!N23,TODAY()),MAX(1,N(Plants!H23)))=0),"Water, feed","Water"),IF(AND(ISNUMBER(Plants!N23),N(Plants!H23)&gt;0,(TODAY()+3)&gt;=MAX(Plants!N23,TODAY()),MOD((TODAY()+3)-MAX(Plants!N23,TODAY()),MAX(1,N(Plants!H23)))=0),"Feed",""))</f>
        <v/>
      </c>
      <c r="H23" s="13">
        <f>IF(AND(ISNUMBER(Plants!L23),N(Plants!S23)&gt;0,(TODAY()+4)&gt;=MAX(Plants!L23,TODAY()),MOD((TODAY()+4)-MAX(Plants!L23,TODAY()),MAX(1,N(Plants!S23)))=0),IF(AND(ISNUMBER(Plants!N23),N(Plants!H23)&gt;0,(TODAY()+4)&gt;=MAX(Plants!N23,TODAY()),MOD((TODAY()+4)-MAX(Plants!N23,TODAY()),MAX(1,N(Plants!H23)))=0),"Water, feed","Water"),IF(AND(ISNUMBER(Plants!N23),N(Plants!H23)&gt;0,(TODAY()+4)&gt;=MAX(Plants!N23,TODAY()),MOD((TODAY()+4)-MAX(Plants!N23,TODAY()),MAX(1,N(Plants!H23)))=0),"Feed",""))</f>
        <v/>
      </c>
      <c r="I23" s="13">
        <f>IF(AND(ISNUMBER(Plants!L23),N(Plants!S23)&gt;0,(TODAY()+5)&gt;=MAX(Plants!L23,TODAY()),MOD((TODAY()+5)-MAX(Plants!L23,TODAY()),MAX(1,N(Plants!S23)))=0),IF(AND(ISNUMBER(Plants!N23),N(Plants!H23)&gt;0,(TODAY()+5)&gt;=MAX(Plants!N23,TODAY()),MOD((TODAY()+5)-MAX(Plants!N23,TODAY()),MAX(1,N(Plants!H23)))=0),"Water, feed","Water"),IF(AND(ISNUMBER(Plants!N23),N(Plants!H23)&gt;0,(TODAY()+5)&gt;=MAX(Plants!N23,TODAY()),MOD((TODAY()+5)-MAX(Plants!N23,TODAY()),MAX(1,N(Plants!H23)))=0),"Feed",""))</f>
        <v/>
      </c>
      <c r="J23" s="13">
        <f>IF(AND(ISNUMBER(Plants!L23),N(Plants!S23)&gt;0,(TODAY()+6)&gt;=MAX(Plants!L23,TODAY()),MOD((TODAY()+6)-MAX(Plants!L23,TODAY()),MAX(1,N(Plants!S23)))=0),IF(AND(ISNUMBER(Plants!N23),N(Plants!H23)&gt;0,(TODAY()+6)&gt;=MAX(Plants!N23,TODAY()),MOD((TODAY()+6)-MAX(Plants!N23,TODAY()),MAX(1,N(Plants!H23)))=0),"Water, feed","Water"),IF(AND(ISNUMBER(Plants!N23),N(Plants!H23)&gt;0,(TODAY()+6)&gt;=MAX(Plants!N23,TODAY()),MOD((TODAY()+6)-MAX(Plants!N23,TODAY()),MAX(1,N(Plants!H23)))=0),"Feed",""))</f>
        <v/>
      </c>
      <c r="K23" s="1" t="n"/>
    </row>
    <row r="24">
      <c r="A24" s="1" t="n"/>
      <c r="B24" s="15">
        <f>IF(Plants!B24="","",Plants!B24)</f>
        <v/>
      </c>
      <c r="C24" s="16">
        <f>IF(Plants!B24="","",Plants!D24)</f>
        <v/>
      </c>
      <c r="D24" s="13">
        <f>IF(AND(ISNUMBER(Plants!L24),N(Plants!S24)&gt;0,(TODAY()+0)&gt;=MAX(Plants!L24,TODAY()),MOD((TODAY()+0)-MAX(Plants!L24,TODAY()),MAX(1,N(Plants!S24)))=0),IF(AND(ISNUMBER(Plants!N24),N(Plants!H24)&gt;0,(TODAY()+0)&gt;=MAX(Plants!N24,TODAY()),MOD((TODAY()+0)-MAX(Plants!N24,TODAY()),MAX(1,N(Plants!H24)))=0),"Water, feed","Water"),IF(AND(ISNUMBER(Plants!N24),N(Plants!H24)&gt;0,(TODAY()+0)&gt;=MAX(Plants!N24,TODAY()),MOD((TODAY()+0)-MAX(Plants!N24,TODAY()),MAX(1,N(Plants!H24)))=0),"Feed",""))</f>
        <v/>
      </c>
      <c r="E24" s="13">
        <f>IF(AND(ISNUMBER(Plants!L24),N(Plants!S24)&gt;0,(TODAY()+1)&gt;=MAX(Plants!L24,TODAY()),MOD((TODAY()+1)-MAX(Plants!L24,TODAY()),MAX(1,N(Plants!S24)))=0),IF(AND(ISNUMBER(Plants!N24),N(Plants!H24)&gt;0,(TODAY()+1)&gt;=MAX(Plants!N24,TODAY()),MOD((TODAY()+1)-MAX(Plants!N24,TODAY()),MAX(1,N(Plants!H24)))=0),"Water, feed","Water"),IF(AND(ISNUMBER(Plants!N24),N(Plants!H24)&gt;0,(TODAY()+1)&gt;=MAX(Plants!N24,TODAY()),MOD((TODAY()+1)-MAX(Plants!N24,TODAY()),MAX(1,N(Plants!H24)))=0),"Feed",""))</f>
        <v/>
      </c>
      <c r="F24" s="13">
        <f>IF(AND(ISNUMBER(Plants!L24),N(Plants!S24)&gt;0,(TODAY()+2)&gt;=MAX(Plants!L24,TODAY()),MOD((TODAY()+2)-MAX(Plants!L24,TODAY()),MAX(1,N(Plants!S24)))=0),IF(AND(ISNUMBER(Plants!N24),N(Plants!H24)&gt;0,(TODAY()+2)&gt;=MAX(Plants!N24,TODAY()),MOD((TODAY()+2)-MAX(Plants!N24,TODAY()),MAX(1,N(Plants!H24)))=0),"Water, feed","Water"),IF(AND(ISNUMBER(Plants!N24),N(Plants!H24)&gt;0,(TODAY()+2)&gt;=MAX(Plants!N24,TODAY()),MOD((TODAY()+2)-MAX(Plants!N24,TODAY()),MAX(1,N(Plants!H24)))=0),"Feed",""))</f>
        <v/>
      </c>
      <c r="G24" s="13">
        <f>IF(AND(ISNUMBER(Plants!L24),N(Plants!S24)&gt;0,(TODAY()+3)&gt;=MAX(Plants!L24,TODAY()),MOD((TODAY()+3)-MAX(Plants!L24,TODAY()),MAX(1,N(Plants!S24)))=0),IF(AND(ISNUMBER(Plants!N24),N(Plants!H24)&gt;0,(TODAY()+3)&gt;=MAX(Plants!N24,TODAY()),MOD((TODAY()+3)-MAX(Plants!N24,TODAY()),MAX(1,N(Plants!H24)))=0),"Water, feed","Water"),IF(AND(ISNUMBER(Plants!N24),N(Plants!H24)&gt;0,(TODAY()+3)&gt;=MAX(Plants!N24,TODAY()),MOD((TODAY()+3)-MAX(Plants!N24,TODAY()),MAX(1,N(Plants!H24)))=0),"Feed",""))</f>
        <v/>
      </c>
      <c r="H24" s="13">
        <f>IF(AND(ISNUMBER(Plants!L24),N(Plants!S24)&gt;0,(TODAY()+4)&gt;=MAX(Plants!L24,TODAY()),MOD((TODAY()+4)-MAX(Plants!L24,TODAY()),MAX(1,N(Plants!S24)))=0),IF(AND(ISNUMBER(Plants!N24),N(Plants!H24)&gt;0,(TODAY()+4)&gt;=MAX(Plants!N24,TODAY()),MOD((TODAY()+4)-MAX(Plants!N24,TODAY()),MAX(1,N(Plants!H24)))=0),"Water, feed","Water"),IF(AND(ISNUMBER(Plants!N24),N(Plants!H24)&gt;0,(TODAY()+4)&gt;=MAX(Plants!N24,TODAY()),MOD((TODAY()+4)-MAX(Plants!N24,TODAY()),MAX(1,N(Plants!H24)))=0),"Feed",""))</f>
        <v/>
      </c>
      <c r="I24" s="13">
        <f>IF(AND(ISNUMBER(Plants!L24),N(Plants!S24)&gt;0,(TODAY()+5)&gt;=MAX(Plants!L24,TODAY()),MOD((TODAY()+5)-MAX(Plants!L24,TODAY()),MAX(1,N(Plants!S24)))=0),IF(AND(ISNUMBER(Plants!N24),N(Plants!H24)&gt;0,(TODAY()+5)&gt;=MAX(Plants!N24,TODAY()),MOD((TODAY()+5)-MAX(Plants!N24,TODAY()),MAX(1,N(Plants!H24)))=0),"Water, feed","Water"),IF(AND(ISNUMBER(Plants!N24),N(Plants!H24)&gt;0,(TODAY()+5)&gt;=MAX(Plants!N24,TODAY()),MOD((TODAY()+5)-MAX(Plants!N24,TODAY()),MAX(1,N(Plants!H24)))=0),"Feed",""))</f>
        <v/>
      </c>
      <c r="J24" s="13">
        <f>IF(AND(ISNUMBER(Plants!L24),N(Plants!S24)&gt;0,(TODAY()+6)&gt;=MAX(Plants!L24,TODAY()),MOD((TODAY()+6)-MAX(Plants!L24,TODAY()),MAX(1,N(Plants!S24)))=0),IF(AND(ISNUMBER(Plants!N24),N(Plants!H24)&gt;0,(TODAY()+6)&gt;=MAX(Plants!N24,TODAY()),MOD((TODAY()+6)-MAX(Plants!N24,TODAY()),MAX(1,N(Plants!H24)))=0),"Water, feed","Water"),IF(AND(ISNUMBER(Plants!N24),N(Plants!H24)&gt;0,(TODAY()+6)&gt;=MAX(Plants!N24,TODAY()),MOD((TODAY()+6)-MAX(Plants!N24,TODAY()),MAX(1,N(Plants!H24)))=0),"Feed",""))</f>
        <v/>
      </c>
      <c r="K24" s="1" t="n"/>
    </row>
    <row r="25">
      <c r="A25" s="1" t="n"/>
      <c r="B25" s="15">
        <f>IF(Plants!B25="","",Plants!B25)</f>
        <v/>
      </c>
      <c r="C25" s="16">
        <f>IF(Plants!B25="","",Plants!D25)</f>
        <v/>
      </c>
      <c r="D25" s="13">
        <f>IF(AND(ISNUMBER(Plants!L25),N(Plants!S25)&gt;0,(TODAY()+0)&gt;=MAX(Plants!L25,TODAY()),MOD((TODAY()+0)-MAX(Plants!L25,TODAY()),MAX(1,N(Plants!S25)))=0),IF(AND(ISNUMBER(Plants!N25),N(Plants!H25)&gt;0,(TODAY()+0)&gt;=MAX(Plants!N25,TODAY()),MOD((TODAY()+0)-MAX(Plants!N25,TODAY()),MAX(1,N(Plants!H25)))=0),"Water, feed","Water"),IF(AND(ISNUMBER(Plants!N25),N(Plants!H25)&gt;0,(TODAY()+0)&gt;=MAX(Plants!N25,TODAY()),MOD((TODAY()+0)-MAX(Plants!N25,TODAY()),MAX(1,N(Plants!H25)))=0),"Feed",""))</f>
        <v/>
      </c>
      <c r="E25" s="13">
        <f>IF(AND(ISNUMBER(Plants!L25),N(Plants!S25)&gt;0,(TODAY()+1)&gt;=MAX(Plants!L25,TODAY()),MOD((TODAY()+1)-MAX(Plants!L25,TODAY()),MAX(1,N(Plants!S25)))=0),IF(AND(ISNUMBER(Plants!N25),N(Plants!H25)&gt;0,(TODAY()+1)&gt;=MAX(Plants!N25,TODAY()),MOD((TODAY()+1)-MAX(Plants!N25,TODAY()),MAX(1,N(Plants!H25)))=0),"Water, feed","Water"),IF(AND(ISNUMBER(Plants!N25),N(Plants!H25)&gt;0,(TODAY()+1)&gt;=MAX(Plants!N25,TODAY()),MOD((TODAY()+1)-MAX(Plants!N25,TODAY()),MAX(1,N(Plants!H25)))=0),"Feed",""))</f>
        <v/>
      </c>
      <c r="F25" s="13">
        <f>IF(AND(ISNUMBER(Plants!L25),N(Plants!S25)&gt;0,(TODAY()+2)&gt;=MAX(Plants!L25,TODAY()),MOD((TODAY()+2)-MAX(Plants!L25,TODAY()),MAX(1,N(Plants!S25)))=0),IF(AND(ISNUMBER(Plants!N25),N(Plants!H25)&gt;0,(TODAY()+2)&gt;=MAX(Plants!N25,TODAY()),MOD((TODAY()+2)-MAX(Plants!N25,TODAY()),MAX(1,N(Plants!H25)))=0),"Water, feed","Water"),IF(AND(ISNUMBER(Plants!N25),N(Plants!H25)&gt;0,(TODAY()+2)&gt;=MAX(Plants!N25,TODAY()),MOD((TODAY()+2)-MAX(Plants!N25,TODAY()),MAX(1,N(Plants!H25)))=0),"Feed",""))</f>
        <v/>
      </c>
      <c r="G25" s="13">
        <f>IF(AND(ISNUMBER(Plants!L25),N(Plants!S25)&gt;0,(TODAY()+3)&gt;=MAX(Plants!L25,TODAY()),MOD((TODAY()+3)-MAX(Plants!L25,TODAY()),MAX(1,N(Plants!S25)))=0),IF(AND(ISNUMBER(Plants!N25),N(Plants!H25)&gt;0,(TODAY()+3)&gt;=MAX(Plants!N25,TODAY()),MOD((TODAY()+3)-MAX(Plants!N25,TODAY()),MAX(1,N(Plants!H25)))=0),"Water, feed","Water"),IF(AND(ISNUMBER(Plants!N25),N(Plants!H25)&gt;0,(TODAY()+3)&gt;=MAX(Plants!N25,TODAY()),MOD((TODAY()+3)-MAX(Plants!N25,TODAY()),MAX(1,N(Plants!H25)))=0),"Feed",""))</f>
        <v/>
      </c>
      <c r="H25" s="13">
        <f>IF(AND(ISNUMBER(Plants!L25),N(Plants!S25)&gt;0,(TODAY()+4)&gt;=MAX(Plants!L25,TODAY()),MOD((TODAY()+4)-MAX(Plants!L25,TODAY()),MAX(1,N(Plants!S25)))=0),IF(AND(ISNUMBER(Plants!N25),N(Plants!H25)&gt;0,(TODAY()+4)&gt;=MAX(Plants!N25,TODAY()),MOD((TODAY()+4)-MAX(Plants!N25,TODAY()),MAX(1,N(Plants!H25)))=0),"Water, feed","Water"),IF(AND(ISNUMBER(Plants!N25),N(Plants!H25)&gt;0,(TODAY()+4)&gt;=MAX(Plants!N25,TODAY()),MOD((TODAY()+4)-MAX(Plants!N25,TODAY()),MAX(1,N(Plants!H25)))=0),"Feed",""))</f>
        <v/>
      </c>
      <c r="I25" s="13">
        <f>IF(AND(ISNUMBER(Plants!L25),N(Plants!S25)&gt;0,(TODAY()+5)&gt;=MAX(Plants!L25,TODAY()),MOD((TODAY()+5)-MAX(Plants!L25,TODAY()),MAX(1,N(Plants!S25)))=0),IF(AND(ISNUMBER(Plants!N25),N(Plants!H25)&gt;0,(TODAY()+5)&gt;=MAX(Plants!N25,TODAY()),MOD((TODAY()+5)-MAX(Plants!N25,TODAY()),MAX(1,N(Plants!H25)))=0),"Water, feed","Water"),IF(AND(ISNUMBER(Plants!N25),N(Plants!H25)&gt;0,(TODAY()+5)&gt;=MAX(Plants!N25,TODAY()),MOD((TODAY()+5)-MAX(Plants!N25,TODAY()),MAX(1,N(Plants!H25)))=0),"Feed",""))</f>
        <v/>
      </c>
      <c r="J25" s="13">
        <f>IF(AND(ISNUMBER(Plants!L25),N(Plants!S25)&gt;0,(TODAY()+6)&gt;=MAX(Plants!L25,TODAY()),MOD((TODAY()+6)-MAX(Plants!L25,TODAY()),MAX(1,N(Plants!S25)))=0),IF(AND(ISNUMBER(Plants!N25),N(Plants!H25)&gt;0,(TODAY()+6)&gt;=MAX(Plants!N25,TODAY()),MOD((TODAY()+6)-MAX(Plants!N25,TODAY()),MAX(1,N(Plants!H25)))=0),"Water, feed","Water"),IF(AND(ISNUMBER(Plants!N25),N(Plants!H25)&gt;0,(TODAY()+6)&gt;=MAX(Plants!N25,TODAY()),MOD((TODAY()+6)-MAX(Plants!N25,TODAY()),MAX(1,N(Plants!H25)))=0),"Feed",""))</f>
        <v/>
      </c>
      <c r="K25" s="1" t="n"/>
    </row>
    <row r="26">
      <c r="A26" s="1" t="n"/>
      <c r="B26" s="15">
        <f>IF(Plants!B26="","",Plants!B26)</f>
        <v/>
      </c>
      <c r="C26" s="16">
        <f>IF(Plants!B26="","",Plants!D26)</f>
        <v/>
      </c>
      <c r="D26" s="13">
        <f>IF(AND(ISNUMBER(Plants!L26),N(Plants!S26)&gt;0,(TODAY()+0)&gt;=MAX(Plants!L26,TODAY()),MOD((TODAY()+0)-MAX(Plants!L26,TODAY()),MAX(1,N(Plants!S26)))=0),IF(AND(ISNUMBER(Plants!N26),N(Plants!H26)&gt;0,(TODAY()+0)&gt;=MAX(Plants!N26,TODAY()),MOD((TODAY()+0)-MAX(Plants!N26,TODAY()),MAX(1,N(Plants!H26)))=0),"Water, feed","Water"),IF(AND(ISNUMBER(Plants!N26),N(Plants!H26)&gt;0,(TODAY()+0)&gt;=MAX(Plants!N26,TODAY()),MOD((TODAY()+0)-MAX(Plants!N26,TODAY()),MAX(1,N(Plants!H26)))=0),"Feed",""))</f>
        <v/>
      </c>
      <c r="E26" s="13">
        <f>IF(AND(ISNUMBER(Plants!L26),N(Plants!S26)&gt;0,(TODAY()+1)&gt;=MAX(Plants!L26,TODAY()),MOD((TODAY()+1)-MAX(Plants!L26,TODAY()),MAX(1,N(Plants!S26)))=0),IF(AND(ISNUMBER(Plants!N26),N(Plants!H26)&gt;0,(TODAY()+1)&gt;=MAX(Plants!N26,TODAY()),MOD((TODAY()+1)-MAX(Plants!N26,TODAY()),MAX(1,N(Plants!H26)))=0),"Water, feed","Water"),IF(AND(ISNUMBER(Plants!N26),N(Plants!H26)&gt;0,(TODAY()+1)&gt;=MAX(Plants!N26,TODAY()),MOD((TODAY()+1)-MAX(Plants!N26,TODAY()),MAX(1,N(Plants!H26)))=0),"Feed",""))</f>
        <v/>
      </c>
      <c r="F26" s="13">
        <f>IF(AND(ISNUMBER(Plants!L26),N(Plants!S26)&gt;0,(TODAY()+2)&gt;=MAX(Plants!L26,TODAY()),MOD((TODAY()+2)-MAX(Plants!L26,TODAY()),MAX(1,N(Plants!S26)))=0),IF(AND(ISNUMBER(Plants!N26),N(Plants!H26)&gt;0,(TODAY()+2)&gt;=MAX(Plants!N26,TODAY()),MOD((TODAY()+2)-MAX(Plants!N26,TODAY()),MAX(1,N(Plants!H26)))=0),"Water, feed","Water"),IF(AND(ISNUMBER(Plants!N26),N(Plants!H26)&gt;0,(TODAY()+2)&gt;=MAX(Plants!N26,TODAY()),MOD((TODAY()+2)-MAX(Plants!N26,TODAY()),MAX(1,N(Plants!H26)))=0),"Feed",""))</f>
        <v/>
      </c>
      <c r="G26" s="13">
        <f>IF(AND(ISNUMBER(Plants!L26),N(Plants!S26)&gt;0,(TODAY()+3)&gt;=MAX(Plants!L26,TODAY()),MOD((TODAY()+3)-MAX(Plants!L26,TODAY()),MAX(1,N(Plants!S26)))=0),IF(AND(ISNUMBER(Plants!N26),N(Plants!H26)&gt;0,(TODAY()+3)&gt;=MAX(Plants!N26,TODAY()),MOD((TODAY()+3)-MAX(Plants!N26,TODAY()),MAX(1,N(Plants!H26)))=0),"Water, feed","Water"),IF(AND(ISNUMBER(Plants!N26),N(Plants!H26)&gt;0,(TODAY()+3)&gt;=MAX(Plants!N26,TODAY()),MOD((TODAY()+3)-MAX(Plants!N26,TODAY()),MAX(1,N(Plants!H26)))=0),"Feed",""))</f>
        <v/>
      </c>
      <c r="H26" s="13">
        <f>IF(AND(ISNUMBER(Plants!L26),N(Plants!S26)&gt;0,(TODAY()+4)&gt;=MAX(Plants!L26,TODAY()),MOD((TODAY()+4)-MAX(Plants!L26,TODAY()),MAX(1,N(Plants!S26)))=0),IF(AND(ISNUMBER(Plants!N26),N(Plants!H26)&gt;0,(TODAY()+4)&gt;=MAX(Plants!N26,TODAY()),MOD((TODAY()+4)-MAX(Plants!N26,TODAY()),MAX(1,N(Plants!H26)))=0),"Water, feed","Water"),IF(AND(ISNUMBER(Plants!N26),N(Plants!H26)&gt;0,(TODAY()+4)&gt;=MAX(Plants!N26,TODAY()),MOD((TODAY()+4)-MAX(Plants!N26,TODAY()),MAX(1,N(Plants!H26)))=0),"Feed",""))</f>
        <v/>
      </c>
      <c r="I26" s="13">
        <f>IF(AND(ISNUMBER(Plants!L26),N(Plants!S26)&gt;0,(TODAY()+5)&gt;=MAX(Plants!L26,TODAY()),MOD((TODAY()+5)-MAX(Plants!L26,TODAY()),MAX(1,N(Plants!S26)))=0),IF(AND(ISNUMBER(Plants!N26),N(Plants!H26)&gt;0,(TODAY()+5)&gt;=MAX(Plants!N26,TODAY()),MOD((TODAY()+5)-MAX(Plants!N26,TODAY()),MAX(1,N(Plants!H26)))=0),"Water, feed","Water"),IF(AND(ISNUMBER(Plants!N26),N(Plants!H26)&gt;0,(TODAY()+5)&gt;=MAX(Plants!N26,TODAY()),MOD((TODAY()+5)-MAX(Plants!N26,TODAY()),MAX(1,N(Plants!H26)))=0),"Feed",""))</f>
        <v/>
      </c>
      <c r="J26" s="13">
        <f>IF(AND(ISNUMBER(Plants!L26),N(Plants!S26)&gt;0,(TODAY()+6)&gt;=MAX(Plants!L26,TODAY()),MOD((TODAY()+6)-MAX(Plants!L26,TODAY()),MAX(1,N(Plants!S26)))=0),IF(AND(ISNUMBER(Plants!N26),N(Plants!H26)&gt;0,(TODAY()+6)&gt;=MAX(Plants!N26,TODAY()),MOD((TODAY()+6)-MAX(Plants!N26,TODAY()),MAX(1,N(Plants!H26)))=0),"Water, feed","Water"),IF(AND(ISNUMBER(Plants!N26),N(Plants!H26)&gt;0,(TODAY()+6)&gt;=MAX(Plants!N26,TODAY()),MOD((TODAY()+6)-MAX(Plants!N26,TODAY()),MAX(1,N(Plants!H26)))=0),"Feed",""))</f>
        <v/>
      </c>
      <c r="K26" s="1" t="n"/>
    </row>
    <row r="27">
      <c r="A27" s="1" t="n"/>
      <c r="B27" s="15">
        <f>IF(Plants!B27="","",Plants!B27)</f>
        <v/>
      </c>
      <c r="C27" s="16">
        <f>IF(Plants!B27="","",Plants!D27)</f>
        <v/>
      </c>
      <c r="D27" s="13">
        <f>IF(AND(ISNUMBER(Plants!L27),N(Plants!S27)&gt;0,(TODAY()+0)&gt;=MAX(Plants!L27,TODAY()),MOD((TODAY()+0)-MAX(Plants!L27,TODAY()),MAX(1,N(Plants!S27)))=0),IF(AND(ISNUMBER(Plants!N27),N(Plants!H27)&gt;0,(TODAY()+0)&gt;=MAX(Plants!N27,TODAY()),MOD((TODAY()+0)-MAX(Plants!N27,TODAY()),MAX(1,N(Plants!H27)))=0),"Water, feed","Water"),IF(AND(ISNUMBER(Plants!N27),N(Plants!H27)&gt;0,(TODAY()+0)&gt;=MAX(Plants!N27,TODAY()),MOD((TODAY()+0)-MAX(Plants!N27,TODAY()),MAX(1,N(Plants!H27)))=0),"Feed",""))</f>
        <v/>
      </c>
      <c r="E27" s="13">
        <f>IF(AND(ISNUMBER(Plants!L27),N(Plants!S27)&gt;0,(TODAY()+1)&gt;=MAX(Plants!L27,TODAY()),MOD((TODAY()+1)-MAX(Plants!L27,TODAY()),MAX(1,N(Plants!S27)))=0),IF(AND(ISNUMBER(Plants!N27),N(Plants!H27)&gt;0,(TODAY()+1)&gt;=MAX(Plants!N27,TODAY()),MOD((TODAY()+1)-MAX(Plants!N27,TODAY()),MAX(1,N(Plants!H27)))=0),"Water, feed","Water"),IF(AND(ISNUMBER(Plants!N27),N(Plants!H27)&gt;0,(TODAY()+1)&gt;=MAX(Plants!N27,TODAY()),MOD((TODAY()+1)-MAX(Plants!N27,TODAY()),MAX(1,N(Plants!H27)))=0),"Feed",""))</f>
        <v/>
      </c>
      <c r="F27" s="13">
        <f>IF(AND(ISNUMBER(Plants!L27),N(Plants!S27)&gt;0,(TODAY()+2)&gt;=MAX(Plants!L27,TODAY()),MOD((TODAY()+2)-MAX(Plants!L27,TODAY()),MAX(1,N(Plants!S27)))=0),IF(AND(ISNUMBER(Plants!N27),N(Plants!H27)&gt;0,(TODAY()+2)&gt;=MAX(Plants!N27,TODAY()),MOD((TODAY()+2)-MAX(Plants!N27,TODAY()),MAX(1,N(Plants!H27)))=0),"Water, feed","Water"),IF(AND(ISNUMBER(Plants!N27),N(Plants!H27)&gt;0,(TODAY()+2)&gt;=MAX(Plants!N27,TODAY()),MOD((TODAY()+2)-MAX(Plants!N27,TODAY()),MAX(1,N(Plants!H27)))=0),"Feed",""))</f>
        <v/>
      </c>
      <c r="G27" s="13">
        <f>IF(AND(ISNUMBER(Plants!L27),N(Plants!S27)&gt;0,(TODAY()+3)&gt;=MAX(Plants!L27,TODAY()),MOD((TODAY()+3)-MAX(Plants!L27,TODAY()),MAX(1,N(Plants!S27)))=0),IF(AND(ISNUMBER(Plants!N27),N(Plants!H27)&gt;0,(TODAY()+3)&gt;=MAX(Plants!N27,TODAY()),MOD((TODAY()+3)-MAX(Plants!N27,TODAY()),MAX(1,N(Plants!H27)))=0),"Water, feed","Water"),IF(AND(ISNUMBER(Plants!N27),N(Plants!H27)&gt;0,(TODAY()+3)&gt;=MAX(Plants!N27,TODAY()),MOD((TODAY()+3)-MAX(Plants!N27,TODAY()),MAX(1,N(Plants!H27)))=0),"Feed",""))</f>
        <v/>
      </c>
      <c r="H27" s="13">
        <f>IF(AND(ISNUMBER(Plants!L27),N(Plants!S27)&gt;0,(TODAY()+4)&gt;=MAX(Plants!L27,TODAY()),MOD((TODAY()+4)-MAX(Plants!L27,TODAY()),MAX(1,N(Plants!S27)))=0),IF(AND(ISNUMBER(Plants!N27),N(Plants!H27)&gt;0,(TODAY()+4)&gt;=MAX(Plants!N27,TODAY()),MOD((TODAY()+4)-MAX(Plants!N27,TODAY()),MAX(1,N(Plants!H27)))=0),"Water, feed","Water"),IF(AND(ISNUMBER(Plants!N27),N(Plants!H27)&gt;0,(TODAY()+4)&gt;=MAX(Plants!N27,TODAY()),MOD((TODAY()+4)-MAX(Plants!N27,TODAY()),MAX(1,N(Plants!H27)))=0),"Feed",""))</f>
        <v/>
      </c>
      <c r="I27" s="13">
        <f>IF(AND(ISNUMBER(Plants!L27),N(Plants!S27)&gt;0,(TODAY()+5)&gt;=MAX(Plants!L27,TODAY()),MOD((TODAY()+5)-MAX(Plants!L27,TODAY()),MAX(1,N(Plants!S27)))=0),IF(AND(ISNUMBER(Plants!N27),N(Plants!H27)&gt;0,(TODAY()+5)&gt;=MAX(Plants!N27,TODAY()),MOD((TODAY()+5)-MAX(Plants!N27,TODAY()),MAX(1,N(Plants!H27)))=0),"Water, feed","Water"),IF(AND(ISNUMBER(Plants!N27),N(Plants!H27)&gt;0,(TODAY()+5)&gt;=MAX(Plants!N27,TODAY()),MOD((TODAY()+5)-MAX(Plants!N27,TODAY()),MAX(1,N(Plants!H27)))=0),"Feed",""))</f>
        <v/>
      </c>
      <c r="J27" s="13">
        <f>IF(AND(ISNUMBER(Plants!L27),N(Plants!S27)&gt;0,(TODAY()+6)&gt;=MAX(Plants!L27,TODAY()),MOD((TODAY()+6)-MAX(Plants!L27,TODAY()),MAX(1,N(Plants!S27)))=0),IF(AND(ISNUMBER(Plants!N27),N(Plants!H27)&gt;0,(TODAY()+6)&gt;=MAX(Plants!N27,TODAY()),MOD((TODAY()+6)-MAX(Plants!N27,TODAY()),MAX(1,N(Plants!H27)))=0),"Water, feed","Water"),IF(AND(ISNUMBER(Plants!N27),N(Plants!H27)&gt;0,(TODAY()+6)&gt;=MAX(Plants!N27,TODAY()),MOD((TODAY()+6)-MAX(Plants!N27,TODAY()),MAX(1,N(Plants!H27)))=0),"Feed",""))</f>
        <v/>
      </c>
      <c r="K27" s="1" t="n"/>
    </row>
    <row r="28">
      <c r="A28" s="1" t="n"/>
      <c r="B28" s="15">
        <f>IF(Plants!B28="","",Plants!B28)</f>
        <v/>
      </c>
      <c r="C28" s="16">
        <f>IF(Plants!B28="","",Plants!D28)</f>
        <v/>
      </c>
      <c r="D28" s="13">
        <f>IF(AND(ISNUMBER(Plants!L28),N(Plants!S28)&gt;0,(TODAY()+0)&gt;=MAX(Plants!L28,TODAY()),MOD((TODAY()+0)-MAX(Plants!L28,TODAY()),MAX(1,N(Plants!S28)))=0),IF(AND(ISNUMBER(Plants!N28),N(Plants!H28)&gt;0,(TODAY()+0)&gt;=MAX(Plants!N28,TODAY()),MOD((TODAY()+0)-MAX(Plants!N28,TODAY()),MAX(1,N(Plants!H28)))=0),"Water, feed","Water"),IF(AND(ISNUMBER(Plants!N28),N(Plants!H28)&gt;0,(TODAY()+0)&gt;=MAX(Plants!N28,TODAY()),MOD((TODAY()+0)-MAX(Plants!N28,TODAY()),MAX(1,N(Plants!H28)))=0),"Feed",""))</f>
        <v/>
      </c>
      <c r="E28" s="13">
        <f>IF(AND(ISNUMBER(Plants!L28),N(Plants!S28)&gt;0,(TODAY()+1)&gt;=MAX(Plants!L28,TODAY()),MOD((TODAY()+1)-MAX(Plants!L28,TODAY()),MAX(1,N(Plants!S28)))=0),IF(AND(ISNUMBER(Plants!N28),N(Plants!H28)&gt;0,(TODAY()+1)&gt;=MAX(Plants!N28,TODAY()),MOD((TODAY()+1)-MAX(Plants!N28,TODAY()),MAX(1,N(Plants!H28)))=0),"Water, feed","Water"),IF(AND(ISNUMBER(Plants!N28),N(Plants!H28)&gt;0,(TODAY()+1)&gt;=MAX(Plants!N28,TODAY()),MOD((TODAY()+1)-MAX(Plants!N28,TODAY()),MAX(1,N(Plants!H28)))=0),"Feed",""))</f>
        <v/>
      </c>
      <c r="F28" s="13">
        <f>IF(AND(ISNUMBER(Plants!L28),N(Plants!S28)&gt;0,(TODAY()+2)&gt;=MAX(Plants!L28,TODAY()),MOD((TODAY()+2)-MAX(Plants!L28,TODAY()),MAX(1,N(Plants!S28)))=0),IF(AND(ISNUMBER(Plants!N28),N(Plants!H28)&gt;0,(TODAY()+2)&gt;=MAX(Plants!N28,TODAY()),MOD((TODAY()+2)-MAX(Plants!N28,TODAY()),MAX(1,N(Plants!H28)))=0),"Water, feed","Water"),IF(AND(ISNUMBER(Plants!N28),N(Plants!H28)&gt;0,(TODAY()+2)&gt;=MAX(Plants!N28,TODAY()),MOD((TODAY()+2)-MAX(Plants!N28,TODAY()),MAX(1,N(Plants!H28)))=0),"Feed",""))</f>
        <v/>
      </c>
      <c r="G28" s="13">
        <f>IF(AND(ISNUMBER(Plants!L28),N(Plants!S28)&gt;0,(TODAY()+3)&gt;=MAX(Plants!L28,TODAY()),MOD((TODAY()+3)-MAX(Plants!L28,TODAY()),MAX(1,N(Plants!S28)))=0),IF(AND(ISNUMBER(Plants!N28),N(Plants!H28)&gt;0,(TODAY()+3)&gt;=MAX(Plants!N28,TODAY()),MOD((TODAY()+3)-MAX(Plants!N28,TODAY()),MAX(1,N(Plants!H28)))=0),"Water, feed","Water"),IF(AND(ISNUMBER(Plants!N28),N(Plants!H28)&gt;0,(TODAY()+3)&gt;=MAX(Plants!N28,TODAY()),MOD((TODAY()+3)-MAX(Plants!N28,TODAY()),MAX(1,N(Plants!H28)))=0),"Feed",""))</f>
        <v/>
      </c>
      <c r="H28" s="13">
        <f>IF(AND(ISNUMBER(Plants!L28),N(Plants!S28)&gt;0,(TODAY()+4)&gt;=MAX(Plants!L28,TODAY()),MOD((TODAY()+4)-MAX(Plants!L28,TODAY()),MAX(1,N(Plants!S28)))=0),IF(AND(ISNUMBER(Plants!N28),N(Plants!H28)&gt;0,(TODAY()+4)&gt;=MAX(Plants!N28,TODAY()),MOD((TODAY()+4)-MAX(Plants!N28,TODAY()),MAX(1,N(Plants!H28)))=0),"Water, feed","Water"),IF(AND(ISNUMBER(Plants!N28),N(Plants!H28)&gt;0,(TODAY()+4)&gt;=MAX(Plants!N28,TODAY()),MOD((TODAY()+4)-MAX(Plants!N28,TODAY()),MAX(1,N(Plants!H28)))=0),"Feed",""))</f>
        <v/>
      </c>
      <c r="I28" s="13">
        <f>IF(AND(ISNUMBER(Plants!L28),N(Plants!S28)&gt;0,(TODAY()+5)&gt;=MAX(Plants!L28,TODAY()),MOD((TODAY()+5)-MAX(Plants!L28,TODAY()),MAX(1,N(Plants!S28)))=0),IF(AND(ISNUMBER(Plants!N28),N(Plants!H28)&gt;0,(TODAY()+5)&gt;=MAX(Plants!N28,TODAY()),MOD((TODAY()+5)-MAX(Plants!N28,TODAY()),MAX(1,N(Plants!H28)))=0),"Water, feed","Water"),IF(AND(ISNUMBER(Plants!N28),N(Plants!H28)&gt;0,(TODAY()+5)&gt;=MAX(Plants!N28,TODAY()),MOD((TODAY()+5)-MAX(Plants!N28,TODAY()),MAX(1,N(Plants!H28)))=0),"Feed",""))</f>
        <v/>
      </c>
      <c r="J28" s="13">
        <f>IF(AND(ISNUMBER(Plants!L28),N(Plants!S28)&gt;0,(TODAY()+6)&gt;=MAX(Plants!L28,TODAY()),MOD((TODAY()+6)-MAX(Plants!L28,TODAY()),MAX(1,N(Plants!S28)))=0),IF(AND(ISNUMBER(Plants!N28),N(Plants!H28)&gt;0,(TODAY()+6)&gt;=MAX(Plants!N28,TODAY()),MOD((TODAY()+6)-MAX(Plants!N28,TODAY()),MAX(1,N(Plants!H28)))=0),"Water, feed","Water"),IF(AND(ISNUMBER(Plants!N28),N(Plants!H28)&gt;0,(TODAY()+6)&gt;=MAX(Plants!N28,TODAY()),MOD((TODAY()+6)-MAX(Plants!N28,TODAY()),MAX(1,N(Plants!H28)))=0),"Feed",""))</f>
        <v/>
      </c>
      <c r="K28" s="1" t="n"/>
    </row>
    <row r="29">
      <c r="A29" s="1" t="n"/>
      <c r="B29" s="15">
        <f>IF(Plants!B29="","",Plants!B29)</f>
        <v/>
      </c>
      <c r="C29" s="16">
        <f>IF(Plants!B29="","",Plants!D29)</f>
        <v/>
      </c>
      <c r="D29" s="13">
        <f>IF(AND(ISNUMBER(Plants!L29),N(Plants!S29)&gt;0,(TODAY()+0)&gt;=MAX(Plants!L29,TODAY()),MOD((TODAY()+0)-MAX(Plants!L29,TODAY()),MAX(1,N(Plants!S29)))=0),IF(AND(ISNUMBER(Plants!N29),N(Plants!H29)&gt;0,(TODAY()+0)&gt;=MAX(Plants!N29,TODAY()),MOD((TODAY()+0)-MAX(Plants!N29,TODAY()),MAX(1,N(Plants!H29)))=0),"Water, feed","Water"),IF(AND(ISNUMBER(Plants!N29),N(Plants!H29)&gt;0,(TODAY()+0)&gt;=MAX(Plants!N29,TODAY()),MOD((TODAY()+0)-MAX(Plants!N29,TODAY()),MAX(1,N(Plants!H29)))=0),"Feed",""))</f>
        <v/>
      </c>
      <c r="E29" s="13">
        <f>IF(AND(ISNUMBER(Plants!L29),N(Plants!S29)&gt;0,(TODAY()+1)&gt;=MAX(Plants!L29,TODAY()),MOD((TODAY()+1)-MAX(Plants!L29,TODAY()),MAX(1,N(Plants!S29)))=0),IF(AND(ISNUMBER(Plants!N29),N(Plants!H29)&gt;0,(TODAY()+1)&gt;=MAX(Plants!N29,TODAY()),MOD((TODAY()+1)-MAX(Plants!N29,TODAY()),MAX(1,N(Plants!H29)))=0),"Water, feed","Water"),IF(AND(ISNUMBER(Plants!N29),N(Plants!H29)&gt;0,(TODAY()+1)&gt;=MAX(Plants!N29,TODAY()),MOD((TODAY()+1)-MAX(Plants!N29,TODAY()),MAX(1,N(Plants!H29)))=0),"Feed",""))</f>
        <v/>
      </c>
      <c r="F29" s="13">
        <f>IF(AND(ISNUMBER(Plants!L29),N(Plants!S29)&gt;0,(TODAY()+2)&gt;=MAX(Plants!L29,TODAY()),MOD((TODAY()+2)-MAX(Plants!L29,TODAY()),MAX(1,N(Plants!S29)))=0),IF(AND(ISNUMBER(Plants!N29),N(Plants!H29)&gt;0,(TODAY()+2)&gt;=MAX(Plants!N29,TODAY()),MOD((TODAY()+2)-MAX(Plants!N29,TODAY()),MAX(1,N(Plants!H29)))=0),"Water, feed","Water"),IF(AND(ISNUMBER(Plants!N29),N(Plants!H29)&gt;0,(TODAY()+2)&gt;=MAX(Plants!N29,TODAY()),MOD((TODAY()+2)-MAX(Plants!N29,TODAY()),MAX(1,N(Plants!H29)))=0),"Feed",""))</f>
        <v/>
      </c>
      <c r="G29" s="13">
        <f>IF(AND(ISNUMBER(Plants!L29),N(Plants!S29)&gt;0,(TODAY()+3)&gt;=MAX(Plants!L29,TODAY()),MOD((TODAY()+3)-MAX(Plants!L29,TODAY()),MAX(1,N(Plants!S29)))=0),IF(AND(ISNUMBER(Plants!N29),N(Plants!H29)&gt;0,(TODAY()+3)&gt;=MAX(Plants!N29,TODAY()),MOD((TODAY()+3)-MAX(Plants!N29,TODAY()),MAX(1,N(Plants!H29)))=0),"Water, feed","Water"),IF(AND(ISNUMBER(Plants!N29),N(Plants!H29)&gt;0,(TODAY()+3)&gt;=MAX(Plants!N29,TODAY()),MOD((TODAY()+3)-MAX(Plants!N29,TODAY()),MAX(1,N(Plants!H29)))=0),"Feed",""))</f>
        <v/>
      </c>
      <c r="H29" s="13">
        <f>IF(AND(ISNUMBER(Plants!L29),N(Plants!S29)&gt;0,(TODAY()+4)&gt;=MAX(Plants!L29,TODAY()),MOD((TODAY()+4)-MAX(Plants!L29,TODAY()),MAX(1,N(Plants!S29)))=0),IF(AND(ISNUMBER(Plants!N29),N(Plants!H29)&gt;0,(TODAY()+4)&gt;=MAX(Plants!N29,TODAY()),MOD((TODAY()+4)-MAX(Plants!N29,TODAY()),MAX(1,N(Plants!H29)))=0),"Water, feed","Water"),IF(AND(ISNUMBER(Plants!N29),N(Plants!H29)&gt;0,(TODAY()+4)&gt;=MAX(Plants!N29,TODAY()),MOD((TODAY()+4)-MAX(Plants!N29,TODAY()),MAX(1,N(Plants!H29)))=0),"Feed",""))</f>
        <v/>
      </c>
      <c r="I29" s="13">
        <f>IF(AND(ISNUMBER(Plants!L29),N(Plants!S29)&gt;0,(TODAY()+5)&gt;=MAX(Plants!L29,TODAY()),MOD((TODAY()+5)-MAX(Plants!L29,TODAY()),MAX(1,N(Plants!S29)))=0),IF(AND(ISNUMBER(Plants!N29),N(Plants!H29)&gt;0,(TODAY()+5)&gt;=MAX(Plants!N29,TODAY()),MOD((TODAY()+5)-MAX(Plants!N29,TODAY()),MAX(1,N(Plants!H29)))=0),"Water, feed","Water"),IF(AND(ISNUMBER(Plants!N29),N(Plants!H29)&gt;0,(TODAY()+5)&gt;=MAX(Plants!N29,TODAY()),MOD((TODAY()+5)-MAX(Plants!N29,TODAY()),MAX(1,N(Plants!H29)))=0),"Feed",""))</f>
        <v/>
      </c>
      <c r="J29" s="13">
        <f>IF(AND(ISNUMBER(Plants!L29),N(Plants!S29)&gt;0,(TODAY()+6)&gt;=MAX(Plants!L29,TODAY()),MOD((TODAY()+6)-MAX(Plants!L29,TODAY()),MAX(1,N(Plants!S29)))=0),IF(AND(ISNUMBER(Plants!N29),N(Plants!H29)&gt;0,(TODAY()+6)&gt;=MAX(Plants!N29,TODAY()),MOD((TODAY()+6)-MAX(Plants!N29,TODAY()),MAX(1,N(Plants!H29)))=0),"Water, feed","Water"),IF(AND(ISNUMBER(Plants!N29),N(Plants!H29)&gt;0,(TODAY()+6)&gt;=MAX(Plants!N29,TODAY()),MOD((TODAY()+6)-MAX(Plants!N29,TODAY()),MAX(1,N(Plants!H29)))=0),"Feed",""))</f>
        <v/>
      </c>
      <c r="K29" s="1" t="n"/>
    </row>
    <row r="30">
      <c r="A30" s="1" t="n"/>
      <c r="B30" s="15">
        <f>IF(Plants!B30="","",Plants!B30)</f>
        <v/>
      </c>
      <c r="C30" s="16">
        <f>IF(Plants!B30="","",Plants!D30)</f>
        <v/>
      </c>
      <c r="D30" s="13">
        <f>IF(AND(ISNUMBER(Plants!L30),N(Plants!S30)&gt;0,(TODAY()+0)&gt;=MAX(Plants!L30,TODAY()),MOD((TODAY()+0)-MAX(Plants!L30,TODAY()),MAX(1,N(Plants!S30)))=0),IF(AND(ISNUMBER(Plants!N30),N(Plants!H30)&gt;0,(TODAY()+0)&gt;=MAX(Plants!N30,TODAY()),MOD((TODAY()+0)-MAX(Plants!N30,TODAY()),MAX(1,N(Plants!H30)))=0),"Water, feed","Water"),IF(AND(ISNUMBER(Plants!N30),N(Plants!H30)&gt;0,(TODAY()+0)&gt;=MAX(Plants!N30,TODAY()),MOD((TODAY()+0)-MAX(Plants!N30,TODAY()),MAX(1,N(Plants!H30)))=0),"Feed",""))</f>
        <v/>
      </c>
      <c r="E30" s="13">
        <f>IF(AND(ISNUMBER(Plants!L30),N(Plants!S30)&gt;0,(TODAY()+1)&gt;=MAX(Plants!L30,TODAY()),MOD((TODAY()+1)-MAX(Plants!L30,TODAY()),MAX(1,N(Plants!S30)))=0),IF(AND(ISNUMBER(Plants!N30),N(Plants!H30)&gt;0,(TODAY()+1)&gt;=MAX(Plants!N30,TODAY()),MOD((TODAY()+1)-MAX(Plants!N30,TODAY()),MAX(1,N(Plants!H30)))=0),"Water, feed","Water"),IF(AND(ISNUMBER(Plants!N30),N(Plants!H30)&gt;0,(TODAY()+1)&gt;=MAX(Plants!N30,TODAY()),MOD((TODAY()+1)-MAX(Plants!N30,TODAY()),MAX(1,N(Plants!H30)))=0),"Feed",""))</f>
        <v/>
      </c>
      <c r="F30" s="13">
        <f>IF(AND(ISNUMBER(Plants!L30),N(Plants!S30)&gt;0,(TODAY()+2)&gt;=MAX(Plants!L30,TODAY()),MOD((TODAY()+2)-MAX(Plants!L30,TODAY()),MAX(1,N(Plants!S30)))=0),IF(AND(ISNUMBER(Plants!N30),N(Plants!H30)&gt;0,(TODAY()+2)&gt;=MAX(Plants!N30,TODAY()),MOD((TODAY()+2)-MAX(Plants!N30,TODAY()),MAX(1,N(Plants!H30)))=0),"Water, feed","Water"),IF(AND(ISNUMBER(Plants!N30),N(Plants!H30)&gt;0,(TODAY()+2)&gt;=MAX(Plants!N30,TODAY()),MOD((TODAY()+2)-MAX(Plants!N30,TODAY()),MAX(1,N(Plants!H30)))=0),"Feed",""))</f>
        <v/>
      </c>
      <c r="G30" s="13">
        <f>IF(AND(ISNUMBER(Plants!L30),N(Plants!S30)&gt;0,(TODAY()+3)&gt;=MAX(Plants!L30,TODAY()),MOD((TODAY()+3)-MAX(Plants!L30,TODAY()),MAX(1,N(Plants!S30)))=0),IF(AND(ISNUMBER(Plants!N30),N(Plants!H30)&gt;0,(TODAY()+3)&gt;=MAX(Plants!N30,TODAY()),MOD((TODAY()+3)-MAX(Plants!N30,TODAY()),MAX(1,N(Plants!H30)))=0),"Water, feed","Water"),IF(AND(ISNUMBER(Plants!N30),N(Plants!H30)&gt;0,(TODAY()+3)&gt;=MAX(Plants!N30,TODAY()),MOD((TODAY()+3)-MAX(Plants!N30,TODAY()),MAX(1,N(Plants!H30)))=0),"Feed",""))</f>
        <v/>
      </c>
      <c r="H30" s="13">
        <f>IF(AND(ISNUMBER(Plants!L30),N(Plants!S30)&gt;0,(TODAY()+4)&gt;=MAX(Plants!L30,TODAY()),MOD((TODAY()+4)-MAX(Plants!L30,TODAY()),MAX(1,N(Plants!S30)))=0),IF(AND(ISNUMBER(Plants!N30),N(Plants!H30)&gt;0,(TODAY()+4)&gt;=MAX(Plants!N30,TODAY()),MOD((TODAY()+4)-MAX(Plants!N30,TODAY()),MAX(1,N(Plants!H30)))=0),"Water, feed","Water"),IF(AND(ISNUMBER(Plants!N30),N(Plants!H30)&gt;0,(TODAY()+4)&gt;=MAX(Plants!N30,TODAY()),MOD((TODAY()+4)-MAX(Plants!N30,TODAY()),MAX(1,N(Plants!H30)))=0),"Feed",""))</f>
        <v/>
      </c>
      <c r="I30" s="13">
        <f>IF(AND(ISNUMBER(Plants!L30),N(Plants!S30)&gt;0,(TODAY()+5)&gt;=MAX(Plants!L30,TODAY()),MOD((TODAY()+5)-MAX(Plants!L30,TODAY()),MAX(1,N(Plants!S30)))=0),IF(AND(ISNUMBER(Plants!N30),N(Plants!H30)&gt;0,(TODAY()+5)&gt;=MAX(Plants!N30,TODAY()),MOD((TODAY()+5)-MAX(Plants!N30,TODAY()),MAX(1,N(Plants!H30)))=0),"Water, feed","Water"),IF(AND(ISNUMBER(Plants!N30),N(Plants!H30)&gt;0,(TODAY()+5)&gt;=MAX(Plants!N30,TODAY()),MOD((TODAY()+5)-MAX(Plants!N30,TODAY()),MAX(1,N(Plants!H30)))=0),"Feed",""))</f>
        <v/>
      </c>
      <c r="J30" s="13">
        <f>IF(AND(ISNUMBER(Plants!L30),N(Plants!S30)&gt;0,(TODAY()+6)&gt;=MAX(Plants!L30,TODAY()),MOD((TODAY()+6)-MAX(Plants!L30,TODAY()),MAX(1,N(Plants!S30)))=0),IF(AND(ISNUMBER(Plants!N30),N(Plants!H30)&gt;0,(TODAY()+6)&gt;=MAX(Plants!N30,TODAY()),MOD((TODAY()+6)-MAX(Plants!N30,TODAY()),MAX(1,N(Plants!H30)))=0),"Water, feed","Water"),IF(AND(ISNUMBER(Plants!N30),N(Plants!H30)&gt;0,(TODAY()+6)&gt;=MAX(Plants!N30,TODAY()),MOD((TODAY()+6)-MAX(Plants!N30,TODAY()),MAX(1,N(Plants!H30)))=0),"Feed",""))</f>
        <v/>
      </c>
      <c r="K30" s="1" t="n"/>
    </row>
    <row r="31">
      <c r="A31" s="1" t="n"/>
      <c r="B31" s="15">
        <f>IF(Plants!B31="","",Plants!B31)</f>
        <v/>
      </c>
      <c r="C31" s="16">
        <f>IF(Plants!B31="","",Plants!D31)</f>
        <v/>
      </c>
      <c r="D31" s="13">
        <f>IF(AND(ISNUMBER(Plants!L31),N(Plants!S31)&gt;0,(TODAY()+0)&gt;=MAX(Plants!L31,TODAY()),MOD((TODAY()+0)-MAX(Plants!L31,TODAY()),MAX(1,N(Plants!S31)))=0),IF(AND(ISNUMBER(Plants!N31),N(Plants!H31)&gt;0,(TODAY()+0)&gt;=MAX(Plants!N31,TODAY()),MOD((TODAY()+0)-MAX(Plants!N31,TODAY()),MAX(1,N(Plants!H31)))=0),"Water, feed","Water"),IF(AND(ISNUMBER(Plants!N31),N(Plants!H31)&gt;0,(TODAY()+0)&gt;=MAX(Plants!N31,TODAY()),MOD((TODAY()+0)-MAX(Plants!N31,TODAY()),MAX(1,N(Plants!H31)))=0),"Feed",""))</f>
        <v/>
      </c>
      <c r="E31" s="13">
        <f>IF(AND(ISNUMBER(Plants!L31),N(Plants!S31)&gt;0,(TODAY()+1)&gt;=MAX(Plants!L31,TODAY()),MOD((TODAY()+1)-MAX(Plants!L31,TODAY()),MAX(1,N(Plants!S31)))=0),IF(AND(ISNUMBER(Plants!N31),N(Plants!H31)&gt;0,(TODAY()+1)&gt;=MAX(Plants!N31,TODAY()),MOD((TODAY()+1)-MAX(Plants!N31,TODAY()),MAX(1,N(Plants!H31)))=0),"Water, feed","Water"),IF(AND(ISNUMBER(Plants!N31),N(Plants!H31)&gt;0,(TODAY()+1)&gt;=MAX(Plants!N31,TODAY()),MOD((TODAY()+1)-MAX(Plants!N31,TODAY()),MAX(1,N(Plants!H31)))=0),"Feed",""))</f>
        <v/>
      </c>
      <c r="F31" s="13">
        <f>IF(AND(ISNUMBER(Plants!L31),N(Plants!S31)&gt;0,(TODAY()+2)&gt;=MAX(Plants!L31,TODAY()),MOD((TODAY()+2)-MAX(Plants!L31,TODAY()),MAX(1,N(Plants!S31)))=0),IF(AND(ISNUMBER(Plants!N31),N(Plants!H31)&gt;0,(TODAY()+2)&gt;=MAX(Plants!N31,TODAY()),MOD((TODAY()+2)-MAX(Plants!N31,TODAY()),MAX(1,N(Plants!H31)))=0),"Water, feed","Water"),IF(AND(ISNUMBER(Plants!N31),N(Plants!H31)&gt;0,(TODAY()+2)&gt;=MAX(Plants!N31,TODAY()),MOD((TODAY()+2)-MAX(Plants!N31,TODAY()),MAX(1,N(Plants!H31)))=0),"Feed",""))</f>
        <v/>
      </c>
      <c r="G31" s="13">
        <f>IF(AND(ISNUMBER(Plants!L31),N(Plants!S31)&gt;0,(TODAY()+3)&gt;=MAX(Plants!L31,TODAY()),MOD((TODAY()+3)-MAX(Plants!L31,TODAY()),MAX(1,N(Plants!S31)))=0),IF(AND(ISNUMBER(Plants!N31),N(Plants!H31)&gt;0,(TODAY()+3)&gt;=MAX(Plants!N31,TODAY()),MOD((TODAY()+3)-MAX(Plants!N31,TODAY()),MAX(1,N(Plants!H31)))=0),"Water, feed","Water"),IF(AND(ISNUMBER(Plants!N31),N(Plants!H31)&gt;0,(TODAY()+3)&gt;=MAX(Plants!N31,TODAY()),MOD((TODAY()+3)-MAX(Plants!N31,TODAY()),MAX(1,N(Plants!H31)))=0),"Feed",""))</f>
        <v/>
      </c>
      <c r="H31" s="13">
        <f>IF(AND(ISNUMBER(Plants!L31),N(Plants!S31)&gt;0,(TODAY()+4)&gt;=MAX(Plants!L31,TODAY()),MOD((TODAY()+4)-MAX(Plants!L31,TODAY()),MAX(1,N(Plants!S31)))=0),IF(AND(ISNUMBER(Plants!N31),N(Plants!H31)&gt;0,(TODAY()+4)&gt;=MAX(Plants!N31,TODAY()),MOD((TODAY()+4)-MAX(Plants!N31,TODAY()),MAX(1,N(Plants!H31)))=0),"Water, feed","Water"),IF(AND(ISNUMBER(Plants!N31),N(Plants!H31)&gt;0,(TODAY()+4)&gt;=MAX(Plants!N31,TODAY()),MOD((TODAY()+4)-MAX(Plants!N31,TODAY()),MAX(1,N(Plants!H31)))=0),"Feed",""))</f>
        <v/>
      </c>
      <c r="I31" s="13">
        <f>IF(AND(ISNUMBER(Plants!L31),N(Plants!S31)&gt;0,(TODAY()+5)&gt;=MAX(Plants!L31,TODAY()),MOD((TODAY()+5)-MAX(Plants!L31,TODAY()),MAX(1,N(Plants!S31)))=0),IF(AND(ISNUMBER(Plants!N31),N(Plants!H31)&gt;0,(TODAY()+5)&gt;=MAX(Plants!N31,TODAY()),MOD((TODAY()+5)-MAX(Plants!N31,TODAY()),MAX(1,N(Plants!H31)))=0),"Water, feed","Water"),IF(AND(ISNUMBER(Plants!N31),N(Plants!H31)&gt;0,(TODAY()+5)&gt;=MAX(Plants!N31,TODAY()),MOD((TODAY()+5)-MAX(Plants!N31,TODAY()),MAX(1,N(Plants!H31)))=0),"Feed",""))</f>
        <v/>
      </c>
      <c r="J31" s="13">
        <f>IF(AND(ISNUMBER(Plants!L31),N(Plants!S31)&gt;0,(TODAY()+6)&gt;=MAX(Plants!L31,TODAY()),MOD((TODAY()+6)-MAX(Plants!L31,TODAY()),MAX(1,N(Plants!S31)))=0),IF(AND(ISNUMBER(Plants!N31),N(Plants!H31)&gt;0,(TODAY()+6)&gt;=MAX(Plants!N31,TODAY()),MOD((TODAY()+6)-MAX(Plants!N31,TODAY()),MAX(1,N(Plants!H31)))=0),"Water, feed","Water"),IF(AND(ISNUMBER(Plants!N31),N(Plants!H31)&gt;0,(TODAY()+6)&gt;=MAX(Plants!N31,TODAY()),MOD((TODAY()+6)-MAX(Plants!N31,TODAY()),MAX(1,N(Plants!H31)))=0),"Feed",""))</f>
        <v/>
      </c>
      <c r="K31" s="1" t="n"/>
    </row>
    <row r="32">
      <c r="A32" s="1" t="n"/>
      <c r="B32" s="15">
        <f>IF(Plants!B32="","",Plants!B32)</f>
        <v/>
      </c>
      <c r="C32" s="16">
        <f>IF(Plants!B32="","",Plants!D32)</f>
        <v/>
      </c>
      <c r="D32" s="13">
        <f>IF(AND(ISNUMBER(Plants!L32),N(Plants!S32)&gt;0,(TODAY()+0)&gt;=MAX(Plants!L32,TODAY()),MOD((TODAY()+0)-MAX(Plants!L32,TODAY()),MAX(1,N(Plants!S32)))=0),IF(AND(ISNUMBER(Plants!N32),N(Plants!H32)&gt;0,(TODAY()+0)&gt;=MAX(Plants!N32,TODAY()),MOD((TODAY()+0)-MAX(Plants!N32,TODAY()),MAX(1,N(Plants!H32)))=0),"Water, feed","Water"),IF(AND(ISNUMBER(Plants!N32),N(Plants!H32)&gt;0,(TODAY()+0)&gt;=MAX(Plants!N32,TODAY()),MOD((TODAY()+0)-MAX(Plants!N32,TODAY()),MAX(1,N(Plants!H32)))=0),"Feed",""))</f>
        <v/>
      </c>
      <c r="E32" s="13">
        <f>IF(AND(ISNUMBER(Plants!L32),N(Plants!S32)&gt;0,(TODAY()+1)&gt;=MAX(Plants!L32,TODAY()),MOD((TODAY()+1)-MAX(Plants!L32,TODAY()),MAX(1,N(Plants!S32)))=0),IF(AND(ISNUMBER(Plants!N32),N(Plants!H32)&gt;0,(TODAY()+1)&gt;=MAX(Plants!N32,TODAY()),MOD((TODAY()+1)-MAX(Plants!N32,TODAY()),MAX(1,N(Plants!H32)))=0),"Water, feed","Water"),IF(AND(ISNUMBER(Plants!N32),N(Plants!H32)&gt;0,(TODAY()+1)&gt;=MAX(Plants!N32,TODAY()),MOD((TODAY()+1)-MAX(Plants!N32,TODAY()),MAX(1,N(Plants!H32)))=0),"Feed",""))</f>
        <v/>
      </c>
      <c r="F32" s="13">
        <f>IF(AND(ISNUMBER(Plants!L32),N(Plants!S32)&gt;0,(TODAY()+2)&gt;=MAX(Plants!L32,TODAY()),MOD((TODAY()+2)-MAX(Plants!L32,TODAY()),MAX(1,N(Plants!S32)))=0),IF(AND(ISNUMBER(Plants!N32),N(Plants!H32)&gt;0,(TODAY()+2)&gt;=MAX(Plants!N32,TODAY()),MOD((TODAY()+2)-MAX(Plants!N32,TODAY()),MAX(1,N(Plants!H32)))=0),"Water, feed","Water"),IF(AND(ISNUMBER(Plants!N32),N(Plants!H32)&gt;0,(TODAY()+2)&gt;=MAX(Plants!N32,TODAY()),MOD((TODAY()+2)-MAX(Plants!N32,TODAY()),MAX(1,N(Plants!H32)))=0),"Feed",""))</f>
        <v/>
      </c>
      <c r="G32" s="13">
        <f>IF(AND(ISNUMBER(Plants!L32),N(Plants!S32)&gt;0,(TODAY()+3)&gt;=MAX(Plants!L32,TODAY()),MOD((TODAY()+3)-MAX(Plants!L32,TODAY()),MAX(1,N(Plants!S32)))=0),IF(AND(ISNUMBER(Plants!N32),N(Plants!H32)&gt;0,(TODAY()+3)&gt;=MAX(Plants!N32,TODAY()),MOD((TODAY()+3)-MAX(Plants!N32,TODAY()),MAX(1,N(Plants!H32)))=0),"Water, feed","Water"),IF(AND(ISNUMBER(Plants!N32),N(Plants!H32)&gt;0,(TODAY()+3)&gt;=MAX(Plants!N32,TODAY()),MOD((TODAY()+3)-MAX(Plants!N32,TODAY()),MAX(1,N(Plants!H32)))=0),"Feed",""))</f>
        <v/>
      </c>
      <c r="H32" s="13">
        <f>IF(AND(ISNUMBER(Plants!L32),N(Plants!S32)&gt;0,(TODAY()+4)&gt;=MAX(Plants!L32,TODAY()),MOD((TODAY()+4)-MAX(Plants!L32,TODAY()),MAX(1,N(Plants!S32)))=0),IF(AND(ISNUMBER(Plants!N32),N(Plants!H32)&gt;0,(TODAY()+4)&gt;=MAX(Plants!N32,TODAY()),MOD((TODAY()+4)-MAX(Plants!N32,TODAY()),MAX(1,N(Plants!H32)))=0),"Water, feed","Water"),IF(AND(ISNUMBER(Plants!N32),N(Plants!H32)&gt;0,(TODAY()+4)&gt;=MAX(Plants!N32,TODAY()),MOD((TODAY()+4)-MAX(Plants!N32,TODAY()),MAX(1,N(Plants!H32)))=0),"Feed",""))</f>
        <v/>
      </c>
      <c r="I32" s="13">
        <f>IF(AND(ISNUMBER(Plants!L32),N(Plants!S32)&gt;0,(TODAY()+5)&gt;=MAX(Plants!L32,TODAY()),MOD((TODAY()+5)-MAX(Plants!L32,TODAY()),MAX(1,N(Plants!S32)))=0),IF(AND(ISNUMBER(Plants!N32),N(Plants!H32)&gt;0,(TODAY()+5)&gt;=MAX(Plants!N32,TODAY()),MOD((TODAY()+5)-MAX(Plants!N32,TODAY()),MAX(1,N(Plants!H32)))=0),"Water, feed","Water"),IF(AND(ISNUMBER(Plants!N32),N(Plants!H32)&gt;0,(TODAY()+5)&gt;=MAX(Plants!N32,TODAY()),MOD((TODAY()+5)-MAX(Plants!N32,TODAY()),MAX(1,N(Plants!H32)))=0),"Feed",""))</f>
        <v/>
      </c>
      <c r="J32" s="13">
        <f>IF(AND(ISNUMBER(Plants!L32),N(Plants!S32)&gt;0,(TODAY()+6)&gt;=MAX(Plants!L32,TODAY()),MOD((TODAY()+6)-MAX(Plants!L32,TODAY()),MAX(1,N(Plants!S32)))=0),IF(AND(ISNUMBER(Plants!N32),N(Plants!H32)&gt;0,(TODAY()+6)&gt;=MAX(Plants!N32,TODAY()),MOD((TODAY()+6)-MAX(Plants!N32,TODAY()),MAX(1,N(Plants!H32)))=0),"Water, feed","Water"),IF(AND(ISNUMBER(Plants!N32),N(Plants!H32)&gt;0,(TODAY()+6)&gt;=MAX(Plants!N32,TODAY()),MOD((TODAY()+6)-MAX(Plants!N32,TODAY()),MAX(1,N(Plants!H32)))=0),"Feed",""))</f>
        <v/>
      </c>
      <c r="K32" s="1" t="n"/>
    </row>
    <row r="33">
      <c r="A33" s="1" t="n"/>
      <c r="B33" s="15">
        <f>IF(Plants!B33="","",Plants!B33)</f>
        <v/>
      </c>
      <c r="C33" s="16">
        <f>IF(Plants!B33="","",Plants!D33)</f>
        <v/>
      </c>
      <c r="D33" s="13">
        <f>IF(AND(ISNUMBER(Plants!L33),N(Plants!S33)&gt;0,(TODAY()+0)&gt;=MAX(Plants!L33,TODAY()),MOD((TODAY()+0)-MAX(Plants!L33,TODAY()),MAX(1,N(Plants!S33)))=0),IF(AND(ISNUMBER(Plants!N33),N(Plants!H33)&gt;0,(TODAY()+0)&gt;=MAX(Plants!N33,TODAY()),MOD((TODAY()+0)-MAX(Plants!N33,TODAY()),MAX(1,N(Plants!H33)))=0),"Water, feed","Water"),IF(AND(ISNUMBER(Plants!N33),N(Plants!H33)&gt;0,(TODAY()+0)&gt;=MAX(Plants!N33,TODAY()),MOD((TODAY()+0)-MAX(Plants!N33,TODAY()),MAX(1,N(Plants!H33)))=0),"Feed",""))</f>
        <v/>
      </c>
      <c r="E33" s="13">
        <f>IF(AND(ISNUMBER(Plants!L33),N(Plants!S33)&gt;0,(TODAY()+1)&gt;=MAX(Plants!L33,TODAY()),MOD((TODAY()+1)-MAX(Plants!L33,TODAY()),MAX(1,N(Plants!S33)))=0),IF(AND(ISNUMBER(Plants!N33),N(Plants!H33)&gt;0,(TODAY()+1)&gt;=MAX(Plants!N33,TODAY()),MOD((TODAY()+1)-MAX(Plants!N33,TODAY()),MAX(1,N(Plants!H33)))=0),"Water, feed","Water"),IF(AND(ISNUMBER(Plants!N33),N(Plants!H33)&gt;0,(TODAY()+1)&gt;=MAX(Plants!N33,TODAY()),MOD((TODAY()+1)-MAX(Plants!N33,TODAY()),MAX(1,N(Plants!H33)))=0),"Feed",""))</f>
        <v/>
      </c>
      <c r="F33" s="13">
        <f>IF(AND(ISNUMBER(Plants!L33),N(Plants!S33)&gt;0,(TODAY()+2)&gt;=MAX(Plants!L33,TODAY()),MOD((TODAY()+2)-MAX(Plants!L33,TODAY()),MAX(1,N(Plants!S33)))=0),IF(AND(ISNUMBER(Plants!N33),N(Plants!H33)&gt;0,(TODAY()+2)&gt;=MAX(Plants!N33,TODAY()),MOD((TODAY()+2)-MAX(Plants!N33,TODAY()),MAX(1,N(Plants!H33)))=0),"Water, feed","Water"),IF(AND(ISNUMBER(Plants!N33),N(Plants!H33)&gt;0,(TODAY()+2)&gt;=MAX(Plants!N33,TODAY()),MOD((TODAY()+2)-MAX(Plants!N33,TODAY()),MAX(1,N(Plants!H33)))=0),"Feed",""))</f>
        <v/>
      </c>
      <c r="G33" s="13">
        <f>IF(AND(ISNUMBER(Plants!L33),N(Plants!S33)&gt;0,(TODAY()+3)&gt;=MAX(Plants!L33,TODAY()),MOD((TODAY()+3)-MAX(Plants!L33,TODAY()),MAX(1,N(Plants!S33)))=0),IF(AND(ISNUMBER(Plants!N33),N(Plants!H33)&gt;0,(TODAY()+3)&gt;=MAX(Plants!N33,TODAY()),MOD((TODAY()+3)-MAX(Plants!N33,TODAY()),MAX(1,N(Plants!H33)))=0),"Water, feed","Water"),IF(AND(ISNUMBER(Plants!N33),N(Plants!H33)&gt;0,(TODAY()+3)&gt;=MAX(Plants!N33,TODAY()),MOD((TODAY()+3)-MAX(Plants!N33,TODAY()),MAX(1,N(Plants!H33)))=0),"Feed",""))</f>
        <v/>
      </c>
      <c r="H33" s="13">
        <f>IF(AND(ISNUMBER(Plants!L33),N(Plants!S33)&gt;0,(TODAY()+4)&gt;=MAX(Plants!L33,TODAY()),MOD((TODAY()+4)-MAX(Plants!L33,TODAY()),MAX(1,N(Plants!S33)))=0),IF(AND(ISNUMBER(Plants!N33),N(Plants!H33)&gt;0,(TODAY()+4)&gt;=MAX(Plants!N33,TODAY()),MOD((TODAY()+4)-MAX(Plants!N33,TODAY()),MAX(1,N(Plants!H33)))=0),"Water, feed","Water"),IF(AND(ISNUMBER(Plants!N33),N(Plants!H33)&gt;0,(TODAY()+4)&gt;=MAX(Plants!N33,TODAY()),MOD((TODAY()+4)-MAX(Plants!N33,TODAY()),MAX(1,N(Plants!H33)))=0),"Feed",""))</f>
        <v/>
      </c>
      <c r="I33" s="13">
        <f>IF(AND(ISNUMBER(Plants!L33),N(Plants!S33)&gt;0,(TODAY()+5)&gt;=MAX(Plants!L33,TODAY()),MOD((TODAY()+5)-MAX(Plants!L33,TODAY()),MAX(1,N(Plants!S33)))=0),IF(AND(ISNUMBER(Plants!N33),N(Plants!H33)&gt;0,(TODAY()+5)&gt;=MAX(Plants!N33,TODAY()),MOD((TODAY()+5)-MAX(Plants!N33,TODAY()),MAX(1,N(Plants!H33)))=0),"Water, feed","Water"),IF(AND(ISNUMBER(Plants!N33),N(Plants!H33)&gt;0,(TODAY()+5)&gt;=MAX(Plants!N33,TODAY()),MOD((TODAY()+5)-MAX(Plants!N33,TODAY()),MAX(1,N(Plants!H33)))=0),"Feed",""))</f>
        <v/>
      </c>
      <c r="J33" s="13">
        <f>IF(AND(ISNUMBER(Plants!L33),N(Plants!S33)&gt;0,(TODAY()+6)&gt;=MAX(Plants!L33,TODAY()),MOD((TODAY()+6)-MAX(Plants!L33,TODAY()),MAX(1,N(Plants!S33)))=0),IF(AND(ISNUMBER(Plants!N33),N(Plants!H33)&gt;0,(TODAY()+6)&gt;=MAX(Plants!N33,TODAY()),MOD((TODAY()+6)-MAX(Plants!N33,TODAY()),MAX(1,N(Plants!H33)))=0),"Water, feed","Water"),IF(AND(ISNUMBER(Plants!N33),N(Plants!H33)&gt;0,(TODAY()+6)&gt;=MAX(Plants!N33,TODAY()),MOD((TODAY()+6)-MAX(Plants!N33,TODAY()),MAX(1,N(Plants!H33)))=0),"Feed",""))</f>
        <v/>
      </c>
      <c r="K33" s="1" t="n"/>
    </row>
    <row r="34">
      <c r="A34" s="1" t="n"/>
      <c r="B34" s="15">
        <f>IF(Plants!B34="","",Plants!B34)</f>
        <v/>
      </c>
      <c r="C34" s="16">
        <f>IF(Plants!B34="","",Plants!D34)</f>
        <v/>
      </c>
      <c r="D34" s="13">
        <f>IF(AND(ISNUMBER(Plants!L34),N(Plants!S34)&gt;0,(TODAY()+0)&gt;=MAX(Plants!L34,TODAY()),MOD((TODAY()+0)-MAX(Plants!L34,TODAY()),MAX(1,N(Plants!S34)))=0),IF(AND(ISNUMBER(Plants!N34),N(Plants!H34)&gt;0,(TODAY()+0)&gt;=MAX(Plants!N34,TODAY()),MOD((TODAY()+0)-MAX(Plants!N34,TODAY()),MAX(1,N(Plants!H34)))=0),"Water, feed","Water"),IF(AND(ISNUMBER(Plants!N34),N(Plants!H34)&gt;0,(TODAY()+0)&gt;=MAX(Plants!N34,TODAY()),MOD((TODAY()+0)-MAX(Plants!N34,TODAY()),MAX(1,N(Plants!H34)))=0),"Feed",""))</f>
        <v/>
      </c>
      <c r="E34" s="13">
        <f>IF(AND(ISNUMBER(Plants!L34),N(Plants!S34)&gt;0,(TODAY()+1)&gt;=MAX(Plants!L34,TODAY()),MOD((TODAY()+1)-MAX(Plants!L34,TODAY()),MAX(1,N(Plants!S34)))=0),IF(AND(ISNUMBER(Plants!N34),N(Plants!H34)&gt;0,(TODAY()+1)&gt;=MAX(Plants!N34,TODAY()),MOD((TODAY()+1)-MAX(Plants!N34,TODAY()),MAX(1,N(Plants!H34)))=0),"Water, feed","Water"),IF(AND(ISNUMBER(Plants!N34),N(Plants!H34)&gt;0,(TODAY()+1)&gt;=MAX(Plants!N34,TODAY()),MOD((TODAY()+1)-MAX(Plants!N34,TODAY()),MAX(1,N(Plants!H34)))=0),"Feed",""))</f>
        <v/>
      </c>
      <c r="F34" s="13">
        <f>IF(AND(ISNUMBER(Plants!L34),N(Plants!S34)&gt;0,(TODAY()+2)&gt;=MAX(Plants!L34,TODAY()),MOD((TODAY()+2)-MAX(Plants!L34,TODAY()),MAX(1,N(Plants!S34)))=0),IF(AND(ISNUMBER(Plants!N34),N(Plants!H34)&gt;0,(TODAY()+2)&gt;=MAX(Plants!N34,TODAY()),MOD((TODAY()+2)-MAX(Plants!N34,TODAY()),MAX(1,N(Plants!H34)))=0),"Water, feed","Water"),IF(AND(ISNUMBER(Plants!N34),N(Plants!H34)&gt;0,(TODAY()+2)&gt;=MAX(Plants!N34,TODAY()),MOD((TODAY()+2)-MAX(Plants!N34,TODAY()),MAX(1,N(Plants!H34)))=0),"Feed",""))</f>
        <v/>
      </c>
      <c r="G34" s="13">
        <f>IF(AND(ISNUMBER(Plants!L34),N(Plants!S34)&gt;0,(TODAY()+3)&gt;=MAX(Plants!L34,TODAY()),MOD((TODAY()+3)-MAX(Plants!L34,TODAY()),MAX(1,N(Plants!S34)))=0),IF(AND(ISNUMBER(Plants!N34),N(Plants!H34)&gt;0,(TODAY()+3)&gt;=MAX(Plants!N34,TODAY()),MOD((TODAY()+3)-MAX(Plants!N34,TODAY()),MAX(1,N(Plants!H34)))=0),"Water, feed","Water"),IF(AND(ISNUMBER(Plants!N34),N(Plants!H34)&gt;0,(TODAY()+3)&gt;=MAX(Plants!N34,TODAY()),MOD((TODAY()+3)-MAX(Plants!N34,TODAY()),MAX(1,N(Plants!H34)))=0),"Feed",""))</f>
        <v/>
      </c>
      <c r="H34" s="13">
        <f>IF(AND(ISNUMBER(Plants!L34),N(Plants!S34)&gt;0,(TODAY()+4)&gt;=MAX(Plants!L34,TODAY()),MOD((TODAY()+4)-MAX(Plants!L34,TODAY()),MAX(1,N(Plants!S34)))=0),IF(AND(ISNUMBER(Plants!N34),N(Plants!H34)&gt;0,(TODAY()+4)&gt;=MAX(Plants!N34,TODAY()),MOD((TODAY()+4)-MAX(Plants!N34,TODAY()),MAX(1,N(Plants!H34)))=0),"Water, feed","Water"),IF(AND(ISNUMBER(Plants!N34),N(Plants!H34)&gt;0,(TODAY()+4)&gt;=MAX(Plants!N34,TODAY()),MOD((TODAY()+4)-MAX(Plants!N34,TODAY()),MAX(1,N(Plants!H34)))=0),"Feed",""))</f>
        <v/>
      </c>
      <c r="I34" s="13">
        <f>IF(AND(ISNUMBER(Plants!L34),N(Plants!S34)&gt;0,(TODAY()+5)&gt;=MAX(Plants!L34,TODAY()),MOD((TODAY()+5)-MAX(Plants!L34,TODAY()),MAX(1,N(Plants!S34)))=0),IF(AND(ISNUMBER(Plants!N34),N(Plants!H34)&gt;0,(TODAY()+5)&gt;=MAX(Plants!N34,TODAY()),MOD((TODAY()+5)-MAX(Plants!N34,TODAY()),MAX(1,N(Plants!H34)))=0),"Water, feed","Water"),IF(AND(ISNUMBER(Plants!N34),N(Plants!H34)&gt;0,(TODAY()+5)&gt;=MAX(Plants!N34,TODAY()),MOD((TODAY()+5)-MAX(Plants!N34,TODAY()),MAX(1,N(Plants!H34)))=0),"Feed",""))</f>
        <v/>
      </c>
      <c r="J34" s="13">
        <f>IF(AND(ISNUMBER(Plants!L34),N(Plants!S34)&gt;0,(TODAY()+6)&gt;=MAX(Plants!L34,TODAY()),MOD((TODAY()+6)-MAX(Plants!L34,TODAY()),MAX(1,N(Plants!S34)))=0),IF(AND(ISNUMBER(Plants!N34),N(Plants!H34)&gt;0,(TODAY()+6)&gt;=MAX(Plants!N34,TODAY()),MOD((TODAY()+6)-MAX(Plants!N34,TODAY()),MAX(1,N(Plants!H34)))=0),"Water, feed","Water"),IF(AND(ISNUMBER(Plants!N34),N(Plants!H34)&gt;0,(TODAY()+6)&gt;=MAX(Plants!N34,TODAY()),MOD((TODAY()+6)-MAX(Plants!N34,TODAY()),MAX(1,N(Plants!H34)))=0),"Feed",""))</f>
        <v/>
      </c>
      <c r="K34" s="1" t="n"/>
    </row>
    <row r="35">
      <c r="A35" s="1" t="n"/>
      <c r="B35" s="15">
        <f>IF(Plants!B35="","",Plants!B35)</f>
        <v/>
      </c>
      <c r="C35" s="16">
        <f>IF(Plants!B35="","",Plants!D35)</f>
        <v/>
      </c>
      <c r="D35" s="13">
        <f>IF(AND(ISNUMBER(Plants!L35),N(Plants!S35)&gt;0,(TODAY()+0)&gt;=MAX(Plants!L35,TODAY()),MOD((TODAY()+0)-MAX(Plants!L35,TODAY()),MAX(1,N(Plants!S35)))=0),IF(AND(ISNUMBER(Plants!N35),N(Plants!H35)&gt;0,(TODAY()+0)&gt;=MAX(Plants!N35,TODAY()),MOD((TODAY()+0)-MAX(Plants!N35,TODAY()),MAX(1,N(Plants!H35)))=0),"Water, feed","Water"),IF(AND(ISNUMBER(Plants!N35),N(Plants!H35)&gt;0,(TODAY()+0)&gt;=MAX(Plants!N35,TODAY()),MOD((TODAY()+0)-MAX(Plants!N35,TODAY()),MAX(1,N(Plants!H35)))=0),"Feed",""))</f>
        <v/>
      </c>
      <c r="E35" s="13">
        <f>IF(AND(ISNUMBER(Plants!L35),N(Plants!S35)&gt;0,(TODAY()+1)&gt;=MAX(Plants!L35,TODAY()),MOD((TODAY()+1)-MAX(Plants!L35,TODAY()),MAX(1,N(Plants!S35)))=0),IF(AND(ISNUMBER(Plants!N35),N(Plants!H35)&gt;0,(TODAY()+1)&gt;=MAX(Plants!N35,TODAY()),MOD((TODAY()+1)-MAX(Plants!N35,TODAY()),MAX(1,N(Plants!H35)))=0),"Water, feed","Water"),IF(AND(ISNUMBER(Plants!N35),N(Plants!H35)&gt;0,(TODAY()+1)&gt;=MAX(Plants!N35,TODAY()),MOD((TODAY()+1)-MAX(Plants!N35,TODAY()),MAX(1,N(Plants!H35)))=0),"Feed",""))</f>
        <v/>
      </c>
      <c r="F35" s="13">
        <f>IF(AND(ISNUMBER(Plants!L35),N(Plants!S35)&gt;0,(TODAY()+2)&gt;=MAX(Plants!L35,TODAY()),MOD((TODAY()+2)-MAX(Plants!L35,TODAY()),MAX(1,N(Plants!S35)))=0),IF(AND(ISNUMBER(Plants!N35),N(Plants!H35)&gt;0,(TODAY()+2)&gt;=MAX(Plants!N35,TODAY()),MOD((TODAY()+2)-MAX(Plants!N35,TODAY()),MAX(1,N(Plants!H35)))=0),"Water, feed","Water"),IF(AND(ISNUMBER(Plants!N35),N(Plants!H35)&gt;0,(TODAY()+2)&gt;=MAX(Plants!N35,TODAY()),MOD((TODAY()+2)-MAX(Plants!N35,TODAY()),MAX(1,N(Plants!H35)))=0),"Feed",""))</f>
        <v/>
      </c>
      <c r="G35" s="13">
        <f>IF(AND(ISNUMBER(Plants!L35),N(Plants!S35)&gt;0,(TODAY()+3)&gt;=MAX(Plants!L35,TODAY()),MOD((TODAY()+3)-MAX(Plants!L35,TODAY()),MAX(1,N(Plants!S35)))=0),IF(AND(ISNUMBER(Plants!N35),N(Plants!H35)&gt;0,(TODAY()+3)&gt;=MAX(Plants!N35,TODAY()),MOD((TODAY()+3)-MAX(Plants!N35,TODAY()),MAX(1,N(Plants!H35)))=0),"Water, feed","Water"),IF(AND(ISNUMBER(Plants!N35),N(Plants!H35)&gt;0,(TODAY()+3)&gt;=MAX(Plants!N35,TODAY()),MOD((TODAY()+3)-MAX(Plants!N35,TODAY()),MAX(1,N(Plants!H35)))=0),"Feed",""))</f>
        <v/>
      </c>
      <c r="H35" s="13">
        <f>IF(AND(ISNUMBER(Plants!L35),N(Plants!S35)&gt;0,(TODAY()+4)&gt;=MAX(Plants!L35,TODAY()),MOD((TODAY()+4)-MAX(Plants!L35,TODAY()),MAX(1,N(Plants!S35)))=0),IF(AND(ISNUMBER(Plants!N35),N(Plants!H35)&gt;0,(TODAY()+4)&gt;=MAX(Plants!N35,TODAY()),MOD((TODAY()+4)-MAX(Plants!N35,TODAY()),MAX(1,N(Plants!H35)))=0),"Water, feed","Water"),IF(AND(ISNUMBER(Plants!N35),N(Plants!H35)&gt;0,(TODAY()+4)&gt;=MAX(Plants!N35,TODAY()),MOD((TODAY()+4)-MAX(Plants!N35,TODAY()),MAX(1,N(Plants!H35)))=0),"Feed",""))</f>
        <v/>
      </c>
      <c r="I35" s="13">
        <f>IF(AND(ISNUMBER(Plants!L35),N(Plants!S35)&gt;0,(TODAY()+5)&gt;=MAX(Plants!L35,TODAY()),MOD((TODAY()+5)-MAX(Plants!L35,TODAY()),MAX(1,N(Plants!S35)))=0),IF(AND(ISNUMBER(Plants!N35),N(Plants!H35)&gt;0,(TODAY()+5)&gt;=MAX(Plants!N35,TODAY()),MOD((TODAY()+5)-MAX(Plants!N35,TODAY()),MAX(1,N(Plants!H35)))=0),"Water, feed","Water"),IF(AND(ISNUMBER(Plants!N35),N(Plants!H35)&gt;0,(TODAY()+5)&gt;=MAX(Plants!N35,TODAY()),MOD((TODAY()+5)-MAX(Plants!N35,TODAY()),MAX(1,N(Plants!H35)))=0),"Feed",""))</f>
        <v/>
      </c>
      <c r="J35" s="13">
        <f>IF(AND(ISNUMBER(Plants!L35),N(Plants!S35)&gt;0,(TODAY()+6)&gt;=MAX(Plants!L35,TODAY()),MOD((TODAY()+6)-MAX(Plants!L35,TODAY()),MAX(1,N(Plants!S35)))=0),IF(AND(ISNUMBER(Plants!N35),N(Plants!H35)&gt;0,(TODAY()+6)&gt;=MAX(Plants!N35,TODAY()),MOD((TODAY()+6)-MAX(Plants!N35,TODAY()),MAX(1,N(Plants!H35)))=0),"Water, feed","Water"),IF(AND(ISNUMBER(Plants!N35),N(Plants!H35)&gt;0,(TODAY()+6)&gt;=MAX(Plants!N35,TODAY()),MOD((TODAY()+6)-MAX(Plants!N35,TODAY()),MAX(1,N(Plants!H35)))=0),"Feed",""))</f>
        <v/>
      </c>
      <c r="K35" s="1" t="n"/>
    </row>
    <row r="36">
      <c r="A36" s="1" t="n"/>
      <c r="B36" s="15">
        <f>IF(Plants!B36="","",Plants!B36)</f>
        <v/>
      </c>
      <c r="C36" s="16">
        <f>IF(Plants!B36="","",Plants!D36)</f>
        <v/>
      </c>
      <c r="D36" s="13">
        <f>IF(AND(ISNUMBER(Plants!L36),N(Plants!S36)&gt;0,(TODAY()+0)&gt;=MAX(Plants!L36,TODAY()),MOD((TODAY()+0)-MAX(Plants!L36,TODAY()),MAX(1,N(Plants!S36)))=0),IF(AND(ISNUMBER(Plants!N36),N(Plants!H36)&gt;0,(TODAY()+0)&gt;=MAX(Plants!N36,TODAY()),MOD((TODAY()+0)-MAX(Plants!N36,TODAY()),MAX(1,N(Plants!H36)))=0),"Water, feed","Water"),IF(AND(ISNUMBER(Plants!N36),N(Plants!H36)&gt;0,(TODAY()+0)&gt;=MAX(Plants!N36,TODAY()),MOD((TODAY()+0)-MAX(Plants!N36,TODAY()),MAX(1,N(Plants!H36)))=0),"Feed",""))</f>
        <v/>
      </c>
      <c r="E36" s="13">
        <f>IF(AND(ISNUMBER(Plants!L36),N(Plants!S36)&gt;0,(TODAY()+1)&gt;=MAX(Plants!L36,TODAY()),MOD((TODAY()+1)-MAX(Plants!L36,TODAY()),MAX(1,N(Plants!S36)))=0),IF(AND(ISNUMBER(Plants!N36),N(Plants!H36)&gt;0,(TODAY()+1)&gt;=MAX(Plants!N36,TODAY()),MOD((TODAY()+1)-MAX(Plants!N36,TODAY()),MAX(1,N(Plants!H36)))=0),"Water, feed","Water"),IF(AND(ISNUMBER(Plants!N36),N(Plants!H36)&gt;0,(TODAY()+1)&gt;=MAX(Plants!N36,TODAY()),MOD((TODAY()+1)-MAX(Plants!N36,TODAY()),MAX(1,N(Plants!H36)))=0),"Feed",""))</f>
        <v/>
      </c>
      <c r="F36" s="13">
        <f>IF(AND(ISNUMBER(Plants!L36),N(Plants!S36)&gt;0,(TODAY()+2)&gt;=MAX(Plants!L36,TODAY()),MOD((TODAY()+2)-MAX(Plants!L36,TODAY()),MAX(1,N(Plants!S36)))=0),IF(AND(ISNUMBER(Plants!N36),N(Plants!H36)&gt;0,(TODAY()+2)&gt;=MAX(Plants!N36,TODAY()),MOD((TODAY()+2)-MAX(Plants!N36,TODAY()),MAX(1,N(Plants!H36)))=0),"Water, feed","Water"),IF(AND(ISNUMBER(Plants!N36),N(Plants!H36)&gt;0,(TODAY()+2)&gt;=MAX(Plants!N36,TODAY()),MOD((TODAY()+2)-MAX(Plants!N36,TODAY()),MAX(1,N(Plants!H36)))=0),"Feed",""))</f>
        <v/>
      </c>
      <c r="G36" s="13">
        <f>IF(AND(ISNUMBER(Plants!L36),N(Plants!S36)&gt;0,(TODAY()+3)&gt;=MAX(Plants!L36,TODAY()),MOD((TODAY()+3)-MAX(Plants!L36,TODAY()),MAX(1,N(Plants!S36)))=0),IF(AND(ISNUMBER(Plants!N36),N(Plants!H36)&gt;0,(TODAY()+3)&gt;=MAX(Plants!N36,TODAY()),MOD((TODAY()+3)-MAX(Plants!N36,TODAY()),MAX(1,N(Plants!H36)))=0),"Water, feed","Water"),IF(AND(ISNUMBER(Plants!N36),N(Plants!H36)&gt;0,(TODAY()+3)&gt;=MAX(Plants!N36,TODAY()),MOD((TODAY()+3)-MAX(Plants!N36,TODAY()),MAX(1,N(Plants!H36)))=0),"Feed",""))</f>
        <v/>
      </c>
      <c r="H36" s="13">
        <f>IF(AND(ISNUMBER(Plants!L36),N(Plants!S36)&gt;0,(TODAY()+4)&gt;=MAX(Plants!L36,TODAY()),MOD((TODAY()+4)-MAX(Plants!L36,TODAY()),MAX(1,N(Plants!S36)))=0),IF(AND(ISNUMBER(Plants!N36),N(Plants!H36)&gt;0,(TODAY()+4)&gt;=MAX(Plants!N36,TODAY()),MOD((TODAY()+4)-MAX(Plants!N36,TODAY()),MAX(1,N(Plants!H36)))=0),"Water, feed","Water"),IF(AND(ISNUMBER(Plants!N36),N(Plants!H36)&gt;0,(TODAY()+4)&gt;=MAX(Plants!N36,TODAY()),MOD((TODAY()+4)-MAX(Plants!N36,TODAY()),MAX(1,N(Plants!H36)))=0),"Feed",""))</f>
        <v/>
      </c>
      <c r="I36" s="13">
        <f>IF(AND(ISNUMBER(Plants!L36),N(Plants!S36)&gt;0,(TODAY()+5)&gt;=MAX(Plants!L36,TODAY()),MOD((TODAY()+5)-MAX(Plants!L36,TODAY()),MAX(1,N(Plants!S36)))=0),IF(AND(ISNUMBER(Plants!N36),N(Plants!H36)&gt;0,(TODAY()+5)&gt;=MAX(Plants!N36,TODAY()),MOD((TODAY()+5)-MAX(Plants!N36,TODAY()),MAX(1,N(Plants!H36)))=0),"Water, feed","Water"),IF(AND(ISNUMBER(Plants!N36),N(Plants!H36)&gt;0,(TODAY()+5)&gt;=MAX(Plants!N36,TODAY()),MOD((TODAY()+5)-MAX(Plants!N36,TODAY()),MAX(1,N(Plants!H36)))=0),"Feed",""))</f>
        <v/>
      </c>
      <c r="J36" s="13">
        <f>IF(AND(ISNUMBER(Plants!L36),N(Plants!S36)&gt;0,(TODAY()+6)&gt;=MAX(Plants!L36,TODAY()),MOD((TODAY()+6)-MAX(Plants!L36,TODAY()),MAX(1,N(Plants!S36)))=0),IF(AND(ISNUMBER(Plants!N36),N(Plants!H36)&gt;0,(TODAY()+6)&gt;=MAX(Plants!N36,TODAY()),MOD((TODAY()+6)-MAX(Plants!N36,TODAY()),MAX(1,N(Plants!H36)))=0),"Water, feed","Water"),IF(AND(ISNUMBER(Plants!N36),N(Plants!H36)&gt;0,(TODAY()+6)&gt;=MAX(Plants!N36,TODAY()),MOD((TODAY()+6)-MAX(Plants!N36,TODAY()),MAX(1,N(Plants!H36)))=0),"Feed",""))</f>
        <v/>
      </c>
      <c r="K36" s="1" t="n"/>
    </row>
    <row r="37">
      <c r="A37" s="1" t="n"/>
      <c r="B37" s="15">
        <f>IF(Plants!B37="","",Plants!B37)</f>
        <v/>
      </c>
      <c r="C37" s="16">
        <f>IF(Plants!B37="","",Plants!D37)</f>
        <v/>
      </c>
      <c r="D37" s="13">
        <f>IF(AND(ISNUMBER(Plants!L37),N(Plants!S37)&gt;0,(TODAY()+0)&gt;=MAX(Plants!L37,TODAY()),MOD((TODAY()+0)-MAX(Plants!L37,TODAY()),MAX(1,N(Plants!S37)))=0),IF(AND(ISNUMBER(Plants!N37),N(Plants!H37)&gt;0,(TODAY()+0)&gt;=MAX(Plants!N37,TODAY()),MOD((TODAY()+0)-MAX(Plants!N37,TODAY()),MAX(1,N(Plants!H37)))=0),"Water, feed","Water"),IF(AND(ISNUMBER(Plants!N37),N(Plants!H37)&gt;0,(TODAY()+0)&gt;=MAX(Plants!N37,TODAY()),MOD((TODAY()+0)-MAX(Plants!N37,TODAY()),MAX(1,N(Plants!H37)))=0),"Feed",""))</f>
        <v/>
      </c>
      <c r="E37" s="13">
        <f>IF(AND(ISNUMBER(Plants!L37),N(Plants!S37)&gt;0,(TODAY()+1)&gt;=MAX(Plants!L37,TODAY()),MOD((TODAY()+1)-MAX(Plants!L37,TODAY()),MAX(1,N(Plants!S37)))=0),IF(AND(ISNUMBER(Plants!N37),N(Plants!H37)&gt;0,(TODAY()+1)&gt;=MAX(Plants!N37,TODAY()),MOD((TODAY()+1)-MAX(Plants!N37,TODAY()),MAX(1,N(Plants!H37)))=0),"Water, feed","Water"),IF(AND(ISNUMBER(Plants!N37),N(Plants!H37)&gt;0,(TODAY()+1)&gt;=MAX(Plants!N37,TODAY()),MOD((TODAY()+1)-MAX(Plants!N37,TODAY()),MAX(1,N(Plants!H37)))=0),"Feed",""))</f>
        <v/>
      </c>
      <c r="F37" s="13">
        <f>IF(AND(ISNUMBER(Plants!L37),N(Plants!S37)&gt;0,(TODAY()+2)&gt;=MAX(Plants!L37,TODAY()),MOD((TODAY()+2)-MAX(Plants!L37,TODAY()),MAX(1,N(Plants!S37)))=0),IF(AND(ISNUMBER(Plants!N37),N(Plants!H37)&gt;0,(TODAY()+2)&gt;=MAX(Plants!N37,TODAY()),MOD((TODAY()+2)-MAX(Plants!N37,TODAY()),MAX(1,N(Plants!H37)))=0),"Water, feed","Water"),IF(AND(ISNUMBER(Plants!N37),N(Plants!H37)&gt;0,(TODAY()+2)&gt;=MAX(Plants!N37,TODAY()),MOD((TODAY()+2)-MAX(Plants!N37,TODAY()),MAX(1,N(Plants!H37)))=0),"Feed",""))</f>
        <v/>
      </c>
      <c r="G37" s="13">
        <f>IF(AND(ISNUMBER(Plants!L37),N(Plants!S37)&gt;0,(TODAY()+3)&gt;=MAX(Plants!L37,TODAY()),MOD((TODAY()+3)-MAX(Plants!L37,TODAY()),MAX(1,N(Plants!S37)))=0),IF(AND(ISNUMBER(Plants!N37),N(Plants!H37)&gt;0,(TODAY()+3)&gt;=MAX(Plants!N37,TODAY()),MOD((TODAY()+3)-MAX(Plants!N37,TODAY()),MAX(1,N(Plants!H37)))=0),"Water, feed","Water"),IF(AND(ISNUMBER(Plants!N37),N(Plants!H37)&gt;0,(TODAY()+3)&gt;=MAX(Plants!N37,TODAY()),MOD((TODAY()+3)-MAX(Plants!N37,TODAY()),MAX(1,N(Plants!H37)))=0),"Feed",""))</f>
        <v/>
      </c>
      <c r="H37" s="13">
        <f>IF(AND(ISNUMBER(Plants!L37),N(Plants!S37)&gt;0,(TODAY()+4)&gt;=MAX(Plants!L37,TODAY()),MOD((TODAY()+4)-MAX(Plants!L37,TODAY()),MAX(1,N(Plants!S37)))=0),IF(AND(ISNUMBER(Plants!N37),N(Plants!H37)&gt;0,(TODAY()+4)&gt;=MAX(Plants!N37,TODAY()),MOD((TODAY()+4)-MAX(Plants!N37,TODAY()),MAX(1,N(Plants!H37)))=0),"Water, feed","Water"),IF(AND(ISNUMBER(Plants!N37),N(Plants!H37)&gt;0,(TODAY()+4)&gt;=MAX(Plants!N37,TODAY()),MOD((TODAY()+4)-MAX(Plants!N37,TODAY()),MAX(1,N(Plants!H37)))=0),"Feed",""))</f>
        <v/>
      </c>
      <c r="I37" s="13">
        <f>IF(AND(ISNUMBER(Plants!L37),N(Plants!S37)&gt;0,(TODAY()+5)&gt;=MAX(Plants!L37,TODAY()),MOD((TODAY()+5)-MAX(Plants!L37,TODAY()),MAX(1,N(Plants!S37)))=0),IF(AND(ISNUMBER(Plants!N37),N(Plants!H37)&gt;0,(TODAY()+5)&gt;=MAX(Plants!N37,TODAY()),MOD((TODAY()+5)-MAX(Plants!N37,TODAY()),MAX(1,N(Plants!H37)))=0),"Water, feed","Water"),IF(AND(ISNUMBER(Plants!N37),N(Plants!H37)&gt;0,(TODAY()+5)&gt;=MAX(Plants!N37,TODAY()),MOD((TODAY()+5)-MAX(Plants!N37,TODAY()),MAX(1,N(Plants!H37)))=0),"Feed",""))</f>
        <v/>
      </c>
      <c r="J37" s="13">
        <f>IF(AND(ISNUMBER(Plants!L37),N(Plants!S37)&gt;0,(TODAY()+6)&gt;=MAX(Plants!L37,TODAY()),MOD((TODAY()+6)-MAX(Plants!L37,TODAY()),MAX(1,N(Plants!S37)))=0),IF(AND(ISNUMBER(Plants!N37),N(Plants!H37)&gt;0,(TODAY()+6)&gt;=MAX(Plants!N37,TODAY()),MOD((TODAY()+6)-MAX(Plants!N37,TODAY()),MAX(1,N(Plants!H37)))=0),"Water, feed","Water"),IF(AND(ISNUMBER(Plants!N37),N(Plants!H37)&gt;0,(TODAY()+6)&gt;=MAX(Plants!N37,TODAY()),MOD((TODAY()+6)-MAX(Plants!N37,TODAY()),MAX(1,N(Plants!H37)))=0),"Feed",""))</f>
        <v/>
      </c>
      <c r="K37" s="1" t="n"/>
    </row>
    <row r="38">
      <c r="A38" s="1" t="n"/>
      <c r="B38" s="15">
        <f>IF(Plants!B38="","",Plants!B38)</f>
        <v/>
      </c>
      <c r="C38" s="16">
        <f>IF(Plants!B38="","",Plants!D38)</f>
        <v/>
      </c>
      <c r="D38" s="13">
        <f>IF(AND(ISNUMBER(Plants!L38),N(Plants!S38)&gt;0,(TODAY()+0)&gt;=MAX(Plants!L38,TODAY()),MOD((TODAY()+0)-MAX(Plants!L38,TODAY()),MAX(1,N(Plants!S38)))=0),IF(AND(ISNUMBER(Plants!N38),N(Plants!H38)&gt;0,(TODAY()+0)&gt;=MAX(Plants!N38,TODAY()),MOD((TODAY()+0)-MAX(Plants!N38,TODAY()),MAX(1,N(Plants!H38)))=0),"Water, feed","Water"),IF(AND(ISNUMBER(Plants!N38),N(Plants!H38)&gt;0,(TODAY()+0)&gt;=MAX(Plants!N38,TODAY()),MOD((TODAY()+0)-MAX(Plants!N38,TODAY()),MAX(1,N(Plants!H38)))=0),"Feed",""))</f>
        <v/>
      </c>
      <c r="E38" s="13">
        <f>IF(AND(ISNUMBER(Plants!L38),N(Plants!S38)&gt;0,(TODAY()+1)&gt;=MAX(Plants!L38,TODAY()),MOD((TODAY()+1)-MAX(Plants!L38,TODAY()),MAX(1,N(Plants!S38)))=0),IF(AND(ISNUMBER(Plants!N38),N(Plants!H38)&gt;0,(TODAY()+1)&gt;=MAX(Plants!N38,TODAY()),MOD((TODAY()+1)-MAX(Plants!N38,TODAY()),MAX(1,N(Plants!H38)))=0),"Water, feed","Water"),IF(AND(ISNUMBER(Plants!N38),N(Plants!H38)&gt;0,(TODAY()+1)&gt;=MAX(Plants!N38,TODAY()),MOD((TODAY()+1)-MAX(Plants!N38,TODAY()),MAX(1,N(Plants!H38)))=0),"Feed",""))</f>
        <v/>
      </c>
      <c r="F38" s="13">
        <f>IF(AND(ISNUMBER(Plants!L38),N(Plants!S38)&gt;0,(TODAY()+2)&gt;=MAX(Plants!L38,TODAY()),MOD((TODAY()+2)-MAX(Plants!L38,TODAY()),MAX(1,N(Plants!S38)))=0),IF(AND(ISNUMBER(Plants!N38),N(Plants!H38)&gt;0,(TODAY()+2)&gt;=MAX(Plants!N38,TODAY()),MOD((TODAY()+2)-MAX(Plants!N38,TODAY()),MAX(1,N(Plants!H38)))=0),"Water, feed","Water"),IF(AND(ISNUMBER(Plants!N38),N(Plants!H38)&gt;0,(TODAY()+2)&gt;=MAX(Plants!N38,TODAY()),MOD((TODAY()+2)-MAX(Plants!N38,TODAY()),MAX(1,N(Plants!H38)))=0),"Feed",""))</f>
        <v/>
      </c>
      <c r="G38" s="13">
        <f>IF(AND(ISNUMBER(Plants!L38),N(Plants!S38)&gt;0,(TODAY()+3)&gt;=MAX(Plants!L38,TODAY()),MOD((TODAY()+3)-MAX(Plants!L38,TODAY()),MAX(1,N(Plants!S38)))=0),IF(AND(ISNUMBER(Plants!N38),N(Plants!H38)&gt;0,(TODAY()+3)&gt;=MAX(Plants!N38,TODAY()),MOD((TODAY()+3)-MAX(Plants!N38,TODAY()),MAX(1,N(Plants!H38)))=0),"Water, feed","Water"),IF(AND(ISNUMBER(Plants!N38),N(Plants!H38)&gt;0,(TODAY()+3)&gt;=MAX(Plants!N38,TODAY()),MOD((TODAY()+3)-MAX(Plants!N38,TODAY()),MAX(1,N(Plants!H38)))=0),"Feed",""))</f>
        <v/>
      </c>
      <c r="H38" s="13">
        <f>IF(AND(ISNUMBER(Plants!L38),N(Plants!S38)&gt;0,(TODAY()+4)&gt;=MAX(Plants!L38,TODAY()),MOD((TODAY()+4)-MAX(Plants!L38,TODAY()),MAX(1,N(Plants!S38)))=0),IF(AND(ISNUMBER(Plants!N38),N(Plants!H38)&gt;0,(TODAY()+4)&gt;=MAX(Plants!N38,TODAY()),MOD((TODAY()+4)-MAX(Plants!N38,TODAY()),MAX(1,N(Plants!H38)))=0),"Water, feed","Water"),IF(AND(ISNUMBER(Plants!N38),N(Plants!H38)&gt;0,(TODAY()+4)&gt;=MAX(Plants!N38,TODAY()),MOD((TODAY()+4)-MAX(Plants!N38,TODAY()),MAX(1,N(Plants!H38)))=0),"Feed",""))</f>
        <v/>
      </c>
      <c r="I38" s="13">
        <f>IF(AND(ISNUMBER(Plants!L38),N(Plants!S38)&gt;0,(TODAY()+5)&gt;=MAX(Plants!L38,TODAY()),MOD((TODAY()+5)-MAX(Plants!L38,TODAY()),MAX(1,N(Plants!S38)))=0),IF(AND(ISNUMBER(Plants!N38),N(Plants!H38)&gt;0,(TODAY()+5)&gt;=MAX(Plants!N38,TODAY()),MOD((TODAY()+5)-MAX(Plants!N38,TODAY()),MAX(1,N(Plants!H38)))=0),"Water, feed","Water"),IF(AND(ISNUMBER(Plants!N38),N(Plants!H38)&gt;0,(TODAY()+5)&gt;=MAX(Plants!N38,TODAY()),MOD((TODAY()+5)-MAX(Plants!N38,TODAY()),MAX(1,N(Plants!H38)))=0),"Feed",""))</f>
        <v/>
      </c>
      <c r="J38" s="13">
        <f>IF(AND(ISNUMBER(Plants!L38),N(Plants!S38)&gt;0,(TODAY()+6)&gt;=MAX(Plants!L38,TODAY()),MOD((TODAY()+6)-MAX(Plants!L38,TODAY()),MAX(1,N(Plants!S38)))=0),IF(AND(ISNUMBER(Plants!N38),N(Plants!H38)&gt;0,(TODAY()+6)&gt;=MAX(Plants!N38,TODAY()),MOD((TODAY()+6)-MAX(Plants!N38,TODAY()),MAX(1,N(Plants!H38)))=0),"Water, feed","Water"),IF(AND(ISNUMBER(Plants!N38),N(Plants!H38)&gt;0,(TODAY()+6)&gt;=MAX(Plants!N38,TODAY()),MOD((TODAY()+6)-MAX(Plants!N38,TODAY()),MAX(1,N(Plants!H38)))=0),"Feed",""))</f>
        <v/>
      </c>
      <c r="K38" s="1" t="n"/>
    </row>
    <row r="39">
      <c r="A39" s="1" t="n"/>
      <c r="B39" s="15">
        <f>IF(Plants!B39="","",Plants!B39)</f>
        <v/>
      </c>
      <c r="C39" s="16">
        <f>IF(Plants!B39="","",Plants!D39)</f>
        <v/>
      </c>
      <c r="D39" s="13">
        <f>IF(AND(ISNUMBER(Plants!L39),N(Plants!S39)&gt;0,(TODAY()+0)&gt;=MAX(Plants!L39,TODAY()),MOD((TODAY()+0)-MAX(Plants!L39,TODAY()),MAX(1,N(Plants!S39)))=0),IF(AND(ISNUMBER(Plants!N39),N(Plants!H39)&gt;0,(TODAY()+0)&gt;=MAX(Plants!N39,TODAY()),MOD((TODAY()+0)-MAX(Plants!N39,TODAY()),MAX(1,N(Plants!H39)))=0),"Water, feed","Water"),IF(AND(ISNUMBER(Plants!N39),N(Plants!H39)&gt;0,(TODAY()+0)&gt;=MAX(Plants!N39,TODAY()),MOD((TODAY()+0)-MAX(Plants!N39,TODAY()),MAX(1,N(Plants!H39)))=0),"Feed",""))</f>
        <v/>
      </c>
      <c r="E39" s="13">
        <f>IF(AND(ISNUMBER(Plants!L39),N(Plants!S39)&gt;0,(TODAY()+1)&gt;=MAX(Plants!L39,TODAY()),MOD((TODAY()+1)-MAX(Plants!L39,TODAY()),MAX(1,N(Plants!S39)))=0),IF(AND(ISNUMBER(Plants!N39),N(Plants!H39)&gt;0,(TODAY()+1)&gt;=MAX(Plants!N39,TODAY()),MOD((TODAY()+1)-MAX(Plants!N39,TODAY()),MAX(1,N(Plants!H39)))=0),"Water, feed","Water"),IF(AND(ISNUMBER(Plants!N39),N(Plants!H39)&gt;0,(TODAY()+1)&gt;=MAX(Plants!N39,TODAY()),MOD((TODAY()+1)-MAX(Plants!N39,TODAY()),MAX(1,N(Plants!H39)))=0),"Feed",""))</f>
        <v/>
      </c>
      <c r="F39" s="13">
        <f>IF(AND(ISNUMBER(Plants!L39),N(Plants!S39)&gt;0,(TODAY()+2)&gt;=MAX(Plants!L39,TODAY()),MOD((TODAY()+2)-MAX(Plants!L39,TODAY()),MAX(1,N(Plants!S39)))=0),IF(AND(ISNUMBER(Plants!N39),N(Plants!H39)&gt;0,(TODAY()+2)&gt;=MAX(Plants!N39,TODAY()),MOD((TODAY()+2)-MAX(Plants!N39,TODAY()),MAX(1,N(Plants!H39)))=0),"Water, feed","Water"),IF(AND(ISNUMBER(Plants!N39),N(Plants!H39)&gt;0,(TODAY()+2)&gt;=MAX(Plants!N39,TODAY()),MOD((TODAY()+2)-MAX(Plants!N39,TODAY()),MAX(1,N(Plants!H39)))=0),"Feed",""))</f>
        <v/>
      </c>
      <c r="G39" s="13">
        <f>IF(AND(ISNUMBER(Plants!L39),N(Plants!S39)&gt;0,(TODAY()+3)&gt;=MAX(Plants!L39,TODAY()),MOD((TODAY()+3)-MAX(Plants!L39,TODAY()),MAX(1,N(Plants!S39)))=0),IF(AND(ISNUMBER(Plants!N39),N(Plants!H39)&gt;0,(TODAY()+3)&gt;=MAX(Plants!N39,TODAY()),MOD((TODAY()+3)-MAX(Plants!N39,TODAY()),MAX(1,N(Plants!H39)))=0),"Water, feed","Water"),IF(AND(ISNUMBER(Plants!N39),N(Plants!H39)&gt;0,(TODAY()+3)&gt;=MAX(Plants!N39,TODAY()),MOD((TODAY()+3)-MAX(Plants!N39,TODAY()),MAX(1,N(Plants!H39)))=0),"Feed",""))</f>
        <v/>
      </c>
      <c r="H39" s="13">
        <f>IF(AND(ISNUMBER(Plants!L39),N(Plants!S39)&gt;0,(TODAY()+4)&gt;=MAX(Plants!L39,TODAY()),MOD((TODAY()+4)-MAX(Plants!L39,TODAY()),MAX(1,N(Plants!S39)))=0),IF(AND(ISNUMBER(Plants!N39),N(Plants!H39)&gt;0,(TODAY()+4)&gt;=MAX(Plants!N39,TODAY()),MOD((TODAY()+4)-MAX(Plants!N39,TODAY()),MAX(1,N(Plants!H39)))=0),"Water, feed","Water"),IF(AND(ISNUMBER(Plants!N39),N(Plants!H39)&gt;0,(TODAY()+4)&gt;=MAX(Plants!N39,TODAY()),MOD((TODAY()+4)-MAX(Plants!N39,TODAY()),MAX(1,N(Plants!H39)))=0),"Feed",""))</f>
        <v/>
      </c>
      <c r="I39" s="13">
        <f>IF(AND(ISNUMBER(Plants!L39),N(Plants!S39)&gt;0,(TODAY()+5)&gt;=MAX(Plants!L39,TODAY()),MOD((TODAY()+5)-MAX(Plants!L39,TODAY()),MAX(1,N(Plants!S39)))=0),IF(AND(ISNUMBER(Plants!N39),N(Plants!H39)&gt;0,(TODAY()+5)&gt;=MAX(Plants!N39,TODAY()),MOD((TODAY()+5)-MAX(Plants!N39,TODAY()),MAX(1,N(Plants!H39)))=0),"Water, feed","Water"),IF(AND(ISNUMBER(Plants!N39),N(Plants!H39)&gt;0,(TODAY()+5)&gt;=MAX(Plants!N39,TODAY()),MOD((TODAY()+5)-MAX(Plants!N39,TODAY()),MAX(1,N(Plants!H39)))=0),"Feed",""))</f>
        <v/>
      </c>
      <c r="J39" s="13">
        <f>IF(AND(ISNUMBER(Plants!L39),N(Plants!S39)&gt;0,(TODAY()+6)&gt;=MAX(Plants!L39,TODAY()),MOD((TODAY()+6)-MAX(Plants!L39,TODAY()),MAX(1,N(Plants!S39)))=0),IF(AND(ISNUMBER(Plants!N39),N(Plants!H39)&gt;0,(TODAY()+6)&gt;=MAX(Plants!N39,TODAY()),MOD((TODAY()+6)-MAX(Plants!N39,TODAY()),MAX(1,N(Plants!H39)))=0),"Water, feed","Water"),IF(AND(ISNUMBER(Plants!N39),N(Plants!H39)&gt;0,(TODAY()+6)&gt;=MAX(Plants!N39,TODAY()),MOD((TODAY()+6)-MAX(Plants!N39,TODAY()),MAX(1,N(Plants!H39)))=0),"Feed",""))</f>
        <v/>
      </c>
      <c r="K39" s="1" t="n"/>
    </row>
    <row r="40">
      <c r="A40" s="1" t="n"/>
      <c r="B40" s="15">
        <f>IF(Plants!B40="","",Plants!B40)</f>
        <v/>
      </c>
      <c r="C40" s="16">
        <f>IF(Plants!B40="","",Plants!D40)</f>
        <v/>
      </c>
      <c r="D40" s="13">
        <f>IF(AND(ISNUMBER(Plants!L40),N(Plants!S40)&gt;0,(TODAY()+0)&gt;=MAX(Plants!L40,TODAY()),MOD((TODAY()+0)-MAX(Plants!L40,TODAY()),MAX(1,N(Plants!S40)))=0),IF(AND(ISNUMBER(Plants!N40),N(Plants!H40)&gt;0,(TODAY()+0)&gt;=MAX(Plants!N40,TODAY()),MOD((TODAY()+0)-MAX(Plants!N40,TODAY()),MAX(1,N(Plants!H40)))=0),"Water, feed","Water"),IF(AND(ISNUMBER(Plants!N40),N(Plants!H40)&gt;0,(TODAY()+0)&gt;=MAX(Plants!N40,TODAY()),MOD((TODAY()+0)-MAX(Plants!N40,TODAY()),MAX(1,N(Plants!H40)))=0),"Feed",""))</f>
        <v/>
      </c>
      <c r="E40" s="13">
        <f>IF(AND(ISNUMBER(Plants!L40),N(Plants!S40)&gt;0,(TODAY()+1)&gt;=MAX(Plants!L40,TODAY()),MOD((TODAY()+1)-MAX(Plants!L40,TODAY()),MAX(1,N(Plants!S40)))=0),IF(AND(ISNUMBER(Plants!N40),N(Plants!H40)&gt;0,(TODAY()+1)&gt;=MAX(Plants!N40,TODAY()),MOD((TODAY()+1)-MAX(Plants!N40,TODAY()),MAX(1,N(Plants!H40)))=0),"Water, feed","Water"),IF(AND(ISNUMBER(Plants!N40),N(Plants!H40)&gt;0,(TODAY()+1)&gt;=MAX(Plants!N40,TODAY()),MOD((TODAY()+1)-MAX(Plants!N40,TODAY()),MAX(1,N(Plants!H40)))=0),"Feed",""))</f>
        <v/>
      </c>
      <c r="F40" s="13">
        <f>IF(AND(ISNUMBER(Plants!L40),N(Plants!S40)&gt;0,(TODAY()+2)&gt;=MAX(Plants!L40,TODAY()),MOD((TODAY()+2)-MAX(Plants!L40,TODAY()),MAX(1,N(Plants!S40)))=0),IF(AND(ISNUMBER(Plants!N40),N(Plants!H40)&gt;0,(TODAY()+2)&gt;=MAX(Plants!N40,TODAY()),MOD((TODAY()+2)-MAX(Plants!N40,TODAY()),MAX(1,N(Plants!H40)))=0),"Water, feed","Water"),IF(AND(ISNUMBER(Plants!N40),N(Plants!H40)&gt;0,(TODAY()+2)&gt;=MAX(Plants!N40,TODAY()),MOD((TODAY()+2)-MAX(Plants!N40,TODAY()),MAX(1,N(Plants!H40)))=0),"Feed",""))</f>
        <v/>
      </c>
      <c r="G40" s="13">
        <f>IF(AND(ISNUMBER(Plants!L40),N(Plants!S40)&gt;0,(TODAY()+3)&gt;=MAX(Plants!L40,TODAY()),MOD((TODAY()+3)-MAX(Plants!L40,TODAY()),MAX(1,N(Plants!S40)))=0),IF(AND(ISNUMBER(Plants!N40),N(Plants!H40)&gt;0,(TODAY()+3)&gt;=MAX(Plants!N40,TODAY()),MOD((TODAY()+3)-MAX(Plants!N40,TODAY()),MAX(1,N(Plants!H40)))=0),"Water, feed","Water"),IF(AND(ISNUMBER(Plants!N40),N(Plants!H40)&gt;0,(TODAY()+3)&gt;=MAX(Plants!N40,TODAY()),MOD((TODAY()+3)-MAX(Plants!N40,TODAY()),MAX(1,N(Plants!H40)))=0),"Feed",""))</f>
        <v/>
      </c>
      <c r="H40" s="13">
        <f>IF(AND(ISNUMBER(Plants!L40),N(Plants!S40)&gt;0,(TODAY()+4)&gt;=MAX(Plants!L40,TODAY()),MOD((TODAY()+4)-MAX(Plants!L40,TODAY()),MAX(1,N(Plants!S40)))=0),IF(AND(ISNUMBER(Plants!N40),N(Plants!H40)&gt;0,(TODAY()+4)&gt;=MAX(Plants!N40,TODAY()),MOD((TODAY()+4)-MAX(Plants!N40,TODAY()),MAX(1,N(Plants!H40)))=0),"Water, feed","Water"),IF(AND(ISNUMBER(Plants!N40),N(Plants!H40)&gt;0,(TODAY()+4)&gt;=MAX(Plants!N40,TODAY()),MOD((TODAY()+4)-MAX(Plants!N40,TODAY()),MAX(1,N(Plants!H40)))=0),"Feed",""))</f>
        <v/>
      </c>
      <c r="I40" s="13">
        <f>IF(AND(ISNUMBER(Plants!L40),N(Plants!S40)&gt;0,(TODAY()+5)&gt;=MAX(Plants!L40,TODAY()),MOD((TODAY()+5)-MAX(Plants!L40,TODAY()),MAX(1,N(Plants!S40)))=0),IF(AND(ISNUMBER(Plants!N40),N(Plants!H40)&gt;0,(TODAY()+5)&gt;=MAX(Plants!N40,TODAY()),MOD((TODAY()+5)-MAX(Plants!N40,TODAY()),MAX(1,N(Plants!H40)))=0),"Water, feed","Water"),IF(AND(ISNUMBER(Plants!N40),N(Plants!H40)&gt;0,(TODAY()+5)&gt;=MAX(Plants!N40,TODAY()),MOD((TODAY()+5)-MAX(Plants!N40,TODAY()),MAX(1,N(Plants!H40)))=0),"Feed",""))</f>
        <v/>
      </c>
      <c r="J40" s="13">
        <f>IF(AND(ISNUMBER(Plants!L40),N(Plants!S40)&gt;0,(TODAY()+6)&gt;=MAX(Plants!L40,TODAY()),MOD((TODAY()+6)-MAX(Plants!L40,TODAY()),MAX(1,N(Plants!S40)))=0),IF(AND(ISNUMBER(Plants!N40),N(Plants!H40)&gt;0,(TODAY()+6)&gt;=MAX(Plants!N40,TODAY()),MOD((TODAY()+6)-MAX(Plants!N40,TODAY()),MAX(1,N(Plants!H40)))=0),"Water, feed","Water"),IF(AND(ISNUMBER(Plants!N40),N(Plants!H40)&gt;0,(TODAY()+6)&gt;=MAX(Plants!N40,TODAY()),MOD((TODAY()+6)-MAX(Plants!N40,TODAY()),MAX(1,N(Plants!H40)))=0),"Feed",""))</f>
        <v/>
      </c>
      <c r="K40" s="1" t="n"/>
    </row>
    <row r="41">
      <c r="A41" s="1" t="n"/>
      <c r="B41" s="15">
        <f>IF(Plants!B41="","",Plants!B41)</f>
        <v/>
      </c>
      <c r="C41" s="16">
        <f>IF(Plants!B41="","",Plants!D41)</f>
        <v/>
      </c>
      <c r="D41" s="13">
        <f>IF(AND(ISNUMBER(Plants!L41),N(Plants!S41)&gt;0,(TODAY()+0)&gt;=MAX(Plants!L41,TODAY()),MOD((TODAY()+0)-MAX(Plants!L41,TODAY()),MAX(1,N(Plants!S41)))=0),IF(AND(ISNUMBER(Plants!N41),N(Plants!H41)&gt;0,(TODAY()+0)&gt;=MAX(Plants!N41,TODAY()),MOD((TODAY()+0)-MAX(Plants!N41,TODAY()),MAX(1,N(Plants!H41)))=0),"Water, feed","Water"),IF(AND(ISNUMBER(Plants!N41),N(Plants!H41)&gt;0,(TODAY()+0)&gt;=MAX(Plants!N41,TODAY()),MOD((TODAY()+0)-MAX(Plants!N41,TODAY()),MAX(1,N(Plants!H41)))=0),"Feed",""))</f>
        <v/>
      </c>
      <c r="E41" s="13">
        <f>IF(AND(ISNUMBER(Plants!L41),N(Plants!S41)&gt;0,(TODAY()+1)&gt;=MAX(Plants!L41,TODAY()),MOD((TODAY()+1)-MAX(Plants!L41,TODAY()),MAX(1,N(Plants!S41)))=0),IF(AND(ISNUMBER(Plants!N41),N(Plants!H41)&gt;0,(TODAY()+1)&gt;=MAX(Plants!N41,TODAY()),MOD((TODAY()+1)-MAX(Plants!N41,TODAY()),MAX(1,N(Plants!H41)))=0),"Water, feed","Water"),IF(AND(ISNUMBER(Plants!N41),N(Plants!H41)&gt;0,(TODAY()+1)&gt;=MAX(Plants!N41,TODAY()),MOD((TODAY()+1)-MAX(Plants!N41,TODAY()),MAX(1,N(Plants!H41)))=0),"Feed",""))</f>
        <v/>
      </c>
      <c r="F41" s="13">
        <f>IF(AND(ISNUMBER(Plants!L41),N(Plants!S41)&gt;0,(TODAY()+2)&gt;=MAX(Plants!L41,TODAY()),MOD((TODAY()+2)-MAX(Plants!L41,TODAY()),MAX(1,N(Plants!S41)))=0),IF(AND(ISNUMBER(Plants!N41),N(Plants!H41)&gt;0,(TODAY()+2)&gt;=MAX(Plants!N41,TODAY()),MOD((TODAY()+2)-MAX(Plants!N41,TODAY()),MAX(1,N(Plants!H41)))=0),"Water, feed","Water"),IF(AND(ISNUMBER(Plants!N41),N(Plants!H41)&gt;0,(TODAY()+2)&gt;=MAX(Plants!N41,TODAY()),MOD((TODAY()+2)-MAX(Plants!N41,TODAY()),MAX(1,N(Plants!H41)))=0),"Feed",""))</f>
        <v/>
      </c>
      <c r="G41" s="13">
        <f>IF(AND(ISNUMBER(Plants!L41),N(Plants!S41)&gt;0,(TODAY()+3)&gt;=MAX(Plants!L41,TODAY()),MOD((TODAY()+3)-MAX(Plants!L41,TODAY()),MAX(1,N(Plants!S41)))=0),IF(AND(ISNUMBER(Plants!N41),N(Plants!H41)&gt;0,(TODAY()+3)&gt;=MAX(Plants!N41,TODAY()),MOD((TODAY()+3)-MAX(Plants!N41,TODAY()),MAX(1,N(Plants!H41)))=0),"Water, feed","Water"),IF(AND(ISNUMBER(Plants!N41),N(Plants!H41)&gt;0,(TODAY()+3)&gt;=MAX(Plants!N41,TODAY()),MOD((TODAY()+3)-MAX(Plants!N41,TODAY()),MAX(1,N(Plants!H41)))=0),"Feed",""))</f>
        <v/>
      </c>
      <c r="H41" s="13">
        <f>IF(AND(ISNUMBER(Plants!L41),N(Plants!S41)&gt;0,(TODAY()+4)&gt;=MAX(Plants!L41,TODAY()),MOD((TODAY()+4)-MAX(Plants!L41,TODAY()),MAX(1,N(Plants!S41)))=0),IF(AND(ISNUMBER(Plants!N41),N(Plants!H41)&gt;0,(TODAY()+4)&gt;=MAX(Plants!N41,TODAY()),MOD((TODAY()+4)-MAX(Plants!N41,TODAY()),MAX(1,N(Plants!H41)))=0),"Water, feed","Water"),IF(AND(ISNUMBER(Plants!N41),N(Plants!H41)&gt;0,(TODAY()+4)&gt;=MAX(Plants!N41,TODAY()),MOD((TODAY()+4)-MAX(Plants!N41,TODAY()),MAX(1,N(Plants!H41)))=0),"Feed",""))</f>
        <v/>
      </c>
      <c r="I41" s="13">
        <f>IF(AND(ISNUMBER(Plants!L41),N(Plants!S41)&gt;0,(TODAY()+5)&gt;=MAX(Plants!L41,TODAY()),MOD((TODAY()+5)-MAX(Plants!L41,TODAY()),MAX(1,N(Plants!S41)))=0),IF(AND(ISNUMBER(Plants!N41),N(Plants!H41)&gt;0,(TODAY()+5)&gt;=MAX(Plants!N41,TODAY()),MOD((TODAY()+5)-MAX(Plants!N41,TODAY()),MAX(1,N(Plants!H41)))=0),"Water, feed","Water"),IF(AND(ISNUMBER(Plants!N41),N(Plants!H41)&gt;0,(TODAY()+5)&gt;=MAX(Plants!N41,TODAY()),MOD((TODAY()+5)-MAX(Plants!N41,TODAY()),MAX(1,N(Plants!H41)))=0),"Feed",""))</f>
        <v/>
      </c>
      <c r="J41" s="13">
        <f>IF(AND(ISNUMBER(Plants!L41),N(Plants!S41)&gt;0,(TODAY()+6)&gt;=MAX(Plants!L41,TODAY()),MOD((TODAY()+6)-MAX(Plants!L41,TODAY()),MAX(1,N(Plants!S41)))=0),IF(AND(ISNUMBER(Plants!N41),N(Plants!H41)&gt;0,(TODAY()+6)&gt;=MAX(Plants!N41,TODAY()),MOD((TODAY()+6)-MAX(Plants!N41,TODAY()),MAX(1,N(Plants!H41)))=0),"Water, feed","Water"),IF(AND(ISNUMBER(Plants!N41),N(Plants!H41)&gt;0,(TODAY()+6)&gt;=MAX(Plants!N41,TODAY()),MOD((TODAY()+6)-MAX(Plants!N41,TODAY()),MAX(1,N(Plants!H41)))=0),"Feed",""))</f>
        <v/>
      </c>
      <c r="K41" s="1" t="n"/>
    </row>
    <row r="42">
      <c r="A42" s="1" t="n"/>
      <c r="B42" s="15">
        <f>IF(Plants!B42="","",Plants!B42)</f>
        <v/>
      </c>
      <c r="C42" s="16">
        <f>IF(Plants!B42="","",Plants!D42)</f>
        <v/>
      </c>
      <c r="D42" s="13">
        <f>IF(AND(ISNUMBER(Plants!L42),N(Plants!S42)&gt;0,(TODAY()+0)&gt;=MAX(Plants!L42,TODAY()),MOD((TODAY()+0)-MAX(Plants!L42,TODAY()),MAX(1,N(Plants!S42)))=0),IF(AND(ISNUMBER(Plants!N42),N(Plants!H42)&gt;0,(TODAY()+0)&gt;=MAX(Plants!N42,TODAY()),MOD((TODAY()+0)-MAX(Plants!N42,TODAY()),MAX(1,N(Plants!H42)))=0),"Water, feed","Water"),IF(AND(ISNUMBER(Plants!N42),N(Plants!H42)&gt;0,(TODAY()+0)&gt;=MAX(Plants!N42,TODAY()),MOD((TODAY()+0)-MAX(Plants!N42,TODAY()),MAX(1,N(Plants!H42)))=0),"Feed",""))</f>
        <v/>
      </c>
      <c r="E42" s="13">
        <f>IF(AND(ISNUMBER(Plants!L42),N(Plants!S42)&gt;0,(TODAY()+1)&gt;=MAX(Plants!L42,TODAY()),MOD((TODAY()+1)-MAX(Plants!L42,TODAY()),MAX(1,N(Plants!S42)))=0),IF(AND(ISNUMBER(Plants!N42),N(Plants!H42)&gt;0,(TODAY()+1)&gt;=MAX(Plants!N42,TODAY()),MOD((TODAY()+1)-MAX(Plants!N42,TODAY()),MAX(1,N(Plants!H42)))=0),"Water, feed","Water"),IF(AND(ISNUMBER(Plants!N42),N(Plants!H42)&gt;0,(TODAY()+1)&gt;=MAX(Plants!N42,TODAY()),MOD((TODAY()+1)-MAX(Plants!N42,TODAY()),MAX(1,N(Plants!H42)))=0),"Feed",""))</f>
        <v/>
      </c>
      <c r="F42" s="13">
        <f>IF(AND(ISNUMBER(Plants!L42),N(Plants!S42)&gt;0,(TODAY()+2)&gt;=MAX(Plants!L42,TODAY()),MOD((TODAY()+2)-MAX(Plants!L42,TODAY()),MAX(1,N(Plants!S42)))=0),IF(AND(ISNUMBER(Plants!N42),N(Plants!H42)&gt;0,(TODAY()+2)&gt;=MAX(Plants!N42,TODAY()),MOD((TODAY()+2)-MAX(Plants!N42,TODAY()),MAX(1,N(Plants!H42)))=0),"Water, feed","Water"),IF(AND(ISNUMBER(Plants!N42),N(Plants!H42)&gt;0,(TODAY()+2)&gt;=MAX(Plants!N42,TODAY()),MOD((TODAY()+2)-MAX(Plants!N42,TODAY()),MAX(1,N(Plants!H42)))=0),"Feed",""))</f>
        <v/>
      </c>
      <c r="G42" s="13">
        <f>IF(AND(ISNUMBER(Plants!L42),N(Plants!S42)&gt;0,(TODAY()+3)&gt;=MAX(Plants!L42,TODAY()),MOD((TODAY()+3)-MAX(Plants!L42,TODAY()),MAX(1,N(Plants!S42)))=0),IF(AND(ISNUMBER(Plants!N42),N(Plants!H42)&gt;0,(TODAY()+3)&gt;=MAX(Plants!N42,TODAY()),MOD((TODAY()+3)-MAX(Plants!N42,TODAY()),MAX(1,N(Plants!H42)))=0),"Water, feed","Water"),IF(AND(ISNUMBER(Plants!N42),N(Plants!H42)&gt;0,(TODAY()+3)&gt;=MAX(Plants!N42,TODAY()),MOD((TODAY()+3)-MAX(Plants!N42,TODAY()),MAX(1,N(Plants!H42)))=0),"Feed",""))</f>
        <v/>
      </c>
      <c r="H42" s="13">
        <f>IF(AND(ISNUMBER(Plants!L42),N(Plants!S42)&gt;0,(TODAY()+4)&gt;=MAX(Plants!L42,TODAY()),MOD((TODAY()+4)-MAX(Plants!L42,TODAY()),MAX(1,N(Plants!S42)))=0),IF(AND(ISNUMBER(Plants!N42),N(Plants!H42)&gt;0,(TODAY()+4)&gt;=MAX(Plants!N42,TODAY()),MOD((TODAY()+4)-MAX(Plants!N42,TODAY()),MAX(1,N(Plants!H42)))=0),"Water, feed","Water"),IF(AND(ISNUMBER(Plants!N42),N(Plants!H42)&gt;0,(TODAY()+4)&gt;=MAX(Plants!N42,TODAY()),MOD((TODAY()+4)-MAX(Plants!N42,TODAY()),MAX(1,N(Plants!H42)))=0),"Feed",""))</f>
        <v/>
      </c>
      <c r="I42" s="13">
        <f>IF(AND(ISNUMBER(Plants!L42),N(Plants!S42)&gt;0,(TODAY()+5)&gt;=MAX(Plants!L42,TODAY()),MOD((TODAY()+5)-MAX(Plants!L42,TODAY()),MAX(1,N(Plants!S42)))=0),IF(AND(ISNUMBER(Plants!N42),N(Plants!H42)&gt;0,(TODAY()+5)&gt;=MAX(Plants!N42,TODAY()),MOD((TODAY()+5)-MAX(Plants!N42,TODAY()),MAX(1,N(Plants!H42)))=0),"Water, feed","Water"),IF(AND(ISNUMBER(Plants!N42),N(Plants!H42)&gt;0,(TODAY()+5)&gt;=MAX(Plants!N42,TODAY()),MOD((TODAY()+5)-MAX(Plants!N42,TODAY()),MAX(1,N(Plants!H42)))=0),"Feed",""))</f>
        <v/>
      </c>
      <c r="J42" s="13">
        <f>IF(AND(ISNUMBER(Plants!L42),N(Plants!S42)&gt;0,(TODAY()+6)&gt;=MAX(Plants!L42,TODAY()),MOD((TODAY()+6)-MAX(Plants!L42,TODAY()),MAX(1,N(Plants!S42)))=0),IF(AND(ISNUMBER(Plants!N42),N(Plants!H42)&gt;0,(TODAY()+6)&gt;=MAX(Plants!N42,TODAY()),MOD((TODAY()+6)-MAX(Plants!N42,TODAY()),MAX(1,N(Plants!H42)))=0),"Water, feed","Water"),IF(AND(ISNUMBER(Plants!N42),N(Plants!H42)&gt;0,(TODAY()+6)&gt;=MAX(Plants!N42,TODAY()),MOD((TODAY()+6)-MAX(Plants!N42,TODAY()),MAX(1,N(Plants!H42)))=0),"Feed",""))</f>
        <v/>
      </c>
      <c r="K42" s="1" t="n"/>
    </row>
    <row r="43">
      <c r="A43" s="1" t="n"/>
      <c r="B43" s="15">
        <f>IF(Plants!B43="","",Plants!B43)</f>
        <v/>
      </c>
      <c r="C43" s="16">
        <f>IF(Plants!B43="","",Plants!D43)</f>
        <v/>
      </c>
      <c r="D43" s="13">
        <f>IF(AND(ISNUMBER(Plants!L43),N(Plants!S43)&gt;0,(TODAY()+0)&gt;=MAX(Plants!L43,TODAY()),MOD((TODAY()+0)-MAX(Plants!L43,TODAY()),MAX(1,N(Plants!S43)))=0),IF(AND(ISNUMBER(Plants!N43),N(Plants!H43)&gt;0,(TODAY()+0)&gt;=MAX(Plants!N43,TODAY()),MOD((TODAY()+0)-MAX(Plants!N43,TODAY()),MAX(1,N(Plants!H43)))=0),"Water, feed","Water"),IF(AND(ISNUMBER(Plants!N43),N(Plants!H43)&gt;0,(TODAY()+0)&gt;=MAX(Plants!N43,TODAY()),MOD((TODAY()+0)-MAX(Plants!N43,TODAY()),MAX(1,N(Plants!H43)))=0),"Feed",""))</f>
        <v/>
      </c>
      <c r="E43" s="13">
        <f>IF(AND(ISNUMBER(Plants!L43),N(Plants!S43)&gt;0,(TODAY()+1)&gt;=MAX(Plants!L43,TODAY()),MOD((TODAY()+1)-MAX(Plants!L43,TODAY()),MAX(1,N(Plants!S43)))=0),IF(AND(ISNUMBER(Plants!N43),N(Plants!H43)&gt;0,(TODAY()+1)&gt;=MAX(Plants!N43,TODAY()),MOD((TODAY()+1)-MAX(Plants!N43,TODAY()),MAX(1,N(Plants!H43)))=0),"Water, feed","Water"),IF(AND(ISNUMBER(Plants!N43),N(Plants!H43)&gt;0,(TODAY()+1)&gt;=MAX(Plants!N43,TODAY()),MOD((TODAY()+1)-MAX(Plants!N43,TODAY()),MAX(1,N(Plants!H43)))=0),"Feed",""))</f>
        <v/>
      </c>
      <c r="F43" s="13">
        <f>IF(AND(ISNUMBER(Plants!L43),N(Plants!S43)&gt;0,(TODAY()+2)&gt;=MAX(Plants!L43,TODAY()),MOD((TODAY()+2)-MAX(Plants!L43,TODAY()),MAX(1,N(Plants!S43)))=0),IF(AND(ISNUMBER(Plants!N43),N(Plants!H43)&gt;0,(TODAY()+2)&gt;=MAX(Plants!N43,TODAY()),MOD((TODAY()+2)-MAX(Plants!N43,TODAY()),MAX(1,N(Plants!H43)))=0),"Water, feed","Water"),IF(AND(ISNUMBER(Plants!N43),N(Plants!H43)&gt;0,(TODAY()+2)&gt;=MAX(Plants!N43,TODAY()),MOD((TODAY()+2)-MAX(Plants!N43,TODAY()),MAX(1,N(Plants!H43)))=0),"Feed",""))</f>
        <v/>
      </c>
      <c r="G43" s="13">
        <f>IF(AND(ISNUMBER(Plants!L43),N(Plants!S43)&gt;0,(TODAY()+3)&gt;=MAX(Plants!L43,TODAY()),MOD((TODAY()+3)-MAX(Plants!L43,TODAY()),MAX(1,N(Plants!S43)))=0),IF(AND(ISNUMBER(Plants!N43),N(Plants!H43)&gt;0,(TODAY()+3)&gt;=MAX(Plants!N43,TODAY()),MOD((TODAY()+3)-MAX(Plants!N43,TODAY()),MAX(1,N(Plants!H43)))=0),"Water, feed","Water"),IF(AND(ISNUMBER(Plants!N43),N(Plants!H43)&gt;0,(TODAY()+3)&gt;=MAX(Plants!N43,TODAY()),MOD((TODAY()+3)-MAX(Plants!N43,TODAY()),MAX(1,N(Plants!H43)))=0),"Feed",""))</f>
        <v/>
      </c>
      <c r="H43" s="13">
        <f>IF(AND(ISNUMBER(Plants!L43),N(Plants!S43)&gt;0,(TODAY()+4)&gt;=MAX(Plants!L43,TODAY()),MOD((TODAY()+4)-MAX(Plants!L43,TODAY()),MAX(1,N(Plants!S43)))=0),IF(AND(ISNUMBER(Plants!N43),N(Plants!H43)&gt;0,(TODAY()+4)&gt;=MAX(Plants!N43,TODAY()),MOD((TODAY()+4)-MAX(Plants!N43,TODAY()),MAX(1,N(Plants!H43)))=0),"Water, feed","Water"),IF(AND(ISNUMBER(Plants!N43),N(Plants!H43)&gt;0,(TODAY()+4)&gt;=MAX(Plants!N43,TODAY()),MOD((TODAY()+4)-MAX(Plants!N43,TODAY()),MAX(1,N(Plants!H43)))=0),"Feed",""))</f>
        <v/>
      </c>
      <c r="I43" s="13">
        <f>IF(AND(ISNUMBER(Plants!L43),N(Plants!S43)&gt;0,(TODAY()+5)&gt;=MAX(Plants!L43,TODAY()),MOD((TODAY()+5)-MAX(Plants!L43,TODAY()),MAX(1,N(Plants!S43)))=0),IF(AND(ISNUMBER(Plants!N43),N(Plants!H43)&gt;0,(TODAY()+5)&gt;=MAX(Plants!N43,TODAY()),MOD((TODAY()+5)-MAX(Plants!N43,TODAY()),MAX(1,N(Plants!H43)))=0),"Water, feed","Water"),IF(AND(ISNUMBER(Plants!N43),N(Plants!H43)&gt;0,(TODAY()+5)&gt;=MAX(Plants!N43,TODAY()),MOD((TODAY()+5)-MAX(Plants!N43,TODAY()),MAX(1,N(Plants!H43)))=0),"Feed",""))</f>
        <v/>
      </c>
      <c r="J43" s="13">
        <f>IF(AND(ISNUMBER(Plants!L43),N(Plants!S43)&gt;0,(TODAY()+6)&gt;=MAX(Plants!L43,TODAY()),MOD((TODAY()+6)-MAX(Plants!L43,TODAY()),MAX(1,N(Plants!S43)))=0),IF(AND(ISNUMBER(Plants!N43),N(Plants!H43)&gt;0,(TODAY()+6)&gt;=MAX(Plants!N43,TODAY()),MOD((TODAY()+6)-MAX(Plants!N43,TODAY()),MAX(1,N(Plants!H43)))=0),"Water, feed","Water"),IF(AND(ISNUMBER(Plants!N43),N(Plants!H43)&gt;0,(TODAY()+6)&gt;=MAX(Plants!N43,TODAY()),MOD((TODAY()+6)-MAX(Plants!N43,TODAY()),MAX(1,N(Plants!H43)))=0),"Feed",""))</f>
        <v/>
      </c>
      <c r="K43" s="1" t="n"/>
    </row>
    <row r="44">
      <c r="A44" s="1" t="n"/>
      <c r="B44" s="15">
        <f>IF(Plants!B44="","",Plants!B44)</f>
        <v/>
      </c>
      <c r="C44" s="16">
        <f>IF(Plants!B44="","",Plants!D44)</f>
        <v/>
      </c>
      <c r="D44" s="13">
        <f>IF(AND(ISNUMBER(Plants!L44),N(Plants!S44)&gt;0,(TODAY()+0)&gt;=MAX(Plants!L44,TODAY()),MOD((TODAY()+0)-MAX(Plants!L44,TODAY()),MAX(1,N(Plants!S44)))=0),IF(AND(ISNUMBER(Plants!N44),N(Plants!H44)&gt;0,(TODAY()+0)&gt;=MAX(Plants!N44,TODAY()),MOD((TODAY()+0)-MAX(Plants!N44,TODAY()),MAX(1,N(Plants!H44)))=0),"Water, feed","Water"),IF(AND(ISNUMBER(Plants!N44),N(Plants!H44)&gt;0,(TODAY()+0)&gt;=MAX(Plants!N44,TODAY()),MOD((TODAY()+0)-MAX(Plants!N44,TODAY()),MAX(1,N(Plants!H44)))=0),"Feed",""))</f>
        <v/>
      </c>
      <c r="E44" s="13">
        <f>IF(AND(ISNUMBER(Plants!L44),N(Plants!S44)&gt;0,(TODAY()+1)&gt;=MAX(Plants!L44,TODAY()),MOD((TODAY()+1)-MAX(Plants!L44,TODAY()),MAX(1,N(Plants!S44)))=0),IF(AND(ISNUMBER(Plants!N44),N(Plants!H44)&gt;0,(TODAY()+1)&gt;=MAX(Plants!N44,TODAY()),MOD((TODAY()+1)-MAX(Plants!N44,TODAY()),MAX(1,N(Plants!H44)))=0),"Water, feed","Water"),IF(AND(ISNUMBER(Plants!N44),N(Plants!H44)&gt;0,(TODAY()+1)&gt;=MAX(Plants!N44,TODAY()),MOD((TODAY()+1)-MAX(Plants!N44,TODAY()),MAX(1,N(Plants!H44)))=0),"Feed",""))</f>
        <v/>
      </c>
      <c r="F44" s="13">
        <f>IF(AND(ISNUMBER(Plants!L44),N(Plants!S44)&gt;0,(TODAY()+2)&gt;=MAX(Plants!L44,TODAY()),MOD((TODAY()+2)-MAX(Plants!L44,TODAY()),MAX(1,N(Plants!S44)))=0),IF(AND(ISNUMBER(Plants!N44),N(Plants!H44)&gt;0,(TODAY()+2)&gt;=MAX(Plants!N44,TODAY()),MOD((TODAY()+2)-MAX(Plants!N44,TODAY()),MAX(1,N(Plants!H44)))=0),"Water, feed","Water"),IF(AND(ISNUMBER(Plants!N44),N(Plants!H44)&gt;0,(TODAY()+2)&gt;=MAX(Plants!N44,TODAY()),MOD((TODAY()+2)-MAX(Plants!N44,TODAY()),MAX(1,N(Plants!H44)))=0),"Feed",""))</f>
        <v/>
      </c>
      <c r="G44" s="13">
        <f>IF(AND(ISNUMBER(Plants!L44),N(Plants!S44)&gt;0,(TODAY()+3)&gt;=MAX(Plants!L44,TODAY()),MOD((TODAY()+3)-MAX(Plants!L44,TODAY()),MAX(1,N(Plants!S44)))=0),IF(AND(ISNUMBER(Plants!N44),N(Plants!H44)&gt;0,(TODAY()+3)&gt;=MAX(Plants!N44,TODAY()),MOD((TODAY()+3)-MAX(Plants!N44,TODAY()),MAX(1,N(Plants!H44)))=0),"Water, feed","Water"),IF(AND(ISNUMBER(Plants!N44),N(Plants!H44)&gt;0,(TODAY()+3)&gt;=MAX(Plants!N44,TODAY()),MOD((TODAY()+3)-MAX(Plants!N44,TODAY()),MAX(1,N(Plants!H44)))=0),"Feed",""))</f>
        <v/>
      </c>
      <c r="H44" s="13">
        <f>IF(AND(ISNUMBER(Plants!L44),N(Plants!S44)&gt;0,(TODAY()+4)&gt;=MAX(Plants!L44,TODAY()),MOD((TODAY()+4)-MAX(Plants!L44,TODAY()),MAX(1,N(Plants!S44)))=0),IF(AND(ISNUMBER(Plants!N44),N(Plants!H44)&gt;0,(TODAY()+4)&gt;=MAX(Plants!N44,TODAY()),MOD((TODAY()+4)-MAX(Plants!N44,TODAY()),MAX(1,N(Plants!H44)))=0),"Water, feed","Water"),IF(AND(ISNUMBER(Plants!N44),N(Plants!H44)&gt;0,(TODAY()+4)&gt;=MAX(Plants!N44,TODAY()),MOD((TODAY()+4)-MAX(Plants!N44,TODAY()),MAX(1,N(Plants!H44)))=0),"Feed",""))</f>
        <v/>
      </c>
      <c r="I44" s="13">
        <f>IF(AND(ISNUMBER(Plants!L44),N(Plants!S44)&gt;0,(TODAY()+5)&gt;=MAX(Plants!L44,TODAY()),MOD((TODAY()+5)-MAX(Plants!L44,TODAY()),MAX(1,N(Plants!S44)))=0),IF(AND(ISNUMBER(Plants!N44),N(Plants!H44)&gt;0,(TODAY()+5)&gt;=MAX(Plants!N44,TODAY()),MOD((TODAY()+5)-MAX(Plants!N44,TODAY()),MAX(1,N(Plants!H44)))=0),"Water, feed","Water"),IF(AND(ISNUMBER(Plants!N44),N(Plants!H44)&gt;0,(TODAY()+5)&gt;=MAX(Plants!N44,TODAY()),MOD((TODAY()+5)-MAX(Plants!N44,TODAY()),MAX(1,N(Plants!H44)))=0),"Feed",""))</f>
        <v/>
      </c>
      <c r="J44" s="13">
        <f>IF(AND(ISNUMBER(Plants!L44),N(Plants!S44)&gt;0,(TODAY()+6)&gt;=MAX(Plants!L44,TODAY()),MOD((TODAY()+6)-MAX(Plants!L44,TODAY()),MAX(1,N(Plants!S44)))=0),IF(AND(ISNUMBER(Plants!N44),N(Plants!H44)&gt;0,(TODAY()+6)&gt;=MAX(Plants!N44,TODAY()),MOD((TODAY()+6)-MAX(Plants!N44,TODAY()),MAX(1,N(Plants!H44)))=0),"Water, feed","Water"),IF(AND(ISNUMBER(Plants!N44),N(Plants!H44)&gt;0,(TODAY()+6)&gt;=MAX(Plants!N44,TODAY()),MOD((TODAY()+6)-MAX(Plants!N44,TODAY()),MAX(1,N(Plants!H44)))=0),"Feed",""))</f>
        <v/>
      </c>
      <c r="K44" s="1" t="n"/>
    </row>
    <row r="45">
      <c r="A45" s="1" t="n"/>
      <c r="B45" s="15">
        <f>IF(Plants!B45="","",Plants!B45)</f>
        <v/>
      </c>
      <c r="C45" s="16">
        <f>IF(Plants!B45="","",Plants!D45)</f>
        <v/>
      </c>
      <c r="D45" s="13">
        <f>IF(AND(ISNUMBER(Plants!L45),N(Plants!S45)&gt;0,(TODAY()+0)&gt;=MAX(Plants!L45,TODAY()),MOD((TODAY()+0)-MAX(Plants!L45,TODAY()),MAX(1,N(Plants!S45)))=0),IF(AND(ISNUMBER(Plants!N45),N(Plants!H45)&gt;0,(TODAY()+0)&gt;=MAX(Plants!N45,TODAY()),MOD((TODAY()+0)-MAX(Plants!N45,TODAY()),MAX(1,N(Plants!H45)))=0),"Water, feed","Water"),IF(AND(ISNUMBER(Plants!N45),N(Plants!H45)&gt;0,(TODAY()+0)&gt;=MAX(Plants!N45,TODAY()),MOD((TODAY()+0)-MAX(Plants!N45,TODAY()),MAX(1,N(Plants!H45)))=0),"Feed",""))</f>
        <v/>
      </c>
      <c r="E45" s="13">
        <f>IF(AND(ISNUMBER(Plants!L45),N(Plants!S45)&gt;0,(TODAY()+1)&gt;=MAX(Plants!L45,TODAY()),MOD((TODAY()+1)-MAX(Plants!L45,TODAY()),MAX(1,N(Plants!S45)))=0),IF(AND(ISNUMBER(Plants!N45),N(Plants!H45)&gt;0,(TODAY()+1)&gt;=MAX(Plants!N45,TODAY()),MOD((TODAY()+1)-MAX(Plants!N45,TODAY()),MAX(1,N(Plants!H45)))=0),"Water, feed","Water"),IF(AND(ISNUMBER(Plants!N45),N(Plants!H45)&gt;0,(TODAY()+1)&gt;=MAX(Plants!N45,TODAY()),MOD((TODAY()+1)-MAX(Plants!N45,TODAY()),MAX(1,N(Plants!H45)))=0),"Feed",""))</f>
        <v/>
      </c>
      <c r="F45" s="13">
        <f>IF(AND(ISNUMBER(Plants!L45),N(Plants!S45)&gt;0,(TODAY()+2)&gt;=MAX(Plants!L45,TODAY()),MOD((TODAY()+2)-MAX(Plants!L45,TODAY()),MAX(1,N(Plants!S45)))=0),IF(AND(ISNUMBER(Plants!N45),N(Plants!H45)&gt;0,(TODAY()+2)&gt;=MAX(Plants!N45,TODAY()),MOD((TODAY()+2)-MAX(Plants!N45,TODAY()),MAX(1,N(Plants!H45)))=0),"Water, feed","Water"),IF(AND(ISNUMBER(Plants!N45),N(Plants!H45)&gt;0,(TODAY()+2)&gt;=MAX(Plants!N45,TODAY()),MOD((TODAY()+2)-MAX(Plants!N45,TODAY()),MAX(1,N(Plants!H45)))=0),"Feed",""))</f>
        <v/>
      </c>
      <c r="G45" s="13">
        <f>IF(AND(ISNUMBER(Plants!L45),N(Plants!S45)&gt;0,(TODAY()+3)&gt;=MAX(Plants!L45,TODAY()),MOD((TODAY()+3)-MAX(Plants!L45,TODAY()),MAX(1,N(Plants!S45)))=0),IF(AND(ISNUMBER(Plants!N45),N(Plants!H45)&gt;0,(TODAY()+3)&gt;=MAX(Plants!N45,TODAY()),MOD((TODAY()+3)-MAX(Plants!N45,TODAY()),MAX(1,N(Plants!H45)))=0),"Water, feed","Water"),IF(AND(ISNUMBER(Plants!N45),N(Plants!H45)&gt;0,(TODAY()+3)&gt;=MAX(Plants!N45,TODAY()),MOD((TODAY()+3)-MAX(Plants!N45,TODAY()),MAX(1,N(Plants!H45)))=0),"Feed",""))</f>
        <v/>
      </c>
      <c r="H45" s="13">
        <f>IF(AND(ISNUMBER(Plants!L45),N(Plants!S45)&gt;0,(TODAY()+4)&gt;=MAX(Plants!L45,TODAY()),MOD((TODAY()+4)-MAX(Plants!L45,TODAY()),MAX(1,N(Plants!S45)))=0),IF(AND(ISNUMBER(Plants!N45),N(Plants!H45)&gt;0,(TODAY()+4)&gt;=MAX(Plants!N45,TODAY()),MOD((TODAY()+4)-MAX(Plants!N45,TODAY()),MAX(1,N(Plants!H45)))=0),"Water, feed","Water"),IF(AND(ISNUMBER(Plants!N45),N(Plants!H45)&gt;0,(TODAY()+4)&gt;=MAX(Plants!N45,TODAY()),MOD((TODAY()+4)-MAX(Plants!N45,TODAY()),MAX(1,N(Plants!H45)))=0),"Feed",""))</f>
        <v/>
      </c>
      <c r="I45" s="13">
        <f>IF(AND(ISNUMBER(Plants!L45),N(Plants!S45)&gt;0,(TODAY()+5)&gt;=MAX(Plants!L45,TODAY()),MOD((TODAY()+5)-MAX(Plants!L45,TODAY()),MAX(1,N(Plants!S45)))=0),IF(AND(ISNUMBER(Plants!N45),N(Plants!H45)&gt;0,(TODAY()+5)&gt;=MAX(Plants!N45,TODAY()),MOD((TODAY()+5)-MAX(Plants!N45,TODAY()),MAX(1,N(Plants!H45)))=0),"Water, feed","Water"),IF(AND(ISNUMBER(Plants!N45),N(Plants!H45)&gt;0,(TODAY()+5)&gt;=MAX(Plants!N45,TODAY()),MOD((TODAY()+5)-MAX(Plants!N45,TODAY()),MAX(1,N(Plants!H45)))=0),"Feed",""))</f>
        <v/>
      </c>
      <c r="J45" s="13">
        <f>IF(AND(ISNUMBER(Plants!L45),N(Plants!S45)&gt;0,(TODAY()+6)&gt;=MAX(Plants!L45,TODAY()),MOD((TODAY()+6)-MAX(Plants!L45,TODAY()),MAX(1,N(Plants!S45)))=0),IF(AND(ISNUMBER(Plants!N45),N(Plants!H45)&gt;0,(TODAY()+6)&gt;=MAX(Plants!N45,TODAY()),MOD((TODAY()+6)-MAX(Plants!N45,TODAY()),MAX(1,N(Plants!H45)))=0),"Water, feed","Water"),IF(AND(ISNUMBER(Plants!N45),N(Plants!H45)&gt;0,(TODAY()+6)&gt;=MAX(Plants!N45,TODAY()),MOD((TODAY()+6)-MAX(Plants!N45,TODAY()),MAX(1,N(Plants!H45)))=0),"Feed",""))</f>
        <v/>
      </c>
      <c r="K45" s="1" t="n"/>
    </row>
    <row r="46">
      <c r="A46" s="1" t="n"/>
      <c r="B46" s="15">
        <f>IF(Plants!B46="","",Plants!B46)</f>
        <v/>
      </c>
      <c r="C46" s="16">
        <f>IF(Plants!B46="","",Plants!D46)</f>
        <v/>
      </c>
      <c r="D46" s="13">
        <f>IF(AND(ISNUMBER(Plants!L46),N(Plants!S46)&gt;0,(TODAY()+0)&gt;=MAX(Plants!L46,TODAY()),MOD((TODAY()+0)-MAX(Plants!L46,TODAY()),MAX(1,N(Plants!S46)))=0),IF(AND(ISNUMBER(Plants!N46),N(Plants!H46)&gt;0,(TODAY()+0)&gt;=MAX(Plants!N46,TODAY()),MOD((TODAY()+0)-MAX(Plants!N46,TODAY()),MAX(1,N(Plants!H46)))=0),"Water, feed","Water"),IF(AND(ISNUMBER(Plants!N46),N(Plants!H46)&gt;0,(TODAY()+0)&gt;=MAX(Plants!N46,TODAY()),MOD((TODAY()+0)-MAX(Plants!N46,TODAY()),MAX(1,N(Plants!H46)))=0),"Feed",""))</f>
        <v/>
      </c>
      <c r="E46" s="13">
        <f>IF(AND(ISNUMBER(Plants!L46),N(Plants!S46)&gt;0,(TODAY()+1)&gt;=MAX(Plants!L46,TODAY()),MOD((TODAY()+1)-MAX(Plants!L46,TODAY()),MAX(1,N(Plants!S46)))=0),IF(AND(ISNUMBER(Plants!N46),N(Plants!H46)&gt;0,(TODAY()+1)&gt;=MAX(Plants!N46,TODAY()),MOD((TODAY()+1)-MAX(Plants!N46,TODAY()),MAX(1,N(Plants!H46)))=0),"Water, feed","Water"),IF(AND(ISNUMBER(Plants!N46),N(Plants!H46)&gt;0,(TODAY()+1)&gt;=MAX(Plants!N46,TODAY()),MOD((TODAY()+1)-MAX(Plants!N46,TODAY()),MAX(1,N(Plants!H46)))=0),"Feed",""))</f>
        <v/>
      </c>
      <c r="F46" s="13">
        <f>IF(AND(ISNUMBER(Plants!L46),N(Plants!S46)&gt;0,(TODAY()+2)&gt;=MAX(Plants!L46,TODAY()),MOD((TODAY()+2)-MAX(Plants!L46,TODAY()),MAX(1,N(Plants!S46)))=0),IF(AND(ISNUMBER(Plants!N46),N(Plants!H46)&gt;0,(TODAY()+2)&gt;=MAX(Plants!N46,TODAY()),MOD((TODAY()+2)-MAX(Plants!N46,TODAY()),MAX(1,N(Plants!H46)))=0),"Water, feed","Water"),IF(AND(ISNUMBER(Plants!N46),N(Plants!H46)&gt;0,(TODAY()+2)&gt;=MAX(Plants!N46,TODAY()),MOD((TODAY()+2)-MAX(Plants!N46,TODAY()),MAX(1,N(Plants!H46)))=0),"Feed",""))</f>
        <v/>
      </c>
      <c r="G46" s="13">
        <f>IF(AND(ISNUMBER(Plants!L46),N(Plants!S46)&gt;0,(TODAY()+3)&gt;=MAX(Plants!L46,TODAY()),MOD((TODAY()+3)-MAX(Plants!L46,TODAY()),MAX(1,N(Plants!S46)))=0),IF(AND(ISNUMBER(Plants!N46),N(Plants!H46)&gt;0,(TODAY()+3)&gt;=MAX(Plants!N46,TODAY()),MOD((TODAY()+3)-MAX(Plants!N46,TODAY()),MAX(1,N(Plants!H46)))=0),"Water, feed","Water"),IF(AND(ISNUMBER(Plants!N46),N(Plants!H46)&gt;0,(TODAY()+3)&gt;=MAX(Plants!N46,TODAY()),MOD((TODAY()+3)-MAX(Plants!N46,TODAY()),MAX(1,N(Plants!H46)))=0),"Feed",""))</f>
        <v/>
      </c>
      <c r="H46" s="13">
        <f>IF(AND(ISNUMBER(Plants!L46),N(Plants!S46)&gt;0,(TODAY()+4)&gt;=MAX(Plants!L46,TODAY()),MOD((TODAY()+4)-MAX(Plants!L46,TODAY()),MAX(1,N(Plants!S46)))=0),IF(AND(ISNUMBER(Plants!N46),N(Plants!H46)&gt;0,(TODAY()+4)&gt;=MAX(Plants!N46,TODAY()),MOD((TODAY()+4)-MAX(Plants!N46,TODAY()),MAX(1,N(Plants!H46)))=0),"Water, feed","Water"),IF(AND(ISNUMBER(Plants!N46),N(Plants!H46)&gt;0,(TODAY()+4)&gt;=MAX(Plants!N46,TODAY()),MOD((TODAY()+4)-MAX(Plants!N46,TODAY()),MAX(1,N(Plants!H46)))=0),"Feed",""))</f>
        <v/>
      </c>
      <c r="I46" s="13">
        <f>IF(AND(ISNUMBER(Plants!L46),N(Plants!S46)&gt;0,(TODAY()+5)&gt;=MAX(Plants!L46,TODAY()),MOD((TODAY()+5)-MAX(Plants!L46,TODAY()),MAX(1,N(Plants!S46)))=0),IF(AND(ISNUMBER(Plants!N46),N(Plants!H46)&gt;0,(TODAY()+5)&gt;=MAX(Plants!N46,TODAY()),MOD((TODAY()+5)-MAX(Plants!N46,TODAY()),MAX(1,N(Plants!H46)))=0),"Water, feed","Water"),IF(AND(ISNUMBER(Plants!N46),N(Plants!H46)&gt;0,(TODAY()+5)&gt;=MAX(Plants!N46,TODAY()),MOD((TODAY()+5)-MAX(Plants!N46,TODAY()),MAX(1,N(Plants!H46)))=0),"Feed",""))</f>
        <v/>
      </c>
      <c r="J46" s="13">
        <f>IF(AND(ISNUMBER(Plants!L46),N(Plants!S46)&gt;0,(TODAY()+6)&gt;=MAX(Plants!L46,TODAY()),MOD((TODAY()+6)-MAX(Plants!L46,TODAY()),MAX(1,N(Plants!S46)))=0),IF(AND(ISNUMBER(Plants!N46),N(Plants!H46)&gt;0,(TODAY()+6)&gt;=MAX(Plants!N46,TODAY()),MOD((TODAY()+6)-MAX(Plants!N46,TODAY()),MAX(1,N(Plants!H46)))=0),"Water, feed","Water"),IF(AND(ISNUMBER(Plants!N46),N(Plants!H46)&gt;0,(TODAY()+6)&gt;=MAX(Plants!N46,TODAY()),MOD((TODAY()+6)-MAX(Plants!N46,TODAY()),MAX(1,N(Plants!H46)))=0),"Feed",""))</f>
        <v/>
      </c>
      <c r="K46" s="1" t="n"/>
    </row>
    <row r="47">
      <c r="A47" s="1" t="n"/>
      <c r="B47" s="15">
        <f>IF(Plants!B47="","",Plants!B47)</f>
        <v/>
      </c>
      <c r="C47" s="16">
        <f>IF(Plants!B47="","",Plants!D47)</f>
        <v/>
      </c>
      <c r="D47" s="13">
        <f>IF(AND(ISNUMBER(Plants!L47),N(Plants!S47)&gt;0,(TODAY()+0)&gt;=MAX(Plants!L47,TODAY()),MOD((TODAY()+0)-MAX(Plants!L47,TODAY()),MAX(1,N(Plants!S47)))=0),IF(AND(ISNUMBER(Plants!N47),N(Plants!H47)&gt;0,(TODAY()+0)&gt;=MAX(Plants!N47,TODAY()),MOD((TODAY()+0)-MAX(Plants!N47,TODAY()),MAX(1,N(Plants!H47)))=0),"Water, feed","Water"),IF(AND(ISNUMBER(Plants!N47),N(Plants!H47)&gt;0,(TODAY()+0)&gt;=MAX(Plants!N47,TODAY()),MOD((TODAY()+0)-MAX(Plants!N47,TODAY()),MAX(1,N(Plants!H47)))=0),"Feed",""))</f>
        <v/>
      </c>
      <c r="E47" s="13">
        <f>IF(AND(ISNUMBER(Plants!L47),N(Plants!S47)&gt;0,(TODAY()+1)&gt;=MAX(Plants!L47,TODAY()),MOD((TODAY()+1)-MAX(Plants!L47,TODAY()),MAX(1,N(Plants!S47)))=0),IF(AND(ISNUMBER(Plants!N47),N(Plants!H47)&gt;0,(TODAY()+1)&gt;=MAX(Plants!N47,TODAY()),MOD((TODAY()+1)-MAX(Plants!N47,TODAY()),MAX(1,N(Plants!H47)))=0),"Water, feed","Water"),IF(AND(ISNUMBER(Plants!N47),N(Plants!H47)&gt;0,(TODAY()+1)&gt;=MAX(Plants!N47,TODAY()),MOD((TODAY()+1)-MAX(Plants!N47,TODAY()),MAX(1,N(Plants!H47)))=0),"Feed",""))</f>
        <v/>
      </c>
      <c r="F47" s="13">
        <f>IF(AND(ISNUMBER(Plants!L47),N(Plants!S47)&gt;0,(TODAY()+2)&gt;=MAX(Plants!L47,TODAY()),MOD((TODAY()+2)-MAX(Plants!L47,TODAY()),MAX(1,N(Plants!S47)))=0),IF(AND(ISNUMBER(Plants!N47),N(Plants!H47)&gt;0,(TODAY()+2)&gt;=MAX(Plants!N47,TODAY()),MOD((TODAY()+2)-MAX(Plants!N47,TODAY()),MAX(1,N(Plants!H47)))=0),"Water, feed","Water"),IF(AND(ISNUMBER(Plants!N47),N(Plants!H47)&gt;0,(TODAY()+2)&gt;=MAX(Plants!N47,TODAY()),MOD((TODAY()+2)-MAX(Plants!N47,TODAY()),MAX(1,N(Plants!H47)))=0),"Feed",""))</f>
        <v/>
      </c>
      <c r="G47" s="13">
        <f>IF(AND(ISNUMBER(Plants!L47),N(Plants!S47)&gt;0,(TODAY()+3)&gt;=MAX(Plants!L47,TODAY()),MOD((TODAY()+3)-MAX(Plants!L47,TODAY()),MAX(1,N(Plants!S47)))=0),IF(AND(ISNUMBER(Plants!N47),N(Plants!H47)&gt;0,(TODAY()+3)&gt;=MAX(Plants!N47,TODAY()),MOD((TODAY()+3)-MAX(Plants!N47,TODAY()),MAX(1,N(Plants!H47)))=0),"Water, feed","Water"),IF(AND(ISNUMBER(Plants!N47),N(Plants!H47)&gt;0,(TODAY()+3)&gt;=MAX(Plants!N47,TODAY()),MOD((TODAY()+3)-MAX(Plants!N47,TODAY()),MAX(1,N(Plants!H47)))=0),"Feed",""))</f>
        <v/>
      </c>
      <c r="H47" s="13">
        <f>IF(AND(ISNUMBER(Plants!L47),N(Plants!S47)&gt;0,(TODAY()+4)&gt;=MAX(Plants!L47,TODAY()),MOD((TODAY()+4)-MAX(Plants!L47,TODAY()),MAX(1,N(Plants!S47)))=0),IF(AND(ISNUMBER(Plants!N47),N(Plants!H47)&gt;0,(TODAY()+4)&gt;=MAX(Plants!N47,TODAY()),MOD((TODAY()+4)-MAX(Plants!N47,TODAY()),MAX(1,N(Plants!H47)))=0),"Water, feed","Water"),IF(AND(ISNUMBER(Plants!N47),N(Plants!H47)&gt;0,(TODAY()+4)&gt;=MAX(Plants!N47,TODAY()),MOD((TODAY()+4)-MAX(Plants!N47,TODAY()),MAX(1,N(Plants!H47)))=0),"Feed",""))</f>
        <v/>
      </c>
      <c r="I47" s="13">
        <f>IF(AND(ISNUMBER(Plants!L47),N(Plants!S47)&gt;0,(TODAY()+5)&gt;=MAX(Plants!L47,TODAY()),MOD((TODAY()+5)-MAX(Plants!L47,TODAY()),MAX(1,N(Plants!S47)))=0),IF(AND(ISNUMBER(Plants!N47),N(Plants!H47)&gt;0,(TODAY()+5)&gt;=MAX(Plants!N47,TODAY()),MOD((TODAY()+5)-MAX(Plants!N47,TODAY()),MAX(1,N(Plants!H47)))=0),"Water, feed","Water"),IF(AND(ISNUMBER(Plants!N47),N(Plants!H47)&gt;0,(TODAY()+5)&gt;=MAX(Plants!N47,TODAY()),MOD((TODAY()+5)-MAX(Plants!N47,TODAY()),MAX(1,N(Plants!H47)))=0),"Feed",""))</f>
        <v/>
      </c>
      <c r="J47" s="13">
        <f>IF(AND(ISNUMBER(Plants!L47),N(Plants!S47)&gt;0,(TODAY()+6)&gt;=MAX(Plants!L47,TODAY()),MOD((TODAY()+6)-MAX(Plants!L47,TODAY()),MAX(1,N(Plants!S47)))=0),IF(AND(ISNUMBER(Plants!N47),N(Plants!H47)&gt;0,(TODAY()+6)&gt;=MAX(Plants!N47,TODAY()),MOD((TODAY()+6)-MAX(Plants!N47,TODAY()),MAX(1,N(Plants!H47)))=0),"Water, feed","Water"),IF(AND(ISNUMBER(Plants!N47),N(Plants!H47)&gt;0,(TODAY()+6)&gt;=MAX(Plants!N47,TODAY()),MOD((TODAY()+6)-MAX(Plants!N47,TODAY()),MAX(1,N(Plants!H47)))=0),"Feed",""))</f>
        <v/>
      </c>
      <c r="K47" s="1" t="n"/>
    </row>
    <row r="48">
      <c r="A48" s="1" t="n"/>
      <c r="B48" s="15">
        <f>IF(Plants!B48="","",Plants!B48)</f>
        <v/>
      </c>
      <c r="C48" s="16">
        <f>IF(Plants!B48="","",Plants!D48)</f>
        <v/>
      </c>
      <c r="D48" s="13">
        <f>IF(AND(ISNUMBER(Plants!L48),N(Plants!S48)&gt;0,(TODAY()+0)&gt;=MAX(Plants!L48,TODAY()),MOD((TODAY()+0)-MAX(Plants!L48,TODAY()),MAX(1,N(Plants!S48)))=0),IF(AND(ISNUMBER(Plants!N48),N(Plants!H48)&gt;0,(TODAY()+0)&gt;=MAX(Plants!N48,TODAY()),MOD((TODAY()+0)-MAX(Plants!N48,TODAY()),MAX(1,N(Plants!H48)))=0),"Water, feed","Water"),IF(AND(ISNUMBER(Plants!N48),N(Plants!H48)&gt;0,(TODAY()+0)&gt;=MAX(Plants!N48,TODAY()),MOD((TODAY()+0)-MAX(Plants!N48,TODAY()),MAX(1,N(Plants!H48)))=0),"Feed",""))</f>
        <v/>
      </c>
      <c r="E48" s="13">
        <f>IF(AND(ISNUMBER(Plants!L48),N(Plants!S48)&gt;0,(TODAY()+1)&gt;=MAX(Plants!L48,TODAY()),MOD((TODAY()+1)-MAX(Plants!L48,TODAY()),MAX(1,N(Plants!S48)))=0),IF(AND(ISNUMBER(Plants!N48),N(Plants!H48)&gt;0,(TODAY()+1)&gt;=MAX(Plants!N48,TODAY()),MOD((TODAY()+1)-MAX(Plants!N48,TODAY()),MAX(1,N(Plants!H48)))=0),"Water, feed","Water"),IF(AND(ISNUMBER(Plants!N48),N(Plants!H48)&gt;0,(TODAY()+1)&gt;=MAX(Plants!N48,TODAY()),MOD((TODAY()+1)-MAX(Plants!N48,TODAY()),MAX(1,N(Plants!H48)))=0),"Feed",""))</f>
        <v/>
      </c>
      <c r="F48" s="13">
        <f>IF(AND(ISNUMBER(Plants!L48),N(Plants!S48)&gt;0,(TODAY()+2)&gt;=MAX(Plants!L48,TODAY()),MOD((TODAY()+2)-MAX(Plants!L48,TODAY()),MAX(1,N(Plants!S48)))=0),IF(AND(ISNUMBER(Plants!N48),N(Plants!H48)&gt;0,(TODAY()+2)&gt;=MAX(Plants!N48,TODAY()),MOD((TODAY()+2)-MAX(Plants!N48,TODAY()),MAX(1,N(Plants!H48)))=0),"Water, feed","Water"),IF(AND(ISNUMBER(Plants!N48),N(Plants!H48)&gt;0,(TODAY()+2)&gt;=MAX(Plants!N48,TODAY()),MOD((TODAY()+2)-MAX(Plants!N48,TODAY()),MAX(1,N(Plants!H48)))=0),"Feed",""))</f>
        <v/>
      </c>
      <c r="G48" s="13">
        <f>IF(AND(ISNUMBER(Plants!L48),N(Plants!S48)&gt;0,(TODAY()+3)&gt;=MAX(Plants!L48,TODAY()),MOD((TODAY()+3)-MAX(Plants!L48,TODAY()),MAX(1,N(Plants!S48)))=0),IF(AND(ISNUMBER(Plants!N48),N(Plants!H48)&gt;0,(TODAY()+3)&gt;=MAX(Plants!N48,TODAY()),MOD((TODAY()+3)-MAX(Plants!N48,TODAY()),MAX(1,N(Plants!H48)))=0),"Water, feed","Water"),IF(AND(ISNUMBER(Plants!N48),N(Plants!H48)&gt;0,(TODAY()+3)&gt;=MAX(Plants!N48,TODAY()),MOD((TODAY()+3)-MAX(Plants!N48,TODAY()),MAX(1,N(Plants!H48)))=0),"Feed",""))</f>
        <v/>
      </c>
      <c r="H48" s="13">
        <f>IF(AND(ISNUMBER(Plants!L48),N(Plants!S48)&gt;0,(TODAY()+4)&gt;=MAX(Plants!L48,TODAY()),MOD((TODAY()+4)-MAX(Plants!L48,TODAY()),MAX(1,N(Plants!S48)))=0),IF(AND(ISNUMBER(Plants!N48),N(Plants!H48)&gt;0,(TODAY()+4)&gt;=MAX(Plants!N48,TODAY()),MOD((TODAY()+4)-MAX(Plants!N48,TODAY()),MAX(1,N(Plants!H48)))=0),"Water, feed","Water"),IF(AND(ISNUMBER(Plants!N48),N(Plants!H48)&gt;0,(TODAY()+4)&gt;=MAX(Plants!N48,TODAY()),MOD((TODAY()+4)-MAX(Plants!N48,TODAY()),MAX(1,N(Plants!H48)))=0),"Feed",""))</f>
        <v/>
      </c>
      <c r="I48" s="13">
        <f>IF(AND(ISNUMBER(Plants!L48),N(Plants!S48)&gt;0,(TODAY()+5)&gt;=MAX(Plants!L48,TODAY()),MOD((TODAY()+5)-MAX(Plants!L48,TODAY()),MAX(1,N(Plants!S48)))=0),IF(AND(ISNUMBER(Plants!N48),N(Plants!H48)&gt;0,(TODAY()+5)&gt;=MAX(Plants!N48,TODAY()),MOD((TODAY()+5)-MAX(Plants!N48,TODAY()),MAX(1,N(Plants!H48)))=0),"Water, feed","Water"),IF(AND(ISNUMBER(Plants!N48),N(Plants!H48)&gt;0,(TODAY()+5)&gt;=MAX(Plants!N48,TODAY()),MOD((TODAY()+5)-MAX(Plants!N48,TODAY()),MAX(1,N(Plants!H48)))=0),"Feed",""))</f>
        <v/>
      </c>
      <c r="J48" s="13">
        <f>IF(AND(ISNUMBER(Plants!L48),N(Plants!S48)&gt;0,(TODAY()+6)&gt;=MAX(Plants!L48,TODAY()),MOD((TODAY()+6)-MAX(Plants!L48,TODAY()),MAX(1,N(Plants!S48)))=0),IF(AND(ISNUMBER(Plants!N48),N(Plants!H48)&gt;0,(TODAY()+6)&gt;=MAX(Plants!N48,TODAY()),MOD((TODAY()+6)-MAX(Plants!N48,TODAY()),MAX(1,N(Plants!H48)))=0),"Water, feed","Water"),IF(AND(ISNUMBER(Plants!N48),N(Plants!H48)&gt;0,(TODAY()+6)&gt;=MAX(Plants!N48,TODAY()),MOD((TODAY()+6)-MAX(Plants!N48,TODAY()),MAX(1,N(Plants!H48)))=0),"Feed",""))</f>
        <v/>
      </c>
      <c r="K48" s="1" t="n"/>
    </row>
    <row r="49">
      <c r="A49" s="1" t="n"/>
      <c r="B49" s="15">
        <f>IF(Plants!B49="","",Plants!B49)</f>
        <v/>
      </c>
      <c r="C49" s="16">
        <f>IF(Plants!B49="","",Plants!D49)</f>
        <v/>
      </c>
      <c r="D49" s="13">
        <f>IF(AND(ISNUMBER(Plants!L49),N(Plants!S49)&gt;0,(TODAY()+0)&gt;=MAX(Plants!L49,TODAY()),MOD((TODAY()+0)-MAX(Plants!L49,TODAY()),MAX(1,N(Plants!S49)))=0),IF(AND(ISNUMBER(Plants!N49),N(Plants!H49)&gt;0,(TODAY()+0)&gt;=MAX(Plants!N49,TODAY()),MOD((TODAY()+0)-MAX(Plants!N49,TODAY()),MAX(1,N(Plants!H49)))=0),"Water, feed","Water"),IF(AND(ISNUMBER(Plants!N49),N(Plants!H49)&gt;0,(TODAY()+0)&gt;=MAX(Plants!N49,TODAY()),MOD((TODAY()+0)-MAX(Plants!N49,TODAY()),MAX(1,N(Plants!H49)))=0),"Feed",""))</f>
        <v/>
      </c>
      <c r="E49" s="13">
        <f>IF(AND(ISNUMBER(Plants!L49),N(Plants!S49)&gt;0,(TODAY()+1)&gt;=MAX(Plants!L49,TODAY()),MOD((TODAY()+1)-MAX(Plants!L49,TODAY()),MAX(1,N(Plants!S49)))=0),IF(AND(ISNUMBER(Plants!N49),N(Plants!H49)&gt;0,(TODAY()+1)&gt;=MAX(Plants!N49,TODAY()),MOD((TODAY()+1)-MAX(Plants!N49,TODAY()),MAX(1,N(Plants!H49)))=0),"Water, feed","Water"),IF(AND(ISNUMBER(Plants!N49),N(Plants!H49)&gt;0,(TODAY()+1)&gt;=MAX(Plants!N49,TODAY()),MOD((TODAY()+1)-MAX(Plants!N49,TODAY()),MAX(1,N(Plants!H49)))=0),"Feed",""))</f>
        <v/>
      </c>
      <c r="F49" s="13">
        <f>IF(AND(ISNUMBER(Plants!L49),N(Plants!S49)&gt;0,(TODAY()+2)&gt;=MAX(Plants!L49,TODAY()),MOD((TODAY()+2)-MAX(Plants!L49,TODAY()),MAX(1,N(Plants!S49)))=0),IF(AND(ISNUMBER(Plants!N49),N(Plants!H49)&gt;0,(TODAY()+2)&gt;=MAX(Plants!N49,TODAY()),MOD((TODAY()+2)-MAX(Plants!N49,TODAY()),MAX(1,N(Plants!H49)))=0),"Water, feed","Water"),IF(AND(ISNUMBER(Plants!N49),N(Plants!H49)&gt;0,(TODAY()+2)&gt;=MAX(Plants!N49,TODAY()),MOD((TODAY()+2)-MAX(Plants!N49,TODAY()),MAX(1,N(Plants!H49)))=0),"Feed",""))</f>
        <v/>
      </c>
      <c r="G49" s="13">
        <f>IF(AND(ISNUMBER(Plants!L49),N(Plants!S49)&gt;0,(TODAY()+3)&gt;=MAX(Plants!L49,TODAY()),MOD((TODAY()+3)-MAX(Plants!L49,TODAY()),MAX(1,N(Plants!S49)))=0),IF(AND(ISNUMBER(Plants!N49),N(Plants!H49)&gt;0,(TODAY()+3)&gt;=MAX(Plants!N49,TODAY()),MOD((TODAY()+3)-MAX(Plants!N49,TODAY()),MAX(1,N(Plants!H49)))=0),"Water, feed","Water"),IF(AND(ISNUMBER(Plants!N49),N(Plants!H49)&gt;0,(TODAY()+3)&gt;=MAX(Plants!N49,TODAY()),MOD((TODAY()+3)-MAX(Plants!N49,TODAY()),MAX(1,N(Plants!H49)))=0),"Feed",""))</f>
        <v/>
      </c>
      <c r="H49" s="13">
        <f>IF(AND(ISNUMBER(Plants!L49),N(Plants!S49)&gt;0,(TODAY()+4)&gt;=MAX(Plants!L49,TODAY()),MOD((TODAY()+4)-MAX(Plants!L49,TODAY()),MAX(1,N(Plants!S49)))=0),IF(AND(ISNUMBER(Plants!N49),N(Plants!H49)&gt;0,(TODAY()+4)&gt;=MAX(Plants!N49,TODAY()),MOD((TODAY()+4)-MAX(Plants!N49,TODAY()),MAX(1,N(Plants!H49)))=0),"Water, feed","Water"),IF(AND(ISNUMBER(Plants!N49),N(Plants!H49)&gt;0,(TODAY()+4)&gt;=MAX(Plants!N49,TODAY()),MOD((TODAY()+4)-MAX(Plants!N49,TODAY()),MAX(1,N(Plants!H49)))=0),"Feed",""))</f>
        <v/>
      </c>
      <c r="I49" s="13">
        <f>IF(AND(ISNUMBER(Plants!L49),N(Plants!S49)&gt;0,(TODAY()+5)&gt;=MAX(Plants!L49,TODAY()),MOD((TODAY()+5)-MAX(Plants!L49,TODAY()),MAX(1,N(Plants!S49)))=0),IF(AND(ISNUMBER(Plants!N49),N(Plants!H49)&gt;0,(TODAY()+5)&gt;=MAX(Plants!N49,TODAY()),MOD((TODAY()+5)-MAX(Plants!N49,TODAY()),MAX(1,N(Plants!H49)))=0),"Water, feed","Water"),IF(AND(ISNUMBER(Plants!N49),N(Plants!H49)&gt;0,(TODAY()+5)&gt;=MAX(Plants!N49,TODAY()),MOD((TODAY()+5)-MAX(Plants!N49,TODAY()),MAX(1,N(Plants!H49)))=0),"Feed",""))</f>
        <v/>
      </c>
      <c r="J49" s="13">
        <f>IF(AND(ISNUMBER(Plants!L49),N(Plants!S49)&gt;0,(TODAY()+6)&gt;=MAX(Plants!L49,TODAY()),MOD((TODAY()+6)-MAX(Plants!L49,TODAY()),MAX(1,N(Plants!S49)))=0),IF(AND(ISNUMBER(Plants!N49),N(Plants!H49)&gt;0,(TODAY()+6)&gt;=MAX(Plants!N49,TODAY()),MOD((TODAY()+6)-MAX(Plants!N49,TODAY()),MAX(1,N(Plants!H49)))=0),"Water, feed","Water"),IF(AND(ISNUMBER(Plants!N49),N(Plants!H49)&gt;0,(TODAY()+6)&gt;=MAX(Plants!N49,TODAY()),MOD((TODAY()+6)-MAX(Plants!N49,TODAY()),MAX(1,N(Plants!H49)))=0),"Feed",""))</f>
        <v/>
      </c>
      <c r="K49" s="1" t="n"/>
    </row>
    <row r="50">
      <c r="A50" s="1" t="n"/>
      <c r="B50" s="15">
        <f>IF(Plants!B50="","",Plants!B50)</f>
        <v/>
      </c>
      <c r="C50" s="16">
        <f>IF(Plants!B50="","",Plants!D50)</f>
        <v/>
      </c>
      <c r="D50" s="13">
        <f>IF(AND(ISNUMBER(Plants!L50),N(Plants!S50)&gt;0,(TODAY()+0)&gt;=MAX(Plants!L50,TODAY()),MOD((TODAY()+0)-MAX(Plants!L50,TODAY()),MAX(1,N(Plants!S50)))=0),IF(AND(ISNUMBER(Plants!N50),N(Plants!H50)&gt;0,(TODAY()+0)&gt;=MAX(Plants!N50,TODAY()),MOD((TODAY()+0)-MAX(Plants!N50,TODAY()),MAX(1,N(Plants!H50)))=0),"Water, feed","Water"),IF(AND(ISNUMBER(Plants!N50),N(Plants!H50)&gt;0,(TODAY()+0)&gt;=MAX(Plants!N50,TODAY()),MOD((TODAY()+0)-MAX(Plants!N50,TODAY()),MAX(1,N(Plants!H50)))=0),"Feed",""))</f>
        <v/>
      </c>
      <c r="E50" s="13">
        <f>IF(AND(ISNUMBER(Plants!L50),N(Plants!S50)&gt;0,(TODAY()+1)&gt;=MAX(Plants!L50,TODAY()),MOD((TODAY()+1)-MAX(Plants!L50,TODAY()),MAX(1,N(Plants!S50)))=0),IF(AND(ISNUMBER(Plants!N50),N(Plants!H50)&gt;0,(TODAY()+1)&gt;=MAX(Plants!N50,TODAY()),MOD((TODAY()+1)-MAX(Plants!N50,TODAY()),MAX(1,N(Plants!H50)))=0),"Water, feed","Water"),IF(AND(ISNUMBER(Plants!N50),N(Plants!H50)&gt;0,(TODAY()+1)&gt;=MAX(Plants!N50,TODAY()),MOD((TODAY()+1)-MAX(Plants!N50,TODAY()),MAX(1,N(Plants!H50)))=0),"Feed",""))</f>
        <v/>
      </c>
      <c r="F50" s="13">
        <f>IF(AND(ISNUMBER(Plants!L50),N(Plants!S50)&gt;0,(TODAY()+2)&gt;=MAX(Plants!L50,TODAY()),MOD((TODAY()+2)-MAX(Plants!L50,TODAY()),MAX(1,N(Plants!S50)))=0),IF(AND(ISNUMBER(Plants!N50),N(Plants!H50)&gt;0,(TODAY()+2)&gt;=MAX(Plants!N50,TODAY()),MOD((TODAY()+2)-MAX(Plants!N50,TODAY()),MAX(1,N(Plants!H50)))=0),"Water, feed","Water"),IF(AND(ISNUMBER(Plants!N50),N(Plants!H50)&gt;0,(TODAY()+2)&gt;=MAX(Plants!N50,TODAY()),MOD((TODAY()+2)-MAX(Plants!N50,TODAY()),MAX(1,N(Plants!H50)))=0),"Feed",""))</f>
        <v/>
      </c>
      <c r="G50" s="13">
        <f>IF(AND(ISNUMBER(Plants!L50),N(Plants!S50)&gt;0,(TODAY()+3)&gt;=MAX(Plants!L50,TODAY()),MOD((TODAY()+3)-MAX(Plants!L50,TODAY()),MAX(1,N(Plants!S50)))=0),IF(AND(ISNUMBER(Plants!N50),N(Plants!H50)&gt;0,(TODAY()+3)&gt;=MAX(Plants!N50,TODAY()),MOD((TODAY()+3)-MAX(Plants!N50,TODAY()),MAX(1,N(Plants!H50)))=0),"Water, feed","Water"),IF(AND(ISNUMBER(Plants!N50),N(Plants!H50)&gt;0,(TODAY()+3)&gt;=MAX(Plants!N50,TODAY()),MOD((TODAY()+3)-MAX(Plants!N50,TODAY()),MAX(1,N(Plants!H50)))=0),"Feed",""))</f>
        <v/>
      </c>
      <c r="H50" s="13">
        <f>IF(AND(ISNUMBER(Plants!L50),N(Plants!S50)&gt;0,(TODAY()+4)&gt;=MAX(Plants!L50,TODAY()),MOD((TODAY()+4)-MAX(Plants!L50,TODAY()),MAX(1,N(Plants!S50)))=0),IF(AND(ISNUMBER(Plants!N50),N(Plants!H50)&gt;0,(TODAY()+4)&gt;=MAX(Plants!N50,TODAY()),MOD((TODAY()+4)-MAX(Plants!N50,TODAY()),MAX(1,N(Plants!H50)))=0),"Water, feed","Water"),IF(AND(ISNUMBER(Plants!N50),N(Plants!H50)&gt;0,(TODAY()+4)&gt;=MAX(Plants!N50,TODAY()),MOD((TODAY()+4)-MAX(Plants!N50,TODAY()),MAX(1,N(Plants!H50)))=0),"Feed",""))</f>
        <v/>
      </c>
      <c r="I50" s="13">
        <f>IF(AND(ISNUMBER(Plants!L50),N(Plants!S50)&gt;0,(TODAY()+5)&gt;=MAX(Plants!L50,TODAY()),MOD((TODAY()+5)-MAX(Plants!L50,TODAY()),MAX(1,N(Plants!S50)))=0),IF(AND(ISNUMBER(Plants!N50),N(Plants!H50)&gt;0,(TODAY()+5)&gt;=MAX(Plants!N50,TODAY()),MOD((TODAY()+5)-MAX(Plants!N50,TODAY()),MAX(1,N(Plants!H50)))=0),"Water, feed","Water"),IF(AND(ISNUMBER(Plants!N50),N(Plants!H50)&gt;0,(TODAY()+5)&gt;=MAX(Plants!N50,TODAY()),MOD((TODAY()+5)-MAX(Plants!N50,TODAY()),MAX(1,N(Plants!H50)))=0),"Feed",""))</f>
        <v/>
      </c>
      <c r="J50" s="13">
        <f>IF(AND(ISNUMBER(Plants!L50),N(Plants!S50)&gt;0,(TODAY()+6)&gt;=MAX(Plants!L50,TODAY()),MOD((TODAY()+6)-MAX(Plants!L50,TODAY()),MAX(1,N(Plants!S50)))=0),IF(AND(ISNUMBER(Plants!N50),N(Plants!H50)&gt;0,(TODAY()+6)&gt;=MAX(Plants!N50,TODAY()),MOD((TODAY()+6)-MAX(Plants!N50,TODAY()),MAX(1,N(Plants!H50)))=0),"Water, feed","Water"),IF(AND(ISNUMBER(Plants!N50),N(Plants!H50)&gt;0,(TODAY()+6)&gt;=MAX(Plants!N50,TODAY()),MOD((TODAY()+6)-MAX(Plants!N50,TODAY()),MAX(1,N(Plants!H50)))=0),"Feed",""))</f>
        <v/>
      </c>
      <c r="K50" s="1" t="n"/>
    </row>
    <row r="51">
      <c r="A51" s="1" t="n"/>
      <c r="B51" s="15">
        <f>IF(Plants!B51="","",Plants!B51)</f>
        <v/>
      </c>
      <c r="C51" s="16">
        <f>IF(Plants!B51="","",Plants!D51)</f>
        <v/>
      </c>
      <c r="D51" s="13">
        <f>IF(AND(ISNUMBER(Plants!L51),N(Plants!S51)&gt;0,(TODAY()+0)&gt;=MAX(Plants!L51,TODAY()),MOD((TODAY()+0)-MAX(Plants!L51,TODAY()),MAX(1,N(Plants!S51)))=0),IF(AND(ISNUMBER(Plants!N51),N(Plants!H51)&gt;0,(TODAY()+0)&gt;=MAX(Plants!N51,TODAY()),MOD((TODAY()+0)-MAX(Plants!N51,TODAY()),MAX(1,N(Plants!H51)))=0),"Water, feed","Water"),IF(AND(ISNUMBER(Plants!N51),N(Plants!H51)&gt;0,(TODAY()+0)&gt;=MAX(Plants!N51,TODAY()),MOD((TODAY()+0)-MAX(Plants!N51,TODAY()),MAX(1,N(Plants!H51)))=0),"Feed",""))</f>
        <v/>
      </c>
      <c r="E51" s="13">
        <f>IF(AND(ISNUMBER(Plants!L51),N(Plants!S51)&gt;0,(TODAY()+1)&gt;=MAX(Plants!L51,TODAY()),MOD((TODAY()+1)-MAX(Plants!L51,TODAY()),MAX(1,N(Plants!S51)))=0),IF(AND(ISNUMBER(Plants!N51),N(Plants!H51)&gt;0,(TODAY()+1)&gt;=MAX(Plants!N51,TODAY()),MOD((TODAY()+1)-MAX(Plants!N51,TODAY()),MAX(1,N(Plants!H51)))=0),"Water, feed","Water"),IF(AND(ISNUMBER(Plants!N51),N(Plants!H51)&gt;0,(TODAY()+1)&gt;=MAX(Plants!N51,TODAY()),MOD((TODAY()+1)-MAX(Plants!N51,TODAY()),MAX(1,N(Plants!H51)))=0),"Feed",""))</f>
        <v/>
      </c>
      <c r="F51" s="13">
        <f>IF(AND(ISNUMBER(Plants!L51),N(Plants!S51)&gt;0,(TODAY()+2)&gt;=MAX(Plants!L51,TODAY()),MOD((TODAY()+2)-MAX(Plants!L51,TODAY()),MAX(1,N(Plants!S51)))=0),IF(AND(ISNUMBER(Plants!N51),N(Plants!H51)&gt;0,(TODAY()+2)&gt;=MAX(Plants!N51,TODAY()),MOD((TODAY()+2)-MAX(Plants!N51,TODAY()),MAX(1,N(Plants!H51)))=0),"Water, feed","Water"),IF(AND(ISNUMBER(Plants!N51),N(Plants!H51)&gt;0,(TODAY()+2)&gt;=MAX(Plants!N51,TODAY()),MOD((TODAY()+2)-MAX(Plants!N51,TODAY()),MAX(1,N(Plants!H51)))=0),"Feed",""))</f>
        <v/>
      </c>
      <c r="G51" s="13">
        <f>IF(AND(ISNUMBER(Plants!L51),N(Plants!S51)&gt;0,(TODAY()+3)&gt;=MAX(Plants!L51,TODAY()),MOD((TODAY()+3)-MAX(Plants!L51,TODAY()),MAX(1,N(Plants!S51)))=0),IF(AND(ISNUMBER(Plants!N51),N(Plants!H51)&gt;0,(TODAY()+3)&gt;=MAX(Plants!N51,TODAY()),MOD((TODAY()+3)-MAX(Plants!N51,TODAY()),MAX(1,N(Plants!H51)))=0),"Water, feed","Water"),IF(AND(ISNUMBER(Plants!N51),N(Plants!H51)&gt;0,(TODAY()+3)&gt;=MAX(Plants!N51,TODAY()),MOD((TODAY()+3)-MAX(Plants!N51,TODAY()),MAX(1,N(Plants!H51)))=0),"Feed",""))</f>
        <v/>
      </c>
      <c r="H51" s="13">
        <f>IF(AND(ISNUMBER(Plants!L51),N(Plants!S51)&gt;0,(TODAY()+4)&gt;=MAX(Plants!L51,TODAY()),MOD((TODAY()+4)-MAX(Plants!L51,TODAY()),MAX(1,N(Plants!S51)))=0),IF(AND(ISNUMBER(Plants!N51),N(Plants!H51)&gt;0,(TODAY()+4)&gt;=MAX(Plants!N51,TODAY()),MOD((TODAY()+4)-MAX(Plants!N51,TODAY()),MAX(1,N(Plants!H51)))=0),"Water, feed","Water"),IF(AND(ISNUMBER(Plants!N51),N(Plants!H51)&gt;0,(TODAY()+4)&gt;=MAX(Plants!N51,TODAY()),MOD((TODAY()+4)-MAX(Plants!N51,TODAY()),MAX(1,N(Plants!H51)))=0),"Feed",""))</f>
        <v/>
      </c>
      <c r="I51" s="13">
        <f>IF(AND(ISNUMBER(Plants!L51),N(Plants!S51)&gt;0,(TODAY()+5)&gt;=MAX(Plants!L51,TODAY()),MOD((TODAY()+5)-MAX(Plants!L51,TODAY()),MAX(1,N(Plants!S51)))=0),IF(AND(ISNUMBER(Plants!N51),N(Plants!H51)&gt;0,(TODAY()+5)&gt;=MAX(Plants!N51,TODAY()),MOD((TODAY()+5)-MAX(Plants!N51,TODAY()),MAX(1,N(Plants!H51)))=0),"Water, feed","Water"),IF(AND(ISNUMBER(Plants!N51),N(Plants!H51)&gt;0,(TODAY()+5)&gt;=MAX(Plants!N51,TODAY()),MOD((TODAY()+5)-MAX(Plants!N51,TODAY()),MAX(1,N(Plants!H51)))=0),"Feed",""))</f>
        <v/>
      </c>
      <c r="J51" s="13">
        <f>IF(AND(ISNUMBER(Plants!L51),N(Plants!S51)&gt;0,(TODAY()+6)&gt;=MAX(Plants!L51,TODAY()),MOD((TODAY()+6)-MAX(Plants!L51,TODAY()),MAX(1,N(Plants!S51)))=0),IF(AND(ISNUMBER(Plants!N51),N(Plants!H51)&gt;0,(TODAY()+6)&gt;=MAX(Plants!N51,TODAY()),MOD((TODAY()+6)-MAX(Plants!N51,TODAY()),MAX(1,N(Plants!H51)))=0),"Water, feed","Water"),IF(AND(ISNUMBER(Plants!N51),N(Plants!H51)&gt;0,(TODAY()+6)&gt;=MAX(Plants!N51,TODAY()),MOD((TODAY()+6)-MAX(Plants!N51,TODAY()),MAX(1,N(Plants!H51)))=0),"Feed",""))</f>
        <v/>
      </c>
      <c r="K51" s="1" t="n"/>
    </row>
    <row r="52">
      <c r="A52" s="1" t="n"/>
      <c r="B52" s="15">
        <f>IF(Plants!B52="","",Plants!B52)</f>
        <v/>
      </c>
      <c r="C52" s="16">
        <f>IF(Plants!B52="","",Plants!D52)</f>
        <v/>
      </c>
      <c r="D52" s="13">
        <f>IF(AND(ISNUMBER(Plants!L52),N(Plants!S52)&gt;0,(TODAY()+0)&gt;=MAX(Plants!L52,TODAY()),MOD((TODAY()+0)-MAX(Plants!L52,TODAY()),MAX(1,N(Plants!S52)))=0),IF(AND(ISNUMBER(Plants!N52),N(Plants!H52)&gt;0,(TODAY()+0)&gt;=MAX(Plants!N52,TODAY()),MOD((TODAY()+0)-MAX(Plants!N52,TODAY()),MAX(1,N(Plants!H52)))=0),"Water, feed","Water"),IF(AND(ISNUMBER(Plants!N52),N(Plants!H52)&gt;0,(TODAY()+0)&gt;=MAX(Plants!N52,TODAY()),MOD((TODAY()+0)-MAX(Plants!N52,TODAY()),MAX(1,N(Plants!H52)))=0),"Feed",""))</f>
        <v/>
      </c>
      <c r="E52" s="13">
        <f>IF(AND(ISNUMBER(Plants!L52),N(Plants!S52)&gt;0,(TODAY()+1)&gt;=MAX(Plants!L52,TODAY()),MOD((TODAY()+1)-MAX(Plants!L52,TODAY()),MAX(1,N(Plants!S52)))=0),IF(AND(ISNUMBER(Plants!N52),N(Plants!H52)&gt;0,(TODAY()+1)&gt;=MAX(Plants!N52,TODAY()),MOD((TODAY()+1)-MAX(Plants!N52,TODAY()),MAX(1,N(Plants!H52)))=0),"Water, feed","Water"),IF(AND(ISNUMBER(Plants!N52),N(Plants!H52)&gt;0,(TODAY()+1)&gt;=MAX(Plants!N52,TODAY()),MOD((TODAY()+1)-MAX(Plants!N52,TODAY()),MAX(1,N(Plants!H52)))=0),"Feed",""))</f>
        <v/>
      </c>
      <c r="F52" s="13">
        <f>IF(AND(ISNUMBER(Plants!L52),N(Plants!S52)&gt;0,(TODAY()+2)&gt;=MAX(Plants!L52,TODAY()),MOD((TODAY()+2)-MAX(Plants!L52,TODAY()),MAX(1,N(Plants!S52)))=0),IF(AND(ISNUMBER(Plants!N52),N(Plants!H52)&gt;0,(TODAY()+2)&gt;=MAX(Plants!N52,TODAY()),MOD((TODAY()+2)-MAX(Plants!N52,TODAY()),MAX(1,N(Plants!H52)))=0),"Water, feed","Water"),IF(AND(ISNUMBER(Plants!N52),N(Plants!H52)&gt;0,(TODAY()+2)&gt;=MAX(Plants!N52,TODAY()),MOD((TODAY()+2)-MAX(Plants!N52,TODAY()),MAX(1,N(Plants!H52)))=0),"Feed",""))</f>
        <v/>
      </c>
      <c r="G52" s="13">
        <f>IF(AND(ISNUMBER(Plants!L52),N(Plants!S52)&gt;0,(TODAY()+3)&gt;=MAX(Plants!L52,TODAY()),MOD((TODAY()+3)-MAX(Plants!L52,TODAY()),MAX(1,N(Plants!S52)))=0),IF(AND(ISNUMBER(Plants!N52),N(Plants!H52)&gt;0,(TODAY()+3)&gt;=MAX(Plants!N52,TODAY()),MOD((TODAY()+3)-MAX(Plants!N52,TODAY()),MAX(1,N(Plants!H52)))=0),"Water, feed","Water"),IF(AND(ISNUMBER(Plants!N52),N(Plants!H52)&gt;0,(TODAY()+3)&gt;=MAX(Plants!N52,TODAY()),MOD((TODAY()+3)-MAX(Plants!N52,TODAY()),MAX(1,N(Plants!H52)))=0),"Feed",""))</f>
        <v/>
      </c>
      <c r="H52" s="13">
        <f>IF(AND(ISNUMBER(Plants!L52),N(Plants!S52)&gt;0,(TODAY()+4)&gt;=MAX(Plants!L52,TODAY()),MOD((TODAY()+4)-MAX(Plants!L52,TODAY()),MAX(1,N(Plants!S52)))=0),IF(AND(ISNUMBER(Plants!N52),N(Plants!H52)&gt;0,(TODAY()+4)&gt;=MAX(Plants!N52,TODAY()),MOD((TODAY()+4)-MAX(Plants!N52,TODAY()),MAX(1,N(Plants!H52)))=0),"Water, feed","Water"),IF(AND(ISNUMBER(Plants!N52),N(Plants!H52)&gt;0,(TODAY()+4)&gt;=MAX(Plants!N52,TODAY()),MOD((TODAY()+4)-MAX(Plants!N52,TODAY()),MAX(1,N(Plants!H52)))=0),"Feed",""))</f>
        <v/>
      </c>
      <c r="I52" s="13">
        <f>IF(AND(ISNUMBER(Plants!L52),N(Plants!S52)&gt;0,(TODAY()+5)&gt;=MAX(Plants!L52,TODAY()),MOD((TODAY()+5)-MAX(Plants!L52,TODAY()),MAX(1,N(Plants!S52)))=0),IF(AND(ISNUMBER(Plants!N52),N(Plants!H52)&gt;0,(TODAY()+5)&gt;=MAX(Plants!N52,TODAY()),MOD((TODAY()+5)-MAX(Plants!N52,TODAY()),MAX(1,N(Plants!H52)))=0),"Water, feed","Water"),IF(AND(ISNUMBER(Plants!N52),N(Plants!H52)&gt;0,(TODAY()+5)&gt;=MAX(Plants!N52,TODAY()),MOD((TODAY()+5)-MAX(Plants!N52,TODAY()),MAX(1,N(Plants!H52)))=0),"Feed",""))</f>
        <v/>
      </c>
      <c r="J52" s="13">
        <f>IF(AND(ISNUMBER(Plants!L52),N(Plants!S52)&gt;0,(TODAY()+6)&gt;=MAX(Plants!L52,TODAY()),MOD((TODAY()+6)-MAX(Plants!L52,TODAY()),MAX(1,N(Plants!S52)))=0),IF(AND(ISNUMBER(Plants!N52),N(Plants!H52)&gt;0,(TODAY()+6)&gt;=MAX(Plants!N52,TODAY()),MOD((TODAY()+6)-MAX(Plants!N52,TODAY()),MAX(1,N(Plants!H52)))=0),"Water, feed","Water"),IF(AND(ISNUMBER(Plants!N52),N(Plants!H52)&gt;0,(TODAY()+6)&gt;=MAX(Plants!N52,TODAY()),MOD((TODAY()+6)-MAX(Plants!N52,TODAY()),MAX(1,N(Plants!H52)))=0),"Feed",""))</f>
        <v/>
      </c>
      <c r="K52" s="1" t="n"/>
    </row>
    <row r="53">
      <c r="A53" s="1" t="n"/>
      <c r="B53" s="15">
        <f>IF(Plants!B53="","",Plants!B53)</f>
        <v/>
      </c>
      <c r="C53" s="16">
        <f>IF(Plants!B53="","",Plants!D53)</f>
        <v/>
      </c>
      <c r="D53" s="13">
        <f>IF(AND(ISNUMBER(Plants!L53),N(Plants!S53)&gt;0,(TODAY()+0)&gt;=MAX(Plants!L53,TODAY()),MOD((TODAY()+0)-MAX(Plants!L53,TODAY()),MAX(1,N(Plants!S53)))=0),IF(AND(ISNUMBER(Plants!N53),N(Plants!H53)&gt;0,(TODAY()+0)&gt;=MAX(Plants!N53,TODAY()),MOD((TODAY()+0)-MAX(Plants!N53,TODAY()),MAX(1,N(Plants!H53)))=0),"Water, feed","Water"),IF(AND(ISNUMBER(Plants!N53),N(Plants!H53)&gt;0,(TODAY()+0)&gt;=MAX(Plants!N53,TODAY()),MOD((TODAY()+0)-MAX(Plants!N53,TODAY()),MAX(1,N(Plants!H53)))=0),"Feed",""))</f>
        <v/>
      </c>
      <c r="E53" s="13">
        <f>IF(AND(ISNUMBER(Plants!L53),N(Plants!S53)&gt;0,(TODAY()+1)&gt;=MAX(Plants!L53,TODAY()),MOD((TODAY()+1)-MAX(Plants!L53,TODAY()),MAX(1,N(Plants!S53)))=0),IF(AND(ISNUMBER(Plants!N53),N(Plants!H53)&gt;0,(TODAY()+1)&gt;=MAX(Plants!N53,TODAY()),MOD((TODAY()+1)-MAX(Plants!N53,TODAY()),MAX(1,N(Plants!H53)))=0),"Water, feed","Water"),IF(AND(ISNUMBER(Plants!N53),N(Plants!H53)&gt;0,(TODAY()+1)&gt;=MAX(Plants!N53,TODAY()),MOD((TODAY()+1)-MAX(Plants!N53,TODAY()),MAX(1,N(Plants!H53)))=0),"Feed",""))</f>
        <v/>
      </c>
      <c r="F53" s="13">
        <f>IF(AND(ISNUMBER(Plants!L53),N(Plants!S53)&gt;0,(TODAY()+2)&gt;=MAX(Plants!L53,TODAY()),MOD((TODAY()+2)-MAX(Plants!L53,TODAY()),MAX(1,N(Plants!S53)))=0),IF(AND(ISNUMBER(Plants!N53),N(Plants!H53)&gt;0,(TODAY()+2)&gt;=MAX(Plants!N53,TODAY()),MOD((TODAY()+2)-MAX(Plants!N53,TODAY()),MAX(1,N(Plants!H53)))=0),"Water, feed","Water"),IF(AND(ISNUMBER(Plants!N53),N(Plants!H53)&gt;0,(TODAY()+2)&gt;=MAX(Plants!N53,TODAY()),MOD((TODAY()+2)-MAX(Plants!N53,TODAY()),MAX(1,N(Plants!H53)))=0),"Feed",""))</f>
        <v/>
      </c>
      <c r="G53" s="13">
        <f>IF(AND(ISNUMBER(Plants!L53),N(Plants!S53)&gt;0,(TODAY()+3)&gt;=MAX(Plants!L53,TODAY()),MOD((TODAY()+3)-MAX(Plants!L53,TODAY()),MAX(1,N(Plants!S53)))=0),IF(AND(ISNUMBER(Plants!N53),N(Plants!H53)&gt;0,(TODAY()+3)&gt;=MAX(Plants!N53,TODAY()),MOD((TODAY()+3)-MAX(Plants!N53,TODAY()),MAX(1,N(Plants!H53)))=0),"Water, feed","Water"),IF(AND(ISNUMBER(Plants!N53),N(Plants!H53)&gt;0,(TODAY()+3)&gt;=MAX(Plants!N53,TODAY()),MOD((TODAY()+3)-MAX(Plants!N53,TODAY()),MAX(1,N(Plants!H53)))=0),"Feed",""))</f>
        <v/>
      </c>
      <c r="H53" s="13">
        <f>IF(AND(ISNUMBER(Plants!L53),N(Plants!S53)&gt;0,(TODAY()+4)&gt;=MAX(Plants!L53,TODAY()),MOD((TODAY()+4)-MAX(Plants!L53,TODAY()),MAX(1,N(Plants!S53)))=0),IF(AND(ISNUMBER(Plants!N53),N(Plants!H53)&gt;0,(TODAY()+4)&gt;=MAX(Plants!N53,TODAY()),MOD((TODAY()+4)-MAX(Plants!N53,TODAY()),MAX(1,N(Plants!H53)))=0),"Water, feed","Water"),IF(AND(ISNUMBER(Plants!N53),N(Plants!H53)&gt;0,(TODAY()+4)&gt;=MAX(Plants!N53,TODAY()),MOD((TODAY()+4)-MAX(Plants!N53,TODAY()),MAX(1,N(Plants!H53)))=0),"Feed",""))</f>
        <v/>
      </c>
      <c r="I53" s="13">
        <f>IF(AND(ISNUMBER(Plants!L53),N(Plants!S53)&gt;0,(TODAY()+5)&gt;=MAX(Plants!L53,TODAY()),MOD((TODAY()+5)-MAX(Plants!L53,TODAY()),MAX(1,N(Plants!S53)))=0),IF(AND(ISNUMBER(Plants!N53),N(Plants!H53)&gt;0,(TODAY()+5)&gt;=MAX(Plants!N53,TODAY()),MOD((TODAY()+5)-MAX(Plants!N53,TODAY()),MAX(1,N(Plants!H53)))=0),"Water, feed","Water"),IF(AND(ISNUMBER(Plants!N53),N(Plants!H53)&gt;0,(TODAY()+5)&gt;=MAX(Plants!N53,TODAY()),MOD((TODAY()+5)-MAX(Plants!N53,TODAY()),MAX(1,N(Plants!H53)))=0),"Feed",""))</f>
        <v/>
      </c>
      <c r="J53" s="13">
        <f>IF(AND(ISNUMBER(Plants!L53),N(Plants!S53)&gt;0,(TODAY()+6)&gt;=MAX(Plants!L53,TODAY()),MOD((TODAY()+6)-MAX(Plants!L53,TODAY()),MAX(1,N(Plants!S53)))=0),IF(AND(ISNUMBER(Plants!N53),N(Plants!H53)&gt;0,(TODAY()+6)&gt;=MAX(Plants!N53,TODAY()),MOD((TODAY()+6)-MAX(Plants!N53,TODAY()),MAX(1,N(Plants!H53)))=0),"Water, feed","Water"),IF(AND(ISNUMBER(Plants!N53),N(Plants!H53)&gt;0,(TODAY()+6)&gt;=MAX(Plants!N53,TODAY()),MOD((TODAY()+6)-MAX(Plants!N53,TODAY()),MAX(1,N(Plants!H53)))=0),"Feed",""))</f>
        <v/>
      </c>
      <c r="K53" s="1" t="n"/>
    </row>
    <row r="54">
      <c r="A54" s="1" t="n"/>
      <c r="B54" s="15">
        <f>IF(Plants!B54="","",Plants!B54)</f>
        <v/>
      </c>
      <c r="C54" s="16">
        <f>IF(Plants!B54="","",Plants!D54)</f>
        <v/>
      </c>
      <c r="D54" s="13">
        <f>IF(AND(ISNUMBER(Plants!L54),N(Plants!S54)&gt;0,(TODAY()+0)&gt;=MAX(Plants!L54,TODAY()),MOD((TODAY()+0)-MAX(Plants!L54,TODAY()),MAX(1,N(Plants!S54)))=0),IF(AND(ISNUMBER(Plants!N54),N(Plants!H54)&gt;0,(TODAY()+0)&gt;=MAX(Plants!N54,TODAY()),MOD((TODAY()+0)-MAX(Plants!N54,TODAY()),MAX(1,N(Plants!H54)))=0),"Water, feed","Water"),IF(AND(ISNUMBER(Plants!N54),N(Plants!H54)&gt;0,(TODAY()+0)&gt;=MAX(Plants!N54,TODAY()),MOD((TODAY()+0)-MAX(Plants!N54,TODAY()),MAX(1,N(Plants!H54)))=0),"Feed",""))</f>
        <v/>
      </c>
      <c r="E54" s="13">
        <f>IF(AND(ISNUMBER(Plants!L54),N(Plants!S54)&gt;0,(TODAY()+1)&gt;=MAX(Plants!L54,TODAY()),MOD((TODAY()+1)-MAX(Plants!L54,TODAY()),MAX(1,N(Plants!S54)))=0),IF(AND(ISNUMBER(Plants!N54),N(Plants!H54)&gt;0,(TODAY()+1)&gt;=MAX(Plants!N54,TODAY()),MOD((TODAY()+1)-MAX(Plants!N54,TODAY()),MAX(1,N(Plants!H54)))=0),"Water, feed","Water"),IF(AND(ISNUMBER(Plants!N54),N(Plants!H54)&gt;0,(TODAY()+1)&gt;=MAX(Plants!N54,TODAY()),MOD((TODAY()+1)-MAX(Plants!N54,TODAY()),MAX(1,N(Plants!H54)))=0),"Feed",""))</f>
        <v/>
      </c>
      <c r="F54" s="13">
        <f>IF(AND(ISNUMBER(Plants!L54),N(Plants!S54)&gt;0,(TODAY()+2)&gt;=MAX(Plants!L54,TODAY()),MOD((TODAY()+2)-MAX(Plants!L54,TODAY()),MAX(1,N(Plants!S54)))=0),IF(AND(ISNUMBER(Plants!N54),N(Plants!H54)&gt;0,(TODAY()+2)&gt;=MAX(Plants!N54,TODAY()),MOD((TODAY()+2)-MAX(Plants!N54,TODAY()),MAX(1,N(Plants!H54)))=0),"Water, feed","Water"),IF(AND(ISNUMBER(Plants!N54),N(Plants!H54)&gt;0,(TODAY()+2)&gt;=MAX(Plants!N54,TODAY()),MOD((TODAY()+2)-MAX(Plants!N54,TODAY()),MAX(1,N(Plants!H54)))=0),"Feed",""))</f>
        <v/>
      </c>
      <c r="G54" s="13">
        <f>IF(AND(ISNUMBER(Plants!L54),N(Plants!S54)&gt;0,(TODAY()+3)&gt;=MAX(Plants!L54,TODAY()),MOD((TODAY()+3)-MAX(Plants!L54,TODAY()),MAX(1,N(Plants!S54)))=0),IF(AND(ISNUMBER(Plants!N54),N(Plants!H54)&gt;0,(TODAY()+3)&gt;=MAX(Plants!N54,TODAY()),MOD((TODAY()+3)-MAX(Plants!N54,TODAY()),MAX(1,N(Plants!H54)))=0),"Water, feed","Water"),IF(AND(ISNUMBER(Plants!N54),N(Plants!H54)&gt;0,(TODAY()+3)&gt;=MAX(Plants!N54,TODAY()),MOD((TODAY()+3)-MAX(Plants!N54,TODAY()),MAX(1,N(Plants!H54)))=0),"Feed",""))</f>
        <v/>
      </c>
      <c r="H54" s="13">
        <f>IF(AND(ISNUMBER(Plants!L54),N(Plants!S54)&gt;0,(TODAY()+4)&gt;=MAX(Plants!L54,TODAY()),MOD((TODAY()+4)-MAX(Plants!L54,TODAY()),MAX(1,N(Plants!S54)))=0),IF(AND(ISNUMBER(Plants!N54),N(Plants!H54)&gt;0,(TODAY()+4)&gt;=MAX(Plants!N54,TODAY()),MOD((TODAY()+4)-MAX(Plants!N54,TODAY()),MAX(1,N(Plants!H54)))=0),"Water, feed","Water"),IF(AND(ISNUMBER(Plants!N54),N(Plants!H54)&gt;0,(TODAY()+4)&gt;=MAX(Plants!N54,TODAY()),MOD((TODAY()+4)-MAX(Plants!N54,TODAY()),MAX(1,N(Plants!H54)))=0),"Feed",""))</f>
        <v/>
      </c>
      <c r="I54" s="13">
        <f>IF(AND(ISNUMBER(Plants!L54),N(Plants!S54)&gt;0,(TODAY()+5)&gt;=MAX(Plants!L54,TODAY()),MOD((TODAY()+5)-MAX(Plants!L54,TODAY()),MAX(1,N(Plants!S54)))=0),IF(AND(ISNUMBER(Plants!N54),N(Plants!H54)&gt;0,(TODAY()+5)&gt;=MAX(Plants!N54,TODAY()),MOD((TODAY()+5)-MAX(Plants!N54,TODAY()),MAX(1,N(Plants!H54)))=0),"Water, feed","Water"),IF(AND(ISNUMBER(Plants!N54),N(Plants!H54)&gt;0,(TODAY()+5)&gt;=MAX(Plants!N54,TODAY()),MOD((TODAY()+5)-MAX(Plants!N54,TODAY()),MAX(1,N(Plants!H54)))=0),"Feed",""))</f>
        <v/>
      </c>
      <c r="J54" s="13">
        <f>IF(AND(ISNUMBER(Plants!L54),N(Plants!S54)&gt;0,(TODAY()+6)&gt;=MAX(Plants!L54,TODAY()),MOD((TODAY()+6)-MAX(Plants!L54,TODAY()),MAX(1,N(Plants!S54)))=0),IF(AND(ISNUMBER(Plants!N54),N(Plants!H54)&gt;0,(TODAY()+6)&gt;=MAX(Plants!N54,TODAY()),MOD((TODAY()+6)-MAX(Plants!N54,TODAY()),MAX(1,N(Plants!H54)))=0),"Water, feed","Water"),IF(AND(ISNUMBER(Plants!N54),N(Plants!H54)&gt;0,(TODAY()+6)&gt;=MAX(Plants!N54,TODAY()),MOD((TODAY()+6)-MAX(Plants!N54,TODAY()),MAX(1,N(Plants!H54)))=0),"Feed",""))</f>
        <v/>
      </c>
      <c r="K54" s="1" t="n"/>
    </row>
    <row r="55">
      <c r="A55" s="1" t="n"/>
      <c r="B55" s="15">
        <f>IF(Plants!B55="","",Plants!B55)</f>
        <v/>
      </c>
      <c r="C55" s="16">
        <f>IF(Plants!B55="","",Plants!D55)</f>
        <v/>
      </c>
      <c r="D55" s="13">
        <f>IF(AND(ISNUMBER(Plants!L55),N(Plants!S55)&gt;0,(TODAY()+0)&gt;=MAX(Plants!L55,TODAY()),MOD((TODAY()+0)-MAX(Plants!L55,TODAY()),MAX(1,N(Plants!S55)))=0),IF(AND(ISNUMBER(Plants!N55),N(Plants!H55)&gt;0,(TODAY()+0)&gt;=MAX(Plants!N55,TODAY()),MOD((TODAY()+0)-MAX(Plants!N55,TODAY()),MAX(1,N(Plants!H55)))=0),"Water, feed","Water"),IF(AND(ISNUMBER(Plants!N55),N(Plants!H55)&gt;0,(TODAY()+0)&gt;=MAX(Plants!N55,TODAY()),MOD((TODAY()+0)-MAX(Plants!N55,TODAY()),MAX(1,N(Plants!H55)))=0),"Feed",""))</f>
        <v/>
      </c>
      <c r="E55" s="13">
        <f>IF(AND(ISNUMBER(Plants!L55),N(Plants!S55)&gt;0,(TODAY()+1)&gt;=MAX(Plants!L55,TODAY()),MOD((TODAY()+1)-MAX(Plants!L55,TODAY()),MAX(1,N(Plants!S55)))=0),IF(AND(ISNUMBER(Plants!N55),N(Plants!H55)&gt;0,(TODAY()+1)&gt;=MAX(Plants!N55,TODAY()),MOD((TODAY()+1)-MAX(Plants!N55,TODAY()),MAX(1,N(Plants!H55)))=0),"Water, feed","Water"),IF(AND(ISNUMBER(Plants!N55),N(Plants!H55)&gt;0,(TODAY()+1)&gt;=MAX(Plants!N55,TODAY()),MOD((TODAY()+1)-MAX(Plants!N55,TODAY()),MAX(1,N(Plants!H55)))=0),"Feed",""))</f>
        <v/>
      </c>
      <c r="F55" s="13">
        <f>IF(AND(ISNUMBER(Plants!L55),N(Plants!S55)&gt;0,(TODAY()+2)&gt;=MAX(Plants!L55,TODAY()),MOD((TODAY()+2)-MAX(Plants!L55,TODAY()),MAX(1,N(Plants!S55)))=0),IF(AND(ISNUMBER(Plants!N55),N(Plants!H55)&gt;0,(TODAY()+2)&gt;=MAX(Plants!N55,TODAY()),MOD((TODAY()+2)-MAX(Plants!N55,TODAY()),MAX(1,N(Plants!H55)))=0),"Water, feed","Water"),IF(AND(ISNUMBER(Plants!N55),N(Plants!H55)&gt;0,(TODAY()+2)&gt;=MAX(Plants!N55,TODAY()),MOD((TODAY()+2)-MAX(Plants!N55,TODAY()),MAX(1,N(Plants!H55)))=0),"Feed",""))</f>
        <v/>
      </c>
      <c r="G55" s="13">
        <f>IF(AND(ISNUMBER(Plants!L55),N(Plants!S55)&gt;0,(TODAY()+3)&gt;=MAX(Plants!L55,TODAY()),MOD((TODAY()+3)-MAX(Plants!L55,TODAY()),MAX(1,N(Plants!S55)))=0),IF(AND(ISNUMBER(Plants!N55),N(Plants!H55)&gt;0,(TODAY()+3)&gt;=MAX(Plants!N55,TODAY()),MOD((TODAY()+3)-MAX(Plants!N55,TODAY()),MAX(1,N(Plants!H55)))=0),"Water, feed","Water"),IF(AND(ISNUMBER(Plants!N55),N(Plants!H55)&gt;0,(TODAY()+3)&gt;=MAX(Plants!N55,TODAY()),MOD((TODAY()+3)-MAX(Plants!N55,TODAY()),MAX(1,N(Plants!H55)))=0),"Feed",""))</f>
        <v/>
      </c>
      <c r="H55" s="13">
        <f>IF(AND(ISNUMBER(Plants!L55),N(Plants!S55)&gt;0,(TODAY()+4)&gt;=MAX(Plants!L55,TODAY()),MOD((TODAY()+4)-MAX(Plants!L55,TODAY()),MAX(1,N(Plants!S55)))=0),IF(AND(ISNUMBER(Plants!N55),N(Plants!H55)&gt;0,(TODAY()+4)&gt;=MAX(Plants!N55,TODAY()),MOD((TODAY()+4)-MAX(Plants!N55,TODAY()),MAX(1,N(Plants!H55)))=0),"Water, feed","Water"),IF(AND(ISNUMBER(Plants!N55),N(Plants!H55)&gt;0,(TODAY()+4)&gt;=MAX(Plants!N55,TODAY()),MOD((TODAY()+4)-MAX(Plants!N55,TODAY()),MAX(1,N(Plants!H55)))=0),"Feed",""))</f>
        <v/>
      </c>
      <c r="I55" s="13">
        <f>IF(AND(ISNUMBER(Plants!L55),N(Plants!S55)&gt;0,(TODAY()+5)&gt;=MAX(Plants!L55,TODAY()),MOD((TODAY()+5)-MAX(Plants!L55,TODAY()),MAX(1,N(Plants!S55)))=0),IF(AND(ISNUMBER(Plants!N55),N(Plants!H55)&gt;0,(TODAY()+5)&gt;=MAX(Plants!N55,TODAY()),MOD((TODAY()+5)-MAX(Plants!N55,TODAY()),MAX(1,N(Plants!H55)))=0),"Water, feed","Water"),IF(AND(ISNUMBER(Plants!N55),N(Plants!H55)&gt;0,(TODAY()+5)&gt;=MAX(Plants!N55,TODAY()),MOD((TODAY()+5)-MAX(Plants!N55,TODAY()),MAX(1,N(Plants!H55)))=0),"Feed",""))</f>
        <v/>
      </c>
      <c r="J55" s="13">
        <f>IF(AND(ISNUMBER(Plants!L55),N(Plants!S55)&gt;0,(TODAY()+6)&gt;=MAX(Plants!L55,TODAY()),MOD((TODAY()+6)-MAX(Plants!L55,TODAY()),MAX(1,N(Plants!S55)))=0),IF(AND(ISNUMBER(Plants!N55),N(Plants!H55)&gt;0,(TODAY()+6)&gt;=MAX(Plants!N55,TODAY()),MOD((TODAY()+6)-MAX(Plants!N55,TODAY()),MAX(1,N(Plants!H55)))=0),"Water, feed","Water"),IF(AND(ISNUMBER(Plants!N55),N(Plants!H55)&gt;0,(TODAY()+6)&gt;=MAX(Plants!N55,TODAY()),MOD((TODAY()+6)-MAX(Plants!N55,TODAY()),MAX(1,N(Plants!H55)))=0),"Feed",""))</f>
        <v/>
      </c>
      <c r="K55" s="1" t="n"/>
    </row>
    <row r="56">
      <c r="A56" s="1" t="n"/>
      <c r="B56" s="15">
        <f>IF(Plants!B56="","",Plants!B56)</f>
        <v/>
      </c>
      <c r="C56" s="16">
        <f>IF(Plants!B56="","",Plants!D56)</f>
        <v/>
      </c>
      <c r="D56" s="13">
        <f>IF(AND(ISNUMBER(Plants!L56),N(Plants!S56)&gt;0,(TODAY()+0)&gt;=MAX(Plants!L56,TODAY()),MOD((TODAY()+0)-MAX(Plants!L56,TODAY()),MAX(1,N(Plants!S56)))=0),IF(AND(ISNUMBER(Plants!N56),N(Plants!H56)&gt;0,(TODAY()+0)&gt;=MAX(Plants!N56,TODAY()),MOD((TODAY()+0)-MAX(Plants!N56,TODAY()),MAX(1,N(Plants!H56)))=0),"Water, feed","Water"),IF(AND(ISNUMBER(Plants!N56),N(Plants!H56)&gt;0,(TODAY()+0)&gt;=MAX(Plants!N56,TODAY()),MOD((TODAY()+0)-MAX(Plants!N56,TODAY()),MAX(1,N(Plants!H56)))=0),"Feed",""))</f>
        <v/>
      </c>
      <c r="E56" s="13">
        <f>IF(AND(ISNUMBER(Plants!L56),N(Plants!S56)&gt;0,(TODAY()+1)&gt;=MAX(Plants!L56,TODAY()),MOD((TODAY()+1)-MAX(Plants!L56,TODAY()),MAX(1,N(Plants!S56)))=0),IF(AND(ISNUMBER(Plants!N56),N(Plants!H56)&gt;0,(TODAY()+1)&gt;=MAX(Plants!N56,TODAY()),MOD((TODAY()+1)-MAX(Plants!N56,TODAY()),MAX(1,N(Plants!H56)))=0),"Water, feed","Water"),IF(AND(ISNUMBER(Plants!N56),N(Plants!H56)&gt;0,(TODAY()+1)&gt;=MAX(Plants!N56,TODAY()),MOD((TODAY()+1)-MAX(Plants!N56,TODAY()),MAX(1,N(Plants!H56)))=0),"Feed",""))</f>
        <v/>
      </c>
      <c r="F56" s="13">
        <f>IF(AND(ISNUMBER(Plants!L56),N(Plants!S56)&gt;0,(TODAY()+2)&gt;=MAX(Plants!L56,TODAY()),MOD((TODAY()+2)-MAX(Plants!L56,TODAY()),MAX(1,N(Plants!S56)))=0),IF(AND(ISNUMBER(Plants!N56),N(Plants!H56)&gt;0,(TODAY()+2)&gt;=MAX(Plants!N56,TODAY()),MOD((TODAY()+2)-MAX(Plants!N56,TODAY()),MAX(1,N(Plants!H56)))=0),"Water, feed","Water"),IF(AND(ISNUMBER(Plants!N56),N(Plants!H56)&gt;0,(TODAY()+2)&gt;=MAX(Plants!N56,TODAY()),MOD((TODAY()+2)-MAX(Plants!N56,TODAY()),MAX(1,N(Plants!H56)))=0),"Feed",""))</f>
        <v/>
      </c>
      <c r="G56" s="13">
        <f>IF(AND(ISNUMBER(Plants!L56),N(Plants!S56)&gt;0,(TODAY()+3)&gt;=MAX(Plants!L56,TODAY()),MOD((TODAY()+3)-MAX(Plants!L56,TODAY()),MAX(1,N(Plants!S56)))=0),IF(AND(ISNUMBER(Plants!N56),N(Plants!H56)&gt;0,(TODAY()+3)&gt;=MAX(Plants!N56,TODAY()),MOD((TODAY()+3)-MAX(Plants!N56,TODAY()),MAX(1,N(Plants!H56)))=0),"Water, feed","Water"),IF(AND(ISNUMBER(Plants!N56),N(Plants!H56)&gt;0,(TODAY()+3)&gt;=MAX(Plants!N56,TODAY()),MOD((TODAY()+3)-MAX(Plants!N56,TODAY()),MAX(1,N(Plants!H56)))=0),"Feed",""))</f>
        <v/>
      </c>
      <c r="H56" s="13">
        <f>IF(AND(ISNUMBER(Plants!L56),N(Plants!S56)&gt;0,(TODAY()+4)&gt;=MAX(Plants!L56,TODAY()),MOD((TODAY()+4)-MAX(Plants!L56,TODAY()),MAX(1,N(Plants!S56)))=0),IF(AND(ISNUMBER(Plants!N56),N(Plants!H56)&gt;0,(TODAY()+4)&gt;=MAX(Plants!N56,TODAY()),MOD((TODAY()+4)-MAX(Plants!N56,TODAY()),MAX(1,N(Plants!H56)))=0),"Water, feed","Water"),IF(AND(ISNUMBER(Plants!N56),N(Plants!H56)&gt;0,(TODAY()+4)&gt;=MAX(Plants!N56,TODAY()),MOD((TODAY()+4)-MAX(Plants!N56,TODAY()),MAX(1,N(Plants!H56)))=0),"Feed",""))</f>
        <v/>
      </c>
      <c r="I56" s="13">
        <f>IF(AND(ISNUMBER(Plants!L56),N(Plants!S56)&gt;0,(TODAY()+5)&gt;=MAX(Plants!L56,TODAY()),MOD((TODAY()+5)-MAX(Plants!L56,TODAY()),MAX(1,N(Plants!S56)))=0),IF(AND(ISNUMBER(Plants!N56),N(Plants!H56)&gt;0,(TODAY()+5)&gt;=MAX(Plants!N56,TODAY()),MOD((TODAY()+5)-MAX(Plants!N56,TODAY()),MAX(1,N(Plants!H56)))=0),"Water, feed","Water"),IF(AND(ISNUMBER(Plants!N56),N(Plants!H56)&gt;0,(TODAY()+5)&gt;=MAX(Plants!N56,TODAY()),MOD((TODAY()+5)-MAX(Plants!N56,TODAY()),MAX(1,N(Plants!H56)))=0),"Feed",""))</f>
        <v/>
      </c>
      <c r="J56" s="13">
        <f>IF(AND(ISNUMBER(Plants!L56),N(Plants!S56)&gt;0,(TODAY()+6)&gt;=MAX(Plants!L56,TODAY()),MOD((TODAY()+6)-MAX(Plants!L56,TODAY()),MAX(1,N(Plants!S56)))=0),IF(AND(ISNUMBER(Plants!N56),N(Plants!H56)&gt;0,(TODAY()+6)&gt;=MAX(Plants!N56,TODAY()),MOD((TODAY()+6)-MAX(Plants!N56,TODAY()),MAX(1,N(Plants!H56)))=0),"Water, feed","Water"),IF(AND(ISNUMBER(Plants!N56),N(Plants!H56)&gt;0,(TODAY()+6)&gt;=MAX(Plants!N56,TODAY()),MOD((TODAY()+6)-MAX(Plants!N56,TODAY()),MAX(1,N(Plants!H56)))=0),"Feed",""))</f>
        <v/>
      </c>
      <c r="K56" s="1" t="n"/>
    </row>
    <row r="57">
      <c r="A57" s="1" t="n"/>
      <c r="B57" s="15">
        <f>IF(Plants!B57="","",Plants!B57)</f>
        <v/>
      </c>
      <c r="C57" s="16">
        <f>IF(Plants!B57="","",Plants!D57)</f>
        <v/>
      </c>
      <c r="D57" s="13">
        <f>IF(AND(ISNUMBER(Plants!L57),N(Plants!S57)&gt;0,(TODAY()+0)&gt;=MAX(Plants!L57,TODAY()),MOD((TODAY()+0)-MAX(Plants!L57,TODAY()),MAX(1,N(Plants!S57)))=0),IF(AND(ISNUMBER(Plants!N57),N(Plants!H57)&gt;0,(TODAY()+0)&gt;=MAX(Plants!N57,TODAY()),MOD((TODAY()+0)-MAX(Plants!N57,TODAY()),MAX(1,N(Plants!H57)))=0),"Water, feed","Water"),IF(AND(ISNUMBER(Plants!N57),N(Plants!H57)&gt;0,(TODAY()+0)&gt;=MAX(Plants!N57,TODAY()),MOD((TODAY()+0)-MAX(Plants!N57,TODAY()),MAX(1,N(Plants!H57)))=0),"Feed",""))</f>
        <v/>
      </c>
      <c r="E57" s="13">
        <f>IF(AND(ISNUMBER(Plants!L57),N(Plants!S57)&gt;0,(TODAY()+1)&gt;=MAX(Plants!L57,TODAY()),MOD((TODAY()+1)-MAX(Plants!L57,TODAY()),MAX(1,N(Plants!S57)))=0),IF(AND(ISNUMBER(Plants!N57),N(Plants!H57)&gt;0,(TODAY()+1)&gt;=MAX(Plants!N57,TODAY()),MOD((TODAY()+1)-MAX(Plants!N57,TODAY()),MAX(1,N(Plants!H57)))=0),"Water, feed","Water"),IF(AND(ISNUMBER(Plants!N57),N(Plants!H57)&gt;0,(TODAY()+1)&gt;=MAX(Plants!N57,TODAY()),MOD((TODAY()+1)-MAX(Plants!N57,TODAY()),MAX(1,N(Plants!H57)))=0),"Feed",""))</f>
        <v/>
      </c>
      <c r="F57" s="13">
        <f>IF(AND(ISNUMBER(Plants!L57),N(Plants!S57)&gt;0,(TODAY()+2)&gt;=MAX(Plants!L57,TODAY()),MOD((TODAY()+2)-MAX(Plants!L57,TODAY()),MAX(1,N(Plants!S57)))=0),IF(AND(ISNUMBER(Plants!N57),N(Plants!H57)&gt;0,(TODAY()+2)&gt;=MAX(Plants!N57,TODAY()),MOD((TODAY()+2)-MAX(Plants!N57,TODAY()),MAX(1,N(Plants!H57)))=0),"Water, feed","Water"),IF(AND(ISNUMBER(Plants!N57),N(Plants!H57)&gt;0,(TODAY()+2)&gt;=MAX(Plants!N57,TODAY()),MOD((TODAY()+2)-MAX(Plants!N57,TODAY()),MAX(1,N(Plants!H57)))=0),"Feed",""))</f>
        <v/>
      </c>
      <c r="G57" s="13">
        <f>IF(AND(ISNUMBER(Plants!L57),N(Plants!S57)&gt;0,(TODAY()+3)&gt;=MAX(Plants!L57,TODAY()),MOD((TODAY()+3)-MAX(Plants!L57,TODAY()),MAX(1,N(Plants!S57)))=0),IF(AND(ISNUMBER(Plants!N57),N(Plants!H57)&gt;0,(TODAY()+3)&gt;=MAX(Plants!N57,TODAY()),MOD((TODAY()+3)-MAX(Plants!N57,TODAY()),MAX(1,N(Plants!H57)))=0),"Water, feed","Water"),IF(AND(ISNUMBER(Plants!N57),N(Plants!H57)&gt;0,(TODAY()+3)&gt;=MAX(Plants!N57,TODAY()),MOD((TODAY()+3)-MAX(Plants!N57,TODAY()),MAX(1,N(Plants!H57)))=0),"Feed",""))</f>
        <v/>
      </c>
      <c r="H57" s="13">
        <f>IF(AND(ISNUMBER(Plants!L57),N(Plants!S57)&gt;0,(TODAY()+4)&gt;=MAX(Plants!L57,TODAY()),MOD((TODAY()+4)-MAX(Plants!L57,TODAY()),MAX(1,N(Plants!S57)))=0),IF(AND(ISNUMBER(Plants!N57),N(Plants!H57)&gt;0,(TODAY()+4)&gt;=MAX(Plants!N57,TODAY()),MOD((TODAY()+4)-MAX(Plants!N57,TODAY()),MAX(1,N(Plants!H57)))=0),"Water, feed","Water"),IF(AND(ISNUMBER(Plants!N57),N(Plants!H57)&gt;0,(TODAY()+4)&gt;=MAX(Plants!N57,TODAY()),MOD((TODAY()+4)-MAX(Plants!N57,TODAY()),MAX(1,N(Plants!H57)))=0),"Feed",""))</f>
        <v/>
      </c>
      <c r="I57" s="13">
        <f>IF(AND(ISNUMBER(Plants!L57),N(Plants!S57)&gt;0,(TODAY()+5)&gt;=MAX(Plants!L57,TODAY()),MOD((TODAY()+5)-MAX(Plants!L57,TODAY()),MAX(1,N(Plants!S57)))=0),IF(AND(ISNUMBER(Plants!N57),N(Plants!H57)&gt;0,(TODAY()+5)&gt;=MAX(Plants!N57,TODAY()),MOD((TODAY()+5)-MAX(Plants!N57,TODAY()),MAX(1,N(Plants!H57)))=0),"Water, feed","Water"),IF(AND(ISNUMBER(Plants!N57),N(Plants!H57)&gt;0,(TODAY()+5)&gt;=MAX(Plants!N57,TODAY()),MOD((TODAY()+5)-MAX(Plants!N57,TODAY()),MAX(1,N(Plants!H57)))=0),"Feed",""))</f>
        <v/>
      </c>
      <c r="J57" s="13">
        <f>IF(AND(ISNUMBER(Plants!L57),N(Plants!S57)&gt;0,(TODAY()+6)&gt;=MAX(Plants!L57,TODAY()),MOD((TODAY()+6)-MAX(Plants!L57,TODAY()),MAX(1,N(Plants!S57)))=0),IF(AND(ISNUMBER(Plants!N57),N(Plants!H57)&gt;0,(TODAY()+6)&gt;=MAX(Plants!N57,TODAY()),MOD((TODAY()+6)-MAX(Plants!N57,TODAY()),MAX(1,N(Plants!H57)))=0),"Water, feed","Water"),IF(AND(ISNUMBER(Plants!N57),N(Plants!H57)&gt;0,(TODAY()+6)&gt;=MAX(Plants!N57,TODAY()),MOD((TODAY()+6)-MAX(Plants!N57,TODAY()),MAX(1,N(Plants!H57)))=0),"Feed",""))</f>
        <v/>
      </c>
      <c r="K57" s="1" t="n"/>
    </row>
    <row r="58">
      <c r="A58" s="1" t="n"/>
      <c r="B58" s="15">
        <f>IF(Plants!B58="","",Plants!B58)</f>
        <v/>
      </c>
      <c r="C58" s="16">
        <f>IF(Plants!B58="","",Plants!D58)</f>
        <v/>
      </c>
      <c r="D58" s="13">
        <f>IF(AND(ISNUMBER(Plants!L58),N(Plants!S58)&gt;0,(TODAY()+0)&gt;=MAX(Plants!L58,TODAY()),MOD((TODAY()+0)-MAX(Plants!L58,TODAY()),MAX(1,N(Plants!S58)))=0),IF(AND(ISNUMBER(Plants!N58),N(Plants!H58)&gt;0,(TODAY()+0)&gt;=MAX(Plants!N58,TODAY()),MOD((TODAY()+0)-MAX(Plants!N58,TODAY()),MAX(1,N(Plants!H58)))=0),"Water, feed","Water"),IF(AND(ISNUMBER(Plants!N58),N(Plants!H58)&gt;0,(TODAY()+0)&gt;=MAX(Plants!N58,TODAY()),MOD((TODAY()+0)-MAX(Plants!N58,TODAY()),MAX(1,N(Plants!H58)))=0),"Feed",""))</f>
        <v/>
      </c>
      <c r="E58" s="13">
        <f>IF(AND(ISNUMBER(Plants!L58),N(Plants!S58)&gt;0,(TODAY()+1)&gt;=MAX(Plants!L58,TODAY()),MOD((TODAY()+1)-MAX(Plants!L58,TODAY()),MAX(1,N(Plants!S58)))=0),IF(AND(ISNUMBER(Plants!N58),N(Plants!H58)&gt;0,(TODAY()+1)&gt;=MAX(Plants!N58,TODAY()),MOD((TODAY()+1)-MAX(Plants!N58,TODAY()),MAX(1,N(Plants!H58)))=0),"Water, feed","Water"),IF(AND(ISNUMBER(Plants!N58),N(Plants!H58)&gt;0,(TODAY()+1)&gt;=MAX(Plants!N58,TODAY()),MOD((TODAY()+1)-MAX(Plants!N58,TODAY()),MAX(1,N(Plants!H58)))=0),"Feed",""))</f>
        <v/>
      </c>
      <c r="F58" s="13">
        <f>IF(AND(ISNUMBER(Plants!L58),N(Plants!S58)&gt;0,(TODAY()+2)&gt;=MAX(Plants!L58,TODAY()),MOD((TODAY()+2)-MAX(Plants!L58,TODAY()),MAX(1,N(Plants!S58)))=0),IF(AND(ISNUMBER(Plants!N58),N(Plants!H58)&gt;0,(TODAY()+2)&gt;=MAX(Plants!N58,TODAY()),MOD((TODAY()+2)-MAX(Plants!N58,TODAY()),MAX(1,N(Plants!H58)))=0),"Water, feed","Water"),IF(AND(ISNUMBER(Plants!N58),N(Plants!H58)&gt;0,(TODAY()+2)&gt;=MAX(Plants!N58,TODAY()),MOD((TODAY()+2)-MAX(Plants!N58,TODAY()),MAX(1,N(Plants!H58)))=0),"Feed",""))</f>
        <v/>
      </c>
      <c r="G58" s="13">
        <f>IF(AND(ISNUMBER(Plants!L58),N(Plants!S58)&gt;0,(TODAY()+3)&gt;=MAX(Plants!L58,TODAY()),MOD((TODAY()+3)-MAX(Plants!L58,TODAY()),MAX(1,N(Plants!S58)))=0),IF(AND(ISNUMBER(Plants!N58),N(Plants!H58)&gt;0,(TODAY()+3)&gt;=MAX(Plants!N58,TODAY()),MOD((TODAY()+3)-MAX(Plants!N58,TODAY()),MAX(1,N(Plants!H58)))=0),"Water, feed","Water"),IF(AND(ISNUMBER(Plants!N58),N(Plants!H58)&gt;0,(TODAY()+3)&gt;=MAX(Plants!N58,TODAY()),MOD((TODAY()+3)-MAX(Plants!N58,TODAY()),MAX(1,N(Plants!H58)))=0),"Feed",""))</f>
        <v/>
      </c>
      <c r="H58" s="13">
        <f>IF(AND(ISNUMBER(Plants!L58),N(Plants!S58)&gt;0,(TODAY()+4)&gt;=MAX(Plants!L58,TODAY()),MOD((TODAY()+4)-MAX(Plants!L58,TODAY()),MAX(1,N(Plants!S58)))=0),IF(AND(ISNUMBER(Plants!N58),N(Plants!H58)&gt;0,(TODAY()+4)&gt;=MAX(Plants!N58,TODAY()),MOD((TODAY()+4)-MAX(Plants!N58,TODAY()),MAX(1,N(Plants!H58)))=0),"Water, feed","Water"),IF(AND(ISNUMBER(Plants!N58),N(Plants!H58)&gt;0,(TODAY()+4)&gt;=MAX(Plants!N58,TODAY()),MOD((TODAY()+4)-MAX(Plants!N58,TODAY()),MAX(1,N(Plants!H58)))=0),"Feed",""))</f>
        <v/>
      </c>
      <c r="I58" s="13">
        <f>IF(AND(ISNUMBER(Plants!L58),N(Plants!S58)&gt;0,(TODAY()+5)&gt;=MAX(Plants!L58,TODAY()),MOD((TODAY()+5)-MAX(Plants!L58,TODAY()),MAX(1,N(Plants!S58)))=0),IF(AND(ISNUMBER(Plants!N58),N(Plants!H58)&gt;0,(TODAY()+5)&gt;=MAX(Plants!N58,TODAY()),MOD((TODAY()+5)-MAX(Plants!N58,TODAY()),MAX(1,N(Plants!H58)))=0),"Water, feed","Water"),IF(AND(ISNUMBER(Plants!N58),N(Plants!H58)&gt;0,(TODAY()+5)&gt;=MAX(Plants!N58,TODAY()),MOD((TODAY()+5)-MAX(Plants!N58,TODAY()),MAX(1,N(Plants!H58)))=0),"Feed",""))</f>
        <v/>
      </c>
      <c r="J58" s="13">
        <f>IF(AND(ISNUMBER(Plants!L58),N(Plants!S58)&gt;0,(TODAY()+6)&gt;=MAX(Plants!L58,TODAY()),MOD((TODAY()+6)-MAX(Plants!L58,TODAY()),MAX(1,N(Plants!S58)))=0),IF(AND(ISNUMBER(Plants!N58),N(Plants!H58)&gt;0,(TODAY()+6)&gt;=MAX(Plants!N58,TODAY()),MOD((TODAY()+6)-MAX(Plants!N58,TODAY()),MAX(1,N(Plants!H58)))=0),"Water, feed","Water"),IF(AND(ISNUMBER(Plants!N58),N(Plants!H58)&gt;0,(TODAY()+6)&gt;=MAX(Plants!N58,TODAY()),MOD((TODAY()+6)-MAX(Plants!N58,TODAY()),MAX(1,N(Plants!H58)))=0),"Feed",""))</f>
        <v/>
      </c>
      <c r="K58" s="1" t="n"/>
    </row>
    <row r="59">
      <c r="A59" s="1" t="n"/>
      <c r="B59" s="15">
        <f>IF(Plants!B59="","",Plants!B59)</f>
        <v/>
      </c>
      <c r="C59" s="16">
        <f>IF(Plants!B59="","",Plants!D59)</f>
        <v/>
      </c>
      <c r="D59" s="13">
        <f>IF(AND(ISNUMBER(Plants!L59),N(Plants!S59)&gt;0,(TODAY()+0)&gt;=MAX(Plants!L59,TODAY()),MOD((TODAY()+0)-MAX(Plants!L59,TODAY()),MAX(1,N(Plants!S59)))=0),IF(AND(ISNUMBER(Plants!N59),N(Plants!H59)&gt;0,(TODAY()+0)&gt;=MAX(Plants!N59,TODAY()),MOD((TODAY()+0)-MAX(Plants!N59,TODAY()),MAX(1,N(Plants!H59)))=0),"Water, feed","Water"),IF(AND(ISNUMBER(Plants!N59),N(Plants!H59)&gt;0,(TODAY()+0)&gt;=MAX(Plants!N59,TODAY()),MOD((TODAY()+0)-MAX(Plants!N59,TODAY()),MAX(1,N(Plants!H59)))=0),"Feed",""))</f>
        <v/>
      </c>
      <c r="E59" s="13">
        <f>IF(AND(ISNUMBER(Plants!L59),N(Plants!S59)&gt;0,(TODAY()+1)&gt;=MAX(Plants!L59,TODAY()),MOD((TODAY()+1)-MAX(Plants!L59,TODAY()),MAX(1,N(Plants!S59)))=0),IF(AND(ISNUMBER(Plants!N59),N(Plants!H59)&gt;0,(TODAY()+1)&gt;=MAX(Plants!N59,TODAY()),MOD((TODAY()+1)-MAX(Plants!N59,TODAY()),MAX(1,N(Plants!H59)))=0),"Water, feed","Water"),IF(AND(ISNUMBER(Plants!N59),N(Plants!H59)&gt;0,(TODAY()+1)&gt;=MAX(Plants!N59,TODAY()),MOD((TODAY()+1)-MAX(Plants!N59,TODAY()),MAX(1,N(Plants!H59)))=0),"Feed",""))</f>
        <v/>
      </c>
      <c r="F59" s="13">
        <f>IF(AND(ISNUMBER(Plants!L59),N(Plants!S59)&gt;0,(TODAY()+2)&gt;=MAX(Plants!L59,TODAY()),MOD((TODAY()+2)-MAX(Plants!L59,TODAY()),MAX(1,N(Plants!S59)))=0),IF(AND(ISNUMBER(Plants!N59),N(Plants!H59)&gt;0,(TODAY()+2)&gt;=MAX(Plants!N59,TODAY()),MOD((TODAY()+2)-MAX(Plants!N59,TODAY()),MAX(1,N(Plants!H59)))=0),"Water, feed","Water"),IF(AND(ISNUMBER(Plants!N59),N(Plants!H59)&gt;0,(TODAY()+2)&gt;=MAX(Plants!N59,TODAY()),MOD((TODAY()+2)-MAX(Plants!N59,TODAY()),MAX(1,N(Plants!H59)))=0),"Feed",""))</f>
        <v/>
      </c>
      <c r="G59" s="13">
        <f>IF(AND(ISNUMBER(Plants!L59),N(Plants!S59)&gt;0,(TODAY()+3)&gt;=MAX(Plants!L59,TODAY()),MOD((TODAY()+3)-MAX(Plants!L59,TODAY()),MAX(1,N(Plants!S59)))=0),IF(AND(ISNUMBER(Plants!N59),N(Plants!H59)&gt;0,(TODAY()+3)&gt;=MAX(Plants!N59,TODAY()),MOD((TODAY()+3)-MAX(Plants!N59,TODAY()),MAX(1,N(Plants!H59)))=0),"Water, feed","Water"),IF(AND(ISNUMBER(Plants!N59),N(Plants!H59)&gt;0,(TODAY()+3)&gt;=MAX(Plants!N59,TODAY()),MOD((TODAY()+3)-MAX(Plants!N59,TODAY()),MAX(1,N(Plants!H59)))=0),"Feed",""))</f>
        <v/>
      </c>
      <c r="H59" s="13">
        <f>IF(AND(ISNUMBER(Plants!L59),N(Plants!S59)&gt;0,(TODAY()+4)&gt;=MAX(Plants!L59,TODAY()),MOD((TODAY()+4)-MAX(Plants!L59,TODAY()),MAX(1,N(Plants!S59)))=0),IF(AND(ISNUMBER(Plants!N59),N(Plants!H59)&gt;0,(TODAY()+4)&gt;=MAX(Plants!N59,TODAY()),MOD((TODAY()+4)-MAX(Plants!N59,TODAY()),MAX(1,N(Plants!H59)))=0),"Water, feed","Water"),IF(AND(ISNUMBER(Plants!N59),N(Plants!H59)&gt;0,(TODAY()+4)&gt;=MAX(Plants!N59,TODAY()),MOD((TODAY()+4)-MAX(Plants!N59,TODAY()),MAX(1,N(Plants!H59)))=0),"Feed",""))</f>
        <v/>
      </c>
      <c r="I59" s="13">
        <f>IF(AND(ISNUMBER(Plants!L59),N(Plants!S59)&gt;0,(TODAY()+5)&gt;=MAX(Plants!L59,TODAY()),MOD((TODAY()+5)-MAX(Plants!L59,TODAY()),MAX(1,N(Plants!S59)))=0),IF(AND(ISNUMBER(Plants!N59),N(Plants!H59)&gt;0,(TODAY()+5)&gt;=MAX(Plants!N59,TODAY()),MOD((TODAY()+5)-MAX(Plants!N59,TODAY()),MAX(1,N(Plants!H59)))=0),"Water, feed","Water"),IF(AND(ISNUMBER(Plants!N59),N(Plants!H59)&gt;0,(TODAY()+5)&gt;=MAX(Plants!N59,TODAY()),MOD((TODAY()+5)-MAX(Plants!N59,TODAY()),MAX(1,N(Plants!H59)))=0),"Feed",""))</f>
        <v/>
      </c>
      <c r="J59" s="13">
        <f>IF(AND(ISNUMBER(Plants!L59),N(Plants!S59)&gt;0,(TODAY()+6)&gt;=MAX(Plants!L59,TODAY()),MOD((TODAY()+6)-MAX(Plants!L59,TODAY()),MAX(1,N(Plants!S59)))=0),IF(AND(ISNUMBER(Plants!N59),N(Plants!H59)&gt;0,(TODAY()+6)&gt;=MAX(Plants!N59,TODAY()),MOD((TODAY()+6)-MAX(Plants!N59,TODAY()),MAX(1,N(Plants!H59)))=0),"Water, feed","Water"),IF(AND(ISNUMBER(Plants!N59),N(Plants!H59)&gt;0,(TODAY()+6)&gt;=MAX(Plants!N59,TODAY()),MOD((TODAY()+6)-MAX(Plants!N59,TODAY()),MAX(1,N(Plants!H59)))=0),"Feed",""))</f>
        <v/>
      </c>
      <c r="K59" s="1" t="n"/>
    </row>
    <row r="60">
      <c r="A60" s="1" t="n"/>
      <c r="B60" s="15">
        <f>IF(Plants!B60="","",Plants!B60)</f>
        <v/>
      </c>
      <c r="C60" s="16">
        <f>IF(Plants!B60="","",Plants!D60)</f>
        <v/>
      </c>
      <c r="D60" s="13">
        <f>IF(AND(ISNUMBER(Plants!L60),N(Plants!S60)&gt;0,(TODAY()+0)&gt;=MAX(Plants!L60,TODAY()),MOD((TODAY()+0)-MAX(Plants!L60,TODAY()),MAX(1,N(Plants!S60)))=0),IF(AND(ISNUMBER(Plants!N60),N(Plants!H60)&gt;0,(TODAY()+0)&gt;=MAX(Plants!N60,TODAY()),MOD((TODAY()+0)-MAX(Plants!N60,TODAY()),MAX(1,N(Plants!H60)))=0),"Water, feed","Water"),IF(AND(ISNUMBER(Plants!N60),N(Plants!H60)&gt;0,(TODAY()+0)&gt;=MAX(Plants!N60,TODAY()),MOD((TODAY()+0)-MAX(Plants!N60,TODAY()),MAX(1,N(Plants!H60)))=0),"Feed",""))</f>
        <v/>
      </c>
      <c r="E60" s="13">
        <f>IF(AND(ISNUMBER(Plants!L60),N(Plants!S60)&gt;0,(TODAY()+1)&gt;=MAX(Plants!L60,TODAY()),MOD((TODAY()+1)-MAX(Plants!L60,TODAY()),MAX(1,N(Plants!S60)))=0),IF(AND(ISNUMBER(Plants!N60),N(Plants!H60)&gt;0,(TODAY()+1)&gt;=MAX(Plants!N60,TODAY()),MOD((TODAY()+1)-MAX(Plants!N60,TODAY()),MAX(1,N(Plants!H60)))=0),"Water, feed","Water"),IF(AND(ISNUMBER(Plants!N60),N(Plants!H60)&gt;0,(TODAY()+1)&gt;=MAX(Plants!N60,TODAY()),MOD((TODAY()+1)-MAX(Plants!N60,TODAY()),MAX(1,N(Plants!H60)))=0),"Feed",""))</f>
        <v/>
      </c>
      <c r="F60" s="13">
        <f>IF(AND(ISNUMBER(Plants!L60),N(Plants!S60)&gt;0,(TODAY()+2)&gt;=MAX(Plants!L60,TODAY()),MOD((TODAY()+2)-MAX(Plants!L60,TODAY()),MAX(1,N(Plants!S60)))=0),IF(AND(ISNUMBER(Plants!N60),N(Plants!H60)&gt;0,(TODAY()+2)&gt;=MAX(Plants!N60,TODAY()),MOD((TODAY()+2)-MAX(Plants!N60,TODAY()),MAX(1,N(Plants!H60)))=0),"Water, feed","Water"),IF(AND(ISNUMBER(Plants!N60),N(Plants!H60)&gt;0,(TODAY()+2)&gt;=MAX(Plants!N60,TODAY()),MOD((TODAY()+2)-MAX(Plants!N60,TODAY()),MAX(1,N(Plants!H60)))=0),"Feed",""))</f>
        <v/>
      </c>
      <c r="G60" s="13">
        <f>IF(AND(ISNUMBER(Plants!L60),N(Plants!S60)&gt;0,(TODAY()+3)&gt;=MAX(Plants!L60,TODAY()),MOD((TODAY()+3)-MAX(Plants!L60,TODAY()),MAX(1,N(Plants!S60)))=0),IF(AND(ISNUMBER(Plants!N60),N(Plants!H60)&gt;0,(TODAY()+3)&gt;=MAX(Plants!N60,TODAY()),MOD((TODAY()+3)-MAX(Plants!N60,TODAY()),MAX(1,N(Plants!H60)))=0),"Water, feed","Water"),IF(AND(ISNUMBER(Plants!N60),N(Plants!H60)&gt;0,(TODAY()+3)&gt;=MAX(Plants!N60,TODAY()),MOD((TODAY()+3)-MAX(Plants!N60,TODAY()),MAX(1,N(Plants!H60)))=0),"Feed",""))</f>
        <v/>
      </c>
      <c r="H60" s="13">
        <f>IF(AND(ISNUMBER(Plants!L60),N(Plants!S60)&gt;0,(TODAY()+4)&gt;=MAX(Plants!L60,TODAY()),MOD((TODAY()+4)-MAX(Plants!L60,TODAY()),MAX(1,N(Plants!S60)))=0),IF(AND(ISNUMBER(Plants!N60),N(Plants!H60)&gt;0,(TODAY()+4)&gt;=MAX(Plants!N60,TODAY()),MOD((TODAY()+4)-MAX(Plants!N60,TODAY()),MAX(1,N(Plants!H60)))=0),"Water, feed","Water"),IF(AND(ISNUMBER(Plants!N60),N(Plants!H60)&gt;0,(TODAY()+4)&gt;=MAX(Plants!N60,TODAY()),MOD((TODAY()+4)-MAX(Plants!N60,TODAY()),MAX(1,N(Plants!H60)))=0),"Feed",""))</f>
        <v/>
      </c>
      <c r="I60" s="13">
        <f>IF(AND(ISNUMBER(Plants!L60),N(Plants!S60)&gt;0,(TODAY()+5)&gt;=MAX(Plants!L60,TODAY()),MOD((TODAY()+5)-MAX(Plants!L60,TODAY()),MAX(1,N(Plants!S60)))=0),IF(AND(ISNUMBER(Plants!N60),N(Plants!H60)&gt;0,(TODAY()+5)&gt;=MAX(Plants!N60,TODAY()),MOD((TODAY()+5)-MAX(Plants!N60,TODAY()),MAX(1,N(Plants!H60)))=0),"Water, feed","Water"),IF(AND(ISNUMBER(Plants!N60),N(Plants!H60)&gt;0,(TODAY()+5)&gt;=MAX(Plants!N60,TODAY()),MOD((TODAY()+5)-MAX(Plants!N60,TODAY()),MAX(1,N(Plants!H60)))=0),"Feed",""))</f>
        <v/>
      </c>
      <c r="J60" s="13">
        <f>IF(AND(ISNUMBER(Plants!L60),N(Plants!S60)&gt;0,(TODAY()+6)&gt;=MAX(Plants!L60,TODAY()),MOD((TODAY()+6)-MAX(Plants!L60,TODAY()),MAX(1,N(Plants!S60)))=0),IF(AND(ISNUMBER(Plants!N60),N(Plants!H60)&gt;0,(TODAY()+6)&gt;=MAX(Plants!N60,TODAY()),MOD((TODAY()+6)-MAX(Plants!N60,TODAY()),MAX(1,N(Plants!H60)))=0),"Water, feed","Water"),IF(AND(ISNUMBER(Plants!N60),N(Plants!H60)&gt;0,(TODAY()+6)&gt;=MAX(Plants!N60,TODAY()),MOD((TODAY()+6)-MAX(Plants!N60,TODAY()),MAX(1,N(Plants!H60)))=0),"Feed",""))</f>
        <v/>
      </c>
      <c r="K60" s="1" t="n"/>
    </row>
    <row r="61">
      <c r="A61" s="1" t="n"/>
      <c r="B61" s="15">
        <f>IF(Plants!B61="","",Plants!B61)</f>
        <v/>
      </c>
      <c r="C61" s="16">
        <f>IF(Plants!B61="","",Plants!D61)</f>
        <v/>
      </c>
      <c r="D61" s="13">
        <f>IF(AND(ISNUMBER(Plants!L61),N(Plants!S61)&gt;0,(TODAY()+0)&gt;=MAX(Plants!L61,TODAY()),MOD((TODAY()+0)-MAX(Plants!L61,TODAY()),MAX(1,N(Plants!S61)))=0),IF(AND(ISNUMBER(Plants!N61),N(Plants!H61)&gt;0,(TODAY()+0)&gt;=MAX(Plants!N61,TODAY()),MOD((TODAY()+0)-MAX(Plants!N61,TODAY()),MAX(1,N(Plants!H61)))=0),"Water, feed","Water"),IF(AND(ISNUMBER(Plants!N61),N(Plants!H61)&gt;0,(TODAY()+0)&gt;=MAX(Plants!N61,TODAY()),MOD((TODAY()+0)-MAX(Plants!N61,TODAY()),MAX(1,N(Plants!H61)))=0),"Feed",""))</f>
        <v/>
      </c>
      <c r="E61" s="13">
        <f>IF(AND(ISNUMBER(Plants!L61),N(Plants!S61)&gt;0,(TODAY()+1)&gt;=MAX(Plants!L61,TODAY()),MOD((TODAY()+1)-MAX(Plants!L61,TODAY()),MAX(1,N(Plants!S61)))=0),IF(AND(ISNUMBER(Plants!N61),N(Plants!H61)&gt;0,(TODAY()+1)&gt;=MAX(Plants!N61,TODAY()),MOD((TODAY()+1)-MAX(Plants!N61,TODAY()),MAX(1,N(Plants!H61)))=0),"Water, feed","Water"),IF(AND(ISNUMBER(Plants!N61),N(Plants!H61)&gt;0,(TODAY()+1)&gt;=MAX(Plants!N61,TODAY()),MOD((TODAY()+1)-MAX(Plants!N61,TODAY()),MAX(1,N(Plants!H61)))=0),"Feed",""))</f>
        <v/>
      </c>
      <c r="F61" s="13">
        <f>IF(AND(ISNUMBER(Plants!L61),N(Plants!S61)&gt;0,(TODAY()+2)&gt;=MAX(Plants!L61,TODAY()),MOD((TODAY()+2)-MAX(Plants!L61,TODAY()),MAX(1,N(Plants!S61)))=0),IF(AND(ISNUMBER(Plants!N61),N(Plants!H61)&gt;0,(TODAY()+2)&gt;=MAX(Plants!N61,TODAY()),MOD((TODAY()+2)-MAX(Plants!N61,TODAY()),MAX(1,N(Plants!H61)))=0),"Water, feed","Water"),IF(AND(ISNUMBER(Plants!N61),N(Plants!H61)&gt;0,(TODAY()+2)&gt;=MAX(Plants!N61,TODAY()),MOD((TODAY()+2)-MAX(Plants!N61,TODAY()),MAX(1,N(Plants!H61)))=0),"Feed",""))</f>
        <v/>
      </c>
      <c r="G61" s="13">
        <f>IF(AND(ISNUMBER(Plants!L61),N(Plants!S61)&gt;0,(TODAY()+3)&gt;=MAX(Plants!L61,TODAY()),MOD((TODAY()+3)-MAX(Plants!L61,TODAY()),MAX(1,N(Plants!S61)))=0),IF(AND(ISNUMBER(Plants!N61),N(Plants!H61)&gt;0,(TODAY()+3)&gt;=MAX(Plants!N61,TODAY()),MOD((TODAY()+3)-MAX(Plants!N61,TODAY()),MAX(1,N(Plants!H61)))=0),"Water, feed","Water"),IF(AND(ISNUMBER(Plants!N61),N(Plants!H61)&gt;0,(TODAY()+3)&gt;=MAX(Plants!N61,TODAY()),MOD((TODAY()+3)-MAX(Plants!N61,TODAY()),MAX(1,N(Plants!H61)))=0),"Feed",""))</f>
        <v/>
      </c>
      <c r="H61" s="13">
        <f>IF(AND(ISNUMBER(Plants!L61),N(Plants!S61)&gt;0,(TODAY()+4)&gt;=MAX(Plants!L61,TODAY()),MOD((TODAY()+4)-MAX(Plants!L61,TODAY()),MAX(1,N(Plants!S61)))=0),IF(AND(ISNUMBER(Plants!N61),N(Plants!H61)&gt;0,(TODAY()+4)&gt;=MAX(Plants!N61,TODAY()),MOD((TODAY()+4)-MAX(Plants!N61,TODAY()),MAX(1,N(Plants!H61)))=0),"Water, feed","Water"),IF(AND(ISNUMBER(Plants!N61),N(Plants!H61)&gt;0,(TODAY()+4)&gt;=MAX(Plants!N61,TODAY()),MOD((TODAY()+4)-MAX(Plants!N61,TODAY()),MAX(1,N(Plants!H61)))=0),"Feed",""))</f>
        <v/>
      </c>
      <c r="I61" s="13">
        <f>IF(AND(ISNUMBER(Plants!L61),N(Plants!S61)&gt;0,(TODAY()+5)&gt;=MAX(Plants!L61,TODAY()),MOD((TODAY()+5)-MAX(Plants!L61,TODAY()),MAX(1,N(Plants!S61)))=0),IF(AND(ISNUMBER(Plants!N61),N(Plants!H61)&gt;0,(TODAY()+5)&gt;=MAX(Plants!N61,TODAY()),MOD((TODAY()+5)-MAX(Plants!N61,TODAY()),MAX(1,N(Plants!H61)))=0),"Water, feed","Water"),IF(AND(ISNUMBER(Plants!N61),N(Plants!H61)&gt;0,(TODAY()+5)&gt;=MAX(Plants!N61,TODAY()),MOD((TODAY()+5)-MAX(Plants!N61,TODAY()),MAX(1,N(Plants!H61)))=0),"Feed",""))</f>
        <v/>
      </c>
      <c r="J61" s="13">
        <f>IF(AND(ISNUMBER(Plants!L61),N(Plants!S61)&gt;0,(TODAY()+6)&gt;=MAX(Plants!L61,TODAY()),MOD((TODAY()+6)-MAX(Plants!L61,TODAY()),MAX(1,N(Plants!S61)))=0),IF(AND(ISNUMBER(Plants!N61),N(Plants!H61)&gt;0,(TODAY()+6)&gt;=MAX(Plants!N61,TODAY()),MOD((TODAY()+6)-MAX(Plants!N61,TODAY()),MAX(1,N(Plants!H61)))=0),"Water, feed","Water"),IF(AND(ISNUMBER(Plants!N61),N(Plants!H61)&gt;0,(TODAY()+6)&gt;=MAX(Plants!N61,TODAY()),MOD((TODAY()+6)-MAX(Plants!N61,TODAY()),MAX(1,N(Plants!H61)))=0),"Feed",""))</f>
        <v/>
      </c>
      <c r="K61" s="1" t="n"/>
    </row>
    <row r="62">
      <c r="A62" s="1" t="n"/>
      <c r="B62" s="15">
        <f>IF(Plants!B62="","",Plants!B62)</f>
        <v/>
      </c>
      <c r="C62" s="16">
        <f>IF(Plants!B62="","",Plants!D62)</f>
        <v/>
      </c>
      <c r="D62" s="13">
        <f>IF(AND(ISNUMBER(Plants!L62),N(Plants!S62)&gt;0,(TODAY()+0)&gt;=MAX(Plants!L62,TODAY()),MOD((TODAY()+0)-MAX(Plants!L62,TODAY()),MAX(1,N(Plants!S62)))=0),IF(AND(ISNUMBER(Plants!N62),N(Plants!H62)&gt;0,(TODAY()+0)&gt;=MAX(Plants!N62,TODAY()),MOD((TODAY()+0)-MAX(Plants!N62,TODAY()),MAX(1,N(Plants!H62)))=0),"Water, feed","Water"),IF(AND(ISNUMBER(Plants!N62),N(Plants!H62)&gt;0,(TODAY()+0)&gt;=MAX(Plants!N62,TODAY()),MOD((TODAY()+0)-MAX(Plants!N62,TODAY()),MAX(1,N(Plants!H62)))=0),"Feed",""))</f>
        <v/>
      </c>
      <c r="E62" s="13">
        <f>IF(AND(ISNUMBER(Plants!L62),N(Plants!S62)&gt;0,(TODAY()+1)&gt;=MAX(Plants!L62,TODAY()),MOD((TODAY()+1)-MAX(Plants!L62,TODAY()),MAX(1,N(Plants!S62)))=0),IF(AND(ISNUMBER(Plants!N62),N(Plants!H62)&gt;0,(TODAY()+1)&gt;=MAX(Plants!N62,TODAY()),MOD((TODAY()+1)-MAX(Plants!N62,TODAY()),MAX(1,N(Plants!H62)))=0),"Water, feed","Water"),IF(AND(ISNUMBER(Plants!N62),N(Plants!H62)&gt;0,(TODAY()+1)&gt;=MAX(Plants!N62,TODAY()),MOD((TODAY()+1)-MAX(Plants!N62,TODAY()),MAX(1,N(Plants!H62)))=0),"Feed",""))</f>
        <v/>
      </c>
      <c r="F62" s="13">
        <f>IF(AND(ISNUMBER(Plants!L62),N(Plants!S62)&gt;0,(TODAY()+2)&gt;=MAX(Plants!L62,TODAY()),MOD((TODAY()+2)-MAX(Plants!L62,TODAY()),MAX(1,N(Plants!S62)))=0),IF(AND(ISNUMBER(Plants!N62),N(Plants!H62)&gt;0,(TODAY()+2)&gt;=MAX(Plants!N62,TODAY()),MOD((TODAY()+2)-MAX(Plants!N62,TODAY()),MAX(1,N(Plants!H62)))=0),"Water, feed","Water"),IF(AND(ISNUMBER(Plants!N62),N(Plants!H62)&gt;0,(TODAY()+2)&gt;=MAX(Plants!N62,TODAY()),MOD((TODAY()+2)-MAX(Plants!N62,TODAY()),MAX(1,N(Plants!H62)))=0),"Feed",""))</f>
        <v/>
      </c>
      <c r="G62" s="13">
        <f>IF(AND(ISNUMBER(Plants!L62),N(Plants!S62)&gt;0,(TODAY()+3)&gt;=MAX(Plants!L62,TODAY()),MOD((TODAY()+3)-MAX(Plants!L62,TODAY()),MAX(1,N(Plants!S62)))=0),IF(AND(ISNUMBER(Plants!N62),N(Plants!H62)&gt;0,(TODAY()+3)&gt;=MAX(Plants!N62,TODAY()),MOD((TODAY()+3)-MAX(Plants!N62,TODAY()),MAX(1,N(Plants!H62)))=0),"Water, feed","Water"),IF(AND(ISNUMBER(Plants!N62),N(Plants!H62)&gt;0,(TODAY()+3)&gt;=MAX(Plants!N62,TODAY()),MOD((TODAY()+3)-MAX(Plants!N62,TODAY()),MAX(1,N(Plants!H62)))=0),"Feed",""))</f>
        <v/>
      </c>
      <c r="H62" s="13">
        <f>IF(AND(ISNUMBER(Plants!L62),N(Plants!S62)&gt;0,(TODAY()+4)&gt;=MAX(Plants!L62,TODAY()),MOD((TODAY()+4)-MAX(Plants!L62,TODAY()),MAX(1,N(Plants!S62)))=0),IF(AND(ISNUMBER(Plants!N62),N(Plants!H62)&gt;0,(TODAY()+4)&gt;=MAX(Plants!N62,TODAY()),MOD((TODAY()+4)-MAX(Plants!N62,TODAY()),MAX(1,N(Plants!H62)))=0),"Water, feed","Water"),IF(AND(ISNUMBER(Plants!N62),N(Plants!H62)&gt;0,(TODAY()+4)&gt;=MAX(Plants!N62,TODAY()),MOD((TODAY()+4)-MAX(Plants!N62,TODAY()),MAX(1,N(Plants!H62)))=0),"Feed",""))</f>
        <v/>
      </c>
      <c r="I62" s="13">
        <f>IF(AND(ISNUMBER(Plants!L62),N(Plants!S62)&gt;0,(TODAY()+5)&gt;=MAX(Plants!L62,TODAY()),MOD((TODAY()+5)-MAX(Plants!L62,TODAY()),MAX(1,N(Plants!S62)))=0),IF(AND(ISNUMBER(Plants!N62),N(Plants!H62)&gt;0,(TODAY()+5)&gt;=MAX(Plants!N62,TODAY()),MOD((TODAY()+5)-MAX(Plants!N62,TODAY()),MAX(1,N(Plants!H62)))=0),"Water, feed","Water"),IF(AND(ISNUMBER(Plants!N62),N(Plants!H62)&gt;0,(TODAY()+5)&gt;=MAX(Plants!N62,TODAY()),MOD((TODAY()+5)-MAX(Plants!N62,TODAY()),MAX(1,N(Plants!H62)))=0),"Feed",""))</f>
        <v/>
      </c>
      <c r="J62" s="13">
        <f>IF(AND(ISNUMBER(Plants!L62),N(Plants!S62)&gt;0,(TODAY()+6)&gt;=MAX(Plants!L62,TODAY()),MOD((TODAY()+6)-MAX(Plants!L62,TODAY()),MAX(1,N(Plants!S62)))=0),IF(AND(ISNUMBER(Plants!N62),N(Plants!H62)&gt;0,(TODAY()+6)&gt;=MAX(Plants!N62,TODAY()),MOD((TODAY()+6)-MAX(Plants!N62,TODAY()),MAX(1,N(Plants!H62)))=0),"Water, feed","Water"),IF(AND(ISNUMBER(Plants!N62),N(Plants!H62)&gt;0,(TODAY()+6)&gt;=MAX(Plants!N62,TODAY()),MOD((TODAY()+6)-MAX(Plants!N62,TODAY()),MAX(1,N(Plants!H62)))=0),"Feed",""))</f>
        <v/>
      </c>
      <c r="K62" s="1" t="n"/>
    </row>
    <row r="63">
      <c r="A63" s="1" t="n"/>
      <c r="B63" s="15">
        <f>IF(Plants!B63="","",Plants!B63)</f>
        <v/>
      </c>
      <c r="C63" s="16">
        <f>IF(Plants!B63="","",Plants!D63)</f>
        <v/>
      </c>
      <c r="D63" s="13">
        <f>IF(AND(ISNUMBER(Plants!L63),N(Plants!S63)&gt;0,(TODAY()+0)&gt;=MAX(Plants!L63,TODAY()),MOD((TODAY()+0)-MAX(Plants!L63,TODAY()),MAX(1,N(Plants!S63)))=0),IF(AND(ISNUMBER(Plants!N63),N(Plants!H63)&gt;0,(TODAY()+0)&gt;=MAX(Plants!N63,TODAY()),MOD((TODAY()+0)-MAX(Plants!N63,TODAY()),MAX(1,N(Plants!H63)))=0),"Water, feed","Water"),IF(AND(ISNUMBER(Plants!N63),N(Plants!H63)&gt;0,(TODAY()+0)&gt;=MAX(Plants!N63,TODAY()),MOD((TODAY()+0)-MAX(Plants!N63,TODAY()),MAX(1,N(Plants!H63)))=0),"Feed",""))</f>
        <v/>
      </c>
      <c r="E63" s="13">
        <f>IF(AND(ISNUMBER(Plants!L63),N(Plants!S63)&gt;0,(TODAY()+1)&gt;=MAX(Plants!L63,TODAY()),MOD((TODAY()+1)-MAX(Plants!L63,TODAY()),MAX(1,N(Plants!S63)))=0),IF(AND(ISNUMBER(Plants!N63),N(Plants!H63)&gt;0,(TODAY()+1)&gt;=MAX(Plants!N63,TODAY()),MOD((TODAY()+1)-MAX(Plants!N63,TODAY()),MAX(1,N(Plants!H63)))=0),"Water, feed","Water"),IF(AND(ISNUMBER(Plants!N63),N(Plants!H63)&gt;0,(TODAY()+1)&gt;=MAX(Plants!N63,TODAY()),MOD((TODAY()+1)-MAX(Plants!N63,TODAY()),MAX(1,N(Plants!H63)))=0),"Feed",""))</f>
        <v/>
      </c>
      <c r="F63" s="13">
        <f>IF(AND(ISNUMBER(Plants!L63),N(Plants!S63)&gt;0,(TODAY()+2)&gt;=MAX(Plants!L63,TODAY()),MOD((TODAY()+2)-MAX(Plants!L63,TODAY()),MAX(1,N(Plants!S63)))=0),IF(AND(ISNUMBER(Plants!N63),N(Plants!H63)&gt;0,(TODAY()+2)&gt;=MAX(Plants!N63,TODAY()),MOD((TODAY()+2)-MAX(Plants!N63,TODAY()),MAX(1,N(Plants!H63)))=0),"Water, feed","Water"),IF(AND(ISNUMBER(Plants!N63),N(Plants!H63)&gt;0,(TODAY()+2)&gt;=MAX(Plants!N63,TODAY()),MOD((TODAY()+2)-MAX(Plants!N63,TODAY()),MAX(1,N(Plants!H63)))=0),"Feed",""))</f>
        <v/>
      </c>
      <c r="G63" s="13">
        <f>IF(AND(ISNUMBER(Plants!L63),N(Plants!S63)&gt;0,(TODAY()+3)&gt;=MAX(Plants!L63,TODAY()),MOD((TODAY()+3)-MAX(Plants!L63,TODAY()),MAX(1,N(Plants!S63)))=0),IF(AND(ISNUMBER(Plants!N63),N(Plants!H63)&gt;0,(TODAY()+3)&gt;=MAX(Plants!N63,TODAY()),MOD((TODAY()+3)-MAX(Plants!N63,TODAY()),MAX(1,N(Plants!H63)))=0),"Water, feed","Water"),IF(AND(ISNUMBER(Plants!N63),N(Plants!H63)&gt;0,(TODAY()+3)&gt;=MAX(Plants!N63,TODAY()),MOD((TODAY()+3)-MAX(Plants!N63,TODAY()),MAX(1,N(Plants!H63)))=0),"Feed",""))</f>
        <v/>
      </c>
      <c r="H63" s="13">
        <f>IF(AND(ISNUMBER(Plants!L63),N(Plants!S63)&gt;0,(TODAY()+4)&gt;=MAX(Plants!L63,TODAY()),MOD((TODAY()+4)-MAX(Plants!L63,TODAY()),MAX(1,N(Plants!S63)))=0),IF(AND(ISNUMBER(Plants!N63),N(Plants!H63)&gt;0,(TODAY()+4)&gt;=MAX(Plants!N63,TODAY()),MOD((TODAY()+4)-MAX(Plants!N63,TODAY()),MAX(1,N(Plants!H63)))=0),"Water, feed","Water"),IF(AND(ISNUMBER(Plants!N63),N(Plants!H63)&gt;0,(TODAY()+4)&gt;=MAX(Plants!N63,TODAY()),MOD((TODAY()+4)-MAX(Plants!N63,TODAY()),MAX(1,N(Plants!H63)))=0),"Feed",""))</f>
        <v/>
      </c>
      <c r="I63" s="13">
        <f>IF(AND(ISNUMBER(Plants!L63),N(Plants!S63)&gt;0,(TODAY()+5)&gt;=MAX(Plants!L63,TODAY()),MOD((TODAY()+5)-MAX(Plants!L63,TODAY()),MAX(1,N(Plants!S63)))=0),IF(AND(ISNUMBER(Plants!N63),N(Plants!H63)&gt;0,(TODAY()+5)&gt;=MAX(Plants!N63,TODAY()),MOD((TODAY()+5)-MAX(Plants!N63,TODAY()),MAX(1,N(Plants!H63)))=0),"Water, feed","Water"),IF(AND(ISNUMBER(Plants!N63),N(Plants!H63)&gt;0,(TODAY()+5)&gt;=MAX(Plants!N63,TODAY()),MOD((TODAY()+5)-MAX(Plants!N63,TODAY()),MAX(1,N(Plants!H63)))=0),"Feed",""))</f>
        <v/>
      </c>
      <c r="J63" s="13">
        <f>IF(AND(ISNUMBER(Plants!L63),N(Plants!S63)&gt;0,(TODAY()+6)&gt;=MAX(Plants!L63,TODAY()),MOD((TODAY()+6)-MAX(Plants!L63,TODAY()),MAX(1,N(Plants!S63)))=0),IF(AND(ISNUMBER(Plants!N63),N(Plants!H63)&gt;0,(TODAY()+6)&gt;=MAX(Plants!N63,TODAY()),MOD((TODAY()+6)-MAX(Plants!N63,TODAY()),MAX(1,N(Plants!H63)))=0),"Water, feed","Water"),IF(AND(ISNUMBER(Plants!N63),N(Plants!H63)&gt;0,(TODAY()+6)&gt;=MAX(Plants!N63,TODAY()),MOD((TODAY()+6)-MAX(Plants!N63,TODAY()),MAX(1,N(Plants!H63)))=0),"Feed",""))</f>
        <v/>
      </c>
      <c r="K63" s="1" t="n"/>
    </row>
    <row r="64">
      <c r="A64" s="1" t="n"/>
      <c r="B64" s="15">
        <f>IF(Plants!B64="","",Plants!B64)</f>
        <v/>
      </c>
      <c r="C64" s="16">
        <f>IF(Plants!B64="","",Plants!D64)</f>
        <v/>
      </c>
      <c r="D64" s="13">
        <f>IF(AND(ISNUMBER(Plants!L64),N(Plants!S64)&gt;0,(TODAY()+0)&gt;=MAX(Plants!L64,TODAY()),MOD((TODAY()+0)-MAX(Plants!L64,TODAY()),MAX(1,N(Plants!S64)))=0),IF(AND(ISNUMBER(Plants!N64),N(Plants!H64)&gt;0,(TODAY()+0)&gt;=MAX(Plants!N64,TODAY()),MOD((TODAY()+0)-MAX(Plants!N64,TODAY()),MAX(1,N(Plants!H64)))=0),"Water, feed","Water"),IF(AND(ISNUMBER(Plants!N64),N(Plants!H64)&gt;0,(TODAY()+0)&gt;=MAX(Plants!N64,TODAY()),MOD((TODAY()+0)-MAX(Plants!N64,TODAY()),MAX(1,N(Plants!H64)))=0),"Feed",""))</f>
        <v/>
      </c>
      <c r="E64" s="13">
        <f>IF(AND(ISNUMBER(Plants!L64),N(Plants!S64)&gt;0,(TODAY()+1)&gt;=MAX(Plants!L64,TODAY()),MOD((TODAY()+1)-MAX(Plants!L64,TODAY()),MAX(1,N(Plants!S64)))=0),IF(AND(ISNUMBER(Plants!N64),N(Plants!H64)&gt;0,(TODAY()+1)&gt;=MAX(Plants!N64,TODAY()),MOD((TODAY()+1)-MAX(Plants!N64,TODAY()),MAX(1,N(Plants!H64)))=0),"Water, feed","Water"),IF(AND(ISNUMBER(Plants!N64),N(Plants!H64)&gt;0,(TODAY()+1)&gt;=MAX(Plants!N64,TODAY()),MOD((TODAY()+1)-MAX(Plants!N64,TODAY()),MAX(1,N(Plants!H64)))=0),"Feed",""))</f>
        <v/>
      </c>
      <c r="F64" s="13">
        <f>IF(AND(ISNUMBER(Plants!L64),N(Plants!S64)&gt;0,(TODAY()+2)&gt;=MAX(Plants!L64,TODAY()),MOD((TODAY()+2)-MAX(Plants!L64,TODAY()),MAX(1,N(Plants!S64)))=0),IF(AND(ISNUMBER(Plants!N64),N(Plants!H64)&gt;0,(TODAY()+2)&gt;=MAX(Plants!N64,TODAY()),MOD((TODAY()+2)-MAX(Plants!N64,TODAY()),MAX(1,N(Plants!H64)))=0),"Water, feed","Water"),IF(AND(ISNUMBER(Plants!N64),N(Plants!H64)&gt;0,(TODAY()+2)&gt;=MAX(Plants!N64,TODAY()),MOD((TODAY()+2)-MAX(Plants!N64,TODAY()),MAX(1,N(Plants!H64)))=0),"Feed",""))</f>
        <v/>
      </c>
      <c r="G64" s="13">
        <f>IF(AND(ISNUMBER(Plants!L64),N(Plants!S64)&gt;0,(TODAY()+3)&gt;=MAX(Plants!L64,TODAY()),MOD((TODAY()+3)-MAX(Plants!L64,TODAY()),MAX(1,N(Plants!S64)))=0),IF(AND(ISNUMBER(Plants!N64),N(Plants!H64)&gt;0,(TODAY()+3)&gt;=MAX(Plants!N64,TODAY()),MOD((TODAY()+3)-MAX(Plants!N64,TODAY()),MAX(1,N(Plants!H64)))=0),"Water, feed","Water"),IF(AND(ISNUMBER(Plants!N64),N(Plants!H64)&gt;0,(TODAY()+3)&gt;=MAX(Plants!N64,TODAY()),MOD((TODAY()+3)-MAX(Plants!N64,TODAY()),MAX(1,N(Plants!H64)))=0),"Feed",""))</f>
        <v/>
      </c>
      <c r="H64" s="13">
        <f>IF(AND(ISNUMBER(Plants!L64),N(Plants!S64)&gt;0,(TODAY()+4)&gt;=MAX(Plants!L64,TODAY()),MOD((TODAY()+4)-MAX(Plants!L64,TODAY()),MAX(1,N(Plants!S64)))=0),IF(AND(ISNUMBER(Plants!N64),N(Plants!H64)&gt;0,(TODAY()+4)&gt;=MAX(Plants!N64,TODAY()),MOD((TODAY()+4)-MAX(Plants!N64,TODAY()),MAX(1,N(Plants!H64)))=0),"Water, feed","Water"),IF(AND(ISNUMBER(Plants!N64),N(Plants!H64)&gt;0,(TODAY()+4)&gt;=MAX(Plants!N64,TODAY()),MOD((TODAY()+4)-MAX(Plants!N64,TODAY()),MAX(1,N(Plants!H64)))=0),"Feed",""))</f>
        <v/>
      </c>
      <c r="I64" s="13">
        <f>IF(AND(ISNUMBER(Plants!L64),N(Plants!S64)&gt;0,(TODAY()+5)&gt;=MAX(Plants!L64,TODAY()),MOD((TODAY()+5)-MAX(Plants!L64,TODAY()),MAX(1,N(Plants!S64)))=0),IF(AND(ISNUMBER(Plants!N64),N(Plants!H64)&gt;0,(TODAY()+5)&gt;=MAX(Plants!N64,TODAY()),MOD((TODAY()+5)-MAX(Plants!N64,TODAY()),MAX(1,N(Plants!H64)))=0),"Water, feed","Water"),IF(AND(ISNUMBER(Plants!N64),N(Plants!H64)&gt;0,(TODAY()+5)&gt;=MAX(Plants!N64,TODAY()),MOD((TODAY()+5)-MAX(Plants!N64,TODAY()),MAX(1,N(Plants!H64)))=0),"Feed",""))</f>
        <v/>
      </c>
      <c r="J64" s="13">
        <f>IF(AND(ISNUMBER(Plants!L64),N(Plants!S64)&gt;0,(TODAY()+6)&gt;=MAX(Plants!L64,TODAY()),MOD((TODAY()+6)-MAX(Plants!L64,TODAY()),MAX(1,N(Plants!S64)))=0),IF(AND(ISNUMBER(Plants!N64),N(Plants!H64)&gt;0,(TODAY()+6)&gt;=MAX(Plants!N64,TODAY()),MOD((TODAY()+6)-MAX(Plants!N64,TODAY()),MAX(1,N(Plants!H64)))=0),"Water, feed","Water"),IF(AND(ISNUMBER(Plants!N64),N(Plants!H64)&gt;0,(TODAY()+6)&gt;=MAX(Plants!N64,TODAY()),MOD((TODAY()+6)-MAX(Plants!N64,TODAY()),MAX(1,N(Plants!H64)))=0),"Feed",""))</f>
        <v/>
      </c>
      <c r="K64" s="1" t="n"/>
    </row>
    <row r="65">
      <c r="A65" s="1" t="n"/>
      <c r="B65" s="15">
        <f>IF(Plants!B65="","",Plants!B65)</f>
        <v/>
      </c>
      <c r="C65" s="16">
        <f>IF(Plants!B65="","",Plants!D65)</f>
        <v/>
      </c>
      <c r="D65" s="13">
        <f>IF(AND(ISNUMBER(Plants!L65),N(Plants!S65)&gt;0,(TODAY()+0)&gt;=MAX(Plants!L65,TODAY()),MOD((TODAY()+0)-MAX(Plants!L65,TODAY()),MAX(1,N(Plants!S65)))=0),IF(AND(ISNUMBER(Plants!N65),N(Plants!H65)&gt;0,(TODAY()+0)&gt;=MAX(Plants!N65,TODAY()),MOD((TODAY()+0)-MAX(Plants!N65,TODAY()),MAX(1,N(Plants!H65)))=0),"Water, feed","Water"),IF(AND(ISNUMBER(Plants!N65),N(Plants!H65)&gt;0,(TODAY()+0)&gt;=MAX(Plants!N65,TODAY()),MOD((TODAY()+0)-MAX(Plants!N65,TODAY()),MAX(1,N(Plants!H65)))=0),"Feed",""))</f>
        <v/>
      </c>
      <c r="E65" s="13">
        <f>IF(AND(ISNUMBER(Plants!L65),N(Plants!S65)&gt;0,(TODAY()+1)&gt;=MAX(Plants!L65,TODAY()),MOD((TODAY()+1)-MAX(Plants!L65,TODAY()),MAX(1,N(Plants!S65)))=0),IF(AND(ISNUMBER(Plants!N65),N(Plants!H65)&gt;0,(TODAY()+1)&gt;=MAX(Plants!N65,TODAY()),MOD((TODAY()+1)-MAX(Plants!N65,TODAY()),MAX(1,N(Plants!H65)))=0),"Water, feed","Water"),IF(AND(ISNUMBER(Plants!N65),N(Plants!H65)&gt;0,(TODAY()+1)&gt;=MAX(Plants!N65,TODAY()),MOD((TODAY()+1)-MAX(Plants!N65,TODAY()),MAX(1,N(Plants!H65)))=0),"Feed",""))</f>
        <v/>
      </c>
      <c r="F65" s="13">
        <f>IF(AND(ISNUMBER(Plants!L65),N(Plants!S65)&gt;0,(TODAY()+2)&gt;=MAX(Plants!L65,TODAY()),MOD((TODAY()+2)-MAX(Plants!L65,TODAY()),MAX(1,N(Plants!S65)))=0),IF(AND(ISNUMBER(Plants!N65),N(Plants!H65)&gt;0,(TODAY()+2)&gt;=MAX(Plants!N65,TODAY()),MOD((TODAY()+2)-MAX(Plants!N65,TODAY()),MAX(1,N(Plants!H65)))=0),"Water, feed","Water"),IF(AND(ISNUMBER(Plants!N65),N(Plants!H65)&gt;0,(TODAY()+2)&gt;=MAX(Plants!N65,TODAY()),MOD((TODAY()+2)-MAX(Plants!N65,TODAY()),MAX(1,N(Plants!H65)))=0),"Feed",""))</f>
        <v/>
      </c>
      <c r="G65" s="13">
        <f>IF(AND(ISNUMBER(Plants!L65),N(Plants!S65)&gt;0,(TODAY()+3)&gt;=MAX(Plants!L65,TODAY()),MOD((TODAY()+3)-MAX(Plants!L65,TODAY()),MAX(1,N(Plants!S65)))=0),IF(AND(ISNUMBER(Plants!N65),N(Plants!H65)&gt;0,(TODAY()+3)&gt;=MAX(Plants!N65,TODAY()),MOD((TODAY()+3)-MAX(Plants!N65,TODAY()),MAX(1,N(Plants!H65)))=0),"Water, feed","Water"),IF(AND(ISNUMBER(Plants!N65),N(Plants!H65)&gt;0,(TODAY()+3)&gt;=MAX(Plants!N65,TODAY()),MOD((TODAY()+3)-MAX(Plants!N65,TODAY()),MAX(1,N(Plants!H65)))=0),"Feed",""))</f>
        <v/>
      </c>
      <c r="H65" s="13">
        <f>IF(AND(ISNUMBER(Plants!L65),N(Plants!S65)&gt;0,(TODAY()+4)&gt;=MAX(Plants!L65,TODAY()),MOD((TODAY()+4)-MAX(Plants!L65,TODAY()),MAX(1,N(Plants!S65)))=0),IF(AND(ISNUMBER(Plants!N65),N(Plants!H65)&gt;0,(TODAY()+4)&gt;=MAX(Plants!N65,TODAY()),MOD((TODAY()+4)-MAX(Plants!N65,TODAY()),MAX(1,N(Plants!H65)))=0),"Water, feed","Water"),IF(AND(ISNUMBER(Plants!N65),N(Plants!H65)&gt;0,(TODAY()+4)&gt;=MAX(Plants!N65,TODAY()),MOD((TODAY()+4)-MAX(Plants!N65,TODAY()),MAX(1,N(Plants!H65)))=0),"Feed",""))</f>
        <v/>
      </c>
      <c r="I65" s="13">
        <f>IF(AND(ISNUMBER(Plants!L65),N(Plants!S65)&gt;0,(TODAY()+5)&gt;=MAX(Plants!L65,TODAY()),MOD((TODAY()+5)-MAX(Plants!L65,TODAY()),MAX(1,N(Plants!S65)))=0),IF(AND(ISNUMBER(Plants!N65),N(Plants!H65)&gt;0,(TODAY()+5)&gt;=MAX(Plants!N65,TODAY()),MOD((TODAY()+5)-MAX(Plants!N65,TODAY()),MAX(1,N(Plants!H65)))=0),"Water, feed","Water"),IF(AND(ISNUMBER(Plants!N65),N(Plants!H65)&gt;0,(TODAY()+5)&gt;=MAX(Plants!N65,TODAY()),MOD((TODAY()+5)-MAX(Plants!N65,TODAY()),MAX(1,N(Plants!H65)))=0),"Feed",""))</f>
        <v/>
      </c>
      <c r="J65" s="13">
        <f>IF(AND(ISNUMBER(Plants!L65),N(Plants!S65)&gt;0,(TODAY()+6)&gt;=MAX(Plants!L65,TODAY()),MOD((TODAY()+6)-MAX(Plants!L65,TODAY()),MAX(1,N(Plants!S65)))=0),IF(AND(ISNUMBER(Plants!N65),N(Plants!H65)&gt;0,(TODAY()+6)&gt;=MAX(Plants!N65,TODAY()),MOD((TODAY()+6)-MAX(Plants!N65,TODAY()),MAX(1,N(Plants!H65)))=0),"Water, feed","Water"),IF(AND(ISNUMBER(Plants!N65),N(Plants!H65)&gt;0,(TODAY()+6)&gt;=MAX(Plants!N65,TODAY()),MOD((TODAY()+6)-MAX(Plants!N65,TODAY()),MAX(1,N(Plants!H65)))=0),"Feed",""))</f>
        <v/>
      </c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</sheetData>
  <conditionalFormatting sqref="D6:J65">
    <cfRule type="expression" priority="1" dxfId="1">
      <formula>D6="Water"</formula>
    </cfRule>
    <cfRule type="expression" priority="2" dxfId="2">
      <formula>D6="Feed"</formula>
    </cfRule>
    <cfRule type="expression" priority="3" dxfId="4">
      <formula>D6="Water, feed"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9" customWidth="1" min="7" max="7"/>
    <col width="9" customWidth="1" min="8" max="8"/>
    <col width="10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  <col width="26" customWidth="1" min="16" max="16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Plants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Every plant once. Water every: days between waterings, in the growing season and in the resting one. Leave the resting one empty to keep the same.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" t="n"/>
      <c r="B5" s="11" t="inlineStr">
        <is>
          <t>Plant</t>
        </is>
      </c>
      <c r="C5" s="11" t="inlineStr">
        <is>
          <t>Kind</t>
        </is>
      </c>
      <c r="D5" s="11" t="inlineStr">
        <is>
          <t>Spot</t>
        </is>
      </c>
      <c r="E5" s="11" t="inlineStr">
        <is>
          <t>Light</t>
        </is>
      </c>
      <c r="F5" s="11" t="inlineStr">
        <is>
          <t>Water every</t>
        </is>
      </c>
      <c r="G5" s="11" t="inlineStr">
        <is>
          <t>Resting</t>
        </is>
      </c>
      <c r="H5" s="11" t="inlineStr">
        <is>
          <t>Feed every</t>
        </is>
      </c>
      <c r="I5" s="11" t="inlineStr">
        <is>
          <t>Repot (months)</t>
        </is>
      </c>
      <c r="J5" s="11" t="inlineStr">
        <is>
          <t>Potted on</t>
        </is>
      </c>
      <c r="K5" s="11" t="inlineStr">
        <is>
          <t>Last watered</t>
        </is>
      </c>
      <c r="L5" s="11" t="inlineStr">
        <is>
          <t>Next water</t>
        </is>
      </c>
      <c r="M5" s="11" t="inlineStr">
        <is>
          <t>Water</t>
        </is>
      </c>
      <c r="N5" s="11" t="inlineStr">
        <is>
          <t>Next feed</t>
        </is>
      </c>
      <c r="O5" s="11" t="inlineStr">
        <is>
          <t>Next repot</t>
        </is>
      </c>
      <c r="P5" s="11" t="inlineStr">
        <is>
          <t>Notes</t>
        </is>
      </c>
      <c r="Q5" s="1" t="n"/>
    </row>
    <row r="6">
      <c r="A6" s="1" t="n"/>
      <c r="B6" s="17" t="inlineStr">
        <is>
          <t>Monty</t>
        </is>
      </c>
      <c r="C6" s="18" t="inlineStr">
        <is>
          <t>Monstera deliciosa</t>
        </is>
      </c>
      <c r="D6" s="18" t="inlineStr">
        <is>
          <t>Living room</t>
        </is>
      </c>
      <c r="E6" s="18" t="inlineStr">
        <is>
          <t>Bright indirect</t>
        </is>
      </c>
      <c r="F6" s="19" t="n">
        <v>7</v>
      </c>
      <c r="G6" s="19" t="n">
        <v>12</v>
      </c>
      <c r="H6" s="19" t="n">
        <v>30</v>
      </c>
      <c r="I6" s="19" t="n">
        <v>24</v>
      </c>
      <c r="J6" s="20" t="n">
        <v>45603</v>
      </c>
      <c r="K6" s="21">
        <f>IF(B6="","",IF(SUMIFS('Care log'!$B$6:$B$1505,'Care log'!$C$6:$C$1505,$B6,'Care log'!$D$6:$D$1505,"Water",'Care log'!$H$6:$H$1505,1)=0,"",SUMIFS('Care log'!$B$6:$B$1505,'Care log'!$C$6:$C$1505,$B6,'Care log'!$D$6:$D$1505,"Water",'Care log'!$H$6:$H$1505,1)))</f>
        <v/>
      </c>
      <c r="L6" s="22">
        <f>IF(OR(K6="",N(S6)=0),"",K6+S6)</f>
        <v/>
      </c>
      <c r="M6" s="13">
        <f>IF(B6="","",IF(L6="",IF(N(S6)=0,"","Not logged yet"),IF(L6&lt;TODAY(),"Late "&amp;(TODAY()-L6)&amp;IF((TODAY()-L6)=1," day"," days"),IF(L6=TODAY(),"Today","In "&amp;(L6-TODAY())&amp;IF((L6-TODAY())=1," day"," days")))))</f>
        <v/>
      </c>
      <c r="N6" s="22">
        <f>IF(OR(B6="",N(H6)=0),"",IF(Settings!$C$7=0,"Resting",IF(T6=0,TODAY(),T6+H6)))</f>
        <v/>
      </c>
      <c r="O6" s="23">
        <f>IF(OR(B6="",N(I6)=0,N(U6)=0),"",EDATE(U6,I6))</f>
        <v/>
      </c>
      <c r="P6" s="18" t="inlineStr">
        <is>
          <t>New leaf coming</t>
        </is>
      </c>
      <c r="Q6" s="1" t="n"/>
      <c r="S6">
        <f>IF(B6="",0,IF(Settings!$C$7=1,N(F6),IF(G6="",N(F6),N(G6))))</f>
        <v/>
      </c>
      <c r="T6">
        <f>IF(B6="",0,SUMIFS('Care log'!$B$6:$B$1505,'Care log'!$C$6:$C$1505,$B6,'Care log'!$D$6:$D$1505,"Feed",'Care log'!$H$6:$H$1505,1))</f>
        <v/>
      </c>
      <c r="U6">
        <f>IF(B6="",0,MAX(N(J6),SUMIFS('Care log'!$B$6:$B$1505,'Care log'!$C$6:$C$1505,$B6,'Care log'!$D$6:$D$1505,"Repot",'Care log'!$H$6:$H$1505,1)))</f>
        <v/>
      </c>
      <c r="V6">
        <f>IF(L6="","",L6+ROW()/10000000)</f>
        <v/>
      </c>
      <c r="W6">
        <f>IF(ISNUMBER(N6),N6+ROW()/10000000,"")</f>
        <v/>
      </c>
      <c r="X6">
        <f>IF(O6="","",O6+ROW()/10000000)</f>
        <v/>
      </c>
    </row>
    <row r="7">
      <c r="A7" s="1" t="n"/>
      <c r="B7" s="17" t="inlineStr">
        <is>
          <t>Sansa</t>
        </is>
      </c>
      <c r="C7" s="18" t="inlineStr">
        <is>
          <t>Snake plant</t>
        </is>
      </c>
      <c r="D7" s="18" t="inlineStr">
        <is>
          <t>Bedroom</t>
        </is>
      </c>
      <c r="E7" s="18" t="inlineStr">
        <is>
          <t>Low</t>
        </is>
      </c>
      <c r="F7" s="19" t="n">
        <v>14</v>
      </c>
      <c r="G7" s="19" t="n">
        <v>28</v>
      </c>
      <c r="H7" s="19" t="n">
        <v>60</v>
      </c>
      <c r="I7" s="19" t="n">
        <v>36</v>
      </c>
      <c r="J7" s="20" t="n">
        <v>45893</v>
      </c>
      <c r="K7" s="21">
        <f>IF(B7="","",IF(SUMIFS('Care log'!$B$6:$B$1505,'Care log'!$C$6:$C$1505,$B7,'Care log'!$D$6:$D$1505,"Water",'Care log'!$H$6:$H$1505,1)=0,"",SUMIFS('Care log'!$B$6:$B$1505,'Care log'!$C$6:$C$1505,$B7,'Care log'!$D$6:$D$1505,"Water",'Care log'!$H$6:$H$1505,1)))</f>
        <v/>
      </c>
      <c r="L7" s="22">
        <f>IF(OR(K7="",N(S7)=0),"",K7+S7)</f>
        <v/>
      </c>
      <c r="M7" s="13">
        <f>IF(B7="","",IF(L7="",IF(N(S7)=0,"","Not logged yet"),IF(L7&lt;TODAY(),"Late "&amp;(TODAY()-L7)&amp;IF((TODAY()-L7)=1," day"," days"),IF(L7=TODAY(),"Today","In "&amp;(L7-TODAY())&amp;IF((L7-TODAY())=1," day"," days")))))</f>
        <v/>
      </c>
      <c r="N7" s="22">
        <f>IF(OR(B7="",N(H7)=0),"",IF(Settings!$C$7=0,"Resting",IF(T7=0,TODAY(),T7+H7)))</f>
        <v/>
      </c>
      <c r="O7" s="23">
        <f>IF(OR(B7="",N(I7)=0,N(U7)=0),"",EDATE(U7,I7))</f>
        <v/>
      </c>
      <c r="P7" s="18" t="n"/>
      <c r="Q7" s="1" t="n"/>
      <c r="S7">
        <f>IF(B7="",0,IF(Settings!$C$7=1,N(F7),IF(G7="",N(F7),N(G7))))</f>
        <v/>
      </c>
      <c r="T7">
        <f>IF(B7="",0,SUMIFS('Care log'!$B$6:$B$1505,'Care log'!$C$6:$C$1505,$B7,'Care log'!$D$6:$D$1505,"Feed",'Care log'!$H$6:$H$1505,1))</f>
        <v/>
      </c>
      <c r="U7">
        <f>IF(B7="",0,MAX(N(J7),SUMIFS('Care log'!$B$6:$B$1505,'Care log'!$C$6:$C$1505,$B7,'Care log'!$D$6:$D$1505,"Repot",'Care log'!$H$6:$H$1505,1)))</f>
        <v/>
      </c>
      <c r="V7">
        <f>IF(L7="","",L7+ROW()/10000000)</f>
        <v/>
      </c>
      <c r="W7">
        <f>IF(ISNUMBER(N7),N7+ROW()/10000000,"")</f>
        <v/>
      </c>
      <c r="X7">
        <f>IF(O7="","",O7+ROW()/10000000)</f>
        <v/>
      </c>
    </row>
    <row r="8">
      <c r="A8" s="1" t="n"/>
      <c r="B8" s="17" t="inlineStr">
        <is>
          <t>Goldie</t>
        </is>
      </c>
      <c r="C8" s="18" t="inlineStr">
        <is>
          <t>Golden pothos</t>
        </is>
      </c>
      <c r="D8" s="18" t="inlineStr">
        <is>
          <t>Kitchen shelf</t>
        </is>
      </c>
      <c r="E8" s="18" t="inlineStr">
        <is>
          <t>Medium</t>
        </is>
      </c>
      <c r="F8" s="19" t="n">
        <v>7</v>
      </c>
      <c r="G8" s="19" t="n">
        <v>10</v>
      </c>
      <c r="H8" s="19" t="n">
        <v>30</v>
      </c>
      <c r="I8" s="19" t="n">
        <v>24</v>
      </c>
      <c r="J8" s="20" t="n">
        <v>45993</v>
      </c>
      <c r="K8" s="21">
        <f>IF(B8="","",IF(SUMIFS('Care log'!$B$6:$B$1505,'Care log'!$C$6:$C$1505,$B8,'Care log'!$D$6:$D$1505,"Water",'Care log'!$H$6:$H$1505,1)=0,"",SUMIFS('Care log'!$B$6:$B$1505,'Care log'!$C$6:$C$1505,$B8,'Care log'!$D$6:$D$1505,"Water",'Care log'!$H$6:$H$1505,1)))</f>
        <v/>
      </c>
      <c r="L8" s="22">
        <f>IF(OR(K8="",N(S8)=0),"",K8+S8)</f>
        <v/>
      </c>
      <c r="M8" s="13">
        <f>IF(B8="","",IF(L8="",IF(N(S8)=0,"","Not logged yet"),IF(L8&lt;TODAY(),"Late "&amp;(TODAY()-L8)&amp;IF((TODAY()-L8)=1," day"," days"),IF(L8=TODAY(),"Today","In "&amp;(L8-TODAY())&amp;IF((L8-TODAY())=1," day"," days")))))</f>
        <v/>
      </c>
      <c r="N8" s="22">
        <f>IF(OR(B8="",N(H8)=0),"",IF(Settings!$C$7=0,"Resting",IF(T8=0,TODAY(),T8+H8)))</f>
        <v/>
      </c>
      <c r="O8" s="23">
        <f>IF(OR(B8="",N(I8)=0,N(U8)=0),"",EDATE(U8,I8))</f>
        <v/>
      </c>
      <c r="P8" s="18" t="inlineStr">
        <is>
          <t>Trim the long vines</t>
        </is>
      </c>
      <c r="Q8" s="1" t="n"/>
      <c r="S8">
        <f>IF(B8="",0,IF(Settings!$C$7=1,N(F8),IF(G8="",N(F8),N(G8))))</f>
        <v/>
      </c>
      <c r="T8">
        <f>IF(B8="",0,SUMIFS('Care log'!$B$6:$B$1505,'Care log'!$C$6:$C$1505,$B8,'Care log'!$D$6:$D$1505,"Feed",'Care log'!$H$6:$H$1505,1))</f>
        <v/>
      </c>
      <c r="U8">
        <f>IF(B8="",0,MAX(N(J8),SUMIFS('Care log'!$B$6:$B$1505,'Care log'!$C$6:$C$1505,$B8,'Care log'!$D$6:$D$1505,"Repot",'Care log'!$H$6:$H$1505,1)))</f>
        <v/>
      </c>
      <c r="V8">
        <f>IF(L8="","",L8+ROW()/10000000)</f>
        <v/>
      </c>
      <c r="W8">
        <f>IF(ISNUMBER(N8),N8+ROW()/10000000,"")</f>
        <v/>
      </c>
      <c r="X8">
        <f>IF(O8="","",O8+ROW()/10000000)</f>
        <v/>
      </c>
    </row>
    <row r="9">
      <c r="A9" s="1" t="n"/>
      <c r="B9" s="17" t="inlineStr">
        <is>
          <t>Fig</t>
        </is>
      </c>
      <c r="C9" s="18" t="inlineStr">
        <is>
          <t>Fiddle leaf fig</t>
        </is>
      </c>
      <c r="D9" s="18" t="inlineStr">
        <is>
          <t>Living room</t>
        </is>
      </c>
      <c r="E9" s="18" t="inlineStr">
        <is>
          <t>Bright indirect</t>
        </is>
      </c>
      <c r="F9" s="19" t="n">
        <v>7</v>
      </c>
      <c r="G9" s="19" t="n">
        <v>10</v>
      </c>
      <c r="H9" s="19" t="n">
        <v>30</v>
      </c>
      <c r="I9" s="19" t="n">
        <v>18</v>
      </c>
      <c r="J9" s="20" t="n">
        <v>45683</v>
      </c>
      <c r="K9" s="21">
        <f>IF(B9="","",IF(SUMIFS('Care log'!$B$6:$B$1505,'Care log'!$C$6:$C$1505,$B9,'Care log'!$D$6:$D$1505,"Water",'Care log'!$H$6:$H$1505,1)=0,"",SUMIFS('Care log'!$B$6:$B$1505,'Care log'!$C$6:$C$1505,$B9,'Care log'!$D$6:$D$1505,"Water",'Care log'!$H$6:$H$1505,1)))</f>
        <v/>
      </c>
      <c r="L9" s="22">
        <f>IF(OR(K9="",N(S9)=0),"",K9+S9)</f>
        <v/>
      </c>
      <c r="M9" s="13">
        <f>IF(B9="","",IF(L9="",IF(N(S9)=0,"","Not logged yet"),IF(L9&lt;TODAY(),"Late "&amp;(TODAY()-L9)&amp;IF((TODAY()-L9)=1," day"," days"),IF(L9=TODAY(),"Today","In "&amp;(L9-TODAY())&amp;IF((L9-TODAY())=1," day"," days")))))</f>
        <v/>
      </c>
      <c r="N9" s="22">
        <f>IF(OR(B9="",N(H9)=0),"",IF(Settings!$C$7=0,"Resting",IF(T9=0,TODAY(),T9+H9)))</f>
        <v/>
      </c>
      <c r="O9" s="23">
        <f>IF(OR(B9="",N(I9)=0,N(U9)=0),"",EDATE(U9,I9))</f>
        <v/>
      </c>
      <c r="P9" s="18" t="inlineStr">
        <is>
          <t>Turn it each week</t>
        </is>
      </c>
      <c r="Q9" s="1" t="n"/>
      <c r="S9">
        <f>IF(B9="",0,IF(Settings!$C$7=1,N(F9),IF(G9="",N(F9),N(G9))))</f>
        <v/>
      </c>
      <c r="T9">
        <f>IF(B9="",0,SUMIFS('Care log'!$B$6:$B$1505,'Care log'!$C$6:$C$1505,$B9,'Care log'!$D$6:$D$1505,"Feed",'Care log'!$H$6:$H$1505,1))</f>
        <v/>
      </c>
      <c r="U9">
        <f>IF(B9="",0,MAX(N(J9),SUMIFS('Care log'!$B$6:$B$1505,'Care log'!$C$6:$C$1505,$B9,'Care log'!$D$6:$D$1505,"Repot",'Care log'!$H$6:$H$1505,1)))</f>
        <v/>
      </c>
      <c r="V9">
        <f>IF(L9="","",L9+ROW()/10000000)</f>
        <v/>
      </c>
      <c r="W9">
        <f>IF(ISNUMBER(N9),N9+ROW()/10000000,"")</f>
        <v/>
      </c>
      <c r="X9">
        <f>IF(O9="","",O9+ROW()/10000000)</f>
        <v/>
      </c>
    </row>
    <row r="10">
      <c r="A10" s="1" t="n"/>
      <c r="B10" s="17" t="inlineStr">
        <is>
          <t>Zed</t>
        </is>
      </c>
      <c r="C10" s="18" t="inlineStr">
        <is>
          <t>ZZ plant</t>
        </is>
      </c>
      <c r="D10" s="18" t="inlineStr">
        <is>
          <t>Hallway</t>
        </is>
      </c>
      <c r="E10" s="18" t="inlineStr">
        <is>
          <t>Low</t>
        </is>
      </c>
      <c r="F10" s="19" t="n">
        <v>14</v>
      </c>
      <c r="G10" s="19" t="n">
        <v>28</v>
      </c>
      <c r="H10" s="19" t="n">
        <v>60</v>
      </c>
      <c r="I10" s="19" t="n">
        <v>36</v>
      </c>
      <c r="J10" s="20" t="n">
        <v>46093</v>
      </c>
      <c r="K10" s="21">
        <f>IF(B10="","",IF(SUMIFS('Care log'!$B$6:$B$1505,'Care log'!$C$6:$C$1505,$B10,'Care log'!$D$6:$D$1505,"Water",'Care log'!$H$6:$H$1505,1)=0,"",SUMIFS('Care log'!$B$6:$B$1505,'Care log'!$C$6:$C$1505,$B10,'Care log'!$D$6:$D$1505,"Water",'Care log'!$H$6:$H$1505,1)))</f>
        <v/>
      </c>
      <c r="L10" s="22">
        <f>IF(OR(K10="",N(S10)=0),"",K10+S10)</f>
        <v/>
      </c>
      <c r="M10" s="13">
        <f>IF(B10="","",IF(L10="",IF(N(S10)=0,"","Not logged yet"),IF(L10&lt;TODAY(),"Late "&amp;(TODAY()-L10)&amp;IF((TODAY()-L10)=1," day"," days"),IF(L10=TODAY(),"Today","In "&amp;(L10-TODAY())&amp;IF((L10-TODAY())=1," day"," days")))))</f>
        <v/>
      </c>
      <c r="N10" s="22">
        <f>IF(OR(B10="",N(H10)=0),"",IF(Settings!$C$7=0,"Resting",IF(T10=0,TODAY(),T10+H10)))</f>
        <v/>
      </c>
      <c r="O10" s="23">
        <f>IF(OR(B10="",N(I10)=0,N(U10)=0),"",EDATE(U10,I10))</f>
        <v/>
      </c>
      <c r="P10" s="18" t="n"/>
      <c r="Q10" s="1" t="n"/>
      <c r="S10">
        <f>IF(B10="",0,IF(Settings!$C$7=1,N(F10),IF(G10="",N(F10),N(G10))))</f>
        <v/>
      </c>
      <c r="T10">
        <f>IF(B10="",0,SUMIFS('Care log'!$B$6:$B$1505,'Care log'!$C$6:$C$1505,$B10,'Care log'!$D$6:$D$1505,"Feed",'Care log'!$H$6:$H$1505,1))</f>
        <v/>
      </c>
      <c r="U10">
        <f>IF(B10="",0,MAX(N(J10),SUMIFS('Care log'!$B$6:$B$1505,'Care log'!$C$6:$C$1505,$B10,'Care log'!$D$6:$D$1505,"Repot",'Care log'!$H$6:$H$1505,1)))</f>
        <v/>
      </c>
      <c r="V10">
        <f>IF(L10="","",L10+ROW()/10000000)</f>
        <v/>
      </c>
      <c r="W10">
        <f>IF(ISNUMBER(N10),N10+ROW()/10000000,"")</f>
        <v/>
      </c>
      <c r="X10">
        <f>IF(O10="","",O10+ROW()/10000000)</f>
        <v/>
      </c>
    </row>
    <row r="11">
      <c r="A11" s="1" t="n"/>
      <c r="B11" s="17" t="inlineStr">
        <is>
          <t>Lily</t>
        </is>
      </c>
      <c r="C11" s="18" t="inlineStr">
        <is>
          <t>Peace lily</t>
        </is>
      </c>
      <c r="D11" s="18" t="inlineStr">
        <is>
          <t>Bathroom</t>
        </is>
      </c>
      <c r="E11" s="18" t="inlineStr">
        <is>
          <t>Low</t>
        </is>
      </c>
      <c r="F11" s="19" t="n">
        <v>5</v>
      </c>
      <c r="G11" s="19" t="n">
        <v>8</v>
      </c>
      <c r="H11" s="19" t="n">
        <v>30</v>
      </c>
      <c r="I11" s="19" t="n">
        <v>24</v>
      </c>
      <c r="J11" s="20" t="n">
        <v>46043</v>
      </c>
      <c r="K11" s="21">
        <f>IF(B11="","",IF(SUMIFS('Care log'!$B$6:$B$1505,'Care log'!$C$6:$C$1505,$B11,'Care log'!$D$6:$D$1505,"Water",'Care log'!$H$6:$H$1505,1)=0,"",SUMIFS('Care log'!$B$6:$B$1505,'Care log'!$C$6:$C$1505,$B11,'Care log'!$D$6:$D$1505,"Water",'Care log'!$H$6:$H$1505,1)))</f>
        <v/>
      </c>
      <c r="L11" s="22">
        <f>IF(OR(K11="",N(S11)=0),"",K11+S11)</f>
        <v/>
      </c>
      <c r="M11" s="13">
        <f>IF(B11="","",IF(L11="",IF(N(S11)=0,"","Not logged yet"),IF(L11&lt;TODAY(),"Late "&amp;(TODAY()-L11)&amp;IF((TODAY()-L11)=1," day"," days"),IF(L11=TODAY(),"Today","In "&amp;(L11-TODAY())&amp;IF((L11-TODAY())=1," day"," days")))))</f>
        <v/>
      </c>
      <c r="N11" s="22">
        <f>IF(OR(B11="",N(H11)=0),"",IF(Settings!$C$7=0,"Resting",IF(T11=0,TODAY(),T11+H11)))</f>
        <v/>
      </c>
      <c r="O11" s="23">
        <f>IF(OR(B11="",N(I11)=0,N(U11)=0),"",EDATE(U11,I11))</f>
        <v/>
      </c>
      <c r="P11" s="18" t="inlineStr">
        <is>
          <t>Droops when thirsty</t>
        </is>
      </c>
      <c r="Q11" s="1" t="n"/>
      <c r="S11">
        <f>IF(B11="",0,IF(Settings!$C$7=1,N(F11),IF(G11="",N(F11),N(G11))))</f>
        <v/>
      </c>
      <c r="T11">
        <f>IF(B11="",0,SUMIFS('Care log'!$B$6:$B$1505,'Care log'!$C$6:$C$1505,$B11,'Care log'!$D$6:$D$1505,"Feed",'Care log'!$H$6:$H$1505,1))</f>
        <v/>
      </c>
      <c r="U11">
        <f>IF(B11="",0,MAX(N(J11),SUMIFS('Care log'!$B$6:$B$1505,'Care log'!$C$6:$C$1505,$B11,'Care log'!$D$6:$D$1505,"Repot",'Care log'!$H$6:$H$1505,1)))</f>
        <v/>
      </c>
      <c r="V11">
        <f>IF(L11="","",L11+ROW()/10000000)</f>
        <v/>
      </c>
      <c r="W11">
        <f>IF(ISNUMBER(N11),N11+ROW()/10000000,"")</f>
        <v/>
      </c>
      <c r="X11">
        <f>IF(O11="","",O11+ROW()/10000000)</f>
        <v/>
      </c>
    </row>
    <row r="12">
      <c r="A12" s="1" t="n"/>
      <c r="B12" s="17" t="inlineStr">
        <is>
          <t>Cleo</t>
        </is>
      </c>
      <c r="C12" s="18" t="inlineStr">
        <is>
          <t>Calathea orbifolia</t>
        </is>
      </c>
      <c r="D12" s="18" t="inlineStr">
        <is>
          <t>Bedroom</t>
        </is>
      </c>
      <c r="E12" s="18" t="inlineStr">
        <is>
          <t>Medium</t>
        </is>
      </c>
      <c r="F12" s="19" t="n">
        <v>5</v>
      </c>
      <c r="G12" s="19" t="n">
        <v>7</v>
      </c>
      <c r="H12" s="19" t="n">
        <v>30</v>
      </c>
      <c r="I12" s="19" t="n">
        <v>24</v>
      </c>
      <c r="J12" s="20" t="n">
        <v>46143</v>
      </c>
      <c r="K12" s="21">
        <f>IF(B12="","",IF(SUMIFS('Care log'!$B$6:$B$1505,'Care log'!$C$6:$C$1505,$B12,'Care log'!$D$6:$D$1505,"Water",'Care log'!$H$6:$H$1505,1)=0,"",SUMIFS('Care log'!$B$6:$B$1505,'Care log'!$C$6:$C$1505,$B12,'Care log'!$D$6:$D$1505,"Water",'Care log'!$H$6:$H$1505,1)))</f>
        <v/>
      </c>
      <c r="L12" s="22">
        <f>IF(OR(K12="",N(S12)=0),"",K12+S12)</f>
        <v/>
      </c>
      <c r="M12" s="13">
        <f>IF(B12="","",IF(L12="",IF(N(S12)=0,"","Not logged yet"),IF(L12&lt;TODAY(),"Late "&amp;(TODAY()-L12)&amp;IF((TODAY()-L12)=1," day"," days"),IF(L12=TODAY(),"Today","In "&amp;(L12-TODAY())&amp;IF((L12-TODAY())=1," day"," days")))))</f>
        <v/>
      </c>
      <c r="N12" s="22">
        <f>IF(OR(B12="",N(H12)=0),"",IF(Settings!$C$7=0,"Resting",IF(T12=0,TODAY(),T12+H12)))</f>
        <v/>
      </c>
      <c r="O12" s="23">
        <f>IF(OR(B12="",N(I12)=0,N(U12)=0),"",EDATE(U12,I12))</f>
        <v/>
      </c>
      <c r="P12" s="18" t="inlineStr">
        <is>
          <t>Filtered water only</t>
        </is>
      </c>
      <c r="Q12" s="1" t="n"/>
      <c r="S12">
        <f>IF(B12="",0,IF(Settings!$C$7=1,N(F12),IF(G12="",N(F12),N(G12))))</f>
        <v/>
      </c>
      <c r="T12">
        <f>IF(B12="",0,SUMIFS('Care log'!$B$6:$B$1505,'Care log'!$C$6:$C$1505,$B12,'Care log'!$D$6:$D$1505,"Feed",'Care log'!$H$6:$H$1505,1))</f>
        <v/>
      </c>
      <c r="U12">
        <f>IF(B12="",0,MAX(N(J12),SUMIFS('Care log'!$B$6:$B$1505,'Care log'!$C$6:$C$1505,$B12,'Care log'!$D$6:$D$1505,"Repot",'Care log'!$H$6:$H$1505,1)))</f>
        <v/>
      </c>
      <c r="V12">
        <f>IF(L12="","",L12+ROW()/10000000)</f>
        <v/>
      </c>
      <c r="W12">
        <f>IF(ISNUMBER(N12),N12+ROW()/10000000,"")</f>
        <v/>
      </c>
      <c r="X12">
        <f>IF(O12="","",O12+ROW()/10000000)</f>
        <v/>
      </c>
    </row>
    <row r="13">
      <c r="A13" s="1" t="n"/>
      <c r="B13" s="17" t="inlineStr">
        <is>
          <t>Pearl</t>
        </is>
      </c>
      <c r="C13" s="18" t="inlineStr">
        <is>
          <t>String of pearls</t>
        </is>
      </c>
      <c r="D13" s="18" t="inlineStr">
        <is>
          <t>Office window</t>
        </is>
      </c>
      <c r="E13" s="18" t="inlineStr">
        <is>
          <t>Bright indirect</t>
        </is>
      </c>
      <c r="F13" s="19" t="n">
        <v>10</v>
      </c>
      <c r="G13" s="19" t="n">
        <v>21</v>
      </c>
      <c r="H13" s="19" t="n">
        <v>30</v>
      </c>
      <c r="I13" s="19" t="n">
        <v>24</v>
      </c>
      <c r="J13" s="20" t="n">
        <v>45963</v>
      </c>
      <c r="K13" s="21">
        <f>IF(B13="","",IF(SUMIFS('Care log'!$B$6:$B$1505,'Care log'!$C$6:$C$1505,$B13,'Care log'!$D$6:$D$1505,"Water",'Care log'!$H$6:$H$1505,1)=0,"",SUMIFS('Care log'!$B$6:$B$1505,'Care log'!$C$6:$C$1505,$B13,'Care log'!$D$6:$D$1505,"Water",'Care log'!$H$6:$H$1505,1)))</f>
        <v/>
      </c>
      <c r="L13" s="22">
        <f>IF(OR(K13="",N(S13)=0),"",K13+S13)</f>
        <v/>
      </c>
      <c r="M13" s="13">
        <f>IF(B13="","",IF(L13="",IF(N(S13)=0,"","Not logged yet"),IF(L13&lt;TODAY(),"Late "&amp;(TODAY()-L13)&amp;IF((TODAY()-L13)=1," day"," days"),IF(L13=TODAY(),"Today","In "&amp;(L13-TODAY())&amp;IF((L13-TODAY())=1," day"," days")))))</f>
        <v/>
      </c>
      <c r="N13" s="22">
        <f>IF(OR(B13="",N(H13)=0),"",IF(Settings!$C$7=0,"Resting",IF(T13=0,TODAY(),T13+H13)))</f>
        <v/>
      </c>
      <c r="O13" s="23">
        <f>IF(OR(B13="",N(I13)=0,N(U13)=0),"",EDATE(U13,I13))</f>
        <v/>
      </c>
      <c r="P13" s="18" t="n"/>
      <c r="Q13" s="1" t="n"/>
      <c r="S13">
        <f>IF(B13="",0,IF(Settings!$C$7=1,N(F13),IF(G13="",N(F13),N(G13))))</f>
        <v/>
      </c>
      <c r="T13">
        <f>IF(B13="",0,SUMIFS('Care log'!$B$6:$B$1505,'Care log'!$C$6:$C$1505,$B13,'Care log'!$D$6:$D$1505,"Feed",'Care log'!$H$6:$H$1505,1))</f>
        <v/>
      </c>
      <c r="U13">
        <f>IF(B13="",0,MAX(N(J13),SUMIFS('Care log'!$B$6:$B$1505,'Care log'!$C$6:$C$1505,$B13,'Care log'!$D$6:$D$1505,"Repot",'Care log'!$H$6:$H$1505,1)))</f>
        <v/>
      </c>
      <c r="V13">
        <f>IF(L13="","",L13+ROW()/10000000)</f>
        <v/>
      </c>
      <c r="W13">
        <f>IF(ISNUMBER(N13),N13+ROW()/10000000,"")</f>
        <v/>
      </c>
      <c r="X13">
        <f>IF(O13="","",O13+ROW()/10000000)</f>
        <v/>
      </c>
    </row>
    <row r="14">
      <c r="A14" s="1" t="n"/>
      <c r="B14" s="17" t="inlineStr">
        <is>
          <t>Vera</t>
        </is>
      </c>
      <c r="C14" s="18" t="inlineStr">
        <is>
          <t>Aloe vera</t>
        </is>
      </c>
      <c r="D14" s="18" t="inlineStr">
        <is>
          <t>Kitchen window</t>
        </is>
      </c>
      <c r="E14" s="18" t="inlineStr">
        <is>
          <t>Direct sun</t>
        </is>
      </c>
      <c r="F14" s="19" t="n">
        <v>14</v>
      </c>
      <c r="G14" s="19" t="n">
        <v>28</v>
      </c>
      <c r="H14" s="19" t="n">
        <v>60</v>
      </c>
      <c r="I14" s="19" t="n">
        <v>24</v>
      </c>
      <c r="J14" s="20" t="n">
        <v>45913</v>
      </c>
      <c r="K14" s="21">
        <f>IF(B14="","",IF(SUMIFS('Care log'!$B$6:$B$1505,'Care log'!$C$6:$C$1505,$B14,'Care log'!$D$6:$D$1505,"Water",'Care log'!$H$6:$H$1505,1)=0,"",SUMIFS('Care log'!$B$6:$B$1505,'Care log'!$C$6:$C$1505,$B14,'Care log'!$D$6:$D$1505,"Water",'Care log'!$H$6:$H$1505,1)))</f>
        <v/>
      </c>
      <c r="L14" s="22">
        <f>IF(OR(K14="",N(S14)=0),"",K14+S14)</f>
        <v/>
      </c>
      <c r="M14" s="13">
        <f>IF(B14="","",IF(L14="",IF(N(S14)=0,"","Not logged yet"),IF(L14&lt;TODAY(),"Late "&amp;(TODAY()-L14)&amp;IF((TODAY()-L14)=1," day"," days"),IF(L14=TODAY(),"Today","In "&amp;(L14-TODAY())&amp;IF((L14-TODAY())=1," day"," days")))))</f>
        <v/>
      </c>
      <c r="N14" s="22">
        <f>IF(OR(B14="",N(H14)=0),"",IF(Settings!$C$7=0,"Resting",IF(T14=0,TODAY(),T14+H14)))</f>
        <v/>
      </c>
      <c r="O14" s="23">
        <f>IF(OR(B14="",N(I14)=0,N(U14)=0),"",EDATE(U14,I14))</f>
        <v/>
      </c>
      <c r="P14" s="18" t="n"/>
      <c r="Q14" s="1" t="n"/>
      <c r="S14">
        <f>IF(B14="",0,IF(Settings!$C$7=1,N(F14),IF(G14="",N(F14),N(G14))))</f>
        <v/>
      </c>
      <c r="T14">
        <f>IF(B14="",0,SUMIFS('Care log'!$B$6:$B$1505,'Care log'!$C$6:$C$1505,$B14,'Care log'!$D$6:$D$1505,"Feed",'Care log'!$H$6:$H$1505,1))</f>
        <v/>
      </c>
      <c r="U14">
        <f>IF(B14="",0,MAX(N(J14),SUMIFS('Care log'!$B$6:$B$1505,'Care log'!$C$6:$C$1505,$B14,'Care log'!$D$6:$D$1505,"Repot",'Care log'!$H$6:$H$1505,1)))</f>
        <v/>
      </c>
      <c r="V14">
        <f>IF(L14="","",L14+ROW()/10000000)</f>
        <v/>
      </c>
      <c r="W14">
        <f>IF(ISNUMBER(N14),N14+ROW()/10000000,"")</f>
        <v/>
      </c>
      <c r="X14">
        <f>IF(O14="","",O14+ROW()/10000000)</f>
        <v/>
      </c>
    </row>
    <row r="15">
      <c r="A15" s="1" t="n"/>
      <c r="B15" s="17" t="inlineStr">
        <is>
          <t>Fern</t>
        </is>
      </c>
      <c r="C15" s="18" t="inlineStr">
        <is>
          <t>Boston fern</t>
        </is>
      </c>
      <c r="D15" s="18" t="inlineStr">
        <is>
          <t>Bathroom</t>
        </is>
      </c>
      <c r="E15" s="18" t="inlineStr">
        <is>
          <t>Medium</t>
        </is>
      </c>
      <c r="F15" s="19" t="n">
        <v>3</v>
      </c>
      <c r="G15" s="19" t="n">
        <v>5</v>
      </c>
      <c r="H15" s="19" t="n">
        <v>30</v>
      </c>
      <c r="I15" s="19" t="n">
        <v>24</v>
      </c>
      <c r="J15" s="20" t="n">
        <v>46113</v>
      </c>
      <c r="K15" s="21">
        <f>IF(B15="","",IF(SUMIFS('Care log'!$B$6:$B$1505,'Care log'!$C$6:$C$1505,$B15,'Care log'!$D$6:$D$1505,"Water",'Care log'!$H$6:$H$1505,1)=0,"",SUMIFS('Care log'!$B$6:$B$1505,'Care log'!$C$6:$C$1505,$B15,'Care log'!$D$6:$D$1505,"Water",'Care log'!$H$6:$H$1505,1)))</f>
        <v/>
      </c>
      <c r="L15" s="22">
        <f>IF(OR(K15="",N(S15)=0),"",K15+S15)</f>
        <v/>
      </c>
      <c r="M15" s="13">
        <f>IF(B15="","",IF(L15="",IF(N(S15)=0,"","Not logged yet"),IF(L15&lt;TODAY(),"Late "&amp;(TODAY()-L15)&amp;IF((TODAY()-L15)=1," day"," days"),IF(L15=TODAY(),"Today","In "&amp;(L15-TODAY())&amp;IF((L15-TODAY())=1," day"," days")))))</f>
        <v/>
      </c>
      <c r="N15" s="22">
        <f>IF(OR(B15="",N(H15)=0),"",IF(Settings!$C$7=0,"Resting",IF(T15=0,TODAY(),T15+H15)))</f>
        <v/>
      </c>
      <c r="O15" s="23">
        <f>IF(OR(B15="",N(I15)=0,N(U15)=0),"",EDATE(U15,I15))</f>
        <v/>
      </c>
      <c r="P15" s="18" t="inlineStr">
        <is>
          <t>Likes the steam</t>
        </is>
      </c>
      <c r="Q15" s="1" t="n"/>
      <c r="S15">
        <f>IF(B15="",0,IF(Settings!$C$7=1,N(F15),IF(G15="",N(F15),N(G15))))</f>
        <v/>
      </c>
      <c r="T15">
        <f>IF(B15="",0,SUMIFS('Care log'!$B$6:$B$1505,'Care log'!$C$6:$C$1505,$B15,'Care log'!$D$6:$D$1505,"Feed",'Care log'!$H$6:$H$1505,1))</f>
        <v/>
      </c>
      <c r="U15">
        <f>IF(B15="",0,MAX(N(J15),SUMIFS('Care log'!$B$6:$B$1505,'Care log'!$C$6:$C$1505,$B15,'Care log'!$D$6:$D$1505,"Repot",'Care log'!$H$6:$H$1505,1)))</f>
        <v/>
      </c>
      <c r="V15">
        <f>IF(L15="","",L15+ROW()/10000000)</f>
        <v/>
      </c>
      <c r="W15">
        <f>IF(ISNUMBER(N15),N15+ROW()/10000000,"")</f>
        <v/>
      </c>
      <c r="X15">
        <f>IF(O15="","",O15+ROW()/10000000)</f>
        <v/>
      </c>
    </row>
    <row r="16">
      <c r="A16" s="1" t="n"/>
      <c r="B16" s="17" t="inlineStr">
        <is>
          <t>Ruby</t>
        </is>
      </c>
      <c r="C16" s="18" t="inlineStr">
        <is>
          <t>Rubber plant</t>
        </is>
      </c>
      <c r="D16" s="18" t="inlineStr">
        <is>
          <t>Office</t>
        </is>
      </c>
      <c r="E16" s="18" t="inlineStr">
        <is>
          <t>Bright indirect</t>
        </is>
      </c>
      <c r="F16" s="19" t="n">
        <v>8</v>
      </c>
      <c r="G16" s="19" t="n">
        <v>12</v>
      </c>
      <c r="H16" s="19" t="n">
        <v>30</v>
      </c>
      <c r="I16" s="19" t="n">
        <v>24</v>
      </c>
      <c r="J16" s="20" t="n">
        <v>45793</v>
      </c>
      <c r="K16" s="21">
        <f>IF(B16="","",IF(SUMIFS('Care log'!$B$6:$B$1505,'Care log'!$C$6:$C$1505,$B16,'Care log'!$D$6:$D$1505,"Water",'Care log'!$H$6:$H$1505,1)=0,"",SUMIFS('Care log'!$B$6:$B$1505,'Care log'!$C$6:$C$1505,$B16,'Care log'!$D$6:$D$1505,"Water",'Care log'!$H$6:$H$1505,1)))</f>
        <v/>
      </c>
      <c r="L16" s="22">
        <f>IF(OR(K16="",N(S16)=0),"",K16+S16)</f>
        <v/>
      </c>
      <c r="M16" s="13">
        <f>IF(B16="","",IF(L16="",IF(N(S16)=0,"","Not logged yet"),IF(L16&lt;TODAY(),"Late "&amp;(TODAY()-L16)&amp;IF((TODAY()-L16)=1," day"," days"),IF(L16=TODAY(),"Today","In "&amp;(L16-TODAY())&amp;IF((L16-TODAY())=1," day"," days")))))</f>
        <v/>
      </c>
      <c r="N16" s="22">
        <f>IF(OR(B16="",N(H16)=0),"",IF(Settings!$C$7=0,"Resting",IF(T16=0,TODAY(),T16+H16)))</f>
        <v/>
      </c>
      <c r="O16" s="23">
        <f>IF(OR(B16="",N(I16)=0,N(U16)=0),"",EDATE(U16,I16))</f>
        <v/>
      </c>
      <c r="P16" s="18" t="n"/>
      <c r="Q16" s="1" t="n"/>
      <c r="S16">
        <f>IF(B16="",0,IF(Settings!$C$7=1,N(F16),IF(G16="",N(F16),N(G16))))</f>
        <v/>
      </c>
      <c r="T16">
        <f>IF(B16="",0,SUMIFS('Care log'!$B$6:$B$1505,'Care log'!$C$6:$C$1505,$B16,'Care log'!$D$6:$D$1505,"Feed",'Care log'!$H$6:$H$1505,1))</f>
        <v/>
      </c>
      <c r="U16">
        <f>IF(B16="",0,MAX(N(J16),SUMIFS('Care log'!$B$6:$B$1505,'Care log'!$C$6:$C$1505,$B16,'Care log'!$D$6:$D$1505,"Repot",'Care log'!$H$6:$H$1505,1)))</f>
        <v/>
      </c>
      <c r="V16">
        <f>IF(L16="","",L16+ROW()/10000000)</f>
        <v/>
      </c>
      <c r="W16">
        <f>IF(ISNUMBER(N16),N16+ROW()/10000000,"")</f>
        <v/>
      </c>
      <c r="X16">
        <f>IF(O16="","",O16+ROW()/10000000)</f>
        <v/>
      </c>
    </row>
    <row r="17">
      <c r="A17" s="1" t="n"/>
      <c r="B17" s="17" t="inlineStr">
        <is>
          <t>Basil</t>
        </is>
      </c>
      <c r="C17" s="18" t="inlineStr">
        <is>
          <t>Sweet basil</t>
        </is>
      </c>
      <c r="D17" s="18" t="inlineStr">
        <is>
          <t>Kitchen window</t>
        </is>
      </c>
      <c r="E17" s="18" t="inlineStr">
        <is>
          <t>Direct sun</t>
        </is>
      </c>
      <c r="F17" s="19" t="n">
        <v>2</v>
      </c>
      <c r="G17" s="19" t="n">
        <v>3</v>
      </c>
      <c r="H17" s="19" t="n">
        <v>14</v>
      </c>
      <c r="I17" s="19" t="n"/>
      <c r="J17" s="20" t="n"/>
      <c r="K17" s="21">
        <f>IF(B17="","",IF(SUMIFS('Care log'!$B$6:$B$1505,'Care log'!$C$6:$C$1505,$B17,'Care log'!$D$6:$D$1505,"Water",'Care log'!$H$6:$H$1505,1)=0,"",SUMIFS('Care log'!$B$6:$B$1505,'Care log'!$C$6:$C$1505,$B17,'Care log'!$D$6:$D$1505,"Water",'Care log'!$H$6:$H$1505,1)))</f>
        <v/>
      </c>
      <c r="L17" s="22">
        <f>IF(OR(K17="",N(S17)=0),"",K17+S17)</f>
        <v/>
      </c>
      <c r="M17" s="13">
        <f>IF(B17="","",IF(L17="",IF(N(S17)=0,"","Not logged yet"),IF(L17&lt;TODAY(),"Late "&amp;(TODAY()-L17)&amp;IF((TODAY()-L17)=1," day"," days"),IF(L17=TODAY(),"Today","In "&amp;(L17-TODAY())&amp;IF((L17-TODAY())=1," day"," days")))))</f>
        <v/>
      </c>
      <c r="N17" s="22">
        <f>IF(OR(B17="",N(H17)=0),"",IF(Settings!$C$7=0,"Resting",IF(T17=0,TODAY(),T17+H17)))</f>
        <v/>
      </c>
      <c r="O17" s="23">
        <f>IF(OR(B17="",N(I17)=0,N(U17)=0),"",EDATE(U17,I17))</f>
        <v/>
      </c>
      <c r="P17" s="18" t="inlineStr">
        <is>
          <t>Pick the tips</t>
        </is>
      </c>
      <c r="Q17" s="1" t="n"/>
      <c r="S17">
        <f>IF(B17="",0,IF(Settings!$C$7=1,N(F17),IF(G17="",N(F17),N(G17))))</f>
        <v/>
      </c>
      <c r="T17">
        <f>IF(B17="",0,SUMIFS('Care log'!$B$6:$B$1505,'Care log'!$C$6:$C$1505,$B17,'Care log'!$D$6:$D$1505,"Feed",'Care log'!$H$6:$H$1505,1))</f>
        <v/>
      </c>
      <c r="U17">
        <f>IF(B17="",0,MAX(N(J17),SUMIFS('Care log'!$B$6:$B$1505,'Care log'!$C$6:$C$1505,$B17,'Care log'!$D$6:$D$1505,"Repot",'Care log'!$H$6:$H$1505,1)))</f>
        <v/>
      </c>
      <c r="V17">
        <f>IF(L17="","",L17+ROW()/10000000)</f>
        <v/>
      </c>
      <c r="W17">
        <f>IF(ISNUMBER(N17),N17+ROW()/10000000,"")</f>
        <v/>
      </c>
      <c r="X17">
        <f>IF(O17="","",O17+ROW()/10000000)</f>
        <v/>
      </c>
    </row>
    <row r="18">
      <c r="A18" s="1" t="n"/>
      <c r="B18" s="17" t="inlineStr">
        <is>
          <t>Spidey</t>
        </is>
      </c>
      <c r="C18" s="18" t="inlineStr">
        <is>
          <t>Spider plant</t>
        </is>
      </c>
      <c r="D18" s="18" t="inlineStr">
        <is>
          <t>Living room</t>
        </is>
      </c>
      <c r="E18" s="18" t="inlineStr">
        <is>
          <t>Medium</t>
        </is>
      </c>
      <c r="F18" s="19" t="n">
        <v>6</v>
      </c>
      <c r="G18" s="19" t="n">
        <v>10</v>
      </c>
      <c r="H18" s="19" t="n">
        <v>30</v>
      </c>
      <c r="I18" s="19" t="n">
        <v>24</v>
      </c>
      <c r="J18" s="20" t="n">
        <v>46173</v>
      </c>
      <c r="K18" s="21">
        <f>IF(B18="","",IF(SUMIFS('Care log'!$B$6:$B$1505,'Care log'!$C$6:$C$1505,$B18,'Care log'!$D$6:$D$1505,"Water",'Care log'!$H$6:$H$1505,1)=0,"",SUMIFS('Care log'!$B$6:$B$1505,'Care log'!$C$6:$C$1505,$B18,'Care log'!$D$6:$D$1505,"Water",'Care log'!$H$6:$H$1505,1)))</f>
        <v/>
      </c>
      <c r="L18" s="22">
        <f>IF(OR(K18="",N(S18)=0),"",K18+S18)</f>
        <v/>
      </c>
      <c r="M18" s="13">
        <f>IF(B18="","",IF(L18="",IF(N(S18)=0,"","Not logged yet"),IF(L18&lt;TODAY(),"Late "&amp;(TODAY()-L18)&amp;IF((TODAY()-L18)=1," day"," days"),IF(L18=TODAY(),"Today","In "&amp;(L18-TODAY())&amp;IF((L18-TODAY())=1," day"," days")))))</f>
        <v/>
      </c>
      <c r="N18" s="22">
        <f>IF(OR(B18="",N(H18)=0),"",IF(Settings!$C$7=0,"Resting",IF(T18=0,TODAY(),T18+H18)))</f>
        <v/>
      </c>
      <c r="O18" s="23">
        <f>IF(OR(B18="",N(I18)=0,N(U18)=0),"",EDATE(U18,I18))</f>
        <v/>
      </c>
      <c r="P18" s="18" t="inlineStr">
        <is>
          <t>Babies to pot up</t>
        </is>
      </c>
      <c r="Q18" s="1" t="n"/>
      <c r="S18">
        <f>IF(B18="",0,IF(Settings!$C$7=1,N(F18),IF(G18="",N(F18),N(G18))))</f>
        <v/>
      </c>
      <c r="T18">
        <f>IF(B18="",0,SUMIFS('Care log'!$B$6:$B$1505,'Care log'!$C$6:$C$1505,$B18,'Care log'!$D$6:$D$1505,"Feed",'Care log'!$H$6:$H$1505,1))</f>
        <v/>
      </c>
      <c r="U18">
        <f>IF(B18="",0,MAX(N(J18),SUMIFS('Care log'!$B$6:$B$1505,'Care log'!$C$6:$C$1505,$B18,'Care log'!$D$6:$D$1505,"Repot",'Care log'!$H$6:$H$1505,1)))</f>
        <v/>
      </c>
      <c r="V18">
        <f>IF(L18="","",L18+ROW()/10000000)</f>
        <v/>
      </c>
      <c r="W18">
        <f>IF(ISNUMBER(N18),N18+ROW()/10000000,"")</f>
        <v/>
      </c>
      <c r="X18">
        <f>IF(O18="","",O18+ROW()/10000000)</f>
        <v/>
      </c>
    </row>
    <row r="19">
      <c r="A19" s="1" t="n"/>
      <c r="B19" s="17" t="inlineStr">
        <is>
          <t>Echo</t>
        </is>
      </c>
      <c r="C19" s="18" t="inlineStr">
        <is>
          <t>Echeveria</t>
        </is>
      </c>
      <c r="D19" s="18" t="inlineStr">
        <is>
          <t>Office window</t>
        </is>
      </c>
      <c r="E19" s="18" t="inlineStr">
        <is>
          <t>Direct sun</t>
        </is>
      </c>
      <c r="F19" s="19" t="n">
        <v>12</v>
      </c>
      <c r="G19" s="19" t="n">
        <v>25</v>
      </c>
      <c r="H19" s="19" t="n">
        <v>60</v>
      </c>
      <c r="I19" s="19" t="n">
        <v>36</v>
      </c>
      <c r="J19" s="20" t="n">
        <v>46203</v>
      </c>
      <c r="K19" s="21">
        <f>IF(B19="","",IF(SUMIFS('Care log'!$B$6:$B$1505,'Care log'!$C$6:$C$1505,$B19,'Care log'!$D$6:$D$1505,"Water",'Care log'!$H$6:$H$1505,1)=0,"",SUMIFS('Care log'!$B$6:$B$1505,'Care log'!$C$6:$C$1505,$B19,'Care log'!$D$6:$D$1505,"Water",'Care log'!$H$6:$H$1505,1)))</f>
        <v/>
      </c>
      <c r="L19" s="22">
        <f>IF(OR(K19="",N(S19)=0),"",K19+S19)</f>
        <v/>
      </c>
      <c r="M19" s="13">
        <f>IF(B19="","",IF(L19="",IF(N(S19)=0,"","Not logged yet"),IF(L19&lt;TODAY(),"Late "&amp;(TODAY()-L19)&amp;IF((TODAY()-L19)=1," day"," days"),IF(L19=TODAY(),"Today","In "&amp;(L19-TODAY())&amp;IF((L19-TODAY())=1," day"," days")))))</f>
        <v/>
      </c>
      <c r="N19" s="22">
        <f>IF(OR(B19="",N(H19)=0),"",IF(Settings!$C$7=0,"Resting",IF(T19=0,TODAY(),T19+H19)))</f>
        <v/>
      </c>
      <c r="O19" s="23">
        <f>IF(OR(B19="",N(I19)=0,N(U19)=0),"",EDATE(U19,I19))</f>
        <v/>
      </c>
      <c r="P19" s="18" t="n"/>
      <c r="Q19" s="1" t="n"/>
      <c r="S19">
        <f>IF(B19="",0,IF(Settings!$C$7=1,N(F19),IF(G19="",N(F19),N(G19))))</f>
        <v/>
      </c>
      <c r="T19">
        <f>IF(B19="",0,SUMIFS('Care log'!$B$6:$B$1505,'Care log'!$C$6:$C$1505,$B19,'Care log'!$D$6:$D$1505,"Feed",'Care log'!$H$6:$H$1505,1))</f>
        <v/>
      </c>
      <c r="U19">
        <f>IF(B19="",0,MAX(N(J19),SUMIFS('Care log'!$B$6:$B$1505,'Care log'!$C$6:$C$1505,$B19,'Care log'!$D$6:$D$1505,"Repot",'Care log'!$H$6:$H$1505,1)))</f>
        <v/>
      </c>
      <c r="V19">
        <f>IF(L19="","",L19+ROW()/10000000)</f>
        <v/>
      </c>
      <c r="W19">
        <f>IF(ISNUMBER(N19),N19+ROW()/10000000,"")</f>
        <v/>
      </c>
      <c r="X19">
        <f>IF(O19="","",O19+ROW()/10000000)</f>
        <v/>
      </c>
    </row>
    <row r="20">
      <c r="A20" s="1" t="n"/>
      <c r="B20" s="17" t="n"/>
      <c r="C20" s="18" t="n"/>
      <c r="D20" s="18" t="n"/>
      <c r="E20" s="18" t="n"/>
      <c r="F20" s="19" t="n"/>
      <c r="G20" s="19" t="n"/>
      <c r="H20" s="19" t="n"/>
      <c r="I20" s="19" t="n"/>
      <c r="J20" s="20" t="n"/>
      <c r="K20" s="21">
        <f>IF(B20="","",IF(SUMIFS('Care log'!$B$6:$B$1505,'Care log'!$C$6:$C$1505,$B20,'Care log'!$D$6:$D$1505,"Water",'Care log'!$H$6:$H$1505,1)=0,"",SUMIFS('Care log'!$B$6:$B$1505,'Care log'!$C$6:$C$1505,$B20,'Care log'!$D$6:$D$1505,"Water",'Care log'!$H$6:$H$1505,1)))</f>
        <v/>
      </c>
      <c r="L20" s="22">
        <f>IF(OR(K20="",N(S20)=0),"",K20+S20)</f>
        <v/>
      </c>
      <c r="M20" s="13">
        <f>IF(B20="","",IF(L20="",IF(N(S20)=0,"","Not logged yet"),IF(L20&lt;TODAY(),"Late "&amp;(TODAY()-L20)&amp;IF((TODAY()-L20)=1," day"," days"),IF(L20=TODAY(),"Today","In "&amp;(L20-TODAY())&amp;IF((L20-TODAY())=1," day"," days")))))</f>
        <v/>
      </c>
      <c r="N20" s="22">
        <f>IF(OR(B20="",N(H20)=0),"",IF(Settings!$C$7=0,"Resting",IF(T20=0,TODAY(),T20+H20)))</f>
        <v/>
      </c>
      <c r="O20" s="23">
        <f>IF(OR(B20="",N(I20)=0,N(U20)=0),"",EDATE(U20,I20))</f>
        <v/>
      </c>
      <c r="P20" s="18" t="n"/>
      <c r="Q20" s="1" t="n"/>
      <c r="S20">
        <f>IF(B20="",0,IF(Settings!$C$7=1,N(F20),IF(G20="",N(F20),N(G20))))</f>
        <v/>
      </c>
      <c r="T20">
        <f>IF(B20="",0,SUMIFS('Care log'!$B$6:$B$1505,'Care log'!$C$6:$C$1505,$B20,'Care log'!$D$6:$D$1505,"Feed",'Care log'!$H$6:$H$1505,1))</f>
        <v/>
      </c>
      <c r="U20">
        <f>IF(B20="",0,MAX(N(J20),SUMIFS('Care log'!$B$6:$B$1505,'Care log'!$C$6:$C$1505,$B20,'Care log'!$D$6:$D$1505,"Repot",'Care log'!$H$6:$H$1505,1)))</f>
        <v/>
      </c>
      <c r="V20">
        <f>IF(L20="","",L20+ROW()/10000000)</f>
        <v/>
      </c>
      <c r="W20">
        <f>IF(ISNUMBER(N20),N20+ROW()/10000000,"")</f>
        <v/>
      </c>
      <c r="X20">
        <f>IF(O20="","",O20+ROW()/10000000)</f>
        <v/>
      </c>
    </row>
    <row r="21">
      <c r="A21" s="1" t="n"/>
      <c r="B21" s="17" t="n"/>
      <c r="C21" s="18" t="n"/>
      <c r="D21" s="18" t="n"/>
      <c r="E21" s="18" t="n"/>
      <c r="F21" s="19" t="n"/>
      <c r="G21" s="19" t="n"/>
      <c r="H21" s="19" t="n"/>
      <c r="I21" s="19" t="n"/>
      <c r="J21" s="20" t="n"/>
      <c r="K21" s="21">
        <f>IF(B21="","",IF(SUMIFS('Care log'!$B$6:$B$1505,'Care log'!$C$6:$C$1505,$B21,'Care log'!$D$6:$D$1505,"Water",'Care log'!$H$6:$H$1505,1)=0,"",SUMIFS('Care log'!$B$6:$B$1505,'Care log'!$C$6:$C$1505,$B21,'Care log'!$D$6:$D$1505,"Water",'Care log'!$H$6:$H$1505,1)))</f>
        <v/>
      </c>
      <c r="L21" s="22">
        <f>IF(OR(K21="",N(S21)=0),"",K21+S21)</f>
        <v/>
      </c>
      <c r="M21" s="13">
        <f>IF(B21="","",IF(L21="",IF(N(S21)=0,"","Not logged yet"),IF(L21&lt;TODAY(),"Late "&amp;(TODAY()-L21)&amp;IF((TODAY()-L21)=1," day"," days"),IF(L21=TODAY(),"Today","In "&amp;(L21-TODAY())&amp;IF((L21-TODAY())=1," day"," days")))))</f>
        <v/>
      </c>
      <c r="N21" s="22">
        <f>IF(OR(B21="",N(H21)=0),"",IF(Settings!$C$7=0,"Resting",IF(T21=0,TODAY(),T21+H21)))</f>
        <v/>
      </c>
      <c r="O21" s="23">
        <f>IF(OR(B21="",N(I21)=0,N(U21)=0),"",EDATE(U21,I21))</f>
        <v/>
      </c>
      <c r="P21" s="18" t="n"/>
      <c r="Q21" s="1" t="n"/>
      <c r="S21">
        <f>IF(B21="",0,IF(Settings!$C$7=1,N(F21),IF(G21="",N(F21),N(G21))))</f>
        <v/>
      </c>
      <c r="T21">
        <f>IF(B21="",0,SUMIFS('Care log'!$B$6:$B$1505,'Care log'!$C$6:$C$1505,$B21,'Care log'!$D$6:$D$1505,"Feed",'Care log'!$H$6:$H$1505,1))</f>
        <v/>
      </c>
      <c r="U21">
        <f>IF(B21="",0,MAX(N(J21),SUMIFS('Care log'!$B$6:$B$1505,'Care log'!$C$6:$C$1505,$B21,'Care log'!$D$6:$D$1505,"Repot",'Care log'!$H$6:$H$1505,1)))</f>
        <v/>
      </c>
      <c r="V21">
        <f>IF(L21="","",L21+ROW()/10000000)</f>
        <v/>
      </c>
      <c r="W21">
        <f>IF(ISNUMBER(N21),N21+ROW()/10000000,"")</f>
        <v/>
      </c>
      <c r="X21">
        <f>IF(O21="","",O21+ROW()/10000000)</f>
        <v/>
      </c>
    </row>
    <row r="22">
      <c r="A22" s="1" t="n"/>
      <c r="B22" s="17" t="n"/>
      <c r="C22" s="18" t="n"/>
      <c r="D22" s="18" t="n"/>
      <c r="E22" s="18" t="n"/>
      <c r="F22" s="19" t="n"/>
      <c r="G22" s="19" t="n"/>
      <c r="H22" s="19" t="n"/>
      <c r="I22" s="19" t="n"/>
      <c r="J22" s="20" t="n"/>
      <c r="K22" s="21">
        <f>IF(B22="","",IF(SUMIFS('Care log'!$B$6:$B$1505,'Care log'!$C$6:$C$1505,$B22,'Care log'!$D$6:$D$1505,"Water",'Care log'!$H$6:$H$1505,1)=0,"",SUMIFS('Care log'!$B$6:$B$1505,'Care log'!$C$6:$C$1505,$B22,'Care log'!$D$6:$D$1505,"Water",'Care log'!$H$6:$H$1505,1)))</f>
        <v/>
      </c>
      <c r="L22" s="22">
        <f>IF(OR(K22="",N(S22)=0),"",K22+S22)</f>
        <v/>
      </c>
      <c r="M22" s="13">
        <f>IF(B22="","",IF(L22="",IF(N(S22)=0,"","Not logged yet"),IF(L22&lt;TODAY(),"Late "&amp;(TODAY()-L22)&amp;IF((TODAY()-L22)=1," day"," days"),IF(L22=TODAY(),"Today","In "&amp;(L22-TODAY())&amp;IF((L22-TODAY())=1," day"," days")))))</f>
        <v/>
      </c>
      <c r="N22" s="22">
        <f>IF(OR(B22="",N(H22)=0),"",IF(Settings!$C$7=0,"Resting",IF(T22=0,TODAY(),T22+H22)))</f>
        <v/>
      </c>
      <c r="O22" s="23">
        <f>IF(OR(B22="",N(I22)=0,N(U22)=0),"",EDATE(U22,I22))</f>
        <v/>
      </c>
      <c r="P22" s="18" t="n"/>
      <c r="Q22" s="1" t="n"/>
      <c r="S22">
        <f>IF(B22="",0,IF(Settings!$C$7=1,N(F22),IF(G22="",N(F22),N(G22))))</f>
        <v/>
      </c>
      <c r="T22">
        <f>IF(B22="",0,SUMIFS('Care log'!$B$6:$B$1505,'Care log'!$C$6:$C$1505,$B22,'Care log'!$D$6:$D$1505,"Feed",'Care log'!$H$6:$H$1505,1))</f>
        <v/>
      </c>
      <c r="U22">
        <f>IF(B22="",0,MAX(N(J22),SUMIFS('Care log'!$B$6:$B$1505,'Care log'!$C$6:$C$1505,$B22,'Care log'!$D$6:$D$1505,"Repot",'Care log'!$H$6:$H$1505,1)))</f>
        <v/>
      </c>
      <c r="V22">
        <f>IF(L22="","",L22+ROW()/10000000)</f>
        <v/>
      </c>
      <c r="W22">
        <f>IF(ISNUMBER(N22),N22+ROW()/10000000,"")</f>
        <v/>
      </c>
      <c r="X22">
        <f>IF(O22="","",O22+ROW()/10000000)</f>
        <v/>
      </c>
    </row>
    <row r="23">
      <c r="A23" s="1" t="n"/>
      <c r="B23" s="17" t="n"/>
      <c r="C23" s="18" t="n"/>
      <c r="D23" s="18" t="n"/>
      <c r="E23" s="18" t="n"/>
      <c r="F23" s="19" t="n"/>
      <c r="G23" s="19" t="n"/>
      <c r="H23" s="19" t="n"/>
      <c r="I23" s="19" t="n"/>
      <c r="J23" s="20" t="n"/>
      <c r="K23" s="21">
        <f>IF(B23="","",IF(SUMIFS('Care log'!$B$6:$B$1505,'Care log'!$C$6:$C$1505,$B23,'Care log'!$D$6:$D$1505,"Water",'Care log'!$H$6:$H$1505,1)=0,"",SUMIFS('Care log'!$B$6:$B$1505,'Care log'!$C$6:$C$1505,$B23,'Care log'!$D$6:$D$1505,"Water",'Care log'!$H$6:$H$1505,1)))</f>
        <v/>
      </c>
      <c r="L23" s="22">
        <f>IF(OR(K23="",N(S23)=0),"",K23+S23)</f>
        <v/>
      </c>
      <c r="M23" s="13">
        <f>IF(B23="","",IF(L23="",IF(N(S23)=0,"","Not logged yet"),IF(L23&lt;TODAY(),"Late "&amp;(TODAY()-L23)&amp;IF((TODAY()-L23)=1," day"," days"),IF(L23=TODAY(),"Today","In "&amp;(L23-TODAY())&amp;IF((L23-TODAY())=1," day"," days")))))</f>
        <v/>
      </c>
      <c r="N23" s="22">
        <f>IF(OR(B23="",N(H23)=0),"",IF(Settings!$C$7=0,"Resting",IF(T23=0,TODAY(),T23+H23)))</f>
        <v/>
      </c>
      <c r="O23" s="23">
        <f>IF(OR(B23="",N(I23)=0,N(U23)=0),"",EDATE(U23,I23))</f>
        <v/>
      </c>
      <c r="P23" s="18" t="n"/>
      <c r="Q23" s="1" t="n"/>
      <c r="S23">
        <f>IF(B23="",0,IF(Settings!$C$7=1,N(F23),IF(G23="",N(F23),N(G23))))</f>
        <v/>
      </c>
      <c r="T23">
        <f>IF(B23="",0,SUMIFS('Care log'!$B$6:$B$1505,'Care log'!$C$6:$C$1505,$B23,'Care log'!$D$6:$D$1505,"Feed",'Care log'!$H$6:$H$1505,1))</f>
        <v/>
      </c>
      <c r="U23">
        <f>IF(B23="",0,MAX(N(J23),SUMIFS('Care log'!$B$6:$B$1505,'Care log'!$C$6:$C$1505,$B23,'Care log'!$D$6:$D$1505,"Repot",'Care log'!$H$6:$H$1505,1)))</f>
        <v/>
      </c>
      <c r="V23">
        <f>IF(L23="","",L23+ROW()/10000000)</f>
        <v/>
      </c>
      <c r="W23">
        <f>IF(ISNUMBER(N23),N23+ROW()/10000000,"")</f>
        <v/>
      </c>
      <c r="X23">
        <f>IF(O23="","",O23+ROW()/10000000)</f>
        <v/>
      </c>
    </row>
    <row r="24">
      <c r="A24" s="1" t="n"/>
      <c r="B24" s="17" t="n"/>
      <c r="C24" s="18" t="n"/>
      <c r="D24" s="18" t="n"/>
      <c r="E24" s="18" t="n"/>
      <c r="F24" s="19" t="n"/>
      <c r="G24" s="19" t="n"/>
      <c r="H24" s="19" t="n"/>
      <c r="I24" s="19" t="n"/>
      <c r="J24" s="20" t="n"/>
      <c r="K24" s="21">
        <f>IF(B24="","",IF(SUMIFS('Care log'!$B$6:$B$1505,'Care log'!$C$6:$C$1505,$B24,'Care log'!$D$6:$D$1505,"Water",'Care log'!$H$6:$H$1505,1)=0,"",SUMIFS('Care log'!$B$6:$B$1505,'Care log'!$C$6:$C$1505,$B24,'Care log'!$D$6:$D$1505,"Water",'Care log'!$H$6:$H$1505,1)))</f>
        <v/>
      </c>
      <c r="L24" s="22">
        <f>IF(OR(K24="",N(S24)=0),"",K24+S24)</f>
        <v/>
      </c>
      <c r="M24" s="13">
        <f>IF(B24="","",IF(L24="",IF(N(S24)=0,"","Not logged yet"),IF(L24&lt;TODAY(),"Late "&amp;(TODAY()-L24)&amp;IF((TODAY()-L24)=1," day"," days"),IF(L24=TODAY(),"Today","In "&amp;(L24-TODAY())&amp;IF((L24-TODAY())=1," day"," days")))))</f>
        <v/>
      </c>
      <c r="N24" s="22">
        <f>IF(OR(B24="",N(H24)=0),"",IF(Settings!$C$7=0,"Resting",IF(T24=0,TODAY(),T24+H24)))</f>
        <v/>
      </c>
      <c r="O24" s="23">
        <f>IF(OR(B24="",N(I24)=0,N(U24)=0),"",EDATE(U24,I24))</f>
        <v/>
      </c>
      <c r="P24" s="18" t="n"/>
      <c r="Q24" s="1" t="n"/>
      <c r="S24">
        <f>IF(B24="",0,IF(Settings!$C$7=1,N(F24),IF(G24="",N(F24),N(G24))))</f>
        <v/>
      </c>
      <c r="T24">
        <f>IF(B24="",0,SUMIFS('Care log'!$B$6:$B$1505,'Care log'!$C$6:$C$1505,$B24,'Care log'!$D$6:$D$1505,"Feed",'Care log'!$H$6:$H$1505,1))</f>
        <v/>
      </c>
      <c r="U24">
        <f>IF(B24="",0,MAX(N(J24),SUMIFS('Care log'!$B$6:$B$1505,'Care log'!$C$6:$C$1505,$B24,'Care log'!$D$6:$D$1505,"Repot",'Care log'!$H$6:$H$1505,1)))</f>
        <v/>
      </c>
      <c r="V24">
        <f>IF(L24="","",L24+ROW()/10000000)</f>
        <v/>
      </c>
      <c r="W24">
        <f>IF(ISNUMBER(N24),N24+ROW()/10000000,"")</f>
        <v/>
      </c>
      <c r="X24">
        <f>IF(O24="","",O24+ROW()/10000000)</f>
        <v/>
      </c>
    </row>
    <row r="25">
      <c r="A25" s="1" t="n"/>
      <c r="B25" s="17" t="n"/>
      <c r="C25" s="18" t="n"/>
      <c r="D25" s="18" t="n"/>
      <c r="E25" s="18" t="n"/>
      <c r="F25" s="19" t="n"/>
      <c r="G25" s="19" t="n"/>
      <c r="H25" s="19" t="n"/>
      <c r="I25" s="19" t="n"/>
      <c r="J25" s="20" t="n"/>
      <c r="K25" s="21">
        <f>IF(B25="","",IF(SUMIFS('Care log'!$B$6:$B$1505,'Care log'!$C$6:$C$1505,$B25,'Care log'!$D$6:$D$1505,"Water",'Care log'!$H$6:$H$1505,1)=0,"",SUMIFS('Care log'!$B$6:$B$1505,'Care log'!$C$6:$C$1505,$B25,'Care log'!$D$6:$D$1505,"Water",'Care log'!$H$6:$H$1505,1)))</f>
        <v/>
      </c>
      <c r="L25" s="22">
        <f>IF(OR(K25="",N(S25)=0),"",K25+S25)</f>
        <v/>
      </c>
      <c r="M25" s="13">
        <f>IF(B25="","",IF(L25="",IF(N(S25)=0,"","Not logged yet"),IF(L25&lt;TODAY(),"Late "&amp;(TODAY()-L25)&amp;IF((TODAY()-L25)=1," day"," days"),IF(L25=TODAY(),"Today","In "&amp;(L25-TODAY())&amp;IF((L25-TODAY())=1," day"," days")))))</f>
        <v/>
      </c>
      <c r="N25" s="22">
        <f>IF(OR(B25="",N(H25)=0),"",IF(Settings!$C$7=0,"Resting",IF(T25=0,TODAY(),T25+H25)))</f>
        <v/>
      </c>
      <c r="O25" s="23">
        <f>IF(OR(B25="",N(I25)=0,N(U25)=0),"",EDATE(U25,I25))</f>
        <v/>
      </c>
      <c r="P25" s="18" t="n"/>
      <c r="Q25" s="1" t="n"/>
      <c r="S25">
        <f>IF(B25="",0,IF(Settings!$C$7=1,N(F25),IF(G25="",N(F25),N(G25))))</f>
        <v/>
      </c>
      <c r="T25">
        <f>IF(B25="",0,SUMIFS('Care log'!$B$6:$B$1505,'Care log'!$C$6:$C$1505,$B25,'Care log'!$D$6:$D$1505,"Feed",'Care log'!$H$6:$H$1505,1))</f>
        <v/>
      </c>
      <c r="U25">
        <f>IF(B25="",0,MAX(N(J25),SUMIFS('Care log'!$B$6:$B$1505,'Care log'!$C$6:$C$1505,$B25,'Care log'!$D$6:$D$1505,"Repot",'Care log'!$H$6:$H$1505,1)))</f>
        <v/>
      </c>
      <c r="V25">
        <f>IF(L25="","",L25+ROW()/10000000)</f>
        <v/>
      </c>
      <c r="W25">
        <f>IF(ISNUMBER(N25),N25+ROW()/10000000,"")</f>
        <v/>
      </c>
      <c r="X25">
        <f>IF(O25="","",O25+ROW()/10000000)</f>
        <v/>
      </c>
    </row>
    <row r="26">
      <c r="A26" s="1" t="n"/>
      <c r="B26" s="17" t="n"/>
      <c r="C26" s="18" t="n"/>
      <c r="D26" s="18" t="n"/>
      <c r="E26" s="18" t="n"/>
      <c r="F26" s="19" t="n"/>
      <c r="G26" s="19" t="n"/>
      <c r="H26" s="19" t="n"/>
      <c r="I26" s="19" t="n"/>
      <c r="J26" s="20" t="n"/>
      <c r="K26" s="21">
        <f>IF(B26="","",IF(SUMIFS('Care log'!$B$6:$B$1505,'Care log'!$C$6:$C$1505,$B26,'Care log'!$D$6:$D$1505,"Water",'Care log'!$H$6:$H$1505,1)=0,"",SUMIFS('Care log'!$B$6:$B$1505,'Care log'!$C$6:$C$1505,$B26,'Care log'!$D$6:$D$1505,"Water",'Care log'!$H$6:$H$1505,1)))</f>
        <v/>
      </c>
      <c r="L26" s="22">
        <f>IF(OR(K26="",N(S26)=0),"",K26+S26)</f>
        <v/>
      </c>
      <c r="M26" s="13">
        <f>IF(B26="","",IF(L26="",IF(N(S26)=0,"","Not logged yet"),IF(L26&lt;TODAY(),"Late "&amp;(TODAY()-L26)&amp;IF((TODAY()-L26)=1," day"," days"),IF(L26=TODAY(),"Today","In "&amp;(L26-TODAY())&amp;IF((L26-TODAY())=1," day"," days")))))</f>
        <v/>
      </c>
      <c r="N26" s="22">
        <f>IF(OR(B26="",N(H26)=0),"",IF(Settings!$C$7=0,"Resting",IF(T26=0,TODAY(),T26+H26)))</f>
        <v/>
      </c>
      <c r="O26" s="23">
        <f>IF(OR(B26="",N(I26)=0,N(U26)=0),"",EDATE(U26,I26))</f>
        <v/>
      </c>
      <c r="P26" s="18" t="n"/>
      <c r="Q26" s="1" t="n"/>
      <c r="S26">
        <f>IF(B26="",0,IF(Settings!$C$7=1,N(F26),IF(G26="",N(F26),N(G26))))</f>
        <v/>
      </c>
      <c r="T26">
        <f>IF(B26="",0,SUMIFS('Care log'!$B$6:$B$1505,'Care log'!$C$6:$C$1505,$B26,'Care log'!$D$6:$D$1505,"Feed",'Care log'!$H$6:$H$1505,1))</f>
        <v/>
      </c>
      <c r="U26">
        <f>IF(B26="",0,MAX(N(J26),SUMIFS('Care log'!$B$6:$B$1505,'Care log'!$C$6:$C$1505,$B26,'Care log'!$D$6:$D$1505,"Repot",'Care log'!$H$6:$H$1505,1)))</f>
        <v/>
      </c>
      <c r="V26">
        <f>IF(L26="","",L26+ROW()/10000000)</f>
        <v/>
      </c>
      <c r="W26">
        <f>IF(ISNUMBER(N26),N26+ROW()/10000000,"")</f>
        <v/>
      </c>
      <c r="X26">
        <f>IF(O26="","",O26+ROW()/10000000)</f>
        <v/>
      </c>
    </row>
    <row r="27">
      <c r="A27" s="1" t="n"/>
      <c r="B27" s="17" t="n"/>
      <c r="C27" s="18" t="n"/>
      <c r="D27" s="18" t="n"/>
      <c r="E27" s="18" t="n"/>
      <c r="F27" s="19" t="n"/>
      <c r="G27" s="19" t="n"/>
      <c r="H27" s="19" t="n"/>
      <c r="I27" s="19" t="n"/>
      <c r="J27" s="20" t="n"/>
      <c r="K27" s="21">
        <f>IF(B27="","",IF(SUMIFS('Care log'!$B$6:$B$1505,'Care log'!$C$6:$C$1505,$B27,'Care log'!$D$6:$D$1505,"Water",'Care log'!$H$6:$H$1505,1)=0,"",SUMIFS('Care log'!$B$6:$B$1505,'Care log'!$C$6:$C$1505,$B27,'Care log'!$D$6:$D$1505,"Water",'Care log'!$H$6:$H$1505,1)))</f>
        <v/>
      </c>
      <c r="L27" s="22">
        <f>IF(OR(K27="",N(S27)=0),"",K27+S27)</f>
        <v/>
      </c>
      <c r="M27" s="13">
        <f>IF(B27="","",IF(L27="",IF(N(S27)=0,"","Not logged yet"),IF(L27&lt;TODAY(),"Late "&amp;(TODAY()-L27)&amp;IF((TODAY()-L27)=1," day"," days"),IF(L27=TODAY(),"Today","In "&amp;(L27-TODAY())&amp;IF((L27-TODAY())=1," day"," days")))))</f>
        <v/>
      </c>
      <c r="N27" s="22">
        <f>IF(OR(B27="",N(H27)=0),"",IF(Settings!$C$7=0,"Resting",IF(T27=0,TODAY(),T27+H27)))</f>
        <v/>
      </c>
      <c r="O27" s="23">
        <f>IF(OR(B27="",N(I27)=0,N(U27)=0),"",EDATE(U27,I27))</f>
        <v/>
      </c>
      <c r="P27" s="18" t="n"/>
      <c r="Q27" s="1" t="n"/>
      <c r="S27">
        <f>IF(B27="",0,IF(Settings!$C$7=1,N(F27),IF(G27="",N(F27),N(G27))))</f>
        <v/>
      </c>
      <c r="T27">
        <f>IF(B27="",0,SUMIFS('Care log'!$B$6:$B$1505,'Care log'!$C$6:$C$1505,$B27,'Care log'!$D$6:$D$1505,"Feed",'Care log'!$H$6:$H$1505,1))</f>
        <v/>
      </c>
      <c r="U27">
        <f>IF(B27="",0,MAX(N(J27),SUMIFS('Care log'!$B$6:$B$1505,'Care log'!$C$6:$C$1505,$B27,'Care log'!$D$6:$D$1505,"Repot",'Care log'!$H$6:$H$1505,1)))</f>
        <v/>
      </c>
      <c r="V27">
        <f>IF(L27="","",L27+ROW()/10000000)</f>
        <v/>
      </c>
      <c r="W27">
        <f>IF(ISNUMBER(N27),N27+ROW()/10000000,"")</f>
        <v/>
      </c>
      <c r="X27">
        <f>IF(O27="","",O27+ROW()/10000000)</f>
        <v/>
      </c>
    </row>
    <row r="28">
      <c r="A28" s="1" t="n"/>
      <c r="B28" s="17" t="n"/>
      <c r="C28" s="18" t="n"/>
      <c r="D28" s="18" t="n"/>
      <c r="E28" s="18" t="n"/>
      <c r="F28" s="19" t="n"/>
      <c r="G28" s="19" t="n"/>
      <c r="H28" s="19" t="n"/>
      <c r="I28" s="19" t="n"/>
      <c r="J28" s="20" t="n"/>
      <c r="K28" s="21">
        <f>IF(B28="","",IF(SUMIFS('Care log'!$B$6:$B$1505,'Care log'!$C$6:$C$1505,$B28,'Care log'!$D$6:$D$1505,"Water",'Care log'!$H$6:$H$1505,1)=0,"",SUMIFS('Care log'!$B$6:$B$1505,'Care log'!$C$6:$C$1505,$B28,'Care log'!$D$6:$D$1505,"Water",'Care log'!$H$6:$H$1505,1)))</f>
        <v/>
      </c>
      <c r="L28" s="22">
        <f>IF(OR(K28="",N(S28)=0),"",K28+S28)</f>
        <v/>
      </c>
      <c r="M28" s="13">
        <f>IF(B28="","",IF(L28="",IF(N(S28)=0,"","Not logged yet"),IF(L28&lt;TODAY(),"Late "&amp;(TODAY()-L28)&amp;IF((TODAY()-L28)=1," day"," days"),IF(L28=TODAY(),"Today","In "&amp;(L28-TODAY())&amp;IF((L28-TODAY())=1," day"," days")))))</f>
        <v/>
      </c>
      <c r="N28" s="22">
        <f>IF(OR(B28="",N(H28)=0),"",IF(Settings!$C$7=0,"Resting",IF(T28=0,TODAY(),T28+H28)))</f>
        <v/>
      </c>
      <c r="O28" s="23">
        <f>IF(OR(B28="",N(I28)=0,N(U28)=0),"",EDATE(U28,I28))</f>
        <v/>
      </c>
      <c r="P28" s="18" t="n"/>
      <c r="Q28" s="1" t="n"/>
      <c r="S28">
        <f>IF(B28="",0,IF(Settings!$C$7=1,N(F28),IF(G28="",N(F28),N(G28))))</f>
        <v/>
      </c>
      <c r="T28">
        <f>IF(B28="",0,SUMIFS('Care log'!$B$6:$B$1505,'Care log'!$C$6:$C$1505,$B28,'Care log'!$D$6:$D$1505,"Feed",'Care log'!$H$6:$H$1505,1))</f>
        <v/>
      </c>
      <c r="U28">
        <f>IF(B28="",0,MAX(N(J28),SUMIFS('Care log'!$B$6:$B$1505,'Care log'!$C$6:$C$1505,$B28,'Care log'!$D$6:$D$1505,"Repot",'Care log'!$H$6:$H$1505,1)))</f>
        <v/>
      </c>
      <c r="V28">
        <f>IF(L28="","",L28+ROW()/10000000)</f>
        <v/>
      </c>
      <c r="W28">
        <f>IF(ISNUMBER(N28),N28+ROW()/10000000,"")</f>
        <v/>
      </c>
      <c r="X28">
        <f>IF(O28="","",O28+ROW()/10000000)</f>
        <v/>
      </c>
    </row>
    <row r="29">
      <c r="A29" s="1" t="n"/>
      <c r="B29" s="17" t="n"/>
      <c r="C29" s="18" t="n"/>
      <c r="D29" s="18" t="n"/>
      <c r="E29" s="18" t="n"/>
      <c r="F29" s="19" t="n"/>
      <c r="G29" s="19" t="n"/>
      <c r="H29" s="19" t="n"/>
      <c r="I29" s="19" t="n"/>
      <c r="J29" s="20" t="n"/>
      <c r="K29" s="21">
        <f>IF(B29="","",IF(SUMIFS('Care log'!$B$6:$B$1505,'Care log'!$C$6:$C$1505,$B29,'Care log'!$D$6:$D$1505,"Water",'Care log'!$H$6:$H$1505,1)=0,"",SUMIFS('Care log'!$B$6:$B$1505,'Care log'!$C$6:$C$1505,$B29,'Care log'!$D$6:$D$1505,"Water",'Care log'!$H$6:$H$1505,1)))</f>
        <v/>
      </c>
      <c r="L29" s="22">
        <f>IF(OR(K29="",N(S29)=0),"",K29+S29)</f>
        <v/>
      </c>
      <c r="M29" s="13">
        <f>IF(B29="","",IF(L29="",IF(N(S29)=0,"","Not logged yet"),IF(L29&lt;TODAY(),"Late "&amp;(TODAY()-L29)&amp;IF((TODAY()-L29)=1," day"," days"),IF(L29=TODAY(),"Today","In "&amp;(L29-TODAY())&amp;IF((L29-TODAY())=1," day"," days")))))</f>
        <v/>
      </c>
      <c r="N29" s="22">
        <f>IF(OR(B29="",N(H29)=0),"",IF(Settings!$C$7=0,"Resting",IF(T29=0,TODAY(),T29+H29)))</f>
        <v/>
      </c>
      <c r="O29" s="23">
        <f>IF(OR(B29="",N(I29)=0,N(U29)=0),"",EDATE(U29,I29))</f>
        <v/>
      </c>
      <c r="P29" s="18" t="n"/>
      <c r="Q29" s="1" t="n"/>
      <c r="S29">
        <f>IF(B29="",0,IF(Settings!$C$7=1,N(F29),IF(G29="",N(F29),N(G29))))</f>
        <v/>
      </c>
      <c r="T29">
        <f>IF(B29="",0,SUMIFS('Care log'!$B$6:$B$1505,'Care log'!$C$6:$C$1505,$B29,'Care log'!$D$6:$D$1505,"Feed",'Care log'!$H$6:$H$1505,1))</f>
        <v/>
      </c>
      <c r="U29">
        <f>IF(B29="",0,MAX(N(J29),SUMIFS('Care log'!$B$6:$B$1505,'Care log'!$C$6:$C$1505,$B29,'Care log'!$D$6:$D$1505,"Repot",'Care log'!$H$6:$H$1505,1)))</f>
        <v/>
      </c>
      <c r="V29">
        <f>IF(L29="","",L29+ROW()/10000000)</f>
        <v/>
      </c>
      <c r="W29">
        <f>IF(ISNUMBER(N29),N29+ROW()/10000000,"")</f>
        <v/>
      </c>
      <c r="X29">
        <f>IF(O29="","",O29+ROW()/10000000)</f>
        <v/>
      </c>
    </row>
    <row r="30">
      <c r="A30" s="1" t="n"/>
      <c r="B30" s="17" t="n"/>
      <c r="C30" s="18" t="n"/>
      <c r="D30" s="18" t="n"/>
      <c r="E30" s="18" t="n"/>
      <c r="F30" s="19" t="n"/>
      <c r="G30" s="19" t="n"/>
      <c r="H30" s="19" t="n"/>
      <c r="I30" s="19" t="n"/>
      <c r="J30" s="20" t="n"/>
      <c r="K30" s="21">
        <f>IF(B30="","",IF(SUMIFS('Care log'!$B$6:$B$1505,'Care log'!$C$6:$C$1505,$B30,'Care log'!$D$6:$D$1505,"Water",'Care log'!$H$6:$H$1505,1)=0,"",SUMIFS('Care log'!$B$6:$B$1505,'Care log'!$C$6:$C$1505,$B30,'Care log'!$D$6:$D$1505,"Water",'Care log'!$H$6:$H$1505,1)))</f>
        <v/>
      </c>
      <c r="L30" s="22">
        <f>IF(OR(K30="",N(S30)=0),"",K30+S30)</f>
        <v/>
      </c>
      <c r="M30" s="13">
        <f>IF(B30="","",IF(L30="",IF(N(S30)=0,"","Not logged yet"),IF(L30&lt;TODAY(),"Late "&amp;(TODAY()-L30)&amp;IF((TODAY()-L30)=1," day"," days"),IF(L30=TODAY(),"Today","In "&amp;(L30-TODAY())&amp;IF((L30-TODAY())=1," day"," days")))))</f>
        <v/>
      </c>
      <c r="N30" s="22">
        <f>IF(OR(B30="",N(H30)=0),"",IF(Settings!$C$7=0,"Resting",IF(T30=0,TODAY(),T30+H30)))</f>
        <v/>
      </c>
      <c r="O30" s="23">
        <f>IF(OR(B30="",N(I30)=0,N(U30)=0),"",EDATE(U30,I30))</f>
        <v/>
      </c>
      <c r="P30" s="18" t="n"/>
      <c r="Q30" s="1" t="n"/>
      <c r="S30">
        <f>IF(B30="",0,IF(Settings!$C$7=1,N(F30),IF(G30="",N(F30),N(G30))))</f>
        <v/>
      </c>
      <c r="T30">
        <f>IF(B30="",0,SUMIFS('Care log'!$B$6:$B$1505,'Care log'!$C$6:$C$1505,$B30,'Care log'!$D$6:$D$1505,"Feed",'Care log'!$H$6:$H$1505,1))</f>
        <v/>
      </c>
      <c r="U30">
        <f>IF(B30="",0,MAX(N(J30),SUMIFS('Care log'!$B$6:$B$1505,'Care log'!$C$6:$C$1505,$B30,'Care log'!$D$6:$D$1505,"Repot",'Care log'!$H$6:$H$1505,1)))</f>
        <v/>
      </c>
      <c r="V30">
        <f>IF(L30="","",L30+ROW()/10000000)</f>
        <v/>
      </c>
      <c r="W30">
        <f>IF(ISNUMBER(N30),N30+ROW()/10000000,"")</f>
        <v/>
      </c>
      <c r="X30">
        <f>IF(O30="","",O30+ROW()/10000000)</f>
        <v/>
      </c>
    </row>
    <row r="31">
      <c r="A31" s="1" t="n"/>
      <c r="B31" s="17" t="n"/>
      <c r="C31" s="18" t="n"/>
      <c r="D31" s="18" t="n"/>
      <c r="E31" s="18" t="n"/>
      <c r="F31" s="19" t="n"/>
      <c r="G31" s="19" t="n"/>
      <c r="H31" s="19" t="n"/>
      <c r="I31" s="19" t="n"/>
      <c r="J31" s="20" t="n"/>
      <c r="K31" s="21">
        <f>IF(B31="","",IF(SUMIFS('Care log'!$B$6:$B$1505,'Care log'!$C$6:$C$1505,$B31,'Care log'!$D$6:$D$1505,"Water",'Care log'!$H$6:$H$1505,1)=0,"",SUMIFS('Care log'!$B$6:$B$1505,'Care log'!$C$6:$C$1505,$B31,'Care log'!$D$6:$D$1505,"Water",'Care log'!$H$6:$H$1505,1)))</f>
        <v/>
      </c>
      <c r="L31" s="22">
        <f>IF(OR(K31="",N(S31)=0),"",K31+S31)</f>
        <v/>
      </c>
      <c r="M31" s="13">
        <f>IF(B31="","",IF(L31="",IF(N(S31)=0,"","Not logged yet"),IF(L31&lt;TODAY(),"Late "&amp;(TODAY()-L31)&amp;IF((TODAY()-L31)=1," day"," days"),IF(L31=TODAY(),"Today","In "&amp;(L31-TODAY())&amp;IF((L31-TODAY())=1," day"," days")))))</f>
        <v/>
      </c>
      <c r="N31" s="22">
        <f>IF(OR(B31="",N(H31)=0),"",IF(Settings!$C$7=0,"Resting",IF(T31=0,TODAY(),T31+H31)))</f>
        <v/>
      </c>
      <c r="O31" s="23">
        <f>IF(OR(B31="",N(I31)=0,N(U31)=0),"",EDATE(U31,I31))</f>
        <v/>
      </c>
      <c r="P31" s="18" t="n"/>
      <c r="Q31" s="1" t="n"/>
      <c r="S31">
        <f>IF(B31="",0,IF(Settings!$C$7=1,N(F31),IF(G31="",N(F31),N(G31))))</f>
        <v/>
      </c>
      <c r="T31">
        <f>IF(B31="",0,SUMIFS('Care log'!$B$6:$B$1505,'Care log'!$C$6:$C$1505,$B31,'Care log'!$D$6:$D$1505,"Feed",'Care log'!$H$6:$H$1505,1))</f>
        <v/>
      </c>
      <c r="U31">
        <f>IF(B31="",0,MAX(N(J31),SUMIFS('Care log'!$B$6:$B$1505,'Care log'!$C$6:$C$1505,$B31,'Care log'!$D$6:$D$1505,"Repot",'Care log'!$H$6:$H$1505,1)))</f>
        <v/>
      </c>
      <c r="V31">
        <f>IF(L31="","",L31+ROW()/10000000)</f>
        <v/>
      </c>
      <c r="W31">
        <f>IF(ISNUMBER(N31),N31+ROW()/10000000,"")</f>
        <v/>
      </c>
      <c r="X31">
        <f>IF(O31="","",O31+ROW()/10000000)</f>
        <v/>
      </c>
    </row>
    <row r="32">
      <c r="A32" s="1" t="n"/>
      <c r="B32" s="17" t="n"/>
      <c r="C32" s="18" t="n"/>
      <c r="D32" s="18" t="n"/>
      <c r="E32" s="18" t="n"/>
      <c r="F32" s="19" t="n"/>
      <c r="G32" s="19" t="n"/>
      <c r="H32" s="19" t="n"/>
      <c r="I32" s="19" t="n"/>
      <c r="J32" s="20" t="n"/>
      <c r="K32" s="21">
        <f>IF(B32="","",IF(SUMIFS('Care log'!$B$6:$B$1505,'Care log'!$C$6:$C$1505,$B32,'Care log'!$D$6:$D$1505,"Water",'Care log'!$H$6:$H$1505,1)=0,"",SUMIFS('Care log'!$B$6:$B$1505,'Care log'!$C$6:$C$1505,$B32,'Care log'!$D$6:$D$1505,"Water",'Care log'!$H$6:$H$1505,1)))</f>
        <v/>
      </c>
      <c r="L32" s="22">
        <f>IF(OR(K32="",N(S32)=0),"",K32+S32)</f>
        <v/>
      </c>
      <c r="M32" s="13">
        <f>IF(B32="","",IF(L32="",IF(N(S32)=0,"","Not logged yet"),IF(L32&lt;TODAY(),"Late "&amp;(TODAY()-L32)&amp;IF((TODAY()-L32)=1," day"," days"),IF(L32=TODAY(),"Today","In "&amp;(L32-TODAY())&amp;IF((L32-TODAY())=1," day"," days")))))</f>
        <v/>
      </c>
      <c r="N32" s="22">
        <f>IF(OR(B32="",N(H32)=0),"",IF(Settings!$C$7=0,"Resting",IF(T32=0,TODAY(),T32+H32)))</f>
        <v/>
      </c>
      <c r="O32" s="23">
        <f>IF(OR(B32="",N(I32)=0,N(U32)=0),"",EDATE(U32,I32))</f>
        <v/>
      </c>
      <c r="P32" s="18" t="n"/>
      <c r="Q32" s="1" t="n"/>
      <c r="S32">
        <f>IF(B32="",0,IF(Settings!$C$7=1,N(F32),IF(G32="",N(F32),N(G32))))</f>
        <v/>
      </c>
      <c r="T32">
        <f>IF(B32="",0,SUMIFS('Care log'!$B$6:$B$1505,'Care log'!$C$6:$C$1505,$B32,'Care log'!$D$6:$D$1505,"Feed",'Care log'!$H$6:$H$1505,1))</f>
        <v/>
      </c>
      <c r="U32">
        <f>IF(B32="",0,MAX(N(J32),SUMIFS('Care log'!$B$6:$B$1505,'Care log'!$C$6:$C$1505,$B32,'Care log'!$D$6:$D$1505,"Repot",'Care log'!$H$6:$H$1505,1)))</f>
        <v/>
      </c>
      <c r="V32">
        <f>IF(L32="","",L32+ROW()/10000000)</f>
        <v/>
      </c>
      <c r="W32">
        <f>IF(ISNUMBER(N32),N32+ROW()/10000000,"")</f>
        <v/>
      </c>
      <c r="X32">
        <f>IF(O32="","",O32+ROW()/10000000)</f>
        <v/>
      </c>
    </row>
    <row r="33">
      <c r="A33" s="1" t="n"/>
      <c r="B33" s="17" t="n"/>
      <c r="C33" s="18" t="n"/>
      <c r="D33" s="18" t="n"/>
      <c r="E33" s="18" t="n"/>
      <c r="F33" s="19" t="n"/>
      <c r="G33" s="19" t="n"/>
      <c r="H33" s="19" t="n"/>
      <c r="I33" s="19" t="n"/>
      <c r="J33" s="20" t="n"/>
      <c r="K33" s="21">
        <f>IF(B33="","",IF(SUMIFS('Care log'!$B$6:$B$1505,'Care log'!$C$6:$C$1505,$B33,'Care log'!$D$6:$D$1505,"Water",'Care log'!$H$6:$H$1505,1)=0,"",SUMIFS('Care log'!$B$6:$B$1505,'Care log'!$C$6:$C$1505,$B33,'Care log'!$D$6:$D$1505,"Water",'Care log'!$H$6:$H$1505,1)))</f>
        <v/>
      </c>
      <c r="L33" s="22">
        <f>IF(OR(K33="",N(S33)=0),"",K33+S33)</f>
        <v/>
      </c>
      <c r="M33" s="13">
        <f>IF(B33="","",IF(L33="",IF(N(S33)=0,"","Not logged yet"),IF(L33&lt;TODAY(),"Late "&amp;(TODAY()-L33)&amp;IF((TODAY()-L33)=1," day"," days"),IF(L33=TODAY(),"Today","In "&amp;(L33-TODAY())&amp;IF((L33-TODAY())=1," day"," days")))))</f>
        <v/>
      </c>
      <c r="N33" s="22">
        <f>IF(OR(B33="",N(H33)=0),"",IF(Settings!$C$7=0,"Resting",IF(T33=0,TODAY(),T33+H33)))</f>
        <v/>
      </c>
      <c r="O33" s="23">
        <f>IF(OR(B33="",N(I33)=0,N(U33)=0),"",EDATE(U33,I33))</f>
        <v/>
      </c>
      <c r="P33" s="18" t="n"/>
      <c r="Q33" s="1" t="n"/>
      <c r="S33">
        <f>IF(B33="",0,IF(Settings!$C$7=1,N(F33),IF(G33="",N(F33),N(G33))))</f>
        <v/>
      </c>
      <c r="T33">
        <f>IF(B33="",0,SUMIFS('Care log'!$B$6:$B$1505,'Care log'!$C$6:$C$1505,$B33,'Care log'!$D$6:$D$1505,"Feed",'Care log'!$H$6:$H$1505,1))</f>
        <v/>
      </c>
      <c r="U33">
        <f>IF(B33="",0,MAX(N(J33),SUMIFS('Care log'!$B$6:$B$1505,'Care log'!$C$6:$C$1505,$B33,'Care log'!$D$6:$D$1505,"Repot",'Care log'!$H$6:$H$1505,1)))</f>
        <v/>
      </c>
      <c r="V33">
        <f>IF(L33="","",L33+ROW()/10000000)</f>
        <v/>
      </c>
      <c r="W33">
        <f>IF(ISNUMBER(N33),N33+ROW()/10000000,"")</f>
        <v/>
      </c>
      <c r="X33">
        <f>IF(O33="","",O33+ROW()/10000000)</f>
        <v/>
      </c>
    </row>
    <row r="34">
      <c r="A34" s="1" t="n"/>
      <c r="B34" s="17" t="n"/>
      <c r="C34" s="18" t="n"/>
      <c r="D34" s="18" t="n"/>
      <c r="E34" s="18" t="n"/>
      <c r="F34" s="19" t="n"/>
      <c r="G34" s="19" t="n"/>
      <c r="H34" s="19" t="n"/>
      <c r="I34" s="19" t="n"/>
      <c r="J34" s="20" t="n"/>
      <c r="K34" s="21">
        <f>IF(B34="","",IF(SUMIFS('Care log'!$B$6:$B$1505,'Care log'!$C$6:$C$1505,$B34,'Care log'!$D$6:$D$1505,"Water",'Care log'!$H$6:$H$1505,1)=0,"",SUMIFS('Care log'!$B$6:$B$1505,'Care log'!$C$6:$C$1505,$B34,'Care log'!$D$6:$D$1505,"Water",'Care log'!$H$6:$H$1505,1)))</f>
        <v/>
      </c>
      <c r="L34" s="22">
        <f>IF(OR(K34="",N(S34)=0),"",K34+S34)</f>
        <v/>
      </c>
      <c r="M34" s="13">
        <f>IF(B34="","",IF(L34="",IF(N(S34)=0,"","Not logged yet"),IF(L34&lt;TODAY(),"Late "&amp;(TODAY()-L34)&amp;IF((TODAY()-L34)=1," day"," days"),IF(L34=TODAY(),"Today","In "&amp;(L34-TODAY())&amp;IF((L34-TODAY())=1," day"," days")))))</f>
        <v/>
      </c>
      <c r="N34" s="22">
        <f>IF(OR(B34="",N(H34)=0),"",IF(Settings!$C$7=0,"Resting",IF(T34=0,TODAY(),T34+H34)))</f>
        <v/>
      </c>
      <c r="O34" s="23">
        <f>IF(OR(B34="",N(I34)=0,N(U34)=0),"",EDATE(U34,I34))</f>
        <v/>
      </c>
      <c r="P34" s="18" t="n"/>
      <c r="Q34" s="1" t="n"/>
      <c r="S34">
        <f>IF(B34="",0,IF(Settings!$C$7=1,N(F34),IF(G34="",N(F34),N(G34))))</f>
        <v/>
      </c>
      <c r="T34">
        <f>IF(B34="",0,SUMIFS('Care log'!$B$6:$B$1505,'Care log'!$C$6:$C$1505,$B34,'Care log'!$D$6:$D$1505,"Feed",'Care log'!$H$6:$H$1505,1))</f>
        <v/>
      </c>
      <c r="U34">
        <f>IF(B34="",0,MAX(N(J34),SUMIFS('Care log'!$B$6:$B$1505,'Care log'!$C$6:$C$1505,$B34,'Care log'!$D$6:$D$1505,"Repot",'Care log'!$H$6:$H$1505,1)))</f>
        <v/>
      </c>
      <c r="V34">
        <f>IF(L34="","",L34+ROW()/10000000)</f>
        <v/>
      </c>
      <c r="W34">
        <f>IF(ISNUMBER(N34),N34+ROW()/10000000,"")</f>
        <v/>
      </c>
      <c r="X34">
        <f>IF(O34="","",O34+ROW()/10000000)</f>
        <v/>
      </c>
    </row>
    <row r="35">
      <c r="A35" s="1" t="n"/>
      <c r="B35" s="17" t="n"/>
      <c r="C35" s="18" t="n"/>
      <c r="D35" s="18" t="n"/>
      <c r="E35" s="18" t="n"/>
      <c r="F35" s="19" t="n"/>
      <c r="G35" s="19" t="n"/>
      <c r="H35" s="19" t="n"/>
      <c r="I35" s="19" t="n"/>
      <c r="J35" s="20" t="n"/>
      <c r="K35" s="21">
        <f>IF(B35="","",IF(SUMIFS('Care log'!$B$6:$B$1505,'Care log'!$C$6:$C$1505,$B35,'Care log'!$D$6:$D$1505,"Water",'Care log'!$H$6:$H$1505,1)=0,"",SUMIFS('Care log'!$B$6:$B$1505,'Care log'!$C$6:$C$1505,$B35,'Care log'!$D$6:$D$1505,"Water",'Care log'!$H$6:$H$1505,1)))</f>
        <v/>
      </c>
      <c r="L35" s="22">
        <f>IF(OR(K35="",N(S35)=0),"",K35+S35)</f>
        <v/>
      </c>
      <c r="M35" s="13">
        <f>IF(B35="","",IF(L35="",IF(N(S35)=0,"","Not logged yet"),IF(L35&lt;TODAY(),"Late "&amp;(TODAY()-L35)&amp;IF((TODAY()-L35)=1," day"," days"),IF(L35=TODAY(),"Today","In "&amp;(L35-TODAY())&amp;IF((L35-TODAY())=1," day"," days")))))</f>
        <v/>
      </c>
      <c r="N35" s="22">
        <f>IF(OR(B35="",N(H35)=0),"",IF(Settings!$C$7=0,"Resting",IF(T35=0,TODAY(),T35+H35)))</f>
        <v/>
      </c>
      <c r="O35" s="23">
        <f>IF(OR(B35="",N(I35)=0,N(U35)=0),"",EDATE(U35,I35))</f>
        <v/>
      </c>
      <c r="P35" s="18" t="n"/>
      <c r="Q35" s="1" t="n"/>
      <c r="S35">
        <f>IF(B35="",0,IF(Settings!$C$7=1,N(F35),IF(G35="",N(F35),N(G35))))</f>
        <v/>
      </c>
      <c r="T35">
        <f>IF(B35="",0,SUMIFS('Care log'!$B$6:$B$1505,'Care log'!$C$6:$C$1505,$B35,'Care log'!$D$6:$D$1505,"Feed",'Care log'!$H$6:$H$1505,1))</f>
        <v/>
      </c>
      <c r="U35">
        <f>IF(B35="",0,MAX(N(J35),SUMIFS('Care log'!$B$6:$B$1505,'Care log'!$C$6:$C$1505,$B35,'Care log'!$D$6:$D$1505,"Repot",'Care log'!$H$6:$H$1505,1)))</f>
        <v/>
      </c>
      <c r="V35">
        <f>IF(L35="","",L35+ROW()/10000000)</f>
        <v/>
      </c>
      <c r="W35">
        <f>IF(ISNUMBER(N35),N35+ROW()/10000000,"")</f>
        <v/>
      </c>
      <c r="X35">
        <f>IF(O35="","",O35+ROW()/10000000)</f>
        <v/>
      </c>
    </row>
    <row r="36">
      <c r="A36" s="1" t="n"/>
      <c r="B36" s="17" t="n"/>
      <c r="C36" s="18" t="n"/>
      <c r="D36" s="18" t="n"/>
      <c r="E36" s="18" t="n"/>
      <c r="F36" s="19" t="n"/>
      <c r="G36" s="19" t="n"/>
      <c r="H36" s="19" t="n"/>
      <c r="I36" s="19" t="n"/>
      <c r="J36" s="20" t="n"/>
      <c r="K36" s="21">
        <f>IF(B36="","",IF(SUMIFS('Care log'!$B$6:$B$1505,'Care log'!$C$6:$C$1505,$B36,'Care log'!$D$6:$D$1505,"Water",'Care log'!$H$6:$H$1505,1)=0,"",SUMIFS('Care log'!$B$6:$B$1505,'Care log'!$C$6:$C$1505,$B36,'Care log'!$D$6:$D$1505,"Water",'Care log'!$H$6:$H$1505,1)))</f>
        <v/>
      </c>
      <c r="L36" s="22">
        <f>IF(OR(K36="",N(S36)=0),"",K36+S36)</f>
        <v/>
      </c>
      <c r="M36" s="13">
        <f>IF(B36="","",IF(L36="",IF(N(S36)=0,"","Not logged yet"),IF(L36&lt;TODAY(),"Late "&amp;(TODAY()-L36)&amp;IF((TODAY()-L36)=1," day"," days"),IF(L36=TODAY(),"Today","In "&amp;(L36-TODAY())&amp;IF((L36-TODAY())=1," day"," days")))))</f>
        <v/>
      </c>
      <c r="N36" s="22">
        <f>IF(OR(B36="",N(H36)=0),"",IF(Settings!$C$7=0,"Resting",IF(T36=0,TODAY(),T36+H36)))</f>
        <v/>
      </c>
      <c r="O36" s="23">
        <f>IF(OR(B36="",N(I36)=0,N(U36)=0),"",EDATE(U36,I36))</f>
        <v/>
      </c>
      <c r="P36" s="18" t="n"/>
      <c r="Q36" s="1" t="n"/>
      <c r="S36">
        <f>IF(B36="",0,IF(Settings!$C$7=1,N(F36),IF(G36="",N(F36),N(G36))))</f>
        <v/>
      </c>
      <c r="T36">
        <f>IF(B36="",0,SUMIFS('Care log'!$B$6:$B$1505,'Care log'!$C$6:$C$1505,$B36,'Care log'!$D$6:$D$1505,"Feed",'Care log'!$H$6:$H$1505,1))</f>
        <v/>
      </c>
      <c r="U36">
        <f>IF(B36="",0,MAX(N(J36),SUMIFS('Care log'!$B$6:$B$1505,'Care log'!$C$6:$C$1505,$B36,'Care log'!$D$6:$D$1505,"Repot",'Care log'!$H$6:$H$1505,1)))</f>
        <v/>
      </c>
      <c r="V36">
        <f>IF(L36="","",L36+ROW()/10000000)</f>
        <v/>
      </c>
      <c r="W36">
        <f>IF(ISNUMBER(N36),N36+ROW()/10000000,"")</f>
        <v/>
      </c>
      <c r="X36">
        <f>IF(O36="","",O36+ROW()/10000000)</f>
        <v/>
      </c>
    </row>
    <row r="37">
      <c r="A37" s="1" t="n"/>
      <c r="B37" s="17" t="n"/>
      <c r="C37" s="18" t="n"/>
      <c r="D37" s="18" t="n"/>
      <c r="E37" s="18" t="n"/>
      <c r="F37" s="19" t="n"/>
      <c r="G37" s="19" t="n"/>
      <c r="H37" s="19" t="n"/>
      <c r="I37" s="19" t="n"/>
      <c r="J37" s="20" t="n"/>
      <c r="K37" s="21">
        <f>IF(B37="","",IF(SUMIFS('Care log'!$B$6:$B$1505,'Care log'!$C$6:$C$1505,$B37,'Care log'!$D$6:$D$1505,"Water",'Care log'!$H$6:$H$1505,1)=0,"",SUMIFS('Care log'!$B$6:$B$1505,'Care log'!$C$6:$C$1505,$B37,'Care log'!$D$6:$D$1505,"Water",'Care log'!$H$6:$H$1505,1)))</f>
        <v/>
      </c>
      <c r="L37" s="22">
        <f>IF(OR(K37="",N(S37)=0),"",K37+S37)</f>
        <v/>
      </c>
      <c r="M37" s="13">
        <f>IF(B37="","",IF(L37="",IF(N(S37)=0,"","Not logged yet"),IF(L37&lt;TODAY(),"Late "&amp;(TODAY()-L37)&amp;IF((TODAY()-L37)=1," day"," days"),IF(L37=TODAY(),"Today","In "&amp;(L37-TODAY())&amp;IF((L37-TODAY())=1," day"," days")))))</f>
        <v/>
      </c>
      <c r="N37" s="22">
        <f>IF(OR(B37="",N(H37)=0),"",IF(Settings!$C$7=0,"Resting",IF(T37=0,TODAY(),T37+H37)))</f>
        <v/>
      </c>
      <c r="O37" s="23">
        <f>IF(OR(B37="",N(I37)=0,N(U37)=0),"",EDATE(U37,I37))</f>
        <v/>
      </c>
      <c r="P37" s="18" t="n"/>
      <c r="Q37" s="1" t="n"/>
      <c r="S37">
        <f>IF(B37="",0,IF(Settings!$C$7=1,N(F37),IF(G37="",N(F37),N(G37))))</f>
        <v/>
      </c>
      <c r="T37">
        <f>IF(B37="",0,SUMIFS('Care log'!$B$6:$B$1505,'Care log'!$C$6:$C$1505,$B37,'Care log'!$D$6:$D$1505,"Feed",'Care log'!$H$6:$H$1505,1))</f>
        <v/>
      </c>
      <c r="U37">
        <f>IF(B37="",0,MAX(N(J37),SUMIFS('Care log'!$B$6:$B$1505,'Care log'!$C$6:$C$1505,$B37,'Care log'!$D$6:$D$1505,"Repot",'Care log'!$H$6:$H$1505,1)))</f>
        <v/>
      </c>
      <c r="V37">
        <f>IF(L37="","",L37+ROW()/10000000)</f>
        <v/>
      </c>
      <c r="W37">
        <f>IF(ISNUMBER(N37),N37+ROW()/10000000,"")</f>
        <v/>
      </c>
      <c r="X37">
        <f>IF(O37="","",O37+ROW()/10000000)</f>
        <v/>
      </c>
    </row>
    <row r="38">
      <c r="A38" s="1" t="n"/>
      <c r="B38" s="17" t="n"/>
      <c r="C38" s="18" t="n"/>
      <c r="D38" s="18" t="n"/>
      <c r="E38" s="18" t="n"/>
      <c r="F38" s="19" t="n"/>
      <c r="G38" s="19" t="n"/>
      <c r="H38" s="19" t="n"/>
      <c r="I38" s="19" t="n"/>
      <c r="J38" s="20" t="n"/>
      <c r="K38" s="21">
        <f>IF(B38="","",IF(SUMIFS('Care log'!$B$6:$B$1505,'Care log'!$C$6:$C$1505,$B38,'Care log'!$D$6:$D$1505,"Water",'Care log'!$H$6:$H$1505,1)=0,"",SUMIFS('Care log'!$B$6:$B$1505,'Care log'!$C$6:$C$1505,$B38,'Care log'!$D$6:$D$1505,"Water",'Care log'!$H$6:$H$1505,1)))</f>
        <v/>
      </c>
      <c r="L38" s="22">
        <f>IF(OR(K38="",N(S38)=0),"",K38+S38)</f>
        <v/>
      </c>
      <c r="M38" s="13">
        <f>IF(B38="","",IF(L38="",IF(N(S38)=0,"","Not logged yet"),IF(L38&lt;TODAY(),"Late "&amp;(TODAY()-L38)&amp;IF((TODAY()-L38)=1," day"," days"),IF(L38=TODAY(),"Today","In "&amp;(L38-TODAY())&amp;IF((L38-TODAY())=1," day"," days")))))</f>
        <v/>
      </c>
      <c r="N38" s="22">
        <f>IF(OR(B38="",N(H38)=0),"",IF(Settings!$C$7=0,"Resting",IF(T38=0,TODAY(),T38+H38)))</f>
        <v/>
      </c>
      <c r="O38" s="23">
        <f>IF(OR(B38="",N(I38)=0,N(U38)=0),"",EDATE(U38,I38))</f>
        <v/>
      </c>
      <c r="P38" s="18" t="n"/>
      <c r="Q38" s="1" t="n"/>
      <c r="S38">
        <f>IF(B38="",0,IF(Settings!$C$7=1,N(F38),IF(G38="",N(F38),N(G38))))</f>
        <v/>
      </c>
      <c r="T38">
        <f>IF(B38="",0,SUMIFS('Care log'!$B$6:$B$1505,'Care log'!$C$6:$C$1505,$B38,'Care log'!$D$6:$D$1505,"Feed",'Care log'!$H$6:$H$1505,1))</f>
        <v/>
      </c>
      <c r="U38">
        <f>IF(B38="",0,MAX(N(J38),SUMIFS('Care log'!$B$6:$B$1505,'Care log'!$C$6:$C$1505,$B38,'Care log'!$D$6:$D$1505,"Repot",'Care log'!$H$6:$H$1505,1)))</f>
        <v/>
      </c>
      <c r="V38">
        <f>IF(L38="","",L38+ROW()/10000000)</f>
        <v/>
      </c>
      <c r="W38">
        <f>IF(ISNUMBER(N38),N38+ROW()/10000000,"")</f>
        <v/>
      </c>
      <c r="X38">
        <f>IF(O38="","",O38+ROW()/10000000)</f>
        <v/>
      </c>
    </row>
    <row r="39">
      <c r="A39" s="1" t="n"/>
      <c r="B39" s="17" t="n"/>
      <c r="C39" s="18" t="n"/>
      <c r="D39" s="18" t="n"/>
      <c r="E39" s="18" t="n"/>
      <c r="F39" s="19" t="n"/>
      <c r="G39" s="19" t="n"/>
      <c r="H39" s="19" t="n"/>
      <c r="I39" s="19" t="n"/>
      <c r="J39" s="20" t="n"/>
      <c r="K39" s="21">
        <f>IF(B39="","",IF(SUMIFS('Care log'!$B$6:$B$1505,'Care log'!$C$6:$C$1505,$B39,'Care log'!$D$6:$D$1505,"Water",'Care log'!$H$6:$H$1505,1)=0,"",SUMIFS('Care log'!$B$6:$B$1505,'Care log'!$C$6:$C$1505,$B39,'Care log'!$D$6:$D$1505,"Water",'Care log'!$H$6:$H$1505,1)))</f>
        <v/>
      </c>
      <c r="L39" s="22">
        <f>IF(OR(K39="",N(S39)=0),"",K39+S39)</f>
        <v/>
      </c>
      <c r="M39" s="13">
        <f>IF(B39="","",IF(L39="",IF(N(S39)=0,"","Not logged yet"),IF(L39&lt;TODAY(),"Late "&amp;(TODAY()-L39)&amp;IF((TODAY()-L39)=1," day"," days"),IF(L39=TODAY(),"Today","In "&amp;(L39-TODAY())&amp;IF((L39-TODAY())=1," day"," days")))))</f>
        <v/>
      </c>
      <c r="N39" s="22">
        <f>IF(OR(B39="",N(H39)=0),"",IF(Settings!$C$7=0,"Resting",IF(T39=0,TODAY(),T39+H39)))</f>
        <v/>
      </c>
      <c r="O39" s="23">
        <f>IF(OR(B39="",N(I39)=0,N(U39)=0),"",EDATE(U39,I39))</f>
        <v/>
      </c>
      <c r="P39" s="18" t="n"/>
      <c r="Q39" s="1" t="n"/>
      <c r="S39">
        <f>IF(B39="",0,IF(Settings!$C$7=1,N(F39),IF(G39="",N(F39),N(G39))))</f>
        <v/>
      </c>
      <c r="T39">
        <f>IF(B39="",0,SUMIFS('Care log'!$B$6:$B$1505,'Care log'!$C$6:$C$1505,$B39,'Care log'!$D$6:$D$1505,"Feed",'Care log'!$H$6:$H$1505,1))</f>
        <v/>
      </c>
      <c r="U39">
        <f>IF(B39="",0,MAX(N(J39),SUMIFS('Care log'!$B$6:$B$1505,'Care log'!$C$6:$C$1505,$B39,'Care log'!$D$6:$D$1505,"Repot",'Care log'!$H$6:$H$1505,1)))</f>
        <v/>
      </c>
      <c r="V39">
        <f>IF(L39="","",L39+ROW()/10000000)</f>
        <v/>
      </c>
      <c r="W39">
        <f>IF(ISNUMBER(N39),N39+ROW()/10000000,"")</f>
        <v/>
      </c>
      <c r="X39">
        <f>IF(O39="","",O39+ROW()/10000000)</f>
        <v/>
      </c>
    </row>
    <row r="40">
      <c r="A40" s="1" t="n"/>
      <c r="B40" s="17" t="n"/>
      <c r="C40" s="18" t="n"/>
      <c r="D40" s="18" t="n"/>
      <c r="E40" s="18" t="n"/>
      <c r="F40" s="19" t="n"/>
      <c r="G40" s="19" t="n"/>
      <c r="H40" s="19" t="n"/>
      <c r="I40" s="19" t="n"/>
      <c r="J40" s="20" t="n"/>
      <c r="K40" s="21">
        <f>IF(B40="","",IF(SUMIFS('Care log'!$B$6:$B$1505,'Care log'!$C$6:$C$1505,$B40,'Care log'!$D$6:$D$1505,"Water",'Care log'!$H$6:$H$1505,1)=0,"",SUMIFS('Care log'!$B$6:$B$1505,'Care log'!$C$6:$C$1505,$B40,'Care log'!$D$6:$D$1505,"Water",'Care log'!$H$6:$H$1505,1)))</f>
        <v/>
      </c>
      <c r="L40" s="22">
        <f>IF(OR(K40="",N(S40)=0),"",K40+S40)</f>
        <v/>
      </c>
      <c r="M40" s="13">
        <f>IF(B40="","",IF(L40="",IF(N(S40)=0,"","Not logged yet"),IF(L40&lt;TODAY(),"Late "&amp;(TODAY()-L40)&amp;IF((TODAY()-L40)=1," day"," days"),IF(L40=TODAY(),"Today","In "&amp;(L40-TODAY())&amp;IF((L40-TODAY())=1," day"," days")))))</f>
        <v/>
      </c>
      <c r="N40" s="22">
        <f>IF(OR(B40="",N(H40)=0),"",IF(Settings!$C$7=0,"Resting",IF(T40=0,TODAY(),T40+H40)))</f>
        <v/>
      </c>
      <c r="O40" s="23">
        <f>IF(OR(B40="",N(I40)=0,N(U40)=0),"",EDATE(U40,I40))</f>
        <v/>
      </c>
      <c r="P40" s="18" t="n"/>
      <c r="Q40" s="1" t="n"/>
      <c r="S40">
        <f>IF(B40="",0,IF(Settings!$C$7=1,N(F40),IF(G40="",N(F40),N(G40))))</f>
        <v/>
      </c>
      <c r="T40">
        <f>IF(B40="",0,SUMIFS('Care log'!$B$6:$B$1505,'Care log'!$C$6:$C$1505,$B40,'Care log'!$D$6:$D$1505,"Feed",'Care log'!$H$6:$H$1505,1))</f>
        <v/>
      </c>
      <c r="U40">
        <f>IF(B40="",0,MAX(N(J40),SUMIFS('Care log'!$B$6:$B$1505,'Care log'!$C$6:$C$1505,$B40,'Care log'!$D$6:$D$1505,"Repot",'Care log'!$H$6:$H$1505,1)))</f>
        <v/>
      </c>
      <c r="V40">
        <f>IF(L40="","",L40+ROW()/10000000)</f>
        <v/>
      </c>
      <c r="W40">
        <f>IF(ISNUMBER(N40),N40+ROW()/10000000,"")</f>
        <v/>
      </c>
      <c r="X40">
        <f>IF(O40="","",O40+ROW()/10000000)</f>
        <v/>
      </c>
    </row>
    <row r="41">
      <c r="A41" s="1" t="n"/>
      <c r="B41" s="17" t="n"/>
      <c r="C41" s="18" t="n"/>
      <c r="D41" s="18" t="n"/>
      <c r="E41" s="18" t="n"/>
      <c r="F41" s="19" t="n"/>
      <c r="G41" s="19" t="n"/>
      <c r="H41" s="19" t="n"/>
      <c r="I41" s="19" t="n"/>
      <c r="J41" s="20" t="n"/>
      <c r="K41" s="21">
        <f>IF(B41="","",IF(SUMIFS('Care log'!$B$6:$B$1505,'Care log'!$C$6:$C$1505,$B41,'Care log'!$D$6:$D$1505,"Water",'Care log'!$H$6:$H$1505,1)=0,"",SUMIFS('Care log'!$B$6:$B$1505,'Care log'!$C$6:$C$1505,$B41,'Care log'!$D$6:$D$1505,"Water",'Care log'!$H$6:$H$1505,1)))</f>
        <v/>
      </c>
      <c r="L41" s="22">
        <f>IF(OR(K41="",N(S41)=0),"",K41+S41)</f>
        <v/>
      </c>
      <c r="M41" s="13">
        <f>IF(B41="","",IF(L41="",IF(N(S41)=0,"","Not logged yet"),IF(L41&lt;TODAY(),"Late "&amp;(TODAY()-L41)&amp;IF((TODAY()-L41)=1," day"," days"),IF(L41=TODAY(),"Today","In "&amp;(L41-TODAY())&amp;IF((L41-TODAY())=1," day"," days")))))</f>
        <v/>
      </c>
      <c r="N41" s="22">
        <f>IF(OR(B41="",N(H41)=0),"",IF(Settings!$C$7=0,"Resting",IF(T41=0,TODAY(),T41+H41)))</f>
        <v/>
      </c>
      <c r="O41" s="23">
        <f>IF(OR(B41="",N(I41)=0,N(U41)=0),"",EDATE(U41,I41))</f>
        <v/>
      </c>
      <c r="P41" s="18" t="n"/>
      <c r="Q41" s="1" t="n"/>
      <c r="S41">
        <f>IF(B41="",0,IF(Settings!$C$7=1,N(F41),IF(G41="",N(F41),N(G41))))</f>
        <v/>
      </c>
      <c r="T41">
        <f>IF(B41="",0,SUMIFS('Care log'!$B$6:$B$1505,'Care log'!$C$6:$C$1505,$B41,'Care log'!$D$6:$D$1505,"Feed",'Care log'!$H$6:$H$1505,1))</f>
        <v/>
      </c>
      <c r="U41">
        <f>IF(B41="",0,MAX(N(J41),SUMIFS('Care log'!$B$6:$B$1505,'Care log'!$C$6:$C$1505,$B41,'Care log'!$D$6:$D$1505,"Repot",'Care log'!$H$6:$H$1505,1)))</f>
        <v/>
      </c>
      <c r="V41">
        <f>IF(L41="","",L41+ROW()/10000000)</f>
        <v/>
      </c>
      <c r="W41">
        <f>IF(ISNUMBER(N41),N41+ROW()/10000000,"")</f>
        <v/>
      </c>
      <c r="X41">
        <f>IF(O41="","",O41+ROW()/10000000)</f>
        <v/>
      </c>
    </row>
    <row r="42">
      <c r="A42" s="1" t="n"/>
      <c r="B42" s="17" t="n"/>
      <c r="C42" s="18" t="n"/>
      <c r="D42" s="18" t="n"/>
      <c r="E42" s="18" t="n"/>
      <c r="F42" s="19" t="n"/>
      <c r="G42" s="19" t="n"/>
      <c r="H42" s="19" t="n"/>
      <c r="I42" s="19" t="n"/>
      <c r="J42" s="20" t="n"/>
      <c r="K42" s="21">
        <f>IF(B42="","",IF(SUMIFS('Care log'!$B$6:$B$1505,'Care log'!$C$6:$C$1505,$B42,'Care log'!$D$6:$D$1505,"Water",'Care log'!$H$6:$H$1505,1)=0,"",SUMIFS('Care log'!$B$6:$B$1505,'Care log'!$C$6:$C$1505,$B42,'Care log'!$D$6:$D$1505,"Water",'Care log'!$H$6:$H$1505,1)))</f>
        <v/>
      </c>
      <c r="L42" s="22">
        <f>IF(OR(K42="",N(S42)=0),"",K42+S42)</f>
        <v/>
      </c>
      <c r="M42" s="13">
        <f>IF(B42="","",IF(L42="",IF(N(S42)=0,"","Not logged yet"),IF(L42&lt;TODAY(),"Late "&amp;(TODAY()-L42)&amp;IF((TODAY()-L42)=1," day"," days"),IF(L42=TODAY(),"Today","In "&amp;(L42-TODAY())&amp;IF((L42-TODAY())=1," day"," days")))))</f>
        <v/>
      </c>
      <c r="N42" s="22">
        <f>IF(OR(B42="",N(H42)=0),"",IF(Settings!$C$7=0,"Resting",IF(T42=0,TODAY(),T42+H42)))</f>
        <v/>
      </c>
      <c r="O42" s="23">
        <f>IF(OR(B42="",N(I42)=0,N(U42)=0),"",EDATE(U42,I42))</f>
        <v/>
      </c>
      <c r="P42" s="18" t="n"/>
      <c r="Q42" s="1" t="n"/>
      <c r="S42">
        <f>IF(B42="",0,IF(Settings!$C$7=1,N(F42),IF(G42="",N(F42),N(G42))))</f>
        <v/>
      </c>
      <c r="T42">
        <f>IF(B42="",0,SUMIFS('Care log'!$B$6:$B$1505,'Care log'!$C$6:$C$1505,$B42,'Care log'!$D$6:$D$1505,"Feed",'Care log'!$H$6:$H$1505,1))</f>
        <v/>
      </c>
      <c r="U42">
        <f>IF(B42="",0,MAX(N(J42),SUMIFS('Care log'!$B$6:$B$1505,'Care log'!$C$6:$C$1505,$B42,'Care log'!$D$6:$D$1505,"Repot",'Care log'!$H$6:$H$1505,1)))</f>
        <v/>
      </c>
      <c r="V42">
        <f>IF(L42="","",L42+ROW()/10000000)</f>
        <v/>
      </c>
      <c r="W42">
        <f>IF(ISNUMBER(N42),N42+ROW()/10000000,"")</f>
        <v/>
      </c>
      <c r="X42">
        <f>IF(O42="","",O42+ROW()/10000000)</f>
        <v/>
      </c>
    </row>
    <row r="43">
      <c r="A43" s="1" t="n"/>
      <c r="B43" s="17" t="n"/>
      <c r="C43" s="18" t="n"/>
      <c r="D43" s="18" t="n"/>
      <c r="E43" s="18" t="n"/>
      <c r="F43" s="19" t="n"/>
      <c r="G43" s="19" t="n"/>
      <c r="H43" s="19" t="n"/>
      <c r="I43" s="19" t="n"/>
      <c r="J43" s="20" t="n"/>
      <c r="K43" s="21">
        <f>IF(B43="","",IF(SUMIFS('Care log'!$B$6:$B$1505,'Care log'!$C$6:$C$1505,$B43,'Care log'!$D$6:$D$1505,"Water",'Care log'!$H$6:$H$1505,1)=0,"",SUMIFS('Care log'!$B$6:$B$1505,'Care log'!$C$6:$C$1505,$B43,'Care log'!$D$6:$D$1505,"Water",'Care log'!$H$6:$H$1505,1)))</f>
        <v/>
      </c>
      <c r="L43" s="22">
        <f>IF(OR(K43="",N(S43)=0),"",K43+S43)</f>
        <v/>
      </c>
      <c r="M43" s="13">
        <f>IF(B43="","",IF(L43="",IF(N(S43)=0,"","Not logged yet"),IF(L43&lt;TODAY(),"Late "&amp;(TODAY()-L43)&amp;IF((TODAY()-L43)=1," day"," days"),IF(L43=TODAY(),"Today","In "&amp;(L43-TODAY())&amp;IF((L43-TODAY())=1," day"," days")))))</f>
        <v/>
      </c>
      <c r="N43" s="22">
        <f>IF(OR(B43="",N(H43)=0),"",IF(Settings!$C$7=0,"Resting",IF(T43=0,TODAY(),T43+H43)))</f>
        <v/>
      </c>
      <c r="O43" s="23">
        <f>IF(OR(B43="",N(I43)=0,N(U43)=0),"",EDATE(U43,I43))</f>
        <v/>
      </c>
      <c r="P43" s="18" t="n"/>
      <c r="Q43" s="1" t="n"/>
      <c r="S43">
        <f>IF(B43="",0,IF(Settings!$C$7=1,N(F43),IF(G43="",N(F43),N(G43))))</f>
        <v/>
      </c>
      <c r="T43">
        <f>IF(B43="",0,SUMIFS('Care log'!$B$6:$B$1505,'Care log'!$C$6:$C$1505,$B43,'Care log'!$D$6:$D$1505,"Feed",'Care log'!$H$6:$H$1505,1))</f>
        <v/>
      </c>
      <c r="U43">
        <f>IF(B43="",0,MAX(N(J43),SUMIFS('Care log'!$B$6:$B$1505,'Care log'!$C$6:$C$1505,$B43,'Care log'!$D$6:$D$1505,"Repot",'Care log'!$H$6:$H$1505,1)))</f>
        <v/>
      </c>
      <c r="V43">
        <f>IF(L43="","",L43+ROW()/10000000)</f>
        <v/>
      </c>
      <c r="W43">
        <f>IF(ISNUMBER(N43),N43+ROW()/10000000,"")</f>
        <v/>
      </c>
      <c r="X43">
        <f>IF(O43="","",O43+ROW()/10000000)</f>
        <v/>
      </c>
    </row>
    <row r="44">
      <c r="A44" s="1" t="n"/>
      <c r="B44" s="17" t="n"/>
      <c r="C44" s="18" t="n"/>
      <c r="D44" s="18" t="n"/>
      <c r="E44" s="18" t="n"/>
      <c r="F44" s="19" t="n"/>
      <c r="G44" s="19" t="n"/>
      <c r="H44" s="19" t="n"/>
      <c r="I44" s="19" t="n"/>
      <c r="J44" s="20" t="n"/>
      <c r="K44" s="21">
        <f>IF(B44="","",IF(SUMIFS('Care log'!$B$6:$B$1505,'Care log'!$C$6:$C$1505,$B44,'Care log'!$D$6:$D$1505,"Water",'Care log'!$H$6:$H$1505,1)=0,"",SUMIFS('Care log'!$B$6:$B$1505,'Care log'!$C$6:$C$1505,$B44,'Care log'!$D$6:$D$1505,"Water",'Care log'!$H$6:$H$1505,1)))</f>
        <v/>
      </c>
      <c r="L44" s="22">
        <f>IF(OR(K44="",N(S44)=0),"",K44+S44)</f>
        <v/>
      </c>
      <c r="M44" s="13">
        <f>IF(B44="","",IF(L44="",IF(N(S44)=0,"","Not logged yet"),IF(L44&lt;TODAY(),"Late "&amp;(TODAY()-L44)&amp;IF((TODAY()-L44)=1," day"," days"),IF(L44=TODAY(),"Today","In "&amp;(L44-TODAY())&amp;IF((L44-TODAY())=1," day"," days")))))</f>
        <v/>
      </c>
      <c r="N44" s="22">
        <f>IF(OR(B44="",N(H44)=0),"",IF(Settings!$C$7=0,"Resting",IF(T44=0,TODAY(),T44+H44)))</f>
        <v/>
      </c>
      <c r="O44" s="23">
        <f>IF(OR(B44="",N(I44)=0,N(U44)=0),"",EDATE(U44,I44))</f>
        <v/>
      </c>
      <c r="P44" s="18" t="n"/>
      <c r="Q44" s="1" t="n"/>
      <c r="S44">
        <f>IF(B44="",0,IF(Settings!$C$7=1,N(F44),IF(G44="",N(F44),N(G44))))</f>
        <v/>
      </c>
      <c r="T44">
        <f>IF(B44="",0,SUMIFS('Care log'!$B$6:$B$1505,'Care log'!$C$6:$C$1505,$B44,'Care log'!$D$6:$D$1505,"Feed",'Care log'!$H$6:$H$1505,1))</f>
        <v/>
      </c>
      <c r="U44">
        <f>IF(B44="",0,MAX(N(J44),SUMIFS('Care log'!$B$6:$B$1505,'Care log'!$C$6:$C$1505,$B44,'Care log'!$D$6:$D$1505,"Repot",'Care log'!$H$6:$H$1505,1)))</f>
        <v/>
      </c>
      <c r="V44">
        <f>IF(L44="","",L44+ROW()/10000000)</f>
        <v/>
      </c>
      <c r="W44">
        <f>IF(ISNUMBER(N44),N44+ROW()/10000000,"")</f>
        <v/>
      </c>
      <c r="X44">
        <f>IF(O44="","",O44+ROW()/10000000)</f>
        <v/>
      </c>
    </row>
    <row r="45">
      <c r="A45" s="1" t="n"/>
      <c r="B45" s="17" t="n"/>
      <c r="C45" s="18" t="n"/>
      <c r="D45" s="18" t="n"/>
      <c r="E45" s="18" t="n"/>
      <c r="F45" s="19" t="n"/>
      <c r="G45" s="19" t="n"/>
      <c r="H45" s="19" t="n"/>
      <c r="I45" s="19" t="n"/>
      <c r="J45" s="20" t="n"/>
      <c r="K45" s="21">
        <f>IF(B45="","",IF(SUMIFS('Care log'!$B$6:$B$1505,'Care log'!$C$6:$C$1505,$B45,'Care log'!$D$6:$D$1505,"Water",'Care log'!$H$6:$H$1505,1)=0,"",SUMIFS('Care log'!$B$6:$B$1505,'Care log'!$C$6:$C$1505,$B45,'Care log'!$D$6:$D$1505,"Water",'Care log'!$H$6:$H$1505,1)))</f>
        <v/>
      </c>
      <c r="L45" s="22">
        <f>IF(OR(K45="",N(S45)=0),"",K45+S45)</f>
        <v/>
      </c>
      <c r="M45" s="13">
        <f>IF(B45="","",IF(L45="",IF(N(S45)=0,"","Not logged yet"),IF(L45&lt;TODAY(),"Late "&amp;(TODAY()-L45)&amp;IF((TODAY()-L45)=1," day"," days"),IF(L45=TODAY(),"Today","In "&amp;(L45-TODAY())&amp;IF((L45-TODAY())=1," day"," days")))))</f>
        <v/>
      </c>
      <c r="N45" s="22">
        <f>IF(OR(B45="",N(H45)=0),"",IF(Settings!$C$7=0,"Resting",IF(T45=0,TODAY(),T45+H45)))</f>
        <v/>
      </c>
      <c r="O45" s="23">
        <f>IF(OR(B45="",N(I45)=0,N(U45)=0),"",EDATE(U45,I45))</f>
        <v/>
      </c>
      <c r="P45" s="18" t="n"/>
      <c r="Q45" s="1" t="n"/>
      <c r="S45">
        <f>IF(B45="",0,IF(Settings!$C$7=1,N(F45),IF(G45="",N(F45),N(G45))))</f>
        <v/>
      </c>
      <c r="T45">
        <f>IF(B45="",0,SUMIFS('Care log'!$B$6:$B$1505,'Care log'!$C$6:$C$1505,$B45,'Care log'!$D$6:$D$1505,"Feed",'Care log'!$H$6:$H$1505,1))</f>
        <v/>
      </c>
      <c r="U45">
        <f>IF(B45="",0,MAX(N(J45),SUMIFS('Care log'!$B$6:$B$1505,'Care log'!$C$6:$C$1505,$B45,'Care log'!$D$6:$D$1505,"Repot",'Care log'!$H$6:$H$1505,1)))</f>
        <v/>
      </c>
      <c r="V45">
        <f>IF(L45="","",L45+ROW()/10000000)</f>
        <v/>
      </c>
      <c r="W45">
        <f>IF(ISNUMBER(N45),N45+ROW()/10000000,"")</f>
        <v/>
      </c>
      <c r="X45">
        <f>IF(O45="","",O45+ROW()/10000000)</f>
        <v/>
      </c>
    </row>
    <row r="46">
      <c r="A46" s="1" t="n"/>
      <c r="B46" s="17" t="n"/>
      <c r="C46" s="18" t="n"/>
      <c r="D46" s="18" t="n"/>
      <c r="E46" s="18" t="n"/>
      <c r="F46" s="19" t="n"/>
      <c r="G46" s="19" t="n"/>
      <c r="H46" s="19" t="n"/>
      <c r="I46" s="19" t="n"/>
      <c r="J46" s="20" t="n"/>
      <c r="K46" s="21">
        <f>IF(B46="","",IF(SUMIFS('Care log'!$B$6:$B$1505,'Care log'!$C$6:$C$1505,$B46,'Care log'!$D$6:$D$1505,"Water",'Care log'!$H$6:$H$1505,1)=0,"",SUMIFS('Care log'!$B$6:$B$1505,'Care log'!$C$6:$C$1505,$B46,'Care log'!$D$6:$D$1505,"Water",'Care log'!$H$6:$H$1505,1)))</f>
        <v/>
      </c>
      <c r="L46" s="22">
        <f>IF(OR(K46="",N(S46)=0),"",K46+S46)</f>
        <v/>
      </c>
      <c r="M46" s="13">
        <f>IF(B46="","",IF(L46="",IF(N(S46)=0,"","Not logged yet"),IF(L46&lt;TODAY(),"Late "&amp;(TODAY()-L46)&amp;IF((TODAY()-L46)=1," day"," days"),IF(L46=TODAY(),"Today","In "&amp;(L46-TODAY())&amp;IF((L46-TODAY())=1," day"," days")))))</f>
        <v/>
      </c>
      <c r="N46" s="22">
        <f>IF(OR(B46="",N(H46)=0),"",IF(Settings!$C$7=0,"Resting",IF(T46=0,TODAY(),T46+H46)))</f>
        <v/>
      </c>
      <c r="O46" s="23">
        <f>IF(OR(B46="",N(I46)=0,N(U46)=0),"",EDATE(U46,I46))</f>
        <v/>
      </c>
      <c r="P46" s="18" t="n"/>
      <c r="Q46" s="1" t="n"/>
      <c r="S46">
        <f>IF(B46="",0,IF(Settings!$C$7=1,N(F46),IF(G46="",N(F46),N(G46))))</f>
        <v/>
      </c>
      <c r="T46">
        <f>IF(B46="",0,SUMIFS('Care log'!$B$6:$B$1505,'Care log'!$C$6:$C$1505,$B46,'Care log'!$D$6:$D$1505,"Feed",'Care log'!$H$6:$H$1505,1))</f>
        <v/>
      </c>
      <c r="U46">
        <f>IF(B46="",0,MAX(N(J46),SUMIFS('Care log'!$B$6:$B$1505,'Care log'!$C$6:$C$1505,$B46,'Care log'!$D$6:$D$1505,"Repot",'Care log'!$H$6:$H$1505,1)))</f>
        <v/>
      </c>
      <c r="V46">
        <f>IF(L46="","",L46+ROW()/10000000)</f>
        <v/>
      </c>
      <c r="W46">
        <f>IF(ISNUMBER(N46),N46+ROW()/10000000,"")</f>
        <v/>
      </c>
      <c r="X46">
        <f>IF(O46="","",O46+ROW()/10000000)</f>
        <v/>
      </c>
    </row>
    <row r="47">
      <c r="A47" s="1" t="n"/>
      <c r="B47" s="17" t="n"/>
      <c r="C47" s="18" t="n"/>
      <c r="D47" s="18" t="n"/>
      <c r="E47" s="18" t="n"/>
      <c r="F47" s="19" t="n"/>
      <c r="G47" s="19" t="n"/>
      <c r="H47" s="19" t="n"/>
      <c r="I47" s="19" t="n"/>
      <c r="J47" s="20" t="n"/>
      <c r="K47" s="21">
        <f>IF(B47="","",IF(SUMIFS('Care log'!$B$6:$B$1505,'Care log'!$C$6:$C$1505,$B47,'Care log'!$D$6:$D$1505,"Water",'Care log'!$H$6:$H$1505,1)=0,"",SUMIFS('Care log'!$B$6:$B$1505,'Care log'!$C$6:$C$1505,$B47,'Care log'!$D$6:$D$1505,"Water",'Care log'!$H$6:$H$1505,1)))</f>
        <v/>
      </c>
      <c r="L47" s="22">
        <f>IF(OR(K47="",N(S47)=0),"",K47+S47)</f>
        <v/>
      </c>
      <c r="M47" s="13">
        <f>IF(B47="","",IF(L47="",IF(N(S47)=0,"","Not logged yet"),IF(L47&lt;TODAY(),"Late "&amp;(TODAY()-L47)&amp;IF((TODAY()-L47)=1," day"," days"),IF(L47=TODAY(),"Today","In "&amp;(L47-TODAY())&amp;IF((L47-TODAY())=1," day"," days")))))</f>
        <v/>
      </c>
      <c r="N47" s="22">
        <f>IF(OR(B47="",N(H47)=0),"",IF(Settings!$C$7=0,"Resting",IF(T47=0,TODAY(),T47+H47)))</f>
        <v/>
      </c>
      <c r="O47" s="23">
        <f>IF(OR(B47="",N(I47)=0,N(U47)=0),"",EDATE(U47,I47))</f>
        <v/>
      </c>
      <c r="P47" s="18" t="n"/>
      <c r="Q47" s="1" t="n"/>
      <c r="S47">
        <f>IF(B47="",0,IF(Settings!$C$7=1,N(F47),IF(G47="",N(F47),N(G47))))</f>
        <v/>
      </c>
      <c r="T47">
        <f>IF(B47="",0,SUMIFS('Care log'!$B$6:$B$1505,'Care log'!$C$6:$C$1505,$B47,'Care log'!$D$6:$D$1505,"Feed",'Care log'!$H$6:$H$1505,1))</f>
        <v/>
      </c>
      <c r="U47">
        <f>IF(B47="",0,MAX(N(J47),SUMIFS('Care log'!$B$6:$B$1505,'Care log'!$C$6:$C$1505,$B47,'Care log'!$D$6:$D$1505,"Repot",'Care log'!$H$6:$H$1505,1)))</f>
        <v/>
      </c>
      <c r="V47">
        <f>IF(L47="","",L47+ROW()/10000000)</f>
        <v/>
      </c>
      <c r="W47">
        <f>IF(ISNUMBER(N47),N47+ROW()/10000000,"")</f>
        <v/>
      </c>
      <c r="X47">
        <f>IF(O47="","",O47+ROW()/10000000)</f>
        <v/>
      </c>
    </row>
    <row r="48">
      <c r="A48" s="1" t="n"/>
      <c r="B48" s="17" t="n"/>
      <c r="C48" s="18" t="n"/>
      <c r="D48" s="18" t="n"/>
      <c r="E48" s="18" t="n"/>
      <c r="F48" s="19" t="n"/>
      <c r="G48" s="19" t="n"/>
      <c r="H48" s="19" t="n"/>
      <c r="I48" s="19" t="n"/>
      <c r="J48" s="20" t="n"/>
      <c r="K48" s="21">
        <f>IF(B48="","",IF(SUMIFS('Care log'!$B$6:$B$1505,'Care log'!$C$6:$C$1505,$B48,'Care log'!$D$6:$D$1505,"Water",'Care log'!$H$6:$H$1505,1)=0,"",SUMIFS('Care log'!$B$6:$B$1505,'Care log'!$C$6:$C$1505,$B48,'Care log'!$D$6:$D$1505,"Water",'Care log'!$H$6:$H$1505,1)))</f>
        <v/>
      </c>
      <c r="L48" s="22">
        <f>IF(OR(K48="",N(S48)=0),"",K48+S48)</f>
        <v/>
      </c>
      <c r="M48" s="13">
        <f>IF(B48="","",IF(L48="",IF(N(S48)=0,"","Not logged yet"),IF(L48&lt;TODAY(),"Late "&amp;(TODAY()-L48)&amp;IF((TODAY()-L48)=1," day"," days"),IF(L48=TODAY(),"Today","In "&amp;(L48-TODAY())&amp;IF((L48-TODAY())=1," day"," days")))))</f>
        <v/>
      </c>
      <c r="N48" s="22">
        <f>IF(OR(B48="",N(H48)=0),"",IF(Settings!$C$7=0,"Resting",IF(T48=0,TODAY(),T48+H48)))</f>
        <v/>
      </c>
      <c r="O48" s="23">
        <f>IF(OR(B48="",N(I48)=0,N(U48)=0),"",EDATE(U48,I48))</f>
        <v/>
      </c>
      <c r="P48" s="18" t="n"/>
      <c r="Q48" s="1" t="n"/>
      <c r="S48">
        <f>IF(B48="",0,IF(Settings!$C$7=1,N(F48),IF(G48="",N(F48),N(G48))))</f>
        <v/>
      </c>
      <c r="T48">
        <f>IF(B48="",0,SUMIFS('Care log'!$B$6:$B$1505,'Care log'!$C$6:$C$1505,$B48,'Care log'!$D$6:$D$1505,"Feed",'Care log'!$H$6:$H$1505,1))</f>
        <v/>
      </c>
      <c r="U48">
        <f>IF(B48="",0,MAX(N(J48),SUMIFS('Care log'!$B$6:$B$1505,'Care log'!$C$6:$C$1505,$B48,'Care log'!$D$6:$D$1505,"Repot",'Care log'!$H$6:$H$1505,1)))</f>
        <v/>
      </c>
      <c r="V48">
        <f>IF(L48="","",L48+ROW()/10000000)</f>
        <v/>
      </c>
      <c r="W48">
        <f>IF(ISNUMBER(N48),N48+ROW()/10000000,"")</f>
        <v/>
      </c>
      <c r="X48">
        <f>IF(O48="","",O48+ROW()/10000000)</f>
        <v/>
      </c>
    </row>
    <row r="49">
      <c r="A49" s="1" t="n"/>
      <c r="B49" s="17" t="n"/>
      <c r="C49" s="18" t="n"/>
      <c r="D49" s="18" t="n"/>
      <c r="E49" s="18" t="n"/>
      <c r="F49" s="19" t="n"/>
      <c r="G49" s="19" t="n"/>
      <c r="H49" s="19" t="n"/>
      <c r="I49" s="19" t="n"/>
      <c r="J49" s="20" t="n"/>
      <c r="K49" s="21">
        <f>IF(B49="","",IF(SUMIFS('Care log'!$B$6:$B$1505,'Care log'!$C$6:$C$1505,$B49,'Care log'!$D$6:$D$1505,"Water",'Care log'!$H$6:$H$1505,1)=0,"",SUMIFS('Care log'!$B$6:$B$1505,'Care log'!$C$6:$C$1505,$B49,'Care log'!$D$6:$D$1505,"Water",'Care log'!$H$6:$H$1505,1)))</f>
        <v/>
      </c>
      <c r="L49" s="22">
        <f>IF(OR(K49="",N(S49)=0),"",K49+S49)</f>
        <v/>
      </c>
      <c r="M49" s="13">
        <f>IF(B49="","",IF(L49="",IF(N(S49)=0,"","Not logged yet"),IF(L49&lt;TODAY(),"Late "&amp;(TODAY()-L49)&amp;IF((TODAY()-L49)=1," day"," days"),IF(L49=TODAY(),"Today","In "&amp;(L49-TODAY())&amp;IF((L49-TODAY())=1," day"," days")))))</f>
        <v/>
      </c>
      <c r="N49" s="22">
        <f>IF(OR(B49="",N(H49)=0),"",IF(Settings!$C$7=0,"Resting",IF(T49=0,TODAY(),T49+H49)))</f>
        <v/>
      </c>
      <c r="O49" s="23">
        <f>IF(OR(B49="",N(I49)=0,N(U49)=0),"",EDATE(U49,I49))</f>
        <v/>
      </c>
      <c r="P49" s="18" t="n"/>
      <c r="Q49" s="1" t="n"/>
      <c r="S49">
        <f>IF(B49="",0,IF(Settings!$C$7=1,N(F49),IF(G49="",N(F49),N(G49))))</f>
        <v/>
      </c>
      <c r="T49">
        <f>IF(B49="",0,SUMIFS('Care log'!$B$6:$B$1505,'Care log'!$C$6:$C$1505,$B49,'Care log'!$D$6:$D$1505,"Feed",'Care log'!$H$6:$H$1505,1))</f>
        <v/>
      </c>
      <c r="U49">
        <f>IF(B49="",0,MAX(N(J49),SUMIFS('Care log'!$B$6:$B$1505,'Care log'!$C$6:$C$1505,$B49,'Care log'!$D$6:$D$1505,"Repot",'Care log'!$H$6:$H$1505,1)))</f>
        <v/>
      </c>
      <c r="V49">
        <f>IF(L49="","",L49+ROW()/10000000)</f>
        <v/>
      </c>
      <c r="W49">
        <f>IF(ISNUMBER(N49),N49+ROW()/10000000,"")</f>
        <v/>
      </c>
      <c r="X49">
        <f>IF(O49="","",O49+ROW()/10000000)</f>
        <v/>
      </c>
    </row>
    <row r="50">
      <c r="A50" s="1" t="n"/>
      <c r="B50" s="17" t="n"/>
      <c r="C50" s="18" t="n"/>
      <c r="D50" s="18" t="n"/>
      <c r="E50" s="18" t="n"/>
      <c r="F50" s="19" t="n"/>
      <c r="G50" s="19" t="n"/>
      <c r="H50" s="19" t="n"/>
      <c r="I50" s="19" t="n"/>
      <c r="J50" s="20" t="n"/>
      <c r="K50" s="21">
        <f>IF(B50="","",IF(SUMIFS('Care log'!$B$6:$B$1505,'Care log'!$C$6:$C$1505,$B50,'Care log'!$D$6:$D$1505,"Water",'Care log'!$H$6:$H$1505,1)=0,"",SUMIFS('Care log'!$B$6:$B$1505,'Care log'!$C$6:$C$1505,$B50,'Care log'!$D$6:$D$1505,"Water",'Care log'!$H$6:$H$1505,1)))</f>
        <v/>
      </c>
      <c r="L50" s="22">
        <f>IF(OR(K50="",N(S50)=0),"",K50+S50)</f>
        <v/>
      </c>
      <c r="M50" s="13">
        <f>IF(B50="","",IF(L50="",IF(N(S50)=0,"","Not logged yet"),IF(L50&lt;TODAY(),"Late "&amp;(TODAY()-L50)&amp;IF((TODAY()-L50)=1," day"," days"),IF(L50=TODAY(),"Today","In "&amp;(L50-TODAY())&amp;IF((L50-TODAY())=1," day"," days")))))</f>
        <v/>
      </c>
      <c r="N50" s="22">
        <f>IF(OR(B50="",N(H50)=0),"",IF(Settings!$C$7=0,"Resting",IF(T50=0,TODAY(),T50+H50)))</f>
        <v/>
      </c>
      <c r="O50" s="23">
        <f>IF(OR(B50="",N(I50)=0,N(U50)=0),"",EDATE(U50,I50))</f>
        <v/>
      </c>
      <c r="P50" s="18" t="n"/>
      <c r="Q50" s="1" t="n"/>
      <c r="S50">
        <f>IF(B50="",0,IF(Settings!$C$7=1,N(F50),IF(G50="",N(F50),N(G50))))</f>
        <v/>
      </c>
      <c r="T50">
        <f>IF(B50="",0,SUMIFS('Care log'!$B$6:$B$1505,'Care log'!$C$6:$C$1505,$B50,'Care log'!$D$6:$D$1505,"Feed",'Care log'!$H$6:$H$1505,1))</f>
        <v/>
      </c>
      <c r="U50">
        <f>IF(B50="",0,MAX(N(J50),SUMIFS('Care log'!$B$6:$B$1505,'Care log'!$C$6:$C$1505,$B50,'Care log'!$D$6:$D$1505,"Repot",'Care log'!$H$6:$H$1505,1)))</f>
        <v/>
      </c>
      <c r="V50">
        <f>IF(L50="","",L50+ROW()/10000000)</f>
        <v/>
      </c>
      <c r="W50">
        <f>IF(ISNUMBER(N50),N50+ROW()/10000000,"")</f>
        <v/>
      </c>
      <c r="X50">
        <f>IF(O50="","",O50+ROW()/10000000)</f>
        <v/>
      </c>
    </row>
    <row r="51">
      <c r="A51" s="1" t="n"/>
      <c r="B51" s="17" t="n"/>
      <c r="C51" s="18" t="n"/>
      <c r="D51" s="18" t="n"/>
      <c r="E51" s="18" t="n"/>
      <c r="F51" s="19" t="n"/>
      <c r="G51" s="19" t="n"/>
      <c r="H51" s="19" t="n"/>
      <c r="I51" s="19" t="n"/>
      <c r="J51" s="20" t="n"/>
      <c r="K51" s="21">
        <f>IF(B51="","",IF(SUMIFS('Care log'!$B$6:$B$1505,'Care log'!$C$6:$C$1505,$B51,'Care log'!$D$6:$D$1505,"Water",'Care log'!$H$6:$H$1505,1)=0,"",SUMIFS('Care log'!$B$6:$B$1505,'Care log'!$C$6:$C$1505,$B51,'Care log'!$D$6:$D$1505,"Water",'Care log'!$H$6:$H$1505,1)))</f>
        <v/>
      </c>
      <c r="L51" s="22">
        <f>IF(OR(K51="",N(S51)=0),"",K51+S51)</f>
        <v/>
      </c>
      <c r="M51" s="13">
        <f>IF(B51="","",IF(L51="",IF(N(S51)=0,"","Not logged yet"),IF(L51&lt;TODAY(),"Late "&amp;(TODAY()-L51)&amp;IF((TODAY()-L51)=1," day"," days"),IF(L51=TODAY(),"Today","In "&amp;(L51-TODAY())&amp;IF((L51-TODAY())=1," day"," days")))))</f>
        <v/>
      </c>
      <c r="N51" s="22">
        <f>IF(OR(B51="",N(H51)=0),"",IF(Settings!$C$7=0,"Resting",IF(T51=0,TODAY(),T51+H51)))</f>
        <v/>
      </c>
      <c r="O51" s="23">
        <f>IF(OR(B51="",N(I51)=0,N(U51)=0),"",EDATE(U51,I51))</f>
        <v/>
      </c>
      <c r="P51" s="18" t="n"/>
      <c r="Q51" s="1" t="n"/>
      <c r="S51">
        <f>IF(B51="",0,IF(Settings!$C$7=1,N(F51),IF(G51="",N(F51),N(G51))))</f>
        <v/>
      </c>
      <c r="T51">
        <f>IF(B51="",0,SUMIFS('Care log'!$B$6:$B$1505,'Care log'!$C$6:$C$1505,$B51,'Care log'!$D$6:$D$1505,"Feed",'Care log'!$H$6:$H$1505,1))</f>
        <v/>
      </c>
      <c r="U51">
        <f>IF(B51="",0,MAX(N(J51),SUMIFS('Care log'!$B$6:$B$1505,'Care log'!$C$6:$C$1505,$B51,'Care log'!$D$6:$D$1505,"Repot",'Care log'!$H$6:$H$1505,1)))</f>
        <v/>
      </c>
      <c r="V51">
        <f>IF(L51="","",L51+ROW()/10000000)</f>
        <v/>
      </c>
      <c r="W51">
        <f>IF(ISNUMBER(N51),N51+ROW()/10000000,"")</f>
        <v/>
      </c>
      <c r="X51">
        <f>IF(O51="","",O51+ROW()/10000000)</f>
        <v/>
      </c>
    </row>
    <row r="52">
      <c r="A52" s="1" t="n"/>
      <c r="B52" s="17" t="n"/>
      <c r="C52" s="18" t="n"/>
      <c r="D52" s="18" t="n"/>
      <c r="E52" s="18" t="n"/>
      <c r="F52" s="19" t="n"/>
      <c r="G52" s="19" t="n"/>
      <c r="H52" s="19" t="n"/>
      <c r="I52" s="19" t="n"/>
      <c r="J52" s="20" t="n"/>
      <c r="K52" s="21">
        <f>IF(B52="","",IF(SUMIFS('Care log'!$B$6:$B$1505,'Care log'!$C$6:$C$1505,$B52,'Care log'!$D$6:$D$1505,"Water",'Care log'!$H$6:$H$1505,1)=0,"",SUMIFS('Care log'!$B$6:$B$1505,'Care log'!$C$6:$C$1505,$B52,'Care log'!$D$6:$D$1505,"Water",'Care log'!$H$6:$H$1505,1)))</f>
        <v/>
      </c>
      <c r="L52" s="22">
        <f>IF(OR(K52="",N(S52)=0),"",K52+S52)</f>
        <v/>
      </c>
      <c r="M52" s="13">
        <f>IF(B52="","",IF(L52="",IF(N(S52)=0,"","Not logged yet"),IF(L52&lt;TODAY(),"Late "&amp;(TODAY()-L52)&amp;IF((TODAY()-L52)=1," day"," days"),IF(L52=TODAY(),"Today","In "&amp;(L52-TODAY())&amp;IF((L52-TODAY())=1," day"," days")))))</f>
        <v/>
      </c>
      <c r="N52" s="22">
        <f>IF(OR(B52="",N(H52)=0),"",IF(Settings!$C$7=0,"Resting",IF(T52=0,TODAY(),T52+H52)))</f>
        <v/>
      </c>
      <c r="O52" s="23">
        <f>IF(OR(B52="",N(I52)=0,N(U52)=0),"",EDATE(U52,I52))</f>
        <v/>
      </c>
      <c r="P52" s="18" t="n"/>
      <c r="Q52" s="1" t="n"/>
      <c r="S52">
        <f>IF(B52="",0,IF(Settings!$C$7=1,N(F52),IF(G52="",N(F52),N(G52))))</f>
        <v/>
      </c>
      <c r="T52">
        <f>IF(B52="",0,SUMIFS('Care log'!$B$6:$B$1505,'Care log'!$C$6:$C$1505,$B52,'Care log'!$D$6:$D$1505,"Feed",'Care log'!$H$6:$H$1505,1))</f>
        <v/>
      </c>
      <c r="U52">
        <f>IF(B52="",0,MAX(N(J52),SUMIFS('Care log'!$B$6:$B$1505,'Care log'!$C$6:$C$1505,$B52,'Care log'!$D$6:$D$1505,"Repot",'Care log'!$H$6:$H$1505,1)))</f>
        <v/>
      </c>
      <c r="V52">
        <f>IF(L52="","",L52+ROW()/10000000)</f>
        <v/>
      </c>
      <c r="W52">
        <f>IF(ISNUMBER(N52),N52+ROW()/10000000,"")</f>
        <v/>
      </c>
      <c r="X52">
        <f>IF(O52="","",O52+ROW()/10000000)</f>
        <v/>
      </c>
    </row>
    <row r="53">
      <c r="A53" s="1" t="n"/>
      <c r="B53" s="17" t="n"/>
      <c r="C53" s="18" t="n"/>
      <c r="D53" s="18" t="n"/>
      <c r="E53" s="18" t="n"/>
      <c r="F53" s="19" t="n"/>
      <c r="G53" s="19" t="n"/>
      <c r="H53" s="19" t="n"/>
      <c r="I53" s="19" t="n"/>
      <c r="J53" s="20" t="n"/>
      <c r="K53" s="21">
        <f>IF(B53="","",IF(SUMIFS('Care log'!$B$6:$B$1505,'Care log'!$C$6:$C$1505,$B53,'Care log'!$D$6:$D$1505,"Water",'Care log'!$H$6:$H$1505,1)=0,"",SUMIFS('Care log'!$B$6:$B$1505,'Care log'!$C$6:$C$1505,$B53,'Care log'!$D$6:$D$1505,"Water",'Care log'!$H$6:$H$1505,1)))</f>
        <v/>
      </c>
      <c r="L53" s="22">
        <f>IF(OR(K53="",N(S53)=0),"",K53+S53)</f>
        <v/>
      </c>
      <c r="M53" s="13">
        <f>IF(B53="","",IF(L53="",IF(N(S53)=0,"","Not logged yet"),IF(L53&lt;TODAY(),"Late "&amp;(TODAY()-L53)&amp;IF((TODAY()-L53)=1," day"," days"),IF(L53=TODAY(),"Today","In "&amp;(L53-TODAY())&amp;IF((L53-TODAY())=1," day"," days")))))</f>
        <v/>
      </c>
      <c r="N53" s="22">
        <f>IF(OR(B53="",N(H53)=0),"",IF(Settings!$C$7=0,"Resting",IF(T53=0,TODAY(),T53+H53)))</f>
        <v/>
      </c>
      <c r="O53" s="23">
        <f>IF(OR(B53="",N(I53)=0,N(U53)=0),"",EDATE(U53,I53))</f>
        <v/>
      </c>
      <c r="P53" s="18" t="n"/>
      <c r="Q53" s="1" t="n"/>
      <c r="S53">
        <f>IF(B53="",0,IF(Settings!$C$7=1,N(F53),IF(G53="",N(F53),N(G53))))</f>
        <v/>
      </c>
      <c r="T53">
        <f>IF(B53="",0,SUMIFS('Care log'!$B$6:$B$1505,'Care log'!$C$6:$C$1505,$B53,'Care log'!$D$6:$D$1505,"Feed",'Care log'!$H$6:$H$1505,1))</f>
        <v/>
      </c>
      <c r="U53">
        <f>IF(B53="",0,MAX(N(J53),SUMIFS('Care log'!$B$6:$B$1505,'Care log'!$C$6:$C$1505,$B53,'Care log'!$D$6:$D$1505,"Repot",'Care log'!$H$6:$H$1505,1)))</f>
        <v/>
      </c>
      <c r="V53">
        <f>IF(L53="","",L53+ROW()/10000000)</f>
        <v/>
      </c>
      <c r="W53">
        <f>IF(ISNUMBER(N53),N53+ROW()/10000000,"")</f>
        <v/>
      </c>
      <c r="X53">
        <f>IF(O53="","",O53+ROW()/10000000)</f>
        <v/>
      </c>
    </row>
    <row r="54">
      <c r="A54" s="1" t="n"/>
      <c r="B54" s="17" t="n"/>
      <c r="C54" s="18" t="n"/>
      <c r="D54" s="18" t="n"/>
      <c r="E54" s="18" t="n"/>
      <c r="F54" s="19" t="n"/>
      <c r="G54" s="19" t="n"/>
      <c r="H54" s="19" t="n"/>
      <c r="I54" s="19" t="n"/>
      <c r="J54" s="20" t="n"/>
      <c r="K54" s="21">
        <f>IF(B54="","",IF(SUMIFS('Care log'!$B$6:$B$1505,'Care log'!$C$6:$C$1505,$B54,'Care log'!$D$6:$D$1505,"Water",'Care log'!$H$6:$H$1505,1)=0,"",SUMIFS('Care log'!$B$6:$B$1505,'Care log'!$C$6:$C$1505,$B54,'Care log'!$D$6:$D$1505,"Water",'Care log'!$H$6:$H$1505,1)))</f>
        <v/>
      </c>
      <c r="L54" s="22">
        <f>IF(OR(K54="",N(S54)=0),"",K54+S54)</f>
        <v/>
      </c>
      <c r="M54" s="13">
        <f>IF(B54="","",IF(L54="",IF(N(S54)=0,"","Not logged yet"),IF(L54&lt;TODAY(),"Late "&amp;(TODAY()-L54)&amp;IF((TODAY()-L54)=1," day"," days"),IF(L54=TODAY(),"Today","In "&amp;(L54-TODAY())&amp;IF((L54-TODAY())=1," day"," days")))))</f>
        <v/>
      </c>
      <c r="N54" s="22">
        <f>IF(OR(B54="",N(H54)=0),"",IF(Settings!$C$7=0,"Resting",IF(T54=0,TODAY(),T54+H54)))</f>
        <v/>
      </c>
      <c r="O54" s="23">
        <f>IF(OR(B54="",N(I54)=0,N(U54)=0),"",EDATE(U54,I54))</f>
        <v/>
      </c>
      <c r="P54" s="18" t="n"/>
      <c r="Q54" s="1" t="n"/>
      <c r="S54">
        <f>IF(B54="",0,IF(Settings!$C$7=1,N(F54),IF(G54="",N(F54),N(G54))))</f>
        <v/>
      </c>
      <c r="T54">
        <f>IF(B54="",0,SUMIFS('Care log'!$B$6:$B$1505,'Care log'!$C$6:$C$1505,$B54,'Care log'!$D$6:$D$1505,"Feed",'Care log'!$H$6:$H$1505,1))</f>
        <v/>
      </c>
      <c r="U54">
        <f>IF(B54="",0,MAX(N(J54),SUMIFS('Care log'!$B$6:$B$1505,'Care log'!$C$6:$C$1505,$B54,'Care log'!$D$6:$D$1505,"Repot",'Care log'!$H$6:$H$1505,1)))</f>
        <v/>
      </c>
      <c r="V54">
        <f>IF(L54="","",L54+ROW()/10000000)</f>
        <v/>
      </c>
      <c r="W54">
        <f>IF(ISNUMBER(N54),N54+ROW()/10000000,"")</f>
        <v/>
      </c>
      <c r="X54">
        <f>IF(O54="","",O54+ROW()/10000000)</f>
        <v/>
      </c>
    </row>
    <row r="55">
      <c r="A55" s="1" t="n"/>
      <c r="B55" s="17" t="n"/>
      <c r="C55" s="18" t="n"/>
      <c r="D55" s="18" t="n"/>
      <c r="E55" s="18" t="n"/>
      <c r="F55" s="19" t="n"/>
      <c r="G55" s="19" t="n"/>
      <c r="H55" s="19" t="n"/>
      <c r="I55" s="19" t="n"/>
      <c r="J55" s="20" t="n"/>
      <c r="K55" s="21">
        <f>IF(B55="","",IF(SUMIFS('Care log'!$B$6:$B$1505,'Care log'!$C$6:$C$1505,$B55,'Care log'!$D$6:$D$1505,"Water",'Care log'!$H$6:$H$1505,1)=0,"",SUMIFS('Care log'!$B$6:$B$1505,'Care log'!$C$6:$C$1505,$B55,'Care log'!$D$6:$D$1505,"Water",'Care log'!$H$6:$H$1505,1)))</f>
        <v/>
      </c>
      <c r="L55" s="22">
        <f>IF(OR(K55="",N(S55)=0),"",K55+S55)</f>
        <v/>
      </c>
      <c r="M55" s="13">
        <f>IF(B55="","",IF(L55="",IF(N(S55)=0,"","Not logged yet"),IF(L55&lt;TODAY(),"Late "&amp;(TODAY()-L55)&amp;IF((TODAY()-L55)=1," day"," days"),IF(L55=TODAY(),"Today","In "&amp;(L55-TODAY())&amp;IF((L55-TODAY())=1," day"," days")))))</f>
        <v/>
      </c>
      <c r="N55" s="22">
        <f>IF(OR(B55="",N(H55)=0),"",IF(Settings!$C$7=0,"Resting",IF(T55=0,TODAY(),T55+H55)))</f>
        <v/>
      </c>
      <c r="O55" s="23">
        <f>IF(OR(B55="",N(I55)=0,N(U55)=0),"",EDATE(U55,I55))</f>
        <v/>
      </c>
      <c r="P55" s="18" t="n"/>
      <c r="Q55" s="1" t="n"/>
      <c r="S55">
        <f>IF(B55="",0,IF(Settings!$C$7=1,N(F55),IF(G55="",N(F55),N(G55))))</f>
        <v/>
      </c>
      <c r="T55">
        <f>IF(B55="",0,SUMIFS('Care log'!$B$6:$B$1505,'Care log'!$C$6:$C$1505,$B55,'Care log'!$D$6:$D$1505,"Feed",'Care log'!$H$6:$H$1505,1))</f>
        <v/>
      </c>
      <c r="U55">
        <f>IF(B55="",0,MAX(N(J55),SUMIFS('Care log'!$B$6:$B$1505,'Care log'!$C$6:$C$1505,$B55,'Care log'!$D$6:$D$1505,"Repot",'Care log'!$H$6:$H$1505,1)))</f>
        <v/>
      </c>
      <c r="V55">
        <f>IF(L55="","",L55+ROW()/10000000)</f>
        <v/>
      </c>
      <c r="W55">
        <f>IF(ISNUMBER(N55),N55+ROW()/10000000,"")</f>
        <v/>
      </c>
      <c r="X55">
        <f>IF(O55="","",O55+ROW()/10000000)</f>
        <v/>
      </c>
    </row>
    <row r="56">
      <c r="A56" s="1" t="n"/>
      <c r="B56" s="17" t="n"/>
      <c r="C56" s="18" t="n"/>
      <c r="D56" s="18" t="n"/>
      <c r="E56" s="18" t="n"/>
      <c r="F56" s="19" t="n"/>
      <c r="G56" s="19" t="n"/>
      <c r="H56" s="19" t="n"/>
      <c r="I56" s="19" t="n"/>
      <c r="J56" s="20" t="n"/>
      <c r="K56" s="21">
        <f>IF(B56="","",IF(SUMIFS('Care log'!$B$6:$B$1505,'Care log'!$C$6:$C$1505,$B56,'Care log'!$D$6:$D$1505,"Water",'Care log'!$H$6:$H$1505,1)=0,"",SUMIFS('Care log'!$B$6:$B$1505,'Care log'!$C$6:$C$1505,$B56,'Care log'!$D$6:$D$1505,"Water",'Care log'!$H$6:$H$1505,1)))</f>
        <v/>
      </c>
      <c r="L56" s="22">
        <f>IF(OR(K56="",N(S56)=0),"",K56+S56)</f>
        <v/>
      </c>
      <c r="M56" s="13">
        <f>IF(B56="","",IF(L56="",IF(N(S56)=0,"","Not logged yet"),IF(L56&lt;TODAY(),"Late "&amp;(TODAY()-L56)&amp;IF((TODAY()-L56)=1," day"," days"),IF(L56=TODAY(),"Today","In "&amp;(L56-TODAY())&amp;IF((L56-TODAY())=1," day"," days")))))</f>
        <v/>
      </c>
      <c r="N56" s="22">
        <f>IF(OR(B56="",N(H56)=0),"",IF(Settings!$C$7=0,"Resting",IF(T56=0,TODAY(),T56+H56)))</f>
        <v/>
      </c>
      <c r="O56" s="23">
        <f>IF(OR(B56="",N(I56)=0,N(U56)=0),"",EDATE(U56,I56))</f>
        <v/>
      </c>
      <c r="P56" s="18" t="n"/>
      <c r="Q56" s="1" t="n"/>
      <c r="S56">
        <f>IF(B56="",0,IF(Settings!$C$7=1,N(F56),IF(G56="",N(F56),N(G56))))</f>
        <v/>
      </c>
      <c r="T56">
        <f>IF(B56="",0,SUMIFS('Care log'!$B$6:$B$1505,'Care log'!$C$6:$C$1505,$B56,'Care log'!$D$6:$D$1505,"Feed",'Care log'!$H$6:$H$1505,1))</f>
        <v/>
      </c>
      <c r="U56">
        <f>IF(B56="",0,MAX(N(J56),SUMIFS('Care log'!$B$6:$B$1505,'Care log'!$C$6:$C$1505,$B56,'Care log'!$D$6:$D$1505,"Repot",'Care log'!$H$6:$H$1505,1)))</f>
        <v/>
      </c>
      <c r="V56">
        <f>IF(L56="","",L56+ROW()/10000000)</f>
        <v/>
      </c>
      <c r="W56">
        <f>IF(ISNUMBER(N56),N56+ROW()/10000000,"")</f>
        <v/>
      </c>
      <c r="X56">
        <f>IF(O56="","",O56+ROW()/10000000)</f>
        <v/>
      </c>
    </row>
    <row r="57">
      <c r="A57" s="1" t="n"/>
      <c r="B57" s="17" t="n"/>
      <c r="C57" s="18" t="n"/>
      <c r="D57" s="18" t="n"/>
      <c r="E57" s="18" t="n"/>
      <c r="F57" s="19" t="n"/>
      <c r="G57" s="19" t="n"/>
      <c r="H57" s="19" t="n"/>
      <c r="I57" s="19" t="n"/>
      <c r="J57" s="20" t="n"/>
      <c r="K57" s="21">
        <f>IF(B57="","",IF(SUMIFS('Care log'!$B$6:$B$1505,'Care log'!$C$6:$C$1505,$B57,'Care log'!$D$6:$D$1505,"Water",'Care log'!$H$6:$H$1505,1)=0,"",SUMIFS('Care log'!$B$6:$B$1505,'Care log'!$C$6:$C$1505,$B57,'Care log'!$D$6:$D$1505,"Water",'Care log'!$H$6:$H$1505,1)))</f>
        <v/>
      </c>
      <c r="L57" s="22">
        <f>IF(OR(K57="",N(S57)=0),"",K57+S57)</f>
        <v/>
      </c>
      <c r="M57" s="13">
        <f>IF(B57="","",IF(L57="",IF(N(S57)=0,"","Not logged yet"),IF(L57&lt;TODAY(),"Late "&amp;(TODAY()-L57)&amp;IF((TODAY()-L57)=1," day"," days"),IF(L57=TODAY(),"Today","In "&amp;(L57-TODAY())&amp;IF((L57-TODAY())=1," day"," days")))))</f>
        <v/>
      </c>
      <c r="N57" s="22">
        <f>IF(OR(B57="",N(H57)=0),"",IF(Settings!$C$7=0,"Resting",IF(T57=0,TODAY(),T57+H57)))</f>
        <v/>
      </c>
      <c r="O57" s="23">
        <f>IF(OR(B57="",N(I57)=0,N(U57)=0),"",EDATE(U57,I57))</f>
        <v/>
      </c>
      <c r="P57" s="18" t="n"/>
      <c r="Q57" s="1" t="n"/>
      <c r="S57">
        <f>IF(B57="",0,IF(Settings!$C$7=1,N(F57),IF(G57="",N(F57),N(G57))))</f>
        <v/>
      </c>
      <c r="T57">
        <f>IF(B57="",0,SUMIFS('Care log'!$B$6:$B$1505,'Care log'!$C$6:$C$1505,$B57,'Care log'!$D$6:$D$1505,"Feed",'Care log'!$H$6:$H$1505,1))</f>
        <v/>
      </c>
      <c r="U57">
        <f>IF(B57="",0,MAX(N(J57),SUMIFS('Care log'!$B$6:$B$1505,'Care log'!$C$6:$C$1505,$B57,'Care log'!$D$6:$D$1505,"Repot",'Care log'!$H$6:$H$1505,1)))</f>
        <v/>
      </c>
      <c r="V57">
        <f>IF(L57="","",L57+ROW()/10000000)</f>
        <v/>
      </c>
      <c r="W57">
        <f>IF(ISNUMBER(N57),N57+ROW()/10000000,"")</f>
        <v/>
      </c>
      <c r="X57">
        <f>IF(O57="","",O57+ROW()/10000000)</f>
        <v/>
      </c>
    </row>
    <row r="58">
      <c r="A58" s="1" t="n"/>
      <c r="B58" s="17" t="n"/>
      <c r="C58" s="18" t="n"/>
      <c r="D58" s="18" t="n"/>
      <c r="E58" s="18" t="n"/>
      <c r="F58" s="19" t="n"/>
      <c r="G58" s="19" t="n"/>
      <c r="H58" s="19" t="n"/>
      <c r="I58" s="19" t="n"/>
      <c r="J58" s="20" t="n"/>
      <c r="K58" s="21">
        <f>IF(B58="","",IF(SUMIFS('Care log'!$B$6:$B$1505,'Care log'!$C$6:$C$1505,$B58,'Care log'!$D$6:$D$1505,"Water",'Care log'!$H$6:$H$1505,1)=0,"",SUMIFS('Care log'!$B$6:$B$1505,'Care log'!$C$6:$C$1505,$B58,'Care log'!$D$6:$D$1505,"Water",'Care log'!$H$6:$H$1505,1)))</f>
        <v/>
      </c>
      <c r="L58" s="22">
        <f>IF(OR(K58="",N(S58)=0),"",K58+S58)</f>
        <v/>
      </c>
      <c r="M58" s="13">
        <f>IF(B58="","",IF(L58="",IF(N(S58)=0,"","Not logged yet"),IF(L58&lt;TODAY(),"Late "&amp;(TODAY()-L58)&amp;IF((TODAY()-L58)=1," day"," days"),IF(L58=TODAY(),"Today","In "&amp;(L58-TODAY())&amp;IF((L58-TODAY())=1," day"," days")))))</f>
        <v/>
      </c>
      <c r="N58" s="22">
        <f>IF(OR(B58="",N(H58)=0),"",IF(Settings!$C$7=0,"Resting",IF(T58=0,TODAY(),T58+H58)))</f>
        <v/>
      </c>
      <c r="O58" s="23">
        <f>IF(OR(B58="",N(I58)=0,N(U58)=0),"",EDATE(U58,I58))</f>
        <v/>
      </c>
      <c r="P58" s="18" t="n"/>
      <c r="Q58" s="1" t="n"/>
      <c r="S58">
        <f>IF(B58="",0,IF(Settings!$C$7=1,N(F58),IF(G58="",N(F58),N(G58))))</f>
        <v/>
      </c>
      <c r="T58">
        <f>IF(B58="",0,SUMIFS('Care log'!$B$6:$B$1505,'Care log'!$C$6:$C$1505,$B58,'Care log'!$D$6:$D$1505,"Feed",'Care log'!$H$6:$H$1505,1))</f>
        <v/>
      </c>
      <c r="U58">
        <f>IF(B58="",0,MAX(N(J58),SUMIFS('Care log'!$B$6:$B$1505,'Care log'!$C$6:$C$1505,$B58,'Care log'!$D$6:$D$1505,"Repot",'Care log'!$H$6:$H$1505,1)))</f>
        <v/>
      </c>
      <c r="V58">
        <f>IF(L58="","",L58+ROW()/10000000)</f>
        <v/>
      </c>
      <c r="W58">
        <f>IF(ISNUMBER(N58),N58+ROW()/10000000,"")</f>
        <v/>
      </c>
      <c r="X58">
        <f>IF(O58="","",O58+ROW()/10000000)</f>
        <v/>
      </c>
    </row>
    <row r="59">
      <c r="A59" s="1" t="n"/>
      <c r="B59" s="17" t="n"/>
      <c r="C59" s="18" t="n"/>
      <c r="D59" s="18" t="n"/>
      <c r="E59" s="18" t="n"/>
      <c r="F59" s="19" t="n"/>
      <c r="G59" s="19" t="n"/>
      <c r="H59" s="19" t="n"/>
      <c r="I59" s="19" t="n"/>
      <c r="J59" s="20" t="n"/>
      <c r="K59" s="21">
        <f>IF(B59="","",IF(SUMIFS('Care log'!$B$6:$B$1505,'Care log'!$C$6:$C$1505,$B59,'Care log'!$D$6:$D$1505,"Water",'Care log'!$H$6:$H$1505,1)=0,"",SUMIFS('Care log'!$B$6:$B$1505,'Care log'!$C$6:$C$1505,$B59,'Care log'!$D$6:$D$1505,"Water",'Care log'!$H$6:$H$1505,1)))</f>
        <v/>
      </c>
      <c r="L59" s="22">
        <f>IF(OR(K59="",N(S59)=0),"",K59+S59)</f>
        <v/>
      </c>
      <c r="M59" s="13">
        <f>IF(B59="","",IF(L59="",IF(N(S59)=0,"","Not logged yet"),IF(L59&lt;TODAY(),"Late "&amp;(TODAY()-L59)&amp;IF((TODAY()-L59)=1," day"," days"),IF(L59=TODAY(),"Today","In "&amp;(L59-TODAY())&amp;IF((L59-TODAY())=1," day"," days")))))</f>
        <v/>
      </c>
      <c r="N59" s="22">
        <f>IF(OR(B59="",N(H59)=0),"",IF(Settings!$C$7=0,"Resting",IF(T59=0,TODAY(),T59+H59)))</f>
        <v/>
      </c>
      <c r="O59" s="23">
        <f>IF(OR(B59="",N(I59)=0,N(U59)=0),"",EDATE(U59,I59))</f>
        <v/>
      </c>
      <c r="P59" s="18" t="n"/>
      <c r="Q59" s="1" t="n"/>
      <c r="S59">
        <f>IF(B59="",0,IF(Settings!$C$7=1,N(F59),IF(G59="",N(F59),N(G59))))</f>
        <v/>
      </c>
      <c r="T59">
        <f>IF(B59="",0,SUMIFS('Care log'!$B$6:$B$1505,'Care log'!$C$6:$C$1505,$B59,'Care log'!$D$6:$D$1505,"Feed",'Care log'!$H$6:$H$1505,1))</f>
        <v/>
      </c>
      <c r="U59">
        <f>IF(B59="",0,MAX(N(J59),SUMIFS('Care log'!$B$6:$B$1505,'Care log'!$C$6:$C$1505,$B59,'Care log'!$D$6:$D$1505,"Repot",'Care log'!$H$6:$H$1505,1)))</f>
        <v/>
      </c>
      <c r="V59">
        <f>IF(L59="","",L59+ROW()/10000000)</f>
        <v/>
      </c>
      <c r="W59">
        <f>IF(ISNUMBER(N59),N59+ROW()/10000000,"")</f>
        <v/>
      </c>
      <c r="X59">
        <f>IF(O59="","",O59+ROW()/10000000)</f>
        <v/>
      </c>
    </row>
    <row r="60">
      <c r="A60" s="1" t="n"/>
      <c r="B60" s="17" t="n"/>
      <c r="C60" s="18" t="n"/>
      <c r="D60" s="18" t="n"/>
      <c r="E60" s="18" t="n"/>
      <c r="F60" s="19" t="n"/>
      <c r="G60" s="19" t="n"/>
      <c r="H60" s="19" t="n"/>
      <c r="I60" s="19" t="n"/>
      <c r="J60" s="20" t="n"/>
      <c r="K60" s="21">
        <f>IF(B60="","",IF(SUMIFS('Care log'!$B$6:$B$1505,'Care log'!$C$6:$C$1505,$B60,'Care log'!$D$6:$D$1505,"Water",'Care log'!$H$6:$H$1505,1)=0,"",SUMIFS('Care log'!$B$6:$B$1505,'Care log'!$C$6:$C$1505,$B60,'Care log'!$D$6:$D$1505,"Water",'Care log'!$H$6:$H$1505,1)))</f>
        <v/>
      </c>
      <c r="L60" s="22">
        <f>IF(OR(K60="",N(S60)=0),"",K60+S60)</f>
        <v/>
      </c>
      <c r="M60" s="13">
        <f>IF(B60="","",IF(L60="",IF(N(S60)=0,"","Not logged yet"),IF(L60&lt;TODAY(),"Late "&amp;(TODAY()-L60)&amp;IF((TODAY()-L60)=1," day"," days"),IF(L60=TODAY(),"Today","In "&amp;(L60-TODAY())&amp;IF((L60-TODAY())=1," day"," days")))))</f>
        <v/>
      </c>
      <c r="N60" s="22">
        <f>IF(OR(B60="",N(H60)=0),"",IF(Settings!$C$7=0,"Resting",IF(T60=0,TODAY(),T60+H60)))</f>
        <v/>
      </c>
      <c r="O60" s="23">
        <f>IF(OR(B60="",N(I60)=0,N(U60)=0),"",EDATE(U60,I60))</f>
        <v/>
      </c>
      <c r="P60" s="18" t="n"/>
      <c r="Q60" s="1" t="n"/>
      <c r="S60">
        <f>IF(B60="",0,IF(Settings!$C$7=1,N(F60),IF(G60="",N(F60),N(G60))))</f>
        <v/>
      </c>
      <c r="T60">
        <f>IF(B60="",0,SUMIFS('Care log'!$B$6:$B$1505,'Care log'!$C$6:$C$1505,$B60,'Care log'!$D$6:$D$1505,"Feed",'Care log'!$H$6:$H$1505,1))</f>
        <v/>
      </c>
      <c r="U60">
        <f>IF(B60="",0,MAX(N(J60),SUMIFS('Care log'!$B$6:$B$1505,'Care log'!$C$6:$C$1505,$B60,'Care log'!$D$6:$D$1505,"Repot",'Care log'!$H$6:$H$1505,1)))</f>
        <v/>
      </c>
      <c r="V60">
        <f>IF(L60="","",L60+ROW()/10000000)</f>
        <v/>
      </c>
      <c r="W60">
        <f>IF(ISNUMBER(N60),N60+ROW()/10000000,"")</f>
        <v/>
      </c>
      <c r="X60">
        <f>IF(O60="","",O60+ROW()/10000000)</f>
        <v/>
      </c>
    </row>
    <row r="61">
      <c r="A61" s="1" t="n"/>
      <c r="B61" s="17" t="n"/>
      <c r="C61" s="18" t="n"/>
      <c r="D61" s="18" t="n"/>
      <c r="E61" s="18" t="n"/>
      <c r="F61" s="19" t="n"/>
      <c r="G61" s="19" t="n"/>
      <c r="H61" s="19" t="n"/>
      <c r="I61" s="19" t="n"/>
      <c r="J61" s="20" t="n"/>
      <c r="K61" s="21">
        <f>IF(B61="","",IF(SUMIFS('Care log'!$B$6:$B$1505,'Care log'!$C$6:$C$1505,$B61,'Care log'!$D$6:$D$1505,"Water",'Care log'!$H$6:$H$1505,1)=0,"",SUMIFS('Care log'!$B$6:$B$1505,'Care log'!$C$6:$C$1505,$B61,'Care log'!$D$6:$D$1505,"Water",'Care log'!$H$6:$H$1505,1)))</f>
        <v/>
      </c>
      <c r="L61" s="22">
        <f>IF(OR(K61="",N(S61)=0),"",K61+S61)</f>
        <v/>
      </c>
      <c r="M61" s="13">
        <f>IF(B61="","",IF(L61="",IF(N(S61)=0,"","Not logged yet"),IF(L61&lt;TODAY(),"Late "&amp;(TODAY()-L61)&amp;IF((TODAY()-L61)=1," day"," days"),IF(L61=TODAY(),"Today","In "&amp;(L61-TODAY())&amp;IF((L61-TODAY())=1," day"," days")))))</f>
        <v/>
      </c>
      <c r="N61" s="22">
        <f>IF(OR(B61="",N(H61)=0),"",IF(Settings!$C$7=0,"Resting",IF(T61=0,TODAY(),T61+H61)))</f>
        <v/>
      </c>
      <c r="O61" s="23">
        <f>IF(OR(B61="",N(I61)=0,N(U61)=0),"",EDATE(U61,I61))</f>
        <v/>
      </c>
      <c r="P61" s="18" t="n"/>
      <c r="Q61" s="1" t="n"/>
      <c r="S61">
        <f>IF(B61="",0,IF(Settings!$C$7=1,N(F61),IF(G61="",N(F61),N(G61))))</f>
        <v/>
      </c>
      <c r="T61">
        <f>IF(B61="",0,SUMIFS('Care log'!$B$6:$B$1505,'Care log'!$C$6:$C$1505,$B61,'Care log'!$D$6:$D$1505,"Feed",'Care log'!$H$6:$H$1505,1))</f>
        <v/>
      </c>
      <c r="U61">
        <f>IF(B61="",0,MAX(N(J61),SUMIFS('Care log'!$B$6:$B$1505,'Care log'!$C$6:$C$1505,$B61,'Care log'!$D$6:$D$1505,"Repot",'Care log'!$H$6:$H$1505,1)))</f>
        <v/>
      </c>
      <c r="V61">
        <f>IF(L61="","",L61+ROW()/10000000)</f>
        <v/>
      </c>
      <c r="W61">
        <f>IF(ISNUMBER(N61),N61+ROW()/10000000,"")</f>
        <v/>
      </c>
      <c r="X61">
        <f>IF(O61="","",O61+ROW()/10000000)</f>
        <v/>
      </c>
    </row>
    <row r="62">
      <c r="A62" s="1" t="n"/>
      <c r="B62" s="17" t="n"/>
      <c r="C62" s="18" t="n"/>
      <c r="D62" s="18" t="n"/>
      <c r="E62" s="18" t="n"/>
      <c r="F62" s="19" t="n"/>
      <c r="G62" s="19" t="n"/>
      <c r="H62" s="19" t="n"/>
      <c r="I62" s="19" t="n"/>
      <c r="J62" s="20" t="n"/>
      <c r="K62" s="21">
        <f>IF(B62="","",IF(SUMIFS('Care log'!$B$6:$B$1505,'Care log'!$C$6:$C$1505,$B62,'Care log'!$D$6:$D$1505,"Water",'Care log'!$H$6:$H$1505,1)=0,"",SUMIFS('Care log'!$B$6:$B$1505,'Care log'!$C$6:$C$1505,$B62,'Care log'!$D$6:$D$1505,"Water",'Care log'!$H$6:$H$1505,1)))</f>
        <v/>
      </c>
      <c r="L62" s="22">
        <f>IF(OR(K62="",N(S62)=0),"",K62+S62)</f>
        <v/>
      </c>
      <c r="M62" s="13">
        <f>IF(B62="","",IF(L62="",IF(N(S62)=0,"","Not logged yet"),IF(L62&lt;TODAY(),"Late "&amp;(TODAY()-L62)&amp;IF((TODAY()-L62)=1," day"," days"),IF(L62=TODAY(),"Today","In "&amp;(L62-TODAY())&amp;IF((L62-TODAY())=1," day"," days")))))</f>
        <v/>
      </c>
      <c r="N62" s="22">
        <f>IF(OR(B62="",N(H62)=0),"",IF(Settings!$C$7=0,"Resting",IF(T62=0,TODAY(),T62+H62)))</f>
        <v/>
      </c>
      <c r="O62" s="23">
        <f>IF(OR(B62="",N(I62)=0,N(U62)=0),"",EDATE(U62,I62))</f>
        <v/>
      </c>
      <c r="P62" s="18" t="n"/>
      <c r="Q62" s="1" t="n"/>
      <c r="S62">
        <f>IF(B62="",0,IF(Settings!$C$7=1,N(F62),IF(G62="",N(F62),N(G62))))</f>
        <v/>
      </c>
      <c r="T62">
        <f>IF(B62="",0,SUMIFS('Care log'!$B$6:$B$1505,'Care log'!$C$6:$C$1505,$B62,'Care log'!$D$6:$D$1505,"Feed",'Care log'!$H$6:$H$1505,1))</f>
        <v/>
      </c>
      <c r="U62">
        <f>IF(B62="",0,MAX(N(J62),SUMIFS('Care log'!$B$6:$B$1505,'Care log'!$C$6:$C$1505,$B62,'Care log'!$D$6:$D$1505,"Repot",'Care log'!$H$6:$H$1505,1)))</f>
        <v/>
      </c>
      <c r="V62">
        <f>IF(L62="","",L62+ROW()/10000000)</f>
        <v/>
      </c>
      <c r="W62">
        <f>IF(ISNUMBER(N62),N62+ROW()/10000000,"")</f>
        <v/>
      </c>
      <c r="X62">
        <f>IF(O62="","",O62+ROW()/10000000)</f>
        <v/>
      </c>
    </row>
    <row r="63">
      <c r="A63" s="1" t="n"/>
      <c r="B63" s="17" t="n"/>
      <c r="C63" s="18" t="n"/>
      <c r="D63" s="18" t="n"/>
      <c r="E63" s="18" t="n"/>
      <c r="F63" s="19" t="n"/>
      <c r="G63" s="19" t="n"/>
      <c r="H63" s="19" t="n"/>
      <c r="I63" s="19" t="n"/>
      <c r="J63" s="20" t="n"/>
      <c r="K63" s="21">
        <f>IF(B63="","",IF(SUMIFS('Care log'!$B$6:$B$1505,'Care log'!$C$6:$C$1505,$B63,'Care log'!$D$6:$D$1505,"Water",'Care log'!$H$6:$H$1505,1)=0,"",SUMIFS('Care log'!$B$6:$B$1505,'Care log'!$C$6:$C$1505,$B63,'Care log'!$D$6:$D$1505,"Water",'Care log'!$H$6:$H$1505,1)))</f>
        <v/>
      </c>
      <c r="L63" s="22">
        <f>IF(OR(K63="",N(S63)=0),"",K63+S63)</f>
        <v/>
      </c>
      <c r="M63" s="13">
        <f>IF(B63="","",IF(L63="",IF(N(S63)=0,"","Not logged yet"),IF(L63&lt;TODAY(),"Late "&amp;(TODAY()-L63)&amp;IF((TODAY()-L63)=1," day"," days"),IF(L63=TODAY(),"Today","In "&amp;(L63-TODAY())&amp;IF((L63-TODAY())=1," day"," days")))))</f>
        <v/>
      </c>
      <c r="N63" s="22">
        <f>IF(OR(B63="",N(H63)=0),"",IF(Settings!$C$7=0,"Resting",IF(T63=0,TODAY(),T63+H63)))</f>
        <v/>
      </c>
      <c r="O63" s="23">
        <f>IF(OR(B63="",N(I63)=0,N(U63)=0),"",EDATE(U63,I63))</f>
        <v/>
      </c>
      <c r="P63" s="18" t="n"/>
      <c r="Q63" s="1" t="n"/>
      <c r="S63">
        <f>IF(B63="",0,IF(Settings!$C$7=1,N(F63),IF(G63="",N(F63),N(G63))))</f>
        <v/>
      </c>
      <c r="T63">
        <f>IF(B63="",0,SUMIFS('Care log'!$B$6:$B$1505,'Care log'!$C$6:$C$1505,$B63,'Care log'!$D$6:$D$1505,"Feed",'Care log'!$H$6:$H$1505,1))</f>
        <v/>
      </c>
      <c r="U63">
        <f>IF(B63="",0,MAX(N(J63),SUMIFS('Care log'!$B$6:$B$1505,'Care log'!$C$6:$C$1505,$B63,'Care log'!$D$6:$D$1505,"Repot",'Care log'!$H$6:$H$1505,1)))</f>
        <v/>
      </c>
      <c r="V63">
        <f>IF(L63="","",L63+ROW()/10000000)</f>
        <v/>
      </c>
      <c r="W63">
        <f>IF(ISNUMBER(N63),N63+ROW()/10000000,"")</f>
        <v/>
      </c>
      <c r="X63">
        <f>IF(O63="","",O63+ROW()/10000000)</f>
        <v/>
      </c>
    </row>
    <row r="64">
      <c r="A64" s="1" t="n"/>
      <c r="B64" s="17" t="n"/>
      <c r="C64" s="18" t="n"/>
      <c r="D64" s="18" t="n"/>
      <c r="E64" s="18" t="n"/>
      <c r="F64" s="19" t="n"/>
      <c r="G64" s="19" t="n"/>
      <c r="H64" s="19" t="n"/>
      <c r="I64" s="19" t="n"/>
      <c r="J64" s="20" t="n"/>
      <c r="K64" s="21">
        <f>IF(B64="","",IF(SUMIFS('Care log'!$B$6:$B$1505,'Care log'!$C$6:$C$1505,$B64,'Care log'!$D$6:$D$1505,"Water",'Care log'!$H$6:$H$1505,1)=0,"",SUMIFS('Care log'!$B$6:$B$1505,'Care log'!$C$6:$C$1505,$B64,'Care log'!$D$6:$D$1505,"Water",'Care log'!$H$6:$H$1505,1)))</f>
        <v/>
      </c>
      <c r="L64" s="22">
        <f>IF(OR(K64="",N(S64)=0),"",K64+S64)</f>
        <v/>
      </c>
      <c r="M64" s="13">
        <f>IF(B64="","",IF(L64="",IF(N(S64)=0,"","Not logged yet"),IF(L64&lt;TODAY(),"Late "&amp;(TODAY()-L64)&amp;IF((TODAY()-L64)=1," day"," days"),IF(L64=TODAY(),"Today","In "&amp;(L64-TODAY())&amp;IF((L64-TODAY())=1," day"," days")))))</f>
        <v/>
      </c>
      <c r="N64" s="22">
        <f>IF(OR(B64="",N(H64)=0),"",IF(Settings!$C$7=0,"Resting",IF(T64=0,TODAY(),T64+H64)))</f>
        <v/>
      </c>
      <c r="O64" s="23">
        <f>IF(OR(B64="",N(I64)=0,N(U64)=0),"",EDATE(U64,I64))</f>
        <v/>
      </c>
      <c r="P64" s="18" t="n"/>
      <c r="Q64" s="1" t="n"/>
      <c r="S64">
        <f>IF(B64="",0,IF(Settings!$C$7=1,N(F64),IF(G64="",N(F64),N(G64))))</f>
        <v/>
      </c>
      <c r="T64">
        <f>IF(B64="",0,SUMIFS('Care log'!$B$6:$B$1505,'Care log'!$C$6:$C$1505,$B64,'Care log'!$D$6:$D$1505,"Feed",'Care log'!$H$6:$H$1505,1))</f>
        <v/>
      </c>
      <c r="U64">
        <f>IF(B64="",0,MAX(N(J64),SUMIFS('Care log'!$B$6:$B$1505,'Care log'!$C$6:$C$1505,$B64,'Care log'!$D$6:$D$1505,"Repot",'Care log'!$H$6:$H$1505,1)))</f>
        <v/>
      </c>
      <c r="V64">
        <f>IF(L64="","",L64+ROW()/10000000)</f>
        <v/>
      </c>
      <c r="W64">
        <f>IF(ISNUMBER(N64),N64+ROW()/10000000,"")</f>
        <v/>
      </c>
      <c r="X64">
        <f>IF(O64="","",O64+ROW()/10000000)</f>
        <v/>
      </c>
    </row>
    <row r="65">
      <c r="A65" s="1" t="n"/>
      <c r="B65" s="17" t="n"/>
      <c r="C65" s="18" t="n"/>
      <c r="D65" s="18" t="n"/>
      <c r="E65" s="18" t="n"/>
      <c r="F65" s="19" t="n"/>
      <c r="G65" s="19" t="n"/>
      <c r="H65" s="19" t="n"/>
      <c r="I65" s="19" t="n"/>
      <c r="J65" s="20" t="n"/>
      <c r="K65" s="21">
        <f>IF(B65="","",IF(SUMIFS('Care log'!$B$6:$B$1505,'Care log'!$C$6:$C$1505,$B65,'Care log'!$D$6:$D$1505,"Water",'Care log'!$H$6:$H$1505,1)=0,"",SUMIFS('Care log'!$B$6:$B$1505,'Care log'!$C$6:$C$1505,$B65,'Care log'!$D$6:$D$1505,"Water",'Care log'!$H$6:$H$1505,1)))</f>
        <v/>
      </c>
      <c r="L65" s="22">
        <f>IF(OR(K65="",N(S65)=0),"",K65+S65)</f>
        <v/>
      </c>
      <c r="M65" s="13">
        <f>IF(B65="","",IF(L65="",IF(N(S65)=0,"","Not logged yet"),IF(L65&lt;TODAY(),"Late "&amp;(TODAY()-L65)&amp;IF((TODAY()-L65)=1," day"," days"),IF(L65=TODAY(),"Today","In "&amp;(L65-TODAY())&amp;IF((L65-TODAY())=1," day"," days")))))</f>
        <v/>
      </c>
      <c r="N65" s="22">
        <f>IF(OR(B65="",N(H65)=0),"",IF(Settings!$C$7=0,"Resting",IF(T65=0,TODAY(),T65+H65)))</f>
        <v/>
      </c>
      <c r="O65" s="23">
        <f>IF(OR(B65="",N(I65)=0,N(U65)=0),"",EDATE(U65,I65))</f>
        <v/>
      </c>
      <c r="P65" s="18" t="n"/>
      <c r="Q65" s="1" t="n"/>
      <c r="S65">
        <f>IF(B65="",0,IF(Settings!$C$7=1,N(F65),IF(G65="",N(F65),N(G65))))</f>
        <v/>
      </c>
      <c r="T65">
        <f>IF(B65="",0,SUMIFS('Care log'!$B$6:$B$1505,'Care log'!$C$6:$C$1505,$B65,'Care log'!$D$6:$D$1505,"Feed",'Care log'!$H$6:$H$1505,1))</f>
        <v/>
      </c>
      <c r="U65">
        <f>IF(B65="",0,MAX(N(J65),SUMIFS('Care log'!$B$6:$B$1505,'Care log'!$C$6:$C$1505,$B65,'Care log'!$D$6:$D$1505,"Repot",'Care log'!$H$6:$H$1505,1)))</f>
        <v/>
      </c>
      <c r="V65">
        <f>IF(L65="","",L65+ROW()/10000000)</f>
        <v/>
      </c>
      <c r="W65">
        <f>IF(ISNUMBER(N65),N65+ROW()/10000000,"")</f>
        <v/>
      </c>
      <c r="X65">
        <f>IF(O65="","",O65+ROW()/10000000)</f>
        <v/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</sheetData>
  <conditionalFormatting sqref="M6:M65">
    <cfRule type="expression" priority="1" dxfId="0">
      <formula>LEFT(M6,4)="Late"</formula>
    </cfRule>
    <cfRule type="expression" priority="2" dxfId="1">
      <formula>M6="Today"</formula>
    </cfRule>
  </conditionalFormatting>
  <conditionalFormatting sqref="N6:N65">
    <cfRule type="expression" priority="3" dxfId="2">
      <formula>AND(ISNUMBER(N6),N6&lt;=TODAY())</formula>
    </cfRule>
  </conditionalFormatting>
  <conditionalFormatting sqref="O6:O65">
    <cfRule type="expression" priority="4" dxfId="3">
      <formula>AND(ISNUMBER(O6),O6&lt;=TODAY()+30)</formula>
    </cfRule>
  </conditionalFormatting>
  <dataValidations count="1">
    <dataValidation sqref="E6:E65" showDropDown="0" showInputMessage="0" showErrorMessage="0" allowBlank="1" type="list">
      <formula1>"Low,Medium,Bright indirect,Direct sun"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3" customWidth="1" min="4" max="4"/>
    <col width="40" customWidth="1" min="5" max="5"/>
    <col hidden="1" width="13" customWidth="1" min="6" max="6"/>
    <col hidden="1" width="13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Care log</t>
        </is>
      </c>
      <c r="C2" s="1" t="n"/>
      <c r="D2" s="1" t="n"/>
      <c r="E2" s="1" t="n"/>
      <c r="F2" s="1" t="n"/>
    </row>
    <row r="3">
      <c r="A3" s="1" t="n"/>
      <c r="B3" s="3" t="inlineStr">
        <is>
          <t>One line each time you water, feed, mist or repot a plant. The newest line of each kind sets the next date.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1" t="inlineStr">
        <is>
          <t>Date</t>
        </is>
      </c>
      <c r="C5" s="11" t="inlineStr">
        <is>
          <t>Plant</t>
        </is>
      </c>
      <c r="D5" s="11" t="inlineStr">
        <is>
          <t>What</t>
        </is>
      </c>
      <c r="E5" s="11" t="inlineStr">
        <is>
          <t>Notes</t>
        </is>
      </c>
      <c r="F5" s="1" t="n"/>
    </row>
    <row r="6">
      <c r="A6" s="1" t="n"/>
      <c r="B6" s="20" t="n">
        <v>46183</v>
      </c>
      <c r="C6" s="17" t="inlineStr">
        <is>
          <t>Basil</t>
        </is>
      </c>
      <c r="D6" s="18" t="inlineStr">
        <is>
          <t>Water</t>
        </is>
      </c>
      <c r="E6" s="18" t="n"/>
      <c r="F6" s="1" t="n"/>
      <c r="G6">
        <f>IF(OR(B6="",C6="",D6=""),"",B6+ROW()/10000000)</f>
        <v/>
      </c>
      <c r="H6">
        <f>IF(G6="","",IF(COUNTIFS('Care log'!$C$6:$C$1505,C6,'Care log'!$D$6:$D$1505,D6,'Care log'!$G$6:$G$1505,"&gt;"&amp;G6)=0,1,0))</f>
        <v/>
      </c>
    </row>
    <row r="7">
      <c r="A7" s="1" t="n"/>
      <c r="B7" s="20" t="n">
        <v>46183</v>
      </c>
      <c r="C7" s="17" t="inlineStr">
        <is>
          <t>Fern</t>
        </is>
      </c>
      <c r="D7" s="18" t="inlineStr">
        <is>
          <t>Water</t>
        </is>
      </c>
      <c r="E7" s="18" t="n"/>
      <c r="F7" s="1" t="n"/>
      <c r="G7">
        <f>IF(OR(B7="",C7="",D7=""),"",B7+ROW()/10000000)</f>
        <v/>
      </c>
      <c r="H7">
        <f>IF(G7="","",IF(COUNTIFS('Care log'!$C$6:$C$1505,C7,'Care log'!$D$6:$D$1505,D7,'Care log'!$G$6:$G$1505,"&gt;"&amp;G7)=0,1,0))</f>
        <v/>
      </c>
    </row>
    <row r="8">
      <c r="A8" s="1" t="n"/>
      <c r="B8" s="20" t="n">
        <v>46183</v>
      </c>
      <c r="C8" s="17" t="inlineStr">
        <is>
          <t>Lily</t>
        </is>
      </c>
      <c r="D8" s="18" t="inlineStr">
        <is>
          <t>Water</t>
        </is>
      </c>
      <c r="E8" s="18" t="n"/>
      <c r="F8" s="1" t="n"/>
      <c r="G8">
        <f>IF(OR(B8="",C8="",D8=""),"",B8+ROW()/10000000)</f>
        <v/>
      </c>
      <c r="H8">
        <f>IF(G8="","",IF(COUNTIFS('Care log'!$C$6:$C$1505,C8,'Care log'!$D$6:$D$1505,D8,'Care log'!$G$6:$G$1505,"&gt;"&amp;G8)=0,1,0))</f>
        <v/>
      </c>
    </row>
    <row r="9">
      <c r="A9" s="1" t="n"/>
      <c r="B9" s="20" t="n">
        <v>46183</v>
      </c>
      <c r="C9" s="17" t="inlineStr">
        <is>
          <t>Monty</t>
        </is>
      </c>
      <c r="D9" s="18" t="inlineStr">
        <is>
          <t>Feed</t>
        </is>
      </c>
      <c r="E9" s="18" t="inlineStr">
        <is>
          <t>Half strength</t>
        </is>
      </c>
      <c r="F9" s="1" t="n"/>
      <c r="G9">
        <f>IF(OR(B9="",C9="",D9=""),"",B9+ROW()/10000000)</f>
        <v/>
      </c>
      <c r="H9">
        <f>IF(G9="","",IF(COUNTIFS('Care log'!$C$6:$C$1505,C9,'Care log'!$D$6:$D$1505,D9,'Care log'!$G$6:$G$1505,"&gt;"&amp;G9)=0,1,0))</f>
        <v/>
      </c>
    </row>
    <row r="10">
      <c r="A10" s="1" t="n"/>
      <c r="B10" s="20" t="n">
        <v>46183</v>
      </c>
      <c r="C10" s="17" t="inlineStr">
        <is>
          <t>Spidey</t>
        </is>
      </c>
      <c r="D10" s="18" t="inlineStr">
        <is>
          <t>Water</t>
        </is>
      </c>
      <c r="E10" s="18" t="n"/>
      <c r="F10" s="1" t="n"/>
      <c r="G10">
        <f>IF(OR(B10="",C10="",D10=""),"",B10+ROW()/10000000)</f>
        <v/>
      </c>
      <c r="H10">
        <f>IF(G10="","",IF(COUNTIFS('Care log'!$C$6:$C$1505,C10,'Care log'!$D$6:$D$1505,D10,'Care log'!$G$6:$G$1505,"&gt;"&amp;G10)=0,1,0))</f>
        <v/>
      </c>
    </row>
    <row r="11">
      <c r="A11" s="1" t="n"/>
      <c r="B11" s="20" t="n">
        <v>46183</v>
      </c>
      <c r="C11" s="17" t="inlineStr">
        <is>
          <t>Vera</t>
        </is>
      </c>
      <c r="D11" s="18" t="inlineStr">
        <is>
          <t>Feed</t>
        </is>
      </c>
      <c r="E11" s="18" t="n"/>
      <c r="F11" s="1" t="n"/>
      <c r="G11">
        <f>IF(OR(B11="",C11="",D11=""),"",B11+ROW()/10000000)</f>
        <v/>
      </c>
      <c r="H11">
        <f>IF(G11="","",IF(COUNTIFS('Care log'!$C$6:$C$1505,C11,'Care log'!$D$6:$D$1505,D11,'Care log'!$G$6:$G$1505,"&gt;"&amp;G11)=0,1,0))</f>
        <v/>
      </c>
    </row>
    <row r="12">
      <c r="A12" s="1" t="n"/>
      <c r="B12" s="20" t="n">
        <v>46184</v>
      </c>
      <c r="C12" s="17" t="inlineStr">
        <is>
          <t>Cleo</t>
        </is>
      </c>
      <c r="D12" s="18" t="inlineStr">
        <is>
          <t>Water</t>
        </is>
      </c>
      <c r="E12" s="18" t="n"/>
      <c r="F12" s="1" t="n"/>
      <c r="G12">
        <f>IF(OR(B12="",C12="",D12=""),"",B12+ROW()/10000000)</f>
        <v/>
      </c>
      <c r="H12">
        <f>IF(G12="","",IF(COUNTIFS('Care log'!$C$6:$C$1505,C12,'Care log'!$D$6:$D$1505,D12,'Care log'!$G$6:$G$1505,"&gt;"&amp;G12)=0,1,0))</f>
        <v/>
      </c>
    </row>
    <row r="13">
      <c r="A13" s="1" t="n"/>
      <c r="B13" s="20" t="n">
        <v>46184</v>
      </c>
      <c r="C13" s="17" t="inlineStr">
        <is>
          <t>Ruby</t>
        </is>
      </c>
      <c r="D13" s="18" t="inlineStr">
        <is>
          <t>Water</t>
        </is>
      </c>
      <c r="E13" s="18" t="n"/>
      <c r="F13" s="1" t="n"/>
      <c r="G13">
        <f>IF(OR(B13="",C13="",D13=""),"",B13+ROW()/10000000)</f>
        <v/>
      </c>
      <c r="H13">
        <f>IF(G13="","",IF(COUNTIFS('Care log'!$C$6:$C$1505,C13,'Care log'!$D$6:$D$1505,D13,'Care log'!$G$6:$G$1505,"&gt;"&amp;G13)=0,1,0))</f>
        <v/>
      </c>
    </row>
    <row r="14">
      <c r="A14" s="1" t="n"/>
      <c r="B14" s="20" t="n">
        <v>46185</v>
      </c>
      <c r="C14" s="17" t="inlineStr">
        <is>
          <t>Basil</t>
        </is>
      </c>
      <c r="D14" s="18" t="inlineStr">
        <is>
          <t>Water</t>
        </is>
      </c>
      <c r="E14" s="18" t="n"/>
      <c r="F14" s="1" t="n"/>
      <c r="G14">
        <f>IF(OR(B14="",C14="",D14=""),"",B14+ROW()/10000000)</f>
        <v/>
      </c>
      <c r="H14">
        <f>IF(G14="","",IF(COUNTIFS('Care log'!$C$6:$C$1505,C14,'Care log'!$D$6:$D$1505,D14,'Care log'!$G$6:$G$1505,"&gt;"&amp;G14)=0,1,0))</f>
        <v/>
      </c>
    </row>
    <row r="15">
      <c r="A15" s="1" t="n"/>
      <c r="B15" s="20" t="n">
        <v>46185</v>
      </c>
      <c r="C15" s="17" t="inlineStr">
        <is>
          <t>Fern</t>
        </is>
      </c>
      <c r="D15" s="18" t="inlineStr">
        <is>
          <t>Water</t>
        </is>
      </c>
      <c r="E15" s="18" t="n"/>
      <c r="F15" s="1" t="n"/>
      <c r="G15">
        <f>IF(OR(B15="",C15="",D15=""),"",B15+ROW()/10000000)</f>
        <v/>
      </c>
      <c r="H15">
        <f>IF(G15="","",IF(COUNTIFS('Care log'!$C$6:$C$1505,C15,'Care log'!$D$6:$D$1505,D15,'Care log'!$G$6:$G$1505,"&gt;"&amp;G15)=0,1,0))</f>
        <v/>
      </c>
    </row>
    <row r="16">
      <c r="A16" s="1" t="n"/>
      <c r="B16" s="20" t="n">
        <v>46185</v>
      </c>
      <c r="C16" s="17" t="inlineStr">
        <is>
          <t>Fig</t>
        </is>
      </c>
      <c r="D16" s="18" t="inlineStr">
        <is>
          <t>Water</t>
        </is>
      </c>
      <c r="E16" s="18" t="n"/>
      <c r="F16" s="1" t="n"/>
      <c r="G16">
        <f>IF(OR(B16="",C16="",D16=""),"",B16+ROW()/10000000)</f>
        <v/>
      </c>
      <c r="H16">
        <f>IF(G16="","",IF(COUNTIFS('Care log'!$C$6:$C$1505,C16,'Care log'!$D$6:$D$1505,D16,'Care log'!$G$6:$G$1505,"&gt;"&amp;G16)=0,1,0))</f>
        <v/>
      </c>
    </row>
    <row r="17">
      <c r="A17" s="1" t="n"/>
      <c r="B17" s="20" t="n">
        <v>46186</v>
      </c>
      <c r="C17" s="17" t="inlineStr">
        <is>
          <t>Monty</t>
        </is>
      </c>
      <c r="D17" s="18" t="inlineStr">
        <is>
          <t>Water</t>
        </is>
      </c>
      <c r="E17" s="18" t="n"/>
      <c r="F17" s="1" t="n"/>
      <c r="G17">
        <f>IF(OR(B17="",C17="",D17=""),"",B17+ROW()/10000000)</f>
        <v/>
      </c>
      <c r="H17">
        <f>IF(G17="","",IF(COUNTIFS('Care log'!$C$6:$C$1505,C17,'Care log'!$D$6:$D$1505,D17,'Care log'!$G$6:$G$1505,"&gt;"&amp;G17)=0,1,0))</f>
        <v/>
      </c>
    </row>
    <row r="18">
      <c r="A18" s="1" t="n"/>
      <c r="B18" s="20" t="n">
        <v>46187</v>
      </c>
      <c r="C18" s="17" t="inlineStr">
        <is>
          <t>Goldie</t>
        </is>
      </c>
      <c r="D18" s="18" t="inlineStr">
        <is>
          <t>Water</t>
        </is>
      </c>
      <c r="E18" s="18" t="n"/>
      <c r="F18" s="1" t="n"/>
      <c r="G18">
        <f>IF(OR(B18="",C18="",D18=""),"",B18+ROW()/10000000)</f>
        <v/>
      </c>
      <c r="H18">
        <f>IF(G18="","",IF(COUNTIFS('Care log'!$C$6:$C$1505,C18,'Care log'!$D$6:$D$1505,D18,'Care log'!$G$6:$G$1505,"&gt;"&amp;G18)=0,1,0))</f>
        <v/>
      </c>
    </row>
    <row r="19">
      <c r="A19" s="1" t="n"/>
      <c r="B19" s="20" t="n">
        <v>46187</v>
      </c>
      <c r="C19" s="17" t="inlineStr">
        <is>
          <t>Lily</t>
        </is>
      </c>
      <c r="D19" s="18" t="inlineStr">
        <is>
          <t>Water</t>
        </is>
      </c>
      <c r="E19" s="18" t="n"/>
      <c r="F19" s="1" t="n"/>
      <c r="G19">
        <f>IF(OR(B19="",C19="",D19=""),"",B19+ROW()/10000000)</f>
        <v/>
      </c>
      <c r="H19">
        <f>IF(G19="","",IF(COUNTIFS('Care log'!$C$6:$C$1505,C19,'Care log'!$D$6:$D$1505,D19,'Care log'!$G$6:$G$1505,"&gt;"&amp;G19)=0,1,0))</f>
        <v/>
      </c>
    </row>
    <row r="20">
      <c r="A20" s="1" t="n"/>
      <c r="B20" s="20" t="n">
        <v>46187</v>
      </c>
      <c r="C20" s="17" t="inlineStr">
        <is>
          <t>Lily</t>
        </is>
      </c>
      <c r="D20" s="18" t="inlineStr">
        <is>
          <t>Feed</t>
        </is>
      </c>
      <c r="E20" s="18" t="inlineStr">
        <is>
          <t>Half strength</t>
        </is>
      </c>
      <c r="F20" s="1" t="n"/>
      <c r="G20">
        <f>IF(OR(B20="",C20="",D20=""),"",B20+ROW()/10000000)</f>
        <v/>
      </c>
      <c r="H20">
        <f>IF(G20="","",IF(COUNTIFS('Care log'!$C$6:$C$1505,C20,'Care log'!$D$6:$D$1505,D20,'Care log'!$G$6:$G$1505,"&gt;"&amp;G20)=0,1,0))</f>
        <v/>
      </c>
    </row>
    <row r="21">
      <c r="A21" s="1" t="n"/>
      <c r="B21" s="20" t="n">
        <v>46187</v>
      </c>
      <c r="C21" s="17" t="inlineStr">
        <is>
          <t>Zed</t>
        </is>
      </c>
      <c r="D21" s="18" t="inlineStr">
        <is>
          <t>Water</t>
        </is>
      </c>
      <c r="E21" s="18" t="n"/>
      <c r="F21" s="1" t="n"/>
      <c r="G21">
        <f>IF(OR(B21="",C21="",D21=""),"",B21+ROW()/10000000)</f>
        <v/>
      </c>
      <c r="H21">
        <f>IF(G21="","",IF(COUNTIFS('Care log'!$C$6:$C$1505,C21,'Care log'!$D$6:$D$1505,D21,'Care log'!$G$6:$G$1505,"&gt;"&amp;G21)=0,1,0))</f>
        <v/>
      </c>
    </row>
    <row r="22">
      <c r="A22" s="1" t="n"/>
      <c r="B22" s="20" t="n">
        <v>46188</v>
      </c>
      <c r="C22" s="17" t="inlineStr">
        <is>
          <t>Basil</t>
        </is>
      </c>
      <c r="D22" s="18" t="inlineStr">
        <is>
          <t>Water</t>
        </is>
      </c>
      <c r="E22" s="18" t="n"/>
      <c r="F22" s="1" t="n"/>
      <c r="G22">
        <f>IF(OR(B22="",C22="",D22=""),"",B22+ROW()/10000000)</f>
        <v/>
      </c>
      <c r="H22">
        <f>IF(G22="","",IF(COUNTIFS('Care log'!$C$6:$C$1505,C22,'Care log'!$D$6:$D$1505,D22,'Care log'!$G$6:$G$1505,"&gt;"&amp;G22)=0,1,0))</f>
        <v/>
      </c>
    </row>
    <row r="23">
      <c r="A23" s="1" t="n"/>
      <c r="B23" s="20" t="n">
        <v>46188</v>
      </c>
      <c r="C23" s="17" t="inlineStr">
        <is>
          <t>Fern</t>
        </is>
      </c>
      <c r="D23" s="18" t="inlineStr">
        <is>
          <t>Water</t>
        </is>
      </c>
      <c r="E23" s="18" t="n"/>
      <c r="F23" s="1" t="n"/>
      <c r="G23">
        <f>IF(OR(B23="",C23="",D23=""),"",B23+ROW()/10000000)</f>
        <v/>
      </c>
      <c r="H23">
        <f>IF(G23="","",IF(COUNTIFS('Care log'!$C$6:$C$1505,C23,'Care log'!$D$6:$D$1505,D23,'Care log'!$G$6:$G$1505,"&gt;"&amp;G23)=0,1,0))</f>
        <v/>
      </c>
    </row>
    <row r="24">
      <c r="A24" s="1" t="n"/>
      <c r="B24" s="20" t="n">
        <v>46188</v>
      </c>
      <c r="C24" s="17" t="inlineStr">
        <is>
          <t>Spidey</t>
        </is>
      </c>
      <c r="D24" s="18" t="inlineStr">
        <is>
          <t>Water</t>
        </is>
      </c>
      <c r="E24" s="18" t="n"/>
      <c r="F24" s="1" t="n"/>
      <c r="G24">
        <f>IF(OR(B24="",C24="",D24=""),"",B24+ROW()/10000000)</f>
        <v/>
      </c>
      <c r="H24">
        <f>IF(G24="","",IF(COUNTIFS('Care log'!$C$6:$C$1505,C24,'Care log'!$D$6:$D$1505,D24,'Care log'!$G$6:$G$1505,"&gt;"&amp;G24)=0,1,0))</f>
        <v/>
      </c>
    </row>
    <row r="25">
      <c r="A25" s="1" t="n"/>
      <c r="B25" s="20" t="n">
        <v>46188</v>
      </c>
      <c r="C25" s="17" t="inlineStr">
        <is>
          <t>Zed</t>
        </is>
      </c>
      <c r="D25" s="18" t="inlineStr">
        <is>
          <t>Feed</t>
        </is>
      </c>
      <c r="E25" s="18" t="n"/>
      <c r="F25" s="1" t="n"/>
      <c r="G25">
        <f>IF(OR(B25="",C25="",D25=""),"",B25+ROW()/10000000)</f>
        <v/>
      </c>
      <c r="H25">
        <f>IF(G25="","",IF(COUNTIFS('Care log'!$C$6:$C$1505,C25,'Care log'!$D$6:$D$1505,D25,'Care log'!$G$6:$G$1505,"&gt;"&amp;G25)=0,1,0))</f>
        <v/>
      </c>
    </row>
    <row r="26">
      <c r="A26" s="1" t="n"/>
      <c r="B26" s="20" t="n">
        <v>46189</v>
      </c>
      <c r="C26" s="17" t="inlineStr">
        <is>
          <t>Basil</t>
        </is>
      </c>
      <c r="D26" s="18" t="inlineStr">
        <is>
          <t>Water</t>
        </is>
      </c>
      <c r="E26" s="18" t="n"/>
      <c r="F26" s="1" t="n"/>
      <c r="G26">
        <f>IF(OR(B26="",C26="",D26=""),"",B26+ROW()/10000000)</f>
        <v/>
      </c>
      <c r="H26">
        <f>IF(G26="","",IF(COUNTIFS('Care log'!$C$6:$C$1505,C26,'Care log'!$D$6:$D$1505,D26,'Care log'!$G$6:$G$1505,"&gt;"&amp;G26)=0,1,0))</f>
        <v/>
      </c>
    </row>
    <row r="27">
      <c r="A27" s="1" t="n"/>
      <c r="B27" s="20" t="n">
        <v>46189</v>
      </c>
      <c r="C27" s="17" t="inlineStr">
        <is>
          <t>Cleo</t>
        </is>
      </c>
      <c r="D27" s="18" t="inlineStr">
        <is>
          <t>Water</t>
        </is>
      </c>
      <c r="E27" s="18" t="n"/>
      <c r="F27" s="1" t="n"/>
      <c r="G27">
        <f>IF(OR(B27="",C27="",D27=""),"",B27+ROW()/10000000)</f>
        <v/>
      </c>
      <c r="H27">
        <f>IF(G27="","",IF(COUNTIFS('Care log'!$C$6:$C$1505,C27,'Care log'!$D$6:$D$1505,D27,'Care log'!$G$6:$G$1505,"&gt;"&amp;G27)=0,1,0))</f>
        <v/>
      </c>
    </row>
    <row r="28">
      <c r="A28" s="1" t="n"/>
      <c r="B28" s="20" t="n">
        <v>46190</v>
      </c>
      <c r="C28" s="17" t="inlineStr">
        <is>
          <t>Basil</t>
        </is>
      </c>
      <c r="D28" s="18" t="inlineStr">
        <is>
          <t>Water</t>
        </is>
      </c>
      <c r="E28" s="18" t="n"/>
      <c r="F28" s="1" t="n"/>
      <c r="G28">
        <f>IF(OR(B28="",C28="",D28=""),"",B28+ROW()/10000000)</f>
        <v/>
      </c>
      <c r="H28">
        <f>IF(G28="","",IF(COUNTIFS('Care log'!$C$6:$C$1505,C28,'Care log'!$D$6:$D$1505,D28,'Care log'!$G$6:$G$1505,"&gt;"&amp;G28)=0,1,0))</f>
        <v/>
      </c>
    </row>
    <row r="29">
      <c r="A29" s="1" t="n"/>
      <c r="B29" s="20" t="n">
        <v>46190</v>
      </c>
      <c r="C29" s="17" t="inlineStr">
        <is>
          <t>Sansa</t>
        </is>
      </c>
      <c r="D29" s="18" t="inlineStr">
        <is>
          <t>Water</t>
        </is>
      </c>
      <c r="E29" s="18" t="n"/>
      <c r="F29" s="1" t="n"/>
      <c r="G29">
        <f>IF(OR(B29="",C29="",D29=""),"",B29+ROW()/10000000)</f>
        <v/>
      </c>
      <c r="H29">
        <f>IF(G29="","",IF(COUNTIFS('Care log'!$C$6:$C$1505,C29,'Care log'!$D$6:$D$1505,D29,'Care log'!$G$6:$G$1505,"&gt;"&amp;G29)=0,1,0))</f>
        <v/>
      </c>
    </row>
    <row r="30">
      <c r="A30" s="1" t="n"/>
      <c r="B30" s="20" t="n">
        <v>46191</v>
      </c>
      <c r="C30" s="17" t="inlineStr">
        <is>
          <t>Basil</t>
        </is>
      </c>
      <c r="D30" s="18" t="inlineStr">
        <is>
          <t>Water</t>
        </is>
      </c>
      <c r="E30" s="18" t="n"/>
      <c r="F30" s="1" t="n"/>
      <c r="G30">
        <f>IF(OR(B30="",C30="",D30=""),"",B30+ROW()/10000000)</f>
        <v/>
      </c>
      <c r="H30">
        <f>IF(G30="","",IF(COUNTIFS('Care log'!$C$6:$C$1505,C30,'Care log'!$D$6:$D$1505,D30,'Care log'!$G$6:$G$1505,"&gt;"&amp;G30)=0,1,0))</f>
        <v/>
      </c>
    </row>
    <row r="31">
      <c r="A31" s="1" t="n"/>
      <c r="B31" s="20" t="n">
        <v>46191</v>
      </c>
      <c r="C31" s="17" t="inlineStr">
        <is>
          <t>Fern</t>
        </is>
      </c>
      <c r="D31" s="18" t="inlineStr">
        <is>
          <t>Water</t>
        </is>
      </c>
      <c r="E31" s="18" t="n"/>
      <c r="F31" s="1" t="n"/>
      <c r="G31">
        <f>IF(OR(B31="",C31="",D31=""),"",B31+ROW()/10000000)</f>
        <v/>
      </c>
      <c r="H31">
        <f>IF(G31="","",IF(COUNTIFS('Care log'!$C$6:$C$1505,C31,'Care log'!$D$6:$D$1505,D31,'Care log'!$G$6:$G$1505,"&gt;"&amp;G31)=0,1,0))</f>
        <v/>
      </c>
    </row>
    <row r="32">
      <c r="A32" s="1" t="n"/>
      <c r="B32" s="20" t="n">
        <v>46191</v>
      </c>
      <c r="C32" s="17" t="inlineStr">
        <is>
          <t>Fig</t>
        </is>
      </c>
      <c r="D32" s="18" t="inlineStr">
        <is>
          <t>Feed</t>
        </is>
      </c>
      <c r="E32" s="18" t="inlineStr">
        <is>
          <t>Half strength</t>
        </is>
      </c>
      <c r="F32" s="1" t="n"/>
      <c r="G32">
        <f>IF(OR(B32="",C32="",D32=""),"",B32+ROW()/10000000)</f>
        <v/>
      </c>
      <c r="H32">
        <f>IF(G32="","",IF(COUNTIFS('Care log'!$C$6:$C$1505,C32,'Care log'!$D$6:$D$1505,D32,'Care log'!$G$6:$G$1505,"&gt;"&amp;G32)=0,1,0))</f>
        <v/>
      </c>
    </row>
    <row r="33">
      <c r="A33" s="1" t="n"/>
      <c r="B33" s="20" t="n">
        <v>46191</v>
      </c>
      <c r="C33" s="17" t="inlineStr">
        <is>
          <t>Pearl</t>
        </is>
      </c>
      <c r="D33" s="18" t="inlineStr">
        <is>
          <t>Water</t>
        </is>
      </c>
      <c r="E33" s="18" t="n"/>
      <c r="F33" s="1" t="n"/>
      <c r="G33">
        <f>IF(OR(B33="",C33="",D33=""),"",B33+ROW()/10000000)</f>
        <v/>
      </c>
      <c r="H33">
        <f>IF(G33="","",IF(COUNTIFS('Care log'!$C$6:$C$1505,C33,'Care log'!$D$6:$D$1505,D33,'Care log'!$G$6:$G$1505,"&gt;"&amp;G33)=0,1,0))</f>
        <v/>
      </c>
    </row>
    <row r="34">
      <c r="A34" s="1" t="n"/>
      <c r="B34" s="20" t="n">
        <v>46192</v>
      </c>
      <c r="C34" s="17" t="inlineStr">
        <is>
          <t>Basil</t>
        </is>
      </c>
      <c r="D34" s="18" t="inlineStr">
        <is>
          <t>Water</t>
        </is>
      </c>
      <c r="E34" s="18" t="n"/>
      <c r="F34" s="1" t="n"/>
      <c r="G34">
        <f>IF(OR(B34="",C34="",D34=""),"",B34+ROW()/10000000)</f>
        <v/>
      </c>
      <c r="H34">
        <f>IF(G34="","",IF(COUNTIFS('Care log'!$C$6:$C$1505,C34,'Care log'!$D$6:$D$1505,D34,'Care log'!$G$6:$G$1505,"&gt;"&amp;G34)=0,1,0))</f>
        <v/>
      </c>
    </row>
    <row r="35">
      <c r="A35" s="1" t="n"/>
      <c r="B35" s="20" t="n">
        <v>46192</v>
      </c>
      <c r="C35" s="17" t="inlineStr">
        <is>
          <t>Echo</t>
        </is>
      </c>
      <c r="D35" s="18" t="inlineStr">
        <is>
          <t>Water</t>
        </is>
      </c>
      <c r="E35" s="18" t="n"/>
      <c r="F35" s="1" t="n"/>
      <c r="G35">
        <f>IF(OR(B35="",C35="",D35=""),"",B35+ROW()/10000000)</f>
        <v/>
      </c>
      <c r="H35">
        <f>IF(G35="","",IF(COUNTIFS('Care log'!$C$6:$C$1505,C35,'Care log'!$D$6:$D$1505,D35,'Care log'!$G$6:$G$1505,"&gt;"&amp;G35)=0,1,0))</f>
        <v/>
      </c>
    </row>
    <row r="36">
      <c r="A36" s="1" t="n"/>
      <c r="B36" s="20" t="n">
        <v>46192</v>
      </c>
      <c r="C36" s="17" t="inlineStr">
        <is>
          <t>Fig</t>
        </is>
      </c>
      <c r="D36" s="18" t="inlineStr">
        <is>
          <t>Water</t>
        </is>
      </c>
      <c r="E36" s="18" t="n"/>
      <c r="F36" s="1" t="n"/>
      <c r="G36">
        <f>IF(OR(B36="",C36="",D36=""),"",B36+ROW()/10000000)</f>
        <v/>
      </c>
      <c r="H36">
        <f>IF(G36="","",IF(COUNTIFS('Care log'!$C$6:$C$1505,C36,'Care log'!$D$6:$D$1505,D36,'Care log'!$G$6:$G$1505,"&gt;"&amp;G36)=0,1,0))</f>
        <v/>
      </c>
    </row>
    <row r="37">
      <c r="A37" s="1" t="n"/>
      <c r="B37" s="20" t="n">
        <v>46192</v>
      </c>
      <c r="C37" s="17" t="inlineStr">
        <is>
          <t>Lily</t>
        </is>
      </c>
      <c r="D37" s="18" t="inlineStr">
        <is>
          <t>Water</t>
        </is>
      </c>
      <c r="E37" s="18" t="n"/>
      <c r="F37" s="1" t="n"/>
      <c r="G37">
        <f>IF(OR(B37="",C37="",D37=""),"",B37+ROW()/10000000)</f>
        <v/>
      </c>
      <c r="H37">
        <f>IF(G37="","",IF(COUNTIFS('Care log'!$C$6:$C$1505,C37,'Care log'!$D$6:$D$1505,D37,'Care log'!$G$6:$G$1505,"&gt;"&amp;G37)=0,1,0))</f>
        <v/>
      </c>
    </row>
    <row r="38">
      <c r="A38" s="1" t="n"/>
      <c r="B38" s="20" t="n">
        <v>46192</v>
      </c>
      <c r="C38" s="17" t="inlineStr">
        <is>
          <t>Vera</t>
        </is>
      </c>
      <c r="D38" s="18" t="inlineStr">
        <is>
          <t>Water</t>
        </is>
      </c>
      <c r="E38" s="18" t="n"/>
      <c r="F38" s="1" t="n"/>
      <c r="G38">
        <f>IF(OR(B38="",C38="",D38=""),"",B38+ROW()/10000000)</f>
        <v/>
      </c>
      <c r="H38">
        <f>IF(G38="","",IF(COUNTIFS('Care log'!$C$6:$C$1505,C38,'Care log'!$D$6:$D$1505,D38,'Care log'!$G$6:$G$1505,"&gt;"&amp;G38)=0,1,0))</f>
        <v/>
      </c>
    </row>
    <row r="39">
      <c r="A39" s="1" t="n"/>
      <c r="B39" s="20" t="n">
        <v>46193</v>
      </c>
      <c r="C39" s="17" t="inlineStr">
        <is>
          <t>Cleo</t>
        </is>
      </c>
      <c r="D39" s="18" t="inlineStr">
        <is>
          <t>Water</t>
        </is>
      </c>
      <c r="E39" s="18" t="n"/>
      <c r="F39" s="1" t="n"/>
      <c r="G39">
        <f>IF(OR(B39="",C39="",D39=""),"",B39+ROW()/10000000)</f>
        <v/>
      </c>
      <c r="H39">
        <f>IF(G39="","",IF(COUNTIFS('Care log'!$C$6:$C$1505,C39,'Care log'!$D$6:$D$1505,D39,'Care log'!$G$6:$G$1505,"&gt;"&amp;G39)=0,1,0))</f>
        <v/>
      </c>
    </row>
    <row r="40">
      <c r="A40" s="1" t="n"/>
      <c r="B40" s="20" t="n">
        <v>46193</v>
      </c>
      <c r="C40" s="17" t="inlineStr">
        <is>
          <t>Cleo</t>
        </is>
      </c>
      <c r="D40" s="18" t="inlineStr">
        <is>
          <t>Feed</t>
        </is>
      </c>
      <c r="E40" s="18" t="inlineStr">
        <is>
          <t>Half strength</t>
        </is>
      </c>
      <c r="F40" s="1" t="n"/>
      <c r="G40">
        <f>IF(OR(B40="",C40="",D40=""),"",B40+ROW()/10000000)</f>
        <v/>
      </c>
      <c r="H40">
        <f>IF(G40="","",IF(COUNTIFS('Care log'!$C$6:$C$1505,C40,'Care log'!$D$6:$D$1505,D40,'Care log'!$G$6:$G$1505,"&gt;"&amp;G40)=0,1,0))</f>
        <v/>
      </c>
    </row>
    <row r="41">
      <c r="A41" s="1" t="n"/>
      <c r="B41" s="20" t="n">
        <v>46193</v>
      </c>
      <c r="C41" s="17" t="inlineStr">
        <is>
          <t>Fern</t>
        </is>
      </c>
      <c r="D41" s="18" t="inlineStr">
        <is>
          <t>Water</t>
        </is>
      </c>
      <c r="E41" s="18" t="n"/>
      <c r="F41" s="1" t="n"/>
      <c r="G41">
        <f>IF(OR(B41="",C41="",D41=""),"",B41+ROW()/10000000)</f>
        <v/>
      </c>
      <c r="H41">
        <f>IF(G41="","",IF(COUNTIFS('Care log'!$C$6:$C$1505,C41,'Care log'!$D$6:$D$1505,D41,'Care log'!$G$6:$G$1505,"&gt;"&amp;G41)=0,1,0))</f>
        <v/>
      </c>
    </row>
    <row r="42">
      <c r="A42" s="1" t="n"/>
      <c r="B42" s="20" t="n">
        <v>46193</v>
      </c>
      <c r="C42" s="17" t="inlineStr">
        <is>
          <t>Monty</t>
        </is>
      </c>
      <c r="D42" s="18" t="inlineStr">
        <is>
          <t>Water</t>
        </is>
      </c>
      <c r="E42" s="18" t="n"/>
      <c r="F42" s="1" t="n"/>
      <c r="G42">
        <f>IF(OR(B42="",C42="",D42=""),"",B42+ROW()/10000000)</f>
        <v/>
      </c>
      <c r="H42">
        <f>IF(G42="","",IF(COUNTIFS('Care log'!$C$6:$C$1505,C42,'Care log'!$D$6:$D$1505,D42,'Care log'!$G$6:$G$1505,"&gt;"&amp;G42)=0,1,0))</f>
        <v/>
      </c>
    </row>
    <row r="43">
      <c r="A43" s="1" t="n"/>
      <c r="B43" s="20" t="n">
        <v>46193</v>
      </c>
      <c r="C43" s="17" t="inlineStr">
        <is>
          <t>Ruby</t>
        </is>
      </c>
      <c r="D43" s="18" t="inlineStr">
        <is>
          <t>Water</t>
        </is>
      </c>
      <c r="E43" s="18" t="n"/>
      <c r="F43" s="1" t="n"/>
      <c r="G43">
        <f>IF(OR(B43="",C43="",D43=""),"",B43+ROW()/10000000)</f>
        <v/>
      </c>
      <c r="H43">
        <f>IF(G43="","",IF(COUNTIFS('Care log'!$C$6:$C$1505,C43,'Care log'!$D$6:$D$1505,D43,'Care log'!$G$6:$G$1505,"&gt;"&amp;G43)=0,1,0))</f>
        <v/>
      </c>
    </row>
    <row r="44">
      <c r="A44" s="1" t="n"/>
      <c r="B44" s="20" t="n">
        <v>46193</v>
      </c>
      <c r="C44" s="17" t="inlineStr">
        <is>
          <t>Sansa</t>
        </is>
      </c>
      <c r="D44" s="18" t="inlineStr">
        <is>
          <t>Feed</t>
        </is>
      </c>
      <c r="E44" s="18" t="n"/>
      <c r="F44" s="1" t="n"/>
      <c r="G44">
        <f>IF(OR(B44="",C44="",D44=""),"",B44+ROW()/10000000)</f>
        <v/>
      </c>
      <c r="H44">
        <f>IF(G44="","",IF(COUNTIFS('Care log'!$C$6:$C$1505,C44,'Care log'!$D$6:$D$1505,D44,'Care log'!$G$6:$G$1505,"&gt;"&amp;G44)=0,1,0))</f>
        <v/>
      </c>
    </row>
    <row r="45">
      <c r="A45" s="1" t="n"/>
      <c r="B45" s="20" t="n">
        <v>46194</v>
      </c>
      <c r="C45" s="17" t="inlineStr">
        <is>
          <t>Basil</t>
        </is>
      </c>
      <c r="D45" s="18" t="inlineStr">
        <is>
          <t>Feed</t>
        </is>
      </c>
      <c r="E45" s="18" t="inlineStr">
        <is>
          <t>Half strength</t>
        </is>
      </c>
      <c r="F45" s="1" t="n"/>
      <c r="G45">
        <f>IF(OR(B45="",C45="",D45=""),"",B45+ROW()/10000000)</f>
        <v/>
      </c>
      <c r="H45">
        <f>IF(G45="","",IF(COUNTIFS('Care log'!$C$6:$C$1505,C45,'Care log'!$D$6:$D$1505,D45,'Care log'!$G$6:$G$1505,"&gt;"&amp;G45)=0,1,0))</f>
        <v/>
      </c>
    </row>
    <row r="46">
      <c r="A46" s="1" t="n"/>
      <c r="B46" s="20" t="n">
        <v>46195</v>
      </c>
      <c r="C46" s="17" t="inlineStr">
        <is>
          <t>Basil</t>
        </is>
      </c>
      <c r="D46" s="18" t="inlineStr">
        <is>
          <t>Water</t>
        </is>
      </c>
      <c r="E46" s="18" t="n"/>
      <c r="F46" s="1" t="n"/>
      <c r="G46">
        <f>IF(OR(B46="",C46="",D46=""),"",B46+ROW()/10000000)</f>
        <v/>
      </c>
      <c r="H46">
        <f>IF(G46="","",IF(COUNTIFS('Care log'!$C$6:$C$1505,C46,'Care log'!$D$6:$D$1505,D46,'Care log'!$G$6:$G$1505,"&gt;"&amp;G46)=0,1,0))</f>
        <v/>
      </c>
    </row>
    <row r="47">
      <c r="A47" s="1" t="n"/>
      <c r="B47" s="20" t="n">
        <v>46195</v>
      </c>
      <c r="C47" s="17" t="inlineStr">
        <is>
          <t>Goldie</t>
        </is>
      </c>
      <c r="D47" s="18" t="inlineStr">
        <is>
          <t>Water</t>
        </is>
      </c>
      <c r="E47" s="18" t="n"/>
      <c r="F47" s="1" t="n"/>
      <c r="G47">
        <f>IF(OR(B47="",C47="",D47=""),"",B47+ROW()/10000000)</f>
        <v/>
      </c>
      <c r="H47">
        <f>IF(G47="","",IF(COUNTIFS('Care log'!$C$6:$C$1505,C47,'Care log'!$D$6:$D$1505,D47,'Care log'!$G$6:$G$1505,"&gt;"&amp;G47)=0,1,0))</f>
        <v/>
      </c>
    </row>
    <row r="48">
      <c r="A48" s="1" t="n"/>
      <c r="B48" s="20" t="n">
        <v>46195</v>
      </c>
      <c r="C48" s="17" t="inlineStr">
        <is>
          <t>Spidey</t>
        </is>
      </c>
      <c r="D48" s="18" t="inlineStr">
        <is>
          <t>Water</t>
        </is>
      </c>
      <c r="E48" s="18" t="n"/>
      <c r="F48" s="1" t="n"/>
      <c r="G48">
        <f>IF(OR(B48="",C48="",D48=""),"",B48+ROW()/10000000)</f>
        <v/>
      </c>
      <c r="H48">
        <f>IF(G48="","",IF(COUNTIFS('Care log'!$C$6:$C$1505,C48,'Care log'!$D$6:$D$1505,D48,'Care log'!$G$6:$G$1505,"&gt;"&amp;G48)=0,1,0))</f>
        <v/>
      </c>
    </row>
    <row r="49">
      <c r="A49" s="1" t="n"/>
      <c r="B49" s="20" t="n">
        <v>46196</v>
      </c>
      <c r="C49" s="17" t="inlineStr">
        <is>
          <t>Fern</t>
        </is>
      </c>
      <c r="D49" s="18" t="inlineStr">
        <is>
          <t>Water</t>
        </is>
      </c>
      <c r="E49" s="18" t="n"/>
      <c r="F49" s="1" t="n"/>
      <c r="G49">
        <f>IF(OR(B49="",C49="",D49=""),"",B49+ROW()/10000000)</f>
        <v/>
      </c>
      <c r="H49">
        <f>IF(G49="","",IF(COUNTIFS('Care log'!$C$6:$C$1505,C49,'Care log'!$D$6:$D$1505,D49,'Care log'!$G$6:$G$1505,"&gt;"&amp;G49)=0,1,0))</f>
        <v/>
      </c>
    </row>
    <row r="50">
      <c r="A50" s="1" t="n"/>
      <c r="B50" s="20" t="n">
        <v>46197</v>
      </c>
      <c r="C50" s="17" t="inlineStr">
        <is>
          <t>Basil</t>
        </is>
      </c>
      <c r="D50" s="18" t="inlineStr">
        <is>
          <t>Water</t>
        </is>
      </c>
      <c r="E50" s="18" t="n"/>
      <c r="F50" s="1" t="n"/>
      <c r="G50">
        <f>IF(OR(B50="",C50="",D50=""),"",B50+ROW()/10000000)</f>
        <v/>
      </c>
      <c r="H50">
        <f>IF(G50="","",IF(COUNTIFS('Care log'!$C$6:$C$1505,C50,'Care log'!$D$6:$D$1505,D50,'Care log'!$G$6:$G$1505,"&gt;"&amp;G50)=0,1,0))</f>
        <v/>
      </c>
    </row>
    <row r="51">
      <c r="A51" s="1" t="n"/>
      <c r="B51" s="20" t="n">
        <v>46197</v>
      </c>
      <c r="C51" s="17" t="inlineStr">
        <is>
          <t>Cleo</t>
        </is>
      </c>
      <c r="D51" s="18" t="inlineStr">
        <is>
          <t>Water</t>
        </is>
      </c>
      <c r="E51" s="18" t="n"/>
      <c r="F51" s="1" t="n"/>
      <c r="G51">
        <f>IF(OR(B51="",C51="",D51=""),"",B51+ROW()/10000000)</f>
        <v/>
      </c>
      <c r="H51">
        <f>IF(G51="","",IF(COUNTIFS('Care log'!$C$6:$C$1505,C51,'Care log'!$D$6:$D$1505,D51,'Care log'!$G$6:$G$1505,"&gt;"&amp;G51)=0,1,0))</f>
        <v/>
      </c>
    </row>
    <row r="52">
      <c r="A52" s="1" t="n"/>
      <c r="B52" s="20" t="n">
        <v>46198</v>
      </c>
      <c r="C52" s="17" t="inlineStr">
        <is>
          <t>Lily</t>
        </is>
      </c>
      <c r="D52" s="18" t="inlineStr">
        <is>
          <t>Water</t>
        </is>
      </c>
      <c r="E52" s="18" t="n"/>
      <c r="F52" s="1" t="n"/>
      <c r="G52">
        <f>IF(OR(B52="",C52="",D52=""),"",B52+ROW()/10000000)</f>
        <v/>
      </c>
      <c r="H52">
        <f>IF(G52="","",IF(COUNTIFS('Care log'!$C$6:$C$1505,C52,'Care log'!$D$6:$D$1505,D52,'Care log'!$G$6:$G$1505,"&gt;"&amp;G52)=0,1,0))</f>
        <v/>
      </c>
    </row>
    <row r="53">
      <c r="A53" s="1" t="n"/>
      <c r="B53" s="20" t="n">
        <v>46198</v>
      </c>
      <c r="C53" s="17" t="inlineStr">
        <is>
          <t>Ruby</t>
        </is>
      </c>
      <c r="D53" s="18" t="inlineStr">
        <is>
          <t>Feed</t>
        </is>
      </c>
      <c r="E53" s="18" t="inlineStr">
        <is>
          <t>Half strength</t>
        </is>
      </c>
      <c r="F53" s="1" t="n"/>
      <c r="G53">
        <f>IF(OR(B53="",C53="",D53=""),"",B53+ROW()/10000000)</f>
        <v/>
      </c>
      <c r="H53">
        <f>IF(G53="","",IF(COUNTIFS('Care log'!$C$6:$C$1505,C53,'Care log'!$D$6:$D$1505,D53,'Care log'!$G$6:$G$1505,"&gt;"&amp;G53)=0,1,0))</f>
        <v/>
      </c>
    </row>
    <row r="54">
      <c r="A54" s="1" t="n"/>
      <c r="B54" s="20" t="n">
        <v>46199</v>
      </c>
      <c r="C54" s="17" t="inlineStr">
        <is>
          <t>Basil</t>
        </is>
      </c>
      <c r="D54" s="18" t="inlineStr">
        <is>
          <t>Water</t>
        </is>
      </c>
      <c r="E54" s="18" t="n"/>
      <c r="F54" s="1" t="n"/>
      <c r="G54">
        <f>IF(OR(B54="",C54="",D54=""),"",B54+ROW()/10000000)</f>
        <v/>
      </c>
      <c r="H54">
        <f>IF(G54="","",IF(COUNTIFS('Care log'!$C$6:$C$1505,C54,'Care log'!$D$6:$D$1505,D54,'Care log'!$G$6:$G$1505,"&gt;"&amp;G54)=0,1,0))</f>
        <v/>
      </c>
    </row>
    <row r="55">
      <c r="A55" s="1" t="n"/>
      <c r="B55" s="20" t="n">
        <v>46199</v>
      </c>
      <c r="C55" s="17" t="inlineStr">
        <is>
          <t>Fern</t>
        </is>
      </c>
      <c r="D55" s="18" t="inlineStr">
        <is>
          <t>Water</t>
        </is>
      </c>
      <c r="E55" s="18" t="n"/>
      <c r="F55" s="1" t="n"/>
      <c r="G55">
        <f>IF(OR(B55="",C55="",D55=""),"",B55+ROW()/10000000)</f>
        <v/>
      </c>
      <c r="H55">
        <f>IF(G55="","",IF(COUNTIFS('Care log'!$C$6:$C$1505,C55,'Care log'!$D$6:$D$1505,D55,'Care log'!$G$6:$G$1505,"&gt;"&amp;G55)=0,1,0))</f>
        <v/>
      </c>
    </row>
    <row r="56">
      <c r="A56" s="1" t="n"/>
      <c r="B56" s="20" t="n">
        <v>46200</v>
      </c>
      <c r="C56" s="17" t="inlineStr">
        <is>
          <t>Basil</t>
        </is>
      </c>
      <c r="D56" s="18" t="inlineStr">
        <is>
          <t>Water</t>
        </is>
      </c>
      <c r="E56" s="18" t="n"/>
      <c r="F56" s="1" t="n"/>
      <c r="G56">
        <f>IF(OR(B56="",C56="",D56=""),"",B56+ROW()/10000000)</f>
        <v/>
      </c>
      <c r="H56">
        <f>IF(G56="","",IF(COUNTIFS('Care log'!$C$6:$C$1505,C56,'Care log'!$D$6:$D$1505,D56,'Care log'!$G$6:$G$1505,"&gt;"&amp;G56)=0,1,0))</f>
        <v/>
      </c>
    </row>
    <row r="57">
      <c r="A57" s="1" t="n"/>
      <c r="B57" s="20" t="n">
        <v>46200</v>
      </c>
      <c r="C57" s="17" t="inlineStr">
        <is>
          <t>Fig</t>
        </is>
      </c>
      <c r="D57" s="18" t="inlineStr">
        <is>
          <t>Water</t>
        </is>
      </c>
      <c r="E57" s="18" t="n"/>
      <c r="F57" s="1" t="n"/>
      <c r="G57">
        <f>IF(OR(B57="",C57="",D57=""),"",B57+ROW()/10000000)</f>
        <v/>
      </c>
      <c r="H57">
        <f>IF(G57="","",IF(COUNTIFS('Care log'!$C$6:$C$1505,C57,'Care log'!$D$6:$D$1505,D57,'Care log'!$G$6:$G$1505,"&gt;"&amp;G57)=0,1,0))</f>
        <v/>
      </c>
    </row>
    <row r="58">
      <c r="A58" s="1" t="n"/>
      <c r="B58" s="20" t="n">
        <v>46200</v>
      </c>
      <c r="C58" s="17" t="inlineStr">
        <is>
          <t>Monty</t>
        </is>
      </c>
      <c r="D58" s="18" t="inlineStr">
        <is>
          <t>Water</t>
        </is>
      </c>
      <c r="E58" s="18" t="n"/>
      <c r="F58" s="1" t="n"/>
      <c r="G58">
        <f>IF(OR(B58="",C58="",D58=""),"",B58+ROW()/10000000)</f>
        <v/>
      </c>
      <c r="H58">
        <f>IF(G58="","",IF(COUNTIFS('Care log'!$C$6:$C$1505,C58,'Care log'!$D$6:$D$1505,D58,'Care log'!$G$6:$G$1505,"&gt;"&amp;G58)=0,1,0))</f>
        <v/>
      </c>
    </row>
    <row r="59">
      <c r="A59" s="1" t="n"/>
      <c r="B59" s="20" t="n">
        <v>46200</v>
      </c>
      <c r="C59" s="17" t="inlineStr">
        <is>
          <t>Pearl</t>
        </is>
      </c>
      <c r="D59" s="18" t="inlineStr">
        <is>
          <t>Water</t>
        </is>
      </c>
      <c r="E59" s="18" t="n"/>
      <c r="F59" s="1" t="n"/>
      <c r="G59">
        <f>IF(OR(B59="",C59="",D59=""),"",B59+ROW()/10000000)</f>
        <v/>
      </c>
      <c r="H59">
        <f>IF(G59="","",IF(COUNTIFS('Care log'!$C$6:$C$1505,C59,'Care log'!$D$6:$D$1505,D59,'Care log'!$G$6:$G$1505,"&gt;"&amp;G59)=0,1,0))</f>
        <v/>
      </c>
    </row>
    <row r="60">
      <c r="A60" s="1" t="n"/>
      <c r="B60" s="20" t="n">
        <v>46200</v>
      </c>
      <c r="C60" s="17" t="inlineStr">
        <is>
          <t>Spidey</t>
        </is>
      </c>
      <c r="D60" s="18" t="inlineStr">
        <is>
          <t>Water</t>
        </is>
      </c>
      <c r="E60" s="18" t="n"/>
      <c r="F60" s="1" t="n"/>
      <c r="G60">
        <f>IF(OR(B60="",C60="",D60=""),"",B60+ROW()/10000000)</f>
        <v/>
      </c>
      <c r="H60">
        <f>IF(G60="","",IF(COUNTIFS('Care log'!$C$6:$C$1505,C60,'Care log'!$D$6:$D$1505,D60,'Care log'!$G$6:$G$1505,"&gt;"&amp;G60)=0,1,0))</f>
        <v/>
      </c>
    </row>
    <row r="61">
      <c r="A61" s="1" t="n"/>
      <c r="B61" s="20" t="n">
        <v>46201</v>
      </c>
      <c r="C61" s="17" t="inlineStr">
        <is>
          <t>Fern</t>
        </is>
      </c>
      <c r="D61" s="18" t="inlineStr">
        <is>
          <t>Water</t>
        </is>
      </c>
      <c r="E61" s="18" t="n"/>
      <c r="F61" s="1" t="n"/>
      <c r="G61">
        <f>IF(OR(B61="",C61="",D61=""),"",B61+ROW()/10000000)</f>
        <v/>
      </c>
      <c r="H61">
        <f>IF(G61="","",IF(COUNTIFS('Care log'!$C$6:$C$1505,C61,'Care log'!$D$6:$D$1505,D61,'Care log'!$G$6:$G$1505,"&gt;"&amp;G61)=0,1,0))</f>
        <v/>
      </c>
    </row>
    <row r="62">
      <c r="A62" s="1" t="n"/>
      <c r="B62" s="20" t="n">
        <v>46201</v>
      </c>
      <c r="C62" s="17" t="inlineStr">
        <is>
          <t>Ruby</t>
        </is>
      </c>
      <c r="D62" s="18" t="inlineStr">
        <is>
          <t>Water</t>
        </is>
      </c>
      <c r="E62" s="18" t="n"/>
      <c r="F62" s="1" t="n"/>
      <c r="G62">
        <f>IF(OR(B62="",C62="",D62=""),"",B62+ROW()/10000000)</f>
        <v/>
      </c>
      <c r="H62">
        <f>IF(G62="","",IF(COUNTIFS('Care log'!$C$6:$C$1505,C62,'Care log'!$D$6:$D$1505,D62,'Care log'!$G$6:$G$1505,"&gt;"&amp;G62)=0,1,0))</f>
        <v/>
      </c>
    </row>
    <row r="63">
      <c r="A63" s="1" t="n"/>
      <c r="B63" s="20" t="n">
        <v>46201</v>
      </c>
      <c r="C63" s="17" t="inlineStr">
        <is>
          <t>Zed</t>
        </is>
      </c>
      <c r="D63" s="18" t="inlineStr">
        <is>
          <t>Water</t>
        </is>
      </c>
      <c r="E63" s="18" t="n"/>
      <c r="F63" s="1" t="n"/>
      <c r="G63">
        <f>IF(OR(B63="",C63="",D63=""),"",B63+ROW()/10000000)</f>
        <v/>
      </c>
      <c r="H63">
        <f>IF(G63="","",IF(COUNTIFS('Care log'!$C$6:$C$1505,C63,'Care log'!$D$6:$D$1505,D63,'Care log'!$G$6:$G$1505,"&gt;"&amp;G63)=0,1,0))</f>
        <v/>
      </c>
    </row>
    <row r="64">
      <c r="A64" s="1" t="n"/>
      <c r="B64" s="20" t="n">
        <v>46202</v>
      </c>
      <c r="C64" s="17" t="inlineStr">
        <is>
          <t>Basil</t>
        </is>
      </c>
      <c r="D64" s="18" t="inlineStr">
        <is>
          <t>Water</t>
        </is>
      </c>
      <c r="E64" s="18" t="n"/>
      <c r="F64" s="1" t="n"/>
      <c r="G64">
        <f>IF(OR(B64="",C64="",D64=""),"",B64+ROW()/10000000)</f>
        <v/>
      </c>
      <c r="H64">
        <f>IF(G64="","",IF(COUNTIFS('Care log'!$C$6:$C$1505,C64,'Care log'!$D$6:$D$1505,D64,'Care log'!$G$6:$G$1505,"&gt;"&amp;G64)=0,1,0))</f>
        <v/>
      </c>
    </row>
    <row r="65">
      <c r="A65" s="1" t="n"/>
      <c r="B65" s="20" t="n">
        <v>46202</v>
      </c>
      <c r="C65" s="17" t="inlineStr">
        <is>
          <t>Cleo</t>
        </is>
      </c>
      <c r="D65" s="18" t="inlineStr">
        <is>
          <t>Water</t>
        </is>
      </c>
      <c r="E65" s="18" t="n"/>
      <c r="F65" s="1" t="n"/>
      <c r="G65">
        <f>IF(OR(B65="",C65="",D65=""),"",B65+ROW()/10000000)</f>
        <v/>
      </c>
      <c r="H65">
        <f>IF(G65="","",IF(COUNTIFS('Care log'!$C$6:$C$1505,C65,'Care log'!$D$6:$D$1505,D65,'Care log'!$G$6:$G$1505,"&gt;"&amp;G65)=0,1,0))</f>
        <v/>
      </c>
    </row>
    <row r="66">
      <c r="A66" s="1" t="n"/>
      <c r="B66" s="20" t="n">
        <v>46202</v>
      </c>
      <c r="C66" s="17" t="inlineStr">
        <is>
          <t>Fern</t>
        </is>
      </c>
      <c r="D66" s="18" t="inlineStr">
        <is>
          <t>Feed</t>
        </is>
      </c>
      <c r="E66" s="18" t="inlineStr">
        <is>
          <t>Half strength</t>
        </is>
      </c>
      <c r="F66" s="1" t="n"/>
      <c r="G66">
        <f>IF(OR(B66="",C66="",D66=""),"",B66+ROW()/10000000)</f>
        <v/>
      </c>
      <c r="H66">
        <f>IF(G66="","",IF(COUNTIFS('Care log'!$C$6:$C$1505,C66,'Care log'!$D$6:$D$1505,D66,'Care log'!$G$6:$G$1505,"&gt;"&amp;G66)=0,1,0))</f>
        <v/>
      </c>
    </row>
    <row r="67">
      <c r="A67" s="1" t="n"/>
      <c r="B67" s="20" t="n">
        <v>46203</v>
      </c>
      <c r="C67" s="17" t="inlineStr">
        <is>
          <t>Goldie</t>
        </is>
      </c>
      <c r="D67" s="18" t="inlineStr">
        <is>
          <t>Water</t>
        </is>
      </c>
      <c r="E67" s="18" t="n"/>
      <c r="F67" s="1" t="n"/>
      <c r="G67">
        <f>IF(OR(B67="",C67="",D67=""),"",B67+ROW()/10000000)</f>
        <v/>
      </c>
      <c r="H67">
        <f>IF(G67="","",IF(COUNTIFS('Care log'!$C$6:$C$1505,C67,'Care log'!$D$6:$D$1505,D67,'Care log'!$G$6:$G$1505,"&gt;"&amp;G67)=0,1,0))</f>
        <v/>
      </c>
    </row>
    <row r="68">
      <c r="A68" s="1" t="n"/>
      <c r="B68" s="20" t="n">
        <v>46203</v>
      </c>
      <c r="C68" s="17" t="inlineStr">
        <is>
          <t>Lily</t>
        </is>
      </c>
      <c r="D68" s="18" t="inlineStr">
        <is>
          <t>Water</t>
        </is>
      </c>
      <c r="E68" s="18" t="n"/>
      <c r="F68" s="1" t="n"/>
      <c r="G68">
        <f>IF(OR(B68="",C68="",D68=""),"",B68+ROW()/10000000)</f>
        <v/>
      </c>
      <c r="H68">
        <f>IF(G68="","",IF(COUNTIFS('Care log'!$C$6:$C$1505,C68,'Care log'!$D$6:$D$1505,D68,'Care log'!$G$6:$G$1505,"&gt;"&amp;G68)=0,1,0))</f>
        <v/>
      </c>
    </row>
    <row r="69">
      <c r="A69" s="1" t="n"/>
      <c r="B69" s="20" t="n">
        <v>46204</v>
      </c>
      <c r="C69" s="17" t="inlineStr">
        <is>
          <t>Goldie</t>
        </is>
      </c>
      <c r="D69" s="18" t="inlineStr">
        <is>
          <t>Feed</t>
        </is>
      </c>
      <c r="E69" s="18" t="inlineStr">
        <is>
          <t>Half strength</t>
        </is>
      </c>
      <c r="F69" s="1" t="n"/>
      <c r="G69">
        <f>IF(OR(B69="",C69="",D69=""),"",B69+ROW()/10000000)</f>
        <v/>
      </c>
      <c r="H69">
        <f>IF(G69="","",IF(COUNTIFS('Care log'!$C$6:$C$1505,C69,'Care log'!$D$6:$D$1505,D69,'Care log'!$G$6:$G$1505,"&gt;"&amp;G69)=0,1,0))</f>
        <v/>
      </c>
    </row>
    <row r="70">
      <c r="A70" s="1" t="n"/>
      <c r="B70" s="20" t="n">
        <v>46204</v>
      </c>
      <c r="C70" s="17" t="inlineStr">
        <is>
          <t>Sansa</t>
        </is>
      </c>
      <c r="D70" s="18" t="inlineStr">
        <is>
          <t>Water</t>
        </is>
      </c>
      <c r="E70" s="18" t="n"/>
      <c r="F70" s="1" t="n"/>
      <c r="G70">
        <f>IF(OR(B70="",C70="",D70=""),"",B70+ROW()/10000000)</f>
        <v/>
      </c>
      <c r="H70">
        <f>IF(G70="","",IF(COUNTIFS('Care log'!$C$6:$C$1505,C70,'Care log'!$D$6:$D$1505,D70,'Care log'!$G$6:$G$1505,"&gt;"&amp;G70)=0,1,0))</f>
        <v/>
      </c>
    </row>
    <row r="71">
      <c r="A71" s="1" t="n"/>
      <c r="B71" s="20" t="n">
        <v>46205</v>
      </c>
      <c r="C71" s="17" t="inlineStr">
        <is>
          <t>Basil</t>
        </is>
      </c>
      <c r="D71" s="18" t="inlineStr">
        <is>
          <t>Water</t>
        </is>
      </c>
      <c r="E71" s="18" t="n"/>
      <c r="F71" s="1" t="n"/>
      <c r="G71">
        <f>IF(OR(B71="",C71="",D71=""),"",B71+ROW()/10000000)</f>
        <v/>
      </c>
      <c r="H71">
        <f>IF(G71="","",IF(COUNTIFS('Care log'!$C$6:$C$1505,C71,'Care log'!$D$6:$D$1505,D71,'Care log'!$G$6:$G$1505,"&gt;"&amp;G71)=0,1,0))</f>
        <v/>
      </c>
    </row>
    <row r="72">
      <c r="A72" s="1" t="n"/>
      <c r="B72" s="20" t="n">
        <v>46205</v>
      </c>
      <c r="C72" s="17" t="inlineStr">
        <is>
          <t>Echo</t>
        </is>
      </c>
      <c r="D72" s="18" t="inlineStr">
        <is>
          <t>Water</t>
        </is>
      </c>
      <c r="E72" s="18" t="n"/>
      <c r="F72" s="1" t="n"/>
      <c r="G72">
        <f>IF(OR(B72="",C72="",D72=""),"",B72+ROW()/10000000)</f>
        <v/>
      </c>
      <c r="H72">
        <f>IF(G72="","",IF(COUNTIFS('Care log'!$C$6:$C$1505,C72,'Care log'!$D$6:$D$1505,D72,'Care log'!$G$6:$G$1505,"&gt;"&amp;G72)=0,1,0))</f>
        <v/>
      </c>
    </row>
    <row r="73">
      <c r="A73" s="1" t="n"/>
      <c r="B73" s="20" t="n">
        <v>46205</v>
      </c>
      <c r="C73" s="17" t="inlineStr">
        <is>
          <t>Fern</t>
        </is>
      </c>
      <c r="D73" s="18" t="inlineStr">
        <is>
          <t>Water</t>
        </is>
      </c>
      <c r="E73" s="18" t="n"/>
      <c r="F73" s="1" t="n"/>
      <c r="G73">
        <f>IF(OR(B73="",C73="",D73=""),"",B73+ROW()/10000000)</f>
        <v/>
      </c>
      <c r="H73">
        <f>IF(G73="","",IF(COUNTIFS('Care log'!$C$6:$C$1505,C73,'Care log'!$D$6:$D$1505,D73,'Care log'!$G$6:$G$1505,"&gt;"&amp;G73)=0,1,0))</f>
        <v/>
      </c>
    </row>
    <row r="74">
      <c r="A74" s="1" t="n"/>
      <c r="B74" s="20" t="n">
        <v>46206</v>
      </c>
      <c r="C74" s="17" t="inlineStr">
        <is>
          <t>Vera</t>
        </is>
      </c>
      <c r="D74" s="18" t="inlineStr">
        <is>
          <t>Water</t>
        </is>
      </c>
      <c r="E74" s="18" t="n"/>
      <c r="F74" s="1" t="n"/>
      <c r="G74">
        <f>IF(OR(B74="",C74="",D74=""),"",B74+ROW()/10000000)</f>
        <v/>
      </c>
      <c r="H74">
        <f>IF(G74="","",IF(COUNTIFS('Care log'!$C$6:$C$1505,C74,'Care log'!$D$6:$D$1505,D74,'Care log'!$G$6:$G$1505,"&gt;"&amp;G74)=0,1,0))</f>
        <v/>
      </c>
    </row>
    <row r="75">
      <c r="A75" s="1" t="n"/>
      <c r="B75" s="20" t="n">
        <v>46207</v>
      </c>
      <c r="C75" s="17" t="inlineStr">
        <is>
          <t>Cleo</t>
        </is>
      </c>
      <c r="D75" s="18" t="inlineStr">
        <is>
          <t>Water</t>
        </is>
      </c>
      <c r="E75" s="18" t="n"/>
      <c r="F75" s="1" t="n"/>
      <c r="G75">
        <f>IF(OR(B75="",C75="",D75=""),"",B75+ROW()/10000000)</f>
        <v/>
      </c>
      <c r="H75">
        <f>IF(G75="","",IF(COUNTIFS('Care log'!$C$6:$C$1505,C75,'Care log'!$D$6:$D$1505,D75,'Care log'!$G$6:$G$1505,"&gt;"&amp;G75)=0,1,0))</f>
        <v/>
      </c>
    </row>
    <row r="76">
      <c r="A76" s="1" t="n"/>
      <c r="B76" s="20" t="n">
        <v>46207</v>
      </c>
      <c r="C76" s="17" t="inlineStr">
        <is>
          <t>Fig</t>
        </is>
      </c>
      <c r="D76" s="18" t="inlineStr">
        <is>
          <t>Water</t>
        </is>
      </c>
      <c r="E76" s="18" t="n"/>
      <c r="F76" s="1" t="n"/>
      <c r="G76">
        <f>IF(OR(B76="",C76="",D76=""),"",B76+ROW()/10000000)</f>
        <v/>
      </c>
      <c r="H76">
        <f>IF(G76="","",IF(COUNTIFS('Care log'!$C$6:$C$1505,C76,'Care log'!$D$6:$D$1505,D76,'Care log'!$G$6:$G$1505,"&gt;"&amp;G76)=0,1,0))</f>
        <v/>
      </c>
    </row>
    <row r="77">
      <c r="A77" s="1" t="n"/>
      <c r="B77" s="20" t="n">
        <v>46207</v>
      </c>
      <c r="C77" s="17" t="inlineStr">
        <is>
          <t>Lily</t>
        </is>
      </c>
      <c r="D77" s="18" t="inlineStr">
        <is>
          <t>Water</t>
        </is>
      </c>
      <c r="E77" s="18" t="n"/>
      <c r="F77" s="1" t="n"/>
      <c r="G77">
        <f>IF(OR(B77="",C77="",D77=""),"",B77+ROW()/10000000)</f>
        <v/>
      </c>
      <c r="H77">
        <f>IF(G77="","",IF(COUNTIFS('Care log'!$C$6:$C$1505,C77,'Care log'!$D$6:$D$1505,D77,'Care log'!$G$6:$G$1505,"&gt;"&amp;G77)=0,1,0))</f>
        <v/>
      </c>
    </row>
    <row r="78">
      <c r="A78" s="1" t="n"/>
      <c r="B78" s="20" t="n">
        <v>46207</v>
      </c>
      <c r="C78" s="17" t="inlineStr">
        <is>
          <t>Monty</t>
        </is>
      </c>
      <c r="D78" s="18" t="inlineStr">
        <is>
          <t>Water</t>
        </is>
      </c>
      <c r="E78" s="18" t="n"/>
      <c r="F78" s="1" t="n"/>
      <c r="G78">
        <f>IF(OR(B78="",C78="",D78=""),"",B78+ROW()/10000000)</f>
        <v/>
      </c>
      <c r="H78">
        <f>IF(G78="","",IF(COUNTIFS('Care log'!$C$6:$C$1505,C78,'Care log'!$D$6:$D$1505,D78,'Care log'!$G$6:$G$1505,"&gt;"&amp;G78)=0,1,0))</f>
        <v/>
      </c>
    </row>
    <row r="79">
      <c r="A79" s="1" t="n"/>
      <c r="B79" s="20" t="n">
        <v>46207</v>
      </c>
      <c r="C79" s="17" t="inlineStr">
        <is>
          <t>Spidey</t>
        </is>
      </c>
      <c r="D79" s="18" t="inlineStr">
        <is>
          <t>Water</t>
        </is>
      </c>
      <c r="E79" s="18" t="n"/>
      <c r="F79" s="1" t="n"/>
      <c r="G79">
        <f>IF(OR(B79="",C79="",D79=""),"",B79+ROW()/10000000)</f>
        <v/>
      </c>
      <c r="H79">
        <f>IF(G79="","",IF(COUNTIFS('Care log'!$C$6:$C$1505,C79,'Care log'!$D$6:$D$1505,D79,'Care log'!$G$6:$G$1505,"&gt;"&amp;G79)=0,1,0))</f>
        <v/>
      </c>
    </row>
    <row r="80">
      <c r="A80" s="1" t="n"/>
      <c r="B80" s="20" t="n">
        <v>46208</v>
      </c>
      <c r="C80" s="17" t="inlineStr">
        <is>
          <t>Basil</t>
        </is>
      </c>
      <c r="D80" s="18" t="inlineStr">
        <is>
          <t>Water</t>
        </is>
      </c>
      <c r="E80" s="18" t="n"/>
      <c r="F80" s="1" t="n"/>
      <c r="G80">
        <f>IF(OR(B80="",C80="",D80=""),"",B80+ROW()/10000000)</f>
        <v/>
      </c>
      <c r="H80">
        <f>IF(G80="","",IF(COUNTIFS('Care log'!$C$6:$C$1505,C80,'Care log'!$D$6:$D$1505,D80,'Care log'!$G$6:$G$1505,"&gt;"&amp;G80)=0,1,0))</f>
        <v/>
      </c>
    </row>
    <row r="81">
      <c r="A81" s="1" t="n"/>
      <c r="B81" s="20" t="n">
        <v>46208</v>
      </c>
      <c r="C81" s="17" t="inlineStr">
        <is>
          <t>Basil</t>
        </is>
      </c>
      <c r="D81" s="18" t="inlineStr">
        <is>
          <t>Feed</t>
        </is>
      </c>
      <c r="E81" s="18" t="inlineStr">
        <is>
          <t>Half strength</t>
        </is>
      </c>
      <c r="F81" s="1" t="n"/>
      <c r="G81">
        <f>IF(OR(B81="",C81="",D81=""),"",B81+ROW()/10000000)</f>
        <v/>
      </c>
      <c r="H81">
        <f>IF(G81="","",IF(COUNTIFS('Care log'!$C$6:$C$1505,C81,'Care log'!$D$6:$D$1505,D81,'Care log'!$G$6:$G$1505,"&gt;"&amp;G81)=0,1,0))</f>
        <v/>
      </c>
    </row>
    <row r="82">
      <c r="A82" s="1" t="n"/>
      <c r="B82" s="20" t="n">
        <v>46208</v>
      </c>
      <c r="C82" s="17" t="inlineStr">
        <is>
          <t>Fern</t>
        </is>
      </c>
      <c r="D82" s="18" t="inlineStr">
        <is>
          <t>Water</t>
        </is>
      </c>
      <c r="E82" s="18" t="n"/>
      <c r="F82" s="1" t="n"/>
      <c r="G82">
        <f>IF(OR(B82="",C82="",D82=""),"",B82+ROW()/10000000)</f>
        <v/>
      </c>
      <c r="H82">
        <f>IF(G82="","",IF(COUNTIFS('Care log'!$C$6:$C$1505,C82,'Care log'!$D$6:$D$1505,D82,'Care log'!$G$6:$G$1505,"&gt;"&amp;G82)=0,1,0))</f>
        <v/>
      </c>
    </row>
    <row r="83">
      <c r="A83" s="1" t="n"/>
      <c r="B83" s="20" t="n">
        <v>46208</v>
      </c>
      <c r="C83" s="17" t="inlineStr">
        <is>
          <t>Pearl</t>
        </is>
      </c>
      <c r="D83" s="18" t="inlineStr">
        <is>
          <t>Feed</t>
        </is>
      </c>
      <c r="E83" s="18" t="inlineStr">
        <is>
          <t>Half strength</t>
        </is>
      </c>
      <c r="F83" s="1" t="n"/>
      <c r="G83">
        <f>IF(OR(B83="",C83="",D83=""),"",B83+ROW()/10000000)</f>
        <v/>
      </c>
      <c r="H83">
        <f>IF(G83="","",IF(COUNTIFS('Care log'!$C$6:$C$1505,C83,'Care log'!$D$6:$D$1505,D83,'Care log'!$G$6:$G$1505,"&gt;"&amp;G83)=0,1,0))</f>
        <v/>
      </c>
    </row>
    <row r="84">
      <c r="A84" s="1" t="n"/>
      <c r="B84" s="20" t="n">
        <v>46209</v>
      </c>
      <c r="C84" s="17" t="inlineStr">
        <is>
          <t>Pearl</t>
        </is>
      </c>
      <c r="D84" s="18" t="inlineStr">
        <is>
          <t>Water</t>
        </is>
      </c>
      <c r="E84" s="18" t="n"/>
      <c r="F84" s="1" t="n"/>
      <c r="G84">
        <f>IF(OR(B84="",C84="",D84=""),"",B84+ROW()/10000000)</f>
        <v/>
      </c>
      <c r="H84">
        <f>IF(G84="","",IF(COUNTIFS('Care log'!$C$6:$C$1505,C84,'Care log'!$D$6:$D$1505,D84,'Care log'!$G$6:$G$1505,"&gt;"&amp;G84)=0,1,0))</f>
        <v/>
      </c>
    </row>
    <row r="85">
      <c r="A85" s="1" t="n"/>
      <c r="B85" s="20" t="n">
        <v>46210</v>
      </c>
      <c r="C85" s="17" t="inlineStr">
        <is>
          <t>Basil</t>
        </is>
      </c>
      <c r="D85" s="18" t="inlineStr">
        <is>
          <t>Water</t>
        </is>
      </c>
      <c r="E85" s="18" t="n"/>
      <c r="F85" s="1" t="n"/>
      <c r="G85">
        <f>IF(OR(B85="",C85="",D85=""),"",B85+ROW()/10000000)</f>
        <v/>
      </c>
      <c r="H85">
        <f>IF(G85="","",IF(COUNTIFS('Care log'!$C$6:$C$1505,C85,'Care log'!$D$6:$D$1505,D85,'Care log'!$G$6:$G$1505,"&gt;"&amp;G85)=0,1,0))</f>
        <v/>
      </c>
    </row>
    <row r="86">
      <c r="A86" s="1" t="n"/>
      <c r="B86" s="20" t="n">
        <v>46210</v>
      </c>
      <c r="C86" s="17" t="inlineStr">
        <is>
          <t>Fern</t>
        </is>
      </c>
      <c r="D86" s="18" t="inlineStr">
        <is>
          <t>Water</t>
        </is>
      </c>
      <c r="E86" s="18" t="n"/>
      <c r="F86" s="1" t="n"/>
      <c r="G86">
        <f>IF(OR(B86="",C86="",D86=""),"",B86+ROW()/10000000)</f>
        <v/>
      </c>
      <c r="H86">
        <f>IF(G86="","",IF(COUNTIFS('Care log'!$C$6:$C$1505,C86,'Care log'!$D$6:$D$1505,D86,'Care log'!$G$6:$G$1505,"&gt;"&amp;G86)=0,1,0))</f>
        <v/>
      </c>
    </row>
    <row r="87">
      <c r="A87" s="1" t="n"/>
      <c r="B87" s="20" t="n">
        <v>46210</v>
      </c>
      <c r="C87" s="17" t="inlineStr">
        <is>
          <t>Ruby</t>
        </is>
      </c>
      <c r="D87" s="18" t="inlineStr">
        <is>
          <t>Water</t>
        </is>
      </c>
      <c r="E87" s="18" t="n"/>
      <c r="F87" s="1" t="n"/>
      <c r="G87">
        <f>IF(OR(B87="",C87="",D87=""),"",B87+ROW()/10000000)</f>
        <v/>
      </c>
      <c r="H87">
        <f>IF(G87="","",IF(COUNTIFS('Care log'!$C$6:$C$1505,C87,'Care log'!$D$6:$D$1505,D87,'Care log'!$G$6:$G$1505,"&gt;"&amp;G87)=0,1,0))</f>
        <v/>
      </c>
    </row>
    <row r="88">
      <c r="A88" s="1" t="n"/>
      <c r="B88" s="20" t="n">
        <v>46211</v>
      </c>
      <c r="C88" s="17" t="inlineStr">
        <is>
          <t>Goldie</t>
        </is>
      </c>
      <c r="D88" s="18" t="inlineStr">
        <is>
          <t>Water</t>
        </is>
      </c>
      <c r="E88" s="18" t="n"/>
      <c r="F88" s="1" t="n"/>
      <c r="G88">
        <f>IF(OR(B88="",C88="",D88=""),"",B88+ROW()/10000000)</f>
        <v/>
      </c>
      <c r="H88">
        <f>IF(G88="","",IF(COUNTIFS('Care log'!$C$6:$C$1505,C88,'Care log'!$D$6:$D$1505,D88,'Care log'!$G$6:$G$1505,"&gt;"&amp;G88)=0,1,0))</f>
        <v/>
      </c>
    </row>
    <row r="89">
      <c r="A89" s="1" t="n"/>
      <c r="B89" s="20" t="n">
        <v>46211</v>
      </c>
      <c r="C89" s="17" t="inlineStr">
        <is>
          <t>Spidey</t>
        </is>
      </c>
      <c r="D89" s="18" t="inlineStr">
        <is>
          <t>Feed</t>
        </is>
      </c>
      <c r="E89" s="18" t="inlineStr">
        <is>
          <t>Half strength</t>
        </is>
      </c>
      <c r="F89" s="1" t="n"/>
      <c r="G89">
        <f>IF(OR(B89="",C89="",D89=""),"",B89+ROW()/10000000)</f>
        <v/>
      </c>
      <c r="H89">
        <f>IF(G89="","",IF(COUNTIFS('Care log'!$C$6:$C$1505,C89,'Care log'!$D$6:$D$1505,D89,'Care log'!$G$6:$G$1505,"&gt;"&amp;G89)=0,1,0))</f>
        <v/>
      </c>
    </row>
    <row r="90">
      <c r="A90" s="1" t="n"/>
      <c r="B90" s="20" t="n">
        <v>46212</v>
      </c>
      <c r="C90" s="17" t="inlineStr">
        <is>
          <t>Basil</t>
        </is>
      </c>
      <c r="D90" s="18" t="inlineStr">
        <is>
          <t>Water</t>
        </is>
      </c>
      <c r="E90" s="18" t="n"/>
      <c r="F90" s="1" t="n"/>
      <c r="G90">
        <f>IF(OR(B90="",C90="",D90=""),"",B90+ROW()/10000000)</f>
        <v/>
      </c>
      <c r="H90">
        <f>IF(G90="","",IF(COUNTIFS('Care log'!$C$6:$C$1505,C90,'Care log'!$D$6:$D$1505,D90,'Care log'!$G$6:$G$1505,"&gt;"&amp;G90)=0,1,0))</f>
        <v/>
      </c>
    </row>
    <row r="91">
      <c r="A91" s="1" t="n"/>
      <c r="B91" s="20" t="n">
        <v>46212</v>
      </c>
      <c r="C91" s="17" t="inlineStr">
        <is>
          <t>Cleo</t>
        </is>
      </c>
      <c r="D91" s="18" t="inlineStr">
        <is>
          <t>Water</t>
        </is>
      </c>
      <c r="E91" s="18" t="n"/>
      <c r="F91" s="1" t="n"/>
      <c r="G91">
        <f>IF(OR(B91="",C91="",D91=""),"",B91+ROW()/10000000)</f>
        <v/>
      </c>
      <c r="H91">
        <f>IF(G91="","",IF(COUNTIFS('Care log'!$C$6:$C$1505,C91,'Care log'!$D$6:$D$1505,D91,'Care log'!$G$6:$G$1505,"&gt;"&amp;G91)=0,1,0))</f>
        <v/>
      </c>
    </row>
    <row r="92">
      <c r="A92" s="1" t="n"/>
      <c r="B92" s="20" t="n">
        <v>46212</v>
      </c>
      <c r="C92" s="17" t="inlineStr">
        <is>
          <t>Fern</t>
        </is>
      </c>
      <c r="D92" s="18" t="inlineStr">
        <is>
          <t>Water</t>
        </is>
      </c>
      <c r="E92" s="18" t="n"/>
      <c r="F92" s="1" t="n"/>
      <c r="G92">
        <f>IF(OR(B92="",C92="",D92=""),"",B92+ROW()/10000000)</f>
        <v/>
      </c>
      <c r="H92">
        <f>IF(G92="","",IF(COUNTIFS('Care log'!$C$6:$C$1505,C92,'Care log'!$D$6:$D$1505,D92,'Care log'!$G$6:$G$1505,"&gt;"&amp;G92)=0,1,0))</f>
        <v/>
      </c>
    </row>
    <row r="93">
      <c r="A93" s="1" t="n"/>
      <c r="B93" s="20" t="n">
        <v>46212</v>
      </c>
      <c r="C93" s="17" t="inlineStr">
        <is>
          <t>Lily</t>
        </is>
      </c>
      <c r="D93" s="18" t="inlineStr">
        <is>
          <t>Water</t>
        </is>
      </c>
      <c r="E93" s="18" t="n"/>
      <c r="F93" s="1" t="n"/>
      <c r="G93">
        <f>IF(OR(B93="",C93="",D93=""),"",B93+ROW()/10000000)</f>
        <v/>
      </c>
      <c r="H93">
        <f>IF(G93="","",IF(COUNTIFS('Care log'!$C$6:$C$1505,C93,'Care log'!$D$6:$D$1505,D93,'Care log'!$G$6:$G$1505,"&gt;"&amp;G93)=0,1,0))</f>
        <v/>
      </c>
    </row>
    <row r="94">
      <c r="A94" s="1" t="n"/>
      <c r="B94" s="20" t="n">
        <v>46213</v>
      </c>
      <c r="C94" s="17" t="inlineStr">
        <is>
          <t>Monty</t>
        </is>
      </c>
      <c r="D94" s="18" t="inlineStr">
        <is>
          <t>Water</t>
        </is>
      </c>
      <c r="E94" s="18" t="n"/>
      <c r="F94" s="1" t="n"/>
      <c r="G94">
        <f>IF(OR(B94="",C94="",D94=""),"",B94+ROW()/10000000)</f>
        <v/>
      </c>
      <c r="H94">
        <f>IF(G94="","",IF(COUNTIFS('Care log'!$C$6:$C$1505,C94,'Care log'!$D$6:$D$1505,D94,'Care log'!$G$6:$G$1505,"&gt;"&amp;G94)=0,1,0))</f>
        <v/>
      </c>
    </row>
    <row r="95">
      <c r="A95" s="1" t="n"/>
      <c r="B95" s="20" t="n">
        <v>46213</v>
      </c>
      <c r="C95" s="17" t="inlineStr">
        <is>
          <t>Monty</t>
        </is>
      </c>
      <c r="D95" s="18" t="inlineStr">
        <is>
          <t>Feed</t>
        </is>
      </c>
      <c r="E95" s="18" t="inlineStr">
        <is>
          <t>Half strength</t>
        </is>
      </c>
      <c r="F95" s="1" t="n"/>
      <c r="G95">
        <f>IF(OR(B95="",C95="",D95=""),"",B95+ROW()/10000000)</f>
        <v/>
      </c>
      <c r="H95">
        <f>IF(G95="","",IF(COUNTIFS('Care log'!$C$6:$C$1505,C95,'Care log'!$D$6:$D$1505,D95,'Care log'!$G$6:$G$1505,"&gt;"&amp;G95)=0,1,0))</f>
        <v/>
      </c>
    </row>
    <row r="96">
      <c r="A96" s="1" t="n"/>
      <c r="B96" s="20" t="n">
        <v>46213</v>
      </c>
      <c r="C96" s="17" t="inlineStr">
        <is>
          <t>Spidey</t>
        </is>
      </c>
      <c r="D96" s="18" t="inlineStr">
        <is>
          <t>Water</t>
        </is>
      </c>
      <c r="E96" s="18" t="n"/>
      <c r="F96" s="1" t="n"/>
      <c r="G96">
        <f>IF(OR(B96="",C96="",D96=""),"",B96+ROW()/10000000)</f>
        <v/>
      </c>
      <c r="H96">
        <f>IF(G96="","",IF(COUNTIFS('Care log'!$C$6:$C$1505,C96,'Care log'!$D$6:$D$1505,D96,'Care log'!$G$6:$G$1505,"&gt;"&amp;G96)=0,1,0))</f>
        <v/>
      </c>
    </row>
    <row r="97">
      <c r="A97" s="1" t="n"/>
      <c r="B97" s="20" t="n">
        <v>46214</v>
      </c>
      <c r="C97" s="17" t="inlineStr">
        <is>
          <t>Basil</t>
        </is>
      </c>
      <c r="D97" s="18" t="inlineStr">
        <is>
          <t>Water</t>
        </is>
      </c>
      <c r="E97" s="18" t="n"/>
      <c r="F97" s="1" t="n"/>
      <c r="G97">
        <f>IF(OR(B97="",C97="",D97=""),"",B97+ROW()/10000000)</f>
        <v/>
      </c>
      <c r="H97">
        <f>IF(G97="","",IF(COUNTIFS('Care log'!$C$6:$C$1505,C97,'Care log'!$D$6:$D$1505,D97,'Care log'!$G$6:$G$1505,"&gt;"&amp;G97)=0,1,0))</f>
        <v/>
      </c>
    </row>
    <row r="98">
      <c r="A98" s="1" t="n"/>
      <c r="B98" s="20" t="n">
        <v>46215</v>
      </c>
      <c r="C98" s="17" t="inlineStr">
        <is>
          <t>Fern</t>
        </is>
      </c>
      <c r="D98" s="18" t="inlineStr">
        <is>
          <t>Water</t>
        </is>
      </c>
      <c r="E98" s="18" t="n"/>
      <c r="F98" s="1" t="n"/>
      <c r="G98">
        <f>IF(OR(B98="",C98="",D98=""),"",B98+ROW()/10000000)</f>
        <v/>
      </c>
      <c r="H98">
        <f>IF(G98="","",IF(COUNTIFS('Care log'!$C$6:$C$1505,C98,'Care log'!$D$6:$D$1505,D98,'Care log'!$G$6:$G$1505,"&gt;"&amp;G98)=0,1,0))</f>
        <v/>
      </c>
    </row>
    <row r="99">
      <c r="A99" s="1" t="n"/>
      <c r="B99" s="20" t="n">
        <v>46215</v>
      </c>
      <c r="C99" s="17" t="inlineStr">
        <is>
          <t>Fig</t>
        </is>
      </c>
      <c r="D99" s="18" t="inlineStr">
        <is>
          <t>Water</t>
        </is>
      </c>
      <c r="E99" s="18" t="n"/>
      <c r="F99" s="1" t="n"/>
      <c r="G99">
        <f>IF(OR(B99="",C99="",D99=""),"",B99+ROW()/10000000)</f>
        <v/>
      </c>
      <c r="H99">
        <f>IF(G99="","",IF(COUNTIFS('Care log'!$C$6:$C$1505,C99,'Care log'!$D$6:$D$1505,D99,'Care log'!$G$6:$G$1505,"&gt;"&amp;G99)=0,1,0))</f>
        <v/>
      </c>
    </row>
    <row r="100">
      <c r="A100" s="1" t="n"/>
      <c r="B100" s="20" t="n">
        <v>46215</v>
      </c>
      <c r="C100" s="17" t="inlineStr">
        <is>
          <t>Zed</t>
        </is>
      </c>
      <c r="D100" s="18" t="inlineStr">
        <is>
          <t>Water</t>
        </is>
      </c>
      <c r="E100" s="18" t="n"/>
      <c r="F100" s="1" t="n"/>
      <c r="G100">
        <f>IF(OR(B100="",C100="",D100=""),"",B100+ROW()/10000000)</f>
        <v/>
      </c>
      <c r="H100">
        <f>IF(G100="","",IF(COUNTIFS('Care log'!$C$6:$C$1505,C100,'Care log'!$D$6:$D$1505,D100,'Care log'!$G$6:$G$1505,"&gt;"&amp;G100)=0,1,0))</f>
        <v/>
      </c>
    </row>
    <row r="101">
      <c r="A101" s="1" t="n"/>
      <c r="B101" s="20" t="n">
        <v>46216</v>
      </c>
      <c r="C101" s="17" t="inlineStr">
        <is>
          <t>Basil</t>
        </is>
      </c>
      <c r="D101" s="18" t="inlineStr">
        <is>
          <t>Water</t>
        </is>
      </c>
      <c r="E101" s="18" t="n"/>
      <c r="F101" s="1" t="n"/>
      <c r="G101">
        <f>IF(OR(B101="",C101="",D101=""),"",B101+ROW()/10000000)</f>
        <v/>
      </c>
      <c r="H101">
        <f>IF(G101="","",IF(COUNTIFS('Care log'!$C$6:$C$1505,C101,'Care log'!$D$6:$D$1505,D101,'Care log'!$G$6:$G$1505,"&gt;"&amp;G101)=0,1,0))</f>
        <v/>
      </c>
    </row>
    <row r="102">
      <c r="A102" s="1" t="n"/>
      <c r="B102" s="20" t="n">
        <v>46216</v>
      </c>
      <c r="C102" s="17" t="inlineStr">
        <is>
          <t>Echo</t>
        </is>
      </c>
      <c r="D102" s="18" t="inlineStr">
        <is>
          <t>Water</t>
        </is>
      </c>
      <c r="E102" s="18" t="n"/>
      <c r="F102" s="1" t="n"/>
      <c r="G102">
        <f>IF(OR(B102="",C102="",D102=""),"",B102+ROW()/10000000)</f>
        <v/>
      </c>
      <c r="H102">
        <f>IF(G102="","",IF(COUNTIFS('Care log'!$C$6:$C$1505,C102,'Care log'!$D$6:$D$1505,D102,'Care log'!$G$6:$G$1505,"&gt;"&amp;G102)=0,1,0))</f>
        <v/>
      </c>
    </row>
    <row r="103">
      <c r="A103" s="1" t="n"/>
      <c r="B103" s="20" t="n">
        <v>46217</v>
      </c>
      <c r="C103" s="17" t="inlineStr">
        <is>
          <t>Cleo</t>
        </is>
      </c>
      <c r="D103" s="18" t="inlineStr">
        <is>
          <t>Water</t>
        </is>
      </c>
      <c r="E103" s="18" t="n"/>
      <c r="F103" s="1" t="n"/>
      <c r="G103">
        <f>IF(OR(B103="",C103="",D103=""),"",B103+ROW()/10000000)</f>
        <v/>
      </c>
      <c r="H103">
        <f>IF(G103="","",IF(COUNTIFS('Care log'!$C$6:$C$1505,C103,'Care log'!$D$6:$D$1505,D103,'Care log'!$G$6:$G$1505,"&gt;"&amp;G103)=0,1,0))</f>
        <v/>
      </c>
    </row>
    <row r="104">
      <c r="A104" s="1" t="n"/>
      <c r="B104" s="20" t="n">
        <v>46217</v>
      </c>
      <c r="C104" s="17" t="inlineStr">
        <is>
          <t>Fern</t>
        </is>
      </c>
      <c r="D104" s="18" t="inlineStr">
        <is>
          <t>Water</t>
        </is>
      </c>
      <c r="E104" s="18" t="n"/>
      <c r="F104" s="1" t="n"/>
      <c r="G104">
        <f>IF(OR(B104="",C104="",D104=""),"",B104+ROW()/10000000)</f>
        <v/>
      </c>
      <c r="H104">
        <f>IF(G104="","",IF(COUNTIFS('Care log'!$C$6:$C$1505,C104,'Care log'!$D$6:$D$1505,D104,'Care log'!$G$6:$G$1505,"&gt;"&amp;G104)=0,1,0))</f>
        <v/>
      </c>
    </row>
    <row r="105">
      <c r="A105" s="1" t="n"/>
      <c r="B105" s="20" t="n">
        <v>46217</v>
      </c>
      <c r="C105" s="17" t="inlineStr">
        <is>
          <t>Lily</t>
        </is>
      </c>
      <c r="D105" s="18" t="inlineStr">
        <is>
          <t>Feed</t>
        </is>
      </c>
      <c r="E105" s="18" t="inlineStr">
        <is>
          <t>Half strength</t>
        </is>
      </c>
      <c r="F105" s="1" t="n"/>
      <c r="G105">
        <f>IF(OR(B105="",C105="",D105=""),"",B105+ROW()/10000000)</f>
        <v/>
      </c>
      <c r="H105">
        <f>IF(G105="","",IF(COUNTIFS('Care log'!$C$6:$C$1505,C105,'Care log'!$D$6:$D$1505,D105,'Care log'!$G$6:$G$1505,"&gt;"&amp;G105)=0,1,0))</f>
        <v/>
      </c>
    </row>
    <row r="106">
      <c r="A106" s="1" t="n"/>
      <c r="B106" s="20" t="n">
        <v>46217</v>
      </c>
      <c r="C106" s="17" t="inlineStr">
        <is>
          <t>Ruby</t>
        </is>
      </c>
      <c r="D106" s="18" t="inlineStr">
        <is>
          <t>Water</t>
        </is>
      </c>
      <c r="E106" s="18" t="n"/>
      <c r="F106" s="1" t="n"/>
      <c r="G106">
        <f>IF(OR(B106="",C106="",D106=""),"",B106+ROW()/10000000)</f>
        <v/>
      </c>
      <c r="H106">
        <f>IF(G106="","",IF(COUNTIFS('Care log'!$C$6:$C$1505,C106,'Care log'!$D$6:$D$1505,D106,'Care log'!$G$6:$G$1505,"&gt;"&amp;G106)=0,1,0))</f>
        <v/>
      </c>
    </row>
    <row r="107">
      <c r="A107" s="1" t="n"/>
      <c r="B107" s="20" t="n">
        <v>46218</v>
      </c>
      <c r="C107" s="17" t="inlineStr">
        <is>
          <t>Lily</t>
        </is>
      </c>
      <c r="D107" s="18" t="inlineStr">
        <is>
          <t>Water</t>
        </is>
      </c>
      <c r="E107" s="18" t="n"/>
      <c r="F107" s="1" t="n"/>
      <c r="G107">
        <f>IF(OR(B107="",C107="",D107=""),"",B107+ROW()/10000000)</f>
        <v/>
      </c>
      <c r="H107">
        <f>IF(G107="","",IF(COUNTIFS('Care log'!$C$6:$C$1505,C107,'Care log'!$D$6:$D$1505,D107,'Care log'!$G$6:$G$1505,"&gt;"&amp;G107)=0,1,0))</f>
        <v/>
      </c>
    </row>
    <row r="108">
      <c r="A108" s="1" t="n"/>
      <c r="B108" s="20" t="n">
        <v>46218</v>
      </c>
      <c r="C108" s="17" t="inlineStr">
        <is>
          <t>Pearl</t>
        </is>
      </c>
      <c r="D108" s="18" t="inlineStr">
        <is>
          <t>Water</t>
        </is>
      </c>
      <c r="E108" s="18" t="n"/>
      <c r="F108" s="1" t="n"/>
      <c r="G108">
        <f>IF(OR(B108="",C108="",D108=""),"",B108+ROW()/10000000)</f>
        <v/>
      </c>
      <c r="H108">
        <f>IF(G108="","",IF(COUNTIFS('Care log'!$C$6:$C$1505,C108,'Care log'!$D$6:$D$1505,D108,'Care log'!$G$6:$G$1505,"&gt;"&amp;G108)=0,1,0))</f>
        <v/>
      </c>
    </row>
    <row r="109">
      <c r="A109" s="1" t="n"/>
      <c r="B109" s="20" t="n">
        <v>46218</v>
      </c>
      <c r="C109" s="17" t="inlineStr">
        <is>
          <t>Sansa</t>
        </is>
      </c>
      <c r="D109" s="18" t="inlineStr">
        <is>
          <t>Water</t>
        </is>
      </c>
      <c r="E109" s="18" t="n"/>
      <c r="F109" s="1" t="n"/>
      <c r="G109">
        <f>IF(OR(B109="",C109="",D109=""),"",B109+ROW()/10000000)</f>
        <v/>
      </c>
      <c r="H109">
        <f>IF(G109="","",IF(COUNTIFS('Care log'!$C$6:$C$1505,C109,'Care log'!$D$6:$D$1505,D109,'Care log'!$G$6:$G$1505,"&gt;"&amp;G109)=0,1,0))</f>
        <v/>
      </c>
    </row>
    <row r="110">
      <c r="A110" s="1" t="n"/>
      <c r="B110" s="20" t="n">
        <v>46218</v>
      </c>
      <c r="C110" s="17" t="inlineStr">
        <is>
          <t>Spidey</t>
        </is>
      </c>
      <c r="D110" s="18" t="inlineStr">
        <is>
          <t>Water</t>
        </is>
      </c>
      <c r="E110" s="18" t="n"/>
      <c r="F110" s="1" t="n"/>
      <c r="G110">
        <f>IF(OR(B110="",C110="",D110=""),"",B110+ROW()/10000000)</f>
        <v/>
      </c>
      <c r="H110">
        <f>IF(G110="","",IF(COUNTIFS('Care log'!$C$6:$C$1505,C110,'Care log'!$D$6:$D$1505,D110,'Care log'!$G$6:$G$1505,"&gt;"&amp;G110)=0,1,0))</f>
        <v/>
      </c>
    </row>
    <row r="111">
      <c r="A111" s="1" t="n"/>
      <c r="B111" s="20" t="n">
        <v>46219</v>
      </c>
      <c r="C111" s="17" t="inlineStr">
        <is>
          <t>Basil</t>
        </is>
      </c>
      <c r="D111" s="18" t="inlineStr">
        <is>
          <t>Water</t>
        </is>
      </c>
      <c r="E111" s="18" t="n"/>
      <c r="F111" s="1" t="n"/>
      <c r="G111">
        <f>IF(OR(B111="",C111="",D111=""),"",B111+ROW()/10000000)</f>
        <v/>
      </c>
      <c r="H111">
        <f>IF(G111="","",IF(COUNTIFS('Care log'!$C$6:$C$1505,C111,'Care log'!$D$6:$D$1505,D111,'Care log'!$G$6:$G$1505,"&gt;"&amp;G111)=0,1,0))</f>
        <v/>
      </c>
    </row>
    <row r="112">
      <c r="A112" s="1" t="n"/>
      <c r="B112" s="20" t="n">
        <v>46219</v>
      </c>
      <c r="C112" s="17" t="inlineStr">
        <is>
          <t>Goldie</t>
        </is>
      </c>
      <c r="D112" s="18" t="inlineStr">
        <is>
          <t>Water</t>
        </is>
      </c>
      <c r="E112" s="18" t="n"/>
      <c r="F112" s="1" t="n"/>
      <c r="G112">
        <f>IF(OR(B112="",C112="",D112=""),"",B112+ROW()/10000000)</f>
        <v/>
      </c>
      <c r="H112">
        <f>IF(G112="","",IF(COUNTIFS('Care log'!$C$6:$C$1505,C112,'Care log'!$D$6:$D$1505,D112,'Care log'!$G$6:$G$1505,"&gt;"&amp;G112)=0,1,0))</f>
        <v/>
      </c>
    </row>
    <row r="113">
      <c r="A113" s="1" t="n"/>
      <c r="B113" s="20" t="n">
        <v>46219</v>
      </c>
      <c r="C113" s="17" t="inlineStr">
        <is>
          <t>Monty</t>
        </is>
      </c>
      <c r="D113" s="18" t="inlineStr">
        <is>
          <t>Water</t>
        </is>
      </c>
      <c r="E113" s="18" t="n"/>
      <c r="F113" s="1" t="n"/>
      <c r="G113">
        <f>IF(OR(B113="",C113="",D113=""),"",B113+ROW()/10000000)</f>
        <v/>
      </c>
      <c r="H113">
        <f>IF(G113="","",IF(COUNTIFS('Care log'!$C$6:$C$1505,C113,'Care log'!$D$6:$D$1505,D113,'Care log'!$G$6:$G$1505,"&gt;"&amp;G113)=0,1,0))</f>
        <v/>
      </c>
    </row>
    <row r="114">
      <c r="A114" s="1" t="n"/>
      <c r="B114" s="20" t="n">
        <v>46220</v>
      </c>
      <c r="C114" s="17" t="inlineStr">
        <is>
          <t>Vera</t>
        </is>
      </c>
      <c r="D114" s="18" t="inlineStr">
        <is>
          <t>Water</t>
        </is>
      </c>
      <c r="E114" s="18" t="n"/>
      <c r="F114" s="1" t="n"/>
      <c r="G114">
        <f>IF(OR(B114="",C114="",D114=""),"",B114+ROW()/10000000)</f>
        <v/>
      </c>
      <c r="H114">
        <f>IF(G114="","",IF(COUNTIFS('Care log'!$C$6:$C$1505,C114,'Care log'!$D$6:$D$1505,D114,'Care log'!$G$6:$G$1505,"&gt;"&amp;G114)=0,1,0))</f>
        <v/>
      </c>
    </row>
    <row r="115">
      <c r="A115" s="1" t="n"/>
      <c r="B115" s="20" t="n">
        <v>46221</v>
      </c>
      <c r="C115" s="17" t="inlineStr">
        <is>
          <t>Basil</t>
        </is>
      </c>
      <c r="D115" s="18" t="inlineStr">
        <is>
          <t>Water</t>
        </is>
      </c>
      <c r="E115" s="18" t="n"/>
      <c r="F115" s="1" t="n"/>
      <c r="G115">
        <f>IF(OR(B115="",C115="",D115=""),"",B115+ROW()/10000000)</f>
        <v/>
      </c>
      <c r="H115">
        <f>IF(G115="","",IF(COUNTIFS('Care log'!$C$6:$C$1505,C115,'Care log'!$D$6:$D$1505,D115,'Care log'!$G$6:$G$1505,"&gt;"&amp;G115)=0,1,0))</f>
        <v/>
      </c>
    </row>
    <row r="116">
      <c r="A116" s="1" t="n"/>
      <c r="B116" s="20" t="n">
        <v>46221</v>
      </c>
      <c r="C116" s="17" t="inlineStr">
        <is>
          <t>Fern</t>
        </is>
      </c>
      <c r="D116" s="18" t="inlineStr">
        <is>
          <t>Water</t>
        </is>
      </c>
      <c r="E116" s="18" t="n"/>
      <c r="F116" s="1" t="n"/>
      <c r="G116">
        <f>IF(OR(B116="",C116="",D116=""),"",B116+ROW()/10000000)</f>
        <v/>
      </c>
      <c r="H116">
        <f>IF(G116="","",IF(COUNTIFS('Care log'!$C$6:$C$1505,C116,'Care log'!$D$6:$D$1505,D116,'Care log'!$G$6:$G$1505,"&gt;"&amp;G116)=0,1,0))</f>
        <v/>
      </c>
    </row>
    <row r="117">
      <c r="A117" s="1" t="n"/>
      <c r="B117" s="20" t="n">
        <v>46221</v>
      </c>
      <c r="C117" s="17" t="inlineStr">
        <is>
          <t>Fig</t>
        </is>
      </c>
      <c r="D117" s="18" t="inlineStr">
        <is>
          <t>Water</t>
        </is>
      </c>
      <c r="E117" s="18" t="n"/>
      <c r="F117" s="1" t="n"/>
      <c r="G117">
        <f>IF(OR(B117="",C117="",D117=""),"",B117+ROW()/10000000)</f>
        <v/>
      </c>
      <c r="H117">
        <f>IF(G117="","",IF(COUNTIFS('Care log'!$C$6:$C$1505,C117,'Care log'!$D$6:$D$1505,D117,'Care log'!$G$6:$G$1505,"&gt;"&amp;G117)=0,1,0))</f>
        <v/>
      </c>
    </row>
    <row r="118">
      <c r="A118" s="1" t="n"/>
      <c r="B118" s="20" t="n">
        <v>46221</v>
      </c>
      <c r="C118" s="17" t="inlineStr">
        <is>
          <t>Fig</t>
        </is>
      </c>
      <c r="D118" s="18" t="inlineStr">
        <is>
          <t>Feed</t>
        </is>
      </c>
      <c r="E118" s="18" t="inlineStr">
        <is>
          <t>Half strength</t>
        </is>
      </c>
      <c r="F118" s="1" t="n"/>
      <c r="G118">
        <f>IF(OR(B118="",C118="",D118=""),"",B118+ROW()/10000000)</f>
        <v/>
      </c>
      <c r="H118">
        <f>IF(G118="","",IF(COUNTIFS('Care log'!$C$6:$C$1505,C118,'Care log'!$D$6:$D$1505,D118,'Care log'!$G$6:$G$1505,"&gt;"&amp;G118)=0,1,0))</f>
        <v/>
      </c>
    </row>
    <row r="119">
      <c r="A119" s="1" t="n"/>
      <c r="B119" s="20" t="n">
        <v>46222</v>
      </c>
      <c r="C119" s="17" t="inlineStr">
        <is>
          <t>Basil</t>
        </is>
      </c>
      <c r="D119" s="18" t="inlineStr">
        <is>
          <t>Water</t>
        </is>
      </c>
      <c r="E119" s="18" t="n"/>
      <c r="F119" s="1" t="n"/>
      <c r="G119">
        <f>IF(OR(B119="",C119="",D119=""),"",B119+ROW()/10000000)</f>
        <v/>
      </c>
      <c r="H119">
        <f>IF(G119="","",IF(COUNTIFS('Care log'!$C$6:$C$1505,C119,'Care log'!$D$6:$D$1505,D119,'Care log'!$G$6:$G$1505,"&gt;"&amp;G119)=0,1,0))</f>
        <v/>
      </c>
    </row>
    <row r="120">
      <c r="A120" s="1" t="n"/>
      <c r="B120" s="20" t="n">
        <v>46222</v>
      </c>
      <c r="C120" s="17" t="inlineStr">
        <is>
          <t>Basil</t>
        </is>
      </c>
      <c r="D120" s="18" t="inlineStr">
        <is>
          <t>Feed</t>
        </is>
      </c>
      <c r="E120" s="18" t="inlineStr">
        <is>
          <t>Half strength</t>
        </is>
      </c>
      <c r="F120" s="1" t="n"/>
      <c r="G120">
        <f>IF(OR(B120="",C120="",D120=""),"",B120+ROW()/10000000)</f>
        <v/>
      </c>
      <c r="H120">
        <f>IF(G120="","",IF(COUNTIFS('Care log'!$C$6:$C$1505,C120,'Care log'!$D$6:$D$1505,D120,'Care log'!$G$6:$G$1505,"&gt;"&amp;G120)=0,1,0))</f>
        <v/>
      </c>
    </row>
    <row r="121">
      <c r="A121" s="1" t="n"/>
      <c r="B121" s="20" t="n">
        <v>46223</v>
      </c>
      <c r="C121" s="17" t="inlineStr">
        <is>
          <t>Cleo</t>
        </is>
      </c>
      <c r="D121" s="18" t="inlineStr">
        <is>
          <t>Water</t>
        </is>
      </c>
      <c r="E121" s="18" t="n"/>
      <c r="F121" s="1" t="n"/>
      <c r="G121">
        <f>IF(OR(B121="",C121="",D121=""),"",B121+ROW()/10000000)</f>
        <v/>
      </c>
      <c r="H121">
        <f>IF(G121="","",IF(COUNTIFS('Care log'!$C$6:$C$1505,C121,'Care log'!$D$6:$D$1505,D121,'Care log'!$G$6:$G$1505,"&gt;"&amp;G121)=0,1,0))</f>
        <v/>
      </c>
    </row>
    <row r="122">
      <c r="A122" s="1" t="n"/>
      <c r="B122" s="20" t="n">
        <v>46223</v>
      </c>
      <c r="C122" s="17" t="inlineStr">
        <is>
          <t>Cleo</t>
        </is>
      </c>
      <c r="D122" s="18" t="inlineStr">
        <is>
          <t>Feed</t>
        </is>
      </c>
      <c r="E122" s="18" t="inlineStr">
        <is>
          <t>Half strength</t>
        </is>
      </c>
      <c r="F122" s="1" t="n"/>
      <c r="G122">
        <f>IF(OR(B122="",C122="",D122=""),"",B122+ROW()/10000000)</f>
        <v/>
      </c>
      <c r="H122">
        <f>IF(G122="","",IF(COUNTIFS('Care log'!$C$6:$C$1505,C122,'Care log'!$D$6:$D$1505,D122,'Care log'!$G$6:$G$1505,"&gt;"&amp;G122)=0,1,0))</f>
        <v/>
      </c>
    </row>
    <row r="123">
      <c r="A123" s="1" t="n"/>
      <c r="B123" s="20" t="n">
        <v>46224</v>
      </c>
      <c r="C123" s="17" t="inlineStr">
        <is>
          <t>Fern</t>
        </is>
      </c>
      <c r="D123" s="18" t="inlineStr">
        <is>
          <t>Water</t>
        </is>
      </c>
      <c r="E123" s="18" t="n"/>
      <c r="F123" s="1" t="n"/>
      <c r="G123">
        <f>IF(OR(B123="",C123="",D123=""),"",B123+ROW()/10000000)</f>
        <v/>
      </c>
      <c r="H123">
        <f>IF(G123="","",IF(COUNTIFS('Care log'!$C$6:$C$1505,C123,'Care log'!$D$6:$D$1505,D123,'Care log'!$G$6:$G$1505,"&gt;"&amp;G123)=0,1,0))</f>
        <v/>
      </c>
    </row>
    <row r="124">
      <c r="A124" s="1" t="n"/>
      <c r="B124" s="20" t="n">
        <v>46224</v>
      </c>
      <c r="C124" s="17" t="inlineStr">
        <is>
          <t>Lily</t>
        </is>
      </c>
      <c r="D124" s="18" t="inlineStr">
        <is>
          <t>Water</t>
        </is>
      </c>
      <c r="E124" s="18" t="n"/>
      <c r="F124" s="1" t="n"/>
      <c r="G124">
        <f>IF(OR(B124="",C124="",D124=""),"",B124+ROW()/10000000)</f>
        <v/>
      </c>
      <c r="H124">
        <f>IF(G124="","",IF(COUNTIFS('Care log'!$C$6:$C$1505,C124,'Care log'!$D$6:$D$1505,D124,'Care log'!$G$6:$G$1505,"&gt;"&amp;G124)=0,1,0))</f>
        <v/>
      </c>
    </row>
    <row r="125">
      <c r="A125" s="1" t="n"/>
      <c r="B125" s="20" t="n">
        <v>46224</v>
      </c>
      <c r="C125" s="17" t="inlineStr">
        <is>
          <t>Spidey</t>
        </is>
      </c>
      <c r="D125" s="18" t="inlineStr">
        <is>
          <t>Water</t>
        </is>
      </c>
      <c r="E125" s="18" t="n"/>
      <c r="F125" s="1" t="n"/>
      <c r="G125">
        <f>IF(OR(B125="",C125="",D125=""),"",B125+ROW()/10000000)</f>
        <v/>
      </c>
      <c r="H125">
        <f>IF(G125="","",IF(COUNTIFS('Care log'!$C$6:$C$1505,C125,'Care log'!$D$6:$D$1505,D125,'Care log'!$G$6:$G$1505,"&gt;"&amp;G125)=0,1,0))</f>
        <v/>
      </c>
    </row>
    <row r="126">
      <c r="A126" s="1" t="n"/>
      <c r="B126" s="20" t="n">
        <v>46225</v>
      </c>
      <c r="C126" s="17" t="inlineStr">
        <is>
          <t>Basil</t>
        </is>
      </c>
      <c r="D126" s="18" t="inlineStr">
        <is>
          <t>Water</t>
        </is>
      </c>
      <c r="E126" s="18" t="n"/>
      <c r="F126" s="1" t="n"/>
      <c r="G126">
        <f>IF(OR(B126="",C126="",D126=""),"",B126+ROW()/10000000)</f>
        <v/>
      </c>
      <c r="H126">
        <f>IF(G126="","",IF(COUNTIFS('Care log'!$C$6:$C$1505,C126,'Care log'!$D$6:$D$1505,D126,'Care log'!$G$6:$G$1505,"&gt;"&amp;G126)=0,1,0))</f>
        <v/>
      </c>
    </row>
    <row r="127">
      <c r="A127" s="1" t="n"/>
      <c r="B127" s="20" t="n">
        <v>46225</v>
      </c>
      <c r="C127" s="17" t="inlineStr">
        <is>
          <t>Ruby</t>
        </is>
      </c>
      <c r="D127" s="18" t="inlineStr">
        <is>
          <t>Water</t>
        </is>
      </c>
      <c r="E127" s="18" t="n"/>
      <c r="F127" s="1" t="n"/>
      <c r="G127">
        <f>IF(OR(B127="",C127="",D127=""),"",B127+ROW()/10000000)</f>
        <v/>
      </c>
      <c r="H127">
        <f>IF(G127="","",IF(COUNTIFS('Care log'!$C$6:$C$1505,C127,'Care log'!$D$6:$D$1505,D127,'Care log'!$G$6:$G$1505,"&gt;"&amp;G127)=0,1,0))</f>
        <v/>
      </c>
    </row>
    <row r="128">
      <c r="A128" s="1" t="n"/>
      <c r="B128" s="20" t="n">
        <v>46226</v>
      </c>
      <c r="C128" s="17" t="inlineStr">
        <is>
          <t>Goldie</t>
        </is>
      </c>
      <c r="D128" s="18" t="inlineStr">
        <is>
          <t>Water</t>
        </is>
      </c>
      <c r="E128" s="18" t="n"/>
      <c r="F128" s="1" t="n"/>
      <c r="G128">
        <f>IF(OR(B128="",C128="",D128=""),"",B128+ROW()/10000000)</f>
        <v/>
      </c>
      <c r="H128">
        <f>IF(G128="","",IF(COUNTIFS('Care log'!$C$6:$C$1505,C128,'Care log'!$D$6:$D$1505,D128,'Care log'!$G$6:$G$1505,"&gt;"&amp;G128)=0,1,0))</f>
        <v/>
      </c>
    </row>
    <row r="129">
      <c r="A129" s="1" t="n"/>
      <c r="B129" s="20" t="n">
        <v>46227</v>
      </c>
      <c r="C129" s="17" t="inlineStr">
        <is>
          <t>Basil</t>
        </is>
      </c>
      <c r="D129" s="18" t="inlineStr">
        <is>
          <t>Water</t>
        </is>
      </c>
      <c r="E129" s="18" t="n"/>
      <c r="F129" s="1" t="n"/>
      <c r="G129">
        <f>IF(OR(B129="",C129="",D129=""),"",B129+ROW()/10000000)</f>
        <v/>
      </c>
      <c r="H129">
        <f>IF(G129="","",IF(COUNTIFS('Care log'!$C$6:$C$1505,C129,'Care log'!$D$6:$D$1505,D129,'Care log'!$G$6:$G$1505,"&gt;"&amp;G129)=0,1,0))</f>
        <v/>
      </c>
    </row>
    <row r="130">
      <c r="A130" s="1" t="n"/>
      <c r="B130" s="20" t="n">
        <v>46227</v>
      </c>
      <c r="C130" s="17" t="inlineStr">
        <is>
          <t>Cleo</t>
        </is>
      </c>
      <c r="D130" s="18" t="inlineStr">
        <is>
          <t>Water</t>
        </is>
      </c>
      <c r="E130" s="18" t="n"/>
      <c r="F130" s="1" t="n"/>
      <c r="G130">
        <f>IF(OR(B130="",C130="",D130=""),"",B130+ROW()/10000000)</f>
        <v/>
      </c>
      <c r="H130">
        <f>IF(G130="","",IF(COUNTIFS('Care log'!$C$6:$C$1505,C130,'Care log'!$D$6:$D$1505,D130,'Care log'!$G$6:$G$1505,"&gt;"&amp;G130)=0,1,0))</f>
        <v/>
      </c>
    </row>
    <row r="131">
      <c r="A131" s="1" t="n"/>
      <c r="B131" s="20" t="n">
        <v>46227</v>
      </c>
      <c r="C131" s="17" t="inlineStr">
        <is>
          <t>Echo</t>
        </is>
      </c>
      <c r="D131" s="18" t="inlineStr">
        <is>
          <t>Water</t>
        </is>
      </c>
      <c r="E131" s="18" t="n"/>
      <c r="F131" s="1" t="n"/>
      <c r="G131">
        <f>IF(OR(B131="",C131="",D131=""),"",B131+ROW()/10000000)</f>
        <v/>
      </c>
      <c r="H131">
        <f>IF(G131="","",IF(COUNTIFS('Care log'!$C$6:$C$1505,C131,'Care log'!$D$6:$D$1505,D131,'Care log'!$G$6:$G$1505,"&gt;"&amp;G131)=0,1,0))</f>
        <v/>
      </c>
    </row>
    <row r="132">
      <c r="A132" s="1" t="n"/>
      <c r="B132" s="20" t="n">
        <v>46227</v>
      </c>
      <c r="C132" s="17" t="inlineStr">
        <is>
          <t>Fern</t>
        </is>
      </c>
      <c r="D132" s="18" t="inlineStr">
        <is>
          <t>Water</t>
        </is>
      </c>
      <c r="E132" s="18" t="n"/>
      <c r="F132" s="1" t="n"/>
      <c r="G132">
        <f>IF(OR(B132="",C132="",D132=""),"",B132+ROW()/10000000)</f>
        <v/>
      </c>
      <c r="H132">
        <f>IF(G132="","",IF(COUNTIFS('Care log'!$C$6:$C$1505,C132,'Care log'!$D$6:$D$1505,D132,'Care log'!$G$6:$G$1505,"&gt;"&amp;G132)=0,1,0))</f>
        <v/>
      </c>
    </row>
    <row r="133">
      <c r="A133" s="1" t="n"/>
      <c r="B133" s="20" t="n">
        <v>46227</v>
      </c>
      <c r="C133" s="17" t="inlineStr">
        <is>
          <t>Monty</t>
        </is>
      </c>
      <c r="D133" s="18" t="inlineStr">
        <is>
          <t>Water</t>
        </is>
      </c>
      <c r="E133" s="18" t="n"/>
      <c r="F133" s="1" t="n"/>
      <c r="G133">
        <f>IF(OR(B133="",C133="",D133=""),"",B133+ROW()/10000000)</f>
        <v/>
      </c>
      <c r="H133">
        <f>IF(G133="","",IF(COUNTIFS('Care log'!$C$6:$C$1505,C133,'Care log'!$D$6:$D$1505,D133,'Care log'!$G$6:$G$1505,"&gt;"&amp;G133)=0,1,0))</f>
        <v/>
      </c>
    </row>
    <row r="134">
      <c r="A134" s="1" t="n"/>
      <c r="B134" s="20" t="n">
        <v>46228</v>
      </c>
      <c r="C134" s="17" t="inlineStr">
        <is>
          <t>Pearl</t>
        </is>
      </c>
      <c r="D134" s="18" t="inlineStr">
        <is>
          <t>Water</t>
        </is>
      </c>
      <c r="E134" s="18" t="n"/>
      <c r="F134" s="1" t="n"/>
      <c r="G134">
        <f>IF(OR(B134="",C134="",D134=""),"",B134+ROW()/10000000)</f>
        <v/>
      </c>
      <c r="H134">
        <f>IF(G134="","",IF(COUNTIFS('Care log'!$C$6:$C$1505,C134,'Care log'!$D$6:$D$1505,D134,'Care log'!$G$6:$G$1505,"&gt;"&amp;G134)=0,1,0))</f>
        <v/>
      </c>
    </row>
    <row r="135">
      <c r="A135" s="1" t="n"/>
      <c r="B135" s="20" t="n">
        <v>46228</v>
      </c>
      <c r="C135" s="17" t="inlineStr">
        <is>
          <t>Ruby</t>
        </is>
      </c>
      <c r="D135" s="18" t="inlineStr">
        <is>
          <t>Feed</t>
        </is>
      </c>
      <c r="E135" s="18" t="inlineStr">
        <is>
          <t>Half strength</t>
        </is>
      </c>
      <c r="F135" s="1" t="n"/>
      <c r="G135">
        <f>IF(OR(B135="",C135="",D135=""),"",B135+ROW()/10000000)</f>
        <v/>
      </c>
      <c r="H135">
        <f>IF(G135="","",IF(COUNTIFS('Care log'!$C$6:$C$1505,C135,'Care log'!$D$6:$D$1505,D135,'Care log'!$G$6:$G$1505,"&gt;"&amp;G135)=0,1,0))</f>
        <v/>
      </c>
    </row>
    <row r="136">
      <c r="A136" s="1" t="n"/>
      <c r="B136" s="20" t="n">
        <v>46229</v>
      </c>
      <c r="C136" s="17" t="inlineStr">
        <is>
          <t>Basil</t>
        </is>
      </c>
      <c r="D136" s="18" t="inlineStr">
        <is>
          <t>Water</t>
        </is>
      </c>
      <c r="E136" s="18" t="n"/>
      <c r="F136" s="1" t="n"/>
      <c r="G136">
        <f>IF(OR(B136="",C136="",D136=""),"",B136+ROW()/10000000)</f>
        <v/>
      </c>
      <c r="H136">
        <f>IF(G136="","",IF(COUNTIFS('Care log'!$C$6:$C$1505,C136,'Care log'!$D$6:$D$1505,D136,'Care log'!$G$6:$G$1505,"&gt;"&amp;G136)=0,1,0))</f>
        <v/>
      </c>
    </row>
    <row r="137">
      <c r="A137" s="1" t="n"/>
      <c r="B137" s="20" t="n">
        <v>46229</v>
      </c>
      <c r="C137" s="17" t="inlineStr">
        <is>
          <t>Fig</t>
        </is>
      </c>
      <c r="D137" s="18" t="inlineStr">
        <is>
          <t>Water</t>
        </is>
      </c>
      <c r="E137" s="18" t="n"/>
      <c r="F137" s="1" t="n"/>
      <c r="G137">
        <f>IF(OR(B137="",C137="",D137=""),"",B137+ROW()/10000000)</f>
        <v/>
      </c>
      <c r="H137">
        <f>IF(G137="","",IF(COUNTIFS('Care log'!$C$6:$C$1505,C137,'Care log'!$D$6:$D$1505,D137,'Care log'!$G$6:$G$1505,"&gt;"&amp;G137)=0,1,0))</f>
        <v/>
      </c>
    </row>
    <row r="138">
      <c r="A138" s="1" t="n"/>
      <c r="B138" s="20" t="n">
        <v>46229</v>
      </c>
      <c r="C138" s="17" t="inlineStr">
        <is>
          <t>Zed</t>
        </is>
      </c>
      <c r="D138" s="18" t="inlineStr">
        <is>
          <t>Water</t>
        </is>
      </c>
      <c r="E138" s="18" t="n"/>
      <c r="F138" s="1" t="n"/>
      <c r="G138">
        <f>IF(OR(B138="",C138="",D138=""),"",B138+ROW()/10000000)</f>
        <v/>
      </c>
      <c r="H138">
        <f>IF(G138="","",IF(COUNTIFS('Care log'!$C$6:$C$1505,C138,'Care log'!$D$6:$D$1505,D138,'Care log'!$G$6:$G$1505,"&gt;"&amp;G138)=0,1,0))</f>
        <v/>
      </c>
    </row>
    <row r="139">
      <c r="A139" s="1" t="n"/>
      <c r="B139" s="20" t="n">
        <v>46230</v>
      </c>
      <c r="C139" s="17" t="inlineStr">
        <is>
          <t>Fern</t>
        </is>
      </c>
      <c r="D139" s="18" t="inlineStr">
        <is>
          <t>Water</t>
        </is>
      </c>
      <c r="E139" s="18" t="n"/>
      <c r="F139" s="1" t="n"/>
      <c r="G139">
        <f>IF(OR(B139="",C139="",D139=""),"",B139+ROW()/10000000)</f>
        <v/>
      </c>
      <c r="H139">
        <f>IF(G139="","",IF(COUNTIFS('Care log'!$C$6:$C$1505,C139,'Care log'!$D$6:$D$1505,D139,'Care log'!$G$6:$G$1505,"&gt;"&amp;G139)=0,1,0))</f>
        <v/>
      </c>
    </row>
    <row r="140">
      <c r="A140" s="1" t="n"/>
      <c r="B140" s="20" t="n">
        <v>46230</v>
      </c>
      <c r="C140" s="17" t="inlineStr">
        <is>
          <t>Lily</t>
        </is>
      </c>
      <c r="D140" s="18" t="inlineStr">
        <is>
          <t>Water</t>
        </is>
      </c>
      <c r="E140" s="18" t="n"/>
      <c r="F140" s="1" t="n"/>
      <c r="G140">
        <f>IF(OR(B140="",C140="",D140=""),"",B140+ROW()/10000000)</f>
        <v/>
      </c>
      <c r="H140">
        <f>IF(G140="","",IF(COUNTIFS('Care log'!$C$6:$C$1505,C140,'Care log'!$D$6:$D$1505,D140,'Care log'!$G$6:$G$1505,"&gt;"&amp;G140)=0,1,0))</f>
        <v/>
      </c>
    </row>
    <row r="141">
      <c r="A141" s="1" t="n"/>
      <c r="B141" s="20" t="n">
        <v>46231</v>
      </c>
      <c r="C141" s="17" t="inlineStr">
        <is>
          <t>Basil</t>
        </is>
      </c>
      <c r="D141" s="18" t="inlineStr">
        <is>
          <t>Water</t>
        </is>
      </c>
      <c r="E141" s="18" t="n"/>
      <c r="F141" s="1" t="n"/>
      <c r="G141">
        <f>IF(OR(B141="",C141="",D141=""),"",B141+ROW()/10000000)</f>
        <v/>
      </c>
      <c r="H141">
        <f>IF(G141="","",IF(COUNTIFS('Care log'!$C$6:$C$1505,C141,'Care log'!$D$6:$D$1505,D141,'Care log'!$G$6:$G$1505,"&gt;"&amp;G141)=0,1,0))</f>
        <v/>
      </c>
    </row>
    <row r="142">
      <c r="A142" s="1" t="n"/>
      <c r="B142" s="20" t="n">
        <v>46231</v>
      </c>
      <c r="C142" s="17" t="inlineStr">
        <is>
          <t>Cleo</t>
        </is>
      </c>
      <c r="D142" s="18" t="inlineStr">
        <is>
          <t>Water</t>
        </is>
      </c>
      <c r="E142" s="18" t="n"/>
      <c r="F142" s="1" t="n"/>
      <c r="G142">
        <f>IF(OR(B142="",C142="",D142=""),"",B142+ROW()/10000000)</f>
        <v/>
      </c>
      <c r="H142">
        <f>IF(G142="","",IF(COUNTIFS('Care log'!$C$6:$C$1505,C142,'Care log'!$D$6:$D$1505,D142,'Care log'!$G$6:$G$1505,"&gt;"&amp;G142)=0,1,0))</f>
        <v/>
      </c>
    </row>
    <row r="143">
      <c r="A143" s="1" t="n"/>
      <c r="B143" s="20" t="n">
        <v>46231</v>
      </c>
      <c r="C143" s="17" t="inlineStr">
        <is>
          <t>Spidey</t>
        </is>
      </c>
      <c r="D143" s="18" t="inlineStr">
        <is>
          <t>Water</t>
        </is>
      </c>
      <c r="E143" s="18" t="n"/>
      <c r="F143" s="1" t="n"/>
      <c r="G143">
        <f>IF(OR(B143="",C143="",D143=""),"",B143+ROW()/10000000)</f>
        <v/>
      </c>
      <c r="H143">
        <f>IF(G143="","",IF(COUNTIFS('Care log'!$C$6:$C$1505,C143,'Care log'!$D$6:$D$1505,D143,'Care log'!$G$6:$G$1505,"&gt;"&amp;G143)=0,1,0))</f>
        <v/>
      </c>
    </row>
    <row r="144">
      <c r="A144" s="1" t="n"/>
      <c r="B144" s="20" t="n">
        <v>46232</v>
      </c>
      <c r="C144" s="17" t="inlineStr">
        <is>
          <t>Fern</t>
        </is>
      </c>
      <c r="D144" s="18" t="inlineStr">
        <is>
          <t>Feed</t>
        </is>
      </c>
      <c r="E144" s="18" t="inlineStr">
        <is>
          <t>Half strength</t>
        </is>
      </c>
      <c r="F144" s="1" t="n"/>
      <c r="G144">
        <f>IF(OR(B144="",C144="",D144=""),"",B144+ROW()/10000000)</f>
        <v/>
      </c>
      <c r="H144">
        <f>IF(G144="","",IF(COUNTIFS('Care log'!$C$6:$C$1505,C144,'Care log'!$D$6:$D$1505,D144,'Care log'!$G$6:$G$1505,"&gt;"&amp;G144)=0,1,0))</f>
        <v/>
      </c>
    </row>
    <row r="145">
      <c r="A145" s="1" t="n"/>
      <c r="B145" s="20" t="n">
        <v>46232</v>
      </c>
      <c r="C145" s="17" t="inlineStr">
        <is>
          <t>Goldie</t>
        </is>
      </c>
      <c r="D145" s="18" t="inlineStr">
        <is>
          <t>Water</t>
        </is>
      </c>
      <c r="E145" s="18" t="n"/>
      <c r="F145" s="1" t="n"/>
      <c r="G145">
        <f>IF(OR(B145="",C145="",D145=""),"",B145+ROW()/10000000)</f>
        <v/>
      </c>
      <c r="H145">
        <f>IF(G145="","",IF(COUNTIFS('Care log'!$C$6:$C$1505,C145,'Care log'!$D$6:$D$1505,D145,'Care log'!$G$6:$G$1505,"&gt;"&amp;G145)=0,1,0))</f>
        <v/>
      </c>
    </row>
    <row r="146">
      <c r="A146" s="1" t="n"/>
      <c r="B146" s="20" t="n">
        <v>46232</v>
      </c>
      <c r="C146" s="17" t="inlineStr">
        <is>
          <t>Ruby</t>
        </is>
      </c>
      <c r="D146" s="18" t="inlineStr">
        <is>
          <t>Water</t>
        </is>
      </c>
      <c r="E146" s="18" t="n"/>
      <c r="F146" s="1" t="n"/>
      <c r="G146">
        <f>IF(OR(B146="",C146="",D146=""),"",B146+ROW()/10000000)</f>
        <v/>
      </c>
      <c r="H146">
        <f>IF(G146="","",IF(COUNTIFS('Care log'!$C$6:$C$1505,C146,'Care log'!$D$6:$D$1505,D146,'Care log'!$G$6:$G$1505,"&gt;"&amp;G146)=0,1,0))</f>
        <v/>
      </c>
    </row>
    <row r="147">
      <c r="A147" s="1" t="n"/>
      <c r="B147" s="20" t="n">
        <v>46233</v>
      </c>
      <c r="C147" s="17" t="inlineStr">
        <is>
          <t>Basil</t>
        </is>
      </c>
      <c r="D147" s="18" t="inlineStr">
        <is>
          <t>Water</t>
        </is>
      </c>
      <c r="E147" s="18" t="n"/>
      <c r="F147" s="1" t="n"/>
      <c r="G147">
        <f>IF(OR(B147="",C147="",D147=""),"",B147+ROW()/10000000)</f>
        <v/>
      </c>
      <c r="H147">
        <f>IF(G147="","",IF(COUNTIFS('Care log'!$C$6:$C$1505,C147,'Care log'!$D$6:$D$1505,D147,'Care log'!$G$6:$G$1505,"&gt;"&amp;G147)=0,1,0))</f>
        <v/>
      </c>
    </row>
    <row r="148">
      <c r="A148" s="1" t="n"/>
      <c r="B148" s="20" t="n">
        <v>46233</v>
      </c>
      <c r="C148" s="17" t="inlineStr">
        <is>
          <t>Fern</t>
        </is>
      </c>
      <c r="D148" s="18" t="inlineStr">
        <is>
          <t>Water</t>
        </is>
      </c>
      <c r="E148" s="18" t="n"/>
      <c r="F148" s="1" t="n"/>
      <c r="G148">
        <f>IF(OR(B148="",C148="",D148=""),"",B148+ROW()/10000000)</f>
        <v/>
      </c>
      <c r="H148">
        <f>IF(G148="","",IF(COUNTIFS('Care log'!$C$6:$C$1505,C148,'Care log'!$D$6:$D$1505,D148,'Care log'!$G$6:$G$1505,"&gt;"&amp;G148)=0,1,0))</f>
        <v/>
      </c>
    </row>
    <row r="149">
      <c r="A149" s="1" t="n"/>
      <c r="B149" s="20" t="n">
        <v>46233</v>
      </c>
      <c r="C149" s="17" t="inlineStr">
        <is>
          <t>Sansa</t>
        </is>
      </c>
      <c r="D149" s="18" t="inlineStr">
        <is>
          <t>Water</t>
        </is>
      </c>
      <c r="E149" s="18" t="n"/>
      <c r="F149" s="1" t="n"/>
      <c r="G149">
        <f>IF(OR(B149="",C149="",D149=""),"",B149+ROW()/10000000)</f>
        <v/>
      </c>
      <c r="H149">
        <f>IF(G149="","",IF(COUNTIFS('Care log'!$C$6:$C$1505,C149,'Care log'!$D$6:$D$1505,D149,'Care log'!$G$6:$G$1505,"&gt;"&amp;G149)=0,1,0))</f>
        <v/>
      </c>
    </row>
    <row r="150">
      <c r="A150" s="1" t="n"/>
      <c r="B150" s="20" t="n">
        <v>46233</v>
      </c>
      <c r="C150" s="17" t="inlineStr">
        <is>
          <t>Spidey</t>
        </is>
      </c>
      <c r="D150" s="18" t="inlineStr">
        <is>
          <t>Repot</t>
        </is>
      </c>
      <c r="E150" s="18" t="inlineStr">
        <is>
          <t>Into a 17 cm pot</t>
        </is>
      </c>
      <c r="F150" s="1" t="n"/>
      <c r="G150">
        <f>IF(OR(B150="",C150="",D150=""),"",B150+ROW()/10000000)</f>
        <v/>
      </c>
      <c r="H150">
        <f>IF(G150="","",IF(COUNTIFS('Care log'!$C$6:$C$1505,C150,'Care log'!$D$6:$D$1505,D150,'Care log'!$G$6:$G$1505,"&gt;"&amp;G150)=0,1,0))</f>
        <v/>
      </c>
    </row>
    <row r="151">
      <c r="A151" s="1" t="n"/>
      <c r="B151" s="20" t="n">
        <v>46234</v>
      </c>
      <c r="C151" s="17" t="inlineStr">
        <is>
          <t>Goldie</t>
        </is>
      </c>
      <c r="D151" s="18" t="inlineStr">
        <is>
          <t>Feed</t>
        </is>
      </c>
      <c r="E151" s="18" t="inlineStr">
        <is>
          <t>Half strength</t>
        </is>
      </c>
      <c r="F151" s="1" t="n"/>
      <c r="G151">
        <f>IF(OR(B151="",C151="",D151=""),"",B151+ROW()/10000000)</f>
        <v/>
      </c>
      <c r="H151">
        <f>IF(G151="","",IF(COUNTIFS('Care log'!$C$6:$C$1505,C151,'Care log'!$D$6:$D$1505,D151,'Care log'!$G$6:$G$1505,"&gt;"&amp;G151)=0,1,0))</f>
        <v/>
      </c>
    </row>
    <row r="152">
      <c r="A152" s="1" t="n"/>
      <c r="B152" s="20" t="n">
        <v>46234</v>
      </c>
      <c r="C152" s="17" t="inlineStr">
        <is>
          <t>Monty</t>
        </is>
      </c>
      <c r="D152" s="18" t="inlineStr">
        <is>
          <t>Water</t>
        </is>
      </c>
      <c r="E152" s="18" t="n"/>
      <c r="F152" s="1" t="n"/>
      <c r="G152">
        <f>IF(OR(B152="",C152="",D152=""),"",B152+ROW()/10000000)</f>
        <v/>
      </c>
      <c r="H152">
        <f>IF(G152="","",IF(COUNTIFS('Care log'!$C$6:$C$1505,C152,'Care log'!$D$6:$D$1505,D152,'Care log'!$G$6:$G$1505,"&gt;"&amp;G152)=0,1,0))</f>
        <v/>
      </c>
    </row>
    <row r="153">
      <c r="A153" s="1" t="n"/>
      <c r="B153" s="20" t="n">
        <v>46234</v>
      </c>
      <c r="C153" s="17" t="inlineStr">
        <is>
          <t>Vera</t>
        </is>
      </c>
      <c r="D153" s="18" t="inlineStr">
        <is>
          <t>Water</t>
        </is>
      </c>
      <c r="E153" s="18" t="n"/>
      <c r="F153" s="1" t="n"/>
      <c r="G153">
        <f>IF(OR(B153="",C153="",D153=""),"",B153+ROW()/10000000)</f>
        <v/>
      </c>
      <c r="H153">
        <f>IF(G153="","",IF(COUNTIFS('Care log'!$C$6:$C$1505,C153,'Care log'!$D$6:$D$1505,D153,'Care log'!$G$6:$G$1505,"&gt;"&amp;G153)=0,1,0))</f>
        <v/>
      </c>
    </row>
    <row r="154">
      <c r="A154" s="1" t="n"/>
      <c r="B154" s="20" t="n">
        <v>46235</v>
      </c>
      <c r="C154" s="17" t="inlineStr">
        <is>
          <t>Basil</t>
        </is>
      </c>
      <c r="D154" s="18" t="inlineStr">
        <is>
          <t>Water</t>
        </is>
      </c>
      <c r="E154" s="18" t="n"/>
      <c r="F154" s="1" t="n"/>
      <c r="G154">
        <f>IF(OR(B154="",C154="",D154=""),"",B154+ROW()/10000000)</f>
        <v/>
      </c>
      <c r="H154">
        <f>IF(G154="","",IF(COUNTIFS('Care log'!$C$6:$C$1505,C154,'Care log'!$D$6:$D$1505,D154,'Care log'!$G$6:$G$1505,"&gt;"&amp;G154)=0,1,0))</f>
        <v/>
      </c>
    </row>
    <row r="155">
      <c r="A155" s="1" t="n"/>
      <c r="B155" s="20" t="n">
        <v>46236</v>
      </c>
      <c r="C155" s="17" t="inlineStr">
        <is>
          <t>Basil</t>
        </is>
      </c>
      <c r="D155" s="18" t="inlineStr">
        <is>
          <t>Feed</t>
        </is>
      </c>
      <c r="E155" s="18" t="inlineStr">
        <is>
          <t>Half strength</t>
        </is>
      </c>
      <c r="F155" s="1" t="n"/>
      <c r="G155">
        <f>IF(OR(B155="",C155="",D155=""),"",B155+ROW()/10000000)</f>
        <v/>
      </c>
      <c r="H155">
        <f>IF(G155="","",IF(COUNTIFS('Care log'!$C$6:$C$1505,C155,'Care log'!$D$6:$D$1505,D155,'Care log'!$G$6:$G$1505,"&gt;"&amp;G155)=0,1,0))</f>
        <v/>
      </c>
    </row>
    <row r="156">
      <c r="A156" s="1" t="n"/>
      <c r="B156" s="20" t="n">
        <v>46236</v>
      </c>
      <c r="C156" s="17" t="inlineStr">
        <is>
          <t>Cleo</t>
        </is>
      </c>
      <c r="D156" s="18" t="inlineStr">
        <is>
          <t>Water</t>
        </is>
      </c>
      <c r="E156" s="18" t="n"/>
      <c r="F156" s="1" t="n"/>
      <c r="G156">
        <f>IF(OR(B156="",C156="",D156=""),"",B156+ROW()/10000000)</f>
        <v/>
      </c>
      <c r="H156">
        <f>IF(G156="","",IF(COUNTIFS('Care log'!$C$6:$C$1505,C156,'Care log'!$D$6:$D$1505,D156,'Care log'!$G$6:$G$1505,"&gt;"&amp;G156)=0,1,0))</f>
        <v/>
      </c>
    </row>
    <row r="157">
      <c r="A157" s="1" t="n"/>
      <c r="B157" s="20" t="n">
        <v>46236</v>
      </c>
      <c r="C157" s="17" t="inlineStr">
        <is>
          <t>Lily</t>
        </is>
      </c>
      <c r="D157" s="18" t="inlineStr">
        <is>
          <t>Water</t>
        </is>
      </c>
      <c r="E157" s="18" t="n"/>
      <c r="F157" s="1" t="n"/>
      <c r="G157">
        <f>IF(OR(B157="",C157="",D157=""),"",B157+ROW()/10000000)</f>
        <v/>
      </c>
      <c r="H157">
        <f>IF(G157="","",IF(COUNTIFS('Care log'!$C$6:$C$1505,C157,'Care log'!$D$6:$D$1505,D157,'Care log'!$G$6:$G$1505,"&gt;"&amp;G157)=0,1,0))</f>
        <v/>
      </c>
    </row>
    <row r="158">
      <c r="A158" s="1" t="n"/>
      <c r="B158" s="20" t="n">
        <v>46237</v>
      </c>
      <c r="C158" s="17" t="inlineStr">
        <is>
          <t>Basil</t>
        </is>
      </c>
      <c r="D158" s="18" t="inlineStr">
        <is>
          <t>Water</t>
        </is>
      </c>
      <c r="E158" s="18" t="n"/>
      <c r="F158" s="1" t="n"/>
      <c r="G158">
        <f>IF(OR(B158="",C158="",D158=""),"",B158+ROW()/10000000)</f>
        <v/>
      </c>
      <c r="H158">
        <f>IF(G158="","",IF(COUNTIFS('Care log'!$C$6:$C$1505,C158,'Care log'!$D$6:$D$1505,D158,'Care log'!$G$6:$G$1505,"&gt;"&amp;G158)=0,1,0))</f>
        <v/>
      </c>
    </row>
    <row r="159">
      <c r="A159" s="1" t="n"/>
      <c r="B159" s="20" t="n">
        <v>46237</v>
      </c>
      <c r="C159" s="17" t="inlineStr">
        <is>
          <t>Fern</t>
        </is>
      </c>
      <c r="D159" s="18" t="inlineStr">
        <is>
          <t>Water</t>
        </is>
      </c>
      <c r="E159" s="18" t="n"/>
      <c r="F159" s="1" t="n"/>
      <c r="G159">
        <f>IF(OR(B159="",C159="",D159=""),"",B159+ROW()/10000000)</f>
        <v/>
      </c>
      <c r="H159">
        <f>IF(G159="","",IF(COUNTIFS('Care log'!$C$6:$C$1505,C159,'Care log'!$D$6:$D$1505,D159,'Care log'!$G$6:$G$1505,"&gt;"&amp;G159)=0,1,0))</f>
        <v/>
      </c>
    </row>
    <row r="160">
      <c r="A160" s="1" t="n"/>
      <c r="B160" s="20" t="n">
        <v>46237</v>
      </c>
      <c r="C160" s="17" t="inlineStr">
        <is>
          <t>Fig</t>
        </is>
      </c>
      <c r="D160" s="18" t="inlineStr">
        <is>
          <t>Water</t>
        </is>
      </c>
      <c r="E160" s="18" t="n"/>
      <c r="F160" s="1" t="n"/>
      <c r="G160">
        <f>IF(OR(B160="",C160="",D160=""),"",B160+ROW()/10000000)</f>
        <v/>
      </c>
      <c r="H160">
        <f>IF(G160="","",IF(COUNTIFS('Care log'!$C$6:$C$1505,C160,'Care log'!$D$6:$D$1505,D160,'Care log'!$G$6:$G$1505,"&gt;"&amp;G160)=0,1,0))</f>
        <v/>
      </c>
    </row>
    <row r="161">
      <c r="A161" s="1" t="n"/>
      <c r="B161" s="20" t="n">
        <v>46238</v>
      </c>
      <c r="C161" s="17" t="inlineStr">
        <is>
          <t>Echo</t>
        </is>
      </c>
      <c r="D161" s="18" t="inlineStr">
        <is>
          <t>Water</t>
        </is>
      </c>
      <c r="E161" s="18" t="n"/>
      <c r="F161" s="1" t="n"/>
      <c r="G161">
        <f>IF(OR(B161="",C161="",D161=""),"",B161+ROW()/10000000)</f>
        <v/>
      </c>
      <c r="H161">
        <f>IF(G161="","",IF(COUNTIFS('Care log'!$C$6:$C$1505,C161,'Care log'!$D$6:$D$1505,D161,'Care log'!$G$6:$G$1505,"&gt;"&amp;G161)=0,1,0))</f>
        <v/>
      </c>
    </row>
    <row r="162">
      <c r="A162" s="1" t="n"/>
      <c r="B162" s="20" t="n">
        <v>46238</v>
      </c>
      <c r="C162" s="17" t="inlineStr">
        <is>
          <t>Echo</t>
        </is>
      </c>
      <c r="D162" s="18" t="inlineStr">
        <is>
          <t>Feed</t>
        </is>
      </c>
      <c r="E162" s="18" t="n"/>
      <c r="F162" s="1" t="n"/>
      <c r="G162">
        <f>IF(OR(B162="",C162="",D162=""),"",B162+ROW()/10000000)</f>
        <v/>
      </c>
      <c r="H162">
        <f>IF(G162="","",IF(COUNTIFS('Care log'!$C$6:$C$1505,C162,'Care log'!$D$6:$D$1505,D162,'Care log'!$G$6:$G$1505,"&gt;"&amp;G162)=0,1,0))</f>
        <v/>
      </c>
    </row>
    <row r="163">
      <c r="A163" s="1" t="n"/>
      <c r="B163" s="20" t="n">
        <v>46238</v>
      </c>
      <c r="C163" s="17" t="inlineStr">
        <is>
          <t>Pearl</t>
        </is>
      </c>
      <c r="D163" s="18" t="inlineStr">
        <is>
          <t>Water</t>
        </is>
      </c>
      <c r="E163" s="18" t="n"/>
      <c r="F163" s="1" t="n"/>
      <c r="G163">
        <f>IF(OR(B163="",C163="",D163=""),"",B163+ROW()/10000000)</f>
        <v/>
      </c>
      <c r="H163">
        <f>IF(G163="","",IF(COUNTIFS('Care log'!$C$6:$C$1505,C163,'Care log'!$D$6:$D$1505,D163,'Care log'!$G$6:$G$1505,"&gt;"&amp;G163)=0,1,0))</f>
        <v/>
      </c>
    </row>
    <row r="164">
      <c r="A164" s="1" t="n"/>
      <c r="B164" s="20" t="n">
        <v>46238</v>
      </c>
      <c r="C164" s="17" t="inlineStr">
        <is>
          <t>Pearl</t>
        </is>
      </c>
      <c r="D164" s="18" t="inlineStr">
        <is>
          <t>Feed</t>
        </is>
      </c>
      <c r="E164" s="18" t="inlineStr">
        <is>
          <t>Half strength</t>
        </is>
      </c>
      <c r="F164" s="1" t="n"/>
      <c r="G164">
        <f>IF(OR(B164="",C164="",D164=""),"",B164+ROW()/10000000)</f>
        <v/>
      </c>
      <c r="H164">
        <f>IF(G164="","",IF(COUNTIFS('Care log'!$C$6:$C$1505,C164,'Care log'!$D$6:$D$1505,D164,'Care log'!$G$6:$G$1505,"&gt;"&amp;G164)=0,1,0))</f>
        <v/>
      </c>
    </row>
    <row r="165">
      <c r="A165" s="1" t="n"/>
      <c r="B165" s="20" t="n">
        <v>46238</v>
      </c>
      <c r="C165" s="17" t="inlineStr">
        <is>
          <t>Spidey</t>
        </is>
      </c>
      <c r="D165" s="18" t="inlineStr">
        <is>
          <t>Water</t>
        </is>
      </c>
      <c r="E165" s="18" t="n"/>
      <c r="F165" s="1" t="n"/>
      <c r="G165">
        <f>IF(OR(B165="",C165="",D165=""),"",B165+ROW()/10000000)</f>
        <v/>
      </c>
      <c r="H165">
        <f>IF(G165="","",IF(COUNTIFS('Care log'!$C$6:$C$1505,C165,'Care log'!$D$6:$D$1505,D165,'Care log'!$G$6:$G$1505,"&gt;"&amp;G165)=0,1,0))</f>
        <v/>
      </c>
    </row>
    <row r="166">
      <c r="A166" s="1" t="n"/>
      <c r="B166" s="20" t="n">
        <v>46239</v>
      </c>
      <c r="C166" s="17" t="inlineStr">
        <is>
          <t>Goldie</t>
        </is>
      </c>
      <c r="D166" s="18" t="inlineStr">
        <is>
          <t>Water</t>
        </is>
      </c>
      <c r="E166" s="18" t="n"/>
      <c r="F166" s="1" t="n"/>
      <c r="G166">
        <f>IF(OR(B166="",C166="",D166=""),"",B166+ROW()/10000000)</f>
        <v/>
      </c>
      <c r="H166">
        <f>IF(G166="","",IF(COUNTIFS('Care log'!$C$6:$C$1505,C166,'Care log'!$D$6:$D$1505,D166,'Care log'!$G$6:$G$1505,"&gt;"&amp;G166)=0,1,0))</f>
        <v/>
      </c>
    </row>
    <row r="167">
      <c r="A167" s="1" t="n"/>
      <c r="B167" s="20" t="n">
        <v>46239</v>
      </c>
      <c r="C167" s="17" t="inlineStr">
        <is>
          <t>Ruby</t>
        </is>
      </c>
      <c r="D167" s="18" t="inlineStr">
        <is>
          <t>Water</t>
        </is>
      </c>
      <c r="E167" s="18" t="n"/>
      <c r="F167" s="1" t="n"/>
      <c r="G167">
        <f>IF(OR(B167="",C167="",D167=""),"",B167+ROW()/10000000)</f>
        <v/>
      </c>
      <c r="H167">
        <f>IF(G167="","",IF(COUNTIFS('Care log'!$C$6:$C$1505,C167,'Care log'!$D$6:$D$1505,D167,'Care log'!$G$6:$G$1505,"&gt;"&amp;G167)=0,1,0))</f>
        <v/>
      </c>
    </row>
    <row r="168">
      <c r="A168" s="1" t="n"/>
      <c r="B168" s="20" t="n">
        <v>46240</v>
      </c>
      <c r="C168" s="17" t="inlineStr">
        <is>
          <t>Basil</t>
        </is>
      </c>
      <c r="D168" s="18" t="inlineStr">
        <is>
          <t>Water</t>
        </is>
      </c>
      <c r="E168" s="18" t="n"/>
      <c r="F168" s="1" t="n"/>
      <c r="G168">
        <f>IF(OR(B168="",C168="",D168=""),"",B168+ROW()/10000000)</f>
        <v/>
      </c>
      <c r="H168">
        <f>IF(G168="","",IF(COUNTIFS('Care log'!$C$6:$C$1505,C168,'Care log'!$D$6:$D$1505,D168,'Care log'!$G$6:$G$1505,"&gt;"&amp;G168)=0,1,0))</f>
        <v/>
      </c>
    </row>
    <row r="169">
      <c r="A169" s="1" t="n"/>
      <c r="B169" s="20" t="n">
        <v>46240</v>
      </c>
      <c r="C169" s="17" t="inlineStr">
        <is>
          <t>Fern</t>
        </is>
      </c>
      <c r="D169" s="18" t="inlineStr">
        <is>
          <t>Water</t>
        </is>
      </c>
      <c r="E169" s="18" t="n"/>
      <c r="F169" s="1" t="n"/>
      <c r="G169">
        <f>IF(OR(B169="",C169="",D169=""),"",B169+ROW()/10000000)</f>
        <v/>
      </c>
      <c r="H169">
        <f>IF(G169="","",IF(COUNTIFS('Care log'!$C$6:$C$1505,C169,'Care log'!$D$6:$D$1505,D169,'Care log'!$G$6:$G$1505,"&gt;"&amp;G169)=0,1,0))</f>
        <v/>
      </c>
    </row>
    <row r="170">
      <c r="A170" s="1" t="n"/>
      <c r="B170" s="20" t="n">
        <v>46240</v>
      </c>
      <c r="C170" s="17" t="inlineStr">
        <is>
          <t>Monty</t>
        </is>
      </c>
      <c r="D170" s="18" t="inlineStr">
        <is>
          <t>Water</t>
        </is>
      </c>
      <c r="E170" s="18" t="n"/>
      <c r="F170" s="1" t="n"/>
      <c r="G170">
        <f>IF(OR(B170="",C170="",D170=""),"",B170+ROW()/10000000)</f>
        <v/>
      </c>
      <c r="H170">
        <f>IF(G170="","",IF(COUNTIFS('Care log'!$C$6:$C$1505,C170,'Care log'!$D$6:$D$1505,D170,'Care log'!$G$6:$G$1505,"&gt;"&amp;G170)=0,1,0))</f>
        <v/>
      </c>
    </row>
    <row r="171">
      <c r="A171" s="1" t="n"/>
      <c r="B171" s="20" t="n">
        <v>46241</v>
      </c>
      <c r="C171" s="17" t="inlineStr">
        <is>
          <t>Cleo</t>
        </is>
      </c>
      <c r="D171" s="18" t="inlineStr">
        <is>
          <t>Water</t>
        </is>
      </c>
      <c r="E171" s="18" t="n"/>
      <c r="F171" s="1" t="n"/>
      <c r="G171">
        <f>IF(OR(B171="",C171="",D171=""),"",B171+ROW()/10000000)</f>
        <v/>
      </c>
      <c r="H171">
        <f>IF(G171="","",IF(COUNTIFS('Care log'!$C$6:$C$1505,C171,'Care log'!$D$6:$D$1505,D171,'Care log'!$G$6:$G$1505,"&gt;"&amp;G171)=0,1,0))</f>
        <v/>
      </c>
    </row>
    <row r="172">
      <c r="A172" s="1" t="n"/>
      <c r="B172" s="20" t="n">
        <v>46241</v>
      </c>
      <c r="C172" s="17" t="inlineStr">
        <is>
          <t>Spidey</t>
        </is>
      </c>
      <c r="D172" s="18" t="inlineStr">
        <is>
          <t>Feed</t>
        </is>
      </c>
      <c r="E172" s="18" t="inlineStr">
        <is>
          <t>Half strength</t>
        </is>
      </c>
      <c r="F172" s="1" t="n"/>
      <c r="G172">
        <f>IF(OR(B172="",C172="",D172=""),"",B172+ROW()/10000000)</f>
        <v/>
      </c>
      <c r="H172">
        <f>IF(G172="","",IF(COUNTIFS('Care log'!$C$6:$C$1505,C172,'Care log'!$D$6:$D$1505,D172,'Care log'!$G$6:$G$1505,"&gt;"&amp;G172)=0,1,0))</f>
        <v/>
      </c>
    </row>
    <row r="173">
      <c r="A173" s="1" t="n"/>
      <c r="B173" s="20" t="n">
        <v>46242</v>
      </c>
      <c r="C173" s="17" t="inlineStr">
        <is>
          <t>Fern</t>
        </is>
      </c>
      <c r="D173" s="18" t="inlineStr">
        <is>
          <t>Water</t>
        </is>
      </c>
      <c r="E173" s="18" t="n"/>
      <c r="F173" s="1" t="n"/>
      <c r="G173">
        <f>IF(OR(B173="",C173="",D173=""),"",B173+ROW()/10000000)</f>
        <v/>
      </c>
      <c r="H173">
        <f>IF(G173="","",IF(COUNTIFS('Care log'!$C$6:$C$1505,C173,'Care log'!$D$6:$D$1505,D173,'Care log'!$G$6:$G$1505,"&gt;"&amp;G173)=0,1,0))</f>
        <v/>
      </c>
    </row>
    <row r="174">
      <c r="A174" s="1" t="n"/>
      <c r="B174" s="20" t="n">
        <v>46242</v>
      </c>
      <c r="C174" s="17" t="inlineStr">
        <is>
          <t>Lily</t>
        </is>
      </c>
      <c r="D174" s="18" t="inlineStr">
        <is>
          <t>Water</t>
        </is>
      </c>
      <c r="E174" s="18" t="n"/>
      <c r="F174" s="1" t="n"/>
      <c r="G174">
        <f>IF(OR(B174="",C174="",D174=""),"",B174+ROW()/10000000)</f>
        <v/>
      </c>
      <c r="H174">
        <f>IF(G174="","",IF(COUNTIFS('Care log'!$C$6:$C$1505,C174,'Care log'!$D$6:$D$1505,D174,'Care log'!$G$6:$G$1505,"&gt;"&amp;G174)=0,1,0))</f>
        <v/>
      </c>
    </row>
    <row r="175">
      <c r="A175" s="1" t="n"/>
      <c r="B175" s="20" t="n">
        <v>46243</v>
      </c>
      <c r="C175" s="17" t="inlineStr">
        <is>
          <t>Basil</t>
        </is>
      </c>
      <c r="D175" s="18" t="inlineStr">
        <is>
          <t>Water</t>
        </is>
      </c>
      <c r="E175" s="18" t="n"/>
      <c r="F175" s="1" t="n"/>
      <c r="G175">
        <f>IF(OR(B175="",C175="",D175=""),"",B175+ROW()/10000000)</f>
        <v/>
      </c>
      <c r="H175">
        <f>IF(G175="","",IF(COUNTIFS('Care log'!$C$6:$C$1505,C175,'Care log'!$D$6:$D$1505,D175,'Care log'!$G$6:$G$1505,"&gt;"&amp;G175)=0,1,0))</f>
        <v/>
      </c>
    </row>
    <row r="176">
      <c r="A176" s="1" t="n"/>
      <c r="B176" s="20" t="n">
        <v>46243</v>
      </c>
      <c r="C176" s="17" t="inlineStr">
        <is>
          <t>Monty</t>
        </is>
      </c>
      <c r="D176" s="18" t="inlineStr">
        <is>
          <t>Feed</t>
        </is>
      </c>
      <c r="E176" s="18" t="inlineStr">
        <is>
          <t>Half strength</t>
        </is>
      </c>
      <c r="F176" s="1" t="n"/>
      <c r="G176">
        <f>IF(OR(B176="",C176="",D176=""),"",B176+ROW()/10000000)</f>
        <v/>
      </c>
      <c r="H176">
        <f>IF(G176="","",IF(COUNTIFS('Care log'!$C$6:$C$1505,C176,'Care log'!$D$6:$D$1505,D176,'Care log'!$G$6:$G$1505,"&gt;"&amp;G176)=0,1,0))</f>
        <v/>
      </c>
    </row>
    <row r="177">
      <c r="A177" s="1" t="n"/>
      <c r="B177" s="20" t="n">
        <v>46243</v>
      </c>
      <c r="C177" s="17" t="inlineStr">
        <is>
          <t>Vera</t>
        </is>
      </c>
      <c r="D177" s="18" t="inlineStr">
        <is>
          <t>Feed</t>
        </is>
      </c>
      <c r="E177" s="18" t="n"/>
      <c r="F177" s="1" t="n"/>
      <c r="G177">
        <f>IF(OR(B177="",C177="",D177=""),"",B177+ROW()/10000000)</f>
        <v/>
      </c>
      <c r="H177">
        <f>IF(G177="","",IF(COUNTIFS('Care log'!$C$6:$C$1505,C177,'Care log'!$D$6:$D$1505,D177,'Care log'!$G$6:$G$1505,"&gt;"&amp;G177)=0,1,0))</f>
        <v/>
      </c>
    </row>
    <row r="178">
      <c r="A178" s="1" t="n"/>
      <c r="B178" s="20" t="n">
        <v>46243</v>
      </c>
      <c r="C178" s="17" t="inlineStr">
        <is>
          <t>Zed</t>
        </is>
      </c>
      <c r="D178" s="18" t="inlineStr">
        <is>
          <t>Water</t>
        </is>
      </c>
      <c r="E178" s="18" t="n"/>
      <c r="F178" s="1" t="n"/>
      <c r="G178">
        <f>IF(OR(B178="",C178="",D178=""),"",B178+ROW()/10000000)</f>
        <v/>
      </c>
      <c r="H178">
        <f>IF(G178="","",IF(COUNTIFS('Care log'!$C$6:$C$1505,C178,'Care log'!$D$6:$D$1505,D178,'Care log'!$G$6:$G$1505,"&gt;"&amp;G178)=0,1,0))</f>
        <v/>
      </c>
    </row>
    <row r="179">
      <c r="A179" s="1" t="n"/>
      <c r="B179" s="20" t="n">
        <v>46244</v>
      </c>
      <c r="C179" s="17" t="inlineStr">
        <is>
          <t>Basil</t>
        </is>
      </c>
      <c r="D179" s="18" t="inlineStr">
        <is>
          <t>Water</t>
        </is>
      </c>
      <c r="E179" s="18" t="n"/>
      <c r="F179" s="1" t="n"/>
      <c r="G179">
        <f>IF(OR(B179="",C179="",D179=""),"",B179+ROW()/10000000)</f>
        <v/>
      </c>
      <c r="H179">
        <f>IF(G179="","",IF(COUNTIFS('Care log'!$C$6:$C$1505,C179,'Care log'!$D$6:$D$1505,D179,'Care log'!$G$6:$G$1505,"&gt;"&amp;G179)=0,1,0))</f>
        <v/>
      </c>
    </row>
    <row r="180">
      <c r="A180" s="1" t="n"/>
      <c r="B180" s="20" t="n">
        <v>46245</v>
      </c>
      <c r="C180" s="17" t="inlineStr">
        <is>
          <t>Fern</t>
        </is>
      </c>
      <c r="D180" s="18" t="inlineStr">
        <is>
          <t>Water</t>
        </is>
      </c>
      <c r="E180" s="18" t="n"/>
      <c r="F180" s="1" t="n"/>
      <c r="G180">
        <f>IF(OR(B180="",C180="",D180=""),"",B180+ROW()/10000000)</f>
        <v/>
      </c>
      <c r="H180">
        <f>IF(G180="","",IF(COUNTIFS('Care log'!$C$6:$C$1505,C180,'Care log'!$D$6:$D$1505,D180,'Care log'!$G$6:$G$1505,"&gt;"&amp;G180)=0,1,0))</f>
        <v/>
      </c>
    </row>
    <row r="181">
      <c r="A181" s="1" t="n"/>
      <c r="B181" s="20" t="n">
        <v>46245</v>
      </c>
      <c r="C181" s="17" t="inlineStr">
        <is>
          <t>Fig</t>
        </is>
      </c>
      <c r="D181" s="18" t="inlineStr">
        <is>
          <t>Water</t>
        </is>
      </c>
      <c r="E181" s="18" t="n"/>
      <c r="F181" s="1" t="n"/>
      <c r="G181">
        <f>IF(OR(B181="",C181="",D181=""),"",B181+ROW()/10000000)</f>
        <v/>
      </c>
      <c r="H181">
        <f>IF(G181="","",IF(COUNTIFS('Care log'!$C$6:$C$1505,C181,'Care log'!$D$6:$D$1505,D181,'Care log'!$G$6:$G$1505,"&gt;"&amp;G181)=0,1,0))</f>
        <v/>
      </c>
    </row>
    <row r="182">
      <c r="A182" s="1" t="n"/>
      <c r="B182" s="20" t="n">
        <v>46245</v>
      </c>
      <c r="C182" s="17" t="inlineStr">
        <is>
          <t>Goldie</t>
        </is>
      </c>
      <c r="D182" s="18" t="inlineStr">
        <is>
          <t>Water</t>
        </is>
      </c>
      <c r="E182" s="18" t="n"/>
      <c r="F182" s="1" t="n"/>
      <c r="G182">
        <f>IF(OR(B182="",C182="",D182=""),"",B182+ROW()/10000000)</f>
        <v/>
      </c>
      <c r="H182">
        <f>IF(G182="","",IF(COUNTIFS('Care log'!$C$6:$C$1505,C182,'Care log'!$D$6:$D$1505,D182,'Care log'!$G$6:$G$1505,"&gt;"&amp;G182)=0,1,0))</f>
        <v/>
      </c>
    </row>
    <row r="183">
      <c r="A183" s="1" t="n"/>
      <c r="B183" s="20" t="n">
        <v>46245</v>
      </c>
      <c r="C183" s="17" t="inlineStr">
        <is>
          <t>Spidey</t>
        </is>
      </c>
      <c r="D183" s="18" t="inlineStr">
        <is>
          <t>Water</t>
        </is>
      </c>
      <c r="E183" s="18" t="n"/>
      <c r="F183" s="1" t="n"/>
      <c r="G183">
        <f>IF(OR(B183="",C183="",D183=""),"",B183+ROW()/10000000)</f>
        <v/>
      </c>
      <c r="H183">
        <f>IF(G183="","",IF(COUNTIFS('Care log'!$C$6:$C$1505,C183,'Care log'!$D$6:$D$1505,D183,'Care log'!$G$6:$G$1505,"&gt;"&amp;G183)=0,1,0))</f>
        <v/>
      </c>
    </row>
    <row r="184">
      <c r="A184" s="1" t="n"/>
      <c r="B184" s="20" t="n">
        <v>46246</v>
      </c>
      <c r="C184" s="17" t="inlineStr">
        <is>
          <t>Basil</t>
        </is>
      </c>
      <c r="D184" s="18" t="inlineStr">
        <is>
          <t>Water</t>
        </is>
      </c>
      <c r="E184" s="18" t="n"/>
      <c r="F184" s="1" t="n"/>
      <c r="G184">
        <f>IF(OR(B184="",C184="",D184=""),"",B184+ROW()/10000000)</f>
        <v/>
      </c>
      <c r="H184">
        <f>IF(G184="","",IF(COUNTIFS('Care log'!$C$6:$C$1505,C184,'Care log'!$D$6:$D$1505,D184,'Care log'!$G$6:$G$1505,"&gt;"&amp;G184)=0,1,0))</f>
        <v/>
      </c>
    </row>
    <row r="185">
      <c r="A185" s="1" t="n"/>
      <c r="B185" s="20" t="n">
        <v>46246</v>
      </c>
      <c r="C185" s="17" t="inlineStr">
        <is>
          <t>Cleo</t>
        </is>
      </c>
      <c r="D185" s="18" t="inlineStr">
        <is>
          <t>Water</t>
        </is>
      </c>
      <c r="E185" s="18" t="n"/>
      <c r="F185" s="1" t="n"/>
      <c r="G185">
        <f>IF(OR(B185="",C185="",D185=""),"",B185+ROW()/10000000)</f>
        <v/>
      </c>
      <c r="H185">
        <f>IF(G185="","",IF(COUNTIFS('Care log'!$C$6:$C$1505,C185,'Care log'!$D$6:$D$1505,D185,'Care log'!$G$6:$G$1505,"&gt;"&amp;G185)=0,1,0))</f>
        <v/>
      </c>
    </row>
    <row r="186">
      <c r="A186" s="1" t="n"/>
      <c r="B186" s="20" t="n">
        <v>46246</v>
      </c>
      <c r="C186" s="17" t="inlineStr">
        <is>
          <t>Ruby</t>
        </is>
      </c>
      <c r="D186" s="18" t="inlineStr">
        <is>
          <t>Water</t>
        </is>
      </c>
      <c r="E186" s="18" t="n"/>
      <c r="F186" s="1" t="n"/>
      <c r="G186">
        <f>IF(OR(B186="",C186="",D186=""),"",B186+ROW()/10000000)</f>
        <v/>
      </c>
      <c r="H186">
        <f>IF(G186="","",IF(COUNTIFS('Care log'!$C$6:$C$1505,C186,'Care log'!$D$6:$D$1505,D186,'Care log'!$G$6:$G$1505,"&gt;"&amp;G186)=0,1,0))</f>
        <v/>
      </c>
    </row>
    <row r="187">
      <c r="A187" s="1" t="n"/>
      <c r="B187" s="20" t="n">
        <v>46247</v>
      </c>
      <c r="C187" s="17" t="inlineStr">
        <is>
          <t>Lily</t>
        </is>
      </c>
      <c r="D187" s="18" t="inlineStr">
        <is>
          <t>Feed</t>
        </is>
      </c>
      <c r="E187" s="18" t="inlineStr">
        <is>
          <t>Half strength</t>
        </is>
      </c>
      <c r="F187" s="1" t="n"/>
      <c r="G187">
        <f>IF(OR(B187="",C187="",D187=""),"",B187+ROW()/10000000)</f>
        <v/>
      </c>
      <c r="H187">
        <f>IF(G187="","",IF(COUNTIFS('Care log'!$C$6:$C$1505,C187,'Care log'!$D$6:$D$1505,D187,'Care log'!$G$6:$G$1505,"&gt;"&amp;G187)=0,1,0))</f>
        <v/>
      </c>
    </row>
    <row r="188">
      <c r="A188" s="1" t="n"/>
      <c r="B188" s="20" t="n">
        <v>46247</v>
      </c>
      <c r="C188" s="17" t="inlineStr">
        <is>
          <t>Monty</t>
        </is>
      </c>
      <c r="D188" s="18" t="inlineStr">
        <is>
          <t>Water</t>
        </is>
      </c>
      <c r="E188" s="18" t="n"/>
      <c r="F188" s="1" t="n"/>
      <c r="G188">
        <f>IF(OR(B188="",C188="",D188=""),"",B188+ROW()/10000000)</f>
        <v/>
      </c>
      <c r="H188">
        <f>IF(G188="","",IF(COUNTIFS('Care log'!$C$6:$C$1505,C188,'Care log'!$D$6:$D$1505,D188,'Care log'!$G$6:$G$1505,"&gt;"&amp;G188)=0,1,0))</f>
        <v/>
      </c>
    </row>
    <row r="189">
      <c r="A189" s="1" t="n"/>
      <c r="B189" s="20" t="n">
        <v>46247</v>
      </c>
      <c r="C189" s="17" t="inlineStr">
        <is>
          <t>Sansa</t>
        </is>
      </c>
      <c r="D189" s="18" t="inlineStr">
        <is>
          <t>Water</t>
        </is>
      </c>
      <c r="E189" s="18" t="n"/>
      <c r="F189" s="1" t="n"/>
      <c r="G189">
        <f>IF(OR(B189="",C189="",D189=""),"",B189+ROW()/10000000)</f>
        <v/>
      </c>
      <c r="H189">
        <f>IF(G189="","",IF(COUNTIFS('Care log'!$C$6:$C$1505,C189,'Care log'!$D$6:$D$1505,D189,'Care log'!$G$6:$G$1505,"&gt;"&amp;G189)=0,1,0))</f>
        <v/>
      </c>
    </row>
    <row r="190">
      <c r="A190" s="1" t="n"/>
      <c r="B190" s="20" t="n">
        <v>46248</v>
      </c>
      <c r="C190" s="17" t="inlineStr">
        <is>
          <t>Goldie</t>
        </is>
      </c>
      <c r="D190" s="18" t="inlineStr">
        <is>
          <t>Prune</t>
        </is>
      </c>
      <c r="E190" s="18" t="inlineStr">
        <is>
          <t>Cut two long vines, put them in water</t>
        </is>
      </c>
      <c r="F190" s="1" t="n"/>
      <c r="G190">
        <f>IF(OR(B190="",C190="",D190=""),"",B190+ROW()/10000000)</f>
        <v/>
      </c>
      <c r="H190">
        <f>IF(G190="","",IF(COUNTIFS('Care log'!$C$6:$C$1505,C190,'Care log'!$D$6:$D$1505,D190,'Care log'!$G$6:$G$1505,"&gt;"&amp;G190)=0,1,0))</f>
        <v/>
      </c>
    </row>
    <row r="191">
      <c r="A191" s="1" t="n"/>
      <c r="B191" s="20" t="n">
        <v>46248</v>
      </c>
      <c r="C191" s="17" t="inlineStr">
        <is>
          <t>Lily</t>
        </is>
      </c>
      <c r="D191" s="18" t="inlineStr">
        <is>
          <t>Water</t>
        </is>
      </c>
      <c r="E191" s="18" t="n"/>
      <c r="F191" s="1" t="n"/>
      <c r="G191">
        <f>IF(OR(B191="",C191="",D191=""),"",B191+ROW()/10000000)</f>
        <v/>
      </c>
      <c r="H191">
        <f>IF(G191="","",IF(COUNTIFS('Care log'!$C$6:$C$1505,C191,'Care log'!$D$6:$D$1505,D191,'Care log'!$G$6:$G$1505,"&gt;"&amp;G191)=0,1,0))</f>
        <v/>
      </c>
    </row>
    <row r="192">
      <c r="A192" s="1" t="n"/>
      <c r="B192" s="20" t="n">
        <v>46248</v>
      </c>
      <c r="C192" s="17" t="inlineStr">
        <is>
          <t>Pearl</t>
        </is>
      </c>
      <c r="D192" s="18" t="inlineStr">
        <is>
          <t>Water</t>
        </is>
      </c>
      <c r="E192" s="18" t="n"/>
      <c r="F192" s="1" t="n"/>
      <c r="G192">
        <f>IF(OR(B192="",C192="",D192=""),"",B192+ROW()/10000000)</f>
        <v/>
      </c>
      <c r="H192">
        <f>IF(G192="","",IF(COUNTIFS('Care log'!$C$6:$C$1505,C192,'Care log'!$D$6:$D$1505,D192,'Care log'!$G$6:$G$1505,"&gt;"&amp;G192)=0,1,0))</f>
        <v/>
      </c>
    </row>
    <row r="193">
      <c r="A193" s="1" t="n"/>
      <c r="B193" s="20" t="n">
        <v>46248</v>
      </c>
      <c r="C193" s="17" t="inlineStr">
        <is>
          <t>Vera</t>
        </is>
      </c>
      <c r="D193" s="18" t="inlineStr">
        <is>
          <t>Water</t>
        </is>
      </c>
      <c r="E193" s="18" t="n"/>
      <c r="F193" s="1" t="n"/>
      <c r="G193">
        <f>IF(OR(B193="",C193="",D193=""),"",B193+ROW()/10000000)</f>
        <v/>
      </c>
      <c r="H193">
        <f>IF(G193="","",IF(COUNTIFS('Care log'!$C$6:$C$1505,C193,'Care log'!$D$6:$D$1505,D193,'Care log'!$G$6:$G$1505,"&gt;"&amp;G193)=0,1,0))</f>
        <v/>
      </c>
    </row>
    <row r="194">
      <c r="A194" s="1" t="n"/>
      <c r="B194" s="20" t="n">
        <v>46248</v>
      </c>
      <c r="C194" s="17" t="inlineStr">
        <is>
          <t>Zed</t>
        </is>
      </c>
      <c r="D194" s="18" t="inlineStr">
        <is>
          <t>Feed</t>
        </is>
      </c>
      <c r="E194" s="18" t="n"/>
      <c r="F194" s="1" t="n"/>
      <c r="G194">
        <f>IF(OR(B194="",C194="",D194=""),"",B194+ROW()/10000000)</f>
        <v/>
      </c>
      <c r="H194">
        <f>IF(G194="","",IF(COUNTIFS('Care log'!$C$6:$C$1505,C194,'Care log'!$D$6:$D$1505,D194,'Care log'!$G$6:$G$1505,"&gt;"&amp;G194)=0,1,0))</f>
        <v/>
      </c>
    </row>
    <row r="195">
      <c r="A195" s="1" t="n"/>
      <c r="B195" s="20" t="n">
        <v>46249</v>
      </c>
      <c r="C195" s="17" t="inlineStr">
        <is>
          <t>Basil</t>
        </is>
      </c>
      <c r="D195" s="18" t="inlineStr">
        <is>
          <t>Water</t>
        </is>
      </c>
      <c r="E195" s="18" t="n"/>
      <c r="F195" s="1" t="n"/>
      <c r="G195">
        <f>IF(OR(B195="",C195="",D195=""),"",B195+ROW()/10000000)</f>
        <v/>
      </c>
      <c r="H195">
        <f>IF(G195="","",IF(COUNTIFS('Care log'!$C$6:$C$1505,C195,'Care log'!$D$6:$D$1505,D195,'Care log'!$G$6:$G$1505,"&gt;"&amp;G195)=0,1,0))</f>
        <v/>
      </c>
    </row>
    <row r="196">
      <c r="A196" s="1" t="n"/>
      <c r="B196" s="20" t="n">
        <v>46249</v>
      </c>
      <c r="C196" s="17" t="inlineStr">
        <is>
          <t>Echo</t>
        </is>
      </c>
      <c r="D196" s="18" t="inlineStr">
        <is>
          <t>Water</t>
        </is>
      </c>
      <c r="E196" s="18" t="n"/>
      <c r="F196" s="1" t="n"/>
      <c r="G196">
        <f>IF(OR(B196="",C196="",D196=""),"",B196+ROW()/10000000)</f>
        <v/>
      </c>
      <c r="H196">
        <f>IF(G196="","",IF(COUNTIFS('Care log'!$C$6:$C$1505,C196,'Care log'!$D$6:$D$1505,D196,'Care log'!$G$6:$G$1505,"&gt;"&amp;G196)=0,1,0))</f>
        <v/>
      </c>
    </row>
    <row r="197">
      <c r="A197" s="1" t="n"/>
      <c r="B197" s="20" t="n">
        <v>46249</v>
      </c>
      <c r="C197" s="17" t="inlineStr">
        <is>
          <t>Fern</t>
        </is>
      </c>
      <c r="D197" s="18" t="inlineStr">
        <is>
          <t>Water</t>
        </is>
      </c>
      <c r="E197" s="18" t="n"/>
      <c r="F197" s="1" t="n"/>
      <c r="G197">
        <f>IF(OR(B197="",C197="",D197=""),"",B197+ROW()/10000000)</f>
        <v/>
      </c>
      <c r="H197">
        <f>IF(G197="","",IF(COUNTIFS('Care log'!$C$6:$C$1505,C197,'Care log'!$D$6:$D$1505,D197,'Care log'!$G$6:$G$1505,"&gt;"&amp;G197)=0,1,0))</f>
        <v/>
      </c>
    </row>
    <row r="198">
      <c r="A198" s="1" t="n"/>
      <c r="B198" s="20" t="n">
        <v>46250</v>
      </c>
      <c r="C198" s="17" t="inlineStr">
        <is>
          <t>Basil</t>
        </is>
      </c>
      <c r="D198" s="18" t="inlineStr">
        <is>
          <t>Feed</t>
        </is>
      </c>
      <c r="E198" s="18" t="inlineStr">
        <is>
          <t>Half strength</t>
        </is>
      </c>
      <c r="F198" s="1" t="n"/>
      <c r="G198">
        <f>IF(OR(B198="",C198="",D198=""),"",B198+ROW()/10000000)</f>
        <v/>
      </c>
      <c r="H198">
        <f>IF(G198="","",IF(COUNTIFS('Care log'!$C$6:$C$1505,C198,'Care log'!$D$6:$D$1505,D198,'Care log'!$G$6:$G$1505,"&gt;"&amp;G198)=0,1,0))</f>
        <v/>
      </c>
    </row>
    <row r="199">
      <c r="A199" s="1" t="n"/>
      <c r="B199" s="20" t="n">
        <v>46250</v>
      </c>
      <c r="C199" s="17" t="inlineStr">
        <is>
          <t>Cleo</t>
        </is>
      </c>
      <c r="D199" s="18" t="inlineStr">
        <is>
          <t>Water</t>
        </is>
      </c>
      <c r="E199" s="18" t="n"/>
      <c r="F199" s="1" t="n"/>
      <c r="G199">
        <f>IF(OR(B199="",C199="",D199=""),"",B199+ROW()/10000000)</f>
        <v/>
      </c>
      <c r="H199">
        <f>IF(G199="","",IF(COUNTIFS('Care log'!$C$6:$C$1505,C199,'Care log'!$D$6:$D$1505,D199,'Care log'!$G$6:$G$1505,"&gt;"&amp;G199)=0,1,0))</f>
        <v/>
      </c>
    </row>
    <row r="200">
      <c r="A200" s="1" t="n"/>
      <c r="B200" s="20" t="n">
        <v>46250</v>
      </c>
      <c r="C200" s="17" t="inlineStr">
        <is>
          <t>Spidey</t>
        </is>
      </c>
      <c r="D200" s="18" t="inlineStr">
        <is>
          <t>Water</t>
        </is>
      </c>
      <c r="E200" s="18" t="n"/>
      <c r="F200" s="1" t="n"/>
      <c r="G200">
        <f>IF(OR(B200="",C200="",D200=""),"",B200+ROW()/10000000)</f>
        <v/>
      </c>
      <c r="H200">
        <f>IF(G200="","",IF(COUNTIFS('Care log'!$C$6:$C$1505,C200,'Care log'!$D$6:$D$1505,D200,'Care log'!$G$6:$G$1505,"&gt;"&amp;G200)=0,1,0))</f>
        <v/>
      </c>
    </row>
    <row r="201">
      <c r="A201" s="1" t="n"/>
      <c r="B201" s="20" t="n">
        <v>46251</v>
      </c>
      <c r="C201" s="17" t="inlineStr">
        <is>
          <t>Fig</t>
        </is>
      </c>
      <c r="D201" s="18" t="inlineStr">
        <is>
          <t>Water</t>
        </is>
      </c>
      <c r="E201" s="18" t="n"/>
      <c r="F201" s="1" t="n"/>
      <c r="G201">
        <f>IF(OR(B201="",C201="",D201=""),"",B201+ROW()/10000000)</f>
        <v/>
      </c>
      <c r="H201">
        <f>IF(G201="","",IF(COUNTIFS('Care log'!$C$6:$C$1505,C201,'Care log'!$D$6:$D$1505,D201,'Care log'!$G$6:$G$1505,"&gt;"&amp;G201)=0,1,0))</f>
        <v/>
      </c>
    </row>
    <row r="202">
      <c r="A202" s="1" t="n"/>
      <c r="B202" s="20" t="n">
        <v>46251</v>
      </c>
      <c r="C202" s="17" t="inlineStr">
        <is>
          <t>Fig</t>
        </is>
      </c>
      <c r="D202" s="18" t="inlineStr">
        <is>
          <t>Feed</t>
        </is>
      </c>
      <c r="E202" s="18" t="inlineStr">
        <is>
          <t>Half strength</t>
        </is>
      </c>
      <c r="F202" s="1" t="n"/>
      <c r="G202">
        <f>IF(OR(B202="",C202="",D202=""),"",B202+ROW()/10000000)</f>
        <v/>
      </c>
      <c r="H202">
        <f>IF(G202="","",IF(COUNTIFS('Care log'!$C$6:$C$1505,C202,'Care log'!$D$6:$D$1505,D202,'Care log'!$G$6:$G$1505,"&gt;"&amp;G202)=0,1,0))</f>
        <v/>
      </c>
    </row>
    <row r="203">
      <c r="A203" s="1" t="n"/>
      <c r="B203" s="20" t="n">
        <v>46252</v>
      </c>
      <c r="C203" s="17" t="inlineStr">
        <is>
          <t>Basil</t>
        </is>
      </c>
      <c r="D203" s="18" t="inlineStr">
        <is>
          <t>Water</t>
        </is>
      </c>
      <c r="E203" s="18" t="n"/>
      <c r="F203" s="1" t="n"/>
      <c r="G203">
        <f>IF(OR(B203="",C203="",D203=""),"",B203+ROW()/10000000)</f>
        <v/>
      </c>
      <c r="H203">
        <f>IF(G203="","",IF(COUNTIFS('Care log'!$C$6:$C$1505,C203,'Care log'!$D$6:$D$1505,D203,'Care log'!$G$6:$G$1505,"&gt;"&amp;G203)=0,1,0))</f>
        <v/>
      </c>
    </row>
    <row r="204">
      <c r="A204" s="1" t="n"/>
      <c r="B204" s="20" t="n">
        <v>46252</v>
      </c>
      <c r="C204" s="17" t="inlineStr">
        <is>
          <t>Goldie</t>
        </is>
      </c>
      <c r="D204" s="18" t="inlineStr">
        <is>
          <t>Water</t>
        </is>
      </c>
      <c r="E204" s="18" t="n"/>
      <c r="F204" s="1" t="n"/>
      <c r="G204">
        <f>IF(OR(B204="",C204="",D204=""),"",B204+ROW()/10000000)</f>
        <v/>
      </c>
      <c r="H204">
        <f>IF(G204="","",IF(COUNTIFS('Care log'!$C$6:$C$1505,C204,'Care log'!$D$6:$D$1505,D204,'Care log'!$G$6:$G$1505,"&gt;"&amp;G204)=0,1,0))</f>
        <v/>
      </c>
    </row>
    <row r="205">
      <c r="A205" s="1" t="n"/>
      <c r="B205" s="20" t="n">
        <v>46253</v>
      </c>
      <c r="C205" s="17" t="inlineStr">
        <is>
          <t>Cleo</t>
        </is>
      </c>
      <c r="D205" s="18" t="inlineStr">
        <is>
          <t>Feed</t>
        </is>
      </c>
      <c r="E205" s="18" t="inlineStr">
        <is>
          <t>Half strength</t>
        </is>
      </c>
      <c r="F205" s="1" t="n"/>
      <c r="G205">
        <f>IF(OR(B205="",C205="",D205=""),"",B205+ROW()/10000000)</f>
        <v/>
      </c>
      <c r="H205">
        <f>IF(G205="","",IF(COUNTIFS('Care log'!$C$6:$C$1505,C205,'Care log'!$D$6:$D$1505,D205,'Care log'!$G$6:$G$1505,"&gt;"&amp;G205)=0,1,0))</f>
        <v/>
      </c>
    </row>
    <row r="206">
      <c r="A206" s="1" t="n"/>
      <c r="B206" s="20" t="n">
        <v>46253</v>
      </c>
      <c r="C206" s="17" t="inlineStr">
        <is>
          <t>Fern</t>
        </is>
      </c>
      <c r="D206" s="18" t="inlineStr">
        <is>
          <t>Water</t>
        </is>
      </c>
      <c r="E206" s="18" t="n"/>
      <c r="F206" s="1" t="n"/>
      <c r="G206">
        <f>IF(OR(B206="",C206="",D206=""),"",B206+ROW()/10000000)</f>
        <v/>
      </c>
      <c r="H206">
        <f>IF(G206="","",IF(COUNTIFS('Care log'!$C$6:$C$1505,C206,'Care log'!$D$6:$D$1505,D206,'Care log'!$G$6:$G$1505,"&gt;"&amp;G206)=0,1,0))</f>
        <v/>
      </c>
    </row>
    <row r="207">
      <c r="A207" s="1" t="n"/>
      <c r="B207" s="20" t="n">
        <v>46253</v>
      </c>
      <c r="C207" s="17" t="inlineStr">
        <is>
          <t>Monty</t>
        </is>
      </c>
      <c r="D207" s="18" t="inlineStr">
        <is>
          <t>Water</t>
        </is>
      </c>
      <c r="E207" s="18" t="n"/>
      <c r="F207" s="1" t="n"/>
      <c r="G207">
        <f>IF(OR(B207="",C207="",D207=""),"",B207+ROW()/10000000)</f>
        <v/>
      </c>
      <c r="H207">
        <f>IF(G207="","",IF(COUNTIFS('Care log'!$C$6:$C$1505,C207,'Care log'!$D$6:$D$1505,D207,'Care log'!$G$6:$G$1505,"&gt;"&amp;G207)=0,1,0))</f>
        <v/>
      </c>
    </row>
    <row r="208">
      <c r="A208" s="1" t="n"/>
      <c r="B208" s="20" t="n">
        <v>46253</v>
      </c>
      <c r="C208" s="17" t="inlineStr">
        <is>
          <t>Sansa</t>
        </is>
      </c>
      <c r="D208" s="18" t="inlineStr">
        <is>
          <t>Feed</t>
        </is>
      </c>
      <c r="E208" s="18" t="n"/>
      <c r="F208" s="1" t="n"/>
      <c r="G208">
        <f>IF(OR(B208="",C208="",D208=""),"",B208+ROW()/10000000)</f>
        <v/>
      </c>
      <c r="H208">
        <f>IF(G208="","",IF(COUNTIFS('Care log'!$C$6:$C$1505,C208,'Care log'!$D$6:$D$1505,D208,'Care log'!$G$6:$G$1505,"&gt;"&amp;G208)=0,1,0))</f>
        <v/>
      </c>
    </row>
    <row r="209">
      <c r="A209" s="1" t="n"/>
      <c r="B209" s="20" t="n">
        <v>46254</v>
      </c>
      <c r="C209" s="17" t="inlineStr">
        <is>
          <t>Basil</t>
        </is>
      </c>
      <c r="D209" s="18" t="inlineStr">
        <is>
          <t>Water</t>
        </is>
      </c>
      <c r="E209" s="18" t="n"/>
      <c r="F209" s="1" t="n"/>
      <c r="G209">
        <f>IF(OR(B209="",C209="",D209=""),"",B209+ROW()/10000000)</f>
        <v/>
      </c>
      <c r="H209">
        <f>IF(G209="","",IF(COUNTIFS('Care log'!$C$6:$C$1505,C209,'Care log'!$D$6:$D$1505,D209,'Care log'!$G$6:$G$1505,"&gt;"&amp;G209)=0,1,0))</f>
        <v/>
      </c>
    </row>
    <row r="210">
      <c r="A210" s="1" t="n"/>
      <c r="B210" s="20" t="n">
        <v>46254</v>
      </c>
      <c r="C210" s="17" t="inlineStr">
        <is>
          <t>Lily</t>
        </is>
      </c>
      <c r="D210" s="18" t="inlineStr">
        <is>
          <t>Water</t>
        </is>
      </c>
      <c r="E210" s="18" t="n"/>
      <c r="F210" s="1" t="n"/>
      <c r="G210">
        <f>IF(OR(B210="",C210="",D210=""),"",B210+ROW()/10000000)</f>
        <v/>
      </c>
      <c r="H210">
        <f>IF(G210="","",IF(COUNTIFS('Care log'!$C$6:$C$1505,C210,'Care log'!$D$6:$D$1505,D210,'Care log'!$G$6:$G$1505,"&gt;"&amp;G210)=0,1,0))</f>
        <v/>
      </c>
    </row>
    <row r="211">
      <c r="A211" s="1" t="n"/>
      <c r="B211" s="20" t="n">
        <v>46255</v>
      </c>
      <c r="C211" s="17" t="inlineStr">
        <is>
          <t>Cleo</t>
        </is>
      </c>
      <c r="D211" s="18" t="inlineStr">
        <is>
          <t>Water</t>
        </is>
      </c>
      <c r="E211" s="18" t="n"/>
      <c r="F211" s="1" t="n"/>
      <c r="G211">
        <f>IF(OR(B211="",C211="",D211=""),"",B211+ROW()/10000000)</f>
        <v/>
      </c>
      <c r="H211">
        <f>IF(G211="","",IF(COUNTIFS('Care log'!$C$6:$C$1505,C211,'Care log'!$D$6:$D$1505,D211,'Care log'!$G$6:$G$1505,"&gt;"&amp;G211)=0,1,0))</f>
        <v/>
      </c>
    </row>
    <row r="212">
      <c r="A212" s="1" t="n"/>
      <c r="B212" s="20" t="n">
        <v>46255</v>
      </c>
      <c r="C212" s="17" t="inlineStr">
        <is>
          <t>Ruby</t>
        </is>
      </c>
      <c r="D212" s="18" t="inlineStr">
        <is>
          <t>Water</t>
        </is>
      </c>
      <c r="E212" s="18" t="n"/>
      <c r="F212" s="1" t="n"/>
      <c r="G212">
        <f>IF(OR(B212="",C212="",D212=""),"",B212+ROW()/10000000)</f>
        <v/>
      </c>
      <c r="H212">
        <f>IF(G212="","",IF(COUNTIFS('Care log'!$C$6:$C$1505,C212,'Care log'!$D$6:$D$1505,D212,'Care log'!$G$6:$G$1505,"&gt;"&amp;G212)=0,1,0))</f>
        <v/>
      </c>
    </row>
    <row r="213">
      <c r="A213" s="1" t="n"/>
      <c r="B213" s="20" t="n">
        <v>46255</v>
      </c>
      <c r="C213" s="17" t="inlineStr">
        <is>
          <t>Spidey</t>
        </is>
      </c>
      <c r="D213" s="18" t="inlineStr">
        <is>
          <t>Water</t>
        </is>
      </c>
      <c r="E213" s="18" t="n"/>
      <c r="F213" s="1" t="n"/>
      <c r="G213">
        <f>IF(OR(B213="",C213="",D213=""),"",B213+ROW()/10000000)</f>
        <v/>
      </c>
      <c r="H213">
        <f>IF(G213="","",IF(COUNTIFS('Care log'!$C$6:$C$1505,C213,'Care log'!$D$6:$D$1505,D213,'Care log'!$G$6:$G$1505,"&gt;"&amp;G213)=0,1,0))</f>
        <v/>
      </c>
    </row>
    <row r="214">
      <c r="A214" s="1" t="n"/>
      <c r="B214" s="20" t="n">
        <v>46256</v>
      </c>
      <c r="C214" s="17" t="inlineStr">
        <is>
          <t>Basil</t>
        </is>
      </c>
      <c r="D214" s="18" t="inlineStr">
        <is>
          <t>Water</t>
        </is>
      </c>
      <c r="E214" s="18" t="n"/>
      <c r="F214" s="1" t="n"/>
      <c r="G214">
        <f>IF(OR(B214="",C214="",D214=""),"",B214+ROW()/10000000)</f>
        <v/>
      </c>
      <c r="H214">
        <f>IF(G214="","",IF(COUNTIFS('Care log'!$C$6:$C$1505,C214,'Care log'!$D$6:$D$1505,D214,'Care log'!$G$6:$G$1505,"&gt;"&amp;G214)=0,1,0))</f>
        <v/>
      </c>
    </row>
    <row r="215">
      <c r="A215" s="1" t="n"/>
      <c r="B215" s="20" t="n">
        <v>46256</v>
      </c>
      <c r="C215" s="17" t="inlineStr">
        <is>
          <t>Fern</t>
        </is>
      </c>
      <c r="D215" s="18" t="inlineStr">
        <is>
          <t>Water</t>
        </is>
      </c>
      <c r="E215" s="18" t="n"/>
      <c r="F215" s="1" t="n"/>
      <c r="G215">
        <f>IF(OR(B215="",C215="",D215=""),"",B215+ROW()/10000000)</f>
        <v/>
      </c>
      <c r="H215">
        <f>IF(G215="","",IF(COUNTIFS('Care log'!$C$6:$C$1505,C215,'Care log'!$D$6:$D$1505,D215,'Care log'!$G$6:$G$1505,"&gt;"&amp;G215)=0,1,0))</f>
        <v/>
      </c>
    </row>
    <row r="216">
      <c r="A216" s="1" t="n"/>
      <c r="B216" s="20" t="n">
        <v>46256</v>
      </c>
      <c r="C216" s="17" t="inlineStr">
        <is>
          <t>Zed</t>
        </is>
      </c>
      <c r="D216" s="18" t="inlineStr">
        <is>
          <t>Water</t>
        </is>
      </c>
      <c r="E216" s="18" t="n"/>
      <c r="F216" s="1" t="n"/>
      <c r="G216">
        <f>IF(OR(B216="",C216="",D216=""),"",B216+ROW()/10000000)</f>
        <v/>
      </c>
      <c r="H216">
        <f>IF(G216="","",IF(COUNTIFS('Care log'!$C$6:$C$1505,C216,'Care log'!$D$6:$D$1505,D216,'Care log'!$G$6:$G$1505,"&gt;"&amp;G216)=0,1,0))</f>
        <v/>
      </c>
    </row>
    <row r="217">
      <c r="A217" s="1" t="n"/>
      <c r="B217" s="20" t="n">
        <v>46258</v>
      </c>
      <c r="C217" s="17" t="inlineStr">
        <is>
          <t>Basil</t>
        </is>
      </c>
      <c r="D217" s="18" t="inlineStr">
        <is>
          <t>Water</t>
        </is>
      </c>
      <c r="E217" s="18" t="n"/>
      <c r="F217" s="1" t="n"/>
      <c r="G217">
        <f>IF(OR(B217="",C217="",D217=""),"",B217+ROW()/10000000)</f>
        <v/>
      </c>
      <c r="H217">
        <f>IF(G217="","",IF(COUNTIFS('Care log'!$C$6:$C$1505,C217,'Care log'!$D$6:$D$1505,D217,'Care log'!$G$6:$G$1505,"&gt;"&amp;G217)=0,1,0))</f>
        <v/>
      </c>
    </row>
    <row r="218">
      <c r="A218" s="1" t="n"/>
      <c r="B218" s="20" t="n">
        <v>46258</v>
      </c>
      <c r="C218" s="17" t="inlineStr">
        <is>
          <t>Fern</t>
        </is>
      </c>
      <c r="D218" s="18" t="inlineStr">
        <is>
          <t>Water</t>
        </is>
      </c>
      <c r="E218" s="18" t="n"/>
      <c r="F218" s="1" t="n"/>
      <c r="G218">
        <f>IF(OR(B218="",C218="",D218=""),"",B218+ROW()/10000000)</f>
        <v/>
      </c>
      <c r="H218">
        <f>IF(G218="","",IF(COUNTIFS('Care log'!$C$6:$C$1505,C218,'Care log'!$D$6:$D$1505,D218,'Care log'!$G$6:$G$1505,"&gt;"&amp;G218)=0,1,0))</f>
        <v/>
      </c>
    </row>
    <row r="219">
      <c r="A219" s="1" t="n"/>
      <c r="B219" s="20" t="n">
        <v>46258</v>
      </c>
      <c r="C219" s="17" t="inlineStr">
        <is>
          <t>Fig</t>
        </is>
      </c>
      <c r="D219" s="18" t="inlineStr">
        <is>
          <t>Water</t>
        </is>
      </c>
      <c r="E219" s="18" t="n"/>
      <c r="F219" s="1" t="n"/>
      <c r="G219">
        <f>IF(OR(B219="",C219="",D219=""),"",B219+ROW()/10000000)</f>
        <v/>
      </c>
      <c r="H219">
        <f>IF(G219="","",IF(COUNTIFS('Care log'!$C$6:$C$1505,C219,'Care log'!$D$6:$D$1505,D219,'Care log'!$G$6:$G$1505,"&gt;"&amp;G219)=0,1,0))</f>
        <v/>
      </c>
    </row>
    <row r="220">
      <c r="A220" s="1" t="n"/>
      <c r="B220" s="20" t="n">
        <v>46258</v>
      </c>
      <c r="C220" s="17" t="inlineStr">
        <is>
          <t>Goldie</t>
        </is>
      </c>
      <c r="D220" s="18" t="inlineStr">
        <is>
          <t>Water</t>
        </is>
      </c>
      <c r="E220" s="18" t="n"/>
      <c r="F220" s="1" t="n"/>
      <c r="G220">
        <f>IF(OR(B220="",C220="",D220=""),"",B220+ROW()/10000000)</f>
        <v/>
      </c>
      <c r="H220">
        <f>IF(G220="","",IF(COUNTIFS('Care log'!$C$6:$C$1505,C220,'Care log'!$D$6:$D$1505,D220,'Care log'!$G$6:$G$1505,"&gt;"&amp;G220)=0,1,0))</f>
        <v/>
      </c>
    </row>
    <row r="221">
      <c r="A221" s="1" t="n"/>
      <c r="B221" s="20" t="n">
        <v>46258</v>
      </c>
      <c r="C221" s="17" t="inlineStr">
        <is>
          <t>Pearl</t>
        </is>
      </c>
      <c r="D221" s="18" t="inlineStr">
        <is>
          <t>Water</t>
        </is>
      </c>
      <c r="E221" s="18" t="n"/>
      <c r="F221" s="1" t="n"/>
      <c r="G221">
        <f>IF(OR(B221="",C221="",D221=""),"",B221+ROW()/10000000)</f>
        <v/>
      </c>
      <c r="H221">
        <f>IF(G221="","",IF(COUNTIFS('Care log'!$C$6:$C$1505,C221,'Care log'!$D$6:$D$1505,D221,'Care log'!$G$6:$G$1505,"&gt;"&amp;G221)=0,1,0))</f>
        <v/>
      </c>
    </row>
    <row r="222">
      <c r="A222" s="1" t="n"/>
      <c r="B222" s="20" t="n">
        <v>46258</v>
      </c>
      <c r="C222" s="17" t="inlineStr">
        <is>
          <t>Ruby</t>
        </is>
      </c>
      <c r="D222" s="18" t="inlineStr">
        <is>
          <t>Feed</t>
        </is>
      </c>
      <c r="E222" s="18" t="inlineStr">
        <is>
          <t>Half strength</t>
        </is>
      </c>
      <c r="F222" s="1" t="n"/>
      <c r="G222">
        <f>IF(OR(B222="",C222="",D222=""),"",B222+ROW()/10000000)</f>
        <v/>
      </c>
      <c r="H222">
        <f>IF(G222="","",IF(COUNTIFS('Care log'!$C$6:$C$1505,C222,'Care log'!$D$6:$D$1505,D222,'Care log'!$G$6:$G$1505,"&gt;"&amp;G222)=0,1,0))</f>
        <v/>
      </c>
    </row>
    <row r="223">
      <c r="A223" s="1" t="n"/>
      <c r="B223" s="20" t="n">
        <v>46259</v>
      </c>
      <c r="C223" s="17" t="inlineStr">
        <is>
          <t>Cleo</t>
        </is>
      </c>
      <c r="D223" s="18" t="inlineStr">
        <is>
          <t>Water</t>
        </is>
      </c>
      <c r="E223" s="18" t="n"/>
      <c r="F223" s="1" t="n"/>
      <c r="G223">
        <f>IF(OR(B223="",C223="",D223=""),"",B223+ROW()/10000000)</f>
        <v/>
      </c>
      <c r="H223">
        <f>IF(G223="","",IF(COUNTIFS('Care log'!$C$6:$C$1505,C223,'Care log'!$D$6:$D$1505,D223,'Care log'!$G$6:$G$1505,"&gt;"&amp;G223)=0,1,0))</f>
        <v/>
      </c>
    </row>
    <row r="224">
      <c r="A224" s="1" t="n"/>
      <c r="B224" s="20" t="n">
        <v>46259</v>
      </c>
      <c r="C224" s="17" t="inlineStr">
        <is>
          <t>Lily</t>
        </is>
      </c>
      <c r="D224" s="18" t="inlineStr">
        <is>
          <t>Water</t>
        </is>
      </c>
      <c r="E224" s="18" t="n"/>
      <c r="F224" s="1" t="n"/>
      <c r="G224">
        <f>IF(OR(B224="",C224="",D224=""),"",B224+ROW()/10000000)</f>
        <v/>
      </c>
      <c r="H224">
        <f>IF(G224="","",IF(COUNTIFS('Care log'!$C$6:$C$1505,C224,'Care log'!$D$6:$D$1505,D224,'Care log'!$G$6:$G$1505,"&gt;"&amp;G224)=0,1,0))</f>
        <v/>
      </c>
    </row>
    <row r="225">
      <c r="A225" s="1" t="n"/>
      <c r="B225" s="20" t="n">
        <v>46260</v>
      </c>
      <c r="C225" s="17" t="inlineStr">
        <is>
          <t>Basil</t>
        </is>
      </c>
      <c r="D225" s="18" t="inlineStr">
        <is>
          <t>Water</t>
        </is>
      </c>
      <c r="E225" s="18" t="n"/>
      <c r="F225" s="1" t="n"/>
      <c r="G225">
        <f>IF(OR(B225="",C225="",D225=""),"",B225+ROW()/10000000)</f>
        <v/>
      </c>
      <c r="H225">
        <f>IF(G225="","",IF(COUNTIFS('Care log'!$C$6:$C$1505,C225,'Care log'!$D$6:$D$1505,D225,'Care log'!$G$6:$G$1505,"&gt;"&amp;G225)=0,1,0))</f>
        <v/>
      </c>
    </row>
    <row r="226">
      <c r="A226" s="1" t="n"/>
      <c r="B226" s="20" t="n">
        <v>46260</v>
      </c>
      <c r="C226" s="17" t="inlineStr">
        <is>
          <t>Echo</t>
        </is>
      </c>
      <c r="D226" s="18" t="inlineStr">
        <is>
          <t>Water</t>
        </is>
      </c>
      <c r="E226" s="18" t="n"/>
      <c r="F226" s="1" t="n"/>
      <c r="G226">
        <f>IF(OR(B226="",C226="",D226=""),"",B226+ROW()/10000000)</f>
        <v/>
      </c>
      <c r="H226">
        <f>IF(G226="","",IF(COUNTIFS('Care log'!$C$6:$C$1505,C226,'Care log'!$D$6:$D$1505,D226,'Care log'!$G$6:$G$1505,"&gt;"&amp;G226)=0,1,0))</f>
        <v/>
      </c>
    </row>
    <row r="227">
      <c r="A227" s="1" t="n"/>
      <c r="B227" s="20" t="n">
        <v>46260</v>
      </c>
      <c r="C227" s="17" t="inlineStr">
        <is>
          <t>Sansa</t>
        </is>
      </c>
      <c r="D227" s="18" t="inlineStr">
        <is>
          <t>Water</t>
        </is>
      </c>
      <c r="E227" s="18" t="n"/>
      <c r="F227" s="1" t="n"/>
      <c r="G227">
        <f>IF(OR(B227="",C227="",D227=""),"",B227+ROW()/10000000)</f>
        <v/>
      </c>
      <c r="H227">
        <f>IF(G227="","",IF(COUNTIFS('Care log'!$C$6:$C$1505,C227,'Care log'!$D$6:$D$1505,D227,'Care log'!$G$6:$G$1505,"&gt;"&amp;G227)=0,1,0))</f>
        <v/>
      </c>
    </row>
    <row r="228">
      <c r="A228" s="1" t="n"/>
      <c r="B228" s="20" t="n">
        <v>46261</v>
      </c>
      <c r="C228" s="17" t="inlineStr">
        <is>
          <t>Monty</t>
        </is>
      </c>
      <c r="D228" s="18" t="inlineStr">
        <is>
          <t>Water</t>
        </is>
      </c>
      <c r="E228" s="18" t="n"/>
      <c r="F228" s="1" t="n"/>
      <c r="G228">
        <f>IF(OR(B228="",C228="",D228=""),"",B228+ROW()/10000000)</f>
        <v/>
      </c>
      <c r="H228">
        <f>IF(G228="","",IF(COUNTIFS('Care log'!$C$6:$C$1505,C228,'Care log'!$D$6:$D$1505,D228,'Care log'!$G$6:$G$1505,"&gt;"&amp;G228)=0,1,0))</f>
        <v/>
      </c>
    </row>
    <row r="229">
      <c r="A229" s="1" t="n"/>
      <c r="B229" s="20" t="n">
        <v>46261</v>
      </c>
      <c r="C229" s="17" t="inlineStr">
        <is>
          <t>Spidey</t>
        </is>
      </c>
      <c r="D229" s="18" t="inlineStr">
        <is>
          <t>Water</t>
        </is>
      </c>
      <c r="E229" s="18" t="n"/>
      <c r="F229" s="1" t="n"/>
      <c r="G229">
        <f>IF(OR(B229="",C229="",D229=""),"",B229+ROW()/10000000)</f>
        <v/>
      </c>
      <c r="H229">
        <f>IF(G229="","",IF(COUNTIFS('Care log'!$C$6:$C$1505,C229,'Care log'!$D$6:$D$1505,D229,'Care log'!$G$6:$G$1505,"&gt;"&amp;G229)=0,1,0))</f>
        <v/>
      </c>
    </row>
    <row r="230">
      <c r="A230" s="1" t="n"/>
      <c r="B230" s="20" t="n">
        <v>46262</v>
      </c>
      <c r="C230" s="17" t="inlineStr">
        <is>
          <t>Fern</t>
        </is>
      </c>
      <c r="D230" s="18" t="inlineStr">
        <is>
          <t>Water</t>
        </is>
      </c>
      <c r="E230" s="18" t="n"/>
      <c r="F230" s="1" t="n"/>
      <c r="G230">
        <f>IF(OR(B230="",C230="",D230=""),"",B230+ROW()/10000000)</f>
        <v/>
      </c>
      <c r="H230">
        <f>IF(G230="","",IF(COUNTIFS('Care log'!$C$6:$C$1505,C230,'Care log'!$D$6:$D$1505,D230,'Care log'!$G$6:$G$1505,"&gt;"&amp;G230)=0,1,0))</f>
        <v/>
      </c>
    </row>
    <row r="231">
      <c r="A231" s="1" t="n"/>
      <c r="B231" s="20" t="n">
        <v>46262</v>
      </c>
      <c r="C231" s="17" t="inlineStr">
        <is>
          <t>Fern</t>
        </is>
      </c>
      <c r="D231" s="18" t="inlineStr">
        <is>
          <t>Feed</t>
        </is>
      </c>
      <c r="E231" s="18" t="inlineStr">
        <is>
          <t>Half strength</t>
        </is>
      </c>
      <c r="F231" s="1" t="n"/>
      <c r="G231">
        <f>IF(OR(B231="",C231="",D231=""),"",B231+ROW()/10000000)</f>
        <v/>
      </c>
      <c r="H231">
        <f>IF(G231="","",IF(COUNTIFS('Care log'!$C$6:$C$1505,C231,'Care log'!$D$6:$D$1505,D231,'Care log'!$G$6:$G$1505,"&gt;"&amp;G231)=0,1,0))</f>
        <v/>
      </c>
    </row>
    <row r="232">
      <c r="A232" s="1" t="n"/>
      <c r="B232" s="20" t="n">
        <v>46262</v>
      </c>
      <c r="C232" s="17" t="inlineStr">
        <is>
          <t>Ruby</t>
        </is>
      </c>
      <c r="D232" s="18" t="inlineStr">
        <is>
          <t>Water</t>
        </is>
      </c>
      <c r="E232" s="18" t="n"/>
      <c r="F232" s="1" t="n"/>
      <c r="G232">
        <f>IF(OR(B232="",C232="",D232=""),"",B232+ROW()/10000000)</f>
        <v/>
      </c>
      <c r="H232">
        <f>IF(G232="","",IF(COUNTIFS('Care log'!$C$6:$C$1505,C232,'Care log'!$D$6:$D$1505,D232,'Care log'!$G$6:$G$1505,"&gt;"&amp;G232)=0,1,0))</f>
        <v/>
      </c>
    </row>
    <row r="233">
      <c r="A233" s="1" t="n"/>
      <c r="B233" s="20" t="n">
        <v>46262</v>
      </c>
      <c r="C233" s="17" t="inlineStr">
        <is>
          <t>Vera</t>
        </is>
      </c>
      <c r="D233" s="18" t="inlineStr">
        <is>
          <t>Water</t>
        </is>
      </c>
      <c r="E233" s="18" t="n"/>
      <c r="F233" s="1" t="n"/>
      <c r="G233">
        <f>IF(OR(B233="",C233="",D233=""),"",B233+ROW()/10000000)</f>
        <v/>
      </c>
      <c r="H233">
        <f>IF(G233="","",IF(COUNTIFS('Care log'!$C$6:$C$1505,C233,'Care log'!$D$6:$D$1505,D233,'Care log'!$G$6:$G$1505,"&gt;"&amp;G233)=0,1,0))</f>
        <v/>
      </c>
    </row>
    <row r="234">
      <c r="A234" s="1" t="n"/>
      <c r="B234" s="20" t="n">
        <v>46263</v>
      </c>
      <c r="C234" s="17" t="inlineStr">
        <is>
          <t>Basil</t>
        </is>
      </c>
      <c r="D234" s="18" t="inlineStr">
        <is>
          <t>Water</t>
        </is>
      </c>
      <c r="E234" s="18" t="n"/>
      <c r="F234" s="1" t="n"/>
      <c r="G234">
        <f>IF(OR(B234="",C234="",D234=""),"",B234+ROW()/10000000)</f>
        <v/>
      </c>
      <c r="H234">
        <f>IF(G234="","",IF(COUNTIFS('Care log'!$C$6:$C$1505,C234,'Care log'!$D$6:$D$1505,D234,'Care log'!$G$6:$G$1505,"&gt;"&amp;G234)=0,1,0))</f>
        <v/>
      </c>
    </row>
    <row r="235">
      <c r="A235" s="1" t="n"/>
      <c r="B235" s="20" t="n">
        <v>46263</v>
      </c>
      <c r="C235" s="17" t="inlineStr">
        <is>
          <t>Cleo</t>
        </is>
      </c>
      <c r="D235" s="18" t="inlineStr">
        <is>
          <t>Water</t>
        </is>
      </c>
      <c r="E235" s="18" t="n"/>
      <c r="F235" s="1" t="n"/>
      <c r="G235">
        <f>IF(OR(B235="",C235="",D235=""),"",B235+ROW()/10000000)</f>
        <v/>
      </c>
      <c r="H235">
        <f>IF(G235="","",IF(COUNTIFS('Care log'!$C$6:$C$1505,C235,'Care log'!$D$6:$D$1505,D235,'Care log'!$G$6:$G$1505,"&gt;"&amp;G235)=0,1,0))</f>
        <v/>
      </c>
    </row>
    <row r="236">
      <c r="A236" s="1" t="n"/>
      <c r="B236" s="20" t="n">
        <v>46263</v>
      </c>
      <c r="C236" s="17" t="inlineStr">
        <is>
          <t>Fig</t>
        </is>
      </c>
      <c r="D236" s="18" t="inlineStr">
        <is>
          <t>Pest check</t>
        </is>
      </c>
      <c r="E236" s="18" t="inlineStr">
        <is>
          <t>Leaves clean, no pests</t>
        </is>
      </c>
      <c r="F236" s="1" t="n"/>
      <c r="G236">
        <f>IF(OR(B236="",C236="",D236=""),"",B236+ROW()/10000000)</f>
        <v/>
      </c>
      <c r="H236">
        <f>IF(G236="","",IF(COUNTIFS('Care log'!$C$6:$C$1505,C236,'Care log'!$D$6:$D$1505,D236,'Care log'!$G$6:$G$1505,"&gt;"&amp;G236)=0,1,0))</f>
        <v/>
      </c>
    </row>
    <row r="237">
      <c r="A237" s="1" t="n"/>
      <c r="B237" s="20" t="n">
        <v>46264</v>
      </c>
      <c r="C237" s="17" t="inlineStr">
        <is>
          <t>Basil</t>
        </is>
      </c>
      <c r="D237" s="18" t="inlineStr">
        <is>
          <t>Feed</t>
        </is>
      </c>
      <c r="E237" s="18" t="inlineStr">
        <is>
          <t>Half strength</t>
        </is>
      </c>
      <c r="F237" s="1" t="n"/>
      <c r="G237">
        <f>IF(OR(B237="",C237="",D237=""),"",B237+ROW()/10000000)</f>
        <v/>
      </c>
      <c r="H237">
        <f>IF(G237="","",IF(COUNTIFS('Care log'!$C$6:$C$1505,C237,'Care log'!$D$6:$D$1505,D237,'Care log'!$G$6:$G$1505,"&gt;"&amp;G237)=0,1,0))</f>
        <v/>
      </c>
    </row>
    <row r="238">
      <c r="A238" s="1" t="n"/>
      <c r="B238" s="20" t="n">
        <v>46264</v>
      </c>
      <c r="C238" s="17" t="inlineStr">
        <is>
          <t>Goldie</t>
        </is>
      </c>
      <c r="D238" s="18" t="inlineStr">
        <is>
          <t>Feed</t>
        </is>
      </c>
      <c r="E238" s="18" t="inlineStr">
        <is>
          <t>Half strength</t>
        </is>
      </c>
      <c r="F238" s="1" t="n"/>
      <c r="G238">
        <f>IF(OR(B238="",C238="",D238=""),"",B238+ROW()/10000000)</f>
        <v/>
      </c>
      <c r="H238">
        <f>IF(G238="","",IF(COUNTIFS('Care log'!$C$6:$C$1505,C238,'Care log'!$D$6:$D$1505,D238,'Care log'!$G$6:$G$1505,"&gt;"&amp;G238)=0,1,0))</f>
        <v/>
      </c>
    </row>
    <row r="239">
      <c r="A239" s="1" t="n"/>
      <c r="B239" s="20" t="n">
        <v>46264</v>
      </c>
      <c r="C239" s="17" t="inlineStr">
        <is>
          <t>Lily</t>
        </is>
      </c>
      <c r="D239" s="18" t="inlineStr">
        <is>
          <t>Water</t>
        </is>
      </c>
      <c r="E239" s="18" t="n"/>
      <c r="F239" s="1" t="n"/>
      <c r="G239">
        <f>IF(OR(B239="",C239="",D239=""),"",B239+ROW()/10000000)</f>
        <v/>
      </c>
      <c r="H239">
        <f>IF(G239="","",IF(COUNTIFS('Care log'!$C$6:$C$1505,C239,'Care log'!$D$6:$D$1505,D239,'Care log'!$G$6:$G$1505,"&gt;"&amp;G239)=0,1,0))</f>
        <v/>
      </c>
    </row>
    <row r="240">
      <c r="A240" s="1" t="n"/>
      <c r="B240" s="20" t="n">
        <v>46265</v>
      </c>
      <c r="C240" s="17" t="inlineStr">
        <is>
          <t>Basil</t>
        </is>
      </c>
      <c r="D240" s="18" t="inlineStr">
        <is>
          <t>Water</t>
        </is>
      </c>
      <c r="E240" s="18" t="n"/>
      <c r="F240" s="1" t="n"/>
      <c r="G240">
        <f>IF(OR(B240="",C240="",D240=""),"",B240+ROW()/10000000)</f>
        <v/>
      </c>
      <c r="H240">
        <f>IF(G240="","",IF(COUNTIFS('Care log'!$C$6:$C$1505,C240,'Care log'!$D$6:$D$1505,D240,'Care log'!$G$6:$G$1505,"&gt;"&amp;G240)=0,1,0))</f>
        <v/>
      </c>
    </row>
    <row r="241">
      <c r="A241" s="1" t="n"/>
      <c r="B241" s="20" t="n">
        <v>46265</v>
      </c>
      <c r="C241" s="17" t="inlineStr">
        <is>
          <t>Fern</t>
        </is>
      </c>
      <c r="D241" s="18" t="inlineStr">
        <is>
          <t>Water</t>
        </is>
      </c>
      <c r="E241" s="18" t="n"/>
      <c r="F241" s="1" t="n"/>
      <c r="G241">
        <f>IF(OR(B241="",C241="",D241=""),"",B241+ROW()/10000000)</f>
        <v/>
      </c>
      <c r="H241">
        <f>IF(G241="","",IF(COUNTIFS('Care log'!$C$6:$C$1505,C241,'Care log'!$D$6:$D$1505,D241,'Care log'!$G$6:$G$1505,"&gt;"&amp;G241)=0,1,0))</f>
        <v/>
      </c>
    </row>
    <row r="242">
      <c r="A242" s="1" t="n"/>
      <c r="B242" s="20" t="n">
        <v>46265</v>
      </c>
      <c r="C242" s="17" t="inlineStr">
        <is>
          <t>Fig</t>
        </is>
      </c>
      <c r="D242" s="18" t="inlineStr">
        <is>
          <t>Water</t>
        </is>
      </c>
      <c r="E242" s="18" t="n"/>
      <c r="F242" s="1" t="n"/>
      <c r="G242">
        <f>IF(OR(B242="",C242="",D242=""),"",B242+ROW()/10000000)</f>
        <v/>
      </c>
      <c r="H242">
        <f>IF(G242="","",IF(COUNTIFS('Care log'!$C$6:$C$1505,C242,'Care log'!$D$6:$D$1505,D242,'Care log'!$G$6:$G$1505,"&gt;"&amp;G242)=0,1,0))</f>
        <v/>
      </c>
    </row>
    <row r="243">
      <c r="A243" s="1" t="n"/>
      <c r="B243" s="20" t="n">
        <v>46266</v>
      </c>
      <c r="C243" s="17" t="inlineStr">
        <is>
          <t>Basil</t>
        </is>
      </c>
      <c r="D243" s="18" t="inlineStr">
        <is>
          <t>Water</t>
        </is>
      </c>
      <c r="E243" s="18" t="n"/>
      <c r="F243" s="1" t="n"/>
      <c r="G243">
        <f>IF(OR(B243="",C243="",D243=""),"",B243+ROW()/10000000)</f>
        <v/>
      </c>
      <c r="H243">
        <f>IF(G243="","",IF(COUNTIFS('Care log'!$C$6:$C$1505,C243,'Care log'!$D$6:$D$1505,D243,'Care log'!$G$6:$G$1505,"&gt;"&amp;G243)=0,1,0))</f>
        <v/>
      </c>
    </row>
    <row r="244">
      <c r="A244" s="1" t="n"/>
      <c r="B244" s="20" t="n">
        <v>46266</v>
      </c>
      <c r="C244" s="17" t="inlineStr">
        <is>
          <t>Goldie</t>
        </is>
      </c>
      <c r="D244" s="18" t="inlineStr">
        <is>
          <t>Water</t>
        </is>
      </c>
      <c r="E244" s="18" t="n"/>
      <c r="F244" s="1" t="n"/>
      <c r="G244">
        <f>IF(OR(B244="",C244="",D244=""),"",B244+ROW()/10000000)</f>
        <v/>
      </c>
      <c r="H244">
        <f>IF(G244="","",IF(COUNTIFS('Care log'!$C$6:$C$1505,C244,'Care log'!$D$6:$D$1505,D244,'Care log'!$G$6:$G$1505,"&gt;"&amp;G244)=0,1,0))</f>
        <v/>
      </c>
    </row>
    <row r="245">
      <c r="A245" s="1" t="n"/>
      <c r="B245" s="20" t="n">
        <v>46267</v>
      </c>
      <c r="C245" s="17" t="inlineStr">
        <is>
          <t>Pearl</t>
        </is>
      </c>
      <c r="D245" s="18" t="inlineStr">
        <is>
          <t>Water</t>
        </is>
      </c>
      <c r="E245" s="18" t="n"/>
      <c r="F245" s="1" t="n"/>
      <c r="G245">
        <f>IF(OR(B245="",C245="",D245=""),"",B245+ROW()/10000000)</f>
        <v/>
      </c>
      <c r="H245">
        <f>IF(G245="","",IF(COUNTIFS('Care log'!$C$6:$C$1505,C245,'Care log'!$D$6:$D$1505,D245,'Care log'!$G$6:$G$1505,"&gt;"&amp;G245)=0,1,0))</f>
        <v/>
      </c>
    </row>
    <row r="246">
      <c r="A246" s="1" t="n"/>
      <c r="B246" s="20" t="n">
        <v>46267</v>
      </c>
      <c r="C246" s="17" t="inlineStr">
        <is>
          <t>Spidey</t>
        </is>
      </c>
      <c r="D246" s="18" t="inlineStr">
        <is>
          <t>Water</t>
        </is>
      </c>
      <c r="E246" s="18" t="n"/>
      <c r="F246" s="1" t="n"/>
      <c r="G246">
        <f>IF(OR(B246="",C246="",D246=""),"",B246+ROW()/10000000)</f>
        <v/>
      </c>
      <c r="H246">
        <f>IF(G246="","",IF(COUNTIFS('Care log'!$C$6:$C$1505,C246,'Care log'!$D$6:$D$1505,D246,'Care log'!$G$6:$G$1505,"&gt;"&amp;G246)=0,1,0))</f>
        <v/>
      </c>
    </row>
    <row r="247">
      <c r="A247" s="1" t="n"/>
      <c r="B247" s="20" t="n">
        <v>46268</v>
      </c>
      <c r="C247" s="17" t="inlineStr">
        <is>
          <t>Cleo</t>
        </is>
      </c>
      <c r="D247" s="18" t="inlineStr">
        <is>
          <t>Water</t>
        </is>
      </c>
      <c r="E247" s="18" t="n"/>
      <c r="F247" s="1" t="n"/>
      <c r="G247">
        <f>IF(OR(B247="",C247="",D247=""),"",B247+ROW()/10000000)</f>
        <v/>
      </c>
      <c r="H247">
        <f>IF(G247="","",IF(COUNTIFS('Care log'!$C$6:$C$1505,C247,'Care log'!$D$6:$D$1505,D247,'Care log'!$G$6:$G$1505,"&gt;"&amp;G247)=0,1,0))</f>
        <v/>
      </c>
    </row>
    <row r="248">
      <c r="A248" s="1" t="n"/>
      <c r="B248" s="20" t="n">
        <v>46268</v>
      </c>
      <c r="C248" s="17" t="inlineStr">
        <is>
          <t>Fern</t>
        </is>
      </c>
      <c r="D248" s="18" t="inlineStr">
        <is>
          <t>Water</t>
        </is>
      </c>
      <c r="E248" s="18" t="n"/>
      <c r="F248" s="1" t="n"/>
      <c r="G248">
        <f>IF(OR(B248="",C248="",D248=""),"",B248+ROW()/10000000)</f>
        <v/>
      </c>
      <c r="H248">
        <f>IF(G248="","",IF(COUNTIFS('Care log'!$C$6:$C$1505,C248,'Care log'!$D$6:$D$1505,D248,'Care log'!$G$6:$G$1505,"&gt;"&amp;G248)=0,1,0))</f>
        <v/>
      </c>
    </row>
    <row r="249">
      <c r="A249" s="1" t="n"/>
      <c r="B249" s="20" t="n">
        <v>46268</v>
      </c>
      <c r="C249" s="17" t="inlineStr">
        <is>
          <t>Monty</t>
        </is>
      </c>
      <c r="D249" s="18" t="inlineStr">
        <is>
          <t>Water</t>
        </is>
      </c>
      <c r="E249" s="18" t="n"/>
      <c r="F249" s="1" t="n"/>
      <c r="G249">
        <f>IF(OR(B249="",C249="",D249=""),"",B249+ROW()/10000000)</f>
        <v/>
      </c>
      <c r="H249">
        <f>IF(G249="","",IF(COUNTIFS('Care log'!$C$6:$C$1505,C249,'Care log'!$D$6:$D$1505,D249,'Care log'!$G$6:$G$1505,"&gt;"&amp;G249)=0,1,0))</f>
        <v/>
      </c>
    </row>
    <row r="250">
      <c r="A250" s="1" t="n"/>
      <c r="B250" s="20" t="n">
        <v>46268</v>
      </c>
      <c r="C250" s="17" t="inlineStr">
        <is>
          <t>Pearl</t>
        </is>
      </c>
      <c r="D250" s="18" t="inlineStr">
        <is>
          <t>Feed</t>
        </is>
      </c>
      <c r="E250" s="18" t="inlineStr">
        <is>
          <t>Half strength</t>
        </is>
      </c>
      <c r="F250" s="1" t="n"/>
      <c r="G250">
        <f>IF(OR(B250="",C250="",D250=""),"",B250+ROW()/10000000)</f>
        <v/>
      </c>
      <c r="H250">
        <f>IF(G250="","",IF(COUNTIFS('Care log'!$C$6:$C$1505,C250,'Care log'!$D$6:$D$1505,D250,'Care log'!$G$6:$G$1505,"&gt;"&amp;G250)=0,1,0))</f>
        <v/>
      </c>
    </row>
    <row r="251">
      <c r="A251" s="1" t="n"/>
      <c r="B251" s="20" t="n">
        <v>46269</v>
      </c>
      <c r="C251" s="17" t="inlineStr">
        <is>
          <t>Basil</t>
        </is>
      </c>
      <c r="D251" s="18" t="inlineStr">
        <is>
          <t>Water</t>
        </is>
      </c>
      <c r="E251" s="18" t="n"/>
      <c r="F251" s="1" t="n"/>
      <c r="G251">
        <f>IF(OR(B251="",C251="",D251=""),"",B251+ROW()/10000000)</f>
        <v/>
      </c>
      <c r="H251">
        <f>IF(G251="","",IF(COUNTIFS('Care log'!$C$6:$C$1505,C251,'Care log'!$D$6:$D$1505,D251,'Care log'!$G$6:$G$1505,"&gt;"&amp;G251)=0,1,0))</f>
        <v/>
      </c>
    </row>
    <row r="252">
      <c r="A252" s="1" t="n"/>
      <c r="B252" s="20" t="n">
        <v>46269</v>
      </c>
      <c r="C252" s="17" t="inlineStr">
        <is>
          <t>Lily</t>
        </is>
      </c>
      <c r="D252" s="18" t="inlineStr">
        <is>
          <t>Water</t>
        </is>
      </c>
      <c r="E252" s="18" t="n"/>
      <c r="F252" s="1" t="n"/>
      <c r="G252">
        <f>IF(OR(B252="",C252="",D252=""),"",B252+ROW()/10000000)</f>
        <v/>
      </c>
      <c r="H252">
        <f>IF(G252="","",IF(COUNTIFS('Care log'!$C$6:$C$1505,C252,'Care log'!$D$6:$D$1505,D252,'Care log'!$G$6:$G$1505,"&gt;"&amp;G252)=0,1,0))</f>
        <v/>
      </c>
    </row>
    <row r="253">
      <c r="A253" s="1" t="n"/>
      <c r="B253" s="20" t="n">
        <v>46269</v>
      </c>
      <c r="C253" s="17" t="inlineStr">
        <is>
          <t>Ruby</t>
        </is>
      </c>
      <c r="D253" s="18" t="inlineStr">
        <is>
          <t>Water</t>
        </is>
      </c>
      <c r="E253" s="18" t="n"/>
      <c r="F253" s="1" t="n"/>
      <c r="G253">
        <f>IF(OR(B253="",C253="",D253=""),"",B253+ROW()/10000000)</f>
        <v/>
      </c>
      <c r="H253">
        <f>IF(G253="","",IF(COUNTIFS('Care log'!$C$6:$C$1505,C253,'Care log'!$D$6:$D$1505,D253,'Care log'!$G$6:$G$1505,"&gt;"&amp;G253)=0,1,0))</f>
        <v/>
      </c>
    </row>
    <row r="254">
      <c r="A254" s="1" t="n"/>
      <c r="B254" s="20" t="n">
        <v>46269</v>
      </c>
      <c r="C254" s="17" t="inlineStr">
        <is>
          <t>Zed</t>
        </is>
      </c>
      <c r="D254" s="18" t="inlineStr">
        <is>
          <t>Water</t>
        </is>
      </c>
      <c r="E254" s="18" t="n"/>
      <c r="F254" s="1" t="n"/>
      <c r="G254">
        <f>IF(OR(B254="",C254="",D254=""),"",B254+ROW()/10000000)</f>
        <v/>
      </c>
      <c r="H254">
        <f>IF(G254="","",IF(COUNTIFS('Care log'!$C$6:$C$1505,C254,'Care log'!$D$6:$D$1505,D254,'Care log'!$G$6:$G$1505,"&gt;"&amp;G254)=0,1,0))</f>
        <v/>
      </c>
    </row>
    <row r="255">
      <c r="A255" s="1" t="n"/>
      <c r="B255" s="20" t="n">
        <v>46270</v>
      </c>
      <c r="C255" s="17" t="inlineStr">
        <is>
          <t>Basil</t>
        </is>
      </c>
      <c r="D255" s="18" t="inlineStr">
        <is>
          <t>Water</t>
        </is>
      </c>
      <c r="E255" s="18" t="n"/>
      <c r="F255" s="1" t="n"/>
      <c r="G255">
        <f>IF(OR(B255="",C255="",D255=""),"",B255+ROW()/10000000)</f>
        <v/>
      </c>
      <c r="H255">
        <f>IF(G255="","",IF(COUNTIFS('Care log'!$C$6:$C$1505,C255,'Care log'!$D$6:$D$1505,D255,'Care log'!$G$6:$G$1505,"&gt;"&amp;G255)=0,1,0))</f>
        <v/>
      </c>
    </row>
    <row r="256">
      <c r="A256" s="1" t="n"/>
      <c r="B256" s="20" t="n">
        <v>46270</v>
      </c>
      <c r="C256" s="17" t="inlineStr">
        <is>
          <t>Fern</t>
        </is>
      </c>
      <c r="D256" s="18" t="inlineStr">
        <is>
          <t>Water</t>
        </is>
      </c>
      <c r="E256" s="18" t="n"/>
      <c r="F256" s="1" t="n"/>
      <c r="G256">
        <f>IF(OR(B256="",C256="",D256=""),"",B256+ROW()/10000000)</f>
        <v/>
      </c>
      <c r="H256">
        <f>IF(G256="","",IF(COUNTIFS('Care log'!$C$6:$C$1505,C256,'Care log'!$D$6:$D$1505,D256,'Care log'!$G$6:$G$1505,"&gt;"&amp;G256)=0,1,0))</f>
        <v/>
      </c>
    </row>
    <row r="257">
      <c r="A257" s="1" t="n"/>
      <c r="B257" s="20" t="n">
        <v>46271</v>
      </c>
      <c r="C257" s="17" t="inlineStr">
        <is>
          <t>Spidey</t>
        </is>
      </c>
      <c r="D257" s="18" t="inlineStr">
        <is>
          <t>Feed</t>
        </is>
      </c>
      <c r="E257" s="18" t="inlineStr">
        <is>
          <t>Half strength</t>
        </is>
      </c>
      <c r="F257" s="1" t="n"/>
      <c r="G257">
        <f>IF(OR(B257="",C257="",D257=""),"",B257+ROW()/10000000)</f>
        <v/>
      </c>
      <c r="H257">
        <f>IF(G257="","",IF(COUNTIFS('Care log'!$C$6:$C$1505,C257,'Care log'!$D$6:$D$1505,D257,'Care log'!$G$6:$G$1505,"&gt;"&amp;G257)=0,1,0))</f>
        <v/>
      </c>
    </row>
    <row r="258">
      <c r="A258" s="1" t="n"/>
      <c r="B258" s="20" t="n">
        <v>46272</v>
      </c>
      <c r="C258" s="17" t="inlineStr">
        <is>
          <t>Cleo</t>
        </is>
      </c>
      <c r="D258" s="18" t="inlineStr">
        <is>
          <t>Water</t>
        </is>
      </c>
      <c r="E258" s="18" t="n"/>
      <c r="F258" s="1" t="n"/>
      <c r="G258">
        <f>IF(OR(B258="",C258="",D258=""),"",B258+ROW()/10000000)</f>
        <v/>
      </c>
      <c r="H258">
        <f>IF(G258="","",IF(COUNTIFS('Care log'!$C$6:$C$1505,C258,'Care log'!$D$6:$D$1505,D258,'Care log'!$G$6:$G$1505,"&gt;"&amp;G258)=0,1,0))</f>
        <v/>
      </c>
    </row>
    <row r="259">
      <c r="A259" s="1" t="n"/>
      <c r="B259" s="20" t="n">
        <v>46272</v>
      </c>
      <c r="C259" s="17" t="inlineStr">
        <is>
          <t>Echo</t>
        </is>
      </c>
      <c r="D259" s="18" t="inlineStr">
        <is>
          <t>Water</t>
        </is>
      </c>
      <c r="E259" s="18" t="n"/>
      <c r="F259" s="1" t="n"/>
      <c r="G259">
        <f>IF(OR(B259="",C259="",D259=""),"",B259+ROW()/10000000)</f>
        <v/>
      </c>
      <c r="H259">
        <f>IF(G259="","",IF(COUNTIFS('Care log'!$C$6:$C$1505,C259,'Care log'!$D$6:$D$1505,D259,'Care log'!$G$6:$G$1505,"&gt;"&amp;G259)=0,1,0))</f>
        <v/>
      </c>
    </row>
    <row r="260">
      <c r="A260" s="1" t="n"/>
      <c r="B260" s="20" t="n">
        <v>46272</v>
      </c>
      <c r="C260" s="17" t="inlineStr">
        <is>
          <t>Goldie</t>
        </is>
      </c>
      <c r="D260" s="18" t="inlineStr">
        <is>
          <t>Water</t>
        </is>
      </c>
      <c r="E260" s="18" t="n"/>
      <c r="F260" s="1" t="n"/>
      <c r="G260">
        <f>IF(OR(B260="",C260="",D260=""),"",B260+ROW()/10000000)</f>
        <v/>
      </c>
      <c r="H260">
        <f>IF(G260="","",IF(COUNTIFS('Care log'!$C$6:$C$1505,C260,'Care log'!$D$6:$D$1505,D260,'Care log'!$G$6:$G$1505,"&gt;"&amp;G260)=0,1,0))</f>
        <v/>
      </c>
    </row>
    <row r="261">
      <c r="A261" s="1" t="n"/>
      <c r="B261" s="20" t="n">
        <v>46273</v>
      </c>
      <c r="C261" s="17" t="inlineStr">
        <is>
          <t>Basil</t>
        </is>
      </c>
      <c r="D261" s="18" t="inlineStr">
        <is>
          <t>Water</t>
        </is>
      </c>
      <c r="E261" s="18" t="n"/>
      <c r="F261" s="1" t="n"/>
      <c r="G261">
        <f>IF(OR(B261="",C261="",D261=""),"",B261+ROW()/10000000)</f>
        <v/>
      </c>
      <c r="H261">
        <f>IF(G261="","",IF(COUNTIFS('Care log'!$C$6:$C$1505,C261,'Care log'!$D$6:$D$1505,D261,'Care log'!$G$6:$G$1505,"&gt;"&amp;G261)=0,1,0))</f>
        <v/>
      </c>
    </row>
    <row r="262">
      <c r="A262" s="1" t="n"/>
      <c r="B262" s="20" t="n">
        <v>46273</v>
      </c>
      <c r="C262" s="17" t="inlineStr">
        <is>
          <t>Fern</t>
        </is>
      </c>
      <c r="D262" s="18" t="inlineStr">
        <is>
          <t>Water</t>
        </is>
      </c>
      <c r="E262" s="18" t="n"/>
      <c r="F262" s="1" t="n"/>
      <c r="G262">
        <f>IF(OR(B262="",C262="",D262=""),"",B262+ROW()/10000000)</f>
        <v/>
      </c>
      <c r="H262">
        <f>IF(G262="","",IF(COUNTIFS('Care log'!$C$6:$C$1505,C262,'Care log'!$D$6:$D$1505,D262,'Care log'!$G$6:$G$1505,"&gt;"&amp;G262)=0,1,0))</f>
        <v/>
      </c>
    </row>
    <row r="263">
      <c r="A263" s="1" t="n"/>
      <c r="B263" s="20" t="n">
        <v>46273</v>
      </c>
      <c r="C263" s="17" t="inlineStr">
        <is>
          <t>Fig</t>
        </is>
      </c>
      <c r="D263" s="18" t="inlineStr">
        <is>
          <t>Water</t>
        </is>
      </c>
      <c r="E263" s="18" t="n"/>
      <c r="F263" s="1" t="n"/>
      <c r="G263">
        <f>IF(OR(B263="",C263="",D263=""),"",B263+ROW()/10000000)</f>
        <v/>
      </c>
      <c r="H263">
        <f>IF(G263="","",IF(COUNTIFS('Care log'!$C$6:$C$1505,C263,'Care log'!$D$6:$D$1505,D263,'Care log'!$G$6:$G$1505,"&gt;"&amp;G263)=0,1,0))</f>
        <v/>
      </c>
    </row>
    <row r="264">
      <c r="A264" s="1" t="n"/>
      <c r="B264" s="20" t="n">
        <v>46273</v>
      </c>
      <c r="C264" s="17" t="inlineStr">
        <is>
          <t>Monty</t>
        </is>
      </c>
      <c r="D264" s="18" t="inlineStr">
        <is>
          <t>Feed</t>
        </is>
      </c>
      <c r="E264" s="18" t="inlineStr">
        <is>
          <t>Half strength</t>
        </is>
      </c>
      <c r="F264" s="1" t="n"/>
      <c r="G264">
        <f>IF(OR(B264="",C264="",D264=""),"",B264+ROW()/10000000)</f>
        <v/>
      </c>
      <c r="H264">
        <f>IF(G264="","",IF(COUNTIFS('Care log'!$C$6:$C$1505,C264,'Care log'!$D$6:$D$1505,D264,'Care log'!$G$6:$G$1505,"&gt;"&amp;G264)=0,1,0))</f>
        <v/>
      </c>
    </row>
    <row r="265">
      <c r="A265" s="1" t="n"/>
      <c r="B265" s="20" t="n">
        <v>46273</v>
      </c>
      <c r="C265" s="17" t="inlineStr">
        <is>
          <t>Sansa</t>
        </is>
      </c>
      <c r="D265" s="18" t="inlineStr">
        <is>
          <t>Water</t>
        </is>
      </c>
      <c r="E265" s="18" t="n"/>
      <c r="F265" s="1" t="n"/>
      <c r="G265">
        <f>IF(OR(B265="",C265="",D265=""),"",B265+ROW()/10000000)</f>
        <v/>
      </c>
      <c r="H265">
        <f>IF(G265="","",IF(COUNTIFS('Care log'!$C$6:$C$1505,C265,'Care log'!$D$6:$D$1505,D265,'Care log'!$G$6:$G$1505,"&gt;"&amp;G265)=0,1,0))</f>
        <v/>
      </c>
    </row>
    <row r="266">
      <c r="A266" s="1" t="n"/>
      <c r="B266" s="20" t="n">
        <v>46274</v>
      </c>
      <c r="C266" s="17" t="inlineStr">
        <is>
          <t>Basil</t>
        </is>
      </c>
      <c r="D266" s="18" t="inlineStr">
        <is>
          <t>Water</t>
        </is>
      </c>
      <c r="E266" s="18" t="n"/>
      <c r="F266" s="1" t="n"/>
      <c r="G266">
        <f>IF(OR(B266="",C266="",D266=""),"",B266+ROW()/10000000)</f>
        <v/>
      </c>
      <c r="H266">
        <f>IF(G266="","",IF(COUNTIFS('Care log'!$C$6:$C$1505,C266,'Care log'!$D$6:$D$1505,D266,'Care log'!$G$6:$G$1505,"&gt;"&amp;G266)=0,1,0))</f>
        <v/>
      </c>
    </row>
    <row r="267">
      <c r="A267" s="1" t="n"/>
      <c r="B267" s="20" t="n">
        <v>46274</v>
      </c>
      <c r="C267" s="17" t="inlineStr">
        <is>
          <t>Spidey</t>
        </is>
      </c>
      <c r="D267" s="18" t="inlineStr">
        <is>
          <t>Water</t>
        </is>
      </c>
      <c r="E267" s="18" t="n"/>
      <c r="F267" s="1" t="n"/>
      <c r="G267">
        <f>IF(OR(B267="",C267="",D267=""),"",B267+ROW()/10000000)</f>
        <v/>
      </c>
      <c r="H267">
        <f>IF(G267="","",IF(COUNTIFS('Care log'!$C$6:$C$1505,C267,'Care log'!$D$6:$D$1505,D267,'Care log'!$G$6:$G$1505,"&gt;"&amp;G267)=0,1,0))</f>
        <v/>
      </c>
    </row>
    <row r="268">
      <c r="A268" s="1" t="n"/>
      <c r="B268" s="20" t="n">
        <v>46275</v>
      </c>
      <c r="C268" s="17" t="inlineStr">
        <is>
          <t>Fern</t>
        </is>
      </c>
      <c r="D268" s="18" t="inlineStr">
        <is>
          <t>Water</t>
        </is>
      </c>
      <c r="E268" s="18" t="n"/>
      <c r="F268" s="1" t="n"/>
      <c r="G268">
        <f>IF(OR(B268="",C268="",D268=""),"",B268+ROW()/10000000)</f>
        <v/>
      </c>
      <c r="H268">
        <f>IF(G268="","",IF(COUNTIFS('Care log'!$C$6:$C$1505,C268,'Care log'!$D$6:$D$1505,D268,'Care log'!$G$6:$G$1505,"&gt;"&amp;G268)=0,1,0))</f>
        <v/>
      </c>
    </row>
    <row r="269">
      <c r="A269" s="1" t="n"/>
      <c r="B269" s="20" t="n">
        <v>46275</v>
      </c>
      <c r="C269" s="17" t="inlineStr">
        <is>
          <t>Lily</t>
        </is>
      </c>
      <c r="D269" s="18" t="inlineStr">
        <is>
          <t>Water</t>
        </is>
      </c>
      <c r="E269" s="18" t="n"/>
      <c r="F269" s="1" t="n"/>
      <c r="G269">
        <f>IF(OR(B269="",C269="",D269=""),"",B269+ROW()/10000000)</f>
        <v/>
      </c>
      <c r="H269">
        <f>IF(G269="","",IF(COUNTIFS('Care log'!$C$6:$C$1505,C269,'Care log'!$D$6:$D$1505,D269,'Care log'!$G$6:$G$1505,"&gt;"&amp;G269)=0,1,0))</f>
        <v/>
      </c>
    </row>
    <row r="270">
      <c r="A270" s="1" t="n"/>
      <c r="B270" s="20" t="n">
        <v>46275</v>
      </c>
      <c r="C270" s="17" t="inlineStr">
        <is>
          <t>Monty</t>
        </is>
      </c>
      <c r="D270" s="18" t="inlineStr">
        <is>
          <t>Water</t>
        </is>
      </c>
      <c r="E270" s="18" t="n"/>
      <c r="F270" s="1" t="n"/>
      <c r="G270">
        <f>IF(OR(B270="",C270="",D270=""),"",B270+ROW()/10000000)</f>
        <v/>
      </c>
      <c r="H270">
        <f>IF(G270="","",IF(COUNTIFS('Care log'!$C$6:$C$1505,C270,'Care log'!$D$6:$D$1505,D270,'Care log'!$G$6:$G$1505,"&gt;"&amp;G270)=0,1,0))</f>
        <v/>
      </c>
    </row>
    <row r="271">
      <c r="A271" s="1" t="n"/>
      <c r="B271" s="20" t="n">
        <v>46276</v>
      </c>
      <c r="C271" s="17" t="inlineStr">
        <is>
          <t>Basil</t>
        </is>
      </c>
      <c r="D271" s="18" t="inlineStr">
        <is>
          <t>Water</t>
        </is>
      </c>
      <c r="E271" s="18" t="n"/>
      <c r="F271" s="1" t="n"/>
      <c r="G271">
        <f>IF(OR(B271="",C271="",D271=""),"",B271+ROW()/10000000)</f>
        <v/>
      </c>
      <c r="H271">
        <f>IF(G271="","",IF(COUNTIFS('Care log'!$C$6:$C$1505,C271,'Care log'!$D$6:$D$1505,D271,'Care log'!$G$6:$G$1505,"&gt;"&amp;G271)=0,1,0))</f>
        <v/>
      </c>
    </row>
    <row r="272">
      <c r="A272" s="1" t="n"/>
      <c r="B272" s="20" t="n">
        <v>46276</v>
      </c>
      <c r="C272" s="17" t="inlineStr">
        <is>
          <t>Pearl</t>
        </is>
      </c>
      <c r="D272" s="18" t="inlineStr">
        <is>
          <t>Water</t>
        </is>
      </c>
      <c r="E272" s="18" t="n"/>
      <c r="F272" s="1" t="n"/>
      <c r="G272">
        <f>IF(OR(B272="",C272="",D272=""),"",B272+ROW()/10000000)</f>
        <v/>
      </c>
      <c r="H272">
        <f>IF(G272="","",IF(COUNTIFS('Care log'!$C$6:$C$1505,C272,'Care log'!$D$6:$D$1505,D272,'Care log'!$G$6:$G$1505,"&gt;"&amp;G272)=0,1,0))</f>
        <v/>
      </c>
    </row>
    <row r="273">
      <c r="A273" s="1" t="n"/>
      <c r="B273" s="20" t="n">
        <v>46276</v>
      </c>
      <c r="C273" s="17" t="inlineStr">
        <is>
          <t>Ruby</t>
        </is>
      </c>
      <c r="D273" s="18" t="inlineStr">
        <is>
          <t>Water</t>
        </is>
      </c>
      <c r="E273" s="18" t="n"/>
      <c r="F273" s="1" t="n"/>
      <c r="G273">
        <f>IF(OR(B273="",C273="",D273=""),"",B273+ROW()/10000000)</f>
        <v/>
      </c>
      <c r="H273">
        <f>IF(G273="","",IF(COUNTIFS('Care log'!$C$6:$C$1505,C273,'Care log'!$D$6:$D$1505,D273,'Care log'!$G$6:$G$1505,"&gt;"&amp;G273)=0,1,0))</f>
        <v/>
      </c>
    </row>
    <row r="274">
      <c r="A274" s="1" t="n"/>
      <c r="B274" s="20" t="n">
        <v>46277</v>
      </c>
      <c r="C274" s="17" t="inlineStr">
        <is>
          <t>Cleo</t>
        </is>
      </c>
      <c r="D274" s="18" t="inlineStr">
        <is>
          <t>Water</t>
        </is>
      </c>
      <c r="E274" s="18" t="n"/>
      <c r="F274" s="1" t="n"/>
      <c r="G274">
        <f>IF(OR(B274="",C274="",D274=""),"",B274+ROW()/10000000)</f>
        <v/>
      </c>
      <c r="H274">
        <f>IF(G274="","",IF(COUNTIFS('Care log'!$C$6:$C$1505,C274,'Care log'!$D$6:$D$1505,D274,'Care log'!$G$6:$G$1505,"&gt;"&amp;G274)=0,1,0))</f>
        <v/>
      </c>
    </row>
    <row r="275">
      <c r="A275" s="1" t="n"/>
      <c r="B275" s="20" t="n">
        <v>46277</v>
      </c>
      <c r="C275" s="17" t="inlineStr">
        <is>
          <t>Echo</t>
        </is>
      </c>
      <c r="D275" s="18" t="inlineStr">
        <is>
          <t>Repot</t>
        </is>
      </c>
      <c r="E275" s="18" t="inlineStr">
        <is>
          <t>Cactus soil</t>
        </is>
      </c>
      <c r="F275" s="1" t="n"/>
      <c r="G275">
        <f>IF(OR(B275="",C275="",D275=""),"",B275+ROW()/10000000)</f>
        <v/>
      </c>
      <c r="H275">
        <f>IF(G275="","",IF(COUNTIFS('Care log'!$C$6:$C$1505,C275,'Care log'!$D$6:$D$1505,D275,'Care log'!$G$6:$G$1505,"&gt;"&amp;G275)=0,1,0))</f>
        <v/>
      </c>
    </row>
    <row r="276">
      <c r="A276" s="1" t="n"/>
      <c r="B276" s="20" t="n">
        <v>46277</v>
      </c>
      <c r="C276" s="17" t="inlineStr">
        <is>
          <t>Lily</t>
        </is>
      </c>
      <c r="D276" s="18" t="inlineStr">
        <is>
          <t>Feed</t>
        </is>
      </c>
      <c r="E276" s="18" t="inlineStr">
        <is>
          <t>Half strength</t>
        </is>
      </c>
      <c r="F276" s="1" t="n"/>
      <c r="G276">
        <f>IF(OR(B276="",C276="",D276=""),"",B276+ROW()/10000000)</f>
        <v/>
      </c>
      <c r="H276">
        <f>IF(G276="","",IF(COUNTIFS('Care log'!$C$6:$C$1505,C276,'Care log'!$D$6:$D$1505,D276,'Care log'!$G$6:$G$1505,"&gt;"&amp;G276)=0,1,0))</f>
        <v/>
      </c>
    </row>
    <row r="277">
      <c r="A277" s="1" t="n"/>
      <c r="B277" s="20" t="n">
        <v>46277</v>
      </c>
      <c r="C277" s="17" t="inlineStr">
        <is>
          <t>Vera</t>
        </is>
      </c>
      <c r="D277" s="18" t="inlineStr">
        <is>
          <t>Water</t>
        </is>
      </c>
      <c r="E277" s="18" t="n"/>
      <c r="F277" s="1" t="n"/>
      <c r="G277">
        <f>IF(OR(B277="",C277="",D277=""),"",B277+ROW()/10000000)</f>
        <v/>
      </c>
      <c r="H277">
        <f>IF(G277="","",IF(COUNTIFS('Care log'!$C$6:$C$1505,C277,'Care log'!$D$6:$D$1505,D277,'Care log'!$G$6:$G$1505,"&gt;"&amp;G277)=0,1,0))</f>
        <v/>
      </c>
    </row>
    <row r="278">
      <c r="A278" s="1" t="n"/>
      <c r="B278" s="20" t="n">
        <v>46278</v>
      </c>
      <c r="C278" s="17" t="inlineStr">
        <is>
          <t>Basil</t>
        </is>
      </c>
      <c r="D278" s="18" t="inlineStr">
        <is>
          <t>Water</t>
        </is>
      </c>
      <c r="E278" s="18" t="n"/>
      <c r="F278" s="1" t="n"/>
      <c r="G278">
        <f>IF(OR(B278="",C278="",D278=""),"",B278+ROW()/10000000)</f>
        <v/>
      </c>
      <c r="H278">
        <f>IF(G278="","",IF(COUNTIFS('Care log'!$C$6:$C$1505,C278,'Care log'!$D$6:$D$1505,D278,'Care log'!$G$6:$G$1505,"&gt;"&amp;G278)=0,1,0))</f>
        <v/>
      </c>
    </row>
    <row r="279">
      <c r="A279" s="1" t="n"/>
      <c r="B279" s="20" t="n">
        <v>46278</v>
      </c>
      <c r="C279" s="17" t="inlineStr">
        <is>
          <t>Basil</t>
        </is>
      </c>
      <c r="D279" s="18" t="inlineStr">
        <is>
          <t>Feed</t>
        </is>
      </c>
      <c r="E279" s="18" t="inlineStr">
        <is>
          <t>Half strength</t>
        </is>
      </c>
      <c r="F279" s="1" t="n"/>
      <c r="G279">
        <f>IF(OR(B279="",C279="",D279=""),"",B279+ROW()/10000000)</f>
        <v/>
      </c>
      <c r="H279">
        <f>IF(G279="","",IF(COUNTIFS('Care log'!$C$6:$C$1505,C279,'Care log'!$D$6:$D$1505,D279,'Care log'!$G$6:$G$1505,"&gt;"&amp;G279)=0,1,0))</f>
        <v/>
      </c>
    </row>
    <row r="280">
      <c r="A280" s="1" t="n"/>
      <c r="B280" s="20" t="n">
        <v>46278</v>
      </c>
      <c r="C280" s="17" t="inlineStr">
        <is>
          <t>Fern</t>
        </is>
      </c>
      <c r="D280" s="18" t="inlineStr">
        <is>
          <t>Water</t>
        </is>
      </c>
      <c r="E280" s="18" t="n"/>
      <c r="F280" s="1" t="n"/>
      <c r="G280">
        <f>IF(OR(B280="",C280="",D280=""),"",B280+ROW()/10000000)</f>
        <v/>
      </c>
      <c r="H280">
        <f>IF(G280="","",IF(COUNTIFS('Care log'!$C$6:$C$1505,C280,'Care log'!$D$6:$D$1505,D280,'Care log'!$G$6:$G$1505,"&gt;"&amp;G280)=0,1,0))</f>
        <v/>
      </c>
    </row>
    <row r="281">
      <c r="A281" s="1" t="n"/>
      <c r="B281" s="20" t="n">
        <v>46278</v>
      </c>
      <c r="C281" s="17" t="inlineStr">
        <is>
          <t>Goldie</t>
        </is>
      </c>
      <c r="D281" s="18" t="inlineStr">
        <is>
          <t>Water</t>
        </is>
      </c>
      <c r="E281" s="18" t="n"/>
      <c r="F281" s="1" t="n"/>
      <c r="G281">
        <f>IF(OR(B281="",C281="",D281=""),"",B281+ROW()/10000000)</f>
        <v/>
      </c>
      <c r="H281">
        <f>IF(G281="","",IF(COUNTIFS('Care log'!$C$6:$C$1505,C281,'Care log'!$D$6:$D$1505,D281,'Care log'!$G$6:$G$1505,"&gt;"&amp;G281)=0,1,0))</f>
        <v/>
      </c>
    </row>
    <row r="282">
      <c r="A282" s="1" t="n"/>
      <c r="B282" s="20" t="n">
        <v>46279</v>
      </c>
      <c r="C282" s="17" t="inlineStr">
        <is>
          <t>Fig</t>
        </is>
      </c>
      <c r="D282" s="18" t="inlineStr">
        <is>
          <t>Water</t>
        </is>
      </c>
      <c r="E282" s="18" t="n"/>
      <c r="F282" s="1" t="n"/>
      <c r="G282">
        <f>IF(OR(B282="",C282="",D282=""),"",B282+ROW()/10000000)</f>
        <v/>
      </c>
      <c r="H282">
        <f>IF(G282="","",IF(COUNTIFS('Care log'!$C$6:$C$1505,C282,'Care log'!$D$6:$D$1505,D282,'Care log'!$G$6:$G$1505,"&gt;"&amp;G282)=0,1,0))</f>
        <v/>
      </c>
    </row>
    <row r="283">
      <c r="A283" s="1" t="n"/>
      <c r="B283" s="20" t="n">
        <v>46280</v>
      </c>
      <c r="C283" s="17" t="inlineStr">
        <is>
          <t>Basil</t>
        </is>
      </c>
      <c r="D283" s="18" t="inlineStr">
        <is>
          <t>Water</t>
        </is>
      </c>
      <c r="E283" s="18" t="n"/>
      <c r="F283" s="1" t="n"/>
      <c r="G283">
        <f>IF(OR(B283="",C283="",D283=""),"",B283+ROW()/10000000)</f>
        <v/>
      </c>
      <c r="H283">
        <f>IF(G283="","",IF(COUNTIFS('Care log'!$C$6:$C$1505,C283,'Care log'!$D$6:$D$1505,D283,'Care log'!$G$6:$G$1505,"&gt;"&amp;G283)=0,1,0))</f>
        <v/>
      </c>
    </row>
    <row r="284">
      <c r="A284" s="1" t="n"/>
      <c r="B284" s="20" t="n">
        <v>46280</v>
      </c>
      <c r="C284" s="17" t="inlineStr">
        <is>
          <t>Fern</t>
        </is>
      </c>
      <c r="D284" s="18" t="inlineStr">
        <is>
          <t>Water</t>
        </is>
      </c>
      <c r="E284" s="18" t="n"/>
      <c r="F284" s="1" t="n"/>
      <c r="G284">
        <f>IF(OR(B284="",C284="",D284=""),"",B284+ROW()/10000000)</f>
        <v/>
      </c>
      <c r="H284">
        <f>IF(G284="","",IF(COUNTIFS('Care log'!$C$6:$C$1505,C284,'Care log'!$D$6:$D$1505,D284,'Care log'!$G$6:$G$1505,"&gt;"&amp;G284)=0,1,0))</f>
        <v/>
      </c>
    </row>
    <row r="285">
      <c r="A285" s="1" t="n"/>
      <c r="B285" s="20" t="n">
        <v>46280</v>
      </c>
      <c r="C285" s="17" t="inlineStr">
        <is>
          <t>Lily</t>
        </is>
      </c>
      <c r="D285" s="18" t="inlineStr">
        <is>
          <t>Water</t>
        </is>
      </c>
      <c r="E285" s="18" t="n"/>
      <c r="F285" s="1" t="n"/>
      <c r="G285">
        <f>IF(OR(B285="",C285="",D285=""),"",B285+ROW()/10000000)</f>
        <v/>
      </c>
      <c r="H285">
        <f>IF(G285="","",IF(COUNTIFS('Care log'!$C$6:$C$1505,C285,'Care log'!$D$6:$D$1505,D285,'Care log'!$G$6:$G$1505,"&gt;"&amp;G285)=0,1,0))</f>
        <v/>
      </c>
    </row>
    <row r="286">
      <c r="A286" s="1" t="n"/>
      <c r="B286" s="20" t="n">
        <v>46281</v>
      </c>
      <c r="C286" s="17" t="inlineStr">
        <is>
          <t>Basil</t>
        </is>
      </c>
      <c r="D286" s="18" t="inlineStr">
        <is>
          <t>Water</t>
        </is>
      </c>
      <c r="E286" s="18" t="n"/>
      <c r="F286" s="1" t="n"/>
      <c r="G286">
        <f>IF(OR(B286="",C286="",D286=""),"",B286+ROW()/10000000)</f>
        <v/>
      </c>
      <c r="H286">
        <f>IF(G286="","",IF(COUNTIFS('Care log'!$C$6:$C$1505,C286,'Care log'!$D$6:$D$1505,D286,'Care log'!$G$6:$G$1505,"&gt;"&amp;G286)=0,1,0))</f>
        <v/>
      </c>
    </row>
    <row r="287">
      <c r="A287" s="1" t="n"/>
      <c r="B287" s="20" t="n">
        <v>46281</v>
      </c>
      <c r="C287" s="17" t="inlineStr">
        <is>
          <t>Fern</t>
        </is>
      </c>
      <c r="D287" s="18" t="inlineStr">
        <is>
          <t>Mist</t>
        </is>
      </c>
      <c r="E287" s="18" t="n"/>
      <c r="F287" s="1" t="n"/>
      <c r="G287">
        <f>IF(OR(B287="",C287="",D287=""),"",B287+ROW()/10000000)</f>
        <v/>
      </c>
      <c r="H287">
        <f>IF(G287="","",IF(COUNTIFS('Care log'!$C$6:$C$1505,C287,'Care log'!$D$6:$D$1505,D287,'Care log'!$G$6:$G$1505,"&gt;"&amp;G287)=0,1,0))</f>
        <v/>
      </c>
    </row>
    <row r="288">
      <c r="A288" s="1" t="n"/>
      <c r="B288" s="20" t="n">
        <v>46281</v>
      </c>
      <c r="C288" s="17" t="inlineStr">
        <is>
          <t>Fig</t>
        </is>
      </c>
      <c r="D288" s="18" t="inlineStr">
        <is>
          <t>Feed</t>
        </is>
      </c>
      <c r="E288" s="18" t="inlineStr">
        <is>
          <t>Half strength</t>
        </is>
      </c>
      <c r="F288" s="1" t="n"/>
      <c r="G288">
        <f>IF(OR(B288="",C288="",D288=""),"",B288+ROW()/10000000)</f>
        <v/>
      </c>
      <c r="H288">
        <f>IF(G288="","",IF(COUNTIFS('Care log'!$C$6:$C$1505,C288,'Care log'!$D$6:$D$1505,D288,'Care log'!$G$6:$G$1505,"&gt;"&amp;G288)=0,1,0))</f>
        <v/>
      </c>
    </row>
    <row r="289">
      <c r="A289" s="1" t="n"/>
      <c r="B289" s="20" t="n">
        <v>46281</v>
      </c>
      <c r="C289" s="17" t="inlineStr">
        <is>
          <t>Monty</t>
        </is>
      </c>
      <c r="D289" s="18" t="inlineStr">
        <is>
          <t>Water</t>
        </is>
      </c>
      <c r="E289" s="18" t="n"/>
      <c r="F289" s="1" t="n"/>
      <c r="G289">
        <f>IF(OR(B289="",C289="",D289=""),"",B289+ROW()/10000000)</f>
        <v/>
      </c>
      <c r="H289">
        <f>IF(G289="","",IF(COUNTIFS('Care log'!$C$6:$C$1505,C289,'Care log'!$D$6:$D$1505,D289,'Care log'!$G$6:$G$1505,"&gt;"&amp;G289)=0,1,0))</f>
        <v/>
      </c>
    </row>
    <row r="290">
      <c r="A290" s="1" t="n"/>
      <c r="B290" s="20" t="n">
        <v>46281</v>
      </c>
      <c r="C290" s="17" t="inlineStr">
        <is>
          <t>Spidey</t>
        </is>
      </c>
      <c r="D290" s="18" t="inlineStr">
        <is>
          <t>Water</t>
        </is>
      </c>
      <c r="E290" s="18" t="n"/>
      <c r="F290" s="1" t="n"/>
      <c r="G290">
        <f>IF(OR(B290="",C290="",D290=""),"",B290+ROW()/10000000)</f>
        <v/>
      </c>
      <c r="H290">
        <f>IF(G290="","",IF(COUNTIFS('Care log'!$C$6:$C$1505,C290,'Care log'!$D$6:$D$1505,D290,'Care log'!$G$6:$G$1505,"&gt;"&amp;G290)=0,1,0))</f>
        <v/>
      </c>
    </row>
    <row r="291">
      <c r="A291" s="1" t="n"/>
      <c r="B291" s="20" t="n">
        <v>46282</v>
      </c>
      <c r="C291" s="17" t="inlineStr">
        <is>
          <t>Basil</t>
        </is>
      </c>
      <c r="D291" s="18" t="inlineStr">
        <is>
          <t>Water</t>
        </is>
      </c>
      <c r="E291" s="18" t="n"/>
      <c r="F291" s="1" t="n"/>
      <c r="G291">
        <f>IF(OR(B291="",C291="",D291=""),"",B291+ROW()/10000000)</f>
        <v/>
      </c>
      <c r="H291">
        <f>IF(G291="","",IF(COUNTIFS('Care log'!$C$6:$C$1505,C291,'Care log'!$D$6:$D$1505,D291,'Care log'!$G$6:$G$1505,"&gt;"&amp;G291)=0,1,0))</f>
        <v/>
      </c>
    </row>
    <row r="292">
      <c r="A292" s="1" t="n"/>
      <c r="B292" s="20" t="n">
        <v>46282</v>
      </c>
      <c r="C292" s="17" t="inlineStr">
        <is>
          <t>Cleo</t>
        </is>
      </c>
      <c r="D292" s="18" t="inlineStr">
        <is>
          <t>Water</t>
        </is>
      </c>
      <c r="E292" s="18" t="n"/>
      <c r="F292" s="1" t="n"/>
      <c r="G292">
        <f>IF(OR(B292="",C292="",D292=""),"",B292+ROW()/10000000)</f>
        <v/>
      </c>
      <c r="H292">
        <f>IF(G292="","",IF(COUNTIFS('Care log'!$C$6:$C$1505,C292,'Care log'!$D$6:$D$1505,D292,'Care log'!$G$6:$G$1505,"&gt;"&amp;G292)=0,1,0))</f>
        <v/>
      </c>
    </row>
    <row r="293">
      <c r="A293" s="1" t="n"/>
      <c r="B293" s="20" t="n">
        <v>46283</v>
      </c>
      <c r="C293" s="17" t="inlineStr">
        <is>
          <t>Basil</t>
        </is>
      </c>
      <c r="D293" s="18" t="inlineStr">
        <is>
          <t>Water</t>
        </is>
      </c>
      <c r="E293" s="18" t="n"/>
      <c r="F293" s="1" t="n"/>
      <c r="G293">
        <f>IF(OR(B293="",C293="",D293=""),"",B293+ROW()/10000000)</f>
        <v/>
      </c>
      <c r="H293">
        <f>IF(G293="","",IF(COUNTIFS('Care log'!$C$6:$C$1505,C293,'Care log'!$D$6:$D$1505,D293,'Care log'!$G$6:$G$1505,"&gt;"&amp;G293)=0,1,0))</f>
        <v/>
      </c>
    </row>
    <row r="294">
      <c r="A294" s="1" t="n"/>
      <c r="B294" s="20" t="n">
        <v>46283</v>
      </c>
      <c r="C294" s="17" t="inlineStr">
        <is>
          <t>Cleo</t>
        </is>
      </c>
      <c r="D294" s="18" t="inlineStr">
        <is>
          <t>Feed</t>
        </is>
      </c>
      <c r="E294" s="18" t="inlineStr">
        <is>
          <t>Half strength</t>
        </is>
      </c>
      <c r="F294" s="1" t="n"/>
      <c r="G294">
        <f>IF(OR(B294="",C294="",D294=""),"",B294+ROW()/10000000)</f>
        <v/>
      </c>
      <c r="H294">
        <f>IF(G294="","",IF(COUNTIFS('Care log'!$C$6:$C$1505,C294,'Care log'!$D$6:$D$1505,D294,'Care log'!$G$6:$G$1505,"&gt;"&amp;G294)=0,1,0))</f>
        <v/>
      </c>
    </row>
    <row r="295">
      <c r="A295" s="1" t="n"/>
      <c r="B295" s="20" t="n">
        <v>46283</v>
      </c>
      <c r="C295" s="17" t="inlineStr">
        <is>
          <t>Ruby</t>
        </is>
      </c>
      <c r="D295" s="18" t="inlineStr">
        <is>
          <t>Water</t>
        </is>
      </c>
      <c r="E295" s="18" t="n"/>
      <c r="F295" s="1" t="n"/>
      <c r="G295">
        <f>IF(OR(B295="",C295="",D295=""),"",B295+ROW()/10000000)</f>
        <v/>
      </c>
      <c r="H295">
        <f>IF(G295="","",IF(COUNTIFS('Care log'!$C$6:$C$1505,C295,'Care log'!$D$6:$D$1505,D295,'Care log'!$G$6:$G$1505,"&gt;"&amp;G295)=0,1,0))</f>
        <v/>
      </c>
    </row>
    <row r="296">
      <c r="A296" s="1" t="n"/>
      <c r="B296" s="20" t="n">
        <v>46283</v>
      </c>
      <c r="C296" s="17" t="inlineStr">
        <is>
          <t>Zed</t>
        </is>
      </c>
      <c r="D296" s="18" t="inlineStr">
        <is>
          <t>Water</t>
        </is>
      </c>
      <c r="E296" s="18" t="n"/>
      <c r="F296" s="1" t="n"/>
      <c r="G296">
        <f>IF(OR(B296="",C296="",D296=""),"",B296+ROW()/10000000)</f>
        <v/>
      </c>
      <c r="H296">
        <f>IF(G296="","",IF(COUNTIFS('Care log'!$C$6:$C$1505,C296,'Care log'!$D$6:$D$1505,D296,'Care log'!$G$6:$G$1505,"&gt;"&amp;G296)=0,1,0))</f>
        <v/>
      </c>
    </row>
    <row r="297">
      <c r="A297" s="1" t="n"/>
      <c r="B297" s="20" t="n">
        <v>46284</v>
      </c>
      <c r="C297" s="17" t="inlineStr">
        <is>
          <t>Cleo</t>
        </is>
      </c>
      <c r="D297" s="18" t="inlineStr">
        <is>
          <t>Mist</t>
        </is>
      </c>
      <c r="E297" s="18" t="n"/>
      <c r="F297" s="1" t="n"/>
      <c r="G297">
        <f>IF(OR(B297="",C297="",D297=""),"",B297+ROW()/10000000)</f>
        <v/>
      </c>
      <c r="H297">
        <f>IF(G297="","",IF(COUNTIFS('Care log'!$C$6:$C$1505,C297,'Care log'!$D$6:$D$1505,D297,'Care log'!$G$6:$G$1505,"&gt;"&amp;G297)=0,1,0))</f>
        <v/>
      </c>
    </row>
    <row r="298">
      <c r="A298" s="1" t="n"/>
      <c r="B298" s="20" t="n">
        <v>46284</v>
      </c>
      <c r="C298" s="17" t="inlineStr">
        <is>
          <t>Echo</t>
        </is>
      </c>
      <c r="D298" s="18" t="inlineStr">
        <is>
          <t>Water</t>
        </is>
      </c>
      <c r="E298" s="18" t="n"/>
      <c r="F298" s="1" t="n"/>
      <c r="G298">
        <f>IF(OR(B298="",C298="",D298=""),"",B298+ROW()/10000000)</f>
        <v/>
      </c>
      <c r="H298">
        <f>IF(G298="","",IF(COUNTIFS('Care log'!$C$6:$C$1505,C298,'Care log'!$D$6:$D$1505,D298,'Care log'!$G$6:$G$1505,"&gt;"&amp;G298)=0,1,0))</f>
        <v/>
      </c>
    </row>
    <row r="299">
      <c r="A299" s="1" t="n"/>
      <c r="B299" s="20" t="n">
        <v>46284</v>
      </c>
      <c r="C299" s="17" t="inlineStr">
        <is>
          <t>Fern</t>
        </is>
      </c>
      <c r="D299" s="18" t="inlineStr">
        <is>
          <t>Water</t>
        </is>
      </c>
      <c r="E299" s="18" t="n"/>
      <c r="F299" s="1" t="n"/>
      <c r="G299">
        <f>IF(OR(B299="",C299="",D299=""),"",B299+ROW()/10000000)</f>
        <v/>
      </c>
      <c r="H299">
        <f>IF(G299="","",IF(COUNTIFS('Care log'!$C$6:$C$1505,C299,'Care log'!$D$6:$D$1505,D299,'Care log'!$G$6:$G$1505,"&gt;"&amp;G299)=0,1,0))</f>
        <v/>
      </c>
    </row>
    <row r="300">
      <c r="A300" s="1" t="n"/>
      <c r="B300" s="20" t="n">
        <v>46285</v>
      </c>
      <c r="C300" s="17" t="inlineStr">
        <is>
          <t>Basil</t>
        </is>
      </c>
      <c r="D300" s="18" t="inlineStr">
        <is>
          <t>Water</t>
        </is>
      </c>
      <c r="E300" s="18" t="n"/>
      <c r="F300" s="1" t="n"/>
      <c r="G300">
        <f>IF(OR(B300="",C300="",D300=""),"",B300+ROW()/10000000)</f>
        <v/>
      </c>
      <c r="H300">
        <f>IF(G300="","",IF(COUNTIFS('Care log'!$C$6:$C$1505,C300,'Care log'!$D$6:$D$1505,D300,'Care log'!$G$6:$G$1505,"&gt;"&amp;G300)=0,1,0))</f>
        <v/>
      </c>
    </row>
    <row r="301">
      <c r="A301" s="1" t="n"/>
      <c r="B301" s="20" t="n">
        <v>46285</v>
      </c>
      <c r="C301" s="17" t="inlineStr">
        <is>
          <t>Lily</t>
        </is>
      </c>
      <c r="D301" s="18" t="inlineStr">
        <is>
          <t>Water</t>
        </is>
      </c>
      <c r="E301" s="18" t="n"/>
      <c r="F301" s="1" t="n"/>
      <c r="G301">
        <f>IF(OR(B301="",C301="",D301=""),"",B301+ROW()/10000000)</f>
        <v/>
      </c>
      <c r="H301">
        <f>IF(G301="","",IF(COUNTIFS('Care log'!$C$6:$C$1505,C301,'Care log'!$D$6:$D$1505,D301,'Care log'!$G$6:$G$1505,"&gt;"&amp;G301)=0,1,0))</f>
        <v/>
      </c>
    </row>
    <row r="302">
      <c r="A302" s="1" t="n"/>
      <c r="B302" s="20" t="n">
        <v>46285</v>
      </c>
      <c r="C302" s="17" t="inlineStr">
        <is>
          <t>Pearl</t>
        </is>
      </c>
      <c r="D302" s="18" t="inlineStr">
        <is>
          <t>Water</t>
        </is>
      </c>
      <c r="E302" s="18" t="n"/>
      <c r="F302" s="1" t="n"/>
      <c r="G302">
        <f>IF(OR(B302="",C302="",D302=""),"",B302+ROW()/10000000)</f>
        <v/>
      </c>
      <c r="H302">
        <f>IF(G302="","",IF(COUNTIFS('Care log'!$C$6:$C$1505,C302,'Care log'!$D$6:$D$1505,D302,'Care log'!$G$6:$G$1505,"&gt;"&amp;G302)=0,1,0))</f>
        <v/>
      </c>
    </row>
    <row r="303">
      <c r="A303" s="1" t="n"/>
      <c r="B303" s="20" t="n">
        <v>46286</v>
      </c>
      <c r="C303" s="17" t="inlineStr">
        <is>
          <t>Cleo</t>
        </is>
      </c>
      <c r="D303" s="18" t="inlineStr">
        <is>
          <t>Water</t>
        </is>
      </c>
      <c r="E303" s="18" t="n"/>
      <c r="F303" s="1" t="n"/>
      <c r="G303">
        <f>IF(OR(B303="",C303="",D303=""),"",B303+ROW()/10000000)</f>
        <v/>
      </c>
      <c r="H303">
        <f>IF(G303="","",IF(COUNTIFS('Care log'!$C$6:$C$1505,C303,'Care log'!$D$6:$D$1505,D303,'Care log'!$G$6:$G$1505,"&gt;"&amp;G303)=0,1,0))</f>
        <v/>
      </c>
    </row>
    <row r="304">
      <c r="A304" s="1" t="n"/>
      <c r="B304" s="20" t="n">
        <v>46286</v>
      </c>
      <c r="C304" s="17" t="inlineStr">
        <is>
          <t>Goldie</t>
        </is>
      </c>
      <c r="D304" s="18" t="inlineStr">
        <is>
          <t>Water</t>
        </is>
      </c>
      <c r="E304" s="18" t="n"/>
      <c r="F304" s="1" t="n"/>
      <c r="G304">
        <f>IF(OR(B304="",C304="",D304=""),"",B304+ROW()/10000000)</f>
        <v/>
      </c>
      <c r="H304">
        <f>IF(G304="","",IF(COUNTIFS('Care log'!$C$6:$C$1505,C304,'Care log'!$D$6:$D$1505,D304,'Care log'!$G$6:$G$1505,"&gt;"&amp;G304)=0,1,0))</f>
        <v/>
      </c>
    </row>
    <row r="305">
      <c r="A305" s="1" t="n"/>
      <c r="B305" s="20" t="n">
        <v>46287</v>
      </c>
      <c r="C305" s="17" t="inlineStr">
        <is>
          <t>Fern</t>
        </is>
      </c>
      <c r="D305" s="18" t="inlineStr">
        <is>
          <t>Water</t>
        </is>
      </c>
      <c r="E305" s="18" t="n"/>
      <c r="F305" s="1" t="n"/>
      <c r="G305">
        <f>IF(OR(B305="",C305="",D305=""),"",B305+ROW()/10000000)</f>
        <v/>
      </c>
      <c r="H305">
        <f>IF(G305="","",IF(COUNTIFS('Care log'!$C$6:$C$1505,C305,'Care log'!$D$6:$D$1505,D305,'Care log'!$G$6:$G$1505,"&gt;"&amp;G305)=0,1,0))</f>
        <v/>
      </c>
    </row>
    <row r="306">
      <c r="A306" s="1" t="n"/>
      <c r="B306" s="20" t="n">
        <v>46287</v>
      </c>
      <c r="C306" s="17" t="inlineStr">
        <is>
          <t>Fig</t>
        </is>
      </c>
      <c r="D306" s="18" t="inlineStr">
        <is>
          <t>Water</t>
        </is>
      </c>
      <c r="E306" s="18" t="n"/>
      <c r="F306" s="1" t="n"/>
      <c r="G306">
        <f>IF(OR(B306="",C306="",D306=""),"",B306+ROW()/10000000)</f>
        <v/>
      </c>
      <c r="H306">
        <f>IF(G306="","",IF(COUNTIFS('Care log'!$C$6:$C$1505,C306,'Care log'!$D$6:$D$1505,D306,'Care log'!$G$6:$G$1505,"&gt;"&amp;G306)=0,1,0))</f>
        <v/>
      </c>
    </row>
    <row r="307">
      <c r="A307" s="1" t="n"/>
      <c r="B307" s="20" t="n">
        <v>46287</v>
      </c>
      <c r="C307" s="17" t="inlineStr">
        <is>
          <t>Spidey</t>
        </is>
      </c>
      <c r="D307" s="18" t="inlineStr">
        <is>
          <t>Water</t>
        </is>
      </c>
      <c r="E307" s="18" t="n"/>
      <c r="F307" s="1" t="n"/>
      <c r="G307">
        <f>IF(OR(B307="",C307="",D307=""),"",B307+ROW()/10000000)</f>
        <v/>
      </c>
      <c r="H307">
        <f>IF(G307="","",IF(COUNTIFS('Care log'!$C$6:$C$1505,C307,'Care log'!$D$6:$D$1505,D307,'Care log'!$G$6:$G$1505,"&gt;"&amp;G307)=0,1,0))</f>
        <v/>
      </c>
    </row>
    <row r="308">
      <c r="A308" s="1" t="n"/>
      <c r="B308" s="20" t="n">
        <v>46288</v>
      </c>
      <c r="C308" s="17" t="inlineStr">
        <is>
          <t>Basil</t>
        </is>
      </c>
      <c r="D308" s="18" t="inlineStr">
        <is>
          <t>Water</t>
        </is>
      </c>
      <c r="E308" s="18" t="n"/>
      <c r="F308" s="1" t="n"/>
      <c r="G308">
        <f>IF(OR(B308="",C308="",D308=""),"",B308+ROW()/10000000)</f>
        <v/>
      </c>
      <c r="H308">
        <f>IF(G308="","",IF(COUNTIFS('Care log'!$C$6:$C$1505,C308,'Care log'!$D$6:$D$1505,D308,'Care log'!$G$6:$G$1505,"&gt;"&amp;G308)=0,1,0))</f>
        <v/>
      </c>
    </row>
    <row r="309">
      <c r="A309" s="1" t="n"/>
      <c r="B309" s="20" t="n">
        <v>46288</v>
      </c>
      <c r="C309" s="17" t="inlineStr">
        <is>
          <t>Fern</t>
        </is>
      </c>
      <c r="D309" s="18" t="inlineStr">
        <is>
          <t>Mist</t>
        </is>
      </c>
      <c r="E309" s="18" t="n"/>
      <c r="F309" s="1" t="n"/>
      <c r="G309">
        <f>IF(OR(B309="",C309="",D309=""),"",B309+ROW()/10000000)</f>
        <v/>
      </c>
      <c r="H309">
        <f>IF(G309="","",IF(COUNTIFS('Care log'!$C$6:$C$1505,C309,'Care log'!$D$6:$D$1505,D309,'Care log'!$G$6:$G$1505,"&gt;"&amp;G309)=0,1,0))</f>
        <v/>
      </c>
    </row>
    <row r="310">
      <c r="A310" s="1" t="n"/>
      <c r="B310" s="20" t="n">
        <v>46288</v>
      </c>
      <c r="C310" s="17" t="inlineStr">
        <is>
          <t>Ruby</t>
        </is>
      </c>
      <c r="D310" s="18" t="inlineStr">
        <is>
          <t>Feed</t>
        </is>
      </c>
      <c r="E310" s="18" t="inlineStr">
        <is>
          <t>Half strength</t>
        </is>
      </c>
      <c r="F310" s="1" t="n"/>
      <c r="G310">
        <f>IF(OR(B310="",C310="",D310=""),"",B310+ROW()/10000000)</f>
        <v/>
      </c>
      <c r="H310">
        <f>IF(G310="","",IF(COUNTIFS('Care log'!$C$6:$C$1505,C310,'Care log'!$D$6:$D$1505,D310,'Care log'!$G$6:$G$1505,"&gt;"&amp;G310)=0,1,0))</f>
        <v/>
      </c>
    </row>
    <row r="311">
      <c r="A311" s="1" t="n"/>
      <c r="B311" s="20" t="n">
        <v>46288</v>
      </c>
      <c r="C311" s="17" t="inlineStr">
        <is>
          <t>Sansa</t>
        </is>
      </c>
      <c r="D311" s="18" t="inlineStr">
        <is>
          <t>Water</t>
        </is>
      </c>
      <c r="E311" s="18" t="n"/>
      <c r="F311" s="1" t="n"/>
      <c r="G311">
        <f>IF(OR(B311="",C311="",D311=""),"",B311+ROW()/10000000)</f>
        <v/>
      </c>
      <c r="H311">
        <f>IF(G311="","",IF(COUNTIFS('Care log'!$C$6:$C$1505,C311,'Care log'!$D$6:$D$1505,D311,'Care log'!$G$6:$G$1505,"&gt;"&amp;G311)=0,1,0))</f>
        <v/>
      </c>
    </row>
    <row r="312">
      <c r="A312" s="1" t="n"/>
      <c r="B312" s="20" t="n">
        <v>46289</v>
      </c>
      <c r="C312" s="17" t="inlineStr">
        <is>
          <t>Monty</t>
        </is>
      </c>
      <c r="D312" s="18" t="inlineStr">
        <is>
          <t>Water</t>
        </is>
      </c>
      <c r="E312" s="18" t="n"/>
      <c r="F312" s="1" t="n"/>
      <c r="G312">
        <f>IF(OR(B312="",C312="",D312=""),"",B312+ROW()/10000000)</f>
        <v/>
      </c>
      <c r="H312">
        <f>IF(G312="","",IF(COUNTIFS('Care log'!$C$6:$C$1505,C312,'Care log'!$D$6:$D$1505,D312,'Care log'!$G$6:$G$1505,"&gt;"&amp;G312)=0,1,0))</f>
        <v/>
      </c>
    </row>
    <row r="313">
      <c r="A313" s="1" t="n"/>
      <c r="B313" s="20" t="n">
        <v>46290</v>
      </c>
      <c r="C313" s="17" t="inlineStr">
        <is>
          <t>Basil</t>
        </is>
      </c>
      <c r="D313" s="18" t="inlineStr">
        <is>
          <t>Water</t>
        </is>
      </c>
      <c r="E313" s="18" t="n"/>
      <c r="F313" s="1" t="n"/>
      <c r="G313">
        <f>IF(OR(B313="",C313="",D313=""),"",B313+ROW()/10000000)</f>
        <v/>
      </c>
      <c r="H313">
        <f>IF(G313="","",IF(COUNTIFS('Care log'!$C$6:$C$1505,C313,'Care log'!$D$6:$D$1505,D313,'Care log'!$G$6:$G$1505,"&gt;"&amp;G313)=0,1,0))</f>
        <v/>
      </c>
    </row>
    <row r="314">
      <c r="A314" s="1" t="n"/>
      <c r="B314" s="20" t="n">
        <v>46290</v>
      </c>
      <c r="C314" s="17" t="inlineStr">
        <is>
          <t>Fern</t>
        </is>
      </c>
      <c r="D314" s="18" t="inlineStr">
        <is>
          <t>Water</t>
        </is>
      </c>
      <c r="E314" s="18" t="n"/>
      <c r="F314" s="1" t="n"/>
      <c r="G314">
        <f>IF(OR(B314="",C314="",D314=""),"",B314+ROW()/10000000)</f>
        <v/>
      </c>
      <c r="H314">
        <f>IF(G314="","",IF(COUNTIFS('Care log'!$C$6:$C$1505,C314,'Care log'!$D$6:$D$1505,D314,'Care log'!$G$6:$G$1505,"&gt;"&amp;G314)=0,1,0))</f>
        <v/>
      </c>
    </row>
    <row r="315">
      <c r="A315" s="1" t="n"/>
      <c r="B315" s="20" t="n">
        <v>46290</v>
      </c>
      <c r="C315" s="17" t="inlineStr">
        <is>
          <t>Lily</t>
        </is>
      </c>
      <c r="D315" s="18" t="inlineStr">
        <is>
          <t>Water</t>
        </is>
      </c>
      <c r="E315" s="18" t="n"/>
      <c r="F315" s="1" t="n"/>
      <c r="G315">
        <f>IF(OR(B315="",C315="",D315=""),"",B315+ROW()/10000000)</f>
        <v/>
      </c>
      <c r="H315">
        <f>IF(G315="","",IF(COUNTIFS('Care log'!$C$6:$C$1505,C315,'Care log'!$D$6:$D$1505,D315,'Care log'!$G$6:$G$1505,"&gt;"&amp;G315)=0,1,0))</f>
        <v/>
      </c>
    </row>
    <row r="316">
      <c r="A316" s="1" t="n"/>
      <c r="B316" s="20" t="n">
        <v>46290</v>
      </c>
      <c r="C316" s="17" t="inlineStr">
        <is>
          <t>Vera</t>
        </is>
      </c>
      <c r="D316" s="18" t="inlineStr">
        <is>
          <t>Water</t>
        </is>
      </c>
      <c r="E316" s="18" t="n"/>
      <c r="F316" s="1" t="n"/>
      <c r="G316">
        <f>IF(OR(B316="",C316="",D316=""),"",B316+ROW()/10000000)</f>
        <v/>
      </c>
      <c r="H316">
        <f>IF(G316="","",IF(COUNTIFS('Care log'!$C$6:$C$1505,C316,'Care log'!$D$6:$D$1505,D316,'Care log'!$G$6:$G$1505,"&gt;"&amp;G316)=0,1,0))</f>
        <v/>
      </c>
    </row>
    <row r="317">
      <c r="A317" s="1" t="n"/>
      <c r="B317" s="20" t="n">
        <v>46291</v>
      </c>
      <c r="C317" s="17" t="inlineStr">
        <is>
          <t>Ruby</t>
        </is>
      </c>
      <c r="D317" s="18" t="inlineStr">
        <is>
          <t>Water</t>
        </is>
      </c>
      <c r="E317" s="18" t="n"/>
      <c r="F317" s="1" t="n"/>
      <c r="G317">
        <f>IF(OR(B317="",C317="",D317=""),"",B317+ROW()/10000000)</f>
        <v/>
      </c>
      <c r="H317">
        <f>IF(G317="","",IF(COUNTIFS('Care log'!$C$6:$C$1505,C317,'Care log'!$D$6:$D$1505,D317,'Care log'!$G$6:$G$1505,"&gt;"&amp;G317)=0,1,0))</f>
        <v/>
      </c>
    </row>
    <row r="318">
      <c r="A318" s="1" t="n"/>
      <c r="B318" s="20" t="n">
        <v>46292</v>
      </c>
      <c r="C318" s="17" t="inlineStr">
        <is>
          <t>Spidey</t>
        </is>
      </c>
      <c r="D318" s="18" t="inlineStr">
        <is>
          <t>Water</t>
        </is>
      </c>
      <c r="E318" s="18" t="n"/>
      <c r="F318" s="1" t="n"/>
      <c r="G318">
        <f>IF(OR(B318="",C318="",D318=""),"",B318+ROW()/10000000)</f>
        <v/>
      </c>
      <c r="H318">
        <f>IF(G318="","",IF(COUNTIFS('Care log'!$C$6:$C$1505,C318,'Care log'!$D$6:$D$1505,D318,'Care log'!$G$6:$G$1505,"&gt;"&amp;G318)=0,1,0))</f>
        <v/>
      </c>
    </row>
    <row r="319">
      <c r="A319" s="1" t="n"/>
      <c r="B319" s="20" t="n"/>
      <c r="C319" s="17" t="n"/>
      <c r="D319" s="18" t="n"/>
      <c r="E319" s="18" t="n"/>
      <c r="F319" s="1" t="n"/>
      <c r="G319">
        <f>IF(OR(B319="",C319="",D319=""),"",B319+ROW()/10000000)</f>
        <v/>
      </c>
      <c r="H319">
        <f>IF(G319="","",IF(COUNTIFS('Care log'!$C$6:$C$1505,C319,'Care log'!$D$6:$D$1505,D319,'Care log'!$G$6:$G$1505,"&gt;"&amp;G319)=0,1,0))</f>
        <v/>
      </c>
    </row>
    <row r="320">
      <c r="A320" s="1" t="n"/>
      <c r="B320" s="20" t="n"/>
      <c r="C320" s="17" t="n"/>
      <c r="D320" s="18" t="n"/>
      <c r="E320" s="18" t="n"/>
      <c r="F320" s="1" t="n"/>
      <c r="G320">
        <f>IF(OR(B320="",C320="",D320=""),"",B320+ROW()/10000000)</f>
        <v/>
      </c>
      <c r="H320">
        <f>IF(G320="","",IF(COUNTIFS('Care log'!$C$6:$C$1505,C320,'Care log'!$D$6:$D$1505,D320,'Care log'!$G$6:$G$1505,"&gt;"&amp;G320)=0,1,0))</f>
        <v/>
      </c>
    </row>
    <row r="321">
      <c r="A321" s="1" t="n"/>
      <c r="B321" s="20" t="n"/>
      <c r="C321" s="17" t="n"/>
      <c r="D321" s="18" t="n"/>
      <c r="E321" s="18" t="n"/>
      <c r="F321" s="1" t="n"/>
      <c r="G321">
        <f>IF(OR(B321="",C321="",D321=""),"",B321+ROW()/10000000)</f>
        <v/>
      </c>
      <c r="H321">
        <f>IF(G321="","",IF(COUNTIFS('Care log'!$C$6:$C$1505,C321,'Care log'!$D$6:$D$1505,D321,'Care log'!$G$6:$G$1505,"&gt;"&amp;G321)=0,1,0))</f>
        <v/>
      </c>
    </row>
    <row r="322">
      <c r="A322" s="1" t="n"/>
      <c r="B322" s="20" t="n"/>
      <c r="C322" s="17" t="n"/>
      <c r="D322" s="18" t="n"/>
      <c r="E322" s="18" t="n"/>
      <c r="F322" s="1" t="n"/>
      <c r="G322">
        <f>IF(OR(B322="",C322="",D322=""),"",B322+ROW()/10000000)</f>
        <v/>
      </c>
      <c r="H322">
        <f>IF(G322="","",IF(COUNTIFS('Care log'!$C$6:$C$1505,C322,'Care log'!$D$6:$D$1505,D322,'Care log'!$G$6:$G$1505,"&gt;"&amp;G322)=0,1,0))</f>
        <v/>
      </c>
    </row>
    <row r="323">
      <c r="A323" s="1" t="n"/>
      <c r="B323" s="20" t="n"/>
      <c r="C323" s="17" t="n"/>
      <c r="D323" s="18" t="n"/>
      <c r="E323" s="18" t="n"/>
      <c r="F323" s="1" t="n"/>
      <c r="G323">
        <f>IF(OR(B323="",C323="",D323=""),"",B323+ROW()/10000000)</f>
        <v/>
      </c>
      <c r="H323">
        <f>IF(G323="","",IF(COUNTIFS('Care log'!$C$6:$C$1505,C323,'Care log'!$D$6:$D$1505,D323,'Care log'!$G$6:$G$1505,"&gt;"&amp;G323)=0,1,0))</f>
        <v/>
      </c>
    </row>
    <row r="324">
      <c r="A324" s="1" t="n"/>
      <c r="B324" s="20" t="n"/>
      <c r="C324" s="17" t="n"/>
      <c r="D324" s="18" t="n"/>
      <c r="E324" s="18" t="n"/>
      <c r="F324" s="1" t="n"/>
      <c r="G324">
        <f>IF(OR(B324="",C324="",D324=""),"",B324+ROW()/10000000)</f>
        <v/>
      </c>
      <c r="H324">
        <f>IF(G324="","",IF(COUNTIFS('Care log'!$C$6:$C$1505,C324,'Care log'!$D$6:$D$1505,D324,'Care log'!$G$6:$G$1505,"&gt;"&amp;G324)=0,1,0))</f>
        <v/>
      </c>
    </row>
    <row r="325">
      <c r="A325" s="1" t="n"/>
      <c r="B325" s="20" t="n"/>
      <c r="C325" s="17" t="n"/>
      <c r="D325" s="18" t="n"/>
      <c r="E325" s="18" t="n"/>
      <c r="F325" s="1" t="n"/>
      <c r="G325">
        <f>IF(OR(B325="",C325="",D325=""),"",B325+ROW()/10000000)</f>
        <v/>
      </c>
      <c r="H325">
        <f>IF(G325="","",IF(COUNTIFS('Care log'!$C$6:$C$1505,C325,'Care log'!$D$6:$D$1505,D325,'Care log'!$G$6:$G$1505,"&gt;"&amp;G325)=0,1,0))</f>
        <v/>
      </c>
    </row>
    <row r="326">
      <c r="A326" s="1" t="n"/>
      <c r="B326" s="20" t="n"/>
      <c r="C326" s="17" t="n"/>
      <c r="D326" s="18" t="n"/>
      <c r="E326" s="18" t="n"/>
      <c r="F326" s="1" t="n"/>
      <c r="G326">
        <f>IF(OR(B326="",C326="",D326=""),"",B326+ROW()/10000000)</f>
        <v/>
      </c>
      <c r="H326">
        <f>IF(G326="","",IF(COUNTIFS('Care log'!$C$6:$C$1505,C326,'Care log'!$D$6:$D$1505,D326,'Care log'!$G$6:$G$1505,"&gt;"&amp;G326)=0,1,0))</f>
        <v/>
      </c>
    </row>
    <row r="327">
      <c r="A327" s="1" t="n"/>
      <c r="B327" s="20" t="n"/>
      <c r="C327" s="17" t="n"/>
      <c r="D327" s="18" t="n"/>
      <c r="E327" s="18" t="n"/>
      <c r="F327" s="1" t="n"/>
      <c r="G327">
        <f>IF(OR(B327="",C327="",D327=""),"",B327+ROW()/10000000)</f>
        <v/>
      </c>
      <c r="H327">
        <f>IF(G327="","",IF(COUNTIFS('Care log'!$C$6:$C$1505,C327,'Care log'!$D$6:$D$1505,D327,'Care log'!$G$6:$G$1505,"&gt;"&amp;G327)=0,1,0))</f>
        <v/>
      </c>
    </row>
    <row r="328">
      <c r="A328" s="1" t="n"/>
      <c r="B328" s="20" t="n"/>
      <c r="C328" s="17" t="n"/>
      <c r="D328" s="18" t="n"/>
      <c r="E328" s="18" t="n"/>
      <c r="F328" s="1" t="n"/>
      <c r="G328">
        <f>IF(OR(B328="",C328="",D328=""),"",B328+ROW()/10000000)</f>
        <v/>
      </c>
      <c r="H328">
        <f>IF(G328="","",IF(COUNTIFS('Care log'!$C$6:$C$1505,C328,'Care log'!$D$6:$D$1505,D328,'Care log'!$G$6:$G$1505,"&gt;"&amp;G328)=0,1,0))</f>
        <v/>
      </c>
    </row>
    <row r="329">
      <c r="A329" s="1" t="n"/>
      <c r="B329" s="20" t="n"/>
      <c r="C329" s="17" t="n"/>
      <c r="D329" s="18" t="n"/>
      <c r="E329" s="18" t="n"/>
      <c r="F329" s="1" t="n"/>
      <c r="G329">
        <f>IF(OR(B329="",C329="",D329=""),"",B329+ROW()/10000000)</f>
        <v/>
      </c>
      <c r="H329">
        <f>IF(G329="","",IF(COUNTIFS('Care log'!$C$6:$C$1505,C329,'Care log'!$D$6:$D$1505,D329,'Care log'!$G$6:$G$1505,"&gt;"&amp;G329)=0,1,0))</f>
        <v/>
      </c>
    </row>
    <row r="330">
      <c r="A330" s="1" t="n"/>
      <c r="B330" s="20" t="n"/>
      <c r="C330" s="17" t="n"/>
      <c r="D330" s="18" t="n"/>
      <c r="E330" s="18" t="n"/>
      <c r="F330" s="1" t="n"/>
      <c r="G330">
        <f>IF(OR(B330="",C330="",D330=""),"",B330+ROW()/10000000)</f>
        <v/>
      </c>
      <c r="H330">
        <f>IF(G330="","",IF(COUNTIFS('Care log'!$C$6:$C$1505,C330,'Care log'!$D$6:$D$1505,D330,'Care log'!$G$6:$G$1505,"&gt;"&amp;G330)=0,1,0))</f>
        <v/>
      </c>
    </row>
    <row r="331">
      <c r="A331" s="1" t="n"/>
      <c r="B331" s="20" t="n"/>
      <c r="C331" s="17" t="n"/>
      <c r="D331" s="18" t="n"/>
      <c r="E331" s="18" t="n"/>
      <c r="F331" s="1" t="n"/>
      <c r="G331">
        <f>IF(OR(B331="",C331="",D331=""),"",B331+ROW()/10000000)</f>
        <v/>
      </c>
      <c r="H331">
        <f>IF(G331="","",IF(COUNTIFS('Care log'!$C$6:$C$1505,C331,'Care log'!$D$6:$D$1505,D331,'Care log'!$G$6:$G$1505,"&gt;"&amp;G331)=0,1,0))</f>
        <v/>
      </c>
    </row>
    <row r="332">
      <c r="A332" s="1" t="n"/>
      <c r="B332" s="20" t="n"/>
      <c r="C332" s="17" t="n"/>
      <c r="D332" s="18" t="n"/>
      <c r="E332" s="18" t="n"/>
      <c r="F332" s="1" t="n"/>
      <c r="G332">
        <f>IF(OR(B332="",C332="",D332=""),"",B332+ROW()/10000000)</f>
        <v/>
      </c>
      <c r="H332">
        <f>IF(G332="","",IF(COUNTIFS('Care log'!$C$6:$C$1505,C332,'Care log'!$D$6:$D$1505,D332,'Care log'!$G$6:$G$1505,"&gt;"&amp;G332)=0,1,0))</f>
        <v/>
      </c>
    </row>
    <row r="333">
      <c r="A333" s="1" t="n"/>
      <c r="B333" s="20" t="n"/>
      <c r="C333" s="17" t="n"/>
      <c r="D333" s="18" t="n"/>
      <c r="E333" s="18" t="n"/>
      <c r="F333" s="1" t="n"/>
      <c r="G333">
        <f>IF(OR(B333="",C333="",D333=""),"",B333+ROW()/10000000)</f>
        <v/>
      </c>
      <c r="H333">
        <f>IF(G333="","",IF(COUNTIFS('Care log'!$C$6:$C$1505,C333,'Care log'!$D$6:$D$1505,D333,'Care log'!$G$6:$G$1505,"&gt;"&amp;G333)=0,1,0))</f>
        <v/>
      </c>
    </row>
    <row r="334">
      <c r="A334" s="1" t="n"/>
      <c r="B334" s="20" t="n"/>
      <c r="C334" s="17" t="n"/>
      <c r="D334" s="18" t="n"/>
      <c r="E334" s="18" t="n"/>
      <c r="F334" s="1" t="n"/>
      <c r="G334">
        <f>IF(OR(B334="",C334="",D334=""),"",B334+ROW()/10000000)</f>
        <v/>
      </c>
      <c r="H334">
        <f>IF(G334="","",IF(COUNTIFS('Care log'!$C$6:$C$1505,C334,'Care log'!$D$6:$D$1505,D334,'Care log'!$G$6:$G$1505,"&gt;"&amp;G334)=0,1,0))</f>
        <v/>
      </c>
    </row>
    <row r="335">
      <c r="A335" s="1" t="n"/>
      <c r="B335" s="20" t="n"/>
      <c r="C335" s="17" t="n"/>
      <c r="D335" s="18" t="n"/>
      <c r="E335" s="18" t="n"/>
      <c r="F335" s="1" t="n"/>
      <c r="G335">
        <f>IF(OR(B335="",C335="",D335=""),"",B335+ROW()/10000000)</f>
        <v/>
      </c>
      <c r="H335">
        <f>IF(G335="","",IF(COUNTIFS('Care log'!$C$6:$C$1505,C335,'Care log'!$D$6:$D$1505,D335,'Care log'!$G$6:$G$1505,"&gt;"&amp;G335)=0,1,0))</f>
        <v/>
      </c>
    </row>
    <row r="336">
      <c r="A336" s="1" t="n"/>
      <c r="B336" s="20" t="n"/>
      <c r="C336" s="17" t="n"/>
      <c r="D336" s="18" t="n"/>
      <c r="E336" s="18" t="n"/>
      <c r="F336" s="1" t="n"/>
      <c r="G336">
        <f>IF(OR(B336="",C336="",D336=""),"",B336+ROW()/10000000)</f>
        <v/>
      </c>
      <c r="H336">
        <f>IF(G336="","",IF(COUNTIFS('Care log'!$C$6:$C$1505,C336,'Care log'!$D$6:$D$1505,D336,'Care log'!$G$6:$G$1505,"&gt;"&amp;G336)=0,1,0))</f>
        <v/>
      </c>
    </row>
    <row r="337">
      <c r="A337" s="1" t="n"/>
      <c r="B337" s="20" t="n"/>
      <c r="C337" s="17" t="n"/>
      <c r="D337" s="18" t="n"/>
      <c r="E337" s="18" t="n"/>
      <c r="F337" s="1" t="n"/>
      <c r="G337">
        <f>IF(OR(B337="",C337="",D337=""),"",B337+ROW()/10000000)</f>
        <v/>
      </c>
      <c r="H337">
        <f>IF(G337="","",IF(COUNTIFS('Care log'!$C$6:$C$1505,C337,'Care log'!$D$6:$D$1505,D337,'Care log'!$G$6:$G$1505,"&gt;"&amp;G337)=0,1,0))</f>
        <v/>
      </c>
    </row>
    <row r="338">
      <c r="A338" s="1" t="n"/>
      <c r="B338" s="20" t="n"/>
      <c r="C338" s="17" t="n"/>
      <c r="D338" s="18" t="n"/>
      <c r="E338" s="18" t="n"/>
      <c r="F338" s="1" t="n"/>
      <c r="G338">
        <f>IF(OR(B338="",C338="",D338=""),"",B338+ROW()/10000000)</f>
        <v/>
      </c>
      <c r="H338">
        <f>IF(G338="","",IF(COUNTIFS('Care log'!$C$6:$C$1505,C338,'Care log'!$D$6:$D$1505,D338,'Care log'!$G$6:$G$1505,"&gt;"&amp;G338)=0,1,0))</f>
        <v/>
      </c>
    </row>
    <row r="339">
      <c r="A339" s="1" t="n"/>
      <c r="B339" s="20" t="n"/>
      <c r="C339" s="17" t="n"/>
      <c r="D339" s="18" t="n"/>
      <c r="E339" s="18" t="n"/>
      <c r="F339" s="1" t="n"/>
      <c r="G339">
        <f>IF(OR(B339="",C339="",D339=""),"",B339+ROW()/10000000)</f>
        <v/>
      </c>
      <c r="H339">
        <f>IF(G339="","",IF(COUNTIFS('Care log'!$C$6:$C$1505,C339,'Care log'!$D$6:$D$1505,D339,'Care log'!$G$6:$G$1505,"&gt;"&amp;G339)=0,1,0))</f>
        <v/>
      </c>
    </row>
    <row r="340">
      <c r="A340" s="1" t="n"/>
      <c r="B340" s="20" t="n"/>
      <c r="C340" s="17" t="n"/>
      <c r="D340" s="18" t="n"/>
      <c r="E340" s="18" t="n"/>
      <c r="F340" s="1" t="n"/>
      <c r="G340">
        <f>IF(OR(B340="",C340="",D340=""),"",B340+ROW()/10000000)</f>
        <v/>
      </c>
      <c r="H340">
        <f>IF(G340="","",IF(COUNTIFS('Care log'!$C$6:$C$1505,C340,'Care log'!$D$6:$D$1505,D340,'Care log'!$G$6:$G$1505,"&gt;"&amp;G340)=0,1,0))</f>
        <v/>
      </c>
    </row>
    <row r="341">
      <c r="A341" s="1" t="n"/>
      <c r="B341" s="20" t="n"/>
      <c r="C341" s="17" t="n"/>
      <c r="D341" s="18" t="n"/>
      <c r="E341" s="18" t="n"/>
      <c r="F341" s="1" t="n"/>
      <c r="G341">
        <f>IF(OR(B341="",C341="",D341=""),"",B341+ROW()/10000000)</f>
        <v/>
      </c>
      <c r="H341">
        <f>IF(G341="","",IF(COUNTIFS('Care log'!$C$6:$C$1505,C341,'Care log'!$D$6:$D$1505,D341,'Care log'!$G$6:$G$1505,"&gt;"&amp;G341)=0,1,0))</f>
        <v/>
      </c>
    </row>
    <row r="342">
      <c r="A342" s="1" t="n"/>
      <c r="B342" s="20" t="n"/>
      <c r="C342" s="17" t="n"/>
      <c r="D342" s="18" t="n"/>
      <c r="E342" s="18" t="n"/>
      <c r="F342" s="1" t="n"/>
      <c r="G342">
        <f>IF(OR(B342="",C342="",D342=""),"",B342+ROW()/10000000)</f>
        <v/>
      </c>
      <c r="H342">
        <f>IF(G342="","",IF(COUNTIFS('Care log'!$C$6:$C$1505,C342,'Care log'!$D$6:$D$1505,D342,'Care log'!$G$6:$G$1505,"&gt;"&amp;G342)=0,1,0))</f>
        <v/>
      </c>
    </row>
    <row r="343">
      <c r="A343" s="1" t="n"/>
      <c r="B343" s="20" t="n"/>
      <c r="C343" s="17" t="n"/>
      <c r="D343" s="18" t="n"/>
      <c r="E343" s="18" t="n"/>
      <c r="F343" s="1" t="n"/>
      <c r="G343">
        <f>IF(OR(B343="",C343="",D343=""),"",B343+ROW()/10000000)</f>
        <v/>
      </c>
      <c r="H343">
        <f>IF(G343="","",IF(COUNTIFS('Care log'!$C$6:$C$1505,C343,'Care log'!$D$6:$D$1505,D343,'Care log'!$G$6:$G$1505,"&gt;"&amp;G343)=0,1,0))</f>
        <v/>
      </c>
    </row>
    <row r="344">
      <c r="A344" s="1" t="n"/>
      <c r="B344" s="20" t="n"/>
      <c r="C344" s="17" t="n"/>
      <c r="D344" s="18" t="n"/>
      <c r="E344" s="18" t="n"/>
      <c r="F344" s="1" t="n"/>
      <c r="G344">
        <f>IF(OR(B344="",C344="",D344=""),"",B344+ROW()/10000000)</f>
        <v/>
      </c>
      <c r="H344">
        <f>IF(G344="","",IF(COUNTIFS('Care log'!$C$6:$C$1505,C344,'Care log'!$D$6:$D$1505,D344,'Care log'!$G$6:$G$1505,"&gt;"&amp;G344)=0,1,0))</f>
        <v/>
      </c>
    </row>
    <row r="345">
      <c r="A345" s="1" t="n"/>
      <c r="B345" s="20" t="n"/>
      <c r="C345" s="17" t="n"/>
      <c r="D345" s="18" t="n"/>
      <c r="E345" s="18" t="n"/>
      <c r="F345" s="1" t="n"/>
      <c r="G345">
        <f>IF(OR(B345="",C345="",D345=""),"",B345+ROW()/10000000)</f>
        <v/>
      </c>
      <c r="H345">
        <f>IF(G345="","",IF(COUNTIFS('Care log'!$C$6:$C$1505,C345,'Care log'!$D$6:$D$1505,D345,'Care log'!$G$6:$G$1505,"&gt;"&amp;G345)=0,1,0))</f>
        <v/>
      </c>
    </row>
    <row r="346">
      <c r="A346" s="1" t="n"/>
      <c r="B346" s="20" t="n"/>
      <c r="C346" s="17" t="n"/>
      <c r="D346" s="18" t="n"/>
      <c r="E346" s="18" t="n"/>
      <c r="F346" s="1" t="n"/>
      <c r="G346">
        <f>IF(OR(B346="",C346="",D346=""),"",B346+ROW()/10000000)</f>
        <v/>
      </c>
      <c r="H346">
        <f>IF(G346="","",IF(COUNTIFS('Care log'!$C$6:$C$1505,C346,'Care log'!$D$6:$D$1505,D346,'Care log'!$G$6:$G$1505,"&gt;"&amp;G346)=0,1,0))</f>
        <v/>
      </c>
    </row>
    <row r="347">
      <c r="A347" s="1" t="n"/>
      <c r="B347" s="20" t="n"/>
      <c r="C347" s="17" t="n"/>
      <c r="D347" s="18" t="n"/>
      <c r="E347" s="18" t="n"/>
      <c r="F347" s="1" t="n"/>
      <c r="G347">
        <f>IF(OR(B347="",C347="",D347=""),"",B347+ROW()/10000000)</f>
        <v/>
      </c>
      <c r="H347">
        <f>IF(G347="","",IF(COUNTIFS('Care log'!$C$6:$C$1505,C347,'Care log'!$D$6:$D$1505,D347,'Care log'!$G$6:$G$1505,"&gt;"&amp;G347)=0,1,0))</f>
        <v/>
      </c>
    </row>
    <row r="348">
      <c r="A348" s="1" t="n"/>
      <c r="B348" s="20" t="n"/>
      <c r="C348" s="17" t="n"/>
      <c r="D348" s="18" t="n"/>
      <c r="E348" s="18" t="n"/>
      <c r="F348" s="1" t="n"/>
      <c r="G348">
        <f>IF(OR(B348="",C348="",D348=""),"",B348+ROW()/10000000)</f>
        <v/>
      </c>
      <c r="H348">
        <f>IF(G348="","",IF(COUNTIFS('Care log'!$C$6:$C$1505,C348,'Care log'!$D$6:$D$1505,D348,'Care log'!$G$6:$G$1505,"&gt;"&amp;G348)=0,1,0))</f>
        <v/>
      </c>
    </row>
    <row r="349">
      <c r="A349" s="1" t="n"/>
      <c r="B349" s="20" t="n"/>
      <c r="C349" s="17" t="n"/>
      <c r="D349" s="18" t="n"/>
      <c r="E349" s="18" t="n"/>
      <c r="F349" s="1" t="n"/>
      <c r="G349">
        <f>IF(OR(B349="",C349="",D349=""),"",B349+ROW()/10000000)</f>
        <v/>
      </c>
      <c r="H349">
        <f>IF(G349="","",IF(COUNTIFS('Care log'!$C$6:$C$1505,C349,'Care log'!$D$6:$D$1505,D349,'Care log'!$G$6:$G$1505,"&gt;"&amp;G349)=0,1,0))</f>
        <v/>
      </c>
    </row>
    <row r="350">
      <c r="A350" s="1" t="n"/>
      <c r="B350" s="20" t="n"/>
      <c r="C350" s="17" t="n"/>
      <c r="D350" s="18" t="n"/>
      <c r="E350" s="18" t="n"/>
      <c r="F350" s="1" t="n"/>
      <c r="G350">
        <f>IF(OR(B350="",C350="",D350=""),"",B350+ROW()/10000000)</f>
        <v/>
      </c>
      <c r="H350">
        <f>IF(G350="","",IF(COUNTIFS('Care log'!$C$6:$C$1505,C350,'Care log'!$D$6:$D$1505,D350,'Care log'!$G$6:$G$1505,"&gt;"&amp;G350)=0,1,0))</f>
        <v/>
      </c>
    </row>
    <row r="351">
      <c r="A351" s="1" t="n"/>
      <c r="B351" s="20" t="n"/>
      <c r="C351" s="17" t="n"/>
      <c r="D351" s="18" t="n"/>
      <c r="E351" s="18" t="n"/>
      <c r="F351" s="1" t="n"/>
      <c r="G351">
        <f>IF(OR(B351="",C351="",D351=""),"",B351+ROW()/10000000)</f>
        <v/>
      </c>
      <c r="H351">
        <f>IF(G351="","",IF(COUNTIFS('Care log'!$C$6:$C$1505,C351,'Care log'!$D$6:$D$1505,D351,'Care log'!$G$6:$G$1505,"&gt;"&amp;G351)=0,1,0))</f>
        <v/>
      </c>
    </row>
    <row r="352">
      <c r="A352" s="1" t="n"/>
      <c r="B352" s="20" t="n"/>
      <c r="C352" s="17" t="n"/>
      <c r="D352" s="18" t="n"/>
      <c r="E352" s="18" t="n"/>
      <c r="F352" s="1" t="n"/>
      <c r="G352">
        <f>IF(OR(B352="",C352="",D352=""),"",B352+ROW()/10000000)</f>
        <v/>
      </c>
      <c r="H352">
        <f>IF(G352="","",IF(COUNTIFS('Care log'!$C$6:$C$1505,C352,'Care log'!$D$6:$D$1505,D352,'Care log'!$G$6:$G$1505,"&gt;"&amp;G352)=0,1,0))</f>
        <v/>
      </c>
    </row>
    <row r="353">
      <c r="A353" s="1" t="n"/>
      <c r="B353" s="20" t="n"/>
      <c r="C353" s="17" t="n"/>
      <c r="D353" s="18" t="n"/>
      <c r="E353" s="18" t="n"/>
      <c r="F353" s="1" t="n"/>
      <c r="G353">
        <f>IF(OR(B353="",C353="",D353=""),"",B353+ROW()/10000000)</f>
        <v/>
      </c>
      <c r="H353">
        <f>IF(G353="","",IF(COUNTIFS('Care log'!$C$6:$C$1505,C353,'Care log'!$D$6:$D$1505,D353,'Care log'!$G$6:$G$1505,"&gt;"&amp;G353)=0,1,0))</f>
        <v/>
      </c>
    </row>
    <row r="354">
      <c r="A354" s="1" t="n"/>
      <c r="B354" s="20" t="n"/>
      <c r="C354" s="17" t="n"/>
      <c r="D354" s="18" t="n"/>
      <c r="E354" s="18" t="n"/>
      <c r="F354" s="1" t="n"/>
      <c r="G354">
        <f>IF(OR(B354="",C354="",D354=""),"",B354+ROW()/10000000)</f>
        <v/>
      </c>
      <c r="H354">
        <f>IF(G354="","",IF(COUNTIFS('Care log'!$C$6:$C$1505,C354,'Care log'!$D$6:$D$1505,D354,'Care log'!$G$6:$G$1505,"&gt;"&amp;G354)=0,1,0))</f>
        <v/>
      </c>
    </row>
    <row r="355">
      <c r="A355" s="1" t="n"/>
      <c r="B355" s="20" t="n"/>
      <c r="C355" s="17" t="n"/>
      <c r="D355" s="18" t="n"/>
      <c r="E355" s="18" t="n"/>
      <c r="F355" s="1" t="n"/>
      <c r="G355">
        <f>IF(OR(B355="",C355="",D355=""),"",B355+ROW()/10000000)</f>
        <v/>
      </c>
      <c r="H355">
        <f>IF(G355="","",IF(COUNTIFS('Care log'!$C$6:$C$1505,C355,'Care log'!$D$6:$D$1505,D355,'Care log'!$G$6:$G$1505,"&gt;"&amp;G355)=0,1,0))</f>
        <v/>
      </c>
    </row>
    <row r="356">
      <c r="A356" s="1" t="n"/>
      <c r="B356" s="20" t="n"/>
      <c r="C356" s="17" t="n"/>
      <c r="D356" s="18" t="n"/>
      <c r="E356" s="18" t="n"/>
      <c r="F356" s="1" t="n"/>
      <c r="G356">
        <f>IF(OR(B356="",C356="",D356=""),"",B356+ROW()/10000000)</f>
        <v/>
      </c>
      <c r="H356">
        <f>IF(G356="","",IF(COUNTIFS('Care log'!$C$6:$C$1505,C356,'Care log'!$D$6:$D$1505,D356,'Care log'!$G$6:$G$1505,"&gt;"&amp;G356)=0,1,0))</f>
        <v/>
      </c>
    </row>
    <row r="357">
      <c r="A357" s="1" t="n"/>
      <c r="B357" s="20" t="n"/>
      <c r="C357" s="17" t="n"/>
      <c r="D357" s="18" t="n"/>
      <c r="E357" s="18" t="n"/>
      <c r="F357" s="1" t="n"/>
      <c r="G357">
        <f>IF(OR(B357="",C357="",D357=""),"",B357+ROW()/10000000)</f>
        <v/>
      </c>
      <c r="H357">
        <f>IF(G357="","",IF(COUNTIFS('Care log'!$C$6:$C$1505,C357,'Care log'!$D$6:$D$1505,D357,'Care log'!$G$6:$G$1505,"&gt;"&amp;G357)=0,1,0))</f>
        <v/>
      </c>
    </row>
    <row r="358">
      <c r="A358" s="1" t="n"/>
      <c r="B358" s="20" t="n"/>
      <c r="C358" s="17" t="n"/>
      <c r="D358" s="18" t="n"/>
      <c r="E358" s="18" t="n"/>
      <c r="F358" s="1" t="n"/>
      <c r="G358">
        <f>IF(OR(B358="",C358="",D358=""),"",B358+ROW()/10000000)</f>
        <v/>
      </c>
      <c r="H358">
        <f>IF(G358="","",IF(COUNTIFS('Care log'!$C$6:$C$1505,C358,'Care log'!$D$6:$D$1505,D358,'Care log'!$G$6:$G$1505,"&gt;"&amp;G358)=0,1,0))</f>
        <v/>
      </c>
    </row>
    <row r="359">
      <c r="A359" s="1" t="n"/>
      <c r="B359" s="20" t="n"/>
      <c r="C359" s="17" t="n"/>
      <c r="D359" s="18" t="n"/>
      <c r="E359" s="18" t="n"/>
      <c r="F359" s="1" t="n"/>
      <c r="G359">
        <f>IF(OR(B359="",C359="",D359=""),"",B359+ROW()/10000000)</f>
        <v/>
      </c>
      <c r="H359">
        <f>IF(G359="","",IF(COUNTIFS('Care log'!$C$6:$C$1505,C359,'Care log'!$D$6:$D$1505,D359,'Care log'!$G$6:$G$1505,"&gt;"&amp;G359)=0,1,0))</f>
        <v/>
      </c>
    </row>
    <row r="360">
      <c r="A360" s="1" t="n"/>
      <c r="B360" s="20" t="n"/>
      <c r="C360" s="17" t="n"/>
      <c r="D360" s="18" t="n"/>
      <c r="E360" s="18" t="n"/>
      <c r="F360" s="1" t="n"/>
      <c r="G360">
        <f>IF(OR(B360="",C360="",D360=""),"",B360+ROW()/10000000)</f>
        <v/>
      </c>
      <c r="H360">
        <f>IF(G360="","",IF(COUNTIFS('Care log'!$C$6:$C$1505,C360,'Care log'!$D$6:$D$1505,D360,'Care log'!$G$6:$G$1505,"&gt;"&amp;G360)=0,1,0))</f>
        <v/>
      </c>
    </row>
    <row r="361">
      <c r="A361" s="1" t="n"/>
      <c r="B361" s="20" t="n"/>
      <c r="C361" s="17" t="n"/>
      <c r="D361" s="18" t="n"/>
      <c r="E361" s="18" t="n"/>
      <c r="F361" s="1" t="n"/>
      <c r="G361">
        <f>IF(OR(B361="",C361="",D361=""),"",B361+ROW()/10000000)</f>
        <v/>
      </c>
      <c r="H361">
        <f>IF(G361="","",IF(COUNTIFS('Care log'!$C$6:$C$1505,C361,'Care log'!$D$6:$D$1505,D361,'Care log'!$G$6:$G$1505,"&gt;"&amp;G361)=0,1,0))</f>
        <v/>
      </c>
    </row>
    <row r="362">
      <c r="A362" s="1" t="n"/>
      <c r="B362" s="20" t="n"/>
      <c r="C362" s="17" t="n"/>
      <c r="D362" s="18" t="n"/>
      <c r="E362" s="18" t="n"/>
      <c r="F362" s="1" t="n"/>
      <c r="G362">
        <f>IF(OR(B362="",C362="",D362=""),"",B362+ROW()/10000000)</f>
        <v/>
      </c>
      <c r="H362">
        <f>IF(G362="","",IF(COUNTIFS('Care log'!$C$6:$C$1505,C362,'Care log'!$D$6:$D$1505,D362,'Care log'!$G$6:$G$1505,"&gt;"&amp;G362)=0,1,0))</f>
        <v/>
      </c>
    </row>
    <row r="363">
      <c r="A363" s="1" t="n"/>
      <c r="B363" s="20" t="n"/>
      <c r="C363" s="17" t="n"/>
      <c r="D363" s="18" t="n"/>
      <c r="E363" s="18" t="n"/>
      <c r="F363" s="1" t="n"/>
      <c r="G363">
        <f>IF(OR(B363="",C363="",D363=""),"",B363+ROW()/10000000)</f>
        <v/>
      </c>
      <c r="H363">
        <f>IF(G363="","",IF(COUNTIFS('Care log'!$C$6:$C$1505,C363,'Care log'!$D$6:$D$1505,D363,'Care log'!$G$6:$G$1505,"&gt;"&amp;G363)=0,1,0))</f>
        <v/>
      </c>
    </row>
    <row r="364">
      <c r="A364" s="1" t="n"/>
      <c r="B364" s="20" t="n"/>
      <c r="C364" s="17" t="n"/>
      <c r="D364" s="18" t="n"/>
      <c r="E364" s="18" t="n"/>
      <c r="F364" s="1" t="n"/>
      <c r="G364">
        <f>IF(OR(B364="",C364="",D364=""),"",B364+ROW()/10000000)</f>
        <v/>
      </c>
      <c r="H364">
        <f>IF(G364="","",IF(COUNTIFS('Care log'!$C$6:$C$1505,C364,'Care log'!$D$6:$D$1505,D364,'Care log'!$G$6:$G$1505,"&gt;"&amp;G364)=0,1,0))</f>
        <v/>
      </c>
    </row>
    <row r="365">
      <c r="A365" s="1" t="n"/>
      <c r="B365" s="20" t="n"/>
      <c r="C365" s="17" t="n"/>
      <c r="D365" s="18" t="n"/>
      <c r="E365" s="18" t="n"/>
      <c r="F365" s="1" t="n"/>
      <c r="G365">
        <f>IF(OR(B365="",C365="",D365=""),"",B365+ROW()/10000000)</f>
        <v/>
      </c>
      <c r="H365">
        <f>IF(G365="","",IF(COUNTIFS('Care log'!$C$6:$C$1505,C365,'Care log'!$D$6:$D$1505,D365,'Care log'!$G$6:$G$1505,"&gt;"&amp;G365)=0,1,0))</f>
        <v/>
      </c>
    </row>
    <row r="366">
      <c r="A366" s="1" t="n"/>
      <c r="B366" s="20" t="n"/>
      <c r="C366" s="17" t="n"/>
      <c r="D366" s="18" t="n"/>
      <c r="E366" s="18" t="n"/>
      <c r="F366" s="1" t="n"/>
      <c r="G366">
        <f>IF(OR(B366="",C366="",D366=""),"",B366+ROW()/10000000)</f>
        <v/>
      </c>
      <c r="H366">
        <f>IF(G366="","",IF(COUNTIFS('Care log'!$C$6:$C$1505,C366,'Care log'!$D$6:$D$1505,D366,'Care log'!$G$6:$G$1505,"&gt;"&amp;G366)=0,1,0))</f>
        <v/>
      </c>
    </row>
    <row r="367">
      <c r="A367" s="1" t="n"/>
      <c r="B367" s="20" t="n"/>
      <c r="C367" s="17" t="n"/>
      <c r="D367" s="18" t="n"/>
      <c r="E367" s="18" t="n"/>
      <c r="F367" s="1" t="n"/>
      <c r="G367">
        <f>IF(OR(B367="",C367="",D367=""),"",B367+ROW()/10000000)</f>
        <v/>
      </c>
      <c r="H367">
        <f>IF(G367="","",IF(COUNTIFS('Care log'!$C$6:$C$1505,C367,'Care log'!$D$6:$D$1505,D367,'Care log'!$G$6:$G$1505,"&gt;"&amp;G367)=0,1,0))</f>
        <v/>
      </c>
    </row>
    <row r="368">
      <c r="A368" s="1" t="n"/>
      <c r="B368" s="20" t="n"/>
      <c r="C368" s="17" t="n"/>
      <c r="D368" s="18" t="n"/>
      <c r="E368" s="18" t="n"/>
      <c r="F368" s="1" t="n"/>
      <c r="G368">
        <f>IF(OR(B368="",C368="",D368=""),"",B368+ROW()/10000000)</f>
        <v/>
      </c>
      <c r="H368">
        <f>IF(G368="","",IF(COUNTIFS('Care log'!$C$6:$C$1505,C368,'Care log'!$D$6:$D$1505,D368,'Care log'!$G$6:$G$1505,"&gt;"&amp;G368)=0,1,0))</f>
        <v/>
      </c>
    </row>
    <row r="369">
      <c r="A369" s="1" t="n"/>
      <c r="B369" s="20" t="n"/>
      <c r="C369" s="17" t="n"/>
      <c r="D369" s="18" t="n"/>
      <c r="E369" s="18" t="n"/>
      <c r="F369" s="1" t="n"/>
      <c r="G369">
        <f>IF(OR(B369="",C369="",D369=""),"",B369+ROW()/10000000)</f>
        <v/>
      </c>
      <c r="H369">
        <f>IF(G369="","",IF(COUNTIFS('Care log'!$C$6:$C$1505,C369,'Care log'!$D$6:$D$1505,D369,'Care log'!$G$6:$G$1505,"&gt;"&amp;G369)=0,1,0))</f>
        <v/>
      </c>
    </row>
    <row r="370">
      <c r="A370" s="1" t="n"/>
      <c r="B370" s="20" t="n"/>
      <c r="C370" s="17" t="n"/>
      <c r="D370" s="18" t="n"/>
      <c r="E370" s="18" t="n"/>
      <c r="F370" s="1" t="n"/>
      <c r="G370">
        <f>IF(OR(B370="",C370="",D370=""),"",B370+ROW()/10000000)</f>
        <v/>
      </c>
      <c r="H370">
        <f>IF(G370="","",IF(COUNTIFS('Care log'!$C$6:$C$1505,C370,'Care log'!$D$6:$D$1505,D370,'Care log'!$G$6:$G$1505,"&gt;"&amp;G370)=0,1,0))</f>
        <v/>
      </c>
    </row>
    <row r="371">
      <c r="A371" s="1" t="n"/>
      <c r="B371" s="20" t="n"/>
      <c r="C371" s="17" t="n"/>
      <c r="D371" s="18" t="n"/>
      <c r="E371" s="18" t="n"/>
      <c r="F371" s="1" t="n"/>
      <c r="G371">
        <f>IF(OR(B371="",C371="",D371=""),"",B371+ROW()/10000000)</f>
        <v/>
      </c>
      <c r="H371">
        <f>IF(G371="","",IF(COUNTIFS('Care log'!$C$6:$C$1505,C371,'Care log'!$D$6:$D$1505,D371,'Care log'!$G$6:$G$1505,"&gt;"&amp;G371)=0,1,0))</f>
        <v/>
      </c>
    </row>
    <row r="372">
      <c r="A372" s="1" t="n"/>
      <c r="B372" s="20" t="n"/>
      <c r="C372" s="17" t="n"/>
      <c r="D372" s="18" t="n"/>
      <c r="E372" s="18" t="n"/>
      <c r="F372" s="1" t="n"/>
      <c r="G372">
        <f>IF(OR(B372="",C372="",D372=""),"",B372+ROW()/10000000)</f>
        <v/>
      </c>
      <c r="H372">
        <f>IF(G372="","",IF(COUNTIFS('Care log'!$C$6:$C$1505,C372,'Care log'!$D$6:$D$1505,D372,'Care log'!$G$6:$G$1505,"&gt;"&amp;G372)=0,1,0))</f>
        <v/>
      </c>
    </row>
    <row r="373">
      <c r="A373" s="1" t="n"/>
      <c r="B373" s="20" t="n"/>
      <c r="C373" s="17" t="n"/>
      <c r="D373" s="18" t="n"/>
      <c r="E373" s="18" t="n"/>
      <c r="F373" s="1" t="n"/>
      <c r="G373">
        <f>IF(OR(B373="",C373="",D373=""),"",B373+ROW()/10000000)</f>
        <v/>
      </c>
      <c r="H373">
        <f>IF(G373="","",IF(COUNTIFS('Care log'!$C$6:$C$1505,C373,'Care log'!$D$6:$D$1505,D373,'Care log'!$G$6:$G$1505,"&gt;"&amp;G373)=0,1,0))</f>
        <v/>
      </c>
    </row>
    <row r="374">
      <c r="A374" s="1" t="n"/>
      <c r="B374" s="20" t="n"/>
      <c r="C374" s="17" t="n"/>
      <c r="D374" s="18" t="n"/>
      <c r="E374" s="18" t="n"/>
      <c r="F374" s="1" t="n"/>
      <c r="G374">
        <f>IF(OR(B374="",C374="",D374=""),"",B374+ROW()/10000000)</f>
        <v/>
      </c>
      <c r="H374">
        <f>IF(G374="","",IF(COUNTIFS('Care log'!$C$6:$C$1505,C374,'Care log'!$D$6:$D$1505,D374,'Care log'!$G$6:$G$1505,"&gt;"&amp;G374)=0,1,0))</f>
        <v/>
      </c>
    </row>
    <row r="375">
      <c r="A375" s="1" t="n"/>
      <c r="B375" s="20" t="n"/>
      <c r="C375" s="17" t="n"/>
      <c r="D375" s="18" t="n"/>
      <c r="E375" s="18" t="n"/>
      <c r="F375" s="1" t="n"/>
      <c r="G375">
        <f>IF(OR(B375="",C375="",D375=""),"",B375+ROW()/10000000)</f>
        <v/>
      </c>
      <c r="H375">
        <f>IF(G375="","",IF(COUNTIFS('Care log'!$C$6:$C$1505,C375,'Care log'!$D$6:$D$1505,D375,'Care log'!$G$6:$G$1505,"&gt;"&amp;G375)=0,1,0))</f>
        <v/>
      </c>
    </row>
    <row r="376">
      <c r="A376" s="1" t="n"/>
      <c r="B376" s="20" t="n"/>
      <c r="C376" s="17" t="n"/>
      <c r="D376" s="18" t="n"/>
      <c r="E376" s="18" t="n"/>
      <c r="F376" s="1" t="n"/>
      <c r="G376">
        <f>IF(OR(B376="",C376="",D376=""),"",B376+ROW()/10000000)</f>
        <v/>
      </c>
      <c r="H376">
        <f>IF(G376="","",IF(COUNTIFS('Care log'!$C$6:$C$1505,C376,'Care log'!$D$6:$D$1505,D376,'Care log'!$G$6:$G$1505,"&gt;"&amp;G376)=0,1,0))</f>
        <v/>
      </c>
    </row>
    <row r="377">
      <c r="A377" s="1" t="n"/>
      <c r="B377" s="20" t="n"/>
      <c r="C377" s="17" t="n"/>
      <c r="D377" s="18" t="n"/>
      <c r="E377" s="18" t="n"/>
      <c r="F377" s="1" t="n"/>
      <c r="G377">
        <f>IF(OR(B377="",C377="",D377=""),"",B377+ROW()/10000000)</f>
        <v/>
      </c>
      <c r="H377">
        <f>IF(G377="","",IF(COUNTIFS('Care log'!$C$6:$C$1505,C377,'Care log'!$D$6:$D$1505,D377,'Care log'!$G$6:$G$1505,"&gt;"&amp;G377)=0,1,0))</f>
        <v/>
      </c>
    </row>
    <row r="378">
      <c r="A378" s="1" t="n"/>
      <c r="B378" s="20" t="n"/>
      <c r="C378" s="17" t="n"/>
      <c r="D378" s="18" t="n"/>
      <c r="E378" s="18" t="n"/>
      <c r="F378" s="1" t="n"/>
      <c r="G378">
        <f>IF(OR(B378="",C378="",D378=""),"",B378+ROW()/10000000)</f>
        <v/>
      </c>
      <c r="H378">
        <f>IF(G378="","",IF(COUNTIFS('Care log'!$C$6:$C$1505,C378,'Care log'!$D$6:$D$1505,D378,'Care log'!$G$6:$G$1505,"&gt;"&amp;G378)=0,1,0))</f>
        <v/>
      </c>
    </row>
    <row r="379">
      <c r="A379" s="1" t="n"/>
      <c r="B379" s="20" t="n"/>
      <c r="C379" s="17" t="n"/>
      <c r="D379" s="18" t="n"/>
      <c r="E379" s="18" t="n"/>
      <c r="F379" s="1" t="n"/>
      <c r="G379">
        <f>IF(OR(B379="",C379="",D379=""),"",B379+ROW()/10000000)</f>
        <v/>
      </c>
      <c r="H379">
        <f>IF(G379="","",IF(COUNTIFS('Care log'!$C$6:$C$1505,C379,'Care log'!$D$6:$D$1505,D379,'Care log'!$G$6:$G$1505,"&gt;"&amp;G379)=0,1,0))</f>
        <v/>
      </c>
    </row>
    <row r="380">
      <c r="A380" s="1" t="n"/>
      <c r="B380" s="20" t="n"/>
      <c r="C380" s="17" t="n"/>
      <c r="D380" s="18" t="n"/>
      <c r="E380" s="18" t="n"/>
      <c r="F380" s="1" t="n"/>
      <c r="G380">
        <f>IF(OR(B380="",C380="",D380=""),"",B380+ROW()/10000000)</f>
        <v/>
      </c>
      <c r="H380">
        <f>IF(G380="","",IF(COUNTIFS('Care log'!$C$6:$C$1505,C380,'Care log'!$D$6:$D$1505,D380,'Care log'!$G$6:$G$1505,"&gt;"&amp;G380)=0,1,0))</f>
        <v/>
      </c>
    </row>
    <row r="381">
      <c r="A381" s="1" t="n"/>
      <c r="B381" s="20" t="n"/>
      <c r="C381" s="17" t="n"/>
      <c r="D381" s="18" t="n"/>
      <c r="E381" s="18" t="n"/>
      <c r="F381" s="1" t="n"/>
      <c r="G381">
        <f>IF(OR(B381="",C381="",D381=""),"",B381+ROW()/10000000)</f>
        <v/>
      </c>
      <c r="H381">
        <f>IF(G381="","",IF(COUNTIFS('Care log'!$C$6:$C$1505,C381,'Care log'!$D$6:$D$1505,D381,'Care log'!$G$6:$G$1505,"&gt;"&amp;G381)=0,1,0))</f>
        <v/>
      </c>
    </row>
    <row r="382">
      <c r="A382" s="1" t="n"/>
      <c r="B382" s="20" t="n"/>
      <c r="C382" s="17" t="n"/>
      <c r="D382" s="18" t="n"/>
      <c r="E382" s="18" t="n"/>
      <c r="F382" s="1" t="n"/>
      <c r="G382">
        <f>IF(OR(B382="",C382="",D382=""),"",B382+ROW()/10000000)</f>
        <v/>
      </c>
      <c r="H382">
        <f>IF(G382="","",IF(COUNTIFS('Care log'!$C$6:$C$1505,C382,'Care log'!$D$6:$D$1505,D382,'Care log'!$G$6:$G$1505,"&gt;"&amp;G382)=0,1,0))</f>
        <v/>
      </c>
    </row>
    <row r="383">
      <c r="A383" s="1" t="n"/>
      <c r="B383" s="20" t="n"/>
      <c r="C383" s="17" t="n"/>
      <c r="D383" s="18" t="n"/>
      <c r="E383" s="18" t="n"/>
      <c r="F383" s="1" t="n"/>
      <c r="G383">
        <f>IF(OR(B383="",C383="",D383=""),"",B383+ROW()/10000000)</f>
        <v/>
      </c>
      <c r="H383">
        <f>IF(G383="","",IF(COUNTIFS('Care log'!$C$6:$C$1505,C383,'Care log'!$D$6:$D$1505,D383,'Care log'!$G$6:$G$1505,"&gt;"&amp;G383)=0,1,0))</f>
        <v/>
      </c>
    </row>
    <row r="384">
      <c r="A384" s="1" t="n"/>
      <c r="B384" s="20" t="n"/>
      <c r="C384" s="17" t="n"/>
      <c r="D384" s="18" t="n"/>
      <c r="E384" s="18" t="n"/>
      <c r="F384" s="1" t="n"/>
      <c r="G384">
        <f>IF(OR(B384="",C384="",D384=""),"",B384+ROW()/10000000)</f>
        <v/>
      </c>
      <c r="H384">
        <f>IF(G384="","",IF(COUNTIFS('Care log'!$C$6:$C$1505,C384,'Care log'!$D$6:$D$1505,D384,'Care log'!$G$6:$G$1505,"&gt;"&amp;G384)=0,1,0))</f>
        <v/>
      </c>
    </row>
    <row r="385">
      <c r="A385" s="1" t="n"/>
      <c r="B385" s="20" t="n"/>
      <c r="C385" s="17" t="n"/>
      <c r="D385" s="18" t="n"/>
      <c r="E385" s="18" t="n"/>
      <c r="F385" s="1" t="n"/>
      <c r="G385">
        <f>IF(OR(B385="",C385="",D385=""),"",B385+ROW()/10000000)</f>
        <v/>
      </c>
      <c r="H385">
        <f>IF(G385="","",IF(COUNTIFS('Care log'!$C$6:$C$1505,C385,'Care log'!$D$6:$D$1505,D385,'Care log'!$G$6:$G$1505,"&gt;"&amp;G385)=0,1,0))</f>
        <v/>
      </c>
    </row>
    <row r="386">
      <c r="A386" s="1" t="n"/>
      <c r="B386" s="20" t="n"/>
      <c r="C386" s="17" t="n"/>
      <c r="D386" s="18" t="n"/>
      <c r="E386" s="18" t="n"/>
      <c r="F386" s="1" t="n"/>
      <c r="G386">
        <f>IF(OR(B386="",C386="",D386=""),"",B386+ROW()/10000000)</f>
        <v/>
      </c>
      <c r="H386">
        <f>IF(G386="","",IF(COUNTIFS('Care log'!$C$6:$C$1505,C386,'Care log'!$D$6:$D$1505,D386,'Care log'!$G$6:$G$1505,"&gt;"&amp;G386)=0,1,0))</f>
        <v/>
      </c>
    </row>
    <row r="387">
      <c r="A387" s="1" t="n"/>
      <c r="B387" s="20" t="n"/>
      <c r="C387" s="17" t="n"/>
      <c r="D387" s="18" t="n"/>
      <c r="E387" s="18" t="n"/>
      <c r="F387" s="1" t="n"/>
      <c r="G387">
        <f>IF(OR(B387="",C387="",D387=""),"",B387+ROW()/10000000)</f>
        <v/>
      </c>
      <c r="H387">
        <f>IF(G387="","",IF(COUNTIFS('Care log'!$C$6:$C$1505,C387,'Care log'!$D$6:$D$1505,D387,'Care log'!$G$6:$G$1505,"&gt;"&amp;G387)=0,1,0))</f>
        <v/>
      </c>
    </row>
    <row r="388">
      <c r="A388" s="1" t="n"/>
      <c r="B388" s="20" t="n"/>
      <c r="C388" s="17" t="n"/>
      <c r="D388" s="18" t="n"/>
      <c r="E388" s="18" t="n"/>
      <c r="F388" s="1" t="n"/>
      <c r="G388">
        <f>IF(OR(B388="",C388="",D388=""),"",B388+ROW()/10000000)</f>
        <v/>
      </c>
      <c r="H388">
        <f>IF(G388="","",IF(COUNTIFS('Care log'!$C$6:$C$1505,C388,'Care log'!$D$6:$D$1505,D388,'Care log'!$G$6:$G$1505,"&gt;"&amp;G388)=0,1,0))</f>
        <v/>
      </c>
    </row>
    <row r="389">
      <c r="A389" s="1" t="n"/>
      <c r="B389" s="20" t="n"/>
      <c r="C389" s="17" t="n"/>
      <c r="D389" s="18" t="n"/>
      <c r="E389" s="18" t="n"/>
      <c r="F389" s="1" t="n"/>
      <c r="G389">
        <f>IF(OR(B389="",C389="",D389=""),"",B389+ROW()/10000000)</f>
        <v/>
      </c>
      <c r="H389">
        <f>IF(G389="","",IF(COUNTIFS('Care log'!$C$6:$C$1505,C389,'Care log'!$D$6:$D$1505,D389,'Care log'!$G$6:$G$1505,"&gt;"&amp;G389)=0,1,0))</f>
        <v/>
      </c>
    </row>
    <row r="390">
      <c r="A390" s="1" t="n"/>
      <c r="B390" s="20" t="n"/>
      <c r="C390" s="17" t="n"/>
      <c r="D390" s="18" t="n"/>
      <c r="E390" s="18" t="n"/>
      <c r="F390" s="1" t="n"/>
      <c r="G390">
        <f>IF(OR(B390="",C390="",D390=""),"",B390+ROW()/10000000)</f>
        <v/>
      </c>
      <c r="H390">
        <f>IF(G390="","",IF(COUNTIFS('Care log'!$C$6:$C$1505,C390,'Care log'!$D$6:$D$1505,D390,'Care log'!$G$6:$G$1505,"&gt;"&amp;G390)=0,1,0))</f>
        <v/>
      </c>
    </row>
    <row r="391">
      <c r="A391" s="1" t="n"/>
      <c r="B391" s="20" t="n"/>
      <c r="C391" s="17" t="n"/>
      <c r="D391" s="18" t="n"/>
      <c r="E391" s="18" t="n"/>
      <c r="F391" s="1" t="n"/>
      <c r="G391">
        <f>IF(OR(B391="",C391="",D391=""),"",B391+ROW()/10000000)</f>
        <v/>
      </c>
      <c r="H391">
        <f>IF(G391="","",IF(COUNTIFS('Care log'!$C$6:$C$1505,C391,'Care log'!$D$6:$D$1505,D391,'Care log'!$G$6:$G$1505,"&gt;"&amp;G391)=0,1,0))</f>
        <v/>
      </c>
    </row>
    <row r="392">
      <c r="A392" s="1" t="n"/>
      <c r="B392" s="20" t="n"/>
      <c r="C392" s="17" t="n"/>
      <c r="D392" s="18" t="n"/>
      <c r="E392" s="18" t="n"/>
      <c r="F392" s="1" t="n"/>
      <c r="G392">
        <f>IF(OR(B392="",C392="",D392=""),"",B392+ROW()/10000000)</f>
        <v/>
      </c>
      <c r="H392">
        <f>IF(G392="","",IF(COUNTIFS('Care log'!$C$6:$C$1505,C392,'Care log'!$D$6:$D$1505,D392,'Care log'!$G$6:$G$1505,"&gt;"&amp;G392)=0,1,0))</f>
        <v/>
      </c>
    </row>
    <row r="393">
      <c r="A393" s="1" t="n"/>
      <c r="B393" s="20" t="n"/>
      <c r="C393" s="17" t="n"/>
      <c r="D393" s="18" t="n"/>
      <c r="E393" s="18" t="n"/>
      <c r="F393" s="1" t="n"/>
      <c r="G393">
        <f>IF(OR(B393="",C393="",D393=""),"",B393+ROW()/10000000)</f>
        <v/>
      </c>
      <c r="H393">
        <f>IF(G393="","",IF(COUNTIFS('Care log'!$C$6:$C$1505,C393,'Care log'!$D$6:$D$1505,D393,'Care log'!$G$6:$G$1505,"&gt;"&amp;G393)=0,1,0))</f>
        <v/>
      </c>
    </row>
    <row r="394">
      <c r="A394" s="1" t="n"/>
      <c r="B394" s="20" t="n"/>
      <c r="C394" s="17" t="n"/>
      <c r="D394" s="18" t="n"/>
      <c r="E394" s="18" t="n"/>
      <c r="F394" s="1" t="n"/>
      <c r="G394">
        <f>IF(OR(B394="",C394="",D394=""),"",B394+ROW()/10000000)</f>
        <v/>
      </c>
      <c r="H394">
        <f>IF(G394="","",IF(COUNTIFS('Care log'!$C$6:$C$1505,C394,'Care log'!$D$6:$D$1505,D394,'Care log'!$G$6:$G$1505,"&gt;"&amp;G394)=0,1,0))</f>
        <v/>
      </c>
    </row>
    <row r="395">
      <c r="A395" s="1" t="n"/>
      <c r="B395" s="20" t="n"/>
      <c r="C395" s="17" t="n"/>
      <c r="D395" s="18" t="n"/>
      <c r="E395" s="18" t="n"/>
      <c r="F395" s="1" t="n"/>
      <c r="G395">
        <f>IF(OR(B395="",C395="",D395=""),"",B395+ROW()/10000000)</f>
        <v/>
      </c>
      <c r="H395">
        <f>IF(G395="","",IF(COUNTIFS('Care log'!$C$6:$C$1505,C395,'Care log'!$D$6:$D$1505,D395,'Care log'!$G$6:$G$1505,"&gt;"&amp;G395)=0,1,0))</f>
        <v/>
      </c>
    </row>
    <row r="396">
      <c r="A396" s="1" t="n"/>
      <c r="B396" s="20" t="n"/>
      <c r="C396" s="17" t="n"/>
      <c r="D396" s="18" t="n"/>
      <c r="E396" s="18" t="n"/>
      <c r="F396" s="1" t="n"/>
      <c r="G396">
        <f>IF(OR(B396="",C396="",D396=""),"",B396+ROW()/10000000)</f>
        <v/>
      </c>
      <c r="H396">
        <f>IF(G396="","",IF(COUNTIFS('Care log'!$C$6:$C$1505,C396,'Care log'!$D$6:$D$1505,D396,'Care log'!$G$6:$G$1505,"&gt;"&amp;G396)=0,1,0))</f>
        <v/>
      </c>
    </row>
    <row r="397">
      <c r="A397" s="1" t="n"/>
      <c r="B397" s="20" t="n"/>
      <c r="C397" s="17" t="n"/>
      <c r="D397" s="18" t="n"/>
      <c r="E397" s="18" t="n"/>
      <c r="F397" s="1" t="n"/>
      <c r="G397">
        <f>IF(OR(B397="",C397="",D397=""),"",B397+ROW()/10000000)</f>
        <v/>
      </c>
      <c r="H397">
        <f>IF(G397="","",IF(COUNTIFS('Care log'!$C$6:$C$1505,C397,'Care log'!$D$6:$D$1505,D397,'Care log'!$G$6:$G$1505,"&gt;"&amp;G397)=0,1,0))</f>
        <v/>
      </c>
    </row>
    <row r="398">
      <c r="A398" s="1" t="n"/>
      <c r="B398" s="20" t="n"/>
      <c r="C398" s="17" t="n"/>
      <c r="D398" s="18" t="n"/>
      <c r="E398" s="18" t="n"/>
      <c r="F398" s="1" t="n"/>
      <c r="G398">
        <f>IF(OR(B398="",C398="",D398=""),"",B398+ROW()/10000000)</f>
        <v/>
      </c>
      <c r="H398">
        <f>IF(G398="","",IF(COUNTIFS('Care log'!$C$6:$C$1505,C398,'Care log'!$D$6:$D$1505,D398,'Care log'!$G$6:$G$1505,"&gt;"&amp;G398)=0,1,0))</f>
        <v/>
      </c>
    </row>
    <row r="399">
      <c r="A399" s="1" t="n"/>
      <c r="B399" s="20" t="n"/>
      <c r="C399" s="17" t="n"/>
      <c r="D399" s="18" t="n"/>
      <c r="E399" s="18" t="n"/>
      <c r="F399" s="1" t="n"/>
      <c r="G399">
        <f>IF(OR(B399="",C399="",D399=""),"",B399+ROW()/10000000)</f>
        <v/>
      </c>
      <c r="H399">
        <f>IF(G399="","",IF(COUNTIFS('Care log'!$C$6:$C$1505,C399,'Care log'!$D$6:$D$1505,D399,'Care log'!$G$6:$G$1505,"&gt;"&amp;G399)=0,1,0))</f>
        <v/>
      </c>
    </row>
    <row r="400">
      <c r="A400" s="1" t="n"/>
      <c r="B400" s="20" t="n"/>
      <c r="C400" s="17" t="n"/>
      <c r="D400" s="18" t="n"/>
      <c r="E400" s="18" t="n"/>
      <c r="F400" s="1" t="n"/>
      <c r="G400">
        <f>IF(OR(B400="",C400="",D400=""),"",B400+ROW()/10000000)</f>
        <v/>
      </c>
      <c r="H400">
        <f>IF(G400="","",IF(COUNTIFS('Care log'!$C$6:$C$1505,C400,'Care log'!$D$6:$D$1505,D400,'Care log'!$G$6:$G$1505,"&gt;"&amp;G400)=0,1,0))</f>
        <v/>
      </c>
    </row>
    <row r="401">
      <c r="A401" s="1" t="n"/>
      <c r="B401" s="20" t="n"/>
      <c r="C401" s="17" t="n"/>
      <c r="D401" s="18" t="n"/>
      <c r="E401" s="18" t="n"/>
      <c r="F401" s="1" t="n"/>
      <c r="G401">
        <f>IF(OR(B401="",C401="",D401=""),"",B401+ROW()/10000000)</f>
        <v/>
      </c>
      <c r="H401">
        <f>IF(G401="","",IF(COUNTIFS('Care log'!$C$6:$C$1505,C401,'Care log'!$D$6:$D$1505,D401,'Care log'!$G$6:$G$1505,"&gt;"&amp;G401)=0,1,0))</f>
        <v/>
      </c>
    </row>
    <row r="402">
      <c r="A402" s="1" t="n"/>
      <c r="B402" s="20" t="n"/>
      <c r="C402" s="17" t="n"/>
      <c r="D402" s="18" t="n"/>
      <c r="E402" s="18" t="n"/>
      <c r="F402" s="1" t="n"/>
      <c r="G402">
        <f>IF(OR(B402="",C402="",D402=""),"",B402+ROW()/10000000)</f>
        <v/>
      </c>
      <c r="H402">
        <f>IF(G402="","",IF(COUNTIFS('Care log'!$C$6:$C$1505,C402,'Care log'!$D$6:$D$1505,D402,'Care log'!$G$6:$G$1505,"&gt;"&amp;G402)=0,1,0))</f>
        <v/>
      </c>
    </row>
    <row r="403">
      <c r="A403" s="1" t="n"/>
      <c r="B403" s="20" t="n"/>
      <c r="C403" s="17" t="n"/>
      <c r="D403" s="18" t="n"/>
      <c r="E403" s="18" t="n"/>
      <c r="F403" s="1" t="n"/>
      <c r="G403">
        <f>IF(OR(B403="",C403="",D403=""),"",B403+ROW()/10000000)</f>
        <v/>
      </c>
      <c r="H403">
        <f>IF(G403="","",IF(COUNTIFS('Care log'!$C$6:$C$1505,C403,'Care log'!$D$6:$D$1505,D403,'Care log'!$G$6:$G$1505,"&gt;"&amp;G403)=0,1,0))</f>
        <v/>
      </c>
    </row>
    <row r="404">
      <c r="A404" s="1" t="n"/>
      <c r="B404" s="20" t="n"/>
      <c r="C404" s="17" t="n"/>
      <c r="D404" s="18" t="n"/>
      <c r="E404" s="18" t="n"/>
      <c r="F404" s="1" t="n"/>
      <c r="G404">
        <f>IF(OR(B404="",C404="",D404=""),"",B404+ROW()/10000000)</f>
        <v/>
      </c>
      <c r="H404">
        <f>IF(G404="","",IF(COUNTIFS('Care log'!$C$6:$C$1505,C404,'Care log'!$D$6:$D$1505,D404,'Care log'!$G$6:$G$1505,"&gt;"&amp;G404)=0,1,0))</f>
        <v/>
      </c>
    </row>
    <row r="405">
      <c r="A405" s="1" t="n"/>
      <c r="B405" s="20" t="n"/>
      <c r="C405" s="17" t="n"/>
      <c r="D405" s="18" t="n"/>
      <c r="E405" s="18" t="n"/>
      <c r="F405" s="1" t="n"/>
      <c r="G405">
        <f>IF(OR(B405="",C405="",D405=""),"",B405+ROW()/10000000)</f>
        <v/>
      </c>
      <c r="H405">
        <f>IF(G405="","",IF(COUNTIFS('Care log'!$C$6:$C$1505,C405,'Care log'!$D$6:$D$1505,D405,'Care log'!$G$6:$G$1505,"&gt;"&amp;G405)=0,1,0))</f>
        <v/>
      </c>
    </row>
    <row r="406">
      <c r="A406" s="1" t="n"/>
      <c r="B406" s="20" t="n"/>
      <c r="C406" s="17" t="n"/>
      <c r="D406" s="18" t="n"/>
      <c r="E406" s="18" t="n"/>
      <c r="F406" s="1" t="n"/>
      <c r="G406">
        <f>IF(OR(B406="",C406="",D406=""),"",B406+ROW()/10000000)</f>
        <v/>
      </c>
      <c r="H406">
        <f>IF(G406="","",IF(COUNTIFS('Care log'!$C$6:$C$1505,C406,'Care log'!$D$6:$D$1505,D406,'Care log'!$G$6:$G$1505,"&gt;"&amp;G406)=0,1,0))</f>
        <v/>
      </c>
    </row>
    <row r="407">
      <c r="A407" s="1" t="n"/>
      <c r="B407" s="20" t="n"/>
      <c r="C407" s="17" t="n"/>
      <c r="D407" s="18" t="n"/>
      <c r="E407" s="18" t="n"/>
      <c r="F407" s="1" t="n"/>
      <c r="G407">
        <f>IF(OR(B407="",C407="",D407=""),"",B407+ROW()/10000000)</f>
        <v/>
      </c>
      <c r="H407">
        <f>IF(G407="","",IF(COUNTIFS('Care log'!$C$6:$C$1505,C407,'Care log'!$D$6:$D$1505,D407,'Care log'!$G$6:$G$1505,"&gt;"&amp;G407)=0,1,0))</f>
        <v/>
      </c>
    </row>
    <row r="408">
      <c r="A408" s="1" t="n"/>
      <c r="B408" s="20" t="n"/>
      <c r="C408" s="17" t="n"/>
      <c r="D408" s="18" t="n"/>
      <c r="E408" s="18" t="n"/>
      <c r="F408" s="1" t="n"/>
      <c r="G408">
        <f>IF(OR(B408="",C408="",D408=""),"",B408+ROW()/10000000)</f>
        <v/>
      </c>
      <c r="H408">
        <f>IF(G408="","",IF(COUNTIFS('Care log'!$C$6:$C$1505,C408,'Care log'!$D$6:$D$1505,D408,'Care log'!$G$6:$G$1505,"&gt;"&amp;G408)=0,1,0))</f>
        <v/>
      </c>
    </row>
    <row r="409">
      <c r="A409" s="1" t="n"/>
      <c r="B409" s="20" t="n"/>
      <c r="C409" s="17" t="n"/>
      <c r="D409" s="18" t="n"/>
      <c r="E409" s="18" t="n"/>
      <c r="F409" s="1" t="n"/>
      <c r="G409">
        <f>IF(OR(B409="",C409="",D409=""),"",B409+ROW()/10000000)</f>
        <v/>
      </c>
      <c r="H409">
        <f>IF(G409="","",IF(COUNTIFS('Care log'!$C$6:$C$1505,C409,'Care log'!$D$6:$D$1505,D409,'Care log'!$G$6:$G$1505,"&gt;"&amp;G409)=0,1,0))</f>
        <v/>
      </c>
    </row>
    <row r="410">
      <c r="A410" s="1" t="n"/>
      <c r="B410" s="20" t="n"/>
      <c r="C410" s="17" t="n"/>
      <c r="D410" s="18" t="n"/>
      <c r="E410" s="18" t="n"/>
      <c r="F410" s="1" t="n"/>
      <c r="G410">
        <f>IF(OR(B410="",C410="",D410=""),"",B410+ROW()/10000000)</f>
        <v/>
      </c>
      <c r="H410">
        <f>IF(G410="","",IF(COUNTIFS('Care log'!$C$6:$C$1505,C410,'Care log'!$D$6:$D$1505,D410,'Care log'!$G$6:$G$1505,"&gt;"&amp;G410)=0,1,0))</f>
        <v/>
      </c>
    </row>
    <row r="411">
      <c r="A411" s="1" t="n"/>
      <c r="B411" s="20" t="n"/>
      <c r="C411" s="17" t="n"/>
      <c r="D411" s="18" t="n"/>
      <c r="E411" s="18" t="n"/>
      <c r="F411" s="1" t="n"/>
      <c r="G411">
        <f>IF(OR(B411="",C411="",D411=""),"",B411+ROW()/10000000)</f>
        <v/>
      </c>
      <c r="H411">
        <f>IF(G411="","",IF(COUNTIFS('Care log'!$C$6:$C$1505,C411,'Care log'!$D$6:$D$1505,D411,'Care log'!$G$6:$G$1505,"&gt;"&amp;G411)=0,1,0))</f>
        <v/>
      </c>
    </row>
    <row r="412">
      <c r="A412" s="1" t="n"/>
      <c r="B412" s="20" t="n"/>
      <c r="C412" s="17" t="n"/>
      <c r="D412" s="18" t="n"/>
      <c r="E412" s="18" t="n"/>
      <c r="F412" s="1" t="n"/>
      <c r="G412">
        <f>IF(OR(B412="",C412="",D412=""),"",B412+ROW()/10000000)</f>
        <v/>
      </c>
      <c r="H412">
        <f>IF(G412="","",IF(COUNTIFS('Care log'!$C$6:$C$1505,C412,'Care log'!$D$6:$D$1505,D412,'Care log'!$G$6:$G$1505,"&gt;"&amp;G412)=0,1,0))</f>
        <v/>
      </c>
    </row>
    <row r="413">
      <c r="A413" s="1" t="n"/>
      <c r="B413" s="20" t="n"/>
      <c r="C413" s="17" t="n"/>
      <c r="D413" s="18" t="n"/>
      <c r="E413" s="18" t="n"/>
      <c r="F413" s="1" t="n"/>
      <c r="G413">
        <f>IF(OR(B413="",C413="",D413=""),"",B413+ROW()/10000000)</f>
        <v/>
      </c>
      <c r="H413">
        <f>IF(G413="","",IF(COUNTIFS('Care log'!$C$6:$C$1505,C413,'Care log'!$D$6:$D$1505,D413,'Care log'!$G$6:$G$1505,"&gt;"&amp;G413)=0,1,0))</f>
        <v/>
      </c>
    </row>
    <row r="414">
      <c r="A414" s="1" t="n"/>
      <c r="B414" s="20" t="n"/>
      <c r="C414" s="17" t="n"/>
      <c r="D414" s="18" t="n"/>
      <c r="E414" s="18" t="n"/>
      <c r="F414" s="1" t="n"/>
      <c r="G414">
        <f>IF(OR(B414="",C414="",D414=""),"",B414+ROW()/10000000)</f>
        <v/>
      </c>
      <c r="H414">
        <f>IF(G414="","",IF(COUNTIFS('Care log'!$C$6:$C$1505,C414,'Care log'!$D$6:$D$1505,D414,'Care log'!$G$6:$G$1505,"&gt;"&amp;G414)=0,1,0))</f>
        <v/>
      </c>
    </row>
    <row r="415">
      <c r="A415" s="1" t="n"/>
      <c r="B415" s="20" t="n"/>
      <c r="C415" s="17" t="n"/>
      <c r="D415" s="18" t="n"/>
      <c r="E415" s="18" t="n"/>
      <c r="F415" s="1" t="n"/>
      <c r="G415">
        <f>IF(OR(B415="",C415="",D415=""),"",B415+ROW()/10000000)</f>
        <v/>
      </c>
      <c r="H415">
        <f>IF(G415="","",IF(COUNTIFS('Care log'!$C$6:$C$1505,C415,'Care log'!$D$6:$D$1505,D415,'Care log'!$G$6:$G$1505,"&gt;"&amp;G415)=0,1,0))</f>
        <v/>
      </c>
    </row>
    <row r="416">
      <c r="A416" s="1" t="n"/>
      <c r="B416" s="20" t="n"/>
      <c r="C416" s="17" t="n"/>
      <c r="D416" s="18" t="n"/>
      <c r="E416" s="18" t="n"/>
      <c r="F416" s="1" t="n"/>
      <c r="G416">
        <f>IF(OR(B416="",C416="",D416=""),"",B416+ROW()/10000000)</f>
        <v/>
      </c>
      <c r="H416">
        <f>IF(G416="","",IF(COUNTIFS('Care log'!$C$6:$C$1505,C416,'Care log'!$D$6:$D$1505,D416,'Care log'!$G$6:$G$1505,"&gt;"&amp;G416)=0,1,0))</f>
        <v/>
      </c>
    </row>
    <row r="417">
      <c r="A417" s="1" t="n"/>
      <c r="B417" s="20" t="n"/>
      <c r="C417" s="17" t="n"/>
      <c r="D417" s="18" t="n"/>
      <c r="E417" s="18" t="n"/>
      <c r="F417" s="1" t="n"/>
      <c r="G417">
        <f>IF(OR(B417="",C417="",D417=""),"",B417+ROW()/10000000)</f>
        <v/>
      </c>
      <c r="H417">
        <f>IF(G417="","",IF(COUNTIFS('Care log'!$C$6:$C$1505,C417,'Care log'!$D$6:$D$1505,D417,'Care log'!$G$6:$G$1505,"&gt;"&amp;G417)=0,1,0))</f>
        <v/>
      </c>
    </row>
    <row r="418">
      <c r="A418" s="1" t="n"/>
      <c r="B418" s="20" t="n"/>
      <c r="C418" s="17" t="n"/>
      <c r="D418" s="18" t="n"/>
      <c r="E418" s="18" t="n"/>
      <c r="F418" s="1" t="n"/>
      <c r="G418">
        <f>IF(OR(B418="",C418="",D418=""),"",B418+ROW()/10000000)</f>
        <v/>
      </c>
      <c r="H418">
        <f>IF(G418="","",IF(COUNTIFS('Care log'!$C$6:$C$1505,C418,'Care log'!$D$6:$D$1505,D418,'Care log'!$G$6:$G$1505,"&gt;"&amp;G418)=0,1,0))</f>
        <v/>
      </c>
    </row>
    <row r="419">
      <c r="A419" s="1" t="n"/>
      <c r="B419" s="20" t="n"/>
      <c r="C419" s="17" t="n"/>
      <c r="D419" s="18" t="n"/>
      <c r="E419" s="18" t="n"/>
      <c r="F419" s="1" t="n"/>
      <c r="G419">
        <f>IF(OR(B419="",C419="",D419=""),"",B419+ROW()/10000000)</f>
        <v/>
      </c>
      <c r="H419">
        <f>IF(G419="","",IF(COUNTIFS('Care log'!$C$6:$C$1505,C419,'Care log'!$D$6:$D$1505,D419,'Care log'!$G$6:$G$1505,"&gt;"&amp;G419)=0,1,0))</f>
        <v/>
      </c>
    </row>
    <row r="420">
      <c r="A420" s="1" t="n"/>
      <c r="B420" s="20" t="n"/>
      <c r="C420" s="17" t="n"/>
      <c r="D420" s="18" t="n"/>
      <c r="E420" s="18" t="n"/>
      <c r="F420" s="1" t="n"/>
      <c r="G420">
        <f>IF(OR(B420="",C420="",D420=""),"",B420+ROW()/10000000)</f>
        <v/>
      </c>
      <c r="H420">
        <f>IF(G420="","",IF(COUNTIFS('Care log'!$C$6:$C$1505,C420,'Care log'!$D$6:$D$1505,D420,'Care log'!$G$6:$G$1505,"&gt;"&amp;G420)=0,1,0))</f>
        <v/>
      </c>
    </row>
    <row r="421">
      <c r="A421" s="1" t="n"/>
      <c r="B421" s="20" t="n"/>
      <c r="C421" s="17" t="n"/>
      <c r="D421" s="18" t="n"/>
      <c r="E421" s="18" t="n"/>
      <c r="F421" s="1" t="n"/>
      <c r="G421">
        <f>IF(OR(B421="",C421="",D421=""),"",B421+ROW()/10000000)</f>
        <v/>
      </c>
      <c r="H421">
        <f>IF(G421="","",IF(COUNTIFS('Care log'!$C$6:$C$1505,C421,'Care log'!$D$6:$D$1505,D421,'Care log'!$G$6:$G$1505,"&gt;"&amp;G421)=0,1,0))</f>
        <v/>
      </c>
    </row>
    <row r="422">
      <c r="A422" s="1" t="n"/>
      <c r="B422" s="20" t="n"/>
      <c r="C422" s="17" t="n"/>
      <c r="D422" s="18" t="n"/>
      <c r="E422" s="18" t="n"/>
      <c r="F422" s="1" t="n"/>
      <c r="G422">
        <f>IF(OR(B422="",C422="",D422=""),"",B422+ROW()/10000000)</f>
        <v/>
      </c>
      <c r="H422">
        <f>IF(G422="","",IF(COUNTIFS('Care log'!$C$6:$C$1505,C422,'Care log'!$D$6:$D$1505,D422,'Care log'!$G$6:$G$1505,"&gt;"&amp;G422)=0,1,0))</f>
        <v/>
      </c>
    </row>
    <row r="423">
      <c r="A423" s="1" t="n"/>
      <c r="B423" s="20" t="n"/>
      <c r="C423" s="17" t="n"/>
      <c r="D423" s="18" t="n"/>
      <c r="E423" s="18" t="n"/>
      <c r="F423" s="1" t="n"/>
      <c r="G423">
        <f>IF(OR(B423="",C423="",D423=""),"",B423+ROW()/10000000)</f>
        <v/>
      </c>
      <c r="H423">
        <f>IF(G423="","",IF(COUNTIFS('Care log'!$C$6:$C$1505,C423,'Care log'!$D$6:$D$1505,D423,'Care log'!$G$6:$G$1505,"&gt;"&amp;G423)=0,1,0))</f>
        <v/>
      </c>
    </row>
    <row r="424">
      <c r="A424" s="1" t="n"/>
      <c r="B424" s="20" t="n"/>
      <c r="C424" s="17" t="n"/>
      <c r="D424" s="18" t="n"/>
      <c r="E424" s="18" t="n"/>
      <c r="F424" s="1" t="n"/>
      <c r="G424">
        <f>IF(OR(B424="",C424="",D424=""),"",B424+ROW()/10000000)</f>
        <v/>
      </c>
      <c r="H424">
        <f>IF(G424="","",IF(COUNTIFS('Care log'!$C$6:$C$1505,C424,'Care log'!$D$6:$D$1505,D424,'Care log'!$G$6:$G$1505,"&gt;"&amp;G424)=0,1,0))</f>
        <v/>
      </c>
    </row>
    <row r="425">
      <c r="A425" s="1" t="n"/>
      <c r="B425" s="20" t="n"/>
      <c r="C425" s="17" t="n"/>
      <c r="D425" s="18" t="n"/>
      <c r="E425" s="18" t="n"/>
      <c r="F425" s="1" t="n"/>
      <c r="G425">
        <f>IF(OR(B425="",C425="",D425=""),"",B425+ROW()/10000000)</f>
        <v/>
      </c>
      <c r="H425">
        <f>IF(G425="","",IF(COUNTIFS('Care log'!$C$6:$C$1505,C425,'Care log'!$D$6:$D$1505,D425,'Care log'!$G$6:$G$1505,"&gt;"&amp;G425)=0,1,0))</f>
        <v/>
      </c>
    </row>
    <row r="426">
      <c r="A426" s="1" t="n"/>
      <c r="B426" s="20" t="n"/>
      <c r="C426" s="17" t="n"/>
      <c r="D426" s="18" t="n"/>
      <c r="E426" s="18" t="n"/>
      <c r="F426" s="1" t="n"/>
      <c r="G426">
        <f>IF(OR(B426="",C426="",D426=""),"",B426+ROW()/10000000)</f>
        <v/>
      </c>
      <c r="H426">
        <f>IF(G426="","",IF(COUNTIFS('Care log'!$C$6:$C$1505,C426,'Care log'!$D$6:$D$1505,D426,'Care log'!$G$6:$G$1505,"&gt;"&amp;G426)=0,1,0))</f>
        <v/>
      </c>
    </row>
    <row r="427">
      <c r="A427" s="1" t="n"/>
      <c r="B427" s="20" t="n"/>
      <c r="C427" s="17" t="n"/>
      <c r="D427" s="18" t="n"/>
      <c r="E427" s="18" t="n"/>
      <c r="F427" s="1" t="n"/>
      <c r="G427">
        <f>IF(OR(B427="",C427="",D427=""),"",B427+ROW()/10000000)</f>
        <v/>
      </c>
      <c r="H427">
        <f>IF(G427="","",IF(COUNTIFS('Care log'!$C$6:$C$1505,C427,'Care log'!$D$6:$D$1505,D427,'Care log'!$G$6:$G$1505,"&gt;"&amp;G427)=0,1,0))</f>
        <v/>
      </c>
    </row>
    <row r="428">
      <c r="A428" s="1" t="n"/>
      <c r="B428" s="20" t="n"/>
      <c r="C428" s="17" t="n"/>
      <c r="D428" s="18" t="n"/>
      <c r="E428" s="18" t="n"/>
      <c r="F428" s="1" t="n"/>
      <c r="G428">
        <f>IF(OR(B428="",C428="",D428=""),"",B428+ROW()/10000000)</f>
        <v/>
      </c>
      <c r="H428">
        <f>IF(G428="","",IF(COUNTIFS('Care log'!$C$6:$C$1505,C428,'Care log'!$D$6:$D$1505,D428,'Care log'!$G$6:$G$1505,"&gt;"&amp;G428)=0,1,0))</f>
        <v/>
      </c>
    </row>
    <row r="429">
      <c r="A429" s="1" t="n"/>
      <c r="B429" s="20" t="n"/>
      <c r="C429" s="17" t="n"/>
      <c r="D429" s="18" t="n"/>
      <c r="E429" s="18" t="n"/>
      <c r="F429" s="1" t="n"/>
      <c r="G429">
        <f>IF(OR(B429="",C429="",D429=""),"",B429+ROW()/10000000)</f>
        <v/>
      </c>
      <c r="H429">
        <f>IF(G429="","",IF(COUNTIFS('Care log'!$C$6:$C$1505,C429,'Care log'!$D$6:$D$1505,D429,'Care log'!$G$6:$G$1505,"&gt;"&amp;G429)=0,1,0))</f>
        <v/>
      </c>
    </row>
    <row r="430">
      <c r="A430" s="1" t="n"/>
      <c r="B430" s="20" t="n"/>
      <c r="C430" s="17" t="n"/>
      <c r="D430" s="18" t="n"/>
      <c r="E430" s="18" t="n"/>
      <c r="F430" s="1" t="n"/>
      <c r="G430">
        <f>IF(OR(B430="",C430="",D430=""),"",B430+ROW()/10000000)</f>
        <v/>
      </c>
      <c r="H430">
        <f>IF(G430="","",IF(COUNTIFS('Care log'!$C$6:$C$1505,C430,'Care log'!$D$6:$D$1505,D430,'Care log'!$G$6:$G$1505,"&gt;"&amp;G430)=0,1,0))</f>
        <v/>
      </c>
    </row>
    <row r="431">
      <c r="A431" s="1" t="n"/>
      <c r="B431" s="20" t="n"/>
      <c r="C431" s="17" t="n"/>
      <c r="D431" s="18" t="n"/>
      <c r="E431" s="18" t="n"/>
      <c r="F431" s="1" t="n"/>
      <c r="G431">
        <f>IF(OR(B431="",C431="",D431=""),"",B431+ROW()/10000000)</f>
        <v/>
      </c>
      <c r="H431">
        <f>IF(G431="","",IF(COUNTIFS('Care log'!$C$6:$C$1505,C431,'Care log'!$D$6:$D$1505,D431,'Care log'!$G$6:$G$1505,"&gt;"&amp;G431)=0,1,0))</f>
        <v/>
      </c>
    </row>
    <row r="432">
      <c r="A432" s="1" t="n"/>
      <c r="B432" s="20" t="n"/>
      <c r="C432" s="17" t="n"/>
      <c r="D432" s="18" t="n"/>
      <c r="E432" s="18" t="n"/>
      <c r="F432" s="1" t="n"/>
      <c r="G432">
        <f>IF(OR(B432="",C432="",D432=""),"",B432+ROW()/10000000)</f>
        <v/>
      </c>
      <c r="H432">
        <f>IF(G432="","",IF(COUNTIFS('Care log'!$C$6:$C$1505,C432,'Care log'!$D$6:$D$1505,D432,'Care log'!$G$6:$G$1505,"&gt;"&amp;G432)=0,1,0))</f>
        <v/>
      </c>
    </row>
    <row r="433">
      <c r="A433" s="1" t="n"/>
      <c r="B433" s="20" t="n"/>
      <c r="C433" s="17" t="n"/>
      <c r="D433" s="18" t="n"/>
      <c r="E433" s="18" t="n"/>
      <c r="F433" s="1" t="n"/>
      <c r="G433">
        <f>IF(OR(B433="",C433="",D433=""),"",B433+ROW()/10000000)</f>
        <v/>
      </c>
      <c r="H433">
        <f>IF(G433="","",IF(COUNTIFS('Care log'!$C$6:$C$1505,C433,'Care log'!$D$6:$D$1505,D433,'Care log'!$G$6:$G$1505,"&gt;"&amp;G433)=0,1,0))</f>
        <v/>
      </c>
    </row>
    <row r="434">
      <c r="A434" s="1" t="n"/>
      <c r="B434" s="20" t="n"/>
      <c r="C434" s="17" t="n"/>
      <c r="D434" s="18" t="n"/>
      <c r="E434" s="18" t="n"/>
      <c r="F434" s="1" t="n"/>
      <c r="G434">
        <f>IF(OR(B434="",C434="",D434=""),"",B434+ROW()/10000000)</f>
        <v/>
      </c>
      <c r="H434">
        <f>IF(G434="","",IF(COUNTIFS('Care log'!$C$6:$C$1505,C434,'Care log'!$D$6:$D$1505,D434,'Care log'!$G$6:$G$1505,"&gt;"&amp;G434)=0,1,0))</f>
        <v/>
      </c>
    </row>
    <row r="435">
      <c r="A435" s="1" t="n"/>
      <c r="B435" s="20" t="n"/>
      <c r="C435" s="17" t="n"/>
      <c r="D435" s="18" t="n"/>
      <c r="E435" s="18" t="n"/>
      <c r="F435" s="1" t="n"/>
      <c r="G435">
        <f>IF(OR(B435="",C435="",D435=""),"",B435+ROW()/10000000)</f>
        <v/>
      </c>
      <c r="H435">
        <f>IF(G435="","",IF(COUNTIFS('Care log'!$C$6:$C$1505,C435,'Care log'!$D$6:$D$1505,D435,'Care log'!$G$6:$G$1505,"&gt;"&amp;G435)=0,1,0))</f>
        <v/>
      </c>
    </row>
    <row r="436">
      <c r="A436" s="1" t="n"/>
      <c r="B436" s="20" t="n"/>
      <c r="C436" s="17" t="n"/>
      <c r="D436" s="18" t="n"/>
      <c r="E436" s="18" t="n"/>
      <c r="F436" s="1" t="n"/>
      <c r="G436">
        <f>IF(OR(B436="",C436="",D436=""),"",B436+ROW()/10000000)</f>
        <v/>
      </c>
      <c r="H436">
        <f>IF(G436="","",IF(COUNTIFS('Care log'!$C$6:$C$1505,C436,'Care log'!$D$6:$D$1505,D436,'Care log'!$G$6:$G$1505,"&gt;"&amp;G436)=0,1,0))</f>
        <v/>
      </c>
    </row>
    <row r="437">
      <c r="A437" s="1" t="n"/>
      <c r="B437" s="20" t="n"/>
      <c r="C437" s="17" t="n"/>
      <c r="D437" s="18" t="n"/>
      <c r="E437" s="18" t="n"/>
      <c r="F437" s="1" t="n"/>
      <c r="G437">
        <f>IF(OR(B437="",C437="",D437=""),"",B437+ROW()/10000000)</f>
        <v/>
      </c>
      <c r="H437">
        <f>IF(G437="","",IF(COUNTIFS('Care log'!$C$6:$C$1505,C437,'Care log'!$D$6:$D$1505,D437,'Care log'!$G$6:$G$1505,"&gt;"&amp;G437)=0,1,0))</f>
        <v/>
      </c>
    </row>
    <row r="438">
      <c r="A438" s="1" t="n"/>
      <c r="B438" s="20" t="n"/>
      <c r="C438" s="17" t="n"/>
      <c r="D438" s="18" t="n"/>
      <c r="E438" s="18" t="n"/>
      <c r="F438" s="1" t="n"/>
      <c r="G438">
        <f>IF(OR(B438="",C438="",D438=""),"",B438+ROW()/10000000)</f>
        <v/>
      </c>
      <c r="H438">
        <f>IF(G438="","",IF(COUNTIFS('Care log'!$C$6:$C$1505,C438,'Care log'!$D$6:$D$1505,D438,'Care log'!$G$6:$G$1505,"&gt;"&amp;G438)=0,1,0))</f>
        <v/>
      </c>
    </row>
    <row r="439">
      <c r="A439" s="1" t="n"/>
      <c r="B439" s="20" t="n"/>
      <c r="C439" s="17" t="n"/>
      <c r="D439" s="18" t="n"/>
      <c r="E439" s="18" t="n"/>
      <c r="F439" s="1" t="n"/>
      <c r="G439">
        <f>IF(OR(B439="",C439="",D439=""),"",B439+ROW()/10000000)</f>
        <v/>
      </c>
      <c r="H439">
        <f>IF(G439="","",IF(COUNTIFS('Care log'!$C$6:$C$1505,C439,'Care log'!$D$6:$D$1505,D439,'Care log'!$G$6:$G$1505,"&gt;"&amp;G439)=0,1,0))</f>
        <v/>
      </c>
    </row>
    <row r="440">
      <c r="A440" s="1" t="n"/>
      <c r="B440" s="20" t="n"/>
      <c r="C440" s="17" t="n"/>
      <c r="D440" s="18" t="n"/>
      <c r="E440" s="18" t="n"/>
      <c r="F440" s="1" t="n"/>
      <c r="G440">
        <f>IF(OR(B440="",C440="",D440=""),"",B440+ROW()/10000000)</f>
        <v/>
      </c>
      <c r="H440">
        <f>IF(G440="","",IF(COUNTIFS('Care log'!$C$6:$C$1505,C440,'Care log'!$D$6:$D$1505,D440,'Care log'!$G$6:$G$1505,"&gt;"&amp;G440)=0,1,0))</f>
        <v/>
      </c>
    </row>
    <row r="441">
      <c r="A441" s="1" t="n"/>
      <c r="B441" s="20" t="n"/>
      <c r="C441" s="17" t="n"/>
      <c r="D441" s="18" t="n"/>
      <c r="E441" s="18" t="n"/>
      <c r="F441" s="1" t="n"/>
      <c r="G441">
        <f>IF(OR(B441="",C441="",D441=""),"",B441+ROW()/10000000)</f>
        <v/>
      </c>
      <c r="H441">
        <f>IF(G441="","",IF(COUNTIFS('Care log'!$C$6:$C$1505,C441,'Care log'!$D$6:$D$1505,D441,'Care log'!$G$6:$G$1505,"&gt;"&amp;G441)=0,1,0))</f>
        <v/>
      </c>
    </row>
    <row r="442">
      <c r="A442" s="1" t="n"/>
      <c r="B442" s="20" t="n"/>
      <c r="C442" s="17" t="n"/>
      <c r="D442" s="18" t="n"/>
      <c r="E442" s="18" t="n"/>
      <c r="F442" s="1" t="n"/>
      <c r="G442">
        <f>IF(OR(B442="",C442="",D442=""),"",B442+ROW()/10000000)</f>
        <v/>
      </c>
      <c r="H442">
        <f>IF(G442="","",IF(COUNTIFS('Care log'!$C$6:$C$1505,C442,'Care log'!$D$6:$D$1505,D442,'Care log'!$G$6:$G$1505,"&gt;"&amp;G442)=0,1,0))</f>
        <v/>
      </c>
    </row>
    <row r="443">
      <c r="A443" s="1" t="n"/>
      <c r="B443" s="20" t="n"/>
      <c r="C443" s="17" t="n"/>
      <c r="D443" s="18" t="n"/>
      <c r="E443" s="18" t="n"/>
      <c r="F443" s="1" t="n"/>
      <c r="G443">
        <f>IF(OR(B443="",C443="",D443=""),"",B443+ROW()/10000000)</f>
        <v/>
      </c>
      <c r="H443">
        <f>IF(G443="","",IF(COUNTIFS('Care log'!$C$6:$C$1505,C443,'Care log'!$D$6:$D$1505,D443,'Care log'!$G$6:$G$1505,"&gt;"&amp;G443)=0,1,0))</f>
        <v/>
      </c>
    </row>
    <row r="444">
      <c r="A444" s="1" t="n"/>
      <c r="B444" s="20" t="n"/>
      <c r="C444" s="17" t="n"/>
      <c r="D444" s="18" t="n"/>
      <c r="E444" s="18" t="n"/>
      <c r="F444" s="1" t="n"/>
      <c r="G444">
        <f>IF(OR(B444="",C444="",D444=""),"",B444+ROW()/10000000)</f>
        <v/>
      </c>
      <c r="H444">
        <f>IF(G444="","",IF(COUNTIFS('Care log'!$C$6:$C$1505,C444,'Care log'!$D$6:$D$1505,D444,'Care log'!$G$6:$G$1505,"&gt;"&amp;G444)=0,1,0))</f>
        <v/>
      </c>
    </row>
    <row r="445">
      <c r="A445" s="1" t="n"/>
      <c r="B445" s="20" t="n"/>
      <c r="C445" s="17" t="n"/>
      <c r="D445" s="18" t="n"/>
      <c r="E445" s="18" t="n"/>
      <c r="F445" s="1" t="n"/>
      <c r="G445">
        <f>IF(OR(B445="",C445="",D445=""),"",B445+ROW()/10000000)</f>
        <v/>
      </c>
      <c r="H445">
        <f>IF(G445="","",IF(COUNTIFS('Care log'!$C$6:$C$1505,C445,'Care log'!$D$6:$D$1505,D445,'Care log'!$G$6:$G$1505,"&gt;"&amp;G445)=0,1,0))</f>
        <v/>
      </c>
    </row>
    <row r="446">
      <c r="A446" s="1" t="n"/>
      <c r="B446" s="20" t="n"/>
      <c r="C446" s="17" t="n"/>
      <c r="D446" s="18" t="n"/>
      <c r="E446" s="18" t="n"/>
      <c r="F446" s="1" t="n"/>
      <c r="G446">
        <f>IF(OR(B446="",C446="",D446=""),"",B446+ROW()/10000000)</f>
        <v/>
      </c>
      <c r="H446">
        <f>IF(G446="","",IF(COUNTIFS('Care log'!$C$6:$C$1505,C446,'Care log'!$D$6:$D$1505,D446,'Care log'!$G$6:$G$1505,"&gt;"&amp;G446)=0,1,0))</f>
        <v/>
      </c>
    </row>
    <row r="447">
      <c r="A447" s="1" t="n"/>
      <c r="B447" s="20" t="n"/>
      <c r="C447" s="17" t="n"/>
      <c r="D447" s="18" t="n"/>
      <c r="E447" s="18" t="n"/>
      <c r="F447" s="1" t="n"/>
      <c r="G447">
        <f>IF(OR(B447="",C447="",D447=""),"",B447+ROW()/10000000)</f>
        <v/>
      </c>
      <c r="H447">
        <f>IF(G447="","",IF(COUNTIFS('Care log'!$C$6:$C$1505,C447,'Care log'!$D$6:$D$1505,D447,'Care log'!$G$6:$G$1505,"&gt;"&amp;G447)=0,1,0))</f>
        <v/>
      </c>
    </row>
    <row r="448">
      <c r="A448" s="1" t="n"/>
      <c r="B448" s="20" t="n"/>
      <c r="C448" s="17" t="n"/>
      <c r="D448" s="18" t="n"/>
      <c r="E448" s="18" t="n"/>
      <c r="F448" s="1" t="n"/>
      <c r="G448">
        <f>IF(OR(B448="",C448="",D448=""),"",B448+ROW()/10000000)</f>
        <v/>
      </c>
      <c r="H448">
        <f>IF(G448="","",IF(COUNTIFS('Care log'!$C$6:$C$1505,C448,'Care log'!$D$6:$D$1505,D448,'Care log'!$G$6:$G$1505,"&gt;"&amp;G448)=0,1,0))</f>
        <v/>
      </c>
    </row>
    <row r="449">
      <c r="A449" s="1" t="n"/>
      <c r="B449" s="20" t="n"/>
      <c r="C449" s="17" t="n"/>
      <c r="D449" s="18" t="n"/>
      <c r="E449" s="18" t="n"/>
      <c r="F449" s="1" t="n"/>
      <c r="G449">
        <f>IF(OR(B449="",C449="",D449=""),"",B449+ROW()/10000000)</f>
        <v/>
      </c>
      <c r="H449">
        <f>IF(G449="","",IF(COUNTIFS('Care log'!$C$6:$C$1505,C449,'Care log'!$D$6:$D$1505,D449,'Care log'!$G$6:$G$1505,"&gt;"&amp;G449)=0,1,0))</f>
        <v/>
      </c>
    </row>
    <row r="450">
      <c r="A450" s="1" t="n"/>
      <c r="B450" s="20" t="n"/>
      <c r="C450" s="17" t="n"/>
      <c r="D450" s="18" t="n"/>
      <c r="E450" s="18" t="n"/>
      <c r="F450" s="1" t="n"/>
      <c r="G450">
        <f>IF(OR(B450="",C450="",D450=""),"",B450+ROW()/10000000)</f>
        <v/>
      </c>
      <c r="H450">
        <f>IF(G450="","",IF(COUNTIFS('Care log'!$C$6:$C$1505,C450,'Care log'!$D$6:$D$1505,D450,'Care log'!$G$6:$G$1505,"&gt;"&amp;G450)=0,1,0))</f>
        <v/>
      </c>
    </row>
    <row r="451">
      <c r="A451" s="1" t="n"/>
      <c r="B451" s="20" t="n"/>
      <c r="C451" s="17" t="n"/>
      <c r="D451" s="18" t="n"/>
      <c r="E451" s="18" t="n"/>
      <c r="F451" s="1" t="n"/>
      <c r="G451">
        <f>IF(OR(B451="",C451="",D451=""),"",B451+ROW()/10000000)</f>
        <v/>
      </c>
      <c r="H451">
        <f>IF(G451="","",IF(COUNTIFS('Care log'!$C$6:$C$1505,C451,'Care log'!$D$6:$D$1505,D451,'Care log'!$G$6:$G$1505,"&gt;"&amp;G451)=0,1,0))</f>
        <v/>
      </c>
    </row>
    <row r="452">
      <c r="A452" s="1" t="n"/>
      <c r="B452" s="20" t="n"/>
      <c r="C452" s="17" t="n"/>
      <c r="D452" s="18" t="n"/>
      <c r="E452" s="18" t="n"/>
      <c r="F452" s="1" t="n"/>
      <c r="G452">
        <f>IF(OR(B452="",C452="",D452=""),"",B452+ROW()/10000000)</f>
        <v/>
      </c>
      <c r="H452">
        <f>IF(G452="","",IF(COUNTIFS('Care log'!$C$6:$C$1505,C452,'Care log'!$D$6:$D$1505,D452,'Care log'!$G$6:$G$1505,"&gt;"&amp;G452)=0,1,0))</f>
        <v/>
      </c>
    </row>
    <row r="453">
      <c r="A453" s="1" t="n"/>
      <c r="B453" s="20" t="n"/>
      <c r="C453" s="17" t="n"/>
      <c r="D453" s="18" t="n"/>
      <c r="E453" s="18" t="n"/>
      <c r="F453" s="1" t="n"/>
      <c r="G453">
        <f>IF(OR(B453="",C453="",D453=""),"",B453+ROW()/10000000)</f>
        <v/>
      </c>
      <c r="H453">
        <f>IF(G453="","",IF(COUNTIFS('Care log'!$C$6:$C$1505,C453,'Care log'!$D$6:$D$1505,D453,'Care log'!$G$6:$G$1505,"&gt;"&amp;G453)=0,1,0))</f>
        <v/>
      </c>
    </row>
    <row r="454">
      <c r="A454" s="1" t="n"/>
      <c r="B454" s="20" t="n"/>
      <c r="C454" s="17" t="n"/>
      <c r="D454" s="18" t="n"/>
      <c r="E454" s="18" t="n"/>
      <c r="F454" s="1" t="n"/>
      <c r="G454">
        <f>IF(OR(B454="",C454="",D454=""),"",B454+ROW()/10000000)</f>
        <v/>
      </c>
      <c r="H454">
        <f>IF(G454="","",IF(COUNTIFS('Care log'!$C$6:$C$1505,C454,'Care log'!$D$6:$D$1505,D454,'Care log'!$G$6:$G$1505,"&gt;"&amp;G454)=0,1,0))</f>
        <v/>
      </c>
    </row>
    <row r="455">
      <c r="A455" s="1" t="n"/>
      <c r="B455" s="20" t="n"/>
      <c r="C455" s="17" t="n"/>
      <c r="D455" s="18" t="n"/>
      <c r="E455" s="18" t="n"/>
      <c r="F455" s="1" t="n"/>
      <c r="G455">
        <f>IF(OR(B455="",C455="",D455=""),"",B455+ROW()/10000000)</f>
        <v/>
      </c>
      <c r="H455">
        <f>IF(G455="","",IF(COUNTIFS('Care log'!$C$6:$C$1505,C455,'Care log'!$D$6:$D$1505,D455,'Care log'!$G$6:$G$1505,"&gt;"&amp;G455)=0,1,0))</f>
        <v/>
      </c>
    </row>
    <row r="456">
      <c r="A456" s="1" t="n"/>
      <c r="B456" s="20" t="n"/>
      <c r="C456" s="17" t="n"/>
      <c r="D456" s="18" t="n"/>
      <c r="E456" s="18" t="n"/>
      <c r="F456" s="1" t="n"/>
      <c r="G456">
        <f>IF(OR(B456="",C456="",D456=""),"",B456+ROW()/10000000)</f>
        <v/>
      </c>
      <c r="H456">
        <f>IF(G456="","",IF(COUNTIFS('Care log'!$C$6:$C$1505,C456,'Care log'!$D$6:$D$1505,D456,'Care log'!$G$6:$G$1505,"&gt;"&amp;G456)=0,1,0))</f>
        <v/>
      </c>
    </row>
    <row r="457">
      <c r="A457" s="1" t="n"/>
      <c r="B457" s="20" t="n"/>
      <c r="C457" s="17" t="n"/>
      <c r="D457" s="18" t="n"/>
      <c r="E457" s="18" t="n"/>
      <c r="F457" s="1" t="n"/>
      <c r="G457">
        <f>IF(OR(B457="",C457="",D457=""),"",B457+ROW()/10000000)</f>
        <v/>
      </c>
      <c r="H457">
        <f>IF(G457="","",IF(COUNTIFS('Care log'!$C$6:$C$1505,C457,'Care log'!$D$6:$D$1505,D457,'Care log'!$G$6:$G$1505,"&gt;"&amp;G457)=0,1,0))</f>
        <v/>
      </c>
    </row>
    <row r="458">
      <c r="A458" s="1" t="n"/>
      <c r="B458" s="20" t="n"/>
      <c r="C458" s="17" t="n"/>
      <c r="D458" s="18" t="n"/>
      <c r="E458" s="18" t="n"/>
      <c r="F458" s="1" t="n"/>
      <c r="G458">
        <f>IF(OR(B458="",C458="",D458=""),"",B458+ROW()/10000000)</f>
        <v/>
      </c>
      <c r="H458">
        <f>IF(G458="","",IF(COUNTIFS('Care log'!$C$6:$C$1505,C458,'Care log'!$D$6:$D$1505,D458,'Care log'!$G$6:$G$1505,"&gt;"&amp;G458)=0,1,0))</f>
        <v/>
      </c>
    </row>
    <row r="459">
      <c r="A459" s="1" t="n"/>
      <c r="B459" s="20" t="n"/>
      <c r="C459" s="17" t="n"/>
      <c r="D459" s="18" t="n"/>
      <c r="E459" s="18" t="n"/>
      <c r="F459" s="1" t="n"/>
      <c r="G459">
        <f>IF(OR(B459="",C459="",D459=""),"",B459+ROW()/10000000)</f>
        <v/>
      </c>
      <c r="H459">
        <f>IF(G459="","",IF(COUNTIFS('Care log'!$C$6:$C$1505,C459,'Care log'!$D$6:$D$1505,D459,'Care log'!$G$6:$G$1505,"&gt;"&amp;G459)=0,1,0))</f>
        <v/>
      </c>
    </row>
    <row r="460">
      <c r="A460" s="1" t="n"/>
      <c r="B460" s="20" t="n"/>
      <c r="C460" s="17" t="n"/>
      <c r="D460" s="18" t="n"/>
      <c r="E460" s="18" t="n"/>
      <c r="F460" s="1" t="n"/>
      <c r="G460">
        <f>IF(OR(B460="",C460="",D460=""),"",B460+ROW()/10000000)</f>
        <v/>
      </c>
      <c r="H460">
        <f>IF(G460="","",IF(COUNTIFS('Care log'!$C$6:$C$1505,C460,'Care log'!$D$6:$D$1505,D460,'Care log'!$G$6:$G$1505,"&gt;"&amp;G460)=0,1,0))</f>
        <v/>
      </c>
    </row>
    <row r="461">
      <c r="A461" s="1" t="n"/>
      <c r="B461" s="20" t="n"/>
      <c r="C461" s="17" t="n"/>
      <c r="D461" s="18" t="n"/>
      <c r="E461" s="18" t="n"/>
      <c r="F461" s="1" t="n"/>
      <c r="G461">
        <f>IF(OR(B461="",C461="",D461=""),"",B461+ROW()/10000000)</f>
        <v/>
      </c>
      <c r="H461">
        <f>IF(G461="","",IF(COUNTIFS('Care log'!$C$6:$C$1505,C461,'Care log'!$D$6:$D$1505,D461,'Care log'!$G$6:$G$1505,"&gt;"&amp;G461)=0,1,0))</f>
        <v/>
      </c>
    </row>
    <row r="462">
      <c r="A462" s="1" t="n"/>
      <c r="B462" s="20" t="n"/>
      <c r="C462" s="17" t="n"/>
      <c r="D462" s="18" t="n"/>
      <c r="E462" s="18" t="n"/>
      <c r="F462" s="1" t="n"/>
      <c r="G462">
        <f>IF(OR(B462="",C462="",D462=""),"",B462+ROW()/10000000)</f>
        <v/>
      </c>
      <c r="H462">
        <f>IF(G462="","",IF(COUNTIFS('Care log'!$C$6:$C$1505,C462,'Care log'!$D$6:$D$1505,D462,'Care log'!$G$6:$G$1505,"&gt;"&amp;G462)=0,1,0))</f>
        <v/>
      </c>
    </row>
    <row r="463">
      <c r="A463" s="1" t="n"/>
      <c r="B463" s="20" t="n"/>
      <c r="C463" s="17" t="n"/>
      <c r="D463" s="18" t="n"/>
      <c r="E463" s="18" t="n"/>
      <c r="F463" s="1" t="n"/>
      <c r="G463">
        <f>IF(OR(B463="",C463="",D463=""),"",B463+ROW()/10000000)</f>
        <v/>
      </c>
      <c r="H463">
        <f>IF(G463="","",IF(COUNTIFS('Care log'!$C$6:$C$1505,C463,'Care log'!$D$6:$D$1505,D463,'Care log'!$G$6:$G$1505,"&gt;"&amp;G463)=0,1,0))</f>
        <v/>
      </c>
    </row>
    <row r="464">
      <c r="A464" s="1" t="n"/>
      <c r="B464" s="20" t="n"/>
      <c r="C464" s="17" t="n"/>
      <c r="D464" s="18" t="n"/>
      <c r="E464" s="18" t="n"/>
      <c r="F464" s="1" t="n"/>
      <c r="G464">
        <f>IF(OR(B464="",C464="",D464=""),"",B464+ROW()/10000000)</f>
        <v/>
      </c>
      <c r="H464">
        <f>IF(G464="","",IF(COUNTIFS('Care log'!$C$6:$C$1505,C464,'Care log'!$D$6:$D$1505,D464,'Care log'!$G$6:$G$1505,"&gt;"&amp;G464)=0,1,0))</f>
        <v/>
      </c>
    </row>
    <row r="465">
      <c r="A465" s="1" t="n"/>
      <c r="B465" s="20" t="n"/>
      <c r="C465" s="17" t="n"/>
      <c r="D465" s="18" t="n"/>
      <c r="E465" s="18" t="n"/>
      <c r="F465" s="1" t="n"/>
      <c r="G465">
        <f>IF(OR(B465="",C465="",D465=""),"",B465+ROW()/10000000)</f>
        <v/>
      </c>
      <c r="H465">
        <f>IF(G465="","",IF(COUNTIFS('Care log'!$C$6:$C$1505,C465,'Care log'!$D$6:$D$1505,D465,'Care log'!$G$6:$G$1505,"&gt;"&amp;G465)=0,1,0))</f>
        <v/>
      </c>
    </row>
    <row r="466">
      <c r="A466" s="1" t="n"/>
      <c r="B466" s="20" t="n"/>
      <c r="C466" s="17" t="n"/>
      <c r="D466" s="18" t="n"/>
      <c r="E466" s="18" t="n"/>
      <c r="F466" s="1" t="n"/>
      <c r="G466">
        <f>IF(OR(B466="",C466="",D466=""),"",B466+ROW()/10000000)</f>
        <v/>
      </c>
      <c r="H466">
        <f>IF(G466="","",IF(COUNTIFS('Care log'!$C$6:$C$1505,C466,'Care log'!$D$6:$D$1505,D466,'Care log'!$G$6:$G$1505,"&gt;"&amp;G466)=0,1,0))</f>
        <v/>
      </c>
    </row>
    <row r="467">
      <c r="A467" s="1" t="n"/>
      <c r="B467" s="20" t="n"/>
      <c r="C467" s="17" t="n"/>
      <c r="D467" s="18" t="n"/>
      <c r="E467" s="18" t="n"/>
      <c r="F467" s="1" t="n"/>
      <c r="G467">
        <f>IF(OR(B467="",C467="",D467=""),"",B467+ROW()/10000000)</f>
        <v/>
      </c>
      <c r="H467">
        <f>IF(G467="","",IF(COUNTIFS('Care log'!$C$6:$C$1505,C467,'Care log'!$D$6:$D$1505,D467,'Care log'!$G$6:$G$1505,"&gt;"&amp;G467)=0,1,0))</f>
        <v/>
      </c>
    </row>
    <row r="468">
      <c r="A468" s="1" t="n"/>
      <c r="B468" s="20" t="n"/>
      <c r="C468" s="17" t="n"/>
      <c r="D468" s="18" t="n"/>
      <c r="E468" s="18" t="n"/>
      <c r="F468" s="1" t="n"/>
      <c r="G468">
        <f>IF(OR(B468="",C468="",D468=""),"",B468+ROW()/10000000)</f>
        <v/>
      </c>
      <c r="H468">
        <f>IF(G468="","",IF(COUNTIFS('Care log'!$C$6:$C$1505,C468,'Care log'!$D$6:$D$1505,D468,'Care log'!$G$6:$G$1505,"&gt;"&amp;G468)=0,1,0))</f>
        <v/>
      </c>
    </row>
    <row r="469">
      <c r="A469" s="1" t="n"/>
      <c r="B469" s="20" t="n"/>
      <c r="C469" s="17" t="n"/>
      <c r="D469" s="18" t="n"/>
      <c r="E469" s="18" t="n"/>
      <c r="F469" s="1" t="n"/>
      <c r="G469">
        <f>IF(OR(B469="",C469="",D469=""),"",B469+ROW()/10000000)</f>
        <v/>
      </c>
      <c r="H469">
        <f>IF(G469="","",IF(COUNTIFS('Care log'!$C$6:$C$1505,C469,'Care log'!$D$6:$D$1505,D469,'Care log'!$G$6:$G$1505,"&gt;"&amp;G469)=0,1,0))</f>
        <v/>
      </c>
    </row>
    <row r="470">
      <c r="A470" s="1" t="n"/>
      <c r="B470" s="20" t="n"/>
      <c r="C470" s="17" t="n"/>
      <c r="D470" s="18" t="n"/>
      <c r="E470" s="18" t="n"/>
      <c r="F470" s="1" t="n"/>
      <c r="G470">
        <f>IF(OR(B470="",C470="",D470=""),"",B470+ROW()/10000000)</f>
        <v/>
      </c>
      <c r="H470">
        <f>IF(G470="","",IF(COUNTIFS('Care log'!$C$6:$C$1505,C470,'Care log'!$D$6:$D$1505,D470,'Care log'!$G$6:$G$1505,"&gt;"&amp;G470)=0,1,0))</f>
        <v/>
      </c>
    </row>
    <row r="471">
      <c r="A471" s="1" t="n"/>
      <c r="B471" s="20" t="n"/>
      <c r="C471" s="17" t="n"/>
      <c r="D471" s="18" t="n"/>
      <c r="E471" s="18" t="n"/>
      <c r="F471" s="1" t="n"/>
      <c r="G471">
        <f>IF(OR(B471="",C471="",D471=""),"",B471+ROW()/10000000)</f>
        <v/>
      </c>
      <c r="H471">
        <f>IF(G471="","",IF(COUNTIFS('Care log'!$C$6:$C$1505,C471,'Care log'!$D$6:$D$1505,D471,'Care log'!$G$6:$G$1505,"&gt;"&amp;G471)=0,1,0))</f>
        <v/>
      </c>
    </row>
    <row r="472">
      <c r="A472" s="1" t="n"/>
      <c r="B472" s="20" t="n"/>
      <c r="C472" s="17" t="n"/>
      <c r="D472" s="18" t="n"/>
      <c r="E472" s="18" t="n"/>
      <c r="F472" s="1" t="n"/>
      <c r="G472">
        <f>IF(OR(B472="",C472="",D472=""),"",B472+ROW()/10000000)</f>
        <v/>
      </c>
      <c r="H472">
        <f>IF(G472="","",IF(COUNTIFS('Care log'!$C$6:$C$1505,C472,'Care log'!$D$6:$D$1505,D472,'Care log'!$G$6:$G$1505,"&gt;"&amp;G472)=0,1,0))</f>
        <v/>
      </c>
    </row>
    <row r="473">
      <c r="A473" s="1" t="n"/>
      <c r="B473" s="20" t="n"/>
      <c r="C473" s="17" t="n"/>
      <c r="D473" s="18" t="n"/>
      <c r="E473" s="18" t="n"/>
      <c r="F473" s="1" t="n"/>
      <c r="G473">
        <f>IF(OR(B473="",C473="",D473=""),"",B473+ROW()/10000000)</f>
        <v/>
      </c>
      <c r="H473">
        <f>IF(G473="","",IF(COUNTIFS('Care log'!$C$6:$C$1505,C473,'Care log'!$D$6:$D$1505,D473,'Care log'!$G$6:$G$1505,"&gt;"&amp;G473)=0,1,0))</f>
        <v/>
      </c>
    </row>
    <row r="474">
      <c r="A474" s="1" t="n"/>
      <c r="B474" s="20" t="n"/>
      <c r="C474" s="17" t="n"/>
      <c r="D474" s="18" t="n"/>
      <c r="E474" s="18" t="n"/>
      <c r="F474" s="1" t="n"/>
      <c r="G474">
        <f>IF(OR(B474="",C474="",D474=""),"",B474+ROW()/10000000)</f>
        <v/>
      </c>
      <c r="H474">
        <f>IF(G474="","",IF(COUNTIFS('Care log'!$C$6:$C$1505,C474,'Care log'!$D$6:$D$1505,D474,'Care log'!$G$6:$G$1505,"&gt;"&amp;G474)=0,1,0))</f>
        <v/>
      </c>
    </row>
    <row r="475">
      <c r="A475" s="1" t="n"/>
      <c r="B475" s="20" t="n"/>
      <c r="C475" s="17" t="n"/>
      <c r="D475" s="18" t="n"/>
      <c r="E475" s="18" t="n"/>
      <c r="F475" s="1" t="n"/>
      <c r="G475">
        <f>IF(OR(B475="",C475="",D475=""),"",B475+ROW()/10000000)</f>
        <v/>
      </c>
      <c r="H475">
        <f>IF(G475="","",IF(COUNTIFS('Care log'!$C$6:$C$1505,C475,'Care log'!$D$6:$D$1505,D475,'Care log'!$G$6:$G$1505,"&gt;"&amp;G475)=0,1,0))</f>
        <v/>
      </c>
    </row>
    <row r="476">
      <c r="A476" s="1" t="n"/>
      <c r="B476" s="20" t="n"/>
      <c r="C476" s="17" t="n"/>
      <c r="D476" s="18" t="n"/>
      <c r="E476" s="18" t="n"/>
      <c r="F476" s="1" t="n"/>
      <c r="G476">
        <f>IF(OR(B476="",C476="",D476=""),"",B476+ROW()/10000000)</f>
        <v/>
      </c>
      <c r="H476">
        <f>IF(G476="","",IF(COUNTIFS('Care log'!$C$6:$C$1505,C476,'Care log'!$D$6:$D$1505,D476,'Care log'!$G$6:$G$1505,"&gt;"&amp;G476)=0,1,0))</f>
        <v/>
      </c>
    </row>
    <row r="477">
      <c r="A477" s="1" t="n"/>
      <c r="B477" s="20" t="n"/>
      <c r="C477" s="17" t="n"/>
      <c r="D477" s="18" t="n"/>
      <c r="E477" s="18" t="n"/>
      <c r="F477" s="1" t="n"/>
      <c r="G477">
        <f>IF(OR(B477="",C477="",D477=""),"",B477+ROW()/10000000)</f>
        <v/>
      </c>
      <c r="H477">
        <f>IF(G477="","",IF(COUNTIFS('Care log'!$C$6:$C$1505,C477,'Care log'!$D$6:$D$1505,D477,'Care log'!$G$6:$G$1505,"&gt;"&amp;G477)=0,1,0))</f>
        <v/>
      </c>
    </row>
    <row r="478">
      <c r="A478" s="1" t="n"/>
      <c r="B478" s="20" t="n"/>
      <c r="C478" s="17" t="n"/>
      <c r="D478" s="18" t="n"/>
      <c r="E478" s="18" t="n"/>
      <c r="F478" s="1" t="n"/>
      <c r="G478">
        <f>IF(OR(B478="",C478="",D478=""),"",B478+ROW()/10000000)</f>
        <v/>
      </c>
      <c r="H478">
        <f>IF(G478="","",IF(COUNTIFS('Care log'!$C$6:$C$1505,C478,'Care log'!$D$6:$D$1505,D478,'Care log'!$G$6:$G$1505,"&gt;"&amp;G478)=0,1,0))</f>
        <v/>
      </c>
    </row>
    <row r="479">
      <c r="A479" s="1" t="n"/>
      <c r="B479" s="20" t="n"/>
      <c r="C479" s="17" t="n"/>
      <c r="D479" s="18" t="n"/>
      <c r="E479" s="18" t="n"/>
      <c r="F479" s="1" t="n"/>
      <c r="G479">
        <f>IF(OR(B479="",C479="",D479=""),"",B479+ROW()/10000000)</f>
        <v/>
      </c>
      <c r="H479">
        <f>IF(G479="","",IF(COUNTIFS('Care log'!$C$6:$C$1505,C479,'Care log'!$D$6:$D$1505,D479,'Care log'!$G$6:$G$1505,"&gt;"&amp;G479)=0,1,0))</f>
        <v/>
      </c>
    </row>
    <row r="480">
      <c r="A480" s="1" t="n"/>
      <c r="B480" s="20" t="n"/>
      <c r="C480" s="17" t="n"/>
      <c r="D480" s="18" t="n"/>
      <c r="E480" s="18" t="n"/>
      <c r="F480" s="1" t="n"/>
      <c r="G480">
        <f>IF(OR(B480="",C480="",D480=""),"",B480+ROW()/10000000)</f>
        <v/>
      </c>
      <c r="H480">
        <f>IF(G480="","",IF(COUNTIFS('Care log'!$C$6:$C$1505,C480,'Care log'!$D$6:$D$1505,D480,'Care log'!$G$6:$G$1505,"&gt;"&amp;G480)=0,1,0))</f>
        <v/>
      </c>
    </row>
    <row r="481">
      <c r="A481" s="1" t="n"/>
      <c r="B481" s="20" t="n"/>
      <c r="C481" s="17" t="n"/>
      <c r="D481" s="18" t="n"/>
      <c r="E481" s="18" t="n"/>
      <c r="F481" s="1" t="n"/>
      <c r="G481">
        <f>IF(OR(B481="",C481="",D481=""),"",B481+ROW()/10000000)</f>
        <v/>
      </c>
      <c r="H481">
        <f>IF(G481="","",IF(COUNTIFS('Care log'!$C$6:$C$1505,C481,'Care log'!$D$6:$D$1505,D481,'Care log'!$G$6:$G$1505,"&gt;"&amp;G481)=0,1,0))</f>
        <v/>
      </c>
    </row>
    <row r="482">
      <c r="A482" s="1" t="n"/>
      <c r="B482" s="20" t="n"/>
      <c r="C482" s="17" t="n"/>
      <c r="D482" s="18" t="n"/>
      <c r="E482" s="18" t="n"/>
      <c r="F482" s="1" t="n"/>
      <c r="G482">
        <f>IF(OR(B482="",C482="",D482=""),"",B482+ROW()/10000000)</f>
        <v/>
      </c>
      <c r="H482">
        <f>IF(G482="","",IF(COUNTIFS('Care log'!$C$6:$C$1505,C482,'Care log'!$D$6:$D$1505,D482,'Care log'!$G$6:$G$1505,"&gt;"&amp;G482)=0,1,0))</f>
        <v/>
      </c>
    </row>
    <row r="483">
      <c r="A483" s="1" t="n"/>
      <c r="B483" s="20" t="n"/>
      <c r="C483" s="17" t="n"/>
      <c r="D483" s="18" t="n"/>
      <c r="E483" s="18" t="n"/>
      <c r="F483" s="1" t="n"/>
      <c r="G483">
        <f>IF(OR(B483="",C483="",D483=""),"",B483+ROW()/10000000)</f>
        <v/>
      </c>
      <c r="H483">
        <f>IF(G483="","",IF(COUNTIFS('Care log'!$C$6:$C$1505,C483,'Care log'!$D$6:$D$1505,D483,'Care log'!$G$6:$G$1505,"&gt;"&amp;G483)=0,1,0))</f>
        <v/>
      </c>
    </row>
    <row r="484">
      <c r="A484" s="1" t="n"/>
      <c r="B484" s="20" t="n"/>
      <c r="C484" s="17" t="n"/>
      <c r="D484" s="18" t="n"/>
      <c r="E484" s="18" t="n"/>
      <c r="F484" s="1" t="n"/>
      <c r="G484">
        <f>IF(OR(B484="",C484="",D484=""),"",B484+ROW()/10000000)</f>
        <v/>
      </c>
      <c r="H484">
        <f>IF(G484="","",IF(COUNTIFS('Care log'!$C$6:$C$1505,C484,'Care log'!$D$6:$D$1505,D484,'Care log'!$G$6:$G$1505,"&gt;"&amp;G484)=0,1,0))</f>
        <v/>
      </c>
    </row>
    <row r="485">
      <c r="A485" s="1" t="n"/>
      <c r="B485" s="20" t="n"/>
      <c r="C485" s="17" t="n"/>
      <c r="D485" s="18" t="n"/>
      <c r="E485" s="18" t="n"/>
      <c r="F485" s="1" t="n"/>
      <c r="G485">
        <f>IF(OR(B485="",C485="",D485=""),"",B485+ROW()/10000000)</f>
        <v/>
      </c>
      <c r="H485">
        <f>IF(G485="","",IF(COUNTIFS('Care log'!$C$6:$C$1505,C485,'Care log'!$D$6:$D$1505,D485,'Care log'!$G$6:$G$1505,"&gt;"&amp;G485)=0,1,0))</f>
        <v/>
      </c>
    </row>
    <row r="486">
      <c r="A486" s="1" t="n"/>
      <c r="B486" s="20" t="n"/>
      <c r="C486" s="17" t="n"/>
      <c r="D486" s="18" t="n"/>
      <c r="E486" s="18" t="n"/>
      <c r="F486" s="1" t="n"/>
      <c r="G486">
        <f>IF(OR(B486="",C486="",D486=""),"",B486+ROW()/10000000)</f>
        <v/>
      </c>
      <c r="H486">
        <f>IF(G486="","",IF(COUNTIFS('Care log'!$C$6:$C$1505,C486,'Care log'!$D$6:$D$1505,D486,'Care log'!$G$6:$G$1505,"&gt;"&amp;G486)=0,1,0))</f>
        <v/>
      </c>
    </row>
    <row r="487">
      <c r="A487" s="1" t="n"/>
      <c r="B487" s="20" t="n"/>
      <c r="C487" s="17" t="n"/>
      <c r="D487" s="18" t="n"/>
      <c r="E487" s="18" t="n"/>
      <c r="F487" s="1" t="n"/>
      <c r="G487">
        <f>IF(OR(B487="",C487="",D487=""),"",B487+ROW()/10000000)</f>
        <v/>
      </c>
      <c r="H487">
        <f>IF(G487="","",IF(COUNTIFS('Care log'!$C$6:$C$1505,C487,'Care log'!$D$6:$D$1505,D487,'Care log'!$G$6:$G$1505,"&gt;"&amp;G487)=0,1,0))</f>
        <v/>
      </c>
    </row>
    <row r="488">
      <c r="A488" s="1" t="n"/>
      <c r="B488" s="20" t="n"/>
      <c r="C488" s="17" t="n"/>
      <c r="D488" s="18" t="n"/>
      <c r="E488" s="18" t="n"/>
      <c r="F488" s="1" t="n"/>
      <c r="G488">
        <f>IF(OR(B488="",C488="",D488=""),"",B488+ROW()/10000000)</f>
        <v/>
      </c>
      <c r="H488">
        <f>IF(G488="","",IF(COUNTIFS('Care log'!$C$6:$C$1505,C488,'Care log'!$D$6:$D$1505,D488,'Care log'!$G$6:$G$1505,"&gt;"&amp;G488)=0,1,0))</f>
        <v/>
      </c>
    </row>
    <row r="489">
      <c r="A489" s="1" t="n"/>
      <c r="B489" s="20" t="n"/>
      <c r="C489" s="17" t="n"/>
      <c r="D489" s="18" t="n"/>
      <c r="E489" s="18" t="n"/>
      <c r="F489" s="1" t="n"/>
      <c r="G489">
        <f>IF(OR(B489="",C489="",D489=""),"",B489+ROW()/10000000)</f>
        <v/>
      </c>
      <c r="H489">
        <f>IF(G489="","",IF(COUNTIFS('Care log'!$C$6:$C$1505,C489,'Care log'!$D$6:$D$1505,D489,'Care log'!$G$6:$G$1505,"&gt;"&amp;G489)=0,1,0))</f>
        <v/>
      </c>
    </row>
    <row r="490">
      <c r="A490" s="1" t="n"/>
      <c r="B490" s="20" t="n"/>
      <c r="C490" s="17" t="n"/>
      <c r="D490" s="18" t="n"/>
      <c r="E490" s="18" t="n"/>
      <c r="F490" s="1" t="n"/>
      <c r="G490">
        <f>IF(OR(B490="",C490="",D490=""),"",B490+ROW()/10000000)</f>
        <v/>
      </c>
      <c r="H490">
        <f>IF(G490="","",IF(COUNTIFS('Care log'!$C$6:$C$1505,C490,'Care log'!$D$6:$D$1505,D490,'Care log'!$G$6:$G$1505,"&gt;"&amp;G490)=0,1,0))</f>
        <v/>
      </c>
    </row>
    <row r="491">
      <c r="A491" s="1" t="n"/>
      <c r="B491" s="20" t="n"/>
      <c r="C491" s="17" t="n"/>
      <c r="D491" s="18" t="n"/>
      <c r="E491" s="18" t="n"/>
      <c r="F491" s="1" t="n"/>
      <c r="G491">
        <f>IF(OR(B491="",C491="",D491=""),"",B491+ROW()/10000000)</f>
        <v/>
      </c>
      <c r="H491">
        <f>IF(G491="","",IF(COUNTIFS('Care log'!$C$6:$C$1505,C491,'Care log'!$D$6:$D$1505,D491,'Care log'!$G$6:$G$1505,"&gt;"&amp;G491)=0,1,0))</f>
        <v/>
      </c>
    </row>
    <row r="492">
      <c r="A492" s="1" t="n"/>
      <c r="B492" s="20" t="n"/>
      <c r="C492" s="17" t="n"/>
      <c r="D492" s="18" t="n"/>
      <c r="E492" s="18" t="n"/>
      <c r="F492" s="1" t="n"/>
      <c r="G492">
        <f>IF(OR(B492="",C492="",D492=""),"",B492+ROW()/10000000)</f>
        <v/>
      </c>
      <c r="H492">
        <f>IF(G492="","",IF(COUNTIFS('Care log'!$C$6:$C$1505,C492,'Care log'!$D$6:$D$1505,D492,'Care log'!$G$6:$G$1505,"&gt;"&amp;G492)=0,1,0))</f>
        <v/>
      </c>
    </row>
    <row r="493">
      <c r="A493" s="1" t="n"/>
      <c r="B493" s="20" t="n"/>
      <c r="C493" s="17" t="n"/>
      <c r="D493" s="18" t="n"/>
      <c r="E493" s="18" t="n"/>
      <c r="F493" s="1" t="n"/>
      <c r="G493">
        <f>IF(OR(B493="",C493="",D493=""),"",B493+ROW()/10000000)</f>
        <v/>
      </c>
      <c r="H493">
        <f>IF(G493="","",IF(COUNTIFS('Care log'!$C$6:$C$1505,C493,'Care log'!$D$6:$D$1505,D493,'Care log'!$G$6:$G$1505,"&gt;"&amp;G493)=0,1,0))</f>
        <v/>
      </c>
    </row>
    <row r="494">
      <c r="A494" s="1" t="n"/>
      <c r="B494" s="20" t="n"/>
      <c r="C494" s="17" t="n"/>
      <c r="D494" s="18" t="n"/>
      <c r="E494" s="18" t="n"/>
      <c r="F494" s="1" t="n"/>
      <c r="G494">
        <f>IF(OR(B494="",C494="",D494=""),"",B494+ROW()/10000000)</f>
        <v/>
      </c>
      <c r="H494">
        <f>IF(G494="","",IF(COUNTIFS('Care log'!$C$6:$C$1505,C494,'Care log'!$D$6:$D$1505,D494,'Care log'!$G$6:$G$1505,"&gt;"&amp;G494)=0,1,0))</f>
        <v/>
      </c>
    </row>
    <row r="495">
      <c r="A495" s="1" t="n"/>
      <c r="B495" s="20" t="n"/>
      <c r="C495" s="17" t="n"/>
      <c r="D495" s="18" t="n"/>
      <c r="E495" s="18" t="n"/>
      <c r="F495" s="1" t="n"/>
      <c r="G495">
        <f>IF(OR(B495="",C495="",D495=""),"",B495+ROW()/10000000)</f>
        <v/>
      </c>
      <c r="H495">
        <f>IF(G495="","",IF(COUNTIFS('Care log'!$C$6:$C$1505,C495,'Care log'!$D$6:$D$1505,D495,'Care log'!$G$6:$G$1505,"&gt;"&amp;G495)=0,1,0))</f>
        <v/>
      </c>
    </row>
    <row r="496">
      <c r="A496" s="1" t="n"/>
      <c r="B496" s="20" t="n"/>
      <c r="C496" s="17" t="n"/>
      <c r="D496" s="18" t="n"/>
      <c r="E496" s="18" t="n"/>
      <c r="F496" s="1" t="n"/>
      <c r="G496">
        <f>IF(OR(B496="",C496="",D496=""),"",B496+ROW()/10000000)</f>
        <v/>
      </c>
      <c r="H496">
        <f>IF(G496="","",IF(COUNTIFS('Care log'!$C$6:$C$1505,C496,'Care log'!$D$6:$D$1505,D496,'Care log'!$G$6:$G$1505,"&gt;"&amp;G496)=0,1,0))</f>
        <v/>
      </c>
    </row>
    <row r="497">
      <c r="A497" s="1" t="n"/>
      <c r="B497" s="20" t="n"/>
      <c r="C497" s="17" t="n"/>
      <c r="D497" s="18" t="n"/>
      <c r="E497" s="18" t="n"/>
      <c r="F497" s="1" t="n"/>
      <c r="G497">
        <f>IF(OR(B497="",C497="",D497=""),"",B497+ROW()/10000000)</f>
        <v/>
      </c>
      <c r="H497">
        <f>IF(G497="","",IF(COUNTIFS('Care log'!$C$6:$C$1505,C497,'Care log'!$D$6:$D$1505,D497,'Care log'!$G$6:$G$1505,"&gt;"&amp;G497)=0,1,0))</f>
        <v/>
      </c>
    </row>
    <row r="498">
      <c r="A498" s="1" t="n"/>
      <c r="B498" s="20" t="n"/>
      <c r="C498" s="17" t="n"/>
      <c r="D498" s="18" t="n"/>
      <c r="E498" s="18" t="n"/>
      <c r="F498" s="1" t="n"/>
      <c r="G498">
        <f>IF(OR(B498="",C498="",D498=""),"",B498+ROW()/10000000)</f>
        <v/>
      </c>
      <c r="H498">
        <f>IF(G498="","",IF(COUNTIFS('Care log'!$C$6:$C$1505,C498,'Care log'!$D$6:$D$1505,D498,'Care log'!$G$6:$G$1505,"&gt;"&amp;G498)=0,1,0))</f>
        <v/>
      </c>
    </row>
    <row r="499">
      <c r="A499" s="1" t="n"/>
      <c r="B499" s="20" t="n"/>
      <c r="C499" s="17" t="n"/>
      <c r="D499" s="18" t="n"/>
      <c r="E499" s="18" t="n"/>
      <c r="F499" s="1" t="n"/>
      <c r="G499">
        <f>IF(OR(B499="",C499="",D499=""),"",B499+ROW()/10000000)</f>
        <v/>
      </c>
      <c r="H499">
        <f>IF(G499="","",IF(COUNTIFS('Care log'!$C$6:$C$1505,C499,'Care log'!$D$6:$D$1505,D499,'Care log'!$G$6:$G$1505,"&gt;"&amp;G499)=0,1,0))</f>
        <v/>
      </c>
    </row>
    <row r="500">
      <c r="A500" s="1" t="n"/>
      <c r="B500" s="20" t="n"/>
      <c r="C500" s="17" t="n"/>
      <c r="D500" s="18" t="n"/>
      <c r="E500" s="18" t="n"/>
      <c r="F500" s="1" t="n"/>
      <c r="G500">
        <f>IF(OR(B500="",C500="",D500=""),"",B500+ROW()/10000000)</f>
        <v/>
      </c>
      <c r="H500">
        <f>IF(G500="","",IF(COUNTIFS('Care log'!$C$6:$C$1505,C500,'Care log'!$D$6:$D$1505,D500,'Care log'!$G$6:$G$1505,"&gt;"&amp;G500)=0,1,0))</f>
        <v/>
      </c>
    </row>
    <row r="501">
      <c r="A501" s="1" t="n"/>
      <c r="B501" s="20" t="n"/>
      <c r="C501" s="17" t="n"/>
      <c r="D501" s="18" t="n"/>
      <c r="E501" s="18" t="n"/>
      <c r="F501" s="1" t="n"/>
      <c r="G501">
        <f>IF(OR(B501="",C501="",D501=""),"",B501+ROW()/10000000)</f>
        <v/>
      </c>
      <c r="H501">
        <f>IF(G501="","",IF(COUNTIFS('Care log'!$C$6:$C$1505,C501,'Care log'!$D$6:$D$1505,D501,'Care log'!$G$6:$G$1505,"&gt;"&amp;G501)=0,1,0))</f>
        <v/>
      </c>
    </row>
    <row r="502">
      <c r="A502" s="1" t="n"/>
      <c r="B502" s="20" t="n"/>
      <c r="C502" s="17" t="n"/>
      <c r="D502" s="18" t="n"/>
      <c r="E502" s="18" t="n"/>
      <c r="F502" s="1" t="n"/>
      <c r="G502">
        <f>IF(OR(B502="",C502="",D502=""),"",B502+ROW()/10000000)</f>
        <v/>
      </c>
      <c r="H502">
        <f>IF(G502="","",IF(COUNTIFS('Care log'!$C$6:$C$1505,C502,'Care log'!$D$6:$D$1505,D502,'Care log'!$G$6:$G$1505,"&gt;"&amp;G502)=0,1,0))</f>
        <v/>
      </c>
    </row>
    <row r="503">
      <c r="A503" s="1" t="n"/>
      <c r="B503" s="20" t="n"/>
      <c r="C503" s="17" t="n"/>
      <c r="D503" s="18" t="n"/>
      <c r="E503" s="18" t="n"/>
      <c r="F503" s="1" t="n"/>
      <c r="G503">
        <f>IF(OR(B503="",C503="",D503=""),"",B503+ROW()/10000000)</f>
        <v/>
      </c>
      <c r="H503">
        <f>IF(G503="","",IF(COUNTIFS('Care log'!$C$6:$C$1505,C503,'Care log'!$D$6:$D$1505,D503,'Care log'!$G$6:$G$1505,"&gt;"&amp;G503)=0,1,0))</f>
        <v/>
      </c>
    </row>
    <row r="504">
      <c r="A504" s="1" t="n"/>
      <c r="B504" s="20" t="n"/>
      <c r="C504" s="17" t="n"/>
      <c r="D504" s="18" t="n"/>
      <c r="E504" s="18" t="n"/>
      <c r="F504" s="1" t="n"/>
      <c r="G504">
        <f>IF(OR(B504="",C504="",D504=""),"",B504+ROW()/10000000)</f>
        <v/>
      </c>
      <c r="H504">
        <f>IF(G504="","",IF(COUNTIFS('Care log'!$C$6:$C$1505,C504,'Care log'!$D$6:$D$1505,D504,'Care log'!$G$6:$G$1505,"&gt;"&amp;G504)=0,1,0))</f>
        <v/>
      </c>
    </row>
    <row r="505">
      <c r="A505" s="1" t="n"/>
      <c r="B505" s="20" t="n"/>
      <c r="C505" s="17" t="n"/>
      <c r="D505" s="18" t="n"/>
      <c r="E505" s="18" t="n"/>
      <c r="F505" s="1" t="n"/>
      <c r="G505">
        <f>IF(OR(B505="",C505="",D505=""),"",B505+ROW()/10000000)</f>
        <v/>
      </c>
      <c r="H505">
        <f>IF(G505="","",IF(COUNTIFS('Care log'!$C$6:$C$1505,C505,'Care log'!$D$6:$D$1505,D505,'Care log'!$G$6:$G$1505,"&gt;"&amp;G505)=0,1,0))</f>
        <v/>
      </c>
    </row>
    <row r="506">
      <c r="A506" s="1" t="n"/>
      <c r="B506" s="20" t="n"/>
      <c r="C506" s="17" t="n"/>
      <c r="D506" s="18" t="n"/>
      <c r="E506" s="18" t="n"/>
      <c r="F506" s="1" t="n"/>
      <c r="G506">
        <f>IF(OR(B506="",C506="",D506=""),"",B506+ROW()/10000000)</f>
        <v/>
      </c>
      <c r="H506">
        <f>IF(G506="","",IF(COUNTIFS('Care log'!$C$6:$C$1505,C506,'Care log'!$D$6:$D$1505,D506,'Care log'!$G$6:$G$1505,"&gt;"&amp;G506)=0,1,0))</f>
        <v/>
      </c>
    </row>
    <row r="507">
      <c r="A507" s="1" t="n"/>
      <c r="B507" s="20" t="n"/>
      <c r="C507" s="17" t="n"/>
      <c r="D507" s="18" t="n"/>
      <c r="E507" s="18" t="n"/>
      <c r="F507" s="1" t="n"/>
      <c r="G507">
        <f>IF(OR(B507="",C507="",D507=""),"",B507+ROW()/10000000)</f>
        <v/>
      </c>
      <c r="H507">
        <f>IF(G507="","",IF(COUNTIFS('Care log'!$C$6:$C$1505,C507,'Care log'!$D$6:$D$1505,D507,'Care log'!$G$6:$G$1505,"&gt;"&amp;G507)=0,1,0))</f>
        <v/>
      </c>
    </row>
    <row r="508">
      <c r="A508" s="1" t="n"/>
      <c r="B508" s="20" t="n"/>
      <c r="C508" s="17" t="n"/>
      <c r="D508" s="18" t="n"/>
      <c r="E508" s="18" t="n"/>
      <c r="F508" s="1" t="n"/>
      <c r="G508">
        <f>IF(OR(B508="",C508="",D508=""),"",B508+ROW()/10000000)</f>
        <v/>
      </c>
      <c r="H508">
        <f>IF(G508="","",IF(COUNTIFS('Care log'!$C$6:$C$1505,C508,'Care log'!$D$6:$D$1505,D508,'Care log'!$G$6:$G$1505,"&gt;"&amp;G508)=0,1,0))</f>
        <v/>
      </c>
    </row>
    <row r="509">
      <c r="A509" s="1" t="n"/>
      <c r="B509" s="20" t="n"/>
      <c r="C509" s="17" t="n"/>
      <c r="D509" s="18" t="n"/>
      <c r="E509" s="18" t="n"/>
      <c r="F509" s="1" t="n"/>
      <c r="G509">
        <f>IF(OR(B509="",C509="",D509=""),"",B509+ROW()/10000000)</f>
        <v/>
      </c>
      <c r="H509">
        <f>IF(G509="","",IF(COUNTIFS('Care log'!$C$6:$C$1505,C509,'Care log'!$D$6:$D$1505,D509,'Care log'!$G$6:$G$1505,"&gt;"&amp;G509)=0,1,0))</f>
        <v/>
      </c>
    </row>
    <row r="510">
      <c r="A510" s="1" t="n"/>
      <c r="B510" s="20" t="n"/>
      <c r="C510" s="17" t="n"/>
      <c r="D510" s="18" t="n"/>
      <c r="E510" s="18" t="n"/>
      <c r="F510" s="1" t="n"/>
      <c r="G510">
        <f>IF(OR(B510="",C510="",D510=""),"",B510+ROW()/10000000)</f>
        <v/>
      </c>
      <c r="H510">
        <f>IF(G510="","",IF(COUNTIFS('Care log'!$C$6:$C$1505,C510,'Care log'!$D$6:$D$1505,D510,'Care log'!$G$6:$G$1505,"&gt;"&amp;G510)=0,1,0))</f>
        <v/>
      </c>
    </row>
    <row r="511">
      <c r="A511" s="1" t="n"/>
      <c r="B511" s="20" t="n"/>
      <c r="C511" s="17" t="n"/>
      <c r="D511" s="18" t="n"/>
      <c r="E511" s="18" t="n"/>
      <c r="F511" s="1" t="n"/>
      <c r="G511">
        <f>IF(OR(B511="",C511="",D511=""),"",B511+ROW()/10000000)</f>
        <v/>
      </c>
      <c r="H511">
        <f>IF(G511="","",IF(COUNTIFS('Care log'!$C$6:$C$1505,C511,'Care log'!$D$6:$D$1505,D511,'Care log'!$G$6:$G$1505,"&gt;"&amp;G511)=0,1,0))</f>
        <v/>
      </c>
    </row>
    <row r="512">
      <c r="A512" s="1" t="n"/>
      <c r="B512" s="20" t="n"/>
      <c r="C512" s="17" t="n"/>
      <c r="D512" s="18" t="n"/>
      <c r="E512" s="18" t="n"/>
      <c r="F512" s="1" t="n"/>
      <c r="G512">
        <f>IF(OR(B512="",C512="",D512=""),"",B512+ROW()/10000000)</f>
        <v/>
      </c>
      <c r="H512">
        <f>IF(G512="","",IF(COUNTIFS('Care log'!$C$6:$C$1505,C512,'Care log'!$D$6:$D$1505,D512,'Care log'!$G$6:$G$1505,"&gt;"&amp;G512)=0,1,0))</f>
        <v/>
      </c>
    </row>
    <row r="513">
      <c r="A513" s="1" t="n"/>
      <c r="B513" s="20" t="n"/>
      <c r="C513" s="17" t="n"/>
      <c r="D513" s="18" t="n"/>
      <c r="E513" s="18" t="n"/>
      <c r="F513" s="1" t="n"/>
      <c r="G513">
        <f>IF(OR(B513="",C513="",D513=""),"",B513+ROW()/10000000)</f>
        <v/>
      </c>
      <c r="H513">
        <f>IF(G513="","",IF(COUNTIFS('Care log'!$C$6:$C$1505,C513,'Care log'!$D$6:$D$1505,D513,'Care log'!$G$6:$G$1505,"&gt;"&amp;G513)=0,1,0))</f>
        <v/>
      </c>
    </row>
    <row r="514">
      <c r="A514" s="1" t="n"/>
      <c r="B514" s="20" t="n"/>
      <c r="C514" s="17" t="n"/>
      <c r="D514" s="18" t="n"/>
      <c r="E514" s="18" t="n"/>
      <c r="F514" s="1" t="n"/>
      <c r="G514">
        <f>IF(OR(B514="",C514="",D514=""),"",B514+ROW()/10000000)</f>
        <v/>
      </c>
      <c r="H514">
        <f>IF(G514="","",IF(COUNTIFS('Care log'!$C$6:$C$1505,C514,'Care log'!$D$6:$D$1505,D514,'Care log'!$G$6:$G$1505,"&gt;"&amp;G514)=0,1,0))</f>
        <v/>
      </c>
    </row>
    <row r="515">
      <c r="A515" s="1" t="n"/>
      <c r="B515" s="20" t="n"/>
      <c r="C515" s="17" t="n"/>
      <c r="D515" s="18" t="n"/>
      <c r="E515" s="18" t="n"/>
      <c r="F515" s="1" t="n"/>
      <c r="G515">
        <f>IF(OR(B515="",C515="",D515=""),"",B515+ROW()/10000000)</f>
        <v/>
      </c>
      <c r="H515">
        <f>IF(G515="","",IF(COUNTIFS('Care log'!$C$6:$C$1505,C515,'Care log'!$D$6:$D$1505,D515,'Care log'!$G$6:$G$1505,"&gt;"&amp;G515)=0,1,0))</f>
        <v/>
      </c>
    </row>
    <row r="516">
      <c r="A516" s="1" t="n"/>
      <c r="B516" s="20" t="n"/>
      <c r="C516" s="17" t="n"/>
      <c r="D516" s="18" t="n"/>
      <c r="E516" s="18" t="n"/>
      <c r="F516" s="1" t="n"/>
      <c r="G516">
        <f>IF(OR(B516="",C516="",D516=""),"",B516+ROW()/10000000)</f>
        <v/>
      </c>
      <c r="H516">
        <f>IF(G516="","",IF(COUNTIFS('Care log'!$C$6:$C$1505,C516,'Care log'!$D$6:$D$1505,D516,'Care log'!$G$6:$G$1505,"&gt;"&amp;G516)=0,1,0))</f>
        <v/>
      </c>
    </row>
    <row r="517">
      <c r="A517" s="1" t="n"/>
      <c r="B517" s="20" t="n"/>
      <c r="C517" s="17" t="n"/>
      <c r="D517" s="18" t="n"/>
      <c r="E517" s="18" t="n"/>
      <c r="F517" s="1" t="n"/>
      <c r="G517">
        <f>IF(OR(B517="",C517="",D517=""),"",B517+ROW()/10000000)</f>
        <v/>
      </c>
      <c r="H517">
        <f>IF(G517="","",IF(COUNTIFS('Care log'!$C$6:$C$1505,C517,'Care log'!$D$6:$D$1505,D517,'Care log'!$G$6:$G$1505,"&gt;"&amp;G517)=0,1,0))</f>
        <v/>
      </c>
    </row>
    <row r="518">
      <c r="A518" s="1" t="n"/>
      <c r="B518" s="20" t="n"/>
      <c r="C518" s="17" t="n"/>
      <c r="D518" s="18" t="n"/>
      <c r="E518" s="18" t="n"/>
      <c r="F518" s="1" t="n"/>
      <c r="G518">
        <f>IF(OR(B518="",C518="",D518=""),"",B518+ROW()/10000000)</f>
        <v/>
      </c>
      <c r="H518">
        <f>IF(G518="","",IF(COUNTIFS('Care log'!$C$6:$C$1505,C518,'Care log'!$D$6:$D$1505,D518,'Care log'!$G$6:$G$1505,"&gt;"&amp;G518)=0,1,0))</f>
        <v/>
      </c>
    </row>
    <row r="519">
      <c r="A519" s="1" t="n"/>
      <c r="B519" s="20" t="n"/>
      <c r="C519" s="17" t="n"/>
      <c r="D519" s="18" t="n"/>
      <c r="E519" s="18" t="n"/>
      <c r="F519" s="1" t="n"/>
      <c r="G519">
        <f>IF(OR(B519="",C519="",D519=""),"",B519+ROW()/10000000)</f>
        <v/>
      </c>
      <c r="H519">
        <f>IF(G519="","",IF(COUNTIFS('Care log'!$C$6:$C$1505,C519,'Care log'!$D$6:$D$1505,D519,'Care log'!$G$6:$G$1505,"&gt;"&amp;G519)=0,1,0))</f>
        <v/>
      </c>
    </row>
    <row r="520">
      <c r="A520" s="1" t="n"/>
      <c r="B520" s="20" t="n"/>
      <c r="C520" s="17" t="n"/>
      <c r="D520" s="18" t="n"/>
      <c r="E520" s="18" t="n"/>
      <c r="F520" s="1" t="n"/>
      <c r="G520">
        <f>IF(OR(B520="",C520="",D520=""),"",B520+ROW()/10000000)</f>
        <v/>
      </c>
      <c r="H520">
        <f>IF(G520="","",IF(COUNTIFS('Care log'!$C$6:$C$1505,C520,'Care log'!$D$6:$D$1505,D520,'Care log'!$G$6:$G$1505,"&gt;"&amp;G520)=0,1,0))</f>
        <v/>
      </c>
    </row>
    <row r="521">
      <c r="A521" s="1" t="n"/>
      <c r="B521" s="20" t="n"/>
      <c r="C521" s="17" t="n"/>
      <c r="D521" s="18" t="n"/>
      <c r="E521" s="18" t="n"/>
      <c r="F521" s="1" t="n"/>
      <c r="G521">
        <f>IF(OR(B521="",C521="",D521=""),"",B521+ROW()/10000000)</f>
        <v/>
      </c>
      <c r="H521">
        <f>IF(G521="","",IF(COUNTIFS('Care log'!$C$6:$C$1505,C521,'Care log'!$D$6:$D$1505,D521,'Care log'!$G$6:$G$1505,"&gt;"&amp;G521)=0,1,0))</f>
        <v/>
      </c>
    </row>
    <row r="522">
      <c r="A522" s="1" t="n"/>
      <c r="B522" s="20" t="n"/>
      <c r="C522" s="17" t="n"/>
      <c r="D522" s="18" t="n"/>
      <c r="E522" s="18" t="n"/>
      <c r="F522" s="1" t="n"/>
      <c r="G522">
        <f>IF(OR(B522="",C522="",D522=""),"",B522+ROW()/10000000)</f>
        <v/>
      </c>
      <c r="H522">
        <f>IF(G522="","",IF(COUNTIFS('Care log'!$C$6:$C$1505,C522,'Care log'!$D$6:$D$1505,D522,'Care log'!$G$6:$G$1505,"&gt;"&amp;G522)=0,1,0))</f>
        <v/>
      </c>
    </row>
    <row r="523">
      <c r="A523" s="1" t="n"/>
      <c r="B523" s="20" t="n"/>
      <c r="C523" s="17" t="n"/>
      <c r="D523" s="18" t="n"/>
      <c r="E523" s="18" t="n"/>
      <c r="F523" s="1" t="n"/>
      <c r="G523">
        <f>IF(OR(B523="",C523="",D523=""),"",B523+ROW()/10000000)</f>
        <v/>
      </c>
      <c r="H523">
        <f>IF(G523="","",IF(COUNTIFS('Care log'!$C$6:$C$1505,C523,'Care log'!$D$6:$D$1505,D523,'Care log'!$G$6:$G$1505,"&gt;"&amp;G523)=0,1,0))</f>
        <v/>
      </c>
    </row>
    <row r="524">
      <c r="A524" s="1" t="n"/>
      <c r="B524" s="20" t="n"/>
      <c r="C524" s="17" t="n"/>
      <c r="D524" s="18" t="n"/>
      <c r="E524" s="18" t="n"/>
      <c r="F524" s="1" t="n"/>
      <c r="G524">
        <f>IF(OR(B524="",C524="",D524=""),"",B524+ROW()/10000000)</f>
        <v/>
      </c>
      <c r="H524">
        <f>IF(G524="","",IF(COUNTIFS('Care log'!$C$6:$C$1505,C524,'Care log'!$D$6:$D$1505,D524,'Care log'!$G$6:$G$1505,"&gt;"&amp;G524)=0,1,0))</f>
        <v/>
      </c>
    </row>
    <row r="525">
      <c r="A525" s="1" t="n"/>
      <c r="B525" s="20" t="n"/>
      <c r="C525" s="17" t="n"/>
      <c r="D525" s="18" t="n"/>
      <c r="E525" s="18" t="n"/>
      <c r="F525" s="1" t="n"/>
      <c r="G525">
        <f>IF(OR(B525="",C525="",D525=""),"",B525+ROW()/10000000)</f>
        <v/>
      </c>
      <c r="H525">
        <f>IF(G525="","",IF(COUNTIFS('Care log'!$C$6:$C$1505,C525,'Care log'!$D$6:$D$1505,D525,'Care log'!$G$6:$G$1505,"&gt;"&amp;G525)=0,1,0))</f>
        <v/>
      </c>
    </row>
    <row r="526">
      <c r="A526" s="1" t="n"/>
      <c r="B526" s="20" t="n"/>
      <c r="C526" s="17" t="n"/>
      <c r="D526" s="18" t="n"/>
      <c r="E526" s="18" t="n"/>
      <c r="F526" s="1" t="n"/>
      <c r="G526">
        <f>IF(OR(B526="",C526="",D526=""),"",B526+ROW()/10000000)</f>
        <v/>
      </c>
      <c r="H526">
        <f>IF(G526="","",IF(COUNTIFS('Care log'!$C$6:$C$1505,C526,'Care log'!$D$6:$D$1505,D526,'Care log'!$G$6:$G$1505,"&gt;"&amp;G526)=0,1,0))</f>
        <v/>
      </c>
    </row>
    <row r="527">
      <c r="A527" s="1" t="n"/>
      <c r="B527" s="20" t="n"/>
      <c r="C527" s="17" t="n"/>
      <c r="D527" s="18" t="n"/>
      <c r="E527" s="18" t="n"/>
      <c r="F527" s="1" t="n"/>
      <c r="G527">
        <f>IF(OR(B527="",C527="",D527=""),"",B527+ROW()/10000000)</f>
        <v/>
      </c>
      <c r="H527">
        <f>IF(G527="","",IF(COUNTIFS('Care log'!$C$6:$C$1505,C527,'Care log'!$D$6:$D$1505,D527,'Care log'!$G$6:$G$1505,"&gt;"&amp;G527)=0,1,0))</f>
        <v/>
      </c>
    </row>
    <row r="528">
      <c r="A528" s="1" t="n"/>
      <c r="B528" s="20" t="n"/>
      <c r="C528" s="17" t="n"/>
      <c r="D528" s="18" t="n"/>
      <c r="E528" s="18" t="n"/>
      <c r="F528" s="1" t="n"/>
      <c r="G528">
        <f>IF(OR(B528="",C528="",D528=""),"",B528+ROW()/10000000)</f>
        <v/>
      </c>
      <c r="H528">
        <f>IF(G528="","",IF(COUNTIFS('Care log'!$C$6:$C$1505,C528,'Care log'!$D$6:$D$1505,D528,'Care log'!$G$6:$G$1505,"&gt;"&amp;G528)=0,1,0))</f>
        <v/>
      </c>
    </row>
    <row r="529">
      <c r="A529" s="1" t="n"/>
      <c r="B529" s="20" t="n"/>
      <c r="C529" s="17" t="n"/>
      <c r="D529" s="18" t="n"/>
      <c r="E529" s="18" t="n"/>
      <c r="F529" s="1" t="n"/>
      <c r="G529">
        <f>IF(OR(B529="",C529="",D529=""),"",B529+ROW()/10000000)</f>
        <v/>
      </c>
      <c r="H529">
        <f>IF(G529="","",IF(COUNTIFS('Care log'!$C$6:$C$1505,C529,'Care log'!$D$6:$D$1505,D529,'Care log'!$G$6:$G$1505,"&gt;"&amp;G529)=0,1,0))</f>
        <v/>
      </c>
    </row>
    <row r="530">
      <c r="A530" s="1" t="n"/>
      <c r="B530" s="20" t="n"/>
      <c r="C530" s="17" t="n"/>
      <c r="D530" s="18" t="n"/>
      <c r="E530" s="18" t="n"/>
      <c r="F530" s="1" t="n"/>
      <c r="G530">
        <f>IF(OR(B530="",C530="",D530=""),"",B530+ROW()/10000000)</f>
        <v/>
      </c>
      <c r="H530">
        <f>IF(G530="","",IF(COUNTIFS('Care log'!$C$6:$C$1505,C530,'Care log'!$D$6:$D$1505,D530,'Care log'!$G$6:$G$1505,"&gt;"&amp;G530)=0,1,0))</f>
        <v/>
      </c>
    </row>
    <row r="531">
      <c r="A531" s="1" t="n"/>
      <c r="B531" s="20" t="n"/>
      <c r="C531" s="17" t="n"/>
      <c r="D531" s="18" t="n"/>
      <c r="E531" s="18" t="n"/>
      <c r="F531" s="1" t="n"/>
      <c r="G531">
        <f>IF(OR(B531="",C531="",D531=""),"",B531+ROW()/10000000)</f>
        <v/>
      </c>
      <c r="H531">
        <f>IF(G531="","",IF(COUNTIFS('Care log'!$C$6:$C$1505,C531,'Care log'!$D$6:$D$1505,D531,'Care log'!$G$6:$G$1505,"&gt;"&amp;G531)=0,1,0))</f>
        <v/>
      </c>
    </row>
    <row r="532">
      <c r="A532" s="1" t="n"/>
      <c r="B532" s="20" t="n"/>
      <c r="C532" s="17" t="n"/>
      <c r="D532" s="18" t="n"/>
      <c r="E532" s="18" t="n"/>
      <c r="F532" s="1" t="n"/>
      <c r="G532">
        <f>IF(OR(B532="",C532="",D532=""),"",B532+ROW()/10000000)</f>
        <v/>
      </c>
      <c r="H532">
        <f>IF(G532="","",IF(COUNTIFS('Care log'!$C$6:$C$1505,C532,'Care log'!$D$6:$D$1505,D532,'Care log'!$G$6:$G$1505,"&gt;"&amp;G532)=0,1,0))</f>
        <v/>
      </c>
    </row>
    <row r="533">
      <c r="A533" s="1" t="n"/>
      <c r="B533" s="20" t="n"/>
      <c r="C533" s="17" t="n"/>
      <c r="D533" s="18" t="n"/>
      <c r="E533" s="18" t="n"/>
      <c r="F533" s="1" t="n"/>
      <c r="G533">
        <f>IF(OR(B533="",C533="",D533=""),"",B533+ROW()/10000000)</f>
        <v/>
      </c>
      <c r="H533">
        <f>IF(G533="","",IF(COUNTIFS('Care log'!$C$6:$C$1505,C533,'Care log'!$D$6:$D$1505,D533,'Care log'!$G$6:$G$1505,"&gt;"&amp;G533)=0,1,0))</f>
        <v/>
      </c>
    </row>
    <row r="534">
      <c r="A534" s="1" t="n"/>
      <c r="B534" s="20" t="n"/>
      <c r="C534" s="17" t="n"/>
      <c r="D534" s="18" t="n"/>
      <c r="E534" s="18" t="n"/>
      <c r="F534" s="1" t="n"/>
      <c r="G534">
        <f>IF(OR(B534="",C534="",D534=""),"",B534+ROW()/10000000)</f>
        <v/>
      </c>
      <c r="H534">
        <f>IF(G534="","",IF(COUNTIFS('Care log'!$C$6:$C$1505,C534,'Care log'!$D$6:$D$1505,D534,'Care log'!$G$6:$G$1505,"&gt;"&amp;G534)=0,1,0))</f>
        <v/>
      </c>
    </row>
    <row r="535">
      <c r="A535" s="1" t="n"/>
      <c r="B535" s="20" t="n"/>
      <c r="C535" s="17" t="n"/>
      <c r="D535" s="18" t="n"/>
      <c r="E535" s="18" t="n"/>
      <c r="F535" s="1" t="n"/>
      <c r="G535">
        <f>IF(OR(B535="",C535="",D535=""),"",B535+ROW()/10000000)</f>
        <v/>
      </c>
      <c r="H535">
        <f>IF(G535="","",IF(COUNTIFS('Care log'!$C$6:$C$1505,C535,'Care log'!$D$6:$D$1505,D535,'Care log'!$G$6:$G$1505,"&gt;"&amp;G535)=0,1,0))</f>
        <v/>
      </c>
    </row>
    <row r="536">
      <c r="A536" s="1" t="n"/>
      <c r="B536" s="20" t="n"/>
      <c r="C536" s="17" t="n"/>
      <c r="D536" s="18" t="n"/>
      <c r="E536" s="18" t="n"/>
      <c r="F536" s="1" t="n"/>
      <c r="G536">
        <f>IF(OR(B536="",C536="",D536=""),"",B536+ROW()/10000000)</f>
        <v/>
      </c>
      <c r="H536">
        <f>IF(G536="","",IF(COUNTIFS('Care log'!$C$6:$C$1505,C536,'Care log'!$D$6:$D$1505,D536,'Care log'!$G$6:$G$1505,"&gt;"&amp;G536)=0,1,0))</f>
        <v/>
      </c>
    </row>
    <row r="537">
      <c r="A537" s="1" t="n"/>
      <c r="B537" s="20" t="n"/>
      <c r="C537" s="17" t="n"/>
      <c r="D537" s="18" t="n"/>
      <c r="E537" s="18" t="n"/>
      <c r="F537" s="1" t="n"/>
      <c r="G537">
        <f>IF(OR(B537="",C537="",D537=""),"",B537+ROW()/10000000)</f>
        <v/>
      </c>
      <c r="H537">
        <f>IF(G537="","",IF(COUNTIFS('Care log'!$C$6:$C$1505,C537,'Care log'!$D$6:$D$1505,D537,'Care log'!$G$6:$G$1505,"&gt;"&amp;G537)=0,1,0))</f>
        <v/>
      </c>
    </row>
    <row r="538">
      <c r="A538" s="1" t="n"/>
      <c r="B538" s="20" t="n"/>
      <c r="C538" s="17" t="n"/>
      <c r="D538" s="18" t="n"/>
      <c r="E538" s="18" t="n"/>
      <c r="F538" s="1" t="n"/>
      <c r="G538">
        <f>IF(OR(B538="",C538="",D538=""),"",B538+ROW()/10000000)</f>
        <v/>
      </c>
      <c r="H538">
        <f>IF(G538="","",IF(COUNTIFS('Care log'!$C$6:$C$1505,C538,'Care log'!$D$6:$D$1505,D538,'Care log'!$G$6:$G$1505,"&gt;"&amp;G538)=0,1,0))</f>
        <v/>
      </c>
    </row>
    <row r="539">
      <c r="A539" s="1" t="n"/>
      <c r="B539" s="20" t="n"/>
      <c r="C539" s="17" t="n"/>
      <c r="D539" s="18" t="n"/>
      <c r="E539" s="18" t="n"/>
      <c r="F539" s="1" t="n"/>
      <c r="G539">
        <f>IF(OR(B539="",C539="",D539=""),"",B539+ROW()/10000000)</f>
        <v/>
      </c>
      <c r="H539">
        <f>IF(G539="","",IF(COUNTIFS('Care log'!$C$6:$C$1505,C539,'Care log'!$D$6:$D$1505,D539,'Care log'!$G$6:$G$1505,"&gt;"&amp;G539)=0,1,0))</f>
        <v/>
      </c>
    </row>
    <row r="540">
      <c r="A540" s="1" t="n"/>
      <c r="B540" s="20" t="n"/>
      <c r="C540" s="17" t="n"/>
      <c r="D540" s="18" t="n"/>
      <c r="E540" s="18" t="n"/>
      <c r="F540" s="1" t="n"/>
      <c r="G540">
        <f>IF(OR(B540="",C540="",D540=""),"",B540+ROW()/10000000)</f>
        <v/>
      </c>
      <c r="H540">
        <f>IF(G540="","",IF(COUNTIFS('Care log'!$C$6:$C$1505,C540,'Care log'!$D$6:$D$1505,D540,'Care log'!$G$6:$G$1505,"&gt;"&amp;G540)=0,1,0))</f>
        <v/>
      </c>
    </row>
    <row r="541">
      <c r="A541" s="1" t="n"/>
      <c r="B541" s="20" t="n"/>
      <c r="C541" s="17" t="n"/>
      <c r="D541" s="18" t="n"/>
      <c r="E541" s="18" t="n"/>
      <c r="F541" s="1" t="n"/>
      <c r="G541">
        <f>IF(OR(B541="",C541="",D541=""),"",B541+ROW()/10000000)</f>
        <v/>
      </c>
      <c r="H541">
        <f>IF(G541="","",IF(COUNTIFS('Care log'!$C$6:$C$1505,C541,'Care log'!$D$6:$D$1505,D541,'Care log'!$G$6:$G$1505,"&gt;"&amp;G541)=0,1,0))</f>
        <v/>
      </c>
    </row>
    <row r="542">
      <c r="A542" s="1" t="n"/>
      <c r="B542" s="20" t="n"/>
      <c r="C542" s="17" t="n"/>
      <c r="D542" s="18" t="n"/>
      <c r="E542" s="18" t="n"/>
      <c r="F542" s="1" t="n"/>
      <c r="G542">
        <f>IF(OR(B542="",C542="",D542=""),"",B542+ROW()/10000000)</f>
        <v/>
      </c>
      <c r="H542">
        <f>IF(G542="","",IF(COUNTIFS('Care log'!$C$6:$C$1505,C542,'Care log'!$D$6:$D$1505,D542,'Care log'!$G$6:$G$1505,"&gt;"&amp;G542)=0,1,0))</f>
        <v/>
      </c>
    </row>
    <row r="543">
      <c r="A543" s="1" t="n"/>
      <c r="B543" s="20" t="n"/>
      <c r="C543" s="17" t="n"/>
      <c r="D543" s="18" t="n"/>
      <c r="E543" s="18" t="n"/>
      <c r="F543" s="1" t="n"/>
      <c r="G543">
        <f>IF(OR(B543="",C543="",D543=""),"",B543+ROW()/10000000)</f>
        <v/>
      </c>
      <c r="H543">
        <f>IF(G543="","",IF(COUNTIFS('Care log'!$C$6:$C$1505,C543,'Care log'!$D$6:$D$1505,D543,'Care log'!$G$6:$G$1505,"&gt;"&amp;G543)=0,1,0))</f>
        <v/>
      </c>
    </row>
    <row r="544">
      <c r="A544" s="1" t="n"/>
      <c r="B544" s="20" t="n"/>
      <c r="C544" s="17" t="n"/>
      <c r="D544" s="18" t="n"/>
      <c r="E544" s="18" t="n"/>
      <c r="F544" s="1" t="n"/>
      <c r="G544">
        <f>IF(OR(B544="",C544="",D544=""),"",B544+ROW()/10000000)</f>
        <v/>
      </c>
      <c r="H544">
        <f>IF(G544="","",IF(COUNTIFS('Care log'!$C$6:$C$1505,C544,'Care log'!$D$6:$D$1505,D544,'Care log'!$G$6:$G$1505,"&gt;"&amp;G544)=0,1,0))</f>
        <v/>
      </c>
    </row>
    <row r="545">
      <c r="A545" s="1" t="n"/>
      <c r="B545" s="20" t="n"/>
      <c r="C545" s="17" t="n"/>
      <c r="D545" s="18" t="n"/>
      <c r="E545" s="18" t="n"/>
      <c r="F545" s="1" t="n"/>
      <c r="G545">
        <f>IF(OR(B545="",C545="",D545=""),"",B545+ROW()/10000000)</f>
        <v/>
      </c>
      <c r="H545">
        <f>IF(G545="","",IF(COUNTIFS('Care log'!$C$6:$C$1505,C545,'Care log'!$D$6:$D$1505,D545,'Care log'!$G$6:$G$1505,"&gt;"&amp;G545)=0,1,0))</f>
        <v/>
      </c>
    </row>
    <row r="546">
      <c r="A546" s="1" t="n"/>
      <c r="B546" s="20" t="n"/>
      <c r="C546" s="17" t="n"/>
      <c r="D546" s="18" t="n"/>
      <c r="E546" s="18" t="n"/>
      <c r="F546" s="1" t="n"/>
      <c r="G546">
        <f>IF(OR(B546="",C546="",D546=""),"",B546+ROW()/10000000)</f>
        <v/>
      </c>
      <c r="H546">
        <f>IF(G546="","",IF(COUNTIFS('Care log'!$C$6:$C$1505,C546,'Care log'!$D$6:$D$1505,D546,'Care log'!$G$6:$G$1505,"&gt;"&amp;G546)=0,1,0))</f>
        <v/>
      </c>
    </row>
    <row r="547">
      <c r="A547" s="1" t="n"/>
      <c r="B547" s="20" t="n"/>
      <c r="C547" s="17" t="n"/>
      <c r="D547" s="18" t="n"/>
      <c r="E547" s="18" t="n"/>
      <c r="F547" s="1" t="n"/>
      <c r="G547">
        <f>IF(OR(B547="",C547="",D547=""),"",B547+ROW()/10000000)</f>
        <v/>
      </c>
      <c r="H547">
        <f>IF(G547="","",IF(COUNTIFS('Care log'!$C$6:$C$1505,C547,'Care log'!$D$6:$D$1505,D547,'Care log'!$G$6:$G$1505,"&gt;"&amp;G547)=0,1,0))</f>
        <v/>
      </c>
    </row>
    <row r="548">
      <c r="A548" s="1" t="n"/>
      <c r="B548" s="20" t="n"/>
      <c r="C548" s="17" t="n"/>
      <c r="D548" s="18" t="n"/>
      <c r="E548" s="18" t="n"/>
      <c r="F548" s="1" t="n"/>
      <c r="G548">
        <f>IF(OR(B548="",C548="",D548=""),"",B548+ROW()/10000000)</f>
        <v/>
      </c>
      <c r="H548">
        <f>IF(G548="","",IF(COUNTIFS('Care log'!$C$6:$C$1505,C548,'Care log'!$D$6:$D$1505,D548,'Care log'!$G$6:$G$1505,"&gt;"&amp;G548)=0,1,0))</f>
        <v/>
      </c>
    </row>
    <row r="549">
      <c r="A549" s="1" t="n"/>
      <c r="B549" s="20" t="n"/>
      <c r="C549" s="17" t="n"/>
      <c r="D549" s="18" t="n"/>
      <c r="E549" s="18" t="n"/>
      <c r="F549" s="1" t="n"/>
      <c r="G549">
        <f>IF(OR(B549="",C549="",D549=""),"",B549+ROW()/10000000)</f>
        <v/>
      </c>
      <c r="H549">
        <f>IF(G549="","",IF(COUNTIFS('Care log'!$C$6:$C$1505,C549,'Care log'!$D$6:$D$1505,D549,'Care log'!$G$6:$G$1505,"&gt;"&amp;G549)=0,1,0))</f>
        <v/>
      </c>
    </row>
    <row r="550">
      <c r="A550" s="1" t="n"/>
      <c r="B550" s="20" t="n"/>
      <c r="C550" s="17" t="n"/>
      <c r="D550" s="18" t="n"/>
      <c r="E550" s="18" t="n"/>
      <c r="F550" s="1" t="n"/>
      <c r="G550">
        <f>IF(OR(B550="",C550="",D550=""),"",B550+ROW()/10000000)</f>
        <v/>
      </c>
      <c r="H550">
        <f>IF(G550="","",IF(COUNTIFS('Care log'!$C$6:$C$1505,C550,'Care log'!$D$6:$D$1505,D550,'Care log'!$G$6:$G$1505,"&gt;"&amp;G550)=0,1,0))</f>
        <v/>
      </c>
    </row>
    <row r="551">
      <c r="A551" s="1" t="n"/>
      <c r="B551" s="20" t="n"/>
      <c r="C551" s="17" t="n"/>
      <c r="D551" s="18" t="n"/>
      <c r="E551" s="18" t="n"/>
      <c r="F551" s="1" t="n"/>
      <c r="G551">
        <f>IF(OR(B551="",C551="",D551=""),"",B551+ROW()/10000000)</f>
        <v/>
      </c>
      <c r="H551">
        <f>IF(G551="","",IF(COUNTIFS('Care log'!$C$6:$C$1505,C551,'Care log'!$D$6:$D$1505,D551,'Care log'!$G$6:$G$1505,"&gt;"&amp;G551)=0,1,0))</f>
        <v/>
      </c>
    </row>
    <row r="552">
      <c r="A552" s="1" t="n"/>
      <c r="B552" s="20" t="n"/>
      <c r="C552" s="17" t="n"/>
      <c r="D552" s="18" t="n"/>
      <c r="E552" s="18" t="n"/>
      <c r="F552" s="1" t="n"/>
      <c r="G552">
        <f>IF(OR(B552="",C552="",D552=""),"",B552+ROW()/10000000)</f>
        <v/>
      </c>
      <c r="H552">
        <f>IF(G552="","",IF(COUNTIFS('Care log'!$C$6:$C$1505,C552,'Care log'!$D$6:$D$1505,D552,'Care log'!$G$6:$G$1505,"&gt;"&amp;G552)=0,1,0))</f>
        <v/>
      </c>
    </row>
    <row r="553">
      <c r="A553" s="1" t="n"/>
      <c r="B553" s="20" t="n"/>
      <c r="C553" s="17" t="n"/>
      <c r="D553" s="18" t="n"/>
      <c r="E553" s="18" t="n"/>
      <c r="F553" s="1" t="n"/>
      <c r="G553">
        <f>IF(OR(B553="",C553="",D553=""),"",B553+ROW()/10000000)</f>
        <v/>
      </c>
      <c r="H553">
        <f>IF(G553="","",IF(COUNTIFS('Care log'!$C$6:$C$1505,C553,'Care log'!$D$6:$D$1505,D553,'Care log'!$G$6:$G$1505,"&gt;"&amp;G553)=0,1,0))</f>
        <v/>
      </c>
    </row>
    <row r="554">
      <c r="A554" s="1" t="n"/>
      <c r="B554" s="20" t="n"/>
      <c r="C554" s="17" t="n"/>
      <c r="D554" s="18" t="n"/>
      <c r="E554" s="18" t="n"/>
      <c r="F554" s="1" t="n"/>
      <c r="G554">
        <f>IF(OR(B554="",C554="",D554=""),"",B554+ROW()/10000000)</f>
        <v/>
      </c>
      <c r="H554">
        <f>IF(G554="","",IF(COUNTIFS('Care log'!$C$6:$C$1505,C554,'Care log'!$D$6:$D$1505,D554,'Care log'!$G$6:$G$1505,"&gt;"&amp;G554)=0,1,0))</f>
        <v/>
      </c>
    </row>
    <row r="555">
      <c r="A555" s="1" t="n"/>
      <c r="B555" s="20" t="n"/>
      <c r="C555" s="17" t="n"/>
      <c r="D555" s="18" t="n"/>
      <c r="E555" s="18" t="n"/>
      <c r="F555" s="1" t="n"/>
      <c r="G555">
        <f>IF(OR(B555="",C555="",D555=""),"",B555+ROW()/10000000)</f>
        <v/>
      </c>
      <c r="H555">
        <f>IF(G555="","",IF(COUNTIFS('Care log'!$C$6:$C$1505,C555,'Care log'!$D$6:$D$1505,D555,'Care log'!$G$6:$G$1505,"&gt;"&amp;G555)=0,1,0))</f>
        <v/>
      </c>
    </row>
    <row r="556">
      <c r="A556" s="1" t="n"/>
      <c r="B556" s="20" t="n"/>
      <c r="C556" s="17" t="n"/>
      <c r="D556" s="18" t="n"/>
      <c r="E556" s="18" t="n"/>
      <c r="F556" s="1" t="n"/>
      <c r="G556">
        <f>IF(OR(B556="",C556="",D556=""),"",B556+ROW()/10000000)</f>
        <v/>
      </c>
      <c r="H556">
        <f>IF(G556="","",IF(COUNTIFS('Care log'!$C$6:$C$1505,C556,'Care log'!$D$6:$D$1505,D556,'Care log'!$G$6:$G$1505,"&gt;"&amp;G556)=0,1,0))</f>
        <v/>
      </c>
    </row>
    <row r="557">
      <c r="A557" s="1" t="n"/>
      <c r="B557" s="20" t="n"/>
      <c r="C557" s="17" t="n"/>
      <c r="D557" s="18" t="n"/>
      <c r="E557" s="18" t="n"/>
      <c r="F557" s="1" t="n"/>
      <c r="G557">
        <f>IF(OR(B557="",C557="",D557=""),"",B557+ROW()/10000000)</f>
        <v/>
      </c>
      <c r="H557">
        <f>IF(G557="","",IF(COUNTIFS('Care log'!$C$6:$C$1505,C557,'Care log'!$D$6:$D$1505,D557,'Care log'!$G$6:$G$1505,"&gt;"&amp;G557)=0,1,0))</f>
        <v/>
      </c>
    </row>
    <row r="558">
      <c r="A558" s="1" t="n"/>
      <c r="B558" s="20" t="n"/>
      <c r="C558" s="17" t="n"/>
      <c r="D558" s="18" t="n"/>
      <c r="E558" s="18" t="n"/>
      <c r="F558" s="1" t="n"/>
      <c r="G558">
        <f>IF(OR(B558="",C558="",D558=""),"",B558+ROW()/10000000)</f>
        <v/>
      </c>
      <c r="H558">
        <f>IF(G558="","",IF(COUNTIFS('Care log'!$C$6:$C$1505,C558,'Care log'!$D$6:$D$1505,D558,'Care log'!$G$6:$G$1505,"&gt;"&amp;G558)=0,1,0))</f>
        <v/>
      </c>
    </row>
    <row r="559">
      <c r="A559" s="1" t="n"/>
      <c r="B559" s="20" t="n"/>
      <c r="C559" s="17" t="n"/>
      <c r="D559" s="18" t="n"/>
      <c r="E559" s="18" t="n"/>
      <c r="F559" s="1" t="n"/>
      <c r="G559">
        <f>IF(OR(B559="",C559="",D559=""),"",B559+ROW()/10000000)</f>
        <v/>
      </c>
      <c r="H559">
        <f>IF(G559="","",IF(COUNTIFS('Care log'!$C$6:$C$1505,C559,'Care log'!$D$6:$D$1505,D559,'Care log'!$G$6:$G$1505,"&gt;"&amp;G559)=0,1,0))</f>
        <v/>
      </c>
    </row>
    <row r="560">
      <c r="A560" s="1" t="n"/>
      <c r="B560" s="20" t="n"/>
      <c r="C560" s="17" t="n"/>
      <c r="D560" s="18" t="n"/>
      <c r="E560" s="18" t="n"/>
      <c r="F560" s="1" t="n"/>
      <c r="G560">
        <f>IF(OR(B560="",C560="",D560=""),"",B560+ROW()/10000000)</f>
        <v/>
      </c>
      <c r="H560">
        <f>IF(G560="","",IF(COUNTIFS('Care log'!$C$6:$C$1505,C560,'Care log'!$D$6:$D$1505,D560,'Care log'!$G$6:$G$1505,"&gt;"&amp;G560)=0,1,0))</f>
        <v/>
      </c>
    </row>
    <row r="561">
      <c r="A561" s="1" t="n"/>
      <c r="B561" s="20" t="n"/>
      <c r="C561" s="17" t="n"/>
      <c r="D561" s="18" t="n"/>
      <c r="E561" s="18" t="n"/>
      <c r="F561" s="1" t="n"/>
      <c r="G561">
        <f>IF(OR(B561="",C561="",D561=""),"",B561+ROW()/10000000)</f>
        <v/>
      </c>
      <c r="H561">
        <f>IF(G561="","",IF(COUNTIFS('Care log'!$C$6:$C$1505,C561,'Care log'!$D$6:$D$1505,D561,'Care log'!$G$6:$G$1505,"&gt;"&amp;G561)=0,1,0))</f>
        <v/>
      </c>
    </row>
    <row r="562">
      <c r="A562" s="1" t="n"/>
      <c r="B562" s="20" t="n"/>
      <c r="C562" s="17" t="n"/>
      <c r="D562" s="18" t="n"/>
      <c r="E562" s="18" t="n"/>
      <c r="F562" s="1" t="n"/>
      <c r="G562">
        <f>IF(OR(B562="",C562="",D562=""),"",B562+ROW()/10000000)</f>
        <v/>
      </c>
      <c r="H562">
        <f>IF(G562="","",IF(COUNTIFS('Care log'!$C$6:$C$1505,C562,'Care log'!$D$6:$D$1505,D562,'Care log'!$G$6:$G$1505,"&gt;"&amp;G562)=0,1,0))</f>
        <v/>
      </c>
    </row>
    <row r="563">
      <c r="A563" s="1" t="n"/>
      <c r="B563" s="20" t="n"/>
      <c r="C563" s="17" t="n"/>
      <c r="D563" s="18" t="n"/>
      <c r="E563" s="18" t="n"/>
      <c r="F563" s="1" t="n"/>
      <c r="G563">
        <f>IF(OR(B563="",C563="",D563=""),"",B563+ROW()/10000000)</f>
        <v/>
      </c>
      <c r="H563">
        <f>IF(G563="","",IF(COUNTIFS('Care log'!$C$6:$C$1505,C563,'Care log'!$D$6:$D$1505,D563,'Care log'!$G$6:$G$1505,"&gt;"&amp;G563)=0,1,0))</f>
        <v/>
      </c>
    </row>
    <row r="564">
      <c r="A564" s="1" t="n"/>
      <c r="B564" s="20" t="n"/>
      <c r="C564" s="17" t="n"/>
      <c r="D564" s="18" t="n"/>
      <c r="E564" s="18" t="n"/>
      <c r="F564" s="1" t="n"/>
      <c r="G564">
        <f>IF(OR(B564="",C564="",D564=""),"",B564+ROW()/10000000)</f>
        <v/>
      </c>
      <c r="H564">
        <f>IF(G564="","",IF(COUNTIFS('Care log'!$C$6:$C$1505,C564,'Care log'!$D$6:$D$1505,D564,'Care log'!$G$6:$G$1505,"&gt;"&amp;G564)=0,1,0))</f>
        <v/>
      </c>
    </row>
    <row r="565">
      <c r="A565" s="1" t="n"/>
      <c r="B565" s="20" t="n"/>
      <c r="C565" s="17" t="n"/>
      <c r="D565" s="18" t="n"/>
      <c r="E565" s="18" t="n"/>
      <c r="F565" s="1" t="n"/>
      <c r="G565">
        <f>IF(OR(B565="",C565="",D565=""),"",B565+ROW()/10000000)</f>
        <v/>
      </c>
      <c r="H565">
        <f>IF(G565="","",IF(COUNTIFS('Care log'!$C$6:$C$1505,C565,'Care log'!$D$6:$D$1505,D565,'Care log'!$G$6:$G$1505,"&gt;"&amp;G565)=0,1,0))</f>
        <v/>
      </c>
    </row>
    <row r="566">
      <c r="A566" s="1" t="n"/>
      <c r="B566" s="20" t="n"/>
      <c r="C566" s="17" t="n"/>
      <c r="D566" s="18" t="n"/>
      <c r="E566" s="18" t="n"/>
      <c r="F566" s="1" t="n"/>
      <c r="G566">
        <f>IF(OR(B566="",C566="",D566=""),"",B566+ROW()/10000000)</f>
        <v/>
      </c>
      <c r="H566">
        <f>IF(G566="","",IF(COUNTIFS('Care log'!$C$6:$C$1505,C566,'Care log'!$D$6:$D$1505,D566,'Care log'!$G$6:$G$1505,"&gt;"&amp;G566)=0,1,0))</f>
        <v/>
      </c>
    </row>
    <row r="567">
      <c r="A567" s="1" t="n"/>
      <c r="B567" s="20" t="n"/>
      <c r="C567" s="17" t="n"/>
      <c r="D567" s="18" t="n"/>
      <c r="E567" s="18" t="n"/>
      <c r="F567" s="1" t="n"/>
      <c r="G567">
        <f>IF(OR(B567="",C567="",D567=""),"",B567+ROW()/10000000)</f>
        <v/>
      </c>
      <c r="H567">
        <f>IF(G567="","",IF(COUNTIFS('Care log'!$C$6:$C$1505,C567,'Care log'!$D$6:$D$1505,D567,'Care log'!$G$6:$G$1505,"&gt;"&amp;G567)=0,1,0))</f>
        <v/>
      </c>
    </row>
    <row r="568">
      <c r="A568" s="1" t="n"/>
      <c r="B568" s="20" t="n"/>
      <c r="C568" s="17" t="n"/>
      <c r="D568" s="18" t="n"/>
      <c r="E568" s="18" t="n"/>
      <c r="F568" s="1" t="n"/>
      <c r="G568">
        <f>IF(OR(B568="",C568="",D568=""),"",B568+ROW()/10000000)</f>
        <v/>
      </c>
      <c r="H568">
        <f>IF(G568="","",IF(COUNTIFS('Care log'!$C$6:$C$1505,C568,'Care log'!$D$6:$D$1505,D568,'Care log'!$G$6:$G$1505,"&gt;"&amp;G568)=0,1,0))</f>
        <v/>
      </c>
    </row>
    <row r="569">
      <c r="A569" s="1" t="n"/>
      <c r="B569" s="20" t="n"/>
      <c r="C569" s="17" t="n"/>
      <c r="D569" s="18" t="n"/>
      <c r="E569" s="18" t="n"/>
      <c r="F569" s="1" t="n"/>
      <c r="G569">
        <f>IF(OR(B569="",C569="",D569=""),"",B569+ROW()/10000000)</f>
        <v/>
      </c>
      <c r="H569">
        <f>IF(G569="","",IF(COUNTIFS('Care log'!$C$6:$C$1505,C569,'Care log'!$D$6:$D$1505,D569,'Care log'!$G$6:$G$1505,"&gt;"&amp;G569)=0,1,0))</f>
        <v/>
      </c>
    </row>
    <row r="570">
      <c r="A570" s="1" t="n"/>
      <c r="B570" s="20" t="n"/>
      <c r="C570" s="17" t="n"/>
      <c r="D570" s="18" t="n"/>
      <c r="E570" s="18" t="n"/>
      <c r="F570" s="1" t="n"/>
      <c r="G570">
        <f>IF(OR(B570="",C570="",D570=""),"",B570+ROW()/10000000)</f>
        <v/>
      </c>
      <c r="H570">
        <f>IF(G570="","",IF(COUNTIFS('Care log'!$C$6:$C$1505,C570,'Care log'!$D$6:$D$1505,D570,'Care log'!$G$6:$G$1505,"&gt;"&amp;G570)=0,1,0))</f>
        <v/>
      </c>
    </row>
    <row r="571">
      <c r="A571" s="1" t="n"/>
      <c r="B571" s="20" t="n"/>
      <c r="C571" s="17" t="n"/>
      <c r="D571" s="18" t="n"/>
      <c r="E571" s="18" t="n"/>
      <c r="F571" s="1" t="n"/>
      <c r="G571">
        <f>IF(OR(B571="",C571="",D571=""),"",B571+ROW()/10000000)</f>
        <v/>
      </c>
      <c r="H571">
        <f>IF(G571="","",IF(COUNTIFS('Care log'!$C$6:$C$1505,C571,'Care log'!$D$6:$D$1505,D571,'Care log'!$G$6:$G$1505,"&gt;"&amp;G571)=0,1,0))</f>
        <v/>
      </c>
    </row>
    <row r="572">
      <c r="A572" s="1" t="n"/>
      <c r="B572" s="20" t="n"/>
      <c r="C572" s="17" t="n"/>
      <c r="D572" s="18" t="n"/>
      <c r="E572" s="18" t="n"/>
      <c r="F572" s="1" t="n"/>
      <c r="G572">
        <f>IF(OR(B572="",C572="",D572=""),"",B572+ROW()/10000000)</f>
        <v/>
      </c>
      <c r="H572">
        <f>IF(G572="","",IF(COUNTIFS('Care log'!$C$6:$C$1505,C572,'Care log'!$D$6:$D$1505,D572,'Care log'!$G$6:$G$1505,"&gt;"&amp;G572)=0,1,0))</f>
        <v/>
      </c>
    </row>
    <row r="573">
      <c r="A573" s="1" t="n"/>
      <c r="B573" s="20" t="n"/>
      <c r="C573" s="17" t="n"/>
      <c r="D573" s="18" t="n"/>
      <c r="E573" s="18" t="n"/>
      <c r="F573" s="1" t="n"/>
      <c r="G573">
        <f>IF(OR(B573="",C573="",D573=""),"",B573+ROW()/10000000)</f>
        <v/>
      </c>
      <c r="H573">
        <f>IF(G573="","",IF(COUNTIFS('Care log'!$C$6:$C$1505,C573,'Care log'!$D$6:$D$1505,D573,'Care log'!$G$6:$G$1505,"&gt;"&amp;G573)=0,1,0))</f>
        <v/>
      </c>
    </row>
    <row r="574">
      <c r="A574" s="1" t="n"/>
      <c r="B574" s="20" t="n"/>
      <c r="C574" s="17" t="n"/>
      <c r="D574" s="18" t="n"/>
      <c r="E574" s="18" t="n"/>
      <c r="F574" s="1" t="n"/>
      <c r="G574">
        <f>IF(OR(B574="",C574="",D574=""),"",B574+ROW()/10000000)</f>
        <v/>
      </c>
      <c r="H574">
        <f>IF(G574="","",IF(COUNTIFS('Care log'!$C$6:$C$1505,C574,'Care log'!$D$6:$D$1505,D574,'Care log'!$G$6:$G$1505,"&gt;"&amp;G574)=0,1,0))</f>
        <v/>
      </c>
    </row>
    <row r="575">
      <c r="A575" s="1" t="n"/>
      <c r="B575" s="20" t="n"/>
      <c r="C575" s="17" t="n"/>
      <c r="D575" s="18" t="n"/>
      <c r="E575" s="18" t="n"/>
      <c r="F575" s="1" t="n"/>
      <c r="G575">
        <f>IF(OR(B575="",C575="",D575=""),"",B575+ROW()/10000000)</f>
        <v/>
      </c>
      <c r="H575">
        <f>IF(G575="","",IF(COUNTIFS('Care log'!$C$6:$C$1505,C575,'Care log'!$D$6:$D$1505,D575,'Care log'!$G$6:$G$1505,"&gt;"&amp;G575)=0,1,0))</f>
        <v/>
      </c>
    </row>
    <row r="576">
      <c r="A576" s="1" t="n"/>
      <c r="B576" s="20" t="n"/>
      <c r="C576" s="17" t="n"/>
      <c r="D576" s="18" t="n"/>
      <c r="E576" s="18" t="n"/>
      <c r="F576" s="1" t="n"/>
      <c r="G576">
        <f>IF(OR(B576="",C576="",D576=""),"",B576+ROW()/10000000)</f>
        <v/>
      </c>
      <c r="H576">
        <f>IF(G576="","",IF(COUNTIFS('Care log'!$C$6:$C$1505,C576,'Care log'!$D$6:$D$1505,D576,'Care log'!$G$6:$G$1505,"&gt;"&amp;G576)=0,1,0))</f>
        <v/>
      </c>
    </row>
    <row r="577">
      <c r="A577" s="1" t="n"/>
      <c r="B577" s="20" t="n"/>
      <c r="C577" s="17" t="n"/>
      <c r="D577" s="18" t="n"/>
      <c r="E577" s="18" t="n"/>
      <c r="F577" s="1" t="n"/>
      <c r="G577">
        <f>IF(OR(B577="",C577="",D577=""),"",B577+ROW()/10000000)</f>
        <v/>
      </c>
      <c r="H577">
        <f>IF(G577="","",IF(COUNTIFS('Care log'!$C$6:$C$1505,C577,'Care log'!$D$6:$D$1505,D577,'Care log'!$G$6:$G$1505,"&gt;"&amp;G577)=0,1,0))</f>
        <v/>
      </c>
    </row>
    <row r="578">
      <c r="A578" s="1" t="n"/>
      <c r="B578" s="20" t="n"/>
      <c r="C578" s="17" t="n"/>
      <c r="D578" s="18" t="n"/>
      <c r="E578" s="18" t="n"/>
      <c r="F578" s="1" t="n"/>
      <c r="G578">
        <f>IF(OR(B578="",C578="",D578=""),"",B578+ROW()/10000000)</f>
        <v/>
      </c>
      <c r="H578">
        <f>IF(G578="","",IF(COUNTIFS('Care log'!$C$6:$C$1505,C578,'Care log'!$D$6:$D$1505,D578,'Care log'!$G$6:$G$1505,"&gt;"&amp;G578)=0,1,0))</f>
        <v/>
      </c>
    </row>
    <row r="579">
      <c r="A579" s="1" t="n"/>
      <c r="B579" s="20" t="n"/>
      <c r="C579" s="17" t="n"/>
      <c r="D579" s="18" t="n"/>
      <c r="E579" s="18" t="n"/>
      <c r="F579" s="1" t="n"/>
      <c r="G579">
        <f>IF(OR(B579="",C579="",D579=""),"",B579+ROW()/10000000)</f>
        <v/>
      </c>
      <c r="H579">
        <f>IF(G579="","",IF(COUNTIFS('Care log'!$C$6:$C$1505,C579,'Care log'!$D$6:$D$1505,D579,'Care log'!$G$6:$G$1505,"&gt;"&amp;G579)=0,1,0))</f>
        <v/>
      </c>
    </row>
    <row r="580">
      <c r="A580" s="1" t="n"/>
      <c r="B580" s="20" t="n"/>
      <c r="C580" s="17" t="n"/>
      <c r="D580" s="18" t="n"/>
      <c r="E580" s="18" t="n"/>
      <c r="F580" s="1" t="n"/>
      <c r="G580">
        <f>IF(OR(B580="",C580="",D580=""),"",B580+ROW()/10000000)</f>
        <v/>
      </c>
      <c r="H580">
        <f>IF(G580="","",IF(COUNTIFS('Care log'!$C$6:$C$1505,C580,'Care log'!$D$6:$D$1505,D580,'Care log'!$G$6:$G$1505,"&gt;"&amp;G580)=0,1,0))</f>
        <v/>
      </c>
    </row>
    <row r="581">
      <c r="A581" s="1" t="n"/>
      <c r="B581" s="20" t="n"/>
      <c r="C581" s="17" t="n"/>
      <c r="D581" s="18" t="n"/>
      <c r="E581" s="18" t="n"/>
      <c r="F581" s="1" t="n"/>
      <c r="G581">
        <f>IF(OR(B581="",C581="",D581=""),"",B581+ROW()/10000000)</f>
        <v/>
      </c>
      <c r="H581">
        <f>IF(G581="","",IF(COUNTIFS('Care log'!$C$6:$C$1505,C581,'Care log'!$D$6:$D$1505,D581,'Care log'!$G$6:$G$1505,"&gt;"&amp;G581)=0,1,0))</f>
        <v/>
      </c>
    </row>
    <row r="582">
      <c r="A582" s="1" t="n"/>
      <c r="B582" s="20" t="n"/>
      <c r="C582" s="17" t="n"/>
      <c r="D582" s="18" t="n"/>
      <c r="E582" s="18" t="n"/>
      <c r="F582" s="1" t="n"/>
      <c r="G582">
        <f>IF(OR(B582="",C582="",D582=""),"",B582+ROW()/10000000)</f>
        <v/>
      </c>
      <c r="H582">
        <f>IF(G582="","",IF(COUNTIFS('Care log'!$C$6:$C$1505,C582,'Care log'!$D$6:$D$1505,D582,'Care log'!$G$6:$G$1505,"&gt;"&amp;G582)=0,1,0))</f>
        <v/>
      </c>
    </row>
    <row r="583">
      <c r="A583" s="1" t="n"/>
      <c r="B583" s="20" t="n"/>
      <c r="C583" s="17" t="n"/>
      <c r="D583" s="18" t="n"/>
      <c r="E583" s="18" t="n"/>
      <c r="F583" s="1" t="n"/>
      <c r="G583">
        <f>IF(OR(B583="",C583="",D583=""),"",B583+ROW()/10000000)</f>
        <v/>
      </c>
      <c r="H583">
        <f>IF(G583="","",IF(COUNTIFS('Care log'!$C$6:$C$1505,C583,'Care log'!$D$6:$D$1505,D583,'Care log'!$G$6:$G$1505,"&gt;"&amp;G583)=0,1,0))</f>
        <v/>
      </c>
    </row>
    <row r="584">
      <c r="A584" s="1" t="n"/>
      <c r="B584" s="20" t="n"/>
      <c r="C584" s="17" t="n"/>
      <c r="D584" s="18" t="n"/>
      <c r="E584" s="18" t="n"/>
      <c r="F584" s="1" t="n"/>
      <c r="G584">
        <f>IF(OR(B584="",C584="",D584=""),"",B584+ROW()/10000000)</f>
        <v/>
      </c>
      <c r="H584">
        <f>IF(G584="","",IF(COUNTIFS('Care log'!$C$6:$C$1505,C584,'Care log'!$D$6:$D$1505,D584,'Care log'!$G$6:$G$1505,"&gt;"&amp;G584)=0,1,0))</f>
        <v/>
      </c>
    </row>
    <row r="585">
      <c r="A585" s="1" t="n"/>
      <c r="B585" s="20" t="n"/>
      <c r="C585" s="17" t="n"/>
      <c r="D585" s="18" t="n"/>
      <c r="E585" s="18" t="n"/>
      <c r="F585" s="1" t="n"/>
      <c r="G585">
        <f>IF(OR(B585="",C585="",D585=""),"",B585+ROW()/10000000)</f>
        <v/>
      </c>
      <c r="H585">
        <f>IF(G585="","",IF(COUNTIFS('Care log'!$C$6:$C$1505,C585,'Care log'!$D$6:$D$1505,D585,'Care log'!$G$6:$G$1505,"&gt;"&amp;G585)=0,1,0))</f>
        <v/>
      </c>
    </row>
    <row r="586">
      <c r="A586" s="1" t="n"/>
      <c r="B586" s="20" t="n"/>
      <c r="C586" s="17" t="n"/>
      <c r="D586" s="18" t="n"/>
      <c r="E586" s="18" t="n"/>
      <c r="F586" s="1" t="n"/>
      <c r="G586">
        <f>IF(OR(B586="",C586="",D586=""),"",B586+ROW()/10000000)</f>
        <v/>
      </c>
      <c r="H586">
        <f>IF(G586="","",IF(COUNTIFS('Care log'!$C$6:$C$1505,C586,'Care log'!$D$6:$D$1505,D586,'Care log'!$G$6:$G$1505,"&gt;"&amp;G586)=0,1,0))</f>
        <v/>
      </c>
    </row>
    <row r="587">
      <c r="A587" s="1" t="n"/>
      <c r="B587" s="20" t="n"/>
      <c r="C587" s="17" t="n"/>
      <c r="D587" s="18" t="n"/>
      <c r="E587" s="18" t="n"/>
      <c r="F587" s="1" t="n"/>
      <c r="G587">
        <f>IF(OR(B587="",C587="",D587=""),"",B587+ROW()/10000000)</f>
        <v/>
      </c>
      <c r="H587">
        <f>IF(G587="","",IF(COUNTIFS('Care log'!$C$6:$C$1505,C587,'Care log'!$D$6:$D$1505,D587,'Care log'!$G$6:$G$1505,"&gt;"&amp;G587)=0,1,0))</f>
        <v/>
      </c>
    </row>
    <row r="588">
      <c r="A588" s="1" t="n"/>
      <c r="B588" s="20" t="n"/>
      <c r="C588" s="17" t="n"/>
      <c r="D588" s="18" t="n"/>
      <c r="E588" s="18" t="n"/>
      <c r="F588" s="1" t="n"/>
      <c r="G588">
        <f>IF(OR(B588="",C588="",D588=""),"",B588+ROW()/10000000)</f>
        <v/>
      </c>
      <c r="H588">
        <f>IF(G588="","",IF(COUNTIFS('Care log'!$C$6:$C$1505,C588,'Care log'!$D$6:$D$1505,D588,'Care log'!$G$6:$G$1505,"&gt;"&amp;G588)=0,1,0))</f>
        <v/>
      </c>
    </row>
    <row r="589">
      <c r="A589" s="1" t="n"/>
      <c r="B589" s="20" t="n"/>
      <c r="C589" s="17" t="n"/>
      <c r="D589" s="18" t="n"/>
      <c r="E589" s="18" t="n"/>
      <c r="F589" s="1" t="n"/>
      <c r="G589">
        <f>IF(OR(B589="",C589="",D589=""),"",B589+ROW()/10000000)</f>
        <v/>
      </c>
      <c r="H589">
        <f>IF(G589="","",IF(COUNTIFS('Care log'!$C$6:$C$1505,C589,'Care log'!$D$6:$D$1505,D589,'Care log'!$G$6:$G$1505,"&gt;"&amp;G589)=0,1,0))</f>
        <v/>
      </c>
    </row>
    <row r="590">
      <c r="A590" s="1" t="n"/>
      <c r="B590" s="20" t="n"/>
      <c r="C590" s="17" t="n"/>
      <c r="D590" s="18" t="n"/>
      <c r="E590" s="18" t="n"/>
      <c r="F590" s="1" t="n"/>
      <c r="G590">
        <f>IF(OR(B590="",C590="",D590=""),"",B590+ROW()/10000000)</f>
        <v/>
      </c>
      <c r="H590">
        <f>IF(G590="","",IF(COUNTIFS('Care log'!$C$6:$C$1505,C590,'Care log'!$D$6:$D$1505,D590,'Care log'!$G$6:$G$1505,"&gt;"&amp;G590)=0,1,0))</f>
        <v/>
      </c>
    </row>
    <row r="591">
      <c r="A591" s="1" t="n"/>
      <c r="B591" s="20" t="n"/>
      <c r="C591" s="17" t="n"/>
      <c r="D591" s="18" t="n"/>
      <c r="E591" s="18" t="n"/>
      <c r="F591" s="1" t="n"/>
      <c r="G591">
        <f>IF(OR(B591="",C591="",D591=""),"",B591+ROW()/10000000)</f>
        <v/>
      </c>
      <c r="H591">
        <f>IF(G591="","",IF(COUNTIFS('Care log'!$C$6:$C$1505,C591,'Care log'!$D$6:$D$1505,D591,'Care log'!$G$6:$G$1505,"&gt;"&amp;G591)=0,1,0))</f>
        <v/>
      </c>
    </row>
    <row r="592">
      <c r="A592" s="1" t="n"/>
      <c r="B592" s="20" t="n"/>
      <c r="C592" s="17" t="n"/>
      <c r="D592" s="18" t="n"/>
      <c r="E592" s="18" t="n"/>
      <c r="F592" s="1" t="n"/>
      <c r="G592">
        <f>IF(OR(B592="",C592="",D592=""),"",B592+ROW()/10000000)</f>
        <v/>
      </c>
      <c r="H592">
        <f>IF(G592="","",IF(COUNTIFS('Care log'!$C$6:$C$1505,C592,'Care log'!$D$6:$D$1505,D592,'Care log'!$G$6:$G$1505,"&gt;"&amp;G592)=0,1,0))</f>
        <v/>
      </c>
    </row>
    <row r="593">
      <c r="A593" s="1" t="n"/>
      <c r="B593" s="20" t="n"/>
      <c r="C593" s="17" t="n"/>
      <c r="D593" s="18" t="n"/>
      <c r="E593" s="18" t="n"/>
      <c r="F593" s="1" t="n"/>
      <c r="G593">
        <f>IF(OR(B593="",C593="",D593=""),"",B593+ROW()/10000000)</f>
        <v/>
      </c>
      <c r="H593">
        <f>IF(G593="","",IF(COUNTIFS('Care log'!$C$6:$C$1505,C593,'Care log'!$D$6:$D$1505,D593,'Care log'!$G$6:$G$1505,"&gt;"&amp;G593)=0,1,0))</f>
        <v/>
      </c>
    </row>
    <row r="594">
      <c r="A594" s="1" t="n"/>
      <c r="B594" s="20" t="n"/>
      <c r="C594" s="17" t="n"/>
      <c r="D594" s="18" t="n"/>
      <c r="E594" s="18" t="n"/>
      <c r="F594" s="1" t="n"/>
      <c r="G594">
        <f>IF(OR(B594="",C594="",D594=""),"",B594+ROW()/10000000)</f>
        <v/>
      </c>
      <c r="H594">
        <f>IF(G594="","",IF(COUNTIFS('Care log'!$C$6:$C$1505,C594,'Care log'!$D$6:$D$1505,D594,'Care log'!$G$6:$G$1505,"&gt;"&amp;G594)=0,1,0))</f>
        <v/>
      </c>
    </row>
    <row r="595">
      <c r="A595" s="1" t="n"/>
      <c r="B595" s="20" t="n"/>
      <c r="C595" s="17" t="n"/>
      <c r="D595" s="18" t="n"/>
      <c r="E595" s="18" t="n"/>
      <c r="F595" s="1" t="n"/>
      <c r="G595">
        <f>IF(OR(B595="",C595="",D595=""),"",B595+ROW()/10000000)</f>
        <v/>
      </c>
      <c r="H595">
        <f>IF(G595="","",IF(COUNTIFS('Care log'!$C$6:$C$1505,C595,'Care log'!$D$6:$D$1505,D595,'Care log'!$G$6:$G$1505,"&gt;"&amp;G595)=0,1,0))</f>
        <v/>
      </c>
    </row>
    <row r="596">
      <c r="A596" s="1" t="n"/>
      <c r="B596" s="20" t="n"/>
      <c r="C596" s="17" t="n"/>
      <c r="D596" s="18" t="n"/>
      <c r="E596" s="18" t="n"/>
      <c r="F596" s="1" t="n"/>
      <c r="G596">
        <f>IF(OR(B596="",C596="",D596=""),"",B596+ROW()/10000000)</f>
        <v/>
      </c>
      <c r="H596">
        <f>IF(G596="","",IF(COUNTIFS('Care log'!$C$6:$C$1505,C596,'Care log'!$D$6:$D$1505,D596,'Care log'!$G$6:$G$1505,"&gt;"&amp;G596)=0,1,0))</f>
        <v/>
      </c>
    </row>
    <row r="597">
      <c r="A597" s="1" t="n"/>
      <c r="B597" s="20" t="n"/>
      <c r="C597" s="17" t="n"/>
      <c r="D597" s="18" t="n"/>
      <c r="E597" s="18" t="n"/>
      <c r="F597" s="1" t="n"/>
      <c r="G597">
        <f>IF(OR(B597="",C597="",D597=""),"",B597+ROW()/10000000)</f>
        <v/>
      </c>
      <c r="H597">
        <f>IF(G597="","",IF(COUNTIFS('Care log'!$C$6:$C$1505,C597,'Care log'!$D$6:$D$1505,D597,'Care log'!$G$6:$G$1505,"&gt;"&amp;G597)=0,1,0))</f>
        <v/>
      </c>
    </row>
    <row r="598">
      <c r="A598" s="1" t="n"/>
      <c r="B598" s="20" t="n"/>
      <c r="C598" s="17" t="n"/>
      <c r="D598" s="18" t="n"/>
      <c r="E598" s="18" t="n"/>
      <c r="F598" s="1" t="n"/>
      <c r="G598">
        <f>IF(OR(B598="",C598="",D598=""),"",B598+ROW()/10000000)</f>
        <v/>
      </c>
      <c r="H598">
        <f>IF(G598="","",IF(COUNTIFS('Care log'!$C$6:$C$1505,C598,'Care log'!$D$6:$D$1505,D598,'Care log'!$G$6:$G$1505,"&gt;"&amp;G598)=0,1,0))</f>
        <v/>
      </c>
    </row>
    <row r="599">
      <c r="A599" s="1" t="n"/>
      <c r="B599" s="20" t="n"/>
      <c r="C599" s="17" t="n"/>
      <c r="D599" s="18" t="n"/>
      <c r="E599" s="18" t="n"/>
      <c r="F599" s="1" t="n"/>
      <c r="G599">
        <f>IF(OR(B599="",C599="",D599=""),"",B599+ROW()/10000000)</f>
        <v/>
      </c>
      <c r="H599">
        <f>IF(G599="","",IF(COUNTIFS('Care log'!$C$6:$C$1505,C599,'Care log'!$D$6:$D$1505,D599,'Care log'!$G$6:$G$1505,"&gt;"&amp;G599)=0,1,0))</f>
        <v/>
      </c>
    </row>
    <row r="600">
      <c r="A600" s="1" t="n"/>
      <c r="B600" s="20" t="n"/>
      <c r="C600" s="17" t="n"/>
      <c r="D600" s="18" t="n"/>
      <c r="E600" s="18" t="n"/>
      <c r="F600" s="1" t="n"/>
      <c r="G600">
        <f>IF(OR(B600="",C600="",D600=""),"",B600+ROW()/10000000)</f>
        <v/>
      </c>
      <c r="H600">
        <f>IF(G600="","",IF(COUNTIFS('Care log'!$C$6:$C$1505,C600,'Care log'!$D$6:$D$1505,D600,'Care log'!$G$6:$G$1505,"&gt;"&amp;G600)=0,1,0))</f>
        <v/>
      </c>
    </row>
    <row r="601">
      <c r="A601" s="1" t="n"/>
      <c r="B601" s="20" t="n"/>
      <c r="C601" s="17" t="n"/>
      <c r="D601" s="18" t="n"/>
      <c r="E601" s="18" t="n"/>
      <c r="F601" s="1" t="n"/>
      <c r="G601">
        <f>IF(OR(B601="",C601="",D601=""),"",B601+ROW()/10000000)</f>
        <v/>
      </c>
      <c r="H601">
        <f>IF(G601="","",IF(COUNTIFS('Care log'!$C$6:$C$1505,C601,'Care log'!$D$6:$D$1505,D601,'Care log'!$G$6:$G$1505,"&gt;"&amp;G601)=0,1,0))</f>
        <v/>
      </c>
    </row>
    <row r="602">
      <c r="A602" s="1" t="n"/>
      <c r="B602" s="20" t="n"/>
      <c r="C602" s="17" t="n"/>
      <c r="D602" s="18" t="n"/>
      <c r="E602" s="18" t="n"/>
      <c r="F602" s="1" t="n"/>
      <c r="G602">
        <f>IF(OR(B602="",C602="",D602=""),"",B602+ROW()/10000000)</f>
        <v/>
      </c>
      <c r="H602">
        <f>IF(G602="","",IF(COUNTIFS('Care log'!$C$6:$C$1505,C602,'Care log'!$D$6:$D$1505,D602,'Care log'!$G$6:$G$1505,"&gt;"&amp;G602)=0,1,0))</f>
        <v/>
      </c>
    </row>
    <row r="603">
      <c r="A603" s="1" t="n"/>
      <c r="B603" s="20" t="n"/>
      <c r="C603" s="17" t="n"/>
      <c r="D603" s="18" t="n"/>
      <c r="E603" s="18" t="n"/>
      <c r="F603" s="1" t="n"/>
      <c r="G603">
        <f>IF(OR(B603="",C603="",D603=""),"",B603+ROW()/10000000)</f>
        <v/>
      </c>
      <c r="H603">
        <f>IF(G603="","",IF(COUNTIFS('Care log'!$C$6:$C$1505,C603,'Care log'!$D$6:$D$1505,D603,'Care log'!$G$6:$G$1505,"&gt;"&amp;G603)=0,1,0))</f>
        <v/>
      </c>
    </row>
    <row r="604">
      <c r="A604" s="1" t="n"/>
      <c r="B604" s="20" t="n"/>
      <c r="C604" s="17" t="n"/>
      <c r="D604" s="18" t="n"/>
      <c r="E604" s="18" t="n"/>
      <c r="F604" s="1" t="n"/>
      <c r="G604">
        <f>IF(OR(B604="",C604="",D604=""),"",B604+ROW()/10000000)</f>
        <v/>
      </c>
      <c r="H604">
        <f>IF(G604="","",IF(COUNTIFS('Care log'!$C$6:$C$1505,C604,'Care log'!$D$6:$D$1505,D604,'Care log'!$G$6:$G$1505,"&gt;"&amp;G604)=0,1,0))</f>
        <v/>
      </c>
    </row>
    <row r="605">
      <c r="A605" s="1" t="n"/>
      <c r="B605" s="20" t="n"/>
      <c r="C605" s="17" t="n"/>
      <c r="D605" s="18" t="n"/>
      <c r="E605" s="18" t="n"/>
      <c r="F605" s="1" t="n"/>
      <c r="G605">
        <f>IF(OR(B605="",C605="",D605=""),"",B605+ROW()/10000000)</f>
        <v/>
      </c>
      <c r="H605">
        <f>IF(G605="","",IF(COUNTIFS('Care log'!$C$6:$C$1505,C605,'Care log'!$D$6:$D$1505,D605,'Care log'!$G$6:$G$1505,"&gt;"&amp;G605)=0,1,0))</f>
        <v/>
      </c>
    </row>
    <row r="606">
      <c r="A606" s="1" t="n"/>
      <c r="B606" s="20" t="n"/>
      <c r="C606" s="17" t="n"/>
      <c r="D606" s="18" t="n"/>
      <c r="E606" s="18" t="n"/>
      <c r="F606" s="1" t="n"/>
      <c r="G606">
        <f>IF(OR(B606="",C606="",D606=""),"",B606+ROW()/10000000)</f>
        <v/>
      </c>
      <c r="H606">
        <f>IF(G606="","",IF(COUNTIFS('Care log'!$C$6:$C$1505,C606,'Care log'!$D$6:$D$1505,D606,'Care log'!$G$6:$G$1505,"&gt;"&amp;G606)=0,1,0))</f>
        <v/>
      </c>
    </row>
    <row r="607">
      <c r="A607" s="1" t="n"/>
      <c r="B607" s="20" t="n"/>
      <c r="C607" s="17" t="n"/>
      <c r="D607" s="18" t="n"/>
      <c r="E607" s="18" t="n"/>
      <c r="F607" s="1" t="n"/>
      <c r="G607">
        <f>IF(OR(B607="",C607="",D607=""),"",B607+ROW()/10000000)</f>
        <v/>
      </c>
      <c r="H607">
        <f>IF(G607="","",IF(COUNTIFS('Care log'!$C$6:$C$1505,C607,'Care log'!$D$6:$D$1505,D607,'Care log'!$G$6:$G$1505,"&gt;"&amp;G607)=0,1,0))</f>
        <v/>
      </c>
    </row>
    <row r="608">
      <c r="A608" s="1" t="n"/>
      <c r="B608" s="20" t="n"/>
      <c r="C608" s="17" t="n"/>
      <c r="D608" s="18" t="n"/>
      <c r="E608" s="18" t="n"/>
      <c r="F608" s="1" t="n"/>
      <c r="G608">
        <f>IF(OR(B608="",C608="",D608=""),"",B608+ROW()/10000000)</f>
        <v/>
      </c>
      <c r="H608">
        <f>IF(G608="","",IF(COUNTIFS('Care log'!$C$6:$C$1505,C608,'Care log'!$D$6:$D$1505,D608,'Care log'!$G$6:$G$1505,"&gt;"&amp;G608)=0,1,0))</f>
        <v/>
      </c>
    </row>
    <row r="609">
      <c r="A609" s="1" t="n"/>
      <c r="B609" s="20" t="n"/>
      <c r="C609" s="17" t="n"/>
      <c r="D609" s="18" t="n"/>
      <c r="E609" s="18" t="n"/>
      <c r="F609" s="1" t="n"/>
      <c r="G609">
        <f>IF(OR(B609="",C609="",D609=""),"",B609+ROW()/10000000)</f>
        <v/>
      </c>
      <c r="H609">
        <f>IF(G609="","",IF(COUNTIFS('Care log'!$C$6:$C$1505,C609,'Care log'!$D$6:$D$1505,D609,'Care log'!$G$6:$G$1505,"&gt;"&amp;G609)=0,1,0))</f>
        <v/>
      </c>
    </row>
    <row r="610">
      <c r="A610" s="1" t="n"/>
      <c r="B610" s="20" t="n"/>
      <c r="C610" s="17" t="n"/>
      <c r="D610" s="18" t="n"/>
      <c r="E610" s="18" t="n"/>
      <c r="F610" s="1" t="n"/>
      <c r="G610">
        <f>IF(OR(B610="",C610="",D610=""),"",B610+ROW()/10000000)</f>
        <v/>
      </c>
      <c r="H610">
        <f>IF(G610="","",IF(COUNTIFS('Care log'!$C$6:$C$1505,C610,'Care log'!$D$6:$D$1505,D610,'Care log'!$G$6:$G$1505,"&gt;"&amp;G610)=0,1,0))</f>
        <v/>
      </c>
    </row>
    <row r="611">
      <c r="A611" s="1" t="n"/>
      <c r="B611" s="20" t="n"/>
      <c r="C611" s="17" t="n"/>
      <c r="D611" s="18" t="n"/>
      <c r="E611" s="18" t="n"/>
      <c r="F611" s="1" t="n"/>
      <c r="G611">
        <f>IF(OR(B611="",C611="",D611=""),"",B611+ROW()/10000000)</f>
        <v/>
      </c>
      <c r="H611">
        <f>IF(G611="","",IF(COUNTIFS('Care log'!$C$6:$C$1505,C611,'Care log'!$D$6:$D$1505,D611,'Care log'!$G$6:$G$1505,"&gt;"&amp;G611)=0,1,0))</f>
        <v/>
      </c>
    </row>
    <row r="612">
      <c r="A612" s="1" t="n"/>
      <c r="B612" s="20" t="n"/>
      <c r="C612" s="17" t="n"/>
      <c r="D612" s="18" t="n"/>
      <c r="E612" s="18" t="n"/>
      <c r="F612" s="1" t="n"/>
      <c r="G612">
        <f>IF(OR(B612="",C612="",D612=""),"",B612+ROW()/10000000)</f>
        <v/>
      </c>
      <c r="H612">
        <f>IF(G612="","",IF(COUNTIFS('Care log'!$C$6:$C$1505,C612,'Care log'!$D$6:$D$1505,D612,'Care log'!$G$6:$G$1505,"&gt;"&amp;G612)=0,1,0))</f>
        <v/>
      </c>
    </row>
    <row r="613">
      <c r="A613" s="1" t="n"/>
      <c r="B613" s="20" t="n"/>
      <c r="C613" s="17" t="n"/>
      <c r="D613" s="18" t="n"/>
      <c r="E613" s="18" t="n"/>
      <c r="F613" s="1" t="n"/>
      <c r="G613">
        <f>IF(OR(B613="",C613="",D613=""),"",B613+ROW()/10000000)</f>
        <v/>
      </c>
      <c r="H613">
        <f>IF(G613="","",IF(COUNTIFS('Care log'!$C$6:$C$1505,C613,'Care log'!$D$6:$D$1505,D613,'Care log'!$G$6:$G$1505,"&gt;"&amp;G613)=0,1,0))</f>
        <v/>
      </c>
    </row>
    <row r="614">
      <c r="A614" s="1" t="n"/>
      <c r="B614" s="20" t="n"/>
      <c r="C614" s="17" t="n"/>
      <c r="D614" s="18" t="n"/>
      <c r="E614" s="18" t="n"/>
      <c r="F614" s="1" t="n"/>
      <c r="G614">
        <f>IF(OR(B614="",C614="",D614=""),"",B614+ROW()/10000000)</f>
        <v/>
      </c>
      <c r="H614">
        <f>IF(G614="","",IF(COUNTIFS('Care log'!$C$6:$C$1505,C614,'Care log'!$D$6:$D$1505,D614,'Care log'!$G$6:$G$1505,"&gt;"&amp;G614)=0,1,0))</f>
        <v/>
      </c>
    </row>
    <row r="615">
      <c r="A615" s="1" t="n"/>
      <c r="B615" s="20" t="n"/>
      <c r="C615" s="17" t="n"/>
      <c r="D615" s="18" t="n"/>
      <c r="E615" s="18" t="n"/>
      <c r="F615" s="1" t="n"/>
      <c r="G615">
        <f>IF(OR(B615="",C615="",D615=""),"",B615+ROW()/10000000)</f>
        <v/>
      </c>
      <c r="H615">
        <f>IF(G615="","",IF(COUNTIFS('Care log'!$C$6:$C$1505,C615,'Care log'!$D$6:$D$1505,D615,'Care log'!$G$6:$G$1505,"&gt;"&amp;G615)=0,1,0))</f>
        <v/>
      </c>
    </row>
    <row r="616">
      <c r="A616" s="1" t="n"/>
      <c r="B616" s="20" t="n"/>
      <c r="C616" s="17" t="n"/>
      <c r="D616" s="18" t="n"/>
      <c r="E616" s="18" t="n"/>
      <c r="F616" s="1" t="n"/>
      <c r="G616">
        <f>IF(OR(B616="",C616="",D616=""),"",B616+ROW()/10000000)</f>
        <v/>
      </c>
      <c r="H616">
        <f>IF(G616="","",IF(COUNTIFS('Care log'!$C$6:$C$1505,C616,'Care log'!$D$6:$D$1505,D616,'Care log'!$G$6:$G$1505,"&gt;"&amp;G616)=0,1,0))</f>
        <v/>
      </c>
    </row>
    <row r="617">
      <c r="A617" s="1" t="n"/>
      <c r="B617" s="20" t="n"/>
      <c r="C617" s="17" t="n"/>
      <c r="D617" s="18" t="n"/>
      <c r="E617" s="18" t="n"/>
      <c r="F617" s="1" t="n"/>
      <c r="G617">
        <f>IF(OR(B617="",C617="",D617=""),"",B617+ROW()/10000000)</f>
        <v/>
      </c>
      <c r="H617">
        <f>IF(G617="","",IF(COUNTIFS('Care log'!$C$6:$C$1505,C617,'Care log'!$D$6:$D$1505,D617,'Care log'!$G$6:$G$1505,"&gt;"&amp;G617)=0,1,0))</f>
        <v/>
      </c>
    </row>
    <row r="618">
      <c r="A618" s="1" t="n"/>
      <c r="B618" s="20" t="n"/>
      <c r="C618" s="17" t="n"/>
      <c r="D618" s="18" t="n"/>
      <c r="E618" s="18" t="n"/>
      <c r="F618" s="1" t="n"/>
      <c r="G618">
        <f>IF(OR(B618="",C618="",D618=""),"",B618+ROW()/10000000)</f>
        <v/>
      </c>
      <c r="H618">
        <f>IF(G618="","",IF(COUNTIFS('Care log'!$C$6:$C$1505,C618,'Care log'!$D$6:$D$1505,D618,'Care log'!$G$6:$G$1505,"&gt;"&amp;G618)=0,1,0))</f>
        <v/>
      </c>
    </row>
    <row r="619">
      <c r="A619" s="1" t="n"/>
      <c r="B619" s="20" t="n"/>
      <c r="C619" s="17" t="n"/>
      <c r="D619" s="18" t="n"/>
      <c r="E619" s="18" t="n"/>
      <c r="F619" s="1" t="n"/>
      <c r="G619">
        <f>IF(OR(B619="",C619="",D619=""),"",B619+ROW()/10000000)</f>
        <v/>
      </c>
      <c r="H619">
        <f>IF(G619="","",IF(COUNTIFS('Care log'!$C$6:$C$1505,C619,'Care log'!$D$6:$D$1505,D619,'Care log'!$G$6:$G$1505,"&gt;"&amp;G619)=0,1,0))</f>
        <v/>
      </c>
    </row>
    <row r="620">
      <c r="A620" s="1" t="n"/>
      <c r="B620" s="20" t="n"/>
      <c r="C620" s="17" t="n"/>
      <c r="D620" s="18" t="n"/>
      <c r="E620" s="18" t="n"/>
      <c r="F620" s="1" t="n"/>
      <c r="G620">
        <f>IF(OR(B620="",C620="",D620=""),"",B620+ROW()/10000000)</f>
        <v/>
      </c>
      <c r="H620">
        <f>IF(G620="","",IF(COUNTIFS('Care log'!$C$6:$C$1505,C620,'Care log'!$D$6:$D$1505,D620,'Care log'!$G$6:$G$1505,"&gt;"&amp;G620)=0,1,0))</f>
        <v/>
      </c>
    </row>
    <row r="621">
      <c r="A621" s="1" t="n"/>
      <c r="B621" s="20" t="n"/>
      <c r="C621" s="17" t="n"/>
      <c r="D621" s="18" t="n"/>
      <c r="E621" s="18" t="n"/>
      <c r="F621" s="1" t="n"/>
      <c r="G621">
        <f>IF(OR(B621="",C621="",D621=""),"",B621+ROW()/10000000)</f>
        <v/>
      </c>
      <c r="H621">
        <f>IF(G621="","",IF(COUNTIFS('Care log'!$C$6:$C$1505,C621,'Care log'!$D$6:$D$1505,D621,'Care log'!$G$6:$G$1505,"&gt;"&amp;G621)=0,1,0))</f>
        <v/>
      </c>
    </row>
    <row r="622">
      <c r="A622" s="1" t="n"/>
      <c r="B622" s="20" t="n"/>
      <c r="C622" s="17" t="n"/>
      <c r="D622" s="18" t="n"/>
      <c r="E622" s="18" t="n"/>
      <c r="F622" s="1" t="n"/>
      <c r="G622">
        <f>IF(OR(B622="",C622="",D622=""),"",B622+ROW()/10000000)</f>
        <v/>
      </c>
      <c r="H622">
        <f>IF(G622="","",IF(COUNTIFS('Care log'!$C$6:$C$1505,C622,'Care log'!$D$6:$D$1505,D622,'Care log'!$G$6:$G$1505,"&gt;"&amp;G622)=0,1,0))</f>
        <v/>
      </c>
    </row>
    <row r="623">
      <c r="A623" s="1" t="n"/>
      <c r="B623" s="20" t="n"/>
      <c r="C623" s="17" t="n"/>
      <c r="D623" s="18" t="n"/>
      <c r="E623" s="18" t="n"/>
      <c r="F623" s="1" t="n"/>
      <c r="G623">
        <f>IF(OR(B623="",C623="",D623=""),"",B623+ROW()/10000000)</f>
        <v/>
      </c>
      <c r="H623">
        <f>IF(G623="","",IF(COUNTIFS('Care log'!$C$6:$C$1505,C623,'Care log'!$D$6:$D$1505,D623,'Care log'!$G$6:$G$1505,"&gt;"&amp;G623)=0,1,0))</f>
        <v/>
      </c>
    </row>
    <row r="624">
      <c r="A624" s="1" t="n"/>
      <c r="B624" s="20" t="n"/>
      <c r="C624" s="17" t="n"/>
      <c r="D624" s="18" t="n"/>
      <c r="E624" s="18" t="n"/>
      <c r="F624" s="1" t="n"/>
      <c r="G624">
        <f>IF(OR(B624="",C624="",D624=""),"",B624+ROW()/10000000)</f>
        <v/>
      </c>
      <c r="H624">
        <f>IF(G624="","",IF(COUNTIFS('Care log'!$C$6:$C$1505,C624,'Care log'!$D$6:$D$1505,D624,'Care log'!$G$6:$G$1505,"&gt;"&amp;G624)=0,1,0))</f>
        <v/>
      </c>
    </row>
    <row r="625">
      <c r="A625" s="1" t="n"/>
      <c r="B625" s="20" t="n"/>
      <c r="C625" s="17" t="n"/>
      <c r="D625" s="18" t="n"/>
      <c r="E625" s="18" t="n"/>
      <c r="F625" s="1" t="n"/>
      <c r="G625">
        <f>IF(OR(B625="",C625="",D625=""),"",B625+ROW()/10000000)</f>
        <v/>
      </c>
      <c r="H625">
        <f>IF(G625="","",IF(COUNTIFS('Care log'!$C$6:$C$1505,C625,'Care log'!$D$6:$D$1505,D625,'Care log'!$G$6:$G$1505,"&gt;"&amp;G625)=0,1,0))</f>
        <v/>
      </c>
    </row>
    <row r="626">
      <c r="A626" s="1" t="n"/>
      <c r="B626" s="20" t="n"/>
      <c r="C626" s="17" t="n"/>
      <c r="D626" s="18" t="n"/>
      <c r="E626" s="18" t="n"/>
      <c r="F626" s="1" t="n"/>
      <c r="G626">
        <f>IF(OR(B626="",C626="",D626=""),"",B626+ROW()/10000000)</f>
        <v/>
      </c>
      <c r="H626">
        <f>IF(G626="","",IF(COUNTIFS('Care log'!$C$6:$C$1505,C626,'Care log'!$D$6:$D$1505,D626,'Care log'!$G$6:$G$1505,"&gt;"&amp;G626)=0,1,0))</f>
        <v/>
      </c>
    </row>
    <row r="627">
      <c r="A627" s="1" t="n"/>
      <c r="B627" s="20" t="n"/>
      <c r="C627" s="17" t="n"/>
      <c r="D627" s="18" t="n"/>
      <c r="E627" s="18" t="n"/>
      <c r="F627" s="1" t="n"/>
      <c r="G627">
        <f>IF(OR(B627="",C627="",D627=""),"",B627+ROW()/10000000)</f>
        <v/>
      </c>
      <c r="H627">
        <f>IF(G627="","",IF(COUNTIFS('Care log'!$C$6:$C$1505,C627,'Care log'!$D$6:$D$1505,D627,'Care log'!$G$6:$G$1505,"&gt;"&amp;G627)=0,1,0))</f>
        <v/>
      </c>
    </row>
    <row r="628">
      <c r="A628" s="1" t="n"/>
      <c r="B628" s="20" t="n"/>
      <c r="C628" s="17" t="n"/>
      <c r="D628" s="18" t="n"/>
      <c r="E628" s="18" t="n"/>
      <c r="F628" s="1" t="n"/>
      <c r="G628">
        <f>IF(OR(B628="",C628="",D628=""),"",B628+ROW()/10000000)</f>
        <v/>
      </c>
      <c r="H628">
        <f>IF(G628="","",IF(COUNTIFS('Care log'!$C$6:$C$1505,C628,'Care log'!$D$6:$D$1505,D628,'Care log'!$G$6:$G$1505,"&gt;"&amp;G628)=0,1,0))</f>
        <v/>
      </c>
    </row>
    <row r="629">
      <c r="A629" s="1" t="n"/>
      <c r="B629" s="20" t="n"/>
      <c r="C629" s="17" t="n"/>
      <c r="D629" s="18" t="n"/>
      <c r="E629" s="18" t="n"/>
      <c r="F629" s="1" t="n"/>
      <c r="G629">
        <f>IF(OR(B629="",C629="",D629=""),"",B629+ROW()/10000000)</f>
        <v/>
      </c>
      <c r="H629">
        <f>IF(G629="","",IF(COUNTIFS('Care log'!$C$6:$C$1505,C629,'Care log'!$D$6:$D$1505,D629,'Care log'!$G$6:$G$1505,"&gt;"&amp;G629)=0,1,0))</f>
        <v/>
      </c>
    </row>
    <row r="630">
      <c r="A630" s="1" t="n"/>
      <c r="B630" s="20" t="n"/>
      <c r="C630" s="17" t="n"/>
      <c r="D630" s="18" t="n"/>
      <c r="E630" s="18" t="n"/>
      <c r="F630" s="1" t="n"/>
      <c r="G630">
        <f>IF(OR(B630="",C630="",D630=""),"",B630+ROW()/10000000)</f>
        <v/>
      </c>
      <c r="H630">
        <f>IF(G630="","",IF(COUNTIFS('Care log'!$C$6:$C$1505,C630,'Care log'!$D$6:$D$1505,D630,'Care log'!$G$6:$G$1505,"&gt;"&amp;G630)=0,1,0))</f>
        <v/>
      </c>
    </row>
    <row r="631">
      <c r="A631" s="1" t="n"/>
      <c r="B631" s="20" t="n"/>
      <c r="C631" s="17" t="n"/>
      <c r="D631" s="18" t="n"/>
      <c r="E631" s="18" t="n"/>
      <c r="F631" s="1" t="n"/>
      <c r="G631">
        <f>IF(OR(B631="",C631="",D631=""),"",B631+ROW()/10000000)</f>
        <v/>
      </c>
      <c r="H631">
        <f>IF(G631="","",IF(COUNTIFS('Care log'!$C$6:$C$1505,C631,'Care log'!$D$6:$D$1505,D631,'Care log'!$G$6:$G$1505,"&gt;"&amp;G631)=0,1,0))</f>
        <v/>
      </c>
    </row>
    <row r="632">
      <c r="A632" s="1" t="n"/>
      <c r="B632" s="20" t="n"/>
      <c r="C632" s="17" t="n"/>
      <c r="D632" s="18" t="n"/>
      <c r="E632" s="18" t="n"/>
      <c r="F632" s="1" t="n"/>
      <c r="G632">
        <f>IF(OR(B632="",C632="",D632=""),"",B632+ROW()/10000000)</f>
        <v/>
      </c>
      <c r="H632">
        <f>IF(G632="","",IF(COUNTIFS('Care log'!$C$6:$C$1505,C632,'Care log'!$D$6:$D$1505,D632,'Care log'!$G$6:$G$1505,"&gt;"&amp;G632)=0,1,0))</f>
        <v/>
      </c>
    </row>
    <row r="633">
      <c r="A633" s="1" t="n"/>
      <c r="B633" s="20" t="n"/>
      <c r="C633" s="17" t="n"/>
      <c r="D633" s="18" t="n"/>
      <c r="E633" s="18" t="n"/>
      <c r="F633" s="1" t="n"/>
      <c r="G633">
        <f>IF(OR(B633="",C633="",D633=""),"",B633+ROW()/10000000)</f>
        <v/>
      </c>
      <c r="H633">
        <f>IF(G633="","",IF(COUNTIFS('Care log'!$C$6:$C$1505,C633,'Care log'!$D$6:$D$1505,D633,'Care log'!$G$6:$G$1505,"&gt;"&amp;G633)=0,1,0))</f>
        <v/>
      </c>
    </row>
    <row r="634">
      <c r="A634" s="1" t="n"/>
      <c r="B634" s="20" t="n"/>
      <c r="C634" s="17" t="n"/>
      <c r="D634" s="18" t="n"/>
      <c r="E634" s="18" t="n"/>
      <c r="F634" s="1" t="n"/>
      <c r="G634">
        <f>IF(OR(B634="",C634="",D634=""),"",B634+ROW()/10000000)</f>
        <v/>
      </c>
      <c r="H634">
        <f>IF(G634="","",IF(COUNTIFS('Care log'!$C$6:$C$1505,C634,'Care log'!$D$6:$D$1505,D634,'Care log'!$G$6:$G$1505,"&gt;"&amp;G634)=0,1,0))</f>
        <v/>
      </c>
    </row>
    <row r="635">
      <c r="A635" s="1" t="n"/>
      <c r="B635" s="20" t="n"/>
      <c r="C635" s="17" t="n"/>
      <c r="D635" s="18" t="n"/>
      <c r="E635" s="18" t="n"/>
      <c r="F635" s="1" t="n"/>
      <c r="G635">
        <f>IF(OR(B635="",C635="",D635=""),"",B635+ROW()/10000000)</f>
        <v/>
      </c>
      <c r="H635">
        <f>IF(G635="","",IF(COUNTIFS('Care log'!$C$6:$C$1505,C635,'Care log'!$D$6:$D$1505,D635,'Care log'!$G$6:$G$1505,"&gt;"&amp;G635)=0,1,0))</f>
        <v/>
      </c>
    </row>
    <row r="636">
      <c r="A636" s="1" t="n"/>
      <c r="B636" s="20" t="n"/>
      <c r="C636" s="17" t="n"/>
      <c r="D636" s="18" t="n"/>
      <c r="E636" s="18" t="n"/>
      <c r="F636" s="1" t="n"/>
      <c r="G636">
        <f>IF(OR(B636="",C636="",D636=""),"",B636+ROW()/10000000)</f>
        <v/>
      </c>
      <c r="H636">
        <f>IF(G636="","",IF(COUNTIFS('Care log'!$C$6:$C$1505,C636,'Care log'!$D$6:$D$1505,D636,'Care log'!$G$6:$G$1505,"&gt;"&amp;G636)=0,1,0))</f>
        <v/>
      </c>
    </row>
    <row r="637">
      <c r="A637" s="1" t="n"/>
      <c r="B637" s="20" t="n"/>
      <c r="C637" s="17" t="n"/>
      <c r="D637" s="18" t="n"/>
      <c r="E637" s="18" t="n"/>
      <c r="F637" s="1" t="n"/>
      <c r="G637">
        <f>IF(OR(B637="",C637="",D637=""),"",B637+ROW()/10000000)</f>
        <v/>
      </c>
      <c r="H637">
        <f>IF(G637="","",IF(COUNTIFS('Care log'!$C$6:$C$1505,C637,'Care log'!$D$6:$D$1505,D637,'Care log'!$G$6:$G$1505,"&gt;"&amp;G637)=0,1,0))</f>
        <v/>
      </c>
    </row>
    <row r="638">
      <c r="A638" s="1" t="n"/>
      <c r="B638" s="20" t="n"/>
      <c r="C638" s="17" t="n"/>
      <c r="D638" s="18" t="n"/>
      <c r="E638" s="18" t="n"/>
      <c r="F638" s="1" t="n"/>
      <c r="G638">
        <f>IF(OR(B638="",C638="",D638=""),"",B638+ROW()/10000000)</f>
        <v/>
      </c>
      <c r="H638">
        <f>IF(G638="","",IF(COUNTIFS('Care log'!$C$6:$C$1505,C638,'Care log'!$D$6:$D$1505,D638,'Care log'!$G$6:$G$1505,"&gt;"&amp;G638)=0,1,0))</f>
        <v/>
      </c>
    </row>
    <row r="639">
      <c r="A639" s="1" t="n"/>
      <c r="B639" s="20" t="n"/>
      <c r="C639" s="17" t="n"/>
      <c r="D639" s="18" t="n"/>
      <c r="E639" s="18" t="n"/>
      <c r="F639" s="1" t="n"/>
      <c r="G639">
        <f>IF(OR(B639="",C639="",D639=""),"",B639+ROW()/10000000)</f>
        <v/>
      </c>
      <c r="H639">
        <f>IF(G639="","",IF(COUNTIFS('Care log'!$C$6:$C$1505,C639,'Care log'!$D$6:$D$1505,D639,'Care log'!$G$6:$G$1505,"&gt;"&amp;G639)=0,1,0))</f>
        <v/>
      </c>
    </row>
    <row r="640">
      <c r="A640" s="1" t="n"/>
      <c r="B640" s="20" t="n"/>
      <c r="C640" s="17" t="n"/>
      <c r="D640" s="18" t="n"/>
      <c r="E640" s="18" t="n"/>
      <c r="F640" s="1" t="n"/>
      <c r="G640">
        <f>IF(OR(B640="",C640="",D640=""),"",B640+ROW()/10000000)</f>
        <v/>
      </c>
      <c r="H640">
        <f>IF(G640="","",IF(COUNTIFS('Care log'!$C$6:$C$1505,C640,'Care log'!$D$6:$D$1505,D640,'Care log'!$G$6:$G$1505,"&gt;"&amp;G640)=0,1,0))</f>
        <v/>
      </c>
    </row>
    <row r="641">
      <c r="A641" s="1" t="n"/>
      <c r="B641" s="20" t="n"/>
      <c r="C641" s="17" t="n"/>
      <c r="D641" s="18" t="n"/>
      <c r="E641" s="18" t="n"/>
      <c r="F641" s="1" t="n"/>
      <c r="G641">
        <f>IF(OR(B641="",C641="",D641=""),"",B641+ROW()/10000000)</f>
        <v/>
      </c>
      <c r="H641">
        <f>IF(G641="","",IF(COUNTIFS('Care log'!$C$6:$C$1505,C641,'Care log'!$D$6:$D$1505,D641,'Care log'!$G$6:$G$1505,"&gt;"&amp;G641)=0,1,0))</f>
        <v/>
      </c>
    </row>
    <row r="642">
      <c r="A642" s="1" t="n"/>
      <c r="B642" s="20" t="n"/>
      <c r="C642" s="17" t="n"/>
      <c r="D642" s="18" t="n"/>
      <c r="E642" s="18" t="n"/>
      <c r="F642" s="1" t="n"/>
      <c r="G642">
        <f>IF(OR(B642="",C642="",D642=""),"",B642+ROW()/10000000)</f>
        <v/>
      </c>
      <c r="H642">
        <f>IF(G642="","",IF(COUNTIFS('Care log'!$C$6:$C$1505,C642,'Care log'!$D$6:$D$1505,D642,'Care log'!$G$6:$G$1505,"&gt;"&amp;G642)=0,1,0))</f>
        <v/>
      </c>
    </row>
    <row r="643">
      <c r="A643" s="1" t="n"/>
      <c r="B643" s="20" t="n"/>
      <c r="C643" s="17" t="n"/>
      <c r="D643" s="18" t="n"/>
      <c r="E643" s="18" t="n"/>
      <c r="F643" s="1" t="n"/>
      <c r="G643">
        <f>IF(OR(B643="",C643="",D643=""),"",B643+ROW()/10000000)</f>
        <v/>
      </c>
      <c r="H643">
        <f>IF(G643="","",IF(COUNTIFS('Care log'!$C$6:$C$1505,C643,'Care log'!$D$6:$D$1505,D643,'Care log'!$G$6:$G$1505,"&gt;"&amp;G643)=0,1,0))</f>
        <v/>
      </c>
    </row>
    <row r="644">
      <c r="A644" s="1" t="n"/>
      <c r="B644" s="20" t="n"/>
      <c r="C644" s="17" t="n"/>
      <c r="D644" s="18" t="n"/>
      <c r="E644" s="18" t="n"/>
      <c r="F644" s="1" t="n"/>
      <c r="G644">
        <f>IF(OR(B644="",C644="",D644=""),"",B644+ROW()/10000000)</f>
        <v/>
      </c>
      <c r="H644">
        <f>IF(G644="","",IF(COUNTIFS('Care log'!$C$6:$C$1505,C644,'Care log'!$D$6:$D$1505,D644,'Care log'!$G$6:$G$1505,"&gt;"&amp;G644)=0,1,0))</f>
        <v/>
      </c>
    </row>
    <row r="645">
      <c r="A645" s="1" t="n"/>
      <c r="B645" s="20" t="n"/>
      <c r="C645" s="17" t="n"/>
      <c r="D645" s="18" t="n"/>
      <c r="E645" s="18" t="n"/>
      <c r="F645" s="1" t="n"/>
      <c r="G645">
        <f>IF(OR(B645="",C645="",D645=""),"",B645+ROW()/10000000)</f>
        <v/>
      </c>
      <c r="H645">
        <f>IF(G645="","",IF(COUNTIFS('Care log'!$C$6:$C$1505,C645,'Care log'!$D$6:$D$1505,D645,'Care log'!$G$6:$G$1505,"&gt;"&amp;G645)=0,1,0))</f>
        <v/>
      </c>
    </row>
    <row r="646">
      <c r="A646" s="1" t="n"/>
      <c r="B646" s="20" t="n"/>
      <c r="C646" s="17" t="n"/>
      <c r="D646" s="18" t="n"/>
      <c r="E646" s="18" t="n"/>
      <c r="F646" s="1" t="n"/>
      <c r="G646">
        <f>IF(OR(B646="",C646="",D646=""),"",B646+ROW()/10000000)</f>
        <v/>
      </c>
      <c r="H646">
        <f>IF(G646="","",IF(COUNTIFS('Care log'!$C$6:$C$1505,C646,'Care log'!$D$6:$D$1505,D646,'Care log'!$G$6:$G$1505,"&gt;"&amp;G646)=0,1,0))</f>
        <v/>
      </c>
    </row>
    <row r="647">
      <c r="A647" s="1" t="n"/>
      <c r="B647" s="20" t="n"/>
      <c r="C647" s="17" t="n"/>
      <c r="D647" s="18" t="n"/>
      <c r="E647" s="18" t="n"/>
      <c r="F647" s="1" t="n"/>
      <c r="G647">
        <f>IF(OR(B647="",C647="",D647=""),"",B647+ROW()/10000000)</f>
        <v/>
      </c>
      <c r="H647">
        <f>IF(G647="","",IF(COUNTIFS('Care log'!$C$6:$C$1505,C647,'Care log'!$D$6:$D$1505,D647,'Care log'!$G$6:$G$1505,"&gt;"&amp;G647)=0,1,0))</f>
        <v/>
      </c>
    </row>
    <row r="648">
      <c r="A648" s="1" t="n"/>
      <c r="B648" s="20" t="n"/>
      <c r="C648" s="17" t="n"/>
      <c r="D648" s="18" t="n"/>
      <c r="E648" s="18" t="n"/>
      <c r="F648" s="1" t="n"/>
      <c r="G648">
        <f>IF(OR(B648="",C648="",D648=""),"",B648+ROW()/10000000)</f>
        <v/>
      </c>
      <c r="H648">
        <f>IF(G648="","",IF(COUNTIFS('Care log'!$C$6:$C$1505,C648,'Care log'!$D$6:$D$1505,D648,'Care log'!$G$6:$G$1505,"&gt;"&amp;G648)=0,1,0))</f>
        <v/>
      </c>
    </row>
    <row r="649">
      <c r="A649" s="1" t="n"/>
      <c r="B649" s="20" t="n"/>
      <c r="C649" s="17" t="n"/>
      <c r="D649" s="18" t="n"/>
      <c r="E649" s="18" t="n"/>
      <c r="F649" s="1" t="n"/>
      <c r="G649">
        <f>IF(OR(B649="",C649="",D649=""),"",B649+ROW()/10000000)</f>
        <v/>
      </c>
      <c r="H649">
        <f>IF(G649="","",IF(COUNTIFS('Care log'!$C$6:$C$1505,C649,'Care log'!$D$6:$D$1505,D649,'Care log'!$G$6:$G$1505,"&gt;"&amp;G649)=0,1,0))</f>
        <v/>
      </c>
    </row>
    <row r="650">
      <c r="A650" s="1" t="n"/>
      <c r="B650" s="20" t="n"/>
      <c r="C650" s="17" t="n"/>
      <c r="D650" s="18" t="n"/>
      <c r="E650" s="18" t="n"/>
      <c r="F650" s="1" t="n"/>
      <c r="G650">
        <f>IF(OR(B650="",C650="",D650=""),"",B650+ROW()/10000000)</f>
        <v/>
      </c>
      <c r="H650">
        <f>IF(G650="","",IF(COUNTIFS('Care log'!$C$6:$C$1505,C650,'Care log'!$D$6:$D$1505,D650,'Care log'!$G$6:$G$1505,"&gt;"&amp;G650)=0,1,0))</f>
        <v/>
      </c>
    </row>
    <row r="651">
      <c r="A651" s="1" t="n"/>
      <c r="B651" s="20" t="n"/>
      <c r="C651" s="17" t="n"/>
      <c r="D651" s="18" t="n"/>
      <c r="E651" s="18" t="n"/>
      <c r="F651" s="1" t="n"/>
      <c r="G651">
        <f>IF(OR(B651="",C651="",D651=""),"",B651+ROW()/10000000)</f>
        <v/>
      </c>
      <c r="H651">
        <f>IF(G651="","",IF(COUNTIFS('Care log'!$C$6:$C$1505,C651,'Care log'!$D$6:$D$1505,D651,'Care log'!$G$6:$G$1505,"&gt;"&amp;G651)=0,1,0))</f>
        <v/>
      </c>
    </row>
    <row r="652">
      <c r="A652" s="1" t="n"/>
      <c r="B652" s="20" t="n"/>
      <c r="C652" s="17" t="n"/>
      <c r="D652" s="18" t="n"/>
      <c r="E652" s="18" t="n"/>
      <c r="F652" s="1" t="n"/>
      <c r="G652">
        <f>IF(OR(B652="",C652="",D652=""),"",B652+ROW()/10000000)</f>
        <v/>
      </c>
      <c r="H652">
        <f>IF(G652="","",IF(COUNTIFS('Care log'!$C$6:$C$1505,C652,'Care log'!$D$6:$D$1505,D652,'Care log'!$G$6:$G$1505,"&gt;"&amp;G652)=0,1,0))</f>
        <v/>
      </c>
    </row>
    <row r="653">
      <c r="A653" s="1" t="n"/>
      <c r="B653" s="20" t="n"/>
      <c r="C653" s="17" t="n"/>
      <c r="D653" s="18" t="n"/>
      <c r="E653" s="18" t="n"/>
      <c r="F653" s="1" t="n"/>
      <c r="G653">
        <f>IF(OR(B653="",C653="",D653=""),"",B653+ROW()/10000000)</f>
        <v/>
      </c>
      <c r="H653">
        <f>IF(G653="","",IF(COUNTIFS('Care log'!$C$6:$C$1505,C653,'Care log'!$D$6:$D$1505,D653,'Care log'!$G$6:$G$1505,"&gt;"&amp;G653)=0,1,0))</f>
        <v/>
      </c>
    </row>
    <row r="654">
      <c r="A654" s="1" t="n"/>
      <c r="B654" s="20" t="n"/>
      <c r="C654" s="17" t="n"/>
      <c r="D654" s="18" t="n"/>
      <c r="E654" s="18" t="n"/>
      <c r="F654" s="1" t="n"/>
      <c r="G654">
        <f>IF(OR(B654="",C654="",D654=""),"",B654+ROW()/10000000)</f>
        <v/>
      </c>
      <c r="H654">
        <f>IF(G654="","",IF(COUNTIFS('Care log'!$C$6:$C$1505,C654,'Care log'!$D$6:$D$1505,D654,'Care log'!$G$6:$G$1505,"&gt;"&amp;G654)=0,1,0))</f>
        <v/>
      </c>
    </row>
    <row r="655">
      <c r="A655" s="1" t="n"/>
      <c r="B655" s="20" t="n"/>
      <c r="C655" s="17" t="n"/>
      <c r="D655" s="18" t="n"/>
      <c r="E655" s="18" t="n"/>
      <c r="F655" s="1" t="n"/>
      <c r="G655">
        <f>IF(OR(B655="",C655="",D655=""),"",B655+ROW()/10000000)</f>
        <v/>
      </c>
      <c r="H655">
        <f>IF(G655="","",IF(COUNTIFS('Care log'!$C$6:$C$1505,C655,'Care log'!$D$6:$D$1505,D655,'Care log'!$G$6:$G$1505,"&gt;"&amp;G655)=0,1,0))</f>
        <v/>
      </c>
    </row>
    <row r="656">
      <c r="A656" s="1" t="n"/>
      <c r="B656" s="20" t="n"/>
      <c r="C656" s="17" t="n"/>
      <c r="D656" s="18" t="n"/>
      <c r="E656" s="18" t="n"/>
      <c r="F656" s="1" t="n"/>
      <c r="G656">
        <f>IF(OR(B656="",C656="",D656=""),"",B656+ROW()/10000000)</f>
        <v/>
      </c>
      <c r="H656">
        <f>IF(G656="","",IF(COUNTIFS('Care log'!$C$6:$C$1505,C656,'Care log'!$D$6:$D$1505,D656,'Care log'!$G$6:$G$1505,"&gt;"&amp;G656)=0,1,0))</f>
        <v/>
      </c>
    </row>
    <row r="657">
      <c r="A657" s="1" t="n"/>
      <c r="B657" s="20" t="n"/>
      <c r="C657" s="17" t="n"/>
      <c r="D657" s="18" t="n"/>
      <c r="E657" s="18" t="n"/>
      <c r="F657" s="1" t="n"/>
      <c r="G657">
        <f>IF(OR(B657="",C657="",D657=""),"",B657+ROW()/10000000)</f>
        <v/>
      </c>
      <c r="H657">
        <f>IF(G657="","",IF(COUNTIFS('Care log'!$C$6:$C$1505,C657,'Care log'!$D$6:$D$1505,D657,'Care log'!$G$6:$G$1505,"&gt;"&amp;G657)=0,1,0))</f>
        <v/>
      </c>
    </row>
    <row r="658">
      <c r="A658" s="1" t="n"/>
      <c r="B658" s="20" t="n"/>
      <c r="C658" s="17" t="n"/>
      <c r="D658" s="18" t="n"/>
      <c r="E658" s="18" t="n"/>
      <c r="F658" s="1" t="n"/>
      <c r="G658">
        <f>IF(OR(B658="",C658="",D658=""),"",B658+ROW()/10000000)</f>
        <v/>
      </c>
      <c r="H658">
        <f>IF(G658="","",IF(COUNTIFS('Care log'!$C$6:$C$1505,C658,'Care log'!$D$6:$D$1505,D658,'Care log'!$G$6:$G$1505,"&gt;"&amp;G658)=0,1,0))</f>
        <v/>
      </c>
    </row>
    <row r="659">
      <c r="A659" s="1" t="n"/>
      <c r="B659" s="20" t="n"/>
      <c r="C659" s="17" t="n"/>
      <c r="D659" s="18" t="n"/>
      <c r="E659" s="18" t="n"/>
      <c r="F659" s="1" t="n"/>
      <c r="G659">
        <f>IF(OR(B659="",C659="",D659=""),"",B659+ROW()/10000000)</f>
        <v/>
      </c>
      <c r="H659">
        <f>IF(G659="","",IF(COUNTIFS('Care log'!$C$6:$C$1505,C659,'Care log'!$D$6:$D$1505,D659,'Care log'!$G$6:$G$1505,"&gt;"&amp;G659)=0,1,0))</f>
        <v/>
      </c>
    </row>
    <row r="660">
      <c r="A660" s="1" t="n"/>
      <c r="B660" s="20" t="n"/>
      <c r="C660" s="17" t="n"/>
      <c r="D660" s="18" t="n"/>
      <c r="E660" s="18" t="n"/>
      <c r="F660" s="1" t="n"/>
      <c r="G660">
        <f>IF(OR(B660="",C660="",D660=""),"",B660+ROW()/10000000)</f>
        <v/>
      </c>
      <c r="H660">
        <f>IF(G660="","",IF(COUNTIFS('Care log'!$C$6:$C$1505,C660,'Care log'!$D$6:$D$1505,D660,'Care log'!$G$6:$G$1505,"&gt;"&amp;G660)=0,1,0))</f>
        <v/>
      </c>
    </row>
    <row r="661">
      <c r="A661" s="1" t="n"/>
      <c r="B661" s="20" t="n"/>
      <c r="C661" s="17" t="n"/>
      <c r="D661" s="18" t="n"/>
      <c r="E661" s="18" t="n"/>
      <c r="F661" s="1" t="n"/>
      <c r="G661">
        <f>IF(OR(B661="",C661="",D661=""),"",B661+ROW()/10000000)</f>
        <v/>
      </c>
      <c r="H661">
        <f>IF(G661="","",IF(COUNTIFS('Care log'!$C$6:$C$1505,C661,'Care log'!$D$6:$D$1505,D661,'Care log'!$G$6:$G$1505,"&gt;"&amp;G661)=0,1,0))</f>
        <v/>
      </c>
    </row>
    <row r="662">
      <c r="A662" s="1" t="n"/>
      <c r="B662" s="20" t="n"/>
      <c r="C662" s="17" t="n"/>
      <c r="D662" s="18" t="n"/>
      <c r="E662" s="18" t="n"/>
      <c r="F662" s="1" t="n"/>
      <c r="G662">
        <f>IF(OR(B662="",C662="",D662=""),"",B662+ROW()/10000000)</f>
        <v/>
      </c>
      <c r="H662">
        <f>IF(G662="","",IF(COUNTIFS('Care log'!$C$6:$C$1505,C662,'Care log'!$D$6:$D$1505,D662,'Care log'!$G$6:$G$1505,"&gt;"&amp;G662)=0,1,0))</f>
        <v/>
      </c>
    </row>
    <row r="663">
      <c r="A663" s="1" t="n"/>
      <c r="B663" s="20" t="n"/>
      <c r="C663" s="17" t="n"/>
      <c r="D663" s="18" t="n"/>
      <c r="E663" s="18" t="n"/>
      <c r="F663" s="1" t="n"/>
      <c r="G663">
        <f>IF(OR(B663="",C663="",D663=""),"",B663+ROW()/10000000)</f>
        <v/>
      </c>
      <c r="H663">
        <f>IF(G663="","",IF(COUNTIFS('Care log'!$C$6:$C$1505,C663,'Care log'!$D$6:$D$1505,D663,'Care log'!$G$6:$G$1505,"&gt;"&amp;G663)=0,1,0))</f>
        <v/>
      </c>
    </row>
    <row r="664">
      <c r="A664" s="1" t="n"/>
      <c r="B664" s="20" t="n"/>
      <c r="C664" s="17" t="n"/>
      <c r="D664" s="18" t="n"/>
      <c r="E664" s="18" t="n"/>
      <c r="F664" s="1" t="n"/>
      <c r="G664">
        <f>IF(OR(B664="",C664="",D664=""),"",B664+ROW()/10000000)</f>
        <v/>
      </c>
      <c r="H664">
        <f>IF(G664="","",IF(COUNTIFS('Care log'!$C$6:$C$1505,C664,'Care log'!$D$6:$D$1505,D664,'Care log'!$G$6:$G$1505,"&gt;"&amp;G664)=0,1,0))</f>
        <v/>
      </c>
    </row>
    <row r="665">
      <c r="A665" s="1" t="n"/>
      <c r="B665" s="20" t="n"/>
      <c r="C665" s="17" t="n"/>
      <c r="D665" s="18" t="n"/>
      <c r="E665" s="18" t="n"/>
      <c r="F665" s="1" t="n"/>
      <c r="G665">
        <f>IF(OR(B665="",C665="",D665=""),"",B665+ROW()/10000000)</f>
        <v/>
      </c>
      <c r="H665">
        <f>IF(G665="","",IF(COUNTIFS('Care log'!$C$6:$C$1505,C665,'Care log'!$D$6:$D$1505,D665,'Care log'!$G$6:$G$1505,"&gt;"&amp;G665)=0,1,0))</f>
        <v/>
      </c>
    </row>
    <row r="666">
      <c r="A666" s="1" t="n"/>
      <c r="B666" s="20" t="n"/>
      <c r="C666" s="17" t="n"/>
      <c r="D666" s="18" t="n"/>
      <c r="E666" s="18" t="n"/>
      <c r="F666" s="1" t="n"/>
      <c r="G666">
        <f>IF(OR(B666="",C666="",D666=""),"",B666+ROW()/10000000)</f>
        <v/>
      </c>
      <c r="H666">
        <f>IF(G666="","",IF(COUNTIFS('Care log'!$C$6:$C$1505,C666,'Care log'!$D$6:$D$1505,D666,'Care log'!$G$6:$G$1505,"&gt;"&amp;G666)=0,1,0))</f>
        <v/>
      </c>
    </row>
    <row r="667">
      <c r="A667" s="1" t="n"/>
      <c r="B667" s="20" t="n"/>
      <c r="C667" s="17" t="n"/>
      <c r="D667" s="18" t="n"/>
      <c r="E667" s="18" t="n"/>
      <c r="F667" s="1" t="n"/>
      <c r="G667">
        <f>IF(OR(B667="",C667="",D667=""),"",B667+ROW()/10000000)</f>
        <v/>
      </c>
      <c r="H667">
        <f>IF(G667="","",IF(COUNTIFS('Care log'!$C$6:$C$1505,C667,'Care log'!$D$6:$D$1505,D667,'Care log'!$G$6:$G$1505,"&gt;"&amp;G667)=0,1,0))</f>
        <v/>
      </c>
    </row>
    <row r="668">
      <c r="A668" s="1" t="n"/>
      <c r="B668" s="20" t="n"/>
      <c r="C668" s="17" t="n"/>
      <c r="D668" s="18" t="n"/>
      <c r="E668" s="18" t="n"/>
      <c r="F668" s="1" t="n"/>
      <c r="G668">
        <f>IF(OR(B668="",C668="",D668=""),"",B668+ROW()/10000000)</f>
        <v/>
      </c>
      <c r="H668">
        <f>IF(G668="","",IF(COUNTIFS('Care log'!$C$6:$C$1505,C668,'Care log'!$D$6:$D$1505,D668,'Care log'!$G$6:$G$1505,"&gt;"&amp;G668)=0,1,0))</f>
        <v/>
      </c>
    </row>
    <row r="669">
      <c r="A669" s="1" t="n"/>
      <c r="B669" s="20" t="n"/>
      <c r="C669" s="17" t="n"/>
      <c r="D669" s="18" t="n"/>
      <c r="E669" s="18" t="n"/>
      <c r="F669" s="1" t="n"/>
      <c r="G669">
        <f>IF(OR(B669="",C669="",D669=""),"",B669+ROW()/10000000)</f>
        <v/>
      </c>
      <c r="H669">
        <f>IF(G669="","",IF(COUNTIFS('Care log'!$C$6:$C$1505,C669,'Care log'!$D$6:$D$1505,D669,'Care log'!$G$6:$G$1505,"&gt;"&amp;G669)=0,1,0))</f>
        <v/>
      </c>
    </row>
    <row r="670">
      <c r="A670" s="1" t="n"/>
      <c r="B670" s="20" t="n"/>
      <c r="C670" s="17" t="n"/>
      <c r="D670" s="18" t="n"/>
      <c r="E670" s="18" t="n"/>
      <c r="F670" s="1" t="n"/>
      <c r="G670">
        <f>IF(OR(B670="",C670="",D670=""),"",B670+ROW()/10000000)</f>
        <v/>
      </c>
      <c r="H670">
        <f>IF(G670="","",IF(COUNTIFS('Care log'!$C$6:$C$1505,C670,'Care log'!$D$6:$D$1505,D670,'Care log'!$G$6:$G$1505,"&gt;"&amp;G670)=0,1,0))</f>
        <v/>
      </c>
    </row>
    <row r="671">
      <c r="A671" s="1" t="n"/>
      <c r="B671" s="20" t="n"/>
      <c r="C671" s="17" t="n"/>
      <c r="D671" s="18" t="n"/>
      <c r="E671" s="18" t="n"/>
      <c r="F671" s="1" t="n"/>
      <c r="G671">
        <f>IF(OR(B671="",C671="",D671=""),"",B671+ROW()/10000000)</f>
        <v/>
      </c>
      <c r="H671">
        <f>IF(G671="","",IF(COUNTIFS('Care log'!$C$6:$C$1505,C671,'Care log'!$D$6:$D$1505,D671,'Care log'!$G$6:$G$1505,"&gt;"&amp;G671)=0,1,0))</f>
        <v/>
      </c>
    </row>
    <row r="672">
      <c r="A672" s="1" t="n"/>
      <c r="B672" s="20" t="n"/>
      <c r="C672" s="17" t="n"/>
      <c r="D672" s="18" t="n"/>
      <c r="E672" s="18" t="n"/>
      <c r="F672" s="1" t="n"/>
      <c r="G672">
        <f>IF(OR(B672="",C672="",D672=""),"",B672+ROW()/10000000)</f>
        <v/>
      </c>
      <c r="H672">
        <f>IF(G672="","",IF(COUNTIFS('Care log'!$C$6:$C$1505,C672,'Care log'!$D$6:$D$1505,D672,'Care log'!$G$6:$G$1505,"&gt;"&amp;G672)=0,1,0))</f>
        <v/>
      </c>
    </row>
    <row r="673">
      <c r="A673" s="1" t="n"/>
      <c r="B673" s="20" t="n"/>
      <c r="C673" s="17" t="n"/>
      <c r="D673" s="18" t="n"/>
      <c r="E673" s="18" t="n"/>
      <c r="F673" s="1" t="n"/>
      <c r="G673">
        <f>IF(OR(B673="",C673="",D673=""),"",B673+ROW()/10000000)</f>
        <v/>
      </c>
      <c r="H673">
        <f>IF(G673="","",IF(COUNTIFS('Care log'!$C$6:$C$1505,C673,'Care log'!$D$6:$D$1505,D673,'Care log'!$G$6:$G$1505,"&gt;"&amp;G673)=0,1,0))</f>
        <v/>
      </c>
    </row>
    <row r="674">
      <c r="A674" s="1" t="n"/>
      <c r="B674" s="20" t="n"/>
      <c r="C674" s="17" t="n"/>
      <c r="D674" s="18" t="n"/>
      <c r="E674" s="18" t="n"/>
      <c r="F674" s="1" t="n"/>
      <c r="G674">
        <f>IF(OR(B674="",C674="",D674=""),"",B674+ROW()/10000000)</f>
        <v/>
      </c>
      <c r="H674">
        <f>IF(G674="","",IF(COUNTIFS('Care log'!$C$6:$C$1505,C674,'Care log'!$D$6:$D$1505,D674,'Care log'!$G$6:$G$1505,"&gt;"&amp;G674)=0,1,0))</f>
        <v/>
      </c>
    </row>
    <row r="675">
      <c r="A675" s="1" t="n"/>
      <c r="B675" s="20" t="n"/>
      <c r="C675" s="17" t="n"/>
      <c r="D675" s="18" t="n"/>
      <c r="E675" s="18" t="n"/>
      <c r="F675" s="1" t="n"/>
      <c r="G675">
        <f>IF(OR(B675="",C675="",D675=""),"",B675+ROW()/10000000)</f>
        <v/>
      </c>
      <c r="H675">
        <f>IF(G675="","",IF(COUNTIFS('Care log'!$C$6:$C$1505,C675,'Care log'!$D$6:$D$1505,D675,'Care log'!$G$6:$G$1505,"&gt;"&amp;G675)=0,1,0))</f>
        <v/>
      </c>
    </row>
    <row r="676">
      <c r="A676" s="1" t="n"/>
      <c r="B676" s="20" t="n"/>
      <c r="C676" s="17" t="n"/>
      <c r="D676" s="18" t="n"/>
      <c r="E676" s="18" t="n"/>
      <c r="F676" s="1" t="n"/>
      <c r="G676">
        <f>IF(OR(B676="",C676="",D676=""),"",B676+ROW()/10000000)</f>
        <v/>
      </c>
      <c r="H676">
        <f>IF(G676="","",IF(COUNTIFS('Care log'!$C$6:$C$1505,C676,'Care log'!$D$6:$D$1505,D676,'Care log'!$G$6:$G$1505,"&gt;"&amp;G676)=0,1,0))</f>
        <v/>
      </c>
    </row>
    <row r="677">
      <c r="A677" s="1" t="n"/>
      <c r="B677" s="20" t="n"/>
      <c r="C677" s="17" t="n"/>
      <c r="D677" s="18" t="n"/>
      <c r="E677" s="18" t="n"/>
      <c r="F677" s="1" t="n"/>
      <c r="G677">
        <f>IF(OR(B677="",C677="",D677=""),"",B677+ROW()/10000000)</f>
        <v/>
      </c>
      <c r="H677">
        <f>IF(G677="","",IF(COUNTIFS('Care log'!$C$6:$C$1505,C677,'Care log'!$D$6:$D$1505,D677,'Care log'!$G$6:$G$1505,"&gt;"&amp;G677)=0,1,0))</f>
        <v/>
      </c>
    </row>
    <row r="678">
      <c r="A678" s="1" t="n"/>
      <c r="B678" s="20" t="n"/>
      <c r="C678" s="17" t="n"/>
      <c r="D678" s="18" t="n"/>
      <c r="E678" s="18" t="n"/>
      <c r="F678" s="1" t="n"/>
      <c r="G678">
        <f>IF(OR(B678="",C678="",D678=""),"",B678+ROW()/10000000)</f>
        <v/>
      </c>
      <c r="H678">
        <f>IF(G678="","",IF(COUNTIFS('Care log'!$C$6:$C$1505,C678,'Care log'!$D$6:$D$1505,D678,'Care log'!$G$6:$G$1505,"&gt;"&amp;G678)=0,1,0))</f>
        <v/>
      </c>
    </row>
    <row r="679">
      <c r="A679" s="1" t="n"/>
      <c r="B679" s="20" t="n"/>
      <c r="C679" s="17" t="n"/>
      <c r="D679" s="18" t="n"/>
      <c r="E679" s="18" t="n"/>
      <c r="F679" s="1" t="n"/>
      <c r="G679">
        <f>IF(OR(B679="",C679="",D679=""),"",B679+ROW()/10000000)</f>
        <v/>
      </c>
      <c r="H679">
        <f>IF(G679="","",IF(COUNTIFS('Care log'!$C$6:$C$1505,C679,'Care log'!$D$6:$D$1505,D679,'Care log'!$G$6:$G$1505,"&gt;"&amp;G679)=0,1,0))</f>
        <v/>
      </c>
    </row>
    <row r="680">
      <c r="A680" s="1" t="n"/>
      <c r="B680" s="20" t="n"/>
      <c r="C680" s="17" t="n"/>
      <c r="D680" s="18" t="n"/>
      <c r="E680" s="18" t="n"/>
      <c r="F680" s="1" t="n"/>
      <c r="G680">
        <f>IF(OR(B680="",C680="",D680=""),"",B680+ROW()/10000000)</f>
        <v/>
      </c>
      <c r="H680">
        <f>IF(G680="","",IF(COUNTIFS('Care log'!$C$6:$C$1505,C680,'Care log'!$D$6:$D$1505,D680,'Care log'!$G$6:$G$1505,"&gt;"&amp;G680)=0,1,0))</f>
        <v/>
      </c>
    </row>
    <row r="681">
      <c r="A681" s="1" t="n"/>
      <c r="B681" s="20" t="n"/>
      <c r="C681" s="17" t="n"/>
      <c r="D681" s="18" t="n"/>
      <c r="E681" s="18" t="n"/>
      <c r="F681" s="1" t="n"/>
      <c r="G681">
        <f>IF(OR(B681="",C681="",D681=""),"",B681+ROW()/10000000)</f>
        <v/>
      </c>
      <c r="H681">
        <f>IF(G681="","",IF(COUNTIFS('Care log'!$C$6:$C$1505,C681,'Care log'!$D$6:$D$1505,D681,'Care log'!$G$6:$G$1505,"&gt;"&amp;G681)=0,1,0))</f>
        <v/>
      </c>
    </row>
    <row r="682">
      <c r="A682" s="1" t="n"/>
      <c r="B682" s="20" t="n"/>
      <c r="C682" s="17" t="n"/>
      <c r="D682" s="18" t="n"/>
      <c r="E682" s="18" t="n"/>
      <c r="F682" s="1" t="n"/>
      <c r="G682">
        <f>IF(OR(B682="",C682="",D682=""),"",B682+ROW()/10000000)</f>
        <v/>
      </c>
      <c r="H682">
        <f>IF(G682="","",IF(COUNTIFS('Care log'!$C$6:$C$1505,C682,'Care log'!$D$6:$D$1505,D682,'Care log'!$G$6:$G$1505,"&gt;"&amp;G682)=0,1,0))</f>
        <v/>
      </c>
    </row>
    <row r="683">
      <c r="A683" s="1" t="n"/>
      <c r="B683" s="20" t="n"/>
      <c r="C683" s="17" t="n"/>
      <c r="D683" s="18" t="n"/>
      <c r="E683" s="18" t="n"/>
      <c r="F683" s="1" t="n"/>
      <c r="G683">
        <f>IF(OR(B683="",C683="",D683=""),"",B683+ROW()/10000000)</f>
        <v/>
      </c>
      <c r="H683">
        <f>IF(G683="","",IF(COUNTIFS('Care log'!$C$6:$C$1505,C683,'Care log'!$D$6:$D$1505,D683,'Care log'!$G$6:$G$1505,"&gt;"&amp;G683)=0,1,0))</f>
        <v/>
      </c>
    </row>
    <row r="684">
      <c r="A684" s="1" t="n"/>
      <c r="B684" s="20" t="n"/>
      <c r="C684" s="17" t="n"/>
      <c r="D684" s="18" t="n"/>
      <c r="E684" s="18" t="n"/>
      <c r="F684" s="1" t="n"/>
      <c r="G684">
        <f>IF(OR(B684="",C684="",D684=""),"",B684+ROW()/10000000)</f>
        <v/>
      </c>
      <c r="H684">
        <f>IF(G684="","",IF(COUNTIFS('Care log'!$C$6:$C$1505,C684,'Care log'!$D$6:$D$1505,D684,'Care log'!$G$6:$G$1505,"&gt;"&amp;G684)=0,1,0))</f>
        <v/>
      </c>
    </row>
    <row r="685">
      <c r="A685" s="1" t="n"/>
      <c r="B685" s="20" t="n"/>
      <c r="C685" s="17" t="n"/>
      <c r="D685" s="18" t="n"/>
      <c r="E685" s="18" t="n"/>
      <c r="F685" s="1" t="n"/>
      <c r="G685">
        <f>IF(OR(B685="",C685="",D685=""),"",B685+ROW()/10000000)</f>
        <v/>
      </c>
      <c r="H685">
        <f>IF(G685="","",IF(COUNTIFS('Care log'!$C$6:$C$1505,C685,'Care log'!$D$6:$D$1505,D685,'Care log'!$G$6:$G$1505,"&gt;"&amp;G685)=0,1,0))</f>
        <v/>
      </c>
    </row>
    <row r="686">
      <c r="A686" s="1" t="n"/>
      <c r="B686" s="20" t="n"/>
      <c r="C686" s="17" t="n"/>
      <c r="D686" s="18" t="n"/>
      <c r="E686" s="18" t="n"/>
      <c r="F686" s="1" t="n"/>
      <c r="G686">
        <f>IF(OR(B686="",C686="",D686=""),"",B686+ROW()/10000000)</f>
        <v/>
      </c>
      <c r="H686">
        <f>IF(G686="","",IF(COUNTIFS('Care log'!$C$6:$C$1505,C686,'Care log'!$D$6:$D$1505,D686,'Care log'!$G$6:$G$1505,"&gt;"&amp;G686)=0,1,0))</f>
        <v/>
      </c>
    </row>
    <row r="687">
      <c r="A687" s="1" t="n"/>
      <c r="B687" s="20" t="n"/>
      <c r="C687" s="17" t="n"/>
      <c r="D687" s="18" t="n"/>
      <c r="E687" s="18" t="n"/>
      <c r="F687" s="1" t="n"/>
      <c r="G687">
        <f>IF(OR(B687="",C687="",D687=""),"",B687+ROW()/10000000)</f>
        <v/>
      </c>
      <c r="H687">
        <f>IF(G687="","",IF(COUNTIFS('Care log'!$C$6:$C$1505,C687,'Care log'!$D$6:$D$1505,D687,'Care log'!$G$6:$G$1505,"&gt;"&amp;G687)=0,1,0))</f>
        <v/>
      </c>
    </row>
    <row r="688">
      <c r="A688" s="1" t="n"/>
      <c r="B688" s="20" t="n"/>
      <c r="C688" s="17" t="n"/>
      <c r="D688" s="18" t="n"/>
      <c r="E688" s="18" t="n"/>
      <c r="F688" s="1" t="n"/>
      <c r="G688">
        <f>IF(OR(B688="",C688="",D688=""),"",B688+ROW()/10000000)</f>
        <v/>
      </c>
      <c r="H688">
        <f>IF(G688="","",IF(COUNTIFS('Care log'!$C$6:$C$1505,C688,'Care log'!$D$6:$D$1505,D688,'Care log'!$G$6:$G$1505,"&gt;"&amp;G688)=0,1,0))</f>
        <v/>
      </c>
    </row>
    <row r="689">
      <c r="A689" s="1" t="n"/>
      <c r="B689" s="20" t="n"/>
      <c r="C689" s="17" t="n"/>
      <c r="D689" s="18" t="n"/>
      <c r="E689" s="18" t="n"/>
      <c r="F689" s="1" t="n"/>
      <c r="G689">
        <f>IF(OR(B689="",C689="",D689=""),"",B689+ROW()/10000000)</f>
        <v/>
      </c>
      <c r="H689">
        <f>IF(G689="","",IF(COUNTIFS('Care log'!$C$6:$C$1505,C689,'Care log'!$D$6:$D$1505,D689,'Care log'!$G$6:$G$1505,"&gt;"&amp;G689)=0,1,0))</f>
        <v/>
      </c>
    </row>
    <row r="690">
      <c r="A690" s="1" t="n"/>
      <c r="B690" s="20" t="n"/>
      <c r="C690" s="17" t="n"/>
      <c r="D690" s="18" t="n"/>
      <c r="E690" s="18" t="n"/>
      <c r="F690" s="1" t="n"/>
      <c r="G690">
        <f>IF(OR(B690="",C690="",D690=""),"",B690+ROW()/10000000)</f>
        <v/>
      </c>
      <c r="H690">
        <f>IF(G690="","",IF(COUNTIFS('Care log'!$C$6:$C$1505,C690,'Care log'!$D$6:$D$1505,D690,'Care log'!$G$6:$G$1505,"&gt;"&amp;G690)=0,1,0))</f>
        <v/>
      </c>
    </row>
    <row r="691">
      <c r="A691" s="1" t="n"/>
      <c r="B691" s="20" t="n"/>
      <c r="C691" s="17" t="n"/>
      <c r="D691" s="18" t="n"/>
      <c r="E691" s="18" t="n"/>
      <c r="F691" s="1" t="n"/>
      <c r="G691">
        <f>IF(OR(B691="",C691="",D691=""),"",B691+ROW()/10000000)</f>
        <v/>
      </c>
      <c r="H691">
        <f>IF(G691="","",IF(COUNTIFS('Care log'!$C$6:$C$1505,C691,'Care log'!$D$6:$D$1505,D691,'Care log'!$G$6:$G$1505,"&gt;"&amp;G691)=0,1,0))</f>
        <v/>
      </c>
    </row>
    <row r="692">
      <c r="A692" s="1" t="n"/>
      <c r="B692" s="20" t="n"/>
      <c r="C692" s="17" t="n"/>
      <c r="D692" s="18" t="n"/>
      <c r="E692" s="18" t="n"/>
      <c r="F692" s="1" t="n"/>
      <c r="G692">
        <f>IF(OR(B692="",C692="",D692=""),"",B692+ROW()/10000000)</f>
        <v/>
      </c>
      <c r="H692">
        <f>IF(G692="","",IF(COUNTIFS('Care log'!$C$6:$C$1505,C692,'Care log'!$D$6:$D$1505,D692,'Care log'!$G$6:$G$1505,"&gt;"&amp;G692)=0,1,0))</f>
        <v/>
      </c>
    </row>
    <row r="693">
      <c r="A693" s="1" t="n"/>
      <c r="B693" s="20" t="n"/>
      <c r="C693" s="17" t="n"/>
      <c r="D693" s="18" t="n"/>
      <c r="E693" s="18" t="n"/>
      <c r="F693" s="1" t="n"/>
      <c r="G693">
        <f>IF(OR(B693="",C693="",D693=""),"",B693+ROW()/10000000)</f>
        <v/>
      </c>
      <c r="H693">
        <f>IF(G693="","",IF(COUNTIFS('Care log'!$C$6:$C$1505,C693,'Care log'!$D$6:$D$1505,D693,'Care log'!$G$6:$G$1505,"&gt;"&amp;G693)=0,1,0))</f>
        <v/>
      </c>
    </row>
    <row r="694">
      <c r="A694" s="1" t="n"/>
      <c r="B694" s="20" t="n"/>
      <c r="C694" s="17" t="n"/>
      <c r="D694" s="18" t="n"/>
      <c r="E694" s="18" t="n"/>
      <c r="F694" s="1" t="n"/>
      <c r="G694">
        <f>IF(OR(B694="",C694="",D694=""),"",B694+ROW()/10000000)</f>
        <v/>
      </c>
      <c r="H694">
        <f>IF(G694="","",IF(COUNTIFS('Care log'!$C$6:$C$1505,C694,'Care log'!$D$6:$D$1505,D694,'Care log'!$G$6:$G$1505,"&gt;"&amp;G694)=0,1,0))</f>
        <v/>
      </c>
    </row>
    <row r="695">
      <c r="A695" s="1" t="n"/>
      <c r="B695" s="20" t="n"/>
      <c r="C695" s="17" t="n"/>
      <c r="D695" s="18" t="n"/>
      <c r="E695" s="18" t="n"/>
      <c r="F695" s="1" t="n"/>
      <c r="G695">
        <f>IF(OR(B695="",C695="",D695=""),"",B695+ROW()/10000000)</f>
        <v/>
      </c>
      <c r="H695">
        <f>IF(G695="","",IF(COUNTIFS('Care log'!$C$6:$C$1505,C695,'Care log'!$D$6:$D$1505,D695,'Care log'!$G$6:$G$1505,"&gt;"&amp;G695)=0,1,0))</f>
        <v/>
      </c>
    </row>
    <row r="696">
      <c r="A696" s="1" t="n"/>
      <c r="B696" s="20" t="n"/>
      <c r="C696" s="17" t="n"/>
      <c r="D696" s="18" t="n"/>
      <c r="E696" s="18" t="n"/>
      <c r="F696" s="1" t="n"/>
      <c r="G696">
        <f>IF(OR(B696="",C696="",D696=""),"",B696+ROW()/10000000)</f>
        <v/>
      </c>
      <c r="H696">
        <f>IF(G696="","",IF(COUNTIFS('Care log'!$C$6:$C$1505,C696,'Care log'!$D$6:$D$1505,D696,'Care log'!$G$6:$G$1505,"&gt;"&amp;G696)=0,1,0))</f>
        <v/>
      </c>
    </row>
    <row r="697">
      <c r="A697" s="1" t="n"/>
      <c r="B697" s="20" t="n"/>
      <c r="C697" s="17" t="n"/>
      <c r="D697" s="18" t="n"/>
      <c r="E697" s="18" t="n"/>
      <c r="F697" s="1" t="n"/>
      <c r="G697">
        <f>IF(OR(B697="",C697="",D697=""),"",B697+ROW()/10000000)</f>
        <v/>
      </c>
      <c r="H697">
        <f>IF(G697="","",IF(COUNTIFS('Care log'!$C$6:$C$1505,C697,'Care log'!$D$6:$D$1505,D697,'Care log'!$G$6:$G$1505,"&gt;"&amp;G697)=0,1,0))</f>
        <v/>
      </c>
    </row>
    <row r="698">
      <c r="A698" s="1" t="n"/>
      <c r="B698" s="20" t="n"/>
      <c r="C698" s="17" t="n"/>
      <c r="D698" s="18" t="n"/>
      <c r="E698" s="18" t="n"/>
      <c r="F698" s="1" t="n"/>
      <c r="G698">
        <f>IF(OR(B698="",C698="",D698=""),"",B698+ROW()/10000000)</f>
        <v/>
      </c>
      <c r="H698">
        <f>IF(G698="","",IF(COUNTIFS('Care log'!$C$6:$C$1505,C698,'Care log'!$D$6:$D$1505,D698,'Care log'!$G$6:$G$1505,"&gt;"&amp;G698)=0,1,0))</f>
        <v/>
      </c>
    </row>
    <row r="699">
      <c r="A699" s="1" t="n"/>
      <c r="B699" s="20" t="n"/>
      <c r="C699" s="17" t="n"/>
      <c r="D699" s="18" t="n"/>
      <c r="E699" s="18" t="n"/>
      <c r="F699" s="1" t="n"/>
      <c r="G699">
        <f>IF(OR(B699="",C699="",D699=""),"",B699+ROW()/10000000)</f>
        <v/>
      </c>
      <c r="H699">
        <f>IF(G699="","",IF(COUNTIFS('Care log'!$C$6:$C$1505,C699,'Care log'!$D$6:$D$1505,D699,'Care log'!$G$6:$G$1505,"&gt;"&amp;G699)=0,1,0))</f>
        <v/>
      </c>
    </row>
    <row r="700">
      <c r="A700" s="1" t="n"/>
      <c r="B700" s="20" t="n"/>
      <c r="C700" s="17" t="n"/>
      <c r="D700" s="18" t="n"/>
      <c r="E700" s="18" t="n"/>
      <c r="F700" s="1" t="n"/>
      <c r="G700">
        <f>IF(OR(B700="",C700="",D700=""),"",B700+ROW()/10000000)</f>
        <v/>
      </c>
      <c r="H700">
        <f>IF(G700="","",IF(COUNTIFS('Care log'!$C$6:$C$1505,C700,'Care log'!$D$6:$D$1505,D700,'Care log'!$G$6:$G$1505,"&gt;"&amp;G700)=0,1,0))</f>
        <v/>
      </c>
    </row>
    <row r="701">
      <c r="A701" s="1" t="n"/>
      <c r="B701" s="20" t="n"/>
      <c r="C701" s="17" t="n"/>
      <c r="D701" s="18" t="n"/>
      <c r="E701" s="18" t="n"/>
      <c r="F701" s="1" t="n"/>
      <c r="G701">
        <f>IF(OR(B701="",C701="",D701=""),"",B701+ROW()/10000000)</f>
        <v/>
      </c>
      <c r="H701">
        <f>IF(G701="","",IF(COUNTIFS('Care log'!$C$6:$C$1505,C701,'Care log'!$D$6:$D$1505,D701,'Care log'!$G$6:$G$1505,"&gt;"&amp;G701)=0,1,0))</f>
        <v/>
      </c>
    </row>
    <row r="702">
      <c r="A702" s="1" t="n"/>
      <c r="B702" s="20" t="n"/>
      <c r="C702" s="17" t="n"/>
      <c r="D702" s="18" t="n"/>
      <c r="E702" s="18" t="n"/>
      <c r="F702" s="1" t="n"/>
      <c r="G702">
        <f>IF(OR(B702="",C702="",D702=""),"",B702+ROW()/10000000)</f>
        <v/>
      </c>
      <c r="H702">
        <f>IF(G702="","",IF(COUNTIFS('Care log'!$C$6:$C$1505,C702,'Care log'!$D$6:$D$1505,D702,'Care log'!$G$6:$G$1505,"&gt;"&amp;G702)=0,1,0))</f>
        <v/>
      </c>
    </row>
    <row r="703">
      <c r="A703" s="1" t="n"/>
      <c r="B703" s="20" t="n"/>
      <c r="C703" s="17" t="n"/>
      <c r="D703" s="18" t="n"/>
      <c r="E703" s="18" t="n"/>
      <c r="F703" s="1" t="n"/>
      <c r="G703">
        <f>IF(OR(B703="",C703="",D703=""),"",B703+ROW()/10000000)</f>
        <v/>
      </c>
      <c r="H703">
        <f>IF(G703="","",IF(COUNTIFS('Care log'!$C$6:$C$1505,C703,'Care log'!$D$6:$D$1505,D703,'Care log'!$G$6:$G$1505,"&gt;"&amp;G703)=0,1,0))</f>
        <v/>
      </c>
    </row>
    <row r="704">
      <c r="A704" s="1" t="n"/>
      <c r="B704" s="20" t="n"/>
      <c r="C704" s="17" t="n"/>
      <c r="D704" s="18" t="n"/>
      <c r="E704" s="18" t="n"/>
      <c r="F704" s="1" t="n"/>
      <c r="G704">
        <f>IF(OR(B704="",C704="",D704=""),"",B704+ROW()/10000000)</f>
        <v/>
      </c>
      <c r="H704">
        <f>IF(G704="","",IF(COUNTIFS('Care log'!$C$6:$C$1505,C704,'Care log'!$D$6:$D$1505,D704,'Care log'!$G$6:$G$1505,"&gt;"&amp;G704)=0,1,0))</f>
        <v/>
      </c>
    </row>
    <row r="705">
      <c r="A705" s="1" t="n"/>
      <c r="B705" s="20" t="n"/>
      <c r="C705" s="17" t="n"/>
      <c r="D705" s="18" t="n"/>
      <c r="E705" s="18" t="n"/>
      <c r="F705" s="1" t="n"/>
      <c r="G705">
        <f>IF(OR(B705="",C705="",D705=""),"",B705+ROW()/10000000)</f>
        <v/>
      </c>
      <c r="H705">
        <f>IF(G705="","",IF(COUNTIFS('Care log'!$C$6:$C$1505,C705,'Care log'!$D$6:$D$1505,D705,'Care log'!$G$6:$G$1505,"&gt;"&amp;G705)=0,1,0))</f>
        <v/>
      </c>
    </row>
    <row r="706">
      <c r="A706" s="1" t="n"/>
      <c r="B706" s="20" t="n"/>
      <c r="C706" s="17" t="n"/>
      <c r="D706" s="18" t="n"/>
      <c r="E706" s="18" t="n"/>
      <c r="F706" s="1" t="n"/>
      <c r="G706">
        <f>IF(OR(B706="",C706="",D706=""),"",B706+ROW()/10000000)</f>
        <v/>
      </c>
      <c r="H706">
        <f>IF(G706="","",IF(COUNTIFS('Care log'!$C$6:$C$1505,C706,'Care log'!$D$6:$D$1505,D706,'Care log'!$G$6:$G$1505,"&gt;"&amp;G706)=0,1,0))</f>
        <v/>
      </c>
    </row>
    <row r="707">
      <c r="A707" s="1" t="n"/>
      <c r="B707" s="20" t="n"/>
      <c r="C707" s="17" t="n"/>
      <c r="D707" s="18" t="n"/>
      <c r="E707" s="18" t="n"/>
      <c r="F707" s="1" t="n"/>
      <c r="G707">
        <f>IF(OR(B707="",C707="",D707=""),"",B707+ROW()/10000000)</f>
        <v/>
      </c>
      <c r="H707">
        <f>IF(G707="","",IF(COUNTIFS('Care log'!$C$6:$C$1505,C707,'Care log'!$D$6:$D$1505,D707,'Care log'!$G$6:$G$1505,"&gt;"&amp;G707)=0,1,0))</f>
        <v/>
      </c>
    </row>
    <row r="708">
      <c r="A708" s="1" t="n"/>
      <c r="B708" s="20" t="n"/>
      <c r="C708" s="17" t="n"/>
      <c r="D708" s="18" t="n"/>
      <c r="E708" s="18" t="n"/>
      <c r="F708" s="1" t="n"/>
      <c r="G708">
        <f>IF(OR(B708="",C708="",D708=""),"",B708+ROW()/10000000)</f>
        <v/>
      </c>
      <c r="H708">
        <f>IF(G708="","",IF(COUNTIFS('Care log'!$C$6:$C$1505,C708,'Care log'!$D$6:$D$1505,D708,'Care log'!$G$6:$G$1505,"&gt;"&amp;G708)=0,1,0))</f>
        <v/>
      </c>
    </row>
    <row r="709">
      <c r="A709" s="1" t="n"/>
      <c r="B709" s="20" t="n"/>
      <c r="C709" s="17" t="n"/>
      <c r="D709" s="18" t="n"/>
      <c r="E709" s="18" t="n"/>
      <c r="F709" s="1" t="n"/>
      <c r="G709">
        <f>IF(OR(B709="",C709="",D709=""),"",B709+ROW()/10000000)</f>
        <v/>
      </c>
      <c r="H709">
        <f>IF(G709="","",IF(COUNTIFS('Care log'!$C$6:$C$1505,C709,'Care log'!$D$6:$D$1505,D709,'Care log'!$G$6:$G$1505,"&gt;"&amp;G709)=0,1,0))</f>
        <v/>
      </c>
    </row>
    <row r="710">
      <c r="A710" s="1" t="n"/>
      <c r="B710" s="20" t="n"/>
      <c r="C710" s="17" t="n"/>
      <c r="D710" s="18" t="n"/>
      <c r="E710" s="18" t="n"/>
      <c r="F710" s="1" t="n"/>
      <c r="G710">
        <f>IF(OR(B710="",C710="",D710=""),"",B710+ROW()/10000000)</f>
        <v/>
      </c>
      <c r="H710">
        <f>IF(G710="","",IF(COUNTIFS('Care log'!$C$6:$C$1505,C710,'Care log'!$D$6:$D$1505,D710,'Care log'!$G$6:$G$1505,"&gt;"&amp;G710)=0,1,0))</f>
        <v/>
      </c>
    </row>
    <row r="711">
      <c r="A711" s="1" t="n"/>
      <c r="B711" s="20" t="n"/>
      <c r="C711" s="17" t="n"/>
      <c r="D711" s="18" t="n"/>
      <c r="E711" s="18" t="n"/>
      <c r="F711" s="1" t="n"/>
      <c r="G711">
        <f>IF(OR(B711="",C711="",D711=""),"",B711+ROW()/10000000)</f>
        <v/>
      </c>
      <c r="H711">
        <f>IF(G711="","",IF(COUNTIFS('Care log'!$C$6:$C$1505,C711,'Care log'!$D$6:$D$1505,D711,'Care log'!$G$6:$G$1505,"&gt;"&amp;G711)=0,1,0))</f>
        <v/>
      </c>
    </row>
    <row r="712">
      <c r="A712" s="1" t="n"/>
      <c r="B712" s="20" t="n"/>
      <c r="C712" s="17" t="n"/>
      <c r="D712" s="18" t="n"/>
      <c r="E712" s="18" t="n"/>
      <c r="F712" s="1" t="n"/>
      <c r="G712">
        <f>IF(OR(B712="",C712="",D712=""),"",B712+ROW()/10000000)</f>
        <v/>
      </c>
      <c r="H712">
        <f>IF(G712="","",IF(COUNTIFS('Care log'!$C$6:$C$1505,C712,'Care log'!$D$6:$D$1505,D712,'Care log'!$G$6:$G$1505,"&gt;"&amp;G712)=0,1,0))</f>
        <v/>
      </c>
    </row>
    <row r="713">
      <c r="A713" s="1" t="n"/>
      <c r="B713" s="20" t="n"/>
      <c r="C713" s="17" t="n"/>
      <c r="D713" s="18" t="n"/>
      <c r="E713" s="18" t="n"/>
      <c r="F713" s="1" t="n"/>
      <c r="G713">
        <f>IF(OR(B713="",C713="",D713=""),"",B713+ROW()/10000000)</f>
        <v/>
      </c>
      <c r="H713">
        <f>IF(G713="","",IF(COUNTIFS('Care log'!$C$6:$C$1505,C713,'Care log'!$D$6:$D$1505,D713,'Care log'!$G$6:$G$1505,"&gt;"&amp;G713)=0,1,0))</f>
        <v/>
      </c>
    </row>
    <row r="714">
      <c r="A714" s="1" t="n"/>
      <c r="B714" s="20" t="n"/>
      <c r="C714" s="17" t="n"/>
      <c r="D714" s="18" t="n"/>
      <c r="E714" s="18" t="n"/>
      <c r="F714" s="1" t="n"/>
      <c r="G714">
        <f>IF(OR(B714="",C714="",D714=""),"",B714+ROW()/10000000)</f>
        <v/>
      </c>
      <c r="H714">
        <f>IF(G714="","",IF(COUNTIFS('Care log'!$C$6:$C$1505,C714,'Care log'!$D$6:$D$1505,D714,'Care log'!$G$6:$G$1505,"&gt;"&amp;G714)=0,1,0))</f>
        <v/>
      </c>
    </row>
    <row r="715">
      <c r="A715" s="1" t="n"/>
      <c r="B715" s="20" t="n"/>
      <c r="C715" s="17" t="n"/>
      <c r="D715" s="18" t="n"/>
      <c r="E715" s="18" t="n"/>
      <c r="F715" s="1" t="n"/>
      <c r="G715">
        <f>IF(OR(B715="",C715="",D715=""),"",B715+ROW()/10000000)</f>
        <v/>
      </c>
      <c r="H715">
        <f>IF(G715="","",IF(COUNTIFS('Care log'!$C$6:$C$1505,C715,'Care log'!$D$6:$D$1505,D715,'Care log'!$G$6:$G$1505,"&gt;"&amp;G715)=0,1,0))</f>
        <v/>
      </c>
    </row>
    <row r="716">
      <c r="A716" s="1" t="n"/>
      <c r="B716" s="20" t="n"/>
      <c r="C716" s="17" t="n"/>
      <c r="D716" s="18" t="n"/>
      <c r="E716" s="18" t="n"/>
      <c r="F716" s="1" t="n"/>
      <c r="G716">
        <f>IF(OR(B716="",C716="",D716=""),"",B716+ROW()/10000000)</f>
        <v/>
      </c>
      <c r="H716">
        <f>IF(G716="","",IF(COUNTIFS('Care log'!$C$6:$C$1505,C716,'Care log'!$D$6:$D$1505,D716,'Care log'!$G$6:$G$1505,"&gt;"&amp;G716)=0,1,0))</f>
        <v/>
      </c>
    </row>
    <row r="717">
      <c r="A717" s="1" t="n"/>
      <c r="B717" s="20" t="n"/>
      <c r="C717" s="17" t="n"/>
      <c r="D717" s="18" t="n"/>
      <c r="E717" s="18" t="n"/>
      <c r="F717" s="1" t="n"/>
      <c r="G717">
        <f>IF(OR(B717="",C717="",D717=""),"",B717+ROW()/10000000)</f>
        <v/>
      </c>
      <c r="H717">
        <f>IF(G717="","",IF(COUNTIFS('Care log'!$C$6:$C$1505,C717,'Care log'!$D$6:$D$1505,D717,'Care log'!$G$6:$G$1505,"&gt;"&amp;G717)=0,1,0))</f>
        <v/>
      </c>
    </row>
    <row r="718">
      <c r="A718" s="1" t="n"/>
      <c r="B718" s="20" t="n"/>
      <c r="C718" s="17" t="n"/>
      <c r="D718" s="18" t="n"/>
      <c r="E718" s="18" t="n"/>
      <c r="F718" s="1" t="n"/>
      <c r="G718">
        <f>IF(OR(B718="",C718="",D718=""),"",B718+ROW()/10000000)</f>
        <v/>
      </c>
      <c r="H718">
        <f>IF(G718="","",IF(COUNTIFS('Care log'!$C$6:$C$1505,C718,'Care log'!$D$6:$D$1505,D718,'Care log'!$G$6:$G$1505,"&gt;"&amp;G718)=0,1,0))</f>
        <v/>
      </c>
    </row>
    <row r="719">
      <c r="A719" s="1" t="n"/>
      <c r="B719" s="20" t="n"/>
      <c r="C719" s="17" t="n"/>
      <c r="D719" s="18" t="n"/>
      <c r="E719" s="18" t="n"/>
      <c r="F719" s="1" t="n"/>
      <c r="G719">
        <f>IF(OR(B719="",C719="",D719=""),"",B719+ROW()/10000000)</f>
        <v/>
      </c>
      <c r="H719">
        <f>IF(G719="","",IF(COUNTIFS('Care log'!$C$6:$C$1505,C719,'Care log'!$D$6:$D$1505,D719,'Care log'!$G$6:$G$1505,"&gt;"&amp;G719)=0,1,0))</f>
        <v/>
      </c>
    </row>
    <row r="720">
      <c r="A720" s="1" t="n"/>
      <c r="B720" s="20" t="n"/>
      <c r="C720" s="17" t="n"/>
      <c r="D720" s="18" t="n"/>
      <c r="E720" s="18" t="n"/>
      <c r="F720" s="1" t="n"/>
      <c r="G720">
        <f>IF(OR(B720="",C720="",D720=""),"",B720+ROW()/10000000)</f>
        <v/>
      </c>
      <c r="H720">
        <f>IF(G720="","",IF(COUNTIFS('Care log'!$C$6:$C$1505,C720,'Care log'!$D$6:$D$1505,D720,'Care log'!$G$6:$G$1505,"&gt;"&amp;G720)=0,1,0))</f>
        <v/>
      </c>
    </row>
    <row r="721">
      <c r="A721" s="1" t="n"/>
      <c r="B721" s="20" t="n"/>
      <c r="C721" s="17" t="n"/>
      <c r="D721" s="18" t="n"/>
      <c r="E721" s="18" t="n"/>
      <c r="F721" s="1" t="n"/>
      <c r="G721">
        <f>IF(OR(B721="",C721="",D721=""),"",B721+ROW()/10000000)</f>
        <v/>
      </c>
      <c r="H721">
        <f>IF(G721="","",IF(COUNTIFS('Care log'!$C$6:$C$1505,C721,'Care log'!$D$6:$D$1505,D721,'Care log'!$G$6:$G$1505,"&gt;"&amp;G721)=0,1,0))</f>
        <v/>
      </c>
    </row>
    <row r="722">
      <c r="A722" s="1" t="n"/>
      <c r="B722" s="20" t="n"/>
      <c r="C722" s="17" t="n"/>
      <c r="D722" s="18" t="n"/>
      <c r="E722" s="18" t="n"/>
      <c r="F722" s="1" t="n"/>
      <c r="G722">
        <f>IF(OR(B722="",C722="",D722=""),"",B722+ROW()/10000000)</f>
        <v/>
      </c>
      <c r="H722">
        <f>IF(G722="","",IF(COUNTIFS('Care log'!$C$6:$C$1505,C722,'Care log'!$D$6:$D$1505,D722,'Care log'!$G$6:$G$1505,"&gt;"&amp;G722)=0,1,0))</f>
        <v/>
      </c>
    </row>
    <row r="723">
      <c r="A723" s="1" t="n"/>
      <c r="B723" s="20" t="n"/>
      <c r="C723" s="17" t="n"/>
      <c r="D723" s="18" t="n"/>
      <c r="E723" s="18" t="n"/>
      <c r="F723" s="1" t="n"/>
      <c r="G723">
        <f>IF(OR(B723="",C723="",D723=""),"",B723+ROW()/10000000)</f>
        <v/>
      </c>
      <c r="H723">
        <f>IF(G723="","",IF(COUNTIFS('Care log'!$C$6:$C$1505,C723,'Care log'!$D$6:$D$1505,D723,'Care log'!$G$6:$G$1505,"&gt;"&amp;G723)=0,1,0))</f>
        <v/>
      </c>
    </row>
    <row r="724">
      <c r="A724" s="1" t="n"/>
      <c r="B724" s="20" t="n"/>
      <c r="C724" s="17" t="n"/>
      <c r="D724" s="18" t="n"/>
      <c r="E724" s="18" t="n"/>
      <c r="F724" s="1" t="n"/>
      <c r="G724">
        <f>IF(OR(B724="",C724="",D724=""),"",B724+ROW()/10000000)</f>
        <v/>
      </c>
      <c r="H724">
        <f>IF(G724="","",IF(COUNTIFS('Care log'!$C$6:$C$1505,C724,'Care log'!$D$6:$D$1505,D724,'Care log'!$G$6:$G$1505,"&gt;"&amp;G724)=0,1,0))</f>
        <v/>
      </c>
    </row>
    <row r="725">
      <c r="A725" s="1" t="n"/>
      <c r="B725" s="20" t="n"/>
      <c r="C725" s="17" t="n"/>
      <c r="D725" s="18" t="n"/>
      <c r="E725" s="18" t="n"/>
      <c r="F725" s="1" t="n"/>
      <c r="G725">
        <f>IF(OR(B725="",C725="",D725=""),"",B725+ROW()/10000000)</f>
        <v/>
      </c>
      <c r="H725">
        <f>IF(G725="","",IF(COUNTIFS('Care log'!$C$6:$C$1505,C725,'Care log'!$D$6:$D$1505,D725,'Care log'!$G$6:$G$1505,"&gt;"&amp;G725)=0,1,0))</f>
        <v/>
      </c>
    </row>
    <row r="726">
      <c r="A726" s="1" t="n"/>
      <c r="B726" s="20" t="n"/>
      <c r="C726" s="17" t="n"/>
      <c r="D726" s="18" t="n"/>
      <c r="E726" s="18" t="n"/>
      <c r="F726" s="1" t="n"/>
      <c r="G726">
        <f>IF(OR(B726="",C726="",D726=""),"",B726+ROW()/10000000)</f>
        <v/>
      </c>
      <c r="H726">
        <f>IF(G726="","",IF(COUNTIFS('Care log'!$C$6:$C$1505,C726,'Care log'!$D$6:$D$1505,D726,'Care log'!$G$6:$G$1505,"&gt;"&amp;G726)=0,1,0))</f>
        <v/>
      </c>
    </row>
    <row r="727">
      <c r="A727" s="1" t="n"/>
      <c r="B727" s="20" t="n"/>
      <c r="C727" s="17" t="n"/>
      <c r="D727" s="18" t="n"/>
      <c r="E727" s="18" t="n"/>
      <c r="F727" s="1" t="n"/>
      <c r="G727">
        <f>IF(OR(B727="",C727="",D727=""),"",B727+ROW()/10000000)</f>
        <v/>
      </c>
      <c r="H727">
        <f>IF(G727="","",IF(COUNTIFS('Care log'!$C$6:$C$1505,C727,'Care log'!$D$6:$D$1505,D727,'Care log'!$G$6:$G$1505,"&gt;"&amp;G727)=0,1,0))</f>
        <v/>
      </c>
    </row>
    <row r="728">
      <c r="A728" s="1" t="n"/>
      <c r="B728" s="20" t="n"/>
      <c r="C728" s="17" t="n"/>
      <c r="D728" s="18" t="n"/>
      <c r="E728" s="18" t="n"/>
      <c r="F728" s="1" t="n"/>
      <c r="G728">
        <f>IF(OR(B728="",C728="",D728=""),"",B728+ROW()/10000000)</f>
        <v/>
      </c>
      <c r="H728">
        <f>IF(G728="","",IF(COUNTIFS('Care log'!$C$6:$C$1505,C728,'Care log'!$D$6:$D$1505,D728,'Care log'!$G$6:$G$1505,"&gt;"&amp;G728)=0,1,0))</f>
        <v/>
      </c>
    </row>
    <row r="729">
      <c r="A729" s="1" t="n"/>
      <c r="B729" s="20" t="n"/>
      <c r="C729" s="17" t="n"/>
      <c r="D729" s="18" t="n"/>
      <c r="E729" s="18" t="n"/>
      <c r="F729" s="1" t="n"/>
      <c r="G729">
        <f>IF(OR(B729="",C729="",D729=""),"",B729+ROW()/10000000)</f>
        <v/>
      </c>
      <c r="H729">
        <f>IF(G729="","",IF(COUNTIFS('Care log'!$C$6:$C$1505,C729,'Care log'!$D$6:$D$1505,D729,'Care log'!$G$6:$G$1505,"&gt;"&amp;G729)=0,1,0))</f>
        <v/>
      </c>
    </row>
    <row r="730">
      <c r="A730" s="1" t="n"/>
      <c r="B730" s="20" t="n"/>
      <c r="C730" s="17" t="n"/>
      <c r="D730" s="18" t="n"/>
      <c r="E730" s="18" t="n"/>
      <c r="F730" s="1" t="n"/>
      <c r="G730">
        <f>IF(OR(B730="",C730="",D730=""),"",B730+ROW()/10000000)</f>
        <v/>
      </c>
      <c r="H730">
        <f>IF(G730="","",IF(COUNTIFS('Care log'!$C$6:$C$1505,C730,'Care log'!$D$6:$D$1505,D730,'Care log'!$G$6:$G$1505,"&gt;"&amp;G730)=0,1,0))</f>
        <v/>
      </c>
    </row>
    <row r="731">
      <c r="A731" s="1" t="n"/>
      <c r="B731" s="20" t="n"/>
      <c r="C731" s="17" t="n"/>
      <c r="D731" s="18" t="n"/>
      <c r="E731" s="18" t="n"/>
      <c r="F731" s="1" t="n"/>
      <c r="G731">
        <f>IF(OR(B731="",C731="",D731=""),"",B731+ROW()/10000000)</f>
        <v/>
      </c>
      <c r="H731">
        <f>IF(G731="","",IF(COUNTIFS('Care log'!$C$6:$C$1505,C731,'Care log'!$D$6:$D$1505,D731,'Care log'!$G$6:$G$1505,"&gt;"&amp;G731)=0,1,0))</f>
        <v/>
      </c>
    </row>
    <row r="732">
      <c r="A732" s="1" t="n"/>
      <c r="B732" s="20" t="n"/>
      <c r="C732" s="17" t="n"/>
      <c r="D732" s="18" t="n"/>
      <c r="E732" s="18" t="n"/>
      <c r="F732" s="1" t="n"/>
      <c r="G732">
        <f>IF(OR(B732="",C732="",D732=""),"",B732+ROW()/10000000)</f>
        <v/>
      </c>
      <c r="H732">
        <f>IF(G732="","",IF(COUNTIFS('Care log'!$C$6:$C$1505,C732,'Care log'!$D$6:$D$1505,D732,'Care log'!$G$6:$G$1505,"&gt;"&amp;G732)=0,1,0))</f>
        <v/>
      </c>
    </row>
    <row r="733">
      <c r="A733" s="1" t="n"/>
      <c r="B733" s="20" t="n"/>
      <c r="C733" s="17" t="n"/>
      <c r="D733" s="18" t="n"/>
      <c r="E733" s="18" t="n"/>
      <c r="F733" s="1" t="n"/>
      <c r="G733">
        <f>IF(OR(B733="",C733="",D733=""),"",B733+ROW()/10000000)</f>
        <v/>
      </c>
      <c r="H733">
        <f>IF(G733="","",IF(COUNTIFS('Care log'!$C$6:$C$1505,C733,'Care log'!$D$6:$D$1505,D733,'Care log'!$G$6:$G$1505,"&gt;"&amp;G733)=0,1,0))</f>
        <v/>
      </c>
    </row>
    <row r="734">
      <c r="A734" s="1" t="n"/>
      <c r="B734" s="20" t="n"/>
      <c r="C734" s="17" t="n"/>
      <c r="D734" s="18" t="n"/>
      <c r="E734" s="18" t="n"/>
      <c r="F734" s="1" t="n"/>
      <c r="G734">
        <f>IF(OR(B734="",C734="",D734=""),"",B734+ROW()/10000000)</f>
        <v/>
      </c>
      <c r="H734">
        <f>IF(G734="","",IF(COUNTIFS('Care log'!$C$6:$C$1505,C734,'Care log'!$D$6:$D$1505,D734,'Care log'!$G$6:$G$1505,"&gt;"&amp;G734)=0,1,0))</f>
        <v/>
      </c>
    </row>
    <row r="735">
      <c r="A735" s="1" t="n"/>
      <c r="B735" s="20" t="n"/>
      <c r="C735" s="17" t="n"/>
      <c r="D735" s="18" t="n"/>
      <c r="E735" s="18" t="n"/>
      <c r="F735" s="1" t="n"/>
      <c r="G735">
        <f>IF(OR(B735="",C735="",D735=""),"",B735+ROW()/10000000)</f>
        <v/>
      </c>
      <c r="H735">
        <f>IF(G735="","",IF(COUNTIFS('Care log'!$C$6:$C$1505,C735,'Care log'!$D$6:$D$1505,D735,'Care log'!$G$6:$G$1505,"&gt;"&amp;G735)=0,1,0))</f>
        <v/>
      </c>
    </row>
    <row r="736">
      <c r="A736" s="1" t="n"/>
      <c r="B736" s="20" t="n"/>
      <c r="C736" s="17" t="n"/>
      <c r="D736" s="18" t="n"/>
      <c r="E736" s="18" t="n"/>
      <c r="F736" s="1" t="n"/>
      <c r="G736">
        <f>IF(OR(B736="",C736="",D736=""),"",B736+ROW()/10000000)</f>
        <v/>
      </c>
      <c r="H736">
        <f>IF(G736="","",IF(COUNTIFS('Care log'!$C$6:$C$1505,C736,'Care log'!$D$6:$D$1505,D736,'Care log'!$G$6:$G$1505,"&gt;"&amp;G736)=0,1,0))</f>
        <v/>
      </c>
    </row>
    <row r="737">
      <c r="A737" s="1" t="n"/>
      <c r="B737" s="20" t="n"/>
      <c r="C737" s="17" t="n"/>
      <c r="D737" s="18" t="n"/>
      <c r="E737" s="18" t="n"/>
      <c r="F737" s="1" t="n"/>
      <c r="G737">
        <f>IF(OR(B737="",C737="",D737=""),"",B737+ROW()/10000000)</f>
        <v/>
      </c>
      <c r="H737">
        <f>IF(G737="","",IF(COUNTIFS('Care log'!$C$6:$C$1505,C737,'Care log'!$D$6:$D$1505,D737,'Care log'!$G$6:$G$1505,"&gt;"&amp;G737)=0,1,0))</f>
        <v/>
      </c>
    </row>
    <row r="738">
      <c r="A738" s="1" t="n"/>
      <c r="B738" s="20" t="n"/>
      <c r="C738" s="17" t="n"/>
      <c r="D738" s="18" t="n"/>
      <c r="E738" s="18" t="n"/>
      <c r="F738" s="1" t="n"/>
      <c r="G738">
        <f>IF(OR(B738="",C738="",D738=""),"",B738+ROW()/10000000)</f>
        <v/>
      </c>
      <c r="H738">
        <f>IF(G738="","",IF(COUNTIFS('Care log'!$C$6:$C$1505,C738,'Care log'!$D$6:$D$1505,D738,'Care log'!$G$6:$G$1505,"&gt;"&amp;G738)=0,1,0))</f>
        <v/>
      </c>
    </row>
    <row r="739">
      <c r="A739" s="1" t="n"/>
      <c r="B739" s="20" t="n"/>
      <c r="C739" s="17" t="n"/>
      <c r="D739" s="18" t="n"/>
      <c r="E739" s="18" t="n"/>
      <c r="F739" s="1" t="n"/>
      <c r="G739">
        <f>IF(OR(B739="",C739="",D739=""),"",B739+ROW()/10000000)</f>
        <v/>
      </c>
      <c r="H739">
        <f>IF(G739="","",IF(COUNTIFS('Care log'!$C$6:$C$1505,C739,'Care log'!$D$6:$D$1505,D739,'Care log'!$G$6:$G$1505,"&gt;"&amp;G739)=0,1,0))</f>
        <v/>
      </c>
    </row>
    <row r="740">
      <c r="A740" s="1" t="n"/>
      <c r="B740" s="20" t="n"/>
      <c r="C740" s="17" t="n"/>
      <c r="D740" s="18" t="n"/>
      <c r="E740" s="18" t="n"/>
      <c r="F740" s="1" t="n"/>
      <c r="G740">
        <f>IF(OR(B740="",C740="",D740=""),"",B740+ROW()/10000000)</f>
        <v/>
      </c>
      <c r="H740">
        <f>IF(G740="","",IF(COUNTIFS('Care log'!$C$6:$C$1505,C740,'Care log'!$D$6:$D$1505,D740,'Care log'!$G$6:$G$1505,"&gt;"&amp;G740)=0,1,0))</f>
        <v/>
      </c>
    </row>
    <row r="741">
      <c r="A741" s="1" t="n"/>
      <c r="B741" s="20" t="n"/>
      <c r="C741" s="17" t="n"/>
      <c r="D741" s="18" t="n"/>
      <c r="E741" s="18" t="n"/>
      <c r="F741" s="1" t="n"/>
      <c r="G741">
        <f>IF(OR(B741="",C741="",D741=""),"",B741+ROW()/10000000)</f>
        <v/>
      </c>
      <c r="H741">
        <f>IF(G741="","",IF(COUNTIFS('Care log'!$C$6:$C$1505,C741,'Care log'!$D$6:$D$1505,D741,'Care log'!$G$6:$G$1505,"&gt;"&amp;G741)=0,1,0))</f>
        <v/>
      </c>
    </row>
    <row r="742">
      <c r="A742" s="1" t="n"/>
      <c r="B742" s="20" t="n"/>
      <c r="C742" s="17" t="n"/>
      <c r="D742" s="18" t="n"/>
      <c r="E742" s="18" t="n"/>
      <c r="F742" s="1" t="n"/>
      <c r="G742">
        <f>IF(OR(B742="",C742="",D742=""),"",B742+ROW()/10000000)</f>
        <v/>
      </c>
      <c r="H742">
        <f>IF(G742="","",IF(COUNTIFS('Care log'!$C$6:$C$1505,C742,'Care log'!$D$6:$D$1505,D742,'Care log'!$G$6:$G$1505,"&gt;"&amp;G742)=0,1,0))</f>
        <v/>
      </c>
    </row>
    <row r="743">
      <c r="A743" s="1" t="n"/>
      <c r="B743" s="20" t="n"/>
      <c r="C743" s="17" t="n"/>
      <c r="D743" s="18" t="n"/>
      <c r="E743" s="18" t="n"/>
      <c r="F743" s="1" t="n"/>
      <c r="G743">
        <f>IF(OR(B743="",C743="",D743=""),"",B743+ROW()/10000000)</f>
        <v/>
      </c>
      <c r="H743">
        <f>IF(G743="","",IF(COUNTIFS('Care log'!$C$6:$C$1505,C743,'Care log'!$D$6:$D$1505,D743,'Care log'!$G$6:$G$1505,"&gt;"&amp;G743)=0,1,0))</f>
        <v/>
      </c>
    </row>
    <row r="744">
      <c r="A744" s="1" t="n"/>
      <c r="B744" s="20" t="n"/>
      <c r="C744" s="17" t="n"/>
      <c r="D744" s="18" t="n"/>
      <c r="E744" s="18" t="n"/>
      <c r="F744" s="1" t="n"/>
      <c r="G744">
        <f>IF(OR(B744="",C744="",D744=""),"",B744+ROW()/10000000)</f>
        <v/>
      </c>
      <c r="H744">
        <f>IF(G744="","",IF(COUNTIFS('Care log'!$C$6:$C$1505,C744,'Care log'!$D$6:$D$1505,D744,'Care log'!$G$6:$G$1505,"&gt;"&amp;G744)=0,1,0))</f>
        <v/>
      </c>
    </row>
    <row r="745">
      <c r="A745" s="1" t="n"/>
      <c r="B745" s="20" t="n"/>
      <c r="C745" s="17" t="n"/>
      <c r="D745" s="18" t="n"/>
      <c r="E745" s="18" t="n"/>
      <c r="F745" s="1" t="n"/>
      <c r="G745">
        <f>IF(OR(B745="",C745="",D745=""),"",B745+ROW()/10000000)</f>
        <v/>
      </c>
      <c r="H745">
        <f>IF(G745="","",IF(COUNTIFS('Care log'!$C$6:$C$1505,C745,'Care log'!$D$6:$D$1505,D745,'Care log'!$G$6:$G$1505,"&gt;"&amp;G745)=0,1,0))</f>
        <v/>
      </c>
    </row>
    <row r="746">
      <c r="A746" s="1" t="n"/>
      <c r="B746" s="20" t="n"/>
      <c r="C746" s="17" t="n"/>
      <c r="D746" s="18" t="n"/>
      <c r="E746" s="18" t="n"/>
      <c r="F746" s="1" t="n"/>
      <c r="G746">
        <f>IF(OR(B746="",C746="",D746=""),"",B746+ROW()/10000000)</f>
        <v/>
      </c>
      <c r="H746">
        <f>IF(G746="","",IF(COUNTIFS('Care log'!$C$6:$C$1505,C746,'Care log'!$D$6:$D$1505,D746,'Care log'!$G$6:$G$1505,"&gt;"&amp;G746)=0,1,0))</f>
        <v/>
      </c>
    </row>
    <row r="747">
      <c r="A747" s="1" t="n"/>
      <c r="B747" s="20" t="n"/>
      <c r="C747" s="17" t="n"/>
      <c r="D747" s="18" t="n"/>
      <c r="E747" s="18" t="n"/>
      <c r="F747" s="1" t="n"/>
      <c r="G747">
        <f>IF(OR(B747="",C747="",D747=""),"",B747+ROW()/10000000)</f>
        <v/>
      </c>
      <c r="H747">
        <f>IF(G747="","",IF(COUNTIFS('Care log'!$C$6:$C$1505,C747,'Care log'!$D$6:$D$1505,D747,'Care log'!$G$6:$G$1505,"&gt;"&amp;G747)=0,1,0))</f>
        <v/>
      </c>
    </row>
    <row r="748">
      <c r="A748" s="1" t="n"/>
      <c r="B748" s="20" t="n"/>
      <c r="C748" s="17" t="n"/>
      <c r="D748" s="18" t="n"/>
      <c r="E748" s="18" t="n"/>
      <c r="F748" s="1" t="n"/>
      <c r="G748">
        <f>IF(OR(B748="",C748="",D748=""),"",B748+ROW()/10000000)</f>
        <v/>
      </c>
      <c r="H748">
        <f>IF(G748="","",IF(COUNTIFS('Care log'!$C$6:$C$1505,C748,'Care log'!$D$6:$D$1505,D748,'Care log'!$G$6:$G$1505,"&gt;"&amp;G748)=0,1,0))</f>
        <v/>
      </c>
    </row>
    <row r="749">
      <c r="A749" s="1" t="n"/>
      <c r="B749" s="20" t="n"/>
      <c r="C749" s="17" t="n"/>
      <c r="D749" s="18" t="n"/>
      <c r="E749" s="18" t="n"/>
      <c r="F749" s="1" t="n"/>
      <c r="G749">
        <f>IF(OR(B749="",C749="",D749=""),"",B749+ROW()/10000000)</f>
        <v/>
      </c>
      <c r="H749">
        <f>IF(G749="","",IF(COUNTIFS('Care log'!$C$6:$C$1505,C749,'Care log'!$D$6:$D$1505,D749,'Care log'!$G$6:$G$1505,"&gt;"&amp;G749)=0,1,0))</f>
        <v/>
      </c>
    </row>
    <row r="750">
      <c r="A750" s="1" t="n"/>
      <c r="B750" s="20" t="n"/>
      <c r="C750" s="17" t="n"/>
      <c r="D750" s="18" t="n"/>
      <c r="E750" s="18" t="n"/>
      <c r="F750" s="1" t="n"/>
      <c r="G750">
        <f>IF(OR(B750="",C750="",D750=""),"",B750+ROW()/10000000)</f>
        <v/>
      </c>
      <c r="H750">
        <f>IF(G750="","",IF(COUNTIFS('Care log'!$C$6:$C$1505,C750,'Care log'!$D$6:$D$1505,D750,'Care log'!$G$6:$G$1505,"&gt;"&amp;G750)=0,1,0))</f>
        <v/>
      </c>
    </row>
    <row r="751">
      <c r="A751" s="1" t="n"/>
      <c r="B751" s="20" t="n"/>
      <c r="C751" s="17" t="n"/>
      <c r="D751" s="18" t="n"/>
      <c r="E751" s="18" t="n"/>
      <c r="F751" s="1" t="n"/>
      <c r="G751">
        <f>IF(OR(B751="",C751="",D751=""),"",B751+ROW()/10000000)</f>
        <v/>
      </c>
      <c r="H751">
        <f>IF(G751="","",IF(COUNTIFS('Care log'!$C$6:$C$1505,C751,'Care log'!$D$6:$D$1505,D751,'Care log'!$G$6:$G$1505,"&gt;"&amp;G751)=0,1,0))</f>
        <v/>
      </c>
    </row>
    <row r="752">
      <c r="A752" s="1" t="n"/>
      <c r="B752" s="20" t="n"/>
      <c r="C752" s="17" t="n"/>
      <c r="D752" s="18" t="n"/>
      <c r="E752" s="18" t="n"/>
      <c r="F752" s="1" t="n"/>
      <c r="G752">
        <f>IF(OR(B752="",C752="",D752=""),"",B752+ROW()/10000000)</f>
        <v/>
      </c>
      <c r="H752">
        <f>IF(G752="","",IF(COUNTIFS('Care log'!$C$6:$C$1505,C752,'Care log'!$D$6:$D$1505,D752,'Care log'!$G$6:$G$1505,"&gt;"&amp;G752)=0,1,0))</f>
        <v/>
      </c>
    </row>
    <row r="753">
      <c r="A753" s="1" t="n"/>
      <c r="B753" s="20" t="n"/>
      <c r="C753" s="17" t="n"/>
      <c r="D753" s="18" t="n"/>
      <c r="E753" s="18" t="n"/>
      <c r="F753" s="1" t="n"/>
      <c r="G753">
        <f>IF(OR(B753="",C753="",D753=""),"",B753+ROW()/10000000)</f>
        <v/>
      </c>
      <c r="H753">
        <f>IF(G753="","",IF(COUNTIFS('Care log'!$C$6:$C$1505,C753,'Care log'!$D$6:$D$1505,D753,'Care log'!$G$6:$G$1505,"&gt;"&amp;G753)=0,1,0))</f>
        <v/>
      </c>
    </row>
    <row r="754">
      <c r="A754" s="1" t="n"/>
      <c r="B754" s="20" t="n"/>
      <c r="C754" s="17" t="n"/>
      <c r="D754" s="18" t="n"/>
      <c r="E754" s="18" t="n"/>
      <c r="F754" s="1" t="n"/>
      <c r="G754">
        <f>IF(OR(B754="",C754="",D754=""),"",B754+ROW()/10000000)</f>
        <v/>
      </c>
      <c r="H754">
        <f>IF(G754="","",IF(COUNTIFS('Care log'!$C$6:$C$1505,C754,'Care log'!$D$6:$D$1505,D754,'Care log'!$G$6:$G$1505,"&gt;"&amp;G754)=0,1,0))</f>
        <v/>
      </c>
    </row>
    <row r="755">
      <c r="A755" s="1" t="n"/>
      <c r="B755" s="20" t="n"/>
      <c r="C755" s="17" t="n"/>
      <c r="D755" s="18" t="n"/>
      <c r="E755" s="18" t="n"/>
      <c r="F755" s="1" t="n"/>
      <c r="G755">
        <f>IF(OR(B755="",C755="",D755=""),"",B755+ROW()/10000000)</f>
        <v/>
      </c>
      <c r="H755">
        <f>IF(G755="","",IF(COUNTIFS('Care log'!$C$6:$C$1505,C755,'Care log'!$D$6:$D$1505,D755,'Care log'!$G$6:$G$1505,"&gt;"&amp;G755)=0,1,0))</f>
        <v/>
      </c>
    </row>
    <row r="756">
      <c r="A756" s="1" t="n"/>
      <c r="B756" s="20" t="n"/>
      <c r="C756" s="17" t="n"/>
      <c r="D756" s="18" t="n"/>
      <c r="E756" s="18" t="n"/>
      <c r="F756" s="1" t="n"/>
      <c r="G756">
        <f>IF(OR(B756="",C756="",D756=""),"",B756+ROW()/10000000)</f>
        <v/>
      </c>
      <c r="H756">
        <f>IF(G756="","",IF(COUNTIFS('Care log'!$C$6:$C$1505,C756,'Care log'!$D$6:$D$1505,D756,'Care log'!$G$6:$G$1505,"&gt;"&amp;G756)=0,1,0))</f>
        <v/>
      </c>
    </row>
    <row r="757">
      <c r="A757" s="1" t="n"/>
      <c r="B757" s="20" t="n"/>
      <c r="C757" s="17" t="n"/>
      <c r="D757" s="18" t="n"/>
      <c r="E757" s="18" t="n"/>
      <c r="F757" s="1" t="n"/>
      <c r="G757">
        <f>IF(OR(B757="",C757="",D757=""),"",B757+ROW()/10000000)</f>
        <v/>
      </c>
      <c r="H757">
        <f>IF(G757="","",IF(COUNTIFS('Care log'!$C$6:$C$1505,C757,'Care log'!$D$6:$D$1505,D757,'Care log'!$G$6:$G$1505,"&gt;"&amp;G757)=0,1,0))</f>
        <v/>
      </c>
    </row>
    <row r="758">
      <c r="A758" s="1" t="n"/>
      <c r="B758" s="20" t="n"/>
      <c r="C758" s="17" t="n"/>
      <c r="D758" s="18" t="n"/>
      <c r="E758" s="18" t="n"/>
      <c r="F758" s="1" t="n"/>
      <c r="G758">
        <f>IF(OR(B758="",C758="",D758=""),"",B758+ROW()/10000000)</f>
        <v/>
      </c>
      <c r="H758">
        <f>IF(G758="","",IF(COUNTIFS('Care log'!$C$6:$C$1505,C758,'Care log'!$D$6:$D$1505,D758,'Care log'!$G$6:$G$1505,"&gt;"&amp;G758)=0,1,0))</f>
        <v/>
      </c>
    </row>
    <row r="759">
      <c r="A759" s="1" t="n"/>
      <c r="B759" s="20" t="n"/>
      <c r="C759" s="17" t="n"/>
      <c r="D759" s="18" t="n"/>
      <c r="E759" s="18" t="n"/>
      <c r="F759" s="1" t="n"/>
      <c r="G759">
        <f>IF(OR(B759="",C759="",D759=""),"",B759+ROW()/10000000)</f>
        <v/>
      </c>
      <c r="H759">
        <f>IF(G759="","",IF(COUNTIFS('Care log'!$C$6:$C$1505,C759,'Care log'!$D$6:$D$1505,D759,'Care log'!$G$6:$G$1505,"&gt;"&amp;G759)=0,1,0))</f>
        <v/>
      </c>
    </row>
    <row r="760">
      <c r="A760" s="1" t="n"/>
      <c r="B760" s="20" t="n"/>
      <c r="C760" s="17" t="n"/>
      <c r="D760" s="18" t="n"/>
      <c r="E760" s="18" t="n"/>
      <c r="F760" s="1" t="n"/>
      <c r="G760">
        <f>IF(OR(B760="",C760="",D760=""),"",B760+ROW()/10000000)</f>
        <v/>
      </c>
      <c r="H760">
        <f>IF(G760="","",IF(COUNTIFS('Care log'!$C$6:$C$1505,C760,'Care log'!$D$6:$D$1505,D760,'Care log'!$G$6:$G$1505,"&gt;"&amp;G760)=0,1,0))</f>
        <v/>
      </c>
    </row>
    <row r="761">
      <c r="A761" s="1" t="n"/>
      <c r="B761" s="20" t="n"/>
      <c r="C761" s="17" t="n"/>
      <c r="D761" s="18" t="n"/>
      <c r="E761" s="18" t="n"/>
      <c r="F761" s="1" t="n"/>
      <c r="G761">
        <f>IF(OR(B761="",C761="",D761=""),"",B761+ROW()/10000000)</f>
        <v/>
      </c>
      <c r="H761">
        <f>IF(G761="","",IF(COUNTIFS('Care log'!$C$6:$C$1505,C761,'Care log'!$D$6:$D$1505,D761,'Care log'!$G$6:$G$1505,"&gt;"&amp;G761)=0,1,0))</f>
        <v/>
      </c>
    </row>
    <row r="762">
      <c r="A762" s="1" t="n"/>
      <c r="B762" s="20" t="n"/>
      <c r="C762" s="17" t="n"/>
      <c r="D762" s="18" t="n"/>
      <c r="E762" s="18" t="n"/>
      <c r="F762" s="1" t="n"/>
      <c r="G762">
        <f>IF(OR(B762="",C762="",D762=""),"",B762+ROW()/10000000)</f>
        <v/>
      </c>
      <c r="H762">
        <f>IF(G762="","",IF(COUNTIFS('Care log'!$C$6:$C$1505,C762,'Care log'!$D$6:$D$1505,D762,'Care log'!$G$6:$G$1505,"&gt;"&amp;G762)=0,1,0))</f>
        <v/>
      </c>
    </row>
    <row r="763">
      <c r="A763" s="1" t="n"/>
      <c r="B763" s="20" t="n"/>
      <c r="C763" s="17" t="n"/>
      <c r="D763" s="18" t="n"/>
      <c r="E763" s="18" t="n"/>
      <c r="F763" s="1" t="n"/>
      <c r="G763">
        <f>IF(OR(B763="",C763="",D763=""),"",B763+ROW()/10000000)</f>
        <v/>
      </c>
      <c r="H763">
        <f>IF(G763="","",IF(COUNTIFS('Care log'!$C$6:$C$1505,C763,'Care log'!$D$6:$D$1505,D763,'Care log'!$G$6:$G$1505,"&gt;"&amp;G763)=0,1,0))</f>
        <v/>
      </c>
    </row>
    <row r="764">
      <c r="A764" s="1" t="n"/>
      <c r="B764" s="20" t="n"/>
      <c r="C764" s="17" t="n"/>
      <c r="D764" s="18" t="n"/>
      <c r="E764" s="18" t="n"/>
      <c r="F764" s="1" t="n"/>
      <c r="G764">
        <f>IF(OR(B764="",C764="",D764=""),"",B764+ROW()/10000000)</f>
        <v/>
      </c>
      <c r="H764">
        <f>IF(G764="","",IF(COUNTIFS('Care log'!$C$6:$C$1505,C764,'Care log'!$D$6:$D$1505,D764,'Care log'!$G$6:$G$1505,"&gt;"&amp;G764)=0,1,0))</f>
        <v/>
      </c>
    </row>
    <row r="765">
      <c r="A765" s="1" t="n"/>
      <c r="B765" s="20" t="n"/>
      <c r="C765" s="17" t="n"/>
      <c r="D765" s="18" t="n"/>
      <c r="E765" s="18" t="n"/>
      <c r="F765" s="1" t="n"/>
      <c r="G765">
        <f>IF(OR(B765="",C765="",D765=""),"",B765+ROW()/10000000)</f>
        <v/>
      </c>
      <c r="H765">
        <f>IF(G765="","",IF(COUNTIFS('Care log'!$C$6:$C$1505,C765,'Care log'!$D$6:$D$1505,D765,'Care log'!$G$6:$G$1505,"&gt;"&amp;G765)=0,1,0))</f>
        <v/>
      </c>
    </row>
    <row r="766">
      <c r="A766" s="1" t="n"/>
      <c r="B766" s="20" t="n"/>
      <c r="C766" s="17" t="n"/>
      <c r="D766" s="18" t="n"/>
      <c r="E766" s="18" t="n"/>
      <c r="F766" s="1" t="n"/>
      <c r="G766">
        <f>IF(OR(B766="",C766="",D766=""),"",B766+ROW()/10000000)</f>
        <v/>
      </c>
      <c r="H766">
        <f>IF(G766="","",IF(COUNTIFS('Care log'!$C$6:$C$1505,C766,'Care log'!$D$6:$D$1505,D766,'Care log'!$G$6:$G$1505,"&gt;"&amp;G766)=0,1,0))</f>
        <v/>
      </c>
    </row>
    <row r="767">
      <c r="A767" s="1" t="n"/>
      <c r="B767" s="20" t="n"/>
      <c r="C767" s="17" t="n"/>
      <c r="D767" s="18" t="n"/>
      <c r="E767" s="18" t="n"/>
      <c r="F767" s="1" t="n"/>
      <c r="G767">
        <f>IF(OR(B767="",C767="",D767=""),"",B767+ROW()/10000000)</f>
        <v/>
      </c>
      <c r="H767">
        <f>IF(G767="","",IF(COUNTIFS('Care log'!$C$6:$C$1505,C767,'Care log'!$D$6:$D$1505,D767,'Care log'!$G$6:$G$1505,"&gt;"&amp;G767)=0,1,0))</f>
        <v/>
      </c>
    </row>
    <row r="768">
      <c r="A768" s="1" t="n"/>
      <c r="B768" s="20" t="n"/>
      <c r="C768" s="17" t="n"/>
      <c r="D768" s="18" t="n"/>
      <c r="E768" s="18" t="n"/>
      <c r="F768" s="1" t="n"/>
      <c r="G768">
        <f>IF(OR(B768="",C768="",D768=""),"",B768+ROW()/10000000)</f>
        <v/>
      </c>
      <c r="H768">
        <f>IF(G768="","",IF(COUNTIFS('Care log'!$C$6:$C$1505,C768,'Care log'!$D$6:$D$1505,D768,'Care log'!$G$6:$G$1505,"&gt;"&amp;G768)=0,1,0))</f>
        <v/>
      </c>
    </row>
    <row r="769">
      <c r="A769" s="1" t="n"/>
      <c r="B769" s="20" t="n"/>
      <c r="C769" s="17" t="n"/>
      <c r="D769" s="18" t="n"/>
      <c r="E769" s="18" t="n"/>
      <c r="F769" s="1" t="n"/>
      <c r="G769">
        <f>IF(OR(B769="",C769="",D769=""),"",B769+ROW()/10000000)</f>
        <v/>
      </c>
      <c r="H769">
        <f>IF(G769="","",IF(COUNTIFS('Care log'!$C$6:$C$1505,C769,'Care log'!$D$6:$D$1505,D769,'Care log'!$G$6:$G$1505,"&gt;"&amp;G769)=0,1,0))</f>
        <v/>
      </c>
    </row>
    <row r="770">
      <c r="A770" s="1" t="n"/>
      <c r="B770" s="20" t="n"/>
      <c r="C770" s="17" t="n"/>
      <c r="D770" s="18" t="n"/>
      <c r="E770" s="18" t="n"/>
      <c r="F770" s="1" t="n"/>
      <c r="G770">
        <f>IF(OR(B770="",C770="",D770=""),"",B770+ROW()/10000000)</f>
        <v/>
      </c>
      <c r="H770">
        <f>IF(G770="","",IF(COUNTIFS('Care log'!$C$6:$C$1505,C770,'Care log'!$D$6:$D$1505,D770,'Care log'!$G$6:$G$1505,"&gt;"&amp;G770)=0,1,0))</f>
        <v/>
      </c>
    </row>
    <row r="771">
      <c r="A771" s="1" t="n"/>
      <c r="B771" s="20" t="n"/>
      <c r="C771" s="17" t="n"/>
      <c r="D771" s="18" t="n"/>
      <c r="E771" s="18" t="n"/>
      <c r="F771" s="1" t="n"/>
      <c r="G771">
        <f>IF(OR(B771="",C771="",D771=""),"",B771+ROW()/10000000)</f>
        <v/>
      </c>
      <c r="H771">
        <f>IF(G771="","",IF(COUNTIFS('Care log'!$C$6:$C$1505,C771,'Care log'!$D$6:$D$1505,D771,'Care log'!$G$6:$G$1505,"&gt;"&amp;G771)=0,1,0))</f>
        <v/>
      </c>
    </row>
    <row r="772">
      <c r="A772" s="1" t="n"/>
      <c r="B772" s="20" t="n"/>
      <c r="C772" s="17" t="n"/>
      <c r="D772" s="18" t="n"/>
      <c r="E772" s="18" t="n"/>
      <c r="F772" s="1" t="n"/>
      <c r="G772">
        <f>IF(OR(B772="",C772="",D772=""),"",B772+ROW()/10000000)</f>
        <v/>
      </c>
      <c r="H772">
        <f>IF(G772="","",IF(COUNTIFS('Care log'!$C$6:$C$1505,C772,'Care log'!$D$6:$D$1505,D772,'Care log'!$G$6:$G$1505,"&gt;"&amp;G772)=0,1,0))</f>
        <v/>
      </c>
    </row>
    <row r="773">
      <c r="A773" s="1" t="n"/>
      <c r="B773" s="20" t="n"/>
      <c r="C773" s="17" t="n"/>
      <c r="D773" s="18" t="n"/>
      <c r="E773" s="18" t="n"/>
      <c r="F773" s="1" t="n"/>
      <c r="G773">
        <f>IF(OR(B773="",C773="",D773=""),"",B773+ROW()/10000000)</f>
        <v/>
      </c>
      <c r="H773">
        <f>IF(G773="","",IF(COUNTIFS('Care log'!$C$6:$C$1505,C773,'Care log'!$D$6:$D$1505,D773,'Care log'!$G$6:$G$1505,"&gt;"&amp;G773)=0,1,0))</f>
        <v/>
      </c>
    </row>
    <row r="774">
      <c r="A774" s="1" t="n"/>
      <c r="B774" s="20" t="n"/>
      <c r="C774" s="17" t="n"/>
      <c r="D774" s="18" t="n"/>
      <c r="E774" s="18" t="n"/>
      <c r="F774" s="1" t="n"/>
      <c r="G774">
        <f>IF(OR(B774="",C774="",D774=""),"",B774+ROW()/10000000)</f>
        <v/>
      </c>
      <c r="H774">
        <f>IF(G774="","",IF(COUNTIFS('Care log'!$C$6:$C$1505,C774,'Care log'!$D$6:$D$1505,D774,'Care log'!$G$6:$G$1505,"&gt;"&amp;G774)=0,1,0))</f>
        <v/>
      </c>
    </row>
    <row r="775">
      <c r="A775" s="1" t="n"/>
      <c r="B775" s="20" t="n"/>
      <c r="C775" s="17" t="n"/>
      <c r="D775" s="18" t="n"/>
      <c r="E775" s="18" t="n"/>
      <c r="F775" s="1" t="n"/>
      <c r="G775">
        <f>IF(OR(B775="",C775="",D775=""),"",B775+ROW()/10000000)</f>
        <v/>
      </c>
      <c r="H775">
        <f>IF(G775="","",IF(COUNTIFS('Care log'!$C$6:$C$1505,C775,'Care log'!$D$6:$D$1505,D775,'Care log'!$G$6:$G$1505,"&gt;"&amp;G775)=0,1,0))</f>
        <v/>
      </c>
    </row>
    <row r="776">
      <c r="A776" s="1" t="n"/>
      <c r="B776" s="20" t="n"/>
      <c r="C776" s="17" t="n"/>
      <c r="D776" s="18" t="n"/>
      <c r="E776" s="18" t="n"/>
      <c r="F776" s="1" t="n"/>
      <c r="G776">
        <f>IF(OR(B776="",C776="",D776=""),"",B776+ROW()/10000000)</f>
        <v/>
      </c>
      <c r="H776">
        <f>IF(G776="","",IF(COUNTIFS('Care log'!$C$6:$C$1505,C776,'Care log'!$D$6:$D$1505,D776,'Care log'!$G$6:$G$1505,"&gt;"&amp;G776)=0,1,0))</f>
        <v/>
      </c>
    </row>
    <row r="777">
      <c r="A777" s="1" t="n"/>
      <c r="B777" s="20" t="n"/>
      <c r="C777" s="17" t="n"/>
      <c r="D777" s="18" t="n"/>
      <c r="E777" s="18" t="n"/>
      <c r="F777" s="1" t="n"/>
      <c r="G777">
        <f>IF(OR(B777="",C777="",D777=""),"",B777+ROW()/10000000)</f>
        <v/>
      </c>
      <c r="H777">
        <f>IF(G777="","",IF(COUNTIFS('Care log'!$C$6:$C$1505,C777,'Care log'!$D$6:$D$1505,D777,'Care log'!$G$6:$G$1505,"&gt;"&amp;G777)=0,1,0))</f>
        <v/>
      </c>
    </row>
    <row r="778">
      <c r="A778" s="1" t="n"/>
      <c r="B778" s="20" t="n"/>
      <c r="C778" s="17" t="n"/>
      <c r="D778" s="18" t="n"/>
      <c r="E778" s="18" t="n"/>
      <c r="F778" s="1" t="n"/>
      <c r="G778">
        <f>IF(OR(B778="",C778="",D778=""),"",B778+ROW()/10000000)</f>
        <v/>
      </c>
      <c r="H778">
        <f>IF(G778="","",IF(COUNTIFS('Care log'!$C$6:$C$1505,C778,'Care log'!$D$6:$D$1505,D778,'Care log'!$G$6:$G$1505,"&gt;"&amp;G778)=0,1,0))</f>
        <v/>
      </c>
    </row>
    <row r="779">
      <c r="A779" s="1" t="n"/>
      <c r="B779" s="20" t="n"/>
      <c r="C779" s="17" t="n"/>
      <c r="D779" s="18" t="n"/>
      <c r="E779" s="18" t="n"/>
      <c r="F779" s="1" t="n"/>
      <c r="G779">
        <f>IF(OR(B779="",C779="",D779=""),"",B779+ROW()/10000000)</f>
        <v/>
      </c>
      <c r="H779">
        <f>IF(G779="","",IF(COUNTIFS('Care log'!$C$6:$C$1505,C779,'Care log'!$D$6:$D$1505,D779,'Care log'!$G$6:$G$1505,"&gt;"&amp;G779)=0,1,0))</f>
        <v/>
      </c>
    </row>
    <row r="780">
      <c r="A780" s="1" t="n"/>
      <c r="B780" s="20" t="n"/>
      <c r="C780" s="17" t="n"/>
      <c r="D780" s="18" t="n"/>
      <c r="E780" s="18" t="n"/>
      <c r="F780" s="1" t="n"/>
      <c r="G780">
        <f>IF(OR(B780="",C780="",D780=""),"",B780+ROW()/10000000)</f>
        <v/>
      </c>
      <c r="H780">
        <f>IF(G780="","",IF(COUNTIFS('Care log'!$C$6:$C$1505,C780,'Care log'!$D$6:$D$1505,D780,'Care log'!$G$6:$G$1505,"&gt;"&amp;G780)=0,1,0))</f>
        <v/>
      </c>
    </row>
    <row r="781">
      <c r="A781" s="1" t="n"/>
      <c r="B781" s="20" t="n"/>
      <c r="C781" s="17" t="n"/>
      <c r="D781" s="18" t="n"/>
      <c r="E781" s="18" t="n"/>
      <c r="F781" s="1" t="n"/>
      <c r="G781">
        <f>IF(OR(B781="",C781="",D781=""),"",B781+ROW()/10000000)</f>
        <v/>
      </c>
      <c r="H781">
        <f>IF(G781="","",IF(COUNTIFS('Care log'!$C$6:$C$1505,C781,'Care log'!$D$6:$D$1505,D781,'Care log'!$G$6:$G$1505,"&gt;"&amp;G781)=0,1,0))</f>
        <v/>
      </c>
    </row>
    <row r="782">
      <c r="A782" s="1" t="n"/>
      <c r="B782" s="20" t="n"/>
      <c r="C782" s="17" t="n"/>
      <c r="D782" s="18" t="n"/>
      <c r="E782" s="18" t="n"/>
      <c r="F782" s="1" t="n"/>
      <c r="G782">
        <f>IF(OR(B782="",C782="",D782=""),"",B782+ROW()/10000000)</f>
        <v/>
      </c>
      <c r="H782">
        <f>IF(G782="","",IF(COUNTIFS('Care log'!$C$6:$C$1505,C782,'Care log'!$D$6:$D$1505,D782,'Care log'!$G$6:$G$1505,"&gt;"&amp;G782)=0,1,0))</f>
        <v/>
      </c>
    </row>
    <row r="783">
      <c r="A783" s="1" t="n"/>
      <c r="B783" s="20" t="n"/>
      <c r="C783" s="17" t="n"/>
      <c r="D783" s="18" t="n"/>
      <c r="E783" s="18" t="n"/>
      <c r="F783" s="1" t="n"/>
      <c r="G783">
        <f>IF(OR(B783="",C783="",D783=""),"",B783+ROW()/10000000)</f>
        <v/>
      </c>
      <c r="H783">
        <f>IF(G783="","",IF(COUNTIFS('Care log'!$C$6:$C$1505,C783,'Care log'!$D$6:$D$1505,D783,'Care log'!$G$6:$G$1505,"&gt;"&amp;G783)=0,1,0))</f>
        <v/>
      </c>
    </row>
    <row r="784">
      <c r="A784" s="1" t="n"/>
      <c r="B784" s="20" t="n"/>
      <c r="C784" s="17" t="n"/>
      <c r="D784" s="18" t="n"/>
      <c r="E784" s="18" t="n"/>
      <c r="F784" s="1" t="n"/>
      <c r="G784">
        <f>IF(OR(B784="",C784="",D784=""),"",B784+ROW()/10000000)</f>
        <v/>
      </c>
      <c r="H784">
        <f>IF(G784="","",IF(COUNTIFS('Care log'!$C$6:$C$1505,C784,'Care log'!$D$6:$D$1505,D784,'Care log'!$G$6:$G$1505,"&gt;"&amp;G784)=0,1,0))</f>
        <v/>
      </c>
    </row>
    <row r="785">
      <c r="A785" s="1" t="n"/>
      <c r="B785" s="20" t="n"/>
      <c r="C785" s="17" t="n"/>
      <c r="D785" s="18" t="n"/>
      <c r="E785" s="18" t="n"/>
      <c r="F785" s="1" t="n"/>
      <c r="G785">
        <f>IF(OR(B785="",C785="",D785=""),"",B785+ROW()/10000000)</f>
        <v/>
      </c>
      <c r="H785">
        <f>IF(G785="","",IF(COUNTIFS('Care log'!$C$6:$C$1505,C785,'Care log'!$D$6:$D$1505,D785,'Care log'!$G$6:$G$1505,"&gt;"&amp;G785)=0,1,0))</f>
        <v/>
      </c>
    </row>
    <row r="786">
      <c r="A786" s="1" t="n"/>
      <c r="B786" s="20" t="n"/>
      <c r="C786" s="17" t="n"/>
      <c r="D786" s="18" t="n"/>
      <c r="E786" s="18" t="n"/>
      <c r="F786" s="1" t="n"/>
      <c r="G786">
        <f>IF(OR(B786="",C786="",D786=""),"",B786+ROW()/10000000)</f>
        <v/>
      </c>
      <c r="H786">
        <f>IF(G786="","",IF(COUNTIFS('Care log'!$C$6:$C$1505,C786,'Care log'!$D$6:$D$1505,D786,'Care log'!$G$6:$G$1505,"&gt;"&amp;G786)=0,1,0))</f>
        <v/>
      </c>
    </row>
    <row r="787">
      <c r="A787" s="1" t="n"/>
      <c r="B787" s="20" t="n"/>
      <c r="C787" s="17" t="n"/>
      <c r="D787" s="18" t="n"/>
      <c r="E787" s="18" t="n"/>
      <c r="F787" s="1" t="n"/>
      <c r="G787">
        <f>IF(OR(B787="",C787="",D787=""),"",B787+ROW()/10000000)</f>
        <v/>
      </c>
      <c r="H787">
        <f>IF(G787="","",IF(COUNTIFS('Care log'!$C$6:$C$1505,C787,'Care log'!$D$6:$D$1505,D787,'Care log'!$G$6:$G$1505,"&gt;"&amp;G787)=0,1,0))</f>
        <v/>
      </c>
    </row>
    <row r="788">
      <c r="A788" s="1" t="n"/>
      <c r="B788" s="20" t="n"/>
      <c r="C788" s="17" t="n"/>
      <c r="D788" s="18" t="n"/>
      <c r="E788" s="18" t="n"/>
      <c r="F788" s="1" t="n"/>
      <c r="G788">
        <f>IF(OR(B788="",C788="",D788=""),"",B788+ROW()/10000000)</f>
        <v/>
      </c>
      <c r="H788">
        <f>IF(G788="","",IF(COUNTIFS('Care log'!$C$6:$C$1505,C788,'Care log'!$D$6:$D$1505,D788,'Care log'!$G$6:$G$1505,"&gt;"&amp;G788)=0,1,0))</f>
        <v/>
      </c>
    </row>
    <row r="789">
      <c r="A789" s="1" t="n"/>
      <c r="B789" s="20" t="n"/>
      <c r="C789" s="17" t="n"/>
      <c r="D789" s="18" t="n"/>
      <c r="E789" s="18" t="n"/>
      <c r="F789" s="1" t="n"/>
      <c r="G789">
        <f>IF(OR(B789="",C789="",D789=""),"",B789+ROW()/10000000)</f>
        <v/>
      </c>
      <c r="H789">
        <f>IF(G789="","",IF(COUNTIFS('Care log'!$C$6:$C$1505,C789,'Care log'!$D$6:$D$1505,D789,'Care log'!$G$6:$G$1505,"&gt;"&amp;G789)=0,1,0))</f>
        <v/>
      </c>
    </row>
    <row r="790">
      <c r="A790" s="1" t="n"/>
      <c r="B790" s="20" t="n"/>
      <c r="C790" s="17" t="n"/>
      <c r="D790" s="18" t="n"/>
      <c r="E790" s="18" t="n"/>
      <c r="F790" s="1" t="n"/>
      <c r="G790">
        <f>IF(OR(B790="",C790="",D790=""),"",B790+ROW()/10000000)</f>
        <v/>
      </c>
      <c r="H790">
        <f>IF(G790="","",IF(COUNTIFS('Care log'!$C$6:$C$1505,C790,'Care log'!$D$6:$D$1505,D790,'Care log'!$G$6:$G$1505,"&gt;"&amp;G790)=0,1,0))</f>
        <v/>
      </c>
    </row>
    <row r="791">
      <c r="A791" s="1" t="n"/>
      <c r="B791" s="20" t="n"/>
      <c r="C791" s="17" t="n"/>
      <c r="D791" s="18" t="n"/>
      <c r="E791" s="18" t="n"/>
      <c r="F791" s="1" t="n"/>
      <c r="G791">
        <f>IF(OR(B791="",C791="",D791=""),"",B791+ROW()/10000000)</f>
        <v/>
      </c>
      <c r="H791">
        <f>IF(G791="","",IF(COUNTIFS('Care log'!$C$6:$C$1505,C791,'Care log'!$D$6:$D$1505,D791,'Care log'!$G$6:$G$1505,"&gt;"&amp;G791)=0,1,0))</f>
        <v/>
      </c>
    </row>
    <row r="792">
      <c r="A792" s="1" t="n"/>
      <c r="B792" s="20" t="n"/>
      <c r="C792" s="17" t="n"/>
      <c r="D792" s="18" t="n"/>
      <c r="E792" s="18" t="n"/>
      <c r="F792" s="1" t="n"/>
      <c r="G792">
        <f>IF(OR(B792="",C792="",D792=""),"",B792+ROW()/10000000)</f>
        <v/>
      </c>
      <c r="H792">
        <f>IF(G792="","",IF(COUNTIFS('Care log'!$C$6:$C$1505,C792,'Care log'!$D$6:$D$1505,D792,'Care log'!$G$6:$G$1505,"&gt;"&amp;G792)=0,1,0))</f>
        <v/>
      </c>
    </row>
    <row r="793">
      <c r="A793" s="1" t="n"/>
      <c r="B793" s="20" t="n"/>
      <c r="C793" s="17" t="n"/>
      <c r="D793" s="18" t="n"/>
      <c r="E793" s="18" t="n"/>
      <c r="F793" s="1" t="n"/>
      <c r="G793">
        <f>IF(OR(B793="",C793="",D793=""),"",B793+ROW()/10000000)</f>
        <v/>
      </c>
      <c r="H793">
        <f>IF(G793="","",IF(COUNTIFS('Care log'!$C$6:$C$1505,C793,'Care log'!$D$6:$D$1505,D793,'Care log'!$G$6:$G$1505,"&gt;"&amp;G793)=0,1,0))</f>
        <v/>
      </c>
    </row>
    <row r="794">
      <c r="A794" s="1" t="n"/>
      <c r="B794" s="20" t="n"/>
      <c r="C794" s="17" t="n"/>
      <c r="D794" s="18" t="n"/>
      <c r="E794" s="18" t="n"/>
      <c r="F794" s="1" t="n"/>
      <c r="G794">
        <f>IF(OR(B794="",C794="",D794=""),"",B794+ROW()/10000000)</f>
        <v/>
      </c>
      <c r="H794">
        <f>IF(G794="","",IF(COUNTIFS('Care log'!$C$6:$C$1505,C794,'Care log'!$D$6:$D$1505,D794,'Care log'!$G$6:$G$1505,"&gt;"&amp;G794)=0,1,0))</f>
        <v/>
      </c>
    </row>
    <row r="795">
      <c r="A795" s="1" t="n"/>
      <c r="B795" s="20" t="n"/>
      <c r="C795" s="17" t="n"/>
      <c r="D795" s="18" t="n"/>
      <c r="E795" s="18" t="n"/>
      <c r="F795" s="1" t="n"/>
      <c r="G795">
        <f>IF(OR(B795="",C795="",D795=""),"",B795+ROW()/10000000)</f>
        <v/>
      </c>
      <c r="H795">
        <f>IF(G795="","",IF(COUNTIFS('Care log'!$C$6:$C$1505,C795,'Care log'!$D$6:$D$1505,D795,'Care log'!$G$6:$G$1505,"&gt;"&amp;G795)=0,1,0))</f>
        <v/>
      </c>
    </row>
    <row r="796">
      <c r="A796" s="1" t="n"/>
      <c r="B796" s="20" t="n"/>
      <c r="C796" s="17" t="n"/>
      <c r="D796" s="18" t="n"/>
      <c r="E796" s="18" t="n"/>
      <c r="F796" s="1" t="n"/>
      <c r="G796">
        <f>IF(OR(B796="",C796="",D796=""),"",B796+ROW()/10000000)</f>
        <v/>
      </c>
      <c r="H796">
        <f>IF(G796="","",IF(COUNTIFS('Care log'!$C$6:$C$1505,C796,'Care log'!$D$6:$D$1505,D796,'Care log'!$G$6:$G$1505,"&gt;"&amp;G796)=0,1,0))</f>
        <v/>
      </c>
    </row>
    <row r="797">
      <c r="A797" s="1" t="n"/>
      <c r="B797" s="20" t="n"/>
      <c r="C797" s="17" t="n"/>
      <c r="D797" s="18" t="n"/>
      <c r="E797" s="18" t="n"/>
      <c r="F797" s="1" t="n"/>
      <c r="G797">
        <f>IF(OR(B797="",C797="",D797=""),"",B797+ROW()/10000000)</f>
        <v/>
      </c>
      <c r="H797">
        <f>IF(G797="","",IF(COUNTIFS('Care log'!$C$6:$C$1505,C797,'Care log'!$D$6:$D$1505,D797,'Care log'!$G$6:$G$1505,"&gt;"&amp;G797)=0,1,0))</f>
        <v/>
      </c>
    </row>
    <row r="798">
      <c r="A798" s="1" t="n"/>
      <c r="B798" s="20" t="n"/>
      <c r="C798" s="17" t="n"/>
      <c r="D798" s="18" t="n"/>
      <c r="E798" s="18" t="n"/>
      <c r="F798" s="1" t="n"/>
      <c r="G798">
        <f>IF(OR(B798="",C798="",D798=""),"",B798+ROW()/10000000)</f>
        <v/>
      </c>
      <c r="H798">
        <f>IF(G798="","",IF(COUNTIFS('Care log'!$C$6:$C$1505,C798,'Care log'!$D$6:$D$1505,D798,'Care log'!$G$6:$G$1505,"&gt;"&amp;G798)=0,1,0))</f>
        <v/>
      </c>
    </row>
    <row r="799">
      <c r="A799" s="1" t="n"/>
      <c r="B799" s="20" t="n"/>
      <c r="C799" s="17" t="n"/>
      <c r="D799" s="18" t="n"/>
      <c r="E799" s="18" t="n"/>
      <c r="F799" s="1" t="n"/>
      <c r="G799">
        <f>IF(OR(B799="",C799="",D799=""),"",B799+ROW()/10000000)</f>
        <v/>
      </c>
      <c r="H799">
        <f>IF(G799="","",IF(COUNTIFS('Care log'!$C$6:$C$1505,C799,'Care log'!$D$6:$D$1505,D799,'Care log'!$G$6:$G$1505,"&gt;"&amp;G799)=0,1,0))</f>
        <v/>
      </c>
    </row>
    <row r="800">
      <c r="A800" s="1" t="n"/>
      <c r="B800" s="20" t="n"/>
      <c r="C800" s="17" t="n"/>
      <c r="D800" s="18" t="n"/>
      <c r="E800" s="18" t="n"/>
      <c r="F800" s="1" t="n"/>
      <c r="G800">
        <f>IF(OR(B800="",C800="",D800=""),"",B800+ROW()/10000000)</f>
        <v/>
      </c>
      <c r="H800">
        <f>IF(G800="","",IF(COUNTIFS('Care log'!$C$6:$C$1505,C800,'Care log'!$D$6:$D$1505,D800,'Care log'!$G$6:$G$1505,"&gt;"&amp;G800)=0,1,0))</f>
        <v/>
      </c>
    </row>
    <row r="801">
      <c r="A801" s="1" t="n"/>
      <c r="B801" s="20" t="n"/>
      <c r="C801" s="17" t="n"/>
      <c r="D801" s="18" t="n"/>
      <c r="E801" s="18" t="n"/>
      <c r="F801" s="1" t="n"/>
      <c r="G801">
        <f>IF(OR(B801="",C801="",D801=""),"",B801+ROW()/10000000)</f>
        <v/>
      </c>
      <c r="H801">
        <f>IF(G801="","",IF(COUNTIFS('Care log'!$C$6:$C$1505,C801,'Care log'!$D$6:$D$1505,D801,'Care log'!$G$6:$G$1505,"&gt;"&amp;G801)=0,1,0))</f>
        <v/>
      </c>
    </row>
    <row r="802">
      <c r="A802" s="1" t="n"/>
      <c r="B802" s="20" t="n"/>
      <c r="C802" s="17" t="n"/>
      <c r="D802" s="18" t="n"/>
      <c r="E802" s="18" t="n"/>
      <c r="F802" s="1" t="n"/>
      <c r="G802">
        <f>IF(OR(B802="",C802="",D802=""),"",B802+ROW()/10000000)</f>
        <v/>
      </c>
      <c r="H802">
        <f>IF(G802="","",IF(COUNTIFS('Care log'!$C$6:$C$1505,C802,'Care log'!$D$6:$D$1505,D802,'Care log'!$G$6:$G$1505,"&gt;"&amp;G802)=0,1,0))</f>
        <v/>
      </c>
    </row>
    <row r="803">
      <c r="A803" s="1" t="n"/>
      <c r="B803" s="20" t="n"/>
      <c r="C803" s="17" t="n"/>
      <c r="D803" s="18" t="n"/>
      <c r="E803" s="18" t="n"/>
      <c r="F803" s="1" t="n"/>
      <c r="G803">
        <f>IF(OR(B803="",C803="",D803=""),"",B803+ROW()/10000000)</f>
        <v/>
      </c>
      <c r="H803">
        <f>IF(G803="","",IF(COUNTIFS('Care log'!$C$6:$C$1505,C803,'Care log'!$D$6:$D$1505,D803,'Care log'!$G$6:$G$1505,"&gt;"&amp;G803)=0,1,0))</f>
        <v/>
      </c>
    </row>
    <row r="804">
      <c r="A804" s="1" t="n"/>
      <c r="B804" s="20" t="n"/>
      <c r="C804" s="17" t="n"/>
      <c r="D804" s="18" t="n"/>
      <c r="E804" s="18" t="n"/>
      <c r="F804" s="1" t="n"/>
      <c r="G804">
        <f>IF(OR(B804="",C804="",D804=""),"",B804+ROW()/10000000)</f>
        <v/>
      </c>
      <c r="H804">
        <f>IF(G804="","",IF(COUNTIFS('Care log'!$C$6:$C$1505,C804,'Care log'!$D$6:$D$1505,D804,'Care log'!$G$6:$G$1505,"&gt;"&amp;G804)=0,1,0))</f>
        <v/>
      </c>
    </row>
    <row r="805">
      <c r="A805" s="1" t="n"/>
      <c r="B805" s="20" t="n"/>
      <c r="C805" s="17" t="n"/>
      <c r="D805" s="18" t="n"/>
      <c r="E805" s="18" t="n"/>
      <c r="F805" s="1" t="n"/>
      <c r="G805">
        <f>IF(OR(B805="",C805="",D805=""),"",B805+ROW()/10000000)</f>
        <v/>
      </c>
      <c r="H805">
        <f>IF(G805="","",IF(COUNTIFS('Care log'!$C$6:$C$1505,C805,'Care log'!$D$6:$D$1505,D805,'Care log'!$G$6:$G$1505,"&gt;"&amp;G805)=0,1,0))</f>
        <v/>
      </c>
    </row>
    <row r="806">
      <c r="A806" s="1" t="n"/>
      <c r="B806" s="20" t="n"/>
      <c r="C806" s="17" t="n"/>
      <c r="D806" s="18" t="n"/>
      <c r="E806" s="18" t="n"/>
      <c r="F806" s="1" t="n"/>
      <c r="G806">
        <f>IF(OR(B806="",C806="",D806=""),"",B806+ROW()/10000000)</f>
        <v/>
      </c>
      <c r="H806">
        <f>IF(G806="","",IF(COUNTIFS('Care log'!$C$6:$C$1505,C806,'Care log'!$D$6:$D$1505,D806,'Care log'!$G$6:$G$1505,"&gt;"&amp;G806)=0,1,0))</f>
        <v/>
      </c>
    </row>
    <row r="807">
      <c r="A807" s="1" t="n"/>
      <c r="B807" s="20" t="n"/>
      <c r="C807" s="17" t="n"/>
      <c r="D807" s="18" t="n"/>
      <c r="E807" s="18" t="n"/>
      <c r="F807" s="1" t="n"/>
      <c r="G807">
        <f>IF(OR(B807="",C807="",D807=""),"",B807+ROW()/10000000)</f>
        <v/>
      </c>
      <c r="H807">
        <f>IF(G807="","",IF(COUNTIFS('Care log'!$C$6:$C$1505,C807,'Care log'!$D$6:$D$1505,D807,'Care log'!$G$6:$G$1505,"&gt;"&amp;G807)=0,1,0))</f>
        <v/>
      </c>
    </row>
    <row r="808">
      <c r="A808" s="1" t="n"/>
      <c r="B808" s="20" t="n"/>
      <c r="C808" s="17" t="n"/>
      <c r="D808" s="18" t="n"/>
      <c r="E808" s="18" t="n"/>
      <c r="F808" s="1" t="n"/>
      <c r="G808">
        <f>IF(OR(B808="",C808="",D808=""),"",B808+ROW()/10000000)</f>
        <v/>
      </c>
      <c r="H808">
        <f>IF(G808="","",IF(COUNTIFS('Care log'!$C$6:$C$1505,C808,'Care log'!$D$6:$D$1505,D808,'Care log'!$G$6:$G$1505,"&gt;"&amp;G808)=0,1,0))</f>
        <v/>
      </c>
    </row>
    <row r="809">
      <c r="A809" s="1" t="n"/>
      <c r="B809" s="20" t="n"/>
      <c r="C809" s="17" t="n"/>
      <c r="D809" s="18" t="n"/>
      <c r="E809" s="18" t="n"/>
      <c r="F809" s="1" t="n"/>
      <c r="G809">
        <f>IF(OR(B809="",C809="",D809=""),"",B809+ROW()/10000000)</f>
        <v/>
      </c>
      <c r="H809">
        <f>IF(G809="","",IF(COUNTIFS('Care log'!$C$6:$C$1505,C809,'Care log'!$D$6:$D$1505,D809,'Care log'!$G$6:$G$1505,"&gt;"&amp;G809)=0,1,0))</f>
        <v/>
      </c>
    </row>
    <row r="810">
      <c r="A810" s="1" t="n"/>
      <c r="B810" s="20" t="n"/>
      <c r="C810" s="17" t="n"/>
      <c r="D810" s="18" t="n"/>
      <c r="E810" s="18" t="n"/>
      <c r="F810" s="1" t="n"/>
      <c r="G810">
        <f>IF(OR(B810="",C810="",D810=""),"",B810+ROW()/10000000)</f>
        <v/>
      </c>
      <c r="H810">
        <f>IF(G810="","",IF(COUNTIFS('Care log'!$C$6:$C$1505,C810,'Care log'!$D$6:$D$1505,D810,'Care log'!$G$6:$G$1505,"&gt;"&amp;G810)=0,1,0))</f>
        <v/>
      </c>
    </row>
    <row r="811">
      <c r="A811" s="1" t="n"/>
      <c r="B811" s="20" t="n"/>
      <c r="C811" s="17" t="n"/>
      <c r="D811" s="18" t="n"/>
      <c r="E811" s="18" t="n"/>
      <c r="F811" s="1" t="n"/>
      <c r="G811">
        <f>IF(OR(B811="",C811="",D811=""),"",B811+ROW()/10000000)</f>
        <v/>
      </c>
      <c r="H811">
        <f>IF(G811="","",IF(COUNTIFS('Care log'!$C$6:$C$1505,C811,'Care log'!$D$6:$D$1505,D811,'Care log'!$G$6:$G$1505,"&gt;"&amp;G811)=0,1,0))</f>
        <v/>
      </c>
    </row>
    <row r="812">
      <c r="A812" s="1" t="n"/>
      <c r="B812" s="20" t="n"/>
      <c r="C812" s="17" t="n"/>
      <c r="D812" s="18" t="n"/>
      <c r="E812" s="18" t="n"/>
      <c r="F812" s="1" t="n"/>
      <c r="G812">
        <f>IF(OR(B812="",C812="",D812=""),"",B812+ROW()/10000000)</f>
        <v/>
      </c>
      <c r="H812">
        <f>IF(G812="","",IF(COUNTIFS('Care log'!$C$6:$C$1505,C812,'Care log'!$D$6:$D$1505,D812,'Care log'!$G$6:$G$1505,"&gt;"&amp;G812)=0,1,0))</f>
        <v/>
      </c>
    </row>
    <row r="813">
      <c r="A813" s="1" t="n"/>
      <c r="B813" s="20" t="n"/>
      <c r="C813" s="17" t="n"/>
      <c r="D813" s="18" t="n"/>
      <c r="E813" s="18" t="n"/>
      <c r="F813" s="1" t="n"/>
      <c r="G813">
        <f>IF(OR(B813="",C813="",D813=""),"",B813+ROW()/10000000)</f>
        <v/>
      </c>
      <c r="H813">
        <f>IF(G813="","",IF(COUNTIFS('Care log'!$C$6:$C$1505,C813,'Care log'!$D$6:$D$1505,D813,'Care log'!$G$6:$G$1505,"&gt;"&amp;G813)=0,1,0))</f>
        <v/>
      </c>
    </row>
    <row r="814">
      <c r="A814" s="1" t="n"/>
      <c r="B814" s="20" t="n"/>
      <c r="C814" s="17" t="n"/>
      <c r="D814" s="18" t="n"/>
      <c r="E814" s="18" t="n"/>
      <c r="F814" s="1" t="n"/>
      <c r="G814">
        <f>IF(OR(B814="",C814="",D814=""),"",B814+ROW()/10000000)</f>
        <v/>
      </c>
      <c r="H814">
        <f>IF(G814="","",IF(COUNTIFS('Care log'!$C$6:$C$1505,C814,'Care log'!$D$6:$D$1505,D814,'Care log'!$G$6:$G$1505,"&gt;"&amp;G814)=0,1,0))</f>
        <v/>
      </c>
    </row>
    <row r="815">
      <c r="A815" s="1" t="n"/>
      <c r="B815" s="20" t="n"/>
      <c r="C815" s="17" t="n"/>
      <c r="D815" s="18" t="n"/>
      <c r="E815" s="18" t="n"/>
      <c r="F815" s="1" t="n"/>
      <c r="G815">
        <f>IF(OR(B815="",C815="",D815=""),"",B815+ROW()/10000000)</f>
        <v/>
      </c>
      <c r="H815">
        <f>IF(G815="","",IF(COUNTIFS('Care log'!$C$6:$C$1505,C815,'Care log'!$D$6:$D$1505,D815,'Care log'!$G$6:$G$1505,"&gt;"&amp;G815)=0,1,0))</f>
        <v/>
      </c>
    </row>
    <row r="816">
      <c r="A816" s="1" t="n"/>
      <c r="B816" s="20" t="n"/>
      <c r="C816" s="17" t="n"/>
      <c r="D816" s="18" t="n"/>
      <c r="E816" s="18" t="n"/>
      <c r="F816" s="1" t="n"/>
      <c r="G816">
        <f>IF(OR(B816="",C816="",D816=""),"",B816+ROW()/10000000)</f>
        <v/>
      </c>
      <c r="H816">
        <f>IF(G816="","",IF(COUNTIFS('Care log'!$C$6:$C$1505,C816,'Care log'!$D$6:$D$1505,D816,'Care log'!$G$6:$G$1505,"&gt;"&amp;G816)=0,1,0))</f>
        <v/>
      </c>
    </row>
    <row r="817">
      <c r="A817" s="1" t="n"/>
      <c r="B817" s="20" t="n"/>
      <c r="C817" s="17" t="n"/>
      <c r="D817" s="18" t="n"/>
      <c r="E817" s="18" t="n"/>
      <c r="F817" s="1" t="n"/>
      <c r="G817">
        <f>IF(OR(B817="",C817="",D817=""),"",B817+ROW()/10000000)</f>
        <v/>
      </c>
      <c r="H817">
        <f>IF(G817="","",IF(COUNTIFS('Care log'!$C$6:$C$1505,C817,'Care log'!$D$6:$D$1505,D817,'Care log'!$G$6:$G$1505,"&gt;"&amp;G817)=0,1,0))</f>
        <v/>
      </c>
    </row>
    <row r="818">
      <c r="A818" s="1" t="n"/>
      <c r="B818" s="20" t="n"/>
      <c r="C818" s="17" t="n"/>
      <c r="D818" s="18" t="n"/>
      <c r="E818" s="18" t="n"/>
      <c r="F818" s="1" t="n"/>
      <c r="G818">
        <f>IF(OR(B818="",C818="",D818=""),"",B818+ROW()/10000000)</f>
        <v/>
      </c>
      <c r="H818">
        <f>IF(G818="","",IF(COUNTIFS('Care log'!$C$6:$C$1505,C818,'Care log'!$D$6:$D$1505,D818,'Care log'!$G$6:$G$1505,"&gt;"&amp;G818)=0,1,0))</f>
        <v/>
      </c>
    </row>
    <row r="819">
      <c r="A819" s="1" t="n"/>
      <c r="B819" s="20" t="n"/>
      <c r="C819" s="17" t="n"/>
      <c r="D819" s="18" t="n"/>
      <c r="E819" s="18" t="n"/>
      <c r="F819" s="1" t="n"/>
      <c r="G819">
        <f>IF(OR(B819="",C819="",D819=""),"",B819+ROW()/10000000)</f>
        <v/>
      </c>
      <c r="H819">
        <f>IF(G819="","",IF(COUNTIFS('Care log'!$C$6:$C$1505,C819,'Care log'!$D$6:$D$1505,D819,'Care log'!$G$6:$G$1505,"&gt;"&amp;G819)=0,1,0))</f>
        <v/>
      </c>
    </row>
    <row r="820">
      <c r="A820" s="1" t="n"/>
      <c r="B820" s="20" t="n"/>
      <c r="C820" s="17" t="n"/>
      <c r="D820" s="18" t="n"/>
      <c r="E820" s="18" t="n"/>
      <c r="F820" s="1" t="n"/>
      <c r="G820">
        <f>IF(OR(B820="",C820="",D820=""),"",B820+ROW()/10000000)</f>
        <v/>
      </c>
      <c r="H820">
        <f>IF(G820="","",IF(COUNTIFS('Care log'!$C$6:$C$1505,C820,'Care log'!$D$6:$D$1505,D820,'Care log'!$G$6:$G$1505,"&gt;"&amp;G820)=0,1,0))</f>
        <v/>
      </c>
    </row>
    <row r="821">
      <c r="A821" s="1" t="n"/>
      <c r="B821" s="20" t="n"/>
      <c r="C821" s="17" t="n"/>
      <c r="D821" s="18" t="n"/>
      <c r="E821" s="18" t="n"/>
      <c r="F821" s="1" t="n"/>
      <c r="G821">
        <f>IF(OR(B821="",C821="",D821=""),"",B821+ROW()/10000000)</f>
        <v/>
      </c>
      <c r="H821">
        <f>IF(G821="","",IF(COUNTIFS('Care log'!$C$6:$C$1505,C821,'Care log'!$D$6:$D$1505,D821,'Care log'!$G$6:$G$1505,"&gt;"&amp;G821)=0,1,0))</f>
        <v/>
      </c>
    </row>
    <row r="822">
      <c r="A822" s="1" t="n"/>
      <c r="B822" s="20" t="n"/>
      <c r="C822" s="17" t="n"/>
      <c r="D822" s="18" t="n"/>
      <c r="E822" s="18" t="n"/>
      <c r="F822" s="1" t="n"/>
      <c r="G822">
        <f>IF(OR(B822="",C822="",D822=""),"",B822+ROW()/10000000)</f>
        <v/>
      </c>
      <c r="H822">
        <f>IF(G822="","",IF(COUNTIFS('Care log'!$C$6:$C$1505,C822,'Care log'!$D$6:$D$1505,D822,'Care log'!$G$6:$G$1505,"&gt;"&amp;G822)=0,1,0))</f>
        <v/>
      </c>
    </row>
    <row r="823">
      <c r="A823" s="1" t="n"/>
      <c r="B823" s="20" t="n"/>
      <c r="C823" s="17" t="n"/>
      <c r="D823" s="18" t="n"/>
      <c r="E823" s="18" t="n"/>
      <c r="F823" s="1" t="n"/>
      <c r="G823">
        <f>IF(OR(B823="",C823="",D823=""),"",B823+ROW()/10000000)</f>
        <v/>
      </c>
      <c r="H823">
        <f>IF(G823="","",IF(COUNTIFS('Care log'!$C$6:$C$1505,C823,'Care log'!$D$6:$D$1505,D823,'Care log'!$G$6:$G$1505,"&gt;"&amp;G823)=0,1,0))</f>
        <v/>
      </c>
    </row>
    <row r="824">
      <c r="A824" s="1" t="n"/>
      <c r="B824" s="20" t="n"/>
      <c r="C824" s="17" t="n"/>
      <c r="D824" s="18" t="n"/>
      <c r="E824" s="18" t="n"/>
      <c r="F824" s="1" t="n"/>
      <c r="G824">
        <f>IF(OR(B824="",C824="",D824=""),"",B824+ROW()/10000000)</f>
        <v/>
      </c>
      <c r="H824">
        <f>IF(G824="","",IF(COUNTIFS('Care log'!$C$6:$C$1505,C824,'Care log'!$D$6:$D$1505,D824,'Care log'!$G$6:$G$1505,"&gt;"&amp;G824)=0,1,0))</f>
        <v/>
      </c>
    </row>
    <row r="825">
      <c r="A825" s="1" t="n"/>
      <c r="B825" s="20" t="n"/>
      <c r="C825" s="17" t="n"/>
      <c r="D825" s="18" t="n"/>
      <c r="E825" s="18" t="n"/>
      <c r="F825" s="1" t="n"/>
      <c r="G825">
        <f>IF(OR(B825="",C825="",D825=""),"",B825+ROW()/10000000)</f>
        <v/>
      </c>
      <c r="H825">
        <f>IF(G825="","",IF(COUNTIFS('Care log'!$C$6:$C$1505,C825,'Care log'!$D$6:$D$1505,D825,'Care log'!$G$6:$G$1505,"&gt;"&amp;G825)=0,1,0))</f>
        <v/>
      </c>
    </row>
    <row r="826">
      <c r="A826" s="1" t="n"/>
      <c r="B826" s="20" t="n"/>
      <c r="C826" s="17" t="n"/>
      <c r="D826" s="18" t="n"/>
      <c r="E826" s="18" t="n"/>
      <c r="F826" s="1" t="n"/>
      <c r="G826">
        <f>IF(OR(B826="",C826="",D826=""),"",B826+ROW()/10000000)</f>
        <v/>
      </c>
      <c r="H826">
        <f>IF(G826="","",IF(COUNTIFS('Care log'!$C$6:$C$1505,C826,'Care log'!$D$6:$D$1505,D826,'Care log'!$G$6:$G$1505,"&gt;"&amp;G826)=0,1,0))</f>
        <v/>
      </c>
    </row>
    <row r="827">
      <c r="A827" s="1" t="n"/>
      <c r="B827" s="20" t="n"/>
      <c r="C827" s="17" t="n"/>
      <c r="D827" s="18" t="n"/>
      <c r="E827" s="18" t="n"/>
      <c r="F827" s="1" t="n"/>
      <c r="G827">
        <f>IF(OR(B827="",C827="",D827=""),"",B827+ROW()/10000000)</f>
        <v/>
      </c>
      <c r="H827">
        <f>IF(G827="","",IF(COUNTIFS('Care log'!$C$6:$C$1505,C827,'Care log'!$D$6:$D$1505,D827,'Care log'!$G$6:$G$1505,"&gt;"&amp;G827)=0,1,0))</f>
        <v/>
      </c>
    </row>
    <row r="828">
      <c r="A828" s="1" t="n"/>
      <c r="B828" s="20" t="n"/>
      <c r="C828" s="17" t="n"/>
      <c r="D828" s="18" t="n"/>
      <c r="E828" s="18" t="n"/>
      <c r="F828" s="1" t="n"/>
      <c r="G828">
        <f>IF(OR(B828="",C828="",D828=""),"",B828+ROW()/10000000)</f>
        <v/>
      </c>
      <c r="H828">
        <f>IF(G828="","",IF(COUNTIFS('Care log'!$C$6:$C$1505,C828,'Care log'!$D$6:$D$1505,D828,'Care log'!$G$6:$G$1505,"&gt;"&amp;G828)=0,1,0))</f>
        <v/>
      </c>
    </row>
    <row r="829">
      <c r="A829" s="1" t="n"/>
      <c r="B829" s="20" t="n"/>
      <c r="C829" s="17" t="n"/>
      <c r="D829" s="18" t="n"/>
      <c r="E829" s="18" t="n"/>
      <c r="F829" s="1" t="n"/>
      <c r="G829">
        <f>IF(OR(B829="",C829="",D829=""),"",B829+ROW()/10000000)</f>
        <v/>
      </c>
      <c r="H829">
        <f>IF(G829="","",IF(COUNTIFS('Care log'!$C$6:$C$1505,C829,'Care log'!$D$6:$D$1505,D829,'Care log'!$G$6:$G$1505,"&gt;"&amp;G829)=0,1,0))</f>
        <v/>
      </c>
    </row>
    <row r="830">
      <c r="A830" s="1" t="n"/>
      <c r="B830" s="20" t="n"/>
      <c r="C830" s="17" t="n"/>
      <c r="D830" s="18" t="n"/>
      <c r="E830" s="18" t="n"/>
      <c r="F830" s="1" t="n"/>
      <c r="G830">
        <f>IF(OR(B830="",C830="",D830=""),"",B830+ROW()/10000000)</f>
        <v/>
      </c>
      <c r="H830">
        <f>IF(G830="","",IF(COUNTIFS('Care log'!$C$6:$C$1505,C830,'Care log'!$D$6:$D$1505,D830,'Care log'!$G$6:$G$1505,"&gt;"&amp;G830)=0,1,0))</f>
        <v/>
      </c>
    </row>
    <row r="831">
      <c r="A831" s="1" t="n"/>
      <c r="B831" s="20" t="n"/>
      <c r="C831" s="17" t="n"/>
      <c r="D831" s="18" t="n"/>
      <c r="E831" s="18" t="n"/>
      <c r="F831" s="1" t="n"/>
      <c r="G831">
        <f>IF(OR(B831="",C831="",D831=""),"",B831+ROW()/10000000)</f>
        <v/>
      </c>
      <c r="H831">
        <f>IF(G831="","",IF(COUNTIFS('Care log'!$C$6:$C$1505,C831,'Care log'!$D$6:$D$1505,D831,'Care log'!$G$6:$G$1505,"&gt;"&amp;G831)=0,1,0))</f>
        <v/>
      </c>
    </row>
    <row r="832">
      <c r="A832" s="1" t="n"/>
      <c r="B832" s="20" t="n"/>
      <c r="C832" s="17" t="n"/>
      <c r="D832" s="18" t="n"/>
      <c r="E832" s="18" t="n"/>
      <c r="F832" s="1" t="n"/>
      <c r="G832">
        <f>IF(OR(B832="",C832="",D832=""),"",B832+ROW()/10000000)</f>
        <v/>
      </c>
      <c r="H832">
        <f>IF(G832="","",IF(COUNTIFS('Care log'!$C$6:$C$1505,C832,'Care log'!$D$6:$D$1505,D832,'Care log'!$G$6:$G$1505,"&gt;"&amp;G832)=0,1,0))</f>
        <v/>
      </c>
    </row>
    <row r="833">
      <c r="A833" s="1" t="n"/>
      <c r="B833" s="20" t="n"/>
      <c r="C833" s="17" t="n"/>
      <c r="D833" s="18" t="n"/>
      <c r="E833" s="18" t="n"/>
      <c r="F833" s="1" t="n"/>
      <c r="G833">
        <f>IF(OR(B833="",C833="",D833=""),"",B833+ROW()/10000000)</f>
        <v/>
      </c>
      <c r="H833">
        <f>IF(G833="","",IF(COUNTIFS('Care log'!$C$6:$C$1505,C833,'Care log'!$D$6:$D$1505,D833,'Care log'!$G$6:$G$1505,"&gt;"&amp;G833)=0,1,0))</f>
        <v/>
      </c>
    </row>
    <row r="834">
      <c r="A834" s="1" t="n"/>
      <c r="B834" s="20" t="n"/>
      <c r="C834" s="17" t="n"/>
      <c r="D834" s="18" t="n"/>
      <c r="E834" s="18" t="n"/>
      <c r="F834" s="1" t="n"/>
      <c r="G834">
        <f>IF(OR(B834="",C834="",D834=""),"",B834+ROW()/10000000)</f>
        <v/>
      </c>
      <c r="H834">
        <f>IF(G834="","",IF(COUNTIFS('Care log'!$C$6:$C$1505,C834,'Care log'!$D$6:$D$1505,D834,'Care log'!$G$6:$G$1505,"&gt;"&amp;G834)=0,1,0))</f>
        <v/>
      </c>
    </row>
    <row r="835">
      <c r="A835" s="1" t="n"/>
      <c r="B835" s="20" t="n"/>
      <c r="C835" s="17" t="n"/>
      <c r="D835" s="18" t="n"/>
      <c r="E835" s="18" t="n"/>
      <c r="F835" s="1" t="n"/>
      <c r="G835">
        <f>IF(OR(B835="",C835="",D835=""),"",B835+ROW()/10000000)</f>
        <v/>
      </c>
      <c r="H835">
        <f>IF(G835="","",IF(COUNTIFS('Care log'!$C$6:$C$1505,C835,'Care log'!$D$6:$D$1505,D835,'Care log'!$G$6:$G$1505,"&gt;"&amp;G835)=0,1,0))</f>
        <v/>
      </c>
    </row>
    <row r="836">
      <c r="A836" s="1" t="n"/>
      <c r="B836" s="20" t="n"/>
      <c r="C836" s="17" t="n"/>
      <c r="D836" s="18" t="n"/>
      <c r="E836" s="18" t="n"/>
      <c r="F836" s="1" t="n"/>
      <c r="G836">
        <f>IF(OR(B836="",C836="",D836=""),"",B836+ROW()/10000000)</f>
        <v/>
      </c>
      <c r="H836">
        <f>IF(G836="","",IF(COUNTIFS('Care log'!$C$6:$C$1505,C836,'Care log'!$D$6:$D$1505,D836,'Care log'!$G$6:$G$1505,"&gt;"&amp;G836)=0,1,0))</f>
        <v/>
      </c>
    </row>
    <row r="837">
      <c r="A837" s="1" t="n"/>
      <c r="B837" s="20" t="n"/>
      <c r="C837" s="17" t="n"/>
      <c r="D837" s="18" t="n"/>
      <c r="E837" s="18" t="n"/>
      <c r="F837" s="1" t="n"/>
      <c r="G837">
        <f>IF(OR(B837="",C837="",D837=""),"",B837+ROW()/10000000)</f>
        <v/>
      </c>
      <c r="H837">
        <f>IF(G837="","",IF(COUNTIFS('Care log'!$C$6:$C$1505,C837,'Care log'!$D$6:$D$1505,D837,'Care log'!$G$6:$G$1505,"&gt;"&amp;G837)=0,1,0))</f>
        <v/>
      </c>
    </row>
    <row r="838">
      <c r="A838" s="1" t="n"/>
      <c r="B838" s="20" t="n"/>
      <c r="C838" s="17" t="n"/>
      <c r="D838" s="18" t="n"/>
      <c r="E838" s="18" t="n"/>
      <c r="F838" s="1" t="n"/>
      <c r="G838">
        <f>IF(OR(B838="",C838="",D838=""),"",B838+ROW()/10000000)</f>
        <v/>
      </c>
      <c r="H838">
        <f>IF(G838="","",IF(COUNTIFS('Care log'!$C$6:$C$1505,C838,'Care log'!$D$6:$D$1505,D838,'Care log'!$G$6:$G$1505,"&gt;"&amp;G838)=0,1,0))</f>
        <v/>
      </c>
    </row>
    <row r="839">
      <c r="A839" s="1" t="n"/>
      <c r="B839" s="20" t="n"/>
      <c r="C839" s="17" t="n"/>
      <c r="D839" s="18" t="n"/>
      <c r="E839" s="18" t="n"/>
      <c r="F839" s="1" t="n"/>
      <c r="G839">
        <f>IF(OR(B839="",C839="",D839=""),"",B839+ROW()/10000000)</f>
        <v/>
      </c>
      <c r="H839">
        <f>IF(G839="","",IF(COUNTIFS('Care log'!$C$6:$C$1505,C839,'Care log'!$D$6:$D$1505,D839,'Care log'!$G$6:$G$1505,"&gt;"&amp;G839)=0,1,0))</f>
        <v/>
      </c>
    </row>
    <row r="840">
      <c r="A840" s="1" t="n"/>
      <c r="B840" s="20" t="n"/>
      <c r="C840" s="17" t="n"/>
      <c r="D840" s="18" t="n"/>
      <c r="E840" s="18" t="n"/>
      <c r="F840" s="1" t="n"/>
      <c r="G840">
        <f>IF(OR(B840="",C840="",D840=""),"",B840+ROW()/10000000)</f>
        <v/>
      </c>
      <c r="H840">
        <f>IF(G840="","",IF(COUNTIFS('Care log'!$C$6:$C$1505,C840,'Care log'!$D$6:$D$1505,D840,'Care log'!$G$6:$G$1505,"&gt;"&amp;G840)=0,1,0))</f>
        <v/>
      </c>
    </row>
    <row r="841">
      <c r="A841" s="1" t="n"/>
      <c r="B841" s="20" t="n"/>
      <c r="C841" s="17" t="n"/>
      <c r="D841" s="18" t="n"/>
      <c r="E841" s="18" t="n"/>
      <c r="F841" s="1" t="n"/>
      <c r="G841">
        <f>IF(OR(B841="",C841="",D841=""),"",B841+ROW()/10000000)</f>
        <v/>
      </c>
      <c r="H841">
        <f>IF(G841="","",IF(COUNTIFS('Care log'!$C$6:$C$1505,C841,'Care log'!$D$6:$D$1505,D841,'Care log'!$G$6:$G$1505,"&gt;"&amp;G841)=0,1,0))</f>
        <v/>
      </c>
    </row>
    <row r="842">
      <c r="A842" s="1" t="n"/>
      <c r="B842" s="20" t="n"/>
      <c r="C842" s="17" t="n"/>
      <c r="D842" s="18" t="n"/>
      <c r="E842" s="18" t="n"/>
      <c r="F842" s="1" t="n"/>
      <c r="G842">
        <f>IF(OR(B842="",C842="",D842=""),"",B842+ROW()/10000000)</f>
        <v/>
      </c>
      <c r="H842">
        <f>IF(G842="","",IF(COUNTIFS('Care log'!$C$6:$C$1505,C842,'Care log'!$D$6:$D$1505,D842,'Care log'!$G$6:$G$1505,"&gt;"&amp;G842)=0,1,0))</f>
        <v/>
      </c>
    </row>
    <row r="843">
      <c r="A843" s="1" t="n"/>
      <c r="B843" s="20" t="n"/>
      <c r="C843" s="17" t="n"/>
      <c r="D843" s="18" t="n"/>
      <c r="E843" s="18" t="n"/>
      <c r="F843" s="1" t="n"/>
      <c r="G843">
        <f>IF(OR(B843="",C843="",D843=""),"",B843+ROW()/10000000)</f>
        <v/>
      </c>
      <c r="H843">
        <f>IF(G843="","",IF(COUNTIFS('Care log'!$C$6:$C$1505,C843,'Care log'!$D$6:$D$1505,D843,'Care log'!$G$6:$G$1505,"&gt;"&amp;G843)=0,1,0))</f>
        <v/>
      </c>
    </row>
    <row r="844">
      <c r="A844" s="1" t="n"/>
      <c r="B844" s="20" t="n"/>
      <c r="C844" s="17" t="n"/>
      <c r="D844" s="18" t="n"/>
      <c r="E844" s="18" t="n"/>
      <c r="F844" s="1" t="n"/>
      <c r="G844">
        <f>IF(OR(B844="",C844="",D844=""),"",B844+ROW()/10000000)</f>
        <v/>
      </c>
      <c r="H844">
        <f>IF(G844="","",IF(COUNTIFS('Care log'!$C$6:$C$1505,C844,'Care log'!$D$6:$D$1505,D844,'Care log'!$G$6:$G$1505,"&gt;"&amp;G844)=0,1,0))</f>
        <v/>
      </c>
    </row>
    <row r="845">
      <c r="A845" s="1" t="n"/>
      <c r="B845" s="20" t="n"/>
      <c r="C845" s="17" t="n"/>
      <c r="D845" s="18" t="n"/>
      <c r="E845" s="18" t="n"/>
      <c r="F845" s="1" t="n"/>
      <c r="G845">
        <f>IF(OR(B845="",C845="",D845=""),"",B845+ROW()/10000000)</f>
        <v/>
      </c>
      <c r="H845">
        <f>IF(G845="","",IF(COUNTIFS('Care log'!$C$6:$C$1505,C845,'Care log'!$D$6:$D$1505,D845,'Care log'!$G$6:$G$1505,"&gt;"&amp;G845)=0,1,0))</f>
        <v/>
      </c>
    </row>
    <row r="846">
      <c r="A846" s="1" t="n"/>
      <c r="B846" s="20" t="n"/>
      <c r="C846" s="17" t="n"/>
      <c r="D846" s="18" t="n"/>
      <c r="E846" s="18" t="n"/>
      <c r="F846" s="1" t="n"/>
      <c r="G846">
        <f>IF(OR(B846="",C846="",D846=""),"",B846+ROW()/10000000)</f>
        <v/>
      </c>
      <c r="H846">
        <f>IF(G846="","",IF(COUNTIFS('Care log'!$C$6:$C$1505,C846,'Care log'!$D$6:$D$1505,D846,'Care log'!$G$6:$G$1505,"&gt;"&amp;G846)=0,1,0))</f>
        <v/>
      </c>
    </row>
    <row r="847">
      <c r="A847" s="1" t="n"/>
      <c r="B847" s="20" t="n"/>
      <c r="C847" s="17" t="n"/>
      <c r="D847" s="18" t="n"/>
      <c r="E847" s="18" t="n"/>
      <c r="F847" s="1" t="n"/>
      <c r="G847">
        <f>IF(OR(B847="",C847="",D847=""),"",B847+ROW()/10000000)</f>
        <v/>
      </c>
      <c r="H847">
        <f>IF(G847="","",IF(COUNTIFS('Care log'!$C$6:$C$1505,C847,'Care log'!$D$6:$D$1505,D847,'Care log'!$G$6:$G$1505,"&gt;"&amp;G847)=0,1,0))</f>
        <v/>
      </c>
    </row>
    <row r="848">
      <c r="A848" s="1" t="n"/>
      <c r="B848" s="20" t="n"/>
      <c r="C848" s="17" t="n"/>
      <c r="D848" s="18" t="n"/>
      <c r="E848" s="18" t="n"/>
      <c r="F848" s="1" t="n"/>
      <c r="G848">
        <f>IF(OR(B848="",C848="",D848=""),"",B848+ROW()/10000000)</f>
        <v/>
      </c>
      <c r="H848">
        <f>IF(G848="","",IF(COUNTIFS('Care log'!$C$6:$C$1505,C848,'Care log'!$D$6:$D$1505,D848,'Care log'!$G$6:$G$1505,"&gt;"&amp;G848)=0,1,0))</f>
        <v/>
      </c>
    </row>
    <row r="849">
      <c r="A849" s="1" t="n"/>
      <c r="B849" s="20" t="n"/>
      <c r="C849" s="17" t="n"/>
      <c r="D849" s="18" t="n"/>
      <c r="E849" s="18" t="n"/>
      <c r="F849" s="1" t="n"/>
      <c r="G849">
        <f>IF(OR(B849="",C849="",D849=""),"",B849+ROW()/10000000)</f>
        <v/>
      </c>
      <c r="H849">
        <f>IF(G849="","",IF(COUNTIFS('Care log'!$C$6:$C$1505,C849,'Care log'!$D$6:$D$1505,D849,'Care log'!$G$6:$G$1505,"&gt;"&amp;G849)=0,1,0))</f>
        <v/>
      </c>
    </row>
    <row r="850">
      <c r="A850" s="1" t="n"/>
      <c r="B850" s="20" t="n"/>
      <c r="C850" s="17" t="n"/>
      <c r="D850" s="18" t="n"/>
      <c r="E850" s="18" t="n"/>
      <c r="F850" s="1" t="n"/>
      <c r="G850">
        <f>IF(OR(B850="",C850="",D850=""),"",B850+ROW()/10000000)</f>
        <v/>
      </c>
      <c r="H850">
        <f>IF(G850="","",IF(COUNTIFS('Care log'!$C$6:$C$1505,C850,'Care log'!$D$6:$D$1505,D850,'Care log'!$G$6:$G$1505,"&gt;"&amp;G850)=0,1,0))</f>
        <v/>
      </c>
    </row>
    <row r="851">
      <c r="A851" s="1" t="n"/>
      <c r="B851" s="20" t="n"/>
      <c r="C851" s="17" t="n"/>
      <c r="D851" s="18" t="n"/>
      <c r="E851" s="18" t="n"/>
      <c r="F851" s="1" t="n"/>
      <c r="G851">
        <f>IF(OR(B851="",C851="",D851=""),"",B851+ROW()/10000000)</f>
        <v/>
      </c>
      <c r="H851">
        <f>IF(G851="","",IF(COUNTIFS('Care log'!$C$6:$C$1505,C851,'Care log'!$D$6:$D$1505,D851,'Care log'!$G$6:$G$1505,"&gt;"&amp;G851)=0,1,0))</f>
        <v/>
      </c>
    </row>
    <row r="852">
      <c r="A852" s="1" t="n"/>
      <c r="B852" s="20" t="n"/>
      <c r="C852" s="17" t="n"/>
      <c r="D852" s="18" t="n"/>
      <c r="E852" s="18" t="n"/>
      <c r="F852" s="1" t="n"/>
      <c r="G852">
        <f>IF(OR(B852="",C852="",D852=""),"",B852+ROW()/10000000)</f>
        <v/>
      </c>
      <c r="H852">
        <f>IF(G852="","",IF(COUNTIFS('Care log'!$C$6:$C$1505,C852,'Care log'!$D$6:$D$1505,D852,'Care log'!$G$6:$G$1505,"&gt;"&amp;G852)=0,1,0))</f>
        <v/>
      </c>
    </row>
    <row r="853">
      <c r="A853" s="1" t="n"/>
      <c r="B853" s="20" t="n"/>
      <c r="C853" s="17" t="n"/>
      <c r="D853" s="18" t="n"/>
      <c r="E853" s="18" t="n"/>
      <c r="F853" s="1" t="n"/>
      <c r="G853">
        <f>IF(OR(B853="",C853="",D853=""),"",B853+ROW()/10000000)</f>
        <v/>
      </c>
      <c r="H853">
        <f>IF(G853="","",IF(COUNTIFS('Care log'!$C$6:$C$1505,C853,'Care log'!$D$6:$D$1505,D853,'Care log'!$G$6:$G$1505,"&gt;"&amp;G853)=0,1,0))</f>
        <v/>
      </c>
    </row>
    <row r="854">
      <c r="A854" s="1" t="n"/>
      <c r="B854" s="20" t="n"/>
      <c r="C854" s="17" t="n"/>
      <c r="D854" s="18" t="n"/>
      <c r="E854" s="18" t="n"/>
      <c r="F854" s="1" t="n"/>
      <c r="G854">
        <f>IF(OR(B854="",C854="",D854=""),"",B854+ROW()/10000000)</f>
        <v/>
      </c>
      <c r="H854">
        <f>IF(G854="","",IF(COUNTIFS('Care log'!$C$6:$C$1505,C854,'Care log'!$D$6:$D$1505,D854,'Care log'!$G$6:$G$1505,"&gt;"&amp;G854)=0,1,0))</f>
        <v/>
      </c>
    </row>
    <row r="855">
      <c r="A855" s="1" t="n"/>
      <c r="B855" s="20" t="n"/>
      <c r="C855" s="17" t="n"/>
      <c r="D855" s="18" t="n"/>
      <c r="E855" s="18" t="n"/>
      <c r="F855" s="1" t="n"/>
      <c r="G855">
        <f>IF(OR(B855="",C855="",D855=""),"",B855+ROW()/10000000)</f>
        <v/>
      </c>
      <c r="H855">
        <f>IF(G855="","",IF(COUNTIFS('Care log'!$C$6:$C$1505,C855,'Care log'!$D$6:$D$1505,D855,'Care log'!$G$6:$G$1505,"&gt;"&amp;G855)=0,1,0))</f>
        <v/>
      </c>
    </row>
    <row r="856">
      <c r="A856" s="1" t="n"/>
      <c r="B856" s="20" t="n"/>
      <c r="C856" s="17" t="n"/>
      <c r="D856" s="18" t="n"/>
      <c r="E856" s="18" t="n"/>
      <c r="F856" s="1" t="n"/>
      <c r="G856">
        <f>IF(OR(B856="",C856="",D856=""),"",B856+ROW()/10000000)</f>
        <v/>
      </c>
      <c r="H856">
        <f>IF(G856="","",IF(COUNTIFS('Care log'!$C$6:$C$1505,C856,'Care log'!$D$6:$D$1505,D856,'Care log'!$G$6:$G$1505,"&gt;"&amp;G856)=0,1,0))</f>
        <v/>
      </c>
    </row>
    <row r="857">
      <c r="A857" s="1" t="n"/>
      <c r="B857" s="20" t="n"/>
      <c r="C857" s="17" t="n"/>
      <c r="D857" s="18" t="n"/>
      <c r="E857" s="18" t="n"/>
      <c r="F857" s="1" t="n"/>
      <c r="G857">
        <f>IF(OR(B857="",C857="",D857=""),"",B857+ROW()/10000000)</f>
        <v/>
      </c>
      <c r="H857">
        <f>IF(G857="","",IF(COUNTIFS('Care log'!$C$6:$C$1505,C857,'Care log'!$D$6:$D$1505,D857,'Care log'!$G$6:$G$1505,"&gt;"&amp;G857)=0,1,0))</f>
        <v/>
      </c>
    </row>
    <row r="858">
      <c r="A858" s="1" t="n"/>
      <c r="B858" s="20" t="n"/>
      <c r="C858" s="17" t="n"/>
      <c r="D858" s="18" t="n"/>
      <c r="E858" s="18" t="n"/>
      <c r="F858" s="1" t="n"/>
      <c r="G858">
        <f>IF(OR(B858="",C858="",D858=""),"",B858+ROW()/10000000)</f>
        <v/>
      </c>
      <c r="H858">
        <f>IF(G858="","",IF(COUNTIFS('Care log'!$C$6:$C$1505,C858,'Care log'!$D$6:$D$1505,D858,'Care log'!$G$6:$G$1505,"&gt;"&amp;G858)=0,1,0))</f>
        <v/>
      </c>
    </row>
    <row r="859">
      <c r="A859" s="1" t="n"/>
      <c r="B859" s="20" t="n"/>
      <c r="C859" s="17" t="n"/>
      <c r="D859" s="18" t="n"/>
      <c r="E859" s="18" t="n"/>
      <c r="F859" s="1" t="n"/>
      <c r="G859">
        <f>IF(OR(B859="",C859="",D859=""),"",B859+ROW()/10000000)</f>
        <v/>
      </c>
      <c r="H859">
        <f>IF(G859="","",IF(COUNTIFS('Care log'!$C$6:$C$1505,C859,'Care log'!$D$6:$D$1505,D859,'Care log'!$G$6:$G$1505,"&gt;"&amp;G859)=0,1,0))</f>
        <v/>
      </c>
    </row>
    <row r="860">
      <c r="A860" s="1" t="n"/>
      <c r="B860" s="20" t="n"/>
      <c r="C860" s="17" t="n"/>
      <c r="D860" s="18" t="n"/>
      <c r="E860" s="18" t="n"/>
      <c r="F860" s="1" t="n"/>
      <c r="G860">
        <f>IF(OR(B860="",C860="",D860=""),"",B860+ROW()/10000000)</f>
        <v/>
      </c>
      <c r="H860">
        <f>IF(G860="","",IF(COUNTIFS('Care log'!$C$6:$C$1505,C860,'Care log'!$D$6:$D$1505,D860,'Care log'!$G$6:$G$1505,"&gt;"&amp;G860)=0,1,0))</f>
        <v/>
      </c>
    </row>
    <row r="861">
      <c r="A861" s="1" t="n"/>
      <c r="B861" s="20" t="n"/>
      <c r="C861" s="17" t="n"/>
      <c r="D861" s="18" t="n"/>
      <c r="E861" s="18" t="n"/>
      <c r="F861" s="1" t="n"/>
      <c r="G861">
        <f>IF(OR(B861="",C861="",D861=""),"",B861+ROW()/10000000)</f>
        <v/>
      </c>
      <c r="H861">
        <f>IF(G861="","",IF(COUNTIFS('Care log'!$C$6:$C$1505,C861,'Care log'!$D$6:$D$1505,D861,'Care log'!$G$6:$G$1505,"&gt;"&amp;G861)=0,1,0))</f>
        <v/>
      </c>
    </row>
    <row r="862">
      <c r="A862" s="1" t="n"/>
      <c r="B862" s="20" t="n"/>
      <c r="C862" s="17" t="n"/>
      <c r="D862" s="18" t="n"/>
      <c r="E862" s="18" t="n"/>
      <c r="F862" s="1" t="n"/>
      <c r="G862">
        <f>IF(OR(B862="",C862="",D862=""),"",B862+ROW()/10000000)</f>
        <v/>
      </c>
      <c r="H862">
        <f>IF(G862="","",IF(COUNTIFS('Care log'!$C$6:$C$1505,C862,'Care log'!$D$6:$D$1505,D862,'Care log'!$G$6:$G$1505,"&gt;"&amp;G862)=0,1,0))</f>
        <v/>
      </c>
    </row>
    <row r="863">
      <c r="A863" s="1" t="n"/>
      <c r="B863" s="20" t="n"/>
      <c r="C863" s="17" t="n"/>
      <c r="D863" s="18" t="n"/>
      <c r="E863" s="18" t="n"/>
      <c r="F863" s="1" t="n"/>
      <c r="G863">
        <f>IF(OR(B863="",C863="",D863=""),"",B863+ROW()/10000000)</f>
        <v/>
      </c>
      <c r="H863">
        <f>IF(G863="","",IF(COUNTIFS('Care log'!$C$6:$C$1505,C863,'Care log'!$D$6:$D$1505,D863,'Care log'!$G$6:$G$1505,"&gt;"&amp;G863)=0,1,0))</f>
        <v/>
      </c>
    </row>
    <row r="864">
      <c r="A864" s="1" t="n"/>
      <c r="B864" s="20" t="n"/>
      <c r="C864" s="17" t="n"/>
      <c r="D864" s="18" t="n"/>
      <c r="E864" s="18" t="n"/>
      <c r="F864" s="1" t="n"/>
      <c r="G864">
        <f>IF(OR(B864="",C864="",D864=""),"",B864+ROW()/10000000)</f>
        <v/>
      </c>
      <c r="H864">
        <f>IF(G864="","",IF(COUNTIFS('Care log'!$C$6:$C$1505,C864,'Care log'!$D$6:$D$1505,D864,'Care log'!$G$6:$G$1505,"&gt;"&amp;G864)=0,1,0))</f>
        <v/>
      </c>
    </row>
    <row r="865">
      <c r="A865" s="1" t="n"/>
      <c r="B865" s="20" t="n"/>
      <c r="C865" s="17" t="n"/>
      <c r="D865" s="18" t="n"/>
      <c r="E865" s="18" t="n"/>
      <c r="F865" s="1" t="n"/>
      <c r="G865">
        <f>IF(OR(B865="",C865="",D865=""),"",B865+ROW()/10000000)</f>
        <v/>
      </c>
      <c r="H865">
        <f>IF(G865="","",IF(COUNTIFS('Care log'!$C$6:$C$1505,C865,'Care log'!$D$6:$D$1505,D865,'Care log'!$G$6:$G$1505,"&gt;"&amp;G865)=0,1,0))</f>
        <v/>
      </c>
    </row>
    <row r="866">
      <c r="A866" s="1" t="n"/>
      <c r="B866" s="20" t="n"/>
      <c r="C866" s="17" t="n"/>
      <c r="D866" s="18" t="n"/>
      <c r="E866" s="18" t="n"/>
      <c r="F866" s="1" t="n"/>
      <c r="G866">
        <f>IF(OR(B866="",C866="",D866=""),"",B866+ROW()/10000000)</f>
        <v/>
      </c>
      <c r="H866">
        <f>IF(G866="","",IF(COUNTIFS('Care log'!$C$6:$C$1505,C866,'Care log'!$D$6:$D$1505,D866,'Care log'!$G$6:$G$1505,"&gt;"&amp;G866)=0,1,0))</f>
        <v/>
      </c>
    </row>
    <row r="867">
      <c r="A867" s="1" t="n"/>
      <c r="B867" s="20" t="n"/>
      <c r="C867" s="17" t="n"/>
      <c r="D867" s="18" t="n"/>
      <c r="E867" s="18" t="n"/>
      <c r="F867" s="1" t="n"/>
      <c r="G867">
        <f>IF(OR(B867="",C867="",D867=""),"",B867+ROW()/10000000)</f>
        <v/>
      </c>
      <c r="H867">
        <f>IF(G867="","",IF(COUNTIFS('Care log'!$C$6:$C$1505,C867,'Care log'!$D$6:$D$1505,D867,'Care log'!$G$6:$G$1505,"&gt;"&amp;G867)=0,1,0))</f>
        <v/>
      </c>
    </row>
    <row r="868">
      <c r="A868" s="1" t="n"/>
      <c r="B868" s="20" t="n"/>
      <c r="C868" s="17" t="n"/>
      <c r="D868" s="18" t="n"/>
      <c r="E868" s="18" t="n"/>
      <c r="F868" s="1" t="n"/>
      <c r="G868">
        <f>IF(OR(B868="",C868="",D868=""),"",B868+ROW()/10000000)</f>
        <v/>
      </c>
      <c r="H868">
        <f>IF(G868="","",IF(COUNTIFS('Care log'!$C$6:$C$1505,C868,'Care log'!$D$6:$D$1505,D868,'Care log'!$G$6:$G$1505,"&gt;"&amp;G868)=0,1,0))</f>
        <v/>
      </c>
    </row>
    <row r="869">
      <c r="A869" s="1" t="n"/>
      <c r="B869" s="20" t="n"/>
      <c r="C869" s="17" t="n"/>
      <c r="D869" s="18" t="n"/>
      <c r="E869" s="18" t="n"/>
      <c r="F869" s="1" t="n"/>
      <c r="G869">
        <f>IF(OR(B869="",C869="",D869=""),"",B869+ROW()/10000000)</f>
        <v/>
      </c>
      <c r="H869">
        <f>IF(G869="","",IF(COUNTIFS('Care log'!$C$6:$C$1505,C869,'Care log'!$D$6:$D$1505,D869,'Care log'!$G$6:$G$1505,"&gt;"&amp;G869)=0,1,0))</f>
        <v/>
      </c>
    </row>
    <row r="870">
      <c r="A870" s="1" t="n"/>
      <c r="B870" s="20" t="n"/>
      <c r="C870" s="17" t="n"/>
      <c r="D870" s="18" t="n"/>
      <c r="E870" s="18" t="n"/>
      <c r="F870" s="1" t="n"/>
      <c r="G870">
        <f>IF(OR(B870="",C870="",D870=""),"",B870+ROW()/10000000)</f>
        <v/>
      </c>
      <c r="H870">
        <f>IF(G870="","",IF(COUNTIFS('Care log'!$C$6:$C$1505,C870,'Care log'!$D$6:$D$1505,D870,'Care log'!$G$6:$G$1505,"&gt;"&amp;G870)=0,1,0))</f>
        <v/>
      </c>
    </row>
    <row r="871">
      <c r="A871" s="1" t="n"/>
      <c r="B871" s="20" t="n"/>
      <c r="C871" s="17" t="n"/>
      <c r="D871" s="18" t="n"/>
      <c r="E871" s="18" t="n"/>
      <c r="F871" s="1" t="n"/>
      <c r="G871">
        <f>IF(OR(B871="",C871="",D871=""),"",B871+ROW()/10000000)</f>
        <v/>
      </c>
      <c r="H871">
        <f>IF(G871="","",IF(COUNTIFS('Care log'!$C$6:$C$1505,C871,'Care log'!$D$6:$D$1505,D871,'Care log'!$G$6:$G$1505,"&gt;"&amp;G871)=0,1,0))</f>
        <v/>
      </c>
    </row>
    <row r="872">
      <c r="A872" s="1" t="n"/>
      <c r="B872" s="20" t="n"/>
      <c r="C872" s="17" t="n"/>
      <c r="D872" s="18" t="n"/>
      <c r="E872" s="18" t="n"/>
      <c r="F872" s="1" t="n"/>
      <c r="G872">
        <f>IF(OR(B872="",C872="",D872=""),"",B872+ROW()/10000000)</f>
        <v/>
      </c>
      <c r="H872">
        <f>IF(G872="","",IF(COUNTIFS('Care log'!$C$6:$C$1505,C872,'Care log'!$D$6:$D$1505,D872,'Care log'!$G$6:$G$1505,"&gt;"&amp;G872)=0,1,0))</f>
        <v/>
      </c>
    </row>
    <row r="873">
      <c r="A873" s="1" t="n"/>
      <c r="B873" s="20" t="n"/>
      <c r="C873" s="17" t="n"/>
      <c r="D873" s="18" t="n"/>
      <c r="E873" s="18" t="n"/>
      <c r="F873" s="1" t="n"/>
      <c r="G873">
        <f>IF(OR(B873="",C873="",D873=""),"",B873+ROW()/10000000)</f>
        <v/>
      </c>
      <c r="H873">
        <f>IF(G873="","",IF(COUNTIFS('Care log'!$C$6:$C$1505,C873,'Care log'!$D$6:$D$1505,D873,'Care log'!$G$6:$G$1505,"&gt;"&amp;G873)=0,1,0))</f>
        <v/>
      </c>
    </row>
    <row r="874">
      <c r="A874" s="1" t="n"/>
      <c r="B874" s="20" t="n"/>
      <c r="C874" s="17" t="n"/>
      <c r="D874" s="18" t="n"/>
      <c r="E874" s="18" t="n"/>
      <c r="F874" s="1" t="n"/>
      <c r="G874">
        <f>IF(OR(B874="",C874="",D874=""),"",B874+ROW()/10000000)</f>
        <v/>
      </c>
      <c r="H874">
        <f>IF(G874="","",IF(COUNTIFS('Care log'!$C$6:$C$1505,C874,'Care log'!$D$6:$D$1505,D874,'Care log'!$G$6:$G$1505,"&gt;"&amp;G874)=0,1,0))</f>
        <v/>
      </c>
    </row>
    <row r="875">
      <c r="A875" s="1" t="n"/>
      <c r="B875" s="20" t="n"/>
      <c r="C875" s="17" t="n"/>
      <c r="D875" s="18" t="n"/>
      <c r="E875" s="18" t="n"/>
      <c r="F875" s="1" t="n"/>
      <c r="G875">
        <f>IF(OR(B875="",C875="",D875=""),"",B875+ROW()/10000000)</f>
        <v/>
      </c>
      <c r="H875">
        <f>IF(G875="","",IF(COUNTIFS('Care log'!$C$6:$C$1505,C875,'Care log'!$D$6:$D$1505,D875,'Care log'!$G$6:$G$1505,"&gt;"&amp;G875)=0,1,0))</f>
        <v/>
      </c>
    </row>
    <row r="876">
      <c r="A876" s="1" t="n"/>
      <c r="B876" s="20" t="n"/>
      <c r="C876" s="17" t="n"/>
      <c r="D876" s="18" t="n"/>
      <c r="E876" s="18" t="n"/>
      <c r="F876" s="1" t="n"/>
      <c r="G876">
        <f>IF(OR(B876="",C876="",D876=""),"",B876+ROW()/10000000)</f>
        <v/>
      </c>
      <c r="H876">
        <f>IF(G876="","",IF(COUNTIFS('Care log'!$C$6:$C$1505,C876,'Care log'!$D$6:$D$1505,D876,'Care log'!$G$6:$G$1505,"&gt;"&amp;G876)=0,1,0))</f>
        <v/>
      </c>
    </row>
    <row r="877">
      <c r="A877" s="1" t="n"/>
      <c r="B877" s="20" t="n"/>
      <c r="C877" s="17" t="n"/>
      <c r="D877" s="18" t="n"/>
      <c r="E877" s="18" t="n"/>
      <c r="F877" s="1" t="n"/>
      <c r="G877">
        <f>IF(OR(B877="",C877="",D877=""),"",B877+ROW()/10000000)</f>
        <v/>
      </c>
      <c r="H877">
        <f>IF(G877="","",IF(COUNTIFS('Care log'!$C$6:$C$1505,C877,'Care log'!$D$6:$D$1505,D877,'Care log'!$G$6:$G$1505,"&gt;"&amp;G877)=0,1,0))</f>
        <v/>
      </c>
    </row>
    <row r="878">
      <c r="A878" s="1" t="n"/>
      <c r="B878" s="20" t="n"/>
      <c r="C878" s="17" t="n"/>
      <c r="D878" s="18" t="n"/>
      <c r="E878" s="18" t="n"/>
      <c r="F878" s="1" t="n"/>
      <c r="G878">
        <f>IF(OR(B878="",C878="",D878=""),"",B878+ROW()/10000000)</f>
        <v/>
      </c>
      <c r="H878">
        <f>IF(G878="","",IF(COUNTIFS('Care log'!$C$6:$C$1505,C878,'Care log'!$D$6:$D$1505,D878,'Care log'!$G$6:$G$1505,"&gt;"&amp;G878)=0,1,0))</f>
        <v/>
      </c>
    </row>
    <row r="879">
      <c r="A879" s="1" t="n"/>
      <c r="B879" s="20" t="n"/>
      <c r="C879" s="17" t="n"/>
      <c r="D879" s="18" t="n"/>
      <c r="E879" s="18" t="n"/>
      <c r="F879" s="1" t="n"/>
      <c r="G879">
        <f>IF(OR(B879="",C879="",D879=""),"",B879+ROW()/10000000)</f>
        <v/>
      </c>
      <c r="H879">
        <f>IF(G879="","",IF(COUNTIFS('Care log'!$C$6:$C$1505,C879,'Care log'!$D$6:$D$1505,D879,'Care log'!$G$6:$G$1505,"&gt;"&amp;G879)=0,1,0))</f>
        <v/>
      </c>
    </row>
    <row r="880">
      <c r="A880" s="1" t="n"/>
      <c r="B880" s="20" t="n"/>
      <c r="C880" s="17" t="n"/>
      <c r="D880" s="18" t="n"/>
      <c r="E880" s="18" t="n"/>
      <c r="F880" s="1" t="n"/>
      <c r="G880">
        <f>IF(OR(B880="",C880="",D880=""),"",B880+ROW()/10000000)</f>
        <v/>
      </c>
      <c r="H880">
        <f>IF(G880="","",IF(COUNTIFS('Care log'!$C$6:$C$1505,C880,'Care log'!$D$6:$D$1505,D880,'Care log'!$G$6:$G$1505,"&gt;"&amp;G880)=0,1,0))</f>
        <v/>
      </c>
    </row>
    <row r="881">
      <c r="A881" s="1" t="n"/>
      <c r="B881" s="20" t="n"/>
      <c r="C881" s="17" t="n"/>
      <c r="D881" s="18" t="n"/>
      <c r="E881" s="18" t="n"/>
      <c r="F881" s="1" t="n"/>
      <c r="G881">
        <f>IF(OR(B881="",C881="",D881=""),"",B881+ROW()/10000000)</f>
        <v/>
      </c>
      <c r="H881">
        <f>IF(G881="","",IF(COUNTIFS('Care log'!$C$6:$C$1505,C881,'Care log'!$D$6:$D$1505,D881,'Care log'!$G$6:$G$1505,"&gt;"&amp;G881)=0,1,0))</f>
        <v/>
      </c>
    </row>
    <row r="882">
      <c r="A882" s="1" t="n"/>
      <c r="B882" s="20" t="n"/>
      <c r="C882" s="17" t="n"/>
      <c r="D882" s="18" t="n"/>
      <c r="E882" s="18" t="n"/>
      <c r="F882" s="1" t="n"/>
      <c r="G882">
        <f>IF(OR(B882="",C882="",D882=""),"",B882+ROW()/10000000)</f>
        <v/>
      </c>
      <c r="H882">
        <f>IF(G882="","",IF(COUNTIFS('Care log'!$C$6:$C$1505,C882,'Care log'!$D$6:$D$1505,D882,'Care log'!$G$6:$G$1505,"&gt;"&amp;G882)=0,1,0))</f>
        <v/>
      </c>
    </row>
    <row r="883">
      <c r="A883" s="1" t="n"/>
      <c r="B883" s="20" t="n"/>
      <c r="C883" s="17" t="n"/>
      <c r="D883" s="18" t="n"/>
      <c r="E883" s="18" t="n"/>
      <c r="F883" s="1" t="n"/>
      <c r="G883">
        <f>IF(OR(B883="",C883="",D883=""),"",B883+ROW()/10000000)</f>
        <v/>
      </c>
      <c r="H883">
        <f>IF(G883="","",IF(COUNTIFS('Care log'!$C$6:$C$1505,C883,'Care log'!$D$6:$D$1505,D883,'Care log'!$G$6:$G$1505,"&gt;"&amp;G883)=0,1,0))</f>
        <v/>
      </c>
    </row>
    <row r="884">
      <c r="A884" s="1" t="n"/>
      <c r="B884" s="20" t="n"/>
      <c r="C884" s="17" t="n"/>
      <c r="D884" s="18" t="n"/>
      <c r="E884" s="18" t="n"/>
      <c r="F884" s="1" t="n"/>
      <c r="G884">
        <f>IF(OR(B884="",C884="",D884=""),"",B884+ROW()/10000000)</f>
        <v/>
      </c>
      <c r="H884">
        <f>IF(G884="","",IF(COUNTIFS('Care log'!$C$6:$C$1505,C884,'Care log'!$D$6:$D$1505,D884,'Care log'!$G$6:$G$1505,"&gt;"&amp;G884)=0,1,0))</f>
        <v/>
      </c>
    </row>
    <row r="885">
      <c r="A885" s="1" t="n"/>
      <c r="B885" s="20" t="n"/>
      <c r="C885" s="17" t="n"/>
      <c r="D885" s="18" t="n"/>
      <c r="E885" s="18" t="n"/>
      <c r="F885" s="1" t="n"/>
      <c r="G885">
        <f>IF(OR(B885="",C885="",D885=""),"",B885+ROW()/10000000)</f>
        <v/>
      </c>
      <c r="H885">
        <f>IF(G885="","",IF(COUNTIFS('Care log'!$C$6:$C$1505,C885,'Care log'!$D$6:$D$1505,D885,'Care log'!$G$6:$G$1505,"&gt;"&amp;G885)=0,1,0))</f>
        <v/>
      </c>
    </row>
    <row r="886">
      <c r="A886" s="1" t="n"/>
      <c r="B886" s="20" t="n"/>
      <c r="C886" s="17" t="n"/>
      <c r="D886" s="18" t="n"/>
      <c r="E886" s="18" t="n"/>
      <c r="F886" s="1" t="n"/>
      <c r="G886">
        <f>IF(OR(B886="",C886="",D886=""),"",B886+ROW()/10000000)</f>
        <v/>
      </c>
      <c r="H886">
        <f>IF(G886="","",IF(COUNTIFS('Care log'!$C$6:$C$1505,C886,'Care log'!$D$6:$D$1505,D886,'Care log'!$G$6:$G$1505,"&gt;"&amp;G886)=0,1,0))</f>
        <v/>
      </c>
    </row>
    <row r="887">
      <c r="A887" s="1" t="n"/>
      <c r="B887" s="20" t="n"/>
      <c r="C887" s="17" t="n"/>
      <c r="D887" s="18" t="n"/>
      <c r="E887" s="18" t="n"/>
      <c r="F887" s="1" t="n"/>
      <c r="G887">
        <f>IF(OR(B887="",C887="",D887=""),"",B887+ROW()/10000000)</f>
        <v/>
      </c>
      <c r="H887">
        <f>IF(G887="","",IF(COUNTIFS('Care log'!$C$6:$C$1505,C887,'Care log'!$D$6:$D$1505,D887,'Care log'!$G$6:$G$1505,"&gt;"&amp;G887)=0,1,0))</f>
        <v/>
      </c>
    </row>
    <row r="888">
      <c r="A888" s="1" t="n"/>
      <c r="B888" s="20" t="n"/>
      <c r="C888" s="17" t="n"/>
      <c r="D888" s="18" t="n"/>
      <c r="E888" s="18" t="n"/>
      <c r="F888" s="1" t="n"/>
      <c r="G888">
        <f>IF(OR(B888="",C888="",D888=""),"",B888+ROW()/10000000)</f>
        <v/>
      </c>
      <c r="H888">
        <f>IF(G888="","",IF(COUNTIFS('Care log'!$C$6:$C$1505,C888,'Care log'!$D$6:$D$1505,D888,'Care log'!$G$6:$G$1505,"&gt;"&amp;G888)=0,1,0))</f>
        <v/>
      </c>
    </row>
    <row r="889">
      <c r="A889" s="1" t="n"/>
      <c r="B889" s="20" t="n"/>
      <c r="C889" s="17" t="n"/>
      <c r="D889" s="18" t="n"/>
      <c r="E889" s="18" t="n"/>
      <c r="F889" s="1" t="n"/>
      <c r="G889">
        <f>IF(OR(B889="",C889="",D889=""),"",B889+ROW()/10000000)</f>
        <v/>
      </c>
      <c r="H889">
        <f>IF(G889="","",IF(COUNTIFS('Care log'!$C$6:$C$1505,C889,'Care log'!$D$6:$D$1505,D889,'Care log'!$G$6:$G$1505,"&gt;"&amp;G889)=0,1,0))</f>
        <v/>
      </c>
    </row>
    <row r="890">
      <c r="A890" s="1" t="n"/>
      <c r="B890" s="20" t="n"/>
      <c r="C890" s="17" t="n"/>
      <c r="D890" s="18" t="n"/>
      <c r="E890" s="18" t="n"/>
      <c r="F890" s="1" t="n"/>
      <c r="G890">
        <f>IF(OR(B890="",C890="",D890=""),"",B890+ROW()/10000000)</f>
        <v/>
      </c>
      <c r="H890">
        <f>IF(G890="","",IF(COUNTIFS('Care log'!$C$6:$C$1505,C890,'Care log'!$D$6:$D$1505,D890,'Care log'!$G$6:$G$1505,"&gt;"&amp;G890)=0,1,0))</f>
        <v/>
      </c>
    </row>
    <row r="891">
      <c r="A891" s="1" t="n"/>
      <c r="B891" s="20" t="n"/>
      <c r="C891" s="17" t="n"/>
      <c r="D891" s="18" t="n"/>
      <c r="E891" s="18" t="n"/>
      <c r="F891" s="1" t="n"/>
      <c r="G891">
        <f>IF(OR(B891="",C891="",D891=""),"",B891+ROW()/10000000)</f>
        <v/>
      </c>
      <c r="H891">
        <f>IF(G891="","",IF(COUNTIFS('Care log'!$C$6:$C$1505,C891,'Care log'!$D$6:$D$1505,D891,'Care log'!$G$6:$G$1505,"&gt;"&amp;G891)=0,1,0))</f>
        <v/>
      </c>
    </row>
    <row r="892">
      <c r="A892" s="1" t="n"/>
      <c r="B892" s="20" t="n"/>
      <c r="C892" s="17" t="n"/>
      <c r="D892" s="18" t="n"/>
      <c r="E892" s="18" t="n"/>
      <c r="F892" s="1" t="n"/>
      <c r="G892">
        <f>IF(OR(B892="",C892="",D892=""),"",B892+ROW()/10000000)</f>
        <v/>
      </c>
      <c r="H892">
        <f>IF(G892="","",IF(COUNTIFS('Care log'!$C$6:$C$1505,C892,'Care log'!$D$6:$D$1505,D892,'Care log'!$G$6:$G$1505,"&gt;"&amp;G892)=0,1,0))</f>
        <v/>
      </c>
    </row>
    <row r="893">
      <c r="A893" s="1" t="n"/>
      <c r="B893" s="20" t="n"/>
      <c r="C893" s="17" t="n"/>
      <c r="D893" s="18" t="n"/>
      <c r="E893" s="18" t="n"/>
      <c r="F893" s="1" t="n"/>
      <c r="G893">
        <f>IF(OR(B893="",C893="",D893=""),"",B893+ROW()/10000000)</f>
        <v/>
      </c>
      <c r="H893">
        <f>IF(G893="","",IF(COUNTIFS('Care log'!$C$6:$C$1505,C893,'Care log'!$D$6:$D$1505,D893,'Care log'!$G$6:$G$1505,"&gt;"&amp;G893)=0,1,0))</f>
        <v/>
      </c>
    </row>
    <row r="894">
      <c r="A894" s="1" t="n"/>
      <c r="B894" s="20" t="n"/>
      <c r="C894" s="17" t="n"/>
      <c r="D894" s="18" t="n"/>
      <c r="E894" s="18" t="n"/>
      <c r="F894" s="1" t="n"/>
      <c r="G894">
        <f>IF(OR(B894="",C894="",D894=""),"",B894+ROW()/10000000)</f>
        <v/>
      </c>
      <c r="H894">
        <f>IF(G894="","",IF(COUNTIFS('Care log'!$C$6:$C$1505,C894,'Care log'!$D$6:$D$1505,D894,'Care log'!$G$6:$G$1505,"&gt;"&amp;G894)=0,1,0))</f>
        <v/>
      </c>
    </row>
    <row r="895">
      <c r="A895" s="1" t="n"/>
      <c r="B895" s="20" t="n"/>
      <c r="C895" s="17" t="n"/>
      <c r="D895" s="18" t="n"/>
      <c r="E895" s="18" t="n"/>
      <c r="F895" s="1" t="n"/>
      <c r="G895">
        <f>IF(OR(B895="",C895="",D895=""),"",B895+ROW()/10000000)</f>
        <v/>
      </c>
      <c r="H895">
        <f>IF(G895="","",IF(COUNTIFS('Care log'!$C$6:$C$1505,C895,'Care log'!$D$6:$D$1505,D895,'Care log'!$G$6:$G$1505,"&gt;"&amp;G895)=0,1,0))</f>
        <v/>
      </c>
    </row>
    <row r="896">
      <c r="A896" s="1" t="n"/>
      <c r="B896" s="20" t="n"/>
      <c r="C896" s="17" t="n"/>
      <c r="D896" s="18" t="n"/>
      <c r="E896" s="18" t="n"/>
      <c r="F896" s="1" t="n"/>
      <c r="G896">
        <f>IF(OR(B896="",C896="",D896=""),"",B896+ROW()/10000000)</f>
        <v/>
      </c>
      <c r="H896">
        <f>IF(G896="","",IF(COUNTIFS('Care log'!$C$6:$C$1505,C896,'Care log'!$D$6:$D$1505,D896,'Care log'!$G$6:$G$1505,"&gt;"&amp;G896)=0,1,0))</f>
        <v/>
      </c>
    </row>
    <row r="897">
      <c r="A897" s="1" t="n"/>
      <c r="B897" s="20" t="n"/>
      <c r="C897" s="17" t="n"/>
      <c r="D897" s="18" t="n"/>
      <c r="E897" s="18" t="n"/>
      <c r="F897" s="1" t="n"/>
      <c r="G897">
        <f>IF(OR(B897="",C897="",D897=""),"",B897+ROW()/10000000)</f>
        <v/>
      </c>
      <c r="H897">
        <f>IF(G897="","",IF(COUNTIFS('Care log'!$C$6:$C$1505,C897,'Care log'!$D$6:$D$1505,D897,'Care log'!$G$6:$G$1505,"&gt;"&amp;G897)=0,1,0))</f>
        <v/>
      </c>
    </row>
    <row r="898">
      <c r="A898" s="1" t="n"/>
      <c r="B898" s="20" t="n"/>
      <c r="C898" s="17" t="n"/>
      <c r="D898" s="18" t="n"/>
      <c r="E898" s="18" t="n"/>
      <c r="F898" s="1" t="n"/>
      <c r="G898">
        <f>IF(OR(B898="",C898="",D898=""),"",B898+ROW()/10000000)</f>
        <v/>
      </c>
      <c r="H898">
        <f>IF(G898="","",IF(COUNTIFS('Care log'!$C$6:$C$1505,C898,'Care log'!$D$6:$D$1505,D898,'Care log'!$G$6:$G$1505,"&gt;"&amp;G898)=0,1,0))</f>
        <v/>
      </c>
    </row>
    <row r="899">
      <c r="A899" s="1" t="n"/>
      <c r="B899" s="20" t="n"/>
      <c r="C899" s="17" t="n"/>
      <c r="D899" s="18" t="n"/>
      <c r="E899" s="18" t="n"/>
      <c r="F899" s="1" t="n"/>
      <c r="G899">
        <f>IF(OR(B899="",C899="",D899=""),"",B899+ROW()/10000000)</f>
        <v/>
      </c>
      <c r="H899">
        <f>IF(G899="","",IF(COUNTIFS('Care log'!$C$6:$C$1505,C899,'Care log'!$D$6:$D$1505,D899,'Care log'!$G$6:$G$1505,"&gt;"&amp;G899)=0,1,0))</f>
        <v/>
      </c>
    </row>
    <row r="900">
      <c r="A900" s="1" t="n"/>
      <c r="B900" s="20" t="n"/>
      <c r="C900" s="17" t="n"/>
      <c r="D900" s="18" t="n"/>
      <c r="E900" s="18" t="n"/>
      <c r="F900" s="1" t="n"/>
      <c r="G900">
        <f>IF(OR(B900="",C900="",D900=""),"",B900+ROW()/10000000)</f>
        <v/>
      </c>
      <c r="H900">
        <f>IF(G900="","",IF(COUNTIFS('Care log'!$C$6:$C$1505,C900,'Care log'!$D$6:$D$1505,D900,'Care log'!$G$6:$G$1505,"&gt;"&amp;G900)=0,1,0))</f>
        <v/>
      </c>
    </row>
    <row r="901">
      <c r="A901" s="1" t="n"/>
      <c r="B901" s="20" t="n"/>
      <c r="C901" s="17" t="n"/>
      <c r="D901" s="18" t="n"/>
      <c r="E901" s="18" t="n"/>
      <c r="F901" s="1" t="n"/>
      <c r="G901">
        <f>IF(OR(B901="",C901="",D901=""),"",B901+ROW()/10000000)</f>
        <v/>
      </c>
      <c r="H901">
        <f>IF(G901="","",IF(COUNTIFS('Care log'!$C$6:$C$1505,C901,'Care log'!$D$6:$D$1505,D901,'Care log'!$G$6:$G$1505,"&gt;"&amp;G901)=0,1,0))</f>
        <v/>
      </c>
    </row>
    <row r="902">
      <c r="A902" s="1" t="n"/>
      <c r="B902" s="20" t="n"/>
      <c r="C902" s="17" t="n"/>
      <c r="D902" s="18" t="n"/>
      <c r="E902" s="18" t="n"/>
      <c r="F902" s="1" t="n"/>
      <c r="G902">
        <f>IF(OR(B902="",C902="",D902=""),"",B902+ROW()/10000000)</f>
        <v/>
      </c>
      <c r="H902">
        <f>IF(G902="","",IF(COUNTIFS('Care log'!$C$6:$C$1505,C902,'Care log'!$D$6:$D$1505,D902,'Care log'!$G$6:$G$1505,"&gt;"&amp;G902)=0,1,0))</f>
        <v/>
      </c>
    </row>
    <row r="903">
      <c r="A903" s="1" t="n"/>
      <c r="B903" s="20" t="n"/>
      <c r="C903" s="17" t="n"/>
      <c r="D903" s="18" t="n"/>
      <c r="E903" s="18" t="n"/>
      <c r="F903" s="1" t="n"/>
      <c r="G903">
        <f>IF(OR(B903="",C903="",D903=""),"",B903+ROW()/10000000)</f>
        <v/>
      </c>
      <c r="H903">
        <f>IF(G903="","",IF(COUNTIFS('Care log'!$C$6:$C$1505,C903,'Care log'!$D$6:$D$1505,D903,'Care log'!$G$6:$G$1505,"&gt;"&amp;G903)=0,1,0))</f>
        <v/>
      </c>
    </row>
    <row r="904">
      <c r="A904" s="1" t="n"/>
      <c r="B904" s="20" t="n"/>
      <c r="C904" s="17" t="n"/>
      <c r="D904" s="18" t="n"/>
      <c r="E904" s="18" t="n"/>
      <c r="F904" s="1" t="n"/>
      <c r="G904">
        <f>IF(OR(B904="",C904="",D904=""),"",B904+ROW()/10000000)</f>
        <v/>
      </c>
      <c r="H904">
        <f>IF(G904="","",IF(COUNTIFS('Care log'!$C$6:$C$1505,C904,'Care log'!$D$6:$D$1505,D904,'Care log'!$G$6:$G$1505,"&gt;"&amp;G904)=0,1,0))</f>
        <v/>
      </c>
    </row>
    <row r="905">
      <c r="A905" s="1" t="n"/>
      <c r="B905" s="20" t="n"/>
      <c r="C905" s="17" t="n"/>
      <c r="D905" s="18" t="n"/>
      <c r="E905" s="18" t="n"/>
      <c r="F905" s="1" t="n"/>
      <c r="G905">
        <f>IF(OR(B905="",C905="",D905=""),"",B905+ROW()/10000000)</f>
        <v/>
      </c>
      <c r="H905">
        <f>IF(G905="","",IF(COUNTIFS('Care log'!$C$6:$C$1505,C905,'Care log'!$D$6:$D$1505,D905,'Care log'!$G$6:$G$1505,"&gt;"&amp;G905)=0,1,0))</f>
        <v/>
      </c>
    </row>
    <row r="906">
      <c r="A906" s="1" t="n"/>
      <c r="B906" s="20" t="n"/>
      <c r="C906" s="17" t="n"/>
      <c r="D906" s="18" t="n"/>
      <c r="E906" s="18" t="n"/>
      <c r="F906" s="1" t="n"/>
      <c r="G906">
        <f>IF(OR(B906="",C906="",D906=""),"",B906+ROW()/10000000)</f>
        <v/>
      </c>
      <c r="H906">
        <f>IF(G906="","",IF(COUNTIFS('Care log'!$C$6:$C$1505,C906,'Care log'!$D$6:$D$1505,D906,'Care log'!$G$6:$G$1505,"&gt;"&amp;G906)=0,1,0))</f>
        <v/>
      </c>
    </row>
    <row r="907">
      <c r="A907" s="1" t="n"/>
      <c r="B907" s="20" t="n"/>
      <c r="C907" s="17" t="n"/>
      <c r="D907" s="18" t="n"/>
      <c r="E907" s="18" t="n"/>
      <c r="F907" s="1" t="n"/>
      <c r="G907">
        <f>IF(OR(B907="",C907="",D907=""),"",B907+ROW()/10000000)</f>
        <v/>
      </c>
      <c r="H907">
        <f>IF(G907="","",IF(COUNTIFS('Care log'!$C$6:$C$1505,C907,'Care log'!$D$6:$D$1505,D907,'Care log'!$G$6:$G$1505,"&gt;"&amp;G907)=0,1,0))</f>
        <v/>
      </c>
    </row>
    <row r="908">
      <c r="A908" s="1" t="n"/>
      <c r="B908" s="20" t="n"/>
      <c r="C908" s="17" t="n"/>
      <c r="D908" s="18" t="n"/>
      <c r="E908" s="18" t="n"/>
      <c r="F908" s="1" t="n"/>
      <c r="G908">
        <f>IF(OR(B908="",C908="",D908=""),"",B908+ROW()/10000000)</f>
        <v/>
      </c>
      <c r="H908">
        <f>IF(G908="","",IF(COUNTIFS('Care log'!$C$6:$C$1505,C908,'Care log'!$D$6:$D$1505,D908,'Care log'!$G$6:$G$1505,"&gt;"&amp;G908)=0,1,0))</f>
        <v/>
      </c>
    </row>
    <row r="909">
      <c r="A909" s="1" t="n"/>
      <c r="B909" s="20" t="n"/>
      <c r="C909" s="17" t="n"/>
      <c r="D909" s="18" t="n"/>
      <c r="E909" s="18" t="n"/>
      <c r="F909" s="1" t="n"/>
      <c r="G909">
        <f>IF(OR(B909="",C909="",D909=""),"",B909+ROW()/10000000)</f>
        <v/>
      </c>
      <c r="H909">
        <f>IF(G909="","",IF(COUNTIFS('Care log'!$C$6:$C$1505,C909,'Care log'!$D$6:$D$1505,D909,'Care log'!$G$6:$G$1505,"&gt;"&amp;G909)=0,1,0))</f>
        <v/>
      </c>
    </row>
    <row r="910">
      <c r="A910" s="1" t="n"/>
      <c r="B910" s="20" t="n"/>
      <c r="C910" s="17" t="n"/>
      <c r="D910" s="18" t="n"/>
      <c r="E910" s="18" t="n"/>
      <c r="F910" s="1" t="n"/>
      <c r="G910">
        <f>IF(OR(B910="",C910="",D910=""),"",B910+ROW()/10000000)</f>
        <v/>
      </c>
      <c r="H910">
        <f>IF(G910="","",IF(COUNTIFS('Care log'!$C$6:$C$1505,C910,'Care log'!$D$6:$D$1505,D910,'Care log'!$G$6:$G$1505,"&gt;"&amp;G910)=0,1,0))</f>
        <v/>
      </c>
    </row>
    <row r="911">
      <c r="A911" s="1" t="n"/>
      <c r="B911" s="20" t="n"/>
      <c r="C911" s="17" t="n"/>
      <c r="D911" s="18" t="n"/>
      <c r="E911" s="18" t="n"/>
      <c r="F911" s="1" t="n"/>
      <c r="G911">
        <f>IF(OR(B911="",C911="",D911=""),"",B911+ROW()/10000000)</f>
        <v/>
      </c>
      <c r="H911">
        <f>IF(G911="","",IF(COUNTIFS('Care log'!$C$6:$C$1505,C911,'Care log'!$D$6:$D$1505,D911,'Care log'!$G$6:$G$1505,"&gt;"&amp;G911)=0,1,0))</f>
        <v/>
      </c>
    </row>
    <row r="912">
      <c r="A912" s="1" t="n"/>
      <c r="B912" s="20" t="n"/>
      <c r="C912" s="17" t="n"/>
      <c r="D912" s="18" t="n"/>
      <c r="E912" s="18" t="n"/>
      <c r="F912" s="1" t="n"/>
      <c r="G912">
        <f>IF(OR(B912="",C912="",D912=""),"",B912+ROW()/10000000)</f>
        <v/>
      </c>
      <c r="H912">
        <f>IF(G912="","",IF(COUNTIFS('Care log'!$C$6:$C$1505,C912,'Care log'!$D$6:$D$1505,D912,'Care log'!$G$6:$G$1505,"&gt;"&amp;G912)=0,1,0))</f>
        <v/>
      </c>
    </row>
    <row r="913">
      <c r="A913" s="1" t="n"/>
      <c r="B913" s="20" t="n"/>
      <c r="C913" s="17" t="n"/>
      <c r="D913" s="18" t="n"/>
      <c r="E913" s="18" t="n"/>
      <c r="F913" s="1" t="n"/>
      <c r="G913">
        <f>IF(OR(B913="",C913="",D913=""),"",B913+ROW()/10000000)</f>
        <v/>
      </c>
      <c r="H913">
        <f>IF(G913="","",IF(COUNTIFS('Care log'!$C$6:$C$1505,C913,'Care log'!$D$6:$D$1505,D913,'Care log'!$G$6:$G$1505,"&gt;"&amp;G913)=0,1,0))</f>
        <v/>
      </c>
    </row>
    <row r="914">
      <c r="A914" s="1" t="n"/>
      <c r="B914" s="20" t="n"/>
      <c r="C914" s="17" t="n"/>
      <c r="D914" s="18" t="n"/>
      <c r="E914" s="18" t="n"/>
      <c r="F914" s="1" t="n"/>
      <c r="G914">
        <f>IF(OR(B914="",C914="",D914=""),"",B914+ROW()/10000000)</f>
        <v/>
      </c>
      <c r="H914">
        <f>IF(G914="","",IF(COUNTIFS('Care log'!$C$6:$C$1505,C914,'Care log'!$D$6:$D$1505,D914,'Care log'!$G$6:$G$1505,"&gt;"&amp;G914)=0,1,0))</f>
        <v/>
      </c>
    </row>
    <row r="915">
      <c r="A915" s="1" t="n"/>
      <c r="B915" s="20" t="n"/>
      <c r="C915" s="17" t="n"/>
      <c r="D915" s="18" t="n"/>
      <c r="E915" s="18" t="n"/>
      <c r="F915" s="1" t="n"/>
      <c r="G915">
        <f>IF(OR(B915="",C915="",D915=""),"",B915+ROW()/10000000)</f>
        <v/>
      </c>
      <c r="H915">
        <f>IF(G915="","",IF(COUNTIFS('Care log'!$C$6:$C$1505,C915,'Care log'!$D$6:$D$1505,D915,'Care log'!$G$6:$G$1505,"&gt;"&amp;G915)=0,1,0))</f>
        <v/>
      </c>
    </row>
    <row r="916">
      <c r="A916" s="1" t="n"/>
      <c r="B916" s="20" t="n"/>
      <c r="C916" s="17" t="n"/>
      <c r="D916" s="18" t="n"/>
      <c r="E916" s="18" t="n"/>
      <c r="F916" s="1" t="n"/>
      <c r="G916">
        <f>IF(OR(B916="",C916="",D916=""),"",B916+ROW()/10000000)</f>
        <v/>
      </c>
      <c r="H916">
        <f>IF(G916="","",IF(COUNTIFS('Care log'!$C$6:$C$1505,C916,'Care log'!$D$6:$D$1505,D916,'Care log'!$G$6:$G$1505,"&gt;"&amp;G916)=0,1,0))</f>
        <v/>
      </c>
    </row>
    <row r="917">
      <c r="A917" s="1" t="n"/>
      <c r="B917" s="20" t="n"/>
      <c r="C917" s="17" t="n"/>
      <c r="D917" s="18" t="n"/>
      <c r="E917" s="18" t="n"/>
      <c r="F917" s="1" t="n"/>
      <c r="G917">
        <f>IF(OR(B917="",C917="",D917=""),"",B917+ROW()/10000000)</f>
        <v/>
      </c>
      <c r="H917">
        <f>IF(G917="","",IF(COUNTIFS('Care log'!$C$6:$C$1505,C917,'Care log'!$D$6:$D$1505,D917,'Care log'!$G$6:$G$1505,"&gt;"&amp;G917)=0,1,0))</f>
        <v/>
      </c>
    </row>
    <row r="918">
      <c r="A918" s="1" t="n"/>
      <c r="B918" s="20" t="n"/>
      <c r="C918" s="17" t="n"/>
      <c r="D918" s="18" t="n"/>
      <c r="E918" s="18" t="n"/>
      <c r="F918" s="1" t="n"/>
      <c r="G918">
        <f>IF(OR(B918="",C918="",D918=""),"",B918+ROW()/10000000)</f>
        <v/>
      </c>
      <c r="H918">
        <f>IF(G918="","",IF(COUNTIFS('Care log'!$C$6:$C$1505,C918,'Care log'!$D$6:$D$1505,D918,'Care log'!$G$6:$G$1505,"&gt;"&amp;G918)=0,1,0))</f>
        <v/>
      </c>
    </row>
    <row r="919">
      <c r="A919" s="1" t="n"/>
      <c r="B919" s="20" t="n"/>
      <c r="C919" s="17" t="n"/>
      <c r="D919" s="18" t="n"/>
      <c r="E919" s="18" t="n"/>
      <c r="F919" s="1" t="n"/>
      <c r="G919">
        <f>IF(OR(B919="",C919="",D919=""),"",B919+ROW()/10000000)</f>
        <v/>
      </c>
      <c r="H919">
        <f>IF(G919="","",IF(COUNTIFS('Care log'!$C$6:$C$1505,C919,'Care log'!$D$6:$D$1505,D919,'Care log'!$G$6:$G$1505,"&gt;"&amp;G919)=0,1,0))</f>
        <v/>
      </c>
    </row>
    <row r="920">
      <c r="A920" s="1" t="n"/>
      <c r="B920" s="20" t="n"/>
      <c r="C920" s="17" t="n"/>
      <c r="D920" s="18" t="n"/>
      <c r="E920" s="18" t="n"/>
      <c r="F920" s="1" t="n"/>
      <c r="G920">
        <f>IF(OR(B920="",C920="",D920=""),"",B920+ROW()/10000000)</f>
        <v/>
      </c>
      <c r="H920">
        <f>IF(G920="","",IF(COUNTIFS('Care log'!$C$6:$C$1505,C920,'Care log'!$D$6:$D$1505,D920,'Care log'!$G$6:$G$1505,"&gt;"&amp;G920)=0,1,0))</f>
        <v/>
      </c>
    </row>
    <row r="921">
      <c r="A921" s="1" t="n"/>
      <c r="B921" s="20" t="n"/>
      <c r="C921" s="17" t="n"/>
      <c r="D921" s="18" t="n"/>
      <c r="E921" s="18" t="n"/>
      <c r="F921" s="1" t="n"/>
      <c r="G921">
        <f>IF(OR(B921="",C921="",D921=""),"",B921+ROW()/10000000)</f>
        <v/>
      </c>
      <c r="H921">
        <f>IF(G921="","",IF(COUNTIFS('Care log'!$C$6:$C$1505,C921,'Care log'!$D$6:$D$1505,D921,'Care log'!$G$6:$G$1505,"&gt;"&amp;G921)=0,1,0))</f>
        <v/>
      </c>
    </row>
    <row r="922">
      <c r="A922" s="1" t="n"/>
      <c r="B922" s="20" t="n"/>
      <c r="C922" s="17" t="n"/>
      <c r="D922" s="18" t="n"/>
      <c r="E922" s="18" t="n"/>
      <c r="F922" s="1" t="n"/>
      <c r="G922">
        <f>IF(OR(B922="",C922="",D922=""),"",B922+ROW()/10000000)</f>
        <v/>
      </c>
      <c r="H922">
        <f>IF(G922="","",IF(COUNTIFS('Care log'!$C$6:$C$1505,C922,'Care log'!$D$6:$D$1505,D922,'Care log'!$G$6:$G$1505,"&gt;"&amp;G922)=0,1,0))</f>
        <v/>
      </c>
    </row>
    <row r="923">
      <c r="A923" s="1" t="n"/>
      <c r="B923" s="20" t="n"/>
      <c r="C923" s="17" t="n"/>
      <c r="D923" s="18" t="n"/>
      <c r="E923" s="18" t="n"/>
      <c r="F923" s="1" t="n"/>
      <c r="G923">
        <f>IF(OR(B923="",C923="",D923=""),"",B923+ROW()/10000000)</f>
        <v/>
      </c>
      <c r="H923">
        <f>IF(G923="","",IF(COUNTIFS('Care log'!$C$6:$C$1505,C923,'Care log'!$D$6:$D$1505,D923,'Care log'!$G$6:$G$1505,"&gt;"&amp;G923)=0,1,0))</f>
        <v/>
      </c>
    </row>
    <row r="924">
      <c r="A924" s="1" t="n"/>
      <c r="B924" s="20" t="n"/>
      <c r="C924" s="17" t="n"/>
      <c r="D924" s="18" t="n"/>
      <c r="E924" s="18" t="n"/>
      <c r="F924" s="1" t="n"/>
      <c r="G924">
        <f>IF(OR(B924="",C924="",D924=""),"",B924+ROW()/10000000)</f>
        <v/>
      </c>
      <c r="H924">
        <f>IF(G924="","",IF(COUNTIFS('Care log'!$C$6:$C$1505,C924,'Care log'!$D$6:$D$1505,D924,'Care log'!$G$6:$G$1505,"&gt;"&amp;G924)=0,1,0))</f>
        <v/>
      </c>
    </row>
    <row r="925">
      <c r="A925" s="1" t="n"/>
      <c r="B925" s="20" t="n"/>
      <c r="C925" s="17" t="n"/>
      <c r="D925" s="18" t="n"/>
      <c r="E925" s="18" t="n"/>
      <c r="F925" s="1" t="n"/>
      <c r="G925">
        <f>IF(OR(B925="",C925="",D925=""),"",B925+ROW()/10000000)</f>
        <v/>
      </c>
      <c r="H925">
        <f>IF(G925="","",IF(COUNTIFS('Care log'!$C$6:$C$1505,C925,'Care log'!$D$6:$D$1505,D925,'Care log'!$G$6:$G$1505,"&gt;"&amp;G925)=0,1,0))</f>
        <v/>
      </c>
    </row>
    <row r="926">
      <c r="A926" s="1" t="n"/>
      <c r="B926" s="20" t="n"/>
      <c r="C926" s="17" t="n"/>
      <c r="D926" s="18" t="n"/>
      <c r="E926" s="18" t="n"/>
      <c r="F926" s="1" t="n"/>
      <c r="G926">
        <f>IF(OR(B926="",C926="",D926=""),"",B926+ROW()/10000000)</f>
        <v/>
      </c>
      <c r="H926">
        <f>IF(G926="","",IF(COUNTIFS('Care log'!$C$6:$C$1505,C926,'Care log'!$D$6:$D$1505,D926,'Care log'!$G$6:$G$1505,"&gt;"&amp;G926)=0,1,0))</f>
        <v/>
      </c>
    </row>
    <row r="927">
      <c r="A927" s="1" t="n"/>
      <c r="B927" s="20" t="n"/>
      <c r="C927" s="17" t="n"/>
      <c r="D927" s="18" t="n"/>
      <c r="E927" s="18" t="n"/>
      <c r="F927" s="1" t="n"/>
      <c r="G927">
        <f>IF(OR(B927="",C927="",D927=""),"",B927+ROW()/10000000)</f>
        <v/>
      </c>
      <c r="H927">
        <f>IF(G927="","",IF(COUNTIFS('Care log'!$C$6:$C$1505,C927,'Care log'!$D$6:$D$1505,D927,'Care log'!$G$6:$G$1505,"&gt;"&amp;G927)=0,1,0))</f>
        <v/>
      </c>
    </row>
    <row r="928">
      <c r="A928" s="1" t="n"/>
      <c r="B928" s="20" t="n"/>
      <c r="C928" s="17" t="n"/>
      <c r="D928" s="18" t="n"/>
      <c r="E928" s="18" t="n"/>
      <c r="F928" s="1" t="n"/>
      <c r="G928">
        <f>IF(OR(B928="",C928="",D928=""),"",B928+ROW()/10000000)</f>
        <v/>
      </c>
      <c r="H928">
        <f>IF(G928="","",IF(COUNTIFS('Care log'!$C$6:$C$1505,C928,'Care log'!$D$6:$D$1505,D928,'Care log'!$G$6:$G$1505,"&gt;"&amp;G928)=0,1,0))</f>
        <v/>
      </c>
    </row>
    <row r="929">
      <c r="A929" s="1" t="n"/>
      <c r="B929" s="20" t="n"/>
      <c r="C929" s="17" t="n"/>
      <c r="D929" s="18" t="n"/>
      <c r="E929" s="18" t="n"/>
      <c r="F929" s="1" t="n"/>
      <c r="G929">
        <f>IF(OR(B929="",C929="",D929=""),"",B929+ROW()/10000000)</f>
        <v/>
      </c>
      <c r="H929">
        <f>IF(G929="","",IF(COUNTIFS('Care log'!$C$6:$C$1505,C929,'Care log'!$D$6:$D$1505,D929,'Care log'!$G$6:$G$1505,"&gt;"&amp;G929)=0,1,0))</f>
        <v/>
      </c>
    </row>
    <row r="930">
      <c r="A930" s="1" t="n"/>
      <c r="B930" s="20" t="n"/>
      <c r="C930" s="17" t="n"/>
      <c r="D930" s="18" t="n"/>
      <c r="E930" s="18" t="n"/>
      <c r="F930" s="1" t="n"/>
      <c r="G930">
        <f>IF(OR(B930="",C930="",D930=""),"",B930+ROW()/10000000)</f>
        <v/>
      </c>
      <c r="H930">
        <f>IF(G930="","",IF(COUNTIFS('Care log'!$C$6:$C$1505,C930,'Care log'!$D$6:$D$1505,D930,'Care log'!$G$6:$G$1505,"&gt;"&amp;G930)=0,1,0))</f>
        <v/>
      </c>
    </row>
    <row r="931">
      <c r="A931" s="1" t="n"/>
      <c r="B931" s="20" t="n"/>
      <c r="C931" s="17" t="n"/>
      <c r="D931" s="18" t="n"/>
      <c r="E931" s="18" t="n"/>
      <c r="F931" s="1" t="n"/>
      <c r="G931">
        <f>IF(OR(B931="",C931="",D931=""),"",B931+ROW()/10000000)</f>
        <v/>
      </c>
      <c r="H931">
        <f>IF(G931="","",IF(COUNTIFS('Care log'!$C$6:$C$1505,C931,'Care log'!$D$6:$D$1505,D931,'Care log'!$G$6:$G$1505,"&gt;"&amp;G931)=0,1,0))</f>
        <v/>
      </c>
    </row>
    <row r="932">
      <c r="A932" s="1" t="n"/>
      <c r="B932" s="20" t="n"/>
      <c r="C932" s="17" t="n"/>
      <c r="D932" s="18" t="n"/>
      <c r="E932" s="18" t="n"/>
      <c r="F932" s="1" t="n"/>
      <c r="G932">
        <f>IF(OR(B932="",C932="",D932=""),"",B932+ROW()/10000000)</f>
        <v/>
      </c>
      <c r="H932">
        <f>IF(G932="","",IF(COUNTIFS('Care log'!$C$6:$C$1505,C932,'Care log'!$D$6:$D$1505,D932,'Care log'!$G$6:$G$1505,"&gt;"&amp;G932)=0,1,0))</f>
        <v/>
      </c>
    </row>
    <row r="933">
      <c r="A933" s="1" t="n"/>
      <c r="B933" s="20" t="n"/>
      <c r="C933" s="17" t="n"/>
      <c r="D933" s="18" t="n"/>
      <c r="E933" s="18" t="n"/>
      <c r="F933" s="1" t="n"/>
      <c r="G933">
        <f>IF(OR(B933="",C933="",D933=""),"",B933+ROW()/10000000)</f>
        <v/>
      </c>
      <c r="H933">
        <f>IF(G933="","",IF(COUNTIFS('Care log'!$C$6:$C$1505,C933,'Care log'!$D$6:$D$1505,D933,'Care log'!$G$6:$G$1505,"&gt;"&amp;G933)=0,1,0))</f>
        <v/>
      </c>
    </row>
    <row r="934">
      <c r="A934" s="1" t="n"/>
      <c r="B934" s="20" t="n"/>
      <c r="C934" s="17" t="n"/>
      <c r="D934" s="18" t="n"/>
      <c r="E934" s="18" t="n"/>
      <c r="F934" s="1" t="n"/>
      <c r="G934">
        <f>IF(OR(B934="",C934="",D934=""),"",B934+ROW()/10000000)</f>
        <v/>
      </c>
      <c r="H934">
        <f>IF(G934="","",IF(COUNTIFS('Care log'!$C$6:$C$1505,C934,'Care log'!$D$6:$D$1505,D934,'Care log'!$G$6:$G$1505,"&gt;"&amp;G934)=0,1,0))</f>
        <v/>
      </c>
    </row>
    <row r="935">
      <c r="A935" s="1" t="n"/>
      <c r="B935" s="20" t="n"/>
      <c r="C935" s="17" t="n"/>
      <c r="D935" s="18" t="n"/>
      <c r="E935" s="18" t="n"/>
      <c r="F935" s="1" t="n"/>
      <c r="G935">
        <f>IF(OR(B935="",C935="",D935=""),"",B935+ROW()/10000000)</f>
        <v/>
      </c>
      <c r="H935">
        <f>IF(G935="","",IF(COUNTIFS('Care log'!$C$6:$C$1505,C935,'Care log'!$D$6:$D$1505,D935,'Care log'!$G$6:$G$1505,"&gt;"&amp;G935)=0,1,0))</f>
        <v/>
      </c>
    </row>
    <row r="936">
      <c r="A936" s="1" t="n"/>
      <c r="B936" s="20" t="n"/>
      <c r="C936" s="17" t="n"/>
      <c r="D936" s="18" t="n"/>
      <c r="E936" s="18" t="n"/>
      <c r="F936" s="1" t="n"/>
      <c r="G936">
        <f>IF(OR(B936="",C936="",D936=""),"",B936+ROW()/10000000)</f>
        <v/>
      </c>
      <c r="H936">
        <f>IF(G936="","",IF(COUNTIFS('Care log'!$C$6:$C$1505,C936,'Care log'!$D$6:$D$1505,D936,'Care log'!$G$6:$G$1505,"&gt;"&amp;G936)=0,1,0))</f>
        <v/>
      </c>
    </row>
    <row r="937">
      <c r="A937" s="1" t="n"/>
      <c r="B937" s="20" t="n"/>
      <c r="C937" s="17" t="n"/>
      <c r="D937" s="18" t="n"/>
      <c r="E937" s="18" t="n"/>
      <c r="F937" s="1" t="n"/>
      <c r="G937">
        <f>IF(OR(B937="",C937="",D937=""),"",B937+ROW()/10000000)</f>
        <v/>
      </c>
      <c r="H937">
        <f>IF(G937="","",IF(COUNTIFS('Care log'!$C$6:$C$1505,C937,'Care log'!$D$6:$D$1505,D937,'Care log'!$G$6:$G$1505,"&gt;"&amp;G937)=0,1,0))</f>
        <v/>
      </c>
    </row>
    <row r="938">
      <c r="A938" s="1" t="n"/>
      <c r="B938" s="20" t="n"/>
      <c r="C938" s="17" t="n"/>
      <c r="D938" s="18" t="n"/>
      <c r="E938" s="18" t="n"/>
      <c r="F938" s="1" t="n"/>
      <c r="G938">
        <f>IF(OR(B938="",C938="",D938=""),"",B938+ROW()/10000000)</f>
        <v/>
      </c>
      <c r="H938">
        <f>IF(G938="","",IF(COUNTIFS('Care log'!$C$6:$C$1505,C938,'Care log'!$D$6:$D$1505,D938,'Care log'!$G$6:$G$1505,"&gt;"&amp;G938)=0,1,0))</f>
        <v/>
      </c>
    </row>
    <row r="939">
      <c r="A939" s="1" t="n"/>
      <c r="B939" s="20" t="n"/>
      <c r="C939" s="17" t="n"/>
      <c r="D939" s="18" t="n"/>
      <c r="E939" s="18" t="n"/>
      <c r="F939" s="1" t="n"/>
      <c r="G939">
        <f>IF(OR(B939="",C939="",D939=""),"",B939+ROW()/10000000)</f>
        <v/>
      </c>
      <c r="H939">
        <f>IF(G939="","",IF(COUNTIFS('Care log'!$C$6:$C$1505,C939,'Care log'!$D$6:$D$1505,D939,'Care log'!$G$6:$G$1505,"&gt;"&amp;G939)=0,1,0))</f>
        <v/>
      </c>
    </row>
    <row r="940">
      <c r="A940" s="1" t="n"/>
      <c r="B940" s="20" t="n"/>
      <c r="C940" s="17" t="n"/>
      <c r="D940" s="18" t="n"/>
      <c r="E940" s="18" t="n"/>
      <c r="F940" s="1" t="n"/>
      <c r="G940">
        <f>IF(OR(B940="",C940="",D940=""),"",B940+ROW()/10000000)</f>
        <v/>
      </c>
      <c r="H940">
        <f>IF(G940="","",IF(COUNTIFS('Care log'!$C$6:$C$1505,C940,'Care log'!$D$6:$D$1505,D940,'Care log'!$G$6:$G$1505,"&gt;"&amp;G940)=0,1,0))</f>
        <v/>
      </c>
    </row>
    <row r="941">
      <c r="A941" s="1" t="n"/>
      <c r="B941" s="20" t="n"/>
      <c r="C941" s="17" t="n"/>
      <c r="D941" s="18" t="n"/>
      <c r="E941" s="18" t="n"/>
      <c r="F941" s="1" t="n"/>
      <c r="G941">
        <f>IF(OR(B941="",C941="",D941=""),"",B941+ROW()/10000000)</f>
        <v/>
      </c>
      <c r="H941">
        <f>IF(G941="","",IF(COUNTIFS('Care log'!$C$6:$C$1505,C941,'Care log'!$D$6:$D$1505,D941,'Care log'!$G$6:$G$1505,"&gt;"&amp;G941)=0,1,0))</f>
        <v/>
      </c>
    </row>
    <row r="942">
      <c r="A942" s="1" t="n"/>
      <c r="B942" s="20" t="n"/>
      <c r="C942" s="17" t="n"/>
      <c r="D942" s="18" t="n"/>
      <c r="E942" s="18" t="n"/>
      <c r="F942" s="1" t="n"/>
      <c r="G942">
        <f>IF(OR(B942="",C942="",D942=""),"",B942+ROW()/10000000)</f>
        <v/>
      </c>
      <c r="H942">
        <f>IF(G942="","",IF(COUNTIFS('Care log'!$C$6:$C$1505,C942,'Care log'!$D$6:$D$1505,D942,'Care log'!$G$6:$G$1505,"&gt;"&amp;G942)=0,1,0))</f>
        <v/>
      </c>
    </row>
    <row r="943">
      <c r="A943" s="1" t="n"/>
      <c r="B943" s="20" t="n"/>
      <c r="C943" s="17" t="n"/>
      <c r="D943" s="18" t="n"/>
      <c r="E943" s="18" t="n"/>
      <c r="F943" s="1" t="n"/>
      <c r="G943">
        <f>IF(OR(B943="",C943="",D943=""),"",B943+ROW()/10000000)</f>
        <v/>
      </c>
      <c r="H943">
        <f>IF(G943="","",IF(COUNTIFS('Care log'!$C$6:$C$1505,C943,'Care log'!$D$6:$D$1505,D943,'Care log'!$G$6:$G$1505,"&gt;"&amp;G943)=0,1,0))</f>
        <v/>
      </c>
    </row>
    <row r="944">
      <c r="A944" s="1" t="n"/>
      <c r="B944" s="20" t="n"/>
      <c r="C944" s="17" t="n"/>
      <c r="D944" s="18" t="n"/>
      <c r="E944" s="18" t="n"/>
      <c r="F944" s="1" t="n"/>
      <c r="G944">
        <f>IF(OR(B944="",C944="",D944=""),"",B944+ROW()/10000000)</f>
        <v/>
      </c>
      <c r="H944">
        <f>IF(G944="","",IF(COUNTIFS('Care log'!$C$6:$C$1505,C944,'Care log'!$D$6:$D$1505,D944,'Care log'!$G$6:$G$1505,"&gt;"&amp;G944)=0,1,0))</f>
        <v/>
      </c>
    </row>
    <row r="945">
      <c r="A945" s="1" t="n"/>
      <c r="B945" s="20" t="n"/>
      <c r="C945" s="17" t="n"/>
      <c r="D945" s="18" t="n"/>
      <c r="E945" s="18" t="n"/>
      <c r="F945" s="1" t="n"/>
      <c r="G945">
        <f>IF(OR(B945="",C945="",D945=""),"",B945+ROW()/10000000)</f>
        <v/>
      </c>
      <c r="H945">
        <f>IF(G945="","",IF(COUNTIFS('Care log'!$C$6:$C$1505,C945,'Care log'!$D$6:$D$1505,D945,'Care log'!$G$6:$G$1505,"&gt;"&amp;G945)=0,1,0))</f>
        <v/>
      </c>
    </row>
    <row r="946">
      <c r="A946" s="1" t="n"/>
      <c r="B946" s="20" t="n"/>
      <c r="C946" s="17" t="n"/>
      <c r="D946" s="18" t="n"/>
      <c r="E946" s="18" t="n"/>
      <c r="F946" s="1" t="n"/>
      <c r="G946">
        <f>IF(OR(B946="",C946="",D946=""),"",B946+ROW()/10000000)</f>
        <v/>
      </c>
      <c r="H946">
        <f>IF(G946="","",IF(COUNTIFS('Care log'!$C$6:$C$1505,C946,'Care log'!$D$6:$D$1505,D946,'Care log'!$G$6:$G$1505,"&gt;"&amp;G946)=0,1,0))</f>
        <v/>
      </c>
    </row>
    <row r="947">
      <c r="A947" s="1" t="n"/>
      <c r="B947" s="20" t="n"/>
      <c r="C947" s="17" t="n"/>
      <c r="D947" s="18" t="n"/>
      <c r="E947" s="18" t="n"/>
      <c r="F947" s="1" t="n"/>
      <c r="G947">
        <f>IF(OR(B947="",C947="",D947=""),"",B947+ROW()/10000000)</f>
        <v/>
      </c>
      <c r="H947">
        <f>IF(G947="","",IF(COUNTIFS('Care log'!$C$6:$C$1505,C947,'Care log'!$D$6:$D$1505,D947,'Care log'!$G$6:$G$1505,"&gt;"&amp;G947)=0,1,0))</f>
        <v/>
      </c>
    </row>
    <row r="948">
      <c r="A948" s="1" t="n"/>
      <c r="B948" s="20" t="n"/>
      <c r="C948" s="17" t="n"/>
      <c r="D948" s="18" t="n"/>
      <c r="E948" s="18" t="n"/>
      <c r="F948" s="1" t="n"/>
      <c r="G948">
        <f>IF(OR(B948="",C948="",D948=""),"",B948+ROW()/10000000)</f>
        <v/>
      </c>
      <c r="H948">
        <f>IF(G948="","",IF(COUNTIFS('Care log'!$C$6:$C$1505,C948,'Care log'!$D$6:$D$1505,D948,'Care log'!$G$6:$G$1505,"&gt;"&amp;G948)=0,1,0))</f>
        <v/>
      </c>
    </row>
    <row r="949">
      <c r="A949" s="1" t="n"/>
      <c r="B949" s="20" t="n"/>
      <c r="C949" s="17" t="n"/>
      <c r="D949" s="18" t="n"/>
      <c r="E949" s="18" t="n"/>
      <c r="F949" s="1" t="n"/>
      <c r="G949">
        <f>IF(OR(B949="",C949="",D949=""),"",B949+ROW()/10000000)</f>
        <v/>
      </c>
      <c r="H949">
        <f>IF(G949="","",IF(COUNTIFS('Care log'!$C$6:$C$1505,C949,'Care log'!$D$6:$D$1505,D949,'Care log'!$G$6:$G$1505,"&gt;"&amp;G949)=0,1,0))</f>
        <v/>
      </c>
    </row>
    <row r="950">
      <c r="A950" s="1" t="n"/>
      <c r="B950" s="20" t="n"/>
      <c r="C950" s="17" t="n"/>
      <c r="D950" s="18" t="n"/>
      <c r="E950" s="18" t="n"/>
      <c r="F950" s="1" t="n"/>
      <c r="G950">
        <f>IF(OR(B950="",C950="",D950=""),"",B950+ROW()/10000000)</f>
        <v/>
      </c>
      <c r="H950">
        <f>IF(G950="","",IF(COUNTIFS('Care log'!$C$6:$C$1505,C950,'Care log'!$D$6:$D$1505,D950,'Care log'!$G$6:$G$1505,"&gt;"&amp;G950)=0,1,0))</f>
        <v/>
      </c>
    </row>
    <row r="951">
      <c r="A951" s="1" t="n"/>
      <c r="B951" s="20" t="n"/>
      <c r="C951" s="17" t="n"/>
      <c r="D951" s="18" t="n"/>
      <c r="E951" s="18" t="n"/>
      <c r="F951" s="1" t="n"/>
      <c r="G951">
        <f>IF(OR(B951="",C951="",D951=""),"",B951+ROW()/10000000)</f>
        <v/>
      </c>
      <c r="H951">
        <f>IF(G951="","",IF(COUNTIFS('Care log'!$C$6:$C$1505,C951,'Care log'!$D$6:$D$1505,D951,'Care log'!$G$6:$G$1505,"&gt;"&amp;G951)=0,1,0))</f>
        <v/>
      </c>
    </row>
    <row r="952">
      <c r="A952" s="1" t="n"/>
      <c r="B952" s="20" t="n"/>
      <c r="C952" s="17" t="n"/>
      <c r="D952" s="18" t="n"/>
      <c r="E952" s="18" t="n"/>
      <c r="F952" s="1" t="n"/>
      <c r="G952">
        <f>IF(OR(B952="",C952="",D952=""),"",B952+ROW()/10000000)</f>
        <v/>
      </c>
      <c r="H952">
        <f>IF(G952="","",IF(COUNTIFS('Care log'!$C$6:$C$1505,C952,'Care log'!$D$6:$D$1505,D952,'Care log'!$G$6:$G$1505,"&gt;"&amp;G952)=0,1,0))</f>
        <v/>
      </c>
    </row>
    <row r="953">
      <c r="A953" s="1" t="n"/>
      <c r="B953" s="20" t="n"/>
      <c r="C953" s="17" t="n"/>
      <c r="D953" s="18" t="n"/>
      <c r="E953" s="18" t="n"/>
      <c r="F953" s="1" t="n"/>
      <c r="G953">
        <f>IF(OR(B953="",C953="",D953=""),"",B953+ROW()/10000000)</f>
        <v/>
      </c>
      <c r="H953">
        <f>IF(G953="","",IF(COUNTIFS('Care log'!$C$6:$C$1505,C953,'Care log'!$D$6:$D$1505,D953,'Care log'!$G$6:$G$1505,"&gt;"&amp;G953)=0,1,0))</f>
        <v/>
      </c>
    </row>
    <row r="954">
      <c r="A954" s="1" t="n"/>
      <c r="B954" s="20" t="n"/>
      <c r="C954" s="17" t="n"/>
      <c r="D954" s="18" t="n"/>
      <c r="E954" s="18" t="n"/>
      <c r="F954" s="1" t="n"/>
      <c r="G954">
        <f>IF(OR(B954="",C954="",D954=""),"",B954+ROW()/10000000)</f>
        <v/>
      </c>
      <c r="H954">
        <f>IF(G954="","",IF(COUNTIFS('Care log'!$C$6:$C$1505,C954,'Care log'!$D$6:$D$1505,D954,'Care log'!$G$6:$G$1505,"&gt;"&amp;G954)=0,1,0))</f>
        <v/>
      </c>
    </row>
    <row r="955">
      <c r="A955" s="1" t="n"/>
      <c r="B955" s="20" t="n"/>
      <c r="C955" s="17" t="n"/>
      <c r="D955" s="18" t="n"/>
      <c r="E955" s="18" t="n"/>
      <c r="F955" s="1" t="n"/>
      <c r="G955">
        <f>IF(OR(B955="",C955="",D955=""),"",B955+ROW()/10000000)</f>
        <v/>
      </c>
      <c r="H955">
        <f>IF(G955="","",IF(COUNTIFS('Care log'!$C$6:$C$1505,C955,'Care log'!$D$6:$D$1505,D955,'Care log'!$G$6:$G$1505,"&gt;"&amp;G955)=0,1,0))</f>
        <v/>
      </c>
    </row>
    <row r="956">
      <c r="A956" s="1" t="n"/>
      <c r="B956" s="20" t="n"/>
      <c r="C956" s="17" t="n"/>
      <c r="D956" s="18" t="n"/>
      <c r="E956" s="18" t="n"/>
      <c r="F956" s="1" t="n"/>
      <c r="G956">
        <f>IF(OR(B956="",C956="",D956=""),"",B956+ROW()/10000000)</f>
        <v/>
      </c>
      <c r="H956">
        <f>IF(G956="","",IF(COUNTIFS('Care log'!$C$6:$C$1505,C956,'Care log'!$D$6:$D$1505,D956,'Care log'!$G$6:$G$1505,"&gt;"&amp;G956)=0,1,0))</f>
        <v/>
      </c>
    </row>
    <row r="957">
      <c r="A957" s="1" t="n"/>
      <c r="B957" s="20" t="n"/>
      <c r="C957" s="17" t="n"/>
      <c r="D957" s="18" t="n"/>
      <c r="E957" s="18" t="n"/>
      <c r="F957" s="1" t="n"/>
      <c r="G957">
        <f>IF(OR(B957="",C957="",D957=""),"",B957+ROW()/10000000)</f>
        <v/>
      </c>
      <c r="H957">
        <f>IF(G957="","",IF(COUNTIFS('Care log'!$C$6:$C$1505,C957,'Care log'!$D$6:$D$1505,D957,'Care log'!$G$6:$G$1505,"&gt;"&amp;G957)=0,1,0))</f>
        <v/>
      </c>
    </row>
    <row r="958">
      <c r="A958" s="1" t="n"/>
      <c r="B958" s="20" t="n"/>
      <c r="C958" s="17" t="n"/>
      <c r="D958" s="18" t="n"/>
      <c r="E958" s="18" t="n"/>
      <c r="F958" s="1" t="n"/>
      <c r="G958">
        <f>IF(OR(B958="",C958="",D958=""),"",B958+ROW()/10000000)</f>
        <v/>
      </c>
      <c r="H958">
        <f>IF(G958="","",IF(COUNTIFS('Care log'!$C$6:$C$1505,C958,'Care log'!$D$6:$D$1505,D958,'Care log'!$G$6:$G$1505,"&gt;"&amp;G958)=0,1,0))</f>
        <v/>
      </c>
    </row>
    <row r="959">
      <c r="A959" s="1" t="n"/>
      <c r="B959" s="20" t="n"/>
      <c r="C959" s="17" t="n"/>
      <c r="D959" s="18" t="n"/>
      <c r="E959" s="18" t="n"/>
      <c r="F959" s="1" t="n"/>
      <c r="G959">
        <f>IF(OR(B959="",C959="",D959=""),"",B959+ROW()/10000000)</f>
        <v/>
      </c>
      <c r="H959">
        <f>IF(G959="","",IF(COUNTIFS('Care log'!$C$6:$C$1505,C959,'Care log'!$D$6:$D$1505,D959,'Care log'!$G$6:$G$1505,"&gt;"&amp;G959)=0,1,0))</f>
        <v/>
      </c>
    </row>
    <row r="960">
      <c r="A960" s="1" t="n"/>
      <c r="B960" s="20" t="n"/>
      <c r="C960" s="17" t="n"/>
      <c r="D960" s="18" t="n"/>
      <c r="E960" s="18" t="n"/>
      <c r="F960" s="1" t="n"/>
      <c r="G960">
        <f>IF(OR(B960="",C960="",D960=""),"",B960+ROW()/10000000)</f>
        <v/>
      </c>
      <c r="H960">
        <f>IF(G960="","",IF(COUNTIFS('Care log'!$C$6:$C$1505,C960,'Care log'!$D$6:$D$1505,D960,'Care log'!$G$6:$G$1505,"&gt;"&amp;G960)=0,1,0))</f>
        <v/>
      </c>
    </row>
    <row r="961">
      <c r="A961" s="1" t="n"/>
      <c r="B961" s="20" t="n"/>
      <c r="C961" s="17" t="n"/>
      <c r="D961" s="18" t="n"/>
      <c r="E961" s="18" t="n"/>
      <c r="F961" s="1" t="n"/>
      <c r="G961">
        <f>IF(OR(B961="",C961="",D961=""),"",B961+ROW()/10000000)</f>
        <v/>
      </c>
      <c r="H961">
        <f>IF(G961="","",IF(COUNTIFS('Care log'!$C$6:$C$1505,C961,'Care log'!$D$6:$D$1505,D961,'Care log'!$G$6:$G$1505,"&gt;"&amp;G961)=0,1,0))</f>
        <v/>
      </c>
    </row>
    <row r="962">
      <c r="A962" s="1" t="n"/>
      <c r="B962" s="20" t="n"/>
      <c r="C962" s="17" t="n"/>
      <c r="D962" s="18" t="n"/>
      <c r="E962" s="18" t="n"/>
      <c r="F962" s="1" t="n"/>
      <c r="G962">
        <f>IF(OR(B962="",C962="",D962=""),"",B962+ROW()/10000000)</f>
        <v/>
      </c>
      <c r="H962">
        <f>IF(G962="","",IF(COUNTIFS('Care log'!$C$6:$C$1505,C962,'Care log'!$D$6:$D$1505,D962,'Care log'!$G$6:$G$1505,"&gt;"&amp;G962)=0,1,0))</f>
        <v/>
      </c>
    </row>
    <row r="963">
      <c r="A963" s="1" t="n"/>
      <c r="B963" s="20" t="n"/>
      <c r="C963" s="17" t="n"/>
      <c r="D963" s="18" t="n"/>
      <c r="E963" s="18" t="n"/>
      <c r="F963" s="1" t="n"/>
      <c r="G963">
        <f>IF(OR(B963="",C963="",D963=""),"",B963+ROW()/10000000)</f>
        <v/>
      </c>
      <c r="H963">
        <f>IF(G963="","",IF(COUNTIFS('Care log'!$C$6:$C$1505,C963,'Care log'!$D$6:$D$1505,D963,'Care log'!$G$6:$G$1505,"&gt;"&amp;G963)=0,1,0))</f>
        <v/>
      </c>
    </row>
    <row r="964">
      <c r="A964" s="1" t="n"/>
      <c r="B964" s="20" t="n"/>
      <c r="C964" s="17" t="n"/>
      <c r="D964" s="18" t="n"/>
      <c r="E964" s="18" t="n"/>
      <c r="F964" s="1" t="n"/>
      <c r="G964">
        <f>IF(OR(B964="",C964="",D964=""),"",B964+ROW()/10000000)</f>
        <v/>
      </c>
      <c r="H964">
        <f>IF(G964="","",IF(COUNTIFS('Care log'!$C$6:$C$1505,C964,'Care log'!$D$6:$D$1505,D964,'Care log'!$G$6:$G$1505,"&gt;"&amp;G964)=0,1,0))</f>
        <v/>
      </c>
    </row>
    <row r="965">
      <c r="A965" s="1" t="n"/>
      <c r="B965" s="20" t="n"/>
      <c r="C965" s="17" t="n"/>
      <c r="D965" s="18" t="n"/>
      <c r="E965" s="18" t="n"/>
      <c r="F965" s="1" t="n"/>
      <c r="G965">
        <f>IF(OR(B965="",C965="",D965=""),"",B965+ROW()/10000000)</f>
        <v/>
      </c>
      <c r="H965">
        <f>IF(G965="","",IF(COUNTIFS('Care log'!$C$6:$C$1505,C965,'Care log'!$D$6:$D$1505,D965,'Care log'!$G$6:$G$1505,"&gt;"&amp;G965)=0,1,0))</f>
        <v/>
      </c>
    </row>
    <row r="966">
      <c r="A966" s="1" t="n"/>
      <c r="B966" s="20" t="n"/>
      <c r="C966" s="17" t="n"/>
      <c r="D966" s="18" t="n"/>
      <c r="E966" s="18" t="n"/>
      <c r="F966" s="1" t="n"/>
      <c r="G966">
        <f>IF(OR(B966="",C966="",D966=""),"",B966+ROW()/10000000)</f>
        <v/>
      </c>
      <c r="H966">
        <f>IF(G966="","",IF(COUNTIFS('Care log'!$C$6:$C$1505,C966,'Care log'!$D$6:$D$1505,D966,'Care log'!$G$6:$G$1505,"&gt;"&amp;G966)=0,1,0))</f>
        <v/>
      </c>
    </row>
    <row r="967">
      <c r="A967" s="1" t="n"/>
      <c r="B967" s="20" t="n"/>
      <c r="C967" s="17" t="n"/>
      <c r="D967" s="18" t="n"/>
      <c r="E967" s="18" t="n"/>
      <c r="F967" s="1" t="n"/>
      <c r="G967">
        <f>IF(OR(B967="",C967="",D967=""),"",B967+ROW()/10000000)</f>
        <v/>
      </c>
      <c r="H967">
        <f>IF(G967="","",IF(COUNTIFS('Care log'!$C$6:$C$1505,C967,'Care log'!$D$6:$D$1505,D967,'Care log'!$G$6:$G$1505,"&gt;"&amp;G967)=0,1,0))</f>
        <v/>
      </c>
    </row>
    <row r="968">
      <c r="A968" s="1" t="n"/>
      <c r="B968" s="20" t="n"/>
      <c r="C968" s="17" t="n"/>
      <c r="D968" s="18" t="n"/>
      <c r="E968" s="18" t="n"/>
      <c r="F968" s="1" t="n"/>
      <c r="G968">
        <f>IF(OR(B968="",C968="",D968=""),"",B968+ROW()/10000000)</f>
        <v/>
      </c>
      <c r="H968">
        <f>IF(G968="","",IF(COUNTIFS('Care log'!$C$6:$C$1505,C968,'Care log'!$D$6:$D$1505,D968,'Care log'!$G$6:$G$1505,"&gt;"&amp;G968)=0,1,0))</f>
        <v/>
      </c>
    </row>
    <row r="969">
      <c r="A969" s="1" t="n"/>
      <c r="B969" s="20" t="n"/>
      <c r="C969" s="17" t="n"/>
      <c r="D969" s="18" t="n"/>
      <c r="E969" s="18" t="n"/>
      <c r="F969" s="1" t="n"/>
      <c r="G969">
        <f>IF(OR(B969="",C969="",D969=""),"",B969+ROW()/10000000)</f>
        <v/>
      </c>
      <c r="H969">
        <f>IF(G969="","",IF(COUNTIFS('Care log'!$C$6:$C$1505,C969,'Care log'!$D$6:$D$1505,D969,'Care log'!$G$6:$G$1505,"&gt;"&amp;G969)=0,1,0))</f>
        <v/>
      </c>
    </row>
    <row r="970">
      <c r="A970" s="1" t="n"/>
      <c r="B970" s="20" t="n"/>
      <c r="C970" s="17" t="n"/>
      <c r="D970" s="18" t="n"/>
      <c r="E970" s="18" t="n"/>
      <c r="F970" s="1" t="n"/>
      <c r="G970">
        <f>IF(OR(B970="",C970="",D970=""),"",B970+ROW()/10000000)</f>
        <v/>
      </c>
      <c r="H970">
        <f>IF(G970="","",IF(COUNTIFS('Care log'!$C$6:$C$1505,C970,'Care log'!$D$6:$D$1505,D970,'Care log'!$G$6:$G$1505,"&gt;"&amp;G970)=0,1,0))</f>
        <v/>
      </c>
    </row>
    <row r="971">
      <c r="A971" s="1" t="n"/>
      <c r="B971" s="20" t="n"/>
      <c r="C971" s="17" t="n"/>
      <c r="D971" s="18" t="n"/>
      <c r="E971" s="18" t="n"/>
      <c r="F971" s="1" t="n"/>
      <c r="G971">
        <f>IF(OR(B971="",C971="",D971=""),"",B971+ROW()/10000000)</f>
        <v/>
      </c>
      <c r="H971">
        <f>IF(G971="","",IF(COUNTIFS('Care log'!$C$6:$C$1505,C971,'Care log'!$D$6:$D$1505,D971,'Care log'!$G$6:$G$1505,"&gt;"&amp;G971)=0,1,0))</f>
        <v/>
      </c>
    </row>
    <row r="972">
      <c r="A972" s="1" t="n"/>
      <c r="B972" s="20" t="n"/>
      <c r="C972" s="17" t="n"/>
      <c r="D972" s="18" t="n"/>
      <c r="E972" s="18" t="n"/>
      <c r="F972" s="1" t="n"/>
      <c r="G972">
        <f>IF(OR(B972="",C972="",D972=""),"",B972+ROW()/10000000)</f>
        <v/>
      </c>
      <c r="H972">
        <f>IF(G972="","",IF(COUNTIFS('Care log'!$C$6:$C$1505,C972,'Care log'!$D$6:$D$1505,D972,'Care log'!$G$6:$G$1505,"&gt;"&amp;G972)=0,1,0))</f>
        <v/>
      </c>
    </row>
    <row r="973">
      <c r="A973" s="1" t="n"/>
      <c r="B973" s="20" t="n"/>
      <c r="C973" s="17" t="n"/>
      <c r="D973" s="18" t="n"/>
      <c r="E973" s="18" t="n"/>
      <c r="F973" s="1" t="n"/>
      <c r="G973">
        <f>IF(OR(B973="",C973="",D973=""),"",B973+ROW()/10000000)</f>
        <v/>
      </c>
      <c r="H973">
        <f>IF(G973="","",IF(COUNTIFS('Care log'!$C$6:$C$1505,C973,'Care log'!$D$6:$D$1505,D973,'Care log'!$G$6:$G$1505,"&gt;"&amp;G973)=0,1,0))</f>
        <v/>
      </c>
    </row>
    <row r="974">
      <c r="A974" s="1" t="n"/>
      <c r="B974" s="20" t="n"/>
      <c r="C974" s="17" t="n"/>
      <c r="D974" s="18" t="n"/>
      <c r="E974" s="18" t="n"/>
      <c r="F974" s="1" t="n"/>
      <c r="G974">
        <f>IF(OR(B974="",C974="",D974=""),"",B974+ROW()/10000000)</f>
        <v/>
      </c>
      <c r="H974">
        <f>IF(G974="","",IF(COUNTIFS('Care log'!$C$6:$C$1505,C974,'Care log'!$D$6:$D$1505,D974,'Care log'!$G$6:$G$1505,"&gt;"&amp;G974)=0,1,0))</f>
        <v/>
      </c>
    </row>
    <row r="975">
      <c r="A975" s="1" t="n"/>
      <c r="B975" s="20" t="n"/>
      <c r="C975" s="17" t="n"/>
      <c r="D975" s="18" t="n"/>
      <c r="E975" s="18" t="n"/>
      <c r="F975" s="1" t="n"/>
      <c r="G975">
        <f>IF(OR(B975="",C975="",D975=""),"",B975+ROW()/10000000)</f>
        <v/>
      </c>
      <c r="H975">
        <f>IF(G975="","",IF(COUNTIFS('Care log'!$C$6:$C$1505,C975,'Care log'!$D$6:$D$1505,D975,'Care log'!$G$6:$G$1505,"&gt;"&amp;G975)=0,1,0))</f>
        <v/>
      </c>
    </row>
    <row r="976">
      <c r="A976" s="1" t="n"/>
      <c r="B976" s="20" t="n"/>
      <c r="C976" s="17" t="n"/>
      <c r="D976" s="18" t="n"/>
      <c r="E976" s="18" t="n"/>
      <c r="F976" s="1" t="n"/>
      <c r="G976">
        <f>IF(OR(B976="",C976="",D976=""),"",B976+ROW()/10000000)</f>
        <v/>
      </c>
      <c r="H976">
        <f>IF(G976="","",IF(COUNTIFS('Care log'!$C$6:$C$1505,C976,'Care log'!$D$6:$D$1505,D976,'Care log'!$G$6:$G$1505,"&gt;"&amp;G976)=0,1,0))</f>
        <v/>
      </c>
    </row>
    <row r="977">
      <c r="A977" s="1" t="n"/>
      <c r="B977" s="20" t="n"/>
      <c r="C977" s="17" t="n"/>
      <c r="D977" s="18" t="n"/>
      <c r="E977" s="18" t="n"/>
      <c r="F977" s="1" t="n"/>
      <c r="G977">
        <f>IF(OR(B977="",C977="",D977=""),"",B977+ROW()/10000000)</f>
        <v/>
      </c>
      <c r="H977">
        <f>IF(G977="","",IF(COUNTIFS('Care log'!$C$6:$C$1505,C977,'Care log'!$D$6:$D$1505,D977,'Care log'!$G$6:$G$1505,"&gt;"&amp;G977)=0,1,0))</f>
        <v/>
      </c>
    </row>
    <row r="978">
      <c r="A978" s="1" t="n"/>
      <c r="B978" s="20" t="n"/>
      <c r="C978" s="17" t="n"/>
      <c r="D978" s="18" t="n"/>
      <c r="E978" s="18" t="n"/>
      <c r="F978" s="1" t="n"/>
      <c r="G978">
        <f>IF(OR(B978="",C978="",D978=""),"",B978+ROW()/10000000)</f>
        <v/>
      </c>
      <c r="H978">
        <f>IF(G978="","",IF(COUNTIFS('Care log'!$C$6:$C$1505,C978,'Care log'!$D$6:$D$1505,D978,'Care log'!$G$6:$G$1505,"&gt;"&amp;G978)=0,1,0))</f>
        <v/>
      </c>
    </row>
    <row r="979">
      <c r="A979" s="1" t="n"/>
      <c r="B979" s="20" t="n"/>
      <c r="C979" s="17" t="n"/>
      <c r="D979" s="18" t="n"/>
      <c r="E979" s="18" t="n"/>
      <c r="F979" s="1" t="n"/>
      <c r="G979">
        <f>IF(OR(B979="",C979="",D979=""),"",B979+ROW()/10000000)</f>
        <v/>
      </c>
      <c r="H979">
        <f>IF(G979="","",IF(COUNTIFS('Care log'!$C$6:$C$1505,C979,'Care log'!$D$6:$D$1505,D979,'Care log'!$G$6:$G$1505,"&gt;"&amp;G979)=0,1,0))</f>
        <v/>
      </c>
    </row>
    <row r="980">
      <c r="A980" s="1" t="n"/>
      <c r="B980" s="20" t="n"/>
      <c r="C980" s="17" t="n"/>
      <c r="D980" s="18" t="n"/>
      <c r="E980" s="18" t="n"/>
      <c r="F980" s="1" t="n"/>
      <c r="G980">
        <f>IF(OR(B980="",C980="",D980=""),"",B980+ROW()/10000000)</f>
        <v/>
      </c>
      <c r="H980">
        <f>IF(G980="","",IF(COUNTIFS('Care log'!$C$6:$C$1505,C980,'Care log'!$D$6:$D$1505,D980,'Care log'!$G$6:$G$1505,"&gt;"&amp;G980)=0,1,0))</f>
        <v/>
      </c>
    </row>
    <row r="981">
      <c r="A981" s="1" t="n"/>
      <c r="B981" s="20" t="n"/>
      <c r="C981" s="17" t="n"/>
      <c r="D981" s="18" t="n"/>
      <c r="E981" s="18" t="n"/>
      <c r="F981" s="1" t="n"/>
      <c r="G981">
        <f>IF(OR(B981="",C981="",D981=""),"",B981+ROW()/10000000)</f>
        <v/>
      </c>
      <c r="H981">
        <f>IF(G981="","",IF(COUNTIFS('Care log'!$C$6:$C$1505,C981,'Care log'!$D$6:$D$1505,D981,'Care log'!$G$6:$G$1505,"&gt;"&amp;G981)=0,1,0))</f>
        <v/>
      </c>
    </row>
    <row r="982">
      <c r="A982" s="1" t="n"/>
      <c r="B982" s="20" t="n"/>
      <c r="C982" s="17" t="n"/>
      <c r="D982" s="18" t="n"/>
      <c r="E982" s="18" t="n"/>
      <c r="F982" s="1" t="n"/>
      <c r="G982">
        <f>IF(OR(B982="",C982="",D982=""),"",B982+ROW()/10000000)</f>
        <v/>
      </c>
      <c r="H982">
        <f>IF(G982="","",IF(COUNTIFS('Care log'!$C$6:$C$1505,C982,'Care log'!$D$6:$D$1505,D982,'Care log'!$G$6:$G$1505,"&gt;"&amp;G982)=0,1,0))</f>
        <v/>
      </c>
    </row>
    <row r="983">
      <c r="A983" s="1" t="n"/>
      <c r="B983" s="20" t="n"/>
      <c r="C983" s="17" t="n"/>
      <c r="D983" s="18" t="n"/>
      <c r="E983" s="18" t="n"/>
      <c r="F983" s="1" t="n"/>
      <c r="G983">
        <f>IF(OR(B983="",C983="",D983=""),"",B983+ROW()/10000000)</f>
        <v/>
      </c>
      <c r="H983">
        <f>IF(G983="","",IF(COUNTIFS('Care log'!$C$6:$C$1505,C983,'Care log'!$D$6:$D$1505,D983,'Care log'!$G$6:$G$1505,"&gt;"&amp;G983)=0,1,0))</f>
        <v/>
      </c>
    </row>
    <row r="984">
      <c r="A984" s="1" t="n"/>
      <c r="B984" s="20" t="n"/>
      <c r="C984" s="17" t="n"/>
      <c r="D984" s="18" t="n"/>
      <c r="E984" s="18" t="n"/>
      <c r="F984" s="1" t="n"/>
      <c r="G984">
        <f>IF(OR(B984="",C984="",D984=""),"",B984+ROW()/10000000)</f>
        <v/>
      </c>
      <c r="H984">
        <f>IF(G984="","",IF(COUNTIFS('Care log'!$C$6:$C$1505,C984,'Care log'!$D$6:$D$1505,D984,'Care log'!$G$6:$G$1505,"&gt;"&amp;G984)=0,1,0))</f>
        <v/>
      </c>
    </row>
    <row r="985">
      <c r="A985" s="1" t="n"/>
      <c r="B985" s="20" t="n"/>
      <c r="C985" s="17" t="n"/>
      <c r="D985" s="18" t="n"/>
      <c r="E985" s="18" t="n"/>
      <c r="F985" s="1" t="n"/>
      <c r="G985">
        <f>IF(OR(B985="",C985="",D985=""),"",B985+ROW()/10000000)</f>
        <v/>
      </c>
      <c r="H985">
        <f>IF(G985="","",IF(COUNTIFS('Care log'!$C$6:$C$1505,C985,'Care log'!$D$6:$D$1505,D985,'Care log'!$G$6:$G$1505,"&gt;"&amp;G985)=0,1,0))</f>
        <v/>
      </c>
    </row>
    <row r="986">
      <c r="A986" s="1" t="n"/>
      <c r="B986" s="20" t="n"/>
      <c r="C986" s="17" t="n"/>
      <c r="D986" s="18" t="n"/>
      <c r="E986" s="18" t="n"/>
      <c r="F986" s="1" t="n"/>
      <c r="G986">
        <f>IF(OR(B986="",C986="",D986=""),"",B986+ROW()/10000000)</f>
        <v/>
      </c>
      <c r="H986">
        <f>IF(G986="","",IF(COUNTIFS('Care log'!$C$6:$C$1505,C986,'Care log'!$D$6:$D$1505,D986,'Care log'!$G$6:$G$1505,"&gt;"&amp;G986)=0,1,0))</f>
        <v/>
      </c>
    </row>
    <row r="987">
      <c r="A987" s="1" t="n"/>
      <c r="B987" s="20" t="n"/>
      <c r="C987" s="17" t="n"/>
      <c r="D987" s="18" t="n"/>
      <c r="E987" s="18" t="n"/>
      <c r="F987" s="1" t="n"/>
      <c r="G987">
        <f>IF(OR(B987="",C987="",D987=""),"",B987+ROW()/10000000)</f>
        <v/>
      </c>
      <c r="H987">
        <f>IF(G987="","",IF(COUNTIFS('Care log'!$C$6:$C$1505,C987,'Care log'!$D$6:$D$1505,D987,'Care log'!$G$6:$G$1505,"&gt;"&amp;G987)=0,1,0))</f>
        <v/>
      </c>
    </row>
    <row r="988">
      <c r="A988" s="1" t="n"/>
      <c r="B988" s="20" t="n"/>
      <c r="C988" s="17" t="n"/>
      <c r="D988" s="18" t="n"/>
      <c r="E988" s="18" t="n"/>
      <c r="F988" s="1" t="n"/>
      <c r="G988">
        <f>IF(OR(B988="",C988="",D988=""),"",B988+ROW()/10000000)</f>
        <v/>
      </c>
      <c r="H988">
        <f>IF(G988="","",IF(COUNTIFS('Care log'!$C$6:$C$1505,C988,'Care log'!$D$6:$D$1505,D988,'Care log'!$G$6:$G$1505,"&gt;"&amp;G988)=0,1,0))</f>
        <v/>
      </c>
    </row>
    <row r="989">
      <c r="A989" s="1" t="n"/>
      <c r="B989" s="20" t="n"/>
      <c r="C989" s="17" t="n"/>
      <c r="D989" s="18" t="n"/>
      <c r="E989" s="18" t="n"/>
      <c r="F989" s="1" t="n"/>
      <c r="G989">
        <f>IF(OR(B989="",C989="",D989=""),"",B989+ROW()/10000000)</f>
        <v/>
      </c>
      <c r="H989">
        <f>IF(G989="","",IF(COUNTIFS('Care log'!$C$6:$C$1505,C989,'Care log'!$D$6:$D$1505,D989,'Care log'!$G$6:$G$1505,"&gt;"&amp;G989)=0,1,0))</f>
        <v/>
      </c>
    </row>
    <row r="990">
      <c r="A990" s="1" t="n"/>
      <c r="B990" s="20" t="n"/>
      <c r="C990" s="17" t="n"/>
      <c r="D990" s="18" t="n"/>
      <c r="E990" s="18" t="n"/>
      <c r="F990" s="1" t="n"/>
      <c r="G990">
        <f>IF(OR(B990="",C990="",D990=""),"",B990+ROW()/10000000)</f>
        <v/>
      </c>
      <c r="H990">
        <f>IF(G990="","",IF(COUNTIFS('Care log'!$C$6:$C$1505,C990,'Care log'!$D$6:$D$1505,D990,'Care log'!$G$6:$G$1505,"&gt;"&amp;G990)=0,1,0))</f>
        <v/>
      </c>
    </row>
    <row r="991">
      <c r="A991" s="1" t="n"/>
      <c r="B991" s="20" t="n"/>
      <c r="C991" s="17" t="n"/>
      <c r="D991" s="18" t="n"/>
      <c r="E991" s="18" t="n"/>
      <c r="F991" s="1" t="n"/>
      <c r="G991">
        <f>IF(OR(B991="",C991="",D991=""),"",B991+ROW()/10000000)</f>
        <v/>
      </c>
      <c r="H991">
        <f>IF(G991="","",IF(COUNTIFS('Care log'!$C$6:$C$1505,C991,'Care log'!$D$6:$D$1505,D991,'Care log'!$G$6:$G$1505,"&gt;"&amp;G991)=0,1,0))</f>
        <v/>
      </c>
    </row>
    <row r="992">
      <c r="A992" s="1" t="n"/>
      <c r="B992" s="20" t="n"/>
      <c r="C992" s="17" t="n"/>
      <c r="D992" s="18" t="n"/>
      <c r="E992" s="18" t="n"/>
      <c r="F992" s="1" t="n"/>
      <c r="G992">
        <f>IF(OR(B992="",C992="",D992=""),"",B992+ROW()/10000000)</f>
        <v/>
      </c>
      <c r="H992">
        <f>IF(G992="","",IF(COUNTIFS('Care log'!$C$6:$C$1505,C992,'Care log'!$D$6:$D$1505,D992,'Care log'!$G$6:$G$1505,"&gt;"&amp;G992)=0,1,0))</f>
        <v/>
      </c>
    </row>
    <row r="993">
      <c r="A993" s="1" t="n"/>
      <c r="B993" s="20" t="n"/>
      <c r="C993" s="17" t="n"/>
      <c r="D993" s="18" t="n"/>
      <c r="E993" s="18" t="n"/>
      <c r="F993" s="1" t="n"/>
      <c r="G993">
        <f>IF(OR(B993="",C993="",D993=""),"",B993+ROW()/10000000)</f>
        <v/>
      </c>
      <c r="H993">
        <f>IF(G993="","",IF(COUNTIFS('Care log'!$C$6:$C$1505,C993,'Care log'!$D$6:$D$1505,D993,'Care log'!$G$6:$G$1505,"&gt;"&amp;G993)=0,1,0))</f>
        <v/>
      </c>
    </row>
    <row r="994">
      <c r="A994" s="1" t="n"/>
      <c r="B994" s="20" t="n"/>
      <c r="C994" s="17" t="n"/>
      <c r="D994" s="18" t="n"/>
      <c r="E994" s="18" t="n"/>
      <c r="F994" s="1" t="n"/>
      <c r="G994">
        <f>IF(OR(B994="",C994="",D994=""),"",B994+ROW()/10000000)</f>
        <v/>
      </c>
      <c r="H994">
        <f>IF(G994="","",IF(COUNTIFS('Care log'!$C$6:$C$1505,C994,'Care log'!$D$6:$D$1505,D994,'Care log'!$G$6:$G$1505,"&gt;"&amp;G994)=0,1,0))</f>
        <v/>
      </c>
    </row>
    <row r="995">
      <c r="A995" s="1" t="n"/>
      <c r="B995" s="20" t="n"/>
      <c r="C995" s="17" t="n"/>
      <c r="D995" s="18" t="n"/>
      <c r="E995" s="18" t="n"/>
      <c r="F995" s="1" t="n"/>
      <c r="G995">
        <f>IF(OR(B995="",C995="",D995=""),"",B995+ROW()/10000000)</f>
        <v/>
      </c>
      <c r="H995">
        <f>IF(G995="","",IF(COUNTIFS('Care log'!$C$6:$C$1505,C995,'Care log'!$D$6:$D$1505,D995,'Care log'!$G$6:$G$1505,"&gt;"&amp;G995)=0,1,0))</f>
        <v/>
      </c>
    </row>
    <row r="996">
      <c r="A996" s="1" t="n"/>
      <c r="B996" s="20" t="n"/>
      <c r="C996" s="17" t="n"/>
      <c r="D996" s="18" t="n"/>
      <c r="E996" s="18" t="n"/>
      <c r="F996" s="1" t="n"/>
      <c r="G996">
        <f>IF(OR(B996="",C996="",D996=""),"",B996+ROW()/10000000)</f>
        <v/>
      </c>
      <c r="H996">
        <f>IF(G996="","",IF(COUNTIFS('Care log'!$C$6:$C$1505,C996,'Care log'!$D$6:$D$1505,D996,'Care log'!$G$6:$G$1505,"&gt;"&amp;G996)=0,1,0))</f>
        <v/>
      </c>
    </row>
    <row r="997">
      <c r="A997" s="1" t="n"/>
      <c r="B997" s="20" t="n"/>
      <c r="C997" s="17" t="n"/>
      <c r="D997" s="18" t="n"/>
      <c r="E997" s="18" t="n"/>
      <c r="F997" s="1" t="n"/>
      <c r="G997">
        <f>IF(OR(B997="",C997="",D997=""),"",B997+ROW()/10000000)</f>
        <v/>
      </c>
      <c r="H997">
        <f>IF(G997="","",IF(COUNTIFS('Care log'!$C$6:$C$1505,C997,'Care log'!$D$6:$D$1505,D997,'Care log'!$G$6:$G$1505,"&gt;"&amp;G997)=0,1,0))</f>
        <v/>
      </c>
    </row>
    <row r="998">
      <c r="A998" s="1" t="n"/>
      <c r="B998" s="20" t="n"/>
      <c r="C998" s="17" t="n"/>
      <c r="D998" s="18" t="n"/>
      <c r="E998" s="18" t="n"/>
      <c r="F998" s="1" t="n"/>
      <c r="G998">
        <f>IF(OR(B998="",C998="",D998=""),"",B998+ROW()/10000000)</f>
        <v/>
      </c>
      <c r="H998">
        <f>IF(G998="","",IF(COUNTIFS('Care log'!$C$6:$C$1505,C998,'Care log'!$D$6:$D$1505,D998,'Care log'!$G$6:$G$1505,"&gt;"&amp;G998)=0,1,0))</f>
        <v/>
      </c>
    </row>
    <row r="999">
      <c r="A999" s="1" t="n"/>
      <c r="B999" s="20" t="n"/>
      <c r="C999" s="17" t="n"/>
      <c r="D999" s="18" t="n"/>
      <c r="E999" s="18" t="n"/>
      <c r="F999" s="1" t="n"/>
      <c r="G999">
        <f>IF(OR(B999="",C999="",D999=""),"",B999+ROW()/10000000)</f>
        <v/>
      </c>
      <c r="H999">
        <f>IF(G999="","",IF(COUNTIFS('Care log'!$C$6:$C$1505,C999,'Care log'!$D$6:$D$1505,D999,'Care log'!$G$6:$G$1505,"&gt;"&amp;G999)=0,1,0))</f>
        <v/>
      </c>
    </row>
    <row r="1000">
      <c r="A1000" s="1" t="n"/>
      <c r="B1000" s="20" t="n"/>
      <c r="C1000" s="17" t="n"/>
      <c r="D1000" s="18" t="n"/>
      <c r="E1000" s="18" t="n"/>
      <c r="F1000" s="1" t="n"/>
      <c r="G1000">
        <f>IF(OR(B1000="",C1000="",D1000=""),"",B1000+ROW()/10000000)</f>
        <v/>
      </c>
      <c r="H1000">
        <f>IF(G1000="","",IF(COUNTIFS('Care log'!$C$6:$C$1505,C1000,'Care log'!$D$6:$D$1505,D1000,'Care log'!$G$6:$G$1505,"&gt;"&amp;G1000)=0,1,0))</f>
        <v/>
      </c>
    </row>
    <row r="1001">
      <c r="A1001" s="1" t="n"/>
      <c r="B1001" s="20" t="n"/>
      <c r="C1001" s="17" t="n"/>
      <c r="D1001" s="18" t="n"/>
      <c r="E1001" s="18" t="n"/>
      <c r="F1001" s="1" t="n"/>
      <c r="G1001">
        <f>IF(OR(B1001="",C1001="",D1001=""),"",B1001+ROW()/10000000)</f>
        <v/>
      </c>
      <c r="H1001">
        <f>IF(G1001="","",IF(COUNTIFS('Care log'!$C$6:$C$1505,C1001,'Care log'!$D$6:$D$1505,D1001,'Care log'!$G$6:$G$1505,"&gt;"&amp;G1001)=0,1,0))</f>
        <v/>
      </c>
    </row>
    <row r="1002">
      <c r="A1002" s="1" t="n"/>
      <c r="B1002" s="20" t="n"/>
      <c r="C1002" s="17" t="n"/>
      <c r="D1002" s="18" t="n"/>
      <c r="E1002" s="18" t="n"/>
      <c r="F1002" s="1" t="n"/>
      <c r="G1002">
        <f>IF(OR(B1002="",C1002="",D1002=""),"",B1002+ROW()/10000000)</f>
        <v/>
      </c>
      <c r="H1002">
        <f>IF(G1002="","",IF(COUNTIFS('Care log'!$C$6:$C$1505,C1002,'Care log'!$D$6:$D$1505,D1002,'Care log'!$G$6:$G$1505,"&gt;"&amp;G1002)=0,1,0))</f>
        <v/>
      </c>
    </row>
    <row r="1003">
      <c r="A1003" s="1" t="n"/>
      <c r="B1003" s="20" t="n"/>
      <c r="C1003" s="17" t="n"/>
      <c r="D1003" s="18" t="n"/>
      <c r="E1003" s="18" t="n"/>
      <c r="F1003" s="1" t="n"/>
      <c r="G1003">
        <f>IF(OR(B1003="",C1003="",D1003=""),"",B1003+ROW()/10000000)</f>
        <v/>
      </c>
      <c r="H1003">
        <f>IF(G1003="","",IF(COUNTIFS('Care log'!$C$6:$C$1505,C1003,'Care log'!$D$6:$D$1505,D1003,'Care log'!$G$6:$G$1505,"&gt;"&amp;G1003)=0,1,0))</f>
        <v/>
      </c>
    </row>
    <row r="1004">
      <c r="A1004" s="1" t="n"/>
      <c r="B1004" s="20" t="n"/>
      <c r="C1004" s="17" t="n"/>
      <c r="D1004" s="18" t="n"/>
      <c r="E1004" s="18" t="n"/>
      <c r="F1004" s="1" t="n"/>
      <c r="G1004">
        <f>IF(OR(B1004="",C1004="",D1004=""),"",B1004+ROW()/10000000)</f>
        <v/>
      </c>
      <c r="H1004">
        <f>IF(G1004="","",IF(COUNTIFS('Care log'!$C$6:$C$1505,C1004,'Care log'!$D$6:$D$1505,D1004,'Care log'!$G$6:$G$1505,"&gt;"&amp;G1004)=0,1,0))</f>
        <v/>
      </c>
    </row>
    <row r="1005">
      <c r="A1005" s="1" t="n"/>
      <c r="B1005" s="20" t="n"/>
      <c r="C1005" s="17" t="n"/>
      <c r="D1005" s="18" t="n"/>
      <c r="E1005" s="18" t="n"/>
      <c r="F1005" s="1" t="n"/>
      <c r="G1005">
        <f>IF(OR(B1005="",C1005="",D1005=""),"",B1005+ROW()/10000000)</f>
        <v/>
      </c>
      <c r="H1005">
        <f>IF(G1005="","",IF(COUNTIFS('Care log'!$C$6:$C$1505,C1005,'Care log'!$D$6:$D$1505,D1005,'Care log'!$G$6:$G$1505,"&gt;"&amp;G1005)=0,1,0))</f>
        <v/>
      </c>
    </row>
    <row r="1006">
      <c r="A1006" s="1" t="n"/>
      <c r="B1006" s="20" t="n"/>
      <c r="C1006" s="17" t="n"/>
      <c r="D1006" s="18" t="n"/>
      <c r="E1006" s="18" t="n"/>
      <c r="F1006" s="1" t="n"/>
      <c r="G1006">
        <f>IF(OR(B1006="",C1006="",D1006=""),"",B1006+ROW()/10000000)</f>
        <v/>
      </c>
      <c r="H1006">
        <f>IF(G1006="","",IF(COUNTIFS('Care log'!$C$6:$C$1505,C1006,'Care log'!$D$6:$D$1505,D1006,'Care log'!$G$6:$G$1505,"&gt;"&amp;G1006)=0,1,0))</f>
        <v/>
      </c>
    </row>
    <row r="1007">
      <c r="A1007" s="1" t="n"/>
      <c r="B1007" s="20" t="n"/>
      <c r="C1007" s="17" t="n"/>
      <c r="D1007" s="18" t="n"/>
      <c r="E1007" s="18" t="n"/>
      <c r="F1007" s="1" t="n"/>
      <c r="G1007">
        <f>IF(OR(B1007="",C1007="",D1007=""),"",B1007+ROW()/10000000)</f>
        <v/>
      </c>
      <c r="H1007">
        <f>IF(G1007="","",IF(COUNTIFS('Care log'!$C$6:$C$1505,C1007,'Care log'!$D$6:$D$1505,D1007,'Care log'!$G$6:$G$1505,"&gt;"&amp;G1007)=0,1,0))</f>
        <v/>
      </c>
    </row>
    <row r="1008">
      <c r="A1008" s="1" t="n"/>
      <c r="B1008" s="20" t="n"/>
      <c r="C1008" s="17" t="n"/>
      <c r="D1008" s="18" t="n"/>
      <c r="E1008" s="18" t="n"/>
      <c r="F1008" s="1" t="n"/>
      <c r="G1008">
        <f>IF(OR(B1008="",C1008="",D1008=""),"",B1008+ROW()/10000000)</f>
        <v/>
      </c>
      <c r="H1008">
        <f>IF(G1008="","",IF(COUNTIFS('Care log'!$C$6:$C$1505,C1008,'Care log'!$D$6:$D$1505,D1008,'Care log'!$G$6:$G$1505,"&gt;"&amp;G1008)=0,1,0))</f>
        <v/>
      </c>
    </row>
    <row r="1009">
      <c r="A1009" s="1" t="n"/>
      <c r="B1009" s="20" t="n"/>
      <c r="C1009" s="17" t="n"/>
      <c r="D1009" s="18" t="n"/>
      <c r="E1009" s="18" t="n"/>
      <c r="F1009" s="1" t="n"/>
      <c r="G1009">
        <f>IF(OR(B1009="",C1009="",D1009=""),"",B1009+ROW()/10000000)</f>
        <v/>
      </c>
      <c r="H1009">
        <f>IF(G1009="","",IF(COUNTIFS('Care log'!$C$6:$C$1505,C1009,'Care log'!$D$6:$D$1505,D1009,'Care log'!$G$6:$G$1505,"&gt;"&amp;G1009)=0,1,0))</f>
        <v/>
      </c>
    </row>
    <row r="1010">
      <c r="A1010" s="1" t="n"/>
      <c r="B1010" s="20" t="n"/>
      <c r="C1010" s="17" t="n"/>
      <c r="D1010" s="18" t="n"/>
      <c r="E1010" s="18" t="n"/>
      <c r="F1010" s="1" t="n"/>
      <c r="G1010">
        <f>IF(OR(B1010="",C1010="",D1010=""),"",B1010+ROW()/10000000)</f>
        <v/>
      </c>
      <c r="H1010">
        <f>IF(G1010="","",IF(COUNTIFS('Care log'!$C$6:$C$1505,C1010,'Care log'!$D$6:$D$1505,D1010,'Care log'!$G$6:$G$1505,"&gt;"&amp;G1010)=0,1,0))</f>
        <v/>
      </c>
    </row>
    <row r="1011">
      <c r="A1011" s="1" t="n"/>
      <c r="B1011" s="20" t="n"/>
      <c r="C1011" s="17" t="n"/>
      <c r="D1011" s="18" t="n"/>
      <c r="E1011" s="18" t="n"/>
      <c r="F1011" s="1" t="n"/>
      <c r="G1011">
        <f>IF(OR(B1011="",C1011="",D1011=""),"",B1011+ROW()/10000000)</f>
        <v/>
      </c>
      <c r="H1011">
        <f>IF(G1011="","",IF(COUNTIFS('Care log'!$C$6:$C$1505,C1011,'Care log'!$D$6:$D$1505,D1011,'Care log'!$G$6:$G$1505,"&gt;"&amp;G1011)=0,1,0))</f>
        <v/>
      </c>
    </row>
    <row r="1012">
      <c r="A1012" s="1" t="n"/>
      <c r="B1012" s="20" t="n"/>
      <c r="C1012" s="17" t="n"/>
      <c r="D1012" s="18" t="n"/>
      <c r="E1012" s="18" t="n"/>
      <c r="F1012" s="1" t="n"/>
      <c r="G1012">
        <f>IF(OR(B1012="",C1012="",D1012=""),"",B1012+ROW()/10000000)</f>
        <v/>
      </c>
      <c r="H1012">
        <f>IF(G1012="","",IF(COUNTIFS('Care log'!$C$6:$C$1505,C1012,'Care log'!$D$6:$D$1505,D1012,'Care log'!$G$6:$G$1505,"&gt;"&amp;G1012)=0,1,0))</f>
        <v/>
      </c>
    </row>
    <row r="1013">
      <c r="A1013" s="1" t="n"/>
      <c r="B1013" s="20" t="n"/>
      <c r="C1013" s="17" t="n"/>
      <c r="D1013" s="18" t="n"/>
      <c r="E1013" s="18" t="n"/>
      <c r="F1013" s="1" t="n"/>
      <c r="G1013">
        <f>IF(OR(B1013="",C1013="",D1013=""),"",B1013+ROW()/10000000)</f>
        <v/>
      </c>
      <c r="H1013">
        <f>IF(G1013="","",IF(COUNTIFS('Care log'!$C$6:$C$1505,C1013,'Care log'!$D$6:$D$1505,D1013,'Care log'!$G$6:$G$1505,"&gt;"&amp;G1013)=0,1,0))</f>
        <v/>
      </c>
    </row>
    <row r="1014">
      <c r="A1014" s="1" t="n"/>
      <c r="B1014" s="20" t="n"/>
      <c r="C1014" s="17" t="n"/>
      <c r="D1014" s="18" t="n"/>
      <c r="E1014" s="18" t="n"/>
      <c r="F1014" s="1" t="n"/>
      <c r="G1014">
        <f>IF(OR(B1014="",C1014="",D1014=""),"",B1014+ROW()/10000000)</f>
        <v/>
      </c>
      <c r="H1014">
        <f>IF(G1014="","",IF(COUNTIFS('Care log'!$C$6:$C$1505,C1014,'Care log'!$D$6:$D$1505,D1014,'Care log'!$G$6:$G$1505,"&gt;"&amp;G1014)=0,1,0))</f>
        <v/>
      </c>
    </row>
    <row r="1015">
      <c r="A1015" s="1" t="n"/>
      <c r="B1015" s="20" t="n"/>
      <c r="C1015" s="17" t="n"/>
      <c r="D1015" s="18" t="n"/>
      <c r="E1015" s="18" t="n"/>
      <c r="F1015" s="1" t="n"/>
      <c r="G1015">
        <f>IF(OR(B1015="",C1015="",D1015=""),"",B1015+ROW()/10000000)</f>
        <v/>
      </c>
      <c r="H1015">
        <f>IF(G1015="","",IF(COUNTIFS('Care log'!$C$6:$C$1505,C1015,'Care log'!$D$6:$D$1505,D1015,'Care log'!$G$6:$G$1505,"&gt;"&amp;G1015)=0,1,0))</f>
        <v/>
      </c>
    </row>
    <row r="1016">
      <c r="A1016" s="1" t="n"/>
      <c r="B1016" s="20" t="n"/>
      <c r="C1016" s="17" t="n"/>
      <c r="D1016" s="18" t="n"/>
      <c r="E1016" s="18" t="n"/>
      <c r="F1016" s="1" t="n"/>
      <c r="G1016">
        <f>IF(OR(B1016="",C1016="",D1016=""),"",B1016+ROW()/10000000)</f>
        <v/>
      </c>
      <c r="H1016">
        <f>IF(G1016="","",IF(COUNTIFS('Care log'!$C$6:$C$1505,C1016,'Care log'!$D$6:$D$1505,D1016,'Care log'!$G$6:$G$1505,"&gt;"&amp;G1016)=0,1,0))</f>
        <v/>
      </c>
    </row>
    <row r="1017">
      <c r="A1017" s="1" t="n"/>
      <c r="B1017" s="20" t="n"/>
      <c r="C1017" s="17" t="n"/>
      <c r="D1017" s="18" t="n"/>
      <c r="E1017" s="18" t="n"/>
      <c r="F1017" s="1" t="n"/>
      <c r="G1017">
        <f>IF(OR(B1017="",C1017="",D1017=""),"",B1017+ROW()/10000000)</f>
        <v/>
      </c>
      <c r="H1017">
        <f>IF(G1017="","",IF(COUNTIFS('Care log'!$C$6:$C$1505,C1017,'Care log'!$D$6:$D$1505,D1017,'Care log'!$G$6:$G$1505,"&gt;"&amp;G1017)=0,1,0))</f>
        <v/>
      </c>
    </row>
    <row r="1018">
      <c r="A1018" s="1" t="n"/>
      <c r="B1018" s="20" t="n"/>
      <c r="C1018" s="17" t="n"/>
      <c r="D1018" s="18" t="n"/>
      <c r="E1018" s="18" t="n"/>
      <c r="F1018" s="1" t="n"/>
      <c r="G1018">
        <f>IF(OR(B1018="",C1018="",D1018=""),"",B1018+ROW()/10000000)</f>
        <v/>
      </c>
      <c r="H1018">
        <f>IF(G1018="","",IF(COUNTIFS('Care log'!$C$6:$C$1505,C1018,'Care log'!$D$6:$D$1505,D1018,'Care log'!$G$6:$G$1505,"&gt;"&amp;G1018)=0,1,0))</f>
        <v/>
      </c>
    </row>
    <row r="1019">
      <c r="A1019" s="1" t="n"/>
      <c r="B1019" s="20" t="n"/>
      <c r="C1019" s="17" t="n"/>
      <c r="D1019" s="18" t="n"/>
      <c r="E1019" s="18" t="n"/>
      <c r="F1019" s="1" t="n"/>
      <c r="G1019">
        <f>IF(OR(B1019="",C1019="",D1019=""),"",B1019+ROW()/10000000)</f>
        <v/>
      </c>
      <c r="H1019">
        <f>IF(G1019="","",IF(COUNTIFS('Care log'!$C$6:$C$1505,C1019,'Care log'!$D$6:$D$1505,D1019,'Care log'!$G$6:$G$1505,"&gt;"&amp;G1019)=0,1,0))</f>
        <v/>
      </c>
    </row>
    <row r="1020">
      <c r="A1020" s="1" t="n"/>
      <c r="B1020" s="20" t="n"/>
      <c r="C1020" s="17" t="n"/>
      <c r="D1020" s="18" t="n"/>
      <c r="E1020" s="18" t="n"/>
      <c r="F1020" s="1" t="n"/>
      <c r="G1020">
        <f>IF(OR(B1020="",C1020="",D1020=""),"",B1020+ROW()/10000000)</f>
        <v/>
      </c>
      <c r="H1020">
        <f>IF(G1020="","",IF(COUNTIFS('Care log'!$C$6:$C$1505,C1020,'Care log'!$D$6:$D$1505,D1020,'Care log'!$G$6:$G$1505,"&gt;"&amp;G1020)=0,1,0))</f>
        <v/>
      </c>
    </row>
    <row r="1021">
      <c r="A1021" s="1" t="n"/>
      <c r="B1021" s="20" t="n"/>
      <c r="C1021" s="17" t="n"/>
      <c r="D1021" s="18" t="n"/>
      <c r="E1021" s="18" t="n"/>
      <c r="F1021" s="1" t="n"/>
      <c r="G1021">
        <f>IF(OR(B1021="",C1021="",D1021=""),"",B1021+ROW()/10000000)</f>
        <v/>
      </c>
      <c r="H1021">
        <f>IF(G1021="","",IF(COUNTIFS('Care log'!$C$6:$C$1505,C1021,'Care log'!$D$6:$D$1505,D1021,'Care log'!$G$6:$G$1505,"&gt;"&amp;G1021)=0,1,0))</f>
        <v/>
      </c>
    </row>
    <row r="1022">
      <c r="A1022" s="1" t="n"/>
      <c r="B1022" s="20" t="n"/>
      <c r="C1022" s="17" t="n"/>
      <c r="D1022" s="18" t="n"/>
      <c r="E1022" s="18" t="n"/>
      <c r="F1022" s="1" t="n"/>
      <c r="G1022">
        <f>IF(OR(B1022="",C1022="",D1022=""),"",B1022+ROW()/10000000)</f>
        <v/>
      </c>
      <c r="H1022">
        <f>IF(G1022="","",IF(COUNTIFS('Care log'!$C$6:$C$1505,C1022,'Care log'!$D$6:$D$1505,D1022,'Care log'!$G$6:$G$1505,"&gt;"&amp;G1022)=0,1,0))</f>
        <v/>
      </c>
    </row>
    <row r="1023">
      <c r="A1023" s="1" t="n"/>
      <c r="B1023" s="20" t="n"/>
      <c r="C1023" s="17" t="n"/>
      <c r="D1023" s="18" t="n"/>
      <c r="E1023" s="18" t="n"/>
      <c r="F1023" s="1" t="n"/>
      <c r="G1023">
        <f>IF(OR(B1023="",C1023="",D1023=""),"",B1023+ROW()/10000000)</f>
        <v/>
      </c>
      <c r="H1023">
        <f>IF(G1023="","",IF(COUNTIFS('Care log'!$C$6:$C$1505,C1023,'Care log'!$D$6:$D$1505,D1023,'Care log'!$G$6:$G$1505,"&gt;"&amp;G1023)=0,1,0))</f>
        <v/>
      </c>
    </row>
    <row r="1024">
      <c r="A1024" s="1" t="n"/>
      <c r="B1024" s="20" t="n"/>
      <c r="C1024" s="17" t="n"/>
      <c r="D1024" s="18" t="n"/>
      <c r="E1024" s="18" t="n"/>
      <c r="F1024" s="1" t="n"/>
      <c r="G1024">
        <f>IF(OR(B1024="",C1024="",D1024=""),"",B1024+ROW()/10000000)</f>
        <v/>
      </c>
      <c r="H1024">
        <f>IF(G1024="","",IF(COUNTIFS('Care log'!$C$6:$C$1505,C1024,'Care log'!$D$6:$D$1505,D1024,'Care log'!$G$6:$G$1505,"&gt;"&amp;G1024)=0,1,0))</f>
        <v/>
      </c>
    </row>
    <row r="1025">
      <c r="A1025" s="1" t="n"/>
      <c r="B1025" s="20" t="n"/>
      <c r="C1025" s="17" t="n"/>
      <c r="D1025" s="18" t="n"/>
      <c r="E1025" s="18" t="n"/>
      <c r="F1025" s="1" t="n"/>
      <c r="G1025">
        <f>IF(OR(B1025="",C1025="",D1025=""),"",B1025+ROW()/10000000)</f>
        <v/>
      </c>
      <c r="H1025">
        <f>IF(G1025="","",IF(COUNTIFS('Care log'!$C$6:$C$1505,C1025,'Care log'!$D$6:$D$1505,D1025,'Care log'!$G$6:$G$1505,"&gt;"&amp;G1025)=0,1,0))</f>
        <v/>
      </c>
    </row>
    <row r="1026">
      <c r="A1026" s="1" t="n"/>
      <c r="B1026" s="20" t="n"/>
      <c r="C1026" s="17" t="n"/>
      <c r="D1026" s="18" t="n"/>
      <c r="E1026" s="18" t="n"/>
      <c r="F1026" s="1" t="n"/>
      <c r="G1026">
        <f>IF(OR(B1026="",C1026="",D1026=""),"",B1026+ROW()/10000000)</f>
        <v/>
      </c>
      <c r="H1026">
        <f>IF(G1026="","",IF(COUNTIFS('Care log'!$C$6:$C$1505,C1026,'Care log'!$D$6:$D$1505,D1026,'Care log'!$G$6:$G$1505,"&gt;"&amp;G1026)=0,1,0))</f>
        <v/>
      </c>
    </row>
    <row r="1027">
      <c r="A1027" s="1" t="n"/>
      <c r="B1027" s="20" t="n"/>
      <c r="C1027" s="17" t="n"/>
      <c r="D1027" s="18" t="n"/>
      <c r="E1027" s="18" t="n"/>
      <c r="F1027" s="1" t="n"/>
      <c r="G1027">
        <f>IF(OR(B1027="",C1027="",D1027=""),"",B1027+ROW()/10000000)</f>
        <v/>
      </c>
      <c r="H1027">
        <f>IF(G1027="","",IF(COUNTIFS('Care log'!$C$6:$C$1505,C1027,'Care log'!$D$6:$D$1505,D1027,'Care log'!$G$6:$G$1505,"&gt;"&amp;G1027)=0,1,0))</f>
        <v/>
      </c>
    </row>
    <row r="1028">
      <c r="A1028" s="1" t="n"/>
      <c r="B1028" s="20" t="n"/>
      <c r="C1028" s="17" t="n"/>
      <c r="D1028" s="18" t="n"/>
      <c r="E1028" s="18" t="n"/>
      <c r="F1028" s="1" t="n"/>
      <c r="G1028">
        <f>IF(OR(B1028="",C1028="",D1028=""),"",B1028+ROW()/10000000)</f>
        <v/>
      </c>
      <c r="H1028">
        <f>IF(G1028="","",IF(COUNTIFS('Care log'!$C$6:$C$1505,C1028,'Care log'!$D$6:$D$1505,D1028,'Care log'!$G$6:$G$1505,"&gt;"&amp;G1028)=0,1,0))</f>
        <v/>
      </c>
    </row>
    <row r="1029">
      <c r="A1029" s="1" t="n"/>
      <c r="B1029" s="20" t="n"/>
      <c r="C1029" s="17" t="n"/>
      <c r="D1029" s="18" t="n"/>
      <c r="E1029" s="18" t="n"/>
      <c r="F1029" s="1" t="n"/>
      <c r="G1029">
        <f>IF(OR(B1029="",C1029="",D1029=""),"",B1029+ROW()/10000000)</f>
        <v/>
      </c>
      <c r="H1029">
        <f>IF(G1029="","",IF(COUNTIFS('Care log'!$C$6:$C$1505,C1029,'Care log'!$D$6:$D$1505,D1029,'Care log'!$G$6:$G$1505,"&gt;"&amp;G1029)=0,1,0))</f>
        <v/>
      </c>
    </row>
    <row r="1030">
      <c r="A1030" s="1" t="n"/>
      <c r="B1030" s="20" t="n"/>
      <c r="C1030" s="17" t="n"/>
      <c r="D1030" s="18" t="n"/>
      <c r="E1030" s="18" t="n"/>
      <c r="F1030" s="1" t="n"/>
      <c r="G1030">
        <f>IF(OR(B1030="",C1030="",D1030=""),"",B1030+ROW()/10000000)</f>
        <v/>
      </c>
      <c r="H1030">
        <f>IF(G1030="","",IF(COUNTIFS('Care log'!$C$6:$C$1505,C1030,'Care log'!$D$6:$D$1505,D1030,'Care log'!$G$6:$G$1505,"&gt;"&amp;G1030)=0,1,0))</f>
        <v/>
      </c>
    </row>
    <row r="1031">
      <c r="A1031" s="1" t="n"/>
      <c r="B1031" s="20" t="n"/>
      <c r="C1031" s="17" t="n"/>
      <c r="D1031" s="18" t="n"/>
      <c r="E1031" s="18" t="n"/>
      <c r="F1031" s="1" t="n"/>
      <c r="G1031">
        <f>IF(OR(B1031="",C1031="",D1031=""),"",B1031+ROW()/10000000)</f>
        <v/>
      </c>
      <c r="H1031">
        <f>IF(G1031="","",IF(COUNTIFS('Care log'!$C$6:$C$1505,C1031,'Care log'!$D$6:$D$1505,D1031,'Care log'!$G$6:$G$1505,"&gt;"&amp;G1031)=0,1,0))</f>
        <v/>
      </c>
    </row>
    <row r="1032">
      <c r="A1032" s="1" t="n"/>
      <c r="B1032" s="20" t="n"/>
      <c r="C1032" s="17" t="n"/>
      <c r="D1032" s="18" t="n"/>
      <c r="E1032" s="18" t="n"/>
      <c r="F1032" s="1" t="n"/>
      <c r="G1032">
        <f>IF(OR(B1032="",C1032="",D1032=""),"",B1032+ROW()/10000000)</f>
        <v/>
      </c>
      <c r="H1032">
        <f>IF(G1032="","",IF(COUNTIFS('Care log'!$C$6:$C$1505,C1032,'Care log'!$D$6:$D$1505,D1032,'Care log'!$G$6:$G$1505,"&gt;"&amp;G1032)=0,1,0))</f>
        <v/>
      </c>
    </row>
    <row r="1033">
      <c r="A1033" s="1" t="n"/>
      <c r="B1033" s="20" t="n"/>
      <c r="C1033" s="17" t="n"/>
      <c r="D1033" s="18" t="n"/>
      <c r="E1033" s="18" t="n"/>
      <c r="F1033" s="1" t="n"/>
      <c r="G1033">
        <f>IF(OR(B1033="",C1033="",D1033=""),"",B1033+ROW()/10000000)</f>
        <v/>
      </c>
      <c r="H1033">
        <f>IF(G1033="","",IF(COUNTIFS('Care log'!$C$6:$C$1505,C1033,'Care log'!$D$6:$D$1505,D1033,'Care log'!$G$6:$G$1505,"&gt;"&amp;G1033)=0,1,0))</f>
        <v/>
      </c>
    </row>
    <row r="1034">
      <c r="A1034" s="1" t="n"/>
      <c r="B1034" s="20" t="n"/>
      <c r="C1034" s="17" t="n"/>
      <c r="D1034" s="18" t="n"/>
      <c r="E1034" s="18" t="n"/>
      <c r="F1034" s="1" t="n"/>
      <c r="G1034">
        <f>IF(OR(B1034="",C1034="",D1034=""),"",B1034+ROW()/10000000)</f>
        <v/>
      </c>
      <c r="H1034">
        <f>IF(G1034="","",IF(COUNTIFS('Care log'!$C$6:$C$1505,C1034,'Care log'!$D$6:$D$1505,D1034,'Care log'!$G$6:$G$1505,"&gt;"&amp;G1034)=0,1,0))</f>
        <v/>
      </c>
    </row>
    <row r="1035">
      <c r="A1035" s="1" t="n"/>
      <c r="B1035" s="20" t="n"/>
      <c r="C1035" s="17" t="n"/>
      <c r="D1035" s="18" t="n"/>
      <c r="E1035" s="18" t="n"/>
      <c r="F1035" s="1" t="n"/>
      <c r="G1035">
        <f>IF(OR(B1035="",C1035="",D1035=""),"",B1035+ROW()/10000000)</f>
        <v/>
      </c>
      <c r="H1035">
        <f>IF(G1035="","",IF(COUNTIFS('Care log'!$C$6:$C$1505,C1035,'Care log'!$D$6:$D$1505,D1035,'Care log'!$G$6:$G$1505,"&gt;"&amp;G1035)=0,1,0))</f>
        <v/>
      </c>
    </row>
    <row r="1036">
      <c r="A1036" s="1" t="n"/>
      <c r="B1036" s="20" t="n"/>
      <c r="C1036" s="17" t="n"/>
      <c r="D1036" s="18" t="n"/>
      <c r="E1036" s="18" t="n"/>
      <c r="F1036" s="1" t="n"/>
      <c r="G1036">
        <f>IF(OR(B1036="",C1036="",D1036=""),"",B1036+ROW()/10000000)</f>
        <v/>
      </c>
      <c r="H1036">
        <f>IF(G1036="","",IF(COUNTIFS('Care log'!$C$6:$C$1505,C1036,'Care log'!$D$6:$D$1505,D1036,'Care log'!$G$6:$G$1505,"&gt;"&amp;G1036)=0,1,0))</f>
        <v/>
      </c>
    </row>
    <row r="1037">
      <c r="A1037" s="1" t="n"/>
      <c r="B1037" s="20" t="n"/>
      <c r="C1037" s="17" t="n"/>
      <c r="D1037" s="18" t="n"/>
      <c r="E1037" s="18" t="n"/>
      <c r="F1037" s="1" t="n"/>
      <c r="G1037">
        <f>IF(OR(B1037="",C1037="",D1037=""),"",B1037+ROW()/10000000)</f>
        <v/>
      </c>
      <c r="H1037">
        <f>IF(G1037="","",IF(COUNTIFS('Care log'!$C$6:$C$1505,C1037,'Care log'!$D$6:$D$1505,D1037,'Care log'!$G$6:$G$1505,"&gt;"&amp;G1037)=0,1,0))</f>
        <v/>
      </c>
    </row>
    <row r="1038">
      <c r="A1038" s="1" t="n"/>
      <c r="B1038" s="20" t="n"/>
      <c r="C1038" s="17" t="n"/>
      <c r="D1038" s="18" t="n"/>
      <c r="E1038" s="18" t="n"/>
      <c r="F1038" s="1" t="n"/>
      <c r="G1038">
        <f>IF(OR(B1038="",C1038="",D1038=""),"",B1038+ROW()/10000000)</f>
        <v/>
      </c>
      <c r="H1038">
        <f>IF(G1038="","",IF(COUNTIFS('Care log'!$C$6:$C$1505,C1038,'Care log'!$D$6:$D$1505,D1038,'Care log'!$G$6:$G$1505,"&gt;"&amp;G1038)=0,1,0))</f>
        <v/>
      </c>
    </row>
    <row r="1039">
      <c r="A1039" s="1" t="n"/>
      <c r="B1039" s="20" t="n"/>
      <c r="C1039" s="17" t="n"/>
      <c r="D1039" s="18" t="n"/>
      <c r="E1039" s="18" t="n"/>
      <c r="F1039" s="1" t="n"/>
      <c r="G1039">
        <f>IF(OR(B1039="",C1039="",D1039=""),"",B1039+ROW()/10000000)</f>
        <v/>
      </c>
      <c r="H1039">
        <f>IF(G1039="","",IF(COUNTIFS('Care log'!$C$6:$C$1505,C1039,'Care log'!$D$6:$D$1505,D1039,'Care log'!$G$6:$G$1505,"&gt;"&amp;G1039)=0,1,0))</f>
        <v/>
      </c>
    </row>
    <row r="1040">
      <c r="A1040" s="1" t="n"/>
      <c r="B1040" s="20" t="n"/>
      <c r="C1040" s="17" t="n"/>
      <c r="D1040" s="18" t="n"/>
      <c r="E1040" s="18" t="n"/>
      <c r="F1040" s="1" t="n"/>
      <c r="G1040">
        <f>IF(OR(B1040="",C1040="",D1040=""),"",B1040+ROW()/10000000)</f>
        <v/>
      </c>
      <c r="H1040">
        <f>IF(G1040="","",IF(COUNTIFS('Care log'!$C$6:$C$1505,C1040,'Care log'!$D$6:$D$1505,D1040,'Care log'!$G$6:$G$1505,"&gt;"&amp;G1040)=0,1,0))</f>
        <v/>
      </c>
    </row>
    <row r="1041">
      <c r="A1041" s="1" t="n"/>
      <c r="B1041" s="20" t="n"/>
      <c r="C1041" s="17" t="n"/>
      <c r="D1041" s="18" t="n"/>
      <c r="E1041" s="18" t="n"/>
      <c r="F1041" s="1" t="n"/>
      <c r="G1041">
        <f>IF(OR(B1041="",C1041="",D1041=""),"",B1041+ROW()/10000000)</f>
        <v/>
      </c>
      <c r="H1041">
        <f>IF(G1041="","",IF(COUNTIFS('Care log'!$C$6:$C$1505,C1041,'Care log'!$D$6:$D$1505,D1041,'Care log'!$G$6:$G$1505,"&gt;"&amp;G1041)=0,1,0))</f>
        <v/>
      </c>
    </row>
    <row r="1042">
      <c r="A1042" s="1" t="n"/>
      <c r="B1042" s="20" t="n"/>
      <c r="C1042" s="17" t="n"/>
      <c r="D1042" s="18" t="n"/>
      <c r="E1042" s="18" t="n"/>
      <c r="F1042" s="1" t="n"/>
      <c r="G1042">
        <f>IF(OR(B1042="",C1042="",D1042=""),"",B1042+ROW()/10000000)</f>
        <v/>
      </c>
      <c r="H1042">
        <f>IF(G1042="","",IF(COUNTIFS('Care log'!$C$6:$C$1505,C1042,'Care log'!$D$6:$D$1505,D1042,'Care log'!$G$6:$G$1505,"&gt;"&amp;G1042)=0,1,0))</f>
        <v/>
      </c>
    </row>
    <row r="1043">
      <c r="A1043" s="1" t="n"/>
      <c r="B1043" s="20" t="n"/>
      <c r="C1043" s="17" t="n"/>
      <c r="D1043" s="18" t="n"/>
      <c r="E1043" s="18" t="n"/>
      <c r="F1043" s="1" t="n"/>
      <c r="G1043">
        <f>IF(OR(B1043="",C1043="",D1043=""),"",B1043+ROW()/10000000)</f>
        <v/>
      </c>
      <c r="H1043">
        <f>IF(G1043="","",IF(COUNTIFS('Care log'!$C$6:$C$1505,C1043,'Care log'!$D$6:$D$1505,D1043,'Care log'!$G$6:$G$1505,"&gt;"&amp;G1043)=0,1,0))</f>
        <v/>
      </c>
    </row>
    <row r="1044">
      <c r="A1044" s="1" t="n"/>
      <c r="B1044" s="20" t="n"/>
      <c r="C1044" s="17" t="n"/>
      <c r="D1044" s="18" t="n"/>
      <c r="E1044" s="18" t="n"/>
      <c r="F1044" s="1" t="n"/>
      <c r="G1044">
        <f>IF(OR(B1044="",C1044="",D1044=""),"",B1044+ROW()/10000000)</f>
        <v/>
      </c>
      <c r="H1044">
        <f>IF(G1044="","",IF(COUNTIFS('Care log'!$C$6:$C$1505,C1044,'Care log'!$D$6:$D$1505,D1044,'Care log'!$G$6:$G$1505,"&gt;"&amp;G1044)=0,1,0))</f>
        <v/>
      </c>
    </row>
    <row r="1045">
      <c r="A1045" s="1" t="n"/>
      <c r="B1045" s="20" t="n"/>
      <c r="C1045" s="17" t="n"/>
      <c r="D1045" s="18" t="n"/>
      <c r="E1045" s="18" t="n"/>
      <c r="F1045" s="1" t="n"/>
      <c r="G1045">
        <f>IF(OR(B1045="",C1045="",D1045=""),"",B1045+ROW()/10000000)</f>
        <v/>
      </c>
      <c r="H1045">
        <f>IF(G1045="","",IF(COUNTIFS('Care log'!$C$6:$C$1505,C1045,'Care log'!$D$6:$D$1505,D1045,'Care log'!$G$6:$G$1505,"&gt;"&amp;G1045)=0,1,0))</f>
        <v/>
      </c>
    </row>
    <row r="1046">
      <c r="A1046" s="1" t="n"/>
      <c r="B1046" s="20" t="n"/>
      <c r="C1046" s="17" t="n"/>
      <c r="D1046" s="18" t="n"/>
      <c r="E1046" s="18" t="n"/>
      <c r="F1046" s="1" t="n"/>
      <c r="G1046">
        <f>IF(OR(B1046="",C1046="",D1046=""),"",B1046+ROW()/10000000)</f>
        <v/>
      </c>
      <c r="H1046">
        <f>IF(G1046="","",IF(COUNTIFS('Care log'!$C$6:$C$1505,C1046,'Care log'!$D$6:$D$1505,D1046,'Care log'!$G$6:$G$1505,"&gt;"&amp;G1046)=0,1,0))</f>
        <v/>
      </c>
    </row>
    <row r="1047">
      <c r="A1047" s="1" t="n"/>
      <c r="B1047" s="20" t="n"/>
      <c r="C1047" s="17" t="n"/>
      <c r="D1047" s="18" t="n"/>
      <c r="E1047" s="18" t="n"/>
      <c r="F1047" s="1" t="n"/>
      <c r="G1047">
        <f>IF(OR(B1047="",C1047="",D1047=""),"",B1047+ROW()/10000000)</f>
        <v/>
      </c>
      <c r="H1047">
        <f>IF(G1047="","",IF(COUNTIFS('Care log'!$C$6:$C$1505,C1047,'Care log'!$D$6:$D$1505,D1047,'Care log'!$G$6:$G$1505,"&gt;"&amp;G1047)=0,1,0))</f>
        <v/>
      </c>
    </row>
    <row r="1048">
      <c r="A1048" s="1" t="n"/>
      <c r="B1048" s="20" t="n"/>
      <c r="C1048" s="17" t="n"/>
      <c r="D1048" s="18" t="n"/>
      <c r="E1048" s="18" t="n"/>
      <c r="F1048" s="1" t="n"/>
      <c r="G1048">
        <f>IF(OR(B1048="",C1048="",D1048=""),"",B1048+ROW()/10000000)</f>
        <v/>
      </c>
      <c r="H1048">
        <f>IF(G1048="","",IF(COUNTIFS('Care log'!$C$6:$C$1505,C1048,'Care log'!$D$6:$D$1505,D1048,'Care log'!$G$6:$G$1505,"&gt;"&amp;G1048)=0,1,0))</f>
        <v/>
      </c>
    </row>
    <row r="1049">
      <c r="A1049" s="1" t="n"/>
      <c r="B1049" s="20" t="n"/>
      <c r="C1049" s="17" t="n"/>
      <c r="D1049" s="18" t="n"/>
      <c r="E1049" s="18" t="n"/>
      <c r="F1049" s="1" t="n"/>
      <c r="G1049">
        <f>IF(OR(B1049="",C1049="",D1049=""),"",B1049+ROW()/10000000)</f>
        <v/>
      </c>
      <c r="H1049">
        <f>IF(G1049="","",IF(COUNTIFS('Care log'!$C$6:$C$1505,C1049,'Care log'!$D$6:$D$1505,D1049,'Care log'!$G$6:$G$1505,"&gt;"&amp;G1049)=0,1,0))</f>
        <v/>
      </c>
    </row>
    <row r="1050">
      <c r="A1050" s="1" t="n"/>
      <c r="B1050" s="20" t="n"/>
      <c r="C1050" s="17" t="n"/>
      <c r="D1050" s="18" t="n"/>
      <c r="E1050" s="18" t="n"/>
      <c r="F1050" s="1" t="n"/>
      <c r="G1050">
        <f>IF(OR(B1050="",C1050="",D1050=""),"",B1050+ROW()/10000000)</f>
        <v/>
      </c>
      <c r="H1050">
        <f>IF(G1050="","",IF(COUNTIFS('Care log'!$C$6:$C$1505,C1050,'Care log'!$D$6:$D$1505,D1050,'Care log'!$G$6:$G$1505,"&gt;"&amp;G1050)=0,1,0))</f>
        <v/>
      </c>
    </row>
    <row r="1051">
      <c r="A1051" s="1" t="n"/>
      <c r="B1051" s="20" t="n"/>
      <c r="C1051" s="17" t="n"/>
      <c r="D1051" s="18" t="n"/>
      <c r="E1051" s="18" t="n"/>
      <c r="F1051" s="1" t="n"/>
      <c r="G1051">
        <f>IF(OR(B1051="",C1051="",D1051=""),"",B1051+ROW()/10000000)</f>
        <v/>
      </c>
      <c r="H1051">
        <f>IF(G1051="","",IF(COUNTIFS('Care log'!$C$6:$C$1505,C1051,'Care log'!$D$6:$D$1505,D1051,'Care log'!$G$6:$G$1505,"&gt;"&amp;G1051)=0,1,0))</f>
        <v/>
      </c>
    </row>
    <row r="1052">
      <c r="A1052" s="1" t="n"/>
      <c r="B1052" s="20" t="n"/>
      <c r="C1052" s="17" t="n"/>
      <c r="D1052" s="18" t="n"/>
      <c r="E1052" s="18" t="n"/>
      <c r="F1052" s="1" t="n"/>
      <c r="G1052">
        <f>IF(OR(B1052="",C1052="",D1052=""),"",B1052+ROW()/10000000)</f>
        <v/>
      </c>
      <c r="H1052">
        <f>IF(G1052="","",IF(COUNTIFS('Care log'!$C$6:$C$1505,C1052,'Care log'!$D$6:$D$1505,D1052,'Care log'!$G$6:$G$1505,"&gt;"&amp;G1052)=0,1,0))</f>
        <v/>
      </c>
    </row>
    <row r="1053">
      <c r="A1053" s="1" t="n"/>
      <c r="B1053" s="20" t="n"/>
      <c r="C1053" s="17" t="n"/>
      <c r="D1053" s="18" t="n"/>
      <c r="E1053" s="18" t="n"/>
      <c r="F1053" s="1" t="n"/>
      <c r="G1053">
        <f>IF(OR(B1053="",C1053="",D1053=""),"",B1053+ROW()/10000000)</f>
        <v/>
      </c>
      <c r="H1053">
        <f>IF(G1053="","",IF(COUNTIFS('Care log'!$C$6:$C$1505,C1053,'Care log'!$D$6:$D$1505,D1053,'Care log'!$G$6:$G$1505,"&gt;"&amp;G1053)=0,1,0))</f>
        <v/>
      </c>
    </row>
    <row r="1054">
      <c r="A1054" s="1" t="n"/>
      <c r="B1054" s="20" t="n"/>
      <c r="C1054" s="17" t="n"/>
      <c r="D1054" s="18" t="n"/>
      <c r="E1054" s="18" t="n"/>
      <c r="F1054" s="1" t="n"/>
      <c r="G1054">
        <f>IF(OR(B1054="",C1054="",D1054=""),"",B1054+ROW()/10000000)</f>
        <v/>
      </c>
      <c r="H1054">
        <f>IF(G1054="","",IF(COUNTIFS('Care log'!$C$6:$C$1505,C1054,'Care log'!$D$6:$D$1505,D1054,'Care log'!$G$6:$G$1505,"&gt;"&amp;G1054)=0,1,0))</f>
        <v/>
      </c>
    </row>
    <row r="1055">
      <c r="A1055" s="1" t="n"/>
      <c r="B1055" s="20" t="n"/>
      <c r="C1055" s="17" t="n"/>
      <c r="D1055" s="18" t="n"/>
      <c r="E1055" s="18" t="n"/>
      <c r="F1055" s="1" t="n"/>
      <c r="G1055">
        <f>IF(OR(B1055="",C1055="",D1055=""),"",B1055+ROW()/10000000)</f>
        <v/>
      </c>
      <c r="H1055">
        <f>IF(G1055="","",IF(COUNTIFS('Care log'!$C$6:$C$1505,C1055,'Care log'!$D$6:$D$1505,D1055,'Care log'!$G$6:$G$1505,"&gt;"&amp;G1055)=0,1,0))</f>
        <v/>
      </c>
    </row>
    <row r="1056">
      <c r="A1056" s="1" t="n"/>
      <c r="B1056" s="20" t="n"/>
      <c r="C1056" s="17" t="n"/>
      <c r="D1056" s="18" t="n"/>
      <c r="E1056" s="18" t="n"/>
      <c r="F1056" s="1" t="n"/>
      <c r="G1056">
        <f>IF(OR(B1056="",C1056="",D1056=""),"",B1056+ROW()/10000000)</f>
        <v/>
      </c>
      <c r="H1056">
        <f>IF(G1056="","",IF(COUNTIFS('Care log'!$C$6:$C$1505,C1056,'Care log'!$D$6:$D$1505,D1056,'Care log'!$G$6:$G$1505,"&gt;"&amp;G1056)=0,1,0))</f>
        <v/>
      </c>
    </row>
    <row r="1057">
      <c r="A1057" s="1" t="n"/>
      <c r="B1057" s="20" t="n"/>
      <c r="C1057" s="17" t="n"/>
      <c r="D1057" s="18" t="n"/>
      <c r="E1057" s="18" t="n"/>
      <c r="F1057" s="1" t="n"/>
      <c r="G1057">
        <f>IF(OR(B1057="",C1057="",D1057=""),"",B1057+ROW()/10000000)</f>
        <v/>
      </c>
      <c r="H1057">
        <f>IF(G1057="","",IF(COUNTIFS('Care log'!$C$6:$C$1505,C1057,'Care log'!$D$6:$D$1505,D1057,'Care log'!$G$6:$G$1505,"&gt;"&amp;G1057)=0,1,0))</f>
        <v/>
      </c>
    </row>
    <row r="1058">
      <c r="A1058" s="1" t="n"/>
      <c r="B1058" s="20" t="n"/>
      <c r="C1058" s="17" t="n"/>
      <c r="D1058" s="18" t="n"/>
      <c r="E1058" s="18" t="n"/>
      <c r="F1058" s="1" t="n"/>
      <c r="G1058">
        <f>IF(OR(B1058="",C1058="",D1058=""),"",B1058+ROW()/10000000)</f>
        <v/>
      </c>
      <c r="H1058">
        <f>IF(G1058="","",IF(COUNTIFS('Care log'!$C$6:$C$1505,C1058,'Care log'!$D$6:$D$1505,D1058,'Care log'!$G$6:$G$1505,"&gt;"&amp;G1058)=0,1,0))</f>
        <v/>
      </c>
    </row>
    <row r="1059">
      <c r="A1059" s="1" t="n"/>
      <c r="B1059" s="20" t="n"/>
      <c r="C1059" s="17" t="n"/>
      <c r="D1059" s="18" t="n"/>
      <c r="E1059" s="18" t="n"/>
      <c r="F1059" s="1" t="n"/>
      <c r="G1059">
        <f>IF(OR(B1059="",C1059="",D1059=""),"",B1059+ROW()/10000000)</f>
        <v/>
      </c>
      <c r="H1059">
        <f>IF(G1059="","",IF(COUNTIFS('Care log'!$C$6:$C$1505,C1059,'Care log'!$D$6:$D$1505,D1059,'Care log'!$G$6:$G$1505,"&gt;"&amp;G1059)=0,1,0))</f>
        <v/>
      </c>
    </row>
    <row r="1060">
      <c r="A1060" s="1" t="n"/>
      <c r="B1060" s="20" t="n"/>
      <c r="C1060" s="17" t="n"/>
      <c r="D1060" s="18" t="n"/>
      <c r="E1060" s="18" t="n"/>
      <c r="F1060" s="1" t="n"/>
      <c r="G1060">
        <f>IF(OR(B1060="",C1060="",D1060=""),"",B1060+ROW()/10000000)</f>
        <v/>
      </c>
      <c r="H1060">
        <f>IF(G1060="","",IF(COUNTIFS('Care log'!$C$6:$C$1505,C1060,'Care log'!$D$6:$D$1505,D1060,'Care log'!$G$6:$G$1505,"&gt;"&amp;G1060)=0,1,0))</f>
        <v/>
      </c>
    </row>
    <row r="1061">
      <c r="A1061" s="1" t="n"/>
      <c r="B1061" s="20" t="n"/>
      <c r="C1061" s="17" t="n"/>
      <c r="D1061" s="18" t="n"/>
      <c r="E1061" s="18" t="n"/>
      <c r="F1061" s="1" t="n"/>
      <c r="G1061">
        <f>IF(OR(B1061="",C1061="",D1061=""),"",B1061+ROW()/10000000)</f>
        <v/>
      </c>
      <c r="H1061">
        <f>IF(G1061="","",IF(COUNTIFS('Care log'!$C$6:$C$1505,C1061,'Care log'!$D$6:$D$1505,D1061,'Care log'!$G$6:$G$1505,"&gt;"&amp;G1061)=0,1,0))</f>
        <v/>
      </c>
    </row>
    <row r="1062">
      <c r="A1062" s="1" t="n"/>
      <c r="B1062" s="20" t="n"/>
      <c r="C1062" s="17" t="n"/>
      <c r="D1062" s="18" t="n"/>
      <c r="E1062" s="18" t="n"/>
      <c r="F1062" s="1" t="n"/>
      <c r="G1062">
        <f>IF(OR(B1062="",C1062="",D1062=""),"",B1062+ROW()/10000000)</f>
        <v/>
      </c>
      <c r="H1062">
        <f>IF(G1062="","",IF(COUNTIFS('Care log'!$C$6:$C$1505,C1062,'Care log'!$D$6:$D$1505,D1062,'Care log'!$G$6:$G$1505,"&gt;"&amp;G1062)=0,1,0))</f>
        <v/>
      </c>
    </row>
    <row r="1063">
      <c r="A1063" s="1" t="n"/>
      <c r="B1063" s="20" t="n"/>
      <c r="C1063" s="17" t="n"/>
      <c r="D1063" s="18" t="n"/>
      <c r="E1063" s="18" t="n"/>
      <c r="F1063" s="1" t="n"/>
      <c r="G1063">
        <f>IF(OR(B1063="",C1063="",D1063=""),"",B1063+ROW()/10000000)</f>
        <v/>
      </c>
      <c r="H1063">
        <f>IF(G1063="","",IF(COUNTIFS('Care log'!$C$6:$C$1505,C1063,'Care log'!$D$6:$D$1505,D1063,'Care log'!$G$6:$G$1505,"&gt;"&amp;G1063)=0,1,0))</f>
        <v/>
      </c>
    </row>
    <row r="1064">
      <c r="A1064" s="1" t="n"/>
      <c r="B1064" s="20" t="n"/>
      <c r="C1064" s="17" t="n"/>
      <c r="D1064" s="18" t="n"/>
      <c r="E1064" s="18" t="n"/>
      <c r="F1064" s="1" t="n"/>
      <c r="G1064">
        <f>IF(OR(B1064="",C1064="",D1064=""),"",B1064+ROW()/10000000)</f>
        <v/>
      </c>
      <c r="H1064">
        <f>IF(G1064="","",IF(COUNTIFS('Care log'!$C$6:$C$1505,C1064,'Care log'!$D$6:$D$1505,D1064,'Care log'!$G$6:$G$1505,"&gt;"&amp;G1064)=0,1,0))</f>
        <v/>
      </c>
    </row>
    <row r="1065">
      <c r="A1065" s="1" t="n"/>
      <c r="B1065" s="20" t="n"/>
      <c r="C1065" s="17" t="n"/>
      <c r="D1065" s="18" t="n"/>
      <c r="E1065" s="18" t="n"/>
      <c r="F1065" s="1" t="n"/>
      <c r="G1065">
        <f>IF(OR(B1065="",C1065="",D1065=""),"",B1065+ROW()/10000000)</f>
        <v/>
      </c>
      <c r="H1065">
        <f>IF(G1065="","",IF(COUNTIFS('Care log'!$C$6:$C$1505,C1065,'Care log'!$D$6:$D$1505,D1065,'Care log'!$G$6:$G$1505,"&gt;"&amp;G1065)=0,1,0))</f>
        <v/>
      </c>
    </row>
    <row r="1066">
      <c r="A1066" s="1" t="n"/>
      <c r="B1066" s="20" t="n"/>
      <c r="C1066" s="17" t="n"/>
      <c r="D1066" s="18" t="n"/>
      <c r="E1066" s="18" t="n"/>
      <c r="F1066" s="1" t="n"/>
      <c r="G1066">
        <f>IF(OR(B1066="",C1066="",D1066=""),"",B1066+ROW()/10000000)</f>
        <v/>
      </c>
      <c r="H1066">
        <f>IF(G1066="","",IF(COUNTIFS('Care log'!$C$6:$C$1505,C1066,'Care log'!$D$6:$D$1505,D1066,'Care log'!$G$6:$G$1505,"&gt;"&amp;G1066)=0,1,0))</f>
        <v/>
      </c>
    </row>
    <row r="1067">
      <c r="A1067" s="1" t="n"/>
      <c r="B1067" s="20" t="n"/>
      <c r="C1067" s="17" t="n"/>
      <c r="D1067" s="18" t="n"/>
      <c r="E1067" s="18" t="n"/>
      <c r="F1067" s="1" t="n"/>
      <c r="G1067">
        <f>IF(OR(B1067="",C1067="",D1067=""),"",B1067+ROW()/10000000)</f>
        <v/>
      </c>
      <c r="H1067">
        <f>IF(G1067="","",IF(COUNTIFS('Care log'!$C$6:$C$1505,C1067,'Care log'!$D$6:$D$1505,D1067,'Care log'!$G$6:$G$1505,"&gt;"&amp;G1067)=0,1,0))</f>
        <v/>
      </c>
    </row>
    <row r="1068">
      <c r="A1068" s="1" t="n"/>
      <c r="B1068" s="20" t="n"/>
      <c r="C1068" s="17" t="n"/>
      <c r="D1068" s="18" t="n"/>
      <c r="E1068" s="18" t="n"/>
      <c r="F1068" s="1" t="n"/>
      <c r="G1068">
        <f>IF(OR(B1068="",C1068="",D1068=""),"",B1068+ROW()/10000000)</f>
        <v/>
      </c>
      <c r="H1068">
        <f>IF(G1068="","",IF(COUNTIFS('Care log'!$C$6:$C$1505,C1068,'Care log'!$D$6:$D$1505,D1068,'Care log'!$G$6:$G$1505,"&gt;"&amp;G1068)=0,1,0))</f>
        <v/>
      </c>
    </row>
    <row r="1069">
      <c r="A1069" s="1" t="n"/>
      <c r="B1069" s="20" t="n"/>
      <c r="C1069" s="17" t="n"/>
      <c r="D1069" s="18" t="n"/>
      <c r="E1069" s="18" t="n"/>
      <c r="F1069" s="1" t="n"/>
      <c r="G1069">
        <f>IF(OR(B1069="",C1069="",D1069=""),"",B1069+ROW()/10000000)</f>
        <v/>
      </c>
      <c r="H1069">
        <f>IF(G1069="","",IF(COUNTIFS('Care log'!$C$6:$C$1505,C1069,'Care log'!$D$6:$D$1505,D1069,'Care log'!$G$6:$G$1505,"&gt;"&amp;G1069)=0,1,0))</f>
        <v/>
      </c>
    </row>
    <row r="1070">
      <c r="A1070" s="1" t="n"/>
      <c r="B1070" s="20" t="n"/>
      <c r="C1070" s="17" t="n"/>
      <c r="D1070" s="18" t="n"/>
      <c r="E1070" s="18" t="n"/>
      <c r="F1070" s="1" t="n"/>
      <c r="G1070">
        <f>IF(OR(B1070="",C1070="",D1070=""),"",B1070+ROW()/10000000)</f>
        <v/>
      </c>
      <c r="H1070">
        <f>IF(G1070="","",IF(COUNTIFS('Care log'!$C$6:$C$1505,C1070,'Care log'!$D$6:$D$1505,D1070,'Care log'!$G$6:$G$1505,"&gt;"&amp;G1070)=0,1,0))</f>
        <v/>
      </c>
    </row>
    <row r="1071">
      <c r="A1071" s="1" t="n"/>
      <c r="B1071" s="20" t="n"/>
      <c r="C1071" s="17" t="n"/>
      <c r="D1071" s="18" t="n"/>
      <c r="E1071" s="18" t="n"/>
      <c r="F1071" s="1" t="n"/>
      <c r="G1071">
        <f>IF(OR(B1071="",C1071="",D1071=""),"",B1071+ROW()/10000000)</f>
        <v/>
      </c>
      <c r="H1071">
        <f>IF(G1071="","",IF(COUNTIFS('Care log'!$C$6:$C$1505,C1071,'Care log'!$D$6:$D$1505,D1071,'Care log'!$G$6:$G$1505,"&gt;"&amp;G1071)=0,1,0))</f>
        <v/>
      </c>
    </row>
    <row r="1072">
      <c r="A1072" s="1" t="n"/>
      <c r="B1072" s="20" t="n"/>
      <c r="C1072" s="17" t="n"/>
      <c r="D1072" s="18" t="n"/>
      <c r="E1072" s="18" t="n"/>
      <c r="F1072" s="1" t="n"/>
      <c r="G1072">
        <f>IF(OR(B1072="",C1072="",D1072=""),"",B1072+ROW()/10000000)</f>
        <v/>
      </c>
      <c r="H1072">
        <f>IF(G1072="","",IF(COUNTIFS('Care log'!$C$6:$C$1505,C1072,'Care log'!$D$6:$D$1505,D1072,'Care log'!$G$6:$G$1505,"&gt;"&amp;G1072)=0,1,0))</f>
        <v/>
      </c>
    </row>
    <row r="1073">
      <c r="A1073" s="1" t="n"/>
      <c r="B1073" s="20" t="n"/>
      <c r="C1073" s="17" t="n"/>
      <c r="D1073" s="18" t="n"/>
      <c r="E1073" s="18" t="n"/>
      <c r="F1073" s="1" t="n"/>
      <c r="G1073">
        <f>IF(OR(B1073="",C1073="",D1073=""),"",B1073+ROW()/10000000)</f>
        <v/>
      </c>
      <c r="H1073">
        <f>IF(G1073="","",IF(COUNTIFS('Care log'!$C$6:$C$1505,C1073,'Care log'!$D$6:$D$1505,D1073,'Care log'!$G$6:$G$1505,"&gt;"&amp;G1073)=0,1,0))</f>
        <v/>
      </c>
    </row>
    <row r="1074">
      <c r="A1074" s="1" t="n"/>
      <c r="B1074" s="20" t="n"/>
      <c r="C1074" s="17" t="n"/>
      <c r="D1074" s="18" t="n"/>
      <c r="E1074" s="18" t="n"/>
      <c r="F1074" s="1" t="n"/>
      <c r="G1074">
        <f>IF(OR(B1074="",C1074="",D1074=""),"",B1074+ROW()/10000000)</f>
        <v/>
      </c>
      <c r="H1074">
        <f>IF(G1074="","",IF(COUNTIFS('Care log'!$C$6:$C$1505,C1074,'Care log'!$D$6:$D$1505,D1074,'Care log'!$G$6:$G$1505,"&gt;"&amp;G1074)=0,1,0))</f>
        <v/>
      </c>
    </row>
    <row r="1075">
      <c r="A1075" s="1" t="n"/>
      <c r="B1075" s="20" t="n"/>
      <c r="C1075" s="17" t="n"/>
      <c r="D1075" s="18" t="n"/>
      <c r="E1075" s="18" t="n"/>
      <c r="F1075" s="1" t="n"/>
      <c r="G1075">
        <f>IF(OR(B1075="",C1075="",D1075=""),"",B1075+ROW()/10000000)</f>
        <v/>
      </c>
      <c r="H1075">
        <f>IF(G1075="","",IF(COUNTIFS('Care log'!$C$6:$C$1505,C1075,'Care log'!$D$6:$D$1505,D1075,'Care log'!$G$6:$G$1505,"&gt;"&amp;G1075)=0,1,0))</f>
        <v/>
      </c>
    </row>
    <row r="1076">
      <c r="A1076" s="1" t="n"/>
      <c r="B1076" s="20" t="n"/>
      <c r="C1076" s="17" t="n"/>
      <c r="D1076" s="18" t="n"/>
      <c r="E1076" s="18" t="n"/>
      <c r="F1076" s="1" t="n"/>
      <c r="G1076">
        <f>IF(OR(B1076="",C1076="",D1076=""),"",B1076+ROW()/10000000)</f>
        <v/>
      </c>
      <c r="H1076">
        <f>IF(G1076="","",IF(COUNTIFS('Care log'!$C$6:$C$1505,C1076,'Care log'!$D$6:$D$1505,D1076,'Care log'!$G$6:$G$1505,"&gt;"&amp;G1076)=0,1,0))</f>
        <v/>
      </c>
    </row>
    <row r="1077">
      <c r="A1077" s="1" t="n"/>
      <c r="B1077" s="20" t="n"/>
      <c r="C1077" s="17" t="n"/>
      <c r="D1077" s="18" t="n"/>
      <c r="E1077" s="18" t="n"/>
      <c r="F1077" s="1" t="n"/>
      <c r="G1077">
        <f>IF(OR(B1077="",C1077="",D1077=""),"",B1077+ROW()/10000000)</f>
        <v/>
      </c>
      <c r="H1077">
        <f>IF(G1077="","",IF(COUNTIFS('Care log'!$C$6:$C$1505,C1077,'Care log'!$D$6:$D$1505,D1077,'Care log'!$G$6:$G$1505,"&gt;"&amp;G1077)=0,1,0))</f>
        <v/>
      </c>
    </row>
    <row r="1078">
      <c r="A1078" s="1" t="n"/>
      <c r="B1078" s="20" t="n"/>
      <c r="C1078" s="17" t="n"/>
      <c r="D1078" s="18" t="n"/>
      <c r="E1078" s="18" t="n"/>
      <c r="F1078" s="1" t="n"/>
      <c r="G1078">
        <f>IF(OR(B1078="",C1078="",D1078=""),"",B1078+ROW()/10000000)</f>
        <v/>
      </c>
      <c r="H1078">
        <f>IF(G1078="","",IF(COUNTIFS('Care log'!$C$6:$C$1505,C1078,'Care log'!$D$6:$D$1505,D1078,'Care log'!$G$6:$G$1505,"&gt;"&amp;G1078)=0,1,0))</f>
        <v/>
      </c>
    </row>
    <row r="1079">
      <c r="A1079" s="1" t="n"/>
      <c r="B1079" s="20" t="n"/>
      <c r="C1079" s="17" t="n"/>
      <c r="D1079" s="18" t="n"/>
      <c r="E1079" s="18" t="n"/>
      <c r="F1079" s="1" t="n"/>
      <c r="G1079">
        <f>IF(OR(B1079="",C1079="",D1079=""),"",B1079+ROW()/10000000)</f>
        <v/>
      </c>
      <c r="H1079">
        <f>IF(G1079="","",IF(COUNTIFS('Care log'!$C$6:$C$1505,C1079,'Care log'!$D$6:$D$1505,D1079,'Care log'!$G$6:$G$1505,"&gt;"&amp;G1079)=0,1,0))</f>
        <v/>
      </c>
    </row>
    <row r="1080">
      <c r="A1080" s="1" t="n"/>
      <c r="B1080" s="20" t="n"/>
      <c r="C1080" s="17" t="n"/>
      <c r="D1080" s="18" t="n"/>
      <c r="E1080" s="18" t="n"/>
      <c r="F1080" s="1" t="n"/>
      <c r="G1080">
        <f>IF(OR(B1080="",C1080="",D1080=""),"",B1080+ROW()/10000000)</f>
        <v/>
      </c>
      <c r="H1080">
        <f>IF(G1080="","",IF(COUNTIFS('Care log'!$C$6:$C$1505,C1080,'Care log'!$D$6:$D$1505,D1080,'Care log'!$G$6:$G$1505,"&gt;"&amp;G1080)=0,1,0))</f>
        <v/>
      </c>
    </row>
    <row r="1081">
      <c r="A1081" s="1" t="n"/>
      <c r="B1081" s="20" t="n"/>
      <c r="C1081" s="17" t="n"/>
      <c r="D1081" s="18" t="n"/>
      <c r="E1081" s="18" t="n"/>
      <c r="F1081" s="1" t="n"/>
      <c r="G1081">
        <f>IF(OR(B1081="",C1081="",D1081=""),"",B1081+ROW()/10000000)</f>
        <v/>
      </c>
      <c r="H1081">
        <f>IF(G1081="","",IF(COUNTIFS('Care log'!$C$6:$C$1505,C1081,'Care log'!$D$6:$D$1505,D1081,'Care log'!$G$6:$G$1505,"&gt;"&amp;G1081)=0,1,0))</f>
        <v/>
      </c>
    </row>
    <row r="1082">
      <c r="A1082" s="1" t="n"/>
      <c r="B1082" s="20" t="n"/>
      <c r="C1082" s="17" t="n"/>
      <c r="D1082" s="18" t="n"/>
      <c r="E1082" s="18" t="n"/>
      <c r="F1082" s="1" t="n"/>
      <c r="G1082">
        <f>IF(OR(B1082="",C1082="",D1082=""),"",B1082+ROW()/10000000)</f>
        <v/>
      </c>
      <c r="H1082">
        <f>IF(G1082="","",IF(COUNTIFS('Care log'!$C$6:$C$1505,C1082,'Care log'!$D$6:$D$1505,D1082,'Care log'!$G$6:$G$1505,"&gt;"&amp;G1082)=0,1,0))</f>
        <v/>
      </c>
    </row>
    <row r="1083">
      <c r="A1083" s="1" t="n"/>
      <c r="B1083" s="20" t="n"/>
      <c r="C1083" s="17" t="n"/>
      <c r="D1083" s="18" t="n"/>
      <c r="E1083" s="18" t="n"/>
      <c r="F1083" s="1" t="n"/>
      <c r="G1083">
        <f>IF(OR(B1083="",C1083="",D1083=""),"",B1083+ROW()/10000000)</f>
        <v/>
      </c>
      <c r="H1083">
        <f>IF(G1083="","",IF(COUNTIFS('Care log'!$C$6:$C$1505,C1083,'Care log'!$D$6:$D$1505,D1083,'Care log'!$G$6:$G$1505,"&gt;"&amp;G1083)=0,1,0))</f>
        <v/>
      </c>
    </row>
    <row r="1084">
      <c r="A1084" s="1" t="n"/>
      <c r="B1084" s="20" t="n"/>
      <c r="C1084" s="17" t="n"/>
      <c r="D1084" s="18" t="n"/>
      <c r="E1084" s="18" t="n"/>
      <c r="F1084" s="1" t="n"/>
      <c r="G1084">
        <f>IF(OR(B1084="",C1084="",D1084=""),"",B1084+ROW()/10000000)</f>
        <v/>
      </c>
      <c r="H1084">
        <f>IF(G1084="","",IF(COUNTIFS('Care log'!$C$6:$C$1505,C1084,'Care log'!$D$6:$D$1505,D1084,'Care log'!$G$6:$G$1505,"&gt;"&amp;G1084)=0,1,0))</f>
        <v/>
      </c>
    </row>
    <row r="1085">
      <c r="A1085" s="1" t="n"/>
      <c r="B1085" s="20" t="n"/>
      <c r="C1085" s="17" t="n"/>
      <c r="D1085" s="18" t="n"/>
      <c r="E1085" s="18" t="n"/>
      <c r="F1085" s="1" t="n"/>
      <c r="G1085">
        <f>IF(OR(B1085="",C1085="",D1085=""),"",B1085+ROW()/10000000)</f>
        <v/>
      </c>
      <c r="H1085">
        <f>IF(G1085="","",IF(COUNTIFS('Care log'!$C$6:$C$1505,C1085,'Care log'!$D$6:$D$1505,D1085,'Care log'!$G$6:$G$1505,"&gt;"&amp;G1085)=0,1,0))</f>
        <v/>
      </c>
    </row>
    <row r="1086">
      <c r="A1086" s="1" t="n"/>
      <c r="B1086" s="20" t="n"/>
      <c r="C1086" s="17" t="n"/>
      <c r="D1086" s="18" t="n"/>
      <c r="E1086" s="18" t="n"/>
      <c r="F1086" s="1" t="n"/>
      <c r="G1086">
        <f>IF(OR(B1086="",C1086="",D1086=""),"",B1086+ROW()/10000000)</f>
        <v/>
      </c>
      <c r="H1086">
        <f>IF(G1086="","",IF(COUNTIFS('Care log'!$C$6:$C$1505,C1086,'Care log'!$D$6:$D$1505,D1086,'Care log'!$G$6:$G$1505,"&gt;"&amp;G1086)=0,1,0))</f>
        <v/>
      </c>
    </row>
    <row r="1087">
      <c r="A1087" s="1" t="n"/>
      <c r="B1087" s="20" t="n"/>
      <c r="C1087" s="17" t="n"/>
      <c r="D1087" s="18" t="n"/>
      <c r="E1087" s="18" t="n"/>
      <c r="F1087" s="1" t="n"/>
      <c r="G1087">
        <f>IF(OR(B1087="",C1087="",D1087=""),"",B1087+ROW()/10000000)</f>
        <v/>
      </c>
      <c r="H1087">
        <f>IF(G1087="","",IF(COUNTIFS('Care log'!$C$6:$C$1505,C1087,'Care log'!$D$6:$D$1505,D1087,'Care log'!$G$6:$G$1505,"&gt;"&amp;G1087)=0,1,0))</f>
        <v/>
      </c>
    </row>
    <row r="1088">
      <c r="A1088" s="1" t="n"/>
      <c r="B1088" s="20" t="n"/>
      <c r="C1088" s="17" t="n"/>
      <c r="D1088" s="18" t="n"/>
      <c r="E1088" s="18" t="n"/>
      <c r="F1088" s="1" t="n"/>
      <c r="G1088">
        <f>IF(OR(B1088="",C1088="",D1088=""),"",B1088+ROW()/10000000)</f>
        <v/>
      </c>
      <c r="H1088">
        <f>IF(G1088="","",IF(COUNTIFS('Care log'!$C$6:$C$1505,C1088,'Care log'!$D$6:$D$1505,D1088,'Care log'!$G$6:$G$1505,"&gt;"&amp;G1088)=0,1,0))</f>
        <v/>
      </c>
    </row>
    <row r="1089">
      <c r="A1089" s="1" t="n"/>
      <c r="B1089" s="20" t="n"/>
      <c r="C1089" s="17" t="n"/>
      <c r="D1089" s="18" t="n"/>
      <c r="E1089" s="18" t="n"/>
      <c r="F1089" s="1" t="n"/>
      <c r="G1089">
        <f>IF(OR(B1089="",C1089="",D1089=""),"",B1089+ROW()/10000000)</f>
        <v/>
      </c>
      <c r="H1089">
        <f>IF(G1089="","",IF(COUNTIFS('Care log'!$C$6:$C$1505,C1089,'Care log'!$D$6:$D$1505,D1089,'Care log'!$G$6:$G$1505,"&gt;"&amp;G1089)=0,1,0))</f>
        <v/>
      </c>
    </row>
    <row r="1090">
      <c r="A1090" s="1" t="n"/>
      <c r="B1090" s="20" t="n"/>
      <c r="C1090" s="17" t="n"/>
      <c r="D1090" s="18" t="n"/>
      <c r="E1090" s="18" t="n"/>
      <c r="F1090" s="1" t="n"/>
      <c r="G1090">
        <f>IF(OR(B1090="",C1090="",D1090=""),"",B1090+ROW()/10000000)</f>
        <v/>
      </c>
      <c r="H1090">
        <f>IF(G1090="","",IF(COUNTIFS('Care log'!$C$6:$C$1505,C1090,'Care log'!$D$6:$D$1505,D1090,'Care log'!$G$6:$G$1505,"&gt;"&amp;G1090)=0,1,0))</f>
        <v/>
      </c>
    </row>
    <row r="1091">
      <c r="A1091" s="1" t="n"/>
      <c r="B1091" s="20" t="n"/>
      <c r="C1091" s="17" t="n"/>
      <c r="D1091" s="18" t="n"/>
      <c r="E1091" s="18" t="n"/>
      <c r="F1091" s="1" t="n"/>
      <c r="G1091">
        <f>IF(OR(B1091="",C1091="",D1091=""),"",B1091+ROW()/10000000)</f>
        <v/>
      </c>
      <c r="H1091">
        <f>IF(G1091="","",IF(COUNTIFS('Care log'!$C$6:$C$1505,C1091,'Care log'!$D$6:$D$1505,D1091,'Care log'!$G$6:$G$1505,"&gt;"&amp;G1091)=0,1,0))</f>
        <v/>
      </c>
    </row>
    <row r="1092">
      <c r="A1092" s="1" t="n"/>
      <c r="B1092" s="20" t="n"/>
      <c r="C1092" s="17" t="n"/>
      <c r="D1092" s="18" t="n"/>
      <c r="E1092" s="18" t="n"/>
      <c r="F1092" s="1" t="n"/>
      <c r="G1092">
        <f>IF(OR(B1092="",C1092="",D1092=""),"",B1092+ROW()/10000000)</f>
        <v/>
      </c>
      <c r="H1092">
        <f>IF(G1092="","",IF(COUNTIFS('Care log'!$C$6:$C$1505,C1092,'Care log'!$D$6:$D$1505,D1092,'Care log'!$G$6:$G$1505,"&gt;"&amp;G1092)=0,1,0))</f>
        <v/>
      </c>
    </row>
    <row r="1093">
      <c r="A1093" s="1" t="n"/>
      <c r="B1093" s="20" t="n"/>
      <c r="C1093" s="17" t="n"/>
      <c r="D1093" s="18" t="n"/>
      <c r="E1093" s="18" t="n"/>
      <c r="F1093" s="1" t="n"/>
      <c r="G1093">
        <f>IF(OR(B1093="",C1093="",D1093=""),"",B1093+ROW()/10000000)</f>
        <v/>
      </c>
      <c r="H1093">
        <f>IF(G1093="","",IF(COUNTIFS('Care log'!$C$6:$C$1505,C1093,'Care log'!$D$6:$D$1505,D1093,'Care log'!$G$6:$G$1505,"&gt;"&amp;G1093)=0,1,0))</f>
        <v/>
      </c>
    </row>
    <row r="1094">
      <c r="A1094" s="1" t="n"/>
      <c r="B1094" s="20" t="n"/>
      <c r="C1094" s="17" t="n"/>
      <c r="D1094" s="18" t="n"/>
      <c r="E1094" s="18" t="n"/>
      <c r="F1094" s="1" t="n"/>
      <c r="G1094">
        <f>IF(OR(B1094="",C1094="",D1094=""),"",B1094+ROW()/10000000)</f>
        <v/>
      </c>
      <c r="H1094">
        <f>IF(G1094="","",IF(COUNTIFS('Care log'!$C$6:$C$1505,C1094,'Care log'!$D$6:$D$1505,D1094,'Care log'!$G$6:$G$1505,"&gt;"&amp;G1094)=0,1,0))</f>
        <v/>
      </c>
    </row>
    <row r="1095">
      <c r="A1095" s="1" t="n"/>
      <c r="B1095" s="20" t="n"/>
      <c r="C1095" s="17" t="n"/>
      <c r="D1095" s="18" t="n"/>
      <c r="E1095" s="18" t="n"/>
      <c r="F1095" s="1" t="n"/>
      <c r="G1095">
        <f>IF(OR(B1095="",C1095="",D1095=""),"",B1095+ROW()/10000000)</f>
        <v/>
      </c>
      <c r="H1095">
        <f>IF(G1095="","",IF(COUNTIFS('Care log'!$C$6:$C$1505,C1095,'Care log'!$D$6:$D$1505,D1095,'Care log'!$G$6:$G$1505,"&gt;"&amp;G1095)=0,1,0))</f>
        <v/>
      </c>
    </row>
    <row r="1096">
      <c r="A1096" s="1" t="n"/>
      <c r="B1096" s="20" t="n"/>
      <c r="C1096" s="17" t="n"/>
      <c r="D1096" s="18" t="n"/>
      <c r="E1096" s="18" t="n"/>
      <c r="F1096" s="1" t="n"/>
      <c r="G1096">
        <f>IF(OR(B1096="",C1096="",D1096=""),"",B1096+ROW()/10000000)</f>
        <v/>
      </c>
      <c r="H1096">
        <f>IF(G1096="","",IF(COUNTIFS('Care log'!$C$6:$C$1505,C1096,'Care log'!$D$6:$D$1505,D1096,'Care log'!$G$6:$G$1505,"&gt;"&amp;G1096)=0,1,0))</f>
        <v/>
      </c>
    </row>
    <row r="1097">
      <c r="A1097" s="1" t="n"/>
      <c r="B1097" s="20" t="n"/>
      <c r="C1097" s="17" t="n"/>
      <c r="D1097" s="18" t="n"/>
      <c r="E1097" s="18" t="n"/>
      <c r="F1097" s="1" t="n"/>
      <c r="G1097">
        <f>IF(OR(B1097="",C1097="",D1097=""),"",B1097+ROW()/10000000)</f>
        <v/>
      </c>
      <c r="H1097">
        <f>IF(G1097="","",IF(COUNTIFS('Care log'!$C$6:$C$1505,C1097,'Care log'!$D$6:$D$1505,D1097,'Care log'!$G$6:$G$1505,"&gt;"&amp;G1097)=0,1,0))</f>
        <v/>
      </c>
    </row>
    <row r="1098">
      <c r="A1098" s="1" t="n"/>
      <c r="B1098" s="20" t="n"/>
      <c r="C1098" s="17" t="n"/>
      <c r="D1098" s="18" t="n"/>
      <c r="E1098" s="18" t="n"/>
      <c r="F1098" s="1" t="n"/>
      <c r="G1098">
        <f>IF(OR(B1098="",C1098="",D1098=""),"",B1098+ROW()/10000000)</f>
        <v/>
      </c>
      <c r="H1098">
        <f>IF(G1098="","",IF(COUNTIFS('Care log'!$C$6:$C$1505,C1098,'Care log'!$D$6:$D$1505,D1098,'Care log'!$G$6:$G$1505,"&gt;"&amp;G1098)=0,1,0))</f>
        <v/>
      </c>
    </row>
    <row r="1099">
      <c r="A1099" s="1" t="n"/>
      <c r="B1099" s="20" t="n"/>
      <c r="C1099" s="17" t="n"/>
      <c r="D1099" s="18" t="n"/>
      <c r="E1099" s="18" t="n"/>
      <c r="F1099" s="1" t="n"/>
      <c r="G1099">
        <f>IF(OR(B1099="",C1099="",D1099=""),"",B1099+ROW()/10000000)</f>
        <v/>
      </c>
      <c r="H1099">
        <f>IF(G1099="","",IF(COUNTIFS('Care log'!$C$6:$C$1505,C1099,'Care log'!$D$6:$D$1505,D1099,'Care log'!$G$6:$G$1505,"&gt;"&amp;G1099)=0,1,0))</f>
        <v/>
      </c>
    </row>
    <row r="1100">
      <c r="A1100" s="1" t="n"/>
      <c r="B1100" s="20" t="n"/>
      <c r="C1100" s="17" t="n"/>
      <c r="D1100" s="18" t="n"/>
      <c r="E1100" s="18" t="n"/>
      <c r="F1100" s="1" t="n"/>
      <c r="G1100">
        <f>IF(OR(B1100="",C1100="",D1100=""),"",B1100+ROW()/10000000)</f>
        <v/>
      </c>
      <c r="H1100">
        <f>IF(G1100="","",IF(COUNTIFS('Care log'!$C$6:$C$1505,C1100,'Care log'!$D$6:$D$1505,D1100,'Care log'!$G$6:$G$1505,"&gt;"&amp;G1100)=0,1,0))</f>
        <v/>
      </c>
    </row>
    <row r="1101">
      <c r="A1101" s="1" t="n"/>
      <c r="B1101" s="20" t="n"/>
      <c r="C1101" s="17" t="n"/>
      <c r="D1101" s="18" t="n"/>
      <c r="E1101" s="18" t="n"/>
      <c r="F1101" s="1" t="n"/>
      <c r="G1101">
        <f>IF(OR(B1101="",C1101="",D1101=""),"",B1101+ROW()/10000000)</f>
        <v/>
      </c>
      <c r="H1101">
        <f>IF(G1101="","",IF(COUNTIFS('Care log'!$C$6:$C$1505,C1101,'Care log'!$D$6:$D$1505,D1101,'Care log'!$G$6:$G$1505,"&gt;"&amp;G1101)=0,1,0))</f>
        <v/>
      </c>
    </row>
    <row r="1102">
      <c r="A1102" s="1" t="n"/>
      <c r="B1102" s="20" t="n"/>
      <c r="C1102" s="17" t="n"/>
      <c r="D1102" s="18" t="n"/>
      <c r="E1102" s="18" t="n"/>
      <c r="F1102" s="1" t="n"/>
      <c r="G1102">
        <f>IF(OR(B1102="",C1102="",D1102=""),"",B1102+ROW()/10000000)</f>
        <v/>
      </c>
      <c r="H1102">
        <f>IF(G1102="","",IF(COUNTIFS('Care log'!$C$6:$C$1505,C1102,'Care log'!$D$6:$D$1505,D1102,'Care log'!$G$6:$G$1505,"&gt;"&amp;G1102)=0,1,0))</f>
        <v/>
      </c>
    </row>
    <row r="1103">
      <c r="A1103" s="1" t="n"/>
      <c r="B1103" s="20" t="n"/>
      <c r="C1103" s="17" t="n"/>
      <c r="D1103" s="18" t="n"/>
      <c r="E1103" s="18" t="n"/>
      <c r="F1103" s="1" t="n"/>
      <c r="G1103">
        <f>IF(OR(B1103="",C1103="",D1103=""),"",B1103+ROW()/10000000)</f>
        <v/>
      </c>
      <c r="H1103">
        <f>IF(G1103="","",IF(COUNTIFS('Care log'!$C$6:$C$1505,C1103,'Care log'!$D$6:$D$1505,D1103,'Care log'!$G$6:$G$1505,"&gt;"&amp;G1103)=0,1,0))</f>
        <v/>
      </c>
    </row>
    <row r="1104">
      <c r="A1104" s="1" t="n"/>
      <c r="B1104" s="20" t="n"/>
      <c r="C1104" s="17" t="n"/>
      <c r="D1104" s="18" t="n"/>
      <c r="E1104" s="18" t="n"/>
      <c r="F1104" s="1" t="n"/>
      <c r="G1104">
        <f>IF(OR(B1104="",C1104="",D1104=""),"",B1104+ROW()/10000000)</f>
        <v/>
      </c>
      <c r="H1104">
        <f>IF(G1104="","",IF(COUNTIFS('Care log'!$C$6:$C$1505,C1104,'Care log'!$D$6:$D$1505,D1104,'Care log'!$G$6:$G$1505,"&gt;"&amp;G1104)=0,1,0))</f>
        <v/>
      </c>
    </row>
    <row r="1105">
      <c r="A1105" s="1" t="n"/>
      <c r="B1105" s="20" t="n"/>
      <c r="C1105" s="17" t="n"/>
      <c r="D1105" s="18" t="n"/>
      <c r="E1105" s="18" t="n"/>
      <c r="F1105" s="1" t="n"/>
      <c r="G1105">
        <f>IF(OR(B1105="",C1105="",D1105=""),"",B1105+ROW()/10000000)</f>
        <v/>
      </c>
      <c r="H1105">
        <f>IF(G1105="","",IF(COUNTIFS('Care log'!$C$6:$C$1505,C1105,'Care log'!$D$6:$D$1505,D1105,'Care log'!$G$6:$G$1505,"&gt;"&amp;G1105)=0,1,0))</f>
        <v/>
      </c>
    </row>
    <row r="1106">
      <c r="A1106" s="1" t="n"/>
      <c r="B1106" s="20" t="n"/>
      <c r="C1106" s="17" t="n"/>
      <c r="D1106" s="18" t="n"/>
      <c r="E1106" s="18" t="n"/>
      <c r="F1106" s="1" t="n"/>
      <c r="G1106">
        <f>IF(OR(B1106="",C1106="",D1106=""),"",B1106+ROW()/10000000)</f>
        <v/>
      </c>
      <c r="H1106">
        <f>IF(G1106="","",IF(COUNTIFS('Care log'!$C$6:$C$1505,C1106,'Care log'!$D$6:$D$1505,D1106,'Care log'!$G$6:$G$1505,"&gt;"&amp;G1106)=0,1,0))</f>
        <v/>
      </c>
    </row>
    <row r="1107">
      <c r="A1107" s="1" t="n"/>
      <c r="B1107" s="20" t="n"/>
      <c r="C1107" s="17" t="n"/>
      <c r="D1107" s="18" t="n"/>
      <c r="E1107" s="18" t="n"/>
      <c r="F1107" s="1" t="n"/>
      <c r="G1107">
        <f>IF(OR(B1107="",C1107="",D1107=""),"",B1107+ROW()/10000000)</f>
        <v/>
      </c>
      <c r="H1107">
        <f>IF(G1107="","",IF(COUNTIFS('Care log'!$C$6:$C$1505,C1107,'Care log'!$D$6:$D$1505,D1107,'Care log'!$G$6:$G$1505,"&gt;"&amp;G1107)=0,1,0))</f>
        <v/>
      </c>
    </row>
    <row r="1108">
      <c r="A1108" s="1" t="n"/>
      <c r="B1108" s="20" t="n"/>
      <c r="C1108" s="17" t="n"/>
      <c r="D1108" s="18" t="n"/>
      <c r="E1108" s="18" t="n"/>
      <c r="F1108" s="1" t="n"/>
      <c r="G1108">
        <f>IF(OR(B1108="",C1108="",D1108=""),"",B1108+ROW()/10000000)</f>
        <v/>
      </c>
      <c r="H1108">
        <f>IF(G1108="","",IF(COUNTIFS('Care log'!$C$6:$C$1505,C1108,'Care log'!$D$6:$D$1505,D1108,'Care log'!$G$6:$G$1505,"&gt;"&amp;G1108)=0,1,0))</f>
        <v/>
      </c>
    </row>
    <row r="1109">
      <c r="A1109" s="1" t="n"/>
      <c r="B1109" s="20" t="n"/>
      <c r="C1109" s="17" t="n"/>
      <c r="D1109" s="18" t="n"/>
      <c r="E1109" s="18" t="n"/>
      <c r="F1109" s="1" t="n"/>
      <c r="G1109">
        <f>IF(OR(B1109="",C1109="",D1109=""),"",B1109+ROW()/10000000)</f>
        <v/>
      </c>
      <c r="H1109">
        <f>IF(G1109="","",IF(COUNTIFS('Care log'!$C$6:$C$1505,C1109,'Care log'!$D$6:$D$1505,D1109,'Care log'!$G$6:$G$1505,"&gt;"&amp;G1109)=0,1,0))</f>
        <v/>
      </c>
    </row>
    <row r="1110">
      <c r="A1110" s="1" t="n"/>
      <c r="B1110" s="20" t="n"/>
      <c r="C1110" s="17" t="n"/>
      <c r="D1110" s="18" t="n"/>
      <c r="E1110" s="18" t="n"/>
      <c r="F1110" s="1" t="n"/>
      <c r="G1110">
        <f>IF(OR(B1110="",C1110="",D1110=""),"",B1110+ROW()/10000000)</f>
        <v/>
      </c>
      <c r="H1110">
        <f>IF(G1110="","",IF(COUNTIFS('Care log'!$C$6:$C$1505,C1110,'Care log'!$D$6:$D$1505,D1110,'Care log'!$G$6:$G$1505,"&gt;"&amp;G1110)=0,1,0))</f>
        <v/>
      </c>
    </row>
    <row r="1111">
      <c r="A1111" s="1" t="n"/>
      <c r="B1111" s="20" t="n"/>
      <c r="C1111" s="17" t="n"/>
      <c r="D1111" s="18" t="n"/>
      <c r="E1111" s="18" t="n"/>
      <c r="F1111" s="1" t="n"/>
      <c r="G1111">
        <f>IF(OR(B1111="",C1111="",D1111=""),"",B1111+ROW()/10000000)</f>
        <v/>
      </c>
      <c r="H1111">
        <f>IF(G1111="","",IF(COUNTIFS('Care log'!$C$6:$C$1505,C1111,'Care log'!$D$6:$D$1505,D1111,'Care log'!$G$6:$G$1505,"&gt;"&amp;G1111)=0,1,0))</f>
        <v/>
      </c>
    </row>
    <row r="1112">
      <c r="A1112" s="1" t="n"/>
      <c r="B1112" s="20" t="n"/>
      <c r="C1112" s="17" t="n"/>
      <c r="D1112" s="18" t="n"/>
      <c r="E1112" s="18" t="n"/>
      <c r="F1112" s="1" t="n"/>
      <c r="G1112">
        <f>IF(OR(B1112="",C1112="",D1112=""),"",B1112+ROW()/10000000)</f>
        <v/>
      </c>
      <c r="H1112">
        <f>IF(G1112="","",IF(COUNTIFS('Care log'!$C$6:$C$1505,C1112,'Care log'!$D$6:$D$1505,D1112,'Care log'!$G$6:$G$1505,"&gt;"&amp;G1112)=0,1,0))</f>
        <v/>
      </c>
    </row>
    <row r="1113">
      <c r="A1113" s="1" t="n"/>
      <c r="B1113" s="20" t="n"/>
      <c r="C1113" s="17" t="n"/>
      <c r="D1113" s="18" t="n"/>
      <c r="E1113" s="18" t="n"/>
      <c r="F1113" s="1" t="n"/>
      <c r="G1113">
        <f>IF(OR(B1113="",C1113="",D1113=""),"",B1113+ROW()/10000000)</f>
        <v/>
      </c>
      <c r="H1113">
        <f>IF(G1113="","",IF(COUNTIFS('Care log'!$C$6:$C$1505,C1113,'Care log'!$D$6:$D$1505,D1113,'Care log'!$G$6:$G$1505,"&gt;"&amp;G1113)=0,1,0))</f>
        <v/>
      </c>
    </row>
    <row r="1114">
      <c r="A1114" s="1" t="n"/>
      <c r="B1114" s="20" t="n"/>
      <c r="C1114" s="17" t="n"/>
      <c r="D1114" s="18" t="n"/>
      <c r="E1114" s="18" t="n"/>
      <c r="F1114" s="1" t="n"/>
      <c r="G1114">
        <f>IF(OR(B1114="",C1114="",D1114=""),"",B1114+ROW()/10000000)</f>
        <v/>
      </c>
      <c r="H1114">
        <f>IF(G1114="","",IF(COUNTIFS('Care log'!$C$6:$C$1505,C1114,'Care log'!$D$6:$D$1505,D1114,'Care log'!$G$6:$G$1505,"&gt;"&amp;G1114)=0,1,0))</f>
        <v/>
      </c>
    </row>
    <row r="1115">
      <c r="A1115" s="1" t="n"/>
      <c r="B1115" s="20" t="n"/>
      <c r="C1115" s="17" t="n"/>
      <c r="D1115" s="18" t="n"/>
      <c r="E1115" s="18" t="n"/>
      <c r="F1115" s="1" t="n"/>
      <c r="G1115">
        <f>IF(OR(B1115="",C1115="",D1115=""),"",B1115+ROW()/10000000)</f>
        <v/>
      </c>
      <c r="H1115">
        <f>IF(G1115="","",IF(COUNTIFS('Care log'!$C$6:$C$1505,C1115,'Care log'!$D$6:$D$1505,D1115,'Care log'!$G$6:$G$1505,"&gt;"&amp;G1115)=0,1,0))</f>
        <v/>
      </c>
    </row>
    <row r="1116">
      <c r="A1116" s="1" t="n"/>
      <c r="B1116" s="20" t="n"/>
      <c r="C1116" s="17" t="n"/>
      <c r="D1116" s="18" t="n"/>
      <c r="E1116" s="18" t="n"/>
      <c r="F1116" s="1" t="n"/>
      <c r="G1116">
        <f>IF(OR(B1116="",C1116="",D1116=""),"",B1116+ROW()/10000000)</f>
        <v/>
      </c>
      <c r="H1116">
        <f>IF(G1116="","",IF(COUNTIFS('Care log'!$C$6:$C$1505,C1116,'Care log'!$D$6:$D$1505,D1116,'Care log'!$G$6:$G$1505,"&gt;"&amp;G1116)=0,1,0))</f>
        <v/>
      </c>
    </row>
    <row r="1117">
      <c r="A1117" s="1" t="n"/>
      <c r="B1117" s="20" t="n"/>
      <c r="C1117" s="17" t="n"/>
      <c r="D1117" s="18" t="n"/>
      <c r="E1117" s="18" t="n"/>
      <c r="F1117" s="1" t="n"/>
      <c r="G1117">
        <f>IF(OR(B1117="",C1117="",D1117=""),"",B1117+ROW()/10000000)</f>
        <v/>
      </c>
      <c r="H1117">
        <f>IF(G1117="","",IF(COUNTIFS('Care log'!$C$6:$C$1505,C1117,'Care log'!$D$6:$D$1505,D1117,'Care log'!$G$6:$G$1505,"&gt;"&amp;G1117)=0,1,0))</f>
        <v/>
      </c>
    </row>
    <row r="1118">
      <c r="A1118" s="1" t="n"/>
      <c r="B1118" s="20" t="n"/>
      <c r="C1118" s="17" t="n"/>
      <c r="D1118" s="18" t="n"/>
      <c r="E1118" s="18" t="n"/>
      <c r="F1118" s="1" t="n"/>
      <c r="G1118">
        <f>IF(OR(B1118="",C1118="",D1118=""),"",B1118+ROW()/10000000)</f>
        <v/>
      </c>
      <c r="H1118">
        <f>IF(G1118="","",IF(COUNTIFS('Care log'!$C$6:$C$1505,C1118,'Care log'!$D$6:$D$1505,D1118,'Care log'!$G$6:$G$1505,"&gt;"&amp;G1118)=0,1,0))</f>
        <v/>
      </c>
    </row>
    <row r="1119">
      <c r="A1119" s="1" t="n"/>
      <c r="B1119" s="20" t="n"/>
      <c r="C1119" s="17" t="n"/>
      <c r="D1119" s="18" t="n"/>
      <c r="E1119" s="18" t="n"/>
      <c r="F1119" s="1" t="n"/>
      <c r="G1119">
        <f>IF(OR(B1119="",C1119="",D1119=""),"",B1119+ROW()/10000000)</f>
        <v/>
      </c>
      <c r="H1119">
        <f>IF(G1119="","",IF(COUNTIFS('Care log'!$C$6:$C$1505,C1119,'Care log'!$D$6:$D$1505,D1119,'Care log'!$G$6:$G$1505,"&gt;"&amp;G1119)=0,1,0))</f>
        <v/>
      </c>
    </row>
    <row r="1120">
      <c r="A1120" s="1" t="n"/>
      <c r="B1120" s="20" t="n"/>
      <c r="C1120" s="17" t="n"/>
      <c r="D1120" s="18" t="n"/>
      <c r="E1120" s="18" t="n"/>
      <c r="F1120" s="1" t="n"/>
      <c r="G1120">
        <f>IF(OR(B1120="",C1120="",D1120=""),"",B1120+ROW()/10000000)</f>
        <v/>
      </c>
      <c r="H1120">
        <f>IF(G1120="","",IF(COUNTIFS('Care log'!$C$6:$C$1505,C1120,'Care log'!$D$6:$D$1505,D1120,'Care log'!$G$6:$G$1505,"&gt;"&amp;G1120)=0,1,0))</f>
        <v/>
      </c>
    </row>
    <row r="1121">
      <c r="A1121" s="1" t="n"/>
      <c r="B1121" s="20" t="n"/>
      <c r="C1121" s="17" t="n"/>
      <c r="D1121" s="18" t="n"/>
      <c r="E1121" s="18" t="n"/>
      <c r="F1121" s="1" t="n"/>
      <c r="G1121">
        <f>IF(OR(B1121="",C1121="",D1121=""),"",B1121+ROW()/10000000)</f>
        <v/>
      </c>
      <c r="H1121">
        <f>IF(G1121="","",IF(COUNTIFS('Care log'!$C$6:$C$1505,C1121,'Care log'!$D$6:$D$1505,D1121,'Care log'!$G$6:$G$1505,"&gt;"&amp;G1121)=0,1,0))</f>
        <v/>
      </c>
    </row>
    <row r="1122">
      <c r="A1122" s="1" t="n"/>
      <c r="B1122" s="20" t="n"/>
      <c r="C1122" s="17" t="n"/>
      <c r="D1122" s="18" t="n"/>
      <c r="E1122" s="18" t="n"/>
      <c r="F1122" s="1" t="n"/>
      <c r="G1122">
        <f>IF(OR(B1122="",C1122="",D1122=""),"",B1122+ROW()/10000000)</f>
        <v/>
      </c>
      <c r="H1122">
        <f>IF(G1122="","",IF(COUNTIFS('Care log'!$C$6:$C$1505,C1122,'Care log'!$D$6:$D$1505,D1122,'Care log'!$G$6:$G$1505,"&gt;"&amp;G1122)=0,1,0))</f>
        <v/>
      </c>
    </row>
    <row r="1123">
      <c r="A1123" s="1" t="n"/>
      <c r="B1123" s="20" t="n"/>
      <c r="C1123" s="17" t="n"/>
      <c r="D1123" s="18" t="n"/>
      <c r="E1123" s="18" t="n"/>
      <c r="F1123" s="1" t="n"/>
      <c r="G1123">
        <f>IF(OR(B1123="",C1123="",D1123=""),"",B1123+ROW()/10000000)</f>
        <v/>
      </c>
      <c r="H1123">
        <f>IF(G1123="","",IF(COUNTIFS('Care log'!$C$6:$C$1505,C1123,'Care log'!$D$6:$D$1505,D1123,'Care log'!$G$6:$G$1505,"&gt;"&amp;G1123)=0,1,0))</f>
        <v/>
      </c>
    </row>
    <row r="1124">
      <c r="A1124" s="1" t="n"/>
      <c r="B1124" s="20" t="n"/>
      <c r="C1124" s="17" t="n"/>
      <c r="D1124" s="18" t="n"/>
      <c r="E1124" s="18" t="n"/>
      <c r="F1124" s="1" t="n"/>
      <c r="G1124">
        <f>IF(OR(B1124="",C1124="",D1124=""),"",B1124+ROW()/10000000)</f>
        <v/>
      </c>
      <c r="H1124">
        <f>IF(G1124="","",IF(COUNTIFS('Care log'!$C$6:$C$1505,C1124,'Care log'!$D$6:$D$1505,D1124,'Care log'!$G$6:$G$1505,"&gt;"&amp;G1124)=0,1,0))</f>
        <v/>
      </c>
    </row>
    <row r="1125">
      <c r="A1125" s="1" t="n"/>
      <c r="B1125" s="20" t="n"/>
      <c r="C1125" s="17" t="n"/>
      <c r="D1125" s="18" t="n"/>
      <c r="E1125" s="18" t="n"/>
      <c r="F1125" s="1" t="n"/>
      <c r="G1125">
        <f>IF(OR(B1125="",C1125="",D1125=""),"",B1125+ROW()/10000000)</f>
        <v/>
      </c>
      <c r="H1125">
        <f>IF(G1125="","",IF(COUNTIFS('Care log'!$C$6:$C$1505,C1125,'Care log'!$D$6:$D$1505,D1125,'Care log'!$G$6:$G$1505,"&gt;"&amp;G1125)=0,1,0))</f>
        <v/>
      </c>
    </row>
    <row r="1126">
      <c r="A1126" s="1" t="n"/>
      <c r="B1126" s="20" t="n"/>
      <c r="C1126" s="17" t="n"/>
      <c r="D1126" s="18" t="n"/>
      <c r="E1126" s="18" t="n"/>
      <c r="F1126" s="1" t="n"/>
      <c r="G1126">
        <f>IF(OR(B1126="",C1126="",D1126=""),"",B1126+ROW()/10000000)</f>
        <v/>
      </c>
      <c r="H1126">
        <f>IF(G1126="","",IF(COUNTIFS('Care log'!$C$6:$C$1505,C1126,'Care log'!$D$6:$D$1505,D1126,'Care log'!$G$6:$G$1505,"&gt;"&amp;G1126)=0,1,0))</f>
        <v/>
      </c>
    </row>
    <row r="1127">
      <c r="A1127" s="1" t="n"/>
      <c r="B1127" s="20" t="n"/>
      <c r="C1127" s="17" t="n"/>
      <c r="D1127" s="18" t="n"/>
      <c r="E1127" s="18" t="n"/>
      <c r="F1127" s="1" t="n"/>
      <c r="G1127">
        <f>IF(OR(B1127="",C1127="",D1127=""),"",B1127+ROW()/10000000)</f>
        <v/>
      </c>
      <c r="H1127">
        <f>IF(G1127="","",IF(COUNTIFS('Care log'!$C$6:$C$1505,C1127,'Care log'!$D$6:$D$1505,D1127,'Care log'!$G$6:$G$1505,"&gt;"&amp;G1127)=0,1,0))</f>
        <v/>
      </c>
    </row>
    <row r="1128">
      <c r="A1128" s="1" t="n"/>
      <c r="B1128" s="20" t="n"/>
      <c r="C1128" s="17" t="n"/>
      <c r="D1128" s="18" t="n"/>
      <c r="E1128" s="18" t="n"/>
      <c r="F1128" s="1" t="n"/>
      <c r="G1128">
        <f>IF(OR(B1128="",C1128="",D1128=""),"",B1128+ROW()/10000000)</f>
        <v/>
      </c>
      <c r="H1128">
        <f>IF(G1128="","",IF(COUNTIFS('Care log'!$C$6:$C$1505,C1128,'Care log'!$D$6:$D$1505,D1128,'Care log'!$G$6:$G$1505,"&gt;"&amp;G1128)=0,1,0))</f>
        <v/>
      </c>
    </row>
    <row r="1129">
      <c r="A1129" s="1" t="n"/>
      <c r="B1129" s="20" t="n"/>
      <c r="C1129" s="17" t="n"/>
      <c r="D1129" s="18" t="n"/>
      <c r="E1129" s="18" t="n"/>
      <c r="F1129" s="1" t="n"/>
      <c r="G1129">
        <f>IF(OR(B1129="",C1129="",D1129=""),"",B1129+ROW()/10000000)</f>
        <v/>
      </c>
      <c r="H1129">
        <f>IF(G1129="","",IF(COUNTIFS('Care log'!$C$6:$C$1505,C1129,'Care log'!$D$6:$D$1505,D1129,'Care log'!$G$6:$G$1505,"&gt;"&amp;G1129)=0,1,0))</f>
        <v/>
      </c>
    </row>
    <row r="1130">
      <c r="A1130" s="1" t="n"/>
      <c r="B1130" s="20" t="n"/>
      <c r="C1130" s="17" t="n"/>
      <c r="D1130" s="18" t="n"/>
      <c r="E1130" s="18" t="n"/>
      <c r="F1130" s="1" t="n"/>
      <c r="G1130">
        <f>IF(OR(B1130="",C1130="",D1130=""),"",B1130+ROW()/10000000)</f>
        <v/>
      </c>
      <c r="H1130">
        <f>IF(G1130="","",IF(COUNTIFS('Care log'!$C$6:$C$1505,C1130,'Care log'!$D$6:$D$1505,D1130,'Care log'!$G$6:$G$1505,"&gt;"&amp;G1130)=0,1,0))</f>
        <v/>
      </c>
    </row>
    <row r="1131">
      <c r="A1131" s="1" t="n"/>
      <c r="B1131" s="20" t="n"/>
      <c r="C1131" s="17" t="n"/>
      <c r="D1131" s="18" t="n"/>
      <c r="E1131" s="18" t="n"/>
      <c r="F1131" s="1" t="n"/>
      <c r="G1131">
        <f>IF(OR(B1131="",C1131="",D1131=""),"",B1131+ROW()/10000000)</f>
        <v/>
      </c>
      <c r="H1131">
        <f>IF(G1131="","",IF(COUNTIFS('Care log'!$C$6:$C$1505,C1131,'Care log'!$D$6:$D$1505,D1131,'Care log'!$G$6:$G$1505,"&gt;"&amp;G1131)=0,1,0))</f>
        <v/>
      </c>
    </row>
    <row r="1132">
      <c r="A1132" s="1" t="n"/>
      <c r="B1132" s="20" t="n"/>
      <c r="C1132" s="17" t="n"/>
      <c r="D1132" s="18" t="n"/>
      <c r="E1132" s="18" t="n"/>
      <c r="F1132" s="1" t="n"/>
      <c r="G1132">
        <f>IF(OR(B1132="",C1132="",D1132=""),"",B1132+ROW()/10000000)</f>
        <v/>
      </c>
      <c r="H1132">
        <f>IF(G1132="","",IF(COUNTIFS('Care log'!$C$6:$C$1505,C1132,'Care log'!$D$6:$D$1505,D1132,'Care log'!$G$6:$G$1505,"&gt;"&amp;G1132)=0,1,0))</f>
        <v/>
      </c>
    </row>
    <row r="1133">
      <c r="A1133" s="1" t="n"/>
      <c r="B1133" s="20" t="n"/>
      <c r="C1133" s="17" t="n"/>
      <c r="D1133" s="18" t="n"/>
      <c r="E1133" s="18" t="n"/>
      <c r="F1133" s="1" t="n"/>
      <c r="G1133">
        <f>IF(OR(B1133="",C1133="",D1133=""),"",B1133+ROW()/10000000)</f>
        <v/>
      </c>
      <c r="H1133">
        <f>IF(G1133="","",IF(COUNTIFS('Care log'!$C$6:$C$1505,C1133,'Care log'!$D$6:$D$1505,D1133,'Care log'!$G$6:$G$1505,"&gt;"&amp;G1133)=0,1,0))</f>
        <v/>
      </c>
    </row>
    <row r="1134">
      <c r="A1134" s="1" t="n"/>
      <c r="B1134" s="20" t="n"/>
      <c r="C1134" s="17" t="n"/>
      <c r="D1134" s="18" t="n"/>
      <c r="E1134" s="18" t="n"/>
      <c r="F1134" s="1" t="n"/>
      <c r="G1134">
        <f>IF(OR(B1134="",C1134="",D1134=""),"",B1134+ROW()/10000000)</f>
        <v/>
      </c>
      <c r="H1134">
        <f>IF(G1134="","",IF(COUNTIFS('Care log'!$C$6:$C$1505,C1134,'Care log'!$D$6:$D$1505,D1134,'Care log'!$G$6:$G$1505,"&gt;"&amp;G1134)=0,1,0))</f>
        <v/>
      </c>
    </row>
    <row r="1135">
      <c r="A1135" s="1" t="n"/>
      <c r="B1135" s="20" t="n"/>
      <c r="C1135" s="17" t="n"/>
      <c r="D1135" s="18" t="n"/>
      <c r="E1135" s="18" t="n"/>
      <c r="F1135" s="1" t="n"/>
      <c r="G1135">
        <f>IF(OR(B1135="",C1135="",D1135=""),"",B1135+ROW()/10000000)</f>
        <v/>
      </c>
      <c r="H1135">
        <f>IF(G1135="","",IF(COUNTIFS('Care log'!$C$6:$C$1505,C1135,'Care log'!$D$6:$D$1505,D1135,'Care log'!$G$6:$G$1505,"&gt;"&amp;G1135)=0,1,0))</f>
        <v/>
      </c>
    </row>
    <row r="1136">
      <c r="A1136" s="1" t="n"/>
      <c r="B1136" s="20" t="n"/>
      <c r="C1136" s="17" t="n"/>
      <c r="D1136" s="18" t="n"/>
      <c r="E1136" s="18" t="n"/>
      <c r="F1136" s="1" t="n"/>
      <c r="G1136">
        <f>IF(OR(B1136="",C1136="",D1136=""),"",B1136+ROW()/10000000)</f>
        <v/>
      </c>
      <c r="H1136">
        <f>IF(G1136="","",IF(COUNTIFS('Care log'!$C$6:$C$1505,C1136,'Care log'!$D$6:$D$1505,D1136,'Care log'!$G$6:$G$1505,"&gt;"&amp;G1136)=0,1,0))</f>
        <v/>
      </c>
    </row>
    <row r="1137">
      <c r="A1137" s="1" t="n"/>
      <c r="B1137" s="20" t="n"/>
      <c r="C1137" s="17" t="n"/>
      <c r="D1137" s="18" t="n"/>
      <c r="E1137" s="18" t="n"/>
      <c r="F1137" s="1" t="n"/>
      <c r="G1137">
        <f>IF(OR(B1137="",C1137="",D1137=""),"",B1137+ROW()/10000000)</f>
        <v/>
      </c>
      <c r="H1137">
        <f>IF(G1137="","",IF(COUNTIFS('Care log'!$C$6:$C$1505,C1137,'Care log'!$D$6:$D$1505,D1137,'Care log'!$G$6:$G$1505,"&gt;"&amp;G1137)=0,1,0))</f>
        <v/>
      </c>
    </row>
    <row r="1138">
      <c r="A1138" s="1" t="n"/>
      <c r="B1138" s="20" t="n"/>
      <c r="C1138" s="17" t="n"/>
      <c r="D1138" s="18" t="n"/>
      <c r="E1138" s="18" t="n"/>
      <c r="F1138" s="1" t="n"/>
      <c r="G1138">
        <f>IF(OR(B1138="",C1138="",D1138=""),"",B1138+ROW()/10000000)</f>
        <v/>
      </c>
      <c r="H1138">
        <f>IF(G1138="","",IF(COUNTIFS('Care log'!$C$6:$C$1505,C1138,'Care log'!$D$6:$D$1505,D1138,'Care log'!$G$6:$G$1505,"&gt;"&amp;G1138)=0,1,0))</f>
        <v/>
      </c>
    </row>
    <row r="1139">
      <c r="A1139" s="1" t="n"/>
      <c r="B1139" s="20" t="n"/>
      <c r="C1139" s="17" t="n"/>
      <c r="D1139" s="18" t="n"/>
      <c r="E1139" s="18" t="n"/>
      <c r="F1139" s="1" t="n"/>
      <c r="G1139">
        <f>IF(OR(B1139="",C1139="",D1139=""),"",B1139+ROW()/10000000)</f>
        <v/>
      </c>
      <c r="H1139">
        <f>IF(G1139="","",IF(COUNTIFS('Care log'!$C$6:$C$1505,C1139,'Care log'!$D$6:$D$1505,D1139,'Care log'!$G$6:$G$1505,"&gt;"&amp;G1139)=0,1,0))</f>
        <v/>
      </c>
    </row>
    <row r="1140">
      <c r="A1140" s="1" t="n"/>
      <c r="B1140" s="20" t="n"/>
      <c r="C1140" s="17" t="n"/>
      <c r="D1140" s="18" t="n"/>
      <c r="E1140" s="18" t="n"/>
      <c r="F1140" s="1" t="n"/>
      <c r="G1140">
        <f>IF(OR(B1140="",C1140="",D1140=""),"",B1140+ROW()/10000000)</f>
        <v/>
      </c>
      <c r="H1140">
        <f>IF(G1140="","",IF(COUNTIFS('Care log'!$C$6:$C$1505,C1140,'Care log'!$D$6:$D$1505,D1140,'Care log'!$G$6:$G$1505,"&gt;"&amp;G1140)=0,1,0))</f>
        <v/>
      </c>
    </row>
    <row r="1141">
      <c r="A1141" s="1" t="n"/>
      <c r="B1141" s="20" t="n"/>
      <c r="C1141" s="17" t="n"/>
      <c r="D1141" s="18" t="n"/>
      <c r="E1141" s="18" t="n"/>
      <c r="F1141" s="1" t="n"/>
      <c r="G1141">
        <f>IF(OR(B1141="",C1141="",D1141=""),"",B1141+ROW()/10000000)</f>
        <v/>
      </c>
      <c r="H1141">
        <f>IF(G1141="","",IF(COUNTIFS('Care log'!$C$6:$C$1505,C1141,'Care log'!$D$6:$D$1505,D1141,'Care log'!$G$6:$G$1505,"&gt;"&amp;G1141)=0,1,0))</f>
        <v/>
      </c>
    </row>
    <row r="1142">
      <c r="A1142" s="1" t="n"/>
      <c r="B1142" s="20" t="n"/>
      <c r="C1142" s="17" t="n"/>
      <c r="D1142" s="18" t="n"/>
      <c r="E1142" s="18" t="n"/>
      <c r="F1142" s="1" t="n"/>
      <c r="G1142">
        <f>IF(OR(B1142="",C1142="",D1142=""),"",B1142+ROW()/10000000)</f>
        <v/>
      </c>
      <c r="H1142">
        <f>IF(G1142="","",IF(COUNTIFS('Care log'!$C$6:$C$1505,C1142,'Care log'!$D$6:$D$1505,D1142,'Care log'!$G$6:$G$1505,"&gt;"&amp;G1142)=0,1,0))</f>
        <v/>
      </c>
    </row>
    <row r="1143">
      <c r="A1143" s="1" t="n"/>
      <c r="B1143" s="20" t="n"/>
      <c r="C1143" s="17" t="n"/>
      <c r="D1143" s="18" t="n"/>
      <c r="E1143" s="18" t="n"/>
      <c r="F1143" s="1" t="n"/>
      <c r="G1143">
        <f>IF(OR(B1143="",C1143="",D1143=""),"",B1143+ROW()/10000000)</f>
        <v/>
      </c>
      <c r="H1143">
        <f>IF(G1143="","",IF(COUNTIFS('Care log'!$C$6:$C$1505,C1143,'Care log'!$D$6:$D$1505,D1143,'Care log'!$G$6:$G$1505,"&gt;"&amp;G1143)=0,1,0))</f>
        <v/>
      </c>
    </row>
    <row r="1144">
      <c r="A1144" s="1" t="n"/>
      <c r="B1144" s="20" t="n"/>
      <c r="C1144" s="17" t="n"/>
      <c r="D1144" s="18" t="n"/>
      <c r="E1144" s="18" t="n"/>
      <c r="F1144" s="1" t="n"/>
      <c r="G1144">
        <f>IF(OR(B1144="",C1144="",D1144=""),"",B1144+ROW()/10000000)</f>
        <v/>
      </c>
      <c r="H1144">
        <f>IF(G1144="","",IF(COUNTIFS('Care log'!$C$6:$C$1505,C1144,'Care log'!$D$6:$D$1505,D1144,'Care log'!$G$6:$G$1505,"&gt;"&amp;G1144)=0,1,0))</f>
        <v/>
      </c>
    </row>
    <row r="1145">
      <c r="A1145" s="1" t="n"/>
      <c r="B1145" s="20" t="n"/>
      <c r="C1145" s="17" t="n"/>
      <c r="D1145" s="18" t="n"/>
      <c r="E1145" s="18" t="n"/>
      <c r="F1145" s="1" t="n"/>
      <c r="G1145">
        <f>IF(OR(B1145="",C1145="",D1145=""),"",B1145+ROW()/10000000)</f>
        <v/>
      </c>
      <c r="H1145">
        <f>IF(G1145="","",IF(COUNTIFS('Care log'!$C$6:$C$1505,C1145,'Care log'!$D$6:$D$1505,D1145,'Care log'!$G$6:$G$1505,"&gt;"&amp;G1145)=0,1,0))</f>
        <v/>
      </c>
    </row>
    <row r="1146">
      <c r="A1146" s="1" t="n"/>
      <c r="B1146" s="20" t="n"/>
      <c r="C1146" s="17" t="n"/>
      <c r="D1146" s="18" t="n"/>
      <c r="E1146" s="18" t="n"/>
      <c r="F1146" s="1" t="n"/>
      <c r="G1146">
        <f>IF(OR(B1146="",C1146="",D1146=""),"",B1146+ROW()/10000000)</f>
        <v/>
      </c>
      <c r="H1146">
        <f>IF(G1146="","",IF(COUNTIFS('Care log'!$C$6:$C$1505,C1146,'Care log'!$D$6:$D$1505,D1146,'Care log'!$G$6:$G$1505,"&gt;"&amp;G1146)=0,1,0))</f>
        <v/>
      </c>
    </row>
    <row r="1147">
      <c r="A1147" s="1" t="n"/>
      <c r="B1147" s="20" t="n"/>
      <c r="C1147" s="17" t="n"/>
      <c r="D1147" s="18" t="n"/>
      <c r="E1147" s="18" t="n"/>
      <c r="F1147" s="1" t="n"/>
      <c r="G1147">
        <f>IF(OR(B1147="",C1147="",D1147=""),"",B1147+ROW()/10000000)</f>
        <v/>
      </c>
      <c r="H1147">
        <f>IF(G1147="","",IF(COUNTIFS('Care log'!$C$6:$C$1505,C1147,'Care log'!$D$6:$D$1505,D1147,'Care log'!$G$6:$G$1505,"&gt;"&amp;G1147)=0,1,0))</f>
        <v/>
      </c>
    </row>
    <row r="1148">
      <c r="A1148" s="1" t="n"/>
      <c r="B1148" s="20" t="n"/>
      <c r="C1148" s="17" t="n"/>
      <c r="D1148" s="18" t="n"/>
      <c r="E1148" s="18" t="n"/>
      <c r="F1148" s="1" t="n"/>
      <c r="G1148">
        <f>IF(OR(B1148="",C1148="",D1148=""),"",B1148+ROW()/10000000)</f>
        <v/>
      </c>
      <c r="H1148">
        <f>IF(G1148="","",IF(COUNTIFS('Care log'!$C$6:$C$1505,C1148,'Care log'!$D$6:$D$1505,D1148,'Care log'!$G$6:$G$1505,"&gt;"&amp;G1148)=0,1,0))</f>
        <v/>
      </c>
    </row>
    <row r="1149">
      <c r="A1149" s="1" t="n"/>
      <c r="B1149" s="20" t="n"/>
      <c r="C1149" s="17" t="n"/>
      <c r="D1149" s="18" t="n"/>
      <c r="E1149" s="18" t="n"/>
      <c r="F1149" s="1" t="n"/>
      <c r="G1149">
        <f>IF(OR(B1149="",C1149="",D1149=""),"",B1149+ROW()/10000000)</f>
        <v/>
      </c>
      <c r="H1149">
        <f>IF(G1149="","",IF(COUNTIFS('Care log'!$C$6:$C$1505,C1149,'Care log'!$D$6:$D$1505,D1149,'Care log'!$G$6:$G$1505,"&gt;"&amp;G1149)=0,1,0))</f>
        <v/>
      </c>
    </row>
    <row r="1150">
      <c r="A1150" s="1" t="n"/>
      <c r="B1150" s="20" t="n"/>
      <c r="C1150" s="17" t="n"/>
      <c r="D1150" s="18" t="n"/>
      <c r="E1150" s="18" t="n"/>
      <c r="F1150" s="1" t="n"/>
      <c r="G1150">
        <f>IF(OR(B1150="",C1150="",D1150=""),"",B1150+ROW()/10000000)</f>
        <v/>
      </c>
      <c r="H1150">
        <f>IF(G1150="","",IF(COUNTIFS('Care log'!$C$6:$C$1505,C1150,'Care log'!$D$6:$D$1505,D1150,'Care log'!$G$6:$G$1505,"&gt;"&amp;G1150)=0,1,0))</f>
        <v/>
      </c>
    </row>
    <row r="1151">
      <c r="A1151" s="1" t="n"/>
      <c r="B1151" s="20" t="n"/>
      <c r="C1151" s="17" t="n"/>
      <c r="D1151" s="18" t="n"/>
      <c r="E1151" s="18" t="n"/>
      <c r="F1151" s="1" t="n"/>
      <c r="G1151">
        <f>IF(OR(B1151="",C1151="",D1151=""),"",B1151+ROW()/10000000)</f>
        <v/>
      </c>
      <c r="H1151">
        <f>IF(G1151="","",IF(COUNTIFS('Care log'!$C$6:$C$1505,C1151,'Care log'!$D$6:$D$1505,D1151,'Care log'!$G$6:$G$1505,"&gt;"&amp;G1151)=0,1,0))</f>
        <v/>
      </c>
    </row>
    <row r="1152">
      <c r="A1152" s="1" t="n"/>
      <c r="B1152" s="20" t="n"/>
      <c r="C1152" s="17" t="n"/>
      <c r="D1152" s="18" t="n"/>
      <c r="E1152" s="18" t="n"/>
      <c r="F1152" s="1" t="n"/>
      <c r="G1152">
        <f>IF(OR(B1152="",C1152="",D1152=""),"",B1152+ROW()/10000000)</f>
        <v/>
      </c>
      <c r="H1152">
        <f>IF(G1152="","",IF(COUNTIFS('Care log'!$C$6:$C$1505,C1152,'Care log'!$D$6:$D$1505,D1152,'Care log'!$G$6:$G$1505,"&gt;"&amp;G1152)=0,1,0))</f>
        <v/>
      </c>
    </row>
    <row r="1153">
      <c r="A1153" s="1" t="n"/>
      <c r="B1153" s="20" t="n"/>
      <c r="C1153" s="17" t="n"/>
      <c r="D1153" s="18" t="n"/>
      <c r="E1153" s="18" t="n"/>
      <c r="F1153" s="1" t="n"/>
      <c r="G1153">
        <f>IF(OR(B1153="",C1153="",D1153=""),"",B1153+ROW()/10000000)</f>
        <v/>
      </c>
      <c r="H1153">
        <f>IF(G1153="","",IF(COUNTIFS('Care log'!$C$6:$C$1505,C1153,'Care log'!$D$6:$D$1505,D1153,'Care log'!$G$6:$G$1505,"&gt;"&amp;G1153)=0,1,0))</f>
        <v/>
      </c>
    </row>
    <row r="1154">
      <c r="A1154" s="1" t="n"/>
      <c r="B1154" s="20" t="n"/>
      <c r="C1154" s="17" t="n"/>
      <c r="D1154" s="18" t="n"/>
      <c r="E1154" s="18" t="n"/>
      <c r="F1154" s="1" t="n"/>
      <c r="G1154">
        <f>IF(OR(B1154="",C1154="",D1154=""),"",B1154+ROW()/10000000)</f>
        <v/>
      </c>
      <c r="H1154">
        <f>IF(G1154="","",IF(COUNTIFS('Care log'!$C$6:$C$1505,C1154,'Care log'!$D$6:$D$1505,D1154,'Care log'!$G$6:$G$1505,"&gt;"&amp;G1154)=0,1,0))</f>
        <v/>
      </c>
    </row>
    <row r="1155">
      <c r="A1155" s="1" t="n"/>
      <c r="B1155" s="20" t="n"/>
      <c r="C1155" s="17" t="n"/>
      <c r="D1155" s="18" t="n"/>
      <c r="E1155" s="18" t="n"/>
      <c r="F1155" s="1" t="n"/>
      <c r="G1155">
        <f>IF(OR(B1155="",C1155="",D1155=""),"",B1155+ROW()/10000000)</f>
        <v/>
      </c>
      <c r="H1155">
        <f>IF(G1155="","",IF(COUNTIFS('Care log'!$C$6:$C$1505,C1155,'Care log'!$D$6:$D$1505,D1155,'Care log'!$G$6:$G$1505,"&gt;"&amp;G1155)=0,1,0))</f>
        <v/>
      </c>
    </row>
    <row r="1156">
      <c r="A1156" s="1" t="n"/>
      <c r="B1156" s="20" t="n"/>
      <c r="C1156" s="17" t="n"/>
      <c r="D1156" s="18" t="n"/>
      <c r="E1156" s="18" t="n"/>
      <c r="F1156" s="1" t="n"/>
      <c r="G1156">
        <f>IF(OR(B1156="",C1156="",D1156=""),"",B1156+ROW()/10000000)</f>
        <v/>
      </c>
      <c r="H1156">
        <f>IF(G1156="","",IF(COUNTIFS('Care log'!$C$6:$C$1505,C1156,'Care log'!$D$6:$D$1505,D1156,'Care log'!$G$6:$G$1505,"&gt;"&amp;G1156)=0,1,0))</f>
        <v/>
      </c>
    </row>
    <row r="1157">
      <c r="A1157" s="1" t="n"/>
      <c r="B1157" s="20" t="n"/>
      <c r="C1157" s="17" t="n"/>
      <c r="D1157" s="18" t="n"/>
      <c r="E1157" s="18" t="n"/>
      <c r="F1157" s="1" t="n"/>
      <c r="G1157">
        <f>IF(OR(B1157="",C1157="",D1157=""),"",B1157+ROW()/10000000)</f>
        <v/>
      </c>
      <c r="H1157">
        <f>IF(G1157="","",IF(COUNTIFS('Care log'!$C$6:$C$1505,C1157,'Care log'!$D$6:$D$1505,D1157,'Care log'!$G$6:$G$1505,"&gt;"&amp;G1157)=0,1,0))</f>
        <v/>
      </c>
    </row>
    <row r="1158">
      <c r="A1158" s="1" t="n"/>
      <c r="B1158" s="20" t="n"/>
      <c r="C1158" s="17" t="n"/>
      <c r="D1158" s="18" t="n"/>
      <c r="E1158" s="18" t="n"/>
      <c r="F1158" s="1" t="n"/>
      <c r="G1158">
        <f>IF(OR(B1158="",C1158="",D1158=""),"",B1158+ROW()/10000000)</f>
        <v/>
      </c>
      <c r="H1158">
        <f>IF(G1158="","",IF(COUNTIFS('Care log'!$C$6:$C$1505,C1158,'Care log'!$D$6:$D$1505,D1158,'Care log'!$G$6:$G$1505,"&gt;"&amp;G1158)=0,1,0))</f>
        <v/>
      </c>
    </row>
    <row r="1159">
      <c r="A1159" s="1" t="n"/>
      <c r="B1159" s="20" t="n"/>
      <c r="C1159" s="17" t="n"/>
      <c r="D1159" s="18" t="n"/>
      <c r="E1159" s="18" t="n"/>
      <c r="F1159" s="1" t="n"/>
      <c r="G1159">
        <f>IF(OR(B1159="",C1159="",D1159=""),"",B1159+ROW()/10000000)</f>
        <v/>
      </c>
      <c r="H1159">
        <f>IF(G1159="","",IF(COUNTIFS('Care log'!$C$6:$C$1505,C1159,'Care log'!$D$6:$D$1505,D1159,'Care log'!$G$6:$G$1505,"&gt;"&amp;G1159)=0,1,0))</f>
        <v/>
      </c>
    </row>
    <row r="1160">
      <c r="A1160" s="1" t="n"/>
      <c r="B1160" s="20" t="n"/>
      <c r="C1160" s="17" t="n"/>
      <c r="D1160" s="18" t="n"/>
      <c r="E1160" s="18" t="n"/>
      <c r="F1160" s="1" t="n"/>
      <c r="G1160">
        <f>IF(OR(B1160="",C1160="",D1160=""),"",B1160+ROW()/10000000)</f>
        <v/>
      </c>
      <c r="H1160">
        <f>IF(G1160="","",IF(COUNTIFS('Care log'!$C$6:$C$1505,C1160,'Care log'!$D$6:$D$1505,D1160,'Care log'!$G$6:$G$1505,"&gt;"&amp;G1160)=0,1,0))</f>
        <v/>
      </c>
    </row>
    <row r="1161">
      <c r="A1161" s="1" t="n"/>
      <c r="B1161" s="20" t="n"/>
      <c r="C1161" s="17" t="n"/>
      <c r="D1161" s="18" t="n"/>
      <c r="E1161" s="18" t="n"/>
      <c r="F1161" s="1" t="n"/>
      <c r="G1161">
        <f>IF(OR(B1161="",C1161="",D1161=""),"",B1161+ROW()/10000000)</f>
        <v/>
      </c>
      <c r="H1161">
        <f>IF(G1161="","",IF(COUNTIFS('Care log'!$C$6:$C$1505,C1161,'Care log'!$D$6:$D$1505,D1161,'Care log'!$G$6:$G$1505,"&gt;"&amp;G1161)=0,1,0))</f>
        <v/>
      </c>
    </row>
    <row r="1162">
      <c r="A1162" s="1" t="n"/>
      <c r="B1162" s="20" t="n"/>
      <c r="C1162" s="17" t="n"/>
      <c r="D1162" s="18" t="n"/>
      <c r="E1162" s="18" t="n"/>
      <c r="F1162" s="1" t="n"/>
      <c r="G1162">
        <f>IF(OR(B1162="",C1162="",D1162=""),"",B1162+ROW()/10000000)</f>
        <v/>
      </c>
      <c r="H1162">
        <f>IF(G1162="","",IF(COUNTIFS('Care log'!$C$6:$C$1505,C1162,'Care log'!$D$6:$D$1505,D1162,'Care log'!$G$6:$G$1505,"&gt;"&amp;G1162)=0,1,0))</f>
        <v/>
      </c>
    </row>
    <row r="1163">
      <c r="A1163" s="1" t="n"/>
      <c r="B1163" s="20" t="n"/>
      <c r="C1163" s="17" t="n"/>
      <c r="D1163" s="18" t="n"/>
      <c r="E1163" s="18" t="n"/>
      <c r="F1163" s="1" t="n"/>
      <c r="G1163">
        <f>IF(OR(B1163="",C1163="",D1163=""),"",B1163+ROW()/10000000)</f>
        <v/>
      </c>
      <c r="H1163">
        <f>IF(G1163="","",IF(COUNTIFS('Care log'!$C$6:$C$1505,C1163,'Care log'!$D$6:$D$1505,D1163,'Care log'!$G$6:$G$1505,"&gt;"&amp;G1163)=0,1,0))</f>
        <v/>
      </c>
    </row>
    <row r="1164">
      <c r="A1164" s="1" t="n"/>
      <c r="B1164" s="20" t="n"/>
      <c r="C1164" s="17" t="n"/>
      <c r="D1164" s="18" t="n"/>
      <c r="E1164" s="18" t="n"/>
      <c r="F1164" s="1" t="n"/>
      <c r="G1164">
        <f>IF(OR(B1164="",C1164="",D1164=""),"",B1164+ROW()/10000000)</f>
        <v/>
      </c>
      <c r="H1164">
        <f>IF(G1164="","",IF(COUNTIFS('Care log'!$C$6:$C$1505,C1164,'Care log'!$D$6:$D$1505,D1164,'Care log'!$G$6:$G$1505,"&gt;"&amp;G1164)=0,1,0))</f>
        <v/>
      </c>
    </row>
    <row r="1165">
      <c r="A1165" s="1" t="n"/>
      <c r="B1165" s="20" t="n"/>
      <c r="C1165" s="17" t="n"/>
      <c r="D1165" s="18" t="n"/>
      <c r="E1165" s="18" t="n"/>
      <c r="F1165" s="1" t="n"/>
      <c r="G1165">
        <f>IF(OR(B1165="",C1165="",D1165=""),"",B1165+ROW()/10000000)</f>
        <v/>
      </c>
      <c r="H1165">
        <f>IF(G1165="","",IF(COUNTIFS('Care log'!$C$6:$C$1505,C1165,'Care log'!$D$6:$D$1505,D1165,'Care log'!$G$6:$G$1505,"&gt;"&amp;G1165)=0,1,0))</f>
        <v/>
      </c>
    </row>
    <row r="1166">
      <c r="A1166" s="1" t="n"/>
      <c r="B1166" s="20" t="n"/>
      <c r="C1166" s="17" t="n"/>
      <c r="D1166" s="18" t="n"/>
      <c r="E1166" s="18" t="n"/>
      <c r="F1166" s="1" t="n"/>
      <c r="G1166">
        <f>IF(OR(B1166="",C1166="",D1166=""),"",B1166+ROW()/10000000)</f>
        <v/>
      </c>
      <c r="H1166">
        <f>IF(G1166="","",IF(COUNTIFS('Care log'!$C$6:$C$1505,C1166,'Care log'!$D$6:$D$1505,D1166,'Care log'!$G$6:$G$1505,"&gt;"&amp;G1166)=0,1,0))</f>
        <v/>
      </c>
    </row>
    <row r="1167">
      <c r="A1167" s="1" t="n"/>
      <c r="B1167" s="20" t="n"/>
      <c r="C1167" s="17" t="n"/>
      <c r="D1167" s="18" t="n"/>
      <c r="E1167" s="18" t="n"/>
      <c r="F1167" s="1" t="n"/>
      <c r="G1167">
        <f>IF(OR(B1167="",C1167="",D1167=""),"",B1167+ROW()/10000000)</f>
        <v/>
      </c>
      <c r="H1167">
        <f>IF(G1167="","",IF(COUNTIFS('Care log'!$C$6:$C$1505,C1167,'Care log'!$D$6:$D$1505,D1167,'Care log'!$G$6:$G$1505,"&gt;"&amp;G1167)=0,1,0))</f>
        <v/>
      </c>
    </row>
    <row r="1168">
      <c r="A1168" s="1" t="n"/>
      <c r="B1168" s="20" t="n"/>
      <c r="C1168" s="17" t="n"/>
      <c r="D1168" s="18" t="n"/>
      <c r="E1168" s="18" t="n"/>
      <c r="F1168" s="1" t="n"/>
      <c r="G1168">
        <f>IF(OR(B1168="",C1168="",D1168=""),"",B1168+ROW()/10000000)</f>
        <v/>
      </c>
      <c r="H1168">
        <f>IF(G1168="","",IF(COUNTIFS('Care log'!$C$6:$C$1505,C1168,'Care log'!$D$6:$D$1505,D1168,'Care log'!$G$6:$G$1505,"&gt;"&amp;G1168)=0,1,0))</f>
        <v/>
      </c>
    </row>
    <row r="1169">
      <c r="A1169" s="1" t="n"/>
      <c r="B1169" s="20" t="n"/>
      <c r="C1169" s="17" t="n"/>
      <c r="D1169" s="18" t="n"/>
      <c r="E1169" s="18" t="n"/>
      <c r="F1169" s="1" t="n"/>
      <c r="G1169">
        <f>IF(OR(B1169="",C1169="",D1169=""),"",B1169+ROW()/10000000)</f>
        <v/>
      </c>
      <c r="H1169">
        <f>IF(G1169="","",IF(COUNTIFS('Care log'!$C$6:$C$1505,C1169,'Care log'!$D$6:$D$1505,D1169,'Care log'!$G$6:$G$1505,"&gt;"&amp;G1169)=0,1,0))</f>
        <v/>
      </c>
    </row>
    <row r="1170">
      <c r="A1170" s="1" t="n"/>
      <c r="B1170" s="20" t="n"/>
      <c r="C1170" s="17" t="n"/>
      <c r="D1170" s="18" t="n"/>
      <c r="E1170" s="18" t="n"/>
      <c r="F1170" s="1" t="n"/>
      <c r="G1170">
        <f>IF(OR(B1170="",C1170="",D1170=""),"",B1170+ROW()/10000000)</f>
        <v/>
      </c>
      <c r="H1170">
        <f>IF(G1170="","",IF(COUNTIFS('Care log'!$C$6:$C$1505,C1170,'Care log'!$D$6:$D$1505,D1170,'Care log'!$G$6:$G$1505,"&gt;"&amp;G1170)=0,1,0))</f>
        <v/>
      </c>
    </row>
    <row r="1171">
      <c r="A1171" s="1" t="n"/>
      <c r="B1171" s="20" t="n"/>
      <c r="C1171" s="17" t="n"/>
      <c r="D1171" s="18" t="n"/>
      <c r="E1171" s="18" t="n"/>
      <c r="F1171" s="1" t="n"/>
      <c r="G1171">
        <f>IF(OR(B1171="",C1171="",D1171=""),"",B1171+ROW()/10000000)</f>
        <v/>
      </c>
      <c r="H1171">
        <f>IF(G1171="","",IF(COUNTIFS('Care log'!$C$6:$C$1505,C1171,'Care log'!$D$6:$D$1505,D1171,'Care log'!$G$6:$G$1505,"&gt;"&amp;G1171)=0,1,0))</f>
        <v/>
      </c>
    </row>
    <row r="1172">
      <c r="A1172" s="1" t="n"/>
      <c r="B1172" s="20" t="n"/>
      <c r="C1172" s="17" t="n"/>
      <c r="D1172" s="18" t="n"/>
      <c r="E1172" s="18" t="n"/>
      <c r="F1172" s="1" t="n"/>
      <c r="G1172">
        <f>IF(OR(B1172="",C1172="",D1172=""),"",B1172+ROW()/10000000)</f>
        <v/>
      </c>
      <c r="H1172">
        <f>IF(G1172="","",IF(COUNTIFS('Care log'!$C$6:$C$1505,C1172,'Care log'!$D$6:$D$1505,D1172,'Care log'!$G$6:$G$1505,"&gt;"&amp;G1172)=0,1,0))</f>
        <v/>
      </c>
    </row>
    <row r="1173">
      <c r="A1173" s="1" t="n"/>
      <c r="B1173" s="20" t="n"/>
      <c r="C1173" s="17" t="n"/>
      <c r="D1173" s="18" t="n"/>
      <c r="E1173" s="18" t="n"/>
      <c r="F1173" s="1" t="n"/>
      <c r="G1173">
        <f>IF(OR(B1173="",C1173="",D1173=""),"",B1173+ROW()/10000000)</f>
        <v/>
      </c>
      <c r="H1173">
        <f>IF(G1173="","",IF(COUNTIFS('Care log'!$C$6:$C$1505,C1173,'Care log'!$D$6:$D$1505,D1173,'Care log'!$G$6:$G$1505,"&gt;"&amp;G1173)=0,1,0))</f>
        <v/>
      </c>
    </row>
    <row r="1174">
      <c r="A1174" s="1" t="n"/>
      <c r="B1174" s="20" t="n"/>
      <c r="C1174" s="17" t="n"/>
      <c r="D1174" s="18" t="n"/>
      <c r="E1174" s="18" t="n"/>
      <c r="F1174" s="1" t="n"/>
      <c r="G1174">
        <f>IF(OR(B1174="",C1174="",D1174=""),"",B1174+ROW()/10000000)</f>
        <v/>
      </c>
      <c r="H1174">
        <f>IF(G1174="","",IF(COUNTIFS('Care log'!$C$6:$C$1505,C1174,'Care log'!$D$6:$D$1505,D1174,'Care log'!$G$6:$G$1505,"&gt;"&amp;G1174)=0,1,0))</f>
        <v/>
      </c>
    </row>
    <row r="1175">
      <c r="A1175" s="1" t="n"/>
      <c r="B1175" s="20" t="n"/>
      <c r="C1175" s="17" t="n"/>
      <c r="D1175" s="18" t="n"/>
      <c r="E1175" s="18" t="n"/>
      <c r="F1175" s="1" t="n"/>
      <c r="G1175">
        <f>IF(OR(B1175="",C1175="",D1175=""),"",B1175+ROW()/10000000)</f>
        <v/>
      </c>
      <c r="H1175">
        <f>IF(G1175="","",IF(COUNTIFS('Care log'!$C$6:$C$1505,C1175,'Care log'!$D$6:$D$1505,D1175,'Care log'!$G$6:$G$1505,"&gt;"&amp;G1175)=0,1,0))</f>
        <v/>
      </c>
    </row>
    <row r="1176">
      <c r="A1176" s="1" t="n"/>
      <c r="B1176" s="20" t="n"/>
      <c r="C1176" s="17" t="n"/>
      <c r="D1176" s="18" t="n"/>
      <c r="E1176" s="18" t="n"/>
      <c r="F1176" s="1" t="n"/>
      <c r="G1176">
        <f>IF(OR(B1176="",C1176="",D1176=""),"",B1176+ROW()/10000000)</f>
        <v/>
      </c>
      <c r="H1176">
        <f>IF(G1176="","",IF(COUNTIFS('Care log'!$C$6:$C$1505,C1176,'Care log'!$D$6:$D$1505,D1176,'Care log'!$G$6:$G$1505,"&gt;"&amp;G1176)=0,1,0))</f>
        <v/>
      </c>
    </row>
    <row r="1177">
      <c r="A1177" s="1" t="n"/>
      <c r="B1177" s="20" t="n"/>
      <c r="C1177" s="17" t="n"/>
      <c r="D1177" s="18" t="n"/>
      <c r="E1177" s="18" t="n"/>
      <c r="F1177" s="1" t="n"/>
      <c r="G1177">
        <f>IF(OR(B1177="",C1177="",D1177=""),"",B1177+ROW()/10000000)</f>
        <v/>
      </c>
      <c r="H1177">
        <f>IF(G1177="","",IF(COUNTIFS('Care log'!$C$6:$C$1505,C1177,'Care log'!$D$6:$D$1505,D1177,'Care log'!$G$6:$G$1505,"&gt;"&amp;G1177)=0,1,0))</f>
        <v/>
      </c>
    </row>
    <row r="1178">
      <c r="A1178" s="1" t="n"/>
      <c r="B1178" s="20" t="n"/>
      <c r="C1178" s="17" t="n"/>
      <c r="D1178" s="18" t="n"/>
      <c r="E1178" s="18" t="n"/>
      <c r="F1178" s="1" t="n"/>
      <c r="G1178">
        <f>IF(OR(B1178="",C1178="",D1178=""),"",B1178+ROW()/10000000)</f>
        <v/>
      </c>
      <c r="H1178">
        <f>IF(G1178="","",IF(COUNTIFS('Care log'!$C$6:$C$1505,C1178,'Care log'!$D$6:$D$1505,D1178,'Care log'!$G$6:$G$1505,"&gt;"&amp;G1178)=0,1,0))</f>
        <v/>
      </c>
    </row>
    <row r="1179">
      <c r="A1179" s="1" t="n"/>
      <c r="B1179" s="20" t="n"/>
      <c r="C1179" s="17" t="n"/>
      <c r="D1179" s="18" t="n"/>
      <c r="E1179" s="18" t="n"/>
      <c r="F1179" s="1" t="n"/>
      <c r="G1179">
        <f>IF(OR(B1179="",C1179="",D1179=""),"",B1179+ROW()/10000000)</f>
        <v/>
      </c>
      <c r="H1179">
        <f>IF(G1179="","",IF(COUNTIFS('Care log'!$C$6:$C$1505,C1179,'Care log'!$D$6:$D$1505,D1179,'Care log'!$G$6:$G$1505,"&gt;"&amp;G1179)=0,1,0))</f>
        <v/>
      </c>
    </row>
    <row r="1180">
      <c r="A1180" s="1" t="n"/>
      <c r="B1180" s="20" t="n"/>
      <c r="C1180" s="17" t="n"/>
      <c r="D1180" s="18" t="n"/>
      <c r="E1180" s="18" t="n"/>
      <c r="F1180" s="1" t="n"/>
      <c r="G1180">
        <f>IF(OR(B1180="",C1180="",D1180=""),"",B1180+ROW()/10000000)</f>
        <v/>
      </c>
      <c r="H1180">
        <f>IF(G1180="","",IF(COUNTIFS('Care log'!$C$6:$C$1505,C1180,'Care log'!$D$6:$D$1505,D1180,'Care log'!$G$6:$G$1505,"&gt;"&amp;G1180)=0,1,0))</f>
        <v/>
      </c>
    </row>
    <row r="1181">
      <c r="A1181" s="1" t="n"/>
      <c r="B1181" s="20" t="n"/>
      <c r="C1181" s="17" t="n"/>
      <c r="D1181" s="18" t="n"/>
      <c r="E1181" s="18" t="n"/>
      <c r="F1181" s="1" t="n"/>
      <c r="G1181">
        <f>IF(OR(B1181="",C1181="",D1181=""),"",B1181+ROW()/10000000)</f>
        <v/>
      </c>
      <c r="H1181">
        <f>IF(G1181="","",IF(COUNTIFS('Care log'!$C$6:$C$1505,C1181,'Care log'!$D$6:$D$1505,D1181,'Care log'!$G$6:$G$1505,"&gt;"&amp;G1181)=0,1,0))</f>
        <v/>
      </c>
    </row>
    <row r="1182">
      <c r="A1182" s="1" t="n"/>
      <c r="B1182" s="20" t="n"/>
      <c r="C1182" s="17" t="n"/>
      <c r="D1182" s="18" t="n"/>
      <c r="E1182" s="18" t="n"/>
      <c r="F1182" s="1" t="n"/>
      <c r="G1182">
        <f>IF(OR(B1182="",C1182="",D1182=""),"",B1182+ROW()/10000000)</f>
        <v/>
      </c>
      <c r="H1182">
        <f>IF(G1182="","",IF(COUNTIFS('Care log'!$C$6:$C$1505,C1182,'Care log'!$D$6:$D$1505,D1182,'Care log'!$G$6:$G$1505,"&gt;"&amp;G1182)=0,1,0))</f>
        <v/>
      </c>
    </row>
    <row r="1183">
      <c r="A1183" s="1" t="n"/>
      <c r="B1183" s="20" t="n"/>
      <c r="C1183" s="17" t="n"/>
      <c r="D1183" s="18" t="n"/>
      <c r="E1183" s="18" t="n"/>
      <c r="F1183" s="1" t="n"/>
      <c r="G1183">
        <f>IF(OR(B1183="",C1183="",D1183=""),"",B1183+ROW()/10000000)</f>
        <v/>
      </c>
      <c r="H1183">
        <f>IF(G1183="","",IF(COUNTIFS('Care log'!$C$6:$C$1505,C1183,'Care log'!$D$6:$D$1505,D1183,'Care log'!$G$6:$G$1505,"&gt;"&amp;G1183)=0,1,0))</f>
        <v/>
      </c>
    </row>
    <row r="1184">
      <c r="A1184" s="1" t="n"/>
      <c r="B1184" s="20" t="n"/>
      <c r="C1184" s="17" t="n"/>
      <c r="D1184" s="18" t="n"/>
      <c r="E1184" s="18" t="n"/>
      <c r="F1184" s="1" t="n"/>
      <c r="G1184">
        <f>IF(OR(B1184="",C1184="",D1184=""),"",B1184+ROW()/10000000)</f>
        <v/>
      </c>
      <c r="H1184">
        <f>IF(G1184="","",IF(COUNTIFS('Care log'!$C$6:$C$1505,C1184,'Care log'!$D$6:$D$1505,D1184,'Care log'!$G$6:$G$1505,"&gt;"&amp;G1184)=0,1,0))</f>
        <v/>
      </c>
    </row>
    <row r="1185">
      <c r="A1185" s="1" t="n"/>
      <c r="B1185" s="20" t="n"/>
      <c r="C1185" s="17" t="n"/>
      <c r="D1185" s="18" t="n"/>
      <c r="E1185" s="18" t="n"/>
      <c r="F1185" s="1" t="n"/>
      <c r="G1185">
        <f>IF(OR(B1185="",C1185="",D1185=""),"",B1185+ROW()/10000000)</f>
        <v/>
      </c>
      <c r="H1185">
        <f>IF(G1185="","",IF(COUNTIFS('Care log'!$C$6:$C$1505,C1185,'Care log'!$D$6:$D$1505,D1185,'Care log'!$G$6:$G$1505,"&gt;"&amp;G1185)=0,1,0))</f>
        <v/>
      </c>
    </row>
    <row r="1186">
      <c r="A1186" s="1" t="n"/>
      <c r="B1186" s="20" t="n"/>
      <c r="C1186" s="17" t="n"/>
      <c r="D1186" s="18" t="n"/>
      <c r="E1186" s="18" t="n"/>
      <c r="F1186" s="1" t="n"/>
      <c r="G1186">
        <f>IF(OR(B1186="",C1186="",D1186=""),"",B1186+ROW()/10000000)</f>
        <v/>
      </c>
      <c r="H1186">
        <f>IF(G1186="","",IF(COUNTIFS('Care log'!$C$6:$C$1505,C1186,'Care log'!$D$6:$D$1505,D1186,'Care log'!$G$6:$G$1505,"&gt;"&amp;G1186)=0,1,0))</f>
        <v/>
      </c>
    </row>
    <row r="1187">
      <c r="A1187" s="1" t="n"/>
      <c r="B1187" s="20" t="n"/>
      <c r="C1187" s="17" t="n"/>
      <c r="D1187" s="18" t="n"/>
      <c r="E1187" s="18" t="n"/>
      <c r="F1187" s="1" t="n"/>
      <c r="G1187">
        <f>IF(OR(B1187="",C1187="",D1187=""),"",B1187+ROW()/10000000)</f>
        <v/>
      </c>
      <c r="H1187">
        <f>IF(G1187="","",IF(COUNTIFS('Care log'!$C$6:$C$1505,C1187,'Care log'!$D$6:$D$1505,D1187,'Care log'!$G$6:$G$1505,"&gt;"&amp;G1187)=0,1,0))</f>
        <v/>
      </c>
    </row>
    <row r="1188">
      <c r="A1188" s="1" t="n"/>
      <c r="B1188" s="20" t="n"/>
      <c r="C1188" s="17" t="n"/>
      <c r="D1188" s="18" t="n"/>
      <c r="E1188" s="18" t="n"/>
      <c r="F1188" s="1" t="n"/>
      <c r="G1188">
        <f>IF(OR(B1188="",C1188="",D1188=""),"",B1188+ROW()/10000000)</f>
        <v/>
      </c>
      <c r="H1188">
        <f>IF(G1188="","",IF(COUNTIFS('Care log'!$C$6:$C$1505,C1188,'Care log'!$D$6:$D$1505,D1188,'Care log'!$G$6:$G$1505,"&gt;"&amp;G1188)=0,1,0))</f>
        <v/>
      </c>
    </row>
    <row r="1189">
      <c r="A1189" s="1" t="n"/>
      <c r="B1189" s="20" t="n"/>
      <c r="C1189" s="17" t="n"/>
      <c r="D1189" s="18" t="n"/>
      <c r="E1189" s="18" t="n"/>
      <c r="F1189" s="1" t="n"/>
      <c r="G1189">
        <f>IF(OR(B1189="",C1189="",D1189=""),"",B1189+ROW()/10000000)</f>
        <v/>
      </c>
      <c r="H1189">
        <f>IF(G1189="","",IF(COUNTIFS('Care log'!$C$6:$C$1505,C1189,'Care log'!$D$6:$D$1505,D1189,'Care log'!$G$6:$G$1505,"&gt;"&amp;G1189)=0,1,0))</f>
        <v/>
      </c>
    </row>
    <row r="1190">
      <c r="A1190" s="1" t="n"/>
      <c r="B1190" s="20" t="n"/>
      <c r="C1190" s="17" t="n"/>
      <c r="D1190" s="18" t="n"/>
      <c r="E1190" s="18" t="n"/>
      <c r="F1190" s="1" t="n"/>
      <c r="G1190">
        <f>IF(OR(B1190="",C1190="",D1190=""),"",B1190+ROW()/10000000)</f>
        <v/>
      </c>
      <c r="H1190">
        <f>IF(G1190="","",IF(COUNTIFS('Care log'!$C$6:$C$1505,C1190,'Care log'!$D$6:$D$1505,D1190,'Care log'!$G$6:$G$1505,"&gt;"&amp;G1190)=0,1,0))</f>
        <v/>
      </c>
    </row>
    <row r="1191">
      <c r="A1191" s="1" t="n"/>
      <c r="B1191" s="20" t="n"/>
      <c r="C1191" s="17" t="n"/>
      <c r="D1191" s="18" t="n"/>
      <c r="E1191" s="18" t="n"/>
      <c r="F1191" s="1" t="n"/>
      <c r="G1191">
        <f>IF(OR(B1191="",C1191="",D1191=""),"",B1191+ROW()/10000000)</f>
        <v/>
      </c>
      <c r="H1191">
        <f>IF(G1191="","",IF(COUNTIFS('Care log'!$C$6:$C$1505,C1191,'Care log'!$D$6:$D$1505,D1191,'Care log'!$G$6:$G$1505,"&gt;"&amp;G1191)=0,1,0))</f>
        <v/>
      </c>
    </row>
    <row r="1192">
      <c r="A1192" s="1" t="n"/>
      <c r="B1192" s="20" t="n"/>
      <c r="C1192" s="17" t="n"/>
      <c r="D1192" s="18" t="n"/>
      <c r="E1192" s="18" t="n"/>
      <c r="F1192" s="1" t="n"/>
      <c r="G1192">
        <f>IF(OR(B1192="",C1192="",D1192=""),"",B1192+ROW()/10000000)</f>
        <v/>
      </c>
      <c r="H1192">
        <f>IF(G1192="","",IF(COUNTIFS('Care log'!$C$6:$C$1505,C1192,'Care log'!$D$6:$D$1505,D1192,'Care log'!$G$6:$G$1505,"&gt;"&amp;G1192)=0,1,0))</f>
        <v/>
      </c>
    </row>
    <row r="1193">
      <c r="A1193" s="1" t="n"/>
      <c r="B1193" s="20" t="n"/>
      <c r="C1193" s="17" t="n"/>
      <c r="D1193" s="18" t="n"/>
      <c r="E1193" s="18" t="n"/>
      <c r="F1193" s="1" t="n"/>
      <c r="G1193">
        <f>IF(OR(B1193="",C1193="",D1193=""),"",B1193+ROW()/10000000)</f>
        <v/>
      </c>
      <c r="H1193">
        <f>IF(G1193="","",IF(COUNTIFS('Care log'!$C$6:$C$1505,C1193,'Care log'!$D$6:$D$1505,D1193,'Care log'!$G$6:$G$1505,"&gt;"&amp;G1193)=0,1,0))</f>
        <v/>
      </c>
    </row>
    <row r="1194">
      <c r="A1194" s="1" t="n"/>
      <c r="B1194" s="20" t="n"/>
      <c r="C1194" s="17" t="n"/>
      <c r="D1194" s="18" t="n"/>
      <c r="E1194" s="18" t="n"/>
      <c r="F1194" s="1" t="n"/>
      <c r="G1194">
        <f>IF(OR(B1194="",C1194="",D1194=""),"",B1194+ROW()/10000000)</f>
        <v/>
      </c>
      <c r="H1194">
        <f>IF(G1194="","",IF(COUNTIFS('Care log'!$C$6:$C$1505,C1194,'Care log'!$D$6:$D$1505,D1194,'Care log'!$G$6:$G$1505,"&gt;"&amp;G1194)=0,1,0))</f>
        <v/>
      </c>
    </row>
    <row r="1195">
      <c r="A1195" s="1" t="n"/>
      <c r="B1195" s="20" t="n"/>
      <c r="C1195" s="17" t="n"/>
      <c r="D1195" s="18" t="n"/>
      <c r="E1195" s="18" t="n"/>
      <c r="F1195" s="1" t="n"/>
      <c r="G1195">
        <f>IF(OR(B1195="",C1195="",D1195=""),"",B1195+ROW()/10000000)</f>
        <v/>
      </c>
      <c r="H1195">
        <f>IF(G1195="","",IF(COUNTIFS('Care log'!$C$6:$C$1505,C1195,'Care log'!$D$6:$D$1505,D1195,'Care log'!$G$6:$G$1505,"&gt;"&amp;G1195)=0,1,0))</f>
        <v/>
      </c>
    </row>
    <row r="1196">
      <c r="A1196" s="1" t="n"/>
      <c r="B1196" s="20" t="n"/>
      <c r="C1196" s="17" t="n"/>
      <c r="D1196" s="18" t="n"/>
      <c r="E1196" s="18" t="n"/>
      <c r="F1196" s="1" t="n"/>
      <c r="G1196">
        <f>IF(OR(B1196="",C1196="",D1196=""),"",B1196+ROW()/10000000)</f>
        <v/>
      </c>
      <c r="H1196">
        <f>IF(G1196="","",IF(COUNTIFS('Care log'!$C$6:$C$1505,C1196,'Care log'!$D$6:$D$1505,D1196,'Care log'!$G$6:$G$1505,"&gt;"&amp;G1196)=0,1,0))</f>
        <v/>
      </c>
    </row>
    <row r="1197">
      <c r="A1197" s="1" t="n"/>
      <c r="B1197" s="20" t="n"/>
      <c r="C1197" s="17" t="n"/>
      <c r="D1197" s="18" t="n"/>
      <c r="E1197" s="18" t="n"/>
      <c r="F1197" s="1" t="n"/>
      <c r="G1197">
        <f>IF(OR(B1197="",C1197="",D1197=""),"",B1197+ROW()/10000000)</f>
        <v/>
      </c>
      <c r="H1197">
        <f>IF(G1197="","",IF(COUNTIFS('Care log'!$C$6:$C$1505,C1197,'Care log'!$D$6:$D$1505,D1197,'Care log'!$G$6:$G$1505,"&gt;"&amp;G1197)=0,1,0))</f>
        <v/>
      </c>
    </row>
    <row r="1198">
      <c r="A1198" s="1" t="n"/>
      <c r="B1198" s="20" t="n"/>
      <c r="C1198" s="17" t="n"/>
      <c r="D1198" s="18" t="n"/>
      <c r="E1198" s="18" t="n"/>
      <c r="F1198" s="1" t="n"/>
      <c r="G1198">
        <f>IF(OR(B1198="",C1198="",D1198=""),"",B1198+ROW()/10000000)</f>
        <v/>
      </c>
      <c r="H1198">
        <f>IF(G1198="","",IF(COUNTIFS('Care log'!$C$6:$C$1505,C1198,'Care log'!$D$6:$D$1505,D1198,'Care log'!$G$6:$G$1505,"&gt;"&amp;G1198)=0,1,0))</f>
        <v/>
      </c>
    </row>
    <row r="1199">
      <c r="A1199" s="1" t="n"/>
      <c r="B1199" s="20" t="n"/>
      <c r="C1199" s="17" t="n"/>
      <c r="D1199" s="18" t="n"/>
      <c r="E1199" s="18" t="n"/>
      <c r="F1199" s="1" t="n"/>
      <c r="G1199">
        <f>IF(OR(B1199="",C1199="",D1199=""),"",B1199+ROW()/10000000)</f>
        <v/>
      </c>
      <c r="H1199">
        <f>IF(G1199="","",IF(COUNTIFS('Care log'!$C$6:$C$1505,C1199,'Care log'!$D$6:$D$1505,D1199,'Care log'!$G$6:$G$1505,"&gt;"&amp;G1199)=0,1,0))</f>
        <v/>
      </c>
    </row>
    <row r="1200">
      <c r="A1200" s="1" t="n"/>
      <c r="B1200" s="20" t="n"/>
      <c r="C1200" s="17" t="n"/>
      <c r="D1200" s="18" t="n"/>
      <c r="E1200" s="18" t="n"/>
      <c r="F1200" s="1" t="n"/>
      <c r="G1200">
        <f>IF(OR(B1200="",C1200="",D1200=""),"",B1200+ROW()/10000000)</f>
        <v/>
      </c>
      <c r="H1200">
        <f>IF(G1200="","",IF(COUNTIFS('Care log'!$C$6:$C$1505,C1200,'Care log'!$D$6:$D$1505,D1200,'Care log'!$G$6:$G$1505,"&gt;"&amp;G1200)=0,1,0))</f>
        <v/>
      </c>
    </row>
    <row r="1201">
      <c r="A1201" s="1" t="n"/>
      <c r="B1201" s="20" t="n"/>
      <c r="C1201" s="17" t="n"/>
      <c r="D1201" s="18" t="n"/>
      <c r="E1201" s="18" t="n"/>
      <c r="F1201" s="1" t="n"/>
      <c r="G1201">
        <f>IF(OR(B1201="",C1201="",D1201=""),"",B1201+ROW()/10000000)</f>
        <v/>
      </c>
      <c r="H1201">
        <f>IF(G1201="","",IF(COUNTIFS('Care log'!$C$6:$C$1505,C1201,'Care log'!$D$6:$D$1505,D1201,'Care log'!$G$6:$G$1505,"&gt;"&amp;G1201)=0,1,0))</f>
        <v/>
      </c>
    </row>
    <row r="1202">
      <c r="A1202" s="1" t="n"/>
      <c r="B1202" s="20" t="n"/>
      <c r="C1202" s="17" t="n"/>
      <c r="D1202" s="18" t="n"/>
      <c r="E1202" s="18" t="n"/>
      <c r="F1202" s="1" t="n"/>
      <c r="G1202">
        <f>IF(OR(B1202="",C1202="",D1202=""),"",B1202+ROW()/10000000)</f>
        <v/>
      </c>
      <c r="H1202">
        <f>IF(G1202="","",IF(COUNTIFS('Care log'!$C$6:$C$1505,C1202,'Care log'!$D$6:$D$1505,D1202,'Care log'!$G$6:$G$1505,"&gt;"&amp;G1202)=0,1,0))</f>
        <v/>
      </c>
    </row>
    <row r="1203">
      <c r="A1203" s="1" t="n"/>
      <c r="B1203" s="20" t="n"/>
      <c r="C1203" s="17" t="n"/>
      <c r="D1203" s="18" t="n"/>
      <c r="E1203" s="18" t="n"/>
      <c r="F1203" s="1" t="n"/>
      <c r="G1203">
        <f>IF(OR(B1203="",C1203="",D1203=""),"",B1203+ROW()/10000000)</f>
        <v/>
      </c>
      <c r="H1203">
        <f>IF(G1203="","",IF(COUNTIFS('Care log'!$C$6:$C$1505,C1203,'Care log'!$D$6:$D$1505,D1203,'Care log'!$G$6:$G$1505,"&gt;"&amp;G1203)=0,1,0))</f>
        <v/>
      </c>
    </row>
    <row r="1204">
      <c r="A1204" s="1" t="n"/>
      <c r="B1204" s="20" t="n"/>
      <c r="C1204" s="17" t="n"/>
      <c r="D1204" s="18" t="n"/>
      <c r="E1204" s="18" t="n"/>
      <c r="F1204" s="1" t="n"/>
      <c r="G1204">
        <f>IF(OR(B1204="",C1204="",D1204=""),"",B1204+ROW()/10000000)</f>
        <v/>
      </c>
      <c r="H1204">
        <f>IF(G1204="","",IF(COUNTIFS('Care log'!$C$6:$C$1505,C1204,'Care log'!$D$6:$D$1505,D1204,'Care log'!$G$6:$G$1505,"&gt;"&amp;G1204)=0,1,0))</f>
        <v/>
      </c>
    </row>
    <row r="1205">
      <c r="A1205" s="1" t="n"/>
      <c r="B1205" s="20" t="n"/>
      <c r="C1205" s="17" t="n"/>
      <c r="D1205" s="18" t="n"/>
      <c r="E1205" s="18" t="n"/>
      <c r="F1205" s="1" t="n"/>
      <c r="G1205">
        <f>IF(OR(B1205="",C1205="",D1205=""),"",B1205+ROW()/10000000)</f>
        <v/>
      </c>
      <c r="H1205">
        <f>IF(G1205="","",IF(COUNTIFS('Care log'!$C$6:$C$1505,C1205,'Care log'!$D$6:$D$1505,D1205,'Care log'!$G$6:$G$1505,"&gt;"&amp;G1205)=0,1,0))</f>
        <v/>
      </c>
    </row>
    <row r="1206">
      <c r="A1206" s="1" t="n"/>
      <c r="B1206" s="20" t="n"/>
      <c r="C1206" s="17" t="n"/>
      <c r="D1206" s="18" t="n"/>
      <c r="E1206" s="18" t="n"/>
      <c r="F1206" s="1" t="n"/>
      <c r="G1206">
        <f>IF(OR(B1206="",C1206="",D1206=""),"",B1206+ROW()/10000000)</f>
        <v/>
      </c>
      <c r="H1206">
        <f>IF(G1206="","",IF(COUNTIFS('Care log'!$C$6:$C$1505,C1206,'Care log'!$D$6:$D$1505,D1206,'Care log'!$G$6:$G$1505,"&gt;"&amp;G1206)=0,1,0))</f>
        <v/>
      </c>
    </row>
    <row r="1207">
      <c r="A1207" s="1" t="n"/>
      <c r="B1207" s="20" t="n"/>
      <c r="C1207" s="17" t="n"/>
      <c r="D1207" s="18" t="n"/>
      <c r="E1207" s="18" t="n"/>
      <c r="F1207" s="1" t="n"/>
      <c r="G1207">
        <f>IF(OR(B1207="",C1207="",D1207=""),"",B1207+ROW()/10000000)</f>
        <v/>
      </c>
      <c r="H1207">
        <f>IF(G1207="","",IF(COUNTIFS('Care log'!$C$6:$C$1505,C1207,'Care log'!$D$6:$D$1505,D1207,'Care log'!$G$6:$G$1505,"&gt;"&amp;G1207)=0,1,0))</f>
        <v/>
      </c>
    </row>
    <row r="1208">
      <c r="A1208" s="1" t="n"/>
      <c r="B1208" s="20" t="n"/>
      <c r="C1208" s="17" t="n"/>
      <c r="D1208" s="18" t="n"/>
      <c r="E1208" s="18" t="n"/>
      <c r="F1208" s="1" t="n"/>
      <c r="G1208">
        <f>IF(OR(B1208="",C1208="",D1208=""),"",B1208+ROW()/10000000)</f>
        <v/>
      </c>
      <c r="H1208">
        <f>IF(G1208="","",IF(COUNTIFS('Care log'!$C$6:$C$1505,C1208,'Care log'!$D$6:$D$1505,D1208,'Care log'!$G$6:$G$1505,"&gt;"&amp;G1208)=0,1,0))</f>
        <v/>
      </c>
    </row>
    <row r="1209">
      <c r="A1209" s="1" t="n"/>
      <c r="B1209" s="20" t="n"/>
      <c r="C1209" s="17" t="n"/>
      <c r="D1209" s="18" t="n"/>
      <c r="E1209" s="18" t="n"/>
      <c r="F1209" s="1" t="n"/>
      <c r="G1209">
        <f>IF(OR(B1209="",C1209="",D1209=""),"",B1209+ROW()/10000000)</f>
        <v/>
      </c>
      <c r="H1209">
        <f>IF(G1209="","",IF(COUNTIFS('Care log'!$C$6:$C$1505,C1209,'Care log'!$D$6:$D$1505,D1209,'Care log'!$G$6:$G$1505,"&gt;"&amp;G1209)=0,1,0))</f>
        <v/>
      </c>
    </row>
    <row r="1210">
      <c r="A1210" s="1" t="n"/>
      <c r="B1210" s="20" t="n"/>
      <c r="C1210" s="17" t="n"/>
      <c r="D1210" s="18" t="n"/>
      <c r="E1210" s="18" t="n"/>
      <c r="F1210" s="1" t="n"/>
      <c r="G1210">
        <f>IF(OR(B1210="",C1210="",D1210=""),"",B1210+ROW()/10000000)</f>
        <v/>
      </c>
      <c r="H1210">
        <f>IF(G1210="","",IF(COUNTIFS('Care log'!$C$6:$C$1505,C1210,'Care log'!$D$6:$D$1505,D1210,'Care log'!$G$6:$G$1505,"&gt;"&amp;G1210)=0,1,0))</f>
        <v/>
      </c>
    </row>
    <row r="1211">
      <c r="A1211" s="1" t="n"/>
      <c r="B1211" s="20" t="n"/>
      <c r="C1211" s="17" t="n"/>
      <c r="D1211" s="18" t="n"/>
      <c r="E1211" s="18" t="n"/>
      <c r="F1211" s="1" t="n"/>
      <c r="G1211">
        <f>IF(OR(B1211="",C1211="",D1211=""),"",B1211+ROW()/10000000)</f>
        <v/>
      </c>
      <c r="H1211">
        <f>IF(G1211="","",IF(COUNTIFS('Care log'!$C$6:$C$1505,C1211,'Care log'!$D$6:$D$1505,D1211,'Care log'!$G$6:$G$1505,"&gt;"&amp;G1211)=0,1,0))</f>
        <v/>
      </c>
    </row>
    <row r="1212">
      <c r="A1212" s="1" t="n"/>
      <c r="B1212" s="20" t="n"/>
      <c r="C1212" s="17" t="n"/>
      <c r="D1212" s="18" t="n"/>
      <c r="E1212" s="18" t="n"/>
      <c r="F1212" s="1" t="n"/>
      <c r="G1212">
        <f>IF(OR(B1212="",C1212="",D1212=""),"",B1212+ROW()/10000000)</f>
        <v/>
      </c>
      <c r="H1212">
        <f>IF(G1212="","",IF(COUNTIFS('Care log'!$C$6:$C$1505,C1212,'Care log'!$D$6:$D$1505,D1212,'Care log'!$G$6:$G$1505,"&gt;"&amp;G1212)=0,1,0))</f>
        <v/>
      </c>
    </row>
    <row r="1213">
      <c r="A1213" s="1" t="n"/>
      <c r="B1213" s="20" t="n"/>
      <c r="C1213" s="17" t="n"/>
      <c r="D1213" s="18" t="n"/>
      <c r="E1213" s="18" t="n"/>
      <c r="F1213" s="1" t="n"/>
      <c r="G1213">
        <f>IF(OR(B1213="",C1213="",D1213=""),"",B1213+ROW()/10000000)</f>
        <v/>
      </c>
      <c r="H1213">
        <f>IF(G1213="","",IF(COUNTIFS('Care log'!$C$6:$C$1505,C1213,'Care log'!$D$6:$D$1505,D1213,'Care log'!$G$6:$G$1505,"&gt;"&amp;G1213)=0,1,0))</f>
        <v/>
      </c>
    </row>
    <row r="1214">
      <c r="A1214" s="1" t="n"/>
      <c r="B1214" s="20" t="n"/>
      <c r="C1214" s="17" t="n"/>
      <c r="D1214" s="18" t="n"/>
      <c r="E1214" s="18" t="n"/>
      <c r="F1214" s="1" t="n"/>
      <c r="G1214">
        <f>IF(OR(B1214="",C1214="",D1214=""),"",B1214+ROW()/10000000)</f>
        <v/>
      </c>
      <c r="H1214">
        <f>IF(G1214="","",IF(COUNTIFS('Care log'!$C$6:$C$1505,C1214,'Care log'!$D$6:$D$1505,D1214,'Care log'!$G$6:$G$1505,"&gt;"&amp;G1214)=0,1,0))</f>
        <v/>
      </c>
    </row>
    <row r="1215">
      <c r="A1215" s="1" t="n"/>
      <c r="B1215" s="20" t="n"/>
      <c r="C1215" s="17" t="n"/>
      <c r="D1215" s="18" t="n"/>
      <c r="E1215" s="18" t="n"/>
      <c r="F1215" s="1" t="n"/>
      <c r="G1215">
        <f>IF(OR(B1215="",C1215="",D1215=""),"",B1215+ROW()/10000000)</f>
        <v/>
      </c>
      <c r="H1215">
        <f>IF(G1215="","",IF(COUNTIFS('Care log'!$C$6:$C$1505,C1215,'Care log'!$D$6:$D$1505,D1215,'Care log'!$G$6:$G$1505,"&gt;"&amp;G1215)=0,1,0))</f>
        <v/>
      </c>
    </row>
    <row r="1216">
      <c r="A1216" s="1" t="n"/>
      <c r="B1216" s="20" t="n"/>
      <c r="C1216" s="17" t="n"/>
      <c r="D1216" s="18" t="n"/>
      <c r="E1216" s="18" t="n"/>
      <c r="F1216" s="1" t="n"/>
      <c r="G1216">
        <f>IF(OR(B1216="",C1216="",D1216=""),"",B1216+ROW()/10000000)</f>
        <v/>
      </c>
      <c r="H1216">
        <f>IF(G1216="","",IF(COUNTIFS('Care log'!$C$6:$C$1505,C1216,'Care log'!$D$6:$D$1505,D1216,'Care log'!$G$6:$G$1505,"&gt;"&amp;G1216)=0,1,0))</f>
        <v/>
      </c>
    </row>
    <row r="1217">
      <c r="A1217" s="1" t="n"/>
      <c r="B1217" s="20" t="n"/>
      <c r="C1217" s="17" t="n"/>
      <c r="D1217" s="18" t="n"/>
      <c r="E1217" s="18" t="n"/>
      <c r="F1217" s="1" t="n"/>
      <c r="G1217">
        <f>IF(OR(B1217="",C1217="",D1217=""),"",B1217+ROW()/10000000)</f>
        <v/>
      </c>
      <c r="H1217">
        <f>IF(G1217="","",IF(COUNTIFS('Care log'!$C$6:$C$1505,C1217,'Care log'!$D$6:$D$1505,D1217,'Care log'!$G$6:$G$1505,"&gt;"&amp;G1217)=0,1,0))</f>
        <v/>
      </c>
    </row>
    <row r="1218">
      <c r="A1218" s="1" t="n"/>
      <c r="B1218" s="20" t="n"/>
      <c r="C1218" s="17" t="n"/>
      <c r="D1218" s="18" t="n"/>
      <c r="E1218" s="18" t="n"/>
      <c r="F1218" s="1" t="n"/>
      <c r="G1218">
        <f>IF(OR(B1218="",C1218="",D1218=""),"",B1218+ROW()/10000000)</f>
        <v/>
      </c>
      <c r="H1218">
        <f>IF(G1218="","",IF(COUNTIFS('Care log'!$C$6:$C$1505,C1218,'Care log'!$D$6:$D$1505,D1218,'Care log'!$G$6:$G$1505,"&gt;"&amp;G1218)=0,1,0))</f>
        <v/>
      </c>
    </row>
    <row r="1219">
      <c r="A1219" s="1" t="n"/>
      <c r="B1219" s="20" t="n"/>
      <c r="C1219" s="17" t="n"/>
      <c r="D1219" s="18" t="n"/>
      <c r="E1219" s="18" t="n"/>
      <c r="F1219" s="1" t="n"/>
      <c r="G1219">
        <f>IF(OR(B1219="",C1219="",D1219=""),"",B1219+ROW()/10000000)</f>
        <v/>
      </c>
      <c r="H1219">
        <f>IF(G1219="","",IF(COUNTIFS('Care log'!$C$6:$C$1505,C1219,'Care log'!$D$6:$D$1505,D1219,'Care log'!$G$6:$G$1505,"&gt;"&amp;G1219)=0,1,0))</f>
        <v/>
      </c>
    </row>
    <row r="1220">
      <c r="A1220" s="1" t="n"/>
      <c r="B1220" s="20" t="n"/>
      <c r="C1220" s="17" t="n"/>
      <c r="D1220" s="18" t="n"/>
      <c r="E1220" s="18" t="n"/>
      <c r="F1220" s="1" t="n"/>
      <c r="G1220">
        <f>IF(OR(B1220="",C1220="",D1220=""),"",B1220+ROW()/10000000)</f>
        <v/>
      </c>
      <c r="H1220">
        <f>IF(G1220="","",IF(COUNTIFS('Care log'!$C$6:$C$1505,C1220,'Care log'!$D$6:$D$1505,D1220,'Care log'!$G$6:$G$1505,"&gt;"&amp;G1220)=0,1,0))</f>
        <v/>
      </c>
    </row>
    <row r="1221">
      <c r="A1221" s="1" t="n"/>
      <c r="B1221" s="20" t="n"/>
      <c r="C1221" s="17" t="n"/>
      <c r="D1221" s="18" t="n"/>
      <c r="E1221" s="18" t="n"/>
      <c r="F1221" s="1" t="n"/>
      <c r="G1221">
        <f>IF(OR(B1221="",C1221="",D1221=""),"",B1221+ROW()/10000000)</f>
        <v/>
      </c>
      <c r="H1221">
        <f>IF(G1221="","",IF(COUNTIFS('Care log'!$C$6:$C$1505,C1221,'Care log'!$D$6:$D$1505,D1221,'Care log'!$G$6:$G$1505,"&gt;"&amp;G1221)=0,1,0))</f>
        <v/>
      </c>
    </row>
    <row r="1222">
      <c r="A1222" s="1" t="n"/>
      <c r="B1222" s="20" t="n"/>
      <c r="C1222" s="17" t="n"/>
      <c r="D1222" s="18" t="n"/>
      <c r="E1222" s="18" t="n"/>
      <c r="F1222" s="1" t="n"/>
      <c r="G1222">
        <f>IF(OR(B1222="",C1222="",D1222=""),"",B1222+ROW()/10000000)</f>
        <v/>
      </c>
      <c r="H1222">
        <f>IF(G1222="","",IF(COUNTIFS('Care log'!$C$6:$C$1505,C1222,'Care log'!$D$6:$D$1505,D1222,'Care log'!$G$6:$G$1505,"&gt;"&amp;G1222)=0,1,0))</f>
        <v/>
      </c>
    </row>
    <row r="1223">
      <c r="A1223" s="1" t="n"/>
      <c r="B1223" s="20" t="n"/>
      <c r="C1223" s="17" t="n"/>
      <c r="D1223" s="18" t="n"/>
      <c r="E1223" s="18" t="n"/>
      <c r="F1223" s="1" t="n"/>
      <c r="G1223">
        <f>IF(OR(B1223="",C1223="",D1223=""),"",B1223+ROW()/10000000)</f>
        <v/>
      </c>
      <c r="H1223">
        <f>IF(G1223="","",IF(COUNTIFS('Care log'!$C$6:$C$1505,C1223,'Care log'!$D$6:$D$1505,D1223,'Care log'!$G$6:$G$1505,"&gt;"&amp;G1223)=0,1,0))</f>
        <v/>
      </c>
    </row>
    <row r="1224">
      <c r="A1224" s="1" t="n"/>
      <c r="B1224" s="20" t="n"/>
      <c r="C1224" s="17" t="n"/>
      <c r="D1224" s="18" t="n"/>
      <c r="E1224" s="18" t="n"/>
      <c r="F1224" s="1" t="n"/>
      <c r="G1224">
        <f>IF(OR(B1224="",C1224="",D1224=""),"",B1224+ROW()/10000000)</f>
        <v/>
      </c>
      <c r="H1224">
        <f>IF(G1224="","",IF(COUNTIFS('Care log'!$C$6:$C$1505,C1224,'Care log'!$D$6:$D$1505,D1224,'Care log'!$G$6:$G$1505,"&gt;"&amp;G1224)=0,1,0))</f>
        <v/>
      </c>
    </row>
    <row r="1225">
      <c r="A1225" s="1" t="n"/>
      <c r="B1225" s="20" t="n"/>
      <c r="C1225" s="17" t="n"/>
      <c r="D1225" s="18" t="n"/>
      <c r="E1225" s="18" t="n"/>
      <c r="F1225" s="1" t="n"/>
      <c r="G1225">
        <f>IF(OR(B1225="",C1225="",D1225=""),"",B1225+ROW()/10000000)</f>
        <v/>
      </c>
      <c r="H1225">
        <f>IF(G1225="","",IF(COUNTIFS('Care log'!$C$6:$C$1505,C1225,'Care log'!$D$6:$D$1505,D1225,'Care log'!$G$6:$G$1505,"&gt;"&amp;G1225)=0,1,0))</f>
        <v/>
      </c>
    </row>
    <row r="1226">
      <c r="A1226" s="1" t="n"/>
      <c r="B1226" s="20" t="n"/>
      <c r="C1226" s="17" t="n"/>
      <c r="D1226" s="18" t="n"/>
      <c r="E1226" s="18" t="n"/>
      <c r="F1226" s="1" t="n"/>
      <c r="G1226">
        <f>IF(OR(B1226="",C1226="",D1226=""),"",B1226+ROW()/10000000)</f>
        <v/>
      </c>
      <c r="H1226">
        <f>IF(G1226="","",IF(COUNTIFS('Care log'!$C$6:$C$1505,C1226,'Care log'!$D$6:$D$1505,D1226,'Care log'!$G$6:$G$1505,"&gt;"&amp;G1226)=0,1,0))</f>
        <v/>
      </c>
    </row>
    <row r="1227">
      <c r="A1227" s="1" t="n"/>
      <c r="B1227" s="20" t="n"/>
      <c r="C1227" s="17" t="n"/>
      <c r="D1227" s="18" t="n"/>
      <c r="E1227" s="18" t="n"/>
      <c r="F1227" s="1" t="n"/>
      <c r="G1227">
        <f>IF(OR(B1227="",C1227="",D1227=""),"",B1227+ROW()/10000000)</f>
        <v/>
      </c>
      <c r="H1227">
        <f>IF(G1227="","",IF(COUNTIFS('Care log'!$C$6:$C$1505,C1227,'Care log'!$D$6:$D$1505,D1227,'Care log'!$G$6:$G$1505,"&gt;"&amp;G1227)=0,1,0))</f>
        <v/>
      </c>
    </row>
    <row r="1228">
      <c r="A1228" s="1" t="n"/>
      <c r="B1228" s="20" t="n"/>
      <c r="C1228" s="17" t="n"/>
      <c r="D1228" s="18" t="n"/>
      <c r="E1228" s="18" t="n"/>
      <c r="F1228" s="1" t="n"/>
      <c r="G1228">
        <f>IF(OR(B1228="",C1228="",D1228=""),"",B1228+ROW()/10000000)</f>
        <v/>
      </c>
      <c r="H1228">
        <f>IF(G1228="","",IF(COUNTIFS('Care log'!$C$6:$C$1505,C1228,'Care log'!$D$6:$D$1505,D1228,'Care log'!$G$6:$G$1505,"&gt;"&amp;G1228)=0,1,0))</f>
        <v/>
      </c>
    </row>
    <row r="1229">
      <c r="A1229" s="1" t="n"/>
      <c r="B1229" s="20" t="n"/>
      <c r="C1229" s="17" t="n"/>
      <c r="D1229" s="18" t="n"/>
      <c r="E1229" s="18" t="n"/>
      <c r="F1229" s="1" t="n"/>
      <c r="G1229">
        <f>IF(OR(B1229="",C1229="",D1229=""),"",B1229+ROW()/10000000)</f>
        <v/>
      </c>
      <c r="H1229">
        <f>IF(G1229="","",IF(COUNTIFS('Care log'!$C$6:$C$1505,C1229,'Care log'!$D$6:$D$1505,D1229,'Care log'!$G$6:$G$1505,"&gt;"&amp;G1229)=0,1,0))</f>
        <v/>
      </c>
    </row>
    <row r="1230">
      <c r="A1230" s="1" t="n"/>
      <c r="B1230" s="20" t="n"/>
      <c r="C1230" s="17" t="n"/>
      <c r="D1230" s="18" t="n"/>
      <c r="E1230" s="18" t="n"/>
      <c r="F1230" s="1" t="n"/>
      <c r="G1230">
        <f>IF(OR(B1230="",C1230="",D1230=""),"",B1230+ROW()/10000000)</f>
        <v/>
      </c>
      <c r="H1230">
        <f>IF(G1230="","",IF(COUNTIFS('Care log'!$C$6:$C$1505,C1230,'Care log'!$D$6:$D$1505,D1230,'Care log'!$G$6:$G$1505,"&gt;"&amp;G1230)=0,1,0))</f>
        <v/>
      </c>
    </row>
    <row r="1231">
      <c r="A1231" s="1" t="n"/>
      <c r="B1231" s="20" t="n"/>
      <c r="C1231" s="17" t="n"/>
      <c r="D1231" s="18" t="n"/>
      <c r="E1231" s="18" t="n"/>
      <c r="F1231" s="1" t="n"/>
      <c r="G1231">
        <f>IF(OR(B1231="",C1231="",D1231=""),"",B1231+ROW()/10000000)</f>
        <v/>
      </c>
      <c r="H1231">
        <f>IF(G1231="","",IF(COUNTIFS('Care log'!$C$6:$C$1505,C1231,'Care log'!$D$6:$D$1505,D1231,'Care log'!$G$6:$G$1505,"&gt;"&amp;G1231)=0,1,0))</f>
        <v/>
      </c>
    </row>
    <row r="1232">
      <c r="A1232" s="1" t="n"/>
      <c r="B1232" s="20" t="n"/>
      <c r="C1232" s="17" t="n"/>
      <c r="D1232" s="18" t="n"/>
      <c r="E1232" s="18" t="n"/>
      <c r="F1232" s="1" t="n"/>
      <c r="G1232">
        <f>IF(OR(B1232="",C1232="",D1232=""),"",B1232+ROW()/10000000)</f>
        <v/>
      </c>
      <c r="H1232">
        <f>IF(G1232="","",IF(COUNTIFS('Care log'!$C$6:$C$1505,C1232,'Care log'!$D$6:$D$1505,D1232,'Care log'!$G$6:$G$1505,"&gt;"&amp;G1232)=0,1,0))</f>
        <v/>
      </c>
    </row>
    <row r="1233">
      <c r="A1233" s="1" t="n"/>
      <c r="B1233" s="20" t="n"/>
      <c r="C1233" s="17" t="n"/>
      <c r="D1233" s="18" t="n"/>
      <c r="E1233" s="18" t="n"/>
      <c r="F1233" s="1" t="n"/>
      <c r="G1233">
        <f>IF(OR(B1233="",C1233="",D1233=""),"",B1233+ROW()/10000000)</f>
        <v/>
      </c>
      <c r="H1233">
        <f>IF(G1233="","",IF(COUNTIFS('Care log'!$C$6:$C$1505,C1233,'Care log'!$D$6:$D$1505,D1233,'Care log'!$G$6:$G$1505,"&gt;"&amp;G1233)=0,1,0))</f>
        <v/>
      </c>
    </row>
    <row r="1234">
      <c r="A1234" s="1" t="n"/>
      <c r="B1234" s="20" t="n"/>
      <c r="C1234" s="17" t="n"/>
      <c r="D1234" s="18" t="n"/>
      <c r="E1234" s="18" t="n"/>
      <c r="F1234" s="1" t="n"/>
      <c r="G1234">
        <f>IF(OR(B1234="",C1234="",D1234=""),"",B1234+ROW()/10000000)</f>
        <v/>
      </c>
      <c r="H1234">
        <f>IF(G1234="","",IF(COUNTIFS('Care log'!$C$6:$C$1505,C1234,'Care log'!$D$6:$D$1505,D1234,'Care log'!$G$6:$G$1505,"&gt;"&amp;G1234)=0,1,0))</f>
        <v/>
      </c>
    </row>
    <row r="1235">
      <c r="A1235" s="1" t="n"/>
      <c r="B1235" s="20" t="n"/>
      <c r="C1235" s="17" t="n"/>
      <c r="D1235" s="18" t="n"/>
      <c r="E1235" s="18" t="n"/>
      <c r="F1235" s="1" t="n"/>
      <c r="G1235">
        <f>IF(OR(B1235="",C1235="",D1235=""),"",B1235+ROW()/10000000)</f>
        <v/>
      </c>
      <c r="H1235">
        <f>IF(G1235="","",IF(COUNTIFS('Care log'!$C$6:$C$1505,C1235,'Care log'!$D$6:$D$1505,D1235,'Care log'!$G$6:$G$1505,"&gt;"&amp;G1235)=0,1,0))</f>
        <v/>
      </c>
    </row>
    <row r="1236">
      <c r="A1236" s="1" t="n"/>
      <c r="B1236" s="20" t="n"/>
      <c r="C1236" s="17" t="n"/>
      <c r="D1236" s="18" t="n"/>
      <c r="E1236" s="18" t="n"/>
      <c r="F1236" s="1" t="n"/>
      <c r="G1236">
        <f>IF(OR(B1236="",C1236="",D1236=""),"",B1236+ROW()/10000000)</f>
        <v/>
      </c>
      <c r="H1236">
        <f>IF(G1236="","",IF(COUNTIFS('Care log'!$C$6:$C$1505,C1236,'Care log'!$D$6:$D$1505,D1236,'Care log'!$G$6:$G$1505,"&gt;"&amp;G1236)=0,1,0))</f>
        <v/>
      </c>
    </row>
    <row r="1237">
      <c r="A1237" s="1" t="n"/>
      <c r="B1237" s="20" t="n"/>
      <c r="C1237" s="17" t="n"/>
      <c r="D1237" s="18" t="n"/>
      <c r="E1237" s="18" t="n"/>
      <c r="F1237" s="1" t="n"/>
      <c r="G1237">
        <f>IF(OR(B1237="",C1237="",D1237=""),"",B1237+ROW()/10000000)</f>
        <v/>
      </c>
      <c r="H1237">
        <f>IF(G1237="","",IF(COUNTIFS('Care log'!$C$6:$C$1505,C1237,'Care log'!$D$6:$D$1505,D1237,'Care log'!$G$6:$G$1505,"&gt;"&amp;G1237)=0,1,0))</f>
        <v/>
      </c>
    </row>
    <row r="1238">
      <c r="A1238" s="1" t="n"/>
      <c r="B1238" s="20" t="n"/>
      <c r="C1238" s="17" t="n"/>
      <c r="D1238" s="18" t="n"/>
      <c r="E1238" s="18" t="n"/>
      <c r="F1238" s="1" t="n"/>
      <c r="G1238">
        <f>IF(OR(B1238="",C1238="",D1238=""),"",B1238+ROW()/10000000)</f>
        <v/>
      </c>
      <c r="H1238">
        <f>IF(G1238="","",IF(COUNTIFS('Care log'!$C$6:$C$1505,C1238,'Care log'!$D$6:$D$1505,D1238,'Care log'!$G$6:$G$1505,"&gt;"&amp;G1238)=0,1,0))</f>
        <v/>
      </c>
    </row>
    <row r="1239">
      <c r="A1239" s="1" t="n"/>
      <c r="B1239" s="20" t="n"/>
      <c r="C1239" s="17" t="n"/>
      <c r="D1239" s="18" t="n"/>
      <c r="E1239" s="18" t="n"/>
      <c r="F1239" s="1" t="n"/>
      <c r="G1239">
        <f>IF(OR(B1239="",C1239="",D1239=""),"",B1239+ROW()/10000000)</f>
        <v/>
      </c>
      <c r="H1239">
        <f>IF(G1239="","",IF(COUNTIFS('Care log'!$C$6:$C$1505,C1239,'Care log'!$D$6:$D$1505,D1239,'Care log'!$G$6:$G$1505,"&gt;"&amp;G1239)=0,1,0))</f>
        <v/>
      </c>
    </row>
    <row r="1240">
      <c r="A1240" s="1" t="n"/>
      <c r="B1240" s="20" t="n"/>
      <c r="C1240" s="17" t="n"/>
      <c r="D1240" s="18" t="n"/>
      <c r="E1240" s="18" t="n"/>
      <c r="F1240" s="1" t="n"/>
      <c r="G1240">
        <f>IF(OR(B1240="",C1240="",D1240=""),"",B1240+ROW()/10000000)</f>
        <v/>
      </c>
      <c r="H1240">
        <f>IF(G1240="","",IF(COUNTIFS('Care log'!$C$6:$C$1505,C1240,'Care log'!$D$6:$D$1505,D1240,'Care log'!$G$6:$G$1505,"&gt;"&amp;G1240)=0,1,0))</f>
        <v/>
      </c>
    </row>
    <row r="1241">
      <c r="A1241" s="1" t="n"/>
      <c r="B1241" s="20" t="n"/>
      <c r="C1241" s="17" t="n"/>
      <c r="D1241" s="18" t="n"/>
      <c r="E1241" s="18" t="n"/>
      <c r="F1241" s="1" t="n"/>
      <c r="G1241">
        <f>IF(OR(B1241="",C1241="",D1241=""),"",B1241+ROW()/10000000)</f>
        <v/>
      </c>
      <c r="H1241">
        <f>IF(G1241="","",IF(COUNTIFS('Care log'!$C$6:$C$1505,C1241,'Care log'!$D$6:$D$1505,D1241,'Care log'!$G$6:$G$1505,"&gt;"&amp;G1241)=0,1,0))</f>
        <v/>
      </c>
    </row>
    <row r="1242">
      <c r="A1242" s="1" t="n"/>
      <c r="B1242" s="20" t="n"/>
      <c r="C1242" s="17" t="n"/>
      <c r="D1242" s="18" t="n"/>
      <c r="E1242" s="18" t="n"/>
      <c r="F1242" s="1" t="n"/>
      <c r="G1242">
        <f>IF(OR(B1242="",C1242="",D1242=""),"",B1242+ROW()/10000000)</f>
        <v/>
      </c>
      <c r="H1242">
        <f>IF(G1242="","",IF(COUNTIFS('Care log'!$C$6:$C$1505,C1242,'Care log'!$D$6:$D$1505,D1242,'Care log'!$G$6:$G$1505,"&gt;"&amp;G1242)=0,1,0))</f>
        <v/>
      </c>
    </row>
    <row r="1243">
      <c r="A1243" s="1" t="n"/>
      <c r="B1243" s="20" t="n"/>
      <c r="C1243" s="17" t="n"/>
      <c r="D1243" s="18" t="n"/>
      <c r="E1243" s="18" t="n"/>
      <c r="F1243" s="1" t="n"/>
      <c r="G1243">
        <f>IF(OR(B1243="",C1243="",D1243=""),"",B1243+ROW()/10000000)</f>
        <v/>
      </c>
      <c r="H1243">
        <f>IF(G1243="","",IF(COUNTIFS('Care log'!$C$6:$C$1505,C1243,'Care log'!$D$6:$D$1505,D1243,'Care log'!$G$6:$G$1505,"&gt;"&amp;G1243)=0,1,0))</f>
        <v/>
      </c>
    </row>
    <row r="1244">
      <c r="A1244" s="1" t="n"/>
      <c r="B1244" s="20" t="n"/>
      <c r="C1244" s="17" t="n"/>
      <c r="D1244" s="18" t="n"/>
      <c r="E1244" s="18" t="n"/>
      <c r="F1244" s="1" t="n"/>
      <c r="G1244">
        <f>IF(OR(B1244="",C1244="",D1244=""),"",B1244+ROW()/10000000)</f>
        <v/>
      </c>
      <c r="H1244">
        <f>IF(G1244="","",IF(COUNTIFS('Care log'!$C$6:$C$1505,C1244,'Care log'!$D$6:$D$1505,D1244,'Care log'!$G$6:$G$1505,"&gt;"&amp;G1244)=0,1,0))</f>
        <v/>
      </c>
    </row>
    <row r="1245">
      <c r="A1245" s="1" t="n"/>
      <c r="B1245" s="20" t="n"/>
      <c r="C1245" s="17" t="n"/>
      <c r="D1245" s="18" t="n"/>
      <c r="E1245" s="18" t="n"/>
      <c r="F1245" s="1" t="n"/>
      <c r="G1245">
        <f>IF(OR(B1245="",C1245="",D1245=""),"",B1245+ROW()/10000000)</f>
        <v/>
      </c>
      <c r="H1245">
        <f>IF(G1245="","",IF(COUNTIFS('Care log'!$C$6:$C$1505,C1245,'Care log'!$D$6:$D$1505,D1245,'Care log'!$G$6:$G$1505,"&gt;"&amp;G1245)=0,1,0))</f>
        <v/>
      </c>
    </row>
    <row r="1246">
      <c r="A1246" s="1" t="n"/>
      <c r="B1246" s="20" t="n"/>
      <c r="C1246" s="17" t="n"/>
      <c r="D1246" s="18" t="n"/>
      <c r="E1246" s="18" t="n"/>
      <c r="F1246" s="1" t="n"/>
      <c r="G1246">
        <f>IF(OR(B1246="",C1246="",D1246=""),"",B1246+ROW()/10000000)</f>
        <v/>
      </c>
      <c r="H1246">
        <f>IF(G1246="","",IF(COUNTIFS('Care log'!$C$6:$C$1505,C1246,'Care log'!$D$6:$D$1505,D1246,'Care log'!$G$6:$G$1505,"&gt;"&amp;G1246)=0,1,0))</f>
        <v/>
      </c>
    </row>
    <row r="1247">
      <c r="A1247" s="1" t="n"/>
      <c r="B1247" s="20" t="n"/>
      <c r="C1247" s="17" t="n"/>
      <c r="D1247" s="18" t="n"/>
      <c r="E1247" s="18" t="n"/>
      <c r="F1247" s="1" t="n"/>
      <c r="G1247">
        <f>IF(OR(B1247="",C1247="",D1247=""),"",B1247+ROW()/10000000)</f>
        <v/>
      </c>
      <c r="H1247">
        <f>IF(G1247="","",IF(COUNTIFS('Care log'!$C$6:$C$1505,C1247,'Care log'!$D$6:$D$1505,D1247,'Care log'!$G$6:$G$1505,"&gt;"&amp;G1247)=0,1,0))</f>
        <v/>
      </c>
    </row>
    <row r="1248">
      <c r="A1248" s="1" t="n"/>
      <c r="B1248" s="20" t="n"/>
      <c r="C1248" s="17" t="n"/>
      <c r="D1248" s="18" t="n"/>
      <c r="E1248" s="18" t="n"/>
      <c r="F1248" s="1" t="n"/>
      <c r="G1248">
        <f>IF(OR(B1248="",C1248="",D1248=""),"",B1248+ROW()/10000000)</f>
        <v/>
      </c>
      <c r="H1248">
        <f>IF(G1248="","",IF(COUNTIFS('Care log'!$C$6:$C$1505,C1248,'Care log'!$D$6:$D$1505,D1248,'Care log'!$G$6:$G$1505,"&gt;"&amp;G1248)=0,1,0))</f>
        <v/>
      </c>
    </row>
    <row r="1249">
      <c r="A1249" s="1" t="n"/>
      <c r="B1249" s="20" t="n"/>
      <c r="C1249" s="17" t="n"/>
      <c r="D1249" s="18" t="n"/>
      <c r="E1249" s="18" t="n"/>
      <c r="F1249" s="1" t="n"/>
      <c r="G1249">
        <f>IF(OR(B1249="",C1249="",D1249=""),"",B1249+ROW()/10000000)</f>
        <v/>
      </c>
      <c r="H1249">
        <f>IF(G1249="","",IF(COUNTIFS('Care log'!$C$6:$C$1505,C1249,'Care log'!$D$6:$D$1505,D1249,'Care log'!$G$6:$G$1505,"&gt;"&amp;G1249)=0,1,0))</f>
        <v/>
      </c>
    </row>
    <row r="1250">
      <c r="A1250" s="1" t="n"/>
      <c r="B1250" s="20" t="n"/>
      <c r="C1250" s="17" t="n"/>
      <c r="D1250" s="18" t="n"/>
      <c r="E1250" s="18" t="n"/>
      <c r="F1250" s="1" t="n"/>
      <c r="G1250">
        <f>IF(OR(B1250="",C1250="",D1250=""),"",B1250+ROW()/10000000)</f>
        <v/>
      </c>
      <c r="H1250">
        <f>IF(G1250="","",IF(COUNTIFS('Care log'!$C$6:$C$1505,C1250,'Care log'!$D$6:$D$1505,D1250,'Care log'!$G$6:$G$1505,"&gt;"&amp;G1250)=0,1,0))</f>
        <v/>
      </c>
    </row>
    <row r="1251">
      <c r="A1251" s="1" t="n"/>
      <c r="B1251" s="20" t="n"/>
      <c r="C1251" s="17" t="n"/>
      <c r="D1251" s="18" t="n"/>
      <c r="E1251" s="18" t="n"/>
      <c r="F1251" s="1" t="n"/>
      <c r="G1251">
        <f>IF(OR(B1251="",C1251="",D1251=""),"",B1251+ROW()/10000000)</f>
        <v/>
      </c>
      <c r="H1251">
        <f>IF(G1251="","",IF(COUNTIFS('Care log'!$C$6:$C$1505,C1251,'Care log'!$D$6:$D$1505,D1251,'Care log'!$G$6:$G$1505,"&gt;"&amp;G1251)=0,1,0))</f>
        <v/>
      </c>
    </row>
    <row r="1252">
      <c r="A1252" s="1" t="n"/>
      <c r="B1252" s="20" t="n"/>
      <c r="C1252" s="17" t="n"/>
      <c r="D1252" s="18" t="n"/>
      <c r="E1252" s="18" t="n"/>
      <c r="F1252" s="1" t="n"/>
      <c r="G1252">
        <f>IF(OR(B1252="",C1252="",D1252=""),"",B1252+ROW()/10000000)</f>
        <v/>
      </c>
      <c r="H1252">
        <f>IF(G1252="","",IF(COUNTIFS('Care log'!$C$6:$C$1505,C1252,'Care log'!$D$6:$D$1505,D1252,'Care log'!$G$6:$G$1505,"&gt;"&amp;G1252)=0,1,0))</f>
        <v/>
      </c>
    </row>
    <row r="1253">
      <c r="A1253" s="1" t="n"/>
      <c r="B1253" s="20" t="n"/>
      <c r="C1253" s="17" t="n"/>
      <c r="D1253" s="18" t="n"/>
      <c r="E1253" s="18" t="n"/>
      <c r="F1253" s="1" t="n"/>
      <c r="G1253">
        <f>IF(OR(B1253="",C1253="",D1253=""),"",B1253+ROW()/10000000)</f>
        <v/>
      </c>
      <c r="H1253">
        <f>IF(G1253="","",IF(COUNTIFS('Care log'!$C$6:$C$1505,C1253,'Care log'!$D$6:$D$1505,D1253,'Care log'!$G$6:$G$1505,"&gt;"&amp;G1253)=0,1,0))</f>
        <v/>
      </c>
    </row>
    <row r="1254">
      <c r="A1254" s="1" t="n"/>
      <c r="B1254" s="20" t="n"/>
      <c r="C1254" s="17" t="n"/>
      <c r="D1254" s="18" t="n"/>
      <c r="E1254" s="18" t="n"/>
      <c r="F1254" s="1" t="n"/>
      <c r="G1254">
        <f>IF(OR(B1254="",C1254="",D1254=""),"",B1254+ROW()/10000000)</f>
        <v/>
      </c>
      <c r="H1254">
        <f>IF(G1254="","",IF(COUNTIFS('Care log'!$C$6:$C$1505,C1254,'Care log'!$D$6:$D$1505,D1254,'Care log'!$G$6:$G$1505,"&gt;"&amp;G1254)=0,1,0))</f>
        <v/>
      </c>
    </row>
    <row r="1255">
      <c r="A1255" s="1" t="n"/>
      <c r="B1255" s="20" t="n"/>
      <c r="C1255" s="17" t="n"/>
      <c r="D1255" s="18" t="n"/>
      <c r="E1255" s="18" t="n"/>
      <c r="F1255" s="1" t="n"/>
      <c r="G1255">
        <f>IF(OR(B1255="",C1255="",D1255=""),"",B1255+ROW()/10000000)</f>
        <v/>
      </c>
      <c r="H1255">
        <f>IF(G1255="","",IF(COUNTIFS('Care log'!$C$6:$C$1505,C1255,'Care log'!$D$6:$D$1505,D1255,'Care log'!$G$6:$G$1505,"&gt;"&amp;G1255)=0,1,0))</f>
        <v/>
      </c>
    </row>
    <row r="1256">
      <c r="A1256" s="1" t="n"/>
      <c r="B1256" s="20" t="n"/>
      <c r="C1256" s="17" t="n"/>
      <c r="D1256" s="18" t="n"/>
      <c r="E1256" s="18" t="n"/>
      <c r="F1256" s="1" t="n"/>
      <c r="G1256">
        <f>IF(OR(B1256="",C1256="",D1256=""),"",B1256+ROW()/10000000)</f>
        <v/>
      </c>
      <c r="H1256">
        <f>IF(G1256="","",IF(COUNTIFS('Care log'!$C$6:$C$1505,C1256,'Care log'!$D$6:$D$1505,D1256,'Care log'!$G$6:$G$1505,"&gt;"&amp;G1256)=0,1,0))</f>
        <v/>
      </c>
    </row>
    <row r="1257">
      <c r="A1257" s="1" t="n"/>
      <c r="B1257" s="20" t="n"/>
      <c r="C1257" s="17" t="n"/>
      <c r="D1257" s="18" t="n"/>
      <c r="E1257" s="18" t="n"/>
      <c r="F1257" s="1" t="n"/>
      <c r="G1257">
        <f>IF(OR(B1257="",C1257="",D1257=""),"",B1257+ROW()/10000000)</f>
        <v/>
      </c>
      <c r="H1257">
        <f>IF(G1257="","",IF(COUNTIFS('Care log'!$C$6:$C$1505,C1257,'Care log'!$D$6:$D$1505,D1257,'Care log'!$G$6:$G$1505,"&gt;"&amp;G1257)=0,1,0))</f>
        <v/>
      </c>
    </row>
    <row r="1258">
      <c r="A1258" s="1" t="n"/>
      <c r="B1258" s="20" t="n"/>
      <c r="C1258" s="17" t="n"/>
      <c r="D1258" s="18" t="n"/>
      <c r="E1258" s="18" t="n"/>
      <c r="F1258" s="1" t="n"/>
      <c r="G1258">
        <f>IF(OR(B1258="",C1258="",D1258=""),"",B1258+ROW()/10000000)</f>
        <v/>
      </c>
      <c r="H1258">
        <f>IF(G1258="","",IF(COUNTIFS('Care log'!$C$6:$C$1505,C1258,'Care log'!$D$6:$D$1505,D1258,'Care log'!$G$6:$G$1505,"&gt;"&amp;G1258)=0,1,0))</f>
        <v/>
      </c>
    </row>
    <row r="1259">
      <c r="A1259" s="1" t="n"/>
      <c r="B1259" s="20" t="n"/>
      <c r="C1259" s="17" t="n"/>
      <c r="D1259" s="18" t="n"/>
      <c r="E1259" s="18" t="n"/>
      <c r="F1259" s="1" t="n"/>
      <c r="G1259">
        <f>IF(OR(B1259="",C1259="",D1259=""),"",B1259+ROW()/10000000)</f>
        <v/>
      </c>
      <c r="H1259">
        <f>IF(G1259="","",IF(COUNTIFS('Care log'!$C$6:$C$1505,C1259,'Care log'!$D$6:$D$1505,D1259,'Care log'!$G$6:$G$1505,"&gt;"&amp;G1259)=0,1,0))</f>
        <v/>
      </c>
    </row>
    <row r="1260">
      <c r="A1260" s="1" t="n"/>
      <c r="B1260" s="20" t="n"/>
      <c r="C1260" s="17" t="n"/>
      <c r="D1260" s="18" t="n"/>
      <c r="E1260" s="18" t="n"/>
      <c r="F1260" s="1" t="n"/>
      <c r="G1260">
        <f>IF(OR(B1260="",C1260="",D1260=""),"",B1260+ROW()/10000000)</f>
        <v/>
      </c>
      <c r="H1260">
        <f>IF(G1260="","",IF(COUNTIFS('Care log'!$C$6:$C$1505,C1260,'Care log'!$D$6:$D$1505,D1260,'Care log'!$G$6:$G$1505,"&gt;"&amp;G1260)=0,1,0))</f>
        <v/>
      </c>
    </row>
    <row r="1261">
      <c r="A1261" s="1" t="n"/>
      <c r="B1261" s="20" t="n"/>
      <c r="C1261" s="17" t="n"/>
      <c r="D1261" s="18" t="n"/>
      <c r="E1261" s="18" t="n"/>
      <c r="F1261" s="1" t="n"/>
      <c r="G1261">
        <f>IF(OR(B1261="",C1261="",D1261=""),"",B1261+ROW()/10000000)</f>
        <v/>
      </c>
      <c r="H1261">
        <f>IF(G1261="","",IF(COUNTIFS('Care log'!$C$6:$C$1505,C1261,'Care log'!$D$6:$D$1505,D1261,'Care log'!$G$6:$G$1505,"&gt;"&amp;G1261)=0,1,0))</f>
        <v/>
      </c>
    </row>
    <row r="1262">
      <c r="A1262" s="1" t="n"/>
      <c r="B1262" s="20" t="n"/>
      <c r="C1262" s="17" t="n"/>
      <c r="D1262" s="18" t="n"/>
      <c r="E1262" s="18" t="n"/>
      <c r="F1262" s="1" t="n"/>
      <c r="G1262">
        <f>IF(OR(B1262="",C1262="",D1262=""),"",B1262+ROW()/10000000)</f>
        <v/>
      </c>
      <c r="H1262">
        <f>IF(G1262="","",IF(COUNTIFS('Care log'!$C$6:$C$1505,C1262,'Care log'!$D$6:$D$1505,D1262,'Care log'!$G$6:$G$1505,"&gt;"&amp;G1262)=0,1,0))</f>
        <v/>
      </c>
    </row>
    <row r="1263">
      <c r="A1263" s="1" t="n"/>
      <c r="B1263" s="20" t="n"/>
      <c r="C1263" s="17" t="n"/>
      <c r="D1263" s="18" t="n"/>
      <c r="E1263" s="18" t="n"/>
      <c r="F1263" s="1" t="n"/>
      <c r="G1263">
        <f>IF(OR(B1263="",C1263="",D1263=""),"",B1263+ROW()/10000000)</f>
        <v/>
      </c>
      <c r="H1263">
        <f>IF(G1263="","",IF(COUNTIFS('Care log'!$C$6:$C$1505,C1263,'Care log'!$D$6:$D$1505,D1263,'Care log'!$G$6:$G$1505,"&gt;"&amp;G1263)=0,1,0))</f>
        <v/>
      </c>
    </row>
    <row r="1264">
      <c r="A1264" s="1" t="n"/>
      <c r="B1264" s="20" t="n"/>
      <c r="C1264" s="17" t="n"/>
      <c r="D1264" s="18" t="n"/>
      <c r="E1264" s="18" t="n"/>
      <c r="F1264" s="1" t="n"/>
      <c r="G1264">
        <f>IF(OR(B1264="",C1264="",D1264=""),"",B1264+ROW()/10000000)</f>
        <v/>
      </c>
      <c r="H1264">
        <f>IF(G1264="","",IF(COUNTIFS('Care log'!$C$6:$C$1505,C1264,'Care log'!$D$6:$D$1505,D1264,'Care log'!$G$6:$G$1505,"&gt;"&amp;G1264)=0,1,0))</f>
        <v/>
      </c>
    </row>
    <row r="1265">
      <c r="A1265" s="1" t="n"/>
      <c r="B1265" s="20" t="n"/>
      <c r="C1265" s="17" t="n"/>
      <c r="D1265" s="18" t="n"/>
      <c r="E1265" s="18" t="n"/>
      <c r="F1265" s="1" t="n"/>
      <c r="G1265">
        <f>IF(OR(B1265="",C1265="",D1265=""),"",B1265+ROW()/10000000)</f>
        <v/>
      </c>
      <c r="H1265">
        <f>IF(G1265="","",IF(COUNTIFS('Care log'!$C$6:$C$1505,C1265,'Care log'!$D$6:$D$1505,D1265,'Care log'!$G$6:$G$1505,"&gt;"&amp;G1265)=0,1,0))</f>
        <v/>
      </c>
    </row>
    <row r="1266">
      <c r="A1266" s="1" t="n"/>
      <c r="B1266" s="20" t="n"/>
      <c r="C1266" s="17" t="n"/>
      <c r="D1266" s="18" t="n"/>
      <c r="E1266" s="18" t="n"/>
      <c r="F1266" s="1" t="n"/>
      <c r="G1266">
        <f>IF(OR(B1266="",C1266="",D1266=""),"",B1266+ROW()/10000000)</f>
        <v/>
      </c>
      <c r="H1266">
        <f>IF(G1266="","",IF(COUNTIFS('Care log'!$C$6:$C$1505,C1266,'Care log'!$D$6:$D$1505,D1266,'Care log'!$G$6:$G$1505,"&gt;"&amp;G1266)=0,1,0))</f>
        <v/>
      </c>
    </row>
    <row r="1267">
      <c r="A1267" s="1" t="n"/>
      <c r="B1267" s="20" t="n"/>
      <c r="C1267" s="17" t="n"/>
      <c r="D1267" s="18" t="n"/>
      <c r="E1267" s="18" t="n"/>
      <c r="F1267" s="1" t="n"/>
      <c r="G1267">
        <f>IF(OR(B1267="",C1267="",D1267=""),"",B1267+ROW()/10000000)</f>
        <v/>
      </c>
      <c r="H1267">
        <f>IF(G1267="","",IF(COUNTIFS('Care log'!$C$6:$C$1505,C1267,'Care log'!$D$6:$D$1505,D1267,'Care log'!$G$6:$G$1505,"&gt;"&amp;G1267)=0,1,0))</f>
        <v/>
      </c>
    </row>
    <row r="1268">
      <c r="A1268" s="1" t="n"/>
      <c r="B1268" s="20" t="n"/>
      <c r="C1268" s="17" t="n"/>
      <c r="D1268" s="18" t="n"/>
      <c r="E1268" s="18" t="n"/>
      <c r="F1268" s="1" t="n"/>
      <c r="G1268">
        <f>IF(OR(B1268="",C1268="",D1268=""),"",B1268+ROW()/10000000)</f>
        <v/>
      </c>
      <c r="H1268">
        <f>IF(G1268="","",IF(COUNTIFS('Care log'!$C$6:$C$1505,C1268,'Care log'!$D$6:$D$1505,D1268,'Care log'!$G$6:$G$1505,"&gt;"&amp;G1268)=0,1,0))</f>
        <v/>
      </c>
    </row>
    <row r="1269">
      <c r="A1269" s="1" t="n"/>
      <c r="B1269" s="20" t="n"/>
      <c r="C1269" s="17" t="n"/>
      <c r="D1269" s="18" t="n"/>
      <c r="E1269" s="18" t="n"/>
      <c r="F1269" s="1" t="n"/>
      <c r="G1269">
        <f>IF(OR(B1269="",C1269="",D1269=""),"",B1269+ROW()/10000000)</f>
        <v/>
      </c>
      <c r="H1269">
        <f>IF(G1269="","",IF(COUNTIFS('Care log'!$C$6:$C$1505,C1269,'Care log'!$D$6:$D$1505,D1269,'Care log'!$G$6:$G$1505,"&gt;"&amp;G1269)=0,1,0))</f>
        <v/>
      </c>
    </row>
    <row r="1270">
      <c r="A1270" s="1" t="n"/>
      <c r="B1270" s="20" t="n"/>
      <c r="C1270" s="17" t="n"/>
      <c r="D1270" s="18" t="n"/>
      <c r="E1270" s="18" t="n"/>
      <c r="F1270" s="1" t="n"/>
      <c r="G1270">
        <f>IF(OR(B1270="",C1270="",D1270=""),"",B1270+ROW()/10000000)</f>
        <v/>
      </c>
      <c r="H1270">
        <f>IF(G1270="","",IF(COUNTIFS('Care log'!$C$6:$C$1505,C1270,'Care log'!$D$6:$D$1505,D1270,'Care log'!$G$6:$G$1505,"&gt;"&amp;G1270)=0,1,0))</f>
        <v/>
      </c>
    </row>
    <row r="1271">
      <c r="A1271" s="1" t="n"/>
      <c r="B1271" s="20" t="n"/>
      <c r="C1271" s="17" t="n"/>
      <c r="D1271" s="18" t="n"/>
      <c r="E1271" s="18" t="n"/>
      <c r="F1271" s="1" t="n"/>
      <c r="G1271">
        <f>IF(OR(B1271="",C1271="",D1271=""),"",B1271+ROW()/10000000)</f>
        <v/>
      </c>
      <c r="H1271">
        <f>IF(G1271="","",IF(COUNTIFS('Care log'!$C$6:$C$1505,C1271,'Care log'!$D$6:$D$1505,D1271,'Care log'!$G$6:$G$1505,"&gt;"&amp;G1271)=0,1,0))</f>
        <v/>
      </c>
    </row>
    <row r="1272">
      <c r="A1272" s="1" t="n"/>
      <c r="B1272" s="20" t="n"/>
      <c r="C1272" s="17" t="n"/>
      <c r="D1272" s="18" t="n"/>
      <c r="E1272" s="18" t="n"/>
      <c r="F1272" s="1" t="n"/>
      <c r="G1272">
        <f>IF(OR(B1272="",C1272="",D1272=""),"",B1272+ROW()/10000000)</f>
        <v/>
      </c>
      <c r="H1272">
        <f>IF(G1272="","",IF(COUNTIFS('Care log'!$C$6:$C$1505,C1272,'Care log'!$D$6:$D$1505,D1272,'Care log'!$G$6:$G$1505,"&gt;"&amp;G1272)=0,1,0))</f>
        <v/>
      </c>
    </row>
    <row r="1273">
      <c r="A1273" s="1" t="n"/>
      <c r="B1273" s="20" t="n"/>
      <c r="C1273" s="17" t="n"/>
      <c r="D1273" s="18" t="n"/>
      <c r="E1273" s="18" t="n"/>
      <c r="F1273" s="1" t="n"/>
      <c r="G1273">
        <f>IF(OR(B1273="",C1273="",D1273=""),"",B1273+ROW()/10000000)</f>
        <v/>
      </c>
      <c r="H1273">
        <f>IF(G1273="","",IF(COUNTIFS('Care log'!$C$6:$C$1505,C1273,'Care log'!$D$6:$D$1505,D1273,'Care log'!$G$6:$G$1505,"&gt;"&amp;G1273)=0,1,0))</f>
        <v/>
      </c>
    </row>
    <row r="1274">
      <c r="A1274" s="1" t="n"/>
      <c r="B1274" s="20" t="n"/>
      <c r="C1274" s="17" t="n"/>
      <c r="D1274" s="18" t="n"/>
      <c r="E1274" s="18" t="n"/>
      <c r="F1274" s="1" t="n"/>
      <c r="G1274">
        <f>IF(OR(B1274="",C1274="",D1274=""),"",B1274+ROW()/10000000)</f>
        <v/>
      </c>
      <c r="H1274">
        <f>IF(G1274="","",IF(COUNTIFS('Care log'!$C$6:$C$1505,C1274,'Care log'!$D$6:$D$1505,D1274,'Care log'!$G$6:$G$1505,"&gt;"&amp;G1274)=0,1,0))</f>
        <v/>
      </c>
    </row>
    <row r="1275">
      <c r="A1275" s="1" t="n"/>
      <c r="B1275" s="20" t="n"/>
      <c r="C1275" s="17" t="n"/>
      <c r="D1275" s="18" t="n"/>
      <c r="E1275" s="18" t="n"/>
      <c r="F1275" s="1" t="n"/>
      <c r="G1275">
        <f>IF(OR(B1275="",C1275="",D1275=""),"",B1275+ROW()/10000000)</f>
        <v/>
      </c>
      <c r="H1275">
        <f>IF(G1275="","",IF(COUNTIFS('Care log'!$C$6:$C$1505,C1275,'Care log'!$D$6:$D$1505,D1275,'Care log'!$G$6:$G$1505,"&gt;"&amp;G1275)=0,1,0))</f>
        <v/>
      </c>
    </row>
    <row r="1276">
      <c r="A1276" s="1" t="n"/>
      <c r="B1276" s="20" t="n"/>
      <c r="C1276" s="17" t="n"/>
      <c r="D1276" s="18" t="n"/>
      <c r="E1276" s="18" t="n"/>
      <c r="F1276" s="1" t="n"/>
      <c r="G1276">
        <f>IF(OR(B1276="",C1276="",D1276=""),"",B1276+ROW()/10000000)</f>
        <v/>
      </c>
      <c r="H1276">
        <f>IF(G1276="","",IF(COUNTIFS('Care log'!$C$6:$C$1505,C1276,'Care log'!$D$6:$D$1505,D1276,'Care log'!$G$6:$G$1505,"&gt;"&amp;G1276)=0,1,0))</f>
        <v/>
      </c>
    </row>
    <row r="1277">
      <c r="A1277" s="1" t="n"/>
      <c r="B1277" s="20" t="n"/>
      <c r="C1277" s="17" t="n"/>
      <c r="D1277" s="18" t="n"/>
      <c r="E1277" s="18" t="n"/>
      <c r="F1277" s="1" t="n"/>
      <c r="G1277">
        <f>IF(OR(B1277="",C1277="",D1277=""),"",B1277+ROW()/10000000)</f>
        <v/>
      </c>
      <c r="H1277">
        <f>IF(G1277="","",IF(COUNTIFS('Care log'!$C$6:$C$1505,C1277,'Care log'!$D$6:$D$1505,D1277,'Care log'!$G$6:$G$1505,"&gt;"&amp;G1277)=0,1,0))</f>
        <v/>
      </c>
    </row>
    <row r="1278">
      <c r="A1278" s="1" t="n"/>
      <c r="B1278" s="20" t="n"/>
      <c r="C1278" s="17" t="n"/>
      <c r="D1278" s="18" t="n"/>
      <c r="E1278" s="18" t="n"/>
      <c r="F1278" s="1" t="n"/>
      <c r="G1278">
        <f>IF(OR(B1278="",C1278="",D1278=""),"",B1278+ROW()/10000000)</f>
        <v/>
      </c>
      <c r="H1278">
        <f>IF(G1278="","",IF(COUNTIFS('Care log'!$C$6:$C$1505,C1278,'Care log'!$D$6:$D$1505,D1278,'Care log'!$G$6:$G$1505,"&gt;"&amp;G1278)=0,1,0))</f>
        <v/>
      </c>
    </row>
    <row r="1279">
      <c r="A1279" s="1" t="n"/>
      <c r="B1279" s="20" t="n"/>
      <c r="C1279" s="17" t="n"/>
      <c r="D1279" s="18" t="n"/>
      <c r="E1279" s="18" t="n"/>
      <c r="F1279" s="1" t="n"/>
      <c r="G1279">
        <f>IF(OR(B1279="",C1279="",D1279=""),"",B1279+ROW()/10000000)</f>
        <v/>
      </c>
      <c r="H1279">
        <f>IF(G1279="","",IF(COUNTIFS('Care log'!$C$6:$C$1505,C1279,'Care log'!$D$6:$D$1505,D1279,'Care log'!$G$6:$G$1505,"&gt;"&amp;G1279)=0,1,0))</f>
        <v/>
      </c>
    </row>
    <row r="1280">
      <c r="A1280" s="1" t="n"/>
      <c r="B1280" s="20" t="n"/>
      <c r="C1280" s="17" t="n"/>
      <c r="D1280" s="18" t="n"/>
      <c r="E1280" s="18" t="n"/>
      <c r="F1280" s="1" t="n"/>
      <c r="G1280">
        <f>IF(OR(B1280="",C1280="",D1280=""),"",B1280+ROW()/10000000)</f>
        <v/>
      </c>
      <c r="H1280">
        <f>IF(G1280="","",IF(COUNTIFS('Care log'!$C$6:$C$1505,C1280,'Care log'!$D$6:$D$1505,D1280,'Care log'!$G$6:$G$1505,"&gt;"&amp;G1280)=0,1,0))</f>
        <v/>
      </c>
    </row>
    <row r="1281">
      <c r="A1281" s="1" t="n"/>
      <c r="B1281" s="20" t="n"/>
      <c r="C1281" s="17" t="n"/>
      <c r="D1281" s="18" t="n"/>
      <c r="E1281" s="18" t="n"/>
      <c r="F1281" s="1" t="n"/>
      <c r="G1281">
        <f>IF(OR(B1281="",C1281="",D1281=""),"",B1281+ROW()/10000000)</f>
        <v/>
      </c>
      <c r="H1281">
        <f>IF(G1281="","",IF(COUNTIFS('Care log'!$C$6:$C$1505,C1281,'Care log'!$D$6:$D$1505,D1281,'Care log'!$G$6:$G$1505,"&gt;"&amp;G1281)=0,1,0))</f>
        <v/>
      </c>
    </row>
    <row r="1282">
      <c r="A1282" s="1" t="n"/>
      <c r="B1282" s="20" t="n"/>
      <c r="C1282" s="17" t="n"/>
      <c r="D1282" s="18" t="n"/>
      <c r="E1282" s="18" t="n"/>
      <c r="F1282" s="1" t="n"/>
      <c r="G1282">
        <f>IF(OR(B1282="",C1282="",D1282=""),"",B1282+ROW()/10000000)</f>
        <v/>
      </c>
      <c r="H1282">
        <f>IF(G1282="","",IF(COUNTIFS('Care log'!$C$6:$C$1505,C1282,'Care log'!$D$6:$D$1505,D1282,'Care log'!$G$6:$G$1505,"&gt;"&amp;G1282)=0,1,0))</f>
        <v/>
      </c>
    </row>
    <row r="1283">
      <c r="A1283" s="1" t="n"/>
      <c r="B1283" s="20" t="n"/>
      <c r="C1283" s="17" t="n"/>
      <c r="D1283" s="18" t="n"/>
      <c r="E1283" s="18" t="n"/>
      <c r="F1283" s="1" t="n"/>
      <c r="G1283">
        <f>IF(OR(B1283="",C1283="",D1283=""),"",B1283+ROW()/10000000)</f>
        <v/>
      </c>
      <c r="H1283">
        <f>IF(G1283="","",IF(COUNTIFS('Care log'!$C$6:$C$1505,C1283,'Care log'!$D$6:$D$1505,D1283,'Care log'!$G$6:$G$1505,"&gt;"&amp;G1283)=0,1,0))</f>
        <v/>
      </c>
    </row>
    <row r="1284">
      <c r="A1284" s="1" t="n"/>
      <c r="B1284" s="20" t="n"/>
      <c r="C1284" s="17" t="n"/>
      <c r="D1284" s="18" t="n"/>
      <c r="E1284" s="18" t="n"/>
      <c r="F1284" s="1" t="n"/>
      <c r="G1284">
        <f>IF(OR(B1284="",C1284="",D1284=""),"",B1284+ROW()/10000000)</f>
        <v/>
      </c>
      <c r="H1284">
        <f>IF(G1284="","",IF(COUNTIFS('Care log'!$C$6:$C$1505,C1284,'Care log'!$D$6:$D$1505,D1284,'Care log'!$G$6:$G$1505,"&gt;"&amp;G1284)=0,1,0))</f>
        <v/>
      </c>
    </row>
    <row r="1285">
      <c r="A1285" s="1" t="n"/>
      <c r="B1285" s="20" t="n"/>
      <c r="C1285" s="17" t="n"/>
      <c r="D1285" s="18" t="n"/>
      <c r="E1285" s="18" t="n"/>
      <c r="F1285" s="1" t="n"/>
      <c r="G1285">
        <f>IF(OR(B1285="",C1285="",D1285=""),"",B1285+ROW()/10000000)</f>
        <v/>
      </c>
      <c r="H1285">
        <f>IF(G1285="","",IF(COUNTIFS('Care log'!$C$6:$C$1505,C1285,'Care log'!$D$6:$D$1505,D1285,'Care log'!$G$6:$G$1505,"&gt;"&amp;G1285)=0,1,0))</f>
        <v/>
      </c>
    </row>
    <row r="1286">
      <c r="A1286" s="1" t="n"/>
      <c r="B1286" s="20" t="n"/>
      <c r="C1286" s="17" t="n"/>
      <c r="D1286" s="18" t="n"/>
      <c r="E1286" s="18" t="n"/>
      <c r="F1286" s="1" t="n"/>
      <c r="G1286">
        <f>IF(OR(B1286="",C1286="",D1286=""),"",B1286+ROW()/10000000)</f>
        <v/>
      </c>
      <c r="H1286">
        <f>IF(G1286="","",IF(COUNTIFS('Care log'!$C$6:$C$1505,C1286,'Care log'!$D$6:$D$1505,D1286,'Care log'!$G$6:$G$1505,"&gt;"&amp;G1286)=0,1,0))</f>
        <v/>
      </c>
    </row>
    <row r="1287">
      <c r="A1287" s="1" t="n"/>
      <c r="B1287" s="20" t="n"/>
      <c r="C1287" s="17" t="n"/>
      <c r="D1287" s="18" t="n"/>
      <c r="E1287" s="18" t="n"/>
      <c r="F1287" s="1" t="n"/>
      <c r="G1287">
        <f>IF(OR(B1287="",C1287="",D1287=""),"",B1287+ROW()/10000000)</f>
        <v/>
      </c>
      <c r="H1287">
        <f>IF(G1287="","",IF(COUNTIFS('Care log'!$C$6:$C$1505,C1287,'Care log'!$D$6:$D$1505,D1287,'Care log'!$G$6:$G$1505,"&gt;"&amp;G1287)=0,1,0))</f>
        <v/>
      </c>
    </row>
    <row r="1288">
      <c r="A1288" s="1" t="n"/>
      <c r="B1288" s="20" t="n"/>
      <c r="C1288" s="17" t="n"/>
      <c r="D1288" s="18" t="n"/>
      <c r="E1288" s="18" t="n"/>
      <c r="F1288" s="1" t="n"/>
      <c r="G1288">
        <f>IF(OR(B1288="",C1288="",D1288=""),"",B1288+ROW()/10000000)</f>
        <v/>
      </c>
      <c r="H1288">
        <f>IF(G1288="","",IF(COUNTIFS('Care log'!$C$6:$C$1505,C1288,'Care log'!$D$6:$D$1505,D1288,'Care log'!$G$6:$G$1505,"&gt;"&amp;G1288)=0,1,0))</f>
        <v/>
      </c>
    </row>
    <row r="1289">
      <c r="A1289" s="1" t="n"/>
      <c r="B1289" s="20" t="n"/>
      <c r="C1289" s="17" t="n"/>
      <c r="D1289" s="18" t="n"/>
      <c r="E1289" s="18" t="n"/>
      <c r="F1289" s="1" t="n"/>
      <c r="G1289">
        <f>IF(OR(B1289="",C1289="",D1289=""),"",B1289+ROW()/10000000)</f>
        <v/>
      </c>
      <c r="H1289">
        <f>IF(G1289="","",IF(COUNTIFS('Care log'!$C$6:$C$1505,C1289,'Care log'!$D$6:$D$1505,D1289,'Care log'!$G$6:$G$1505,"&gt;"&amp;G1289)=0,1,0))</f>
        <v/>
      </c>
    </row>
    <row r="1290">
      <c r="A1290" s="1" t="n"/>
      <c r="B1290" s="20" t="n"/>
      <c r="C1290" s="17" t="n"/>
      <c r="D1290" s="18" t="n"/>
      <c r="E1290" s="18" t="n"/>
      <c r="F1290" s="1" t="n"/>
      <c r="G1290">
        <f>IF(OR(B1290="",C1290="",D1290=""),"",B1290+ROW()/10000000)</f>
        <v/>
      </c>
      <c r="H1290">
        <f>IF(G1290="","",IF(COUNTIFS('Care log'!$C$6:$C$1505,C1290,'Care log'!$D$6:$D$1505,D1290,'Care log'!$G$6:$G$1505,"&gt;"&amp;G1290)=0,1,0))</f>
        <v/>
      </c>
    </row>
    <row r="1291">
      <c r="A1291" s="1" t="n"/>
      <c r="B1291" s="20" t="n"/>
      <c r="C1291" s="17" t="n"/>
      <c r="D1291" s="18" t="n"/>
      <c r="E1291" s="18" t="n"/>
      <c r="F1291" s="1" t="n"/>
      <c r="G1291">
        <f>IF(OR(B1291="",C1291="",D1291=""),"",B1291+ROW()/10000000)</f>
        <v/>
      </c>
      <c r="H1291">
        <f>IF(G1291="","",IF(COUNTIFS('Care log'!$C$6:$C$1505,C1291,'Care log'!$D$6:$D$1505,D1291,'Care log'!$G$6:$G$1505,"&gt;"&amp;G1291)=0,1,0))</f>
        <v/>
      </c>
    </row>
    <row r="1292">
      <c r="A1292" s="1" t="n"/>
      <c r="B1292" s="20" t="n"/>
      <c r="C1292" s="17" t="n"/>
      <c r="D1292" s="18" t="n"/>
      <c r="E1292" s="18" t="n"/>
      <c r="F1292" s="1" t="n"/>
      <c r="G1292">
        <f>IF(OR(B1292="",C1292="",D1292=""),"",B1292+ROW()/10000000)</f>
        <v/>
      </c>
      <c r="H1292">
        <f>IF(G1292="","",IF(COUNTIFS('Care log'!$C$6:$C$1505,C1292,'Care log'!$D$6:$D$1505,D1292,'Care log'!$G$6:$G$1505,"&gt;"&amp;G1292)=0,1,0))</f>
        <v/>
      </c>
    </row>
    <row r="1293">
      <c r="A1293" s="1" t="n"/>
      <c r="B1293" s="20" t="n"/>
      <c r="C1293" s="17" t="n"/>
      <c r="D1293" s="18" t="n"/>
      <c r="E1293" s="18" t="n"/>
      <c r="F1293" s="1" t="n"/>
      <c r="G1293">
        <f>IF(OR(B1293="",C1293="",D1293=""),"",B1293+ROW()/10000000)</f>
        <v/>
      </c>
      <c r="H1293">
        <f>IF(G1293="","",IF(COUNTIFS('Care log'!$C$6:$C$1505,C1293,'Care log'!$D$6:$D$1505,D1293,'Care log'!$G$6:$G$1505,"&gt;"&amp;G1293)=0,1,0))</f>
        <v/>
      </c>
    </row>
    <row r="1294">
      <c r="A1294" s="1" t="n"/>
      <c r="B1294" s="20" t="n"/>
      <c r="C1294" s="17" t="n"/>
      <c r="D1294" s="18" t="n"/>
      <c r="E1294" s="18" t="n"/>
      <c r="F1294" s="1" t="n"/>
      <c r="G1294">
        <f>IF(OR(B1294="",C1294="",D1294=""),"",B1294+ROW()/10000000)</f>
        <v/>
      </c>
      <c r="H1294">
        <f>IF(G1294="","",IF(COUNTIFS('Care log'!$C$6:$C$1505,C1294,'Care log'!$D$6:$D$1505,D1294,'Care log'!$G$6:$G$1505,"&gt;"&amp;G1294)=0,1,0))</f>
        <v/>
      </c>
    </row>
    <row r="1295">
      <c r="A1295" s="1" t="n"/>
      <c r="B1295" s="20" t="n"/>
      <c r="C1295" s="17" t="n"/>
      <c r="D1295" s="18" t="n"/>
      <c r="E1295" s="18" t="n"/>
      <c r="F1295" s="1" t="n"/>
      <c r="G1295">
        <f>IF(OR(B1295="",C1295="",D1295=""),"",B1295+ROW()/10000000)</f>
        <v/>
      </c>
      <c r="H1295">
        <f>IF(G1295="","",IF(COUNTIFS('Care log'!$C$6:$C$1505,C1295,'Care log'!$D$6:$D$1505,D1295,'Care log'!$G$6:$G$1505,"&gt;"&amp;G1295)=0,1,0))</f>
        <v/>
      </c>
    </row>
    <row r="1296">
      <c r="A1296" s="1" t="n"/>
      <c r="B1296" s="20" t="n"/>
      <c r="C1296" s="17" t="n"/>
      <c r="D1296" s="18" t="n"/>
      <c r="E1296" s="18" t="n"/>
      <c r="F1296" s="1" t="n"/>
      <c r="G1296">
        <f>IF(OR(B1296="",C1296="",D1296=""),"",B1296+ROW()/10000000)</f>
        <v/>
      </c>
      <c r="H1296">
        <f>IF(G1296="","",IF(COUNTIFS('Care log'!$C$6:$C$1505,C1296,'Care log'!$D$6:$D$1505,D1296,'Care log'!$G$6:$G$1505,"&gt;"&amp;G1296)=0,1,0))</f>
        <v/>
      </c>
    </row>
    <row r="1297">
      <c r="A1297" s="1" t="n"/>
      <c r="B1297" s="20" t="n"/>
      <c r="C1297" s="17" t="n"/>
      <c r="D1297" s="18" t="n"/>
      <c r="E1297" s="18" t="n"/>
      <c r="F1297" s="1" t="n"/>
      <c r="G1297">
        <f>IF(OR(B1297="",C1297="",D1297=""),"",B1297+ROW()/10000000)</f>
        <v/>
      </c>
      <c r="H1297">
        <f>IF(G1297="","",IF(COUNTIFS('Care log'!$C$6:$C$1505,C1297,'Care log'!$D$6:$D$1505,D1297,'Care log'!$G$6:$G$1505,"&gt;"&amp;G1297)=0,1,0))</f>
        <v/>
      </c>
    </row>
    <row r="1298">
      <c r="A1298" s="1" t="n"/>
      <c r="B1298" s="20" t="n"/>
      <c r="C1298" s="17" t="n"/>
      <c r="D1298" s="18" t="n"/>
      <c r="E1298" s="18" t="n"/>
      <c r="F1298" s="1" t="n"/>
      <c r="G1298">
        <f>IF(OR(B1298="",C1298="",D1298=""),"",B1298+ROW()/10000000)</f>
        <v/>
      </c>
      <c r="H1298">
        <f>IF(G1298="","",IF(COUNTIFS('Care log'!$C$6:$C$1505,C1298,'Care log'!$D$6:$D$1505,D1298,'Care log'!$G$6:$G$1505,"&gt;"&amp;G1298)=0,1,0))</f>
        <v/>
      </c>
    </row>
    <row r="1299">
      <c r="A1299" s="1" t="n"/>
      <c r="B1299" s="20" t="n"/>
      <c r="C1299" s="17" t="n"/>
      <c r="D1299" s="18" t="n"/>
      <c r="E1299" s="18" t="n"/>
      <c r="F1299" s="1" t="n"/>
      <c r="G1299">
        <f>IF(OR(B1299="",C1299="",D1299=""),"",B1299+ROW()/10000000)</f>
        <v/>
      </c>
      <c r="H1299">
        <f>IF(G1299="","",IF(COUNTIFS('Care log'!$C$6:$C$1505,C1299,'Care log'!$D$6:$D$1505,D1299,'Care log'!$G$6:$G$1505,"&gt;"&amp;G1299)=0,1,0))</f>
        <v/>
      </c>
    </row>
    <row r="1300">
      <c r="A1300" s="1" t="n"/>
      <c r="B1300" s="20" t="n"/>
      <c r="C1300" s="17" t="n"/>
      <c r="D1300" s="18" t="n"/>
      <c r="E1300" s="18" t="n"/>
      <c r="F1300" s="1" t="n"/>
      <c r="G1300">
        <f>IF(OR(B1300="",C1300="",D1300=""),"",B1300+ROW()/10000000)</f>
        <v/>
      </c>
      <c r="H1300">
        <f>IF(G1300="","",IF(COUNTIFS('Care log'!$C$6:$C$1505,C1300,'Care log'!$D$6:$D$1505,D1300,'Care log'!$G$6:$G$1505,"&gt;"&amp;G1300)=0,1,0))</f>
        <v/>
      </c>
    </row>
    <row r="1301">
      <c r="A1301" s="1" t="n"/>
      <c r="B1301" s="20" t="n"/>
      <c r="C1301" s="17" t="n"/>
      <c r="D1301" s="18" t="n"/>
      <c r="E1301" s="18" t="n"/>
      <c r="F1301" s="1" t="n"/>
      <c r="G1301">
        <f>IF(OR(B1301="",C1301="",D1301=""),"",B1301+ROW()/10000000)</f>
        <v/>
      </c>
      <c r="H1301">
        <f>IF(G1301="","",IF(COUNTIFS('Care log'!$C$6:$C$1505,C1301,'Care log'!$D$6:$D$1505,D1301,'Care log'!$G$6:$G$1505,"&gt;"&amp;G1301)=0,1,0))</f>
        <v/>
      </c>
    </row>
    <row r="1302">
      <c r="A1302" s="1" t="n"/>
      <c r="B1302" s="20" t="n"/>
      <c r="C1302" s="17" t="n"/>
      <c r="D1302" s="18" t="n"/>
      <c r="E1302" s="18" t="n"/>
      <c r="F1302" s="1" t="n"/>
      <c r="G1302">
        <f>IF(OR(B1302="",C1302="",D1302=""),"",B1302+ROW()/10000000)</f>
        <v/>
      </c>
      <c r="H1302">
        <f>IF(G1302="","",IF(COUNTIFS('Care log'!$C$6:$C$1505,C1302,'Care log'!$D$6:$D$1505,D1302,'Care log'!$G$6:$G$1505,"&gt;"&amp;G1302)=0,1,0))</f>
        <v/>
      </c>
    </row>
    <row r="1303">
      <c r="A1303" s="1" t="n"/>
      <c r="B1303" s="20" t="n"/>
      <c r="C1303" s="17" t="n"/>
      <c r="D1303" s="18" t="n"/>
      <c r="E1303" s="18" t="n"/>
      <c r="F1303" s="1" t="n"/>
      <c r="G1303">
        <f>IF(OR(B1303="",C1303="",D1303=""),"",B1303+ROW()/10000000)</f>
        <v/>
      </c>
      <c r="H1303">
        <f>IF(G1303="","",IF(COUNTIFS('Care log'!$C$6:$C$1505,C1303,'Care log'!$D$6:$D$1505,D1303,'Care log'!$G$6:$G$1505,"&gt;"&amp;G1303)=0,1,0))</f>
        <v/>
      </c>
    </row>
    <row r="1304">
      <c r="A1304" s="1" t="n"/>
      <c r="B1304" s="20" t="n"/>
      <c r="C1304" s="17" t="n"/>
      <c r="D1304" s="18" t="n"/>
      <c r="E1304" s="18" t="n"/>
      <c r="F1304" s="1" t="n"/>
      <c r="G1304">
        <f>IF(OR(B1304="",C1304="",D1304=""),"",B1304+ROW()/10000000)</f>
        <v/>
      </c>
      <c r="H1304">
        <f>IF(G1304="","",IF(COUNTIFS('Care log'!$C$6:$C$1505,C1304,'Care log'!$D$6:$D$1505,D1304,'Care log'!$G$6:$G$1505,"&gt;"&amp;G1304)=0,1,0))</f>
        <v/>
      </c>
    </row>
    <row r="1305">
      <c r="A1305" s="1" t="n"/>
      <c r="B1305" s="20" t="n"/>
      <c r="C1305" s="17" t="n"/>
      <c r="D1305" s="18" t="n"/>
      <c r="E1305" s="18" t="n"/>
      <c r="F1305" s="1" t="n"/>
      <c r="G1305">
        <f>IF(OR(B1305="",C1305="",D1305=""),"",B1305+ROW()/10000000)</f>
        <v/>
      </c>
      <c r="H1305">
        <f>IF(G1305="","",IF(COUNTIFS('Care log'!$C$6:$C$1505,C1305,'Care log'!$D$6:$D$1505,D1305,'Care log'!$G$6:$G$1505,"&gt;"&amp;G1305)=0,1,0))</f>
        <v/>
      </c>
    </row>
    <row r="1306">
      <c r="A1306" s="1" t="n"/>
      <c r="B1306" s="20" t="n"/>
      <c r="C1306" s="17" t="n"/>
      <c r="D1306" s="18" t="n"/>
      <c r="E1306" s="18" t="n"/>
      <c r="F1306" s="1" t="n"/>
      <c r="G1306">
        <f>IF(OR(B1306="",C1306="",D1306=""),"",B1306+ROW()/10000000)</f>
        <v/>
      </c>
      <c r="H1306">
        <f>IF(G1306="","",IF(COUNTIFS('Care log'!$C$6:$C$1505,C1306,'Care log'!$D$6:$D$1505,D1306,'Care log'!$G$6:$G$1505,"&gt;"&amp;G1306)=0,1,0))</f>
        <v/>
      </c>
    </row>
    <row r="1307">
      <c r="A1307" s="1" t="n"/>
      <c r="B1307" s="20" t="n"/>
      <c r="C1307" s="17" t="n"/>
      <c r="D1307" s="18" t="n"/>
      <c r="E1307" s="18" t="n"/>
      <c r="F1307" s="1" t="n"/>
      <c r="G1307">
        <f>IF(OR(B1307="",C1307="",D1307=""),"",B1307+ROW()/10000000)</f>
        <v/>
      </c>
      <c r="H1307">
        <f>IF(G1307="","",IF(COUNTIFS('Care log'!$C$6:$C$1505,C1307,'Care log'!$D$6:$D$1505,D1307,'Care log'!$G$6:$G$1505,"&gt;"&amp;G1307)=0,1,0))</f>
        <v/>
      </c>
    </row>
    <row r="1308">
      <c r="A1308" s="1" t="n"/>
      <c r="B1308" s="20" t="n"/>
      <c r="C1308" s="17" t="n"/>
      <c r="D1308" s="18" t="n"/>
      <c r="E1308" s="18" t="n"/>
      <c r="F1308" s="1" t="n"/>
      <c r="G1308">
        <f>IF(OR(B1308="",C1308="",D1308=""),"",B1308+ROW()/10000000)</f>
        <v/>
      </c>
      <c r="H1308">
        <f>IF(G1308="","",IF(COUNTIFS('Care log'!$C$6:$C$1505,C1308,'Care log'!$D$6:$D$1505,D1308,'Care log'!$G$6:$G$1505,"&gt;"&amp;G1308)=0,1,0))</f>
        <v/>
      </c>
    </row>
    <row r="1309">
      <c r="A1309" s="1" t="n"/>
      <c r="B1309" s="20" t="n"/>
      <c r="C1309" s="17" t="n"/>
      <c r="D1309" s="18" t="n"/>
      <c r="E1309" s="18" t="n"/>
      <c r="F1309" s="1" t="n"/>
      <c r="G1309">
        <f>IF(OR(B1309="",C1309="",D1309=""),"",B1309+ROW()/10000000)</f>
        <v/>
      </c>
      <c r="H1309">
        <f>IF(G1309="","",IF(COUNTIFS('Care log'!$C$6:$C$1505,C1309,'Care log'!$D$6:$D$1505,D1309,'Care log'!$G$6:$G$1505,"&gt;"&amp;G1309)=0,1,0))</f>
        <v/>
      </c>
    </row>
    <row r="1310">
      <c r="A1310" s="1" t="n"/>
      <c r="B1310" s="20" t="n"/>
      <c r="C1310" s="17" t="n"/>
      <c r="D1310" s="18" t="n"/>
      <c r="E1310" s="18" t="n"/>
      <c r="F1310" s="1" t="n"/>
      <c r="G1310">
        <f>IF(OR(B1310="",C1310="",D1310=""),"",B1310+ROW()/10000000)</f>
        <v/>
      </c>
      <c r="H1310">
        <f>IF(G1310="","",IF(COUNTIFS('Care log'!$C$6:$C$1505,C1310,'Care log'!$D$6:$D$1505,D1310,'Care log'!$G$6:$G$1505,"&gt;"&amp;G1310)=0,1,0))</f>
        <v/>
      </c>
    </row>
    <row r="1311">
      <c r="A1311" s="1" t="n"/>
      <c r="B1311" s="20" t="n"/>
      <c r="C1311" s="17" t="n"/>
      <c r="D1311" s="18" t="n"/>
      <c r="E1311" s="18" t="n"/>
      <c r="F1311" s="1" t="n"/>
      <c r="G1311">
        <f>IF(OR(B1311="",C1311="",D1311=""),"",B1311+ROW()/10000000)</f>
        <v/>
      </c>
      <c r="H1311">
        <f>IF(G1311="","",IF(COUNTIFS('Care log'!$C$6:$C$1505,C1311,'Care log'!$D$6:$D$1505,D1311,'Care log'!$G$6:$G$1505,"&gt;"&amp;G1311)=0,1,0))</f>
        <v/>
      </c>
    </row>
    <row r="1312">
      <c r="A1312" s="1" t="n"/>
      <c r="B1312" s="20" t="n"/>
      <c r="C1312" s="17" t="n"/>
      <c r="D1312" s="18" t="n"/>
      <c r="E1312" s="18" t="n"/>
      <c r="F1312" s="1" t="n"/>
      <c r="G1312">
        <f>IF(OR(B1312="",C1312="",D1312=""),"",B1312+ROW()/10000000)</f>
        <v/>
      </c>
      <c r="H1312">
        <f>IF(G1312="","",IF(COUNTIFS('Care log'!$C$6:$C$1505,C1312,'Care log'!$D$6:$D$1505,D1312,'Care log'!$G$6:$G$1505,"&gt;"&amp;G1312)=0,1,0))</f>
        <v/>
      </c>
    </row>
    <row r="1313">
      <c r="A1313" s="1" t="n"/>
      <c r="B1313" s="20" t="n"/>
      <c r="C1313" s="17" t="n"/>
      <c r="D1313" s="18" t="n"/>
      <c r="E1313" s="18" t="n"/>
      <c r="F1313" s="1" t="n"/>
      <c r="G1313">
        <f>IF(OR(B1313="",C1313="",D1313=""),"",B1313+ROW()/10000000)</f>
        <v/>
      </c>
      <c r="H1313">
        <f>IF(G1313="","",IF(COUNTIFS('Care log'!$C$6:$C$1505,C1313,'Care log'!$D$6:$D$1505,D1313,'Care log'!$G$6:$G$1505,"&gt;"&amp;G1313)=0,1,0))</f>
        <v/>
      </c>
    </row>
    <row r="1314">
      <c r="A1314" s="1" t="n"/>
      <c r="B1314" s="20" t="n"/>
      <c r="C1314" s="17" t="n"/>
      <c r="D1314" s="18" t="n"/>
      <c r="E1314" s="18" t="n"/>
      <c r="F1314" s="1" t="n"/>
      <c r="G1314">
        <f>IF(OR(B1314="",C1314="",D1314=""),"",B1314+ROW()/10000000)</f>
        <v/>
      </c>
      <c r="H1314">
        <f>IF(G1314="","",IF(COUNTIFS('Care log'!$C$6:$C$1505,C1314,'Care log'!$D$6:$D$1505,D1314,'Care log'!$G$6:$G$1505,"&gt;"&amp;G1314)=0,1,0))</f>
        <v/>
      </c>
    </row>
    <row r="1315">
      <c r="A1315" s="1" t="n"/>
      <c r="B1315" s="20" t="n"/>
      <c r="C1315" s="17" t="n"/>
      <c r="D1315" s="18" t="n"/>
      <c r="E1315" s="18" t="n"/>
      <c r="F1315" s="1" t="n"/>
      <c r="G1315">
        <f>IF(OR(B1315="",C1315="",D1315=""),"",B1315+ROW()/10000000)</f>
        <v/>
      </c>
      <c r="H1315">
        <f>IF(G1315="","",IF(COUNTIFS('Care log'!$C$6:$C$1505,C1315,'Care log'!$D$6:$D$1505,D1315,'Care log'!$G$6:$G$1505,"&gt;"&amp;G1315)=0,1,0))</f>
        <v/>
      </c>
    </row>
    <row r="1316">
      <c r="A1316" s="1" t="n"/>
      <c r="B1316" s="20" t="n"/>
      <c r="C1316" s="17" t="n"/>
      <c r="D1316" s="18" t="n"/>
      <c r="E1316" s="18" t="n"/>
      <c r="F1316" s="1" t="n"/>
      <c r="G1316">
        <f>IF(OR(B1316="",C1316="",D1316=""),"",B1316+ROW()/10000000)</f>
        <v/>
      </c>
      <c r="H1316">
        <f>IF(G1316="","",IF(COUNTIFS('Care log'!$C$6:$C$1505,C1316,'Care log'!$D$6:$D$1505,D1316,'Care log'!$G$6:$G$1505,"&gt;"&amp;G1316)=0,1,0))</f>
        <v/>
      </c>
    </row>
    <row r="1317">
      <c r="A1317" s="1" t="n"/>
      <c r="B1317" s="20" t="n"/>
      <c r="C1317" s="17" t="n"/>
      <c r="D1317" s="18" t="n"/>
      <c r="E1317" s="18" t="n"/>
      <c r="F1317" s="1" t="n"/>
      <c r="G1317">
        <f>IF(OR(B1317="",C1317="",D1317=""),"",B1317+ROW()/10000000)</f>
        <v/>
      </c>
      <c r="H1317">
        <f>IF(G1317="","",IF(COUNTIFS('Care log'!$C$6:$C$1505,C1317,'Care log'!$D$6:$D$1505,D1317,'Care log'!$G$6:$G$1505,"&gt;"&amp;G1317)=0,1,0))</f>
        <v/>
      </c>
    </row>
    <row r="1318">
      <c r="A1318" s="1" t="n"/>
      <c r="B1318" s="20" t="n"/>
      <c r="C1318" s="17" t="n"/>
      <c r="D1318" s="18" t="n"/>
      <c r="E1318" s="18" t="n"/>
      <c r="F1318" s="1" t="n"/>
      <c r="G1318">
        <f>IF(OR(B1318="",C1318="",D1318=""),"",B1318+ROW()/10000000)</f>
        <v/>
      </c>
      <c r="H1318">
        <f>IF(G1318="","",IF(COUNTIFS('Care log'!$C$6:$C$1505,C1318,'Care log'!$D$6:$D$1505,D1318,'Care log'!$G$6:$G$1505,"&gt;"&amp;G1318)=0,1,0))</f>
        <v/>
      </c>
    </row>
    <row r="1319">
      <c r="A1319" s="1" t="n"/>
      <c r="B1319" s="20" t="n"/>
      <c r="C1319" s="17" t="n"/>
      <c r="D1319" s="18" t="n"/>
      <c r="E1319" s="18" t="n"/>
      <c r="F1319" s="1" t="n"/>
      <c r="G1319">
        <f>IF(OR(B1319="",C1319="",D1319=""),"",B1319+ROW()/10000000)</f>
        <v/>
      </c>
      <c r="H1319">
        <f>IF(G1319="","",IF(COUNTIFS('Care log'!$C$6:$C$1505,C1319,'Care log'!$D$6:$D$1505,D1319,'Care log'!$G$6:$G$1505,"&gt;"&amp;G1319)=0,1,0))</f>
        <v/>
      </c>
    </row>
    <row r="1320">
      <c r="A1320" s="1" t="n"/>
      <c r="B1320" s="20" t="n"/>
      <c r="C1320" s="17" t="n"/>
      <c r="D1320" s="18" t="n"/>
      <c r="E1320" s="18" t="n"/>
      <c r="F1320" s="1" t="n"/>
      <c r="G1320">
        <f>IF(OR(B1320="",C1320="",D1320=""),"",B1320+ROW()/10000000)</f>
        <v/>
      </c>
      <c r="H1320">
        <f>IF(G1320="","",IF(COUNTIFS('Care log'!$C$6:$C$1505,C1320,'Care log'!$D$6:$D$1505,D1320,'Care log'!$G$6:$G$1505,"&gt;"&amp;G1320)=0,1,0))</f>
        <v/>
      </c>
    </row>
    <row r="1321">
      <c r="A1321" s="1" t="n"/>
      <c r="B1321" s="20" t="n"/>
      <c r="C1321" s="17" t="n"/>
      <c r="D1321" s="18" t="n"/>
      <c r="E1321" s="18" t="n"/>
      <c r="F1321" s="1" t="n"/>
      <c r="G1321">
        <f>IF(OR(B1321="",C1321="",D1321=""),"",B1321+ROW()/10000000)</f>
        <v/>
      </c>
      <c r="H1321">
        <f>IF(G1321="","",IF(COUNTIFS('Care log'!$C$6:$C$1505,C1321,'Care log'!$D$6:$D$1505,D1321,'Care log'!$G$6:$G$1505,"&gt;"&amp;G1321)=0,1,0))</f>
        <v/>
      </c>
    </row>
    <row r="1322">
      <c r="A1322" s="1" t="n"/>
      <c r="B1322" s="20" t="n"/>
      <c r="C1322" s="17" t="n"/>
      <c r="D1322" s="18" t="n"/>
      <c r="E1322" s="18" t="n"/>
      <c r="F1322" s="1" t="n"/>
      <c r="G1322">
        <f>IF(OR(B1322="",C1322="",D1322=""),"",B1322+ROW()/10000000)</f>
        <v/>
      </c>
      <c r="H1322">
        <f>IF(G1322="","",IF(COUNTIFS('Care log'!$C$6:$C$1505,C1322,'Care log'!$D$6:$D$1505,D1322,'Care log'!$G$6:$G$1505,"&gt;"&amp;G1322)=0,1,0))</f>
        <v/>
      </c>
    </row>
    <row r="1323">
      <c r="A1323" s="1" t="n"/>
      <c r="B1323" s="20" t="n"/>
      <c r="C1323" s="17" t="n"/>
      <c r="D1323" s="18" t="n"/>
      <c r="E1323" s="18" t="n"/>
      <c r="F1323" s="1" t="n"/>
      <c r="G1323">
        <f>IF(OR(B1323="",C1323="",D1323=""),"",B1323+ROW()/10000000)</f>
        <v/>
      </c>
      <c r="H1323">
        <f>IF(G1323="","",IF(COUNTIFS('Care log'!$C$6:$C$1505,C1323,'Care log'!$D$6:$D$1505,D1323,'Care log'!$G$6:$G$1505,"&gt;"&amp;G1323)=0,1,0))</f>
        <v/>
      </c>
    </row>
    <row r="1324">
      <c r="A1324" s="1" t="n"/>
      <c r="B1324" s="20" t="n"/>
      <c r="C1324" s="17" t="n"/>
      <c r="D1324" s="18" t="n"/>
      <c r="E1324" s="18" t="n"/>
      <c r="F1324" s="1" t="n"/>
      <c r="G1324">
        <f>IF(OR(B1324="",C1324="",D1324=""),"",B1324+ROW()/10000000)</f>
        <v/>
      </c>
      <c r="H1324">
        <f>IF(G1324="","",IF(COUNTIFS('Care log'!$C$6:$C$1505,C1324,'Care log'!$D$6:$D$1505,D1324,'Care log'!$G$6:$G$1505,"&gt;"&amp;G1324)=0,1,0))</f>
        <v/>
      </c>
    </row>
    <row r="1325">
      <c r="A1325" s="1" t="n"/>
      <c r="B1325" s="20" t="n"/>
      <c r="C1325" s="17" t="n"/>
      <c r="D1325" s="18" t="n"/>
      <c r="E1325" s="18" t="n"/>
      <c r="F1325" s="1" t="n"/>
      <c r="G1325">
        <f>IF(OR(B1325="",C1325="",D1325=""),"",B1325+ROW()/10000000)</f>
        <v/>
      </c>
      <c r="H1325">
        <f>IF(G1325="","",IF(COUNTIFS('Care log'!$C$6:$C$1505,C1325,'Care log'!$D$6:$D$1505,D1325,'Care log'!$G$6:$G$1505,"&gt;"&amp;G1325)=0,1,0))</f>
        <v/>
      </c>
    </row>
    <row r="1326">
      <c r="A1326" s="1" t="n"/>
      <c r="B1326" s="20" t="n"/>
      <c r="C1326" s="17" t="n"/>
      <c r="D1326" s="18" t="n"/>
      <c r="E1326" s="18" t="n"/>
      <c r="F1326" s="1" t="n"/>
      <c r="G1326">
        <f>IF(OR(B1326="",C1326="",D1326=""),"",B1326+ROW()/10000000)</f>
        <v/>
      </c>
      <c r="H1326">
        <f>IF(G1326="","",IF(COUNTIFS('Care log'!$C$6:$C$1505,C1326,'Care log'!$D$6:$D$1505,D1326,'Care log'!$G$6:$G$1505,"&gt;"&amp;G1326)=0,1,0))</f>
        <v/>
      </c>
    </row>
    <row r="1327">
      <c r="A1327" s="1" t="n"/>
      <c r="B1327" s="20" t="n"/>
      <c r="C1327" s="17" t="n"/>
      <c r="D1327" s="18" t="n"/>
      <c r="E1327" s="18" t="n"/>
      <c r="F1327" s="1" t="n"/>
      <c r="G1327">
        <f>IF(OR(B1327="",C1327="",D1327=""),"",B1327+ROW()/10000000)</f>
        <v/>
      </c>
      <c r="H1327">
        <f>IF(G1327="","",IF(COUNTIFS('Care log'!$C$6:$C$1505,C1327,'Care log'!$D$6:$D$1505,D1327,'Care log'!$G$6:$G$1505,"&gt;"&amp;G1327)=0,1,0))</f>
        <v/>
      </c>
    </row>
    <row r="1328">
      <c r="A1328" s="1" t="n"/>
      <c r="B1328" s="20" t="n"/>
      <c r="C1328" s="17" t="n"/>
      <c r="D1328" s="18" t="n"/>
      <c r="E1328" s="18" t="n"/>
      <c r="F1328" s="1" t="n"/>
      <c r="G1328">
        <f>IF(OR(B1328="",C1328="",D1328=""),"",B1328+ROW()/10000000)</f>
        <v/>
      </c>
      <c r="H1328">
        <f>IF(G1328="","",IF(COUNTIFS('Care log'!$C$6:$C$1505,C1328,'Care log'!$D$6:$D$1505,D1328,'Care log'!$G$6:$G$1505,"&gt;"&amp;G1328)=0,1,0))</f>
        <v/>
      </c>
    </row>
    <row r="1329">
      <c r="A1329" s="1" t="n"/>
      <c r="B1329" s="20" t="n"/>
      <c r="C1329" s="17" t="n"/>
      <c r="D1329" s="18" t="n"/>
      <c r="E1329" s="18" t="n"/>
      <c r="F1329" s="1" t="n"/>
      <c r="G1329">
        <f>IF(OR(B1329="",C1329="",D1329=""),"",B1329+ROW()/10000000)</f>
        <v/>
      </c>
      <c r="H1329">
        <f>IF(G1329="","",IF(COUNTIFS('Care log'!$C$6:$C$1505,C1329,'Care log'!$D$6:$D$1505,D1329,'Care log'!$G$6:$G$1505,"&gt;"&amp;G1329)=0,1,0))</f>
        <v/>
      </c>
    </row>
    <row r="1330">
      <c r="A1330" s="1" t="n"/>
      <c r="B1330" s="20" t="n"/>
      <c r="C1330" s="17" t="n"/>
      <c r="D1330" s="18" t="n"/>
      <c r="E1330" s="18" t="n"/>
      <c r="F1330" s="1" t="n"/>
      <c r="G1330">
        <f>IF(OR(B1330="",C1330="",D1330=""),"",B1330+ROW()/10000000)</f>
        <v/>
      </c>
      <c r="H1330">
        <f>IF(G1330="","",IF(COUNTIFS('Care log'!$C$6:$C$1505,C1330,'Care log'!$D$6:$D$1505,D1330,'Care log'!$G$6:$G$1505,"&gt;"&amp;G1330)=0,1,0))</f>
        <v/>
      </c>
    </row>
    <row r="1331">
      <c r="A1331" s="1" t="n"/>
      <c r="B1331" s="20" t="n"/>
      <c r="C1331" s="17" t="n"/>
      <c r="D1331" s="18" t="n"/>
      <c r="E1331" s="18" t="n"/>
      <c r="F1331" s="1" t="n"/>
      <c r="G1331">
        <f>IF(OR(B1331="",C1331="",D1331=""),"",B1331+ROW()/10000000)</f>
        <v/>
      </c>
      <c r="H1331">
        <f>IF(G1331="","",IF(COUNTIFS('Care log'!$C$6:$C$1505,C1331,'Care log'!$D$6:$D$1505,D1331,'Care log'!$G$6:$G$1505,"&gt;"&amp;G1331)=0,1,0))</f>
        <v/>
      </c>
    </row>
    <row r="1332">
      <c r="A1332" s="1" t="n"/>
      <c r="B1332" s="20" t="n"/>
      <c r="C1332" s="17" t="n"/>
      <c r="D1332" s="18" t="n"/>
      <c r="E1332" s="18" t="n"/>
      <c r="F1332" s="1" t="n"/>
      <c r="G1332">
        <f>IF(OR(B1332="",C1332="",D1332=""),"",B1332+ROW()/10000000)</f>
        <v/>
      </c>
      <c r="H1332">
        <f>IF(G1332="","",IF(COUNTIFS('Care log'!$C$6:$C$1505,C1332,'Care log'!$D$6:$D$1505,D1332,'Care log'!$G$6:$G$1505,"&gt;"&amp;G1332)=0,1,0))</f>
        <v/>
      </c>
    </row>
    <row r="1333">
      <c r="A1333" s="1" t="n"/>
      <c r="B1333" s="20" t="n"/>
      <c r="C1333" s="17" t="n"/>
      <c r="D1333" s="18" t="n"/>
      <c r="E1333" s="18" t="n"/>
      <c r="F1333" s="1" t="n"/>
      <c r="G1333">
        <f>IF(OR(B1333="",C1333="",D1333=""),"",B1333+ROW()/10000000)</f>
        <v/>
      </c>
      <c r="H1333">
        <f>IF(G1333="","",IF(COUNTIFS('Care log'!$C$6:$C$1505,C1333,'Care log'!$D$6:$D$1505,D1333,'Care log'!$G$6:$G$1505,"&gt;"&amp;G1333)=0,1,0))</f>
        <v/>
      </c>
    </row>
    <row r="1334">
      <c r="A1334" s="1" t="n"/>
      <c r="B1334" s="20" t="n"/>
      <c r="C1334" s="17" t="n"/>
      <c r="D1334" s="18" t="n"/>
      <c r="E1334" s="18" t="n"/>
      <c r="F1334" s="1" t="n"/>
      <c r="G1334">
        <f>IF(OR(B1334="",C1334="",D1334=""),"",B1334+ROW()/10000000)</f>
        <v/>
      </c>
      <c r="H1334">
        <f>IF(G1334="","",IF(COUNTIFS('Care log'!$C$6:$C$1505,C1334,'Care log'!$D$6:$D$1505,D1334,'Care log'!$G$6:$G$1505,"&gt;"&amp;G1334)=0,1,0))</f>
        <v/>
      </c>
    </row>
    <row r="1335">
      <c r="A1335" s="1" t="n"/>
      <c r="B1335" s="20" t="n"/>
      <c r="C1335" s="17" t="n"/>
      <c r="D1335" s="18" t="n"/>
      <c r="E1335" s="18" t="n"/>
      <c r="F1335" s="1" t="n"/>
      <c r="G1335">
        <f>IF(OR(B1335="",C1335="",D1335=""),"",B1335+ROW()/10000000)</f>
        <v/>
      </c>
      <c r="H1335">
        <f>IF(G1335="","",IF(COUNTIFS('Care log'!$C$6:$C$1505,C1335,'Care log'!$D$6:$D$1505,D1335,'Care log'!$G$6:$G$1505,"&gt;"&amp;G1335)=0,1,0))</f>
        <v/>
      </c>
    </row>
    <row r="1336">
      <c r="A1336" s="1" t="n"/>
      <c r="B1336" s="20" t="n"/>
      <c r="C1336" s="17" t="n"/>
      <c r="D1336" s="18" t="n"/>
      <c r="E1336" s="18" t="n"/>
      <c r="F1336" s="1" t="n"/>
      <c r="G1336">
        <f>IF(OR(B1336="",C1336="",D1336=""),"",B1336+ROW()/10000000)</f>
        <v/>
      </c>
      <c r="H1336">
        <f>IF(G1336="","",IF(COUNTIFS('Care log'!$C$6:$C$1505,C1336,'Care log'!$D$6:$D$1505,D1336,'Care log'!$G$6:$G$1505,"&gt;"&amp;G1336)=0,1,0))</f>
        <v/>
      </c>
    </row>
    <row r="1337">
      <c r="A1337" s="1" t="n"/>
      <c r="B1337" s="20" t="n"/>
      <c r="C1337" s="17" t="n"/>
      <c r="D1337" s="18" t="n"/>
      <c r="E1337" s="18" t="n"/>
      <c r="F1337" s="1" t="n"/>
      <c r="G1337">
        <f>IF(OR(B1337="",C1337="",D1337=""),"",B1337+ROW()/10000000)</f>
        <v/>
      </c>
      <c r="H1337">
        <f>IF(G1337="","",IF(COUNTIFS('Care log'!$C$6:$C$1505,C1337,'Care log'!$D$6:$D$1505,D1337,'Care log'!$G$6:$G$1505,"&gt;"&amp;G1337)=0,1,0))</f>
        <v/>
      </c>
    </row>
    <row r="1338">
      <c r="A1338" s="1" t="n"/>
      <c r="B1338" s="20" t="n"/>
      <c r="C1338" s="17" t="n"/>
      <c r="D1338" s="18" t="n"/>
      <c r="E1338" s="18" t="n"/>
      <c r="F1338" s="1" t="n"/>
      <c r="G1338">
        <f>IF(OR(B1338="",C1338="",D1338=""),"",B1338+ROW()/10000000)</f>
        <v/>
      </c>
      <c r="H1338">
        <f>IF(G1338="","",IF(COUNTIFS('Care log'!$C$6:$C$1505,C1338,'Care log'!$D$6:$D$1505,D1338,'Care log'!$G$6:$G$1505,"&gt;"&amp;G1338)=0,1,0))</f>
        <v/>
      </c>
    </row>
    <row r="1339">
      <c r="A1339" s="1" t="n"/>
      <c r="B1339" s="20" t="n"/>
      <c r="C1339" s="17" t="n"/>
      <c r="D1339" s="18" t="n"/>
      <c r="E1339" s="18" t="n"/>
      <c r="F1339" s="1" t="n"/>
      <c r="G1339">
        <f>IF(OR(B1339="",C1339="",D1339=""),"",B1339+ROW()/10000000)</f>
        <v/>
      </c>
      <c r="H1339">
        <f>IF(G1339="","",IF(COUNTIFS('Care log'!$C$6:$C$1505,C1339,'Care log'!$D$6:$D$1505,D1339,'Care log'!$G$6:$G$1505,"&gt;"&amp;G1339)=0,1,0))</f>
        <v/>
      </c>
    </row>
    <row r="1340">
      <c r="A1340" s="1" t="n"/>
      <c r="B1340" s="20" t="n"/>
      <c r="C1340" s="17" t="n"/>
      <c r="D1340" s="18" t="n"/>
      <c r="E1340" s="18" t="n"/>
      <c r="F1340" s="1" t="n"/>
      <c r="G1340">
        <f>IF(OR(B1340="",C1340="",D1340=""),"",B1340+ROW()/10000000)</f>
        <v/>
      </c>
      <c r="H1340">
        <f>IF(G1340="","",IF(COUNTIFS('Care log'!$C$6:$C$1505,C1340,'Care log'!$D$6:$D$1505,D1340,'Care log'!$G$6:$G$1505,"&gt;"&amp;G1340)=0,1,0))</f>
        <v/>
      </c>
    </row>
    <row r="1341">
      <c r="A1341" s="1" t="n"/>
      <c r="B1341" s="20" t="n"/>
      <c r="C1341" s="17" t="n"/>
      <c r="D1341" s="18" t="n"/>
      <c r="E1341" s="18" t="n"/>
      <c r="F1341" s="1" t="n"/>
      <c r="G1341">
        <f>IF(OR(B1341="",C1341="",D1341=""),"",B1341+ROW()/10000000)</f>
        <v/>
      </c>
      <c r="H1341">
        <f>IF(G1341="","",IF(COUNTIFS('Care log'!$C$6:$C$1505,C1341,'Care log'!$D$6:$D$1505,D1341,'Care log'!$G$6:$G$1505,"&gt;"&amp;G1341)=0,1,0))</f>
        <v/>
      </c>
    </row>
    <row r="1342">
      <c r="A1342" s="1" t="n"/>
      <c r="B1342" s="20" t="n"/>
      <c r="C1342" s="17" t="n"/>
      <c r="D1342" s="18" t="n"/>
      <c r="E1342" s="18" t="n"/>
      <c r="F1342" s="1" t="n"/>
      <c r="G1342">
        <f>IF(OR(B1342="",C1342="",D1342=""),"",B1342+ROW()/10000000)</f>
        <v/>
      </c>
      <c r="H1342">
        <f>IF(G1342="","",IF(COUNTIFS('Care log'!$C$6:$C$1505,C1342,'Care log'!$D$6:$D$1505,D1342,'Care log'!$G$6:$G$1505,"&gt;"&amp;G1342)=0,1,0))</f>
        <v/>
      </c>
    </row>
    <row r="1343">
      <c r="A1343" s="1" t="n"/>
      <c r="B1343" s="20" t="n"/>
      <c r="C1343" s="17" t="n"/>
      <c r="D1343" s="18" t="n"/>
      <c r="E1343" s="18" t="n"/>
      <c r="F1343" s="1" t="n"/>
      <c r="G1343">
        <f>IF(OR(B1343="",C1343="",D1343=""),"",B1343+ROW()/10000000)</f>
        <v/>
      </c>
      <c r="H1343">
        <f>IF(G1343="","",IF(COUNTIFS('Care log'!$C$6:$C$1505,C1343,'Care log'!$D$6:$D$1505,D1343,'Care log'!$G$6:$G$1505,"&gt;"&amp;G1343)=0,1,0))</f>
        <v/>
      </c>
    </row>
    <row r="1344">
      <c r="A1344" s="1" t="n"/>
      <c r="B1344" s="20" t="n"/>
      <c r="C1344" s="17" t="n"/>
      <c r="D1344" s="18" t="n"/>
      <c r="E1344" s="18" t="n"/>
      <c r="F1344" s="1" t="n"/>
      <c r="G1344">
        <f>IF(OR(B1344="",C1344="",D1344=""),"",B1344+ROW()/10000000)</f>
        <v/>
      </c>
      <c r="H1344">
        <f>IF(G1344="","",IF(COUNTIFS('Care log'!$C$6:$C$1505,C1344,'Care log'!$D$6:$D$1505,D1344,'Care log'!$G$6:$G$1505,"&gt;"&amp;G1344)=0,1,0))</f>
        <v/>
      </c>
    </row>
    <row r="1345">
      <c r="A1345" s="1" t="n"/>
      <c r="B1345" s="20" t="n"/>
      <c r="C1345" s="17" t="n"/>
      <c r="D1345" s="18" t="n"/>
      <c r="E1345" s="18" t="n"/>
      <c r="F1345" s="1" t="n"/>
      <c r="G1345">
        <f>IF(OR(B1345="",C1345="",D1345=""),"",B1345+ROW()/10000000)</f>
        <v/>
      </c>
      <c r="H1345">
        <f>IF(G1345="","",IF(COUNTIFS('Care log'!$C$6:$C$1505,C1345,'Care log'!$D$6:$D$1505,D1345,'Care log'!$G$6:$G$1505,"&gt;"&amp;G1345)=0,1,0))</f>
        <v/>
      </c>
    </row>
    <row r="1346">
      <c r="A1346" s="1" t="n"/>
      <c r="B1346" s="20" t="n"/>
      <c r="C1346" s="17" t="n"/>
      <c r="D1346" s="18" t="n"/>
      <c r="E1346" s="18" t="n"/>
      <c r="F1346" s="1" t="n"/>
      <c r="G1346">
        <f>IF(OR(B1346="",C1346="",D1346=""),"",B1346+ROW()/10000000)</f>
        <v/>
      </c>
      <c r="H1346">
        <f>IF(G1346="","",IF(COUNTIFS('Care log'!$C$6:$C$1505,C1346,'Care log'!$D$6:$D$1505,D1346,'Care log'!$G$6:$G$1505,"&gt;"&amp;G1346)=0,1,0))</f>
        <v/>
      </c>
    </row>
    <row r="1347">
      <c r="A1347" s="1" t="n"/>
      <c r="B1347" s="20" t="n"/>
      <c r="C1347" s="17" t="n"/>
      <c r="D1347" s="18" t="n"/>
      <c r="E1347" s="18" t="n"/>
      <c r="F1347" s="1" t="n"/>
      <c r="G1347">
        <f>IF(OR(B1347="",C1347="",D1347=""),"",B1347+ROW()/10000000)</f>
        <v/>
      </c>
      <c r="H1347">
        <f>IF(G1347="","",IF(COUNTIFS('Care log'!$C$6:$C$1505,C1347,'Care log'!$D$6:$D$1505,D1347,'Care log'!$G$6:$G$1505,"&gt;"&amp;G1347)=0,1,0))</f>
        <v/>
      </c>
    </row>
    <row r="1348">
      <c r="A1348" s="1" t="n"/>
      <c r="B1348" s="20" t="n"/>
      <c r="C1348" s="17" t="n"/>
      <c r="D1348" s="18" t="n"/>
      <c r="E1348" s="18" t="n"/>
      <c r="F1348" s="1" t="n"/>
      <c r="G1348">
        <f>IF(OR(B1348="",C1348="",D1348=""),"",B1348+ROW()/10000000)</f>
        <v/>
      </c>
      <c r="H1348">
        <f>IF(G1348="","",IF(COUNTIFS('Care log'!$C$6:$C$1505,C1348,'Care log'!$D$6:$D$1505,D1348,'Care log'!$G$6:$G$1505,"&gt;"&amp;G1348)=0,1,0))</f>
        <v/>
      </c>
    </row>
    <row r="1349">
      <c r="A1349" s="1" t="n"/>
      <c r="B1349" s="20" t="n"/>
      <c r="C1349" s="17" t="n"/>
      <c r="D1349" s="18" t="n"/>
      <c r="E1349" s="18" t="n"/>
      <c r="F1349" s="1" t="n"/>
      <c r="G1349">
        <f>IF(OR(B1349="",C1349="",D1349=""),"",B1349+ROW()/10000000)</f>
        <v/>
      </c>
      <c r="H1349">
        <f>IF(G1349="","",IF(COUNTIFS('Care log'!$C$6:$C$1505,C1349,'Care log'!$D$6:$D$1505,D1349,'Care log'!$G$6:$G$1505,"&gt;"&amp;G1349)=0,1,0))</f>
        <v/>
      </c>
    </row>
    <row r="1350">
      <c r="A1350" s="1" t="n"/>
      <c r="B1350" s="20" t="n"/>
      <c r="C1350" s="17" t="n"/>
      <c r="D1350" s="18" t="n"/>
      <c r="E1350" s="18" t="n"/>
      <c r="F1350" s="1" t="n"/>
      <c r="G1350">
        <f>IF(OR(B1350="",C1350="",D1350=""),"",B1350+ROW()/10000000)</f>
        <v/>
      </c>
      <c r="H1350">
        <f>IF(G1350="","",IF(COUNTIFS('Care log'!$C$6:$C$1505,C1350,'Care log'!$D$6:$D$1505,D1350,'Care log'!$G$6:$G$1505,"&gt;"&amp;G1350)=0,1,0))</f>
        <v/>
      </c>
    </row>
    <row r="1351">
      <c r="A1351" s="1" t="n"/>
      <c r="B1351" s="20" t="n"/>
      <c r="C1351" s="17" t="n"/>
      <c r="D1351" s="18" t="n"/>
      <c r="E1351" s="18" t="n"/>
      <c r="F1351" s="1" t="n"/>
      <c r="G1351">
        <f>IF(OR(B1351="",C1351="",D1351=""),"",B1351+ROW()/10000000)</f>
        <v/>
      </c>
      <c r="H1351">
        <f>IF(G1351="","",IF(COUNTIFS('Care log'!$C$6:$C$1505,C1351,'Care log'!$D$6:$D$1505,D1351,'Care log'!$G$6:$G$1505,"&gt;"&amp;G1351)=0,1,0))</f>
        <v/>
      </c>
    </row>
    <row r="1352">
      <c r="A1352" s="1" t="n"/>
      <c r="B1352" s="20" t="n"/>
      <c r="C1352" s="17" t="n"/>
      <c r="D1352" s="18" t="n"/>
      <c r="E1352" s="18" t="n"/>
      <c r="F1352" s="1" t="n"/>
      <c r="G1352">
        <f>IF(OR(B1352="",C1352="",D1352=""),"",B1352+ROW()/10000000)</f>
        <v/>
      </c>
      <c r="H1352">
        <f>IF(G1352="","",IF(COUNTIFS('Care log'!$C$6:$C$1505,C1352,'Care log'!$D$6:$D$1505,D1352,'Care log'!$G$6:$G$1505,"&gt;"&amp;G1352)=0,1,0))</f>
        <v/>
      </c>
    </row>
    <row r="1353">
      <c r="A1353" s="1" t="n"/>
      <c r="B1353" s="20" t="n"/>
      <c r="C1353" s="17" t="n"/>
      <c r="D1353" s="18" t="n"/>
      <c r="E1353" s="18" t="n"/>
      <c r="F1353" s="1" t="n"/>
      <c r="G1353">
        <f>IF(OR(B1353="",C1353="",D1353=""),"",B1353+ROW()/10000000)</f>
        <v/>
      </c>
      <c r="H1353">
        <f>IF(G1353="","",IF(COUNTIFS('Care log'!$C$6:$C$1505,C1353,'Care log'!$D$6:$D$1505,D1353,'Care log'!$G$6:$G$1505,"&gt;"&amp;G1353)=0,1,0))</f>
        <v/>
      </c>
    </row>
    <row r="1354">
      <c r="A1354" s="1" t="n"/>
      <c r="B1354" s="20" t="n"/>
      <c r="C1354" s="17" t="n"/>
      <c r="D1354" s="18" t="n"/>
      <c r="E1354" s="18" t="n"/>
      <c r="F1354" s="1" t="n"/>
      <c r="G1354">
        <f>IF(OR(B1354="",C1354="",D1354=""),"",B1354+ROW()/10000000)</f>
        <v/>
      </c>
      <c r="H1354">
        <f>IF(G1354="","",IF(COUNTIFS('Care log'!$C$6:$C$1505,C1354,'Care log'!$D$6:$D$1505,D1354,'Care log'!$G$6:$G$1505,"&gt;"&amp;G1354)=0,1,0))</f>
        <v/>
      </c>
    </row>
    <row r="1355">
      <c r="A1355" s="1" t="n"/>
      <c r="B1355" s="20" t="n"/>
      <c r="C1355" s="17" t="n"/>
      <c r="D1355" s="18" t="n"/>
      <c r="E1355" s="18" t="n"/>
      <c r="F1355" s="1" t="n"/>
      <c r="G1355">
        <f>IF(OR(B1355="",C1355="",D1355=""),"",B1355+ROW()/10000000)</f>
        <v/>
      </c>
      <c r="H1355">
        <f>IF(G1355="","",IF(COUNTIFS('Care log'!$C$6:$C$1505,C1355,'Care log'!$D$6:$D$1505,D1355,'Care log'!$G$6:$G$1505,"&gt;"&amp;G1355)=0,1,0))</f>
        <v/>
      </c>
    </row>
    <row r="1356">
      <c r="A1356" s="1" t="n"/>
      <c r="B1356" s="20" t="n"/>
      <c r="C1356" s="17" t="n"/>
      <c r="D1356" s="18" t="n"/>
      <c r="E1356" s="18" t="n"/>
      <c r="F1356" s="1" t="n"/>
      <c r="G1356">
        <f>IF(OR(B1356="",C1356="",D1356=""),"",B1356+ROW()/10000000)</f>
        <v/>
      </c>
      <c r="H1356">
        <f>IF(G1356="","",IF(COUNTIFS('Care log'!$C$6:$C$1505,C1356,'Care log'!$D$6:$D$1505,D1356,'Care log'!$G$6:$G$1505,"&gt;"&amp;G1356)=0,1,0))</f>
        <v/>
      </c>
    </row>
    <row r="1357">
      <c r="A1357" s="1" t="n"/>
      <c r="B1357" s="20" t="n"/>
      <c r="C1357" s="17" t="n"/>
      <c r="D1357" s="18" t="n"/>
      <c r="E1357" s="18" t="n"/>
      <c r="F1357" s="1" t="n"/>
      <c r="G1357">
        <f>IF(OR(B1357="",C1357="",D1357=""),"",B1357+ROW()/10000000)</f>
        <v/>
      </c>
      <c r="H1357">
        <f>IF(G1357="","",IF(COUNTIFS('Care log'!$C$6:$C$1505,C1357,'Care log'!$D$6:$D$1505,D1357,'Care log'!$G$6:$G$1505,"&gt;"&amp;G1357)=0,1,0))</f>
        <v/>
      </c>
    </row>
    <row r="1358">
      <c r="A1358" s="1" t="n"/>
      <c r="B1358" s="20" t="n"/>
      <c r="C1358" s="17" t="n"/>
      <c r="D1358" s="18" t="n"/>
      <c r="E1358" s="18" t="n"/>
      <c r="F1358" s="1" t="n"/>
      <c r="G1358">
        <f>IF(OR(B1358="",C1358="",D1358=""),"",B1358+ROW()/10000000)</f>
        <v/>
      </c>
      <c r="H1358">
        <f>IF(G1358="","",IF(COUNTIFS('Care log'!$C$6:$C$1505,C1358,'Care log'!$D$6:$D$1505,D1358,'Care log'!$G$6:$G$1505,"&gt;"&amp;G1358)=0,1,0))</f>
        <v/>
      </c>
    </row>
    <row r="1359">
      <c r="A1359" s="1" t="n"/>
      <c r="B1359" s="20" t="n"/>
      <c r="C1359" s="17" t="n"/>
      <c r="D1359" s="18" t="n"/>
      <c r="E1359" s="18" t="n"/>
      <c r="F1359" s="1" t="n"/>
      <c r="G1359">
        <f>IF(OR(B1359="",C1359="",D1359=""),"",B1359+ROW()/10000000)</f>
        <v/>
      </c>
      <c r="H1359">
        <f>IF(G1359="","",IF(COUNTIFS('Care log'!$C$6:$C$1505,C1359,'Care log'!$D$6:$D$1505,D1359,'Care log'!$G$6:$G$1505,"&gt;"&amp;G1359)=0,1,0))</f>
        <v/>
      </c>
    </row>
    <row r="1360">
      <c r="A1360" s="1" t="n"/>
      <c r="B1360" s="20" t="n"/>
      <c r="C1360" s="17" t="n"/>
      <c r="D1360" s="18" t="n"/>
      <c r="E1360" s="18" t="n"/>
      <c r="F1360" s="1" t="n"/>
      <c r="G1360">
        <f>IF(OR(B1360="",C1360="",D1360=""),"",B1360+ROW()/10000000)</f>
        <v/>
      </c>
      <c r="H1360">
        <f>IF(G1360="","",IF(COUNTIFS('Care log'!$C$6:$C$1505,C1360,'Care log'!$D$6:$D$1505,D1360,'Care log'!$G$6:$G$1505,"&gt;"&amp;G1360)=0,1,0))</f>
        <v/>
      </c>
    </row>
    <row r="1361">
      <c r="A1361" s="1" t="n"/>
      <c r="B1361" s="20" t="n"/>
      <c r="C1361" s="17" t="n"/>
      <c r="D1361" s="18" t="n"/>
      <c r="E1361" s="18" t="n"/>
      <c r="F1361" s="1" t="n"/>
      <c r="G1361">
        <f>IF(OR(B1361="",C1361="",D1361=""),"",B1361+ROW()/10000000)</f>
        <v/>
      </c>
      <c r="H1361">
        <f>IF(G1361="","",IF(COUNTIFS('Care log'!$C$6:$C$1505,C1361,'Care log'!$D$6:$D$1505,D1361,'Care log'!$G$6:$G$1505,"&gt;"&amp;G1361)=0,1,0))</f>
        <v/>
      </c>
    </row>
    <row r="1362">
      <c r="A1362" s="1" t="n"/>
      <c r="B1362" s="20" t="n"/>
      <c r="C1362" s="17" t="n"/>
      <c r="D1362" s="18" t="n"/>
      <c r="E1362" s="18" t="n"/>
      <c r="F1362" s="1" t="n"/>
      <c r="G1362">
        <f>IF(OR(B1362="",C1362="",D1362=""),"",B1362+ROW()/10000000)</f>
        <v/>
      </c>
      <c r="H1362">
        <f>IF(G1362="","",IF(COUNTIFS('Care log'!$C$6:$C$1505,C1362,'Care log'!$D$6:$D$1505,D1362,'Care log'!$G$6:$G$1505,"&gt;"&amp;G1362)=0,1,0))</f>
        <v/>
      </c>
    </row>
    <row r="1363">
      <c r="A1363" s="1" t="n"/>
      <c r="B1363" s="20" t="n"/>
      <c r="C1363" s="17" t="n"/>
      <c r="D1363" s="18" t="n"/>
      <c r="E1363" s="18" t="n"/>
      <c r="F1363" s="1" t="n"/>
      <c r="G1363">
        <f>IF(OR(B1363="",C1363="",D1363=""),"",B1363+ROW()/10000000)</f>
        <v/>
      </c>
      <c r="H1363">
        <f>IF(G1363="","",IF(COUNTIFS('Care log'!$C$6:$C$1505,C1363,'Care log'!$D$6:$D$1505,D1363,'Care log'!$G$6:$G$1505,"&gt;"&amp;G1363)=0,1,0))</f>
        <v/>
      </c>
    </row>
    <row r="1364">
      <c r="A1364" s="1" t="n"/>
      <c r="B1364" s="20" t="n"/>
      <c r="C1364" s="17" t="n"/>
      <c r="D1364" s="18" t="n"/>
      <c r="E1364" s="18" t="n"/>
      <c r="F1364" s="1" t="n"/>
      <c r="G1364">
        <f>IF(OR(B1364="",C1364="",D1364=""),"",B1364+ROW()/10000000)</f>
        <v/>
      </c>
      <c r="H1364">
        <f>IF(G1364="","",IF(COUNTIFS('Care log'!$C$6:$C$1505,C1364,'Care log'!$D$6:$D$1505,D1364,'Care log'!$G$6:$G$1505,"&gt;"&amp;G1364)=0,1,0))</f>
        <v/>
      </c>
    </row>
    <row r="1365">
      <c r="A1365" s="1" t="n"/>
      <c r="B1365" s="20" t="n"/>
      <c r="C1365" s="17" t="n"/>
      <c r="D1365" s="18" t="n"/>
      <c r="E1365" s="18" t="n"/>
      <c r="F1365" s="1" t="n"/>
      <c r="G1365">
        <f>IF(OR(B1365="",C1365="",D1365=""),"",B1365+ROW()/10000000)</f>
        <v/>
      </c>
      <c r="H1365">
        <f>IF(G1365="","",IF(COUNTIFS('Care log'!$C$6:$C$1505,C1365,'Care log'!$D$6:$D$1505,D1365,'Care log'!$G$6:$G$1505,"&gt;"&amp;G1365)=0,1,0))</f>
        <v/>
      </c>
    </row>
    <row r="1366">
      <c r="A1366" s="1" t="n"/>
      <c r="B1366" s="20" t="n"/>
      <c r="C1366" s="17" t="n"/>
      <c r="D1366" s="18" t="n"/>
      <c r="E1366" s="18" t="n"/>
      <c r="F1366" s="1" t="n"/>
      <c r="G1366">
        <f>IF(OR(B1366="",C1366="",D1366=""),"",B1366+ROW()/10000000)</f>
        <v/>
      </c>
      <c r="H1366">
        <f>IF(G1366="","",IF(COUNTIFS('Care log'!$C$6:$C$1505,C1366,'Care log'!$D$6:$D$1505,D1366,'Care log'!$G$6:$G$1505,"&gt;"&amp;G1366)=0,1,0))</f>
        <v/>
      </c>
    </row>
    <row r="1367">
      <c r="A1367" s="1" t="n"/>
      <c r="B1367" s="20" t="n"/>
      <c r="C1367" s="17" t="n"/>
      <c r="D1367" s="18" t="n"/>
      <c r="E1367" s="18" t="n"/>
      <c r="F1367" s="1" t="n"/>
      <c r="G1367">
        <f>IF(OR(B1367="",C1367="",D1367=""),"",B1367+ROW()/10000000)</f>
        <v/>
      </c>
      <c r="H1367">
        <f>IF(G1367="","",IF(COUNTIFS('Care log'!$C$6:$C$1505,C1367,'Care log'!$D$6:$D$1505,D1367,'Care log'!$G$6:$G$1505,"&gt;"&amp;G1367)=0,1,0))</f>
        <v/>
      </c>
    </row>
    <row r="1368">
      <c r="A1368" s="1" t="n"/>
      <c r="B1368" s="20" t="n"/>
      <c r="C1368" s="17" t="n"/>
      <c r="D1368" s="18" t="n"/>
      <c r="E1368" s="18" t="n"/>
      <c r="F1368" s="1" t="n"/>
      <c r="G1368">
        <f>IF(OR(B1368="",C1368="",D1368=""),"",B1368+ROW()/10000000)</f>
        <v/>
      </c>
      <c r="H1368">
        <f>IF(G1368="","",IF(COUNTIFS('Care log'!$C$6:$C$1505,C1368,'Care log'!$D$6:$D$1505,D1368,'Care log'!$G$6:$G$1505,"&gt;"&amp;G1368)=0,1,0))</f>
        <v/>
      </c>
    </row>
    <row r="1369">
      <c r="A1369" s="1" t="n"/>
      <c r="B1369" s="20" t="n"/>
      <c r="C1369" s="17" t="n"/>
      <c r="D1369" s="18" t="n"/>
      <c r="E1369" s="18" t="n"/>
      <c r="F1369" s="1" t="n"/>
      <c r="G1369">
        <f>IF(OR(B1369="",C1369="",D1369=""),"",B1369+ROW()/10000000)</f>
        <v/>
      </c>
      <c r="H1369">
        <f>IF(G1369="","",IF(COUNTIFS('Care log'!$C$6:$C$1505,C1369,'Care log'!$D$6:$D$1505,D1369,'Care log'!$G$6:$G$1505,"&gt;"&amp;G1369)=0,1,0))</f>
        <v/>
      </c>
    </row>
    <row r="1370">
      <c r="A1370" s="1" t="n"/>
      <c r="B1370" s="20" t="n"/>
      <c r="C1370" s="17" t="n"/>
      <c r="D1370" s="18" t="n"/>
      <c r="E1370" s="18" t="n"/>
      <c r="F1370" s="1" t="n"/>
      <c r="G1370">
        <f>IF(OR(B1370="",C1370="",D1370=""),"",B1370+ROW()/10000000)</f>
        <v/>
      </c>
      <c r="H1370">
        <f>IF(G1370="","",IF(COUNTIFS('Care log'!$C$6:$C$1505,C1370,'Care log'!$D$6:$D$1505,D1370,'Care log'!$G$6:$G$1505,"&gt;"&amp;G1370)=0,1,0))</f>
        <v/>
      </c>
    </row>
    <row r="1371">
      <c r="A1371" s="1" t="n"/>
      <c r="B1371" s="20" t="n"/>
      <c r="C1371" s="17" t="n"/>
      <c r="D1371" s="18" t="n"/>
      <c r="E1371" s="18" t="n"/>
      <c r="F1371" s="1" t="n"/>
      <c r="G1371">
        <f>IF(OR(B1371="",C1371="",D1371=""),"",B1371+ROW()/10000000)</f>
        <v/>
      </c>
      <c r="H1371">
        <f>IF(G1371="","",IF(COUNTIFS('Care log'!$C$6:$C$1505,C1371,'Care log'!$D$6:$D$1505,D1371,'Care log'!$G$6:$G$1505,"&gt;"&amp;G1371)=0,1,0))</f>
        <v/>
      </c>
    </row>
    <row r="1372">
      <c r="A1372" s="1" t="n"/>
      <c r="B1372" s="20" t="n"/>
      <c r="C1372" s="17" t="n"/>
      <c r="D1372" s="18" t="n"/>
      <c r="E1372" s="18" t="n"/>
      <c r="F1372" s="1" t="n"/>
      <c r="G1372">
        <f>IF(OR(B1372="",C1372="",D1372=""),"",B1372+ROW()/10000000)</f>
        <v/>
      </c>
      <c r="H1372">
        <f>IF(G1372="","",IF(COUNTIFS('Care log'!$C$6:$C$1505,C1372,'Care log'!$D$6:$D$1505,D1372,'Care log'!$G$6:$G$1505,"&gt;"&amp;G1372)=0,1,0))</f>
        <v/>
      </c>
    </row>
    <row r="1373">
      <c r="A1373" s="1" t="n"/>
      <c r="B1373" s="20" t="n"/>
      <c r="C1373" s="17" t="n"/>
      <c r="D1373" s="18" t="n"/>
      <c r="E1373" s="18" t="n"/>
      <c r="F1373" s="1" t="n"/>
      <c r="G1373">
        <f>IF(OR(B1373="",C1373="",D1373=""),"",B1373+ROW()/10000000)</f>
        <v/>
      </c>
      <c r="H1373">
        <f>IF(G1373="","",IF(COUNTIFS('Care log'!$C$6:$C$1505,C1373,'Care log'!$D$6:$D$1505,D1373,'Care log'!$G$6:$G$1505,"&gt;"&amp;G1373)=0,1,0))</f>
        <v/>
      </c>
    </row>
    <row r="1374">
      <c r="A1374" s="1" t="n"/>
      <c r="B1374" s="20" t="n"/>
      <c r="C1374" s="17" t="n"/>
      <c r="D1374" s="18" t="n"/>
      <c r="E1374" s="18" t="n"/>
      <c r="F1374" s="1" t="n"/>
      <c r="G1374">
        <f>IF(OR(B1374="",C1374="",D1374=""),"",B1374+ROW()/10000000)</f>
        <v/>
      </c>
      <c r="H1374">
        <f>IF(G1374="","",IF(COUNTIFS('Care log'!$C$6:$C$1505,C1374,'Care log'!$D$6:$D$1505,D1374,'Care log'!$G$6:$G$1505,"&gt;"&amp;G1374)=0,1,0))</f>
        <v/>
      </c>
    </row>
    <row r="1375">
      <c r="A1375" s="1" t="n"/>
      <c r="B1375" s="20" t="n"/>
      <c r="C1375" s="17" t="n"/>
      <c r="D1375" s="18" t="n"/>
      <c r="E1375" s="18" t="n"/>
      <c r="F1375" s="1" t="n"/>
      <c r="G1375">
        <f>IF(OR(B1375="",C1375="",D1375=""),"",B1375+ROW()/10000000)</f>
        <v/>
      </c>
      <c r="H1375">
        <f>IF(G1375="","",IF(COUNTIFS('Care log'!$C$6:$C$1505,C1375,'Care log'!$D$6:$D$1505,D1375,'Care log'!$G$6:$G$1505,"&gt;"&amp;G1375)=0,1,0))</f>
        <v/>
      </c>
    </row>
    <row r="1376">
      <c r="A1376" s="1" t="n"/>
      <c r="B1376" s="20" t="n"/>
      <c r="C1376" s="17" t="n"/>
      <c r="D1376" s="18" t="n"/>
      <c r="E1376" s="18" t="n"/>
      <c r="F1376" s="1" t="n"/>
      <c r="G1376">
        <f>IF(OR(B1376="",C1376="",D1376=""),"",B1376+ROW()/10000000)</f>
        <v/>
      </c>
      <c r="H1376">
        <f>IF(G1376="","",IF(COUNTIFS('Care log'!$C$6:$C$1505,C1376,'Care log'!$D$6:$D$1505,D1376,'Care log'!$G$6:$G$1505,"&gt;"&amp;G1376)=0,1,0))</f>
        <v/>
      </c>
    </row>
    <row r="1377">
      <c r="A1377" s="1" t="n"/>
      <c r="B1377" s="20" t="n"/>
      <c r="C1377" s="17" t="n"/>
      <c r="D1377" s="18" t="n"/>
      <c r="E1377" s="18" t="n"/>
      <c r="F1377" s="1" t="n"/>
      <c r="G1377">
        <f>IF(OR(B1377="",C1377="",D1377=""),"",B1377+ROW()/10000000)</f>
        <v/>
      </c>
      <c r="H1377">
        <f>IF(G1377="","",IF(COUNTIFS('Care log'!$C$6:$C$1505,C1377,'Care log'!$D$6:$D$1505,D1377,'Care log'!$G$6:$G$1505,"&gt;"&amp;G1377)=0,1,0))</f>
        <v/>
      </c>
    </row>
    <row r="1378">
      <c r="A1378" s="1" t="n"/>
      <c r="B1378" s="20" t="n"/>
      <c r="C1378" s="17" t="n"/>
      <c r="D1378" s="18" t="n"/>
      <c r="E1378" s="18" t="n"/>
      <c r="F1378" s="1" t="n"/>
      <c r="G1378">
        <f>IF(OR(B1378="",C1378="",D1378=""),"",B1378+ROW()/10000000)</f>
        <v/>
      </c>
      <c r="H1378">
        <f>IF(G1378="","",IF(COUNTIFS('Care log'!$C$6:$C$1505,C1378,'Care log'!$D$6:$D$1505,D1378,'Care log'!$G$6:$G$1505,"&gt;"&amp;G1378)=0,1,0))</f>
        <v/>
      </c>
    </row>
    <row r="1379">
      <c r="A1379" s="1" t="n"/>
      <c r="B1379" s="20" t="n"/>
      <c r="C1379" s="17" t="n"/>
      <c r="D1379" s="18" t="n"/>
      <c r="E1379" s="18" t="n"/>
      <c r="F1379" s="1" t="n"/>
      <c r="G1379">
        <f>IF(OR(B1379="",C1379="",D1379=""),"",B1379+ROW()/10000000)</f>
        <v/>
      </c>
      <c r="H1379">
        <f>IF(G1379="","",IF(COUNTIFS('Care log'!$C$6:$C$1505,C1379,'Care log'!$D$6:$D$1505,D1379,'Care log'!$G$6:$G$1505,"&gt;"&amp;G1379)=0,1,0))</f>
        <v/>
      </c>
    </row>
    <row r="1380">
      <c r="A1380" s="1" t="n"/>
      <c r="B1380" s="20" t="n"/>
      <c r="C1380" s="17" t="n"/>
      <c r="D1380" s="18" t="n"/>
      <c r="E1380" s="18" t="n"/>
      <c r="F1380" s="1" t="n"/>
      <c r="G1380">
        <f>IF(OR(B1380="",C1380="",D1380=""),"",B1380+ROW()/10000000)</f>
        <v/>
      </c>
      <c r="H1380">
        <f>IF(G1380="","",IF(COUNTIFS('Care log'!$C$6:$C$1505,C1380,'Care log'!$D$6:$D$1505,D1380,'Care log'!$G$6:$G$1505,"&gt;"&amp;G1380)=0,1,0))</f>
        <v/>
      </c>
    </row>
    <row r="1381">
      <c r="A1381" s="1" t="n"/>
      <c r="B1381" s="20" t="n"/>
      <c r="C1381" s="17" t="n"/>
      <c r="D1381" s="18" t="n"/>
      <c r="E1381" s="18" t="n"/>
      <c r="F1381" s="1" t="n"/>
      <c r="G1381">
        <f>IF(OR(B1381="",C1381="",D1381=""),"",B1381+ROW()/10000000)</f>
        <v/>
      </c>
      <c r="H1381">
        <f>IF(G1381="","",IF(COUNTIFS('Care log'!$C$6:$C$1505,C1381,'Care log'!$D$6:$D$1505,D1381,'Care log'!$G$6:$G$1505,"&gt;"&amp;G1381)=0,1,0))</f>
        <v/>
      </c>
    </row>
    <row r="1382">
      <c r="A1382" s="1" t="n"/>
      <c r="B1382" s="20" t="n"/>
      <c r="C1382" s="17" t="n"/>
      <c r="D1382" s="18" t="n"/>
      <c r="E1382" s="18" t="n"/>
      <c r="F1382" s="1" t="n"/>
      <c r="G1382">
        <f>IF(OR(B1382="",C1382="",D1382=""),"",B1382+ROW()/10000000)</f>
        <v/>
      </c>
      <c r="H1382">
        <f>IF(G1382="","",IF(COUNTIFS('Care log'!$C$6:$C$1505,C1382,'Care log'!$D$6:$D$1505,D1382,'Care log'!$G$6:$G$1505,"&gt;"&amp;G1382)=0,1,0))</f>
        <v/>
      </c>
    </row>
    <row r="1383">
      <c r="A1383" s="1" t="n"/>
      <c r="B1383" s="20" t="n"/>
      <c r="C1383" s="17" t="n"/>
      <c r="D1383" s="18" t="n"/>
      <c r="E1383" s="18" t="n"/>
      <c r="F1383" s="1" t="n"/>
      <c r="G1383">
        <f>IF(OR(B1383="",C1383="",D1383=""),"",B1383+ROW()/10000000)</f>
        <v/>
      </c>
      <c r="H1383">
        <f>IF(G1383="","",IF(COUNTIFS('Care log'!$C$6:$C$1505,C1383,'Care log'!$D$6:$D$1505,D1383,'Care log'!$G$6:$G$1505,"&gt;"&amp;G1383)=0,1,0))</f>
        <v/>
      </c>
    </row>
    <row r="1384">
      <c r="A1384" s="1" t="n"/>
      <c r="B1384" s="20" t="n"/>
      <c r="C1384" s="17" t="n"/>
      <c r="D1384" s="18" t="n"/>
      <c r="E1384" s="18" t="n"/>
      <c r="F1384" s="1" t="n"/>
      <c r="G1384">
        <f>IF(OR(B1384="",C1384="",D1384=""),"",B1384+ROW()/10000000)</f>
        <v/>
      </c>
      <c r="H1384">
        <f>IF(G1384="","",IF(COUNTIFS('Care log'!$C$6:$C$1505,C1384,'Care log'!$D$6:$D$1505,D1384,'Care log'!$G$6:$G$1505,"&gt;"&amp;G1384)=0,1,0))</f>
        <v/>
      </c>
    </row>
    <row r="1385">
      <c r="A1385" s="1" t="n"/>
      <c r="B1385" s="20" t="n"/>
      <c r="C1385" s="17" t="n"/>
      <c r="D1385" s="18" t="n"/>
      <c r="E1385" s="18" t="n"/>
      <c r="F1385" s="1" t="n"/>
      <c r="G1385">
        <f>IF(OR(B1385="",C1385="",D1385=""),"",B1385+ROW()/10000000)</f>
        <v/>
      </c>
      <c r="H1385">
        <f>IF(G1385="","",IF(COUNTIFS('Care log'!$C$6:$C$1505,C1385,'Care log'!$D$6:$D$1505,D1385,'Care log'!$G$6:$G$1505,"&gt;"&amp;G1385)=0,1,0))</f>
        <v/>
      </c>
    </row>
    <row r="1386">
      <c r="A1386" s="1" t="n"/>
      <c r="B1386" s="20" t="n"/>
      <c r="C1386" s="17" t="n"/>
      <c r="D1386" s="18" t="n"/>
      <c r="E1386" s="18" t="n"/>
      <c r="F1386" s="1" t="n"/>
      <c r="G1386">
        <f>IF(OR(B1386="",C1386="",D1386=""),"",B1386+ROW()/10000000)</f>
        <v/>
      </c>
      <c r="H1386">
        <f>IF(G1386="","",IF(COUNTIFS('Care log'!$C$6:$C$1505,C1386,'Care log'!$D$6:$D$1505,D1386,'Care log'!$G$6:$G$1505,"&gt;"&amp;G1386)=0,1,0))</f>
        <v/>
      </c>
    </row>
    <row r="1387">
      <c r="A1387" s="1" t="n"/>
      <c r="B1387" s="20" t="n"/>
      <c r="C1387" s="17" t="n"/>
      <c r="D1387" s="18" t="n"/>
      <c r="E1387" s="18" t="n"/>
      <c r="F1387" s="1" t="n"/>
      <c r="G1387">
        <f>IF(OR(B1387="",C1387="",D1387=""),"",B1387+ROW()/10000000)</f>
        <v/>
      </c>
      <c r="H1387">
        <f>IF(G1387="","",IF(COUNTIFS('Care log'!$C$6:$C$1505,C1387,'Care log'!$D$6:$D$1505,D1387,'Care log'!$G$6:$G$1505,"&gt;"&amp;G1387)=0,1,0))</f>
        <v/>
      </c>
    </row>
    <row r="1388">
      <c r="A1388" s="1" t="n"/>
      <c r="B1388" s="20" t="n"/>
      <c r="C1388" s="17" t="n"/>
      <c r="D1388" s="18" t="n"/>
      <c r="E1388" s="18" t="n"/>
      <c r="F1388" s="1" t="n"/>
      <c r="G1388">
        <f>IF(OR(B1388="",C1388="",D1388=""),"",B1388+ROW()/10000000)</f>
        <v/>
      </c>
      <c r="H1388">
        <f>IF(G1388="","",IF(COUNTIFS('Care log'!$C$6:$C$1505,C1388,'Care log'!$D$6:$D$1505,D1388,'Care log'!$G$6:$G$1505,"&gt;"&amp;G1388)=0,1,0))</f>
        <v/>
      </c>
    </row>
    <row r="1389">
      <c r="A1389" s="1" t="n"/>
      <c r="B1389" s="20" t="n"/>
      <c r="C1389" s="17" t="n"/>
      <c r="D1389" s="18" t="n"/>
      <c r="E1389" s="18" t="n"/>
      <c r="F1389" s="1" t="n"/>
      <c r="G1389">
        <f>IF(OR(B1389="",C1389="",D1389=""),"",B1389+ROW()/10000000)</f>
        <v/>
      </c>
      <c r="H1389">
        <f>IF(G1389="","",IF(COUNTIFS('Care log'!$C$6:$C$1505,C1389,'Care log'!$D$6:$D$1505,D1389,'Care log'!$G$6:$G$1505,"&gt;"&amp;G1389)=0,1,0))</f>
        <v/>
      </c>
    </row>
    <row r="1390">
      <c r="A1390" s="1" t="n"/>
      <c r="B1390" s="20" t="n"/>
      <c r="C1390" s="17" t="n"/>
      <c r="D1390" s="18" t="n"/>
      <c r="E1390" s="18" t="n"/>
      <c r="F1390" s="1" t="n"/>
      <c r="G1390">
        <f>IF(OR(B1390="",C1390="",D1390=""),"",B1390+ROW()/10000000)</f>
        <v/>
      </c>
      <c r="H1390">
        <f>IF(G1390="","",IF(COUNTIFS('Care log'!$C$6:$C$1505,C1390,'Care log'!$D$6:$D$1505,D1390,'Care log'!$G$6:$G$1505,"&gt;"&amp;G1390)=0,1,0))</f>
        <v/>
      </c>
    </row>
    <row r="1391">
      <c r="A1391" s="1" t="n"/>
      <c r="B1391" s="20" t="n"/>
      <c r="C1391" s="17" t="n"/>
      <c r="D1391" s="18" t="n"/>
      <c r="E1391" s="18" t="n"/>
      <c r="F1391" s="1" t="n"/>
      <c r="G1391">
        <f>IF(OR(B1391="",C1391="",D1391=""),"",B1391+ROW()/10000000)</f>
        <v/>
      </c>
      <c r="H1391">
        <f>IF(G1391="","",IF(COUNTIFS('Care log'!$C$6:$C$1505,C1391,'Care log'!$D$6:$D$1505,D1391,'Care log'!$G$6:$G$1505,"&gt;"&amp;G1391)=0,1,0))</f>
        <v/>
      </c>
    </row>
    <row r="1392">
      <c r="A1392" s="1" t="n"/>
      <c r="B1392" s="20" t="n"/>
      <c r="C1392" s="17" t="n"/>
      <c r="D1392" s="18" t="n"/>
      <c r="E1392" s="18" t="n"/>
      <c r="F1392" s="1" t="n"/>
      <c r="G1392">
        <f>IF(OR(B1392="",C1392="",D1392=""),"",B1392+ROW()/10000000)</f>
        <v/>
      </c>
      <c r="H1392">
        <f>IF(G1392="","",IF(COUNTIFS('Care log'!$C$6:$C$1505,C1392,'Care log'!$D$6:$D$1505,D1392,'Care log'!$G$6:$G$1505,"&gt;"&amp;G1392)=0,1,0))</f>
        <v/>
      </c>
    </row>
    <row r="1393">
      <c r="A1393" s="1" t="n"/>
      <c r="B1393" s="20" t="n"/>
      <c r="C1393" s="17" t="n"/>
      <c r="D1393" s="18" t="n"/>
      <c r="E1393" s="18" t="n"/>
      <c r="F1393" s="1" t="n"/>
      <c r="G1393">
        <f>IF(OR(B1393="",C1393="",D1393=""),"",B1393+ROW()/10000000)</f>
        <v/>
      </c>
      <c r="H1393">
        <f>IF(G1393="","",IF(COUNTIFS('Care log'!$C$6:$C$1505,C1393,'Care log'!$D$6:$D$1505,D1393,'Care log'!$G$6:$G$1505,"&gt;"&amp;G1393)=0,1,0))</f>
        <v/>
      </c>
    </row>
    <row r="1394">
      <c r="A1394" s="1" t="n"/>
      <c r="B1394" s="20" t="n"/>
      <c r="C1394" s="17" t="n"/>
      <c r="D1394" s="18" t="n"/>
      <c r="E1394" s="18" t="n"/>
      <c r="F1394" s="1" t="n"/>
      <c r="G1394">
        <f>IF(OR(B1394="",C1394="",D1394=""),"",B1394+ROW()/10000000)</f>
        <v/>
      </c>
      <c r="H1394">
        <f>IF(G1394="","",IF(COUNTIFS('Care log'!$C$6:$C$1505,C1394,'Care log'!$D$6:$D$1505,D1394,'Care log'!$G$6:$G$1505,"&gt;"&amp;G1394)=0,1,0))</f>
        <v/>
      </c>
    </row>
    <row r="1395">
      <c r="A1395" s="1" t="n"/>
      <c r="B1395" s="20" t="n"/>
      <c r="C1395" s="17" t="n"/>
      <c r="D1395" s="18" t="n"/>
      <c r="E1395" s="18" t="n"/>
      <c r="F1395" s="1" t="n"/>
      <c r="G1395">
        <f>IF(OR(B1395="",C1395="",D1395=""),"",B1395+ROW()/10000000)</f>
        <v/>
      </c>
      <c r="H1395">
        <f>IF(G1395="","",IF(COUNTIFS('Care log'!$C$6:$C$1505,C1395,'Care log'!$D$6:$D$1505,D1395,'Care log'!$G$6:$G$1505,"&gt;"&amp;G1395)=0,1,0))</f>
        <v/>
      </c>
    </row>
    <row r="1396">
      <c r="A1396" s="1" t="n"/>
      <c r="B1396" s="20" t="n"/>
      <c r="C1396" s="17" t="n"/>
      <c r="D1396" s="18" t="n"/>
      <c r="E1396" s="18" t="n"/>
      <c r="F1396" s="1" t="n"/>
      <c r="G1396">
        <f>IF(OR(B1396="",C1396="",D1396=""),"",B1396+ROW()/10000000)</f>
        <v/>
      </c>
      <c r="H1396">
        <f>IF(G1396="","",IF(COUNTIFS('Care log'!$C$6:$C$1505,C1396,'Care log'!$D$6:$D$1505,D1396,'Care log'!$G$6:$G$1505,"&gt;"&amp;G1396)=0,1,0))</f>
        <v/>
      </c>
    </row>
    <row r="1397">
      <c r="A1397" s="1" t="n"/>
      <c r="B1397" s="20" t="n"/>
      <c r="C1397" s="17" t="n"/>
      <c r="D1397" s="18" t="n"/>
      <c r="E1397" s="18" t="n"/>
      <c r="F1397" s="1" t="n"/>
      <c r="G1397">
        <f>IF(OR(B1397="",C1397="",D1397=""),"",B1397+ROW()/10000000)</f>
        <v/>
      </c>
      <c r="H1397">
        <f>IF(G1397="","",IF(COUNTIFS('Care log'!$C$6:$C$1505,C1397,'Care log'!$D$6:$D$1505,D1397,'Care log'!$G$6:$G$1505,"&gt;"&amp;G1397)=0,1,0))</f>
        <v/>
      </c>
    </row>
    <row r="1398">
      <c r="A1398" s="1" t="n"/>
      <c r="B1398" s="20" t="n"/>
      <c r="C1398" s="17" t="n"/>
      <c r="D1398" s="18" t="n"/>
      <c r="E1398" s="18" t="n"/>
      <c r="F1398" s="1" t="n"/>
      <c r="G1398">
        <f>IF(OR(B1398="",C1398="",D1398=""),"",B1398+ROW()/10000000)</f>
        <v/>
      </c>
      <c r="H1398">
        <f>IF(G1398="","",IF(COUNTIFS('Care log'!$C$6:$C$1505,C1398,'Care log'!$D$6:$D$1505,D1398,'Care log'!$G$6:$G$1505,"&gt;"&amp;G1398)=0,1,0))</f>
        <v/>
      </c>
    </row>
    <row r="1399">
      <c r="A1399" s="1" t="n"/>
      <c r="B1399" s="20" t="n"/>
      <c r="C1399" s="17" t="n"/>
      <c r="D1399" s="18" t="n"/>
      <c r="E1399" s="18" t="n"/>
      <c r="F1399" s="1" t="n"/>
      <c r="G1399">
        <f>IF(OR(B1399="",C1399="",D1399=""),"",B1399+ROW()/10000000)</f>
        <v/>
      </c>
      <c r="H1399">
        <f>IF(G1399="","",IF(COUNTIFS('Care log'!$C$6:$C$1505,C1399,'Care log'!$D$6:$D$1505,D1399,'Care log'!$G$6:$G$1505,"&gt;"&amp;G1399)=0,1,0))</f>
        <v/>
      </c>
    </row>
    <row r="1400">
      <c r="A1400" s="1" t="n"/>
      <c r="B1400" s="20" t="n"/>
      <c r="C1400" s="17" t="n"/>
      <c r="D1400" s="18" t="n"/>
      <c r="E1400" s="18" t="n"/>
      <c r="F1400" s="1" t="n"/>
      <c r="G1400">
        <f>IF(OR(B1400="",C1400="",D1400=""),"",B1400+ROW()/10000000)</f>
        <v/>
      </c>
      <c r="H1400">
        <f>IF(G1400="","",IF(COUNTIFS('Care log'!$C$6:$C$1505,C1400,'Care log'!$D$6:$D$1505,D1400,'Care log'!$G$6:$G$1505,"&gt;"&amp;G1400)=0,1,0))</f>
        <v/>
      </c>
    </row>
    <row r="1401">
      <c r="A1401" s="1" t="n"/>
      <c r="B1401" s="20" t="n"/>
      <c r="C1401" s="17" t="n"/>
      <c r="D1401" s="18" t="n"/>
      <c r="E1401" s="18" t="n"/>
      <c r="F1401" s="1" t="n"/>
      <c r="G1401">
        <f>IF(OR(B1401="",C1401="",D1401=""),"",B1401+ROW()/10000000)</f>
        <v/>
      </c>
      <c r="H1401">
        <f>IF(G1401="","",IF(COUNTIFS('Care log'!$C$6:$C$1505,C1401,'Care log'!$D$6:$D$1505,D1401,'Care log'!$G$6:$G$1505,"&gt;"&amp;G1401)=0,1,0))</f>
        <v/>
      </c>
    </row>
    <row r="1402">
      <c r="A1402" s="1" t="n"/>
      <c r="B1402" s="20" t="n"/>
      <c r="C1402" s="17" t="n"/>
      <c r="D1402" s="18" t="n"/>
      <c r="E1402" s="18" t="n"/>
      <c r="F1402" s="1" t="n"/>
      <c r="G1402">
        <f>IF(OR(B1402="",C1402="",D1402=""),"",B1402+ROW()/10000000)</f>
        <v/>
      </c>
      <c r="H1402">
        <f>IF(G1402="","",IF(COUNTIFS('Care log'!$C$6:$C$1505,C1402,'Care log'!$D$6:$D$1505,D1402,'Care log'!$G$6:$G$1505,"&gt;"&amp;G1402)=0,1,0))</f>
        <v/>
      </c>
    </row>
    <row r="1403">
      <c r="A1403" s="1" t="n"/>
      <c r="B1403" s="20" t="n"/>
      <c r="C1403" s="17" t="n"/>
      <c r="D1403" s="18" t="n"/>
      <c r="E1403" s="18" t="n"/>
      <c r="F1403" s="1" t="n"/>
      <c r="G1403">
        <f>IF(OR(B1403="",C1403="",D1403=""),"",B1403+ROW()/10000000)</f>
        <v/>
      </c>
      <c r="H1403">
        <f>IF(G1403="","",IF(COUNTIFS('Care log'!$C$6:$C$1505,C1403,'Care log'!$D$6:$D$1505,D1403,'Care log'!$G$6:$G$1505,"&gt;"&amp;G1403)=0,1,0))</f>
        <v/>
      </c>
    </row>
    <row r="1404">
      <c r="A1404" s="1" t="n"/>
      <c r="B1404" s="20" t="n"/>
      <c r="C1404" s="17" t="n"/>
      <c r="D1404" s="18" t="n"/>
      <c r="E1404" s="18" t="n"/>
      <c r="F1404" s="1" t="n"/>
      <c r="G1404">
        <f>IF(OR(B1404="",C1404="",D1404=""),"",B1404+ROW()/10000000)</f>
        <v/>
      </c>
      <c r="H1404">
        <f>IF(G1404="","",IF(COUNTIFS('Care log'!$C$6:$C$1505,C1404,'Care log'!$D$6:$D$1505,D1404,'Care log'!$G$6:$G$1505,"&gt;"&amp;G1404)=0,1,0))</f>
        <v/>
      </c>
    </row>
    <row r="1405">
      <c r="A1405" s="1" t="n"/>
      <c r="B1405" s="20" t="n"/>
      <c r="C1405" s="17" t="n"/>
      <c r="D1405" s="18" t="n"/>
      <c r="E1405" s="18" t="n"/>
      <c r="F1405" s="1" t="n"/>
      <c r="G1405">
        <f>IF(OR(B1405="",C1405="",D1405=""),"",B1405+ROW()/10000000)</f>
        <v/>
      </c>
      <c r="H1405">
        <f>IF(G1405="","",IF(COUNTIFS('Care log'!$C$6:$C$1505,C1405,'Care log'!$D$6:$D$1505,D1405,'Care log'!$G$6:$G$1505,"&gt;"&amp;G1405)=0,1,0))</f>
        <v/>
      </c>
    </row>
    <row r="1406">
      <c r="A1406" s="1" t="n"/>
      <c r="B1406" s="20" t="n"/>
      <c r="C1406" s="17" t="n"/>
      <c r="D1406" s="18" t="n"/>
      <c r="E1406" s="18" t="n"/>
      <c r="F1406" s="1" t="n"/>
      <c r="G1406">
        <f>IF(OR(B1406="",C1406="",D1406=""),"",B1406+ROW()/10000000)</f>
        <v/>
      </c>
      <c r="H1406">
        <f>IF(G1406="","",IF(COUNTIFS('Care log'!$C$6:$C$1505,C1406,'Care log'!$D$6:$D$1505,D1406,'Care log'!$G$6:$G$1505,"&gt;"&amp;G1406)=0,1,0))</f>
        <v/>
      </c>
    </row>
    <row r="1407">
      <c r="A1407" s="1" t="n"/>
      <c r="B1407" s="20" t="n"/>
      <c r="C1407" s="17" t="n"/>
      <c r="D1407" s="18" t="n"/>
      <c r="E1407" s="18" t="n"/>
      <c r="F1407" s="1" t="n"/>
      <c r="G1407">
        <f>IF(OR(B1407="",C1407="",D1407=""),"",B1407+ROW()/10000000)</f>
        <v/>
      </c>
      <c r="H1407">
        <f>IF(G1407="","",IF(COUNTIFS('Care log'!$C$6:$C$1505,C1407,'Care log'!$D$6:$D$1505,D1407,'Care log'!$G$6:$G$1505,"&gt;"&amp;G1407)=0,1,0))</f>
        <v/>
      </c>
    </row>
    <row r="1408">
      <c r="A1408" s="1" t="n"/>
      <c r="B1408" s="20" t="n"/>
      <c r="C1408" s="17" t="n"/>
      <c r="D1408" s="18" t="n"/>
      <c r="E1408" s="18" t="n"/>
      <c r="F1408" s="1" t="n"/>
      <c r="G1408">
        <f>IF(OR(B1408="",C1408="",D1408=""),"",B1408+ROW()/10000000)</f>
        <v/>
      </c>
      <c r="H1408">
        <f>IF(G1408="","",IF(COUNTIFS('Care log'!$C$6:$C$1505,C1408,'Care log'!$D$6:$D$1505,D1408,'Care log'!$G$6:$G$1505,"&gt;"&amp;G1408)=0,1,0))</f>
        <v/>
      </c>
    </row>
    <row r="1409">
      <c r="A1409" s="1" t="n"/>
      <c r="B1409" s="20" t="n"/>
      <c r="C1409" s="17" t="n"/>
      <c r="D1409" s="18" t="n"/>
      <c r="E1409" s="18" t="n"/>
      <c r="F1409" s="1" t="n"/>
      <c r="G1409">
        <f>IF(OR(B1409="",C1409="",D1409=""),"",B1409+ROW()/10000000)</f>
        <v/>
      </c>
      <c r="H1409">
        <f>IF(G1409="","",IF(COUNTIFS('Care log'!$C$6:$C$1505,C1409,'Care log'!$D$6:$D$1505,D1409,'Care log'!$G$6:$G$1505,"&gt;"&amp;G1409)=0,1,0))</f>
        <v/>
      </c>
    </row>
    <row r="1410">
      <c r="A1410" s="1" t="n"/>
      <c r="B1410" s="20" t="n"/>
      <c r="C1410" s="17" t="n"/>
      <c r="D1410" s="18" t="n"/>
      <c r="E1410" s="18" t="n"/>
      <c r="F1410" s="1" t="n"/>
      <c r="G1410">
        <f>IF(OR(B1410="",C1410="",D1410=""),"",B1410+ROW()/10000000)</f>
        <v/>
      </c>
      <c r="H1410">
        <f>IF(G1410="","",IF(COUNTIFS('Care log'!$C$6:$C$1505,C1410,'Care log'!$D$6:$D$1505,D1410,'Care log'!$G$6:$G$1505,"&gt;"&amp;G1410)=0,1,0))</f>
        <v/>
      </c>
    </row>
    <row r="1411">
      <c r="A1411" s="1" t="n"/>
      <c r="B1411" s="20" t="n"/>
      <c r="C1411" s="17" t="n"/>
      <c r="D1411" s="18" t="n"/>
      <c r="E1411" s="18" t="n"/>
      <c r="F1411" s="1" t="n"/>
      <c r="G1411">
        <f>IF(OR(B1411="",C1411="",D1411=""),"",B1411+ROW()/10000000)</f>
        <v/>
      </c>
      <c r="H1411">
        <f>IF(G1411="","",IF(COUNTIFS('Care log'!$C$6:$C$1505,C1411,'Care log'!$D$6:$D$1505,D1411,'Care log'!$G$6:$G$1505,"&gt;"&amp;G1411)=0,1,0))</f>
        <v/>
      </c>
    </row>
    <row r="1412">
      <c r="A1412" s="1" t="n"/>
      <c r="B1412" s="20" t="n"/>
      <c r="C1412" s="17" t="n"/>
      <c r="D1412" s="18" t="n"/>
      <c r="E1412" s="18" t="n"/>
      <c r="F1412" s="1" t="n"/>
      <c r="G1412">
        <f>IF(OR(B1412="",C1412="",D1412=""),"",B1412+ROW()/10000000)</f>
        <v/>
      </c>
      <c r="H1412">
        <f>IF(G1412="","",IF(COUNTIFS('Care log'!$C$6:$C$1505,C1412,'Care log'!$D$6:$D$1505,D1412,'Care log'!$G$6:$G$1505,"&gt;"&amp;G1412)=0,1,0))</f>
        <v/>
      </c>
    </row>
    <row r="1413">
      <c r="A1413" s="1" t="n"/>
      <c r="B1413" s="20" t="n"/>
      <c r="C1413" s="17" t="n"/>
      <c r="D1413" s="18" t="n"/>
      <c r="E1413" s="18" t="n"/>
      <c r="F1413" s="1" t="n"/>
      <c r="G1413">
        <f>IF(OR(B1413="",C1413="",D1413=""),"",B1413+ROW()/10000000)</f>
        <v/>
      </c>
      <c r="H1413">
        <f>IF(G1413="","",IF(COUNTIFS('Care log'!$C$6:$C$1505,C1413,'Care log'!$D$6:$D$1505,D1413,'Care log'!$G$6:$G$1505,"&gt;"&amp;G1413)=0,1,0))</f>
        <v/>
      </c>
    </row>
    <row r="1414">
      <c r="A1414" s="1" t="n"/>
      <c r="B1414" s="20" t="n"/>
      <c r="C1414" s="17" t="n"/>
      <c r="D1414" s="18" t="n"/>
      <c r="E1414" s="18" t="n"/>
      <c r="F1414" s="1" t="n"/>
      <c r="G1414">
        <f>IF(OR(B1414="",C1414="",D1414=""),"",B1414+ROW()/10000000)</f>
        <v/>
      </c>
      <c r="H1414">
        <f>IF(G1414="","",IF(COUNTIFS('Care log'!$C$6:$C$1505,C1414,'Care log'!$D$6:$D$1505,D1414,'Care log'!$G$6:$G$1505,"&gt;"&amp;G1414)=0,1,0))</f>
        <v/>
      </c>
    </row>
    <row r="1415">
      <c r="A1415" s="1" t="n"/>
      <c r="B1415" s="20" t="n"/>
      <c r="C1415" s="17" t="n"/>
      <c r="D1415" s="18" t="n"/>
      <c r="E1415" s="18" t="n"/>
      <c r="F1415" s="1" t="n"/>
      <c r="G1415">
        <f>IF(OR(B1415="",C1415="",D1415=""),"",B1415+ROW()/10000000)</f>
        <v/>
      </c>
      <c r="H1415">
        <f>IF(G1415="","",IF(COUNTIFS('Care log'!$C$6:$C$1505,C1415,'Care log'!$D$6:$D$1505,D1415,'Care log'!$G$6:$G$1505,"&gt;"&amp;G1415)=0,1,0))</f>
        <v/>
      </c>
    </row>
    <row r="1416">
      <c r="A1416" s="1" t="n"/>
      <c r="B1416" s="20" t="n"/>
      <c r="C1416" s="17" t="n"/>
      <c r="D1416" s="18" t="n"/>
      <c r="E1416" s="18" t="n"/>
      <c r="F1416" s="1" t="n"/>
      <c r="G1416">
        <f>IF(OR(B1416="",C1416="",D1416=""),"",B1416+ROW()/10000000)</f>
        <v/>
      </c>
      <c r="H1416">
        <f>IF(G1416="","",IF(COUNTIFS('Care log'!$C$6:$C$1505,C1416,'Care log'!$D$6:$D$1505,D1416,'Care log'!$G$6:$G$1505,"&gt;"&amp;G1416)=0,1,0))</f>
        <v/>
      </c>
    </row>
    <row r="1417">
      <c r="A1417" s="1" t="n"/>
      <c r="B1417" s="20" t="n"/>
      <c r="C1417" s="17" t="n"/>
      <c r="D1417" s="18" t="n"/>
      <c r="E1417" s="18" t="n"/>
      <c r="F1417" s="1" t="n"/>
      <c r="G1417">
        <f>IF(OR(B1417="",C1417="",D1417=""),"",B1417+ROW()/10000000)</f>
        <v/>
      </c>
      <c r="H1417">
        <f>IF(G1417="","",IF(COUNTIFS('Care log'!$C$6:$C$1505,C1417,'Care log'!$D$6:$D$1505,D1417,'Care log'!$G$6:$G$1505,"&gt;"&amp;G1417)=0,1,0))</f>
        <v/>
      </c>
    </row>
    <row r="1418">
      <c r="A1418" s="1" t="n"/>
      <c r="B1418" s="20" t="n"/>
      <c r="C1418" s="17" t="n"/>
      <c r="D1418" s="18" t="n"/>
      <c r="E1418" s="18" t="n"/>
      <c r="F1418" s="1" t="n"/>
      <c r="G1418">
        <f>IF(OR(B1418="",C1418="",D1418=""),"",B1418+ROW()/10000000)</f>
        <v/>
      </c>
      <c r="H1418">
        <f>IF(G1418="","",IF(COUNTIFS('Care log'!$C$6:$C$1505,C1418,'Care log'!$D$6:$D$1505,D1418,'Care log'!$G$6:$G$1505,"&gt;"&amp;G1418)=0,1,0))</f>
        <v/>
      </c>
    </row>
    <row r="1419">
      <c r="A1419" s="1" t="n"/>
      <c r="B1419" s="20" t="n"/>
      <c r="C1419" s="17" t="n"/>
      <c r="D1419" s="18" t="n"/>
      <c r="E1419" s="18" t="n"/>
      <c r="F1419" s="1" t="n"/>
      <c r="G1419">
        <f>IF(OR(B1419="",C1419="",D1419=""),"",B1419+ROW()/10000000)</f>
        <v/>
      </c>
      <c r="H1419">
        <f>IF(G1419="","",IF(COUNTIFS('Care log'!$C$6:$C$1505,C1419,'Care log'!$D$6:$D$1505,D1419,'Care log'!$G$6:$G$1505,"&gt;"&amp;G1419)=0,1,0))</f>
        <v/>
      </c>
    </row>
    <row r="1420">
      <c r="A1420" s="1" t="n"/>
      <c r="B1420" s="20" t="n"/>
      <c r="C1420" s="17" t="n"/>
      <c r="D1420" s="18" t="n"/>
      <c r="E1420" s="18" t="n"/>
      <c r="F1420" s="1" t="n"/>
      <c r="G1420">
        <f>IF(OR(B1420="",C1420="",D1420=""),"",B1420+ROW()/10000000)</f>
        <v/>
      </c>
      <c r="H1420">
        <f>IF(G1420="","",IF(COUNTIFS('Care log'!$C$6:$C$1505,C1420,'Care log'!$D$6:$D$1505,D1420,'Care log'!$G$6:$G$1505,"&gt;"&amp;G1420)=0,1,0))</f>
        <v/>
      </c>
    </row>
    <row r="1421">
      <c r="A1421" s="1" t="n"/>
      <c r="B1421" s="20" t="n"/>
      <c r="C1421" s="17" t="n"/>
      <c r="D1421" s="18" t="n"/>
      <c r="E1421" s="18" t="n"/>
      <c r="F1421" s="1" t="n"/>
      <c r="G1421">
        <f>IF(OR(B1421="",C1421="",D1421=""),"",B1421+ROW()/10000000)</f>
        <v/>
      </c>
      <c r="H1421">
        <f>IF(G1421="","",IF(COUNTIFS('Care log'!$C$6:$C$1505,C1421,'Care log'!$D$6:$D$1505,D1421,'Care log'!$G$6:$G$1505,"&gt;"&amp;G1421)=0,1,0))</f>
        <v/>
      </c>
    </row>
    <row r="1422">
      <c r="A1422" s="1" t="n"/>
      <c r="B1422" s="20" t="n"/>
      <c r="C1422" s="17" t="n"/>
      <c r="D1422" s="18" t="n"/>
      <c r="E1422" s="18" t="n"/>
      <c r="F1422" s="1" t="n"/>
      <c r="G1422">
        <f>IF(OR(B1422="",C1422="",D1422=""),"",B1422+ROW()/10000000)</f>
        <v/>
      </c>
      <c r="H1422">
        <f>IF(G1422="","",IF(COUNTIFS('Care log'!$C$6:$C$1505,C1422,'Care log'!$D$6:$D$1505,D1422,'Care log'!$G$6:$G$1505,"&gt;"&amp;G1422)=0,1,0))</f>
        <v/>
      </c>
    </row>
    <row r="1423">
      <c r="A1423" s="1" t="n"/>
      <c r="B1423" s="20" t="n"/>
      <c r="C1423" s="17" t="n"/>
      <c r="D1423" s="18" t="n"/>
      <c r="E1423" s="18" t="n"/>
      <c r="F1423" s="1" t="n"/>
      <c r="G1423">
        <f>IF(OR(B1423="",C1423="",D1423=""),"",B1423+ROW()/10000000)</f>
        <v/>
      </c>
      <c r="H1423">
        <f>IF(G1423="","",IF(COUNTIFS('Care log'!$C$6:$C$1505,C1423,'Care log'!$D$6:$D$1505,D1423,'Care log'!$G$6:$G$1505,"&gt;"&amp;G1423)=0,1,0))</f>
        <v/>
      </c>
    </row>
    <row r="1424">
      <c r="A1424" s="1" t="n"/>
      <c r="B1424" s="20" t="n"/>
      <c r="C1424" s="17" t="n"/>
      <c r="D1424" s="18" t="n"/>
      <c r="E1424" s="18" t="n"/>
      <c r="F1424" s="1" t="n"/>
      <c r="G1424">
        <f>IF(OR(B1424="",C1424="",D1424=""),"",B1424+ROW()/10000000)</f>
        <v/>
      </c>
      <c r="H1424">
        <f>IF(G1424="","",IF(COUNTIFS('Care log'!$C$6:$C$1505,C1424,'Care log'!$D$6:$D$1505,D1424,'Care log'!$G$6:$G$1505,"&gt;"&amp;G1424)=0,1,0))</f>
        <v/>
      </c>
    </row>
    <row r="1425">
      <c r="A1425" s="1" t="n"/>
      <c r="B1425" s="20" t="n"/>
      <c r="C1425" s="17" t="n"/>
      <c r="D1425" s="18" t="n"/>
      <c r="E1425" s="18" t="n"/>
      <c r="F1425" s="1" t="n"/>
      <c r="G1425">
        <f>IF(OR(B1425="",C1425="",D1425=""),"",B1425+ROW()/10000000)</f>
        <v/>
      </c>
      <c r="H1425">
        <f>IF(G1425="","",IF(COUNTIFS('Care log'!$C$6:$C$1505,C1425,'Care log'!$D$6:$D$1505,D1425,'Care log'!$G$6:$G$1505,"&gt;"&amp;G1425)=0,1,0))</f>
        <v/>
      </c>
    </row>
    <row r="1426">
      <c r="A1426" s="1" t="n"/>
      <c r="B1426" s="20" t="n"/>
      <c r="C1426" s="17" t="n"/>
      <c r="D1426" s="18" t="n"/>
      <c r="E1426" s="18" t="n"/>
      <c r="F1426" s="1" t="n"/>
      <c r="G1426">
        <f>IF(OR(B1426="",C1426="",D1426=""),"",B1426+ROW()/10000000)</f>
        <v/>
      </c>
      <c r="H1426">
        <f>IF(G1426="","",IF(COUNTIFS('Care log'!$C$6:$C$1505,C1426,'Care log'!$D$6:$D$1505,D1426,'Care log'!$G$6:$G$1505,"&gt;"&amp;G1426)=0,1,0))</f>
        <v/>
      </c>
    </row>
    <row r="1427">
      <c r="A1427" s="1" t="n"/>
      <c r="B1427" s="20" t="n"/>
      <c r="C1427" s="17" t="n"/>
      <c r="D1427" s="18" t="n"/>
      <c r="E1427" s="18" t="n"/>
      <c r="F1427" s="1" t="n"/>
      <c r="G1427">
        <f>IF(OR(B1427="",C1427="",D1427=""),"",B1427+ROW()/10000000)</f>
        <v/>
      </c>
      <c r="H1427">
        <f>IF(G1427="","",IF(COUNTIFS('Care log'!$C$6:$C$1505,C1427,'Care log'!$D$6:$D$1505,D1427,'Care log'!$G$6:$G$1505,"&gt;"&amp;G1427)=0,1,0))</f>
        <v/>
      </c>
    </row>
    <row r="1428">
      <c r="A1428" s="1" t="n"/>
      <c r="B1428" s="20" t="n"/>
      <c r="C1428" s="17" t="n"/>
      <c r="D1428" s="18" t="n"/>
      <c r="E1428" s="18" t="n"/>
      <c r="F1428" s="1" t="n"/>
      <c r="G1428">
        <f>IF(OR(B1428="",C1428="",D1428=""),"",B1428+ROW()/10000000)</f>
        <v/>
      </c>
      <c r="H1428">
        <f>IF(G1428="","",IF(COUNTIFS('Care log'!$C$6:$C$1505,C1428,'Care log'!$D$6:$D$1505,D1428,'Care log'!$G$6:$G$1505,"&gt;"&amp;G1428)=0,1,0))</f>
        <v/>
      </c>
    </row>
    <row r="1429">
      <c r="A1429" s="1" t="n"/>
      <c r="B1429" s="20" t="n"/>
      <c r="C1429" s="17" t="n"/>
      <c r="D1429" s="18" t="n"/>
      <c r="E1429" s="18" t="n"/>
      <c r="F1429" s="1" t="n"/>
      <c r="G1429">
        <f>IF(OR(B1429="",C1429="",D1429=""),"",B1429+ROW()/10000000)</f>
        <v/>
      </c>
      <c r="H1429">
        <f>IF(G1429="","",IF(COUNTIFS('Care log'!$C$6:$C$1505,C1429,'Care log'!$D$6:$D$1505,D1429,'Care log'!$G$6:$G$1505,"&gt;"&amp;G1429)=0,1,0))</f>
        <v/>
      </c>
    </row>
    <row r="1430">
      <c r="A1430" s="1" t="n"/>
      <c r="B1430" s="20" t="n"/>
      <c r="C1430" s="17" t="n"/>
      <c r="D1430" s="18" t="n"/>
      <c r="E1430" s="18" t="n"/>
      <c r="F1430" s="1" t="n"/>
      <c r="G1430">
        <f>IF(OR(B1430="",C1430="",D1430=""),"",B1430+ROW()/10000000)</f>
        <v/>
      </c>
      <c r="H1430">
        <f>IF(G1430="","",IF(COUNTIFS('Care log'!$C$6:$C$1505,C1430,'Care log'!$D$6:$D$1505,D1430,'Care log'!$G$6:$G$1505,"&gt;"&amp;G1430)=0,1,0))</f>
        <v/>
      </c>
    </row>
    <row r="1431">
      <c r="A1431" s="1" t="n"/>
      <c r="B1431" s="20" t="n"/>
      <c r="C1431" s="17" t="n"/>
      <c r="D1431" s="18" t="n"/>
      <c r="E1431" s="18" t="n"/>
      <c r="F1431" s="1" t="n"/>
      <c r="G1431">
        <f>IF(OR(B1431="",C1431="",D1431=""),"",B1431+ROW()/10000000)</f>
        <v/>
      </c>
      <c r="H1431">
        <f>IF(G1431="","",IF(COUNTIFS('Care log'!$C$6:$C$1505,C1431,'Care log'!$D$6:$D$1505,D1431,'Care log'!$G$6:$G$1505,"&gt;"&amp;G1431)=0,1,0))</f>
        <v/>
      </c>
    </row>
    <row r="1432">
      <c r="A1432" s="1" t="n"/>
      <c r="B1432" s="20" t="n"/>
      <c r="C1432" s="17" t="n"/>
      <c r="D1432" s="18" t="n"/>
      <c r="E1432" s="18" t="n"/>
      <c r="F1432" s="1" t="n"/>
      <c r="G1432">
        <f>IF(OR(B1432="",C1432="",D1432=""),"",B1432+ROW()/10000000)</f>
        <v/>
      </c>
      <c r="H1432">
        <f>IF(G1432="","",IF(COUNTIFS('Care log'!$C$6:$C$1505,C1432,'Care log'!$D$6:$D$1505,D1432,'Care log'!$G$6:$G$1505,"&gt;"&amp;G1432)=0,1,0))</f>
        <v/>
      </c>
    </row>
    <row r="1433">
      <c r="A1433" s="1" t="n"/>
      <c r="B1433" s="20" t="n"/>
      <c r="C1433" s="17" t="n"/>
      <c r="D1433" s="18" t="n"/>
      <c r="E1433" s="18" t="n"/>
      <c r="F1433" s="1" t="n"/>
      <c r="G1433">
        <f>IF(OR(B1433="",C1433="",D1433=""),"",B1433+ROW()/10000000)</f>
        <v/>
      </c>
      <c r="H1433">
        <f>IF(G1433="","",IF(COUNTIFS('Care log'!$C$6:$C$1505,C1433,'Care log'!$D$6:$D$1505,D1433,'Care log'!$G$6:$G$1505,"&gt;"&amp;G1433)=0,1,0))</f>
        <v/>
      </c>
    </row>
    <row r="1434">
      <c r="A1434" s="1" t="n"/>
      <c r="B1434" s="20" t="n"/>
      <c r="C1434" s="17" t="n"/>
      <c r="D1434" s="18" t="n"/>
      <c r="E1434" s="18" t="n"/>
      <c r="F1434" s="1" t="n"/>
      <c r="G1434">
        <f>IF(OR(B1434="",C1434="",D1434=""),"",B1434+ROW()/10000000)</f>
        <v/>
      </c>
      <c r="H1434">
        <f>IF(G1434="","",IF(COUNTIFS('Care log'!$C$6:$C$1505,C1434,'Care log'!$D$6:$D$1505,D1434,'Care log'!$G$6:$G$1505,"&gt;"&amp;G1434)=0,1,0))</f>
        <v/>
      </c>
    </row>
    <row r="1435">
      <c r="A1435" s="1" t="n"/>
      <c r="B1435" s="20" t="n"/>
      <c r="C1435" s="17" t="n"/>
      <c r="D1435" s="18" t="n"/>
      <c r="E1435" s="18" t="n"/>
      <c r="F1435" s="1" t="n"/>
      <c r="G1435">
        <f>IF(OR(B1435="",C1435="",D1435=""),"",B1435+ROW()/10000000)</f>
        <v/>
      </c>
      <c r="H1435">
        <f>IF(G1435="","",IF(COUNTIFS('Care log'!$C$6:$C$1505,C1435,'Care log'!$D$6:$D$1505,D1435,'Care log'!$G$6:$G$1505,"&gt;"&amp;G1435)=0,1,0))</f>
        <v/>
      </c>
    </row>
    <row r="1436">
      <c r="A1436" s="1" t="n"/>
      <c r="B1436" s="20" t="n"/>
      <c r="C1436" s="17" t="n"/>
      <c r="D1436" s="18" t="n"/>
      <c r="E1436" s="18" t="n"/>
      <c r="F1436" s="1" t="n"/>
      <c r="G1436">
        <f>IF(OR(B1436="",C1436="",D1436=""),"",B1436+ROW()/10000000)</f>
        <v/>
      </c>
      <c r="H1436">
        <f>IF(G1436="","",IF(COUNTIFS('Care log'!$C$6:$C$1505,C1436,'Care log'!$D$6:$D$1505,D1436,'Care log'!$G$6:$G$1505,"&gt;"&amp;G1436)=0,1,0))</f>
        <v/>
      </c>
    </row>
    <row r="1437">
      <c r="A1437" s="1" t="n"/>
      <c r="B1437" s="20" t="n"/>
      <c r="C1437" s="17" t="n"/>
      <c r="D1437" s="18" t="n"/>
      <c r="E1437" s="18" t="n"/>
      <c r="F1437" s="1" t="n"/>
      <c r="G1437">
        <f>IF(OR(B1437="",C1437="",D1437=""),"",B1437+ROW()/10000000)</f>
        <v/>
      </c>
      <c r="H1437">
        <f>IF(G1437="","",IF(COUNTIFS('Care log'!$C$6:$C$1505,C1437,'Care log'!$D$6:$D$1505,D1437,'Care log'!$G$6:$G$1505,"&gt;"&amp;G1437)=0,1,0))</f>
        <v/>
      </c>
    </row>
    <row r="1438">
      <c r="A1438" s="1" t="n"/>
      <c r="B1438" s="20" t="n"/>
      <c r="C1438" s="17" t="n"/>
      <c r="D1438" s="18" t="n"/>
      <c r="E1438" s="18" t="n"/>
      <c r="F1438" s="1" t="n"/>
      <c r="G1438">
        <f>IF(OR(B1438="",C1438="",D1438=""),"",B1438+ROW()/10000000)</f>
        <v/>
      </c>
      <c r="H1438">
        <f>IF(G1438="","",IF(COUNTIFS('Care log'!$C$6:$C$1505,C1438,'Care log'!$D$6:$D$1505,D1438,'Care log'!$G$6:$G$1505,"&gt;"&amp;G1438)=0,1,0))</f>
        <v/>
      </c>
    </row>
    <row r="1439">
      <c r="A1439" s="1" t="n"/>
      <c r="B1439" s="20" t="n"/>
      <c r="C1439" s="17" t="n"/>
      <c r="D1439" s="18" t="n"/>
      <c r="E1439" s="18" t="n"/>
      <c r="F1439" s="1" t="n"/>
      <c r="G1439">
        <f>IF(OR(B1439="",C1439="",D1439=""),"",B1439+ROW()/10000000)</f>
        <v/>
      </c>
      <c r="H1439">
        <f>IF(G1439="","",IF(COUNTIFS('Care log'!$C$6:$C$1505,C1439,'Care log'!$D$6:$D$1505,D1439,'Care log'!$G$6:$G$1505,"&gt;"&amp;G1439)=0,1,0))</f>
        <v/>
      </c>
    </row>
    <row r="1440">
      <c r="A1440" s="1" t="n"/>
      <c r="B1440" s="20" t="n"/>
      <c r="C1440" s="17" t="n"/>
      <c r="D1440" s="18" t="n"/>
      <c r="E1440" s="18" t="n"/>
      <c r="F1440" s="1" t="n"/>
      <c r="G1440">
        <f>IF(OR(B1440="",C1440="",D1440=""),"",B1440+ROW()/10000000)</f>
        <v/>
      </c>
      <c r="H1440">
        <f>IF(G1440="","",IF(COUNTIFS('Care log'!$C$6:$C$1505,C1440,'Care log'!$D$6:$D$1505,D1440,'Care log'!$G$6:$G$1505,"&gt;"&amp;G1440)=0,1,0))</f>
        <v/>
      </c>
    </row>
    <row r="1441">
      <c r="A1441" s="1" t="n"/>
      <c r="B1441" s="20" t="n"/>
      <c r="C1441" s="17" t="n"/>
      <c r="D1441" s="18" t="n"/>
      <c r="E1441" s="18" t="n"/>
      <c r="F1441" s="1" t="n"/>
      <c r="G1441">
        <f>IF(OR(B1441="",C1441="",D1441=""),"",B1441+ROW()/10000000)</f>
        <v/>
      </c>
      <c r="H1441">
        <f>IF(G1441="","",IF(COUNTIFS('Care log'!$C$6:$C$1505,C1441,'Care log'!$D$6:$D$1505,D1441,'Care log'!$G$6:$G$1505,"&gt;"&amp;G1441)=0,1,0))</f>
        <v/>
      </c>
    </row>
    <row r="1442">
      <c r="A1442" s="1" t="n"/>
      <c r="B1442" s="20" t="n"/>
      <c r="C1442" s="17" t="n"/>
      <c r="D1442" s="18" t="n"/>
      <c r="E1442" s="18" t="n"/>
      <c r="F1442" s="1" t="n"/>
      <c r="G1442">
        <f>IF(OR(B1442="",C1442="",D1442=""),"",B1442+ROW()/10000000)</f>
        <v/>
      </c>
      <c r="H1442">
        <f>IF(G1442="","",IF(COUNTIFS('Care log'!$C$6:$C$1505,C1442,'Care log'!$D$6:$D$1505,D1442,'Care log'!$G$6:$G$1505,"&gt;"&amp;G1442)=0,1,0))</f>
        <v/>
      </c>
    </row>
    <row r="1443">
      <c r="A1443" s="1" t="n"/>
      <c r="B1443" s="20" t="n"/>
      <c r="C1443" s="17" t="n"/>
      <c r="D1443" s="18" t="n"/>
      <c r="E1443" s="18" t="n"/>
      <c r="F1443" s="1" t="n"/>
      <c r="G1443">
        <f>IF(OR(B1443="",C1443="",D1443=""),"",B1443+ROW()/10000000)</f>
        <v/>
      </c>
      <c r="H1443">
        <f>IF(G1443="","",IF(COUNTIFS('Care log'!$C$6:$C$1505,C1443,'Care log'!$D$6:$D$1505,D1443,'Care log'!$G$6:$G$1505,"&gt;"&amp;G1443)=0,1,0))</f>
        <v/>
      </c>
    </row>
    <row r="1444">
      <c r="A1444" s="1" t="n"/>
      <c r="B1444" s="20" t="n"/>
      <c r="C1444" s="17" t="n"/>
      <c r="D1444" s="18" t="n"/>
      <c r="E1444" s="18" t="n"/>
      <c r="F1444" s="1" t="n"/>
      <c r="G1444">
        <f>IF(OR(B1444="",C1444="",D1444=""),"",B1444+ROW()/10000000)</f>
        <v/>
      </c>
      <c r="H1444">
        <f>IF(G1444="","",IF(COUNTIFS('Care log'!$C$6:$C$1505,C1444,'Care log'!$D$6:$D$1505,D1444,'Care log'!$G$6:$G$1505,"&gt;"&amp;G1444)=0,1,0))</f>
        <v/>
      </c>
    </row>
    <row r="1445">
      <c r="A1445" s="1" t="n"/>
      <c r="B1445" s="20" t="n"/>
      <c r="C1445" s="17" t="n"/>
      <c r="D1445" s="18" t="n"/>
      <c r="E1445" s="18" t="n"/>
      <c r="F1445" s="1" t="n"/>
      <c r="G1445">
        <f>IF(OR(B1445="",C1445="",D1445=""),"",B1445+ROW()/10000000)</f>
        <v/>
      </c>
      <c r="H1445">
        <f>IF(G1445="","",IF(COUNTIFS('Care log'!$C$6:$C$1505,C1445,'Care log'!$D$6:$D$1505,D1445,'Care log'!$G$6:$G$1505,"&gt;"&amp;G1445)=0,1,0))</f>
        <v/>
      </c>
    </row>
    <row r="1446">
      <c r="A1446" s="1" t="n"/>
      <c r="B1446" s="20" t="n"/>
      <c r="C1446" s="17" t="n"/>
      <c r="D1446" s="18" t="n"/>
      <c r="E1446" s="18" t="n"/>
      <c r="F1446" s="1" t="n"/>
      <c r="G1446">
        <f>IF(OR(B1446="",C1446="",D1446=""),"",B1446+ROW()/10000000)</f>
        <v/>
      </c>
      <c r="H1446">
        <f>IF(G1446="","",IF(COUNTIFS('Care log'!$C$6:$C$1505,C1446,'Care log'!$D$6:$D$1505,D1446,'Care log'!$G$6:$G$1505,"&gt;"&amp;G1446)=0,1,0))</f>
        <v/>
      </c>
    </row>
    <row r="1447">
      <c r="A1447" s="1" t="n"/>
      <c r="B1447" s="20" t="n"/>
      <c r="C1447" s="17" t="n"/>
      <c r="D1447" s="18" t="n"/>
      <c r="E1447" s="18" t="n"/>
      <c r="F1447" s="1" t="n"/>
      <c r="G1447">
        <f>IF(OR(B1447="",C1447="",D1447=""),"",B1447+ROW()/10000000)</f>
        <v/>
      </c>
      <c r="H1447">
        <f>IF(G1447="","",IF(COUNTIFS('Care log'!$C$6:$C$1505,C1447,'Care log'!$D$6:$D$1505,D1447,'Care log'!$G$6:$G$1505,"&gt;"&amp;G1447)=0,1,0))</f>
        <v/>
      </c>
    </row>
    <row r="1448">
      <c r="A1448" s="1" t="n"/>
      <c r="B1448" s="20" t="n"/>
      <c r="C1448" s="17" t="n"/>
      <c r="D1448" s="18" t="n"/>
      <c r="E1448" s="18" t="n"/>
      <c r="F1448" s="1" t="n"/>
      <c r="G1448">
        <f>IF(OR(B1448="",C1448="",D1448=""),"",B1448+ROW()/10000000)</f>
        <v/>
      </c>
      <c r="H1448">
        <f>IF(G1448="","",IF(COUNTIFS('Care log'!$C$6:$C$1505,C1448,'Care log'!$D$6:$D$1505,D1448,'Care log'!$G$6:$G$1505,"&gt;"&amp;G1448)=0,1,0))</f>
        <v/>
      </c>
    </row>
    <row r="1449">
      <c r="A1449" s="1" t="n"/>
      <c r="B1449" s="20" t="n"/>
      <c r="C1449" s="17" t="n"/>
      <c r="D1449" s="18" t="n"/>
      <c r="E1449" s="18" t="n"/>
      <c r="F1449" s="1" t="n"/>
      <c r="G1449">
        <f>IF(OR(B1449="",C1449="",D1449=""),"",B1449+ROW()/10000000)</f>
        <v/>
      </c>
      <c r="H1449">
        <f>IF(G1449="","",IF(COUNTIFS('Care log'!$C$6:$C$1505,C1449,'Care log'!$D$6:$D$1505,D1449,'Care log'!$G$6:$G$1505,"&gt;"&amp;G1449)=0,1,0))</f>
        <v/>
      </c>
    </row>
    <row r="1450">
      <c r="A1450" s="1" t="n"/>
      <c r="B1450" s="20" t="n"/>
      <c r="C1450" s="17" t="n"/>
      <c r="D1450" s="18" t="n"/>
      <c r="E1450" s="18" t="n"/>
      <c r="F1450" s="1" t="n"/>
      <c r="G1450">
        <f>IF(OR(B1450="",C1450="",D1450=""),"",B1450+ROW()/10000000)</f>
        <v/>
      </c>
      <c r="H1450">
        <f>IF(G1450="","",IF(COUNTIFS('Care log'!$C$6:$C$1505,C1450,'Care log'!$D$6:$D$1505,D1450,'Care log'!$G$6:$G$1505,"&gt;"&amp;G1450)=0,1,0))</f>
        <v/>
      </c>
    </row>
    <row r="1451">
      <c r="A1451" s="1" t="n"/>
      <c r="B1451" s="20" t="n"/>
      <c r="C1451" s="17" t="n"/>
      <c r="D1451" s="18" t="n"/>
      <c r="E1451" s="18" t="n"/>
      <c r="F1451" s="1" t="n"/>
      <c r="G1451">
        <f>IF(OR(B1451="",C1451="",D1451=""),"",B1451+ROW()/10000000)</f>
        <v/>
      </c>
      <c r="H1451">
        <f>IF(G1451="","",IF(COUNTIFS('Care log'!$C$6:$C$1505,C1451,'Care log'!$D$6:$D$1505,D1451,'Care log'!$G$6:$G$1505,"&gt;"&amp;G1451)=0,1,0))</f>
        <v/>
      </c>
    </row>
    <row r="1452">
      <c r="A1452" s="1" t="n"/>
      <c r="B1452" s="20" t="n"/>
      <c r="C1452" s="17" t="n"/>
      <c r="D1452" s="18" t="n"/>
      <c r="E1452" s="18" t="n"/>
      <c r="F1452" s="1" t="n"/>
      <c r="G1452">
        <f>IF(OR(B1452="",C1452="",D1452=""),"",B1452+ROW()/10000000)</f>
        <v/>
      </c>
      <c r="H1452">
        <f>IF(G1452="","",IF(COUNTIFS('Care log'!$C$6:$C$1505,C1452,'Care log'!$D$6:$D$1505,D1452,'Care log'!$G$6:$G$1505,"&gt;"&amp;G1452)=0,1,0))</f>
        <v/>
      </c>
    </row>
    <row r="1453">
      <c r="A1453" s="1" t="n"/>
      <c r="B1453" s="20" t="n"/>
      <c r="C1453" s="17" t="n"/>
      <c r="D1453" s="18" t="n"/>
      <c r="E1453" s="18" t="n"/>
      <c r="F1453" s="1" t="n"/>
      <c r="G1453">
        <f>IF(OR(B1453="",C1453="",D1453=""),"",B1453+ROW()/10000000)</f>
        <v/>
      </c>
      <c r="H1453">
        <f>IF(G1453="","",IF(COUNTIFS('Care log'!$C$6:$C$1505,C1453,'Care log'!$D$6:$D$1505,D1453,'Care log'!$G$6:$G$1505,"&gt;"&amp;G1453)=0,1,0))</f>
        <v/>
      </c>
    </row>
    <row r="1454">
      <c r="A1454" s="1" t="n"/>
      <c r="B1454" s="20" t="n"/>
      <c r="C1454" s="17" t="n"/>
      <c r="D1454" s="18" t="n"/>
      <c r="E1454" s="18" t="n"/>
      <c r="F1454" s="1" t="n"/>
      <c r="G1454">
        <f>IF(OR(B1454="",C1454="",D1454=""),"",B1454+ROW()/10000000)</f>
        <v/>
      </c>
      <c r="H1454">
        <f>IF(G1454="","",IF(COUNTIFS('Care log'!$C$6:$C$1505,C1454,'Care log'!$D$6:$D$1505,D1454,'Care log'!$G$6:$G$1505,"&gt;"&amp;G1454)=0,1,0))</f>
        <v/>
      </c>
    </row>
    <row r="1455">
      <c r="A1455" s="1" t="n"/>
      <c r="B1455" s="20" t="n"/>
      <c r="C1455" s="17" t="n"/>
      <c r="D1455" s="18" t="n"/>
      <c r="E1455" s="18" t="n"/>
      <c r="F1455" s="1" t="n"/>
      <c r="G1455">
        <f>IF(OR(B1455="",C1455="",D1455=""),"",B1455+ROW()/10000000)</f>
        <v/>
      </c>
      <c r="H1455">
        <f>IF(G1455="","",IF(COUNTIFS('Care log'!$C$6:$C$1505,C1455,'Care log'!$D$6:$D$1505,D1455,'Care log'!$G$6:$G$1505,"&gt;"&amp;G1455)=0,1,0))</f>
        <v/>
      </c>
    </row>
    <row r="1456">
      <c r="A1456" s="1" t="n"/>
      <c r="B1456" s="20" t="n"/>
      <c r="C1456" s="17" t="n"/>
      <c r="D1456" s="18" t="n"/>
      <c r="E1456" s="18" t="n"/>
      <c r="F1456" s="1" t="n"/>
      <c r="G1456">
        <f>IF(OR(B1456="",C1456="",D1456=""),"",B1456+ROW()/10000000)</f>
        <v/>
      </c>
      <c r="H1456">
        <f>IF(G1456="","",IF(COUNTIFS('Care log'!$C$6:$C$1505,C1456,'Care log'!$D$6:$D$1505,D1456,'Care log'!$G$6:$G$1505,"&gt;"&amp;G1456)=0,1,0))</f>
        <v/>
      </c>
    </row>
    <row r="1457">
      <c r="A1457" s="1" t="n"/>
      <c r="B1457" s="20" t="n"/>
      <c r="C1457" s="17" t="n"/>
      <c r="D1457" s="18" t="n"/>
      <c r="E1457" s="18" t="n"/>
      <c r="F1457" s="1" t="n"/>
      <c r="G1457">
        <f>IF(OR(B1457="",C1457="",D1457=""),"",B1457+ROW()/10000000)</f>
        <v/>
      </c>
      <c r="H1457">
        <f>IF(G1457="","",IF(COUNTIFS('Care log'!$C$6:$C$1505,C1457,'Care log'!$D$6:$D$1505,D1457,'Care log'!$G$6:$G$1505,"&gt;"&amp;G1457)=0,1,0))</f>
        <v/>
      </c>
    </row>
    <row r="1458">
      <c r="A1458" s="1" t="n"/>
      <c r="B1458" s="20" t="n"/>
      <c r="C1458" s="17" t="n"/>
      <c r="D1458" s="18" t="n"/>
      <c r="E1458" s="18" t="n"/>
      <c r="F1458" s="1" t="n"/>
      <c r="G1458">
        <f>IF(OR(B1458="",C1458="",D1458=""),"",B1458+ROW()/10000000)</f>
        <v/>
      </c>
      <c r="H1458">
        <f>IF(G1458="","",IF(COUNTIFS('Care log'!$C$6:$C$1505,C1458,'Care log'!$D$6:$D$1505,D1458,'Care log'!$G$6:$G$1505,"&gt;"&amp;G1458)=0,1,0))</f>
        <v/>
      </c>
    </row>
    <row r="1459">
      <c r="A1459" s="1" t="n"/>
      <c r="B1459" s="20" t="n"/>
      <c r="C1459" s="17" t="n"/>
      <c r="D1459" s="18" t="n"/>
      <c r="E1459" s="18" t="n"/>
      <c r="F1459" s="1" t="n"/>
      <c r="G1459">
        <f>IF(OR(B1459="",C1459="",D1459=""),"",B1459+ROW()/10000000)</f>
        <v/>
      </c>
      <c r="H1459">
        <f>IF(G1459="","",IF(COUNTIFS('Care log'!$C$6:$C$1505,C1459,'Care log'!$D$6:$D$1505,D1459,'Care log'!$G$6:$G$1505,"&gt;"&amp;G1459)=0,1,0))</f>
        <v/>
      </c>
    </row>
    <row r="1460">
      <c r="A1460" s="1" t="n"/>
      <c r="B1460" s="20" t="n"/>
      <c r="C1460" s="17" t="n"/>
      <c r="D1460" s="18" t="n"/>
      <c r="E1460" s="18" t="n"/>
      <c r="F1460" s="1" t="n"/>
      <c r="G1460">
        <f>IF(OR(B1460="",C1460="",D1460=""),"",B1460+ROW()/10000000)</f>
        <v/>
      </c>
      <c r="H1460">
        <f>IF(G1460="","",IF(COUNTIFS('Care log'!$C$6:$C$1505,C1460,'Care log'!$D$6:$D$1505,D1460,'Care log'!$G$6:$G$1505,"&gt;"&amp;G1460)=0,1,0))</f>
        <v/>
      </c>
    </row>
    <row r="1461">
      <c r="A1461" s="1" t="n"/>
      <c r="B1461" s="20" t="n"/>
      <c r="C1461" s="17" t="n"/>
      <c r="D1461" s="18" t="n"/>
      <c r="E1461" s="18" t="n"/>
      <c r="F1461" s="1" t="n"/>
      <c r="G1461">
        <f>IF(OR(B1461="",C1461="",D1461=""),"",B1461+ROW()/10000000)</f>
        <v/>
      </c>
      <c r="H1461">
        <f>IF(G1461="","",IF(COUNTIFS('Care log'!$C$6:$C$1505,C1461,'Care log'!$D$6:$D$1505,D1461,'Care log'!$G$6:$G$1505,"&gt;"&amp;G1461)=0,1,0))</f>
        <v/>
      </c>
    </row>
    <row r="1462">
      <c r="A1462" s="1" t="n"/>
      <c r="B1462" s="20" t="n"/>
      <c r="C1462" s="17" t="n"/>
      <c r="D1462" s="18" t="n"/>
      <c r="E1462" s="18" t="n"/>
      <c r="F1462" s="1" t="n"/>
      <c r="G1462">
        <f>IF(OR(B1462="",C1462="",D1462=""),"",B1462+ROW()/10000000)</f>
        <v/>
      </c>
      <c r="H1462">
        <f>IF(G1462="","",IF(COUNTIFS('Care log'!$C$6:$C$1505,C1462,'Care log'!$D$6:$D$1505,D1462,'Care log'!$G$6:$G$1505,"&gt;"&amp;G1462)=0,1,0))</f>
        <v/>
      </c>
    </row>
    <row r="1463">
      <c r="A1463" s="1" t="n"/>
      <c r="B1463" s="20" t="n"/>
      <c r="C1463" s="17" t="n"/>
      <c r="D1463" s="18" t="n"/>
      <c r="E1463" s="18" t="n"/>
      <c r="F1463" s="1" t="n"/>
      <c r="G1463">
        <f>IF(OR(B1463="",C1463="",D1463=""),"",B1463+ROW()/10000000)</f>
        <v/>
      </c>
      <c r="H1463">
        <f>IF(G1463="","",IF(COUNTIFS('Care log'!$C$6:$C$1505,C1463,'Care log'!$D$6:$D$1505,D1463,'Care log'!$G$6:$G$1505,"&gt;"&amp;G1463)=0,1,0))</f>
        <v/>
      </c>
    </row>
    <row r="1464">
      <c r="A1464" s="1" t="n"/>
      <c r="B1464" s="20" t="n"/>
      <c r="C1464" s="17" t="n"/>
      <c r="D1464" s="18" t="n"/>
      <c r="E1464" s="18" t="n"/>
      <c r="F1464" s="1" t="n"/>
      <c r="G1464">
        <f>IF(OR(B1464="",C1464="",D1464=""),"",B1464+ROW()/10000000)</f>
        <v/>
      </c>
      <c r="H1464">
        <f>IF(G1464="","",IF(COUNTIFS('Care log'!$C$6:$C$1505,C1464,'Care log'!$D$6:$D$1505,D1464,'Care log'!$G$6:$G$1505,"&gt;"&amp;G1464)=0,1,0))</f>
        <v/>
      </c>
    </row>
    <row r="1465">
      <c r="A1465" s="1" t="n"/>
      <c r="B1465" s="20" t="n"/>
      <c r="C1465" s="17" t="n"/>
      <c r="D1465" s="18" t="n"/>
      <c r="E1465" s="18" t="n"/>
      <c r="F1465" s="1" t="n"/>
      <c r="G1465">
        <f>IF(OR(B1465="",C1465="",D1465=""),"",B1465+ROW()/10000000)</f>
        <v/>
      </c>
      <c r="H1465">
        <f>IF(G1465="","",IF(COUNTIFS('Care log'!$C$6:$C$1505,C1465,'Care log'!$D$6:$D$1505,D1465,'Care log'!$G$6:$G$1505,"&gt;"&amp;G1465)=0,1,0))</f>
        <v/>
      </c>
    </row>
    <row r="1466">
      <c r="A1466" s="1" t="n"/>
      <c r="B1466" s="20" t="n"/>
      <c r="C1466" s="17" t="n"/>
      <c r="D1466" s="18" t="n"/>
      <c r="E1466" s="18" t="n"/>
      <c r="F1466" s="1" t="n"/>
      <c r="G1466">
        <f>IF(OR(B1466="",C1466="",D1466=""),"",B1466+ROW()/10000000)</f>
        <v/>
      </c>
      <c r="H1466">
        <f>IF(G1466="","",IF(COUNTIFS('Care log'!$C$6:$C$1505,C1466,'Care log'!$D$6:$D$1505,D1466,'Care log'!$G$6:$G$1505,"&gt;"&amp;G1466)=0,1,0))</f>
        <v/>
      </c>
    </row>
    <row r="1467">
      <c r="A1467" s="1" t="n"/>
      <c r="B1467" s="20" t="n"/>
      <c r="C1467" s="17" t="n"/>
      <c r="D1467" s="18" t="n"/>
      <c r="E1467" s="18" t="n"/>
      <c r="F1467" s="1" t="n"/>
      <c r="G1467">
        <f>IF(OR(B1467="",C1467="",D1467=""),"",B1467+ROW()/10000000)</f>
        <v/>
      </c>
      <c r="H1467">
        <f>IF(G1467="","",IF(COUNTIFS('Care log'!$C$6:$C$1505,C1467,'Care log'!$D$6:$D$1505,D1467,'Care log'!$G$6:$G$1505,"&gt;"&amp;G1467)=0,1,0))</f>
        <v/>
      </c>
    </row>
    <row r="1468">
      <c r="A1468" s="1" t="n"/>
      <c r="B1468" s="20" t="n"/>
      <c r="C1468" s="17" t="n"/>
      <c r="D1468" s="18" t="n"/>
      <c r="E1468" s="18" t="n"/>
      <c r="F1468" s="1" t="n"/>
      <c r="G1468">
        <f>IF(OR(B1468="",C1468="",D1468=""),"",B1468+ROW()/10000000)</f>
        <v/>
      </c>
      <c r="H1468">
        <f>IF(G1468="","",IF(COUNTIFS('Care log'!$C$6:$C$1505,C1468,'Care log'!$D$6:$D$1505,D1468,'Care log'!$G$6:$G$1505,"&gt;"&amp;G1468)=0,1,0))</f>
        <v/>
      </c>
    </row>
    <row r="1469">
      <c r="A1469" s="1" t="n"/>
      <c r="B1469" s="20" t="n"/>
      <c r="C1469" s="17" t="n"/>
      <c r="D1469" s="18" t="n"/>
      <c r="E1469" s="18" t="n"/>
      <c r="F1469" s="1" t="n"/>
      <c r="G1469">
        <f>IF(OR(B1469="",C1469="",D1469=""),"",B1469+ROW()/10000000)</f>
        <v/>
      </c>
      <c r="H1469">
        <f>IF(G1469="","",IF(COUNTIFS('Care log'!$C$6:$C$1505,C1469,'Care log'!$D$6:$D$1505,D1469,'Care log'!$G$6:$G$1505,"&gt;"&amp;G1469)=0,1,0))</f>
        <v/>
      </c>
    </row>
    <row r="1470">
      <c r="A1470" s="1" t="n"/>
      <c r="B1470" s="20" t="n"/>
      <c r="C1470" s="17" t="n"/>
      <c r="D1470" s="18" t="n"/>
      <c r="E1470" s="18" t="n"/>
      <c r="F1470" s="1" t="n"/>
      <c r="G1470">
        <f>IF(OR(B1470="",C1470="",D1470=""),"",B1470+ROW()/10000000)</f>
        <v/>
      </c>
      <c r="H1470">
        <f>IF(G1470="","",IF(COUNTIFS('Care log'!$C$6:$C$1505,C1470,'Care log'!$D$6:$D$1505,D1470,'Care log'!$G$6:$G$1505,"&gt;"&amp;G1470)=0,1,0))</f>
        <v/>
      </c>
    </row>
    <row r="1471">
      <c r="A1471" s="1" t="n"/>
      <c r="B1471" s="20" t="n"/>
      <c r="C1471" s="17" t="n"/>
      <c r="D1471" s="18" t="n"/>
      <c r="E1471" s="18" t="n"/>
      <c r="F1471" s="1" t="n"/>
      <c r="G1471">
        <f>IF(OR(B1471="",C1471="",D1471=""),"",B1471+ROW()/10000000)</f>
        <v/>
      </c>
      <c r="H1471">
        <f>IF(G1471="","",IF(COUNTIFS('Care log'!$C$6:$C$1505,C1471,'Care log'!$D$6:$D$1505,D1471,'Care log'!$G$6:$G$1505,"&gt;"&amp;G1471)=0,1,0))</f>
        <v/>
      </c>
    </row>
    <row r="1472">
      <c r="A1472" s="1" t="n"/>
      <c r="B1472" s="20" t="n"/>
      <c r="C1472" s="17" t="n"/>
      <c r="D1472" s="18" t="n"/>
      <c r="E1472" s="18" t="n"/>
      <c r="F1472" s="1" t="n"/>
      <c r="G1472">
        <f>IF(OR(B1472="",C1472="",D1472=""),"",B1472+ROW()/10000000)</f>
        <v/>
      </c>
      <c r="H1472">
        <f>IF(G1472="","",IF(COUNTIFS('Care log'!$C$6:$C$1505,C1472,'Care log'!$D$6:$D$1505,D1472,'Care log'!$G$6:$G$1505,"&gt;"&amp;G1472)=0,1,0))</f>
        <v/>
      </c>
    </row>
    <row r="1473">
      <c r="A1473" s="1" t="n"/>
      <c r="B1473" s="20" t="n"/>
      <c r="C1473" s="17" t="n"/>
      <c r="D1473" s="18" t="n"/>
      <c r="E1473" s="18" t="n"/>
      <c r="F1473" s="1" t="n"/>
      <c r="G1473">
        <f>IF(OR(B1473="",C1473="",D1473=""),"",B1473+ROW()/10000000)</f>
        <v/>
      </c>
      <c r="H1473">
        <f>IF(G1473="","",IF(COUNTIFS('Care log'!$C$6:$C$1505,C1473,'Care log'!$D$6:$D$1505,D1473,'Care log'!$G$6:$G$1505,"&gt;"&amp;G1473)=0,1,0))</f>
        <v/>
      </c>
    </row>
    <row r="1474">
      <c r="A1474" s="1" t="n"/>
      <c r="B1474" s="20" t="n"/>
      <c r="C1474" s="17" t="n"/>
      <c r="D1474" s="18" t="n"/>
      <c r="E1474" s="18" t="n"/>
      <c r="F1474" s="1" t="n"/>
      <c r="G1474">
        <f>IF(OR(B1474="",C1474="",D1474=""),"",B1474+ROW()/10000000)</f>
        <v/>
      </c>
      <c r="H1474">
        <f>IF(G1474="","",IF(COUNTIFS('Care log'!$C$6:$C$1505,C1474,'Care log'!$D$6:$D$1505,D1474,'Care log'!$G$6:$G$1505,"&gt;"&amp;G1474)=0,1,0))</f>
        <v/>
      </c>
    </row>
    <row r="1475">
      <c r="A1475" s="1" t="n"/>
      <c r="B1475" s="20" t="n"/>
      <c r="C1475" s="17" t="n"/>
      <c r="D1475" s="18" t="n"/>
      <c r="E1475" s="18" t="n"/>
      <c r="F1475" s="1" t="n"/>
      <c r="G1475">
        <f>IF(OR(B1475="",C1475="",D1475=""),"",B1475+ROW()/10000000)</f>
        <v/>
      </c>
      <c r="H1475">
        <f>IF(G1475="","",IF(COUNTIFS('Care log'!$C$6:$C$1505,C1475,'Care log'!$D$6:$D$1505,D1475,'Care log'!$G$6:$G$1505,"&gt;"&amp;G1475)=0,1,0))</f>
        <v/>
      </c>
    </row>
    <row r="1476">
      <c r="A1476" s="1" t="n"/>
      <c r="B1476" s="20" t="n"/>
      <c r="C1476" s="17" t="n"/>
      <c r="D1476" s="18" t="n"/>
      <c r="E1476" s="18" t="n"/>
      <c r="F1476" s="1" t="n"/>
      <c r="G1476">
        <f>IF(OR(B1476="",C1476="",D1476=""),"",B1476+ROW()/10000000)</f>
        <v/>
      </c>
      <c r="H1476">
        <f>IF(G1476="","",IF(COUNTIFS('Care log'!$C$6:$C$1505,C1476,'Care log'!$D$6:$D$1505,D1476,'Care log'!$G$6:$G$1505,"&gt;"&amp;G1476)=0,1,0))</f>
        <v/>
      </c>
    </row>
    <row r="1477">
      <c r="A1477" s="1" t="n"/>
      <c r="B1477" s="20" t="n"/>
      <c r="C1477" s="17" t="n"/>
      <c r="D1477" s="18" t="n"/>
      <c r="E1477" s="18" t="n"/>
      <c r="F1477" s="1" t="n"/>
      <c r="G1477">
        <f>IF(OR(B1477="",C1477="",D1477=""),"",B1477+ROW()/10000000)</f>
        <v/>
      </c>
      <c r="H1477">
        <f>IF(G1477="","",IF(COUNTIFS('Care log'!$C$6:$C$1505,C1477,'Care log'!$D$6:$D$1505,D1477,'Care log'!$G$6:$G$1505,"&gt;"&amp;G1477)=0,1,0))</f>
        <v/>
      </c>
    </row>
    <row r="1478">
      <c r="A1478" s="1" t="n"/>
      <c r="B1478" s="20" t="n"/>
      <c r="C1478" s="17" t="n"/>
      <c r="D1478" s="18" t="n"/>
      <c r="E1478" s="18" t="n"/>
      <c r="F1478" s="1" t="n"/>
      <c r="G1478">
        <f>IF(OR(B1478="",C1478="",D1478=""),"",B1478+ROW()/10000000)</f>
        <v/>
      </c>
      <c r="H1478">
        <f>IF(G1478="","",IF(COUNTIFS('Care log'!$C$6:$C$1505,C1478,'Care log'!$D$6:$D$1505,D1478,'Care log'!$G$6:$G$1505,"&gt;"&amp;G1478)=0,1,0))</f>
        <v/>
      </c>
    </row>
    <row r="1479">
      <c r="A1479" s="1" t="n"/>
      <c r="B1479" s="20" t="n"/>
      <c r="C1479" s="17" t="n"/>
      <c r="D1479" s="18" t="n"/>
      <c r="E1479" s="18" t="n"/>
      <c r="F1479" s="1" t="n"/>
      <c r="G1479">
        <f>IF(OR(B1479="",C1479="",D1479=""),"",B1479+ROW()/10000000)</f>
        <v/>
      </c>
      <c r="H1479">
        <f>IF(G1479="","",IF(COUNTIFS('Care log'!$C$6:$C$1505,C1479,'Care log'!$D$6:$D$1505,D1479,'Care log'!$G$6:$G$1505,"&gt;"&amp;G1479)=0,1,0))</f>
        <v/>
      </c>
    </row>
    <row r="1480">
      <c r="A1480" s="1" t="n"/>
      <c r="B1480" s="20" t="n"/>
      <c r="C1480" s="17" t="n"/>
      <c r="D1480" s="18" t="n"/>
      <c r="E1480" s="18" t="n"/>
      <c r="F1480" s="1" t="n"/>
      <c r="G1480">
        <f>IF(OR(B1480="",C1480="",D1480=""),"",B1480+ROW()/10000000)</f>
        <v/>
      </c>
      <c r="H1480">
        <f>IF(G1480="","",IF(COUNTIFS('Care log'!$C$6:$C$1505,C1480,'Care log'!$D$6:$D$1505,D1480,'Care log'!$G$6:$G$1505,"&gt;"&amp;G1480)=0,1,0))</f>
        <v/>
      </c>
    </row>
    <row r="1481">
      <c r="A1481" s="1" t="n"/>
      <c r="B1481" s="20" t="n"/>
      <c r="C1481" s="17" t="n"/>
      <c r="D1481" s="18" t="n"/>
      <c r="E1481" s="18" t="n"/>
      <c r="F1481" s="1" t="n"/>
      <c r="G1481">
        <f>IF(OR(B1481="",C1481="",D1481=""),"",B1481+ROW()/10000000)</f>
        <v/>
      </c>
      <c r="H1481">
        <f>IF(G1481="","",IF(COUNTIFS('Care log'!$C$6:$C$1505,C1481,'Care log'!$D$6:$D$1505,D1481,'Care log'!$G$6:$G$1505,"&gt;"&amp;G1481)=0,1,0))</f>
        <v/>
      </c>
    </row>
    <row r="1482">
      <c r="A1482" s="1" t="n"/>
      <c r="B1482" s="20" t="n"/>
      <c r="C1482" s="17" t="n"/>
      <c r="D1482" s="18" t="n"/>
      <c r="E1482" s="18" t="n"/>
      <c r="F1482" s="1" t="n"/>
      <c r="G1482">
        <f>IF(OR(B1482="",C1482="",D1482=""),"",B1482+ROW()/10000000)</f>
        <v/>
      </c>
      <c r="H1482">
        <f>IF(G1482="","",IF(COUNTIFS('Care log'!$C$6:$C$1505,C1482,'Care log'!$D$6:$D$1505,D1482,'Care log'!$G$6:$G$1505,"&gt;"&amp;G1482)=0,1,0))</f>
        <v/>
      </c>
    </row>
    <row r="1483">
      <c r="A1483" s="1" t="n"/>
      <c r="B1483" s="20" t="n"/>
      <c r="C1483" s="17" t="n"/>
      <c r="D1483" s="18" t="n"/>
      <c r="E1483" s="18" t="n"/>
      <c r="F1483" s="1" t="n"/>
      <c r="G1483">
        <f>IF(OR(B1483="",C1483="",D1483=""),"",B1483+ROW()/10000000)</f>
        <v/>
      </c>
      <c r="H1483">
        <f>IF(G1483="","",IF(COUNTIFS('Care log'!$C$6:$C$1505,C1483,'Care log'!$D$6:$D$1505,D1483,'Care log'!$G$6:$G$1505,"&gt;"&amp;G1483)=0,1,0))</f>
        <v/>
      </c>
    </row>
    <row r="1484">
      <c r="A1484" s="1" t="n"/>
      <c r="B1484" s="20" t="n"/>
      <c r="C1484" s="17" t="n"/>
      <c r="D1484" s="18" t="n"/>
      <c r="E1484" s="18" t="n"/>
      <c r="F1484" s="1" t="n"/>
      <c r="G1484">
        <f>IF(OR(B1484="",C1484="",D1484=""),"",B1484+ROW()/10000000)</f>
        <v/>
      </c>
      <c r="H1484">
        <f>IF(G1484="","",IF(COUNTIFS('Care log'!$C$6:$C$1505,C1484,'Care log'!$D$6:$D$1505,D1484,'Care log'!$G$6:$G$1505,"&gt;"&amp;G1484)=0,1,0))</f>
        <v/>
      </c>
    </row>
    <row r="1485">
      <c r="A1485" s="1" t="n"/>
      <c r="B1485" s="20" t="n"/>
      <c r="C1485" s="17" t="n"/>
      <c r="D1485" s="18" t="n"/>
      <c r="E1485" s="18" t="n"/>
      <c r="F1485" s="1" t="n"/>
      <c r="G1485">
        <f>IF(OR(B1485="",C1485="",D1485=""),"",B1485+ROW()/10000000)</f>
        <v/>
      </c>
      <c r="H1485">
        <f>IF(G1485="","",IF(COUNTIFS('Care log'!$C$6:$C$1505,C1485,'Care log'!$D$6:$D$1505,D1485,'Care log'!$G$6:$G$1505,"&gt;"&amp;G1485)=0,1,0))</f>
        <v/>
      </c>
    </row>
    <row r="1486">
      <c r="A1486" s="1" t="n"/>
      <c r="B1486" s="20" t="n"/>
      <c r="C1486" s="17" t="n"/>
      <c r="D1486" s="18" t="n"/>
      <c r="E1486" s="18" t="n"/>
      <c r="F1486" s="1" t="n"/>
      <c r="G1486">
        <f>IF(OR(B1486="",C1486="",D1486=""),"",B1486+ROW()/10000000)</f>
        <v/>
      </c>
      <c r="H1486">
        <f>IF(G1486="","",IF(COUNTIFS('Care log'!$C$6:$C$1505,C1486,'Care log'!$D$6:$D$1505,D1486,'Care log'!$G$6:$G$1505,"&gt;"&amp;G1486)=0,1,0))</f>
        <v/>
      </c>
    </row>
    <row r="1487">
      <c r="A1487" s="1" t="n"/>
      <c r="B1487" s="20" t="n"/>
      <c r="C1487" s="17" t="n"/>
      <c r="D1487" s="18" t="n"/>
      <c r="E1487" s="18" t="n"/>
      <c r="F1487" s="1" t="n"/>
      <c r="G1487">
        <f>IF(OR(B1487="",C1487="",D1487=""),"",B1487+ROW()/10000000)</f>
        <v/>
      </c>
      <c r="H1487">
        <f>IF(G1487="","",IF(COUNTIFS('Care log'!$C$6:$C$1505,C1487,'Care log'!$D$6:$D$1505,D1487,'Care log'!$G$6:$G$1505,"&gt;"&amp;G1487)=0,1,0))</f>
        <v/>
      </c>
    </row>
    <row r="1488">
      <c r="A1488" s="1" t="n"/>
      <c r="B1488" s="20" t="n"/>
      <c r="C1488" s="17" t="n"/>
      <c r="D1488" s="18" t="n"/>
      <c r="E1488" s="18" t="n"/>
      <c r="F1488" s="1" t="n"/>
      <c r="G1488">
        <f>IF(OR(B1488="",C1488="",D1488=""),"",B1488+ROW()/10000000)</f>
        <v/>
      </c>
      <c r="H1488">
        <f>IF(G1488="","",IF(COUNTIFS('Care log'!$C$6:$C$1505,C1488,'Care log'!$D$6:$D$1505,D1488,'Care log'!$G$6:$G$1505,"&gt;"&amp;G1488)=0,1,0))</f>
        <v/>
      </c>
    </row>
    <row r="1489">
      <c r="A1489" s="1" t="n"/>
      <c r="B1489" s="20" t="n"/>
      <c r="C1489" s="17" t="n"/>
      <c r="D1489" s="18" t="n"/>
      <c r="E1489" s="18" t="n"/>
      <c r="F1489" s="1" t="n"/>
      <c r="G1489">
        <f>IF(OR(B1489="",C1489="",D1489=""),"",B1489+ROW()/10000000)</f>
        <v/>
      </c>
      <c r="H1489">
        <f>IF(G1489="","",IF(COUNTIFS('Care log'!$C$6:$C$1505,C1489,'Care log'!$D$6:$D$1505,D1489,'Care log'!$G$6:$G$1505,"&gt;"&amp;G1489)=0,1,0))</f>
        <v/>
      </c>
    </row>
    <row r="1490">
      <c r="A1490" s="1" t="n"/>
      <c r="B1490" s="20" t="n"/>
      <c r="C1490" s="17" t="n"/>
      <c r="D1490" s="18" t="n"/>
      <c r="E1490" s="18" t="n"/>
      <c r="F1490" s="1" t="n"/>
      <c r="G1490">
        <f>IF(OR(B1490="",C1490="",D1490=""),"",B1490+ROW()/10000000)</f>
        <v/>
      </c>
      <c r="H1490">
        <f>IF(G1490="","",IF(COUNTIFS('Care log'!$C$6:$C$1505,C1490,'Care log'!$D$6:$D$1505,D1490,'Care log'!$G$6:$G$1505,"&gt;"&amp;G1490)=0,1,0))</f>
        <v/>
      </c>
    </row>
    <row r="1491">
      <c r="A1491" s="1" t="n"/>
      <c r="B1491" s="20" t="n"/>
      <c r="C1491" s="17" t="n"/>
      <c r="D1491" s="18" t="n"/>
      <c r="E1491" s="18" t="n"/>
      <c r="F1491" s="1" t="n"/>
      <c r="G1491">
        <f>IF(OR(B1491="",C1491="",D1491=""),"",B1491+ROW()/10000000)</f>
        <v/>
      </c>
      <c r="H1491">
        <f>IF(G1491="","",IF(COUNTIFS('Care log'!$C$6:$C$1505,C1491,'Care log'!$D$6:$D$1505,D1491,'Care log'!$G$6:$G$1505,"&gt;"&amp;G1491)=0,1,0))</f>
        <v/>
      </c>
    </row>
    <row r="1492">
      <c r="A1492" s="1" t="n"/>
      <c r="B1492" s="20" t="n"/>
      <c r="C1492" s="17" t="n"/>
      <c r="D1492" s="18" t="n"/>
      <c r="E1492" s="18" t="n"/>
      <c r="F1492" s="1" t="n"/>
      <c r="G1492">
        <f>IF(OR(B1492="",C1492="",D1492=""),"",B1492+ROW()/10000000)</f>
        <v/>
      </c>
      <c r="H1492">
        <f>IF(G1492="","",IF(COUNTIFS('Care log'!$C$6:$C$1505,C1492,'Care log'!$D$6:$D$1505,D1492,'Care log'!$G$6:$G$1505,"&gt;"&amp;G1492)=0,1,0))</f>
        <v/>
      </c>
    </row>
    <row r="1493">
      <c r="A1493" s="1" t="n"/>
      <c r="B1493" s="20" t="n"/>
      <c r="C1493" s="17" t="n"/>
      <c r="D1493" s="18" t="n"/>
      <c r="E1493" s="18" t="n"/>
      <c r="F1493" s="1" t="n"/>
      <c r="G1493">
        <f>IF(OR(B1493="",C1493="",D1493=""),"",B1493+ROW()/10000000)</f>
        <v/>
      </c>
      <c r="H1493">
        <f>IF(G1493="","",IF(COUNTIFS('Care log'!$C$6:$C$1505,C1493,'Care log'!$D$6:$D$1505,D1493,'Care log'!$G$6:$G$1505,"&gt;"&amp;G1493)=0,1,0))</f>
        <v/>
      </c>
    </row>
    <row r="1494">
      <c r="A1494" s="1" t="n"/>
      <c r="B1494" s="20" t="n"/>
      <c r="C1494" s="17" t="n"/>
      <c r="D1494" s="18" t="n"/>
      <c r="E1494" s="18" t="n"/>
      <c r="F1494" s="1" t="n"/>
      <c r="G1494">
        <f>IF(OR(B1494="",C1494="",D1494=""),"",B1494+ROW()/10000000)</f>
        <v/>
      </c>
      <c r="H1494">
        <f>IF(G1494="","",IF(COUNTIFS('Care log'!$C$6:$C$1505,C1494,'Care log'!$D$6:$D$1505,D1494,'Care log'!$G$6:$G$1505,"&gt;"&amp;G1494)=0,1,0))</f>
        <v/>
      </c>
    </row>
    <row r="1495">
      <c r="A1495" s="1" t="n"/>
      <c r="B1495" s="20" t="n"/>
      <c r="C1495" s="17" t="n"/>
      <c r="D1495" s="18" t="n"/>
      <c r="E1495" s="18" t="n"/>
      <c r="F1495" s="1" t="n"/>
      <c r="G1495">
        <f>IF(OR(B1495="",C1495="",D1495=""),"",B1495+ROW()/10000000)</f>
        <v/>
      </c>
      <c r="H1495">
        <f>IF(G1495="","",IF(COUNTIFS('Care log'!$C$6:$C$1505,C1495,'Care log'!$D$6:$D$1505,D1495,'Care log'!$G$6:$G$1505,"&gt;"&amp;G1495)=0,1,0))</f>
        <v/>
      </c>
    </row>
    <row r="1496">
      <c r="A1496" s="1" t="n"/>
      <c r="B1496" s="20" t="n"/>
      <c r="C1496" s="17" t="n"/>
      <c r="D1496" s="18" t="n"/>
      <c r="E1496" s="18" t="n"/>
      <c r="F1496" s="1" t="n"/>
      <c r="G1496">
        <f>IF(OR(B1496="",C1496="",D1496=""),"",B1496+ROW()/10000000)</f>
        <v/>
      </c>
      <c r="H1496">
        <f>IF(G1496="","",IF(COUNTIFS('Care log'!$C$6:$C$1505,C1496,'Care log'!$D$6:$D$1505,D1496,'Care log'!$G$6:$G$1505,"&gt;"&amp;G1496)=0,1,0))</f>
        <v/>
      </c>
    </row>
    <row r="1497">
      <c r="A1497" s="1" t="n"/>
      <c r="B1497" s="20" t="n"/>
      <c r="C1497" s="17" t="n"/>
      <c r="D1497" s="18" t="n"/>
      <c r="E1497" s="18" t="n"/>
      <c r="F1497" s="1" t="n"/>
      <c r="G1497">
        <f>IF(OR(B1497="",C1497="",D1497=""),"",B1497+ROW()/10000000)</f>
        <v/>
      </c>
      <c r="H1497">
        <f>IF(G1497="","",IF(COUNTIFS('Care log'!$C$6:$C$1505,C1497,'Care log'!$D$6:$D$1505,D1497,'Care log'!$G$6:$G$1505,"&gt;"&amp;G1497)=0,1,0))</f>
        <v/>
      </c>
    </row>
    <row r="1498">
      <c r="A1498" s="1" t="n"/>
      <c r="B1498" s="20" t="n"/>
      <c r="C1498" s="17" t="n"/>
      <c r="D1498" s="18" t="n"/>
      <c r="E1498" s="18" t="n"/>
      <c r="F1498" s="1" t="n"/>
      <c r="G1498">
        <f>IF(OR(B1498="",C1498="",D1498=""),"",B1498+ROW()/10000000)</f>
        <v/>
      </c>
      <c r="H1498">
        <f>IF(G1498="","",IF(COUNTIFS('Care log'!$C$6:$C$1505,C1498,'Care log'!$D$6:$D$1505,D1498,'Care log'!$G$6:$G$1505,"&gt;"&amp;G1498)=0,1,0))</f>
        <v/>
      </c>
    </row>
    <row r="1499">
      <c r="A1499" s="1" t="n"/>
      <c r="B1499" s="20" t="n"/>
      <c r="C1499" s="17" t="n"/>
      <c r="D1499" s="18" t="n"/>
      <c r="E1499" s="18" t="n"/>
      <c r="F1499" s="1" t="n"/>
      <c r="G1499">
        <f>IF(OR(B1499="",C1499="",D1499=""),"",B1499+ROW()/10000000)</f>
        <v/>
      </c>
      <c r="H1499">
        <f>IF(G1499="","",IF(COUNTIFS('Care log'!$C$6:$C$1505,C1499,'Care log'!$D$6:$D$1505,D1499,'Care log'!$G$6:$G$1505,"&gt;"&amp;G1499)=0,1,0))</f>
        <v/>
      </c>
    </row>
    <row r="1500">
      <c r="A1500" s="1" t="n"/>
      <c r="B1500" s="20" t="n"/>
      <c r="C1500" s="17" t="n"/>
      <c r="D1500" s="18" t="n"/>
      <c r="E1500" s="18" t="n"/>
      <c r="F1500" s="1" t="n"/>
      <c r="G1500">
        <f>IF(OR(B1500="",C1500="",D1500=""),"",B1500+ROW()/10000000)</f>
        <v/>
      </c>
      <c r="H1500">
        <f>IF(G1500="","",IF(COUNTIFS('Care log'!$C$6:$C$1505,C1500,'Care log'!$D$6:$D$1505,D1500,'Care log'!$G$6:$G$1505,"&gt;"&amp;G1500)=0,1,0))</f>
        <v/>
      </c>
    </row>
    <row r="1501">
      <c r="A1501" s="1" t="n"/>
      <c r="B1501" s="20" t="n"/>
      <c r="C1501" s="17" t="n"/>
      <c r="D1501" s="18" t="n"/>
      <c r="E1501" s="18" t="n"/>
      <c r="F1501" s="1" t="n"/>
      <c r="G1501">
        <f>IF(OR(B1501="",C1501="",D1501=""),"",B1501+ROW()/10000000)</f>
        <v/>
      </c>
      <c r="H1501">
        <f>IF(G1501="","",IF(COUNTIFS('Care log'!$C$6:$C$1505,C1501,'Care log'!$D$6:$D$1505,D1501,'Care log'!$G$6:$G$1505,"&gt;"&amp;G1501)=0,1,0))</f>
        <v/>
      </c>
    </row>
    <row r="1502">
      <c r="A1502" s="1" t="n"/>
      <c r="B1502" s="20" t="n"/>
      <c r="C1502" s="17" t="n"/>
      <c r="D1502" s="18" t="n"/>
      <c r="E1502" s="18" t="n"/>
      <c r="F1502" s="1" t="n"/>
      <c r="G1502">
        <f>IF(OR(B1502="",C1502="",D1502=""),"",B1502+ROW()/10000000)</f>
        <v/>
      </c>
      <c r="H1502">
        <f>IF(G1502="","",IF(COUNTIFS('Care log'!$C$6:$C$1505,C1502,'Care log'!$D$6:$D$1505,D1502,'Care log'!$G$6:$G$1505,"&gt;"&amp;G1502)=0,1,0))</f>
        <v/>
      </c>
    </row>
    <row r="1503">
      <c r="A1503" s="1" t="n"/>
      <c r="B1503" s="20" t="n"/>
      <c r="C1503" s="17" t="n"/>
      <c r="D1503" s="18" t="n"/>
      <c r="E1503" s="18" t="n"/>
      <c r="F1503" s="1" t="n"/>
      <c r="G1503">
        <f>IF(OR(B1503="",C1503="",D1503=""),"",B1503+ROW()/10000000)</f>
        <v/>
      </c>
      <c r="H1503">
        <f>IF(G1503="","",IF(COUNTIFS('Care log'!$C$6:$C$1505,C1503,'Care log'!$D$6:$D$1505,D1503,'Care log'!$G$6:$G$1505,"&gt;"&amp;G1503)=0,1,0))</f>
        <v/>
      </c>
    </row>
    <row r="1504">
      <c r="A1504" s="1" t="n"/>
      <c r="B1504" s="20" t="n"/>
      <c r="C1504" s="17" t="n"/>
      <c r="D1504" s="18" t="n"/>
      <c r="E1504" s="18" t="n"/>
      <c r="F1504" s="1" t="n"/>
      <c r="G1504">
        <f>IF(OR(B1504="",C1504="",D1504=""),"",B1504+ROW()/10000000)</f>
        <v/>
      </c>
      <c r="H1504">
        <f>IF(G1504="","",IF(COUNTIFS('Care log'!$C$6:$C$1505,C1504,'Care log'!$D$6:$D$1505,D1504,'Care log'!$G$6:$G$1505,"&gt;"&amp;G1504)=0,1,0))</f>
        <v/>
      </c>
    </row>
    <row r="1505">
      <c r="A1505" s="1" t="n"/>
      <c r="B1505" s="20" t="n"/>
      <c r="C1505" s="17" t="n"/>
      <c r="D1505" s="18" t="n"/>
      <c r="E1505" s="18" t="n"/>
      <c r="F1505" s="1" t="n"/>
      <c r="G1505">
        <f>IF(OR(B1505="",C1505="",D1505=""),"",B1505+ROW()/10000000)</f>
        <v/>
      </c>
      <c r="H1505">
        <f>IF(G1505="","",IF(COUNTIFS('Care log'!$C$6:$C$1505,C1505,'Care log'!$D$6:$D$1505,D1505,'Care log'!$G$6:$G$1505,"&gt;"&amp;G1505)=0,1,0))</f>
        <v/>
      </c>
    </row>
    <row r="1506">
      <c r="A1506" s="1" t="n"/>
      <c r="B1506" s="1" t="n"/>
      <c r="C1506" s="1" t="n"/>
      <c r="D1506" s="1" t="n"/>
      <c r="E1506" s="1" t="n"/>
      <c r="F1506" s="1" t="n"/>
    </row>
  </sheetData>
  <conditionalFormatting sqref="D6:D1505">
    <cfRule type="expression" priority="1" dxfId="1">
      <formula>D6="Water"</formula>
    </cfRule>
    <cfRule type="expression" priority="2" dxfId="2">
      <formula>D6="Feed"</formula>
    </cfRule>
  </conditionalFormatting>
  <conditionalFormatting sqref="C6:C1505">
    <cfRule type="expression" priority="3" dxfId="0">
      <formula>AND(C6&lt;&gt;"",COUNTIF(Plants!$B$6:$B$65,C6)=0)</formula>
    </cfRule>
  </conditionalFormatting>
  <dataValidations count="2">
    <dataValidation sqref="C6:C1505" showDropDown="0" showInputMessage="0" showErrorMessage="1" allowBlank="1" type="list">
      <formula1>=Plants!$B$6:$B$65</formula1>
    </dataValidation>
    <dataValidation sqref="D6:D1505" showDropDown="0" showInputMessage="0" showErrorMessage="0" allowBlank="1" type="list">
      <formula1>"Water,Feed,Mist,Repot,Prune,Pest check,Other"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4" customWidth="1" min="4" max="4"/>
    <col width="7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months your plants grow. Outside them they rest: less water and no feeding.</t>
        </is>
      </c>
      <c r="C3" s="1" t="n"/>
      <c r="D3" s="1" t="n"/>
      <c r="E3" s="1" t="n"/>
      <c r="F3" s="1" t="n"/>
    </row>
    <row r="4">
      <c r="A4" s="1" t="n"/>
      <c r="B4" s="24" t="inlineStr">
        <is>
          <t>Growing season from</t>
        </is>
      </c>
      <c r="C4" s="25" t="inlineStr">
        <is>
          <t>March</t>
        </is>
      </c>
      <c r="D4" s="1" t="n"/>
      <c r="E4" s="26" t="inlineStr">
        <is>
          <t>North of the equator, most houseplants grow from March to September.</t>
        </is>
      </c>
      <c r="F4" s="1" t="n"/>
    </row>
    <row r="5">
      <c r="A5" s="1" t="n"/>
      <c r="B5" s="24" t="inlineStr">
        <is>
          <t>to the end of</t>
        </is>
      </c>
      <c r="C5" s="25" t="inlineStr">
        <is>
          <t>September</t>
        </is>
      </c>
      <c r="D5" s="1" t="n"/>
      <c r="E5" s="26" t="inlineStr">
        <is>
          <t>South of it, pick September to March: the season can run over the new year.</t>
        </is>
      </c>
      <c r="F5" s="1" t="n"/>
    </row>
    <row r="6">
      <c r="A6" s="1" t="n"/>
      <c r="B6" s="1" t="n"/>
      <c r="C6" s="1" t="n"/>
      <c r="D6" s="1" t="n"/>
      <c r="E6" s="26" t="inlineStr">
        <is>
          <t>Watering follows the season of today, and feeds stop while plants rest.</t>
        </is>
      </c>
      <c r="F6" s="1" t="n"/>
    </row>
    <row r="7">
      <c r="A7" s="1" t="n"/>
      <c r="B7" s="24" t="inlineStr">
        <is>
          <t>Today it is</t>
        </is>
      </c>
      <c r="C7" s="27">
        <f>IF(MATCH($C$4,{"January","February","March","April","May","June","July","August","September","October","November","December"},0)&lt;=MATCH($C$5,{"January","February","March","April","May","June","July","August","September","October","November","December"},0),IF(AND(MONTH(TODAY())&gt;=MATCH($C$4,{"January","February","March","April","May","June","July","August","September","October","November","December"},0),MONTH(TODAY())&lt;=MATCH($C$5,{"January","February","March","April","May","June","July","August","September","October","November","December"},0)),1,0),IF(OR(MONTH(TODAY())&gt;=MATCH($C$4,{"January","February","March","April","May","June","July","August","September","October","November","December"},0),MONTH(TODAY())&lt;=MATCH($C$5,{"January","February","March","April","May","June","July","August","September","October","November","December"},0)),1,0))</f>
        <v/>
      </c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dataValidations count="1">
    <dataValidation sqref="C4:C5" showDropDown="0" showInputMessage="0" showErrorMessage="1" allowBlank="1" type="list">
      <formula1>"January,February,March,April,May,June,July,August,September,October,November,December"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28" t="inlineStr">
        <is>
          <t>1</t>
        </is>
      </c>
      <c r="C5" s="29" t="inlineStr">
        <is>
          <t>Settings: the months your plants grow. North of the equator that is often March to September.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28" t="inlineStr">
        <is>
          <t>2</t>
        </is>
      </c>
      <c r="C7" s="29" t="inlineStr">
        <is>
          <t>Plants: each plant once, with how many days between waterings in the growing and resting seasons.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28" t="inlineStr">
        <is>
          <t>3</t>
        </is>
      </c>
      <c r="C9" s="29" t="inlineStr">
        <is>
          <t>Care log: one line each time you water, feed, mist or repot. Pick the plant from the list.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28" t="inlineStr">
        <is>
          <t>4</t>
        </is>
      </c>
      <c r="C11" s="29" t="inlineStr">
        <is>
          <t>Today: what to water now, what is late, the feeds of the week and the repots coming up.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28" t="inlineStr">
        <is>
          <t>5</t>
        </is>
      </c>
      <c r="C13" s="29" t="inlineStr">
        <is>
          <t>This week: the next seven days in a grid, for each plant.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days between waterings are a starting point. Check the soil and change them to suit your home.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plants and their nicknames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2026-09-28T15:05:43Z</dcterms:created>
  <dcterms:modified xsi:type="dcterms:W3CDTF">2026-09-28T15:05:44Z</dcterms:modified>
</cp:coreProperties>
</file>