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Gifts" sheetId="2" state="visible" r:id="rId2"/>
    <sheet name="People" sheetId="3" state="visible" r:id="rId3"/>
    <sheet name="Budget" sheetId="4" state="visible" r:id="rId4"/>
    <sheet name="Costs" sheetId="5" state="visible" r:id="rId5"/>
    <sheet name="Cards" sheetId="6" state="visible" r:id="rId6"/>
    <sheet name="Dinner" sheetId="7" state="visible" r:id="rId7"/>
    <sheet name="Plans" sheetId="8" state="visible" r:id="rId8"/>
    <sheet name="December" sheetId="9" state="visible" r:id="rId9"/>
    <sheet name="Settings" sheetId="10" state="visible" r:id="rId10"/>
    <sheet name="Start He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 MMM YYYY"/>
    <numFmt numFmtId="165" formatCode="yyyy-mm-dd"/>
    <numFmt numFmtId="166" formatCode="#,##0.00;-#,##0.00;;"/>
    <numFmt numFmtId="167" formatCode="ddd d mmm"/>
    <numFmt numFmtId="168" formatCode="hh:mm"/>
    <numFmt numFmtId="169" formatCode="ddd hh:mm"/>
    <numFmt numFmtId="170" formatCode="yyyy-mm-dd h:mm:ss"/>
  </numFmts>
  <fonts count="17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1E2A2F"/>
      <sz val="11"/>
    </font>
    <font>
      <name val="Arial"/>
      <i val="1"/>
      <color rgb="006B7B80"/>
      <sz val="10"/>
    </font>
    <font>
      <name val="Arial"/>
      <b val="1"/>
      <color rgb="00FFFFFF"/>
      <sz val="11"/>
    </font>
    <font>
      <name val="Arial"/>
      <color rgb="001E2A2F"/>
      <sz val="11"/>
    </font>
    <font>
      <name val="Arial"/>
      <color rgb="001F6F78"/>
      <sz val="9"/>
    </font>
    <font>
      <name val="Arial"/>
      <b val="1"/>
      <color rgb="001F6F78"/>
      <sz val="11"/>
    </font>
    <font>
      <name val="Arial"/>
      <color rgb="001E2A2F"/>
      <sz val="9"/>
    </font>
    <font>
      <name val="Arial"/>
      <i val="1"/>
      <color rgb="006B7B80"/>
      <sz val="9"/>
    </font>
    <font>
      <name val="Arial"/>
      <i val="1"/>
      <color rgb="00B4541F"/>
      <sz val="9"/>
    </font>
    <font>
      <name val="Arial"/>
      <b val="1"/>
      <color rgb="006B7B80"/>
      <sz val="10"/>
    </font>
    <font>
      <name val="Arial"/>
      <b val="1"/>
      <color rgb="001F6F78"/>
      <sz val="16"/>
    </font>
    <font>
      <name val="Arial"/>
      <b val="1"/>
      <color rgb="00B07A00"/>
      <sz val="16"/>
    </font>
    <font>
      <name val="Arial"/>
      <b val="1"/>
      <color rgb="001F6F78"/>
      <sz val="18"/>
    </font>
    <font>
      <name val="Arial"/>
      <color rgb="001E2A2F"/>
      <sz val="13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2"/>
        <bgColor rgb="00FFF4C2"/>
      </patternFill>
    </fill>
    <fill>
      <patternFill patternType="solid">
        <fgColor rgb="001F6F78"/>
        <bgColor rgb="001F6F78"/>
      </patternFill>
    </fill>
    <fill>
      <patternFill patternType="solid">
        <fgColor rgb="00E8F0EF"/>
        <bgColor rgb="00E8F0EF"/>
      </patternFill>
    </fill>
  </fills>
  <borders count="5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  <border>
      <left/>
      <right/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 style="thin">
        <color rgb="00D5DBDB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2" fillId="2" borderId="1" pivotButton="0" quotePrefix="0" xfId="0"/>
    <xf numFmtId="1" fontId="13" fillId="2" borderId="1" applyAlignment="1" pivotButton="0" quotePrefix="0" xfId="0">
      <alignment horizontal="right"/>
    </xf>
    <xf numFmtId="0" fontId="13" fillId="2" borderId="1" applyAlignment="1" pivotButton="0" quotePrefix="0" xfId="0">
      <alignment horizontal="right"/>
    </xf>
    <xf numFmtId="4" fontId="13" fillId="2" borderId="1" applyAlignment="1" pivotButton="0" quotePrefix="0" xfId="0">
      <alignment horizontal="right"/>
    </xf>
    <xf numFmtId="4" fontId="14" fillId="2" borderId="1" applyAlignment="1" pivotButton="0" quotePrefix="0" xfId="0">
      <alignment horizontal="right"/>
    </xf>
    <xf numFmtId="0" fontId="5" fillId="4" borderId="1" applyAlignment="1" pivotButton="0" quotePrefix="0" xfId="0">
      <alignment horizontal="center" vertical="center" wrapText="1"/>
    </xf>
    <xf numFmtId="0" fontId="3" fillId="2" borderId="1" pivotButton="0" quotePrefix="0" xfId="0"/>
    <xf numFmtId="0" fontId="6" fillId="2" borderId="1" applyAlignment="1" pivotButton="0" quotePrefix="0" xfId="0">
      <alignment horizontal="center" vertical="center"/>
    </xf>
    <xf numFmtId="4" fontId="6" fillId="2" borderId="1" pivotButton="0" quotePrefix="0" xfId="0"/>
    <xf numFmtId="166" fontId="6" fillId="2" borderId="1" pivotButton="0" quotePrefix="0" xfId="0"/>
    <xf numFmtId="0" fontId="0" fillId="0" borderId="4" pivotButton="0" quotePrefix="0" xfId="0"/>
    <xf numFmtId="0" fontId="6" fillId="2" borderId="1" pivotButton="0" quotePrefix="0" xfId="0"/>
    <xf numFmtId="167" fontId="6" fillId="2" borderId="1" applyAlignment="1" pivotButton="0" quotePrefix="0" xfId="0">
      <alignment horizontal="center" vertical="center"/>
    </xf>
    <xf numFmtId="167" fontId="3" fillId="2" borderId="1" pivotButton="0" quotePrefix="0" xfId="0"/>
    <xf numFmtId="168" fontId="6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6" fillId="3" borderId="1" pivotButton="0" quotePrefix="0" xfId="0"/>
    <xf numFmtId="4" fontId="6" fillId="3" borderId="1" pivotButton="0" quotePrefix="0" xfId="0"/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" fontId="6" fillId="2" borderId="1" applyAlignment="1" pivotButton="0" quotePrefix="0" xfId="0">
      <alignment horizontal="center" vertical="center"/>
    </xf>
    <xf numFmtId="0" fontId="7" fillId="2" borderId="1" pivotButton="0" quotePrefix="0" xfId="0"/>
    <xf numFmtId="0" fontId="3" fillId="5" borderId="1" pivotButton="0" quotePrefix="0" xfId="0"/>
    <xf numFmtId="4" fontId="3" fillId="5" borderId="1" pivotButton="0" quotePrefix="0" xfId="0"/>
    <xf numFmtId="0" fontId="7" fillId="5" borderId="1" pivotButton="0" quotePrefix="0" xfId="0"/>
    <xf numFmtId="164" fontId="6" fillId="3" borderId="1" pivotButton="0" quotePrefix="0" xfId="0"/>
    <xf numFmtId="0" fontId="3" fillId="2" borderId="0" pivotButton="0" quotePrefix="0" xfId="0"/>
    <xf numFmtId="167" fontId="3" fillId="3" borderId="1" applyAlignment="1" pivotButton="0" quotePrefix="0" xfId="0">
      <alignment horizontal="center" vertical="center"/>
    </xf>
    <xf numFmtId="0" fontId="10" fillId="2" borderId="0" pivotButton="0" quotePrefix="0" xfId="0"/>
    <xf numFmtId="168" fontId="3" fillId="3" borderId="1" applyAlignment="1" pivotButton="0" quotePrefix="0" xfId="0">
      <alignment horizontal="center" vertical="center"/>
    </xf>
    <xf numFmtId="1" fontId="3" fillId="2" borderId="1" applyAlignment="1" pivotButton="0" quotePrefix="0" xfId="0">
      <alignment horizontal="center" vertical="center"/>
    </xf>
    <xf numFmtId="168" fontId="6" fillId="3" borderId="1" applyAlignment="1" pivotButton="0" quotePrefix="0" xfId="0">
      <alignment horizontal="center" vertical="center"/>
    </xf>
    <xf numFmtId="1" fontId="6" fillId="3" borderId="1" applyAlignment="1" pivotButton="0" quotePrefix="0" xfId="0">
      <alignment horizontal="center" vertical="center"/>
    </xf>
    <xf numFmtId="169" fontId="6" fillId="2" borderId="1" applyAlignment="1" pivotButton="0" quotePrefix="0" xfId="0">
      <alignment horizontal="center" vertical="center"/>
    </xf>
    <xf numFmtId="169" fontId="6" fillId="3" borderId="1" applyAlignment="1" pivotButton="0" quotePrefix="0" xfId="0">
      <alignment horizontal="center" vertical="center"/>
    </xf>
    <xf numFmtId="0" fontId="11" fillId="2" borderId="0" pivotButton="0" quotePrefix="0" xfId="0"/>
    <xf numFmtId="167" fontId="6" fillId="3" borderId="1" pivotButton="0" quotePrefix="0" xfId="0"/>
    <xf numFmtId="0" fontId="8" fillId="2" borderId="1" applyAlignment="1" pivotButton="0" quotePrefix="0" xfId="0">
      <alignment horizontal="left" vertical="top"/>
    </xf>
    <xf numFmtId="0" fontId="9" fillId="2" borderId="1" applyAlignment="1" pivotButton="0" quotePrefix="0" xfId="0">
      <alignment vertical="top" wrapText="1"/>
    </xf>
    <xf numFmtId="1" fontId="3" fillId="3" borderId="1" applyAlignment="1" pivotButton="0" quotePrefix="0" xfId="0">
      <alignment horizontal="center" vertical="center"/>
    </xf>
    <xf numFmtId="0" fontId="4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15" fillId="2" borderId="0" pivotButton="0" quotePrefix="0" xfId="0"/>
    <xf numFmtId="0" fontId="16" fillId="2" borderId="0" pivotButton="0" quotePrefix="0" xfId="0"/>
  </cellXfs>
  <cellStyles count="1">
    <cellStyle name="Normal" xfId="0" builtinId="0" hidden="0"/>
  </cellStyles>
  <dxfs count="7">
    <dxf>
      <font>
        <name val="Arial"/>
        <b val="1"/>
        <color rgb="00B4541F"/>
        <sz val="16"/>
      </font>
    </dxf>
    <dxf>
      <fill>
        <patternFill patternType="solid">
          <fgColor rgb="00FFE2B8"/>
          <bgColor rgb="00FFE2B8"/>
        </patternFill>
      </fill>
    </dxf>
    <dxf>
      <fill>
        <patternFill patternType="solid">
          <fgColor rgb="00F9C9C4"/>
          <bgColor rgb="00F9C9C4"/>
        </patternFill>
      </fill>
    </dxf>
    <dxf>
      <fill>
        <patternFill patternType="solid">
          <fgColor rgb="00E3E8FF"/>
          <bgColor rgb="00E3E8FF"/>
        </patternFill>
      </fill>
    </dxf>
    <dxf>
      <fill>
        <patternFill patternType="solid">
          <fgColor rgb="00D8F0DC"/>
          <bgColor rgb="00D8F0DC"/>
        </patternFill>
      </fill>
    </dxf>
    <dxf>
      <font>
        <name val="Arial"/>
        <i val="1"/>
        <color rgb="006B7B80"/>
      </font>
    </dxf>
    <dxf>
      <fill>
        <patternFill patternType="solid">
          <fgColor rgb="00F6D5D1"/>
          <bgColor rgb="00F6D5D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'Dashboard'!H8</f>
            </strRef>
          </tx>
          <spPr>
            <a:solidFill>
              <a:srgbClr val="1F6F78"/>
            </a:solidFill>
            <a:ln>
              <a:prstDash val="solid"/>
            </a:ln>
          </spPr>
          <cat>
            <numRef>
              <f>'Dashboard'!$G$9:$G$16</f>
            </numRef>
          </cat>
          <val>
            <numRef>
              <f>'Dashboard'!$H$9:$H$16</f>
            </numRef>
          </val>
        </ser>
        <ser>
          <idx val="1"/>
          <order val="1"/>
          <tx>
            <strRef>
              <f>'Dashboard'!I8</f>
            </strRef>
          </tx>
          <spPr>
            <a:solidFill>
              <a:srgbClr val="F2A65A"/>
            </a:solidFill>
            <a:ln>
              <a:prstDash val="solid"/>
            </a:ln>
          </spPr>
          <cat>
            <numRef>
              <f>'Dashboard'!$G$9:$G$16</f>
            </numRef>
          </cat>
          <val>
            <numRef>
              <f>'Dashboard'!$I$9:$I$16</f>
            </numRef>
          </val>
        </ser>
        <ser>
          <idx val="2"/>
          <order val="2"/>
          <tx>
            <strRef>
              <f>'Dashboard'!J8</f>
            </strRef>
          </tx>
          <spPr>
            <a:solidFill>
              <a:srgbClr val="B8D3CF"/>
            </a:solidFill>
            <a:ln>
              <a:prstDash val="solid"/>
            </a:ln>
          </spPr>
          <cat>
            <numRef>
              <f>'Dashboard'!$G$9:$G$16</f>
            </numRef>
          </cat>
          <val>
            <numRef>
              <f>'Dashboard'!$J$9:$J$16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29</row>
      <rowOff>0</rowOff>
    </from>
    <ext cx="864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4" customWidth="1" min="5" max="5"/>
    <col width="3" customWidth="1" min="6" max="6"/>
    <col width="18" customWidth="1" min="7" max="7"/>
    <col width="14" customWidth="1" min="8" max="8"/>
    <col width="14" customWidth="1" min="9" max="9"/>
    <col width="14" customWidth="1" min="10" max="10"/>
    <col width="3" customWidth="1" min="11" max="11"/>
    <col hidden="1" width="13" customWidth="1" min="15" max="15"/>
    <col hidden="1" width="13" customWidth="1" min="16" max="1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2" customHeight="1">
      <c r="A2" s="1" t="n"/>
      <c r="B2" s="2">
        <f>"Christmas "&amp;Settings!$C$4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3" t="inlineStr">
        <is>
          <t>Gifts and plans on the left, the money on the right.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4" t="inlineStr">
        <is>
          <t>Days to Christmas</t>
        </is>
      </c>
      <c r="C4" s="4" t="inlineStr">
        <is>
          <t>Gifts bought</t>
        </is>
      </c>
      <c r="D4" s="4" t="inlineStr">
        <is>
          <t>Wrapped</t>
        </is>
      </c>
      <c r="E4" s="4" t="inlineStr">
        <is>
          <t>Cards sent</t>
        </is>
      </c>
      <c r="F4" s="1" t="n"/>
      <c r="G4" s="4" t="inlineStr">
        <is>
          <t>Budget</t>
        </is>
      </c>
      <c r="H4" s="4" t="inlineStr">
        <is>
          <t>Spent</t>
        </is>
      </c>
      <c r="I4" s="4" t="inlineStr">
        <is>
          <t>Still to pay</t>
        </is>
      </c>
      <c r="J4" s="4" t="inlineStr">
        <is>
          <t>Left</t>
        </is>
      </c>
      <c r="K4" s="1" t="n"/>
      <c r="L4" s="1" t="n"/>
    </row>
    <row r="5" ht="34" customHeight="1">
      <c r="A5" s="1" t="n"/>
      <c r="B5" s="5">
        <f>IF(TODAY()=DATE(Settings!$C$4,12,25),"Today",MAX(0,DATE(Settings!$C$4,12,25)-TODAY()))</f>
        <v/>
      </c>
      <c r="C5" s="6">
        <f>SUM(Gifts!$M$6:$M$305)&amp;" of "&amp;COUNT(Gifts!$M$6:$M$305)</f>
        <v/>
      </c>
      <c r="D5" s="6">
        <f>COUNTIF(Gifts!$K$6:$K$305,"Wrapped")&amp;" of "&amp;COUNT(Gifts!$M$6:$M$305)</f>
        <v/>
      </c>
      <c r="E5" s="6">
        <f>COUNTIF(Cards!$H$6:$H$305,"Sent")&amp;" of "&amp;(COUNTIF(Cards!$H$6:$H$305,"Sent")+COUNTIF(Cards!$H$6:$H$305,"To send"))</f>
        <v/>
      </c>
      <c r="F5" s="1" t="n"/>
      <c r="G5" s="7">
        <f>Budget!C22</f>
        <v/>
      </c>
      <c r="H5" s="8">
        <f>Budget!D22</f>
        <v/>
      </c>
      <c r="I5" s="8">
        <f>Budget!E22</f>
        <v/>
      </c>
      <c r="J5" s="7">
        <f>Budget!F22</f>
        <v/>
      </c>
      <c r="K5" s="1" t="n"/>
      <c r="L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 ht="30" customHeight="1">
      <c r="A8" s="1" t="n"/>
      <c r="B8" s="9" t="inlineStr">
        <is>
          <t>Still to buy for</t>
        </is>
      </c>
      <c r="C8" s="9" t="inlineStr">
        <is>
          <t>Status</t>
        </is>
      </c>
      <c r="D8" s="9" t="inlineStr">
        <is>
          <t>Budget</t>
        </is>
      </c>
      <c r="E8" s="9" t="inlineStr">
        <is>
          <t>Left</t>
        </is>
      </c>
      <c r="F8" s="1" t="n"/>
      <c r="G8" s="9" t="inlineStr">
        <is>
          <t>Category</t>
        </is>
      </c>
      <c r="H8" s="9" t="inlineStr">
        <is>
          <t>Budget</t>
        </is>
      </c>
      <c r="I8" s="9" t="inlineStr">
        <is>
          <t>Spent</t>
        </is>
      </c>
      <c r="J8" s="9" t="inlineStr">
        <is>
          <t>To pay</t>
        </is>
      </c>
      <c r="K8" s="1" t="n"/>
      <c r="L8" s="1" t="n"/>
    </row>
    <row r="9">
      <c r="A9" s="1" t="n"/>
      <c r="B9" s="10">
        <f>IF(O9="","Every gift is bought",INDEX(People!$B$6:$B$65,O9-5))</f>
        <v/>
      </c>
      <c r="C9" s="11">
        <f>IF(O9="","",INDEX(People!$J$6:$J$65,O9-5))</f>
        <v/>
      </c>
      <c r="D9" s="12">
        <f>IF(O9="","",IF(INDEX(People!$D$6:$D$65,O9-5)="","",INDEX(People!$D$6:$D$65,O9-5)))</f>
        <v/>
      </c>
      <c r="E9" s="12">
        <f>IF(O9="","",INDEX(People!$I$6:$I$65,O9-5))</f>
        <v/>
      </c>
      <c r="F9" s="1" t="n"/>
      <c r="G9" s="10">
        <f>IF(P9="","",INDEX(Budget!$B$6:$B$21,P9-5))</f>
        <v/>
      </c>
      <c r="H9" s="13">
        <f>IF(P9="","",N(INDEX(Budget!$C$6:$C$21,P9-5)))</f>
        <v/>
      </c>
      <c r="I9" s="13">
        <f>IF(P9="","",N(INDEX(Budget!$D$6:$D$21,P9-5)))</f>
        <v/>
      </c>
      <c r="J9" s="13">
        <f>IF(P9="","",N(INDEX(Budget!$E$6:$E$21,P9-5)))</f>
        <v/>
      </c>
      <c r="K9" s="1" t="n"/>
      <c r="L9" s="1" t="n"/>
      <c r="O9">
        <f>IFERROR(SMALL(People!$L$6:$L$65,1),"")</f>
        <v/>
      </c>
      <c r="P9">
        <f>IFERROR(SMALL(Budget!$I$6:$I$21,1),"")</f>
        <v/>
      </c>
    </row>
    <row r="10">
      <c r="A10" s="1" t="n"/>
      <c r="B10" s="10">
        <f>IF(O10="","",INDEX(People!$B$6:$B$65,O10-5))</f>
        <v/>
      </c>
      <c r="C10" s="11">
        <f>IF(O10="","",INDEX(People!$J$6:$J$65,O10-5))</f>
        <v/>
      </c>
      <c r="D10" s="12">
        <f>IF(O10="","",IF(INDEX(People!$D$6:$D$65,O10-5)="","",INDEX(People!$D$6:$D$65,O10-5)))</f>
        <v/>
      </c>
      <c r="E10" s="12">
        <f>IF(O10="","",INDEX(People!$I$6:$I$65,O10-5))</f>
        <v/>
      </c>
      <c r="F10" s="1" t="n"/>
      <c r="G10" s="10">
        <f>IF(P10="","",INDEX(Budget!$B$6:$B$21,P10-5))</f>
        <v/>
      </c>
      <c r="H10" s="13">
        <f>IF(P10="","",N(INDEX(Budget!$C$6:$C$21,P10-5)))</f>
        <v/>
      </c>
      <c r="I10" s="13">
        <f>IF(P10="","",N(INDEX(Budget!$D$6:$D$21,P10-5)))</f>
        <v/>
      </c>
      <c r="J10" s="13">
        <f>IF(P10="","",N(INDEX(Budget!$E$6:$E$21,P10-5)))</f>
        <v/>
      </c>
      <c r="K10" s="1" t="n"/>
      <c r="L10" s="1" t="n"/>
      <c r="O10">
        <f>IFERROR(SMALL(People!$L$6:$L$65,2),"")</f>
        <v/>
      </c>
      <c r="P10">
        <f>IFERROR(SMALL(Budget!$I$6:$I$21,2),"")</f>
        <v/>
      </c>
    </row>
    <row r="11">
      <c r="A11" s="1" t="n"/>
      <c r="B11" s="10">
        <f>IF(O11="","",INDEX(People!$B$6:$B$65,O11-5))</f>
        <v/>
      </c>
      <c r="C11" s="11">
        <f>IF(O11="","",INDEX(People!$J$6:$J$65,O11-5))</f>
        <v/>
      </c>
      <c r="D11" s="12">
        <f>IF(O11="","",IF(INDEX(People!$D$6:$D$65,O11-5)="","",INDEX(People!$D$6:$D$65,O11-5)))</f>
        <v/>
      </c>
      <c r="E11" s="12">
        <f>IF(O11="","",INDEX(People!$I$6:$I$65,O11-5))</f>
        <v/>
      </c>
      <c r="F11" s="1" t="n"/>
      <c r="G11" s="10">
        <f>IF(P11="","",INDEX(Budget!$B$6:$B$21,P11-5))</f>
        <v/>
      </c>
      <c r="H11" s="13">
        <f>IF(P11="","",N(INDEX(Budget!$C$6:$C$21,P11-5)))</f>
        <v/>
      </c>
      <c r="I11" s="13">
        <f>IF(P11="","",N(INDEX(Budget!$D$6:$D$21,P11-5)))</f>
        <v/>
      </c>
      <c r="J11" s="13">
        <f>IF(P11="","",N(INDEX(Budget!$E$6:$E$21,P11-5)))</f>
        <v/>
      </c>
      <c r="K11" s="1" t="n"/>
      <c r="L11" s="1" t="n"/>
      <c r="O11">
        <f>IFERROR(SMALL(People!$L$6:$L$65,3),"")</f>
        <v/>
      </c>
      <c r="P11">
        <f>IFERROR(SMALL(Budget!$I$6:$I$21,3),"")</f>
        <v/>
      </c>
    </row>
    <row r="12">
      <c r="A12" s="1" t="n"/>
      <c r="B12" s="10">
        <f>IF(O12="","",INDEX(People!$B$6:$B$65,O12-5))</f>
        <v/>
      </c>
      <c r="C12" s="11">
        <f>IF(O12="","",INDEX(People!$J$6:$J$65,O12-5))</f>
        <v/>
      </c>
      <c r="D12" s="12">
        <f>IF(O12="","",IF(INDEX(People!$D$6:$D$65,O12-5)="","",INDEX(People!$D$6:$D$65,O12-5)))</f>
        <v/>
      </c>
      <c r="E12" s="12">
        <f>IF(O12="","",INDEX(People!$I$6:$I$65,O12-5))</f>
        <v/>
      </c>
      <c r="F12" s="1" t="n"/>
      <c r="G12" s="10">
        <f>IF(P12="","",INDEX(Budget!$B$6:$B$21,P12-5))</f>
        <v/>
      </c>
      <c r="H12" s="13">
        <f>IF(P12="","",N(INDEX(Budget!$C$6:$C$21,P12-5)))</f>
        <v/>
      </c>
      <c r="I12" s="13">
        <f>IF(P12="","",N(INDEX(Budget!$D$6:$D$21,P12-5)))</f>
        <v/>
      </c>
      <c r="J12" s="13">
        <f>IF(P12="","",N(INDEX(Budget!$E$6:$E$21,P12-5)))</f>
        <v/>
      </c>
      <c r="K12" s="1" t="n"/>
      <c r="L12" s="1" t="n"/>
      <c r="O12">
        <f>IFERROR(SMALL(People!$L$6:$L$65,4),"")</f>
        <v/>
      </c>
      <c r="P12">
        <f>IFERROR(SMALL(Budget!$I$6:$I$21,4),"")</f>
        <v/>
      </c>
    </row>
    <row r="13">
      <c r="A13" s="1" t="n"/>
      <c r="B13" s="10">
        <f>IF(O13="","",INDEX(People!$B$6:$B$65,O13-5))</f>
        <v/>
      </c>
      <c r="C13" s="11">
        <f>IF(O13="","",INDEX(People!$J$6:$J$65,O13-5))</f>
        <v/>
      </c>
      <c r="D13" s="12">
        <f>IF(O13="","",IF(INDEX(People!$D$6:$D$65,O13-5)="","",INDEX(People!$D$6:$D$65,O13-5)))</f>
        <v/>
      </c>
      <c r="E13" s="12">
        <f>IF(O13="","",INDEX(People!$I$6:$I$65,O13-5))</f>
        <v/>
      </c>
      <c r="F13" s="1" t="n"/>
      <c r="G13" s="10">
        <f>IF(P13="","",INDEX(Budget!$B$6:$B$21,P13-5))</f>
        <v/>
      </c>
      <c r="H13" s="13">
        <f>IF(P13="","",N(INDEX(Budget!$C$6:$C$21,P13-5)))</f>
        <v/>
      </c>
      <c r="I13" s="13">
        <f>IF(P13="","",N(INDEX(Budget!$D$6:$D$21,P13-5)))</f>
        <v/>
      </c>
      <c r="J13" s="13">
        <f>IF(P13="","",N(INDEX(Budget!$E$6:$E$21,P13-5)))</f>
        <v/>
      </c>
      <c r="K13" s="1" t="n"/>
      <c r="L13" s="1" t="n"/>
      <c r="O13">
        <f>IFERROR(SMALL(People!$L$6:$L$65,5),"")</f>
        <v/>
      </c>
      <c r="P13">
        <f>IFERROR(SMALL(Budget!$I$6:$I$21,5),"")</f>
        <v/>
      </c>
    </row>
    <row r="14">
      <c r="A14" s="1" t="n"/>
      <c r="B14" s="10">
        <f>IF(O14="","",INDEX(People!$B$6:$B$65,O14-5))</f>
        <v/>
      </c>
      <c r="C14" s="11">
        <f>IF(O14="","",INDEX(People!$J$6:$J$65,O14-5))</f>
        <v/>
      </c>
      <c r="D14" s="12">
        <f>IF(O14="","",IF(INDEX(People!$D$6:$D$65,O14-5)="","",INDEX(People!$D$6:$D$65,O14-5)))</f>
        <v/>
      </c>
      <c r="E14" s="12">
        <f>IF(O14="","",INDEX(People!$I$6:$I$65,O14-5))</f>
        <v/>
      </c>
      <c r="F14" s="1" t="n"/>
      <c r="G14" s="10">
        <f>IF(P14="","",INDEX(Budget!$B$6:$B$21,P14-5))</f>
        <v/>
      </c>
      <c r="H14" s="13">
        <f>IF(P14="","",N(INDEX(Budget!$C$6:$C$21,P14-5)))</f>
        <v/>
      </c>
      <c r="I14" s="13">
        <f>IF(P14="","",N(INDEX(Budget!$D$6:$D$21,P14-5)))</f>
        <v/>
      </c>
      <c r="J14" s="13">
        <f>IF(P14="","",N(INDEX(Budget!$E$6:$E$21,P14-5)))</f>
        <v/>
      </c>
      <c r="K14" s="1" t="n"/>
      <c r="L14" s="1" t="n"/>
      <c r="O14">
        <f>IFERROR(SMALL(People!$L$6:$L$65,6),"")</f>
        <v/>
      </c>
      <c r="P14">
        <f>IFERROR(SMALL(Budget!$I$6:$I$21,6),"")</f>
        <v/>
      </c>
    </row>
    <row r="15">
      <c r="A15" s="1" t="n"/>
      <c r="B15" s="10">
        <f>IF(O15="","",INDEX(People!$B$6:$B$65,O15-5))</f>
        <v/>
      </c>
      <c r="C15" s="11">
        <f>IF(O15="","",INDEX(People!$J$6:$J$65,O15-5))</f>
        <v/>
      </c>
      <c r="D15" s="12">
        <f>IF(O15="","",IF(INDEX(People!$D$6:$D$65,O15-5)="","",INDEX(People!$D$6:$D$65,O15-5)))</f>
        <v/>
      </c>
      <c r="E15" s="12">
        <f>IF(O15="","",INDEX(People!$I$6:$I$65,O15-5))</f>
        <v/>
      </c>
      <c r="F15" s="1" t="n"/>
      <c r="G15" s="10">
        <f>IF(P15="","",INDEX(Budget!$B$6:$B$21,P15-5))</f>
        <v/>
      </c>
      <c r="H15" s="13">
        <f>IF(P15="","",N(INDEX(Budget!$C$6:$C$21,P15-5)))</f>
        <v/>
      </c>
      <c r="I15" s="13">
        <f>IF(P15="","",N(INDEX(Budget!$D$6:$D$21,P15-5)))</f>
        <v/>
      </c>
      <c r="J15" s="13">
        <f>IF(P15="","",N(INDEX(Budget!$E$6:$E$21,P15-5)))</f>
        <v/>
      </c>
      <c r="K15" s="1" t="n"/>
      <c r="L15" s="1" t="n"/>
      <c r="O15">
        <f>IFERROR(SMALL(People!$L$6:$L$65,7),"")</f>
        <v/>
      </c>
      <c r="P15">
        <f>IFERROR(SMALL(Budget!$I$6:$I$21,7),"")</f>
        <v/>
      </c>
    </row>
    <row r="16">
      <c r="A16" s="1" t="n"/>
      <c r="B16" s="10">
        <f>IF(O16="","",INDEX(People!$B$6:$B$65,O16-5))</f>
        <v/>
      </c>
      <c r="C16" s="11">
        <f>IF(O16="","",INDEX(People!$J$6:$J$65,O16-5))</f>
        <v/>
      </c>
      <c r="D16" s="12">
        <f>IF(O16="","",IF(INDEX(People!$D$6:$D$65,O16-5)="","",INDEX(People!$D$6:$D$65,O16-5)))</f>
        <v/>
      </c>
      <c r="E16" s="12">
        <f>IF(O16="","",INDEX(People!$I$6:$I$65,O16-5))</f>
        <v/>
      </c>
      <c r="F16" s="1" t="n"/>
      <c r="G16" s="10">
        <f>IF(P16="","",INDEX(Budget!$B$6:$B$21,P16-5))</f>
        <v/>
      </c>
      <c r="H16" s="13">
        <f>IF(P16="","",N(INDEX(Budget!$C$6:$C$21,P16-5)))</f>
        <v/>
      </c>
      <c r="I16" s="13">
        <f>IF(P16="","",N(INDEX(Budget!$D$6:$D$21,P16-5)))</f>
        <v/>
      </c>
      <c r="J16" s="13">
        <f>IF(P16="","",N(INDEX(Budget!$E$6:$E$21,P16-5)))</f>
        <v/>
      </c>
      <c r="K16" s="1" t="n"/>
      <c r="L16" s="1" t="n"/>
      <c r="O16">
        <f>IFERROR(SMALL(People!$L$6:$L$65,8),"")</f>
        <v/>
      </c>
      <c r="P16">
        <f>IFERROR(SMALL(Budget!$I$6:$I$21,8),"")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 ht="30" customHeight="1">
      <c r="A19" s="1" t="n"/>
      <c r="B19" s="9" t="inlineStr">
        <is>
          <t>Orders on the way</t>
        </is>
      </c>
      <c r="C19" s="9" t="inlineStr">
        <is>
          <t>For</t>
        </is>
      </c>
      <c r="D19" s="9" t="inlineStr">
        <is>
          <t>Arrives by</t>
        </is>
      </c>
      <c r="E19" s="9" t="inlineStr">
        <is>
          <t>Status</t>
        </is>
      </c>
      <c r="F19" s="1" t="n"/>
      <c r="G19" s="9" t="inlineStr">
        <is>
          <t>Coming up</t>
        </is>
      </c>
      <c r="H19" s="9" t="inlineStr">
        <is>
          <t>Time</t>
        </is>
      </c>
      <c r="I19" s="9" t="inlineStr">
        <is>
          <t>What</t>
        </is>
      </c>
      <c r="J19" s="14" t="n"/>
      <c r="K19" s="1" t="n"/>
      <c r="L19" s="1" t="n"/>
    </row>
    <row r="20">
      <c r="A20" s="1" t="n"/>
      <c r="B20" s="10">
        <f>IF(O20="","No orders on the way",INDEX(Gifts!$C$6:$C$305,MATCH(O20,Gifts!$P$6:$P$305,0)))</f>
        <v/>
      </c>
      <c r="C20" s="15">
        <f>IF(O20="","",INDEX(Gifts!$B$6:$B$305,MATCH(O20,Gifts!$P$6:$P$305,0)))</f>
        <v/>
      </c>
      <c r="D20" s="16">
        <f>IF(O20="","",INT(O20))</f>
        <v/>
      </c>
      <c r="E20" s="11">
        <f>IF(O20="","",INDEX(Gifts!$K$6:$K$305,MATCH(O20,Gifts!$P$6:$P$305,0)))</f>
        <v/>
      </c>
      <c r="F20" s="1" t="n"/>
      <c r="G20" s="17">
        <f>IF(P20="","Nothing planned yet",INT(P20))</f>
        <v/>
      </c>
      <c r="H20" s="18">
        <f>IF(P20="","",IF(INDEX(Plans!$C$6:$C$155,MATCH(P20,Plans!$H$6:$H$155,0))="","",INDEX(Plans!$C$6:$C$155,MATCH(P20,Plans!$H$6:$H$155,0))))</f>
        <v/>
      </c>
      <c r="I20" s="15">
        <f>IF(P20="","",INDEX(Plans!$D$6:$D$155,MATCH(P20,Plans!$H$6:$H$155,0))&amp;IF(INDEX(Plans!$E$6:$E$155,MATCH(P20,Plans!$H$6:$H$155,0))="","",", "&amp;INDEX(Plans!$E$6:$E$155,MATCH(P20,Plans!$H$6:$H$155,0))))</f>
        <v/>
      </c>
      <c r="J20" s="14" t="n"/>
      <c r="K20" s="1" t="n"/>
      <c r="L20" s="1" t="n"/>
      <c r="O20">
        <f>IFERROR(SMALL(Gifts!$P$6:$P$305,1),"")</f>
        <v/>
      </c>
      <c r="P20">
        <f>IFERROR(SMALL(Plans!$H$6:$H$155,COUNTIF(Plans!$H$6:$H$155,"&lt;"&amp;TODAY())+1),"")</f>
        <v/>
      </c>
    </row>
    <row r="21">
      <c r="A21" s="1" t="n"/>
      <c r="B21" s="10">
        <f>IF(O21="","",INDEX(Gifts!$C$6:$C$305,MATCH(O21,Gifts!$P$6:$P$305,0)))</f>
        <v/>
      </c>
      <c r="C21" s="15">
        <f>IF(O21="","",INDEX(Gifts!$B$6:$B$305,MATCH(O21,Gifts!$P$6:$P$305,0)))</f>
        <v/>
      </c>
      <c r="D21" s="16">
        <f>IF(O21="","",INT(O21))</f>
        <v/>
      </c>
      <c r="E21" s="11">
        <f>IF(O21="","",INDEX(Gifts!$K$6:$K$305,MATCH(O21,Gifts!$P$6:$P$305,0)))</f>
        <v/>
      </c>
      <c r="F21" s="1" t="n"/>
      <c r="G21" s="17">
        <f>IF(P21="","",INT(P21))</f>
        <v/>
      </c>
      <c r="H21" s="18">
        <f>IF(P21="","",IF(INDEX(Plans!$C$6:$C$155,MATCH(P21,Plans!$H$6:$H$155,0))="","",INDEX(Plans!$C$6:$C$155,MATCH(P21,Plans!$H$6:$H$155,0))))</f>
        <v/>
      </c>
      <c r="I21" s="15">
        <f>IF(P21="","",INDEX(Plans!$D$6:$D$155,MATCH(P21,Plans!$H$6:$H$155,0))&amp;IF(INDEX(Plans!$E$6:$E$155,MATCH(P21,Plans!$H$6:$H$155,0))="","",", "&amp;INDEX(Plans!$E$6:$E$155,MATCH(P21,Plans!$H$6:$H$155,0))))</f>
        <v/>
      </c>
      <c r="J21" s="14" t="n"/>
      <c r="K21" s="1" t="n"/>
      <c r="L21" s="1" t="n"/>
      <c r="O21">
        <f>IFERROR(SMALL(Gifts!$P$6:$P$305,2),"")</f>
        <v/>
      </c>
      <c r="P21">
        <f>IFERROR(SMALL(Plans!$H$6:$H$155,COUNTIF(Plans!$H$6:$H$155,"&lt;"&amp;TODAY())+2),"")</f>
        <v/>
      </c>
    </row>
    <row r="22">
      <c r="A22" s="1" t="n"/>
      <c r="B22" s="10">
        <f>IF(O22="","",INDEX(Gifts!$C$6:$C$305,MATCH(O22,Gifts!$P$6:$P$305,0)))</f>
        <v/>
      </c>
      <c r="C22" s="15">
        <f>IF(O22="","",INDEX(Gifts!$B$6:$B$305,MATCH(O22,Gifts!$P$6:$P$305,0)))</f>
        <v/>
      </c>
      <c r="D22" s="16">
        <f>IF(O22="","",INT(O22))</f>
        <v/>
      </c>
      <c r="E22" s="11">
        <f>IF(O22="","",INDEX(Gifts!$K$6:$K$305,MATCH(O22,Gifts!$P$6:$P$305,0)))</f>
        <v/>
      </c>
      <c r="F22" s="1" t="n"/>
      <c r="G22" s="17">
        <f>IF(P22="","",INT(P22))</f>
        <v/>
      </c>
      <c r="H22" s="18">
        <f>IF(P22="","",IF(INDEX(Plans!$C$6:$C$155,MATCH(P22,Plans!$H$6:$H$155,0))="","",INDEX(Plans!$C$6:$C$155,MATCH(P22,Plans!$H$6:$H$155,0))))</f>
        <v/>
      </c>
      <c r="I22" s="15">
        <f>IF(P22="","",INDEX(Plans!$D$6:$D$155,MATCH(P22,Plans!$H$6:$H$155,0))&amp;IF(INDEX(Plans!$E$6:$E$155,MATCH(P22,Plans!$H$6:$H$155,0))="","",", "&amp;INDEX(Plans!$E$6:$E$155,MATCH(P22,Plans!$H$6:$H$155,0))))</f>
        <v/>
      </c>
      <c r="J22" s="14" t="n"/>
      <c r="K22" s="1" t="n"/>
      <c r="L22" s="1" t="n"/>
      <c r="O22">
        <f>IFERROR(SMALL(Gifts!$P$6:$P$305,3),"")</f>
        <v/>
      </c>
      <c r="P22">
        <f>IFERROR(SMALL(Plans!$H$6:$H$155,COUNTIF(Plans!$H$6:$H$155,"&lt;"&amp;TODAY())+3),"")</f>
        <v/>
      </c>
    </row>
    <row r="23">
      <c r="A23" s="1" t="n"/>
      <c r="B23" s="10">
        <f>IF(O23="","",INDEX(Gifts!$C$6:$C$305,MATCH(O23,Gifts!$P$6:$P$305,0)))</f>
        <v/>
      </c>
      <c r="C23" s="15">
        <f>IF(O23="","",INDEX(Gifts!$B$6:$B$305,MATCH(O23,Gifts!$P$6:$P$305,0)))</f>
        <v/>
      </c>
      <c r="D23" s="16">
        <f>IF(O23="","",INT(O23))</f>
        <v/>
      </c>
      <c r="E23" s="11">
        <f>IF(O23="","",INDEX(Gifts!$K$6:$K$305,MATCH(O23,Gifts!$P$6:$P$305,0)))</f>
        <v/>
      </c>
      <c r="F23" s="1" t="n"/>
      <c r="G23" s="17">
        <f>IF(P23="","",INT(P23))</f>
        <v/>
      </c>
      <c r="H23" s="18">
        <f>IF(P23="","",IF(INDEX(Plans!$C$6:$C$155,MATCH(P23,Plans!$H$6:$H$155,0))="","",INDEX(Plans!$C$6:$C$155,MATCH(P23,Plans!$H$6:$H$155,0))))</f>
        <v/>
      </c>
      <c r="I23" s="15">
        <f>IF(P23="","",INDEX(Plans!$D$6:$D$155,MATCH(P23,Plans!$H$6:$H$155,0))&amp;IF(INDEX(Plans!$E$6:$E$155,MATCH(P23,Plans!$H$6:$H$155,0))="","",", "&amp;INDEX(Plans!$E$6:$E$155,MATCH(P23,Plans!$H$6:$H$155,0))))</f>
        <v/>
      </c>
      <c r="J23" s="14" t="n"/>
      <c r="K23" s="1" t="n"/>
      <c r="L23" s="1" t="n"/>
      <c r="O23">
        <f>IFERROR(SMALL(Gifts!$P$6:$P$305,4),"")</f>
        <v/>
      </c>
      <c r="P23">
        <f>IFERROR(SMALL(Plans!$H$6:$H$155,COUNTIF(Plans!$H$6:$H$155,"&lt;"&amp;TODAY())+4),"")</f>
        <v/>
      </c>
    </row>
    <row r="24">
      <c r="A24" s="1" t="n"/>
      <c r="B24" s="10">
        <f>IF(O24="","",INDEX(Gifts!$C$6:$C$305,MATCH(O24,Gifts!$P$6:$P$305,0)))</f>
        <v/>
      </c>
      <c r="C24" s="15">
        <f>IF(O24="","",INDEX(Gifts!$B$6:$B$305,MATCH(O24,Gifts!$P$6:$P$305,0)))</f>
        <v/>
      </c>
      <c r="D24" s="16">
        <f>IF(O24="","",INT(O24))</f>
        <v/>
      </c>
      <c r="E24" s="11">
        <f>IF(O24="","",INDEX(Gifts!$K$6:$K$305,MATCH(O24,Gifts!$P$6:$P$305,0)))</f>
        <v/>
      </c>
      <c r="F24" s="1" t="n"/>
      <c r="G24" s="17">
        <f>IF(P24="","",INT(P24))</f>
        <v/>
      </c>
      <c r="H24" s="18">
        <f>IF(P24="","",IF(INDEX(Plans!$C$6:$C$155,MATCH(P24,Plans!$H$6:$H$155,0))="","",INDEX(Plans!$C$6:$C$155,MATCH(P24,Plans!$H$6:$H$155,0))))</f>
        <v/>
      </c>
      <c r="I24" s="15">
        <f>IF(P24="","",INDEX(Plans!$D$6:$D$155,MATCH(P24,Plans!$H$6:$H$155,0))&amp;IF(INDEX(Plans!$E$6:$E$155,MATCH(P24,Plans!$H$6:$H$155,0))="","",", "&amp;INDEX(Plans!$E$6:$E$155,MATCH(P24,Plans!$H$6:$H$155,0))))</f>
        <v/>
      </c>
      <c r="J24" s="14" t="n"/>
      <c r="K24" s="1" t="n"/>
      <c r="L24" s="1" t="n"/>
      <c r="O24">
        <f>IFERROR(SMALL(Gifts!$P$6:$P$305,5),"")</f>
        <v/>
      </c>
      <c r="P24">
        <f>IFERROR(SMALL(Plans!$H$6:$H$155,COUNTIF(Plans!$H$6:$H$155,"&lt;"&amp;TODAY())+5),"")</f>
        <v/>
      </c>
    </row>
    <row r="25">
      <c r="A25" s="1" t="n"/>
      <c r="B25" s="10">
        <f>IF(O25="","",INDEX(Gifts!$C$6:$C$305,MATCH(O25,Gifts!$P$6:$P$305,0)))</f>
        <v/>
      </c>
      <c r="C25" s="15">
        <f>IF(O25="","",INDEX(Gifts!$B$6:$B$305,MATCH(O25,Gifts!$P$6:$P$305,0)))</f>
        <v/>
      </c>
      <c r="D25" s="16">
        <f>IF(O25="","",INT(O25))</f>
        <v/>
      </c>
      <c r="E25" s="11">
        <f>IF(O25="","",INDEX(Gifts!$K$6:$K$305,MATCH(O25,Gifts!$P$6:$P$305,0)))</f>
        <v/>
      </c>
      <c r="F25" s="1" t="n"/>
      <c r="G25" s="17">
        <f>IF(P25="","",INT(P25))</f>
        <v/>
      </c>
      <c r="H25" s="18">
        <f>IF(P25="","",IF(INDEX(Plans!$C$6:$C$155,MATCH(P25,Plans!$H$6:$H$155,0))="","",INDEX(Plans!$C$6:$C$155,MATCH(P25,Plans!$H$6:$H$155,0))))</f>
        <v/>
      </c>
      <c r="I25" s="15">
        <f>IF(P25="","",INDEX(Plans!$D$6:$D$155,MATCH(P25,Plans!$H$6:$H$155,0))&amp;IF(INDEX(Plans!$E$6:$E$155,MATCH(P25,Plans!$H$6:$H$155,0))="","",", "&amp;INDEX(Plans!$E$6:$E$155,MATCH(P25,Plans!$H$6:$H$155,0))))</f>
        <v/>
      </c>
      <c r="J25" s="14" t="n"/>
      <c r="K25" s="1" t="n"/>
      <c r="L25" s="1" t="n"/>
      <c r="O25">
        <f>IFERROR(SMALL(Gifts!$P$6:$P$305,6),"")</f>
        <v/>
      </c>
      <c r="P25">
        <f>IFERROR(SMALL(Plans!$H$6:$H$155,COUNTIF(Plans!$H$6:$H$155,"&lt;"&amp;TODAY())+6),"")</f>
        <v/>
      </c>
    </row>
    <row r="26">
      <c r="A26" s="1" t="n"/>
      <c r="B26" s="10">
        <f>IF(O26="","",INDEX(Gifts!$C$6:$C$305,MATCH(O26,Gifts!$P$6:$P$305,0)))</f>
        <v/>
      </c>
      <c r="C26" s="15">
        <f>IF(O26="","",INDEX(Gifts!$B$6:$B$305,MATCH(O26,Gifts!$P$6:$P$305,0)))</f>
        <v/>
      </c>
      <c r="D26" s="16">
        <f>IF(O26="","",INT(O26))</f>
        <v/>
      </c>
      <c r="E26" s="11">
        <f>IF(O26="","",INDEX(Gifts!$K$6:$K$305,MATCH(O26,Gifts!$P$6:$P$305,0)))</f>
        <v/>
      </c>
      <c r="F26" s="1" t="n"/>
      <c r="G26" s="17">
        <f>IF(P26="","",INT(P26))</f>
        <v/>
      </c>
      <c r="H26" s="18">
        <f>IF(P26="","",IF(INDEX(Plans!$C$6:$C$155,MATCH(P26,Plans!$H$6:$H$155,0))="","",INDEX(Plans!$C$6:$C$155,MATCH(P26,Plans!$H$6:$H$155,0))))</f>
        <v/>
      </c>
      <c r="I26" s="15">
        <f>IF(P26="","",INDEX(Plans!$D$6:$D$155,MATCH(P26,Plans!$H$6:$H$155,0))&amp;IF(INDEX(Plans!$E$6:$E$155,MATCH(P26,Plans!$H$6:$H$155,0))="","",", "&amp;INDEX(Plans!$E$6:$E$155,MATCH(P26,Plans!$H$6:$H$155,0))))</f>
        <v/>
      </c>
      <c r="J26" s="14" t="n"/>
      <c r="K26" s="1" t="n"/>
      <c r="L26" s="1" t="n"/>
      <c r="O26">
        <f>IFERROR(SMALL(Gifts!$P$6:$P$305,7),"")</f>
        <v/>
      </c>
      <c r="P26">
        <f>IFERROR(SMALL(Plans!$H$6:$H$155,COUNTIF(Plans!$H$6:$H$155,"&lt;"&amp;TODAY())+7),"")</f>
        <v/>
      </c>
    </row>
    <row r="27">
      <c r="A27" s="1" t="n"/>
      <c r="B27" s="10">
        <f>IF(O27="","",INDEX(Gifts!$C$6:$C$305,MATCH(O27,Gifts!$P$6:$P$305,0)))</f>
        <v/>
      </c>
      <c r="C27" s="15">
        <f>IF(O27="","",INDEX(Gifts!$B$6:$B$305,MATCH(O27,Gifts!$P$6:$P$305,0)))</f>
        <v/>
      </c>
      <c r="D27" s="16">
        <f>IF(O27="","",INT(O27))</f>
        <v/>
      </c>
      <c r="E27" s="11">
        <f>IF(O27="","",INDEX(Gifts!$K$6:$K$305,MATCH(O27,Gifts!$P$6:$P$305,0)))</f>
        <v/>
      </c>
      <c r="F27" s="1" t="n"/>
      <c r="G27" s="17">
        <f>IF(P27="","",INT(P27))</f>
        <v/>
      </c>
      <c r="H27" s="18">
        <f>IF(P27="","",IF(INDEX(Plans!$C$6:$C$155,MATCH(P27,Plans!$H$6:$H$155,0))="","",INDEX(Plans!$C$6:$C$155,MATCH(P27,Plans!$H$6:$H$155,0))))</f>
        <v/>
      </c>
      <c r="I27" s="15">
        <f>IF(P27="","",INDEX(Plans!$D$6:$D$155,MATCH(P27,Plans!$H$6:$H$155,0))&amp;IF(INDEX(Plans!$E$6:$E$155,MATCH(P27,Plans!$H$6:$H$155,0))="","",", "&amp;INDEX(Plans!$E$6:$E$155,MATCH(P27,Plans!$H$6:$H$155,0))))</f>
        <v/>
      </c>
      <c r="J27" s="14" t="n"/>
      <c r="K27" s="1" t="n"/>
      <c r="L27" s="1" t="n"/>
      <c r="O27">
        <f>IFERROR(SMALL(Gifts!$P$6:$P$305,8),"")</f>
        <v/>
      </c>
      <c r="P27">
        <f>IFERROR(SMALL(Plans!$H$6:$H$155,COUNTIF(Plans!$H$6:$H$155,"&lt;"&amp;TODAY())+8),"")</f>
        <v/>
      </c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</sheetData>
  <mergeCells count="9">
    <mergeCell ref="I21:J21"/>
    <mergeCell ref="I20:J20"/>
    <mergeCell ref="I24:J24"/>
    <mergeCell ref="I25:J25"/>
    <mergeCell ref="I19:J19"/>
    <mergeCell ref="I27:J27"/>
    <mergeCell ref="I23:J23"/>
    <mergeCell ref="I22:J22"/>
    <mergeCell ref="I26:J26"/>
  </mergeCells>
  <conditionalFormatting sqref="J5">
    <cfRule type="expression" priority="1" dxfId="0">
      <formula>J5&lt;0</formula>
    </cfRule>
  </conditionalFormatting>
  <conditionalFormatting sqref="C9:C16">
    <cfRule type="expression" priority="2" dxfId="1">
      <formula>C9="No gift yet"</formula>
    </cfRule>
  </conditionalFormatting>
  <conditionalFormatting sqref="E9:E16">
    <cfRule type="expression" priority="3" dxfId="2">
      <formula>AND(ISNUMBER(E9),E9&lt;0)</formula>
    </cfRule>
  </conditionalFormatting>
  <conditionalFormatting sqref="E20:E27">
    <cfRule type="expression" priority="4" dxfId="2">
      <formula>E20="Late"</formula>
    </cfRule>
    <cfRule type="expression" priority="5" dxfId="3">
      <formula>E20="On the way"</formula>
    </cfRule>
  </conditionalFormatting>
  <conditionalFormatting sqref="G20:J27">
    <cfRule type="expression" priority="6" dxfId="3">
      <formula>AND(ISNUMBER($P20),INT($P20)=TODAY())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24" customWidth="1" min="3" max="3"/>
    <col width="20" customWidth="1" min="4" max="4"/>
    <col width="10" customWidth="1" min="5" max="5"/>
    <col width="10" customWidth="1" min="6" max="6"/>
    <col width="8" customWidth="1" min="7" max="7"/>
    <col width="12" customWidth="1" min="8" max="8"/>
    <col width="7" customWidth="1" min="9" max="9"/>
    <col width="9" customWidth="1" min="10" max="10"/>
    <col width="12" customWidth="1" min="11" max="11"/>
    <col hidden="1" width="13" customWidth="1" min="13" max="13"/>
    <col hidden="1" width="13" customWidth="1" min="14" max="14"/>
    <col hidden="1" width="13" customWidth="1" min="15" max="15"/>
    <col hidden="1" width="13" customWidth="1" min="16" max="1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2" customHeight="1">
      <c r="A2" s="1" t="n"/>
      <c r="B2" s="2" t="inlineStr">
        <is>
          <t>Gifts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3" t="inlineStr">
        <is>
          <t>One line per gift. An x when you buy it, the day an order should arrive, an x when it is here and when it is wrapped.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30" customHeight="1">
      <c r="A5" s="1" t="n"/>
      <c r="B5" s="9" t="inlineStr">
        <is>
          <t>For</t>
        </is>
      </c>
      <c r="C5" s="9" t="inlineStr">
        <is>
          <t>Gift</t>
        </is>
      </c>
      <c r="D5" s="9" t="inlineStr">
        <is>
          <t>Shop or link</t>
        </is>
      </c>
      <c r="E5" s="9" t="inlineStr">
        <is>
          <t>Price</t>
        </is>
      </c>
      <c r="F5" s="9" t="inlineStr">
        <is>
          <t>Paid</t>
        </is>
      </c>
      <c r="G5" s="9" t="inlineStr">
        <is>
          <t>Bought</t>
        </is>
      </c>
      <c r="H5" s="9" t="inlineStr">
        <is>
          <t>Arrives by</t>
        </is>
      </c>
      <c r="I5" s="9" t="inlineStr">
        <is>
          <t>Here</t>
        </is>
      </c>
      <c r="J5" s="9" t="inlineStr">
        <is>
          <t>Wrapped</t>
        </is>
      </c>
      <c r="K5" s="9" t="inlineStr">
        <is>
          <t>Status</t>
        </is>
      </c>
      <c r="L5" s="1" t="n"/>
    </row>
    <row r="6">
      <c r="A6" s="1" t="n"/>
      <c r="B6" s="19" t="inlineStr">
        <is>
          <t>Mum</t>
        </is>
      </c>
      <c r="C6" s="20" t="inlineStr">
        <is>
          <t>Cashmere scarf</t>
        </is>
      </c>
      <c r="D6" s="20" t="inlineStr">
        <is>
          <t>Department store</t>
        </is>
      </c>
      <c r="E6" s="21" t="n">
        <v>65</v>
      </c>
      <c r="F6" s="21" t="n">
        <v>59</v>
      </c>
      <c r="G6" s="22" t="inlineStr">
        <is>
          <t>x</t>
        </is>
      </c>
      <c r="H6" s="23" t="n"/>
      <c r="I6" s="22" t="n"/>
      <c r="J6" s="22" t="inlineStr">
        <is>
          <t>x</t>
        </is>
      </c>
      <c r="K6" s="11">
        <f>IF(AND(B6="",C6=""),"",IF(J6&lt;&gt;"","Wrapped",IF(I6&lt;&gt;"","To wrap",IF(AND(G6="",F6=""),"Idea",IF(H6="","To wrap",IF(H6&lt;TODAY(),"Late","On the way"))))))</f>
        <v/>
      </c>
      <c r="L6" s="1" t="n"/>
      <c r="M6">
        <f>IF(AND(B6="",C6=""),"",IF(OR(F6&lt;&gt;"",G6&lt;&gt;"",I6&lt;&gt;"",J6&lt;&gt;""),1,0))</f>
        <v/>
      </c>
      <c r="N6">
        <f>IF(M6="","",IF(M6=1,IF(F6&lt;&gt;"",N(F6),N(E6)),0))</f>
        <v/>
      </c>
      <c r="O6">
        <f>IF(M6="","",IF(M6=1,0,N(E6)))</f>
        <v/>
      </c>
      <c r="P6">
        <f>IF(OR(K6="On the way",K6="Late"),H6+ROW()/10000000,"")</f>
        <v/>
      </c>
    </row>
    <row r="7">
      <c r="A7" s="1" t="n"/>
      <c r="B7" s="19" t="inlineStr">
        <is>
          <t>Mum</t>
        </is>
      </c>
      <c r="C7" s="20" t="inlineStr">
        <is>
          <t>Cookbook</t>
        </is>
      </c>
      <c r="D7" s="20" t="inlineStr">
        <is>
          <t>Local bookshop</t>
        </is>
      </c>
      <c r="E7" s="21" t="n">
        <v>28</v>
      </c>
      <c r="F7" s="21" t="n">
        <v>28</v>
      </c>
      <c r="G7" s="22" t="inlineStr">
        <is>
          <t>x</t>
        </is>
      </c>
      <c r="H7" s="23" t="n"/>
      <c r="I7" s="22" t="n"/>
      <c r="J7" s="22" t="n"/>
      <c r="K7" s="11">
        <f>IF(AND(B7="",C7=""),"",IF(J7&lt;&gt;"","Wrapped",IF(I7&lt;&gt;"","To wrap",IF(AND(G7="",F7=""),"Idea",IF(H7="","To wrap",IF(H7&lt;TODAY(),"Late","On the way"))))))</f>
        <v/>
      </c>
      <c r="L7" s="1" t="n"/>
      <c r="M7">
        <f>IF(AND(B7="",C7=""),"",IF(OR(F7&lt;&gt;"",G7&lt;&gt;"",I7&lt;&gt;"",J7&lt;&gt;""),1,0))</f>
        <v/>
      </c>
      <c r="N7">
        <f>IF(M7="","",IF(M7=1,IF(F7&lt;&gt;"",N(F7),N(E7)),0))</f>
        <v/>
      </c>
      <c r="O7">
        <f>IF(M7="","",IF(M7=1,0,N(E7)))</f>
        <v/>
      </c>
      <c r="P7">
        <f>IF(OR(K7="On the way",K7="Late"),H7+ROW()/10000000,"")</f>
        <v/>
      </c>
    </row>
    <row r="8">
      <c r="A8" s="1" t="n"/>
      <c r="B8" s="19" t="inlineStr">
        <is>
          <t>Mum</t>
        </is>
      </c>
      <c r="C8" s="20" t="inlineStr">
        <is>
          <t>Bath set</t>
        </is>
      </c>
      <c r="D8" s="20" t="inlineStr">
        <is>
          <t>Online</t>
        </is>
      </c>
      <c r="E8" s="21" t="n">
        <v>25</v>
      </c>
      <c r="F8" s="21" t="n"/>
      <c r="G8" s="22" t="n"/>
      <c r="H8" s="23" t="n"/>
      <c r="I8" s="22" t="n"/>
      <c r="J8" s="22" t="n"/>
      <c r="K8" s="11">
        <f>IF(AND(B8="",C8=""),"",IF(J8&lt;&gt;"","Wrapped",IF(I8&lt;&gt;"","To wrap",IF(AND(G8="",F8=""),"Idea",IF(H8="","To wrap",IF(H8&lt;TODAY(),"Late","On the way"))))))</f>
        <v/>
      </c>
      <c r="L8" s="1" t="n"/>
      <c r="M8">
        <f>IF(AND(B8="",C8=""),"",IF(OR(F8&lt;&gt;"",G8&lt;&gt;"",I8&lt;&gt;"",J8&lt;&gt;""),1,0))</f>
        <v/>
      </c>
      <c r="N8">
        <f>IF(M8="","",IF(M8=1,IF(F8&lt;&gt;"",N(F8),N(E8)),0))</f>
        <v/>
      </c>
      <c r="O8">
        <f>IF(M8="","",IF(M8=1,0,N(E8)))</f>
        <v/>
      </c>
      <c r="P8">
        <f>IF(OR(K8="On the way",K8="Late"),H8+ROW()/10000000,"")</f>
        <v/>
      </c>
    </row>
    <row r="9">
      <c r="A9" s="1" t="n"/>
      <c r="B9" s="19" t="inlineStr">
        <is>
          <t>Dad</t>
        </is>
      </c>
      <c r="C9" s="20" t="inlineStr">
        <is>
          <t>Wireless headphones</t>
        </is>
      </c>
      <c r="D9" s="20" t="inlineStr">
        <is>
          <t>Online</t>
        </is>
      </c>
      <c r="E9" s="21" t="n">
        <v>90</v>
      </c>
      <c r="F9" s="21" t="n">
        <v>84</v>
      </c>
      <c r="G9" s="22" t="inlineStr">
        <is>
          <t>x</t>
        </is>
      </c>
      <c r="H9" s="23" t="n">
        <v>46298</v>
      </c>
      <c r="I9" s="22" t="n"/>
      <c r="J9" s="22" t="n"/>
      <c r="K9" s="11">
        <f>IF(AND(B9="",C9=""),"",IF(J9&lt;&gt;"","Wrapped",IF(I9&lt;&gt;"","To wrap",IF(AND(G9="",F9=""),"Idea",IF(H9="","To wrap",IF(H9&lt;TODAY(),"Late","On the way"))))))</f>
        <v/>
      </c>
      <c r="L9" s="1" t="n"/>
      <c r="M9">
        <f>IF(AND(B9="",C9=""),"",IF(OR(F9&lt;&gt;"",G9&lt;&gt;"",I9&lt;&gt;"",J9&lt;&gt;""),1,0))</f>
        <v/>
      </c>
      <c r="N9">
        <f>IF(M9="","",IF(M9=1,IF(F9&lt;&gt;"",N(F9),N(E9)),0))</f>
        <v/>
      </c>
      <c r="O9">
        <f>IF(M9="","",IF(M9=1,0,N(E9)))</f>
        <v/>
      </c>
      <c r="P9">
        <f>IF(OR(K9="On the way",K9="Late"),H9+ROW()/10000000,"")</f>
        <v/>
      </c>
    </row>
    <row r="10">
      <c r="A10" s="1" t="n"/>
      <c r="B10" s="19" t="inlineStr">
        <is>
          <t>Dad</t>
        </is>
      </c>
      <c r="C10" s="20" t="inlineStr">
        <is>
          <t>Coffee sampler</t>
        </is>
      </c>
      <c r="D10" s="20" t="inlineStr">
        <is>
          <t>Craft market</t>
        </is>
      </c>
      <c r="E10" s="21" t="n">
        <v>18</v>
      </c>
      <c r="F10" s="21" t="n"/>
      <c r="G10" s="22" t="n"/>
      <c r="H10" s="23" t="n"/>
      <c r="I10" s="22" t="n"/>
      <c r="J10" s="22" t="n"/>
      <c r="K10" s="11">
        <f>IF(AND(B10="",C10=""),"",IF(J10&lt;&gt;"","Wrapped",IF(I10&lt;&gt;"","To wrap",IF(AND(G10="",F10=""),"Idea",IF(H10="","To wrap",IF(H10&lt;TODAY(),"Late","On the way"))))))</f>
        <v/>
      </c>
      <c r="L10" s="1" t="n"/>
      <c r="M10">
        <f>IF(AND(B10="",C10=""),"",IF(OR(F10&lt;&gt;"",G10&lt;&gt;"",I10&lt;&gt;"",J10&lt;&gt;""),1,0))</f>
        <v/>
      </c>
      <c r="N10">
        <f>IF(M10="","",IF(M10=1,IF(F10&lt;&gt;"",N(F10),N(E10)),0))</f>
        <v/>
      </c>
      <c r="O10">
        <f>IF(M10="","",IF(M10=1,0,N(E10)))</f>
        <v/>
      </c>
      <c r="P10">
        <f>IF(OR(K10="On the way",K10="Late"),H10+ROW()/10000000,"")</f>
        <v/>
      </c>
    </row>
    <row r="11">
      <c r="A11" s="1" t="n"/>
      <c r="B11" s="19" t="inlineStr">
        <is>
          <t>Grandma</t>
        </is>
      </c>
      <c r="C11" s="20" t="inlineStr">
        <is>
          <t>Photo calendar</t>
        </is>
      </c>
      <c r="D11" s="20" t="inlineStr">
        <is>
          <t>Online</t>
        </is>
      </c>
      <c r="E11" s="21" t="n">
        <v>35</v>
      </c>
      <c r="F11" s="21" t="n">
        <v>32</v>
      </c>
      <c r="G11" s="22" t="inlineStr">
        <is>
          <t>x</t>
        </is>
      </c>
      <c r="H11" s="23" t="n">
        <v>46291</v>
      </c>
      <c r="I11" s="22" t="n"/>
      <c r="J11" s="22" t="n"/>
      <c r="K11" s="11">
        <f>IF(AND(B11="",C11=""),"",IF(J11&lt;&gt;"","Wrapped",IF(I11&lt;&gt;"","To wrap",IF(AND(G11="",F11=""),"Idea",IF(H11="","To wrap",IF(H11&lt;TODAY(),"Late","On the way"))))))</f>
        <v/>
      </c>
      <c r="L11" s="1" t="n"/>
      <c r="M11">
        <f>IF(AND(B11="",C11=""),"",IF(OR(F11&lt;&gt;"",G11&lt;&gt;"",I11&lt;&gt;"",J11&lt;&gt;""),1,0))</f>
        <v/>
      </c>
      <c r="N11">
        <f>IF(M11="","",IF(M11=1,IF(F11&lt;&gt;"",N(F11),N(E11)),0))</f>
        <v/>
      </c>
      <c r="O11">
        <f>IF(M11="","",IF(M11=1,0,N(E11)))</f>
        <v/>
      </c>
      <c r="P11">
        <f>IF(OR(K11="On the way",K11="Late"),H11+ROW()/10000000,"")</f>
        <v/>
      </c>
    </row>
    <row r="12">
      <c r="A12" s="1" t="n"/>
      <c r="B12" s="19" t="inlineStr">
        <is>
          <t>Grandma</t>
        </is>
      </c>
      <c r="C12" s="20" t="inlineStr">
        <is>
          <t>Warm slippers</t>
        </is>
      </c>
      <c r="D12" s="20" t="inlineStr">
        <is>
          <t>Department store</t>
        </is>
      </c>
      <c r="E12" s="21" t="n">
        <v>25</v>
      </c>
      <c r="F12" s="21" t="n"/>
      <c r="G12" s="22" t="n"/>
      <c r="H12" s="23" t="n"/>
      <c r="I12" s="22" t="n"/>
      <c r="J12" s="22" t="n"/>
      <c r="K12" s="11">
        <f>IF(AND(B12="",C12=""),"",IF(J12&lt;&gt;"","Wrapped",IF(I12&lt;&gt;"","To wrap",IF(AND(G12="",F12=""),"Idea",IF(H12="","To wrap",IF(H12&lt;TODAY(),"Late","On the way"))))))</f>
        <v/>
      </c>
      <c r="L12" s="1" t="n"/>
      <c r="M12">
        <f>IF(AND(B12="",C12=""),"",IF(OR(F12&lt;&gt;"",G12&lt;&gt;"",I12&lt;&gt;"",J12&lt;&gt;""),1,0))</f>
        <v/>
      </c>
      <c r="N12">
        <f>IF(M12="","",IF(M12=1,IF(F12&lt;&gt;"",N(F12),N(E12)),0))</f>
        <v/>
      </c>
      <c r="O12">
        <f>IF(M12="","",IF(M12=1,0,N(E12)))</f>
        <v/>
      </c>
      <c r="P12">
        <f>IF(OR(K12="On the way",K12="Late"),H12+ROW()/10000000,"")</f>
        <v/>
      </c>
    </row>
    <row r="13">
      <c r="A13" s="1" t="n"/>
      <c r="B13" s="19" t="inlineStr">
        <is>
          <t>Sam</t>
        </is>
      </c>
      <c r="C13" s="20" t="inlineStr">
        <is>
          <t>Board game</t>
        </is>
      </c>
      <c r="D13" s="20" t="inlineStr">
        <is>
          <t>Toy shop</t>
        </is>
      </c>
      <c r="E13" s="21" t="n">
        <v>45</v>
      </c>
      <c r="F13" s="21" t="n">
        <v>42</v>
      </c>
      <c r="G13" s="22" t="inlineStr">
        <is>
          <t>x</t>
        </is>
      </c>
      <c r="H13" s="23" t="n"/>
      <c r="I13" s="22" t="inlineStr">
        <is>
          <t>x</t>
        </is>
      </c>
      <c r="J13" s="22" t="inlineStr">
        <is>
          <t>x</t>
        </is>
      </c>
      <c r="K13" s="11">
        <f>IF(AND(B13="",C13=""),"",IF(J13&lt;&gt;"","Wrapped",IF(I13&lt;&gt;"","To wrap",IF(AND(G13="",F13=""),"Idea",IF(H13="","To wrap",IF(H13&lt;TODAY(),"Late","On the way"))))))</f>
        <v/>
      </c>
      <c r="L13" s="1" t="n"/>
      <c r="M13">
        <f>IF(AND(B13="",C13=""),"",IF(OR(F13&lt;&gt;"",G13&lt;&gt;"",I13&lt;&gt;"",J13&lt;&gt;""),1,0))</f>
        <v/>
      </c>
      <c r="N13">
        <f>IF(M13="","",IF(M13=1,IF(F13&lt;&gt;"",N(F13),N(E13)),0))</f>
        <v/>
      </c>
      <c r="O13">
        <f>IF(M13="","",IF(M13=1,0,N(E13)))</f>
        <v/>
      </c>
      <c r="P13">
        <f>IF(OR(K13="On the way",K13="Late"),H13+ROW()/10000000,"")</f>
        <v/>
      </c>
    </row>
    <row r="14">
      <c r="A14" s="1" t="n"/>
      <c r="B14" s="19" t="inlineStr">
        <is>
          <t>Sam</t>
        </is>
      </c>
      <c r="C14" s="20" t="inlineStr">
        <is>
          <t>Beanie hat</t>
        </is>
      </c>
      <c r="D14" s="20" t="n"/>
      <c r="E14" s="21" t="n">
        <v>20</v>
      </c>
      <c r="F14" s="21" t="n"/>
      <c r="G14" s="22" t="n"/>
      <c r="H14" s="23" t="n"/>
      <c r="I14" s="22" t="n"/>
      <c r="J14" s="22" t="n"/>
      <c r="K14" s="11">
        <f>IF(AND(B14="",C14=""),"",IF(J14&lt;&gt;"","Wrapped",IF(I14&lt;&gt;"","To wrap",IF(AND(G14="",F14=""),"Idea",IF(H14="","To wrap",IF(H14&lt;TODAY(),"Late","On the way"))))))</f>
        <v/>
      </c>
      <c r="L14" s="1" t="n"/>
      <c r="M14">
        <f>IF(AND(B14="",C14=""),"",IF(OR(F14&lt;&gt;"",G14&lt;&gt;"",I14&lt;&gt;"",J14&lt;&gt;""),1,0))</f>
        <v/>
      </c>
      <c r="N14">
        <f>IF(M14="","",IF(M14=1,IF(F14&lt;&gt;"",N(F14),N(E14)),0))</f>
        <v/>
      </c>
      <c r="O14">
        <f>IF(M14="","",IF(M14=1,0,N(E14)))</f>
        <v/>
      </c>
      <c r="P14">
        <f>IF(OR(K14="On the way",K14="Late"),H14+ROW()/10000000,"")</f>
        <v/>
      </c>
    </row>
    <row r="15">
      <c r="A15" s="1" t="n"/>
      <c r="B15" s="19" t="inlineStr">
        <is>
          <t>Lily</t>
        </is>
      </c>
      <c r="C15" s="20" t="inlineStr">
        <is>
          <t>Art set</t>
        </is>
      </c>
      <c r="D15" s="20" t="inlineStr">
        <is>
          <t>Craft shop</t>
        </is>
      </c>
      <c r="E15" s="21" t="n">
        <v>35</v>
      </c>
      <c r="F15" s="21" t="n">
        <v>35</v>
      </c>
      <c r="G15" s="22" t="inlineStr">
        <is>
          <t>x</t>
        </is>
      </c>
      <c r="H15" s="23" t="n"/>
      <c r="I15" s="22" t="n"/>
      <c r="J15" s="22" t="inlineStr">
        <is>
          <t>x</t>
        </is>
      </c>
      <c r="K15" s="11">
        <f>IF(AND(B15="",C15=""),"",IF(J15&lt;&gt;"","Wrapped",IF(I15&lt;&gt;"","To wrap",IF(AND(G15="",F15=""),"Idea",IF(H15="","To wrap",IF(H15&lt;TODAY(),"Late","On the way"))))))</f>
        <v/>
      </c>
      <c r="L15" s="1" t="n"/>
      <c r="M15">
        <f>IF(AND(B15="",C15=""),"",IF(OR(F15&lt;&gt;"",G15&lt;&gt;"",I15&lt;&gt;"",J15&lt;&gt;""),1,0))</f>
        <v/>
      </c>
      <c r="N15">
        <f>IF(M15="","",IF(M15=1,IF(F15&lt;&gt;"",N(F15),N(E15)),0))</f>
        <v/>
      </c>
      <c r="O15">
        <f>IF(M15="","",IF(M15=1,0,N(E15)))</f>
        <v/>
      </c>
      <c r="P15">
        <f>IF(OR(K15="On the way",K15="Late"),H15+ROW()/10000000,"")</f>
        <v/>
      </c>
    </row>
    <row r="16">
      <c r="A16" s="1" t="n"/>
      <c r="B16" s="19" t="inlineStr">
        <is>
          <t>Lily</t>
        </is>
      </c>
      <c r="C16" s="20" t="inlineStr">
        <is>
          <t>Storybook</t>
        </is>
      </c>
      <c r="D16" s="20" t="inlineStr">
        <is>
          <t>Local bookshop</t>
        </is>
      </c>
      <c r="E16" s="21" t="n">
        <v>15</v>
      </c>
      <c r="F16" s="21" t="n">
        <v>15</v>
      </c>
      <c r="G16" s="22" t="inlineStr">
        <is>
          <t>x</t>
        </is>
      </c>
      <c r="H16" s="23" t="n"/>
      <c r="I16" s="22" t="n"/>
      <c r="J16" s="22" t="n"/>
      <c r="K16" s="11">
        <f>IF(AND(B16="",C16=""),"",IF(J16&lt;&gt;"","Wrapped",IF(I16&lt;&gt;"","To wrap",IF(AND(G16="",F16=""),"Idea",IF(H16="","To wrap",IF(H16&lt;TODAY(),"Late","On the way"))))))</f>
        <v/>
      </c>
      <c r="L16" s="1" t="n"/>
      <c r="M16">
        <f>IF(AND(B16="",C16=""),"",IF(OR(F16&lt;&gt;"",G16&lt;&gt;"",I16&lt;&gt;"",J16&lt;&gt;""),1,0))</f>
        <v/>
      </c>
      <c r="N16">
        <f>IF(M16="","",IF(M16=1,IF(F16&lt;&gt;"",N(F16),N(E16)),0))</f>
        <v/>
      </c>
      <c r="O16">
        <f>IF(M16="","",IF(M16=1,0,N(E16)))</f>
        <v/>
      </c>
      <c r="P16">
        <f>IF(OR(K16="On the way",K16="Late"),H16+ROW()/10000000,"")</f>
        <v/>
      </c>
    </row>
    <row r="17">
      <c r="A17" s="1" t="n"/>
      <c r="B17" s="19" t="inlineStr">
        <is>
          <t>Lily</t>
        </is>
      </c>
      <c r="C17" s="20" t="inlineStr">
        <is>
          <t>Pyjamas</t>
        </is>
      </c>
      <c r="D17" s="20" t="n"/>
      <c r="E17" s="21" t="n">
        <v>20</v>
      </c>
      <c r="F17" s="21" t="n"/>
      <c r="G17" s="22" t="n"/>
      <c r="H17" s="23" t="n"/>
      <c r="I17" s="22" t="n"/>
      <c r="J17" s="22" t="n"/>
      <c r="K17" s="11">
        <f>IF(AND(B17="",C17=""),"",IF(J17&lt;&gt;"","Wrapped",IF(I17&lt;&gt;"","To wrap",IF(AND(G17="",F17=""),"Idea",IF(H17="","To wrap",IF(H17&lt;TODAY(),"Late","On the way"))))))</f>
        <v/>
      </c>
      <c r="L17" s="1" t="n"/>
      <c r="M17">
        <f>IF(AND(B17="",C17=""),"",IF(OR(F17&lt;&gt;"",G17&lt;&gt;"",I17&lt;&gt;"",J17&lt;&gt;""),1,0))</f>
        <v/>
      </c>
      <c r="N17">
        <f>IF(M17="","",IF(M17=1,IF(F17&lt;&gt;"",N(F17),N(E17)),0))</f>
        <v/>
      </c>
      <c r="O17">
        <f>IF(M17="","",IF(M17=1,0,N(E17)))</f>
        <v/>
      </c>
      <c r="P17">
        <f>IF(OR(K17="On the way",K17="Late"),H17+ROW()/10000000,"")</f>
        <v/>
      </c>
    </row>
    <row r="18">
      <c r="A18" s="1" t="n"/>
      <c r="B18" s="19" t="inlineStr">
        <is>
          <t>Noah</t>
        </is>
      </c>
      <c r="C18" s="20" t="inlineStr">
        <is>
          <t>Building blocks</t>
        </is>
      </c>
      <c r="D18" s="20" t="inlineStr">
        <is>
          <t>Toy shop</t>
        </is>
      </c>
      <c r="E18" s="21" t="n">
        <v>55</v>
      </c>
      <c r="F18" s="21" t="n">
        <v>49</v>
      </c>
      <c r="G18" s="22" t="inlineStr">
        <is>
          <t>x</t>
        </is>
      </c>
      <c r="H18" s="23" t="n">
        <v>46305</v>
      </c>
      <c r="I18" s="22" t="n"/>
      <c r="J18" s="22" t="n"/>
      <c r="K18" s="11">
        <f>IF(AND(B18="",C18=""),"",IF(J18&lt;&gt;"","Wrapped",IF(I18&lt;&gt;"","To wrap",IF(AND(G18="",F18=""),"Idea",IF(H18="","To wrap",IF(H18&lt;TODAY(),"Late","On the way"))))))</f>
        <v/>
      </c>
      <c r="L18" s="1" t="n"/>
      <c r="M18">
        <f>IF(AND(B18="",C18=""),"",IF(OR(F18&lt;&gt;"",G18&lt;&gt;"",I18&lt;&gt;"",J18&lt;&gt;""),1,0))</f>
        <v/>
      </c>
      <c r="N18">
        <f>IF(M18="","",IF(M18=1,IF(F18&lt;&gt;"",N(F18),N(E18)),0))</f>
        <v/>
      </c>
      <c r="O18">
        <f>IF(M18="","",IF(M18=1,0,N(E18)))</f>
        <v/>
      </c>
      <c r="P18">
        <f>IF(OR(K18="On the way",K18="Late"),H18+ROW()/10000000,"")</f>
        <v/>
      </c>
    </row>
    <row r="19">
      <c r="A19" s="1" t="n"/>
      <c r="B19" s="19" t="inlineStr">
        <is>
          <t>Noah</t>
        </is>
      </c>
      <c r="C19" s="20" t="inlineStr">
        <is>
          <t>Football</t>
        </is>
      </c>
      <c r="D19" s="20" t="inlineStr">
        <is>
          <t>Sports shop</t>
        </is>
      </c>
      <c r="E19" s="21" t="n">
        <v>15</v>
      </c>
      <c r="F19" s="21" t="n"/>
      <c r="G19" s="22" t="n"/>
      <c r="H19" s="23" t="n"/>
      <c r="I19" s="22" t="n"/>
      <c r="J19" s="22" t="n"/>
      <c r="K19" s="11">
        <f>IF(AND(B19="",C19=""),"",IF(J19&lt;&gt;"","Wrapped",IF(I19&lt;&gt;"","To wrap",IF(AND(G19="",F19=""),"Idea",IF(H19="","To wrap",IF(H19&lt;TODAY(),"Late","On the way"))))))</f>
        <v/>
      </c>
      <c r="L19" s="1" t="n"/>
      <c r="M19">
        <f>IF(AND(B19="",C19=""),"",IF(OR(F19&lt;&gt;"",G19&lt;&gt;"",I19&lt;&gt;"",J19&lt;&gt;""),1,0))</f>
        <v/>
      </c>
      <c r="N19">
        <f>IF(M19="","",IF(M19=1,IF(F19&lt;&gt;"",N(F19),N(E19)),0))</f>
        <v/>
      </c>
      <c r="O19">
        <f>IF(M19="","",IF(M19=1,0,N(E19)))</f>
        <v/>
      </c>
      <c r="P19">
        <f>IF(OR(K19="On the way",K19="Late"),H19+ROW()/10000000,"")</f>
        <v/>
      </c>
    </row>
    <row r="20">
      <c r="A20" s="1" t="n"/>
      <c r="B20" s="19" t="inlineStr">
        <is>
          <t>Aunt Rose</t>
        </is>
      </c>
      <c r="C20" s="20" t="inlineStr">
        <is>
          <t>Scented candle</t>
        </is>
      </c>
      <c r="D20" s="20" t="inlineStr">
        <is>
          <t>Craft market</t>
        </is>
      </c>
      <c r="E20" s="21" t="n">
        <v>22</v>
      </c>
      <c r="F20" s="21" t="n">
        <v>22</v>
      </c>
      <c r="G20" s="22" t="inlineStr">
        <is>
          <t>x</t>
        </is>
      </c>
      <c r="H20" s="23" t="n"/>
      <c r="I20" s="22" t="n"/>
      <c r="J20" s="22" t="n"/>
      <c r="K20" s="11">
        <f>IF(AND(B20="",C20=""),"",IF(J20&lt;&gt;"","Wrapped",IF(I20&lt;&gt;"","To wrap",IF(AND(G20="",F20=""),"Idea",IF(H20="","To wrap",IF(H20&lt;TODAY(),"Late","On the way"))))))</f>
        <v/>
      </c>
      <c r="L20" s="1" t="n"/>
      <c r="M20">
        <f>IF(AND(B20="",C20=""),"",IF(OR(F20&lt;&gt;"",G20&lt;&gt;"",I20&lt;&gt;"",J20&lt;&gt;""),1,0))</f>
        <v/>
      </c>
      <c r="N20">
        <f>IF(M20="","",IF(M20=1,IF(F20&lt;&gt;"",N(F20),N(E20)),0))</f>
        <v/>
      </c>
      <c r="O20">
        <f>IF(M20="","",IF(M20=1,0,N(E20)))</f>
        <v/>
      </c>
      <c r="P20">
        <f>IF(OR(K20="On the way",K20="Late"),H20+ROW()/10000000,"")</f>
        <v/>
      </c>
    </row>
    <row r="21">
      <c r="A21" s="1" t="n"/>
      <c r="B21" s="19" t="inlineStr">
        <is>
          <t>Priya</t>
        </is>
      </c>
      <c r="C21" s="20" t="inlineStr">
        <is>
          <t>Plant and pot</t>
        </is>
      </c>
      <c r="D21" s="20" t="inlineStr">
        <is>
          <t>Garden centre</t>
        </is>
      </c>
      <c r="E21" s="21" t="n">
        <v>30</v>
      </c>
      <c r="F21" s="21" t="n"/>
      <c r="G21" s="22" t="n"/>
      <c r="H21" s="23" t="n"/>
      <c r="I21" s="22" t="n"/>
      <c r="J21" s="22" t="n"/>
      <c r="K21" s="11">
        <f>IF(AND(B21="",C21=""),"",IF(J21&lt;&gt;"","Wrapped",IF(I21&lt;&gt;"","To wrap",IF(AND(G21="",F21=""),"Idea",IF(H21="","To wrap",IF(H21&lt;TODAY(),"Late","On the way"))))))</f>
        <v/>
      </c>
      <c r="L21" s="1" t="n"/>
      <c r="M21">
        <f>IF(AND(B21="",C21=""),"",IF(OR(F21&lt;&gt;"",G21&lt;&gt;"",I21&lt;&gt;"",J21&lt;&gt;""),1,0))</f>
        <v/>
      </c>
      <c r="N21">
        <f>IF(M21="","",IF(M21=1,IF(F21&lt;&gt;"",N(F21),N(E21)),0))</f>
        <v/>
      </c>
      <c r="O21">
        <f>IF(M21="","",IF(M21=1,0,N(E21)))</f>
        <v/>
      </c>
      <c r="P21">
        <f>IF(OR(K21="On the way",K21="Late"),H21+ROW()/10000000,"")</f>
        <v/>
      </c>
    </row>
    <row r="22">
      <c r="A22" s="1" t="n"/>
      <c r="B22" s="19" t="inlineStr">
        <is>
          <t>Tom</t>
        </is>
      </c>
      <c r="C22" s="20" t="inlineStr">
        <is>
          <t>Hot sauce set</t>
        </is>
      </c>
      <c r="D22" s="20" t="inlineStr">
        <is>
          <t>Online</t>
        </is>
      </c>
      <c r="E22" s="21" t="n">
        <v>28</v>
      </c>
      <c r="F22" s="21" t="n">
        <v>26</v>
      </c>
      <c r="G22" s="22" t="inlineStr">
        <is>
          <t>x</t>
        </is>
      </c>
      <c r="H22" s="23" t="n">
        <v>46296</v>
      </c>
      <c r="I22" s="22" t="n"/>
      <c r="J22" s="22" t="n"/>
      <c r="K22" s="11">
        <f>IF(AND(B22="",C22=""),"",IF(J22&lt;&gt;"","Wrapped",IF(I22&lt;&gt;"","To wrap",IF(AND(G22="",F22=""),"Idea",IF(H22="","To wrap",IF(H22&lt;TODAY(),"Late","On the way"))))))</f>
        <v/>
      </c>
      <c r="L22" s="1" t="n"/>
      <c r="M22">
        <f>IF(AND(B22="",C22=""),"",IF(OR(F22&lt;&gt;"",G22&lt;&gt;"",I22&lt;&gt;"",J22&lt;&gt;""),1,0))</f>
        <v/>
      </c>
      <c r="N22">
        <f>IF(M22="","",IF(M22=1,IF(F22&lt;&gt;"",N(F22),N(E22)),0))</f>
        <v/>
      </c>
      <c r="O22">
        <f>IF(M22="","",IF(M22=1,0,N(E22)))</f>
        <v/>
      </c>
      <c r="P22">
        <f>IF(OR(K22="On the way",K22="Late"),H22+ROW()/10000000,"")</f>
        <v/>
      </c>
    </row>
    <row r="23">
      <c r="A23" s="1" t="n"/>
      <c r="B23" s="19" t="inlineStr">
        <is>
          <t>Secret Santa</t>
        </is>
      </c>
      <c r="C23" s="20" t="inlineStr">
        <is>
          <t>Mug and cocoa</t>
        </is>
      </c>
      <c r="D23" s="20" t="n"/>
      <c r="E23" s="21" t="n">
        <v>15</v>
      </c>
      <c r="F23" s="21" t="n"/>
      <c r="G23" s="22" t="n"/>
      <c r="H23" s="23" t="n"/>
      <c r="I23" s="22" t="n"/>
      <c r="J23" s="22" t="n"/>
      <c r="K23" s="11">
        <f>IF(AND(B23="",C23=""),"",IF(J23&lt;&gt;"","Wrapped",IF(I23&lt;&gt;"","To wrap",IF(AND(G23="",F23=""),"Idea",IF(H23="","To wrap",IF(H23&lt;TODAY(),"Late","On the way"))))))</f>
        <v/>
      </c>
      <c r="L23" s="1" t="n"/>
      <c r="M23">
        <f>IF(AND(B23="",C23=""),"",IF(OR(F23&lt;&gt;"",G23&lt;&gt;"",I23&lt;&gt;"",J23&lt;&gt;""),1,0))</f>
        <v/>
      </c>
      <c r="N23">
        <f>IF(M23="","",IF(M23=1,IF(F23&lt;&gt;"",N(F23),N(E23)),0))</f>
        <v/>
      </c>
      <c r="O23">
        <f>IF(M23="","",IF(M23=1,0,N(E23)))</f>
        <v/>
      </c>
      <c r="P23">
        <f>IF(OR(K23="On the way",K23="Late"),H23+ROW()/10000000,"")</f>
        <v/>
      </c>
    </row>
    <row r="24">
      <c r="A24" s="1" t="n"/>
      <c r="B24" s="19" t="inlineStr">
        <is>
          <t>Lily's teacher</t>
        </is>
      </c>
      <c r="C24" s="20" t="inlineStr">
        <is>
          <t>Card and chocolates</t>
        </is>
      </c>
      <c r="D24" s="20" t="n"/>
      <c r="E24" s="21" t="n">
        <v>12</v>
      </c>
      <c r="F24" s="21" t="n"/>
      <c r="G24" s="22" t="n"/>
      <c r="H24" s="23" t="n"/>
      <c r="I24" s="22" t="n"/>
      <c r="J24" s="22" t="n"/>
      <c r="K24" s="11">
        <f>IF(AND(B24="",C24=""),"",IF(J24&lt;&gt;"","Wrapped",IF(I24&lt;&gt;"","To wrap",IF(AND(G24="",F24=""),"Idea",IF(H24="","To wrap",IF(H24&lt;TODAY(),"Late","On the way"))))))</f>
        <v/>
      </c>
      <c r="L24" s="1" t="n"/>
      <c r="M24">
        <f>IF(AND(B24="",C24=""),"",IF(OR(F24&lt;&gt;"",G24&lt;&gt;"",I24&lt;&gt;"",J24&lt;&gt;""),1,0))</f>
        <v/>
      </c>
      <c r="N24">
        <f>IF(M24="","",IF(M24=1,IF(F24&lt;&gt;"",N(F24),N(E24)),0))</f>
        <v/>
      </c>
      <c r="O24">
        <f>IF(M24="","",IF(M24=1,0,N(E24)))</f>
        <v/>
      </c>
      <c r="P24">
        <f>IF(OR(K24="On the way",K24="Late"),H24+ROW()/10000000,"")</f>
        <v/>
      </c>
    </row>
    <row r="25">
      <c r="A25" s="1" t="n"/>
      <c r="B25" s="19" t="inlineStr">
        <is>
          <t>Neighbours</t>
        </is>
      </c>
      <c r="C25" s="20" t="inlineStr">
        <is>
          <t>Mince pies</t>
        </is>
      </c>
      <c r="D25" s="20" t="inlineStr">
        <is>
          <t>Bakery</t>
        </is>
      </c>
      <c r="E25" s="21" t="n">
        <v>10</v>
      </c>
      <c r="F25" s="21" t="n"/>
      <c r="G25" s="22" t="n"/>
      <c r="H25" s="23" t="n"/>
      <c r="I25" s="22" t="n"/>
      <c r="J25" s="22" t="n"/>
      <c r="K25" s="11">
        <f>IF(AND(B25="",C25=""),"",IF(J25&lt;&gt;"","Wrapped",IF(I25&lt;&gt;"","To wrap",IF(AND(G25="",F25=""),"Idea",IF(H25="","To wrap",IF(H25&lt;TODAY(),"Late","On the way"))))))</f>
        <v/>
      </c>
      <c r="L25" s="1" t="n"/>
      <c r="M25">
        <f>IF(AND(B25="",C25=""),"",IF(OR(F25&lt;&gt;"",G25&lt;&gt;"",I25&lt;&gt;"",J25&lt;&gt;""),1,0))</f>
        <v/>
      </c>
      <c r="N25">
        <f>IF(M25="","",IF(M25=1,IF(F25&lt;&gt;"",N(F25),N(E25)),0))</f>
        <v/>
      </c>
      <c r="O25">
        <f>IF(M25="","",IF(M25=1,0,N(E25)))</f>
        <v/>
      </c>
      <c r="P25">
        <f>IF(OR(K25="On the way",K25="Late"),H25+ROW()/10000000,"")</f>
        <v/>
      </c>
    </row>
    <row r="26">
      <c r="A26" s="1" t="n"/>
      <c r="B26" s="19" t="n"/>
      <c r="C26" s="20" t="n"/>
      <c r="D26" s="20" t="n"/>
      <c r="E26" s="21" t="n"/>
      <c r="F26" s="21" t="n"/>
      <c r="G26" s="22" t="n"/>
      <c r="H26" s="23" t="n"/>
      <c r="I26" s="22" t="n"/>
      <c r="J26" s="22" t="n"/>
      <c r="K26" s="11">
        <f>IF(AND(B26="",C26=""),"",IF(J26&lt;&gt;"","Wrapped",IF(I26&lt;&gt;"","To wrap",IF(AND(G26="",F26=""),"Idea",IF(H26="","To wrap",IF(H26&lt;TODAY(),"Late","On the way"))))))</f>
        <v/>
      </c>
      <c r="L26" s="1" t="n"/>
      <c r="M26">
        <f>IF(AND(B26="",C26=""),"",IF(OR(F26&lt;&gt;"",G26&lt;&gt;"",I26&lt;&gt;"",J26&lt;&gt;""),1,0))</f>
        <v/>
      </c>
      <c r="N26">
        <f>IF(M26="","",IF(M26=1,IF(F26&lt;&gt;"",N(F26),N(E26)),0))</f>
        <v/>
      </c>
      <c r="O26">
        <f>IF(M26="","",IF(M26=1,0,N(E26)))</f>
        <v/>
      </c>
      <c r="P26">
        <f>IF(OR(K26="On the way",K26="Late"),H26+ROW()/10000000,"")</f>
        <v/>
      </c>
    </row>
    <row r="27">
      <c r="A27" s="1" t="n"/>
      <c r="B27" s="19" t="n"/>
      <c r="C27" s="20" t="n"/>
      <c r="D27" s="20" t="n"/>
      <c r="E27" s="21" t="n"/>
      <c r="F27" s="21" t="n"/>
      <c r="G27" s="22" t="n"/>
      <c r="H27" s="23" t="n"/>
      <c r="I27" s="22" t="n"/>
      <c r="J27" s="22" t="n"/>
      <c r="K27" s="11">
        <f>IF(AND(B27="",C27=""),"",IF(J27&lt;&gt;"","Wrapped",IF(I27&lt;&gt;"","To wrap",IF(AND(G27="",F27=""),"Idea",IF(H27="","To wrap",IF(H27&lt;TODAY(),"Late","On the way"))))))</f>
        <v/>
      </c>
      <c r="L27" s="1" t="n"/>
      <c r="M27">
        <f>IF(AND(B27="",C27=""),"",IF(OR(F27&lt;&gt;"",G27&lt;&gt;"",I27&lt;&gt;"",J27&lt;&gt;""),1,0))</f>
        <v/>
      </c>
      <c r="N27">
        <f>IF(M27="","",IF(M27=1,IF(F27&lt;&gt;"",N(F27),N(E27)),0))</f>
        <v/>
      </c>
      <c r="O27">
        <f>IF(M27="","",IF(M27=1,0,N(E27)))</f>
        <v/>
      </c>
      <c r="P27">
        <f>IF(OR(K27="On the way",K27="Late"),H27+ROW()/10000000,"")</f>
        <v/>
      </c>
    </row>
    <row r="28">
      <c r="A28" s="1" t="n"/>
      <c r="B28" s="19" t="n"/>
      <c r="C28" s="20" t="n"/>
      <c r="D28" s="20" t="n"/>
      <c r="E28" s="21" t="n"/>
      <c r="F28" s="21" t="n"/>
      <c r="G28" s="22" t="n"/>
      <c r="H28" s="23" t="n"/>
      <c r="I28" s="22" t="n"/>
      <c r="J28" s="22" t="n"/>
      <c r="K28" s="11">
        <f>IF(AND(B28="",C28=""),"",IF(J28&lt;&gt;"","Wrapped",IF(I28&lt;&gt;"","To wrap",IF(AND(G28="",F28=""),"Idea",IF(H28="","To wrap",IF(H28&lt;TODAY(),"Late","On the way"))))))</f>
        <v/>
      </c>
      <c r="L28" s="1" t="n"/>
      <c r="M28">
        <f>IF(AND(B28="",C28=""),"",IF(OR(F28&lt;&gt;"",G28&lt;&gt;"",I28&lt;&gt;"",J28&lt;&gt;""),1,0))</f>
        <v/>
      </c>
      <c r="N28">
        <f>IF(M28="","",IF(M28=1,IF(F28&lt;&gt;"",N(F28),N(E28)),0))</f>
        <v/>
      </c>
      <c r="O28">
        <f>IF(M28="","",IF(M28=1,0,N(E28)))</f>
        <v/>
      </c>
      <c r="P28">
        <f>IF(OR(K28="On the way",K28="Late"),H28+ROW()/10000000,"")</f>
        <v/>
      </c>
    </row>
    <row r="29">
      <c r="A29" s="1" t="n"/>
      <c r="B29" s="19" t="n"/>
      <c r="C29" s="20" t="n"/>
      <c r="D29" s="20" t="n"/>
      <c r="E29" s="21" t="n"/>
      <c r="F29" s="21" t="n"/>
      <c r="G29" s="22" t="n"/>
      <c r="H29" s="23" t="n"/>
      <c r="I29" s="22" t="n"/>
      <c r="J29" s="22" t="n"/>
      <c r="K29" s="11">
        <f>IF(AND(B29="",C29=""),"",IF(J29&lt;&gt;"","Wrapped",IF(I29&lt;&gt;"","To wrap",IF(AND(G29="",F29=""),"Idea",IF(H29="","To wrap",IF(H29&lt;TODAY(),"Late","On the way"))))))</f>
        <v/>
      </c>
      <c r="L29" s="1" t="n"/>
      <c r="M29">
        <f>IF(AND(B29="",C29=""),"",IF(OR(F29&lt;&gt;"",G29&lt;&gt;"",I29&lt;&gt;"",J29&lt;&gt;""),1,0))</f>
        <v/>
      </c>
      <c r="N29">
        <f>IF(M29="","",IF(M29=1,IF(F29&lt;&gt;"",N(F29),N(E29)),0))</f>
        <v/>
      </c>
      <c r="O29">
        <f>IF(M29="","",IF(M29=1,0,N(E29)))</f>
        <v/>
      </c>
      <c r="P29">
        <f>IF(OR(K29="On the way",K29="Late"),H29+ROW()/10000000,"")</f>
        <v/>
      </c>
    </row>
    <row r="30">
      <c r="A30" s="1" t="n"/>
      <c r="B30" s="19" t="n"/>
      <c r="C30" s="20" t="n"/>
      <c r="D30" s="20" t="n"/>
      <c r="E30" s="21" t="n"/>
      <c r="F30" s="21" t="n"/>
      <c r="G30" s="22" t="n"/>
      <c r="H30" s="23" t="n"/>
      <c r="I30" s="22" t="n"/>
      <c r="J30" s="22" t="n"/>
      <c r="K30" s="11">
        <f>IF(AND(B30="",C30=""),"",IF(J30&lt;&gt;"","Wrapped",IF(I30&lt;&gt;"","To wrap",IF(AND(G30="",F30=""),"Idea",IF(H30="","To wrap",IF(H30&lt;TODAY(),"Late","On the way"))))))</f>
        <v/>
      </c>
      <c r="L30" s="1" t="n"/>
      <c r="M30">
        <f>IF(AND(B30="",C30=""),"",IF(OR(F30&lt;&gt;"",G30&lt;&gt;"",I30&lt;&gt;"",J30&lt;&gt;""),1,0))</f>
        <v/>
      </c>
      <c r="N30">
        <f>IF(M30="","",IF(M30=1,IF(F30&lt;&gt;"",N(F30),N(E30)),0))</f>
        <v/>
      </c>
      <c r="O30">
        <f>IF(M30="","",IF(M30=1,0,N(E30)))</f>
        <v/>
      </c>
      <c r="P30">
        <f>IF(OR(K30="On the way",K30="Late"),H30+ROW()/10000000,"")</f>
        <v/>
      </c>
    </row>
    <row r="31">
      <c r="A31" s="1" t="n"/>
      <c r="B31" s="19" t="n"/>
      <c r="C31" s="20" t="n"/>
      <c r="D31" s="20" t="n"/>
      <c r="E31" s="21" t="n"/>
      <c r="F31" s="21" t="n"/>
      <c r="G31" s="22" t="n"/>
      <c r="H31" s="23" t="n"/>
      <c r="I31" s="22" t="n"/>
      <c r="J31" s="22" t="n"/>
      <c r="K31" s="11">
        <f>IF(AND(B31="",C31=""),"",IF(J31&lt;&gt;"","Wrapped",IF(I31&lt;&gt;"","To wrap",IF(AND(G31="",F31=""),"Idea",IF(H31="","To wrap",IF(H31&lt;TODAY(),"Late","On the way"))))))</f>
        <v/>
      </c>
      <c r="L31" s="1" t="n"/>
      <c r="M31">
        <f>IF(AND(B31="",C31=""),"",IF(OR(F31&lt;&gt;"",G31&lt;&gt;"",I31&lt;&gt;"",J31&lt;&gt;""),1,0))</f>
        <v/>
      </c>
      <c r="N31">
        <f>IF(M31="","",IF(M31=1,IF(F31&lt;&gt;"",N(F31),N(E31)),0))</f>
        <v/>
      </c>
      <c r="O31">
        <f>IF(M31="","",IF(M31=1,0,N(E31)))</f>
        <v/>
      </c>
      <c r="P31">
        <f>IF(OR(K31="On the way",K31="Late"),H31+ROW()/10000000,"")</f>
        <v/>
      </c>
    </row>
    <row r="32">
      <c r="A32" s="1" t="n"/>
      <c r="B32" s="19" t="n"/>
      <c r="C32" s="20" t="n"/>
      <c r="D32" s="20" t="n"/>
      <c r="E32" s="21" t="n"/>
      <c r="F32" s="21" t="n"/>
      <c r="G32" s="22" t="n"/>
      <c r="H32" s="23" t="n"/>
      <c r="I32" s="22" t="n"/>
      <c r="J32" s="22" t="n"/>
      <c r="K32" s="11">
        <f>IF(AND(B32="",C32=""),"",IF(J32&lt;&gt;"","Wrapped",IF(I32&lt;&gt;"","To wrap",IF(AND(G32="",F32=""),"Idea",IF(H32="","To wrap",IF(H32&lt;TODAY(),"Late","On the way"))))))</f>
        <v/>
      </c>
      <c r="L32" s="1" t="n"/>
      <c r="M32">
        <f>IF(AND(B32="",C32=""),"",IF(OR(F32&lt;&gt;"",G32&lt;&gt;"",I32&lt;&gt;"",J32&lt;&gt;""),1,0))</f>
        <v/>
      </c>
      <c r="N32">
        <f>IF(M32="","",IF(M32=1,IF(F32&lt;&gt;"",N(F32),N(E32)),0))</f>
        <v/>
      </c>
      <c r="O32">
        <f>IF(M32="","",IF(M32=1,0,N(E32)))</f>
        <v/>
      </c>
      <c r="P32">
        <f>IF(OR(K32="On the way",K32="Late"),H32+ROW()/10000000,"")</f>
        <v/>
      </c>
    </row>
    <row r="33">
      <c r="A33" s="1" t="n"/>
      <c r="B33" s="19" t="n"/>
      <c r="C33" s="20" t="n"/>
      <c r="D33" s="20" t="n"/>
      <c r="E33" s="21" t="n"/>
      <c r="F33" s="21" t="n"/>
      <c r="G33" s="22" t="n"/>
      <c r="H33" s="23" t="n"/>
      <c r="I33" s="22" t="n"/>
      <c r="J33" s="22" t="n"/>
      <c r="K33" s="11">
        <f>IF(AND(B33="",C33=""),"",IF(J33&lt;&gt;"","Wrapped",IF(I33&lt;&gt;"","To wrap",IF(AND(G33="",F33=""),"Idea",IF(H33="","To wrap",IF(H33&lt;TODAY(),"Late","On the way"))))))</f>
        <v/>
      </c>
      <c r="L33" s="1" t="n"/>
      <c r="M33">
        <f>IF(AND(B33="",C33=""),"",IF(OR(F33&lt;&gt;"",G33&lt;&gt;"",I33&lt;&gt;"",J33&lt;&gt;""),1,0))</f>
        <v/>
      </c>
      <c r="N33">
        <f>IF(M33="","",IF(M33=1,IF(F33&lt;&gt;"",N(F33),N(E33)),0))</f>
        <v/>
      </c>
      <c r="O33">
        <f>IF(M33="","",IF(M33=1,0,N(E33)))</f>
        <v/>
      </c>
      <c r="P33">
        <f>IF(OR(K33="On the way",K33="Late"),H33+ROW()/10000000,"")</f>
        <v/>
      </c>
    </row>
    <row r="34">
      <c r="A34" s="1" t="n"/>
      <c r="B34" s="19" t="n"/>
      <c r="C34" s="20" t="n"/>
      <c r="D34" s="20" t="n"/>
      <c r="E34" s="21" t="n"/>
      <c r="F34" s="21" t="n"/>
      <c r="G34" s="22" t="n"/>
      <c r="H34" s="23" t="n"/>
      <c r="I34" s="22" t="n"/>
      <c r="J34" s="22" t="n"/>
      <c r="K34" s="11">
        <f>IF(AND(B34="",C34=""),"",IF(J34&lt;&gt;"","Wrapped",IF(I34&lt;&gt;"","To wrap",IF(AND(G34="",F34=""),"Idea",IF(H34="","To wrap",IF(H34&lt;TODAY(),"Late","On the way"))))))</f>
        <v/>
      </c>
      <c r="L34" s="1" t="n"/>
      <c r="M34">
        <f>IF(AND(B34="",C34=""),"",IF(OR(F34&lt;&gt;"",G34&lt;&gt;"",I34&lt;&gt;"",J34&lt;&gt;""),1,0))</f>
        <v/>
      </c>
      <c r="N34">
        <f>IF(M34="","",IF(M34=1,IF(F34&lt;&gt;"",N(F34),N(E34)),0))</f>
        <v/>
      </c>
      <c r="O34">
        <f>IF(M34="","",IF(M34=1,0,N(E34)))</f>
        <v/>
      </c>
      <c r="P34">
        <f>IF(OR(K34="On the way",K34="Late"),H34+ROW()/10000000,"")</f>
        <v/>
      </c>
    </row>
    <row r="35">
      <c r="A35" s="1" t="n"/>
      <c r="B35" s="19" t="n"/>
      <c r="C35" s="20" t="n"/>
      <c r="D35" s="20" t="n"/>
      <c r="E35" s="21" t="n"/>
      <c r="F35" s="21" t="n"/>
      <c r="G35" s="22" t="n"/>
      <c r="H35" s="23" t="n"/>
      <c r="I35" s="22" t="n"/>
      <c r="J35" s="22" t="n"/>
      <c r="K35" s="11">
        <f>IF(AND(B35="",C35=""),"",IF(J35&lt;&gt;"","Wrapped",IF(I35&lt;&gt;"","To wrap",IF(AND(G35="",F35=""),"Idea",IF(H35="","To wrap",IF(H35&lt;TODAY(),"Late","On the way"))))))</f>
        <v/>
      </c>
      <c r="L35" s="1" t="n"/>
      <c r="M35">
        <f>IF(AND(B35="",C35=""),"",IF(OR(F35&lt;&gt;"",G35&lt;&gt;"",I35&lt;&gt;"",J35&lt;&gt;""),1,0))</f>
        <v/>
      </c>
      <c r="N35">
        <f>IF(M35="","",IF(M35=1,IF(F35&lt;&gt;"",N(F35),N(E35)),0))</f>
        <v/>
      </c>
      <c r="O35">
        <f>IF(M35="","",IF(M35=1,0,N(E35)))</f>
        <v/>
      </c>
      <c r="P35">
        <f>IF(OR(K35="On the way",K35="Late"),H35+ROW()/10000000,"")</f>
        <v/>
      </c>
    </row>
    <row r="36">
      <c r="A36" s="1" t="n"/>
      <c r="B36" s="19" t="n"/>
      <c r="C36" s="20" t="n"/>
      <c r="D36" s="20" t="n"/>
      <c r="E36" s="21" t="n"/>
      <c r="F36" s="21" t="n"/>
      <c r="G36" s="22" t="n"/>
      <c r="H36" s="23" t="n"/>
      <c r="I36" s="22" t="n"/>
      <c r="J36" s="22" t="n"/>
      <c r="K36" s="11">
        <f>IF(AND(B36="",C36=""),"",IF(J36&lt;&gt;"","Wrapped",IF(I36&lt;&gt;"","To wrap",IF(AND(G36="",F36=""),"Idea",IF(H36="","To wrap",IF(H36&lt;TODAY(),"Late","On the way"))))))</f>
        <v/>
      </c>
      <c r="L36" s="1" t="n"/>
      <c r="M36">
        <f>IF(AND(B36="",C36=""),"",IF(OR(F36&lt;&gt;"",G36&lt;&gt;"",I36&lt;&gt;"",J36&lt;&gt;""),1,0))</f>
        <v/>
      </c>
      <c r="N36">
        <f>IF(M36="","",IF(M36=1,IF(F36&lt;&gt;"",N(F36),N(E36)),0))</f>
        <v/>
      </c>
      <c r="O36">
        <f>IF(M36="","",IF(M36=1,0,N(E36)))</f>
        <v/>
      </c>
      <c r="P36">
        <f>IF(OR(K36="On the way",K36="Late"),H36+ROW()/10000000,"")</f>
        <v/>
      </c>
    </row>
    <row r="37">
      <c r="A37" s="1" t="n"/>
      <c r="B37" s="19" t="n"/>
      <c r="C37" s="20" t="n"/>
      <c r="D37" s="20" t="n"/>
      <c r="E37" s="21" t="n"/>
      <c r="F37" s="21" t="n"/>
      <c r="G37" s="22" t="n"/>
      <c r="H37" s="23" t="n"/>
      <c r="I37" s="22" t="n"/>
      <c r="J37" s="22" t="n"/>
      <c r="K37" s="11">
        <f>IF(AND(B37="",C37=""),"",IF(J37&lt;&gt;"","Wrapped",IF(I37&lt;&gt;"","To wrap",IF(AND(G37="",F37=""),"Idea",IF(H37="","To wrap",IF(H37&lt;TODAY(),"Late","On the way"))))))</f>
        <v/>
      </c>
      <c r="L37" s="1" t="n"/>
      <c r="M37">
        <f>IF(AND(B37="",C37=""),"",IF(OR(F37&lt;&gt;"",G37&lt;&gt;"",I37&lt;&gt;"",J37&lt;&gt;""),1,0))</f>
        <v/>
      </c>
      <c r="N37">
        <f>IF(M37="","",IF(M37=1,IF(F37&lt;&gt;"",N(F37),N(E37)),0))</f>
        <v/>
      </c>
      <c r="O37">
        <f>IF(M37="","",IF(M37=1,0,N(E37)))</f>
        <v/>
      </c>
      <c r="P37">
        <f>IF(OR(K37="On the way",K37="Late"),H37+ROW()/10000000,"")</f>
        <v/>
      </c>
    </row>
    <row r="38">
      <c r="A38" s="1" t="n"/>
      <c r="B38" s="19" t="n"/>
      <c r="C38" s="20" t="n"/>
      <c r="D38" s="20" t="n"/>
      <c r="E38" s="21" t="n"/>
      <c r="F38" s="21" t="n"/>
      <c r="G38" s="22" t="n"/>
      <c r="H38" s="23" t="n"/>
      <c r="I38" s="22" t="n"/>
      <c r="J38" s="22" t="n"/>
      <c r="K38" s="11">
        <f>IF(AND(B38="",C38=""),"",IF(J38&lt;&gt;"","Wrapped",IF(I38&lt;&gt;"","To wrap",IF(AND(G38="",F38=""),"Idea",IF(H38="","To wrap",IF(H38&lt;TODAY(),"Late","On the way"))))))</f>
        <v/>
      </c>
      <c r="L38" s="1" t="n"/>
      <c r="M38">
        <f>IF(AND(B38="",C38=""),"",IF(OR(F38&lt;&gt;"",G38&lt;&gt;"",I38&lt;&gt;"",J38&lt;&gt;""),1,0))</f>
        <v/>
      </c>
      <c r="N38">
        <f>IF(M38="","",IF(M38=1,IF(F38&lt;&gt;"",N(F38),N(E38)),0))</f>
        <v/>
      </c>
      <c r="O38">
        <f>IF(M38="","",IF(M38=1,0,N(E38)))</f>
        <v/>
      </c>
      <c r="P38">
        <f>IF(OR(K38="On the way",K38="Late"),H38+ROW()/10000000,"")</f>
        <v/>
      </c>
    </row>
    <row r="39">
      <c r="A39" s="1" t="n"/>
      <c r="B39" s="19" t="n"/>
      <c r="C39" s="20" t="n"/>
      <c r="D39" s="20" t="n"/>
      <c r="E39" s="21" t="n"/>
      <c r="F39" s="21" t="n"/>
      <c r="G39" s="22" t="n"/>
      <c r="H39" s="23" t="n"/>
      <c r="I39" s="22" t="n"/>
      <c r="J39" s="22" t="n"/>
      <c r="K39" s="11">
        <f>IF(AND(B39="",C39=""),"",IF(J39&lt;&gt;"","Wrapped",IF(I39&lt;&gt;"","To wrap",IF(AND(G39="",F39=""),"Idea",IF(H39="","To wrap",IF(H39&lt;TODAY(),"Late","On the way"))))))</f>
        <v/>
      </c>
      <c r="L39" s="1" t="n"/>
      <c r="M39">
        <f>IF(AND(B39="",C39=""),"",IF(OR(F39&lt;&gt;"",G39&lt;&gt;"",I39&lt;&gt;"",J39&lt;&gt;""),1,0))</f>
        <v/>
      </c>
      <c r="N39">
        <f>IF(M39="","",IF(M39=1,IF(F39&lt;&gt;"",N(F39),N(E39)),0))</f>
        <v/>
      </c>
      <c r="O39">
        <f>IF(M39="","",IF(M39=1,0,N(E39)))</f>
        <v/>
      </c>
      <c r="P39">
        <f>IF(OR(K39="On the way",K39="Late"),H39+ROW()/10000000,"")</f>
        <v/>
      </c>
    </row>
    <row r="40">
      <c r="A40" s="1" t="n"/>
      <c r="B40" s="19" t="n"/>
      <c r="C40" s="20" t="n"/>
      <c r="D40" s="20" t="n"/>
      <c r="E40" s="21" t="n"/>
      <c r="F40" s="21" t="n"/>
      <c r="G40" s="22" t="n"/>
      <c r="H40" s="23" t="n"/>
      <c r="I40" s="22" t="n"/>
      <c r="J40" s="22" t="n"/>
      <c r="K40" s="11">
        <f>IF(AND(B40="",C40=""),"",IF(J40&lt;&gt;"","Wrapped",IF(I40&lt;&gt;"","To wrap",IF(AND(G40="",F40=""),"Idea",IF(H40="","To wrap",IF(H40&lt;TODAY(),"Late","On the way"))))))</f>
        <v/>
      </c>
      <c r="L40" s="1" t="n"/>
      <c r="M40">
        <f>IF(AND(B40="",C40=""),"",IF(OR(F40&lt;&gt;"",G40&lt;&gt;"",I40&lt;&gt;"",J40&lt;&gt;""),1,0))</f>
        <v/>
      </c>
      <c r="N40">
        <f>IF(M40="","",IF(M40=1,IF(F40&lt;&gt;"",N(F40),N(E40)),0))</f>
        <v/>
      </c>
      <c r="O40">
        <f>IF(M40="","",IF(M40=1,0,N(E40)))</f>
        <v/>
      </c>
      <c r="P40">
        <f>IF(OR(K40="On the way",K40="Late"),H40+ROW()/10000000,"")</f>
        <v/>
      </c>
    </row>
    <row r="41">
      <c r="A41" s="1" t="n"/>
      <c r="B41" s="19" t="n"/>
      <c r="C41" s="20" t="n"/>
      <c r="D41" s="20" t="n"/>
      <c r="E41" s="21" t="n"/>
      <c r="F41" s="21" t="n"/>
      <c r="G41" s="22" t="n"/>
      <c r="H41" s="23" t="n"/>
      <c r="I41" s="22" t="n"/>
      <c r="J41" s="22" t="n"/>
      <c r="K41" s="11">
        <f>IF(AND(B41="",C41=""),"",IF(J41&lt;&gt;"","Wrapped",IF(I41&lt;&gt;"","To wrap",IF(AND(G41="",F41=""),"Idea",IF(H41="","To wrap",IF(H41&lt;TODAY(),"Late","On the way"))))))</f>
        <v/>
      </c>
      <c r="L41" s="1" t="n"/>
      <c r="M41">
        <f>IF(AND(B41="",C41=""),"",IF(OR(F41&lt;&gt;"",G41&lt;&gt;"",I41&lt;&gt;"",J41&lt;&gt;""),1,0))</f>
        <v/>
      </c>
      <c r="N41">
        <f>IF(M41="","",IF(M41=1,IF(F41&lt;&gt;"",N(F41),N(E41)),0))</f>
        <v/>
      </c>
      <c r="O41">
        <f>IF(M41="","",IF(M41=1,0,N(E41)))</f>
        <v/>
      </c>
      <c r="P41">
        <f>IF(OR(K41="On the way",K41="Late"),H41+ROW()/10000000,"")</f>
        <v/>
      </c>
    </row>
    <row r="42">
      <c r="A42" s="1" t="n"/>
      <c r="B42" s="19" t="n"/>
      <c r="C42" s="20" t="n"/>
      <c r="D42" s="20" t="n"/>
      <c r="E42" s="21" t="n"/>
      <c r="F42" s="21" t="n"/>
      <c r="G42" s="22" t="n"/>
      <c r="H42" s="23" t="n"/>
      <c r="I42" s="22" t="n"/>
      <c r="J42" s="22" t="n"/>
      <c r="K42" s="11">
        <f>IF(AND(B42="",C42=""),"",IF(J42&lt;&gt;"","Wrapped",IF(I42&lt;&gt;"","To wrap",IF(AND(G42="",F42=""),"Idea",IF(H42="","To wrap",IF(H42&lt;TODAY(),"Late","On the way"))))))</f>
        <v/>
      </c>
      <c r="L42" s="1" t="n"/>
      <c r="M42">
        <f>IF(AND(B42="",C42=""),"",IF(OR(F42&lt;&gt;"",G42&lt;&gt;"",I42&lt;&gt;"",J42&lt;&gt;""),1,0))</f>
        <v/>
      </c>
      <c r="N42">
        <f>IF(M42="","",IF(M42=1,IF(F42&lt;&gt;"",N(F42),N(E42)),0))</f>
        <v/>
      </c>
      <c r="O42">
        <f>IF(M42="","",IF(M42=1,0,N(E42)))</f>
        <v/>
      </c>
      <c r="P42">
        <f>IF(OR(K42="On the way",K42="Late"),H42+ROW()/10000000,"")</f>
        <v/>
      </c>
    </row>
    <row r="43">
      <c r="A43" s="1" t="n"/>
      <c r="B43" s="19" t="n"/>
      <c r="C43" s="20" t="n"/>
      <c r="D43" s="20" t="n"/>
      <c r="E43" s="21" t="n"/>
      <c r="F43" s="21" t="n"/>
      <c r="G43" s="22" t="n"/>
      <c r="H43" s="23" t="n"/>
      <c r="I43" s="22" t="n"/>
      <c r="J43" s="22" t="n"/>
      <c r="K43" s="11">
        <f>IF(AND(B43="",C43=""),"",IF(J43&lt;&gt;"","Wrapped",IF(I43&lt;&gt;"","To wrap",IF(AND(G43="",F43=""),"Idea",IF(H43="","To wrap",IF(H43&lt;TODAY(),"Late","On the way"))))))</f>
        <v/>
      </c>
      <c r="L43" s="1" t="n"/>
      <c r="M43">
        <f>IF(AND(B43="",C43=""),"",IF(OR(F43&lt;&gt;"",G43&lt;&gt;"",I43&lt;&gt;"",J43&lt;&gt;""),1,0))</f>
        <v/>
      </c>
      <c r="N43">
        <f>IF(M43="","",IF(M43=1,IF(F43&lt;&gt;"",N(F43),N(E43)),0))</f>
        <v/>
      </c>
      <c r="O43">
        <f>IF(M43="","",IF(M43=1,0,N(E43)))</f>
        <v/>
      </c>
      <c r="P43">
        <f>IF(OR(K43="On the way",K43="Late"),H43+ROW()/10000000,"")</f>
        <v/>
      </c>
    </row>
    <row r="44">
      <c r="A44" s="1" t="n"/>
      <c r="B44" s="19" t="n"/>
      <c r="C44" s="20" t="n"/>
      <c r="D44" s="20" t="n"/>
      <c r="E44" s="21" t="n"/>
      <c r="F44" s="21" t="n"/>
      <c r="G44" s="22" t="n"/>
      <c r="H44" s="23" t="n"/>
      <c r="I44" s="22" t="n"/>
      <c r="J44" s="22" t="n"/>
      <c r="K44" s="11">
        <f>IF(AND(B44="",C44=""),"",IF(J44&lt;&gt;"","Wrapped",IF(I44&lt;&gt;"","To wrap",IF(AND(G44="",F44=""),"Idea",IF(H44="","To wrap",IF(H44&lt;TODAY(),"Late","On the way"))))))</f>
        <v/>
      </c>
      <c r="L44" s="1" t="n"/>
      <c r="M44">
        <f>IF(AND(B44="",C44=""),"",IF(OR(F44&lt;&gt;"",G44&lt;&gt;"",I44&lt;&gt;"",J44&lt;&gt;""),1,0))</f>
        <v/>
      </c>
      <c r="N44">
        <f>IF(M44="","",IF(M44=1,IF(F44&lt;&gt;"",N(F44),N(E44)),0))</f>
        <v/>
      </c>
      <c r="O44">
        <f>IF(M44="","",IF(M44=1,0,N(E44)))</f>
        <v/>
      </c>
      <c r="P44">
        <f>IF(OR(K44="On the way",K44="Late"),H44+ROW()/10000000,"")</f>
        <v/>
      </c>
    </row>
    <row r="45">
      <c r="A45" s="1" t="n"/>
      <c r="B45" s="19" t="n"/>
      <c r="C45" s="20" t="n"/>
      <c r="D45" s="20" t="n"/>
      <c r="E45" s="21" t="n"/>
      <c r="F45" s="21" t="n"/>
      <c r="G45" s="22" t="n"/>
      <c r="H45" s="23" t="n"/>
      <c r="I45" s="22" t="n"/>
      <c r="J45" s="22" t="n"/>
      <c r="K45" s="11">
        <f>IF(AND(B45="",C45=""),"",IF(J45&lt;&gt;"","Wrapped",IF(I45&lt;&gt;"","To wrap",IF(AND(G45="",F45=""),"Idea",IF(H45="","To wrap",IF(H45&lt;TODAY(),"Late","On the way"))))))</f>
        <v/>
      </c>
      <c r="L45" s="1" t="n"/>
      <c r="M45">
        <f>IF(AND(B45="",C45=""),"",IF(OR(F45&lt;&gt;"",G45&lt;&gt;"",I45&lt;&gt;"",J45&lt;&gt;""),1,0))</f>
        <v/>
      </c>
      <c r="N45">
        <f>IF(M45="","",IF(M45=1,IF(F45&lt;&gt;"",N(F45),N(E45)),0))</f>
        <v/>
      </c>
      <c r="O45">
        <f>IF(M45="","",IF(M45=1,0,N(E45)))</f>
        <v/>
      </c>
      <c r="P45">
        <f>IF(OR(K45="On the way",K45="Late"),H45+ROW()/10000000,"")</f>
        <v/>
      </c>
    </row>
    <row r="46">
      <c r="A46" s="1" t="n"/>
      <c r="B46" s="19" t="n"/>
      <c r="C46" s="20" t="n"/>
      <c r="D46" s="20" t="n"/>
      <c r="E46" s="21" t="n"/>
      <c r="F46" s="21" t="n"/>
      <c r="G46" s="22" t="n"/>
      <c r="H46" s="23" t="n"/>
      <c r="I46" s="22" t="n"/>
      <c r="J46" s="22" t="n"/>
      <c r="K46" s="11">
        <f>IF(AND(B46="",C46=""),"",IF(J46&lt;&gt;"","Wrapped",IF(I46&lt;&gt;"","To wrap",IF(AND(G46="",F46=""),"Idea",IF(H46="","To wrap",IF(H46&lt;TODAY(),"Late","On the way"))))))</f>
        <v/>
      </c>
      <c r="L46" s="1" t="n"/>
      <c r="M46">
        <f>IF(AND(B46="",C46=""),"",IF(OR(F46&lt;&gt;"",G46&lt;&gt;"",I46&lt;&gt;"",J46&lt;&gt;""),1,0))</f>
        <v/>
      </c>
      <c r="N46">
        <f>IF(M46="","",IF(M46=1,IF(F46&lt;&gt;"",N(F46),N(E46)),0))</f>
        <v/>
      </c>
      <c r="O46">
        <f>IF(M46="","",IF(M46=1,0,N(E46)))</f>
        <v/>
      </c>
      <c r="P46">
        <f>IF(OR(K46="On the way",K46="Late"),H46+ROW()/10000000,"")</f>
        <v/>
      </c>
    </row>
    <row r="47">
      <c r="A47" s="1" t="n"/>
      <c r="B47" s="19" t="n"/>
      <c r="C47" s="20" t="n"/>
      <c r="D47" s="20" t="n"/>
      <c r="E47" s="21" t="n"/>
      <c r="F47" s="21" t="n"/>
      <c r="G47" s="22" t="n"/>
      <c r="H47" s="23" t="n"/>
      <c r="I47" s="22" t="n"/>
      <c r="J47" s="22" t="n"/>
      <c r="K47" s="11">
        <f>IF(AND(B47="",C47=""),"",IF(J47&lt;&gt;"","Wrapped",IF(I47&lt;&gt;"","To wrap",IF(AND(G47="",F47=""),"Idea",IF(H47="","To wrap",IF(H47&lt;TODAY(),"Late","On the way"))))))</f>
        <v/>
      </c>
      <c r="L47" s="1" t="n"/>
      <c r="M47">
        <f>IF(AND(B47="",C47=""),"",IF(OR(F47&lt;&gt;"",G47&lt;&gt;"",I47&lt;&gt;"",J47&lt;&gt;""),1,0))</f>
        <v/>
      </c>
      <c r="N47">
        <f>IF(M47="","",IF(M47=1,IF(F47&lt;&gt;"",N(F47),N(E47)),0))</f>
        <v/>
      </c>
      <c r="O47">
        <f>IF(M47="","",IF(M47=1,0,N(E47)))</f>
        <v/>
      </c>
      <c r="P47">
        <f>IF(OR(K47="On the way",K47="Late"),H47+ROW()/10000000,"")</f>
        <v/>
      </c>
    </row>
    <row r="48">
      <c r="A48" s="1" t="n"/>
      <c r="B48" s="19" t="n"/>
      <c r="C48" s="20" t="n"/>
      <c r="D48" s="20" t="n"/>
      <c r="E48" s="21" t="n"/>
      <c r="F48" s="21" t="n"/>
      <c r="G48" s="22" t="n"/>
      <c r="H48" s="23" t="n"/>
      <c r="I48" s="22" t="n"/>
      <c r="J48" s="22" t="n"/>
      <c r="K48" s="11">
        <f>IF(AND(B48="",C48=""),"",IF(J48&lt;&gt;"","Wrapped",IF(I48&lt;&gt;"","To wrap",IF(AND(G48="",F48=""),"Idea",IF(H48="","To wrap",IF(H48&lt;TODAY(),"Late","On the way"))))))</f>
        <v/>
      </c>
      <c r="L48" s="1" t="n"/>
      <c r="M48">
        <f>IF(AND(B48="",C48=""),"",IF(OR(F48&lt;&gt;"",G48&lt;&gt;"",I48&lt;&gt;"",J48&lt;&gt;""),1,0))</f>
        <v/>
      </c>
      <c r="N48">
        <f>IF(M48="","",IF(M48=1,IF(F48&lt;&gt;"",N(F48),N(E48)),0))</f>
        <v/>
      </c>
      <c r="O48">
        <f>IF(M48="","",IF(M48=1,0,N(E48)))</f>
        <v/>
      </c>
      <c r="P48">
        <f>IF(OR(K48="On the way",K48="Late"),H48+ROW()/10000000,"")</f>
        <v/>
      </c>
    </row>
    <row r="49">
      <c r="A49" s="1" t="n"/>
      <c r="B49" s="19" t="n"/>
      <c r="C49" s="20" t="n"/>
      <c r="D49" s="20" t="n"/>
      <c r="E49" s="21" t="n"/>
      <c r="F49" s="21" t="n"/>
      <c r="G49" s="22" t="n"/>
      <c r="H49" s="23" t="n"/>
      <c r="I49" s="22" t="n"/>
      <c r="J49" s="22" t="n"/>
      <c r="K49" s="11">
        <f>IF(AND(B49="",C49=""),"",IF(J49&lt;&gt;"","Wrapped",IF(I49&lt;&gt;"","To wrap",IF(AND(G49="",F49=""),"Idea",IF(H49="","To wrap",IF(H49&lt;TODAY(),"Late","On the way"))))))</f>
        <v/>
      </c>
      <c r="L49" s="1" t="n"/>
      <c r="M49">
        <f>IF(AND(B49="",C49=""),"",IF(OR(F49&lt;&gt;"",G49&lt;&gt;"",I49&lt;&gt;"",J49&lt;&gt;""),1,0))</f>
        <v/>
      </c>
      <c r="N49">
        <f>IF(M49="","",IF(M49=1,IF(F49&lt;&gt;"",N(F49),N(E49)),0))</f>
        <v/>
      </c>
      <c r="O49">
        <f>IF(M49="","",IF(M49=1,0,N(E49)))</f>
        <v/>
      </c>
      <c r="P49">
        <f>IF(OR(K49="On the way",K49="Late"),H49+ROW()/10000000,"")</f>
        <v/>
      </c>
    </row>
    <row r="50">
      <c r="A50" s="1" t="n"/>
      <c r="B50" s="19" t="n"/>
      <c r="C50" s="20" t="n"/>
      <c r="D50" s="20" t="n"/>
      <c r="E50" s="21" t="n"/>
      <c r="F50" s="21" t="n"/>
      <c r="G50" s="22" t="n"/>
      <c r="H50" s="23" t="n"/>
      <c r="I50" s="22" t="n"/>
      <c r="J50" s="22" t="n"/>
      <c r="K50" s="11">
        <f>IF(AND(B50="",C50=""),"",IF(J50&lt;&gt;"","Wrapped",IF(I50&lt;&gt;"","To wrap",IF(AND(G50="",F50=""),"Idea",IF(H50="","To wrap",IF(H50&lt;TODAY(),"Late","On the way"))))))</f>
        <v/>
      </c>
      <c r="L50" s="1" t="n"/>
      <c r="M50">
        <f>IF(AND(B50="",C50=""),"",IF(OR(F50&lt;&gt;"",G50&lt;&gt;"",I50&lt;&gt;"",J50&lt;&gt;""),1,0))</f>
        <v/>
      </c>
      <c r="N50">
        <f>IF(M50="","",IF(M50=1,IF(F50&lt;&gt;"",N(F50),N(E50)),0))</f>
        <v/>
      </c>
      <c r="O50">
        <f>IF(M50="","",IF(M50=1,0,N(E50)))</f>
        <v/>
      </c>
      <c r="P50">
        <f>IF(OR(K50="On the way",K50="Late"),H50+ROW()/10000000,"")</f>
        <v/>
      </c>
    </row>
    <row r="51">
      <c r="A51" s="1" t="n"/>
      <c r="B51" s="19" t="n"/>
      <c r="C51" s="20" t="n"/>
      <c r="D51" s="20" t="n"/>
      <c r="E51" s="21" t="n"/>
      <c r="F51" s="21" t="n"/>
      <c r="G51" s="22" t="n"/>
      <c r="H51" s="23" t="n"/>
      <c r="I51" s="22" t="n"/>
      <c r="J51" s="22" t="n"/>
      <c r="K51" s="11">
        <f>IF(AND(B51="",C51=""),"",IF(J51&lt;&gt;"","Wrapped",IF(I51&lt;&gt;"","To wrap",IF(AND(G51="",F51=""),"Idea",IF(H51="","To wrap",IF(H51&lt;TODAY(),"Late","On the way"))))))</f>
        <v/>
      </c>
      <c r="L51" s="1" t="n"/>
      <c r="M51">
        <f>IF(AND(B51="",C51=""),"",IF(OR(F51&lt;&gt;"",G51&lt;&gt;"",I51&lt;&gt;"",J51&lt;&gt;""),1,0))</f>
        <v/>
      </c>
      <c r="N51">
        <f>IF(M51="","",IF(M51=1,IF(F51&lt;&gt;"",N(F51),N(E51)),0))</f>
        <v/>
      </c>
      <c r="O51">
        <f>IF(M51="","",IF(M51=1,0,N(E51)))</f>
        <v/>
      </c>
      <c r="P51">
        <f>IF(OR(K51="On the way",K51="Late"),H51+ROW()/10000000,"")</f>
        <v/>
      </c>
    </row>
    <row r="52">
      <c r="A52" s="1" t="n"/>
      <c r="B52" s="19" t="n"/>
      <c r="C52" s="20" t="n"/>
      <c r="D52" s="20" t="n"/>
      <c r="E52" s="21" t="n"/>
      <c r="F52" s="21" t="n"/>
      <c r="G52" s="22" t="n"/>
      <c r="H52" s="23" t="n"/>
      <c r="I52" s="22" t="n"/>
      <c r="J52" s="22" t="n"/>
      <c r="K52" s="11">
        <f>IF(AND(B52="",C52=""),"",IF(J52&lt;&gt;"","Wrapped",IF(I52&lt;&gt;"","To wrap",IF(AND(G52="",F52=""),"Idea",IF(H52="","To wrap",IF(H52&lt;TODAY(),"Late","On the way"))))))</f>
        <v/>
      </c>
      <c r="L52" s="1" t="n"/>
      <c r="M52">
        <f>IF(AND(B52="",C52=""),"",IF(OR(F52&lt;&gt;"",G52&lt;&gt;"",I52&lt;&gt;"",J52&lt;&gt;""),1,0))</f>
        <v/>
      </c>
      <c r="N52">
        <f>IF(M52="","",IF(M52=1,IF(F52&lt;&gt;"",N(F52),N(E52)),0))</f>
        <v/>
      </c>
      <c r="O52">
        <f>IF(M52="","",IF(M52=1,0,N(E52)))</f>
        <v/>
      </c>
      <c r="P52">
        <f>IF(OR(K52="On the way",K52="Late"),H52+ROW()/10000000,"")</f>
        <v/>
      </c>
    </row>
    <row r="53">
      <c r="A53" s="1" t="n"/>
      <c r="B53" s="19" t="n"/>
      <c r="C53" s="20" t="n"/>
      <c r="D53" s="20" t="n"/>
      <c r="E53" s="21" t="n"/>
      <c r="F53" s="21" t="n"/>
      <c r="G53" s="22" t="n"/>
      <c r="H53" s="23" t="n"/>
      <c r="I53" s="22" t="n"/>
      <c r="J53" s="22" t="n"/>
      <c r="K53" s="11">
        <f>IF(AND(B53="",C53=""),"",IF(J53&lt;&gt;"","Wrapped",IF(I53&lt;&gt;"","To wrap",IF(AND(G53="",F53=""),"Idea",IF(H53="","To wrap",IF(H53&lt;TODAY(),"Late","On the way"))))))</f>
        <v/>
      </c>
      <c r="L53" s="1" t="n"/>
      <c r="M53">
        <f>IF(AND(B53="",C53=""),"",IF(OR(F53&lt;&gt;"",G53&lt;&gt;"",I53&lt;&gt;"",J53&lt;&gt;""),1,0))</f>
        <v/>
      </c>
      <c r="N53">
        <f>IF(M53="","",IF(M53=1,IF(F53&lt;&gt;"",N(F53),N(E53)),0))</f>
        <v/>
      </c>
      <c r="O53">
        <f>IF(M53="","",IF(M53=1,0,N(E53)))</f>
        <v/>
      </c>
      <c r="P53">
        <f>IF(OR(K53="On the way",K53="Late"),H53+ROW()/10000000,"")</f>
        <v/>
      </c>
    </row>
    <row r="54">
      <c r="A54" s="1" t="n"/>
      <c r="B54" s="19" t="n"/>
      <c r="C54" s="20" t="n"/>
      <c r="D54" s="20" t="n"/>
      <c r="E54" s="21" t="n"/>
      <c r="F54" s="21" t="n"/>
      <c r="G54" s="22" t="n"/>
      <c r="H54" s="23" t="n"/>
      <c r="I54" s="22" t="n"/>
      <c r="J54" s="22" t="n"/>
      <c r="K54" s="11">
        <f>IF(AND(B54="",C54=""),"",IF(J54&lt;&gt;"","Wrapped",IF(I54&lt;&gt;"","To wrap",IF(AND(G54="",F54=""),"Idea",IF(H54="","To wrap",IF(H54&lt;TODAY(),"Late","On the way"))))))</f>
        <v/>
      </c>
      <c r="L54" s="1" t="n"/>
      <c r="M54">
        <f>IF(AND(B54="",C54=""),"",IF(OR(F54&lt;&gt;"",G54&lt;&gt;"",I54&lt;&gt;"",J54&lt;&gt;""),1,0))</f>
        <v/>
      </c>
      <c r="N54">
        <f>IF(M54="","",IF(M54=1,IF(F54&lt;&gt;"",N(F54),N(E54)),0))</f>
        <v/>
      </c>
      <c r="O54">
        <f>IF(M54="","",IF(M54=1,0,N(E54)))</f>
        <v/>
      </c>
      <c r="P54">
        <f>IF(OR(K54="On the way",K54="Late"),H54+ROW()/10000000,"")</f>
        <v/>
      </c>
    </row>
    <row r="55">
      <c r="A55" s="1" t="n"/>
      <c r="B55" s="19" t="n"/>
      <c r="C55" s="20" t="n"/>
      <c r="D55" s="20" t="n"/>
      <c r="E55" s="21" t="n"/>
      <c r="F55" s="21" t="n"/>
      <c r="G55" s="22" t="n"/>
      <c r="H55" s="23" t="n"/>
      <c r="I55" s="22" t="n"/>
      <c r="J55" s="22" t="n"/>
      <c r="K55" s="11">
        <f>IF(AND(B55="",C55=""),"",IF(J55&lt;&gt;"","Wrapped",IF(I55&lt;&gt;"","To wrap",IF(AND(G55="",F55=""),"Idea",IF(H55="","To wrap",IF(H55&lt;TODAY(),"Late","On the way"))))))</f>
        <v/>
      </c>
      <c r="L55" s="1" t="n"/>
      <c r="M55">
        <f>IF(AND(B55="",C55=""),"",IF(OR(F55&lt;&gt;"",G55&lt;&gt;"",I55&lt;&gt;"",J55&lt;&gt;""),1,0))</f>
        <v/>
      </c>
      <c r="N55">
        <f>IF(M55="","",IF(M55=1,IF(F55&lt;&gt;"",N(F55),N(E55)),0))</f>
        <v/>
      </c>
      <c r="O55">
        <f>IF(M55="","",IF(M55=1,0,N(E55)))</f>
        <v/>
      </c>
      <c r="P55">
        <f>IF(OR(K55="On the way",K55="Late"),H55+ROW()/10000000,"")</f>
        <v/>
      </c>
    </row>
    <row r="56">
      <c r="A56" s="1" t="n"/>
      <c r="B56" s="19" t="n"/>
      <c r="C56" s="20" t="n"/>
      <c r="D56" s="20" t="n"/>
      <c r="E56" s="21" t="n"/>
      <c r="F56" s="21" t="n"/>
      <c r="G56" s="22" t="n"/>
      <c r="H56" s="23" t="n"/>
      <c r="I56" s="22" t="n"/>
      <c r="J56" s="22" t="n"/>
      <c r="K56" s="11">
        <f>IF(AND(B56="",C56=""),"",IF(J56&lt;&gt;"","Wrapped",IF(I56&lt;&gt;"","To wrap",IF(AND(G56="",F56=""),"Idea",IF(H56="","To wrap",IF(H56&lt;TODAY(),"Late","On the way"))))))</f>
        <v/>
      </c>
      <c r="L56" s="1" t="n"/>
      <c r="M56">
        <f>IF(AND(B56="",C56=""),"",IF(OR(F56&lt;&gt;"",G56&lt;&gt;"",I56&lt;&gt;"",J56&lt;&gt;""),1,0))</f>
        <v/>
      </c>
      <c r="N56">
        <f>IF(M56="","",IF(M56=1,IF(F56&lt;&gt;"",N(F56),N(E56)),0))</f>
        <v/>
      </c>
      <c r="O56">
        <f>IF(M56="","",IF(M56=1,0,N(E56)))</f>
        <v/>
      </c>
      <c r="P56">
        <f>IF(OR(K56="On the way",K56="Late"),H56+ROW()/10000000,"")</f>
        <v/>
      </c>
    </row>
    <row r="57">
      <c r="A57" s="1" t="n"/>
      <c r="B57" s="19" t="n"/>
      <c r="C57" s="20" t="n"/>
      <c r="D57" s="20" t="n"/>
      <c r="E57" s="21" t="n"/>
      <c r="F57" s="21" t="n"/>
      <c r="G57" s="22" t="n"/>
      <c r="H57" s="23" t="n"/>
      <c r="I57" s="22" t="n"/>
      <c r="J57" s="22" t="n"/>
      <c r="K57" s="11">
        <f>IF(AND(B57="",C57=""),"",IF(J57&lt;&gt;"","Wrapped",IF(I57&lt;&gt;"","To wrap",IF(AND(G57="",F57=""),"Idea",IF(H57="","To wrap",IF(H57&lt;TODAY(),"Late","On the way"))))))</f>
        <v/>
      </c>
      <c r="L57" s="1" t="n"/>
      <c r="M57">
        <f>IF(AND(B57="",C57=""),"",IF(OR(F57&lt;&gt;"",G57&lt;&gt;"",I57&lt;&gt;"",J57&lt;&gt;""),1,0))</f>
        <v/>
      </c>
      <c r="N57">
        <f>IF(M57="","",IF(M57=1,IF(F57&lt;&gt;"",N(F57),N(E57)),0))</f>
        <v/>
      </c>
      <c r="O57">
        <f>IF(M57="","",IF(M57=1,0,N(E57)))</f>
        <v/>
      </c>
      <c r="P57">
        <f>IF(OR(K57="On the way",K57="Late"),H57+ROW()/10000000,"")</f>
        <v/>
      </c>
    </row>
    <row r="58">
      <c r="A58" s="1" t="n"/>
      <c r="B58" s="19" t="n"/>
      <c r="C58" s="20" t="n"/>
      <c r="D58" s="20" t="n"/>
      <c r="E58" s="21" t="n"/>
      <c r="F58" s="21" t="n"/>
      <c r="G58" s="22" t="n"/>
      <c r="H58" s="23" t="n"/>
      <c r="I58" s="22" t="n"/>
      <c r="J58" s="22" t="n"/>
      <c r="K58" s="11">
        <f>IF(AND(B58="",C58=""),"",IF(J58&lt;&gt;"","Wrapped",IF(I58&lt;&gt;"","To wrap",IF(AND(G58="",F58=""),"Idea",IF(H58="","To wrap",IF(H58&lt;TODAY(),"Late","On the way"))))))</f>
        <v/>
      </c>
      <c r="L58" s="1" t="n"/>
      <c r="M58">
        <f>IF(AND(B58="",C58=""),"",IF(OR(F58&lt;&gt;"",G58&lt;&gt;"",I58&lt;&gt;"",J58&lt;&gt;""),1,0))</f>
        <v/>
      </c>
      <c r="N58">
        <f>IF(M58="","",IF(M58=1,IF(F58&lt;&gt;"",N(F58),N(E58)),0))</f>
        <v/>
      </c>
      <c r="O58">
        <f>IF(M58="","",IF(M58=1,0,N(E58)))</f>
        <v/>
      </c>
      <c r="P58">
        <f>IF(OR(K58="On the way",K58="Late"),H58+ROW()/10000000,"")</f>
        <v/>
      </c>
    </row>
    <row r="59">
      <c r="A59" s="1" t="n"/>
      <c r="B59" s="19" t="n"/>
      <c r="C59" s="20" t="n"/>
      <c r="D59" s="20" t="n"/>
      <c r="E59" s="21" t="n"/>
      <c r="F59" s="21" t="n"/>
      <c r="G59" s="22" t="n"/>
      <c r="H59" s="23" t="n"/>
      <c r="I59" s="22" t="n"/>
      <c r="J59" s="22" t="n"/>
      <c r="K59" s="11">
        <f>IF(AND(B59="",C59=""),"",IF(J59&lt;&gt;"","Wrapped",IF(I59&lt;&gt;"","To wrap",IF(AND(G59="",F59=""),"Idea",IF(H59="","To wrap",IF(H59&lt;TODAY(),"Late","On the way"))))))</f>
        <v/>
      </c>
      <c r="L59" s="1" t="n"/>
      <c r="M59">
        <f>IF(AND(B59="",C59=""),"",IF(OR(F59&lt;&gt;"",G59&lt;&gt;"",I59&lt;&gt;"",J59&lt;&gt;""),1,0))</f>
        <v/>
      </c>
      <c r="N59">
        <f>IF(M59="","",IF(M59=1,IF(F59&lt;&gt;"",N(F59),N(E59)),0))</f>
        <v/>
      </c>
      <c r="O59">
        <f>IF(M59="","",IF(M59=1,0,N(E59)))</f>
        <v/>
      </c>
      <c r="P59">
        <f>IF(OR(K59="On the way",K59="Late"),H59+ROW()/10000000,"")</f>
        <v/>
      </c>
    </row>
    <row r="60">
      <c r="A60" s="1" t="n"/>
      <c r="B60" s="19" t="n"/>
      <c r="C60" s="20" t="n"/>
      <c r="D60" s="20" t="n"/>
      <c r="E60" s="21" t="n"/>
      <c r="F60" s="21" t="n"/>
      <c r="G60" s="22" t="n"/>
      <c r="H60" s="23" t="n"/>
      <c r="I60" s="22" t="n"/>
      <c r="J60" s="22" t="n"/>
      <c r="K60" s="11">
        <f>IF(AND(B60="",C60=""),"",IF(J60&lt;&gt;"","Wrapped",IF(I60&lt;&gt;"","To wrap",IF(AND(G60="",F60=""),"Idea",IF(H60="","To wrap",IF(H60&lt;TODAY(),"Late","On the way"))))))</f>
        <v/>
      </c>
      <c r="L60" s="1" t="n"/>
      <c r="M60">
        <f>IF(AND(B60="",C60=""),"",IF(OR(F60&lt;&gt;"",G60&lt;&gt;"",I60&lt;&gt;"",J60&lt;&gt;""),1,0))</f>
        <v/>
      </c>
      <c r="N60">
        <f>IF(M60="","",IF(M60=1,IF(F60&lt;&gt;"",N(F60),N(E60)),0))</f>
        <v/>
      </c>
      <c r="O60">
        <f>IF(M60="","",IF(M60=1,0,N(E60)))</f>
        <v/>
      </c>
      <c r="P60">
        <f>IF(OR(K60="On the way",K60="Late"),H60+ROW()/10000000,"")</f>
        <v/>
      </c>
    </row>
    <row r="61">
      <c r="A61" s="1" t="n"/>
      <c r="B61" s="19" t="n"/>
      <c r="C61" s="20" t="n"/>
      <c r="D61" s="20" t="n"/>
      <c r="E61" s="21" t="n"/>
      <c r="F61" s="21" t="n"/>
      <c r="G61" s="22" t="n"/>
      <c r="H61" s="23" t="n"/>
      <c r="I61" s="22" t="n"/>
      <c r="J61" s="22" t="n"/>
      <c r="K61" s="11">
        <f>IF(AND(B61="",C61=""),"",IF(J61&lt;&gt;"","Wrapped",IF(I61&lt;&gt;"","To wrap",IF(AND(G61="",F61=""),"Idea",IF(H61="","To wrap",IF(H61&lt;TODAY(),"Late","On the way"))))))</f>
        <v/>
      </c>
      <c r="L61" s="1" t="n"/>
      <c r="M61">
        <f>IF(AND(B61="",C61=""),"",IF(OR(F61&lt;&gt;"",G61&lt;&gt;"",I61&lt;&gt;"",J61&lt;&gt;""),1,0))</f>
        <v/>
      </c>
      <c r="N61">
        <f>IF(M61="","",IF(M61=1,IF(F61&lt;&gt;"",N(F61),N(E61)),0))</f>
        <v/>
      </c>
      <c r="O61">
        <f>IF(M61="","",IF(M61=1,0,N(E61)))</f>
        <v/>
      </c>
      <c r="P61">
        <f>IF(OR(K61="On the way",K61="Late"),H61+ROW()/10000000,"")</f>
        <v/>
      </c>
    </row>
    <row r="62">
      <c r="A62" s="1" t="n"/>
      <c r="B62" s="19" t="n"/>
      <c r="C62" s="20" t="n"/>
      <c r="D62" s="20" t="n"/>
      <c r="E62" s="21" t="n"/>
      <c r="F62" s="21" t="n"/>
      <c r="G62" s="22" t="n"/>
      <c r="H62" s="23" t="n"/>
      <c r="I62" s="22" t="n"/>
      <c r="J62" s="22" t="n"/>
      <c r="K62" s="11">
        <f>IF(AND(B62="",C62=""),"",IF(J62&lt;&gt;"","Wrapped",IF(I62&lt;&gt;"","To wrap",IF(AND(G62="",F62=""),"Idea",IF(H62="","To wrap",IF(H62&lt;TODAY(),"Late","On the way"))))))</f>
        <v/>
      </c>
      <c r="L62" s="1" t="n"/>
      <c r="M62">
        <f>IF(AND(B62="",C62=""),"",IF(OR(F62&lt;&gt;"",G62&lt;&gt;"",I62&lt;&gt;"",J62&lt;&gt;""),1,0))</f>
        <v/>
      </c>
      <c r="N62">
        <f>IF(M62="","",IF(M62=1,IF(F62&lt;&gt;"",N(F62),N(E62)),0))</f>
        <v/>
      </c>
      <c r="O62">
        <f>IF(M62="","",IF(M62=1,0,N(E62)))</f>
        <v/>
      </c>
      <c r="P62">
        <f>IF(OR(K62="On the way",K62="Late"),H62+ROW()/10000000,"")</f>
        <v/>
      </c>
    </row>
    <row r="63">
      <c r="A63" s="1" t="n"/>
      <c r="B63" s="19" t="n"/>
      <c r="C63" s="20" t="n"/>
      <c r="D63" s="20" t="n"/>
      <c r="E63" s="21" t="n"/>
      <c r="F63" s="21" t="n"/>
      <c r="G63" s="22" t="n"/>
      <c r="H63" s="23" t="n"/>
      <c r="I63" s="22" t="n"/>
      <c r="J63" s="22" t="n"/>
      <c r="K63" s="11">
        <f>IF(AND(B63="",C63=""),"",IF(J63&lt;&gt;"","Wrapped",IF(I63&lt;&gt;"","To wrap",IF(AND(G63="",F63=""),"Idea",IF(H63="","To wrap",IF(H63&lt;TODAY(),"Late","On the way"))))))</f>
        <v/>
      </c>
      <c r="L63" s="1" t="n"/>
      <c r="M63">
        <f>IF(AND(B63="",C63=""),"",IF(OR(F63&lt;&gt;"",G63&lt;&gt;"",I63&lt;&gt;"",J63&lt;&gt;""),1,0))</f>
        <v/>
      </c>
      <c r="N63">
        <f>IF(M63="","",IF(M63=1,IF(F63&lt;&gt;"",N(F63),N(E63)),0))</f>
        <v/>
      </c>
      <c r="O63">
        <f>IF(M63="","",IF(M63=1,0,N(E63)))</f>
        <v/>
      </c>
      <c r="P63">
        <f>IF(OR(K63="On the way",K63="Late"),H63+ROW()/10000000,"")</f>
        <v/>
      </c>
    </row>
    <row r="64">
      <c r="A64" s="1" t="n"/>
      <c r="B64" s="19" t="n"/>
      <c r="C64" s="20" t="n"/>
      <c r="D64" s="20" t="n"/>
      <c r="E64" s="21" t="n"/>
      <c r="F64" s="21" t="n"/>
      <c r="G64" s="22" t="n"/>
      <c r="H64" s="23" t="n"/>
      <c r="I64" s="22" t="n"/>
      <c r="J64" s="22" t="n"/>
      <c r="K64" s="11">
        <f>IF(AND(B64="",C64=""),"",IF(J64&lt;&gt;"","Wrapped",IF(I64&lt;&gt;"","To wrap",IF(AND(G64="",F64=""),"Idea",IF(H64="","To wrap",IF(H64&lt;TODAY(),"Late","On the way"))))))</f>
        <v/>
      </c>
      <c r="L64" s="1" t="n"/>
      <c r="M64">
        <f>IF(AND(B64="",C64=""),"",IF(OR(F64&lt;&gt;"",G64&lt;&gt;"",I64&lt;&gt;"",J64&lt;&gt;""),1,0))</f>
        <v/>
      </c>
      <c r="N64">
        <f>IF(M64="","",IF(M64=1,IF(F64&lt;&gt;"",N(F64),N(E64)),0))</f>
        <v/>
      </c>
      <c r="O64">
        <f>IF(M64="","",IF(M64=1,0,N(E64)))</f>
        <v/>
      </c>
      <c r="P64">
        <f>IF(OR(K64="On the way",K64="Late"),H64+ROW()/10000000,"")</f>
        <v/>
      </c>
    </row>
    <row r="65">
      <c r="A65" s="1" t="n"/>
      <c r="B65" s="19" t="n"/>
      <c r="C65" s="20" t="n"/>
      <c r="D65" s="20" t="n"/>
      <c r="E65" s="21" t="n"/>
      <c r="F65" s="21" t="n"/>
      <c r="G65" s="22" t="n"/>
      <c r="H65" s="23" t="n"/>
      <c r="I65" s="22" t="n"/>
      <c r="J65" s="22" t="n"/>
      <c r="K65" s="11">
        <f>IF(AND(B65="",C65=""),"",IF(J65&lt;&gt;"","Wrapped",IF(I65&lt;&gt;"","To wrap",IF(AND(G65="",F65=""),"Idea",IF(H65="","To wrap",IF(H65&lt;TODAY(),"Late","On the way"))))))</f>
        <v/>
      </c>
      <c r="L65" s="1" t="n"/>
      <c r="M65">
        <f>IF(AND(B65="",C65=""),"",IF(OR(F65&lt;&gt;"",G65&lt;&gt;"",I65&lt;&gt;"",J65&lt;&gt;""),1,0))</f>
        <v/>
      </c>
      <c r="N65">
        <f>IF(M65="","",IF(M65=1,IF(F65&lt;&gt;"",N(F65),N(E65)),0))</f>
        <v/>
      </c>
      <c r="O65">
        <f>IF(M65="","",IF(M65=1,0,N(E65)))</f>
        <v/>
      </c>
      <c r="P65">
        <f>IF(OR(K65="On the way",K65="Late"),H65+ROW()/10000000,"")</f>
        <v/>
      </c>
    </row>
    <row r="66">
      <c r="A66" s="1" t="n"/>
      <c r="B66" s="19" t="n"/>
      <c r="C66" s="20" t="n"/>
      <c r="D66" s="20" t="n"/>
      <c r="E66" s="21" t="n"/>
      <c r="F66" s="21" t="n"/>
      <c r="G66" s="22" t="n"/>
      <c r="H66" s="23" t="n"/>
      <c r="I66" s="22" t="n"/>
      <c r="J66" s="22" t="n"/>
      <c r="K66" s="11">
        <f>IF(AND(B66="",C66=""),"",IF(J66&lt;&gt;"","Wrapped",IF(I66&lt;&gt;"","To wrap",IF(AND(G66="",F66=""),"Idea",IF(H66="","To wrap",IF(H66&lt;TODAY(),"Late","On the way"))))))</f>
        <v/>
      </c>
      <c r="L66" s="1" t="n"/>
      <c r="M66">
        <f>IF(AND(B66="",C66=""),"",IF(OR(F66&lt;&gt;"",G66&lt;&gt;"",I66&lt;&gt;"",J66&lt;&gt;""),1,0))</f>
        <v/>
      </c>
      <c r="N66">
        <f>IF(M66="","",IF(M66=1,IF(F66&lt;&gt;"",N(F66),N(E66)),0))</f>
        <v/>
      </c>
      <c r="O66">
        <f>IF(M66="","",IF(M66=1,0,N(E66)))</f>
        <v/>
      </c>
      <c r="P66">
        <f>IF(OR(K66="On the way",K66="Late"),H66+ROW()/10000000,"")</f>
        <v/>
      </c>
    </row>
    <row r="67">
      <c r="A67" s="1" t="n"/>
      <c r="B67" s="19" t="n"/>
      <c r="C67" s="20" t="n"/>
      <c r="D67" s="20" t="n"/>
      <c r="E67" s="21" t="n"/>
      <c r="F67" s="21" t="n"/>
      <c r="G67" s="22" t="n"/>
      <c r="H67" s="23" t="n"/>
      <c r="I67" s="22" t="n"/>
      <c r="J67" s="22" t="n"/>
      <c r="K67" s="11">
        <f>IF(AND(B67="",C67=""),"",IF(J67&lt;&gt;"","Wrapped",IF(I67&lt;&gt;"","To wrap",IF(AND(G67="",F67=""),"Idea",IF(H67="","To wrap",IF(H67&lt;TODAY(),"Late","On the way"))))))</f>
        <v/>
      </c>
      <c r="L67" s="1" t="n"/>
      <c r="M67">
        <f>IF(AND(B67="",C67=""),"",IF(OR(F67&lt;&gt;"",G67&lt;&gt;"",I67&lt;&gt;"",J67&lt;&gt;""),1,0))</f>
        <v/>
      </c>
      <c r="N67">
        <f>IF(M67="","",IF(M67=1,IF(F67&lt;&gt;"",N(F67),N(E67)),0))</f>
        <v/>
      </c>
      <c r="O67">
        <f>IF(M67="","",IF(M67=1,0,N(E67)))</f>
        <v/>
      </c>
      <c r="P67">
        <f>IF(OR(K67="On the way",K67="Late"),H67+ROW()/10000000,"")</f>
        <v/>
      </c>
    </row>
    <row r="68">
      <c r="A68" s="1" t="n"/>
      <c r="B68" s="19" t="n"/>
      <c r="C68" s="20" t="n"/>
      <c r="D68" s="20" t="n"/>
      <c r="E68" s="21" t="n"/>
      <c r="F68" s="21" t="n"/>
      <c r="G68" s="22" t="n"/>
      <c r="H68" s="23" t="n"/>
      <c r="I68" s="22" t="n"/>
      <c r="J68" s="22" t="n"/>
      <c r="K68" s="11">
        <f>IF(AND(B68="",C68=""),"",IF(J68&lt;&gt;"","Wrapped",IF(I68&lt;&gt;"","To wrap",IF(AND(G68="",F68=""),"Idea",IF(H68="","To wrap",IF(H68&lt;TODAY(),"Late","On the way"))))))</f>
        <v/>
      </c>
      <c r="L68" s="1" t="n"/>
      <c r="M68">
        <f>IF(AND(B68="",C68=""),"",IF(OR(F68&lt;&gt;"",G68&lt;&gt;"",I68&lt;&gt;"",J68&lt;&gt;""),1,0))</f>
        <v/>
      </c>
      <c r="N68">
        <f>IF(M68="","",IF(M68=1,IF(F68&lt;&gt;"",N(F68),N(E68)),0))</f>
        <v/>
      </c>
      <c r="O68">
        <f>IF(M68="","",IF(M68=1,0,N(E68)))</f>
        <v/>
      </c>
      <c r="P68">
        <f>IF(OR(K68="On the way",K68="Late"),H68+ROW()/10000000,"")</f>
        <v/>
      </c>
    </row>
    <row r="69">
      <c r="A69" s="1" t="n"/>
      <c r="B69" s="19" t="n"/>
      <c r="C69" s="20" t="n"/>
      <c r="D69" s="20" t="n"/>
      <c r="E69" s="21" t="n"/>
      <c r="F69" s="21" t="n"/>
      <c r="G69" s="22" t="n"/>
      <c r="H69" s="23" t="n"/>
      <c r="I69" s="22" t="n"/>
      <c r="J69" s="22" t="n"/>
      <c r="K69" s="11">
        <f>IF(AND(B69="",C69=""),"",IF(J69&lt;&gt;"","Wrapped",IF(I69&lt;&gt;"","To wrap",IF(AND(G69="",F69=""),"Idea",IF(H69="","To wrap",IF(H69&lt;TODAY(),"Late","On the way"))))))</f>
        <v/>
      </c>
      <c r="L69" s="1" t="n"/>
      <c r="M69">
        <f>IF(AND(B69="",C69=""),"",IF(OR(F69&lt;&gt;"",G69&lt;&gt;"",I69&lt;&gt;"",J69&lt;&gt;""),1,0))</f>
        <v/>
      </c>
      <c r="N69">
        <f>IF(M69="","",IF(M69=1,IF(F69&lt;&gt;"",N(F69),N(E69)),0))</f>
        <v/>
      </c>
      <c r="O69">
        <f>IF(M69="","",IF(M69=1,0,N(E69)))</f>
        <v/>
      </c>
      <c r="P69">
        <f>IF(OR(K69="On the way",K69="Late"),H69+ROW()/10000000,"")</f>
        <v/>
      </c>
    </row>
    <row r="70">
      <c r="A70" s="1" t="n"/>
      <c r="B70" s="19" t="n"/>
      <c r="C70" s="20" t="n"/>
      <c r="D70" s="20" t="n"/>
      <c r="E70" s="21" t="n"/>
      <c r="F70" s="21" t="n"/>
      <c r="G70" s="22" t="n"/>
      <c r="H70" s="23" t="n"/>
      <c r="I70" s="22" t="n"/>
      <c r="J70" s="22" t="n"/>
      <c r="K70" s="11">
        <f>IF(AND(B70="",C70=""),"",IF(J70&lt;&gt;"","Wrapped",IF(I70&lt;&gt;"","To wrap",IF(AND(G70="",F70=""),"Idea",IF(H70="","To wrap",IF(H70&lt;TODAY(),"Late","On the way"))))))</f>
        <v/>
      </c>
      <c r="L70" s="1" t="n"/>
      <c r="M70">
        <f>IF(AND(B70="",C70=""),"",IF(OR(F70&lt;&gt;"",G70&lt;&gt;"",I70&lt;&gt;"",J70&lt;&gt;""),1,0))</f>
        <v/>
      </c>
      <c r="N70">
        <f>IF(M70="","",IF(M70=1,IF(F70&lt;&gt;"",N(F70),N(E70)),0))</f>
        <v/>
      </c>
      <c r="O70">
        <f>IF(M70="","",IF(M70=1,0,N(E70)))</f>
        <v/>
      </c>
      <c r="P70">
        <f>IF(OR(K70="On the way",K70="Late"),H70+ROW()/10000000,"")</f>
        <v/>
      </c>
    </row>
    <row r="71">
      <c r="A71" s="1" t="n"/>
      <c r="B71" s="19" t="n"/>
      <c r="C71" s="20" t="n"/>
      <c r="D71" s="20" t="n"/>
      <c r="E71" s="21" t="n"/>
      <c r="F71" s="21" t="n"/>
      <c r="G71" s="22" t="n"/>
      <c r="H71" s="23" t="n"/>
      <c r="I71" s="22" t="n"/>
      <c r="J71" s="22" t="n"/>
      <c r="K71" s="11">
        <f>IF(AND(B71="",C71=""),"",IF(J71&lt;&gt;"","Wrapped",IF(I71&lt;&gt;"","To wrap",IF(AND(G71="",F71=""),"Idea",IF(H71="","To wrap",IF(H71&lt;TODAY(),"Late","On the way"))))))</f>
        <v/>
      </c>
      <c r="L71" s="1" t="n"/>
      <c r="M71">
        <f>IF(AND(B71="",C71=""),"",IF(OR(F71&lt;&gt;"",G71&lt;&gt;"",I71&lt;&gt;"",J71&lt;&gt;""),1,0))</f>
        <v/>
      </c>
      <c r="N71">
        <f>IF(M71="","",IF(M71=1,IF(F71&lt;&gt;"",N(F71),N(E71)),0))</f>
        <v/>
      </c>
      <c r="O71">
        <f>IF(M71="","",IF(M71=1,0,N(E71)))</f>
        <v/>
      </c>
      <c r="P71">
        <f>IF(OR(K71="On the way",K71="Late"),H71+ROW()/10000000,"")</f>
        <v/>
      </c>
    </row>
    <row r="72">
      <c r="A72" s="1" t="n"/>
      <c r="B72" s="19" t="n"/>
      <c r="C72" s="20" t="n"/>
      <c r="D72" s="20" t="n"/>
      <c r="E72" s="21" t="n"/>
      <c r="F72" s="21" t="n"/>
      <c r="G72" s="22" t="n"/>
      <c r="H72" s="23" t="n"/>
      <c r="I72" s="22" t="n"/>
      <c r="J72" s="22" t="n"/>
      <c r="K72" s="11">
        <f>IF(AND(B72="",C72=""),"",IF(J72&lt;&gt;"","Wrapped",IF(I72&lt;&gt;"","To wrap",IF(AND(G72="",F72=""),"Idea",IF(H72="","To wrap",IF(H72&lt;TODAY(),"Late","On the way"))))))</f>
        <v/>
      </c>
      <c r="L72" s="1" t="n"/>
      <c r="M72">
        <f>IF(AND(B72="",C72=""),"",IF(OR(F72&lt;&gt;"",G72&lt;&gt;"",I72&lt;&gt;"",J72&lt;&gt;""),1,0))</f>
        <v/>
      </c>
      <c r="N72">
        <f>IF(M72="","",IF(M72=1,IF(F72&lt;&gt;"",N(F72),N(E72)),0))</f>
        <v/>
      </c>
      <c r="O72">
        <f>IF(M72="","",IF(M72=1,0,N(E72)))</f>
        <v/>
      </c>
      <c r="P72">
        <f>IF(OR(K72="On the way",K72="Late"),H72+ROW()/10000000,"")</f>
        <v/>
      </c>
    </row>
    <row r="73">
      <c r="A73" s="1" t="n"/>
      <c r="B73" s="19" t="n"/>
      <c r="C73" s="20" t="n"/>
      <c r="D73" s="20" t="n"/>
      <c r="E73" s="21" t="n"/>
      <c r="F73" s="21" t="n"/>
      <c r="G73" s="22" t="n"/>
      <c r="H73" s="23" t="n"/>
      <c r="I73" s="22" t="n"/>
      <c r="J73" s="22" t="n"/>
      <c r="K73" s="11">
        <f>IF(AND(B73="",C73=""),"",IF(J73&lt;&gt;"","Wrapped",IF(I73&lt;&gt;"","To wrap",IF(AND(G73="",F73=""),"Idea",IF(H73="","To wrap",IF(H73&lt;TODAY(),"Late","On the way"))))))</f>
        <v/>
      </c>
      <c r="L73" s="1" t="n"/>
      <c r="M73">
        <f>IF(AND(B73="",C73=""),"",IF(OR(F73&lt;&gt;"",G73&lt;&gt;"",I73&lt;&gt;"",J73&lt;&gt;""),1,0))</f>
        <v/>
      </c>
      <c r="N73">
        <f>IF(M73="","",IF(M73=1,IF(F73&lt;&gt;"",N(F73),N(E73)),0))</f>
        <v/>
      </c>
      <c r="O73">
        <f>IF(M73="","",IF(M73=1,0,N(E73)))</f>
        <v/>
      </c>
      <c r="P73">
        <f>IF(OR(K73="On the way",K73="Late"),H73+ROW()/10000000,"")</f>
        <v/>
      </c>
    </row>
    <row r="74">
      <c r="A74" s="1" t="n"/>
      <c r="B74" s="19" t="n"/>
      <c r="C74" s="20" t="n"/>
      <c r="D74" s="20" t="n"/>
      <c r="E74" s="21" t="n"/>
      <c r="F74" s="21" t="n"/>
      <c r="G74" s="22" t="n"/>
      <c r="H74" s="23" t="n"/>
      <c r="I74" s="22" t="n"/>
      <c r="J74" s="22" t="n"/>
      <c r="K74" s="11">
        <f>IF(AND(B74="",C74=""),"",IF(J74&lt;&gt;"","Wrapped",IF(I74&lt;&gt;"","To wrap",IF(AND(G74="",F74=""),"Idea",IF(H74="","To wrap",IF(H74&lt;TODAY(),"Late","On the way"))))))</f>
        <v/>
      </c>
      <c r="L74" s="1" t="n"/>
      <c r="M74">
        <f>IF(AND(B74="",C74=""),"",IF(OR(F74&lt;&gt;"",G74&lt;&gt;"",I74&lt;&gt;"",J74&lt;&gt;""),1,0))</f>
        <v/>
      </c>
      <c r="N74">
        <f>IF(M74="","",IF(M74=1,IF(F74&lt;&gt;"",N(F74),N(E74)),0))</f>
        <v/>
      </c>
      <c r="O74">
        <f>IF(M74="","",IF(M74=1,0,N(E74)))</f>
        <v/>
      </c>
      <c r="P74">
        <f>IF(OR(K74="On the way",K74="Late"),H74+ROW()/10000000,"")</f>
        <v/>
      </c>
    </row>
    <row r="75">
      <c r="A75" s="1" t="n"/>
      <c r="B75" s="19" t="n"/>
      <c r="C75" s="20" t="n"/>
      <c r="D75" s="20" t="n"/>
      <c r="E75" s="21" t="n"/>
      <c r="F75" s="21" t="n"/>
      <c r="G75" s="22" t="n"/>
      <c r="H75" s="23" t="n"/>
      <c r="I75" s="22" t="n"/>
      <c r="J75" s="22" t="n"/>
      <c r="K75" s="11">
        <f>IF(AND(B75="",C75=""),"",IF(J75&lt;&gt;"","Wrapped",IF(I75&lt;&gt;"","To wrap",IF(AND(G75="",F75=""),"Idea",IF(H75="","To wrap",IF(H75&lt;TODAY(),"Late","On the way"))))))</f>
        <v/>
      </c>
      <c r="L75" s="1" t="n"/>
      <c r="M75">
        <f>IF(AND(B75="",C75=""),"",IF(OR(F75&lt;&gt;"",G75&lt;&gt;"",I75&lt;&gt;"",J75&lt;&gt;""),1,0))</f>
        <v/>
      </c>
      <c r="N75">
        <f>IF(M75="","",IF(M75=1,IF(F75&lt;&gt;"",N(F75),N(E75)),0))</f>
        <v/>
      </c>
      <c r="O75">
        <f>IF(M75="","",IF(M75=1,0,N(E75)))</f>
        <v/>
      </c>
      <c r="P75">
        <f>IF(OR(K75="On the way",K75="Late"),H75+ROW()/10000000,"")</f>
        <v/>
      </c>
    </row>
    <row r="76">
      <c r="A76" s="1" t="n"/>
      <c r="B76" s="19" t="n"/>
      <c r="C76" s="20" t="n"/>
      <c r="D76" s="20" t="n"/>
      <c r="E76" s="21" t="n"/>
      <c r="F76" s="21" t="n"/>
      <c r="G76" s="22" t="n"/>
      <c r="H76" s="23" t="n"/>
      <c r="I76" s="22" t="n"/>
      <c r="J76" s="22" t="n"/>
      <c r="K76" s="11">
        <f>IF(AND(B76="",C76=""),"",IF(J76&lt;&gt;"","Wrapped",IF(I76&lt;&gt;"","To wrap",IF(AND(G76="",F76=""),"Idea",IF(H76="","To wrap",IF(H76&lt;TODAY(),"Late","On the way"))))))</f>
        <v/>
      </c>
      <c r="L76" s="1" t="n"/>
      <c r="M76">
        <f>IF(AND(B76="",C76=""),"",IF(OR(F76&lt;&gt;"",G76&lt;&gt;"",I76&lt;&gt;"",J76&lt;&gt;""),1,0))</f>
        <v/>
      </c>
      <c r="N76">
        <f>IF(M76="","",IF(M76=1,IF(F76&lt;&gt;"",N(F76),N(E76)),0))</f>
        <v/>
      </c>
      <c r="O76">
        <f>IF(M76="","",IF(M76=1,0,N(E76)))</f>
        <v/>
      </c>
      <c r="P76">
        <f>IF(OR(K76="On the way",K76="Late"),H76+ROW()/10000000,"")</f>
        <v/>
      </c>
    </row>
    <row r="77">
      <c r="A77" s="1" t="n"/>
      <c r="B77" s="19" t="n"/>
      <c r="C77" s="20" t="n"/>
      <c r="D77" s="20" t="n"/>
      <c r="E77" s="21" t="n"/>
      <c r="F77" s="21" t="n"/>
      <c r="G77" s="22" t="n"/>
      <c r="H77" s="23" t="n"/>
      <c r="I77" s="22" t="n"/>
      <c r="J77" s="22" t="n"/>
      <c r="K77" s="11">
        <f>IF(AND(B77="",C77=""),"",IF(J77&lt;&gt;"","Wrapped",IF(I77&lt;&gt;"","To wrap",IF(AND(G77="",F77=""),"Idea",IF(H77="","To wrap",IF(H77&lt;TODAY(),"Late","On the way"))))))</f>
        <v/>
      </c>
      <c r="L77" s="1" t="n"/>
      <c r="M77">
        <f>IF(AND(B77="",C77=""),"",IF(OR(F77&lt;&gt;"",G77&lt;&gt;"",I77&lt;&gt;"",J77&lt;&gt;""),1,0))</f>
        <v/>
      </c>
      <c r="N77">
        <f>IF(M77="","",IF(M77=1,IF(F77&lt;&gt;"",N(F77),N(E77)),0))</f>
        <v/>
      </c>
      <c r="O77">
        <f>IF(M77="","",IF(M77=1,0,N(E77)))</f>
        <v/>
      </c>
      <c r="P77">
        <f>IF(OR(K77="On the way",K77="Late"),H77+ROW()/10000000,"")</f>
        <v/>
      </c>
    </row>
    <row r="78">
      <c r="A78" s="1" t="n"/>
      <c r="B78" s="19" t="n"/>
      <c r="C78" s="20" t="n"/>
      <c r="D78" s="20" t="n"/>
      <c r="E78" s="21" t="n"/>
      <c r="F78" s="21" t="n"/>
      <c r="G78" s="22" t="n"/>
      <c r="H78" s="23" t="n"/>
      <c r="I78" s="22" t="n"/>
      <c r="J78" s="22" t="n"/>
      <c r="K78" s="11">
        <f>IF(AND(B78="",C78=""),"",IF(J78&lt;&gt;"","Wrapped",IF(I78&lt;&gt;"","To wrap",IF(AND(G78="",F78=""),"Idea",IF(H78="","To wrap",IF(H78&lt;TODAY(),"Late","On the way"))))))</f>
        <v/>
      </c>
      <c r="L78" s="1" t="n"/>
      <c r="M78">
        <f>IF(AND(B78="",C78=""),"",IF(OR(F78&lt;&gt;"",G78&lt;&gt;"",I78&lt;&gt;"",J78&lt;&gt;""),1,0))</f>
        <v/>
      </c>
      <c r="N78">
        <f>IF(M78="","",IF(M78=1,IF(F78&lt;&gt;"",N(F78),N(E78)),0))</f>
        <v/>
      </c>
      <c r="O78">
        <f>IF(M78="","",IF(M78=1,0,N(E78)))</f>
        <v/>
      </c>
      <c r="P78">
        <f>IF(OR(K78="On the way",K78="Late"),H78+ROW()/10000000,"")</f>
        <v/>
      </c>
    </row>
    <row r="79">
      <c r="A79" s="1" t="n"/>
      <c r="B79" s="19" t="n"/>
      <c r="C79" s="20" t="n"/>
      <c r="D79" s="20" t="n"/>
      <c r="E79" s="21" t="n"/>
      <c r="F79" s="21" t="n"/>
      <c r="G79" s="22" t="n"/>
      <c r="H79" s="23" t="n"/>
      <c r="I79" s="22" t="n"/>
      <c r="J79" s="22" t="n"/>
      <c r="K79" s="11">
        <f>IF(AND(B79="",C79=""),"",IF(J79&lt;&gt;"","Wrapped",IF(I79&lt;&gt;"","To wrap",IF(AND(G79="",F79=""),"Idea",IF(H79="","To wrap",IF(H79&lt;TODAY(),"Late","On the way"))))))</f>
        <v/>
      </c>
      <c r="L79" s="1" t="n"/>
      <c r="M79">
        <f>IF(AND(B79="",C79=""),"",IF(OR(F79&lt;&gt;"",G79&lt;&gt;"",I79&lt;&gt;"",J79&lt;&gt;""),1,0))</f>
        <v/>
      </c>
      <c r="N79">
        <f>IF(M79="","",IF(M79=1,IF(F79&lt;&gt;"",N(F79),N(E79)),0))</f>
        <v/>
      </c>
      <c r="O79">
        <f>IF(M79="","",IF(M79=1,0,N(E79)))</f>
        <v/>
      </c>
      <c r="P79">
        <f>IF(OR(K79="On the way",K79="Late"),H79+ROW()/10000000,"")</f>
        <v/>
      </c>
    </row>
    <row r="80">
      <c r="A80" s="1" t="n"/>
      <c r="B80" s="19" t="n"/>
      <c r="C80" s="20" t="n"/>
      <c r="D80" s="20" t="n"/>
      <c r="E80" s="21" t="n"/>
      <c r="F80" s="21" t="n"/>
      <c r="G80" s="22" t="n"/>
      <c r="H80" s="23" t="n"/>
      <c r="I80" s="22" t="n"/>
      <c r="J80" s="22" t="n"/>
      <c r="K80" s="11">
        <f>IF(AND(B80="",C80=""),"",IF(J80&lt;&gt;"","Wrapped",IF(I80&lt;&gt;"","To wrap",IF(AND(G80="",F80=""),"Idea",IF(H80="","To wrap",IF(H80&lt;TODAY(),"Late","On the way"))))))</f>
        <v/>
      </c>
      <c r="L80" s="1" t="n"/>
      <c r="M80">
        <f>IF(AND(B80="",C80=""),"",IF(OR(F80&lt;&gt;"",G80&lt;&gt;"",I80&lt;&gt;"",J80&lt;&gt;""),1,0))</f>
        <v/>
      </c>
      <c r="N80">
        <f>IF(M80="","",IF(M80=1,IF(F80&lt;&gt;"",N(F80),N(E80)),0))</f>
        <v/>
      </c>
      <c r="O80">
        <f>IF(M80="","",IF(M80=1,0,N(E80)))</f>
        <v/>
      </c>
      <c r="P80">
        <f>IF(OR(K80="On the way",K80="Late"),H80+ROW()/10000000,"")</f>
        <v/>
      </c>
    </row>
    <row r="81">
      <c r="A81" s="1" t="n"/>
      <c r="B81" s="19" t="n"/>
      <c r="C81" s="20" t="n"/>
      <c r="D81" s="20" t="n"/>
      <c r="E81" s="21" t="n"/>
      <c r="F81" s="21" t="n"/>
      <c r="G81" s="22" t="n"/>
      <c r="H81" s="23" t="n"/>
      <c r="I81" s="22" t="n"/>
      <c r="J81" s="22" t="n"/>
      <c r="K81" s="11">
        <f>IF(AND(B81="",C81=""),"",IF(J81&lt;&gt;"","Wrapped",IF(I81&lt;&gt;"","To wrap",IF(AND(G81="",F81=""),"Idea",IF(H81="","To wrap",IF(H81&lt;TODAY(),"Late","On the way"))))))</f>
        <v/>
      </c>
      <c r="L81" s="1" t="n"/>
      <c r="M81">
        <f>IF(AND(B81="",C81=""),"",IF(OR(F81&lt;&gt;"",G81&lt;&gt;"",I81&lt;&gt;"",J81&lt;&gt;""),1,0))</f>
        <v/>
      </c>
      <c r="N81">
        <f>IF(M81="","",IF(M81=1,IF(F81&lt;&gt;"",N(F81),N(E81)),0))</f>
        <v/>
      </c>
      <c r="O81">
        <f>IF(M81="","",IF(M81=1,0,N(E81)))</f>
        <v/>
      </c>
      <c r="P81">
        <f>IF(OR(K81="On the way",K81="Late"),H81+ROW()/10000000,"")</f>
        <v/>
      </c>
    </row>
    <row r="82">
      <c r="A82" s="1" t="n"/>
      <c r="B82" s="19" t="n"/>
      <c r="C82" s="20" t="n"/>
      <c r="D82" s="20" t="n"/>
      <c r="E82" s="21" t="n"/>
      <c r="F82" s="21" t="n"/>
      <c r="G82" s="22" t="n"/>
      <c r="H82" s="23" t="n"/>
      <c r="I82" s="22" t="n"/>
      <c r="J82" s="22" t="n"/>
      <c r="K82" s="11">
        <f>IF(AND(B82="",C82=""),"",IF(J82&lt;&gt;"","Wrapped",IF(I82&lt;&gt;"","To wrap",IF(AND(G82="",F82=""),"Idea",IF(H82="","To wrap",IF(H82&lt;TODAY(),"Late","On the way"))))))</f>
        <v/>
      </c>
      <c r="L82" s="1" t="n"/>
      <c r="M82">
        <f>IF(AND(B82="",C82=""),"",IF(OR(F82&lt;&gt;"",G82&lt;&gt;"",I82&lt;&gt;"",J82&lt;&gt;""),1,0))</f>
        <v/>
      </c>
      <c r="N82">
        <f>IF(M82="","",IF(M82=1,IF(F82&lt;&gt;"",N(F82),N(E82)),0))</f>
        <v/>
      </c>
      <c r="O82">
        <f>IF(M82="","",IF(M82=1,0,N(E82)))</f>
        <v/>
      </c>
      <c r="P82">
        <f>IF(OR(K82="On the way",K82="Late"),H82+ROW()/10000000,"")</f>
        <v/>
      </c>
    </row>
    <row r="83">
      <c r="A83" s="1" t="n"/>
      <c r="B83" s="19" t="n"/>
      <c r="C83" s="20" t="n"/>
      <c r="D83" s="20" t="n"/>
      <c r="E83" s="21" t="n"/>
      <c r="F83" s="21" t="n"/>
      <c r="G83" s="22" t="n"/>
      <c r="H83" s="23" t="n"/>
      <c r="I83" s="22" t="n"/>
      <c r="J83" s="22" t="n"/>
      <c r="K83" s="11">
        <f>IF(AND(B83="",C83=""),"",IF(J83&lt;&gt;"","Wrapped",IF(I83&lt;&gt;"","To wrap",IF(AND(G83="",F83=""),"Idea",IF(H83="","To wrap",IF(H83&lt;TODAY(),"Late","On the way"))))))</f>
        <v/>
      </c>
      <c r="L83" s="1" t="n"/>
      <c r="M83">
        <f>IF(AND(B83="",C83=""),"",IF(OR(F83&lt;&gt;"",G83&lt;&gt;"",I83&lt;&gt;"",J83&lt;&gt;""),1,0))</f>
        <v/>
      </c>
      <c r="N83">
        <f>IF(M83="","",IF(M83=1,IF(F83&lt;&gt;"",N(F83),N(E83)),0))</f>
        <v/>
      </c>
      <c r="O83">
        <f>IF(M83="","",IF(M83=1,0,N(E83)))</f>
        <v/>
      </c>
      <c r="P83">
        <f>IF(OR(K83="On the way",K83="Late"),H83+ROW()/10000000,"")</f>
        <v/>
      </c>
    </row>
    <row r="84">
      <c r="A84" s="1" t="n"/>
      <c r="B84" s="19" t="n"/>
      <c r="C84" s="20" t="n"/>
      <c r="D84" s="20" t="n"/>
      <c r="E84" s="21" t="n"/>
      <c r="F84" s="21" t="n"/>
      <c r="G84" s="22" t="n"/>
      <c r="H84" s="23" t="n"/>
      <c r="I84" s="22" t="n"/>
      <c r="J84" s="22" t="n"/>
      <c r="K84" s="11">
        <f>IF(AND(B84="",C84=""),"",IF(J84&lt;&gt;"","Wrapped",IF(I84&lt;&gt;"","To wrap",IF(AND(G84="",F84=""),"Idea",IF(H84="","To wrap",IF(H84&lt;TODAY(),"Late","On the way"))))))</f>
        <v/>
      </c>
      <c r="L84" s="1" t="n"/>
      <c r="M84">
        <f>IF(AND(B84="",C84=""),"",IF(OR(F84&lt;&gt;"",G84&lt;&gt;"",I84&lt;&gt;"",J84&lt;&gt;""),1,0))</f>
        <v/>
      </c>
      <c r="N84">
        <f>IF(M84="","",IF(M84=1,IF(F84&lt;&gt;"",N(F84),N(E84)),0))</f>
        <v/>
      </c>
      <c r="O84">
        <f>IF(M84="","",IF(M84=1,0,N(E84)))</f>
        <v/>
      </c>
      <c r="P84">
        <f>IF(OR(K84="On the way",K84="Late"),H84+ROW()/10000000,"")</f>
        <v/>
      </c>
    </row>
    <row r="85">
      <c r="A85" s="1" t="n"/>
      <c r="B85" s="19" t="n"/>
      <c r="C85" s="20" t="n"/>
      <c r="D85" s="20" t="n"/>
      <c r="E85" s="21" t="n"/>
      <c r="F85" s="21" t="n"/>
      <c r="G85" s="22" t="n"/>
      <c r="H85" s="23" t="n"/>
      <c r="I85" s="22" t="n"/>
      <c r="J85" s="22" t="n"/>
      <c r="K85" s="11">
        <f>IF(AND(B85="",C85=""),"",IF(J85&lt;&gt;"","Wrapped",IF(I85&lt;&gt;"","To wrap",IF(AND(G85="",F85=""),"Idea",IF(H85="","To wrap",IF(H85&lt;TODAY(),"Late","On the way"))))))</f>
        <v/>
      </c>
      <c r="L85" s="1" t="n"/>
      <c r="M85">
        <f>IF(AND(B85="",C85=""),"",IF(OR(F85&lt;&gt;"",G85&lt;&gt;"",I85&lt;&gt;"",J85&lt;&gt;""),1,0))</f>
        <v/>
      </c>
      <c r="N85">
        <f>IF(M85="","",IF(M85=1,IF(F85&lt;&gt;"",N(F85),N(E85)),0))</f>
        <v/>
      </c>
      <c r="O85">
        <f>IF(M85="","",IF(M85=1,0,N(E85)))</f>
        <v/>
      </c>
      <c r="P85">
        <f>IF(OR(K85="On the way",K85="Late"),H85+ROW()/10000000,"")</f>
        <v/>
      </c>
    </row>
    <row r="86">
      <c r="A86" s="1" t="n"/>
      <c r="B86" s="19" t="n"/>
      <c r="C86" s="20" t="n"/>
      <c r="D86" s="20" t="n"/>
      <c r="E86" s="21" t="n"/>
      <c r="F86" s="21" t="n"/>
      <c r="G86" s="22" t="n"/>
      <c r="H86" s="23" t="n"/>
      <c r="I86" s="22" t="n"/>
      <c r="J86" s="22" t="n"/>
      <c r="K86" s="11">
        <f>IF(AND(B86="",C86=""),"",IF(J86&lt;&gt;"","Wrapped",IF(I86&lt;&gt;"","To wrap",IF(AND(G86="",F86=""),"Idea",IF(H86="","To wrap",IF(H86&lt;TODAY(),"Late","On the way"))))))</f>
        <v/>
      </c>
      <c r="L86" s="1" t="n"/>
      <c r="M86">
        <f>IF(AND(B86="",C86=""),"",IF(OR(F86&lt;&gt;"",G86&lt;&gt;"",I86&lt;&gt;"",J86&lt;&gt;""),1,0))</f>
        <v/>
      </c>
      <c r="N86">
        <f>IF(M86="","",IF(M86=1,IF(F86&lt;&gt;"",N(F86),N(E86)),0))</f>
        <v/>
      </c>
      <c r="O86">
        <f>IF(M86="","",IF(M86=1,0,N(E86)))</f>
        <v/>
      </c>
      <c r="P86">
        <f>IF(OR(K86="On the way",K86="Late"),H86+ROW()/10000000,"")</f>
        <v/>
      </c>
    </row>
    <row r="87">
      <c r="A87" s="1" t="n"/>
      <c r="B87" s="19" t="n"/>
      <c r="C87" s="20" t="n"/>
      <c r="D87" s="20" t="n"/>
      <c r="E87" s="21" t="n"/>
      <c r="F87" s="21" t="n"/>
      <c r="G87" s="22" t="n"/>
      <c r="H87" s="23" t="n"/>
      <c r="I87" s="22" t="n"/>
      <c r="J87" s="22" t="n"/>
      <c r="K87" s="11">
        <f>IF(AND(B87="",C87=""),"",IF(J87&lt;&gt;"","Wrapped",IF(I87&lt;&gt;"","To wrap",IF(AND(G87="",F87=""),"Idea",IF(H87="","To wrap",IF(H87&lt;TODAY(),"Late","On the way"))))))</f>
        <v/>
      </c>
      <c r="L87" s="1" t="n"/>
      <c r="M87">
        <f>IF(AND(B87="",C87=""),"",IF(OR(F87&lt;&gt;"",G87&lt;&gt;"",I87&lt;&gt;"",J87&lt;&gt;""),1,0))</f>
        <v/>
      </c>
      <c r="N87">
        <f>IF(M87="","",IF(M87=1,IF(F87&lt;&gt;"",N(F87),N(E87)),0))</f>
        <v/>
      </c>
      <c r="O87">
        <f>IF(M87="","",IF(M87=1,0,N(E87)))</f>
        <v/>
      </c>
      <c r="P87">
        <f>IF(OR(K87="On the way",K87="Late"),H87+ROW()/10000000,"")</f>
        <v/>
      </c>
    </row>
    <row r="88">
      <c r="A88" s="1" t="n"/>
      <c r="B88" s="19" t="n"/>
      <c r="C88" s="20" t="n"/>
      <c r="D88" s="20" t="n"/>
      <c r="E88" s="21" t="n"/>
      <c r="F88" s="21" t="n"/>
      <c r="G88" s="22" t="n"/>
      <c r="H88" s="23" t="n"/>
      <c r="I88" s="22" t="n"/>
      <c r="J88" s="22" t="n"/>
      <c r="K88" s="11">
        <f>IF(AND(B88="",C88=""),"",IF(J88&lt;&gt;"","Wrapped",IF(I88&lt;&gt;"","To wrap",IF(AND(G88="",F88=""),"Idea",IF(H88="","To wrap",IF(H88&lt;TODAY(),"Late","On the way"))))))</f>
        <v/>
      </c>
      <c r="L88" s="1" t="n"/>
      <c r="M88">
        <f>IF(AND(B88="",C88=""),"",IF(OR(F88&lt;&gt;"",G88&lt;&gt;"",I88&lt;&gt;"",J88&lt;&gt;""),1,0))</f>
        <v/>
      </c>
      <c r="N88">
        <f>IF(M88="","",IF(M88=1,IF(F88&lt;&gt;"",N(F88),N(E88)),0))</f>
        <v/>
      </c>
      <c r="O88">
        <f>IF(M88="","",IF(M88=1,0,N(E88)))</f>
        <v/>
      </c>
      <c r="P88">
        <f>IF(OR(K88="On the way",K88="Late"),H88+ROW()/10000000,"")</f>
        <v/>
      </c>
    </row>
    <row r="89">
      <c r="A89" s="1" t="n"/>
      <c r="B89" s="19" t="n"/>
      <c r="C89" s="20" t="n"/>
      <c r="D89" s="20" t="n"/>
      <c r="E89" s="21" t="n"/>
      <c r="F89" s="21" t="n"/>
      <c r="G89" s="22" t="n"/>
      <c r="H89" s="23" t="n"/>
      <c r="I89" s="22" t="n"/>
      <c r="J89" s="22" t="n"/>
      <c r="K89" s="11">
        <f>IF(AND(B89="",C89=""),"",IF(J89&lt;&gt;"","Wrapped",IF(I89&lt;&gt;"","To wrap",IF(AND(G89="",F89=""),"Idea",IF(H89="","To wrap",IF(H89&lt;TODAY(),"Late","On the way"))))))</f>
        <v/>
      </c>
      <c r="L89" s="1" t="n"/>
      <c r="M89">
        <f>IF(AND(B89="",C89=""),"",IF(OR(F89&lt;&gt;"",G89&lt;&gt;"",I89&lt;&gt;"",J89&lt;&gt;""),1,0))</f>
        <v/>
      </c>
      <c r="N89">
        <f>IF(M89="","",IF(M89=1,IF(F89&lt;&gt;"",N(F89),N(E89)),0))</f>
        <v/>
      </c>
      <c r="O89">
        <f>IF(M89="","",IF(M89=1,0,N(E89)))</f>
        <v/>
      </c>
      <c r="P89">
        <f>IF(OR(K89="On the way",K89="Late"),H89+ROW()/10000000,"")</f>
        <v/>
      </c>
    </row>
    <row r="90">
      <c r="A90" s="1" t="n"/>
      <c r="B90" s="19" t="n"/>
      <c r="C90" s="20" t="n"/>
      <c r="D90" s="20" t="n"/>
      <c r="E90" s="21" t="n"/>
      <c r="F90" s="21" t="n"/>
      <c r="G90" s="22" t="n"/>
      <c r="H90" s="23" t="n"/>
      <c r="I90" s="22" t="n"/>
      <c r="J90" s="22" t="n"/>
      <c r="K90" s="11">
        <f>IF(AND(B90="",C90=""),"",IF(J90&lt;&gt;"","Wrapped",IF(I90&lt;&gt;"","To wrap",IF(AND(G90="",F90=""),"Idea",IF(H90="","To wrap",IF(H90&lt;TODAY(),"Late","On the way"))))))</f>
        <v/>
      </c>
      <c r="L90" s="1" t="n"/>
      <c r="M90">
        <f>IF(AND(B90="",C90=""),"",IF(OR(F90&lt;&gt;"",G90&lt;&gt;"",I90&lt;&gt;"",J90&lt;&gt;""),1,0))</f>
        <v/>
      </c>
      <c r="N90">
        <f>IF(M90="","",IF(M90=1,IF(F90&lt;&gt;"",N(F90),N(E90)),0))</f>
        <v/>
      </c>
      <c r="O90">
        <f>IF(M90="","",IF(M90=1,0,N(E90)))</f>
        <v/>
      </c>
      <c r="P90">
        <f>IF(OR(K90="On the way",K90="Late"),H90+ROW()/10000000,"")</f>
        <v/>
      </c>
    </row>
    <row r="91">
      <c r="A91" s="1" t="n"/>
      <c r="B91" s="19" t="n"/>
      <c r="C91" s="20" t="n"/>
      <c r="D91" s="20" t="n"/>
      <c r="E91" s="21" t="n"/>
      <c r="F91" s="21" t="n"/>
      <c r="G91" s="22" t="n"/>
      <c r="H91" s="23" t="n"/>
      <c r="I91" s="22" t="n"/>
      <c r="J91" s="22" t="n"/>
      <c r="K91" s="11">
        <f>IF(AND(B91="",C91=""),"",IF(J91&lt;&gt;"","Wrapped",IF(I91&lt;&gt;"","To wrap",IF(AND(G91="",F91=""),"Idea",IF(H91="","To wrap",IF(H91&lt;TODAY(),"Late","On the way"))))))</f>
        <v/>
      </c>
      <c r="L91" s="1" t="n"/>
      <c r="M91">
        <f>IF(AND(B91="",C91=""),"",IF(OR(F91&lt;&gt;"",G91&lt;&gt;"",I91&lt;&gt;"",J91&lt;&gt;""),1,0))</f>
        <v/>
      </c>
      <c r="N91">
        <f>IF(M91="","",IF(M91=1,IF(F91&lt;&gt;"",N(F91),N(E91)),0))</f>
        <v/>
      </c>
      <c r="O91">
        <f>IF(M91="","",IF(M91=1,0,N(E91)))</f>
        <v/>
      </c>
      <c r="P91">
        <f>IF(OR(K91="On the way",K91="Late"),H91+ROW()/10000000,"")</f>
        <v/>
      </c>
    </row>
    <row r="92">
      <c r="A92" s="1" t="n"/>
      <c r="B92" s="19" t="n"/>
      <c r="C92" s="20" t="n"/>
      <c r="D92" s="20" t="n"/>
      <c r="E92" s="21" t="n"/>
      <c r="F92" s="21" t="n"/>
      <c r="G92" s="22" t="n"/>
      <c r="H92" s="23" t="n"/>
      <c r="I92" s="22" t="n"/>
      <c r="J92" s="22" t="n"/>
      <c r="K92" s="11">
        <f>IF(AND(B92="",C92=""),"",IF(J92&lt;&gt;"","Wrapped",IF(I92&lt;&gt;"","To wrap",IF(AND(G92="",F92=""),"Idea",IF(H92="","To wrap",IF(H92&lt;TODAY(),"Late","On the way"))))))</f>
        <v/>
      </c>
      <c r="L92" s="1" t="n"/>
      <c r="M92">
        <f>IF(AND(B92="",C92=""),"",IF(OR(F92&lt;&gt;"",G92&lt;&gt;"",I92&lt;&gt;"",J92&lt;&gt;""),1,0))</f>
        <v/>
      </c>
      <c r="N92">
        <f>IF(M92="","",IF(M92=1,IF(F92&lt;&gt;"",N(F92),N(E92)),0))</f>
        <v/>
      </c>
      <c r="O92">
        <f>IF(M92="","",IF(M92=1,0,N(E92)))</f>
        <v/>
      </c>
      <c r="P92">
        <f>IF(OR(K92="On the way",K92="Late"),H92+ROW()/10000000,"")</f>
        <v/>
      </c>
    </row>
    <row r="93">
      <c r="A93" s="1" t="n"/>
      <c r="B93" s="19" t="n"/>
      <c r="C93" s="20" t="n"/>
      <c r="D93" s="20" t="n"/>
      <c r="E93" s="21" t="n"/>
      <c r="F93" s="21" t="n"/>
      <c r="G93" s="22" t="n"/>
      <c r="H93" s="23" t="n"/>
      <c r="I93" s="22" t="n"/>
      <c r="J93" s="22" t="n"/>
      <c r="K93" s="11">
        <f>IF(AND(B93="",C93=""),"",IF(J93&lt;&gt;"","Wrapped",IF(I93&lt;&gt;"","To wrap",IF(AND(G93="",F93=""),"Idea",IF(H93="","To wrap",IF(H93&lt;TODAY(),"Late","On the way"))))))</f>
        <v/>
      </c>
      <c r="L93" s="1" t="n"/>
      <c r="M93">
        <f>IF(AND(B93="",C93=""),"",IF(OR(F93&lt;&gt;"",G93&lt;&gt;"",I93&lt;&gt;"",J93&lt;&gt;""),1,0))</f>
        <v/>
      </c>
      <c r="N93">
        <f>IF(M93="","",IF(M93=1,IF(F93&lt;&gt;"",N(F93),N(E93)),0))</f>
        <v/>
      </c>
      <c r="O93">
        <f>IF(M93="","",IF(M93=1,0,N(E93)))</f>
        <v/>
      </c>
      <c r="P93">
        <f>IF(OR(K93="On the way",K93="Late"),H93+ROW()/10000000,"")</f>
        <v/>
      </c>
    </row>
    <row r="94">
      <c r="A94" s="1" t="n"/>
      <c r="B94" s="19" t="n"/>
      <c r="C94" s="20" t="n"/>
      <c r="D94" s="20" t="n"/>
      <c r="E94" s="21" t="n"/>
      <c r="F94" s="21" t="n"/>
      <c r="G94" s="22" t="n"/>
      <c r="H94" s="23" t="n"/>
      <c r="I94" s="22" t="n"/>
      <c r="J94" s="22" t="n"/>
      <c r="K94" s="11">
        <f>IF(AND(B94="",C94=""),"",IF(J94&lt;&gt;"","Wrapped",IF(I94&lt;&gt;"","To wrap",IF(AND(G94="",F94=""),"Idea",IF(H94="","To wrap",IF(H94&lt;TODAY(),"Late","On the way"))))))</f>
        <v/>
      </c>
      <c r="L94" s="1" t="n"/>
      <c r="M94">
        <f>IF(AND(B94="",C94=""),"",IF(OR(F94&lt;&gt;"",G94&lt;&gt;"",I94&lt;&gt;"",J94&lt;&gt;""),1,0))</f>
        <v/>
      </c>
      <c r="N94">
        <f>IF(M94="","",IF(M94=1,IF(F94&lt;&gt;"",N(F94),N(E94)),0))</f>
        <v/>
      </c>
      <c r="O94">
        <f>IF(M94="","",IF(M94=1,0,N(E94)))</f>
        <v/>
      </c>
      <c r="P94">
        <f>IF(OR(K94="On the way",K94="Late"),H94+ROW()/10000000,"")</f>
        <v/>
      </c>
    </row>
    <row r="95">
      <c r="A95" s="1" t="n"/>
      <c r="B95" s="19" t="n"/>
      <c r="C95" s="20" t="n"/>
      <c r="D95" s="20" t="n"/>
      <c r="E95" s="21" t="n"/>
      <c r="F95" s="21" t="n"/>
      <c r="G95" s="22" t="n"/>
      <c r="H95" s="23" t="n"/>
      <c r="I95" s="22" t="n"/>
      <c r="J95" s="22" t="n"/>
      <c r="K95" s="11">
        <f>IF(AND(B95="",C95=""),"",IF(J95&lt;&gt;"","Wrapped",IF(I95&lt;&gt;"","To wrap",IF(AND(G95="",F95=""),"Idea",IF(H95="","To wrap",IF(H95&lt;TODAY(),"Late","On the way"))))))</f>
        <v/>
      </c>
      <c r="L95" s="1" t="n"/>
      <c r="M95">
        <f>IF(AND(B95="",C95=""),"",IF(OR(F95&lt;&gt;"",G95&lt;&gt;"",I95&lt;&gt;"",J95&lt;&gt;""),1,0))</f>
        <v/>
      </c>
      <c r="N95">
        <f>IF(M95="","",IF(M95=1,IF(F95&lt;&gt;"",N(F95),N(E95)),0))</f>
        <v/>
      </c>
      <c r="O95">
        <f>IF(M95="","",IF(M95=1,0,N(E95)))</f>
        <v/>
      </c>
      <c r="P95">
        <f>IF(OR(K95="On the way",K95="Late"),H95+ROW()/10000000,"")</f>
        <v/>
      </c>
    </row>
    <row r="96">
      <c r="A96" s="1" t="n"/>
      <c r="B96" s="19" t="n"/>
      <c r="C96" s="20" t="n"/>
      <c r="D96" s="20" t="n"/>
      <c r="E96" s="21" t="n"/>
      <c r="F96" s="21" t="n"/>
      <c r="G96" s="22" t="n"/>
      <c r="H96" s="23" t="n"/>
      <c r="I96" s="22" t="n"/>
      <c r="J96" s="22" t="n"/>
      <c r="K96" s="11">
        <f>IF(AND(B96="",C96=""),"",IF(J96&lt;&gt;"","Wrapped",IF(I96&lt;&gt;"","To wrap",IF(AND(G96="",F96=""),"Idea",IF(H96="","To wrap",IF(H96&lt;TODAY(),"Late","On the way"))))))</f>
        <v/>
      </c>
      <c r="L96" s="1" t="n"/>
      <c r="M96">
        <f>IF(AND(B96="",C96=""),"",IF(OR(F96&lt;&gt;"",G96&lt;&gt;"",I96&lt;&gt;"",J96&lt;&gt;""),1,0))</f>
        <v/>
      </c>
      <c r="N96">
        <f>IF(M96="","",IF(M96=1,IF(F96&lt;&gt;"",N(F96),N(E96)),0))</f>
        <v/>
      </c>
      <c r="O96">
        <f>IF(M96="","",IF(M96=1,0,N(E96)))</f>
        <v/>
      </c>
      <c r="P96">
        <f>IF(OR(K96="On the way",K96="Late"),H96+ROW()/10000000,"")</f>
        <v/>
      </c>
    </row>
    <row r="97">
      <c r="A97" s="1" t="n"/>
      <c r="B97" s="19" t="n"/>
      <c r="C97" s="20" t="n"/>
      <c r="D97" s="20" t="n"/>
      <c r="E97" s="21" t="n"/>
      <c r="F97" s="21" t="n"/>
      <c r="G97" s="22" t="n"/>
      <c r="H97" s="23" t="n"/>
      <c r="I97" s="22" t="n"/>
      <c r="J97" s="22" t="n"/>
      <c r="K97" s="11">
        <f>IF(AND(B97="",C97=""),"",IF(J97&lt;&gt;"","Wrapped",IF(I97&lt;&gt;"","To wrap",IF(AND(G97="",F97=""),"Idea",IF(H97="","To wrap",IF(H97&lt;TODAY(),"Late","On the way"))))))</f>
        <v/>
      </c>
      <c r="L97" s="1" t="n"/>
      <c r="M97">
        <f>IF(AND(B97="",C97=""),"",IF(OR(F97&lt;&gt;"",G97&lt;&gt;"",I97&lt;&gt;"",J97&lt;&gt;""),1,0))</f>
        <v/>
      </c>
      <c r="N97">
        <f>IF(M97="","",IF(M97=1,IF(F97&lt;&gt;"",N(F97),N(E97)),0))</f>
        <v/>
      </c>
      <c r="O97">
        <f>IF(M97="","",IF(M97=1,0,N(E97)))</f>
        <v/>
      </c>
      <c r="P97">
        <f>IF(OR(K97="On the way",K97="Late"),H97+ROW()/10000000,"")</f>
        <v/>
      </c>
    </row>
    <row r="98">
      <c r="A98" s="1" t="n"/>
      <c r="B98" s="19" t="n"/>
      <c r="C98" s="20" t="n"/>
      <c r="D98" s="20" t="n"/>
      <c r="E98" s="21" t="n"/>
      <c r="F98" s="21" t="n"/>
      <c r="G98" s="22" t="n"/>
      <c r="H98" s="23" t="n"/>
      <c r="I98" s="22" t="n"/>
      <c r="J98" s="22" t="n"/>
      <c r="K98" s="11">
        <f>IF(AND(B98="",C98=""),"",IF(J98&lt;&gt;"","Wrapped",IF(I98&lt;&gt;"","To wrap",IF(AND(G98="",F98=""),"Idea",IF(H98="","To wrap",IF(H98&lt;TODAY(),"Late","On the way"))))))</f>
        <v/>
      </c>
      <c r="L98" s="1" t="n"/>
      <c r="M98">
        <f>IF(AND(B98="",C98=""),"",IF(OR(F98&lt;&gt;"",G98&lt;&gt;"",I98&lt;&gt;"",J98&lt;&gt;""),1,0))</f>
        <v/>
      </c>
      <c r="N98">
        <f>IF(M98="","",IF(M98=1,IF(F98&lt;&gt;"",N(F98),N(E98)),0))</f>
        <v/>
      </c>
      <c r="O98">
        <f>IF(M98="","",IF(M98=1,0,N(E98)))</f>
        <v/>
      </c>
      <c r="P98">
        <f>IF(OR(K98="On the way",K98="Late"),H98+ROW()/10000000,"")</f>
        <v/>
      </c>
    </row>
    <row r="99">
      <c r="A99" s="1" t="n"/>
      <c r="B99" s="19" t="n"/>
      <c r="C99" s="20" t="n"/>
      <c r="D99" s="20" t="n"/>
      <c r="E99" s="21" t="n"/>
      <c r="F99" s="21" t="n"/>
      <c r="G99" s="22" t="n"/>
      <c r="H99" s="23" t="n"/>
      <c r="I99" s="22" t="n"/>
      <c r="J99" s="22" t="n"/>
      <c r="K99" s="11">
        <f>IF(AND(B99="",C99=""),"",IF(J99&lt;&gt;"","Wrapped",IF(I99&lt;&gt;"","To wrap",IF(AND(G99="",F99=""),"Idea",IF(H99="","To wrap",IF(H99&lt;TODAY(),"Late","On the way"))))))</f>
        <v/>
      </c>
      <c r="L99" s="1" t="n"/>
      <c r="M99">
        <f>IF(AND(B99="",C99=""),"",IF(OR(F99&lt;&gt;"",G99&lt;&gt;"",I99&lt;&gt;"",J99&lt;&gt;""),1,0))</f>
        <v/>
      </c>
      <c r="N99">
        <f>IF(M99="","",IF(M99=1,IF(F99&lt;&gt;"",N(F99),N(E99)),0))</f>
        <v/>
      </c>
      <c r="O99">
        <f>IF(M99="","",IF(M99=1,0,N(E99)))</f>
        <v/>
      </c>
      <c r="P99">
        <f>IF(OR(K99="On the way",K99="Late"),H99+ROW()/10000000,"")</f>
        <v/>
      </c>
    </row>
    <row r="100">
      <c r="A100" s="1" t="n"/>
      <c r="B100" s="19" t="n"/>
      <c r="C100" s="20" t="n"/>
      <c r="D100" s="20" t="n"/>
      <c r="E100" s="21" t="n"/>
      <c r="F100" s="21" t="n"/>
      <c r="G100" s="22" t="n"/>
      <c r="H100" s="23" t="n"/>
      <c r="I100" s="22" t="n"/>
      <c r="J100" s="22" t="n"/>
      <c r="K100" s="11">
        <f>IF(AND(B100="",C100=""),"",IF(J100&lt;&gt;"","Wrapped",IF(I100&lt;&gt;"","To wrap",IF(AND(G100="",F100=""),"Idea",IF(H100="","To wrap",IF(H100&lt;TODAY(),"Late","On the way"))))))</f>
        <v/>
      </c>
      <c r="L100" s="1" t="n"/>
      <c r="M100">
        <f>IF(AND(B100="",C100=""),"",IF(OR(F100&lt;&gt;"",G100&lt;&gt;"",I100&lt;&gt;"",J100&lt;&gt;""),1,0))</f>
        <v/>
      </c>
      <c r="N100">
        <f>IF(M100="","",IF(M100=1,IF(F100&lt;&gt;"",N(F100),N(E100)),0))</f>
        <v/>
      </c>
      <c r="O100">
        <f>IF(M100="","",IF(M100=1,0,N(E100)))</f>
        <v/>
      </c>
      <c r="P100">
        <f>IF(OR(K100="On the way",K100="Late"),H100+ROW()/10000000,"")</f>
        <v/>
      </c>
    </row>
    <row r="101">
      <c r="A101" s="1" t="n"/>
      <c r="B101" s="19" t="n"/>
      <c r="C101" s="20" t="n"/>
      <c r="D101" s="20" t="n"/>
      <c r="E101" s="21" t="n"/>
      <c r="F101" s="21" t="n"/>
      <c r="G101" s="22" t="n"/>
      <c r="H101" s="23" t="n"/>
      <c r="I101" s="22" t="n"/>
      <c r="J101" s="22" t="n"/>
      <c r="K101" s="11">
        <f>IF(AND(B101="",C101=""),"",IF(J101&lt;&gt;"","Wrapped",IF(I101&lt;&gt;"","To wrap",IF(AND(G101="",F101=""),"Idea",IF(H101="","To wrap",IF(H101&lt;TODAY(),"Late","On the way"))))))</f>
        <v/>
      </c>
      <c r="L101" s="1" t="n"/>
      <c r="M101">
        <f>IF(AND(B101="",C101=""),"",IF(OR(F101&lt;&gt;"",G101&lt;&gt;"",I101&lt;&gt;"",J101&lt;&gt;""),1,0))</f>
        <v/>
      </c>
      <c r="N101">
        <f>IF(M101="","",IF(M101=1,IF(F101&lt;&gt;"",N(F101),N(E101)),0))</f>
        <v/>
      </c>
      <c r="O101">
        <f>IF(M101="","",IF(M101=1,0,N(E101)))</f>
        <v/>
      </c>
      <c r="P101">
        <f>IF(OR(K101="On the way",K101="Late"),H101+ROW()/10000000,"")</f>
        <v/>
      </c>
    </row>
    <row r="102">
      <c r="A102" s="1" t="n"/>
      <c r="B102" s="19" t="n"/>
      <c r="C102" s="20" t="n"/>
      <c r="D102" s="20" t="n"/>
      <c r="E102" s="21" t="n"/>
      <c r="F102" s="21" t="n"/>
      <c r="G102" s="22" t="n"/>
      <c r="H102" s="23" t="n"/>
      <c r="I102" s="22" t="n"/>
      <c r="J102" s="22" t="n"/>
      <c r="K102" s="11">
        <f>IF(AND(B102="",C102=""),"",IF(J102&lt;&gt;"","Wrapped",IF(I102&lt;&gt;"","To wrap",IF(AND(G102="",F102=""),"Idea",IF(H102="","To wrap",IF(H102&lt;TODAY(),"Late","On the way"))))))</f>
        <v/>
      </c>
      <c r="L102" s="1" t="n"/>
      <c r="M102">
        <f>IF(AND(B102="",C102=""),"",IF(OR(F102&lt;&gt;"",G102&lt;&gt;"",I102&lt;&gt;"",J102&lt;&gt;""),1,0))</f>
        <v/>
      </c>
      <c r="N102">
        <f>IF(M102="","",IF(M102=1,IF(F102&lt;&gt;"",N(F102),N(E102)),0))</f>
        <v/>
      </c>
      <c r="O102">
        <f>IF(M102="","",IF(M102=1,0,N(E102)))</f>
        <v/>
      </c>
      <c r="P102">
        <f>IF(OR(K102="On the way",K102="Late"),H102+ROW()/10000000,"")</f>
        <v/>
      </c>
    </row>
    <row r="103">
      <c r="A103" s="1" t="n"/>
      <c r="B103" s="19" t="n"/>
      <c r="C103" s="20" t="n"/>
      <c r="D103" s="20" t="n"/>
      <c r="E103" s="21" t="n"/>
      <c r="F103" s="21" t="n"/>
      <c r="G103" s="22" t="n"/>
      <c r="H103" s="23" t="n"/>
      <c r="I103" s="22" t="n"/>
      <c r="J103" s="22" t="n"/>
      <c r="K103" s="11">
        <f>IF(AND(B103="",C103=""),"",IF(J103&lt;&gt;"","Wrapped",IF(I103&lt;&gt;"","To wrap",IF(AND(G103="",F103=""),"Idea",IF(H103="","To wrap",IF(H103&lt;TODAY(),"Late","On the way"))))))</f>
        <v/>
      </c>
      <c r="L103" s="1" t="n"/>
      <c r="M103">
        <f>IF(AND(B103="",C103=""),"",IF(OR(F103&lt;&gt;"",G103&lt;&gt;"",I103&lt;&gt;"",J103&lt;&gt;""),1,0))</f>
        <v/>
      </c>
      <c r="N103">
        <f>IF(M103="","",IF(M103=1,IF(F103&lt;&gt;"",N(F103),N(E103)),0))</f>
        <v/>
      </c>
      <c r="O103">
        <f>IF(M103="","",IF(M103=1,0,N(E103)))</f>
        <v/>
      </c>
      <c r="P103">
        <f>IF(OR(K103="On the way",K103="Late"),H103+ROW()/10000000,"")</f>
        <v/>
      </c>
    </row>
    <row r="104">
      <c r="A104" s="1" t="n"/>
      <c r="B104" s="19" t="n"/>
      <c r="C104" s="20" t="n"/>
      <c r="D104" s="20" t="n"/>
      <c r="E104" s="21" t="n"/>
      <c r="F104" s="21" t="n"/>
      <c r="G104" s="22" t="n"/>
      <c r="H104" s="23" t="n"/>
      <c r="I104" s="22" t="n"/>
      <c r="J104" s="22" t="n"/>
      <c r="K104" s="11">
        <f>IF(AND(B104="",C104=""),"",IF(J104&lt;&gt;"","Wrapped",IF(I104&lt;&gt;"","To wrap",IF(AND(G104="",F104=""),"Idea",IF(H104="","To wrap",IF(H104&lt;TODAY(),"Late","On the way"))))))</f>
        <v/>
      </c>
      <c r="L104" s="1" t="n"/>
      <c r="M104">
        <f>IF(AND(B104="",C104=""),"",IF(OR(F104&lt;&gt;"",G104&lt;&gt;"",I104&lt;&gt;"",J104&lt;&gt;""),1,0))</f>
        <v/>
      </c>
      <c r="N104">
        <f>IF(M104="","",IF(M104=1,IF(F104&lt;&gt;"",N(F104),N(E104)),0))</f>
        <v/>
      </c>
      <c r="O104">
        <f>IF(M104="","",IF(M104=1,0,N(E104)))</f>
        <v/>
      </c>
      <c r="P104">
        <f>IF(OR(K104="On the way",K104="Late"),H104+ROW()/10000000,"")</f>
        <v/>
      </c>
    </row>
    <row r="105">
      <c r="A105" s="1" t="n"/>
      <c r="B105" s="19" t="n"/>
      <c r="C105" s="20" t="n"/>
      <c r="D105" s="20" t="n"/>
      <c r="E105" s="21" t="n"/>
      <c r="F105" s="21" t="n"/>
      <c r="G105" s="22" t="n"/>
      <c r="H105" s="23" t="n"/>
      <c r="I105" s="22" t="n"/>
      <c r="J105" s="22" t="n"/>
      <c r="K105" s="11">
        <f>IF(AND(B105="",C105=""),"",IF(J105&lt;&gt;"","Wrapped",IF(I105&lt;&gt;"","To wrap",IF(AND(G105="",F105=""),"Idea",IF(H105="","To wrap",IF(H105&lt;TODAY(),"Late","On the way"))))))</f>
        <v/>
      </c>
      <c r="L105" s="1" t="n"/>
      <c r="M105">
        <f>IF(AND(B105="",C105=""),"",IF(OR(F105&lt;&gt;"",G105&lt;&gt;"",I105&lt;&gt;"",J105&lt;&gt;""),1,0))</f>
        <v/>
      </c>
      <c r="N105">
        <f>IF(M105="","",IF(M105=1,IF(F105&lt;&gt;"",N(F105),N(E105)),0))</f>
        <v/>
      </c>
      <c r="O105">
        <f>IF(M105="","",IF(M105=1,0,N(E105)))</f>
        <v/>
      </c>
      <c r="P105">
        <f>IF(OR(K105="On the way",K105="Late"),H105+ROW()/10000000,"")</f>
        <v/>
      </c>
    </row>
    <row r="106">
      <c r="A106" s="1" t="n"/>
      <c r="B106" s="19" t="n"/>
      <c r="C106" s="20" t="n"/>
      <c r="D106" s="20" t="n"/>
      <c r="E106" s="21" t="n"/>
      <c r="F106" s="21" t="n"/>
      <c r="G106" s="22" t="n"/>
      <c r="H106" s="23" t="n"/>
      <c r="I106" s="22" t="n"/>
      <c r="J106" s="22" t="n"/>
      <c r="K106" s="11">
        <f>IF(AND(B106="",C106=""),"",IF(J106&lt;&gt;"","Wrapped",IF(I106&lt;&gt;"","To wrap",IF(AND(G106="",F106=""),"Idea",IF(H106="","To wrap",IF(H106&lt;TODAY(),"Late","On the way"))))))</f>
        <v/>
      </c>
      <c r="L106" s="1" t="n"/>
      <c r="M106">
        <f>IF(AND(B106="",C106=""),"",IF(OR(F106&lt;&gt;"",G106&lt;&gt;"",I106&lt;&gt;"",J106&lt;&gt;""),1,0))</f>
        <v/>
      </c>
      <c r="N106">
        <f>IF(M106="","",IF(M106=1,IF(F106&lt;&gt;"",N(F106),N(E106)),0))</f>
        <v/>
      </c>
      <c r="O106">
        <f>IF(M106="","",IF(M106=1,0,N(E106)))</f>
        <v/>
      </c>
      <c r="P106">
        <f>IF(OR(K106="On the way",K106="Late"),H106+ROW()/10000000,"")</f>
        <v/>
      </c>
    </row>
    <row r="107">
      <c r="A107" s="1" t="n"/>
      <c r="B107" s="19" t="n"/>
      <c r="C107" s="20" t="n"/>
      <c r="D107" s="20" t="n"/>
      <c r="E107" s="21" t="n"/>
      <c r="F107" s="21" t="n"/>
      <c r="G107" s="22" t="n"/>
      <c r="H107" s="23" t="n"/>
      <c r="I107" s="22" t="n"/>
      <c r="J107" s="22" t="n"/>
      <c r="K107" s="11">
        <f>IF(AND(B107="",C107=""),"",IF(J107&lt;&gt;"","Wrapped",IF(I107&lt;&gt;"","To wrap",IF(AND(G107="",F107=""),"Idea",IF(H107="","To wrap",IF(H107&lt;TODAY(),"Late","On the way"))))))</f>
        <v/>
      </c>
      <c r="L107" s="1" t="n"/>
      <c r="M107">
        <f>IF(AND(B107="",C107=""),"",IF(OR(F107&lt;&gt;"",G107&lt;&gt;"",I107&lt;&gt;"",J107&lt;&gt;""),1,0))</f>
        <v/>
      </c>
      <c r="N107">
        <f>IF(M107="","",IF(M107=1,IF(F107&lt;&gt;"",N(F107),N(E107)),0))</f>
        <v/>
      </c>
      <c r="O107">
        <f>IF(M107="","",IF(M107=1,0,N(E107)))</f>
        <v/>
      </c>
      <c r="P107">
        <f>IF(OR(K107="On the way",K107="Late"),H107+ROW()/10000000,"")</f>
        <v/>
      </c>
    </row>
    <row r="108">
      <c r="A108" s="1" t="n"/>
      <c r="B108" s="19" t="n"/>
      <c r="C108" s="20" t="n"/>
      <c r="D108" s="20" t="n"/>
      <c r="E108" s="21" t="n"/>
      <c r="F108" s="21" t="n"/>
      <c r="G108" s="22" t="n"/>
      <c r="H108" s="23" t="n"/>
      <c r="I108" s="22" t="n"/>
      <c r="J108" s="22" t="n"/>
      <c r="K108" s="11">
        <f>IF(AND(B108="",C108=""),"",IF(J108&lt;&gt;"","Wrapped",IF(I108&lt;&gt;"","To wrap",IF(AND(G108="",F108=""),"Idea",IF(H108="","To wrap",IF(H108&lt;TODAY(),"Late","On the way"))))))</f>
        <v/>
      </c>
      <c r="L108" s="1" t="n"/>
      <c r="M108">
        <f>IF(AND(B108="",C108=""),"",IF(OR(F108&lt;&gt;"",G108&lt;&gt;"",I108&lt;&gt;"",J108&lt;&gt;""),1,0))</f>
        <v/>
      </c>
      <c r="N108">
        <f>IF(M108="","",IF(M108=1,IF(F108&lt;&gt;"",N(F108),N(E108)),0))</f>
        <v/>
      </c>
      <c r="O108">
        <f>IF(M108="","",IF(M108=1,0,N(E108)))</f>
        <v/>
      </c>
      <c r="P108">
        <f>IF(OR(K108="On the way",K108="Late"),H108+ROW()/10000000,"")</f>
        <v/>
      </c>
    </row>
    <row r="109">
      <c r="A109" s="1" t="n"/>
      <c r="B109" s="19" t="n"/>
      <c r="C109" s="20" t="n"/>
      <c r="D109" s="20" t="n"/>
      <c r="E109" s="21" t="n"/>
      <c r="F109" s="21" t="n"/>
      <c r="G109" s="22" t="n"/>
      <c r="H109" s="23" t="n"/>
      <c r="I109" s="22" t="n"/>
      <c r="J109" s="22" t="n"/>
      <c r="K109" s="11">
        <f>IF(AND(B109="",C109=""),"",IF(J109&lt;&gt;"","Wrapped",IF(I109&lt;&gt;"","To wrap",IF(AND(G109="",F109=""),"Idea",IF(H109="","To wrap",IF(H109&lt;TODAY(),"Late","On the way"))))))</f>
        <v/>
      </c>
      <c r="L109" s="1" t="n"/>
      <c r="M109">
        <f>IF(AND(B109="",C109=""),"",IF(OR(F109&lt;&gt;"",G109&lt;&gt;"",I109&lt;&gt;"",J109&lt;&gt;""),1,0))</f>
        <v/>
      </c>
      <c r="N109">
        <f>IF(M109="","",IF(M109=1,IF(F109&lt;&gt;"",N(F109),N(E109)),0))</f>
        <v/>
      </c>
      <c r="O109">
        <f>IF(M109="","",IF(M109=1,0,N(E109)))</f>
        <v/>
      </c>
      <c r="P109">
        <f>IF(OR(K109="On the way",K109="Late"),H109+ROW()/10000000,"")</f>
        <v/>
      </c>
    </row>
    <row r="110">
      <c r="A110" s="1" t="n"/>
      <c r="B110" s="19" t="n"/>
      <c r="C110" s="20" t="n"/>
      <c r="D110" s="20" t="n"/>
      <c r="E110" s="21" t="n"/>
      <c r="F110" s="21" t="n"/>
      <c r="G110" s="22" t="n"/>
      <c r="H110" s="23" t="n"/>
      <c r="I110" s="22" t="n"/>
      <c r="J110" s="22" t="n"/>
      <c r="K110" s="11">
        <f>IF(AND(B110="",C110=""),"",IF(J110&lt;&gt;"","Wrapped",IF(I110&lt;&gt;"","To wrap",IF(AND(G110="",F110=""),"Idea",IF(H110="","To wrap",IF(H110&lt;TODAY(),"Late","On the way"))))))</f>
        <v/>
      </c>
      <c r="L110" s="1" t="n"/>
      <c r="M110">
        <f>IF(AND(B110="",C110=""),"",IF(OR(F110&lt;&gt;"",G110&lt;&gt;"",I110&lt;&gt;"",J110&lt;&gt;""),1,0))</f>
        <v/>
      </c>
      <c r="N110">
        <f>IF(M110="","",IF(M110=1,IF(F110&lt;&gt;"",N(F110),N(E110)),0))</f>
        <v/>
      </c>
      <c r="O110">
        <f>IF(M110="","",IF(M110=1,0,N(E110)))</f>
        <v/>
      </c>
      <c r="P110">
        <f>IF(OR(K110="On the way",K110="Late"),H110+ROW()/10000000,"")</f>
        <v/>
      </c>
    </row>
    <row r="111">
      <c r="A111" s="1" t="n"/>
      <c r="B111" s="19" t="n"/>
      <c r="C111" s="20" t="n"/>
      <c r="D111" s="20" t="n"/>
      <c r="E111" s="21" t="n"/>
      <c r="F111" s="21" t="n"/>
      <c r="G111" s="22" t="n"/>
      <c r="H111" s="23" t="n"/>
      <c r="I111" s="22" t="n"/>
      <c r="J111" s="22" t="n"/>
      <c r="K111" s="11">
        <f>IF(AND(B111="",C111=""),"",IF(J111&lt;&gt;"","Wrapped",IF(I111&lt;&gt;"","To wrap",IF(AND(G111="",F111=""),"Idea",IF(H111="","To wrap",IF(H111&lt;TODAY(),"Late","On the way"))))))</f>
        <v/>
      </c>
      <c r="L111" s="1" t="n"/>
      <c r="M111">
        <f>IF(AND(B111="",C111=""),"",IF(OR(F111&lt;&gt;"",G111&lt;&gt;"",I111&lt;&gt;"",J111&lt;&gt;""),1,0))</f>
        <v/>
      </c>
      <c r="N111">
        <f>IF(M111="","",IF(M111=1,IF(F111&lt;&gt;"",N(F111),N(E111)),0))</f>
        <v/>
      </c>
      <c r="O111">
        <f>IF(M111="","",IF(M111=1,0,N(E111)))</f>
        <v/>
      </c>
      <c r="P111">
        <f>IF(OR(K111="On the way",K111="Late"),H111+ROW()/10000000,"")</f>
        <v/>
      </c>
    </row>
    <row r="112">
      <c r="A112" s="1" t="n"/>
      <c r="B112" s="19" t="n"/>
      <c r="C112" s="20" t="n"/>
      <c r="D112" s="20" t="n"/>
      <c r="E112" s="21" t="n"/>
      <c r="F112" s="21" t="n"/>
      <c r="G112" s="22" t="n"/>
      <c r="H112" s="23" t="n"/>
      <c r="I112" s="22" t="n"/>
      <c r="J112" s="22" t="n"/>
      <c r="K112" s="11">
        <f>IF(AND(B112="",C112=""),"",IF(J112&lt;&gt;"","Wrapped",IF(I112&lt;&gt;"","To wrap",IF(AND(G112="",F112=""),"Idea",IF(H112="","To wrap",IF(H112&lt;TODAY(),"Late","On the way"))))))</f>
        <v/>
      </c>
      <c r="L112" s="1" t="n"/>
      <c r="M112">
        <f>IF(AND(B112="",C112=""),"",IF(OR(F112&lt;&gt;"",G112&lt;&gt;"",I112&lt;&gt;"",J112&lt;&gt;""),1,0))</f>
        <v/>
      </c>
      <c r="N112">
        <f>IF(M112="","",IF(M112=1,IF(F112&lt;&gt;"",N(F112),N(E112)),0))</f>
        <v/>
      </c>
      <c r="O112">
        <f>IF(M112="","",IF(M112=1,0,N(E112)))</f>
        <v/>
      </c>
      <c r="P112">
        <f>IF(OR(K112="On the way",K112="Late"),H112+ROW()/10000000,"")</f>
        <v/>
      </c>
    </row>
    <row r="113">
      <c r="A113" s="1" t="n"/>
      <c r="B113" s="19" t="n"/>
      <c r="C113" s="20" t="n"/>
      <c r="D113" s="20" t="n"/>
      <c r="E113" s="21" t="n"/>
      <c r="F113" s="21" t="n"/>
      <c r="G113" s="22" t="n"/>
      <c r="H113" s="23" t="n"/>
      <c r="I113" s="22" t="n"/>
      <c r="J113" s="22" t="n"/>
      <c r="K113" s="11">
        <f>IF(AND(B113="",C113=""),"",IF(J113&lt;&gt;"","Wrapped",IF(I113&lt;&gt;"","To wrap",IF(AND(G113="",F113=""),"Idea",IF(H113="","To wrap",IF(H113&lt;TODAY(),"Late","On the way"))))))</f>
        <v/>
      </c>
      <c r="L113" s="1" t="n"/>
      <c r="M113">
        <f>IF(AND(B113="",C113=""),"",IF(OR(F113&lt;&gt;"",G113&lt;&gt;"",I113&lt;&gt;"",J113&lt;&gt;""),1,0))</f>
        <v/>
      </c>
      <c r="N113">
        <f>IF(M113="","",IF(M113=1,IF(F113&lt;&gt;"",N(F113),N(E113)),0))</f>
        <v/>
      </c>
      <c r="O113">
        <f>IF(M113="","",IF(M113=1,0,N(E113)))</f>
        <v/>
      </c>
      <c r="P113">
        <f>IF(OR(K113="On the way",K113="Late"),H113+ROW()/10000000,"")</f>
        <v/>
      </c>
    </row>
    <row r="114">
      <c r="A114" s="1" t="n"/>
      <c r="B114" s="19" t="n"/>
      <c r="C114" s="20" t="n"/>
      <c r="D114" s="20" t="n"/>
      <c r="E114" s="21" t="n"/>
      <c r="F114" s="21" t="n"/>
      <c r="G114" s="22" t="n"/>
      <c r="H114" s="23" t="n"/>
      <c r="I114" s="22" t="n"/>
      <c r="J114" s="22" t="n"/>
      <c r="K114" s="11">
        <f>IF(AND(B114="",C114=""),"",IF(J114&lt;&gt;"","Wrapped",IF(I114&lt;&gt;"","To wrap",IF(AND(G114="",F114=""),"Idea",IF(H114="","To wrap",IF(H114&lt;TODAY(),"Late","On the way"))))))</f>
        <v/>
      </c>
      <c r="L114" s="1" t="n"/>
      <c r="M114">
        <f>IF(AND(B114="",C114=""),"",IF(OR(F114&lt;&gt;"",G114&lt;&gt;"",I114&lt;&gt;"",J114&lt;&gt;""),1,0))</f>
        <v/>
      </c>
      <c r="N114">
        <f>IF(M114="","",IF(M114=1,IF(F114&lt;&gt;"",N(F114),N(E114)),0))</f>
        <v/>
      </c>
      <c r="O114">
        <f>IF(M114="","",IF(M114=1,0,N(E114)))</f>
        <v/>
      </c>
      <c r="P114">
        <f>IF(OR(K114="On the way",K114="Late"),H114+ROW()/10000000,"")</f>
        <v/>
      </c>
    </row>
    <row r="115">
      <c r="A115" s="1" t="n"/>
      <c r="B115" s="19" t="n"/>
      <c r="C115" s="20" t="n"/>
      <c r="D115" s="20" t="n"/>
      <c r="E115" s="21" t="n"/>
      <c r="F115" s="21" t="n"/>
      <c r="G115" s="22" t="n"/>
      <c r="H115" s="23" t="n"/>
      <c r="I115" s="22" t="n"/>
      <c r="J115" s="22" t="n"/>
      <c r="K115" s="11">
        <f>IF(AND(B115="",C115=""),"",IF(J115&lt;&gt;"","Wrapped",IF(I115&lt;&gt;"","To wrap",IF(AND(G115="",F115=""),"Idea",IF(H115="","To wrap",IF(H115&lt;TODAY(),"Late","On the way"))))))</f>
        <v/>
      </c>
      <c r="L115" s="1" t="n"/>
      <c r="M115">
        <f>IF(AND(B115="",C115=""),"",IF(OR(F115&lt;&gt;"",G115&lt;&gt;"",I115&lt;&gt;"",J115&lt;&gt;""),1,0))</f>
        <v/>
      </c>
      <c r="N115">
        <f>IF(M115="","",IF(M115=1,IF(F115&lt;&gt;"",N(F115),N(E115)),0))</f>
        <v/>
      </c>
      <c r="O115">
        <f>IF(M115="","",IF(M115=1,0,N(E115)))</f>
        <v/>
      </c>
      <c r="P115">
        <f>IF(OR(K115="On the way",K115="Late"),H115+ROW()/10000000,"")</f>
        <v/>
      </c>
    </row>
    <row r="116">
      <c r="A116" s="1" t="n"/>
      <c r="B116" s="19" t="n"/>
      <c r="C116" s="20" t="n"/>
      <c r="D116" s="20" t="n"/>
      <c r="E116" s="21" t="n"/>
      <c r="F116" s="21" t="n"/>
      <c r="G116" s="22" t="n"/>
      <c r="H116" s="23" t="n"/>
      <c r="I116" s="22" t="n"/>
      <c r="J116" s="22" t="n"/>
      <c r="K116" s="11">
        <f>IF(AND(B116="",C116=""),"",IF(J116&lt;&gt;"","Wrapped",IF(I116&lt;&gt;"","To wrap",IF(AND(G116="",F116=""),"Idea",IF(H116="","To wrap",IF(H116&lt;TODAY(),"Late","On the way"))))))</f>
        <v/>
      </c>
      <c r="L116" s="1" t="n"/>
      <c r="M116">
        <f>IF(AND(B116="",C116=""),"",IF(OR(F116&lt;&gt;"",G116&lt;&gt;"",I116&lt;&gt;"",J116&lt;&gt;""),1,0))</f>
        <v/>
      </c>
      <c r="N116">
        <f>IF(M116="","",IF(M116=1,IF(F116&lt;&gt;"",N(F116),N(E116)),0))</f>
        <v/>
      </c>
      <c r="O116">
        <f>IF(M116="","",IF(M116=1,0,N(E116)))</f>
        <v/>
      </c>
      <c r="P116">
        <f>IF(OR(K116="On the way",K116="Late"),H116+ROW()/10000000,"")</f>
        <v/>
      </c>
    </row>
    <row r="117">
      <c r="A117" s="1" t="n"/>
      <c r="B117" s="19" t="n"/>
      <c r="C117" s="20" t="n"/>
      <c r="D117" s="20" t="n"/>
      <c r="E117" s="21" t="n"/>
      <c r="F117" s="21" t="n"/>
      <c r="G117" s="22" t="n"/>
      <c r="H117" s="23" t="n"/>
      <c r="I117" s="22" t="n"/>
      <c r="J117" s="22" t="n"/>
      <c r="K117" s="11">
        <f>IF(AND(B117="",C117=""),"",IF(J117&lt;&gt;"","Wrapped",IF(I117&lt;&gt;"","To wrap",IF(AND(G117="",F117=""),"Idea",IF(H117="","To wrap",IF(H117&lt;TODAY(),"Late","On the way"))))))</f>
        <v/>
      </c>
      <c r="L117" s="1" t="n"/>
      <c r="M117">
        <f>IF(AND(B117="",C117=""),"",IF(OR(F117&lt;&gt;"",G117&lt;&gt;"",I117&lt;&gt;"",J117&lt;&gt;""),1,0))</f>
        <v/>
      </c>
      <c r="N117">
        <f>IF(M117="","",IF(M117=1,IF(F117&lt;&gt;"",N(F117),N(E117)),0))</f>
        <v/>
      </c>
      <c r="O117">
        <f>IF(M117="","",IF(M117=1,0,N(E117)))</f>
        <v/>
      </c>
      <c r="P117">
        <f>IF(OR(K117="On the way",K117="Late"),H117+ROW()/10000000,"")</f>
        <v/>
      </c>
    </row>
    <row r="118">
      <c r="A118" s="1" t="n"/>
      <c r="B118" s="19" t="n"/>
      <c r="C118" s="20" t="n"/>
      <c r="D118" s="20" t="n"/>
      <c r="E118" s="21" t="n"/>
      <c r="F118" s="21" t="n"/>
      <c r="G118" s="22" t="n"/>
      <c r="H118" s="23" t="n"/>
      <c r="I118" s="22" t="n"/>
      <c r="J118" s="22" t="n"/>
      <c r="K118" s="11">
        <f>IF(AND(B118="",C118=""),"",IF(J118&lt;&gt;"","Wrapped",IF(I118&lt;&gt;"","To wrap",IF(AND(G118="",F118=""),"Idea",IF(H118="","To wrap",IF(H118&lt;TODAY(),"Late","On the way"))))))</f>
        <v/>
      </c>
      <c r="L118" s="1" t="n"/>
      <c r="M118">
        <f>IF(AND(B118="",C118=""),"",IF(OR(F118&lt;&gt;"",G118&lt;&gt;"",I118&lt;&gt;"",J118&lt;&gt;""),1,0))</f>
        <v/>
      </c>
      <c r="N118">
        <f>IF(M118="","",IF(M118=1,IF(F118&lt;&gt;"",N(F118),N(E118)),0))</f>
        <v/>
      </c>
      <c r="O118">
        <f>IF(M118="","",IF(M118=1,0,N(E118)))</f>
        <v/>
      </c>
      <c r="P118">
        <f>IF(OR(K118="On the way",K118="Late"),H118+ROW()/10000000,"")</f>
        <v/>
      </c>
    </row>
    <row r="119">
      <c r="A119" s="1" t="n"/>
      <c r="B119" s="19" t="n"/>
      <c r="C119" s="20" t="n"/>
      <c r="D119" s="20" t="n"/>
      <c r="E119" s="21" t="n"/>
      <c r="F119" s="21" t="n"/>
      <c r="G119" s="22" t="n"/>
      <c r="H119" s="23" t="n"/>
      <c r="I119" s="22" t="n"/>
      <c r="J119" s="22" t="n"/>
      <c r="K119" s="11">
        <f>IF(AND(B119="",C119=""),"",IF(J119&lt;&gt;"","Wrapped",IF(I119&lt;&gt;"","To wrap",IF(AND(G119="",F119=""),"Idea",IF(H119="","To wrap",IF(H119&lt;TODAY(),"Late","On the way"))))))</f>
        <v/>
      </c>
      <c r="L119" s="1" t="n"/>
      <c r="M119">
        <f>IF(AND(B119="",C119=""),"",IF(OR(F119&lt;&gt;"",G119&lt;&gt;"",I119&lt;&gt;"",J119&lt;&gt;""),1,0))</f>
        <v/>
      </c>
      <c r="N119">
        <f>IF(M119="","",IF(M119=1,IF(F119&lt;&gt;"",N(F119),N(E119)),0))</f>
        <v/>
      </c>
      <c r="O119">
        <f>IF(M119="","",IF(M119=1,0,N(E119)))</f>
        <v/>
      </c>
      <c r="P119">
        <f>IF(OR(K119="On the way",K119="Late"),H119+ROW()/10000000,"")</f>
        <v/>
      </c>
    </row>
    <row r="120">
      <c r="A120" s="1" t="n"/>
      <c r="B120" s="19" t="n"/>
      <c r="C120" s="20" t="n"/>
      <c r="D120" s="20" t="n"/>
      <c r="E120" s="21" t="n"/>
      <c r="F120" s="21" t="n"/>
      <c r="G120" s="22" t="n"/>
      <c r="H120" s="23" t="n"/>
      <c r="I120" s="22" t="n"/>
      <c r="J120" s="22" t="n"/>
      <c r="K120" s="11">
        <f>IF(AND(B120="",C120=""),"",IF(J120&lt;&gt;"","Wrapped",IF(I120&lt;&gt;"","To wrap",IF(AND(G120="",F120=""),"Idea",IF(H120="","To wrap",IF(H120&lt;TODAY(),"Late","On the way"))))))</f>
        <v/>
      </c>
      <c r="L120" s="1" t="n"/>
      <c r="M120">
        <f>IF(AND(B120="",C120=""),"",IF(OR(F120&lt;&gt;"",G120&lt;&gt;"",I120&lt;&gt;"",J120&lt;&gt;""),1,0))</f>
        <v/>
      </c>
      <c r="N120">
        <f>IF(M120="","",IF(M120=1,IF(F120&lt;&gt;"",N(F120),N(E120)),0))</f>
        <v/>
      </c>
      <c r="O120">
        <f>IF(M120="","",IF(M120=1,0,N(E120)))</f>
        <v/>
      </c>
      <c r="P120">
        <f>IF(OR(K120="On the way",K120="Late"),H120+ROW()/10000000,"")</f>
        <v/>
      </c>
    </row>
    <row r="121">
      <c r="A121" s="1" t="n"/>
      <c r="B121" s="19" t="n"/>
      <c r="C121" s="20" t="n"/>
      <c r="D121" s="20" t="n"/>
      <c r="E121" s="21" t="n"/>
      <c r="F121" s="21" t="n"/>
      <c r="G121" s="22" t="n"/>
      <c r="H121" s="23" t="n"/>
      <c r="I121" s="22" t="n"/>
      <c r="J121" s="22" t="n"/>
      <c r="K121" s="11">
        <f>IF(AND(B121="",C121=""),"",IF(J121&lt;&gt;"","Wrapped",IF(I121&lt;&gt;"","To wrap",IF(AND(G121="",F121=""),"Idea",IF(H121="","To wrap",IF(H121&lt;TODAY(),"Late","On the way"))))))</f>
        <v/>
      </c>
      <c r="L121" s="1" t="n"/>
      <c r="M121">
        <f>IF(AND(B121="",C121=""),"",IF(OR(F121&lt;&gt;"",G121&lt;&gt;"",I121&lt;&gt;"",J121&lt;&gt;""),1,0))</f>
        <v/>
      </c>
      <c r="N121">
        <f>IF(M121="","",IF(M121=1,IF(F121&lt;&gt;"",N(F121),N(E121)),0))</f>
        <v/>
      </c>
      <c r="O121">
        <f>IF(M121="","",IF(M121=1,0,N(E121)))</f>
        <v/>
      </c>
      <c r="P121">
        <f>IF(OR(K121="On the way",K121="Late"),H121+ROW()/10000000,"")</f>
        <v/>
      </c>
    </row>
    <row r="122">
      <c r="A122" s="1" t="n"/>
      <c r="B122" s="19" t="n"/>
      <c r="C122" s="20" t="n"/>
      <c r="D122" s="20" t="n"/>
      <c r="E122" s="21" t="n"/>
      <c r="F122" s="21" t="n"/>
      <c r="G122" s="22" t="n"/>
      <c r="H122" s="23" t="n"/>
      <c r="I122" s="22" t="n"/>
      <c r="J122" s="22" t="n"/>
      <c r="K122" s="11">
        <f>IF(AND(B122="",C122=""),"",IF(J122&lt;&gt;"","Wrapped",IF(I122&lt;&gt;"","To wrap",IF(AND(G122="",F122=""),"Idea",IF(H122="","To wrap",IF(H122&lt;TODAY(),"Late","On the way"))))))</f>
        <v/>
      </c>
      <c r="L122" s="1" t="n"/>
      <c r="M122">
        <f>IF(AND(B122="",C122=""),"",IF(OR(F122&lt;&gt;"",G122&lt;&gt;"",I122&lt;&gt;"",J122&lt;&gt;""),1,0))</f>
        <v/>
      </c>
      <c r="N122">
        <f>IF(M122="","",IF(M122=1,IF(F122&lt;&gt;"",N(F122),N(E122)),0))</f>
        <v/>
      </c>
      <c r="O122">
        <f>IF(M122="","",IF(M122=1,0,N(E122)))</f>
        <v/>
      </c>
      <c r="P122">
        <f>IF(OR(K122="On the way",K122="Late"),H122+ROW()/10000000,"")</f>
        <v/>
      </c>
    </row>
    <row r="123">
      <c r="A123" s="1" t="n"/>
      <c r="B123" s="19" t="n"/>
      <c r="C123" s="20" t="n"/>
      <c r="D123" s="20" t="n"/>
      <c r="E123" s="21" t="n"/>
      <c r="F123" s="21" t="n"/>
      <c r="G123" s="22" t="n"/>
      <c r="H123" s="23" t="n"/>
      <c r="I123" s="22" t="n"/>
      <c r="J123" s="22" t="n"/>
      <c r="K123" s="11">
        <f>IF(AND(B123="",C123=""),"",IF(J123&lt;&gt;"","Wrapped",IF(I123&lt;&gt;"","To wrap",IF(AND(G123="",F123=""),"Idea",IF(H123="","To wrap",IF(H123&lt;TODAY(),"Late","On the way"))))))</f>
        <v/>
      </c>
      <c r="L123" s="1" t="n"/>
      <c r="M123">
        <f>IF(AND(B123="",C123=""),"",IF(OR(F123&lt;&gt;"",G123&lt;&gt;"",I123&lt;&gt;"",J123&lt;&gt;""),1,0))</f>
        <v/>
      </c>
      <c r="N123">
        <f>IF(M123="","",IF(M123=1,IF(F123&lt;&gt;"",N(F123),N(E123)),0))</f>
        <v/>
      </c>
      <c r="O123">
        <f>IF(M123="","",IF(M123=1,0,N(E123)))</f>
        <v/>
      </c>
      <c r="P123">
        <f>IF(OR(K123="On the way",K123="Late"),H123+ROW()/10000000,"")</f>
        <v/>
      </c>
    </row>
    <row r="124">
      <c r="A124" s="1" t="n"/>
      <c r="B124" s="19" t="n"/>
      <c r="C124" s="20" t="n"/>
      <c r="D124" s="20" t="n"/>
      <c r="E124" s="21" t="n"/>
      <c r="F124" s="21" t="n"/>
      <c r="G124" s="22" t="n"/>
      <c r="H124" s="23" t="n"/>
      <c r="I124" s="22" t="n"/>
      <c r="J124" s="22" t="n"/>
      <c r="K124" s="11">
        <f>IF(AND(B124="",C124=""),"",IF(J124&lt;&gt;"","Wrapped",IF(I124&lt;&gt;"","To wrap",IF(AND(G124="",F124=""),"Idea",IF(H124="","To wrap",IF(H124&lt;TODAY(),"Late","On the way"))))))</f>
        <v/>
      </c>
      <c r="L124" s="1" t="n"/>
      <c r="M124">
        <f>IF(AND(B124="",C124=""),"",IF(OR(F124&lt;&gt;"",G124&lt;&gt;"",I124&lt;&gt;"",J124&lt;&gt;""),1,0))</f>
        <v/>
      </c>
      <c r="N124">
        <f>IF(M124="","",IF(M124=1,IF(F124&lt;&gt;"",N(F124),N(E124)),0))</f>
        <v/>
      </c>
      <c r="O124">
        <f>IF(M124="","",IF(M124=1,0,N(E124)))</f>
        <v/>
      </c>
      <c r="P124">
        <f>IF(OR(K124="On the way",K124="Late"),H124+ROW()/10000000,"")</f>
        <v/>
      </c>
    </row>
    <row r="125">
      <c r="A125" s="1" t="n"/>
      <c r="B125" s="19" t="n"/>
      <c r="C125" s="20" t="n"/>
      <c r="D125" s="20" t="n"/>
      <c r="E125" s="21" t="n"/>
      <c r="F125" s="21" t="n"/>
      <c r="G125" s="22" t="n"/>
      <c r="H125" s="23" t="n"/>
      <c r="I125" s="22" t="n"/>
      <c r="J125" s="22" t="n"/>
      <c r="K125" s="11">
        <f>IF(AND(B125="",C125=""),"",IF(J125&lt;&gt;"","Wrapped",IF(I125&lt;&gt;"","To wrap",IF(AND(G125="",F125=""),"Idea",IF(H125="","To wrap",IF(H125&lt;TODAY(),"Late","On the way"))))))</f>
        <v/>
      </c>
      <c r="L125" s="1" t="n"/>
      <c r="M125">
        <f>IF(AND(B125="",C125=""),"",IF(OR(F125&lt;&gt;"",G125&lt;&gt;"",I125&lt;&gt;"",J125&lt;&gt;""),1,0))</f>
        <v/>
      </c>
      <c r="N125">
        <f>IF(M125="","",IF(M125=1,IF(F125&lt;&gt;"",N(F125),N(E125)),0))</f>
        <v/>
      </c>
      <c r="O125">
        <f>IF(M125="","",IF(M125=1,0,N(E125)))</f>
        <v/>
      </c>
      <c r="P125">
        <f>IF(OR(K125="On the way",K125="Late"),H125+ROW()/10000000,"")</f>
        <v/>
      </c>
    </row>
    <row r="126">
      <c r="A126" s="1" t="n"/>
      <c r="B126" s="19" t="n"/>
      <c r="C126" s="20" t="n"/>
      <c r="D126" s="20" t="n"/>
      <c r="E126" s="21" t="n"/>
      <c r="F126" s="21" t="n"/>
      <c r="G126" s="22" t="n"/>
      <c r="H126" s="23" t="n"/>
      <c r="I126" s="22" t="n"/>
      <c r="J126" s="22" t="n"/>
      <c r="K126" s="11">
        <f>IF(AND(B126="",C126=""),"",IF(J126&lt;&gt;"","Wrapped",IF(I126&lt;&gt;"","To wrap",IF(AND(G126="",F126=""),"Idea",IF(H126="","To wrap",IF(H126&lt;TODAY(),"Late","On the way"))))))</f>
        <v/>
      </c>
      <c r="L126" s="1" t="n"/>
      <c r="M126">
        <f>IF(AND(B126="",C126=""),"",IF(OR(F126&lt;&gt;"",G126&lt;&gt;"",I126&lt;&gt;"",J126&lt;&gt;""),1,0))</f>
        <v/>
      </c>
      <c r="N126">
        <f>IF(M126="","",IF(M126=1,IF(F126&lt;&gt;"",N(F126),N(E126)),0))</f>
        <v/>
      </c>
      <c r="O126">
        <f>IF(M126="","",IF(M126=1,0,N(E126)))</f>
        <v/>
      </c>
      <c r="P126">
        <f>IF(OR(K126="On the way",K126="Late"),H126+ROW()/10000000,"")</f>
        <v/>
      </c>
    </row>
    <row r="127">
      <c r="A127" s="1" t="n"/>
      <c r="B127" s="19" t="n"/>
      <c r="C127" s="20" t="n"/>
      <c r="D127" s="20" t="n"/>
      <c r="E127" s="21" t="n"/>
      <c r="F127" s="21" t="n"/>
      <c r="G127" s="22" t="n"/>
      <c r="H127" s="23" t="n"/>
      <c r="I127" s="22" t="n"/>
      <c r="J127" s="22" t="n"/>
      <c r="K127" s="11">
        <f>IF(AND(B127="",C127=""),"",IF(J127&lt;&gt;"","Wrapped",IF(I127&lt;&gt;"","To wrap",IF(AND(G127="",F127=""),"Idea",IF(H127="","To wrap",IF(H127&lt;TODAY(),"Late","On the way"))))))</f>
        <v/>
      </c>
      <c r="L127" s="1" t="n"/>
      <c r="M127">
        <f>IF(AND(B127="",C127=""),"",IF(OR(F127&lt;&gt;"",G127&lt;&gt;"",I127&lt;&gt;"",J127&lt;&gt;""),1,0))</f>
        <v/>
      </c>
      <c r="N127">
        <f>IF(M127="","",IF(M127=1,IF(F127&lt;&gt;"",N(F127),N(E127)),0))</f>
        <v/>
      </c>
      <c r="O127">
        <f>IF(M127="","",IF(M127=1,0,N(E127)))</f>
        <v/>
      </c>
      <c r="P127">
        <f>IF(OR(K127="On the way",K127="Late"),H127+ROW()/10000000,"")</f>
        <v/>
      </c>
    </row>
    <row r="128">
      <c r="A128" s="1" t="n"/>
      <c r="B128" s="19" t="n"/>
      <c r="C128" s="20" t="n"/>
      <c r="D128" s="20" t="n"/>
      <c r="E128" s="21" t="n"/>
      <c r="F128" s="21" t="n"/>
      <c r="G128" s="22" t="n"/>
      <c r="H128" s="23" t="n"/>
      <c r="I128" s="22" t="n"/>
      <c r="J128" s="22" t="n"/>
      <c r="K128" s="11">
        <f>IF(AND(B128="",C128=""),"",IF(J128&lt;&gt;"","Wrapped",IF(I128&lt;&gt;"","To wrap",IF(AND(G128="",F128=""),"Idea",IF(H128="","To wrap",IF(H128&lt;TODAY(),"Late","On the way"))))))</f>
        <v/>
      </c>
      <c r="L128" s="1" t="n"/>
      <c r="M128">
        <f>IF(AND(B128="",C128=""),"",IF(OR(F128&lt;&gt;"",G128&lt;&gt;"",I128&lt;&gt;"",J128&lt;&gt;""),1,0))</f>
        <v/>
      </c>
      <c r="N128">
        <f>IF(M128="","",IF(M128=1,IF(F128&lt;&gt;"",N(F128),N(E128)),0))</f>
        <v/>
      </c>
      <c r="O128">
        <f>IF(M128="","",IF(M128=1,0,N(E128)))</f>
        <v/>
      </c>
      <c r="P128">
        <f>IF(OR(K128="On the way",K128="Late"),H128+ROW()/10000000,"")</f>
        <v/>
      </c>
    </row>
    <row r="129">
      <c r="A129" s="1" t="n"/>
      <c r="B129" s="19" t="n"/>
      <c r="C129" s="20" t="n"/>
      <c r="D129" s="20" t="n"/>
      <c r="E129" s="21" t="n"/>
      <c r="F129" s="21" t="n"/>
      <c r="G129" s="22" t="n"/>
      <c r="H129" s="23" t="n"/>
      <c r="I129" s="22" t="n"/>
      <c r="J129" s="22" t="n"/>
      <c r="K129" s="11">
        <f>IF(AND(B129="",C129=""),"",IF(J129&lt;&gt;"","Wrapped",IF(I129&lt;&gt;"","To wrap",IF(AND(G129="",F129=""),"Idea",IF(H129="","To wrap",IF(H129&lt;TODAY(),"Late","On the way"))))))</f>
        <v/>
      </c>
      <c r="L129" s="1" t="n"/>
      <c r="M129">
        <f>IF(AND(B129="",C129=""),"",IF(OR(F129&lt;&gt;"",G129&lt;&gt;"",I129&lt;&gt;"",J129&lt;&gt;""),1,0))</f>
        <v/>
      </c>
      <c r="N129">
        <f>IF(M129="","",IF(M129=1,IF(F129&lt;&gt;"",N(F129),N(E129)),0))</f>
        <v/>
      </c>
      <c r="O129">
        <f>IF(M129="","",IF(M129=1,0,N(E129)))</f>
        <v/>
      </c>
      <c r="P129">
        <f>IF(OR(K129="On the way",K129="Late"),H129+ROW()/10000000,"")</f>
        <v/>
      </c>
    </row>
    <row r="130">
      <c r="A130" s="1" t="n"/>
      <c r="B130" s="19" t="n"/>
      <c r="C130" s="20" t="n"/>
      <c r="D130" s="20" t="n"/>
      <c r="E130" s="21" t="n"/>
      <c r="F130" s="21" t="n"/>
      <c r="G130" s="22" t="n"/>
      <c r="H130" s="23" t="n"/>
      <c r="I130" s="22" t="n"/>
      <c r="J130" s="22" t="n"/>
      <c r="K130" s="11">
        <f>IF(AND(B130="",C130=""),"",IF(J130&lt;&gt;"","Wrapped",IF(I130&lt;&gt;"","To wrap",IF(AND(G130="",F130=""),"Idea",IF(H130="","To wrap",IF(H130&lt;TODAY(),"Late","On the way"))))))</f>
        <v/>
      </c>
      <c r="L130" s="1" t="n"/>
      <c r="M130">
        <f>IF(AND(B130="",C130=""),"",IF(OR(F130&lt;&gt;"",G130&lt;&gt;"",I130&lt;&gt;"",J130&lt;&gt;""),1,0))</f>
        <v/>
      </c>
      <c r="N130">
        <f>IF(M130="","",IF(M130=1,IF(F130&lt;&gt;"",N(F130),N(E130)),0))</f>
        <v/>
      </c>
      <c r="O130">
        <f>IF(M130="","",IF(M130=1,0,N(E130)))</f>
        <v/>
      </c>
      <c r="P130">
        <f>IF(OR(K130="On the way",K130="Late"),H130+ROW()/10000000,"")</f>
        <v/>
      </c>
    </row>
    <row r="131">
      <c r="A131" s="1" t="n"/>
      <c r="B131" s="19" t="n"/>
      <c r="C131" s="20" t="n"/>
      <c r="D131" s="20" t="n"/>
      <c r="E131" s="21" t="n"/>
      <c r="F131" s="21" t="n"/>
      <c r="G131" s="22" t="n"/>
      <c r="H131" s="23" t="n"/>
      <c r="I131" s="22" t="n"/>
      <c r="J131" s="22" t="n"/>
      <c r="K131" s="11">
        <f>IF(AND(B131="",C131=""),"",IF(J131&lt;&gt;"","Wrapped",IF(I131&lt;&gt;"","To wrap",IF(AND(G131="",F131=""),"Idea",IF(H131="","To wrap",IF(H131&lt;TODAY(),"Late","On the way"))))))</f>
        <v/>
      </c>
      <c r="L131" s="1" t="n"/>
      <c r="M131">
        <f>IF(AND(B131="",C131=""),"",IF(OR(F131&lt;&gt;"",G131&lt;&gt;"",I131&lt;&gt;"",J131&lt;&gt;""),1,0))</f>
        <v/>
      </c>
      <c r="N131">
        <f>IF(M131="","",IF(M131=1,IF(F131&lt;&gt;"",N(F131),N(E131)),0))</f>
        <v/>
      </c>
      <c r="O131">
        <f>IF(M131="","",IF(M131=1,0,N(E131)))</f>
        <v/>
      </c>
      <c r="P131">
        <f>IF(OR(K131="On the way",K131="Late"),H131+ROW()/10000000,"")</f>
        <v/>
      </c>
    </row>
    <row r="132">
      <c r="A132" s="1" t="n"/>
      <c r="B132" s="19" t="n"/>
      <c r="C132" s="20" t="n"/>
      <c r="D132" s="20" t="n"/>
      <c r="E132" s="21" t="n"/>
      <c r="F132" s="21" t="n"/>
      <c r="G132" s="22" t="n"/>
      <c r="H132" s="23" t="n"/>
      <c r="I132" s="22" t="n"/>
      <c r="J132" s="22" t="n"/>
      <c r="K132" s="11">
        <f>IF(AND(B132="",C132=""),"",IF(J132&lt;&gt;"","Wrapped",IF(I132&lt;&gt;"","To wrap",IF(AND(G132="",F132=""),"Idea",IF(H132="","To wrap",IF(H132&lt;TODAY(),"Late","On the way"))))))</f>
        <v/>
      </c>
      <c r="L132" s="1" t="n"/>
      <c r="M132">
        <f>IF(AND(B132="",C132=""),"",IF(OR(F132&lt;&gt;"",G132&lt;&gt;"",I132&lt;&gt;"",J132&lt;&gt;""),1,0))</f>
        <v/>
      </c>
      <c r="N132">
        <f>IF(M132="","",IF(M132=1,IF(F132&lt;&gt;"",N(F132),N(E132)),0))</f>
        <v/>
      </c>
      <c r="O132">
        <f>IF(M132="","",IF(M132=1,0,N(E132)))</f>
        <v/>
      </c>
      <c r="P132">
        <f>IF(OR(K132="On the way",K132="Late"),H132+ROW()/10000000,"")</f>
        <v/>
      </c>
    </row>
    <row r="133">
      <c r="A133" s="1" t="n"/>
      <c r="B133" s="19" t="n"/>
      <c r="C133" s="20" t="n"/>
      <c r="D133" s="20" t="n"/>
      <c r="E133" s="21" t="n"/>
      <c r="F133" s="21" t="n"/>
      <c r="G133" s="22" t="n"/>
      <c r="H133" s="23" t="n"/>
      <c r="I133" s="22" t="n"/>
      <c r="J133" s="22" t="n"/>
      <c r="K133" s="11">
        <f>IF(AND(B133="",C133=""),"",IF(J133&lt;&gt;"","Wrapped",IF(I133&lt;&gt;"","To wrap",IF(AND(G133="",F133=""),"Idea",IF(H133="","To wrap",IF(H133&lt;TODAY(),"Late","On the way"))))))</f>
        <v/>
      </c>
      <c r="L133" s="1" t="n"/>
      <c r="M133">
        <f>IF(AND(B133="",C133=""),"",IF(OR(F133&lt;&gt;"",G133&lt;&gt;"",I133&lt;&gt;"",J133&lt;&gt;""),1,0))</f>
        <v/>
      </c>
      <c r="N133">
        <f>IF(M133="","",IF(M133=1,IF(F133&lt;&gt;"",N(F133),N(E133)),0))</f>
        <v/>
      </c>
      <c r="O133">
        <f>IF(M133="","",IF(M133=1,0,N(E133)))</f>
        <v/>
      </c>
      <c r="P133">
        <f>IF(OR(K133="On the way",K133="Late"),H133+ROW()/10000000,"")</f>
        <v/>
      </c>
    </row>
    <row r="134">
      <c r="A134" s="1" t="n"/>
      <c r="B134" s="19" t="n"/>
      <c r="C134" s="20" t="n"/>
      <c r="D134" s="20" t="n"/>
      <c r="E134" s="21" t="n"/>
      <c r="F134" s="21" t="n"/>
      <c r="G134" s="22" t="n"/>
      <c r="H134" s="23" t="n"/>
      <c r="I134" s="22" t="n"/>
      <c r="J134" s="22" t="n"/>
      <c r="K134" s="11">
        <f>IF(AND(B134="",C134=""),"",IF(J134&lt;&gt;"","Wrapped",IF(I134&lt;&gt;"","To wrap",IF(AND(G134="",F134=""),"Idea",IF(H134="","To wrap",IF(H134&lt;TODAY(),"Late","On the way"))))))</f>
        <v/>
      </c>
      <c r="L134" s="1" t="n"/>
      <c r="M134">
        <f>IF(AND(B134="",C134=""),"",IF(OR(F134&lt;&gt;"",G134&lt;&gt;"",I134&lt;&gt;"",J134&lt;&gt;""),1,0))</f>
        <v/>
      </c>
      <c r="N134">
        <f>IF(M134="","",IF(M134=1,IF(F134&lt;&gt;"",N(F134),N(E134)),0))</f>
        <v/>
      </c>
      <c r="O134">
        <f>IF(M134="","",IF(M134=1,0,N(E134)))</f>
        <v/>
      </c>
      <c r="P134">
        <f>IF(OR(K134="On the way",K134="Late"),H134+ROW()/10000000,"")</f>
        <v/>
      </c>
    </row>
    <row r="135">
      <c r="A135" s="1" t="n"/>
      <c r="B135" s="19" t="n"/>
      <c r="C135" s="20" t="n"/>
      <c r="D135" s="20" t="n"/>
      <c r="E135" s="21" t="n"/>
      <c r="F135" s="21" t="n"/>
      <c r="G135" s="22" t="n"/>
      <c r="H135" s="23" t="n"/>
      <c r="I135" s="22" t="n"/>
      <c r="J135" s="22" t="n"/>
      <c r="K135" s="11">
        <f>IF(AND(B135="",C135=""),"",IF(J135&lt;&gt;"","Wrapped",IF(I135&lt;&gt;"","To wrap",IF(AND(G135="",F135=""),"Idea",IF(H135="","To wrap",IF(H135&lt;TODAY(),"Late","On the way"))))))</f>
        <v/>
      </c>
      <c r="L135" s="1" t="n"/>
      <c r="M135">
        <f>IF(AND(B135="",C135=""),"",IF(OR(F135&lt;&gt;"",G135&lt;&gt;"",I135&lt;&gt;"",J135&lt;&gt;""),1,0))</f>
        <v/>
      </c>
      <c r="N135">
        <f>IF(M135="","",IF(M135=1,IF(F135&lt;&gt;"",N(F135),N(E135)),0))</f>
        <v/>
      </c>
      <c r="O135">
        <f>IF(M135="","",IF(M135=1,0,N(E135)))</f>
        <v/>
      </c>
      <c r="P135">
        <f>IF(OR(K135="On the way",K135="Late"),H135+ROW()/10000000,"")</f>
        <v/>
      </c>
    </row>
    <row r="136">
      <c r="A136" s="1" t="n"/>
      <c r="B136" s="19" t="n"/>
      <c r="C136" s="20" t="n"/>
      <c r="D136" s="20" t="n"/>
      <c r="E136" s="21" t="n"/>
      <c r="F136" s="21" t="n"/>
      <c r="G136" s="22" t="n"/>
      <c r="H136" s="23" t="n"/>
      <c r="I136" s="22" t="n"/>
      <c r="J136" s="22" t="n"/>
      <c r="K136" s="11">
        <f>IF(AND(B136="",C136=""),"",IF(J136&lt;&gt;"","Wrapped",IF(I136&lt;&gt;"","To wrap",IF(AND(G136="",F136=""),"Idea",IF(H136="","To wrap",IF(H136&lt;TODAY(),"Late","On the way"))))))</f>
        <v/>
      </c>
      <c r="L136" s="1" t="n"/>
      <c r="M136">
        <f>IF(AND(B136="",C136=""),"",IF(OR(F136&lt;&gt;"",G136&lt;&gt;"",I136&lt;&gt;"",J136&lt;&gt;""),1,0))</f>
        <v/>
      </c>
      <c r="N136">
        <f>IF(M136="","",IF(M136=1,IF(F136&lt;&gt;"",N(F136),N(E136)),0))</f>
        <v/>
      </c>
      <c r="O136">
        <f>IF(M136="","",IF(M136=1,0,N(E136)))</f>
        <v/>
      </c>
      <c r="P136">
        <f>IF(OR(K136="On the way",K136="Late"),H136+ROW()/10000000,"")</f>
        <v/>
      </c>
    </row>
    <row r="137">
      <c r="A137" s="1" t="n"/>
      <c r="B137" s="19" t="n"/>
      <c r="C137" s="20" t="n"/>
      <c r="D137" s="20" t="n"/>
      <c r="E137" s="21" t="n"/>
      <c r="F137" s="21" t="n"/>
      <c r="G137" s="22" t="n"/>
      <c r="H137" s="23" t="n"/>
      <c r="I137" s="22" t="n"/>
      <c r="J137" s="22" t="n"/>
      <c r="K137" s="11">
        <f>IF(AND(B137="",C137=""),"",IF(J137&lt;&gt;"","Wrapped",IF(I137&lt;&gt;"","To wrap",IF(AND(G137="",F137=""),"Idea",IF(H137="","To wrap",IF(H137&lt;TODAY(),"Late","On the way"))))))</f>
        <v/>
      </c>
      <c r="L137" s="1" t="n"/>
      <c r="M137">
        <f>IF(AND(B137="",C137=""),"",IF(OR(F137&lt;&gt;"",G137&lt;&gt;"",I137&lt;&gt;"",J137&lt;&gt;""),1,0))</f>
        <v/>
      </c>
      <c r="N137">
        <f>IF(M137="","",IF(M137=1,IF(F137&lt;&gt;"",N(F137),N(E137)),0))</f>
        <v/>
      </c>
      <c r="O137">
        <f>IF(M137="","",IF(M137=1,0,N(E137)))</f>
        <v/>
      </c>
      <c r="P137">
        <f>IF(OR(K137="On the way",K137="Late"),H137+ROW()/10000000,"")</f>
        <v/>
      </c>
    </row>
    <row r="138">
      <c r="A138" s="1" t="n"/>
      <c r="B138" s="19" t="n"/>
      <c r="C138" s="20" t="n"/>
      <c r="D138" s="20" t="n"/>
      <c r="E138" s="21" t="n"/>
      <c r="F138" s="21" t="n"/>
      <c r="G138" s="22" t="n"/>
      <c r="H138" s="23" t="n"/>
      <c r="I138" s="22" t="n"/>
      <c r="J138" s="22" t="n"/>
      <c r="K138" s="11">
        <f>IF(AND(B138="",C138=""),"",IF(J138&lt;&gt;"","Wrapped",IF(I138&lt;&gt;"","To wrap",IF(AND(G138="",F138=""),"Idea",IF(H138="","To wrap",IF(H138&lt;TODAY(),"Late","On the way"))))))</f>
        <v/>
      </c>
      <c r="L138" s="1" t="n"/>
      <c r="M138">
        <f>IF(AND(B138="",C138=""),"",IF(OR(F138&lt;&gt;"",G138&lt;&gt;"",I138&lt;&gt;"",J138&lt;&gt;""),1,0))</f>
        <v/>
      </c>
      <c r="N138">
        <f>IF(M138="","",IF(M138=1,IF(F138&lt;&gt;"",N(F138),N(E138)),0))</f>
        <v/>
      </c>
      <c r="O138">
        <f>IF(M138="","",IF(M138=1,0,N(E138)))</f>
        <v/>
      </c>
      <c r="P138">
        <f>IF(OR(K138="On the way",K138="Late"),H138+ROW()/10000000,"")</f>
        <v/>
      </c>
    </row>
    <row r="139">
      <c r="A139" s="1" t="n"/>
      <c r="B139" s="19" t="n"/>
      <c r="C139" s="20" t="n"/>
      <c r="D139" s="20" t="n"/>
      <c r="E139" s="21" t="n"/>
      <c r="F139" s="21" t="n"/>
      <c r="G139" s="22" t="n"/>
      <c r="H139" s="23" t="n"/>
      <c r="I139" s="22" t="n"/>
      <c r="J139" s="22" t="n"/>
      <c r="K139" s="11">
        <f>IF(AND(B139="",C139=""),"",IF(J139&lt;&gt;"","Wrapped",IF(I139&lt;&gt;"","To wrap",IF(AND(G139="",F139=""),"Idea",IF(H139="","To wrap",IF(H139&lt;TODAY(),"Late","On the way"))))))</f>
        <v/>
      </c>
      <c r="L139" s="1" t="n"/>
      <c r="M139">
        <f>IF(AND(B139="",C139=""),"",IF(OR(F139&lt;&gt;"",G139&lt;&gt;"",I139&lt;&gt;"",J139&lt;&gt;""),1,0))</f>
        <v/>
      </c>
      <c r="N139">
        <f>IF(M139="","",IF(M139=1,IF(F139&lt;&gt;"",N(F139),N(E139)),0))</f>
        <v/>
      </c>
      <c r="O139">
        <f>IF(M139="","",IF(M139=1,0,N(E139)))</f>
        <v/>
      </c>
      <c r="P139">
        <f>IF(OR(K139="On the way",K139="Late"),H139+ROW()/10000000,"")</f>
        <v/>
      </c>
    </row>
    <row r="140">
      <c r="A140" s="1" t="n"/>
      <c r="B140" s="19" t="n"/>
      <c r="C140" s="20" t="n"/>
      <c r="D140" s="20" t="n"/>
      <c r="E140" s="21" t="n"/>
      <c r="F140" s="21" t="n"/>
      <c r="G140" s="22" t="n"/>
      <c r="H140" s="23" t="n"/>
      <c r="I140" s="22" t="n"/>
      <c r="J140" s="22" t="n"/>
      <c r="K140" s="11">
        <f>IF(AND(B140="",C140=""),"",IF(J140&lt;&gt;"","Wrapped",IF(I140&lt;&gt;"","To wrap",IF(AND(G140="",F140=""),"Idea",IF(H140="","To wrap",IF(H140&lt;TODAY(),"Late","On the way"))))))</f>
        <v/>
      </c>
      <c r="L140" s="1" t="n"/>
      <c r="M140">
        <f>IF(AND(B140="",C140=""),"",IF(OR(F140&lt;&gt;"",G140&lt;&gt;"",I140&lt;&gt;"",J140&lt;&gt;""),1,0))</f>
        <v/>
      </c>
      <c r="N140">
        <f>IF(M140="","",IF(M140=1,IF(F140&lt;&gt;"",N(F140),N(E140)),0))</f>
        <v/>
      </c>
      <c r="O140">
        <f>IF(M140="","",IF(M140=1,0,N(E140)))</f>
        <v/>
      </c>
      <c r="P140">
        <f>IF(OR(K140="On the way",K140="Late"),H140+ROW()/10000000,"")</f>
        <v/>
      </c>
    </row>
    <row r="141">
      <c r="A141" s="1" t="n"/>
      <c r="B141" s="19" t="n"/>
      <c r="C141" s="20" t="n"/>
      <c r="D141" s="20" t="n"/>
      <c r="E141" s="21" t="n"/>
      <c r="F141" s="21" t="n"/>
      <c r="G141" s="22" t="n"/>
      <c r="H141" s="23" t="n"/>
      <c r="I141" s="22" t="n"/>
      <c r="J141" s="22" t="n"/>
      <c r="K141" s="11">
        <f>IF(AND(B141="",C141=""),"",IF(J141&lt;&gt;"","Wrapped",IF(I141&lt;&gt;"","To wrap",IF(AND(G141="",F141=""),"Idea",IF(H141="","To wrap",IF(H141&lt;TODAY(),"Late","On the way"))))))</f>
        <v/>
      </c>
      <c r="L141" s="1" t="n"/>
      <c r="M141">
        <f>IF(AND(B141="",C141=""),"",IF(OR(F141&lt;&gt;"",G141&lt;&gt;"",I141&lt;&gt;"",J141&lt;&gt;""),1,0))</f>
        <v/>
      </c>
      <c r="N141">
        <f>IF(M141="","",IF(M141=1,IF(F141&lt;&gt;"",N(F141),N(E141)),0))</f>
        <v/>
      </c>
      <c r="O141">
        <f>IF(M141="","",IF(M141=1,0,N(E141)))</f>
        <v/>
      </c>
      <c r="P141">
        <f>IF(OR(K141="On the way",K141="Late"),H141+ROW()/10000000,"")</f>
        <v/>
      </c>
    </row>
    <row r="142">
      <c r="A142" s="1" t="n"/>
      <c r="B142" s="19" t="n"/>
      <c r="C142" s="20" t="n"/>
      <c r="D142" s="20" t="n"/>
      <c r="E142" s="21" t="n"/>
      <c r="F142" s="21" t="n"/>
      <c r="G142" s="22" t="n"/>
      <c r="H142" s="23" t="n"/>
      <c r="I142" s="22" t="n"/>
      <c r="J142" s="22" t="n"/>
      <c r="K142" s="11">
        <f>IF(AND(B142="",C142=""),"",IF(J142&lt;&gt;"","Wrapped",IF(I142&lt;&gt;"","To wrap",IF(AND(G142="",F142=""),"Idea",IF(H142="","To wrap",IF(H142&lt;TODAY(),"Late","On the way"))))))</f>
        <v/>
      </c>
      <c r="L142" s="1" t="n"/>
      <c r="M142">
        <f>IF(AND(B142="",C142=""),"",IF(OR(F142&lt;&gt;"",G142&lt;&gt;"",I142&lt;&gt;"",J142&lt;&gt;""),1,0))</f>
        <v/>
      </c>
      <c r="N142">
        <f>IF(M142="","",IF(M142=1,IF(F142&lt;&gt;"",N(F142),N(E142)),0))</f>
        <v/>
      </c>
      <c r="O142">
        <f>IF(M142="","",IF(M142=1,0,N(E142)))</f>
        <v/>
      </c>
      <c r="P142">
        <f>IF(OR(K142="On the way",K142="Late"),H142+ROW()/10000000,"")</f>
        <v/>
      </c>
    </row>
    <row r="143">
      <c r="A143" s="1" t="n"/>
      <c r="B143" s="19" t="n"/>
      <c r="C143" s="20" t="n"/>
      <c r="D143" s="20" t="n"/>
      <c r="E143" s="21" t="n"/>
      <c r="F143" s="21" t="n"/>
      <c r="G143" s="22" t="n"/>
      <c r="H143" s="23" t="n"/>
      <c r="I143" s="22" t="n"/>
      <c r="J143" s="22" t="n"/>
      <c r="K143" s="11">
        <f>IF(AND(B143="",C143=""),"",IF(J143&lt;&gt;"","Wrapped",IF(I143&lt;&gt;"","To wrap",IF(AND(G143="",F143=""),"Idea",IF(H143="","To wrap",IF(H143&lt;TODAY(),"Late","On the way"))))))</f>
        <v/>
      </c>
      <c r="L143" s="1" t="n"/>
      <c r="M143">
        <f>IF(AND(B143="",C143=""),"",IF(OR(F143&lt;&gt;"",G143&lt;&gt;"",I143&lt;&gt;"",J143&lt;&gt;""),1,0))</f>
        <v/>
      </c>
      <c r="N143">
        <f>IF(M143="","",IF(M143=1,IF(F143&lt;&gt;"",N(F143),N(E143)),0))</f>
        <v/>
      </c>
      <c r="O143">
        <f>IF(M143="","",IF(M143=1,0,N(E143)))</f>
        <v/>
      </c>
      <c r="P143">
        <f>IF(OR(K143="On the way",K143="Late"),H143+ROW()/10000000,"")</f>
        <v/>
      </c>
    </row>
    <row r="144">
      <c r="A144" s="1" t="n"/>
      <c r="B144" s="19" t="n"/>
      <c r="C144" s="20" t="n"/>
      <c r="D144" s="20" t="n"/>
      <c r="E144" s="21" t="n"/>
      <c r="F144" s="21" t="n"/>
      <c r="G144" s="22" t="n"/>
      <c r="H144" s="23" t="n"/>
      <c r="I144" s="22" t="n"/>
      <c r="J144" s="22" t="n"/>
      <c r="K144" s="11">
        <f>IF(AND(B144="",C144=""),"",IF(J144&lt;&gt;"","Wrapped",IF(I144&lt;&gt;"","To wrap",IF(AND(G144="",F144=""),"Idea",IF(H144="","To wrap",IF(H144&lt;TODAY(),"Late","On the way"))))))</f>
        <v/>
      </c>
      <c r="L144" s="1" t="n"/>
      <c r="M144">
        <f>IF(AND(B144="",C144=""),"",IF(OR(F144&lt;&gt;"",G144&lt;&gt;"",I144&lt;&gt;"",J144&lt;&gt;""),1,0))</f>
        <v/>
      </c>
      <c r="N144">
        <f>IF(M144="","",IF(M144=1,IF(F144&lt;&gt;"",N(F144),N(E144)),0))</f>
        <v/>
      </c>
      <c r="O144">
        <f>IF(M144="","",IF(M144=1,0,N(E144)))</f>
        <v/>
      </c>
      <c r="P144">
        <f>IF(OR(K144="On the way",K144="Late"),H144+ROW()/10000000,"")</f>
        <v/>
      </c>
    </row>
    <row r="145">
      <c r="A145" s="1" t="n"/>
      <c r="B145" s="19" t="n"/>
      <c r="C145" s="20" t="n"/>
      <c r="D145" s="20" t="n"/>
      <c r="E145" s="21" t="n"/>
      <c r="F145" s="21" t="n"/>
      <c r="G145" s="22" t="n"/>
      <c r="H145" s="23" t="n"/>
      <c r="I145" s="22" t="n"/>
      <c r="J145" s="22" t="n"/>
      <c r="K145" s="11">
        <f>IF(AND(B145="",C145=""),"",IF(J145&lt;&gt;"","Wrapped",IF(I145&lt;&gt;"","To wrap",IF(AND(G145="",F145=""),"Idea",IF(H145="","To wrap",IF(H145&lt;TODAY(),"Late","On the way"))))))</f>
        <v/>
      </c>
      <c r="L145" s="1" t="n"/>
      <c r="M145">
        <f>IF(AND(B145="",C145=""),"",IF(OR(F145&lt;&gt;"",G145&lt;&gt;"",I145&lt;&gt;"",J145&lt;&gt;""),1,0))</f>
        <v/>
      </c>
      <c r="N145">
        <f>IF(M145="","",IF(M145=1,IF(F145&lt;&gt;"",N(F145),N(E145)),0))</f>
        <v/>
      </c>
      <c r="O145">
        <f>IF(M145="","",IF(M145=1,0,N(E145)))</f>
        <v/>
      </c>
      <c r="P145">
        <f>IF(OR(K145="On the way",K145="Late"),H145+ROW()/10000000,"")</f>
        <v/>
      </c>
    </row>
    <row r="146">
      <c r="A146" s="1" t="n"/>
      <c r="B146" s="19" t="n"/>
      <c r="C146" s="20" t="n"/>
      <c r="D146" s="20" t="n"/>
      <c r="E146" s="21" t="n"/>
      <c r="F146" s="21" t="n"/>
      <c r="G146" s="22" t="n"/>
      <c r="H146" s="23" t="n"/>
      <c r="I146" s="22" t="n"/>
      <c r="J146" s="22" t="n"/>
      <c r="K146" s="11">
        <f>IF(AND(B146="",C146=""),"",IF(J146&lt;&gt;"","Wrapped",IF(I146&lt;&gt;"","To wrap",IF(AND(G146="",F146=""),"Idea",IF(H146="","To wrap",IF(H146&lt;TODAY(),"Late","On the way"))))))</f>
        <v/>
      </c>
      <c r="L146" s="1" t="n"/>
      <c r="M146">
        <f>IF(AND(B146="",C146=""),"",IF(OR(F146&lt;&gt;"",G146&lt;&gt;"",I146&lt;&gt;"",J146&lt;&gt;""),1,0))</f>
        <v/>
      </c>
      <c r="N146">
        <f>IF(M146="","",IF(M146=1,IF(F146&lt;&gt;"",N(F146),N(E146)),0))</f>
        <v/>
      </c>
      <c r="O146">
        <f>IF(M146="","",IF(M146=1,0,N(E146)))</f>
        <v/>
      </c>
      <c r="P146">
        <f>IF(OR(K146="On the way",K146="Late"),H146+ROW()/10000000,"")</f>
        <v/>
      </c>
    </row>
    <row r="147">
      <c r="A147" s="1" t="n"/>
      <c r="B147" s="19" t="n"/>
      <c r="C147" s="20" t="n"/>
      <c r="D147" s="20" t="n"/>
      <c r="E147" s="21" t="n"/>
      <c r="F147" s="21" t="n"/>
      <c r="G147" s="22" t="n"/>
      <c r="H147" s="23" t="n"/>
      <c r="I147" s="22" t="n"/>
      <c r="J147" s="22" t="n"/>
      <c r="K147" s="11">
        <f>IF(AND(B147="",C147=""),"",IF(J147&lt;&gt;"","Wrapped",IF(I147&lt;&gt;"","To wrap",IF(AND(G147="",F147=""),"Idea",IF(H147="","To wrap",IF(H147&lt;TODAY(),"Late","On the way"))))))</f>
        <v/>
      </c>
      <c r="L147" s="1" t="n"/>
      <c r="M147">
        <f>IF(AND(B147="",C147=""),"",IF(OR(F147&lt;&gt;"",G147&lt;&gt;"",I147&lt;&gt;"",J147&lt;&gt;""),1,0))</f>
        <v/>
      </c>
      <c r="N147">
        <f>IF(M147="","",IF(M147=1,IF(F147&lt;&gt;"",N(F147),N(E147)),0))</f>
        <v/>
      </c>
      <c r="O147">
        <f>IF(M147="","",IF(M147=1,0,N(E147)))</f>
        <v/>
      </c>
      <c r="P147">
        <f>IF(OR(K147="On the way",K147="Late"),H147+ROW()/10000000,"")</f>
        <v/>
      </c>
    </row>
    <row r="148">
      <c r="A148" s="1" t="n"/>
      <c r="B148" s="19" t="n"/>
      <c r="C148" s="20" t="n"/>
      <c r="D148" s="20" t="n"/>
      <c r="E148" s="21" t="n"/>
      <c r="F148" s="21" t="n"/>
      <c r="G148" s="22" t="n"/>
      <c r="H148" s="23" t="n"/>
      <c r="I148" s="22" t="n"/>
      <c r="J148" s="22" t="n"/>
      <c r="K148" s="11">
        <f>IF(AND(B148="",C148=""),"",IF(J148&lt;&gt;"","Wrapped",IF(I148&lt;&gt;"","To wrap",IF(AND(G148="",F148=""),"Idea",IF(H148="","To wrap",IF(H148&lt;TODAY(),"Late","On the way"))))))</f>
        <v/>
      </c>
      <c r="L148" s="1" t="n"/>
      <c r="M148">
        <f>IF(AND(B148="",C148=""),"",IF(OR(F148&lt;&gt;"",G148&lt;&gt;"",I148&lt;&gt;"",J148&lt;&gt;""),1,0))</f>
        <v/>
      </c>
      <c r="N148">
        <f>IF(M148="","",IF(M148=1,IF(F148&lt;&gt;"",N(F148),N(E148)),0))</f>
        <v/>
      </c>
      <c r="O148">
        <f>IF(M148="","",IF(M148=1,0,N(E148)))</f>
        <v/>
      </c>
      <c r="P148">
        <f>IF(OR(K148="On the way",K148="Late"),H148+ROW()/10000000,"")</f>
        <v/>
      </c>
    </row>
    <row r="149">
      <c r="A149" s="1" t="n"/>
      <c r="B149" s="19" t="n"/>
      <c r="C149" s="20" t="n"/>
      <c r="D149" s="20" t="n"/>
      <c r="E149" s="21" t="n"/>
      <c r="F149" s="21" t="n"/>
      <c r="G149" s="22" t="n"/>
      <c r="H149" s="23" t="n"/>
      <c r="I149" s="22" t="n"/>
      <c r="J149" s="22" t="n"/>
      <c r="K149" s="11">
        <f>IF(AND(B149="",C149=""),"",IF(J149&lt;&gt;"","Wrapped",IF(I149&lt;&gt;"","To wrap",IF(AND(G149="",F149=""),"Idea",IF(H149="","To wrap",IF(H149&lt;TODAY(),"Late","On the way"))))))</f>
        <v/>
      </c>
      <c r="L149" s="1" t="n"/>
      <c r="M149">
        <f>IF(AND(B149="",C149=""),"",IF(OR(F149&lt;&gt;"",G149&lt;&gt;"",I149&lt;&gt;"",J149&lt;&gt;""),1,0))</f>
        <v/>
      </c>
      <c r="N149">
        <f>IF(M149="","",IF(M149=1,IF(F149&lt;&gt;"",N(F149),N(E149)),0))</f>
        <v/>
      </c>
      <c r="O149">
        <f>IF(M149="","",IF(M149=1,0,N(E149)))</f>
        <v/>
      </c>
      <c r="P149">
        <f>IF(OR(K149="On the way",K149="Late"),H149+ROW()/10000000,"")</f>
        <v/>
      </c>
    </row>
    <row r="150">
      <c r="A150" s="1" t="n"/>
      <c r="B150" s="19" t="n"/>
      <c r="C150" s="20" t="n"/>
      <c r="D150" s="20" t="n"/>
      <c r="E150" s="21" t="n"/>
      <c r="F150" s="21" t="n"/>
      <c r="G150" s="22" t="n"/>
      <c r="H150" s="23" t="n"/>
      <c r="I150" s="22" t="n"/>
      <c r="J150" s="22" t="n"/>
      <c r="K150" s="11">
        <f>IF(AND(B150="",C150=""),"",IF(J150&lt;&gt;"","Wrapped",IF(I150&lt;&gt;"","To wrap",IF(AND(G150="",F150=""),"Idea",IF(H150="","To wrap",IF(H150&lt;TODAY(),"Late","On the way"))))))</f>
        <v/>
      </c>
      <c r="L150" s="1" t="n"/>
      <c r="M150">
        <f>IF(AND(B150="",C150=""),"",IF(OR(F150&lt;&gt;"",G150&lt;&gt;"",I150&lt;&gt;"",J150&lt;&gt;""),1,0))</f>
        <v/>
      </c>
      <c r="N150">
        <f>IF(M150="","",IF(M150=1,IF(F150&lt;&gt;"",N(F150),N(E150)),0))</f>
        <v/>
      </c>
      <c r="O150">
        <f>IF(M150="","",IF(M150=1,0,N(E150)))</f>
        <v/>
      </c>
      <c r="P150">
        <f>IF(OR(K150="On the way",K150="Late"),H150+ROW()/10000000,"")</f>
        <v/>
      </c>
    </row>
    <row r="151">
      <c r="A151" s="1" t="n"/>
      <c r="B151" s="19" t="n"/>
      <c r="C151" s="20" t="n"/>
      <c r="D151" s="20" t="n"/>
      <c r="E151" s="21" t="n"/>
      <c r="F151" s="21" t="n"/>
      <c r="G151" s="22" t="n"/>
      <c r="H151" s="23" t="n"/>
      <c r="I151" s="22" t="n"/>
      <c r="J151" s="22" t="n"/>
      <c r="K151" s="11">
        <f>IF(AND(B151="",C151=""),"",IF(J151&lt;&gt;"","Wrapped",IF(I151&lt;&gt;"","To wrap",IF(AND(G151="",F151=""),"Idea",IF(H151="","To wrap",IF(H151&lt;TODAY(),"Late","On the way"))))))</f>
        <v/>
      </c>
      <c r="L151" s="1" t="n"/>
      <c r="M151">
        <f>IF(AND(B151="",C151=""),"",IF(OR(F151&lt;&gt;"",G151&lt;&gt;"",I151&lt;&gt;"",J151&lt;&gt;""),1,0))</f>
        <v/>
      </c>
      <c r="N151">
        <f>IF(M151="","",IF(M151=1,IF(F151&lt;&gt;"",N(F151),N(E151)),0))</f>
        <v/>
      </c>
      <c r="O151">
        <f>IF(M151="","",IF(M151=1,0,N(E151)))</f>
        <v/>
      </c>
      <c r="P151">
        <f>IF(OR(K151="On the way",K151="Late"),H151+ROW()/10000000,"")</f>
        <v/>
      </c>
    </row>
    <row r="152">
      <c r="A152" s="1" t="n"/>
      <c r="B152" s="19" t="n"/>
      <c r="C152" s="20" t="n"/>
      <c r="D152" s="20" t="n"/>
      <c r="E152" s="21" t="n"/>
      <c r="F152" s="21" t="n"/>
      <c r="G152" s="22" t="n"/>
      <c r="H152" s="23" t="n"/>
      <c r="I152" s="22" t="n"/>
      <c r="J152" s="22" t="n"/>
      <c r="K152" s="11">
        <f>IF(AND(B152="",C152=""),"",IF(J152&lt;&gt;"","Wrapped",IF(I152&lt;&gt;"","To wrap",IF(AND(G152="",F152=""),"Idea",IF(H152="","To wrap",IF(H152&lt;TODAY(),"Late","On the way"))))))</f>
        <v/>
      </c>
      <c r="L152" s="1" t="n"/>
      <c r="M152">
        <f>IF(AND(B152="",C152=""),"",IF(OR(F152&lt;&gt;"",G152&lt;&gt;"",I152&lt;&gt;"",J152&lt;&gt;""),1,0))</f>
        <v/>
      </c>
      <c r="N152">
        <f>IF(M152="","",IF(M152=1,IF(F152&lt;&gt;"",N(F152),N(E152)),0))</f>
        <v/>
      </c>
      <c r="O152">
        <f>IF(M152="","",IF(M152=1,0,N(E152)))</f>
        <v/>
      </c>
      <c r="P152">
        <f>IF(OR(K152="On the way",K152="Late"),H152+ROW()/10000000,"")</f>
        <v/>
      </c>
    </row>
    <row r="153">
      <c r="A153" s="1" t="n"/>
      <c r="B153" s="19" t="n"/>
      <c r="C153" s="20" t="n"/>
      <c r="D153" s="20" t="n"/>
      <c r="E153" s="21" t="n"/>
      <c r="F153" s="21" t="n"/>
      <c r="G153" s="22" t="n"/>
      <c r="H153" s="23" t="n"/>
      <c r="I153" s="22" t="n"/>
      <c r="J153" s="22" t="n"/>
      <c r="K153" s="11">
        <f>IF(AND(B153="",C153=""),"",IF(J153&lt;&gt;"","Wrapped",IF(I153&lt;&gt;"","To wrap",IF(AND(G153="",F153=""),"Idea",IF(H153="","To wrap",IF(H153&lt;TODAY(),"Late","On the way"))))))</f>
        <v/>
      </c>
      <c r="L153" s="1" t="n"/>
      <c r="M153">
        <f>IF(AND(B153="",C153=""),"",IF(OR(F153&lt;&gt;"",G153&lt;&gt;"",I153&lt;&gt;"",J153&lt;&gt;""),1,0))</f>
        <v/>
      </c>
      <c r="N153">
        <f>IF(M153="","",IF(M153=1,IF(F153&lt;&gt;"",N(F153),N(E153)),0))</f>
        <v/>
      </c>
      <c r="O153">
        <f>IF(M153="","",IF(M153=1,0,N(E153)))</f>
        <v/>
      </c>
      <c r="P153">
        <f>IF(OR(K153="On the way",K153="Late"),H153+ROW()/10000000,"")</f>
        <v/>
      </c>
    </row>
    <row r="154">
      <c r="A154" s="1" t="n"/>
      <c r="B154" s="19" t="n"/>
      <c r="C154" s="20" t="n"/>
      <c r="D154" s="20" t="n"/>
      <c r="E154" s="21" t="n"/>
      <c r="F154" s="21" t="n"/>
      <c r="G154" s="22" t="n"/>
      <c r="H154" s="23" t="n"/>
      <c r="I154" s="22" t="n"/>
      <c r="J154" s="22" t="n"/>
      <c r="K154" s="11">
        <f>IF(AND(B154="",C154=""),"",IF(J154&lt;&gt;"","Wrapped",IF(I154&lt;&gt;"","To wrap",IF(AND(G154="",F154=""),"Idea",IF(H154="","To wrap",IF(H154&lt;TODAY(),"Late","On the way"))))))</f>
        <v/>
      </c>
      <c r="L154" s="1" t="n"/>
      <c r="M154">
        <f>IF(AND(B154="",C154=""),"",IF(OR(F154&lt;&gt;"",G154&lt;&gt;"",I154&lt;&gt;"",J154&lt;&gt;""),1,0))</f>
        <v/>
      </c>
      <c r="N154">
        <f>IF(M154="","",IF(M154=1,IF(F154&lt;&gt;"",N(F154),N(E154)),0))</f>
        <v/>
      </c>
      <c r="O154">
        <f>IF(M154="","",IF(M154=1,0,N(E154)))</f>
        <v/>
      </c>
      <c r="P154">
        <f>IF(OR(K154="On the way",K154="Late"),H154+ROW()/10000000,"")</f>
        <v/>
      </c>
    </row>
    <row r="155">
      <c r="A155" s="1" t="n"/>
      <c r="B155" s="19" t="n"/>
      <c r="C155" s="20" t="n"/>
      <c r="D155" s="20" t="n"/>
      <c r="E155" s="21" t="n"/>
      <c r="F155" s="21" t="n"/>
      <c r="G155" s="22" t="n"/>
      <c r="H155" s="23" t="n"/>
      <c r="I155" s="22" t="n"/>
      <c r="J155" s="22" t="n"/>
      <c r="K155" s="11">
        <f>IF(AND(B155="",C155=""),"",IF(J155&lt;&gt;"","Wrapped",IF(I155&lt;&gt;"","To wrap",IF(AND(G155="",F155=""),"Idea",IF(H155="","To wrap",IF(H155&lt;TODAY(),"Late","On the way"))))))</f>
        <v/>
      </c>
      <c r="L155" s="1" t="n"/>
      <c r="M155">
        <f>IF(AND(B155="",C155=""),"",IF(OR(F155&lt;&gt;"",G155&lt;&gt;"",I155&lt;&gt;"",J155&lt;&gt;""),1,0))</f>
        <v/>
      </c>
      <c r="N155">
        <f>IF(M155="","",IF(M155=1,IF(F155&lt;&gt;"",N(F155),N(E155)),0))</f>
        <v/>
      </c>
      <c r="O155">
        <f>IF(M155="","",IF(M155=1,0,N(E155)))</f>
        <v/>
      </c>
      <c r="P155">
        <f>IF(OR(K155="On the way",K155="Late"),H155+ROW()/10000000,"")</f>
        <v/>
      </c>
    </row>
    <row r="156">
      <c r="A156" s="1" t="n"/>
      <c r="B156" s="19" t="n"/>
      <c r="C156" s="20" t="n"/>
      <c r="D156" s="20" t="n"/>
      <c r="E156" s="21" t="n"/>
      <c r="F156" s="21" t="n"/>
      <c r="G156" s="22" t="n"/>
      <c r="H156" s="23" t="n"/>
      <c r="I156" s="22" t="n"/>
      <c r="J156" s="22" t="n"/>
      <c r="K156" s="11">
        <f>IF(AND(B156="",C156=""),"",IF(J156&lt;&gt;"","Wrapped",IF(I156&lt;&gt;"","To wrap",IF(AND(G156="",F156=""),"Idea",IF(H156="","To wrap",IF(H156&lt;TODAY(),"Late","On the way"))))))</f>
        <v/>
      </c>
      <c r="L156" s="1" t="n"/>
      <c r="M156">
        <f>IF(AND(B156="",C156=""),"",IF(OR(F156&lt;&gt;"",G156&lt;&gt;"",I156&lt;&gt;"",J156&lt;&gt;""),1,0))</f>
        <v/>
      </c>
      <c r="N156">
        <f>IF(M156="","",IF(M156=1,IF(F156&lt;&gt;"",N(F156),N(E156)),0))</f>
        <v/>
      </c>
      <c r="O156">
        <f>IF(M156="","",IF(M156=1,0,N(E156)))</f>
        <v/>
      </c>
      <c r="P156">
        <f>IF(OR(K156="On the way",K156="Late"),H156+ROW()/10000000,"")</f>
        <v/>
      </c>
    </row>
    <row r="157">
      <c r="A157" s="1" t="n"/>
      <c r="B157" s="19" t="n"/>
      <c r="C157" s="20" t="n"/>
      <c r="D157" s="20" t="n"/>
      <c r="E157" s="21" t="n"/>
      <c r="F157" s="21" t="n"/>
      <c r="G157" s="22" t="n"/>
      <c r="H157" s="23" t="n"/>
      <c r="I157" s="22" t="n"/>
      <c r="J157" s="22" t="n"/>
      <c r="K157" s="11">
        <f>IF(AND(B157="",C157=""),"",IF(J157&lt;&gt;"","Wrapped",IF(I157&lt;&gt;"","To wrap",IF(AND(G157="",F157=""),"Idea",IF(H157="","To wrap",IF(H157&lt;TODAY(),"Late","On the way"))))))</f>
        <v/>
      </c>
      <c r="L157" s="1" t="n"/>
      <c r="M157">
        <f>IF(AND(B157="",C157=""),"",IF(OR(F157&lt;&gt;"",G157&lt;&gt;"",I157&lt;&gt;"",J157&lt;&gt;""),1,0))</f>
        <v/>
      </c>
      <c r="N157">
        <f>IF(M157="","",IF(M157=1,IF(F157&lt;&gt;"",N(F157),N(E157)),0))</f>
        <v/>
      </c>
      <c r="O157">
        <f>IF(M157="","",IF(M157=1,0,N(E157)))</f>
        <v/>
      </c>
      <c r="P157">
        <f>IF(OR(K157="On the way",K157="Late"),H157+ROW()/10000000,"")</f>
        <v/>
      </c>
    </row>
    <row r="158">
      <c r="A158" s="1" t="n"/>
      <c r="B158" s="19" t="n"/>
      <c r="C158" s="20" t="n"/>
      <c r="D158" s="20" t="n"/>
      <c r="E158" s="21" t="n"/>
      <c r="F158" s="21" t="n"/>
      <c r="G158" s="22" t="n"/>
      <c r="H158" s="23" t="n"/>
      <c r="I158" s="22" t="n"/>
      <c r="J158" s="22" t="n"/>
      <c r="K158" s="11">
        <f>IF(AND(B158="",C158=""),"",IF(J158&lt;&gt;"","Wrapped",IF(I158&lt;&gt;"","To wrap",IF(AND(G158="",F158=""),"Idea",IF(H158="","To wrap",IF(H158&lt;TODAY(),"Late","On the way"))))))</f>
        <v/>
      </c>
      <c r="L158" s="1" t="n"/>
      <c r="M158">
        <f>IF(AND(B158="",C158=""),"",IF(OR(F158&lt;&gt;"",G158&lt;&gt;"",I158&lt;&gt;"",J158&lt;&gt;""),1,0))</f>
        <v/>
      </c>
      <c r="N158">
        <f>IF(M158="","",IF(M158=1,IF(F158&lt;&gt;"",N(F158),N(E158)),0))</f>
        <v/>
      </c>
      <c r="O158">
        <f>IF(M158="","",IF(M158=1,0,N(E158)))</f>
        <v/>
      </c>
      <c r="P158">
        <f>IF(OR(K158="On the way",K158="Late"),H158+ROW()/10000000,"")</f>
        <v/>
      </c>
    </row>
    <row r="159">
      <c r="A159" s="1" t="n"/>
      <c r="B159" s="19" t="n"/>
      <c r="C159" s="20" t="n"/>
      <c r="D159" s="20" t="n"/>
      <c r="E159" s="21" t="n"/>
      <c r="F159" s="21" t="n"/>
      <c r="G159" s="22" t="n"/>
      <c r="H159" s="23" t="n"/>
      <c r="I159" s="22" t="n"/>
      <c r="J159" s="22" t="n"/>
      <c r="K159" s="11">
        <f>IF(AND(B159="",C159=""),"",IF(J159&lt;&gt;"","Wrapped",IF(I159&lt;&gt;"","To wrap",IF(AND(G159="",F159=""),"Idea",IF(H159="","To wrap",IF(H159&lt;TODAY(),"Late","On the way"))))))</f>
        <v/>
      </c>
      <c r="L159" s="1" t="n"/>
      <c r="M159">
        <f>IF(AND(B159="",C159=""),"",IF(OR(F159&lt;&gt;"",G159&lt;&gt;"",I159&lt;&gt;"",J159&lt;&gt;""),1,0))</f>
        <v/>
      </c>
      <c r="N159">
        <f>IF(M159="","",IF(M159=1,IF(F159&lt;&gt;"",N(F159),N(E159)),0))</f>
        <v/>
      </c>
      <c r="O159">
        <f>IF(M159="","",IF(M159=1,0,N(E159)))</f>
        <v/>
      </c>
      <c r="P159">
        <f>IF(OR(K159="On the way",K159="Late"),H159+ROW()/10000000,"")</f>
        <v/>
      </c>
    </row>
    <row r="160">
      <c r="A160" s="1" t="n"/>
      <c r="B160" s="19" t="n"/>
      <c r="C160" s="20" t="n"/>
      <c r="D160" s="20" t="n"/>
      <c r="E160" s="21" t="n"/>
      <c r="F160" s="21" t="n"/>
      <c r="G160" s="22" t="n"/>
      <c r="H160" s="23" t="n"/>
      <c r="I160" s="22" t="n"/>
      <c r="J160" s="22" t="n"/>
      <c r="K160" s="11">
        <f>IF(AND(B160="",C160=""),"",IF(J160&lt;&gt;"","Wrapped",IF(I160&lt;&gt;"","To wrap",IF(AND(G160="",F160=""),"Idea",IF(H160="","To wrap",IF(H160&lt;TODAY(),"Late","On the way"))))))</f>
        <v/>
      </c>
      <c r="L160" s="1" t="n"/>
      <c r="M160">
        <f>IF(AND(B160="",C160=""),"",IF(OR(F160&lt;&gt;"",G160&lt;&gt;"",I160&lt;&gt;"",J160&lt;&gt;""),1,0))</f>
        <v/>
      </c>
      <c r="N160">
        <f>IF(M160="","",IF(M160=1,IF(F160&lt;&gt;"",N(F160),N(E160)),0))</f>
        <v/>
      </c>
      <c r="O160">
        <f>IF(M160="","",IF(M160=1,0,N(E160)))</f>
        <v/>
      </c>
      <c r="P160">
        <f>IF(OR(K160="On the way",K160="Late"),H160+ROW()/10000000,"")</f>
        <v/>
      </c>
    </row>
    <row r="161">
      <c r="A161" s="1" t="n"/>
      <c r="B161" s="19" t="n"/>
      <c r="C161" s="20" t="n"/>
      <c r="D161" s="20" t="n"/>
      <c r="E161" s="21" t="n"/>
      <c r="F161" s="21" t="n"/>
      <c r="G161" s="22" t="n"/>
      <c r="H161" s="23" t="n"/>
      <c r="I161" s="22" t="n"/>
      <c r="J161" s="22" t="n"/>
      <c r="K161" s="11">
        <f>IF(AND(B161="",C161=""),"",IF(J161&lt;&gt;"","Wrapped",IF(I161&lt;&gt;"","To wrap",IF(AND(G161="",F161=""),"Idea",IF(H161="","To wrap",IF(H161&lt;TODAY(),"Late","On the way"))))))</f>
        <v/>
      </c>
      <c r="L161" s="1" t="n"/>
      <c r="M161">
        <f>IF(AND(B161="",C161=""),"",IF(OR(F161&lt;&gt;"",G161&lt;&gt;"",I161&lt;&gt;"",J161&lt;&gt;""),1,0))</f>
        <v/>
      </c>
      <c r="N161">
        <f>IF(M161="","",IF(M161=1,IF(F161&lt;&gt;"",N(F161),N(E161)),0))</f>
        <v/>
      </c>
      <c r="O161">
        <f>IF(M161="","",IF(M161=1,0,N(E161)))</f>
        <v/>
      </c>
      <c r="P161">
        <f>IF(OR(K161="On the way",K161="Late"),H161+ROW()/10000000,"")</f>
        <v/>
      </c>
    </row>
    <row r="162">
      <c r="A162" s="1" t="n"/>
      <c r="B162" s="19" t="n"/>
      <c r="C162" s="20" t="n"/>
      <c r="D162" s="20" t="n"/>
      <c r="E162" s="21" t="n"/>
      <c r="F162" s="21" t="n"/>
      <c r="G162" s="22" t="n"/>
      <c r="H162" s="23" t="n"/>
      <c r="I162" s="22" t="n"/>
      <c r="J162" s="22" t="n"/>
      <c r="K162" s="11">
        <f>IF(AND(B162="",C162=""),"",IF(J162&lt;&gt;"","Wrapped",IF(I162&lt;&gt;"","To wrap",IF(AND(G162="",F162=""),"Idea",IF(H162="","To wrap",IF(H162&lt;TODAY(),"Late","On the way"))))))</f>
        <v/>
      </c>
      <c r="L162" s="1" t="n"/>
      <c r="M162">
        <f>IF(AND(B162="",C162=""),"",IF(OR(F162&lt;&gt;"",G162&lt;&gt;"",I162&lt;&gt;"",J162&lt;&gt;""),1,0))</f>
        <v/>
      </c>
      <c r="N162">
        <f>IF(M162="","",IF(M162=1,IF(F162&lt;&gt;"",N(F162),N(E162)),0))</f>
        <v/>
      </c>
      <c r="O162">
        <f>IF(M162="","",IF(M162=1,0,N(E162)))</f>
        <v/>
      </c>
      <c r="P162">
        <f>IF(OR(K162="On the way",K162="Late"),H162+ROW()/10000000,"")</f>
        <v/>
      </c>
    </row>
    <row r="163">
      <c r="A163" s="1" t="n"/>
      <c r="B163" s="19" t="n"/>
      <c r="C163" s="20" t="n"/>
      <c r="D163" s="20" t="n"/>
      <c r="E163" s="21" t="n"/>
      <c r="F163" s="21" t="n"/>
      <c r="G163" s="22" t="n"/>
      <c r="H163" s="23" t="n"/>
      <c r="I163" s="22" t="n"/>
      <c r="J163" s="22" t="n"/>
      <c r="K163" s="11">
        <f>IF(AND(B163="",C163=""),"",IF(J163&lt;&gt;"","Wrapped",IF(I163&lt;&gt;"","To wrap",IF(AND(G163="",F163=""),"Idea",IF(H163="","To wrap",IF(H163&lt;TODAY(),"Late","On the way"))))))</f>
        <v/>
      </c>
      <c r="L163" s="1" t="n"/>
      <c r="M163">
        <f>IF(AND(B163="",C163=""),"",IF(OR(F163&lt;&gt;"",G163&lt;&gt;"",I163&lt;&gt;"",J163&lt;&gt;""),1,0))</f>
        <v/>
      </c>
      <c r="N163">
        <f>IF(M163="","",IF(M163=1,IF(F163&lt;&gt;"",N(F163),N(E163)),0))</f>
        <v/>
      </c>
      <c r="O163">
        <f>IF(M163="","",IF(M163=1,0,N(E163)))</f>
        <v/>
      </c>
      <c r="P163">
        <f>IF(OR(K163="On the way",K163="Late"),H163+ROW()/10000000,"")</f>
        <v/>
      </c>
    </row>
    <row r="164">
      <c r="A164" s="1" t="n"/>
      <c r="B164" s="19" t="n"/>
      <c r="C164" s="20" t="n"/>
      <c r="D164" s="20" t="n"/>
      <c r="E164" s="21" t="n"/>
      <c r="F164" s="21" t="n"/>
      <c r="G164" s="22" t="n"/>
      <c r="H164" s="23" t="n"/>
      <c r="I164" s="22" t="n"/>
      <c r="J164" s="22" t="n"/>
      <c r="K164" s="11">
        <f>IF(AND(B164="",C164=""),"",IF(J164&lt;&gt;"","Wrapped",IF(I164&lt;&gt;"","To wrap",IF(AND(G164="",F164=""),"Idea",IF(H164="","To wrap",IF(H164&lt;TODAY(),"Late","On the way"))))))</f>
        <v/>
      </c>
      <c r="L164" s="1" t="n"/>
      <c r="M164">
        <f>IF(AND(B164="",C164=""),"",IF(OR(F164&lt;&gt;"",G164&lt;&gt;"",I164&lt;&gt;"",J164&lt;&gt;""),1,0))</f>
        <v/>
      </c>
      <c r="N164">
        <f>IF(M164="","",IF(M164=1,IF(F164&lt;&gt;"",N(F164),N(E164)),0))</f>
        <v/>
      </c>
      <c r="O164">
        <f>IF(M164="","",IF(M164=1,0,N(E164)))</f>
        <v/>
      </c>
      <c r="P164">
        <f>IF(OR(K164="On the way",K164="Late"),H164+ROW()/10000000,"")</f>
        <v/>
      </c>
    </row>
    <row r="165">
      <c r="A165" s="1" t="n"/>
      <c r="B165" s="19" t="n"/>
      <c r="C165" s="20" t="n"/>
      <c r="D165" s="20" t="n"/>
      <c r="E165" s="21" t="n"/>
      <c r="F165" s="21" t="n"/>
      <c r="G165" s="22" t="n"/>
      <c r="H165" s="23" t="n"/>
      <c r="I165" s="22" t="n"/>
      <c r="J165" s="22" t="n"/>
      <c r="K165" s="11">
        <f>IF(AND(B165="",C165=""),"",IF(J165&lt;&gt;"","Wrapped",IF(I165&lt;&gt;"","To wrap",IF(AND(G165="",F165=""),"Idea",IF(H165="","To wrap",IF(H165&lt;TODAY(),"Late","On the way"))))))</f>
        <v/>
      </c>
      <c r="L165" s="1" t="n"/>
      <c r="M165">
        <f>IF(AND(B165="",C165=""),"",IF(OR(F165&lt;&gt;"",G165&lt;&gt;"",I165&lt;&gt;"",J165&lt;&gt;""),1,0))</f>
        <v/>
      </c>
      <c r="N165">
        <f>IF(M165="","",IF(M165=1,IF(F165&lt;&gt;"",N(F165),N(E165)),0))</f>
        <v/>
      </c>
      <c r="O165">
        <f>IF(M165="","",IF(M165=1,0,N(E165)))</f>
        <v/>
      </c>
      <c r="P165">
        <f>IF(OR(K165="On the way",K165="Late"),H165+ROW()/10000000,"")</f>
        <v/>
      </c>
    </row>
    <row r="166">
      <c r="A166" s="1" t="n"/>
      <c r="B166" s="19" t="n"/>
      <c r="C166" s="20" t="n"/>
      <c r="D166" s="20" t="n"/>
      <c r="E166" s="21" t="n"/>
      <c r="F166" s="21" t="n"/>
      <c r="G166" s="22" t="n"/>
      <c r="H166" s="23" t="n"/>
      <c r="I166" s="22" t="n"/>
      <c r="J166" s="22" t="n"/>
      <c r="K166" s="11">
        <f>IF(AND(B166="",C166=""),"",IF(J166&lt;&gt;"","Wrapped",IF(I166&lt;&gt;"","To wrap",IF(AND(G166="",F166=""),"Idea",IF(H166="","To wrap",IF(H166&lt;TODAY(),"Late","On the way"))))))</f>
        <v/>
      </c>
      <c r="L166" s="1" t="n"/>
      <c r="M166">
        <f>IF(AND(B166="",C166=""),"",IF(OR(F166&lt;&gt;"",G166&lt;&gt;"",I166&lt;&gt;"",J166&lt;&gt;""),1,0))</f>
        <v/>
      </c>
      <c r="N166">
        <f>IF(M166="","",IF(M166=1,IF(F166&lt;&gt;"",N(F166),N(E166)),0))</f>
        <v/>
      </c>
      <c r="O166">
        <f>IF(M166="","",IF(M166=1,0,N(E166)))</f>
        <v/>
      </c>
      <c r="P166">
        <f>IF(OR(K166="On the way",K166="Late"),H166+ROW()/10000000,"")</f>
        <v/>
      </c>
    </row>
    <row r="167">
      <c r="A167" s="1" t="n"/>
      <c r="B167" s="19" t="n"/>
      <c r="C167" s="20" t="n"/>
      <c r="D167" s="20" t="n"/>
      <c r="E167" s="21" t="n"/>
      <c r="F167" s="21" t="n"/>
      <c r="G167" s="22" t="n"/>
      <c r="H167" s="23" t="n"/>
      <c r="I167" s="22" t="n"/>
      <c r="J167" s="22" t="n"/>
      <c r="K167" s="11">
        <f>IF(AND(B167="",C167=""),"",IF(J167&lt;&gt;"","Wrapped",IF(I167&lt;&gt;"","To wrap",IF(AND(G167="",F167=""),"Idea",IF(H167="","To wrap",IF(H167&lt;TODAY(),"Late","On the way"))))))</f>
        <v/>
      </c>
      <c r="L167" s="1" t="n"/>
      <c r="M167">
        <f>IF(AND(B167="",C167=""),"",IF(OR(F167&lt;&gt;"",G167&lt;&gt;"",I167&lt;&gt;"",J167&lt;&gt;""),1,0))</f>
        <v/>
      </c>
      <c r="N167">
        <f>IF(M167="","",IF(M167=1,IF(F167&lt;&gt;"",N(F167),N(E167)),0))</f>
        <v/>
      </c>
      <c r="O167">
        <f>IF(M167="","",IF(M167=1,0,N(E167)))</f>
        <v/>
      </c>
      <c r="P167">
        <f>IF(OR(K167="On the way",K167="Late"),H167+ROW()/10000000,"")</f>
        <v/>
      </c>
    </row>
    <row r="168">
      <c r="A168" s="1" t="n"/>
      <c r="B168" s="19" t="n"/>
      <c r="C168" s="20" t="n"/>
      <c r="D168" s="20" t="n"/>
      <c r="E168" s="21" t="n"/>
      <c r="F168" s="21" t="n"/>
      <c r="G168" s="22" t="n"/>
      <c r="H168" s="23" t="n"/>
      <c r="I168" s="22" t="n"/>
      <c r="J168" s="22" t="n"/>
      <c r="K168" s="11">
        <f>IF(AND(B168="",C168=""),"",IF(J168&lt;&gt;"","Wrapped",IF(I168&lt;&gt;"","To wrap",IF(AND(G168="",F168=""),"Idea",IF(H168="","To wrap",IF(H168&lt;TODAY(),"Late","On the way"))))))</f>
        <v/>
      </c>
      <c r="L168" s="1" t="n"/>
      <c r="M168">
        <f>IF(AND(B168="",C168=""),"",IF(OR(F168&lt;&gt;"",G168&lt;&gt;"",I168&lt;&gt;"",J168&lt;&gt;""),1,0))</f>
        <v/>
      </c>
      <c r="N168">
        <f>IF(M168="","",IF(M168=1,IF(F168&lt;&gt;"",N(F168),N(E168)),0))</f>
        <v/>
      </c>
      <c r="O168">
        <f>IF(M168="","",IF(M168=1,0,N(E168)))</f>
        <v/>
      </c>
      <c r="P168">
        <f>IF(OR(K168="On the way",K168="Late"),H168+ROW()/10000000,"")</f>
        <v/>
      </c>
    </row>
    <row r="169">
      <c r="A169" s="1" t="n"/>
      <c r="B169" s="19" t="n"/>
      <c r="C169" s="20" t="n"/>
      <c r="D169" s="20" t="n"/>
      <c r="E169" s="21" t="n"/>
      <c r="F169" s="21" t="n"/>
      <c r="G169" s="22" t="n"/>
      <c r="H169" s="23" t="n"/>
      <c r="I169" s="22" t="n"/>
      <c r="J169" s="22" t="n"/>
      <c r="K169" s="11">
        <f>IF(AND(B169="",C169=""),"",IF(J169&lt;&gt;"","Wrapped",IF(I169&lt;&gt;"","To wrap",IF(AND(G169="",F169=""),"Idea",IF(H169="","To wrap",IF(H169&lt;TODAY(),"Late","On the way"))))))</f>
        <v/>
      </c>
      <c r="L169" s="1" t="n"/>
      <c r="M169">
        <f>IF(AND(B169="",C169=""),"",IF(OR(F169&lt;&gt;"",G169&lt;&gt;"",I169&lt;&gt;"",J169&lt;&gt;""),1,0))</f>
        <v/>
      </c>
      <c r="N169">
        <f>IF(M169="","",IF(M169=1,IF(F169&lt;&gt;"",N(F169),N(E169)),0))</f>
        <v/>
      </c>
      <c r="O169">
        <f>IF(M169="","",IF(M169=1,0,N(E169)))</f>
        <v/>
      </c>
      <c r="P169">
        <f>IF(OR(K169="On the way",K169="Late"),H169+ROW()/10000000,"")</f>
        <v/>
      </c>
    </row>
    <row r="170">
      <c r="A170" s="1" t="n"/>
      <c r="B170" s="19" t="n"/>
      <c r="C170" s="20" t="n"/>
      <c r="D170" s="20" t="n"/>
      <c r="E170" s="21" t="n"/>
      <c r="F170" s="21" t="n"/>
      <c r="G170" s="22" t="n"/>
      <c r="H170" s="23" t="n"/>
      <c r="I170" s="22" t="n"/>
      <c r="J170" s="22" t="n"/>
      <c r="K170" s="11">
        <f>IF(AND(B170="",C170=""),"",IF(J170&lt;&gt;"","Wrapped",IF(I170&lt;&gt;"","To wrap",IF(AND(G170="",F170=""),"Idea",IF(H170="","To wrap",IF(H170&lt;TODAY(),"Late","On the way"))))))</f>
        <v/>
      </c>
      <c r="L170" s="1" t="n"/>
      <c r="M170">
        <f>IF(AND(B170="",C170=""),"",IF(OR(F170&lt;&gt;"",G170&lt;&gt;"",I170&lt;&gt;"",J170&lt;&gt;""),1,0))</f>
        <v/>
      </c>
      <c r="N170">
        <f>IF(M170="","",IF(M170=1,IF(F170&lt;&gt;"",N(F170),N(E170)),0))</f>
        <v/>
      </c>
      <c r="O170">
        <f>IF(M170="","",IF(M170=1,0,N(E170)))</f>
        <v/>
      </c>
      <c r="P170">
        <f>IF(OR(K170="On the way",K170="Late"),H170+ROW()/10000000,"")</f>
        <v/>
      </c>
    </row>
    <row r="171">
      <c r="A171" s="1" t="n"/>
      <c r="B171" s="19" t="n"/>
      <c r="C171" s="20" t="n"/>
      <c r="D171" s="20" t="n"/>
      <c r="E171" s="21" t="n"/>
      <c r="F171" s="21" t="n"/>
      <c r="G171" s="22" t="n"/>
      <c r="H171" s="23" t="n"/>
      <c r="I171" s="22" t="n"/>
      <c r="J171" s="22" t="n"/>
      <c r="K171" s="11">
        <f>IF(AND(B171="",C171=""),"",IF(J171&lt;&gt;"","Wrapped",IF(I171&lt;&gt;"","To wrap",IF(AND(G171="",F171=""),"Idea",IF(H171="","To wrap",IF(H171&lt;TODAY(),"Late","On the way"))))))</f>
        <v/>
      </c>
      <c r="L171" s="1" t="n"/>
      <c r="M171">
        <f>IF(AND(B171="",C171=""),"",IF(OR(F171&lt;&gt;"",G171&lt;&gt;"",I171&lt;&gt;"",J171&lt;&gt;""),1,0))</f>
        <v/>
      </c>
      <c r="N171">
        <f>IF(M171="","",IF(M171=1,IF(F171&lt;&gt;"",N(F171),N(E171)),0))</f>
        <v/>
      </c>
      <c r="O171">
        <f>IF(M171="","",IF(M171=1,0,N(E171)))</f>
        <v/>
      </c>
      <c r="P171">
        <f>IF(OR(K171="On the way",K171="Late"),H171+ROW()/10000000,"")</f>
        <v/>
      </c>
    </row>
    <row r="172">
      <c r="A172" s="1" t="n"/>
      <c r="B172" s="19" t="n"/>
      <c r="C172" s="20" t="n"/>
      <c r="D172" s="20" t="n"/>
      <c r="E172" s="21" t="n"/>
      <c r="F172" s="21" t="n"/>
      <c r="G172" s="22" t="n"/>
      <c r="H172" s="23" t="n"/>
      <c r="I172" s="22" t="n"/>
      <c r="J172" s="22" t="n"/>
      <c r="K172" s="11">
        <f>IF(AND(B172="",C172=""),"",IF(J172&lt;&gt;"","Wrapped",IF(I172&lt;&gt;"","To wrap",IF(AND(G172="",F172=""),"Idea",IF(H172="","To wrap",IF(H172&lt;TODAY(),"Late","On the way"))))))</f>
        <v/>
      </c>
      <c r="L172" s="1" t="n"/>
      <c r="M172">
        <f>IF(AND(B172="",C172=""),"",IF(OR(F172&lt;&gt;"",G172&lt;&gt;"",I172&lt;&gt;"",J172&lt;&gt;""),1,0))</f>
        <v/>
      </c>
      <c r="N172">
        <f>IF(M172="","",IF(M172=1,IF(F172&lt;&gt;"",N(F172),N(E172)),0))</f>
        <v/>
      </c>
      <c r="O172">
        <f>IF(M172="","",IF(M172=1,0,N(E172)))</f>
        <v/>
      </c>
      <c r="P172">
        <f>IF(OR(K172="On the way",K172="Late"),H172+ROW()/10000000,"")</f>
        <v/>
      </c>
    </row>
    <row r="173">
      <c r="A173" s="1" t="n"/>
      <c r="B173" s="19" t="n"/>
      <c r="C173" s="20" t="n"/>
      <c r="D173" s="20" t="n"/>
      <c r="E173" s="21" t="n"/>
      <c r="F173" s="21" t="n"/>
      <c r="G173" s="22" t="n"/>
      <c r="H173" s="23" t="n"/>
      <c r="I173" s="22" t="n"/>
      <c r="J173" s="22" t="n"/>
      <c r="K173" s="11">
        <f>IF(AND(B173="",C173=""),"",IF(J173&lt;&gt;"","Wrapped",IF(I173&lt;&gt;"","To wrap",IF(AND(G173="",F173=""),"Idea",IF(H173="","To wrap",IF(H173&lt;TODAY(),"Late","On the way"))))))</f>
        <v/>
      </c>
      <c r="L173" s="1" t="n"/>
      <c r="M173">
        <f>IF(AND(B173="",C173=""),"",IF(OR(F173&lt;&gt;"",G173&lt;&gt;"",I173&lt;&gt;"",J173&lt;&gt;""),1,0))</f>
        <v/>
      </c>
      <c r="N173">
        <f>IF(M173="","",IF(M173=1,IF(F173&lt;&gt;"",N(F173),N(E173)),0))</f>
        <v/>
      </c>
      <c r="O173">
        <f>IF(M173="","",IF(M173=1,0,N(E173)))</f>
        <v/>
      </c>
      <c r="P173">
        <f>IF(OR(K173="On the way",K173="Late"),H173+ROW()/10000000,"")</f>
        <v/>
      </c>
    </row>
    <row r="174">
      <c r="A174" s="1" t="n"/>
      <c r="B174" s="19" t="n"/>
      <c r="C174" s="20" t="n"/>
      <c r="D174" s="20" t="n"/>
      <c r="E174" s="21" t="n"/>
      <c r="F174" s="21" t="n"/>
      <c r="G174" s="22" t="n"/>
      <c r="H174" s="23" t="n"/>
      <c r="I174" s="22" t="n"/>
      <c r="J174" s="22" t="n"/>
      <c r="K174" s="11">
        <f>IF(AND(B174="",C174=""),"",IF(J174&lt;&gt;"","Wrapped",IF(I174&lt;&gt;"","To wrap",IF(AND(G174="",F174=""),"Idea",IF(H174="","To wrap",IF(H174&lt;TODAY(),"Late","On the way"))))))</f>
        <v/>
      </c>
      <c r="L174" s="1" t="n"/>
      <c r="M174">
        <f>IF(AND(B174="",C174=""),"",IF(OR(F174&lt;&gt;"",G174&lt;&gt;"",I174&lt;&gt;"",J174&lt;&gt;""),1,0))</f>
        <v/>
      </c>
      <c r="N174">
        <f>IF(M174="","",IF(M174=1,IF(F174&lt;&gt;"",N(F174),N(E174)),0))</f>
        <v/>
      </c>
      <c r="O174">
        <f>IF(M174="","",IF(M174=1,0,N(E174)))</f>
        <v/>
      </c>
      <c r="P174">
        <f>IF(OR(K174="On the way",K174="Late"),H174+ROW()/10000000,"")</f>
        <v/>
      </c>
    </row>
    <row r="175">
      <c r="A175" s="1" t="n"/>
      <c r="B175" s="19" t="n"/>
      <c r="C175" s="20" t="n"/>
      <c r="D175" s="20" t="n"/>
      <c r="E175" s="21" t="n"/>
      <c r="F175" s="21" t="n"/>
      <c r="G175" s="22" t="n"/>
      <c r="H175" s="23" t="n"/>
      <c r="I175" s="22" t="n"/>
      <c r="J175" s="22" t="n"/>
      <c r="K175" s="11">
        <f>IF(AND(B175="",C175=""),"",IF(J175&lt;&gt;"","Wrapped",IF(I175&lt;&gt;"","To wrap",IF(AND(G175="",F175=""),"Idea",IF(H175="","To wrap",IF(H175&lt;TODAY(),"Late","On the way"))))))</f>
        <v/>
      </c>
      <c r="L175" s="1" t="n"/>
      <c r="M175">
        <f>IF(AND(B175="",C175=""),"",IF(OR(F175&lt;&gt;"",G175&lt;&gt;"",I175&lt;&gt;"",J175&lt;&gt;""),1,0))</f>
        <v/>
      </c>
      <c r="N175">
        <f>IF(M175="","",IF(M175=1,IF(F175&lt;&gt;"",N(F175),N(E175)),0))</f>
        <v/>
      </c>
      <c r="O175">
        <f>IF(M175="","",IF(M175=1,0,N(E175)))</f>
        <v/>
      </c>
      <c r="P175">
        <f>IF(OR(K175="On the way",K175="Late"),H175+ROW()/10000000,"")</f>
        <v/>
      </c>
    </row>
    <row r="176">
      <c r="A176" s="1" t="n"/>
      <c r="B176" s="19" t="n"/>
      <c r="C176" s="20" t="n"/>
      <c r="D176" s="20" t="n"/>
      <c r="E176" s="21" t="n"/>
      <c r="F176" s="21" t="n"/>
      <c r="G176" s="22" t="n"/>
      <c r="H176" s="23" t="n"/>
      <c r="I176" s="22" t="n"/>
      <c r="J176" s="22" t="n"/>
      <c r="K176" s="11">
        <f>IF(AND(B176="",C176=""),"",IF(J176&lt;&gt;"","Wrapped",IF(I176&lt;&gt;"","To wrap",IF(AND(G176="",F176=""),"Idea",IF(H176="","To wrap",IF(H176&lt;TODAY(),"Late","On the way"))))))</f>
        <v/>
      </c>
      <c r="L176" s="1" t="n"/>
      <c r="M176">
        <f>IF(AND(B176="",C176=""),"",IF(OR(F176&lt;&gt;"",G176&lt;&gt;"",I176&lt;&gt;"",J176&lt;&gt;""),1,0))</f>
        <v/>
      </c>
      <c r="N176">
        <f>IF(M176="","",IF(M176=1,IF(F176&lt;&gt;"",N(F176),N(E176)),0))</f>
        <v/>
      </c>
      <c r="O176">
        <f>IF(M176="","",IF(M176=1,0,N(E176)))</f>
        <v/>
      </c>
      <c r="P176">
        <f>IF(OR(K176="On the way",K176="Late"),H176+ROW()/10000000,"")</f>
        <v/>
      </c>
    </row>
    <row r="177">
      <c r="A177" s="1" t="n"/>
      <c r="B177" s="19" t="n"/>
      <c r="C177" s="20" t="n"/>
      <c r="D177" s="20" t="n"/>
      <c r="E177" s="21" t="n"/>
      <c r="F177" s="21" t="n"/>
      <c r="G177" s="22" t="n"/>
      <c r="H177" s="23" t="n"/>
      <c r="I177" s="22" t="n"/>
      <c r="J177" s="22" t="n"/>
      <c r="K177" s="11">
        <f>IF(AND(B177="",C177=""),"",IF(J177&lt;&gt;"","Wrapped",IF(I177&lt;&gt;"","To wrap",IF(AND(G177="",F177=""),"Idea",IF(H177="","To wrap",IF(H177&lt;TODAY(),"Late","On the way"))))))</f>
        <v/>
      </c>
      <c r="L177" s="1" t="n"/>
      <c r="M177">
        <f>IF(AND(B177="",C177=""),"",IF(OR(F177&lt;&gt;"",G177&lt;&gt;"",I177&lt;&gt;"",J177&lt;&gt;""),1,0))</f>
        <v/>
      </c>
      <c r="N177">
        <f>IF(M177="","",IF(M177=1,IF(F177&lt;&gt;"",N(F177),N(E177)),0))</f>
        <v/>
      </c>
      <c r="O177">
        <f>IF(M177="","",IF(M177=1,0,N(E177)))</f>
        <v/>
      </c>
      <c r="P177">
        <f>IF(OR(K177="On the way",K177="Late"),H177+ROW()/10000000,"")</f>
        <v/>
      </c>
    </row>
    <row r="178">
      <c r="A178" s="1" t="n"/>
      <c r="B178" s="19" t="n"/>
      <c r="C178" s="20" t="n"/>
      <c r="D178" s="20" t="n"/>
      <c r="E178" s="21" t="n"/>
      <c r="F178" s="21" t="n"/>
      <c r="G178" s="22" t="n"/>
      <c r="H178" s="23" t="n"/>
      <c r="I178" s="22" t="n"/>
      <c r="J178" s="22" t="n"/>
      <c r="K178" s="11">
        <f>IF(AND(B178="",C178=""),"",IF(J178&lt;&gt;"","Wrapped",IF(I178&lt;&gt;"","To wrap",IF(AND(G178="",F178=""),"Idea",IF(H178="","To wrap",IF(H178&lt;TODAY(),"Late","On the way"))))))</f>
        <v/>
      </c>
      <c r="L178" s="1" t="n"/>
      <c r="M178">
        <f>IF(AND(B178="",C178=""),"",IF(OR(F178&lt;&gt;"",G178&lt;&gt;"",I178&lt;&gt;"",J178&lt;&gt;""),1,0))</f>
        <v/>
      </c>
      <c r="N178">
        <f>IF(M178="","",IF(M178=1,IF(F178&lt;&gt;"",N(F178),N(E178)),0))</f>
        <v/>
      </c>
      <c r="O178">
        <f>IF(M178="","",IF(M178=1,0,N(E178)))</f>
        <v/>
      </c>
      <c r="P178">
        <f>IF(OR(K178="On the way",K178="Late"),H178+ROW()/10000000,"")</f>
        <v/>
      </c>
    </row>
    <row r="179">
      <c r="A179" s="1" t="n"/>
      <c r="B179" s="19" t="n"/>
      <c r="C179" s="20" t="n"/>
      <c r="D179" s="20" t="n"/>
      <c r="E179" s="21" t="n"/>
      <c r="F179" s="21" t="n"/>
      <c r="G179" s="22" t="n"/>
      <c r="H179" s="23" t="n"/>
      <c r="I179" s="22" t="n"/>
      <c r="J179" s="22" t="n"/>
      <c r="K179" s="11">
        <f>IF(AND(B179="",C179=""),"",IF(J179&lt;&gt;"","Wrapped",IF(I179&lt;&gt;"","To wrap",IF(AND(G179="",F179=""),"Idea",IF(H179="","To wrap",IF(H179&lt;TODAY(),"Late","On the way"))))))</f>
        <v/>
      </c>
      <c r="L179" s="1" t="n"/>
      <c r="M179">
        <f>IF(AND(B179="",C179=""),"",IF(OR(F179&lt;&gt;"",G179&lt;&gt;"",I179&lt;&gt;"",J179&lt;&gt;""),1,0))</f>
        <v/>
      </c>
      <c r="N179">
        <f>IF(M179="","",IF(M179=1,IF(F179&lt;&gt;"",N(F179),N(E179)),0))</f>
        <v/>
      </c>
      <c r="O179">
        <f>IF(M179="","",IF(M179=1,0,N(E179)))</f>
        <v/>
      </c>
      <c r="P179">
        <f>IF(OR(K179="On the way",K179="Late"),H179+ROW()/10000000,"")</f>
        <v/>
      </c>
    </row>
    <row r="180">
      <c r="A180" s="1" t="n"/>
      <c r="B180" s="19" t="n"/>
      <c r="C180" s="20" t="n"/>
      <c r="D180" s="20" t="n"/>
      <c r="E180" s="21" t="n"/>
      <c r="F180" s="21" t="n"/>
      <c r="G180" s="22" t="n"/>
      <c r="H180" s="23" t="n"/>
      <c r="I180" s="22" t="n"/>
      <c r="J180" s="22" t="n"/>
      <c r="K180" s="11">
        <f>IF(AND(B180="",C180=""),"",IF(J180&lt;&gt;"","Wrapped",IF(I180&lt;&gt;"","To wrap",IF(AND(G180="",F180=""),"Idea",IF(H180="","To wrap",IF(H180&lt;TODAY(),"Late","On the way"))))))</f>
        <v/>
      </c>
      <c r="L180" s="1" t="n"/>
      <c r="M180">
        <f>IF(AND(B180="",C180=""),"",IF(OR(F180&lt;&gt;"",G180&lt;&gt;"",I180&lt;&gt;"",J180&lt;&gt;""),1,0))</f>
        <v/>
      </c>
      <c r="N180">
        <f>IF(M180="","",IF(M180=1,IF(F180&lt;&gt;"",N(F180),N(E180)),0))</f>
        <v/>
      </c>
      <c r="O180">
        <f>IF(M180="","",IF(M180=1,0,N(E180)))</f>
        <v/>
      </c>
      <c r="P180">
        <f>IF(OR(K180="On the way",K180="Late"),H180+ROW()/10000000,"")</f>
        <v/>
      </c>
    </row>
    <row r="181">
      <c r="A181" s="1" t="n"/>
      <c r="B181" s="19" t="n"/>
      <c r="C181" s="20" t="n"/>
      <c r="D181" s="20" t="n"/>
      <c r="E181" s="21" t="n"/>
      <c r="F181" s="21" t="n"/>
      <c r="G181" s="22" t="n"/>
      <c r="H181" s="23" t="n"/>
      <c r="I181" s="22" t="n"/>
      <c r="J181" s="22" t="n"/>
      <c r="K181" s="11">
        <f>IF(AND(B181="",C181=""),"",IF(J181&lt;&gt;"","Wrapped",IF(I181&lt;&gt;"","To wrap",IF(AND(G181="",F181=""),"Idea",IF(H181="","To wrap",IF(H181&lt;TODAY(),"Late","On the way"))))))</f>
        <v/>
      </c>
      <c r="L181" s="1" t="n"/>
      <c r="M181">
        <f>IF(AND(B181="",C181=""),"",IF(OR(F181&lt;&gt;"",G181&lt;&gt;"",I181&lt;&gt;"",J181&lt;&gt;""),1,0))</f>
        <v/>
      </c>
      <c r="N181">
        <f>IF(M181="","",IF(M181=1,IF(F181&lt;&gt;"",N(F181),N(E181)),0))</f>
        <v/>
      </c>
      <c r="O181">
        <f>IF(M181="","",IF(M181=1,0,N(E181)))</f>
        <v/>
      </c>
      <c r="P181">
        <f>IF(OR(K181="On the way",K181="Late"),H181+ROW()/10000000,"")</f>
        <v/>
      </c>
    </row>
    <row r="182">
      <c r="A182" s="1" t="n"/>
      <c r="B182" s="19" t="n"/>
      <c r="C182" s="20" t="n"/>
      <c r="D182" s="20" t="n"/>
      <c r="E182" s="21" t="n"/>
      <c r="F182" s="21" t="n"/>
      <c r="G182" s="22" t="n"/>
      <c r="H182" s="23" t="n"/>
      <c r="I182" s="22" t="n"/>
      <c r="J182" s="22" t="n"/>
      <c r="K182" s="11">
        <f>IF(AND(B182="",C182=""),"",IF(J182&lt;&gt;"","Wrapped",IF(I182&lt;&gt;"","To wrap",IF(AND(G182="",F182=""),"Idea",IF(H182="","To wrap",IF(H182&lt;TODAY(),"Late","On the way"))))))</f>
        <v/>
      </c>
      <c r="L182" s="1" t="n"/>
      <c r="M182">
        <f>IF(AND(B182="",C182=""),"",IF(OR(F182&lt;&gt;"",G182&lt;&gt;"",I182&lt;&gt;"",J182&lt;&gt;""),1,0))</f>
        <v/>
      </c>
      <c r="N182">
        <f>IF(M182="","",IF(M182=1,IF(F182&lt;&gt;"",N(F182),N(E182)),0))</f>
        <v/>
      </c>
      <c r="O182">
        <f>IF(M182="","",IF(M182=1,0,N(E182)))</f>
        <v/>
      </c>
      <c r="P182">
        <f>IF(OR(K182="On the way",K182="Late"),H182+ROW()/10000000,"")</f>
        <v/>
      </c>
    </row>
    <row r="183">
      <c r="A183" s="1" t="n"/>
      <c r="B183" s="19" t="n"/>
      <c r="C183" s="20" t="n"/>
      <c r="D183" s="20" t="n"/>
      <c r="E183" s="21" t="n"/>
      <c r="F183" s="21" t="n"/>
      <c r="G183" s="22" t="n"/>
      <c r="H183" s="23" t="n"/>
      <c r="I183" s="22" t="n"/>
      <c r="J183" s="22" t="n"/>
      <c r="K183" s="11">
        <f>IF(AND(B183="",C183=""),"",IF(J183&lt;&gt;"","Wrapped",IF(I183&lt;&gt;"","To wrap",IF(AND(G183="",F183=""),"Idea",IF(H183="","To wrap",IF(H183&lt;TODAY(),"Late","On the way"))))))</f>
        <v/>
      </c>
      <c r="L183" s="1" t="n"/>
      <c r="M183">
        <f>IF(AND(B183="",C183=""),"",IF(OR(F183&lt;&gt;"",G183&lt;&gt;"",I183&lt;&gt;"",J183&lt;&gt;""),1,0))</f>
        <v/>
      </c>
      <c r="N183">
        <f>IF(M183="","",IF(M183=1,IF(F183&lt;&gt;"",N(F183),N(E183)),0))</f>
        <v/>
      </c>
      <c r="O183">
        <f>IF(M183="","",IF(M183=1,0,N(E183)))</f>
        <v/>
      </c>
      <c r="P183">
        <f>IF(OR(K183="On the way",K183="Late"),H183+ROW()/10000000,"")</f>
        <v/>
      </c>
    </row>
    <row r="184">
      <c r="A184" s="1" t="n"/>
      <c r="B184" s="19" t="n"/>
      <c r="C184" s="20" t="n"/>
      <c r="D184" s="20" t="n"/>
      <c r="E184" s="21" t="n"/>
      <c r="F184" s="21" t="n"/>
      <c r="G184" s="22" t="n"/>
      <c r="H184" s="23" t="n"/>
      <c r="I184" s="22" t="n"/>
      <c r="J184" s="22" t="n"/>
      <c r="K184" s="11">
        <f>IF(AND(B184="",C184=""),"",IF(J184&lt;&gt;"","Wrapped",IF(I184&lt;&gt;"","To wrap",IF(AND(G184="",F184=""),"Idea",IF(H184="","To wrap",IF(H184&lt;TODAY(),"Late","On the way"))))))</f>
        <v/>
      </c>
      <c r="L184" s="1" t="n"/>
      <c r="M184">
        <f>IF(AND(B184="",C184=""),"",IF(OR(F184&lt;&gt;"",G184&lt;&gt;"",I184&lt;&gt;"",J184&lt;&gt;""),1,0))</f>
        <v/>
      </c>
      <c r="N184">
        <f>IF(M184="","",IF(M184=1,IF(F184&lt;&gt;"",N(F184),N(E184)),0))</f>
        <v/>
      </c>
      <c r="O184">
        <f>IF(M184="","",IF(M184=1,0,N(E184)))</f>
        <v/>
      </c>
      <c r="P184">
        <f>IF(OR(K184="On the way",K184="Late"),H184+ROW()/10000000,"")</f>
        <v/>
      </c>
    </row>
    <row r="185">
      <c r="A185" s="1" t="n"/>
      <c r="B185" s="19" t="n"/>
      <c r="C185" s="20" t="n"/>
      <c r="D185" s="20" t="n"/>
      <c r="E185" s="21" t="n"/>
      <c r="F185" s="21" t="n"/>
      <c r="G185" s="22" t="n"/>
      <c r="H185" s="23" t="n"/>
      <c r="I185" s="22" t="n"/>
      <c r="J185" s="22" t="n"/>
      <c r="K185" s="11">
        <f>IF(AND(B185="",C185=""),"",IF(J185&lt;&gt;"","Wrapped",IF(I185&lt;&gt;"","To wrap",IF(AND(G185="",F185=""),"Idea",IF(H185="","To wrap",IF(H185&lt;TODAY(),"Late","On the way"))))))</f>
        <v/>
      </c>
      <c r="L185" s="1" t="n"/>
      <c r="M185">
        <f>IF(AND(B185="",C185=""),"",IF(OR(F185&lt;&gt;"",G185&lt;&gt;"",I185&lt;&gt;"",J185&lt;&gt;""),1,0))</f>
        <v/>
      </c>
      <c r="N185">
        <f>IF(M185="","",IF(M185=1,IF(F185&lt;&gt;"",N(F185),N(E185)),0))</f>
        <v/>
      </c>
      <c r="O185">
        <f>IF(M185="","",IF(M185=1,0,N(E185)))</f>
        <v/>
      </c>
      <c r="P185">
        <f>IF(OR(K185="On the way",K185="Late"),H185+ROW()/10000000,"")</f>
        <v/>
      </c>
    </row>
    <row r="186">
      <c r="A186" s="1" t="n"/>
      <c r="B186" s="19" t="n"/>
      <c r="C186" s="20" t="n"/>
      <c r="D186" s="20" t="n"/>
      <c r="E186" s="21" t="n"/>
      <c r="F186" s="21" t="n"/>
      <c r="G186" s="22" t="n"/>
      <c r="H186" s="23" t="n"/>
      <c r="I186" s="22" t="n"/>
      <c r="J186" s="22" t="n"/>
      <c r="K186" s="11">
        <f>IF(AND(B186="",C186=""),"",IF(J186&lt;&gt;"","Wrapped",IF(I186&lt;&gt;"","To wrap",IF(AND(G186="",F186=""),"Idea",IF(H186="","To wrap",IF(H186&lt;TODAY(),"Late","On the way"))))))</f>
        <v/>
      </c>
      <c r="L186" s="1" t="n"/>
      <c r="M186">
        <f>IF(AND(B186="",C186=""),"",IF(OR(F186&lt;&gt;"",G186&lt;&gt;"",I186&lt;&gt;"",J186&lt;&gt;""),1,0))</f>
        <v/>
      </c>
      <c r="N186">
        <f>IF(M186="","",IF(M186=1,IF(F186&lt;&gt;"",N(F186),N(E186)),0))</f>
        <v/>
      </c>
      <c r="O186">
        <f>IF(M186="","",IF(M186=1,0,N(E186)))</f>
        <v/>
      </c>
      <c r="P186">
        <f>IF(OR(K186="On the way",K186="Late"),H186+ROW()/10000000,"")</f>
        <v/>
      </c>
    </row>
    <row r="187">
      <c r="A187" s="1" t="n"/>
      <c r="B187" s="19" t="n"/>
      <c r="C187" s="20" t="n"/>
      <c r="D187" s="20" t="n"/>
      <c r="E187" s="21" t="n"/>
      <c r="F187" s="21" t="n"/>
      <c r="G187" s="22" t="n"/>
      <c r="H187" s="23" t="n"/>
      <c r="I187" s="22" t="n"/>
      <c r="J187" s="22" t="n"/>
      <c r="K187" s="11">
        <f>IF(AND(B187="",C187=""),"",IF(J187&lt;&gt;"","Wrapped",IF(I187&lt;&gt;"","To wrap",IF(AND(G187="",F187=""),"Idea",IF(H187="","To wrap",IF(H187&lt;TODAY(),"Late","On the way"))))))</f>
        <v/>
      </c>
      <c r="L187" s="1" t="n"/>
      <c r="M187">
        <f>IF(AND(B187="",C187=""),"",IF(OR(F187&lt;&gt;"",G187&lt;&gt;"",I187&lt;&gt;"",J187&lt;&gt;""),1,0))</f>
        <v/>
      </c>
      <c r="N187">
        <f>IF(M187="","",IF(M187=1,IF(F187&lt;&gt;"",N(F187),N(E187)),0))</f>
        <v/>
      </c>
      <c r="O187">
        <f>IF(M187="","",IF(M187=1,0,N(E187)))</f>
        <v/>
      </c>
      <c r="P187">
        <f>IF(OR(K187="On the way",K187="Late"),H187+ROW()/10000000,"")</f>
        <v/>
      </c>
    </row>
    <row r="188">
      <c r="A188" s="1" t="n"/>
      <c r="B188" s="19" t="n"/>
      <c r="C188" s="20" t="n"/>
      <c r="D188" s="20" t="n"/>
      <c r="E188" s="21" t="n"/>
      <c r="F188" s="21" t="n"/>
      <c r="G188" s="22" t="n"/>
      <c r="H188" s="23" t="n"/>
      <c r="I188" s="22" t="n"/>
      <c r="J188" s="22" t="n"/>
      <c r="K188" s="11">
        <f>IF(AND(B188="",C188=""),"",IF(J188&lt;&gt;"","Wrapped",IF(I188&lt;&gt;"","To wrap",IF(AND(G188="",F188=""),"Idea",IF(H188="","To wrap",IF(H188&lt;TODAY(),"Late","On the way"))))))</f>
        <v/>
      </c>
      <c r="L188" s="1" t="n"/>
      <c r="M188">
        <f>IF(AND(B188="",C188=""),"",IF(OR(F188&lt;&gt;"",G188&lt;&gt;"",I188&lt;&gt;"",J188&lt;&gt;""),1,0))</f>
        <v/>
      </c>
      <c r="N188">
        <f>IF(M188="","",IF(M188=1,IF(F188&lt;&gt;"",N(F188),N(E188)),0))</f>
        <v/>
      </c>
      <c r="O188">
        <f>IF(M188="","",IF(M188=1,0,N(E188)))</f>
        <v/>
      </c>
      <c r="P188">
        <f>IF(OR(K188="On the way",K188="Late"),H188+ROW()/10000000,"")</f>
        <v/>
      </c>
    </row>
    <row r="189">
      <c r="A189" s="1" t="n"/>
      <c r="B189" s="19" t="n"/>
      <c r="C189" s="20" t="n"/>
      <c r="D189" s="20" t="n"/>
      <c r="E189" s="21" t="n"/>
      <c r="F189" s="21" t="n"/>
      <c r="G189" s="22" t="n"/>
      <c r="H189" s="23" t="n"/>
      <c r="I189" s="22" t="n"/>
      <c r="J189" s="22" t="n"/>
      <c r="K189" s="11">
        <f>IF(AND(B189="",C189=""),"",IF(J189&lt;&gt;"","Wrapped",IF(I189&lt;&gt;"","To wrap",IF(AND(G189="",F189=""),"Idea",IF(H189="","To wrap",IF(H189&lt;TODAY(),"Late","On the way"))))))</f>
        <v/>
      </c>
      <c r="L189" s="1" t="n"/>
      <c r="M189">
        <f>IF(AND(B189="",C189=""),"",IF(OR(F189&lt;&gt;"",G189&lt;&gt;"",I189&lt;&gt;"",J189&lt;&gt;""),1,0))</f>
        <v/>
      </c>
      <c r="N189">
        <f>IF(M189="","",IF(M189=1,IF(F189&lt;&gt;"",N(F189),N(E189)),0))</f>
        <v/>
      </c>
      <c r="O189">
        <f>IF(M189="","",IF(M189=1,0,N(E189)))</f>
        <v/>
      </c>
      <c r="P189">
        <f>IF(OR(K189="On the way",K189="Late"),H189+ROW()/10000000,"")</f>
        <v/>
      </c>
    </row>
    <row r="190">
      <c r="A190" s="1" t="n"/>
      <c r="B190" s="19" t="n"/>
      <c r="C190" s="20" t="n"/>
      <c r="D190" s="20" t="n"/>
      <c r="E190" s="21" t="n"/>
      <c r="F190" s="21" t="n"/>
      <c r="G190" s="22" t="n"/>
      <c r="H190" s="23" t="n"/>
      <c r="I190" s="22" t="n"/>
      <c r="J190" s="22" t="n"/>
      <c r="K190" s="11">
        <f>IF(AND(B190="",C190=""),"",IF(J190&lt;&gt;"","Wrapped",IF(I190&lt;&gt;"","To wrap",IF(AND(G190="",F190=""),"Idea",IF(H190="","To wrap",IF(H190&lt;TODAY(),"Late","On the way"))))))</f>
        <v/>
      </c>
      <c r="L190" s="1" t="n"/>
      <c r="M190">
        <f>IF(AND(B190="",C190=""),"",IF(OR(F190&lt;&gt;"",G190&lt;&gt;"",I190&lt;&gt;"",J190&lt;&gt;""),1,0))</f>
        <v/>
      </c>
      <c r="N190">
        <f>IF(M190="","",IF(M190=1,IF(F190&lt;&gt;"",N(F190),N(E190)),0))</f>
        <v/>
      </c>
      <c r="O190">
        <f>IF(M190="","",IF(M190=1,0,N(E190)))</f>
        <v/>
      </c>
      <c r="P190">
        <f>IF(OR(K190="On the way",K190="Late"),H190+ROW()/10000000,"")</f>
        <v/>
      </c>
    </row>
    <row r="191">
      <c r="A191" s="1" t="n"/>
      <c r="B191" s="19" t="n"/>
      <c r="C191" s="20" t="n"/>
      <c r="D191" s="20" t="n"/>
      <c r="E191" s="21" t="n"/>
      <c r="F191" s="21" t="n"/>
      <c r="G191" s="22" t="n"/>
      <c r="H191" s="23" t="n"/>
      <c r="I191" s="22" t="n"/>
      <c r="J191" s="22" t="n"/>
      <c r="K191" s="11">
        <f>IF(AND(B191="",C191=""),"",IF(J191&lt;&gt;"","Wrapped",IF(I191&lt;&gt;"","To wrap",IF(AND(G191="",F191=""),"Idea",IF(H191="","To wrap",IF(H191&lt;TODAY(),"Late","On the way"))))))</f>
        <v/>
      </c>
      <c r="L191" s="1" t="n"/>
      <c r="M191">
        <f>IF(AND(B191="",C191=""),"",IF(OR(F191&lt;&gt;"",G191&lt;&gt;"",I191&lt;&gt;"",J191&lt;&gt;""),1,0))</f>
        <v/>
      </c>
      <c r="N191">
        <f>IF(M191="","",IF(M191=1,IF(F191&lt;&gt;"",N(F191),N(E191)),0))</f>
        <v/>
      </c>
      <c r="O191">
        <f>IF(M191="","",IF(M191=1,0,N(E191)))</f>
        <v/>
      </c>
      <c r="P191">
        <f>IF(OR(K191="On the way",K191="Late"),H191+ROW()/10000000,"")</f>
        <v/>
      </c>
    </row>
    <row r="192">
      <c r="A192" s="1" t="n"/>
      <c r="B192" s="19" t="n"/>
      <c r="C192" s="20" t="n"/>
      <c r="D192" s="20" t="n"/>
      <c r="E192" s="21" t="n"/>
      <c r="F192" s="21" t="n"/>
      <c r="G192" s="22" t="n"/>
      <c r="H192" s="23" t="n"/>
      <c r="I192" s="22" t="n"/>
      <c r="J192" s="22" t="n"/>
      <c r="K192" s="11">
        <f>IF(AND(B192="",C192=""),"",IF(J192&lt;&gt;"","Wrapped",IF(I192&lt;&gt;"","To wrap",IF(AND(G192="",F192=""),"Idea",IF(H192="","To wrap",IF(H192&lt;TODAY(),"Late","On the way"))))))</f>
        <v/>
      </c>
      <c r="L192" s="1" t="n"/>
      <c r="M192">
        <f>IF(AND(B192="",C192=""),"",IF(OR(F192&lt;&gt;"",G192&lt;&gt;"",I192&lt;&gt;"",J192&lt;&gt;""),1,0))</f>
        <v/>
      </c>
      <c r="N192">
        <f>IF(M192="","",IF(M192=1,IF(F192&lt;&gt;"",N(F192),N(E192)),0))</f>
        <v/>
      </c>
      <c r="O192">
        <f>IF(M192="","",IF(M192=1,0,N(E192)))</f>
        <v/>
      </c>
      <c r="P192">
        <f>IF(OR(K192="On the way",K192="Late"),H192+ROW()/10000000,"")</f>
        <v/>
      </c>
    </row>
    <row r="193">
      <c r="A193" s="1" t="n"/>
      <c r="B193" s="19" t="n"/>
      <c r="C193" s="20" t="n"/>
      <c r="D193" s="20" t="n"/>
      <c r="E193" s="21" t="n"/>
      <c r="F193" s="21" t="n"/>
      <c r="G193" s="22" t="n"/>
      <c r="H193" s="23" t="n"/>
      <c r="I193" s="22" t="n"/>
      <c r="J193" s="22" t="n"/>
      <c r="K193" s="11">
        <f>IF(AND(B193="",C193=""),"",IF(J193&lt;&gt;"","Wrapped",IF(I193&lt;&gt;"","To wrap",IF(AND(G193="",F193=""),"Idea",IF(H193="","To wrap",IF(H193&lt;TODAY(),"Late","On the way"))))))</f>
        <v/>
      </c>
      <c r="L193" s="1" t="n"/>
      <c r="M193">
        <f>IF(AND(B193="",C193=""),"",IF(OR(F193&lt;&gt;"",G193&lt;&gt;"",I193&lt;&gt;"",J193&lt;&gt;""),1,0))</f>
        <v/>
      </c>
      <c r="N193">
        <f>IF(M193="","",IF(M193=1,IF(F193&lt;&gt;"",N(F193),N(E193)),0))</f>
        <v/>
      </c>
      <c r="O193">
        <f>IF(M193="","",IF(M193=1,0,N(E193)))</f>
        <v/>
      </c>
      <c r="P193">
        <f>IF(OR(K193="On the way",K193="Late"),H193+ROW()/10000000,"")</f>
        <v/>
      </c>
    </row>
    <row r="194">
      <c r="A194" s="1" t="n"/>
      <c r="B194" s="19" t="n"/>
      <c r="C194" s="20" t="n"/>
      <c r="D194" s="20" t="n"/>
      <c r="E194" s="21" t="n"/>
      <c r="F194" s="21" t="n"/>
      <c r="G194" s="22" t="n"/>
      <c r="H194" s="23" t="n"/>
      <c r="I194" s="22" t="n"/>
      <c r="J194" s="22" t="n"/>
      <c r="K194" s="11">
        <f>IF(AND(B194="",C194=""),"",IF(J194&lt;&gt;"","Wrapped",IF(I194&lt;&gt;"","To wrap",IF(AND(G194="",F194=""),"Idea",IF(H194="","To wrap",IF(H194&lt;TODAY(),"Late","On the way"))))))</f>
        <v/>
      </c>
      <c r="L194" s="1" t="n"/>
      <c r="M194">
        <f>IF(AND(B194="",C194=""),"",IF(OR(F194&lt;&gt;"",G194&lt;&gt;"",I194&lt;&gt;"",J194&lt;&gt;""),1,0))</f>
        <v/>
      </c>
      <c r="N194">
        <f>IF(M194="","",IF(M194=1,IF(F194&lt;&gt;"",N(F194),N(E194)),0))</f>
        <v/>
      </c>
      <c r="O194">
        <f>IF(M194="","",IF(M194=1,0,N(E194)))</f>
        <v/>
      </c>
      <c r="P194">
        <f>IF(OR(K194="On the way",K194="Late"),H194+ROW()/10000000,"")</f>
        <v/>
      </c>
    </row>
    <row r="195">
      <c r="A195" s="1" t="n"/>
      <c r="B195" s="19" t="n"/>
      <c r="C195" s="20" t="n"/>
      <c r="D195" s="20" t="n"/>
      <c r="E195" s="21" t="n"/>
      <c r="F195" s="21" t="n"/>
      <c r="G195" s="22" t="n"/>
      <c r="H195" s="23" t="n"/>
      <c r="I195" s="22" t="n"/>
      <c r="J195" s="22" t="n"/>
      <c r="K195" s="11">
        <f>IF(AND(B195="",C195=""),"",IF(J195&lt;&gt;"","Wrapped",IF(I195&lt;&gt;"","To wrap",IF(AND(G195="",F195=""),"Idea",IF(H195="","To wrap",IF(H195&lt;TODAY(),"Late","On the way"))))))</f>
        <v/>
      </c>
      <c r="L195" s="1" t="n"/>
      <c r="M195">
        <f>IF(AND(B195="",C195=""),"",IF(OR(F195&lt;&gt;"",G195&lt;&gt;"",I195&lt;&gt;"",J195&lt;&gt;""),1,0))</f>
        <v/>
      </c>
      <c r="N195">
        <f>IF(M195="","",IF(M195=1,IF(F195&lt;&gt;"",N(F195),N(E195)),0))</f>
        <v/>
      </c>
      <c r="O195">
        <f>IF(M195="","",IF(M195=1,0,N(E195)))</f>
        <v/>
      </c>
      <c r="P195">
        <f>IF(OR(K195="On the way",K195="Late"),H195+ROW()/10000000,"")</f>
        <v/>
      </c>
    </row>
    <row r="196">
      <c r="A196" s="1" t="n"/>
      <c r="B196" s="19" t="n"/>
      <c r="C196" s="20" t="n"/>
      <c r="D196" s="20" t="n"/>
      <c r="E196" s="21" t="n"/>
      <c r="F196" s="21" t="n"/>
      <c r="G196" s="22" t="n"/>
      <c r="H196" s="23" t="n"/>
      <c r="I196" s="22" t="n"/>
      <c r="J196" s="22" t="n"/>
      <c r="K196" s="11">
        <f>IF(AND(B196="",C196=""),"",IF(J196&lt;&gt;"","Wrapped",IF(I196&lt;&gt;"","To wrap",IF(AND(G196="",F196=""),"Idea",IF(H196="","To wrap",IF(H196&lt;TODAY(),"Late","On the way"))))))</f>
        <v/>
      </c>
      <c r="L196" s="1" t="n"/>
      <c r="M196">
        <f>IF(AND(B196="",C196=""),"",IF(OR(F196&lt;&gt;"",G196&lt;&gt;"",I196&lt;&gt;"",J196&lt;&gt;""),1,0))</f>
        <v/>
      </c>
      <c r="N196">
        <f>IF(M196="","",IF(M196=1,IF(F196&lt;&gt;"",N(F196),N(E196)),0))</f>
        <v/>
      </c>
      <c r="O196">
        <f>IF(M196="","",IF(M196=1,0,N(E196)))</f>
        <v/>
      </c>
      <c r="P196">
        <f>IF(OR(K196="On the way",K196="Late"),H196+ROW()/10000000,"")</f>
        <v/>
      </c>
    </row>
    <row r="197">
      <c r="A197" s="1" t="n"/>
      <c r="B197" s="19" t="n"/>
      <c r="C197" s="20" t="n"/>
      <c r="D197" s="20" t="n"/>
      <c r="E197" s="21" t="n"/>
      <c r="F197" s="21" t="n"/>
      <c r="G197" s="22" t="n"/>
      <c r="H197" s="23" t="n"/>
      <c r="I197" s="22" t="n"/>
      <c r="J197" s="22" t="n"/>
      <c r="K197" s="11">
        <f>IF(AND(B197="",C197=""),"",IF(J197&lt;&gt;"","Wrapped",IF(I197&lt;&gt;"","To wrap",IF(AND(G197="",F197=""),"Idea",IF(H197="","To wrap",IF(H197&lt;TODAY(),"Late","On the way"))))))</f>
        <v/>
      </c>
      <c r="L197" s="1" t="n"/>
      <c r="M197">
        <f>IF(AND(B197="",C197=""),"",IF(OR(F197&lt;&gt;"",G197&lt;&gt;"",I197&lt;&gt;"",J197&lt;&gt;""),1,0))</f>
        <v/>
      </c>
      <c r="N197">
        <f>IF(M197="","",IF(M197=1,IF(F197&lt;&gt;"",N(F197),N(E197)),0))</f>
        <v/>
      </c>
      <c r="O197">
        <f>IF(M197="","",IF(M197=1,0,N(E197)))</f>
        <v/>
      </c>
      <c r="P197">
        <f>IF(OR(K197="On the way",K197="Late"),H197+ROW()/10000000,"")</f>
        <v/>
      </c>
    </row>
    <row r="198">
      <c r="A198" s="1" t="n"/>
      <c r="B198" s="19" t="n"/>
      <c r="C198" s="20" t="n"/>
      <c r="D198" s="20" t="n"/>
      <c r="E198" s="21" t="n"/>
      <c r="F198" s="21" t="n"/>
      <c r="G198" s="22" t="n"/>
      <c r="H198" s="23" t="n"/>
      <c r="I198" s="22" t="n"/>
      <c r="J198" s="22" t="n"/>
      <c r="K198" s="11">
        <f>IF(AND(B198="",C198=""),"",IF(J198&lt;&gt;"","Wrapped",IF(I198&lt;&gt;"","To wrap",IF(AND(G198="",F198=""),"Idea",IF(H198="","To wrap",IF(H198&lt;TODAY(),"Late","On the way"))))))</f>
        <v/>
      </c>
      <c r="L198" s="1" t="n"/>
      <c r="M198">
        <f>IF(AND(B198="",C198=""),"",IF(OR(F198&lt;&gt;"",G198&lt;&gt;"",I198&lt;&gt;"",J198&lt;&gt;""),1,0))</f>
        <v/>
      </c>
      <c r="N198">
        <f>IF(M198="","",IF(M198=1,IF(F198&lt;&gt;"",N(F198),N(E198)),0))</f>
        <v/>
      </c>
      <c r="O198">
        <f>IF(M198="","",IF(M198=1,0,N(E198)))</f>
        <v/>
      </c>
      <c r="P198">
        <f>IF(OR(K198="On the way",K198="Late"),H198+ROW()/10000000,"")</f>
        <v/>
      </c>
    </row>
    <row r="199">
      <c r="A199" s="1" t="n"/>
      <c r="B199" s="19" t="n"/>
      <c r="C199" s="20" t="n"/>
      <c r="D199" s="20" t="n"/>
      <c r="E199" s="21" t="n"/>
      <c r="F199" s="21" t="n"/>
      <c r="G199" s="22" t="n"/>
      <c r="H199" s="23" t="n"/>
      <c r="I199" s="22" t="n"/>
      <c r="J199" s="22" t="n"/>
      <c r="K199" s="11">
        <f>IF(AND(B199="",C199=""),"",IF(J199&lt;&gt;"","Wrapped",IF(I199&lt;&gt;"","To wrap",IF(AND(G199="",F199=""),"Idea",IF(H199="","To wrap",IF(H199&lt;TODAY(),"Late","On the way"))))))</f>
        <v/>
      </c>
      <c r="L199" s="1" t="n"/>
      <c r="M199">
        <f>IF(AND(B199="",C199=""),"",IF(OR(F199&lt;&gt;"",G199&lt;&gt;"",I199&lt;&gt;"",J199&lt;&gt;""),1,0))</f>
        <v/>
      </c>
      <c r="N199">
        <f>IF(M199="","",IF(M199=1,IF(F199&lt;&gt;"",N(F199),N(E199)),0))</f>
        <v/>
      </c>
      <c r="O199">
        <f>IF(M199="","",IF(M199=1,0,N(E199)))</f>
        <v/>
      </c>
      <c r="P199">
        <f>IF(OR(K199="On the way",K199="Late"),H199+ROW()/10000000,"")</f>
        <v/>
      </c>
    </row>
    <row r="200">
      <c r="A200" s="1" t="n"/>
      <c r="B200" s="19" t="n"/>
      <c r="C200" s="20" t="n"/>
      <c r="D200" s="20" t="n"/>
      <c r="E200" s="21" t="n"/>
      <c r="F200" s="21" t="n"/>
      <c r="G200" s="22" t="n"/>
      <c r="H200" s="23" t="n"/>
      <c r="I200" s="22" t="n"/>
      <c r="J200" s="22" t="n"/>
      <c r="K200" s="11">
        <f>IF(AND(B200="",C200=""),"",IF(J200&lt;&gt;"","Wrapped",IF(I200&lt;&gt;"","To wrap",IF(AND(G200="",F200=""),"Idea",IF(H200="","To wrap",IF(H200&lt;TODAY(),"Late","On the way"))))))</f>
        <v/>
      </c>
      <c r="L200" s="1" t="n"/>
      <c r="M200">
        <f>IF(AND(B200="",C200=""),"",IF(OR(F200&lt;&gt;"",G200&lt;&gt;"",I200&lt;&gt;"",J200&lt;&gt;""),1,0))</f>
        <v/>
      </c>
      <c r="N200">
        <f>IF(M200="","",IF(M200=1,IF(F200&lt;&gt;"",N(F200),N(E200)),0))</f>
        <v/>
      </c>
      <c r="O200">
        <f>IF(M200="","",IF(M200=1,0,N(E200)))</f>
        <v/>
      </c>
      <c r="P200">
        <f>IF(OR(K200="On the way",K200="Late"),H200+ROW()/10000000,"")</f>
        <v/>
      </c>
    </row>
    <row r="201">
      <c r="A201" s="1" t="n"/>
      <c r="B201" s="19" t="n"/>
      <c r="C201" s="20" t="n"/>
      <c r="D201" s="20" t="n"/>
      <c r="E201" s="21" t="n"/>
      <c r="F201" s="21" t="n"/>
      <c r="G201" s="22" t="n"/>
      <c r="H201" s="23" t="n"/>
      <c r="I201" s="22" t="n"/>
      <c r="J201" s="22" t="n"/>
      <c r="K201" s="11">
        <f>IF(AND(B201="",C201=""),"",IF(J201&lt;&gt;"","Wrapped",IF(I201&lt;&gt;"","To wrap",IF(AND(G201="",F201=""),"Idea",IF(H201="","To wrap",IF(H201&lt;TODAY(),"Late","On the way"))))))</f>
        <v/>
      </c>
      <c r="L201" s="1" t="n"/>
      <c r="M201">
        <f>IF(AND(B201="",C201=""),"",IF(OR(F201&lt;&gt;"",G201&lt;&gt;"",I201&lt;&gt;"",J201&lt;&gt;""),1,0))</f>
        <v/>
      </c>
      <c r="N201">
        <f>IF(M201="","",IF(M201=1,IF(F201&lt;&gt;"",N(F201),N(E201)),0))</f>
        <v/>
      </c>
      <c r="O201">
        <f>IF(M201="","",IF(M201=1,0,N(E201)))</f>
        <v/>
      </c>
      <c r="P201">
        <f>IF(OR(K201="On the way",K201="Late"),H201+ROW()/10000000,"")</f>
        <v/>
      </c>
    </row>
    <row r="202">
      <c r="A202" s="1" t="n"/>
      <c r="B202" s="19" t="n"/>
      <c r="C202" s="20" t="n"/>
      <c r="D202" s="20" t="n"/>
      <c r="E202" s="21" t="n"/>
      <c r="F202" s="21" t="n"/>
      <c r="G202" s="22" t="n"/>
      <c r="H202" s="23" t="n"/>
      <c r="I202" s="22" t="n"/>
      <c r="J202" s="22" t="n"/>
      <c r="K202" s="11">
        <f>IF(AND(B202="",C202=""),"",IF(J202&lt;&gt;"","Wrapped",IF(I202&lt;&gt;"","To wrap",IF(AND(G202="",F202=""),"Idea",IF(H202="","To wrap",IF(H202&lt;TODAY(),"Late","On the way"))))))</f>
        <v/>
      </c>
      <c r="L202" s="1" t="n"/>
      <c r="M202">
        <f>IF(AND(B202="",C202=""),"",IF(OR(F202&lt;&gt;"",G202&lt;&gt;"",I202&lt;&gt;"",J202&lt;&gt;""),1,0))</f>
        <v/>
      </c>
      <c r="N202">
        <f>IF(M202="","",IF(M202=1,IF(F202&lt;&gt;"",N(F202),N(E202)),0))</f>
        <v/>
      </c>
      <c r="O202">
        <f>IF(M202="","",IF(M202=1,0,N(E202)))</f>
        <v/>
      </c>
      <c r="P202">
        <f>IF(OR(K202="On the way",K202="Late"),H202+ROW()/10000000,"")</f>
        <v/>
      </c>
    </row>
    <row r="203">
      <c r="A203" s="1" t="n"/>
      <c r="B203" s="19" t="n"/>
      <c r="C203" s="20" t="n"/>
      <c r="D203" s="20" t="n"/>
      <c r="E203" s="21" t="n"/>
      <c r="F203" s="21" t="n"/>
      <c r="G203" s="22" t="n"/>
      <c r="H203" s="23" t="n"/>
      <c r="I203" s="22" t="n"/>
      <c r="J203" s="22" t="n"/>
      <c r="K203" s="11">
        <f>IF(AND(B203="",C203=""),"",IF(J203&lt;&gt;"","Wrapped",IF(I203&lt;&gt;"","To wrap",IF(AND(G203="",F203=""),"Idea",IF(H203="","To wrap",IF(H203&lt;TODAY(),"Late","On the way"))))))</f>
        <v/>
      </c>
      <c r="L203" s="1" t="n"/>
      <c r="M203">
        <f>IF(AND(B203="",C203=""),"",IF(OR(F203&lt;&gt;"",G203&lt;&gt;"",I203&lt;&gt;"",J203&lt;&gt;""),1,0))</f>
        <v/>
      </c>
      <c r="N203">
        <f>IF(M203="","",IF(M203=1,IF(F203&lt;&gt;"",N(F203),N(E203)),0))</f>
        <v/>
      </c>
      <c r="O203">
        <f>IF(M203="","",IF(M203=1,0,N(E203)))</f>
        <v/>
      </c>
      <c r="P203">
        <f>IF(OR(K203="On the way",K203="Late"),H203+ROW()/10000000,"")</f>
        <v/>
      </c>
    </row>
    <row r="204">
      <c r="A204" s="1" t="n"/>
      <c r="B204" s="19" t="n"/>
      <c r="C204" s="20" t="n"/>
      <c r="D204" s="20" t="n"/>
      <c r="E204" s="21" t="n"/>
      <c r="F204" s="21" t="n"/>
      <c r="G204" s="22" t="n"/>
      <c r="H204" s="23" t="n"/>
      <c r="I204" s="22" t="n"/>
      <c r="J204" s="22" t="n"/>
      <c r="K204" s="11">
        <f>IF(AND(B204="",C204=""),"",IF(J204&lt;&gt;"","Wrapped",IF(I204&lt;&gt;"","To wrap",IF(AND(G204="",F204=""),"Idea",IF(H204="","To wrap",IF(H204&lt;TODAY(),"Late","On the way"))))))</f>
        <v/>
      </c>
      <c r="L204" s="1" t="n"/>
      <c r="M204">
        <f>IF(AND(B204="",C204=""),"",IF(OR(F204&lt;&gt;"",G204&lt;&gt;"",I204&lt;&gt;"",J204&lt;&gt;""),1,0))</f>
        <v/>
      </c>
      <c r="N204">
        <f>IF(M204="","",IF(M204=1,IF(F204&lt;&gt;"",N(F204),N(E204)),0))</f>
        <v/>
      </c>
      <c r="O204">
        <f>IF(M204="","",IF(M204=1,0,N(E204)))</f>
        <v/>
      </c>
      <c r="P204">
        <f>IF(OR(K204="On the way",K204="Late"),H204+ROW()/10000000,"")</f>
        <v/>
      </c>
    </row>
    <row r="205">
      <c r="A205" s="1" t="n"/>
      <c r="B205" s="19" t="n"/>
      <c r="C205" s="20" t="n"/>
      <c r="D205" s="20" t="n"/>
      <c r="E205" s="21" t="n"/>
      <c r="F205" s="21" t="n"/>
      <c r="G205" s="22" t="n"/>
      <c r="H205" s="23" t="n"/>
      <c r="I205" s="22" t="n"/>
      <c r="J205" s="22" t="n"/>
      <c r="K205" s="11">
        <f>IF(AND(B205="",C205=""),"",IF(J205&lt;&gt;"","Wrapped",IF(I205&lt;&gt;"","To wrap",IF(AND(G205="",F205=""),"Idea",IF(H205="","To wrap",IF(H205&lt;TODAY(),"Late","On the way"))))))</f>
        <v/>
      </c>
      <c r="L205" s="1" t="n"/>
      <c r="M205">
        <f>IF(AND(B205="",C205=""),"",IF(OR(F205&lt;&gt;"",G205&lt;&gt;"",I205&lt;&gt;"",J205&lt;&gt;""),1,0))</f>
        <v/>
      </c>
      <c r="N205">
        <f>IF(M205="","",IF(M205=1,IF(F205&lt;&gt;"",N(F205),N(E205)),0))</f>
        <v/>
      </c>
      <c r="O205">
        <f>IF(M205="","",IF(M205=1,0,N(E205)))</f>
        <v/>
      </c>
      <c r="P205">
        <f>IF(OR(K205="On the way",K205="Late"),H205+ROW()/10000000,"")</f>
        <v/>
      </c>
    </row>
    <row r="206">
      <c r="A206" s="1" t="n"/>
      <c r="B206" s="19" t="n"/>
      <c r="C206" s="20" t="n"/>
      <c r="D206" s="20" t="n"/>
      <c r="E206" s="21" t="n"/>
      <c r="F206" s="21" t="n"/>
      <c r="G206" s="22" t="n"/>
      <c r="H206" s="23" t="n"/>
      <c r="I206" s="22" t="n"/>
      <c r="J206" s="22" t="n"/>
      <c r="K206" s="11">
        <f>IF(AND(B206="",C206=""),"",IF(J206&lt;&gt;"","Wrapped",IF(I206&lt;&gt;"","To wrap",IF(AND(G206="",F206=""),"Idea",IF(H206="","To wrap",IF(H206&lt;TODAY(),"Late","On the way"))))))</f>
        <v/>
      </c>
      <c r="L206" s="1" t="n"/>
      <c r="M206">
        <f>IF(AND(B206="",C206=""),"",IF(OR(F206&lt;&gt;"",G206&lt;&gt;"",I206&lt;&gt;"",J206&lt;&gt;""),1,0))</f>
        <v/>
      </c>
      <c r="N206">
        <f>IF(M206="","",IF(M206=1,IF(F206&lt;&gt;"",N(F206),N(E206)),0))</f>
        <v/>
      </c>
      <c r="O206">
        <f>IF(M206="","",IF(M206=1,0,N(E206)))</f>
        <v/>
      </c>
      <c r="P206">
        <f>IF(OR(K206="On the way",K206="Late"),H206+ROW()/10000000,"")</f>
        <v/>
      </c>
    </row>
    <row r="207">
      <c r="A207" s="1" t="n"/>
      <c r="B207" s="19" t="n"/>
      <c r="C207" s="20" t="n"/>
      <c r="D207" s="20" t="n"/>
      <c r="E207" s="21" t="n"/>
      <c r="F207" s="21" t="n"/>
      <c r="G207" s="22" t="n"/>
      <c r="H207" s="23" t="n"/>
      <c r="I207" s="22" t="n"/>
      <c r="J207" s="22" t="n"/>
      <c r="K207" s="11">
        <f>IF(AND(B207="",C207=""),"",IF(J207&lt;&gt;"","Wrapped",IF(I207&lt;&gt;"","To wrap",IF(AND(G207="",F207=""),"Idea",IF(H207="","To wrap",IF(H207&lt;TODAY(),"Late","On the way"))))))</f>
        <v/>
      </c>
      <c r="L207" s="1" t="n"/>
      <c r="M207">
        <f>IF(AND(B207="",C207=""),"",IF(OR(F207&lt;&gt;"",G207&lt;&gt;"",I207&lt;&gt;"",J207&lt;&gt;""),1,0))</f>
        <v/>
      </c>
      <c r="N207">
        <f>IF(M207="","",IF(M207=1,IF(F207&lt;&gt;"",N(F207),N(E207)),0))</f>
        <v/>
      </c>
      <c r="O207">
        <f>IF(M207="","",IF(M207=1,0,N(E207)))</f>
        <v/>
      </c>
      <c r="P207">
        <f>IF(OR(K207="On the way",K207="Late"),H207+ROW()/10000000,"")</f>
        <v/>
      </c>
    </row>
    <row r="208">
      <c r="A208" s="1" t="n"/>
      <c r="B208" s="19" t="n"/>
      <c r="C208" s="20" t="n"/>
      <c r="D208" s="20" t="n"/>
      <c r="E208" s="21" t="n"/>
      <c r="F208" s="21" t="n"/>
      <c r="G208" s="22" t="n"/>
      <c r="H208" s="23" t="n"/>
      <c r="I208" s="22" t="n"/>
      <c r="J208" s="22" t="n"/>
      <c r="K208" s="11">
        <f>IF(AND(B208="",C208=""),"",IF(J208&lt;&gt;"","Wrapped",IF(I208&lt;&gt;"","To wrap",IF(AND(G208="",F208=""),"Idea",IF(H208="","To wrap",IF(H208&lt;TODAY(),"Late","On the way"))))))</f>
        <v/>
      </c>
      <c r="L208" s="1" t="n"/>
      <c r="M208">
        <f>IF(AND(B208="",C208=""),"",IF(OR(F208&lt;&gt;"",G208&lt;&gt;"",I208&lt;&gt;"",J208&lt;&gt;""),1,0))</f>
        <v/>
      </c>
      <c r="N208">
        <f>IF(M208="","",IF(M208=1,IF(F208&lt;&gt;"",N(F208),N(E208)),0))</f>
        <v/>
      </c>
      <c r="O208">
        <f>IF(M208="","",IF(M208=1,0,N(E208)))</f>
        <v/>
      </c>
      <c r="P208">
        <f>IF(OR(K208="On the way",K208="Late"),H208+ROW()/10000000,"")</f>
        <v/>
      </c>
    </row>
    <row r="209">
      <c r="A209" s="1" t="n"/>
      <c r="B209" s="19" t="n"/>
      <c r="C209" s="20" t="n"/>
      <c r="D209" s="20" t="n"/>
      <c r="E209" s="21" t="n"/>
      <c r="F209" s="21" t="n"/>
      <c r="G209" s="22" t="n"/>
      <c r="H209" s="23" t="n"/>
      <c r="I209" s="22" t="n"/>
      <c r="J209" s="22" t="n"/>
      <c r="K209" s="11">
        <f>IF(AND(B209="",C209=""),"",IF(J209&lt;&gt;"","Wrapped",IF(I209&lt;&gt;"","To wrap",IF(AND(G209="",F209=""),"Idea",IF(H209="","To wrap",IF(H209&lt;TODAY(),"Late","On the way"))))))</f>
        <v/>
      </c>
      <c r="L209" s="1" t="n"/>
      <c r="M209">
        <f>IF(AND(B209="",C209=""),"",IF(OR(F209&lt;&gt;"",G209&lt;&gt;"",I209&lt;&gt;"",J209&lt;&gt;""),1,0))</f>
        <v/>
      </c>
      <c r="N209">
        <f>IF(M209="","",IF(M209=1,IF(F209&lt;&gt;"",N(F209),N(E209)),0))</f>
        <v/>
      </c>
      <c r="O209">
        <f>IF(M209="","",IF(M209=1,0,N(E209)))</f>
        <v/>
      </c>
      <c r="P209">
        <f>IF(OR(K209="On the way",K209="Late"),H209+ROW()/10000000,"")</f>
        <v/>
      </c>
    </row>
    <row r="210">
      <c r="A210" s="1" t="n"/>
      <c r="B210" s="19" t="n"/>
      <c r="C210" s="20" t="n"/>
      <c r="D210" s="20" t="n"/>
      <c r="E210" s="21" t="n"/>
      <c r="F210" s="21" t="n"/>
      <c r="G210" s="22" t="n"/>
      <c r="H210" s="23" t="n"/>
      <c r="I210" s="22" t="n"/>
      <c r="J210" s="22" t="n"/>
      <c r="K210" s="11">
        <f>IF(AND(B210="",C210=""),"",IF(J210&lt;&gt;"","Wrapped",IF(I210&lt;&gt;"","To wrap",IF(AND(G210="",F210=""),"Idea",IF(H210="","To wrap",IF(H210&lt;TODAY(),"Late","On the way"))))))</f>
        <v/>
      </c>
      <c r="L210" s="1" t="n"/>
      <c r="M210">
        <f>IF(AND(B210="",C210=""),"",IF(OR(F210&lt;&gt;"",G210&lt;&gt;"",I210&lt;&gt;"",J210&lt;&gt;""),1,0))</f>
        <v/>
      </c>
      <c r="N210">
        <f>IF(M210="","",IF(M210=1,IF(F210&lt;&gt;"",N(F210),N(E210)),0))</f>
        <v/>
      </c>
      <c r="O210">
        <f>IF(M210="","",IF(M210=1,0,N(E210)))</f>
        <v/>
      </c>
      <c r="P210">
        <f>IF(OR(K210="On the way",K210="Late"),H210+ROW()/10000000,"")</f>
        <v/>
      </c>
    </row>
    <row r="211">
      <c r="A211" s="1" t="n"/>
      <c r="B211" s="19" t="n"/>
      <c r="C211" s="20" t="n"/>
      <c r="D211" s="20" t="n"/>
      <c r="E211" s="21" t="n"/>
      <c r="F211" s="21" t="n"/>
      <c r="G211" s="22" t="n"/>
      <c r="H211" s="23" t="n"/>
      <c r="I211" s="22" t="n"/>
      <c r="J211" s="22" t="n"/>
      <c r="K211" s="11">
        <f>IF(AND(B211="",C211=""),"",IF(J211&lt;&gt;"","Wrapped",IF(I211&lt;&gt;"","To wrap",IF(AND(G211="",F211=""),"Idea",IF(H211="","To wrap",IF(H211&lt;TODAY(),"Late","On the way"))))))</f>
        <v/>
      </c>
      <c r="L211" s="1" t="n"/>
      <c r="M211">
        <f>IF(AND(B211="",C211=""),"",IF(OR(F211&lt;&gt;"",G211&lt;&gt;"",I211&lt;&gt;"",J211&lt;&gt;""),1,0))</f>
        <v/>
      </c>
      <c r="N211">
        <f>IF(M211="","",IF(M211=1,IF(F211&lt;&gt;"",N(F211),N(E211)),0))</f>
        <v/>
      </c>
      <c r="O211">
        <f>IF(M211="","",IF(M211=1,0,N(E211)))</f>
        <v/>
      </c>
      <c r="P211">
        <f>IF(OR(K211="On the way",K211="Late"),H211+ROW()/10000000,"")</f>
        <v/>
      </c>
    </row>
    <row r="212">
      <c r="A212" s="1" t="n"/>
      <c r="B212" s="19" t="n"/>
      <c r="C212" s="20" t="n"/>
      <c r="D212" s="20" t="n"/>
      <c r="E212" s="21" t="n"/>
      <c r="F212" s="21" t="n"/>
      <c r="G212" s="22" t="n"/>
      <c r="H212" s="23" t="n"/>
      <c r="I212" s="22" t="n"/>
      <c r="J212" s="22" t="n"/>
      <c r="K212" s="11">
        <f>IF(AND(B212="",C212=""),"",IF(J212&lt;&gt;"","Wrapped",IF(I212&lt;&gt;"","To wrap",IF(AND(G212="",F212=""),"Idea",IF(H212="","To wrap",IF(H212&lt;TODAY(),"Late","On the way"))))))</f>
        <v/>
      </c>
      <c r="L212" s="1" t="n"/>
      <c r="M212">
        <f>IF(AND(B212="",C212=""),"",IF(OR(F212&lt;&gt;"",G212&lt;&gt;"",I212&lt;&gt;"",J212&lt;&gt;""),1,0))</f>
        <v/>
      </c>
      <c r="N212">
        <f>IF(M212="","",IF(M212=1,IF(F212&lt;&gt;"",N(F212),N(E212)),0))</f>
        <v/>
      </c>
      <c r="O212">
        <f>IF(M212="","",IF(M212=1,0,N(E212)))</f>
        <v/>
      </c>
      <c r="P212">
        <f>IF(OR(K212="On the way",K212="Late"),H212+ROW()/10000000,"")</f>
        <v/>
      </c>
    </row>
    <row r="213">
      <c r="A213" s="1" t="n"/>
      <c r="B213" s="19" t="n"/>
      <c r="C213" s="20" t="n"/>
      <c r="D213" s="20" t="n"/>
      <c r="E213" s="21" t="n"/>
      <c r="F213" s="21" t="n"/>
      <c r="G213" s="22" t="n"/>
      <c r="H213" s="23" t="n"/>
      <c r="I213" s="22" t="n"/>
      <c r="J213" s="22" t="n"/>
      <c r="K213" s="11">
        <f>IF(AND(B213="",C213=""),"",IF(J213&lt;&gt;"","Wrapped",IF(I213&lt;&gt;"","To wrap",IF(AND(G213="",F213=""),"Idea",IF(H213="","To wrap",IF(H213&lt;TODAY(),"Late","On the way"))))))</f>
        <v/>
      </c>
      <c r="L213" s="1" t="n"/>
      <c r="M213">
        <f>IF(AND(B213="",C213=""),"",IF(OR(F213&lt;&gt;"",G213&lt;&gt;"",I213&lt;&gt;"",J213&lt;&gt;""),1,0))</f>
        <v/>
      </c>
      <c r="N213">
        <f>IF(M213="","",IF(M213=1,IF(F213&lt;&gt;"",N(F213),N(E213)),0))</f>
        <v/>
      </c>
      <c r="O213">
        <f>IF(M213="","",IF(M213=1,0,N(E213)))</f>
        <v/>
      </c>
      <c r="P213">
        <f>IF(OR(K213="On the way",K213="Late"),H213+ROW()/10000000,"")</f>
        <v/>
      </c>
    </row>
    <row r="214">
      <c r="A214" s="1" t="n"/>
      <c r="B214" s="19" t="n"/>
      <c r="C214" s="20" t="n"/>
      <c r="D214" s="20" t="n"/>
      <c r="E214" s="21" t="n"/>
      <c r="F214" s="21" t="n"/>
      <c r="G214" s="22" t="n"/>
      <c r="H214" s="23" t="n"/>
      <c r="I214" s="22" t="n"/>
      <c r="J214" s="22" t="n"/>
      <c r="K214" s="11">
        <f>IF(AND(B214="",C214=""),"",IF(J214&lt;&gt;"","Wrapped",IF(I214&lt;&gt;"","To wrap",IF(AND(G214="",F214=""),"Idea",IF(H214="","To wrap",IF(H214&lt;TODAY(),"Late","On the way"))))))</f>
        <v/>
      </c>
      <c r="L214" s="1" t="n"/>
      <c r="M214">
        <f>IF(AND(B214="",C214=""),"",IF(OR(F214&lt;&gt;"",G214&lt;&gt;"",I214&lt;&gt;"",J214&lt;&gt;""),1,0))</f>
        <v/>
      </c>
      <c r="N214">
        <f>IF(M214="","",IF(M214=1,IF(F214&lt;&gt;"",N(F214),N(E214)),0))</f>
        <v/>
      </c>
      <c r="O214">
        <f>IF(M214="","",IF(M214=1,0,N(E214)))</f>
        <v/>
      </c>
      <c r="P214">
        <f>IF(OR(K214="On the way",K214="Late"),H214+ROW()/10000000,"")</f>
        <v/>
      </c>
    </row>
    <row r="215">
      <c r="A215" s="1" t="n"/>
      <c r="B215" s="19" t="n"/>
      <c r="C215" s="20" t="n"/>
      <c r="D215" s="20" t="n"/>
      <c r="E215" s="21" t="n"/>
      <c r="F215" s="21" t="n"/>
      <c r="G215" s="22" t="n"/>
      <c r="H215" s="23" t="n"/>
      <c r="I215" s="22" t="n"/>
      <c r="J215" s="22" t="n"/>
      <c r="K215" s="11">
        <f>IF(AND(B215="",C215=""),"",IF(J215&lt;&gt;"","Wrapped",IF(I215&lt;&gt;"","To wrap",IF(AND(G215="",F215=""),"Idea",IF(H215="","To wrap",IF(H215&lt;TODAY(),"Late","On the way"))))))</f>
        <v/>
      </c>
      <c r="L215" s="1" t="n"/>
      <c r="M215">
        <f>IF(AND(B215="",C215=""),"",IF(OR(F215&lt;&gt;"",G215&lt;&gt;"",I215&lt;&gt;"",J215&lt;&gt;""),1,0))</f>
        <v/>
      </c>
      <c r="N215">
        <f>IF(M215="","",IF(M215=1,IF(F215&lt;&gt;"",N(F215),N(E215)),0))</f>
        <v/>
      </c>
      <c r="O215">
        <f>IF(M215="","",IF(M215=1,0,N(E215)))</f>
        <v/>
      </c>
      <c r="P215">
        <f>IF(OR(K215="On the way",K215="Late"),H215+ROW()/10000000,"")</f>
        <v/>
      </c>
    </row>
    <row r="216">
      <c r="A216" s="1" t="n"/>
      <c r="B216" s="19" t="n"/>
      <c r="C216" s="20" t="n"/>
      <c r="D216" s="20" t="n"/>
      <c r="E216" s="21" t="n"/>
      <c r="F216" s="21" t="n"/>
      <c r="G216" s="22" t="n"/>
      <c r="H216" s="23" t="n"/>
      <c r="I216" s="22" t="n"/>
      <c r="J216" s="22" t="n"/>
      <c r="K216" s="11">
        <f>IF(AND(B216="",C216=""),"",IF(J216&lt;&gt;"","Wrapped",IF(I216&lt;&gt;"","To wrap",IF(AND(G216="",F216=""),"Idea",IF(H216="","To wrap",IF(H216&lt;TODAY(),"Late","On the way"))))))</f>
        <v/>
      </c>
      <c r="L216" s="1" t="n"/>
      <c r="M216">
        <f>IF(AND(B216="",C216=""),"",IF(OR(F216&lt;&gt;"",G216&lt;&gt;"",I216&lt;&gt;"",J216&lt;&gt;""),1,0))</f>
        <v/>
      </c>
      <c r="N216">
        <f>IF(M216="","",IF(M216=1,IF(F216&lt;&gt;"",N(F216),N(E216)),0))</f>
        <v/>
      </c>
      <c r="O216">
        <f>IF(M216="","",IF(M216=1,0,N(E216)))</f>
        <v/>
      </c>
      <c r="P216">
        <f>IF(OR(K216="On the way",K216="Late"),H216+ROW()/10000000,"")</f>
        <v/>
      </c>
    </row>
    <row r="217">
      <c r="A217" s="1" t="n"/>
      <c r="B217" s="19" t="n"/>
      <c r="C217" s="20" t="n"/>
      <c r="D217" s="20" t="n"/>
      <c r="E217" s="21" t="n"/>
      <c r="F217" s="21" t="n"/>
      <c r="G217" s="22" t="n"/>
      <c r="H217" s="23" t="n"/>
      <c r="I217" s="22" t="n"/>
      <c r="J217" s="22" t="n"/>
      <c r="K217" s="11">
        <f>IF(AND(B217="",C217=""),"",IF(J217&lt;&gt;"","Wrapped",IF(I217&lt;&gt;"","To wrap",IF(AND(G217="",F217=""),"Idea",IF(H217="","To wrap",IF(H217&lt;TODAY(),"Late","On the way"))))))</f>
        <v/>
      </c>
      <c r="L217" s="1" t="n"/>
      <c r="M217">
        <f>IF(AND(B217="",C217=""),"",IF(OR(F217&lt;&gt;"",G217&lt;&gt;"",I217&lt;&gt;"",J217&lt;&gt;""),1,0))</f>
        <v/>
      </c>
      <c r="N217">
        <f>IF(M217="","",IF(M217=1,IF(F217&lt;&gt;"",N(F217),N(E217)),0))</f>
        <v/>
      </c>
      <c r="O217">
        <f>IF(M217="","",IF(M217=1,0,N(E217)))</f>
        <v/>
      </c>
      <c r="P217">
        <f>IF(OR(K217="On the way",K217="Late"),H217+ROW()/10000000,"")</f>
        <v/>
      </c>
    </row>
    <row r="218">
      <c r="A218" s="1" t="n"/>
      <c r="B218" s="19" t="n"/>
      <c r="C218" s="20" t="n"/>
      <c r="D218" s="20" t="n"/>
      <c r="E218" s="21" t="n"/>
      <c r="F218" s="21" t="n"/>
      <c r="G218" s="22" t="n"/>
      <c r="H218" s="23" t="n"/>
      <c r="I218" s="22" t="n"/>
      <c r="J218" s="22" t="n"/>
      <c r="K218" s="11">
        <f>IF(AND(B218="",C218=""),"",IF(J218&lt;&gt;"","Wrapped",IF(I218&lt;&gt;"","To wrap",IF(AND(G218="",F218=""),"Idea",IF(H218="","To wrap",IF(H218&lt;TODAY(),"Late","On the way"))))))</f>
        <v/>
      </c>
      <c r="L218" s="1" t="n"/>
      <c r="M218">
        <f>IF(AND(B218="",C218=""),"",IF(OR(F218&lt;&gt;"",G218&lt;&gt;"",I218&lt;&gt;"",J218&lt;&gt;""),1,0))</f>
        <v/>
      </c>
      <c r="N218">
        <f>IF(M218="","",IF(M218=1,IF(F218&lt;&gt;"",N(F218),N(E218)),0))</f>
        <v/>
      </c>
      <c r="O218">
        <f>IF(M218="","",IF(M218=1,0,N(E218)))</f>
        <v/>
      </c>
      <c r="P218">
        <f>IF(OR(K218="On the way",K218="Late"),H218+ROW()/10000000,"")</f>
        <v/>
      </c>
    </row>
    <row r="219">
      <c r="A219" s="1" t="n"/>
      <c r="B219" s="19" t="n"/>
      <c r="C219" s="20" t="n"/>
      <c r="D219" s="20" t="n"/>
      <c r="E219" s="21" t="n"/>
      <c r="F219" s="21" t="n"/>
      <c r="G219" s="22" t="n"/>
      <c r="H219" s="23" t="n"/>
      <c r="I219" s="22" t="n"/>
      <c r="J219" s="22" t="n"/>
      <c r="K219" s="11">
        <f>IF(AND(B219="",C219=""),"",IF(J219&lt;&gt;"","Wrapped",IF(I219&lt;&gt;"","To wrap",IF(AND(G219="",F219=""),"Idea",IF(H219="","To wrap",IF(H219&lt;TODAY(),"Late","On the way"))))))</f>
        <v/>
      </c>
      <c r="L219" s="1" t="n"/>
      <c r="M219">
        <f>IF(AND(B219="",C219=""),"",IF(OR(F219&lt;&gt;"",G219&lt;&gt;"",I219&lt;&gt;"",J219&lt;&gt;""),1,0))</f>
        <v/>
      </c>
      <c r="N219">
        <f>IF(M219="","",IF(M219=1,IF(F219&lt;&gt;"",N(F219),N(E219)),0))</f>
        <v/>
      </c>
      <c r="O219">
        <f>IF(M219="","",IF(M219=1,0,N(E219)))</f>
        <v/>
      </c>
      <c r="P219">
        <f>IF(OR(K219="On the way",K219="Late"),H219+ROW()/10000000,"")</f>
        <v/>
      </c>
    </row>
    <row r="220">
      <c r="A220" s="1" t="n"/>
      <c r="B220" s="19" t="n"/>
      <c r="C220" s="20" t="n"/>
      <c r="D220" s="20" t="n"/>
      <c r="E220" s="21" t="n"/>
      <c r="F220" s="21" t="n"/>
      <c r="G220" s="22" t="n"/>
      <c r="H220" s="23" t="n"/>
      <c r="I220" s="22" t="n"/>
      <c r="J220" s="22" t="n"/>
      <c r="K220" s="11">
        <f>IF(AND(B220="",C220=""),"",IF(J220&lt;&gt;"","Wrapped",IF(I220&lt;&gt;"","To wrap",IF(AND(G220="",F220=""),"Idea",IF(H220="","To wrap",IF(H220&lt;TODAY(),"Late","On the way"))))))</f>
        <v/>
      </c>
      <c r="L220" s="1" t="n"/>
      <c r="M220">
        <f>IF(AND(B220="",C220=""),"",IF(OR(F220&lt;&gt;"",G220&lt;&gt;"",I220&lt;&gt;"",J220&lt;&gt;""),1,0))</f>
        <v/>
      </c>
      <c r="N220">
        <f>IF(M220="","",IF(M220=1,IF(F220&lt;&gt;"",N(F220),N(E220)),0))</f>
        <v/>
      </c>
      <c r="O220">
        <f>IF(M220="","",IF(M220=1,0,N(E220)))</f>
        <v/>
      </c>
      <c r="P220">
        <f>IF(OR(K220="On the way",K220="Late"),H220+ROW()/10000000,"")</f>
        <v/>
      </c>
    </row>
    <row r="221">
      <c r="A221" s="1" t="n"/>
      <c r="B221" s="19" t="n"/>
      <c r="C221" s="20" t="n"/>
      <c r="D221" s="20" t="n"/>
      <c r="E221" s="21" t="n"/>
      <c r="F221" s="21" t="n"/>
      <c r="G221" s="22" t="n"/>
      <c r="H221" s="23" t="n"/>
      <c r="I221" s="22" t="n"/>
      <c r="J221" s="22" t="n"/>
      <c r="K221" s="11">
        <f>IF(AND(B221="",C221=""),"",IF(J221&lt;&gt;"","Wrapped",IF(I221&lt;&gt;"","To wrap",IF(AND(G221="",F221=""),"Idea",IF(H221="","To wrap",IF(H221&lt;TODAY(),"Late","On the way"))))))</f>
        <v/>
      </c>
      <c r="L221" s="1" t="n"/>
      <c r="M221">
        <f>IF(AND(B221="",C221=""),"",IF(OR(F221&lt;&gt;"",G221&lt;&gt;"",I221&lt;&gt;"",J221&lt;&gt;""),1,0))</f>
        <v/>
      </c>
      <c r="N221">
        <f>IF(M221="","",IF(M221=1,IF(F221&lt;&gt;"",N(F221),N(E221)),0))</f>
        <v/>
      </c>
      <c r="O221">
        <f>IF(M221="","",IF(M221=1,0,N(E221)))</f>
        <v/>
      </c>
      <c r="P221">
        <f>IF(OR(K221="On the way",K221="Late"),H221+ROW()/10000000,"")</f>
        <v/>
      </c>
    </row>
    <row r="222">
      <c r="A222" s="1" t="n"/>
      <c r="B222" s="19" t="n"/>
      <c r="C222" s="20" t="n"/>
      <c r="D222" s="20" t="n"/>
      <c r="E222" s="21" t="n"/>
      <c r="F222" s="21" t="n"/>
      <c r="G222" s="22" t="n"/>
      <c r="H222" s="23" t="n"/>
      <c r="I222" s="22" t="n"/>
      <c r="J222" s="22" t="n"/>
      <c r="K222" s="11">
        <f>IF(AND(B222="",C222=""),"",IF(J222&lt;&gt;"","Wrapped",IF(I222&lt;&gt;"","To wrap",IF(AND(G222="",F222=""),"Idea",IF(H222="","To wrap",IF(H222&lt;TODAY(),"Late","On the way"))))))</f>
        <v/>
      </c>
      <c r="L222" s="1" t="n"/>
      <c r="M222">
        <f>IF(AND(B222="",C222=""),"",IF(OR(F222&lt;&gt;"",G222&lt;&gt;"",I222&lt;&gt;"",J222&lt;&gt;""),1,0))</f>
        <v/>
      </c>
      <c r="N222">
        <f>IF(M222="","",IF(M222=1,IF(F222&lt;&gt;"",N(F222),N(E222)),0))</f>
        <v/>
      </c>
      <c r="O222">
        <f>IF(M222="","",IF(M222=1,0,N(E222)))</f>
        <v/>
      </c>
      <c r="P222">
        <f>IF(OR(K222="On the way",K222="Late"),H222+ROW()/10000000,"")</f>
        <v/>
      </c>
    </row>
    <row r="223">
      <c r="A223" s="1" t="n"/>
      <c r="B223" s="19" t="n"/>
      <c r="C223" s="20" t="n"/>
      <c r="D223" s="20" t="n"/>
      <c r="E223" s="21" t="n"/>
      <c r="F223" s="21" t="n"/>
      <c r="G223" s="22" t="n"/>
      <c r="H223" s="23" t="n"/>
      <c r="I223" s="22" t="n"/>
      <c r="J223" s="22" t="n"/>
      <c r="K223" s="11">
        <f>IF(AND(B223="",C223=""),"",IF(J223&lt;&gt;"","Wrapped",IF(I223&lt;&gt;"","To wrap",IF(AND(G223="",F223=""),"Idea",IF(H223="","To wrap",IF(H223&lt;TODAY(),"Late","On the way"))))))</f>
        <v/>
      </c>
      <c r="L223" s="1" t="n"/>
      <c r="M223">
        <f>IF(AND(B223="",C223=""),"",IF(OR(F223&lt;&gt;"",G223&lt;&gt;"",I223&lt;&gt;"",J223&lt;&gt;""),1,0))</f>
        <v/>
      </c>
      <c r="N223">
        <f>IF(M223="","",IF(M223=1,IF(F223&lt;&gt;"",N(F223),N(E223)),0))</f>
        <v/>
      </c>
      <c r="O223">
        <f>IF(M223="","",IF(M223=1,0,N(E223)))</f>
        <v/>
      </c>
      <c r="P223">
        <f>IF(OR(K223="On the way",K223="Late"),H223+ROW()/10000000,"")</f>
        <v/>
      </c>
    </row>
    <row r="224">
      <c r="A224" s="1" t="n"/>
      <c r="B224" s="19" t="n"/>
      <c r="C224" s="20" t="n"/>
      <c r="D224" s="20" t="n"/>
      <c r="E224" s="21" t="n"/>
      <c r="F224" s="21" t="n"/>
      <c r="G224" s="22" t="n"/>
      <c r="H224" s="23" t="n"/>
      <c r="I224" s="22" t="n"/>
      <c r="J224" s="22" t="n"/>
      <c r="K224" s="11">
        <f>IF(AND(B224="",C224=""),"",IF(J224&lt;&gt;"","Wrapped",IF(I224&lt;&gt;"","To wrap",IF(AND(G224="",F224=""),"Idea",IF(H224="","To wrap",IF(H224&lt;TODAY(),"Late","On the way"))))))</f>
        <v/>
      </c>
      <c r="L224" s="1" t="n"/>
      <c r="M224">
        <f>IF(AND(B224="",C224=""),"",IF(OR(F224&lt;&gt;"",G224&lt;&gt;"",I224&lt;&gt;"",J224&lt;&gt;""),1,0))</f>
        <v/>
      </c>
      <c r="N224">
        <f>IF(M224="","",IF(M224=1,IF(F224&lt;&gt;"",N(F224),N(E224)),0))</f>
        <v/>
      </c>
      <c r="O224">
        <f>IF(M224="","",IF(M224=1,0,N(E224)))</f>
        <v/>
      </c>
      <c r="P224">
        <f>IF(OR(K224="On the way",K224="Late"),H224+ROW()/10000000,"")</f>
        <v/>
      </c>
    </row>
    <row r="225">
      <c r="A225" s="1" t="n"/>
      <c r="B225" s="19" t="n"/>
      <c r="C225" s="20" t="n"/>
      <c r="D225" s="20" t="n"/>
      <c r="E225" s="21" t="n"/>
      <c r="F225" s="21" t="n"/>
      <c r="G225" s="22" t="n"/>
      <c r="H225" s="23" t="n"/>
      <c r="I225" s="22" t="n"/>
      <c r="J225" s="22" t="n"/>
      <c r="K225" s="11">
        <f>IF(AND(B225="",C225=""),"",IF(J225&lt;&gt;"","Wrapped",IF(I225&lt;&gt;"","To wrap",IF(AND(G225="",F225=""),"Idea",IF(H225="","To wrap",IF(H225&lt;TODAY(),"Late","On the way"))))))</f>
        <v/>
      </c>
      <c r="L225" s="1" t="n"/>
      <c r="M225">
        <f>IF(AND(B225="",C225=""),"",IF(OR(F225&lt;&gt;"",G225&lt;&gt;"",I225&lt;&gt;"",J225&lt;&gt;""),1,0))</f>
        <v/>
      </c>
      <c r="N225">
        <f>IF(M225="","",IF(M225=1,IF(F225&lt;&gt;"",N(F225),N(E225)),0))</f>
        <v/>
      </c>
      <c r="O225">
        <f>IF(M225="","",IF(M225=1,0,N(E225)))</f>
        <v/>
      </c>
      <c r="P225">
        <f>IF(OR(K225="On the way",K225="Late"),H225+ROW()/10000000,"")</f>
        <v/>
      </c>
    </row>
    <row r="226">
      <c r="A226" s="1" t="n"/>
      <c r="B226" s="19" t="n"/>
      <c r="C226" s="20" t="n"/>
      <c r="D226" s="20" t="n"/>
      <c r="E226" s="21" t="n"/>
      <c r="F226" s="21" t="n"/>
      <c r="G226" s="22" t="n"/>
      <c r="H226" s="23" t="n"/>
      <c r="I226" s="22" t="n"/>
      <c r="J226" s="22" t="n"/>
      <c r="K226" s="11">
        <f>IF(AND(B226="",C226=""),"",IF(J226&lt;&gt;"","Wrapped",IF(I226&lt;&gt;"","To wrap",IF(AND(G226="",F226=""),"Idea",IF(H226="","To wrap",IF(H226&lt;TODAY(),"Late","On the way"))))))</f>
        <v/>
      </c>
      <c r="L226" s="1" t="n"/>
      <c r="M226">
        <f>IF(AND(B226="",C226=""),"",IF(OR(F226&lt;&gt;"",G226&lt;&gt;"",I226&lt;&gt;"",J226&lt;&gt;""),1,0))</f>
        <v/>
      </c>
      <c r="N226">
        <f>IF(M226="","",IF(M226=1,IF(F226&lt;&gt;"",N(F226),N(E226)),0))</f>
        <v/>
      </c>
      <c r="O226">
        <f>IF(M226="","",IF(M226=1,0,N(E226)))</f>
        <v/>
      </c>
      <c r="P226">
        <f>IF(OR(K226="On the way",K226="Late"),H226+ROW()/10000000,"")</f>
        <v/>
      </c>
    </row>
    <row r="227">
      <c r="A227" s="1" t="n"/>
      <c r="B227" s="19" t="n"/>
      <c r="C227" s="20" t="n"/>
      <c r="D227" s="20" t="n"/>
      <c r="E227" s="21" t="n"/>
      <c r="F227" s="21" t="n"/>
      <c r="G227" s="22" t="n"/>
      <c r="H227" s="23" t="n"/>
      <c r="I227" s="22" t="n"/>
      <c r="J227" s="22" t="n"/>
      <c r="K227" s="11">
        <f>IF(AND(B227="",C227=""),"",IF(J227&lt;&gt;"","Wrapped",IF(I227&lt;&gt;"","To wrap",IF(AND(G227="",F227=""),"Idea",IF(H227="","To wrap",IF(H227&lt;TODAY(),"Late","On the way"))))))</f>
        <v/>
      </c>
      <c r="L227" s="1" t="n"/>
      <c r="M227">
        <f>IF(AND(B227="",C227=""),"",IF(OR(F227&lt;&gt;"",G227&lt;&gt;"",I227&lt;&gt;"",J227&lt;&gt;""),1,0))</f>
        <v/>
      </c>
      <c r="N227">
        <f>IF(M227="","",IF(M227=1,IF(F227&lt;&gt;"",N(F227),N(E227)),0))</f>
        <v/>
      </c>
      <c r="O227">
        <f>IF(M227="","",IF(M227=1,0,N(E227)))</f>
        <v/>
      </c>
      <c r="P227">
        <f>IF(OR(K227="On the way",K227="Late"),H227+ROW()/10000000,"")</f>
        <v/>
      </c>
    </row>
    <row r="228">
      <c r="A228" s="1" t="n"/>
      <c r="B228" s="19" t="n"/>
      <c r="C228" s="20" t="n"/>
      <c r="D228" s="20" t="n"/>
      <c r="E228" s="21" t="n"/>
      <c r="F228" s="21" t="n"/>
      <c r="G228" s="22" t="n"/>
      <c r="H228" s="23" t="n"/>
      <c r="I228" s="22" t="n"/>
      <c r="J228" s="22" t="n"/>
      <c r="K228" s="11">
        <f>IF(AND(B228="",C228=""),"",IF(J228&lt;&gt;"","Wrapped",IF(I228&lt;&gt;"","To wrap",IF(AND(G228="",F228=""),"Idea",IF(H228="","To wrap",IF(H228&lt;TODAY(),"Late","On the way"))))))</f>
        <v/>
      </c>
      <c r="L228" s="1" t="n"/>
      <c r="M228">
        <f>IF(AND(B228="",C228=""),"",IF(OR(F228&lt;&gt;"",G228&lt;&gt;"",I228&lt;&gt;"",J228&lt;&gt;""),1,0))</f>
        <v/>
      </c>
      <c r="N228">
        <f>IF(M228="","",IF(M228=1,IF(F228&lt;&gt;"",N(F228),N(E228)),0))</f>
        <v/>
      </c>
      <c r="O228">
        <f>IF(M228="","",IF(M228=1,0,N(E228)))</f>
        <v/>
      </c>
      <c r="P228">
        <f>IF(OR(K228="On the way",K228="Late"),H228+ROW()/10000000,"")</f>
        <v/>
      </c>
    </row>
    <row r="229">
      <c r="A229" s="1" t="n"/>
      <c r="B229" s="19" t="n"/>
      <c r="C229" s="20" t="n"/>
      <c r="D229" s="20" t="n"/>
      <c r="E229" s="21" t="n"/>
      <c r="F229" s="21" t="n"/>
      <c r="G229" s="22" t="n"/>
      <c r="H229" s="23" t="n"/>
      <c r="I229" s="22" t="n"/>
      <c r="J229" s="22" t="n"/>
      <c r="K229" s="11">
        <f>IF(AND(B229="",C229=""),"",IF(J229&lt;&gt;"","Wrapped",IF(I229&lt;&gt;"","To wrap",IF(AND(G229="",F229=""),"Idea",IF(H229="","To wrap",IF(H229&lt;TODAY(),"Late","On the way"))))))</f>
        <v/>
      </c>
      <c r="L229" s="1" t="n"/>
      <c r="M229">
        <f>IF(AND(B229="",C229=""),"",IF(OR(F229&lt;&gt;"",G229&lt;&gt;"",I229&lt;&gt;"",J229&lt;&gt;""),1,0))</f>
        <v/>
      </c>
      <c r="N229">
        <f>IF(M229="","",IF(M229=1,IF(F229&lt;&gt;"",N(F229),N(E229)),0))</f>
        <v/>
      </c>
      <c r="O229">
        <f>IF(M229="","",IF(M229=1,0,N(E229)))</f>
        <v/>
      </c>
      <c r="P229">
        <f>IF(OR(K229="On the way",K229="Late"),H229+ROW()/10000000,"")</f>
        <v/>
      </c>
    </row>
    <row r="230">
      <c r="A230" s="1" t="n"/>
      <c r="B230" s="19" t="n"/>
      <c r="C230" s="20" t="n"/>
      <c r="D230" s="20" t="n"/>
      <c r="E230" s="21" t="n"/>
      <c r="F230" s="21" t="n"/>
      <c r="G230" s="22" t="n"/>
      <c r="H230" s="23" t="n"/>
      <c r="I230" s="22" t="n"/>
      <c r="J230" s="22" t="n"/>
      <c r="K230" s="11">
        <f>IF(AND(B230="",C230=""),"",IF(J230&lt;&gt;"","Wrapped",IF(I230&lt;&gt;"","To wrap",IF(AND(G230="",F230=""),"Idea",IF(H230="","To wrap",IF(H230&lt;TODAY(),"Late","On the way"))))))</f>
        <v/>
      </c>
      <c r="L230" s="1" t="n"/>
      <c r="M230">
        <f>IF(AND(B230="",C230=""),"",IF(OR(F230&lt;&gt;"",G230&lt;&gt;"",I230&lt;&gt;"",J230&lt;&gt;""),1,0))</f>
        <v/>
      </c>
      <c r="N230">
        <f>IF(M230="","",IF(M230=1,IF(F230&lt;&gt;"",N(F230),N(E230)),0))</f>
        <v/>
      </c>
      <c r="O230">
        <f>IF(M230="","",IF(M230=1,0,N(E230)))</f>
        <v/>
      </c>
      <c r="P230">
        <f>IF(OR(K230="On the way",K230="Late"),H230+ROW()/10000000,"")</f>
        <v/>
      </c>
    </row>
    <row r="231">
      <c r="A231" s="1" t="n"/>
      <c r="B231" s="19" t="n"/>
      <c r="C231" s="20" t="n"/>
      <c r="D231" s="20" t="n"/>
      <c r="E231" s="21" t="n"/>
      <c r="F231" s="21" t="n"/>
      <c r="G231" s="22" t="n"/>
      <c r="H231" s="23" t="n"/>
      <c r="I231" s="22" t="n"/>
      <c r="J231" s="22" t="n"/>
      <c r="K231" s="11">
        <f>IF(AND(B231="",C231=""),"",IF(J231&lt;&gt;"","Wrapped",IF(I231&lt;&gt;"","To wrap",IF(AND(G231="",F231=""),"Idea",IF(H231="","To wrap",IF(H231&lt;TODAY(),"Late","On the way"))))))</f>
        <v/>
      </c>
      <c r="L231" s="1" t="n"/>
      <c r="M231">
        <f>IF(AND(B231="",C231=""),"",IF(OR(F231&lt;&gt;"",G231&lt;&gt;"",I231&lt;&gt;"",J231&lt;&gt;""),1,0))</f>
        <v/>
      </c>
      <c r="N231">
        <f>IF(M231="","",IF(M231=1,IF(F231&lt;&gt;"",N(F231),N(E231)),0))</f>
        <v/>
      </c>
      <c r="O231">
        <f>IF(M231="","",IF(M231=1,0,N(E231)))</f>
        <v/>
      </c>
      <c r="P231">
        <f>IF(OR(K231="On the way",K231="Late"),H231+ROW()/10000000,"")</f>
        <v/>
      </c>
    </row>
    <row r="232">
      <c r="A232" s="1" t="n"/>
      <c r="B232" s="19" t="n"/>
      <c r="C232" s="20" t="n"/>
      <c r="D232" s="20" t="n"/>
      <c r="E232" s="21" t="n"/>
      <c r="F232" s="21" t="n"/>
      <c r="G232" s="22" t="n"/>
      <c r="H232" s="23" t="n"/>
      <c r="I232" s="22" t="n"/>
      <c r="J232" s="22" t="n"/>
      <c r="K232" s="11">
        <f>IF(AND(B232="",C232=""),"",IF(J232&lt;&gt;"","Wrapped",IF(I232&lt;&gt;"","To wrap",IF(AND(G232="",F232=""),"Idea",IF(H232="","To wrap",IF(H232&lt;TODAY(),"Late","On the way"))))))</f>
        <v/>
      </c>
      <c r="L232" s="1" t="n"/>
      <c r="M232">
        <f>IF(AND(B232="",C232=""),"",IF(OR(F232&lt;&gt;"",G232&lt;&gt;"",I232&lt;&gt;"",J232&lt;&gt;""),1,0))</f>
        <v/>
      </c>
      <c r="N232">
        <f>IF(M232="","",IF(M232=1,IF(F232&lt;&gt;"",N(F232),N(E232)),0))</f>
        <v/>
      </c>
      <c r="O232">
        <f>IF(M232="","",IF(M232=1,0,N(E232)))</f>
        <v/>
      </c>
      <c r="P232">
        <f>IF(OR(K232="On the way",K232="Late"),H232+ROW()/10000000,"")</f>
        <v/>
      </c>
    </row>
    <row r="233">
      <c r="A233" s="1" t="n"/>
      <c r="B233" s="19" t="n"/>
      <c r="C233" s="20" t="n"/>
      <c r="D233" s="20" t="n"/>
      <c r="E233" s="21" t="n"/>
      <c r="F233" s="21" t="n"/>
      <c r="G233" s="22" t="n"/>
      <c r="H233" s="23" t="n"/>
      <c r="I233" s="22" t="n"/>
      <c r="J233" s="22" t="n"/>
      <c r="K233" s="11">
        <f>IF(AND(B233="",C233=""),"",IF(J233&lt;&gt;"","Wrapped",IF(I233&lt;&gt;"","To wrap",IF(AND(G233="",F233=""),"Idea",IF(H233="","To wrap",IF(H233&lt;TODAY(),"Late","On the way"))))))</f>
        <v/>
      </c>
      <c r="L233" s="1" t="n"/>
      <c r="M233">
        <f>IF(AND(B233="",C233=""),"",IF(OR(F233&lt;&gt;"",G233&lt;&gt;"",I233&lt;&gt;"",J233&lt;&gt;""),1,0))</f>
        <v/>
      </c>
      <c r="N233">
        <f>IF(M233="","",IF(M233=1,IF(F233&lt;&gt;"",N(F233),N(E233)),0))</f>
        <v/>
      </c>
      <c r="O233">
        <f>IF(M233="","",IF(M233=1,0,N(E233)))</f>
        <v/>
      </c>
      <c r="P233">
        <f>IF(OR(K233="On the way",K233="Late"),H233+ROW()/10000000,"")</f>
        <v/>
      </c>
    </row>
    <row r="234">
      <c r="A234" s="1" t="n"/>
      <c r="B234" s="19" t="n"/>
      <c r="C234" s="20" t="n"/>
      <c r="D234" s="20" t="n"/>
      <c r="E234" s="21" t="n"/>
      <c r="F234" s="21" t="n"/>
      <c r="G234" s="22" t="n"/>
      <c r="H234" s="23" t="n"/>
      <c r="I234" s="22" t="n"/>
      <c r="J234" s="22" t="n"/>
      <c r="K234" s="11">
        <f>IF(AND(B234="",C234=""),"",IF(J234&lt;&gt;"","Wrapped",IF(I234&lt;&gt;"","To wrap",IF(AND(G234="",F234=""),"Idea",IF(H234="","To wrap",IF(H234&lt;TODAY(),"Late","On the way"))))))</f>
        <v/>
      </c>
      <c r="L234" s="1" t="n"/>
      <c r="M234">
        <f>IF(AND(B234="",C234=""),"",IF(OR(F234&lt;&gt;"",G234&lt;&gt;"",I234&lt;&gt;"",J234&lt;&gt;""),1,0))</f>
        <v/>
      </c>
      <c r="N234">
        <f>IF(M234="","",IF(M234=1,IF(F234&lt;&gt;"",N(F234),N(E234)),0))</f>
        <v/>
      </c>
      <c r="O234">
        <f>IF(M234="","",IF(M234=1,0,N(E234)))</f>
        <v/>
      </c>
      <c r="P234">
        <f>IF(OR(K234="On the way",K234="Late"),H234+ROW()/10000000,"")</f>
        <v/>
      </c>
    </row>
    <row r="235">
      <c r="A235" s="1" t="n"/>
      <c r="B235" s="19" t="n"/>
      <c r="C235" s="20" t="n"/>
      <c r="D235" s="20" t="n"/>
      <c r="E235" s="21" t="n"/>
      <c r="F235" s="21" t="n"/>
      <c r="G235" s="22" t="n"/>
      <c r="H235" s="23" t="n"/>
      <c r="I235" s="22" t="n"/>
      <c r="J235" s="22" t="n"/>
      <c r="K235" s="11">
        <f>IF(AND(B235="",C235=""),"",IF(J235&lt;&gt;"","Wrapped",IF(I235&lt;&gt;"","To wrap",IF(AND(G235="",F235=""),"Idea",IF(H235="","To wrap",IF(H235&lt;TODAY(),"Late","On the way"))))))</f>
        <v/>
      </c>
      <c r="L235" s="1" t="n"/>
      <c r="M235">
        <f>IF(AND(B235="",C235=""),"",IF(OR(F235&lt;&gt;"",G235&lt;&gt;"",I235&lt;&gt;"",J235&lt;&gt;""),1,0))</f>
        <v/>
      </c>
      <c r="N235">
        <f>IF(M235="","",IF(M235=1,IF(F235&lt;&gt;"",N(F235),N(E235)),0))</f>
        <v/>
      </c>
      <c r="O235">
        <f>IF(M235="","",IF(M235=1,0,N(E235)))</f>
        <v/>
      </c>
      <c r="P235">
        <f>IF(OR(K235="On the way",K235="Late"),H235+ROW()/10000000,"")</f>
        <v/>
      </c>
    </row>
    <row r="236">
      <c r="A236" s="1" t="n"/>
      <c r="B236" s="19" t="n"/>
      <c r="C236" s="20" t="n"/>
      <c r="D236" s="20" t="n"/>
      <c r="E236" s="21" t="n"/>
      <c r="F236" s="21" t="n"/>
      <c r="G236" s="22" t="n"/>
      <c r="H236" s="23" t="n"/>
      <c r="I236" s="22" t="n"/>
      <c r="J236" s="22" t="n"/>
      <c r="K236" s="11">
        <f>IF(AND(B236="",C236=""),"",IF(J236&lt;&gt;"","Wrapped",IF(I236&lt;&gt;"","To wrap",IF(AND(G236="",F236=""),"Idea",IF(H236="","To wrap",IF(H236&lt;TODAY(),"Late","On the way"))))))</f>
        <v/>
      </c>
      <c r="L236" s="1" t="n"/>
      <c r="M236">
        <f>IF(AND(B236="",C236=""),"",IF(OR(F236&lt;&gt;"",G236&lt;&gt;"",I236&lt;&gt;"",J236&lt;&gt;""),1,0))</f>
        <v/>
      </c>
      <c r="N236">
        <f>IF(M236="","",IF(M236=1,IF(F236&lt;&gt;"",N(F236),N(E236)),0))</f>
        <v/>
      </c>
      <c r="O236">
        <f>IF(M236="","",IF(M236=1,0,N(E236)))</f>
        <v/>
      </c>
      <c r="P236">
        <f>IF(OR(K236="On the way",K236="Late"),H236+ROW()/10000000,"")</f>
        <v/>
      </c>
    </row>
    <row r="237">
      <c r="A237" s="1" t="n"/>
      <c r="B237" s="19" t="n"/>
      <c r="C237" s="20" t="n"/>
      <c r="D237" s="20" t="n"/>
      <c r="E237" s="21" t="n"/>
      <c r="F237" s="21" t="n"/>
      <c r="G237" s="22" t="n"/>
      <c r="H237" s="23" t="n"/>
      <c r="I237" s="22" t="n"/>
      <c r="J237" s="22" t="n"/>
      <c r="K237" s="11">
        <f>IF(AND(B237="",C237=""),"",IF(J237&lt;&gt;"","Wrapped",IF(I237&lt;&gt;"","To wrap",IF(AND(G237="",F237=""),"Idea",IF(H237="","To wrap",IF(H237&lt;TODAY(),"Late","On the way"))))))</f>
        <v/>
      </c>
      <c r="L237" s="1" t="n"/>
      <c r="M237">
        <f>IF(AND(B237="",C237=""),"",IF(OR(F237&lt;&gt;"",G237&lt;&gt;"",I237&lt;&gt;"",J237&lt;&gt;""),1,0))</f>
        <v/>
      </c>
      <c r="N237">
        <f>IF(M237="","",IF(M237=1,IF(F237&lt;&gt;"",N(F237),N(E237)),0))</f>
        <v/>
      </c>
      <c r="O237">
        <f>IF(M237="","",IF(M237=1,0,N(E237)))</f>
        <v/>
      </c>
      <c r="P237">
        <f>IF(OR(K237="On the way",K237="Late"),H237+ROW()/10000000,"")</f>
        <v/>
      </c>
    </row>
    <row r="238">
      <c r="A238" s="1" t="n"/>
      <c r="B238" s="19" t="n"/>
      <c r="C238" s="20" t="n"/>
      <c r="D238" s="20" t="n"/>
      <c r="E238" s="21" t="n"/>
      <c r="F238" s="21" t="n"/>
      <c r="G238" s="22" t="n"/>
      <c r="H238" s="23" t="n"/>
      <c r="I238" s="22" t="n"/>
      <c r="J238" s="22" t="n"/>
      <c r="K238" s="11">
        <f>IF(AND(B238="",C238=""),"",IF(J238&lt;&gt;"","Wrapped",IF(I238&lt;&gt;"","To wrap",IF(AND(G238="",F238=""),"Idea",IF(H238="","To wrap",IF(H238&lt;TODAY(),"Late","On the way"))))))</f>
        <v/>
      </c>
      <c r="L238" s="1" t="n"/>
      <c r="M238">
        <f>IF(AND(B238="",C238=""),"",IF(OR(F238&lt;&gt;"",G238&lt;&gt;"",I238&lt;&gt;"",J238&lt;&gt;""),1,0))</f>
        <v/>
      </c>
      <c r="N238">
        <f>IF(M238="","",IF(M238=1,IF(F238&lt;&gt;"",N(F238),N(E238)),0))</f>
        <v/>
      </c>
      <c r="O238">
        <f>IF(M238="","",IF(M238=1,0,N(E238)))</f>
        <v/>
      </c>
      <c r="P238">
        <f>IF(OR(K238="On the way",K238="Late"),H238+ROW()/10000000,"")</f>
        <v/>
      </c>
    </row>
    <row r="239">
      <c r="A239" s="1" t="n"/>
      <c r="B239" s="19" t="n"/>
      <c r="C239" s="20" t="n"/>
      <c r="D239" s="20" t="n"/>
      <c r="E239" s="21" t="n"/>
      <c r="F239" s="21" t="n"/>
      <c r="G239" s="22" t="n"/>
      <c r="H239" s="23" t="n"/>
      <c r="I239" s="22" t="n"/>
      <c r="J239" s="22" t="n"/>
      <c r="K239" s="11">
        <f>IF(AND(B239="",C239=""),"",IF(J239&lt;&gt;"","Wrapped",IF(I239&lt;&gt;"","To wrap",IF(AND(G239="",F239=""),"Idea",IF(H239="","To wrap",IF(H239&lt;TODAY(),"Late","On the way"))))))</f>
        <v/>
      </c>
      <c r="L239" s="1" t="n"/>
      <c r="M239">
        <f>IF(AND(B239="",C239=""),"",IF(OR(F239&lt;&gt;"",G239&lt;&gt;"",I239&lt;&gt;"",J239&lt;&gt;""),1,0))</f>
        <v/>
      </c>
      <c r="N239">
        <f>IF(M239="","",IF(M239=1,IF(F239&lt;&gt;"",N(F239),N(E239)),0))</f>
        <v/>
      </c>
      <c r="O239">
        <f>IF(M239="","",IF(M239=1,0,N(E239)))</f>
        <v/>
      </c>
      <c r="P239">
        <f>IF(OR(K239="On the way",K239="Late"),H239+ROW()/10000000,"")</f>
        <v/>
      </c>
    </row>
    <row r="240">
      <c r="A240" s="1" t="n"/>
      <c r="B240" s="19" t="n"/>
      <c r="C240" s="20" t="n"/>
      <c r="D240" s="20" t="n"/>
      <c r="E240" s="21" t="n"/>
      <c r="F240" s="21" t="n"/>
      <c r="G240" s="22" t="n"/>
      <c r="H240" s="23" t="n"/>
      <c r="I240" s="22" t="n"/>
      <c r="J240" s="22" t="n"/>
      <c r="K240" s="11">
        <f>IF(AND(B240="",C240=""),"",IF(J240&lt;&gt;"","Wrapped",IF(I240&lt;&gt;"","To wrap",IF(AND(G240="",F240=""),"Idea",IF(H240="","To wrap",IF(H240&lt;TODAY(),"Late","On the way"))))))</f>
        <v/>
      </c>
      <c r="L240" s="1" t="n"/>
      <c r="M240">
        <f>IF(AND(B240="",C240=""),"",IF(OR(F240&lt;&gt;"",G240&lt;&gt;"",I240&lt;&gt;"",J240&lt;&gt;""),1,0))</f>
        <v/>
      </c>
      <c r="N240">
        <f>IF(M240="","",IF(M240=1,IF(F240&lt;&gt;"",N(F240),N(E240)),0))</f>
        <v/>
      </c>
      <c r="O240">
        <f>IF(M240="","",IF(M240=1,0,N(E240)))</f>
        <v/>
      </c>
      <c r="P240">
        <f>IF(OR(K240="On the way",K240="Late"),H240+ROW()/10000000,"")</f>
        <v/>
      </c>
    </row>
    <row r="241">
      <c r="A241" s="1" t="n"/>
      <c r="B241" s="19" t="n"/>
      <c r="C241" s="20" t="n"/>
      <c r="D241" s="20" t="n"/>
      <c r="E241" s="21" t="n"/>
      <c r="F241" s="21" t="n"/>
      <c r="G241" s="22" t="n"/>
      <c r="H241" s="23" t="n"/>
      <c r="I241" s="22" t="n"/>
      <c r="J241" s="22" t="n"/>
      <c r="K241" s="11">
        <f>IF(AND(B241="",C241=""),"",IF(J241&lt;&gt;"","Wrapped",IF(I241&lt;&gt;"","To wrap",IF(AND(G241="",F241=""),"Idea",IF(H241="","To wrap",IF(H241&lt;TODAY(),"Late","On the way"))))))</f>
        <v/>
      </c>
      <c r="L241" s="1" t="n"/>
      <c r="M241">
        <f>IF(AND(B241="",C241=""),"",IF(OR(F241&lt;&gt;"",G241&lt;&gt;"",I241&lt;&gt;"",J241&lt;&gt;""),1,0))</f>
        <v/>
      </c>
      <c r="N241">
        <f>IF(M241="","",IF(M241=1,IF(F241&lt;&gt;"",N(F241),N(E241)),0))</f>
        <v/>
      </c>
      <c r="O241">
        <f>IF(M241="","",IF(M241=1,0,N(E241)))</f>
        <v/>
      </c>
      <c r="P241">
        <f>IF(OR(K241="On the way",K241="Late"),H241+ROW()/10000000,"")</f>
        <v/>
      </c>
    </row>
    <row r="242">
      <c r="A242" s="1" t="n"/>
      <c r="B242" s="19" t="n"/>
      <c r="C242" s="20" t="n"/>
      <c r="D242" s="20" t="n"/>
      <c r="E242" s="21" t="n"/>
      <c r="F242" s="21" t="n"/>
      <c r="G242" s="22" t="n"/>
      <c r="H242" s="23" t="n"/>
      <c r="I242" s="22" t="n"/>
      <c r="J242" s="22" t="n"/>
      <c r="K242" s="11">
        <f>IF(AND(B242="",C242=""),"",IF(J242&lt;&gt;"","Wrapped",IF(I242&lt;&gt;"","To wrap",IF(AND(G242="",F242=""),"Idea",IF(H242="","To wrap",IF(H242&lt;TODAY(),"Late","On the way"))))))</f>
        <v/>
      </c>
      <c r="L242" s="1" t="n"/>
      <c r="M242">
        <f>IF(AND(B242="",C242=""),"",IF(OR(F242&lt;&gt;"",G242&lt;&gt;"",I242&lt;&gt;"",J242&lt;&gt;""),1,0))</f>
        <v/>
      </c>
      <c r="N242">
        <f>IF(M242="","",IF(M242=1,IF(F242&lt;&gt;"",N(F242),N(E242)),0))</f>
        <v/>
      </c>
      <c r="O242">
        <f>IF(M242="","",IF(M242=1,0,N(E242)))</f>
        <v/>
      </c>
      <c r="P242">
        <f>IF(OR(K242="On the way",K242="Late"),H242+ROW()/10000000,"")</f>
        <v/>
      </c>
    </row>
    <row r="243">
      <c r="A243" s="1" t="n"/>
      <c r="B243" s="19" t="n"/>
      <c r="C243" s="20" t="n"/>
      <c r="D243" s="20" t="n"/>
      <c r="E243" s="21" t="n"/>
      <c r="F243" s="21" t="n"/>
      <c r="G243" s="22" t="n"/>
      <c r="H243" s="23" t="n"/>
      <c r="I243" s="22" t="n"/>
      <c r="J243" s="22" t="n"/>
      <c r="K243" s="11">
        <f>IF(AND(B243="",C243=""),"",IF(J243&lt;&gt;"","Wrapped",IF(I243&lt;&gt;"","To wrap",IF(AND(G243="",F243=""),"Idea",IF(H243="","To wrap",IF(H243&lt;TODAY(),"Late","On the way"))))))</f>
        <v/>
      </c>
      <c r="L243" s="1" t="n"/>
      <c r="M243">
        <f>IF(AND(B243="",C243=""),"",IF(OR(F243&lt;&gt;"",G243&lt;&gt;"",I243&lt;&gt;"",J243&lt;&gt;""),1,0))</f>
        <v/>
      </c>
      <c r="N243">
        <f>IF(M243="","",IF(M243=1,IF(F243&lt;&gt;"",N(F243),N(E243)),0))</f>
        <v/>
      </c>
      <c r="O243">
        <f>IF(M243="","",IF(M243=1,0,N(E243)))</f>
        <v/>
      </c>
      <c r="P243">
        <f>IF(OR(K243="On the way",K243="Late"),H243+ROW()/10000000,"")</f>
        <v/>
      </c>
    </row>
    <row r="244">
      <c r="A244" s="1" t="n"/>
      <c r="B244" s="19" t="n"/>
      <c r="C244" s="20" t="n"/>
      <c r="D244" s="20" t="n"/>
      <c r="E244" s="21" t="n"/>
      <c r="F244" s="21" t="n"/>
      <c r="G244" s="22" t="n"/>
      <c r="H244" s="23" t="n"/>
      <c r="I244" s="22" t="n"/>
      <c r="J244" s="22" t="n"/>
      <c r="K244" s="11">
        <f>IF(AND(B244="",C244=""),"",IF(J244&lt;&gt;"","Wrapped",IF(I244&lt;&gt;"","To wrap",IF(AND(G244="",F244=""),"Idea",IF(H244="","To wrap",IF(H244&lt;TODAY(),"Late","On the way"))))))</f>
        <v/>
      </c>
      <c r="L244" s="1" t="n"/>
      <c r="M244">
        <f>IF(AND(B244="",C244=""),"",IF(OR(F244&lt;&gt;"",G244&lt;&gt;"",I244&lt;&gt;"",J244&lt;&gt;""),1,0))</f>
        <v/>
      </c>
      <c r="N244">
        <f>IF(M244="","",IF(M244=1,IF(F244&lt;&gt;"",N(F244),N(E244)),0))</f>
        <v/>
      </c>
      <c r="O244">
        <f>IF(M244="","",IF(M244=1,0,N(E244)))</f>
        <v/>
      </c>
      <c r="P244">
        <f>IF(OR(K244="On the way",K244="Late"),H244+ROW()/10000000,"")</f>
        <v/>
      </c>
    </row>
    <row r="245">
      <c r="A245" s="1" t="n"/>
      <c r="B245" s="19" t="n"/>
      <c r="C245" s="20" t="n"/>
      <c r="D245" s="20" t="n"/>
      <c r="E245" s="21" t="n"/>
      <c r="F245" s="21" t="n"/>
      <c r="G245" s="22" t="n"/>
      <c r="H245" s="23" t="n"/>
      <c r="I245" s="22" t="n"/>
      <c r="J245" s="22" t="n"/>
      <c r="K245" s="11">
        <f>IF(AND(B245="",C245=""),"",IF(J245&lt;&gt;"","Wrapped",IF(I245&lt;&gt;"","To wrap",IF(AND(G245="",F245=""),"Idea",IF(H245="","To wrap",IF(H245&lt;TODAY(),"Late","On the way"))))))</f>
        <v/>
      </c>
      <c r="L245" s="1" t="n"/>
      <c r="M245">
        <f>IF(AND(B245="",C245=""),"",IF(OR(F245&lt;&gt;"",G245&lt;&gt;"",I245&lt;&gt;"",J245&lt;&gt;""),1,0))</f>
        <v/>
      </c>
      <c r="N245">
        <f>IF(M245="","",IF(M245=1,IF(F245&lt;&gt;"",N(F245),N(E245)),0))</f>
        <v/>
      </c>
      <c r="O245">
        <f>IF(M245="","",IF(M245=1,0,N(E245)))</f>
        <v/>
      </c>
      <c r="P245">
        <f>IF(OR(K245="On the way",K245="Late"),H245+ROW()/10000000,"")</f>
        <v/>
      </c>
    </row>
    <row r="246">
      <c r="A246" s="1" t="n"/>
      <c r="B246" s="19" t="n"/>
      <c r="C246" s="20" t="n"/>
      <c r="D246" s="20" t="n"/>
      <c r="E246" s="21" t="n"/>
      <c r="F246" s="21" t="n"/>
      <c r="G246" s="22" t="n"/>
      <c r="H246" s="23" t="n"/>
      <c r="I246" s="22" t="n"/>
      <c r="J246" s="22" t="n"/>
      <c r="K246" s="11">
        <f>IF(AND(B246="",C246=""),"",IF(J246&lt;&gt;"","Wrapped",IF(I246&lt;&gt;"","To wrap",IF(AND(G246="",F246=""),"Idea",IF(H246="","To wrap",IF(H246&lt;TODAY(),"Late","On the way"))))))</f>
        <v/>
      </c>
      <c r="L246" s="1" t="n"/>
      <c r="M246">
        <f>IF(AND(B246="",C246=""),"",IF(OR(F246&lt;&gt;"",G246&lt;&gt;"",I246&lt;&gt;"",J246&lt;&gt;""),1,0))</f>
        <v/>
      </c>
      <c r="N246">
        <f>IF(M246="","",IF(M246=1,IF(F246&lt;&gt;"",N(F246),N(E246)),0))</f>
        <v/>
      </c>
      <c r="O246">
        <f>IF(M246="","",IF(M246=1,0,N(E246)))</f>
        <v/>
      </c>
      <c r="P246">
        <f>IF(OR(K246="On the way",K246="Late"),H246+ROW()/10000000,"")</f>
        <v/>
      </c>
    </row>
    <row r="247">
      <c r="A247" s="1" t="n"/>
      <c r="B247" s="19" t="n"/>
      <c r="C247" s="20" t="n"/>
      <c r="D247" s="20" t="n"/>
      <c r="E247" s="21" t="n"/>
      <c r="F247" s="21" t="n"/>
      <c r="G247" s="22" t="n"/>
      <c r="H247" s="23" t="n"/>
      <c r="I247" s="22" t="n"/>
      <c r="J247" s="22" t="n"/>
      <c r="K247" s="11">
        <f>IF(AND(B247="",C247=""),"",IF(J247&lt;&gt;"","Wrapped",IF(I247&lt;&gt;"","To wrap",IF(AND(G247="",F247=""),"Idea",IF(H247="","To wrap",IF(H247&lt;TODAY(),"Late","On the way"))))))</f>
        <v/>
      </c>
      <c r="L247" s="1" t="n"/>
      <c r="M247">
        <f>IF(AND(B247="",C247=""),"",IF(OR(F247&lt;&gt;"",G247&lt;&gt;"",I247&lt;&gt;"",J247&lt;&gt;""),1,0))</f>
        <v/>
      </c>
      <c r="N247">
        <f>IF(M247="","",IF(M247=1,IF(F247&lt;&gt;"",N(F247),N(E247)),0))</f>
        <v/>
      </c>
      <c r="O247">
        <f>IF(M247="","",IF(M247=1,0,N(E247)))</f>
        <v/>
      </c>
      <c r="P247">
        <f>IF(OR(K247="On the way",K247="Late"),H247+ROW()/10000000,"")</f>
        <v/>
      </c>
    </row>
    <row r="248">
      <c r="A248" s="1" t="n"/>
      <c r="B248" s="19" t="n"/>
      <c r="C248" s="20" t="n"/>
      <c r="D248" s="20" t="n"/>
      <c r="E248" s="21" t="n"/>
      <c r="F248" s="21" t="n"/>
      <c r="G248" s="22" t="n"/>
      <c r="H248" s="23" t="n"/>
      <c r="I248" s="22" t="n"/>
      <c r="J248" s="22" t="n"/>
      <c r="K248" s="11">
        <f>IF(AND(B248="",C248=""),"",IF(J248&lt;&gt;"","Wrapped",IF(I248&lt;&gt;"","To wrap",IF(AND(G248="",F248=""),"Idea",IF(H248="","To wrap",IF(H248&lt;TODAY(),"Late","On the way"))))))</f>
        <v/>
      </c>
      <c r="L248" s="1" t="n"/>
      <c r="M248">
        <f>IF(AND(B248="",C248=""),"",IF(OR(F248&lt;&gt;"",G248&lt;&gt;"",I248&lt;&gt;"",J248&lt;&gt;""),1,0))</f>
        <v/>
      </c>
      <c r="N248">
        <f>IF(M248="","",IF(M248=1,IF(F248&lt;&gt;"",N(F248),N(E248)),0))</f>
        <v/>
      </c>
      <c r="O248">
        <f>IF(M248="","",IF(M248=1,0,N(E248)))</f>
        <v/>
      </c>
      <c r="P248">
        <f>IF(OR(K248="On the way",K248="Late"),H248+ROW()/10000000,"")</f>
        <v/>
      </c>
    </row>
    <row r="249">
      <c r="A249" s="1" t="n"/>
      <c r="B249" s="19" t="n"/>
      <c r="C249" s="20" t="n"/>
      <c r="D249" s="20" t="n"/>
      <c r="E249" s="21" t="n"/>
      <c r="F249" s="21" t="n"/>
      <c r="G249" s="22" t="n"/>
      <c r="H249" s="23" t="n"/>
      <c r="I249" s="22" t="n"/>
      <c r="J249" s="22" t="n"/>
      <c r="K249" s="11">
        <f>IF(AND(B249="",C249=""),"",IF(J249&lt;&gt;"","Wrapped",IF(I249&lt;&gt;"","To wrap",IF(AND(G249="",F249=""),"Idea",IF(H249="","To wrap",IF(H249&lt;TODAY(),"Late","On the way"))))))</f>
        <v/>
      </c>
      <c r="L249" s="1" t="n"/>
      <c r="M249">
        <f>IF(AND(B249="",C249=""),"",IF(OR(F249&lt;&gt;"",G249&lt;&gt;"",I249&lt;&gt;"",J249&lt;&gt;""),1,0))</f>
        <v/>
      </c>
      <c r="N249">
        <f>IF(M249="","",IF(M249=1,IF(F249&lt;&gt;"",N(F249),N(E249)),0))</f>
        <v/>
      </c>
      <c r="O249">
        <f>IF(M249="","",IF(M249=1,0,N(E249)))</f>
        <v/>
      </c>
      <c r="P249">
        <f>IF(OR(K249="On the way",K249="Late"),H249+ROW()/10000000,"")</f>
        <v/>
      </c>
    </row>
    <row r="250">
      <c r="A250" s="1" t="n"/>
      <c r="B250" s="19" t="n"/>
      <c r="C250" s="20" t="n"/>
      <c r="D250" s="20" t="n"/>
      <c r="E250" s="21" t="n"/>
      <c r="F250" s="21" t="n"/>
      <c r="G250" s="22" t="n"/>
      <c r="H250" s="23" t="n"/>
      <c r="I250" s="22" t="n"/>
      <c r="J250" s="22" t="n"/>
      <c r="K250" s="11">
        <f>IF(AND(B250="",C250=""),"",IF(J250&lt;&gt;"","Wrapped",IF(I250&lt;&gt;"","To wrap",IF(AND(G250="",F250=""),"Idea",IF(H250="","To wrap",IF(H250&lt;TODAY(),"Late","On the way"))))))</f>
        <v/>
      </c>
      <c r="L250" s="1" t="n"/>
      <c r="M250">
        <f>IF(AND(B250="",C250=""),"",IF(OR(F250&lt;&gt;"",G250&lt;&gt;"",I250&lt;&gt;"",J250&lt;&gt;""),1,0))</f>
        <v/>
      </c>
      <c r="N250">
        <f>IF(M250="","",IF(M250=1,IF(F250&lt;&gt;"",N(F250),N(E250)),0))</f>
        <v/>
      </c>
      <c r="O250">
        <f>IF(M250="","",IF(M250=1,0,N(E250)))</f>
        <v/>
      </c>
      <c r="P250">
        <f>IF(OR(K250="On the way",K250="Late"),H250+ROW()/10000000,"")</f>
        <v/>
      </c>
    </row>
    <row r="251">
      <c r="A251" s="1" t="n"/>
      <c r="B251" s="19" t="n"/>
      <c r="C251" s="20" t="n"/>
      <c r="D251" s="20" t="n"/>
      <c r="E251" s="21" t="n"/>
      <c r="F251" s="21" t="n"/>
      <c r="G251" s="22" t="n"/>
      <c r="H251" s="23" t="n"/>
      <c r="I251" s="22" t="n"/>
      <c r="J251" s="22" t="n"/>
      <c r="K251" s="11">
        <f>IF(AND(B251="",C251=""),"",IF(J251&lt;&gt;"","Wrapped",IF(I251&lt;&gt;"","To wrap",IF(AND(G251="",F251=""),"Idea",IF(H251="","To wrap",IF(H251&lt;TODAY(),"Late","On the way"))))))</f>
        <v/>
      </c>
      <c r="L251" s="1" t="n"/>
      <c r="M251">
        <f>IF(AND(B251="",C251=""),"",IF(OR(F251&lt;&gt;"",G251&lt;&gt;"",I251&lt;&gt;"",J251&lt;&gt;""),1,0))</f>
        <v/>
      </c>
      <c r="N251">
        <f>IF(M251="","",IF(M251=1,IF(F251&lt;&gt;"",N(F251),N(E251)),0))</f>
        <v/>
      </c>
      <c r="O251">
        <f>IF(M251="","",IF(M251=1,0,N(E251)))</f>
        <v/>
      </c>
      <c r="P251">
        <f>IF(OR(K251="On the way",K251="Late"),H251+ROW()/10000000,"")</f>
        <v/>
      </c>
    </row>
    <row r="252">
      <c r="A252" s="1" t="n"/>
      <c r="B252" s="19" t="n"/>
      <c r="C252" s="20" t="n"/>
      <c r="D252" s="20" t="n"/>
      <c r="E252" s="21" t="n"/>
      <c r="F252" s="21" t="n"/>
      <c r="G252" s="22" t="n"/>
      <c r="H252" s="23" t="n"/>
      <c r="I252" s="22" t="n"/>
      <c r="J252" s="22" t="n"/>
      <c r="K252" s="11">
        <f>IF(AND(B252="",C252=""),"",IF(J252&lt;&gt;"","Wrapped",IF(I252&lt;&gt;"","To wrap",IF(AND(G252="",F252=""),"Idea",IF(H252="","To wrap",IF(H252&lt;TODAY(),"Late","On the way"))))))</f>
        <v/>
      </c>
      <c r="L252" s="1" t="n"/>
      <c r="M252">
        <f>IF(AND(B252="",C252=""),"",IF(OR(F252&lt;&gt;"",G252&lt;&gt;"",I252&lt;&gt;"",J252&lt;&gt;""),1,0))</f>
        <v/>
      </c>
      <c r="N252">
        <f>IF(M252="","",IF(M252=1,IF(F252&lt;&gt;"",N(F252),N(E252)),0))</f>
        <v/>
      </c>
      <c r="O252">
        <f>IF(M252="","",IF(M252=1,0,N(E252)))</f>
        <v/>
      </c>
      <c r="P252">
        <f>IF(OR(K252="On the way",K252="Late"),H252+ROW()/10000000,"")</f>
        <v/>
      </c>
    </row>
    <row r="253">
      <c r="A253" s="1" t="n"/>
      <c r="B253" s="19" t="n"/>
      <c r="C253" s="20" t="n"/>
      <c r="D253" s="20" t="n"/>
      <c r="E253" s="21" t="n"/>
      <c r="F253" s="21" t="n"/>
      <c r="G253" s="22" t="n"/>
      <c r="H253" s="23" t="n"/>
      <c r="I253" s="22" t="n"/>
      <c r="J253" s="22" t="n"/>
      <c r="K253" s="11">
        <f>IF(AND(B253="",C253=""),"",IF(J253&lt;&gt;"","Wrapped",IF(I253&lt;&gt;"","To wrap",IF(AND(G253="",F253=""),"Idea",IF(H253="","To wrap",IF(H253&lt;TODAY(),"Late","On the way"))))))</f>
        <v/>
      </c>
      <c r="L253" s="1" t="n"/>
      <c r="M253">
        <f>IF(AND(B253="",C253=""),"",IF(OR(F253&lt;&gt;"",G253&lt;&gt;"",I253&lt;&gt;"",J253&lt;&gt;""),1,0))</f>
        <v/>
      </c>
      <c r="N253">
        <f>IF(M253="","",IF(M253=1,IF(F253&lt;&gt;"",N(F253),N(E253)),0))</f>
        <v/>
      </c>
      <c r="O253">
        <f>IF(M253="","",IF(M253=1,0,N(E253)))</f>
        <v/>
      </c>
      <c r="P253">
        <f>IF(OR(K253="On the way",K253="Late"),H253+ROW()/10000000,"")</f>
        <v/>
      </c>
    </row>
    <row r="254">
      <c r="A254" s="1" t="n"/>
      <c r="B254" s="19" t="n"/>
      <c r="C254" s="20" t="n"/>
      <c r="D254" s="20" t="n"/>
      <c r="E254" s="21" t="n"/>
      <c r="F254" s="21" t="n"/>
      <c r="G254" s="22" t="n"/>
      <c r="H254" s="23" t="n"/>
      <c r="I254" s="22" t="n"/>
      <c r="J254" s="22" t="n"/>
      <c r="K254" s="11">
        <f>IF(AND(B254="",C254=""),"",IF(J254&lt;&gt;"","Wrapped",IF(I254&lt;&gt;"","To wrap",IF(AND(G254="",F254=""),"Idea",IF(H254="","To wrap",IF(H254&lt;TODAY(),"Late","On the way"))))))</f>
        <v/>
      </c>
      <c r="L254" s="1" t="n"/>
      <c r="M254">
        <f>IF(AND(B254="",C254=""),"",IF(OR(F254&lt;&gt;"",G254&lt;&gt;"",I254&lt;&gt;"",J254&lt;&gt;""),1,0))</f>
        <v/>
      </c>
      <c r="N254">
        <f>IF(M254="","",IF(M254=1,IF(F254&lt;&gt;"",N(F254),N(E254)),0))</f>
        <v/>
      </c>
      <c r="O254">
        <f>IF(M254="","",IF(M254=1,0,N(E254)))</f>
        <v/>
      </c>
      <c r="P254">
        <f>IF(OR(K254="On the way",K254="Late"),H254+ROW()/10000000,"")</f>
        <v/>
      </c>
    </row>
    <row r="255">
      <c r="A255" s="1" t="n"/>
      <c r="B255" s="19" t="n"/>
      <c r="C255" s="20" t="n"/>
      <c r="D255" s="20" t="n"/>
      <c r="E255" s="21" t="n"/>
      <c r="F255" s="21" t="n"/>
      <c r="G255" s="22" t="n"/>
      <c r="H255" s="23" t="n"/>
      <c r="I255" s="22" t="n"/>
      <c r="J255" s="22" t="n"/>
      <c r="K255" s="11">
        <f>IF(AND(B255="",C255=""),"",IF(J255&lt;&gt;"","Wrapped",IF(I255&lt;&gt;"","To wrap",IF(AND(G255="",F255=""),"Idea",IF(H255="","To wrap",IF(H255&lt;TODAY(),"Late","On the way"))))))</f>
        <v/>
      </c>
      <c r="L255" s="1" t="n"/>
      <c r="M255">
        <f>IF(AND(B255="",C255=""),"",IF(OR(F255&lt;&gt;"",G255&lt;&gt;"",I255&lt;&gt;"",J255&lt;&gt;""),1,0))</f>
        <v/>
      </c>
      <c r="N255">
        <f>IF(M255="","",IF(M255=1,IF(F255&lt;&gt;"",N(F255),N(E255)),0))</f>
        <v/>
      </c>
      <c r="O255">
        <f>IF(M255="","",IF(M255=1,0,N(E255)))</f>
        <v/>
      </c>
      <c r="P255">
        <f>IF(OR(K255="On the way",K255="Late"),H255+ROW()/10000000,"")</f>
        <v/>
      </c>
    </row>
    <row r="256">
      <c r="A256" s="1" t="n"/>
      <c r="B256" s="19" t="n"/>
      <c r="C256" s="20" t="n"/>
      <c r="D256" s="20" t="n"/>
      <c r="E256" s="21" t="n"/>
      <c r="F256" s="21" t="n"/>
      <c r="G256" s="22" t="n"/>
      <c r="H256" s="23" t="n"/>
      <c r="I256" s="22" t="n"/>
      <c r="J256" s="22" t="n"/>
      <c r="K256" s="11">
        <f>IF(AND(B256="",C256=""),"",IF(J256&lt;&gt;"","Wrapped",IF(I256&lt;&gt;"","To wrap",IF(AND(G256="",F256=""),"Idea",IF(H256="","To wrap",IF(H256&lt;TODAY(),"Late","On the way"))))))</f>
        <v/>
      </c>
      <c r="L256" s="1" t="n"/>
      <c r="M256">
        <f>IF(AND(B256="",C256=""),"",IF(OR(F256&lt;&gt;"",G256&lt;&gt;"",I256&lt;&gt;"",J256&lt;&gt;""),1,0))</f>
        <v/>
      </c>
      <c r="N256">
        <f>IF(M256="","",IF(M256=1,IF(F256&lt;&gt;"",N(F256),N(E256)),0))</f>
        <v/>
      </c>
      <c r="O256">
        <f>IF(M256="","",IF(M256=1,0,N(E256)))</f>
        <v/>
      </c>
      <c r="P256">
        <f>IF(OR(K256="On the way",K256="Late"),H256+ROW()/10000000,"")</f>
        <v/>
      </c>
    </row>
    <row r="257">
      <c r="A257" s="1" t="n"/>
      <c r="B257" s="19" t="n"/>
      <c r="C257" s="20" t="n"/>
      <c r="D257" s="20" t="n"/>
      <c r="E257" s="21" t="n"/>
      <c r="F257" s="21" t="n"/>
      <c r="G257" s="22" t="n"/>
      <c r="H257" s="23" t="n"/>
      <c r="I257" s="22" t="n"/>
      <c r="J257" s="22" t="n"/>
      <c r="K257" s="11">
        <f>IF(AND(B257="",C257=""),"",IF(J257&lt;&gt;"","Wrapped",IF(I257&lt;&gt;"","To wrap",IF(AND(G257="",F257=""),"Idea",IF(H257="","To wrap",IF(H257&lt;TODAY(),"Late","On the way"))))))</f>
        <v/>
      </c>
      <c r="L257" s="1" t="n"/>
      <c r="M257">
        <f>IF(AND(B257="",C257=""),"",IF(OR(F257&lt;&gt;"",G257&lt;&gt;"",I257&lt;&gt;"",J257&lt;&gt;""),1,0))</f>
        <v/>
      </c>
      <c r="N257">
        <f>IF(M257="","",IF(M257=1,IF(F257&lt;&gt;"",N(F257),N(E257)),0))</f>
        <v/>
      </c>
      <c r="O257">
        <f>IF(M257="","",IF(M257=1,0,N(E257)))</f>
        <v/>
      </c>
      <c r="P257">
        <f>IF(OR(K257="On the way",K257="Late"),H257+ROW()/10000000,"")</f>
        <v/>
      </c>
    </row>
    <row r="258">
      <c r="A258" s="1" t="n"/>
      <c r="B258" s="19" t="n"/>
      <c r="C258" s="20" t="n"/>
      <c r="D258" s="20" t="n"/>
      <c r="E258" s="21" t="n"/>
      <c r="F258" s="21" t="n"/>
      <c r="G258" s="22" t="n"/>
      <c r="H258" s="23" t="n"/>
      <c r="I258" s="22" t="n"/>
      <c r="J258" s="22" t="n"/>
      <c r="K258" s="11">
        <f>IF(AND(B258="",C258=""),"",IF(J258&lt;&gt;"","Wrapped",IF(I258&lt;&gt;"","To wrap",IF(AND(G258="",F258=""),"Idea",IF(H258="","To wrap",IF(H258&lt;TODAY(),"Late","On the way"))))))</f>
        <v/>
      </c>
      <c r="L258" s="1" t="n"/>
      <c r="M258">
        <f>IF(AND(B258="",C258=""),"",IF(OR(F258&lt;&gt;"",G258&lt;&gt;"",I258&lt;&gt;"",J258&lt;&gt;""),1,0))</f>
        <v/>
      </c>
      <c r="N258">
        <f>IF(M258="","",IF(M258=1,IF(F258&lt;&gt;"",N(F258),N(E258)),0))</f>
        <v/>
      </c>
      <c r="O258">
        <f>IF(M258="","",IF(M258=1,0,N(E258)))</f>
        <v/>
      </c>
      <c r="P258">
        <f>IF(OR(K258="On the way",K258="Late"),H258+ROW()/10000000,"")</f>
        <v/>
      </c>
    </row>
    <row r="259">
      <c r="A259" s="1" t="n"/>
      <c r="B259" s="19" t="n"/>
      <c r="C259" s="20" t="n"/>
      <c r="D259" s="20" t="n"/>
      <c r="E259" s="21" t="n"/>
      <c r="F259" s="21" t="n"/>
      <c r="G259" s="22" t="n"/>
      <c r="H259" s="23" t="n"/>
      <c r="I259" s="22" t="n"/>
      <c r="J259" s="22" t="n"/>
      <c r="K259" s="11">
        <f>IF(AND(B259="",C259=""),"",IF(J259&lt;&gt;"","Wrapped",IF(I259&lt;&gt;"","To wrap",IF(AND(G259="",F259=""),"Idea",IF(H259="","To wrap",IF(H259&lt;TODAY(),"Late","On the way"))))))</f>
        <v/>
      </c>
      <c r="L259" s="1" t="n"/>
      <c r="M259">
        <f>IF(AND(B259="",C259=""),"",IF(OR(F259&lt;&gt;"",G259&lt;&gt;"",I259&lt;&gt;"",J259&lt;&gt;""),1,0))</f>
        <v/>
      </c>
      <c r="N259">
        <f>IF(M259="","",IF(M259=1,IF(F259&lt;&gt;"",N(F259),N(E259)),0))</f>
        <v/>
      </c>
      <c r="O259">
        <f>IF(M259="","",IF(M259=1,0,N(E259)))</f>
        <v/>
      </c>
      <c r="P259">
        <f>IF(OR(K259="On the way",K259="Late"),H259+ROW()/10000000,"")</f>
        <v/>
      </c>
    </row>
    <row r="260">
      <c r="A260" s="1" t="n"/>
      <c r="B260" s="19" t="n"/>
      <c r="C260" s="20" t="n"/>
      <c r="D260" s="20" t="n"/>
      <c r="E260" s="21" t="n"/>
      <c r="F260" s="21" t="n"/>
      <c r="G260" s="22" t="n"/>
      <c r="H260" s="23" t="n"/>
      <c r="I260" s="22" t="n"/>
      <c r="J260" s="22" t="n"/>
      <c r="K260" s="11">
        <f>IF(AND(B260="",C260=""),"",IF(J260&lt;&gt;"","Wrapped",IF(I260&lt;&gt;"","To wrap",IF(AND(G260="",F260=""),"Idea",IF(H260="","To wrap",IF(H260&lt;TODAY(),"Late","On the way"))))))</f>
        <v/>
      </c>
      <c r="L260" s="1" t="n"/>
      <c r="M260">
        <f>IF(AND(B260="",C260=""),"",IF(OR(F260&lt;&gt;"",G260&lt;&gt;"",I260&lt;&gt;"",J260&lt;&gt;""),1,0))</f>
        <v/>
      </c>
      <c r="N260">
        <f>IF(M260="","",IF(M260=1,IF(F260&lt;&gt;"",N(F260),N(E260)),0))</f>
        <v/>
      </c>
      <c r="O260">
        <f>IF(M260="","",IF(M260=1,0,N(E260)))</f>
        <v/>
      </c>
      <c r="P260">
        <f>IF(OR(K260="On the way",K260="Late"),H260+ROW()/10000000,"")</f>
        <v/>
      </c>
    </row>
    <row r="261">
      <c r="A261" s="1" t="n"/>
      <c r="B261" s="19" t="n"/>
      <c r="C261" s="20" t="n"/>
      <c r="D261" s="20" t="n"/>
      <c r="E261" s="21" t="n"/>
      <c r="F261" s="21" t="n"/>
      <c r="G261" s="22" t="n"/>
      <c r="H261" s="23" t="n"/>
      <c r="I261" s="22" t="n"/>
      <c r="J261" s="22" t="n"/>
      <c r="K261" s="11">
        <f>IF(AND(B261="",C261=""),"",IF(J261&lt;&gt;"","Wrapped",IF(I261&lt;&gt;"","To wrap",IF(AND(G261="",F261=""),"Idea",IF(H261="","To wrap",IF(H261&lt;TODAY(),"Late","On the way"))))))</f>
        <v/>
      </c>
      <c r="L261" s="1" t="n"/>
      <c r="M261">
        <f>IF(AND(B261="",C261=""),"",IF(OR(F261&lt;&gt;"",G261&lt;&gt;"",I261&lt;&gt;"",J261&lt;&gt;""),1,0))</f>
        <v/>
      </c>
      <c r="N261">
        <f>IF(M261="","",IF(M261=1,IF(F261&lt;&gt;"",N(F261),N(E261)),0))</f>
        <v/>
      </c>
      <c r="O261">
        <f>IF(M261="","",IF(M261=1,0,N(E261)))</f>
        <v/>
      </c>
      <c r="P261">
        <f>IF(OR(K261="On the way",K261="Late"),H261+ROW()/10000000,"")</f>
        <v/>
      </c>
    </row>
    <row r="262">
      <c r="A262" s="1" t="n"/>
      <c r="B262" s="19" t="n"/>
      <c r="C262" s="20" t="n"/>
      <c r="D262" s="20" t="n"/>
      <c r="E262" s="21" t="n"/>
      <c r="F262" s="21" t="n"/>
      <c r="G262" s="22" t="n"/>
      <c r="H262" s="23" t="n"/>
      <c r="I262" s="22" t="n"/>
      <c r="J262" s="22" t="n"/>
      <c r="K262" s="11">
        <f>IF(AND(B262="",C262=""),"",IF(J262&lt;&gt;"","Wrapped",IF(I262&lt;&gt;"","To wrap",IF(AND(G262="",F262=""),"Idea",IF(H262="","To wrap",IF(H262&lt;TODAY(),"Late","On the way"))))))</f>
        <v/>
      </c>
      <c r="L262" s="1" t="n"/>
      <c r="M262">
        <f>IF(AND(B262="",C262=""),"",IF(OR(F262&lt;&gt;"",G262&lt;&gt;"",I262&lt;&gt;"",J262&lt;&gt;""),1,0))</f>
        <v/>
      </c>
      <c r="N262">
        <f>IF(M262="","",IF(M262=1,IF(F262&lt;&gt;"",N(F262),N(E262)),0))</f>
        <v/>
      </c>
      <c r="O262">
        <f>IF(M262="","",IF(M262=1,0,N(E262)))</f>
        <v/>
      </c>
      <c r="P262">
        <f>IF(OR(K262="On the way",K262="Late"),H262+ROW()/10000000,"")</f>
        <v/>
      </c>
    </row>
    <row r="263">
      <c r="A263" s="1" t="n"/>
      <c r="B263" s="19" t="n"/>
      <c r="C263" s="20" t="n"/>
      <c r="D263" s="20" t="n"/>
      <c r="E263" s="21" t="n"/>
      <c r="F263" s="21" t="n"/>
      <c r="G263" s="22" t="n"/>
      <c r="H263" s="23" t="n"/>
      <c r="I263" s="22" t="n"/>
      <c r="J263" s="22" t="n"/>
      <c r="K263" s="11">
        <f>IF(AND(B263="",C263=""),"",IF(J263&lt;&gt;"","Wrapped",IF(I263&lt;&gt;"","To wrap",IF(AND(G263="",F263=""),"Idea",IF(H263="","To wrap",IF(H263&lt;TODAY(),"Late","On the way"))))))</f>
        <v/>
      </c>
      <c r="L263" s="1" t="n"/>
      <c r="M263">
        <f>IF(AND(B263="",C263=""),"",IF(OR(F263&lt;&gt;"",G263&lt;&gt;"",I263&lt;&gt;"",J263&lt;&gt;""),1,0))</f>
        <v/>
      </c>
      <c r="N263">
        <f>IF(M263="","",IF(M263=1,IF(F263&lt;&gt;"",N(F263),N(E263)),0))</f>
        <v/>
      </c>
      <c r="O263">
        <f>IF(M263="","",IF(M263=1,0,N(E263)))</f>
        <v/>
      </c>
      <c r="P263">
        <f>IF(OR(K263="On the way",K263="Late"),H263+ROW()/10000000,"")</f>
        <v/>
      </c>
    </row>
    <row r="264">
      <c r="A264" s="1" t="n"/>
      <c r="B264" s="19" t="n"/>
      <c r="C264" s="20" t="n"/>
      <c r="D264" s="20" t="n"/>
      <c r="E264" s="21" t="n"/>
      <c r="F264" s="21" t="n"/>
      <c r="G264" s="22" t="n"/>
      <c r="H264" s="23" t="n"/>
      <c r="I264" s="22" t="n"/>
      <c r="J264" s="22" t="n"/>
      <c r="K264" s="11">
        <f>IF(AND(B264="",C264=""),"",IF(J264&lt;&gt;"","Wrapped",IF(I264&lt;&gt;"","To wrap",IF(AND(G264="",F264=""),"Idea",IF(H264="","To wrap",IF(H264&lt;TODAY(),"Late","On the way"))))))</f>
        <v/>
      </c>
      <c r="L264" s="1" t="n"/>
      <c r="M264">
        <f>IF(AND(B264="",C264=""),"",IF(OR(F264&lt;&gt;"",G264&lt;&gt;"",I264&lt;&gt;"",J264&lt;&gt;""),1,0))</f>
        <v/>
      </c>
      <c r="N264">
        <f>IF(M264="","",IF(M264=1,IF(F264&lt;&gt;"",N(F264),N(E264)),0))</f>
        <v/>
      </c>
      <c r="O264">
        <f>IF(M264="","",IF(M264=1,0,N(E264)))</f>
        <v/>
      </c>
      <c r="P264">
        <f>IF(OR(K264="On the way",K264="Late"),H264+ROW()/10000000,"")</f>
        <v/>
      </c>
    </row>
    <row r="265">
      <c r="A265" s="1" t="n"/>
      <c r="B265" s="19" t="n"/>
      <c r="C265" s="20" t="n"/>
      <c r="D265" s="20" t="n"/>
      <c r="E265" s="21" t="n"/>
      <c r="F265" s="21" t="n"/>
      <c r="G265" s="22" t="n"/>
      <c r="H265" s="23" t="n"/>
      <c r="I265" s="22" t="n"/>
      <c r="J265" s="22" t="n"/>
      <c r="K265" s="11">
        <f>IF(AND(B265="",C265=""),"",IF(J265&lt;&gt;"","Wrapped",IF(I265&lt;&gt;"","To wrap",IF(AND(G265="",F265=""),"Idea",IF(H265="","To wrap",IF(H265&lt;TODAY(),"Late","On the way"))))))</f>
        <v/>
      </c>
      <c r="L265" s="1" t="n"/>
      <c r="M265">
        <f>IF(AND(B265="",C265=""),"",IF(OR(F265&lt;&gt;"",G265&lt;&gt;"",I265&lt;&gt;"",J265&lt;&gt;""),1,0))</f>
        <v/>
      </c>
      <c r="N265">
        <f>IF(M265="","",IF(M265=1,IF(F265&lt;&gt;"",N(F265),N(E265)),0))</f>
        <v/>
      </c>
      <c r="O265">
        <f>IF(M265="","",IF(M265=1,0,N(E265)))</f>
        <v/>
      </c>
      <c r="P265">
        <f>IF(OR(K265="On the way",K265="Late"),H265+ROW()/10000000,"")</f>
        <v/>
      </c>
    </row>
    <row r="266">
      <c r="A266" s="1" t="n"/>
      <c r="B266" s="19" t="n"/>
      <c r="C266" s="20" t="n"/>
      <c r="D266" s="20" t="n"/>
      <c r="E266" s="21" t="n"/>
      <c r="F266" s="21" t="n"/>
      <c r="G266" s="22" t="n"/>
      <c r="H266" s="23" t="n"/>
      <c r="I266" s="22" t="n"/>
      <c r="J266" s="22" t="n"/>
      <c r="K266" s="11">
        <f>IF(AND(B266="",C266=""),"",IF(J266&lt;&gt;"","Wrapped",IF(I266&lt;&gt;"","To wrap",IF(AND(G266="",F266=""),"Idea",IF(H266="","To wrap",IF(H266&lt;TODAY(),"Late","On the way"))))))</f>
        <v/>
      </c>
      <c r="L266" s="1" t="n"/>
      <c r="M266">
        <f>IF(AND(B266="",C266=""),"",IF(OR(F266&lt;&gt;"",G266&lt;&gt;"",I266&lt;&gt;"",J266&lt;&gt;""),1,0))</f>
        <v/>
      </c>
      <c r="N266">
        <f>IF(M266="","",IF(M266=1,IF(F266&lt;&gt;"",N(F266),N(E266)),0))</f>
        <v/>
      </c>
      <c r="O266">
        <f>IF(M266="","",IF(M266=1,0,N(E266)))</f>
        <v/>
      </c>
      <c r="P266">
        <f>IF(OR(K266="On the way",K266="Late"),H266+ROW()/10000000,"")</f>
        <v/>
      </c>
    </row>
    <row r="267">
      <c r="A267" s="1" t="n"/>
      <c r="B267" s="19" t="n"/>
      <c r="C267" s="20" t="n"/>
      <c r="D267" s="20" t="n"/>
      <c r="E267" s="21" t="n"/>
      <c r="F267" s="21" t="n"/>
      <c r="G267" s="22" t="n"/>
      <c r="H267" s="23" t="n"/>
      <c r="I267" s="22" t="n"/>
      <c r="J267" s="22" t="n"/>
      <c r="K267" s="11">
        <f>IF(AND(B267="",C267=""),"",IF(J267&lt;&gt;"","Wrapped",IF(I267&lt;&gt;"","To wrap",IF(AND(G267="",F267=""),"Idea",IF(H267="","To wrap",IF(H267&lt;TODAY(),"Late","On the way"))))))</f>
        <v/>
      </c>
      <c r="L267" s="1" t="n"/>
      <c r="M267">
        <f>IF(AND(B267="",C267=""),"",IF(OR(F267&lt;&gt;"",G267&lt;&gt;"",I267&lt;&gt;"",J267&lt;&gt;""),1,0))</f>
        <v/>
      </c>
      <c r="N267">
        <f>IF(M267="","",IF(M267=1,IF(F267&lt;&gt;"",N(F267),N(E267)),0))</f>
        <v/>
      </c>
      <c r="O267">
        <f>IF(M267="","",IF(M267=1,0,N(E267)))</f>
        <v/>
      </c>
      <c r="P267">
        <f>IF(OR(K267="On the way",K267="Late"),H267+ROW()/10000000,"")</f>
        <v/>
      </c>
    </row>
    <row r="268">
      <c r="A268" s="1" t="n"/>
      <c r="B268" s="19" t="n"/>
      <c r="C268" s="20" t="n"/>
      <c r="D268" s="20" t="n"/>
      <c r="E268" s="21" t="n"/>
      <c r="F268" s="21" t="n"/>
      <c r="G268" s="22" t="n"/>
      <c r="H268" s="23" t="n"/>
      <c r="I268" s="22" t="n"/>
      <c r="J268" s="22" t="n"/>
      <c r="K268" s="11">
        <f>IF(AND(B268="",C268=""),"",IF(J268&lt;&gt;"","Wrapped",IF(I268&lt;&gt;"","To wrap",IF(AND(G268="",F268=""),"Idea",IF(H268="","To wrap",IF(H268&lt;TODAY(),"Late","On the way"))))))</f>
        <v/>
      </c>
      <c r="L268" s="1" t="n"/>
      <c r="M268">
        <f>IF(AND(B268="",C268=""),"",IF(OR(F268&lt;&gt;"",G268&lt;&gt;"",I268&lt;&gt;"",J268&lt;&gt;""),1,0))</f>
        <v/>
      </c>
      <c r="N268">
        <f>IF(M268="","",IF(M268=1,IF(F268&lt;&gt;"",N(F268),N(E268)),0))</f>
        <v/>
      </c>
      <c r="O268">
        <f>IF(M268="","",IF(M268=1,0,N(E268)))</f>
        <v/>
      </c>
      <c r="P268">
        <f>IF(OR(K268="On the way",K268="Late"),H268+ROW()/10000000,"")</f>
        <v/>
      </c>
    </row>
    <row r="269">
      <c r="A269" s="1" t="n"/>
      <c r="B269" s="19" t="n"/>
      <c r="C269" s="20" t="n"/>
      <c r="D269" s="20" t="n"/>
      <c r="E269" s="21" t="n"/>
      <c r="F269" s="21" t="n"/>
      <c r="G269" s="22" t="n"/>
      <c r="H269" s="23" t="n"/>
      <c r="I269" s="22" t="n"/>
      <c r="J269" s="22" t="n"/>
      <c r="K269" s="11">
        <f>IF(AND(B269="",C269=""),"",IF(J269&lt;&gt;"","Wrapped",IF(I269&lt;&gt;"","To wrap",IF(AND(G269="",F269=""),"Idea",IF(H269="","To wrap",IF(H269&lt;TODAY(),"Late","On the way"))))))</f>
        <v/>
      </c>
      <c r="L269" s="1" t="n"/>
      <c r="M269">
        <f>IF(AND(B269="",C269=""),"",IF(OR(F269&lt;&gt;"",G269&lt;&gt;"",I269&lt;&gt;"",J269&lt;&gt;""),1,0))</f>
        <v/>
      </c>
      <c r="N269">
        <f>IF(M269="","",IF(M269=1,IF(F269&lt;&gt;"",N(F269),N(E269)),0))</f>
        <v/>
      </c>
      <c r="O269">
        <f>IF(M269="","",IF(M269=1,0,N(E269)))</f>
        <v/>
      </c>
      <c r="P269">
        <f>IF(OR(K269="On the way",K269="Late"),H269+ROW()/10000000,"")</f>
        <v/>
      </c>
    </row>
    <row r="270">
      <c r="A270" s="1" t="n"/>
      <c r="B270" s="19" t="n"/>
      <c r="C270" s="20" t="n"/>
      <c r="D270" s="20" t="n"/>
      <c r="E270" s="21" t="n"/>
      <c r="F270" s="21" t="n"/>
      <c r="G270" s="22" t="n"/>
      <c r="H270" s="23" t="n"/>
      <c r="I270" s="22" t="n"/>
      <c r="J270" s="22" t="n"/>
      <c r="K270" s="11">
        <f>IF(AND(B270="",C270=""),"",IF(J270&lt;&gt;"","Wrapped",IF(I270&lt;&gt;"","To wrap",IF(AND(G270="",F270=""),"Idea",IF(H270="","To wrap",IF(H270&lt;TODAY(),"Late","On the way"))))))</f>
        <v/>
      </c>
      <c r="L270" s="1" t="n"/>
      <c r="M270">
        <f>IF(AND(B270="",C270=""),"",IF(OR(F270&lt;&gt;"",G270&lt;&gt;"",I270&lt;&gt;"",J270&lt;&gt;""),1,0))</f>
        <v/>
      </c>
      <c r="N270">
        <f>IF(M270="","",IF(M270=1,IF(F270&lt;&gt;"",N(F270),N(E270)),0))</f>
        <v/>
      </c>
      <c r="O270">
        <f>IF(M270="","",IF(M270=1,0,N(E270)))</f>
        <v/>
      </c>
      <c r="P270">
        <f>IF(OR(K270="On the way",K270="Late"),H270+ROW()/10000000,"")</f>
        <v/>
      </c>
    </row>
    <row r="271">
      <c r="A271" s="1" t="n"/>
      <c r="B271" s="19" t="n"/>
      <c r="C271" s="20" t="n"/>
      <c r="D271" s="20" t="n"/>
      <c r="E271" s="21" t="n"/>
      <c r="F271" s="21" t="n"/>
      <c r="G271" s="22" t="n"/>
      <c r="H271" s="23" t="n"/>
      <c r="I271" s="22" t="n"/>
      <c r="J271" s="22" t="n"/>
      <c r="K271" s="11">
        <f>IF(AND(B271="",C271=""),"",IF(J271&lt;&gt;"","Wrapped",IF(I271&lt;&gt;"","To wrap",IF(AND(G271="",F271=""),"Idea",IF(H271="","To wrap",IF(H271&lt;TODAY(),"Late","On the way"))))))</f>
        <v/>
      </c>
      <c r="L271" s="1" t="n"/>
      <c r="M271">
        <f>IF(AND(B271="",C271=""),"",IF(OR(F271&lt;&gt;"",G271&lt;&gt;"",I271&lt;&gt;"",J271&lt;&gt;""),1,0))</f>
        <v/>
      </c>
      <c r="N271">
        <f>IF(M271="","",IF(M271=1,IF(F271&lt;&gt;"",N(F271),N(E271)),0))</f>
        <v/>
      </c>
      <c r="O271">
        <f>IF(M271="","",IF(M271=1,0,N(E271)))</f>
        <v/>
      </c>
      <c r="P271">
        <f>IF(OR(K271="On the way",K271="Late"),H271+ROW()/10000000,"")</f>
        <v/>
      </c>
    </row>
    <row r="272">
      <c r="A272" s="1" t="n"/>
      <c r="B272" s="19" t="n"/>
      <c r="C272" s="20" t="n"/>
      <c r="D272" s="20" t="n"/>
      <c r="E272" s="21" t="n"/>
      <c r="F272" s="21" t="n"/>
      <c r="G272" s="22" t="n"/>
      <c r="H272" s="23" t="n"/>
      <c r="I272" s="22" t="n"/>
      <c r="J272" s="22" t="n"/>
      <c r="K272" s="11">
        <f>IF(AND(B272="",C272=""),"",IF(J272&lt;&gt;"","Wrapped",IF(I272&lt;&gt;"","To wrap",IF(AND(G272="",F272=""),"Idea",IF(H272="","To wrap",IF(H272&lt;TODAY(),"Late","On the way"))))))</f>
        <v/>
      </c>
      <c r="L272" s="1" t="n"/>
      <c r="M272">
        <f>IF(AND(B272="",C272=""),"",IF(OR(F272&lt;&gt;"",G272&lt;&gt;"",I272&lt;&gt;"",J272&lt;&gt;""),1,0))</f>
        <v/>
      </c>
      <c r="N272">
        <f>IF(M272="","",IF(M272=1,IF(F272&lt;&gt;"",N(F272),N(E272)),0))</f>
        <v/>
      </c>
      <c r="O272">
        <f>IF(M272="","",IF(M272=1,0,N(E272)))</f>
        <v/>
      </c>
      <c r="P272">
        <f>IF(OR(K272="On the way",K272="Late"),H272+ROW()/10000000,"")</f>
        <v/>
      </c>
    </row>
    <row r="273">
      <c r="A273" s="1" t="n"/>
      <c r="B273" s="19" t="n"/>
      <c r="C273" s="20" t="n"/>
      <c r="D273" s="20" t="n"/>
      <c r="E273" s="21" t="n"/>
      <c r="F273" s="21" t="n"/>
      <c r="G273" s="22" t="n"/>
      <c r="H273" s="23" t="n"/>
      <c r="I273" s="22" t="n"/>
      <c r="J273" s="22" t="n"/>
      <c r="K273" s="11">
        <f>IF(AND(B273="",C273=""),"",IF(J273&lt;&gt;"","Wrapped",IF(I273&lt;&gt;"","To wrap",IF(AND(G273="",F273=""),"Idea",IF(H273="","To wrap",IF(H273&lt;TODAY(),"Late","On the way"))))))</f>
        <v/>
      </c>
      <c r="L273" s="1" t="n"/>
      <c r="M273">
        <f>IF(AND(B273="",C273=""),"",IF(OR(F273&lt;&gt;"",G273&lt;&gt;"",I273&lt;&gt;"",J273&lt;&gt;""),1,0))</f>
        <v/>
      </c>
      <c r="N273">
        <f>IF(M273="","",IF(M273=1,IF(F273&lt;&gt;"",N(F273),N(E273)),0))</f>
        <v/>
      </c>
      <c r="O273">
        <f>IF(M273="","",IF(M273=1,0,N(E273)))</f>
        <v/>
      </c>
      <c r="P273">
        <f>IF(OR(K273="On the way",K273="Late"),H273+ROW()/10000000,"")</f>
        <v/>
      </c>
    </row>
    <row r="274">
      <c r="A274" s="1" t="n"/>
      <c r="B274" s="19" t="n"/>
      <c r="C274" s="20" t="n"/>
      <c r="D274" s="20" t="n"/>
      <c r="E274" s="21" t="n"/>
      <c r="F274" s="21" t="n"/>
      <c r="G274" s="22" t="n"/>
      <c r="H274" s="23" t="n"/>
      <c r="I274" s="22" t="n"/>
      <c r="J274" s="22" t="n"/>
      <c r="K274" s="11">
        <f>IF(AND(B274="",C274=""),"",IF(J274&lt;&gt;"","Wrapped",IF(I274&lt;&gt;"","To wrap",IF(AND(G274="",F274=""),"Idea",IF(H274="","To wrap",IF(H274&lt;TODAY(),"Late","On the way"))))))</f>
        <v/>
      </c>
      <c r="L274" s="1" t="n"/>
      <c r="M274">
        <f>IF(AND(B274="",C274=""),"",IF(OR(F274&lt;&gt;"",G274&lt;&gt;"",I274&lt;&gt;"",J274&lt;&gt;""),1,0))</f>
        <v/>
      </c>
      <c r="N274">
        <f>IF(M274="","",IF(M274=1,IF(F274&lt;&gt;"",N(F274),N(E274)),0))</f>
        <v/>
      </c>
      <c r="O274">
        <f>IF(M274="","",IF(M274=1,0,N(E274)))</f>
        <v/>
      </c>
      <c r="P274">
        <f>IF(OR(K274="On the way",K274="Late"),H274+ROW()/10000000,"")</f>
        <v/>
      </c>
    </row>
    <row r="275">
      <c r="A275" s="1" t="n"/>
      <c r="B275" s="19" t="n"/>
      <c r="C275" s="20" t="n"/>
      <c r="D275" s="20" t="n"/>
      <c r="E275" s="21" t="n"/>
      <c r="F275" s="21" t="n"/>
      <c r="G275" s="22" t="n"/>
      <c r="H275" s="23" t="n"/>
      <c r="I275" s="22" t="n"/>
      <c r="J275" s="22" t="n"/>
      <c r="K275" s="11">
        <f>IF(AND(B275="",C275=""),"",IF(J275&lt;&gt;"","Wrapped",IF(I275&lt;&gt;"","To wrap",IF(AND(G275="",F275=""),"Idea",IF(H275="","To wrap",IF(H275&lt;TODAY(),"Late","On the way"))))))</f>
        <v/>
      </c>
      <c r="L275" s="1" t="n"/>
      <c r="M275">
        <f>IF(AND(B275="",C275=""),"",IF(OR(F275&lt;&gt;"",G275&lt;&gt;"",I275&lt;&gt;"",J275&lt;&gt;""),1,0))</f>
        <v/>
      </c>
      <c r="N275">
        <f>IF(M275="","",IF(M275=1,IF(F275&lt;&gt;"",N(F275),N(E275)),0))</f>
        <v/>
      </c>
      <c r="O275">
        <f>IF(M275="","",IF(M275=1,0,N(E275)))</f>
        <v/>
      </c>
      <c r="P275">
        <f>IF(OR(K275="On the way",K275="Late"),H275+ROW()/10000000,"")</f>
        <v/>
      </c>
    </row>
    <row r="276">
      <c r="A276" s="1" t="n"/>
      <c r="B276" s="19" t="n"/>
      <c r="C276" s="20" t="n"/>
      <c r="D276" s="20" t="n"/>
      <c r="E276" s="21" t="n"/>
      <c r="F276" s="21" t="n"/>
      <c r="G276" s="22" t="n"/>
      <c r="H276" s="23" t="n"/>
      <c r="I276" s="22" t="n"/>
      <c r="J276" s="22" t="n"/>
      <c r="K276" s="11">
        <f>IF(AND(B276="",C276=""),"",IF(J276&lt;&gt;"","Wrapped",IF(I276&lt;&gt;"","To wrap",IF(AND(G276="",F276=""),"Idea",IF(H276="","To wrap",IF(H276&lt;TODAY(),"Late","On the way"))))))</f>
        <v/>
      </c>
      <c r="L276" s="1" t="n"/>
      <c r="M276">
        <f>IF(AND(B276="",C276=""),"",IF(OR(F276&lt;&gt;"",G276&lt;&gt;"",I276&lt;&gt;"",J276&lt;&gt;""),1,0))</f>
        <v/>
      </c>
      <c r="N276">
        <f>IF(M276="","",IF(M276=1,IF(F276&lt;&gt;"",N(F276),N(E276)),0))</f>
        <v/>
      </c>
      <c r="O276">
        <f>IF(M276="","",IF(M276=1,0,N(E276)))</f>
        <v/>
      </c>
      <c r="P276">
        <f>IF(OR(K276="On the way",K276="Late"),H276+ROW()/10000000,"")</f>
        <v/>
      </c>
    </row>
    <row r="277">
      <c r="A277" s="1" t="n"/>
      <c r="B277" s="19" t="n"/>
      <c r="C277" s="20" t="n"/>
      <c r="D277" s="20" t="n"/>
      <c r="E277" s="21" t="n"/>
      <c r="F277" s="21" t="n"/>
      <c r="G277" s="22" t="n"/>
      <c r="H277" s="23" t="n"/>
      <c r="I277" s="22" t="n"/>
      <c r="J277" s="22" t="n"/>
      <c r="K277" s="11">
        <f>IF(AND(B277="",C277=""),"",IF(J277&lt;&gt;"","Wrapped",IF(I277&lt;&gt;"","To wrap",IF(AND(G277="",F277=""),"Idea",IF(H277="","To wrap",IF(H277&lt;TODAY(),"Late","On the way"))))))</f>
        <v/>
      </c>
      <c r="L277" s="1" t="n"/>
      <c r="M277">
        <f>IF(AND(B277="",C277=""),"",IF(OR(F277&lt;&gt;"",G277&lt;&gt;"",I277&lt;&gt;"",J277&lt;&gt;""),1,0))</f>
        <v/>
      </c>
      <c r="N277">
        <f>IF(M277="","",IF(M277=1,IF(F277&lt;&gt;"",N(F277),N(E277)),0))</f>
        <v/>
      </c>
      <c r="O277">
        <f>IF(M277="","",IF(M277=1,0,N(E277)))</f>
        <v/>
      </c>
      <c r="P277">
        <f>IF(OR(K277="On the way",K277="Late"),H277+ROW()/10000000,"")</f>
        <v/>
      </c>
    </row>
    <row r="278">
      <c r="A278" s="1" t="n"/>
      <c r="B278" s="19" t="n"/>
      <c r="C278" s="20" t="n"/>
      <c r="D278" s="20" t="n"/>
      <c r="E278" s="21" t="n"/>
      <c r="F278" s="21" t="n"/>
      <c r="G278" s="22" t="n"/>
      <c r="H278" s="23" t="n"/>
      <c r="I278" s="22" t="n"/>
      <c r="J278" s="22" t="n"/>
      <c r="K278" s="11">
        <f>IF(AND(B278="",C278=""),"",IF(J278&lt;&gt;"","Wrapped",IF(I278&lt;&gt;"","To wrap",IF(AND(G278="",F278=""),"Idea",IF(H278="","To wrap",IF(H278&lt;TODAY(),"Late","On the way"))))))</f>
        <v/>
      </c>
      <c r="L278" s="1" t="n"/>
      <c r="M278">
        <f>IF(AND(B278="",C278=""),"",IF(OR(F278&lt;&gt;"",G278&lt;&gt;"",I278&lt;&gt;"",J278&lt;&gt;""),1,0))</f>
        <v/>
      </c>
      <c r="N278">
        <f>IF(M278="","",IF(M278=1,IF(F278&lt;&gt;"",N(F278),N(E278)),0))</f>
        <v/>
      </c>
      <c r="O278">
        <f>IF(M278="","",IF(M278=1,0,N(E278)))</f>
        <v/>
      </c>
      <c r="P278">
        <f>IF(OR(K278="On the way",K278="Late"),H278+ROW()/10000000,"")</f>
        <v/>
      </c>
    </row>
    <row r="279">
      <c r="A279" s="1" t="n"/>
      <c r="B279" s="19" t="n"/>
      <c r="C279" s="20" t="n"/>
      <c r="D279" s="20" t="n"/>
      <c r="E279" s="21" t="n"/>
      <c r="F279" s="21" t="n"/>
      <c r="G279" s="22" t="n"/>
      <c r="H279" s="23" t="n"/>
      <c r="I279" s="22" t="n"/>
      <c r="J279" s="22" t="n"/>
      <c r="K279" s="11">
        <f>IF(AND(B279="",C279=""),"",IF(J279&lt;&gt;"","Wrapped",IF(I279&lt;&gt;"","To wrap",IF(AND(G279="",F279=""),"Idea",IF(H279="","To wrap",IF(H279&lt;TODAY(),"Late","On the way"))))))</f>
        <v/>
      </c>
      <c r="L279" s="1" t="n"/>
      <c r="M279">
        <f>IF(AND(B279="",C279=""),"",IF(OR(F279&lt;&gt;"",G279&lt;&gt;"",I279&lt;&gt;"",J279&lt;&gt;""),1,0))</f>
        <v/>
      </c>
      <c r="N279">
        <f>IF(M279="","",IF(M279=1,IF(F279&lt;&gt;"",N(F279),N(E279)),0))</f>
        <v/>
      </c>
      <c r="O279">
        <f>IF(M279="","",IF(M279=1,0,N(E279)))</f>
        <v/>
      </c>
      <c r="P279">
        <f>IF(OR(K279="On the way",K279="Late"),H279+ROW()/10000000,"")</f>
        <v/>
      </c>
    </row>
    <row r="280">
      <c r="A280" s="1" t="n"/>
      <c r="B280" s="19" t="n"/>
      <c r="C280" s="20" t="n"/>
      <c r="D280" s="20" t="n"/>
      <c r="E280" s="21" t="n"/>
      <c r="F280" s="21" t="n"/>
      <c r="G280" s="22" t="n"/>
      <c r="H280" s="23" t="n"/>
      <c r="I280" s="22" t="n"/>
      <c r="J280" s="22" t="n"/>
      <c r="K280" s="11">
        <f>IF(AND(B280="",C280=""),"",IF(J280&lt;&gt;"","Wrapped",IF(I280&lt;&gt;"","To wrap",IF(AND(G280="",F280=""),"Idea",IF(H280="","To wrap",IF(H280&lt;TODAY(),"Late","On the way"))))))</f>
        <v/>
      </c>
      <c r="L280" s="1" t="n"/>
      <c r="M280">
        <f>IF(AND(B280="",C280=""),"",IF(OR(F280&lt;&gt;"",G280&lt;&gt;"",I280&lt;&gt;"",J280&lt;&gt;""),1,0))</f>
        <v/>
      </c>
      <c r="N280">
        <f>IF(M280="","",IF(M280=1,IF(F280&lt;&gt;"",N(F280),N(E280)),0))</f>
        <v/>
      </c>
      <c r="O280">
        <f>IF(M280="","",IF(M280=1,0,N(E280)))</f>
        <v/>
      </c>
      <c r="P280">
        <f>IF(OR(K280="On the way",K280="Late"),H280+ROW()/10000000,"")</f>
        <v/>
      </c>
    </row>
    <row r="281">
      <c r="A281" s="1" t="n"/>
      <c r="B281" s="19" t="n"/>
      <c r="C281" s="20" t="n"/>
      <c r="D281" s="20" t="n"/>
      <c r="E281" s="21" t="n"/>
      <c r="F281" s="21" t="n"/>
      <c r="G281" s="22" t="n"/>
      <c r="H281" s="23" t="n"/>
      <c r="I281" s="22" t="n"/>
      <c r="J281" s="22" t="n"/>
      <c r="K281" s="11">
        <f>IF(AND(B281="",C281=""),"",IF(J281&lt;&gt;"","Wrapped",IF(I281&lt;&gt;"","To wrap",IF(AND(G281="",F281=""),"Idea",IF(H281="","To wrap",IF(H281&lt;TODAY(),"Late","On the way"))))))</f>
        <v/>
      </c>
      <c r="L281" s="1" t="n"/>
      <c r="M281">
        <f>IF(AND(B281="",C281=""),"",IF(OR(F281&lt;&gt;"",G281&lt;&gt;"",I281&lt;&gt;"",J281&lt;&gt;""),1,0))</f>
        <v/>
      </c>
      <c r="N281">
        <f>IF(M281="","",IF(M281=1,IF(F281&lt;&gt;"",N(F281),N(E281)),0))</f>
        <v/>
      </c>
      <c r="O281">
        <f>IF(M281="","",IF(M281=1,0,N(E281)))</f>
        <v/>
      </c>
      <c r="P281">
        <f>IF(OR(K281="On the way",K281="Late"),H281+ROW()/10000000,"")</f>
        <v/>
      </c>
    </row>
    <row r="282">
      <c r="A282" s="1" t="n"/>
      <c r="B282" s="19" t="n"/>
      <c r="C282" s="20" t="n"/>
      <c r="D282" s="20" t="n"/>
      <c r="E282" s="21" t="n"/>
      <c r="F282" s="21" t="n"/>
      <c r="G282" s="22" t="n"/>
      <c r="H282" s="23" t="n"/>
      <c r="I282" s="22" t="n"/>
      <c r="J282" s="22" t="n"/>
      <c r="K282" s="11">
        <f>IF(AND(B282="",C282=""),"",IF(J282&lt;&gt;"","Wrapped",IF(I282&lt;&gt;"","To wrap",IF(AND(G282="",F282=""),"Idea",IF(H282="","To wrap",IF(H282&lt;TODAY(),"Late","On the way"))))))</f>
        <v/>
      </c>
      <c r="L282" s="1" t="n"/>
      <c r="M282">
        <f>IF(AND(B282="",C282=""),"",IF(OR(F282&lt;&gt;"",G282&lt;&gt;"",I282&lt;&gt;"",J282&lt;&gt;""),1,0))</f>
        <v/>
      </c>
      <c r="N282">
        <f>IF(M282="","",IF(M282=1,IF(F282&lt;&gt;"",N(F282),N(E282)),0))</f>
        <v/>
      </c>
      <c r="O282">
        <f>IF(M282="","",IF(M282=1,0,N(E282)))</f>
        <v/>
      </c>
      <c r="P282">
        <f>IF(OR(K282="On the way",K282="Late"),H282+ROW()/10000000,"")</f>
        <v/>
      </c>
    </row>
    <row r="283">
      <c r="A283" s="1" t="n"/>
      <c r="B283" s="19" t="n"/>
      <c r="C283" s="20" t="n"/>
      <c r="D283" s="20" t="n"/>
      <c r="E283" s="21" t="n"/>
      <c r="F283" s="21" t="n"/>
      <c r="G283" s="22" t="n"/>
      <c r="H283" s="23" t="n"/>
      <c r="I283" s="22" t="n"/>
      <c r="J283" s="22" t="n"/>
      <c r="K283" s="11">
        <f>IF(AND(B283="",C283=""),"",IF(J283&lt;&gt;"","Wrapped",IF(I283&lt;&gt;"","To wrap",IF(AND(G283="",F283=""),"Idea",IF(H283="","To wrap",IF(H283&lt;TODAY(),"Late","On the way"))))))</f>
        <v/>
      </c>
      <c r="L283" s="1" t="n"/>
      <c r="M283">
        <f>IF(AND(B283="",C283=""),"",IF(OR(F283&lt;&gt;"",G283&lt;&gt;"",I283&lt;&gt;"",J283&lt;&gt;""),1,0))</f>
        <v/>
      </c>
      <c r="N283">
        <f>IF(M283="","",IF(M283=1,IF(F283&lt;&gt;"",N(F283),N(E283)),0))</f>
        <v/>
      </c>
      <c r="O283">
        <f>IF(M283="","",IF(M283=1,0,N(E283)))</f>
        <v/>
      </c>
      <c r="P283">
        <f>IF(OR(K283="On the way",K283="Late"),H283+ROW()/10000000,"")</f>
        <v/>
      </c>
    </row>
    <row r="284">
      <c r="A284" s="1" t="n"/>
      <c r="B284" s="19" t="n"/>
      <c r="C284" s="20" t="n"/>
      <c r="D284" s="20" t="n"/>
      <c r="E284" s="21" t="n"/>
      <c r="F284" s="21" t="n"/>
      <c r="G284" s="22" t="n"/>
      <c r="H284" s="23" t="n"/>
      <c r="I284" s="22" t="n"/>
      <c r="J284" s="22" t="n"/>
      <c r="K284" s="11">
        <f>IF(AND(B284="",C284=""),"",IF(J284&lt;&gt;"","Wrapped",IF(I284&lt;&gt;"","To wrap",IF(AND(G284="",F284=""),"Idea",IF(H284="","To wrap",IF(H284&lt;TODAY(),"Late","On the way"))))))</f>
        <v/>
      </c>
      <c r="L284" s="1" t="n"/>
      <c r="M284">
        <f>IF(AND(B284="",C284=""),"",IF(OR(F284&lt;&gt;"",G284&lt;&gt;"",I284&lt;&gt;"",J284&lt;&gt;""),1,0))</f>
        <v/>
      </c>
      <c r="N284">
        <f>IF(M284="","",IF(M284=1,IF(F284&lt;&gt;"",N(F284),N(E284)),0))</f>
        <v/>
      </c>
      <c r="O284">
        <f>IF(M284="","",IF(M284=1,0,N(E284)))</f>
        <v/>
      </c>
      <c r="P284">
        <f>IF(OR(K284="On the way",K284="Late"),H284+ROW()/10000000,"")</f>
        <v/>
      </c>
    </row>
    <row r="285">
      <c r="A285" s="1" t="n"/>
      <c r="B285" s="19" t="n"/>
      <c r="C285" s="20" t="n"/>
      <c r="D285" s="20" t="n"/>
      <c r="E285" s="21" t="n"/>
      <c r="F285" s="21" t="n"/>
      <c r="G285" s="22" t="n"/>
      <c r="H285" s="23" t="n"/>
      <c r="I285" s="22" t="n"/>
      <c r="J285" s="22" t="n"/>
      <c r="K285" s="11">
        <f>IF(AND(B285="",C285=""),"",IF(J285&lt;&gt;"","Wrapped",IF(I285&lt;&gt;"","To wrap",IF(AND(G285="",F285=""),"Idea",IF(H285="","To wrap",IF(H285&lt;TODAY(),"Late","On the way"))))))</f>
        <v/>
      </c>
      <c r="L285" s="1" t="n"/>
      <c r="M285">
        <f>IF(AND(B285="",C285=""),"",IF(OR(F285&lt;&gt;"",G285&lt;&gt;"",I285&lt;&gt;"",J285&lt;&gt;""),1,0))</f>
        <v/>
      </c>
      <c r="N285">
        <f>IF(M285="","",IF(M285=1,IF(F285&lt;&gt;"",N(F285),N(E285)),0))</f>
        <v/>
      </c>
      <c r="O285">
        <f>IF(M285="","",IF(M285=1,0,N(E285)))</f>
        <v/>
      </c>
      <c r="P285">
        <f>IF(OR(K285="On the way",K285="Late"),H285+ROW()/10000000,"")</f>
        <v/>
      </c>
    </row>
    <row r="286">
      <c r="A286" s="1" t="n"/>
      <c r="B286" s="19" t="n"/>
      <c r="C286" s="20" t="n"/>
      <c r="D286" s="20" t="n"/>
      <c r="E286" s="21" t="n"/>
      <c r="F286" s="21" t="n"/>
      <c r="G286" s="22" t="n"/>
      <c r="H286" s="23" t="n"/>
      <c r="I286" s="22" t="n"/>
      <c r="J286" s="22" t="n"/>
      <c r="K286" s="11">
        <f>IF(AND(B286="",C286=""),"",IF(J286&lt;&gt;"","Wrapped",IF(I286&lt;&gt;"","To wrap",IF(AND(G286="",F286=""),"Idea",IF(H286="","To wrap",IF(H286&lt;TODAY(),"Late","On the way"))))))</f>
        <v/>
      </c>
      <c r="L286" s="1" t="n"/>
      <c r="M286">
        <f>IF(AND(B286="",C286=""),"",IF(OR(F286&lt;&gt;"",G286&lt;&gt;"",I286&lt;&gt;"",J286&lt;&gt;""),1,0))</f>
        <v/>
      </c>
      <c r="N286">
        <f>IF(M286="","",IF(M286=1,IF(F286&lt;&gt;"",N(F286),N(E286)),0))</f>
        <v/>
      </c>
      <c r="O286">
        <f>IF(M286="","",IF(M286=1,0,N(E286)))</f>
        <v/>
      </c>
      <c r="P286">
        <f>IF(OR(K286="On the way",K286="Late"),H286+ROW()/10000000,"")</f>
        <v/>
      </c>
    </row>
    <row r="287">
      <c r="A287" s="1" t="n"/>
      <c r="B287" s="19" t="n"/>
      <c r="C287" s="20" t="n"/>
      <c r="D287" s="20" t="n"/>
      <c r="E287" s="21" t="n"/>
      <c r="F287" s="21" t="n"/>
      <c r="G287" s="22" t="n"/>
      <c r="H287" s="23" t="n"/>
      <c r="I287" s="22" t="n"/>
      <c r="J287" s="22" t="n"/>
      <c r="K287" s="11">
        <f>IF(AND(B287="",C287=""),"",IF(J287&lt;&gt;"","Wrapped",IF(I287&lt;&gt;"","To wrap",IF(AND(G287="",F287=""),"Idea",IF(H287="","To wrap",IF(H287&lt;TODAY(),"Late","On the way"))))))</f>
        <v/>
      </c>
      <c r="L287" s="1" t="n"/>
      <c r="M287">
        <f>IF(AND(B287="",C287=""),"",IF(OR(F287&lt;&gt;"",G287&lt;&gt;"",I287&lt;&gt;"",J287&lt;&gt;""),1,0))</f>
        <v/>
      </c>
      <c r="N287">
        <f>IF(M287="","",IF(M287=1,IF(F287&lt;&gt;"",N(F287),N(E287)),0))</f>
        <v/>
      </c>
      <c r="O287">
        <f>IF(M287="","",IF(M287=1,0,N(E287)))</f>
        <v/>
      </c>
      <c r="P287">
        <f>IF(OR(K287="On the way",K287="Late"),H287+ROW()/10000000,"")</f>
        <v/>
      </c>
    </row>
    <row r="288">
      <c r="A288" s="1" t="n"/>
      <c r="B288" s="19" t="n"/>
      <c r="C288" s="20" t="n"/>
      <c r="D288" s="20" t="n"/>
      <c r="E288" s="21" t="n"/>
      <c r="F288" s="21" t="n"/>
      <c r="G288" s="22" t="n"/>
      <c r="H288" s="23" t="n"/>
      <c r="I288" s="22" t="n"/>
      <c r="J288" s="22" t="n"/>
      <c r="K288" s="11">
        <f>IF(AND(B288="",C288=""),"",IF(J288&lt;&gt;"","Wrapped",IF(I288&lt;&gt;"","To wrap",IF(AND(G288="",F288=""),"Idea",IF(H288="","To wrap",IF(H288&lt;TODAY(),"Late","On the way"))))))</f>
        <v/>
      </c>
      <c r="L288" s="1" t="n"/>
      <c r="M288">
        <f>IF(AND(B288="",C288=""),"",IF(OR(F288&lt;&gt;"",G288&lt;&gt;"",I288&lt;&gt;"",J288&lt;&gt;""),1,0))</f>
        <v/>
      </c>
      <c r="N288">
        <f>IF(M288="","",IF(M288=1,IF(F288&lt;&gt;"",N(F288),N(E288)),0))</f>
        <v/>
      </c>
      <c r="O288">
        <f>IF(M288="","",IF(M288=1,0,N(E288)))</f>
        <v/>
      </c>
      <c r="P288">
        <f>IF(OR(K288="On the way",K288="Late"),H288+ROW()/10000000,"")</f>
        <v/>
      </c>
    </row>
    <row r="289">
      <c r="A289" s="1" t="n"/>
      <c r="B289" s="19" t="n"/>
      <c r="C289" s="20" t="n"/>
      <c r="D289" s="20" t="n"/>
      <c r="E289" s="21" t="n"/>
      <c r="F289" s="21" t="n"/>
      <c r="G289" s="22" t="n"/>
      <c r="H289" s="23" t="n"/>
      <c r="I289" s="22" t="n"/>
      <c r="J289" s="22" t="n"/>
      <c r="K289" s="11">
        <f>IF(AND(B289="",C289=""),"",IF(J289&lt;&gt;"","Wrapped",IF(I289&lt;&gt;"","To wrap",IF(AND(G289="",F289=""),"Idea",IF(H289="","To wrap",IF(H289&lt;TODAY(),"Late","On the way"))))))</f>
        <v/>
      </c>
      <c r="L289" s="1" t="n"/>
      <c r="M289">
        <f>IF(AND(B289="",C289=""),"",IF(OR(F289&lt;&gt;"",G289&lt;&gt;"",I289&lt;&gt;"",J289&lt;&gt;""),1,0))</f>
        <v/>
      </c>
      <c r="N289">
        <f>IF(M289="","",IF(M289=1,IF(F289&lt;&gt;"",N(F289),N(E289)),0))</f>
        <v/>
      </c>
      <c r="O289">
        <f>IF(M289="","",IF(M289=1,0,N(E289)))</f>
        <v/>
      </c>
      <c r="P289">
        <f>IF(OR(K289="On the way",K289="Late"),H289+ROW()/10000000,"")</f>
        <v/>
      </c>
    </row>
    <row r="290">
      <c r="A290" s="1" t="n"/>
      <c r="B290" s="19" t="n"/>
      <c r="C290" s="20" t="n"/>
      <c r="D290" s="20" t="n"/>
      <c r="E290" s="21" t="n"/>
      <c r="F290" s="21" t="n"/>
      <c r="G290" s="22" t="n"/>
      <c r="H290" s="23" t="n"/>
      <c r="I290" s="22" t="n"/>
      <c r="J290" s="22" t="n"/>
      <c r="K290" s="11">
        <f>IF(AND(B290="",C290=""),"",IF(J290&lt;&gt;"","Wrapped",IF(I290&lt;&gt;"","To wrap",IF(AND(G290="",F290=""),"Idea",IF(H290="","To wrap",IF(H290&lt;TODAY(),"Late","On the way"))))))</f>
        <v/>
      </c>
      <c r="L290" s="1" t="n"/>
      <c r="M290">
        <f>IF(AND(B290="",C290=""),"",IF(OR(F290&lt;&gt;"",G290&lt;&gt;"",I290&lt;&gt;"",J290&lt;&gt;""),1,0))</f>
        <v/>
      </c>
      <c r="N290">
        <f>IF(M290="","",IF(M290=1,IF(F290&lt;&gt;"",N(F290),N(E290)),0))</f>
        <v/>
      </c>
      <c r="O290">
        <f>IF(M290="","",IF(M290=1,0,N(E290)))</f>
        <v/>
      </c>
      <c r="P290">
        <f>IF(OR(K290="On the way",K290="Late"),H290+ROW()/10000000,"")</f>
        <v/>
      </c>
    </row>
    <row r="291">
      <c r="A291" s="1" t="n"/>
      <c r="B291" s="19" t="n"/>
      <c r="C291" s="20" t="n"/>
      <c r="D291" s="20" t="n"/>
      <c r="E291" s="21" t="n"/>
      <c r="F291" s="21" t="n"/>
      <c r="G291" s="22" t="n"/>
      <c r="H291" s="23" t="n"/>
      <c r="I291" s="22" t="n"/>
      <c r="J291" s="22" t="n"/>
      <c r="K291" s="11">
        <f>IF(AND(B291="",C291=""),"",IF(J291&lt;&gt;"","Wrapped",IF(I291&lt;&gt;"","To wrap",IF(AND(G291="",F291=""),"Idea",IF(H291="","To wrap",IF(H291&lt;TODAY(),"Late","On the way"))))))</f>
        <v/>
      </c>
      <c r="L291" s="1" t="n"/>
      <c r="M291">
        <f>IF(AND(B291="",C291=""),"",IF(OR(F291&lt;&gt;"",G291&lt;&gt;"",I291&lt;&gt;"",J291&lt;&gt;""),1,0))</f>
        <v/>
      </c>
      <c r="N291">
        <f>IF(M291="","",IF(M291=1,IF(F291&lt;&gt;"",N(F291),N(E291)),0))</f>
        <v/>
      </c>
      <c r="O291">
        <f>IF(M291="","",IF(M291=1,0,N(E291)))</f>
        <v/>
      </c>
      <c r="P291">
        <f>IF(OR(K291="On the way",K291="Late"),H291+ROW()/10000000,"")</f>
        <v/>
      </c>
    </row>
    <row r="292">
      <c r="A292" s="1" t="n"/>
      <c r="B292" s="19" t="n"/>
      <c r="C292" s="20" t="n"/>
      <c r="D292" s="20" t="n"/>
      <c r="E292" s="21" t="n"/>
      <c r="F292" s="21" t="n"/>
      <c r="G292" s="22" t="n"/>
      <c r="H292" s="23" t="n"/>
      <c r="I292" s="22" t="n"/>
      <c r="J292" s="22" t="n"/>
      <c r="K292" s="11">
        <f>IF(AND(B292="",C292=""),"",IF(J292&lt;&gt;"","Wrapped",IF(I292&lt;&gt;"","To wrap",IF(AND(G292="",F292=""),"Idea",IF(H292="","To wrap",IF(H292&lt;TODAY(),"Late","On the way"))))))</f>
        <v/>
      </c>
      <c r="L292" s="1" t="n"/>
      <c r="M292">
        <f>IF(AND(B292="",C292=""),"",IF(OR(F292&lt;&gt;"",G292&lt;&gt;"",I292&lt;&gt;"",J292&lt;&gt;""),1,0))</f>
        <v/>
      </c>
      <c r="N292">
        <f>IF(M292="","",IF(M292=1,IF(F292&lt;&gt;"",N(F292),N(E292)),0))</f>
        <v/>
      </c>
      <c r="O292">
        <f>IF(M292="","",IF(M292=1,0,N(E292)))</f>
        <v/>
      </c>
      <c r="P292">
        <f>IF(OR(K292="On the way",K292="Late"),H292+ROW()/10000000,"")</f>
        <v/>
      </c>
    </row>
    <row r="293">
      <c r="A293" s="1" t="n"/>
      <c r="B293" s="19" t="n"/>
      <c r="C293" s="20" t="n"/>
      <c r="D293" s="20" t="n"/>
      <c r="E293" s="21" t="n"/>
      <c r="F293" s="21" t="n"/>
      <c r="G293" s="22" t="n"/>
      <c r="H293" s="23" t="n"/>
      <c r="I293" s="22" t="n"/>
      <c r="J293" s="22" t="n"/>
      <c r="K293" s="11">
        <f>IF(AND(B293="",C293=""),"",IF(J293&lt;&gt;"","Wrapped",IF(I293&lt;&gt;"","To wrap",IF(AND(G293="",F293=""),"Idea",IF(H293="","To wrap",IF(H293&lt;TODAY(),"Late","On the way"))))))</f>
        <v/>
      </c>
      <c r="L293" s="1" t="n"/>
      <c r="M293">
        <f>IF(AND(B293="",C293=""),"",IF(OR(F293&lt;&gt;"",G293&lt;&gt;"",I293&lt;&gt;"",J293&lt;&gt;""),1,0))</f>
        <v/>
      </c>
      <c r="N293">
        <f>IF(M293="","",IF(M293=1,IF(F293&lt;&gt;"",N(F293),N(E293)),0))</f>
        <v/>
      </c>
      <c r="O293">
        <f>IF(M293="","",IF(M293=1,0,N(E293)))</f>
        <v/>
      </c>
      <c r="P293">
        <f>IF(OR(K293="On the way",K293="Late"),H293+ROW()/10000000,"")</f>
        <v/>
      </c>
    </row>
    <row r="294">
      <c r="A294" s="1" t="n"/>
      <c r="B294" s="19" t="n"/>
      <c r="C294" s="20" t="n"/>
      <c r="D294" s="20" t="n"/>
      <c r="E294" s="21" t="n"/>
      <c r="F294" s="21" t="n"/>
      <c r="G294" s="22" t="n"/>
      <c r="H294" s="23" t="n"/>
      <c r="I294" s="22" t="n"/>
      <c r="J294" s="22" t="n"/>
      <c r="K294" s="11">
        <f>IF(AND(B294="",C294=""),"",IF(J294&lt;&gt;"","Wrapped",IF(I294&lt;&gt;"","To wrap",IF(AND(G294="",F294=""),"Idea",IF(H294="","To wrap",IF(H294&lt;TODAY(),"Late","On the way"))))))</f>
        <v/>
      </c>
      <c r="L294" s="1" t="n"/>
      <c r="M294">
        <f>IF(AND(B294="",C294=""),"",IF(OR(F294&lt;&gt;"",G294&lt;&gt;"",I294&lt;&gt;"",J294&lt;&gt;""),1,0))</f>
        <v/>
      </c>
      <c r="N294">
        <f>IF(M294="","",IF(M294=1,IF(F294&lt;&gt;"",N(F294),N(E294)),0))</f>
        <v/>
      </c>
      <c r="O294">
        <f>IF(M294="","",IF(M294=1,0,N(E294)))</f>
        <v/>
      </c>
      <c r="P294">
        <f>IF(OR(K294="On the way",K294="Late"),H294+ROW()/10000000,"")</f>
        <v/>
      </c>
    </row>
    <row r="295">
      <c r="A295" s="1" t="n"/>
      <c r="B295" s="19" t="n"/>
      <c r="C295" s="20" t="n"/>
      <c r="D295" s="20" t="n"/>
      <c r="E295" s="21" t="n"/>
      <c r="F295" s="21" t="n"/>
      <c r="G295" s="22" t="n"/>
      <c r="H295" s="23" t="n"/>
      <c r="I295" s="22" t="n"/>
      <c r="J295" s="22" t="n"/>
      <c r="K295" s="11">
        <f>IF(AND(B295="",C295=""),"",IF(J295&lt;&gt;"","Wrapped",IF(I295&lt;&gt;"","To wrap",IF(AND(G295="",F295=""),"Idea",IF(H295="","To wrap",IF(H295&lt;TODAY(),"Late","On the way"))))))</f>
        <v/>
      </c>
      <c r="L295" s="1" t="n"/>
      <c r="M295">
        <f>IF(AND(B295="",C295=""),"",IF(OR(F295&lt;&gt;"",G295&lt;&gt;"",I295&lt;&gt;"",J295&lt;&gt;""),1,0))</f>
        <v/>
      </c>
      <c r="N295">
        <f>IF(M295="","",IF(M295=1,IF(F295&lt;&gt;"",N(F295),N(E295)),0))</f>
        <v/>
      </c>
      <c r="O295">
        <f>IF(M295="","",IF(M295=1,0,N(E295)))</f>
        <v/>
      </c>
      <c r="P295">
        <f>IF(OR(K295="On the way",K295="Late"),H295+ROW()/10000000,"")</f>
        <v/>
      </c>
    </row>
    <row r="296">
      <c r="A296" s="1" t="n"/>
      <c r="B296" s="19" t="n"/>
      <c r="C296" s="20" t="n"/>
      <c r="D296" s="20" t="n"/>
      <c r="E296" s="21" t="n"/>
      <c r="F296" s="21" t="n"/>
      <c r="G296" s="22" t="n"/>
      <c r="H296" s="23" t="n"/>
      <c r="I296" s="22" t="n"/>
      <c r="J296" s="22" t="n"/>
      <c r="K296" s="11">
        <f>IF(AND(B296="",C296=""),"",IF(J296&lt;&gt;"","Wrapped",IF(I296&lt;&gt;"","To wrap",IF(AND(G296="",F296=""),"Idea",IF(H296="","To wrap",IF(H296&lt;TODAY(),"Late","On the way"))))))</f>
        <v/>
      </c>
      <c r="L296" s="1" t="n"/>
      <c r="M296">
        <f>IF(AND(B296="",C296=""),"",IF(OR(F296&lt;&gt;"",G296&lt;&gt;"",I296&lt;&gt;"",J296&lt;&gt;""),1,0))</f>
        <v/>
      </c>
      <c r="N296">
        <f>IF(M296="","",IF(M296=1,IF(F296&lt;&gt;"",N(F296),N(E296)),0))</f>
        <v/>
      </c>
      <c r="O296">
        <f>IF(M296="","",IF(M296=1,0,N(E296)))</f>
        <v/>
      </c>
      <c r="P296">
        <f>IF(OR(K296="On the way",K296="Late"),H296+ROW()/10000000,"")</f>
        <v/>
      </c>
    </row>
    <row r="297">
      <c r="A297" s="1" t="n"/>
      <c r="B297" s="19" t="n"/>
      <c r="C297" s="20" t="n"/>
      <c r="D297" s="20" t="n"/>
      <c r="E297" s="21" t="n"/>
      <c r="F297" s="21" t="n"/>
      <c r="G297" s="22" t="n"/>
      <c r="H297" s="23" t="n"/>
      <c r="I297" s="22" t="n"/>
      <c r="J297" s="22" t="n"/>
      <c r="K297" s="11">
        <f>IF(AND(B297="",C297=""),"",IF(J297&lt;&gt;"","Wrapped",IF(I297&lt;&gt;"","To wrap",IF(AND(G297="",F297=""),"Idea",IF(H297="","To wrap",IF(H297&lt;TODAY(),"Late","On the way"))))))</f>
        <v/>
      </c>
      <c r="L297" s="1" t="n"/>
      <c r="M297">
        <f>IF(AND(B297="",C297=""),"",IF(OR(F297&lt;&gt;"",G297&lt;&gt;"",I297&lt;&gt;"",J297&lt;&gt;""),1,0))</f>
        <v/>
      </c>
      <c r="N297">
        <f>IF(M297="","",IF(M297=1,IF(F297&lt;&gt;"",N(F297),N(E297)),0))</f>
        <v/>
      </c>
      <c r="O297">
        <f>IF(M297="","",IF(M297=1,0,N(E297)))</f>
        <v/>
      </c>
      <c r="P297">
        <f>IF(OR(K297="On the way",K297="Late"),H297+ROW()/10000000,"")</f>
        <v/>
      </c>
    </row>
    <row r="298">
      <c r="A298" s="1" t="n"/>
      <c r="B298" s="19" t="n"/>
      <c r="C298" s="20" t="n"/>
      <c r="D298" s="20" t="n"/>
      <c r="E298" s="21" t="n"/>
      <c r="F298" s="21" t="n"/>
      <c r="G298" s="22" t="n"/>
      <c r="H298" s="23" t="n"/>
      <c r="I298" s="22" t="n"/>
      <c r="J298" s="22" t="n"/>
      <c r="K298" s="11">
        <f>IF(AND(B298="",C298=""),"",IF(J298&lt;&gt;"","Wrapped",IF(I298&lt;&gt;"","To wrap",IF(AND(G298="",F298=""),"Idea",IF(H298="","To wrap",IF(H298&lt;TODAY(),"Late","On the way"))))))</f>
        <v/>
      </c>
      <c r="L298" s="1" t="n"/>
      <c r="M298">
        <f>IF(AND(B298="",C298=""),"",IF(OR(F298&lt;&gt;"",G298&lt;&gt;"",I298&lt;&gt;"",J298&lt;&gt;""),1,0))</f>
        <v/>
      </c>
      <c r="N298">
        <f>IF(M298="","",IF(M298=1,IF(F298&lt;&gt;"",N(F298),N(E298)),0))</f>
        <v/>
      </c>
      <c r="O298">
        <f>IF(M298="","",IF(M298=1,0,N(E298)))</f>
        <v/>
      </c>
      <c r="P298">
        <f>IF(OR(K298="On the way",K298="Late"),H298+ROW()/10000000,"")</f>
        <v/>
      </c>
    </row>
    <row r="299">
      <c r="A299" s="1" t="n"/>
      <c r="B299" s="19" t="n"/>
      <c r="C299" s="20" t="n"/>
      <c r="D299" s="20" t="n"/>
      <c r="E299" s="21" t="n"/>
      <c r="F299" s="21" t="n"/>
      <c r="G299" s="22" t="n"/>
      <c r="H299" s="23" t="n"/>
      <c r="I299" s="22" t="n"/>
      <c r="J299" s="22" t="n"/>
      <c r="K299" s="11">
        <f>IF(AND(B299="",C299=""),"",IF(J299&lt;&gt;"","Wrapped",IF(I299&lt;&gt;"","To wrap",IF(AND(G299="",F299=""),"Idea",IF(H299="","To wrap",IF(H299&lt;TODAY(),"Late","On the way"))))))</f>
        <v/>
      </c>
      <c r="L299" s="1" t="n"/>
      <c r="M299">
        <f>IF(AND(B299="",C299=""),"",IF(OR(F299&lt;&gt;"",G299&lt;&gt;"",I299&lt;&gt;"",J299&lt;&gt;""),1,0))</f>
        <v/>
      </c>
      <c r="N299">
        <f>IF(M299="","",IF(M299=1,IF(F299&lt;&gt;"",N(F299),N(E299)),0))</f>
        <v/>
      </c>
      <c r="O299">
        <f>IF(M299="","",IF(M299=1,0,N(E299)))</f>
        <v/>
      </c>
      <c r="P299">
        <f>IF(OR(K299="On the way",K299="Late"),H299+ROW()/10000000,"")</f>
        <v/>
      </c>
    </row>
    <row r="300">
      <c r="A300" s="1" t="n"/>
      <c r="B300" s="19" t="n"/>
      <c r="C300" s="20" t="n"/>
      <c r="D300" s="20" t="n"/>
      <c r="E300" s="21" t="n"/>
      <c r="F300" s="21" t="n"/>
      <c r="G300" s="22" t="n"/>
      <c r="H300" s="23" t="n"/>
      <c r="I300" s="22" t="n"/>
      <c r="J300" s="22" t="n"/>
      <c r="K300" s="11">
        <f>IF(AND(B300="",C300=""),"",IF(J300&lt;&gt;"","Wrapped",IF(I300&lt;&gt;"","To wrap",IF(AND(G300="",F300=""),"Idea",IF(H300="","To wrap",IF(H300&lt;TODAY(),"Late","On the way"))))))</f>
        <v/>
      </c>
      <c r="L300" s="1" t="n"/>
      <c r="M300">
        <f>IF(AND(B300="",C300=""),"",IF(OR(F300&lt;&gt;"",G300&lt;&gt;"",I300&lt;&gt;"",J300&lt;&gt;""),1,0))</f>
        <v/>
      </c>
      <c r="N300">
        <f>IF(M300="","",IF(M300=1,IF(F300&lt;&gt;"",N(F300),N(E300)),0))</f>
        <v/>
      </c>
      <c r="O300">
        <f>IF(M300="","",IF(M300=1,0,N(E300)))</f>
        <v/>
      </c>
      <c r="P300">
        <f>IF(OR(K300="On the way",K300="Late"),H300+ROW()/10000000,"")</f>
        <v/>
      </c>
    </row>
    <row r="301">
      <c r="A301" s="1" t="n"/>
      <c r="B301" s="19" t="n"/>
      <c r="C301" s="20" t="n"/>
      <c r="D301" s="20" t="n"/>
      <c r="E301" s="21" t="n"/>
      <c r="F301" s="21" t="n"/>
      <c r="G301" s="22" t="n"/>
      <c r="H301" s="23" t="n"/>
      <c r="I301" s="22" t="n"/>
      <c r="J301" s="22" t="n"/>
      <c r="K301" s="11">
        <f>IF(AND(B301="",C301=""),"",IF(J301&lt;&gt;"","Wrapped",IF(I301&lt;&gt;"","To wrap",IF(AND(G301="",F301=""),"Idea",IF(H301="","To wrap",IF(H301&lt;TODAY(),"Late","On the way"))))))</f>
        <v/>
      </c>
      <c r="L301" s="1" t="n"/>
      <c r="M301">
        <f>IF(AND(B301="",C301=""),"",IF(OR(F301&lt;&gt;"",G301&lt;&gt;"",I301&lt;&gt;"",J301&lt;&gt;""),1,0))</f>
        <v/>
      </c>
      <c r="N301">
        <f>IF(M301="","",IF(M301=1,IF(F301&lt;&gt;"",N(F301),N(E301)),0))</f>
        <v/>
      </c>
      <c r="O301">
        <f>IF(M301="","",IF(M301=1,0,N(E301)))</f>
        <v/>
      </c>
      <c r="P301">
        <f>IF(OR(K301="On the way",K301="Late"),H301+ROW()/10000000,"")</f>
        <v/>
      </c>
    </row>
    <row r="302">
      <c r="A302" s="1" t="n"/>
      <c r="B302" s="19" t="n"/>
      <c r="C302" s="20" t="n"/>
      <c r="D302" s="20" t="n"/>
      <c r="E302" s="21" t="n"/>
      <c r="F302" s="21" t="n"/>
      <c r="G302" s="22" t="n"/>
      <c r="H302" s="23" t="n"/>
      <c r="I302" s="22" t="n"/>
      <c r="J302" s="22" t="n"/>
      <c r="K302" s="11">
        <f>IF(AND(B302="",C302=""),"",IF(J302&lt;&gt;"","Wrapped",IF(I302&lt;&gt;"","To wrap",IF(AND(G302="",F302=""),"Idea",IF(H302="","To wrap",IF(H302&lt;TODAY(),"Late","On the way"))))))</f>
        <v/>
      </c>
      <c r="L302" s="1" t="n"/>
      <c r="M302">
        <f>IF(AND(B302="",C302=""),"",IF(OR(F302&lt;&gt;"",G302&lt;&gt;"",I302&lt;&gt;"",J302&lt;&gt;""),1,0))</f>
        <v/>
      </c>
      <c r="N302">
        <f>IF(M302="","",IF(M302=1,IF(F302&lt;&gt;"",N(F302),N(E302)),0))</f>
        <v/>
      </c>
      <c r="O302">
        <f>IF(M302="","",IF(M302=1,0,N(E302)))</f>
        <v/>
      </c>
      <c r="P302">
        <f>IF(OR(K302="On the way",K302="Late"),H302+ROW()/10000000,"")</f>
        <v/>
      </c>
    </row>
    <row r="303">
      <c r="A303" s="1" t="n"/>
      <c r="B303" s="19" t="n"/>
      <c r="C303" s="20" t="n"/>
      <c r="D303" s="20" t="n"/>
      <c r="E303" s="21" t="n"/>
      <c r="F303" s="21" t="n"/>
      <c r="G303" s="22" t="n"/>
      <c r="H303" s="23" t="n"/>
      <c r="I303" s="22" t="n"/>
      <c r="J303" s="22" t="n"/>
      <c r="K303" s="11">
        <f>IF(AND(B303="",C303=""),"",IF(J303&lt;&gt;"","Wrapped",IF(I303&lt;&gt;"","To wrap",IF(AND(G303="",F303=""),"Idea",IF(H303="","To wrap",IF(H303&lt;TODAY(),"Late","On the way"))))))</f>
        <v/>
      </c>
      <c r="L303" s="1" t="n"/>
      <c r="M303">
        <f>IF(AND(B303="",C303=""),"",IF(OR(F303&lt;&gt;"",G303&lt;&gt;"",I303&lt;&gt;"",J303&lt;&gt;""),1,0))</f>
        <v/>
      </c>
      <c r="N303">
        <f>IF(M303="","",IF(M303=1,IF(F303&lt;&gt;"",N(F303),N(E303)),0))</f>
        <v/>
      </c>
      <c r="O303">
        <f>IF(M303="","",IF(M303=1,0,N(E303)))</f>
        <v/>
      </c>
      <c r="P303">
        <f>IF(OR(K303="On the way",K303="Late"),H303+ROW()/10000000,"")</f>
        <v/>
      </c>
    </row>
    <row r="304">
      <c r="A304" s="1" t="n"/>
      <c r="B304" s="19" t="n"/>
      <c r="C304" s="20" t="n"/>
      <c r="D304" s="20" t="n"/>
      <c r="E304" s="21" t="n"/>
      <c r="F304" s="21" t="n"/>
      <c r="G304" s="22" t="n"/>
      <c r="H304" s="23" t="n"/>
      <c r="I304" s="22" t="n"/>
      <c r="J304" s="22" t="n"/>
      <c r="K304" s="11">
        <f>IF(AND(B304="",C304=""),"",IF(J304&lt;&gt;"","Wrapped",IF(I304&lt;&gt;"","To wrap",IF(AND(G304="",F304=""),"Idea",IF(H304="","To wrap",IF(H304&lt;TODAY(),"Late","On the way"))))))</f>
        <v/>
      </c>
      <c r="L304" s="1" t="n"/>
      <c r="M304">
        <f>IF(AND(B304="",C304=""),"",IF(OR(F304&lt;&gt;"",G304&lt;&gt;"",I304&lt;&gt;"",J304&lt;&gt;""),1,0))</f>
        <v/>
      </c>
      <c r="N304">
        <f>IF(M304="","",IF(M304=1,IF(F304&lt;&gt;"",N(F304),N(E304)),0))</f>
        <v/>
      </c>
      <c r="O304">
        <f>IF(M304="","",IF(M304=1,0,N(E304)))</f>
        <v/>
      </c>
      <c r="P304">
        <f>IF(OR(K304="On the way",K304="Late"),H304+ROW()/10000000,"")</f>
        <v/>
      </c>
    </row>
    <row r="305">
      <c r="A305" s="1" t="n"/>
      <c r="B305" s="19" t="n"/>
      <c r="C305" s="20" t="n"/>
      <c r="D305" s="20" t="n"/>
      <c r="E305" s="21" t="n"/>
      <c r="F305" s="21" t="n"/>
      <c r="G305" s="22" t="n"/>
      <c r="H305" s="23" t="n"/>
      <c r="I305" s="22" t="n"/>
      <c r="J305" s="22" t="n"/>
      <c r="K305" s="11">
        <f>IF(AND(B305="",C305=""),"",IF(J305&lt;&gt;"","Wrapped",IF(I305&lt;&gt;"","To wrap",IF(AND(G305="",F305=""),"Idea",IF(H305="","To wrap",IF(H305&lt;TODAY(),"Late","On the way"))))))</f>
        <v/>
      </c>
      <c r="L305" s="1" t="n"/>
      <c r="M305">
        <f>IF(AND(B305="",C305=""),"",IF(OR(F305&lt;&gt;"",G305&lt;&gt;"",I305&lt;&gt;"",J305&lt;&gt;""),1,0))</f>
        <v/>
      </c>
      <c r="N305">
        <f>IF(M305="","",IF(M305=1,IF(F305&lt;&gt;"",N(F305),N(E305)),0))</f>
        <v/>
      </c>
      <c r="O305">
        <f>IF(M305="","",IF(M305=1,0,N(E305)))</f>
        <v/>
      </c>
      <c r="P305">
        <f>IF(OR(K305="On the way",K305="Late"),H305+ROW()/10000000,"")</f>
        <v/>
      </c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</row>
  </sheetData>
  <conditionalFormatting sqref="K6:K305">
    <cfRule type="expression" priority="1" dxfId="3">
      <formula>K6="On the way"</formula>
    </cfRule>
    <cfRule type="expression" priority="2" dxfId="2">
      <formula>K6="Late"</formula>
    </cfRule>
    <cfRule type="expression" priority="3" dxfId="1">
      <formula>K6="To wrap"</formula>
    </cfRule>
    <cfRule type="expression" priority="4" dxfId="4">
      <formula>K6="Wrapped"</formula>
    </cfRule>
  </conditionalFormatting>
  <dataValidations count="1">
    <dataValidation sqref="B6:B305" showDropDown="0" showInputMessage="0" showErrorMessage="1" allowBlank="1" type="list">
      <formula1>=People!$B$6:$B$65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6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1" customWidth="1" min="4" max="4"/>
    <col width="9" customWidth="1" min="5" max="5"/>
    <col width="9" customWidth="1" min="6" max="6"/>
    <col width="11" customWidth="1" min="7" max="7"/>
    <col width="11" customWidth="1" min="8" max="8"/>
    <col width="11" customWidth="1" min="9" max="9"/>
    <col width="16" customWidth="1" min="10" max="10"/>
    <col hidden="1" width="13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2" customHeight="1">
      <c r="A2" s="1" t="n"/>
      <c r="B2" s="2" t="inlineStr">
        <is>
          <t>People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3" t="inlineStr">
        <is>
          <t>Everyone you buy for, with a budget each. The rest comes from the Gifts tab.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30" customHeight="1">
      <c r="A5" s="1" t="n"/>
      <c r="B5" s="9" t="inlineStr">
        <is>
          <t>Name</t>
        </is>
      </c>
      <c r="C5" s="9" t="inlineStr">
        <is>
          <t>Group</t>
        </is>
      </c>
      <c r="D5" s="9" t="inlineStr">
        <is>
          <t>Budget</t>
        </is>
      </c>
      <c r="E5" s="9" t="inlineStr">
        <is>
          <t>Gifts</t>
        </is>
      </c>
      <c r="F5" s="9" t="inlineStr">
        <is>
          <t>Bought</t>
        </is>
      </c>
      <c r="G5" s="9" t="inlineStr">
        <is>
          <t>Spent</t>
        </is>
      </c>
      <c r="H5" s="9" t="inlineStr">
        <is>
          <t>To pay</t>
        </is>
      </c>
      <c r="I5" s="9" t="inlineStr">
        <is>
          <t>Left</t>
        </is>
      </c>
      <c r="J5" s="9" t="inlineStr">
        <is>
          <t>Status</t>
        </is>
      </c>
      <c r="K5" s="1" t="n"/>
    </row>
    <row r="6">
      <c r="A6" s="1" t="n"/>
      <c r="B6" s="19" t="inlineStr">
        <is>
          <t>Mum</t>
        </is>
      </c>
      <c r="C6" s="20" t="inlineStr">
        <is>
          <t>Family</t>
        </is>
      </c>
      <c r="D6" s="21" t="n">
        <v>120</v>
      </c>
      <c r="E6" s="24">
        <f>IF(B6="","",COUNTIFS(Gifts!$B$6:$B$305,B6))</f>
        <v/>
      </c>
      <c r="F6" s="24">
        <f>IF(B6="","",SUMIFS(Gifts!$M$6:$M$305,Gifts!$B$6:$B$305,B6))</f>
        <v/>
      </c>
      <c r="G6" s="12">
        <f>IF(B6="","",SUMIFS(Gifts!$N$6:$N$305,Gifts!$B$6:$B$305,B6))</f>
        <v/>
      </c>
      <c r="H6" s="12">
        <f>IF(B6="","",SUMIFS(Gifts!$O$6:$O$305,Gifts!$B$6:$B$305,B6))</f>
        <v/>
      </c>
      <c r="I6" s="12">
        <f>IF(OR(B6="",D6=""),"",D6-G6-H6)</f>
        <v/>
      </c>
      <c r="J6" s="11">
        <f>IF(B6="","",IF(E6=0,"No gift yet",IF(F6&lt;E6,(E6-F6)&amp;" to buy",IF(COUNTIFS(Gifts!$B$6:$B$305,B6,Gifts!$K$6:$K$305,"Wrapped")=E6,"All wrapped","All bought"))))</f>
        <v/>
      </c>
      <c r="K6" s="1" t="n"/>
      <c r="L6">
        <f>IF(B6="","",IF(OR(J6="All bought",J6="All wrapped"),"",ROW()))</f>
        <v/>
      </c>
    </row>
    <row r="7">
      <c r="A7" s="1" t="n"/>
      <c r="B7" s="19" t="inlineStr">
        <is>
          <t>Dad</t>
        </is>
      </c>
      <c r="C7" s="20" t="inlineStr">
        <is>
          <t>Family</t>
        </is>
      </c>
      <c r="D7" s="21" t="n">
        <v>100</v>
      </c>
      <c r="E7" s="24">
        <f>IF(B7="","",COUNTIFS(Gifts!$B$6:$B$305,B7))</f>
        <v/>
      </c>
      <c r="F7" s="24">
        <f>IF(B7="","",SUMIFS(Gifts!$M$6:$M$305,Gifts!$B$6:$B$305,B7))</f>
        <v/>
      </c>
      <c r="G7" s="12">
        <f>IF(B7="","",SUMIFS(Gifts!$N$6:$N$305,Gifts!$B$6:$B$305,B7))</f>
        <v/>
      </c>
      <c r="H7" s="12">
        <f>IF(B7="","",SUMIFS(Gifts!$O$6:$O$305,Gifts!$B$6:$B$305,B7))</f>
        <v/>
      </c>
      <c r="I7" s="12">
        <f>IF(OR(B7="",D7=""),"",D7-G7-H7)</f>
        <v/>
      </c>
      <c r="J7" s="11">
        <f>IF(B7="","",IF(E7=0,"No gift yet",IF(F7&lt;E7,(E7-F7)&amp;" to buy",IF(COUNTIFS(Gifts!$B$6:$B$305,B7,Gifts!$K$6:$K$305,"Wrapped")=E7,"All wrapped","All bought"))))</f>
        <v/>
      </c>
      <c r="K7" s="1" t="n"/>
      <c r="L7">
        <f>IF(B7="","",IF(OR(J7="All bought",J7="All wrapped"),"",ROW()))</f>
        <v/>
      </c>
    </row>
    <row r="8">
      <c r="A8" s="1" t="n"/>
      <c r="B8" s="19" t="inlineStr">
        <is>
          <t>Grandma</t>
        </is>
      </c>
      <c r="C8" s="20" t="inlineStr">
        <is>
          <t>Family</t>
        </is>
      </c>
      <c r="D8" s="21" t="n">
        <v>60</v>
      </c>
      <c r="E8" s="24">
        <f>IF(B8="","",COUNTIFS(Gifts!$B$6:$B$305,B8))</f>
        <v/>
      </c>
      <c r="F8" s="24">
        <f>IF(B8="","",SUMIFS(Gifts!$M$6:$M$305,Gifts!$B$6:$B$305,B8))</f>
        <v/>
      </c>
      <c r="G8" s="12">
        <f>IF(B8="","",SUMIFS(Gifts!$N$6:$N$305,Gifts!$B$6:$B$305,B8))</f>
        <v/>
      </c>
      <c r="H8" s="12">
        <f>IF(B8="","",SUMIFS(Gifts!$O$6:$O$305,Gifts!$B$6:$B$305,B8))</f>
        <v/>
      </c>
      <c r="I8" s="12">
        <f>IF(OR(B8="",D8=""),"",D8-G8-H8)</f>
        <v/>
      </c>
      <c r="J8" s="11">
        <f>IF(B8="","",IF(E8=0,"No gift yet",IF(F8&lt;E8,(E8-F8)&amp;" to buy",IF(COUNTIFS(Gifts!$B$6:$B$305,B8,Gifts!$K$6:$K$305,"Wrapped")=E8,"All wrapped","All bought"))))</f>
        <v/>
      </c>
      <c r="K8" s="1" t="n"/>
      <c r="L8">
        <f>IF(B8="","",IF(OR(J8="All bought",J8="All wrapped"),"",ROW()))</f>
        <v/>
      </c>
    </row>
    <row r="9">
      <c r="A9" s="1" t="n"/>
      <c r="B9" s="19" t="inlineStr">
        <is>
          <t>Sam</t>
        </is>
      </c>
      <c r="C9" s="20" t="inlineStr">
        <is>
          <t>Family</t>
        </is>
      </c>
      <c r="D9" s="21" t="n">
        <v>80</v>
      </c>
      <c r="E9" s="24">
        <f>IF(B9="","",COUNTIFS(Gifts!$B$6:$B$305,B9))</f>
        <v/>
      </c>
      <c r="F9" s="24">
        <f>IF(B9="","",SUMIFS(Gifts!$M$6:$M$305,Gifts!$B$6:$B$305,B9))</f>
        <v/>
      </c>
      <c r="G9" s="12">
        <f>IF(B9="","",SUMIFS(Gifts!$N$6:$N$305,Gifts!$B$6:$B$305,B9))</f>
        <v/>
      </c>
      <c r="H9" s="12">
        <f>IF(B9="","",SUMIFS(Gifts!$O$6:$O$305,Gifts!$B$6:$B$305,B9))</f>
        <v/>
      </c>
      <c r="I9" s="12">
        <f>IF(OR(B9="",D9=""),"",D9-G9-H9)</f>
        <v/>
      </c>
      <c r="J9" s="11">
        <f>IF(B9="","",IF(E9=0,"No gift yet",IF(F9&lt;E9,(E9-F9)&amp;" to buy",IF(COUNTIFS(Gifts!$B$6:$B$305,B9,Gifts!$K$6:$K$305,"Wrapped")=E9,"All wrapped","All bought"))))</f>
        <v/>
      </c>
      <c r="K9" s="1" t="n"/>
      <c r="L9">
        <f>IF(B9="","",IF(OR(J9="All bought",J9="All wrapped"),"",ROW()))</f>
        <v/>
      </c>
    </row>
    <row r="10">
      <c r="A10" s="1" t="n"/>
      <c r="B10" s="19" t="inlineStr">
        <is>
          <t>Lily</t>
        </is>
      </c>
      <c r="C10" s="20" t="inlineStr">
        <is>
          <t>Kids</t>
        </is>
      </c>
      <c r="D10" s="21" t="n">
        <v>70</v>
      </c>
      <c r="E10" s="24">
        <f>IF(B10="","",COUNTIFS(Gifts!$B$6:$B$305,B10))</f>
        <v/>
      </c>
      <c r="F10" s="24">
        <f>IF(B10="","",SUMIFS(Gifts!$M$6:$M$305,Gifts!$B$6:$B$305,B10))</f>
        <v/>
      </c>
      <c r="G10" s="12">
        <f>IF(B10="","",SUMIFS(Gifts!$N$6:$N$305,Gifts!$B$6:$B$305,B10))</f>
        <v/>
      </c>
      <c r="H10" s="12">
        <f>IF(B10="","",SUMIFS(Gifts!$O$6:$O$305,Gifts!$B$6:$B$305,B10))</f>
        <v/>
      </c>
      <c r="I10" s="12">
        <f>IF(OR(B10="",D10=""),"",D10-G10-H10)</f>
        <v/>
      </c>
      <c r="J10" s="11">
        <f>IF(B10="","",IF(E10=0,"No gift yet",IF(F10&lt;E10,(E10-F10)&amp;" to buy",IF(COUNTIFS(Gifts!$B$6:$B$305,B10,Gifts!$K$6:$K$305,"Wrapped")=E10,"All wrapped","All bought"))))</f>
        <v/>
      </c>
      <c r="K10" s="1" t="n"/>
      <c r="L10">
        <f>IF(B10="","",IF(OR(J10="All bought",J10="All wrapped"),"",ROW()))</f>
        <v/>
      </c>
    </row>
    <row r="11">
      <c r="A11" s="1" t="n"/>
      <c r="B11" s="19" t="inlineStr">
        <is>
          <t>Noah</t>
        </is>
      </c>
      <c r="C11" s="20" t="inlineStr">
        <is>
          <t>Kids</t>
        </is>
      </c>
      <c r="D11" s="21" t="n">
        <v>70</v>
      </c>
      <c r="E11" s="24">
        <f>IF(B11="","",COUNTIFS(Gifts!$B$6:$B$305,B11))</f>
        <v/>
      </c>
      <c r="F11" s="24">
        <f>IF(B11="","",SUMIFS(Gifts!$M$6:$M$305,Gifts!$B$6:$B$305,B11))</f>
        <v/>
      </c>
      <c r="G11" s="12">
        <f>IF(B11="","",SUMIFS(Gifts!$N$6:$N$305,Gifts!$B$6:$B$305,B11))</f>
        <v/>
      </c>
      <c r="H11" s="12">
        <f>IF(B11="","",SUMIFS(Gifts!$O$6:$O$305,Gifts!$B$6:$B$305,B11))</f>
        <v/>
      </c>
      <c r="I11" s="12">
        <f>IF(OR(B11="",D11=""),"",D11-G11-H11)</f>
        <v/>
      </c>
      <c r="J11" s="11">
        <f>IF(B11="","",IF(E11=0,"No gift yet",IF(F11&lt;E11,(E11-F11)&amp;" to buy",IF(COUNTIFS(Gifts!$B$6:$B$305,B11,Gifts!$K$6:$K$305,"Wrapped")=E11,"All wrapped","All bought"))))</f>
        <v/>
      </c>
      <c r="K11" s="1" t="n"/>
      <c r="L11">
        <f>IF(B11="","",IF(OR(J11="All bought",J11="All wrapped"),"",ROW()))</f>
        <v/>
      </c>
    </row>
    <row r="12">
      <c r="A12" s="1" t="n"/>
      <c r="B12" s="19" t="inlineStr">
        <is>
          <t>Aunt Rose</t>
        </is>
      </c>
      <c r="C12" s="20" t="inlineStr">
        <is>
          <t>Family</t>
        </is>
      </c>
      <c r="D12" s="21" t="n">
        <v>40</v>
      </c>
      <c r="E12" s="24">
        <f>IF(B12="","",COUNTIFS(Gifts!$B$6:$B$305,B12))</f>
        <v/>
      </c>
      <c r="F12" s="24">
        <f>IF(B12="","",SUMIFS(Gifts!$M$6:$M$305,Gifts!$B$6:$B$305,B12))</f>
        <v/>
      </c>
      <c r="G12" s="12">
        <f>IF(B12="","",SUMIFS(Gifts!$N$6:$N$305,Gifts!$B$6:$B$305,B12))</f>
        <v/>
      </c>
      <c r="H12" s="12">
        <f>IF(B12="","",SUMIFS(Gifts!$O$6:$O$305,Gifts!$B$6:$B$305,B12))</f>
        <v/>
      </c>
      <c r="I12" s="12">
        <f>IF(OR(B12="",D12=""),"",D12-G12-H12)</f>
        <v/>
      </c>
      <c r="J12" s="11">
        <f>IF(B12="","",IF(E12=0,"No gift yet",IF(F12&lt;E12,(E12-F12)&amp;" to buy",IF(COUNTIFS(Gifts!$B$6:$B$305,B12,Gifts!$K$6:$K$305,"Wrapped")=E12,"All wrapped","All bought"))))</f>
        <v/>
      </c>
      <c r="K12" s="1" t="n"/>
      <c r="L12">
        <f>IF(B12="","",IF(OR(J12="All bought",J12="All wrapped"),"",ROW()))</f>
        <v/>
      </c>
    </row>
    <row r="13">
      <c r="A13" s="1" t="n"/>
      <c r="B13" s="19" t="inlineStr">
        <is>
          <t>Priya</t>
        </is>
      </c>
      <c r="C13" s="20" t="inlineStr">
        <is>
          <t>Friends</t>
        </is>
      </c>
      <c r="D13" s="21" t="n">
        <v>40</v>
      </c>
      <c r="E13" s="24">
        <f>IF(B13="","",COUNTIFS(Gifts!$B$6:$B$305,B13))</f>
        <v/>
      </c>
      <c r="F13" s="24">
        <f>IF(B13="","",SUMIFS(Gifts!$M$6:$M$305,Gifts!$B$6:$B$305,B13))</f>
        <v/>
      </c>
      <c r="G13" s="12">
        <f>IF(B13="","",SUMIFS(Gifts!$N$6:$N$305,Gifts!$B$6:$B$305,B13))</f>
        <v/>
      </c>
      <c r="H13" s="12">
        <f>IF(B13="","",SUMIFS(Gifts!$O$6:$O$305,Gifts!$B$6:$B$305,B13))</f>
        <v/>
      </c>
      <c r="I13" s="12">
        <f>IF(OR(B13="",D13=""),"",D13-G13-H13)</f>
        <v/>
      </c>
      <c r="J13" s="11">
        <f>IF(B13="","",IF(E13=0,"No gift yet",IF(F13&lt;E13,(E13-F13)&amp;" to buy",IF(COUNTIFS(Gifts!$B$6:$B$305,B13,Gifts!$K$6:$K$305,"Wrapped")=E13,"All wrapped","All bought"))))</f>
        <v/>
      </c>
      <c r="K13" s="1" t="n"/>
      <c r="L13">
        <f>IF(B13="","",IF(OR(J13="All bought",J13="All wrapped"),"",ROW()))</f>
        <v/>
      </c>
    </row>
    <row r="14">
      <c r="A14" s="1" t="n"/>
      <c r="B14" s="19" t="inlineStr">
        <is>
          <t>Tom</t>
        </is>
      </c>
      <c r="C14" s="20" t="inlineStr">
        <is>
          <t>Friends</t>
        </is>
      </c>
      <c r="D14" s="21" t="n">
        <v>40</v>
      </c>
      <c r="E14" s="24">
        <f>IF(B14="","",COUNTIFS(Gifts!$B$6:$B$305,B14))</f>
        <v/>
      </c>
      <c r="F14" s="24">
        <f>IF(B14="","",SUMIFS(Gifts!$M$6:$M$305,Gifts!$B$6:$B$305,B14))</f>
        <v/>
      </c>
      <c r="G14" s="12">
        <f>IF(B14="","",SUMIFS(Gifts!$N$6:$N$305,Gifts!$B$6:$B$305,B14))</f>
        <v/>
      </c>
      <c r="H14" s="12">
        <f>IF(B14="","",SUMIFS(Gifts!$O$6:$O$305,Gifts!$B$6:$B$305,B14))</f>
        <v/>
      </c>
      <c r="I14" s="12">
        <f>IF(OR(B14="",D14=""),"",D14-G14-H14)</f>
        <v/>
      </c>
      <c r="J14" s="11">
        <f>IF(B14="","",IF(E14=0,"No gift yet",IF(F14&lt;E14,(E14-F14)&amp;" to buy",IF(COUNTIFS(Gifts!$B$6:$B$305,B14,Gifts!$K$6:$K$305,"Wrapped")=E14,"All wrapped","All bought"))))</f>
        <v/>
      </c>
      <c r="K14" s="1" t="n"/>
      <c r="L14">
        <f>IF(B14="","",IF(OR(J14="All bought",J14="All wrapped"),"",ROW()))</f>
        <v/>
      </c>
    </row>
    <row r="15">
      <c r="A15" s="1" t="n"/>
      <c r="B15" s="19" t="inlineStr">
        <is>
          <t>Secret Santa</t>
        </is>
      </c>
      <c r="C15" s="20" t="inlineStr">
        <is>
          <t>Work</t>
        </is>
      </c>
      <c r="D15" s="21" t="n">
        <v>25</v>
      </c>
      <c r="E15" s="24">
        <f>IF(B15="","",COUNTIFS(Gifts!$B$6:$B$305,B15))</f>
        <v/>
      </c>
      <c r="F15" s="24">
        <f>IF(B15="","",SUMIFS(Gifts!$M$6:$M$305,Gifts!$B$6:$B$305,B15))</f>
        <v/>
      </c>
      <c r="G15" s="12">
        <f>IF(B15="","",SUMIFS(Gifts!$N$6:$N$305,Gifts!$B$6:$B$305,B15))</f>
        <v/>
      </c>
      <c r="H15" s="12">
        <f>IF(B15="","",SUMIFS(Gifts!$O$6:$O$305,Gifts!$B$6:$B$305,B15))</f>
        <v/>
      </c>
      <c r="I15" s="12">
        <f>IF(OR(B15="",D15=""),"",D15-G15-H15)</f>
        <v/>
      </c>
      <c r="J15" s="11">
        <f>IF(B15="","",IF(E15=0,"No gift yet",IF(F15&lt;E15,(E15-F15)&amp;" to buy",IF(COUNTIFS(Gifts!$B$6:$B$305,B15,Gifts!$K$6:$K$305,"Wrapped")=E15,"All wrapped","All bought"))))</f>
        <v/>
      </c>
      <c r="K15" s="1" t="n"/>
      <c r="L15">
        <f>IF(B15="","",IF(OR(J15="All bought",J15="All wrapped"),"",ROW()))</f>
        <v/>
      </c>
    </row>
    <row r="16">
      <c r="A16" s="1" t="n"/>
      <c r="B16" s="19" t="inlineStr">
        <is>
          <t>Lily's teacher</t>
        </is>
      </c>
      <c r="C16" s="20" t="inlineStr">
        <is>
          <t>Kids</t>
        </is>
      </c>
      <c r="D16" s="21" t="n">
        <v>15</v>
      </c>
      <c r="E16" s="24">
        <f>IF(B16="","",COUNTIFS(Gifts!$B$6:$B$305,B16))</f>
        <v/>
      </c>
      <c r="F16" s="24">
        <f>IF(B16="","",SUMIFS(Gifts!$M$6:$M$305,Gifts!$B$6:$B$305,B16))</f>
        <v/>
      </c>
      <c r="G16" s="12">
        <f>IF(B16="","",SUMIFS(Gifts!$N$6:$N$305,Gifts!$B$6:$B$305,B16))</f>
        <v/>
      </c>
      <c r="H16" s="12">
        <f>IF(B16="","",SUMIFS(Gifts!$O$6:$O$305,Gifts!$B$6:$B$305,B16))</f>
        <v/>
      </c>
      <c r="I16" s="12">
        <f>IF(OR(B16="",D16=""),"",D16-G16-H16)</f>
        <v/>
      </c>
      <c r="J16" s="11">
        <f>IF(B16="","",IF(E16=0,"No gift yet",IF(F16&lt;E16,(E16-F16)&amp;" to buy",IF(COUNTIFS(Gifts!$B$6:$B$305,B16,Gifts!$K$6:$K$305,"Wrapped")=E16,"All wrapped","All bought"))))</f>
        <v/>
      </c>
      <c r="K16" s="1" t="n"/>
      <c r="L16">
        <f>IF(B16="","",IF(OR(J16="All bought",J16="All wrapped"),"",ROW()))</f>
        <v/>
      </c>
    </row>
    <row r="17">
      <c r="A17" s="1" t="n"/>
      <c r="B17" s="19" t="inlineStr">
        <is>
          <t>Neighbours</t>
        </is>
      </c>
      <c r="C17" s="20" t="inlineStr">
        <is>
          <t>Neighbours</t>
        </is>
      </c>
      <c r="D17" s="21" t="n">
        <v>20</v>
      </c>
      <c r="E17" s="24">
        <f>IF(B17="","",COUNTIFS(Gifts!$B$6:$B$305,B17))</f>
        <v/>
      </c>
      <c r="F17" s="24">
        <f>IF(B17="","",SUMIFS(Gifts!$M$6:$M$305,Gifts!$B$6:$B$305,B17))</f>
        <v/>
      </c>
      <c r="G17" s="12">
        <f>IF(B17="","",SUMIFS(Gifts!$N$6:$N$305,Gifts!$B$6:$B$305,B17))</f>
        <v/>
      </c>
      <c r="H17" s="12">
        <f>IF(B17="","",SUMIFS(Gifts!$O$6:$O$305,Gifts!$B$6:$B$305,B17))</f>
        <v/>
      </c>
      <c r="I17" s="12">
        <f>IF(OR(B17="",D17=""),"",D17-G17-H17)</f>
        <v/>
      </c>
      <c r="J17" s="11">
        <f>IF(B17="","",IF(E17=0,"No gift yet",IF(F17&lt;E17,(E17-F17)&amp;" to buy",IF(COUNTIFS(Gifts!$B$6:$B$305,B17,Gifts!$K$6:$K$305,"Wrapped")=E17,"All wrapped","All bought"))))</f>
        <v/>
      </c>
      <c r="K17" s="1" t="n"/>
      <c r="L17">
        <f>IF(B17="","",IF(OR(J17="All bought",J17="All wrapped"),"",ROW()))</f>
        <v/>
      </c>
    </row>
    <row r="18">
      <c r="A18" s="1" t="n"/>
      <c r="B18" s="19" t="inlineStr">
        <is>
          <t>Mia</t>
        </is>
      </c>
      <c r="C18" s="20" t="inlineStr">
        <is>
          <t>Friends</t>
        </is>
      </c>
      <c r="D18" s="21" t="n">
        <v>30</v>
      </c>
      <c r="E18" s="24">
        <f>IF(B18="","",COUNTIFS(Gifts!$B$6:$B$305,B18))</f>
        <v/>
      </c>
      <c r="F18" s="24">
        <f>IF(B18="","",SUMIFS(Gifts!$M$6:$M$305,Gifts!$B$6:$B$305,B18))</f>
        <v/>
      </c>
      <c r="G18" s="12">
        <f>IF(B18="","",SUMIFS(Gifts!$N$6:$N$305,Gifts!$B$6:$B$305,B18))</f>
        <v/>
      </c>
      <c r="H18" s="12">
        <f>IF(B18="","",SUMIFS(Gifts!$O$6:$O$305,Gifts!$B$6:$B$305,B18))</f>
        <v/>
      </c>
      <c r="I18" s="12">
        <f>IF(OR(B18="",D18=""),"",D18-G18-H18)</f>
        <v/>
      </c>
      <c r="J18" s="11">
        <f>IF(B18="","",IF(E18=0,"No gift yet",IF(F18&lt;E18,(E18-F18)&amp;" to buy",IF(COUNTIFS(Gifts!$B$6:$B$305,B18,Gifts!$K$6:$K$305,"Wrapped")=E18,"All wrapped","All bought"))))</f>
        <v/>
      </c>
      <c r="K18" s="1" t="n"/>
      <c r="L18">
        <f>IF(B18="","",IF(OR(J18="All bought",J18="All wrapped"),"",ROW()))</f>
        <v/>
      </c>
    </row>
    <row r="19">
      <c r="A19" s="1" t="n"/>
      <c r="B19" s="19" t="n"/>
      <c r="C19" s="20" t="n"/>
      <c r="D19" s="21" t="n"/>
      <c r="E19" s="24">
        <f>IF(B19="","",COUNTIFS(Gifts!$B$6:$B$305,B19))</f>
        <v/>
      </c>
      <c r="F19" s="24">
        <f>IF(B19="","",SUMIFS(Gifts!$M$6:$M$305,Gifts!$B$6:$B$305,B19))</f>
        <v/>
      </c>
      <c r="G19" s="12">
        <f>IF(B19="","",SUMIFS(Gifts!$N$6:$N$305,Gifts!$B$6:$B$305,B19))</f>
        <v/>
      </c>
      <c r="H19" s="12">
        <f>IF(B19="","",SUMIFS(Gifts!$O$6:$O$305,Gifts!$B$6:$B$305,B19))</f>
        <v/>
      </c>
      <c r="I19" s="12">
        <f>IF(OR(B19="",D19=""),"",D19-G19-H19)</f>
        <v/>
      </c>
      <c r="J19" s="11">
        <f>IF(B19="","",IF(E19=0,"No gift yet",IF(F19&lt;E19,(E19-F19)&amp;" to buy",IF(COUNTIFS(Gifts!$B$6:$B$305,B19,Gifts!$K$6:$K$305,"Wrapped")=E19,"All wrapped","All bought"))))</f>
        <v/>
      </c>
      <c r="K19" s="1" t="n"/>
      <c r="L19">
        <f>IF(B19="","",IF(OR(J19="All bought",J19="All wrapped"),"",ROW()))</f>
        <v/>
      </c>
    </row>
    <row r="20">
      <c r="A20" s="1" t="n"/>
      <c r="B20" s="19" t="n"/>
      <c r="C20" s="20" t="n"/>
      <c r="D20" s="21" t="n"/>
      <c r="E20" s="24">
        <f>IF(B20="","",COUNTIFS(Gifts!$B$6:$B$305,B20))</f>
        <v/>
      </c>
      <c r="F20" s="24">
        <f>IF(B20="","",SUMIFS(Gifts!$M$6:$M$305,Gifts!$B$6:$B$305,B20))</f>
        <v/>
      </c>
      <c r="G20" s="12">
        <f>IF(B20="","",SUMIFS(Gifts!$N$6:$N$305,Gifts!$B$6:$B$305,B20))</f>
        <v/>
      </c>
      <c r="H20" s="12">
        <f>IF(B20="","",SUMIFS(Gifts!$O$6:$O$305,Gifts!$B$6:$B$305,B20))</f>
        <v/>
      </c>
      <c r="I20" s="12">
        <f>IF(OR(B20="",D20=""),"",D20-G20-H20)</f>
        <v/>
      </c>
      <c r="J20" s="11">
        <f>IF(B20="","",IF(E20=0,"No gift yet",IF(F20&lt;E20,(E20-F20)&amp;" to buy",IF(COUNTIFS(Gifts!$B$6:$B$305,B20,Gifts!$K$6:$K$305,"Wrapped")=E20,"All wrapped","All bought"))))</f>
        <v/>
      </c>
      <c r="K20" s="1" t="n"/>
      <c r="L20">
        <f>IF(B20="","",IF(OR(J20="All bought",J20="All wrapped"),"",ROW()))</f>
        <v/>
      </c>
    </row>
    <row r="21">
      <c r="A21" s="1" t="n"/>
      <c r="B21" s="19" t="n"/>
      <c r="C21" s="20" t="n"/>
      <c r="D21" s="21" t="n"/>
      <c r="E21" s="24">
        <f>IF(B21="","",COUNTIFS(Gifts!$B$6:$B$305,B21))</f>
        <v/>
      </c>
      <c r="F21" s="24">
        <f>IF(B21="","",SUMIFS(Gifts!$M$6:$M$305,Gifts!$B$6:$B$305,B21))</f>
        <v/>
      </c>
      <c r="G21" s="12">
        <f>IF(B21="","",SUMIFS(Gifts!$N$6:$N$305,Gifts!$B$6:$B$305,B21))</f>
        <v/>
      </c>
      <c r="H21" s="12">
        <f>IF(B21="","",SUMIFS(Gifts!$O$6:$O$305,Gifts!$B$6:$B$305,B21))</f>
        <v/>
      </c>
      <c r="I21" s="12">
        <f>IF(OR(B21="",D21=""),"",D21-G21-H21)</f>
        <v/>
      </c>
      <c r="J21" s="11">
        <f>IF(B21="","",IF(E21=0,"No gift yet",IF(F21&lt;E21,(E21-F21)&amp;" to buy",IF(COUNTIFS(Gifts!$B$6:$B$305,B21,Gifts!$K$6:$K$305,"Wrapped")=E21,"All wrapped","All bought"))))</f>
        <v/>
      </c>
      <c r="K21" s="1" t="n"/>
      <c r="L21">
        <f>IF(B21="","",IF(OR(J21="All bought",J21="All wrapped"),"",ROW()))</f>
        <v/>
      </c>
    </row>
    <row r="22">
      <c r="A22" s="1" t="n"/>
      <c r="B22" s="19" t="n"/>
      <c r="C22" s="20" t="n"/>
      <c r="D22" s="21" t="n"/>
      <c r="E22" s="24">
        <f>IF(B22="","",COUNTIFS(Gifts!$B$6:$B$305,B22))</f>
        <v/>
      </c>
      <c r="F22" s="24">
        <f>IF(B22="","",SUMIFS(Gifts!$M$6:$M$305,Gifts!$B$6:$B$305,B22))</f>
        <v/>
      </c>
      <c r="G22" s="12">
        <f>IF(B22="","",SUMIFS(Gifts!$N$6:$N$305,Gifts!$B$6:$B$305,B22))</f>
        <v/>
      </c>
      <c r="H22" s="12">
        <f>IF(B22="","",SUMIFS(Gifts!$O$6:$O$305,Gifts!$B$6:$B$305,B22))</f>
        <v/>
      </c>
      <c r="I22" s="12">
        <f>IF(OR(B22="",D22=""),"",D22-G22-H22)</f>
        <v/>
      </c>
      <c r="J22" s="11">
        <f>IF(B22="","",IF(E22=0,"No gift yet",IF(F22&lt;E22,(E22-F22)&amp;" to buy",IF(COUNTIFS(Gifts!$B$6:$B$305,B22,Gifts!$K$6:$K$305,"Wrapped")=E22,"All wrapped","All bought"))))</f>
        <v/>
      </c>
      <c r="K22" s="1" t="n"/>
      <c r="L22">
        <f>IF(B22="","",IF(OR(J22="All bought",J22="All wrapped"),"",ROW()))</f>
        <v/>
      </c>
    </row>
    <row r="23">
      <c r="A23" s="1" t="n"/>
      <c r="B23" s="19" t="n"/>
      <c r="C23" s="20" t="n"/>
      <c r="D23" s="21" t="n"/>
      <c r="E23" s="24">
        <f>IF(B23="","",COUNTIFS(Gifts!$B$6:$B$305,B23))</f>
        <v/>
      </c>
      <c r="F23" s="24">
        <f>IF(B23="","",SUMIFS(Gifts!$M$6:$M$305,Gifts!$B$6:$B$305,B23))</f>
        <v/>
      </c>
      <c r="G23" s="12">
        <f>IF(B23="","",SUMIFS(Gifts!$N$6:$N$305,Gifts!$B$6:$B$305,B23))</f>
        <v/>
      </c>
      <c r="H23" s="12">
        <f>IF(B23="","",SUMIFS(Gifts!$O$6:$O$305,Gifts!$B$6:$B$305,B23))</f>
        <v/>
      </c>
      <c r="I23" s="12">
        <f>IF(OR(B23="",D23=""),"",D23-G23-H23)</f>
        <v/>
      </c>
      <c r="J23" s="11">
        <f>IF(B23="","",IF(E23=0,"No gift yet",IF(F23&lt;E23,(E23-F23)&amp;" to buy",IF(COUNTIFS(Gifts!$B$6:$B$305,B23,Gifts!$K$6:$K$305,"Wrapped")=E23,"All wrapped","All bought"))))</f>
        <v/>
      </c>
      <c r="K23" s="1" t="n"/>
      <c r="L23">
        <f>IF(B23="","",IF(OR(J23="All bought",J23="All wrapped"),"",ROW()))</f>
        <v/>
      </c>
    </row>
    <row r="24">
      <c r="A24" s="1" t="n"/>
      <c r="B24" s="19" t="n"/>
      <c r="C24" s="20" t="n"/>
      <c r="D24" s="21" t="n"/>
      <c r="E24" s="24">
        <f>IF(B24="","",COUNTIFS(Gifts!$B$6:$B$305,B24))</f>
        <v/>
      </c>
      <c r="F24" s="24">
        <f>IF(B24="","",SUMIFS(Gifts!$M$6:$M$305,Gifts!$B$6:$B$305,B24))</f>
        <v/>
      </c>
      <c r="G24" s="12">
        <f>IF(B24="","",SUMIFS(Gifts!$N$6:$N$305,Gifts!$B$6:$B$305,B24))</f>
        <v/>
      </c>
      <c r="H24" s="12">
        <f>IF(B24="","",SUMIFS(Gifts!$O$6:$O$305,Gifts!$B$6:$B$305,B24))</f>
        <v/>
      </c>
      <c r="I24" s="12">
        <f>IF(OR(B24="",D24=""),"",D24-G24-H24)</f>
        <v/>
      </c>
      <c r="J24" s="11">
        <f>IF(B24="","",IF(E24=0,"No gift yet",IF(F24&lt;E24,(E24-F24)&amp;" to buy",IF(COUNTIFS(Gifts!$B$6:$B$305,B24,Gifts!$K$6:$K$305,"Wrapped")=E24,"All wrapped","All bought"))))</f>
        <v/>
      </c>
      <c r="K24" s="1" t="n"/>
      <c r="L24">
        <f>IF(B24="","",IF(OR(J24="All bought",J24="All wrapped"),"",ROW()))</f>
        <v/>
      </c>
    </row>
    <row r="25">
      <c r="A25" s="1" t="n"/>
      <c r="B25" s="19" t="n"/>
      <c r="C25" s="20" t="n"/>
      <c r="D25" s="21" t="n"/>
      <c r="E25" s="24">
        <f>IF(B25="","",COUNTIFS(Gifts!$B$6:$B$305,B25))</f>
        <v/>
      </c>
      <c r="F25" s="24">
        <f>IF(B25="","",SUMIFS(Gifts!$M$6:$M$305,Gifts!$B$6:$B$305,B25))</f>
        <v/>
      </c>
      <c r="G25" s="12">
        <f>IF(B25="","",SUMIFS(Gifts!$N$6:$N$305,Gifts!$B$6:$B$305,B25))</f>
        <v/>
      </c>
      <c r="H25" s="12">
        <f>IF(B25="","",SUMIFS(Gifts!$O$6:$O$305,Gifts!$B$6:$B$305,B25))</f>
        <v/>
      </c>
      <c r="I25" s="12">
        <f>IF(OR(B25="",D25=""),"",D25-G25-H25)</f>
        <v/>
      </c>
      <c r="J25" s="11">
        <f>IF(B25="","",IF(E25=0,"No gift yet",IF(F25&lt;E25,(E25-F25)&amp;" to buy",IF(COUNTIFS(Gifts!$B$6:$B$305,B25,Gifts!$K$6:$K$305,"Wrapped")=E25,"All wrapped","All bought"))))</f>
        <v/>
      </c>
      <c r="K25" s="1" t="n"/>
      <c r="L25">
        <f>IF(B25="","",IF(OR(J25="All bought",J25="All wrapped"),"",ROW()))</f>
        <v/>
      </c>
    </row>
    <row r="26">
      <c r="A26" s="1" t="n"/>
      <c r="B26" s="19" t="n"/>
      <c r="C26" s="20" t="n"/>
      <c r="D26" s="21" t="n"/>
      <c r="E26" s="24">
        <f>IF(B26="","",COUNTIFS(Gifts!$B$6:$B$305,B26))</f>
        <v/>
      </c>
      <c r="F26" s="24">
        <f>IF(B26="","",SUMIFS(Gifts!$M$6:$M$305,Gifts!$B$6:$B$305,B26))</f>
        <v/>
      </c>
      <c r="G26" s="12">
        <f>IF(B26="","",SUMIFS(Gifts!$N$6:$N$305,Gifts!$B$6:$B$305,B26))</f>
        <v/>
      </c>
      <c r="H26" s="12">
        <f>IF(B26="","",SUMIFS(Gifts!$O$6:$O$305,Gifts!$B$6:$B$305,B26))</f>
        <v/>
      </c>
      <c r="I26" s="12">
        <f>IF(OR(B26="",D26=""),"",D26-G26-H26)</f>
        <v/>
      </c>
      <c r="J26" s="11">
        <f>IF(B26="","",IF(E26=0,"No gift yet",IF(F26&lt;E26,(E26-F26)&amp;" to buy",IF(COUNTIFS(Gifts!$B$6:$B$305,B26,Gifts!$K$6:$K$305,"Wrapped")=E26,"All wrapped","All bought"))))</f>
        <v/>
      </c>
      <c r="K26" s="1" t="n"/>
      <c r="L26">
        <f>IF(B26="","",IF(OR(J26="All bought",J26="All wrapped"),"",ROW()))</f>
        <v/>
      </c>
    </row>
    <row r="27">
      <c r="A27" s="1" t="n"/>
      <c r="B27" s="19" t="n"/>
      <c r="C27" s="20" t="n"/>
      <c r="D27" s="21" t="n"/>
      <c r="E27" s="24">
        <f>IF(B27="","",COUNTIFS(Gifts!$B$6:$B$305,B27))</f>
        <v/>
      </c>
      <c r="F27" s="24">
        <f>IF(B27="","",SUMIFS(Gifts!$M$6:$M$305,Gifts!$B$6:$B$305,B27))</f>
        <v/>
      </c>
      <c r="G27" s="12">
        <f>IF(B27="","",SUMIFS(Gifts!$N$6:$N$305,Gifts!$B$6:$B$305,B27))</f>
        <v/>
      </c>
      <c r="H27" s="12">
        <f>IF(B27="","",SUMIFS(Gifts!$O$6:$O$305,Gifts!$B$6:$B$305,B27))</f>
        <v/>
      </c>
      <c r="I27" s="12">
        <f>IF(OR(B27="",D27=""),"",D27-G27-H27)</f>
        <v/>
      </c>
      <c r="J27" s="11">
        <f>IF(B27="","",IF(E27=0,"No gift yet",IF(F27&lt;E27,(E27-F27)&amp;" to buy",IF(COUNTIFS(Gifts!$B$6:$B$305,B27,Gifts!$K$6:$K$305,"Wrapped")=E27,"All wrapped","All bought"))))</f>
        <v/>
      </c>
      <c r="K27" s="1" t="n"/>
      <c r="L27">
        <f>IF(B27="","",IF(OR(J27="All bought",J27="All wrapped"),"",ROW()))</f>
        <v/>
      </c>
    </row>
    <row r="28">
      <c r="A28" s="1" t="n"/>
      <c r="B28" s="19" t="n"/>
      <c r="C28" s="20" t="n"/>
      <c r="D28" s="21" t="n"/>
      <c r="E28" s="24">
        <f>IF(B28="","",COUNTIFS(Gifts!$B$6:$B$305,B28))</f>
        <v/>
      </c>
      <c r="F28" s="24">
        <f>IF(B28="","",SUMIFS(Gifts!$M$6:$M$305,Gifts!$B$6:$B$305,B28))</f>
        <v/>
      </c>
      <c r="G28" s="12">
        <f>IF(B28="","",SUMIFS(Gifts!$N$6:$N$305,Gifts!$B$6:$B$305,B28))</f>
        <v/>
      </c>
      <c r="H28" s="12">
        <f>IF(B28="","",SUMIFS(Gifts!$O$6:$O$305,Gifts!$B$6:$B$305,B28))</f>
        <v/>
      </c>
      <c r="I28" s="12">
        <f>IF(OR(B28="",D28=""),"",D28-G28-H28)</f>
        <v/>
      </c>
      <c r="J28" s="11">
        <f>IF(B28="","",IF(E28=0,"No gift yet",IF(F28&lt;E28,(E28-F28)&amp;" to buy",IF(COUNTIFS(Gifts!$B$6:$B$305,B28,Gifts!$K$6:$K$305,"Wrapped")=E28,"All wrapped","All bought"))))</f>
        <v/>
      </c>
      <c r="K28" s="1" t="n"/>
      <c r="L28">
        <f>IF(B28="","",IF(OR(J28="All bought",J28="All wrapped"),"",ROW()))</f>
        <v/>
      </c>
    </row>
    <row r="29">
      <c r="A29" s="1" t="n"/>
      <c r="B29" s="19" t="n"/>
      <c r="C29" s="20" t="n"/>
      <c r="D29" s="21" t="n"/>
      <c r="E29" s="24">
        <f>IF(B29="","",COUNTIFS(Gifts!$B$6:$B$305,B29))</f>
        <v/>
      </c>
      <c r="F29" s="24">
        <f>IF(B29="","",SUMIFS(Gifts!$M$6:$M$305,Gifts!$B$6:$B$305,B29))</f>
        <v/>
      </c>
      <c r="G29" s="12">
        <f>IF(B29="","",SUMIFS(Gifts!$N$6:$N$305,Gifts!$B$6:$B$305,B29))</f>
        <v/>
      </c>
      <c r="H29" s="12">
        <f>IF(B29="","",SUMIFS(Gifts!$O$6:$O$305,Gifts!$B$6:$B$305,B29))</f>
        <v/>
      </c>
      <c r="I29" s="12">
        <f>IF(OR(B29="",D29=""),"",D29-G29-H29)</f>
        <v/>
      </c>
      <c r="J29" s="11">
        <f>IF(B29="","",IF(E29=0,"No gift yet",IF(F29&lt;E29,(E29-F29)&amp;" to buy",IF(COUNTIFS(Gifts!$B$6:$B$305,B29,Gifts!$K$6:$K$305,"Wrapped")=E29,"All wrapped","All bought"))))</f>
        <v/>
      </c>
      <c r="K29" s="1" t="n"/>
      <c r="L29">
        <f>IF(B29="","",IF(OR(J29="All bought",J29="All wrapped"),"",ROW()))</f>
        <v/>
      </c>
    </row>
    <row r="30">
      <c r="A30" s="1" t="n"/>
      <c r="B30" s="19" t="n"/>
      <c r="C30" s="20" t="n"/>
      <c r="D30" s="21" t="n"/>
      <c r="E30" s="24">
        <f>IF(B30="","",COUNTIFS(Gifts!$B$6:$B$305,B30))</f>
        <v/>
      </c>
      <c r="F30" s="24">
        <f>IF(B30="","",SUMIFS(Gifts!$M$6:$M$305,Gifts!$B$6:$B$305,B30))</f>
        <v/>
      </c>
      <c r="G30" s="12">
        <f>IF(B30="","",SUMIFS(Gifts!$N$6:$N$305,Gifts!$B$6:$B$305,B30))</f>
        <v/>
      </c>
      <c r="H30" s="12">
        <f>IF(B30="","",SUMIFS(Gifts!$O$6:$O$305,Gifts!$B$6:$B$305,B30))</f>
        <v/>
      </c>
      <c r="I30" s="12">
        <f>IF(OR(B30="",D30=""),"",D30-G30-H30)</f>
        <v/>
      </c>
      <c r="J30" s="11">
        <f>IF(B30="","",IF(E30=0,"No gift yet",IF(F30&lt;E30,(E30-F30)&amp;" to buy",IF(COUNTIFS(Gifts!$B$6:$B$305,B30,Gifts!$K$6:$K$305,"Wrapped")=E30,"All wrapped","All bought"))))</f>
        <v/>
      </c>
      <c r="K30" s="1" t="n"/>
      <c r="L30">
        <f>IF(B30="","",IF(OR(J30="All bought",J30="All wrapped"),"",ROW()))</f>
        <v/>
      </c>
    </row>
    <row r="31">
      <c r="A31" s="1" t="n"/>
      <c r="B31" s="19" t="n"/>
      <c r="C31" s="20" t="n"/>
      <c r="D31" s="21" t="n"/>
      <c r="E31" s="24">
        <f>IF(B31="","",COUNTIFS(Gifts!$B$6:$B$305,B31))</f>
        <v/>
      </c>
      <c r="F31" s="24">
        <f>IF(B31="","",SUMIFS(Gifts!$M$6:$M$305,Gifts!$B$6:$B$305,B31))</f>
        <v/>
      </c>
      <c r="G31" s="12">
        <f>IF(B31="","",SUMIFS(Gifts!$N$6:$N$305,Gifts!$B$6:$B$305,B31))</f>
        <v/>
      </c>
      <c r="H31" s="12">
        <f>IF(B31="","",SUMIFS(Gifts!$O$6:$O$305,Gifts!$B$6:$B$305,B31))</f>
        <v/>
      </c>
      <c r="I31" s="12">
        <f>IF(OR(B31="",D31=""),"",D31-G31-H31)</f>
        <v/>
      </c>
      <c r="J31" s="11">
        <f>IF(B31="","",IF(E31=0,"No gift yet",IF(F31&lt;E31,(E31-F31)&amp;" to buy",IF(COUNTIFS(Gifts!$B$6:$B$305,B31,Gifts!$K$6:$K$305,"Wrapped")=E31,"All wrapped","All bought"))))</f>
        <v/>
      </c>
      <c r="K31" s="1" t="n"/>
      <c r="L31">
        <f>IF(B31="","",IF(OR(J31="All bought",J31="All wrapped"),"",ROW()))</f>
        <v/>
      </c>
    </row>
    <row r="32">
      <c r="A32" s="1" t="n"/>
      <c r="B32" s="19" t="n"/>
      <c r="C32" s="20" t="n"/>
      <c r="D32" s="21" t="n"/>
      <c r="E32" s="24">
        <f>IF(B32="","",COUNTIFS(Gifts!$B$6:$B$305,B32))</f>
        <v/>
      </c>
      <c r="F32" s="24">
        <f>IF(B32="","",SUMIFS(Gifts!$M$6:$M$305,Gifts!$B$6:$B$305,B32))</f>
        <v/>
      </c>
      <c r="G32" s="12">
        <f>IF(B32="","",SUMIFS(Gifts!$N$6:$N$305,Gifts!$B$6:$B$305,B32))</f>
        <v/>
      </c>
      <c r="H32" s="12">
        <f>IF(B32="","",SUMIFS(Gifts!$O$6:$O$305,Gifts!$B$6:$B$305,B32))</f>
        <v/>
      </c>
      <c r="I32" s="12">
        <f>IF(OR(B32="",D32=""),"",D32-G32-H32)</f>
        <v/>
      </c>
      <c r="J32" s="11">
        <f>IF(B32="","",IF(E32=0,"No gift yet",IF(F32&lt;E32,(E32-F32)&amp;" to buy",IF(COUNTIFS(Gifts!$B$6:$B$305,B32,Gifts!$K$6:$K$305,"Wrapped")=E32,"All wrapped","All bought"))))</f>
        <v/>
      </c>
      <c r="K32" s="1" t="n"/>
      <c r="L32">
        <f>IF(B32="","",IF(OR(J32="All bought",J32="All wrapped"),"",ROW()))</f>
        <v/>
      </c>
    </row>
    <row r="33">
      <c r="A33" s="1" t="n"/>
      <c r="B33" s="19" t="n"/>
      <c r="C33" s="20" t="n"/>
      <c r="D33" s="21" t="n"/>
      <c r="E33" s="24">
        <f>IF(B33="","",COUNTIFS(Gifts!$B$6:$B$305,B33))</f>
        <v/>
      </c>
      <c r="F33" s="24">
        <f>IF(B33="","",SUMIFS(Gifts!$M$6:$M$305,Gifts!$B$6:$B$305,B33))</f>
        <v/>
      </c>
      <c r="G33" s="12">
        <f>IF(B33="","",SUMIFS(Gifts!$N$6:$N$305,Gifts!$B$6:$B$305,B33))</f>
        <v/>
      </c>
      <c r="H33" s="12">
        <f>IF(B33="","",SUMIFS(Gifts!$O$6:$O$305,Gifts!$B$6:$B$305,B33))</f>
        <v/>
      </c>
      <c r="I33" s="12">
        <f>IF(OR(B33="",D33=""),"",D33-G33-H33)</f>
        <v/>
      </c>
      <c r="J33" s="11">
        <f>IF(B33="","",IF(E33=0,"No gift yet",IF(F33&lt;E33,(E33-F33)&amp;" to buy",IF(COUNTIFS(Gifts!$B$6:$B$305,B33,Gifts!$K$6:$K$305,"Wrapped")=E33,"All wrapped","All bought"))))</f>
        <v/>
      </c>
      <c r="K33" s="1" t="n"/>
      <c r="L33">
        <f>IF(B33="","",IF(OR(J33="All bought",J33="All wrapped"),"",ROW()))</f>
        <v/>
      </c>
    </row>
    <row r="34">
      <c r="A34" s="1" t="n"/>
      <c r="B34" s="19" t="n"/>
      <c r="C34" s="20" t="n"/>
      <c r="D34" s="21" t="n"/>
      <c r="E34" s="24">
        <f>IF(B34="","",COUNTIFS(Gifts!$B$6:$B$305,B34))</f>
        <v/>
      </c>
      <c r="F34" s="24">
        <f>IF(B34="","",SUMIFS(Gifts!$M$6:$M$305,Gifts!$B$6:$B$305,B34))</f>
        <v/>
      </c>
      <c r="G34" s="12">
        <f>IF(B34="","",SUMIFS(Gifts!$N$6:$N$305,Gifts!$B$6:$B$305,B34))</f>
        <v/>
      </c>
      <c r="H34" s="12">
        <f>IF(B34="","",SUMIFS(Gifts!$O$6:$O$305,Gifts!$B$6:$B$305,B34))</f>
        <v/>
      </c>
      <c r="I34" s="12">
        <f>IF(OR(B34="",D34=""),"",D34-G34-H34)</f>
        <v/>
      </c>
      <c r="J34" s="11">
        <f>IF(B34="","",IF(E34=0,"No gift yet",IF(F34&lt;E34,(E34-F34)&amp;" to buy",IF(COUNTIFS(Gifts!$B$6:$B$305,B34,Gifts!$K$6:$K$305,"Wrapped")=E34,"All wrapped","All bought"))))</f>
        <v/>
      </c>
      <c r="K34" s="1" t="n"/>
      <c r="L34">
        <f>IF(B34="","",IF(OR(J34="All bought",J34="All wrapped"),"",ROW()))</f>
        <v/>
      </c>
    </row>
    <row r="35">
      <c r="A35" s="1" t="n"/>
      <c r="B35" s="19" t="n"/>
      <c r="C35" s="20" t="n"/>
      <c r="D35" s="21" t="n"/>
      <c r="E35" s="24">
        <f>IF(B35="","",COUNTIFS(Gifts!$B$6:$B$305,B35))</f>
        <v/>
      </c>
      <c r="F35" s="24">
        <f>IF(B35="","",SUMIFS(Gifts!$M$6:$M$305,Gifts!$B$6:$B$305,B35))</f>
        <v/>
      </c>
      <c r="G35" s="12">
        <f>IF(B35="","",SUMIFS(Gifts!$N$6:$N$305,Gifts!$B$6:$B$305,B35))</f>
        <v/>
      </c>
      <c r="H35" s="12">
        <f>IF(B35="","",SUMIFS(Gifts!$O$6:$O$305,Gifts!$B$6:$B$305,B35))</f>
        <v/>
      </c>
      <c r="I35" s="12">
        <f>IF(OR(B35="",D35=""),"",D35-G35-H35)</f>
        <v/>
      </c>
      <c r="J35" s="11">
        <f>IF(B35="","",IF(E35=0,"No gift yet",IF(F35&lt;E35,(E35-F35)&amp;" to buy",IF(COUNTIFS(Gifts!$B$6:$B$305,B35,Gifts!$K$6:$K$305,"Wrapped")=E35,"All wrapped","All bought"))))</f>
        <v/>
      </c>
      <c r="K35" s="1" t="n"/>
      <c r="L35">
        <f>IF(B35="","",IF(OR(J35="All bought",J35="All wrapped"),"",ROW()))</f>
        <v/>
      </c>
    </row>
    <row r="36">
      <c r="A36" s="1" t="n"/>
      <c r="B36" s="19" t="n"/>
      <c r="C36" s="20" t="n"/>
      <c r="D36" s="21" t="n"/>
      <c r="E36" s="24">
        <f>IF(B36="","",COUNTIFS(Gifts!$B$6:$B$305,B36))</f>
        <v/>
      </c>
      <c r="F36" s="24">
        <f>IF(B36="","",SUMIFS(Gifts!$M$6:$M$305,Gifts!$B$6:$B$305,B36))</f>
        <v/>
      </c>
      <c r="G36" s="12">
        <f>IF(B36="","",SUMIFS(Gifts!$N$6:$N$305,Gifts!$B$6:$B$305,B36))</f>
        <v/>
      </c>
      <c r="H36" s="12">
        <f>IF(B36="","",SUMIFS(Gifts!$O$6:$O$305,Gifts!$B$6:$B$305,B36))</f>
        <v/>
      </c>
      <c r="I36" s="12">
        <f>IF(OR(B36="",D36=""),"",D36-G36-H36)</f>
        <v/>
      </c>
      <c r="J36" s="11">
        <f>IF(B36="","",IF(E36=0,"No gift yet",IF(F36&lt;E36,(E36-F36)&amp;" to buy",IF(COUNTIFS(Gifts!$B$6:$B$305,B36,Gifts!$K$6:$K$305,"Wrapped")=E36,"All wrapped","All bought"))))</f>
        <v/>
      </c>
      <c r="K36" s="1" t="n"/>
      <c r="L36">
        <f>IF(B36="","",IF(OR(J36="All bought",J36="All wrapped"),"",ROW()))</f>
        <v/>
      </c>
    </row>
    <row r="37">
      <c r="A37" s="1" t="n"/>
      <c r="B37" s="19" t="n"/>
      <c r="C37" s="20" t="n"/>
      <c r="D37" s="21" t="n"/>
      <c r="E37" s="24">
        <f>IF(B37="","",COUNTIFS(Gifts!$B$6:$B$305,B37))</f>
        <v/>
      </c>
      <c r="F37" s="24">
        <f>IF(B37="","",SUMIFS(Gifts!$M$6:$M$305,Gifts!$B$6:$B$305,B37))</f>
        <v/>
      </c>
      <c r="G37" s="12">
        <f>IF(B37="","",SUMIFS(Gifts!$N$6:$N$305,Gifts!$B$6:$B$305,B37))</f>
        <v/>
      </c>
      <c r="H37" s="12">
        <f>IF(B37="","",SUMIFS(Gifts!$O$6:$O$305,Gifts!$B$6:$B$305,B37))</f>
        <v/>
      </c>
      <c r="I37" s="12">
        <f>IF(OR(B37="",D37=""),"",D37-G37-H37)</f>
        <v/>
      </c>
      <c r="J37" s="11">
        <f>IF(B37="","",IF(E37=0,"No gift yet",IF(F37&lt;E37,(E37-F37)&amp;" to buy",IF(COUNTIFS(Gifts!$B$6:$B$305,B37,Gifts!$K$6:$K$305,"Wrapped")=E37,"All wrapped","All bought"))))</f>
        <v/>
      </c>
      <c r="K37" s="1" t="n"/>
      <c r="L37">
        <f>IF(B37="","",IF(OR(J37="All bought",J37="All wrapped"),"",ROW()))</f>
        <v/>
      </c>
    </row>
    <row r="38">
      <c r="A38" s="1" t="n"/>
      <c r="B38" s="19" t="n"/>
      <c r="C38" s="20" t="n"/>
      <c r="D38" s="21" t="n"/>
      <c r="E38" s="24">
        <f>IF(B38="","",COUNTIFS(Gifts!$B$6:$B$305,B38))</f>
        <v/>
      </c>
      <c r="F38" s="24">
        <f>IF(B38="","",SUMIFS(Gifts!$M$6:$M$305,Gifts!$B$6:$B$305,B38))</f>
        <v/>
      </c>
      <c r="G38" s="12">
        <f>IF(B38="","",SUMIFS(Gifts!$N$6:$N$305,Gifts!$B$6:$B$305,B38))</f>
        <v/>
      </c>
      <c r="H38" s="12">
        <f>IF(B38="","",SUMIFS(Gifts!$O$6:$O$305,Gifts!$B$6:$B$305,B38))</f>
        <v/>
      </c>
      <c r="I38" s="12">
        <f>IF(OR(B38="",D38=""),"",D38-G38-H38)</f>
        <v/>
      </c>
      <c r="J38" s="11">
        <f>IF(B38="","",IF(E38=0,"No gift yet",IF(F38&lt;E38,(E38-F38)&amp;" to buy",IF(COUNTIFS(Gifts!$B$6:$B$305,B38,Gifts!$K$6:$K$305,"Wrapped")=E38,"All wrapped","All bought"))))</f>
        <v/>
      </c>
      <c r="K38" s="1" t="n"/>
      <c r="L38">
        <f>IF(B38="","",IF(OR(J38="All bought",J38="All wrapped"),"",ROW()))</f>
        <v/>
      </c>
    </row>
    <row r="39">
      <c r="A39" s="1" t="n"/>
      <c r="B39" s="19" t="n"/>
      <c r="C39" s="20" t="n"/>
      <c r="D39" s="21" t="n"/>
      <c r="E39" s="24">
        <f>IF(B39="","",COUNTIFS(Gifts!$B$6:$B$305,B39))</f>
        <v/>
      </c>
      <c r="F39" s="24">
        <f>IF(B39="","",SUMIFS(Gifts!$M$6:$M$305,Gifts!$B$6:$B$305,B39))</f>
        <v/>
      </c>
      <c r="G39" s="12">
        <f>IF(B39="","",SUMIFS(Gifts!$N$6:$N$305,Gifts!$B$6:$B$305,B39))</f>
        <v/>
      </c>
      <c r="H39" s="12">
        <f>IF(B39="","",SUMIFS(Gifts!$O$6:$O$305,Gifts!$B$6:$B$305,B39))</f>
        <v/>
      </c>
      <c r="I39" s="12">
        <f>IF(OR(B39="",D39=""),"",D39-G39-H39)</f>
        <v/>
      </c>
      <c r="J39" s="11">
        <f>IF(B39="","",IF(E39=0,"No gift yet",IF(F39&lt;E39,(E39-F39)&amp;" to buy",IF(COUNTIFS(Gifts!$B$6:$B$305,B39,Gifts!$K$6:$K$305,"Wrapped")=E39,"All wrapped","All bought"))))</f>
        <v/>
      </c>
      <c r="K39" s="1" t="n"/>
      <c r="L39">
        <f>IF(B39="","",IF(OR(J39="All bought",J39="All wrapped"),"",ROW()))</f>
        <v/>
      </c>
    </row>
    <row r="40">
      <c r="A40" s="1" t="n"/>
      <c r="B40" s="19" t="n"/>
      <c r="C40" s="20" t="n"/>
      <c r="D40" s="21" t="n"/>
      <c r="E40" s="24">
        <f>IF(B40="","",COUNTIFS(Gifts!$B$6:$B$305,B40))</f>
        <v/>
      </c>
      <c r="F40" s="24">
        <f>IF(B40="","",SUMIFS(Gifts!$M$6:$M$305,Gifts!$B$6:$B$305,B40))</f>
        <v/>
      </c>
      <c r="G40" s="12">
        <f>IF(B40="","",SUMIFS(Gifts!$N$6:$N$305,Gifts!$B$6:$B$305,B40))</f>
        <v/>
      </c>
      <c r="H40" s="12">
        <f>IF(B40="","",SUMIFS(Gifts!$O$6:$O$305,Gifts!$B$6:$B$305,B40))</f>
        <v/>
      </c>
      <c r="I40" s="12">
        <f>IF(OR(B40="",D40=""),"",D40-G40-H40)</f>
        <v/>
      </c>
      <c r="J40" s="11">
        <f>IF(B40="","",IF(E40=0,"No gift yet",IF(F40&lt;E40,(E40-F40)&amp;" to buy",IF(COUNTIFS(Gifts!$B$6:$B$305,B40,Gifts!$K$6:$K$305,"Wrapped")=E40,"All wrapped","All bought"))))</f>
        <v/>
      </c>
      <c r="K40" s="1" t="n"/>
      <c r="L40">
        <f>IF(B40="","",IF(OR(J40="All bought",J40="All wrapped"),"",ROW()))</f>
        <v/>
      </c>
    </row>
    <row r="41">
      <c r="A41" s="1" t="n"/>
      <c r="B41" s="19" t="n"/>
      <c r="C41" s="20" t="n"/>
      <c r="D41" s="21" t="n"/>
      <c r="E41" s="24">
        <f>IF(B41="","",COUNTIFS(Gifts!$B$6:$B$305,B41))</f>
        <v/>
      </c>
      <c r="F41" s="24">
        <f>IF(B41="","",SUMIFS(Gifts!$M$6:$M$305,Gifts!$B$6:$B$305,B41))</f>
        <v/>
      </c>
      <c r="G41" s="12">
        <f>IF(B41="","",SUMIFS(Gifts!$N$6:$N$305,Gifts!$B$6:$B$305,B41))</f>
        <v/>
      </c>
      <c r="H41" s="12">
        <f>IF(B41="","",SUMIFS(Gifts!$O$6:$O$305,Gifts!$B$6:$B$305,B41))</f>
        <v/>
      </c>
      <c r="I41" s="12">
        <f>IF(OR(B41="",D41=""),"",D41-G41-H41)</f>
        <v/>
      </c>
      <c r="J41" s="11">
        <f>IF(B41="","",IF(E41=0,"No gift yet",IF(F41&lt;E41,(E41-F41)&amp;" to buy",IF(COUNTIFS(Gifts!$B$6:$B$305,B41,Gifts!$K$6:$K$305,"Wrapped")=E41,"All wrapped","All bought"))))</f>
        <v/>
      </c>
      <c r="K41" s="1" t="n"/>
      <c r="L41">
        <f>IF(B41="","",IF(OR(J41="All bought",J41="All wrapped"),"",ROW()))</f>
        <v/>
      </c>
    </row>
    <row r="42">
      <c r="A42" s="1" t="n"/>
      <c r="B42" s="19" t="n"/>
      <c r="C42" s="20" t="n"/>
      <c r="D42" s="21" t="n"/>
      <c r="E42" s="24">
        <f>IF(B42="","",COUNTIFS(Gifts!$B$6:$B$305,B42))</f>
        <v/>
      </c>
      <c r="F42" s="24">
        <f>IF(B42="","",SUMIFS(Gifts!$M$6:$M$305,Gifts!$B$6:$B$305,B42))</f>
        <v/>
      </c>
      <c r="G42" s="12">
        <f>IF(B42="","",SUMIFS(Gifts!$N$6:$N$305,Gifts!$B$6:$B$305,B42))</f>
        <v/>
      </c>
      <c r="H42" s="12">
        <f>IF(B42="","",SUMIFS(Gifts!$O$6:$O$305,Gifts!$B$6:$B$305,B42))</f>
        <v/>
      </c>
      <c r="I42" s="12">
        <f>IF(OR(B42="",D42=""),"",D42-G42-H42)</f>
        <v/>
      </c>
      <c r="J42" s="11">
        <f>IF(B42="","",IF(E42=0,"No gift yet",IF(F42&lt;E42,(E42-F42)&amp;" to buy",IF(COUNTIFS(Gifts!$B$6:$B$305,B42,Gifts!$K$6:$K$305,"Wrapped")=E42,"All wrapped","All bought"))))</f>
        <v/>
      </c>
      <c r="K42" s="1" t="n"/>
      <c r="L42">
        <f>IF(B42="","",IF(OR(J42="All bought",J42="All wrapped"),"",ROW()))</f>
        <v/>
      </c>
    </row>
    <row r="43">
      <c r="A43" s="1" t="n"/>
      <c r="B43" s="19" t="n"/>
      <c r="C43" s="20" t="n"/>
      <c r="D43" s="21" t="n"/>
      <c r="E43" s="24">
        <f>IF(B43="","",COUNTIFS(Gifts!$B$6:$B$305,B43))</f>
        <v/>
      </c>
      <c r="F43" s="24">
        <f>IF(B43="","",SUMIFS(Gifts!$M$6:$M$305,Gifts!$B$6:$B$305,B43))</f>
        <v/>
      </c>
      <c r="G43" s="12">
        <f>IF(B43="","",SUMIFS(Gifts!$N$6:$N$305,Gifts!$B$6:$B$305,B43))</f>
        <v/>
      </c>
      <c r="H43" s="12">
        <f>IF(B43="","",SUMIFS(Gifts!$O$6:$O$305,Gifts!$B$6:$B$305,B43))</f>
        <v/>
      </c>
      <c r="I43" s="12">
        <f>IF(OR(B43="",D43=""),"",D43-G43-H43)</f>
        <v/>
      </c>
      <c r="J43" s="11">
        <f>IF(B43="","",IF(E43=0,"No gift yet",IF(F43&lt;E43,(E43-F43)&amp;" to buy",IF(COUNTIFS(Gifts!$B$6:$B$305,B43,Gifts!$K$6:$K$305,"Wrapped")=E43,"All wrapped","All bought"))))</f>
        <v/>
      </c>
      <c r="K43" s="1" t="n"/>
      <c r="L43">
        <f>IF(B43="","",IF(OR(J43="All bought",J43="All wrapped"),"",ROW()))</f>
        <v/>
      </c>
    </row>
    <row r="44">
      <c r="A44" s="1" t="n"/>
      <c r="B44" s="19" t="n"/>
      <c r="C44" s="20" t="n"/>
      <c r="D44" s="21" t="n"/>
      <c r="E44" s="24">
        <f>IF(B44="","",COUNTIFS(Gifts!$B$6:$B$305,B44))</f>
        <v/>
      </c>
      <c r="F44" s="24">
        <f>IF(B44="","",SUMIFS(Gifts!$M$6:$M$305,Gifts!$B$6:$B$305,B44))</f>
        <v/>
      </c>
      <c r="G44" s="12">
        <f>IF(B44="","",SUMIFS(Gifts!$N$6:$N$305,Gifts!$B$6:$B$305,B44))</f>
        <v/>
      </c>
      <c r="H44" s="12">
        <f>IF(B44="","",SUMIFS(Gifts!$O$6:$O$305,Gifts!$B$6:$B$305,B44))</f>
        <v/>
      </c>
      <c r="I44" s="12">
        <f>IF(OR(B44="",D44=""),"",D44-G44-H44)</f>
        <v/>
      </c>
      <c r="J44" s="11">
        <f>IF(B44="","",IF(E44=0,"No gift yet",IF(F44&lt;E44,(E44-F44)&amp;" to buy",IF(COUNTIFS(Gifts!$B$6:$B$305,B44,Gifts!$K$6:$K$305,"Wrapped")=E44,"All wrapped","All bought"))))</f>
        <v/>
      </c>
      <c r="K44" s="1" t="n"/>
      <c r="L44">
        <f>IF(B44="","",IF(OR(J44="All bought",J44="All wrapped"),"",ROW()))</f>
        <v/>
      </c>
    </row>
    <row r="45">
      <c r="A45" s="1" t="n"/>
      <c r="B45" s="19" t="n"/>
      <c r="C45" s="20" t="n"/>
      <c r="D45" s="21" t="n"/>
      <c r="E45" s="24">
        <f>IF(B45="","",COUNTIFS(Gifts!$B$6:$B$305,B45))</f>
        <v/>
      </c>
      <c r="F45" s="24">
        <f>IF(B45="","",SUMIFS(Gifts!$M$6:$M$305,Gifts!$B$6:$B$305,B45))</f>
        <v/>
      </c>
      <c r="G45" s="12">
        <f>IF(B45="","",SUMIFS(Gifts!$N$6:$N$305,Gifts!$B$6:$B$305,B45))</f>
        <v/>
      </c>
      <c r="H45" s="12">
        <f>IF(B45="","",SUMIFS(Gifts!$O$6:$O$305,Gifts!$B$6:$B$305,B45))</f>
        <v/>
      </c>
      <c r="I45" s="12">
        <f>IF(OR(B45="",D45=""),"",D45-G45-H45)</f>
        <v/>
      </c>
      <c r="J45" s="11">
        <f>IF(B45="","",IF(E45=0,"No gift yet",IF(F45&lt;E45,(E45-F45)&amp;" to buy",IF(COUNTIFS(Gifts!$B$6:$B$305,B45,Gifts!$K$6:$K$305,"Wrapped")=E45,"All wrapped","All bought"))))</f>
        <v/>
      </c>
      <c r="K45" s="1" t="n"/>
      <c r="L45">
        <f>IF(B45="","",IF(OR(J45="All bought",J45="All wrapped"),"",ROW()))</f>
        <v/>
      </c>
    </row>
    <row r="46">
      <c r="A46" s="1" t="n"/>
      <c r="B46" s="19" t="n"/>
      <c r="C46" s="20" t="n"/>
      <c r="D46" s="21" t="n"/>
      <c r="E46" s="24">
        <f>IF(B46="","",COUNTIFS(Gifts!$B$6:$B$305,B46))</f>
        <v/>
      </c>
      <c r="F46" s="24">
        <f>IF(B46="","",SUMIFS(Gifts!$M$6:$M$305,Gifts!$B$6:$B$305,B46))</f>
        <v/>
      </c>
      <c r="G46" s="12">
        <f>IF(B46="","",SUMIFS(Gifts!$N$6:$N$305,Gifts!$B$6:$B$305,B46))</f>
        <v/>
      </c>
      <c r="H46" s="12">
        <f>IF(B46="","",SUMIFS(Gifts!$O$6:$O$305,Gifts!$B$6:$B$305,B46))</f>
        <v/>
      </c>
      <c r="I46" s="12">
        <f>IF(OR(B46="",D46=""),"",D46-G46-H46)</f>
        <v/>
      </c>
      <c r="J46" s="11">
        <f>IF(B46="","",IF(E46=0,"No gift yet",IF(F46&lt;E46,(E46-F46)&amp;" to buy",IF(COUNTIFS(Gifts!$B$6:$B$305,B46,Gifts!$K$6:$K$305,"Wrapped")=E46,"All wrapped","All bought"))))</f>
        <v/>
      </c>
      <c r="K46" s="1" t="n"/>
      <c r="L46">
        <f>IF(B46="","",IF(OR(J46="All bought",J46="All wrapped"),"",ROW()))</f>
        <v/>
      </c>
    </row>
    <row r="47">
      <c r="A47" s="1" t="n"/>
      <c r="B47" s="19" t="n"/>
      <c r="C47" s="20" t="n"/>
      <c r="D47" s="21" t="n"/>
      <c r="E47" s="24">
        <f>IF(B47="","",COUNTIFS(Gifts!$B$6:$B$305,B47))</f>
        <v/>
      </c>
      <c r="F47" s="24">
        <f>IF(B47="","",SUMIFS(Gifts!$M$6:$M$305,Gifts!$B$6:$B$305,B47))</f>
        <v/>
      </c>
      <c r="G47" s="12">
        <f>IF(B47="","",SUMIFS(Gifts!$N$6:$N$305,Gifts!$B$6:$B$305,B47))</f>
        <v/>
      </c>
      <c r="H47" s="12">
        <f>IF(B47="","",SUMIFS(Gifts!$O$6:$O$305,Gifts!$B$6:$B$305,B47))</f>
        <v/>
      </c>
      <c r="I47" s="12">
        <f>IF(OR(B47="",D47=""),"",D47-G47-H47)</f>
        <v/>
      </c>
      <c r="J47" s="11">
        <f>IF(B47="","",IF(E47=0,"No gift yet",IF(F47&lt;E47,(E47-F47)&amp;" to buy",IF(COUNTIFS(Gifts!$B$6:$B$305,B47,Gifts!$K$6:$K$305,"Wrapped")=E47,"All wrapped","All bought"))))</f>
        <v/>
      </c>
      <c r="K47" s="1" t="n"/>
      <c r="L47">
        <f>IF(B47="","",IF(OR(J47="All bought",J47="All wrapped"),"",ROW()))</f>
        <v/>
      </c>
    </row>
    <row r="48">
      <c r="A48" s="1" t="n"/>
      <c r="B48" s="19" t="n"/>
      <c r="C48" s="20" t="n"/>
      <c r="D48" s="21" t="n"/>
      <c r="E48" s="24">
        <f>IF(B48="","",COUNTIFS(Gifts!$B$6:$B$305,B48))</f>
        <v/>
      </c>
      <c r="F48" s="24">
        <f>IF(B48="","",SUMIFS(Gifts!$M$6:$M$305,Gifts!$B$6:$B$305,B48))</f>
        <v/>
      </c>
      <c r="G48" s="12">
        <f>IF(B48="","",SUMIFS(Gifts!$N$6:$N$305,Gifts!$B$6:$B$305,B48))</f>
        <v/>
      </c>
      <c r="H48" s="12">
        <f>IF(B48="","",SUMIFS(Gifts!$O$6:$O$305,Gifts!$B$6:$B$305,B48))</f>
        <v/>
      </c>
      <c r="I48" s="12">
        <f>IF(OR(B48="",D48=""),"",D48-G48-H48)</f>
        <v/>
      </c>
      <c r="J48" s="11">
        <f>IF(B48="","",IF(E48=0,"No gift yet",IF(F48&lt;E48,(E48-F48)&amp;" to buy",IF(COUNTIFS(Gifts!$B$6:$B$305,B48,Gifts!$K$6:$K$305,"Wrapped")=E48,"All wrapped","All bought"))))</f>
        <v/>
      </c>
      <c r="K48" s="1" t="n"/>
      <c r="L48">
        <f>IF(B48="","",IF(OR(J48="All bought",J48="All wrapped"),"",ROW()))</f>
        <v/>
      </c>
    </row>
    <row r="49">
      <c r="A49" s="1" t="n"/>
      <c r="B49" s="19" t="n"/>
      <c r="C49" s="20" t="n"/>
      <c r="D49" s="21" t="n"/>
      <c r="E49" s="24">
        <f>IF(B49="","",COUNTIFS(Gifts!$B$6:$B$305,B49))</f>
        <v/>
      </c>
      <c r="F49" s="24">
        <f>IF(B49="","",SUMIFS(Gifts!$M$6:$M$305,Gifts!$B$6:$B$305,B49))</f>
        <v/>
      </c>
      <c r="G49" s="12">
        <f>IF(B49="","",SUMIFS(Gifts!$N$6:$N$305,Gifts!$B$6:$B$305,B49))</f>
        <v/>
      </c>
      <c r="H49" s="12">
        <f>IF(B49="","",SUMIFS(Gifts!$O$6:$O$305,Gifts!$B$6:$B$305,B49))</f>
        <v/>
      </c>
      <c r="I49" s="12">
        <f>IF(OR(B49="",D49=""),"",D49-G49-H49)</f>
        <v/>
      </c>
      <c r="J49" s="11">
        <f>IF(B49="","",IF(E49=0,"No gift yet",IF(F49&lt;E49,(E49-F49)&amp;" to buy",IF(COUNTIFS(Gifts!$B$6:$B$305,B49,Gifts!$K$6:$K$305,"Wrapped")=E49,"All wrapped","All bought"))))</f>
        <v/>
      </c>
      <c r="K49" s="1" t="n"/>
      <c r="L49">
        <f>IF(B49="","",IF(OR(J49="All bought",J49="All wrapped"),"",ROW()))</f>
        <v/>
      </c>
    </row>
    <row r="50">
      <c r="A50" s="1" t="n"/>
      <c r="B50" s="19" t="n"/>
      <c r="C50" s="20" t="n"/>
      <c r="D50" s="21" t="n"/>
      <c r="E50" s="24">
        <f>IF(B50="","",COUNTIFS(Gifts!$B$6:$B$305,B50))</f>
        <v/>
      </c>
      <c r="F50" s="24">
        <f>IF(B50="","",SUMIFS(Gifts!$M$6:$M$305,Gifts!$B$6:$B$305,B50))</f>
        <v/>
      </c>
      <c r="G50" s="12">
        <f>IF(B50="","",SUMIFS(Gifts!$N$6:$N$305,Gifts!$B$6:$B$305,B50))</f>
        <v/>
      </c>
      <c r="H50" s="12">
        <f>IF(B50="","",SUMIFS(Gifts!$O$6:$O$305,Gifts!$B$6:$B$305,B50))</f>
        <v/>
      </c>
      <c r="I50" s="12">
        <f>IF(OR(B50="",D50=""),"",D50-G50-H50)</f>
        <v/>
      </c>
      <c r="J50" s="11">
        <f>IF(B50="","",IF(E50=0,"No gift yet",IF(F50&lt;E50,(E50-F50)&amp;" to buy",IF(COUNTIFS(Gifts!$B$6:$B$305,B50,Gifts!$K$6:$K$305,"Wrapped")=E50,"All wrapped","All bought"))))</f>
        <v/>
      </c>
      <c r="K50" s="1" t="n"/>
      <c r="L50">
        <f>IF(B50="","",IF(OR(J50="All bought",J50="All wrapped"),"",ROW()))</f>
        <v/>
      </c>
    </row>
    <row r="51">
      <c r="A51" s="1" t="n"/>
      <c r="B51" s="19" t="n"/>
      <c r="C51" s="20" t="n"/>
      <c r="D51" s="21" t="n"/>
      <c r="E51" s="24">
        <f>IF(B51="","",COUNTIFS(Gifts!$B$6:$B$305,B51))</f>
        <v/>
      </c>
      <c r="F51" s="24">
        <f>IF(B51="","",SUMIFS(Gifts!$M$6:$M$305,Gifts!$B$6:$B$305,B51))</f>
        <v/>
      </c>
      <c r="G51" s="12">
        <f>IF(B51="","",SUMIFS(Gifts!$N$6:$N$305,Gifts!$B$6:$B$305,B51))</f>
        <v/>
      </c>
      <c r="H51" s="12">
        <f>IF(B51="","",SUMIFS(Gifts!$O$6:$O$305,Gifts!$B$6:$B$305,B51))</f>
        <v/>
      </c>
      <c r="I51" s="12">
        <f>IF(OR(B51="",D51=""),"",D51-G51-H51)</f>
        <v/>
      </c>
      <c r="J51" s="11">
        <f>IF(B51="","",IF(E51=0,"No gift yet",IF(F51&lt;E51,(E51-F51)&amp;" to buy",IF(COUNTIFS(Gifts!$B$6:$B$305,B51,Gifts!$K$6:$K$305,"Wrapped")=E51,"All wrapped","All bought"))))</f>
        <v/>
      </c>
      <c r="K51" s="1" t="n"/>
      <c r="L51">
        <f>IF(B51="","",IF(OR(J51="All bought",J51="All wrapped"),"",ROW()))</f>
        <v/>
      </c>
    </row>
    <row r="52">
      <c r="A52" s="1" t="n"/>
      <c r="B52" s="19" t="n"/>
      <c r="C52" s="20" t="n"/>
      <c r="D52" s="21" t="n"/>
      <c r="E52" s="24">
        <f>IF(B52="","",COUNTIFS(Gifts!$B$6:$B$305,B52))</f>
        <v/>
      </c>
      <c r="F52" s="24">
        <f>IF(B52="","",SUMIFS(Gifts!$M$6:$M$305,Gifts!$B$6:$B$305,B52))</f>
        <v/>
      </c>
      <c r="G52" s="12">
        <f>IF(B52="","",SUMIFS(Gifts!$N$6:$N$305,Gifts!$B$6:$B$305,B52))</f>
        <v/>
      </c>
      <c r="H52" s="12">
        <f>IF(B52="","",SUMIFS(Gifts!$O$6:$O$305,Gifts!$B$6:$B$305,B52))</f>
        <v/>
      </c>
      <c r="I52" s="12">
        <f>IF(OR(B52="",D52=""),"",D52-G52-H52)</f>
        <v/>
      </c>
      <c r="J52" s="11">
        <f>IF(B52="","",IF(E52=0,"No gift yet",IF(F52&lt;E52,(E52-F52)&amp;" to buy",IF(COUNTIFS(Gifts!$B$6:$B$305,B52,Gifts!$K$6:$K$305,"Wrapped")=E52,"All wrapped","All bought"))))</f>
        <v/>
      </c>
      <c r="K52" s="1" t="n"/>
      <c r="L52">
        <f>IF(B52="","",IF(OR(J52="All bought",J52="All wrapped"),"",ROW()))</f>
        <v/>
      </c>
    </row>
    <row r="53">
      <c r="A53" s="1" t="n"/>
      <c r="B53" s="19" t="n"/>
      <c r="C53" s="20" t="n"/>
      <c r="D53" s="21" t="n"/>
      <c r="E53" s="24">
        <f>IF(B53="","",COUNTIFS(Gifts!$B$6:$B$305,B53))</f>
        <v/>
      </c>
      <c r="F53" s="24">
        <f>IF(B53="","",SUMIFS(Gifts!$M$6:$M$305,Gifts!$B$6:$B$305,B53))</f>
        <v/>
      </c>
      <c r="G53" s="12">
        <f>IF(B53="","",SUMIFS(Gifts!$N$6:$N$305,Gifts!$B$6:$B$305,B53))</f>
        <v/>
      </c>
      <c r="H53" s="12">
        <f>IF(B53="","",SUMIFS(Gifts!$O$6:$O$305,Gifts!$B$6:$B$305,B53))</f>
        <v/>
      </c>
      <c r="I53" s="12">
        <f>IF(OR(B53="",D53=""),"",D53-G53-H53)</f>
        <v/>
      </c>
      <c r="J53" s="11">
        <f>IF(B53="","",IF(E53=0,"No gift yet",IF(F53&lt;E53,(E53-F53)&amp;" to buy",IF(COUNTIFS(Gifts!$B$6:$B$305,B53,Gifts!$K$6:$K$305,"Wrapped")=E53,"All wrapped","All bought"))))</f>
        <v/>
      </c>
      <c r="K53" s="1" t="n"/>
      <c r="L53">
        <f>IF(B53="","",IF(OR(J53="All bought",J53="All wrapped"),"",ROW()))</f>
        <v/>
      </c>
    </row>
    <row r="54">
      <c r="A54" s="1" t="n"/>
      <c r="B54" s="19" t="n"/>
      <c r="C54" s="20" t="n"/>
      <c r="D54" s="21" t="n"/>
      <c r="E54" s="24">
        <f>IF(B54="","",COUNTIFS(Gifts!$B$6:$B$305,B54))</f>
        <v/>
      </c>
      <c r="F54" s="24">
        <f>IF(B54="","",SUMIFS(Gifts!$M$6:$M$305,Gifts!$B$6:$B$305,B54))</f>
        <v/>
      </c>
      <c r="G54" s="12">
        <f>IF(B54="","",SUMIFS(Gifts!$N$6:$N$305,Gifts!$B$6:$B$305,B54))</f>
        <v/>
      </c>
      <c r="H54" s="12">
        <f>IF(B54="","",SUMIFS(Gifts!$O$6:$O$305,Gifts!$B$6:$B$305,B54))</f>
        <v/>
      </c>
      <c r="I54" s="12">
        <f>IF(OR(B54="",D54=""),"",D54-G54-H54)</f>
        <v/>
      </c>
      <c r="J54" s="11">
        <f>IF(B54="","",IF(E54=0,"No gift yet",IF(F54&lt;E54,(E54-F54)&amp;" to buy",IF(COUNTIFS(Gifts!$B$6:$B$305,B54,Gifts!$K$6:$K$305,"Wrapped")=E54,"All wrapped","All bought"))))</f>
        <v/>
      </c>
      <c r="K54" s="1" t="n"/>
      <c r="L54">
        <f>IF(B54="","",IF(OR(J54="All bought",J54="All wrapped"),"",ROW()))</f>
        <v/>
      </c>
    </row>
    <row r="55">
      <c r="A55" s="1" t="n"/>
      <c r="B55" s="19" t="n"/>
      <c r="C55" s="20" t="n"/>
      <c r="D55" s="21" t="n"/>
      <c r="E55" s="24">
        <f>IF(B55="","",COUNTIFS(Gifts!$B$6:$B$305,B55))</f>
        <v/>
      </c>
      <c r="F55" s="24">
        <f>IF(B55="","",SUMIFS(Gifts!$M$6:$M$305,Gifts!$B$6:$B$305,B55))</f>
        <v/>
      </c>
      <c r="G55" s="12">
        <f>IF(B55="","",SUMIFS(Gifts!$N$6:$N$305,Gifts!$B$6:$B$305,B55))</f>
        <v/>
      </c>
      <c r="H55" s="12">
        <f>IF(B55="","",SUMIFS(Gifts!$O$6:$O$305,Gifts!$B$6:$B$305,B55))</f>
        <v/>
      </c>
      <c r="I55" s="12">
        <f>IF(OR(B55="",D55=""),"",D55-G55-H55)</f>
        <v/>
      </c>
      <c r="J55" s="11">
        <f>IF(B55="","",IF(E55=0,"No gift yet",IF(F55&lt;E55,(E55-F55)&amp;" to buy",IF(COUNTIFS(Gifts!$B$6:$B$305,B55,Gifts!$K$6:$K$305,"Wrapped")=E55,"All wrapped","All bought"))))</f>
        <v/>
      </c>
      <c r="K55" s="1" t="n"/>
      <c r="L55">
        <f>IF(B55="","",IF(OR(J55="All bought",J55="All wrapped"),"",ROW()))</f>
        <v/>
      </c>
    </row>
    <row r="56">
      <c r="A56" s="1" t="n"/>
      <c r="B56" s="19" t="n"/>
      <c r="C56" s="20" t="n"/>
      <c r="D56" s="21" t="n"/>
      <c r="E56" s="24">
        <f>IF(B56="","",COUNTIFS(Gifts!$B$6:$B$305,B56))</f>
        <v/>
      </c>
      <c r="F56" s="24">
        <f>IF(B56="","",SUMIFS(Gifts!$M$6:$M$305,Gifts!$B$6:$B$305,B56))</f>
        <v/>
      </c>
      <c r="G56" s="12">
        <f>IF(B56="","",SUMIFS(Gifts!$N$6:$N$305,Gifts!$B$6:$B$305,B56))</f>
        <v/>
      </c>
      <c r="H56" s="12">
        <f>IF(B56="","",SUMIFS(Gifts!$O$6:$O$305,Gifts!$B$6:$B$305,B56))</f>
        <v/>
      </c>
      <c r="I56" s="12">
        <f>IF(OR(B56="",D56=""),"",D56-G56-H56)</f>
        <v/>
      </c>
      <c r="J56" s="11">
        <f>IF(B56="","",IF(E56=0,"No gift yet",IF(F56&lt;E56,(E56-F56)&amp;" to buy",IF(COUNTIFS(Gifts!$B$6:$B$305,B56,Gifts!$K$6:$K$305,"Wrapped")=E56,"All wrapped","All bought"))))</f>
        <v/>
      </c>
      <c r="K56" s="1" t="n"/>
      <c r="L56">
        <f>IF(B56="","",IF(OR(J56="All bought",J56="All wrapped"),"",ROW()))</f>
        <v/>
      </c>
    </row>
    <row r="57">
      <c r="A57" s="1" t="n"/>
      <c r="B57" s="19" t="n"/>
      <c r="C57" s="20" t="n"/>
      <c r="D57" s="21" t="n"/>
      <c r="E57" s="24">
        <f>IF(B57="","",COUNTIFS(Gifts!$B$6:$B$305,B57))</f>
        <v/>
      </c>
      <c r="F57" s="24">
        <f>IF(B57="","",SUMIFS(Gifts!$M$6:$M$305,Gifts!$B$6:$B$305,B57))</f>
        <v/>
      </c>
      <c r="G57" s="12">
        <f>IF(B57="","",SUMIFS(Gifts!$N$6:$N$305,Gifts!$B$6:$B$305,B57))</f>
        <v/>
      </c>
      <c r="H57" s="12">
        <f>IF(B57="","",SUMIFS(Gifts!$O$6:$O$305,Gifts!$B$6:$B$305,B57))</f>
        <v/>
      </c>
      <c r="I57" s="12">
        <f>IF(OR(B57="",D57=""),"",D57-G57-H57)</f>
        <v/>
      </c>
      <c r="J57" s="11">
        <f>IF(B57="","",IF(E57=0,"No gift yet",IF(F57&lt;E57,(E57-F57)&amp;" to buy",IF(COUNTIFS(Gifts!$B$6:$B$305,B57,Gifts!$K$6:$K$305,"Wrapped")=E57,"All wrapped","All bought"))))</f>
        <v/>
      </c>
      <c r="K57" s="1" t="n"/>
      <c r="L57">
        <f>IF(B57="","",IF(OR(J57="All bought",J57="All wrapped"),"",ROW()))</f>
        <v/>
      </c>
    </row>
    <row r="58">
      <c r="A58" s="1" t="n"/>
      <c r="B58" s="19" t="n"/>
      <c r="C58" s="20" t="n"/>
      <c r="D58" s="21" t="n"/>
      <c r="E58" s="24">
        <f>IF(B58="","",COUNTIFS(Gifts!$B$6:$B$305,B58))</f>
        <v/>
      </c>
      <c r="F58" s="24">
        <f>IF(B58="","",SUMIFS(Gifts!$M$6:$M$305,Gifts!$B$6:$B$305,B58))</f>
        <v/>
      </c>
      <c r="G58" s="12">
        <f>IF(B58="","",SUMIFS(Gifts!$N$6:$N$305,Gifts!$B$6:$B$305,B58))</f>
        <v/>
      </c>
      <c r="H58" s="12">
        <f>IF(B58="","",SUMIFS(Gifts!$O$6:$O$305,Gifts!$B$6:$B$305,B58))</f>
        <v/>
      </c>
      <c r="I58" s="12">
        <f>IF(OR(B58="",D58=""),"",D58-G58-H58)</f>
        <v/>
      </c>
      <c r="J58" s="11">
        <f>IF(B58="","",IF(E58=0,"No gift yet",IF(F58&lt;E58,(E58-F58)&amp;" to buy",IF(COUNTIFS(Gifts!$B$6:$B$305,B58,Gifts!$K$6:$K$305,"Wrapped")=E58,"All wrapped","All bought"))))</f>
        <v/>
      </c>
      <c r="K58" s="1" t="n"/>
      <c r="L58">
        <f>IF(B58="","",IF(OR(J58="All bought",J58="All wrapped"),"",ROW()))</f>
        <v/>
      </c>
    </row>
    <row r="59">
      <c r="A59" s="1" t="n"/>
      <c r="B59" s="19" t="n"/>
      <c r="C59" s="20" t="n"/>
      <c r="D59" s="21" t="n"/>
      <c r="E59" s="24">
        <f>IF(B59="","",COUNTIFS(Gifts!$B$6:$B$305,B59))</f>
        <v/>
      </c>
      <c r="F59" s="24">
        <f>IF(B59="","",SUMIFS(Gifts!$M$6:$M$305,Gifts!$B$6:$B$305,B59))</f>
        <v/>
      </c>
      <c r="G59" s="12">
        <f>IF(B59="","",SUMIFS(Gifts!$N$6:$N$305,Gifts!$B$6:$B$305,B59))</f>
        <v/>
      </c>
      <c r="H59" s="12">
        <f>IF(B59="","",SUMIFS(Gifts!$O$6:$O$305,Gifts!$B$6:$B$305,B59))</f>
        <v/>
      </c>
      <c r="I59" s="12">
        <f>IF(OR(B59="",D59=""),"",D59-G59-H59)</f>
        <v/>
      </c>
      <c r="J59" s="11">
        <f>IF(B59="","",IF(E59=0,"No gift yet",IF(F59&lt;E59,(E59-F59)&amp;" to buy",IF(COUNTIFS(Gifts!$B$6:$B$305,B59,Gifts!$K$6:$K$305,"Wrapped")=E59,"All wrapped","All bought"))))</f>
        <v/>
      </c>
      <c r="K59" s="1" t="n"/>
      <c r="L59">
        <f>IF(B59="","",IF(OR(J59="All bought",J59="All wrapped"),"",ROW()))</f>
        <v/>
      </c>
    </row>
    <row r="60">
      <c r="A60" s="1" t="n"/>
      <c r="B60" s="19" t="n"/>
      <c r="C60" s="20" t="n"/>
      <c r="D60" s="21" t="n"/>
      <c r="E60" s="24">
        <f>IF(B60="","",COUNTIFS(Gifts!$B$6:$B$305,B60))</f>
        <v/>
      </c>
      <c r="F60" s="24">
        <f>IF(B60="","",SUMIFS(Gifts!$M$6:$M$305,Gifts!$B$6:$B$305,B60))</f>
        <v/>
      </c>
      <c r="G60" s="12">
        <f>IF(B60="","",SUMIFS(Gifts!$N$6:$N$305,Gifts!$B$6:$B$305,B60))</f>
        <v/>
      </c>
      <c r="H60" s="12">
        <f>IF(B60="","",SUMIFS(Gifts!$O$6:$O$305,Gifts!$B$6:$B$305,B60))</f>
        <v/>
      </c>
      <c r="I60" s="12">
        <f>IF(OR(B60="",D60=""),"",D60-G60-H60)</f>
        <v/>
      </c>
      <c r="J60" s="11">
        <f>IF(B60="","",IF(E60=0,"No gift yet",IF(F60&lt;E60,(E60-F60)&amp;" to buy",IF(COUNTIFS(Gifts!$B$6:$B$305,B60,Gifts!$K$6:$K$305,"Wrapped")=E60,"All wrapped","All bought"))))</f>
        <v/>
      </c>
      <c r="K60" s="1" t="n"/>
      <c r="L60">
        <f>IF(B60="","",IF(OR(J60="All bought",J60="All wrapped"),"",ROW()))</f>
        <v/>
      </c>
    </row>
    <row r="61">
      <c r="A61" s="1" t="n"/>
      <c r="B61" s="19" t="n"/>
      <c r="C61" s="20" t="n"/>
      <c r="D61" s="21" t="n"/>
      <c r="E61" s="24">
        <f>IF(B61="","",COUNTIFS(Gifts!$B$6:$B$305,B61))</f>
        <v/>
      </c>
      <c r="F61" s="24">
        <f>IF(B61="","",SUMIFS(Gifts!$M$6:$M$305,Gifts!$B$6:$B$305,B61))</f>
        <v/>
      </c>
      <c r="G61" s="12">
        <f>IF(B61="","",SUMIFS(Gifts!$N$6:$N$305,Gifts!$B$6:$B$305,B61))</f>
        <v/>
      </c>
      <c r="H61" s="12">
        <f>IF(B61="","",SUMIFS(Gifts!$O$6:$O$305,Gifts!$B$6:$B$305,B61))</f>
        <v/>
      </c>
      <c r="I61" s="12">
        <f>IF(OR(B61="",D61=""),"",D61-G61-H61)</f>
        <v/>
      </c>
      <c r="J61" s="11">
        <f>IF(B61="","",IF(E61=0,"No gift yet",IF(F61&lt;E61,(E61-F61)&amp;" to buy",IF(COUNTIFS(Gifts!$B$6:$B$305,B61,Gifts!$K$6:$K$305,"Wrapped")=E61,"All wrapped","All bought"))))</f>
        <v/>
      </c>
      <c r="K61" s="1" t="n"/>
      <c r="L61">
        <f>IF(B61="","",IF(OR(J61="All bought",J61="All wrapped"),"",ROW()))</f>
        <v/>
      </c>
    </row>
    <row r="62">
      <c r="A62" s="1" t="n"/>
      <c r="B62" s="19" t="n"/>
      <c r="C62" s="20" t="n"/>
      <c r="D62" s="21" t="n"/>
      <c r="E62" s="24">
        <f>IF(B62="","",COUNTIFS(Gifts!$B$6:$B$305,B62))</f>
        <v/>
      </c>
      <c r="F62" s="24">
        <f>IF(B62="","",SUMIFS(Gifts!$M$6:$M$305,Gifts!$B$6:$B$305,B62))</f>
        <v/>
      </c>
      <c r="G62" s="12">
        <f>IF(B62="","",SUMIFS(Gifts!$N$6:$N$305,Gifts!$B$6:$B$305,B62))</f>
        <v/>
      </c>
      <c r="H62" s="12">
        <f>IF(B62="","",SUMIFS(Gifts!$O$6:$O$305,Gifts!$B$6:$B$305,B62))</f>
        <v/>
      </c>
      <c r="I62" s="12">
        <f>IF(OR(B62="",D62=""),"",D62-G62-H62)</f>
        <v/>
      </c>
      <c r="J62" s="11">
        <f>IF(B62="","",IF(E62=0,"No gift yet",IF(F62&lt;E62,(E62-F62)&amp;" to buy",IF(COUNTIFS(Gifts!$B$6:$B$305,B62,Gifts!$K$6:$K$305,"Wrapped")=E62,"All wrapped","All bought"))))</f>
        <v/>
      </c>
      <c r="K62" s="1" t="n"/>
      <c r="L62">
        <f>IF(B62="","",IF(OR(J62="All bought",J62="All wrapped"),"",ROW()))</f>
        <v/>
      </c>
    </row>
    <row r="63">
      <c r="A63" s="1" t="n"/>
      <c r="B63" s="19" t="n"/>
      <c r="C63" s="20" t="n"/>
      <c r="D63" s="21" t="n"/>
      <c r="E63" s="24">
        <f>IF(B63="","",COUNTIFS(Gifts!$B$6:$B$305,B63))</f>
        <v/>
      </c>
      <c r="F63" s="24">
        <f>IF(B63="","",SUMIFS(Gifts!$M$6:$M$305,Gifts!$B$6:$B$305,B63))</f>
        <v/>
      </c>
      <c r="G63" s="12">
        <f>IF(B63="","",SUMIFS(Gifts!$N$6:$N$305,Gifts!$B$6:$B$305,B63))</f>
        <v/>
      </c>
      <c r="H63" s="12">
        <f>IF(B63="","",SUMIFS(Gifts!$O$6:$O$305,Gifts!$B$6:$B$305,B63))</f>
        <v/>
      </c>
      <c r="I63" s="12">
        <f>IF(OR(B63="",D63=""),"",D63-G63-H63)</f>
        <v/>
      </c>
      <c r="J63" s="11">
        <f>IF(B63="","",IF(E63=0,"No gift yet",IF(F63&lt;E63,(E63-F63)&amp;" to buy",IF(COUNTIFS(Gifts!$B$6:$B$305,B63,Gifts!$K$6:$K$305,"Wrapped")=E63,"All wrapped","All bought"))))</f>
        <v/>
      </c>
      <c r="K63" s="1" t="n"/>
      <c r="L63">
        <f>IF(B63="","",IF(OR(J63="All bought",J63="All wrapped"),"",ROW()))</f>
        <v/>
      </c>
    </row>
    <row r="64">
      <c r="A64" s="1" t="n"/>
      <c r="B64" s="19" t="n"/>
      <c r="C64" s="20" t="n"/>
      <c r="D64" s="21" t="n"/>
      <c r="E64" s="24">
        <f>IF(B64="","",COUNTIFS(Gifts!$B$6:$B$305,B64))</f>
        <v/>
      </c>
      <c r="F64" s="24">
        <f>IF(B64="","",SUMIFS(Gifts!$M$6:$M$305,Gifts!$B$6:$B$305,B64))</f>
        <v/>
      </c>
      <c r="G64" s="12">
        <f>IF(B64="","",SUMIFS(Gifts!$N$6:$N$305,Gifts!$B$6:$B$305,B64))</f>
        <v/>
      </c>
      <c r="H64" s="12">
        <f>IF(B64="","",SUMIFS(Gifts!$O$6:$O$305,Gifts!$B$6:$B$305,B64))</f>
        <v/>
      </c>
      <c r="I64" s="12">
        <f>IF(OR(B64="",D64=""),"",D64-G64-H64)</f>
        <v/>
      </c>
      <c r="J64" s="11">
        <f>IF(B64="","",IF(E64=0,"No gift yet",IF(F64&lt;E64,(E64-F64)&amp;" to buy",IF(COUNTIFS(Gifts!$B$6:$B$305,B64,Gifts!$K$6:$K$305,"Wrapped")=E64,"All wrapped","All bought"))))</f>
        <v/>
      </c>
      <c r="K64" s="1" t="n"/>
      <c r="L64">
        <f>IF(B64="","",IF(OR(J64="All bought",J64="All wrapped"),"",ROW()))</f>
        <v/>
      </c>
    </row>
    <row r="65">
      <c r="A65" s="1" t="n"/>
      <c r="B65" s="19" t="n"/>
      <c r="C65" s="20" t="n"/>
      <c r="D65" s="21" t="n"/>
      <c r="E65" s="24">
        <f>IF(B65="","",COUNTIFS(Gifts!$B$6:$B$305,B65))</f>
        <v/>
      </c>
      <c r="F65" s="24">
        <f>IF(B65="","",SUMIFS(Gifts!$M$6:$M$305,Gifts!$B$6:$B$305,B65))</f>
        <v/>
      </c>
      <c r="G65" s="12">
        <f>IF(B65="","",SUMIFS(Gifts!$N$6:$N$305,Gifts!$B$6:$B$305,B65))</f>
        <v/>
      </c>
      <c r="H65" s="12">
        <f>IF(B65="","",SUMIFS(Gifts!$O$6:$O$305,Gifts!$B$6:$B$305,B65))</f>
        <v/>
      </c>
      <c r="I65" s="12">
        <f>IF(OR(B65="",D65=""),"",D65-G65-H65)</f>
        <v/>
      </c>
      <c r="J65" s="11">
        <f>IF(B65="","",IF(E65=0,"No gift yet",IF(F65&lt;E65,(E65-F65)&amp;" to buy",IF(COUNTIFS(Gifts!$B$6:$B$305,B65,Gifts!$K$6:$K$305,"Wrapped")=E65,"All wrapped","All bought"))))</f>
        <v/>
      </c>
      <c r="K65" s="1" t="n"/>
      <c r="L65">
        <f>IF(B65="","",IF(OR(J65="All bought",J65="All wrapped"),"",ROW()))</f>
        <v/>
      </c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</sheetData>
  <conditionalFormatting sqref="I6:I65">
    <cfRule type="expression" priority="1" dxfId="2">
      <formula>AND(ISNUMBER(I6),I6&lt;0)</formula>
    </cfRule>
  </conditionalFormatting>
  <conditionalFormatting sqref="J6:J65">
    <cfRule type="expression" priority="2" dxfId="1">
      <formula>J6="No gift yet"</formula>
    </cfRule>
    <cfRule type="expression" priority="3" dxfId="3">
      <formula>J6="All bought"</formula>
    </cfRule>
    <cfRule type="expression" priority="4" dxfId="4">
      <formula>J6="All wrapped"</formula>
    </cfRule>
    <cfRule type="expression" priority="5" dxfId="1">
      <formula>RIGHT(J6,6)="to buy"</formula>
    </cfRule>
  </conditionalFormatting>
  <dataValidations count="1">
    <dataValidation sqref="C6:C65" showDropDown="0" showInputMessage="0" showErrorMessage="0" allowBlank="1" type="list">
      <formula1>"Family,Friends,Kids,Work,Neighbours,Other"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24" customWidth="1" min="7" max="7"/>
    <col hidden="1" width="13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1" t="n"/>
      <c r="B2" s="2" t="inlineStr">
        <is>
          <t>Budget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The gifts add up the people's budgets. Type a budget for everything else. Left takes off what is still to pay.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0" customHeight="1">
      <c r="A5" s="1" t="n"/>
      <c r="B5" s="9" t="inlineStr">
        <is>
          <t>Category</t>
        </is>
      </c>
      <c r="C5" s="9" t="inlineStr">
        <is>
          <t>Budget</t>
        </is>
      </c>
      <c r="D5" s="9" t="inlineStr">
        <is>
          <t>Spent</t>
        </is>
      </c>
      <c r="E5" s="9" t="inlineStr">
        <is>
          <t>To pay</t>
        </is>
      </c>
      <c r="F5" s="9" t="inlineStr">
        <is>
          <t>Left</t>
        </is>
      </c>
      <c r="G5" s="9" t="inlineStr">
        <is>
          <t>Used</t>
        </is>
      </c>
      <c r="H5" s="1" t="n"/>
    </row>
    <row r="6">
      <c r="A6" s="1" t="n"/>
      <c r="B6" s="10" t="inlineStr">
        <is>
          <t>Gifts</t>
        </is>
      </c>
      <c r="C6" s="12">
        <f>SUM(People!$D$6:$D$65)</f>
        <v/>
      </c>
      <c r="D6" s="12">
        <f>SUM(Gifts!$N$6:$N$305)+SUMIFS(Costs!$H$6:$H$305,Costs!$C$6:$C$305,"Gifts")</f>
        <v/>
      </c>
      <c r="E6" s="12">
        <f>SUM(Gifts!$O$6:$O$305)+SUMIFS(Costs!$I$6:$I$305,Costs!$C$6:$C$305,"Gifts")</f>
        <v/>
      </c>
      <c r="F6" s="12">
        <f>IF(OR(B6="",C6=""),"",N(C6)-D6-E6)</f>
        <v/>
      </c>
      <c r="G6" s="25">
        <f>IF(OR(B6="",N(C6)=0),"",REPT("█",MIN(16,MAX(0,ROUND(((D6+E6)/C6)*16,0))))&amp;REPT("░",16-MIN(16,MAX(0,ROUND(((D6+E6)/C6)*16,0)))))</f>
        <v/>
      </c>
      <c r="H6" s="1" t="n"/>
      <c r="I6">
        <f>IF(AND(B6&lt;&gt;"",OR(N(C6)&gt;0,N(D6)+N(E6)&gt;0)),ROW(),"")</f>
        <v/>
      </c>
    </row>
    <row r="7">
      <c r="A7" s="1" t="n"/>
      <c r="B7" s="19" t="inlineStr">
        <is>
          <t>Food and drink</t>
        </is>
      </c>
      <c r="C7" s="21" t="n">
        <v>350</v>
      </c>
      <c r="D7" s="12">
        <f>IF(B7="","",SUMIFS(Costs!$H$6:$H$305,Costs!$C$6:$C$305,B7))</f>
        <v/>
      </c>
      <c r="E7" s="12">
        <f>IF(B7="","",SUMIFS(Costs!$I$6:$I$305,Costs!$C$6:$C$305,B7))</f>
        <v/>
      </c>
      <c r="F7" s="12">
        <f>IF(OR(B7="",C7=""),"",N(C7)-D7-E7)</f>
        <v/>
      </c>
      <c r="G7" s="25">
        <f>IF(OR(B7="",N(C7)=0),"",REPT("█",MIN(16,MAX(0,ROUND(((D7+E7)/C7)*16,0))))&amp;REPT("░",16-MIN(16,MAX(0,ROUND(((D7+E7)/C7)*16,0)))))</f>
        <v/>
      </c>
      <c r="H7" s="1" t="n"/>
      <c r="I7">
        <f>IF(AND(B7&lt;&gt;"",OR(N(C7)&gt;0,N(D7)+N(E7)&gt;0)),ROW(),"")</f>
        <v/>
      </c>
    </row>
    <row r="8">
      <c r="A8" s="1" t="n"/>
      <c r="B8" s="19" t="inlineStr">
        <is>
          <t>Decorations</t>
        </is>
      </c>
      <c r="C8" s="21" t="n">
        <v>120</v>
      </c>
      <c r="D8" s="12">
        <f>IF(B8="","",SUMIFS(Costs!$H$6:$H$305,Costs!$C$6:$C$305,B8))</f>
        <v/>
      </c>
      <c r="E8" s="12">
        <f>IF(B8="","",SUMIFS(Costs!$I$6:$I$305,Costs!$C$6:$C$305,B8))</f>
        <v/>
      </c>
      <c r="F8" s="12">
        <f>IF(OR(B8="",C8=""),"",N(C8)-D8-E8)</f>
        <v/>
      </c>
      <c r="G8" s="25">
        <f>IF(OR(B8="",N(C8)=0),"",REPT("█",MIN(16,MAX(0,ROUND(((D8+E8)/C8)*16,0))))&amp;REPT("░",16-MIN(16,MAX(0,ROUND(((D8+E8)/C8)*16,0)))))</f>
        <v/>
      </c>
      <c r="H8" s="1" t="n"/>
      <c r="I8">
        <f>IF(AND(B8&lt;&gt;"",OR(N(C8)&gt;0,N(D8)+N(E8)&gt;0)),ROW(),"")</f>
        <v/>
      </c>
    </row>
    <row r="9">
      <c r="A9" s="1" t="n"/>
      <c r="B9" s="19" t="inlineStr">
        <is>
          <t>Cards and wrapping</t>
        </is>
      </c>
      <c r="C9" s="21" t="n">
        <v>80</v>
      </c>
      <c r="D9" s="12">
        <f>IF(B9="","",SUMIFS(Costs!$H$6:$H$305,Costs!$C$6:$C$305,B9))</f>
        <v/>
      </c>
      <c r="E9" s="12">
        <f>IF(B9="","",SUMIFS(Costs!$I$6:$I$305,Costs!$C$6:$C$305,B9))</f>
        <v/>
      </c>
      <c r="F9" s="12">
        <f>IF(OR(B9="",C9=""),"",N(C9)-D9-E9)</f>
        <v/>
      </c>
      <c r="G9" s="25">
        <f>IF(OR(B9="",N(C9)=0),"",REPT("█",MIN(16,MAX(0,ROUND(((D9+E9)/C9)*16,0))))&amp;REPT("░",16-MIN(16,MAX(0,ROUND(((D9+E9)/C9)*16,0)))))</f>
        <v/>
      </c>
      <c r="H9" s="1" t="n"/>
      <c r="I9">
        <f>IF(AND(B9&lt;&gt;"",OR(N(C9)&gt;0,N(D9)+N(E9)&gt;0)),ROW(),"")</f>
        <v/>
      </c>
    </row>
    <row r="10">
      <c r="A10" s="1" t="n"/>
      <c r="B10" s="19" t="inlineStr">
        <is>
          <t>Travel</t>
        </is>
      </c>
      <c r="C10" s="21" t="n">
        <v>150</v>
      </c>
      <c r="D10" s="12">
        <f>IF(B10="","",SUMIFS(Costs!$H$6:$H$305,Costs!$C$6:$C$305,B10))</f>
        <v/>
      </c>
      <c r="E10" s="12">
        <f>IF(B10="","",SUMIFS(Costs!$I$6:$I$305,Costs!$C$6:$C$305,B10))</f>
        <v/>
      </c>
      <c r="F10" s="12">
        <f>IF(OR(B10="",C10=""),"",N(C10)-D10-E10)</f>
        <v/>
      </c>
      <c r="G10" s="25">
        <f>IF(OR(B10="",N(C10)=0),"",REPT("█",MIN(16,MAX(0,ROUND(((D10+E10)/C10)*16,0))))&amp;REPT("░",16-MIN(16,MAX(0,ROUND(((D10+E10)/C10)*16,0)))))</f>
        <v/>
      </c>
      <c r="H10" s="1" t="n"/>
      <c r="I10">
        <f>IF(AND(B10&lt;&gt;"",OR(N(C10)&gt;0,N(D10)+N(E10)&gt;0)),ROW(),"")</f>
        <v/>
      </c>
    </row>
    <row r="11">
      <c r="A11" s="1" t="n"/>
      <c r="B11" s="19" t="inlineStr">
        <is>
          <t>Outings</t>
        </is>
      </c>
      <c r="C11" s="21" t="n">
        <v>150</v>
      </c>
      <c r="D11" s="12">
        <f>IF(B11="","",SUMIFS(Costs!$H$6:$H$305,Costs!$C$6:$C$305,B11))</f>
        <v/>
      </c>
      <c r="E11" s="12">
        <f>IF(B11="","",SUMIFS(Costs!$I$6:$I$305,Costs!$C$6:$C$305,B11))</f>
        <v/>
      </c>
      <c r="F11" s="12">
        <f>IF(OR(B11="",C11=""),"",N(C11)-D11-E11)</f>
        <v/>
      </c>
      <c r="G11" s="25">
        <f>IF(OR(B11="",N(C11)=0),"",REPT("█",MIN(16,MAX(0,ROUND(((D11+E11)/C11)*16,0))))&amp;REPT("░",16-MIN(16,MAX(0,ROUND(((D11+E11)/C11)*16,0)))))</f>
        <v/>
      </c>
      <c r="H11" s="1" t="n"/>
      <c r="I11">
        <f>IF(AND(B11&lt;&gt;"",OR(N(C11)&gt;0,N(D11)+N(E11)&gt;0)),ROW(),"")</f>
        <v/>
      </c>
    </row>
    <row r="12">
      <c r="A12" s="1" t="n"/>
      <c r="B12" s="19" t="inlineStr">
        <is>
          <t>Clothes</t>
        </is>
      </c>
      <c r="C12" s="21" t="n">
        <v>60</v>
      </c>
      <c r="D12" s="12">
        <f>IF(B12="","",SUMIFS(Costs!$H$6:$H$305,Costs!$C$6:$C$305,B12))</f>
        <v/>
      </c>
      <c r="E12" s="12">
        <f>IF(B12="","",SUMIFS(Costs!$I$6:$I$305,Costs!$C$6:$C$305,B12))</f>
        <v/>
      </c>
      <c r="F12" s="12">
        <f>IF(OR(B12="",C12=""),"",N(C12)-D12-E12)</f>
        <v/>
      </c>
      <c r="G12" s="25">
        <f>IF(OR(B12="",N(C12)=0),"",REPT("█",MIN(16,MAX(0,ROUND(((D12+E12)/C12)*16,0))))&amp;REPT("░",16-MIN(16,MAX(0,ROUND(((D12+E12)/C12)*16,0)))))</f>
        <v/>
      </c>
      <c r="H12" s="1" t="n"/>
      <c r="I12">
        <f>IF(AND(B12&lt;&gt;"",OR(N(C12)&gt;0,N(D12)+N(E12)&gt;0)),ROW(),"")</f>
        <v/>
      </c>
    </row>
    <row r="13">
      <c r="A13" s="1" t="n"/>
      <c r="B13" s="19" t="inlineStr">
        <is>
          <t>Charity</t>
        </is>
      </c>
      <c r="C13" s="21" t="n">
        <v>50</v>
      </c>
      <c r="D13" s="12">
        <f>IF(B13="","",SUMIFS(Costs!$H$6:$H$305,Costs!$C$6:$C$305,B13))</f>
        <v/>
      </c>
      <c r="E13" s="12">
        <f>IF(B13="","",SUMIFS(Costs!$I$6:$I$305,Costs!$C$6:$C$305,B13))</f>
        <v/>
      </c>
      <c r="F13" s="12">
        <f>IF(OR(B13="",C13=""),"",N(C13)-D13-E13)</f>
        <v/>
      </c>
      <c r="G13" s="25">
        <f>IF(OR(B13="",N(C13)=0),"",REPT("█",MIN(16,MAX(0,ROUND(((D13+E13)/C13)*16,0))))&amp;REPT("░",16-MIN(16,MAX(0,ROUND(((D13+E13)/C13)*16,0)))))</f>
        <v/>
      </c>
      <c r="H13" s="1" t="n"/>
      <c r="I13">
        <f>IF(AND(B13&lt;&gt;"",OR(N(C13)&gt;0,N(D13)+N(E13)&gt;0)),ROW(),"")</f>
        <v/>
      </c>
    </row>
    <row r="14">
      <c r="A14" s="1" t="n"/>
      <c r="B14" s="19" t="n"/>
      <c r="C14" s="21" t="n"/>
      <c r="D14" s="12">
        <f>IF(B14="","",SUMIFS(Costs!$H$6:$H$305,Costs!$C$6:$C$305,B14))</f>
        <v/>
      </c>
      <c r="E14" s="12">
        <f>IF(B14="","",SUMIFS(Costs!$I$6:$I$305,Costs!$C$6:$C$305,B14))</f>
        <v/>
      </c>
      <c r="F14" s="12">
        <f>IF(OR(B14="",C14=""),"",N(C14)-D14-E14)</f>
        <v/>
      </c>
      <c r="G14" s="25">
        <f>IF(OR(B14="",N(C14)=0),"",REPT("█",MIN(16,MAX(0,ROUND(((D14+E14)/C14)*16,0))))&amp;REPT("░",16-MIN(16,MAX(0,ROUND(((D14+E14)/C14)*16,0)))))</f>
        <v/>
      </c>
      <c r="H14" s="1" t="n"/>
      <c r="I14">
        <f>IF(AND(B14&lt;&gt;"",OR(N(C14)&gt;0,N(D14)+N(E14)&gt;0)),ROW(),"")</f>
        <v/>
      </c>
    </row>
    <row r="15">
      <c r="A15" s="1" t="n"/>
      <c r="B15" s="19" t="n"/>
      <c r="C15" s="21" t="n"/>
      <c r="D15" s="12">
        <f>IF(B15="","",SUMIFS(Costs!$H$6:$H$305,Costs!$C$6:$C$305,B15))</f>
        <v/>
      </c>
      <c r="E15" s="12">
        <f>IF(B15="","",SUMIFS(Costs!$I$6:$I$305,Costs!$C$6:$C$305,B15))</f>
        <v/>
      </c>
      <c r="F15" s="12">
        <f>IF(OR(B15="",C15=""),"",N(C15)-D15-E15)</f>
        <v/>
      </c>
      <c r="G15" s="25">
        <f>IF(OR(B15="",N(C15)=0),"",REPT("█",MIN(16,MAX(0,ROUND(((D15+E15)/C15)*16,0))))&amp;REPT("░",16-MIN(16,MAX(0,ROUND(((D15+E15)/C15)*16,0)))))</f>
        <v/>
      </c>
      <c r="H15" s="1" t="n"/>
      <c r="I15">
        <f>IF(AND(B15&lt;&gt;"",OR(N(C15)&gt;0,N(D15)+N(E15)&gt;0)),ROW(),"")</f>
        <v/>
      </c>
    </row>
    <row r="16">
      <c r="A16" s="1" t="n"/>
      <c r="B16" s="19" t="n"/>
      <c r="C16" s="21" t="n"/>
      <c r="D16" s="12">
        <f>IF(B16="","",SUMIFS(Costs!$H$6:$H$305,Costs!$C$6:$C$305,B16))</f>
        <v/>
      </c>
      <c r="E16" s="12">
        <f>IF(B16="","",SUMIFS(Costs!$I$6:$I$305,Costs!$C$6:$C$305,B16))</f>
        <v/>
      </c>
      <c r="F16" s="12">
        <f>IF(OR(B16="",C16=""),"",N(C16)-D16-E16)</f>
        <v/>
      </c>
      <c r="G16" s="25">
        <f>IF(OR(B16="",N(C16)=0),"",REPT("█",MIN(16,MAX(0,ROUND(((D16+E16)/C16)*16,0))))&amp;REPT("░",16-MIN(16,MAX(0,ROUND(((D16+E16)/C16)*16,0)))))</f>
        <v/>
      </c>
      <c r="H16" s="1" t="n"/>
      <c r="I16">
        <f>IF(AND(B16&lt;&gt;"",OR(N(C16)&gt;0,N(D16)+N(E16)&gt;0)),ROW(),"")</f>
        <v/>
      </c>
    </row>
    <row r="17">
      <c r="A17" s="1" t="n"/>
      <c r="B17" s="19" t="n"/>
      <c r="C17" s="21" t="n"/>
      <c r="D17" s="12">
        <f>IF(B17="","",SUMIFS(Costs!$H$6:$H$305,Costs!$C$6:$C$305,B17))</f>
        <v/>
      </c>
      <c r="E17" s="12">
        <f>IF(B17="","",SUMIFS(Costs!$I$6:$I$305,Costs!$C$6:$C$305,B17))</f>
        <v/>
      </c>
      <c r="F17" s="12">
        <f>IF(OR(B17="",C17=""),"",N(C17)-D17-E17)</f>
        <v/>
      </c>
      <c r="G17" s="25">
        <f>IF(OR(B17="",N(C17)=0),"",REPT("█",MIN(16,MAX(0,ROUND(((D17+E17)/C17)*16,0))))&amp;REPT("░",16-MIN(16,MAX(0,ROUND(((D17+E17)/C17)*16,0)))))</f>
        <v/>
      </c>
      <c r="H17" s="1" t="n"/>
      <c r="I17">
        <f>IF(AND(B17&lt;&gt;"",OR(N(C17)&gt;0,N(D17)+N(E17)&gt;0)),ROW(),"")</f>
        <v/>
      </c>
    </row>
    <row r="18">
      <c r="A18" s="1" t="n"/>
      <c r="B18" s="19" t="n"/>
      <c r="C18" s="21" t="n"/>
      <c r="D18" s="12">
        <f>IF(B18="","",SUMIFS(Costs!$H$6:$H$305,Costs!$C$6:$C$305,B18))</f>
        <v/>
      </c>
      <c r="E18" s="12">
        <f>IF(B18="","",SUMIFS(Costs!$I$6:$I$305,Costs!$C$6:$C$305,B18))</f>
        <v/>
      </c>
      <c r="F18" s="12">
        <f>IF(OR(B18="",C18=""),"",N(C18)-D18-E18)</f>
        <v/>
      </c>
      <c r="G18" s="25">
        <f>IF(OR(B18="",N(C18)=0),"",REPT("█",MIN(16,MAX(0,ROUND(((D18+E18)/C18)*16,0))))&amp;REPT("░",16-MIN(16,MAX(0,ROUND(((D18+E18)/C18)*16,0)))))</f>
        <v/>
      </c>
      <c r="H18" s="1" t="n"/>
      <c r="I18">
        <f>IF(AND(B18&lt;&gt;"",OR(N(C18)&gt;0,N(D18)+N(E18)&gt;0)),ROW(),"")</f>
        <v/>
      </c>
    </row>
    <row r="19">
      <c r="A19" s="1" t="n"/>
      <c r="B19" s="19" t="n"/>
      <c r="C19" s="21" t="n"/>
      <c r="D19" s="12">
        <f>IF(B19="","",SUMIFS(Costs!$H$6:$H$305,Costs!$C$6:$C$305,B19))</f>
        <v/>
      </c>
      <c r="E19" s="12">
        <f>IF(B19="","",SUMIFS(Costs!$I$6:$I$305,Costs!$C$6:$C$305,B19))</f>
        <v/>
      </c>
      <c r="F19" s="12">
        <f>IF(OR(B19="",C19=""),"",N(C19)-D19-E19)</f>
        <v/>
      </c>
      <c r="G19" s="25">
        <f>IF(OR(B19="",N(C19)=0),"",REPT("█",MIN(16,MAX(0,ROUND(((D19+E19)/C19)*16,0))))&amp;REPT("░",16-MIN(16,MAX(0,ROUND(((D19+E19)/C19)*16,0)))))</f>
        <v/>
      </c>
      <c r="H19" s="1" t="n"/>
      <c r="I19">
        <f>IF(AND(B19&lt;&gt;"",OR(N(C19)&gt;0,N(D19)+N(E19)&gt;0)),ROW(),"")</f>
        <v/>
      </c>
    </row>
    <row r="20">
      <c r="A20" s="1" t="n"/>
      <c r="B20" s="19" t="n"/>
      <c r="C20" s="21" t="n"/>
      <c r="D20" s="12">
        <f>IF(B20="","",SUMIFS(Costs!$H$6:$H$305,Costs!$C$6:$C$305,B20))</f>
        <v/>
      </c>
      <c r="E20" s="12">
        <f>IF(B20="","",SUMIFS(Costs!$I$6:$I$305,Costs!$C$6:$C$305,B20))</f>
        <v/>
      </c>
      <c r="F20" s="12">
        <f>IF(OR(B20="",C20=""),"",N(C20)-D20-E20)</f>
        <v/>
      </c>
      <c r="G20" s="25">
        <f>IF(OR(B20="",N(C20)=0),"",REPT("█",MIN(16,MAX(0,ROUND(((D20+E20)/C20)*16,0))))&amp;REPT("░",16-MIN(16,MAX(0,ROUND(((D20+E20)/C20)*16,0)))))</f>
        <v/>
      </c>
      <c r="H20" s="1" t="n"/>
      <c r="I20">
        <f>IF(AND(B20&lt;&gt;"",OR(N(C20)&gt;0,N(D20)+N(E20)&gt;0)),ROW(),"")</f>
        <v/>
      </c>
    </row>
    <row r="21">
      <c r="A21" s="1" t="n"/>
      <c r="B21" s="10">
        <f>IF(AND(D21=0,E21=0),"","Not on this list")</f>
        <v/>
      </c>
      <c r="C21" s="15" t="n"/>
      <c r="D21" s="13">
        <f>SUM(Costs!$H$6:$H$305)-SUMIFS(Costs!$H$6:$H$305,Costs!$C$6:$C$305,"Gifts")-SUM(D7:D20)</f>
        <v/>
      </c>
      <c r="E21" s="13">
        <f>SUM(Costs!$I$6:$I$305)-SUMIFS(Costs!$I$6:$I$305,Costs!$C$6:$C$305,"Gifts")-SUM(E7:E20)</f>
        <v/>
      </c>
      <c r="F21" s="12">
        <f>IF(OR(B21="",C21=""),"",N(C21)-D21-E21)</f>
        <v/>
      </c>
      <c r="G21" s="25">
        <f>IF(OR(B21="",N(C21)=0),"",REPT("█",MIN(16,MAX(0,ROUND(((D21+E21)/C21)*16,0))))&amp;REPT("░",16-MIN(16,MAX(0,ROUND(((D21+E21)/C21)*16,0)))))</f>
        <v/>
      </c>
      <c r="H21" s="1" t="n"/>
      <c r="I21">
        <f>IF(AND(B21&lt;&gt;"",OR(N(C21)&gt;0,N(D21)+N(E21)&gt;0)),ROW(),"")</f>
        <v/>
      </c>
    </row>
    <row r="22">
      <c r="A22" s="1" t="n"/>
      <c r="B22" s="26" t="inlineStr">
        <is>
          <t>Total</t>
        </is>
      </c>
      <c r="C22" s="27">
        <f>SUM(C6:C20)</f>
        <v/>
      </c>
      <c r="D22" s="27">
        <f>SUM(D6:D21)</f>
        <v/>
      </c>
      <c r="E22" s="27">
        <f>SUM(E6:E21)</f>
        <v/>
      </c>
      <c r="F22" s="27">
        <f>C22-D22-E22</f>
        <v/>
      </c>
      <c r="G22" s="28">
        <f>IF(N(C22)=0,"",REPT("█",MIN(16,MAX(0,ROUND(((D22+E22)/C22)*16,0))))&amp;REPT("░",16-MIN(16,MAX(0,ROUND(((D22+E22)/C22)*16,0)))))</f>
        <v/>
      </c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</sheetData>
  <conditionalFormatting sqref="F6:F22">
    <cfRule type="expression" priority="1" dxfId="2">
      <formula>AND(ISNUMBER(F6),F6&lt;0)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0" customWidth="1" min="3" max="3"/>
    <col width="30" customWidth="1" min="4" max="4"/>
    <col width="11" customWidth="1" min="5" max="5"/>
    <col width="11" customWidth="1" min="6" max="6"/>
    <col hidden="1" width="13" customWidth="1" min="8" max="8"/>
    <col hidden="1" width="13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2" customHeight="1">
      <c r="A2" s="1" t="n"/>
      <c r="B2" s="2" t="inlineStr">
        <is>
          <t>Costs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Everything else Christmas costs: what you plan to spend, and what you paid.</t>
        </is>
      </c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 ht="30" customHeight="1">
      <c r="A5" s="1" t="n"/>
      <c r="B5" s="9" t="inlineStr">
        <is>
          <t>Date</t>
        </is>
      </c>
      <c r="C5" s="9" t="inlineStr">
        <is>
          <t>Category</t>
        </is>
      </c>
      <c r="D5" s="9" t="inlineStr">
        <is>
          <t>What</t>
        </is>
      </c>
      <c r="E5" s="9" t="inlineStr">
        <is>
          <t>Planned</t>
        </is>
      </c>
      <c r="F5" s="9" t="inlineStr">
        <is>
          <t>Paid</t>
        </is>
      </c>
      <c r="G5" s="1" t="n"/>
    </row>
    <row r="6">
      <c r="A6" s="1" t="n"/>
      <c r="B6" s="29" t="n">
        <v>46285</v>
      </c>
      <c r="C6" s="20" t="inlineStr">
        <is>
          <t>Decorations</t>
        </is>
      </c>
      <c r="D6" s="20" t="inlineStr">
        <is>
          <t>Advent calendars</t>
        </is>
      </c>
      <c r="E6" s="21" t="n">
        <v>24</v>
      </c>
      <c r="F6" s="21" t="n">
        <v>24</v>
      </c>
      <c r="G6" s="1" t="n"/>
      <c r="H6">
        <f>N(F6)</f>
        <v/>
      </c>
      <c r="I6">
        <f>IF(F6="",N(E6),0)</f>
        <v/>
      </c>
    </row>
    <row r="7">
      <c r="A7" s="1" t="n"/>
      <c r="B7" s="29" t="n">
        <v>46290</v>
      </c>
      <c r="C7" s="20" t="inlineStr">
        <is>
          <t>Cards and wrapping</t>
        </is>
      </c>
      <c r="D7" s="20" t="inlineStr">
        <is>
          <t>Box of 30 cards</t>
        </is>
      </c>
      <c r="E7" s="21" t="n">
        <v>15</v>
      </c>
      <c r="F7" s="21" t="n">
        <v>15</v>
      </c>
      <c r="G7" s="1" t="n"/>
      <c r="H7">
        <f>N(F7)</f>
        <v/>
      </c>
      <c r="I7">
        <f>IF(F7="",N(E7),0)</f>
        <v/>
      </c>
    </row>
    <row r="8">
      <c r="A8" s="1" t="n"/>
      <c r="B8" s="29" t="n">
        <v>46290</v>
      </c>
      <c r="C8" s="20" t="inlineStr">
        <is>
          <t>Cards and wrapping</t>
        </is>
      </c>
      <c r="D8" s="20" t="inlineStr">
        <is>
          <t>Wrapping paper and tags</t>
        </is>
      </c>
      <c r="E8" s="21" t="n">
        <v>20</v>
      </c>
      <c r="F8" s="21" t="n">
        <v>18</v>
      </c>
      <c r="G8" s="1" t="n"/>
      <c r="H8">
        <f>N(F8)</f>
        <v/>
      </c>
      <c r="I8">
        <f>IF(F8="",N(E8),0)</f>
        <v/>
      </c>
    </row>
    <row r="9">
      <c r="A9" s="1" t="n"/>
      <c r="B9" s="29" t="n">
        <v>46357</v>
      </c>
      <c r="C9" s="20" t="inlineStr">
        <is>
          <t>Cards and wrapping</t>
        </is>
      </c>
      <c r="D9" s="20" t="inlineStr">
        <is>
          <t>Stamps</t>
        </is>
      </c>
      <c r="E9" s="21" t="n">
        <v>25</v>
      </c>
      <c r="F9" s="21" t="n"/>
      <c r="G9" s="1" t="n"/>
      <c r="H9">
        <f>N(F9)</f>
        <v/>
      </c>
      <c r="I9">
        <f>IF(F9="",N(E9),0)</f>
        <v/>
      </c>
    </row>
    <row r="10">
      <c r="A10" s="1" t="n"/>
      <c r="B10" s="29" t="n">
        <v>46361</v>
      </c>
      <c r="C10" s="20" t="inlineStr">
        <is>
          <t>Decorations</t>
        </is>
      </c>
      <c r="D10" s="20" t="inlineStr">
        <is>
          <t>Real tree</t>
        </is>
      </c>
      <c r="E10" s="21" t="n">
        <v>60</v>
      </c>
      <c r="F10" s="21" t="n"/>
      <c r="G10" s="1" t="n"/>
      <c r="H10">
        <f>N(F10)</f>
        <v/>
      </c>
      <c r="I10">
        <f>IF(F10="",N(E10),0)</f>
        <v/>
      </c>
    </row>
    <row r="11">
      <c r="A11" s="1" t="n"/>
      <c r="B11" s="29" t="n">
        <v>46361</v>
      </c>
      <c r="C11" s="20" t="inlineStr">
        <is>
          <t>Decorations</t>
        </is>
      </c>
      <c r="D11" s="20" t="inlineStr">
        <is>
          <t>New lights</t>
        </is>
      </c>
      <c r="E11" s="21" t="n">
        <v>30</v>
      </c>
      <c r="F11" s="21" t="n"/>
      <c r="G11" s="1" t="n"/>
      <c r="H11">
        <f>N(F11)</f>
        <v/>
      </c>
      <c r="I11">
        <f>IF(F11="",N(E11),0)</f>
        <v/>
      </c>
    </row>
    <row r="12">
      <c r="A12" s="1" t="n"/>
      <c r="B12" s="29" t="n">
        <v>46281</v>
      </c>
      <c r="C12" s="20" t="inlineStr">
        <is>
          <t>Travel</t>
        </is>
      </c>
      <c r="D12" s="20" t="inlineStr">
        <is>
          <t>Train tickets to Grandma's</t>
        </is>
      </c>
      <c r="E12" s="21" t="n">
        <v>90</v>
      </c>
      <c r="F12" s="21" t="n">
        <v>86</v>
      </c>
      <c r="G12" s="1" t="n"/>
      <c r="H12">
        <f>N(F12)</f>
        <v/>
      </c>
      <c r="I12">
        <f>IF(F12="",N(E12),0)</f>
        <v/>
      </c>
    </row>
    <row r="13">
      <c r="A13" s="1" t="n"/>
      <c r="B13" s="29" t="n">
        <v>46376</v>
      </c>
      <c r="C13" s="20" t="inlineStr">
        <is>
          <t>Travel</t>
        </is>
      </c>
      <c r="D13" s="20" t="inlineStr">
        <is>
          <t>Fuel</t>
        </is>
      </c>
      <c r="E13" s="21" t="n">
        <v>40</v>
      </c>
      <c r="F13" s="21" t="n"/>
      <c r="G13" s="1" t="n"/>
      <c r="H13">
        <f>N(F13)</f>
        <v/>
      </c>
      <c r="I13">
        <f>IF(F13="",N(E13),0)</f>
        <v/>
      </c>
    </row>
    <row r="14">
      <c r="A14" s="1" t="n"/>
      <c r="B14" s="29" t="n">
        <v>46288</v>
      </c>
      <c r="C14" s="20" t="inlineStr">
        <is>
          <t>Outings</t>
        </is>
      </c>
      <c r="D14" s="20" t="inlineStr">
        <is>
          <t>Pantomime tickets</t>
        </is>
      </c>
      <c r="E14" s="21" t="n">
        <v>96</v>
      </c>
      <c r="F14" s="21" t="n">
        <v>96</v>
      </c>
      <c r="G14" s="1" t="n"/>
      <c r="H14">
        <f>N(F14)</f>
        <v/>
      </c>
      <c r="I14">
        <f>IF(F14="",N(E14),0)</f>
        <v/>
      </c>
    </row>
    <row r="15">
      <c r="A15" s="1" t="n"/>
      <c r="B15" s="29" t="n">
        <v>46375</v>
      </c>
      <c r="C15" s="20" t="inlineStr">
        <is>
          <t>Outings</t>
        </is>
      </c>
      <c r="D15" s="20" t="inlineStr">
        <is>
          <t>Christmas market</t>
        </is>
      </c>
      <c r="E15" s="21" t="n">
        <v>40</v>
      </c>
      <c r="F15" s="21" t="n"/>
      <c r="G15" s="1" t="n"/>
      <c r="H15">
        <f>N(F15)</f>
        <v/>
      </c>
      <c r="I15">
        <f>IF(F15="",N(E15),0)</f>
        <v/>
      </c>
    </row>
    <row r="16">
      <c r="A16" s="1" t="n"/>
      <c r="B16" s="29" t="n">
        <v>46378</v>
      </c>
      <c r="C16" s="20" t="inlineStr">
        <is>
          <t>Food and drink</t>
        </is>
      </c>
      <c r="D16" s="20" t="inlineStr">
        <is>
          <t>Turkey</t>
        </is>
      </c>
      <c r="E16" s="21" t="n">
        <v>60</v>
      </c>
      <c r="F16" s="21" t="n"/>
      <c r="G16" s="1" t="n"/>
      <c r="H16">
        <f>N(F16)</f>
        <v/>
      </c>
      <c r="I16">
        <f>IF(F16="",N(E16),0)</f>
        <v/>
      </c>
    </row>
    <row r="17">
      <c r="A17" s="1" t="n"/>
      <c r="B17" s="29" t="n">
        <v>46379</v>
      </c>
      <c r="C17" s="20" t="inlineStr">
        <is>
          <t>Food and drink</t>
        </is>
      </c>
      <c r="D17" s="20" t="inlineStr">
        <is>
          <t>Big food shop</t>
        </is>
      </c>
      <c r="E17" s="21" t="n">
        <v>180</v>
      </c>
      <c r="F17" s="21" t="n"/>
      <c r="G17" s="1" t="n"/>
      <c r="H17">
        <f>N(F17)</f>
        <v/>
      </c>
      <c r="I17">
        <f>IF(F17="",N(E17),0)</f>
        <v/>
      </c>
    </row>
    <row r="18">
      <c r="A18" s="1" t="n"/>
      <c r="B18" s="29" t="n">
        <v>46292</v>
      </c>
      <c r="C18" s="20" t="inlineStr">
        <is>
          <t>Food and drink</t>
        </is>
      </c>
      <c r="D18" s="20" t="inlineStr">
        <is>
          <t>Drinks</t>
        </is>
      </c>
      <c r="E18" s="21" t="n">
        <v>70</v>
      </c>
      <c r="F18" s="21" t="n">
        <v>64</v>
      </c>
      <c r="G18" s="1" t="n"/>
      <c r="H18">
        <f>N(F18)</f>
        <v/>
      </c>
      <c r="I18">
        <f>IF(F18="",N(E18),0)</f>
        <v/>
      </c>
    </row>
    <row r="19">
      <c r="A19" s="1" t="n"/>
      <c r="B19" s="29" t="n">
        <v>46366</v>
      </c>
      <c r="C19" s="20" t="inlineStr">
        <is>
          <t>Clothes</t>
        </is>
      </c>
      <c r="D19" s="20" t="inlineStr">
        <is>
          <t>Christmas jumpers</t>
        </is>
      </c>
      <c r="E19" s="21" t="n">
        <v>45</v>
      </c>
      <c r="F19" s="21" t="n"/>
      <c r="G19" s="1" t="n"/>
      <c r="H19">
        <f>N(F19)</f>
        <v/>
      </c>
      <c r="I19">
        <f>IF(F19="",N(E19),0)</f>
        <v/>
      </c>
    </row>
    <row r="20">
      <c r="A20" s="1" t="n"/>
      <c r="B20" s="29" t="n">
        <v>46371</v>
      </c>
      <c r="C20" s="20" t="inlineStr">
        <is>
          <t>Charity</t>
        </is>
      </c>
      <c r="D20" s="20" t="inlineStr">
        <is>
          <t>Food bank donation</t>
        </is>
      </c>
      <c r="E20" s="21" t="n">
        <v>50</v>
      </c>
      <c r="F20" s="21" t="n"/>
      <c r="G20" s="1" t="n"/>
      <c r="H20">
        <f>N(F20)</f>
        <v/>
      </c>
      <c r="I20">
        <f>IF(F20="",N(E20),0)</f>
        <v/>
      </c>
    </row>
    <row r="21">
      <c r="A21" s="1" t="n"/>
      <c r="B21" s="29" t="n"/>
      <c r="C21" s="20" t="n"/>
      <c r="D21" s="20" t="n"/>
      <c r="E21" s="21" t="n"/>
      <c r="F21" s="21" t="n"/>
      <c r="G21" s="1" t="n"/>
      <c r="H21">
        <f>N(F21)</f>
        <v/>
      </c>
      <c r="I21">
        <f>IF(F21="",N(E21),0)</f>
        <v/>
      </c>
    </row>
    <row r="22">
      <c r="A22" s="1" t="n"/>
      <c r="B22" s="29" t="n"/>
      <c r="C22" s="20" t="n"/>
      <c r="D22" s="20" t="n"/>
      <c r="E22" s="21" t="n"/>
      <c r="F22" s="21" t="n"/>
      <c r="G22" s="1" t="n"/>
      <c r="H22">
        <f>N(F22)</f>
        <v/>
      </c>
      <c r="I22">
        <f>IF(F22="",N(E22),0)</f>
        <v/>
      </c>
    </row>
    <row r="23">
      <c r="A23" s="1" t="n"/>
      <c r="B23" s="29" t="n"/>
      <c r="C23" s="20" t="n"/>
      <c r="D23" s="20" t="n"/>
      <c r="E23" s="21" t="n"/>
      <c r="F23" s="21" t="n"/>
      <c r="G23" s="1" t="n"/>
      <c r="H23">
        <f>N(F23)</f>
        <v/>
      </c>
      <c r="I23">
        <f>IF(F23="",N(E23),0)</f>
        <v/>
      </c>
    </row>
    <row r="24">
      <c r="A24" s="1" t="n"/>
      <c r="B24" s="29" t="n"/>
      <c r="C24" s="20" t="n"/>
      <c r="D24" s="20" t="n"/>
      <c r="E24" s="21" t="n"/>
      <c r="F24" s="21" t="n"/>
      <c r="G24" s="1" t="n"/>
      <c r="H24">
        <f>N(F24)</f>
        <v/>
      </c>
      <c r="I24">
        <f>IF(F24="",N(E24),0)</f>
        <v/>
      </c>
    </row>
    <row r="25">
      <c r="A25" s="1" t="n"/>
      <c r="B25" s="29" t="n"/>
      <c r="C25" s="20" t="n"/>
      <c r="D25" s="20" t="n"/>
      <c r="E25" s="21" t="n"/>
      <c r="F25" s="21" t="n"/>
      <c r="G25" s="1" t="n"/>
      <c r="H25">
        <f>N(F25)</f>
        <v/>
      </c>
      <c r="I25">
        <f>IF(F25="",N(E25),0)</f>
        <v/>
      </c>
    </row>
    <row r="26">
      <c r="A26" s="1" t="n"/>
      <c r="B26" s="29" t="n"/>
      <c r="C26" s="20" t="n"/>
      <c r="D26" s="20" t="n"/>
      <c r="E26" s="21" t="n"/>
      <c r="F26" s="21" t="n"/>
      <c r="G26" s="1" t="n"/>
      <c r="H26">
        <f>N(F26)</f>
        <v/>
      </c>
      <c r="I26">
        <f>IF(F26="",N(E26),0)</f>
        <v/>
      </c>
    </row>
    <row r="27">
      <c r="A27" s="1" t="n"/>
      <c r="B27" s="29" t="n"/>
      <c r="C27" s="20" t="n"/>
      <c r="D27" s="20" t="n"/>
      <c r="E27" s="21" t="n"/>
      <c r="F27" s="21" t="n"/>
      <c r="G27" s="1" t="n"/>
      <c r="H27">
        <f>N(F27)</f>
        <v/>
      </c>
      <c r="I27">
        <f>IF(F27="",N(E27),0)</f>
        <v/>
      </c>
    </row>
    <row r="28">
      <c r="A28" s="1" t="n"/>
      <c r="B28" s="29" t="n"/>
      <c r="C28" s="20" t="n"/>
      <c r="D28" s="20" t="n"/>
      <c r="E28" s="21" t="n"/>
      <c r="F28" s="21" t="n"/>
      <c r="G28" s="1" t="n"/>
      <c r="H28">
        <f>N(F28)</f>
        <v/>
      </c>
      <c r="I28">
        <f>IF(F28="",N(E28),0)</f>
        <v/>
      </c>
    </row>
    <row r="29">
      <c r="A29" s="1" t="n"/>
      <c r="B29" s="29" t="n"/>
      <c r="C29" s="20" t="n"/>
      <c r="D29" s="20" t="n"/>
      <c r="E29" s="21" t="n"/>
      <c r="F29" s="21" t="n"/>
      <c r="G29" s="1" t="n"/>
      <c r="H29">
        <f>N(F29)</f>
        <v/>
      </c>
      <c r="I29">
        <f>IF(F29="",N(E29),0)</f>
        <v/>
      </c>
    </row>
    <row r="30">
      <c r="A30" s="1" t="n"/>
      <c r="B30" s="29" t="n"/>
      <c r="C30" s="20" t="n"/>
      <c r="D30" s="20" t="n"/>
      <c r="E30" s="21" t="n"/>
      <c r="F30" s="21" t="n"/>
      <c r="G30" s="1" t="n"/>
      <c r="H30">
        <f>N(F30)</f>
        <v/>
      </c>
      <c r="I30">
        <f>IF(F30="",N(E30),0)</f>
        <v/>
      </c>
    </row>
    <row r="31">
      <c r="A31" s="1" t="n"/>
      <c r="B31" s="29" t="n"/>
      <c r="C31" s="20" t="n"/>
      <c r="D31" s="20" t="n"/>
      <c r="E31" s="21" t="n"/>
      <c r="F31" s="21" t="n"/>
      <c r="G31" s="1" t="n"/>
      <c r="H31">
        <f>N(F31)</f>
        <v/>
      </c>
      <c r="I31">
        <f>IF(F31="",N(E31),0)</f>
        <v/>
      </c>
    </row>
    <row r="32">
      <c r="A32" s="1" t="n"/>
      <c r="B32" s="29" t="n"/>
      <c r="C32" s="20" t="n"/>
      <c r="D32" s="20" t="n"/>
      <c r="E32" s="21" t="n"/>
      <c r="F32" s="21" t="n"/>
      <c r="G32" s="1" t="n"/>
      <c r="H32">
        <f>N(F32)</f>
        <v/>
      </c>
      <c r="I32">
        <f>IF(F32="",N(E32),0)</f>
        <v/>
      </c>
    </row>
    <row r="33">
      <c r="A33" s="1" t="n"/>
      <c r="B33" s="29" t="n"/>
      <c r="C33" s="20" t="n"/>
      <c r="D33" s="20" t="n"/>
      <c r="E33" s="21" t="n"/>
      <c r="F33" s="21" t="n"/>
      <c r="G33" s="1" t="n"/>
      <c r="H33">
        <f>N(F33)</f>
        <v/>
      </c>
      <c r="I33">
        <f>IF(F33="",N(E33),0)</f>
        <v/>
      </c>
    </row>
    <row r="34">
      <c r="A34" s="1" t="n"/>
      <c r="B34" s="29" t="n"/>
      <c r="C34" s="20" t="n"/>
      <c r="D34" s="20" t="n"/>
      <c r="E34" s="21" t="n"/>
      <c r="F34" s="21" t="n"/>
      <c r="G34" s="1" t="n"/>
      <c r="H34">
        <f>N(F34)</f>
        <v/>
      </c>
      <c r="I34">
        <f>IF(F34="",N(E34),0)</f>
        <v/>
      </c>
    </row>
    <row r="35">
      <c r="A35" s="1" t="n"/>
      <c r="B35" s="29" t="n"/>
      <c r="C35" s="20" t="n"/>
      <c r="D35" s="20" t="n"/>
      <c r="E35" s="21" t="n"/>
      <c r="F35" s="21" t="n"/>
      <c r="G35" s="1" t="n"/>
      <c r="H35">
        <f>N(F35)</f>
        <v/>
      </c>
      <c r="I35">
        <f>IF(F35="",N(E35),0)</f>
        <v/>
      </c>
    </row>
    <row r="36">
      <c r="A36" s="1" t="n"/>
      <c r="B36" s="29" t="n"/>
      <c r="C36" s="20" t="n"/>
      <c r="D36" s="20" t="n"/>
      <c r="E36" s="21" t="n"/>
      <c r="F36" s="21" t="n"/>
      <c r="G36" s="1" t="n"/>
      <c r="H36">
        <f>N(F36)</f>
        <v/>
      </c>
      <c r="I36">
        <f>IF(F36="",N(E36),0)</f>
        <v/>
      </c>
    </row>
    <row r="37">
      <c r="A37" s="1" t="n"/>
      <c r="B37" s="29" t="n"/>
      <c r="C37" s="20" t="n"/>
      <c r="D37" s="20" t="n"/>
      <c r="E37" s="21" t="n"/>
      <c r="F37" s="21" t="n"/>
      <c r="G37" s="1" t="n"/>
      <c r="H37">
        <f>N(F37)</f>
        <v/>
      </c>
      <c r="I37">
        <f>IF(F37="",N(E37),0)</f>
        <v/>
      </c>
    </row>
    <row r="38">
      <c r="A38" s="1" t="n"/>
      <c r="B38" s="29" t="n"/>
      <c r="C38" s="20" t="n"/>
      <c r="D38" s="20" t="n"/>
      <c r="E38" s="21" t="n"/>
      <c r="F38" s="21" t="n"/>
      <c r="G38" s="1" t="n"/>
      <c r="H38">
        <f>N(F38)</f>
        <v/>
      </c>
      <c r="I38">
        <f>IF(F38="",N(E38),0)</f>
        <v/>
      </c>
    </row>
    <row r="39">
      <c r="A39" s="1" t="n"/>
      <c r="B39" s="29" t="n"/>
      <c r="C39" s="20" t="n"/>
      <c r="D39" s="20" t="n"/>
      <c r="E39" s="21" t="n"/>
      <c r="F39" s="21" t="n"/>
      <c r="G39" s="1" t="n"/>
      <c r="H39">
        <f>N(F39)</f>
        <v/>
      </c>
      <c r="I39">
        <f>IF(F39="",N(E39),0)</f>
        <v/>
      </c>
    </row>
    <row r="40">
      <c r="A40" s="1" t="n"/>
      <c r="B40" s="29" t="n"/>
      <c r="C40" s="20" t="n"/>
      <c r="D40" s="20" t="n"/>
      <c r="E40" s="21" t="n"/>
      <c r="F40" s="21" t="n"/>
      <c r="G40" s="1" t="n"/>
      <c r="H40">
        <f>N(F40)</f>
        <v/>
      </c>
      <c r="I40">
        <f>IF(F40="",N(E40),0)</f>
        <v/>
      </c>
    </row>
    <row r="41">
      <c r="A41" s="1" t="n"/>
      <c r="B41" s="29" t="n"/>
      <c r="C41" s="20" t="n"/>
      <c r="D41" s="20" t="n"/>
      <c r="E41" s="21" t="n"/>
      <c r="F41" s="21" t="n"/>
      <c r="G41" s="1" t="n"/>
      <c r="H41">
        <f>N(F41)</f>
        <v/>
      </c>
      <c r="I41">
        <f>IF(F41="",N(E41),0)</f>
        <v/>
      </c>
    </row>
    <row r="42">
      <c r="A42" s="1" t="n"/>
      <c r="B42" s="29" t="n"/>
      <c r="C42" s="20" t="n"/>
      <c r="D42" s="20" t="n"/>
      <c r="E42" s="21" t="n"/>
      <c r="F42" s="21" t="n"/>
      <c r="G42" s="1" t="n"/>
      <c r="H42">
        <f>N(F42)</f>
        <v/>
      </c>
      <c r="I42">
        <f>IF(F42="",N(E42),0)</f>
        <v/>
      </c>
    </row>
    <row r="43">
      <c r="A43" s="1" t="n"/>
      <c r="B43" s="29" t="n"/>
      <c r="C43" s="20" t="n"/>
      <c r="D43" s="20" t="n"/>
      <c r="E43" s="21" t="n"/>
      <c r="F43" s="21" t="n"/>
      <c r="G43" s="1" t="n"/>
      <c r="H43">
        <f>N(F43)</f>
        <v/>
      </c>
      <c r="I43">
        <f>IF(F43="",N(E43),0)</f>
        <v/>
      </c>
    </row>
    <row r="44">
      <c r="A44" s="1" t="n"/>
      <c r="B44" s="29" t="n"/>
      <c r="C44" s="20" t="n"/>
      <c r="D44" s="20" t="n"/>
      <c r="E44" s="21" t="n"/>
      <c r="F44" s="21" t="n"/>
      <c r="G44" s="1" t="n"/>
      <c r="H44">
        <f>N(F44)</f>
        <v/>
      </c>
      <c r="I44">
        <f>IF(F44="",N(E44),0)</f>
        <v/>
      </c>
    </row>
    <row r="45">
      <c r="A45" s="1" t="n"/>
      <c r="B45" s="29" t="n"/>
      <c r="C45" s="20" t="n"/>
      <c r="D45" s="20" t="n"/>
      <c r="E45" s="21" t="n"/>
      <c r="F45" s="21" t="n"/>
      <c r="G45" s="1" t="n"/>
      <c r="H45">
        <f>N(F45)</f>
        <v/>
      </c>
      <c r="I45">
        <f>IF(F45="",N(E45),0)</f>
        <v/>
      </c>
    </row>
    <row r="46">
      <c r="A46" s="1" t="n"/>
      <c r="B46" s="29" t="n"/>
      <c r="C46" s="20" t="n"/>
      <c r="D46" s="20" t="n"/>
      <c r="E46" s="21" t="n"/>
      <c r="F46" s="21" t="n"/>
      <c r="G46" s="1" t="n"/>
      <c r="H46">
        <f>N(F46)</f>
        <v/>
      </c>
      <c r="I46">
        <f>IF(F46="",N(E46),0)</f>
        <v/>
      </c>
    </row>
    <row r="47">
      <c r="A47" s="1" t="n"/>
      <c r="B47" s="29" t="n"/>
      <c r="C47" s="20" t="n"/>
      <c r="D47" s="20" t="n"/>
      <c r="E47" s="21" t="n"/>
      <c r="F47" s="21" t="n"/>
      <c r="G47" s="1" t="n"/>
      <c r="H47">
        <f>N(F47)</f>
        <v/>
      </c>
      <c r="I47">
        <f>IF(F47="",N(E47),0)</f>
        <v/>
      </c>
    </row>
    <row r="48">
      <c r="A48" s="1" t="n"/>
      <c r="B48" s="29" t="n"/>
      <c r="C48" s="20" t="n"/>
      <c r="D48" s="20" t="n"/>
      <c r="E48" s="21" t="n"/>
      <c r="F48" s="21" t="n"/>
      <c r="G48" s="1" t="n"/>
      <c r="H48">
        <f>N(F48)</f>
        <v/>
      </c>
      <c r="I48">
        <f>IF(F48="",N(E48),0)</f>
        <v/>
      </c>
    </row>
    <row r="49">
      <c r="A49" s="1" t="n"/>
      <c r="B49" s="29" t="n"/>
      <c r="C49" s="20" t="n"/>
      <c r="D49" s="20" t="n"/>
      <c r="E49" s="21" t="n"/>
      <c r="F49" s="21" t="n"/>
      <c r="G49" s="1" t="n"/>
      <c r="H49">
        <f>N(F49)</f>
        <v/>
      </c>
      <c r="I49">
        <f>IF(F49="",N(E49),0)</f>
        <v/>
      </c>
    </row>
    <row r="50">
      <c r="A50" s="1" t="n"/>
      <c r="B50" s="29" t="n"/>
      <c r="C50" s="20" t="n"/>
      <c r="D50" s="20" t="n"/>
      <c r="E50" s="21" t="n"/>
      <c r="F50" s="21" t="n"/>
      <c r="G50" s="1" t="n"/>
      <c r="H50">
        <f>N(F50)</f>
        <v/>
      </c>
      <c r="I50">
        <f>IF(F50="",N(E50),0)</f>
        <v/>
      </c>
    </row>
    <row r="51">
      <c r="A51" s="1" t="n"/>
      <c r="B51" s="29" t="n"/>
      <c r="C51" s="20" t="n"/>
      <c r="D51" s="20" t="n"/>
      <c r="E51" s="21" t="n"/>
      <c r="F51" s="21" t="n"/>
      <c r="G51" s="1" t="n"/>
      <c r="H51">
        <f>N(F51)</f>
        <v/>
      </c>
      <c r="I51">
        <f>IF(F51="",N(E51),0)</f>
        <v/>
      </c>
    </row>
    <row r="52">
      <c r="A52" s="1" t="n"/>
      <c r="B52" s="29" t="n"/>
      <c r="C52" s="20" t="n"/>
      <c r="D52" s="20" t="n"/>
      <c r="E52" s="21" t="n"/>
      <c r="F52" s="21" t="n"/>
      <c r="G52" s="1" t="n"/>
      <c r="H52">
        <f>N(F52)</f>
        <v/>
      </c>
      <c r="I52">
        <f>IF(F52="",N(E52),0)</f>
        <v/>
      </c>
    </row>
    <row r="53">
      <c r="A53" s="1" t="n"/>
      <c r="B53" s="29" t="n"/>
      <c r="C53" s="20" t="n"/>
      <c r="D53" s="20" t="n"/>
      <c r="E53" s="21" t="n"/>
      <c r="F53" s="21" t="n"/>
      <c r="G53" s="1" t="n"/>
      <c r="H53">
        <f>N(F53)</f>
        <v/>
      </c>
      <c r="I53">
        <f>IF(F53="",N(E53),0)</f>
        <v/>
      </c>
    </row>
    <row r="54">
      <c r="A54" s="1" t="n"/>
      <c r="B54" s="29" t="n"/>
      <c r="C54" s="20" t="n"/>
      <c r="D54" s="20" t="n"/>
      <c r="E54" s="21" t="n"/>
      <c r="F54" s="21" t="n"/>
      <c r="G54" s="1" t="n"/>
      <c r="H54">
        <f>N(F54)</f>
        <v/>
      </c>
      <c r="I54">
        <f>IF(F54="",N(E54),0)</f>
        <v/>
      </c>
    </row>
    <row r="55">
      <c r="A55" s="1" t="n"/>
      <c r="B55" s="29" t="n"/>
      <c r="C55" s="20" t="n"/>
      <c r="D55" s="20" t="n"/>
      <c r="E55" s="21" t="n"/>
      <c r="F55" s="21" t="n"/>
      <c r="G55" s="1" t="n"/>
      <c r="H55">
        <f>N(F55)</f>
        <v/>
      </c>
      <c r="I55">
        <f>IF(F55="",N(E55),0)</f>
        <v/>
      </c>
    </row>
    <row r="56">
      <c r="A56" s="1" t="n"/>
      <c r="B56" s="29" t="n"/>
      <c r="C56" s="20" t="n"/>
      <c r="D56" s="20" t="n"/>
      <c r="E56" s="21" t="n"/>
      <c r="F56" s="21" t="n"/>
      <c r="G56" s="1" t="n"/>
      <c r="H56">
        <f>N(F56)</f>
        <v/>
      </c>
      <c r="I56">
        <f>IF(F56="",N(E56),0)</f>
        <v/>
      </c>
    </row>
    <row r="57">
      <c r="A57" s="1" t="n"/>
      <c r="B57" s="29" t="n"/>
      <c r="C57" s="20" t="n"/>
      <c r="D57" s="20" t="n"/>
      <c r="E57" s="21" t="n"/>
      <c r="F57" s="21" t="n"/>
      <c r="G57" s="1" t="n"/>
      <c r="H57">
        <f>N(F57)</f>
        <v/>
      </c>
      <c r="I57">
        <f>IF(F57="",N(E57),0)</f>
        <v/>
      </c>
    </row>
    <row r="58">
      <c r="A58" s="1" t="n"/>
      <c r="B58" s="29" t="n"/>
      <c r="C58" s="20" t="n"/>
      <c r="D58" s="20" t="n"/>
      <c r="E58" s="21" t="n"/>
      <c r="F58" s="21" t="n"/>
      <c r="G58" s="1" t="n"/>
      <c r="H58">
        <f>N(F58)</f>
        <v/>
      </c>
      <c r="I58">
        <f>IF(F58="",N(E58),0)</f>
        <v/>
      </c>
    </row>
    <row r="59">
      <c r="A59" s="1" t="n"/>
      <c r="B59" s="29" t="n"/>
      <c r="C59" s="20" t="n"/>
      <c r="D59" s="20" t="n"/>
      <c r="E59" s="21" t="n"/>
      <c r="F59" s="21" t="n"/>
      <c r="G59" s="1" t="n"/>
      <c r="H59">
        <f>N(F59)</f>
        <v/>
      </c>
      <c r="I59">
        <f>IF(F59="",N(E59),0)</f>
        <v/>
      </c>
    </row>
    <row r="60">
      <c r="A60" s="1" t="n"/>
      <c r="B60" s="29" t="n"/>
      <c r="C60" s="20" t="n"/>
      <c r="D60" s="20" t="n"/>
      <c r="E60" s="21" t="n"/>
      <c r="F60" s="21" t="n"/>
      <c r="G60" s="1" t="n"/>
      <c r="H60">
        <f>N(F60)</f>
        <v/>
      </c>
      <c r="I60">
        <f>IF(F60="",N(E60),0)</f>
        <v/>
      </c>
    </row>
    <row r="61">
      <c r="A61" s="1" t="n"/>
      <c r="B61" s="29" t="n"/>
      <c r="C61" s="20" t="n"/>
      <c r="D61" s="20" t="n"/>
      <c r="E61" s="21" t="n"/>
      <c r="F61" s="21" t="n"/>
      <c r="G61" s="1" t="n"/>
      <c r="H61">
        <f>N(F61)</f>
        <v/>
      </c>
      <c r="I61">
        <f>IF(F61="",N(E61),0)</f>
        <v/>
      </c>
    </row>
    <row r="62">
      <c r="A62" s="1" t="n"/>
      <c r="B62" s="29" t="n"/>
      <c r="C62" s="20" t="n"/>
      <c r="D62" s="20" t="n"/>
      <c r="E62" s="21" t="n"/>
      <c r="F62" s="21" t="n"/>
      <c r="G62" s="1" t="n"/>
      <c r="H62">
        <f>N(F62)</f>
        <v/>
      </c>
      <c r="I62">
        <f>IF(F62="",N(E62),0)</f>
        <v/>
      </c>
    </row>
    <row r="63">
      <c r="A63" s="1" t="n"/>
      <c r="B63" s="29" t="n"/>
      <c r="C63" s="20" t="n"/>
      <c r="D63" s="20" t="n"/>
      <c r="E63" s="21" t="n"/>
      <c r="F63" s="21" t="n"/>
      <c r="G63" s="1" t="n"/>
      <c r="H63">
        <f>N(F63)</f>
        <v/>
      </c>
      <c r="I63">
        <f>IF(F63="",N(E63),0)</f>
        <v/>
      </c>
    </row>
    <row r="64">
      <c r="A64" s="1" t="n"/>
      <c r="B64" s="29" t="n"/>
      <c r="C64" s="20" t="n"/>
      <c r="D64" s="20" t="n"/>
      <c r="E64" s="21" t="n"/>
      <c r="F64" s="21" t="n"/>
      <c r="G64" s="1" t="n"/>
      <c r="H64">
        <f>N(F64)</f>
        <v/>
      </c>
      <c r="I64">
        <f>IF(F64="",N(E64),0)</f>
        <v/>
      </c>
    </row>
    <row r="65">
      <c r="A65" s="1" t="n"/>
      <c r="B65" s="29" t="n"/>
      <c r="C65" s="20" t="n"/>
      <c r="D65" s="20" t="n"/>
      <c r="E65" s="21" t="n"/>
      <c r="F65" s="21" t="n"/>
      <c r="G65" s="1" t="n"/>
      <c r="H65">
        <f>N(F65)</f>
        <v/>
      </c>
      <c r="I65">
        <f>IF(F65="",N(E65),0)</f>
        <v/>
      </c>
    </row>
    <row r="66">
      <c r="A66" s="1" t="n"/>
      <c r="B66" s="29" t="n"/>
      <c r="C66" s="20" t="n"/>
      <c r="D66" s="20" t="n"/>
      <c r="E66" s="21" t="n"/>
      <c r="F66" s="21" t="n"/>
      <c r="G66" s="1" t="n"/>
      <c r="H66">
        <f>N(F66)</f>
        <v/>
      </c>
      <c r="I66">
        <f>IF(F66="",N(E66),0)</f>
        <v/>
      </c>
    </row>
    <row r="67">
      <c r="A67" s="1" t="n"/>
      <c r="B67" s="29" t="n"/>
      <c r="C67" s="20" t="n"/>
      <c r="D67" s="20" t="n"/>
      <c r="E67" s="21" t="n"/>
      <c r="F67" s="21" t="n"/>
      <c r="G67" s="1" t="n"/>
      <c r="H67">
        <f>N(F67)</f>
        <v/>
      </c>
      <c r="I67">
        <f>IF(F67="",N(E67),0)</f>
        <v/>
      </c>
    </row>
    <row r="68">
      <c r="A68" s="1" t="n"/>
      <c r="B68" s="29" t="n"/>
      <c r="C68" s="20" t="n"/>
      <c r="D68" s="20" t="n"/>
      <c r="E68" s="21" t="n"/>
      <c r="F68" s="21" t="n"/>
      <c r="G68" s="1" t="n"/>
      <c r="H68">
        <f>N(F68)</f>
        <v/>
      </c>
      <c r="I68">
        <f>IF(F68="",N(E68),0)</f>
        <v/>
      </c>
    </row>
    <row r="69">
      <c r="A69" s="1" t="n"/>
      <c r="B69" s="29" t="n"/>
      <c r="C69" s="20" t="n"/>
      <c r="D69" s="20" t="n"/>
      <c r="E69" s="21" t="n"/>
      <c r="F69" s="21" t="n"/>
      <c r="G69" s="1" t="n"/>
      <c r="H69">
        <f>N(F69)</f>
        <v/>
      </c>
      <c r="I69">
        <f>IF(F69="",N(E69),0)</f>
        <v/>
      </c>
    </row>
    <row r="70">
      <c r="A70" s="1" t="n"/>
      <c r="B70" s="29" t="n"/>
      <c r="C70" s="20" t="n"/>
      <c r="D70" s="20" t="n"/>
      <c r="E70" s="21" t="n"/>
      <c r="F70" s="21" t="n"/>
      <c r="G70" s="1" t="n"/>
      <c r="H70">
        <f>N(F70)</f>
        <v/>
      </c>
      <c r="I70">
        <f>IF(F70="",N(E70),0)</f>
        <v/>
      </c>
    </row>
    <row r="71">
      <c r="A71" s="1" t="n"/>
      <c r="B71" s="29" t="n"/>
      <c r="C71" s="20" t="n"/>
      <c r="D71" s="20" t="n"/>
      <c r="E71" s="21" t="n"/>
      <c r="F71" s="21" t="n"/>
      <c r="G71" s="1" t="n"/>
      <c r="H71">
        <f>N(F71)</f>
        <v/>
      </c>
      <c r="I71">
        <f>IF(F71="",N(E71),0)</f>
        <v/>
      </c>
    </row>
    <row r="72">
      <c r="A72" s="1" t="n"/>
      <c r="B72" s="29" t="n"/>
      <c r="C72" s="20" t="n"/>
      <c r="D72" s="20" t="n"/>
      <c r="E72" s="21" t="n"/>
      <c r="F72" s="21" t="n"/>
      <c r="G72" s="1" t="n"/>
      <c r="H72">
        <f>N(F72)</f>
        <v/>
      </c>
      <c r="I72">
        <f>IF(F72="",N(E72),0)</f>
        <v/>
      </c>
    </row>
    <row r="73">
      <c r="A73" s="1" t="n"/>
      <c r="B73" s="29" t="n"/>
      <c r="C73" s="20" t="n"/>
      <c r="D73" s="20" t="n"/>
      <c r="E73" s="21" t="n"/>
      <c r="F73" s="21" t="n"/>
      <c r="G73" s="1" t="n"/>
      <c r="H73">
        <f>N(F73)</f>
        <v/>
      </c>
      <c r="I73">
        <f>IF(F73="",N(E73),0)</f>
        <v/>
      </c>
    </row>
    <row r="74">
      <c r="A74" s="1" t="n"/>
      <c r="B74" s="29" t="n"/>
      <c r="C74" s="20" t="n"/>
      <c r="D74" s="20" t="n"/>
      <c r="E74" s="21" t="n"/>
      <c r="F74" s="21" t="n"/>
      <c r="G74" s="1" t="n"/>
      <c r="H74">
        <f>N(F74)</f>
        <v/>
      </c>
      <c r="I74">
        <f>IF(F74="",N(E74),0)</f>
        <v/>
      </c>
    </row>
    <row r="75">
      <c r="A75" s="1" t="n"/>
      <c r="B75" s="29" t="n"/>
      <c r="C75" s="20" t="n"/>
      <c r="D75" s="20" t="n"/>
      <c r="E75" s="21" t="n"/>
      <c r="F75" s="21" t="n"/>
      <c r="G75" s="1" t="n"/>
      <c r="H75">
        <f>N(F75)</f>
        <v/>
      </c>
      <c r="I75">
        <f>IF(F75="",N(E75),0)</f>
        <v/>
      </c>
    </row>
    <row r="76">
      <c r="A76" s="1" t="n"/>
      <c r="B76" s="29" t="n"/>
      <c r="C76" s="20" t="n"/>
      <c r="D76" s="20" t="n"/>
      <c r="E76" s="21" t="n"/>
      <c r="F76" s="21" t="n"/>
      <c r="G76" s="1" t="n"/>
      <c r="H76">
        <f>N(F76)</f>
        <v/>
      </c>
      <c r="I76">
        <f>IF(F76="",N(E76),0)</f>
        <v/>
      </c>
    </row>
    <row r="77">
      <c r="A77" s="1" t="n"/>
      <c r="B77" s="29" t="n"/>
      <c r="C77" s="20" t="n"/>
      <c r="D77" s="20" t="n"/>
      <c r="E77" s="21" t="n"/>
      <c r="F77" s="21" t="n"/>
      <c r="G77" s="1" t="n"/>
      <c r="H77">
        <f>N(F77)</f>
        <v/>
      </c>
      <c r="I77">
        <f>IF(F77="",N(E77),0)</f>
        <v/>
      </c>
    </row>
    <row r="78">
      <c r="A78" s="1" t="n"/>
      <c r="B78" s="29" t="n"/>
      <c r="C78" s="20" t="n"/>
      <c r="D78" s="20" t="n"/>
      <c r="E78" s="21" t="n"/>
      <c r="F78" s="21" t="n"/>
      <c r="G78" s="1" t="n"/>
      <c r="H78">
        <f>N(F78)</f>
        <v/>
      </c>
      <c r="I78">
        <f>IF(F78="",N(E78),0)</f>
        <v/>
      </c>
    </row>
    <row r="79">
      <c r="A79" s="1" t="n"/>
      <c r="B79" s="29" t="n"/>
      <c r="C79" s="20" t="n"/>
      <c r="D79" s="20" t="n"/>
      <c r="E79" s="21" t="n"/>
      <c r="F79" s="21" t="n"/>
      <c r="G79" s="1" t="n"/>
      <c r="H79">
        <f>N(F79)</f>
        <v/>
      </c>
      <c r="I79">
        <f>IF(F79="",N(E79),0)</f>
        <v/>
      </c>
    </row>
    <row r="80">
      <c r="A80" s="1" t="n"/>
      <c r="B80" s="29" t="n"/>
      <c r="C80" s="20" t="n"/>
      <c r="D80" s="20" t="n"/>
      <c r="E80" s="21" t="n"/>
      <c r="F80" s="21" t="n"/>
      <c r="G80" s="1" t="n"/>
      <c r="H80">
        <f>N(F80)</f>
        <v/>
      </c>
      <c r="I80">
        <f>IF(F80="",N(E80),0)</f>
        <v/>
      </c>
    </row>
    <row r="81">
      <c r="A81" s="1" t="n"/>
      <c r="B81" s="29" t="n"/>
      <c r="C81" s="20" t="n"/>
      <c r="D81" s="20" t="n"/>
      <c r="E81" s="21" t="n"/>
      <c r="F81" s="21" t="n"/>
      <c r="G81" s="1" t="n"/>
      <c r="H81">
        <f>N(F81)</f>
        <v/>
      </c>
      <c r="I81">
        <f>IF(F81="",N(E81),0)</f>
        <v/>
      </c>
    </row>
    <row r="82">
      <c r="A82" s="1" t="n"/>
      <c r="B82" s="29" t="n"/>
      <c r="C82" s="20" t="n"/>
      <c r="D82" s="20" t="n"/>
      <c r="E82" s="21" t="n"/>
      <c r="F82" s="21" t="n"/>
      <c r="G82" s="1" t="n"/>
      <c r="H82">
        <f>N(F82)</f>
        <v/>
      </c>
      <c r="I82">
        <f>IF(F82="",N(E82),0)</f>
        <v/>
      </c>
    </row>
    <row r="83">
      <c r="A83" s="1" t="n"/>
      <c r="B83" s="29" t="n"/>
      <c r="C83" s="20" t="n"/>
      <c r="D83" s="20" t="n"/>
      <c r="E83" s="21" t="n"/>
      <c r="F83" s="21" t="n"/>
      <c r="G83" s="1" t="n"/>
      <c r="H83">
        <f>N(F83)</f>
        <v/>
      </c>
      <c r="I83">
        <f>IF(F83="",N(E83),0)</f>
        <v/>
      </c>
    </row>
    <row r="84">
      <c r="A84" s="1" t="n"/>
      <c r="B84" s="29" t="n"/>
      <c r="C84" s="20" t="n"/>
      <c r="D84" s="20" t="n"/>
      <c r="E84" s="21" t="n"/>
      <c r="F84" s="21" t="n"/>
      <c r="G84" s="1" t="n"/>
      <c r="H84">
        <f>N(F84)</f>
        <v/>
      </c>
      <c r="I84">
        <f>IF(F84="",N(E84),0)</f>
        <v/>
      </c>
    </row>
    <row r="85">
      <c r="A85" s="1" t="n"/>
      <c r="B85" s="29" t="n"/>
      <c r="C85" s="20" t="n"/>
      <c r="D85" s="20" t="n"/>
      <c r="E85" s="21" t="n"/>
      <c r="F85" s="21" t="n"/>
      <c r="G85" s="1" t="n"/>
      <c r="H85">
        <f>N(F85)</f>
        <v/>
      </c>
      <c r="I85">
        <f>IF(F85="",N(E85),0)</f>
        <v/>
      </c>
    </row>
    <row r="86">
      <c r="A86" s="1" t="n"/>
      <c r="B86" s="29" t="n"/>
      <c r="C86" s="20" t="n"/>
      <c r="D86" s="20" t="n"/>
      <c r="E86" s="21" t="n"/>
      <c r="F86" s="21" t="n"/>
      <c r="G86" s="1" t="n"/>
      <c r="H86">
        <f>N(F86)</f>
        <v/>
      </c>
      <c r="I86">
        <f>IF(F86="",N(E86),0)</f>
        <v/>
      </c>
    </row>
    <row r="87">
      <c r="A87" s="1" t="n"/>
      <c r="B87" s="29" t="n"/>
      <c r="C87" s="20" t="n"/>
      <c r="D87" s="20" t="n"/>
      <c r="E87" s="21" t="n"/>
      <c r="F87" s="21" t="n"/>
      <c r="G87" s="1" t="n"/>
      <c r="H87">
        <f>N(F87)</f>
        <v/>
      </c>
      <c r="I87">
        <f>IF(F87="",N(E87),0)</f>
        <v/>
      </c>
    </row>
    <row r="88">
      <c r="A88" s="1" t="n"/>
      <c r="B88" s="29" t="n"/>
      <c r="C88" s="20" t="n"/>
      <c r="D88" s="20" t="n"/>
      <c r="E88" s="21" t="n"/>
      <c r="F88" s="21" t="n"/>
      <c r="G88" s="1" t="n"/>
      <c r="H88">
        <f>N(F88)</f>
        <v/>
      </c>
      <c r="I88">
        <f>IF(F88="",N(E88),0)</f>
        <v/>
      </c>
    </row>
    <row r="89">
      <c r="A89" s="1" t="n"/>
      <c r="B89" s="29" t="n"/>
      <c r="C89" s="20" t="n"/>
      <c r="D89" s="20" t="n"/>
      <c r="E89" s="21" t="n"/>
      <c r="F89" s="21" t="n"/>
      <c r="G89" s="1" t="n"/>
      <c r="H89">
        <f>N(F89)</f>
        <v/>
      </c>
      <c r="I89">
        <f>IF(F89="",N(E89),0)</f>
        <v/>
      </c>
    </row>
    <row r="90">
      <c r="A90" s="1" t="n"/>
      <c r="B90" s="29" t="n"/>
      <c r="C90" s="20" t="n"/>
      <c r="D90" s="20" t="n"/>
      <c r="E90" s="21" t="n"/>
      <c r="F90" s="21" t="n"/>
      <c r="G90" s="1" t="n"/>
      <c r="H90">
        <f>N(F90)</f>
        <v/>
      </c>
      <c r="I90">
        <f>IF(F90="",N(E90),0)</f>
        <v/>
      </c>
    </row>
    <row r="91">
      <c r="A91" s="1" t="n"/>
      <c r="B91" s="29" t="n"/>
      <c r="C91" s="20" t="n"/>
      <c r="D91" s="20" t="n"/>
      <c r="E91" s="21" t="n"/>
      <c r="F91" s="21" t="n"/>
      <c r="G91" s="1" t="n"/>
      <c r="H91">
        <f>N(F91)</f>
        <v/>
      </c>
      <c r="I91">
        <f>IF(F91="",N(E91),0)</f>
        <v/>
      </c>
    </row>
    <row r="92">
      <c r="A92" s="1" t="n"/>
      <c r="B92" s="29" t="n"/>
      <c r="C92" s="20" t="n"/>
      <c r="D92" s="20" t="n"/>
      <c r="E92" s="21" t="n"/>
      <c r="F92" s="21" t="n"/>
      <c r="G92" s="1" t="n"/>
      <c r="H92">
        <f>N(F92)</f>
        <v/>
      </c>
      <c r="I92">
        <f>IF(F92="",N(E92),0)</f>
        <v/>
      </c>
    </row>
    <row r="93">
      <c r="A93" s="1" t="n"/>
      <c r="B93" s="29" t="n"/>
      <c r="C93" s="20" t="n"/>
      <c r="D93" s="20" t="n"/>
      <c r="E93" s="21" t="n"/>
      <c r="F93" s="21" t="n"/>
      <c r="G93" s="1" t="n"/>
      <c r="H93">
        <f>N(F93)</f>
        <v/>
      </c>
      <c r="I93">
        <f>IF(F93="",N(E93),0)</f>
        <v/>
      </c>
    </row>
    <row r="94">
      <c r="A94" s="1" t="n"/>
      <c r="B94" s="29" t="n"/>
      <c r="C94" s="20" t="n"/>
      <c r="D94" s="20" t="n"/>
      <c r="E94" s="21" t="n"/>
      <c r="F94" s="21" t="n"/>
      <c r="G94" s="1" t="n"/>
      <c r="H94">
        <f>N(F94)</f>
        <v/>
      </c>
      <c r="I94">
        <f>IF(F94="",N(E94),0)</f>
        <v/>
      </c>
    </row>
    <row r="95">
      <c r="A95" s="1" t="n"/>
      <c r="B95" s="29" t="n"/>
      <c r="C95" s="20" t="n"/>
      <c r="D95" s="20" t="n"/>
      <c r="E95" s="21" t="n"/>
      <c r="F95" s="21" t="n"/>
      <c r="G95" s="1" t="n"/>
      <c r="H95">
        <f>N(F95)</f>
        <v/>
      </c>
      <c r="I95">
        <f>IF(F95="",N(E95),0)</f>
        <v/>
      </c>
    </row>
    <row r="96">
      <c r="A96" s="1" t="n"/>
      <c r="B96" s="29" t="n"/>
      <c r="C96" s="20" t="n"/>
      <c r="D96" s="20" t="n"/>
      <c r="E96" s="21" t="n"/>
      <c r="F96" s="21" t="n"/>
      <c r="G96" s="1" t="n"/>
      <c r="H96">
        <f>N(F96)</f>
        <v/>
      </c>
      <c r="I96">
        <f>IF(F96="",N(E96),0)</f>
        <v/>
      </c>
    </row>
    <row r="97">
      <c r="A97" s="1" t="n"/>
      <c r="B97" s="29" t="n"/>
      <c r="C97" s="20" t="n"/>
      <c r="D97" s="20" t="n"/>
      <c r="E97" s="21" t="n"/>
      <c r="F97" s="21" t="n"/>
      <c r="G97" s="1" t="n"/>
      <c r="H97">
        <f>N(F97)</f>
        <v/>
      </c>
      <c r="I97">
        <f>IF(F97="",N(E97),0)</f>
        <v/>
      </c>
    </row>
    <row r="98">
      <c r="A98" s="1" t="n"/>
      <c r="B98" s="29" t="n"/>
      <c r="C98" s="20" t="n"/>
      <c r="D98" s="20" t="n"/>
      <c r="E98" s="21" t="n"/>
      <c r="F98" s="21" t="n"/>
      <c r="G98" s="1" t="n"/>
      <c r="H98">
        <f>N(F98)</f>
        <v/>
      </c>
      <c r="I98">
        <f>IF(F98="",N(E98),0)</f>
        <v/>
      </c>
    </row>
    <row r="99">
      <c r="A99" s="1" t="n"/>
      <c r="B99" s="29" t="n"/>
      <c r="C99" s="20" t="n"/>
      <c r="D99" s="20" t="n"/>
      <c r="E99" s="21" t="n"/>
      <c r="F99" s="21" t="n"/>
      <c r="G99" s="1" t="n"/>
      <c r="H99">
        <f>N(F99)</f>
        <v/>
      </c>
      <c r="I99">
        <f>IF(F99="",N(E99),0)</f>
        <v/>
      </c>
    </row>
    <row r="100">
      <c r="A100" s="1" t="n"/>
      <c r="B100" s="29" t="n"/>
      <c r="C100" s="20" t="n"/>
      <c r="D100" s="20" t="n"/>
      <c r="E100" s="21" t="n"/>
      <c r="F100" s="21" t="n"/>
      <c r="G100" s="1" t="n"/>
      <c r="H100">
        <f>N(F100)</f>
        <v/>
      </c>
      <c r="I100">
        <f>IF(F100="",N(E100),0)</f>
        <v/>
      </c>
    </row>
    <row r="101">
      <c r="A101" s="1" t="n"/>
      <c r="B101" s="29" t="n"/>
      <c r="C101" s="20" t="n"/>
      <c r="D101" s="20" t="n"/>
      <c r="E101" s="21" t="n"/>
      <c r="F101" s="21" t="n"/>
      <c r="G101" s="1" t="n"/>
      <c r="H101">
        <f>N(F101)</f>
        <v/>
      </c>
      <c r="I101">
        <f>IF(F101="",N(E101),0)</f>
        <v/>
      </c>
    </row>
    <row r="102">
      <c r="A102" s="1" t="n"/>
      <c r="B102" s="29" t="n"/>
      <c r="C102" s="20" t="n"/>
      <c r="D102" s="20" t="n"/>
      <c r="E102" s="21" t="n"/>
      <c r="F102" s="21" t="n"/>
      <c r="G102" s="1" t="n"/>
      <c r="H102">
        <f>N(F102)</f>
        <v/>
      </c>
      <c r="I102">
        <f>IF(F102="",N(E102),0)</f>
        <v/>
      </c>
    </row>
    <row r="103">
      <c r="A103" s="1" t="n"/>
      <c r="B103" s="29" t="n"/>
      <c r="C103" s="20" t="n"/>
      <c r="D103" s="20" t="n"/>
      <c r="E103" s="21" t="n"/>
      <c r="F103" s="21" t="n"/>
      <c r="G103" s="1" t="n"/>
      <c r="H103">
        <f>N(F103)</f>
        <v/>
      </c>
      <c r="I103">
        <f>IF(F103="",N(E103),0)</f>
        <v/>
      </c>
    </row>
    <row r="104">
      <c r="A104" s="1" t="n"/>
      <c r="B104" s="29" t="n"/>
      <c r="C104" s="20" t="n"/>
      <c r="D104" s="20" t="n"/>
      <c r="E104" s="21" t="n"/>
      <c r="F104" s="21" t="n"/>
      <c r="G104" s="1" t="n"/>
      <c r="H104">
        <f>N(F104)</f>
        <v/>
      </c>
      <c r="I104">
        <f>IF(F104="",N(E104),0)</f>
        <v/>
      </c>
    </row>
    <row r="105">
      <c r="A105" s="1" t="n"/>
      <c r="B105" s="29" t="n"/>
      <c r="C105" s="20" t="n"/>
      <c r="D105" s="20" t="n"/>
      <c r="E105" s="21" t="n"/>
      <c r="F105" s="21" t="n"/>
      <c r="G105" s="1" t="n"/>
      <c r="H105">
        <f>N(F105)</f>
        <v/>
      </c>
      <c r="I105">
        <f>IF(F105="",N(E105),0)</f>
        <v/>
      </c>
    </row>
    <row r="106">
      <c r="A106" s="1" t="n"/>
      <c r="B106" s="29" t="n"/>
      <c r="C106" s="20" t="n"/>
      <c r="D106" s="20" t="n"/>
      <c r="E106" s="21" t="n"/>
      <c r="F106" s="21" t="n"/>
      <c r="G106" s="1" t="n"/>
      <c r="H106">
        <f>N(F106)</f>
        <v/>
      </c>
      <c r="I106">
        <f>IF(F106="",N(E106),0)</f>
        <v/>
      </c>
    </row>
    <row r="107">
      <c r="A107" s="1" t="n"/>
      <c r="B107" s="29" t="n"/>
      <c r="C107" s="20" t="n"/>
      <c r="D107" s="20" t="n"/>
      <c r="E107" s="21" t="n"/>
      <c r="F107" s="21" t="n"/>
      <c r="G107" s="1" t="n"/>
      <c r="H107">
        <f>N(F107)</f>
        <v/>
      </c>
      <c r="I107">
        <f>IF(F107="",N(E107),0)</f>
        <v/>
      </c>
    </row>
    <row r="108">
      <c r="A108" s="1" t="n"/>
      <c r="B108" s="29" t="n"/>
      <c r="C108" s="20" t="n"/>
      <c r="D108" s="20" t="n"/>
      <c r="E108" s="21" t="n"/>
      <c r="F108" s="21" t="n"/>
      <c r="G108" s="1" t="n"/>
      <c r="H108">
        <f>N(F108)</f>
        <v/>
      </c>
      <c r="I108">
        <f>IF(F108="",N(E108),0)</f>
        <v/>
      </c>
    </row>
    <row r="109">
      <c r="A109" s="1" t="n"/>
      <c r="B109" s="29" t="n"/>
      <c r="C109" s="20" t="n"/>
      <c r="D109" s="20" t="n"/>
      <c r="E109" s="21" t="n"/>
      <c r="F109" s="21" t="n"/>
      <c r="G109" s="1" t="n"/>
      <c r="H109">
        <f>N(F109)</f>
        <v/>
      </c>
      <c r="I109">
        <f>IF(F109="",N(E109),0)</f>
        <v/>
      </c>
    </row>
    <row r="110">
      <c r="A110" s="1" t="n"/>
      <c r="B110" s="29" t="n"/>
      <c r="C110" s="20" t="n"/>
      <c r="D110" s="20" t="n"/>
      <c r="E110" s="21" t="n"/>
      <c r="F110" s="21" t="n"/>
      <c r="G110" s="1" t="n"/>
      <c r="H110">
        <f>N(F110)</f>
        <v/>
      </c>
      <c r="I110">
        <f>IF(F110="",N(E110),0)</f>
        <v/>
      </c>
    </row>
    <row r="111">
      <c r="A111" s="1" t="n"/>
      <c r="B111" s="29" t="n"/>
      <c r="C111" s="20" t="n"/>
      <c r="D111" s="20" t="n"/>
      <c r="E111" s="21" t="n"/>
      <c r="F111" s="21" t="n"/>
      <c r="G111" s="1" t="n"/>
      <c r="H111">
        <f>N(F111)</f>
        <v/>
      </c>
      <c r="I111">
        <f>IF(F111="",N(E111),0)</f>
        <v/>
      </c>
    </row>
    <row r="112">
      <c r="A112" s="1" t="n"/>
      <c r="B112" s="29" t="n"/>
      <c r="C112" s="20" t="n"/>
      <c r="D112" s="20" t="n"/>
      <c r="E112" s="21" t="n"/>
      <c r="F112" s="21" t="n"/>
      <c r="G112" s="1" t="n"/>
      <c r="H112">
        <f>N(F112)</f>
        <v/>
      </c>
      <c r="I112">
        <f>IF(F112="",N(E112),0)</f>
        <v/>
      </c>
    </row>
    <row r="113">
      <c r="A113" s="1" t="n"/>
      <c r="B113" s="29" t="n"/>
      <c r="C113" s="20" t="n"/>
      <c r="D113" s="20" t="n"/>
      <c r="E113" s="21" t="n"/>
      <c r="F113" s="21" t="n"/>
      <c r="G113" s="1" t="n"/>
      <c r="H113">
        <f>N(F113)</f>
        <v/>
      </c>
      <c r="I113">
        <f>IF(F113="",N(E113),0)</f>
        <v/>
      </c>
    </row>
    <row r="114">
      <c r="A114" s="1" t="n"/>
      <c r="B114" s="29" t="n"/>
      <c r="C114" s="20" t="n"/>
      <c r="D114" s="20" t="n"/>
      <c r="E114" s="21" t="n"/>
      <c r="F114" s="21" t="n"/>
      <c r="G114" s="1" t="n"/>
      <c r="H114">
        <f>N(F114)</f>
        <v/>
      </c>
      <c r="I114">
        <f>IF(F114="",N(E114),0)</f>
        <v/>
      </c>
    </row>
    <row r="115">
      <c r="A115" s="1" t="n"/>
      <c r="B115" s="29" t="n"/>
      <c r="C115" s="20" t="n"/>
      <c r="D115" s="20" t="n"/>
      <c r="E115" s="21" t="n"/>
      <c r="F115" s="21" t="n"/>
      <c r="G115" s="1" t="n"/>
      <c r="H115">
        <f>N(F115)</f>
        <v/>
      </c>
      <c r="I115">
        <f>IF(F115="",N(E115),0)</f>
        <v/>
      </c>
    </row>
    <row r="116">
      <c r="A116" s="1" t="n"/>
      <c r="B116" s="29" t="n"/>
      <c r="C116" s="20" t="n"/>
      <c r="D116" s="20" t="n"/>
      <c r="E116" s="21" t="n"/>
      <c r="F116" s="21" t="n"/>
      <c r="G116" s="1" t="n"/>
      <c r="H116">
        <f>N(F116)</f>
        <v/>
      </c>
      <c r="I116">
        <f>IF(F116="",N(E116),0)</f>
        <v/>
      </c>
    </row>
    <row r="117">
      <c r="A117" s="1" t="n"/>
      <c r="B117" s="29" t="n"/>
      <c r="C117" s="20" t="n"/>
      <c r="D117" s="20" t="n"/>
      <c r="E117" s="21" t="n"/>
      <c r="F117" s="21" t="n"/>
      <c r="G117" s="1" t="n"/>
      <c r="H117">
        <f>N(F117)</f>
        <v/>
      </c>
      <c r="I117">
        <f>IF(F117="",N(E117),0)</f>
        <v/>
      </c>
    </row>
    <row r="118">
      <c r="A118" s="1" t="n"/>
      <c r="B118" s="29" t="n"/>
      <c r="C118" s="20" t="n"/>
      <c r="D118" s="20" t="n"/>
      <c r="E118" s="21" t="n"/>
      <c r="F118" s="21" t="n"/>
      <c r="G118" s="1" t="n"/>
      <c r="H118">
        <f>N(F118)</f>
        <v/>
      </c>
      <c r="I118">
        <f>IF(F118="",N(E118),0)</f>
        <v/>
      </c>
    </row>
    <row r="119">
      <c r="A119" s="1" t="n"/>
      <c r="B119" s="29" t="n"/>
      <c r="C119" s="20" t="n"/>
      <c r="D119" s="20" t="n"/>
      <c r="E119" s="21" t="n"/>
      <c r="F119" s="21" t="n"/>
      <c r="G119" s="1" t="n"/>
      <c r="H119">
        <f>N(F119)</f>
        <v/>
      </c>
      <c r="I119">
        <f>IF(F119="",N(E119),0)</f>
        <v/>
      </c>
    </row>
    <row r="120">
      <c r="A120" s="1" t="n"/>
      <c r="B120" s="29" t="n"/>
      <c r="C120" s="20" t="n"/>
      <c r="D120" s="20" t="n"/>
      <c r="E120" s="21" t="n"/>
      <c r="F120" s="21" t="n"/>
      <c r="G120" s="1" t="n"/>
      <c r="H120">
        <f>N(F120)</f>
        <v/>
      </c>
      <c r="I120">
        <f>IF(F120="",N(E120),0)</f>
        <v/>
      </c>
    </row>
    <row r="121">
      <c r="A121" s="1" t="n"/>
      <c r="B121" s="29" t="n"/>
      <c r="C121" s="20" t="n"/>
      <c r="D121" s="20" t="n"/>
      <c r="E121" s="21" t="n"/>
      <c r="F121" s="21" t="n"/>
      <c r="G121" s="1" t="n"/>
      <c r="H121">
        <f>N(F121)</f>
        <v/>
      </c>
      <c r="I121">
        <f>IF(F121="",N(E121),0)</f>
        <v/>
      </c>
    </row>
    <row r="122">
      <c r="A122" s="1" t="n"/>
      <c r="B122" s="29" t="n"/>
      <c r="C122" s="20" t="n"/>
      <c r="D122" s="20" t="n"/>
      <c r="E122" s="21" t="n"/>
      <c r="F122" s="21" t="n"/>
      <c r="G122" s="1" t="n"/>
      <c r="H122">
        <f>N(F122)</f>
        <v/>
      </c>
      <c r="I122">
        <f>IF(F122="",N(E122),0)</f>
        <v/>
      </c>
    </row>
    <row r="123">
      <c r="A123" s="1" t="n"/>
      <c r="B123" s="29" t="n"/>
      <c r="C123" s="20" t="n"/>
      <c r="D123" s="20" t="n"/>
      <c r="E123" s="21" t="n"/>
      <c r="F123" s="21" t="n"/>
      <c r="G123" s="1" t="n"/>
      <c r="H123">
        <f>N(F123)</f>
        <v/>
      </c>
      <c r="I123">
        <f>IF(F123="",N(E123),0)</f>
        <v/>
      </c>
    </row>
    <row r="124">
      <c r="A124" s="1" t="n"/>
      <c r="B124" s="29" t="n"/>
      <c r="C124" s="20" t="n"/>
      <c r="D124" s="20" t="n"/>
      <c r="E124" s="21" t="n"/>
      <c r="F124" s="21" t="n"/>
      <c r="G124" s="1" t="n"/>
      <c r="H124">
        <f>N(F124)</f>
        <v/>
      </c>
      <c r="I124">
        <f>IF(F124="",N(E124),0)</f>
        <v/>
      </c>
    </row>
    <row r="125">
      <c r="A125" s="1" t="n"/>
      <c r="B125" s="29" t="n"/>
      <c r="C125" s="20" t="n"/>
      <c r="D125" s="20" t="n"/>
      <c r="E125" s="21" t="n"/>
      <c r="F125" s="21" t="n"/>
      <c r="G125" s="1" t="n"/>
      <c r="H125">
        <f>N(F125)</f>
        <v/>
      </c>
      <c r="I125">
        <f>IF(F125="",N(E125),0)</f>
        <v/>
      </c>
    </row>
    <row r="126">
      <c r="A126" s="1" t="n"/>
      <c r="B126" s="29" t="n"/>
      <c r="C126" s="20" t="n"/>
      <c r="D126" s="20" t="n"/>
      <c r="E126" s="21" t="n"/>
      <c r="F126" s="21" t="n"/>
      <c r="G126" s="1" t="n"/>
      <c r="H126">
        <f>N(F126)</f>
        <v/>
      </c>
      <c r="I126">
        <f>IF(F126="",N(E126),0)</f>
        <v/>
      </c>
    </row>
    <row r="127">
      <c r="A127" s="1" t="n"/>
      <c r="B127" s="29" t="n"/>
      <c r="C127" s="20" t="n"/>
      <c r="D127" s="20" t="n"/>
      <c r="E127" s="21" t="n"/>
      <c r="F127" s="21" t="n"/>
      <c r="G127" s="1" t="n"/>
      <c r="H127">
        <f>N(F127)</f>
        <v/>
      </c>
      <c r="I127">
        <f>IF(F127="",N(E127),0)</f>
        <v/>
      </c>
    </row>
    <row r="128">
      <c r="A128" s="1" t="n"/>
      <c r="B128" s="29" t="n"/>
      <c r="C128" s="20" t="n"/>
      <c r="D128" s="20" t="n"/>
      <c r="E128" s="21" t="n"/>
      <c r="F128" s="21" t="n"/>
      <c r="G128" s="1" t="n"/>
      <c r="H128">
        <f>N(F128)</f>
        <v/>
      </c>
      <c r="I128">
        <f>IF(F128="",N(E128),0)</f>
        <v/>
      </c>
    </row>
    <row r="129">
      <c r="A129" s="1" t="n"/>
      <c r="B129" s="29" t="n"/>
      <c r="C129" s="20" t="n"/>
      <c r="D129" s="20" t="n"/>
      <c r="E129" s="21" t="n"/>
      <c r="F129" s="21" t="n"/>
      <c r="G129" s="1" t="n"/>
      <c r="H129">
        <f>N(F129)</f>
        <v/>
      </c>
      <c r="I129">
        <f>IF(F129="",N(E129),0)</f>
        <v/>
      </c>
    </row>
    <row r="130">
      <c r="A130" s="1" t="n"/>
      <c r="B130" s="29" t="n"/>
      <c r="C130" s="20" t="n"/>
      <c r="D130" s="20" t="n"/>
      <c r="E130" s="21" t="n"/>
      <c r="F130" s="21" t="n"/>
      <c r="G130" s="1" t="n"/>
      <c r="H130">
        <f>N(F130)</f>
        <v/>
      </c>
      <c r="I130">
        <f>IF(F130="",N(E130),0)</f>
        <v/>
      </c>
    </row>
    <row r="131">
      <c r="A131" s="1" t="n"/>
      <c r="B131" s="29" t="n"/>
      <c r="C131" s="20" t="n"/>
      <c r="D131" s="20" t="n"/>
      <c r="E131" s="21" t="n"/>
      <c r="F131" s="21" t="n"/>
      <c r="G131" s="1" t="n"/>
      <c r="H131">
        <f>N(F131)</f>
        <v/>
      </c>
      <c r="I131">
        <f>IF(F131="",N(E131),0)</f>
        <v/>
      </c>
    </row>
    <row r="132">
      <c r="A132" s="1" t="n"/>
      <c r="B132" s="29" t="n"/>
      <c r="C132" s="20" t="n"/>
      <c r="D132" s="20" t="n"/>
      <c r="E132" s="21" t="n"/>
      <c r="F132" s="21" t="n"/>
      <c r="G132" s="1" t="n"/>
      <c r="H132">
        <f>N(F132)</f>
        <v/>
      </c>
      <c r="I132">
        <f>IF(F132="",N(E132),0)</f>
        <v/>
      </c>
    </row>
    <row r="133">
      <c r="A133" s="1" t="n"/>
      <c r="B133" s="29" t="n"/>
      <c r="C133" s="20" t="n"/>
      <c r="D133" s="20" t="n"/>
      <c r="E133" s="21" t="n"/>
      <c r="F133" s="21" t="n"/>
      <c r="G133" s="1" t="n"/>
      <c r="H133">
        <f>N(F133)</f>
        <v/>
      </c>
      <c r="I133">
        <f>IF(F133="",N(E133),0)</f>
        <v/>
      </c>
    </row>
    <row r="134">
      <c r="A134" s="1" t="n"/>
      <c r="B134" s="29" t="n"/>
      <c r="C134" s="20" t="n"/>
      <c r="D134" s="20" t="n"/>
      <c r="E134" s="21" t="n"/>
      <c r="F134" s="21" t="n"/>
      <c r="G134" s="1" t="n"/>
      <c r="H134">
        <f>N(F134)</f>
        <v/>
      </c>
      <c r="I134">
        <f>IF(F134="",N(E134),0)</f>
        <v/>
      </c>
    </row>
    <row r="135">
      <c r="A135" s="1" t="n"/>
      <c r="B135" s="29" t="n"/>
      <c r="C135" s="20" t="n"/>
      <c r="D135" s="20" t="n"/>
      <c r="E135" s="21" t="n"/>
      <c r="F135" s="21" t="n"/>
      <c r="G135" s="1" t="n"/>
      <c r="H135">
        <f>N(F135)</f>
        <v/>
      </c>
      <c r="I135">
        <f>IF(F135="",N(E135),0)</f>
        <v/>
      </c>
    </row>
    <row r="136">
      <c r="A136" s="1" t="n"/>
      <c r="B136" s="29" t="n"/>
      <c r="C136" s="20" t="n"/>
      <c r="D136" s="20" t="n"/>
      <c r="E136" s="21" t="n"/>
      <c r="F136" s="21" t="n"/>
      <c r="G136" s="1" t="n"/>
      <c r="H136">
        <f>N(F136)</f>
        <v/>
      </c>
      <c r="I136">
        <f>IF(F136="",N(E136),0)</f>
        <v/>
      </c>
    </row>
    <row r="137">
      <c r="A137" s="1" t="n"/>
      <c r="B137" s="29" t="n"/>
      <c r="C137" s="20" t="n"/>
      <c r="D137" s="20" t="n"/>
      <c r="E137" s="21" t="n"/>
      <c r="F137" s="21" t="n"/>
      <c r="G137" s="1" t="n"/>
      <c r="H137">
        <f>N(F137)</f>
        <v/>
      </c>
      <c r="I137">
        <f>IF(F137="",N(E137),0)</f>
        <v/>
      </c>
    </row>
    <row r="138">
      <c r="A138" s="1" t="n"/>
      <c r="B138" s="29" t="n"/>
      <c r="C138" s="20" t="n"/>
      <c r="D138" s="20" t="n"/>
      <c r="E138" s="21" t="n"/>
      <c r="F138" s="21" t="n"/>
      <c r="G138" s="1" t="n"/>
      <c r="H138">
        <f>N(F138)</f>
        <v/>
      </c>
      <c r="I138">
        <f>IF(F138="",N(E138),0)</f>
        <v/>
      </c>
    </row>
    <row r="139">
      <c r="A139" s="1" t="n"/>
      <c r="B139" s="29" t="n"/>
      <c r="C139" s="20" t="n"/>
      <c r="D139" s="20" t="n"/>
      <c r="E139" s="21" t="n"/>
      <c r="F139" s="21" t="n"/>
      <c r="G139" s="1" t="n"/>
      <c r="H139">
        <f>N(F139)</f>
        <v/>
      </c>
      <c r="I139">
        <f>IF(F139="",N(E139),0)</f>
        <v/>
      </c>
    </row>
    <row r="140">
      <c r="A140" s="1" t="n"/>
      <c r="B140" s="29" t="n"/>
      <c r="C140" s="20" t="n"/>
      <c r="D140" s="20" t="n"/>
      <c r="E140" s="21" t="n"/>
      <c r="F140" s="21" t="n"/>
      <c r="G140" s="1" t="n"/>
      <c r="H140">
        <f>N(F140)</f>
        <v/>
      </c>
      <c r="I140">
        <f>IF(F140="",N(E140),0)</f>
        <v/>
      </c>
    </row>
    <row r="141">
      <c r="A141" s="1" t="n"/>
      <c r="B141" s="29" t="n"/>
      <c r="C141" s="20" t="n"/>
      <c r="D141" s="20" t="n"/>
      <c r="E141" s="21" t="n"/>
      <c r="F141" s="21" t="n"/>
      <c r="G141" s="1" t="n"/>
      <c r="H141">
        <f>N(F141)</f>
        <v/>
      </c>
      <c r="I141">
        <f>IF(F141="",N(E141),0)</f>
        <v/>
      </c>
    </row>
    <row r="142">
      <c r="A142" s="1" t="n"/>
      <c r="B142" s="29" t="n"/>
      <c r="C142" s="20" t="n"/>
      <c r="D142" s="20" t="n"/>
      <c r="E142" s="21" t="n"/>
      <c r="F142" s="21" t="n"/>
      <c r="G142" s="1" t="n"/>
      <c r="H142">
        <f>N(F142)</f>
        <v/>
      </c>
      <c r="I142">
        <f>IF(F142="",N(E142),0)</f>
        <v/>
      </c>
    </row>
    <row r="143">
      <c r="A143" s="1" t="n"/>
      <c r="B143" s="29" t="n"/>
      <c r="C143" s="20" t="n"/>
      <c r="D143" s="20" t="n"/>
      <c r="E143" s="21" t="n"/>
      <c r="F143" s="21" t="n"/>
      <c r="G143" s="1" t="n"/>
      <c r="H143">
        <f>N(F143)</f>
        <v/>
      </c>
      <c r="I143">
        <f>IF(F143="",N(E143),0)</f>
        <v/>
      </c>
    </row>
    <row r="144">
      <c r="A144" s="1" t="n"/>
      <c r="B144" s="29" t="n"/>
      <c r="C144" s="20" t="n"/>
      <c r="D144" s="20" t="n"/>
      <c r="E144" s="21" t="n"/>
      <c r="F144" s="21" t="n"/>
      <c r="G144" s="1" t="n"/>
      <c r="H144">
        <f>N(F144)</f>
        <v/>
      </c>
      <c r="I144">
        <f>IF(F144="",N(E144),0)</f>
        <v/>
      </c>
    </row>
    <row r="145">
      <c r="A145" s="1" t="n"/>
      <c r="B145" s="29" t="n"/>
      <c r="C145" s="20" t="n"/>
      <c r="D145" s="20" t="n"/>
      <c r="E145" s="21" t="n"/>
      <c r="F145" s="21" t="n"/>
      <c r="G145" s="1" t="n"/>
      <c r="H145">
        <f>N(F145)</f>
        <v/>
      </c>
      <c r="I145">
        <f>IF(F145="",N(E145),0)</f>
        <v/>
      </c>
    </row>
    <row r="146">
      <c r="A146" s="1" t="n"/>
      <c r="B146" s="29" t="n"/>
      <c r="C146" s="20" t="n"/>
      <c r="D146" s="20" t="n"/>
      <c r="E146" s="21" t="n"/>
      <c r="F146" s="21" t="n"/>
      <c r="G146" s="1" t="n"/>
      <c r="H146">
        <f>N(F146)</f>
        <v/>
      </c>
      <c r="I146">
        <f>IF(F146="",N(E146),0)</f>
        <v/>
      </c>
    </row>
    <row r="147">
      <c r="A147" s="1" t="n"/>
      <c r="B147" s="29" t="n"/>
      <c r="C147" s="20" t="n"/>
      <c r="D147" s="20" t="n"/>
      <c r="E147" s="21" t="n"/>
      <c r="F147" s="21" t="n"/>
      <c r="G147" s="1" t="n"/>
      <c r="H147">
        <f>N(F147)</f>
        <v/>
      </c>
      <c r="I147">
        <f>IF(F147="",N(E147),0)</f>
        <v/>
      </c>
    </row>
    <row r="148">
      <c r="A148" s="1" t="n"/>
      <c r="B148" s="29" t="n"/>
      <c r="C148" s="20" t="n"/>
      <c r="D148" s="20" t="n"/>
      <c r="E148" s="21" t="n"/>
      <c r="F148" s="21" t="n"/>
      <c r="G148" s="1" t="n"/>
      <c r="H148">
        <f>N(F148)</f>
        <v/>
      </c>
      <c r="I148">
        <f>IF(F148="",N(E148),0)</f>
        <v/>
      </c>
    </row>
    <row r="149">
      <c r="A149" s="1" t="n"/>
      <c r="B149" s="29" t="n"/>
      <c r="C149" s="20" t="n"/>
      <c r="D149" s="20" t="n"/>
      <c r="E149" s="21" t="n"/>
      <c r="F149" s="21" t="n"/>
      <c r="G149" s="1" t="n"/>
      <c r="H149">
        <f>N(F149)</f>
        <v/>
      </c>
      <c r="I149">
        <f>IF(F149="",N(E149),0)</f>
        <v/>
      </c>
    </row>
    <row r="150">
      <c r="A150" s="1" t="n"/>
      <c r="B150" s="29" t="n"/>
      <c r="C150" s="20" t="n"/>
      <c r="D150" s="20" t="n"/>
      <c r="E150" s="21" t="n"/>
      <c r="F150" s="21" t="n"/>
      <c r="G150" s="1" t="n"/>
      <c r="H150">
        <f>N(F150)</f>
        <v/>
      </c>
      <c r="I150">
        <f>IF(F150="",N(E150),0)</f>
        <v/>
      </c>
    </row>
    <row r="151">
      <c r="A151" s="1" t="n"/>
      <c r="B151" s="29" t="n"/>
      <c r="C151" s="20" t="n"/>
      <c r="D151" s="20" t="n"/>
      <c r="E151" s="21" t="n"/>
      <c r="F151" s="21" t="n"/>
      <c r="G151" s="1" t="n"/>
      <c r="H151">
        <f>N(F151)</f>
        <v/>
      </c>
      <c r="I151">
        <f>IF(F151="",N(E151),0)</f>
        <v/>
      </c>
    </row>
    <row r="152">
      <c r="A152" s="1" t="n"/>
      <c r="B152" s="29" t="n"/>
      <c r="C152" s="20" t="n"/>
      <c r="D152" s="20" t="n"/>
      <c r="E152" s="21" t="n"/>
      <c r="F152" s="21" t="n"/>
      <c r="G152" s="1" t="n"/>
      <c r="H152">
        <f>N(F152)</f>
        <v/>
      </c>
      <c r="I152">
        <f>IF(F152="",N(E152),0)</f>
        <v/>
      </c>
    </row>
    <row r="153">
      <c r="A153" s="1" t="n"/>
      <c r="B153" s="29" t="n"/>
      <c r="C153" s="20" t="n"/>
      <c r="D153" s="20" t="n"/>
      <c r="E153" s="21" t="n"/>
      <c r="F153" s="21" t="n"/>
      <c r="G153" s="1" t="n"/>
      <c r="H153">
        <f>N(F153)</f>
        <v/>
      </c>
      <c r="I153">
        <f>IF(F153="",N(E153),0)</f>
        <v/>
      </c>
    </row>
    <row r="154">
      <c r="A154" s="1" t="n"/>
      <c r="B154" s="29" t="n"/>
      <c r="C154" s="20" t="n"/>
      <c r="D154" s="20" t="n"/>
      <c r="E154" s="21" t="n"/>
      <c r="F154" s="21" t="n"/>
      <c r="G154" s="1" t="n"/>
      <c r="H154">
        <f>N(F154)</f>
        <v/>
      </c>
      <c r="I154">
        <f>IF(F154="",N(E154),0)</f>
        <v/>
      </c>
    </row>
    <row r="155">
      <c r="A155" s="1" t="n"/>
      <c r="B155" s="29" t="n"/>
      <c r="C155" s="20" t="n"/>
      <c r="D155" s="20" t="n"/>
      <c r="E155" s="21" t="n"/>
      <c r="F155" s="21" t="n"/>
      <c r="G155" s="1" t="n"/>
      <c r="H155">
        <f>N(F155)</f>
        <v/>
      </c>
      <c r="I155">
        <f>IF(F155="",N(E155),0)</f>
        <v/>
      </c>
    </row>
    <row r="156">
      <c r="A156" s="1" t="n"/>
      <c r="B156" s="29" t="n"/>
      <c r="C156" s="20" t="n"/>
      <c r="D156" s="20" t="n"/>
      <c r="E156" s="21" t="n"/>
      <c r="F156" s="21" t="n"/>
      <c r="G156" s="1" t="n"/>
      <c r="H156">
        <f>N(F156)</f>
        <v/>
      </c>
      <c r="I156">
        <f>IF(F156="",N(E156),0)</f>
        <v/>
      </c>
    </row>
    <row r="157">
      <c r="A157" s="1" t="n"/>
      <c r="B157" s="29" t="n"/>
      <c r="C157" s="20" t="n"/>
      <c r="D157" s="20" t="n"/>
      <c r="E157" s="21" t="n"/>
      <c r="F157" s="21" t="n"/>
      <c r="G157" s="1" t="n"/>
      <c r="H157">
        <f>N(F157)</f>
        <v/>
      </c>
      <c r="I157">
        <f>IF(F157="",N(E157),0)</f>
        <v/>
      </c>
    </row>
    <row r="158">
      <c r="A158" s="1" t="n"/>
      <c r="B158" s="29" t="n"/>
      <c r="C158" s="20" t="n"/>
      <c r="D158" s="20" t="n"/>
      <c r="E158" s="21" t="n"/>
      <c r="F158" s="21" t="n"/>
      <c r="G158" s="1" t="n"/>
      <c r="H158">
        <f>N(F158)</f>
        <v/>
      </c>
      <c r="I158">
        <f>IF(F158="",N(E158),0)</f>
        <v/>
      </c>
    </row>
    <row r="159">
      <c r="A159" s="1" t="n"/>
      <c r="B159" s="29" t="n"/>
      <c r="C159" s="20" t="n"/>
      <c r="D159" s="20" t="n"/>
      <c r="E159" s="21" t="n"/>
      <c r="F159" s="21" t="n"/>
      <c r="G159" s="1" t="n"/>
      <c r="H159">
        <f>N(F159)</f>
        <v/>
      </c>
      <c r="I159">
        <f>IF(F159="",N(E159),0)</f>
        <v/>
      </c>
    </row>
    <row r="160">
      <c r="A160" s="1" t="n"/>
      <c r="B160" s="29" t="n"/>
      <c r="C160" s="20" t="n"/>
      <c r="D160" s="20" t="n"/>
      <c r="E160" s="21" t="n"/>
      <c r="F160" s="21" t="n"/>
      <c r="G160" s="1" t="n"/>
      <c r="H160">
        <f>N(F160)</f>
        <v/>
      </c>
      <c r="I160">
        <f>IF(F160="",N(E160),0)</f>
        <v/>
      </c>
    </row>
    <row r="161">
      <c r="A161" s="1" t="n"/>
      <c r="B161" s="29" t="n"/>
      <c r="C161" s="20" t="n"/>
      <c r="D161" s="20" t="n"/>
      <c r="E161" s="21" t="n"/>
      <c r="F161" s="21" t="n"/>
      <c r="G161" s="1" t="n"/>
      <c r="H161">
        <f>N(F161)</f>
        <v/>
      </c>
      <c r="I161">
        <f>IF(F161="",N(E161),0)</f>
        <v/>
      </c>
    </row>
    <row r="162">
      <c r="A162" s="1" t="n"/>
      <c r="B162" s="29" t="n"/>
      <c r="C162" s="20" t="n"/>
      <c r="D162" s="20" t="n"/>
      <c r="E162" s="21" t="n"/>
      <c r="F162" s="21" t="n"/>
      <c r="G162" s="1" t="n"/>
      <c r="H162">
        <f>N(F162)</f>
        <v/>
      </c>
      <c r="I162">
        <f>IF(F162="",N(E162),0)</f>
        <v/>
      </c>
    </row>
    <row r="163">
      <c r="A163" s="1" t="n"/>
      <c r="B163" s="29" t="n"/>
      <c r="C163" s="20" t="n"/>
      <c r="D163" s="20" t="n"/>
      <c r="E163" s="21" t="n"/>
      <c r="F163" s="21" t="n"/>
      <c r="G163" s="1" t="n"/>
      <c r="H163">
        <f>N(F163)</f>
        <v/>
      </c>
      <c r="I163">
        <f>IF(F163="",N(E163),0)</f>
        <v/>
      </c>
    </row>
    <row r="164">
      <c r="A164" s="1" t="n"/>
      <c r="B164" s="29" t="n"/>
      <c r="C164" s="20" t="n"/>
      <c r="D164" s="20" t="n"/>
      <c r="E164" s="21" t="n"/>
      <c r="F164" s="21" t="n"/>
      <c r="G164" s="1" t="n"/>
      <c r="H164">
        <f>N(F164)</f>
        <v/>
      </c>
      <c r="I164">
        <f>IF(F164="",N(E164),0)</f>
        <v/>
      </c>
    </row>
    <row r="165">
      <c r="A165" s="1" t="n"/>
      <c r="B165" s="29" t="n"/>
      <c r="C165" s="20" t="n"/>
      <c r="D165" s="20" t="n"/>
      <c r="E165" s="21" t="n"/>
      <c r="F165" s="21" t="n"/>
      <c r="G165" s="1" t="n"/>
      <c r="H165">
        <f>N(F165)</f>
        <v/>
      </c>
      <c r="I165">
        <f>IF(F165="",N(E165),0)</f>
        <v/>
      </c>
    </row>
    <row r="166">
      <c r="A166" s="1" t="n"/>
      <c r="B166" s="29" t="n"/>
      <c r="C166" s="20" t="n"/>
      <c r="D166" s="20" t="n"/>
      <c r="E166" s="21" t="n"/>
      <c r="F166" s="21" t="n"/>
      <c r="G166" s="1" t="n"/>
      <c r="H166">
        <f>N(F166)</f>
        <v/>
      </c>
      <c r="I166">
        <f>IF(F166="",N(E166),0)</f>
        <v/>
      </c>
    </row>
    <row r="167">
      <c r="A167" s="1" t="n"/>
      <c r="B167" s="29" t="n"/>
      <c r="C167" s="20" t="n"/>
      <c r="D167" s="20" t="n"/>
      <c r="E167" s="21" t="n"/>
      <c r="F167" s="21" t="n"/>
      <c r="G167" s="1" t="n"/>
      <c r="H167">
        <f>N(F167)</f>
        <v/>
      </c>
      <c r="I167">
        <f>IF(F167="",N(E167),0)</f>
        <v/>
      </c>
    </row>
    <row r="168">
      <c r="A168" s="1" t="n"/>
      <c r="B168" s="29" t="n"/>
      <c r="C168" s="20" t="n"/>
      <c r="D168" s="20" t="n"/>
      <c r="E168" s="21" t="n"/>
      <c r="F168" s="21" t="n"/>
      <c r="G168" s="1" t="n"/>
      <c r="H168">
        <f>N(F168)</f>
        <v/>
      </c>
      <c r="I168">
        <f>IF(F168="",N(E168),0)</f>
        <v/>
      </c>
    </row>
    <row r="169">
      <c r="A169" s="1" t="n"/>
      <c r="B169" s="29" t="n"/>
      <c r="C169" s="20" t="n"/>
      <c r="D169" s="20" t="n"/>
      <c r="E169" s="21" t="n"/>
      <c r="F169" s="21" t="n"/>
      <c r="G169" s="1" t="n"/>
      <c r="H169">
        <f>N(F169)</f>
        <v/>
      </c>
      <c r="I169">
        <f>IF(F169="",N(E169),0)</f>
        <v/>
      </c>
    </row>
    <row r="170">
      <c r="A170" s="1" t="n"/>
      <c r="B170" s="29" t="n"/>
      <c r="C170" s="20" t="n"/>
      <c r="D170" s="20" t="n"/>
      <c r="E170" s="21" t="n"/>
      <c r="F170" s="21" t="n"/>
      <c r="G170" s="1" t="n"/>
      <c r="H170">
        <f>N(F170)</f>
        <v/>
      </c>
      <c r="I170">
        <f>IF(F170="",N(E170),0)</f>
        <v/>
      </c>
    </row>
    <row r="171">
      <c r="A171" s="1" t="n"/>
      <c r="B171" s="29" t="n"/>
      <c r="C171" s="20" t="n"/>
      <c r="D171" s="20" t="n"/>
      <c r="E171" s="21" t="n"/>
      <c r="F171" s="21" t="n"/>
      <c r="G171" s="1" t="n"/>
      <c r="H171">
        <f>N(F171)</f>
        <v/>
      </c>
      <c r="I171">
        <f>IF(F171="",N(E171),0)</f>
        <v/>
      </c>
    </row>
    <row r="172">
      <c r="A172" s="1" t="n"/>
      <c r="B172" s="29" t="n"/>
      <c r="C172" s="20" t="n"/>
      <c r="D172" s="20" t="n"/>
      <c r="E172" s="21" t="n"/>
      <c r="F172" s="21" t="n"/>
      <c r="G172" s="1" t="n"/>
      <c r="H172">
        <f>N(F172)</f>
        <v/>
      </c>
      <c r="I172">
        <f>IF(F172="",N(E172),0)</f>
        <v/>
      </c>
    </row>
    <row r="173">
      <c r="A173" s="1" t="n"/>
      <c r="B173" s="29" t="n"/>
      <c r="C173" s="20" t="n"/>
      <c r="D173" s="20" t="n"/>
      <c r="E173" s="21" t="n"/>
      <c r="F173" s="21" t="n"/>
      <c r="G173" s="1" t="n"/>
      <c r="H173">
        <f>N(F173)</f>
        <v/>
      </c>
      <c r="I173">
        <f>IF(F173="",N(E173),0)</f>
        <v/>
      </c>
    </row>
    <row r="174">
      <c r="A174" s="1" t="n"/>
      <c r="B174" s="29" t="n"/>
      <c r="C174" s="20" t="n"/>
      <c r="D174" s="20" t="n"/>
      <c r="E174" s="21" t="n"/>
      <c r="F174" s="21" t="n"/>
      <c r="G174" s="1" t="n"/>
      <c r="H174">
        <f>N(F174)</f>
        <v/>
      </c>
      <c r="I174">
        <f>IF(F174="",N(E174),0)</f>
        <v/>
      </c>
    </row>
    <row r="175">
      <c r="A175" s="1" t="n"/>
      <c r="B175" s="29" t="n"/>
      <c r="C175" s="20" t="n"/>
      <c r="D175" s="20" t="n"/>
      <c r="E175" s="21" t="n"/>
      <c r="F175" s="21" t="n"/>
      <c r="G175" s="1" t="n"/>
      <c r="H175">
        <f>N(F175)</f>
        <v/>
      </c>
      <c r="I175">
        <f>IF(F175="",N(E175),0)</f>
        <v/>
      </c>
    </row>
    <row r="176">
      <c r="A176" s="1" t="n"/>
      <c r="B176" s="29" t="n"/>
      <c r="C176" s="20" t="n"/>
      <c r="D176" s="20" t="n"/>
      <c r="E176" s="21" t="n"/>
      <c r="F176" s="21" t="n"/>
      <c r="G176" s="1" t="n"/>
      <c r="H176">
        <f>N(F176)</f>
        <v/>
      </c>
      <c r="I176">
        <f>IF(F176="",N(E176),0)</f>
        <v/>
      </c>
    </row>
    <row r="177">
      <c r="A177" s="1" t="n"/>
      <c r="B177" s="29" t="n"/>
      <c r="C177" s="20" t="n"/>
      <c r="D177" s="20" t="n"/>
      <c r="E177" s="21" t="n"/>
      <c r="F177" s="21" t="n"/>
      <c r="G177" s="1" t="n"/>
      <c r="H177">
        <f>N(F177)</f>
        <v/>
      </c>
      <c r="I177">
        <f>IF(F177="",N(E177),0)</f>
        <v/>
      </c>
    </row>
    <row r="178">
      <c r="A178" s="1" t="n"/>
      <c r="B178" s="29" t="n"/>
      <c r="C178" s="20" t="n"/>
      <c r="D178" s="20" t="n"/>
      <c r="E178" s="21" t="n"/>
      <c r="F178" s="21" t="n"/>
      <c r="G178" s="1" t="n"/>
      <c r="H178">
        <f>N(F178)</f>
        <v/>
      </c>
      <c r="I178">
        <f>IF(F178="",N(E178),0)</f>
        <v/>
      </c>
    </row>
    <row r="179">
      <c r="A179" s="1" t="n"/>
      <c r="B179" s="29" t="n"/>
      <c r="C179" s="20" t="n"/>
      <c r="D179" s="20" t="n"/>
      <c r="E179" s="21" t="n"/>
      <c r="F179" s="21" t="n"/>
      <c r="G179" s="1" t="n"/>
      <c r="H179">
        <f>N(F179)</f>
        <v/>
      </c>
      <c r="I179">
        <f>IF(F179="",N(E179),0)</f>
        <v/>
      </c>
    </row>
    <row r="180">
      <c r="A180" s="1" t="n"/>
      <c r="B180" s="29" t="n"/>
      <c r="C180" s="20" t="n"/>
      <c r="D180" s="20" t="n"/>
      <c r="E180" s="21" t="n"/>
      <c r="F180" s="21" t="n"/>
      <c r="G180" s="1" t="n"/>
      <c r="H180">
        <f>N(F180)</f>
        <v/>
      </c>
      <c r="I180">
        <f>IF(F180="",N(E180),0)</f>
        <v/>
      </c>
    </row>
    <row r="181">
      <c r="A181" s="1" t="n"/>
      <c r="B181" s="29" t="n"/>
      <c r="C181" s="20" t="n"/>
      <c r="D181" s="20" t="n"/>
      <c r="E181" s="21" t="n"/>
      <c r="F181" s="21" t="n"/>
      <c r="G181" s="1" t="n"/>
      <c r="H181">
        <f>N(F181)</f>
        <v/>
      </c>
      <c r="I181">
        <f>IF(F181="",N(E181),0)</f>
        <v/>
      </c>
    </row>
    <row r="182">
      <c r="A182" s="1" t="n"/>
      <c r="B182" s="29" t="n"/>
      <c r="C182" s="20" t="n"/>
      <c r="D182" s="20" t="n"/>
      <c r="E182" s="21" t="n"/>
      <c r="F182" s="21" t="n"/>
      <c r="G182" s="1" t="n"/>
      <c r="H182">
        <f>N(F182)</f>
        <v/>
      </c>
      <c r="I182">
        <f>IF(F182="",N(E182),0)</f>
        <v/>
      </c>
    </row>
    <row r="183">
      <c r="A183" s="1" t="n"/>
      <c r="B183" s="29" t="n"/>
      <c r="C183" s="20" t="n"/>
      <c r="D183" s="20" t="n"/>
      <c r="E183" s="21" t="n"/>
      <c r="F183" s="21" t="n"/>
      <c r="G183" s="1" t="n"/>
      <c r="H183">
        <f>N(F183)</f>
        <v/>
      </c>
      <c r="I183">
        <f>IF(F183="",N(E183),0)</f>
        <v/>
      </c>
    </row>
    <row r="184">
      <c r="A184" s="1" t="n"/>
      <c r="B184" s="29" t="n"/>
      <c r="C184" s="20" t="n"/>
      <c r="D184" s="20" t="n"/>
      <c r="E184" s="21" t="n"/>
      <c r="F184" s="21" t="n"/>
      <c r="G184" s="1" t="n"/>
      <c r="H184">
        <f>N(F184)</f>
        <v/>
      </c>
      <c r="I184">
        <f>IF(F184="",N(E184),0)</f>
        <v/>
      </c>
    </row>
    <row r="185">
      <c r="A185" s="1" t="n"/>
      <c r="B185" s="29" t="n"/>
      <c r="C185" s="20" t="n"/>
      <c r="D185" s="20" t="n"/>
      <c r="E185" s="21" t="n"/>
      <c r="F185" s="21" t="n"/>
      <c r="G185" s="1" t="n"/>
      <c r="H185">
        <f>N(F185)</f>
        <v/>
      </c>
      <c r="I185">
        <f>IF(F185="",N(E185),0)</f>
        <v/>
      </c>
    </row>
    <row r="186">
      <c r="A186" s="1" t="n"/>
      <c r="B186" s="29" t="n"/>
      <c r="C186" s="20" t="n"/>
      <c r="D186" s="20" t="n"/>
      <c r="E186" s="21" t="n"/>
      <c r="F186" s="21" t="n"/>
      <c r="G186" s="1" t="n"/>
      <c r="H186">
        <f>N(F186)</f>
        <v/>
      </c>
      <c r="I186">
        <f>IF(F186="",N(E186),0)</f>
        <v/>
      </c>
    </row>
    <row r="187">
      <c r="A187" s="1" t="n"/>
      <c r="B187" s="29" t="n"/>
      <c r="C187" s="20" t="n"/>
      <c r="D187" s="20" t="n"/>
      <c r="E187" s="21" t="n"/>
      <c r="F187" s="21" t="n"/>
      <c r="G187" s="1" t="n"/>
      <c r="H187">
        <f>N(F187)</f>
        <v/>
      </c>
      <c r="I187">
        <f>IF(F187="",N(E187),0)</f>
        <v/>
      </c>
    </row>
    <row r="188">
      <c r="A188" s="1" t="n"/>
      <c r="B188" s="29" t="n"/>
      <c r="C188" s="20" t="n"/>
      <c r="D188" s="20" t="n"/>
      <c r="E188" s="21" t="n"/>
      <c r="F188" s="21" t="n"/>
      <c r="G188" s="1" t="n"/>
      <c r="H188">
        <f>N(F188)</f>
        <v/>
      </c>
      <c r="I188">
        <f>IF(F188="",N(E188),0)</f>
        <v/>
      </c>
    </row>
    <row r="189">
      <c r="A189" s="1" t="n"/>
      <c r="B189" s="29" t="n"/>
      <c r="C189" s="20" t="n"/>
      <c r="D189" s="20" t="n"/>
      <c r="E189" s="21" t="n"/>
      <c r="F189" s="21" t="n"/>
      <c r="G189" s="1" t="n"/>
      <c r="H189">
        <f>N(F189)</f>
        <v/>
      </c>
      <c r="I189">
        <f>IF(F189="",N(E189),0)</f>
        <v/>
      </c>
    </row>
    <row r="190">
      <c r="A190" s="1" t="n"/>
      <c r="B190" s="29" t="n"/>
      <c r="C190" s="20" t="n"/>
      <c r="D190" s="20" t="n"/>
      <c r="E190" s="21" t="n"/>
      <c r="F190" s="21" t="n"/>
      <c r="G190" s="1" t="n"/>
      <c r="H190">
        <f>N(F190)</f>
        <v/>
      </c>
      <c r="I190">
        <f>IF(F190="",N(E190),0)</f>
        <v/>
      </c>
    </row>
    <row r="191">
      <c r="A191" s="1" t="n"/>
      <c r="B191" s="29" t="n"/>
      <c r="C191" s="20" t="n"/>
      <c r="D191" s="20" t="n"/>
      <c r="E191" s="21" t="n"/>
      <c r="F191" s="21" t="n"/>
      <c r="G191" s="1" t="n"/>
      <c r="H191">
        <f>N(F191)</f>
        <v/>
      </c>
      <c r="I191">
        <f>IF(F191="",N(E191),0)</f>
        <v/>
      </c>
    </row>
    <row r="192">
      <c r="A192" s="1" t="n"/>
      <c r="B192" s="29" t="n"/>
      <c r="C192" s="20" t="n"/>
      <c r="D192" s="20" t="n"/>
      <c r="E192" s="21" t="n"/>
      <c r="F192" s="21" t="n"/>
      <c r="G192" s="1" t="n"/>
      <c r="H192">
        <f>N(F192)</f>
        <v/>
      </c>
      <c r="I192">
        <f>IF(F192="",N(E192),0)</f>
        <v/>
      </c>
    </row>
    <row r="193">
      <c r="A193" s="1" t="n"/>
      <c r="B193" s="29" t="n"/>
      <c r="C193" s="20" t="n"/>
      <c r="D193" s="20" t="n"/>
      <c r="E193" s="21" t="n"/>
      <c r="F193" s="21" t="n"/>
      <c r="G193" s="1" t="n"/>
      <c r="H193">
        <f>N(F193)</f>
        <v/>
      </c>
      <c r="I193">
        <f>IF(F193="",N(E193),0)</f>
        <v/>
      </c>
    </row>
    <row r="194">
      <c r="A194" s="1" t="n"/>
      <c r="B194" s="29" t="n"/>
      <c r="C194" s="20" t="n"/>
      <c r="D194" s="20" t="n"/>
      <c r="E194" s="21" t="n"/>
      <c r="F194" s="21" t="n"/>
      <c r="G194" s="1" t="n"/>
      <c r="H194">
        <f>N(F194)</f>
        <v/>
      </c>
      <c r="I194">
        <f>IF(F194="",N(E194),0)</f>
        <v/>
      </c>
    </row>
    <row r="195">
      <c r="A195" s="1" t="n"/>
      <c r="B195" s="29" t="n"/>
      <c r="C195" s="20" t="n"/>
      <c r="D195" s="20" t="n"/>
      <c r="E195" s="21" t="n"/>
      <c r="F195" s="21" t="n"/>
      <c r="G195" s="1" t="n"/>
      <c r="H195">
        <f>N(F195)</f>
        <v/>
      </c>
      <c r="I195">
        <f>IF(F195="",N(E195),0)</f>
        <v/>
      </c>
    </row>
    <row r="196">
      <c r="A196" s="1" t="n"/>
      <c r="B196" s="29" t="n"/>
      <c r="C196" s="20" t="n"/>
      <c r="D196" s="20" t="n"/>
      <c r="E196" s="21" t="n"/>
      <c r="F196" s="21" t="n"/>
      <c r="G196" s="1" t="n"/>
      <c r="H196">
        <f>N(F196)</f>
        <v/>
      </c>
      <c r="I196">
        <f>IF(F196="",N(E196),0)</f>
        <v/>
      </c>
    </row>
    <row r="197">
      <c r="A197" s="1" t="n"/>
      <c r="B197" s="29" t="n"/>
      <c r="C197" s="20" t="n"/>
      <c r="D197" s="20" t="n"/>
      <c r="E197" s="21" t="n"/>
      <c r="F197" s="21" t="n"/>
      <c r="G197" s="1" t="n"/>
      <c r="H197">
        <f>N(F197)</f>
        <v/>
      </c>
      <c r="I197">
        <f>IF(F197="",N(E197),0)</f>
        <v/>
      </c>
    </row>
    <row r="198">
      <c r="A198" s="1" t="n"/>
      <c r="B198" s="29" t="n"/>
      <c r="C198" s="20" t="n"/>
      <c r="D198" s="20" t="n"/>
      <c r="E198" s="21" t="n"/>
      <c r="F198" s="21" t="n"/>
      <c r="G198" s="1" t="n"/>
      <c r="H198">
        <f>N(F198)</f>
        <v/>
      </c>
      <c r="I198">
        <f>IF(F198="",N(E198),0)</f>
        <v/>
      </c>
    </row>
    <row r="199">
      <c r="A199" s="1" t="n"/>
      <c r="B199" s="29" t="n"/>
      <c r="C199" s="20" t="n"/>
      <c r="D199" s="20" t="n"/>
      <c r="E199" s="21" t="n"/>
      <c r="F199" s="21" t="n"/>
      <c r="G199" s="1" t="n"/>
      <c r="H199">
        <f>N(F199)</f>
        <v/>
      </c>
      <c r="I199">
        <f>IF(F199="",N(E199),0)</f>
        <v/>
      </c>
    </row>
    <row r="200">
      <c r="A200" s="1" t="n"/>
      <c r="B200" s="29" t="n"/>
      <c r="C200" s="20" t="n"/>
      <c r="D200" s="20" t="n"/>
      <c r="E200" s="21" t="n"/>
      <c r="F200" s="21" t="n"/>
      <c r="G200" s="1" t="n"/>
      <c r="H200">
        <f>N(F200)</f>
        <v/>
      </c>
      <c r="I200">
        <f>IF(F200="",N(E200),0)</f>
        <v/>
      </c>
    </row>
    <row r="201">
      <c r="A201" s="1" t="n"/>
      <c r="B201" s="29" t="n"/>
      <c r="C201" s="20" t="n"/>
      <c r="D201" s="20" t="n"/>
      <c r="E201" s="21" t="n"/>
      <c r="F201" s="21" t="n"/>
      <c r="G201" s="1" t="n"/>
      <c r="H201">
        <f>N(F201)</f>
        <v/>
      </c>
      <c r="I201">
        <f>IF(F201="",N(E201),0)</f>
        <v/>
      </c>
    </row>
    <row r="202">
      <c r="A202" s="1" t="n"/>
      <c r="B202" s="29" t="n"/>
      <c r="C202" s="20" t="n"/>
      <c r="D202" s="20" t="n"/>
      <c r="E202" s="21" t="n"/>
      <c r="F202" s="21" t="n"/>
      <c r="G202" s="1" t="n"/>
      <c r="H202">
        <f>N(F202)</f>
        <v/>
      </c>
      <c r="I202">
        <f>IF(F202="",N(E202),0)</f>
        <v/>
      </c>
    </row>
    <row r="203">
      <c r="A203" s="1" t="n"/>
      <c r="B203" s="29" t="n"/>
      <c r="C203" s="20" t="n"/>
      <c r="D203" s="20" t="n"/>
      <c r="E203" s="21" t="n"/>
      <c r="F203" s="21" t="n"/>
      <c r="G203" s="1" t="n"/>
      <c r="H203">
        <f>N(F203)</f>
        <v/>
      </c>
      <c r="I203">
        <f>IF(F203="",N(E203),0)</f>
        <v/>
      </c>
    </row>
    <row r="204">
      <c r="A204" s="1" t="n"/>
      <c r="B204" s="29" t="n"/>
      <c r="C204" s="20" t="n"/>
      <c r="D204" s="20" t="n"/>
      <c r="E204" s="21" t="n"/>
      <c r="F204" s="21" t="n"/>
      <c r="G204" s="1" t="n"/>
      <c r="H204">
        <f>N(F204)</f>
        <v/>
      </c>
      <c r="I204">
        <f>IF(F204="",N(E204),0)</f>
        <v/>
      </c>
    </row>
    <row r="205">
      <c r="A205" s="1" t="n"/>
      <c r="B205" s="29" t="n"/>
      <c r="C205" s="20" t="n"/>
      <c r="D205" s="20" t="n"/>
      <c r="E205" s="21" t="n"/>
      <c r="F205" s="21" t="n"/>
      <c r="G205" s="1" t="n"/>
      <c r="H205">
        <f>N(F205)</f>
        <v/>
      </c>
      <c r="I205">
        <f>IF(F205="",N(E205),0)</f>
        <v/>
      </c>
    </row>
    <row r="206">
      <c r="A206" s="1" t="n"/>
      <c r="B206" s="29" t="n"/>
      <c r="C206" s="20" t="n"/>
      <c r="D206" s="20" t="n"/>
      <c r="E206" s="21" t="n"/>
      <c r="F206" s="21" t="n"/>
      <c r="G206" s="1" t="n"/>
      <c r="H206">
        <f>N(F206)</f>
        <v/>
      </c>
      <c r="I206">
        <f>IF(F206="",N(E206),0)</f>
        <v/>
      </c>
    </row>
    <row r="207">
      <c r="A207" s="1" t="n"/>
      <c r="B207" s="29" t="n"/>
      <c r="C207" s="20" t="n"/>
      <c r="D207" s="20" t="n"/>
      <c r="E207" s="21" t="n"/>
      <c r="F207" s="21" t="n"/>
      <c r="G207" s="1" t="n"/>
      <c r="H207">
        <f>N(F207)</f>
        <v/>
      </c>
      <c r="I207">
        <f>IF(F207="",N(E207),0)</f>
        <v/>
      </c>
    </row>
    <row r="208">
      <c r="A208" s="1" t="n"/>
      <c r="B208" s="29" t="n"/>
      <c r="C208" s="20" t="n"/>
      <c r="D208" s="20" t="n"/>
      <c r="E208" s="21" t="n"/>
      <c r="F208" s="21" t="n"/>
      <c r="G208" s="1" t="n"/>
      <c r="H208">
        <f>N(F208)</f>
        <v/>
      </c>
      <c r="I208">
        <f>IF(F208="",N(E208),0)</f>
        <v/>
      </c>
    </row>
    <row r="209">
      <c r="A209" s="1" t="n"/>
      <c r="B209" s="29" t="n"/>
      <c r="C209" s="20" t="n"/>
      <c r="D209" s="20" t="n"/>
      <c r="E209" s="21" t="n"/>
      <c r="F209" s="21" t="n"/>
      <c r="G209" s="1" t="n"/>
      <c r="H209">
        <f>N(F209)</f>
        <v/>
      </c>
      <c r="I209">
        <f>IF(F209="",N(E209),0)</f>
        <v/>
      </c>
    </row>
    <row r="210">
      <c r="A210" s="1" t="n"/>
      <c r="B210" s="29" t="n"/>
      <c r="C210" s="20" t="n"/>
      <c r="D210" s="20" t="n"/>
      <c r="E210" s="21" t="n"/>
      <c r="F210" s="21" t="n"/>
      <c r="G210" s="1" t="n"/>
      <c r="H210">
        <f>N(F210)</f>
        <v/>
      </c>
      <c r="I210">
        <f>IF(F210="",N(E210),0)</f>
        <v/>
      </c>
    </row>
    <row r="211">
      <c r="A211" s="1" t="n"/>
      <c r="B211" s="29" t="n"/>
      <c r="C211" s="20" t="n"/>
      <c r="D211" s="20" t="n"/>
      <c r="E211" s="21" t="n"/>
      <c r="F211" s="21" t="n"/>
      <c r="G211" s="1" t="n"/>
      <c r="H211">
        <f>N(F211)</f>
        <v/>
      </c>
      <c r="I211">
        <f>IF(F211="",N(E211),0)</f>
        <v/>
      </c>
    </row>
    <row r="212">
      <c r="A212" s="1" t="n"/>
      <c r="B212" s="29" t="n"/>
      <c r="C212" s="20" t="n"/>
      <c r="D212" s="20" t="n"/>
      <c r="E212" s="21" t="n"/>
      <c r="F212" s="21" t="n"/>
      <c r="G212" s="1" t="n"/>
      <c r="H212">
        <f>N(F212)</f>
        <v/>
      </c>
      <c r="I212">
        <f>IF(F212="",N(E212),0)</f>
        <v/>
      </c>
    </row>
    <row r="213">
      <c r="A213" s="1" t="n"/>
      <c r="B213" s="29" t="n"/>
      <c r="C213" s="20" t="n"/>
      <c r="D213" s="20" t="n"/>
      <c r="E213" s="21" t="n"/>
      <c r="F213" s="21" t="n"/>
      <c r="G213" s="1" t="n"/>
      <c r="H213">
        <f>N(F213)</f>
        <v/>
      </c>
      <c r="I213">
        <f>IF(F213="",N(E213),0)</f>
        <v/>
      </c>
    </row>
    <row r="214">
      <c r="A214" s="1" t="n"/>
      <c r="B214" s="29" t="n"/>
      <c r="C214" s="20" t="n"/>
      <c r="D214" s="20" t="n"/>
      <c r="E214" s="21" t="n"/>
      <c r="F214" s="21" t="n"/>
      <c r="G214" s="1" t="n"/>
      <c r="H214">
        <f>N(F214)</f>
        <v/>
      </c>
      <c r="I214">
        <f>IF(F214="",N(E214),0)</f>
        <v/>
      </c>
    </row>
    <row r="215">
      <c r="A215" s="1" t="n"/>
      <c r="B215" s="29" t="n"/>
      <c r="C215" s="20" t="n"/>
      <c r="D215" s="20" t="n"/>
      <c r="E215" s="21" t="n"/>
      <c r="F215" s="21" t="n"/>
      <c r="G215" s="1" t="n"/>
      <c r="H215">
        <f>N(F215)</f>
        <v/>
      </c>
      <c r="I215">
        <f>IF(F215="",N(E215),0)</f>
        <v/>
      </c>
    </row>
    <row r="216">
      <c r="A216" s="1" t="n"/>
      <c r="B216" s="29" t="n"/>
      <c r="C216" s="20" t="n"/>
      <c r="D216" s="20" t="n"/>
      <c r="E216" s="21" t="n"/>
      <c r="F216" s="21" t="n"/>
      <c r="G216" s="1" t="n"/>
      <c r="H216">
        <f>N(F216)</f>
        <v/>
      </c>
      <c r="I216">
        <f>IF(F216="",N(E216),0)</f>
        <v/>
      </c>
    </row>
    <row r="217">
      <c r="A217" s="1" t="n"/>
      <c r="B217" s="29" t="n"/>
      <c r="C217" s="20" t="n"/>
      <c r="D217" s="20" t="n"/>
      <c r="E217" s="21" t="n"/>
      <c r="F217" s="21" t="n"/>
      <c r="G217" s="1" t="n"/>
      <c r="H217">
        <f>N(F217)</f>
        <v/>
      </c>
      <c r="I217">
        <f>IF(F217="",N(E217),0)</f>
        <v/>
      </c>
    </row>
    <row r="218">
      <c r="A218" s="1" t="n"/>
      <c r="B218" s="29" t="n"/>
      <c r="C218" s="20" t="n"/>
      <c r="D218" s="20" t="n"/>
      <c r="E218" s="21" t="n"/>
      <c r="F218" s="21" t="n"/>
      <c r="G218" s="1" t="n"/>
      <c r="H218">
        <f>N(F218)</f>
        <v/>
      </c>
      <c r="I218">
        <f>IF(F218="",N(E218),0)</f>
        <v/>
      </c>
    </row>
    <row r="219">
      <c r="A219" s="1" t="n"/>
      <c r="B219" s="29" t="n"/>
      <c r="C219" s="20" t="n"/>
      <c r="D219" s="20" t="n"/>
      <c r="E219" s="21" t="n"/>
      <c r="F219" s="21" t="n"/>
      <c r="G219" s="1" t="n"/>
      <c r="H219">
        <f>N(F219)</f>
        <v/>
      </c>
      <c r="I219">
        <f>IF(F219="",N(E219),0)</f>
        <v/>
      </c>
    </row>
    <row r="220">
      <c r="A220" s="1" t="n"/>
      <c r="B220" s="29" t="n"/>
      <c r="C220" s="20" t="n"/>
      <c r="D220" s="20" t="n"/>
      <c r="E220" s="21" t="n"/>
      <c r="F220" s="21" t="n"/>
      <c r="G220" s="1" t="n"/>
      <c r="H220">
        <f>N(F220)</f>
        <v/>
      </c>
      <c r="I220">
        <f>IF(F220="",N(E220),0)</f>
        <v/>
      </c>
    </row>
    <row r="221">
      <c r="A221" s="1" t="n"/>
      <c r="B221" s="29" t="n"/>
      <c r="C221" s="20" t="n"/>
      <c r="D221" s="20" t="n"/>
      <c r="E221" s="21" t="n"/>
      <c r="F221" s="21" t="n"/>
      <c r="G221" s="1" t="n"/>
      <c r="H221">
        <f>N(F221)</f>
        <v/>
      </c>
      <c r="I221">
        <f>IF(F221="",N(E221),0)</f>
        <v/>
      </c>
    </row>
    <row r="222">
      <c r="A222" s="1" t="n"/>
      <c r="B222" s="29" t="n"/>
      <c r="C222" s="20" t="n"/>
      <c r="D222" s="20" t="n"/>
      <c r="E222" s="21" t="n"/>
      <c r="F222" s="21" t="n"/>
      <c r="G222" s="1" t="n"/>
      <c r="H222">
        <f>N(F222)</f>
        <v/>
      </c>
      <c r="I222">
        <f>IF(F222="",N(E222),0)</f>
        <v/>
      </c>
    </row>
    <row r="223">
      <c r="A223" s="1" t="n"/>
      <c r="B223" s="29" t="n"/>
      <c r="C223" s="20" t="n"/>
      <c r="D223" s="20" t="n"/>
      <c r="E223" s="21" t="n"/>
      <c r="F223" s="21" t="n"/>
      <c r="G223" s="1" t="n"/>
      <c r="H223">
        <f>N(F223)</f>
        <v/>
      </c>
      <c r="I223">
        <f>IF(F223="",N(E223),0)</f>
        <v/>
      </c>
    </row>
    <row r="224">
      <c r="A224" s="1" t="n"/>
      <c r="B224" s="29" t="n"/>
      <c r="C224" s="20" t="n"/>
      <c r="D224" s="20" t="n"/>
      <c r="E224" s="21" t="n"/>
      <c r="F224" s="21" t="n"/>
      <c r="G224" s="1" t="n"/>
      <c r="H224">
        <f>N(F224)</f>
        <v/>
      </c>
      <c r="I224">
        <f>IF(F224="",N(E224),0)</f>
        <v/>
      </c>
    </row>
    <row r="225">
      <c r="A225" s="1" t="n"/>
      <c r="B225" s="29" t="n"/>
      <c r="C225" s="20" t="n"/>
      <c r="D225" s="20" t="n"/>
      <c r="E225" s="21" t="n"/>
      <c r="F225" s="21" t="n"/>
      <c r="G225" s="1" t="n"/>
      <c r="H225">
        <f>N(F225)</f>
        <v/>
      </c>
      <c r="I225">
        <f>IF(F225="",N(E225),0)</f>
        <v/>
      </c>
    </row>
    <row r="226">
      <c r="A226" s="1" t="n"/>
      <c r="B226" s="29" t="n"/>
      <c r="C226" s="20" t="n"/>
      <c r="D226" s="20" t="n"/>
      <c r="E226" s="21" t="n"/>
      <c r="F226" s="21" t="n"/>
      <c r="G226" s="1" t="n"/>
      <c r="H226">
        <f>N(F226)</f>
        <v/>
      </c>
      <c r="I226">
        <f>IF(F226="",N(E226),0)</f>
        <v/>
      </c>
    </row>
    <row r="227">
      <c r="A227" s="1" t="n"/>
      <c r="B227" s="29" t="n"/>
      <c r="C227" s="20" t="n"/>
      <c r="D227" s="20" t="n"/>
      <c r="E227" s="21" t="n"/>
      <c r="F227" s="21" t="n"/>
      <c r="G227" s="1" t="n"/>
      <c r="H227">
        <f>N(F227)</f>
        <v/>
      </c>
      <c r="I227">
        <f>IF(F227="",N(E227),0)</f>
        <v/>
      </c>
    </row>
    <row r="228">
      <c r="A228" s="1" t="n"/>
      <c r="B228" s="29" t="n"/>
      <c r="C228" s="20" t="n"/>
      <c r="D228" s="20" t="n"/>
      <c r="E228" s="21" t="n"/>
      <c r="F228" s="21" t="n"/>
      <c r="G228" s="1" t="n"/>
      <c r="H228">
        <f>N(F228)</f>
        <v/>
      </c>
      <c r="I228">
        <f>IF(F228="",N(E228),0)</f>
        <v/>
      </c>
    </row>
    <row r="229">
      <c r="A229" s="1" t="n"/>
      <c r="B229" s="29" t="n"/>
      <c r="C229" s="20" t="n"/>
      <c r="D229" s="20" t="n"/>
      <c r="E229" s="21" t="n"/>
      <c r="F229" s="21" t="n"/>
      <c r="G229" s="1" t="n"/>
      <c r="H229">
        <f>N(F229)</f>
        <v/>
      </c>
      <c r="I229">
        <f>IF(F229="",N(E229),0)</f>
        <v/>
      </c>
    </row>
    <row r="230">
      <c r="A230" s="1" t="n"/>
      <c r="B230" s="29" t="n"/>
      <c r="C230" s="20" t="n"/>
      <c r="D230" s="20" t="n"/>
      <c r="E230" s="21" t="n"/>
      <c r="F230" s="21" t="n"/>
      <c r="G230" s="1" t="n"/>
      <c r="H230">
        <f>N(F230)</f>
        <v/>
      </c>
      <c r="I230">
        <f>IF(F230="",N(E230),0)</f>
        <v/>
      </c>
    </row>
    <row r="231">
      <c r="A231" s="1" t="n"/>
      <c r="B231" s="29" t="n"/>
      <c r="C231" s="20" t="n"/>
      <c r="D231" s="20" t="n"/>
      <c r="E231" s="21" t="n"/>
      <c r="F231" s="21" t="n"/>
      <c r="G231" s="1" t="n"/>
      <c r="H231">
        <f>N(F231)</f>
        <v/>
      </c>
      <c r="I231">
        <f>IF(F231="",N(E231),0)</f>
        <v/>
      </c>
    </row>
    <row r="232">
      <c r="A232" s="1" t="n"/>
      <c r="B232" s="29" t="n"/>
      <c r="C232" s="20" t="n"/>
      <c r="D232" s="20" t="n"/>
      <c r="E232" s="21" t="n"/>
      <c r="F232" s="21" t="n"/>
      <c r="G232" s="1" t="n"/>
      <c r="H232">
        <f>N(F232)</f>
        <v/>
      </c>
      <c r="I232">
        <f>IF(F232="",N(E232),0)</f>
        <v/>
      </c>
    </row>
    <row r="233">
      <c r="A233" s="1" t="n"/>
      <c r="B233" s="29" t="n"/>
      <c r="C233" s="20" t="n"/>
      <c r="D233" s="20" t="n"/>
      <c r="E233" s="21" t="n"/>
      <c r="F233" s="21" t="n"/>
      <c r="G233" s="1" t="n"/>
      <c r="H233">
        <f>N(F233)</f>
        <v/>
      </c>
      <c r="I233">
        <f>IF(F233="",N(E233),0)</f>
        <v/>
      </c>
    </row>
    <row r="234">
      <c r="A234" s="1" t="n"/>
      <c r="B234" s="29" t="n"/>
      <c r="C234" s="20" t="n"/>
      <c r="D234" s="20" t="n"/>
      <c r="E234" s="21" t="n"/>
      <c r="F234" s="21" t="n"/>
      <c r="G234" s="1" t="n"/>
      <c r="H234">
        <f>N(F234)</f>
        <v/>
      </c>
      <c r="I234">
        <f>IF(F234="",N(E234),0)</f>
        <v/>
      </c>
    </row>
    <row r="235">
      <c r="A235" s="1" t="n"/>
      <c r="B235" s="29" t="n"/>
      <c r="C235" s="20" t="n"/>
      <c r="D235" s="20" t="n"/>
      <c r="E235" s="21" t="n"/>
      <c r="F235" s="21" t="n"/>
      <c r="G235" s="1" t="n"/>
      <c r="H235">
        <f>N(F235)</f>
        <v/>
      </c>
      <c r="I235">
        <f>IF(F235="",N(E235),0)</f>
        <v/>
      </c>
    </row>
    <row r="236">
      <c r="A236" s="1" t="n"/>
      <c r="B236" s="29" t="n"/>
      <c r="C236" s="20" t="n"/>
      <c r="D236" s="20" t="n"/>
      <c r="E236" s="21" t="n"/>
      <c r="F236" s="21" t="n"/>
      <c r="G236" s="1" t="n"/>
      <c r="H236">
        <f>N(F236)</f>
        <v/>
      </c>
      <c r="I236">
        <f>IF(F236="",N(E236),0)</f>
        <v/>
      </c>
    </row>
    <row r="237">
      <c r="A237" s="1" t="n"/>
      <c r="B237" s="29" t="n"/>
      <c r="C237" s="20" t="n"/>
      <c r="D237" s="20" t="n"/>
      <c r="E237" s="21" t="n"/>
      <c r="F237" s="21" t="n"/>
      <c r="G237" s="1" t="n"/>
      <c r="H237">
        <f>N(F237)</f>
        <v/>
      </c>
      <c r="I237">
        <f>IF(F237="",N(E237),0)</f>
        <v/>
      </c>
    </row>
    <row r="238">
      <c r="A238" s="1" t="n"/>
      <c r="B238" s="29" t="n"/>
      <c r="C238" s="20" t="n"/>
      <c r="D238" s="20" t="n"/>
      <c r="E238" s="21" t="n"/>
      <c r="F238" s="21" t="n"/>
      <c r="G238" s="1" t="n"/>
      <c r="H238">
        <f>N(F238)</f>
        <v/>
      </c>
      <c r="I238">
        <f>IF(F238="",N(E238),0)</f>
        <v/>
      </c>
    </row>
    <row r="239">
      <c r="A239" s="1" t="n"/>
      <c r="B239" s="29" t="n"/>
      <c r="C239" s="20" t="n"/>
      <c r="D239" s="20" t="n"/>
      <c r="E239" s="21" t="n"/>
      <c r="F239" s="21" t="n"/>
      <c r="G239" s="1" t="n"/>
      <c r="H239">
        <f>N(F239)</f>
        <v/>
      </c>
      <c r="I239">
        <f>IF(F239="",N(E239),0)</f>
        <v/>
      </c>
    </row>
    <row r="240">
      <c r="A240" s="1" t="n"/>
      <c r="B240" s="29" t="n"/>
      <c r="C240" s="20" t="n"/>
      <c r="D240" s="20" t="n"/>
      <c r="E240" s="21" t="n"/>
      <c r="F240" s="21" t="n"/>
      <c r="G240" s="1" t="n"/>
      <c r="H240">
        <f>N(F240)</f>
        <v/>
      </c>
      <c r="I240">
        <f>IF(F240="",N(E240),0)</f>
        <v/>
      </c>
    </row>
    <row r="241">
      <c r="A241" s="1" t="n"/>
      <c r="B241" s="29" t="n"/>
      <c r="C241" s="20" t="n"/>
      <c r="D241" s="20" t="n"/>
      <c r="E241" s="21" t="n"/>
      <c r="F241" s="21" t="n"/>
      <c r="G241" s="1" t="n"/>
      <c r="H241">
        <f>N(F241)</f>
        <v/>
      </c>
      <c r="I241">
        <f>IF(F241="",N(E241),0)</f>
        <v/>
      </c>
    </row>
    <row r="242">
      <c r="A242" s="1" t="n"/>
      <c r="B242" s="29" t="n"/>
      <c r="C242" s="20" t="n"/>
      <c r="D242" s="20" t="n"/>
      <c r="E242" s="21" t="n"/>
      <c r="F242" s="21" t="n"/>
      <c r="G242" s="1" t="n"/>
      <c r="H242">
        <f>N(F242)</f>
        <v/>
      </c>
      <c r="I242">
        <f>IF(F242="",N(E242),0)</f>
        <v/>
      </c>
    </row>
    <row r="243">
      <c r="A243" s="1" t="n"/>
      <c r="B243" s="29" t="n"/>
      <c r="C243" s="20" t="n"/>
      <c r="D243" s="20" t="n"/>
      <c r="E243" s="21" t="n"/>
      <c r="F243" s="21" t="n"/>
      <c r="G243" s="1" t="n"/>
      <c r="H243">
        <f>N(F243)</f>
        <v/>
      </c>
      <c r="I243">
        <f>IF(F243="",N(E243),0)</f>
        <v/>
      </c>
    </row>
    <row r="244">
      <c r="A244" s="1" t="n"/>
      <c r="B244" s="29" t="n"/>
      <c r="C244" s="20" t="n"/>
      <c r="D244" s="20" t="n"/>
      <c r="E244" s="21" t="n"/>
      <c r="F244" s="21" t="n"/>
      <c r="G244" s="1" t="n"/>
      <c r="H244">
        <f>N(F244)</f>
        <v/>
      </c>
      <c r="I244">
        <f>IF(F244="",N(E244),0)</f>
        <v/>
      </c>
    </row>
    <row r="245">
      <c r="A245" s="1" t="n"/>
      <c r="B245" s="29" t="n"/>
      <c r="C245" s="20" t="n"/>
      <c r="D245" s="20" t="n"/>
      <c r="E245" s="21" t="n"/>
      <c r="F245" s="21" t="n"/>
      <c r="G245" s="1" t="n"/>
      <c r="H245">
        <f>N(F245)</f>
        <v/>
      </c>
      <c r="I245">
        <f>IF(F245="",N(E245),0)</f>
        <v/>
      </c>
    </row>
    <row r="246">
      <c r="A246" s="1" t="n"/>
      <c r="B246" s="29" t="n"/>
      <c r="C246" s="20" t="n"/>
      <c r="D246" s="20" t="n"/>
      <c r="E246" s="21" t="n"/>
      <c r="F246" s="21" t="n"/>
      <c r="G246" s="1" t="n"/>
      <c r="H246">
        <f>N(F246)</f>
        <v/>
      </c>
      <c r="I246">
        <f>IF(F246="",N(E246),0)</f>
        <v/>
      </c>
    </row>
    <row r="247">
      <c r="A247" s="1" t="n"/>
      <c r="B247" s="29" t="n"/>
      <c r="C247" s="20" t="n"/>
      <c r="D247" s="20" t="n"/>
      <c r="E247" s="21" t="n"/>
      <c r="F247" s="21" t="n"/>
      <c r="G247" s="1" t="n"/>
      <c r="H247">
        <f>N(F247)</f>
        <v/>
      </c>
      <c r="I247">
        <f>IF(F247="",N(E247),0)</f>
        <v/>
      </c>
    </row>
    <row r="248">
      <c r="A248" s="1" t="n"/>
      <c r="B248" s="29" t="n"/>
      <c r="C248" s="20" t="n"/>
      <c r="D248" s="20" t="n"/>
      <c r="E248" s="21" t="n"/>
      <c r="F248" s="21" t="n"/>
      <c r="G248" s="1" t="n"/>
      <c r="H248">
        <f>N(F248)</f>
        <v/>
      </c>
      <c r="I248">
        <f>IF(F248="",N(E248),0)</f>
        <v/>
      </c>
    </row>
    <row r="249">
      <c r="A249" s="1" t="n"/>
      <c r="B249" s="29" t="n"/>
      <c r="C249" s="20" t="n"/>
      <c r="D249" s="20" t="n"/>
      <c r="E249" s="21" t="n"/>
      <c r="F249" s="21" t="n"/>
      <c r="G249" s="1" t="n"/>
      <c r="H249">
        <f>N(F249)</f>
        <v/>
      </c>
      <c r="I249">
        <f>IF(F249="",N(E249),0)</f>
        <v/>
      </c>
    </row>
    <row r="250">
      <c r="A250" s="1" t="n"/>
      <c r="B250" s="29" t="n"/>
      <c r="C250" s="20" t="n"/>
      <c r="D250" s="20" t="n"/>
      <c r="E250" s="21" t="n"/>
      <c r="F250" s="21" t="n"/>
      <c r="G250" s="1" t="n"/>
      <c r="H250">
        <f>N(F250)</f>
        <v/>
      </c>
      <c r="I250">
        <f>IF(F250="",N(E250),0)</f>
        <v/>
      </c>
    </row>
    <row r="251">
      <c r="A251" s="1" t="n"/>
      <c r="B251" s="29" t="n"/>
      <c r="C251" s="20" t="n"/>
      <c r="D251" s="20" t="n"/>
      <c r="E251" s="21" t="n"/>
      <c r="F251" s="21" t="n"/>
      <c r="G251" s="1" t="n"/>
      <c r="H251">
        <f>N(F251)</f>
        <v/>
      </c>
      <c r="I251">
        <f>IF(F251="",N(E251),0)</f>
        <v/>
      </c>
    </row>
    <row r="252">
      <c r="A252" s="1" t="n"/>
      <c r="B252" s="29" t="n"/>
      <c r="C252" s="20" t="n"/>
      <c r="D252" s="20" t="n"/>
      <c r="E252" s="21" t="n"/>
      <c r="F252" s="21" t="n"/>
      <c r="G252" s="1" t="n"/>
      <c r="H252">
        <f>N(F252)</f>
        <v/>
      </c>
      <c r="I252">
        <f>IF(F252="",N(E252),0)</f>
        <v/>
      </c>
    </row>
    <row r="253">
      <c r="A253" s="1" t="n"/>
      <c r="B253" s="29" t="n"/>
      <c r="C253" s="20" t="n"/>
      <c r="D253" s="20" t="n"/>
      <c r="E253" s="21" t="n"/>
      <c r="F253" s="21" t="n"/>
      <c r="G253" s="1" t="n"/>
      <c r="H253">
        <f>N(F253)</f>
        <v/>
      </c>
      <c r="I253">
        <f>IF(F253="",N(E253),0)</f>
        <v/>
      </c>
    </row>
    <row r="254">
      <c r="A254" s="1" t="n"/>
      <c r="B254" s="29" t="n"/>
      <c r="C254" s="20" t="n"/>
      <c r="D254" s="20" t="n"/>
      <c r="E254" s="21" t="n"/>
      <c r="F254" s="21" t="n"/>
      <c r="G254" s="1" t="n"/>
      <c r="H254">
        <f>N(F254)</f>
        <v/>
      </c>
      <c r="I254">
        <f>IF(F254="",N(E254),0)</f>
        <v/>
      </c>
    </row>
    <row r="255">
      <c r="A255" s="1" t="n"/>
      <c r="B255" s="29" t="n"/>
      <c r="C255" s="20" t="n"/>
      <c r="D255" s="20" t="n"/>
      <c r="E255" s="21" t="n"/>
      <c r="F255" s="21" t="n"/>
      <c r="G255" s="1" t="n"/>
      <c r="H255">
        <f>N(F255)</f>
        <v/>
      </c>
      <c r="I255">
        <f>IF(F255="",N(E255),0)</f>
        <v/>
      </c>
    </row>
    <row r="256">
      <c r="A256" s="1" t="n"/>
      <c r="B256" s="29" t="n"/>
      <c r="C256" s="20" t="n"/>
      <c r="D256" s="20" t="n"/>
      <c r="E256" s="21" t="n"/>
      <c r="F256" s="21" t="n"/>
      <c r="G256" s="1" t="n"/>
      <c r="H256">
        <f>N(F256)</f>
        <v/>
      </c>
      <c r="I256">
        <f>IF(F256="",N(E256),0)</f>
        <v/>
      </c>
    </row>
    <row r="257">
      <c r="A257" s="1" t="n"/>
      <c r="B257" s="29" t="n"/>
      <c r="C257" s="20" t="n"/>
      <c r="D257" s="20" t="n"/>
      <c r="E257" s="21" t="n"/>
      <c r="F257" s="21" t="n"/>
      <c r="G257" s="1" t="n"/>
      <c r="H257">
        <f>N(F257)</f>
        <v/>
      </c>
      <c r="I257">
        <f>IF(F257="",N(E257),0)</f>
        <v/>
      </c>
    </row>
    <row r="258">
      <c r="A258" s="1" t="n"/>
      <c r="B258" s="29" t="n"/>
      <c r="C258" s="20" t="n"/>
      <c r="D258" s="20" t="n"/>
      <c r="E258" s="21" t="n"/>
      <c r="F258" s="21" t="n"/>
      <c r="G258" s="1" t="n"/>
      <c r="H258">
        <f>N(F258)</f>
        <v/>
      </c>
      <c r="I258">
        <f>IF(F258="",N(E258),0)</f>
        <v/>
      </c>
    </row>
    <row r="259">
      <c r="A259" s="1" t="n"/>
      <c r="B259" s="29" t="n"/>
      <c r="C259" s="20" t="n"/>
      <c r="D259" s="20" t="n"/>
      <c r="E259" s="21" t="n"/>
      <c r="F259" s="21" t="n"/>
      <c r="G259" s="1" t="n"/>
      <c r="H259">
        <f>N(F259)</f>
        <v/>
      </c>
      <c r="I259">
        <f>IF(F259="",N(E259),0)</f>
        <v/>
      </c>
    </row>
    <row r="260">
      <c r="A260" s="1" t="n"/>
      <c r="B260" s="29" t="n"/>
      <c r="C260" s="20" t="n"/>
      <c r="D260" s="20" t="n"/>
      <c r="E260" s="21" t="n"/>
      <c r="F260" s="21" t="n"/>
      <c r="G260" s="1" t="n"/>
      <c r="H260">
        <f>N(F260)</f>
        <v/>
      </c>
      <c r="I260">
        <f>IF(F260="",N(E260),0)</f>
        <v/>
      </c>
    </row>
    <row r="261">
      <c r="A261" s="1" t="n"/>
      <c r="B261" s="29" t="n"/>
      <c r="C261" s="20" t="n"/>
      <c r="D261" s="20" t="n"/>
      <c r="E261" s="21" t="n"/>
      <c r="F261" s="21" t="n"/>
      <c r="G261" s="1" t="n"/>
      <c r="H261">
        <f>N(F261)</f>
        <v/>
      </c>
      <c r="I261">
        <f>IF(F261="",N(E261),0)</f>
        <v/>
      </c>
    </row>
    <row r="262">
      <c r="A262" s="1" t="n"/>
      <c r="B262" s="29" t="n"/>
      <c r="C262" s="20" t="n"/>
      <c r="D262" s="20" t="n"/>
      <c r="E262" s="21" t="n"/>
      <c r="F262" s="21" t="n"/>
      <c r="G262" s="1" t="n"/>
      <c r="H262">
        <f>N(F262)</f>
        <v/>
      </c>
      <c r="I262">
        <f>IF(F262="",N(E262),0)</f>
        <v/>
      </c>
    </row>
    <row r="263">
      <c r="A263" s="1" t="n"/>
      <c r="B263" s="29" t="n"/>
      <c r="C263" s="20" t="n"/>
      <c r="D263" s="20" t="n"/>
      <c r="E263" s="21" t="n"/>
      <c r="F263" s="21" t="n"/>
      <c r="G263" s="1" t="n"/>
      <c r="H263">
        <f>N(F263)</f>
        <v/>
      </c>
      <c r="I263">
        <f>IF(F263="",N(E263),0)</f>
        <v/>
      </c>
    </row>
    <row r="264">
      <c r="A264" s="1" t="n"/>
      <c r="B264" s="29" t="n"/>
      <c r="C264" s="20" t="n"/>
      <c r="D264" s="20" t="n"/>
      <c r="E264" s="21" t="n"/>
      <c r="F264" s="21" t="n"/>
      <c r="G264" s="1" t="n"/>
      <c r="H264">
        <f>N(F264)</f>
        <v/>
      </c>
      <c r="I264">
        <f>IF(F264="",N(E264),0)</f>
        <v/>
      </c>
    </row>
    <row r="265">
      <c r="A265" s="1" t="n"/>
      <c r="B265" s="29" t="n"/>
      <c r="C265" s="20" t="n"/>
      <c r="D265" s="20" t="n"/>
      <c r="E265" s="21" t="n"/>
      <c r="F265" s="21" t="n"/>
      <c r="G265" s="1" t="n"/>
      <c r="H265">
        <f>N(F265)</f>
        <v/>
      </c>
      <c r="I265">
        <f>IF(F265="",N(E265),0)</f>
        <v/>
      </c>
    </row>
    <row r="266">
      <c r="A266" s="1" t="n"/>
      <c r="B266" s="29" t="n"/>
      <c r="C266" s="20" t="n"/>
      <c r="D266" s="20" t="n"/>
      <c r="E266" s="21" t="n"/>
      <c r="F266" s="21" t="n"/>
      <c r="G266" s="1" t="n"/>
      <c r="H266">
        <f>N(F266)</f>
        <v/>
      </c>
      <c r="I266">
        <f>IF(F266="",N(E266),0)</f>
        <v/>
      </c>
    </row>
    <row r="267">
      <c r="A267" s="1" t="n"/>
      <c r="B267" s="29" t="n"/>
      <c r="C267" s="20" t="n"/>
      <c r="D267" s="20" t="n"/>
      <c r="E267" s="21" t="n"/>
      <c r="F267" s="21" t="n"/>
      <c r="G267" s="1" t="n"/>
      <c r="H267">
        <f>N(F267)</f>
        <v/>
      </c>
      <c r="I267">
        <f>IF(F267="",N(E267),0)</f>
        <v/>
      </c>
    </row>
    <row r="268">
      <c r="A268" s="1" t="n"/>
      <c r="B268" s="29" t="n"/>
      <c r="C268" s="20" t="n"/>
      <c r="D268" s="20" t="n"/>
      <c r="E268" s="21" t="n"/>
      <c r="F268" s="21" t="n"/>
      <c r="G268" s="1" t="n"/>
      <c r="H268">
        <f>N(F268)</f>
        <v/>
      </c>
      <c r="I268">
        <f>IF(F268="",N(E268),0)</f>
        <v/>
      </c>
    </row>
    <row r="269">
      <c r="A269" s="1" t="n"/>
      <c r="B269" s="29" t="n"/>
      <c r="C269" s="20" t="n"/>
      <c r="D269" s="20" t="n"/>
      <c r="E269" s="21" t="n"/>
      <c r="F269" s="21" t="n"/>
      <c r="G269" s="1" t="n"/>
      <c r="H269">
        <f>N(F269)</f>
        <v/>
      </c>
      <c r="I269">
        <f>IF(F269="",N(E269),0)</f>
        <v/>
      </c>
    </row>
    <row r="270">
      <c r="A270" s="1" t="n"/>
      <c r="B270" s="29" t="n"/>
      <c r="C270" s="20" t="n"/>
      <c r="D270" s="20" t="n"/>
      <c r="E270" s="21" t="n"/>
      <c r="F270" s="21" t="n"/>
      <c r="G270" s="1" t="n"/>
      <c r="H270">
        <f>N(F270)</f>
        <v/>
      </c>
      <c r="I270">
        <f>IF(F270="",N(E270),0)</f>
        <v/>
      </c>
    </row>
    <row r="271">
      <c r="A271" s="1" t="n"/>
      <c r="B271" s="29" t="n"/>
      <c r="C271" s="20" t="n"/>
      <c r="D271" s="20" t="n"/>
      <c r="E271" s="21" t="n"/>
      <c r="F271" s="21" t="n"/>
      <c r="G271" s="1" t="n"/>
      <c r="H271">
        <f>N(F271)</f>
        <v/>
      </c>
      <c r="I271">
        <f>IF(F271="",N(E271),0)</f>
        <v/>
      </c>
    </row>
    <row r="272">
      <c r="A272" s="1" t="n"/>
      <c r="B272" s="29" t="n"/>
      <c r="C272" s="20" t="n"/>
      <c r="D272" s="20" t="n"/>
      <c r="E272" s="21" t="n"/>
      <c r="F272" s="21" t="n"/>
      <c r="G272" s="1" t="n"/>
      <c r="H272">
        <f>N(F272)</f>
        <v/>
      </c>
      <c r="I272">
        <f>IF(F272="",N(E272),0)</f>
        <v/>
      </c>
    </row>
    <row r="273">
      <c r="A273" s="1" t="n"/>
      <c r="B273" s="29" t="n"/>
      <c r="C273" s="20" t="n"/>
      <c r="D273" s="20" t="n"/>
      <c r="E273" s="21" t="n"/>
      <c r="F273" s="21" t="n"/>
      <c r="G273" s="1" t="n"/>
      <c r="H273">
        <f>N(F273)</f>
        <v/>
      </c>
      <c r="I273">
        <f>IF(F273="",N(E273),0)</f>
        <v/>
      </c>
    </row>
    <row r="274">
      <c r="A274" s="1" t="n"/>
      <c r="B274" s="29" t="n"/>
      <c r="C274" s="20" t="n"/>
      <c r="D274" s="20" t="n"/>
      <c r="E274" s="21" t="n"/>
      <c r="F274" s="21" t="n"/>
      <c r="G274" s="1" t="n"/>
      <c r="H274">
        <f>N(F274)</f>
        <v/>
      </c>
      <c r="I274">
        <f>IF(F274="",N(E274),0)</f>
        <v/>
      </c>
    </row>
    <row r="275">
      <c r="A275" s="1" t="n"/>
      <c r="B275" s="29" t="n"/>
      <c r="C275" s="20" t="n"/>
      <c r="D275" s="20" t="n"/>
      <c r="E275" s="21" t="n"/>
      <c r="F275" s="21" t="n"/>
      <c r="G275" s="1" t="n"/>
      <c r="H275">
        <f>N(F275)</f>
        <v/>
      </c>
      <c r="I275">
        <f>IF(F275="",N(E275),0)</f>
        <v/>
      </c>
    </row>
    <row r="276">
      <c r="A276" s="1" t="n"/>
      <c r="B276" s="29" t="n"/>
      <c r="C276" s="20" t="n"/>
      <c r="D276" s="20" t="n"/>
      <c r="E276" s="21" t="n"/>
      <c r="F276" s="21" t="n"/>
      <c r="G276" s="1" t="n"/>
      <c r="H276">
        <f>N(F276)</f>
        <v/>
      </c>
      <c r="I276">
        <f>IF(F276="",N(E276),0)</f>
        <v/>
      </c>
    </row>
    <row r="277">
      <c r="A277" s="1" t="n"/>
      <c r="B277" s="29" t="n"/>
      <c r="C277" s="20" t="n"/>
      <c r="D277" s="20" t="n"/>
      <c r="E277" s="21" t="n"/>
      <c r="F277" s="21" t="n"/>
      <c r="G277" s="1" t="n"/>
      <c r="H277">
        <f>N(F277)</f>
        <v/>
      </c>
      <c r="I277">
        <f>IF(F277="",N(E277),0)</f>
        <v/>
      </c>
    </row>
    <row r="278">
      <c r="A278" s="1" t="n"/>
      <c r="B278" s="29" t="n"/>
      <c r="C278" s="20" t="n"/>
      <c r="D278" s="20" t="n"/>
      <c r="E278" s="21" t="n"/>
      <c r="F278" s="21" t="n"/>
      <c r="G278" s="1" t="n"/>
      <c r="H278">
        <f>N(F278)</f>
        <v/>
      </c>
      <c r="I278">
        <f>IF(F278="",N(E278),0)</f>
        <v/>
      </c>
    </row>
    <row r="279">
      <c r="A279" s="1" t="n"/>
      <c r="B279" s="29" t="n"/>
      <c r="C279" s="20" t="n"/>
      <c r="D279" s="20" t="n"/>
      <c r="E279" s="21" t="n"/>
      <c r="F279" s="21" t="n"/>
      <c r="G279" s="1" t="n"/>
      <c r="H279">
        <f>N(F279)</f>
        <v/>
      </c>
      <c r="I279">
        <f>IF(F279="",N(E279),0)</f>
        <v/>
      </c>
    </row>
    <row r="280">
      <c r="A280" s="1" t="n"/>
      <c r="B280" s="29" t="n"/>
      <c r="C280" s="20" t="n"/>
      <c r="D280" s="20" t="n"/>
      <c r="E280" s="21" t="n"/>
      <c r="F280" s="21" t="n"/>
      <c r="G280" s="1" t="n"/>
      <c r="H280">
        <f>N(F280)</f>
        <v/>
      </c>
      <c r="I280">
        <f>IF(F280="",N(E280),0)</f>
        <v/>
      </c>
    </row>
    <row r="281">
      <c r="A281" s="1" t="n"/>
      <c r="B281" s="29" t="n"/>
      <c r="C281" s="20" t="n"/>
      <c r="D281" s="20" t="n"/>
      <c r="E281" s="21" t="n"/>
      <c r="F281" s="21" t="n"/>
      <c r="G281" s="1" t="n"/>
      <c r="H281">
        <f>N(F281)</f>
        <v/>
      </c>
      <c r="I281">
        <f>IF(F281="",N(E281),0)</f>
        <v/>
      </c>
    </row>
    <row r="282">
      <c r="A282" s="1" t="n"/>
      <c r="B282" s="29" t="n"/>
      <c r="C282" s="20" t="n"/>
      <c r="D282" s="20" t="n"/>
      <c r="E282" s="21" t="n"/>
      <c r="F282" s="21" t="n"/>
      <c r="G282" s="1" t="n"/>
      <c r="H282">
        <f>N(F282)</f>
        <v/>
      </c>
      <c r="I282">
        <f>IF(F282="",N(E282),0)</f>
        <v/>
      </c>
    </row>
    <row r="283">
      <c r="A283" s="1" t="n"/>
      <c r="B283" s="29" t="n"/>
      <c r="C283" s="20" t="n"/>
      <c r="D283" s="20" t="n"/>
      <c r="E283" s="21" t="n"/>
      <c r="F283" s="21" t="n"/>
      <c r="G283" s="1" t="n"/>
      <c r="H283">
        <f>N(F283)</f>
        <v/>
      </c>
      <c r="I283">
        <f>IF(F283="",N(E283),0)</f>
        <v/>
      </c>
    </row>
    <row r="284">
      <c r="A284" s="1" t="n"/>
      <c r="B284" s="29" t="n"/>
      <c r="C284" s="20" t="n"/>
      <c r="D284" s="20" t="n"/>
      <c r="E284" s="21" t="n"/>
      <c r="F284" s="21" t="n"/>
      <c r="G284" s="1" t="n"/>
      <c r="H284">
        <f>N(F284)</f>
        <v/>
      </c>
      <c r="I284">
        <f>IF(F284="",N(E284),0)</f>
        <v/>
      </c>
    </row>
    <row r="285">
      <c r="A285" s="1" t="n"/>
      <c r="B285" s="29" t="n"/>
      <c r="C285" s="20" t="n"/>
      <c r="D285" s="20" t="n"/>
      <c r="E285" s="21" t="n"/>
      <c r="F285" s="21" t="n"/>
      <c r="G285" s="1" t="n"/>
      <c r="H285">
        <f>N(F285)</f>
        <v/>
      </c>
      <c r="I285">
        <f>IF(F285="",N(E285),0)</f>
        <v/>
      </c>
    </row>
    <row r="286">
      <c r="A286" s="1" t="n"/>
      <c r="B286" s="29" t="n"/>
      <c r="C286" s="20" t="n"/>
      <c r="D286" s="20" t="n"/>
      <c r="E286" s="21" t="n"/>
      <c r="F286" s="21" t="n"/>
      <c r="G286" s="1" t="n"/>
      <c r="H286">
        <f>N(F286)</f>
        <v/>
      </c>
      <c r="I286">
        <f>IF(F286="",N(E286),0)</f>
        <v/>
      </c>
    </row>
    <row r="287">
      <c r="A287" s="1" t="n"/>
      <c r="B287" s="29" t="n"/>
      <c r="C287" s="20" t="n"/>
      <c r="D287" s="20" t="n"/>
      <c r="E287" s="21" t="n"/>
      <c r="F287" s="21" t="n"/>
      <c r="G287" s="1" t="n"/>
      <c r="H287">
        <f>N(F287)</f>
        <v/>
      </c>
      <c r="I287">
        <f>IF(F287="",N(E287),0)</f>
        <v/>
      </c>
    </row>
    <row r="288">
      <c r="A288" s="1" t="n"/>
      <c r="B288" s="29" t="n"/>
      <c r="C288" s="20" t="n"/>
      <c r="D288" s="20" t="n"/>
      <c r="E288" s="21" t="n"/>
      <c r="F288" s="21" t="n"/>
      <c r="G288" s="1" t="n"/>
      <c r="H288">
        <f>N(F288)</f>
        <v/>
      </c>
      <c r="I288">
        <f>IF(F288="",N(E288),0)</f>
        <v/>
      </c>
    </row>
    <row r="289">
      <c r="A289" s="1" t="n"/>
      <c r="B289" s="29" t="n"/>
      <c r="C289" s="20" t="n"/>
      <c r="D289" s="20" t="n"/>
      <c r="E289" s="21" t="n"/>
      <c r="F289" s="21" t="n"/>
      <c r="G289" s="1" t="n"/>
      <c r="H289">
        <f>N(F289)</f>
        <v/>
      </c>
      <c r="I289">
        <f>IF(F289="",N(E289),0)</f>
        <v/>
      </c>
    </row>
    <row r="290">
      <c r="A290" s="1" t="n"/>
      <c r="B290" s="29" t="n"/>
      <c r="C290" s="20" t="n"/>
      <c r="D290" s="20" t="n"/>
      <c r="E290" s="21" t="n"/>
      <c r="F290" s="21" t="n"/>
      <c r="G290" s="1" t="n"/>
      <c r="H290">
        <f>N(F290)</f>
        <v/>
      </c>
      <c r="I290">
        <f>IF(F290="",N(E290),0)</f>
        <v/>
      </c>
    </row>
    <row r="291">
      <c r="A291" s="1" t="n"/>
      <c r="B291" s="29" t="n"/>
      <c r="C291" s="20" t="n"/>
      <c r="D291" s="20" t="n"/>
      <c r="E291" s="21" t="n"/>
      <c r="F291" s="21" t="n"/>
      <c r="G291" s="1" t="n"/>
      <c r="H291">
        <f>N(F291)</f>
        <v/>
      </c>
      <c r="I291">
        <f>IF(F291="",N(E291),0)</f>
        <v/>
      </c>
    </row>
    <row r="292">
      <c r="A292" s="1" t="n"/>
      <c r="B292" s="29" t="n"/>
      <c r="C292" s="20" t="n"/>
      <c r="D292" s="20" t="n"/>
      <c r="E292" s="21" t="n"/>
      <c r="F292" s="21" t="n"/>
      <c r="G292" s="1" t="n"/>
      <c r="H292">
        <f>N(F292)</f>
        <v/>
      </c>
      <c r="I292">
        <f>IF(F292="",N(E292),0)</f>
        <v/>
      </c>
    </row>
    <row r="293">
      <c r="A293" s="1" t="n"/>
      <c r="B293" s="29" t="n"/>
      <c r="C293" s="20" t="n"/>
      <c r="D293" s="20" t="n"/>
      <c r="E293" s="21" t="n"/>
      <c r="F293" s="21" t="n"/>
      <c r="G293" s="1" t="n"/>
      <c r="H293">
        <f>N(F293)</f>
        <v/>
      </c>
      <c r="I293">
        <f>IF(F293="",N(E293),0)</f>
        <v/>
      </c>
    </row>
    <row r="294">
      <c r="A294" s="1" t="n"/>
      <c r="B294" s="29" t="n"/>
      <c r="C294" s="20" t="n"/>
      <c r="D294" s="20" t="n"/>
      <c r="E294" s="21" t="n"/>
      <c r="F294" s="21" t="n"/>
      <c r="G294" s="1" t="n"/>
      <c r="H294">
        <f>N(F294)</f>
        <v/>
      </c>
      <c r="I294">
        <f>IF(F294="",N(E294),0)</f>
        <v/>
      </c>
    </row>
    <row r="295">
      <c r="A295" s="1" t="n"/>
      <c r="B295" s="29" t="n"/>
      <c r="C295" s="20" t="n"/>
      <c r="D295" s="20" t="n"/>
      <c r="E295" s="21" t="n"/>
      <c r="F295" s="21" t="n"/>
      <c r="G295" s="1" t="n"/>
      <c r="H295">
        <f>N(F295)</f>
        <v/>
      </c>
      <c r="I295">
        <f>IF(F295="",N(E295),0)</f>
        <v/>
      </c>
    </row>
    <row r="296">
      <c r="A296" s="1" t="n"/>
      <c r="B296" s="29" t="n"/>
      <c r="C296" s="20" t="n"/>
      <c r="D296" s="20" t="n"/>
      <c r="E296" s="21" t="n"/>
      <c r="F296" s="21" t="n"/>
      <c r="G296" s="1" t="n"/>
      <c r="H296">
        <f>N(F296)</f>
        <v/>
      </c>
      <c r="I296">
        <f>IF(F296="",N(E296),0)</f>
        <v/>
      </c>
    </row>
    <row r="297">
      <c r="A297" s="1" t="n"/>
      <c r="B297" s="29" t="n"/>
      <c r="C297" s="20" t="n"/>
      <c r="D297" s="20" t="n"/>
      <c r="E297" s="21" t="n"/>
      <c r="F297" s="21" t="n"/>
      <c r="G297" s="1" t="n"/>
      <c r="H297">
        <f>N(F297)</f>
        <v/>
      </c>
      <c r="I297">
        <f>IF(F297="",N(E297),0)</f>
        <v/>
      </c>
    </row>
    <row r="298">
      <c r="A298" s="1" t="n"/>
      <c r="B298" s="29" t="n"/>
      <c r="C298" s="20" t="n"/>
      <c r="D298" s="20" t="n"/>
      <c r="E298" s="21" t="n"/>
      <c r="F298" s="21" t="n"/>
      <c r="G298" s="1" t="n"/>
      <c r="H298">
        <f>N(F298)</f>
        <v/>
      </c>
      <c r="I298">
        <f>IF(F298="",N(E298),0)</f>
        <v/>
      </c>
    </row>
    <row r="299">
      <c r="A299" s="1" t="n"/>
      <c r="B299" s="29" t="n"/>
      <c r="C299" s="20" t="n"/>
      <c r="D299" s="20" t="n"/>
      <c r="E299" s="21" t="n"/>
      <c r="F299" s="21" t="n"/>
      <c r="G299" s="1" t="n"/>
      <c r="H299">
        <f>N(F299)</f>
        <v/>
      </c>
      <c r="I299">
        <f>IF(F299="",N(E299),0)</f>
        <v/>
      </c>
    </row>
    <row r="300">
      <c r="A300" s="1" t="n"/>
      <c r="B300" s="29" t="n"/>
      <c r="C300" s="20" t="n"/>
      <c r="D300" s="20" t="n"/>
      <c r="E300" s="21" t="n"/>
      <c r="F300" s="21" t="n"/>
      <c r="G300" s="1" t="n"/>
      <c r="H300">
        <f>N(F300)</f>
        <v/>
      </c>
      <c r="I300">
        <f>IF(F300="",N(E300),0)</f>
        <v/>
      </c>
    </row>
    <row r="301">
      <c r="A301" s="1" t="n"/>
      <c r="B301" s="29" t="n"/>
      <c r="C301" s="20" t="n"/>
      <c r="D301" s="20" t="n"/>
      <c r="E301" s="21" t="n"/>
      <c r="F301" s="21" t="n"/>
      <c r="G301" s="1" t="n"/>
      <c r="H301">
        <f>N(F301)</f>
        <v/>
      </c>
      <c r="I301">
        <f>IF(F301="",N(E301),0)</f>
        <v/>
      </c>
    </row>
    <row r="302">
      <c r="A302" s="1" t="n"/>
      <c r="B302" s="29" t="n"/>
      <c r="C302" s="20" t="n"/>
      <c r="D302" s="20" t="n"/>
      <c r="E302" s="21" t="n"/>
      <c r="F302" s="21" t="n"/>
      <c r="G302" s="1" t="n"/>
      <c r="H302">
        <f>N(F302)</f>
        <v/>
      </c>
      <c r="I302">
        <f>IF(F302="",N(E302),0)</f>
        <v/>
      </c>
    </row>
    <row r="303">
      <c r="A303" s="1" t="n"/>
      <c r="B303" s="29" t="n"/>
      <c r="C303" s="20" t="n"/>
      <c r="D303" s="20" t="n"/>
      <c r="E303" s="21" t="n"/>
      <c r="F303" s="21" t="n"/>
      <c r="G303" s="1" t="n"/>
      <c r="H303">
        <f>N(F303)</f>
        <v/>
      </c>
      <c r="I303">
        <f>IF(F303="",N(E303),0)</f>
        <v/>
      </c>
    </row>
    <row r="304">
      <c r="A304" s="1" t="n"/>
      <c r="B304" s="29" t="n"/>
      <c r="C304" s="20" t="n"/>
      <c r="D304" s="20" t="n"/>
      <c r="E304" s="21" t="n"/>
      <c r="F304" s="21" t="n"/>
      <c r="G304" s="1" t="n"/>
      <c r="H304">
        <f>N(F304)</f>
        <v/>
      </c>
      <c r="I304">
        <f>IF(F304="",N(E304),0)</f>
        <v/>
      </c>
    </row>
    <row r="305">
      <c r="A305" s="1" t="n"/>
      <c r="B305" s="29" t="n"/>
      <c r="C305" s="20" t="n"/>
      <c r="D305" s="20" t="n"/>
      <c r="E305" s="21" t="n"/>
      <c r="F305" s="21" t="n"/>
      <c r="G305" s="1" t="n"/>
      <c r="H305">
        <f>N(F305)</f>
        <v/>
      </c>
      <c r="I305">
        <f>IF(F305="",N(E305),0)</f>
        <v/>
      </c>
    </row>
    <row r="306">
      <c r="A306" s="1" t="n"/>
      <c r="B306" s="1" t="n"/>
      <c r="C306" s="1" t="n"/>
      <c r="D306" s="1" t="n"/>
      <c r="E306" s="1" t="n"/>
      <c r="F306" s="1" t="n"/>
      <c r="G306" s="1" t="n"/>
    </row>
  </sheetData>
  <dataValidations count="1">
    <dataValidation sqref="C6:C305" showDropDown="0" showInputMessage="0" showErrorMessage="0" allowBlank="1" type="list">
      <formula1>=Budget!$B$7:$B$20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26" customWidth="1" min="3" max="3"/>
    <col width="18" customWidth="1" min="4" max="4"/>
    <col width="8" customWidth="1" min="5" max="5"/>
    <col width="11" customWidth="1" min="6" max="6"/>
    <col width="26" customWidth="1" min="7" max="7"/>
    <col width="11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1" t="n"/>
      <c r="B2" s="2" t="inlineStr">
        <is>
          <t>Cards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3" t="inlineStr">
        <is>
          <t>Who gets a card, the address, an x when it is posted and when one comes from them.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30" customHeight="1">
      <c r="A5" s="1" t="n"/>
      <c r="B5" s="9" t="inlineStr">
        <is>
          <t>Name</t>
        </is>
      </c>
      <c r="C5" s="9" t="inlineStr">
        <is>
          <t>Address</t>
        </is>
      </c>
      <c r="D5" s="9" t="inlineStr">
        <is>
          <t>Town and postcode</t>
        </is>
      </c>
      <c r="E5" s="9" t="inlineStr">
        <is>
          <t>Sent</t>
        </is>
      </c>
      <c r="F5" s="9" t="inlineStr">
        <is>
          <t>From them</t>
        </is>
      </c>
      <c r="G5" s="9" t="inlineStr">
        <is>
          <t>Notes</t>
        </is>
      </c>
      <c r="H5" s="9" t="inlineStr">
        <is>
          <t>Status</t>
        </is>
      </c>
      <c r="I5" s="1" t="n"/>
    </row>
    <row r="6">
      <c r="A6" s="1" t="n"/>
      <c r="B6" s="19" t="inlineStr">
        <is>
          <t>Aunt Rose</t>
        </is>
      </c>
      <c r="C6" s="20" t="inlineStr">
        <is>
          <t>3 Ivy Lane</t>
        </is>
      </c>
      <c r="D6" s="20" t="inlineStr">
        <is>
          <t>Riverton</t>
        </is>
      </c>
      <c r="E6" s="22" t="inlineStr">
        <is>
          <t>x</t>
        </is>
      </c>
      <c r="F6" s="22" t="n"/>
      <c r="G6" s="20" t="n"/>
      <c r="H6" s="11">
        <f>IF(B6="","",IF(E6&lt;&gt;"","Sent","To send"))</f>
        <v/>
      </c>
      <c r="I6" s="1" t="n"/>
    </row>
    <row r="7">
      <c r="A7" s="1" t="n"/>
      <c r="B7" s="19" t="inlineStr">
        <is>
          <t>Uncle Ben and Jo</t>
        </is>
      </c>
      <c r="C7" s="20" t="inlineStr">
        <is>
          <t>8 Holly Road</t>
        </is>
      </c>
      <c r="D7" s="20" t="inlineStr">
        <is>
          <t>Eastbridge</t>
        </is>
      </c>
      <c r="E7" s="22" t="inlineStr">
        <is>
          <t>x</t>
        </is>
      </c>
      <c r="F7" s="22" t="inlineStr">
        <is>
          <t>x</t>
        </is>
      </c>
      <c r="G7" s="20" t="n"/>
      <c r="H7" s="11">
        <f>IF(B7="","",IF(E7&lt;&gt;"","Sent","To send"))</f>
        <v/>
      </c>
      <c r="I7" s="1" t="n"/>
    </row>
    <row r="8">
      <c r="A8" s="1" t="n"/>
      <c r="B8" s="19" t="inlineStr">
        <is>
          <t>The Parkers</t>
        </is>
      </c>
      <c r="C8" s="20" t="inlineStr">
        <is>
          <t>21 Mill Street</t>
        </is>
      </c>
      <c r="D8" s="20" t="inlineStr">
        <is>
          <t>Riverton</t>
        </is>
      </c>
      <c r="E8" s="22" t="inlineStr">
        <is>
          <t>x</t>
        </is>
      </c>
      <c r="F8" s="22" t="n"/>
      <c r="G8" s="20" t="n"/>
      <c r="H8" s="11">
        <f>IF(B8="","",IF(E8&lt;&gt;"","Sent","To send"))</f>
        <v/>
      </c>
      <c r="I8" s="1" t="n"/>
    </row>
    <row r="9">
      <c r="A9" s="1" t="n"/>
      <c r="B9" s="19" t="inlineStr">
        <is>
          <t>Grandma</t>
        </is>
      </c>
      <c r="C9" s="20" t="inlineStr">
        <is>
          <t>5 Rose Court</t>
        </is>
      </c>
      <c r="D9" s="20" t="inlineStr">
        <is>
          <t>Westford</t>
        </is>
      </c>
      <c r="E9" s="22" t="inlineStr">
        <is>
          <t>x</t>
        </is>
      </c>
      <c r="F9" s="22" t="n"/>
      <c r="G9" s="20" t="n"/>
      <c r="H9" s="11">
        <f>IF(B9="","",IF(E9&lt;&gt;"","Sent","To send"))</f>
        <v/>
      </c>
      <c r="I9" s="1" t="n"/>
    </row>
    <row r="10">
      <c r="A10" s="1" t="n"/>
      <c r="B10" s="19" t="inlineStr">
        <is>
          <t>Priya and Dev</t>
        </is>
      </c>
      <c r="C10" s="20" t="n"/>
      <c r="D10" s="20" t="n"/>
      <c r="E10" s="22" t="inlineStr">
        <is>
          <t>x</t>
        </is>
      </c>
      <c r="F10" s="22" t="n"/>
      <c r="G10" s="20" t="n"/>
      <c r="H10" s="11">
        <f>IF(B10="","",IF(E10&lt;&gt;"","Sent","To send"))</f>
        <v/>
      </c>
      <c r="I10" s="1" t="n"/>
    </row>
    <row r="11">
      <c r="A11" s="1" t="n"/>
      <c r="B11" s="19" t="inlineStr">
        <is>
          <t>Tom</t>
        </is>
      </c>
      <c r="C11" s="20" t="n"/>
      <c r="D11" s="20" t="n"/>
      <c r="E11" s="22" t="n"/>
      <c r="F11" s="22" t="n"/>
      <c r="G11" s="20" t="n"/>
      <c r="H11" s="11">
        <f>IF(B11="","",IF(E11&lt;&gt;"","Sent","To send"))</f>
        <v/>
      </c>
      <c r="I11" s="1" t="n"/>
    </row>
    <row r="12">
      <c r="A12" s="1" t="n"/>
      <c r="B12" s="19" t="inlineStr">
        <is>
          <t>Mia</t>
        </is>
      </c>
      <c r="C12" s="20" t="n"/>
      <c r="D12" s="20" t="n"/>
      <c r="E12" s="22" t="n"/>
      <c r="F12" s="22" t="n"/>
      <c r="G12" s="20" t="n"/>
      <c r="H12" s="11">
        <f>IF(B12="","",IF(E12&lt;&gt;"","Sent","To send"))</f>
        <v/>
      </c>
      <c r="I12" s="1" t="n"/>
    </row>
    <row r="13">
      <c r="A13" s="1" t="n"/>
      <c r="B13" s="19" t="inlineStr">
        <is>
          <t>The Lees</t>
        </is>
      </c>
      <c r="C13" s="20" t="inlineStr">
        <is>
          <t>40 Oak Avenue</t>
        </is>
      </c>
      <c r="D13" s="20" t="inlineStr">
        <is>
          <t>Riverton</t>
        </is>
      </c>
      <c r="E13" s="22" t="n"/>
      <c r="F13" s="22" t="inlineStr">
        <is>
          <t>x</t>
        </is>
      </c>
      <c r="G13" s="20" t="n"/>
      <c r="H13" s="11">
        <f>IF(B13="","",IF(E13&lt;&gt;"","Sent","To send"))</f>
        <v/>
      </c>
      <c r="I13" s="1" t="n"/>
    </row>
    <row r="14">
      <c r="A14" s="1" t="n"/>
      <c r="B14" s="19" t="inlineStr">
        <is>
          <t>Mr and Mrs Grant</t>
        </is>
      </c>
      <c r="C14" s="20" t="inlineStr">
        <is>
          <t>2 Station Road</t>
        </is>
      </c>
      <c r="D14" s="20" t="inlineStr">
        <is>
          <t>Northam</t>
        </is>
      </c>
      <c r="E14" s="22" t="n"/>
      <c r="F14" s="22" t="n"/>
      <c r="G14" s="20" t="n"/>
      <c r="H14" s="11">
        <f>IF(B14="","",IF(E14&lt;&gt;"","Sent","To send"))</f>
        <v/>
      </c>
      <c r="I14" s="1" t="n"/>
    </row>
    <row r="15">
      <c r="A15" s="1" t="n"/>
      <c r="B15" s="19" t="inlineStr">
        <is>
          <t>Lily's teacher</t>
        </is>
      </c>
      <c r="C15" s="20" t="n"/>
      <c r="D15" s="20" t="n"/>
      <c r="E15" s="22" t="n"/>
      <c r="F15" s="22" t="n"/>
      <c r="G15" s="20" t="n"/>
      <c r="H15" s="11">
        <f>IF(B15="","",IF(E15&lt;&gt;"","Sent","To send"))</f>
        <v/>
      </c>
      <c r="I15" s="1" t="n"/>
    </row>
    <row r="16">
      <c r="A16" s="1" t="n"/>
      <c r="B16" s="19" t="inlineStr">
        <is>
          <t>Noah's coach</t>
        </is>
      </c>
      <c r="C16" s="20" t="n"/>
      <c r="D16" s="20" t="n"/>
      <c r="E16" s="22" t="n"/>
      <c r="F16" s="22" t="n"/>
      <c r="G16" s="20" t="n"/>
      <c r="H16" s="11">
        <f>IF(B16="","",IF(E16&lt;&gt;"","Sent","To send"))</f>
        <v/>
      </c>
      <c r="I16" s="1" t="n"/>
    </row>
    <row r="17">
      <c r="A17" s="1" t="n"/>
      <c r="B17" s="19" t="inlineStr">
        <is>
          <t>Cousin Ella</t>
        </is>
      </c>
      <c r="C17" s="20" t="inlineStr">
        <is>
          <t>17 Bay View</t>
        </is>
      </c>
      <c r="D17" s="20" t="inlineStr">
        <is>
          <t>Seaford</t>
        </is>
      </c>
      <c r="E17" s="22" t="n"/>
      <c r="F17" s="22" t="n"/>
      <c r="G17" s="20" t="n"/>
      <c r="H17" s="11">
        <f>IF(B17="","",IF(E17&lt;&gt;"","Sent","To send"))</f>
        <v/>
      </c>
      <c r="I17" s="1" t="n"/>
    </row>
    <row r="18">
      <c r="A18" s="1" t="n"/>
      <c r="B18" s="19" t="inlineStr">
        <is>
          <t>Cousin Max</t>
        </is>
      </c>
      <c r="C18" s="20" t="n"/>
      <c r="D18" s="20" t="n"/>
      <c r="E18" s="22" t="n"/>
      <c r="F18" s="22" t="n"/>
      <c r="G18" s="20" t="n"/>
      <c r="H18" s="11">
        <f>IF(B18="","",IF(E18&lt;&gt;"","Sent","To send"))</f>
        <v/>
      </c>
      <c r="I18" s="1" t="n"/>
    </row>
    <row r="19">
      <c r="A19" s="1" t="n"/>
      <c r="B19" s="19" t="inlineStr">
        <is>
          <t>Next door at 12</t>
        </is>
      </c>
      <c r="C19" s="20" t="n"/>
      <c r="D19" s="20" t="n"/>
      <c r="E19" s="22" t="n"/>
      <c r="F19" s="22" t="n"/>
      <c r="G19" s="20" t="n"/>
      <c r="H19" s="11">
        <f>IF(B19="","",IF(E19&lt;&gt;"","Sent","To send"))</f>
        <v/>
      </c>
      <c r="I19" s="1" t="n"/>
    </row>
    <row r="20">
      <c r="A20" s="1" t="n"/>
      <c r="B20" s="19" t="inlineStr">
        <is>
          <t>Next door at 16</t>
        </is>
      </c>
      <c r="C20" s="20" t="n"/>
      <c r="D20" s="20" t="n"/>
      <c r="E20" s="22" t="n"/>
      <c r="F20" s="22" t="n"/>
      <c r="G20" s="20" t="n"/>
      <c r="H20" s="11">
        <f>IF(B20="","",IF(E20&lt;&gt;"","Sent","To send"))</f>
        <v/>
      </c>
      <c r="I20" s="1" t="n"/>
    </row>
    <row r="21">
      <c r="A21" s="1" t="n"/>
      <c r="B21" s="19" t="inlineStr">
        <is>
          <t>Old friends from school</t>
        </is>
      </c>
      <c r="C21" s="20" t="n"/>
      <c r="D21" s="20" t="n"/>
      <c r="E21" s="22" t="n"/>
      <c r="F21" s="22" t="n"/>
      <c r="G21" s="20" t="n"/>
      <c r="H21" s="11">
        <f>IF(B21="","",IF(E21&lt;&gt;"","Sent","To send"))</f>
        <v/>
      </c>
      <c r="I21" s="1" t="n"/>
    </row>
    <row r="22">
      <c r="A22" s="1" t="n"/>
      <c r="B22" s="19" t="inlineStr">
        <is>
          <t>Work team</t>
        </is>
      </c>
      <c r="C22" s="20" t="n"/>
      <c r="D22" s="20" t="n"/>
      <c r="E22" s="22" t="n"/>
      <c r="F22" s="22" t="n"/>
      <c r="G22" s="20" t="n"/>
      <c r="H22" s="11">
        <f>IF(B22="","",IF(E22&lt;&gt;"","Sent","To send"))</f>
        <v/>
      </c>
      <c r="I22" s="1" t="n"/>
    </row>
    <row r="23">
      <c r="A23" s="1" t="n"/>
      <c r="B23" s="19" t="inlineStr">
        <is>
          <t>Sam and Kate</t>
        </is>
      </c>
      <c r="C23" s="20" t="inlineStr">
        <is>
          <t>9 Elm Close</t>
        </is>
      </c>
      <c r="D23" s="20" t="inlineStr">
        <is>
          <t>Eastbridge</t>
        </is>
      </c>
      <c r="E23" s="22" t="n"/>
      <c r="F23" s="22" t="n"/>
      <c r="G23" s="20" t="n"/>
      <c r="H23" s="11">
        <f>IF(B23="","",IF(E23&lt;&gt;"","Sent","To send"))</f>
        <v/>
      </c>
      <c r="I23" s="1" t="n"/>
    </row>
    <row r="24">
      <c r="A24" s="1" t="n"/>
      <c r="B24" s="19" t="n"/>
      <c r="C24" s="20" t="n"/>
      <c r="D24" s="20" t="n"/>
      <c r="E24" s="22" t="n"/>
      <c r="F24" s="22" t="n"/>
      <c r="G24" s="20" t="n"/>
      <c r="H24" s="11">
        <f>IF(B24="","",IF(E24&lt;&gt;"","Sent","To send"))</f>
        <v/>
      </c>
      <c r="I24" s="1" t="n"/>
    </row>
    <row r="25">
      <c r="A25" s="1" t="n"/>
      <c r="B25" s="19" t="n"/>
      <c r="C25" s="20" t="n"/>
      <c r="D25" s="20" t="n"/>
      <c r="E25" s="22" t="n"/>
      <c r="F25" s="22" t="n"/>
      <c r="G25" s="20" t="n"/>
      <c r="H25" s="11">
        <f>IF(B25="","",IF(E25&lt;&gt;"","Sent","To send"))</f>
        <v/>
      </c>
      <c r="I25" s="1" t="n"/>
    </row>
    <row r="26">
      <c r="A26" s="1" t="n"/>
      <c r="B26" s="19" t="n"/>
      <c r="C26" s="20" t="n"/>
      <c r="D26" s="20" t="n"/>
      <c r="E26" s="22" t="n"/>
      <c r="F26" s="22" t="n"/>
      <c r="G26" s="20" t="n"/>
      <c r="H26" s="11">
        <f>IF(B26="","",IF(E26&lt;&gt;"","Sent","To send"))</f>
        <v/>
      </c>
      <c r="I26" s="1" t="n"/>
    </row>
    <row r="27">
      <c r="A27" s="1" t="n"/>
      <c r="B27" s="19" t="n"/>
      <c r="C27" s="20" t="n"/>
      <c r="D27" s="20" t="n"/>
      <c r="E27" s="22" t="n"/>
      <c r="F27" s="22" t="n"/>
      <c r="G27" s="20" t="n"/>
      <c r="H27" s="11">
        <f>IF(B27="","",IF(E27&lt;&gt;"","Sent","To send"))</f>
        <v/>
      </c>
      <c r="I27" s="1" t="n"/>
    </row>
    <row r="28">
      <c r="A28" s="1" t="n"/>
      <c r="B28" s="19" t="n"/>
      <c r="C28" s="20" t="n"/>
      <c r="D28" s="20" t="n"/>
      <c r="E28" s="22" t="n"/>
      <c r="F28" s="22" t="n"/>
      <c r="G28" s="20" t="n"/>
      <c r="H28" s="11">
        <f>IF(B28="","",IF(E28&lt;&gt;"","Sent","To send"))</f>
        <v/>
      </c>
      <c r="I28" s="1" t="n"/>
    </row>
    <row r="29">
      <c r="A29" s="1" t="n"/>
      <c r="B29" s="19" t="n"/>
      <c r="C29" s="20" t="n"/>
      <c r="D29" s="20" t="n"/>
      <c r="E29" s="22" t="n"/>
      <c r="F29" s="22" t="n"/>
      <c r="G29" s="20" t="n"/>
      <c r="H29" s="11">
        <f>IF(B29="","",IF(E29&lt;&gt;"","Sent","To send"))</f>
        <v/>
      </c>
      <c r="I29" s="1" t="n"/>
    </row>
    <row r="30">
      <c r="A30" s="1" t="n"/>
      <c r="B30" s="19" t="n"/>
      <c r="C30" s="20" t="n"/>
      <c r="D30" s="20" t="n"/>
      <c r="E30" s="22" t="n"/>
      <c r="F30" s="22" t="n"/>
      <c r="G30" s="20" t="n"/>
      <c r="H30" s="11">
        <f>IF(B30="","",IF(E30&lt;&gt;"","Sent","To send"))</f>
        <v/>
      </c>
      <c r="I30" s="1" t="n"/>
    </row>
    <row r="31">
      <c r="A31" s="1" t="n"/>
      <c r="B31" s="19" t="n"/>
      <c r="C31" s="20" t="n"/>
      <c r="D31" s="20" t="n"/>
      <c r="E31" s="22" t="n"/>
      <c r="F31" s="22" t="n"/>
      <c r="G31" s="20" t="n"/>
      <c r="H31" s="11">
        <f>IF(B31="","",IF(E31&lt;&gt;"","Sent","To send"))</f>
        <v/>
      </c>
      <c r="I31" s="1" t="n"/>
    </row>
    <row r="32">
      <c r="A32" s="1" t="n"/>
      <c r="B32" s="19" t="n"/>
      <c r="C32" s="20" t="n"/>
      <c r="D32" s="20" t="n"/>
      <c r="E32" s="22" t="n"/>
      <c r="F32" s="22" t="n"/>
      <c r="G32" s="20" t="n"/>
      <c r="H32" s="11">
        <f>IF(B32="","",IF(E32&lt;&gt;"","Sent","To send"))</f>
        <v/>
      </c>
      <c r="I32" s="1" t="n"/>
    </row>
    <row r="33">
      <c r="A33" s="1" t="n"/>
      <c r="B33" s="19" t="n"/>
      <c r="C33" s="20" t="n"/>
      <c r="D33" s="20" t="n"/>
      <c r="E33" s="22" t="n"/>
      <c r="F33" s="22" t="n"/>
      <c r="G33" s="20" t="n"/>
      <c r="H33" s="11">
        <f>IF(B33="","",IF(E33&lt;&gt;"","Sent","To send"))</f>
        <v/>
      </c>
      <c r="I33" s="1" t="n"/>
    </row>
    <row r="34">
      <c r="A34" s="1" t="n"/>
      <c r="B34" s="19" t="n"/>
      <c r="C34" s="20" t="n"/>
      <c r="D34" s="20" t="n"/>
      <c r="E34" s="22" t="n"/>
      <c r="F34" s="22" t="n"/>
      <c r="G34" s="20" t="n"/>
      <c r="H34" s="11">
        <f>IF(B34="","",IF(E34&lt;&gt;"","Sent","To send"))</f>
        <v/>
      </c>
      <c r="I34" s="1" t="n"/>
    </row>
    <row r="35">
      <c r="A35" s="1" t="n"/>
      <c r="B35" s="19" t="n"/>
      <c r="C35" s="20" t="n"/>
      <c r="D35" s="20" t="n"/>
      <c r="E35" s="22" t="n"/>
      <c r="F35" s="22" t="n"/>
      <c r="G35" s="20" t="n"/>
      <c r="H35" s="11">
        <f>IF(B35="","",IF(E35&lt;&gt;"","Sent","To send"))</f>
        <v/>
      </c>
      <c r="I35" s="1" t="n"/>
    </row>
    <row r="36">
      <c r="A36" s="1" t="n"/>
      <c r="B36" s="19" t="n"/>
      <c r="C36" s="20" t="n"/>
      <c r="D36" s="20" t="n"/>
      <c r="E36" s="22" t="n"/>
      <c r="F36" s="22" t="n"/>
      <c r="G36" s="20" t="n"/>
      <c r="H36" s="11">
        <f>IF(B36="","",IF(E36&lt;&gt;"","Sent","To send"))</f>
        <v/>
      </c>
      <c r="I36" s="1" t="n"/>
    </row>
    <row r="37">
      <c r="A37" s="1" t="n"/>
      <c r="B37" s="19" t="n"/>
      <c r="C37" s="20" t="n"/>
      <c r="D37" s="20" t="n"/>
      <c r="E37" s="22" t="n"/>
      <c r="F37" s="22" t="n"/>
      <c r="G37" s="20" t="n"/>
      <c r="H37" s="11">
        <f>IF(B37="","",IF(E37&lt;&gt;"","Sent","To send"))</f>
        <v/>
      </c>
      <c r="I37" s="1" t="n"/>
    </row>
    <row r="38">
      <c r="A38" s="1" t="n"/>
      <c r="B38" s="19" t="n"/>
      <c r="C38" s="20" t="n"/>
      <c r="D38" s="20" t="n"/>
      <c r="E38" s="22" t="n"/>
      <c r="F38" s="22" t="n"/>
      <c r="G38" s="20" t="n"/>
      <c r="H38" s="11">
        <f>IF(B38="","",IF(E38&lt;&gt;"","Sent","To send"))</f>
        <v/>
      </c>
      <c r="I38" s="1" t="n"/>
    </row>
    <row r="39">
      <c r="A39" s="1" t="n"/>
      <c r="B39" s="19" t="n"/>
      <c r="C39" s="20" t="n"/>
      <c r="D39" s="20" t="n"/>
      <c r="E39" s="22" t="n"/>
      <c r="F39" s="22" t="n"/>
      <c r="G39" s="20" t="n"/>
      <c r="H39" s="11">
        <f>IF(B39="","",IF(E39&lt;&gt;"","Sent","To send"))</f>
        <v/>
      </c>
      <c r="I39" s="1" t="n"/>
    </row>
    <row r="40">
      <c r="A40" s="1" t="n"/>
      <c r="B40" s="19" t="n"/>
      <c r="C40" s="20" t="n"/>
      <c r="D40" s="20" t="n"/>
      <c r="E40" s="22" t="n"/>
      <c r="F40" s="22" t="n"/>
      <c r="G40" s="20" t="n"/>
      <c r="H40" s="11">
        <f>IF(B40="","",IF(E40&lt;&gt;"","Sent","To send"))</f>
        <v/>
      </c>
      <c r="I40" s="1" t="n"/>
    </row>
    <row r="41">
      <c r="A41" s="1" t="n"/>
      <c r="B41" s="19" t="n"/>
      <c r="C41" s="20" t="n"/>
      <c r="D41" s="20" t="n"/>
      <c r="E41" s="22" t="n"/>
      <c r="F41" s="22" t="n"/>
      <c r="G41" s="20" t="n"/>
      <c r="H41" s="11">
        <f>IF(B41="","",IF(E41&lt;&gt;"","Sent","To send"))</f>
        <v/>
      </c>
      <c r="I41" s="1" t="n"/>
    </row>
    <row r="42">
      <c r="A42" s="1" t="n"/>
      <c r="B42" s="19" t="n"/>
      <c r="C42" s="20" t="n"/>
      <c r="D42" s="20" t="n"/>
      <c r="E42" s="22" t="n"/>
      <c r="F42" s="22" t="n"/>
      <c r="G42" s="20" t="n"/>
      <c r="H42" s="11">
        <f>IF(B42="","",IF(E42&lt;&gt;"","Sent","To send"))</f>
        <v/>
      </c>
      <c r="I42" s="1" t="n"/>
    </row>
    <row r="43">
      <c r="A43" s="1" t="n"/>
      <c r="B43" s="19" t="n"/>
      <c r="C43" s="20" t="n"/>
      <c r="D43" s="20" t="n"/>
      <c r="E43" s="22" t="n"/>
      <c r="F43" s="22" t="n"/>
      <c r="G43" s="20" t="n"/>
      <c r="H43" s="11">
        <f>IF(B43="","",IF(E43&lt;&gt;"","Sent","To send"))</f>
        <v/>
      </c>
      <c r="I43" s="1" t="n"/>
    </row>
    <row r="44">
      <c r="A44" s="1" t="n"/>
      <c r="B44" s="19" t="n"/>
      <c r="C44" s="20" t="n"/>
      <c r="D44" s="20" t="n"/>
      <c r="E44" s="22" t="n"/>
      <c r="F44" s="22" t="n"/>
      <c r="G44" s="20" t="n"/>
      <c r="H44" s="11">
        <f>IF(B44="","",IF(E44&lt;&gt;"","Sent","To send"))</f>
        <v/>
      </c>
      <c r="I44" s="1" t="n"/>
    </row>
    <row r="45">
      <c r="A45" s="1" t="n"/>
      <c r="B45" s="19" t="n"/>
      <c r="C45" s="20" t="n"/>
      <c r="D45" s="20" t="n"/>
      <c r="E45" s="22" t="n"/>
      <c r="F45" s="22" t="n"/>
      <c r="G45" s="20" t="n"/>
      <c r="H45" s="11">
        <f>IF(B45="","",IF(E45&lt;&gt;"","Sent","To send"))</f>
        <v/>
      </c>
      <c r="I45" s="1" t="n"/>
    </row>
    <row r="46">
      <c r="A46" s="1" t="n"/>
      <c r="B46" s="19" t="n"/>
      <c r="C46" s="20" t="n"/>
      <c r="D46" s="20" t="n"/>
      <c r="E46" s="22" t="n"/>
      <c r="F46" s="22" t="n"/>
      <c r="G46" s="20" t="n"/>
      <c r="H46" s="11">
        <f>IF(B46="","",IF(E46&lt;&gt;"","Sent","To send"))</f>
        <v/>
      </c>
      <c r="I46" s="1" t="n"/>
    </row>
    <row r="47">
      <c r="A47" s="1" t="n"/>
      <c r="B47" s="19" t="n"/>
      <c r="C47" s="20" t="n"/>
      <c r="D47" s="20" t="n"/>
      <c r="E47" s="22" t="n"/>
      <c r="F47" s="22" t="n"/>
      <c r="G47" s="20" t="n"/>
      <c r="H47" s="11">
        <f>IF(B47="","",IF(E47&lt;&gt;"","Sent","To send"))</f>
        <v/>
      </c>
      <c r="I47" s="1" t="n"/>
    </row>
    <row r="48">
      <c r="A48" s="1" t="n"/>
      <c r="B48" s="19" t="n"/>
      <c r="C48" s="20" t="n"/>
      <c r="D48" s="20" t="n"/>
      <c r="E48" s="22" t="n"/>
      <c r="F48" s="22" t="n"/>
      <c r="G48" s="20" t="n"/>
      <c r="H48" s="11">
        <f>IF(B48="","",IF(E48&lt;&gt;"","Sent","To send"))</f>
        <v/>
      </c>
      <c r="I48" s="1" t="n"/>
    </row>
    <row r="49">
      <c r="A49" s="1" t="n"/>
      <c r="B49" s="19" t="n"/>
      <c r="C49" s="20" t="n"/>
      <c r="D49" s="20" t="n"/>
      <c r="E49" s="22" t="n"/>
      <c r="F49" s="22" t="n"/>
      <c r="G49" s="20" t="n"/>
      <c r="H49" s="11">
        <f>IF(B49="","",IF(E49&lt;&gt;"","Sent","To send"))</f>
        <v/>
      </c>
      <c r="I49" s="1" t="n"/>
    </row>
    <row r="50">
      <c r="A50" s="1" t="n"/>
      <c r="B50" s="19" t="n"/>
      <c r="C50" s="20" t="n"/>
      <c r="D50" s="20" t="n"/>
      <c r="E50" s="22" t="n"/>
      <c r="F50" s="22" t="n"/>
      <c r="G50" s="20" t="n"/>
      <c r="H50" s="11">
        <f>IF(B50="","",IF(E50&lt;&gt;"","Sent","To send"))</f>
        <v/>
      </c>
      <c r="I50" s="1" t="n"/>
    </row>
    <row r="51">
      <c r="A51" s="1" t="n"/>
      <c r="B51" s="19" t="n"/>
      <c r="C51" s="20" t="n"/>
      <c r="D51" s="20" t="n"/>
      <c r="E51" s="22" t="n"/>
      <c r="F51" s="22" t="n"/>
      <c r="G51" s="20" t="n"/>
      <c r="H51" s="11">
        <f>IF(B51="","",IF(E51&lt;&gt;"","Sent","To send"))</f>
        <v/>
      </c>
      <c r="I51" s="1" t="n"/>
    </row>
    <row r="52">
      <c r="A52" s="1" t="n"/>
      <c r="B52" s="19" t="n"/>
      <c r="C52" s="20" t="n"/>
      <c r="D52" s="20" t="n"/>
      <c r="E52" s="22" t="n"/>
      <c r="F52" s="22" t="n"/>
      <c r="G52" s="20" t="n"/>
      <c r="H52" s="11">
        <f>IF(B52="","",IF(E52&lt;&gt;"","Sent","To send"))</f>
        <v/>
      </c>
      <c r="I52" s="1" t="n"/>
    </row>
    <row r="53">
      <c r="A53" s="1" t="n"/>
      <c r="B53" s="19" t="n"/>
      <c r="C53" s="20" t="n"/>
      <c r="D53" s="20" t="n"/>
      <c r="E53" s="22" t="n"/>
      <c r="F53" s="22" t="n"/>
      <c r="G53" s="20" t="n"/>
      <c r="H53" s="11">
        <f>IF(B53="","",IF(E53&lt;&gt;"","Sent","To send"))</f>
        <v/>
      </c>
      <c r="I53" s="1" t="n"/>
    </row>
    <row r="54">
      <c r="A54" s="1" t="n"/>
      <c r="B54" s="19" t="n"/>
      <c r="C54" s="20" t="n"/>
      <c r="D54" s="20" t="n"/>
      <c r="E54" s="22" t="n"/>
      <c r="F54" s="22" t="n"/>
      <c r="G54" s="20" t="n"/>
      <c r="H54" s="11">
        <f>IF(B54="","",IF(E54&lt;&gt;"","Sent","To send"))</f>
        <v/>
      </c>
      <c r="I54" s="1" t="n"/>
    </row>
    <row r="55">
      <c r="A55" s="1" t="n"/>
      <c r="B55" s="19" t="n"/>
      <c r="C55" s="20" t="n"/>
      <c r="D55" s="20" t="n"/>
      <c r="E55" s="22" t="n"/>
      <c r="F55" s="22" t="n"/>
      <c r="G55" s="20" t="n"/>
      <c r="H55" s="11">
        <f>IF(B55="","",IF(E55&lt;&gt;"","Sent","To send"))</f>
        <v/>
      </c>
      <c r="I55" s="1" t="n"/>
    </row>
    <row r="56">
      <c r="A56" s="1" t="n"/>
      <c r="B56" s="19" t="n"/>
      <c r="C56" s="20" t="n"/>
      <c r="D56" s="20" t="n"/>
      <c r="E56" s="22" t="n"/>
      <c r="F56" s="22" t="n"/>
      <c r="G56" s="20" t="n"/>
      <c r="H56" s="11">
        <f>IF(B56="","",IF(E56&lt;&gt;"","Sent","To send"))</f>
        <v/>
      </c>
      <c r="I56" s="1" t="n"/>
    </row>
    <row r="57">
      <c r="A57" s="1" t="n"/>
      <c r="B57" s="19" t="n"/>
      <c r="C57" s="20" t="n"/>
      <c r="D57" s="20" t="n"/>
      <c r="E57" s="22" t="n"/>
      <c r="F57" s="22" t="n"/>
      <c r="G57" s="20" t="n"/>
      <c r="H57" s="11">
        <f>IF(B57="","",IF(E57&lt;&gt;"","Sent","To send"))</f>
        <v/>
      </c>
      <c r="I57" s="1" t="n"/>
    </row>
    <row r="58">
      <c r="A58" s="1" t="n"/>
      <c r="B58" s="19" t="n"/>
      <c r="C58" s="20" t="n"/>
      <c r="D58" s="20" t="n"/>
      <c r="E58" s="22" t="n"/>
      <c r="F58" s="22" t="n"/>
      <c r="G58" s="20" t="n"/>
      <c r="H58" s="11">
        <f>IF(B58="","",IF(E58&lt;&gt;"","Sent","To send"))</f>
        <v/>
      </c>
      <c r="I58" s="1" t="n"/>
    </row>
    <row r="59">
      <c r="A59" s="1" t="n"/>
      <c r="B59" s="19" t="n"/>
      <c r="C59" s="20" t="n"/>
      <c r="D59" s="20" t="n"/>
      <c r="E59" s="22" t="n"/>
      <c r="F59" s="22" t="n"/>
      <c r="G59" s="20" t="n"/>
      <c r="H59" s="11">
        <f>IF(B59="","",IF(E59&lt;&gt;"","Sent","To send"))</f>
        <v/>
      </c>
      <c r="I59" s="1" t="n"/>
    </row>
    <row r="60">
      <c r="A60" s="1" t="n"/>
      <c r="B60" s="19" t="n"/>
      <c r="C60" s="20" t="n"/>
      <c r="D60" s="20" t="n"/>
      <c r="E60" s="22" t="n"/>
      <c r="F60" s="22" t="n"/>
      <c r="G60" s="20" t="n"/>
      <c r="H60" s="11">
        <f>IF(B60="","",IF(E60&lt;&gt;"","Sent","To send"))</f>
        <v/>
      </c>
      <c r="I60" s="1" t="n"/>
    </row>
    <row r="61">
      <c r="A61" s="1" t="n"/>
      <c r="B61" s="19" t="n"/>
      <c r="C61" s="20" t="n"/>
      <c r="D61" s="20" t="n"/>
      <c r="E61" s="22" t="n"/>
      <c r="F61" s="22" t="n"/>
      <c r="G61" s="20" t="n"/>
      <c r="H61" s="11">
        <f>IF(B61="","",IF(E61&lt;&gt;"","Sent","To send"))</f>
        <v/>
      </c>
      <c r="I61" s="1" t="n"/>
    </row>
    <row r="62">
      <c r="A62" s="1" t="n"/>
      <c r="B62" s="19" t="n"/>
      <c r="C62" s="20" t="n"/>
      <c r="D62" s="20" t="n"/>
      <c r="E62" s="22" t="n"/>
      <c r="F62" s="22" t="n"/>
      <c r="G62" s="20" t="n"/>
      <c r="H62" s="11">
        <f>IF(B62="","",IF(E62&lt;&gt;"","Sent","To send"))</f>
        <v/>
      </c>
      <c r="I62" s="1" t="n"/>
    </row>
    <row r="63">
      <c r="A63" s="1" t="n"/>
      <c r="B63" s="19" t="n"/>
      <c r="C63" s="20" t="n"/>
      <c r="D63" s="20" t="n"/>
      <c r="E63" s="22" t="n"/>
      <c r="F63" s="22" t="n"/>
      <c r="G63" s="20" t="n"/>
      <c r="H63" s="11">
        <f>IF(B63="","",IF(E63&lt;&gt;"","Sent","To send"))</f>
        <v/>
      </c>
      <c r="I63" s="1" t="n"/>
    </row>
    <row r="64">
      <c r="A64" s="1" t="n"/>
      <c r="B64" s="19" t="n"/>
      <c r="C64" s="20" t="n"/>
      <c r="D64" s="20" t="n"/>
      <c r="E64" s="22" t="n"/>
      <c r="F64" s="22" t="n"/>
      <c r="G64" s="20" t="n"/>
      <c r="H64" s="11">
        <f>IF(B64="","",IF(E64&lt;&gt;"","Sent","To send"))</f>
        <v/>
      </c>
      <c r="I64" s="1" t="n"/>
    </row>
    <row r="65">
      <c r="A65" s="1" t="n"/>
      <c r="B65" s="19" t="n"/>
      <c r="C65" s="20" t="n"/>
      <c r="D65" s="20" t="n"/>
      <c r="E65" s="22" t="n"/>
      <c r="F65" s="22" t="n"/>
      <c r="G65" s="20" t="n"/>
      <c r="H65" s="11">
        <f>IF(B65="","",IF(E65&lt;&gt;"","Sent","To send"))</f>
        <v/>
      </c>
      <c r="I65" s="1" t="n"/>
    </row>
    <row r="66">
      <c r="A66" s="1" t="n"/>
      <c r="B66" s="19" t="n"/>
      <c r="C66" s="20" t="n"/>
      <c r="D66" s="20" t="n"/>
      <c r="E66" s="22" t="n"/>
      <c r="F66" s="22" t="n"/>
      <c r="G66" s="20" t="n"/>
      <c r="H66" s="11">
        <f>IF(B66="","",IF(E66&lt;&gt;"","Sent","To send"))</f>
        <v/>
      </c>
      <c r="I66" s="1" t="n"/>
    </row>
    <row r="67">
      <c r="A67" s="1" t="n"/>
      <c r="B67" s="19" t="n"/>
      <c r="C67" s="20" t="n"/>
      <c r="D67" s="20" t="n"/>
      <c r="E67" s="22" t="n"/>
      <c r="F67" s="22" t="n"/>
      <c r="G67" s="20" t="n"/>
      <c r="H67" s="11">
        <f>IF(B67="","",IF(E67&lt;&gt;"","Sent","To send"))</f>
        <v/>
      </c>
      <c r="I67" s="1" t="n"/>
    </row>
    <row r="68">
      <c r="A68" s="1" t="n"/>
      <c r="B68" s="19" t="n"/>
      <c r="C68" s="20" t="n"/>
      <c r="D68" s="20" t="n"/>
      <c r="E68" s="22" t="n"/>
      <c r="F68" s="22" t="n"/>
      <c r="G68" s="20" t="n"/>
      <c r="H68" s="11">
        <f>IF(B68="","",IF(E68&lt;&gt;"","Sent","To send"))</f>
        <v/>
      </c>
      <c r="I68" s="1" t="n"/>
    </row>
    <row r="69">
      <c r="A69" s="1" t="n"/>
      <c r="B69" s="19" t="n"/>
      <c r="C69" s="20" t="n"/>
      <c r="D69" s="20" t="n"/>
      <c r="E69" s="22" t="n"/>
      <c r="F69" s="22" t="n"/>
      <c r="G69" s="20" t="n"/>
      <c r="H69" s="11">
        <f>IF(B69="","",IF(E69&lt;&gt;"","Sent","To send"))</f>
        <v/>
      </c>
      <c r="I69" s="1" t="n"/>
    </row>
    <row r="70">
      <c r="A70" s="1" t="n"/>
      <c r="B70" s="19" t="n"/>
      <c r="C70" s="20" t="n"/>
      <c r="D70" s="20" t="n"/>
      <c r="E70" s="22" t="n"/>
      <c r="F70" s="22" t="n"/>
      <c r="G70" s="20" t="n"/>
      <c r="H70" s="11">
        <f>IF(B70="","",IF(E70&lt;&gt;"","Sent","To send"))</f>
        <v/>
      </c>
      <c r="I70" s="1" t="n"/>
    </row>
    <row r="71">
      <c r="A71" s="1" t="n"/>
      <c r="B71" s="19" t="n"/>
      <c r="C71" s="20" t="n"/>
      <c r="D71" s="20" t="n"/>
      <c r="E71" s="22" t="n"/>
      <c r="F71" s="22" t="n"/>
      <c r="G71" s="20" t="n"/>
      <c r="H71" s="11">
        <f>IF(B71="","",IF(E71&lt;&gt;"","Sent","To send"))</f>
        <v/>
      </c>
      <c r="I71" s="1" t="n"/>
    </row>
    <row r="72">
      <c r="A72" s="1" t="n"/>
      <c r="B72" s="19" t="n"/>
      <c r="C72" s="20" t="n"/>
      <c r="D72" s="20" t="n"/>
      <c r="E72" s="22" t="n"/>
      <c r="F72" s="22" t="n"/>
      <c r="G72" s="20" t="n"/>
      <c r="H72" s="11">
        <f>IF(B72="","",IF(E72&lt;&gt;"","Sent","To send"))</f>
        <v/>
      </c>
      <c r="I72" s="1" t="n"/>
    </row>
    <row r="73">
      <c r="A73" s="1" t="n"/>
      <c r="B73" s="19" t="n"/>
      <c r="C73" s="20" t="n"/>
      <c r="D73" s="20" t="n"/>
      <c r="E73" s="22" t="n"/>
      <c r="F73" s="22" t="n"/>
      <c r="G73" s="20" t="n"/>
      <c r="H73" s="11">
        <f>IF(B73="","",IF(E73&lt;&gt;"","Sent","To send"))</f>
        <v/>
      </c>
      <c r="I73" s="1" t="n"/>
    </row>
    <row r="74">
      <c r="A74" s="1" t="n"/>
      <c r="B74" s="19" t="n"/>
      <c r="C74" s="20" t="n"/>
      <c r="D74" s="20" t="n"/>
      <c r="E74" s="22" t="n"/>
      <c r="F74" s="22" t="n"/>
      <c r="G74" s="20" t="n"/>
      <c r="H74" s="11">
        <f>IF(B74="","",IF(E74&lt;&gt;"","Sent","To send"))</f>
        <v/>
      </c>
      <c r="I74" s="1" t="n"/>
    </row>
    <row r="75">
      <c r="A75" s="1" t="n"/>
      <c r="B75" s="19" t="n"/>
      <c r="C75" s="20" t="n"/>
      <c r="D75" s="20" t="n"/>
      <c r="E75" s="22" t="n"/>
      <c r="F75" s="22" t="n"/>
      <c r="G75" s="20" t="n"/>
      <c r="H75" s="11">
        <f>IF(B75="","",IF(E75&lt;&gt;"","Sent","To send"))</f>
        <v/>
      </c>
      <c r="I75" s="1" t="n"/>
    </row>
    <row r="76">
      <c r="A76" s="1" t="n"/>
      <c r="B76" s="19" t="n"/>
      <c r="C76" s="20" t="n"/>
      <c r="D76" s="20" t="n"/>
      <c r="E76" s="22" t="n"/>
      <c r="F76" s="22" t="n"/>
      <c r="G76" s="20" t="n"/>
      <c r="H76" s="11">
        <f>IF(B76="","",IF(E76&lt;&gt;"","Sent","To send"))</f>
        <v/>
      </c>
      <c r="I76" s="1" t="n"/>
    </row>
    <row r="77">
      <c r="A77" s="1" t="n"/>
      <c r="B77" s="19" t="n"/>
      <c r="C77" s="20" t="n"/>
      <c r="D77" s="20" t="n"/>
      <c r="E77" s="22" t="n"/>
      <c r="F77" s="22" t="n"/>
      <c r="G77" s="20" t="n"/>
      <c r="H77" s="11">
        <f>IF(B77="","",IF(E77&lt;&gt;"","Sent","To send"))</f>
        <v/>
      </c>
      <c r="I77" s="1" t="n"/>
    </row>
    <row r="78">
      <c r="A78" s="1" t="n"/>
      <c r="B78" s="19" t="n"/>
      <c r="C78" s="20" t="n"/>
      <c r="D78" s="20" t="n"/>
      <c r="E78" s="22" t="n"/>
      <c r="F78" s="22" t="n"/>
      <c r="G78" s="20" t="n"/>
      <c r="H78" s="11">
        <f>IF(B78="","",IF(E78&lt;&gt;"","Sent","To send"))</f>
        <v/>
      </c>
      <c r="I78" s="1" t="n"/>
    </row>
    <row r="79">
      <c r="A79" s="1" t="n"/>
      <c r="B79" s="19" t="n"/>
      <c r="C79" s="20" t="n"/>
      <c r="D79" s="20" t="n"/>
      <c r="E79" s="22" t="n"/>
      <c r="F79" s="22" t="n"/>
      <c r="G79" s="20" t="n"/>
      <c r="H79" s="11">
        <f>IF(B79="","",IF(E79&lt;&gt;"","Sent","To send"))</f>
        <v/>
      </c>
      <c r="I79" s="1" t="n"/>
    </row>
    <row r="80">
      <c r="A80" s="1" t="n"/>
      <c r="B80" s="19" t="n"/>
      <c r="C80" s="20" t="n"/>
      <c r="D80" s="20" t="n"/>
      <c r="E80" s="22" t="n"/>
      <c r="F80" s="22" t="n"/>
      <c r="G80" s="20" t="n"/>
      <c r="H80" s="11">
        <f>IF(B80="","",IF(E80&lt;&gt;"","Sent","To send"))</f>
        <v/>
      </c>
      <c r="I80" s="1" t="n"/>
    </row>
    <row r="81">
      <c r="A81" s="1" t="n"/>
      <c r="B81" s="19" t="n"/>
      <c r="C81" s="20" t="n"/>
      <c r="D81" s="20" t="n"/>
      <c r="E81" s="22" t="n"/>
      <c r="F81" s="22" t="n"/>
      <c r="G81" s="20" t="n"/>
      <c r="H81" s="11">
        <f>IF(B81="","",IF(E81&lt;&gt;"","Sent","To send"))</f>
        <v/>
      </c>
      <c r="I81" s="1" t="n"/>
    </row>
    <row r="82">
      <c r="A82" s="1" t="n"/>
      <c r="B82" s="19" t="n"/>
      <c r="C82" s="20" t="n"/>
      <c r="D82" s="20" t="n"/>
      <c r="E82" s="22" t="n"/>
      <c r="F82" s="22" t="n"/>
      <c r="G82" s="20" t="n"/>
      <c r="H82" s="11">
        <f>IF(B82="","",IF(E82&lt;&gt;"","Sent","To send"))</f>
        <v/>
      </c>
      <c r="I82" s="1" t="n"/>
    </row>
    <row r="83">
      <c r="A83" s="1" t="n"/>
      <c r="B83" s="19" t="n"/>
      <c r="C83" s="20" t="n"/>
      <c r="D83" s="20" t="n"/>
      <c r="E83" s="22" t="n"/>
      <c r="F83" s="22" t="n"/>
      <c r="G83" s="20" t="n"/>
      <c r="H83" s="11">
        <f>IF(B83="","",IF(E83&lt;&gt;"","Sent","To send"))</f>
        <v/>
      </c>
      <c r="I83" s="1" t="n"/>
    </row>
    <row r="84">
      <c r="A84" s="1" t="n"/>
      <c r="B84" s="19" t="n"/>
      <c r="C84" s="20" t="n"/>
      <c r="D84" s="20" t="n"/>
      <c r="E84" s="22" t="n"/>
      <c r="F84" s="22" t="n"/>
      <c r="G84" s="20" t="n"/>
      <c r="H84" s="11">
        <f>IF(B84="","",IF(E84&lt;&gt;"","Sent","To send"))</f>
        <v/>
      </c>
      <c r="I84" s="1" t="n"/>
    </row>
    <row r="85">
      <c r="A85" s="1" t="n"/>
      <c r="B85" s="19" t="n"/>
      <c r="C85" s="20" t="n"/>
      <c r="D85" s="20" t="n"/>
      <c r="E85" s="22" t="n"/>
      <c r="F85" s="22" t="n"/>
      <c r="G85" s="20" t="n"/>
      <c r="H85" s="11">
        <f>IF(B85="","",IF(E85&lt;&gt;"","Sent","To send"))</f>
        <v/>
      </c>
      <c r="I85" s="1" t="n"/>
    </row>
    <row r="86">
      <c r="A86" s="1" t="n"/>
      <c r="B86" s="19" t="n"/>
      <c r="C86" s="20" t="n"/>
      <c r="D86" s="20" t="n"/>
      <c r="E86" s="22" t="n"/>
      <c r="F86" s="22" t="n"/>
      <c r="G86" s="20" t="n"/>
      <c r="H86" s="11">
        <f>IF(B86="","",IF(E86&lt;&gt;"","Sent","To send"))</f>
        <v/>
      </c>
      <c r="I86" s="1" t="n"/>
    </row>
    <row r="87">
      <c r="A87" s="1" t="n"/>
      <c r="B87" s="19" t="n"/>
      <c r="C87" s="20" t="n"/>
      <c r="D87" s="20" t="n"/>
      <c r="E87" s="22" t="n"/>
      <c r="F87" s="22" t="n"/>
      <c r="G87" s="20" t="n"/>
      <c r="H87" s="11">
        <f>IF(B87="","",IF(E87&lt;&gt;"","Sent","To send"))</f>
        <v/>
      </c>
      <c r="I87" s="1" t="n"/>
    </row>
    <row r="88">
      <c r="A88" s="1" t="n"/>
      <c r="B88" s="19" t="n"/>
      <c r="C88" s="20" t="n"/>
      <c r="D88" s="20" t="n"/>
      <c r="E88" s="22" t="n"/>
      <c r="F88" s="22" t="n"/>
      <c r="G88" s="20" t="n"/>
      <c r="H88" s="11">
        <f>IF(B88="","",IF(E88&lt;&gt;"","Sent","To send"))</f>
        <v/>
      </c>
      <c r="I88" s="1" t="n"/>
    </row>
    <row r="89">
      <c r="A89" s="1" t="n"/>
      <c r="B89" s="19" t="n"/>
      <c r="C89" s="20" t="n"/>
      <c r="D89" s="20" t="n"/>
      <c r="E89" s="22" t="n"/>
      <c r="F89" s="22" t="n"/>
      <c r="G89" s="20" t="n"/>
      <c r="H89" s="11">
        <f>IF(B89="","",IF(E89&lt;&gt;"","Sent","To send"))</f>
        <v/>
      </c>
      <c r="I89" s="1" t="n"/>
    </row>
    <row r="90">
      <c r="A90" s="1" t="n"/>
      <c r="B90" s="19" t="n"/>
      <c r="C90" s="20" t="n"/>
      <c r="D90" s="20" t="n"/>
      <c r="E90" s="22" t="n"/>
      <c r="F90" s="22" t="n"/>
      <c r="G90" s="20" t="n"/>
      <c r="H90" s="11">
        <f>IF(B90="","",IF(E90&lt;&gt;"","Sent","To send"))</f>
        <v/>
      </c>
      <c r="I90" s="1" t="n"/>
    </row>
    <row r="91">
      <c r="A91" s="1" t="n"/>
      <c r="B91" s="19" t="n"/>
      <c r="C91" s="20" t="n"/>
      <c r="D91" s="20" t="n"/>
      <c r="E91" s="22" t="n"/>
      <c r="F91" s="22" t="n"/>
      <c r="G91" s="20" t="n"/>
      <c r="H91" s="11">
        <f>IF(B91="","",IF(E91&lt;&gt;"","Sent","To send"))</f>
        <v/>
      </c>
      <c r="I91" s="1" t="n"/>
    </row>
    <row r="92">
      <c r="A92" s="1" t="n"/>
      <c r="B92" s="19" t="n"/>
      <c r="C92" s="20" t="n"/>
      <c r="D92" s="20" t="n"/>
      <c r="E92" s="22" t="n"/>
      <c r="F92" s="22" t="n"/>
      <c r="G92" s="20" t="n"/>
      <c r="H92" s="11">
        <f>IF(B92="","",IF(E92&lt;&gt;"","Sent","To send"))</f>
        <v/>
      </c>
      <c r="I92" s="1" t="n"/>
    </row>
    <row r="93">
      <c r="A93" s="1" t="n"/>
      <c r="B93" s="19" t="n"/>
      <c r="C93" s="20" t="n"/>
      <c r="D93" s="20" t="n"/>
      <c r="E93" s="22" t="n"/>
      <c r="F93" s="22" t="n"/>
      <c r="G93" s="20" t="n"/>
      <c r="H93" s="11">
        <f>IF(B93="","",IF(E93&lt;&gt;"","Sent","To send"))</f>
        <v/>
      </c>
      <c r="I93" s="1" t="n"/>
    </row>
    <row r="94">
      <c r="A94" s="1" t="n"/>
      <c r="B94" s="19" t="n"/>
      <c r="C94" s="20" t="n"/>
      <c r="D94" s="20" t="n"/>
      <c r="E94" s="22" t="n"/>
      <c r="F94" s="22" t="n"/>
      <c r="G94" s="20" t="n"/>
      <c r="H94" s="11">
        <f>IF(B94="","",IF(E94&lt;&gt;"","Sent","To send"))</f>
        <v/>
      </c>
      <c r="I94" s="1" t="n"/>
    </row>
    <row r="95">
      <c r="A95" s="1" t="n"/>
      <c r="B95" s="19" t="n"/>
      <c r="C95" s="20" t="n"/>
      <c r="D95" s="20" t="n"/>
      <c r="E95" s="22" t="n"/>
      <c r="F95" s="22" t="n"/>
      <c r="G95" s="20" t="n"/>
      <c r="H95" s="11">
        <f>IF(B95="","",IF(E95&lt;&gt;"","Sent","To send"))</f>
        <v/>
      </c>
      <c r="I95" s="1" t="n"/>
    </row>
    <row r="96">
      <c r="A96" s="1" t="n"/>
      <c r="B96" s="19" t="n"/>
      <c r="C96" s="20" t="n"/>
      <c r="D96" s="20" t="n"/>
      <c r="E96" s="22" t="n"/>
      <c r="F96" s="22" t="n"/>
      <c r="G96" s="20" t="n"/>
      <c r="H96" s="11">
        <f>IF(B96="","",IF(E96&lt;&gt;"","Sent","To send"))</f>
        <v/>
      </c>
      <c r="I96" s="1" t="n"/>
    </row>
    <row r="97">
      <c r="A97" s="1" t="n"/>
      <c r="B97" s="19" t="n"/>
      <c r="C97" s="20" t="n"/>
      <c r="D97" s="20" t="n"/>
      <c r="E97" s="22" t="n"/>
      <c r="F97" s="22" t="n"/>
      <c r="G97" s="20" t="n"/>
      <c r="H97" s="11">
        <f>IF(B97="","",IF(E97&lt;&gt;"","Sent","To send"))</f>
        <v/>
      </c>
      <c r="I97" s="1" t="n"/>
    </row>
    <row r="98">
      <c r="A98" s="1" t="n"/>
      <c r="B98" s="19" t="n"/>
      <c r="C98" s="20" t="n"/>
      <c r="D98" s="20" t="n"/>
      <c r="E98" s="22" t="n"/>
      <c r="F98" s="22" t="n"/>
      <c r="G98" s="20" t="n"/>
      <c r="H98" s="11">
        <f>IF(B98="","",IF(E98&lt;&gt;"","Sent","To send"))</f>
        <v/>
      </c>
      <c r="I98" s="1" t="n"/>
    </row>
    <row r="99">
      <c r="A99" s="1" t="n"/>
      <c r="B99" s="19" t="n"/>
      <c r="C99" s="20" t="n"/>
      <c r="D99" s="20" t="n"/>
      <c r="E99" s="22" t="n"/>
      <c r="F99" s="22" t="n"/>
      <c r="G99" s="20" t="n"/>
      <c r="H99" s="11">
        <f>IF(B99="","",IF(E99&lt;&gt;"","Sent","To send"))</f>
        <v/>
      </c>
      <c r="I99" s="1" t="n"/>
    </row>
    <row r="100">
      <c r="A100" s="1" t="n"/>
      <c r="B100" s="19" t="n"/>
      <c r="C100" s="20" t="n"/>
      <c r="D100" s="20" t="n"/>
      <c r="E100" s="22" t="n"/>
      <c r="F100" s="22" t="n"/>
      <c r="G100" s="20" t="n"/>
      <c r="H100" s="11">
        <f>IF(B100="","",IF(E100&lt;&gt;"","Sent","To send"))</f>
        <v/>
      </c>
      <c r="I100" s="1" t="n"/>
    </row>
    <row r="101">
      <c r="A101" s="1" t="n"/>
      <c r="B101" s="19" t="n"/>
      <c r="C101" s="20" t="n"/>
      <c r="D101" s="20" t="n"/>
      <c r="E101" s="22" t="n"/>
      <c r="F101" s="22" t="n"/>
      <c r="G101" s="20" t="n"/>
      <c r="H101" s="11">
        <f>IF(B101="","",IF(E101&lt;&gt;"","Sent","To send"))</f>
        <v/>
      </c>
      <c r="I101" s="1" t="n"/>
    </row>
    <row r="102">
      <c r="A102" s="1" t="n"/>
      <c r="B102" s="19" t="n"/>
      <c r="C102" s="20" t="n"/>
      <c r="D102" s="20" t="n"/>
      <c r="E102" s="22" t="n"/>
      <c r="F102" s="22" t="n"/>
      <c r="G102" s="20" t="n"/>
      <c r="H102" s="11">
        <f>IF(B102="","",IF(E102&lt;&gt;"","Sent","To send"))</f>
        <v/>
      </c>
      <c r="I102" s="1" t="n"/>
    </row>
    <row r="103">
      <c r="A103" s="1" t="n"/>
      <c r="B103" s="19" t="n"/>
      <c r="C103" s="20" t="n"/>
      <c r="D103" s="20" t="n"/>
      <c r="E103" s="22" t="n"/>
      <c r="F103" s="22" t="n"/>
      <c r="G103" s="20" t="n"/>
      <c r="H103" s="11">
        <f>IF(B103="","",IF(E103&lt;&gt;"","Sent","To send"))</f>
        <v/>
      </c>
      <c r="I103" s="1" t="n"/>
    </row>
    <row r="104">
      <c r="A104" s="1" t="n"/>
      <c r="B104" s="19" t="n"/>
      <c r="C104" s="20" t="n"/>
      <c r="D104" s="20" t="n"/>
      <c r="E104" s="22" t="n"/>
      <c r="F104" s="22" t="n"/>
      <c r="G104" s="20" t="n"/>
      <c r="H104" s="11">
        <f>IF(B104="","",IF(E104&lt;&gt;"","Sent","To send"))</f>
        <v/>
      </c>
      <c r="I104" s="1" t="n"/>
    </row>
    <row r="105">
      <c r="A105" s="1" t="n"/>
      <c r="B105" s="19" t="n"/>
      <c r="C105" s="20" t="n"/>
      <c r="D105" s="20" t="n"/>
      <c r="E105" s="22" t="n"/>
      <c r="F105" s="22" t="n"/>
      <c r="G105" s="20" t="n"/>
      <c r="H105" s="11">
        <f>IF(B105="","",IF(E105&lt;&gt;"","Sent","To send"))</f>
        <v/>
      </c>
      <c r="I105" s="1" t="n"/>
    </row>
    <row r="106">
      <c r="A106" s="1" t="n"/>
      <c r="B106" s="19" t="n"/>
      <c r="C106" s="20" t="n"/>
      <c r="D106" s="20" t="n"/>
      <c r="E106" s="22" t="n"/>
      <c r="F106" s="22" t="n"/>
      <c r="G106" s="20" t="n"/>
      <c r="H106" s="11">
        <f>IF(B106="","",IF(E106&lt;&gt;"","Sent","To send"))</f>
        <v/>
      </c>
      <c r="I106" s="1" t="n"/>
    </row>
    <row r="107">
      <c r="A107" s="1" t="n"/>
      <c r="B107" s="19" t="n"/>
      <c r="C107" s="20" t="n"/>
      <c r="D107" s="20" t="n"/>
      <c r="E107" s="22" t="n"/>
      <c r="F107" s="22" t="n"/>
      <c r="G107" s="20" t="n"/>
      <c r="H107" s="11">
        <f>IF(B107="","",IF(E107&lt;&gt;"","Sent","To send"))</f>
        <v/>
      </c>
      <c r="I107" s="1" t="n"/>
    </row>
    <row r="108">
      <c r="A108" s="1" t="n"/>
      <c r="B108" s="19" t="n"/>
      <c r="C108" s="20" t="n"/>
      <c r="D108" s="20" t="n"/>
      <c r="E108" s="22" t="n"/>
      <c r="F108" s="22" t="n"/>
      <c r="G108" s="20" t="n"/>
      <c r="H108" s="11">
        <f>IF(B108="","",IF(E108&lt;&gt;"","Sent","To send"))</f>
        <v/>
      </c>
      <c r="I108" s="1" t="n"/>
    </row>
    <row r="109">
      <c r="A109" s="1" t="n"/>
      <c r="B109" s="19" t="n"/>
      <c r="C109" s="20" t="n"/>
      <c r="D109" s="20" t="n"/>
      <c r="E109" s="22" t="n"/>
      <c r="F109" s="22" t="n"/>
      <c r="G109" s="20" t="n"/>
      <c r="H109" s="11">
        <f>IF(B109="","",IF(E109&lt;&gt;"","Sent","To send"))</f>
        <v/>
      </c>
      <c r="I109" s="1" t="n"/>
    </row>
    <row r="110">
      <c r="A110" s="1" t="n"/>
      <c r="B110" s="19" t="n"/>
      <c r="C110" s="20" t="n"/>
      <c r="D110" s="20" t="n"/>
      <c r="E110" s="22" t="n"/>
      <c r="F110" s="22" t="n"/>
      <c r="G110" s="20" t="n"/>
      <c r="H110" s="11">
        <f>IF(B110="","",IF(E110&lt;&gt;"","Sent","To send"))</f>
        <v/>
      </c>
      <c r="I110" s="1" t="n"/>
    </row>
    <row r="111">
      <c r="A111" s="1" t="n"/>
      <c r="B111" s="19" t="n"/>
      <c r="C111" s="20" t="n"/>
      <c r="D111" s="20" t="n"/>
      <c r="E111" s="22" t="n"/>
      <c r="F111" s="22" t="n"/>
      <c r="G111" s="20" t="n"/>
      <c r="H111" s="11">
        <f>IF(B111="","",IF(E111&lt;&gt;"","Sent","To send"))</f>
        <v/>
      </c>
      <c r="I111" s="1" t="n"/>
    </row>
    <row r="112">
      <c r="A112" s="1" t="n"/>
      <c r="B112" s="19" t="n"/>
      <c r="C112" s="20" t="n"/>
      <c r="D112" s="20" t="n"/>
      <c r="E112" s="22" t="n"/>
      <c r="F112" s="22" t="n"/>
      <c r="G112" s="20" t="n"/>
      <c r="H112" s="11">
        <f>IF(B112="","",IF(E112&lt;&gt;"","Sent","To send"))</f>
        <v/>
      </c>
      <c r="I112" s="1" t="n"/>
    </row>
    <row r="113">
      <c r="A113" s="1" t="n"/>
      <c r="B113" s="19" t="n"/>
      <c r="C113" s="20" t="n"/>
      <c r="D113" s="20" t="n"/>
      <c r="E113" s="22" t="n"/>
      <c r="F113" s="22" t="n"/>
      <c r="G113" s="20" t="n"/>
      <c r="H113" s="11">
        <f>IF(B113="","",IF(E113&lt;&gt;"","Sent","To send"))</f>
        <v/>
      </c>
      <c r="I113" s="1" t="n"/>
    </row>
    <row r="114">
      <c r="A114" s="1" t="n"/>
      <c r="B114" s="19" t="n"/>
      <c r="C114" s="20" t="n"/>
      <c r="D114" s="20" t="n"/>
      <c r="E114" s="22" t="n"/>
      <c r="F114" s="22" t="n"/>
      <c r="G114" s="20" t="n"/>
      <c r="H114" s="11">
        <f>IF(B114="","",IF(E114&lt;&gt;"","Sent","To send"))</f>
        <v/>
      </c>
      <c r="I114" s="1" t="n"/>
    </row>
    <row r="115">
      <c r="A115" s="1" t="n"/>
      <c r="B115" s="19" t="n"/>
      <c r="C115" s="20" t="n"/>
      <c r="D115" s="20" t="n"/>
      <c r="E115" s="22" t="n"/>
      <c r="F115" s="22" t="n"/>
      <c r="G115" s="20" t="n"/>
      <c r="H115" s="11">
        <f>IF(B115="","",IF(E115&lt;&gt;"","Sent","To send"))</f>
        <v/>
      </c>
      <c r="I115" s="1" t="n"/>
    </row>
    <row r="116">
      <c r="A116" s="1" t="n"/>
      <c r="B116" s="19" t="n"/>
      <c r="C116" s="20" t="n"/>
      <c r="D116" s="20" t="n"/>
      <c r="E116" s="22" t="n"/>
      <c r="F116" s="22" t="n"/>
      <c r="G116" s="20" t="n"/>
      <c r="H116" s="11">
        <f>IF(B116="","",IF(E116&lt;&gt;"","Sent","To send"))</f>
        <v/>
      </c>
      <c r="I116" s="1" t="n"/>
    </row>
    <row r="117">
      <c r="A117" s="1" t="n"/>
      <c r="B117" s="19" t="n"/>
      <c r="C117" s="20" t="n"/>
      <c r="D117" s="20" t="n"/>
      <c r="E117" s="22" t="n"/>
      <c r="F117" s="22" t="n"/>
      <c r="G117" s="20" t="n"/>
      <c r="H117" s="11">
        <f>IF(B117="","",IF(E117&lt;&gt;"","Sent","To send"))</f>
        <v/>
      </c>
      <c r="I117" s="1" t="n"/>
    </row>
    <row r="118">
      <c r="A118" s="1" t="n"/>
      <c r="B118" s="19" t="n"/>
      <c r="C118" s="20" t="n"/>
      <c r="D118" s="20" t="n"/>
      <c r="E118" s="22" t="n"/>
      <c r="F118" s="22" t="n"/>
      <c r="G118" s="20" t="n"/>
      <c r="H118" s="11">
        <f>IF(B118="","",IF(E118&lt;&gt;"","Sent","To send"))</f>
        <v/>
      </c>
      <c r="I118" s="1" t="n"/>
    </row>
    <row r="119">
      <c r="A119" s="1" t="n"/>
      <c r="B119" s="19" t="n"/>
      <c r="C119" s="20" t="n"/>
      <c r="D119" s="20" t="n"/>
      <c r="E119" s="22" t="n"/>
      <c r="F119" s="22" t="n"/>
      <c r="G119" s="20" t="n"/>
      <c r="H119" s="11">
        <f>IF(B119="","",IF(E119&lt;&gt;"","Sent","To send"))</f>
        <v/>
      </c>
      <c r="I119" s="1" t="n"/>
    </row>
    <row r="120">
      <c r="A120" s="1" t="n"/>
      <c r="B120" s="19" t="n"/>
      <c r="C120" s="20" t="n"/>
      <c r="D120" s="20" t="n"/>
      <c r="E120" s="22" t="n"/>
      <c r="F120" s="22" t="n"/>
      <c r="G120" s="20" t="n"/>
      <c r="H120" s="11">
        <f>IF(B120="","",IF(E120&lt;&gt;"","Sent","To send"))</f>
        <v/>
      </c>
      <c r="I120" s="1" t="n"/>
    </row>
    <row r="121">
      <c r="A121" s="1" t="n"/>
      <c r="B121" s="19" t="n"/>
      <c r="C121" s="20" t="n"/>
      <c r="D121" s="20" t="n"/>
      <c r="E121" s="22" t="n"/>
      <c r="F121" s="22" t="n"/>
      <c r="G121" s="20" t="n"/>
      <c r="H121" s="11">
        <f>IF(B121="","",IF(E121&lt;&gt;"","Sent","To send"))</f>
        <v/>
      </c>
      <c r="I121" s="1" t="n"/>
    </row>
    <row r="122">
      <c r="A122" s="1" t="n"/>
      <c r="B122" s="19" t="n"/>
      <c r="C122" s="20" t="n"/>
      <c r="D122" s="20" t="n"/>
      <c r="E122" s="22" t="n"/>
      <c r="F122" s="22" t="n"/>
      <c r="G122" s="20" t="n"/>
      <c r="H122" s="11">
        <f>IF(B122="","",IF(E122&lt;&gt;"","Sent","To send"))</f>
        <v/>
      </c>
      <c r="I122" s="1" t="n"/>
    </row>
    <row r="123">
      <c r="A123" s="1" t="n"/>
      <c r="B123" s="19" t="n"/>
      <c r="C123" s="20" t="n"/>
      <c r="D123" s="20" t="n"/>
      <c r="E123" s="22" t="n"/>
      <c r="F123" s="22" t="n"/>
      <c r="G123" s="20" t="n"/>
      <c r="H123" s="11">
        <f>IF(B123="","",IF(E123&lt;&gt;"","Sent","To send"))</f>
        <v/>
      </c>
      <c r="I123" s="1" t="n"/>
    </row>
    <row r="124">
      <c r="A124" s="1" t="n"/>
      <c r="B124" s="19" t="n"/>
      <c r="C124" s="20" t="n"/>
      <c r="D124" s="20" t="n"/>
      <c r="E124" s="22" t="n"/>
      <c r="F124" s="22" t="n"/>
      <c r="G124" s="20" t="n"/>
      <c r="H124" s="11">
        <f>IF(B124="","",IF(E124&lt;&gt;"","Sent","To send"))</f>
        <v/>
      </c>
      <c r="I124" s="1" t="n"/>
    </row>
    <row r="125">
      <c r="A125" s="1" t="n"/>
      <c r="B125" s="19" t="n"/>
      <c r="C125" s="20" t="n"/>
      <c r="D125" s="20" t="n"/>
      <c r="E125" s="22" t="n"/>
      <c r="F125" s="22" t="n"/>
      <c r="G125" s="20" t="n"/>
      <c r="H125" s="11">
        <f>IF(B125="","",IF(E125&lt;&gt;"","Sent","To send"))</f>
        <v/>
      </c>
      <c r="I125" s="1" t="n"/>
    </row>
    <row r="126">
      <c r="A126" s="1" t="n"/>
      <c r="B126" s="19" t="n"/>
      <c r="C126" s="20" t="n"/>
      <c r="D126" s="20" t="n"/>
      <c r="E126" s="22" t="n"/>
      <c r="F126" s="22" t="n"/>
      <c r="G126" s="20" t="n"/>
      <c r="H126" s="11">
        <f>IF(B126="","",IF(E126&lt;&gt;"","Sent","To send"))</f>
        <v/>
      </c>
      <c r="I126" s="1" t="n"/>
    </row>
    <row r="127">
      <c r="A127" s="1" t="n"/>
      <c r="B127" s="19" t="n"/>
      <c r="C127" s="20" t="n"/>
      <c r="D127" s="20" t="n"/>
      <c r="E127" s="22" t="n"/>
      <c r="F127" s="22" t="n"/>
      <c r="G127" s="20" t="n"/>
      <c r="H127" s="11">
        <f>IF(B127="","",IF(E127&lt;&gt;"","Sent","To send"))</f>
        <v/>
      </c>
      <c r="I127" s="1" t="n"/>
    </row>
    <row r="128">
      <c r="A128" s="1" t="n"/>
      <c r="B128" s="19" t="n"/>
      <c r="C128" s="20" t="n"/>
      <c r="D128" s="20" t="n"/>
      <c r="E128" s="22" t="n"/>
      <c r="F128" s="22" t="n"/>
      <c r="G128" s="20" t="n"/>
      <c r="H128" s="11">
        <f>IF(B128="","",IF(E128&lt;&gt;"","Sent","To send"))</f>
        <v/>
      </c>
      <c r="I128" s="1" t="n"/>
    </row>
    <row r="129">
      <c r="A129" s="1" t="n"/>
      <c r="B129" s="19" t="n"/>
      <c r="C129" s="20" t="n"/>
      <c r="D129" s="20" t="n"/>
      <c r="E129" s="22" t="n"/>
      <c r="F129" s="22" t="n"/>
      <c r="G129" s="20" t="n"/>
      <c r="H129" s="11">
        <f>IF(B129="","",IF(E129&lt;&gt;"","Sent","To send"))</f>
        <v/>
      </c>
      <c r="I129" s="1" t="n"/>
    </row>
    <row r="130">
      <c r="A130" s="1" t="n"/>
      <c r="B130" s="19" t="n"/>
      <c r="C130" s="20" t="n"/>
      <c r="D130" s="20" t="n"/>
      <c r="E130" s="22" t="n"/>
      <c r="F130" s="22" t="n"/>
      <c r="G130" s="20" t="n"/>
      <c r="H130" s="11">
        <f>IF(B130="","",IF(E130&lt;&gt;"","Sent","To send"))</f>
        <v/>
      </c>
      <c r="I130" s="1" t="n"/>
    </row>
    <row r="131">
      <c r="A131" s="1" t="n"/>
      <c r="B131" s="19" t="n"/>
      <c r="C131" s="20" t="n"/>
      <c r="D131" s="20" t="n"/>
      <c r="E131" s="22" t="n"/>
      <c r="F131" s="22" t="n"/>
      <c r="G131" s="20" t="n"/>
      <c r="H131" s="11">
        <f>IF(B131="","",IF(E131&lt;&gt;"","Sent","To send"))</f>
        <v/>
      </c>
      <c r="I131" s="1" t="n"/>
    </row>
    <row r="132">
      <c r="A132" s="1" t="n"/>
      <c r="B132" s="19" t="n"/>
      <c r="C132" s="20" t="n"/>
      <c r="D132" s="20" t="n"/>
      <c r="E132" s="22" t="n"/>
      <c r="F132" s="22" t="n"/>
      <c r="G132" s="20" t="n"/>
      <c r="H132" s="11">
        <f>IF(B132="","",IF(E132&lt;&gt;"","Sent","To send"))</f>
        <v/>
      </c>
      <c r="I132" s="1" t="n"/>
    </row>
    <row r="133">
      <c r="A133" s="1" t="n"/>
      <c r="B133" s="19" t="n"/>
      <c r="C133" s="20" t="n"/>
      <c r="D133" s="20" t="n"/>
      <c r="E133" s="22" t="n"/>
      <c r="F133" s="22" t="n"/>
      <c r="G133" s="20" t="n"/>
      <c r="H133" s="11">
        <f>IF(B133="","",IF(E133&lt;&gt;"","Sent","To send"))</f>
        <v/>
      </c>
      <c r="I133" s="1" t="n"/>
    </row>
    <row r="134">
      <c r="A134" s="1" t="n"/>
      <c r="B134" s="19" t="n"/>
      <c r="C134" s="20" t="n"/>
      <c r="D134" s="20" t="n"/>
      <c r="E134" s="22" t="n"/>
      <c r="F134" s="22" t="n"/>
      <c r="G134" s="20" t="n"/>
      <c r="H134" s="11">
        <f>IF(B134="","",IF(E134&lt;&gt;"","Sent","To send"))</f>
        <v/>
      </c>
      <c r="I134" s="1" t="n"/>
    </row>
    <row r="135">
      <c r="A135" s="1" t="n"/>
      <c r="B135" s="19" t="n"/>
      <c r="C135" s="20" t="n"/>
      <c r="D135" s="20" t="n"/>
      <c r="E135" s="22" t="n"/>
      <c r="F135" s="22" t="n"/>
      <c r="G135" s="20" t="n"/>
      <c r="H135" s="11">
        <f>IF(B135="","",IF(E135&lt;&gt;"","Sent","To send"))</f>
        <v/>
      </c>
      <c r="I135" s="1" t="n"/>
    </row>
    <row r="136">
      <c r="A136" s="1" t="n"/>
      <c r="B136" s="19" t="n"/>
      <c r="C136" s="20" t="n"/>
      <c r="D136" s="20" t="n"/>
      <c r="E136" s="22" t="n"/>
      <c r="F136" s="22" t="n"/>
      <c r="G136" s="20" t="n"/>
      <c r="H136" s="11">
        <f>IF(B136="","",IF(E136&lt;&gt;"","Sent","To send"))</f>
        <v/>
      </c>
      <c r="I136" s="1" t="n"/>
    </row>
    <row r="137">
      <c r="A137" s="1" t="n"/>
      <c r="B137" s="19" t="n"/>
      <c r="C137" s="20" t="n"/>
      <c r="D137" s="20" t="n"/>
      <c r="E137" s="22" t="n"/>
      <c r="F137" s="22" t="n"/>
      <c r="G137" s="20" t="n"/>
      <c r="H137" s="11">
        <f>IF(B137="","",IF(E137&lt;&gt;"","Sent","To send"))</f>
        <v/>
      </c>
      <c r="I137" s="1" t="n"/>
    </row>
    <row r="138">
      <c r="A138" s="1" t="n"/>
      <c r="B138" s="19" t="n"/>
      <c r="C138" s="20" t="n"/>
      <c r="D138" s="20" t="n"/>
      <c r="E138" s="22" t="n"/>
      <c r="F138" s="22" t="n"/>
      <c r="G138" s="20" t="n"/>
      <c r="H138" s="11">
        <f>IF(B138="","",IF(E138&lt;&gt;"","Sent","To send"))</f>
        <v/>
      </c>
      <c r="I138" s="1" t="n"/>
    </row>
    <row r="139">
      <c r="A139" s="1" t="n"/>
      <c r="B139" s="19" t="n"/>
      <c r="C139" s="20" t="n"/>
      <c r="D139" s="20" t="n"/>
      <c r="E139" s="22" t="n"/>
      <c r="F139" s="22" t="n"/>
      <c r="G139" s="20" t="n"/>
      <c r="H139" s="11">
        <f>IF(B139="","",IF(E139&lt;&gt;"","Sent","To send"))</f>
        <v/>
      </c>
      <c r="I139" s="1" t="n"/>
    </row>
    <row r="140">
      <c r="A140" s="1" t="n"/>
      <c r="B140" s="19" t="n"/>
      <c r="C140" s="20" t="n"/>
      <c r="D140" s="20" t="n"/>
      <c r="E140" s="22" t="n"/>
      <c r="F140" s="22" t="n"/>
      <c r="G140" s="20" t="n"/>
      <c r="H140" s="11">
        <f>IF(B140="","",IF(E140&lt;&gt;"","Sent","To send"))</f>
        <v/>
      </c>
      <c r="I140" s="1" t="n"/>
    </row>
    <row r="141">
      <c r="A141" s="1" t="n"/>
      <c r="B141" s="19" t="n"/>
      <c r="C141" s="20" t="n"/>
      <c r="D141" s="20" t="n"/>
      <c r="E141" s="22" t="n"/>
      <c r="F141" s="22" t="n"/>
      <c r="G141" s="20" t="n"/>
      <c r="H141" s="11">
        <f>IF(B141="","",IF(E141&lt;&gt;"","Sent","To send"))</f>
        <v/>
      </c>
      <c r="I141" s="1" t="n"/>
    </row>
    <row r="142">
      <c r="A142" s="1" t="n"/>
      <c r="B142" s="19" t="n"/>
      <c r="C142" s="20" t="n"/>
      <c r="D142" s="20" t="n"/>
      <c r="E142" s="22" t="n"/>
      <c r="F142" s="22" t="n"/>
      <c r="G142" s="20" t="n"/>
      <c r="H142" s="11">
        <f>IF(B142="","",IF(E142&lt;&gt;"","Sent","To send"))</f>
        <v/>
      </c>
      <c r="I142" s="1" t="n"/>
    </row>
    <row r="143">
      <c r="A143" s="1" t="n"/>
      <c r="B143" s="19" t="n"/>
      <c r="C143" s="20" t="n"/>
      <c r="D143" s="20" t="n"/>
      <c r="E143" s="22" t="n"/>
      <c r="F143" s="22" t="n"/>
      <c r="G143" s="20" t="n"/>
      <c r="H143" s="11">
        <f>IF(B143="","",IF(E143&lt;&gt;"","Sent","To send"))</f>
        <v/>
      </c>
      <c r="I143" s="1" t="n"/>
    </row>
    <row r="144">
      <c r="A144" s="1" t="n"/>
      <c r="B144" s="19" t="n"/>
      <c r="C144" s="20" t="n"/>
      <c r="D144" s="20" t="n"/>
      <c r="E144" s="22" t="n"/>
      <c r="F144" s="22" t="n"/>
      <c r="G144" s="20" t="n"/>
      <c r="H144" s="11">
        <f>IF(B144="","",IF(E144&lt;&gt;"","Sent","To send"))</f>
        <v/>
      </c>
      <c r="I144" s="1" t="n"/>
    </row>
    <row r="145">
      <c r="A145" s="1" t="n"/>
      <c r="B145" s="19" t="n"/>
      <c r="C145" s="20" t="n"/>
      <c r="D145" s="20" t="n"/>
      <c r="E145" s="22" t="n"/>
      <c r="F145" s="22" t="n"/>
      <c r="G145" s="20" t="n"/>
      <c r="H145" s="11">
        <f>IF(B145="","",IF(E145&lt;&gt;"","Sent","To send"))</f>
        <v/>
      </c>
      <c r="I145" s="1" t="n"/>
    </row>
    <row r="146">
      <c r="A146" s="1" t="n"/>
      <c r="B146" s="19" t="n"/>
      <c r="C146" s="20" t="n"/>
      <c r="D146" s="20" t="n"/>
      <c r="E146" s="22" t="n"/>
      <c r="F146" s="22" t="n"/>
      <c r="G146" s="20" t="n"/>
      <c r="H146" s="11">
        <f>IF(B146="","",IF(E146&lt;&gt;"","Sent","To send"))</f>
        <v/>
      </c>
      <c r="I146" s="1" t="n"/>
    </row>
    <row r="147">
      <c r="A147" s="1" t="n"/>
      <c r="B147" s="19" t="n"/>
      <c r="C147" s="20" t="n"/>
      <c r="D147" s="20" t="n"/>
      <c r="E147" s="22" t="n"/>
      <c r="F147" s="22" t="n"/>
      <c r="G147" s="20" t="n"/>
      <c r="H147" s="11">
        <f>IF(B147="","",IF(E147&lt;&gt;"","Sent","To send"))</f>
        <v/>
      </c>
      <c r="I147" s="1" t="n"/>
    </row>
    <row r="148">
      <c r="A148" s="1" t="n"/>
      <c r="B148" s="19" t="n"/>
      <c r="C148" s="20" t="n"/>
      <c r="D148" s="20" t="n"/>
      <c r="E148" s="22" t="n"/>
      <c r="F148" s="22" t="n"/>
      <c r="G148" s="20" t="n"/>
      <c r="H148" s="11">
        <f>IF(B148="","",IF(E148&lt;&gt;"","Sent","To send"))</f>
        <v/>
      </c>
      <c r="I148" s="1" t="n"/>
    </row>
    <row r="149">
      <c r="A149" s="1" t="n"/>
      <c r="B149" s="19" t="n"/>
      <c r="C149" s="20" t="n"/>
      <c r="D149" s="20" t="n"/>
      <c r="E149" s="22" t="n"/>
      <c r="F149" s="22" t="n"/>
      <c r="G149" s="20" t="n"/>
      <c r="H149" s="11">
        <f>IF(B149="","",IF(E149&lt;&gt;"","Sent","To send"))</f>
        <v/>
      </c>
      <c r="I149" s="1" t="n"/>
    </row>
    <row r="150">
      <c r="A150" s="1" t="n"/>
      <c r="B150" s="19" t="n"/>
      <c r="C150" s="20" t="n"/>
      <c r="D150" s="20" t="n"/>
      <c r="E150" s="22" t="n"/>
      <c r="F150" s="22" t="n"/>
      <c r="G150" s="20" t="n"/>
      <c r="H150" s="11">
        <f>IF(B150="","",IF(E150&lt;&gt;"","Sent","To send"))</f>
        <v/>
      </c>
      <c r="I150" s="1" t="n"/>
    </row>
    <row r="151">
      <c r="A151" s="1" t="n"/>
      <c r="B151" s="19" t="n"/>
      <c r="C151" s="20" t="n"/>
      <c r="D151" s="20" t="n"/>
      <c r="E151" s="22" t="n"/>
      <c r="F151" s="22" t="n"/>
      <c r="G151" s="20" t="n"/>
      <c r="H151" s="11">
        <f>IF(B151="","",IF(E151&lt;&gt;"","Sent","To send"))</f>
        <v/>
      </c>
      <c r="I151" s="1" t="n"/>
    </row>
    <row r="152">
      <c r="A152" s="1" t="n"/>
      <c r="B152" s="19" t="n"/>
      <c r="C152" s="20" t="n"/>
      <c r="D152" s="20" t="n"/>
      <c r="E152" s="22" t="n"/>
      <c r="F152" s="22" t="n"/>
      <c r="G152" s="20" t="n"/>
      <c r="H152" s="11">
        <f>IF(B152="","",IF(E152&lt;&gt;"","Sent","To send"))</f>
        <v/>
      </c>
      <c r="I152" s="1" t="n"/>
    </row>
    <row r="153">
      <c r="A153" s="1" t="n"/>
      <c r="B153" s="19" t="n"/>
      <c r="C153" s="20" t="n"/>
      <c r="D153" s="20" t="n"/>
      <c r="E153" s="22" t="n"/>
      <c r="F153" s="22" t="n"/>
      <c r="G153" s="20" t="n"/>
      <c r="H153" s="11">
        <f>IF(B153="","",IF(E153&lt;&gt;"","Sent","To send"))</f>
        <v/>
      </c>
      <c r="I153" s="1" t="n"/>
    </row>
    <row r="154">
      <c r="A154" s="1" t="n"/>
      <c r="B154" s="19" t="n"/>
      <c r="C154" s="20" t="n"/>
      <c r="D154" s="20" t="n"/>
      <c r="E154" s="22" t="n"/>
      <c r="F154" s="22" t="n"/>
      <c r="G154" s="20" t="n"/>
      <c r="H154" s="11">
        <f>IF(B154="","",IF(E154&lt;&gt;"","Sent","To send"))</f>
        <v/>
      </c>
      <c r="I154" s="1" t="n"/>
    </row>
    <row r="155">
      <c r="A155" s="1" t="n"/>
      <c r="B155" s="19" t="n"/>
      <c r="C155" s="20" t="n"/>
      <c r="D155" s="20" t="n"/>
      <c r="E155" s="22" t="n"/>
      <c r="F155" s="22" t="n"/>
      <c r="G155" s="20" t="n"/>
      <c r="H155" s="11">
        <f>IF(B155="","",IF(E155&lt;&gt;"","Sent","To send"))</f>
        <v/>
      </c>
      <c r="I155" s="1" t="n"/>
    </row>
    <row r="156">
      <c r="A156" s="1" t="n"/>
      <c r="B156" s="19" t="n"/>
      <c r="C156" s="20" t="n"/>
      <c r="D156" s="20" t="n"/>
      <c r="E156" s="22" t="n"/>
      <c r="F156" s="22" t="n"/>
      <c r="G156" s="20" t="n"/>
      <c r="H156" s="11">
        <f>IF(B156="","",IF(E156&lt;&gt;"","Sent","To send"))</f>
        <v/>
      </c>
      <c r="I156" s="1" t="n"/>
    </row>
    <row r="157">
      <c r="A157" s="1" t="n"/>
      <c r="B157" s="19" t="n"/>
      <c r="C157" s="20" t="n"/>
      <c r="D157" s="20" t="n"/>
      <c r="E157" s="22" t="n"/>
      <c r="F157" s="22" t="n"/>
      <c r="G157" s="20" t="n"/>
      <c r="H157" s="11">
        <f>IF(B157="","",IF(E157&lt;&gt;"","Sent","To send"))</f>
        <v/>
      </c>
      <c r="I157" s="1" t="n"/>
    </row>
    <row r="158">
      <c r="A158" s="1" t="n"/>
      <c r="B158" s="19" t="n"/>
      <c r="C158" s="20" t="n"/>
      <c r="D158" s="20" t="n"/>
      <c r="E158" s="22" t="n"/>
      <c r="F158" s="22" t="n"/>
      <c r="G158" s="20" t="n"/>
      <c r="H158" s="11">
        <f>IF(B158="","",IF(E158&lt;&gt;"","Sent","To send"))</f>
        <v/>
      </c>
      <c r="I158" s="1" t="n"/>
    </row>
    <row r="159">
      <c r="A159" s="1" t="n"/>
      <c r="B159" s="19" t="n"/>
      <c r="C159" s="20" t="n"/>
      <c r="D159" s="20" t="n"/>
      <c r="E159" s="22" t="n"/>
      <c r="F159" s="22" t="n"/>
      <c r="G159" s="20" t="n"/>
      <c r="H159" s="11">
        <f>IF(B159="","",IF(E159&lt;&gt;"","Sent","To send"))</f>
        <v/>
      </c>
      <c r="I159" s="1" t="n"/>
    </row>
    <row r="160">
      <c r="A160" s="1" t="n"/>
      <c r="B160" s="19" t="n"/>
      <c r="C160" s="20" t="n"/>
      <c r="D160" s="20" t="n"/>
      <c r="E160" s="22" t="n"/>
      <c r="F160" s="22" t="n"/>
      <c r="G160" s="20" t="n"/>
      <c r="H160" s="11">
        <f>IF(B160="","",IF(E160&lt;&gt;"","Sent","To send"))</f>
        <v/>
      </c>
      <c r="I160" s="1" t="n"/>
    </row>
    <row r="161">
      <c r="A161" s="1" t="n"/>
      <c r="B161" s="19" t="n"/>
      <c r="C161" s="20" t="n"/>
      <c r="D161" s="20" t="n"/>
      <c r="E161" s="22" t="n"/>
      <c r="F161" s="22" t="n"/>
      <c r="G161" s="20" t="n"/>
      <c r="H161" s="11">
        <f>IF(B161="","",IF(E161&lt;&gt;"","Sent","To send"))</f>
        <v/>
      </c>
      <c r="I161" s="1" t="n"/>
    </row>
    <row r="162">
      <c r="A162" s="1" t="n"/>
      <c r="B162" s="19" t="n"/>
      <c r="C162" s="20" t="n"/>
      <c r="D162" s="20" t="n"/>
      <c r="E162" s="22" t="n"/>
      <c r="F162" s="22" t="n"/>
      <c r="G162" s="20" t="n"/>
      <c r="H162" s="11">
        <f>IF(B162="","",IF(E162&lt;&gt;"","Sent","To send"))</f>
        <v/>
      </c>
      <c r="I162" s="1" t="n"/>
    </row>
    <row r="163">
      <c r="A163" s="1" t="n"/>
      <c r="B163" s="19" t="n"/>
      <c r="C163" s="20" t="n"/>
      <c r="D163" s="20" t="n"/>
      <c r="E163" s="22" t="n"/>
      <c r="F163" s="22" t="n"/>
      <c r="G163" s="20" t="n"/>
      <c r="H163" s="11">
        <f>IF(B163="","",IF(E163&lt;&gt;"","Sent","To send"))</f>
        <v/>
      </c>
      <c r="I163" s="1" t="n"/>
    </row>
    <row r="164">
      <c r="A164" s="1" t="n"/>
      <c r="B164" s="19" t="n"/>
      <c r="C164" s="20" t="n"/>
      <c r="D164" s="20" t="n"/>
      <c r="E164" s="22" t="n"/>
      <c r="F164" s="22" t="n"/>
      <c r="G164" s="20" t="n"/>
      <c r="H164" s="11">
        <f>IF(B164="","",IF(E164&lt;&gt;"","Sent","To send"))</f>
        <v/>
      </c>
      <c r="I164" s="1" t="n"/>
    </row>
    <row r="165">
      <c r="A165" s="1" t="n"/>
      <c r="B165" s="19" t="n"/>
      <c r="C165" s="20" t="n"/>
      <c r="D165" s="20" t="n"/>
      <c r="E165" s="22" t="n"/>
      <c r="F165" s="22" t="n"/>
      <c r="G165" s="20" t="n"/>
      <c r="H165" s="11">
        <f>IF(B165="","",IF(E165&lt;&gt;"","Sent","To send"))</f>
        <v/>
      </c>
      <c r="I165" s="1" t="n"/>
    </row>
    <row r="166">
      <c r="A166" s="1" t="n"/>
      <c r="B166" s="19" t="n"/>
      <c r="C166" s="20" t="n"/>
      <c r="D166" s="20" t="n"/>
      <c r="E166" s="22" t="n"/>
      <c r="F166" s="22" t="n"/>
      <c r="G166" s="20" t="n"/>
      <c r="H166" s="11">
        <f>IF(B166="","",IF(E166&lt;&gt;"","Sent","To send"))</f>
        <v/>
      </c>
      <c r="I166" s="1" t="n"/>
    </row>
    <row r="167">
      <c r="A167" s="1" t="n"/>
      <c r="B167" s="19" t="n"/>
      <c r="C167" s="20" t="n"/>
      <c r="D167" s="20" t="n"/>
      <c r="E167" s="22" t="n"/>
      <c r="F167" s="22" t="n"/>
      <c r="G167" s="20" t="n"/>
      <c r="H167" s="11">
        <f>IF(B167="","",IF(E167&lt;&gt;"","Sent","To send"))</f>
        <v/>
      </c>
      <c r="I167" s="1" t="n"/>
    </row>
    <row r="168">
      <c r="A168" s="1" t="n"/>
      <c r="B168" s="19" t="n"/>
      <c r="C168" s="20" t="n"/>
      <c r="D168" s="20" t="n"/>
      <c r="E168" s="22" t="n"/>
      <c r="F168" s="22" t="n"/>
      <c r="G168" s="20" t="n"/>
      <c r="H168" s="11">
        <f>IF(B168="","",IF(E168&lt;&gt;"","Sent","To send"))</f>
        <v/>
      </c>
      <c r="I168" s="1" t="n"/>
    </row>
    <row r="169">
      <c r="A169" s="1" t="n"/>
      <c r="B169" s="19" t="n"/>
      <c r="C169" s="20" t="n"/>
      <c r="D169" s="20" t="n"/>
      <c r="E169" s="22" t="n"/>
      <c r="F169" s="22" t="n"/>
      <c r="G169" s="20" t="n"/>
      <c r="H169" s="11">
        <f>IF(B169="","",IF(E169&lt;&gt;"","Sent","To send"))</f>
        <v/>
      </c>
      <c r="I169" s="1" t="n"/>
    </row>
    <row r="170">
      <c r="A170" s="1" t="n"/>
      <c r="B170" s="19" t="n"/>
      <c r="C170" s="20" t="n"/>
      <c r="D170" s="20" t="n"/>
      <c r="E170" s="22" t="n"/>
      <c r="F170" s="22" t="n"/>
      <c r="G170" s="20" t="n"/>
      <c r="H170" s="11">
        <f>IF(B170="","",IF(E170&lt;&gt;"","Sent","To send"))</f>
        <v/>
      </c>
      <c r="I170" s="1" t="n"/>
    </row>
    <row r="171">
      <c r="A171" s="1" t="n"/>
      <c r="B171" s="19" t="n"/>
      <c r="C171" s="20" t="n"/>
      <c r="D171" s="20" t="n"/>
      <c r="E171" s="22" t="n"/>
      <c r="F171" s="22" t="n"/>
      <c r="G171" s="20" t="n"/>
      <c r="H171" s="11">
        <f>IF(B171="","",IF(E171&lt;&gt;"","Sent","To send"))</f>
        <v/>
      </c>
      <c r="I171" s="1" t="n"/>
    </row>
    <row r="172">
      <c r="A172" s="1" t="n"/>
      <c r="B172" s="19" t="n"/>
      <c r="C172" s="20" t="n"/>
      <c r="D172" s="20" t="n"/>
      <c r="E172" s="22" t="n"/>
      <c r="F172" s="22" t="n"/>
      <c r="G172" s="20" t="n"/>
      <c r="H172" s="11">
        <f>IF(B172="","",IF(E172&lt;&gt;"","Sent","To send"))</f>
        <v/>
      </c>
      <c r="I172" s="1" t="n"/>
    </row>
    <row r="173">
      <c r="A173" s="1" t="n"/>
      <c r="B173" s="19" t="n"/>
      <c r="C173" s="20" t="n"/>
      <c r="D173" s="20" t="n"/>
      <c r="E173" s="22" t="n"/>
      <c r="F173" s="22" t="n"/>
      <c r="G173" s="20" t="n"/>
      <c r="H173" s="11">
        <f>IF(B173="","",IF(E173&lt;&gt;"","Sent","To send"))</f>
        <v/>
      </c>
      <c r="I173" s="1" t="n"/>
    </row>
    <row r="174">
      <c r="A174" s="1" t="n"/>
      <c r="B174" s="19" t="n"/>
      <c r="C174" s="20" t="n"/>
      <c r="D174" s="20" t="n"/>
      <c r="E174" s="22" t="n"/>
      <c r="F174" s="22" t="n"/>
      <c r="G174" s="20" t="n"/>
      <c r="H174" s="11">
        <f>IF(B174="","",IF(E174&lt;&gt;"","Sent","To send"))</f>
        <v/>
      </c>
      <c r="I174" s="1" t="n"/>
    </row>
    <row r="175">
      <c r="A175" s="1" t="n"/>
      <c r="B175" s="19" t="n"/>
      <c r="C175" s="20" t="n"/>
      <c r="D175" s="20" t="n"/>
      <c r="E175" s="22" t="n"/>
      <c r="F175" s="22" t="n"/>
      <c r="G175" s="20" t="n"/>
      <c r="H175" s="11">
        <f>IF(B175="","",IF(E175&lt;&gt;"","Sent","To send"))</f>
        <v/>
      </c>
      <c r="I175" s="1" t="n"/>
    </row>
    <row r="176">
      <c r="A176" s="1" t="n"/>
      <c r="B176" s="19" t="n"/>
      <c r="C176" s="20" t="n"/>
      <c r="D176" s="20" t="n"/>
      <c r="E176" s="22" t="n"/>
      <c r="F176" s="22" t="n"/>
      <c r="G176" s="20" t="n"/>
      <c r="H176" s="11">
        <f>IF(B176="","",IF(E176&lt;&gt;"","Sent","To send"))</f>
        <v/>
      </c>
      <c r="I176" s="1" t="n"/>
    </row>
    <row r="177">
      <c r="A177" s="1" t="n"/>
      <c r="B177" s="19" t="n"/>
      <c r="C177" s="20" t="n"/>
      <c r="D177" s="20" t="n"/>
      <c r="E177" s="22" t="n"/>
      <c r="F177" s="22" t="n"/>
      <c r="G177" s="20" t="n"/>
      <c r="H177" s="11">
        <f>IF(B177="","",IF(E177&lt;&gt;"","Sent","To send"))</f>
        <v/>
      </c>
      <c r="I177" s="1" t="n"/>
    </row>
    <row r="178">
      <c r="A178" s="1" t="n"/>
      <c r="B178" s="19" t="n"/>
      <c r="C178" s="20" t="n"/>
      <c r="D178" s="20" t="n"/>
      <c r="E178" s="22" t="n"/>
      <c r="F178" s="22" t="n"/>
      <c r="G178" s="20" t="n"/>
      <c r="H178" s="11">
        <f>IF(B178="","",IF(E178&lt;&gt;"","Sent","To send"))</f>
        <v/>
      </c>
      <c r="I178" s="1" t="n"/>
    </row>
    <row r="179">
      <c r="A179" s="1" t="n"/>
      <c r="B179" s="19" t="n"/>
      <c r="C179" s="20" t="n"/>
      <c r="D179" s="20" t="n"/>
      <c r="E179" s="22" t="n"/>
      <c r="F179" s="22" t="n"/>
      <c r="G179" s="20" t="n"/>
      <c r="H179" s="11">
        <f>IF(B179="","",IF(E179&lt;&gt;"","Sent","To send"))</f>
        <v/>
      </c>
      <c r="I179" s="1" t="n"/>
    </row>
    <row r="180">
      <c r="A180" s="1" t="n"/>
      <c r="B180" s="19" t="n"/>
      <c r="C180" s="20" t="n"/>
      <c r="D180" s="20" t="n"/>
      <c r="E180" s="22" t="n"/>
      <c r="F180" s="22" t="n"/>
      <c r="G180" s="20" t="n"/>
      <c r="H180" s="11">
        <f>IF(B180="","",IF(E180&lt;&gt;"","Sent","To send"))</f>
        <v/>
      </c>
      <c r="I180" s="1" t="n"/>
    </row>
    <row r="181">
      <c r="A181" s="1" t="n"/>
      <c r="B181" s="19" t="n"/>
      <c r="C181" s="20" t="n"/>
      <c r="D181" s="20" t="n"/>
      <c r="E181" s="22" t="n"/>
      <c r="F181" s="22" t="n"/>
      <c r="G181" s="20" t="n"/>
      <c r="H181" s="11">
        <f>IF(B181="","",IF(E181&lt;&gt;"","Sent","To send"))</f>
        <v/>
      </c>
      <c r="I181" s="1" t="n"/>
    </row>
    <row r="182">
      <c r="A182" s="1" t="n"/>
      <c r="B182" s="19" t="n"/>
      <c r="C182" s="20" t="n"/>
      <c r="D182" s="20" t="n"/>
      <c r="E182" s="22" t="n"/>
      <c r="F182" s="22" t="n"/>
      <c r="G182" s="20" t="n"/>
      <c r="H182" s="11">
        <f>IF(B182="","",IF(E182&lt;&gt;"","Sent","To send"))</f>
        <v/>
      </c>
      <c r="I182" s="1" t="n"/>
    </row>
    <row r="183">
      <c r="A183" s="1" t="n"/>
      <c r="B183" s="19" t="n"/>
      <c r="C183" s="20" t="n"/>
      <c r="D183" s="20" t="n"/>
      <c r="E183" s="22" t="n"/>
      <c r="F183" s="22" t="n"/>
      <c r="G183" s="20" t="n"/>
      <c r="H183" s="11">
        <f>IF(B183="","",IF(E183&lt;&gt;"","Sent","To send"))</f>
        <v/>
      </c>
      <c r="I183" s="1" t="n"/>
    </row>
    <row r="184">
      <c r="A184" s="1" t="n"/>
      <c r="B184" s="19" t="n"/>
      <c r="C184" s="20" t="n"/>
      <c r="D184" s="20" t="n"/>
      <c r="E184" s="22" t="n"/>
      <c r="F184" s="22" t="n"/>
      <c r="G184" s="20" t="n"/>
      <c r="H184" s="11">
        <f>IF(B184="","",IF(E184&lt;&gt;"","Sent","To send"))</f>
        <v/>
      </c>
      <c r="I184" s="1" t="n"/>
    </row>
    <row r="185">
      <c r="A185" s="1" t="n"/>
      <c r="B185" s="19" t="n"/>
      <c r="C185" s="20" t="n"/>
      <c r="D185" s="20" t="n"/>
      <c r="E185" s="22" t="n"/>
      <c r="F185" s="22" t="n"/>
      <c r="G185" s="20" t="n"/>
      <c r="H185" s="11">
        <f>IF(B185="","",IF(E185&lt;&gt;"","Sent","To send"))</f>
        <v/>
      </c>
      <c r="I185" s="1" t="n"/>
    </row>
    <row r="186">
      <c r="A186" s="1" t="n"/>
      <c r="B186" s="19" t="n"/>
      <c r="C186" s="20" t="n"/>
      <c r="D186" s="20" t="n"/>
      <c r="E186" s="22" t="n"/>
      <c r="F186" s="22" t="n"/>
      <c r="G186" s="20" t="n"/>
      <c r="H186" s="11">
        <f>IF(B186="","",IF(E186&lt;&gt;"","Sent","To send"))</f>
        <v/>
      </c>
      <c r="I186" s="1" t="n"/>
    </row>
    <row r="187">
      <c r="A187" s="1" t="n"/>
      <c r="B187" s="19" t="n"/>
      <c r="C187" s="20" t="n"/>
      <c r="D187" s="20" t="n"/>
      <c r="E187" s="22" t="n"/>
      <c r="F187" s="22" t="n"/>
      <c r="G187" s="20" t="n"/>
      <c r="H187" s="11">
        <f>IF(B187="","",IF(E187&lt;&gt;"","Sent","To send"))</f>
        <v/>
      </c>
      <c r="I187" s="1" t="n"/>
    </row>
    <row r="188">
      <c r="A188" s="1" t="n"/>
      <c r="B188" s="19" t="n"/>
      <c r="C188" s="20" t="n"/>
      <c r="D188" s="20" t="n"/>
      <c r="E188" s="22" t="n"/>
      <c r="F188" s="22" t="n"/>
      <c r="G188" s="20" t="n"/>
      <c r="H188" s="11">
        <f>IF(B188="","",IF(E188&lt;&gt;"","Sent","To send"))</f>
        <v/>
      </c>
      <c r="I188" s="1" t="n"/>
    </row>
    <row r="189">
      <c r="A189" s="1" t="n"/>
      <c r="B189" s="19" t="n"/>
      <c r="C189" s="20" t="n"/>
      <c r="D189" s="20" t="n"/>
      <c r="E189" s="22" t="n"/>
      <c r="F189" s="22" t="n"/>
      <c r="G189" s="20" t="n"/>
      <c r="H189" s="11">
        <f>IF(B189="","",IF(E189&lt;&gt;"","Sent","To send"))</f>
        <v/>
      </c>
      <c r="I189" s="1" t="n"/>
    </row>
    <row r="190">
      <c r="A190" s="1" t="n"/>
      <c r="B190" s="19" t="n"/>
      <c r="C190" s="20" t="n"/>
      <c r="D190" s="20" t="n"/>
      <c r="E190" s="22" t="n"/>
      <c r="F190" s="22" t="n"/>
      <c r="G190" s="20" t="n"/>
      <c r="H190" s="11">
        <f>IF(B190="","",IF(E190&lt;&gt;"","Sent","To send"))</f>
        <v/>
      </c>
      <c r="I190" s="1" t="n"/>
    </row>
    <row r="191">
      <c r="A191" s="1" t="n"/>
      <c r="B191" s="19" t="n"/>
      <c r="C191" s="20" t="n"/>
      <c r="D191" s="20" t="n"/>
      <c r="E191" s="22" t="n"/>
      <c r="F191" s="22" t="n"/>
      <c r="G191" s="20" t="n"/>
      <c r="H191" s="11">
        <f>IF(B191="","",IF(E191&lt;&gt;"","Sent","To send"))</f>
        <v/>
      </c>
      <c r="I191" s="1" t="n"/>
    </row>
    <row r="192">
      <c r="A192" s="1" t="n"/>
      <c r="B192" s="19" t="n"/>
      <c r="C192" s="20" t="n"/>
      <c r="D192" s="20" t="n"/>
      <c r="E192" s="22" t="n"/>
      <c r="F192" s="22" t="n"/>
      <c r="G192" s="20" t="n"/>
      <c r="H192" s="11">
        <f>IF(B192="","",IF(E192&lt;&gt;"","Sent","To send"))</f>
        <v/>
      </c>
      <c r="I192" s="1" t="n"/>
    </row>
    <row r="193">
      <c r="A193" s="1" t="n"/>
      <c r="B193" s="19" t="n"/>
      <c r="C193" s="20" t="n"/>
      <c r="D193" s="20" t="n"/>
      <c r="E193" s="22" t="n"/>
      <c r="F193" s="22" t="n"/>
      <c r="G193" s="20" t="n"/>
      <c r="H193" s="11">
        <f>IF(B193="","",IF(E193&lt;&gt;"","Sent","To send"))</f>
        <v/>
      </c>
      <c r="I193" s="1" t="n"/>
    </row>
    <row r="194">
      <c r="A194" s="1" t="n"/>
      <c r="B194" s="19" t="n"/>
      <c r="C194" s="20" t="n"/>
      <c r="D194" s="20" t="n"/>
      <c r="E194" s="22" t="n"/>
      <c r="F194" s="22" t="n"/>
      <c r="G194" s="20" t="n"/>
      <c r="H194" s="11">
        <f>IF(B194="","",IF(E194&lt;&gt;"","Sent","To send"))</f>
        <v/>
      </c>
      <c r="I194" s="1" t="n"/>
    </row>
    <row r="195">
      <c r="A195" s="1" t="n"/>
      <c r="B195" s="19" t="n"/>
      <c r="C195" s="20" t="n"/>
      <c r="D195" s="20" t="n"/>
      <c r="E195" s="22" t="n"/>
      <c r="F195" s="22" t="n"/>
      <c r="G195" s="20" t="n"/>
      <c r="H195" s="11">
        <f>IF(B195="","",IF(E195&lt;&gt;"","Sent","To send"))</f>
        <v/>
      </c>
      <c r="I195" s="1" t="n"/>
    </row>
    <row r="196">
      <c r="A196" s="1" t="n"/>
      <c r="B196" s="19" t="n"/>
      <c r="C196" s="20" t="n"/>
      <c r="D196" s="20" t="n"/>
      <c r="E196" s="22" t="n"/>
      <c r="F196" s="22" t="n"/>
      <c r="G196" s="20" t="n"/>
      <c r="H196" s="11">
        <f>IF(B196="","",IF(E196&lt;&gt;"","Sent","To send"))</f>
        <v/>
      </c>
      <c r="I196" s="1" t="n"/>
    </row>
    <row r="197">
      <c r="A197" s="1" t="n"/>
      <c r="B197" s="19" t="n"/>
      <c r="C197" s="20" t="n"/>
      <c r="D197" s="20" t="n"/>
      <c r="E197" s="22" t="n"/>
      <c r="F197" s="22" t="n"/>
      <c r="G197" s="20" t="n"/>
      <c r="H197" s="11">
        <f>IF(B197="","",IF(E197&lt;&gt;"","Sent","To send"))</f>
        <v/>
      </c>
      <c r="I197" s="1" t="n"/>
    </row>
    <row r="198">
      <c r="A198" s="1" t="n"/>
      <c r="B198" s="19" t="n"/>
      <c r="C198" s="20" t="n"/>
      <c r="D198" s="20" t="n"/>
      <c r="E198" s="22" t="n"/>
      <c r="F198" s="22" t="n"/>
      <c r="G198" s="20" t="n"/>
      <c r="H198" s="11">
        <f>IF(B198="","",IF(E198&lt;&gt;"","Sent","To send"))</f>
        <v/>
      </c>
      <c r="I198" s="1" t="n"/>
    </row>
    <row r="199">
      <c r="A199" s="1" t="n"/>
      <c r="B199" s="19" t="n"/>
      <c r="C199" s="20" t="n"/>
      <c r="D199" s="20" t="n"/>
      <c r="E199" s="22" t="n"/>
      <c r="F199" s="22" t="n"/>
      <c r="G199" s="20" t="n"/>
      <c r="H199" s="11">
        <f>IF(B199="","",IF(E199&lt;&gt;"","Sent","To send"))</f>
        <v/>
      </c>
      <c r="I199" s="1" t="n"/>
    </row>
    <row r="200">
      <c r="A200" s="1" t="n"/>
      <c r="B200" s="19" t="n"/>
      <c r="C200" s="20" t="n"/>
      <c r="D200" s="20" t="n"/>
      <c r="E200" s="22" t="n"/>
      <c r="F200" s="22" t="n"/>
      <c r="G200" s="20" t="n"/>
      <c r="H200" s="11">
        <f>IF(B200="","",IF(E200&lt;&gt;"","Sent","To send"))</f>
        <v/>
      </c>
      <c r="I200" s="1" t="n"/>
    </row>
    <row r="201">
      <c r="A201" s="1" t="n"/>
      <c r="B201" s="19" t="n"/>
      <c r="C201" s="20" t="n"/>
      <c r="D201" s="20" t="n"/>
      <c r="E201" s="22" t="n"/>
      <c r="F201" s="22" t="n"/>
      <c r="G201" s="20" t="n"/>
      <c r="H201" s="11">
        <f>IF(B201="","",IF(E201&lt;&gt;"","Sent","To send"))</f>
        <v/>
      </c>
      <c r="I201" s="1" t="n"/>
    </row>
    <row r="202">
      <c r="A202" s="1" t="n"/>
      <c r="B202" s="19" t="n"/>
      <c r="C202" s="20" t="n"/>
      <c r="D202" s="20" t="n"/>
      <c r="E202" s="22" t="n"/>
      <c r="F202" s="22" t="n"/>
      <c r="G202" s="20" t="n"/>
      <c r="H202" s="11">
        <f>IF(B202="","",IF(E202&lt;&gt;"","Sent","To send"))</f>
        <v/>
      </c>
      <c r="I202" s="1" t="n"/>
    </row>
    <row r="203">
      <c r="A203" s="1" t="n"/>
      <c r="B203" s="19" t="n"/>
      <c r="C203" s="20" t="n"/>
      <c r="D203" s="20" t="n"/>
      <c r="E203" s="22" t="n"/>
      <c r="F203" s="22" t="n"/>
      <c r="G203" s="20" t="n"/>
      <c r="H203" s="11">
        <f>IF(B203="","",IF(E203&lt;&gt;"","Sent","To send"))</f>
        <v/>
      </c>
      <c r="I203" s="1" t="n"/>
    </row>
    <row r="204">
      <c r="A204" s="1" t="n"/>
      <c r="B204" s="19" t="n"/>
      <c r="C204" s="20" t="n"/>
      <c r="D204" s="20" t="n"/>
      <c r="E204" s="22" t="n"/>
      <c r="F204" s="22" t="n"/>
      <c r="G204" s="20" t="n"/>
      <c r="H204" s="11">
        <f>IF(B204="","",IF(E204&lt;&gt;"","Sent","To send"))</f>
        <v/>
      </c>
      <c r="I204" s="1" t="n"/>
    </row>
    <row r="205">
      <c r="A205" s="1" t="n"/>
      <c r="B205" s="19" t="n"/>
      <c r="C205" s="20" t="n"/>
      <c r="D205" s="20" t="n"/>
      <c r="E205" s="22" t="n"/>
      <c r="F205" s="22" t="n"/>
      <c r="G205" s="20" t="n"/>
      <c r="H205" s="11">
        <f>IF(B205="","",IF(E205&lt;&gt;"","Sent","To send"))</f>
        <v/>
      </c>
      <c r="I205" s="1" t="n"/>
    </row>
    <row r="206">
      <c r="A206" s="1" t="n"/>
      <c r="B206" s="19" t="n"/>
      <c r="C206" s="20" t="n"/>
      <c r="D206" s="20" t="n"/>
      <c r="E206" s="22" t="n"/>
      <c r="F206" s="22" t="n"/>
      <c r="G206" s="20" t="n"/>
      <c r="H206" s="11">
        <f>IF(B206="","",IF(E206&lt;&gt;"","Sent","To send"))</f>
        <v/>
      </c>
      <c r="I206" s="1" t="n"/>
    </row>
    <row r="207">
      <c r="A207" s="1" t="n"/>
      <c r="B207" s="19" t="n"/>
      <c r="C207" s="20" t="n"/>
      <c r="D207" s="20" t="n"/>
      <c r="E207" s="22" t="n"/>
      <c r="F207" s="22" t="n"/>
      <c r="G207" s="20" t="n"/>
      <c r="H207" s="11">
        <f>IF(B207="","",IF(E207&lt;&gt;"","Sent","To send"))</f>
        <v/>
      </c>
      <c r="I207" s="1" t="n"/>
    </row>
    <row r="208">
      <c r="A208" s="1" t="n"/>
      <c r="B208" s="19" t="n"/>
      <c r="C208" s="20" t="n"/>
      <c r="D208" s="20" t="n"/>
      <c r="E208" s="22" t="n"/>
      <c r="F208" s="22" t="n"/>
      <c r="G208" s="20" t="n"/>
      <c r="H208" s="11">
        <f>IF(B208="","",IF(E208&lt;&gt;"","Sent","To send"))</f>
        <v/>
      </c>
      <c r="I208" s="1" t="n"/>
    </row>
    <row r="209">
      <c r="A209" s="1" t="n"/>
      <c r="B209" s="19" t="n"/>
      <c r="C209" s="20" t="n"/>
      <c r="D209" s="20" t="n"/>
      <c r="E209" s="22" t="n"/>
      <c r="F209" s="22" t="n"/>
      <c r="G209" s="20" t="n"/>
      <c r="H209" s="11">
        <f>IF(B209="","",IF(E209&lt;&gt;"","Sent","To send"))</f>
        <v/>
      </c>
      <c r="I209" s="1" t="n"/>
    </row>
    <row r="210">
      <c r="A210" s="1" t="n"/>
      <c r="B210" s="19" t="n"/>
      <c r="C210" s="20" t="n"/>
      <c r="D210" s="20" t="n"/>
      <c r="E210" s="22" t="n"/>
      <c r="F210" s="22" t="n"/>
      <c r="G210" s="20" t="n"/>
      <c r="H210" s="11">
        <f>IF(B210="","",IF(E210&lt;&gt;"","Sent","To send"))</f>
        <v/>
      </c>
      <c r="I210" s="1" t="n"/>
    </row>
    <row r="211">
      <c r="A211" s="1" t="n"/>
      <c r="B211" s="19" t="n"/>
      <c r="C211" s="20" t="n"/>
      <c r="D211" s="20" t="n"/>
      <c r="E211" s="22" t="n"/>
      <c r="F211" s="22" t="n"/>
      <c r="G211" s="20" t="n"/>
      <c r="H211" s="11">
        <f>IF(B211="","",IF(E211&lt;&gt;"","Sent","To send"))</f>
        <v/>
      </c>
      <c r="I211" s="1" t="n"/>
    </row>
    <row r="212">
      <c r="A212" s="1" t="n"/>
      <c r="B212" s="19" t="n"/>
      <c r="C212" s="20" t="n"/>
      <c r="D212" s="20" t="n"/>
      <c r="E212" s="22" t="n"/>
      <c r="F212" s="22" t="n"/>
      <c r="G212" s="20" t="n"/>
      <c r="H212" s="11">
        <f>IF(B212="","",IF(E212&lt;&gt;"","Sent","To send"))</f>
        <v/>
      </c>
      <c r="I212" s="1" t="n"/>
    </row>
    <row r="213">
      <c r="A213" s="1" t="n"/>
      <c r="B213" s="19" t="n"/>
      <c r="C213" s="20" t="n"/>
      <c r="D213" s="20" t="n"/>
      <c r="E213" s="22" t="n"/>
      <c r="F213" s="22" t="n"/>
      <c r="G213" s="20" t="n"/>
      <c r="H213" s="11">
        <f>IF(B213="","",IF(E213&lt;&gt;"","Sent","To send"))</f>
        <v/>
      </c>
      <c r="I213" s="1" t="n"/>
    </row>
    <row r="214">
      <c r="A214" s="1" t="n"/>
      <c r="B214" s="19" t="n"/>
      <c r="C214" s="20" t="n"/>
      <c r="D214" s="20" t="n"/>
      <c r="E214" s="22" t="n"/>
      <c r="F214" s="22" t="n"/>
      <c r="G214" s="20" t="n"/>
      <c r="H214" s="11">
        <f>IF(B214="","",IF(E214&lt;&gt;"","Sent","To send"))</f>
        <v/>
      </c>
      <c r="I214" s="1" t="n"/>
    </row>
    <row r="215">
      <c r="A215" s="1" t="n"/>
      <c r="B215" s="19" t="n"/>
      <c r="C215" s="20" t="n"/>
      <c r="D215" s="20" t="n"/>
      <c r="E215" s="22" t="n"/>
      <c r="F215" s="22" t="n"/>
      <c r="G215" s="20" t="n"/>
      <c r="H215" s="11">
        <f>IF(B215="","",IF(E215&lt;&gt;"","Sent","To send"))</f>
        <v/>
      </c>
      <c r="I215" s="1" t="n"/>
    </row>
    <row r="216">
      <c r="A216" s="1" t="n"/>
      <c r="B216" s="19" t="n"/>
      <c r="C216" s="20" t="n"/>
      <c r="D216" s="20" t="n"/>
      <c r="E216" s="22" t="n"/>
      <c r="F216" s="22" t="n"/>
      <c r="G216" s="20" t="n"/>
      <c r="H216" s="11">
        <f>IF(B216="","",IF(E216&lt;&gt;"","Sent","To send"))</f>
        <v/>
      </c>
      <c r="I216" s="1" t="n"/>
    </row>
    <row r="217">
      <c r="A217" s="1" t="n"/>
      <c r="B217" s="19" t="n"/>
      <c r="C217" s="20" t="n"/>
      <c r="D217" s="20" t="n"/>
      <c r="E217" s="22" t="n"/>
      <c r="F217" s="22" t="n"/>
      <c r="G217" s="20" t="n"/>
      <c r="H217" s="11">
        <f>IF(B217="","",IF(E217&lt;&gt;"","Sent","To send"))</f>
        <v/>
      </c>
      <c r="I217" s="1" t="n"/>
    </row>
    <row r="218">
      <c r="A218" s="1" t="n"/>
      <c r="B218" s="19" t="n"/>
      <c r="C218" s="20" t="n"/>
      <c r="D218" s="20" t="n"/>
      <c r="E218" s="22" t="n"/>
      <c r="F218" s="22" t="n"/>
      <c r="G218" s="20" t="n"/>
      <c r="H218" s="11">
        <f>IF(B218="","",IF(E218&lt;&gt;"","Sent","To send"))</f>
        <v/>
      </c>
      <c r="I218" s="1" t="n"/>
    </row>
    <row r="219">
      <c r="A219" s="1" t="n"/>
      <c r="B219" s="19" t="n"/>
      <c r="C219" s="20" t="n"/>
      <c r="D219" s="20" t="n"/>
      <c r="E219" s="22" t="n"/>
      <c r="F219" s="22" t="n"/>
      <c r="G219" s="20" t="n"/>
      <c r="H219" s="11">
        <f>IF(B219="","",IF(E219&lt;&gt;"","Sent","To send"))</f>
        <v/>
      </c>
      <c r="I219" s="1" t="n"/>
    </row>
    <row r="220">
      <c r="A220" s="1" t="n"/>
      <c r="B220" s="19" t="n"/>
      <c r="C220" s="20" t="n"/>
      <c r="D220" s="20" t="n"/>
      <c r="E220" s="22" t="n"/>
      <c r="F220" s="22" t="n"/>
      <c r="G220" s="20" t="n"/>
      <c r="H220" s="11">
        <f>IF(B220="","",IF(E220&lt;&gt;"","Sent","To send"))</f>
        <v/>
      </c>
      <c r="I220" s="1" t="n"/>
    </row>
    <row r="221">
      <c r="A221" s="1" t="n"/>
      <c r="B221" s="19" t="n"/>
      <c r="C221" s="20" t="n"/>
      <c r="D221" s="20" t="n"/>
      <c r="E221" s="22" t="n"/>
      <c r="F221" s="22" t="n"/>
      <c r="G221" s="20" t="n"/>
      <c r="H221" s="11">
        <f>IF(B221="","",IF(E221&lt;&gt;"","Sent","To send"))</f>
        <v/>
      </c>
      <c r="I221" s="1" t="n"/>
    </row>
    <row r="222">
      <c r="A222" s="1" t="n"/>
      <c r="B222" s="19" t="n"/>
      <c r="C222" s="20" t="n"/>
      <c r="D222" s="20" t="n"/>
      <c r="E222" s="22" t="n"/>
      <c r="F222" s="22" t="n"/>
      <c r="G222" s="20" t="n"/>
      <c r="H222" s="11">
        <f>IF(B222="","",IF(E222&lt;&gt;"","Sent","To send"))</f>
        <v/>
      </c>
      <c r="I222" s="1" t="n"/>
    </row>
    <row r="223">
      <c r="A223" s="1" t="n"/>
      <c r="B223" s="19" t="n"/>
      <c r="C223" s="20" t="n"/>
      <c r="D223" s="20" t="n"/>
      <c r="E223" s="22" t="n"/>
      <c r="F223" s="22" t="n"/>
      <c r="G223" s="20" t="n"/>
      <c r="H223" s="11">
        <f>IF(B223="","",IF(E223&lt;&gt;"","Sent","To send"))</f>
        <v/>
      </c>
      <c r="I223" s="1" t="n"/>
    </row>
    <row r="224">
      <c r="A224" s="1" t="n"/>
      <c r="B224" s="19" t="n"/>
      <c r="C224" s="20" t="n"/>
      <c r="D224" s="20" t="n"/>
      <c r="E224" s="22" t="n"/>
      <c r="F224" s="22" t="n"/>
      <c r="G224" s="20" t="n"/>
      <c r="H224" s="11">
        <f>IF(B224="","",IF(E224&lt;&gt;"","Sent","To send"))</f>
        <v/>
      </c>
      <c r="I224" s="1" t="n"/>
    </row>
    <row r="225">
      <c r="A225" s="1" t="n"/>
      <c r="B225" s="19" t="n"/>
      <c r="C225" s="20" t="n"/>
      <c r="D225" s="20" t="n"/>
      <c r="E225" s="22" t="n"/>
      <c r="F225" s="22" t="n"/>
      <c r="G225" s="20" t="n"/>
      <c r="H225" s="11">
        <f>IF(B225="","",IF(E225&lt;&gt;"","Sent","To send"))</f>
        <v/>
      </c>
      <c r="I225" s="1" t="n"/>
    </row>
    <row r="226">
      <c r="A226" s="1" t="n"/>
      <c r="B226" s="19" t="n"/>
      <c r="C226" s="20" t="n"/>
      <c r="D226" s="20" t="n"/>
      <c r="E226" s="22" t="n"/>
      <c r="F226" s="22" t="n"/>
      <c r="G226" s="20" t="n"/>
      <c r="H226" s="11">
        <f>IF(B226="","",IF(E226&lt;&gt;"","Sent","To send"))</f>
        <v/>
      </c>
      <c r="I226" s="1" t="n"/>
    </row>
    <row r="227">
      <c r="A227" s="1" t="n"/>
      <c r="B227" s="19" t="n"/>
      <c r="C227" s="20" t="n"/>
      <c r="D227" s="20" t="n"/>
      <c r="E227" s="22" t="n"/>
      <c r="F227" s="22" t="n"/>
      <c r="G227" s="20" t="n"/>
      <c r="H227" s="11">
        <f>IF(B227="","",IF(E227&lt;&gt;"","Sent","To send"))</f>
        <v/>
      </c>
      <c r="I227" s="1" t="n"/>
    </row>
    <row r="228">
      <c r="A228" s="1" t="n"/>
      <c r="B228" s="19" t="n"/>
      <c r="C228" s="20" t="n"/>
      <c r="D228" s="20" t="n"/>
      <c r="E228" s="22" t="n"/>
      <c r="F228" s="22" t="n"/>
      <c r="G228" s="20" t="n"/>
      <c r="H228" s="11">
        <f>IF(B228="","",IF(E228&lt;&gt;"","Sent","To send"))</f>
        <v/>
      </c>
      <c r="I228" s="1" t="n"/>
    </row>
    <row r="229">
      <c r="A229" s="1" t="n"/>
      <c r="B229" s="19" t="n"/>
      <c r="C229" s="20" t="n"/>
      <c r="D229" s="20" t="n"/>
      <c r="E229" s="22" t="n"/>
      <c r="F229" s="22" t="n"/>
      <c r="G229" s="20" t="n"/>
      <c r="H229" s="11">
        <f>IF(B229="","",IF(E229&lt;&gt;"","Sent","To send"))</f>
        <v/>
      </c>
      <c r="I229" s="1" t="n"/>
    </row>
    <row r="230">
      <c r="A230" s="1" t="n"/>
      <c r="B230" s="19" t="n"/>
      <c r="C230" s="20" t="n"/>
      <c r="D230" s="20" t="n"/>
      <c r="E230" s="22" t="n"/>
      <c r="F230" s="22" t="n"/>
      <c r="G230" s="20" t="n"/>
      <c r="H230" s="11">
        <f>IF(B230="","",IF(E230&lt;&gt;"","Sent","To send"))</f>
        <v/>
      </c>
      <c r="I230" s="1" t="n"/>
    </row>
    <row r="231">
      <c r="A231" s="1" t="n"/>
      <c r="B231" s="19" t="n"/>
      <c r="C231" s="20" t="n"/>
      <c r="D231" s="20" t="n"/>
      <c r="E231" s="22" t="n"/>
      <c r="F231" s="22" t="n"/>
      <c r="G231" s="20" t="n"/>
      <c r="H231" s="11">
        <f>IF(B231="","",IF(E231&lt;&gt;"","Sent","To send"))</f>
        <v/>
      </c>
      <c r="I231" s="1" t="n"/>
    </row>
    <row r="232">
      <c r="A232" s="1" t="n"/>
      <c r="B232" s="19" t="n"/>
      <c r="C232" s="20" t="n"/>
      <c r="D232" s="20" t="n"/>
      <c r="E232" s="22" t="n"/>
      <c r="F232" s="22" t="n"/>
      <c r="G232" s="20" t="n"/>
      <c r="H232" s="11">
        <f>IF(B232="","",IF(E232&lt;&gt;"","Sent","To send"))</f>
        <v/>
      </c>
      <c r="I232" s="1" t="n"/>
    </row>
    <row r="233">
      <c r="A233" s="1" t="n"/>
      <c r="B233" s="19" t="n"/>
      <c r="C233" s="20" t="n"/>
      <c r="D233" s="20" t="n"/>
      <c r="E233" s="22" t="n"/>
      <c r="F233" s="22" t="n"/>
      <c r="G233" s="20" t="n"/>
      <c r="H233" s="11">
        <f>IF(B233="","",IF(E233&lt;&gt;"","Sent","To send"))</f>
        <v/>
      </c>
      <c r="I233" s="1" t="n"/>
    </row>
    <row r="234">
      <c r="A234" s="1" t="n"/>
      <c r="B234" s="19" t="n"/>
      <c r="C234" s="20" t="n"/>
      <c r="D234" s="20" t="n"/>
      <c r="E234" s="22" t="n"/>
      <c r="F234" s="22" t="n"/>
      <c r="G234" s="20" t="n"/>
      <c r="H234" s="11">
        <f>IF(B234="","",IF(E234&lt;&gt;"","Sent","To send"))</f>
        <v/>
      </c>
      <c r="I234" s="1" t="n"/>
    </row>
    <row r="235">
      <c r="A235" s="1" t="n"/>
      <c r="B235" s="19" t="n"/>
      <c r="C235" s="20" t="n"/>
      <c r="D235" s="20" t="n"/>
      <c r="E235" s="22" t="n"/>
      <c r="F235" s="22" t="n"/>
      <c r="G235" s="20" t="n"/>
      <c r="H235" s="11">
        <f>IF(B235="","",IF(E235&lt;&gt;"","Sent","To send"))</f>
        <v/>
      </c>
      <c r="I235" s="1" t="n"/>
    </row>
    <row r="236">
      <c r="A236" s="1" t="n"/>
      <c r="B236" s="19" t="n"/>
      <c r="C236" s="20" t="n"/>
      <c r="D236" s="20" t="n"/>
      <c r="E236" s="22" t="n"/>
      <c r="F236" s="22" t="n"/>
      <c r="G236" s="20" t="n"/>
      <c r="H236" s="11">
        <f>IF(B236="","",IF(E236&lt;&gt;"","Sent","To send"))</f>
        <v/>
      </c>
      <c r="I236" s="1" t="n"/>
    </row>
    <row r="237">
      <c r="A237" s="1" t="n"/>
      <c r="B237" s="19" t="n"/>
      <c r="C237" s="20" t="n"/>
      <c r="D237" s="20" t="n"/>
      <c r="E237" s="22" t="n"/>
      <c r="F237" s="22" t="n"/>
      <c r="G237" s="20" t="n"/>
      <c r="H237" s="11">
        <f>IF(B237="","",IF(E237&lt;&gt;"","Sent","To send"))</f>
        <v/>
      </c>
      <c r="I237" s="1" t="n"/>
    </row>
    <row r="238">
      <c r="A238" s="1" t="n"/>
      <c r="B238" s="19" t="n"/>
      <c r="C238" s="20" t="n"/>
      <c r="D238" s="20" t="n"/>
      <c r="E238" s="22" t="n"/>
      <c r="F238" s="22" t="n"/>
      <c r="G238" s="20" t="n"/>
      <c r="H238" s="11">
        <f>IF(B238="","",IF(E238&lt;&gt;"","Sent","To send"))</f>
        <v/>
      </c>
      <c r="I238" s="1" t="n"/>
    </row>
    <row r="239">
      <c r="A239" s="1" t="n"/>
      <c r="B239" s="19" t="n"/>
      <c r="C239" s="20" t="n"/>
      <c r="D239" s="20" t="n"/>
      <c r="E239" s="22" t="n"/>
      <c r="F239" s="22" t="n"/>
      <c r="G239" s="20" t="n"/>
      <c r="H239" s="11">
        <f>IF(B239="","",IF(E239&lt;&gt;"","Sent","To send"))</f>
        <v/>
      </c>
      <c r="I239" s="1" t="n"/>
    </row>
    <row r="240">
      <c r="A240" s="1" t="n"/>
      <c r="B240" s="19" t="n"/>
      <c r="C240" s="20" t="n"/>
      <c r="D240" s="20" t="n"/>
      <c r="E240" s="22" t="n"/>
      <c r="F240" s="22" t="n"/>
      <c r="G240" s="20" t="n"/>
      <c r="H240" s="11">
        <f>IF(B240="","",IF(E240&lt;&gt;"","Sent","To send"))</f>
        <v/>
      </c>
      <c r="I240" s="1" t="n"/>
    </row>
    <row r="241">
      <c r="A241" s="1" t="n"/>
      <c r="B241" s="19" t="n"/>
      <c r="C241" s="20" t="n"/>
      <c r="D241" s="20" t="n"/>
      <c r="E241" s="22" t="n"/>
      <c r="F241" s="22" t="n"/>
      <c r="G241" s="20" t="n"/>
      <c r="H241" s="11">
        <f>IF(B241="","",IF(E241&lt;&gt;"","Sent","To send"))</f>
        <v/>
      </c>
      <c r="I241" s="1" t="n"/>
    </row>
    <row r="242">
      <c r="A242" s="1" t="n"/>
      <c r="B242" s="19" t="n"/>
      <c r="C242" s="20" t="n"/>
      <c r="D242" s="20" t="n"/>
      <c r="E242" s="22" t="n"/>
      <c r="F242" s="22" t="n"/>
      <c r="G242" s="20" t="n"/>
      <c r="H242" s="11">
        <f>IF(B242="","",IF(E242&lt;&gt;"","Sent","To send"))</f>
        <v/>
      </c>
      <c r="I242" s="1" t="n"/>
    </row>
    <row r="243">
      <c r="A243" s="1" t="n"/>
      <c r="B243" s="19" t="n"/>
      <c r="C243" s="20" t="n"/>
      <c r="D243" s="20" t="n"/>
      <c r="E243" s="22" t="n"/>
      <c r="F243" s="22" t="n"/>
      <c r="G243" s="20" t="n"/>
      <c r="H243" s="11">
        <f>IF(B243="","",IF(E243&lt;&gt;"","Sent","To send"))</f>
        <v/>
      </c>
      <c r="I243" s="1" t="n"/>
    </row>
    <row r="244">
      <c r="A244" s="1" t="n"/>
      <c r="B244" s="19" t="n"/>
      <c r="C244" s="20" t="n"/>
      <c r="D244" s="20" t="n"/>
      <c r="E244" s="22" t="n"/>
      <c r="F244" s="22" t="n"/>
      <c r="G244" s="20" t="n"/>
      <c r="H244" s="11">
        <f>IF(B244="","",IF(E244&lt;&gt;"","Sent","To send"))</f>
        <v/>
      </c>
      <c r="I244" s="1" t="n"/>
    </row>
    <row r="245">
      <c r="A245" s="1" t="n"/>
      <c r="B245" s="19" t="n"/>
      <c r="C245" s="20" t="n"/>
      <c r="D245" s="20" t="n"/>
      <c r="E245" s="22" t="n"/>
      <c r="F245" s="22" t="n"/>
      <c r="G245" s="20" t="n"/>
      <c r="H245" s="11">
        <f>IF(B245="","",IF(E245&lt;&gt;"","Sent","To send"))</f>
        <v/>
      </c>
      <c r="I245" s="1" t="n"/>
    </row>
    <row r="246">
      <c r="A246" s="1" t="n"/>
      <c r="B246" s="19" t="n"/>
      <c r="C246" s="20" t="n"/>
      <c r="D246" s="20" t="n"/>
      <c r="E246" s="22" t="n"/>
      <c r="F246" s="22" t="n"/>
      <c r="G246" s="20" t="n"/>
      <c r="H246" s="11">
        <f>IF(B246="","",IF(E246&lt;&gt;"","Sent","To send"))</f>
        <v/>
      </c>
      <c r="I246" s="1" t="n"/>
    </row>
    <row r="247">
      <c r="A247" s="1" t="n"/>
      <c r="B247" s="19" t="n"/>
      <c r="C247" s="20" t="n"/>
      <c r="D247" s="20" t="n"/>
      <c r="E247" s="22" t="n"/>
      <c r="F247" s="22" t="n"/>
      <c r="G247" s="20" t="n"/>
      <c r="H247" s="11">
        <f>IF(B247="","",IF(E247&lt;&gt;"","Sent","To send"))</f>
        <v/>
      </c>
      <c r="I247" s="1" t="n"/>
    </row>
    <row r="248">
      <c r="A248" s="1" t="n"/>
      <c r="B248" s="19" t="n"/>
      <c r="C248" s="20" t="n"/>
      <c r="D248" s="20" t="n"/>
      <c r="E248" s="22" t="n"/>
      <c r="F248" s="22" t="n"/>
      <c r="G248" s="20" t="n"/>
      <c r="H248" s="11">
        <f>IF(B248="","",IF(E248&lt;&gt;"","Sent","To send"))</f>
        <v/>
      </c>
      <c r="I248" s="1" t="n"/>
    </row>
    <row r="249">
      <c r="A249" s="1" t="n"/>
      <c r="B249" s="19" t="n"/>
      <c r="C249" s="20" t="n"/>
      <c r="D249" s="20" t="n"/>
      <c r="E249" s="22" t="n"/>
      <c r="F249" s="22" t="n"/>
      <c r="G249" s="20" t="n"/>
      <c r="H249" s="11">
        <f>IF(B249="","",IF(E249&lt;&gt;"","Sent","To send"))</f>
        <v/>
      </c>
      <c r="I249" s="1" t="n"/>
    </row>
    <row r="250">
      <c r="A250" s="1" t="n"/>
      <c r="B250" s="19" t="n"/>
      <c r="C250" s="20" t="n"/>
      <c r="D250" s="20" t="n"/>
      <c r="E250" s="22" t="n"/>
      <c r="F250" s="22" t="n"/>
      <c r="G250" s="20" t="n"/>
      <c r="H250" s="11">
        <f>IF(B250="","",IF(E250&lt;&gt;"","Sent","To send"))</f>
        <v/>
      </c>
      <c r="I250" s="1" t="n"/>
    </row>
    <row r="251">
      <c r="A251" s="1" t="n"/>
      <c r="B251" s="19" t="n"/>
      <c r="C251" s="20" t="n"/>
      <c r="D251" s="20" t="n"/>
      <c r="E251" s="22" t="n"/>
      <c r="F251" s="22" t="n"/>
      <c r="G251" s="20" t="n"/>
      <c r="H251" s="11">
        <f>IF(B251="","",IF(E251&lt;&gt;"","Sent","To send"))</f>
        <v/>
      </c>
      <c r="I251" s="1" t="n"/>
    </row>
    <row r="252">
      <c r="A252" s="1" t="n"/>
      <c r="B252" s="19" t="n"/>
      <c r="C252" s="20" t="n"/>
      <c r="D252" s="20" t="n"/>
      <c r="E252" s="22" t="n"/>
      <c r="F252" s="22" t="n"/>
      <c r="G252" s="20" t="n"/>
      <c r="H252" s="11">
        <f>IF(B252="","",IF(E252&lt;&gt;"","Sent","To send"))</f>
        <v/>
      </c>
      <c r="I252" s="1" t="n"/>
    </row>
    <row r="253">
      <c r="A253" s="1" t="n"/>
      <c r="B253" s="19" t="n"/>
      <c r="C253" s="20" t="n"/>
      <c r="D253" s="20" t="n"/>
      <c r="E253" s="22" t="n"/>
      <c r="F253" s="22" t="n"/>
      <c r="G253" s="20" t="n"/>
      <c r="H253" s="11">
        <f>IF(B253="","",IF(E253&lt;&gt;"","Sent","To send"))</f>
        <v/>
      </c>
      <c r="I253" s="1" t="n"/>
    </row>
    <row r="254">
      <c r="A254" s="1" t="n"/>
      <c r="B254" s="19" t="n"/>
      <c r="C254" s="20" t="n"/>
      <c r="D254" s="20" t="n"/>
      <c r="E254" s="22" t="n"/>
      <c r="F254" s="22" t="n"/>
      <c r="G254" s="20" t="n"/>
      <c r="H254" s="11">
        <f>IF(B254="","",IF(E254&lt;&gt;"","Sent","To send"))</f>
        <v/>
      </c>
      <c r="I254" s="1" t="n"/>
    </row>
    <row r="255">
      <c r="A255" s="1" t="n"/>
      <c r="B255" s="19" t="n"/>
      <c r="C255" s="20" t="n"/>
      <c r="D255" s="20" t="n"/>
      <c r="E255" s="22" t="n"/>
      <c r="F255" s="22" t="n"/>
      <c r="G255" s="20" t="n"/>
      <c r="H255" s="11">
        <f>IF(B255="","",IF(E255&lt;&gt;"","Sent","To send"))</f>
        <v/>
      </c>
      <c r="I255" s="1" t="n"/>
    </row>
    <row r="256">
      <c r="A256" s="1" t="n"/>
      <c r="B256" s="19" t="n"/>
      <c r="C256" s="20" t="n"/>
      <c r="D256" s="20" t="n"/>
      <c r="E256" s="22" t="n"/>
      <c r="F256" s="22" t="n"/>
      <c r="G256" s="20" t="n"/>
      <c r="H256" s="11">
        <f>IF(B256="","",IF(E256&lt;&gt;"","Sent","To send"))</f>
        <v/>
      </c>
      <c r="I256" s="1" t="n"/>
    </row>
    <row r="257">
      <c r="A257" s="1" t="n"/>
      <c r="B257" s="19" t="n"/>
      <c r="C257" s="20" t="n"/>
      <c r="D257" s="20" t="n"/>
      <c r="E257" s="22" t="n"/>
      <c r="F257" s="22" t="n"/>
      <c r="G257" s="20" t="n"/>
      <c r="H257" s="11">
        <f>IF(B257="","",IF(E257&lt;&gt;"","Sent","To send"))</f>
        <v/>
      </c>
      <c r="I257" s="1" t="n"/>
    </row>
    <row r="258">
      <c r="A258" s="1" t="n"/>
      <c r="B258" s="19" t="n"/>
      <c r="C258" s="20" t="n"/>
      <c r="D258" s="20" t="n"/>
      <c r="E258" s="22" t="n"/>
      <c r="F258" s="22" t="n"/>
      <c r="G258" s="20" t="n"/>
      <c r="H258" s="11">
        <f>IF(B258="","",IF(E258&lt;&gt;"","Sent","To send"))</f>
        <v/>
      </c>
      <c r="I258" s="1" t="n"/>
    </row>
    <row r="259">
      <c r="A259" s="1" t="n"/>
      <c r="B259" s="19" t="n"/>
      <c r="C259" s="20" t="n"/>
      <c r="D259" s="20" t="n"/>
      <c r="E259" s="22" t="n"/>
      <c r="F259" s="22" t="n"/>
      <c r="G259" s="20" t="n"/>
      <c r="H259" s="11">
        <f>IF(B259="","",IF(E259&lt;&gt;"","Sent","To send"))</f>
        <v/>
      </c>
      <c r="I259" s="1" t="n"/>
    </row>
    <row r="260">
      <c r="A260" s="1" t="n"/>
      <c r="B260" s="19" t="n"/>
      <c r="C260" s="20" t="n"/>
      <c r="D260" s="20" t="n"/>
      <c r="E260" s="22" t="n"/>
      <c r="F260" s="22" t="n"/>
      <c r="G260" s="20" t="n"/>
      <c r="H260" s="11">
        <f>IF(B260="","",IF(E260&lt;&gt;"","Sent","To send"))</f>
        <v/>
      </c>
      <c r="I260" s="1" t="n"/>
    </row>
    <row r="261">
      <c r="A261" s="1" t="n"/>
      <c r="B261" s="19" t="n"/>
      <c r="C261" s="20" t="n"/>
      <c r="D261" s="20" t="n"/>
      <c r="E261" s="22" t="n"/>
      <c r="F261" s="22" t="n"/>
      <c r="G261" s="20" t="n"/>
      <c r="H261" s="11">
        <f>IF(B261="","",IF(E261&lt;&gt;"","Sent","To send"))</f>
        <v/>
      </c>
      <c r="I261" s="1" t="n"/>
    </row>
    <row r="262">
      <c r="A262" s="1" t="n"/>
      <c r="B262" s="19" t="n"/>
      <c r="C262" s="20" t="n"/>
      <c r="D262" s="20" t="n"/>
      <c r="E262" s="22" t="n"/>
      <c r="F262" s="22" t="n"/>
      <c r="G262" s="20" t="n"/>
      <c r="H262" s="11">
        <f>IF(B262="","",IF(E262&lt;&gt;"","Sent","To send"))</f>
        <v/>
      </c>
      <c r="I262" s="1" t="n"/>
    </row>
    <row r="263">
      <c r="A263" s="1" t="n"/>
      <c r="B263" s="19" t="n"/>
      <c r="C263" s="20" t="n"/>
      <c r="D263" s="20" t="n"/>
      <c r="E263" s="22" t="n"/>
      <c r="F263" s="22" t="n"/>
      <c r="G263" s="20" t="n"/>
      <c r="H263" s="11">
        <f>IF(B263="","",IF(E263&lt;&gt;"","Sent","To send"))</f>
        <v/>
      </c>
      <c r="I263" s="1" t="n"/>
    </row>
    <row r="264">
      <c r="A264" s="1" t="n"/>
      <c r="B264" s="19" t="n"/>
      <c r="C264" s="20" t="n"/>
      <c r="D264" s="20" t="n"/>
      <c r="E264" s="22" t="n"/>
      <c r="F264" s="22" t="n"/>
      <c r="G264" s="20" t="n"/>
      <c r="H264" s="11">
        <f>IF(B264="","",IF(E264&lt;&gt;"","Sent","To send"))</f>
        <v/>
      </c>
      <c r="I264" s="1" t="n"/>
    </row>
    <row r="265">
      <c r="A265" s="1" t="n"/>
      <c r="B265" s="19" t="n"/>
      <c r="C265" s="20" t="n"/>
      <c r="D265" s="20" t="n"/>
      <c r="E265" s="22" t="n"/>
      <c r="F265" s="22" t="n"/>
      <c r="G265" s="20" t="n"/>
      <c r="H265" s="11">
        <f>IF(B265="","",IF(E265&lt;&gt;"","Sent","To send"))</f>
        <v/>
      </c>
      <c r="I265" s="1" t="n"/>
    </row>
    <row r="266">
      <c r="A266" s="1" t="n"/>
      <c r="B266" s="19" t="n"/>
      <c r="C266" s="20" t="n"/>
      <c r="D266" s="20" t="n"/>
      <c r="E266" s="22" t="n"/>
      <c r="F266" s="22" t="n"/>
      <c r="G266" s="20" t="n"/>
      <c r="H266" s="11">
        <f>IF(B266="","",IF(E266&lt;&gt;"","Sent","To send"))</f>
        <v/>
      </c>
      <c r="I266" s="1" t="n"/>
    </row>
    <row r="267">
      <c r="A267" s="1" t="n"/>
      <c r="B267" s="19" t="n"/>
      <c r="C267" s="20" t="n"/>
      <c r="D267" s="20" t="n"/>
      <c r="E267" s="22" t="n"/>
      <c r="F267" s="22" t="n"/>
      <c r="G267" s="20" t="n"/>
      <c r="H267" s="11">
        <f>IF(B267="","",IF(E267&lt;&gt;"","Sent","To send"))</f>
        <v/>
      </c>
      <c r="I267" s="1" t="n"/>
    </row>
    <row r="268">
      <c r="A268" s="1" t="n"/>
      <c r="B268" s="19" t="n"/>
      <c r="C268" s="20" t="n"/>
      <c r="D268" s="20" t="n"/>
      <c r="E268" s="22" t="n"/>
      <c r="F268" s="22" t="n"/>
      <c r="G268" s="20" t="n"/>
      <c r="H268" s="11">
        <f>IF(B268="","",IF(E268&lt;&gt;"","Sent","To send"))</f>
        <v/>
      </c>
      <c r="I268" s="1" t="n"/>
    </row>
    <row r="269">
      <c r="A269" s="1" t="n"/>
      <c r="B269" s="19" t="n"/>
      <c r="C269" s="20" t="n"/>
      <c r="D269" s="20" t="n"/>
      <c r="E269" s="22" t="n"/>
      <c r="F269" s="22" t="n"/>
      <c r="G269" s="20" t="n"/>
      <c r="H269" s="11">
        <f>IF(B269="","",IF(E269&lt;&gt;"","Sent","To send"))</f>
        <v/>
      </c>
      <c r="I269" s="1" t="n"/>
    </row>
    <row r="270">
      <c r="A270" s="1" t="n"/>
      <c r="B270" s="19" t="n"/>
      <c r="C270" s="20" t="n"/>
      <c r="D270" s="20" t="n"/>
      <c r="E270" s="22" t="n"/>
      <c r="F270" s="22" t="n"/>
      <c r="G270" s="20" t="n"/>
      <c r="H270" s="11">
        <f>IF(B270="","",IF(E270&lt;&gt;"","Sent","To send"))</f>
        <v/>
      </c>
      <c r="I270" s="1" t="n"/>
    </row>
    <row r="271">
      <c r="A271" s="1" t="n"/>
      <c r="B271" s="19" t="n"/>
      <c r="C271" s="20" t="n"/>
      <c r="D271" s="20" t="n"/>
      <c r="E271" s="22" t="n"/>
      <c r="F271" s="22" t="n"/>
      <c r="G271" s="20" t="n"/>
      <c r="H271" s="11">
        <f>IF(B271="","",IF(E271&lt;&gt;"","Sent","To send"))</f>
        <v/>
      </c>
      <c r="I271" s="1" t="n"/>
    </row>
    <row r="272">
      <c r="A272" s="1" t="n"/>
      <c r="B272" s="19" t="n"/>
      <c r="C272" s="20" t="n"/>
      <c r="D272" s="20" t="n"/>
      <c r="E272" s="22" t="n"/>
      <c r="F272" s="22" t="n"/>
      <c r="G272" s="20" t="n"/>
      <c r="H272" s="11">
        <f>IF(B272="","",IF(E272&lt;&gt;"","Sent","To send"))</f>
        <v/>
      </c>
      <c r="I272" s="1" t="n"/>
    </row>
    <row r="273">
      <c r="A273" s="1" t="n"/>
      <c r="B273" s="19" t="n"/>
      <c r="C273" s="20" t="n"/>
      <c r="D273" s="20" t="n"/>
      <c r="E273" s="22" t="n"/>
      <c r="F273" s="22" t="n"/>
      <c r="G273" s="20" t="n"/>
      <c r="H273" s="11">
        <f>IF(B273="","",IF(E273&lt;&gt;"","Sent","To send"))</f>
        <v/>
      </c>
      <c r="I273" s="1" t="n"/>
    </row>
    <row r="274">
      <c r="A274" s="1" t="n"/>
      <c r="B274" s="19" t="n"/>
      <c r="C274" s="20" t="n"/>
      <c r="D274" s="20" t="n"/>
      <c r="E274" s="22" t="n"/>
      <c r="F274" s="22" t="n"/>
      <c r="G274" s="20" t="n"/>
      <c r="H274" s="11">
        <f>IF(B274="","",IF(E274&lt;&gt;"","Sent","To send"))</f>
        <v/>
      </c>
      <c r="I274" s="1" t="n"/>
    </row>
    <row r="275">
      <c r="A275" s="1" t="n"/>
      <c r="B275" s="19" t="n"/>
      <c r="C275" s="20" t="n"/>
      <c r="D275" s="20" t="n"/>
      <c r="E275" s="22" t="n"/>
      <c r="F275" s="22" t="n"/>
      <c r="G275" s="20" t="n"/>
      <c r="H275" s="11">
        <f>IF(B275="","",IF(E275&lt;&gt;"","Sent","To send"))</f>
        <v/>
      </c>
      <c r="I275" s="1" t="n"/>
    </row>
    <row r="276">
      <c r="A276" s="1" t="n"/>
      <c r="B276" s="19" t="n"/>
      <c r="C276" s="20" t="n"/>
      <c r="D276" s="20" t="n"/>
      <c r="E276" s="22" t="n"/>
      <c r="F276" s="22" t="n"/>
      <c r="G276" s="20" t="n"/>
      <c r="H276" s="11">
        <f>IF(B276="","",IF(E276&lt;&gt;"","Sent","To send"))</f>
        <v/>
      </c>
      <c r="I276" s="1" t="n"/>
    </row>
    <row r="277">
      <c r="A277" s="1" t="n"/>
      <c r="B277" s="19" t="n"/>
      <c r="C277" s="20" t="n"/>
      <c r="D277" s="20" t="n"/>
      <c r="E277" s="22" t="n"/>
      <c r="F277" s="22" t="n"/>
      <c r="G277" s="20" t="n"/>
      <c r="H277" s="11">
        <f>IF(B277="","",IF(E277&lt;&gt;"","Sent","To send"))</f>
        <v/>
      </c>
      <c r="I277" s="1" t="n"/>
    </row>
    <row r="278">
      <c r="A278" s="1" t="n"/>
      <c r="B278" s="19" t="n"/>
      <c r="C278" s="20" t="n"/>
      <c r="D278" s="20" t="n"/>
      <c r="E278" s="22" t="n"/>
      <c r="F278" s="22" t="n"/>
      <c r="G278" s="20" t="n"/>
      <c r="H278" s="11">
        <f>IF(B278="","",IF(E278&lt;&gt;"","Sent","To send"))</f>
        <v/>
      </c>
      <c r="I278" s="1" t="n"/>
    </row>
    <row r="279">
      <c r="A279" s="1" t="n"/>
      <c r="B279" s="19" t="n"/>
      <c r="C279" s="20" t="n"/>
      <c r="D279" s="20" t="n"/>
      <c r="E279" s="22" t="n"/>
      <c r="F279" s="22" t="n"/>
      <c r="G279" s="20" t="n"/>
      <c r="H279" s="11">
        <f>IF(B279="","",IF(E279&lt;&gt;"","Sent","To send"))</f>
        <v/>
      </c>
      <c r="I279" s="1" t="n"/>
    </row>
    <row r="280">
      <c r="A280" s="1" t="n"/>
      <c r="B280" s="19" t="n"/>
      <c r="C280" s="20" t="n"/>
      <c r="D280" s="20" t="n"/>
      <c r="E280" s="22" t="n"/>
      <c r="F280" s="22" t="n"/>
      <c r="G280" s="20" t="n"/>
      <c r="H280" s="11">
        <f>IF(B280="","",IF(E280&lt;&gt;"","Sent","To send"))</f>
        <v/>
      </c>
      <c r="I280" s="1" t="n"/>
    </row>
    <row r="281">
      <c r="A281" s="1" t="n"/>
      <c r="B281" s="19" t="n"/>
      <c r="C281" s="20" t="n"/>
      <c r="D281" s="20" t="n"/>
      <c r="E281" s="22" t="n"/>
      <c r="F281" s="22" t="n"/>
      <c r="G281" s="20" t="n"/>
      <c r="H281" s="11">
        <f>IF(B281="","",IF(E281&lt;&gt;"","Sent","To send"))</f>
        <v/>
      </c>
      <c r="I281" s="1" t="n"/>
    </row>
    <row r="282">
      <c r="A282" s="1" t="n"/>
      <c r="B282" s="19" t="n"/>
      <c r="C282" s="20" t="n"/>
      <c r="D282" s="20" t="n"/>
      <c r="E282" s="22" t="n"/>
      <c r="F282" s="22" t="n"/>
      <c r="G282" s="20" t="n"/>
      <c r="H282" s="11">
        <f>IF(B282="","",IF(E282&lt;&gt;"","Sent","To send"))</f>
        <v/>
      </c>
      <c r="I282" s="1" t="n"/>
    </row>
    <row r="283">
      <c r="A283" s="1" t="n"/>
      <c r="B283" s="19" t="n"/>
      <c r="C283" s="20" t="n"/>
      <c r="D283" s="20" t="n"/>
      <c r="E283" s="22" t="n"/>
      <c r="F283" s="22" t="n"/>
      <c r="G283" s="20" t="n"/>
      <c r="H283" s="11">
        <f>IF(B283="","",IF(E283&lt;&gt;"","Sent","To send"))</f>
        <v/>
      </c>
      <c r="I283" s="1" t="n"/>
    </row>
    <row r="284">
      <c r="A284" s="1" t="n"/>
      <c r="B284" s="19" t="n"/>
      <c r="C284" s="20" t="n"/>
      <c r="D284" s="20" t="n"/>
      <c r="E284" s="22" t="n"/>
      <c r="F284" s="22" t="n"/>
      <c r="G284" s="20" t="n"/>
      <c r="H284" s="11">
        <f>IF(B284="","",IF(E284&lt;&gt;"","Sent","To send"))</f>
        <v/>
      </c>
      <c r="I284" s="1" t="n"/>
    </row>
    <row r="285">
      <c r="A285" s="1" t="n"/>
      <c r="B285" s="19" t="n"/>
      <c r="C285" s="20" t="n"/>
      <c r="D285" s="20" t="n"/>
      <c r="E285" s="22" t="n"/>
      <c r="F285" s="22" t="n"/>
      <c r="G285" s="20" t="n"/>
      <c r="H285" s="11">
        <f>IF(B285="","",IF(E285&lt;&gt;"","Sent","To send"))</f>
        <v/>
      </c>
      <c r="I285" s="1" t="n"/>
    </row>
    <row r="286">
      <c r="A286" s="1" t="n"/>
      <c r="B286" s="19" t="n"/>
      <c r="C286" s="20" t="n"/>
      <c r="D286" s="20" t="n"/>
      <c r="E286" s="22" t="n"/>
      <c r="F286" s="22" t="n"/>
      <c r="G286" s="20" t="n"/>
      <c r="H286" s="11">
        <f>IF(B286="","",IF(E286&lt;&gt;"","Sent","To send"))</f>
        <v/>
      </c>
      <c r="I286" s="1" t="n"/>
    </row>
    <row r="287">
      <c r="A287" s="1" t="n"/>
      <c r="B287" s="19" t="n"/>
      <c r="C287" s="20" t="n"/>
      <c r="D287" s="20" t="n"/>
      <c r="E287" s="22" t="n"/>
      <c r="F287" s="22" t="n"/>
      <c r="G287" s="20" t="n"/>
      <c r="H287" s="11">
        <f>IF(B287="","",IF(E287&lt;&gt;"","Sent","To send"))</f>
        <v/>
      </c>
      <c r="I287" s="1" t="n"/>
    </row>
    <row r="288">
      <c r="A288" s="1" t="n"/>
      <c r="B288" s="19" t="n"/>
      <c r="C288" s="20" t="n"/>
      <c r="D288" s="20" t="n"/>
      <c r="E288" s="22" t="n"/>
      <c r="F288" s="22" t="n"/>
      <c r="G288" s="20" t="n"/>
      <c r="H288" s="11">
        <f>IF(B288="","",IF(E288&lt;&gt;"","Sent","To send"))</f>
        <v/>
      </c>
      <c r="I288" s="1" t="n"/>
    </row>
    <row r="289">
      <c r="A289" s="1" t="n"/>
      <c r="B289" s="19" t="n"/>
      <c r="C289" s="20" t="n"/>
      <c r="D289" s="20" t="n"/>
      <c r="E289" s="22" t="n"/>
      <c r="F289" s="22" t="n"/>
      <c r="G289" s="20" t="n"/>
      <c r="H289" s="11">
        <f>IF(B289="","",IF(E289&lt;&gt;"","Sent","To send"))</f>
        <v/>
      </c>
      <c r="I289" s="1" t="n"/>
    </row>
    <row r="290">
      <c r="A290" s="1" t="n"/>
      <c r="B290" s="19" t="n"/>
      <c r="C290" s="20" t="n"/>
      <c r="D290" s="20" t="n"/>
      <c r="E290" s="22" t="n"/>
      <c r="F290" s="22" t="n"/>
      <c r="G290" s="20" t="n"/>
      <c r="H290" s="11">
        <f>IF(B290="","",IF(E290&lt;&gt;"","Sent","To send"))</f>
        <v/>
      </c>
      <c r="I290" s="1" t="n"/>
    </row>
    <row r="291">
      <c r="A291" s="1" t="n"/>
      <c r="B291" s="19" t="n"/>
      <c r="C291" s="20" t="n"/>
      <c r="D291" s="20" t="n"/>
      <c r="E291" s="22" t="n"/>
      <c r="F291" s="22" t="n"/>
      <c r="G291" s="20" t="n"/>
      <c r="H291" s="11">
        <f>IF(B291="","",IF(E291&lt;&gt;"","Sent","To send"))</f>
        <v/>
      </c>
      <c r="I291" s="1" t="n"/>
    </row>
    <row r="292">
      <c r="A292" s="1" t="n"/>
      <c r="B292" s="19" t="n"/>
      <c r="C292" s="20" t="n"/>
      <c r="D292" s="20" t="n"/>
      <c r="E292" s="22" t="n"/>
      <c r="F292" s="22" t="n"/>
      <c r="G292" s="20" t="n"/>
      <c r="H292" s="11">
        <f>IF(B292="","",IF(E292&lt;&gt;"","Sent","To send"))</f>
        <v/>
      </c>
      <c r="I292" s="1" t="n"/>
    </row>
    <row r="293">
      <c r="A293" s="1" t="n"/>
      <c r="B293" s="19" t="n"/>
      <c r="C293" s="20" t="n"/>
      <c r="D293" s="20" t="n"/>
      <c r="E293" s="22" t="n"/>
      <c r="F293" s="22" t="n"/>
      <c r="G293" s="20" t="n"/>
      <c r="H293" s="11">
        <f>IF(B293="","",IF(E293&lt;&gt;"","Sent","To send"))</f>
        <v/>
      </c>
      <c r="I293" s="1" t="n"/>
    </row>
    <row r="294">
      <c r="A294" s="1" t="n"/>
      <c r="B294" s="19" t="n"/>
      <c r="C294" s="20" t="n"/>
      <c r="D294" s="20" t="n"/>
      <c r="E294" s="22" t="n"/>
      <c r="F294" s="22" t="n"/>
      <c r="G294" s="20" t="n"/>
      <c r="H294" s="11">
        <f>IF(B294="","",IF(E294&lt;&gt;"","Sent","To send"))</f>
        <v/>
      </c>
      <c r="I294" s="1" t="n"/>
    </row>
    <row r="295">
      <c r="A295" s="1" t="n"/>
      <c r="B295" s="19" t="n"/>
      <c r="C295" s="20" t="n"/>
      <c r="D295" s="20" t="n"/>
      <c r="E295" s="22" t="n"/>
      <c r="F295" s="22" t="n"/>
      <c r="G295" s="20" t="n"/>
      <c r="H295" s="11">
        <f>IF(B295="","",IF(E295&lt;&gt;"","Sent","To send"))</f>
        <v/>
      </c>
      <c r="I295" s="1" t="n"/>
    </row>
    <row r="296">
      <c r="A296" s="1" t="n"/>
      <c r="B296" s="19" t="n"/>
      <c r="C296" s="20" t="n"/>
      <c r="D296" s="20" t="n"/>
      <c r="E296" s="22" t="n"/>
      <c r="F296" s="22" t="n"/>
      <c r="G296" s="20" t="n"/>
      <c r="H296" s="11">
        <f>IF(B296="","",IF(E296&lt;&gt;"","Sent","To send"))</f>
        <v/>
      </c>
      <c r="I296" s="1" t="n"/>
    </row>
    <row r="297">
      <c r="A297" s="1" t="n"/>
      <c r="B297" s="19" t="n"/>
      <c r="C297" s="20" t="n"/>
      <c r="D297" s="20" t="n"/>
      <c r="E297" s="22" t="n"/>
      <c r="F297" s="22" t="n"/>
      <c r="G297" s="20" t="n"/>
      <c r="H297" s="11">
        <f>IF(B297="","",IF(E297&lt;&gt;"","Sent","To send"))</f>
        <v/>
      </c>
      <c r="I297" s="1" t="n"/>
    </row>
    <row r="298">
      <c r="A298" s="1" t="n"/>
      <c r="B298" s="19" t="n"/>
      <c r="C298" s="20" t="n"/>
      <c r="D298" s="20" t="n"/>
      <c r="E298" s="22" t="n"/>
      <c r="F298" s="22" t="n"/>
      <c r="G298" s="20" t="n"/>
      <c r="H298" s="11">
        <f>IF(B298="","",IF(E298&lt;&gt;"","Sent","To send"))</f>
        <v/>
      </c>
      <c r="I298" s="1" t="n"/>
    </row>
    <row r="299">
      <c r="A299" s="1" t="n"/>
      <c r="B299" s="19" t="n"/>
      <c r="C299" s="20" t="n"/>
      <c r="D299" s="20" t="n"/>
      <c r="E299" s="22" t="n"/>
      <c r="F299" s="22" t="n"/>
      <c r="G299" s="20" t="n"/>
      <c r="H299" s="11">
        <f>IF(B299="","",IF(E299&lt;&gt;"","Sent","To send"))</f>
        <v/>
      </c>
      <c r="I299" s="1" t="n"/>
    </row>
    <row r="300">
      <c r="A300" s="1" t="n"/>
      <c r="B300" s="19" t="n"/>
      <c r="C300" s="20" t="n"/>
      <c r="D300" s="20" t="n"/>
      <c r="E300" s="22" t="n"/>
      <c r="F300" s="22" t="n"/>
      <c r="G300" s="20" t="n"/>
      <c r="H300" s="11">
        <f>IF(B300="","",IF(E300&lt;&gt;"","Sent","To send"))</f>
        <v/>
      </c>
      <c r="I300" s="1" t="n"/>
    </row>
    <row r="301">
      <c r="A301" s="1" t="n"/>
      <c r="B301" s="19" t="n"/>
      <c r="C301" s="20" t="n"/>
      <c r="D301" s="20" t="n"/>
      <c r="E301" s="22" t="n"/>
      <c r="F301" s="22" t="n"/>
      <c r="G301" s="20" t="n"/>
      <c r="H301" s="11">
        <f>IF(B301="","",IF(E301&lt;&gt;"","Sent","To send"))</f>
        <v/>
      </c>
      <c r="I301" s="1" t="n"/>
    </row>
    <row r="302">
      <c r="A302" s="1" t="n"/>
      <c r="B302" s="19" t="n"/>
      <c r="C302" s="20" t="n"/>
      <c r="D302" s="20" t="n"/>
      <c r="E302" s="22" t="n"/>
      <c r="F302" s="22" t="n"/>
      <c r="G302" s="20" t="n"/>
      <c r="H302" s="11">
        <f>IF(B302="","",IF(E302&lt;&gt;"","Sent","To send"))</f>
        <v/>
      </c>
      <c r="I302" s="1" t="n"/>
    </row>
    <row r="303">
      <c r="A303" s="1" t="n"/>
      <c r="B303" s="19" t="n"/>
      <c r="C303" s="20" t="n"/>
      <c r="D303" s="20" t="n"/>
      <c r="E303" s="22" t="n"/>
      <c r="F303" s="22" t="n"/>
      <c r="G303" s="20" t="n"/>
      <c r="H303" s="11">
        <f>IF(B303="","",IF(E303&lt;&gt;"","Sent","To send"))</f>
        <v/>
      </c>
      <c r="I303" s="1" t="n"/>
    </row>
    <row r="304">
      <c r="A304" s="1" t="n"/>
      <c r="B304" s="19" t="n"/>
      <c r="C304" s="20" t="n"/>
      <c r="D304" s="20" t="n"/>
      <c r="E304" s="22" t="n"/>
      <c r="F304" s="22" t="n"/>
      <c r="G304" s="20" t="n"/>
      <c r="H304" s="11">
        <f>IF(B304="","",IF(E304&lt;&gt;"","Sent","To send"))</f>
        <v/>
      </c>
      <c r="I304" s="1" t="n"/>
    </row>
    <row r="305">
      <c r="A305" s="1" t="n"/>
      <c r="B305" s="19" t="n"/>
      <c r="C305" s="20" t="n"/>
      <c r="D305" s="20" t="n"/>
      <c r="E305" s="22" t="n"/>
      <c r="F305" s="22" t="n"/>
      <c r="G305" s="20" t="n"/>
      <c r="H305" s="11">
        <f>IF(B305="","",IF(E305&lt;&gt;"","Sent","To send"))</f>
        <v/>
      </c>
      <c r="I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</row>
  </sheetData>
  <conditionalFormatting sqref="H6:H305">
    <cfRule type="expression" priority="1" dxfId="4">
      <formula>H6="Sent"</formula>
    </cfRule>
    <cfRule type="expression" priority="2" dxfId="1">
      <formula>H6="To send"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T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3" customWidth="1" min="3" max="3"/>
    <col width="14" customWidth="1" min="4" max="4"/>
    <col width="14" customWidth="1" min="5" max="5"/>
    <col width="8" customWidth="1" min="6" max="6"/>
    <col width="8" customWidth="1" min="7" max="7"/>
    <col width="8" customWidth="1" min="8" max="8"/>
    <col width="13" customWidth="1" min="9" max="9"/>
    <col width="7" customWidth="1" min="10" max="10"/>
    <col width="3" customWidth="1" min="11" max="11"/>
    <col width="13" customWidth="1" min="12" max="12"/>
    <col width="36" customWidth="1" min="13" max="13"/>
    <col hidden="1" width="13" customWidth="1" min="15" max="15"/>
    <col hidden="1" width="13" customWidth="1" min="18" max="18"/>
    <col hidden="1" width="13" customWidth="1" min="19" max="19"/>
    <col hidden="1" width="13" customWidth="1" min="20" max="2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2" customHeight="1">
      <c r="A2" s="1" t="n"/>
      <c r="B2" s="2" t="inlineStr">
        <is>
          <t>Christmas dinner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3" t="inlineStr">
        <is>
          <t>The menu, who makes what, and when to start each dish so it is all ready together.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30" t="inlineStr">
        <is>
          <t>Dinner on</t>
        </is>
      </c>
      <c r="C4" s="31">
        <f>DATE(Settings!$C$4,12,25)</f>
        <v/>
      </c>
      <c r="D4" s="1" t="n"/>
      <c r="E4" s="32" t="inlineStr">
        <is>
          <t>Ready by: leave it empty for the time you sit down, or type a time, or a date and time.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30" t="inlineStr">
        <is>
          <t>Sit down at</t>
        </is>
      </c>
      <c r="C5" s="33" t="n">
        <v>0.625</v>
      </c>
      <c r="D5" s="1" t="n"/>
      <c r="E5" s="32" t="inlineStr">
        <is>
          <t>Minutes: prep before it cooks, cooking, and resting after.</t>
        </is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1" t="n"/>
      <c r="B6" s="30" t="inlineStr">
        <is>
          <t>Guests coming</t>
        </is>
      </c>
      <c r="C6" s="34">
        <f>SUMPRODUCT(($B$32:$B$51&lt;&gt;"")*($C$32:$C$51&lt;&gt;""))</f>
        <v/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 ht="30" customHeight="1">
      <c r="A8" s="1" t="n"/>
      <c r="B8" s="9" t="inlineStr">
        <is>
          <t>Dish</t>
        </is>
      </c>
      <c r="C8" s="9" t="inlineStr">
        <is>
          <t>Course</t>
        </is>
      </c>
      <c r="D8" s="9" t="inlineStr">
        <is>
          <t>Who makes it</t>
        </is>
      </c>
      <c r="E8" s="9" t="inlineStr">
        <is>
          <t>Ready by</t>
        </is>
      </c>
      <c r="F8" s="9" t="inlineStr">
        <is>
          <t>Prep (min)</t>
        </is>
      </c>
      <c r="G8" s="9" t="inlineStr">
        <is>
          <t>Cook (min)</t>
        </is>
      </c>
      <c r="H8" s="9" t="inlineStr">
        <is>
          <t>Rest (min)</t>
        </is>
      </c>
      <c r="I8" s="9" t="inlineStr">
        <is>
          <t>Start</t>
        </is>
      </c>
      <c r="J8" s="9" t="inlineStr">
        <is>
          <t>Done</t>
        </is>
      </c>
      <c r="K8" s="1" t="n"/>
      <c r="L8" s="9" t="inlineStr">
        <is>
          <t>When</t>
        </is>
      </c>
      <c r="M8" s="9" t="inlineStr">
        <is>
          <t>What to do</t>
        </is>
      </c>
      <c r="N8" s="1" t="n"/>
    </row>
    <row r="9">
      <c r="A9" s="1" t="n"/>
      <c r="B9" s="19" t="inlineStr">
        <is>
          <t>Prawn cocktail</t>
        </is>
      </c>
      <c r="C9" s="20" t="inlineStr">
        <is>
          <t>Starter</t>
        </is>
      </c>
      <c r="D9" s="20" t="inlineStr">
        <is>
          <t>Priya</t>
        </is>
      </c>
      <c r="E9" s="35" t="n"/>
      <c r="F9" s="36" t="n">
        <v>20</v>
      </c>
      <c r="G9" s="36" t="n"/>
      <c r="H9" s="36" t="n"/>
      <c r="I9" s="37">
        <f>IF(OR(B9="",(N(F9)+N(G9)+N(H9))=0),"",ROUND((IF(E9="",$C$4+$C$5,IF(E9&gt;=1,E9,$C$4+E9))-(N(F9)+N(G9)+N(H9))/1440)*1440,0)/1440)</f>
        <v/>
      </c>
      <c r="J9" s="22" t="n"/>
      <c r="K9" s="1" t="n"/>
      <c r="L9" s="37">
        <f>IF(O9="","",ROUND(O9*1440,0)/1440)</f>
        <v/>
      </c>
      <c r="M9" s="15">
        <f>IF(O9="","",IF(O9=$R$29,"Sit down to eat",IF(ISNUMBER(MATCH(O9,$R$9:$R$28,0)),"Prepare: "&amp;INDEX($B$9:$B$28,MATCH(O9,$R$9:$R$28,0)),IF(ISNUMBER(MATCH(O9,$S$9:$S$28,0)),"Cook: "&amp;INDEX($B$9:$B$28,MATCH(O9,$S$9:$S$28,0)),"Rest: "&amp;INDEX($B$9:$B$28,MATCH(O9,$T$9:$T$28,0))))))</f>
        <v/>
      </c>
      <c r="N9" s="1" t="n"/>
      <c r="O9">
        <f>IF(1&lt;=COUNT($R$9:$T$29),SMALL($R$9:$T$29,1),"")</f>
        <v/>
      </c>
      <c r="R9">
        <f>IF(OR(B9="",N(F9)=0),"",IF(E9="",$C$4+$C$5,IF(E9&gt;=1,E9,$C$4+E9))-(N(F9)+N(G9)+N(H9))/1440+(100+ROW())/10000000)</f>
        <v/>
      </c>
      <c r="S9">
        <f>IF(OR(B9="",N(G9)=0),"",IF(E9="",$C$4+$C$5,IF(E9&gt;=1,E9,$C$4+E9))-(N(G9)+N(H9))/1440+(200+ROW())/10000000)</f>
        <v/>
      </c>
      <c r="T9">
        <f>IF(OR(B9="",N(H9)=0),"",IF(E9="",$C$4+$C$5,IF(E9&gt;=1,E9,$C$4+E9))-N(H9)/1440+(300+ROW())/10000000)</f>
        <v/>
      </c>
    </row>
    <row r="10">
      <c r="A10" s="1" t="n"/>
      <c r="B10" s="19" t="inlineStr">
        <is>
          <t>Roast turkey</t>
        </is>
      </c>
      <c r="C10" s="20" t="inlineStr">
        <is>
          <t>Main</t>
        </is>
      </c>
      <c r="D10" s="20" t="inlineStr">
        <is>
          <t>Me</t>
        </is>
      </c>
      <c r="E10" s="35" t="n"/>
      <c r="F10" s="36" t="n">
        <v>30</v>
      </c>
      <c r="G10" s="36" t="n">
        <v>210</v>
      </c>
      <c r="H10" s="36" t="n">
        <v>45</v>
      </c>
      <c r="I10" s="37">
        <f>IF(OR(B10="",(N(F10)+N(G10)+N(H10))=0),"",ROUND((IF(E10="",$C$4+$C$5,IF(E10&gt;=1,E10,$C$4+E10))-(N(F10)+N(G10)+N(H10))/1440)*1440,0)/1440)</f>
        <v/>
      </c>
      <c r="J10" s="22" t="n"/>
      <c r="K10" s="1" t="n"/>
      <c r="L10" s="37">
        <f>IF(O10="","",ROUND(O10*1440,0)/1440)</f>
        <v/>
      </c>
      <c r="M10" s="15">
        <f>IF(O10="","",IF(O10=$R$29,"Sit down to eat",IF(ISNUMBER(MATCH(O10,$R$9:$R$28,0)),"Prepare: "&amp;INDEX($B$9:$B$28,MATCH(O10,$R$9:$R$28,0)),IF(ISNUMBER(MATCH(O10,$S$9:$S$28,0)),"Cook: "&amp;INDEX($B$9:$B$28,MATCH(O10,$S$9:$S$28,0)),"Rest: "&amp;INDEX($B$9:$B$28,MATCH(O10,$T$9:$T$28,0))))))</f>
        <v/>
      </c>
      <c r="N10" s="1" t="n"/>
      <c r="O10">
        <f>IF(2&lt;=COUNT($R$9:$T$29),SMALL($R$9:$T$29,2),"")</f>
        <v/>
      </c>
      <c r="R10">
        <f>IF(OR(B10="",N(F10)=0),"",IF(E10="",$C$4+$C$5,IF(E10&gt;=1,E10,$C$4+E10))-(N(F10)+N(G10)+N(H10))/1440+(100+ROW())/10000000)</f>
        <v/>
      </c>
      <c r="S10">
        <f>IF(OR(B10="",N(G10)=0),"",IF(E10="",$C$4+$C$5,IF(E10&gt;=1,E10,$C$4+E10))-(N(G10)+N(H10))/1440+(200+ROW())/10000000)</f>
        <v/>
      </c>
      <c r="T10">
        <f>IF(OR(B10="",N(H10)=0),"",IF(E10="",$C$4+$C$5,IF(E10&gt;=1,E10,$C$4+E10))-N(H10)/1440+(300+ROW())/10000000)</f>
        <v/>
      </c>
    </row>
    <row r="11">
      <c r="A11" s="1" t="n"/>
      <c r="B11" s="19" t="inlineStr">
        <is>
          <t>Roast potatoes</t>
        </is>
      </c>
      <c r="C11" s="20" t="inlineStr">
        <is>
          <t>Side</t>
        </is>
      </c>
      <c r="D11" s="20" t="inlineStr">
        <is>
          <t>Me</t>
        </is>
      </c>
      <c r="E11" s="35" t="n"/>
      <c r="F11" s="36" t="n">
        <v>20</v>
      </c>
      <c r="G11" s="36" t="n">
        <v>60</v>
      </c>
      <c r="H11" s="36" t="n"/>
      <c r="I11" s="37">
        <f>IF(OR(B11="",(N(F11)+N(G11)+N(H11))=0),"",ROUND((IF(E11="",$C$4+$C$5,IF(E11&gt;=1,E11,$C$4+E11))-(N(F11)+N(G11)+N(H11))/1440)*1440,0)/1440)</f>
        <v/>
      </c>
      <c r="J11" s="22" t="n"/>
      <c r="K11" s="1" t="n"/>
      <c r="L11" s="37">
        <f>IF(O11="","",ROUND(O11*1440,0)/1440)</f>
        <v/>
      </c>
      <c r="M11" s="15">
        <f>IF(O11="","",IF(O11=$R$29,"Sit down to eat",IF(ISNUMBER(MATCH(O11,$R$9:$R$28,0)),"Prepare: "&amp;INDEX($B$9:$B$28,MATCH(O11,$R$9:$R$28,0)),IF(ISNUMBER(MATCH(O11,$S$9:$S$28,0)),"Cook: "&amp;INDEX($B$9:$B$28,MATCH(O11,$S$9:$S$28,0)),"Rest: "&amp;INDEX($B$9:$B$28,MATCH(O11,$T$9:$T$28,0))))))</f>
        <v/>
      </c>
      <c r="N11" s="1" t="n"/>
      <c r="O11">
        <f>IF(3&lt;=COUNT($R$9:$T$29),SMALL($R$9:$T$29,3),"")</f>
        <v/>
      </c>
      <c r="R11">
        <f>IF(OR(B11="",N(F11)=0),"",IF(E11="",$C$4+$C$5,IF(E11&gt;=1,E11,$C$4+E11))-(N(F11)+N(G11)+N(H11))/1440+(100+ROW())/10000000)</f>
        <v/>
      </c>
      <c r="S11">
        <f>IF(OR(B11="",N(G11)=0),"",IF(E11="",$C$4+$C$5,IF(E11&gt;=1,E11,$C$4+E11))-(N(G11)+N(H11))/1440+(200+ROW())/10000000)</f>
        <v/>
      </c>
      <c r="T11">
        <f>IF(OR(B11="",N(H11)=0),"",IF(E11="",$C$4+$C$5,IF(E11&gt;=1,E11,$C$4+E11))-N(H11)/1440+(300+ROW())/10000000)</f>
        <v/>
      </c>
    </row>
    <row r="12">
      <c r="A12" s="1" t="n"/>
      <c r="B12" s="19" t="inlineStr">
        <is>
          <t>Stuffing</t>
        </is>
      </c>
      <c r="C12" s="20" t="inlineStr">
        <is>
          <t>Side</t>
        </is>
      </c>
      <c r="D12" s="20" t="inlineStr">
        <is>
          <t>Me</t>
        </is>
      </c>
      <c r="E12" s="35" t="n"/>
      <c r="F12" s="36" t="n">
        <v>15</v>
      </c>
      <c r="G12" s="36" t="n">
        <v>45</v>
      </c>
      <c r="H12" s="36" t="n"/>
      <c r="I12" s="37">
        <f>IF(OR(B12="",(N(F12)+N(G12)+N(H12))=0),"",ROUND((IF(E12="",$C$4+$C$5,IF(E12&gt;=1,E12,$C$4+E12))-(N(F12)+N(G12)+N(H12))/1440)*1440,0)/1440)</f>
        <v/>
      </c>
      <c r="J12" s="22" t="n"/>
      <c r="K12" s="1" t="n"/>
      <c r="L12" s="37">
        <f>IF(O12="","",ROUND(O12*1440,0)/1440)</f>
        <v/>
      </c>
      <c r="M12" s="15">
        <f>IF(O12="","",IF(O12=$R$29,"Sit down to eat",IF(ISNUMBER(MATCH(O12,$R$9:$R$28,0)),"Prepare: "&amp;INDEX($B$9:$B$28,MATCH(O12,$R$9:$R$28,0)),IF(ISNUMBER(MATCH(O12,$S$9:$S$28,0)),"Cook: "&amp;INDEX($B$9:$B$28,MATCH(O12,$S$9:$S$28,0)),"Rest: "&amp;INDEX($B$9:$B$28,MATCH(O12,$T$9:$T$28,0))))))</f>
        <v/>
      </c>
      <c r="N12" s="1" t="n"/>
      <c r="O12">
        <f>IF(4&lt;=COUNT($R$9:$T$29),SMALL($R$9:$T$29,4),"")</f>
        <v/>
      </c>
      <c r="R12">
        <f>IF(OR(B12="",N(F12)=0),"",IF(E12="",$C$4+$C$5,IF(E12&gt;=1,E12,$C$4+E12))-(N(F12)+N(G12)+N(H12))/1440+(100+ROW())/10000000)</f>
        <v/>
      </c>
      <c r="S12">
        <f>IF(OR(B12="",N(G12)=0),"",IF(E12="",$C$4+$C$5,IF(E12&gt;=1,E12,$C$4+E12))-(N(G12)+N(H12))/1440+(200+ROW())/10000000)</f>
        <v/>
      </c>
      <c r="T12">
        <f>IF(OR(B12="",N(H12)=0),"",IF(E12="",$C$4+$C$5,IF(E12&gt;=1,E12,$C$4+E12))-N(H12)/1440+(300+ROW())/10000000)</f>
        <v/>
      </c>
    </row>
    <row r="13">
      <c r="A13" s="1" t="n"/>
      <c r="B13" s="19" t="inlineStr">
        <is>
          <t>Glazed carrots</t>
        </is>
      </c>
      <c r="C13" s="20" t="inlineStr">
        <is>
          <t>Side</t>
        </is>
      </c>
      <c r="D13" s="20" t="inlineStr">
        <is>
          <t>Sam</t>
        </is>
      </c>
      <c r="E13" s="35" t="n"/>
      <c r="F13" s="36" t="n">
        <v>10</v>
      </c>
      <c r="G13" s="36" t="n">
        <v>30</v>
      </c>
      <c r="H13" s="36" t="n"/>
      <c r="I13" s="37">
        <f>IF(OR(B13="",(N(F13)+N(G13)+N(H13))=0),"",ROUND((IF(E13="",$C$4+$C$5,IF(E13&gt;=1,E13,$C$4+E13))-(N(F13)+N(G13)+N(H13))/1440)*1440,0)/1440)</f>
        <v/>
      </c>
      <c r="J13" s="22" t="n"/>
      <c r="K13" s="1" t="n"/>
      <c r="L13" s="37">
        <f>IF(O13="","",ROUND(O13*1440,0)/1440)</f>
        <v/>
      </c>
      <c r="M13" s="15">
        <f>IF(O13="","",IF(O13=$R$29,"Sit down to eat",IF(ISNUMBER(MATCH(O13,$R$9:$R$28,0)),"Prepare: "&amp;INDEX($B$9:$B$28,MATCH(O13,$R$9:$R$28,0)),IF(ISNUMBER(MATCH(O13,$S$9:$S$28,0)),"Cook: "&amp;INDEX($B$9:$B$28,MATCH(O13,$S$9:$S$28,0)),"Rest: "&amp;INDEX($B$9:$B$28,MATCH(O13,$T$9:$T$28,0))))))</f>
        <v/>
      </c>
      <c r="N13" s="1" t="n"/>
      <c r="O13">
        <f>IF(5&lt;=COUNT($R$9:$T$29),SMALL($R$9:$T$29,5),"")</f>
        <v/>
      </c>
      <c r="R13">
        <f>IF(OR(B13="",N(F13)=0),"",IF(E13="",$C$4+$C$5,IF(E13&gt;=1,E13,$C$4+E13))-(N(F13)+N(G13)+N(H13))/1440+(100+ROW())/10000000)</f>
        <v/>
      </c>
      <c r="S13">
        <f>IF(OR(B13="",N(G13)=0),"",IF(E13="",$C$4+$C$5,IF(E13&gt;=1,E13,$C$4+E13))-(N(G13)+N(H13))/1440+(200+ROW())/10000000)</f>
        <v/>
      </c>
      <c r="T13">
        <f>IF(OR(B13="",N(H13)=0),"",IF(E13="",$C$4+$C$5,IF(E13&gt;=1,E13,$C$4+E13))-N(H13)/1440+(300+ROW())/10000000)</f>
        <v/>
      </c>
    </row>
    <row r="14">
      <c r="A14" s="1" t="n"/>
      <c r="B14" s="19" t="inlineStr">
        <is>
          <t>Green beans</t>
        </is>
      </c>
      <c r="C14" s="20" t="inlineStr">
        <is>
          <t>Side</t>
        </is>
      </c>
      <c r="D14" s="20" t="inlineStr">
        <is>
          <t>Me</t>
        </is>
      </c>
      <c r="E14" s="35" t="n"/>
      <c r="F14" s="36" t="n">
        <v>10</v>
      </c>
      <c r="G14" s="36" t="n">
        <v>10</v>
      </c>
      <c r="H14" s="36" t="n"/>
      <c r="I14" s="37">
        <f>IF(OR(B14="",(N(F14)+N(G14)+N(H14))=0),"",ROUND((IF(E14="",$C$4+$C$5,IF(E14&gt;=1,E14,$C$4+E14))-(N(F14)+N(G14)+N(H14))/1440)*1440,0)/1440)</f>
        <v/>
      </c>
      <c r="J14" s="22" t="n"/>
      <c r="K14" s="1" t="n"/>
      <c r="L14" s="37">
        <f>IF(O14="","",ROUND(O14*1440,0)/1440)</f>
        <v/>
      </c>
      <c r="M14" s="15">
        <f>IF(O14="","",IF(O14=$R$29,"Sit down to eat",IF(ISNUMBER(MATCH(O14,$R$9:$R$28,0)),"Prepare: "&amp;INDEX($B$9:$B$28,MATCH(O14,$R$9:$R$28,0)),IF(ISNUMBER(MATCH(O14,$S$9:$S$28,0)),"Cook: "&amp;INDEX($B$9:$B$28,MATCH(O14,$S$9:$S$28,0)),"Rest: "&amp;INDEX($B$9:$B$28,MATCH(O14,$T$9:$T$28,0))))))</f>
        <v/>
      </c>
      <c r="N14" s="1" t="n"/>
      <c r="O14">
        <f>IF(6&lt;=COUNT($R$9:$T$29),SMALL($R$9:$T$29,6),"")</f>
        <v/>
      </c>
      <c r="R14">
        <f>IF(OR(B14="",N(F14)=0),"",IF(E14="",$C$4+$C$5,IF(E14&gt;=1,E14,$C$4+E14))-(N(F14)+N(G14)+N(H14))/1440+(100+ROW())/10000000)</f>
        <v/>
      </c>
      <c r="S14">
        <f>IF(OR(B14="",N(G14)=0),"",IF(E14="",$C$4+$C$5,IF(E14&gt;=1,E14,$C$4+E14))-(N(G14)+N(H14))/1440+(200+ROW())/10000000)</f>
        <v/>
      </c>
      <c r="T14">
        <f>IF(OR(B14="",N(H14)=0),"",IF(E14="",$C$4+$C$5,IF(E14&gt;=1,E14,$C$4+E14))-N(H14)/1440+(300+ROW())/10000000)</f>
        <v/>
      </c>
    </row>
    <row r="15">
      <c r="A15" s="1" t="n"/>
      <c r="B15" s="19" t="inlineStr">
        <is>
          <t>Gravy</t>
        </is>
      </c>
      <c r="C15" s="20" t="inlineStr">
        <is>
          <t>Side</t>
        </is>
      </c>
      <c r="D15" s="20" t="inlineStr">
        <is>
          <t>Me</t>
        </is>
      </c>
      <c r="E15" s="35" t="n"/>
      <c r="F15" s="36" t="n">
        <v>5</v>
      </c>
      <c r="G15" s="36" t="n">
        <v>15</v>
      </c>
      <c r="H15" s="36" t="n"/>
      <c r="I15" s="37">
        <f>IF(OR(B15="",(N(F15)+N(G15)+N(H15))=0),"",ROUND((IF(E15="",$C$4+$C$5,IF(E15&gt;=1,E15,$C$4+E15))-(N(F15)+N(G15)+N(H15))/1440)*1440,0)/1440)</f>
        <v/>
      </c>
      <c r="J15" s="22" t="n"/>
      <c r="K15" s="1" t="n"/>
      <c r="L15" s="37">
        <f>IF(O15="","",ROUND(O15*1440,0)/1440)</f>
        <v/>
      </c>
      <c r="M15" s="15">
        <f>IF(O15="","",IF(O15=$R$29,"Sit down to eat",IF(ISNUMBER(MATCH(O15,$R$9:$R$28,0)),"Prepare: "&amp;INDEX($B$9:$B$28,MATCH(O15,$R$9:$R$28,0)),IF(ISNUMBER(MATCH(O15,$S$9:$S$28,0)),"Cook: "&amp;INDEX($B$9:$B$28,MATCH(O15,$S$9:$S$28,0)),"Rest: "&amp;INDEX($B$9:$B$28,MATCH(O15,$T$9:$T$28,0))))))</f>
        <v/>
      </c>
      <c r="N15" s="1" t="n"/>
      <c r="O15">
        <f>IF(7&lt;=COUNT($R$9:$T$29),SMALL($R$9:$T$29,7),"")</f>
        <v/>
      </c>
      <c r="R15">
        <f>IF(OR(B15="",N(F15)=0),"",IF(E15="",$C$4+$C$5,IF(E15&gt;=1,E15,$C$4+E15))-(N(F15)+N(G15)+N(H15))/1440+(100+ROW())/10000000)</f>
        <v/>
      </c>
      <c r="S15">
        <f>IF(OR(B15="",N(G15)=0),"",IF(E15="",$C$4+$C$5,IF(E15&gt;=1,E15,$C$4+E15))-(N(G15)+N(H15))/1440+(200+ROW())/10000000)</f>
        <v/>
      </c>
      <c r="T15">
        <f>IF(OR(B15="",N(H15)=0),"",IF(E15="",$C$4+$C$5,IF(E15&gt;=1,E15,$C$4+E15))-N(H15)/1440+(300+ROW())/10000000)</f>
        <v/>
      </c>
    </row>
    <row r="16">
      <c r="A16" s="1" t="n"/>
      <c r="B16" s="19" t="inlineStr">
        <is>
          <t>Cranberry sauce</t>
        </is>
      </c>
      <c r="C16" s="20" t="inlineStr">
        <is>
          <t>Side</t>
        </is>
      </c>
      <c r="D16" s="20" t="inlineStr">
        <is>
          <t>Grandma</t>
        </is>
      </c>
      <c r="E16" s="35" t="n"/>
      <c r="F16" s="36" t="n"/>
      <c r="G16" s="36" t="n"/>
      <c r="H16" s="36" t="n"/>
      <c r="I16" s="37">
        <f>IF(OR(B16="",(N(F16)+N(G16)+N(H16))=0),"",ROUND((IF(E16="",$C$4+$C$5,IF(E16&gt;=1,E16,$C$4+E16))-(N(F16)+N(G16)+N(H16))/1440)*1440,0)/1440)</f>
        <v/>
      </c>
      <c r="J16" s="22" t="n"/>
      <c r="K16" s="1" t="n"/>
      <c r="L16" s="37">
        <f>IF(O16="","",ROUND(O16*1440,0)/1440)</f>
        <v/>
      </c>
      <c r="M16" s="15">
        <f>IF(O16="","",IF(O16=$R$29,"Sit down to eat",IF(ISNUMBER(MATCH(O16,$R$9:$R$28,0)),"Prepare: "&amp;INDEX($B$9:$B$28,MATCH(O16,$R$9:$R$28,0)),IF(ISNUMBER(MATCH(O16,$S$9:$S$28,0)),"Cook: "&amp;INDEX($B$9:$B$28,MATCH(O16,$S$9:$S$28,0)),"Rest: "&amp;INDEX($B$9:$B$28,MATCH(O16,$T$9:$T$28,0))))))</f>
        <v/>
      </c>
      <c r="N16" s="1" t="n"/>
      <c r="O16">
        <f>IF(8&lt;=COUNT($R$9:$T$29),SMALL($R$9:$T$29,8),"")</f>
        <v/>
      </c>
      <c r="R16">
        <f>IF(OR(B16="",N(F16)=0),"",IF(E16="",$C$4+$C$5,IF(E16&gt;=1,E16,$C$4+E16))-(N(F16)+N(G16)+N(H16))/1440+(100+ROW())/10000000)</f>
        <v/>
      </c>
      <c r="S16">
        <f>IF(OR(B16="",N(G16)=0),"",IF(E16="",$C$4+$C$5,IF(E16&gt;=1,E16,$C$4+E16))-(N(G16)+N(H16))/1440+(200+ROW())/10000000)</f>
        <v/>
      </c>
      <c r="T16">
        <f>IF(OR(B16="",N(H16)=0),"",IF(E16="",$C$4+$C$5,IF(E16&gt;=1,E16,$C$4+E16))-N(H16)/1440+(300+ROW())/10000000)</f>
        <v/>
      </c>
    </row>
    <row r="17">
      <c r="A17" s="1" t="n"/>
      <c r="B17" s="19" t="inlineStr">
        <is>
          <t>Christmas pudding</t>
        </is>
      </c>
      <c r="C17" s="20" t="inlineStr">
        <is>
          <t>Dessert</t>
        </is>
      </c>
      <c r="D17" s="20" t="inlineStr">
        <is>
          <t>Grandma</t>
        </is>
      </c>
      <c r="E17" s="35" t="n">
        <v>0.6666666666666666</v>
      </c>
      <c r="F17" s="36" t="n"/>
      <c r="G17" s="36" t="n">
        <v>120</v>
      </c>
      <c r="H17" s="36" t="n"/>
      <c r="I17" s="37">
        <f>IF(OR(B17="",(N(F17)+N(G17)+N(H17))=0),"",ROUND((IF(E17="",$C$4+$C$5,IF(E17&gt;=1,E17,$C$4+E17))-(N(F17)+N(G17)+N(H17))/1440)*1440,0)/1440)</f>
        <v/>
      </c>
      <c r="J17" s="22" t="n"/>
      <c r="K17" s="1" t="n"/>
      <c r="L17" s="37">
        <f>IF(O17="","",ROUND(O17*1440,0)/1440)</f>
        <v/>
      </c>
      <c r="M17" s="15">
        <f>IF(O17="","",IF(O17=$R$29,"Sit down to eat",IF(ISNUMBER(MATCH(O17,$R$9:$R$28,0)),"Prepare: "&amp;INDEX($B$9:$B$28,MATCH(O17,$R$9:$R$28,0)),IF(ISNUMBER(MATCH(O17,$S$9:$S$28,0)),"Cook: "&amp;INDEX($B$9:$B$28,MATCH(O17,$S$9:$S$28,0)),"Rest: "&amp;INDEX($B$9:$B$28,MATCH(O17,$T$9:$T$28,0))))))</f>
        <v/>
      </c>
      <c r="N17" s="1" t="n"/>
      <c r="O17">
        <f>IF(9&lt;=COUNT($R$9:$T$29),SMALL($R$9:$T$29,9),"")</f>
        <v/>
      </c>
      <c r="R17">
        <f>IF(OR(B17="",N(F17)=0),"",IF(E17="",$C$4+$C$5,IF(E17&gt;=1,E17,$C$4+E17))-(N(F17)+N(G17)+N(H17))/1440+(100+ROW())/10000000)</f>
        <v/>
      </c>
      <c r="S17">
        <f>IF(OR(B17="",N(G17)=0),"",IF(E17="",$C$4+$C$5,IF(E17&gt;=1,E17,$C$4+E17))-(N(G17)+N(H17))/1440+(200+ROW())/10000000)</f>
        <v/>
      </c>
      <c r="T17">
        <f>IF(OR(B17="",N(H17)=0),"",IF(E17="",$C$4+$C$5,IF(E17&gt;=1,E17,$C$4+E17))-N(H17)/1440+(300+ROW())/10000000)</f>
        <v/>
      </c>
    </row>
    <row r="18">
      <c r="A18" s="1" t="n"/>
      <c r="B18" s="19" t="inlineStr">
        <is>
          <t>Trifle</t>
        </is>
      </c>
      <c r="C18" s="20" t="inlineStr">
        <is>
          <t>Dessert</t>
        </is>
      </c>
      <c r="D18" s="20" t="inlineStr">
        <is>
          <t>Me</t>
        </is>
      </c>
      <c r="E18" s="38" t="n">
        <v>46380.83333333334</v>
      </c>
      <c r="F18" s="36" t="n">
        <v>40</v>
      </c>
      <c r="G18" s="36" t="n"/>
      <c r="H18" s="36" t="n"/>
      <c r="I18" s="37">
        <f>IF(OR(B18="",(N(F18)+N(G18)+N(H18))=0),"",ROUND((IF(E18="",$C$4+$C$5,IF(E18&gt;=1,E18,$C$4+E18))-(N(F18)+N(G18)+N(H18))/1440)*1440,0)/1440)</f>
        <v/>
      </c>
      <c r="J18" s="22" t="n"/>
      <c r="K18" s="1" t="n"/>
      <c r="L18" s="37">
        <f>IF(O18="","",ROUND(O18*1440,0)/1440)</f>
        <v/>
      </c>
      <c r="M18" s="15">
        <f>IF(O18="","",IF(O18=$R$29,"Sit down to eat",IF(ISNUMBER(MATCH(O18,$R$9:$R$28,0)),"Prepare: "&amp;INDEX($B$9:$B$28,MATCH(O18,$R$9:$R$28,0)),IF(ISNUMBER(MATCH(O18,$S$9:$S$28,0)),"Cook: "&amp;INDEX($B$9:$B$28,MATCH(O18,$S$9:$S$28,0)),"Rest: "&amp;INDEX($B$9:$B$28,MATCH(O18,$T$9:$T$28,0))))))</f>
        <v/>
      </c>
      <c r="N18" s="1" t="n"/>
      <c r="O18">
        <f>IF(10&lt;=COUNT($R$9:$T$29),SMALL($R$9:$T$29,10),"")</f>
        <v/>
      </c>
      <c r="R18">
        <f>IF(OR(B18="",N(F18)=0),"",IF(E18="",$C$4+$C$5,IF(E18&gt;=1,E18,$C$4+E18))-(N(F18)+N(G18)+N(H18))/1440+(100+ROW())/10000000)</f>
        <v/>
      </c>
      <c r="S18">
        <f>IF(OR(B18="",N(G18)=0),"",IF(E18="",$C$4+$C$5,IF(E18&gt;=1,E18,$C$4+E18))-(N(G18)+N(H18))/1440+(200+ROW())/10000000)</f>
        <v/>
      </c>
      <c r="T18">
        <f>IF(OR(B18="",N(H18)=0),"",IF(E18="",$C$4+$C$5,IF(E18&gt;=1,E18,$C$4+E18))-N(H18)/1440+(300+ROW())/10000000)</f>
        <v/>
      </c>
    </row>
    <row r="19">
      <c r="A19" s="1" t="n"/>
      <c r="B19" s="19" t="inlineStr">
        <is>
          <t>Mulled wine</t>
        </is>
      </c>
      <c r="C19" s="20" t="inlineStr">
        <is>
          <t>Drinks</t>
        </is>
      </c>
      <c r="D19" s="20" t="inlineStr">
        <is>
          <t>Tom</t>
        </is>
      </c>
      <c r="E19" s="35" t="n">
        <v>0.6041666666666666</v>
      </c>
      <c r="F19" s="36" t="n">
        <v>5</v>
      </c>
      <c r="G19" s="36" t="n">
        <v>20</v>
      </c>
      <c r="H19" s="36" t="n"/>
      <c r="I19" s="37">
        <f>IF(OR(B19="",(N(F19)+N(G19)+N(H19))=0),"",ROUND((IF(E19="",$C$4+$C$5,IF(E19&gt;=1,E19,$C$4+E19))-(N(F19)+N(G19)+N(H19))/1440)*1440,0)/1440)</f>
        <v/>
      </c>
      <c r="J19" s="22" t="n"/>
      <c r="K19" s="1" t="n"/>
      <c r="L19" s="37">
        <f>IF(O19="","",ROUND(O19*1440,0)/1440)</f>
        <v/>
      </c>
      <c r="M19" s="15">
        <f>IF(O19="","",IF(O19=$R$29,"Sit down to eat",IF(ISNUMBER(MATCH(O19,$R$9:$R$28,0)),"Prepare: "&amp;INDEX($B$9:$B$28,MATCH(O19,$R$9:$R$28,0)),IF(ISNUMBER(MATCH(O19,$S$9:$S$28,0)),"Cook: "&amp;INDEX($B$9:$B$28,MATCH(O19,$S$9:$S$28,0)),"Rest: "&amp;INDEX($B$9:$B$28,MATCH(O19,$T$9:$T$28,0))))))</f>
        <v/>
      </c>
      <c r="N19" s="1" t="n"/>
      <c r="O19">
        <f>IF(11&lt;=COUNT($R$9:$T$29),SMALL($R$9:$T$29,11),"")</f>
        <v/>
      </c>
      <c r="R19">
        <f>IF(OR(B19="",N(F19)=0),"",IF(E19="",$C$4+$C$5,IF(E19&gt;=1,E19,$C$4+E19))-(N(F19)+N(G19)+N(H19))/1440+(100+ROW())/10000000)</f>
        <v/>
      </c>
      <c r="S19">
        <f>IF(OR(B19="",N(G19)=0),"",IF(E19="",$C$4+$C$5,IF(E19&gt;=1,E19,$C$4+E19))-(N(G19)+N(H19))/1440+(200+ROW())/10000000)</f>
        <v/>
      </c>
      <c r="T19">
        <f>IF(OR(B19="",N(H19)=0),"",IF(E19="",$C$4+$C$5,IF(E19&gt;=1,E19,$C$4+E19))-N(H19)/1440+(300+ROW())/10000000)</f>
        <v/>
      </c>
    </row>
    <row r="20">
      <c r="A20" s="1" t="n"/>
      <c r="B20" s="19" t="n"/>
      <c r="C20" s="20" t="n"/>
      <c r="D20" s="20" t="n"/>
      <c r="E20" s="35" t="n"/>
      <c r="F20" s="36" t="n"/>
      <c r="G20" s="36" t="n"/>
      <c r="H20" s="36" t="n"/>
      <c r="I20" s="37">
        <f>IF(OR(B20="",(N(F20)+N(G20)+N(H20))=0),"",ROUND((IF(E20="",$C$4+$C$5,IF(E20&gt;=1,E20,$C$4+E20))-(N(F20)+N(G20)+N(H20))/1440)*1440,0)/1440)</f>
        <v/>
      </c>
      <c r="J20" s="22" t="n"/>
      <c r="K20" s="1" t="n"/>
      <c r="L20" s="37">
        <f>IF(O20="","",ROUND(O20*1440,0)/1440)</f>
        <v/>
      </c>
      <c r="M20" s="15">
        <f>IF(O20="","",IF(O20=$R$29,"Sit down to eat",IF(ISNUMBER(MATCH(O20,$R$9:$R$28,0)),"Prepare: "&amp;INDEX($B$9:$B$28,MATCH(O20,$R$9:$R$28,0)),IF(ISNUMBER(MATCH(O20,$S$9:$S$28,0)),"Cook: "&amp;INDEX($B$9:$B$28,MATCH(O20,$S$9:$S$28,0)),"Rest: "&amp;INDEX($B$9:$B$28,MATCH(O20,$T$9:$T$28,0))))))</f>
        <v/>
      </c>
      <c r="N20" s="1" t="n"/>
      <c r="O20">
        <f>IF(12&lt;=COUNT($R$9:$T$29),SMALL($R$9:$T$29,12),"")</f>
        <v/>
      </c>
      <c r="R20">
        <f>IF(OR(B20="",N(F20)=0),"",IF(E20="",$C$4+$C$5,IF(E20&gt;=1,E20,$C$4+E20))-(N(F20)+N(G20)+N(H20))/1440+(100+ROW())/10000000)</f>
        <v/>
      </c>
      <c r="S20">
        <f>IF(OR(B20="",N(G20)=0),"",IF(E20="",$C$4+$C$5,IF(E20&gt;=1,E20,$C$4+E20))-(N(G20)+N(H20))/1440+(200+ROW())/10000000)</f>
        <v/>
      </c>
      <c r="T20">
        <f>IF(OR(B20="",N(H20)=0),"",IF(E20="",$C$4+$C$5,IF(E20&gt;=1,E20,$C$4+E20))-N(H20)/1440+(300+ROW())/10000000)</f>
        <v/>
      </c>
    </row>
    <row r="21">
      <c r="A21" s="1" t="n"/>
      <c r="B21" s="19" t="n"/>
      <c r="C21" s="20" t="n"/>
      <c r="D21" s="20" t="n"/>
      <c r="E21" s="35" t="n"/>
      <c r="F21" s="36" t="n"/>
      <c r="G21" s="36" t="n"/>
      <c r="H21" s="36" t="n"/>
      <c r="I21" s="37">
        <f>IF(OR(B21="",(N(F21)+N(G21)+N(H21))=0),"",ROUND((IF(E21="",$C$4+$C$5,IF(E21&gt;=1,E21,$C$4+E21))-(N(F21)+N(G21)+N(H21))/1440)*1440,0)/1440)</f>
        <v/>
      </c>
      <c r="J21" s="22" t="n"/>
      <c r="K21" s="1" t="n"/>
      <c r="L21" s="37">
        <f>IF(O21="","",ROUND(O21*1440,0)/1440)</f>
        <v/>
      </c>
      <c r="M21" s="15">
        <f>IF(O21="","",IF(O21=$R$29,"Sit down to eat",IF(ISNUMBER(MATCH(O21,$R$9:$R$28,0)),"Prepare: "&amp;INDEX($B$9:$B$28,MATCH(O21,$R$9:$R$28,0)),IF(ISNUMBER(MATCH(O21,$S$9:$S$28,0)),"Cook: "&amp;INDEX($B$9:$B$28,MATCH(O21,$S$9:$S$28,0)),"Rest: "&amp;INDEX($B$9:$B$28,MATCH(O21,$T$9:$T$28,0))))))</f>
        <v/>
      </c>
      <c r="N21" s="1" t="n"/>
      <c r="O21">
        <f>IF(13&lt;=COUNT($R$9:$T$29),SMALL($R$9:$T$29,13),"")</f>
        <v/>
      </c>
      <c r="R21">
        <f>IF(OR(B21="",N(F21)=0),"",IF(E21="",$C$4+$C$5,IF(E21&gt;=1,E21,$C$4+E21))-(N(F21)+N(G21)+N(H21))/1440+(100+ROW())/10000000)</f>
        <v/>
      </c>
      <c r="S21">
        <f>IF(OR(B21="",N(G21)=0),"",IF(E21="",$C$4+$C$5,IF(E21&gt;=1,E21,$C$4+E21))-(N(G21)+N(H21))/1440+(200+ROW())/10000000)</f>
        <v/>
      </c>
      <c r="T21">
        <f>IF(OR(B21="",N(H21)=0),"",IF(E21="",$C$4+$C$5,IF(E21&gt;=1,E21,$C$4+E21))-N(H21)/1440+(300+ROW())/10000000)</f>
        <v/>
      </c>
    </row>
    <row r="22">
      <c r="A22" s="1" t="n"/>
      <c r="B22" s="19" t="n"/>
      <c r="C22" s="20" t="n"/>
      <c r="D22" s="20" t="n"/>
      <c r="E22" s="35" t="n"/>
      <c r="F22" s="36" t="n"/>
      <c r="G22" s="36" t="n"/>
      <c r="H22" s="36" t="n"/>
      <c r="I22" s="37">
        <f>IF(OR(B22="",(N(F22)+N(G22)+N(H22))=0),"",ROUND((IF(E22="",$C$4+$C$5,IF(E22&gt;=1,E22,$C$4+E22))-(N(F22)+N(G22)+N(H22))/1440)*1440,0)/1440)</f>
        <v/>
      </c>
      <c r="J22" s="22" t="n"/>
      <c r="K22" s="1" t="n"/>
      <c r="L22" s="37">
        <f>IF(O22="","",ROUND(O22*1440,0)/1440)</f>
        <v/>
      </c>
      <c r="M22" s="15">
        <f>IF(O22="","",IF(O22=$R$29,"Sit down to eat",IF(ISNUMBER(MATCH(O22,$R$9:$R$28,0)),"Prepare: "&amp;INDEX($B$9:$B$28,MATCH(O22,$R$9:$R$28,0)),IF(ISNUMBER(MATCH(O22,$S$9:$S$28,0)),"Cook: "&amp;INDEX($B$9:$B$28,MATCH(O22,$S$9:$S$28,0)),"Rest: "&amp;INDEX($B$9:$B$28,MATCH(O22,$T$9:$T$28,0))))))</f>
        <v/>
      </c>
      <c r="N22" s="1" t="n"/>
      <c r="O22">
        <f>IF(14&lt;=COUNT($R$9:$T$29),SMALL($R$9:$T$29,14),"")</f>
        <v/>
      </c>
      <c r="R22">
        <f>IF(OR(B22="",N(F22)=0),"",IF(E22="",$C$4+$C$5,IF(E22&gt;=1,E22,$C$4+E22))-(N(F22)+N(G22)+N(H22))/1440+(100+ROW())/10000000)</f>
        <v/>
      </c>
      <c r="S22">
        <f>IF(OR(B22="",N(G22)=0),"",IF(E22="",$C$4+$C$5,IF(E22&gt;=1,E22,$C$4+E22))-(N(G22)+N(H22))/1440+(200+ROW())/10000000)</f>
        <v/>
      </c>
      <c r="T22">
        <f>IF(OR(B22="",N(H22)=0),"",IF(E22="",$C$4+$C$5,IF(E22&gt;=1,E22,$C$4+E22))-N(H22)/1440+(300+ROW())/10000000)</f>
        <v/>
      </c>
    </row>
    <row r="23">
      <c r="A23" s="1" t="n"/>
      <c r="B23" s="19" t="n"/>
      <c r="C23" s="20" t="n"/>
      <c r="D23" s="20" t="n"/>
      <c r="E23" s="35" t="n"/>
      <c r="F23" s="36" t="n"/>
      <c r="G23" s="36" t="n"/>
      <c r="H23" s="36" t="n"/>
      <c r="I23" s="37">
        <f>IF(OR(B23="",(N(F23)+N(G23)+N(H23))=0),"",ROUND((IF(E23="",$C$4+$C$5,IF(E23&gt;=1,E23,$C$4+E23))-(N(F23)+N(G23)+N(H23))/1440)*1440,0)/1440)</f>
        <v/>
      </c>
      <c r="J23" s="22" t="n"/>
      <c r="K23" s="1" t="n"/>
      <c r="L23" s="37">
        <f>IF(O23="","",ROUND(O23*1440,0)/1440)</f>
        <v/>
      </c>
      <c r="M23" s="15">
        <f>IF(O23="","",IF(O23=$R$29,"Sit down to eat",IF(ISNUMBER(MATCH(O23,$R$9:$R$28,0)),"Prepare: "&amp;INDEX($B$9:$B$28,MATCH(O23,$R$9:$R$28,0)),IF(ISNUMBER(MATCH(O23,$S$9:$S$28,0)),"Cook: "&amp;INDEX($B$9:$B$28,MATCH(O23,$S$9:$S$28,0)),"Rest: "&amp;INDEX($B$9:$B$28,MATCH(O23,$T$9:$T$28,0))))))</f>
        <v/>
      </c>
      <c r="N23" s="1" t="n"/>
      <c r="O23">
        <f>IF(15&lt;=COUNT($R$9:$T$29),SMALL($R$9:$T$29,15),"")</f>
        <v/>
      </c>
      <c r="R23">
        <f>IF(OR(B23="",N(F23)=0),"",IF(E23="",$C$4+$C$5,IF(E23&gt;=1,E23,$C$4+E23))-(N(F23)+N(G23)+N(H23))/1440+(100+ROW())/10000000)</f>
        <v/>
      </c>
      <c r="S23">
        <f>IF(OR(B23="",N(G23)=0),"",IF(E23="",$C$4+$C$5,IF(E23&gt;=1,E23,$C$4+E23))-(N(G23)+N(H23))/1440+(200+ROW())/10000000)</f>
        <v/>
      </c>
      <c r="T23">
        <f>IF(OR(B23="",N(H23)=0),"",IF(E23="",$C$4+$C$5,IF(E23&gt;=1,E23,$C$4+E23))-N(H23)/1440+(300+ROW())/10000000)</f>
        <v/>
      </c>
    </row>
    <row r="24">
      <c r="A24" s="1" t="n"/>
      <c r="B24" s="19" t="n"/>
      <c r="C24" s="20" t="n"/>
      <c r="D24" s="20" t="n"/>
      <c r="E24" s="35" t="n"/>
      <c r="F24" s="36" t="n"/>
      <c r="G24" s="36" t="n"/>
      <c r="H24" s="36" t="n"/>
      <c r="I24" s="37">
        <f>IF(OR(B24="",(N(F24)+N(G24)+N(H24))=0),"",ROUND((IF(E24="",$C$4+$C$5,IF(E24&gt;=1,E24,$C$4+E24))-(N(F24)+N(G24)+N(H24))/1440)*1440,0)/1440)</f>
        <v/>
      </c>
      <c r="J24" s="22" t="n"/>
      <c r="K24" s="1" t="n"/>
      <c r="L24" s="37">
        <f>IF(O24="","",ROUND(O24*1440,0)/1440)</f>
        <v/>
      </c>
      <c r="M24" s="15">
        <f>IF(O24="","",IF(O24=$R$29,"Sit down to eat",IF(ISNUMBER(MATCH(O24,$R$9:$R$28,0)),"Prepare: "&amp;INDEX($B$9:$B$28,MATCH(O24,$R$9:$R$28,0)),IF(ISNUMBER(MATCH(O24,$S$9:$S$28,0)),"Cook: "&amp;INDEX($B$9:$B$28,MATCH(O24,$S$9:$S$28,0)),"Rest: "&amp;INDEX($B$9:$B$28,MATCH(O24,$T$9:$T$28,0))))))</f>
        <v/>
      </c>
      <c r="N24" s="1" t="n"/>
      <c r="O24">
        <f>IF(16&lt;=COUNT($R$9:$T$29),SMALL($R$9:$T$29,16),"")</f>
        <v/>
      </c>
      <c r="R24">
        <f>IF(OR(B24="",N(F24)=0),"",IF(E24="",$C$4+$C$5,IF(E24&gt;=1,E24,$C$4+E24))-(N(F24)+N(G24)+N(H24))/1440+(100+ROW())/10000000)</f>
        <v/>
      </c>
      <c r="S24">
        <f>IF(OR(B24="",N(G24)=0),"",IF(E24="",$C$4+$C$5,IF(E24&gt;=1,E24,$C$4+E24))-(N(G24)+N(H24))/1440+(200+ROW())/10000000)</f>
        <v/>
      </c>
      <c r="T24">
        <f>IF(OR(B24="",N(H24)=0),"",IF(E24="",$C$4+$C$5,IF(E24&gt;=1,E24,$C$4+E24))-N(H24)/1440+(300+ROW())/10000000)</f>
        <v/>
      </c>
    </row>
    <row r="25">
      <c r="A25" s="1" t="n"/>
      <c r="B25" s="19" t="n"/>
      <c r="C25" s="20" t="n"/>
      <c r="D25" s="20" t="n"/>
      <c r="E25" s="35" t="n"/>
      <c r="F25" s="36" t="n"/>
      <c r="G25" s="36" t="n"/>
      <c r="H25" s="36" t="n"/>
      <c r="I25" s="37">
        <f>IF(OR(B25="",(N(F25)+N(G25)+N(H25))=0),"",ROUND((IF(E25="",$C$4+$C$5,IF(E25&gt;=1,E25,$C$4+E25))-(N(F25)+N(G25)+N(H25))/1440)*1440,0)/1440)</f>
        <v/>
      </c>
      <c r="J25" s="22" t="n"/>
      <c r="K25" s="1" t="n"/>
      <c r="L25" s="37">
        <f>IF(O25="","",ROUND(O25*1440,0)/1440)</f>
        <v/>
      </c>
      <c r="M25" s="15">
        <f>IF(O25="","",IF(O25=$R$29,"Sit down to eat",IF(ISNUMBER(MATCH(O25,$R$9:$R$28,0)),"Prepare: "&amp;INDEX($B$9:$B$28,MATCH(O25,$R$9:$R$28,0)),IF(ISNUMBER(MATCH(O25,$S$9:$S$28,0)),"Cook: "&amp;INDEX($B$9:$B$28,MATCH(O25,$S$9:$S$28,0)),"Rest: "&amp;INDEX($B$9:$B$28,MATCH(O25,$T$9:$T$28,0))))))</f>
        <v/>
      </c>
      <c r="N25" s="1" t="n"/>
      <c r="O25">
        <f>IF(17&lt;=COUNT($R$9:$T$29),SMALL($R$9:$T$29,17),"")</f>
        <v/>
      </c>
      <c r="R25">
        <f>IF(OR(B25="",N(F25)=0),"",IF(E25="",$C$4+$C$5,IF(E25&gt;=1,E25,$C$4+E25))-(N(F25)+N(G25)+N(H25))/1440+(100+ROW())/10000000)</f>
        <v/>
      </c>
      <c r="S25">
        <f>IF(OR(B25="",N(G25)=0),"",IF(E25="",$C$4+$C$5,IF(E25&gt;=1,E25,$C$4+E25))-(N(G25)+N(H25))/1440+(200+ROW())/10000000)</f>
        <v/>
      </c>
      <c r="T25">
        <f>IF(OR(B25="",N(H25)=0),"",IF(E25="",$C$4+$C$5,IF(E25&gt;=1,E25,$C$4+E25))-N(H25)/1440+(300+ROW())/10000000)</f>
        <v/>
      </c>
    </row>
    <row r="26">
      <c r="A26" s="1" t="n"/>
      <c r="B26" s="19" t="n"/>
      <c r="C26" s="20" t="n"/>
      <c r="D26" s="20" t="n"/>
      <c r="E26" s="35" t="n"/>
      <c r="F26" s="36" t="n"/>
      <c r="G26" s="36" t="n"/>
      <c r="H26" s="36" t="n"/>
      <c r="I26" s="37">
        <f>IF(OR(B26="",(N(F26)+N(G26)+N(H26))=0),"",ROUND((IF(E26="",$C$4+$C$5,IF(E26&gt;=1,E26,$C$4+E26))-(N(F26)+N(G26)+N(H26))/1440)*1440,0)/1440)</f>
        <v/>
      </c>
      <c r="J26" s="22" t="n"/>
      <c r="K26" s="1" t="n"/>
      <c r="L26" s="37">
        <f>IF(O26="","",ROUND(O26*1440,0)/1440)</f>
        <v/>
      </c>
      <c r="M26" s="15">
        <f>IF(O26="","",IF(O26=$R$29,"Sit down to eat",IF(ISNUMBER(MATCH(O26,$R$9:$R$28,0)),"Prepare: "&amp;INDEX($B$9:$B$28,MATCH(O26,$R$9:$R$28,0)),IF(ISNUMBER(MATCH(O26,$S$9:$S$28,0)),"Cook: "&amp;INDEX($B$9:$B$28,MATCH(O26,$S$9:$S$28,0)),"Rest: "&amp;INDEX($B$9:$B$28,MATCH(O26,$T$9:$T$28,0))))))</f>
        <v/>
      </c>
      <c r="N26" s="1" t="n"/>
      <c r="O26">
        <f>IF(18&lt;=COUNT($R$9:$T$29),SMALL($R$9:$T$29,18),"")</f>
        <v/>
      </c>
      <c r="R26">
        <f>IF(OR(B26="",N(F26)=0),"",IF(E26="",$C$4+$C$5,IF(E26&gt;=1,E26,$C$4+E26))-(N(F26)+N(G26)+N(H26))/1440+(100+ROW())/10000000)</f>
        <v/>
      </c>
      <c r="S26">
        <f>IF(OR(B26="",N(G26)=0),"",IF(E26="",$C$4+$C$5,IF(E26&gt;=1,E26,$C$4+E26))-(N(G26)+N(H26))/1440+(200+ROW())/10000000)</f>
        <v/>
      </c>
      <c r="T26">
        <f>IF(OR(B26="",N(H26)=0),"",IF(E26="",$C$4+$C$5,IF(E26&gt;=1,E26,$C$4+E26))-N(H26)/1440+(300+ROW())/10000000)</f>
        <v/>
      </c>
    </row>
    <row r="27">
      <c r="A27" s="1" t="n"/>
      <c r="B27" s="19" t="n"/>
      <c r="C27" s="20" t="n"/>
      <c r="D27" s="20" t="n"/>
      <c r="E27" s="35" t="n"/>
      <c r="F27" s="36" t="n"/>
      <c r="G27" s="36" t="n"/>
      <c r="H27" s="36" t="n"/>
      <c r="I27" s="37">
        <f>IF(OR(B27="",(N(F27)+N(G27)+N(H27))=0),"",ROUND((IF(E27="",$C$4+$C$5,IF(E27&gt;=1,E27,$C$4+E27))-(N(F27)+N(G27)+N(H27))/1440)*1440,0)/1440)</f>
        <v/>
      </c>
      <c r="J27" s="22" t="n"/>
      <c r="K27" s="1" t="n"/>
      <c r="L27" s="37">
        <f>IF(O27="","",ROUND(O27*1440,0)/1440)</f>
        <v/>
      </c>
      <c r="M27" s="15">
        <f>IF(O27="","",IF(O27=$R$29,"Sit down to eat",IF(ISNUMBER(MATCH(O27,$R$9:$R$28,0)),"Prepare: "&amp;INDEX($B$9:$B$28,MATCH(O27,$R$9:$R$28,0)),IF(ISNUMBER(MATCH(O27,$S$9:$S$28,0)),"Cook: "&amp;INDEX($B$9:$B$28,MATCH(O27,$S$9:$S$28,0)),"Rest: "&amp;INDEX($B$9:$B$28,MATCH(O27,$T$9:$T$28,0))))))</f>
        <v/>
      </c>
      <c r="N27" s="1" t="n"/>
      <c r="O27">
        <f>IF(19&lt;=COUNT($R$9:$T$29),SMALL($R$9:$T$29,19),"")</f>
        <v/>
      </c>
      <c r="R27">
        <f>IF(OR(B27="",N(F27)=0),"",IF(E27="",$C$4+$C$5,IF(E27&gt;=1,E27,$C$4+E27))-(N(F27)+N(G27)+N(H27))/1440+(100+ROW())/10000000)</f>
        <v/>
      </c>
      <c r="S27">
        <f>IF(OR(B27="",N(G27)=0),"",IF(E27="",$C$4+$C$5,IF(E27&gt;=1,E27,$C$4+E27))-(N(G27)+N(H27))/1440+(200+ROW())/10000000)</f>
        <v/>
      </c>
      <c r="T27">
        <f>IF(OR(B27="",N(H27)=0),"",IF(E27="",$C$4+$C$5,IF(E27&gt;=1,E27,$C$4+E27))-N(H27)/1440+(300+ROW())/10000000)</f>
        <v/>
      </c>
    </row>
    <row r="28">
      <c r="A28" s="1" t="n"/>
      <c r="B28" s="19" t="n"/>
      <c r="C28" s="20" t="n"/>
      <c r="D28" s="20" t="n"/>
      <c r="E28" s="35" t="n"/>
      <c r="F28" s="36" t="n"/>
      <c r="G28" s="36" t="n"/>
      <c r="H28" s="36" t="n"/>
      <c r="I28" s="37">
        <f>IF(OR(B28="",(N(F28)+N(G28)+N(H28))=0),"",ROUND((IF(E28="",$C$4+$C$5,IF(E28&gt;=1,E28,$C$4+E28))-(N(F28)+N(G28)+N(H28))/1440)*1440,0)/1440)</f>
        <v/>
      </c>
      <c r="J28" s="22" t="n"/>
      <c r="K28" s="1" t="n"/>
      <c r="L28" s="37">
        <f>IF(O28="","",ROUND(O28*1440,0)/1440)</f>
        <v/>
      </c>
      <c r="M28" s="15">
        <f>IF(O28="","",IF(O28=$R$29,"Sit down to eat",IF(ISNUMBER(MATCH(O28,$R$9:$R$28,0)),"Prepare: "&amp;INDEX($B$9:$B$28,MATCH(O28,$R$9:$R$28,0)),IF(ISNUMBER(MATCH(O28,$S$9:$S$28,0)),"Cook: "&amp;INDEX($B$9:$B$28,MATCH(O28,$S$9:$S$28,0)),"Rest: "&amp;INDEX($B$9:$B$28,MATCH(O28,$T$9:$T$28,0))))))</f>
        <v/>
      </c>
      <c r="N28" s="1" t="n"/>
      <c r="O28">
        <f>IF(20&lt;=COUNT($R$9:$T$29),SMALL($R$9:$T$29,20),"")</f>
        <v/>
      </c>
      <c r="R28">
        <f>IF(OR(B28="",N(F28)=0),"",IF(E28="",$C$4+$C$5,IF(E28&gt;=1,E28,$C$4+E28))-(N(F28)+N(G28)+N(H28))/1440+(100+ROW())/10000000)</f>
        <v/>
      </c>
      <c r="S28">
        <f>IF(OR(B28="",N(G28)=0),"",IF(E28="",$C$4+$C$5,IF(E28&gt;=1,E28,$C$4+E28))-(N(G28)+N(H28))/1440+(200+ROW())/10000000)</f>
        <v/>
      </c>
      <c r="T28">
        <f>IF(OR(B28="",N(H28)=0),"",IF(E28="",$C$4+$C$5,IF(E28&gt;=1,E28,$C$4+E28))-N(H28)/1440+(300+ROW())/10000000)</f>
        <v/>
      </c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37">
        <f>IF(O29="","",ROUND(O29*1440,0)/1440)</f>
        <v/>
      </c>
      <c r="M29" s="15">
        <f>IF(O29="","",IF(O29=$R$29,"Sit down to eat",IF(ISNUMBER(MATCH(O29,$R$9:$R$28,0)),"Prepare: "&amp;INDEX($B$9:$B$28,MATCH(O29,$R$9:$R$28,0)),IF(ISNUMBER(MATCH(O29,$S$9:$S$28,0)),"Cook: "&amp;INDEX($B$9:$B$28,MATCH(O29,$S$9:$S$28,0)),"Rest: "&amp;INDEX($B$9:$B$28,MATCH(O29,$T$9:$T$28,0))))))</f>
        <v/>
      </c>
      <c r="N29" s="1" t="n"/>
      <c r="O29">
        <f>IF(21&lt;=COUNT($R$9:$T$29),SMALL($R$9:$T$29,21),"")</f>
        <v/>
      </c>
      <c r="R29">
        <f>$C$4+$C$5+999/10000000</f>
        <v/>
      </c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37">
        <f>IF(O30="","",ROUND(O30*1440,0)/1440)</f>
        <v/>
      </c>
      <c r="M30" s="15">
        <f>IF(O30="","",IF(O30=$R$29,"Sit down to eat",IF(ISNUMBER(MATCH(O30,$R$9:$R$28,0)),"Prepare: "&amp;INDEX($B$9:$B$28,MATCH(O30,$R$9:$R$28,0)),IF(ISNUMBER(MATCH(O30,$S$9:$S$28,0)),"Cook: "&amp;INDEX($B$9:$B$28,MATCH(O30,$S$9:$S$28,0)),"Rest: "&amp;INDEX($B$9:$B$28,MATCH(O30,$T$9:$T$28,0))))))</f>
        <v/>
      </c>
      <c r="N30" s="1" t="n"/>
      <c r="O30">
        <f>IF(22&lt;=COUNT($R$9:$T$29),SMALL($R$9:$T$29,22),"")</f>
        <v/>
      </c>
    </row>
    <row r="31" ht="30" customHeight="1">
      <c r="A31" s="1" t="n"/>
      <c r="B31" s="9" t="inlineStr">
        <is>
          <t>Guest</t>
        </is>
      </c>
      <c r="C31" s="9" t="inlineStr">
        <is>
          <t>Coming</t>
        </is>
      </c>
      <c r="D31" s="9" t="inlineStr">
        <is>
          <t>Diet or allergies</t>
        </is>
      </c>
      <c r="E31" s="1" t="n"/>
      <c r="F31" s="1" t="n"/>
      <c r="G31" s="1" t="n"/>
      <c r="H31" s="1" t="n"/>
      <c r="I31" s="1" t="n"/>
      <c r="J31" s="1" t="n"/>
      <c r="K31" s="1" t="n"/>
      <c r="L31" s="37">
        <f>IF(O31="","",ROUND(O31*1440,0)/1440)</f>
        <v/>
      </c>
      <c r="M31" s="15">
        <f>IF(O31="","",IF(O31=$R$29,"Sit down to eat",IF(ISNUMBER(MATCH(O31,$R$9:$R$28,0)),"Prepare: "&amp;INDEX($B$9:$B$28,MATCH(O31,$R$9:$R$28,0)),IF(ISNUMBER(MATCH(O31,$S$9:$S$28,0)),"Cook: "&amp;INDEX($B$9:$B$28,MATCH(O31,$S$9:$S$28,0)),"Rest: "&amp;INDEX($B$9:$B$28,MATCH(O31,$T$9:$T$28,0))))))</f>
        <v/>
      </c>
      <c r="N31" s="1" t="n"/>
      <c r="O31">
        <f>IF(23&lt;=COUNT($R$9:$T$29),SMALL($R$9:$T$29,23),"")</f>
        <v/>
      </c>
    </row>
    <row r="32">
      <c r="A32" s="1" t="n"/>
      <c r="B32" s="19" t="inlineStr">
        <is>
          <t>Me</t>
        </is>
      </c>
      <c r="C32" s="22" t="inlineStr">
        <is>
          <t>x</t>
        </is>
      </c>
      <c r="D32" s="20" t="n"/>
      <c r="E32" s="1" t="n"/>
      <c r="F32" s="1" t="n"/>
      <c r="G32" s="1" t="n"/>
      <c r="H32" s="1" t="n"/>
      <c r="I32" s="1" t="n"/>
      <c r="J32" s="1" t="n"/>
      <c r="K32" s="1" t="n"/>
      <c r="L32" s="37">
        <f>IF(O32="","",ROUND(O32*1440,0)/1440)</f>
        <v/>
      </c>
      <c r="M32" s="15">
        <f>IF(O32="","",IF(O32=$R$29,"Sit down to eat",IF(ISNUMBER(MATCH(O32,$R$9:$R$28,0)),"Prepare: "&amp;INDEX($B$9:$B$28,MATCH(O32,$R$9:$R$28,0)),IF(ISNUMBER(MATCH(O32,$S$9:$S$28,0)),"Cook: "&amp;INDEX($B$9:$B$28,MATCH(O32,$S$9:$S$28,0)),"Rest: "&amp;INDEX($B$9:$B$28,MATCH(O32,$T$9:$T$28,0))))))</f>
        <v/>
      </c>
      <c r="N32" s="1" t="n"/>
      <c r="O32">
        <f>IF(24&lt;=COUNT($R$9:$T$29),SMALL($R$9:$T$29,24),"")</f>
        <v/>
      </c>
    </row>
    <row r="33">
      <c r="A33" s="1" t="n"/>
      <c r="B33" s="19" t="inlineStr">
        <is>
          <t>Sam</t>
        </is>
      </c>
      <c r="C33" s="22" t="inlineStr">
        <is>
          <t>x</t>
        </is>
      </c>
      <c r="D33" s="20" t="inlineStr">
        <is>
          <t>Vegetarian</t>
        </is>
      </c>
      <c r="E33" s="1" t="n"/>
      <c r="F33" s="1" t="n"/>
      <c r="G33" s="1" t="n"/>
      <c r="H33" s="1" t="n"/>
      <c r="I33" s="1" t="n"/>
      <c r="J33" s="1" t="n"/>
      <c r="K33" s="1" t="n"/>
      <c r="L33" s="37">
        <f>IF(O33="","",ROUND(O33*1440,0)/1440)</f>
        <v/>
      </c>
      <c r="M33" s="15">
        <f>IF(O33="","",IF(O33=$R$29,"Sit down to eat",IF(ISNUMBER(MATCH(O33,$R$9:$R$28,0)),"Prepare: "&amp;INDEX($B$9:$B$28,MATCH(O33,$R$9:$R$28,0)),IF(ISNUMBER(MATCH(O33,$S$9:$S$28,0)),"Cook: "&amp;INDEX($B$9:$B$28,MATCH(O33,$S$9:$S$28,0)),"Rest: "&amp;INDEX($B$9:$B$28,MATCH(O33,$T$9:$T$28,0))))))</f>
        <v/>
      </c>
      <c r="N33" s="1" t="n"/>
      <c r="O33">
        <f>IF(25&lt;=COUNT($R$9:$T$29),SMALL($R$9:$T$29,25),"")</f>
        <v/>
      </c>
    </row>
    <row r="34">
      <c r="A34" s="1" t="n"/>
      <c r="B34" s="19" t="inlineStr">
        <is>
          <t>Kate</t>
        </is>
      </c>
      <c r="C34" s="22" t="inlineStr">
        <is>
          <t>x</t>
        </is>
      </c>
      <c r="D34" s="20" t="n"/>
      <c r="E34" s="1" t="n"/>
      <c r="F34" s="1" t="n"/>
      <c r="G34" s="1" t="n"/>
      <c r="H34" s="1" t="n"/>
      <c r="I34" s="1" t="n"/>
      <c r="J34" s="1" t="n"/>
      <c r="K34" s="1" t="n"/>
      <c r="L34" s="37">
        <f>IF(O34="","",ROUND(O34*1440,0)/1440)</f>
        <v/>
      </c>
      <c r="M34" s="15">
        <f>IF(O34="","",IF(O34=$R$29,"Sit down to eat",IF(ISNUMBER(MATCH(O34,$R$9:$R$28,0)),"Prepare: "&amp;INDEX($B$9:$B$28,MATCH(O34,$R$9:$R$28,0)),IF(ISNUMBER(MATCH(O34,$S$9:$S$28,0)),"Cook: "&amp;INDEX($B$9:$B$28,MATCH(O34,$S$9:$S$28,0)),"Rest: "&amp;INDEX($B$9:$B$28,MATCH(O34,$T$9:$T$28,0))))))</f>
        <v/>
      </c>
      <c r="N34" s="1" t="n"/>
      <c r="O34">
        <f>IF(26&lt;=COUNT($R$9:$T$29),SMALL($R$9:$T$29,26),"")</f>
        <v/>
      </c>
    </row>
    <row r="35">
      <c r="A35" s="1" t="n"/>
      <c r="B35" s="19" t="inlineStr">
        <is>
          <t>Grandma</t>
        </is>
      </c>
      <c r="C35" s="22" t="inlineStr">
        <is>
          <t>x</t>
        </is>
      </c>
      <c r="D35" s="20" t="inlineStr">
        <is>
          <t>Soft food</t>
        </is>
      </c>
      <c r="E35" s="1" t="n"/>
      <c r="F35" s="1" t="n"/>
      <c r="G35" s="1" t="n"/>
      <c r="H35" s="1" t="n"/>
      <c r="I35" s="1" t="n"/>
      <c r="J35" s="1" t="n"/>
      <c r="K35" s="1" t="n"/>
      <c r="L35" s="37">
        <f>IF(O35="","",ROUND(O35*1440,0)/1440)</f>
        <v/>
      </c>
      <c r="M35" s="15">
        <f>IF(O35="","",IF(O35=$R$29,"Sit down to eat",IF(ISNUMBER(MATCH(O35,$R$9:$R$28,0)),"Prepare: "&amp;INDEX($B$9:$B$28,MATCH(O35,$R$9:$R$28,0)),IF(ISNUMBER(MATCH(O35,$S$9:$S$28,0)),"Cook: "&amp;INDEX($B$9:$B$28,MATCH(O35,$S$9:$S$28,0)),"Rest: "&amp;INDEX($B$9:$B$28,MATCH(O35,$T$9:$T$28,0))))))</f>
        <v/>
      </c>
      <c r="N35" s="1" t="n"/>
      <c r="O35">
        <f>IF(27&lt;=COUNT($R$9:$T$29),SMALL($R$9:$T$29,27),"")</f>
        <v/>
      </c>
    </row>
    <row r="36">
      <c r="A36" s="1" t="n"/>
      <c r="B36" s="19" t="inlineStr">
        <is>
          <t>Mum</t>
        </is>
      </c>
      <c r="C36" s="22" t="inlineStr">
        <is>
          <t>x</t>
        </is>
      </c>
      <c r="D36" s="20" t="n"/>
      <c r="E36" s="1" t="n"/>
      <c r="F36" s="1" t="n"/>
      <c r="G36" s="1" t="n"/>
      <c r="H36" s="1" t="n"/>
      <c r="I36" s="1" t="n"/>
      <c r="J36" s="1" t="n"/>
      <c r="K36" s="1" t="n"/>
      <c r="L36" s="37">
        <f>IF(O36="","",ROUND(O36*1440,0)/1440)</f>
        <v/>
      </c>
      <c r="M36" s="15">
        <f>IF(O36="","",IF(O36=$R$29,"Sit down to eat",IF(ISNUMBER(MATCH(O36,$R$9:$R$28,0)),"Prepare: "&amp;INDEX($B$9:$B$28,MATCH(O36,$R$9:$R$28,0)),IF(ISNUMBER(MATCH(O36,$S$9:$S$28,0)),"Cook: "&amp;INDEX($B$9:$B$28,MATCH(O36,$S$9:$S$28,0)),"Rest: "&amp;INDEX($B$9:$B$28,MATCH(O36,$T$9:$T$28,0))))))</f>
        <v/>
      </c>
      <c r="N36" s="1" t="n"/>
      <c r="O36">
        <f>IF(28&lt;=COUNT($R$9:$T$29),SMALL($R$9:$T$29,28),"")</f>
        <v/>
      </c>
    </row>
    <row r="37">
      <c r="A37" s="1" t="n"/>
      <c r="B37" s="19" t="inlineStr">
        <is>
          <t>Dad</t>
        </is>
      </c>
      <c r="C37" s="22" t="inlineStr">
        <is>
          <t>x</t>
        </is>
      </c>
      <c r="D37" s="20" t="inlineStr">
        <is>
          <t>No nuts</t>
        </is>
      </c>
      <c r="E37" s="1" t="n"/>
      <c r="F37" s="1" t="n"/>
      <c r="G37" s="1" t="n"/>
      <c r="H37" s="1" t="n"/>
      <c r="I37" s="1" t="n"/>
      <c r="J37" s="1" t="n"/>
      <c r="K37" s="1" t="n"/>
      <c r="L37" s="37">
        <f>IF(O37="","",ROUND(O37*1440,0)/1440)</f>
        <v/>
      </c>
      <c r="M37" s="15">
        <f>IF(O37="","",IF(O37=$R$29,"Sit down to eat",IF(ISNUMBER(MATCH(O37,$R$9:$R$28,0)),"Prepare: "&amp;INDEX($B$9:$B$28,MATCH(O37,$R$9:$R$28,0)),IF(ISNUMBER(MATCH(O37,$S$9:$S$28,0)),"Cook: "&amp;INDEX($B$9:$B$28,MATCH(O37,$S$9:$S$28,0)),"Rest: "&amp;INDEX($B$9:$B$28,MATCH(O37,$T$9:$T$28,0))))))</f>
        <v/>
      </c>
      <c r="N37" s="1" t="n"/>
      <c r="O37">
        <f>IF(29&lt;=COUNT($R$9:$T$29),SMALL($R$9:$T$29,29),"")</f>
        <v/>
      </c>
    </row>
    <row r="38">
      <c r="A38" s="1" t="n"/>
      <c r="B38" s="19" t="inlineStr">
        <is>
          <t>Priya</t>
        </is>
      </c>
      <c r="C38" s="22" t="inlineStr">
        <is>
          <t>x</t>
        </is>
      </c>
      <c r="D38" s="20" t="inlineStr">
        <is>
          <t>Gluten free</t>
        </is>
      </c>
      <c r="E38" s="1" t="n"/>
      <c r="F38" s="1" t="n"/>
      <c r="G38" s="1" t="n"/>
      <c r="H38" s="1" t="n"/>
      <c r="I38" s="1" t="n"/>
      <c r="J38" s="1" t="n"/>
      <c r="K38" s="1" t="n"/>
      <c r="L38" s="37">
        <f>IF(O38="","",ROUND(O38*1440,0)/1440)</f>
        <v/>
      </c>
      <c r="M38" s="15">
        <f>IF(O38="","",IF(O38=$R$29,"Sit down to eat",IF(ISNUMBER(MATCH(O38,$R$9:$R$28,0)),"Prepare: "&amp;INDEX($B$9:$B$28,MATCH(O38,$R$9:$R$28,0)),IF(ISNUMBER(MATCH(O38,$S$9:$S$28,0)),"Cook: "&amp;INDEX($B$9:$B$28,MATCH(O38,$S$9:$S$28,0)),"Rest: "&amp;INDEX($B$9:$B$28,MATCH(O38,$T$9:$T$28,0))))))</f>
        <v/>
      </c>
      <c r="N38" s="1" t="n"/>
      <c r="O38">
        <f>IF(30&lt;=COUNT($R$9:$T$29),SMALL($R$9:$T$29,30),"")</f>
        <v/>
      </c>
    </row>
    <row r="39">
      <c r="A39" s="1" t="n"/>
      <c r="B39" s="19" t="inlineStr">
        <is>
          <t>Tom</t>
        </is>
      </c>
      <c r="C39" s="22" t="inlineStr">
        <is>
          <t>x</t>
        </is>
      </c>
      <c r="D39" s="20" t="n"/>
      <c r="E39" s="1" t="n"/>
      <c r="F39" s="1" t="n"/>
      <c r="G39" s="1" t="n"/>
      <c r="H39" s="1" t="n"/>
      <c r="I39" s="1" t="n"/>
      <c r="J39" s="1" t="n"/>
      <c r="K39" s="1" t="n"/>
      <c r="L39" s="37">
        <f>IF(O39="","",ROUND(O39*1440,0)/1440)</f>
        <v/>
      </c>
      <c r="M39" s="15">
        <f>IF(O39="","",IF(O39=$R$29,"Sit down to eat",IF(ISNUMBER(MATCH(O39,$R$9:$R$28,0)),"Prepare: "&amp;INDEX($B$9:$B$28,MATCH(O39,$R$9:$R$28,0)),IF(ISNUMBER(MATCH(O39,$S$9:$S$28,0)),"Cook: "&amp;INDEX($B$9:$B$28,MATCH(O39,$S$9:$S$28,0)),"Rest: "&amp;INDEX($B$9:$B$28,MATCH(O39,$T$9:$T$28,0))))))</f>
        <v/>
      </c>
      <c r="N39" s="1" t="n"/>
      <c r="O39">
        <f>IF(31&lt;=COUNT($R$9:$T$29),SMALL($R$9:$T$29,31),"")</f>
        <v/>
      </c>
    </row>
    <row r="40">
      <c r="A40" s="1" t="n"/>
      <c r="B40" s="19" t="inlineStr">
        <is>
          <t>Aunt Rose</t>
        </is>
      </c>
      <c r="C40" s="22" t="n"/>
      <c r="D40" s="20" t="inlineStr">
        <is>
          <t>Not sure yet</t>
        </is>
      </c>
      <c r="E40" s="1" t="n"/>
      <c r="F40" s="1" t="n"/>
      <c r="G40" s="1" t="n"/>
      <c r="H40" s="1" t="n"/>
      <c r="I40" s="1" t="n"/>
      <c r="J40" s="1" t="n"/>
      <c r="K40" s="1" t="n"/>
      <c r="L40" s="37">
        <f>IF(O40="","",ROUND(O40*1440,0)/1440)</f>
        <v/>
      </c>
      <c r="M40" s="15">
        <f>IF(O40="","",IF(O40=$R$29,"Sit down to eat",IF(ISNUMBER(MATCH(O40,$R$9:$R$28,0)),"Prepare: "&amp;INDEX($B$9:$B$28,MATCH(O40,$R$9:$R$28,0)),IF(ISNUMBER(MATCH(O40,$S$9:$S$28,0)),"Cook: "&amp;INDEX($B$9:$B$28,MATCH(O40,$S$9:$S$28,0)),"Rest: "&amp;INDEX($B$9:$B$28,MATCH(O40,$T$9:$T$28,0))))))</f>
        <v/>
      </c>
      <c r="N40" s="1" t="n"/>
      <c r="O40">
        <f>IF(32&lt;=COUNT($R$9:$T$29),SMALL($R$9:$T$29,32),"")</f>
        <v/>
      </c>
    </row>
    <row r="41">
      <c r="A41" s="1" t="n"/>
      <c r="B41" s="19" t="n"/>
      <c r="C41" s="22" t="n"/>
      <c r="D41" s="20" t="n"/>
      <c r="E41" s="1" t="n"/>
      <c r="F41" s="1" t="n"/>
      <c r="G41" s="1" t="n"/>
      <c r="H41" s="1" t="n"/>
      <c r="I41" s="1" t="n"/>
      <c r="J41" s="1" t="n"/>
      <c r="K41" s="1" t="n"/>
      <c r="L41" s="37">
        <f>IF(O41="","",ROUND(O41*1440,0)/1440)</f>
        <v/>
      </c>
      <c r="M41" s="15">
        <f>IF(O41="","",IF(O41=$R$29,"Sit down to eat",IF(ISNUMBER(MATCH(O41,$R$9:$R$28,0)),"Prepare: "&amp;INDEX($B$9:$B$28,MATCH(O41,$R$9:$R$28,0)),IF(ISNUMBER(MATCH(O41,$S$9:$S$28,0)),"Cook: "&amp;INDEX($B$9:$B$28,MATCH(O41,$S$9:$S$28,0)),"Rest: "&amp;INDEX($B$9:$B$28,MATCH(O41,$T$9:$T$28,0))))))</f>
        <v/>
      </c>
      <c r="N41" s="1" t="n"/>
      <c r="O41">
        <f>IF(33&lt;=COUNT($R$9:$T$29),SMALL($R$9:$T$29,33),"")</f>
        <v/>
      </c>
    </row>
    <row r="42">
      <c r="A42" s="1" t="n"/>
      <c r="B42" s="19" t="n"/>
      <c r="C42" s="22" t="n"/>
      <c r="D42" s="20" t="n"/>
      <c r="E42" s="1" t="n"/>
      <c r="F42" s="1" t="n"/>
      <c r="G42" s="1" t="n"/>
      <c r="H42" s="1" t="n"/>
      <c r="I42" s="1" t="n"/>
      <c r="J42" s="1" t="n"/>
      <c r="K42" s="1" t="n"/>
      <c r="L42" s="37">
        <f>IF(O42="","",ROUND(O42*1440,0)/1440)</f>
        <v/>
      </c>
      <c r="M42" s="15">
        <f>IF(O42="","",IF(O42=$R$29,"Sit down to eat",IF(ISNUMBER(MATCH(O42,$R$9:$R$28,0)),"Prepare: "&amp;INDEX($B$9:$B$28,MATCH(O42,$R$9:$R$28,0)),IF(ISNUMBER(MATCH(O42,$S$9:$S$28,0)),"Cook: "&amp;INDEX($B$9:$B$28,MATCH(O42,$S$9:$S$28,0)),"Rest: "&amp;INDEX($B$9:$B$28,MATCH(O42,$T$9:$T$28,0))))))</f>
        <v/>
      </c>
      <c r="N42" s="1" t="n"/>
      <c r="O42">
        <f>IF(34&lt;=COUNT($R$9:$T$29),SMALL($R$9:$T$29,34),"")</f>
        <v/>
      </c>
    </row>
    <row r="43">
      <c r="A43" s="1" t="n"/>
      <c r="B43" s="19" t="n"/>
      <c r="C43" s="22" t="n"/>
      <c r="D43" s="20" t="n"/>
      <c r="E43" s="1" t="n"/>
      <c r="F43" s="1" t="n"/>
      <c r="G43" s="1" t="n"/>
      <c r="H43" s="1" t="n"/>
      <c r="I43" s="1" t="n"/>
      <c r="J43" s="1" t="n"/>
      <c r="K43" s="1" t="n"/>
      <c r="L43" s="37">
        <f>IF(O43="","",ROUND(O43*1440,0)/1440)</f>
        <v/>
      </c>
      <c r="M43" s="15">
        <f>IF(O43="","",IF(O43=$R$29,"Sit down to eat",IF(ISNUMBER(MATCH(O43,$R$9:$R$28,0)),"Prepare: "&amp;INDEX($B$9:$B$28,MATCH(O43,$R$9:$R$28,0)),IF(ISNUMBER(MATCH(O43,$S$9:$S$28,0)),"Cook: "&amp;INDEX($B$9:$B$28,MATCH(O43,$S$9:$S$28,0)),"Rest: "&amp;INDEX($B$9:$B$28,MATCH(O43,$T$9:$T$28,0))))))</f>
        <v/>
      </c>
      <c r="N43" s="1" t="n"/>
      <c r="O43">
        <f>IF(35&lt;=COUNT($R$9:$T$29),SMALL($R$9:$T$29,35),"")</f>
        <v/>
      </c>
    </row>
    <row r="44">
      <c r="A44" s="1" t="n"/>
      <c r="B44" s="19" t="n"/>
      <c r="C44" s="22" t="n"/>
      <c r="D44" s="20" t="n"/>
      <c r="E44" s="1" t="n"/>
      <c r="F44" s="1" t="n"/>
      <c r="G44" s="1" t="n"/>
      <c r="H44" s="1" t="n"/>
      <c r="I44" s="1" t="n"/>
      <c r="J44" s="1" t="n"/>
      <c r="K44" s="1" t="n"/>
      <c r="L44" s="37">
        <f>IF(O44="","",ROUND(O44*1440,0)/1440)</f>
        <v/>
      </c>
      <c r="M44" s="15">
        <f>IF(O44="","",IF(O44=$R$29,"Sit down to eat",IF(ISNUMBER(MATCH(O44,$R$9:$R$28,0)),"Prepare: "&amp;INDEX($B$9:$B$28,MATCH(O44,$R$9:$R$28,0)),IF(ISNUMBER(MATCH(O44,$S$9:$S$28,0)),"Cook: "&amp;INDEX($B$9:$B$28,MATCH(O44,$S$9:$S$28,0)),"Rest: "&amp;INDEX($B$9:$B$28,MATCH(O44,$T$9:$T$28,0))))))</f>
        <v/>
      </c>
      <c r="N44" s="1" t="n"/>
      <c r="O44">
        <f>IF(36&lt;=COUNT($R$9:$T$29),SMALL($R$9:$T$29,36),"")</f>
        <v/>
      </c>
    </row>
    <row r="45">
      <c r="A45" s="1" t="n"/>
      <c r="B45" s="19" t="n"/>
      <c r="C45" s="22" t="n"/>
      <c r="D45" s="20" t="n"/>
      <c r="E45" s="1" t="n"/>
      <c r="F45" s="1" t="n"/>
      <c r="G45" s="1" t="n"/>
      <c r="H45" s="1" t="n"/>
      <c r="I45" s="1" t="n"/>
      <c r="J45" s="1" t="n"/>
      <c r="K45" s="1" t="n"/>
      <c r="L45" s="37">
        <f>IF(O45="","",ROUND(O45*1440,0)/1440)</f>
        <v/>
      </c>
      <c r="M45" s="15">
        <f>IF(O45="","",IF(O45=$R$29,"Sit down to eat",IF(ISNUMBER(MATCH(O45,$R$9:$R$28,0)),"Prepare: "&amp;INDEX($B$9:$B$28,MATCH(O45,$R$9:$R$28,0)),IF(ISNUMBER(MATCH(O45,$S$9:$S$28,0)),"Cook: "&amp;INDEX($B$9:$B$28,MATCH(O45,$S$9:$S$28,0)),"Rest: "&amp;INDEX($B$9:$B$28,MATCH(O45,$T$9:$T$28,0))))))</f>
        <v/>
      </c>
      <c r="N45" s="1" t="n"/>
      <c r="O45">
        <f>IF(37&lt;=COUNT($R$9:$T$29),SMALL($R$9:$T$29,37),"")</f>
        <v/>
      </c>
    </row>
    <row r="46">
      <c r="A46" s="1" t="n"/>
      <c r="B46" s="19" t="n"/>
      <c r="C46" s="22" t="n"/>
      <c r="D46" s="20" t="n"/>
      <c r="E46" s="1" t="n"/>
      <c r="F46" s="1" t="n"/>
      <c r="G46" s="1" t="n"/>
      <c r="H46" s="1" t="n"/>
      <c r="I46" s="1" t="n"/>
      <c r="J46" s="1" t="n"/>
      <c r="K46" s="1" t="n"/>
      <c r="L46" s="37">
        <f>IF(O46="","",ROUND(O46*1440,0)/1440)</f>
        <v/>
      </c>
      <c r="M46" s="15">
        <f>IF(O46="","",IF(O46=$R$29,"Sit down to eat",IF(ISNUMBER(MATCH(O46,$R$9:$R$28,0)),"Prepare: "&amp;INDEX($B$9:$B$28,MATCH(O46,$R$9:$R$28,0)),IF(ISNUMBER(MATCH(O46,$S$9:$S$28,0)),"Cook: "&amp;INDEX($B$9:$B$28,MATCH(O46,$S$9:$S$28,0)),"Rest: "&amp;INDEX($B$9:$B$28,MATCH(O46,$T$9:$T$28,0))))))</f>
        <v/>
      </c>
      <c r="N46" s="1" t="n"/>
      <c r="O46">
        <f>IF(38&lt;=COUNT($R$9:$T$29),SMALL($R$9:$T$29,38),"")</f>
        <v/>
      </c>
    </row>
    <row r="47">
      <c r="A47" s="1" t="n"/>
      <c r="B47" s="19" t="n"/>
      <c r="C47" s="22" t="n"/>
      <c r="D47" s="20" t="n"/>
      <c r="E47" s="1" t="n"/>
      <c r="F47" s="1" t="n"/>
      <c r="G47" s="1" t="n"/>
      <c r="H47" s="1" t="n"/>
      <c r="I47" s="1" t="n"/>
      <c r="J47" s="1" t="n"/>
      <c r="K47" s="1" t="n"/>
      <c r="L47" s="37">
        <f>IF(O47="","",ROUND(O47*1440,0)/1440)</f>
        <v/>
      </c>
      <c r="M47" s="15">
        <f>IF(O47="","",IF(O47=$R$29,"Sit down to eat",IF(ISNUMBER(MATCH(O47,$R$9:$R$28,0)),"Prepare: "&amp;INDEX($B$9:$B$28,MATCH(O47,$R$9:$R$28,0)),IF(ISNUMBER(MATCH(O47,$S$9:$S$28,0)),"Cook: "&amp;INDEX($B$9:$B$28,MATCH(O47,$S$9:$S$28,0)),"Rest: "&amp;INDEX($B$9:$B$28,MATCH(O47,$T$9:$T$28,0))))))</f>
        <v/>
      </c>
      <c r="N47" s="1" t="n"/>
      <c r="O47">
        <f>IF(39&lt;=COUNT($R$9:$T$29),SMALL($R$9:$T$29,39),"")</f>
        <v/>
      </c>
    </row>
    <row r="48">
      <c r="A48" s="1" t="n"/>
      <c r="B48" s="19" t="n"/>
      <c r="C48" s="22" t="n"/>
      <c r="D48" s="20" t="n"/>
      <c r="E48" s="1" t="n"/>
      <c r="F48" s="1" t="n"/>
      <c r="G48" s="1" t="n"/>
      <c r="H48" s="1" t="n"/>
      <c r="I48" s="1" t="n"/>
      <c r="J48" s="1" t="n"/>
      <c r="K48" s="1" t="n"/>
      <c r="L48" s="37">
        <f>IF(O48="","",ROUND(O48*1440,0)/1440)</f>
        <v/>
      </c>
      <c r="M48" s="15">
        <f>IF(O48="","",IF(O48=$R$29,"Sit down to eat",IF(ISNUMBER(MATCH(O48,$R$9:$R$28,0)),"Prepare: "&amp;INDEX($B$9:$B$28,MATCH(O48,$R$9:$R$28,0)),IF(ISNUMBER(MATCH(O48,$S$9:$S$28,0)),"Cook: "&amp;INDEX($B$9:$B$28,MATCH(O48,$S$9:$S$28,0)),"Rest: "&amp;INDEX($B$9:$B$28,MATCH(O48,$T$9:$T$28,0))))))</f>
        <v/>
      </c>
      <c r="N48" s="1" t="n"/>
      <c r="O48">
        <f>IF(40&lt;=COUNT($R$9:$T$29),SMALL($R$9:$T$29,40),"")</f>
        <v/>
      </c>
    </row>
    <row r="49">
      <c r="A49" s="1" t="n"/>
      <c r="B49" s="19" t="n"/>
      <c r="C49" s="22" t="n"/>
      <c r="D49" s="20" t="n"/>
      <c r="E49" s="1" t="n"/>
      <c r="F49" s="1" t="n"/>
      <c r="G49" s="1" t="n"/>
      <c r="H49" s="1" t="n"/>
      <c r="I49" s="1" t="n"/>
      <c r="J49" s="1" t="n"/>
      <c r="K49" s="1" t="n"/>
      <c r="L49" s="39">
        <f>IF(COUNT($R$9:$T$29)&gt;40,"More steps than fit here.","")</f>
        <v/>
      </c>
      <c r="M49" s="1" t="n"/>
      <c r="N49" s="1" t="n"/>
    </row>
    <row r="50">
      <c r="A50" s="1" t="n"/>
      <c r="B50" s="19" t="n"/>
      <c r="C50" s="22" t="n"/>
      <c r="D50" s="20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9" t="n"/>
      <c r="C51" s="22" t="n"/>
      <c r="D51" s="20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</sheetData>
  <conditionalFormatting sqref="B9:I28">
    <cfRule type="expression" priority="1" dxfId="5">
      <formula>$J9&lt;&gt;""</formula>
    </cfRule>
  </conditionalFormatting>
  <conditionalFormatting sqref="L9:M48">
    <cfRule type="expression" priority="2" dxfId="4">
      <formula>$M9="Sit down to eat"</formula>
    </cfRule>
  </conditionalFormatting>
  <dataValidations count="1">
    <dataValidation sqref="C9:C28" showDropDown="0" showInputMessage="0" showErrorMessage="0" allowBlank="1" type="list">
      <formula1>"Starter,Main,Side,Dessert,Drinks,Other"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5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28" customWidth="1" min="4" max="4"/>
    <col width="20" customWidth="1" min="5" max="5"/>
    <col width="24" customWidth="1" min="6" max="6"/>
    <col hidden="1" width="13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2" customHeight="1">
      <c r="A2" s="1" t="n"/>
      <c r="B2" s="2" t="inlineStr">
        <is>
          <t>Plans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Parties, school events, travel and the days to get things done. The December tab puts them on a calendar.</t>
        </is>
      </c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 ht="30" customHeight="1">
      <c r="A5" s="1" t="n"/>
      <c r="B5" s="9" t="inlineStr">
        <is>
          <t>Date</t>
        </is>
      </c>
      <c r="C5" s="9" t="inlineStr">
        <is>
          <t>Time</t>
        </is>
      </c>
      <c r="D5" s="9" t="inlineStr">
        <is>
          <t>What</t>
        </is>
      </c>
      <c r="E5" s="9" t="inlineStr">
        <is>
          <t>Where</t>
        </is>
      </c>
      <c r="F5" s="9" t="inlineStr">
        <is>
          <t>Notes</t>
        </is>
      </c>
      <c r="G5" s="1" t="n"/>
    </row>
    <row r="6">
      <c r="A6" s="1" t="n"/>
      <c r="B6" s="40" t="n">
        <v>46340</v>
      </c>
      <c r="C6" s="35" t="n"/>
      <c r="D6" s="19" t="inlineStr">
        <is>
          <t>Order the turkey</t>
        </is>
      </c>
      <c r="E6" s="20" t="inlineStr">
        <is>
          <t>Butcher</t>
        </is>
      </c>
      <c r="F6" s="20" t="n"/>
      <c r="G6" s="1" t="n"/>
      <c r="H6">
        <f>IF(B6="","",B6+MOD(N(C6),1)+ROW()/10000000)</f>
        <v/>
      </c>
    </row>
    <row r="7">
      <c r="A7" s="1" t="n"/>
      <c r="B7" s="40" t="n">
        <v>46353</v>
      </c>
      <c r="C7" s="35" t="n">
        <v>0.4166666666666667</v>
      </c>
      <c r="D7" s="19" t="inlineStr">
        <is>
          <t>Gift shopping day</t>
        </is>
      </c>
      <c r="E7" s="20" t="inlineStr">
        <is>
          <t>Town centre</t>
        </is>
      </c>
      <c r="F7" s="20" t="n"/>
      <c r="G7" s="1" t="n"/>
      <c r="H7">
        <f>IF(B7="","",B7+MOD(N(C7),1)+ROW()/10000000)</f>
        <v/>
      </c>
    </row>
    <row r="8">
      <c r="A8" s="1" t="n"/>
      <c r="B8" s="40" t="n">
        <v>46357</v>
      </c>
      <c r="C8" s="35" t="n"/>
      <c r="D8" s="19" t="inlineStr">
        <is>
          <t>Advent calendars start</t>
        </is>
      </c>
      <c r="E8" s="20" t="inlineStr">
        <is>
          <t>Home</t>
        </is>
      </c>
      <c r="F8" s="20" t="n"/>
      <c r="G8" s="1" t="n"/>
      <c r="H8">
        <f>IF(B8="","",B8+MOD(N(C8),1)+ROW()/10000000)</f>
        <v/>
      </c>
    </row>
    <row r="9">
      <c r="A9" s="1" t="n"/>
      <c r="B9" s="40" t="n">
        <v>46361</v>
      </c>
      <c r="C9" s="35" t="n">
        <v>0.5833333333333334</v>
      </c>
      <c r="D9" s="19" t="inlineStr">
        <is>
          <t>Tree up and decorating</t>
        </is>
      </c>
      <c r="E9" s="20" t="inlineStr">
        <is>
          <t>Home</t>
        </is>
      </c>
      <c r="F9" s="20" t="n"/>
      <c r="G9" s="1" t="n"/>
      <c r="H9">
        <f>IF(B9="","",B9+MOD(N(C9),1)+ROW()/10000000)</f>
        <v/>
      </c>
    </row>
    <row r="10">
      <c r="A10" s="1" t="n"/>
      <c r="B10" s="40" t="n">
        <v>46364</v>
      </c>
      <c r="C10" s="35" t="n">
        <v>0.7916666666666666</v>
      </c>
      <c r="D10" s="19" t="inlineStr">
        <is>
          <t>Office party</t>
        </is>
      </c>
      <c r="E10" s="20" t="inlineStr">
        <is>
          <t>The Old Mill</t>
        </is>
      </c>
      <c r="F10" s="20" t="n"/>
      <c r="G10" s="1" t="n"/>
      <c r="H10">
        <f>IF(B10="","",B10+MOD(N(C10),1)+ROW()/10000000)</f>
        <v/>
      </c>
    </row>
    <row r="11">
      <c r="A11" s="1" t="n"/>
      <c r="B11" s="40" t="n">
        <v>46367</v>
      </c>
      <c r="C11" s="35" t="n">
        <v>0.6041666666666666</v>
      </c>
      <c r="D11" s="19" t="inlineStr">
        <is>
          <t>School concert</t>
        </is>
      </c>
      <c r="E11" s="20" t="inlineStr">
        <is>
          <t>School hall</t>
        </is>
      </c>
      <c r="F11" s="20" t="n"/>
      <c r="G11" s="1" t="n"/>
      <c r="H11">
        <f>IF(B11="","",B11+MOD(N(C11),1)+ROW()/10000000)</f>
        <v/>
      </c>
    </row>
    <row r="12">
      <c r="A12" s="1" t="n"/>
      <c r="B12" s="40" t="n">
        <v>46368</v>
      </c>
      <c r="C12" s="35" t="n">
        <v>0.4166666666666667</v>
      </c>
      <c r="D12" s="19" t="inlineStr">
        <is>
          <t>Post the cards</t>
        </is>
      </c>
      <c r="E12" s="20" t="inlineStr">
        <is>
          <t>Post office</t>
        </is>
      </c>
      <c r="F12" s="20" t="n"/>
      <c r="G12" s="1" t="n"/>
      <c r="H12">
        <f>IF(B12="","",B12+MOD(N(C12),1)+ROW()/10000000)</f>
        <v/>
      </c>
    </row>
    <row r="13">
      <c r="A13" s="1" t="n"/>
      <c r="B13" s="40" t="n">
        <v>46369</v>
      </c>
      <c r="C13" s="35" t="n">
        <v>0.625</v>
      </c>
      <c r="D13" s="19" t="inlineStr">
        <is>
          <t>Pantomime</t>
        </is>
      </c>
      <c r="E13" s="20" t="inlineStr">
        <is>
          <t>Theatre</t>
        </is>
      </c>
      <c r="F13" s="20" t="n"/>
      <c r="G13" s="1" t="n"/>
      <c r="H13">
        <f>IF(B13="","",B13+MOD(N(C13),1)+ROW()/10000000)</f>
        <v/>
      </c>
    </row>
    <row r="14">
      <c r="A14" s="1" t="n"/>
      <c r="B14" s="40" t="n">
        <v>46375</v>
      </c>
      <c r="C14" s="35" t="n">
        <v>0.4583333333333333</v>
      </c>
      <c r="D14" s="19" t="inlineStr">
        <is>
          <t>Christmas market</t>
        </is>
      </c>
      <c r="E14" s="20" t="inlineStr">
        <is>
          <t>Market square</t>
        </is>
      </c>
      <c r="F14" s="20" t="n"/>
      <c r="G14" s="1" t="n"/>
      <c r="H14">
        <f>IF(B14="","",B14+MOD(N(C14),1)+ROW()/10000000)</f>
        <v/>
      </c>
    </row>
    <row r="15">
      <c r="A15" s="1" t="n"/>
      <c r="B15" s="40" t="n">
        <v>46375</v>
      </c>
      <c r="C15" s="35" t="n">
        <v>0.75</v>
      </c>
      <c r="D15" s="19" t="inlineStr">
        <is>
          <t>Drinks with Priya and Tom</t>
        </is>
      </c>
      <c r="E15" s="20" t="n"/>
      <c r="F15" s="20" t="n"/>
      <c r="G15" s="1" t="n"/>
      <c r="H15">
        <f>IF(B15="","",B15+MOD(N(C15),1)+ROW()/10000000)</f>
        <v/>
      </c>
    </row>
    <row r="16">
      <c r="A16" s="1" t="n"/>
      <c r="B16" s="40" t="n">
        <v>46376</v>
      </c>
      <c r="C16" s="35" t="n">
        <v>0.7083333333333334</v>
      </c>
      <c r="D16" s="19" t="inlineStr">
        <is>
          <t>Carol singing</t>
        </is>
      </c>
      <c r="E16" s="20" t="inlineStr">
        <is>
          <t>Church</t>
        </is>
      </c>
      <c r="F16" s="20" t="n"/>
      <c r="G16" s="1" t="n"/>
      <c r="H16">
        <f>IF(B16="","",B16+MOD(N(C16),1)+ROW()/10000000)</f>
        <v/>
      </c>
    </row>
    <row r="17">
      <c r="A17" s="1" t="n"/>
      <c r="B17" s="40" t="n">
        <v>46378</v>
      </c>
      <c r="C17" s="35" t="n">
        <v>0.5</v>
      </c>
      <c r="D17" s="19" t="inlineStr">
        <is>
          <t>Pick up the turkey</t>
        </is>
      </c>
      <c r="E17" s="20" t="inlineStr">
        <is>
          <t>Butcher</t>
        </is>
      </c>
      <c r="F17" s="20" t="n"/>
      <c r="G17" s="1" t="n"/>
      <c r="H17">
        <f>IF(B17="","",B17+MOD(N(C17),1)+ROW()/10000000)</f>
        <v/>
      </c>
    </row>
    <row r="18">
      <c r="A18" s="1" t="n"/>
      <c r="B18" s="40" t="n">
        <v>46379</v>
      </c>
      <c r="C18" s="35" t="n">
        <v>0.375</v>
      </c>
      <c r="D18" s="19" t="inlineStr">
        <is>
          <t>Big food shop</t>
        </is>
      </c>
      <c r="E18" s="20" t="inlineStr">
        <is>
          <t>Supermarket</t>
        </is>
      </c>
      <c r="F18" s="20" t="n"/>
      <c r="G18" s="1" t="n"/>
      <c r="H18">
        <f>IF(B18="","",B18+MOD(N(C18),1)+ROW()/10000000)</f>
        <v/>
      </c>
    </row>
    <row r="19">
      <c r="A19" s="1" t="n"/>
      <c r="B19" s="40" t="n">
        <v>46380</v>
      </c>
      <c r="C19" s="35" t="n">
        <v>0.75</v>
      </c>
      <c r="D19" s="19" t="inlineStr">
        <is>
          <t>Christmas Eve at Grandma's</t>
        </is>
      </c>
      <c r="E19" s="20" t="inlineStr">
        <is>
          <t>Westford</t>
        </is>
      </c>
      <c r="F19" s="20" t="n"/>
      <c r="G19" s="1" t="n"/>
      <c r="H19">
        <f>IF(B19="","",B19+MOD(N(C19),1)+ROW()/10000000)</f>
        <v/>
      </c>
    </row>
    <row r="20">
      <c r="A20" s="1" t="n"/>
      <c r="B20" s="40" t="n">
        <v>46381</v>
      </c>
      <c r="C20" s="35" t="n">
        <v>0.625</v>
      </c>
      <c r="D20" s="19" t="inlineStr">
        <is>
          <t>Christmas dinner</t>
        </is>
      </c>
      <c r="E20" s="20" t="inlineStr">
        <is>
          <t>Home</t>
        </is>
      </c>
      <c r="F20" s="20" t="n"/>
      <c r="G20" s="1" t="n"/>
      <c r="H20">
        <f>IF(B20="","",B20+MOD(N(C20),1)+ROW()/10000000)</f>
        <v/>
      </c>
    </row>
    <row r="21">
      <c r="A21" s="1" t="n"/>
      <c r="B21" s="40" t="n">
        <v>46382</v>
      </c>
      <c r="C21" s="35" t="n">
        <v>0.4583333333333333</v>
      </c>
      <c r="D21" s="19" t="inlineStr">
        <is>
          <t>Boxing Day walk</t>
        </is>
      </c>
      <c r="E21" s="20" t="inlineStr">
        <is>
          <t>The river</t>
        </is>
      </c>
      <c r="F21" s="20" t="n"/>
      <c r="G21" s="1" t="n"/>
      <c r="H21">
        <f>IF(B21="","",B21+MOD(N(C21),1)+ROW()/10000000)</f>
        <v/>
      </c>
    </row>
    <row r="22">
      <c r="A22" s="1" t="n"/>
      <c r="B22" s="40" t="n">
        <v>46387</v>
      </c>
      <c r="C22" s="35" t="n">
        <v>0.8333333333333334</v>
      </c>
      <c r="D22" s="19" t="inlineStr">
        <is>
          <t>New Year's Eve party</t>
        </is>
      </c>
      <c r="E22" s="20" t="inlineStr">
        <is>
          <t>Sam and Kate's</t>
        </is>
      </c>
      <c r="F22" s="20" t="n"/>
      <c r="G22" s="1" t="n"/>
      <c r="H22">
        <f>IF(B22="","",B22+MOD(N(C22),1)+ROW()/10000000)</f>
        <v/>
      </c>
    </row>
    <row r="23">
      <c r="A23" s="1" t="n"/>
      <c r="B23" s="40" t="n"/>
      <c r="C23" s="35" t="n"/>
      <c r="D23" s="19" t="n"/>
      <c r="E23" s="20" t="n"/>
      <c r="F23" s="20" t="n"/>
      <c r="G23" s="1" t="n"/>
      <c r="H23">
        <f>IF(B23="","",B23+MOD(N(C23),1)+ROW()/10000000)</f>
        <v/>
      </c>
    </row>
    <row r="24">
      <c r="A24" s="1" t="n"/>
      <c r="B24" s="40" t="n"/>
      <c r="C24" s="35" t="n"/>
      <c r="D24" s="19" t="n"/>
      <c r="E24" s="20" t="n"/>
      <c r="F24" s="20" t="n"/>
      <c r="G24" s="1" t="n"/>
      <c r="H24">
        <f>IF(B24="","",B24+MOD(N(C24),1)+ROW()/10000000)</f>
        <v/>
      </c>
    </row>
    <row r="25">
      <c r="A25" s="1" t="n"/>
      <c r="B25" s="40" t="n"/>
      <c r="C25" s="35" t="n"/>
      <c r="D25" s="19" t="n"/>
      <c r="E25" s="20" t="n"/>
      <c r="F25" s="20" t="n"/>
      <c r="G25" s="1" t="n"/>
      <c r="H25">
        <f>IF(B25="","",B25+MOD(N(C25),1)+ROW()/10000000)</f>
        <v/>
      </c>
    </row>
    <row r="26">
      <c r="A26" s="1" t="n"/>
      <c r="B26" s="40" t="n"/>
      <c r="C26" s="35" t="n"/>
      <c r="D26" s="19" t="n"/>
      <c r="E26" s="20" t="n"/>
      <c r="F26" s="20" t="n"/>
      <c r="G26" s="1" t="n"/>
      <c r="H26">
        <f>IF(B26="","",B26+MOD(N(C26),1)+ROW()/10000000)</f>
        <v/>
      </c>
    </row>
    <row r="27">
      <c r="A27" s="1" t="n"/>
      <c r="B27" s="40" t="n"/>
      <c r="C27" s="35" t="n"/>
      <c r="D27" s="19" t="n"/>
      <c r="E27" s="20" t="n"/>
      <c r="F27" s="20" t="n"/>
      <c r="G27" s="1" t="n"/>
      <c r="H27">
        <f>IF(B27="","",B27+MOD(N(C27),1)+ROW()/10000000)</f>
        <v/>
      </c>
    </row>
    <row r="28">
      <c r="A28" s="1" t="n"/>
      <c r="B28" s="40" t="n"/>
      <c r="C28" s="35" t="n"/>
      <c r="D28" s="19" t="n"/>
      <c r="E28" s="20" t="n"/>
      <c r="F28" s="20" t="n"/>
      <c r="G28" s="1" t="n"/>
      <c r="H28">
        <f>IF(B28="","",B28+MOD(N(C28),1)+ROW()/10000000)</f>
        <v/>
      </c>
    </row>
    <row r="29">
      <c r="A29" s="1" t="n"/>
      <c r="B29" s="40" t="n"/>
      <c r="C29" s="35" t="n"/>
      <c r="D29" s="19" t="n"/>
      <c r="E29" s="20" t="n"/>
      <c r="F29" s="20" t="n"/>
      <c r="G29" s="1" t="n"/>
      <c r="H29">
        <f>IF(B29="","",B29+MOD(N(C29),1)+ROW()/10000000)</f>
        <v/>
      </c>
    </row>
    <row r="30">
      <c r="A30" s="1" t="n"/>
      <c r="B30" s="40" t="n"/>
      <c r="C30" s="35" t="n"/>
      <c r="D30" s="19" t="n"/>
      <c r="E30" s="20" t="n"/>
      <c r="F30" s="20" t="n"/>
      <c r="G30" s="1" t="n"/>
      <c r="H30">
        <f>IF(B30="","",B30+MOD(N(C30),1)+ROW()/10000000)</f>
        <v/>
      </c>
    </row>
    <row r="31">
      <c r="A31" s="1" t="n"/>
      <c r="B31" s="40" t="n"/>
      <c r="C31" s="35" t="n"/>
      <c r="D31" s="19" t="n"/>
      <c r="E31" s="20" t="n"/>
      <c r="F31" s="20" t="n"/>
      <c r="G31" s="1" t="n"/>
      <c r="H31">
        <f>IF(B31="","",B31+MOD(N(C31),1)+ROW()/10000000)</f>
        <v/>
      </c>
    </row>
    <row r="32">
      <c r="A32" s="1" t="n"/>
      <c r="B32" s="40" t="n"/>
      <c r="C32" s="35" t="n"/>
      <c r="D32" s="19" t="n"/>
      <c r="E32" s="20" t="n"/>
      <c r="F32" s="20" t="n"/>
      <c r="G32" s="1" t="n"/>
      <c r="H32">
        <f>IF(B32="","",B32+MOD(N(C32),1)+ROW()/10000000)</f>
        <v/>
      </c>
    </row>
    <row r="33">
      <c r="A33" s="1" t="n"/>
      <c r="B33" s="40" t="n"/>
      <c r="C33" s="35" t="n"/>
      <c r="D33" s="19" t="n"/>
      <c r="E33" s="20" t="n"/>
      <c r="F33" s="20" t="n"/>
      <c r="G33" s="1" t="n"/>
      <c r="H33">
        <f>IF(B33="","",B33+MOD(N(C33),1)+ROW()/10000000)</f>
        <v/>
      </c>
    </row>
    <row r="34">
      <c r="A34" s="1" t="n"/>
      <c r="B34" s="40" t="n"/>
      <c r="C34" s="35" t="n"/>
      <c r="D34" s="19" t="n"/>
      <c r="E34" s="20" t="n"/>
      <c r="F34" s="20" t="n"/>
      <c r="G34" s="1" t="n"/>
      <c r="H34">
        <f>IF(B34="","",B34+MOD(N(C34),1)+ROW()/10000000)</f>
        <v/>
      </c>
    </row>
    <row r="35">
      <c r="A35" s="1" t="n"/>
      <c r="B35" s="40" t="n"/>
      <c r="C35" s="35" t="n"/>
      <c r="D35" s="19" t="n"/>
      <c r="E35" s="20" t="n"/>
      <c r="F35" s="20" t="n"/>
      <c r="G35" s="1" t="n"/>
      <c r="H35">
        <f>IF(B35="","",B35+MOD(N(C35),1)+ROW()/10000000)</f>
        <v/>
      </c>
    </row>
    <row r="36">
      <c r="A36" s="1" t="n"/>
      <c r="B36" s="40" t="n"/>
      <c r="C36" s="35" t="n"/>
      <c r="D36" s="19" t="n"/>
      <c r="E36" s="20" t="n"/>
      <c r="F36" s="20" t="n"/>
      <c r="G36" s="1" t="n"/>
      <c r="H36">
        <f>IF(B36="","",B36+MOD(N(C36),1)+ROW()/10000000)</f>
        <v/>
      </c>
    </row>
    <row r="37">
      <c r="A37" s="1" t="n"/>
      <c r="B37" s="40" t="n"/>
      <c r="C37" s="35" t="n"/>
      <c r="D37" s="19" t="n"/>
      <c r="E37" s="20" t="n"/>
      <c r="F37" s="20" t="n"/>
      <c r="G37" s="1" t="n"/>
      <c r="H37">
        <f>IF(B37="","",B37+MOD(N(C37),1)+ROW()/10000000)</f>
        <v/>
      </c>
    </row>
    <row r="38">
      <c r="A38" s="1" t="n"/>
      <c r="B38" s="40" t="n"/>
      <c r="C38" s="35" t="n"/>
      <c r="D38" s="19" t="n"/>
      <c r="E38" s="20" t="n"/>
      <c r="F38" s="20" t="n"/>
      <c r="G38" s="1" t="n"/>
      <c r="H38">
        <f>IF(B38="","",B38+MOD(N(C38),1)+ROW()/10000000)</f>
        <v/>
      </c>
    </row>
    <row r="39">
      <c r="A39" s="1" t="n"/>
      <c r="B39" s="40" t="n"/>
      <c r="C39" s="35" t="n"/>
      <c r="D39" s="19" t="n"/>
      <c r="E39" s="20" t="n"/>
      <c r="F39" s="20" t="n"/>
      <c r="G39" s="1" t="n"/>
      <c r="H39">
        <f>IF(B39="","",B39+MOD(N(C39),1)+ROW()/10000000)</f>
        <v/>
      </c>
    </row>
    <row r="40">
      <c r="A40" s="1" t="n"/>
      <c r="B40" s="40" t="n"/>
      <c r="C40" s="35" t="n"/>
      <c r="D40" s="19" t="n"/>
      <c r="E40" s="20" t="n"/>
      <c r="F40" s="20" t="n"/>
      <c r="G40" s="1" t="n"/>
      <c r="H40">
        <f>IF(B40="","",B40+MOD(N(C40),1)+ROW()/10000000)</f>
        <v/>
      </c>
    </row>
    <row r="41">
      <c r="A41" s="1" t="n"/>
      <c r="B41" s="40" t="n"/>
      <c r="C41" s="35" t="n"/>
      <c r="D41" s="19" t="n"/>
      <c r="E41" s="20" t="n"/>
      <c r="F41" s="20" t="n"/>
      <c r="G41" s="1" t="n"/>
      <c r="H41">
        <f>IF(B41="","",B41+MOD(N(C41),1)+ROW()/10000000)</f>
        <v/>
      </c>
    </row>
    <row r="42">
      <c r="A42" s="1" t="n"/>
      <c r="B42" s="40" t="n"/>
      <c r="C42" s="35" t="n"/>
      <c r="D42" s="19" t="n"/>
      <c r="E42" s="20" t="n"/>
      <c r="F42" s="20" t="n"/>
      <c r="G42" s="1" t="n"/>
      <c r="H42">
        <f>IF(B42="","",B42+MOD(N(C42),1)+ROW()/10000000)</f>
        <v/>
      </c>
    </row>
    <row r="43">
      <c r="A43" s="1" t="n"/>
      <c r="B43" s="40" t="n"/>
      <c r="C43" s="35" t="n"/>
      <c r="D43" s="19" t="n"/>
      <c r="E43" s="20" t="n"/>
      <c r="F43" s="20" t="n"/>
      <c r="G43" s="1" t="n"/>
      <c r="H43">
        <f>IF(B43="","",B43+MOD(N(C43),1)+ROW()/10000000)</f>
        <v/>
      </c>
    </row>
    <row r="44">
      <c r="A44" s="1" t="n"/>
      <c r="B44" s="40" t="n"/>
      <c r="C44" s="35" t="n"/>
      <c r="D44" s="19" t="n"/>
      <c r="E44" s="20" t="n"/>
      <c r="F44" s="20" t="n"/>
      <c r="G44" s="1" t="n"/>
      <c r="H44">
        <f>IF(B44="","",B44+MOD(N(C44),1)+ROW()/10000000)</f>
        <v/>
      </c>
    </row>
    <row r="45">
      <c r="A45" s="1" t="n"/>
      <c r="B45" s="40" t="n"/>
      <c r="C45" s="35" t="n"/>
      <c r="D45" s="19" t="n"/>
      <c r="E45" s="20" t="n"/>
      <c r="F45" s="20" t="n"/>
      <c r="G45" s="1" t="n"/>
      <c r="H45">
        <f>IF(B45="","",B45+MOD(N(C45),1)+ROW()/10000000)</f>
        <v/>
      </c>
    </row>
    <row r="46">
      <c r="A46" s="1" t="n"/>
      <c r="B46" s="40" t="n"/>
      <c r="C46" s="35" t="n"/>
      <c r="D46" s="19" t="n"/>
      <c r="E46" s="20" t="n"/>
      <c r="F46" s="20" t="n"/>
      <c r="G46" s="1" t="n"/>
      <c r="H46">
        <f>IF(B46="","",B46+MOD(N(C46),1)+ROW()/10000000)</f>
        <v/>
      </c>
    </row>
    <row r="47">
      <c r="A47" s="1" t="n"/>
      <c r="B47" s="40" t="n"/>
      <c r="C47" s="35" t="n"/>
      <c r="D47" s="19" t="n"/>
      <c r="E47" s="20" t="n"/>
      <c r="F47" s="20" t="n"/>
      <c r="G47" s="1" t="n"/>
      <c r="H47">
        <f>IF(B47="","",B47+MOD(N(C47),1)+ROW()/10000000)</f>
        <v/>
      </c>
    </row>
    <row r="48">
      <c r="A48" s="1" t="n"/>
      <c r="B48" s="40" t="n"/>
      <c r="C48" s="35" t="n"/>
      <c r="D48" s="19" t="n"/>
      <c r="E48" s="20" t="n"/>
      <c r="F48" s="20" t="n"/>
      <c r="G48" s="1" t="n"/>
      <c r="H48">
        <f>IF(B48="","",B48+MOD(N(C48),1)+ROW()/10000000)</f>
        <v/>
      </c>
    </row>
    <row r="49">
      <c r="A49" s="1" t="n"/>
      <c r="B49" s="40" t="n"/>
      <c r="C49" s="35" t="n"/>
      <c r="D49" s="19" t="n"/>
      <c r="E49" s="20" t="n"/>
      <c r="F49" s="20" t="n"/>
      <c r="G49" s="1" t="n"/>
      <c r="H49">
        <f>IF(B49="","",B49+MOD(N(C49),1)+ROW()/10000000)</f>
        <v/>
      </c>
    </row>
    <row r="50">
      <c r="A50" s="1" t="n"/>
      <c r="B50" s="40" t="n"/>
      <c r="C50" s="35" t="n"/>
      <c r="D50" s="19" t="n"/>
      <c r="E50" s="20" t="n"/>
      <c r="F50" s="20" t="n"/>
      <c r="G50" s="1" t="n"/>
      <c r="H50">
        <f>IF(B50="","",B50+MOD(N(C50),1)+ROW()/10000000)</f>
        <v/>
      </c>
    </row>
    <row r="51">
      <c r="A51" s="1" t="n"/>
      <c r="B51" s="40" t="n"/>
      <c r="C51" s="35" t="n"/>
      <c r="D51" s="19" t="n"/>
      <c r="E51" s="20" t="n"/>
      <c r="F51" s="20" t="n"/>
      <c r="G51" s="1" t="n"/>
      <c r="H51">
        <f>IF(B51="","",B51+MOD(N(C51),1)+ROW()/10000000)</f>
        <v/>
      </c>
    </row>
    <row r="52">
      <c r="A52" s="1" t="n"/>
      <c r="B52" s="40" t="n"/>
      <c r="C52" s="35" t="n"/>
      <c r="D52" s="19" t="n"/>
      <c r="E52" s="20" t="n"/>
      <c r="F52" s="20" t="n"/>
      <c r="G52" s="1" t="n"/>
      <c r="H52">
        <f>IF(B52="","",B52+MOD(N(C52),1)+ROW()/10000000)</f>
        <v/>
      </c>
    </row>
    <row r="53">
      <c r="A53" s="1" t="n"/>
      <c r="B53" s="40" t="n"/>
      <c r="C53" s="35" t="n"/>
      <c r="D53" s="19" t="n"/>
      <c r="E53" s="20" t="n"/>
      <c r="F53" s="20" t="n"/>
      <c r="G53" s="1" t="n"/>
      <c r="H53">
        <f>IF(B53="","",B53+MOD(N(C53),1)+ROW()/10000000)</f>
        <v/>
      </c>
    </row>
    <row r="54">
      <c r="A54" s="1" t="n"/>
      <c r="B54" s="40" t="n"/>
      <c r="C54" s="35" t="n"/>
      <c r="D54" s="19" t="n"/>
      <c r="E54" s="20" t="n"/>
      <c r="F54" s="20" t="n"/>
      <c r="G54" s="1" t="n"/>
      <c r="H54">
        <f>IF(B54="","",B54+MOD(N(C54),1)+ROW()/10000000)</f>
        <v/>
      </c>
    </row>
    <row r="55">
      <c r="A55" s="1" t="n"/>
      <c r="B55" s="40" t="n"/>
      <c r="C55" s="35" t="n"/>
      <c r="D55" s="19" t="n"/>
      <c r="E55" s="20" t="n"/>
      <c r="F55" s="20" t="n"/>
      <c r="G55" s="1" t="n"/>
      <c r="H55">
        <f>IF(B55="","",B55+MOD(N(C55),1)+ROW()/10000000)</f>
        <v/>
      </c>
    </row>
    <row r="56">
      <c r="A56" s="1" t="n"/>
      <c r="B56" s="40" t="n"/>
      <c r="C56" s="35" t="n"/>
      <c r="D56" s="19" t="n"/>
      <c r="E56" s="20" t="n"/>
      <c r="F56" s="20" t="n"/>
      <c r="G56" s="1" t="n"/>
      <c r="H56">
        <f>IF(B56="","",B56+MOD(N(C56),1)+ROW()/10000000)</f>
        <v/>
      </c>
    </row>
    <row r="57">
      <c r="A57" s="1" t="n"/>
      <c r="B57" s="40" t="n"/>
      <c r="C57" s="35" t="n"/>
      <c r="D57" s="19" t="n"/>
      <c r="E57" s="20" t="n"/>
      <c r="F57" s="20" t="n"/>
      <c r="G57" s="1" t="n"/>
      <c r="H57">
        <f>IF(B57="","",B57+MOD(N(C57),1)+ROW()/10000000)</f>
        <v/>
      </c>
    </row>
    <row r="58">
      <c r="A58" s="1" t="n"/>
      <c r="B58" s="40" t="n"/>
      <c r="C58" s="35" t="n"/>
      <c r="D58" s="19" t="n"/>
      <c r="E58" s="20" t="n"/>
      <c r="F58" s="20" t="n"/>
      <c r="G58" s="1" t="n"/>
      <c r="H58">
        <f>IF(B58="","",B58+MOD(N(C58),1)+ROW()/10000000)</f>
        <v/>
      </c>
    </row>
    <row r="59">
      <c r="A59" s="1" t="n"/>
      <c r="B59" s="40" t="n"/>
      <c r="C59" s="35" t="n"/>
      <c r="D59" s="19" t="n"/>
      <c r="E59" s="20" t="n"/>
      <c r="F59" s="20" t="n"/>
      <c r="G59" s="1" t="n"/>
      <c r="H59">
        <f>IF(B59="","",B59+MOD(N(C59),1)+ROW()/10000000)</f>
        <v/>
      </c>
    </row>
    <row r="60">
      <c r="A60" s="1" t="n"/>
      <c r="B60" s="40" t="n"/>
      <c r="C60" s="35" t="n"/>
      <c r="D60" s="19" t="n"/>
      <c r="E60" s="20" t="n"/>
      <c r="F60" s="20" t="n"/>
      <c r="G60" s="1" t="n"/>
      <c r="H60">
        <f>IF(B60="","",B60+MOD(N(C60),1)+ROW()/10000000)</f>
        <v/>
      </c>
    </row>
    <row r="61">
      <c r="A61" s="1" t="n"/>
      <c r="B61" s="40" t="n"/>
      <c r="C61" s="35" t="n"/>
      <c r="D61" s="19" t="n"/>
      <c r="E61" s="20" t="n"/>
      <c r="F61" s="20" t="n"/>
      <c r="G61" s="1" t="n"/>
      <c r="H61">
        <f>IF(B61="","",B61+MOD(N(C61),1)+ROW()/10000000)</f>
        <v/>
      </c>
    </row>
    <row r="62">
      <c r="A62" s="1" t="n"/>
      <c r="B62" s="40" t="n"/>
      <c r="C62" s="35" t="n"/>
      <c r="D62" s="19" t="n"/>
      <c r="E62" s="20" t="n"/>
      <c r="F62" s="20" t="n"/>
      <c r="G62" s="1" t="n"/>
      <c r="H62">
        <f>IF(B62="","",B62+MOD(N(C62),1)+ROW()/10000000)</f>
        <v/>
      </c>
    </row>
    <row r="63">
      <c r="A63" s="1" t="n"/>
      <c r="B63" s="40" t="n"/>
      <c r="C63" s="35" t="n"/>
      <c r="D63" s="19" t="n"/>
      <c r="E63" s="20" t="n"/>
      <c r="F63" s="20" t="n"/>
      <c r="G63" s="1" t="n"/>
      <c r="H63">
        <f>IF(B63="","",B63+MOD(N(C63),1)+ROW()/10000000)</f>
        <v/>
      </c>
    </row>
    <row r="64">
      <c r="A64" s="1" t="n"/>
      <c r="B64" s="40" t="n"/>
      <c r="C64" s="35" t="n"/>
      <c r="D64" s="19" t="n"/>
      <c r="E64" s="20" t="n"/>
      <c r="F64" s="20" t="n"/>
      <c r="G64" s="1" t="n"/>
      <c r="H64">
        <f>IF(B64="","",B64+MOD(N(C64),1)+ROW()/10000000)</f>
        <v/>
      </c>
    </row>
    <row r="65">
      <c r="A65" s="1" t="n"/>
      <c r="B65" s="40" t="n"/>
      <c r="C65" s="35" t="n"/>
      <c r="D65" s="19" t="n"/>
      <c r="E65" s="20" t="n"/>
      <c r="F65" s="20" t="n"/>
      <c r="G65" s="1" t="n"/>
      <c r="H65">
        <f>IF(B65="","",B65+MOD(N(C65),1)+ROW()/10000000)</f>
        <v/>
      </c>
    </row>
    <row r="66">
      <c r="A66" s="1" t="n"/>
      <c r="B66" s="40" t="n"/>
      <c r="C66" s="35" t="n"/>
      <c r="D66" s="19" t="n"/>
      <c r="E66" s="20" t="n"/>
      <c r="F66" s="20" t="n"/>
      <c r="G66" s="1" t="n"/>
      <c r="H66">
        <f>IF(B66="","",B66+MOD(N(C66),1)+ROW()/10000000)</f>
        <v/>
      </c>
    </row>
    <row r="67">
      <c r="A67" s="1" t="n"/>
      <c r="B67" s="40" t="n"/>
      <c r="C67" s="35" t="n"/>
      <c r="D67" s="19" t="n"/>
      <c r="E67" s="20" t="n"/>
      <c r="F67" s="20" t="n"/>
      <c r="G67" s="1" t="n"/>
      <c r="H67">
        <f>IF(B67="","",B67+MOD(N(C67),1)+ROW()/10000000)</f>
        <v/>
      </c>
    </row>
    <row r="68">
      <c r="A68" s="1" t="n"/>
      <c r="B68" s="40" t="n"/>
      <c r="C68" s="35" t="n"/>
      <c r="D68" s="19" t="n"/>
      <c r="E68" s="20" t="n"/>
      <c r="F68" s="20" t="n"/>
      <c r="G68" s="1" t="n"/>
      <c r="H68">
        <f>IF(B68="","",B68+MOD(N(C68),1)+ROW()/10000000)</f>
        <v/>
      </c>
    </row>
    <row r="69">
      <c r="A69" s="1" t="n"/>
      <c r="B69" s="40" t="n"/>
      <c r="C69" s="35" t="n"/>
      <c r="D69" s="19" t="n"/>
      <c r="E69" s="20" t="n"/>
      <c r="F69" s="20" t="n"/>
      <c r="G69" s="1" t="n"/>
      <c r="H69">
        <f>IF(B69="","",B69+MOD(N(C69),1)+ROW()/10000000)</f>
        <v/>
      </c>
    </row>
    <row r="70">
      <c r="A70" s="1" t="n"/>
      <c r="B70" s="40" t="n"/>
      <c r="C70" s="35" t="n"/>
      <c r="D70" s="19" t="n"/>
      <c r="E70" s="20" t="n"/>
      <c r="F70" s="20" t="n"/>
      <c r="G70" s="1" t="n"/>
      <c r="H70">
        <f>IF(B70="","",B70+MOD(N(C70),1)+ROW()/10000000)</f>
        <v/>
      </c>
    </row>
    <row r="71">
      <c r="A71" s="1" t="n"/>
      <c r="B71" s="40" t="n"/>
      <c r="C71" s="35" t="n"/>
      <c r="D71" s="19" t="n"/>
      <c r="E71" s="20" t="n"/>
      <c r="F71" s="20" t="n"/>
      <c r="G71" s="1" t="n"/>
      <c r="H71">
        <f>IF(B71="","",B71+MOD(N(C71),1)+ROW()/10000000)</f>
        <v/>
      </c>
    </row>
    <row r="72">
      <c r="A72" s="1" t="n"/>
      <c r="B72" s="40" t="n"/>
      <c r="C72" s="35" t="n"/>
      <c r="D72" s="19" t="n"/>
      <c r="E72" s="20" t="n"/>
      <c r="F72" s="20" t="n"/>
      <c r="G72" s="1" t="n"/>
      <c r="H72">
        <f>IF(B72="","",B72+MOD(N(C72),1)+ROW()/10000000)</f>
        <v/>
      </c>
    </row>
    <row r="73">
      <c r="A73" s="1" t="n"/>
      <c r="B73" s="40" t="n"/>
      <c r="C73" s="35" t="n"/>
      <c r="D73" s="19" t="n"/>
      <c r="E73" s="20" t="n"/>
      <c r="F73" s="20" t="n"/>
      <c r="G73" s="1" t="n"/>
      <c r="H73">
        <f>IF(B73="","",B73+MOD(N(C73),1)+ROW()/10000000)</f>
        <v/>
      </c>
    </row>
    <row r="74">
      <c r="A74" s="1" t="n"/>
      <c r="B74" s="40" t="n"/>
      <c r="C74" s="35" t="n"/>
      <c r="D74" s="19" t="n"/>
      <c r="E74" s="20" t="n"/>
      <c r="F74" s="20" t="n"/>
      <c r="G74" s="1" t="n"/>
      <c r="H74">
        <f>IF(B74="","",B74+MOD(N(C74),1)+ROW()/10000000)</f>
        <v/>
      </c>
    </row>
    <row r="75">
      <c r="A75" s="1" t="n"/>
      <c r="B75" s="40" t="n"/>
      <c r="C75" s="35" t="n"/>
      <c r="D75" s="19" t="n"/>
      <c r="E75" s="20" t="n"/>
      <c r="F75" s="20" t="n"/>
      <c r="G75" s="1" t="n"/>
      <c r="H75">
        <f>IF(B75="","",B75+MOD(N(C75),1)+ROW()/10000000)</f>
        <v/>
      </c>
    </row>
    <row r="76">
      <c r="A76" s="1" t="n"/>
      <c r="B76" s="40" t="n"/>
      <c r="C76" s="35" t="n"/>
      <c r="D76" s="19" t="n"/>
      <c r="E76" s="20" t="n"/>
      <c r="F76" s="20" t="n"/>
      <c r="G76" s="1" t="n"/>
      <c r="H76">
        <f>IF(B76="","",B76+MOD(N(C76),1)+ROW()/10000000)</f>
        <v/>
      </c>
    </row>
    <row r="77">
      <c r="A77" s="1" t="n"/>
      <c r="B77" s="40" t="n"/>
      <c r="C77" s="35" t="n"/>
      <c r="D77" s="19" t="n"/>
      <c r="E77" s="20" t="n"/>
      <c r="F77" s="20" t="n"/>
      <c r="G77" s="1" t="n"/>
      <c r="H77">
        <f>IF(B77="","",B77+MOD(N(C77),1)+ROW()/10000000)</f>
        <v/>
      </c>
    </row>
    <row r="78">
      <c r="A78" s="1" t="n"/>
      <c r="B78" s="40" t="n"/>
      <c r="C78" s="35" t="n"/>
      <c r="D78" s="19" t="n"/>
      <c r="E78" s="20" t="n"/>
      <c r="F78" s="20" t="n"/>
      <c r="G78" s="1" t="n"/>
      <c r="H78">
        <f>IF(B78="","",B78+MOD(N(C78),1)+ROW()/10000000)</f>
        <v/>
      </c>
    </row>
    <row r="79">
      <c r="A79" s="1" t="n"/>
      <c r="B79" s="40" t="n"/>
      <c r="C79" s="35" t="n"/>
      <c r="D79" s="19" t="n"/>
      <c r="E79" s="20" t="n"/>
      <c r="F79" s="20" t="n"/>
      <c r="G79" s="1" t="n"/>
      <c r="H79">
        <f>IF(B79="","",B79+MOD(N(C79),1)+ROW()/10000000)</f>
        <v/>
      </c>
    </row>
    <row r="80">
      <c r="A80" s="1" t="n"/>
      <c r="B80" s="40" t="n"/>
      <c r="C80" s="35" t="n"/>
      <c r="D80" s="19" t="n"/>
      <c r="E80" s="20" t="n"/>
      <c r="F80" s="20" t="n"/>
      <c r="G80" s="1" t="n"/>
      <c r="H80">
        <f>IF(B80="","",B80+MOD(N(C80),1)+ROW()/10000000)</f>
        <v/>
      </c>
    </row>
    <row r="81">
      <c r="A81" s="1" t="n"/>
      <c r="B81" s="40" t="n"/>
      <c r="C81" s="35" t="n"/>
      <c r="D81" s="19" t="n"/>
      <c r="E81" s="20" t="n"/>
      <c r="F81" s="20" t="n"/>
      <c r="G81" s="1" t="n"/>
      <c r="H81">
        <f>IF(B81="","",B81+MOD(N(C81),1)+ROW()/10000000)</f>
        <v/>
      </c>
    </row>
    <row r="82">
      <c r="A82" s="1" t="n"/>
      <c r="B82" s="40" t="n"/>
      <c r="C82" s="35" t="n"/>
      <c r="D82" s="19" t="n"/>
      <c r="E82" s="20" t="n"/>
      <c r="F82" s="20" t="n"/>
      <c r="G82" s="1" t="n"/>
      <c r="H82">
        <f>IF(B82="","",B82+MOD(N(C82),1)+ROW()/10000000)</f>
        <v/>
      </c>
    </row>
    <row r="83">
      <c r="A83" s="1" t="n"/>
      <c r="B83" s="40" t="n"/>
      <c r="C83" s="35" t="n"/>
      <c r="D83" s="19" t="n"/>
      <c r="E83" s="20" t="n"/>
      <c r="F83" s="20" t="n"/>
      <c r="G83" s="1" t="n"/>
      <c r="H83">
        <f>IF(B83="","",B83+MOD(N(C83),1)+ROW()/10000000)</f>
        <v/>
      </c>
    </row>
    <row r="84">
      <c r="A84" s="1" t="n"/>
      <c r="B84" s="40" t="n"/>
      <c r="C84" s="35" t="n"/>
      <c r="D84" s="19" t="n"/>
      <c r="E84" s="20" t="n"/>
      <c r="F84" s="20" t="n"/>
      <c r="G84" s="1" t="n"/>
      <c r="H84">
        <f>IF(B84="","",B84+MOD(N(C84),1)+ROW()/10000000)</f>
        <v/>
      </c>
    </row>
    <row r="85">
      <c r="A85" s="1" t="n"/>
      <c r="B85" s="40" t="n"/>
      <c r="C85" s="35" t="n"/>
      <c r="D85" s="19" t="n"/>
      <c r="E85" s="20" t="n"/>
      <c r="F85" s="20" t="n"/>
      <c r="G85" s="1" t="n"/>
      <c r="H85">
        <f>IF(B85="","",B85+MOD(N(C85),1)+ROW()/10000000)</f>
        <v/>
      </c>
    </row>
    <row r="86">
      <c r="A86" s="1" t="n"/>
      <c r="B86" s="40" t="n"/>
      <c r="C86" s="35" t="n"/>
      <c r="D86" s="19" t="n"/>
      <c r="E86" s="20" t="n"/>
      <c r="F86" s="20" t="n"/>
      <c r="G86" s="1" t="n"/>
      <c r="H86">
        <f>IF(B86="","",B86+MOD(N(C86),1)+ROW()/10000000)</f>
        <v/>
      </c>
    </row>
    <row r="87">
      <c r="A87" s="1" t="n"/>
      <c r="B87" s="40" t="n"/>
      <c r="C87" s="35" t="n"/>
      <c r="D87" s="19" t="n"/>
      <c r="E87" s="20" t="n"/>
      <c r="F87" s="20" t="n"/>
      <c r="G87" s="1" t="n"/>
      <c r="H87">
        <f>IF(B87="","",B87+MOD(N(C87),1)+ROW()/10000000)</f>
        <v/>
      </c>
    </row>
    <row r="88">
      <c r="A88" s="1" t="n"/>
      <c r="B88" s="40" t="n"/>
      <c r="C88" s="35" t="n"/>
      <c r="D88" s="19" t="n"/>
      <c r="E88" s="20" t="n"/>
      <c r="F88" s="20" t="n"/>
      <c r="G88" s="1" t="n"/>
      <c r="H88">
        <f>IF(B88="","",B88+MOD(N(C88),1)+ROW()/10000000)</f>
        <v/>
      </c>
    </row>
    <row r="89">
      <c r="A89" s="1" t="n"/>
      <c r="B89" s="40" t="n"/>
      <c r="C89" s="35" t="n"/>
      <c r="D89" s="19" t="n"/>
      <c r="E89" s="20" t="n"/>
      <c r="F89" s="20" t="n"/>
      <c r="G89" s="1" t="n"/>
      <c r="H89">
        <f>IF(B89="","",B89+MOD(N(C89),1)+ROW()/10000000)</f>
        <v/>
      </c>
    </row>
    <row r="90">
      <c r="A90" s="1" t="n"/>
      <c r="B90" s="40" t="n"/>
      <c r="C90" s="35" t="n"/>
      <c r="D90" s="19" t="n"/>
      <c r="E90" s="20" t="n"/>
      <c r="F90" s="20" t="n"/>
      <c r="G90" s="1" t="n"/>
      <c r="H90">
        <f>IF(B90="","",B90+MOD(N(C90),1)+ROW()/10000000)</f>
        <v/>
      </c>
    </row>
    <row r="91">
      <c r="A91" s="1" t="n"/>
      <c r="B91" s="40" t="n"/>
      <c r="C91" s="35" t="n"/>
      <c r="D91" s="19" t="n"/>
      <c r="E91" s="20" t="n"/>
      <c r="F91" s="20" t="n"/>
      <c r="G91" s="1" t="n"/>
      <c r="H91">
        <f>IF(B91="","",B91+MOD(N(C91),1)+ROW()/10000000)</f>
        <v/>
      </c>
    </row>
    <row r="92">
      <c r="A92" s="1" t="n"/>
      <c r="B92" s="40" t="n"/>
      <c r="C92" s="35" t="n"/>
      <c r="D92" s="19" t="n"/>
      <c r="E92" s="20" t="n"/>
      <c r="F92" s="20" t="n"/>
      <c r="G92" s="1" t="n"/>
      <c r="H92">
        <f>IF(B92="","",B92+MOD(N(C92),1)+ROW()/10000000)</f>
        <v/>
      </c>
    </row>
    <row r="93">
      <c r="A93" s="1" t="n"/>
      <c r="B93" s="40" t="n"/>
      <c r="C93" s="35" t="n"/>
      <c r="D93" s="19" t="n"/>
      <c r="E93" s="20" t="n"/>
      <c r="F93" s="20" t="n"/>
      <c r="G93" s="1" t="n"/>
      <c r="H93">
        <f>IF(B93="","",B93+MOD(N(C93),1)+ROW()/10000000)</f>
        <v/>
      </c>
    </row>
    <row r="94">
      <c r="A94" s="1" t="n"/>
      <c r="B94" s="40" t="n"/>
      <c r="C94" s="35" t="n"/>
      <c r="D94" s="19" t="n"/>
      <c r="E94" s="20" t="n"/>
      <c r="F94" s="20" t="n"/>
      <c r="G94" s="1" t="n"/>
      <c r="H94">
        <f>IF(B94="","",B94+MOD(N(C94),1)+ROW()/10000000)</f>
        <v/>
      </c>
    </row>
    <row r="95">
      <c r="A95" s="1" t="n"/>
      <c r="B95" s="40" t="n"/>
      <c r="C95" s="35" t="n"/>
      <c r="D95" s="19" t="n"/>
      <c r="E95" s="20" t="n"/>
      <c r="F95" s="20" t="n"/>
      <c r="G95" s="1" t="n"/>
      <c r="H95">
        <f>IF(B95="","",B95+MOD(N(C95),1)+ROW()/10000000)</f>
        <v/>
      </c>
    </row>
    <row r="96">
      <c r="A96" s="1" t="n"/>
      <c r="B96" s="40" t="n"/>
      <c r="C96" s="35" t="n"/>
      <c r="D96" s="19" t="n"/>
      <c r="E96" s="20" t="n"/>
      <c r="F96" s="20" t="n"/>
      <c r="G96" s="1" t="n"/>
      <c r="H96">
        <f>IF(B96="","",B96+MOD(N(C96),1)+ROW()/10000000)</f>
        <v/>
      </c>
    </row>
    <row r="97">
      <c r="A97" s="1" t="n"/>
      <c r="B97" s="40" t="n"/>
      <c r="C97" s="35" t="n"/>
      <c r="D97" s="19" t="n"/>
      <c r="E97" s="20" t="n"/>
      <c r="F97" s="20" t="n"/>
      <c r="G97" s="1" t="n"/>
      <c r="H97">
        <f>IF(B97="","",B97+MOD(N(C97),1)+ROW()/10000000)</f>
        <v/>
      </c>
    </row>
    <row r="98">
      <c r="A98" s="1" t="n"/>
      <c r="B98" s="40" t="n"/>
      <c r="C98" s="35" t="n"/>
      <c r="D98" s="19" t="n"/>
      <c r="E98" s="20" t="n"/>
      <c r="F98" s="20" t="n"/>
      <c r="G98" s="1" t="n"/>
      <c r="H98">
        <f>IF(B98="","",B98+MOD(N(C98),1)+ROW()/10000000)</f>
        <v/>
      </c>
    </row>
    <row r="99">
      <c r="A99" s="1" t="n"/>
      <c r="B99" s="40" t="n"/>
      <c r="C99" s="35" t="n"/>
      <c r="D99" s="19" t="n"/>
      <c r="E99" s="20" t="n"/>
      <c r="F99" s="20" t="n"/>
      <c r="G99" s="1" t="n"/>
      <c r="H99">
        <f>IF(B99="","",B99+MOD(N(C99),1)+ROW()/10000000)</f>
        <v/>
      </c>
    </row>
    <row r="100">
      <c r="A100" s="1" t="n"/>
      <c r="B100" s="40" t="n"/>
      <c r="C100" s="35" t="n"/>
      <c r="D100" s="19" t="n"/>
      <c r="E100" s="20" t="n"/>
      <c r="F100" s="20" t="n"/>
      <c r="G100" s="1" t="n"/>
      <c r="H100">
        <f>IF(B100="","",B100+MOD(N(C100),1)+ROW()/10000000)</f>
        <v/>
      </c>
    </row>
    <row r="101">
      <c r="A101" s="1" t="n"/>
      <c r="B101" s="40" t="n"/>
      <c r="C101" s="35" t="n"/>
      <c r="D101" s="19" t="n"/>
      <c r="E101" s="20" t="n"/>
      <c r="F101" s="20" t="n"/>
      <c r="G101" s="1" t="n"/>
      <c r="H101">
        <f>IF(B101="","",B101+MOD(N(C101),1)+ROW()/10000000)</f>
        <v/>
      </c>
    </row>
    <row r="102">
      <c r="A102" s="1" t="n"/>
      <c r="B102" s="40" t="n"/>
      <c r="C102" s="35" t="n"/>
      <c r="D102" s="19" t="n"/>
      <c r="E102" s="20" t="n"/>
      <c r="F102" s="20" t="n"/>
      <c r="G102" s="1" t="n"/>
      <c r="H102">
        <f>IF(B102="","",B102+MOD(N(C102),1)+ROW()/10000000)</f>
        <v/>
      </c>
    </row>
    <row r="103">
      <c r="A103" s="1" t="n"/>
      <c r="B103" s="40" t="n"/>
      <c r="C103" s="35" t="n"/>
      <c r="D103" s="19" t="n"/>
      <c r="E103" s="20" t="n"/>
      <c r="F103" s="20" t="n"/>
      <c r="G103" s="1" t="n"/>
      <c r="H103">
        <f>IF(B103="","",B103+MOD(N(C103),1)+ROW()/10000000)</f>
        <v/>
      </c>
    </row>
    <row r="104">
      <c r="A104" s="1" t="n"/>
      <c r="B104" s="40" t="n"/>
      <c r="C104" s="35" t="n"/>
      <c r="D104" s="19" t="n"/>
      <c r="E104" s="20" t="n"/>
      <c r="F104" s="20" t="n"/>
      <c r="G104" s="1" t="n"/>
      <c r="H104">
        <f>IF(B104="","",B104+MOD(N(C104),1)+ROW()/10000000)</f>
        <v/>
      </c>
    </row>
    <row r="105">
      <c r="A105" s="1" t="n"/>
      <c r="B105" s="40" t="n"/>
      <c r="C105" s="35" t="n"/>
      <c r="D105" s="19" t="n"/>
      <c r="E105" s="20" t="n"/>
      <c r="F105" s="20" t="n"/>
      <c r="G105" s="1" t="n"/>
      <c r="H105">
        <f>IF(B105="","",B105+MOD(N(C105),1)+ROW()/10000000)</f>
        <v/>
      </c>
    </row>
    <row r="106">
      <c r="A106" s="1" t="n"/>
      <c r="B106" s="40" t="n"/>
      <c r="C106" s="35" t="n"/>
      <c r="D106" s="19" t="n"/>
      <c r="E106" s="20" t="n"/>
      <c r="F106" s="20" t="n"/>
      <c r="G106" s="1" t="n"/>
      <c r="H106">
        <f>IF(B106="","",B106+MOD(N(C106),1)+ROW()/10000000)</f>
        <v/>
      </c>
    </row>
    <row r="107">
      <c r="A107" s="1" t="n"/>
      <c r="B107" s="40" t="n"/>
      <c r="C107" s="35" t="n"/>
      <c r="D107" s="19" t="n"/>
      <c r="E107" s="20" t="n"/>
      <c r="F107" s="20" t="n"/>
      <c r="G107" s="1" t="n"/>
      <c r="H107">
        <f>IF(B107="","",B107+MOD(N(C107),1)+ROW()/10000000)</f>
        <v/>
      </c>
    </row>
    <row r="108">
      <c r="A108" s="1" t="n"/>
      <c r="B108" s="40" t="n"/>
      <c r="C108" s="35" t="n"/>
      <c r="D108" s="19" t="n"/>
      <c r="E108" s="20" t="n"/>
      <c r="F108" s="20" t="n"/>
      <c r="G108" s="1" t="n"/>
      <c r="H108">
        <f>IF(B108="","",B108+MOD(N(C108),1)+ROW()/10000000)</f>
        <v/>
      </c>
    </row>
    <row r="109">
      <c r="A109" s="1" t="n"/>
      <c r="B109" s="40" t="n"/>
      <c r="C109" s="35" t="n"/>
      <c r="D109" s="19" t="n"/>
      <c r="E109" s="20" t="n"/>
      <c r="F109" s="20" t="n"/>
      <c r="G109" s="1" t="n"/>
      <c r="H109">
        <f>IF(B109="","",B109+MOD(N(C109),1)+ROW()/10000000)</f>
        <v/>
      </c>
    </row>
    <row r="110">
      <c r="A110" s="1" t="n"/>
      <c r="B110" s="40" t="n"/>
      <c r="C110" s="35" t="n"/>
      <c r="D110" s="19" t="n"/>
      <c r="E110" s="20" t="n"/>
      <c r="F110" s="20" t="n"/>
      <c r="G110" s="1" t="n"/>
      <c r="H110">
        <f>IF(B110="","",B110+MOD(N(C110),1)+ROW()/10000000)</f>
        <v/>
      </c>
    </row>
    <row r="111">
      <c r="A111" s="1" t="n"/>
      <c r="B111" s="40" t="n"/>
      <c r="C111" s="35" t="n"/>
      <c r="D111" s="19" t="n"/>
      <c r="E111" s="20" t="n"/>
      <c r="F111" s="20" t="n"/>
      <c r="G111" s="1" t="n"/>
      <c r="H111">
        <f>IF(B111="","",B111+MOD(N(C111),1)+ROW()/10000000)</f>
        <v/>
      </c>
    </row>
    <row r="112">
      <c r="A112" s="1" t="n"/>
      <c r="B112" s="40" t="n"/>
      <c r="C112" s="35" t="n"/>
      <c r="D112" s="19" t="n"/>
      <c r="E112" s="20" t="n"/>
      <c r="F112" s="20" t="n"/>
      <c r="G112" s="1" t="n"/>
      <c r="H112">
        <f>IF(B112="","",B112+MOD(N(C112),1)+ROW()/10000000)</f>
        <v/>
      </c>
    </row>
    <row r="113">
      <c r="A113" s="1" t="n"/>
      <c r="B113" s="40" t="n"/>
      <c r="C113" s="35" t="n"/>
      <c r="D113" s="19" t="n"/>
      <c r="E113" s="20" t="n"/>
      <c r="F113" s="20" t="n"/>
      <c r="G113" s="1" t="n"/>
      <c r="H113">
        <f>IF(B113="","",B113+MOD(N(C113),1)+ROW()/10000000)</f>
        <v/>
      </c>
    </row>
    <row r="114">
      <c r="A114" s="1" t="n"/>
      <c r="B114" s="40" t="n"/>
      <c r="C114" s="35" t="n"/>
      <c r="D114" s="19" t="n"/>
      <c r="E114" s="20" t="n"/>
      <c r="F114" s="20" t="n"/>
      <c r="G114" s="1" t="n"/>
      <c r="H114">
        <f>IF(B114="","",B114+MOD(N(C114),1)+ROW()/10000000)</f>
        <v/>
      </c>
    </row>
    <row r="115">
      <c r="A115" s="1" t="n"/>
      <c r="B115" s="40" t="n"/>
      <c r="C115" s="35" t="n"/>
      <c r="D115" s="19" t="n"/>
      <c r="E115" s="20" t="n"/>
      <c r="F115" s="20" t="n"/>
      <c r="G115" s="1" t="n"/>
      <c r="H115">
        <f>IF(B115="","",B115+MOD(N(C115),1)+ROW()/10000000)</f>
        <v/>
      </c>
    </row>
    <row r="116">
      <c r="A116" s="1" t="n"/>
      <c r="B116" s="40" t="n"/>
      <c r="C116" s="35" t="n"/>
      <c r="D116" s="19" t="n"/>
      <c r="E116" s="20" t="n"/>
      <c r="F116" s="20" t="n"/>
      <c r="G116" s="1" t="n"/>
      <c r="H116">
        <f>IF(B116="","",B116+MOD(N(C116),1)+ROW()/10000000)</f>
        <v/>
      </c>
    </row>
    <row r="117">
      <c r="A117" s="1" t="n"/>
      <c r="B117" s="40" t="n"/>
      <c r="C117" s="35" t="n"/>
      <c r="D117" s="19" t="n"/>
      <c r="E117" s="20" t="n"/>
      <c r="F117" s="20" t="n"/>
      <c r="G117" s="1" t="n"/>
      <c r="H117">
        <f>IF(B117="","",B117+MOD(N(C117),1)+ROW()/10000000)</f>
        <v/>
      </c>
    </row>
    <row r="118">
      <c r="A118" s="1" t="n"/>
      <c r="B118" s="40" t="n"/>
      <c r="C118" s="35" t="n"/>
      <c r="D118" s="19" t="n"/>
      <c r="E118" s="20" t="n"/>
      <c r="F118" s="20" t="n"/>
      <c r="G118" s="1" t="n"/>
      <c r="H118">
        <f>IF(B118="","",B118+MOD(N(C118),1)+ROW()/10000000)</f>
        <v/>
      </c>
    </row>
    <row r="119">
      <c r="A119" s="1" t="n"/>
      <c r="B119" s="40" t="n"/>
      <c r="C119" s="35" t="n"/>
      <c r="D119" s="19" t="n"/>
      <c r="E119" s="20" t="n"/>
      <c r="F119" s="20" t="n"/>
      <c r="G119" s="1" t="n"/>
      <c r="H119">
        <f>IF(B119="","",B119+MOD(N(C119),1)+ROW()/10000000)</f>
        <v/>
      </c>
    </row>
    <row r="120">
      <c r="A120" s="1" t="n"/>
      <c r="B120" s="40" t="n"/>
      <c r="C120" s="35" t="n"/>
      <c r="D120" s="19" t="n"/>
      <c r="E120" s="20" t="n"/>
      <c r="F120" s="20" t="n"/>
      <c r="G120" s="1" t="n"/>
      <c r="H120">
        <f>IF(B120="","",B120+MOD(N(C120),1)+ROW()/10000000)</f>
        <v/>
      </c>
    </row>
    <row r="121">
      <c r="A121" s="1" t="n"/>
      <c r="B121" s="40" t="n"/>
      <c r="C121" s="35" t="n"/>
      <c r="D121" s="19" t="n"/>
      <c r="E121" s="20" t="n"/>
      <c r="F121" s="20" t="n"/>
      <c r="G121" s="1" t="n"/>
      <c r="H121">
        <f>IF(B121="","",B121+MOD(N(C121),1)+ROW()/10000000)</f>
        <v/>
      </c>
    </row>
    <row r="122">
      <c r="A122" s="1" t="n"/>
      <c r="B122" s="40" t="n"/>
      <c r="C122" s="35" t="n"/>
      <c r="D122" s="19" t="n"/>
      <c r="E122" s="20" t="n"/>
      <c r="F122" s="20" t="n"/>
      <c r="G122" s="1" t="n"/>
      <c r="H122">
        <f>IF(B122="","",B122+MOD(N(C122),1)+ROW()/10000000)</f>
        <v/>
      </c>
    </row>
    <row r="123">
      <c r="A123" s="1" t="n"/>
      <c r="B123" s="40" t="n"/>
      <c r="C123" s="35" t="n"/>
      <c r="D123" s="19" t="n"/>
      <c r="E123" s="20" t="n"/>
      <c r="F123" s="20" t="n"/>
      <c r="G123" s="1" t="n"/>
      <c r="H123">
        <f>IF(B123="","",B123+MOD(N(C123),1)+ROW()/10000000)</f>
        <v/>
      </c>
    </row>
    <row r="124">
      <c r="A124" s="1" t="n"/>
      <c r="B124" s="40" t="n"/>
      <c r="C124" s="35" t="n"/>
      <c r="D124" s="19" t="n"/>
      <c r="E124" s="20" t="n"/>
      <c r="F124" s="20" t="n"/>
      <c r="G124" s="1" t="n"/>
      <c r="H124">
        <f>IF(B124="","",B124+MOD(N(C124),1)+ROW()/10000000)</f>
        <v/>
      </c>
    </row>
    <row r="125">
      <c r="A125" s="1" t="n"/>
      <c r="B125" s="40" t="n"/>
      <c r="C125" s="35" t="n"/>
      <c r="D125" s="19" t="n"/>
      <c r="E125" s="20" t="n"/>
      <c r="F125" s="20" t="n"/>
      <c r="G125" s="1" t="n"/>
      <c r="H125">
        <f>IF(B125="","",B125+MOD(N(C125),1)+ROW()/10000000)</f>
        <v/>
      </c>
    </row>
    <row r="126">
      <c r="A126" s="1" t="n"/>
      <c r="B126" s="40" t="n"/>
      <c r="C126" s="35" t="n"/>
      <c r="D126" s="19" t="n"/>
      <c r="E126" s="20" t="n"/>
      <c r="F126" s="20" t="n"/>
      <c r="G126" s="1" t="n"/>
      <c r="H126">
        <f>IF(B126="","",B126+MOD(N(C126),1)+ROW()/10000000)</f>
        <v/>
      </c>
    </row>
    <row r="127">
      <c r="A127" s="1" t="n"/>
      <c r="B127" s="40" t="n"/>
      <c r="C127" s="35" t="n"/>
      <c r="D127" s="19" t="n"/>
      <c r="E127" s="20" t="n"/>
      <c r="F127" s="20" t="n"/>
      <c r="G127" s="1" t="n"/>
      <c r="H127">
        <f>IF(B127="","",B127+MOD(N(C127),1)+ROW()/10000000)</f>
        <v/>
      </c>
    </row>
    <row r="128">
      <c r="A128" s="1" t="n"/>
      <c r="B128" s="40" t="n"/>
      <c r="C128" s="35" t="n"/>
      <c r="D128" s="19" t="n"/>
      <c r="E128" s="20" t="n"/>
      <c r="F128" s="20" t="n"/>
      <c r="G128" s="1" t="n"/>
      <c r="H128">
        <f>IF(B128="","",B128+MOD(N(C128),1)+ROW()/10000000)</f>
        <v/>
      </c>
    </row>
    <row r="129">
      <c r="A129" s="1" t="n"/>
      <c r="B129" s="40" t="n"/>
      <c r="C129" s="35" t="n"/>
      <c r="D129" s="19" t="n"/>
      <c r="E129" s="20" t="n"/>
      <c r="F129" s="20" t="n"/>
      <c r="G129" s="1" t="n"/>
      <c r="H129">
        <f>IF(B129="","",B129+MOD(N(C129),1)+ROW()/10000000)</f>
        <v/>
      </c>
    </row>
    <row r="130">
      <c r="A130" s="1" t="n"/>
      <c r="B130" s="40" t="n"/>
      <c r="C130" s="35" t="n"/>
      <c r="D130" s="19" t="n"/>
      <c r="E130" s="20" t="n"/>
      <c r="F130" s="20" t="n"/>
      <c r="G130" s="1" t="n"/>
      <c r="H130">
        <f>IF(B130="","",B130+MOD(N(C130),1)+ROW()/10000000)</f>
        <v/>
      </c>
    </row>
    <row r="131">
      <c r="A131" s="1" t="n"/>
      <c r="B131" s="40" t="n"/>
      <c r="C131" s="35" t="n"/>
      <c r="D131" s="19" t="n"/>
      <c r="E131" s="20" t="n"/>
      <c r="F131" s="20" t="n"/>
      <c r="G131" s="1" t="n"/>
      <c r="H131">
        <f>IF(B131="","",B131+MOD(N(C131),1)+ROW()/10000000)</f>
        <v/>
      </c>
    </row>
    <row r="132">
      <c r="A132" s="1" t="n"/>
      <c r="B132" s="40" t="n"/>
      <c r="C132" s="35" t="n"/>
      <c r="D132" s="19" t="n"/>
      <c r="E132" s="20" t="n"/>
      <c r="F132" s="20" t="n"/>
      <c r="G132" s="1" t="n"/>
      <c r="H132">
        <f>IF(B132="","",B132+MOD(N(C132),1)+ROW()/10000000)</f>
        <v/>
      </c>
    </row>
    <row r="133">
      <c r="A133" s="1" t="n"/>
      <c r="B133" s="40" t="n"/>
      <c r="C133" s="35" t="n"/>
      <c r="D133" s="19" t="n"/>
      <c r="E133" s="20" t="n"/>
      <c r="F133" s="20" t="n"/>
      <c r="G133" s="1" t="n"/>
      <c r="H133">
        <f>IF(B133="","",B133+MOD(N(C133),1)+ROW()/10000000)</f>
        <v/>
      </c>
    </row>
    <row r="134">
      <c r="A134" s="1" t="n"/>
      <c r="B134" s="40" t="n"/>
      <c r="C134" s="35" t="n"/>
      <c r="D134" s="19" t="n"/>
      <c r="E134" s="20" t="n"/>
      <c r="F134" s="20" t="n"/>
      <c r="G134" s="1" t="n"/>
      <c r="H134">
        <f>IF(B134="","",B134+MOD(N(C134),1)+ROW()/10000000)</f>
        <v/>
      </c>
    </row>
    <row r="135">
      <c r="A135" s="1" t="n"/>
      <c r="B135" s="40" t="n"/>
      <c r="C135" s="35" t="n"/>
      <c r="D135" s="19" t="n"/>
      <c r="E135" s="20" t="n"/>
      <c r="F135" s="20" t="n"/>
      <c r="G135" s="1" t="n"/>
      <c r="H135">
        <f>IF(B135="","",B135+MOD(N(C135),1)+ROW()/10000000)</f>
        <v/>
      </c>
    </row>
    <row r="136">
      <c r="A136" s="1" t="n"/>
      <c r="B136" s="40" t="n"/>
      <c r="C136" s="35" t="n"/>
      <c r="D136" s="19" t="n"/>
      <c r="E136" s="20" t="n"/>
      <c r="F136" s="20" t="n"/>
      <c r="G136" s="1" t="n"/>
      <c r="H136">
        <f>IF(B136="","",B136+MOD(N(C136),1)+ROW()/10000000)</f>
        <v/>
      </c>
    </row>
    <row r="137">
      <c r="A137" s="1" t="n"/>
      <c r="B137" s="40" t="n"/>
      <c r="C137" s="35" t="n"/>
      <c r="D137" s="19" t="n"/>
      <c r="E137" s="20" t="n"/>
      <c r="F137" s="20" t="n"/>
      <c r="G137" s="1" t="n"/>
      <c r="H137">
        <f>IF(B137="","",B137+MOD(N(C137),1)+ROW()/10000000)</f>
        <v/>
      </c>
    </row>
    <row r="138">
      <c r="A138" s="1" t="n"/>
      <c r="B138" s="40" t="n"/>
      <c r="C138" s="35" t="n"/>
      <c r="D138" s="19" t="n"/>
      <c r="E138" s="20" t="n"/>
      <c r="F138" s="20" t="n"/>
      <c r="G138" s="1" t="n"/>
      <c r="H138">
        <f>IF(B138="","",B138+MOD(N(C138),1)+ROW()/10000000)</f>
        <v/>
      </c>
    </row>
    <row r="139">
      <c r="A139" s="1" t="n"/>
      <c r="B139" s="40" t="n"/>
      <c r="C139" s="35" t="n"/>
      <c r="D139" s="19" t="n"/>
      <c r="E139" s="20" t="n"/>
      <c r="F139" s="20" t="n"/>
      <c r="G139" s="1" t="n"/>
      <c r="H139">
        <f>IF(B139="","",B139+MOD(N(C139),1)+ROW()/10000000)</f>
        <v/>
      </c>
    </row>
    <row r="140">
      <c r="A140" s="1" t="n"/>
      <c r="B140" s="40" t="n"/>
      <c r="C140" s="35" t="n"/>
      <c r="D140" s="19" t="n"/>
      <c r="E140" s="20" t="n"/>
      <c r="F140" s="20" t="n"/>
      <c r="G140" s="1" t="n"/>
      <c r="H140">
        <f>IF(B140="","",B140+MOD(N(C140),1)+ROW()/10000000)</f>
        <v/>
      </c>
    </row>
    <row r="141">
      <c r="A141" s="1" t="n"/>
      <c r="B141" s="40" t="n"/>
      <c r="C141" s="35" t="n"/>
      <c r="D141" s="19" t="n"/>
      <c r="E141" s="20" t="n"/>
      <c r="F141" s="20" t="n"/>
      <c r="G141" s="1" t="n"/>
      <c r="H141">
        <f>IF(B141="","",B141+MOD(N(C141),1)+ROW()/10000000)</f>
        <v/>
      </c>
    </row>
    <row r="142">
      <c r="A142" s="1" t="n"/>
      <c r="B142" s="40" t="n"/>
      <c r="C142" s="35" t="n"/>
      <c r="D142" s="19" t="n"/>
      <c r="E142" s="20" t="n"/>
      <c r="F142" s="20" t="n"/>
      <c r="G142" s="1" t="n"/>
      <c r="H142">
        <f>IF(B142="","",B142+MOD(N(C142),1)+ROW()/10000000)</f>
        <v/>
      </c>
    </row>
    <row r="143">
      <c r="A143" s="1" t="n"/>
      <c r="B143" s="40" t="n"/>
      <c r="C143" s="35" t="n"/>
      <c r="D143" s="19" t="n"/>
      <c r="E143" s="20" t="n"/>
      <c r="F143" s="20" t="n"/>
      <c r="G143" s="1" t="n"/>
      <c r="H143">
        <f>IF(B143="","",B143+MOD(N(C143),1)+ROW()/10000000)</f>
        <v/>
      </c>
    </row>
    <row r="144">
      <c r="A144" s="1" t="n"/>
      <c r="B144" s="40" t="n"/>
      <c r="C144" s="35" t="n"/>
      <c r="D144" s="19" t="n"/>
      <c r="E144" s="20" t="n"/>
      <c r="F144" s="20" t="n"/>
      <c r="G144" s="1" t="n"/>
      <c r="H144">
        <f>IF(B144="","",B144+MOD(N(C144),1)+ROW()/10000000)</f>
        <v/>
      </c>
    </row>
    <row r="145">
      <c r="A145" s="1" t="n"/>
      <c r="B145" s="40" t="n"/>
      <c r="C145" s="35" t="n"/>
      <c r="D145" s="19" t="n"/>
      <c r="E145" s="20" t="n"/>
      <c r="F145" s="20" t="n"/>
      <c r="G145" s="1" t="n"/>
      <c r="H145">
        <f>IF(B145="","",B145+MOD(N(C145),1)+ROW()/10000000)</f>
        <v/>
      </c>
    </row>
    <row r="146">
      <c r="A146" s="1" t="n"/>
      <c r="B146" s="40" t="n"/>
      <c r="C146" s="35" t="n"/>
      <c r="D146" s="19" t="n"/>
      <c r="E146" s="20" t="n"/>
      <c r="F146" s="20" t="n"/>
      <c r="G146" s="1" t="n"/>
      <c r="H146">
        <f>IF(B146="","",B146+MOD(N(C146),1)+ROW()/10000000)</f>
        <v/>
      </c>
    </row>
    <row r="147">
      <c r="A147" s="1" t="n"/>
      <c r="B147" s="40" t="n"/>
      <c r="C147" s="35" t="n"/>
      <c r="D147" s="19" t="n"/>
      <c r="E147" s="20" t="n"/>
      <c r="F147" s="20" t="n"/>
      <c r="G147" s="1" t="n"/>
      <c r="H147">
        <f>IF(B147="","",B147+MOD(N(C147),1)+ROW()/10000000)</f>
        <v/>
      </c>
    </row>
    <row r="148">
      <c r="A148" s="1" t="n"/>
      <c r="B148" s="40" t="n"/>
      <c r="C148" s="35" t="n"/>
      <c r="D148" s="19" t="n"/>
      <c r="E148" s="20" t="n"/>
      <c r="F148" s="20" t="n"/>
      <c r="G148" s="1" t="n"/>
      <c r="H148">
        <f>IF(B148="","",B148+MOD(N(C148),1)+ROW()/10000000)</f>
        <v/>
      </c>
    </row>
    <row r="149">
      <c r="A149" s="1" t="n"/>
      <c r="B149" s="40" t="n"/>
      <c r="C149" s="35" t="n"/>
      <c r="D149" s="19" t="n"/>
      <c r="E149" s="20" t="n"/>
      <c r="F149" s="20" t="n"/>
      <c r="G149" s="1" t="n"/>
      <c r="H149">
        <f>IF(B149="","",B149+MOD(N(C149),1)+ROW()/10000000)</f>
        <v/>
      </c>
    </row>
    <row r="150">
      <c r="A150" s="1" t="n"/>
      <c r="B150" s="40" t="n"/>
      <c r="C150" s="35" t="n"/>
      <c r="D150" s="19" t="n"/>
      <c r="E150" s="20" t="n"/>
      <c r="F150" s="20" t="n"/>
      <c r="G150" s="1" t="n"/>
      <c r="H150">
        <f>IF(B150="","",B150+MOD(N(C150),1)+ROW()/10000000)</f>
        <v/>
      </c>
    </row>
    <row r="151">
      <c r="A151" s="1" t="n"/>
      <c r="B151" s="40" t="n"/>
      <c r="C151" s="35" t="n"/>
      <c r="D151" s="19" t="n"/>
      <c r="E151" s="20" t="n"/>
      <c r="F151" s="20" t="n"/>
      <c r="G151" s="1" t="n"/>
      <c r="H151">
        <f>IF(B151="","",B151+MOD(N(C151),1)+ROW()/10000000)</f>
        <v/>
      </c>
    </row>
    <row r="152">
      <c r="A152" s="1" t="n"/>
      <c r="B152" s="40" t="n"/>
      <c r="C152" s="35" t="n"/>
      <c r="D152" s="19" t="n"/>
      <c r="E152" s="20" t="n"/>
      <c r="F152" s="20" t="n"/>
      <c r="G152" s="1" t="n"/>
      <c r="H152">
        <f>IF(B152="","",B152+MOD(N(C152),1)+ROW()/10000000)</f>
        <v/>
      </c>
    </row>
    <row r="153">
      <c r="A153" s="1" t="n"/>
      <c r="B153" s="40" t="n"/>
      <c r="C153" s="35" t="n"/>
      <c r="D153" s="19" t="n"/>
      <c r="E153" s="20" t="n"/>
      <c r="F153" s="20" t="n"/>
      <c r="G153" s="1" t="n"/>
      <c r="H153">
        <f>IF(B153="","",B153+MOD(N(C153),1)+ROW()/10000000)</f>
        <v/>
      </c>
    </row>
    <row r="154">
      <c r="A154" s="1" t="n"/>
      <c r="B154" s="40" t="n"/>
      <c r="C154" s="35" t="n"/>
      <c r="D154" s="19" t="n"/>
      <c r="E154" s="20" t="n"/>
      <c r="F154" s="20" t="n"/>
      <c r="G154" s="1" t="n"/>
      <c r="H154">
        <f>IF(B154="","",B154+MOD(N(C154),1)+ROW()/10000000)</f>
        <v/>
      </c>
    </row>
    <row r="155">
      <c r="A155" s="1" t="n"/>
      <c r="B155" s="40" t="n"/>
      <c r="C155" s="35" t="n"/>
      <c r="D155" s="19" t="n"/>
      <c r="E155" s="20" t="n"/>
      <c r="F155" s="20" t="n"/>
      <c r="G155" s="1" t="n"/>
      <c r="H155">
        <f>IF(B155="","",B155+MOD(N(C155),1)+ROW()/10000000)</f>
        <v/>
      </c>
    </row>
    <row r="156">
      <c r="A156" s="1" t="n"/>
      <c r="B156" s="1" t="n"/>
      <c r="C156" s="1" t="n"/>
      <c r="D156" s="1" t="n"/>
      <c r="E156" s="1" t="n"/>
      <c r="F156" s="1" t="n"/>
      <c r="G156" s="1" t="n"/>
    </row>
  </sheetData>
  <conditionalFormatting sqref="B6:F155">
    <cfRule type="expression" priority="1" dxfId="5">
      <formula>AND($B6&lt;&gt;"",$B6&lt;TODAY())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3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2" customHeight="1">
      <c r="A2" s="1" t="n"/>
      <c r="B2" s="2">
        <f>"December "&amp;Settings!$C$4</f>
        <v/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3" t="inlineStr">
        <is>
          <t>Everything on the Plans tab, day by day. Up to two plans a day are shown.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30" customHeight="1">
      <c r="A5" s="1" t="n"/>
      <c r="B5" s="9" t="inlineStr">
        <is>
          <t>Monday</t>
        </is>
      </c>
      <c r="C5" s="9" t="inlineStr">
        <is>
          <t>Tuesday</t>
        </is>
      </c>
      <c r="D5" s="9" t="inlineStr">
        <is>
          <t>Wednesday</t>
        </is>
      </c>
      <c r="E5" s="9" t="inlineStr">
        <is>
          <t>Thursday</t>
        </is>
      </c>
      <c r="F5" s="9" t="inlineStr">
        <is>
          <t>Friday</t>
        </is>
      </c>
      <c r="G5" s="9" t="inlineStr">
        <is>
          <t>Saturday</t>
        </is>
      </c>
      <c r="H5" s="9" t="inlineStr">
        <is>
          <t>Sunday</t>
        </is>
      </c>
      <c r="I5" s="1" t="n"/>
      <c r="J5" s="1" t="n"/>
    </row>
    <row r="6" ht="18" customHeight="1">
      <c r="A6" s="1" t="n"/>
      <c r="B6" s="41">
        <f>IF(MONTH(((DATE(Settings!$C$4,12,1)-WEEKDAY(DATE(Settings!$C$4,12,1),3))+0))=12,DAY(((DATE(Settings!$C$4,12,1)-WEEKDAY(DATE(Settings!$C$4,12,1),3))+0)),"")</f>
        <v/>
      </c>
      <c r="C6" s="41">
        <f>IF(MONTH(((DATE(Settings!$C$4,12,1)-WEEKDAY(DATE(Settings!$C$4,12,1),3))+1))=12,DAY(((DATE(Settings!$C$4,12,1)-WEEKDAY(DATE(Settings!$C$4,12,1),3))+1)),"")</f>
        <v/>
      </c>
      <c r="D6" s="41">
        <f>IF(MONTH(((DATE(Settings!$C$4,12,1)-WEEKDAY(DATE(Settings!$C$4,12,1),3))+2))=12,DAY(((DATE(Settings!$C$4,12,1)-WEEKDAY(DATE(Settings!$C$4,12,1),3))+2)),"")</f>
        <v/>
      </c>
      <c r="E6" s="41">
        <f>IF(MONTH(((DATE(Settings!$C$4,12,1)-WEEKDAY(DATE(Settings!$C$4,12,1),3))+3))=12,DAY(((DATE(Settings!$C$4,12,1)-WEEKDAY(DATE(Settings!$C$4,12,1),3))+3)),"")</f>
        <v/>
      </c>
      <c r="F6" s="41">
        <f>IF(MONTH(((DATE(Settings!$C$4,12,1)-WEEKDAY(DATE(Settings!$C$4,12,1),3))+4))=12,DAY(((DATE(Settings!$C$4,12,1)-WEEKDAY(DATE(Settings!$C$4,12,1),3))+4)),"")</f>
        <v/>
      </c>
      <c r="G6" s="41">
        <f>IF(MONTH(((DATE(Settings!$C$4,12,1)-WEEKDAY(DATE(Settings!$C$4,12,1),3))+5))=12,DAY(((DATE(Settings!$C$4,12,1)-WEEKDAY(DATE(Settings!$C$4,12,1),3))+5)),"")</f>
        <v/>
      </c>
      <c r="H6" s="41">
        <f>IF(MONTH(((DATE(Settings!$C$4,12,1)-WEEKDAY(DATE(Settings!$C$4,12,1),3))+6))=12,DAY(((DATE(Settings!$C$4,12,1)-WEEKDAY(DATE(Settings!$C$4,12,1),3))+6)),"")</f>
        <v/>
      </c>
      <c r="I6" s="1" t="n"/>
      <c r="J6" s="1" t="n"/>
    </row>
    <row r="7" ht="50" customHeight="1">
      <c r="A7" s="1" t="n"/>
      <c r="B7" s="42">
        <f>IF(OR(MONTH(((DATE(Settings!$C$4,12,1)-WEEKDAY(DATE(Settings!$C$4,12,1),3))+0))&lt;&gt;12,COUNTIFS(Plans!$H$6:$H$155,"&gt;="&amp;((DATE(Settings!$C$4,12,1)-WEEKDAY(DATE(Settings!$C$4,12,1),3))+0),Plans!$H$6:$H$155,"&lt;"&amp;(((DATE(Settings!$C$4,12,1)-WEEKDAY(DATE(Settings!$C$4,12,1),3))+0)+1))=0),"",INDEX(Plans!$D$6:$D$155,MATCH(SMALL(Plans!$H$6:$H$155,COUNTIF(Plans!$H$6:$H$155,"&lt;"&amp;((DATE(Settings!$C$4,12,1)-WEEKDAY(DATE(Settings!$C$4,12,1),3))+0))+1),Plans!$H$6:$H$155,0))&amp;IF(COUNTIFS(Plans!$H$6:$H$155,"&gt;="&amp;((DATE(Settings!$C$4,12,1)-WEEKDAY(DATE(Settings!$C$4,12,1),3))+0),Plans!$H$6:$H$155,"&lt;"&amp;(((DATE(Settings!$C$4,12,1)-WEEKDAY(DATE(Settings!$C$4,12,1),3))+0)+1))&gt;1,CHAR(10)&amp;INDEX(Plans!$D$6:$D$155,MATCH(SMALL(Plans!$H$6:$H$155,COUNTIF(Plans!$H$6:$H$155,"&lt;"&amp;((DATE(Settings!$C$4,12,1)-WEEKDAY(DATE(Settings!$C$4,12,1),3))+0))+2),Plans!$H$6:$H$155,0)),"")&amp;IF(COUNTIFS(Plans!$H$6:$H$155,"&gt;="&amp;((DATE(Settings!$C$4,12,1)-WEEKDAY(DATE(Settings!$C$4,12,1),3))+0),Plans!$H$6:$H$155,"&lt;"&amp;(((DATE(Settings!$C$4,12,1)-WEEKDAY(DATE(Settings!$C$4,12,1),3))+0)+1))&gt;2,CHAR(10)&amp;"+"&amp;(COUNTIFS(Plans!$H$6:$H$155,"&gt;="&amp;((DATE(Settings!$C$4,12,1)-WEEKDAY(DATE(Settings!$C$4,12,1),3))+0),Plans!$H$6:$H$155,"&lt;"&amp;(((DATE(Settings!$C$4,12,1)-WEEKDAY(DATE(Settings!$C$4,12,1),3))+0)+1))-2)&amp;" more",""))</f>
        <v/>
      </c>
      <c r="C7" s="42">
        <f>IF(OR(MONTH(((DATE(Settings!$C$4,12,1)-WEEKDAY(DATE(Settings!$C$4,12,1),3))+1))&lt;&gt;12,COUNTIFS(Plans!$H$6:$H$155,"&gt;="&amp;((DATE(Settings!$C$4,12,1)-WEEKDAY(DATE(Settings!$C$4,12,1),3))+1),Plans!$H$6:$H$155,"&lt;"&amp;(((DATE(Settings!$C$4,12,1)-WEEKDAY(DATE(Settings!$C$4,12,1),3))+1)+1))=0),"",INDEX(Plans!$D$6:$D$155,MATCH(SMALL(Plans!$H$6:$H$155,COUNTIF(Plans!$H$6:$H$155,"&lt;"&amp;((DATE(Settings!$C$4,12,1)-WEEKDAY(DATE(Settings!$C$4,12,1),3))+1))+1),Plans!$H$6:$H$155,0))&amp;IF(COUNTIFS(Plans!$H$6:$H$155,"&gt;="&amp;((DATE(Settings!$C$4,12,1)-WEEKDAY(DATE(Settings!$C$4,12,1),3))+1),Plans!$H$6:$H$155,"&lt;"&amp;(((DATE(Settings!$C$4,12,1)-WEEKDAY(DATE(Settings!$C$4,12,1),3))+1)+1))&gt;1,CHAR(10)&amp;INDEX(Plans!$D$6:$D$155,MATCH(SMALL(Plans!$H$6:$H$155,COUNTIF(Plans!$H$6:$H$155,"&lt;"&amp;((DATE(Settings!$C$4,12,1)-WEEKDAY(DATE(Settings!$C$4,12,1),3))+1))+2),Plans!$H$6:$H$155,0)),"")&amp;IF(COUNTIFS(Plans!$H$6:$H$155,"&gt;="&amp;((DATE(Settings!$C$4,12,1)-WEEKDAY(DATE(Settings!$C$4,12,1),3))+1),Plans!$H$6:$H$155,"&lt;"&amp;(((DATE(Settings!$C$4,12,1)-WEEKDAY(DATE(Settings!$C$4,12,1),3))+1)+1))&gt;2,CHAR(10)&amp;"+"&amp;(COUNTIFS(Plans!$H$6:$H$155,"&gt;="&amp;((DATE(Settings!$C$4,12,1)-WEEKDAY(DATE(Settings!$C$4,12,1),3))+1),Plans!$H$6:$H$155,"&lt;"&amp;(((DATE(Settings!$C$4,12,1)-WEEKDAY(DATE(Settings!$C$4,12,1),3))+1)+1))-2)&amp;" more",""))</f>
        <v/>
      </c>
      <c r="D7" s="42">
        <f>IF(OR(MONTH(((DATE(Settings!$C$4,12,1)-WEEKDAY(DATE(Settings!$C$4,12,1),3))+2))&lt;&gt;12,COUNTIFS(Plans!$H$6:$H$155,"&gt;="&amp;((DATE(Settings!$C$4,12,1)-WEEKDAY(DATE(Settings!$C$4,12,1),3))+2),Plans!$H$6:$H$155,"&lt;"&amp;(((DATE(Settings!$C$4,12,1)-WEEKDAY(DATE(Settings!$C$4,12,1),3))+2)+1))=0),"",INDEX(Plans!$D$6:$D$155,MATCH(SMALL(Plans!$H$6:$H$155,COUNTIF(Plans!$H$6:$H$155,"&lt;"&amp;((DATE(Settings!$C$4,12,1)-WEEKDAY(DATE(Settings!$C$4,12,1),3))+2))+1),Plans!$H$6:$H$155,0))&amp;IF(COUNTIFS(Plans!$H$6:$H$155,"&gt;="&amp;((DATE(Settings!$C$4,12,1)-WEEKDAY(DATE(Settings!$C$4,12,1),3))+2),Plans!$H$6:$H$155,"&lt;"&amp;(((DATE(Settings!$C$4,12,1)-WEEKDAY(DATE(Settings!$C$4,12,1),3))+2)+1))&gt;1,CHAR(10)&amp;INDEX(Plans!$D$6:$D$155,MATCH(SMALL(Plans!$H$6:$H$155,COUNTIF(Plans!$H$6:$H$155,"&lt;"&amp;((DATE(Settings!$C$4,12,1)-WEEKDAY(DATE(Settings!$C$4,12,1),3))+2))+2),Plans!$H$6:$H$155,0)),"")&amp;IF(COUNTIFS(Plans!$H$6:$H$155,"&gt;="&amp;((DATE(Settings!$C$4,12,1)-WEEKDAY(DATE(Settings!$C$4,12,1),3))+2),Plans!$H$6:$H$155,"&lt;"&amp;(((DATE(Settings!$C$4,12,1)-WEEKDAY(DATE(Settings!$C$4,12,1),3))+2)+1))&gt;2,CHAR(10)&amp;"+"&amp;(COUNTIFS(Plans!$H$6:$H$155,"&gt;="&amp;((DATE(Settings!$C$4,12,1)-WEEKDAY(DATE(Settings!$C$4,12,1),3))+2),Plans!$H$6:$H$155,"&lt;"&amp;(((DATE(Settings!$C$4,12,1)-WEEKDAY(DATE(Settings!$C$4,12,1),3))+2)+1))-2)&amp;" more",""))</f>
        <v/>
      </c>
      <c r="E7" s="42">
        <f>IF(OR(MONTH(((DATE(Settings!$C$4,12,1)-WEEKDAY(DATE(Settings!$C$4,12,1),3))+3))&lt;&gt;12,COUNTIFS(Plans!$H$6:$H$155,"&gt;="&amp;((DATE(Settings!$C$4,12,1)-WEEKDAY(DATE(Settings!$C$4,12,1),3))+3),Plans!$H$6:$H$155,"&lt;"&amp;(((DATE(Settings!$C$4,12,1)-WEEKDAY(DATE(Settings!$C$4,12,1),3))+3)+1))=0),"",INDEX(Plans!$D$6:$D$155,MATCH(SMALL(Plans!$H$6:$H$155,COUNTIF(Plans!$H$6:$H$155,"&lt;"&amp;((DATE(Settings!$C$4,12,1)-WEEKDAY(DATE(Settings!$C$4,12,1),3))+3))+1),Plans!$H$6:$H$155,0))&amp;IF(COUNTIFS(Plans!$H$6:$H$155,"&gt;="&amp;((DATE(Settings!$C$4,12,1)-WEEKDAY(DATE(Settings!$C$4,12,1),3))+3),Plans!$H$6:$H$155,"&lt;"&amp;(((DATE(Settings!$C$4,12,1)-WEEKDAY(DATE(Settings!$C$4,12,1),3))+3)+1))&gt;1,CHAR(10)&amp;INDEX(Plans!$D$6:$D$155,MATCH(SMALL(Plans!$H$6:$H$155,COUNTIF(Plans!$H$6:$H$155,"&lt;"&amp;((DATE(Settings!$C$4,12,1)-WEEKDAY(DATE(Settings!$C$4,12,1),3))+3))+2),Plans!$H$6:$H$155,0)),"")&amp;IF(COUNTIFS(Plans!$H$6:$H$155,"&gt;="&amp;((DATE(Settings!$C$4,12,1)-WEEKDAY(DATE(Settings!$C$4,12,1),3))+3),Plans!$H$6:$H$155,"&lt;"&amp;(((DATE(Settings!$C$4,12,1)-WEEKDAY(DATE(Settings!$C$4,12,1),3))+3)+1))&gt;2,CHAR(10)&amp;"+"&amp;(COUNTIFS(Plans!$H$6:$H$155,"&gt;="&amp;((DATE(Settings!$C$4,12,1)-WEEKDAY(DATE(Settings!$C$4,12,1),3))+3),Plans!$H$6:$H$155,"&lt;"&amp;(((DATE(Settings!$C$4,12,1)-WEEKDAY(DATE(Settings!$C$4,12,1),3))+3)+1))-2)&amp;" more",""))</f>
        <v/>
      </c>
      <c r="F7" s="42">
        <f>IF(OR(MONTH(((DATE(Settings!$C$4,12,1)-WEEKDAY(DATE(Settings!$C$4,12,1),3))+4))&lt;&gt;12,COUNTIFS(Plans!$H$6:$H$155,"&gt;="&amp;((DATE(Settings!$C$4,12,1)-WEEKDAY(DATE(Settings!$C$4,12,1),3))+4),Plans!$H$6:$H$155,"&lt;"&amp;(((DATE(Settings!$C$4,12,1)-WEEKDAY(DATE(Settings!$C$4,12,1),3))+4)+1))=0),"",INDEX(Plans!$D$6:$D$155,MATCH(SMALL(Plans!$H$6:$H$155,COUNTIF(Plans!$H$6:$H$155,"&lt;"&amp;((DATE(Settings!$C$4,12,1)-WEEKDAY(DATE(Settings!$C$4,12,1),3))+4))+1),Plans!$H$6:$H$155,0))&amp;IF(COUNTIFS(Plans!$H$6:$H$155,"&gt;="&amp;((DATE(Settings!$C$4,12,1)-WEEKDAY(DATE(Settings!$C$4,12,1),3))+4),Plans!$H$6:$H$155,"&lt;"&amp;(((DATE(Settings!$C$4,12,1)-WEEKDAY(DATE(Settings!$C$4,12,1),3))+4)+1))&gt;1,CHAR(10)&amp;INDEX(Plans!$D$6:$D$155,MATCH(SMALL(Plans!$H$6:$H$155,COUNTIF(Plans!$H$6:$H$155,"&lt;"&amp;((DATE(Settings!$C$4,12,1)-WEEKDAY(DATE(Settings!$C$4,12,1),3))+4))+2),Plans!$H$6:$H$155,0)),"")&amp;IF(COUNTIFS(Plans!$H$6:$H$155,"&gt;="&amp;((DATE(Settings!$C$4,12,1)-WEEKDAY(DATE(Settings!$C$4,12,1),3))+4),Plans!$H$6:$H$155,"&lt;"&amp;(((DATE(Settings!$C$4,12,1)-WEEKDAY(DATE(Settings!$C$4,12,1),3))+4)+1))&gt;2,CHAR(10)&amp;"+"&amp;(COUNTIFS(Plans!$H$6:$H$155,"&gt;="&amp;((DATE(Settings!$C$4,12,1)-WEEKDAY(DATE(Settings!$C$4,12,1),3))+4),Plans!$H$6:$H$155,"&lt;"&amp;(((DATE(Settings!$C$4,12,1)-WEEKDAY(DATE(Settings!$C$4,12,1),3))+4)+1))-2)&amp;" more",""))</f>
        <v/>
      </c>
      <c r="G7" s="42">
        <f>IF(OR(MONTH(((DATE(Settings!$C$4,12,1)-WEEKDAY(DATE(Settings!$C$4,12,1),3))+5))&lt;&gt;12,COUNTIFS(Plans!$H$6:$H$155,"&gt;="&amp;((DATE(Settings!$C$4,12,1)-WEEKDAY(DATE(Settings!$C$4,12,1),3))+5),Plans!$H$6:$H$155,"&lt;"&amp;(((DATE(Settings!$C$4,12,1)-WEEKDAY(DATE(Settings!$C$4,12,1),3))+5)+1))=0),"",INDEX(Plans!$D$6:$D$155,MATCH(SMALL(Plans!$H$6:$H$155,COUNTIF(Plans!$H$6:$H$155,"&lt;"&amp;((DATE(Settings!$C$4,12,1)-WEEKDAY(DATE(Settings!$C$4,12,1),3))+5))+1),Plans!$H$6:$H$155,0))&amp;IF(COUNTIFS(Plans!$H$6:$H$155,"&gt;="&amp;((DATE(Settings!$C$4,12,1)-WEEKDAY(DATE(Settings!$C$4,12,1),3))+5),Plans!$H$6:$H$155,"&lt;"&amp;(((DATE(Settings!$C$4,12,1)-WEEKDAY(DATE(Settings!$C$4,12,1),3))+5)+1))&gt;1,CHAR(10)&amp;INDEX(Plans!$D$6:$D$155,MATCH(SMALL(Plans!$H$6:$H$155,COUNTIF(Plans!$H$6:$H$155,"&lt;"&amp;((DATE(Settings!$C$4,12,1)-WEEKDAY(DATE(Settings!$C$4,12,1),3))+5))+2),Plans!$H$6:$H$155,0)),"")&amp;IF(COUNTIFS(Plans!$H$6:$H$155,"&gt;="&amp;((DATE(Settings!$C$4,12,1)-WEEKDAY(DATE(Settings!$C$4,12,1),3))+5),Plans!$H$6:$H$155,"&lt;"&amp;(((DATE(Settings!$C$4,12,1)-WEEKDAY(DATE(Settings!$C$4,12,1),3))+5)+1))&gt;2,CHAR(10)&amp;"+"&amp;(COUNTIFS(Plans!$H$6:$H$155,"&gt;="&amp;((DATE(Settings!$C$4,12,1)-WEEKDAY(DATE(Settings!$C$4,12,1),3))+5),Plans!$H$6:$H$155,"&lt;"&amp;(((DATE(Settings!$C$4,12,1)-WEEKDAY(DATE(Settings!$C$4,12,1),3))+5)+1))-2)&amp;" more",""))</f>
        <v/>
      </c>
      <c r="H7" s="42">
        <f>IF(OR(MONTH(((DATE(Settings!$C$4,12,1)-WEEKDAY(DATE(Settings!$C$4,12,1),3))+6))&lt;&gt;12,COUNTIFS(Plans!$H$6:$H$155,"&gt;="&amp;((DATE(Settings!$C$4,12,1)-WEEKDAY(DATE(Settings!$C$4,12,1),3))+6),Plans!$H$6:$H$155,"&lt;"&amp;(((DATE(Settings!$C$4,12,1)-WEEKDAY(DATE(Settings!$C$4,12,1),3))+6)+1))=0),"",INDEX(Plans!$D$6:$D$155,MATCH(SMALL(Plans!$H$6:$H$155,COUNTIF(Plans!$H$6:$H$155,"&lt;"&amp;((DATE(Settings!$C$4,12,1)-WEEKDAY(DATE(Settings!$C$4,12,1),3))+6))+1),Plans!$H$6:$H$155,0))&amp;IF(COUNTIFS(Plans!$H$6:$H$155,"&gt;="&amp;((DATE(Settings!$C$4,12,1)-WEEKDAY(DATE(Settings!$C$4,12,1),3))+6),Plans!$H$6:$H$155,"&lt;"&amp;(((DATE(Settings!$C$4,12,1)-WEEKDAY(DATE(Settings!$C$4,12,1),3))+6)+1))&gt;1,CHAR(10)&amp;INDEX(Plans!$D$6:$D$155,MATCH(SMALL(Plans!$H$6:$H$155,COUNTIF(Plans!$H$6:$H$155,"&lt;"&amp;((DATE(Settings!$C$4,12,1)-WEEKDAY(DATE(Settings!$C$4,12,1),3))+6))+2),Plans!$H$6:$H$155,0)),"")&amp;IF(COUNTIFS(Plans!$H$6:$H$155,"&gt;="&amp;((DATE(Settings!$C$4,12,1)-WEEKDAY(DATE(Settings!$C$4,12,1),3))+6),Plans!$H$6:$H$155,"&lt;"&amp;(((DATE(Settings!$C$4,12,1)-WEEKDAY(DATE(Settings!$C$4,12,1),3))+6)+1))&gt;2,CHAR(10)&amp;"+"&amp;(COUNTIFS(Plans!$H$6:$H$155,"&gt;="&amp;((DATE(Settings!$C$4,12,1)-WEEKDAY(DATE(Settings!$C$4,12,1),3))+6),Plans!$H$6:$H$155,"&lt;"&amp;(((DATE(Settings!$C$4,12,1)-WEEKDAY(DATE(Settings!$C$4,12,1),3))+6)+1))-2)&amp;" more",""))</f>
        <v/>
      </c>
      <c r="I7" s="1" t="n"/>
      <c r="J7" s="1" t="n"/>
    </row>
    <row r="8" ht="18" customHeight="1">
      <c r="A8" s="1" t="n"/>
      <c r="B8" s="41">
        <f>IF(MONTH(((DATE(Settings!$C$4,12,1)-WEEKDAY(DATE(Settings!$C$4,12,1),3))+7))=12,DAY(((DATE(Settings!$C$4,12,1)-WEEKDAY(DATE(Settings!$C$4,12,1),3))+7)),"")</f>
        <v/>
      </c>
      <c r="C8" s="41">
        <f>IF(MONTH(((DATE(Settings!$C$4,12,1)-WEEKDAY(DATE(Settings!$C$4,12,1),3))+8))=12,DAY(((DATE(Settings!$C$4,12,1)-WEEKDAY(DATE(Settings!$C$4,12,1),3))+8)),"")</f>
        <v/>
      </c>
      <c r="D8" s="41">
        <f>IF(MONTH(((DATE(Settings!$C$4,12,1)-WEEKDAY(DATE(Settings!$C$4,12,1),3))+9))=12,DAY(((DATE(Settings!$C$4,12,1)-WEEKDAY(DATE(Settings!$C$4,12,1),3))+9)),"")</f>
        <v/>
      </c>
      <c r="E8" s="41">
        <f>IF(MONTH(((DATE(Settings!$C$4,12,1)-WEEKDAY(DATE(Settings!$C$4,12,1),3))+10))=12,DAY(((DATE(Settings!$C$4,12,1)-WEEKDAY(DATE(Settings!$C$4,12,1),3))+10)),"")</f>
        <v/>
      </c>
      <c r="F8" s="41">
        <f>IF(MONTH(((DATE(Settings!$C$4,12,1)-WEEKDAY(DATE(Settings!$C$4,12,1),3))+11))=12,DAY(((DATE(Settings!$C$4,12,1)-WEEKDAY(DATE(Settings!$C$4,12,1),3))+11)),"")</f>
        <v/>
      </c>
      <c r="G8" s="41">
        <f>IF(MONTH(((DATE(Settings!$C$4,12,1)-WEEKDAY(DATE(Settings!$C$4,12,1),3))+12))=12,DAY(((DATE(Settings!$C$4,12,1)-WEEKDAY(DATE(Settings!$C$4,12,1),3))+12)),"")</f>
        <v/>
      </c>
      <c r="H8" s="41">
        <f>IF(MONTH(((DATE(Settings!$C$4,12,1)-WEEKDAY(DATE(Settings!$C$4,12,1),3))+13))=12,DAY(((DATE(Settings!$C$4,12,1)-WEEKDAY(DATE(Settings!$C$4,12,1),3))+13)),"")</f>
        <v/>
      </c>
      <c r="I8" s="1" t="n"/>
      <c r="J8" s="1" t="n"/>
    </row>
    <row r="9" ht="50" customHeight="1">
      <c r="A9" s="1" t="n"/>
      <c r="B9" s="42">
        <f>IF(OR(MONTH(((DATE(Settings!$C$4,12,1)-WEEKDAY(DATE(Settings!$C$4,12,1),3))+7))&lt;&gt;12,COUNTIFS(Plans!$H$6:$H$155,"&gt;="&amp;((DATE(Settings!$C$4,12,1)-WEEKDAY(DATE(Settings!$C$4,12,1),3))+7),Plans!$H$6:$H$155,"&lt;"&amp;(((DATE(Settings!$C$4,12,1)-WEEKDAY(DATE(Settings!$C$4,12,1),3))+7)+1))=0),"",INDEX(Plans!$D$6:$D$155,MATCH(SMALL(Plans!$H$6:$H$155,COUNTIF(Plans!$H$6:$H$155,"&lt;"&amp;((DATE(Settings!$C$4,12,1)-WEEKDAY(DATE(Settings!$C$4,12,1),3))+7))+1),Plans!$H$6:$H$155,0))&amp;IF(COUNTIFS(Plans!$H$6:$H$155,"&gt;="&amp;((DATE(Settings!$C$4,12,1)-WEEKDAY(DATE(Settings!$C$4,12,1),3))+7),Plans!$H$6:$H$155,"&lt;"&amp;(((DATE(Settings!$C$4,12,1)-WEEKDAY(DATE(Settings!$C$4,12,1),3))+7)+1))&gt;1,CHAR(10)&amp;INDEX(Plans!$D$6:$D$155,MATCH(SMALL(Plans!$H$6:$H$155,COUNTIF(Plans!$H$6:$H$155,"&lt;"&amp;((DATE(Settings!$C$4,12,1)-WEEKDAY(DATE(Settings!$C$4,12,1),3))+7))+2),Plans!$H$6:$H$155,0)),"")&amp;IF(COUNTIFS(Plans!$H$6:$H$155,"&gt;="&amp;((DATE(Settings!$C$4,12,1)-WEEKDAY(DATE(Settings!$C$4,12,1),3))+7),Plans!$H$6:$H$155,"&lt;"&amp;(((DATE(Settings!$C$4,12,1)-WEEKDAY(DATE(Settings!$C$4,12,1),3))+7)+1))&gt;2,CHAR(10)&amp;"+"&amp;(COUNTIFS(Plans!$H$6:$H$155,"&gt;="&amp;((DATE(Settings!$C$4,12,1)-WEEKDAY(DATE(Settings!$C$4,12,1),3))+7),Plans!$H$6:$H$155,"&lt;"&amp;(((DATE(Settings!$C$4,12,1)-WEEKDAY(DATE(Settings!$C$4,12,1),3))+7)+1))-2)&amp;" more",""))</f>
        <v/>
      </c>
      <c r="C9" s="42">
        <f>IF(OR(MONTH(((DATE(Settings!$C$4,12,1)-WEEKDAY(DATE(Settings!$C$4,12,1),3))+8))&lt;&gt;12,COUNTIFS(Plans!$H$6:$H$155,"&gt;="&amp;((DATE(Settings!$C$4,12,1)-WEEKDAY(DATE(Settings!$C$4,12,1),3))+8),Plans!$H$6:$H$155,"&lt;"&amp;(((DATE(Settings!$C$4,12,1)-WEEKDAY(DATE(Settings!$C$4,12,1),3))+8)+1))=0),"",INDEX(Plans!$D$6:$D$155,MATCH(SMALL(Plans!$H$6:$H$155,COUNTIF(Plans!$H$6:$H$155,"&lt;"&amp;((DATE(Settings!$C$4,12,1)-WEEKDAY(DATE(Settings!$C$4,12,1),3))+8))+1),Plans!$H$6:$H$155,0))&amp;IF(COUNTIFS(Plans!$H$6:$H$155,"&gt;="&amp;((DATE(Settings!$C$4,12,1)-WEEKDAY(DATE(Settings!$C$4,12,1),3))+8),Plans!$H$6:$H$155,"&lt;"&amp;(((DATE(Settings!$C$4,12,1)-WEEKDAY(DATE(Settings!$C$4,12,1),3))+8)+1))&gt;1,CHAR(10)&amp;INDEX(Plans!$D$6:$D$155,MATCH(SMALL(Plans!$H$6:$H$155,COUNTIF(Plans!$H$6:$H$155,"&lt;"&amp;((DATE(Settings!$C$4,12,1)-WEEKDAY(DATE(Settings!$C$4,12,1),3))+8))+2),Plans!$H$6:$H$155,0)),"")&amp;IF(COUNTIFS(Plans!$H$6:$H$155,"&gt;="&amp;((DATE(Settings!$C$4,12,1)-WEEKDAY(DATE(Settings!$C$4,12,1),3))+8),Plans!$H$6:$H$155,"&lt;"&amp;(((DATE(Settings!$C$4,12,1)-WEEKDAY(DATE(Settings!$C$4,12,1),3))+8)+1))&gt;2,CHAR(10)&amp;"+"&amp;(COUNTIFS(Plans!$H$6:$H$155,"&gt;="&amp;((DATE(Settings!$C$4,12,1)-WEEKDAY(DATE(Settings!$C$4,12,1),3))+8),Plans!$H$6:$H$155,"&lt;"&amp;(((DATE(Settings!$C$4,12,1)-WEEKDAY(DATE(Settings!$C$4,12,1),3))+8)+1))-2)&amp;" more",""))</f>
        <v/>
      </c>
      <c r="D9" s="42">
        <f>IF(OR(MONTH(((DATE(Settings!$C$4,12,1)-WEEKDAY(DATE(Settings!$C$4,12,1),3))+9))&lt;&gt;12,COUNTIFS(Plans!$H$6:$H$155,"&gt;="&amp;((DATE(Settings!$C$4,12,1)-WEEKDAY(DATE(Settings!$C$4,12,1),3))+9),Plans!$H$6:$H$155,"&lt;"&amp;(((DATE(Settings!$C$4,12,1)-WEEKDAY(DATE(Settings!$C$4,12,1),3))+9)+1))=0),"",INDEX(Plans!$D$6:$D$155,MATCH(SMALL(Plans!$H$6:$H$155,COUNTIF(Plans!$H$6:$H$155,"&lt;"&amp;((DATE(Settings!$C$4,12,1)-WEEKDAY(DATE(Settings!$C$4,12,1),3))+9))+1),Plans!$H$6:$H$155,0))&amp;IF(COUNTIFS(Plans!$H$6:$H$155,"&gt;="&amp;((DATE(Settings!$C$4,12,1)-WEEKDAY(DATE(Settings!$C$4,12,1),3))+9),Plans!$H$6:$H$155,"&lt;"&amp;(((DATE(Settings!$C$4,12,1)-WEEKDAY(DATE(Settings!$C$4,12,1),3))+9)+1))&gt;1,CHAR(10)&amp;INDEX(Plans!$D$6:$D$155,MATCH(SMALL(Plans!$H$6:$H$155,COUNTIF(Plans!$H$6:$H$155,"&lt;"&amp;((DATE(Settings!$C$4,12,1)-WEEKDAY(DATE(Settings!$C$4,12,1),3))+9))+2),Plans!$H$6:$H$155,0)),"")&amp;IF(COUNTIFS(Plans!$H$6:$H$155,"&gt;="&amp;((DATE(Settings!$C$4,12,1)-WEEKDAY(DATE(Settings!$C$4,12,1),3))+9),Plans!$H$6:$H$155,"&lt;"&amp;(((DATE(Settings!$C$4,12,1)-WEEKDAY(DATE(Settings!$C$4,12,1),3))+9)+1))&gt;2,CHAR(10)&amp;"+"&amp;(COUNTIFS(Plans!$H$6:$H$155,"&gt;="&amp;((DATE(Settings!$C$4,12,1)-WEEKDAY(DATE(Settings!$C$4,12,1),3))+9),Plans!$H$6:$H$155,"&lt;"&amp;(((DATE(Settings!$C$4,12,1)-WEEKDAY(DATE(Settings!$C$4,12,1),3))+9)+1))-2)&amp;" more",""))</f>
        <v/>
      </c>
      <c r="E9" s="42">
        <f>IF(OR(MONTH(((DATE(Settings!$C$4,12,1)-WEEKDAY(DATE(Settings!$C$4,12,1),3))+10))&lt;&gt;12,COUNTIFS(Plans!$H$6:$H$155,"&gt;="&amp;((DATE(Settings!$C$4,12,1)-WEEKDAY(DATE(Settings!$C$4,12,1),3))+10),Plans!$H$6:$H$155,"&lt;"&amp;(((DATE(Settings!$C$4,12,1)-WEEKDAY(DATE(Settings!$C$4,12,1),3))+10)+1))=0),"",INDEX(Plans!$D$6:$D$155,MATCH(SMALL(Plans!$H$6:$H$155,COUNTIF(Plans!$H$6:$H$155,"&lt;"&amp;((DATE(Settings!$C$4,12,1)-WEEKDAY(DATE(Settings!$C$4,12,1),3))+10))+1),Plans!$H$6:$H$155,0))&amp;IF(COUNTIFS(Plans!$H$6:$H$155,"&gt;="&amp;((DATE(Settings!$C$4,12,1)-WEEKDAY(DATE(Settings!$C$4,12,1),3))+10),Plans!$H$6:$H$155,"&lt;"&amp;(((DATE(Settings!$C$4,12,1)-WEEKDAY(DATE(Settings!$C$4,12,1),3))+10)+1))&gt;1,CHAR(10)&amp;INDEX(Plans!$D$6:$D$155,MATCH(SMALL(Plans!$H$6:$H$155,COUNTIF(Plans!$H$6:$H$155,"&lt;"&amp;((DATE(Settings!$C$4,12,1)-WEEKDAY(DATE(Settings!$C$4,12,1),3))+10))+2),Plans!$H$6:$H$155,0)),"")&amp;IF(COUNTIFS(Plans!$H$6:$H$155,"&gt;="&amp;((DATE(Settings!$C$4,12,1)-WEEKDAY(DATE(Settings!$C$4,12,1),3))+10),Plans!$H$6:$H$155,"&lt;"&amp;(((DATE(Settings!$C$4,12,1)-WEEKDAY(DATE(Settings!$C$4,12,1),3))+10)+1))&gt;2,CHAR(10)&amp;"+"&amp;(COUNTIFS(Plans!$H$6:$H$155,"&gt;="&amp;((DATE(Settings!$C$4,12,1)-WEEKDAY(DATE(Settings!$C$4,12,1),3))+10),Plans!$H$6:$H$155,"&lt;"&amp;(((DATE(Settings!$C$4,12,1)-WEEKDAY(DATE(Settings!$C$4,12,1),3))+10)+1))-2)&amp;" more",""))</f>
        <v/>
      </c>
      <c r="F9" s="42">
        <f>IF(OR(MONTH(((DATE(Settings!$C$4,12,1)-WEEKDAY(DATE(Settings!$C$4,12,1),3))+11))&lt;&gt;12,COUNTIFS(Plans!$H$6:$H$155,"&gt;="&amp;((DATE(Settings!$C$4,12,1)-WEEKDAY(DATE(Settings!$C$4,12,1),3))+11),Plans!$H$6:$H$155,"&lt;"&amp;(((DATE(Settings!$C$4,12,1)-WEEKDAY(DATE(Settings!$C$4,12,1),3))+11)+1))=0),"",INDEX(Plans!$D$6:$D$155,MATCH(SMALL(Plans!$H$6:$H$155,COUNTIF(Plans!$H$6:$H$155,"&lt;"&amp;((DATE(Settings!$C$4,12,1)-WEEKDAY(DATE(Settings!$C$4,12,1),3))+11))+1),Plans!$H$6:$H$155,0))&amp;IF(COUNTIFS(Plans!$H$6:$H$155,"&gt;="&amp;((DATE(Settings!$C$4,12,1)-WEEKDAY(DATE(Settings!$C$4,12,1),3))+11),Plans!$H$6:$H$155,"&lt;"&amp;(((DATE(Settings!$C$4,12,1)-WEEKDAY(DATE(Settings!$C$4,12,1),3))+11)+1))&gt;1,CHAR(10)&amp;INDEX(Plans!$D$6:$D$155,MATCH(SMALL(Plans!$H$6:$H$155,COUNTIF(Plans!$H$6:$H$155,"&lt;"&amp;((DATE(Settings!$C$4,12,1)-WEEKDAY(DATE(Settings!$C$4,12,1),3))+11))+2),Plans!$H$6:$H$155,0)),"")&amp;IF(COUNTIFS(Plans!$H$6:$H$155,"&gt;="&amp;((DATE(Settings!$C$4,12,1)-WEEKDAY(DATE(Settings!$C$4,12,1),3))+11),Plans!$H$6:$H$155,"&lt;"&amp;(((DATE(Settings!$C$4,12,1)-WEEKDAY(DATE(Settings!$C$4,12,1),3))+11)+1))&gt;2,CHAR(10)&amp;"+"&amp;(COUNTIFS(Plans!$H$6:$H$155,"&gt;="&amp;((DATE(Settings!$C$4,12,1)-WEEKDAY(DATE(Settings!$C$4,12,1),3))+11),Plans!$H$6:$H$155,"&lt;"&amp;(((DATE(Settings!$C$4,12,1)-WEEKDAY(DATE(Settings!$C$4,12,1),3))+11)+1))-2)&amp;" more",""))</f>
        <v/>
      </c>
      <c r="G9" s="42">
        <f>IF(OR(MONTH(((DATE(Settings!$C$4,12,1)-WEEKDAY(DATE(Settings!$C$4,12,1),3))+12))&lt;&gt;12,COUNTIFS(Plans!$H$6:$H$155,"&gt;="&amp;((DATE(Settings!$C$4,12,1)-WEEKDAY(DATE(Settings!$C$4,12,1),3))+12),Plans!$H$6:$H$155,"&lt;"&amp;(((DATE(Settings!$C$4,12,1)-WEEKDAY(DATE(Settings!$C$4,12,1),3))+12)+1))=0),"",INDEX(Plans!$D$6:$D$155,MATCH(SMALL(Plans!$H$6:$H$155,COUNTIF(Plans!$H$6:$H$155,"&lt;"&amp;((DATE(Settings!$C$4,12,1)-WEEKDAY(DATE(Settings!$C$4,12,1),3))+12))+1),Plans!$H$6:$H$155,0))&amp;IF(COUNTIFS(Plans!$H$6:$H$155,"&gt;="&amp;((DATE(Settings!$C$4,12,1)-WEEKDAY(DATE(Settings!$C$4,12,1),3))+12),Plans!$H$6:$H$155,"&lt;"&amp;(((DATE(Settings!$C$4,12,1)-WEEKDAY(DATE(Settings!$C$4,12,1),3))+12)+1))&gt;1,CHAR(10)&amp;INDEX(Plans!$D$6:$D$155,MATCH(SMALL(Plans!$H$6:$H$155,COUNTIF(Plans!$H$6:$H$155,"&lt;"&amp;((DATE(Settings!$C$4,12,1)-WEEKDAY(DATE(Settings!$C$4,12,1),3))+12))+2),Plans!$H$6:$H$155,0)),"")&amp;IF(COUNTIFS(Plans!$H$6:$H$155,"&gt;="&amp;((DATE(Settings!$C$4,12,1)-WEEKDAY(DATE(Settings!$C$4,12,1),3))+12),Plans!$H$6:$H$155,"&lt;"&amp;(((DATE(Settings!$C$4,12,1)-WEEKDAY(DATE(Settings!$C$4,12,1),3))+12)+1))&gt;2,CHAR(10)&amp;"+"&amp;(COUNTIFS(Plans!$H$6:$H$155,"&gt;="&amp;((DATE(Settings!$C$4,12,1)-WEEKDAY(DATE(Settings!$C$4,12,1),3))+12),Plans!$H$6:$H$155,"&lt;"&amp;(((DATE(Settings!$C$4,12,1)-WEEKDAY(DATE(Settings!$C$4,12,1),3))+12)+1))-2)&amp;" more",""))</f>
        <v/>
      </c>
      <c r="H9" s="42">
        <f>IF(OR(MONTH(((DATE(Settings!$C$4,12,1)-WEEKDAY(DATE(Settings!$C$4,12,1),3))+13))&lt;&gt;12,COUNTIFS(Plans!$H$6:$H$155,"&gt;="&amp;((DATE(Settings!$C$4,12,1)-WEEKDAY(DATE(Settings!$C$4,12,1),3))+13),Plans!$H$6:$H$155,"&lt;"&amp;(((DATE(Settings!$C$4,12,1)-WEEKDAY(DATE(Settings!$C$4,12,1),3))+13)+1))=0),"",INDEX(Plans!$D$6:$D$155,MATCH(SMALL(Plans!$H$6:$H$155,COUNTIF(Plans!$H$6:$H$155,"&lt;"&amp;((DATE(Settings!$C$4,12,1)-WEEKDAY(DATE(Settings!$C$4,12,1),3))+13))+1),Plans!$H$6:$H$155,0))&amp;IF(COUNTIFS(Plans!$H$6:$H$155,"&gt;="&amp;((DATE(Settings!$C$4,12,1)-WEEKDAY(DATE(Settings!$C$4,12,1),3))+13),Plans!$H$6:$H$155,"&lt;"&amp;(((DATE(Settings!$C$4,12,1)-WEEKDAY(DATE(Settings!$C$4,12,1),3))+13)+1))&gt;1,CHAR(10)&amp;INDEX(Plans!$D$6:$D$155,MATCH(SMALL(Plans!$H$6:$H$155,COUNTIF(Plans!$H$6:$H$155,"&lt;"&amp;((DATE(Settings!$C$4,12,1)-WEEKDAY(DATE(Settings!$C$4,12,1),3))+13))+2),Plans!$H$6:$H$155,0)),"")&amp;IF(COUNTIFS(Plans!$H$6:$H$155,"&gt;="&amp;((DATE(Settings!$C$4,12,1)-WEEKDAY(DATE(Settings!$C$4,12,1),3))+13),Plans!$H$6:$H$155,"&lt;"&amp;(((DATE(Settings!$C$4,12,1)-WEEKDAY(DATE(Settings!$C$4,12,1),3))+13)+1))&gt;2,CHAR(10)&amp;"+"&amp;(COUNTIFS(Plans!$H$6:$H$155,"&gt;="&amp;((DATE(Settings!$C$4,12,1)-WEEKDAY(DATE(Settings!$C$4,12,1),3))+13),Plans!$H$6:$H$155,"&lt;"&amp;(((DATE(Settings!$C$4,12,1)-WEEKDAY(DATE(Settings!$C$4,12,1),3))+13)+1))-2)&amp;" more",""))</f>
        <v/>
      </c>
      <c r="I9" s="1" t="n"/>
      <c r="J9" s="1" t="n"/>
    </row>
    <row r="10" ht="18" customHeight="1">
      <c r="A10" s="1" t="n"/>
      <c r="B10" s="41">
        <f>IF(MONTH(((DATE(Settings!$C$4,12,1)-WEEKDAY(DATE(Settings!$C$4,12,1),3))+14))=12,DAY(((DATE(Settings!$C$4,12,1)-WEEKDAY(DATE(Settings!$C$4,12,1),3))+14)),"")</f>
        <v/>
      </c>
      <c r="C10" s="41">
        <f>IF(MONTH(((DATE(Settings!$C$4,12,1)-WEEKDAY(DATE(Settings!$C$4,12,1),3))+15))=12,DAY(((DATE(Settings!$C$4,12,1)-WEEKDAY(DATE(Settings!$C$4,12,1),3))+15)),"")</f>
        <v/>
      </c>
      <c r="D10" s="41">
        <f>IF(MONTH(((DATE(Settings!$C$4,12,1)-WEEKDAY(DATE(Settings!$C$4,12,1),3))+16))=12,DAY(((DATE(Settings!$C$4,12,1)-WEEKDAY(DATE(Settings!$C$4,12,1),3))+16)),"")</f>
        <v/>
      </c>
      <c r="E10" s="41">
        <f>IF(MONTH(((DATE(Settings!$C$4,12,1)-WEEKDAY(DATE(Settings!$C$4,12,1),3))+17))=12,DAY(((DATE(Settings!$C$4,12,1)-WEEKDAY(DATE(Settings!$C$4,12,1),3))+17)),"")</f>
        <v/>
      </c>
      <c r="F10" s="41">
        <f>IF(MONTH(((DATE(Settings!$C$4,12,1)-WEEKDAY(DATE(Settings!$C$4,12,1),3))+18))=12,DAY(((DATE(Settings!$C$4,12,1)-WEEKDAY(DATE(Settings!$C$4,12,1),3))+18)),"")</f>
        <v/>
      </c>
      <c r="G10" s="41">
        <f>IF(MONTH(((DATE(Settings!$C$4,12,1)-WEEKDAY(DATE(Settings!$C$4,12,1),3))+19))=12,DAY(((DATE(Settings!$C$4,12,1)-WEEKDAY(DATE(Settings!$C$4,12,1),3))+19)),"")</f>
        <v/>
      </c>
      <c r="H10" s="41">
        <f>IF(MONTH(((DATE(Settings!$C$4,12,1)-WEEKDAY(DATE(Settings!$C$4,12,1),3))+20))=12,DAY(((DATE(Settings!$C$4,12,1)-WEEKDAY(DATE(Settings!$C$4,12,1),3))+20)),"")</f>
        <v/>
      </c>
      <c r="I10" s="1" t="n"/>
      <c r="J10" s="1" t="n"/>
    </row>
    <row r="11" ht="50" customHeight="1">
      <c r="A11" s="1" t="n"/>
      <c r="B11" s="42">
        <f>IF(OR(MONTH(((DATE(Settings!$C$4,12,1)-WEEKDAY(DATE(Settings!$C$4,12,1),3))+14))&lt;&gt;12,COUNTIFS(Plans!$H$6:$H$155,"&gt;="&amp;((DATE(Settings!$C$4,12,1)-WEEKDAY(DATE(Settings!$C$4,12,1),3))+14),Plans!$H$6:$H$155,"&lt;"&amp;(((DATE(Settings!$C$4,12,1)-WEEKDAY(DATE(Settings!$C$4,12,1),3))+14)+1))=0),"",INDEX(Plans!$D$6:$D$155,MATCH(SMALL(Plans!$H$6:$H$155,COUNTIF(Plans!$H$6:$H$155,"&lt;"&amp;((DATE(Settings!$C$4,12,1)-WEEKDAY(DATE(Settings!$C$4,12,1),3))+14))+1),Plans!$H$6:$H$155,0))&amp;IF(COUNTIFS(Plans!$H$6:$H$155,"&gt;="&amp;((DATE(Settings!$C$4,12,1)-WEEKDAY(DATE(Settings!$C$4,12,1),3))+14),Plans!$H$6:$H$155,"&lt;"&amp;(((DATE(Settings!$C$4,12,1)-WEEKDAY(DATE(Settings!$C$4,12,1),3))+14)+1))&gt;1,CHAR(10)&amp;INDEX(Plans!$D$6:$D$155,MATCH(SMALL(Plans!$H$6:$H$155,COUNTIF(Plans!$H$6:$H$155,"&lt;"&amp;((DATE(Settings!$C$4,12,1)-WEEKDAY(DATE(Settings!$C$4,12,1),3))+14))+2),Plans!$H$6:$H$155,0)),"")&amp;IF(COUNTIFS(Plans!$H$6:$H$155,"&gt;="&amp;((DATE(Settings!$C$4,12,1)-WEEKDAY(DATE(Settings!$C$4,12,1),3))+14),Plans!$H$6:$H$155,"&lt;"&amp;(((DATE(Settings!$C$4,12,1)-WEEKDAY(DATE(Settings!$C$4,12,1),3))+14)+1))&gt;2,CHAR(10)&amp;"+"&amp;(COUNTIFS(Plans!$H$6:$H$155,"&gt;="&amp;((DATE(Settings!$C$4,12,1)-WEEKDAY(DATE(Settings!$C$4,12,1),3))+14),Plans!$H$6:$H$155,"&lt;"&amp;(((DATE(Settings!$C$4,12,1)-WEEKDAY(DATE(Settings!$C$4,12,1),3))+14)+1))-2)&amp;" more",""))</f>
        <v/>
      </c>
      <c r="C11" s="42">
        <f>IF(OR(MONTH(((DATE(Settings!$C$4,12,1)-WEEKDAY(DATE(Settings!$C$4,12,1),3))+15))&lt;&gt;12,COUNTIFS(Plans!$H$6:$H$155,"&gt;="&amp;((DATE(Settings!$C$4,12,1)-WEEKDAY(DATE(Settings!$C$4,12,1),3))+15),Plans!$H$6:$H$155,"&lt;"&amp;(((DATE(Settings!$C$4,12,1)-WEEKDAY(DATE(Settings!$C$4,12,1),3))+15)+1))=0),"",INDEX(Plans!$D$6:$D$155,MATCH(SMALL(Plans!$H$6:$H$155,COUNTIF(Plans!$H$6:$H$155,"&lt;"&amp;((DATE(Settings!$C$4,12,1)-WEEKDAY(DATE(Settings!$C$4,12,1),3))+15))+1),Plans!$H$6:$H$155,0))&amp;IF(COUNTIFS(Plans!$H$6:$H$155,"&gt;="&amp;((DATE(Settings!$C$4,12,1)-WEEKDAY(DATE(Settings!$C$4,12,1),3))+15),Plans!$H$6:$H$155,"&lt;"&amp;(((DATE(Settings!$C$4,12,1)-WEEKDAY(DATE(Settings!$C$4,12,1),3))+15)+1))&gt;1,CHAR(10)&amp;INDEX(Plans!$D$6:$D$155,MATCH(SMALL(Plans!$H$6:$H$155,COUNTIF(Plans!$H$6:$H$155,"&lt;"&amp;((DATE(Settings!$C$4,12,1)-WEEKDAY(DATE(Settings!$C$4,12,1),3))+15))+2),Plans!$H$6:$H$155,0)),"")&amp;IF(COUNTIFS(Plans!$H$6:$H$155,"&gt;="&amp;((DATE(Settings!$C$4,12,1)-WEEKDAY(DATE(Settings!$C$4,12,1),3))+15),Plans!$H$6:$H$155,"&lt;"&amp;(((DATE(Settings!$C$4,12,1)-WEEKDAY(DATE(Settings!$C$4,12,1),3))+15)+1))&gt;2,CHAR(10)&amp;"+"&amp;(COUNTIFS(Plans!$H$6:$H$155,"&gt;="&amp;((DATE(Settings!$C$4,12,1)-WEEKDAY(DATE(Settings!$C$4,12,1),3))+15),Plans!$H$6:$H$155,"&lt;"&amp;(((DATE(Settings!$C$4,12,1)-WEEKDAY(DATE(Settings!$C$4,12,1),3))+15)+1))-2)&amp;" more",""))</f>
        <v/>
      </c>
      <c r="D11" s="42">
        <f>IF(OR(MONTH(((DATE(Settings!$C$4,12,1)-WEEKDAY(DATE(Settings!$C$4,12,1),3))+16))&lt;&gt;12,COUNTIFS(Plans!$H$6:$H$155,"&gt;="&amp;((DATE(Settings!$C$4,12,1)-WEEKDAY(DATE(Settings!$C$4,12,1),3))+16),Plans!$H$6:$H$155,"&lt;"&amp;(((DATE(Settings!$C$4,12,1)-WEEKDAY(DATE(Settings!$C$4,12,1),3))+16)+1))=0),"",INDEX(Plans!$D$6:$D$155,MATCH(SMALL(Plans!$H$6:$H$155,COUNTIF(Plans!$H$6:$H$155,"&lt;"&amp;((DATE(Settings!$C$4,12,1)-WEEKDAY(DATE(Settings!$C$4,12,1),3))+16))+1),Plans!$H$6:$H$155,0))&amp;IF(COUNTIFS(Plans!$H$6:$H$155,"&gt;="&amp;((DATE(Settings!$C$4,12,1)-WEEKDAY(DATE(Settings!$C$4,12,1),3))+16),Plans!$H$6:$H$155,"&lt;"&amp;(((DATE(Settings!$C$4,12,1)-WEEKDAY(DATE(Settings!$C$4,12,1),3))+16)+1))&gt;1,CHAR(10)&amp;INDEX(Plans!$D$6:$D$155,MATCH(SMALL(Plans!$H$6:$H$155,COUNTIF(Plans!$H$6:$H$155,"&lt;"&amp;((DATE(Settings!$C$4,12,1)-WEEKDAY(DATE(Settings!$C$4,12,1),3))+16))+2),Plans!$H$6:$H$155,0)),"")&amp;IF(COUNTIFS(Plans!$H$6:$H$155,"&gt;="&amp;((DATE(Settings!$C$4,12,1)-WEEKDAY(DATE(Settings!$C$4,12,1),3))+16),Plans!$H$6:$H$155,"&lt;"&amp;(((DATE(Settings!$C$4,12,1)-WEEKDAY(DATE(Settings!$C$4,12,1),3))+16)+1))&gt;2,CHAR(10)&amp;"+"&amp;(COUNTIFS(Plans!$H$6:$H$155,"&gt;="&amp;((DATE(Settings!$C$4,12,1)-WEEKDAY(DATE(Settings!$C$4,12,1),3))+16),Plans!$H$6:$H$155,"&lt;"&amp;(((DATE(Settings!$C$4,12,1)-WEEKDAY(DATE(Settings!$C$4,12,1),3))+16)+1))-2)&amp;" more",""))</f>
        <v/>
      </c>
      <c r="E11" s="42">
        <f>IF(OR(MONTH(((DATE(Settings!$C$4,12,1)-WEEKDAY(DATE(Settings!$C$4,12,1),3))+17))&lt;&gt;12,COUNTIFS(Plans!$H$6:$H$155,"&gt;="&amp;((DATE(Settings!$C$4,12,1)-WEEKDAY(DATE(Settings!$C$4,12,1),3))+17),Plans!$H$6:$H$155,"&lt;"&amp;(((DATE(Settings!$C$4,12,1)-WEEKDAY(DATE(Settings!$C$4,12,1),3))+17)+1))=0),"",INDEX(Plans!$D$6:$D$155,MATCH(SMALL(Plans!$H$6:$H$155,COUNTIF(Plans!$H$6:$H$155,"&lt;"&amp;((DATE(Settings!$C$4,12,1)-WEEKDAY(DATE(Settings!$C$4,12,1),3))+17))+1),Plans!$H$6:$H$155,0))&amp;IF(COUNTIFS(Plans!$H$6:$H$155,"&gt;="&amp;((DATE(Settings!$C$4,12,1)-WEEKDAY(DATE(Settings!$C$4,12,1),3))+17),Plans!$H$6:$H$155,"&lt;"&amp;(((DATE(Settings!$C$4,12,1)-WEEKDAY(DATE(Settings!$C$4,12,1),3))+17)+1))&gt;1,CHAR(10)&amp;INDEX(Plans!$D$6:$D$155,MATCH(SMALL(Plans!$H$6:$H$155,COUNTIF(Plans!$H$6:$H$155,"&lt;"&amp;((DATE(Settings!$C$4,12,1)-WEEKDAY(DATE(Settings!$C$4,12,1),3))+17))+2),Plans!$H$6:$H$155,0)),"")&amp;IF(COUNTIFS(Plans!$H$6:$H$155,"&gt;="&amp;((DATE(Settings!$C$4,12,1)-WEEKDAY(DATE(Settings!$C$4,12,1),3))+17),Plans!$H$6:$H$155,"&lt;"&amp;(((DATE(Settings!$C$4,12,1)-WEEKDAY(DATE(Settings!$C$4,12,1),3))+17)+1))&gt;2,CHAR(10)&amp;"+"&amp;(COUNTIFS(Plans!$H$6:$H$155,"&gt;="&amp;((DATE(Settings!$C$4,12,1)-WEEKDAY(DATE(Settings!$C$4,12,1),3))+17),Plans!$H$6:$H$155,"&lt;"&amp;(((DATE(Settings!$C$4,12,1)-WEEKDAY(DATE(Settings!$C$4,12,1),3))+17)+1))-2)&amp;" more",""))</f>
        <v/>
      </c>
      <c r="F11" s="42">
        <f>IF(OR(MONTH(((DATE(Settings!$C$4,12,1)-WEEKDAY(DATE(Settings!$C$4,12,1),3))+18))&lt;&gt;12,COUNTIFS(Plans!$H$6:$H$155,"&gt;="&amp;((DATE(Settings!$C$4,12,1)-WEEKDAY(DATE(Settings!$C$4,12,1),3))+18),Plans!$H$6:$H$155,"&lt;"&amp;(((DATE(Settings!$C$4,12,1)-WEEKDAY(DATE(Settings!$C$4,12,1),3))+18)+1))=0),"",INDEX(Plans!$D$6:$D$155,MATCH(SMALL(Plans!$H$6:$H$155,COUNTIF(Plans!$H$6:$H$155,"&lt;"&amp;((DATE(Settings!$C$4,12,1)-WEEKDAY(DATE(Settings!$C$4,12,1),3))+18))+1),Plans!$H$6:$H$155,0))&amp;IF(COUNTIFS(Plans!$H$6:$H$155,"&gt;="&amp;((DATE(Settings!$C$4,12,1)-WEEKDAY(DATE(Settings!$C$4,12,1),3))+18),Plans!$H$6:$H$155,"&lt;"&amp;(((DATE(Settings!$C$4,12,1)-WEEKDAY(DATE(Settings!$C$4,12,1),3))+18)+1))&gt;1,CHAR(10)&amp;INDEX(Plans!$D$6:$D$155,MATCH(SMALL(Plans!$H$6:$H$155,COUNTIF(Plans!$H$6:$H$155,"&lt;"&amp;((DATE(Settings!$C$4,12,1)-WEEKDAY(DATE(Settings!$C$4,12,1),3))+18))+2),Plans!$H$6:$H$155,0)),"")&amp;IF(COUNTIFS(Plans!$H$6:$H$155,"&gt;="&amp;((DATE(Settings!$C$4,12,1)-WEEKDAY(DATE(Settings!$C$4,12,1),3))+18),Plans!$H$6:$H$155,"&lt;"&amp;(((DATE(Settings!$C$4,12,1)-WEEKDAY(DATE(Settings!$C$4,12,1),3))+18)+1))&gt;2,CHAR(10)&amp;"+"&amp;(COUNTIFS(Plans!$H$6:$H$155,"&gt;="&amp;((DATE(Settings!$C$4,12,1)-WEEKDAY(DATE(Settings!$C$4,12,1),3))+18),Plans!$H$6:$H$155,"&lt;"&amp;(((DATE(Settings!$C$4,12,1)-WEEKDAY(DATE(Settings!$C$4,12,1),3))+18)+1))-2)&amp;" more",""))</f>
        <v/>
      </c>
      <c r="G11" s="42">
        <f>IF(OR(MONTH(((DATE(Settings!$C$4,12,1)-WEEKDAY(DATE(Settings!$C$4,12,1),3))+19))&lt;&gt;12,COUNTIFS(Plans!$H$6:$H$155,"&gt;="&amp;((DATE(Settings!$C$4,12,1)-WEEKDAY(DATE(Settings!$C$4,12,1),3))+19),Plans!$H$6:$H$155,"&lt;"&amp;(((DATE(Settings!$C$4,12,1)-WEEKDAY(DATE(Settings!$C$4,12,1),3))+19)+1))=0),"",INDEX(Plans!$D$6:$D$155,MATCH(SMALL(Plans!$H$6:$H$155,COUNTIF(Plans!$H$6:$H$155,"&lt;"&amp;((DATE(Settings!$C$4,12,1)-WEEKDAY(DATE(Settings!$C$4,12,1),3))+19))+1),Plans!$H$6:$H$155,0))&amp;IF(COUNTIFS(Plans!$H$6:$H$155,"&gt;="&amp;((DATE(Settings!$C$4,12,1)-WEEKDAY(DATE(Settings!$C$4,12,1),3))+19),Plans!$H$6:$H$155,"&lt;"&amp;(((DATE(Settings!$C$4,12,1)-WEEKDAY(DATE(Settings!$C$4,12,1),3))+19)+1))&gt;1,CHAR(10)&amp;INDEX(Plans!$D$6:$D$155,MATCH(SMALL(Plans!$H$6:$H$155,COUNTIF(Plans!$H$6:$H$155,"&lt;"&amp;((DATE(Settings!$C$4,12,1)-WEEKDAY(DATE(Settings!$C$4,12,1),3))+19))+2),Plans!$H$6:$H$155,0)),"")&amp;IF(COUNTIFS(Plans!$H$6:$H$155,"&gt;="&amp;((DATE(Settings!$C$4,12,1)-WEEKDAY(DATE(Settings!$C$4,12,1),3))+19),Plans!$H$6:$H$155,"&lt;"&amp;(((DATE(Settings!$C$4,12,1)-WEEKDAY(DATE(Settings!$C$4,12,1),3))+19)+1))&gt;2,CHAR(10)&amp;"+"&amp;(COUNTIFS(Plans!$H$6:$H$155,"&gt;="&amp;((DATE(Settings!$C$4,12,1)-WEEKDAY(DATE(Settings!$C$4,12,1),3))+19),Plans!$H$6:$H$155,"&lt;"&amp;(((DATE(Settings!$C$4,12,1)-WEEKDAY(DATE(Settings!$C$4,12,1),3))+19)+1))-2)&amp;" more",""))</f>
        <v/>
      </c>
      <c r="H11" s="42">
        <f>IF(OR(MONTH(((DATE(Settings!$C$4,12,1)-WEEKDAY(DATE(Settings!$C$4,12,1),3))+20))&lt;&gt;12,COUNTIFS(Plans!$H$6:$H$155,"&gt;="&amp;((DATE(Settings!$C$4,12,1)-WEEKDAY(DATE(Settings!$C$4,12,1),3))+20),Plans!$H$6:$H$155,"&lt;"&amp;(((DATE(Settings!$C$4,12,1)-WEEKDAY(DATE(Settings!$C$4,12,1),3))+20)+1))=0),"",INDEX(Plans!$D$6:$D$155,MATCH(SMALL(Plans!$H$6:$H$155,COUNTIF(Plans!$H$6:$H$155,"&lt;"&amp;((DATE(Settings!$C$4,12,1)-WEEKDAY(DATE(Settings!$C$4,12,1),3))+20))+1),Plans!$H$6:$H$155,0))&amp;IF(COUNTIFS(Plans!$H$6:$H$155,"&gt;="&amp;((DATE(Settings!$C$4,12,1)-WEEKDAY(DATE(Settings!$C$4,12,1),3))+20),Plans!$H$6:$H$155,"&lt;"&amp;(((DATE(Settings!$C$4,12,1)-WEEKDAY(DATE(Settings!$C$4,12,1),3))+20)+1))&gt;1,CHAR(10)&amp;INDEX(Plans!$D$6:$D$155,MATCH(SMALL(Plans!$H$6:$H$155,COUNTIF(Plans!$H$6:$H$155,"&lt;"&amp;((DATE(Settings!$C$4,12,1)-WEEKDAY(DATE(Settings!$C$4,12,1),3))+20))+2),Plans!$H$6:$H$155,0)),"")&amp;IF(COUNTIFS(Plans!$H$6:$H$155,"&gt;="&amp;((DATE(Settings!$C$4,12,1)-WEEKDAY(DATE(Settings!$C$4,12,1),3))+20),Plans!$H$6:$H$155,"&lt;"&amp;(((DATE(Settings!$C$4,12,1)-WEEKDAY(DATE(Settings!$C$4,12,1),3))+20)+1))&gt;2,CHAR(10)&amp;"+"&amp;(COUNTIFS(Plans!$H$6:$H$155,"&gt;="&amp;((DATE(Settings!$C$4,12,1)-WEEKDAY(DATE(Settings!$C$4,12,1),3))+20),Plans!$H$6:$H$155,"&lt;"&amp;(((DATE(Settings!$C$4,12,1)-WEEKDAY(DATE(Settings!$C$4,12,1),3))+20)+1))-2)&amp;" more",""))</f>
        <v/>
      </c>
      <c r="I11" s="1" t="n"/>
      <c r="J11" s="1" t="n"/>
    </row>
    <row r="12" ht="18" customHeight="1">
      <c r="A12" s="1" t="n"/>
      <c r="B12" s="41">
        <f>IF(MONTH(((DATE(Settings!$C$4,12,1)-WEEKDAY(DATE(Settings!$C$4,12,1),3))+21))=12,DAY(((DATE(Settings!$C$4,12,1)-WEEKDAY(DATE(Settings!$C$4,12,1),3))+21)),"")</f>
        <v/>
      </c>
      <c r="C12" s="41">
        <f>IF(MONTH(((DATE(Settings!$C$4,12,1)-WEEKDAY(DATE(Settings!$C$4,12,1),3))+22))=12,DAY(((DATE(Settings!$C$4,12,1)-WEEKDAY(DATE(Settings!$C$4,12,1),3))+22)),"")</f>
        <v/>
      </c>
      <c r="D12" s="41">
        <f>IF(MONTH(((DATE(Settings!$C$4,12,1)-WEEKDAY(DATE(Settings!$C$4,12,1),3))+23))=12,DAY(((DATE(Settings!$C$4,12,1)-WEEKDAY(DATE(Settings!$C$4,12,1),3))+23)),"")</f>
        <v/>
      </c>
      <c r="E12" s="41">
        <f>IF(MONTH(((DATE(Settings!$C$4,12,1)-WEEKDAY(DATE(Settings!$C$4,12,1),3))+24))=12,DAY(((DATE(Settings!$C$4,12,1)-WEEKDAY(DATE(Settings!$C$4,12,1),3))+24)),"")</f>
        <v/>
      </c>
      <c r="F12" s="41">
        <f>IF(MONTH(((DATE(Settings!$C$4,12,1)-WEEKDAY(DATE(Settings!$C$4,12,1),3))+25))=12,DAY(((DATE(Settings!$C$4,12,1)-WEEKDAY(DATE(Settings!$C$4,12,1),3))+25)),"")</f>
        <v/>
      </c>
      <c r="G12" s="41">
        <f>IF(MONTH(((DATE(Settings!$C$4,12,1)-WEEKDAY(DATE(Settings!$C$4,12,1),3))+26))=12,DAY(((DATE(Settings!$C$4,12,1)-WEEKDAY(DATE(Settings!$C$4,12,1),3))+26)),"")</f>
        <v/>
      </c>
      <c r="H12" s="41">
        <f>IF(MONTH(((DATE(Settings!$C$4,12,1)-WEEKDAY(DATE(Settings!$C$4,12,1),3))+27))=12,DAY(((DATE(Settings!$C$4,12,1)-WEEKDAY(DATE(Settings!$C$4,12,1),3))+27)),"")</f>
        <v/>
      </c>
      <c r="I12" s="1" t="n"/>
      <c r="J12" s="1" t="n"/>
    </row>
    <row r="13" ht="50" customHeight="1">
      <c r="A13" s="1" t="n"/>
      <c r="B13" s="42">
        <f>IF(OR(MONTH(((DATE(Settings!$C$4,12,1)-WEEKDAY(DATE(Settings!$C$4,12,1),3))+21))&lt;&gt;12,COUNTIFS(Plans!$H$6:$H$155,"&gt;="&amp;((DATE(Settings!$C$4,12,1)-WEEKDAY(DATE(Settings!$C$4,12,1),3))+21),Plans!$H$6:$H$155,"&lt;"&amp;(((DATE(Settings!$C$4,12,1)-WEEKDAY(DATE(Settings!$C$4,12,1),3))+21)+1))=0),"",INDEX(Plans!$D$6:$D$155,MATCH(SMALL(Plans!$H$6:$H$155,COUNTIF(Plans!$H$6:$H$155,"&lt;"&amp;((DATE(Settings!$C$4,12,1)-WEEKDAY(DATE(Settings!$C$4,12,1),3))+21))+1),Plans!$H$6:$H$155,0))&amp;IF(COUNTIFS(Plans!$H$6:$H$155,"&gt;="&amp;((DATE(Settings!$C$4,12,1)-WEEKDAY(DATE(Settings!$C$4,12,1),3))+21),Plans!$H$6:$H$155,"&lt;"&amp;(((DATE(Settings!$C$4,12,1)-WEEKDAY(DATE(Settings!$C$4,12,1),3))+21)+1))&gt;1,CHAR(10)&amp;INDEX(Plans!$D$6:$D$155,MATCH(SMALL(Plans!$H$6:$H$155,COUNTIF(Plans!$H$6:$H$155,"&lt;"&amp;((DATE(Settings!$C$4,12,1)-WEEKDAY(DATE(Settings!$C$4,12,1),3))+21))+2),Plans!$H$6:$H$155,0)),"")&amp;IF(COUNTIFS(Plans!$H$6:$H$155,"&gt;="&amp;((DATE(Settings!$C$4,12,1)-WEEKDAY(DATE(Settings!$C$4,12,1),3))+21),Plans!$H$6:$H$155,"&lt;"&amp;(((DATE(Settings!$C$4,12,1)-WEEKDAY(DATE(Settings!$C$4,12,1),3))+21)+1))&gt;2,CHAR(10)&amp;"+"&amp;(COUNTIFS(Plans!$H$6:$H$155,"&gt;="&amp;((DATE(Settings!$C$4,12,1)-WEEKDAY(DATE(Settings!$C$4,12,1),3))+21),Plans!$H$6:$H$155,"&lt;"&amp;(((DATE(Settings!$C$4,12,1)-WEEKDAY(DATE(Settings!$C$4,12,1),3))+21)+1))-2)&amp;" more",""))</f>
        <v/>
      </c>
      <c r="C13" s="42">
        <f>IF(OR(MONTH(((DATE(Settings!$C$4,12,1)-WEEKDAY(DATE(Settings!$C$4,12,1),3))+22))&lt;&gt;12,COUNTIFS(Plans!$H$6:$H$155,"&gt;="&amp;((DATE(Settings!$C$4,12,1)-WEEKDAY(DATE(Settings!$C$4,12,1),3))+22),Plans!$H$6:$H$155,"&lt;"&amp;(((DATE(Settings!$C$4,12,1)-WEEKDAY(DATE(Settings!$C$4,12,1),3))+22)+1))=0),"",INDEX(Plans!$D$6:$D$155,MATCH(SMALL(Plans!$H$6:$H$155,COUNTIF(Plans!$H$6:$H$155,"&lt;"&amp;((DATE(Settings!$C$4,12,1)-WEEKDAY(DATE(Settings!$C$4,12,1),3))+22))+1),Plans!$H$6:$H$155,0))&amp;IF(COUNTIFS(Plans!$H$6:$H$155,"&gt;="&amp;((DATE(Settings!$C$4,12,1)-WEEKDAY(DATE(Settings!$C$4,12,1),3))+22),Plans!$H$6:$H$155,"&lt;"&amp;(((DATE(Settings!$C$4,12,1)-WEEKDAY(DATE(Settings!$C$4,12,1),3))+22)+1))&gt;1,CHAR(10)&amp;INDEX(Plans!$D$6:$D$155,MATCH(SMALL(Plans!$H$6:$H$155,COUNTIF(Plans!$H$6:$H$155,"&lt;"&amp;((DATE(Settings!$C$4,12,1)-WEEKDAY(DATE(Settings!$C$4,12,1),3))+22))+2),Plans!$H$6:$H$155,0)),"")&amp;IF(COUNTIFS(Plans!$H$6:$H$155,"&gt;="&amp;((DATE(Settings!$C$4,12,1)-WEEKDAY(DATE(Settings!$C$4,12,1),3))+22),Plans!$H$6:$H$155,"&lt;"&amp;(((DATE(Settings!$C$4,12,1)-WEEKDAY(DATE(Settings!$C$4,12,1),3))+22)+1))&gt;2,CHAR(10)&amp;"+"&amp;(COUNTIFS(Plans!$H$6:$H$155,"&gt;="&amp;((DATE(Settings!$C$4,12,1)-WEEKDAY(DATE(Settings!$C$4,12,1),3))+22),Plans!$H$6:$H$155,"&lt;"&amp;(((DATE(Settings!$C$4,12,1)-WEEKDAY(DATE(Settings!$C$4,12,1),3))+22)+1))-2)&amp;" more",""))</f>
        <v/>
      </c>
      <c r="D13" s="42">
        <f>IF(OR(MONTH(((DATE(Settings!$C$4,12,1)-WEEKDAY(DATE(Settings!$C$4,12,1),3))+23))&lt;&gt;12,COUNTIFS(Plans!$H$6:$H$155,"&gt;="&amp;((DATE(Settings!$C$4,12,1)-WEEKDAY(DATE(Settings!$C$4,12,1),3))+23),Plans!$H$6:$H$155,"&lt;"&amp;(((DATE(Settings!$C$4,12,1)-WEEKDAY(DATE(Settings!$C$4,12,1),3))+23)+1))=0),"",INDEX(Plans!$D$6:$D$155,MATCH(SMALL(Plans!$H$6:$H$155,COUNTIF(Plans!$H$6:$H$155,"&lt;"&amp;((DATE(Settings!$C$4,12,1)-WEEKDAY(DATE(Settings!$C$4,12,1),3))+23))+1),Plans!$H$6:$H$155,0))&amp;IF(COUNTIFS(Plans!$H$6:$H$155,"&gt;="&amp;((DATE(Settings!$C$4,12,1)-WEEKDAY(DATE(Settings!$C$4,12,1),3))+23),Plans!$H$6:$H$155,"&lt;"&amp;(((DATE(Settings!$C$4,12,1)-WEEKDAY(DATE(Settings!$C$4,12,1),3))+23)+1))&gt;1,CHAR(10)&amp;INDEX(Plans!$D$6:$D$155,MATCH(SMALL(Plans!$H$6:$H$155,COUNTIF(Plans!$H$6:$H$155,"&lt;"&amp;((DATE(Settings!$C$4,12,1)-WEEKDAY(DATE(Settings!$C$4,12,1),3))+23))+2),Plans!$H$6:$H$155,0)),"")&amp;IF(COUNTIFS(Plans!$H$6:$H$155,"&gt;="&amp;((DATE(Settings!$C$4,12,1)-WEEKDAY(DATE(Settings!$C$4,12,1),3))+23),Plans!$H$6:$H$155,"&lt;"&amp;(((DATE(Settings!$C$4,12,1)-WEEKDAY(DATE(Settings!$C$4,12,1),3))+23)+1))&gt;2,CHAR(10)&amp;"+"&amp;(COUNTIFS(Plans!$H$6:$H$155,"&gt;="&amp;((DATE(Settings!$C$4,12,1)-WEEKDAY(DATE(Settings!$C$4,12,1),3))+23),Plans!$H$6:$H$155,"&lt;"&amp;(((DATE(Settings!$C$4,12,1)-WEEKDAY(DATE(Settings!$C$4,12,1),3))+23)+1))-2)&amp;" more",""))</f>
        <v/>
      </c>
      <c r="E13" s="42">
        <f>IF(OR(MONTH(((DATE(Settings!$C$4,12,1)-WEEKDAY(DATE(Settings!$C$4,12,1),3))+24))&lt;&gt;12,COUNTIFS(Plans!$H$6:$H$155,"&gt;="&amp;((DATE(Settings!$C$4,12,1)-WEEKDAY(DATE(Settings!$C$4,12,1),3))+24),Plans!$H$6:$H$155,"&lt;"&amp;(((DATE(Settings!$C$4,12,1)-WEEKDAY(DATE(Settings!$C$4,12,1),3))+24)+1))=0),"",INDEX(Plans!$D$6:$D$155,MATCH(SMALL(Plans!$H$6:$H$155,COUNTIF(Plans!$H$6:$H$155,"&lt;"&amp;((DATE(Settings!$C$4,12,1)-WEEKDAY(DATE(Settings!$C$4,12,1),3))+24))+1),Plans!$H$6:$H$155,0))&amp;IF(COUNTIFS(Plans!$H$6:$H$155,"&gt;="&amp;((DATE(Settings!$C$4,12,1)-WEEKDAY(DATE(Settings!$C$4,12,1),3))+24),Plans!$H$6:$H$155,"&lt;"&amp;(((DATE(Settings!$C$4,12,1)-WEEKDAY(DATE(Settings!$C$4,12,1),3))+24)+1))&gt;1,CHAR(10)&amp;INDEX(Plans!$D$6:$D$155,MATCH(SMALL(Plans!$H$6:$H$155,COUNTIF(Plans!$H$6:$H$155,"&lt;"&amp;((DATE(Settings!$C$4,12,1)-WEEKDAY(DATE(Settings!$C$4,12,1),3))+24))+2),Plans!$H$6:$H$155,0)),"")&amp;IF(COUNTIFS(Plans!$H$6:$H$155,"&gt;="&amp;((DATE(Settings!$C$4,12,1)-WEEKDAY(DATE(Settings!$C$4,12,1),3))+24),Plans!$H$6:$H$155,"&lt;"&amp;(((DATE(Settings!$C$4,12,1)-WEEKDAY(DATE(Settings!$C$4,12,1),3))+24)+1))&gt;2,CHAR(10)&amp;"+"&amp;(COUNTIFS(Plans!$H$6:$H$155,"&gt;="&amp;((DATE(Settings!$C$4,12,1)-WEEKDAY(DATE(Settings!$C$4,12,1),3))+24),Plans!$H$6:$H$155,"&lt;"&amp;(((DATE(Settings!$C$4,12,1)-WEEKDAY(DATE(Settings!$C$4,12,1),3))+24)+1))-2)&amp;" more",""))</f>
        <v/>
      </c>
      <c r="F13" s="42">
        <f>IF(OR(MONTH(((DATE(Settings!$C$4,12,1)-WEEKDAY(DATE(Settings!$C$4,12,1),3))+25))&lt;&gt;12,COUNTIFS(Plans!$H$6:$H$155,"&gt;="&amp;((DATE(Settings!$C$4,12,1)-WEEKDAY(DATE(Settings!$C$4,12,1),3))+25),Plans!$H$6:$H$155,"&lt;"&amp;(((DATE(Settings!$C$4,12,1)-WEEKDAY(DATE(Settings!$C$4,12,1),3))+25)+1))=0),"",INDEX(Plans!$D$6:$D$155,MATCH(SMALL(Plans!$H$6:$H$155,COUNTIF(Plans!$H$6:$H$155,"&lt;"&amp;((DATE(Settings!$C$4,12,1)-WEEKDAY(DATE(Settings!$C$4,12,1),3))+25))+1),Plans!$H$6:$H$155,0))&amp;IF(COUNTIFS(Plans!$H$6:$H$155,"&gt;="&amp;((DATE(Settings!$C$4,12,1)-WEEKDAY(DATE(Settings!$C$4,12,1),3))+25),Plans!$H$6:$H$155,"&lt;"&amp;(((DATE(Settings!$C$4,12,1)-WEEKDAY(DATE(Settings!$C$4,12,1),3))+25)+1))&gt;1,CHAR(10)&amp;INDEX(Plans!$D$6:$D$155,MATCH(SMALL(Plans!$H$6:$H$155,COUNTIF(Plans!$H$6:$H$155,"&lt;"&amp;((DATE(Settings!$C$4,12,1)-WEEKDAY(DATE(Settings!$C$4,12,1),3))+25))+2),Plans!$H$6:$H$155,0)),"")&amp;IF(COUNTIFS(Plans!$H$6:$H$155,"&gt;="&amp;((DATE(Settings!$C$4,12,1)-WEEKDAY(DATE(Settings!$C$4,12,1),3))+25),Plans!$H$6:$H$155,"&lt;"&amp;(((DATE(Settings!$C$4,12,1)-WEEKDAY(DATE(Settings!$C$4,12,1),3))+25)+1))&gt;2,CHAR(10)&amp;"+"&amp;(COUNTIFS(Plans!$H$6:$H$155,"&gt;="&amp;((DATE(Settings!$C$4,12,1)-WEEKDAY(DATE(Settings!$C$4,12,1),3))+25),Plans!$H$6:$H$155,"&lt;"&amp;(((DATE(Settings!$C$4,12,1)-WEEKDAY(DATE(Settings!$C$4,12,1),3))+25)+1))-2)&amp;" more",""))</f>
        <v/>
      </c>
      <c r="G13" s="42">
        <f>IF(OR(MONTH(((DATE(Settings!$C$4,12,1)-WEEKDAY(DATE(Settings!$C$4,12,1),3))+26))&lt;&gt;12,COUNTIFS(Plans!$H$6:$H$155,"&gt;="&amp;((DATE(Settings!$C$4,12,1)-WEEKDAY(DATE(Settings!$C$4,12,1),3))+26),Plans!$H$6:$H$155,"&lt;"&amp;(((DATE(Settings!$C$4,12,1)-WEEKDAY(DATE(Settings!$C$4,12,1),3))+26)+1))=0),"",INDEX(Plans!$D$6:$D$155,MATCH(SMALL(Plans!$H$6:$H$155,COUNTIF(Plans!$H$6:$H$155,"&lt;"&amp;((DATE(Settings!$C$4,12,1)-WEEKDAY(DATE(Settings!$C$4,12,1),3))+26))+1),Plans!$H$6:$H$155,0))&amp;IF(COUNTIFS(Plans!$H$6:$H$155,"&gt;="&amp;((DATE(Settings!$C$4,12,1)-WEEKDAY(DATE(Settings!$C$4,12,1),3))+26),Plans!$H$6:$H$155,"&lt;"&amp;(((DATE(Settings!$C$4,12,1)-WEEKDAY(DATE(Settings!$C$4,12,1),3))+26)+1))&gt;1,CHAR(10)&amp;INDEX(Plans!$D$6:$D$155,MATCH(SMALL(Plans!$H$6:$H$155,COUNTIF(Plans!$H$6:$H$155,"&lt;"&amp;((DATE(Settings!$C$4,12,1)-WEEKDAY(DATE(Settings!$C$4,12,1),3))+26))+2),Plans!$H$6:$H$155,0)),"")&amp;IF(COUNTIFS(Plans!$H$6:$H$155,"&gt;="&amp;((DATE(Settings!$C$4,12,1)-WEEKDAY(DATE(Settings!$C$4,12,1),3))+26),Plans!$H$6:$H$155,"&lt;"&amp;(((DATE(Settings!$C$4,12,1)-WEEKDAY(DATE(Settings!$C$4,12,1),3))+26)+1))&gt;2,CHAR(10)&amp;"+"&amp;(COUNTIFS(Plans!$H$6:$H$155,"&gt;="&amp;((DATE(Settings!$C$4,12,1)-WEEKDAY(DATE(Settings!$C$4,12,1),3))+26),Plans!$H$6:$H$155,"&lt;"&amp;(((DATE(Settings!$C$4,12,1)-WEEKDAY(DATE(Settings!$C$4,12,1),3))+26)+1))-2)&amp;" more",""))</f>
        <v/>
      </c>
      <c r="H13" s="42">
        <f>IF(OR(MONTH(((DATE(Settings!$C$4,12,1)-WEEKDAY(DATE(Settings!$C$4,12,1),3))+27))&lt;&gt;12,COUNTIFS(Plans!$H$6:$H$155,"&gt;="&amp;((DATE(Settings!$C$4,12,1)-WEEKDAY(DATE(Settings!$C$4,12,1),3))+27),Plans!$H$6:$H$155,"&lt;"&amp;(((DATE(Settings!$C$4,12,1)-WEEKDAY(DATE(Settings!$C$4,12,1),3))+27)+1))=0),"",INDEX(Plans!$D$6:$D$155,MATCH(SMALL(Plans!$H$6:$H$155,COUNTIF(Plans!$H$6:$H$155,"&lt;"&amp;((DATE(Settings!$C$4,12,1)-WEEKDAY(DATE(Settings!$C$4,12,1),3))+27))+1),Plans!$H$6:$H$155,0))&amp;IF(COUNTIFS(Plans!$H$6:$H$155,"&gt;="&amp;((DATE(Settings!$C$4,12,1)-WEEKDAY(DATE(Settings!$C$4,12,1),3))+27),Plans!$H$6:$H$155,"&lt;"&amp;(((DATE(Settings!$C$4,12,1)-WEEKDAY(DATE(Settings!$C$4,12,1),3))+27)+1))&gt;1,CHAR(10)&amp;INDEX(Plans!$D$6:$D$155,MATCH(SMALL(Plans!$H$6:$H$155,COUNTIF(Plans!$H$6:$H$155,"&lt;"&amp;((DATE(Settings!$C$4,12,1)-WEEKDAY(DATE(Settings!$C$4,12,1),3))+27))+2),Plans!$H$6:$H$155,0)),"")&amp;IF(COUNTIFS(Plans!$H$6:$H$155,"&gt;="&amp;((DATE(Settings!$C$4,12,1)-WEEKDAY(DATE(Settings!$C$4,12,1),3))+27),Plans!$H$6:$H$155,"&lt;"&amp;(((DATE(Settings!$C$4,12,1)-WEEKDAY(DATE(Settings!$C$4,12,1),3))+27)+1))&gt;2,CHAR(10)&amp;"+"&amp;(COUNTIFS(Plans!$H$6:$H$155,"&gt;="&amp;((DATE(Settings!$C$4,12,1)-WEEKDAY(DATE(Settings!$C$4,12,1),3))+27),Plans!$H$6:$H$155,"&lt;"&amp;(((DATE(Settings!$C$4,12,1)-WEEKDAY(DATE(Settings!$C$4,12,1),3))+27)+1))-2)&amp;" more",""))</f>
        <v/>
      </c>
      <c r="I13" s="1" t="n"/>
      <c r="J13" s="1" t="n"/>
    </row>
    <row r="14" ht="18" customHeight="1">
      <c r="A14" s="1" t="n"/>
      <c r="B14" s="41">
        <f>IF(MONTH(((DATE(Settings!$C$4,12,1)-WEEKDAY(DATE(Settings!$C$4,12,1),3))+28))=12,DAY(((DATE(Settings!$C$4,12,1)-WEEKDAY(DATE(Settings!$C$4,12,1),3))+28)),"")</f>
        <v/>
      </c>
      <c r="C14" s="41">
        <f>IF(MONTH(((DATE(Settings!$C$4,12,1)-WEEKDAY(DATE(Settings!$C$4,12,1),3))+29))=12,DAY(((DATE(Settings!$C$4,12,1)-WEEKDAY(DATE(Settings!$C$4,12,1),3))+29)),"")</f>
        <v/>
      </c>
      <c r="D14" s="41">
        <f>IF(MONTH(((DATE(Settings!$C$4,12,1)-WEEKDAY(DATE(Settings!$C$4,12,1),3))+30))=12,DAY(((DATE(Settings!$C$4,12,1)-WEEKDAY(DATE(Settings!$C$4,12,1),3))+30)),"")</f>
        <v/>
      </c>
      <c r="E14" s="41">
        <f>IF(MONTH(((DATE(Settings!$C$4,12,1)-WEEKDAY(DATE(Settings!$C$4,12,1),3))+31))=12,DAY(((DATE(Settings!$C$4,12,1)-WEEKDAY(DATE(Settings!$C$4,12,1),3))+31)),"")</f>
        <v/>
      </c>
      <c r="F14" s="41">
        <f>IF(MONTH(((DATE(Settings!$C$4,12,1)-WEEKDAY(DATE(Settings!$C$4,12,1),3))+32))=12,DAY(((DATE(Settings!$C$4,12,1)-WEEKDAY(DATE(Settings!$C$4,12,1),3))+32)),"")</f>
        <v/>
      </c>
      <c r="G14" s="41">
        <f>IF(MONTH(((DATE(Settings!$C$4,12,1)-WEEKDAY(DATE(Settings!$C$4,12,1),3))+33))=12,DAY(((DATE(Settings!$C$4,12,1)-WEEKDAY(DATE(Settings!$C$4,12,1),3))+33)),"")</f>
        <v/>
      </c>
      <c r="H14" s="41">
        <f>IF(MONTH(((DATE(Settings!$C$4,12,1)-WEEKDAY(DATE(Settings!$C$4,12,1),3))+34))=12,DAY(((DATE(Settings!$C$4,12,1)-WEEKDAY(DATE(Settings!$C$4,12,1),3))+34)),"")</f>
        <v/>
      </c>
      <c r="I14" s="1" t="n"/>
      <c r="J14" s="1" t="n"/>
    </row>
    <row r="15" ht="50" customHeight="1">
      <c r="A15" s="1" t="n"/>
      <c r="B15" s="42">
        <f>IF(OR(MONTH(((DATE(Settings!$C$4,12,1)-WEEKDAY(DATE(Settings!$C$4,12,1),3))+28))&lt;&gt;12,COUNTIFS(Plans!$H$6:$H$155,"&gt;="&amp;((DATE(Settings!$C$4,12,1)-WEEKDAY(DATE(Settings!$C$4,12,1),3))+28),Plans!$H$6:$H$155,"&lt;"&amp;(((DATE(Settings!$C$4,12,1)-WEEKDAY(DATE(Settings!$C$4,12,1),3))+28)+1))=0),"",INDEX(Plans!$D$6:$D$155,MATCH(SMALL(Plans!$H$6:$H$155,COUNTIF(Plans!$H$6:$H$155,"&lt;"&amp;((DATE(Settings!$C$4,12,1)-WEEKDAY(DATE(Settings!$C$4,12,1),3))+28))+1),Plans!$H$6:$H$155,0))&amp;IF(COUNTIFS(Plans!$H$6:$H$155,"&gt;="&amp;((DATE(Settings!$C$4,12,1)-WEEKDAY(DATE(Settings!$C$4,12,1),3))+28),Plans!$H$6:$H$155,"&lt;"&amp;(((DATE(Settings!$C$4,12,1)-WEEKDAY(DATE(Settings!$C$4,12,1),3))+28)+1))&gt;1,CHAR(10)&amp;INDEX(Plans!$D$6:$D$155,MATCH(SMALL(Plans!$H$6:$H$155,COUNTIF(Plans!$H$6:$H$155,"&lt;"&amp;((DATE(Settings!$C$4,12,1)-WEEKDAY(DATE(Settings!$C$4,12,1),3))+28))+2),Plans!$H$6:$H$155,0)),"")&amp;IF(COUNTIFS(Plans!$H$6:$H$155,"&gt;="&amp;((DATE(Settings!$C$4,12,1)-WEEKDAY(DATE(Settings!$C$4,12,1),3))+28),Plans!$H$6:$H$155,"&lt;"&amp;(((DATE(Settings!$C$4,12,1)-WEEKDAY(DATE(Settings!$C$4,12,1),3))+28)+1))&gt;2,CHAR(10)&amp;"+"&amp;(COUNTIFS(Plans!$H$6:$H$155,"&gt;="&amp;((DATE(Settings!$C$4,12,1)-WEEKDAY(DATE(Settings!$C$4,12,1),3))+28),Plans!$H$6:$H$155,"&lt;"&amp;(((DATE(Settings!$C$4,12,1)-WEEKDAY(DATE(Settings!$C$4,12,1),3))+28)+1))-2)&amp;" more",""))</f>
        <v/>
      </c>
      <c r="C15" s="42">
        <f>IF(OR(MONTH(((DATE(Settings!$C$4,12,1)-WEEKDAY(DATE(Settings!$C$4,12,1),3))+29))&lt;&gt;12,COUNTIFS(Plans!$H$6:$H$155,"&gt;="&amp;((DATE(Settings!$C$4,12,1)-WEEKDAY(DATE(Settings!$C$4,12,1),3))+29),Plans!$H$6:$H$155,"&lt;"&amp;(((DATE(Settings!$C$4,12,1)-WEEKDAY(DATE(Settings!$C$4,12,1),3))+29)+1))=0),"",INDEX(Plans!$D$6:$D$155,MATCH(SMALL(Plans!$H$6:$H$155,COUNTIF(Plans!$H$6:$H$155,"&lt;"&amp;((DATE(Settings!$C$4,12,1)-WEEKDAY(DATE(Settings!$C$4,12,1),3))+29))+1),Plans!$H$6:$H$155,0))&amp;IF(COUNTIFS(Plans!$H$6:$H$155,"&gt;="&amp;((DATE(Settings!$C$4,12,1)-WEEKDAY(DATE(Settings!$C$4,12,1),3))+29),Plans!$H$6:$H$155,"&lt;"&amp;(((DATE(Settings!$C$4,12,1)-WEEKDAY(DATE(Settings!$C$4,12,1),3))+29)+1))&gt;1,CHAR(10)&amp;INDEX(Plans!$D$6:$D$155,MATCH(SMALL(Plans!$H$6:$H$155,COUNTIF(Plans!$H$6:$H$155,"&lt;"&amp;((DATE(Settings!$C$4,12,1)-WEEKDAY(DATE(Settings!$C$4,12,1),3))+29))+2),Plans!$H$6:$H$155,0)),"")&amp;IF(COUNTIFS(Plans!$H$6:$H$155,"&gt;="&amp;((DATE(Settings!$C$4,12,1)-WEEKDAY(DATE(Settings!$C$4,12,1),3))+29),Plans!$H$6:$H$155,"&lt;"&amp;(((DATE(Settings!$C$4,12,1)-WEEKDAY(DATE(Settings!$C$4,12,1),3))+29)+1))&gt;2,CHAR(10)&amp;"+"&amp;(COUNTIFS(Plans!$H$6:$H$155,"&gt;="&amp;((DATE(Settings!$C$4,12,1)-WEEKDAY(DATE(Settings!$C$4,12,1),3))+29),Plans!$H$6:$H$155,"&lt;"&amp;(((DATE(Settings!$C$4,12,1)-WEEKDAY(DATE(Settings!$C$4,12,1),3))+29)+1))-2)&amp;" more",""))</f>
        <v/>
      </c>
      <c r="D15" s="42">
        <f>IF(OR(MONTH(((DATE(Settings!$C$4,12,1)-WEEKDAY(DATE(Settings!$C$4,12,1),3))+30))&lt;&gt;12,COUNTIFS(Plans!$H$6:$H$155,"&gt;="&amp;((DATE(Settings!$C$4,12,1)-WEEKDAY(DATE(Settings!$C$4,12,1),3))+30),Plans!$H$6:$H$155,"&lt;"&amp;(((DATE(Settings!$C$4,12,1)-WEEKDAY(DATE(Settings!$C$4,12,1),3))+30)+1))=0),"",INDEX(Plans!$D$6:$D$155,MATCH(SMALL(Plans!$H$6:$H$155,COUNTIF(Plans!$H$6:$H$155,"&lt;"&amp;((DATE(Settings!$C$4,12,1)-WEEKDAY(DATE(Settings!$C$4,12,1),3))+30))+1),Plans!$H$6:$H$155,0))&amp;IF(COUNTIFS(Plans!$H$6:$H$155,"&gt;="&amp;((DATE(Settings!$C$4,12,1)-WEEKDAY(DATE(Settings!$C$4,12,1),3))+30),Plans!$H$6:$H$155,"&lt;"&amp;(((DATE(Settings!$C$4,12,1)-WEEKDAY(DATE(Settings!$C$4,12,1),3))+30)+1))&gt;1,CHAR(10)&amp;INDEX(Plans!$D$6:$D$155,MATCH(SMALL(Plans!$H$6:$H$155,COUNTIF(Plans!$H$6:$H$155,"&lt;"&amp;((DATE(Settings!$C$4,12,1)-WEEKDAY(DATE(Settings!$C$4,12,1),3))+30))+2),Plans!$H$6:$H$155,0)),"")&amp;IF(COUNTIFS(Plans!$H$6:$H$155,"&gt;="&amp;((DATE(Settings!$C$4,12,1)-WEEKDAY(DATE(Settings!$C$4,12,1),3))+30),Plans!$H$6:$H$155,"&lt;"&amp;(((DATE(Settings!$C$4,12,1)-WEEKDAY(DATE(Settings!$C$4,12,1),3))+30)+1))&gt;2,CHAR(10)&amp;"+"&amp;(COUNTIFS(Plans!$H$6:$H$155,"&gt;="&amp;((DATE(Settings!$C$4,12,1)-WEEKDAY(DATE(Settings!$C$4,12,1),3))+30),Plans!$H$6:$H$155,"&lt;"&amp;(((DATE(Settings!$C$4,12,1)-WEEKDAY(DATE(Settings!$C$4,12,1),3))+30)+1))-2)&amp;" more",""))</f>
        <v/>
      </c>
      <c r="E15" s="42">
        <f>IF(OR(MONTH(((DATE(Settings!$C$4,12,1)-WEEKDAY(DATE(Settings!$C$4,12,1),3))+31))&lt;&gt;12,COUNTIFS(Plans!$H$6:$H$155,"&gt;="&amp;((DATE(Settings!$C$4,12,1)-WEEKDAY(DATE(Settings!$C$4,12,1),3))+31),Plans!$H$6:$H$155,"&lt;"&amp;(((DATE(Settings!$C$4,12,1)-WEEKDAY(DATE(Settings!$C$4,12,1),3))+31)+1))=0),"",INDEX(Plans!$D$6:$D$155,MATCH(SMALL(Plans!$H$6:$H$155,COUNTIF(Plans!$H$6:$H$155,"&lt;"&amp;((DATE(Settings!$C$4,12,1)-WEEKDAY(DATE(Settings!$C$4,12,1),3))+31))+1),Plans!$H$6:$H$155,0))&amp;IF(COUNTIFS(Plans!$H$6:$H$155,"&gt;="&amp;((DATE(Settings!$C$4,12,1)-WEEKDAY(DATE(Settings!$C$4,12,1),3))+31),Plans!$H$6:$H$155,"&lt;"&amp;(((DATE(Settings!$C$4,12,1)-WEEKDAY(DATE(Settings!$C$4,12,1),3))+31)+1))&gt;1,CHAR(10)&amp;INDEX(Plans!$D$6:$D$155,MATCH(SMALL(Plans!$H$6:$H$155,COUNTIF(Plans!$H$6:$H$155,"&lt;"&amp;((DATE(Settings!$C$4,12,1)-WEEKDAY(DATE(Settings!$C$4,12,1),3))+31))+2),Plans!$H$6:$H$155,0)),"")&amp;IF(COUNTIFS(Plans!$H$6:$H$155,"&gt;="&amp;((DATE(Settings!$C$4,12,1)-WEEKDAY(DATE(Settings!$C$4,12,1),3))+31),Plans!$H$6:$H$155,"&lt;"&amp;(((DATE(Settings!$C$4,12,1)-WEEKDAY(DATE(Settings!$C$4,12,1),3))+31)+1))&gt;2,CHAR(10)&amp;"+"&amp;(COUNTIFS(Plans!$H$6:$H$155,"&gt;="&amp;((DATE(Settings!$C$4,12,1)-WEEKDAY(DATE(Settings!$C$4,12,1),3))+31),Plans!$H$6:$H$155,"&lt;"&amp;(((DATE(Settings!$C$4,12,1)-WEEKDAY(DATE(Settings!$C$4,12,1),3))+31)+1))-2)&amp;" more",""))</f>
        <v/>
      </c>
      <c r="F15" s="42">
        <f>IF(OR(MONTH(((DATE(Settings!$C$4,12,1)-WEEKDAY(DATE(Settings!$C$4,12,1),3))+32))&lt;&gt;12,COUNTIFS(Plans!$H$6:$H$155,"&gt;="&amp;((DATE(Settings!$C$4,12,1)-WEEKDAY(DATE(Settings!$C$4,12,1),3))+32),Plans!$H$6:$H$155,"&lt;"&amp;(((DATE(Settings!$C$4,12,1)-WEEKDAY(DATE(Settings!$C$4,12,1),3))+32)+1))=0),"",INDEX(Plans!$D$6:$D$155,MATCH(SMALL(Plans!$H$6:$H$155,COUNTIF(Plans!$H$6:$H$155,"&lt;"&amp;((DATE(Settings!$C$4,12,1)-WEEKDAY(DATE(Settings!$C$4,12,1),3))+32))+1),Plans!$H$6:$H$155,0))&amp;IF(COUNTIFS(Plans!$H$6:$H$155,"&gt;="&amp;((DATE(Settings!$C$4,12,1)-WEEKDAY(DATE(Settings!$C$4,12,1),3))+32),Plans!$H$6:$H$155,"&lt;"&amp;(((DATE(Settings!$C$4,12,1)-WEEKDAY(DATE(Settings!$C$4,12,1),3))+32)+1))&gt;1,CHAR(10)&amp;INDEX(Plans!$D$6:$D$155,MATCH(SMALL(Plans!$H$6:$H$155,COUNTIF(Plans!$H$6:$H$155,"&lt;"&amp;((DATE(Settings!$C$4,12,1)-WEEKDAY(DATE(Settings!$C$4,12,1),3))+32))+2),Plans!$H$6:$H$155,0)),"")&amp;IF(COUNTIFS(Plans!$H$6:$H$155,"&gt;="&amp;((DATE(Settings!$C$4,12,1)-WEEKDAY(DATE(Settings!$C$4,12,1),3))+32),Plans!$H$6:$H$155,"&lt;"&amp;(((DATE(Settings!$C$4,12,1)-WEEKDAY(DATE(Settings!$C$4,12,1),3))+32)+1))&gt;2,CHAR(10)&amp;"+"&amp;(COUNTIFS(Plans!$H$6:$H$155,"&gt;="&amp;((DATE(Settings!$C$4,12,1)-WEEKDAY(DATE(Settings!$C$4,12,1),3))+32),Plans!$H$6:$H$155,"&lt;"&amp;(((DATE(Settings!$C$4,12,1)-WEEKDAY(DATE(Settings!$C$4,12,1),3))+32)+1))-2)&amp;" more",""))</f>
        <v/>
      </c>
      <c r="G15" s="42">
        <f>IF(OR(MONTH(((DATE(Settings!$C$4,12,1)-WEEKDAY(DATE(Settings!$C$4,12,1),3))+33))&lt;&gt;12,COUNTIFS(Plans!$H$6:$H$155,"&gt;="&amp;((DATE(Settings!$C$4,12,1)-WEEKDAY(DATE(Settings!$C$4,12,1),3))+33),Plans!$H$6:$H$155,"&lt;"&amp;(((DATE(Settings!$C$4,12,1)-WEEKDAY(DATE(Settings!$C$4,12,1),3))+33)+1))=0),"",INDEX(Plans!$D$6:$D$155,MATCH(SMALL(Plans!$H$6:$H$155,COUNTIF(Plans!$H$6:$H$155,"&lt;"&amp;((DATE(Settings!$C$4,12,1)-WEEKDAY(DATE(Settings!$C$4,12,1),3))+33))+1),Plans!$H$6:$H$155,0))&amp;IF(COUNTIFS(Plans!$H$6:$H$155,"&gt;="&amp;((DATE(Settings!$C$4,12,1)-WEEKDAY(DATE(Settings!$C$4,12,1),3))+33),Plans!$H$6:$H$155,"&lt;"&amp;(((DATE(Settings!$C$4,12,1)-WEEKDAY(DATE(Settings!$C$4,12,1),3))+33)+1))&gt;1,CHAR(10)&amp;INDEX(Plans!$D$6:$D$155,MATCH(SMALL(Plans!$H$6:$H$155,COUNTIF(Plans!$H$6:$H$155,"&lt;"&amp;((DATE(Settings!$C$4,12,1)-WEEKDAY(DATE(Settings!$C$4,12,1),3))+33))+2),Plans!$H$6:$H$155,0)),"")&amp;IF(COUNTIFS(Plans!$H$6:$H$155,"&gt;="&amp;((DATE(Settings!$C$4,12,1)-WEEKDAY(DATE(Settings!$C$4,12,1),3))+33),Plans!$H$6:$H$155,"&lt;"&amp;(((DATE(Settings!$C$4,12,1)-WEEKDAY(DATE(Settings!$C$4,12,1),3))+33)+1))&gt;2,CHAR(10)&amp;"+"&amp;(COUNTIFS(Plans!$H$6:$H$155,"&gt;="&amp;((DATE(Settings!$C$4,12,1)-WEEKDAY(DATE(Settings!$C$4,12,1),3))+33),Plans!$H$6:$H$155,"&lt;"&amp;(((DATE(Settings!$C$4,12,1)-WEEKDAY(DATE(Settings!$C$4,12,1),3))+33)+1))-2)&amp;" more",""))</f>
        <v/>
      </c>
      <c r="H15" s="42">
        <f>IF(OR(MONTH(((DATE(Settings!$C$4,12,1)-WEEKDAY(DATE(Settings!$C$4,12,1),3))+34))&lt;&gt;12,COUNTIFS(Plans!$H$6:$H$155,"&gt;="&amp;((DATE(Settings!$C$4,12,1)-WEEKDAY(DATE(Settings!$C$4,12,1),3))+34),Plans!$H$6:$H$155,"&lt;"&amp;(((DATE(Settings!$C$4,12,1)-WEEKDAY(DATE(Settings!$C$4,12,1),3))+34)+1))=0),"",INDEX(Plans!$D$6:$D$155,MATCH(SMALL(Plans!$H$6:$H$155,COUNTIF(Plans!$H$6:$H$155,"&lt;"&amp;((DATE(Settings!$C$4,12,1)-WEEKDAY(DATE(Settings!$C$4,12,1),3))+34))+1),Plans!$H$6:$H$155,0))&amp;IF(COUNTIFS(Plans!$H$6:$H$155,"&gt;="&amp;((DATE(Settings!$C$4,12,1)-WEEKDAY(DATE(Settings!$C$4,12,1),3))+34),Plans!$H$6:$H$155,"&lt;"&amp;(((DATE(Settings!$C$4,12,1)-WEEKDAY(DATE(Settings!$C$4,12,1),3))+34)+1))&gt;1,CHAR(10)&amp;INDEX(Plans!$D$6:$D$155,MATCH(SMALL(Plans!$H$6:$H$155,COUNTIF(Plans!$H$6:$H$155,"&lt;"&amp;((DATE(Settings!$C$4,12,1)-WEEKDAY(DATE(Settings!$C$4,12,1),3))+34))+2),Plans!$H$6:$H$155,0)),"")&amp;IF(COUNTIFS(Plans!$H$6:$H$155,"&gt;="&amp;((DATE(Settings!$C$4,12,1)-WEEKDAY(DATE(Settings!$C$4,12,1),3))+34),Plans!$H$6:$H$155,"&lt;"&amp;(((DATE(Settings!$C$4,12,1)-WEEKDAY(DATE(Settings!$C$4,12,1),3))+34)+1))&gt;2,CHAR(10)&amp;"+"&amp;(COUNTIFS(Plans!$H$6:$H$155,"&gt;="&amp;((DATE(Settings!$C$4,12,1)-WEEKDAY(DATE(Settings!$C$4,12,1),3))+34),Plans!$H$6:$H$155,"&lt;"&amp;(((DATE(Settings!$C$4,12,1)-WEEKDAY(DATE(Settings!$C$4,12,1),3))+34)+1))-2)&amp;" more",""))</f>
        <v/>
      </c>
      <c r="I15" s="1" t="n"/>
      <c r="J15" s="1" t="n"/>
    </row>
    <row r="16" ht="18" customHeight="1">
      <c r="A16" s="1" t="n"/>
      <c r="B16" s="41">
        <f>IF(MONTH(((DATE(Settings!$C$4,12,1)-WEEKDAY(DATE(Settings!$C$4,12,1),3))+35))=12,DAY(((DATE(Settings!$C$4,12,1)-WEEKDAY(DATE(Settings!$C$4,12,1),3))+35)),"")</f>
        <v/>
      </c>
      <c r="C16" s="41">
        <f>IF(MONTH(((DATE(Settings!$C$4,12,1)-WEEKDAY(DATE(Settings!$C$4,12,1),3))+36))=12,DAY(((DATE(Settings!$C$4,12,1)-WEEKDAY(DATE(Settings!$C$4,12,1),3))+36)),"")</f>
        <v/>
      </c>
      <c r="D16" s="41">
        <f>IF(MONTH(((DATE(Settings!$C$4,12,1)-WEEKDAY(DATE(Settings!$C$4,12,1),3))+37))=12,DAY(((DATE(Settings!$C$4,12,1)-WEEKDAY(DATE(Settings!$C$4,12,1),3))+37)),"")</f>
        <v/>
      </c>
      <c r="E16" s="41">
        <f>IF(MONTH(((DATE(Settings!$C$4,12,1)-WEEKDAY(DATE(Settings!$C$4,12,1),3))+38))=12,DAY(((DATE(Settings!$C$4,12,1)-WEEKDAY(DATE(Settings!$C$4,12,1),3))+38)),"")</f>
        <v/>
      </c>
      <c r="F16" s="41">
        <f>IF(MONTH(((DATE(Settings!$C$4,12,1)-WEEKDAY(DATE(Settings!$C$4,12,1),3))+39))=12,DAY(((DATE(Settings!$C$4,12,1)-WEEKDAY(DATE(Settings!$C$4,12,1),3))+39)),"")</f>
        <v/>
      </c>
      <c r="G16" s="41">
        <f>IF(MONTH(((DATE(Settings!$C$4,12,1)-WEEKDAY(DATE(Settings!$C$4,12,1),3))+40))=12,DAY(((DATE(Settings!$C$4,12,1)-WEEKDAY(DATE(Settings!$C$4,12,1),3))+40)),"")</f>
        <v/>
      </c>
      <c r="H16" s="41">
        <f>IF(MONTH(((DATE(Settings!$C$4,12,1)-WEEKDAY(DATE(Settings!$C$4,12,1),3))+41))=12,DAY(((DATE(Settings!$C$4,12,1)-WEEKDAY(DATE(Settings!$C$4,12,1),3))+41)),"")</f>
        <v/>
      </c>
      <c r="I16" s="1" t="n"/>
      <c r="J16" s="1" t="n"/>
    </row>
    <row r="17" ht="50" customHeight="1">
      <c r="A17" s="1" t="n"/>
      <c r="B17" s="42">
        <f>IF(OR(MONTH(((DATE(Settings!$C$4,12,1)-WEEKDAY(DATE(Settings!$C$4,12,1),3))+35))&lt;&gt;12,COUNTIFS(Plans!$H$6:$H$155,"&gt;="&amp;((DATE(Settings!$C$4,12,1)-WEEKDAY(DATE(Settings!$C$4,12,1),3))+35),Plans!$H$6:$H$155,"&lt;"&amp;(((DATE(Settings!$C$4,12,1)-WEEKDAY(DATE(Settings!$C$4,12,1),3))+35)+1))=0),"",INDEX(Plans!$D$6:$D$155,MATCH(SMALL(Plans!$H$6:$H$155,COUNTIF(Plans!$H$6:$H$155,"&lt;"&amp;((DATE(Settings!$C$4,12,1)-WEEKDAY(DATE(Settings!$C$4,12,1),3))+35))+1),Plans!$H$6:$H$155,0))&amp;IF(COUNTIFS(Plans!$H$6:$H$155,"&gt;="&amp;((DATE(Settings!$C$4,12,1)-WEEKDAY(DATE(Settings!$C$4,12,1),3))+35),Plans!$H$6:$H$155,"&lt;"&amp;(((DATE(Settings!$C$4,12,1)-WEEKDAY(DATE(Settings!$C$4,12,1),3))+35)+1))&gt;1,CHAR(10)&amp;INDEX(Plans!$D$6:$D$155,MATCH(SMALL(Plans!$H$6:$H$155,COUNTIF(Plans!$H$6:$H$155,"&lt;"&amp;((DATE(Settings!$C$4,12,1)-WEEKDAY(DATE(Settings!$C$4,12,1),3))+35))+2),Plans!$H$6:$H$155,0)),"")&amp;IF(COUNTIFS(Plans!$H$6:$H$155,"&gt;="&amp;((DATE(Settings!$C$4,12,1)-WEEKDAY(DATE(Settings!$C$4,12,1),3))+35),Plans!$H$6:$H$155,"&lt;"&amp;(((DATE(Settings!$C$4,12,1)-WEEKDAY(DATE(Settings!$C$4,12,1),3))+35)+1))&gt;2,CHAR(10)&amp;"+"&amp;(COUNTIFS(Plans!$H$6:$H$155,"&gt;="&amp;((DATE(Settings!$C$4,12,1)-WEEKDAY(DATE(Settings!$C$4,12,1),3))+35),Plans!$H$6:$H$155,"&lt;"&amp;(((DATE(Settings!$C$4,12,1)-WEEKDAY(DATE(Settings!$C$4,12,1),3))+35)+1))-2)&amp;" more",""))</f>
        <v/>
      </c>
      <c r="C17" s="42">
        <f>IF(OR(MONTH(((DATE(Settings!$C$4,12,1)-WEEKDAY(DATE(Settings!$C$4,12,1),3))+36))&lt;&gt;12,COUNTIFS(Plans!$H$6:$H$155,"&gt;="&amp;((DATE(Settings!$C$4,12,1)-WEEKDAY(DATE(Settings!$C$4,12,1),3))+36),Plans!$H$6:$H$155,"&lt;"&amp;(((DATE(Settings!$C$4,12,1)-WEEKDAY(DATE(Settings!$C$4,12,1),3))+36)+1))=0),"",INDEX(Plans!$D$6:$D$155,MATCH(SMALL(Plans!$H$6:$H$155,COUNTIF(Plans!$H$6:$H$155,"&lt;"&amp;((DATE(Settings!$C$4,12,1)-WEEKDAY(DATE(Settings!$C$4,12,1),3))+36))+1),Plans!$H$6:$H$155,0))&amp;IF(COUNTIFS(Plans!$H$6:$H$155,"&gt;="&amp;((DATE(Settings!$C$4,12,1)-WEEKDAY(DATE(Settings!$C$4,12,1),3))+36),Plans!$H$6:$H$155,"&lt;"&amp;(((DATE(Settings!$C$4,12,1)-WEEKDAY(DATE(Settings!$C$4,12,1),3))+36)+1))&gt;1,CHAR(10)&amp;INDEX(Plans!$D$6:$D$155,MATCH(SMALL(Plans!$H$6:$H$155,COUNTIF(Plans!$H$6:$H$155,"&lt;"&amp;((DATE(Settings!$C$4,12,1)-WEEKDAY(DATE(Settings!$C$4,12,1),3))+36))+2),Plans!$H$6:$H$155,0)),"")&amp;IF(COUNTIFS(Plans!$H$6:$H$155,"&gt;="&amp;((DATE(Settings!$C$4,12,1)-WEEKDAY(DATE(Settings!$C$4,12,1),3))+36),Plans!$H$6:$H$155,"&lt;"&amp;(((DATE(Settings!$C$4,12,1)-WEEKDAY(DATE(Settings!$C$4,12,1),3))+36)+1))&gt;2,CHAR(10)&amp;"+"&amp;(COUNTIFS(Plans!$H$6:$H$155,"&gt;="&amp;((DATE(Settings!$C$4,12,1)-WEEKDAY(DATE(Settings!$C$4,12,1),3))+36),Plans!$H$6:$H$155,"&lt;"&amp;(((DATE(Settings!$C$4,12,1)-WEEKDAY(DATE(Settings!$C$4,12,1),3))+36)+1))-2)&amp;" more",""))</f>
        <v/>
      </c>
      <c r="D17" s="42">
        <f>IF(OR(MONTH(((DATE(Settings!$C$4,12,1)-WEEKDAY(DATE(Settings!$C$4,12,1),3))+37))&lt;&gt;12,COUNTIFS(Plans!$H$6:$H$155,"&gt;="&amp;((DATE(Settings!$C$4,12,1)-WEEKDAY(DATE(Settings!$C$4,12,1),3))+37),Plans!$H$6:$H$155,"&lt;"&amp;(((DATE(Settings!$C$4,12,1)-WEEKDAY(DATE(Settings!$C$4,12,1),3))+37)+1))=0),"",INDEX(Plans!$D$6:$D$155,MATCH(SMALL(Plans!$H$6:$H$155,COUNTIF(Plans!$H$6:$H$155,"&lt;"&amp;((DATE(Settings!$C$4,12,1)-WEEKDAY(DATE(Settings!$C$4,12,1),3))+37))+1),Plans!$H$6:$H$155,0))&amp;IF(COUNTIFS(Plans!$H$6:$H$155,"&gt;="&amp;((DATE(Settings!$C$4,12,1)-WEEKDAY(DATE(Settings!$C$4,12,1),3))+37),Plans!$H$6:$H$155,"&lt;"&amp;(((DATE(Settings!$C$4,12,1)-WEEKDAY(DATE(Settings!$C$4,12,1),3))+37)+1))&gt;1,CHAR(10)&amp;INDEX(Plans!$D$6:$D$155,MATCH(SMALL(Plans!$H$6:$H$155,COUNTIF(Plans!$H$6:$H$155,"&lt;"&amp;((DATE(Settings!$C$4,12,1)-WEEKDAY(DATE(Settings!$C$4,12,1),3))+37))+2),Plans!$H$6:$H$155,0)),"")&amp;IF(COUNTIFS(Plans!$H$6:$H$155,"&gt;="&amp;((DATE(Settings!$C$4,12,1)-WEEKDAY(DATE(Settings!$C$4,12,1),3))+37),Plans!$H$6:$H$155,"&lt;"&amp;(((DATE(Settings!$C$4,12,1)-WEEKDAY(DATE(Settings!$C$4,12,1),3))+37)+1))&gt;2,CHAR(10)&amp;"+"&amp;(COUNTIFS(Plans!$H$6:$H$155,"&gt;="&amp;((DATE(Settings!$C$4,12,1)-WEEKDAY(DATE(Settings!$C$4,12,1),3))+37),Plans!$H$6:$H$155,"&lt;"&amp;(((DATE(Settings!$C$4,12,1)-WEEKDAY(DATE(Settings!$C$4,12,1),3))+37)+1))-2)&amp;" more",""))</f>
        <v/>
      </c>
      <c r="E17" s="42">
        <f>IF(OR(MONTH(((DATE(Settings!$C$4,12,1)-WEEKDAY(DATE(Settings!$C$4,12,1),3))+38))&lt;&gt;12,COUNTIFS(Plans!$H$6:$H$155,"&gt;="&amp;((DATE(Settings!$C$4,12,1)-WEEKDAY(DATE(Settings!$C$4,12,1),3))+38),Plans!$H$6:$H$155,"&lt;"&amp;(((DATE(Settings!$C$4,12,1)-WEEKDAY(DATE(Settings!$C$4,12,1),3))+38)+1))=0),"",INDEX(Plans!$D$6:$D$155,MATCH(SMALL(Plans!$H$6:$H$155,COUNTIF(Plans!$H$6:$H$155,"&lt;"&amp;((DATE(Settings!$C$4,12,1)-WEEKDAY(DATE(Settings!$C$4,12,1),3))+38))+1),Plans!$H$6:$H$155,0))&amp;IF(COUNTIFS(Plans!$H$6:$H$155,"&gt;="&amp;((DATE(Settings!$C$4,12,1)-WEEKDAY(DATE(Settings!$C$4,12,1),3))+38),Plans!$H$6:$H$155,"&lt;"&amp;(((DATE(Settings!$C$4,12,1)-WEEKDAY(DATE(Settings!$C$4,12,1),3))+38)+1))&gt;1,CHAR(10)&amp;INDEX(Plans!$D$6:$D$155,MATCH(SMALL(Plans!$H$6:$H$155,COUNTIF(Plans!$H$6:$H$155,"&lt;"&amp;((DATE(Settings!$C$4,12,1)-WEEKDAY(DATE(Settings!$C$4,12,1),3))+38))+2),Plans!$H$6:$H$155,0)),"")&amp;IF(COUNTIFS(Plans!$H$6:$H$155,"&gt;="&amp;((DATE(Settings!$C$4,12,1)-WEEKDAY(DATE(Settings!$C$4,12,1),3))+38),Plans!$H$6:$H$155,"&lt;"&amp;(((DATE(Settings!$C$4,12,1)-WEEKDAY(DATE(Settings!$C$4,12,1),3))+38)+1))&gt;2,CHAR(10)&amp;"+"&amp;(COUNTIFS(Plans!$H$6:$H$155,"&gt;="&amp;((DATE(Settings!$C$4,12,1)-WEEKDAY(DATE(Settings!$C$4,12,1),3))+38),Plans!$H$6:$H$155,"&lt;"&amp;(((DATE(Settings!$C$4,12,1)-WEEKDAY(DATE(Settings!$C$4,12,1),3))+38)+1))-2)&amp;" more",""))</f>
        <v/>
      </c>
      <c r="F17" s="42">
        <f>IF(OR(MONTH(((DATE(Settings!$C$4,12,1)-WEEKDAY(DATE(Settings!$C$4,12,1),3))+39))&lt;&gt;12,COUNTIFS(Plans!$H$6:$H$155,"&gt;="&amp;((DATE(Settings!$C$4,12,1)-WEEKDAY(DATE(Settings!$C$4,12,1),3))+39),Plans!$H$6:$H$155,"&lt;"&amp;(((DATE(Settings!$C$4,12,1)-WEEKDAY(DATE(Settings!$C$4,12,1),3))+39)+1))=0),"",INDEX(Plans!$D$6:$D$155,MATCH(SMALL(Plans!$H$6:$H$155,COUNTIF(Plans!$H$6:$H$155,"&lt;"&amp;((DATE(Settings!$C$4,12,1)-WEEKDAY(DATE(Settings!$C$4,12,1),3))+39))+1),Plans!$H$6:$H$155,0))&amp;IF(COUNTIFS(Plans!$H$6:$H$155,"&gt;="&amp;((DATE(Settings!$C$4,12,1)-WEEKDAY(DATE(Settings!$C$4,12,1),3))+39),Plans!$H$6:$H$155,"&lt;"&amp;(((DATE(Settings!$C$4,12,1)-WEEKDAY(DATE(Settings!$C$4,12,1),3))+39)+1))&gt;1,CHAR(10)&amp;INDEX(Plans!$D$6:$D$155,MATCH(SMALL(Plans!$H$6:$H$155,COUNTIF(Plans!$H$6:$H$155,"&lt;"&amp;((DATE(Settings!$C$4,12,1)-WEEKDAY(DATE(Settings!$C$4,12,1),3))+39))+2),Plans!$H$6:$H$155,0)),"")&amp;IF(COUNTIFS(Plans!$H$6:$H$155,"&gt;="&amp;((DATE(Settings!$C$4,12,1)-WEEKDAY(DATE(Settings!$C$4,12,1),3))+39),Plans!$H$6:$H$155,"&lt;"&amp;(((DATE(Settings!$C$4,12,1)-WEEKDAY(DATE(Settings!$C$4,12,1),3))+39)+1))&gt;2,CHAR(10)&amp;"+"&amp;(COUNTIFS(Plans!$H$6:$H$155,"&gt;="&amp;((DATE(Settings!$C$4,12,1)-WEEKDAY(DATE(Settings!$C$4,12,1),3))+39),Plans!$H$6:$H$155,"&lt;"&amp;(((DATE(Settings!$C$4,12,1)-WEEKDAY(DATE(Settings!$C$4,12,1),3))+39)+1))-2)&amp;" more",""))</f>
        <v/>
      </c>
      <c r="G17" s="42">
        <f>IF(OR(MONTH(((DATE(Settings!$C$4,12,1)-WEEKDAY(DATE(Settings!$C$4,12,1),3))+40))&lt;&gt;12,COUNTIFS(Plans!$H$6:$H$155,"&gt;="&amp;((DATE(Settings!$C$4,12,1)-WEEKDAY(DATE(Settings!$C$4,12,1),3))+40),Plans!$H$6:$H$155,"&lt;"&amp;(((DATE(Settings!$C$4,12,1)-WEEKDAY(DATE(Settings!$C$4,12,1),3))+40)+1))=0),"",INDEX(Plans!$D$6:$D$155,MATCH(SMALL(Plans!$H$6:$H$155,COUNTIF(Plans!$H$6:$H$155,"&lt;"&amp;((DATE(Settings!$C$4,12,1)-WEEKDAY(DATE(Settings!$C$4,12,1),3))+40))+1),Plans!$H$6:$H$155,0))&amp;IF(COUNTIFS(Plans!$H$6:$H$155,"&gt;="&amp;((DATE(Settings!$C$4,12,1)-WEEKDAY(DATE(Settings!$C$4,12,1),3))+40),Plans!$H$6:$H$155,"&lt;"&amp;(((DATE(Settings!$C$4,12,1)-WEEKDAY(DATE(Settings!$C$4,12,1),3))+40)+1))&gt;1,CHAR(10)&amp;INDEX(Plans!$D$6:$D$155,MATCH(SMALL(Plans!$H$6:$H$155,COUNTIF(Plans!$H$6:$H$155,"&lt;"&amp;((DATE(Settings!$C$4,12,1)-WEEKDAY(DATE(Settings!$C$4,12,1),3))+40))+2),Plans!$H$6:$H$155,0)),"")&amp;IF(COUNTIFS(Plans!$H$6:$H$155,"&gt;="&amp;((DATE(Settings!$C$4,12,1)-WEEKDAY(DATE(Settings!$C$4,12,1),3))+40),Plans!$H$6:$H$155,"&lt;"&amp;(((DATE(Settings!$C$4,12,1)-WEEKDAY(DATE(Settings!$C$4,12,1),3))+40)+1))&gt;2,CHAR(10)&amp;"+"&amp;(COUNTIFS(Plans!$H$6:$H$155,"&gt;="&amp;((DATE(Settings!$C$4,12,1)-WEEKDAY(DATE(Settings!$C$4,12,1),3))+40),Plans!$H$6:$H$155,"&lt;"&amp;(((DATE(Settings!$C$4,12,1)-WEEKDAY(DATE(Settings!$C$4,12,1),3))+40)+1))-2)&amp;" more",""))</f>
        <v/>
      </c>
      <c r="H17" s="42">
        <f>IF(OR(MONTH(((DATE(Settings!$C$4,12,1)-WEEKDAY(DATE(Settings!$C$4,12,1),3))+41))&lt;&gt;12,COUNTIFS(Plans!$H$6:$H$155,"&gt;="&amp;((DATE(Settings!$C$4,12,1)-WEEKDAY(DATE(Settings!$C$4,12,1),3))+41),Plans!$H$6:$H$155,"&lt;"&amp;(((DATE(Settings!$C$4,12,1)-WEEKDAY(DATE(Settings!$C$4,12,1),3))+41)+1))=0),"",INDEX(Plans!$D$6:$D$155,MATCH(SMALL(Plans!$H$6:$H$155,COUNTIF(Plans!$H$6:$H$155,"&lt;"&amp;((DATE(Settings!$C$4,12,1)-WEEKDAY(DATE(Settings!$C$4,12,1),3))+41))+1),Plans!$H$6:$H$155,0))&amp;IF(COUNTIFS(Plans!$H$6:$H$155,"&gt;="&amp;((DATE(Settings!$C$4,12,1)-WEEKDAY(DATE(Settings!$C$4,12,1),3))+41),Plans!$H$6:$H$155,"&lt;"&amp;(((DATE(Settings!$C$4,12,1)-WEEKDAY(DATE(Settings!$C$4,12,1),3))+41)+1))&gt;1,CHAR(10)&amp;INDEX(Plans!$D$6:$D$155,MATCH(SMALL(Plans!$H$6:$H$155,COUNTIF(Plans!$H$6:$H$155,"&lt;"&amp;((DATE(Settings!$C$4,12,1)-WEEKDAY(DATE(Settings!$C$4,12,1),3))+41))+2),Plans!$H$6:$H$155,0)),"")&amp;IF(COUNTIFS(Plans!$H$6:$H$155,"&gt;="&amp;((DATE(Settings!$C$4,12,1)-WEEKDAY(DATE(Settings!$C$4,12,1),3))+41),Plans!$H$6:$H$155,"&lt;"&amp;(((DATE(Settings!$C$4,12,1)-WEEKDAY(DATE(Settings!$C$4,12,1),3))+41)+1))&gt;2,CHAR(10)&amp;"+"&amp;(COUNTIFS(Plans!$H$6:$H$155,"&gt;="&amp;((DATE(Settings!$C$4,12,1)-WEEKDAY(DATE(Settings!$C$4,12,1),3))+41),Plans!$H$6:$H$155,"&lt;"&amp;(((DATE(Settings!$C$4,12,1)-WEEKDAY(DATE(Settings!$C$4,12,1),3))+41)+1))-2)&amp;" more",""))</f>
        <v/>
      </c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</sheetData>
  <conditionalFormatting sqref="B6:H6 B8:H8 B10:H10 B12:H12 B14:H14 B16:H16">
    <cfRule type="expression" priority="1" dxfId="6">
      <formula>B6=25</formula>
    </cfRule>
    <cfRule type="expression" priority="3" dxfId="3">
      <formula>AND(ISNUMBER(B6),DATE(Settings!$C$4,12,B6)=TODAY())</formula>
    </cfRule>
  </conditionalFormatting>
  <conditionalFormatting sqref="B7:H7 B9:H9 B11:H11 B13:H13 B15:H15 B17:H17">
    <cfRule type="expression" priority="2" dxfId="6">
      <formula>B6=25</formula>
    </cfRule>
    <cfRule type="expression" priority="4" dxfId="3">
      <formula>AND(ISNUMBER(B6),DATE(Settings!$C$4,12,B6)=TODAY())</formula>
    </cfRule>
  </conditionalFormatting>
  <pageMargins left="0.75" right="0.75" top="1" bottom="1" header="0.5" footer="0.5"/>
  <pageSetup orientation="landscape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4" customWidth="1" min="4" max="4"/>
    <col width="60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32" customHeight="1">
      <c r="A2" s="1" t="n"/>
      <c r="B2" s="2" t="inlineStr">
        <is>
          <t>Settings</t>
        </is>
      </c>
      <c r="C2" s="1" t="n"/>
      <c r="D2" s="1" t="n"/>
      <c r="E2" s="1" t="n"/>
      <c r="F2" s="1" t="n"/>
    </row>
    <row r="3">
      <c r="A3" s="1" t="n"/>
      <c r="B3" s="3" t="inlineStr">
        <is>
          <t>The year and the currency. Everything else is on its own tab.</t>
        </is>
      </c>
      <c r="C3" s="1" t="n"/>
      <c r="D3" s="1" t="n"/>
      <c r="E3" s="1" t="n"/>
      <c r="F3" s="1" t="n"/>
    </row>
    <row r="4">
      <c r="A4" s="1" t="n"/>
      <c r="B4" s="30" t="inlineStr">
        <is>
          <t>Christmas of</t>
        </is>
      </c>
      <c r="C4" s="43" t="n">
        <v>2026</v>
      </c>
      <c r="D4" s="1" t="n"/>
      <c r="E4" s="44" t="inlineStr">
        <is>
          <t>Next year, change the year: the countdown, the calendar and the dinner day follow it.</t>
        </is>
      </c>
      <c r="F4" s="1" t="n"/>
    </row>
    <row r="5">
      <c r="A5" s="1" t="n"/>
      <c r="B5" s="30" t="inlineStr">
        <is>
          <t>Currency</t>
        </is>
      </c>
      <c r="C5" s="45" t="inlineStr">
        <is>
          <t>USD</t>
        </is>
      </c>
      <c r="D5" s="1" t="n"/>
      <c r="E5" s="44" t="inlineStr">
        <is>
          <t>Amounts have no currency sign, so any currency works.</t>
        </is>
      </c>
      <c r="F5" s="1" t="n"/>
    </row>
    <row r="6">
      <c r="A6" s="1" t="n"/>
      <c r="B6" s="1" t="n"/>
      <c r="C6" s="1" t="n"/>
      <c r="D6" s="1" t="n"/>
      <c r="E6" s="1" t="n"/>
      <c r="F6" s="1" t="n"/>
    </row>
    <row r="7">
      <c r="A7" s="1" t="n"/>
      <c r="B7" s="1" t="n"/>
      <c r="C7" s="1" t="n"/>
      <c r="D7" s="1" t="n"/>
      <c r="E7" s="1" t="n"/>
      <c r="F7" s="1" t="n"/>
    </row>
    <row r="8">
      <c r="A8" s="1" t="n"/>
      <c r="B8" s="1" t="n"/>
      <c r="C8" s="1" t="n"/>
      <c r="D8" s="1" t="n"/>
      <c r="E8" s="1" t="n"/>
      <c r="F8" s="1" t="n"/>
    </row>
    <row r="9">
      <c r="A9" s="1" t="n"/>
      <c r="B9" s="1" t="n"/>
      <c r="C9" s="1" t="n"/>
      <c r="D9" s="1" t="n"/>
      <c r="E9" s="1" t="n"/>
      <c r="F9" s="1" t="n"/>
    </row>
    <row r="10">
      <c r="A10" s="1" t="n"/>
      <c r="B10" s="1" t="n"/>
      <c r="C10" s="1" t="n"/>
      <c r="D10" s="1" t="n"/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6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 Everything else is calculated.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46" t="inlineStr">
        <is>
          <t>1</t>
        </is>
      </c>
      <c r="C5" s="47" t="inlineStr">
        <is>
          <t>People: everyone you buy for, with a budget each. Settings has the year and the currency.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46" t="inlineStr">
        <is>
          <t>2</t>
        </is>
      </c>
      <c r="C7" s="47" t="inlineStr">
        <is>
          <t>Gifts: one line per gift with its price. An x when you buy it, the day an order should arrive, then Here and Wrapped.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46" t="inlineStr">
        <is>
          <t>3</t>
        </is>
      </c>
      <c r="C9" s="47" t="inlineStr">
        <is>
          <t>Budget and Costs: a budget for food, decorations, travel and the rest, and one line per cost.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46" t="inlineStr">
        <is>
          <t>4</t>
        </is>
      </c>
      <c r="C11" s="47" t="inlineStr">
        <is>
          <t>Cards: who gets one, and an x when it is posted.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46" t="inlineStr">
        <is>
          <t>5</t>
        </is>
      </c>
      <c r="C13" s="47" t="inlineStr">
        <is>
          <t>Dinner, Plans and December: the menu with a cooking plan, the guests, and your dates on a calendar.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The example family, their gifts and plans are made up. Delete them and add your own.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An order turns Late when its day has passed and it is not marked Here.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Works in Google Sheets and Microsoft Excel, in any currency.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2026-09-28T17:43:19Z</dcterms:created>
  <dcterms:modified xsi:type="dcterms:W3CDTF">2026-09-28T17:43:21Z</dcterms:modified>
</cp:coreProperties>
</file>