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Abonnements" sheetId="2" state="visible" r:id="rId2"/>
    <sheet name="Commencer ic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14">
    <font>
      <name val="Calibri"/>
      <family val="2"/>
      <color theme="1"/>
      <sz val="11"/>
      <scheme val="minor"/>
    </font>
    <font>
      <name val="Arial"/>
      <b val="1"/>
      <color rgb="0015525A"/>
      <sz val="22"/>
    </font>
    <font>
      <name val="Arial"/>
      <i val="1"/>
      <color rgb="006B7B80"/>
      <sz val="11"/>
    </font>
    <font>
      <name val="Arial"/>
      <b val="1"/>
      <color rgb="00FFFFFF"/>
      <sz val="11"/>
    </font>
    <font>
      <name val="Arial"/>
      <color rgb="001E2A2F"/>
      <sz val="11"/>
    </font>
    <font>
      <name val="Arial"/>
      <b val="1"/>
      <color rgb="006B7B80"/>
      <sz val="10"/>
    </font>
    <font>
      <name val="Arial"/>
      <b val="1"/>
      <color rgb="001F6F78"/>
      <sz val="18"/>
    </font>
    <font>
      <name val="Arial"/>
      <b val="1"/>
      <color rgb="00B4541F"/>
      <sz val="18"/>
    </font>
    <font>
      <name val="Arial"/>
      <b val="1"/>
      <color rgb="002F6B3A"/>
      <sz val="18"/>
    </font>
    <font>
      <name val="Arial"/>
      <i val="1"/>
      <color rgb="006B7B80"/>
      <sz val="9"/>
    </font>
    <font>
      <name val="Arial"/>
      <b val="1"/>
      <color rgb="00FFFFFF"/>
      <sz val="24"/>
    </font>
    <font>
      <name val="Arial"/>
      <b val="1"/>
      <color rgb="001E2A2F"/>
      <sz val="11"/>
    </font>
    <font>
      <name val="Arial"/>
      <color rgb="001F6F78"/>
      <sz val="11"/>
    </font>
    <font>
      <name val="Arial"/>
      <color rgb="001E2A2F"/>
      <sz val="13"/>
    </font>
  </fonts>
  <fills count="9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1F6F78"/>
        <bgColor rgb="001F6F78"/>
      </patternFill>
    </fill>
    <fill>
      <patternFill patternType="solid">
        <fgColor rgb="00FFF4C2"/>
        <bgColor rgb="00FFF4C2"/>
      </patternFill>
    </fill>
    <fill>
      <patternFill patternType="solid">
        <fgColor rgb="0015525A"/>
        <bgColor rgb="0015525A"/>
      </patternFill>
    </fill>
    <fill>
      <patternFill patternType="solid">
        <fgColor rgb="00F9C9C4"/>
        <bgColor rgb="00F9C9C4"/>
      </patternFill>
    </fill>
    <fill>
      <patternFill patternType="solid">
        <fgColor rgb="00FFE2B8"/>
        <bgColor rgb="00FFE2B8"/>
      </patternFill>
    </fill>
    <fill>
      <patternFill patternType="solid">
        <fgColor rgb="00E3E8FF"/>
        <bgColor rgb="00E3E8FF"/>
      </patternFill>
    </fill>
  </fills>
  <borders count="2">
    <border>
      <left/>
      <right/>
      <top/>
      <bottom/>
      <diagonal/>
    </border>
    <border>
      <left style="thin">
        <color rgb="00D5DBDB"/>
      </left>
      <right style="thin">
        <color rgb="00D5DBDB"/>
      </right>
      <top style="thin">
        <color rgb="00D5DBDB"/>
      </top>
      <bottom style="thin">
        <color rgb="00D5DBDB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5" fillId="2" borderId="1" pivotButton="0" quotePrefix="0" xfId="0"/>
    <xf numFmtId="0" fontId="3" fillId="5" borderId="0" applyAlignment="1" pivotButton="0" quotePrefix="0" xfId="0">
      <alignment horizontal="center"/>
    </xf>
    <xf numFmtId="4" fontId="6" fillId="2" borderId="1" pivotButton="0" quotePrefix="0" xfId="0"/>
    <xf numFmtId="4" fontId="7" fillId="2" borderId="1" pivotButton="0" quotePrefix="0" xfId="0"/>
    <xf numFmtId="1" fontId="6" fillId="2" borderId="1" pivotButton="0" quotePrefix="0" xfId="0"/>
    <xf numFmtId="4" fontId="8" fillId="2" borderId="1" pivotButton="0" quotePrefix="0" xfId="0"/>
    <xf numFmtId="4" fontId="10" fillId="5" borderId="0" applyAlignment="1" pivotButton="0" quotePrefix="0" xfId="0">
      <alignment horizontal="center" vertical="center"/>
    </xf>
    <xf numFmtId="0" fontId="9" fillId="2" borderId="0" pivotButton="0" quotePrefix="0" xfId="0"/>
    <xf numFmtId="0" fontId="9" fillId="2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center"/>
    </xf>
    <xf numFmtId="0" fontId="11" fillId="2" borderId="1" pivotButton="0" quotePrefix="0" xfId="0"/>
    <xf numFmtId="4" fontId="4" fillId="2" borderId="1" pivotButton="0" quotePrefix="0" xfId="0"/>
    <xf numFmtId="1" fontId="4" fillId="2" borderId="1" applyAlignment="1" pivotButton="0" quotePrefix="0" xfId="0">
      <alignment horizontal="center" vertical="center"/>
    </xf>
    <xf numFmtId="0" fontId="12" fillId="2" borderId="1" pivotButton="0" quotePrefix="0" xfId="0"/>
    <xf numFmtId="0" fontId="4" fillId="6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4" fillId="8" borderId="1" applyAlignment="1" pivotButton="0" quotePrefix="0" xfId="0">
      <alignment vertical="center"/>
    </xf>
    <xf numFmtId="0" fontId="4" fillId="4" borderId="1" pivotButton="0" quotePrefix="0" xfId="0"/>
    <xf numFmtId="4" fontId="4" fillId="4" borderId="1" pivotButton="0" quotePrefix="0" xfId="0"/>
    <xf numFmtId="0" fontId="4" fillId="4" borderId="1" applyAlignment="1" pivotButton="0" quotePrefix="0" xfId="0">
      <alignment horizontal="center" vertical="center"/>
    </xf>
    <xf numFmtId="165" fontId="4" fillId="4" borderId="1" pivotButton="0" quotePrefix="0" xfId="0"/>
    <xf numFmtId="0" fontId="4" fillId="2" borderId="1" pivotButton="0" quotePrefix="0" xfId="0"/>
    <xf numFmtId="0" fontId="6" fillId="2" borderId="0" pivotButton="0" quotePrefix="0" xfId="0"/>
    <xf numFmtId="0" fontId="13" fillId="2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D8F0DC"/>
          <bgColor rgb="00D8F0DC"/>
        </patternFill>
      </fill>
    </dxf>
    <dxf>
      <fill>
        <patternFill patternType="solid">
          <fgColor rgb="00E3E8FF"/>
          <bgColor rgb="00E3E8FF"/>
        </patternFill>
      </fill>
    </dxf>
    <dxf>
      <font>
        <name val="Arial"/>
        <b val="1"/>
        <color rgb="009B1C1C"/>
      </font>
      <fill>
        <patternFill patternType="solid">
          <fgColor rgb="00F9C9C4"/>
          <bgColor rgb="00F9C9C4"/>
        </patternFill>
      </fill>
    </dxf>
    <dxf>
      <fill>
        <patternFill patternType="solid">
          <fgColor rgb="00FFE2B8"/>
          <bgColor rgb="00FFE2B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7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16" customWidth="1" min="4" max="4"/>
    <col width="16" customWidth="1" min="5" max="5"/>
    <col width="34" customWidth="1" min="6" max="6"/>
    <col width="3" customWidth="1" min="7" max="7"/>
    <col width="40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32" customHeight="1">
      <c r="A2" s="1" t="n"/>
      <c r="B2" s="2" t="inlineStr">
        <is>
          <t>Ce que coûtent vos abonnements</t>
        </is>
      </c>
      <c r="C2" s="1" t="n"/>
      <c r="D2" s="1" t="n"/>
      <c r="E2" s="1" t="n"/>
      <c r="F2" s="1" t="n"/>
      <c r="G2" s="1" t="n"/>
      <c r="H2" s="1" t="n"/>
      <c r="I2" s="1" t="n"/>
    </row>
    <row r="3">
      <c r="A3" s="1" t="n"/>
      <c r="B3" s="3" t="inlineStr">
        <is>
          <t>Mis à jour à chaque ouverture.</t>
        </is>
      </c>
      <c r="C3" s="1" t="n"/>
      <c r="D3" s="1" t="n"/>
      <c r="E3" s="1" t="n"/>
      <c r="F3" s="1" t="n"/>
      <c r="G3" s="1" t="n"/>
      <c r="H3" s="1" t="n"/>
      <c r="I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>
      <c r="A6" s="1" t="n"/>
      <c r="B6" s="4" t="inlineStr">
        <is>
          <t>Par mois</t>
        </is>
      </c>
      <c r="C6" s="4" t="inlineStr">
        <is>
          <t>Par an</t>
        </is>
      </c>
      <c r="D6" s="4" t="inlineStr">
        <is>
          <t>Abonnements</t>
        </is>
      </c>
      <c r="E6" s="4" t="inlineStr">
        <is>
          <t>À annuler</t>
        </is>
      </c>
      <c r="F6" s="5" t="inlineStr">
        <is>
          <t>Inutilisés depuis 30+ jours</t>
        </is>
      </c>
      <c r="G6" s="1" t="n"/>
      <c r="H6" s="1" t="n"/>
      <c r="I6" s="1" t="n"/>
    </row>
    <row r="7" ht="40" customHeight="1">
      <c r="A7" s="1" t="n"/>
      <c r="B7" s="6">
        <f>SUM(Abonnements!$J$6:$J$55)</f>
        <v/>
      </c>
      <c r="C7" s="7">
        <f>SUM(Abonnements!$K$6:$K$55)</f>
        <v/>
      </c>
      <c r="D7" s="8">
        <f>COUNTIFS(Abonnements!$B$6:$B$55,"&lt;&gt;")</f>
        <v/>
      </c>
      <c r="E7" s="9">
        <f>SUMIFS(Abonnements!$K$6:$K$55,Abonnements!$I$6:$I$55,"Annuler")</f>
        <v/>
      </c>
      <c r="F7" s="10">
        <f>SUMIFS(Abonnements!$K$6:$K$55,Abonnements!$B$6:$B$55,"&lt;&gt;",Abonnements!$H$6:$H$55,"&lt;"&amp;(TODAY()-30))</f>
        <v/>
      </c>
      <c r="G7" s="1" t="n"/>
      <c r="H7" s="1" t="n"/>
      <c r="I7" s="1" t="n"/>
    </row>
    <row r="8">
      <c r="A8" s="1" t="n"/>
      <c r="B8" s="1" t="n"/>
      <c r="C8" s="1" t="n"/>
      <c r="D8" s="1" t="n"/>
      <c r="E8" s="11" t="inlineStr">
        <is>
          <t>économisés par an</t>
        </is>
      </c>
      <c r="F8" s="12" t="inlineStr">
        <is>
          <t>par an pour des choses que vous n'utilisez pas</t>
        </is>
      </c>
      <c r="G8" s="1" t="n"/>
      <c r="H8" s="1" t="n"/>
      <c r="I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</row>
    <row r="10" ht="30" customHeight="1">
      <c r="A10" s="1" t="n"/>
      <c r="B10" s="13" t="inlineStr">
        <is>
          <t>Catégorie</t>
        </is>
      </c>
      <c r="C10" s="13" t="inlineStr">
        <is>
          <t>Par mois</t>
        </is>
      </c>
      <c r="D10" s="13" t="inlineStr">
        <is>
          <t>Par an</t>
        </is>
      </c>
      <c r="E10" s="13" t="inlineStr">
        <is>
          <t>Nombre</t>
        </is>
      </c>
      <c r="F10" s="13" t="inlineStr">
        <is>
          <t>Part du total</t>
        </is>
      </c>
      <c r="G10" s="1" t="n"/>
      <c r="H10" s="14" t="inlineStr">
        <is>
          <t>À surveiller</t>
        </is>
      </c>
      <c r="I10" s="1" t="n"/>
    </row>
    <row r="11" ht="22" customHeight="1">
      <c r="A11" s="1" t="n"/>
      <c r="B11" s="15" t="inlineStr">
        <is>
          <t>Streaming</t>
        </is>
      </c>
      <c r="C11" s="16">
        <f>SUMIFS(Abonnements!$J$6:$J$55,Abonnements!$C$6:$C$55,B11)</f>
        <v/>
      </c>
      <c r="D11" s="16">
        <f>C11*12</f>
        <v/>
      </c>
      <c r="E11" s="17">
        <f>COUNTIFS(Abonnements!$C$6:$C$55,B11)</f>
        <v/>
      </c>
      <c r="F11" s="18">
        <f>REPT("█",MIN(20,MAX(0,ROUND((IF($B$7=0,0,C11/$B$7))*20,0))))&amp;REPT("░",20-MIN(20,MAX(0,ROUND((IF($B$7=0,0,C11/$B$7))*20,0))))&amp;"  "&amp;TEXT(IF($B$7=0,0,C11/$B$7),"0%")</f>
        <v/>
      </c>
      <c r="G11" s="1" t="n"/>
      <c r="H11" s="19">
        <f>IF(COUNTIFS(Abonnements!$L$6:$L$55,"Fin de*")=0,"Aucun essai gratuit ne va devenir payant",IF(COUNTIFS(Abonnements!$L$6:$L$55,"Fin de*")=1,"1 essai gratuit va bientôt devenir payant",COUNTIFS(Abonnements!$L$6:$L$55,"Fin de*")&amp;" essais gratuits vont bientôt devenir payants"))</f>
        <v/>
      </c>
      <c r="I11" s="1" t="n"/>
    </row>
    <row r="12" ht="22" customHeight="1">
      <c r="A12" s="1" t="n"/>
      <c r="B12" s="15" t="inlineStr">
        <is>
          <t>Musique</t>
        </is>
      </c>
      <c r="C12" s="16">
        <f>SUMIFS(Abonnements!$J$6:$J$55,Abonnements!$C$6:$C$55,B12)</f>
        <v/>
      </c>
      <c r="D12" s="16">
        <f>C12*12</f>
        <v/>
      </c>
      <c r="E12" s="17">
        <f>COUNTIFS(Abonnements!$C$6:$C$55,B12)</f>
        <v/>
      </c>
      <c r="F12" s="18">
        <f>REPT("█",MIN(20,MAX(0,ROUND((IF($B$7=0,0,C12/$B$7))*20,0))))&amp;REPT("░",20-MIN(20,MAX(0,ROUND((IF($B$7=0,0,C12/$B$7))*20,0))))&amp;"  "&amp;TEXT(IF($B$7=0,0,C12/$B$7),"0%")</f>
        <v/>
      </c>
      <c r="G12" s="1" t="n"/>
      <c r="H12" s="1" t="n"/>
      <c r="I12" s="1" t="n"/>
    </row>
    <row r="13" ht="22" customHeight="1">
      <c r="A13" s="1" t="n"/>
      <c r="B13" s="15" t="inlineStr">
        <is>
          <t>Applis</t>
        </is>
      </c>
      <c r="C13" s="16">
        <f>SUMIFS(Abonnements!$J$6:$J$55,Abonnements!$C$6:$C$55,B13)</f>
        <v/>
      </c>
      <c r="D13" s="16">
        <f>C13*12</f>
        <v/>
      </c>
      <c r="E13" s="17">
        <f>COUNTIFS(Abonnements!$C$6:$C$55,B13)</f>
        <v/>
      </c>
      <c r="F13" s="18">
        <f>REPT("█",MIN(20,MAX(0,ROUND((IF($B$7=0,0,C13/$B$7))*20,0))))&amp;REPT("░",20-MIN(20,MAX(0,ROUND((IF($B$7=0,0,C13/$B$7))*20,0))))&amp;"  "&amp;TEXT(IF($B$7=0,0,C13/$B$7),"0%")</f>
        <v/>
      </c>
      <c r="G13" s="1" t="n"/>
      <c r="H13" s="20">
        <f>IF((COUNTIFS(Abonnements!$L$6:$L$55,"Renouvellement dans 0 jour*")+COUNTIFS(Abonnements!$L$6:$L$55,"Renouvellement dans 1 jour*")+COUNTIFS(Abonnements!$L$6:$L$55,"Renouvellement dans 2 jour*")+COUNTIFS(Abonnements!$L$6:$L$55,"Renouvellement dans 3 jour*"))=0,"Aucun renouvellement dans les 3 jours",IF((COUNTIFS(Abonnements!$L$6:$L$55,"Renouvellement dans 0 jour*")+COUNTIFS(Abonnements!$L$6:$L$55,"Renouvellement dans 1 jour*")+COUNTIFS(Abonnements!$L$6:$L$55,"Renouvellement dans 2 jour*")+COUNTIFS(Abonnements!$L$6:$L$55,"Renouvellement dans 3 jour*"))=1,"1 renouvellement",(COUNTIFS(Abonnements!$L$6:$L$55,"Renouvellement dans 0 jour*")+COUNTIFS(Abonnements!$L$6:$L$55,"Renouvellement dans 1 jour*")+COUNTIFS(Abonnements!$L$6:$L$55,"Renouvellement dans 2 jour*")+COUNTIFS(Abonnements!$L$6:$L$55,"Renouvellement dans 3 jour*"))&amp;" renouvellements")&amp;" dans les 3 jours")</f>
        <v/>
      </c>
      <c r="I13" s="1" t="n"/>
    </row>
    <row r="14" ht="22" customHeight="1">
      <c r="A14" s="1" t="n"/>
      <c r="B14" s="15" t="inlineStr">
        <is>
          <t>Jeux</t>
        </is>
      </c>
      <c r="C14" s="16">
        <f>SUMIFS(Abonnements!$J$6:$J$55,Abonnements!$C$6:$C$55,B14)</f>
        <v/>
      </c>
      <c r="D14" s="16">
        <f>C14*12</f>
        <v/>
      </c>
      <c r="E14" s="17">
        <f>COUNTIFS(Abonnements!$C$6:$C$55,B14)</f>
        <v/>
      </c>
      <c r="F14" s="18">
        <f>REPT("█",MIN(20,MAX(0,ROUND((IF($B$7=0,0,C14/$B$7))*20,0))))&amp;REPT("░",20-MIN(20,MAX(0,ROUND((IF($B$7=0,0,C14/$B$7))*20,0))))&amp;"  "&amp;TEXT(IF($B$7=0,0,C14/$B$7),"0%")</f>
        <v/>
      </c>
      <c r="G14" s="1" t="n"/>
      <c r="H14" s="1" t="n"/>
      <c r="I14" s="1" t="n"/>
    </row>
    <row r="15" ht="22" customHeight="1">
      <c r="A15" s="1" t="n"/>
      <c r="B15" s="15" t="inlineStr">
        <is>
          <t>Sport</t>
        </is>
      </c>
      <c r="C15" s="16">
        <f>SUMIFS(Abonnements!$J$6:$J$55,Abonnements!$C$6:$C$55,B15)</f>
        <v/>
      </c>
      <c r="D15" s="16">
        <f>C15*12</f>
        <v/>
      </c>
      <c r="E15" s="17">
        <f>COUNTIFS(Abonnements!$C$6:$C$55,B15)</f>
        <v/>
      </c>
      <c r="F15" s="18">
        <f>REPT("█",MIN(20,MAX(0,ROUND((IF($B$7=0,0,C15/$B$7))*20,0))))&amp;REPT("░",20-MIN(20,MAX(0,ROUND((IF($B$7=0,0,C15/$B$7))*20,0))))&amp;"  "&amp;TEXT(IF($B$7=0,0,C15/$B$7),"0%")</f>
        <v/>
      </c>
      <c r="G15" s="1" t="n"/>
      <c r="H15" s="20">
        <f>IF(COUNTIFS(Abonnements!$L$6:$L$55,"Pas utilisé*")=0,"Tout a servi le mois dernier",IF(COUNTIFS(Abonnements!$L$6:$L$55,"Pas utilisé*")=1,"1 abonnement n'a pas servi",COUNTIFS(Abonnements!$L$6:$L$55,"Pas utilisé*")&amp;" abonnements n'ont pas servi")&amp;" depuis plus d'un mois")</f>
        <v/>
      </c>
      <c r="I15" s="1" t="n"/>
    </row>
    <row r="16" ht="22" customHeight="1">
      <c r="A16" s="1" t="n"/>
      <c r="B16" s="15" t="inlineStr">
        <is>
          <t>Presse</t>
        </is>
      </c>
      <c r="C16" s="16">
        <f>SUMIFS(Abonnements!$J$6:$J$55,Abonnements!$C$6:$C$55,B16)</f>
        <v/>
      </c>
      <c r="D16" s="16">
        <f>C16*12</f>
        <v/>
      </c>
      <c r="E16" s="17">
        <f>COUNTIFS(Abonnements!$C$6:$C$55,B16)</f>
        <v/>
      </c>
      <c r="F16" s="18">
        <f>REPT("█",MIN(20,MAX(0,ROUND((IF($B$7=0,0,C16/$B$7))*20,0))))&amp;REPT("░",20-MIN(20,MAX(0,ROUND((IF($B$7=0,0,C16/$B$7))*20,0))))&amp;"  "&amp;TEXT(IF($B$7=0,0,C16/$B$7),"0%")</f>
        <v/>
      </c>
      <c r="G16" s="1" t="n"/>
      <c r="H16" s="1" t="n"/>
      <c r="I16" s="1" t="n"/>
    </row>
    <row r="17" ht="22" customHeight="1">
      <c r="A17" s="1" t="n"/>
      <c r="B17" s="15" t="inlineStr">
        <is>
          <t>Cloud</t>
        </is>
      </c>
      <c r="C17" s="16">
        <f>SUMIFS(Abonnements!$J$6:$J$55,Abonnements!$C$6:$C$55,B17)</f>
        <v/>
      </c>
      <c r="D17" s="16">
        <f>C17*12</f>
        <v/>
      </c>
      <c r="E17" s="17">
        <f>COUNTIFS(Abonnements!$C$6:$C$55,B17)</f>
        <v/>
      </c>
      <c r="F17" s="18">
        <f>REPT("█",MIN(20,MAX(0,ROUND((IF($B$7=0,0,C17/$B$7))*20,0))))&amp;REPT("░",20-MIN(20,MAX(0,ROUND((IF($B$7=0,0,C17/$B$7))*20,0))))&amp;"  "&amp;TEXT(IF($B$7=0,0,C17/$B$7),"0%")</f>
        <v/>
      </c>
      <c r="G17" s="1" t="n"/>
      <c r="H17" s="21">
        <f>IF(COUNTIFS(Abonnements!$I$6:$I$55,"Décider")=0,"Plus rien à décider",IF(COUNTIFS(Abonnements!$I$6:$I$55,"Décider")=1,"1 abonnement",COUNTIFS(Abonnements!$I$6:$I$55,"Décider")&amp;" abonnements")&amp;" encore à décider : garder ou annuler")</f>
        <v/>
      </c>
      <c r="I17" s="1" t="n"/>
    </row>
    <row r="18" ht="22" customHeight="1">
      <c r="A18" s="1" t="n"/>
      <c r="B18" s="15" t="inlineStr">
        <is>
          <t>Shopping</t>
        </is>
      </c>
      <c r="C18" s="16">
        <f>SUMIFS(Abonnements!$J$6:$J$55,Abonnements!$C$6:$C$55,B18)</f>
        <v/>
      </c>
      <c r="D18" s="16">
        <f>C18*12</f>
        <v/>
      </c>
      <c r="E18" s="17">
        <f>COUNTIFS(Abonnements!$C$6:$C$55,B18)</f>
        <v/>
      </c>
      <c r="F18" s="18">
        <f>REPT("█",MIN(20,MAX(0,ROUND((IF($B$7=0,0,C18/$B$7))*20,0))))&amp;REPT("░",20-MIN(20,MAX(0,ROUND((IF($B$7=0,0,C18/$B$7))*20,0))))&amp;"  "&amp;TEXT(IF($B$7=0,0,C18/$B$7),"0%")</f>
        <v/>
      </c>
      <c r="G18" s="1" t="n"/>
      <c r="H18" s="1" t="n"/>
      <c r="I18" s="1" t="n"/>
    </row>
    <row r="19" ht="22" customHeight="1">
      <c r="A19" s="1" t="n"/>
      <c r="B19" s="15" t="inlineStr">
        <is>
          <t>Autre</t>
        </is>
      </c>
      <c r="C19" s="16">
        <f>SUMIFS(Abonnements!$J$6:$J$55,Abonnements!$C$6:$C$55,B19)</f>
        <v/>
      </c>
      <c r="D19" s="16">
        <f>C19*12</f>
        <v/>
      </c>
      <c r="E19" s="17">
        <f>COUNTIFS(Abonnements!$C$6:$C$55,B19)</f>
        <v/>
      </c>
      <c r="F19" s="18">
        <f>REPT("█",MIN(20,MAX(0,ROUND((IF($B$7=0,0,C19/$B$7))*20,0))))&amp;REPT("░",20-MIN(20,MAX(0,ROUND((IF($B$7=0,0,C19/$B$7))*20,0))))&amp;"  "&amp;TEXT(IF($B$7=0,0,C19/$B$7),"0%")</f>
        <v/>
      </c>
      <c r="G19" s="1" t="n"/>
      <c r="H19" s="1" t="n"/>
      <c r="I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</row>
  </sheetData>
  <conditionalFormatting sqref="H11">
    <cfRule type="expression" priority="1" dxfId="0">
      <formula>LEFT(H11,5)="Aucun"</formula>
    </cfRule>
  </conditionalFormatting>
  <conditionalFormatting sqref="H13">
    <cfRule type="expression" priority="2" dxfId="0">
      <formula>LEFT(H13,5)="Aucun"</formula>
    </cfRule>
  </conditionalFormatting>
  <conditionalFormatting sqref="H15">
    <cfRule type="expression" priority="3" dxfId="0">
      <formula>LEFT(H15,4)="Tout"</formula>
    </cfRule>
  </conditionalFormatting>
  <conditionalFormatting sqref="H17">
    <cfRule type="expression" priority="4" dxfId="0">
      <formula>LEFT(H17,4)="Plus"</formula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7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13" customWidth="1" min="3" max="3"/>
    <col width="11" customWidth="1" min="4" max="4"/>
    <col width="12" customWidth="1" min="5" max="5"/>
    <col width="14" customWidth="1" min="6" max="6"/>
    <col width="9" customWidth="1" min="7" max="7"/>
    <col width="14" customWidth="1" min="8" max="8"/>
    <col width="10" customWidth="1" min="9" max="9"/>
    <col width="12" customWidth="1" min="10" max="10"/>
    <col width="12" customWidth="1" min="11" max="11"/>
    <col width="34" customWidth="1" min="12" max="12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32" customHeight="1">
      <c r="A2" s="1" t="n"/>
      <c r="B2" s="2" t="inlineStr">
        <is>
          <t>Vos abonnements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>
      <c r="A3" s="1" t="n"/>
      <c r="B3" s="3" t="inlineStr">
        <is>
          <t>Tapez dans les cases jaunes. Dates et totaux se calculent tout seuls.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</row>
    <row r="5" ht="30" customHeight="1">
      <c r="A5" s="1" t="n"/>
      <c r="B5" s="13" t="inlineStr">
        <is>
          <t>Nom</t>
        </is>
      </c>
      <c r="C5" s="13" t="inlineStr">
        <is>
          <t>Catégorie</t>
        </is>
      </c>
      <c r="D5" s="13" t="inlineStr">
        <is>
          <t>Prix</t>
        </is>
      </c>
      <c r="E5" s="13" t="inlineStr">
        <is>
          <t>Facturation</t>
        </is>
      </c>
      <c r="F5" s="13" t="inlineStr">
        <is>
          <t>Début ou dernier prélèvement</t>
        </is>
      </c>
      <c r="G5" s="13" t="inlineStr">
        <is>
          <t>Essai gratuit ?</t>
        </is>
      </c>
      <c r="H5" s="13" t="inlineStr">
        <is>
          <t>Dernière utilisation</t>
        </is>
      </c>
      <c r="I5" s="13" t="inlineStr">
        <is>
          <t>Garder ?</t>
        </is>
      </c>
      <c r="J5" s="13" t="inlineStr">
        <is>
          <t>Par mois</t>
        </is>
      </c>
      <c r="K5" s="13" t="inlineStr">
        <is>
          <t>Par an</t>
        </is>
      </c>
      <c r="L5" s="13" t="inlineStr">
        <is>
          <t>Et ensuite</t>
        </is>
      </c>
      <c r="M5" s="1" t="n"/>
    </row>
    <row r="6">
      <c r="A6" s="1" t="n"/>
      <c r="B6" s="22" t="inlineStr">
        <is>
          <t>Streaming vidéo</t>
        </is>
      </c>
      <c r="C6" s="22" t="inlineStr">
        <is>
          <t>Streaming</t>
        </is>
      </c>
      <c r="D6" s="23" t="n">
        <v>15.49</v>
      </c>
      <c r="E6" s="24" t="inlineStr">
        <is>
          <t>Mensuel</t>
        </is>
      </c>
      <c r="F6" s="25" t="n">
        <v>46265</v>
      </c>
      <c r="G6" s="24" t="inlineStr">
        <is>
          <t>Non</t>
        </is>
      </c>
      <c r="H6" s="25" t="n">
        <v>46292</v>
      </c>
      <c r="I6" s="24" t="inlineStr">
        <is>
          <t>Garder</t>
        </is>
      </c>
      <c r="J6" s="16">
        <f>IF(B6="","",D6*IF(E6="Hebdo",52/12,IF(E6="Mensuel",1,IF(E6="Trimestriel",1/3,IF(E6="Annuel",1/12,0)))))</f>
        <v/>
      </c>
      <c r="K6" s="16">
        <f>IF(B6="","",J6*12)</f>
        <v/>
      </c>
      <c r="L6" s="26">
        <f>IF(OR(B6="",F6=""),"",IF(I6="Annuler","À annuler sous "&amp;(IF(F6&gt;=TODAY(),F6,IF(E6="Hebdo",F6+7*ROUNDUP((TODAY()-F6)/7,0),EDATE(F6,IF(E6="Mensuel",1,IF(E6="Trimestriel",3,12))*ROUNDUP((DATEDIF(F6,TODAY(),"m")+1)/IF(E6="Mensuel",1,IF(E6="Trimestriel",3,12)),0))))-TODAY())&amp;IF((IF(F6&gt;=TODAY(),F6,IF(E6="Hebdo",F6+7*ROUNDUP((TODAY()-F6)/7,0),EDATE(F6,IF(E6="Mensuel",1,IF(E6="Trimestriel",3,12))*ROUNDUP((DATEDIF(F6,TODAY(),"m")+1)/IF(E6="Mensuel",1,IF(E6="Trimestriel",3,12)),0))))-TODAY())&lt;=1," jour"," jours"),IF(G6="Oui","Fin de l'essai dans "&amp;(IF(F6&gt;=TODAY(),F6,IF(E6="Hebdo",F6+7*ROUNDUP((TODAY()-F6)/7,0),EDATE(F6,IF(E6="Mensuel",1,IF(E6="Trimestriel",3,12))*ROUNDUP((DATEDIF(F6,TODAY(),"m")+1)/IF(E6="Mensuel",1,IF(E6="Trimestriel",3,12)),0))))-TODAY())&amp;IF((IF(F6&gt;=TODAY(),F6,IF(E6="Hebdo",F6+7*ROUNDUP((TODAY()-F6)/7,0),EDATE(F6,IF(E6="Mensuel",1,IF(E6="Trimestriel",3,12))*ROUNDUP((DATEDIF(F6,TODAY(),"m")+1)/IF(E6="Mensuel",1,IF(E6="Trimestriel",3,12)),0))))-TODAY())&lt;=1," jour"," jours"),IF(AND(H6&lt;&gt;"",TODAY()-H6&gt;30),"Pas utilisé depuis "&amp;(TODAY()-H6)&amp;" jours","Renouvellement dans "&amp;(IF(F6&gt;=TODAY(),F6,IF(E6="Hebdo",F6+7*ROUNDUP((TODAY()-F6)/7,0),EDATE(F6,IF(E6="Mensuel",1,IF(E6="Trimestriel",3,12))*ROUNDUP((DATEDIF(F6,TODAY(),"m")+1)/IF(E6="Mensuel",1,IF(E6="Trimestriel",3,12)),0))))-TODAY())&amp;IF((IF(F6&gt;=TODAY(),F6,IF(E6="Hebdo",F6+7*ROUNDUP((TODAY()-F6)/7,0),EDATE(F6,IF(E6="Mensuel",1,IF(E6="Trimestriel",3,12))*ROUNDUP((DATEDIF(F6,TODAY(),"m")+1)/IF(E6="Mensuel",1,IF(E6="Trimestriel",3,12)),0))))-TODAY())&lt;=1," jour"," jours")))))</f>
        <v/>
      </c>
      <c r="M6" s="1" t="n"/>
    </row>
    <row r="7">
      <c r="A7" s="1" t="n"/>
      <c r="B7" s="22" t="inlineStr">
        <is>
          <t>2e service vidéo</t>
        </is>
      </c>
      <c r="C7" s="22" t="inlineStr">
        <is>
          <t>Streaming</t>
        </is>
      </c>
      <c r="D7" s="23" t="n">
        <v>9.99</v>
      </c>
      <c r="E7" s="24" t="inlineStr">
        <is>
          <t>Mensuel</t>
        </is>
      </c>
      <c r="F7" s="25" t="n">
        <v>46281</v>
      </c>
      <c r="G7" s="24" t="inlineStr">
        <is>
          <t>Non</t>
        </is>
      </c>
      <c r="H7" s="25" t="n">
        <v>46252</v>
      </c>
      <c r="I7" s="24" t="inlineStr">
        <is>
          <t>Décider</t>
        </is>
      </c>
      <c r="J7" s="16">
        <f>IF(B7="","",D7*IF(E7="Hebdo",52/12,IF(E7="Mensuel",1,IF(E7="Trimestriel",1/3,IF(E7="Annuel",1/12,0)))))</f>
        <v/>
      </c>
      <c r="K7" s="16">
        <f>IF(B7="","",J7*12)</f>
        <v/>
      </c>
      <c r="L7" s="26">
        <f>IF(OR(B7="",F7=""),"",IF(I7="Annuler","À annuler sous "&amp;(IF(F7&gt;=TODAY(),F7,IF(E7="Hebdo",F7+7*ROUNDUP((TODAY()-F7)/7,0),EDATE(F7,IF(E7="Mensuel",1,IF(E7="Trimestriel",3,12))*ROUNDUP((DATEDIF(F7,TODAY(),"m")+1)/IF(E7="Mensuel",1,IF(E7="Trimestriel",3,12)),0))))-TODAY())&amp;IF((IF(F7&gt;=TODAY(),F7,IF(E7="Hebdo",F7+7*ROUNDUP((TODAY()-F7)/7,0),EDATE(F7,IF(E7="Mensuel",1,IF(E7="Trimestriel",3,12))*ROUNDUP((DATEDIF(F7,TODAY(),"m")+1)/IF(E7="Mensuel",1,IF(E7="Trimestriel",3,12)),0))))-TODAY())&lt;=1," jour"," jours"),IF(G7="Oui","Fin de l'essai dans "&amp;(IF(F7&gt;=TODAY(),F7,IF(E7="Hebdo",F7+7*ROUNDUP((TODAY()-F7)/7,0),EDATE(F7,IF(E7="Mensuel",1,IF(E7="Trimestriel",3,12))*ROUNDUP((DATEDIF(F7,TODAY(),"m")+1)/IF(E7="Mensuel",1,IF(E7="Trimestriel",3,12)),0))))-TODAY())&amp;IF((IF(F7&gt;=TODAY(),F7,IF(E7="Hebdo",F7+7*ROUNDUP((TODAY()-F7)/7,0),EDATE(F7,IF(E7="Mensuel",1,IF(E7="Trimestriel",3,12))*ROUNDUP((DATEDIF(F7,TODAY(),"m")+1)/IF(E7="Mensuel",1,IF(E7="Trimestriel",3,12)),0))))-TODAY())&lt;=1," jour"," jours"),IF(AND(H7&lt;&gt;"",TODAY()-H7&gt;30),"Pas utilisé depuis "&amp;(TODAY()-H7)&amp;" jours","Renouvellement dans "&amp;(IF(F7&gt;=TODAY(),F7,IF(E7="Hebdo",F7+7*ROUNDUP((TODAY()-F7)/7,0),EDATE(F7,IF(E7="Mensuel",1,IF(E7="Trimestriel",3,12))*ROUNDUP((DATEDIF(F7,TODAY(),"m")+1)/IF(E7="Mensuel",1,IF(E7="Trimestriel",3,12)),0))))-TODAY())&amp;IF((IF(F7&gt;=TODAY(),F7,IF(E7="Hebdo",F7+7*ROUNDUP((TODAY()-F7)/7,0),EDATE(F7,IF(E7="Mensuel",1,IF(E7="Trimestriel",3,12))*ROUNDUP((DATEDIF(F7,TODAY(),"m")+1)/IF(E7="Mensuel",1,IF(E7="Trimestriel",3,12)),0))))-TODAY())&lt;=1," jour"," jours")))))</f>
        <v/>
      </c>
      <c r="M7" s="1" t="n"/>
    </row>
    <row r="8">
      <c r="A8" s="1" t="n"/>
      <c r="B8" s="22" t="inlineStr">
        <is>
          <t>Appli musique</t>
        </is>
      </c>
      <c r="C8" s="22" t="inlineStr">
        <is>
          <t>Musique</t>
        </is>
      </c>
      <c r="D8" s="23" t="n">
        <v>10.99</v>
      </c>
      <c r="E8" s="24" t="inlineStr">
        <is>
          <t>Mensuel</t>
        </is>
      </c>
      <c r="F8" s="25" t="n">
        <v>46290</v>
      </c>
      <c r="G8" s="24" t="inlineStr">
        <is>
          <t>Non</t>
        </is>
      </c>
      <c r="H8" s="25" t="n">
        <v>46293</v>
      </c>
      <c r="I8" s="24" t="inlineStr">
        <is>
          <t>Garder</t>
        </is>
      </c>
      <c r="J8" s="16">
        <f>IF(B8="","",D8*IF(E8="Hebdo",52/12,IF(E8="Mensuel",1,IF(E8="Trimestriel",1/3,IF(E8="Annuel",1/12,0)))))</f>
        <v/>
      </c>
      <c r="K8" s="16">
        <f>IF(B8="","",J8*12)</f>
        <v/>
      </c>
      <c r="L8" s="26">
        <f>IF(OR(B8="",F8=""),"",IF(I8="Annuler","À annuler sous "&amp;(IF(F8&gt;=TODAY(),F8,IF(E8="Hebdo",F8+7*ROUNDUP((TODAY()-F8)/7,0),EDATE(F8,IF(E8="Mensuel",1,IF(E8="Trimestriel",3,12))*ROUNDUP((DATEDIF(F8,TODAY(),"m")+1)/IF(E8="Mensuel",1,IF(E8="Trimestriel",3,12)),0))))-TODAY())&amp;IF((IF(F8&gt;=TODAY(),F8,IF(E8="Hebdo",F8+7*ROUNDUP((TODAY()-F8)/7,0),EDATE(F8,IF(E8="Mensuel",1,IF(E8="Trimestriel",3,12))*ROUNDUP((DATEDIF(F8,TODAY(),"m")+1)/IF(E8="Mensuel",1,IF(E8="Trimestriel",3,12)),0))))-TODAY())&lt;=1," jour"," jours"),IF(G8="Oui","Fin de l'essai dans "&amp;(IF(F8&gt;=TODAY(),F8,IF(E8="Hebdo",F8+7*ROUNDUP((TODAY()-F8)/7,0),EDATE(F8,IF(E8="Mensuel",1,IF(E8="Trimestriel",3,12))*ROUNDUP((DATEDIF(F8,TODAY(),"m")+1)/IF(E8="Mensuel",1,IF(E8="Trimestriel",3,12)),0))))-TODAY())&amp;IF((IF(F8&gt;=TODAY(),F8,IF(E8="Hebdo",F8+7*ROUNDUP((TODAY()-F8)/7,0),EDATE(F8,IF(E8="Mensuel",1,IF(E8="Trimestriel",3,12))*ROUNDUP((DATEDIF(F8,TODAY(),"m")+1)/IF(E8="Mensuel",1,IF(E8="Trimestriel",3,12)),0))))-TODAY())&lt;=1," jour"," jours"),IF(AND(H8&lt;&gt;"",TODAY()-H8&gt;30),"Pas utilisé depuis "&amp;(TODAY()-H8)&amp;" jours","Renouvellement dans "&amp;(IF(F8&gt;=TODAY(),F8,IF(E8="Hebdo",F8+7*ROUNDUP((TODAY()-F8)/7,0),EDATE(F8,IF(E8="Mensuel",1,IF(E8="Trimestriel",3,12))*ROUNDUP((DATEDIF(F8,TODAY(),"m")+1)/IF(E8="Mensuel",1,IF(E8="Trimestriel",3,12)),0))))-TODAY())&amp;IF((IF(F8&gt;=TODAY(),F8,IF(E8="Hebdo",F8+7*ROUNDUP((TODAY()-F8)/7,0),EDATE(F8,IF(E8="Mensuel",1,IF(E8="Trimestriel",3,12))*ROUNDUP((DATEDIF(F8,TODAY(),"m")+1)/IF(E8="Mensuel",1,IF(E8="Trimestriel",3,12)),0))))-TODAY())&lt;=1," jour"," jours")))))</f>
        <v/>
      </c>
      <c r="M8" s="1" t="n"/>
    </row>
    <row r="9">
      <c r="A9" s="1" t="n"/>
      <c r="B9" s="22" t="inlineStr">
        <is>
          <t>Stockage cloud 2 To</t>
        </is>
      </c>
      <c r="C9" s="22" t="inlineStr">
        <is>
          <t>Cloud</t>
        </is>
      </c>
      <c r="D9" s="23" t="n">
        <v>99.98999999999999</v>
      </c>
      <c r="E9" s="24" t="inlineStr">
        <is>
          <t>Annuel</t>
        </is>
      </c>
      <c r="F9" s="25" t="n">
        <v>45933</v>
      </c>
      <c r="G9" s="24" t="inlineStr">
        <is>
          <t>Non</t>
        </is>
      </c>
      <c r="H9" s="25" t="n">
        <v>46291</v>
      </c>
      <c r="I9" s="24" t="inlineStr">
        <is>
          <t>Garder</t>
        </is>
      </c>
      <c r="J9" s="16">
        <f>IF(B9="","",D9*IF(E9="Hebdo",52/12,IF(E9="Mensuel",1,IF(E9="Trimestriel",1/3,IF(E9="Annuel",1/12,0)))))</f>
        <v/>
      </c>
      <c r="K9" s="16">
        <f>IF(B9="","",J9*12)</f>
        <v/>
      </c>
      <c r="L9" s="26">
        <f>IF(OR(B9="",F9=""),"",IF(I9="Annuler","À annuler sous "&amp;(IF(F9&gt;=TODAY(),F9,IF(E9="Hebdo",F9+7*ROUNDUP((TODAY()-F9)/7,0),EDATE(F9,IF(E9="Mensuel",1,IF(E9="Trimestriel",3,12))*ROUNDUP((DATEDIF(F9,TODAY(),"m")+1)/IF(E9="Mensuel",1,IF(E9="Trimestriel",3,12)),0))))-TODAY())&amp;IF((IF(F9&gt;=TODAY(),F9,IF(E9="Hebdo",F9+7*ROUNDUP((TODAY()-F9)/7,0),EDATE(F9,IF(E9="Mensuel",1,IF(E9="Trimestriel",3,12))*ROUNDUP((DATEDIF(F9,TODAY(),"m")+1)/IF(E9="Mensuel",1,IF(E9="Trimestriel",3,12)),0))))-TODAY())&lt;=1," jour"," jours"),IF(G9="Oui","Fin de l'essai dans "&amp;(IF(F9&gt;=TODAY(),F9,IF(E9="Hebdo",F9+7*ROUNDUP((TODAY()-F9)/7,0),EDATE(F9,IF(E9="Mensuel",1,IF(E9="Trimestriel",3,12))*ROUNDUP((DATEDIF(F9,TODAY(),"m")+1)/IF(E9="Mensuel",1,IF(E9="Trimestriel",3,12)),0))))-TODAY())&amp;IF((IF(F9&gt;=TODAY(),F9,IF(E9="Hebdo",F9+7*ROUNDUP((TODAY()-F9)/7,0),EDATE(F9,IF(E9="Mensuel",1,IF(E9="Trimestriel",3,12))*ROUNDUP((DATEDIF(F9,TODAY(),"m")+1)/IF(E9="Mensuel",1,IF(E9="Trimestriel",3,12)),0))))-TODAY())&lt;=1," jour"," jours"),IF(AND(H9&lt;&gt;"",TODAY()-H9&gt;30),"Pas utilisé depuis "&amp;(TODAY()-H9)&amp;" jours","Renouvellement dans "&amp;(IF(F9&gt;=TODAY(),F9,IF(E9="Hebdo",F9+7*ROUNDUP((TODAY()-F9)/7,0),EDATE(F9,IF(E9="Mensuel",1,IF(E9="Trimestriel",3,12))*ROUNDUP((DATEDIF(F9,TODAY(),"m")+1)/IF(E9="Mensuel",1,IF(E9="Trimestriel",3,12)),0))))-TODAY())&amp;IF((IF(F9&gt;=TODAY(),F9,IF(E9="Hebdo",F9+7*ROUNDUP((TODAY()-F9)/7,0),EDATE(F9,IF(E9="Mensuel",1,IF(E9="Trimestriel",3,12))*ROUNDUP((DATEDIF(F9,TODAY(),"m")+1)/IF(E9="Mensuel",1,IF(E9="Trimestriel",3,12)),0))))-TODAY())&lt;=1," jour"," jours")))))</f>
        <v/>
      </c>
      <c r="M9" s="1" t="n"/>
    </row>
    <row r="10">
      <c r="A10" s="1" t="n"/>
      <c r="B10" s="22" t="inlineStr">
        <is>
          <t>Appli de langues</t>
        </is>
      </c>
      <c r="C10" s="22" t="inlineStr">
        <is>
          <t>Applis</t>
        </is>
      </c>
      <c r="D10" s="23" t="n">
        <v>12.99</v>
      </c>
      <c r="E10" s="24" t="inlineStr">
        <is>
          <t>Mensuel</t>
        </is>
      </c>
      <c r="F10" s="25" t="n">
        <v>46273</v>
      </c>
      <c r="G10" s="24" t="inlineStr">
        <is>
          <t>Non</t>
        </is>
      </c>
      <c r="H10" s="25" t="n">
        <v>46230</v>
      </c>
      <c r="I10" s="24" t="inlineStr">
        <is>
          <t>Annuler</t>
        </is>
      </c>
      <c r="J10" s="16">
        <f>IF(B10="","",D10*IF(E10="Hebdo",52/12,IF(E10="Mensuel",1,IF(E10="Trimestriel",1/3,IF(E10="Annuel",1/12,0)))))</f>
        <v/>
      </c>
      <c r="K10" s="16">
        <f>IF(B10="","",J10*12)</f>
        <v/>
      </c>
      <c r="L10" s="26">
        <f>IF(OR(B10="",F10=""),"",IF(I10="Annuler","À annuler sous "&amp;(IF(F10&gt;=TODAY(),F10,IF(E10="Hebdo",F10+7*ROUNDUP((TODAY()-F10)/7,0),EDATE(F10,IF(E10="Mensuel",1,IF(E10="Trimestriel",3,12))*ROUNDUP((DATEDIF(F10,TODAY(),"m")+1)/IF(E10="Mensuel",1,IF(E10="Trimestriel",3,12)),0))))-TODAY())&amp;IF((IF(F10&gt;=TODAY(),F10,IF(E10="Hebdo",F10+7*ROUNDUP((TODAY()-F10)/7,0),EDATE(F10,IF(E10="Mensuel",1,IF(E10="Trimestriel",3,12))*ROUNDUP((DATEDIF(F10,TODAY(),"m")+1)/IF(E10="Mensuel",1,IF(E10="Trimestriel",3,12)),0))))-TODAY())&lt;=1," jour"," jours"),IF(G10="Oui","Fin de l'essai dans "&amp;(IF(F10&gt;=TODAY(),F10,IF(E10="Hebdo",F10+7*ROUNDUP((TODAY()-F10)/7,0),EDATE(F10,IF(E10="Mensuel",1,IF(E10="Trimestriel",3,12))*ROUNDUP((DATEDIF(F10,TODAY(),"m")+1)/IF(E10="Mensuel",1,IF(E10="Trimestriel",3,12)),0))))-TODAY())&amp;IF((IF(F10&gt;=TODAY(),F10,IF(E10="Hebdo",F10+7*ROUNDUP((TODAY()-F10)/7,0),EDATE(F10,IF(E10="Mensuel",1,IF(E10="Trimestriel",3,12))*ROUNDUP((DATEDIF(F10,TODAY(),"m")+1)/IF(E10="Mensuel",1,IF(E10="Trimestriel",3,12)),0))))-TODAY())&lt;=1," jour"," jours"),IF(AND(H10&lt;&gt;"",TODAY()-H10&gt;30),"Pas utilisé depuis "&amp;(TODAY()-H10)&amp;" jours","Renouvellement dans "&amp;(IF(F10&gt;=TODAY(),F10,IF(E10="Hebdo",F10+7*ROUNDUP((TODAY()-F10)/7,0),EDATE(F10,IF(E10="Mensuel",1,IF(E10="Trimestriel",3,12))*ROUNDUP((DATEDIF(F10,TODAY(),"m")+1)/IF(E10="Mensuel",1,IF(E10="Trimestriel",3,12)),0))))-TODAY())&amp;IF((IF(F10&gt;=TODAY(),F10,IF(E10="Hebdo",F10+7*ROUNDUP((TODAY()-F10)/7,0),EDATE(F10,IF(E10="Mensuel",1,IF(E10="Trimestriel",3,12))*ROUNDUP((DATEDIF(F10,TODAY(),"m")+1)/IF(E10="Mensuel",1,IF(E10="Trimestriel",3,12)),0))))-TODAY())&lt;=1," jour"," jours")))))</f>
        <v/>
      </c>
      <c r="M10" s="1" t="n"/>
    </row>
    <row r="11">
      <c r="A11" s="1" t="n"/>
      <c r="B11" s="22" t="inlineStr">
        <is>
          <t>Box repas</t>
        </is>
      </c>
      <c r="C11" s="22" t="inlineStr">
        <is>
          <t>Shopping</t>
        </is>
      </c>
      <c r="D11" s="23" t="n">
        <v>59.9</v>
      </c>
      <c r="E11" s="24" t="inlineStr">
        <is>
          <t>Hebdo</t>
        </is>
      </c>
      <c r="F11" s="25" t="n">
        <v>46288</v>
      </c>
      <c r="G11" s="24" t="inlineStr">
        <is>
          <t>Oui</t>
        </is>
      </c>
      <c r="H11" s="25" t="n">
        <v>46288</v>
      </c>
      <c r="I11" s="24" t="inlineStr">
        <is>
          <t>Décider</t>
        </is>
      </c>
      <c r="J11" s="16">
        <f>IF(B11="","",D11*IF(E11="Hebdo",52/12,IF(E11="Mensuel",1,IF(E11="Trimestriel",1/3,IF(E11="Annuel",1/12,0)))))</f>
        <v/>
      </c>
      <c r="K11" s="16">
        <f>IF(B11="","",J11*12)</f>
        <v/>
      </c>
      <c r="L11" s="26">
        <f>IF(OR(B11="",F11=""),"",IF(I11="Annuler","À annuler sous "&amp;(IF(F11&gt;=TODAY(),F11,IF(E11="Hebdo",F11+7*ROUNDUP((TODAY()-F11)/7,0),EDATE(F11,IF(E11="Mensuel",1,IF(E11="Trimestriel",3,12))*ROUNDUP((DATEDIF(F11,TODAY(),"m")+1)/IF(E11="Mensuel",1,IF(E11="Trimestriel",3,12)),0))))-TODAY())&amp;IF((IF(F11&gt;=TODAY(),F11,IF(E11="Hebdo",F11+7*ROUNDUP((TODAY()-F11)/7,0),EDATE(F11,IF(E11="Mensuel",1,IF(E11="Trimestriel",3,12))*ROUNDUP((DATEDIF(F11,TODAY(),"m")+1)/IF(E11="Mensuel",1,IF(E11="Trimestriel",3,12)),0))))-TODAY())&lt;=1," jour"," jours"),IF(G11="Oui","Fin de l'essai dans "&amp;(IF(F11&gt;=TODAY(),F11,IF(E11="Hebdo",F11+7*ROUNDUP((TODAY()-F11)/7,0),EDATE(F11,IF(E11="Mensuel",1,IF(E11="Trimestriel",3,12))*ROUNDUP((DATEDIF(F11,TODAY(),"m")+1)/IF(E11="Mensuel",1,IF(E11="Trimestriel",3,12)),0))))-TODAY())&amp;IF((IF(F11&gt;=TODAY(),F11,IF(E11="Hebdo",F11+7*ROUNDUP((TODAY()-F11)/7,0),EDATE(F11,IF(E11="Mensuel",1,IF(E11="Trimestriel",3,12))*ROUNDUP((DATEDIF(F11,TODAY(),"m")+1)/IF(E11="Mensuel",1,IF(E11="Trimestriel",3,12)),0))))-TODAY())&lt;=1," jour"," jours"),IF(AND(H11&lt;&gt;"",TODAY()-H11&gt;30),"Pas utilisé depuis "&amp;(TODAY()-H11)&amp;" jours","Renouvellement dans "&amp;(IF(F11&gt;=TODAY(),F11,IF(E11="Hebdo",F11+7*ROUNDUP((TODAY()-F11)/7,0),EDATE(F11,IF(E11="Mensuel",1,IF(E11="Trimestriel",3,12))*ROUNDUP((DATEDIF(F11,TODAY(),"m")+1)/IF(E11="Mensuel",1,IF(E11="Trimestriel",3,12)),0))))-TODAY())&amp;IF((IF(F11&gt;=TODAY(),F11,IF(E11="Hebdo",F11+7*ROUNDUP((TODAY()-F11)/7,0),EDATE(F11,IF(E11="Mensuel",1,IF(E11="Trimestriel",3,12))*ROUNDUP((DATEDIF(F11,TODAY(),"m")+1)/IF(E11="Mensuel",1,IF(E11="Trimestriel",3,12)),0))))-TODAY())&lt;=1," jour"," jours")))))</f>
        <v/>
      </c>
      <c r="M11" s="1" t="n"/>
    </row>
    <row r="12">
      <c r="A12" s="1" t="n"/>
      <c r="B12" s="22" t="inlineStr">
        <is>
          <t>Retouche photo</t>
        </is>
      </c>
      <c r="C12" s="22" t="inlineStr">
        <is>
          <t>Applis</t>
        </is>
      </c>
      <c r="D12" s="23" t="n">
        <v>4.99</v>
      </c>
      <c r="E12" s="24" t="inlineStr">
        <is>
          <t>Mensuel</t>
        </is>
      </c>
      <c r="F12" s="25" t="n">
        <v>46265</v>
      </c>
      <c r="G12" s="24" t="inlineStr">
        <is>
          <t>Oui</t>
        </is>
      </c>
      <c r="H12" s="25" t="n">
        <v>46283</v>
      </c>
      <c r="I12" s="24" t="inlineStr">
        <is>
          <t>Décider</t>
        </is>
      </c>
      <c r="J12" s="16">
        <f>IF(B12="","",D12*IF(E12="Hebdo",52/12,IF(E12="Mensuel",1,IF(E12="Trimestriel",1/3,IF(E12="Annuel",1/12,0)))))</f>
        <v/>
      </c>
      <c r="K12" s="16">
        <f>IF(B12="","",J12*12)</f>
        <v/>
      </c>
      <c r="L12" s="26">
        <f>IF(OR(B12="",F12=""),"",IF(I12="Annuler","À annuler sous "&amp;(IF(F12&gt;=TODAY(),F12,IF(E12="Hebdo",F12+7*ROUNDUP((TODAY()-F12)/7,0),EDATE(F12,IF(E12="Mensuel",1,IF(E12="Trimestriel",3,12))*ROUNDUP((DATEDIF(F12,TODAY(),"m")+1)/IF(E12="Mensuel",1,IF(E12="Trimestriel",3,12)),0))))-TODAY())&amp;IF((IF(F12&gt;=TODAY(),F12,IF(E12="Hebdo",F12+7*ROUNDUP((TODAY()-F12)/7,0),EDATE(F12,IF(E12="Mensuel",1,IF(E12="Trimestriel",3,12))*ROUNDUP((DATEDIF(F12,TODAY(),"m")+1)/IF(E12="Mensuel",1,IF(E12="Trimestriel",3,12)),0))))-TODAY())&lt;=1," jour"," jours"),IF(G12="Oui","Fin de l'essai dans "&amp;(IF(F12&gt;=TODAY(),F12,IF(E12="Hebdo",F12+7*ROUNDUP((TODAY()-F12)/7,0),EDATE(F12,IF(E12="Mensuel",1,IF(E12="Trimestriel",3,12))*ROUNDUP((DATEDIF(F12,TODAY(),"m")+1)/IF(E12="Mensuel",1,IF(E12="Trimestriel",3,12)),0))))-TODAY())&amp;IF((IF(F12&gt;=TODAY(),F12,IF(E12="Hebdo",F12+7*ROUNDUP((TODAY()-F12)/7,0),EDATE(F12,IF(E12="Mensuel",1,IF(E12="Trimestriel",3,12))*ROUNDUP((DATEDIF(F12,TODAY(),"m")+1)/IF(E12="Mensuel",1,IF(E12="Trimestriel",3,12)),0))))-TODAY())&lt;=1," jour"," jours"),IF(AND(H12&lt;&gt;"",TODAY()-H12&gt;30),"Pas utilisé depuis "&amp;(TODAY()-H12)&amp;" jours","Renouvellement dans "&amp;(IF(F12&gt;=TODAY(),F12,IF(E12="Hebdo",F12+7*ROUNDUP((TODAY()-F12)/7,0),EDATE(F12,IF(E12="Mensuel",1,IF(E12="Trimestriel",3,12))*ROUNDUP((DATEDIF(F12,TODAY(),"m")+1)/IF(E12="Mensuel",1,IF(E12="Trimestriel",3,12)),0))))-TODAY())&amp;IF((IF(F12&gt;=TODAY(),F12,IF(E12="Hebdo",F12+7*ROUNDUP((TODAY()-F12)/7,0),EDATE(F12,IF(E12="Mensuel",1,IF(E12="Trimestriel",3,12))*ROUNDUP((DATEDIF(F12,TODAY(),"m")+1)/IF(E12="Mensuel",1,IF(E12="Trimestriel",3,12)),0))))-TODAY())&lt;=1," jour"," jours")))))</f>
        <v/>
      </c>
      <c r="M12" s="1" t="n"/>
    </row>
    <row r="13">
      <c r="A13" s="1" t="n"/>
      <c r="B13" s="22" t="inlineStr">
        <is>
          <t>Salle de sport</t>
        </is>
      </c>
      <c r="C13" s="22" t="inlineStr">
        <is>
          <t>Sport</t>
        </is>
      </c>
      <c r="D13" s="23" t="n">
        <v>29.9</v>
      </c>
      <c r="E13" s="24" t="inlineStr">
        <is>
          <t>Mensuel</t>
        </is>
      </c>
      <c r="F13" s="25" t="n">
        <v>46284</v>
      </c>
      <c r="G13" s="24" t="inlineStr">
        <is>
          <t>Non</t>
        </is>
      </c>
      <c r="H13" s="25" t="n">
        <v>46274</v>
      </c>
      <c r="I13" s="24" t="inlineStr">
        <is>
          <t>Garder</t>
        </is>
      </c>
      <c r="J13" s="16">
        <f>IF(B13="","",D13*IF(E13="Hebdo",52/12,IF(E13="Mensuel",1,IF(E13="Trimestriel",1/3,IF(E13="Annuel",1/12,0)))))</f>
        <v/>
      </c>
      <c r="K13" s="16">
        <f>IF(B13="","",J13*12)</f>
        <v/>
      </c>
      <c r="L13" s="26">
        <f>IF(OR(B13="",F13=""),"",IF(I13="Annuler","À annuler sous "&amp;(IF(F13&gt;=TODAY(),F13,IF(E13="Hebdo",F13+7*ROUNDUP((TODAY()-F13)/7,0),EDATE(F13,IF(E13="Mensuel",1,IF(E13="Trimestriel",3,12))*ROUNDUP((DATEDIF(F13,TODAY(),"m")+1)/IF(E13="Mensuel",1,IF(E13="Trimestriel",3,12)),0))))-TODAY())&amp;IF((IF(F13&gt;=TODAY(),F13,IF(E13="Hebdo",F13+7*ROUNDUP((TODAY()-F13)/7,0),EDATE(F13,IF(E13="Mensuel",1,IF(E13="Trimestriel",3,12))*ROUNDUP((DATEDIF(F13,TODAY(),"m")+1)/IF(E13="Mensuel",1,IF(E13="Trimestriel",3,12)),0))))-TODAY())&lt;=1," jour"," jours"),IF(G13="Oui","Fin de l'essai dans "&amp;(IF(F13&gt;=TODAY(),F13,IF(E13="Hebdo",F13+7*ROUNDUP((TODAY()-F13)/7,0),EDATE(F13,IF(E13="Mensuel",1,IF(E13="Trimestriel",3,12))*ROUNDUP((DATEDIF(F13,TODAY(),"m")+1)/IF(E13="Mensuel",1,IF(E13="Trimestriel",3,12)),0))))-TODAY())&amp;IF((IF(F13&gt;=TODAY(),F13,IF(E13="Hebdo",F13+7*ROUNDUP((TODAY()-F13)/7,0),EDATE(F13,IF(E13="Mensuel",1,IF(E13="Trimestriel",3,12))*ROUNDUP((DATEDIF(F13,TODAY(),"m")+1)/IF(E13="Mensuel",1,IF(E13="Trimestriel",3,12)),0))))-TODAY())&lt;=1," jour"," jours"),IF(AND(H13&lt;&gt;"",TODAY()-H13&gt;30),"Pas utilisé depuis "&amp;(TODAY()-H13)&amp;" jours","Renouvellement dans "&amp;(IF(F13&gt;=TODAY(),F13,IF(E13="Hebdo",F13+7*ROUNDUP((TODAY()-F13)/7,0),EDATE(F13,IF(E13="Mensuel",1,IF(E13="Trimestriel",3,12))*ROUNDUP((DATEDIF(F13,TODAY(),"m")+1)/IF(E13="Mensuel",1,IF(E13="Trimestriel",3,12)),0))))-TODAY())&amp;IF((IF(F13&gt;=TODAY(),F13,IF(E13="Hebdo",F13+7*ROUNDUP((TODAY()-F13)/7,0),EDATE(F13,IF(E13="Mensuel",1,IF(E13="Trimestriel",3,12))*ROUNDUP((DATEDIF(F13,TODAY(),"m")+1)/IF(E13="Mensuel",1,IF(E13="Trimestriel",3,12)),0))))-TODAY())&lt;=1," jour"," jours")))))</f>
        <v/>
      </c>
      <c r="M13" s="1" t="n"/>
    </row>
    <row r="14">
      <c r="A14" s="1" t="n"/>
      <c r="B14" s="22" t="inlineStr">
        <is>
          <t>Site d'info</t>
        </is>
      </c>
      <c r="C14" s="22" t="inlineStr">
        <is>
          <t>Presse</t>
        </is>
      </c>
      <c r="D14" s="23" t="n">
        <v>36</v>
      </c>
      <c r="E14" s="24" t="inlineStr">
        <is>
          <t>Trimestriel</t>
        </is>
      </c>
      <c r="F14" s="25" t="n">
        <v>46213</v>
      </c>
      <c r="G14" s="24" t="inlineStr">
        <is>
          <t>Non</t>
        </is>
      </c>
      <c r="H14" s="25" t="n">
        <v>46260</v>
      </c>
      <c r="I14" s="24" t="inlineStr">
        <is>
          <t>Décider</t>
        </is>
      </c>
      <c r="J14" s="16">
        <f>IF(B14="","",D14*IF(E14="Hebdo",52/12,IF(E14="Mensuel",1,IF(E14="Trimestriel",1/3,IF(E14="Annuel",1/12,0)))))</f>
        <v/>
      </c>
      <c r="K14" s="16">
        <f>IF(B14="","",J14*12)</f>
        <v/>
      </c>
      <c r="L14" s="26">
        <f>IF(OR(B14="",F14=""),"",IF(I14="Annuler","À annuler sous "&amp;(IF(F14&gt;=TODAY(),F14,IF(E14="Hebdo",F14+7*ROUNDUP((TODAY()-F14)/7,0),EDATE(F14,IF(E14="Mensuel",1,IF(E14="Trimestriel",3,12))*ROUNDUP((DATEDIF(F14,TODAY(),"m")+1)/IF(E14="Mensuel",1,IF(E14="Trimestriel",3,12)),0))))-TODAY())&amp;IF((IF(F14&gt;=TODAY(),F14,IF(E14="Hebdo",F14+7*ROUNDUP((TODAY()-F14)/7,0),EDATE(F14,IF(E14="Mensuel",1,IF(E14="Trimestriel",3,12))*ROUNDUP((DATEDIF(F14,TODAY(),"m")+1)/IF(E14="Mensuel",1,IF(E14="Trimestriel",3,12)),0))))-TODAY())&lt;=1," jour"," jours"),IF(G14="Oui","Fin de l'essai dans "&amp;(IF(F14&gt;=TODAY(),F14,IF(E14="Hebdo",F14+7*ROUNDUP((TODAY()-F14)/7,0),EDATE(F14,IF(E14="Mensuel",1,IF(E14="Trimestriel",3,12))*ROUNDUP((DATEDIF(F14,TODAY(),"m")+1)/IF(E14="Mensuel",1,IF(E14="Trimestriel",3,12)),0))))-TODAY())&amp;IF((IF(F14&gt;=TODAY(),F14,IF(E14="Hebdo",F14+7*ROUNDUP((TODAY()-F14)/7,0),EDATE(F14,IF(E14="Mensuel",1,IF(E14="Trimestriel",3,12))*ROUNDUP((DATEDIF(F14,TODAY(),"m")+1)/IF(E14="Mensuel",1,IF(E14="Trimestriel",3,12)),0))))-TODAY())&lt;=1," jour"," jours"),IF(AND(H14&lt;&gt;"",TODAY()-H14&gt;30),"Pas utilisé depuis "&amp;(TODAY()-H14)&amp;" jours","Renouvellement dans "&amp;(IF(F14&gt;=TODAY(),F14,IF(E14="Hebdo",F14+7*ROUNDUP((TODAY()-F14)/7,0),EDATE(F14,IF(E14="Mensuel",1,IF(E14="Trimestriel",3,12))*ROUNDUP((DATEDIF(F14,TODAY(),"m")+1)/IF(E14="Mensuel",1,IF(E14="Trimestriel",3,12)),0))))-TODAY())&amp;IF((IF(F14&gt;=TODAY(),F14,IF(E14="Hebdo",F14+7*ROUNDUP((TODAY()-F14)/7,0),EDATE(F14,IF(E14="Mensuel",1,IF(E14="Trimestriel",3,12))*ROUNDUP((DATEDIF(F14,TODAY(),"m")+1)/IF(E14="Mensuel",1,IF(E14="Trimestriel",3,12)),0))))-TODAY())&lt;=1," jour"," jours")))))</f>
        <v/>
      </c>
      <c r="M14" s="1" t="n"/>
    </row>
    <row r="15">
      <c r="A15" s="1" t="n"/>
      <c r="B15" s="22" t="inlineStr">
        <is>
          <t>Abonnement jeux</t>
        </is>
      </c>
      <c r="C15" s="22" t="inlineStr">
        <is>
          <t>Jeux</t>
        </is>
      </c>
      <c r="D15" s="23" t="n">
        <v>14.99</v>
      </c>
      <c r="E15" s="24" t="inlineStr">
        <is>
          <t>Mensuel</t>
        </is>
      </c>
      <c r="F15" s="25" t="n">
        <v>46278</v>
      </c>
      <c r="G15" s="24" t="inlineStr">
        <is>
          <t>Non</t>
        </is>
      </c>
      <c r="H15" s="25" t="n">
        <v>46289</v>
      </c>
      <c r="I15" s="24" t="inlineStr">
        <is>
          <t>Garder</t>
        </is>
      </c>
      <c r="J15" s="16">
        <f>IF(B15="","",D15*IF(E15="Hebdo",52/12,IF(E15="Mensuel",1,IF(E15="Trimestriel",1/3,IF(E15="Annuel",1/12,0)))))</f>
        <v/>
      </c>
      <c r="K15" s="16">
        <f>IF(B15="","",J15*12)</f>
        <v/>
      </c>
      <c r="L15" s="26">
        <f>IF(OR(B15="",F15=""),"",IF(I15="Annuler","À annuler sous "&amp;(IF(F15&gt;=TODAY(),F15,IF(E15="Hebdo",F15+7*ROUNDUP((TODAY()-F15)/7,0),EDATE(F15,IF(E15="Mensuel",1,IF(E15="Trimestriel",3,12))*ROUNDUP((DATEDIF(F15,TODAY(),"m")+1)/IF(E15="Mensuel",1,IF(E15="Trimestriel",3,12)),0))))-TODAY())&amp;IF((IF(F15&gt;=TODAY(),F15,IF(E15="Hebdo",F15+7*ROUNDUP((TODAY()-F15)/7,0),EDATE(F15,IF(E15="Mensuel",1,IF(E15="Trimestriel",3,12))*ROUNDUP((DATEDIF(F15,TODAY(),"m")+1)/IF(E15="Mensuel",1,IF(E15="Trimestriel",3,12)),0))))-TODAY())&lt;=1," jour"," jours"),IF(G15="Oui","Fin de l'essai dans "&amp;(IF(F15&gt;=TODAY(),F15,IF(E15="Hebdo",F15+7*ROUNDUP((TODAY()-F15)/7,0),EDATE(F15,IF(E15="Mensuel",1,IF(E15="Trimestriel",3,12))*ROUNDUP((DATEDIF(F15,TODAY(),"m")+1)/IF(E15="Mensuel",1,IF(E15="Trimestriel",3,12)),0))))-TODAY())&amp;IF((IF(F15&gt;=TODAY(),F15,IF(E15="Hebdo",F15+7*ROUNDUP((TODAY()-F15)/7,0),EDATE(F15,IF(E15="Mensuel",1,IF(E15="Trimestriel",3,12))*ROUNDUP((DATEDIF(F15,TODAY(),"m")+1)/IF(E15="Mensuel",1,IF(E15="Trimestriel",3,12)),0))))-TODAY())&lt;=1," jour"," jours"),IF(AND(H15&lt;&gt;"",TODAY()-H15&gt;30),"Pas utilisé depuis "&amp;(TODAY()-H15)&amp;" jours","Renouvellement dans "&amp;(IF(F15&gt;=TODAY(),F15,IF(E15="Hebdo",F15+7*ROUNDUP((TODAY()-F15)/7,0),EDATE(F15,IF(E15="Mensuel",1,IF(E15="Trimestriel",3,12))*ROUNDUP((DATEDIF(F15,TODAY(),"m")+1)/IF(E15="Mensuel",1,IF(E15="Trimestriel",3,12)),0))))-TODAY())&amp;IF((IF(F15&gt;=TODAY(),F15,IF(E15="Hebdo",F15+7*ROUNDUP((TODAY()-F15)/7,0),EDATE(F15,IF(E15="Mensuel",1,IF(E15="Trimestriel",3,12))*ROUNDUP((DATEDIF(F15,TODAY(),"m")+1)/IF(E15="Mensuel",1,IF(E15="Trimestriel",3,12)),0))))-TODAY())&lt;=1," jour"," jours")))))</f>
        <v/>
      </c>
      <c r="M15" s="1" t="n"/>
    </row>
    <row r="16">
      <c r="A16" s="1" t="n"/>
      <c r="B16" s="22" t="n"/>
      <c r="C16" s="22" t="n"/>
      <c r="D16" s="23" t="n"/>
      <c r="E16" s="24" t="n"/>
      <c r="F16" s="25" t="n"/>
      <c r="G16" s="24" t="n"/>
      <c r="H16" s="25" t="n"/>
      <c r="I16" s="24" t="n"/>
      <c r="J16" s="16">
        <f>IF(B16="","",D16*IF(E16="Hebdo",52/12,IF(E16="Mensuel",1,IF(E16="Trimestriel",1/3,IF(E16="Annuel",1/12,0)))))</f>
        <v/>
      </c>
      <c r="K16" s="16">
        <f>IF(B16="","",J16*12)</f>
        <v/>
      </c>
      <c r="L16" s="26">
        <f>IF(OR(B16="",F16=""),"",IF(I16="Annuler","À annuler sous "&amp;(IF(F16&gt;=TODAY(),F16,IF(E16="Hebdo",F16+7*ROUNDUP((TODAY()-F16)/7,0),EDATE(F16,IF(E16="Mensuel",1,IF(E16="Trimestriel",3,12))*ROUNDUP((DATEDIF(F16,TODAY(),"m")+1)/IF(E16="Mensuel",1,IF(E16="Trimestriel",3,12)),0))))-TODAY())&amp;IF((IF(F16&gt;=TODAY(),F16,IF(E16="Hebdo",F16+7*ROUNDUP((TODAY()-F16)/7,0),EDATE(F16,IF(E16="Mensuel",1,IF(E16="Trimestriel",3,12))*ROUNDUP((DATEDIF(F16,TODAY(),"m")+1)/IF(E16="Mensuel",1,IF(E16="Trimestriel",3,12)),0))))-TODAY())&lt;=1," jour"," jours"),IF(G16="Oui","Fin de l'essai dans "&amp;(IF(F16&gt;=TODAY(),F16,IF(E16="Hebdo",F16+7*ROUNDUP((TODAY()-F16)/7,0),EDATE(F16,IF(E16="Mensuel",1,IF(E16="Trimestriel",3,12))*ROUNDUP((DATEDIF(F16,TODAY(),"m")+1)/IF(E16="Mensuel",1,IF(E16="Trimestriel",3,12)),0))))-TODAY())&amp;IF((IF(F16&gt;=TODAY(),F16,IF(E16="Hebdo",F16+7*ROUNDUP((TODAY()-F16)/7,0),EDATE(F16,IF(E16="Mensuel",1,IF(E16="Trimestriel",3,12))*ROUNDUP((DATEDIF(F16,TODAY(),"m")+1)/IF(E16="Mensuel",1,IF(E16="Trimestriel",3,12)),0))))-TODAY())&lt;=1," jour"," jours"),IF(AND(H16&lt;&gt;"",TODAY()-H16&gt;30),"Pas utilisé depuis "&amp;(TODAY()-H16)&amp;" jours","Renouvellement dans "&amp;(IF(F16&gt;=TODAY(),F16,IF(E16="Hebdo",F16+7*ROUNDUP((TODAY()-F16)/7,0),EDATE(F16,IF(E16="Mensuel",1,IF(E16="Trimestriel",3,12))*ROUNDUP((DATEDIF(F16,TODAY(),"m")+1)/IF(E16="Mensuel",1,IF(E16="Trimestriel",3,12)),0))))-TODAY())&amp;IF((IF(F16&gt;=TODAY(),F16,IF(E16="Hebdo",F16+7*ROUNDUP((TODAY()-F16)/7,0),EDATE(F16,IF(E16="Mensuel",1,IF(E16="Trimestriel",3,12))*ROUNDUP((DATEDIF(F16,TODAY(),"m")+1)/IF(E16="Mensuel",1,IF(E16="Trimestriel",3,12)),0))))-TODAY())&lt;=1," jour"," jours")))))</f>
        <v/>
      </c>
      <c r="M16" s="1" t="n"/>
    </row>
    <row r="17">
      <c r="A17" s="1" t="n"/>
      <c r="B17" s="22" t="n"/>
      <c r="C17" s="22" t="n"/>
      <c r="D17" s="23" t="n"/>
      <c r="E17" s="24" t="n"/>
      <c r="F17" s="25" t="n"/>
      <c r="G17" s="24" t="n"/>
      <c r="H17" s="25" t="n"/>
      <c r="I17" s="24" t="n"/>
      <c r="J17" s="16">
        <f>IF(B17="","",D17*IF(E17="Hebdo",52/12,IF(E17="Mensuel",1,IF(E17="Trimestriel",1/3,IF(E17="Annuel",1/12,0)))))</f>
        <v/>
      </c>
      <c r="K17" s="16">
        <f>IF(B17="","",J17*12)</f>
        <v/>
      </c>
      <c r="L17" s="26">
        <f>IF(OR(B17="",F17=""),"",IF(I17="Annuler","À annuler sous "&amp;(IF(F17&gt;=TODAY(),F17,IF(E17="Hebdo",F17+7*ROUNDUP((TODAY()-F17)/7,0),EDATE(F17,IF(E17="Mensuel",1,IF(E17="Trimestriel",3,12))*ROUNDUP((DATEDIF(F17,TODAY(),"m")+1)/IF(E17="Mensuel",1,IF(E17="Trimestriel",3,12)),0))))-TODAY())&amp;IF((IF(F17&gt;=TODAY(),F17,IF(E17="Hebdo",F17+7*ROUNDUP((TODAY()-F17)/7,0),EDATE(F17,IF(E17="Mensuel",1,IF(E17="Trimestriel",3,12))*ROUNDUP((DATEDIF(F17,TODAY(),"m")+1)/IF(E17="Mensuel",1,IF(E17="Trimestriel",3,12)),0))))-TODAY())&lt;=1," jour"," jours"),IF(G17="Oui","Fin de l'essai dans "&amp;(IF(F17&gt;=TODAY(),F17,IF(E17="Hebdo",F17+7*ROUNDUP((TODAY()-F17)/7,0),EDATE(F17,IF(E17="Mensuel",1,IF(E17="Trimestriel",3,12))*ROUNDUP((DATEDIF(F17,TODAY(),"m")+1)/IF(E17="Mensuel",1,IF(E17="Trimestriel",3,12)),0))))-TODAY())&amp;IF((IF(F17&gt;=TODAY(),F17,IF(E17="Hebdo",F17+7*ROUNDUP((TODAY()-F17)/7,0),EDATE(F17,IF(E17="Mensuel",1,IF(E17="Trimestriel",3,12))*ROUNDUP((DATEDIF(F17,TODAY(),"m")+1)/IF(E17="Mensuel",1,IF(E17="Trimestriel",3,12)),0))))-TODAY())&lt;=1," jour"," jours"),IF(AND(H17&lt;&gt;"",TODAY()-H17&gt;30),"Pas utilisé depuis "&amp;(TODAY()-H17)&amp;" jours","Renouvellement dans "&amp;(IF(F17&gt;=TODAY(),F17,IF(E17="Hebdo",F17+7*ROUNDUP((TODAY()-F17)/7,0),EDATE(F17,IF(E17="Mensuel",1,IF(E17="Trimestriel",3,12))*ROUNDUP((DATEDIF(F17,TODAY(),"m")+1)/IF(E17="Mensuel",1,IF(E17="Trimestriel",3,12)),0))))-TODAY())&amp;IF((IF(F17&gt;=TODAY(),F17,IF(E17="Hebdo",F17+7*ROUNDUP((TODAY()-F17)/7,0),EDATE(F17,IF(E17="Mensuel",1,IF(E17="Trimestriel",3,12))*ROUNDUP((DATEDIF(F17,TODAY(),"m")+1)/IF(E17="Mensuel",1,IF(E17="Trimestriel",3,12)),0))))-TODAY())&lt;=1," jour"," jours")))))</f>
        <v/>
      </c>
      <c r="M17" s="1" t="n"/>
    </row>
    <row r="18">
      <c r="A18" s="1" t="n"/>
      <c r="B18" s="22" t="n"/>
      <c r="C18" s="22" t="n"/>
      <c r="D18" s="23" t="n"/>
      <c r="E18" s="24" t="n"/>
      <c r="F18" s="25" t="n"/>
      <c r="G18" s="24" t="n"/>
      <c r="H18" s="25" t="n"/>
      <c r="I18" s="24" t="n"/>
      <c r="J18" s="16">
        <f>IF(B18="","",D18*IF(E18="Hebdo",52/12,IF(E18="Mensuel",1,IF(E18="Trimestriel",1/3,IF(E18="Annuel",1/12,0)))))</f>
        <v/>
      </c>
      <c r="K18" s="16">
        <f>IF(B18="","",J18*12)</f>
        <v/>
      </c>
      <c r="L18" s="26">
        <f>IF(OR(B18="",F18=""),"",IF(I18="Annuler","À annuler sous "&amp;(IF(F18&gt;=TODAY(),F18,IF(E18="Hebdo",F18+7*ROUNDUP((TODAY()-F18)/7,0),EDATE(F18,IF(E18="Mensuel",1,IF(E18="Trimestriel",3,12))*ROUNDUP((DATEDIF(F18,TODAY(),"m")+1)/IF(E18="Mensuel",1,IF(E18="Trimestriel",3,12)),0))))-TODAY())&amp;IF((IF(F18&gt;=TODAY(),F18,IF(E18="Hebdo",F18+7*ROUNDUP((TODAY()-F18)/7,0),EDATE(F18,IF(E18="Mensuel",1,IF(E18="Trimestriel",3,12))*ROUNDUP((DATEDIF(F18,TODAY(),"m")+1)/IF(E18="Mensuel",1,IF(E18="Trimestriel",3,12)),0))))-TODAY())&lt;=1," jour"," jours"),IF(G18="Oui","Fin de l'essai dans "&amp;(IF(F18&gt;=TODAY(),F18,IF(E18="Hebdo",F18+7*ROUNDUP((TODAY()-F18)/7,0),EDATE(F18,IF(E18="Mensuel",1,IF(E18="Trimestriel",3,12))*ROUNDUP((DATEDIF(F18,TODAY(),"m")+1)/IF(E18="Mensuel",1,IF(E18="Trimestriel",3,12)),0))))-TODAY())&amp;IF((IF(F18&gt;=TODAY(),F18,IF(E18="Hebdo",F18+7*ROUNDUP((TODAY()-F18)/7,0),EDATE(F18,IF(E18="Mensuel",1,IF(E18="Trimestriel",3,12))*ROUNDUP((DATEDIF(F18,TODAY(),"m")+1)/IF(E18="Mensuel",1,IF(E18="Trimestriel",3,12)),0))))-TODAY())&lt;=1," jour"," jours"),IF(AND(H18&lt;&gt;"",TODAY()-H18&gt;30),"Pas utilisé depuis "&amp;(TODAY()-H18)&amp;" jours","Renouvellement dans "&amp;(IF(F18&gt;=TODAY(),F18,IF(E18="Hebdo",F18+7*ROUNDUP((TODAY()-F18)/7,0),EDATE(F18,IF(E18="Mensuel",1,IF(E18="Trimestriel",3,12))*ROUNDUP((DATEDIF(F18,TODAY(),"m")+1)/IF(E18="Mensuel",1,IF(E18="Trimestriel",3,12)),0))))-TODAY())&amp;IF((IF(F18&gt;=TODAY(),F18,IF(E18="Hebdo",F18+7*ROUNDUP((TODAY()-F18)/7,0),EDATE(F18,IF(E18="Mensuel",1,IF(E18="Trimestriel",3,12))*ROUNDUP((DATEDIF(F18,TODAY(),"m")+1)/IF(E18="Mensuel",1,IF(E18="Trimestriel",3,12)),0))))-TODAY())&lt;=1," jour"," jours")))))</f>
        <v/>
      </c>
      <c r="M18" s="1" t="n"/>
    </row>
    <row r="19">
      <c r="A19" s="1" t="n"/>
      <c r="B19" s="22" t="n"/>
      <c r="C19" s="22" t="n"/>
      <c r="D19" s="23" t="n"/>
      <c r="E19" s="24" t="n"/>
      <c r="F19" s="25" t="n"/>
      <c r="G19" s="24" t="n"/>
      <c r="H19" s="25" t="n"/>
      <c r="I19" s="24" t="n"/>
      <c r="J19" s="16">
        <f>IF(B19="","",D19*IF(E19="Hebdo",52/12,IF(E19="Mensuel",1,IF(E19="Trimestriel",1/3,IF(E19="Annuel",1/12,0)))))</f>
        <v/>
      </c>
      <c r="K19" s="16">
        <f>IF(B19="","",J19*12)</f>
        <v/>
      </c>
      <c r="L19" s="26">
        <f>IF(OR(B19="",F19=""),"",IF(I19="Annuler","À annuler sous "&amp;(IF(F19&gt;=TODAY(),F19,IF(E19="Hebdo",F19+7*ROUNDUP((TODAY()-F19)/7,0),EDATE(F19,IF(E19="Mensuel",1,IF(E19="Trimestriel",3,12))*ROUNDUP((DATEDIF(F19,TODAY(),"m")+1)/IF(E19="Mensuel",1,IF(E19="Trimestriel",3,12)),0))))-TODAY())&amp;IF((IF(F19&gt;=TODAY(),F19,IF(E19="Hebdo",F19+7*ROUNDUP((TODAY()-F19)/7,0),EDATE(F19,IF(E19="Mensuel",1,IF(E19="Trimestriel",3,12))*ROUNDUP((DATEDIF(F19,TODAY(),"m")+1)/IF(E19="Mensuel",1,IF(E19="Trimestriel",3,12)),0))))-TODAY())&lt;=1," jour"," jours"),IF(G19="Oui","Fin de l'essai dans "&amp;(IF(F19&gt;=TODAY(),F19,IF(E19="Hebdo",F19+7*ROUNDUP((TODAY()-F19)/7,0),EDATE(F19,IF(E19="Mensuel",1,IF(E19="Trimestriel",3,12))*ROUNDUP((DATEDIF(F19,TODAY(),"m")+1)/IF(E19="Mensuel",1,IF(E19="Trimestriel",3,12)),0))))-TODAY())&amp;IF((IF(F19&gt;=TODAY(),F19,IF(E19="Hebdo",F19+7*ROUNDUP((TODAY()-F19)/7,0),EDATE(F19,IF(E19="Mensuel",1,IF(E19="Trimestriel",3,12))*ROUNDUP((DATEDIF(F19,TODAY(),"m")+1)/IF(E19="Mensuel",1,IF(E19="Trimestriel",3,12)),0))))-TODAY())&lt;=1," jour"," jours"),IF(AND(H19&lt;&gt;"",TODAY()-H19&gt;30),"Pas utilisé depuis "&amp;(TODAY()-H19)&amp;" jours","Renouvellement dans "&amp;(IF(F19&gt;=TODAY(),F19,IF(E19="Hebdo",F19+7*ROUNDUP((TODAY()-F19)/7,0),EDATE(F19,IF(E19="Mensuel",1,IF(E19="Trimestriel",3,12))*ROUNDUP((DATEDIF(F19,TODAY(),"m")+1)/IF(E19="Mensuel",1,IF(E19="Trimestriel",3,12)),0))))-TODAY())&amp;IF((IF(F19&gt;=TODAY(),F19,IF(E19="Hebdo",F19+7*ROUNDUP((TODAY()-F19)/7,0),EDATE(F19,IF(E19="Mensuel",1,IF(E19="Trimestriel",3,12))*ROUNDUP((DATEDIF(F19,TODAY(),"m")+1)/IF(E19="Mensuel",1,IF(E19="Trimestriel",3,12)),0))))-TODAY())&lt;=1," jour"," jours")))))</f>
        <v/>
      </c>
      <c r="M19" s="1" t="n"/>
    </row>
    <row r="20">
      <c r="A20" s="1" t="n"/>
      <c r="B20" s="22" t="n"/>
      <c r="C20" s="22" t="n"/>
      <c r="D20" s="23" t="n"/>
      <c r="E20" s="24" t="n"/>
      <c r="F20" s="25" t="n"/>
      <c r="G20" s="24" t="n"/>
      <c r="H20" s="25" t="n"/>
      <c r="I20" s="24" t="n"/>
      <c r="J20" s="16">
        <f>IF(B20="","",D20*IF(E20="Hebdo",52/12,IF(E20="Mensuel",1,IF(E20="Trimestriel",1/3,IF(E20="Annuel",1/12,0)))))</f>
        <v/>
      </c>
      <c r="K20" s="16">
        <f>IF(B20="","",J20*12)</f>
        <v/>
      </c>
      <c r="L20" s="26">
        <f>IF(OR(B20="",F20=""),"",IF(I20="Annuler","À annuler sous "&amp;(IF(F20&gt;=TODAY(),F20,IF(E20="Hebdo",F20+7*ROUNDUP((TODAY()-F20)/7,0),EDATE(F20,IF(E20="Mensuel",1,IF(E20="Trimestriel",3,12))*ROUNDUP((DATEDIF(F20,TODAY(),"m")+1)/IF(E20="Mensuel",1,IF(E20="Trimestriel",3,12)),0))))-TODAY())&amp;IF((IF(F20&gt;=TODAY(),F20,IF(E20="Hebdo",F20+7*ROUNDUP((TODAY()-F20)/7,0),EDATE(F20,IF(E20="Mensuel",1,IF(E20="Trimestriel",3,12))*ROUNDUP((DATEDIF(F20,TODAY(),"m")+1)/IF(E20="Mensuel",1,IF(E20="Trimestriel",3,12)),0))))-TODAY())&lt;=1," jour"," jours"),IF(G20="Oui","Fin de l'essai dans "&amp;(IF(F20&gt;=TODAY(),F20,IF(E20="Hebdo",F20+7*ROUNDUP((TODAY()-F20)/7,0),EDATE(F20,IF(E20="Mensuel",1,IF(E20="Trimestriel",3,12))*ROUNDUP((DATEDIF(F20,TODAY(),"m")+1)/IF(E20="Mensuel",1,IF(E20="Trimestriel",3,12)),0))))-TODAY())&amp;IF((IF(F20&gt;=TODAY(),F20,IF(E20="Hebdo",F20+7*ROUNDUP((TODAY()-F20)/7,0),EDATE(F20,IF(E20="Mensuel",1,IF(E20="Trimestriel",3,12))*ROUNDUP((DATEDIF(F20,TODAY(),"m")+1)/IF(E20="Mensuel",1,IF(E20="Trimestriel",3,12)),0))))-TODAY())&lt;=1," jour"," jours"),IF(AND(H20&lt;&gt;"",TODAY()-H20&gt;30),"Pas utilisé depuis "&amp;(TODAY()-H20)&amp;" jours","Renouvellement dans "&amp;(IF(F20&gt;=TODAY(),F20,IF(E20="Hebdo",F20+7*ROUNDUP((TODAY()-F20)/7,0),EDATE(F20,IF(E20="Mensuel",1,IF(E20="Trimestriel",3,12))*ROUNDUP((DATEDIF(F20,TODAY(),"m")+1)/IF(E20="Mensuel",1,IF(E20="Trimestriel",3,12)),0))))-TODAY())&amp;IF((IF(F20&gt;=TODAY(),F20,IF(E20="Hebdo",F20+7*ROUNDUP((TODAY()-F20)/7,0),EDATE(F20,IF(E20="Mensuel",1,IF(E20="Trimestriel",3,12))*ROUNDUP((DATEDIF(F20,TODAY(),"m")+1)/IF(E20="Mensuel",1,IF(E20="Trimestriel",3,12)),0))))-TODAY())&lt;=1," jour"," jours")))))</f>
        <v/>
      </c>
      <c r="M20" s="1" t="n"/>
    </row>
    <row r="21">
      <c r="A21" s="1" t="n"/>
      <c r="B21" s="22" t="n"/>
      <c r="C21" s="22" t="n"/>
      <c r="D21" s="23" t="n"/>
      <c r="E21" s="24" t="n"/>
      <c r="F21" s="25" t="n"/>
      <c r="G21" s="24" t="n"/>
      <c r="H21" s="25" t="n"/>
      <c r="I21" s="24" t="n"/>
      <c r="J21" s="16">
        <f>IF(B21="","",D21*IF(E21="Hebdo",52/12,IF(E21="Mensuel",1,IF(E21="Trimestriel",1/3,IF(E21="Annuel",1/12,0)))))</f>
        <v/>
      </c>
      <c r="K21" s="16">
        <f>IF(B21="","",J21*12)</f>
        <v/>
      </c>
      <c r="L21" s="26">
        <f>IF(OR(B21="",F21=""),"",IF(I21="Annuler","À annuler sous "&amp;(IF(F21&gt;=TODAY(),F21,IF(E21="Hebdo",F21+7*ROUNDUP((TODAY()-F21)/7,0),EDATE(F21,IF(E21="Mensuel",1,IF(E21="Trimestriel",3,12))*ROUNDUP((DATEDIF(F21,TODAY(),"m")+1)/IF(E21="Mensuel",1,IF(E21="Trimestriel",3,12)),0))))-TODAY())&amp;IF((IF(F21&gt;=TODAY(),F21,IF(E21="Hebdo",F21+7*ROUNDUP((TODAY()-F21)/7,0),EDATE(F21,IF(E21="Mensuel",1,IF(E21="Trimestriel",3,12))*ROUNDUP((DATEDIF(F21,TODAY(),"m")+1)/IF(E21="Mensuel",1,IF(E21="Trimestriel",3,12)),0))))-TODAY())&lt;=1," jour"," jours"),IF(G21="Oui","Fin de l'essai dans "&amp;(IF(F21&gt;=TODAY(),F21,IF(E21="Hebdo",F21+7*ROUNDUP((TODAY()-F21)/7,0),EDATE(F21,IF(E21="Mensuel",1,IF(E21="Trimestriel",3,12))*ROUNDUP((DATEDIF(F21,TODAY(),"m")+1)/IF(E21="Mensuel",1,IF(E21="Trimestriel",3,12)),0))))-TODAY())&amp;IF((IF(F21&gt;=TODAY(),F21,IF(E21="Hebdo",F21+7*ROUNDUP((TODAY()-F21)/7,0),EDATE(F21,IF(E21="Mensuel",1,IF(E21="Trimestriel",3,12))*ROUNDUP((DATEDIF(F21,TODAY(),"m")+1)/IF(E21="Mensuel",1,IF(E21="Trimestriel",3,12)),0))))-TODAY())&lt;=1," jour"," jours"),IF(AND(H21&lt;&gt;"",TODAY()-H21&gt;30),"Pas utilisé depuis "&amp;(TODAY()-H21)&amp;" jours","Renouvellement dans "&amp;(IF(F21&gt;=TODAY(),F21,IF(E21="Hebdo",F21+7*ROUNDUP((TODAY()-F21)/7,0),EDATE(F21,IF(E21="Mensuel",1,IF(E21="Trimestriel",3,12))*ROUNDUP((DATEDIF(F21,TODAY(),"m")+1)/IF(E21="Mensuel",1,IF(E21="Trimestriel",3,12)),0))))-TODAY())&amp;IF((IF(F21&gt;=TODAY(),F21,IF(E21="Hebdo",F21+7*ROUNDUP((TODAY()-F21)/7,0),EDATE(F21,IF(E21="Mensuel",1,IF(E21="Trimestriel",3,12))*ROUNDUP((DATEDIF(F21,TODAY(),"m")+1)/IF(E21="Mensuel",1,IF(E21="Trimestriel",3,12)),0))))-TODAY())&lt;=1," jour"," jours")))))</f>
        <v/>
      </c>
      <c r="M21" s="1" t="n"/>
    </row>
    <row r="22">
      <c r="A22" s="1" t="n"/>
      <c r="B22" s="22" t="n"/>
      <c r="C22" s="22" t="n"/>
      <c r="D22" s="23" t="n"/>
      <c r="E22" s="24" t="n"/>
      <c r="F22" s="25" t="n"/>
      <c r="G22" s="24" t="n"/>
      <c r="H22" s="25" t="n"/>
      <c r="I22" s="24" t="n"/>
      <c r="J22" s="16">
        <f>IF(B22="","",D22*IF(E22="Hebdo",52/12,IF(E22="Mensuel",1,IF(E22="Trimestriel",1/3,IF(E22="Annuel",1/12,0)))))</f>
        <v/>
      </c>
      <c r="K22" s="16">
        <f>IF(B22="","",J22*12)</f>
        <v/>
      </c>
      <c r="L22" s="26">
        <f>IF(OR(B22="",F22=""),"",IF(I22="Annuler","À annuler sous "&amp;(IF(F22&gt;=TODAY(),F22,IF(E22="Hebdo",F22+7*ROUNDUP((TODAY()-F22)/7,0),EDATE(F22,IF(E22="Mensuel",1,IF(E22="Trimestriel",3,12))*ROUNDUP((DATEDIF(F22,TODAY(),"m")+1)/IF(E22="Mensuel",1,IF(E22="Trimestriel",3,12)),0))))-TODAY())&amp;IF((IF(F22&gt;=TODAY(),F22,IF(E22="Hebdo",F22+7*ROUNDUP((TODAY()-F22)/7,0),EDATE(F22,IF(E22="Mensuel",1,IF(E22="Trimestriel",3,12))*ROUNDUP((DATEDIF(F22,TODAY(),"m")+1)/IF(E22="Mensuel",1,IF(E22="Trimestriel",3,12)),0))))-TODAY())&lt;=1," jour"," jours"),IF(G22="Oui","Fin de l'essai dans "&amp;(IF(F22&gt;=TODAY(),F22,IF(E22="Hebdo",F22+7*ROUNDUP((TODAY()-F22)/7,0),EDATE(F22,IF(E22="Mensuel",1,IF(E22="Trimestriel",3,12))*ROUNDUP((DATEDIF(F22,TODAY(),"m")+1)/IF(E22="Mensuel",1,IF(E22="Trimestriel",3,12)),0))))-TODAY())&amp;IF((IF(F22&gt;=TODAY(),F22,IF(E22="Hebdo",F22+7*ROUNDUP((TODAY()-F22)/7,0),EDATE(F22,IF(E22="Mensuel",1,IF(E22="Trimestriel",3,12))*ROUNDUP((DATEDIF(F22,TODAY(),"m")+1)/IF(E22="Mensuel",1,IF(E22="Trimestriel",3,12)),0))))-TODAY())&lt;=1," jour"," jours"),IF(AND(H22&lt;&gt;"",TODAY()-H22&gt;30),"Pas utilisé depuis "&amp;(TODAY()-H22)&amp;" jours","Renouvellement dans "&amp;(IF(F22&gt;=TODAY(),F22,IF(E22="Hebdo",F22+7*ROUNDUP((TODAY()-F22)/7,0),EDATE(F22,IF(E22="Mensuel",1,IF(E22="Trimestriel",3,12))*ROUNDUP((DATEDIF(F22,TODAY(),"m")+1)/IF(E22="Mensuel",1,IF(E22="Trimestriel",3,12)),0))))-TODAY())&amp;IF((IF(F22&gt;=TODAY(),F22,IF(E22="Hebdo",F22+7*ROUNDUP((TODAY()-F22)/7,0),EDATE(F22,IF(E22="Mensuel",1,IF(E22="Trimestriel",3,12))*ROUNDUP((DATEDIF(F22,TODAY(),"m")+1)/IF(E22="Mensuel",1,IF(E22="Trimestriel",3,12)),0))))-TODAY())&lt;=1," jour"," jours")))))</f>
        <v/>
      </c>
      <c r="M22" s="1" t="n"/>
    </row>
    <row r="23">
      <c r="A23" s="1" t="n"/>
      <c r="B23" s="22" t="n"/>
      <c r="C23" s="22" t="n"/>
      <c r="D23" s="23" t="n"/>
      <c r="E23" s="24" t="n"/>
      <c r="F23" s="25" t="n"/>
      <c r="G23" s="24" t="n"/>
      <c r="H23" s="25" t="n"/>
      <c r="I23" s="24" t="n"/>
      <c r="J23" s="16">
        <f>IF(B23="","",D23*IF(E23="Hebdo",52/12,IF(E23="Mensuel",1,IF(E23="Trimestriel",1/3,IF(E23="Annuel",1/12,0)))))</f>
        <v/>
      </c>
      <c r="K23" s="16">
        <f>IF(B23="","",J23*12)</f>
        <v/>
      </c>
      <c r="L23" s="26">
        <f>IF(OR(B23="",F23=""),"",IF(I23="Annuler","À annuler sous "&amp;(IF(F23&gt;=TODAY(),F23,IF(E23="Hebdo",F23+7*ROUNDUP((TODAY()-F23)/7,0),EDATE(F23,IF(E23="Mensuel",1,IF(E23="Trimestriel",3,12))*ROUNDUP((DATEDIF(F23,TODAY(),"m")+1)/IF(E23="Mensuel",1,IF(E23="Trimestriel",3,12)),0))))-TODAY())&amp;IF((IF(F23&gt;=TODAY(),F23,IF(E23="Hebdo",F23+7*ROUNDUP((TODAY()-F23)/7,0),EDATE(F23,IF(E23="Mensuel",1,IF(E23="Trimestriel",3,12))*ROUNDUP((DATEDIF(F23,TODAY(),"m")+1)/IF(E23="Mensuel",1,IF(E23="Trimestriel",3,12)),0))))-TODAY())&lt;=1," jour"," jours"),IF(G23="Oui","Fin de l'essai dans "&amp;(IF(F23&gt;=TODAY(),F23,IF(E23="Hebdo",F23+7*ROUNDUP((TODAY()-F23)/7,0),EDATE(F23,IF(E23="Mensuel",1,IF(E23="Trimestriel",3,12))*ROUNDUP((DATEDIF(F23,TODAY(),"m")+1)/IF(E23="Mensuel",1,IF(E23="Trimestriel",3,12)),0))))-TODAY())&amp;IF((IF(F23&gt;=TODAY(),F23,IF(E23="Hebdo",F23+7*ROUNDUP((TODAY()-F23)/7,0),EDATE(F23,IF(E23="Mensuel",1,IF(E23="Trimestriel",3,12))*ROUNDUP((DATEDIF(F23,TODAY(),"m")+1)/IF(E23="Mensuel",1,IF(E23="Trimestriel",3,12)),0))))-TODAY())&lt;=1," jour"," jours"),IF(AND(H23&lt;&gt;"",TODAY()-H23&gt;30),"Pas utilisé depuis "&amp;(TODAY()-H23)&amp;" jours","Renouvellement dans "&amp;(IF(F23&gt;=TODAY(),F23,IF(E23="Hebdo",F23+7*ROUNDUP((TODAY()-F23)/7,0),EDATE(F23,IF(E23="Mensuel",1,IF(E23="Trimestriel",3,12))*ROUNDUP((DATEDIF(F23,TODAY(),"m")+1)/IF(E23="Mensuel",1,IF(E23="Trimestriel",3,12)),0))))-TODAY())&amp;IF((IF(F23&gt;=TODAY(),F23,IF(E23="Hebdo",F23+7*ROUNDUP((TODAY()-F23)/7,0),EDATE(F23,IF(E23="Mensuel",1,IF(E23="Trimestriel",3,12))*ROUNDUP((DATEDIF(F23,TODAY(),"m")+1)/IF(E23="Mensuel",1,IF(E23="Trimestriel",3,12)),0))))-TODAY())&lt;=1," jour"," jours")))))</f>
        <v/>
      </c>
      <c r="M23" s="1" t="n"/>
    </row>
    <row r="24">
      <c r="A24" s="1" t="n"/>
      <c r="B24" s="22" t="n"/>
      <c r="C24" s="22" t="n"/>
      <c r="D24" s="23" t="n"/>
      <c r="E24" s="24" t="n"/>
      <c r="F24" s="25" t="n"/>
      <c r="G24" s="24" t="n"/>
      <c r="H24" s="25" t="n"/>
      <c r="I24" s="24" t="n"/>
      <c r="J24" s="16">
        <f>IF(B24="","",D24*IF(E24="Hebdo",52/12,IF(E24="Mensuel",1,IF(E24="Trimestriel",1/3,IF(E24="Annuel",1/12,0)))))</f>
        <v/>
      </c>
      <c r="K24" s="16">
        <f>IF(B24="","",J24*12)</f>
        <v/>
      </c>
      <c r="L24" s="26">
        <f>IF(OR(B24="",F24=""),"",IF(I24="Annuler","À annuler sous "&amp;(IF(F24&gt;=TODAY(),F24,IF(E24="Hebdo",F24+7*ROUNDUP((TODAY()-F24)/7,0),EDATE(F24,IF(E24="Mensuel",1,IF(E24="Trimestriel",3,12))*ROUNDUP((DATEDIF(F24,TODAY(),"m")+1)/IF(E24="Mensuel",1,IF(E24="Trimestriel",3,12)),0))))-TODAY())&amp;IF((IF(F24&gt;=TODAY(),F24,IF(E24="Hebdo",F24+7*ROUNDUP((TODAY()-F24)/7,0),EDATE(F24,IF(E24="Mensuel",1,IF(E24="Trimestriel",3,12))*ROUNDUP((DATEDIF(F24,TODAY(),"m")+1)/IF(E24="Mensuel",1,IF(E24="Trimestriel",3,12)),0))))-TODAY())&lt;=1," jour"," jours"),IF(G24="Oui","Fin de l'essai dans "&amp;(IF(F24&gt;=TODAY(),F24,IF(E24="Hebdo",F24+7*ROUNDUP((TODAY()-F24)/7,0),EDATE(F24,IF(E24="Mensuel",1,IF(E24="Trimestriel",3,12))*ROUNDUP((DATEDIF(F24,TODAY(),"m")+1)/IF(E24="Mensuel",1,IF(E24="Trimestriel",3,12)),0))))-TODAY())&amp;IF((IF(F24&gt;=TODAY(),F24,IF(E24="Hebdo",F24+7*ROUNDUP((TODAY()-F24)/7,0),EDATE(F24,IF(E24="Mensuel",1,IF(E24="Trimestriel",3,12))*ROUNDUP((DATEDIF(F24,TODAY(),"m")+1)/IF(E24="Mensuel",1,IF(E24="Trimestriel",3,12)),0))))-TODAY())&lt;=1," jour"," jours"),IF(AND(H24&lt;&gt;"",TODAY()-H24&gt;30),"Pas utilisé depuis "&amp;(TODAY()-H24)&amp;" jours","Renouvellement dans "&amp;(IF(F24&gt;=TODAY(),F24,IF(E24="Hebdo",F24+7*ROUNDUP((TODAY()-F24)/7,0),EDATE(F24,IF(E24="Mensuel",1,IF(E24="Trimestriel",3,12))*ROUNDUP((DATEDIF(F24,TODAY(),"m")+1)/IF(E24="Mensuel",1,IF(E24="Trimestriel",3,12)),0))))-TODAY())&amp;IF((IF(F24&gt;=TODAY(),F24,IF(E24="Hebdo",F24+7*ROUNDUP((TODAY()-F24)/7,0),EDATE(F24,IF(E24="Mensuel",1,IF(E24="Trimestriel",3,12))*ROUNDUP((DATEDIF(F24,TODAY(),"m")+1)/IF(E24="Mensuel",1,IF(E24="Trimestriel",3,12)),0))))-TODAY())&lt;=1," jour"," jours")))))</f>
        <v/>
      </c>
      <c r="M24" s="1" t="n"/>
    </row>
    <row r="25">
      <c r="A25" s="1" t="n"/>
      <c r="B25" s="22" t="n"/>
      <c r="C25" s="22" t="n"/>
      <c r="D25" s="23" t="n"/>
      <c r="E25" s="24" t="n"/>
      <c r="F25" s="25" t="n"/>
      <c r="G25" s="24" t="n"/>
      <c r="H25" s="25" t="n"/>
      <c r="I25" s="24" t="n"/>
      <c r="J25" s="16">
        <f>IF(B25="","",D25*IF(E25="Hebdo",52/12,IF(E25="Mensuel",1,IF(E25="Trimestriel",1/3,IF(E25="Annuel",1/12,0)))))</f>
        <v/>
      </c>
      <c r="K25" s="16">
        <f>IF(B25="","",J25*12)</f>
        <v/>
      </c>
      <c r="L25" s="26">
        <f>IF(OR(B25="",F25=""),"",IF(I25="Annuler","À annuler sous "&amp;(IF(F25&gt;=TODAY(),F25,IF(E25="Hebdo",F25+7*ROUNDUP((TODAY()-F25)/7,0),EDATE(F25,IF(E25="Mensuel",1,IF(E25="Trimestriel",3,12))*ROUNDUP((DATEDIF(F25,TODAY(),"m")+1)/IF(E25="Mensuel",1,IF(E25="Trimestriel",3,12)),0))))-TODAY())&amp;IF((IF(F25&gt;=TODAY(),F25,IF(E25="Hebdo",F25+7*ROUNDUP((TODAY()-F25)/7,0),EDATE(F25,IF(E25="Mensuel",1,IF(E25="Trimestriel",3,12))*ROUNDUP((DATEDIF(F25,TODAY(),"m")+1)/IF(E25="Mensuel",1,IF(E25="Trimestriel",3,12)),0))))-TODAY())&lt;=1," jour"," jours"),IF(G25="Oui","Fin de l'essai dans "&amp;(IF(F25&gt;=TODAY(),F25,IF(E25="Hebdo",F25+7*ROUNDUP((TODAY()-F25)/7,0),EDATE(F25,IF(E25="Mensuel",1,IF(E25="Trimestriel",3,12))*ROUNDUP((DATEDIF(F25,TODAY(),"m")+1)/IF(E25="Mensuel",1,IF(E25="Trimestriel",3,12)),0))))-TODAY())&amp;IF((IF(F25&gt;=TODAY(),F25,IF(E25="Hebdo",F25+7*ROUNDUP((TODAY()-F25)/7,0),EDATE(F25,IF(E25="Mensuel",1,IF(E25="Trimestriel",3,12))*ROUNDUP((DATEDIF(F25,TODAY(),"m")+1)/IF(E25="Mensuel",1,IF(E25="Trimestriel",3,12)),0))))-TODAY())&lt;=1," jour"," jours"),IF(AND(H25&lt;&gt;"",TODAY()-H25&gt;30),"Pas utilisé depuis "&amp;(TODAY()-H25)&amp;" jours","Renouvellement dans "&amp;(IF(F25&gt;=TODAY(),F25,IF(E25="Hebdo",F25+7*ROUNDUP((TODAY()-F25)/7,0),EDATE(F25,IF(E25="Mensuel",1,IF(E25="Trimestriel",3,12))*ROUNDUP((DATEDIF(F25,TODAY(),"m")+1)/IF(E25="Mensuel",1,IF(E25="Trimestriel",3,12)),0))))-TODAY())&amp;IF((IF(F25&gt;=TODAY(),F25,IF(E25="Hebdo",F25+7*ROUNDUP((TODAY()-F25)/7,0),EDATE(F25,IF(E25="Mensuel",1,IF(E25="Trimestriel",3,12))*ROUNDUP((DATEDIF(F25,TODAY(),"m")+1)/IF(E25="Mensuel",1,IF(E25="Trimestriel",3,12)),0))))-TODAY())&lt;=1," jour"," jours")))))</f>
        <v/>
      </c>
      <c r="M25" s="1" t="n"/>
    </row>
    <row r="26">
      <c r="A26" s="1" t="n"/>
      <c r="B26" s="22" t="n"/>
      <c r="C26" s="22" t="n"/>
      <c r="D26" s="23" t="n"/>
      <c r="E26" s="24" t="n"/>
      <c r="F26" s="25" t="n"/>
      <c r="G26" s="24" t="n"/>
      <c r="H26" s="25" t="n"/>
      <c r="I26" s="24" t="n"/>
      <c r="J26" s="16">
        <f>IF(B26="","",D26*IF(E26="Hebdo",52/12,IF(E26="Mensuel",1,IF(E26="Trimestriel",1/3,IF(E26="Annuel",1/12,0)))))</f>
        <v/>
      </c>
      <c r="K26" s="16">
        <f>IF(B26="","",J26*12)</f>
        <v/>
      </c>
      <c r="L26" s="26">
        <f>IF(OR(B26="",F26=""),"",IF(I26="Annuler","À annuler sous "&amp;(IF(F26&gt;=TODAY(),F26,IF(E26="Hebdo",F26+7*ROUNDUP((TODAY()-F26)/7,0),EDATE(F26,IF(E26="Mensuel",1,IF(E26="Trimestriel",3,12))*ROUNDUP((DATEDIF(F26,TODAY(),"m")+1)/IF(E26="Mensuel",1,IF(E26="Trimestriel",3,12)),0))))-TODAY())&amp;IF((IF(F26&gt;=TODAY(),F26,IF(E26="Hebdo",F26+7*ROUNDUP((TODAY()-F26)/7,0),EDATE(F26,IF(E26="Mensuel",1,IF(E26="Trimestriel",3,12))*ROUNDUP((DATEDIF(F26,TODAY(),"m")+1)/IF(E26="Mensuel",1,IF(E26="Trimestriel",3,12)),0))))-TODAY())&lt;=1," jour"," jours"),IF(G26="Oui","Fin de l'essai dans "&amp;(IF(F26&gt;=TODAY(),F26,IF(E26="Hebdo",F26+7*ROUNDUP((TODAY()-F26)/7,0),EDATE(F26,IF(E26="Mensuel",1,IF(E26="Trimestriel",3,12))*ROUNDUP((DATEDIF(F26,TODAY(),"m")+1)/IF(E26="Mensuel",1,IF(E26="Trimestriel",3,12)),0))))-TODAY())&amp;IF((IF(F26&gt;=TODAY(),F26,IF(E26="Hebdo",F26+7*ROUNDUP((TODAY()-F26)/7,0),EDATE(F26,IF(E26="Mensuel",1,IF(E26="Trimestriel",3,12))*ROUNDUP((DATEDIF(F26,TODAY(),"m")+1)/IF(E26="Mensuel",1,IF(E26="Trimestriel",3,12)),0))))-TODAY())&lt;=1," jour"," jours"),IF(AND(H26&lt;&gt;"",TODAY()-H26&gt;30),"Pas utilisé depuis "&amp;(TODAY()-H26)&amp;" jours","Renouvellement dans "&amp;(IF(F26&gt;=TODAY(),F26,IF(E26="Hebdo",F26+7*ROUNDUP((TODAY()-F26)/7,0),EDATE(F26,IF(E26="Mensuel",1,IF(E26="Trimestriel",3,12))*ROUNDUP((DATEDIF(F26,TODAY(),"m")+1)/IF(E26="Mensuel",1,IF(E26="Trimestriel",3,12)),0))))-TODAY())&amp;IF((IF(F26&gt;=TODAY(),F26,IF(E26="Hebdo",F26+7*ROUNDUP((TODAY()-F26)/7,0),EDATE(F26,IF(E26="Mensuel",1,IF(E26="Trimestriel",3,12))*ROUNDUP((DATEDIF(F26,TODAY(),"m")+1)/IF(E26="Mensuel",1,IF(E26="Trimestriel",3,12)),0))))-TODAY())&lt;=1," jour"," jours")))))</f>
        <v/>
      </c>
      <c r="M26" s="1" t="n"/>
    </row>
    <row r="27">
      <c r="A27" s="1" t="n"/>
      <c r="B27" s="22" t="n"/>
      <c r="C27" s="22" t="n"/>
      <c r="D27" s="23" t="n"/>
      <c r="E27" s="24" t="n"/>
      <c r="F27" s="25" t="n"/>
      <c r="G27" s="24" t="n"/>
      <c r="H27" s="25" t="n"/>
      <c r="I27" s="24" t="n"/>
      <c r="J27" s="16">
        <f>IF(B27="","",D27*IF(E27="Hebdo",52/12,IF(E27="Mensuel",1,IF(E27="Trimestriel",1/3,IF(E27="Annuel",1/12,0)))))</f>
        <v/>
      </c>
      <c r="K27" s="16">
        <f>IF(B27="","",J27*12)</f>
        <v/>
      </c>
      <c r="L27" s="26">
        <f>IF(OR(B27="",F27=""),"",IF(I27="Annuler","À annuler sous "&amp;(IF(F27&gt;=TODAY(),F27,IF(E27="Hebdo",F27+7*ROUNDUP((TODAY()-F27)/7,0),EDATE(F27,IF(E27="Mensuel",1,IF(E27="Trimestriel",3,12))*ROUNDUP((DATEDIF(F27,TODAY(),"m")+1)/IF(E27="Mensuel",1,IF(E27="Trimestriel",3,12)),0))))-TODAY())&amp;IF((IF(F27&gt;=TODAY(),F27,IF(E27="Hebdo",F27+7*ROUNDUP((TODAY()-F27)/7,0),EDATE(F27,IF(E27="Mensuel",1,IF(E27="Trimestriel",3,12))*ROUNDUP((DATEDIF(F27,TODAY(),"m")+1)/IF(E27="Mensuel",1,IF(E27="Trimestriel",3,12)),0))))-TODAY())&lt;=1," jour"," jours"),IF(G27="Oui","Fin de l'essai dans "&amp;(IF(F27&gt;=TODAY(),F27,IF(E27="Hebdo",F27+7*ROUNDUP((TODAY()-F27)/7,0),EDATE(F27,IF(E27="Mensuel",1,IF(E27="Trimestriel",3,12))*ROUNDUP((DATEDIF(F27,TODAY(),"m")+1)/IF(E27="Mensuel",1,IF(E27="Trimestriel",3,12)),0))))-TODAY())&amp;IF((IF(F27&gt;=TODAY(),F27,IF(E27="Hebdo",F27+7*ROUNDUP((TODAY()-F27)/7,0),EDATE(F27,IF(E27="Mensuel",1,IF(E27="Trimestriel",3,12))*ROUNDUP((DATEDIF(F27,TODAY(),"m")+1)/IF(E27="Mensuel",1,IF(E27="Trimestriel",3,12)),0))))-TODAY())&lt;=1," jour"," jours"),IF(AND(H27&lt;&gt;"",TODAY()-H27&gt;30),"Pas utilisé depuis "&amp;(TODAY()-H27)&amp;" jours","Renouvellement dans "&amp;(IF(F27&gt;=TODAY(),F27,IF(E27="Hebdo",F27+7*ROUNDUP((TODAY()-F27)/7,0),EDATE(F27,IF(E27="Mensuel",1,IF(E27="Trimestriel",3,12))*ROUNDUP((DATEDIF(F27,TODAY(),"m")+1)/IF(E27="Mensuel",1,IF(E27="Trimestriel",3,12)),0))))-TODAY())&amp;IF((IF(F27&gt;=TODAY(),F27,IF(E27="Hebdo",F27+7*ROUNDUP((TODAY()-F27)/7,0),EDATE(F27,IF(E27="Mensuel",1,IF(E27="Trimestriel",3,12))*ROUNDUP((DATEDIF(F27,TODAY(),"m")+1)/IF(E27="Mensuel",1,IF(E27="Trimestriel",3,12)),0))))-TODAY())&lt;=1," jour"," jours")))))</f>
        <v/>
      </c>
      <c r="M27" s="1" t="n"/>
    </row>
    <row r="28">
      <c r="A28" s="1" t="n"/>
      <c r="B28" s="22" t="n"/>
      <c r="C28" s="22" t="n"/>
      <c r="D28" s="23" t="n"/>
      <c r="E28" s="24" t="n"/>
      <c r="F28" s="25" t="n"/>
      <c r="G28" s="24" t="n"/>
      <c r="H28" s="25" t="n"/>
      <c r="I28" s="24" t="n"/>
      <c r="J28" s="16">
        <f>IF(B28="","",D28*IF(E28="Hebdo",52/12,IF(E28="Mensuel",1,IF(E28="Trimestriel",1/3,IF(E28="Annuel",1/12,0)))))</f>
        <v/>
      </c>
      <c r="K28" s="16">
        <f>IF(B28="","",J28*12)</f>
        <v/>
      </c>
      <c r="L28" s="26">
        <f>IF(OR(B28="",F28=""),"",IF(I28="Annuler","À annuler sous "&amp;(IF(F28&gt;=TODAY(),F28,IF(E28="Hebdo",F28+7*ROUNDUP((TODAY()-F28)/7,0),EDATE(F28,IF(E28="Mensuel",1,IF(E28="Trimestriel",3,12))*ROUNDUP((DATEDIF(F28,TODAY(),"m")+1)/IF(E28="Mensuel",1,IF(E28="Trimestriel",3,12)),0))))-TODAY())&amp;IF((IF(F28&gt;=TODAY(),F28,IF(E28="Hebdo",F28+7*ROUNDUP((TODAY()-F28)/7,0),EDATE(F28,IF(E28="Mensuel",1,IF(E28="Trimestriel",3,12))*ROUNDUP((DATEDIF(F28,TODAY(),"m")+1)/IF(E28="Mensuel",1,IF(E28="Trimestriel",3,12)),0))))-TODAY())&lt;=1," jour"," jours"),IF(G28="Oui","Fin de l'essai dans "&amp;(IF(F28&gt;=TODAY(),F28,IF(E28="Hebdo",F28+7*ROUNDUP((TODAY()-F28)/7,0),EDATE(F28,IF(E28="Mensuel",1,IF(E28="Trimestriel",3,12))*ROUNDUP((DATEDIF(F28,TODAY(),"m")+1)/IF(E28="Mensuel",1,IF(E28="Trimestriel",3,12)),0))))-TODAY())&amp;IF((IF(F28&gt;=TODAY(),F28,IF(E28="Hebdo",F28+7*ROUNDUP((TODAY()-F28)/7,0),EDATE(F28,IF(E28="Mensuel",1,IF(E28="Trimestriel",3,12))*ROUNDUP((DATEDIF(F28,TODAY(),"m")+1)/IF(E28="Mensuel",1,IF(E28="Trimestriel",3,12)),0))))-TODAY())&lt;=1," jour"," jours"),IF(AND(H28&lt;&gt;"",TODAY()-H28&gt;30),"Pas utilisé depuis "&amp;(TODAY()-H28)&amp;" jours","Renouvellement dans "&amp;(IF(F28&gt;=TODAY(),F28,IF(E28="Hebdo",F28+7*ROUNDUP((TODAY()-F28)/7,0),EDATE(F28,IF(E28="Mensuel",1,IF(E28="Trimestriel",3,12))*ROUNDUP((DATEDIF(F28,TODAY(),"m")+1)/IF(E28="Mensuel",1,IF(E28="Trimestriel",3,12)),0))))-TODAY())&amp;IF((IF(F28&gt;=TODAY(),F28,IF(E28="Hebdo",F28+7*ROUNDUP((TODAY()-F28)/7,0),EDATE(F28,IF(E28="Mensuel",1,IF(E28="Trimestriel",3,12))*ROUNDUP((DATEDIF(F28,TODAY(),"m")+1)/IF(E28="Mensuel",1,IF(E28="Trimestriel",3,12)),0))))-TODAY())&lt;=1," jour"," jours")))))</f>
        <v/>
      </c>
      <c r="M28" s="1" t="n"/>
    </row>
    <row r="29">
      <c r="A29" s="1" t="n"/>
      <c r="B29" s="22" t="n"/>
      <c r="C29" s="22" t="n"/>
      <c r="D29" s="23" t="n"/>
      <c r="E29" s="24" t="n"/>
      <c r="F29" s="25" t="n"/>
      <c r="G29" s="24" t="n"/>
      <c r="H29" s="25" t="n"/>
      <c r="I29" s="24" t="n"/>
      <c r="J29" s="16">
        <f>IF(B29="","",D29*IF(E29="Hebdo",52/12,IF(E29="Mensuel",1,IF(E29="Trimestriel",1/3,IF(E29="Annuel",1/12,0)))))</f>
        <v/>
      </c>
      <c r="K29" s="16">
        <f>IF(B29="","",J29*12)</f>
        <v/>
      </c>
      <c r="L29" s="26">
        <f>IF(OR(B29="",F29=""),"",IF(I29="Annuler","À annuler sous "&amp;(IF(F29&gt;=TODAY(),F29,IF(E29="Hebdo",F29+7*ROUNDUP((TODAY()-F29)/7,0),EDATE(F29,IF(E29="Mensuel",1,IF(E29="Trimestriel",3,12))*ROUNDUP((DATEDIF(F29,TODAY(),"m")+1)/IF(E29="Mensuel",1,IF(E29="Trimestriel",3,12)),0))))-TODAY())&amp;IF((IF(F29&gt;=TODAY(),F29,IF(E29="Hebdo",F29+7*ROUNDUP((TODAY()-F29)/7,0),EDATE(F29,IF(E29="Mensuel",1,IF(E29="Trimestriel",3,12))*ROUNDUP((DATEDIF(F29,TODAY(),"m")+1)/IF(E29="Mensuel",1,IF(E29="Trimestriel",3,12)),0))))-TODAY())&lt;=1," jour"," jours"),IF(G29="Oui","Fin de l'essai dans "&amp;(IF(F29&gt;=TODAY(),F29,IF(E29="Hebdo",F29+7*ROUNDUP((TODAY()-F29)/7,0),EDATE(F29,IF(E29="Mensuel",1,IF(E29="Trimestriel",3,12))*ROUNDUP((DATEDIF(F29,TODAY(),"m")+1)/IF(E29="Mensuel",1,IF(E29="Trimestriel",3,12)),0))))-TODAY())&amp;IF((IF(F29&gt;=TODAY(),F29,IF(E29="Hebdo",F29+7*ROUNDUP((TODAY()-F29)/7,0),EDATE(F29,IF(E29="Mensuel",1,IF(E29="Trimestriel",3,12))*ROUNDUP((DATEDIF(F29,TODAY(),"m")+1)/IF(E29="Mensuel",1,IF(E29="Trimestriel",3,12)),0))))-TODAY())&lt;=1," jour"," jours"),IF(AND(H29&lt;&gt;"",TODAY()-H29&gt;30),"Pas utilisé depuis "&amp;(TODAY()-H29)&amp;" jours","Renouvellement dans "&amp;(IF(F29&gt;=TODAY(),F29,IF(E29="Hebdo",F29+7*ROUNDUP((TODAY()-F29)/7,0),EDATE(F29,IF(E29="Mensuel",1,IF(E29="Trimestriel",3,12))*ROUNDUP((DATEDIF(F29,TODAY(),"m")+1)/IF(E29="Mensuel",1,IF(E29="Trimestriel",3,12)),0))))-TODAY())&amp;IF((IF(F29&gt;=TODAY(),F29,IF(E29="Hebdo",F29+7*ROUNDUP((TODAY()-F29)/7,0),EDATE(F29,IF(E29="Mensuel",1,IF(E29="Trimestriel",3,12))*ROUNDUP((DATEDIF(F29,TODAY(),"m")+1)/IF(E29="Mensuel",1,IF(E29="Trimestriel",3,12)),0))))-TODAY())&lt;=1," jour"," jours")))))</f>
        <v/>
      </c>
      <c r="M29" s="1" t="n"/>
    </row>
    <row r="30">
      <c r="A30" s="1" t="n"/>
      <c r="B30" s="22" t="n"/>
      <c r="C30" s="22" t="n"/>
      <c r="D30" s="23" t="n"/>
      <c r="E30" s="24" t="n"/>
      <c r="F30" s="25" t="n"/>
      <c r="G30" s="24" t="n"/>
      <c r="H30" s="25" t="n"/>
      <c r="I30" s="24" t="n"/>
      <c r="J30" s="16">
        <f>IF(B30="","",D30*IF(E30="Hebdo",52/12,IF(E30="Mensuel",1,IF(E30="Trimestriel",1/3,IF(E30="Annuel",1/12,0)))))</f>
        <v/>
      </c>
      <c r="K30" s="16">
        <f>IF(B30="","",J30*12)</f>
        <v/>
      </c>
      <c r="L30" s="26">
        <f>IF(OR(B30="",F30=""),"",IF(I30="Annuler","À annuler sous "&amp;(IF(F30&gt;=TODAY(),F30,IF(E30="Hebdo",F30+7*ROUNDUP((TODAY()-F30)/7,0),EDATE(F30,IF(E30="Mensuel",1,IF(E30="Trimestriel",3,12))*ROUNDUP((DATEDIF(F30,TODAY(),"m")+1)/IF(E30="Mensuel",1,IF(E30="Trimestriel",3,12)),0))))-TODAY())&amp;IF((IF(F30&gt;=TODAY(),F30,IF(E30="Hebdo",F30+7*ROUNDUP((TODAY()-F30)/7,0),EDATE(F30,IF(E30="Mensuel",1,IF(E30="Trimestriel",3,12))*ROUNDUP((DATEDIF(F30,TODAY(),"m")+1)/IF(E30="Mensuel",1,IF(E30="Trimestriel",3,12)),0))))-TODAY())&lt;=1," jour"," jours"),IF(G30="Oui","Fin de l'essai dans "&amp;(IF(F30&gt;=TODAY(),F30,IF(E30="Hebdo",F30+7*ROUNDUP((TODAY()-F30)/7,0),EDATE(F30,IF(E30="Mensuel",1,IF(E30="Trimestriel",3,12))*ROUNDUP((DATEDIF(F30,TODAY(),"m")+1)/IF(E30="Mensuel",1,IF(E30="Trimestriel",3,12)),0))))-TODAY())&amp;IF((IF(F30&gt;=TODAY(),F30,IF(E30="Hebdo",F30+7*ROUNDUP((TODAY()-F30)/7,0),EDATE(F30,IF(E30="Mensuel",1,IF(E30="Trimestriel",3,12))*ROUNDUP((DATEDIF(F30,TODAY(),"m")+1)/IF(E30="Mensuel",1,IF(E30="Trimestriel",3,12)),0))))-TODAY())&lt;=1," jour"," jours"),IF(AND(H30&lt;&gt;"",TODAY()-H30&gt;30),"Pas utilisé depuis "&amp;(TODAY()-H30)&amp;" jours","Renouvellement dans "&amp;(IF(F30&gt;=TODAY(),F30,IF(E30="Hebdo",F30+7*ROUNDUP((TODAY()-F30)/7,0),EDATE(F30,IF(E30="Mensuel",1,IF(E30="Trimestriel",3,12))*ROUNDUP((DATEDIF(F30,TODAY(),"m")+1)/IF(E30="Mensuel",1,IF(E30="Trimestriel",3,12)),0))))-TODAY())&amp;IF((IF(F30&gt;=TODAY(),F30,IF(E30="Hebdo",F30+7*ROUNDUP((TODAY()-F30)/7,0),EDATE(F30,IF(E30="Mensuel",1,IF(E30="Trimestriel",3,12))*ROUNDUP((DATEDIF(F30,TODAY(),"m")+1)/IF(E30="Mensuel",1,IF(E30="Trimestriel",3,12)),0))))-TODAY())&lt;=1," jour"," jours")))))</f>
        <v/>
      </c>
      <c r="M30" s="1" t="n"/>
    </row>
    <row r="31">
      <c r="A31" s="1" t="n"/>
      <c r="B31" s="22" t="n"/>
      <c r="C31" s="22" t="n"/>
      <c r="D31" s="23" t="n"/>
      <c r="E31" s="24" t="n"/>
      <c r="F31" s="25" t="n"/>
      <c r="G31" s="24" t="n"/>
      <c r="H31" s="25" t="n"/>
      <c r="I31" s="24" t="n"/>
      <c r="J31" s="16">
        <f>IF(B31="","",D31*IF(E31="Hebdo",52/12,IF(E31="Mensuel",1,IF(E31="Trimestriel",1/3,IF(E31="Annuel",1/12,0)))))</f>
        <v/>
      </c>
      <c r="K31" s="16">
        <f>IF(B31="","",J31*12)</f>
        <v/>
      </c>
      <c r="L31" s="26">
        <f>IF(OR(B31="",F31=""),"",IF(I31="Annuler","À annuler sous "&amp;(IF(F31&gt;=TODAY(),F31,IF(E31="Hebdo",F31+7*ROUNDUP((TODAY()-F31)/7,0),EDATE(F31,IF(E31="Mensuel",1,IF(E31="Trimestriel",3,12))*ROUNDUP((DATEDIF(F31,TODAY(),"m")+1)/IF(E31="Mensuel",1,IF(E31="Trimestriel",3,12)),0))))-TODAY())&amp;IF((IF(F31&gt;=TODAY(),F31,IF(E31="Hebdo",F31+7*ROUNDUP((TODAY()-F31)/7,0),EDATE(F31,IF(E31="Mensuel",1,IF(E31="Trimestriel",3,12))*ROUNDUP((DATEDIF(F31,TODAY(),"m")+1)/IF(E31="Mensuel",1,IF(E31="Trimestriel",3,12)),0))))-TODAY())&lt;=1," jour"," jours"),IF(G31="Oui","Fin de l'essai dans "&amp;(IF(F31&gt;=TODAY(),F31,IF(E31="Hebdo",F31+7*ROUNDUP((TODAY()-F31)/7,0),EDATE(F31,IF(E31="Mensuel",1,IF(E31="Trimestriel",3,12))*ROUNDUP((DATEDIF(F31,TODAY(),"m")+1)/IF(E31="Mensuel",1,IF(E31="Trimestriel",3,12)),0))))-TODAY())&amp;IF((IF(F31&gt;=TODAY(),F31,IF(E31="Hebdo",F31+7*ROUNDUP((TODAY()-F31)/7,0),EDATE(F31,IF(E31="Mensuel",1,IF(E31="Trimestriel",3,12))*ROUNDUP((DATEDIF(F31,TODAY(),"m")+1)/IF(E31="Mensuel",1,IF(E31="Trimestriel",3,12)),0))))-TODAY())&lt;=1," jour"," jours"),IF(AND(H31&lt;&gt;"",TODAY()-H31&gt;30),"Pas utilisé depuis "&amp;(TODAY()-H31)&amp;" jours","Renouvellement dans "&amp;(IF(F31&gt;=TODAY(),F31,IF(E31="Hebdo",F31+7*ROUNDUP((TODAY()-F31)/7,0),EDATE(F31,IF(E31="Mensuel",1,IF(E31="Trimestriel",3,12))*ROUNDUP((DATEDIF(F31,TODAY(),"m")+1)/IF(E31="Mensuel",1,IF(E31="Trimestriel",3,12)),0))))-TODAY())&amp;IF((IF(F31&gt;=TODAY(),F31,IF(E31="Hebdo",F31+7*ROUNDUP((TODAY()-F31)/7,0),EDATE(F31,IF(E31="Mensuel",1,IF(E31="Trimestriel",3,12))*ROUNDUP((DATEDIF(F31,TODAY(),"m")+1)/IF(E31="Mensuel",1,IF(E31="Trimestriel",3,12)),0))))-TODAY())&lt;=1," jour"," jours")))))</f>
        <v/>
      </c>
      <c r="M31" s="1" t="n"/>
    </row>
    <row r="32">
      <c r="A32" s="1" t="n"/>
      <c r="B32" s="22" t="n"/>
      <c r="C32" s="22" t="n"/>
      <c r="D32" s="23" t="n"/>
      <c r="E32" s="24" t="n"/>
      <c r="F32" s="25" t="n"/>
      <c r="G32" s="24" t="n"/>
      <c r="H32" s="25" t="n"/>
      <c r="I32" s="24" t="n"/>
      <c r="J32" s="16">
        <f>IF(B32="","",D32*IF(E32="Hebdo",52/12,IF(E32="Mensuel",1,IF(E32="Trimestriel",1/3,IF(E32="Annuel",1/12,0)))))</f>
        <v/>
      </c>
      <c r="K32" s="16">
        <f>IF(B32="","",J32*12)</f>
        <v/>
      </c>
      <c r="L32" s="26">
        <f>IF(OR(B32="",F32=""),"",IF(I32="Annuler","À annuler sous "&amp;(IF(F32&gt;=TODAY(),F32,IF(E32="Hebdo",F32+7*ROUNDUP((TODAY()-F32)/7,0),EDATE(F32,IF(E32="Mensuel",1,IF(E32="Trimestriel",3,12))*ROUNDUP((DATEDIF(F32,TODAY(),"m")+1)/IF(E32="Mensuel",1,IF(E32="Trimestriel",3,12)),0))))-TODAY())&amp;IF((IF(F32&gt;=TODAY(),F32,IF(E32="Hebdo",F32+7*ROUNDUP((TODAY()-F32)/7,0),EDATE(F32,IF(E32="Mensuel",1,IF(E32="Trimestriel",3,12))*ROUNDUP((DATEDIF(F32,TODAY(),"m")+1)/IF(E32="Mensuel",1,IF(E32="Trimestriel",3,12)),0))))-TODAY())&lt;=1," jour"," jours"),IF(G32="Oui","Fin de l'essai dans "&amp;(IF(F32&gt;=TODAY(),F32,IF(E32="Hebdo",F32+7*ROUNDUP((TODAY()-F32)/7,0),EDATE(F32,IF(E32="Mensuel",1,IF(E32="Trimestriel",3,12))*ROUNDUP((DATEDIF(F32,TODAY(),"m")+1)/IF(E32="Mensuel",1,IF(E32="Trimestriel",3,12)),0))))-TODAY())&amp;IF((IF(F32&gt;=TODAY(),F32,IF(E32="Hebdo",F32+7*ROUNDUP((TODAY()-F32)/7,0),EDATE(F32,IF(E32="Mensuel",1,IF(E32="Trimestriel",3,12))*ROUNDUP((DATEDIF(F32,TODAY(),"m")+1)/IF(E32="Mensuel",1,IF(E32="Trimestriel",3,12)),0))))-TODAY())&lt;=1," jour"," jours"),IF(AND(H32&lt;&gt;"",TODAY()-H32&gt;30),"Pas utilisé depuis "&amp;(TODAY()-H32)&amp;" jours","Renouvellement dans "&amp;(IF(F32&gt;=TODAY(),F32,IF(E32="Hebdo",F32+7*ROUNDUP((TODAY()-F32)/7,0),EDATE(F32,IF(E32="Mensuel",1,IF(E32="Trimestriel",3,12))*ROUNDUP((DATEDIF(F32,TODAY(),"m")+1)/IF(E32="Mensuel",1,IF(E32="Trimestriel",3,12)),0))))-TODAY())&amp;IF((IF(F32&gt;=TODAY(),F32,IF(E32="Hebdo",F32+7*ROUNDUP((TODAY()-F32)/7,0),EDATE(F32,IF(E32="Mensuel",1,IF(E32="Trimestriel",3,12))*ROUNDUP((DATEDIF(F32,TODAY(),"m")+1)/IF(E32="Mensuel",1,IF(E32="Trimestriel",3,12)),0))))-TODAY())&lt;=1," jour"," jours")))))</f>
        <v/>
      </c>
      <c r="M32" s="1" t="n"/>
    </row>
    <row r="33">
      <c r="A33" s="1" t="n"/>
      <c r="B33" s="22" t="n"/>
      <c r="C33" s="22" t="n"/>
      <c r="D33" s="23" t="n"/>
      <c r="E33" s="24" t="n"/>
      <c r="F33" s="25" t="n"/>
      <c r="G33" s="24" t="n"/>
      <c r="H33" s="25" t="n"/>
      <c r="I33" s="24" t="n"/>
      <c r="J33" s="16">
        <f>IF(B33="","",D33*IF(E33="Hebdo",52/12,IF(E33="Mensuel",1,IF(E33="Trimestriel",1/3,IF(E33="Annuel",1/12,0)))))</f>
        <v/>
      </c>
      <c r="K33" s="16">
        <f>IF(B33="","",J33*12)</f>
        <v/>
      </c>
      <c r="L33" s="26">
        <f>IF(OR(B33="",F33=""),"",IF(I33="Annuler","À annuler sous "&amp;(IF(F33&gt;=TODAY(),F33,IF(E33="Hebdo",F33+7*ROUNDUP((TODAY()-F33)/7,0),EDATE(F33,IF(E33="Mensuel",1,IF(E33="Trimestriel",3,12))*ROUNDUP((DATEDIF(F33,TODAY(),"m")+1)/IF(E33="Mensuel",1,IF(E33="Trimestriel",3,12)),0))))-TODAY())&amp;IF((IF(F33&gt;=TODAY(),F33,IF(E33="Hebdo",F33+7*ROUNDUP((TODAY()-F33)/7,0),EDATE(F33,IF(E33="Mensuel",1,IF(E33="Trimestriel",3,12))*ROUNDUP((DATEDIF(F33,TODAY(),"m")+1)/IF(E33="Mensuel",1,IF(E33="Trimestriel",3,12)),0))))-TODAY())&lt;=1," jour"," jours"),IF(G33="Oui","Fin de l'essai dans "&amp;(IF(F33&gt;=TODAY(),F33,IF(E33="Hebdo",F33+7*ROUNDUP((TODAY()-F33)/7,0),EDATE(F33,IF(E33="Mensuel",1,IF(E33="Trimestriel",3,12))*ROUNDUP((DATEDIF(F33,TODAY(),"m")+1)/IF(E33="Mensuel",1,IF(E33="Trimestriel",3,12)),0))))-TODAY())&amp;IF((IF(F33&gt;=TODAY(),F33,IF(E33="Hebdo",F33+7*ROUNDUP((TODAY()-F33)/7,0),EDATE(F33,IF(E33="Mensuel",1,IF(E33="Trimestriel",3,12))*ROUNDUP((DATEDIF(F33,TODAY(),"m")+1)/IF(E33="Mensuel",1,IF(E33="Trimestriel",3,12)),0))))-TODAY())&lt;=1," jour"," jours"),IF(AND(H33&lt;&gt;"",TODAY()-H33&gt;30),"Pas utilisé depuis "&amp;(TODAY()-H33)&amp;" jours","Renouvellement dans "&amp;(IF(F33&gt;=TODAY(),F33,IF(E33="Hebdo",F33+7*ROUNDUP((TODAY()-F33)/7,0),EDATE(F33,IF(E33="Mensuel",1,IF(E33="Trimestriel",3,12))*ROUNDUP((DATEDIF(F33,TODAY(),"m")+1)/IF(E33="Mensuel",1,IF(E33="Trimestriel",3,12)),0))))-TODAY())&amp;IF((IF(F33&gt;=TODAY(),F33,IF(E33="Hebdo",F33+7*ROUNDUP((TODAY()-F33)/7,0),EDATE(F33,IF(E33="Mensuel",1,IF(E33="Trimestriel",3,12))*ROUNDUP((DATEDIF(F33,TODAY(),"m")+1)/IF(E33="Mensuel",1,IF(E33="Trimestriel",3,12)),0))))-TODAY())&lt;=1," jour"," jours")))))</f>
        <v/>
      </c>
      <c r="M33" s="1" t="n"/>
    </row>
    <row r="34">
      <c r="A34" s="1" t="n"/>
      <c r="B34" s="22" t="n"/>
      <c r="C34" s="22" t="n"/>
      <c r="D34" s="23" t="n"/>
      <c r="E34" s="24" t="n"/>
      <c r="F34" s="25" t="n"/>
      <c r="G34" s="24" t="n"/>
      <c r="H34" s="25" t="n"/>
      <c r="I34" s="24" t="n"/>
      <c r="J34" s="16">
        <f>IF(B34="","",D34*IF(E34="Hebdo",52/12,IF(E34="Mensuel",1,IF(E34="Trimestriel",1/3,IF(E34="Annuel",1/12,0)))))</f>
        <v/>
      </c>
      <c r="K34" s="16">
        <f>IF(B34="","",J34*12)</f>
        <v/>
      </c>
      <c r="L34" s="26">
        <f>IF(OR(B34="",F34=""),"",IF(I34="Annuler","À annuler sous "&amp;(IF(F34&gt;=TODAY(),F34,IF(E34="Hebdo",F34+7*ROUNDUP((TODAY()-F34)/7,0),EDATE(F34,IF(E34="Mensuel",1,IF(E34="Trimestriel",3,12))*ROUNDUP((DATEDIF(F34,TODAY(),"m")+1)/IF(E34="Mensuel",1,IF(E34="Trimestriel",3,12)),0))))-TODAY())&amp;IF((IF(F34&gt;=TODAY(),F34,IF(E34="Hebdo",F34+7*ROUNDUP((TODAY()-F34)/7,0),EDATE(F34,IF(E34="Mensuel",1,IF(E34="Trimestriel",3,12))*ROUNDUP((DATEDIF(F34,TODAY(),"m")+1)/IF(E34="Mensuel",1,IF(E34="Trimestriel",3,12)),0))))-TODAY())&lt;=1," jour"," jours"),IF(G34="Oui","Fin de l'essai dans "&amp;(IF(F34&gt;=TODAY(),F34,IF(E34="Hebdo",F34+7*ROUNDUP((TODAY()-F34)/7,0),EDATE(F34,IF(E34="Mensuel",1,IF(E34="Trimestriel",3,12))*ROUNDUP((DATEDIF(F34,TODAY(),"m")+1)/IF(E34="Mensuel",1,IF(E34="Trimestriel",3,12)),0))))-TODAY())&amp;IF((IF(F34&gt;=TODAY(),F34,IF(E34="Hebdo",F34+7*ROUNDUP((TODAY()-F34)/7,0),EDATE(F34,IF(E34="Mensuel",1,IF(E34="Trimestriel",3,12))*ROUNDUP((DATEDIF(F34,TODAY(),"m")+1)/IF(E34="Mensuel",1,IF(E34="Trimestriel",3,12)),0))))-TODAY())&lt;=1," jour"," jours"),IF(AND(H34&lt;&gt;"",TODAY()-H34&gt;30),"Pas utilisé depuis "&amp;(TODAY()-H34)&amp;" jours","Renouvellement dans "&amp;(IF(F34&gt;=TODAY(),F34,IF(E34="Hebdo",F34+7*ROUNDUP((TODAY()-F34)/7,0),EDATE(F34,IF(E34="Mensuel",1,IF(E34="Trimestriel",3,12))*ROUNDUP((DATEDIF(F34,TODAY(),"m")+1)/IF(E34="Mensuel",1,IF(E34="Trimestriel",3,12)),0))))-TODAY())&amp;IF((IF(F34&gt;=TODAY(),F34,IF(E34="Hebdo",F34+7*ROUNDUP((TODAY()-F34)/7,0),EDATE(F34,IF(E34="Mensuel",1,IF(E34="Trimestriel",3,12))*ROUNDUP((DATEDIF(F34,TODAY(),"m")+1)/IF(E34="Mensuel",1,IF(E34="Trimestriel",3,12)),0))))-TODAY())&lt;=1," jour"," jours")))))</f>
        <v/>
      </c>
      <c r="M34" s="1" t="n"/>
    </row>
    <row r="35">
      <c r="A35" s="1" t="n"/>
      <c r="B35" s="22" t="n"/>
      <c r="C35" s="22" t="n"/>
      <c r="D35" s="23" t="n"/>
      <c r="E35" s="24" t="n"/>
      <c r="F35" s="25" t="n"/>
      <c r="G35" s="24" t="n"/>
      <c r="H35" s="25" t="n"/>
      <c r="I35" s="24" t="n"/>
      <c r="J35" s="16">
        <f>IF(B35="","",D35*IF(E35="Hebdo",52/12,IF(E35="Mensuel",1,IF(E35="Trimestriel",1/3,IF(E35="Annuel",1/12,0)))))</f>
        <v/>
      </c>
      <c r="K35" s="16">
        <f>IF(B35="","",J35*12)</f>
        <v/>
      </c>
      <c r="L35" s="26">
        <f>IF(OR(B35="",F35=""),"",IF(I35="Annuler","À annuler sous "&amp;(IF(F35&gt;=TODAY(),F35,IF(E35="Hebdo",F35+7*ROUNDUP((TODAY()-F35)/7,0),EDATE(F35,IF(E35="Mensuel",1,IF(E35="Trimestriel",3,12))*ROUNDUP((DATEDIF(F35,TODAY(),"m")+1)/IF(E35="Mensuel",1,IF(E35="Trimestriel",3,12)),0))))-TODAY())&amp;IF((IF(F35&gt;=TODAY(),F35,IF(E35="Hebdo",F35+7*ROUNDUP((TODAY()-F35)/7,0),EDATE(F35,IF(E35="Mensuel",1,IF(E35="Trimestriel",3,12))*ROUNDUP((DATEDIF(F35,TODAY(),"m")+1)/IF(E35="Mensuel",1,IF(E35="Trimestriel",3,12)),0))))-TODAY())&lt;=1," jour"," jours"),IF(G35="Oui","Fin de l'essai dans "&amp;(IF(F35&gt;=TODAY(),F35,IF(E35="Hebdo",F35+7*ROUNDUP((TODAY()-F35)/7,0),EDATE(F35,IF(E35="Mensuel",1,IF(E35="Trimestriel",3,12))*ROUNDUP((DATEDIF(F35,TODAY(),"m")+1)/IF(E35="Mensuel",1,IF(E35="Trimestriel",3,12)),0))))-TODAY())&amp;IF((IF(F35&gt;=TODAY(),F35,IF(E35="Hebdo",F35+7*ROUNDUP((TODAY()-F35)/7,0),EDATE(F35,IF(E35="Mensuel",1,IF(E35="Trimestriel",3,12))*ROUNDUP((DATEDIF(F35,TODAY(),"m")+1)/IF(E35="Mensuel",1,IF(E35="Trimestriel",3,12)),0))))-TODAY())&lt;=1," jour"," jours"),IF(AND(H35&lt;&gt;"",TODAY()-H35&gt;30),"Pas utilisé depuis "&amp;(TODAY()-H35)&amp;" jours","Renouvellement dans "&amp;(IF(F35&gt;=TODAY(),F35,IF(E35="Hebdo",F35+7*ROUNDUP((TODAY()-F35)/7,0),EDATE(F35,IF(E35="Mensuel",1,IF(E35="Trimestriel",3,12))*ROUNDUP((DATEDIF(F35,TODAY(),"m")+1)/IF(E35="Mensuel",1,IF(E35="Trimestriel",3,12)),0))))-TODAY())&amp;IF((IF(F35&gt;=TODAY(),F35,IF(E35="Hebdo",F35+7*ROUNDUP((TODAY()-F35)/7,0),EDATE(F35,IF(E35="Mensuel",1,IF(E35="Trimestriel",3,12))*ROUNDUP((DATEDIF(F35,TODAY(),"m")+1)/IF(E35="Mensuel",1,IF(E35="Trimestriel",3,12)),0))))-TODAY())&lt;=1," jour"," jours")))))</f>
        <v/>
      </c>
      <c r="M35" s="1" t="n"/>
    </row>
    <row r="36">
      <c r="A36" s="1" t="n"/>
      <c r="B36" s="22" t="n"/>
      <c r="C36" s="22" t="n"/>
      <c r="D36" s="23" t="n"/>
      <c r="E36" s="24" t="n"/>
      <c r="F36" s="25" t="n"/>
      <c r="G36" s="24" t="n"/>
      <c r="H36" s="25" t="n"/>
      <c r="I36" s="24" t="n"/>
      <c r="J36" s="16">
        <f>IF(B36="","",D36*IF(E36="Hebdo",52/12,IF(E36="Mensuel",1,IF(E36="Trimestriel",1/3,IF(E36="Annuel",1/12,0)))))</f>
        <v/>
      </c>
      <c r="K36" s="16">
        <f>IF(B36="","",J36*12)</f>
        <v/>
      </c>
      <c r="L36" s="26">
        <f>IF(OR(B36="",F36=""),"",IF(I36="Annuler","À annuler sous "&amp;(IF(F36&gt;=TODAY(),F36,IF(E36="Hebdo",F36+7*ROUNDUP((TODAY()-F36)/7,0),EDATE(F36,IF(E36="Mensuel",1,IF(E36="Trimestriel",3,12))*ROUNDUP((DATEDIF(F36,TODAY(),"m")+1)/IF(E36="Mensuel",1,IF(E36="Trimestriel",3,12)),0))))-TODAY())&amp;IF((IF(F36&gt;=TODAY(),F36,IF(E36="Hebdo",F36+7*ROUNDUP((TODAY()-F36)/7,0),EDATE(F36,IF(E36="Mensuel",1,IF(E36="Trimestriel",3,12))*ROUNDUP((DATEDIF(F36,TODAY(),"m")+1)/IF(E36="Mensuel",1,IF(E36="Trimestriel",3,12)),0))))-TODAY())&lt;=1," jour"," jours"),IF(G36="Oui","Fin de l'essai dans "&amp;(IF(F36&gt;=TODAY(),F36,IF(E36="Hebdo",F36+7*ROUNDUP((TODAY()-F36)/7,0),EDATE(F36,IF(E36="Mensuel",1,IF(E36="Trimestriel",3,12))*ROUNDUP((DATEDIF(F36,TODAY(),"m")+1)/IF(E36="Mensuel",1,IF(E36="Trimestriel",3,12)),0))))-TODAY())&amp;IF((IF(F36&gt;=TODAY(),F36,IF(E36="Hebdo",F36+7*ROUNDUP((TODAY()-F36)/7,0),EDATE(F36,IF(E36="Mensuel",1,IF(E36="Trimestriel",3,12))*ROUNDUP((DATEDIF(F36,TODAY(),"m")+1)/IF(E36="Mensuel",1,IF(E36="Trimestriel",3,12)),0))))-TODAY())&lt;=1," jour"," jours"),IF(AND(H36&lt;&gt;"",TODAY()-H36&gt;30),"Pas utilisé depuis "&amp;(TODAY()-H36)&amp;" jours","Renouvellement dans "&amp;(IF(F36&gt;=TODAY(),F36,IF(E36="Hebdo",F36+7*ROUNDUP((TODAY()-F36)/7,0),EDATE(F36,IF(E36="Mensuel",1,IF(E36="Trimestriel",3,12))*ROUNDUP((DATEDIF(F36,TODAY(),"m")+1)/IF(E36="Mensuel",1,IF(E36="Trimestriel",3,12)),0))))-TODAY())&amp;IF((IF(F36&gt;=TODAY(),F36,IF(E36="Hebdo",F36+7*ROUNDUP((TODAY()-F36)/7,0),EDATE(F36,IF(E36="Mensuel",1,IF(E36="Trimestriel",3,12))*ROUNDUP((DATEDIF(F36,TODAY(),"m")+1)/IF(E36="Mensuel",1,IF(E36="Trimestriel",3,12)),0))))-TODAY())&lt;=1," jour"," jours")))))</f>
        <v/>
      </c>
      <c r="M36" s="1" t="n"/>
    </row>
    <row r="37">
      <c r="A37" s="1" t="n"/>
      <c r="B37" s="22" t="n"/>
      <c r="C37" s="22" t="n"/>
      <c r="D37" s="23" t="n"/>
      <c r="E37" s="24" t="n"/>
      <c r="F37" s="25" t="n"/>
      <c r="G37" s="24" t="n"/>
      <c r="H37" s="25" t="n"/>
      <c r="I37" s="24" t="n"/>
      <c r="J37" s="16">
        <f>IF(B37="","",D37*IF(E37="Hebdo",52/12,IF(E37="Mensuel",1,IF(E37="Trimestriel",1/3,IF(E37="Annuel",1/12,0)))))</f>
        <v/>
      </c>
      <c r="K37" s="16">
        <f>IF(B37="","",J37*12)</f>
        <v/>
      </c>
      <c r="L37" s="26">
        <f>IF(OR(B37="",F37=""),"",IF(I37="Annuler","À annuler sous "&amp;(IF(F37&gt;=TODAY(),F37,IF(E37="Hebdo",F37+7*ROUNDUP((TODAY()-F37)/7,0),EDATE(F37,IF(E37="Mensuel",1,IF(E37="Trimestriel",3,12))*ROUNDUP((DATEDIF(F37,TODAY(),"m")+1)/IF(E37="Mensuel",1,IF(E37="Trimestriel",3,12)),0))))-TODAY())&amp;IF((IF(F37&gt;=TODAY(),F37,IF(E37="Hebdo",F37+7*ROUNDUP((TODAY()-F37)/7,0),EDATE(F37,IF(E37="Mensuel",1,IF(E37="Trimestriel",3,12))*ROUNDUP((DATEDIF(F37,TODAY(),"m")+1)/IF(E37="Mensuel",1,IF(E37="Trimestriel",3,12)),0))))-TODAY())&lt;=1," jour"," jours"),IF(G37="Oui","Fin de l'essai dans "&amp;(IF(F37&gt;=TODAY(),F37,IF(E37="Hebdo",F37+7*ROUNDUP((TODAY()-F37)/7,0),EDATE(F37,IF(E37="Mensuel",1,IF(E37="Trimestriel",3,12))*ROUNDUP((DATEDIF(F37,TODAY(),"m")+1)/IF(E37="Mensuel",1,IF(E37="Trimestriel",3,12)),0))))-TODAY())&amp;IF((IF(F37&gt;=TODAY(),F37,IF(E37="Hebdo",F37+7*ROUNDUP((TODAY()-F37)/7,0),EDATE(F37,IF(E37="Mensuel",1,IF(E37="Trimestriel",3,12))*ROUNDUP((DATEDIF(F37,TODAY(),"m")+1)/IF(E37="Mensuel",1,IF(E37="Trimestriel",3,12)),0))))-TODAY())&lt;=1," jour"," jours"),IF(AND(H37&lt;&gt;"",TODAY()-H37&gt;30),"Pas utilisé depuis "&amp;(TODAY()-H37)&amp;" jours","Renouvellement dans "&amp;(IF(F37&gt;=TODAY(),F37,IF(E37="Hebdo",F37+7*ROUNDUP((TODAY()-F37)/7,0),EDATE(F37,IF(E37="Mensuel",1,IF(E37="Trimestriel",3,12))*ROUNDUP((DATEDIF(F37,TODAY(),"m")+1)/IF(E37="Mensuel",1,IF(E37="Trimestriel",3,12)),0))))-TODAY())&amp;IF((IF(F37&gt;=TODAY(),F37,IF(E37="Hebdo",F37+7*ROUNDUP((TODAY()-F37)/7,0),EDATE(F37,IF(E37="Mensuel",1,IF(E37="Trimestriel",3,12))*ROUNDUP((DATEDIF(F37,TODAY(),"m")+1)/IF(E37="Mensuel",1,IF(E37="Trimestriel",3,12)),0))))-TODAY())&lt;=1," jour"," jours")))))</f>
        <v/>
      </c>
      <c r="M37" s="1" t="n"/>
    </row>
    <row r="38">
      <c r="A38" s="1" t="n"/>
      <c r="B38" s="22" t="n"/>
      <c r="C38" s="22" t="n"/>
      <c r="D38" s="23" t="n"/>
      <c r="E38" s="24" t="n"/>
      <c r="F38" s="25" t="n"/>
      <c r="G38" s="24" t="n"/>
      <c r="H38" s="25" t="n"/>
      <c r="I38" s="24" t="n"/>
      <c r="J38" s="16">
        <f>IF(B38="","",D38*IF(E38="Hebdo",52/12,IF(E38="Mensuel",1,IF(E38="Trimestriel",1/3,IF(E38="Annuel",1/12,0)))))</f>
        <v/>
      </c>
      <c r="K38" s="16">
        <f>IF(B38="","",J38*12)</f>
        <v/>
      </c>
      <c r="L38" s="26">
        <f>IF(OR(B38="",F38=""),"",IF(I38="Annuler","À annuler sous "&amp;(IF(F38&gt;=TODAY(),F38,IF(E38="Hebdo",F38+7*ROUNDUP((TODAY()-F38)/7,0),EDATE(F38,IF(E38="Mensuel",1,IF(E38="Trimestriel",3,12))*ROUNDUP((DATEDIF(F38,TODAY(),"m")+1)/IF(E38="Mensuel",1,IF(E38="Trimestriel",3,12)),0))))-TODAY())&amp;IF((IF(F38&gt;=TODAY(),F38,IF(E38="Hebdo",F38+7*ROUNDUP((TODAY()-F38)/7,0),EDATE(F38,IF(E38="Mensuel",1,IF(E38="Trimestriel",3,12))*ROUNDUP((DATEDIF(F38,TODAY(),"m")+1)/IF(E38="Mensuel",1,IF(E38="Trimestriel",3,12)),0))))-TODAY())&lt;=1," jour"," jours"),IF(G38="Oui","Fin de l'essai dans "&amp;(IF(F38&gt;=TODAY(),F38,IF(E38="Hebdo",F38+7*ROUNDUP((TODAY()-F38)/7,0),EDATE(F38,IF(E38="Mensuel",1,IF(E38="Trimestriel",3,12))*ROUNDUP((DATEDIF(F38,TODAY(),"m")+1)/IF(E38="Mensuel",1,IF(E38="Trimestriel",3,12)),0))))-TODAY())&amp;IF((IF(F38&gt;=TODAY(),F38,IF(E38="Hebdo",F38+7*ROUNDUP((TODAY()-F38)/7,0),EDATE(F38,IF(E38="Mensuel",1,IF(E38="Trimestriel",3,12))*ROUNDUP((DATEDIF(F38,TODAY(),"m")+1)/IF(E38="Mensuel",1,IF(E38="Trimestriel",3,12)),0))))-TODAY())&lt;=1," jour"," jours"),IF(AND(H38&lt;&gt;"",TODAY()-H38&gt;30),"Pas utilisé depuis "&amp;(TODAY()-H38)&amp;" jours","Renouvellement dans "&amp;(IF(F38&gt;=TODAY(),F38,IF(E38="Hebdo",F38+7*ROUNDUP((TODAY()-F38)/7,0),EDATE(F38,IF(E38="Mensuel",1,IF(E38="Trimestriel",3,12))*ROUNDUP((DATEDIF(F38,TODAY(),"m")+1)/IF(E38="Mensuel",1,IF(E38="Trimestriel",3,12)),0))))-TODAY())&amp;IF((IF(F38&gt;=TODAY(),F38,IF(E38="Hebdo",F38+7*ROUNDUP((TODAY()-F38)/7,0),EDATE(F38,IF(E38="Mensuel",1,IF(E38="Trimestriel",3,12))*ROUNDUP((DATEDIF(F38,TODAY(),"m")+1)/IF(E38="Mensuel",1,IF(E38="Trimestriel",3,12)),0))))-TODAY())&lt;=1," jour"," jours")))))</f>
        <v/>
      </c>
      <c r="M38" s="1" t="n"/>
    </row>
    <row r="39">
      <c r="A39" s="1" t="n"/>
      <c r="B39" s="22" t="n"/>
      <c r="C39" s="22" t="n"/>
      <c r="D39" s="23" t="n"/>
      <c r="E39" s="24" t="n"/>
      <c r="F39" s="25" t="n"/>
      <c r="G39" s="24" t="n"/>
      <c r="H39" s="25" t="n"/>
      <c r="I39" s="24" t="n"/>
      <c r="J39" s="16">
        <f>IF(B39="","",D39*IF(E39="Hebdo",52/12,IF(E39="Mensuel",1,IF(E39="Trimestriel",1/3,IF(E39="Annuel",1/12,0)))))</f>
        <v/>
      </c>
      <c r="K39" s="16">
        <f>IF(B39="","",J39*12)</f>
        <v/>
      </c>
      <c r="L39" s="26">
        <f>IF(OR(B39="",F39=""),"",IF(I39="Annuler","À annuler sous "&amp;(IF(F39&gt;=TODAY(),F39,IF(E39="Hebdo",F39+7*ROUNDUP((TODAY()-F39)/7,0),EDATE(F39,IF(E39="Mensuel",1,IF(E39="Trimestriel",3,12))*ROUNDUP((DATEDIF(F39,TODAY(),"m")+1)/IF(E39="Mensuel",1,IF(E39="Trimestriel",3,12)),0))))-TODAY())&amp;IF((IF(F39&gt;=TODAY(),F39,IF(E39="Hebdo",F39+7*ROUNDUP((TODAY()-F39)/7,0),EDATE(F39,IF(E39="Mensuel",1,IF(E39="Trimestriel",3,12))*ROUNDUP((DATEDIF(F39,TODAY(),"m")+1)/IF(E39="Mensuel",1,IF(E39="Trimestriel",3,12)),0))))-TODAY())&lt;=1," jour"," jours"),IF(G39="Oui","Fin de l'essai dans "&amp;(IF(F39&gt;=TODAY(),F39,IF(E39="Hebdo",F39+7*ROUNDUP((TODAY()-F39)/7,0),EDATE(F39,IF(E39="Mensuel",1,IF(E39="Trimestriel",3,12))*ROUNDUP((DATEDIF(F39,TODAY(),"m")+1)/IF(E39="Mensuel",1,IF(E39="Trimestriel",3,12)),0))))-TODAY())&amp;IF((IF(F39&gt;=TODAY(),F39,IF(E39="Hebdo",F39+7*ROUNDUP((TODAY()-F39)/7,0),EDATE(F39,IF(E39="Mensuel",1,IF(E39="Trimestriel",3,12))*ROUNDUP((DATEDIF(F39,TODAY(),"m")+1)/IF(E39="Mensuel",1,IF(E39="Trimestriel",3,12)),0))))-TODAY())&lt;=1," jour"," jours"),IF(AND(H39&lt;&gt;"",TODAY()-H39&gt;30),"Pas utilisé depuis "&amp;(TODAY()-H39)&amp;" jours","Renouvellement dans "&amp;(IF(F39&gt;=TODAY(),F39,IF(E39="Hebdo",F39+7*ROUNDUP((TODAY()-F39)/7,0),EDATE(F39,IF(E39="Mensuel",1,IF(E39="Trimestriel",3,12))*ROUNDUP((DATEDIF(F39,TODAY(),"m")+1)/IF(E39="Mensuel",1,IF(E39="Trimestriel",3,12)),0))))-TODAY())&amp;IF((IF(F39&gt;=TODAY(),F39,IF(E39="Hebdo",F39+7*ROUNDUP((TODAY()-F39)/7,0),EDATE(F39,IF(E39="Mensuel",1,IF(E39="Trimestriel",3,12))*ROUNDUP((DATEDIF(F39,TODAY(),"m")+1)/IF(E39="Mensuel",1,IF(E39="Trimestriel",3,12)),0))))-TODAY())&lt;=1," jour"," jours")))))</f>
        <v/>
      </c>
      <c r="M39" s="1" t="n"/>
    </row>
    <row r="40">
      <c r="A40" s="1" t="n"/>
      <c r="B40" s="22" t="n"/>
      <c r="C40" s="22" t="n"/>
      <c r="D40" s="23" t="n"/>
      <c r="E40" s="24" t="n"/>
      <c r="F40" s="25" t="n"/>
      <c r="G40" s="24" t="n"/>
      <c r="H40" s="25" t="n"/>
      <c r="I40" s="24" t="n"/>
      <c r="J40" s="16">
        <f>IF(B40="","",D40*IF(E40="Hebdo",52/12,IF(E40="Mensuel",1,IF(E40="Trimestriel",1/3,IF(E40="Annuel",1/12,0)))))</f>
        <v/>
      </c>
      <c r="K40" s="16">
        <f>IF(B40="","",J40*12)</f>
        <v/>
      </c>
      <c r="L40" s="26">
        <f>IF(OR(B40="",F40=""),"",IF(I40="Annuler","À annuler sous "&amp;(IF(F40&gt;=TODAY(),F40,IF(E40="Hebdo",F40+7*ROUNDUP((TODAY()-F40)/7,0),EDATE(F40,IF(E40="Mensuel",1,IF(E40="Trimestriel",3,12))*ROUNDUP((DATEDIF(F40,TODAY(),"m")+1)/IF(E40="Mensuel",1,IF(E40="Trimestriel",3,12)),0))))-TODAY())&amp;IF((IF(F40&gt;=TODAY(),F40,IF(E40="Hebdo",F40+7*ROUNDUP((TODAY()-F40)/7,0),EDATE(F40,IF(E40="Mensuel",1,IF(E40="Trimestriel",3,12))*ROUNDUP((DATEDIF(F40,TODAY(),"m")+1)/IF(E40="Mensuel",1,IF(E40="Trimestriel",3,12)),0))))-TODAY())&lt;=1," jour"," jours"),IF(G40="Oui","Fin de l'essai dans "&amp;(IF(F40&gt;=TODAY(),F40,IF(E40="Hebdo",F40+7*ROUNDUP((TODAY()-F40)/7,0),EDATE(F40,IF(E40="Mensuel",1,IF(E40="Trimestriel",3,12))*ROUNDUP((DATEDIF(F40,TODAY(),"m")+1)/IF(E40="Mensuel",1,IF(E40="Trimestriel",3,12)),0))))-TODAY())&amp;IF((IF(F40&gt;=TODAY(),F40,IF(E40="Hebdo",F40+7*ROUNDUP((TODAY()-F40)/7,0),EDATE(F40,IF(E40="Mensuel",1,IF(E40="Trimestriel",3,12))*ROUNDUP((DATEDIF(F40,TODAY(),"m")+1)/IF(E40="Mensuel",1,IF(E40="Trimestriel",3,12)),0))))-TODAY())&lt;=1," jour"," jours"),IF(AND(H40&lt;&gt;"",TODAY()-H40&gt;30),"Pas utilisé depuis "&amp;(TODAY()-H40)&amp;" jours","Renouvellement dans "&amp;(IF(F40&gt;=TODAY(),F40,IF(E40="Hebdo",F40+7*ROUNDUP((TODAY()-F40)/7,0),EDATE(F40,IF(E40="Mensuel",1,IF(E40="Trimestriel",3,12))*ROUNDUP((DATEDIF(F40,TODAY(),"m")+1)/IF(E40="Mensuel",1,IF(E40="Trimestriel",3,12)),0))))-TODAY())&amp;IF((IF(F40&gt;=TODAY(),F40,IF(E40="Hebdo",F40+7*ROUNDUP((TODAY()-F40)/7,0),EDATE(F40,IF(E40="Mensuel",1,IF(E40="Trimestriel",3,12))*ROUNDUP((DATEDIF(F40,TODAY(),"m")+1)/IF(E40="Mensuel",1,IF(E40="Trimestriel",3,12)),0))))-TODAY())&lt;=1," jour"," jours")))))</f>
        <v/>
      </c>
      <c r="M40" s="1" t="n"/>
    </row>
    <row r="41">
      <c r="A41" s="1" t="n"/>
      <c r="B41" s="22" t="n"/>
      <c r="C41" s="22" t="n"/>
      <c r="D41" s="23" t="n"/>
      <c r="E41" s="24" t="n"/>
      <c r="F41" s="25" t="n"/>
      <c r="G41" s="24" t="n"/>
      <c r="H41" s="25" t="n"/>
      <c r="I41" s="24" t="n"/>
      <c r="J41" s="16">
        <f>IF(B41="","",D41*IF(E41="Hebdo",52/12,IF(E41="Mensuel",1,IF(E41="Trimestriel",1/3,IF(E41="Annuel",1/12,0)))))</f>
        <v/>
      </c>
      <c r="K41" s="16">
        <f>IF(B41="","",J41*12)</f>
        <v/>
      </c>
      <c r="L41" s="26">
        <f>IF(OR(B41="",F41=""),"",IF(I41="Annuler","À annuler sous "&amp;(IF(F41&gt;=TODAY(),F41,IF(E41="Hebdo",F41+7*ROUNDUP((TODAY()-F41)/7,0),EDATE(F41,IF(E41="Mensuel",1,IF(E41="Trimestriel",3,12))*ROUNDUP((DATEDIF(F41,TODAY(),"m")+1)/IF(E41="Mensuel",1,IF(E41="Trimestriel",3,12)),0))))-TODAY())&amp;IF((IF(F41&gt;=TODAY(),F41,IF(E41="Hebdo",F41+7*ROUNDUP((TODAY()-F41)/7,0),EDATE(F41,IF(E41="Mensuel",1,IF(E41="Trimestriel",3,12))*ROUNDUP((DATEDIF(F41,TODAY(),"m")+1)/IF(E41="Mensuel",1,IF(E41="Trimestriel",3,12)),0))))-TODAY())&lt;=1," jour"," jours"),IF(G41="Oui","Fin de l'essai dans "&amp;(IF(F41&gt;=TODAY(),F41,IF(E41="Hebdo",F41+7*ROUNDUP((TODAY()-F41)/7,0),EDATE(F41,IF(E41="Mensuel",1,IF(E41="Trimestriel",3,12))*ROUNDUP((DATEDIF(F41,TODAY(),"m")+1)/IF(E41="Mensuel",1,IF(E41="Trimestriel",3,12)),0))))-TODAY())&amp;IF((IF(F41&gt;=TODAY(),F41,IF(E41="Hebdo",F41+7*ROUNDUP((TODAY()-F41)/7,0),EDATE(F41,IF(E41="Mensuel",1,IF(E41="Trimestriel",3,12))*ROUNDUP((DATEDIF(F41,TODAY(),"m")+1)/IF(E41="Mensuel",1,IF(E41="Trimestriel",3,12)),0))))-TODAY())&lt;=1," jour"," jours"),IF(AND(H41&lt;&gt;"",TODAY()-H41&gt;30),"Pas utilisé depuis "&amp;(TODAY()-H41)&amp;" jours","Renouvellement dans "&amp;(IF(F41&gt;=TODAY(),F41,IF(E41="Hebdo",F41+7*ROUNDUP((TODAY()-F41)/7,0),EDATE(F41,IF(E41="Mensuel",1,IF(E41="Trimestriel",3,12))*ROUNDUP((DATEDIF(F41,TODAY(),"m")+1)/IF(E41="Mensuel",1,IF(E41="Trimestriel",3,12)),0))))-TODAY())&amp;IF((IF(F41&gt;=TODAY(),F41,IF(E41="Hebdo",F41+7*ROUNDUP((TODAY()-F41)/7,0),EDATE(F41,IF(E41="Mensuel",1,IF(E41="Trimestriel",3,12))*ROUNDUP((DATEDIF(F41,TODAY(),"m")+1)/IF(E41="Mensuel",1,IF(E41="Trimestriel",3,12)),0))))-TODAY())&lt;=1," jour"," jours")))))</f>
        <v/>
      </c>
      <c r="M41" s="1" t="n"/>
    </row>
    <row r="42">
      <c r="A42" s="1" t="n"/>
      <c r="B42" s="22" t="n"/>
      <c r="C42" s="22" t="n"/>
      <c r="D42" s="23" t="n"/>
      <c r="E42" s="24" t="n"/>
      <c r="F42" s="25" t="n"/>
      <c r="G42" s="24" t="n"/>
      <c r="H42" s="25" t="n"/>
      <c r="I42" s="24" t="n"/>
      <c r="J42" s="16">
        <f>IF(B42="","",D42*IF(E42="Hebdo",52/12,IF(E42="Mensuel",1,IF(E42="Trimestriel",1/3,IF(E42="Annuel",1/12,0)))))</f>
        <v/>
      </c>
      <c r="K42" s="16">
        <f>IF(B42="","",J42*12)</f>
        <v/>
      </c>
      <c r="L42" s="26">
        <f>IF(OR(B42="",F42=""),"",IF(I42="Annuler","À annuler sous "&amp;(IF(F42&gt;=TODAY(),F42,IF(E42="Hebdo",F42+7*ROUNDUP((TODAY()-F42)/7,0),EDATE(F42,IF(E42="Mensuel",1,IF(E42="Trimestriel",3,12))*ROUNDUP((DATEDIF(F42,TODAY(),"m")+1)/IF(E42="Mensuel",1,IF(E42="Trimestriel",3,12)),0))))-TODAY())&amp;IF((IF(F42&gt;=TODAY(),F42,IF(E42="Hebdo",F42+7*ROUNDUP((TODAY()-F42)/7,0),EDATE(F42,IF(E42="Mensuel",1,IF(E42="Trimestriel",3,12))*ROUNDUP((DATEDIF(F42,TODAY(),"m")+1)/IF(E42="Mensuel",1,IF(E42="Trimestriel",3,12)),0))))-TODAY())&lt;=1," jour"," jours"),IF(G42="Oui","Fin de l'essai dans "&amp;(IF(F42&gt;=TODAY(),F42,IF(E42="Hebdo",F42+7*ROUNDUP((TODAY()-F42)/7,0),EDATE(F42,IF(E42="Mensuel",1,IF(E42="Trimestriel",3,12))*ROUNDUP((DATEDIF(F42,TODAY(),"m")+1)/IF(E42="Mensuel",1,IF(E42="Trimestriel",3,12)),0))))-TODAY())&amp;IF((IF(F42&gt;=TODAY(),F42,IF(E42="Hebdo",F42+7*ROUNDUP((TODAY()-F42)/7,0),EDATE(F42,IF(E42="Mensuel",1,IF(E42="Trimestriel",3,12))*ROUNDUP((DATEDIF(F42,TODAY(),"m")+1)/IF(E42="Mensuel",1,IF(E42="Trimestriel",3,12)),0))))-TODAY())&lt;=1," jour"," jours"),IF(AND(H42&lt;&gt;"",TODAY()-H42&gt;30),"Pas utilisé depuis "&amp;(TODAY()-H42)&amp;" jours","Renouvellement dans "&amp;(IF(F42&gt;=TODAY(),F42,IF(E42="Hebdo",F42+7*ROUNDUP((TODAY()-F42)/7,0),EDATE(F42,IF(E42="Mensuel",1,IF(E42="Trimestriel",3,12))*ROUNDUP((DATEDIF(F42,TODAY(),"m")+1)/IF(E42="Mensuel",1,IF(E42="Trimestriel",3,12)),0))))-TODAY())&amp;IF((IF(F42&gt;=TODAY(),F42,IF(E42="Hebdo",F42+7*ROUNDUP((TODAY()-F42)/7,0),EDATE(F42,IF(E42="Mensuel",1,IF(E42="Trimestriel",3,12))*ROUNDUP((DATEDIF(F42,TODAY(),"m")+1)/IF(E42="Mensuel",1,IF(E42="Trimestriel",3,12)),0))))-TODAY())&lt;=1," jour"," jours")))))</f>
        <v/>
      </c>
      <c r="M42" s="1" t="n"/>
    </row>
    <row r="43">
      <c r="A43" s="1" t="n"/>
      <c r="B43" s="22" t="n"/>
      <c r="C43" s="22" t="n"/>
      <c r="D43" s="23" t="n"/>
      <c r="E43" s="24" t="n"/>
      <c r="F43" s="25" t="n"/>
      <c r="G43" s="24" t="n"/>
      <c r="H43" s="25" t="n"/>
      <c r="I43" s="24" t="n"/>
      <c r="J43" s="16">
        <f>IF(B43="","",D43*IF(E43="Hebdo",52/12,IF(E43="Mensuel",1,IF(E43="Trimestriel",1/3,IF(E43="Annuel",1/12,0)))))</f>
        <v/>
      </c>
      <c r="K43" s="16">
        <f>IF(B43="","",J43*12)</f>
        <v/>
      </c>
      <c r="L43" s="26">
        <f>IF(OR(B43="",F43=""),"",IF(I43="Annuler","À annuler sous "&amp;(IF(F43&gt;=TODAY(),F43,IF(E43="Hebdo",F43+7*ROUNDUP((TODAY()-F43)/7,0),EDATE(F43,IF(E43="Mensuel",1,IF(E43="Trimestriel",3,12))*ROUNDUP((DATEDIF(F43,TODAY(),"m")+1)/IF(E43="Mensuel",1,IF(E43="Trimestriel",3,12)),0))))-TODAY())&amp;IF((IF(F43&gt;=TODAY(),F43,IF(E43="Hebdo",F43+7*ROUNDUP((TODAY()-F43)/7,0),EDATE(F43,IF(E43="Mensuel",1,IF(E43="Trimestriel",3,12))*ROUNDUP((DATEDIF(F43,TODAY(),"m")+1)/IF(E43="Mensuel",1,IF(E43="Trimestriel",3,12)),0))))-TODAY())&lt;=1," jour"," jours"),IF(G43="Oui","Fin de l'essai dans "&amp;(IF(F43&gt;=TODAY(),F43,IF(E43="Hebdo",F43+7*ROUNDUP((TODAY()-F43)/7,0),EDATE(F43,IF(E43="Mensuel",1,IF(E43="Trimestriel",3,12))*ROUNDUP((DATEDIF(F43,TODAY(),"m")+1)/IF(E43="Mensuel",1,IF(E43="Trimestriel",3,12)),0))))-TODAY())&amp;IF((IF(F43&gt;=TODAY(),F43,IF(E43="Hebdo",F43+7*ROUNDUP((TODAY()-F43)/7,0),EDATE(F43,IF(E43="Mensuel",1,IF(E43="Trimestriel",3,12))*ROUNDUP((DATEDIF(F43,TODAY(),"m")+1)/IF(E43="Mensuel",1,IF(E43="Trimestriel",3,12)),0))))-TODAY())&lt;=1," jour"," jours"),IF(AND(H43&lt;&gt;"",TODAY()-H43&gt;30),"Pas utilisé depuis "&amp;(TODAY()-H43)&amp;" jours","Renouvellement dans "&amp;(IF(F43&gt;=TODAY(),F43,IF(E43="Hebdo",F43+7*ROUNDUP((TODAY()-F43)/7,0),EDATE(F43,IF(E43="Mensuel",1,IF(E43="Trimestriel",3,12))*ROUNDUP((DATEDIF(F43,TODAY(),"m")+1)/IF(E43="Mensuel",1,IF(E43="Trimestriel",3,12)),0))))-TODAY())&amp;IF((IF(F43&gt;=TODAY(),F43,IF(E43="Hebdo",F43+7*ROUNDUP((TODAY()-F43)/7,0),EDATE(F43,IF(E43="Mensuel",1,IF(E43="Trimestriel",3,12))*ROUNDUP((DATEDIF(F43,TODAY(),"m")+1)/IF(E43="Mensuel",1,IF(E43="Trimestriel",3,12)),0))))-TODAY())&lt;=1," jour"," jours")))))</f>
        <v/>
      </c>
      <c r="M43" s="1" t="n"/>
    </row>
    <row r="44">
      <c r="A44" s="1" t="n"/>
      <c r="B44" s="22" t="n"/>
      <c r="C44" s="22" t="n"/>
      <c r="D44" s="23" t="n"/>
      <c r="E44" s="24" t="n"/>
      <c r="F44" s="25" t="n"/>
      <c r="G44" s="24" t="n"/>
      <c r="H44" s="25" t="n"/>
      <c r="I44" s="24" t="n"/>
      <c r="J44" s="16">
        <f>IF(B44="","",D44*IF(E44="Hebdo",52/12,IF(E44="Mensuel",1,IF(E44="Trimestriel",1/3,IF(E44="Annuel",1/12,0)))))</f>
        <v/>
      </c>
      <c r="K44" s="16">
        <f>IF(B44="","",J44*12)</f>
        <v/>
      </c>
      <c r="L44" s="26">
        <f>IF(OR(B44="",F44=""),"",IF(I44="Annuler","À annuler sous "&amp;(IF(F44&gt;=TODAY(),F44,IF(E44="Hebdo",F44+7*ROUNDUP((TODAY()-F44)/7,0),EDATE(F44,IF(E44="Mensuel",1,IF(E44="Trimestriel",3,12))*ROUNDUP((DATEDIF(F44,TODAY(),"m")+1)/IF(E44="Mensuel",1,IF(E44="Trimestriel",3,12)),0))))-TODAY())&amp;IF((IF(F44&gt;=TODAY(),F44,IF(E44="Hebdo",F44+7*ROUNDUP((TODAY()-F44)/7,0),EDATE(F44,IF(E44="Mensuel",1,IF(E44="Trimestriel",3,12))*ROUNDUP((DATEDIF(F44,TODAY(),"m")+1)/IF(E44="Mensuel",1,IF(E44="Trimestriel",3,12)),0))))-TODAY())&lt;=1," jour"," jours"),IF(G44="Oui","Fin de l'essai dans "&amp;(IF(F44&gt;=TODAY(),F44,IF(E44="Hebdo",F44+7*ROUNDUP((TODAY()-F44)/7,0),EDATE(F44,IF(E44="Mensuel",1,IF(E44="Trimestriel",3,12))*ROUNDUP((DATEDIF(F44,TODAY(),"m")+1)/IF(E44="Mensuel",1,IF(E44="Trimestriel",3,12)),0))))-TODAY())&amp;IF((IF(F44&gt;=TODAY(),F44,IF(E44="Hebdo",F44+7*ROUNDUP((TODAY()-F44)/7,0),EDATE(F44,IF(E44="Mensuel",1,IF(E44="Trimestriel",3,12))*ROUNDUP((DATEDIF(F44,TODAY(),"m")+1)/IF(E44="Mensuel",1,IF(E44="Trimestriel",3,12)),0))))-TODAY())&lt;=1," jour"," jours"),IF(AND(H44&lt;&gt;"",TODAY()-H44&gt;30),"Pas utilisé depuis "&amp;(TODAY()-H44)&amp;" jours","Renouvellement dans "&amp;(IF(F44&gt;=TODAY(),F44,IF(E44="Hebdo",F44+7*ROUNDUP((TODAY()-F44)/7,0),EDATE(F44,IF(E44="Mensuel",1,IF(E44="Trimestriel",3,12))*ROUNDUP((DATEDIF(F44,TODAY(),"m")+1)/IF(E44="Mensuel",1,IF(E44="Trimestriel",3,12)),0))))-TODAY())&amp;IF((IF(F44&gt;=TODAY(),F44,IF(E44="Hebdo",F44+7*ROUNDUP((TODAY()-F44)/7,0),EDATE(F44,IF(E44="Mensuel",1,IF(E44="Trimestriel",3,12))*ROUNDUP((DATEDIF(F44,TODAY(),"m")+1)/IF(E44="Mensuel",1,IF(E44="Trimestriel",3,12)),0))))-TODAY())&lt;=1," jour"," jours")))))</f>
        <v/>
      </c>
      <c r="M44" s="1" t="n"/>
    </row>
    <row r="45">
      <c r="A45" s="1" t="n"/>
      <c r="B45" s="22" t="n"/>
      <c r="C45" s="22" t="n"/>
      <c r="D45" s="23" t="n"/>
      <c r="E45" s="24" t="n"/>
      <c r="F45" s="25" t="n"/>
      <c r="G45" s="24" t="n"/>
      <c r="H45" s="25" t="n"/>
      <c r="I45" s="24" t="n"/>
      <c r="J45" s="16">
        <f>IF(B45="","",D45*IF(E45="Hebdo",52/12,IF(E45="Mensuel",1,IF(E45="Trimestriel",1/3,IF(E45="Annuel",1/12,0)))))</f>
        <v/>
      </c>
      <c r="K45" s="16">
        <f>IF(B45="","",J45*12)</f>
        <v/>
      </c>
      <c r="L45" s="26">
        <f>IF(OR(B45="",F45=""),"",IF(I45="Annuler","À annuler sous "&amp;(IF(F45&gt;=TODAY(),F45,IF(E45="Hebdo",F45+7*ROUNDUP((TODAY()-F45)/7,0),EDATE(F45,IF(E45="Mensuel",1,IF(E45="Trimestriel",3,12))*ROUNDUP((DATEDIF(F45,TODAY(),"m")+1)/IF(E45="Mensuel",1,IF(E45="Trimestriel",3,12)),0))))-TODAY())&amp;IF((IF(F45&gt;=TODAY(),F45,IF(E45="Hebdo",F45+7*ROUNDUP((TODAY()-F45)/7,0),EDATE(F45,IF(E45="Mensuel",1,IF(E45="Trimestriel",3,12))*ROUNDUP((DATEDIF(F45,TODAY(),"m")+1)/IF(E45="Mensuel",1,IF(E45="Trimestriel",3,12)),0))))-TODAY())&lt;=1," jour"," jours"),IF(G45="Oui","Fin de l'essai dans "&amp;(IF(F45&gt;=TODAY(),F45,IF(E45="Hebdo",F45+7*ROUNDUP((TODAY()-F45)/7,0),EDATE(F45,IF(E45="Mensuel",1,IF(E45="Trimestriel",3,12))*ROUNDUP((DATEDIF(F45,TODAY(),"m")+1)/IF(E45="Mensuel",1,IF(E45="Trimestriel",3,12)),0))))-TODAY())&amp;IF((IF(F45&gt;=TODAY(),F45,IF(E45="Hebdo",F45+7*ROUNDUP((TODAY()-F45)/7,0),EDATE(F45,IF(E45="Mensuel",1,IF(E45="Trimestriel",3,12))*ROUNDUP((DATEDIF(F45,TODAY(),"m")+1)/IF(E45="Mensuel",1,IF(E45="Trimestriel",3,12)),0))))-TODAY())&lt;=1," jour"," jours"),IF(AND(H45&lt;&gt;"",TODAY()-H45&gt;30),"Pas utilisé depuis "&amp;(TODAY()-H45)&amp;" jours","Renouvellement dans "&amp;(IF(F45&gt;=TODAY(),F45,IF(E45="Hebdo",F45+7*ROUNDUP((TODAY()-F45)/7,0),EDATE(F45,IF(E45="Mensuel",1,IF(E45="Trimestriel",3,12))*ROUNDUP((DATEDIF(F45,TODAY(),"m")+1)/IF(E45="Mensuel",1,IF(E45="Trimestriel",3,12)),0))))-TODAY())&amp;IF((IF(F45&gt;=TODAY(),F45,IF(E45="Hebdo",F45+7*ROUNDUP((TODAY()-F45)/7,0),EDATE(F45,IF(E45="Mensuel",1,IF(E45="Trimestriel",3,12))*ROUNDUP((DATEDIF(F45,TODAY(),"m")+1)/IF(E45="Mensuel",1,IF(E45="Trimestriel",3,12)),0))))-TODAY())&lt;=1," jour"," jours")))))</f>
        <v/>
      </c>
      <c r="M45" s="1" t="n"/>
    </row>
    <row r="46">
      <c r="A46" s="1" t="n"/>
      <c r="B46" s="22" t="n"/>
      <c r="C46" s="22" t="n"/>
      <c r="D46" s="23" t="n"/>
      <c r="E46" s="24" t="n"/>
      <c r="F46" s="25" t="n"/>
      <c r="G46" s="24" t="n"/>
      <c r="H46" s="25" t="n"/>
      <c r="I46" s="24" t="n"/>
      <c r="J46" s="16">
        <f>IF(B46="","",D46*IF(E46="Hebdo",52/12,IF(E46="Mensuel",1,IF(E46="Trimestriel",1/3,IF(E46="Annuel",1/12,0)))))</f>
        <v/>
      </c>
      <c r="K46" s="16">
        <f>IF(B46="","",J46*12)</f>
        <v/>
      </c>
      <c r="L46" s="26">
        <f>IF(OR(B46="",F46=""),"",IF(I46="Annuler","À annuler sous "&amp;(IF(F46&gt;=TODAY(),F46,IF(E46="Hebdo",F46+7*ROUNDUP((TODAY()-F46)/7,0),EDATE(F46,IF(E46="Mensuel",1,IF(E46="Trimestriel",3,12))*ROUNDUP((DATEDIF(F46,TODAY(),"m")+1)/IF(E46="Mensuel",1,IF(E46="Trimestriel",3,12)),0))))-TODAY())&amp;IF((IF(F46&gt;=TODAY(),F46,IF(E46="Hebdo",F46+7*ROUNDUP((TODAY()-F46)/7,0),EDATE(F46,IF(E46="Mensuel",1,IF(E46="Trimestriel",3,12))*ROUNDUP((DATEDIF(F46,TODAY(),"m")+1)/IF(E46="Mensuel",1,IF(E46="Trimestriel",3,12)),0))))-TODAY())&lt;=1," jour"," jours"),IF(G46="Oui","Fin de l'essai dans "&amp;(IF(F46&gt;=TODAY(),F46,IF(E46="Hebdo",F46+7*ROUNDUP((TODAY()-F46)/7,0),EDATE(F46,IF(E46="Mensuel",1,IF(E46="Trimestriel",3,12))*ROUNDUP((DATEDIF(F46,TODAY(),"m")+1)/IF(E46="Mensuel",1,IF(E46="Trimestriel",3,12)),0))))-TODAY())&amp;IF((IF(F46&gt;=TODAY(),F46,IF(E46="Hebdo",F46+7*ROUNDUP((TODAY()-F46)/7,0),EDATE(F46,IF(E46="Mensuel",1,IF(E46="Trimestriel",3,12))*ROUNDUP((DATEDIF(F46,TODAY(),"m")+1)/IF(E46="Mensuel",1,IF(E46="Trimestriel",3,12)),0))))-TODAY())&lt;=1," jour"," jours"),IF(AND(H46&lt;&gt;"",TODAY()-H46&gt;30),"Pas utilisé depuis "&amp;(TODAY()-H46)&amp;" jours","Renouvellement dans "&amp;(IF(F46&gt;=TODAY(),F46,IF(E46="Hebdo",F46+7*ROUNDUP((TODAY()-F46)/7,0),EDATE(F46,IF(E46="Mensuel",1,IF(E46="Trimestriel",3,12))*ROUNDUP((DATEDIF(F46,TODAY(),"m")+1)/IF(E46="Mensuel",1,IF(E46="Trimestriel",3,12)),0))))-TODAY())&amp;IF((IF(F46&gt;=TODAY(),F46,IF(E46="Hebdo",F46+7*ROUNDUP((TODAY()-F46)/7,0),EDATE(F46,IF(E46="Mensuel",1,IF(E46="Trimestriel",3,12))*ROUNDUP((DATEDIF(F46,TODAY(),"m")+1)/IF(E46="Mensuel",1,IF(E46="Trimestriel",3,12)),0))))-TODAY())&lt;=1," jour"," jours")))))</f>
        <v/>
      </c>
      <c r="M46" s="1" t="n"/>
    </row>
    <row r="47">
      <c r="A47" s="1" t="n"/>
      <c r="B47" s="22" t="n"/>
      <c r="C47" s="22" t="n"/>
      <c r="D47" s="23" t="n"/>
      <c r="E47" s="24" t="n"/>
      <c r="F47" s="25" t="n"/>
      <c r="G47" s="24" t="n"/>
      <c r="H47" s="25" t="n"/>
      <c r="I47" s="24" t="n"/>
      <c r="J47" s="16">
        <f>IF(B47="","",D47*IF(E47="Hebdo",52/12,IF(E47="Mensuel",1,IF(E47="Trimestriel",1/3,IF(E47="Annuel",1/12,0)))))</f>
        <v/>
      </c>
      <c r="K47" s="16">
        <f>IF(B47="","",J47*12)</f>
        <v/>
      </c>
      <c r="L47" s="26">
        <f>IF(OR(B47="",F47=""),"",IF(I47="Annuler","À annuler sous "&amp;(IF(F47&gt;=TODAY(),F47,IF(E47="Hebdo",F47+7*ROUNDUP((TODAY()-F47)/7,0),EDATE(F47,IF(E47="Mensuel",1,IF(E47="Trimestriel",3,12))*ROUNDUP((DATEDIF(F47,TODAY(),"m")+1)/IF(E47="Mensuel",1,IF(E47="Trimestriel",3,12)),0))))-TODAY())&amp;IF((IF(F47&gt;=TODAY(),F47,IF(E47="Hebdo",F47+7*ROUNDUP((TODAY()-F47)/7,0),EDATE(F47,IF(E47="Mensuel",1,IF(E47="Trimestriel",3,12))*ROUNDUP((DATEDIF(F47,TODAY(),"m")+1)/IF(E47="Mensuel",1,IF(E47="Trimestriel",3,12)),0))))-TODAY())&lt;=1," jour"," jours"),IF(G47="Oui","Fin de l'essai dans "&amp;(IF(F47&gt;=TODAY(),F47,IF(E47="Hebdo",F47+7*ROUNDUP((TODAY()-F47)/7,0),EDATE(F47,IF(E47="Mensuel",1,IF(E47="Trimestriel",3,12))*ROUNDUP((DATEDIF(F47,TODAY(),"m")+1)/IF(E47="Mensuel",1,IF(E47="Trimestriel",3,12)),0))))-TODAY())&amp;IF((IF(F47&gt;=TODAY(),F47,IF(E47="Hebdo",F47+7*ROUNDUP((TODAY()-F47)/7,0),EDATE(F47,IF(E47="Mensuel",1,IF(E47="Trimestriel",3,12))*ROUNDUP((DATEDIF(F47,TODAY(),"m")+1)/IF(E47="Mensuel",1,IF(E47="Trimestriel",3,12)),0))))-TODAY())&lt;=1," jour"," jours"),IF(AND(H47&lt;&gt;"",TODAY()-H47&gt;30),"Pas utilisé depuis "&amp;(TODAY()-H47)&amp;" jours","Renouvellement dans "&amp;(IF(F47&gt;=TODAY(),F47,IF(E47="Hebdo",F47+7*ROUNDUP((TODAY()-F47)/7,0),EDATE(F47,IF(E47="Mensuel",1,IF(E47="Trimestriel",3,12))*ROUNDUP((DATEDIF(F47,TODAY(),"m")+1)/IF(E47="Mensuel",1,IF(E47="Trimestriel",3,12)),0))))-TODAY())&amp;IF((IF(F47&gt;=TODAY(),F47,IF(E47="Hebdo",F47+7*ROUNDUP((TODAY()-F47)/7,0),EDATE(F47,IF(E47="Mensuel",1,IF(E47="Trimestriel",3,12))*ROUNDUP((DATEDIF(F47,TODAY(),"m")+1)/IF(E47="Mensuel",1,IF(E47="Trimestriel",3,12)),0))))-TODAY())&lt;=1," jour"," jours")))))</f>
        <v/>
      </c>
      <c r="M47" s="1" t="n"/>
    </row>
    <row r="48">
      <c r="A48" s="1" t="n"/>
      <c r="B48" s="22" t="n"/>
      <c r="C48" s="22" t="n"/>
      <c r="D48" s="23" t="n"/>
      <c r="E48" s="24" t="n"/>
      <c r="F48" s="25" t="n"/>
      <c r="G48" s="24" t="n"/>
      <c r="H48" s="25" t="n"/>
      <c r="I48" s="24" t="n"/>
      <c r="J48" s="16">
        <f>IF(B48="","",D48*IF(E48="Hebdo",52/12,IF(E48="Mensuel",1,IF(E48="Trimestriel",1/3,IF(E48="Annuel",1/12,0)))))</f>
        <v/>
      </c>
      <c r="K48" s="16">
        <f>IF(B48="","",J48*12)</f>
        <v/>
      </c>
      <c r="L48" s="26">
        <f>IF(OR(B48="",F48=""),"",IF(I48="Annuler","À annuler sous "&amp;(IF(F48&gt;=TODAY(),F48,IF(E48="Hebdo",F48+7*ROUNDUP((TODAY()-F48)/7,0),EDATE(F48,IF(E48="Mensuel",1,IF(E48="Trimestriel",3,12))*ROUNDUP((DATEDIF(F48,TODAY(),"m")+1)/IF(E48="Mensuel",1,IF(E48="Trimestriel",3,12)),0))))-TODAY())&amp;IF((IF(F48&gt;=TODAY(),F48,IF(E48="Hebdo",F48+7*ROUNDUP((TODAY()-F48)/7,0),EDATE(F48,IF(E48="Mensuel",1,IF(E48="Trimestriel",3,12))*ROUNDUP((DATEDIF(F48,TODAY(),"m")+1)/IF(E48="Mensuel",1,IF(E48="Trimestriel",3,12)),0))))-TODAY())&lt;=1," jour"," jours"),IF(G48="Oui","Fin de l'essai dans "&amp;(IF(F48&gt;=TODAY(),F48,IF(E48="Hebdo",F48+7*ROUNDUP((TODAY()-F48)/7,0),EDATE(F48,IF(E48="Mensuel",1,IF(E48="Trimestriel",3,12))*ROUNDUP((DATEDIF(F48,TODAY(),"m")+1)/IF(E48="Mensuel",1,IF(E48="Trimestriel",3,12)),0))))-TODAY())&amp;IF((IF(F48&gt;=TODAY(),F48,IF(E48="Hebdo",F48+7*ROUNDUP((TODAY()-F48)/7,0),EDATE(F48,IF(E48="Mensuel",1,IF(E48="Trimestriel",3,12))*ROUNDUP((DATEDIF(F48,TODAY(),"m")+1)/IF(E48="Mensuel",1,IF(E48="Trimestriel",3,12)),0))))-TODAY())&lt;=1," jour"," jours"),IF(AND(H48&lt;&gt;"",TODAY()-H48&gt;30),"Pas utilisé depuis "&amp;(TODAY()-H48)&amp;" jours","Renouvellement dans "&amp;(IF(F48&gt;=TODAY(),F48,IF(E48="Hebdo",F48+7*ROUNDUP((TODAY()-F48)/7,0),EDATE(F48,IF(E48="Mensuel",1,IF(E48="Trimestriel",3,12))*ROUNDUP((DATEDIF(F48,TODAY(),"m")+1)/IF(E48="Mensuel",1,IF(E48="Trimestriel",3,12)),0))))-TODAY())&amp;IF((IF(F48&gt;=TODAY(),F48,IF(E48="Hebdo",F48+7*ROUNDUP((TODAY()-F48)/7,0),EDATE(F48,IF(E48="Mensuel",1,IF(E48="Trimestriel",3,12))*ROUNDUP((DATEDIF(F48,TODAY(),"m")+1)/IF(E48="Mensuel",1,IF(E48="Trimestriel",3,12)),0))))-TODAY())&lt;=1," jour"," jours")))))</f>
        <v/>
      </c>
      <c r="M48" s="1" t="n"/>
    </row>
    <row r="49">
      <c r="A49" s="1" t="n"/>
      <c r="B49" s="22" t="n"/>
      <c r="C49" s="22" t="n"/>
      <c r="D49" s="23" t="n"/>
      <c r="E49" s="24" t="n"/>
      <c r="F49" s="25" t="n"/>
      <c r="G49" s="24" t="n"/>
      <c r="H49" s="25" t="n"/>
      <c r="I49" s="24" t="n"/>
      <c r="J49" s="16">
        <f>IF(B49="","",D49*IF(E49="Hebdo",52/12,IF(E49="Mensuel",1,IF(E49="Trimestriel",1/3,IF(E49="Annuel",1/12,0)))))</f>
        <v/>
      </c>
      <c r="K49" s="16">
        <f>IF(B49="","",J49*12)</f>
        <v/>
      </c>
      <c r="L49" s="26">
        <f>IF(OR(B49="",F49=""),"",IF(I49="Annuler","À annuler sous "&amp;(IF(F49&gt;=TODAY(),F49,IF(E49="Hebdo",F49+7*ROUNDUP((TODAY()-F49)/7,0),EDATE(F49,IF(E49="Mensuel",1,IF(E49="Trimestriel",3,12))*ROUNDUP((DATEDIF(F49,TODAY(),"m")+1)/IF(E49="Mensuel",1,IF(E49="Trimestriel",3,12)),0))))-TODAY())&amp;IF((IF(F49&gt;=TODAY(),F49,IF(E49="Hebdo",F49+7*ROUNDUP((TODAY()-F49)/7,0),EDATE(F49,IF(E49="Mensuel",1,IF(E49="Trimestriel",3,12))*ROUNDUP((DATEDIF(F49,TODAY(),"m")+1)/IF(E49="Mensuel",1,IF(E49="Trimestriel",3,12)),0))))-TODAY())&lt;=1," jour"," jours"),IF(G49="Oui","Fin de l'essai dans "&amp;(IF(F49&gt;=TODAY(),F49,IF(E49="Hebdo",F49+7*ROUNDUP((TODAY()-F49)/7,0),EDATE(F49,IF(E49="Mensuel",1,IF(E49="Trimestriel",3,12))*ROUNDUP((DATEDIF(F49,TODAY(),"m")+1)/IF(E49="Mensuel",1,IF(E49="Trimestriel",3,12)),0))))-TODAY())&amp;IF((IF(F49&gt;=TODAY(),F49,IF(E49="Hebdo",F49+7*ROUNDUP((TODAY()-F49)/7,0),EDATE(F49,IF(E49="Mensuel",1,IF(E49="Trimestriel",3,12))*ROUNDUP((DATEDIF(F49,TODAY(),"m")+1)/IF(E49="Mensuel",1,IF(E49="Trimestriel",3,12)),0))))-TODAY())&lt;=1," jour"," jours"),IF(AND(H49&lt;&gt;"",TODAY()-H49&gt;30),"Pas utilisé depuis "&amp;(TODAY()-H49)&amp;" jours","Renouvellement dans "&amp;(IF(F49&gt;=TODAY(),F49,IF(E49="Hebdo",F49+7*ROUNDUP((TODAY()-F49)/7,0),EDATE(F49,IF(E49="Mensuel",1,IF(E49="Trimestriel",3,12))*ROUNDUP((DATEDIF(F49,TODAY(),"m")+1)/IF(E49="Mensuel",1,IF(E49="Trimestriel",3,12)),0))))-TODAY())&amp;IF((IF(F49&gt;=TODAY(),F49,IF(E49="Hebdo",F49+7*ROUNDUP((TODAY()-F49)/7,0),EDATE(F49,IF(E49="Mensuel",1,IF(E49="Trimestriel",3,12))*ROUNDUP((DATEDIF(F49,TODAY(),"m")+1)/IF(E49="Mensuel",1,IF(E49="Trimestriel",3,12)),0))))-TODAY())&lt;=1," jour"," jours")))))</f>
        <v/>
      </c>
      <c r="M49" s="1" t="n"/>
    </row>
    <row r="50">
      <c r="A50" s="1" t="n"/>
      <c r="B50" s="22" t="n"/>
      <c r="C50" s="22" t="n"/>
      <c r="D50" s="23" t="n"/>
      <c r="E50" s="24" t="n"/>
      <c r="F50" s="25" t="n"/>
      <c r="G50" s="24" t="n"/>
      <c r="H50" s="25" t="n"/>
      <c r="I50" s="24" t="n"/>
      <c r="J50" s="16">
        <f>IF(B50="","",D50*IF(E50="Hebdo",52/12,IF(E50="Mensuel",1,IF(E50="Trimestriel",1/3,IF(E50="Annuel",1/12,0)))))</f>
        <v/>
      </c>
      <c r="K50" s="16">
        <f>IF(B50="","",J50*12)</f>
        <v/>
      </c>
      <c r="L50" s="26">
        <f>IF(OR(B50="",F50=""),"",IF(I50="Annuler","À annuler sous "&amp;(IF(F50&gt;=TODAY(),F50,IF(E50="Hebdo",F50+7*ROUNDUP((TODAY()-F50)/7,0),EDATE(F50,IF(E50="Mensuel",1,IF(E50="Trimestriel",3,12))*ROUNDUP((DATEDIF(F50,TODAY(),"m")+1)/IF(E50="Mensuel",1,IF(E50="Trimestriel",3,12)),0))))-TODAY())&amp;IF((IF(F50&gt;=TODAY(),F50,IF(E50="Hebdo",F50+7*ROUNDUP((TODAY()-F50)/7,0),EDATE(F50,IF(E50="Mensuel",1,IF(E50="Trimestriel",3,12))*ROUNDUP((DATEDIF(F50,TODAY(),"m")+1)/IF(E50="Mensuel",1,IF(E50="Trimestriel",3,12)),0))))-TODAY())&lt;=1," jour"," jours"),IF(G50="Oui","Fin de l'essai dans "&amp;(IF(F50&gt;=TODAY(),F50,IF(E50="Hebdo",F50+7*ROUNDUP((TODAY()-F50)/7,0),EDATE(F50,IF(E50="Mensuel",1,IF(E50="Trimestriel",3,12))*ROUNDUP((DATEDIF(F50,TODAY(),"m")+1)/IF(E50="Mensuel",1,IF(E50="Trimestriel",3,12)),0))))-TODAY())&amp;IF((IF(F50&gt;=TODAY(),F50,IF(E50="Hebdo",F50+7*ROUNDUP((TODAY()-F50)/7,0),EDATE(F50,IF(E50="Mensuel",1,IF(E50="Trimestriel",3,12))*ROUNDUP((DATEDIF(F50,TODAY(),"m")+1)/IF(E50="Mensuel",1,IF(E50="Trimestriel",3,12)),0))))-TODAY())&lt;=1," jour"," jours"),IF(AND(H50&lt;&gt;"",TODAY()-H50&gt;30),"Pas utilisé depuis "&amp;(TODAY()-H50)&amp;" jours","Renouvellement dans "&amp;(IF(F50&gt;=TODAY(),F50,IF(E50="Hebdo",F50+7*ROUNDUP((TODAY()-F50)/7,0),EDATE(F50,IF(E50="Mensuel",1,IF(E50="Trimestriel",3,12))*ROUNDUP((DATEDIF(F50,TODAY(),"m")+1)/IF(E50="Mensuel",1,IF(E50="Trimestriel",3,12)),0))))-TODAY())&amp;IF((IF(F50&gt;=TODAY(),F50,IF(E50="Hebdo",F50+7*ROUNDUP((TODAY()-F50)/7,0),EDATE(F50,IF(E50="Mensuel",1,IF(E50="Trimestriel",3,12))*ROUNDUP((DATEDIF(F50,TODAY(),"m")+1)/IF(E50="Mensuel",1,IF(E50="Trimestriel",3,12)),0))))-TODAY())&lt;=1," jour"," jours")))))</f>
        <v/>
      </c>
      <c r="M50" s="1" t="n"/>
    </row>
    <row r="51">
      <c r="A51" s="1" t="n"/>
      <c r="B51" s="22" t="n"/>
      <c r="C51" s="22" t="n"/>
      <c r="D51" s="23" t="n"/>
      <c r="E51" s="24" t="n"/>
      <c r="F51" s="25" t="n"/>
      <c r="G51" s="24" t="n"/>
      <c r="H51" s="25" t="n"/>
      <c r="I51" s="24" t="n"/>
      <c r="J51" s="16">
        <f>IF(B51="","",D51*IF(E51="Hebdo",52/12,IF(E51="Mensuel",1,IF(E51="Trimestriel",1/3,IF(E51="Annuel",1/12,0)))))</f>
        <v/>
      </c>
      <c r="K51" s="16">
        <f>IF(B51="","",J51*12)</f>
        <v/>
      </c>
      <c r="L51" s="26">
        <f>IF(OR(B51="",F51=""),"",IF(I51="Annuler","À annuler sous "&amp;(IF(F51&gt;=TODAY(),F51,IF(E51="Hebdo",F51+7*ROUNDUP((TODAY()-F51)/7,0),EDATE(F51,IF(E51="Mensuel",1,IF(E51="Trimestriel",3,12))*ROUNDUP((DATEDIF(F51,TODAY(),"m")+1)/IF(E51="Mensuel",1,IF(E51="Trimestriel",3,12)),0))))-TODAY())&amp;IF((IF(F51&gt;=TODAY(),F51,IF(E51="Hebdo",F51+7*ROUNDUP((TODAY()-F51)/7,0),EDATE(F51,IF(E51="Mensuel",1,IF(E51="Trimestriel",3,12))*ROUNDUP((DATEDIF(F51,TODAY(),"m")+1)/IF(E51="Mensuel",1,IF(E51="Trimestriel",3,12)),0))))-TODAY())&lt;=1," jour"," jours"),IF(G51="Oui","Fin de l'essai dans "&amp;(IF(F51&gt;=TODAY(),F51,IF(E51="Hebdo",F51+7*ROUNDUP((TODAY()-F51)/7,0),EDATE(F51,IF(E51="Mensuel",1,IF(E51="Trimestriel",3,12))*ROUNDUP((DATEDIF(F51,TODAY(),"m")+1)/IF(E51="Mensuel",1,IF(E51="Trimestriel",3,12)),0))))-TODAY())&amp;IF((IF(F51&gt;=TODAY(),F51,IF(E51="Hebdo",F51+7*ROUNDUP((TODAY()-F51)/7,0),EDATE(F51,IF(E51="Mensuel",1,IF(E51="Trimestriel",3,12))*ROUNDUP((DATEDIF(F51,TODAY(),"m")+1)/IF(E51="Mensuel",1,IF(E51="Trimestriel",3,12)),0))))-TODAY())&lt;=1," jour"," jours"),IF(AND(H51&lt;&gt;"",TODAY()-H51&gt;30),"Pas utilisé depuis "&amp;(TODAY()-H51)&amp;" jours","Renouvellement dans "&amp;(IF(F51&gt;=TODAY(),F51,IF(E51="Hebdo",F51+7*ROUNDUP((TODAY()-F51)/7,0),EDATE(F51,IF(E51="Mensuel",1,IF(E51="Trimestriel",3,12))*ROUNDUP((DATEDIF(F51,TODAY(),"m")+1)/IF(E51="Mensuel",1,IF(E51="Trimestriel",3,12)),0))))-TODAY())&amp;IF((IF(F51&gt;=TODAY(),F51,IF(E51="Hebdo",F51+7*ROUNDUP((TODAY()-F51)/7,0),EDATE(F51,IF(E51="Mensuel",1,IF(E51="Trimestriel",3,12))*ROUNDUP((DATEDIF(F51,TODAY(),"m")+1)/IF(E51="Mensuel",1,IF(E51="Trimestriel",3,12)),0))))-TODAY())&lt;=1," jour"," jours")))))</f>
        <v/>
      </c>
      <c r="M51" s="1" t="n"/>
    </row>
    <row r="52">
      <c r="A52" s="1" t="n"/>
      <c r="B52" s="22" t="n"/>
      <c r="C52" s="22" t="n"/>
      <c r="D52" s="23" t="n"/>
      <c r="E52" s="24" t="n"/>
      <c r="F52" s="25" t="n"/>
      <c r="G52" s="24" t="n"/>
      <c r="H52" s="25" t="n"/>
      <c r="I52" s="24" t="n"/>
      <c r="J52" s="16">
        <f>IF(B52="","",D52*IF(E52="Hebdo",52/12,IF(E52="Mensuel",1,IF(E52="Trimestriel",1/3,IF(E52="Annuel",1/12,0)))))</f>
        <v/>
      </c>
      <c r="K52" s="16">
        <f>IF(B52="","",J52*12)</f>
        <v/>
      </c>
      <c r="L52" s="26">
        <f>IF(OR(B52="",F52=""),"",IF(I52="Annuler","À annuler sous "&amp;(IF(F52&gt;=TODAY(),F52,IF(E52="Hebdo",F52+7*ROUNDUP((TODAY()-F52)/7,0),EDATE(F52,IF(E52="Mensuel",1,IF(E52="Trimestriel",3,12))*ROUNDUP((DATEDIF(F52,TODAY(),"m")+1)/IF(E52="Mensuel",1,IF(E52="Trimestriel",3,12)),0))))-TODAY())&amp;IF((IF(F52&gt;=TODAY(),F52,IF(E52="Hebdo",F52+7*ROUNDUP((TODAY()-F52)/7,0),EDATE(F52,IF(E52="Mensuel",1,IF(E52="Trimestriel",3,12))*ROUNDUP((DATEDIF(F52,TODAY(),"m")+1)/IF(E52="Mensuel",1,IF(E52="Trimestriel",3,12)),0))))-TODAY())&lt;=1," jour"," jours"),IF(G52="Oui","Fin de l'essai dans "&amp;(IF(F52&gt;=TODAY(),F52,IF(E52="Hebdo",F52+7*ROUNDUP((TODAY()-F52)/7,0),EDATE(F52,IF(E52="Mensuel",1,IF(E52="Trimestriel",3,12))*ROUNDUP((DATEDIF(F52,TODAY(),"m")+1)/IF(E52="Mensuel",1,IF(E52="Trimestriel",3,12)),0))))-TODAY())&amp;IF((IF(F52&gt;=TODAY(),F52,IF(E52="Hebdo",F52+7*ROUNDUP((TODAY()-F52)/7,0),EDATE(F52,IF(E52="Mensuel",1,IF(E52="Trimestriel",3,12))*ROUNDUP((DATEDIF(F52,TODAY(),"m")+1)/IF(E52="Mensuel",1,IF(E52="Trimestriel",3,12)),0))))-TODAY())&lt;=1," jour"," jours"),IF(AND(H52&lt;&gt;"",TODAY()-H52&gt;30),"Pas utilisé depuis "&amp;(TODAY()-H52)&amp;" jours","Renouvellement dans "&amp;(IF(F52&gt;=TODAY(),F52,IF(E52="Hebdo",F52+7*ROUNDUP((TODAY()-F52)/7,0),EDATE(F52,IF(E52="Mensuel",1,IF(E52="Trimestriel",3,12))*ROUNDUP((DATEDIF(F52,TODAY(),"m")+1)/IF(E52="Mensuel",1,IF(E52="Trimestriel",3,12)),0))))-TODAY())&amp;IF((IF(F52&gt;=TODAY(),F52,IF(E52="Hebdo",F52+7*ROUNDUP((TODAY()-F52)/7,0),EDATE(F52,IF(E52="Mensuel",1,IF(E52="Trimestriel",3,12))*ROUNDUP((DATEDIF(F52,TODAY(),"m")+1)/IF(E52="Mensuel",1,IF(E52="Trimestriel",3,12)),0))))-TODAY())&lt;=1," jour"," jours")))))</f>
        <v/>
      </c>
      <c r="M52" s="1" t="n"/>
    </row>
    <row r="53">
      <c r="A53" s="1" t="n"/>
      <c r="B53" s="22" t="n"/>
      <c r="C53" s="22" t="n"/>
      <c r="D53" s="23" t="n"/>
      <c r="E53" s="24" t="n"/>
      <c r="F53" s="25" t="n"/>
      <c r="G53" s="24" t="n"/>
      <c r="H53" s="25" t="n"/>
      <c r="I53" s="24" t="n"/>
      <c r="J53" s="16">
        <f>IF(B53="","",D53*IF(E53="Hebdo",52/12,IF(E53="Mensuel",1,IF(E53="Trimestriel",1/3,IF(E53="Annuel",1/12,0)))))</f>
        <v/>
      </c>
      <c r="K53" s="16">
        <f>IF(B53="","",J53*12)</f>
        <v/>
      </c>
      <c r="L53" s="26">
        <f>IF(OR(B53="",F53=""),"",IF(I53="Annuler","À annuler sous "&amp;(IF(F53&gt;=TODAY(),F53,IF(E53="Hebdo",F53+7*ROUNDUP((TODAY()-F53)/7,0),EDATE(F53,IF(E53="Mensuel",1,IF(E53="Trimestriel",3,12))*ROUNDUP((DATEDIF(F53,TODAY(),"m")+1)/IF(E53="Mensuel",1,IF(E53="Trimestriel",3,12)),0))))-TODAY())&amp;IF((IF(F53&gt;=TODAY(),F53,IF(E53="Hebdo",F53+7*ROUNDUP((TODAY()-F53)/7,0),EDATE(F53,IF(E53="Mensuel",1,IF(E53="Trimestriel",3,12))*ROUNDUP((DATEDIF(F53,TODAY(),"m")+1)/IF(E53="Mensuel",1,IF(E53="Trimestriel",3,12)),0))))-TODAY())&lt;=1," jour"," jours"),IF(G53="Oui","Fin de l'essai dans "&amp;(IF(F53&gt;=TODAY(),F53,IF(E53="Hebdo",F53+7*ROUNDUP((TODAY()-F53)/7,0),EDATE(F53,IF(E53="Mensuel",1,IF(E53="Trimestriel",3,12))*ROUNDUP((DATEDIF(F53,TODAY(),"m")+1)/IF(E53="Mensuel",1,IF(E53="Trimestriel",3,12)),0))))-TODAY())&amp;IF((IF(F53&gt;=TODAY(),F53,IF(E53="Hebdo",F53+7*ROUNDUP((TODAY()-F53)/7,0),EDATE(F53,IF(E53="Mensuel",1,IF(E53="Trimestriel",3,12))*ROUNDUP((DATEDIF(F53,TODAY(),"m")+1)/IF(E53="Mensuel",1,IF(E53="Trimestriel",3,12)),0))))-TODAY())&lt;=1," jour"," jours"),IF(AND(H53&lt;&gt;"",TODAY()-H53&gt;30),"Pas utilisé depuis "&amp;(TODAY()-H53)&amp;" jours","Renouvellement dans "&amp;(IF(F53&gt;=TODAY(),F53,IF(E53="Hebdo",F53+7*ROUNDUP((TODAY()-F53)/7,0),EDATE(F53,IF(E53="Mensuel",1,IF(E53="Trimestriel",3,12))*ROUNDUP((DATEDIF(F53,TODAY(),"m")+1)/IF(E53="Mensuel",1,IF(E53="Trimestriel",3,12)),0))))-TODAY())&amp;IF((IF(F53&gt;=TODAY(),F53,IF(E53="Hebdo",F53+7*ROUNDUP((TODAY()-F53)/7,0),EDATE(F53,IF(E53="Mensuel",1,IF(E53="Trimestriel",3,12))*ROUNDUP((DATEDIF(F53,TODAY(),"m")+1)/IF(E53="Mensuel",1,IF(E53="Trimestriel",3,12)),0))))-TODAY())&lt;=1," jour"," jours")))))</f>
        <v/>
      </c>
      <c r="M53" s="1" t="n"/>
    </row>
    <row r="54">
      <c r="A54" s="1" t="n"/>
      <c r="B54" s="22" t="n"/>
      <c r="C54" s="22" t="n"/>
      <c r="D54" s="23" t="n"/>
      <c r="E54" s="24" t="n"/>
      <c r="F54" s="25" t="n"/>
      <c r="G54" s="24" t="n"/>
      <c r="H54" s="25" t="n"/>
      <c r="I54" s="24" t="n"/>
      <c r="J54" s="16">
        <f>IF(B54="","",D54*IF(E54="Hebdo",52/12,IF(E54="Mensuel",1,IF(E54="Trimestriel",1/3,IF(E54="Annuel",1/12,0)))))</f>
        <v/>
      </c>
      <c r="K54" s="16">
        <f>IF(B54="","",J54*12)</f>
        <v/>
      </c>
      <c r="L54" s="26">
        <f>IF(OR(B54="",F54=""),"",IF(I54="Annuler","À annuler sous "&amp;(IF(F54&gt;=TODAY(),F54,IF(E54="Hebdo",F54+7*ROUNDUP((TODAY()-F54)/7,0),EDATE(F54,IF(E54="Mensuel",1,IF(E54="Trimestriel",3,12))*ROUNDUP((DATEDIF(F54,TODAY(),"m")+1)/IF(E54="Mensuel",1,IF(E54="Trimestriel",3,12)),0))))-TODAY())&amp;IF((IF(F54&gt;=TODAY(),F54,IF(E54="Hebdo",F54+7*ROUNDUP((TODAY()-F54)/7,0),EDATE(F54,IF(E54="Mensuel",1,IF(E54="Trimestriel",3,12))*ROUNDUP((DATEDIF(F54,TODAY(),"m")+1)/IF(E54="Mensuel",1,IF(E54="Trimestriel",3,12)),0))))-TODAY())&lt;=1," jour"," jours"),IF(G54="Oui","Fin de l'essai dans "&amp;(IF(F54&gt;=TODAY(),F54,IF(E54="Hebdo",F54+7*ROUNDUP((TODAY()-F54)/7,0),EDATE(F54,IF(E54="Mensuel",1,IF(E54="Trimestriel",3,12))*ROUNDUP((DATEDIF(F54,TODAY(),"m")+1)/IF(E54="Mensuel",1,IF(E54="Trimestriel",3,12)),0))))-TODAY())&amp;IF((IF(F54&gt;=TODAY(),F54,IF(E54="Hebdo",F54+7*ROUNDUP((TODAY()-F54)/7,0),EDATE(F54,IF(E54="Mensuel",1,IF(E54="Trimestriel",3,12))*ROUNDUP((DATEDIF(F54,TODAY(),"m")+1)/IF(E54="Mensuel",1,IF(E54="Trimestriel",3,12)),0))))-TODAY())&lt;=1," jour"," jours"),IF(AND(H54&lt;&gt;"",TODAY()-H54&gt;30),"Pas utilisé depuis "&amp;(TODAY()-H54)&amp;" jours","Renouvellement dans "&amp;(IF(F54&gt;=TODAY(),F54,IF(E54="Hebdo",F54+7*ROUNDUP((TODAY()-F54)/7,0),EDATE(F54,IF(E54="Mensuel",1,IF(E54="Trimestriel",3,12))*ROUNDUP((DATEDIF(F54,TODAY(),"m")+1)/IF(E54="Mensuel",1,IF(E54="Trimestriel",3,12)),0))))-TODAY())&amp;IF((IF(F54&gt;=TODAY(),F54,IF(E54="Hebdo",F54+7*ROUNDUP((TODAY()-F54)/7,0),EDATE(F54,IF(E54="Mensuel",1,IF(E54="Trimestriel",3,12))*ROUNDUP((DATEDIF(F54,TODAY(),"m")+1)/IF(E54="Mensuel",1,IF(E54="Trimestriel",3,12)),0))))-TODAY())&lt;=1," jour"," jours")))))</f>
        <v/>
      </c>
      <c r="M54" s="1" t="n"/>
    </row>
    <row r="55">
      <c r="A55" s="1" t="n"/>
      <c r="B55" s="22" t="n"/>
      <c r="C55" s="22" t="n"/>
      <c r="D55" s="23" t="n"/>
      <c r="E55" s="24" t="n"/>
      <c r="F55" s="25" t="n"/>
      <c r="G55" s="24" t="n"/>
      <c r="H55" s="25" t="n"/>
      <c r="I55" s="24" t="n"/>
      <c r="J55" s="16">
        <f>IF(B55="","",D55*IF(E55="Hebdo",52/12,IF(E55="Mensuel",1,IF(E55="Trimestriel",1/3,IF(E55="Annuel",1/12,0)))))</f>
        <v/>
      </c>
      <c r="K55" s="16">
        <f>IF(B55="","",J55*12)</f>
        <v/>
      </c>
      <c r="L55" s="26">
        <f>IF(OR(B55="",F55=""),"",IF(I55="Annuler","À annuler sous "&amp;(IF(F55&gt;=TODAY(),F55,IF(E55="Hebdo",F55+7*ROUNDUP((TODAY()-F55)/7,0),EDATE(F55,IF(E55="Mensuel",1,IF(E55="Trimestriel",3,12))*ROUNDUP((DATEDIF(F55,TODAY(),"m")+1)/IF(E55="Mensuel",1,IF(E55="Trimestriel",3,12)),0))))-TODAY())&amp;IF((IF(F55&gt;=TODAY(),F55,IF(E55="Hebdo",F55+7*ROUNDUP((TODAY()-F55)/7,0),EDATE(F55,IF(E55="Mensuel",1,IF(E55="Trimestriel",3,12))*ROUNDUP((DATEDIF(F55,TODAY(),"m")+1)/IF(E55="Mensuel",1,IF(E55="Trimestriel",3,12)),0))))-TODAY())&lt;=1," jour"," jours"),IF(G55="Oui","Fin de l'essai dans "&amp;(IF(F55&gt;=TODAY(),F55,IF(E55="Hebdo",F55+7*ROUNDUP((TODAY()-F55)/7,0),EDATE(F55,IF(E55="Mensuel",1,IF(E55="Trimestriel",3,12))*ROUNDUP((DATEDIF(F55,TODAY(),"m")+1)/IF(E55="Mensuel",1,IF(E55="Trimestriel",3,12)),0))))-TODAY())&amp;IF((IF(F55&gt;=TODAY(),F55,IF(E55="Hebdo",F55+7*ROUNDUP((TODAY()-F55)/7,0),EDATE(F55,IF(E55="Mensuel",1,IF(E55="Trimestriel",3,12))*ROUNDUP((DATEDIF(F55,TODAY(),"m")+1)/IF(E55="Mensuel",1,IF(E55="Trimestriel",3,12)),0))))-TODAY())&lt;=1," jour"," jours"),IF(AND(H55&lt;&gt;"",TODAY()-H55&gt;30),"Pas utilisé depuis "&amp;(TODAY()-H55)&amp;" jours","Renouvellement dans "&amp;(IF(F55&gt;=TODAY(),F55,IF(E55="Hebdo",F55+7*ROUNDUP((TODAY()-F55)/7,0),EDATE(F55,IF(E55="Mensuel",1,IF(E55="Trimestriel",3,12))*ROUNDUP((DATEDIF(F55,TODAY(),"m")+1)/IF(E55="Mensuel",1,IF(E55="Trimestriel",3,12)),0))))-TODAY())&amp;IF((IF(F55&gt;=TODAY(),F55,IF(E55="Hebdo",F55+7*ROUNDUP((TODAY()-F55)/7,0),EDATE(F55,IF(E55="Mensuel",1,IF(E55="Trimestriel",3,12))*ROUNDUP((DATEDIF(F55,TODAY(),"m")+1)/IF(E55="Mensuel",1,IF(E55="Trimestriel",3,12)),0))))-TODAY())&lt;=1," jour"," jours")))))</f>
        <v/>
      </c>
      <c r="M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</row>
  </sheetData>
  <conditionalFormatting sqref="L6:L55">
    <cfRule type="expression" priority="1" dxfId="1">
      <formula>LEFT($L6,9)="À annuler"</formula>
    </cfRule>
    <cfRule type="expression" priority="2" dxfId="2">
      <formula>LEFT($L6,6)="Fin de"</formula>
    </cfRule>
    <cfRule type="expression" priority="3" dxfId="3">
      <formula>LEFT($L6,3)="Pas"</formula>
    </cfRule>
    <cfRule type="expression" priority="4" dxfId="0">
      <formula>LEFT($L6,6)="Renouv"</formula>
    </cfRule>
  </conditionalFormatting>
  <dataValidations count="4">
    <dataValidation sqref="C6:C55" showDropDown="0" showInputMessage="0" showErrorMessage="0" allowBlank="1" type="list">
      <formula1>"Streaming,Musique,Applis,Jeux,Sport,Presse,Cloud,Shopping,Autre"</formula1>
    </dataValidation>
    <dataValidation sqref="E6:E55" showDropDown="0" showInputMessage="0" showErrorMessage="0" allowBlank="1" type="list">
      <formula1>"Hebdo,Mensuel,Trimestriel,Annuel"</formula1>
    </dataValidation>
    <dataValidation sqref="G6:G55" showDropDown="0" showInputMessage="0" showErrorMessage="0" allowBlank="1" type="list">
      <formula1>"Oui,Non"</formula1>
    </dataValidation>
    <dataValidation sqref="I6:I55" showDropDown="0" showInputMessage="0" showErrorMessage="0" allowBlank="1" type="list">
      <formula1>"Garder,Annuler,Décider"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7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00" customWidth="1" min="3" max="3"/>
  </cols>
  <sheetData>
    <row r="1">
      <c r="A1" s="1" t="n"/>
      <c r="B1" s="1" t="n"/>
      <c r="C1" s="1" t="n"/>
      <c r="D1" s="1" t="n"/>
    </row>
    <row r="2" ht="32" customHeight="1">
      <c r="A2" s="1" t="n"/>
      <c r="B2" s="2" t="inlineStr">
        <is>
          <t>Commencer ici</t>
        </is>
      </c>
      <c r="C2" s="1" t="n"/>
      <c r="D2" s="1" t="n"/>
    </row>
    <row r="3">
      <c r="A3" s="1" t="n"/>
      <c r="B3" s="3" t="inlineStr">
        <is>
          <t>Tapez uniquement dans les cases jaunes. Tout le reste est calculé.</t>
        </is>
      </c>
      <c r="C3" s="1" t="n"/>
      <c r="D3" s="1" t="n"/>
    </row>
    <row r="4">
      <c r="A4" s="1" t="n"/>
      <c r="B4" s="1" t="n"/>
      <c r="C4" s="1" t="n"/>
      <c r="D4" s="1" t="n"/>
    </row>
    <row r="5" ht="24" customHeight="1">
      <c r="A5" s="1" t="n"/>
      <c r="B5" s="27" t="inlineStr">
        <is>
          <t>1</t>
        </is>
      </c>
      <c r="C5" s="28" t="inlineStr">
        <is>
          <t>Onglet Abonnements : ajoutez chaque abonnement. Le relevé bancaire et le magasin d'applis du téléphone aident à les retrouver.</t>
        </is>
      </c>
      <c r="D5" s="1" t="n"/>
    </row>
    <row r="6">
      <c r="A6" s="1" t="n"/>
      <c r="B6" s="1" t="n"/>
      <c r="C6" s="1" t="n"/>
      <c r="D6" s="1" t="n"/>
    </row>
    <row r="7" ht="24" customHeight="1">
      <c r="A7" s="1" t="n"/>
      <c r="B7" s="27" t="inlineStr">
        <is>
          <t>2</t>
        </is>
      </c>
      <c r="C7" s="28" t="inlineStr">
        <is>
          <t>Début ou dernier prélèvement : la date du dernier débit. Le prochain est calculé pour vous.</t>
        </is>
      </c>
      <c r="D7" s="1" t="n"/>
    </row>
    <row r="8">
      <c r="A8" s="1" t="n"/>
      <c r="B8" s="1" t="n"/>
      <c r="C8" s="1" t="n"/>
      <c r="D8" s="1" t="n"/>
    </row>
    <row r="9" ht="24" customHeight="1">
      <c r="A9" s="1" t="n"/>
      <c r="B9" s="27" t="inlineStr">
        <is>
          <t>3</t>
        </is>
      </c>
      <c r="C9" s="28" t="inlineStr">
        <is>
          <t>Essai gratuit : choisissez Oui et le statut passe en rouge, avec les jours restants avant le premier débit.</t>
        </is>
      </c>
      <c r="D9" s="1" t="n"/>
    </row>
    <row r="10">
      <c r="A10" s="1" t="n"/>
      <c r="B10" s="1" t="n"/>
      <c r="C10" s="1" t="n"/>
      <c r="D10" s="1" t="n"/>
    </row>
    <row r="11" ht="24" customHeight="1">
      <c r="A11" s="1" t="n"/>
      <c r="B11" s="27" t="inlineStr">
        <is>
          <t>4</t>
        </is>
      </c>
      <c r="C11" s="28" t="inlineStr">
        <is>
          <t>Dernière utilisation : mettez-la à jour de temps en temps. Après 30 jours sans utilisation, le statut passe en orange.</t>
        </is>
      </c>
      <c r="D11" s="1" t="n"/>
    </row>
    <row r="12">
      <c r="A12" s="1" t="n"/>
      <c r="B12" s="1" t="n"/>
      <c r="C12" s="1" t="n"/>
      <c r="D12" s="1" t="n"/>
    </row>
    <row r="13" ht="24" customHeight="1">
      <c r="A13" s="1" t="n"/>
      <c r="B13" s="27" t="inlineStr">
        <is>
          <t>5</t>
        </is>
      </c>
      <c r="C13" s="28" t="inlineStr">
        <is>
          <t>Garder : choisissez Garder, Annuler ou Décider. Le Tableau de bord montre l'économie par an.</t>
        </is>
      </c>
      <c r="D13" s="1" t="n"/>
    </row>
    <row r="14">
      <c r="A14" s="1" t="n"/>
      <c r="B14" s="1" t="n"/>
      <c r="C14" s="1" t="n"/>
      <c r="D14" s="1" t="n"/>
    </row>
    <row r="15">
      <c r="A15" s="1" t="n"/>
      <c r="B15" s="1" t="n"/>
      <c r="C15" s="1" t="n"/>
      <c r="D15" s="1" t="n"/>
    </row>
    <row r="16">
      <c r="A16" s="1" t="n"/>
      <c r="B16" s="1" t="n"/>
      <c r="C16" s="1" t="n"/>
      <c r="D16" s="1" t="n"/>
    </row>
    <row r="17">
      <c r="A17" s="1" t="n"/>
      <c r="B17" s="1" t="n"/>
      <c r="C17" s="3" t="inlineStr">
        <is>
          <t>Les lignes d'exemple montrent comment ça marche. Supprimez-les et ajoutez les vôtres.</t>
        </is>
      </c>
      <c r="D17" s="1" t="n"/>
    </row>
    <row r="18">
      <c r="A18" s="1" t="n"/>
      <c r="B18" s="1" t="n"/>
      <c r="C18" s="1" t="n"/>
      <c r="D18" s="1" t="n"/>
    </row>
    <row r="19">
      <c r="A19" s="1" t="n"/>
      <c r="B19" s="1" t="n"/>
      <c r="C19" s="3" t="inlineStr">
        <is>
          <t>Fonctionne dans Google Sheets (importez-le dans Drive, puis Fichier &gt; Enregistrer au format Google Sheets) et dans Microsoft Excel.</t>
        </is>
      </c>
      <c r="D19" s="1" t="n"/>
    </row>
    <row r="20">
      <c r="A20" s="1" t="n"/>
      <c r="B20" s="1" t="n"/>
      <c r="C20" s="1" t="n"/>
      <c r="D20" s="1" t="n"/>
    </row>
    <row r="21">
      <c r="A21" s="1" t="n"/>
      <c r="B21" s="1" t="n"/>
      <c r="C21" s="1" t="n"/>
      <c r="D21" s="1" t="n"/>
    </row>
    <row r="22">
      <c r="A22" s="1" t="n"/>
      <c r="B22" s="1" t="n"/>
      <c r="C22" s="1" t="n"/>
      <c r="D22" s="1" t="n"/>
    </row>
    <row r="23">
      <c r="A23" s="1" t="n"/>
      <c r="B23" s="1" t="n"/>
      <c r="C23" s="1" t="n"/>
      <c r="D23" s="1" t="n"/>
    </row>
    <row r="24">
      <c r="A24" s="1" t="n"/>
      <c r="B24" s="1" t="n"/>
      <c r="C24" s="1" t="n"/>
      <c r="D24" s="1" t="n"/>
    </row>
    <row r="25">
      <c r="A25" s="1" t="n"/>
      <c r="B25" s="1" t="n"/>
      <c r="C25" s="1" t="n"/>
      <c r="D25" s="1" t="n"/>
    </row>
    <row r="26">
      <c r="A26" s="1" t="n"/>
      <c r="B26" s="1" t="n"/>
      <c r="C26" s="1" t="n"/>
      <c r="D26" s="1" t="n"/>
    </row>
    <row r="27">
      <c r="A27" s="1" t="n"/>
      <c r="B27" s="1" t="n"/>
      <c r="C27" s="1" t="n"/>
      <c r="D27" s="1" t="n"/>
    </row>
    <row r="28">
      <c r="A28" s="1" t="n"/>
      <c r="B28" s="1" t="n"/>
      <c r="C28" s="1" t="n"/>
      <c r="D28" s="1" t="n"/>
    </row>
    <row r="29">
      <c r="A29" s="1" t="n"/>
      <c r="B29" s="1" t="n"/>
      <c r="C29" s="1" t="n"/>
      <c r="D29" s="1" t="n"/>
    </row>
    <row r="30">
      <c r="A30" s="1" t="n"/>
      <c r="B30" s="1" t="n"/>
      <c r="C30" s="1" t="n"/>
      <c r="D30" s="1" t="n"/>
    </row>
    <row r="31">
      <c r="A31" s="1" t="n"/>
      <c r="B31" s="1" t="n"/>
      <c r="C31" s="1" t="n"/>
      <c r="D31" s="1" t="n"/>
    </row>
    <row r="32">
      <c r="A32" s="1" t="n"/>
      <c r="B32" s="1" t="n"/>
      <c r="C32" s="1" t="n"/>
      <c r="D32" s="1" t="n"/>
    </row>
    <row r="33">
      <c r="A33" s="1" t="n"/>
      <c r="B33" s="1" t="n"/>
      <c r="C33" s="1" t="n"/>
      <c r="D33" s="1" t="n"/>
    </row>
    <row r="34">
      <c r="A34" s="1" t="n"/>
      <c r="B34" s="1" t="n"/>
      <c r="C34" s="1" t="n"/>
      <c r="D34" s="1" t="n"/>
    </row>
    <row r="35">
      <c r="A35" s="1" t="n"/>
      <c r="B35" s="1" t="n"/>
      <c r="C35" s="1" t="n"/>
      <c r="D35" s="1" t="n"/>
    </row>
    <row r="36">
      <c r="A36" s="1" t="n"/>
      <c r="B36" s="1" t="n"/>
      <c r="C36" s="1" t="n"/>
      <c r="D36" s="1" t="n"/>
    </row>
    <row r="37">
      <c r="A37" s="1" t="n"/>
      <c r="B37" s="1" t="n"/>
      <c r="C37" s="1" t="n"/>
      <c r="D37" s="1" t="n"/>
    </row>
    <row r="38">
      <c r="A38" s="1" t="n"/>
      <c r="B38" s="1" t="n"/>
      <c r="C38" s="1" t="n"/>
      <c r="D38" s="1" t="n"/>
    </row>
    <row r="39">
      <c r="A39" s="1" t="n"/>
      <c r="B39" s="1" t="n"/>
      <c r="C39" s="1" t="n"/>
      <c r="D39" s="1" t="n"/>
    </row>
    <row r="40">
      <c r="A40" s="1" t="n"/>
      <c r="B40" s="1" t="n"/>
      <c r="C40" s="1" t="n"/>
      <c r="D40" s="1" t="n"/>
    </row>
    <row r="41">
      <c r="A41" s="1" t="n"/>
      <c r="B41" s="1" t="n"/>
      <c r="C41" s="1" t="n"/>
      <c r="D41" s="1" t="n"/>
    </row>
    <row r="42">
      <c r="A42" s="1" t="n"/>
      <c r="B42" s="1" t="n"/>
      <c r="C42" s="1" t="n"/>
      <c r="D42" s="1" t="n"/>
    </row>
    <row r="43">
      <c r="A43" s="1" t="n"/>
      <c r="B43" s="1" t="n"/>
      <c r="C43" s="1" t="n"/>
      <c r="D43" s="1" t="n"/>
    </row>
    <row r="44">
      <c r="A44" s="1" t="n"/>
      <c r="B44" s="1" t="n"/>
      <c r="C44" s="1" t="n"/>
      <c r="D44" s="1" t="n"/>
    </row>
    <row r="45">
      <c r="A45" s="1" t="n"/>
      <c r="B45" s="1" t="n"/>
      <c r="C45" s="1" t="n"/>
      <c r="D45" s="1" t="n"/>
    </row>
    <row r="46">
      <c r="A46" s="1" t="n"/>
      <c r="B46" s="1" t="n"/>
      <c r="C46" s="1" t="n"/>
      <c r="D46" s="1" t="n"/>
    </row>
    <row r="47">
      <c r="A47" s="1" t="n"/>
      <c r="B47" s="1" t="n"/>
      <c r="C47" s="1" t="n"/>
      <c r="D47" s="1" t="n"/>
    </row>
    <row r="48">
      <c r="A48" s="1" t="n"/>
      <c r="B48" s="1" t="n"/>
      <c r="C48" s="1" t="n"/>
      <c r="D48" s="1" t="n"/>
    </row>
    <row r="49">
      <c r="A49" s="1" t="n"/>
      <c r="B49" s="1" t="n"/>
      <c r="C49" s="1" t="n"/>
      <c r="D49" s="1" t="n"/>
    </row>
    <row r="50">
      <c r="A50" s="1" t="n"/>
      <c r="B50" s="1" t="n"/>
      <c r="C50" s="1" t="n"/>
      <c r="D50" s="1" t="n"/>
    </row>
    <row r="51">
      <c r="A51" s="1" t="n"/>
      <c r="B51" s="1" t="n"/>
      <c r="C51" s="1" t="n"/>
      <c r="D51" s="1" t="n"/>
    </row>
    <row r="52">
      <c r="A52" s="1" t="n"/>
      <c r="B52" s="1" t="n"/>
      <c r="C52" s="1" t="n"/>
      <c r="D52" s="1" t="n"/>
    </row>
    <row r="53">
      <c r="A53" s="1" t="n"/>
      <c r="B53" s="1" t="n"/>
      <c r="C53" s="1" t="n"/>
      <c r="D53" s="1" t="n"/>
    </row>
    <row r="54">
      <c r="A54" s="1" t="n"/>
      <c r="B54" s="1" t="n"/>
      <c r="C54" s="1" t="n"/>
      <c r="D54" s="1" t="n"/>
    </row>
    <row r="55">
      <c r="A55" s="1" t="n"/>
      <c r="B55" s="1" t="n"/>
      <c r="C55" s="1" t="n"/>
      <c r="D55" s="1" t="n"/>
    </row>
    <row r="56">
      <c r="A56" s="1" t="n"/>
      <c r="B56" s="1" t="n"/>
      <c r="C56" s="1" t="n"/>
      <c r="D56" s="1" t="n"/>
    </row>
    <row r="57">
      <c r="A57" s="1" t="n"/>
      <c r="B57" s="1" t="n"/>
      <c r="C57" s="1" t="n"/>
      <c r="D57" s="1" t="n"/>
    </row>
    <row r="58">
      <c r="A58" s="1" t="n"/>
      <c r="B58" s="1" t="n"/>
      <c r="C58" s="1" t="n"/>
      <c r="D58" s="1" t="n"/>
    </row>
    <row r="59">
      <c r="A59" s="1" t="n"/>
      <c r="B59" s="1" t="n"/>
      <c r="C59" s="1" t="n"/>
      <c r="D59" s="1" t="n"/>
    </row>
    <row r="60">
      <c r="A60" s="1" t="n"/>
      <c r="B60" s="1" t="n"/>
      <c r="C60" s="1" t="n"/>
      <c r="D60" s="1" t="n"/>
    </row>
    <row r="61">
      <c r="A61" s="1" t="n"/>
      <c r="B61" s="1" t="n"/>
      <c r="C61" s="1" t="n"/>
      <c r="D61" s="1" t="n"/>
    </row>
    <row r="62">
      <c r="A62" s="1" t="n"/>
      <c r="B62" s="1" t="n"/>
      <c r="C62" s="1" t="n"/>
      <c r="D62" s="1" t="n"/>
    </row>
    <row r="63">
      <c r="A63" s="1" t="n"/>
      <c r="B63" s="1" t="n"/>
      <c r="C63" s="1" t="n"/>
      <c r="D63" s="1" t="n"/>
    </row>
    <row r="64">
      <c r="A64" s="1" t="n"/>
      <c r="B64" s="1" t="n"/>
      <c r="C64" s="1" t="n"/>
      <c r="D64" s="1" t="n"/>
    </row>
    <row r="65">
      <c r="A65" s="1" t="n"/>
      <c r="B65" s="1" t="n"/>
      <c r="C65" s="1" t="n"/>
      <c r="D65" s="1" t="n"/>
    </row>
    <row r="66">
      <c r="A66" s="1" t="n"/>
      <c r="B66" s="1" t="n"/>
      <c r="C66" s="1" t="n"/>
      <c r="D66" s="1" t="n"/>
    </row>
    <row r="67">
      <c r="A67" s="1" t="n"/>
      <c r="B67" s="1" t="n"/>
      <c r="C67" s="1" t="n"/>
      <c r="D67" s="1" t="n"/>
    </row>
    <row r="68">
      <c r="A68" s="1" t="n"/>
      <c r="B68" s="1" t="n"/>
      <c r="C68" s="1" t="n"/>
      <c r="D68" s="1" t="n"/>
    </row>
    <row r="69">
      <c r="A69" s="1" t="n"/>
      <c r="B69" s="1" t="n"/>
      <c r="C69" s="1" t="n"/>
      <c r="D69" s="1" t="n"/>
    </row>
    <row r="70">
      <c r="A70" s="1" t="n"/>
      <c r="B70" s="1" t="n"/>
      <c r="C70" s="1" t="n"/>
      <c r="D70" s="1" t="n"/>
    </row>
    <row r="71">
      <c r="A71" s="1" t="n"/>
      <c r="B71" s="1" t="n"/>
      <c r="C71" s="1" t="n"/>
      <c r="D71" s="1" t="n"/>
    </row>
    <row r="72">
      <c r="A72" s="1" t="n"/>
      <c r="B72" s="1" t="n"/>
      <c r="C72" s="1" t="n"/>
      <c r="D72" s="1" t="n"/>
    </row>
    <row r="73">
      <c r="A73" s="1" t="n"/>
      <c r="B73" s="1" t="n"/>
      <c r="C73" s="1" t="n"/>
      <c r="D73" s="1" t="n"/>
    </row>
    <row r="74">
      <c r="A74" s="1" t="n"/>
      <c r="B74" s="1" t="n"/>
      <c r="C74" s="1" t="n"/>
      <c r="D74" s="1" t="n"/>
    </row>
    <row r="75">
      <c r="A75" s="1" t="n"/>
      <c r="B75" s="1" t="n"/>
      <c r="C75" s="1" t="n"/>
      <c r="D75" s="1" t="n"/>
    </row>
    <row r="76">
      <c r="A76" s="1" t="n"/>
      <c r="B76" s="1" t="n"/>
      <c r="C76" s="1" t="n"/>
      <c r="D76" s="1" t="n"/>
    </row>
    <row r="77">
      <c r="A77" s="1" t="n"/>
      <c r="B77" s="1" t="n"/>
      <c r="C77" s="1" t="n"/>
      <c r="D77" s="1" t="n"/>
    </row>
    <row r="78">
      <c r="A78" s="1" t="n"/>
      <c r="B78" s="1" t="n"/>
      <c r="C78" s="1" t="n"/>
      <c r="D78" s="1" t="n"/>
    </row>
    <row r="79">
      <c r="A79" s="1" t="n"/>
      <c r="B79" s="1" t="n"/>
      <c r="C79" s="1" t="n"/>
      <c r="D79" s="1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2026-09-28T10:46:29Z</dcterms:created>
  <dcterms:modified xsi:type="dcterms:W3CDTF">2026-09-28T10:46:29Z</dcterms:modified>
</cp:coreProperties>
</file>