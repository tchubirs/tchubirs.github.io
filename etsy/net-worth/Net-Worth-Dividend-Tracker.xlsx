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lances" sheetId="2" state="visible" r:id="rId2"/>
    <sheet name="Holdings" sheetId="3" state="visible" r:id="rId3"/>
    <sheet name="Income" sheetId="4" state="visible" r:id="rId4"/>
    <sheet name="Settings" sheetId="5" state="visible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 yyyy"/>
    <numFmt numFmtId="165" formatCode="mmm yy"/>
    <numFmt numFmtId="166" formatCode="0.0%"/>
    <numFmt numFmtId="167" formatCode="yyyy-mm-dd"/>
    <numFmt numFmtId="168" formatCode="DD MMM YYYY"/>
  </numFmts>
  <fonts count="19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A2F"/>
      <sz val="11"/>
    </font>
    <font>
      <name val="Arial"/>
      <color rgb="006B7B80"/>
      <sz val="10"/>
    </font>
    <font>
      <name val="Arial"/>
      <b val="1"/>
      <color rgb="006B7B80"/>
      <sz val="11"/>
    </font>
    <font>
      <name val="Arial"/>
      <b val="1"/>
      <color rgb="0015525A"/>
      <sz val="11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23B2E"/>
      <sz val="16"/>
    </font>
    <font>
      <name val="Arial"/>
      <b val="1"/>
      <color rgb="00B86E1C"/>
      <sz val="16"/>
    </font>
    <font>
      <color rgb="00FFFFFF"/>
      <sz val="8"/>
    </font>
    <font>
      <color rgb="001F6F78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1" fillId="2" borderId="1" pivotButton="0" quotePrefix="0" xfId="0"/>
    <xf numFmtId="4" fontId="12" fillId="2" borderId="1" applyAlignment="1" pivotButton="0" quotePrefix="0" xfId="0">
      <alignment horizontal="right"/>
    </xf>
    <xf numFmtId="4" fontId="13" fillId="2" borderId="1" applyAlignment="1" pivotButton="0" quotePrefix="0" xfId="0">
      <alignment horizontal="right"/>
    </xf>
    <xf numFmtId="9" fontId="14" fillId="2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4" fontId="7" fillId="2" borderId="1" applyAlignment="1" pivotButton="0" quotePrefix="0" xfId="0">
      <alignment vertical="center"/>
    </xf>
    <xf numFmtId="4" fontId="3" fillId="2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5" fillId="2" borderId="0" pivotButton="0" quotePrefix="0" xfId="0"/>
    <xf numFmtId="9" fontId="7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166" fontId="7" fillId="2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3" fillId="3" borderId="1" pivotButton="0" quotePrefix="0" xfId="0"/>
    <xf numFmtId="0" fontId="7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" fontId="7" fillId="3" borderId="1" pivotButton="0" quotePrefix="0" xfId="0"/>
    <xf numFmtId="0" fontId="9" fillId="2" borderId="0" pivotButton="0" quotePrefix="0" xfId="0"/>
    <xf numFmtId="4" fontId="7" fillId="2" borderId="1" pivotButton="0" quotePrefix="0" xfId="0"/>
    <xf numFmtId="0" fontId="10" fillId="2" borderId="0" pivotButton="0" quotePrefix="0" xfId="0"/>
    <xf numFmtId="4" fontId="3" fillId="2" borderId="1" pivotButton="0" quotePrefix="0" xfId="0"/>
    <xf numFmtId="0" fontId="7" fillId="3" borderId="1" pivotButton="0" quotePrefix="0" xfId="0"/>
    <xf numFmtId="168" fontId="7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164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17" fillId="2" borderId="0" pivotButton="0" quotePrefix="0" xfId="0"/>
    <xf numFmtId="0" fontId="18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9C9C4"/>
          <bgColor rgb="00F9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worth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'Dashboard'!D23</f>
            </strRef>
          </tx>
          <spPr>
            <a:ln w="28000">
              <a:solidFill>
                <a:srgbClr val="1F6F7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'Dashboard'!$C$24:$C$35</f>
            </numRef>
          </cat>
          <val>
            <numRef>
              <f>'Dashboard'!$D$24:$D$35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Passive income by month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'Dashboard'!H8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'Dashboard'!$G$9:$G$20</f>
            </numRef>
          </cat>
          <val>
            <numRef>
              <f>'Dashboard'!$H$9:$H$20</f>
            </numRef>
          </val>
        </ser>
        <ser>
          <idx val="1"/>
          <order val="1"/>
          <tx>
            <strRef>
              <f>'Dashboard'!I8</f>
            </strRef>
          </tx>
          <spPr>
            <a:solidFill>
              <a:srgbClr val="F2A65A"/>
            </a:solidFill>
            <a:ln>
              <a:prstDash val="solid"/>
            </a:ln>
          </spPr>
          <cat>
            <numRef>
              <f>'Dashboard'!$G$9:$G$20</f>
            </numRef>
          </cat>
          <val>
            <numRef>
              <f>'Dashboard'!$I$9:$I$20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450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450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>
        <f>MAX(Balances!E50:AN50)</f>
        <v/>
      </c>
    </row>
    <row r="2" ht="32" customHeight="1">
      <c r="A2" s="1" t="n"/>
      <c r="B2" s="2" t="inlineStr">
        <is>
          <t>Net worth and passive income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>
        <f>IF(M1=0,"",EDATE(Settings!$C$5,M1-1))</f>
        <v/>
      </c>
    </row>
    <row r="3">
      <c r="A3" s="1" t="n"/>
      <c r="B3" s="3">
        <f>IF(M1=0,"Type the balances on Balances.","Balances at the end of "&amp;CHOOSE(MONTH(M2),"Jan","Feb","Mar","Apr","May","Jun","Jul","Aug","Sep","Oct","Nov","Dec")&amp;" "&amp;YEAR(M2)&amp;"; income over the last 12 months.")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Net worth</t>
        </is>
      </c>
      <c r="C4" s="4" t="inlineStr">
        <is>
          <t>On last month</t>
        </is>
      </c>
      <c r="D4" s="4" t="inlineStr">
        <is>
          <t>Assets</t>
        </is>
      </c>
      <c r="E4" s="4" t="inlineStr">
        <is>
          <t>Debts</t>
        </is>
      </c>
      <c r="F4" s="1" t="n"/>
      <c r="G4" s="4" t="inlineStr">
        <is>
          <t>Income, 12 months</t>
        </is>
      </c>
      <c r="H4" s="4" t="inlineStr">
        <is>
          <t>A month on average</t>
        </is>
      </c>
      <c r="I4" s="4" t="inlineStr">
        <is>
          <t>Goal a month</t>
        </is>
      </c>
      <c r="J4" s="4" t="inlineStr">
        <is>
          <t>Of the goal</t>
        </is>
      </c>
      <c r="K4" s="1" t="n"/>
      <c r="L4" s="1" t="n"/>
    </row>
    <row r="5" ht="34" customHeight="1">
      <c r="A5" s="1" t="n"/>
      <c r="B5" s="5">
        <f>IF($M$1=0,"",IF(OR($M$1&lt;1,$M$1&gt;36),"",INDEX(Balances!$E$49:$AN$49,$M$1)))</f>
        <v/>
      </c>
      <c r="C5" s="5">
        <f>IF($M$1&lt;2,"",IF(OR(IF(OR($M$1-1&lt;1,$M$1-1&gt;36),"",INDEX(Balances!$E$49:$AN$49,$M$1-1))=""),"",IF(OR($M$1&lt;1,$M$1&gt;36),"",INDEX(Balances!$E$49:$AN$49,$M$1))-IF(OR($M$1-1&lt;1,$M$1-1&gt;36),"",INDEX(Balances!$E$49:$AN$49,$M$1-1))))</f>
        <v/>
      </c>
      <c r="D5" s="5">
        <f>IF($M$1=0,"",IF(OR($M$1&lt;1,$M$1&gt;36),"",INDEX(Balances!$E$47:$AN$47,$M$1)))</f>
        <v/>
      </c>
      <c r="E5" s="6">
        <f>IF($M$1=0,"",IF(OR($M$1&lt;1,$M$1&gt;36),"",INDEX(Balances!$E$48:$AN$48,$M$1)))</f>
        <v/>
      </c>
      <c r="F5" s="1" t="n"/>
      <c r="G5" s="5">
        <f>SUM(J9:J20)</f>
        <v/>
      </c>
      <c r="H5" s="5">
        <f>G5/12</f>
        <v/>
      </c>
      <c r="I5" s="5">
        <f>N(Settings!$C$6)</f>
        <v/>
      </c>
      <c r="J5" s="7">
        <f>IF(N(Settings!$C$6)&lt;=0,"",H5/Settings!$C$6)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30" customHeight="1">
      <c r="A8" s="1" t="n"/>
      <c r="B8" s="8" t="inlineStr">
        <is>
          <t>Month</t>
        </is>
      </c>
      <c r="C8" s="8" t="inlineStr">
        <is>
          <t>Assets</t>
        </is>
      </c>
      <c r="D8" s="8" t="inlineStr">
        <is>
          <t>Debts</t>
        </is>
      </c>
      <c r="E8" s="8" t="inlineStr">
        <is>
          <t>Net worth</t>
        </is>
      </c>
      <c r="F8" s="1" t="n"/>
      <c r="G8" s="8" t="inlineStr">
        <is>
          <t>Month</t>
        </is>
      </c>
      <c r="H8" s="8" t="inlineStr">
        <is>
          <t>Dividends</t>
        </is>
      </c>
      <c r="I8" s="8" t="inlineStr">
        <is>
          <t>Other income</t>
        </is>
      </c>
      <c r="J8" s="8" t="inlineStr">
        <is>
          <t>Total</t>
        </is>
      </c>
      <c r="K8" s="1" t="n"/>
      <c r="L8" s="1" t="n"/>
    </row>
    <row r="9" ht="18" customHeight="1">
      <c r="A9" s="1" t="n"/>
      <c r="B9" s="9">
        <f>IF(N9="","",CHOOSE(MONTH(EDATE(Settings!$C$5,N9-1)),"Jan","Feb","Mar","Apr","May","Jun","Jul","Aug","Sep","Oct","Nov","Dec")&amp;" "&amp;YEAR(EDATE(Settings!$C$5,N9-1)))</f>
        <v/>
      </c>
      <c r="C9" s="10">
        <f>IF(N9="","",IF(OR(N9&lt;1,N9&gt;36),"",INDEX(Balances!$E$47:$AN$47,N9)))</f>
        <v/>
      </c>
      <c r="D9" s="10">
        <f>IF(N9="","",IF(OR(N9&lt;1,N9&gt;36),"",INDEX(Balances!$E$48:$AN$48,N9)))</f>
        <v/>
      </c>
      <c r="E9" s="11">
        <f>IF(N9="","",IF(OR(N9&lt;1,N9&gt;36),"",INDEX(Balances!$E$49:$AN$49,N9)))</f>
        <v/>
      </c>
      <c r="F9" s="12" t="n"/>
      <c r="G9" s="9">
        <f>CHOOSE(MONTH(DATE(YEAR(TODAY()),MONTH(TODAY())-11,1)),"Jan","Feb","Mar","Apr","May","Jun","Jul","Aug","Sep","Oct","Nov","Dec")&amp;" "&amp;YEAR(DATE(YEAR(TODAY()),MONTH(TODAY())-11,1))</f>
        <v/>
      </c>
      <c r="H9" s="10">
        <f>SUMIFS(Income!$E$6:$E$1005,Income!$D$6:$D$1005,"Dividend",Income!$G$6:$G$1005,P9)</f>
        <v/>
      </c>
      <c r="I9" s="10">
        <f>J9-H9</f>
        <v/>
      </c>
      <c r="J9" s="11">
        <f>SUMIFS(Income!$E$6:$E$1005,Income!$G$6:$G$1005,P9)</f>
        <v/>
      </c>
      <c r="K9" s="1" t="n"/>
      <c r="L9" s="1" t="n"/>
      <c r="N9">
        <f>IF(OR($M$1=0,($M$1-11)&lt;1),"",($M$1-11))</f>
        <v/>
      </c>
      <c r="O9">
        <f>IF(ISNUMBER(E9),E9,NA())</f>
        <v/>
      </c>
      <c r="P9">
        <f>YEAR(DATE(YEAR(TODAY()),MONTH(TODAY())-11,1))*100+MONTH(DATE(YEAR(TODAY()),MONTH(TODAY())-11,1))</f>
        <v/>
      </c>
    </row>
    <row r="10" ht="18" customHeight="1">
      <c r="A10" s="1" t="n"/>
      <c r="B10" s="9">
        <f>IF(N10="","",CHOOSE(MONTH(EDATE(Settings!$C$5,N10-1)),"Jan","Feb","Mar","Apr","May","Jun","Jul","Aug","Sep","Oct","Nov","Dec")&amp;" "&amp;YEAR(EDATE(Settings!$C$5,N10-1)))</f>
        <v/>
      </c>
      <c r="C10" s="10">
        <f>IF(N10="","",IF(OR(N10&lt;1,N10&gt;36),"",INDEX(Balances!$E$47:$AN$47,N10)))</f>
        <v/>
      </c>
      <c r="D10" s="10">
        <f>IF(N10="","",IF(OR(N10&lt;1,N10&gt;36),"",INDEX(Balances!$E$48:$AN$48,N10)))</f>
        <v/>
      </c>
      <c r="E10" s="11">
        <f>IF(N10="","",IF(OR(N10&lt;1,N10&gt;36),"",INDEX(Balances!$E$49:$AN$49,N10)))</f>
        <v/>
      </c>
      <c r="F10" s="12" t="n"/>
      <c r="G10" s="9">
        <f>CHOOSE(MONTH(DATE(YEAR(TODAY()),MONTH(TODAY())-10,1)),"Jan","Feb","Mar","Apr","May","Jun","Jul","Aug","Sep","Oct","Nov","Dec")&amp;" "&amp;YEAR(DATE(YEAR(TODAY()),MONTH(TODAY())-10,1))</f>
        <v/>
      </c>
      <c r="H10" s="10">
        <f>SUMIFS(Income!$E$6:$E$1005,Income!$D$6:$D$1005,"Dividend",Income!$G$6:$G$1005,P10)</f>
        <v/>
      </c>
      <c r="I10" s="10">
        <f>J10-H10</f>
        <v/>
      </c>
      <c r="J10" s="11">
        <f>SUMIFS(Income!$E$6:$E$1005,Income!$G$6:$G$1005,P10)</f>
        <v/>
      </c>
      <c r="K10" s="1" t="n"/>
      <c r="L10" s="1" t="n"/>
      <c r="N10">
        <f>IF(OR($M$1=0,($M$1-10)&lt;1),"",($M$1-10))</f>
        <v/>
      </c>
      <c r="O10">
        <f>IF(ISNUMBER(E10),E10,NA())</f>
        <v/>
      </c>
      <c r="P10">
        <f>YEAR(DATE(YEAR(TODAY()),MONTH(TODAY())-10,1))*100+MONTH(DATE(YEAR(TODAY()),MONTH(TODAY())-10,1))</f>
        <v/>
      </c>
    </row>
    <row r="11" ht="18" customHeight="1">
      <c r="A11" s="1" t="n"/>
      <c r="B11" s="9">
        <f>IF(N11="","",CHOOSE(MONTH(EDATE(Settings!$C$5,N11-1)),"Jan","Feb","Mar","Apr","May","Jun","Jul","Aug","Sep","Oct","Nov","Dec")&amp;" "&amp;YEAR(EDATE(Settings!$C$5,N11-1)))</f>
        <v/>
      </c>
      <c r="C11" s="10">
        <f>IF(N11="","",IF(OR(N11&lt;1,N11&gt;36),"",INDEX(Balances!$E$47:$AN$47,N11)))</f>
        <v/>
      </c>
      <c r="D11" s="10">
        <f>IF(N11="","",IF(OR(N11&lt;1,N11&gt;36),"",INDEX(Balances!$E$48:$AN$48,N11)))</f>
        <v/>
      </c>
      <c r="E11" s="11">
        <f>IF(N11="","",IF(OR(N11&lt;1,N11&gt;36),"",INDEX(Balances!$E$49:$AN$49,N11)))</f>
        <v/>
      </c>
      <c r="F11" s="12" t="n"/>
      <c r="G11" s="9">
        <f>CHOOSE(MONTH(DATE(YEAR(TODAY()),MONTH(TODAY())-9,1)),"Jan","Feb","Mar","Apr","May","Jun","Jul","Aug","Sep","Oct","Nov","Dec")&amp;" "&amp;YEAR(DATE(YEAR(TODAY()),MONTH(TODAY())-9,1))</f>
        <v/>
      </c>
      <c r="H11" s="10">
        <f>SUMIFS(Income!$E$6:$E$1005,Income!$D$6:$D$1005,"Dividend",Income!$G$6:$G$1005,P11)</f>
        <v/>
      </c>
      <c r="I11" s="10">
        <f>J11-H11</f>
        <v/>
      </c>
      <c r="J11" s="11">
        <f>SUMIFS(Income!$E$6:$E$1005,Income!$G$6:$G$1005,P11)</f>
        <v/>
      </c>
      <c r="K11" s="1" t="n"/>
      <c r="L11" s="1" t="n"/>
      <c r="N11">
        <f>IF(OR($M$1=0,($M$1-9)&lt;1),"",($M$1-9))</f>
        <v/>
      </c>
      <c r="O11">
        <f>IF(ISNUMBER(E11),E11,NA())</f>
        <v/>
      </c>
      <c r="P11">
        <f>YEAR(DATE(YEAR(TODAY()),MONTH(TODAY())-9,1))*100+MONTH(DATE(YEAR(TODAY()),MONTH(TODAY())-9,1))</f>
        <v/>
      </c>
    </row>
    <row r="12" ht="18" customHeight="1">
      <c r="A12" s="1" t="n"/>
      <c r="B12" s="9">
        <f>IF(N12="","",CHOOSE(MONTH(EDATE(Settings!$C$5,N12-1)),"Jan","Feb","Mar","Apr","May","Jun","Jul","Aug","Sep","Oct","Nov","Dec")&amp;" "&amp;YEAR(EDATE(Settings!$C$5,N12-1)))</f>
        <v/>
      </c>
      <c r="C12" s="10">
        <f>IF(N12="","",IF(OR(N12&lt;1,N12&gt;36),"",INDEX(Balances!$E$47:$AN$47,N12)))</f>
        <v/>
      </c>
      <c r="D12" s="10">
        <f>IF(N12="","",IF(OR(N12&lt;1,N12&gt;36),"",INDEX(Balances!$E$48:$AN$48,N12)))</f>
        <v/>
      </c>
      <c r="E12" s="11">
        <f>IF(N12="","",IF(OR(N12&lt;1,N12&gt;36),"",INDEX(Balances!$E$49:$AN$49,N12)))</f>
        <v/>
      </c>
      <c r="F12" s="12" t="n"/>
      <c r="G12" s="9">
        <f>CHOOSE(MONTH(DATE(YEAR(TODAY()),MONTH(TODAY())-8,1)),"Jan","Feb","Mar","Apr","May","Jun","Jul","Aug","Sep","Oct","Nov","Dec")&amp;" "&amp;YEAR(DATE(YEAR(TODAY()),MONTH(TODAY())-8,1))</f>
        <v/>
      </c>
      <c r="H12" s="10">
        <f>SUMIFS(Income!$E$6:$E$1005,Income!$D$6:$D$1005,"Dividend",Income!$G$6:$G$1005,P12)</f>
        <v/>
      </c>
      <c r="I12" s="10">
        <f>J12-H12</f>
        <v/>
      </c>
      <c r="J12" s="11">
        <f>SUMIFS(Income!$E$6:$E$1005,Income!$G$6:$G$1005,P12)</f>
        <v/>
      </c>
      <c r="K12" s="1" t="n"/>
      <c r="L12" s="1" t="n"/>
      <c r="N12">
        <f>IF(OR($M$1=0,($M$1-8)&lt;1),"",($M$1-8))</f>
        <v/>
      </c>
      <c r="O12">
        <f>IF(ISNUMBER(E12),E12,NA())</f>
        <v/>
      </c>
      <c r="P12">
        <f>YEAR(DATE(YEAR(TODAY()),MONTH(TODAY())-8,1))*100+MONTH(DATE(YEAR(TODAY()),MONTH(TODAY())-8,1))</f>
        <v/>
      </c>
    </row>
    <row r="13" ht="18" customHeight="1">
      <c r="A13" s="1" t="n"/>
      <c r="B13" s="9">
        <f>IF(N13="","",CHOOSE(MONTH(EDATE(Settings!$C$5,N13-1)),"Jan","Feb","Mar","Apr","May","Jun","Jul","Aug","Sep","Oct","Nov","Dec")&amp;" "&amp;YEAR(EDATE(Settings!$C$5,N13-1)))</f>
        <v/>
      </c>
      <c r="C13" s="10">
        <f>IF(N13="","",IF(OR(N13&lt;1,N13&gt;36),"",INDEX(Balances!$E$47:$AN$47,N13)))</f>
        <v/>
      </c>
      <c r="D13" s="10">
        <f>IF(N13="","",IF(OR(N13&lt;1,N13&gt;36),"",INDEX(Balances!$E$48:$AN$48,N13)))</f>
        <v/>
      </c>
      <c r="E13" s="11">
        <f>IF(N13="","",IF(OR(N13&lt;1,N13&gt;36),"",INDEX(Balances!$E$49:$AN$49,N13)))</f>
        <v/>
      </c>
      <c r="F13" s="12" t="n"/>
      <c r="G13" s="9">
        <f>CHOOSE(MONTH(DATE(YEAR(TODAY()),MONTH(TODAY())-7,1)),"Jan","Feb","Mar","Apr","May","Jun","Jul","Aug","Sep","Oct","Nov","Dec")&amp;" "&amp;YEAR(DATE(YEAR(TODAY()),MONTH(TODAY())-7,1))</f>
        <v/>
      </c>
      <c r="H13" s="10">
        <f>SUMIFS(Income!$E$6:$E$1005,Income!$D$6:$D$1005,"Dividend",Income!$G$6:$G$1005,P13)</f>
        <v/>
      </c>
      <c r="I13" s="10">
        <f>J13-H13</f>
        <v/>
      </c>
      <c r="J13" s="11">
        <f>SUMIFS(Income!$E$6:$E$1005,Income!$G$6:$G$1005,P13)</f>
        <v/>
      </c>
      <c r="K13" s="1" t="n"/>
      <c r="L13" s="1" t="n"/>
      <c r="N13">
        <f>IF(OR($M$1=0,($M$1-7)&lt;1),"",($M$1-7))</f>
        <v/>
      </c>
      <c r="O13">
        <f>IF(ISNUMBER(E13),E13,NA())</f>
        <v/>
      </c>
      <c r="P13">
        <f>YEAR(DATE(YEAR(TODAY()),MONTH(TODAY())-7,1))*100+MONTH(DATE(YEAR(TODAY()),MONTH(TODAY())-7,1))</f>
        <v/>
      </c>
    </row>
    <row r="14" ht="18" customHeight="1">
      <c r="A14" s="1" t="n"/>
      <c r="B14" s="9">
        <f>IF(N14="","",CHOOSE(MONTH(EDATE(Settings!$C$5,N14-1)),"Jan","Feb","Mar","Apr","May","Jun","Jul","Aug","Sep","Oct","Nov","Dec")&amp;" "&amp;YEAR(EDATE(Settings!$C$5,N14-1)))</f>
        <v/>
      </c>
      <c r="C14" s="10">
        <f>IF(N14="","",IF(OR(N14&lt;1,N14&gt;36),"",INDEX(Balances!$E$47:$AN$47,N14)))</f>
        <v/>
      </c>
      <c r="D14" s="10">
        <f>IF(N14="","",IF(OR(N14&lt;1,N14&gt;36),"",INDEX(Balances!$E$48:$AN$48,N14)))</f>
        <v/>
      </c>
      <c r="E14" s="11">
        <f>IF(N14="","",IF(OR(N14&lt;1,N14&gt;36),"",INDEX(Balances!$E$49:$AN$49,N14)))</f>
        <v/>
      </c>
      <c r="F14" s="12" t="n"/>
      <c r="G14" s="9">
        <f>CHOOSE(MONTH(DATE(YEAR(TODAY()),MONTH(TODAY())-6,1)),"Jan","Feb","Mar","Apr","May","Jun","Jul","Aug","Sep","Oct","Nov","Dec")&amp;" "&amp;YEAR(DATE(YEAR(TODAY()),MONTH(TODAY())-6,1))</f>
        <v/>
      </c>
      <c r="H14" s="10">
        <f>SUMIFS(Income!$E$6:$E$1005,Income!$D$6:$D$1005,"Dividend",Income!$G$6:$G$1005,P14)</f>
        <v/>
      </c>
      <c r="I14" s="10">
        <f>J14-H14</f>
        <v/>
      </c>
      <c r="J14" s="11">
        <f>SUMIFS(Income!$E$6:$E$1005,Income!$G$6:$G$1005,P14)</f>
        <v/>
      </c>
      <c r="K14" s="1" t="n"/>
      <c r="L14" s="1" t="n"/>
      <c r="N14">
        <f>IF(OR($M$1=0,($M$1-6)&lt;1),"",($M$1-6))</f>
        <v/>
      </c>
      <c r="O14">
        <f>IF(ISNUMBER(E14),E14,NA())</f>
        <v/>
      </c>
      <c r="P14">
        <f>YEAR(DATE(YEAR(TODAY()),MONTH(TODAY())-6,1))*100+MONTH(DATE(YEAR(TODAY()),MONTH(TODAY())-6,1))</f>
        <v/>
      </c>
    </row>
    <row r="15" ht="18" customHeight="1">
      <c r="A15" s="1" t="n"/>
      <c r="B15" s="9">
        <f>IF(N15="","",CHOOSE(MONTH(EDATE(Settings!$C$5,N15-1)),"Jan","Feb","Mar","Apr","May","Jun","Jul","Aug","Sep","Oct","Nov","Dec")&amp;" "&amp;YEAR(EDATE(Settings!$C$5,N15-1)))</f>
        <v/>
      </c>
      <c r="C15" s="10">
        <f>IF(N15="","",IF(OR(N15&lt;1,N15&gt;36),"",INDEX(Balances!$E$47:$AN$47,N15)))</f>
        <v/>
      </c>
      <c r="D15" s="10">
        <f>IF(N15="","",IF(OR(N15&lt;1,N15&gt;36),"",INDEX(Balances!$E$48:$AN$48,N15)))</f>
        <v/>
      </c>
      <c r="E15" s="11">
        <f>IF(N15="","",IF(OR(N15&lt;1,N15&gt;36),"",INDEX(Balances!$E$49:$AN$49,N15)))</f>
        <v/>
      </c>
      <c r="F15" s="12" t="n"/>
      <c r="G15" s="9">
        <f>CHOOSE(MONTH(DATE(YEAR(TODAY()),MONTH(TODAY())-5,1)),"Jan","Feb","Mar","Apr","May","Jun","Jul","Aug","Sep","Oct","Nov","Dec")&amp;" "&amp;YEAR(DATE(YEAR(TODAY()),MONTH(TODAY())-5,1))</f>
        <v/>
      </c>
      <c r="H15" s="10">
        <f>SUMIFS(Income!$E$6:$E$1005,Income!$D$6:$D$1005,"Dividend",Income!$G$6:$G$1005,P15)</f>
        <v/>
      </c>
      <c r="I15" s="10">
        <f>J15-H15</f>
        <v/>
      </c>
      <c r="J15" s="11">
        <f>SUMIFS(Income!$E$6:$E$1005,Income!$G$6:$G$1005,P15)</f>
        <v/>
      </c>
      <c r="K15" s="1" t="n"/>
      <c r="L15" s="1" t="n"/>
      <c r="N15">
        <f>IF(OR($M$1=0,($M$1-5)&lt;1),"",($M$1-5))</f>
        <v/>
      </c>
      <c r="O15">
        <f>IF(ISNUMBER(E15),E15,NA())</f>
        <v/>
      </c>
      <c r="P15">
        <f>YEAR(DATE(YEAR(TODAY()),MONTH(TODAY())-5,1))*100+MONTH(DATE(YEAR(TODAY()),MONTH(TODAY())-5,1))</f>
        <v/>
      </c>
    </row>
    <row r="16" ht="18" customHeight="1">
      <c r="A16" s="1" t="n"/>
      <c r="B16" s="9">
        <f>IF(N16="","",CHOOSE(MONTH(EDATE(Settings!$C$5,N16-1)),"Jan","Feb","Mar","Apr","May","Jun","Jul","Aug","Sep","Oct","Nov","Dec")&amp;" "&amp;YEAR(EDATE(Settings!$C$5,N16-1)))</f>
        <v/>
      </c>
      <c r="C16" s="10">
        <f>IF(N16="","",IF(OR(N16&lt;1,N16&gt;36),"",INDEX(Balances!$E$47:$AN$47,N16)))</f>
        <v/>
      </c>
      <c r="D16" s="10">
        <f>IF(N16="","",IF(OR(N16&lt;1,N16&gt;36),"",INDEX(Balances!$E$48:$AN$48,N16)))</f>
        <v/>
      </c>
      <c r="E16" s="11">
        <f>IF(N16="","",IF(OR(N16&lt;1,N16&gt;36),"",INDEX(Balances!$E$49:$AN$49,N16)))</f>
        <v/>
      </c>
      <c r="F16" s="12" t="n"/>
      <c r="G16" s="9">
        <f>CHOOSE(MONTH(DATE(YEAR(TODAY()),MONTH(TODAY())-4,1)),"Jan","Feb","Mar","Apr","May","Jun","Jul","Aug","Sep","Oct","Nov","Dec")&amp;" "&amp;YEAR(DATE(YEAR(TODAY()),MONTH(TODAY())-4,1))</f>
        <v/>
      </c>
      <c r="H16" s="10">
        <f>SUMIFS(Income!$E$6:$E$1005,Income!$D$6:$D$1005,"Dividend",Income!$G$6:$G$1005,P16)</f>
        <v/>
      </c>
      <c r="I16" s="10">
        <f>J16-H16</f>
        <v/>
      </c>
      <c r="J16" s="11">
        <f>SUMIFS(Income!$E$6:$E$1005,Income!$G$6:$G$1005,P16)</f>
        <v/>
      </c>
      <c r="K16" s="1" t="n"/>
      <c r="L16" s="1" t="n"/>
      <c r="N16">
        <f>IF(OR($M$1=0,($M$1-4)&lt;1),"",($M$1-4))</f>
        <v/>
      </c>
      <c r="O16">
        <f>IF(ISNUMBER(E16),E16,NA())</f>
        <v/>
      </c>
      <c r="P16">
        <f>YEAR(DATE(YEAR(TODAY()),MONTH(TODAY())-4,1))*100+MONTH(DATE(YEAR(TODAY()),MONTH(TODAY())-4,1))</f>
        <v/>
      </c>
    </row>
    <row r="17" ht="18" customHeight="1">
      <c r="A17" s="1" t="n"/>
      <c r="B17" s="9">
        <f>IF(N17="","",CHOOSE(MONTH(EDATE(Settings!$C$5,N17-1)),"Jan","Feb","Mar","Apr","May","Jun","Jul","Aug","Sep","Oct","Nov","Dec")&amp;" "&amp;YEAR(EDATE(Settings!$C$5,N17-1)))</f>
        <v/>
      </c>
      <c r="C17" s="10">
        <f>IF(N17="","",IF(OR(N17&lt;1,N17&gt;36),"",INDEX(Balances!$E$47:$AN$47,N17)))</f>
        <v/>
      </c>
      <c r="D17" s="10">
        <f>IF(N17="","",IF(OR(N17&lt;1,N17&gt;36),"",INDEX(Balances!$E$48:$AN$48,N17)))</f>
        <v/>
      </c>
      <c r="E17" s="11">
        <f>IF(N17="","",IF(OR(N17&lt;1,N17&gt;36),"",INDEX(Balances!$E$49:$AN$49,N17)))</f>
        <v/>
      </c>
      <c r="F17" s="12" t="n"/>
      <c r="G17" s="9">
        <f>CHOOSE(MONTH(DATE(YEAR(TODAY()),MONTH(TODAY())-3,1)),"Jan","Feb","Mar","Apr","May","Jun","Jul","Aug","Sep","Oct","Nov","Dec")&amp;" "&amp;YEAR(DATE(YEAR(TODAY()),MONTH(TODAY())-3,1))</f>
        <v/>
      </c>
      <c r="H17" s="10">
        <f>SUMIFS(Income!$E$6:$E$1005,Income!$D$6:$D$1005,"Dividend",Income!$G$6:$G$1005,P17)</f>
        <v/>
      </c>
      <c r="I17" s="10">
        <f>J17-H17</f>
        <v/>
      </c>
      <c r="J17" s="11">
        <f>SUMIFS(Income!$E$6:$E$1005,Income!$G$6:$G$1005,P17)</f>
        <v/>
      </c>
      <c r="K17" s="1" t="n"/>
      <c r="L17" s="1" t="n"/>
      <c r="N17">
        <f>IF(OR($M$1=0,($M$1-3)&lt;1),"",($M$1-3))</f>
        <v/>
      </c>
      <c r="O17">
        <f>IF(ISNUMBER(E17),E17,NA())</f>
        <v/>
      </c>
      <c r="P17">
        <f>YEAR(DATE(YEAR(TODAY()),MONTH(TODAY())-3,1))*100+MONTH(DATE(YEAR(TODAY()),MONTH(TODAY())-3,1))</f>
        <v/>
      </c>
    </row>
    <row r="18" ht="18" customHeight="1">
      <c r="A18" s="1" t="n"/>
      <c r="B18" s="9">
        <f>IF(N18="","",CHOOSE(MONTH(EDATE(Settings!$C$5,N18-1)),"Jan","Feb","Mar","Apr","May","Jun","Jul","Aug","Sep","Oct","Nov","Dec")&amp;" "&amp;YEAR(EDATE(Settings!$C$5,N18-1)))</f>
        <v/>
      </c>
      <c r="C18" s="10">
        <f>IF(N18="","",IF(OR(N18&lt;1,N18&gt;36),"",INDEX(Balances!$E$47:$AN$47,N18)))</f>
        <v/>
      </c>
      <c r="D18" s="10">
        <f>IF(N18="","",IF(OR(N18&lt;1,N18&gt;36),"",INDEX(Balances!$E$48:$AN$48,N18)))</f>
        <v/>
      </c>
      <c r="E18" s="11">
        <f>IF(N18="","",IF(OR(N18&lt;1,N18&gt;36),"",INDEX(Balances!$E$49:$AN$49,N18)))</f>
        <v/>
      </c>
      <c r="F18" s="12" t="n"/>
      <c r="G18" s="9">
        <f>CHOOSE(MONTH(DATE(YEAR(TODAY()),MONTH(TODAY())-2,1)),"Jan","Feb","Mar","Apr","May","Jun","Jul","Aug","Sep","Oct","Nov","Dec")&amp;" "&amp;YEAR(DATE(YEAR(TODAY()),MONTH(TODAY())-2,1))</f>
        <v/>
      </c>
      <c r="H18" s="10">
        <f>SUMIFS(Income!$E$6:$E$1005,Income!$D$6:$D$1005,"Dividend",Income!$G$6:$G$1005,P18)</f>
        <v/>
      </c>
      <c r="I18" s="10">
        <f>J18-H18</f>
        <v/>
      </c>
      <c r="J18" s="11">
        <f>SUMIFS(Income!$E$6:$E$1005,Income!$G$6:$G$1005,P18)</f>
        <v/>
      </c>
      <c r="K18" s="1" t="n"/>
      <c r="L18" s="1" t="n"/>
      <c r="N18">
        <f>IF(OR($M$1=0,($M$1-2)&lt;1),"",($M$1-2))</f>
        <v/>
      </c>
      <c r="O18">
        <f>IF(ISNUMBER(E18),E18,NA())</f>
        <v/>
      </c>
      <c r="P18">
        <f>YEAR(DATE(YEAR(TODAY()),MONTH(TODAY())-2,1))*100+MONTH(DATE(YEAR(TODAY()),MONTH(TODAY())-2,1))</f>
        <v/>
      </c>
    </row>
    <row r="19" ht="18" customHeight="1">
      <c r="A19" s="1" t="n"/>
      <c r="B19" s="9">
        <f>IF(N19="","",CHOOSE(MONTH(EDATE(Settings!$C$5,N19-1)),"Jan","Feb","Mar","Apr","May","Jun","Jul","Aug","Sep","Oct","Nov","Dec")&amp;" "&amp;YEAR(EDATE(Settings!$C$5,N19-1)))</f>
        <v/>
      </c>
      <c r="C19" s="10">
        <f>IF(N19="","",IF(OR(N19&lt;1,N19&gt;36),"",INDEX(Balances!$E$47:$AN$47,N19)))</f>
        <v/>
      </c>
      <c r="D19" s="10">
        <f>IF(N19="","",IF(OR(N19&lt;1,N19&gt;36),"",INDEX(Balances!$E$48:$AN$48,N19)))</f>
        <v/>
      </c>
      <c r="E19" s="11">
        <f>IF(N19="","",IF(OR(N19&lt;1,N19&gt;36),"",INDEX(Balances!$E$49:$AN$49,N19)))</f>
        <v/>
      </c>
      <c r="F19" s="12" t="n"/>
      <c r="G19" s="9">
        <f>CHOOSE(MONTH(DATE(YEAR(TODAY()),MONTH(TODAY())-1,1)),"Jan","Feb","Mar","Apr","May","Jun","Jul","Aug","Sep","Oct","Nov","Dec")&amp;" "&amp;YEAR(DATE(YEAR(TODAY()),MONTH(TODAY())-1,1))</f>
        <v/>
      </c>
      <c r="H19" s="10">
        <f>SUMIFS(Income!$E$6:$E$1005,Income!$D$6:$D$1005,"Dividend",Income!$G$6:$G$1005,P19)</f>
        <v/>
      </c>
      <c r="I19" s="10">
        <f>J19-H19</f>
        <v/>
      </c>
      <c r="J19" s="11">
        <f>SUMIFS(Income!$E$6:$E$1005,Income!$G$6:$G$1005,P19)</f>
        <v/>
      </c>
      <c r="K19" s="1" t="n"/>
      <c r="L19" s="1" t="n"/>
      <c r="N19">
        <f>IF(OR($M$1=0,($M$1-1)&lt;1),"",($M$1-1))</f>
        <v/>
      </c>
      <c r="O19">
        <f>IF(ISNUMBER(E19),E19,NA())</f>
        <v/>
      </c>
      <c r="P19">
        <f>YEAR(DATE(YEAR(TODAY()),MONTH(TODAY())-1,1))*100+MONTH(DATE(YEAR(TODAY()),MONTH(TODAY())-1,1))</f>
        <v/>
      </c>
    </row>
    <row r="20" ht="18" customHeight="1">
      <c r="A20" s="1" t="n"/>
      <c r="B20" s="9">
        <f>IF(N20="","",CHOOSE(MONTH(EDATE(Settings!$C$5,N20-1)),"Jan","Feb","Mar","Apr","May","Jun","Jul","Aug","Sep","Oct","Nov","Dec")&amp;" "&amp;YEAR(EDATE(Settings!$C$5,N20-1)))</f>
        <v/>
      </c>
      <c r="C20" s="10">
        <f>IF(N20="","",IF(OR(N20&lt;1,N20&gt;36),"",INDEX(Balances!$E$47:$AN$47,N20)))</f>
        <v/>
      </c>
      <c r="D20" s="10">
        <f>IF(N20="","",IF(OR(N20&lt;1,N20&gt;36),"",INDEX(Balances!$E$48:$AN$48,N20)))</f>
        <v/>
      </c>
      <c r="E20" s="11">
        <f>IF(N20="","",IF(OR(N20&lt;1,N20&gt;36),"",INDEX(Balances!$E$49:$AN$49,N20)))</f>
        <v/>
      </c>
      <c r="F20" s="12" t="n"/>
      <c r="G20" s="9">
        <f>CHOOSE(MONTH(DATE(YEAR(TODAY()),MONTH(TODAY())-0,1)),"Jan","Feb","Mar","Apr","May","Jun","Jul","Aug","Sep","Oct","Nov","Dec")&amp;" "&amp;YEAR(DATE(YEAR(TODAY()),MONTH(TODAY())-0,1))</f>
        <v/>
      </c>
      <c r="H20" s="10">
        <f>SUMIFS(Income!$E$6:$E$1005,Income!$D$6:$D$1005,"Dividend",Income!$G$6:$G$1005,P20)</f>
        <v/>
      </c>
      <c r="I20" s="10">
        <f>J20-H20</f>
        <v/>
      </c>
      <c r="J20" s="11">
        <f>SUMIFS(Income!$E$6:$E$1005,Income!$G$6:$G$1005,P20)</f>
        <v/>
      </c>
      <c r="K20" s="1" t="n"/>
      <c r="L20" s="1" t="n"/>
      <c r="N20">
        <f>IF(OR($M$1=0,($M$1-0)&lt;1),"",($M$1-0))</f>
        <v/>
      </c>
      <c r="O20">
        <f>IF(ISNUMBER(E20),E20,NA())</f>
        <v/>
      </c>
      <c r="P20">
        <f>YEAR(DATE(YEAR(TODAY()),MONTH(TODAY())-0,1))*100+MONTH(DATE(YEAR(TODAY()),MONTH(TODAY())-0,1))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3" t="inlineStr">
        <is>
          <t>Net worth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3">
        <f>B9</f>
        <v/>
      </c>
      <c r="D24" s="13">
        <f>O9</f>
        <v/>
      </c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3">
        <f>B10</f>
        <v/>
      </c>
      <c r="D25" s="13">
        <f>O10</f>
        <v/>
      </c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3">
        <f>B11</f>
        <v/>
      </c>
      <c r="D26" s="13">
        <f>O11</f>
        <v/>
      </c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3">
        <f>B12</f>
        <v/>
      </c>
      <c r="D27" s="13">
        <f>O12</f>
        <v/>
      </c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3">
        <f>B13</f>
        <v/>
      </c>
      <c r="D28" s="13">
        <f>O13</f>
        <v/>
      </c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3">
        <f>B14</f>
        <v/>
      </c>
      <c r="D29" s="13">
        <f>O14</f>
        <v/>
      </c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3">
        <f>B15</f>
        <v/>
      </c>
      <c r="D30" s="13">
        <f>O15</f>
        <v/>
      </c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3">
        <f>B16</f>
        <v/>
      </c>
      <c r="D31" s="13">
        <f>O16</f>
        <v/>
      </c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3">
        <f>B17</f>
        <v/>
      </c>
      <c r="D32" s="13">
        <f>O17</f>
        <v/>
      </c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3">
        <f>B18</f>
        <v/>
      </c>
      <c r="D33" s="13">
        <f>O18</f>
        <v/>
      </c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3">
        <f>B19</f>
        <v/>
      </c>
      <c r="D34" s="13">
        <f>O19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3">
        <f>B20</f>
        <v/>
      </c>
      <c r="D35" s="13">
        <f>O20</f>
        <v/>
      </c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30" customHeight="1">
      <c r="A38" s="1" t="n"/>
      <c r="B38" s="8" t="inlineStr">
        <is>
          <t>Where it is</t>
        </is>
      </c>
      <c r="C38" s="8" t="inlineStr">
        <is>
          <t>Amount</t>
        </is>
      </c>
      <c r="D38" s="8" t="inlineStr">
        <is>
          <t>Share</t>
        </is>
      </c>
      <c r="E38" s="8" t="n"/>
      <c r="F38" s="1" t="n"/>
      <c r="G38" s="8" t="inlineStr">
        <is>
          <t>Top payers</t>
        </is>
      </c>
      <c r="H38" s="8" t="inlineStr">
        <is>
          <t>12 months</t>
        </is>
      </c>
      <c r="I38" s="8" t="inlineStr">
        <is>
          <t>Yield</t>
        </is>
      </c>
      <c r="J38" s="8" t="inlineStr">
        <is>
          <t>A month</t>
        </is>
      </c>
      <c r="K38" s="1" t="n"/>
      <c r="L38" s="1" t="n"/>
    </row>
    <row r="39" ht="18" customHeight="1">
      <c r="A39" s="1" t="n"/>
      <c r="B39" s="9" t="inlineStr">
        <is>
          <t>Cash</t>
        </is>
      </c>
      <c r="C39" s="10">
        <f>IF($M$1=0,"",SUMIFS(INDEX(Balances!$E$6:$AN$45,0,$M$1),Balances!$C$6:$C$45,B39))</f>
        <v/>
      </c>
      <c r="D39" s="14">
        <f>IF(OR(C39="",N($D$5)&lt;=0),"",C39/$D$5)</f>
        <v/>
      </c>
      <c r="E39" s="15">
        <f>IF(D39="","",REPT("█",ROUND(D39*12,0)))</f>
        <v/>
      </c>
      <c r="F39" s="12" t="n"/>
      <c r="G39" s="9">
        <f>IF(Q39="","",INDEX(Holdings!$B$1:$B$105,1000-MOD(Q39,1000)))</f>
        <v/>
      </c>
      <c r="H39" s="10">
        <f>IF(Q39="","",INDEX(Holdings!$E$1:$E$105,1000-MOD(Q39,1000)))</f>
        <v/>
      </c>
      <c r="I39" s="16">
        <f>IF(Q39="","",IF(INDEX(Holdings!$G$1:$G$105,1000-MOD(Q39,1000))="","",INDEX(Holdings!$G$1:$G$105,1000-MOD(Q39,1000))))</f>
        <v/>
      </c>
      <c r="J39" s="10">
        <f>IF(Q39="","",INDEX(Holdings!$H$1:$H$105,1000-MOD(Q39,1000)))</f>
        <v/>
      </c>
      <c r="K39" s="1" t="n"/>
      <c r="L39" s="1" t="n"/>
      <c r="Q39">
        <f>IFERROR(LARGE(Holdings!$J$6:$J$105,1),"")</f>
        <v/>
      </c>
    </row>
    <row r="40" ht="18" customHeight="1">
      <c r="A40" s="1" t="n"/>
      <c r="B40" s="9" t="inlineStr">
        <is>
          <t>Savings</t>
        </is>
      </c>
      <c r="C40" s="10">
        <f>IF($M$1=0,"",SUMIFS(INDEX(Balances!$E$6:$AN$45,0,$M$1),Balances!$C$6:$C$45,B40))</f>
        <v/>
      </c>
      <c r="D40" s="14">
        <f>IF(OR(C40="",N($D$5)&lt;=0),"",C40/$D$5)</f>
        <v/>
      </c>
      <c r="E40" s="15">
        <f>IF(D40="","",REPT("█",ROUND(D40*12,0)))</f>
        <v/>
      </c>
      <c r="F40" s="12" t="n"/>
      <c r="G40" s="9">
        <f>IF(Q40="","",INDEX(Holdings!$B$1:$B$105,1000-MOD(Q40,1000)))</f>
        <v/>
      </c>
      <c r="H40" s="10">
        <f>IF(Q40="","",INDEX(Holdings!$E$1:$E$105,1000-MOD(Q40,1000)))</f>
        <v/>
      </c>
      <c r="I40" s="16">
        <f>IF(Q40="","",IF(INDEX(Holdings!$G$1:$G$105,1000-MOD(Q40,1000))="","",INDEX(Holdings!$G$1:$G$105,1000-MOD(Q40,1000))))</f>
        <v/>
      </c>
      <c r="J40" s="10">
        <f>IF(Q40="","",INDEX(Holdings!$H$1:$H$105,1000-MOD(Q40,1000)))</f>
        <v/>
      </c>
      <c r="K40" s="1" t="n"/>
      <c r="L40" s="1" t="n"/>
      <c r="Q40">
        <f>IFERROR(LARGE(Holdings!$J$6:$J$105,2),"")</f>
        <v/>
      </c>
    </row>
    <row r="41" ht="18" customHeight="1">
      <c r="A41" s="1" t="n"/>
      <c r="B41" s="9" t="inlineStr">
        <is>
          <t>Investments</t>
        </is>
      </c>
      <c r="C41" s="10">
        <f>IF($M$1=0,"",SUMIFS(INDEX(Balances!$E$6:$AN$45,0,$M$1),Balances!$C$6:$C$45,B41))</f>
        <v/>
      </c>
      <c r="D41" s="14">
        <f>IF(OR(C41="",N($D$5)&lt;=0),"",C41/$D$5)</f>
        <v/>
      </c>
      <c r="E41" s="15">
        <f>IF(D41="","",REPT("█",ROUND(D41*12,0)))</f>
        <v/>
      </c>
      <c r="F41" s="12" t="n"/>
      <c r="G41" s="9">
        <f>IF(Q41="","",INDEX(Holdings!$B$1:$B$105,1000-MOD(Q41,1000)))</f>
        <v/>
      </c>
      <c r="H41" s="10">
        <f>IF(Q41="","",INDEX(Holdings!$E$1:$E$105,1000-MOD(Q41,1000)))</f>
        <v/>
      </c>
      <c r="I41" s="16">
        <f>IF(Q41="","",IF(INDEX(Holdings!$G$1:$G$105,1000-MOD(Q41,1000))="","",INDEX(Holdings!$G$1:$G$105,1000-MOD(Q41,1000))))</f>
        <v/>
      </c>
      <c r="J41" s="10">
        <f>IF(Q41="","",INDEX(Holdings!$H$1:$H$105,1000-MOD(Q41,1000)))</f>
        <v/>
      </c>
      <c r="K41" s="1" t="n"/>
      <c r="L41" s="1" t="n"/>
      <c r="Q41">
        <f>IFERROR(LARGE(Holdings!$J$6:$J$105,3),"")</f>
        <v/>
      </c>
    </row>
    <row r="42" ht="18" customHeight="1">
      <c r="A42" s="1" t="n"/>
      <c r="B42" s="9" t="inlineStr">
        <is>
          <t>Retirement</t>
        </is>
      </c>
      <c r="C42" s="10">
        <f>IF($M$1=0,"",SUMIFS(INDEX(Balances!$E$6:$AN$45,0,$M$1),Balances!$C$6:$C$45,B42))</f>
        <v/>
      </c>
      <c r="D42" s="14">
        <f>IF(OR(C42="",N($D$5)&lt;=0),"",C42/$D$5)</f>
        <v/>
      </c>
      <c r="E42" s="15">
        <f>IF(D42="","",REPT("█",ROUND(D42*12,0)))</f>
        <v/>
      </c>
      <c r="F42" s="12" t="n"/>
      <c r="G42" s="9">
        <f>IF(Q42="","",INDEX(Holdings!$B$1:$B$105,1000-MOD(Q42,1000)))</f>
        <v/>
      </c>
      <c r="H42" s="10">
        <f>IF(Q42="","",INDEX(Holdings!$E$1:$E$105,1000-MOD(Q42,1000)))</f>
        <v/>
      </c>
      <c r="I42" s="16">
        <f>IF(Q42="","",IF(INDEX(Holdings!$G$1:$G$105,1000-MOD(Q42,1000))="","",INDEX(Holdings!$G$1:$G$105,1000-MOD(Q42,1000))))</f>
        <v/>
      </c>
      <c r="J42" s="10">
        <f>IF(Q42="","",INDEX(Holdings!$H$1:$H$105,1000-MOD(Q42,1000)))</f>
        <v/>
      </c>
      <c r="K42" s="1" t="n"/>
      <c r="L42" s="1" t="n"/>
      <c r="Q42">
        <f>IFERROR(LARGE(Holdings!$J$6:$J$105,4),"")</f>
        <v/>
      </c>
    </row>
    <row r="43" ht="18" customHeight="1">
      <c r="A43" s="1" t="n"/>
      <c r="B43" s="9" t="inlineStr">
        <is>
          <t>Property</t>
        </is>
      </c>
      <c r="C43" s="10">
        <f>IF($M$1=0,"",SUMIFS(INDEX(Balances!$E$6:$AN$45,0,$M$1),Balances!$C$6:$C$45,B43))</f>
        <v/>
      </c>
      <c r="D43" s="14">
        <f>IF(OR(C43="",N($D$5)&lt;=0),"",C43/$D$5)</f>
        <v/>
      </c>
      <c r="E43" s="15">
        <f>IF(D43="","",REPT("█",ROUND(D43*12,0)))</f>
        <v/>
      </c>
      <c r="F43" s="12" t="n"/>
      <c r="G43" s="9">
        <f>IF(Q43="","",INDEX(Holdings!$B$1:$B$105,1000-MOD(Q43,1000)))</f>
        <v/>
      </c>
      <c r="H43" s="10">
        <f>IF(Q43="","",INDEX(Holdings!$E$1:$E$105,1000-MOD(Q43,1000)))</f>
        <v/>
      </c>
      <c r="I43" s="16">
        <f>IF(Q43="","",IF(INDEX(Holdings!$G$1:$G$105,1000-MOD(Q43,1000))="","",INDEX(Holdings!$G$1:$G$105,1000-MOD(Q43,1000))))</f>
        <v/>
      </c>
      <c r="J43" s="10">
        <f>IF(Q43="","",INDEX(Holdings!$H$1:$H$105,1000-MOD(Q43,1000)))</f>
        <v/>
      </c>
      <c r="K43" s="1" t="n"/>
      <c r="L43" s="1" t="n"/>
      <c r="Q43">
        <f>IFERROR(LARGE(Holdings!$J$6:$J$105,5),"")</f>
        <v/>
      </c>
    </row>
    <row r="44" ht="18" customHeight="1">
      <c r="A44" s="1" t="n"/>
      <c r="B44" s="9" t="inlineStr">
        <is>
          <t>Vehicle</t>
        </is>
      </c>
      <c r="C44" s="10">
        <f>IF($M$1=0,"",SUMIFS(INDEX(Balances!$E$6:$AN$45,0,$M$1),Balances!$C$6:$C$45,B44))</f>
        <v/>
      </c>
      <c r="D44" s="14">
        <f>IF(OR(C44="",N($D$5)&lt;=0),"",C44/$D$5)</f>
        <v/>
      </c>
      <c r="E44" s="15">
        <f>IF(D44="","",REPT("█",ROUND(D44*12,0)))</f>
        <v/>
      </c>
      <c r="F44" s="12" t="n"/>
      <c r="G44" s="9">
        <f>IF(Q44="","",INDEX(Holdings!$B$1:$B$105,1000-MOD(Q44,1000)))</f>
        <v/>
      </c>
      <c r="H44" s="10">
        <f>IF(Q44="","",INDEX(Holdings!$E$1:$E$105,1000-MOD(Q44,1000)))</f>
        <v/>
      </c>
      <c r="I44" s="16">
        <f>IF(Q44="","",IF(INDEX(Holdings!$G$1:$G$105,1000-MOD(Q44,1000))="","",INDEX(Holdings!$G$1:$G$105,1000-MOD(Q44,1000))))</f>
        <v/>
      </c>
      <c r="J44" s="10">
        <f>IF(Q44="","",INDEX(Holdings!$H$1:$H$105,1000-MOD(Q44,1000)))</f>
        <v/>
      </c>
      <c r="K44" s="1" t="n"/>
      <c r="L44" s="1" t="n"/>
      <c r="Q44">
        <f>IFERROR(LARGE(Holdings!$J$6:$J$105,6),"")</f>
        <v/>
      </c>
    </row>
    <row r="45" ht="18" customHeight="1">
      <c r="A45" s="1" t="n"/>
      <c r="B45" s="9" t="inlineStr">
        <is>
          <t>Other asset</t>
        </is>
      </c>
      <c r="C45" s="10">
        <f>IF($M$1=0,"",SUMIFS(INDEX(Balances!$E$6:$AN$45,0,$M$1),Balances!$C$6:$C$45,B45))</f>
        <v/>
      </c>
      <c r="D45" s="14">
        <f>IF(OR(C45="",N($D$5)&lt;=0),"",C45/$D$5)</f>
        <v/>
      </c>
      <c r="E45" s="15">
        <f>IF(D45="","",REPT("█",ROUND(D45*12,0)))</f>
        <v/>
      </c>
      <c r="F45" s="12" t="n"/>
      <c r="G45" s="9">
        <f>IF(Q45="","",INDEX(Holdings!$B$1:$B$105,1000-MOD(Q45,1000)))</f>
        <v/>
      </c>
      <c r="H45" s="10">
        <f>IF(Q45="","",INDEX(Holdings!$E$1:$E$105,1000-MOD(Q45,1000)))</f>
        <v/>
      </c>
      <c r="I45" s="16">
        <f>IF(Q45="","",IF(INDEX(Holdings!$G$1:$G$105,1000-MOD(Q45,1000))="","",INDEX(Holdings!$G$1:$G$105,1000-MOD(Q45,1000))))</f>
        <v/>
      </c>
      <c r="J45" s="10">
        <f>IF(Q45="","",INDEX(Holdings!$H$1:$H$105,1000-MOD(Q45,1000)))</f>
        <v/>
      </c>
      <c r="K45" s="1" t="n"/>
      <c r="L45" s="1" t="n"/>
      <c r="Q45">
        <f>IFERROR(LARGE(Holdings!$J$6:$J$105,7),"")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</sheetData>
  <conditionalFormatting sqref="E9:E20">
    <cfRule type="expression" priority="1" dxfId="0">
      <formula>AND(ISNUMBER(E9),E9&lt;0)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0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hidden="1" width="13" customWidth="1" min="42" max="4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32" customHeight="1">
      <c r="A2" s="1" t="n"/>
      <c r="B2" s="2" t="inlineStr">
        <is>
          <t>Balances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3" t="inlineStr">
        <is>
          <t>Each account once, with its balance at the end of each month. Debts as the amount owed.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30" customHeight="1">
      <c r="A5" s="1" t="n"/>
      <c r="B5" s="8" t="inlineStr">
        <is>
          <t>Account</t>
        </is>
      </c>
      <c r="C5" s="8" t="inlineStr">
        <is>
          <t>Type</t>
        </is>
      </c>
      <c r="D5" s="8" t="inlineStr">
        <is>
          <t>Kind</t>
        </is>
      </c>
      <c r="E5" s="17">
        <f>EDATE(Settings!$C$5,0)</f>
        <v/>
      </c>
      <c r="F5" s="17">
        <f>EDATE(Settings!$C$5,1)</f>
        <v/>
      </c>
      <c r="G5" s="17">
        <f>EDATE(Settings!$C$5,2)</f>
        <v/>
      </c>
      <c r="H5" s="17">
        <f>EDATE(Settings!$C$5,3)</f>
        <v/>
      </c>
      <c r="I5" s="17">
        <f>EDATE(Settings!$C$5,4)</f>
        <v/>
      </c>
      <c r="J5" s="17">
        <f>EDATE(Settings!$C$5,5)</f>
        <v/>
      </c>
      <c r="K5" s="17">
        <f>EDATE(Settings!$C$5,6)</f>
        <v/>
      </c>
      <c r="L5" s="17">
        <f>EDATE(Settings!$C$5,7)</f>
        <v/>
      </c>
      <c r="M5" s="17">
        <f>EDATE(Settings!$C$5,8)</f>
        <v/>
      </c>
      <c r="N5" s="17">
        <f>EDATE(Settings!$C$5,9)</f>
        <v/>
      </c>
      <c r="O5" s="17">
        <f>EDATE(Settings!$C$5,10)</f>
        <v/>
      </c>
      <c r="P5" s="17">
        <f>EDATE(Settings!$C$5,11)</f>
        <v/>
      </c>
      <c r="Q5" s="17">
        <f>EDATE(Settings!$C$5,12)</f>
        <v/>
      </c>
      <c r="R5" s="17">
        <f>EDATE(Settings!$C$5,13)</f>
        <v/>
      </c>
      <c r="S5" s="17">
        <f>EDATE(Settings!$C$5,14)</f>
        <v/>
      </c>
      <c r="T5" s="17">
        <f>EDATE(Settings!$C$5,15)</f>
        <v/>
      </c>
      <c r="U5" s="17">
        <f>EDATE(Settings!$C$5,16)</f>
        <v/>
      </c>
      <c r="V5" s="17">
        <f>EDATE(Settings!$C$5,17)</f>
        <v/>
      </c>
      <c r="W5" s="17">
        <f>EDATE(Settings!$C$5,18)</f>
        <v/>
      </c>
      <c r="X5" s="17">
        <f>EDATE(Settings!$C$5,19)</f>
        <v/>
      </c>
      <c r="Y5" s="17">
        <f>EDATE(Settings!$C$5,20)</f>
        <v/>
      </c>
      <c r="Z5" s="17">
        <f>EDATE(Settings!$C$5,21)</f>
        <v/>
      </c>
      <c r="AA5" s="17">
        <f>EDATE(Settings!$C$5,22)</f>
        <v/>
      </c>
      <c r="AB5" s="17">
        <f>EDATE(Settings!$C$5,23)</f>
        <v/>
      </c>
      <c r="AC5" s="17">
        <f>EDATE(Settings!$C$5,24)</f>
        <v/>
      </c>
      <c r="AD5" s="17">
        <f>EDATE(Settings!$C$5,25)</f>
        <v/>
      </c>
      <c r="AE5" s="17">
        <f>EDATE(Settings!$C$5,26)</f>
        <v/>
      </c>
      <c r="AF5" s="17">
        <f>EDATE(Settings!$C$5,27)</f>
        <v/>
      </c>
      <c r="AG5" s="17">
        <f>EDATE(Settings!$C$5,28)</f>
        <v/>
      </c>
      <c r="AH5" s="17">
        <f>EDATE(Settings!$C$5,29)</f>
        <v/>
      </c>
      <c r="AI5" s="17">
        <f>EDATE(Settings!$C$5,30)</f>
        <v/>
      </c>
      <c r="AJ5" s="17">
        <f>EDATE(Settings!$C$5,31)</f>
        <v/>
      </c>
      <c r="AK5" s="17">
        <f>EDATE(Settings!$C$5,32)</f>
        <v/>
      </c>
      <c r="AL5" s="17">
        <f>EDATE(Settings!$C$5,33)</f>
        <v/>
      </c>
      <c r="AM5" s="17">
        <f>EDATE(Settings!$C$5,34)</f>
        <v/>
      </c>
      <c r="AN5" s="17">
        <f>EDATE(Settings!$C$5,35)</f>
        <v/>
      </c>
      <c r="AO5" s="1" t="n"/>
    </row>
    <row r="6">
      <c r="A6" s="1" t="n"/>
      <c r="B6" s="18" t="inlineStr">
        <is>
          <t>Everyday account</t>
        </is>
      </c>
      <c r="C6" s="19" t="inlineStr">
        <is>
          <t>Cash</t>
        </is>
      </c>
      <c r="D6" s="20">
        <f>IF(B6="","",IF(OR(C6="Credit card",C6="Loan",C6="Mortgage",C6="Other debt"),"Debt","Asset"))</f>
        <v/>
      </c>
      <c r="E6" s="21" t="n">
        <v>2100</v>
      </c>
      <c r="F6" s="21" t="n">
        <v>1900</v>
      </c>
      <c r="G6" s="21" t="n">
        <v>2060</v>
      </c>
      <c r="H6" s="21" t="n">
        <v>1940</v>
      </c>
      <c r="I6" s="21" t="n">
        <v>2130</v>
      </c>
      <c r="J6" s="21" t="n">
        <v>2290</v>
      </c>
      <c r="K6" s="21" t="n">
        <v>2380</v>
      </c>
      <c r="L6" s="21" t="n">
        <v>2090</v>
      </c>
      <c r="M6" s="21" t="n">
        <v>2200</v>
      </c>
      <c r="N6" s="21" t="n">
        <v>2090</v>
      </c>
      <c r="O6" s="21" t="n">
        <v>2620</v>
      </c>
      <c r="P6" s="21" t="n">
        <v>2400</v>
      </c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1" t="n"/>
      <c r="AP6">
        <f>IF(B6="",0,IF(OR(C6="Credit card",C6="Loan",C6="Mortgage",C6="Other debt"),-1,1))</f>
        <v/>
      </c>
    </row>
    <row r="7">
      <c r="A7" s="1" t="n"/>
      <c r="B7" s="18" t="inlineStr">
        <is>
          <t>Emergency savings</t>
        </is>
      </c>
      <c r="C7" s="19" t="inlineStr">
        <is>
          <t>Savings</t>
        </is>
      </c>
      <c r="D7" s="20">
        <f>IF(B7="","",IF(OR(C7="Credit card",C7="Loan",C7="Mortgage",C7="Other debt"),"Debt","Asset"))</f>
        <v/>
      </c>
      <c r="E7" s="21" t="n">
        <v>8000</v>
      </c>
      <c r="F7" s="21" t="n">
        <v>8300</v>
      </c>
      <c r="G7" s="21" t="n">
        <v>8600</v>
      </c>
      <c r="H7" s="21" t="n">
        <v>8900</v>
      </c>
      <c r="I7" s="21" t="n">
        <v>9200</v>
      </c>
      <c r="J7" s="21" t="n">
        <v>9500</v>
      </c>
      <c r="K7" s="21" t="n">
        <v>9800</v>
      </c>
      <c r="L7" s="21" t="n">
        <v>10100</v>
      </c>
      <c r="M7" s="21" t="n">
        <v>10400</v>
      </c>
      <c r="N7" s="21" t="n">
        <v>10700</v>
      </c>
      <c r="O7" s="21" t="n">
        <v>11000</v>
      </c>
      <c r="P7" s="21" t="n">
        <v>11300</v>
      </c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1" t="n"/>
      <c r="AP7">
        <f>IF(B7="",0,IF(OR(C7="Credit card",C7="Loan",C7="Mortgage",C7="Other debt"),-1,1))</f>
        <v/>
      </c>
    </row>
    <row r="8">
      <c r="A8" s="1" t="n"/>
      <c r="B8" s="18" t="inlineStr">
        <is>
          <t>Brokerage</t>
        </is>
      </c>
      <c r="C8" s="19" t="inlineStr">
        <is>
          <t>Investments</t>
        </is>
      </c>
      <c r="D8" s="20">
        <f>IF(B8="","",IF(OR(C8="Credit card",C8="Loan",C8="Mortgage",C8="Other debt"),"Debt","Asset"))</f>
        <v/>
      </c>
      <c r="E8" s="21" t="n">
        <v>24000</v>
      </c>
      <c r="F8" s="21" t="n">
        <v>25010</v>
      </c>
      <c r="G8" s="21" t="n">
        <v>25160</v>
      </c>
      <c r="H8" s="21" t="n">
        <v>25420</v>
      </c>
      <c r="I8" s="21" t="n">
        <v>26150</v>
      </c>
      <c r="J8" s="21" t="n">
        <v>26190</v>
      </c>
      <c r="K8" s="21" t="n">
        <v>28090</v>
      </c>
      <c r="L8" s="21" t="n">
        <v>27510</v>
      </c>
      <c r="M8" s="21" t="n">
        <v>28380</v>
      </c>
      <c r="N8" s="21" t="n">
        <v>29780</v>
      </c>
      <c r="O8" s="21" t="n">
        <v>30400</v>
      </c>
      <c r="P8" s="21" t="n">
        <v>30800</v>
      </c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1" t="n"/>
      <c r="AP8">
        <f>IF(B8="",0,IF(OR(C8="Credit card",C8="Loan",C8="Mortgage",C8="Other debt"),-1,1))</f>
        <v/>
      </c>
    </row>
    <row r="9">
      <c r="A9" s="1" t="n"/>
      <c r="B9" s="18" t="inlineStr">
        <is>
          <t>Dividend portfolio</t>
        </is>
      </c>
      <c r="C9" s="19" t="inlineStr">
        <is>
          <t>Investments</t>
        </is>
      </c>
      <c r="D9" s="20">
        <f>IF(B9="","",IF(OR(C9="Credit card",C9="Loan",C9="Mortgage",C9="Other debt"),"Debt","Asset"))</f>
        <v/>
      </c>
      <c r="E9" s="21" t="n">
        <v>18200</v>
      </c>
      <c r="F9" s="21" t="n">
        <v>18740</v>
      </c>
      <c r="G9" s="21" t="n">
        <v>19160</v>
      </c>
      <c r="H9" s="21" t="n">
        <v>19760</v>
      </c>
      <c r="I9" s="21" t="n">
        <v>20330</v>
      </c>
      <c r="J9" s="21" t="n">
        <v>20760</v>
      </c>
      <c r="K9" s="21" t="n">
        <v>20460</v>
      </c>
      <c r="L9" s="21" t="n">
        <v>20820</v>
      </c>
      <c r="M9" s="21" t="n">
        <v>20960</v>
      </c>
      <c r="N9" s="21" t="n">
        <v>21720</v>
      </c>
      <c r="O9" s="21" t="n">
        <v>21810</v>
      </c>
      <c r="P9" s="21" t="n">
        <v>22600</v>
      </c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1" t="n"/>
      <c r="AP9">
        <f>IF(B9="",0,IF(OR(C9="Credit card",C9="Loan",C9="Mortgage",C9="Other debt"),-1,1))</f>
        <v/>
      </c>
    </row>
    <row r="10">
      <c r="A10" s="1" t="n"/>
      <c r="B10" s="18" t="inlineStr">
        <is>
          <t>Retirement plan</t>
        </is>
      </c>
      <c r="C10" s="19" t="inlineStr">
        <is>
          <t>Retirement</t>
        </is>
      </c>
      <c r="D10" s="20">
        <f>IF(B10="","",IF(OR(C10="Credit card",C10="Loan",C10="Mortgage",C10="Other debt"),"Debt","Asset"))</f>
        <v/>
      </c>
      <c r="E10" s="21" t="n">
        <v>52000</v>
      </c>
      <c r="F10" s="21" t="n">
        <v>53900</v>
      </c>
      <c r="G10" s="21" t="n">
        <v>54320</v>
      </c>
      <c r="H10" s="21" t="n">
        <v>53930</v>
      </c>
      <c r="I10" s="21" t="n">
        <v>55880</v>
      </c>
      <c r="J10" s="21" t="n">
        <v>56750</v>
      </c>
      <c r="K10" s="21" t="n">
        <v>56170</v>
      </c>
      <c r="L10" s="21" t="n">
        <v>58720</v>
      </c>
      <c r="M10" s="21" t="n">
        <v>59400</v>
      </c>
      <c r="N10" s="21" t="n">
        <v>59620</v>
      </c>
      <c r="O10" s="21" t="n">
        <v>61610</v>
      </c>
      <c r="P10" s="21" t="n">
        <v>61400</v>
      </c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1" t="n"/>
      <c r="AP10">
        <f>IF(B10="",0,IF(OR(C10="Credit card",C10="Loan",C10="Mortgage",C10="Other debt"),-1,1))</f>
        <v/>
      </c>
    </row>
    <row r="11">
      <c r="A11" s="1" t="n"/>
      <c r="B11" s="18" t="inlineStr">
        <is>
          <t>Home</t>
        </is>
      </c>
      <c r="C11" s="19" t="inlineStr">
        <is>
          <t>Property</t>
        </is>
      </c>
      <c r="D11" s="20">
        <f>IF(B11="","",IF(OR(C11="Credit card",C11="Loan",C11="Mortgage",C11="Other debt"),"Debt","Asset"))</f>
        <v/>
      </c>
      <c r="E11" s="21" t="n">
        <v>320000</v>
      </c>
      <c r="F11" s="21" t="n">
        <v>320000</v>
      </c>
      <c r="G11" s="21" t="n">
        <v>320000</v>
      </c>
      <c r="H11" s="21" t="n">
        <v>320000</v>
      </c>
      <c r="I11" s="21" t="n">
        <v>320000</v>
      </c>
      <c r="J11" s="21" t="n">
        <v>320000</v>
      </c>
      <c r="K11" s="21" t="n">
        <v>330000</v>
      </c>
      <c r="L11" s="21" t="n">
        <v>330000</v>
      </c>
      <c r="M11" s="21" t="n">
        <v>330000</v>
      </c>
      <c r="N11" s="21" t="n">
        <v>330000</v>
      </c>
      <c r="O11" s="21" t="n">
        <v>330000</v>
      </c>
      <c r="P11" s="21" t="n">
        <v>330000</v>
      </c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1" t="n"/>
      <c r="AP11">
        <f>IF(B11="",0,IF(OR(C11="Credit card",C11="Loan",C11="Mortgage",C11="Other debt"),-1,1))</f>
        <v/>
      </c>
    </row>
    <row r="12">
      <c r="A12" s="1" t="n"/>
      <c r="B12" s="18" t="inlineStr">
        <is>
          <t>Car</t>
        </is>
      </c>
      <c r="C12" s="19" t="inlineStr">
        <is>
          <t>Vehicle</t>
        </is>
      </c>
      <c r="D12" s="20">
        <f>IF(B12="","",IF(OR(C12="Credit card",C12="Loan",C12="Mortgage",C12="Other debt"),"Debt","Asset"))</f>
        <v/>
      </c>
      <c r="E12" s="21" t="n">
        <v>14000</v>
      </c>
      <c r="F12" s="21" t="n">
        <v>13850</v>
      </c>
      <c r="G12" s="21" t="n">
        <v>13710</v>
      </c>
      <c r="H12" s="21" t="n">
        <v>13560</v>
      </c>
      <c r="I12" s="21" t="n">
        <v>13420</v>
      </c>
      <c r="J12" s="21" t="n">
        <v>13270</v>
      </c>
      <c r="K12" s="21" t="n">
        <v>13130</v>
      </c>
      <c r="L12" s="21" t="n">
        <v>12980</v>
      </c>
      <c r="M12" s="21" t="n">
        <v>12840</v>
      </c>
      <c r="N12" s="21" t="n">
        <v>12690</v>
      </c>
      <c r="O12" s="21" t="n">
        <v>12550</v>
      </c>
      <c r="P12" s="21" t="n">
        <v>12400</v>
      </c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1" t="n"/>
      <c r="AP12">
        <f>IF(B12="",0,IF(OR(C12="Credit card",C12="Loan",C12="Mortgage",C12="Other debt"),-1,1))</f>
        <v/>
      </c>
    </row>
    <row r="13">
      <c r="A13" s="1" t="n"/>
      <c r="B13" s="18" t="inlineStr">
        <is>
          <t>Credit card</t>
        </is>
      </c>
      <c r="C13" s="19" t="inlineStr">
        <is>
          <t>Credit card</t>
        </is>
      </c>
      <c r="D13" s="20">
        <f>IF(B13="","",IF(OR(C13="Credit card",C13="Loan",C13="Mortgage",C13="Other debt"),"Debt","Asset"))</f>
        <v/>
      </c>
      <c r="E13" s="21" t="n">
        <v>1200</v>
      </c>
      <c r="F13" s="21" t="n">
        <v>909.92</v>
      </c>
      <c r="G13" s="21" t="n">
        <v>848.9299999999999</v>
      </c>
      <c r="H13" s="21" t="n">
        <v>1300</v>
      </c>
      <c r="I13" s="21" t="n">
        <v>954.4</v>
      </c>
      <c r="J13" s="21" t="n">
        <v>1320</v>
      </c>
      <c r="K13" s="21" t="n">
        <v>1310</v>
      </c>
      <c r="L13" s="21" t="n">
        <v>824.09</v>
      </c>
      <c r="M13" s="21" t="n">
        <v>1110</v>
      </c>
      <c r="N13" s="21" t="n">
        <v>716.02</v>
      </c>
      <c r="O13" s="21" t="n">
        <v>882.58</v>
      </c>
      <c r="P13" s="21" t="n">
        <v>850</v>
      </c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1" t="n"/>
      <c r="AP13">
        <f>IF(B13="",0,IF(OR(C13="Credit card",C13="Loan",C13="Mortgage",C13="Other debt"),-1,1))</f>
        <v/>
      </c>
    </row>
    <row r="14">
      <c r="A14" s="1" t="n"/>
      <c r="B14" s="18" t="inlineStr">
        <is>
          <t>Car loan</t>
        </is>
      </c>
      <c r="C14" s="19" t="inlineStr">
        <is>
          <t>Loan</t>
        </is>
      </c>
      <c r="D14" s="20">
        <f>IF(B14="","",IF(OR(C14="Credit card",C14="Loan",C14="Mortgage",C14="Other debt"),"Debt","Asset"))</f>
        <v/>
      </c>
      <c r="E14" s="21" t="n">
        <v>9000</v>
      </c>
      <c r="F14" s="21" t="n">
        <v>8780</v>
      </c>
      <c r="G14" s="21" t="n">
        <v>8560</v>
      </c>
      <c r="H14" s="21" t="n">
        <v>8350</v>
      </c>
      <c r="I14" s="21" t="n">
        <v>8130</v>
      </c>
      <c r="J14" s="21" t="n">
        <v>7910</v>
      </c>
      <c r="K14" s="21" t="n">
        <v>7690</v>
      </c>
      <c r="L14" s="21" t="n">
        <v>7470</v>
      </c>
      <c r="M14" s="21" t="n">
        <v>7250</v>
      </c>
      <c r="N14" s="21" t="n">
        <v>7040</v>
      </c>
      <c r="O14" s="21" t="n">
        <v>6820</v>
      </c>
      <c r="P14" s="21" t="n">
        <v>6600</v>
      </c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1" t="n"/>
      <c r="AP14">
        <f>IF(B14="",0,IF(OR(C14="Credit card",C14="Loan",C14="Mortgage",C14="Other debt"),-1,1))</f>
        <v/>
      </c>
    </row>
    <row r="15">
      <c r="A15" s="1" t="n"/>
      <c r="B15" s="18" t="inlineStr">
        <is>
          <t>Mortgage</t>
        </is>
      </c>
      <c r="C15" s="19" t="inlineStr">
        <is>
          <t>Mortgage</t>
        </is>
      </c>
      <c r="D15" s="20">
        <f>IF(B15="","",IF(OR(C15="Credit card",C15="Loan",C15="Mortgage",C15="Other debt"),"Debt","Asset"))</f>
        <v/>
      </c>
      <c r="E15" s="21" t="n">
        <v>210000</v>
      </c>
      <c r="F15" s="21" t="n">
        <v>209530</v>
      </c>
      <c r="G15" s="21" t="n">
        <v>209050</v>
      </c>
      <c r="H15" s="21" t="n">
        <v>208580</v>
      </c>
      <c r="I15" s="21" t="n">
        <v>208110</v>
      </c>
      <c r="J15" s="21" t="n">
        <v>207640</v>
      </c>
      <c r="K15" s="21" t="n">
        <v>207160</v>
      </c>
      <c r="L15" s="21" t="n">
        <v>206690</v>
      </c>
      <c r="M15" s="21" t="n">
        <v>206220</v>
      </c>
      <c r="N15" s="21" t="n">
        <v>205750</v>
      </c>
      <c r="O15" s="21" t="n">
        <v>205270</v>
      </c>
      <c r="P15" s="21" t="n">
        <v>204800</v>
      </c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1" t="n"/>
      <c r="AP15">
        <f>IF(B15="",0,IF(OR(C15="Credit card",C15="Loan",C15="Mortgage",C15="Other debt"),-1,1))</f>
        <v/>
      </c>
    </row>
    <row r="16">
      <c r="A16" s="1" t="n"/>
      <c r="B16" s="18" t="n"/>
      <c r="C16" s="19" t="n"/>
      <c r="D16" s="20">
        <f>IF(B16="","",IF(OR(C16="Credit card",C16="Loan",C16="Mortgage",C16="Other debt"),"Debt","Asset"))</f>
        <v/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  <c r="AO16" s="1" t="n"/>
      <c r="AP16">
        <f>IF(B16="",0,IF(OR(C16="Credit card",C16="Loan",C16="Mortgage",C16="Other debt"),-1,1))</f>
        <v/>
      </c>
    </row>
    <row r="17">
      <c r="A17" s="1" t="n"/>
      <c r="B17" s="18" t="n"/>
      <c r="C17" s="19" t="n"/>
      <c r="D17" s="20">
        <f>IF(B17="","",IF(OR(C17="Credit card",C17="Loan",C17="Mortgage",C17="Other debt"),"Debt","Asset"))</f>
        <v/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1" t="n"/>
      <c r="AP17">
        <f>IF(B17="",0,IF(OR(C17="Credit card",C17="Loan",C17="Mortgage",C17="Other debt"),-1,1))</f>
        <v/>
      </c>
    </row>
    <row r="18">
      <c r="A18" s="1" t="n"/>
      <c r="B18" s="18" t="n"/>
      <c r="C18" s="19" t="n"/>
      <c r="D18" s="20">
        <f>IF(B18="","",IF(OR(C18="Credit card",C18="Loan",C18="Mortgage",C18="Other debt"),"Debt","Asset"))</f>
        <v/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1" t="n"/>
      <c r="AP18">
        <f>IF(B18="",0,IF(OR(C18="Credit card",C18="Loan",C18="Mortgage",C18="Other debt"),-1,1))</f>
        <v/>
      </c>
    </row>
    <row r="19">
      <c r="A19" s="1" t="n"/>
      <c r="B19" s="18" t="n"/>
      <c r="C19" s="19" t="n"/>
      <c r="D19" s="20">
        <f>IF(B19="","",IF(OR(C19="Credit card",C19="Loan",C19="Mortgage",C19="Other debt"),"Debt","Asset"))</f>
        <v/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1" t="n"/>
      <c r="AP19">
        <f>IF(B19="",0,IF(OR(C19="Credit card",C19="Loan",C19="Mortgage",C19="Other debt"),-1,1))</f>
        <v/>
      </c>
    </row>
    <row r="20">
      <c r="A20" s="1" t="n"/>
      <c r="B20" s="18" t="n"/>
      <c r="C20" s="19" t="n"/>
      <c r="D20" s="20">
        <f>IF(B20="","",IF(OR(C20="Credit card",C20="Loan",C20="Mortgage",C20="Other debt"),"Debt","Asset"))</f>
        <v/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1" t="n"/>
      <c r="AP20">
        <f>IF(B20="",0,IF(OR(C20="Credit card",C20="Loan",C20="Mortgage",C20="Other debt"),-1,1))</f>
        <v/>
      </c>
    </row>
    <row r="21">
      <c r="A21" s="1" t="n"/>
      <c r="B21" s="18" t="n"/>
      <c r="C21" s="19" t="n"/>
      <c r="D21" s="20">
        <f>IF(B21="","",IF(OR(C21="Credit card",C21="Loan",C21="Mortgage",C21="Other debt"),"Debt","Asset"))</f>
        <v/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1" t="n"/>
      <c r="AP21">
        <f>IF(B21="",0,IF(OR(C21="Credit card",C21="Loan",C21="Mortgage",C21="Other debt"),-1,1))</f>
        <v/>
      </c>
    </row>
    <row r="22">
      <c r="A22" s="1" t="n"/>
      <c r="B22" s="18" t="n"/>
      <c r="C22" s="19" t="n"/>
      <c r="D22" s="20">
        <f>IF(B22="","",IF(OR(C22="Credit card",C22="Loan",C22="Mortgage",C22="Other debt"),"Debt","Asset"))</f>
        <v/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1" t="n"/>
      <c r="AP22">
        <f>IF(B22="",0,IF(OR(C22="Credit card",C22="Loan",C22="Mortgage",C22="Other debt"),-1,1))</f>
        <v/>
      </c>
    </row>
    <row r="23">
      <c r="A23" s="1" t="n"/>
      <c r="B23" s="18" t="n"/>
      <c r="C23" s="19" t="n"/>
      <c r="D23" s="20">
        <f>IF(B23="","",IF(OR(C23="Credit card",C23="Loan",C23="Mortgage",C23="Other debt"),"Debt","Asset"))</f>
        <v/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1" t="n"/>
      <c r="AP23">
        <f>IF(B23="",0,IF(OR(C23="Credit card",C23="Loan",C23="Mortgage",C23="Other debt"),-1,1))</f>
        <v/>
      </c>
    </row>
    <row r="24">
      <c r="A24" s="1" t="n"/>
      <c r="B24" s="18" t="n"/>
      <c r="C24" s="19" t="n"/>
      <c r="D24" s="20">
        <f>IF(B24="","",IF(OR(C24="Credit card",C24="Loan",C24="Mortgage",C24="Other debt"),"Debt","Asset"))</f>
        <v/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1" t="n"/>
      <c r="AP24">
        <f>IF(B24="",0,IF(OR(C24="Credit card",C24="Loan",C24="Mortgage",C24="Other debt"),-1,1))</f>
        <v/>
      </c>
    </row>
    <row r="25">
      <c r="A25" s="1" t="n"/>
      <c r="B25" s="18" t="n"/>
      <c r="C25" s="19" t="n"/>
      <c r="D25" s="20">
        <f>IF(B25="","",IF(OR(C25="Credit card",C25="Loan",C25="Mortgage",C25="Other debt"),"Debt","Asset"))</f>
        <v/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1" t="n"/>
      <c r="AP25">
        <f>IF(B25="",0,IF(OR(C25="Credit card",C25="Loan",C25="Mortgage",C25="Other debt"),-1,1))</f>
        <v/>
      </c>
    </row>
    <row r="26">
      <c r="A26" s="1" t="n"/>
      <c r="B26" s="18" t="n"/>
      <c r="C26" s="19" t="n"/>
      <c r="D26" s="20">
        <f>IF(B26="","",IF(OR(C26="Credit card",C26="Loan",C26="Mortgage",C26="Other debt"),"Debt","Asset"))</f>
        <v/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1" t="n"/>
      <c r="AP26">
        <f>IF(B26="",0,IF(OR(C26="Credit card",C26="Loan",C26="Mortgage",C26="Other debt"),-1,1))</f>
        <v/>
      </c>
    </row>
    <row r="27">
      <c r="A27" s="1" t="n"/>
      <c r="B27" s="18" t="n"/>
      <c r="C27" s="19" t="n"/>
      <c r="D27" s="20">
        <f>IF(B27="","",IF(OR(C27="Credit card",C27="Loan",C27="Mortgage",C27="Other debt"),"Debt","Asset"))</f>
        <v/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1" t="n"/>
      <c r="AP27">
        <f>IF(B27="",0,IF(OR(C27="Credit card",C27="Loan",C27="Mortgage",C27="Other debt"),-1,1))</f>
        <v/>
      </c>
    </row>
    <row r="28">
      <c r="A28" s="1" t="n"/>
      <c r="B28" s="18" t="n"/>
      <c r="C28" s="19" t="n"/>
      <c r="D28" s="20">
        <f>IF(B28="","",IF(OR(C28="Credit card",C28="Loan",C28="Mortgage",C28="Other debt"),"Debt","Asset"))</f>
        <v/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1" t="n"/>
      <c r="AP28">
        <f>IF(B28="",0,IF(OR(C28="Credit card",C28="Loan",C28="Mortgage",C28="Other debt"),-1,1))</f>
        <v/>
      </c>
    </row>
    <row r="29">
      <c r="A29" s="1" t="n"/>
      <c r="B29" s="18" t="n"/>
      <c r="C29" s="19" t="n"/>
      <c r="D29" s="20">
        <f>IF(B29="","",IF(OR(C29="Credit card",C29="Loan",C29="Mortgage",C29="Other debt"),"Debt","Asset"))</f>
        <v/>
      </c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1" t="n"/>
      <c r="AP29">
        <f>IF(B29="",0,IF(OR(C29="Credit card",C29="Loan",C29="Mortgage",C29="Other debt"),-1,1))</f>
        <v/>
      </c>
    </row>
    <row r="30">
      <c r="A30" s="1" t="n"/>
      <c r="B30" s="18" t="n"/>
      <c r="C30" s="19" t="n"/>
      <c r="D30" s="20">
        <f>IF(B30="","",IF(OR(C30="Credit card",C30="Loan",C30="Mortgage",C30="Other debt"),"Debt","Asset"))</f>
        <v/>
      </c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1" t="n"/>
      <c r="AP30">
        <f>IF(B30="",0,IF(OR(C30="Credit card",C30="Loan",C30="Mortgage",C30="Other debt"),-1,1))</f>
        <v/>
      </c>
    </row>
    <row r="31">
      <c r="A31" s="1" t="n"/>
      <c r="B31" s="18" t="n"/>
      <c r="C31" s="19" t="n"/>
      <c r="D31" s="20">
        <f>IF(B31="","",IF(OR(C31="Credit card",C31="Loan",C31="Mortgage",C31="Other debt"),"Debt","Asset"))</f>
        <v/>
      </c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1" t="n"/>
      <c r="AP31">
        <f>IF(B31="",0,IF(OR(C31="Credit card",C31="Loan",C31="Mortgage",C31="Other debt"),-1,1))</f>
        <v/>
      </c>
    </row>
    <row r="32">
      <c r="A32" s="1" t="n"/>
      <c r="B32" s="18" t="n"/>
      <c r="C32" s="19" t="n"/>
      <c r="D32" s="20">
        <f>IF(B32="","",IF(OR(C32="Credit card",C32="Loan",C32="Mortgage",C32="Other debt"),"Debt","Asset"))</f>
        <v/>
      </c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1" t="n"/>
      <c r="AP32">
        <f>IF(B32="",0,IF(OR(C32="Credit card",C32="Loan",C32="Mortgage",C32="Other debt"),-1,1))</f>
        <v/>
      </c>
    </row>
    <row r="33">
      <c r="A33" s="1" t="n"/>
      <c r="B33" s="18" t="n"/>
      <c r="C33" s="19" t="n"/>
      <c r="D33" s="20">
        <f>IF(B33="","",IF(OR(C33="Credit card",C33="Loan",C33="Mortgage",C33="Other debt"),"Debt","Asset"))</f>
        <v/>
      </c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1" t="n"/>
      <c r="AP33">
        <f>IF(B33="",0,IF(OR(C33="Credit card",C33="Loan",C33="Mortgage",C33="Other debt"),-1,1))</f>
        <v/>
      </c>
    </row>
    <row r="34">
      <c r="A34" s="1" t="n"/>
      <c r="B34" s="18" t="n"/>
      <c r="C34" s="19" t="n"/>
      <c r="D34" s="20">
        <f>IF(B34="","",IF(OR(C34="Credit card",C34="Loan",C34="Mortgage",C34="Other debt"),"Debt","Asset"))</f>
        <v/>
      </c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1" t="n"/>
      <c r="AP34">
        <f>IF(B34="",0,IF(OR(C34="Credit card",C34="Loan",C34="Mortgage",C34="Other debt"),-1,1))</f>
        <v/>
      </c>
    </row>
    <row r="35">
      <c r="A35" s="1" t="n"/>
      <c r="B35" s="18" t="n"/>
      <c r="C35" s="19" t="n"/>
      <c r="D35" s="20">
        <f>IF(B35="","",IF(OR(C35="Credit card",C35="Loan",C35="Mortgage",C35="Other debt"),"Debt","Asset"))</f>
        <v/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1" t="n"/>
      <c r="AP35">
        <f>IF(B35="",0,IF(OR(C35="Credit card",C35="Loan",C35="Mortgage",C35="Other debt"),-1,1))</f>
        <v/>
      </c>
    </row>
    <row r="36">
      <c r="A36" s="1" t="n"/>
      <c r="B36" s="18" t="n"/>
      <c r="C36" s="19" t="n"/>
      <c r="D36" s="20">
        <f>IF(B36="","",IF(OR(C36="Credit card",C36="Loan",C36="Mortgage",C36="Other debt"),"Debt","Asset"))</f>
        <v/>
      </c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1" t="n"/>
      <c r="AP36">
        <f>IF(B36="",0,IF(OR(C36="Credit card",C36="Loan",C36="Mortgage",C36="Other debt"),-1,1))</f>
        <v/>
      </c>
    </row>
    <row r="37">
      <c r="A37" s="1" t="n"/>
      <c r="B37" s="18" t="n"/>
      <c r="C37" s="19" t="n"/>
      <c r="D37" s="20">
        <f>IF(B37="","",IF(OR(C37="Credit card",C37="Loan",C37="Mortgage",C37="Other debt"),"Debt","Asset"))</f>
        <v/>
      </c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1" t="n"/>
      <c r="AP37">
        <f>IF(B37="",0,IF(OR(C37="Credit card",C37="Loan",C37="Mortgage",C37="Other debt"),-1,1))</f>
        <v/>
      </c>
    </row>
    <row r="38">
      <c r="A38" s="1" t="n"/>
      <c r="B38" s="18" t="n"/>
      <c r="C38" s="19" t="n"/>
      <c r="D38" s="20">
        <f>IF(B38="","",IF(OR(C38="Credit card",C38="Loan",C38="Mortgage",C38="Other debt"),"Debt","Asset"))</f>
        <v/>
      </c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1" t="n"/>
      <c r="AP38">
        <f>IF(B38="",0,IF(OR(C38="Credit card",C38="Loan",C38="Mortgage",C38="Other debt"),-1,1))</f>
        <v/>
      </c>
    </row>
    <row r="39">
      <c r="A39" s="1" t="n"/>
      <c r="B39" s="18" t="n"/>
      <c r="C39" s="19" t="n"/>
      <c r="D39" s="20">
        <f>IF(B39="","",IF(OR(C39="Credit card",C39="Loan",C39="Mortgage",C39="Other debt"),"Debt","Asset"))</f>
        <v/>
      </c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1" t="n"/>
      <c r="AP39">
        <f>IF(B39="",0,IF(OR(C39="Credit card",C39="Loan",C39="Mortgage",C39="Other debt"),-1,1))</f>
        <v/>
      </c>
    </row>
    <row r="40">
      <c r="A40" s="1" t="n"/>
      <c r="B40" s="18" t="n"/>
      <c r="C40" s="19" t="n"/>
      <c r="D40" s="20">
        <f>IF(B40="","",IF(OR(C40="Credit card",C40="Loan",C40="Mortgage",C40="Other debt"),"Debt","Asset"))</f>
        <v/>
      </c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1" t="n"/>
      <c r="AP40">
        <f>IF(B40="",0,IF(OR(C40="Credit card",C40="Loan",C40="Mortgage",C40="Other debt"),-1,1))</f>
        <v/>
      </c>
    </row>
    <row r="41">
      <c r="A41" s="1" t="n"/>
      <c r="B41" s="18" t="n"/>
      <c r="C41" s="19" t="n"/>
      <c r="D41" s="20">
        <f>IF(B41="","",IF(OR(C41="Credit card",C41="Loan",C41="Mortgage",C41="Other debt"),"Debt","Asset"))</f>
        <v/>
      </c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1" t="n"/>
      <c r="AP41">
        <f>IF(B41="",0,IF(OR(C41="Credit card",C41="Loan",C41="Mortgage",C41="Other debt"),-1,1))</f>
        <v/>
      </c>
    </row>
    <row r="42">
      <c r="A42" s="1" t="n"/>
      <c r="B42" s="18" t="n"/>
      <c r="C42" s="19" t="n"/>
      <c r="D42" s="20">
        <f>IF(B42="","",IF(OR(C42="Credit card",C42="Loan",C42="Mortgage",C42="Other debt"),"Debt","Asset"))</f>
        <v/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1" t="n"/>
      <c r="AP42">
        <f>IF(B42="",0,IF(OR(C42="Credit card",C42="Loan",C42="Mortgage",C42="Other debt"),-1,1))</f>
        <v/>
      </c>
    </row>
    <row r="43">
      <c r="A43" s="1" t="n"/>
      <c r="B43" s="18" t="n"/>
      <c r="C43" s="19" t="n"/>
      <c r="D43" s="20">
        <f>IF(B43="","",IF(OR(C43="Credit card",C43="Loan",C43="Mortgage",C43="Other debt"),"Debt","Asset"))</f>
        <v/>
      </c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1" t="n"/>
      <c r="AP43">
        <f>IF(B43="",0,IF(OR(C43="Credit card",C43="Loan",C43="Mortgage",C43="Other debt"),-1,1))</f>
        <v/>
      </c>
    </row>
    <row r="44">
      <c r="A44" s="1" t="n"/>
      <c r="B44" s="18" t="n"/>
      <c r="C44" s="19" t="n"/>
      <c r="D44" s="20">
        <f>IF(B44="","",IF(OR(C44="Credit card",C44="Loan",C44="Mortgage",C44="Other debt"),"Debt","Asset"))</f>
        <v/>
      </c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1" t="n"/>
      <c r="AP44">
        <f>IF(B44="",0,IF(OR(C44="Credit card",C44="Loan",C44="Mortgage",C44="Other debt"),-1,1))</f>
        <v/>
      </c>
    </row>
    <row r="45">
      <c r="A45" s="1" t="n"/>
      <c r="B45" s="18" t="n"/>
      <c r="C45" s="19" t="n"/>
      <c r="D45" s="20">
        <f>IF(B45="","",IF(OR(C45="Credit card",C45="Loan",C45="Mortgage",C45="Other debt"),"Debt","Asset"))</f>
        <v/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1" t="n"/>
      <c r="AP45">
        <f>IF(B45="",0,IF(OR(C45="Credit card",C45="Loan",C45="Mortgage",C45="Other debt"),-1,1))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</row>
    <row r="47">
      <c r="A47" s="1" t="n"/>
      <c r="B47" s="22" t="inlineStr">
        <is>
          <t>Assets</t>
        </is>
      </c>
      <c r="C47" s="1" t="n"/>
      <c r="D47" s="1" t="n"/>
      <c r="E47" s="23">
        <f>IF(COUNT(E6:E45)=0,"",SUMIFS(E6:E45,$AP$6:$AP$45,1))</f>
        <v/>
      </c>
      <c r="F47" s="23">
        <f>IF(COUNT(F6:F45)=0,"",SUMIFS(F6:F45,$AP$6:$AP$45,1))</f>
        <v/>
      </c>
      <c r="G47" s="23">
        <f>IF(COUNT(G6:G45)=0,"",SUMIFS(G6:G45,$AP$6:$AP$45,1))</f>
        <v/>
      </c>
      <c r="H47" s="23">
        <f>IF(COUNT(H6:H45)=0,"",SUMIFS(H6:H45,$AP$6:$AP$45,1))</f>
        <v/>
      </c>
      <c r="I47" s="23">
        <f>IF(COUNT(I6:I45)=0,"",SUMIFS(I6:I45,$AP$6:$AP$45,1))</f>
        <v/>
      </c>
      <c r="J47" s="23">
        <f>IF(COUNT(J6:J45)=0,"",SUMIFS(J6:J45,$AP$6:$AP$45,1))</f>
        <v/>
      </c>
      <c r="K47" s="23">
        <f>IF(COUNT(K6:K45)=0,"",SUMIFS(K6:K45,$AP$6:$AP$45,1))</f>
        <v/>
      </c>
      <c r="L47" s="23">
        <f>IF(COUNT(L6:L45)=0,"",SUMIFS(L6:L45,$AP$6:$AP$45,1))</f>
        <v/>
      </c>
      <c r="M47" s="23">
        <f>IF(COUNT(M6:M45)=0,"",SUMIFS(M6:M45,$AP$6:$AP$45,1))</f>
        <v/>
      </c>
      <c r="N47" s="23">
        <f>IF(COUNT(N6:N45)=0,"",SUMIFS(N6:N45,$AP$6:$AP$45,1))</f>
        <v/>
      </c>
      <c r="O47" s="23">
        <f>IF(COUNT(O6:O45)=0,"",SUMIFS(O6:O45,$AP$6:$AP$45,1))</f>
        <v/>
      </c>
      <c r="P47" s="23">
        <f>IF(COUNT(P6:P45)=0,"",SUMIFS(P6:P45,$AP$6:$AP$45,1))</f>
        <v/>
      </c>
      <c r="Q47" s="23">
        <f>IF(COUNT(Q6:Q45)=0,"",SUMIFS(Q6:Q45,$AP$6:$AP$45,1))</f>
        <v/>
      </c>
      <c r="R47" s="23">
        <f>IF(COUNT(R6:R45)=0,"",SUMIFS(R6:R45,$AP$6:$AP$45,1))</f>
        <v/>
      </c>
      <c r="S47" s="23">
        <f>IF(COUNT(S6:S45)=0,"",SUMIFS(S6:S45,$AP$6:$AP$45,1))</f>
        <v/>
      </c>
      <c r="T47" s="23">
        <f>IF(COUNT(T6:T45)=0,"",SUMIFS(T6:T45,$AP$6:$AP$45,1))</f>
        <v/>
      </c>
      <c r="U47" s="23">
        <f>IF(COUNT(U6:U45)=0,"",SUMIFS(U6:U45,$AP$6:$AP$45,1))</f>
        <v/>
      </c>
      <c r="V47" s="23">
        <f>IF(COUNT(V6:V45)=0,"",SUMIFS(V6:V45,$AP$6:$AP$45,1))</f>
        <v/>
      </c>
      <c r="W47" s="23">
        <f>IF(COUNT(W6:W45)=0,"",SUMIFS(W6:W45,$AP$6:$AP$45,1))</f>
        <v/>
      </c>
      <c r="X47" s="23">
        <f>IF(COUNT(X6:X45)=0,"",SUMIFS(X6:X45,$AP$6:$AP$45,1))</f>
        <v/>
      </c>
      <c r="Y47" s="23">
        <f>IF(COUNT(Y6:Y45)=0,"",SUMIFS(Y6:Y45,$AP$6:$AP$45,1))</f>
        <v/>
      </c>
      <c r="Z47" s="23">
        <f>IF(COUNT(Z6:Z45)=0,"",SUMIFS(Z6:Z45,$AP$6:$AP$45,1))</f>
        <v/>
      </c>
      <c r="AA47" s="23">
        <f>IF(COUNT(AA6:AA45)=0,"",SUMIFS(AA6:AA45,$AP$6:$AP$45,1))</f>
        <v/>
      </c>
      <c r="AB47" s="23">
        <f>IF(COUNT(AB6:AB45)=0,"",SUMIFS(AB6:AB45,$AP$6:$AP$45,1))</f>
        <v/>
      </c>
      <c r="AC47" s="23">
        <f>IF(COUNT(AC6:AC45)=0,"",SUMIFS(AC6:AC45,$AP$6:$AP$45,1))</f>
        <v/>
      </c>
      <c r="AD47" s="23">
        <f>IF(COUNT(AD6:AD45)=0,"",SUMIFS(AD6:AD45,$AP$6:$AP$45,1))</f>
        <v/>
      </c>
      <c r="AE47" s="23">
        <f>IF(COUNT(AE6:AE45)=0,"",SUMIFS(AE6:AE45,$AP$6:$AP$45,1))</f>
        <v/>
      </c>
      <c r="AF47" s="23">
        <f>IF(COUNT(AF6:AF45)=0,"",SUMIFS(AF6:AF45,$AP$6:$AP$45,1))</f>
        <v/>
      </c>
      <c r="AG47" s="23">
        <f>IF(COUNT(AG6:AG45)=0,"",SUMIFS(AG6:AG45,$AP$6:$AP$45,1))</f>
        <v/>
      </c>
      <c r="AH47" s="23">
        <f>IF(COUNT(AH6:AH45)=0,"",SUMIFS(AH6:AH45,$AP$6:$AP$45,1))</f>
        <v/>
      </c>
      <c r="AI47" s="23">
        <f>IF(COUNT(AI6:AI45)=0,"",SUMIFS(AI6:AI45,$AP$6:$AP$45,1))</f>
        <v/>
      </c>
      <c r="AJ47" s="23">
        <f>IF(COUNT(AJ6:AJ45)=0,"",SUMIFS(AJ6:AJ45,$AP$6:$AP$45,1))</f>
        <v/>
      </c>
      <c r="AK47" s="23">
        <f>IF(COUNT(AK6:AK45)=0,"",SUMIFS(AK6:AK45,$AP$6:$AP$45,1))</f>
        <v/>
      </c>
      <c r="AL47" s="23">
        <f>IF(COUNT(AL6:AL45)=0,"",SUMIFS(AL6:AL45,$AP$6:$AP$45,1))</f>
        <v/>
      </c>
      <c r="AM47" s="23">
        <f>IF(COUNT(AM6:AM45)=0,"",SUMIFS(AM6:AM45,$AP$6:$AP$45,1))</f>
        <v/>
      </c>
      <c r="AN47" s="23">
        <f>IF(COUNT(AN6:AN45)=0,"",SUMIFS(AN6:AN45,$AP$6:$AP$45,1))</f>
        <v/>
      </c>
      <c r="AO47" s="1" t="n"/>
    </row>
    <row r="48">
      <c r="A48" s="1" t="n"/>
      <c r="B48" s="22" t="inlineStr">
        <is>
          <t>Debts</t>
        </is>
      </c>
      <c r="C48" s="1" t="n"/>
      <c r="D48" s="1" t="n"/>
      <c r="E48" s="23">
        <f>IF(COUNT(E6:E45)=0,"",SUMIFS(E6:E45,$AP$6:$AP$45,-1))</f>
        <v/>
      </c>
      <c r="F48" s="23">
        <f>IF(COUNT(F6:F45)=0,"",SUMIFS(F6:F45,$AP$6:$AP$45,-1))</f>
        <v/>
      </c>
      <c r="G48" s="23">
        <f>IF(COUNT(G6:G45)=0,"",SUMIFS(G6:G45,$AP$6:$AP$45,-1))</f>
        <v/>
      </c>
      <c r="H48" s="23">
        <f>IF(COUNT(H6:H45)=0,"",SUMIFS(H6:H45,$AP$6:$AP$45,-1))</f>
        <v/>
      </c>
      <c r="I48" s="23">
        <f>IF(COUNT(I6:I45)=0,"",SUMIFS(I6:I45,$AP$6:$AP$45,-1))</f>
        <v/>
      </c>
      <c r="J48" s="23">
        <f>IF(COUNT(J6:J45)=0,"",SUMIFS(J6:J45,$AP$6:$AP$45,-1))</f>
        <v/>
      </c>
      <c r="K48" s="23">
        <f>IF(COUNT(K6:K45)=0,"",SUMIFS(K6:K45,$AP$6:$AP$45,-1))</f>
        <v/>
      </c>
      <c r="L48" s="23">
        <f>IF(COUNT(L6:L45)=0,"",SUMIFS(L6:L45,$AP$6:$AP$45,-1))</f>
        <v/>
      </c>
      <c r="M48" s="23">
        <f>IF(COUNT(M6:M45)=0,"",SUMIFS(M6:M45,$AP$6:$AP$45,-1))</f>
        <v/>
      </c>
      <c r="N48" s="23">
        <f>IF(COUNT(N6:N45)=0,"",SUMIFS(N6:N45,$AP$6:$AP$45,-1))</f>
        <v/>
      </c>
      <c r="O48" s="23">
        <f>IF(COUNT(O6:O45)=0,"",SUMIFS(O6:O45,$AP$6:$AP$45,-1))</f>
        <v/>
      </c>
      <c r="P48" s="23">
        <f>IF(COUNT(P6:P45)=0,"",SUMIFS(P6:P45,$AP$6:$AP$45,-1))</f>
        <v/>
      </c>
      <c r="Q48" s="23">
        <f>IF(COUNT(Q6:Q45)=0,"",SUMIFS(Q6:Q45,$AP$6:$AP$45,-1))</f>
        <v/>
      </c>
      <c r="R48" s="23">
        <f>IF(COUNT(R6:R45)=0,"",SUMIFS(R6:R45,$AP$6:$AP$45,-1))</f>
        <v/>
      </c>
      <c r="S48" s="23">
        <f>IF(COUNT(S6:S45)=0,"",SUMIFS(S6:S45,$AP$6:$AP$45,-1))</f>
        <v/>
      </c>
      <c r="T48" s="23">
        <f>IF(COUNT(T6:T45)=0,"",SUMIFS(T6:T45,$AP$6:$AP$45,-1))</f>
        <v/>
      </c>
      <c r="U48" s="23">
        <f>IF(COUNT(U6:U45)=0,"",SUMIFS(U6:U45,$AP$6:$AP$45,-1))</f>
        <v/>
      </c>
      <c r="V48" s="23">
        <f>IF(COUNT(V6:V45)=0,"",SUMIFS(V6:V45,$AP$6:$AP$45,-1))</f>
        <v/>
      </c>
      <c r="W48" s="23">
        <f>IF(COUNT(W6:W45)=0,"",SUMIFS(W6:W45,$AP$6:$AP$45,-1))</f>
        <v/>
      </c>
      <c r="X48" s="23">
        <f>IF(COUNT(X6:X45)=0,"",SUMIFS(X6:X45,$AP$6:$AP$45,-1))</f>
        <v/>
      </c>
      <c r="Y48" s="23">
        <f>IF(COUNT(Y6:Y45)=0,"",SUMIFS(Y6:Y45,$AP$6:$AP$45,-1))</f>
        <v/>
      </c>
      <c r="Z48" s="23">
        <f>IF(COUNT(Z6:Z45)=0,"",SUMIFS(Z6:Z45,$AP$6:$AP$45,-1))</f>
        <v/>
      </c>
      <c r="AA48" s="23">
        <f>IF(COUNT(AA6:AA45)=0,"",SUMIFS(AA6:AA45,$AP$6:$AP$45,-1))</f>
        <v/>
      </c>
      <c r="AB48" s="23">
        <f>IF(COUNT(AB6:AB45)=0,"",SUMIFS(AB6:AB45,$AP$6:$AP$45,-1))</f>
        <v/>
      </c>
      <c r="AC48" s="23">
        <f>IF(COUNT(AC6:AC45)=0,"",SUMIFS(AC6:AC45,$AP$6:$AP$45,-1))</f>
        <v/>
      </c>
      <c r="AD48" s="23">
        <f>IF(COUNT(AD6:AD45)=0,"",SUMIFS(AD6:AD45,$AP$6:$AP$45,-1))</f>
        <v/>
      </c>
      <c r="AE48" s="23">
        <f>IF(COUNT(AE6:AE45)=0,"",SUMIFS(AE6:AE45,$AP$6:$AP$45,-1))</f>
        <v/>
      </c>
      <c r="AF48" s="23">
        <f>IF(COUNT(AF6:AF45)=0,"",SUMIFS(AF6:AF45,$AP$6:$AP$45,-1))</f>
        <v/>
      </c>
      <c r="AG48" s="23">
        <f>IF(COUNT(AG6:AG45)=0,"",SUMIFS(AG6:AG45,$AP$6:$AP$45,-1))</f>
        <v/>
      </c>
      <c r="AH48" s="23">
        <f>IF(COUNT(AH6:AH45)=0,"",SUMIFS(AH6:AH45,$AP$6:$AP$45,-1))</f>
        <v/>
      </c>
      <c r="AI48" s="23">
        <f>IF(COUNT(AI6:AI45)=0,"",SUMIFS(AI6:AI45,$AP$6:$AP$45,-1))</f>
        <v/>
      </c>
      <c r="AJ48" s="23">
        <f>IF(COUNT(AJ6:AJ45)=0,"",SUMIFS(AJ6:AJ45,$AP$6:$AP$45,-1))</f>
        <v/>
      </c>
      <c r="AK48" s="23">
        <f>IF(COUNT(AK6:AK45)=0,"",SUMIFS(AK6:AK45,$AP$6:$AP$45,-1))</f>
        <v/>
      </c>
      <c r="AL48" s="23">
        <f>IF(COUNT(AL6:AL45)=0,"",SUMIFS(AL6:AL45,$AP$6:$AP$45,-1))</f>
        <v/>
      </c>
      <c r="AM48" s="23">
        <f>IF(COUNT(AM6:AM45)=0,"",SUMIFS(AM6:AM45,$AP$6:$AP$45,-1))</f>
        <v/>
      </c>
      <c r="AN48" s="23">
        <f>IF(COUNT(AN6:AN45)=0,"",SUMIFS(AN6:AN45,$AP$6:$AP$45,-1))</f>
        <v/>
      </c>
      <c r="AO48" s="1" t="n"/>
    </row>
    <row r="49">
      <c r="A49" s="1" t="n"/>
      <c r="B49" s="24" t="inlineStr">
        <is>
          <t>Net worth</t>
        </is>
      </c>
      <c r="C49" s="1" t="n"/>
      <c r="D49" s="1" t="n"/>
      <c r="E49" s="25">
        <f>IF(COUNT(E6:E45)=0,"",E47-E48)</f>
        <v/>
      </c>
      <c r="F49" s="25">
        <f>IF(COUNT(F6:F45)=0,"",F47-F48)</f>
        <v/>
      </c>
      <c r="G49" s="25">
        <f>IF(COUNT(G6:G45)=0,"",G47-G48)</f>
        <v/>
      </c>
      <c r="H49" s="25">
        <f>IF(COUNT(H6:H45)=0,"",H47-H48)</f>
        <v/>
      </c>
      <c r="I49" s="25">
        <f>IF(COUNT(I6:I45)=0,"",I47-I48)</f>
        <v/>
      </c>
      <c r="J49" s="25">
        <f>IF(COUNT(J6:J45)=0,"",J47-J48)</f>
        <v/>
      </c>
      <c r="K49" s="25">
        <f>IF(COUNT(K6:K45)=0,"",K47-K48)</f>
        <v/>
      </c>
      <c r="L49" s="25">
        <f>IF(COUNT(L6:L45)=0,"",L47-L48)</f>
        <v/>
      </c>
      <c r="M49" s="25">
        <f>IF(COUNT(M6:M45)=0,"",M47-M48)</f>
        <v/>
      </c>
      <c r="N49" s="25">
        <f>IF(COUNT(N6:N45)=0,"",N47-N48)</f>
        <v/>
      </c>
      <c r="O49" s="25">
        <f>IF(COUNT(O6:O45)=0,"",O47-O48)</f>
        <v/>
      </c>
      <c r="P49" s="25">
        <f>IF(COUNT(P6:P45)=0,"",P47-P48)</f>
        <v/>
      </c>
      <c r="Q49" s="25">
        <f>IF(COUNT(Q6:Q45)=0,"",Q47-Q48)</f>
        <v/>
      </c>
      <c r="R49" s="25">
        <f>IF(COUNT(R6:R45)=0,"",R47-R48)</f>
        <v/>
      </c>
      <c r="S49" s="25">
        <f>IF(COUNT(S6:S45)=0,"",S47-S48)</f>
        <v/>
      </c>
      <c r="T49" s="25">
        <f>IF(COUNT(T6:T45)=0,"",T47-T48)</f>
        <v/>
      </c>
      <c r="U49" s="25">
        <f>IF(COUNT(U6:U45)=0,"",U47-U48)</f>
        <v/>
      </c>
      <c r="V49" s="25">
        <f>IF(COUNT(V6:V45)=0,"",V47-V48)</f>
        <v/>
      </c>
      <c r="W49" s="25">
        <f>IF(COUNT(W6:W45)=0,"",W47-W48)</f>
        <v/>
      </c>
      <c r="X49" s="25">
        <f>IF(COUNT(X6:X45)=0,"",X47-X48)</f>
        <v/>
      </c>
      <c r="Y49" s="25">
        <f>IF(COUNT(Y6:Y45)=0,"",Y47-Y48)</f>
        <v/>
      </c>
      <c r="Z49" s="25">
        <f>IF(COUNT(Z6:Z45)=0,"",Z47-Z48)</f>
        <v/>
      </c>
      <c r="AA49" s="25">
        <f>IF(COUNT(AA6:AA45)=0,"",AA47-AA48)</f>
        <v/>
      </c>
      <c r="AB49" s="25">
        <f>IF(COUNT(AB6:AB45)=0,"",AB47-AB48)</f>
        <v/>
      </c>
      <c r="AC49" s="25">
        <f>IF(COUNT(AC6:AC45)=0,"",AC47-AC48)</f>
        <v/>
      </c>
      <c r="AD49" s="25">
        <f>IF(COUNT(AD6:AD45)=0,"",AD47-AD48)</f>
        <v/>
      </c>
      <c r="AE49" s="25">
        <f>IF(COUNT(AE6:AE45)=0,"",AE47-AE48)</f>
        <v/>
      </c>
      <c r="AF49" s="25">
        <f>IF(COUNT(AF6:AF45)=0,"",AF47-AF48)</f>
        <v/>
      </c>
      <c r="AG49" s="25">
        <f>IF(COUNT(AG6:AG45)=0,"",AG47-AG48)</f>
        <v/>
      </c>
      <c r="AH49" s="25">
        <f>IF(COUNT(AH6:AH45)=0,"",AH47-AH48)</f>
        <v/>
      </c>
      <c r="AI49" s="25">
        <f>IF(COUNT(AI6:AI45)=0,"",AI47-AI48)</f>
        <v/>
      </c>
      <c r="AJ49" s="25">
        <f>IF(COUNT(AJ6:AJ45)=0,"",AJ47-AJ48)</f>
        <v/>
      </c>
      <c r="AK49" s="25">
        <f>IF(COUNT(AK6:AK45)=0,"",AK47-AK48)</f>
        <v/>
      </c>
      <c r="AL49" s="25">
        <f>IF(COUNT(AL6:AL45)=0,"",AL47-AL48)</f>
        <v/>
      </c>
      <c r="AM49" s="25">
        <f>IF(COUNT(AM6:AM45)=0,"",AM47-AM48)</f>
        <v/>
      </c>
      <c r="AN49" s="25">
        <f>IF(COUNT(AN6:AN45)=0,"",AN47-AN48)</f>
        <v/>
      </c>
      <c r="AO49" s="1" t="n"/>
    </row>
    <row r="50" hidden="1">
      <c r="A50" s="1" t="n"/>
      <c r="B50" s="1" t="n"/>
      <c r="C50" s="1" t="n"/>
      <c r="D50" s="1" t="n"/>
      <c r="E50" s="1">
        <f>IF(COUNT(E6:E45)&gt;0,1,0)</f>
        <v/>
      </c>
      <c r="F50" s="1">
        <f>IF(COUNT(F6:F45)&gt;0,2,0)</f>
        <v/>
      </c>
      <c r="G50" s="1">
        <f>IF(COUNT(G6:G45)&gt;0,3,0)</f>
        <v/>
      </c>
      <c r="H50" s="1">
        <f>IF(COUNT(H6:H45)&gt;0,4,0)</f>
        <v/>
      </c>
      <c r="I50" s="1">
        <f>IF(COUNT(I6:I45)&gt;0,5,0)</f>
        <v/>
      </c>
      <c r="J50" s="1">
        <f>IF(COUNT(J6:J45)&gt;0,6,0)</f>
        <v/>
      </c>
      <c r="K50" s="1">
        <f>IF(COUNT(K6:K45)&gt;0,7,0)</f>
        <v/>
      </c>
      <c r="L50" s="1">
        <f>IF(COUNT(L6:L45)&gt;0,8,0)</f>
        <v/>
      </c>
      <c r="M50" s="1">
        <f>IF(COUNT(M6:M45)&gt;0,9,0)</f>
        <v/>
      </c>
      <c r="N50" s="1">
        <f>IF(COUNT(N6:N45)&gt;0,10,0)</f>
        <v/>
      </c>
      <c r="O50" s="1">
        <f>IF(COUNT(O6:O45)&gt;0,11,0)</f>
        <v/>
      </c>
      <c r="P50" s="1">
        <f>IF(COUNT(P6:P45)&gt;0,12,0)</f>
        <v/>
      </c>
      <c r="Q50" s="1">
        <f>IF(COUNT(Q6:Q45)&gt;0,13,0)</f>
        <v/>
      </c>
      <c r="R50" s="1">
        <f>IF(COUNT(R6:R45)&gt;0,14,0)</f>
        <v/>
      </c>
      <c r="S50" s="1">
        <f>IF(COUNT(S6:S45)&gt;0,15,0)</f>
        <v/>
      </c>
      <c r="T50" s="1">
        <f>IF(COUNT(T6:T45)&gt;0,16,0)</f>
        <v/>
      </c>
      <c r="U50" s="1">
        <f>IF(COUNT(U6:U45)&gt;0,17,0)</f>
        <v/>
      </c>
      <c r="V50" s="1">
        <f>IF(COUNT(V6:V45)&gt;0,18,0)</f>
        <v/>
      </c>
      <c r="W50" s="1">
        <f>IF(COUNT(W6:W45)&gt;0,19,0)</f>
        <v/>
      </c>
      <c r="X50" s="1">
        <f>IF(COUNT(X6:X45)&gt;0,20,0)</f>
        <v/>
      </c>
      <c r="Y50" s="1">
        <f>IF(COUNT(Y6:Y45)&gt;0,21,0)</f>
        <v/>
      </c>
      <c r="Z50" s="1">
        <f>IF(COUNT(Z6:Z45)&gt;0,22,0)</f>
        <v/>
      </c>
      <c r="AA50" s="1">
        <f>IF(COUNT(AA6:AA45)&gt;0,23,0)</f>
        <v/>
      </c>
      <c r="AB50" s="1">
        <f>IF(COUNT(AB6:AB45)&gt;0,24,0)</f>
        <v/>
      </c>
      <c r="AC50" s="1">
        <f>IF(COUNT(AC6:AC45)&gt;0,25,0)</f>
        <v/>
      </c>
      <c r="AD50" s="1">
        <f>IF(COUNT(AD6:AD45)&gt;0,26,0)</f>
        <v/>
      </c>
      <c r="AE50" s="1">
        <f>IF(COUNT(AE6:AE45)&gt;0,27,0)</f>
        <v/>
      </c>
      <c r="AF50" s="1">
        <f>IF(COUNT(AF6:AF45)&gt;0,28,0)</f>
        <v/>
      </c>
      <c r="AG50" s="1">
        <f>IF(COUNT(AG6:AG45)&gt;0,29,0)</f>
        <v/>
      </c>
      <c r="AH50" s="1">
        <f>IF(COUNT(AH6:AH45)&gt;0,30,0)</f>
        <v/>
      </c>
      <c r="AI50" s="1">
        <f>IF(COUNT(AI6:AI45)&gt;0,31,0)</f>
        <v/>
      </c>
      <c r="AJ50" s="1">
        <f>IF(COUNT(AJ6:AJ45)&gt;0,32,0)</f>
        <v/>
      </c>
      <c r="AK50" s="1">
        <f>IF(COUNT(AK6:AK45)&gt;0,33,0)</f>
        <v/>
      </c>
      <c r="AL50" s="1">
        <f>IF(COUNT(AL6:AL45)&gt;0,34,0)</f>
        <v/>
      </c>
      <c r="AM50" s="1">
        <f>IF(COUNT(AM6:AM45)&gt;0,35,0)</f>
        <v/>
      </c>
      <c r="AN50" s="1">
        <f>IF(COUNT(AN6:AN45)&gt;0,36,0)</f>
        <v/>
      </c>
      <c r="AO50" s="1" t="n"/>
    </row>
  </sheetData>
  <conditionalFormatting sqref="E49:AN49">
    <cfRule type="expression" priority="1" dxfId="0">
      <formula>AND(ISNUMBER(E49),E49&lt;0)</formula>
    </cfRule>
  </conditionalFormatting>
  <dataValidations count="1">
    <dataValidation sqref="C6:C45" showDropDown="0" showInputMessage="0" showErrorMessage="1" allowBlank="1" type="list">
      <formula1>"Cash,Savings,Investments,Retirement,Property,Vehicle,Other asset,Credit card,Loan,Mortgage,Other debt"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3" customWidth="1" min="4" max="4"/>
    <col width="13" customWidth="1" min="5" max="5"/>
    <col width="13" customWidth="1" min="6" max="6"/>
    <col width="9" customWidth="1" min="7" max="7"/>
    <col width="12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Holdings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What pays you: funds, shares, savings, a rented room. Its value now, for the yield.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8" t="inlineStr">
        <is>
          <t>Holding</t>
        </is>
      </c>
      <c r="C5" s="8" t="inlineStr">
        <is>
          <t>Account</t>
        </is>
      </c>
      <c r="D5" s="8" t="inlineStr">
        <is>
          <t>Value now</t>
        </is>
      </c>
      <c r="E5" s="8" t="inlineStr">
        <is>
          <t>Last 12 months</t>
        </is>
      </c>
      <c r="F5" s="8" t="inlineStr">
        <is>
          <t>This year</t>
        </is>
      </c>
      <c r="G5" s="8" t="inlineStr">
        <is>
          <t>Yield</t>
        </is>
      </c>
      <c r="H5" s="8" t="inlineStr">
        <is>
          <t>A month</t>
        </is>
      </c>
      <c r="I5" s="1" t="n"/>
    </row>
    <row r="6">
      <c r="A6" s="1" t="n"/>
      <c r="B6" s="18" t="inlineStr">
        <is>
          <t>Total market fund</t>
        </is>
      </c>
      <c r="C6" s="26" t="inlineStr">
        <is>
          <t>Brokerage</t>
        </is>
      </c>
      <c r="D6" s="21" t="n">
        <v>16400</v>
      </c>
      <c r="E6" s="25">
        <f>IF(B6="","",SUMIFS(Income!$E$6:$E$1005,Income!$C$6:$C$1005,B6,Income!$B$6:$B$1005,"&gt;="&amp;DATE(YEAR(TODAY()),MONTH(TODAY())-11,1)))</f>
        <v/>
      </c>
      <c r="F6" s="23">
        <f>IF(B6="","",SUMIFS(Income!$E$6:$E$1005,Income!$C$6:$C$1005,B6,Income!$B$6:$B$1005,"&gt;="&amp;DATE(YEAR(TODAY()),1,1)))</f>
        <v/>
      </c>
      <c r="G6" s="16">
        <f>IF(OR(B6="",N(D6)&lt;=0),"",E6/D6)</f>
        <v/>
      </c>
      <c r="H6" s="23">
        <f>IF(B6="","",E6/12)</f>
        <v/>
      </c>
      <c r="I6" s="1" t="n"/>
      <c r="J6">
        <f>IF(OR(B6="",N(E6)&lt;=0),"",ROUND(E6*100,0)*1000+1000-ROW())</f>
        <v/>
      </c>
    </row>
    <row r="7">
      <c r="A7" s="1" t="n"/>
      <c r="B7" s="18" t="inlineStr">
        <is>
          <t>Dividend fund</t>
        </is>
      </c>
      <c r="C7" s="26" t="inlineStr">
        <is>
          <t>Dividend portfolio</t>
        </is>
      </c>
      <c r="D7" s="21" t="n">
        <v>9800</v>
      </c>
      <c r="E7" s="25">
        <f>IF(B7="","",SUMIFS(Income!$E$6:$E$1005,Income!$C$6:$C$1005,B7,Income!$B$6:$B$1005,"&gt;="&amp;DATE(YEAR(TODAY()),MONTH(TODAY())-11,1)))</f>
        <v/>
      </c>
      <c r="F7" s="23">
        <f>IF(B7="","",SUMIFS(Income!$E$6:$E$1005,Income!$C$6:$C$1005,B7,Income!$B$6:$B$1005,"&gt;="&amp;DATE(YEAR(TODAY()),1,1)))</f>
        <v/>
      </c>
      <c r="G7" s="16">
        <f>IF(OR(B7="",N(D7)&lt;=0),"",E7/D7)</f>
        <v/>
      </c>
      <c r="H7" s="23">
        <f>IF(B7="","",E7/12)</f>
        <v/>
      </c>
      <c r="I7" s="1" t="n"/>
      <c r="J7">
        <f>IF(OR(B7="",N(E7)&lt;=0),"",ROUND(E7*100,0)*1000+1000-ROW())</f>
        <v/>
      </c>
    </row>
    <row r="8">
      <c r="A8" s="1" t="n"/>
      <c r="B8" s="18" t="inlineStr">
        <is>
          <t>Utility shares</t>
        </is>
      </c>
      <c r="C8" s="26" t="inlineStr">
        <is>
          <t>Dividend portfolio</t>
        </is>
      </c>
      <c r="D8" s="21" t="n">
        <v>5200</v>
      </c>
      <c r="E8" s="25">
        <f>IF(B8="","",SUMIFS(Income!$E$6:$E$1005,Income!$C$6:$C$1005,B8,Income!$B$6:$B$1005,"&gt;="&amp;DATE(YEAR(TODAY()),MONTH(TODAY())-11,1)))</f>
        <v/>
      </c>
      <c r="F8" s="23">
        <f>IF(B8="","",SUMIFS(Income!$E$6:$E$1005,Income!$C$6:$C$1005,B8,Income!$B$6:$B$1005,"&gt;="&amp;DATE(YEAR(TODAY()),1,1)))</f>
        <v/>
      </c>
      <c r="G8" s="16">
        <f>IF(OR(B8="",N(D8)&lt;=0),"",E8/D8)</f>
        <v/>
      </c>
      <c r="H8" s="23">
        <f>IF(B8="","",E8/12)</f>
        <v/>
      </c>
      <c r="I8" s="1" t="n"/>
      <c r="J8">
        <f>IF(OR(B8="",N(E8)&lt;=0),"",ROUND(E8*100,0)*1000+1000-ROW())</f>
        <v/>
      </c>
    </row>
    <row r="9">
      <c r="A9" s="1" t="n"/>
      <c r="B9" s="18" t="inlineStr">
        <is>
          <t>Bank shares</t>
        </is>
      </c>
      <c r="C9" s="26" t="inlineStr">
        <is>
          <t>Dividend portfolio</t>
        </is>
      </c>
      <c r="D9" s="21" t="n">
        <v>4100</v>
      </c>
      <c r="E9" s="25">
        <f>IF(B9="","",SUMIFS(Income!$E$6:$E$1005,Income!$C$6:$C$1005,B9,Income!$B$6:$B$1005,"&gt;="&amp;DATE(YEAR(TODAY()),MONTH(TODAY())-11,1)))</f>
        <v/>
      </c>
      <c r="F9" s="23">
        <f>IF(B9="","",SUMIFS(Income!$E$6:$E$1005,Income!$C$6:$C$1005,B9,Income!$B$6:$B$1005,"&gt;="&amp;DATE(YEAR(TODAY()),1,1)))</f>
        <v/>
      </c>
      <c r="G9" s="16">
        <f>IF(OR(B9="",N(D9)&lt;=0),"",E9/D9)</f>
        <v/>
      </c>
      <c r="H9" s="23">
        <f>IF(B9="","",E9/12)</f>
        <v/>
      </c>
      <c r="I9" s="1" t="n"/>
      <c r="J9">
        <f>IF(OR(B9="",N(E9)&lt;=0),"",ROUND(E9*100,0)*1000+1000-ROW())</f>
        <v/>
      </c>
    </row>
    <row r="10">
      <c r="A10" s="1" t="n"/>
      <c r="B10" s="18" t="inlineStr">
        <is>
          <t>Property fund</t>
        </is>
      </c>
      <c r="C10" s="26" t="inlineStr">
        <is>
          <t>Brokerage</t>
        </is>
      </c>
      <c r="D10" s="21" t="n">
        <v>6300</v>
      </c>
      <c r="E10" s="25">
        <f>IF(B10="","",SUMIFS(Income!$E$6:$E$1005,Income!$C$6:$C$1005,B10,Income!$B$6:$B$1005,"&gt;="&amp;DATE(YEAR(TODAY()),MONTH(TODAY())-11,1)))</f>
        <v/>
      </c>
      <c r="F10" s="23">
        <f>IF(B10="","",SUMIFS(Income!$E$6:$E$1005,Income!$C$6:$C$1005,B10,Income!$B$6:$B$1005,"&gt;="&amp;DATE(YEAR(TODAY()),1,1)))</f>
        <v/>
      </c>
      <c r="G10" s="16">
        <f>IF(OR(B10="",N(D10)&lt;=0),"",E10/D10)</f>
        <v/>
      </c>
      <c r="H10" s="23">
        <f>IF(B10="","",E10/12)</f>
        <v/>
      </c>
      <c r="I10" s="1" t="n"/>
      <c r="J10">
        <f>IF(OR(B10="",N(E10)&lt;=0),"",ROUND(E10*100,0)*1000+1000-ROW())</f>
        <v/>
      </c>
    </row>
    <row r="11">
      <c r="A11" s="1" t="n"/>
      <c r="B11" s="18" t="inlineStr">
        <is>
          <t>Bond fund</t>
        </is>
      </c>
      <c r="C11" s="26" t="inlineStr">
        <is>
          <t>Brokerage</t>
        </is>
      </c>
      <c r="D11" s="21" t="n">
        <v>8100</v>
      </c>
      <c r="E11" s="25">
        <f>IF(B11="","",SUMIFS(Income!$E$6:$E$1005,Income!$C$6:$C$1005,B11,Income!$B$6:$B$1005,"&gt;="&amp;DATE(YEAR(TODAY()),MONTH(TODAY())-11,1)))</f>
        <v/>
      </c>
      <c r="F11" s="23">
        <f>IF(B11="","",SUMIFS(Income!$E$6:$E$1005,Income!$C$6:$C$1005,B11,Income!$B$6:$B$1005,"&gt;="&amp;DATE(YEAR(TODAY()),1,1)))</f>
        <v/>
      </c>
      <c r="G11" s="16">
        <f>IF(OR(B11="",N(D11)&lt;=0),"",E11/D11)</f>
        <v/>
      </c>
      <c r="H11" s="23">
        <f>IF(B11="","",E11/12)</f>
        <v/>
      </c>
      <c r="I11" s="1" t="n"/>
      <c r="J11">
        <f>IF(OR(B11="",N(E11)&lt;=0),"",ROUND(E11*100,0)*1000+1000-ROW())</f>
        <v/>
      </c>
    </row>
    <row r="12">
      <c r="A12" s="1" t="n"/>
      <c r="B12" s="18" t="inlineStr">
        <is>
          <t>High yield savings</t>
        </is>
      </c>
      <c r="C12" s="26" t="inlineStr">
        <is>
          <t>Emergency savings</t>
        </is>
      </c>
      <c r="D12" s="21" t="n">
        <v>11300</v>
      </c>
      <c r="E12" s="25">
        <f>IF(B12="","",SUMIFS(Income!$E$6:$E$1005,Income!$C$6:$C$1005,B12,Income!$B$6:$B$1005,"&gt;="&amp;DATE(YEAR(TODAY()),MONTH(TODAY())-11,1)))</f>
        <v/>
      </c>
      <c r="F12" s="23">
        <f>IF(B12="","",SUMIFS(Income!$E$6:$E$1005,Income!$C$6:$C$1005,B12,Income!$B$6:$B$1005,"&gt;="&amp;DATE(YEAR(TODAY()),1,1)))</f>
        <v/>
      </c>
      <c r="G12" s="16">
        <f>IF(OR(B12="",N(D12)&lt;=0),"",E12/D12)</f>
        <v/>
      </c>
      <c r="H12" s="23">
        <f>IF(B12="","",E12/12)</f>
        <v/>
      </c>
      <c r="I12" s="1" t="n"/>
      <c r="J12">
        <f>IF(OR(B12="",N(E12)&lt;=0),"",ROUND(E12*100,0)*1000+1000-ROW())</f>
        <v/>
      </c>
    </row>
    <row r="13">
      <c r="A13" s="1" t="n"/>
      <c r="B13" s="18" t="inlineStr">
        <is>
          <t>Spare room</t>
        </is>
      </c>
      <c r="C13" s="26" t="n"/>
      <c r="D13" s="21" t="n"/>
      <c r="E13" s="25">
        <f>IF(B13="","",SUMIFS(Income!$E$6:$E$1005,Income!$C$6:$C$1005,B13,Income!$B$6:$B$1005,"&gt;="&amp;DATE(YEAR(TODAY()),MONTH(TODAY())-11,1)))</f>
        <v/>
      </c>
      <c r="F13" s="23">
        <f>IF(B13="","",SUMIFS(Income!$E$6:$E$1005,Income!$C$6:$C$1005,B13,Income!$B$6:$B$1005,"&gt;="&amp;DATE(YEAR(TODAY()),1,1)))</f>
        <v/>
      </c>
      <c r="G13" s="16">
        <f>IF(OR(B13="",N(D13)&lt;=0),"",E13/D13)</f>
        <v/>
      </c>
      <c r="H13" s="23">
        <f>IF(B13="","",E13/12)</f>
        <v/>
      </c>
      <c r="I13" s="1" t="n"/>
      <c r="J13">
        <f>IF(OR(B13="",N(E13)&lt;=0),"",ROUND(E13*100,0)*1000+1000-ROW())</f>
        <v/>
      </c>
    </row>
    <row r="14">
      <c r="A14" s="1" t="n"/>
      <c r="B14" s="18" t="n"/>
      <c r="C14" s="26" t="n"/>
      <c r="D14" s="21" t="n"/>
      <c r="E14" s="25">
        <f>IF(B14="","",SUMIFS(Income!$E$6:$E$1005,Income!$C$6:$C$1005,B14,Income!$B$6:$B$1005,"&gt;="&amp;DATE(YEAR(TODAY()),MONTH(TODAY())-11,1)))</f>
        <v/>
      </c>
      <c r="F14" s="23">
        <f>IF(B14="","",SUMIFS(Income!$E$6:$E$1005,Income!$C$6:$C$1005,B14,Income!$B$6:$B$1005,"&gt;="&amp;DATE(YEAR(TODAY()),1,1)))</f>
        <v/>
      </c>
      <c r="G14" s="16">
        <f>IF(OR(B14="",N(D14)&lt;=0),"",E14/D14)</f>
        <v/>
      </c>
      <c r="H14" s="23">
        <f>IF(B14="","",E14/12)</f>
        <v/>
      </c>
      <c r="I14" s="1" t="n"/>
      <c r="J14">
        <f>IF(OR(B14="",N(E14)&lt;=0),"",ROUND(E14*100,0)*1000+1000-ROW())</f>
        <v/>
      </c>
    </row>
    <row r="15">
      <c r="A15" s="1" t="n"/>
      <c r="B15" s="18" t="n"/>
      <c r="C15" s="26" t="n"/>
      <c r="D15" s="21" t="n"/>
      <c r="E15" s="25">
        <f>IF(B15="","",SUMIFS(Income!$E$6:$E$1005,Income!$C$6:$C$1005,B15,Income!$B$6:$B$1005,"&gt;="&amp;DATE(YEAR(TODAY()),MONTH(TODAY())-11,1)))</f>
        <v/>
      </c>
      <c r="F15" s="23">
        <f>IF(B15="","",SUMIFS(Income!$E$6:$E$1005,Income!$C$6:$C$1005,B15,Income!$B$6:$B$1005,"&gt;="&amp;DATE(YEAR(TODAY()),1,1)))</f>
        <v/>
      </c>
      <c r="G15" s="16">
        <f>IF(OR(B15="",N(D15)&lt;=0),"",E15/D15)</f>
        <v/>
      </c>
      <c r="H15" s="23">
        <f>IF(B15="","",E15/12)</f>
        <v/>
      </c>
      <c r="I15" s="1" t="n"/>
      <c r="J15">
        <f>IF(OR(B15="",N(E15)&lt;=0),"",ROUND(E15*100,0)*1000+1000-ROW())</f>
        <v/>
      </c>
    </row>
    <row r="16">
      <c r="A16" s="1" t="n"/>
      <c r="B16" s="18" t="n"/>
      <c r="C16" s="26" t="n"/>
      <c r="D16" s="21" t="n"/>
      <c r="E16" s="25">
        <f>IF(B16="","",SUMIFS(Income!$E$6:$E$1005,Income!$C$6:$C$1005,B16,Income!$B$6:$B$1005,"&gt;="&amp;DATE(YEAR(TODAY()),MONTH(TODAY())-11,1)))</f>
        <v/>
      </c>
      <c r="F16" s="23">
        <f>IF(B16="","",SUMIFS(Income!$E$6:$E$1005,Income!$C$6:$C$1005,B16,Income!$B$6:$B$1005,"&gt;="&amp;DATE(YEAR(TODAY()),1,1)))</f>
        <v/>
      </c>
      <c r="G16" s="16">
        <f>IF(OR(B16="",N(D16)&lt;=0),"",E16/D16)</f>
        <v/>
      </c>
      <c r="H16" s="23">
        <f>IF(B16="","",E16/12)</f>
        <v/>
      </c>
      <c r="I16" s="1" t="n"/>
      <c r="J16">
        <f>IF(OR(B16="",N(E16)&lt;=0),"",ROUND(E16*100,0)*1000+1000-ROW())</f>
        <v/>
      </c>
    </row>
    <row r="17">
      <c r="A17" s="1" t="n"/>
      <c r="B17" s="18" t="n"/>
      <c r="C17" s="26" t="n"/>
      <c r="D17" s="21" t="n"/>
      <c r="E17" s="25">
        <f>IF(B17="","",SUMIFS(Income!$E$6:$E$1005,Income!$C$6:$C$1005,B17,Income!$B$6:$B$1005,"&gt;="&amp;DATE(YEAR(TODAY()),MONTH(TODAY())-11,1)))</f>
        <v/>
      </c>
      <c r="F17" s="23">
        <f>IF(B17="","",SUMIFS(Income!$E$6:$E$1005,Income!$C$6:$C$1005,B17,Income!$B$6:$B$1005,"&gt;="&amp;DATE(YEAR(TODAY()),1,1)))</f>
        <v/>
      </c>
      <c r="G17" s="16">
        <f>IF(OR(B17="",N(D17)&lt;=0),"",E17/D17)</f>
        <v/>
      </c>
      <c r="H17" s="23">
        <f>IF(B17="","",E17/12)</f>
        <v/>
      </c>
      <c r="I17" s="1" t="n"/>
      <c r="J17">
        <f>IF(OR(B17="",N(E17)&lt;=0),"",ROUND(E17*100,0)*1000+1000-ROW())</f>
        <v/>
      </c>
    </row>
    <row r="18">
      <c r="A18" s="1" t="n"/>
      <c r="B18" s="18" t="n"/>
      <c r="C18" s="26" t="n"/>
      <c r="D18" s="21" t="n"/>
      <c r="E18" s="25">
        <f>IF(B18="","",SUMIFS(Income!$E$6:$E$1005,Income!$C$6:$C$1005,B18,Income!$B$6:$B$1005,"&gt;="&amp;DATE(YEAR(TODAY()),MONTH(TODAY())-11,1)))</f>
        <v/>
      </c>
      <c r="F18" s="23">
        <f>IF(B18="","",SUMIFS(Income!$E$6:$E$1005,Income!$C$6:$C$1005,B18,Income!$B$6:$B$1005,"&gt;="&amp;DATE(YEAR(TODAY()),1,1)))</f>
        <v/>
      </c>
      <c r="G18" s="16">
        <f>IF(OR(B18="",N(D18)&lt;=0),"",E18/D18)</f>
        <v/>
      </c>
      <c r="H18" s="23">
        <f>IF(B18="","",E18/12)</f>
        <v/>
      </c>
      <c r="I18" s="1" t="n"/>
      <c r="J18">
        <f>IF(OR(B18="",N(E18)&lt;=0),"",ROUND(E18*100,0)*1000+1000-ROW())</f>
        <v/>
      </c>
    </row>
    <row r="19">
      <c r="A19" s="1" t="n"/>
      <c r="B19" s="18" t="n"/>
      <c r="C19" s="26" t="n"/>
      <c r="D19" s="21" t="n"/>
      <c r="E19" s="25">
        <f>IF(B19="","",SUMIFS(Income!$E$6:$E$1005,Income!$C$6:$C$1005,B19,Income!$B$6:$B$1005,"&gt;="&amp;DATE(YEAR(TODAY()),MONTH(TODAY())-11,1)))</f>
        <v/>
      </c>
      <c r="F19" s="23">
        <f>IF(B19="","",SUMIFS(Income!$E$6:$E$1005,Income!$C$6:$C$1005,B19,Income!$B$6:$B$1005,"&gt;="&amp;DATE(YEAR(TODAY()),1,1)))</f>
        <v/>
      </c>
      <c r="G19" s="16">
        <f>IF(OR(B19="",N(D19)&lt;=0),"",E19/D19)</f>
        <v/>
      </c>
      <c r="H19" s="23">
        <f>IF(B19="","",E19/12)</f>
        <v/>
      </c>
      <c r="I19" s="1" t="n"/>
      <c r="J19">
        <f>IF(OR(B19="",N(E19)&lt;=0),"",ROUND(E19*100,0)*1000+1000-ROW())</f>
        <v/>
      </c>
    </row>
    <row r="20">
      <c r="A20" s="1" t="n"/>
      <c r="B20" s="18" t="n"/>
      <c r="C20" s="26" t="n"/>
      <c r="D20" s="21" t="n"/>
      <c r="E20" s="25">
        <f>IF(B20="","",SUMIFS(Income!$E$6:$E$1005,Income!$C$6:$C$1005,B20,Income!$B$6:$B$1005,"&gt;="&amp;DATE(YEAR(TODAY()),MONTH(TODAY())-11,1)))</f>
        <v/>
      </c>
      <c r="F20" s="23">
        <f>IF(B20="","",SUMIFS(Income!$E$6:$E$1005,Income!$C$6:$C$1005,B20,Income!$B$6:$B$1005,"&gt;="&amp;DATE(YEAR(TODAY()),1,1)))</f>
        <v/>
      </c>
      <c r="G20" s="16">
        <f>IF(OR(B20="",N(D20)&lt;=0),"",E20/D20)</f>
        <v/>
      </c>
      <c r="H20" s="23">
        <f>IF(B20="","",E20/12)</f>
        <v/>
      </c>
      <c r="I20" s="1" t="n"/>
      <c r="J20">
        <f>IF(OR(B20="",N(E20)&lt;=0),"",ROUND(E20*100,0)*1000+1000-ROW())</f>
        <v/>
      </c>
    </row>
    <row r="21">
      <c r="A21" s="1" t="n"/>
      <c r="B21" s="18" t="n"/>
      <c r="C21" s="26" t="n"/>
      <c r="D21" s="21" t="n"/>
      <c r="E21" s="25">
        <f>IF(B21="","",SUMIFS(Income!$E$6:$E$1005,Income!$C$6:$C$1005,B21,Income!$B$6:$B$1005,"&gt;="&amp;DATE(YEAR(TODAY()),MONTH(TODAY())-11,1)))</f>
        <v/>
      </c>
      <c r="F21" s="23">
        <f>IF(B21="","",SUMIFS(Income!$E$6:$E$1005,Income!$C$6:$C$1005,B21,Income!$B$6:$B$1005,"&gt;="&amp;DATE(YEAR(TODAY()),1,1)))</f>
        <v/>
      </c>
      <c r="G21" s="16">
        <f>IF(OR(B21="",N(D21)&lt;=0),"",E21/D21)</f>
        <v/>
      </c>
      <c r="H21" s="23">
        <f>IF(B21="","",E21/12)</f>
        <v/>
      </c>
      <c r="I21" s="1" t="n"/>
      <c r="J21">
        <f>IF(OR(B21="",N(E21)&lt;=0),"",ROUND(E21*100,0)*1000+1000-ROW())</f>
        <v/>
      </c>
    </row>
    <row r="22">
      <c r="A22" s="1" t="n"/>
      <c r="B22" s="18" t="n"/>
      <c r="C22" s="26" t="n"/>
      <c r="D22" s="21" t="n"/>
      <c r="E22" s="25">
        <f>IF(B22="","",SUMIFS(Income!$E$6:$E$1005,Income!$C$6:$C$1005,B22,Income!$B$6:$B$1005,"&gt;="&amp;DATE(YEAR(TODAY()),MONTH(TODAY())-11,1)))</f>
        <v/>
      </c>
      <c r="F22" s="23">
        <f>IF(B22="","",SUMIFS(Income!$E$6:$E$1005,Income!$C$6:$C$1005,B22,Income!$B$6:$B$1005,"&gt;="&amp;DATE(YEAR(TODAY()),1,1)))</f>
        <v/>
      </c>
      <c r="G22" s="16">
        <f>IF(OR(B22="",N(D22)&lt;=0),"",E22/D22)</f>
        <v/>
      </c>
      <c r="H22" s="23">
        <f>IF(B22="","",E22/12)</f>
        <v/>
      </c>
      <c r="I22" s="1" t="n"/>
      <c r="J22">
        <f>IF(OR(B22="",N(E22)&lt;=0),"",ROUND(E22*100,0)*1000+1000-ROW())</f>
        <v/>
      </c>
    </row>
    <row r="23">
      <c r="A23" s="1" t="n"/>
      <c r="B23" s="18" t="n"/>
      <c r="C23" s="26" t="n"/>
      <c r="D23" s="21" t="n"/>
      <c r="E23" s="25">
        <f>IF(B23="","",SUMIFS(Income!$E$6:$E$1005,Income!$C$6:$C$1005,B23,Income!$B$6:$B$1005,"&gt;="&amp;DATE(YEAR(TODAY()),MONTH(TODAY())-11,1)))</f>
        <v/>
      </c>
      <c r="F23" s="23">
        <f>IF(B23="","",SUMIFS(Income!$E$6:$E$1005,Income!$C$6:$C$1005,B23,Income!$B$6:$B$1005,"&gt;="&amp;DATE(YEAR(TODAY()),1,1)))</f>
        <v/>
      </c>
      <c r="G23" s="16">
        <f>IF(OR(B23="",N(D23)&lt;=0),"",E23/D23)</f>
        <v/>
      </c>
      <c r="H23" s="23">
        <f>IF(B23="","",E23/12)</f>
        <v/>
      </c>
      <c r="I23" s="1" t="n"/>
      <c r="J23">
        <f>IF(OR(B23="",N(E23)&lt;=0),"",ROUND(E23*100,0)*1000+1000-ROW())</f>
        <v/>
      </c>
    </row>
    <row r="24">
      <c r="A24" s="1" t="n"/>
      <c r="B24" s="18" t="n"/>
      <c r="C24" s="26" t="n"/>
      <c r="D24" s="21" t="n"/>
      <c r="E24" s="25">
        <f>IF(B24="","",SUMIFS(Income!$E$6:$E$1005,Income!$C$6:$C$1005,B24,Income!$B$6:$B$1005,"&gt;="&amp;DATE(YEAR(TODAY()),MONTH(TODAY())-11,1)))</f>
        <v/>
      </c>
      <c r="F24" s="23">
        <f>IF(B24="","",SUMIFS(Income!$E$6:$E$1005,Income!$C$6:$C$1005,B24,Income!$B$6:$B$1005,"&gt;="&amp;DATE(YEAR(TODAY()),1,1)))</f>
        <v/>
      </c>
      <c r="G24" s="16">
        <f>IF(OR(B24="",N(D24)&lt;=0),"",E24/D24)</f>
        <v/>
      </c>
      <c r="H24" s="23">
        <f>IF(B24="","",E24/12)</f>
        <v/>
      </c>
      <c r="I24" s="1" t="n"/>
      <c r="J24">
        <f>IF(OR(B24="",N(E24)&lt;=0),"",ROUND(E24*100,0)*1000+1000-ROW())</f>
        <v/>
      </c>
    </row>
    <row r="25">
      <c r="A25" s="1" t="n"/>
      <c r="B25" s="18" t="n"/>
      <c r="C25" s="26" t="n"/>
      <c r="D25" s="21" t="n"/>
      <c r="E25" s="25">
        <f>IF(B25="","",SUMIFS(Income!$E$6:$E$1005,Income!$C$6:$C$1005,B25,Income!$B$6:$B$1005,"&gt;="&amp;DATE(YEAR(TODAY()),MONTH(TODAY())-11,1)))</f>
        <v/>
      </c>
      <c r="F25" s="23">
        <f>IF(B25="","",SUMIFS(Income!$E$6:$E$1005,Income!$C$6:$C$1005,B25,Income!$B$6:$B$1005,"&gt;="&amp;DATE(YEAR(TODAY()),1,1)))</f>
        <v/>
      </c>
      <c r="G25" s="16">
        <f>IF(OR(B25="",N(D25)&lt;=0),"",E25/D25)</f>
        <v/>
      </c>
      <c r="H25" s="23">
        <f>IF(B25="","",E25/12)</f>
        <v/>
      </c>
      <c r="I25" s="1" t="n"/>
      <c r="J25">
        <f>IF(OR(B25="",N(E25)&lt;=0),"",ROUND(E25*100,0)*1000+1000-ROW())</f>
        <v/>
      </c>
    </row>
    <row r="26">
      <c r="A26" s="1" t="n"/>
      <c r="B26" s="18" t="n"/>
      <c r="C26" s="26" t="n"/>
      <c r="D26" s="21" t="n"/>
      <c r="E26" s="25">
        <f>IF(B26="","",SUMIFS(Income!$E$6:$E$1005,Income!$C$6:$C$1005,B26,Income!$B$6:$B$1005,"&gt;="&amp;DATE(YEAR(TODAY()),MONTH(TODAY())-11,1)))</f>
        <v/>
      </c>
      <c r="F26" s="23">
        <f>IF(B26="","",SUMIFS(Income!$E$6:$E$1005,Income!$C$6:$C$1005,B26,Income!$B$6:$B$1005,"&gt;="&amp;DATE(YEAR(TODAY()),1,1)))</f>
        <v/>
      </c>
      <c r="G26" s="16">
        <f>IF(OR(B26="",N(D26)&lt;=0),"",E26/D26)</f>
        <v/>
      </c>
      <c r="H26" s="23">
        <f>IF(B26="","",E26/12)</f>
        <v/>
      </c>
      <c r="I26" s="1" t="n"/>
      <c r="J26">
        <f>IF(OR(B26="",N(E26)&lt;=0),"",ROUND(E26*100,0)*1000+1000-ROW())</f>
        <v/>
      </c>
    </row>
    <row r="27">
      <c r="A27" s="1" t="n"/>
      <c r="B27" s="18" t="n"/>
      <c r="C27" s="26" t="n"/>
      <c r="D27" s="21" t="n"/>
      <c r="E27" s="25">
        <f>IF(B27="","",SUMIFS(Income!$E$6:$E$1005,Income!$C$6:$C$1005,B27,Income!$B$6:$B$1005,"&gt;="&amp;DATE(YEAR(TODAY()),MONTH(TODAY())-11,1)))</f>
        <v/>
      </c>
      <c r="F27" s="23">
        <f>IF(B27="","",SUMIFS(Income!$E$6:$E$1005,Income!$C$6:$C$1005,B27,Income!$B$6:$B$1005,"&gt;="&amp;DATE(YEAR(TODAY()),1,1)))</f>
        <v/>
      </c>
      <c r="G27" s="16">
        <f>IF(OR(B27="",N(D27)&lt;=0),"",E27/D27)</f>
        <v/>
      </c>
      <c r="H27" s="23">
        <f>IF(B27="","",E27/12)</f>
        <v/>
      </c>
      <c r="I27" s="1" t="n"/>
      <c r="J27">
        <f>IF(OR(B27="",N(E27)&lt;=0),"",ROUND(E27*100,0)*1000+1000-ROW())</f>
        <v/>
      </c>
    </row>
    <row r="28">
      <c r="A28" s="1" t="n"/>
      <c r="B28" s="18" t="n"/>
      <c r="C28" s="26" t="n"/>
      <c r="D28" s="21" t="n"/>
      <c r="E28" s="25">
        <f>IF(B28="","",SUMIFS(Income!$E$6:$E$1005,Income!$C$6:$C$1005,B28,Income!$B$6:$B$1005,"&gt;="&amp;DATE(YEAR(TODAY()),MONTH(TODAY())-11,1)))</f>
        <v/>
      </c>
      <c r="F28" s="23">
        <f>IF(B28="","",SUMIFS(Income!$E$6:$E$1005,Income!$C$6:$C$1005,B28,Income!$B$6:$B$1005,"&gt;="&amp;DATE(YEAR(TODAY()),1,1)))</f>
        <v/>
      </c>
      <c r="G28" s="16">
        <f>IF(OR(B28="",N(D28)&lt;=0),"",E28/D28)</f>
        <v/>
      </c>
      <c r="H28" s="23">
        <f>IF(B28="","",E28/12)</f>
        <v/>
      </c>
      <c r="I28" s="1" t="n"/>
      <c r="J28">
        <f>IF(OR(B28="",N(E28)&lt;=0),"",ROUND(E28*100,0)*1000+1000-ROW())</f>
        <v/>
      </c>
    </row>
    <row r="29">
      <c r="A29" s="1" t="n"/>
      <c r="B29" s="18" t="n"/>
      <c r="C29" s="26" t="n"/>
      <c r="D29" s="21" t="n"/>
      <c r="E29" s="25">
        <f>IF(B29="","",SUMIFS(Income!$E$6:$E$1005,Income!$C$6:$C$1005,B29,Income!$B$6:$B$1005,"&gt;="&amp;DATE(YEAR(TODAY()),MONTH(TODAY())-11,1)))</f>
        <v/>
      </c>
      <c r="F29" s="23">
        <f>IF(B29="","",SUMIFS(Income!$E$6:$E$1005,Income!$C$6:$C$1005,B29,Income!$B$6:$B$1005,"&gt;="&amp;DATE(YEAR(TODAY()),1,1)))</f>
        <v/>
      </c>
      <c r="G29" s="16">
        <f>IF(OR(B29="",N(D29)&lt;=0),"",E29/D29)</f>
        <v/>
      </c>
      <c r="H29" s="23">
        <f>IF(B29="","",E29/12)</f>
        <v/>
      </c>
      <c r="I29" s="1" t="n"/>
      <c r="J29">
        <f>IF(OR(B29="",N(E29)&lt;=0),"",ROUND(E29*100,0)*1000+1000-ROW())</f>
        <v/>
      </c>
    </row>
    <row r="30">
      <c r="A30" s="1" t="n"/>
      <c r="B30" s="18" t="n"/>
      <c r="C30" s="26" t="n"/>
      <c r="D30" s="21" t="n"/>
      <c r="E30" s="25">
        <f>IF(B30="","",SUMIFS(Income!$E$6:$E$1005,Income!$C$6:$C$1005,B30,Income!$B$6:$B$1005,"&gt;="&amp;DATE(YEAR(TODAY()),MONTH(TODAY())-11,1)))</f>
        <v/>
      </c>
      <c r="F30" s="23">
        <f>IF(B30="","",SUMIFS(Income!$E$6:$E$1005,Income!$C$6:$C$1005,B30,Income!$B$6:$B$1005,"&gt;="&amp;DATE(YEAR(TODAY()),1,1)))</f>
        <v/>
      </c>
      <c r="G30" s="16">
        <f>IF(OR(B30="",N(D30)&lt;=0),"",E30/D30)</f>
        <v/>
      </c>
      <c r="H30" s="23">
        <f>IF(B30="","",E30/12)</f>
        <v/>
      </c>
      <c r="I30" s="1" t="n"/>
      <c r="J30">
        <f>IF(OR(B30="",N(E30)&lt;=0),"",ROUND(E30*100,0)*1000+1000-ROW())</f>
        <v/>
      </c>
    </row>
    <row r="31">
      <c r="A31" s="1" t="n"/>
      <c r="B31" s="18" t="n"/>
      <c r="C31" s="26" t="n"/>
      <c r="D31" s="21" t="n"/>
      <c r="E31" s="25">
        <f>IF(B31="","",SUMIFS(Income!$E$6:$E$1005,Income!$C$6:$C$1005,B31,Income!$B$6:$B$1005,"&gt;="&amp;DATE(YEAR(TODAY()),MONTH(TODAY())-11,1)))</f>
        <v/>
      </c>
      <c r="F31" s="23">
        <f>IF(B31="","",SUMIFS(Income!$E$6:$E$1005,Income!$C$6:$C$1005,B31,Income!$B$6:$B$1005,"&gt;="&amp;DATE(YEAR(TODAY()),1,1)))</f>
        <v/>
      </c>
      <c r="G31" s="16">
        <f>IF(OR(B31="",N(D31)&lt;=0),"",E31/D31)</f>
        <v/>
      </c>
      <c r="H31" s="23">
        <f>IF(B31="","",E31/12)</f>
        <v/>
      </c>
      <c r="I31" s="1" t="n"/>
      <c r="J31">
        <f>IF(OR(B31="",N(E31)&lt;=0),"",ROUND(E31*100,0)*1000+1000-ROW())</f>
        <v/>
      </c>
    </row>
    <row r="32">
      <c r="A32" s="1" t="n"/>
      <c r="B32" s="18" t="n"/>
      <c r="C32" s="26" t="n"/>
      <c r="D32" s="21" t="n"/>
      <c r="E32" s="25">
        <f>IF(B32="","",SUMIFS(Income!$E$6:$E$1005,Income!$C$6:$C$1005,B32,Income!$B$6:$B$1005,"&gt;="&amp;DATE(YEAR(TODAY()),MONTH(TODAY())-11,1)))</f>
        <v/>
      </c>
      <c r="F32" s="23">
        <f>IF(B32="","",SUMIFS(Income!$E$6:$E$1005,Income!$C$6:$C$1005,B32,Income!$B$6:$B$1005,"&gt;="&amp;DATE(YEAR(TODAY()),1,1)))</f>
        <v/>
      </c>
      <c r="G32" s="16">
        <f>IF(OR(B32="",N(D32)&lt;=0),"",E32/D32)</f>
        <v/>
      </c>
      <c r="H32" s="23">
        <f>IF(B32="","",E32/12)</f>
        <v/>
      </c>
      <c r="I32" s="1" t="n"/>
      <c r="J32">
        <f>IF(OR(B32="",N(E32)&lt;=0),"",ROUND(E32*100,0)*1000+1000-ROW())</f>
        <v/>
      </c>
    </row>
    <row r="33">
      <c r="A33" s="1" t="n"/>
      <c r="B33" s="18" t="n"/>
      <c r="C33" s="26" t="n"/>
      <c r="D33" s="21" t="n"/>
      <c r="E33" s="25">
        <f>IF(B33="","",SUMIFS(Income!$E$6:$E$1005,Income!$C$6:$C$1005,B33,Income!$B$6:$B$1005,"&gt;="&amp;DATE(YEAR(TODAY()),MONTH(TODAY())-11,1)))</f>
        <v/>
      </c>
      <c r="F33" s="23">
        <f>IF(B33="","",SUMIFS(Income!$E$6:$E$1005,Income!$C$6:$C$1005,B33,Income!$B$6:$B$1005,"&gt;="&amp;DATE(YEAR(TODAY()),1,1)))</f>
        <v/>
      </c>
      <c r="G33" s="16">
        <f>IF(OR(B33="",N(D33)&lt;=0),"",E33/D33)</f>
        <v/>
      </c>
      <c r="H33" s="23">
        <f>IF(B33="","",E33/12)</f>
        <v/>
      </c>
      <c r="I33" s="1" t="n"/>
      <c r="J33">
        <f>IF(OR(B33="",N(E33)&lt;=0),"",ROUND(E33*100,0)*1000+1000-ROW())</f>
        <v/>
      </c>
    </row>
    <row r="34">
      <c r="A34" s="1" t="n"/>
      <c r="B34" s="18" t="n"/>
      <c r="C34" s="26" t="n"/>
      <c r="D34" s="21" t="n"/>
      <c r="E34" s="25">
        <f>IF(B34="","",SUMIFS(Income!$E$6:$E$1005,Income!$C$6:$C$1005,B34,Income!$B$6:$B$1005,"&gt;="&amp;DATE(YEAR(TODAY()),MONTH(TODAY())-11,1)))</f>
        <v/>
      </c>
      <c r="F34" s="23">
        <f>IF(B34="","",SUMIFS(Income!$E$6:$E$1005,Income!$C$6:$C$1005,B34,Income!$B$6:$B$1005,"&gt;="&amp;DATE(YEAR(TODAY()),1,1)))</f>
        <v/>
      </c>
      <c r="G34" s="16">
        <f>IF(OR(B34="",N(D34)&lt;=0),"",E34/D34)</f>
        <v/>
      </c>
      <c r="H34" s="23">
        <f>IF(B34="","",E34/12)</f>
        <v/>
      </c>
      <c r="I34" s="1" t="n"/>
      <c r="J34">
        <f>IF(OR(B34="",N(E34)&lt;=0),"",ROUND(E34*100,0)*1000+1000-ROW())</f>
        <v/>
      </c>
    </row>
    <row r="35">
      <c r="A35" s="1" t="n"/>
      <c r="B35" s="18" t="n"/>
      <c r="C35" s="26" t="n"/>
      <c r="D35" s="21" t="n"/>
      <c r="E35" s="25">
        <f>IF(B35="","",SUMIFS(Income!$E$6:$E$1005,Income!$C$6:$C$1005,B35,Income!$B$6:$B$1005,"&gt;="&amp;DATE(YEAR(TODAY()),MONTH(TODAY())-11,1)))</f>
        <v/>
      </c>
      <c r="F35" s="23">
        <f>IF(B35="","",SUMIFS(Income!$E$6:$E$1005,Income!$C$6:$C$1005,B35,Income!$B$6:$B$1005,"&gt;="&amp;DATE(YEAR(TODAY()),1,1)))</f>
        <v/>
      </c>
      <c r="G35" s="16">
        <f>IF(OR(B35="",N(D35)&lt;=0),"",E35/D35)</f>
        <v/>
      </c>
      <c r="H35" s="23">
        <f>IF(B35="","",E35/12)</f>
        <v/>
      </c>
      <c r="I35" s="1" t="n"/>
      <c r="J35">
        <f>IF(OR(B35="",N(E35)&lt;=0),"",ROUND(E35*100,0)*1000+1000-ROW())</f>
        <v/>
      </c>
    </row>
    <row r="36">
      <c r="A36" s="1" t="n"/>
      <c r="B36" s="18" t="n"/>
      <c r="C36" s="26" t="n"/>
      <c r="D36" s="21" t="n"/>
      <c r="E36" s="25">
        <f>IF(B36="","",SUMIFS(Income!$E$6:$E$1005,Income!$C$6:$C$1005,B36,Income!$B$6:$B$1005,"&gt;="&amp;DATE(YEAR(TODAY()),MONTH(TODAY())-11,1)))</f>
        <v/>
      </c>
      <c r="F36" s="23">
        <f>IF(B36="","",SUMIFS(Income!$E$6:$E$1005,Income!$C$6:$C$1005,B36,Income!$B$6:$B$1005,"&gt;="&amp;DATE(YEAR(TODAY()),1,1)))</f>
        <v/>
      </c>
      <c r="G36" s="16">
        <f>IF(OR(B36="",N(D36)&lt;=0),"",E36/D36)</f>
        <v/>
      </c>
      <c r="H36" s="23">
        <f>IF(B36="","",E36/12)</f>
        <v/>
      </c>
      <c r="I36" s="1" t="n"/>
      <c r="J36">
        <f>IF(OR(B36="",N(E36)&lt;=0),"",ROUND(E36*100,0)*1000+1000-ROW())</f>
        <v/>
      </c>
    </row>
    <row r="37">
      <c r="A37" s="1" t="n"/>
      <c r="B37" s="18" t="n"/>
      <c r="C37" s="26" t="n"/>
      <c r="D37" s="21" t="n"/>
      <c r="E37" s="25">
        <f>IF(B37="","",SUMIFS(Income!$E$6:$E$1005,Income!$C$6:$C$1005,B37,Income!$B$6:$B$1005,"&gt;="&amp;DATE(YEAR(TODAY()),MONTH(TODAY())-11,1)))</f>
        <v/>
      </c>
      <c r="F37" s="23">
        <f>IF(B37="","",SUMIFS(Income!$E$6:$E$1005,Income!$C$6:$C$1005,B37,Income!$B$6:$B$1005,"&gt;="&amp;DATE(YEAR(TODAY()),1,1)))</f>
        <v/>
      </c>
      <c r="G37" s="16">
        <f>IF(OR(B37="",N(D37)&lt;=0),"",E37/D37)</f>
        <v/>
      </c>
      <c r="H37" s="23">
        <f>IF(B37="","",E37/12)</f>
        <v/>
      </c>
      <c r="I37" s="1" t="n"/>
      <c r="J37">
        <f>IF(OR(B37="",N(E37)&lt;=0),"",ROUND(E37*100,0)*1000+1000-ROW())</f>
        <v/>
      </c>
    </row>
    <row r="38">
      <c r="A38" s="1" t="n"/>
      <c r="B38" s="18" t="n"/>
      <c r="C38" s="26" t="n"/>
      <c r="D38" s="21" t="n"/>
      <c r="E38" s="25">
        <f>IF(B38="","",SUMIFS(Income!$E$6:$E$1005,Income!$C$6:$C$1005,B38,Income!$B$6:$B$1005,"&gt;="&amp;DATE(YEAR(TODAY()),MONTH(TODAY())-11,1)))</f>
        <v/>
      </c>
      <c r="F38" s="23">
        <f>IF(B38="","",SUMIFS(Income!$E$6:$E$1005,Income!$C$6:$C$1005,B38,Income!$B$6:$B$1005,"&gt;="&amp;DATE(YEAR(TODAY()),1,1)))</f>
        <v/>
      </c>
      <c r="G38" s="16">
        <f>IF(OR(B38="",N(D38)&lt;=0),"",E38/D38)</f>
        <v/>
      </c>
      <c r="H38" s="23">
        <f>IF(B38="","",E38/12)</f>
        <v/>
      </c>
      <c r="I38" s="1" t="n"/>
      <c r="J38">
        <f>IF(OR(B38="",N(E38)&lt;=0),"",ROUND(E38*100,0)*1000+1000-ROW())</f>
        <v/>
      </c>
    </row>
    <row r="39">
      <c r="A39" s="1" t="n"/>
      <c r="B39" s="18" t="n"/>
      <c r="C39" s="26" t="n"/>
      <c r="D39" s="21" t="n"/>
      <c r="E39" s="25">
        <f>IF(B39="","",SUMIFS(Income!$E$6:$E$1005,Income!$C$6:$C$1005,B39,Income!$B$6:$B$1005,"&gt;="&amp;DATE(YEAR(TODAY()),MONTH(TODAY())-11,1)))</f>
        <v/>
      </c>
      <c r="F39" s="23">
        <f>IF(B39="","",SUMIFS(Income!$E$6:$E$1005,Income!$C$6:$C$1005,B39,Income!$B$6:$B$1005,"&gt;="&amp;DATE(YEAR(TODAY()),1,1)))</f>
        <v/>
      </c>
      <c r="G39" s="16">
        <f>IF(OR(B39="",N(D39)&lt;=0),"",E39/D39)</f>
        <v/>
      </c>
      <c r="H39" s="23">
        <f>IF(B39="","",E39/12)</f>
        <v/>
      </c>
      <c r="I39" s="1" t="n"/>
      <c r="J39">
        <f>IF(OR(B39="",N(E39)&lt;=0),"",ROUND(E39*100,0)*1000+1000-ROW())</f>
        <v/>
      </c>
    </row>
    <row r="40">
      <c r="A40" s="1" t="n"/>
      <c r="B40" s="18" t="n"/>
      <c r="C40" s="26" t="n"/>
      <c r="D40" s="21" t="n"/>
      <c r="E40" s="25">
        <f>IF(B40="","",SUMIFS(Income!$E$6:$E$1005,Income!$C$6:$C$1005,B40,Income!$B$6:$B$1005,"&gt;="&amp;DATE(YEAR(TODAY()),MONTH(TODAY())-11,1)))</f>
        <v/>
      </c>
      <c r="F40" s="23">
        <f>IF(B40="","",SUMIFS(Income!$E$6:$E$1005,Income!$C$6:$C$1005,B40,Income!$B$6:$B$1005,"&gt;="&amp;DATE(YEAR(TODAY()),1,1)))</f>
        <v/>
      </c>
      <c r="G40" s="16">
        <f>IF(OR(B40="",N(D40)&lt;=0),"",E40/D40)</f>
        <v/>
      </c>
      <c r="H40" s="23">
        <f>IF(B40="","",E40/12)</f>
        <v/>
      </c>
      <c r="I40" s="1" t="n"/>
      <c r="J40">
        <f>IF(OR(B40="",N(E40)&lt;=0),"",ROUND(E40*100,0)*1000+1000-ROW())</f>
        <v/>
      </c>
    </row>
    <row r="41">
      <c r="A41" s="1" t="n"/>
      <c r="B41" s="18" t="n"/>
      <c r="C41" s="26" t="n"/>
      <c r="D41" s="21" t="n"/>
      <c r="E41" s="25">
        <f>IF(B41="","",SUMIFS(Income!$E$6:$E$1005,Income!$C$6:$C$1005,B41,Income!$B$6:$B$1005,"&gt;="&amp;DATE(YEAR(TODAY()),MONTH(TODAY())-11,1)))</f>
        <v/>
      </c>
      <c r="F41" s="23">
        <f>IF(B41="","",SUMIFS(Income!$E$6:$E$1005,Income!$C$6:$C$1005,B41,Income!$B$6:$B$1005,"&gt;="&amp;DATE(YEAR(TODAY()),1,1)))</f>
        <v/>
      </c>
      <c r="G41" s="16">
        <f>IF(OR(B41="",N(D41)&lt;=0),"",E41/D41)</f>
        <v/>
      </c>
      <c r="H41" s="23">
        <f>IF(B41="","",E41/12)</f>
        <v/>
      </c>
      <c r="I41" s="1" t="n"/>
      <c r="J41">
        <f>IF(OR(B41="",N(E41)&lt;=0),"",ROUND(E41*100,0)*1000+1000-ROW())</f>
        <v/>
      </c>
    </row>
    <row r="42">
      <c r="A42" s="1" t="n"/>
      <c r="B42" s="18" t="n"/>
      <c r="C42" s="26" t="n"/>
      <c r="D42" s="21" t="n"/>
      <c r="E42" s="25">
        <f>IF(B42="","",SUMIFS(Income!$E$6:$E$1005,Income!$C$6:$C$1005,B42,Income!$B$6:$B$1005,"&gt;="&amp;DATE(YEAR(TODAY()),MONTH(TODAY())-11,1)))</f>
        <v/>
      </c>
      <c r="F42" s="23">
        <f>IF(B42="","",SUMIFS(Income!$E$6:$E$1005,Income!$C$6:$C$1005,B42,Income!$B$6:$B$1005,"&gt;="&amp;DATE(YEAR(TODAY()),1,1)))</f>
        <v/>
      </c>
      <c r="G42" s="16">
        <f>IF(OR(B42="",N(D42)&lt;=0),"",E42/D42)</f>
        <v/>
      </c>
      <c r="H42" s="23">
        <f>IF(B42="","",E42/12)</f>
        <v/>
      </c>
      <c r="I42" s="1" t="n"/>
      <c r="J42">
        <f>IF(OR(B42="",N(E42)&lt;=0),"",ROUND(E42*100,0)*1000+1000-ROW())</f>
        <v/>
      </c>
    </row>
    <row r="43">
      <c r="A43" s="1" t="n"/>
      <c r="B43" s="18" t="n"/>
      <c r="C43" s="26" t="n"/>
      <c r="D43" s="21" t="n"/>
      <c r="E43" s="25">
        <f>IF(B43="","",SUMIFS(Income!$E$6:$E$1005,Income!$C$6:$C$1005,B43,Income!$B$6:$B$1005,"&gt;="&amp;DATE(YEAR(TODAY()),MONTH(TODAY())-11,1)))</f>
        <v/>
      </c>
      <c r="F43" s="23">
        <f>IF(B43="","",SUMIFS(Income!$E$6:$E$1005,Income!$C$6:$C$1005,B43,Income!$B$6:$B$1005,"&gt;="&amp;DATE(YEAR(TODAY()),1,1)))</f>
        <v/>
      </c>
      <c r="G43" s="16">
        <f>IF(OR(B43="",N(D43)&lt;=0),"",E43/D43)</f>
        <v/>
      </c>
      <c r="H43" s="23">
        <f>IF(B43="","",E43/12)</f>
        <v/>
      </c>
      <c r="I43" s="1" t="n"/>
      <c r="J43">
        <f>IF(OR(B43="",N(E43)&lt;=0),"",ROUND(E43*100,0)*1000+1000-ROW())</f>
        <v/>
      </c>
    </row>
    <row r="44">
      <c r="A44" s="1" t="n"/>
      <c r="B44" s="18" t="n"/>
      <c r="C44" s="26" t="n"/>
      <c r="D44" s="21" t="n"/>
      <c r="E44" s="25">
        <f>IF(B44="","",SUMIFS(Income!$E$6:$E$1005,Income!$C$6:$C$1005,B44,Income!$B$6:$B$1005,"&gt;="&amp;DATE(YEAR(TODAY()),MONTH(TODAY())-11,1)))</f>
        <v/>
      </c>
      <c r="F44" s="23">
        <f>IF(B44="","",SUMIFS(Income!$E$6:$E$1005,Income!$C$6:$C$1005,B44,Income!$B$6:$B$1005,"&gt;="&amp;DATE(YEAR(TODAY()),1,1)))</f>
        <v/>
      </c>
      <c r="G44" s="16">
        <f>IF(OR(B44="",N(D44)&lt;=0),"",E44/D44)</f>
        <v/>
      </c>
      <c r="H44" s="23">
        <f>IF(B44="","",E44/12)</f>
        <v/>
      </c>
      <c r="I44" s="1" t="n"/>
      <c r="J44">
        <f>IF(OR(B44="",N(E44)&lt;=0),"",ROUND(E44*100,0)*1000+1000-ROW())</f>
        <v/>
      </c>
    </row>
    <row r="45">
      <c r="A45" s="1" t="n"/>
      <c r="B45" s="18" t="n"/>
      <c r="C45" s="26" t="n"/>
      <c r="D45" s="21" t="n"/>
      <c r="E45" s="25">
        <f>IF(B45="","",SUMIFS(Income!$E$6:$E$1005,Income!$C$6:$C$1005,B45,Income!$B$6:$B$1005,"&gt;="&amp;DATE(YEAR(TODAY()),MONTH(TODAY())-11,1)))</f>
        <v/>
      </c>
      <c r="F45" s="23">
        <f>IF(B45="","",SUMIFS(Income!$E$6:$E$1005,Income!$C$6:$C$1005,B45,Income!$B$6:$B$1005,"&gt;="&amp;DATE(YEAR(TODAY()),1,1)))</f>
        <v/>
      </c>
      <c r="G45" s="16">
        <f>IF(OR(B45="",N(D45)&lt;=0),"",E45/D45)</f>
        <v/>
      </c>
      <c r="H45" s="23">
        <f>IF(B45="","",E45/12)</f>
        <v/>
      </c>
      <c r="I45" s="1" t="n"/>
      <c r="J45">
        <f>IF(OR(B45="",N(E45)&lt;=0),"",ROUND(E45*100,0)*1000+1000-ROW())</f>
        <v/>
      </c>
    </row>
    <row r="46">
      <c r="A46" s="1" t="n"/>
      <c r="B46" s="18" t="n"/>
      <c r="C46" s="26" t="n"/>
      <c r="D46" s="21" t="n"/>
      <c r="E46" s="25">
        <f>IF(B46="","",SUMIFS(Income!$E$6:$E$1005,Income!$C$6:$C$1005,B46,Income!$B$6:$B$1005,"&gt;="&amp;DATE(YEAR(TODAY()),MONTH(TODAY())-11,1)))</f>
        <v/>
      </c>
      <c r="F46" s="23">
        <f>IF(B46="","",SUMIFS(Income!$E$6:$E$1005,Income!$C$6:$C$1005,B46,Income!$B$6:$B$1005,"&gt;="&amp;DATE(YEAR(TODAY()),1,1)))</f>
        <v/>
      </c>
      <c r="G46" s="16">
        <f>IF(OR(B46="",N(D46)&lt;=0),"",E46/D46)</f>
        <v/>
      </c>
      <c r="H46" s="23">
        <f>IF(B46="","",E46/12)</f>
        <v/>
      </c>
      <c r="I46" s="1" t="n"/>
      <c r="J46">
        <f>IF(OR(B46="",N(E46)&lt;=0),"",ROUND(E46*100,0)*1000+1000-ROW())</f>
        <v/>
      </c>
    </row>
    <row r="47">
      <c r="A47" s="1" t="n"/>
      <c r="B47" s="18" t="n"/>
      <c r="C47" s="26" t="n"/>
      <c r="D47" s="21" t="n"/>
      <c r="E47" s="25">
        <f>IF(B47="","",SUMIFS(Income!$E$6:$E$1005,Income!$C$6:$C$1005,B47,Income!$B$6:$B$1005,"&gt;="&amp;DATE(YEAR(TODAY()),MONTH(TODAY())-11,1)))</f>
        <v/>
      </c>
      <c r="F47" s="23">
        <f>IF(B47="","",SUMIFS(Income!$E$6:$E$1005,Income!$C$6:$C$1005,B47,Income!$B$6:$B$1005,"&gt;="&amp;DATE(YEAR(TODAY()),1,1)))</f>
        <v/>
      </c>
      <c r="G47" s="16">
        <f>IF(OR(B47="",N(D47)&lt;=0),"",E47/D47)</f>
        <v/>
      </c>
      <c r="H47" s="23">
        <f>IF(B47="","",E47/12)</f>
        <v/>
      </c>
      <c r="I47" s="1" t="n"/>
      <c r="J47">
        <f>IF(OR(B47="",N(E47)&lt;=0),"",ROUND(E47*100,0)*1000+1000-ROW())</f>
        <v/>
      </c>
    </row>
    <row r="48">
      <c r="A48" s="1" t="n"/>
      <c r="B48" s="18" t="n"/>
      <c r="C48" s="26" t="n"/>
      <c r="D48" s="21" t="n"/>
      <c r="E48" s="25">
        <f>IF(B48="","",SUMIFS(Income!$E$6:$E$1005,Income!$C$6:$C$1005,B48,Income!$B$6:$B$1005,"&gt;="&amp;DATE(YEAR(TODAY()),MONTH(TODAY())-11,1)))</f>
        <v/>
      </c>
      <c r="F48" s="23">
        <f>IF(B48="","",SUMIFS(Income!$E$6:$E$1005,Income!$C$6:$C$1005,B48,Income!$B$6:$B$1005,"&gt;="&amp;DATE(YEAR(TODAY()),1,1)))</f>
        <v/>
      </c>
      <c r="G48" s="16">
        <f>IF(OR(B48="",N(D48)&lt;=0),"",E48/D48)</f>
        <v/>
      </c>
      <c r="H48" s="23">
        <f>IF(B48="","",E48/12)</f>
        <v/>
      </c>
      <c r="I48" s="1" t="n"/>
      <c r="J48">
        <f>IF(OR(B48="",N(E48)&lt;=0),"",ROUND(E48*100,0)*1000+1000-ROW())</f>
        <v/>
      </c>
    </row>
    <row r="49">
      <c r="A49" s="1" t="n"/>
      <c r="B49" s="18" t="n"/>
      <c r="C49" s="26" t="n"/>
      <c r="D49" s="21" t="n"/>
      <c r="E49" s="25">
        <f>IF(B49="","",SUMIFS(Income!$E$6:$E$1005,Income!$C$6:$C$1005,B49,Income!$B$6:$B$1005,"&gt;="&amp;DATE(YEAR(TODAY()),MONTH(TODAY())-11,1)))</f>
        <v/>
      </c>
      <c r="F49" s="23">
        <f>IF(B49="","",SUMIFS(Income!$E$6:$E$1005,Income!$C$6:$C$1005,B49,Income!$B$6:$B$1005,"&gt;="&amp;DATE(YEAR(TODAY()),1,1)))</f>
        <v/>
      </c>
      <c r="G49" s="16">
        <f>IF(OR(B49="",N(D49)&lt;=0),"",E49/D49)</f>
        <v/>
      </c>
      <c r="H49" s="23">
        <f>IF(B49="","",E49/12)</f>
        <v/>
      </c>
      <c r="I49" s="1" t="n"/>
      <c r="J49">
        <f>IF(OR(B49="",N(E49)&lt;=0),"",ROUND(E49*100,0)*1000+1000-ROW())</f>
        <v/>
      </c>
    </row>
    <row r="50">
      <c r="A50" s="1" t="n"/>
      <c r="B50" s="18" t="n"/>
      <c r="C50" s="26" t="n"/>
      <c r="D50" s="21" t="n"/>
      <c r="E50" s="25">
        <f>IF(B50="","",SUMIFS(Income!$E$6:$E$1005,Income!$C$6:$C$1005,B50,Income!$B$6:$B$1005,"&gt;="&amp;DATE(YEAR(TODAY()),MONTH(TODAY())-11,1)))</f>
        <v/>
      </c>
      <c r="F50" s="23">
        <f>IF(B50="","",SUMIFS(Income!$E$6:$E$1005,Income!$C$6:$C$1005,B50,Income!$B$6:$B$1005,"&gt;="&amp;DATE(YEAR(TODAY()),1,1)))</f>
        <v/>
      </c>
      <c r="G50" s="16">
        <f>IF(OR(B50="",N(D50)&lt;=0),"",E50/D50)</f>
        <v/>
      </c>
      <c r="H50" s="23">
        <f>IF(B50="","",E50/12)</f>
        <v/>
      </c>
      <c r="I50" s="1" t="n"/>
      <c r="J50">
        <f>IF(OR(B50="",N(E50)&lt;=0),"",ROUND(E50*100,0)*1000+1000-ROW())</f>
        <v/>
      </c>
    </row>
    <row r="51">
      <c r="A51" s="1" t="n"/>
      <c r="B51" s="18" t="n"/>
      <c r="C51" s="26" t="n"/>
      <c r="D51" s="21" t="n"/>
      <c r="E51" s="25">
        <f>IF(B51="","",SUMIFS(Income!$E$6:$E$1005,Income!$C$6:$C$1005,B51,Income!$B$6:$B$1005,"&gt;="&amp;DATE(YEAR(TODAY()),MONTH(TODAY())-11,1)))</f>
        <v/>
      </c>
      <c r="F51" s="23">
        <f>IF(B51="","",SUMIFS(Income!$E$6:$E$1005,Income!$C$6:$C$1005,B51,Income!$B$6:$B$1005,"&gt;="&amp;DATE(YEAR(TODAY()),1,1)))</f>
        <v/>
      </c>
      <c r="G51" s="16">
        <f>IF(OR(B51="",N(D51)&lt;=0),"",E51/D51)</f>
        <v/>
      </c>
      <c r="H51" s="23">
        <f>IF(B51="","",E51/12)</f>
        <v/>
      </c>
      <c r="I51" s="1" t="n"/>
      <c r="J51">
        <f>IF(OR(B51="",N(E51)&lt;=0),"",ROUND(E51*100,0)*1000+1000-ROW())</f>
        <v/>
      </c>
    </row>
    <row r="52">
      <c r="A52" s="1" t="n"/>
      <c r="B52" s="18" t="n"/>
      <c r="C52" s="26" t="n"/>
      <c r="D52" s="21" t="n"/>
      <c r="E52" s="25">
        <f>IF(B52="","",SUMIFS(Income!$E$6:$E$1005,Income!$C$6:$C$1005,B52,Income!$B$6:$B$1005,"&gt;="&amp;DATE(YEAR(TODAY()),MONTH(TODAY())-11,1)))</f>
        <v/>
      </c>
      <c r="F52" s="23">
        <f>IF(B52="","",SUMIFS(Income!$E$6:$E$1005,Income!$C$6:$C$1005,B52,Income!$B$6:$B$1005,"&gt;="&amp;DATE(YEAR(TODAY()),1,1)))</f>
        <v/>
      </c>
      <c r="G52" s="16">
        <f>IF(OR(B52="",N(D52)&lt;=0),"",E52/D52)</f>
        <v/>
      </c>
      <c r="H52" s="23">
        <f>IF(B52="","",E52/12)</f>
        <v/>
      </c>
      <c r="I52" s="1" t="n"/>
      <c r="J52">
        <f>IF(OR(B52="",N(E52)&lt;=0),"",ROUND(E52*100,0)*1000+1000-ROW())</f>
        <v/>
      </c>
    </row>
    <row r="53">
      <c r="A53" s="1" t="n"/>
      <c r="B53" s="18" t="n"/>
      <c r="C53" s="26" t="n"/>
      <c r="D53" s="21" t="n"/>
      <c r="E53" s="25">
        <f>IF(B53="","",SUMIFS(Income!$E$6:$E$1005,Income!$C$6:$C$1005,B53,Income!$B$6:$B$1005,"&gt;="&amp;DATE(YEAR(TODAY()),MONTH(TODAY())-11,1)))</f>
        <v/>
      </c>
      <c r="F53" s="23">
        <f>IF(B53="","",SUMIFS(Income!$E$6:$E$1005,Income!$C$6:$C$1005,B53,Income!$B$6:$B$1005,"&gt;="&amp;DATE(YEAR(TODAY()),1,1)))</f>
        <v/>
      </c>
      <c r="G53" s="16">
        <f>IF(OR(B53="",N(D53)&lt;=0),"",E53/D53)</f>
        <v/>
      </c>
      <c r="H53" s="23">
        <f>IF(B53="","",E53/12)</f>
        <v/>
      </c>
      <c r="I53" s="1" t="n"/>
      <c r="J53">
        <f>IF(OR(B53="",N(E53)&lt;=0),"",ROUND(E53*100,0)*1000+1000-ROW())</f>
        <v/>
      </c>
    </row>
    <row r="54">
      <c r="A54" s="1" t="n"/>
      <c r="B54" s="18" t="n"/>
      <c r="C54" s="26" t="n"/>
      <c r="D54" s="21" t="n"/>
      <c r="E54" s="25">
        <f>IF(B54="","",SUMIFS(Income!$E$6:$E$1005,Income!$C$6:$C$1005,B54,Income!$B$6:$B$1005,"&gt;="&amp;DATE(YEAR(TODAY()),MONTH(TODAY())-11,1)))</f>
        <v/>
      </c>
      <c r="F54" s="23">
        <f>IF(B54="","",SUMIFS(Income!$E$6:$E$1005,Income!$C$6:$C$1005,B54,Income!$B$6:$B$1005,"&gt;="&amp;DATE(YEAR(TODAY()),1,1)))</f>
        <v/>
      </c>
      <c r="G54" s="16">
        <f>IF(OR(B54="",N(D54)&lt;=0),"",E54/D54)</f>
        <v/>
      </c>
      <c r="H54" s="23">
        <f>IF(B54="","",E54/12)</f>
        <v/>
      </c>
      <c r="I54" s="1" t="n"/>
      <c r="J54">
        <f>IF(OR(B54="",N(E54)&lt;=0),"",ROUND(E54*100,0)*1000+1000-ROW())</f>
        <v/>
      </c>
    </row>
    <row r="55">
      <c r="A55" s="1" t="n"/>
      <c r="B55" s="18" t="n"/>
      <c r="C55" s="26" t="n"/>
      <c r="D55" s="21" t="n"/>
      <c r="E55" s="25">
        <f>IF(B55="","",SUMIFS(Income!$E$6:$E$1005,Income!$C$6:$C$1005,B55,Income!$B$6:$B$1005,"&gt;="&amp;DATE(YEAR(TODAY()),MONTH(TODAY())-11,1)))</f>
        <v/>
      </c>
      <c r="F55" s="23">
        <f>IF(B55="","",SUMIFS(Income!$E$6:$E$1005,Income!$C$6:$C$1005,B55,Income!$B$6:$B$1005,"&gt;="&amp;DATE(YEAR(TODAY()),1,1)))</f>
        <v/>
      </c>
      <c r="G55" s="16">
        <f>IF(OR(B55="",N(D55)&lt;=0),"",E55/D55)</f>
        <v/>
      </c>
      <c r="H55" s="23">
        <f>IF(B55="","",E55/12)</f>
        <v/>
      </c>
      <c r="I55" s="1" t="n"/>
      <c r="J55">
        <f>IF(OR(B55="",N(E55)&lt;=0),"",ROUND(E55*100,0)*1000+1000-ROW())</f>
        <v/>
      </c>
    </row>
    <row r="56">
      <c r="A56" s="1" t="n"/>
      <c r="B56" s="18" t="n"/>
      <c r="C56" s="26" t="n"/>
      <c r="D56" s="21" t="n"/>
      <c r="E56" s="25">
        <f>IF(B56="","",SUMIFS(Income!$E$6:$E$1005,Income!$C$6:$C$1005,B56,Income!$B$6:$B$1005,"&gt;="&amp;DATE(YEAR(TODAY()),MONTH(TODAY())-11,1)))</f>
        <v/>
      </c>
      <c r="F56" s="23">
        <f>IF(B56="","",SUMIFS(Income!$E$6:$E$1005,Income!$C$6:$C$1005,B56,Income!$B$6:$B$1005,"&gt;="&amp;DATE(YEAR(TODAY()),1,1)))</f>
        <v/>
      </c>
      <c r="G56" s="16">
        <f>IF(OR(B56="",N(D56)&lt;=0),"",E56/D56)</f>
        <v/>
      </c>
      <c r="H56" s="23">
        <f>IF(B56="","",E56/12)</f>
        <v/>
      </c>
      <c r="I56" s="1" t="n"/>
      <c r="J56">
        <f>IF(OR(B56="",N(E56)&lt;=0),"",ROUND(E56*100,0)*1000+1000-ROW())</f>
        <v/>
      </c>
    </row>
    <row r="57">
      <c r="A57" s="1" t="n"/>
      <c r="B57" s="18" t="n"/>
      <c r="C57" s="26" t="n"/>
      <c r="D57" s="21" t="n"/>
      <c r="E57" s="25">
        <f>IF(B57="","",SUMIFS(Income!$E$6:$E$1005,Income!$C$6:$C$1005,B57,Income!$B$6:$B$1005,"&gt;="&amp;DATE(YEAR(TODAY()),MONTH(TODAY())-11,1)))</f>
        <v/>
      </c>
      <c r="F57" s="23">
        <f>IF(B57="","",SUMIFS(Income!$E$6:$E$1005,Income!$C$6:$C$1005,B57,Income!$B$6:$B$1005,"&gt;="&amp;DATE(YEAR(TODAY()),1,1)))</f>
        <v/>
      </c>
      <c r="G57" s="16">
        <f>IF(OR(B57="",N(D57)&lt;=0),"",E57/D57)</f>
        <v/>
      </c>
      <c r="H57" s="23">
        <f>IF(B57="","",E57/12)</f>
        <v/>
      </c>
      <c r="I57" s="1" t="n"/>
      <c r="J57">
        <f>IF(OR(B57="",N(E57)&lt;=0),"",ROUND(E57*100,0)*1000+1000-ROW())</f>
        <v/>
      </c>
    </row>
    <row r="58">
      <c r="A58" s="1" t="n"/>
      <c r="B58" s="18" t="n"/>
      <c r="C58" s="26" t="n"/>
      <c r="D58" s="21" t="n"/>
      <c r="E58" s="25">
        <f>IF(B58="","",SUMIFS(Income!$E$6:$E$1005,Income!$C$6:$C$1005,B58,Income!$B$6:$B$1005,"&gt;="&amp;DATE(YEAR(TODAY()),MONTH(TODAY())-11,1)))</f>
        <v/>
      </c>
      <c r="F58" s="23">
        <f>IF(B58="","",SUMIFS(Income!$E$6:$E$1005,Income!$C$6:$C$1005,B58,Income!$B$6:$B$1005,"&gt;="&amp;DATE(YEAR(TODAY()),1,1)))</f>
        <v/>
      </c>
      <c r="G58" s="16">
        <f>IF(OR(B58="",N(D58)&lt;=0),"",E58/D58)</f>
        <v/>
      </c>
      <c r="H58" s="23">
        <f>IF(B58="","",E58/12)</f>
        <v/>
      </c>
      <c r="I58" s="1" t="n"/>
      <c r="J58">
        <f>IF(OR(B58="",N(E58)&lt;=0),"",ROUND(E58*100,0)*1000+1000-ROW())</f>
        <v/>
      </c>
    </row>
    <row r="59">
      <c r="A59" s="1" t="n"/>
      <c r="B59" s="18" t="n"/>
      <c r="C59" s="26" t="n"/>
      <c r="D59" s="21" t="n"/>
      <c r="E59" s="25">
        <f>IF(B59="","",SUMIFS(Income!$E$6:$E$1005,Income!$C$6:$C$1005,B59,Income!$B$6:$B$1005,"&gt;="&amp;DATE(YEAR(TODAY()),MONTH(TODAY())-11,1)))</f>
        <v/>
      </c>
      <c r="F59" s="23">
        <f>IF(B59="","",SUMIFS(Income!$E$6:$E$1005,Income!$C$6:$C$1005,B59,Income!$B$6:$B$1005,"&gt;="&amp;DATE(YEAR(TODAY()),1,1)))</f>
        <v/>
      </c>
      <c r="G59" s="16">
        <f>IF(OR(B59="",N(D59)&lt;=0),"",E59/D59)</f>
        <v/>
      </c>
      <c r="H59" s="23">
        <f>IF(B59="","",E59/12)</f>
        <v/>
      </c>
      <c r="I59" s="1" t="n"/>
      <c r="J59">
        <f>IF(OR(B59="",N(E59)&lt;=0),"",ROUND(E59*100,0)*1000+1000-ROW())</f>
        <v/>
      </c>
    </row>
    <row r="60">
      <c r="A60" s="1" t="n"/>
      <c r="B60" s="18" t="n"/>
      <c r="C60" s="26" t="n"/>
      <c r="D60" s="21" t="n"/>
      <c r="E60" s="25">
        <f>IF(B60="","",SUMIFS(Income!$E$6:$E$1005,Income!$C$6:$C$1005,B60,Income!$B$6:$B$1005,"&gt;="&amp;DATE(YEAR(TODAY()),MONTH(TODAY())-11,1)))</f>
        <v/>
      </c>
      <c r="F60" s="23">
        <f>IF(B60="","",SUMIFS(Income!$E$6:$E$1005,Income!$C$6:$C$1005,B60,Income!$B$6:$B$1005,"&gt;="&amp;DATE(YEAR(TODAY()),1,1)))</f>
        <v/>
      </c>
      <c r="G60" s="16">
        <f>IF(OR(B60="",N(D60)&lt;=0),"",E60/D60)</f>
        <v/>
      </c>
      <c r="H60" s="23">
        <f>IF(B60="","",E60/12)</f>
        <v/>
      </c>
      <c r="I60" s="1" t="n"/>
      <c r="J60">
        <f>IF(OR(B60="",N(E60)&lt;=0),"",ROUND(E60*100,0)*1000+1000-ROW())</f>
        <v/>
      </c>
    </row>
    <row r="61">
      <c r="A61" s="1" t="n"/>
      <c r="B61" s="18" t="n"/>
      <c r="C61" s="26" t="n"/>
      <c r="D61" s="21" t="n"/>
      <c r="E61" s="25">
        <f>IF(B61="","",SUMIFS(Income!$E$6:$E$1005,Income!$C$6:$C$1005,B61,Income!$B$6:$B$1005,"&gt;="&amp;DATE(YEAR(TODAY()),MONTH(TODAY())-11,1)))</f>
        <v/>
      </c>
      <c r="F61" s="23">
        <f>IF(B61="","",SUMIFS(Income!$E$6:$E$1005,Income!$C$6:$C$1005,B61,Income!$B$6:$B$1005,"&gt;="&amp;DATE(YEAR(TODAY()),1,1)))</f>
        <v/>
      </c>
      <c r="G61" s="16">
        <f>IF(OR(B61="",N(D61)&lt;=0),"",E61/D61)</f>
        <v/>
      </c>
      <c r="H61" s="23">
        <f>IF(B61="","",E61/12)</f>
        <v/>
      </c>
      <c r="I61" s="1" t="n"/>
      <c r="J61">
        <f>IF(OR(B61="",N(E61)&lt;=0),"",ROUND(E61*100,0)*1000+1000-ROW())</f>
        <v/>
      </c>
    </row>
    <row r="62">
      <c r="A62" s="1" t="n"/>
      <c r="B62" s="18" t="n"/>
      <c r="C62" s="26" t="n"/>
      <c r="D62" s="21" t="n"/>
      <c r="E62" s="25">
        <f>IF(B62="","",SUMIFS(Income!$E$6:$E$1005,Income!$C$6:$C$1005,B62,Income!$B$6:$B$1005,"&gt;="&amp;DATE(YEAR(TODAY()),MONTH(TODAY())-11,1)))</f>
        <v/>
      </c>
      <c r="F62" s="23">
        <f>IF(B62="","",SUMIFS(Income!$E$6:$E$1005,Income!$C$6:$C$1005,B62,Income!$B$6:$B$1005,"&gt;="&amp;DATE(YEAR(TODAY()),1,1)))</f>
        <v/>
      </c>
      <c r="G62" s="16">
        <f>IF(OR(B62="",N(D62)&lt;=0),"",E62/D62)</f>
        <v/>
      </c>
      <c r="H62" s="23">
        <f>IF(B62="","",E62/12)</f>
        <v/>
      </c>
      <c r="I62" s="1" t="n"/>
      <c r="J62">
        <f>IF(OR(B62="",N(E62)&lt;=0),"",ROUND(E62*100,0)*1000+1000-ROW())</f>
        <v/>
      </c>
    </row>
    <row r="63">
      <c r="A63" s="1" t="n"/>
      <c r="B63" s="18" t="n"/>
      <c r="C63" s="26" t="n"/>
      <c r="D63" s="21" t="n"/>
      <c r="E63" s="25">
        <f>IF(B63="","",SUMIFS(Income!$E$6:$E$1005,Income!$C$6:$C$1005,B63,Income!$B$6:$B$1005,"&gt;="&amp;DATE(YEAR(TODAY()),MONTH(TODAY())-11,1)))</f>
        <v/>
      </c>
      <c r="F63" s="23">
        <f>IF(B63="","",SUMIFS(Income!$E$6:$E$1005,Income!$C$6:$C$1005,B63,Income!$B$6:$B$1005,"&gt;="&amp;DATE(YEAR(TODAY()),1,1)))</f>
        <v/>
      </c>
      <c r="G63" s="16">
        <f>IF(OR(B63="",N(D63)&lt;=0),"",E63/D63)</f>
        <v/>
      </c>
      <c r="H63" s="23">
        <f>IF(B63="","",E63/12)</f>
        <v/>
      </c>
      <c r="I63" s="1" t="n"/>
      <c r="J63">
        <f>IF(OR(B63="",N(E63)&lt;=0),"",ROUND(E63*100,0)*1000+1000-ROW())</f>
        <v/>
      </c>
    </row>
    <row r="64">
      <c r="A64" s="1" t="n"/>
      <c r="B64" s="18" t="n"/>
      <c r="C64" s="26" t="n"/>
      <c r="D64" s="21" t="n"/>
      <c r="E64" s="25">
        <f>IF(B64="","",SUMIFS(Income!$E$6:$E$1005,Income!$C$6:$C$1005,B64,Income!$B$6:$B$1005,"&gt;="&amp;DATE(YEAR(TODAY()),MONTH(TODAY())-11,1)))</f>
        <v/>
      </c>
      <c r="F64" s="23">
        <f>IF(B64="","",SUMIFS(Income!$E$6:$E$1005,Income!$C$6:$C$1005,B64,Income!$B$6:$B$1005,"&gt;="&amp;DATE(YEAR(TODAY()),1,1)))</f>
        <v/>
      </c>
      <c r="G64" s="16">
        <f>IF(OR(B64="",N(D64)&lt;=0),"",E64/D64)</f>
        <v/>
      </c>
      <c r="H64" s="23">
        <f>IF(B64="","",E64/12)</f>
        <v/>
      </c>
      <c r="I64" s="1" t="n"/>
      <c r="J64">
        <f>IF(OR(B64="",N(E64)&lt;=0),"",ROUND(E64*100,0)*1000+1000-ROW())</f>
        <v/>
      </c>
    </row>
    <row r="65">
      <c r="A65" s="1" t="n"/>
      <c r="B65" s="18" t="n"/>
      <c r="C65" s="26" t="n"/>
      <c r="D65" s="21" t="n"/>
      <c r="E65" s="25">
        <f>IF(B65="","",SUMIFS(Income!$E$6:$E$1005,Income!$C$6:$C$1005,B65,Income!$B$6:$B$1005,"&gt;="&amp;DATE(YEAR(TODAY()),MONTH(TODAY())-11,1)))</f>
        <v/>
      </c>
      <c r="F65" s="23">
        <f>IF(B65="","",SUMIFS(Income!$E$6:$E$1005,Income!$C$6:$C$1005,B65,Income!$B$6:$B$1005,"&gt;="&amp;DATE(YEAR(TODAY()),1,1)))</f>
        <v/>
      </c>
      <c r="G65" s="16">
        <f>IF(OR(B65="",N(D65)&lt;=0),"",E65/D65)</f>
        <v/>
      </c>
      <c r="H65" s="23">
        <f>IF(B65="","",E65/12)</f>
        <v/>
      </c>
      <c r="I65" s="1" t="n"/>
      <c r="J65">
        <f>IF(OR(B65="",N(E65)&lt;=0),"",ROUND(E65*100,0)*1000+1000-ROW())</f>
        <v/>
      </c>
    </row>
    <row r="66">
      <c r="A66" s="1" t="n"/>
      <c r="B66" s="18" t="n"/>
      <c r="C66" s="26" t="n"/>
      <c r="D66" s="21" t="n"/>
      <c r="E66" s="25">
        <f>IF(B66="","",SUMIFS(Income!$E$6:$E$1005,Income!$C$6:$C$1005,B66,Income!$B$6:$B$1005,"&gt;="&amp;DATE(YEAR(TODAY()),MONTH(TODAY())-11,1)))</f>
        <v/>
      </c>
      <c r="F66" s="23">
        <f>IF(B66="","",SUMIFS(Income!$E$6:$E$1005,Income!$C$6:$C$1005,B66,Income!$B$6:$B$1005,"&gt;="&amp;DATE(YEAR(TODAY()),1,1)))</f>
        <v/>
      </c>
      <c r="G66" s="16">
        <f>IF(OR(B66="",N(D66)&lt;=0),"",E66/D66)</f>
        <v/>
      </c>
      <c r="H66" s="23">
        <f>IF(B66="","",E66/12)</f>
        <v/>
      </c>
      <c r="I66" s="1" t="n"/>
      <c r="J66">
        <f>IF(OR(B66="",N(E66)&lt;=0),"",ROUND(E66*100,0)*1000+1000-ROW())</f>
        <v/>
      </c>
    </row>
    <row r="67">
      <c r="A67" s="1" t="n"/>
      <c r="B67" s="18" t="n"/>
      <c r="C67" s="26" t="n"/>
      <c r="D67" s="21" t="n"/>
      <c r="E67" s="25">
        <f>IF(B67="","",SUMIFS(Income!$E$6:$E$1005,Income!$C$6:$C$1005,B67,Income!$B$6:$B$1005,"&gt;="&amp;DATE(YEAR(TODAY()),MONTH(TODAY())-11,1)))</f>
        <v/>
      </c>
      <c r="F67" s="23">
        <f>IF(B67="","",SUMIFS(Income!$E$6:$E$1005,Income!$C$6:$C$1005,B67,Income!$B$6:$B$1005,"&gt;="&amp;DATE(YEAR(TODAY()),1,1)))</f>
        <v/>
      </c>
      <c r="G67" s="16">
        <f>IF(OR(B67="",N(D67)&lt;=0),"",E67/D67)</f>
        <v/>
      </c>
      <c r="H67" s="23">
        <f>IF(B67="","",E67/12)</f>
        <v/>
      </c>
      <c r="I67" s="1" t="n"/>
      <c r="J67">
        <f>IF(OR(B67="",N(E67)&lt;=0),"",ROUND(E67*100,0)*1000+1000-ROW())</f>
        <v/>
      </c>
    </row>
    <row r="68">
      <c r="A68" s="1" t="n"/>
      <c r="B68" s="18" t="n"/>
      <c r="C68" s="26" t="n"/>
      <c r="D68" s="21" t="n"/>
      <c r="E68" s="25">
        <f>IF(B68="","",SUMIFS(Income!$E$6:$E$1005,Income!$C$6:$C$1005,B68,Income!$B$6:$B$1005,"&gt;="&amp;DATE(YEAR(TODAY()),MONTH(TODAY())-11,1)))</f>
        <v/>
      </c>
      <c r="F68" s="23">
        <f>IF(B68="","",SUMIFS(Income!$E$6:$E$1005,Income!$C$6:$C$1005,B68,Income!$B$6:$B$1005,"&gt;="&amp;DATE(YEAR(TODAY()),1,1)))</f>
        <v/>
      </c>
      <c r="G68" s="16">
        <f>IF(OR(B68="",N(D68)&lt;=0),"",E68/D68)</f>
        <v/>
      </c>
      <c r="H68" s="23">
        <f>IF(B68="","",E68/12)</f>
        <v/>
      </c>
      <c r="I68" s="1" t="n"/>
      <c r="J68">
        <f>IF(OR(B68="",N(E68)&lt;=0),"",ROUND(E68*100,0)*1000+1000-ROW())</f>
        <v/>
      </c>
    </row>
    <row r="69">
      <c r="A69" s="1" t="n"/>
      <c r="B69" s="18" t="n"/>
      <c r="C69" s="26" t="n"/>
      <c r="D69" s="21" t="n"/>
      <c r="E69" s="25">
        <f>IF(B69="","",SUMIFS(Income!$E$6:$E$1005,Income!$C$6:$C$1005,B69,Income!$B$6:$B$1005,"&gt;="&amp;DATE(YEAR(TODAY()),MONTH(TODAY())-11,1)))</f>
        <v/>
      </c>
      <c r="F69" s="23">
        <f>IF(B69="","",SUMIFS(Income!$E$6:$E$1005,Income!$C$6:$C$1005,B69,Income!$B$6:$B$1005,"&gt;="&amp;DATE(YEAR(TODAY()),1,1)))</f>
        <v/>
      </c>
      <c r="G69" s="16">
        <f>IF(OR(B69="",N(D69)&lt;=0),"",E69/D69)</f>
        <v/>
      </c>
      <c r="H69" s="23">
        <f>IF(B69="","",E69/12)</f>
        <v/>
      </c>
      <c r="I69" s="1" t="n"/>
      <c r="J69">
        <f>IF(OR(B69="",N(E69)&lt;=0),"",ROUND(E69*100,0)*1000+1000-ROW())</f>
        <v/>
      </c>
    </row>
    <row r="70">
      <c r="A70" s="1" t="n"/>
      <c r="B70" s="18" t="n"/>
      <c r="C70" s="26" t="n"/>
      <c r="D70" s="21" t="n"/>
      <c r="E70" s="25">
        <f>IF(B70="","",SUMIFS(Income!$E$6:$E$1005,Income!$C$6:$C$1005,B70,Income!$B$6:$B$1005,"&gt;="&amp;DATE(YEAR(TODAY()),MONTH(TODAY())-11,1)))</f>
        <v/>
      </c>
      <c r="F70" s="23">
        <f>IF(B70="","",SUMIFS(Income!$E$6:$E$1005,Income!$C$6:$C$1005,B70,Income!$B$6:$B$1005,"&gt;="&amp;DATE(YEAR(TODAY()),1,1)))</f>
        <v/>
      </c>
      <c r="G70" s="16">
        <f>IF(OR(B70="",N(D70)&lt;=0),"",E70/D70)</f>
        <v/>
      </c>
      <c r="H70" s="23">
        <f>IF(B70="","",E70/12)</f>
        <v/>
      </c>
      <c r="I70" s="1" t="n"/>
      <c r="J70">
        <f>IF(OR(B70="",N(E70)&lt;=0),"",ROUND(E70*100,0)*1000+1000-ROW())</f>
        <v/>
      </c>
    </row>
    <row r="71">
      <c r="A71" s="1" t="n"/>
      <c r="B71" s="18" t="n"/>
      <c r="C71" s="26" t="n"/>
      <c r="D71" s="21" t="n"/>
      <c r="E71" s="25">
        <f>IF(B71="","",SUMIFS(Income!$E$6:$E$1005,Income!$C$6:$C$1005,B71,Income!$B$6:$B$1005,"&gt;="&amp;DATE(YEAR(TODAY()),MONTH(TODAY())-11,1)))</f>
        <v/>
      </c>
      <c r="F71" s="23">
        <f>IF(B71="","",SUMIFS(Income!$E$6:$E$1005,Income!$C$6:$C$1005,B71,Income!$B$6:$B$1005,"&gt;="&amp;DATE(YEAR(TODAY()),1,1)))</f>
        <v/>
      </c>
      <c r="G71" s="16">
        <f>IF(OR(B71="",N(D71)&lt;=0),"",E71/D71)</f>
        <v/>
      </c>
      <c r="H71" s="23">
        <f>IF(B71="","",E71/12)</f>
        <v/>
      </c>
      <c r="I71" s="1" t="n"/>
      <c r="J71">
        <f>IF(OR(B71="",N(E71)&lt;=0),"",ROUND(E71*100,0)*1000+1000-ROW())</f>
        <v/>
      </c>
    </row>
    <row r="72">
      <c r="A72" s="1" t="n"/>
      <c r="B72" s="18" t="n"/>
      <c r="C72" s="26" t="n"/>
      <c r="D72" s="21" t="n"/>
      <c r="E72" s="25">
        <f>IF(B72="","",SUMIFS(Income!$E$6:$E$1005,Income!$C$6:$C$1005,B72,Income!$B$6:$B$1005,"&gt;="&amp;DATE(YEAR(TODAY()),MONTH(TODAY())-11,1)))</f>
        <v/>
      </c>
      <c r="F72" s="23">
        <f>IF(B72="","",SUMIFS(Income!$E$6:$E$1005,Income!$C$6:$C$1005,B72,Income!$B$6:$B$1005,"&gt;="&amp;DATE(YEAR(TODAY()),1,1)))</f>
        <v/>
      </c>
      <c r="G72" s="16">
        <f>IF(OR(B72="",N(D72)&lt;=0),"",E72/D72)</f>
        <v/>
      </c>
      <c r="H72" s="23">
        <f>IF(B72="","",E72/12)</f>
        <v/>
      </c>
      <c r="I72" s="1" t="n"/>
      <c r="J72">
        <f>IF(OR(B72="",N(E72)&lt;=0),"",ROUND(E72*100,0)*1000+1000-ROW())</f>
        <v/>
      </c>
    </row>
    <row r="73">
      <c r="A73" s="1" t="n"/>
      <c r="B73" s="18" t="n"/>
      <c r="C73" s="26" t="n"/>
      <c r="D73" s="21" t="n"/>
      <c r="E73" s="25">
        <f>IF(B73="","",SUMIFS(Income!$E$6:$E$1005,Income!$C$6:$C$1005,B73,Income!$B$6:$B$1005,"&gt;="&amp;DATE(YEAR(TODAY()),MONTH(TODAY())-11,1)))</f>
        <v/>
      </c>
      <c r="F73" s="23">
        <f>IF(B73="","",SUMIFS(Income!$E$6:$E$1005,Income!$C$6:$C$1005,B73,Income!$B$6:$B$1005,"&gt;="&amp;DATE(YEAR(TODAY()),1,1)))</f>
        <v/>
      </c>
      <c r="G73" s="16">
        <f>IF(OR(B73="",N(D73)&lt;=0),"",E73/D73)</f>
        <v/>
      </c>
      <c r="H73" s="23">
        <f>IF(B73="","",E73/12)</f>
        <v/>
      </c>
      <c r="I73" s="1" t="n"/>
      <c r="J73">
        <f>IF(OR(B73="",N(E73)&lt;=0),"",ROUND(E73*100,0)*1000+1000-ROW())</f>
        <v/>
      </c>
    </row>
    <row r="74">
      <c r="A74" s="1" t="n"/>
      <c r="B74" s="18" t="n"/>
      <c r="C74" s="26" t="n"/>
      <c r="D74" s="21" t="n"/>
      <c r="E74" s="25">
        <f>IF(B74="","",SUMIFS(Income!$E$6:$E$1005,Income!$C$6:$C$1005,B74,Income!$B$6:$B$1005,"&gt;="&amp;DATE(YEAR(TODAY()),MONTH(TODAY())-11,1)))</f>
        <v/>
      </c>
      <c r="F74" s="23">
        <f>IF(B74="","",SUMIFS(Income!$E$6:$E$1005,Income!$C$6:$C$1005,B74,Income!$B$6:$B$1005,"&gt;="&amp;DATE(YEAR(TODAY()),1,1)))</f>
        <v/>
      </c>
      <c r="G74" s="16">
        <f>IF(OR(B74="",N(D74)&lt;=0),"",E74/D74)</f>
        <v/>
      </c>
      <c r="H74" s="23">
        <f>IF(B74="","",E74/12)</f>
        <v/>
      </c>
      <c r="I74" s="1" t="n"/>
      <c r="J74">
        <f>IF(OR(B74="",N(E74)&lt;=0),"",ROUND(E74*100,0)*1000+1000-ROW())</f>
        <v/>
      </c>
    </row>
    <row r="75">
      <c r="A75" s="1" t="n"/>
      <c r="B75" s="18" t="n"/>
      <c r="C75" s="26" t="n"/>
      <c r="D75" s="21" t="n"/>
      <c r="E75" s="25">
        <f>IF(B75="","",SUMIFS(Income!$E$6:$E$1005,Income!$C$6:$C$1005,B75,Income!$B$6:$B$1005,"&gt;="&amp;DATE(YEAR(TODAY()),MONTH(TODAY())-11,1)))</f>
        <v/>
      </c>
      <c r="F75" s="23">
        <f>IF(B75="","",SUMIFS(Income!$E$6:$E$1005,Income!$C$6:$C$1005,B75,Income!$B$6:$B$1005,"&gt;="&amp;DATE(YEAR(TODAY()),1,1)))</f>
        <v/>
      </c>
      <c r="G75" s="16">
        <f>IF(OR(B75="",N(D75)&lt;=0),"",E75/D75)</f>
        <v/>
      </c>
      <c r="H75" s="23">
        <f>IF(B75="","",E75/12)</f>
        <v/>
      </c>
      <c r="I75" s="1" t="n"/>
      <c r="J75">
        <f>IF(OR(B75="",N(E75)&lt;=0),"",ROUND(E75*100,0)*1000+1000-ROW())</f>
        <v/>
      </c>
    </row>
    <row r="76">
      <c r="A76" s="1" t="n"/>
      <c r="B76" s="18" t="n"/>
      <c r="C76" s="26" t="n"/>
      <c r="D76" s="21" t="n"/>
      <c r="E76" s="25">
        <f>IF(B76="","",SUMIFS(Income!$E$6:$E$1005,Income!$C$6:$C$1005,B76,Income!$B$6:$B$1005,"&gt;="&amp;DATE(YEAR(TODAY()),MONTH(TODAY())-11,1)))</f>
        <v/>
      </c>
      <c r="F76" s="23">
        <f>IF(B76="","",SUMIFS(Income!$E$6:$E$1005,Income!$C$6:$C$1005,B76,Income!$B$6:$B$1005,"&gt;="&amp;DATE(YEAR(TODAY()),1,1)))</f>
        <v/>
      </c>
      <c r="G76" s="16">
        <f>IF(OR(B76="",N(D76)&lt;=0),"",E76/D76)</f>
        <v/>
      </c>
      <c r="H76" s="23">
        <f>IF(B76="","",E76/12)</f>
        <v/>
      </c>
      <c r="I76" s="1" t="n"/>
      <c r="J76">
        <f>IF(OR(B76="",N(E76)&lt;=0),"",ROUND(E76*100,0)*1000+1000-ROW())</f>
        <v/>
      </c>
    </row>
    <row r="77">
      <c r="A77" s="1" t="n"/>
      <c r="B77" s="18" t="n"/>
      <c r="C77" s="26" t="n"/>
      <c r="D77" s="21" t="n"/>
      <c r="E77" s="25">
        <f>IF(B77="","",SUMIFS(Income!$E$6:$E$1005,Income!$C$6:$C$1005,B77,Income!$B$6:$B$1005,"&gt;="&amp;DATE(YEAR(TODAY()),MONTH(TODAY())-11,1)))</f>
        <v/>
      </c>
      <c r="F77" s="23">
        <f>IF(B77="","",SUMIFS(Income!$E$6:$E$1005,Income!$C$6:$C$1005,B77,Income!$B$6:$B$1005,"&gt;="&amp;DATE(YEAR(TODAY()),1,1)))</f>
        <v/>
      </c>
      <c r="G77" s="16">
        <f>IF(OR(B77="",N(D77)&lt;=0),"",E77/D77)</f>
        <v/>
      </c>
      <c r="H77" s="23">
        <f>IF(B77="","",E77/12)</f>
        <v/>
      </c>
      <c r="I77" s="1" t="n"/>
      <c r="J77">
        <f>IF(OR(B77="",N(E77)&lt;=0),"",ROUND(E77*100,0)*1000+1000-ROW())</f>
        <v/>
      </c>
    </row>
    <row r="78">
      <c r="A78" s="1" t="n"/>
      <c r="B78" s="18" t="n"/>
      <c r="C78" s="26" t="n"/>
      <c r="D78" s="21" t="n"/>
      <c r="E78" s="25">
        <f>IF(B78="","",SUMIFS(Income!$E$6:$E$1005,Income!$C$6:$C$1005,B78,Income!$B$6:$B$1005,"&gt;="&amp;DATE(YEAR(TODAY()),MONTH(TODAY())-11,1)))</f>
        <v/>
      </c>
      <c r="F78" s="23">
        <f>IF(B78="","",SUMIFS(Income!$E$6:$E$1005,Income!$C$6:$C$1005,B78,Income!$B$6:$B$1005,"&gt;="&amp;DATE(YEAR(TODAY()),1,1)))</f>
        <v/>
      </c>
      <c r="G78" s="16">
        <f>IF(OR(B78="",N(D78)&lt;=0),"",E78/D78)</f>
        <v/>
      </c>
      <c r="H78" s="23">
        <f>IF(B78="","",E78/12)</f>
        <v/>
      </c>
      <c r="I78" s="1" t="n"/>
      <c r="J78">
        <f>IF(OR(B78="",N(E78)&lt;=0),"",ROUND(E78*100,0)*1000+1000-ROW())</f>
        <v/>
      </c>
    </row>
    <row r="79">
      <c r="A79" s="1" t="n"/>
      <c r="B79" s="18" t="n"/>
      <c r="C79" s="26" t="n"/>
      <c r="D79" s="21" t="n"/>
      <c r="E79" s="25">
        <f>IF(B79="","",SUMIFS(Income!$E$6:$E$1005,Income!$C$6:$C$1005,B79,Income!$B$6:$B$1005,"&gt;="&amp;DATE(YEAR(TODAY()),MONTH(TODAY())-11,1)))</f>
        <v/>
      </c>
      <c r="F79" s="23">
        <f>IF(B79="","",SUMIFS(Income!$E$6:$E$1005,Income!$C$6:$C$1005,B79,Income!$B$6:$B$1005,"&gt;="&amp;DATE(YEAR(TODAY()),1,1)))</f>
        <v/>
      </c>
      <c r="G79" s="16">
        <f>IF(OR(B79="",N(D79)&lt;=0),"",E79/D79)</f>
        <v/>
      </c>
      <c r="H79" s="23">
        <f>IF(B79="","",E79/12)</f>
        <v/>
      </c>
      <c r="I79" s="1" t="n"/>
      <c r="J79">
        <f>IF(OR(B79="",N(E79)&lt;=0),"",ROUND(E79*100,0)*1000+1000-ROW())</f>
        <v/>
      </c>
    </row>
    <row r="80">
      <c r="A80" s="1" t="n"/>
      <c r="B80" s="18" t="n"/>
      <c r="C80" s="26" t="n"/>
      <c r="D80" s="21" t="n"/>
      <c r="E80" s="25">
        <f>IF(B80="","",SUMIFS(Income!$E$6:$E$1005,Income!$C$6:$C$1005,B80,Income!$B$6:$B$1005,"&gt;="&amp;DATE(YEAR(TODAY()),MONTH(TODAY())-11,1)))</f>
        <v/>
      </c>
      <c r="F80" s="23">
        <f>IF(B80="","",SUMIFS(Income!$E$6:$E$1005,Income!$C$6:$C$1005,B80,Income!$B$6:$B$1005,"&gt;="&amp;DATE(YEAR(TODAY()),1,1)))</f>
        <v/>
      </c>
      <c r="G80" s="16">
        <f>IF(OR(B80="",N(D80)&lt;=0),"",E80/D80)</f>
        <v/>
      </c>
      <c r="H80" s="23">
        <f>IF(B80="","",E80/12)</f>
        <v/>
      </c>
      <c r="I80" s="1" t="n"/>
      <c r="J80">
        <f>IF(OR(B80="",N(E80)&lt;=0),"",ROUND(E80*100,0)*1000+1000-ROW())</f>
        <v/>
      </c>
    </row>
    <row r="81">
      <c r="A81" s="1" t="n"/>
      <c r="B81" s="18" t="n"/>
      <c r="C81" s="26" t="n"/>
      <c r="D81" s="21" t="n"/>
      <c r="E81" s="25">
        <f>IF(B81="","",SUMIFS(Income!$E$6:$E$1005,Income!$C$6:$C$1005,B81,Income!$B$6:$B$1005,"&gt;="&amp;DATE(YEAR(TODAY()),MONTH(TODAY())-11,1)))</f>
        <v/>
      </c>
      <c r="F81" s="23">
        <f>IF(B81="","",SUMIFS(Income!$E$6:$E$1005,Income!$C$6:$C$1005,B81,Income!$B$6:$B$1005,"&gt;="&amp;DATE(YEAR(TODAY()),1,1)))</f>
        <v/>
      </c>
      <c r="G81" s="16">
        <f>IF(OR(B81="",N(D81)&lt;=0),"",E81/D81)</f>
        <v/>
      </c>
      <c r="H81" s="23">
        <f>IF(B81="","",E81/12)</f>
        <v/>
      </c>
      <c r="I81" s="1" t="n"/>
      <c r="J81">
        <f>IF(OR(B81="",N(E81)&lt;=0),"",ROUND(E81*100,0)*1000+1000-ROW())</f>
        <v/>
      </c>
    </row>
    <row r="82">
      <c r="A82" s="1" t="n"/>
      <c r="B82" s="18" t="n"/>
      <c r="C82" s="26" t="n"/>
      <c r="D82" s="21" t="n"/>
      <c r="E82" s="25">
        <f>IF(B82="","",SUMIFS(Income!$E$6:$E$1005,Income!$C$6:$C$1005,B82,Income!$B$6:$B$1005,"&gt;="&amp;DATE(YEAR(TODAY()),MONTH(TODAY())-11,1)))</f>
        <v/>
      </c>
      <c r="F82" s="23">
        <f>IF(B82="","",SUMIFS(Income!$E$6:$E$1005,Income!$C$6:$C$1005,B82,Income!$B$6:$B$1005,"&gt;="&amp;DATE(YEAR(TODAY()),1,1)))</f>
        <v/>
      </c>
      <c r="G82" s="16">
        <f>IF(OR(B82="",N(D82)&lt;=0),"",E82/D82)</f>
        <v/>
      </c>
      <c r="H82" s="23">
        <f>IF(B82="","",E82/12)</f>
        <v/>
      </c>
      <c r="I82" s="1" t="n"/>
      <c r="J82">
        <f>IF(OR(B82="",N(E82)&lt;=0),"",ROUND(E82*100,0)*1000+1000-ROW())</f>
        <v/>
      </c>
    </row>
    <row r="83">
      <c r="A83" s="1" t="n"/>
      <c r="B83" s="18" t="n"/>
      <c r="C83" s="26" t="n"/>
      <c r="D83" s="21" t="n"/>
      <c r="E83" s="25">
        <f>IF(B83="","",SUMIFS(Income!$E$6:$E$1005,Income!$C$6:$C$1005,B83,Income!$B$6:$B$1005,"&gt;="&amp;DATE(YEAR(TODAY()),MONTH(TODAY())-11,1)))</f>
        <v/>
      </c>
      <c r="F83" s="23">
        <f>IF(B83="","",SUMIFS(Income!$E$6:$E$1005,Income!$C$6:$C$1005,B83,Income!$B$6:$B$1005,"&gt;="&amp;DATE(YEAR(TODAY()),1,1)))</f>
        <v/>
      </c>
      <c r="G83" s="16">
        <f>IF(OR(B83="",N(D83)&lt;=0),"",E83/D83)</f>
        <v/>
      </c>
      <c r="H83" s="23">
        <f>IF(B83="","",E83/12)</f>
        <v/>
      </c>
      <c r="I83" s="1" t="n"/>
      <c r="J83">
        <f>IF(OR(B83="",N(E83)&lt;=0),"",ROUND(E83*100,0)*1000+1000-ROW())</f>
        <v/>
      </c>
    </row>
    <row r="84">
      <c r="A84" s="1" t="n"/>
      <c r="B84" s="18" t="n"/>
      <c r="C84" s="26" t="n"/>
      <c r="D84" s="21" t="n"/>
      <c r="E84" s="25">
        <f>IF(B84="","",SUMIFS(Income!$E$6:$E$1005,Income!$C$6:$C$1005,B84,Income!$B$6:$B$1005,"&gt;="&amp;DATE(YEAR(TODAY()),MONTH(TODAY())-11,1)))</f>
        <v/>
      </c>
      <c r="F84" s="23">
        <f>IF(B84="","",SUMIFS(Income!$E$6:$E$1005,Income!$C$6:$C$1005,B84,Income!$B$6:$B$1005,"&gt;="&amp;DATE(YEAR(TODAY()),1,1)))</f>
        <v/>
      </c>
      <c r="G84" s="16">
        <f>IF(OR(B84="",N(D84)&lt;=0),"",E84/D84)</f>
        <v/>
      </c>
      <c r="H84" s="23">
        <f>IF(B84="","",E84/12)</f>
        <v/>
      </c>
      <c r="I84" s="1" t="n"/>
      <c r="J84">
        <f>IF(OR(B84="",N(E84)&lt;=0),"",ROUND(E84*100,0)*1000+1000-ROW())</f>
        <v/>
      </c>
    </row>
    <row r="85">
      <c r="A85" s="1" t="n"/>
      <c r="B85" s="18" t="n"/>
      <c r="C85" s="26" t="n"/>
      <c r="D85" s="21" t="n"/>
      <c r="E85" s="25">
        <f>IF(B85="","",SUMIFS(Income!$E$6:$E$1005,Income!$C$6:$C$1005,B85,Income!$B$6:$B$1005,"&gt;="&amp;DATE(YEAR(TODAY()),MONTH(TODAY())-11,1)))</f>
        <v/>
      </c>
      <c r="F85" s="23">
        <f>IF(B85="","",SUMIFS(Income!$E$6:$E$1005,Income!$C$6:$C$1005,B85,Income!$B$6:$B$1005,"&gt;="&amp;DATE(YEAR(TODAY()),1,1)))</f>
        <v/>
      </c>
      <c r="G85" s="16">
        <f>IF(OR(B85="",N(D85)&lt;=0),"",E85/D85)</f>
        <v/>
      </c>
      <c r="H85" s="23">
        <f>IF(B85="","",E85/12)</f>
        <v/>
      </c>
      <c r="I85" s="1" t="n"/>
      <c r="J85">
        <f>IF(OR(B85="",N(E85)&lt;=0),"",ROUND(E85*100,0)*1000+1000-ROW())</f>
        <v/>
      </c>
    </row>
    <row r="86">
      <c r="A86" s="1" t="n"/>
      <c r="B86" s="18" t="n"/>
      <c r="C86" s="26" t="n"/>
      <c r="D86" s="21" t="n"/>
      <c r="E86" s="25">
        <f>IF(B86="","",SUMIFS(Income!$E$6:$E$1005,Income!$C$6:$C$1005,B86,Income!$B$6:$B$1005,"&gt;="&amp;DATE(YEAR(TODAY()),MONTH(TODAY())-11,1)))</f>
        <v/>
      </c>
      <c r="F86" s="23">
        <f>IF(B86="","",SUMIFS(Income!$E$6:$E$1005,Income!$C$6:$C$1005,B86,Income!$B$6:$B$1005,"&gt;="&amp;DATE(YEAR(TODAY()),1,1)))</f>
        <v/>
      </c>
      <c r="G86" s="16">
        <f>IF(OR(B86="",N(D86)&lt;=0),"",E86/D86)</f>
        <v/>
      </c>
      <c r="H86" s="23">
        <f>IF(B86="","",E86/12)</f>
        <v/>
      </c>
      <c r="I86" s="1" t="n"/>
      <c r="J86">
        <f>IF(OR(B86="",N(E86)&lt;=0),"",ROUND(E86*100,0)*1000+1000-ROW())</f>
        <v/>
      </c>
    </row>
    <row r="87">
      <c r="A87" s="1" t="n"/>
      <c r="B87" s="18" t="n"/>
      <c r="C87" s="26" t="n"/>
      <c r="D87" s="21" t="n"/>
      <c r="E87" s="25">
        <f>IF(B87="","",SUMIFS(Income!$E$6:$E$1005,Income!$C$6:$C$1005,B87,Income!$B$6:$B$1005,"&gt;="&amp;DATE(YEAR(TODAY()),MONTH(TODAY())-11,1)))</f>
        <v/>
      </c>
      <c r="F87" s="23">
        <f>IF(B87="","",SUMIFS(Income!$E$6:$E$1005,Income!$C$6:$C$1005,B87,Income!$B$6:$B$1005,"&gt;="&amp;DATE(YEAR(TODAY()),1,1)))</f>
        <v/>
      </c>
      <c r="G87" s="16">
        <f>IF(OR(B87="",N(D87)&lt;=0),"",E87/D87)</f>
        <v/>
      </c>
      <c r="H87" s="23">
        <f>IF(B87="","",E87/12)</f>
        <v/>
      </c>
      <c r="I87" s="1" t="n"/>
      <c r="J87">
        <f>IF(OR(B87="",N(E87)&lt;=0),"",ROUND(E87*100,0)*1000+1000-ROW())</f>
        <v/>
      </c>
    </row>
    <row r="88">
      <c r="A88" s="1" t="n"/>
      <c r="B88" s="18" t="n"/>
      <c r="C88" s="26" t="n"/>
      <c r="D88" s="21" t="n"/>
      <c r="E88" s="25">
        <f>IF(B88="","",SUMIFS(Income!$E$6:$E$1005,Income!$C$6:$C$1005,B88,Income!$B$6:$B$1005,"&gt;="&amp;DATE(YEAR(TODAY()),MONTH(TODAY())-11,1)))</f>
        <v/>
      </c>
      <c r="F88" s="23">
        <f>IF(B88="","",SUMIFS(Income!$E$6:$E$1005,Income!$C$6:$C$1005,B88,Income!$B$6:$B$1005,"&gt;="&amp;DATE(YEAR(TODAY()),1,1)))</f>
        <v/>
      </c>
      <c r="G88" s="16">
        <f>IF(OR(B88="",N(D88)&lt;=0),"",E88/D88)</f>
        <v/>
      </c>
      <c r="H88" s="23">
        <f>IF(B88="","",E88/12)</f>
        <v/>
      </c>
      <c r="I88" s="1" t="n"/>
      <c r="J88">
        <f>IF(OR(B88="",N(E88)&lt;=0),"",ROUND(E88*100,0)*1000+1000-ROW())</f>
        <v/>
      </c>
    </row>
    <row r="89">
      <c r="A89" s="1" t="n"/>
      <c r="B89" s="18" t="n"/>
      <c r="C89" s="26" t="n"/>
      <c r="D89" s="21" t="n"/>
      <c r="E89" s="25">
        <f>IF(B89="","",SUMIFS(Income!$E$6:$E$1005,Income!$C$6:$C$1005,B89,Income!$B$6:$B$1005,"&gt;="&amp;DATE(YEAR(TODAY()),MONTH(TODAY())-11,1)))</f>
        <v/>
      </c>
      <c r="F89" s="23">
        <f>IF(B89="","",SUMIFS(Income!$E$6:$E$1005,Income!$C$6:$C$1005,B89,Income!$B$6:$B$1005,"&gt;="&amp;DATE(YEAR(TODAY()),1,1)))</f>
        <v/>
      </c>
      <c r="G89" s="16">
        <f>IF(OR(B89="",N(D89)&lt;=0),"",E89/D89)</f>
        <v/>
      </c>
      <c r="H89" s="23">
        <f>IF(B89="","",E89/12)</f>
        <v/>
      </c>
      <c r="I89" s="1" t="n"/>
      <c r="J89">
        <f>IF(OR(B89="",N(E89)&lt;=0),"",ROUND(E89*100,0)*1000+1000-ROW())</f>
        <v/>
      </c>
    </row>
    <row r="90">
      <c r="A90" s="1" t="n"/>
      <c r="B90" s="18" t="n"/>
      <c r="C90" s="26" t="n"/>
      <c r="D90" s="21" t="n"/>
      <c r="E90" s="25">
        <f>IF(B90="","",SUMIFS(Income!$E$6:$E$1005,Income!$C$6:$C$1005,B90,Income!$B$6:$B$1005,"&gt;="&amp;DATE(YEAR(TODAY()),MONTH(TODAY())-11,1)))</f>
        <v/>
      </c>
      <c r="F90" s="23">
        <f>IF(B90="","",SUMIFS(Income!$E$6:$E$1005,Income!$C$6:$C$1005,B90,Income!$B$6:$B$1005,"&gt;="&amp;DATE(YEAR(TODAY()),1,1)))</f>
        <v/>
      </c>
      <c r="G90" s="16">
        <f>IF(OR(B90="",N(D90)&lt;=0),"",E90/D90)</f>
        <v/>
      </c>
      <c r="H90" s="23">
        <f>IF(B90="","",E90/12)</f>
        <v/>
      </c>
      <c r="I90" s="1" t="n"/>
      <c r="J90">
        <f>IF(OR(B90="",N(E90)&lt;=0),"",ROUND(E90*100,0)*1000+1000-ROW())</f>
        <v/>
      </c>
    </row>
    <row r="91">
      <c r="A91" s="1" t="n"/>
      <c r="B91" s="18" t="n"/>
      <c r="C91" s="26" t="n"/>
      <c r="D91" s="21" t="n"/>
      <c r="E91" s="25">
        <f>IF(B91="","",SUMIFS(Income!$E$6:$E$1005,Income!$C$6:$C$1005,B91,Income!$B$6:$B$1005,"&gt;="&amp;DATE(YEAR(TODAY()),MONTH(TODAY())-11,1)))</f>
        <v/>
      </c>
      <c r="F91" s="23">
        <f>IF(B91="","",SUMIFS(Income!$E$6:$E$1005,Income!$C$6:$C$1005,B91,Income!$B$6:$B$1005,"&gt;="&amp;DATE(YEAR(TODAY()),1,1)))</f>
        <v/>
      </c>
      <c r="G91" s="16">
        <f>IF(OR(B91="",N(D91)&lt;=0),"",E91/D91)</f>
        <v/>
      </c>
      <c r="H91" s="23">
        <f>IF(B91="","",E91/12)</f>
        <v/>
      </c>
      <c r="I91" s="1" t="n"/>
      <c r="J91">
        <f>IF(OR(B91="",N(E91)&lt;=0),"",ROUND(E91*100,0)*1000+1000-ROW())</f>
        <v/>
      </c>
    </row>
    <row r="92">
      <c r="A92" s="1" t="n"/>
      <c r="B92" s="18" t="n"/>
      <c r="C92" s="26" t="n"/>
      <c r="D92" s="21" t="n"/>
      <c r="E92" s="25">
        <f>IF(B92="","",SUMIFS(Income!$E$6:$E$1005,Income!$C$6:$C$1005,B92,Income!$B$6:$B$1005,"&gt;="&amp;DATE(YEAR(TODAY()),MONTH(TODAY())-11,1)))</f>
        <v/>
      </c>
      <c r="F92" s="23">
        <f>IF(B92="","",SUMIFS(Income!$E$6:$E$1005,Income!$C$6:$C$1005,B92,Income!$B$6:$B$1005,"&gt;="&amp;DATE(YEAR(TODAY()),1,1)))</f>
        <v/>
      </c>
      <c r="G92" s="16">
        <f>IF(OR(B92="",N(D92)&lt;=0),"",E92/D92)</f>
        <v/>
      </c>
      <c r="H92" s="23">
        <f>IF(B92="","",E92/12)</f>
        <v/>
      </c>
      <c r="I92" s="1" t="n"/>
      <c r="J92">
        <f>IF(OR(B92="",N(E92)&lt;=0),"",ROUND(E92*100,0)*1000+1000-ROW())</f>
        <v/>
      </c>
    </row>
    <row r="93">
      <c r="A93" s="1" t="n"/>
      <c r="B93" s="18" t="n"/>
      <c r="C93" s="26" t="n"/>
      <c r="D93" s="21" t="n"/>
      <c r="E93" s="25">
        <f>IF(B93="","",SUMIFS(Income!$E$6:$E$1005,Income!$C$6:$C$1005,B93,Income!$B$6:$B$1005,"&gt;="&amp;DATE(YEAR(TODAY()),MONTH(TODAY())-11,1)))</f>
        <v/>
      </c>
      <c r="F93" s="23">
        <f>IF(B93="","",SUMIFS(Income!$E$6:$E$1005,Income!$C$6:$C$1005,B93,Income!$B$6:$B$1005,"&gt;="&amp;DATE(YEAR(TODAY()),1,1)))</f>
        <v/>
      </c>
      <c r="G93" s="16">
        <f>IF(OR(B93="",N(D93)&lt;=0),"",E93/D93)</f>
        <v/>
      </c>
      <c r="H93" s="23">
        <f>IF(B93="","",E93/12)</f>
        <v/>
      </c>
      <c r="I93" s="1" t="n"/>
      <c r="J93">
        <f>IF(OR(B93="",N(E93)&lt;=0),"",ROUND(E93*100,0)*1000+1000-ROW())</f>
        <v/>
      </c>
    </row>
    <row r="94">
      <c r="A94" s="1" t="n"/>
      <c r="B94" s="18" t="n"/>
      <c r="C94" s="26" t="n"/>
      <c r="D94" s="21" t="n"/>
      <c r="E94" s="25">
        <f>IF(B94="","",SUMIFS(Income!$E$6:$E$1005,Income!$C$6:$C$1005,B94,Income!$B$6:$B$1005,"&gt;="&amp;DATE(YEAR(TODAY()),MONTH(TODAY())-11,1)))</f>
        <v/>
      </c>
      <c r="F94" s="23">
        <f>IF(B94="","",SUMIFS(Income!$E$6:$E$1005,Income!$C$6:$C$1005,B94,Income!$B$6:$B$1005,"&gt;="&amp;DATE(YEAR(TODAY()),1,1)))</f>
        <v/>
      </c>
      <c r="G94" s="16">
        <f>IF(OR(B94="",N(D94)&lt;=0),"",E94/D94)</f>
        <v/>
      </c>
      <c r="H94" s="23">
        <f>IF(B94="","",E94/12)</f>
        <v/>
      </c>
      <c r="I94" s="1" t="n"/>
      <c r="J94">
        <f>IF(OR(B94="",N(E94)&lt;=0),"",ROUND(E94*100,0)*1000+1000-ROW())</f>
        <v/>
      </c>
    </row>
    <row r="95">
      <c r="A95" s="1" t="n"/>
      <c r="B95" s="18" t="n"/>
      <c r="C95" s="26" t="n"/>
      <c r="D95" s="21" t="n"/>
      <c r="E95" s="25">
        <f>IF(B95="","",SUMIFS(Income!$E$6:$E$1005,Income!$C$6:$C$1005,B95,Income!$B$6:$B$1005,"&gt;="&amp;DATE(YEAR(TODAY()),MONTH(TODAY())-11,1)))</f>
        <v/>
      </c>
      <c r="F95" s="23">
        <f>IF(B95="","",SUMIFS(Income!$E$6:$E$1005,Income!$C$6:$C$1005,B95,Income!$B$6:$B$1005,"&gt;="&amp;DATE(YEAR(TODAY()),1,1)))</f>
        <v/>
      </c>
      <c r="G95" s="16">
        <f>IF(OR(B95="",N(D95)&lt;=0),"",E95/D95)</f>
        <v/>
      </c>
      <c r="H95" s="23">
        <f>IF(B95="","",E95/12)</f>
        <v/>
      </c>
      <c r="I95" s="1" t="n"/>
      <c r="J95">
        <f>IF(OR(B95="",N(E95)&lt;=0),"",ROUND(E95*100,0)*1000+1000-ROW())</f>
        <v/>
      </c>
    </row>
    <row r="96">
      <c r="A96" s="1" t="n"/>
      <c r="B96" s="18" t="n"/>
      <c r="C96" s="26" t="n"/>
      <c r="D96" s="21" t="n"/>
      <c r="E96" s="25">
        <f>IF(B96="","",SUMIFS(Income!$E$6:$E$1005,Income!$C$6:$C$1005,B96,Income!$B$6:$B$1005,"&gt;="&amp;DATE(YEAR(TODAY()),MONTH(TODAY())-11,1)))</f>
        <v/>
      </c>
      <c r="F96" s="23">
        <f>IF(B96="","",SUMIFS(Income!$E$6:$E$1005,Income!$C$6:$C$1005,B96,Income!$B$6:$B$1005,"&gt;="&amp;DATE(YEAR(TODAY()),1,1)))</f>
        <v/>
      </c>
      <c r="G96" s="16">
        <f>IF(OR(B96="",N(D96)&lt;=0),"",E96/D96)</f>
        <v/>
      </c>
      <c r="H96" s="23">
        <f>IF(B96="","",E96/12)</f>
        <v/>
      </c>
      <c r="I96" s="1" t="n"/>
      <c r="J96">
        <f>IF(OR(B96="",N(E96)&lt;=0),"",ROUND(E96*100,0)*1000+1000-ROW())</f>
        <v/>
      </c>
    </row>
    <row r="97">
      <c r="A97" s="1" t="n"/>
      <c r="B97" s="18" t="n"/>
      <c r="C97" s="26" t="n"/>
      <c r="D97" s="21" t="n"/>
      <c r="E97" s="25">
        <f>IF(B97="","",SUMIFS(Income!$E$6:$E$1005,Income!$C$6:$C$1005,B97,Income!$B$6:$B$1005,"&gt;="&amp;DATE(YEAR(TODAY()),MONTH(TODAY())-11,1)))</f>
        <v/>
      </c>
      <c r="F97" s="23">
        <f>IF(B97="","",SUMIFS(Income!$E$6:$E$1005,Income!$C$6:$C$1005,B97,Income!$B$6:$B$1005,"&gt;="&amp;DATE(YEAR(TODAY()),1,1)))</f>
        <v/>
      </c>
      <c r="G97" s="16">
        <f>IF(OR(B97="",N(D97)&lt;=0),"",E97/D97)</f>
        <v/>
      </c>
      <c r="H97" s="23">
        <f>IF(B97="","",E97/12)</f>
        <v/>
      </c>
      <c r="I97" s="1" t="n"/>
      <c r="J97">
        <f>IF(OR(B97="",N(E97)&lt;=0),"",ROUND(E97*100,0)*1000+1000-ROW())</f>
        <v/>
      </c>
    </row>
    <row r="98">
      <c r="A98" s="1" t="n"/>
      <c r="B98" s="18" t="n"/>
      <c r="C98" s="26" t="n"/>
      <c r="D98" s="21" t="n"/>
      <c r="E98" s="25">
        <f>IF(B98="","",SUMIFS(Income!$E$6:$E$1005,Income!$C$6:$C$1005,B98,Income!$B$6:$B$1005,"&gt;="&amp;DATE(YEAR(TODAY()),MONTH(TODAY())-11,1)))</f>
        <v/>
      </c>
      <c r="F98" s="23">
        <f>IF(B98="","",SUMIFS(Income!$E$6:$E$1005,Income!$C$6:$C$1005,B98,Income!$B$6:$B$1005,"&gt;="&amp;DATE(YEAR(TODAY()),1,1)))</f>
        <v/>
      </c>
      <c r="G98" s="16">
        <f>IF(OR(B98="",N(D98)&lt;=0),"",E98/D98)</f>
        <v/>
      </c>
      <c r="H98" s="23">
        <f>IF(B98="","",E98/12)</f>
        <v/>
      </c>
      <c r="I98" s="1" t="n"/>
      <c r="J98">
        <f>IF(OR(B98="",N(E98)&lt;=0),"",ROUND(E98*100,0)*1000+1000-ROW())</f>
        <v/>
      </c>
    </row>
    <row r="99">
      <c r="A99" s="1" t="n"/>
      <c r="B99" s="18" t="n"/>
      <c r="C99" s="26" t="n"/>
      <c r="D99" s="21" t="n"/>
      <c r="E99" s="25">
        <f>IF(B99="","",SUMIFS(Income!$E$6:$E$1005,Income!$C$6:$C$1005,B99,Income!$B$6:$B$1005,"&gt;="&amp;DATE(YEAR(TODAY()),MONTH(TODAY())-11,1)))</f>
        <v/>
      </c>
      <c r="F99" s="23">
        <f>IF(B99="","",SUMIFS(Income!$E$6:$E$1005,Income!$C$6:$C$1005,B99,Income!$B$6:$B$1005,"&gt;="&amp;DATE(YEAR(TODAY()),1,1)))</f>
        <v/>
      </c>
      <c r="G99" s="16">
        <f>IF(OR(B99="",N(D99)&lt;=0),"",E99/D99)</f>
        <v/>
      </c>
      <c r="H99" s="23">
        <f>IF(B99="","",E99/12)</f>
        <v/>
      </c>
      <c r="I99" s="1" t="n"/>
      <c r="J99">
        <f>IF(OR(B99="",N(E99)&lt;=0),"",ROUND(E99*100,0)*1000+1000-ROW())</f>
        <v/>
      </c>
    </row>
    <row r="100">
      <c r="A100" s="1" t="n"/>
      <c r="B100" s="18" t="n"/>
      <c r="C100" s="26" t="n"/>
      <c r="D100" s="21" t="n"/>
      <c r="E100" s="25">
        <f>IF(B100="","",SUMIFS(Income!$E$6:$E$1005,Income!$C$6:$C$1005,B100,Income!$B$6:$B$1005,"&gt;="&amp;DATE(YEAR(TODAY()),MONTH(TODAY())-11,1)))</f>
        <v/>
      </c>
      <c r="F100" s="23">
        <f>IF(B100="","",SUMIFS(Income!$E$6:$E$1005,Income!$C$6:$C$1005,B100,Income!$B$6:$B$1005,"&gt;="&amp;DATE(YEAR(TODAY()),1,1)))</f>
        <v/>
      </c>
      <c r="G100" s="16">
        <f>IF(OR(B100="",N(D100)&lt;=0),"",E100/D100)</f>
        <v/>
      </c>
      <c r="H100" s="23">
        <f>IF(B100="","",E100/12)</f>
        <v/>
      </c>
      <c r="I100" s="1" t="n"/>
      <c r="J100">
        <f>IF(OR(B100="",N(E100)&lt;=0),"",ROUND(E100*100,0)*1000+1000-ROW())</f>
        <v/>
      </c>
    </row>
    <row r="101">
      <c r="A101" s="1" t="n"/>
      <c r="B101" s="18" t="n"/>
      <c r="C101" s="26" t="n"/>
      <c r="D101" s="21" t="n"/>
      <c r="E101" s="25">
        <f>IF(B101="","",SUMIFS(Income!$E$6:$E$1005,Income!$C$6:$C$1005,B101,Income!$B$6:$B$1005,"&gt;="&amp;DATE(YEAR(TODAY()),MONTH(TODAY())-11,1)))</f>
        <v/>
      </c>
      <c r="F101" s="23">
        <f>IF(B101="","",SUMIFS(Income!$E$6:$E$1005,Income!$C$6:$C$1005,B101,Income!$B$6:$B$1005,"&gt;="&amp;DATE(YEAR(TODAY()),1,1)))</f>
        <v/>
      </c>
      <c r="G101" s="16">
        <f>IF(OR(B101="",N(D101)&lt;=0),"",E101/D101)</f>
        <v/>
      </c>
      <c r="H101" s="23">
        <f>IF(B101="","",E101/12)</f>
        <v/>
      </c>
      <c r="I101" s="1" t="n"/>
      <c r="J101">
        <f>IF(OR(B101="",N(E101)&lt;=0),"",ROUND(E101*100,0)*1000+1000-ROW())</f>
        <v/>
      </c>
    </row>
    <row r="102">
      <c r="A102" s="1" t="n"/>
      <c r="B102" s="18" t="n"/>
      <c r="C102" s="26" t="n"/>
      <c r="D102" s="21" t="n"/>
      <c r="E102" s="25">
        <f>IF(B102="","",SUMIFS(Income!$E$6:$E$1005,Income!$C$6:$C$1005,B102,Income!$B$6:$B$1005,"&gt;="&amp;DATE(YEAR(TODAY()),MONTH(TODAY())-11,1)))</f>
        <v/>
      </c>
      <c r="F102" s="23">
        <f>IF(B102="","",SUMIFS(Income!$E$6:$E$1005,Income!$C$6:$C$1005,B102,Income!$B$6:$B$1005,"&gt;="&amp;DATE(YEAR(TODAY()),1,1)))</f>
        <v/>
      </c>
      <c r="G102" s="16">
        <f>IF(OR(B102="",N(D102)&lt;=0),"",E102/D102)</f>
        <v/>
      </c>
      <c r="H102" s="23">
        <f>IF(B102="","",E102/12)</f>
        <v/>
      </c>
      <c r="I102" s="1" t="n"/>
      <c r="J102">
        <f>IF(OR(B102="",N(E102)&lt;=0),"",ROUND(E102*100,0)*1000+1000-ROW())</f>
        <v/>
      </c>
    </row>
    <row r="103">
      <c r="A103" s="1" t="n"/>
      <c r="B103" s="18" t="n"/>
      <c r="C103" s="26" t="n"/>
      <c r="D103" s="21" t="n"/>
      <c r="E103" s="25">
        <f>IF(B103="","",SUMIFS(Income!$E$6:$E$1005,Income!$C$6:$C$1005,B103,Income!$B$6:$B$1005,"&gt;="&amp;DATE(YEAR(TODAY()),MONTH(TODAY())-11,1)))</f>
        <v/>
      </c>
      <c r="F103" s="23">
        <f>IF(B103="","",SUMIFS(Income!$E$6:$E$1005,Income!$C$6:$C$1005,B103,Income!$B$6:$B$1005,"&gt;="&amp;DATE(YEAR(TODAY()),1,1)))</f>
        <v/>
      </c>
      <c r="G103" s="16">
        <f>IF(OR(B103="",N(D103)&lt;=0),"",E103/D103)</f>
        <v/>
      </c>
      <c r="H103" s="23">
        <f>IF(B103="","",E103/12)</f>
        <v/>
      </c>
      <c r="I103" s="1" t="n"/>
      <c r="J103">
        <f>IF(OR(B103="",N(E103)&lt;=0),"",ROUND(E103*100,0)*1000+1000-ROW())</f>
        <v/>
      </c>
    </row>
    <row r="104">
      <c r="A104" s="1" t="n"/>
      <c r="B104" s="18" t="n"/>
      <c r="C104" s="26" t="n"/>
      <c r="D104" s="21" t="n"/>
      <c r="E104" s="25">
        <f>IF(B104="","",SUMIFS(Income!$E$6:$E$1005,Income!$C$6:$C$1005,B104,Income!$B$6:$B$1005,"&gt;="&amp;DATE(YEAR(TODAY()),MONTH(TODAY())-11,1)))</f>
        <v/>
      </c>
      <c r="F104" s="23">
        <f>IF(B104="","",SUMIFS(Income!$E$6:$E$1005,Income!$C$6:$C$1005,B104,Income!$B$6:$B$1005,"&gt;="&amp;DATE(YEAR(TODAY()),1,1)))</f>
        <v/>
      </c>
      <c r="G104" s="16">
        <f>IF(OR(B104="",N(D104)&lt;=0),"",E104/D104)</f>
        <v/>
      </c>
      <c r="H104" s="23">
        <f>IF(B104="","",E104/12)</f>
        <v/>
      </c>
      <c r="I104" s="1" t="n"/>
      <c r="J104">
        <f>IF(OR(B104="",N(E104)&lt;=0),"",ROUND(E104*100,0)*1000+1000-ROW())</f>
        <v/>
      </c>
    </row>
    <row r="105">
      <c r="A105" s="1" t="n"/>
      <c r="B105" s="18" t="n"/>
      <c r="C105" s="26" t="n"/>
      <c r="D105" s="21" t="n"/>
      <c r="E105" s="25">
        <f>IF(B105="","",SUMIFS(Income!$E$6:$E$1005,Income!$C$6:$C$1005,B105,Income!$B$6:$B$1005,"&gt;="&amp;DATE(YEAR(TODAY()),MONTH(TODAY())-11,1)))</f>
        <v/>
      </c>
      <c r="F105" s="23">
        <f>IF(B105="","",SUMIFS(Income!$E$6:$E$1005,Income!$C$6:$C$1005,B105,Income!$B$6:$B$1005,"&gt;="&amp;DATE(YEAR(TODAY()),1,1)))</f>
        <v/>
      </c>
      <c r="G105" s="16">
        <f>IF(OR(B105="",N(D105)&lt;=0),"",E105/D105)</f>
        <v/>
      </c>
      <c r="H105" s="23">
        <f>IF(B105="","",E105/12)</f>
        <v/>
      </c>
      <c r="I105" s="1" t="n"/>
      <c r="J105">
        <f>IF(OR(B105="",N(E105)&lt;=0),"",ROUND(E105*100,0)*1000+1000-ROW())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12" customWidth="1" min="4" max="4"/>
    <col width="12" customWidth="1" min="5" max="5"/>
    <col width="28" customWidth="1" min="6" max="6"/>
    <col hidden="1" width="1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Income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Each dividend, interest payment or rent as it comes in.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8" t="inlineStr">
        <is>
          <t>Date</t>
        </is>
      </c>
      <c r="C5" s="8" t="inlineStr">
        <is>
          <t>From</t>
        </is>
      </c>
      <c r="D5" s="8" t="inlineStr">
        <is>
          <t>Type</t>
        </is>
      </c>
      <c r="E5" s="8" t="inlineStr">
        <is>
          <t>Amount</t>
        </is>
      </c>
      <c r="F5" s="8" t="inlineStr">
        <is>
          <t>Note</t>
        </is>
      </c>
      <c r="G5" s="1" t="n"/>
    </row>
    <row r="6">
      <c r="A6" s="1" t="n"/>
      <c r="B6" s="27" t="n">
        <v>45931</v>
      </c>
      <c r="C6" s="18" t="inlineStr">
        <is>
          <t>Spare room</t>
        </is>
      </c>
      <c r="D6" s="19" t="inlineStr">
        <is>
          <t>Rent</t>
        </is>
      </c>
      <c r="E6" s="21" t="n">
        <v>300</v>
      </c>
      <c r="F6" s="26" t="n"/>
      <c r="G6" s="1">
        <f>IF(NOT(ISNUMBER(B6)),"",YEAR(B6)*100+MONTH(B6))</f>
        <v/>
      </c>
    </row>
    <row r="7">
      <c r="A7" s="1" t="n"/>
      <c r="B7" s="27" t="n">
        <v>45935</v>
      </c>
      <c r="C7" s="18" t="inlineStr">
        <is>
          <t>Property fund</t>
        </is>
      </c>
      <c r="D7" s="19" t="inlineStr">
        <is>
          <t>Dividend</t>
        </is>
      </c>
      <c r="E7" s="21" t="n">
        <v>42</v>
      </c>
      <c r="F7" s="26" t="n"/>
      <c r="G7" s="1">
        <f>IF(NOT(ISNUMBER(B7)),"",YEAR(B7)*100+MONTH(B7))</f>
        <v/>
      </c>
    </row>
    <row r="8">
      <c r="A8" s="1" t="n"/>
      <c r="B8" s="27" t="n">
        <v>45958</v>
      </c>
      <c r="C8" s="18" t="inlineStr">
        <is>
          <t>Bond fund</t>
        </is>
      </c>
      <c r="D8" s="19" t="inlineStr">
        <is>
          <t>Dividend</t>
        </is>
      </c>
      <c r="E8" s="21" t="n">
        <v>55</v>
      </c>
      <c r="F8" s="26" t="n"/>
      <c r="G8" s="1">
        <f>IF(NOT(ISNUMBER(B8)),"",YEAR(B8)*100+MONTH(B8))</f>
        <v/>
      </c>
    </row>
    <row r="9">
      <c r="A9" s="1" t="n"/>
      <c r="B9" s="27" t="n">
        <v>45961</v>
      </c>
      <c r="C9" s="18" t="inlineStr">
        <is>
          <t>High yield savings</t>
        </is>
      </c>
      <c r="D9" s="19" t="inlineStr">
        <is>
          <t>Interest</t>
        </is>
      </c>
      <c r="E9" s="21" t="n">
        <v>33</v>
      </c>
      <c r="F9" s="26" t="n"/>
      <c r="G9" s="1">
        <f>IF(NOT(ISNUMBER(B9)),"",YEAR(B9)*100+MONTH(B9))</f>
        <v/>
      </c>
    </row>
    <row r="10">
      <c r="A10" s="1" t="n"/>
      <c r="B10" s="27" t="n">
        <v>45962</v>
      </c>
      <c r="C10" s="18" t="inlineStr">
        <is>
          <t>Spare room</t>
        </is>
      </c>
      <c r="D10" s="19" t="inlineStr">
        <is>
          <t>Rent</t>
        </is>
      </c>
      <c r="E10" s="21" t="n">
        <v>300</v>
      </c>
      <c r="F10" s="26" t="n"/>
      <c r="G10" s="1">
        <f>IF(NOT(ISNUMBER(B10)),"",YEAR(B10)*100+MONTH(B10))</f>
        <v/>
      </c>
    </row>
    <row r="11">
      <c r="A11" s="1" t="n"/>
      <c r="B11" s="27" t="n">
        <v>45966</v>
      </c>
      <c r="C11" s="18" t="inlineStr">
        <is>
          <t>Property fund</t>
        </is>
      </c>
      <c r="D11" s="19" t="inlineStr">
        <is>
          <t>Dividend</t>
        </is>
      </c>
      <c r="E11" s="21" t="n">
        <v>42</v>
      </c>
      <c r="F11" s="26" t="n"/>
      <c r="G11" s="1">
        <f>IF(NOT(ISNUMBER(B11)),"",YEAR(B11)*100+MONTH(B11))</f>
        <v/>
      </c>
    </row>
    <row r="12">
      <c r="A12" s="1" t="n"/>
      <c r="B12" s="27" t="n">
        <v>45989</v>
      </c>
      <c r="C12" s="18" t="inlineStr">
        <is>
          <t>Bond fund</t>
        </is>
      </c>
      <c r="D12" s="19" t="inlineStr">
        <is>
          <t>Dividend</t>
        </is>
      </c>
      <c r="E12" s="21" t="n">
        <v>55</v>
      </c>
      <c r="F12" s="26" t="n"/>
      <c r="G12" s="1">
        <f>IF(NOT(ISNUMBER(B12)),"",YEAR(B12)*100+MONTH(B12))</f>
        <v/>
      </c>
    </row>
    <row r="13">
      <c r="A13" s="1" t="n"/>
      <c r="B13" s="27" t="n">
        <v>45991</v>
      </c>
      <c r="C13" s="18" t="inlineStr">
        <is>
          <t>High yield savings</t>
        </is>
      </c>
      <c r="D13" s="19" t="inlineStr">
        <is>
          <t>Interest</t>
        </is>
      </c>
      <c r="E13" s="21" t="n">
        <v>33.4</v>
      </c>
      <c r="F13" s="26" t="n"/>
      <c r="G13" s="1">
        <f>IF(NOT(ISNUMBER(B13)),"",YEAR(B13)*100+MONTH(B13))</f>
        <v/>
      </c>
    </row>
    <row r="14">
      <c r="A14" s="1" t="n"/>
      <c r="B14" s="27" t="n">
        <v>45992</v>
      </c>
      <c r="C14" s="18" t="inlineStr">
        <is>
          <t>Spare room</t>
        </is>
      </c>
      <c r="D14" s="19" t="inlineStr">
        <is>
          <t>Rent</t>
        </is>
      </c>
      <c r="E14" s="21" t="n">
        <v>300</v>
      </c>
      <c r="F14" s="26" t="n"/>
      <c r="G14" s="1">
        <f>IF(NOT(ISNUMBER(B14)),"",YEAR(B14)*100+MONTH(B14))</f>
        <v/>
      </c>
    </row>
    <row r="15">
      <c r="A15" s="1" t="n"/>
      <c r="B15" s="27" t="n">
        <v>45996</v>
      </c>
      <c r="C15" s="18" t="inlineStr">
        <is>
          <t>Property fund</t>
        </is>
      </c>
      <c r="D15" s="19" t="inlineStr">
        <is>
          <t>Dividend</t>
        </is>
      </c>
      <c r="E15" s="21" t="n">
        <v>42</v>
      </c>
      <c r="F15" s="26" t="n"/>
      <c r="G15" s="1">
        <f>IF(NOT(ISNUMBER(B15)),"",YEAR(B15)*100+MONTH(B15))</f>
        <v/>
      </c>
    </row>
    <row r="16">
      <c r="A16" s="1" t="n"/>
      <c r="B16" s="27" t="n">
        <v>46006</v>
      </c>
      <c r="C16" s="18" t="inlineStr">
        <is>
          <t>Utility shares</t>
        </is>
      </c>
      <c r="D16" s="19" t="inlineStr">
        <is>
          <t>Dividend</t>
        </is>
      </c>
      <c r="E16" s="21" t="n">
        <v>95</v>
      </c>
      <c r="F16" s="26" t="n"/>
      <c r="G16" s="1">
        <f>IF(NOT(ISNUMBER(B16)),"",YEAR(B16)*100+MONTH(B16))</f>
        <v/>
      </c>
    </row>
    <row r="17">
      <c r="A17" s="1" t="n"/>
      <c r="B17" s="27" t="n">
        <v>46011</v>
      </c>
      <c r="C17" s="18" t="inlineStr">
        <is>
          <t>Dividend fund</t>
        </is>
      </c>
      <c r="D17" s="19" t="inlineStr">
        <is>
          <t>Dividend</t>
        </is>
      </c>
      <c r="E17" s="21" t="n">
        <v>175</v>
      </c>
      <c r="F17" s="26" t="n"/>
      <c r="G17" s="1">
        <f>IF(NOT(ISNUMBER(B17)),"",YEAR(B17)*100+MONTH(B17))</f>
        <v/>
      </c>
    </row>
    <row r="18">
      <c r="A18" s="1" t="n"/>
      <c r="B18" s="27" t="n">
        <v>46015</v>
      </c>
      <c r="C18" s="18" t="inlineStr">
        <is>
          <t>Total market fund</t>
        </is>
      </c>
      <c r="D18" s="19" t="inlineStr">
        <is>
          <t>Dividend</t>
        </is>
      </c>
      <c r="E18" s="21" t="n">
        <v>206</v>
      </c>
      <c r="F18" s="26" t="n"/>
      <c r="G18" s="1">
        <f>IF(NOT(ISNUMBER(B18)),"",YEAR(B18)*100+MONTH(B18))</f>
        <v/>
      </c>
    </row>
    <row r="19">
      <c r="A19" s="1" t="n"/>
      <c r="B19" s="27" t="n">
        <v>46019</v>
      </c>
      <c r="C19" s="18" t="inlineStr">
        <is>
          <t>Bond fund</t>
        </is>
      </c>
      <c r="D19" s="19" t="inlineStr">
        <is>
          <t>Dividend</t>
        </is>
      </c>
      <c r="E19" s="21" t="n">
        <v>55</v>
      </c>
      <c r="F19" s="26" t="n"/>
      <c r="G19" s="1">
        <f>IF(NOT(ISNUMBER(B19)),"",YEAR(B19)*100+MONTH(B19))</f>
        <v/>
      </c>
    </row>
    <row r="20">
      <c r="A20" s="1" t="n"/>
      <c r="B20" s="27" t="n">
        <v>46022</v>
      </c>
      <c r="C20" s="18" t="inlineStr">
        <is>
          <t>High yield savings</t>
        </is>
      </c>
      <c r="D20" s="19" t="inlineStr">
        <is>
          <t>Interest</t>
        </is>
      </c>
      <c r="E20" s="21" t="n">
        <v>33.8</v>
      </c>
      <c r="F20" s="26" t="n"/>
      <c r="G20" s="1">
        <f>IF(NOT(ISNUMBER(B20)),"",YEAR(B20)*100+MONTH(B20))</f>
        <v/>
      </c>
    </row>
    <row r="21">
      <c r="A21" s="1" t="n"/>
      <c r="B21" s="27" t="n">
        <v>46023</v>
      </c>
      <c r="C21" s="18" t="inlineStr">
        <is>
          <t>Spare room</t>
        </is>
      </c>
      <c r="D21" s="19" t="inlineStr">
        <is>
          <t>Rent</t>
        </is>
      </c>
      <c r="E21" s="21" t="n">
        <v>300</v>
      </c>
      <c r="F21" s="26" t="n"/>
      <c r="G21" s="1">
        <f>IF(NOT(ISNUMBER(B21)),"",YEAR(B21)*100+MONTH(B21))</f>
        <v/>
      </c>
    </row>
    <row r="22">
      <c r="A22" s="1" t="n"/>
      <c r="B22" s="27" t="n">
        <v>46027</v>
      </c>
      <c r="C22" s="18" t="inlineStr">
        <is>
          <t>Property fund</t>
        </is>
      </c>
      <c r="D22" s="19" t="inlineStr">
        <is>
          <t>Dividend</t>
        </is>
      </c>
      <c r="E22" s="21" t="n">
        <v>42</v>
      </c>
      <c r="F22" s="26" t="n"/>
      <c r="G22" s="1">
        <f>IF(NOT(ISNUMBER(B22)),"",YEAR(B22)*100+MONTH(B22))</f>
        <v/>
      </c>
    </row>
    <row r="23">
      <c r="A23" s="1" t="n"/>
      <c r="B23" s="27" t="n">
        <v>46050</v>
      </c>
      <c r="C23" s="18" t="inlineStr">
        <is>
          <t>Bond fund</t>
        </is>
      </c>
      <c r="D23" s="19" t="inlineStr">
        <is>
          <t>Dividend</t>
        </is>
      </c>
      <c r="E23" s="21" t="n">
        <v>55</v>
      </c>
      <c r="F23" s="26" t="n"/>
      <c r="G23" s="1">
        <f>IF(NOT(ISNUMBER(B23)),"",YEAR(B23)*100+MONTH(B23))</f>
        <v/>
      </c>
    </row>
    <row r="24">
      <c r="A24" s="1" t="n"/>
      <c r="B24" s="27" t="n">
        <v>46053</v>
      </c>
      <c r="C24" s="18" t="inlineStr">
        <is>
          <t>High yield savings</t>
        </is>
      </c>
      <c r="D24" s="19" t="inlineStr">
        <is>
          <t>Interest</t>
        </is>
      </c>
      <c r="E24" s="21" t="n">
        <v>34.2</v>
      </c>
      <c r="F24" s="26" t="n"/>
      <c r="G24" s="1">
        <f>IF(NOT(ISNUMBER(B24)),"",YEAR(B24)*100+MONTH(B24))</f>
        <v/>
      </c>
    </row>
    <row r="25">
      <c r="A25" s="1" t="n"/>
      <c r="B25" s="27" t="n">
        <v>46054</v>
      </c>
      <c r="C25" s="18" t="inlineStr">
        <is>
          <t>Spare room</t>
        </is>
      </c>
      <c r="D25" s="19" t="inlineStr">
        <is>
          <t>Rent</t>
        </is>
      </c>
      <c r="E25" s="21" t="n">
        <v>300</v>
      </c>
      <c r="F25" s="26" t="n"/>
      <c r="G25" s="1">
        <f>IF(NOT(ISNUMBER(B25)),"",YEAR(B25)*100+MONTH(B25))</f>
        <v/>
      </c>
    </row>
    <row r="26">
      <c r="A26" s="1" t="n"/>
      <c r="B26" s="27" t="n">
        <v>46058</v>
      </c>
      <c r="C26" s="18" t="inlineStr">
        <is>
          <t>Property fund</t>
        </is>
      </c>
      <c r="D26" s="19" t="inlineStr">
        <is>
          <t>Dividend</t>
        </is>
      </c>
      <c r="E26" s="21" t="n">
        <v>42</v>
      </c>
      <c r="F26" s="26" t="n"/>
      <c r="G26" s="1">
        <f>IF(NOT(ISNUMBER(B26)),"",YEAR(B26)*100+MONTH(B26))</f>
        <v/>
      </c>
    </row>
    <row r="27">
      <c r="A27" s="1" t="n"/>
      <c r="B27" s="27" t="n">
        <v>46063</v>
      </c>
      <c r="C27" s="18" t="inlineStr">
        <is>
          <t>Bank shares</t>
        </is>
      </c>
      <c r="D27" s="19" t="inlineStr">
        <is>
          <t>Dividend</t>
        </is>
      </c>
      <c r="E27" s="21" t="n">
        <v>140</v>
      </c>
      <c r="F27" s="26" t="n"/>
      <c r="G27" s="1">
        <f>IF(NOT(ISNUMBER(B27)),"",YEAR(B27)*100+MONTH(B27))</f>
        <v/>
      </c>
    </row>
    <row r="28">
      <c r="A28" s="1" t="n"/>
      <c r="B28" s="27" t="n">
        <v>46081</v>
      </c>
      <c r="C28" s="18" t="inlineStr">
        <is>
          <t>Bond fund</t>
        </is>
      </c>
      <c r="D28" s="19" t="inlineStr">
        <is>
          <t>Dividend</t>
        </is>
      </c>
      <c r="E28" s="21" t="n">
        <v>55</v>
      </c>
      <c r="F28" s="26" t="n"/>
      <c r="G28" s="1">
        <f>IF(NOT(ISNUMBER(B28)),"",YEAR(B28)*100+MONTH(B28))</f>
        <v/>
      </c>
    </row>
    <row r="29">
      <c r="A29" s="1" t="n"/>
      <c r="B29" s="27" t="n">
        <v>46081</v>
      </c>
      <c r="C29" s="18" t="inlineStr">
        <is>
          <t>High yield savings</t>
        </is>
      </c>
      <c r="D29" s="19" t="inlineStr">
        <is>
          <t>Interest</t>
        </is>
      </c>
      <c r="E29" s="21" t="n">
        <v>34.6</v>
      </c>
      <c r="F29" s="26" t="n"/>
      <c r="G29" s="1">
        <f>IF(NOT(ISNUMBER(B29)),"",YEAR(B29)*100+MONTH(B29))</f>
        <v/>
      </c>
    </row>
    <row r="30">
      <c r="A30" s="1" t="n"/>
      <c r="B30" s="27" t="n">
        <v>46082</v>
      </c>
      <c r="C30" s="18" t="inlineStr">
        <is>
          <t>Spare room</t>
        </is>
      </c>
      <c r="D30" s="19" t="inlineStr">
        <is>
          <t>Rent</t>
        </is>
      </c>
      <c r="E30" s="21" t="n">
        <v>300</v>
      </c>
      <c r="F30" s="26" t="n"/>
      <c r="G30" s="1">
        <f>IF(NOT(ISNUMBER(B30)),"",YEAR(B30)*100+MONTH(B30))</f>
        <v/>
      </c>
    </row>
    <row r="31">
      <c r="A31" s="1" t="n"/>
      <c r="B31" s="27" t="n">
        <v>46086</v>
      </c>
      <c r="C31" s="18" t="inlineStr">
        <is>
          <t>Property fund</t>
        </is>
      </c>
      <c r="D31" s="19" t="inlineStr">
        <is>
          <t>Dividend</t>
        </is>
      </c>
      <c r="E31" s="21" t="n">
        <v>42</v>
      </c>
      <c r="F31" s="26" t="n"/>
      <c r="G31" s="1">
        <f>IF(NOT(ISNUMBER(B31)),"",YEAR(B31)*100+MONTH(B31))</f>
        <v/>
      </c>
    </row>
    <row r="32">
      <c r="A32" s="1" t="n"/>
      <c r="B32" s="27" t="n">
        <v>46096</v>
      </c>
      <c r="C32" s="18" t="inlineStr">
        <is>
          <t>Utility shares</t>
        </is>
      </c>
      <c r="D32" s="19" t="inlineStr">
        <is>
          <t>Dividend</t>
        </is>
      </c>
      <c r="E32" s="21" t="n">
        <v>95</v>
      </c>
      <c r="F32" s="26" t="n"/>
      <c r="G32" s="1">
        <f>IF(NOT(ISNUMBER(B32)),"",YEAR(B32)*100+MONTH(B32))</f>
        <v/>
      </c>
    </row>
    <row r="33">
      <c r="A33" s="1" t="n"/>
      <c r="B33" s="27" t="n">
        <v>46101</v>
      </c>
      <c r="C33" s="18" t="inlineStr">
        <is>
          <t>Dividend fund</t>
        </is>
      </c>
      <c r="D33" s="19" t="inlineStr">
        <is>
          <t>Dividend</t>
        </is>
      </c>
      <c r="E33" s="21" t="n">
        <v>182.5</v>
      </c>
      <c r="F33" s="26" t="n"/>
      <c r="G33" s="1">
        <f>IF(NOT(ISNUMBER(B33)),"",YEAR(B33)*100+MONTH(B33))</f>
        <v/>
      </c>
    </row>
    <row r="34">
      <c r="A34" s="1" t="n"/>
      <c r="B34" s="27" t="n">
        <v>46105</v>
      </c>
      <c r="C34" s="18" t="inlineStr">
        <is>
          <t>Total market fund</t>
        </is>
      </c>
      <c r="D34" s="19" t="inlineStr">
        <is>
          <t>Dividend</t>
        </is>
      </c>
      <c r="E34" s="21" t="n">
        <v>215</v>
      </c>
      <c r="F34" s="26" t="n"/>
      <c r="G34" s="1">
        <f>IF(NOT(ISNUMBER(B34)),"",YEAR(B34)*100+MONTH(B34))</f>
        <v/>
      </c>
    </row>
    <row r="35">
      <c r="A35" s="1" t="n"/>
      <c r="B35" s="27" t="n">
        <v>46109</v>
      </c>
      <c r="C35" s="18" t="inlineStr">
        <is>
          <t>Bond fund</t>
        </is>
      </c>
      <c r="D35" s="19" t="inlineStr">
        <is>
          <t>Dividend</t>
        </is>
      </c>
      <c r="E35" s="21" t="n">
        <v>55</v>
      </c>
      <c r="F35" s="26" t="n"/>
      <c r="G35" s="1">
        <f>IF(NOT(ISNUMBER(B35)),"",YEAR(B35)*100+MONTH(B35))</f>
        <v/>
      </c>
    </row>
    <row r="36">
      <c r="A36" s="1" t="n"/>
      <c r="B36" s="27" t="n">
        <v>46112</v>
      </c>
      <c r="C36" s="18" t="inlineStr">
        <is>
          <t>High yield savings</t>
        </is>
      </c>
      <c r="D36" s="19" t="inlineStr">
        <is>
          <t>Interest</t>
        </is>
      </c>
      <c r="E36" s="21" t="n">
        <v>35</v>
      </c>
      <c r="F36" s="26" t="n"/>
      <c r="G36" s="1">
        <f>IF(NOT(ISNUMBER(B36)),"",YEAR(B36)*100+MONTH(B36))</f>
        <v/>
      </c>
    </row>
    <row r="37">
      <c r="A37" s="1" t="n"/>
      <c r="B37" s="27" t="n">
        <v>46113</v>
      </c>
      <c r="C37" s="18" t="inlineStr">
        <is>
          <t>Spare room</t>
        </is>
      </c>
      <c r="D37" s="19" t="inlineStr">
        <is>
          <t>Rent</t>
        </is>
      </c>
      <c r="E37" s="21" t="n">
        <v>300</v>
      </c>
      <c r="F37" s="26" t="n"/>
      <c r="G37" s="1">
        <f>IF(NOT(ISNUMBER(B37)),"",YEAR(B37)*100+MONTH(B37))</f>
        <v/>
      </c>
    </row>
    <row r="38">
      <c r="A38" s="1" t="n"/>
      <c r="B38" s="27" t="n">
        <v>46117</v>
      </c>
      <c r="C38" s="18" t="inlineStr">
        <is>
          <t>Property fund</t>
        </is>
      </c>
      <c r="D38" s="19" t="inlineStr">
        <is>
          <t>Dividend</t>
        </is>
      </c>
      <c r="E38" s="21" t="n">
        <v>42</v>
      </c>
      <c r="F38" s="26" t="n"/>
      <c r="G38" s="1">
        <f>IF(NOT(ISNUMBER(B38)),"",YEAR(B38)*100+MONTH(B38))</f>
        <v/>
      </c>
    </row>
    <row r="39">
      <c r="A39" s="1" t="n"/>
      <c r="B39" s="27" t="n">
        <v>46140</v>
      </c>
      <c r="C39" s="18" t="inlineStr">
        <is>
          <t>Bond fund</t>
        </is>
      </c>
      <c r="D39" s="19" t="inlineStr">
        <is>
          <t>Dividend</t>
        </is>
      </c>
      <c r="E39" s="21" t="n">
        <v>55</v>
      </c>
      <c r="F39" s="26" t="n"/>
      <c r="G39" s="1">
        <f>IF(NOT(ISNUMBER(B39)),"",YEAR(B39)*100+MONTH(B39))</f>
        <v/>
      </c>
    </row>
    <row r="40">
      <c r="A40" s="1" t="n"/>
      <c r="B40" s="27" t="n">
        <v>46142</v>
      </c>
      <c r="C40" s="18" t="inlineStr">
        <is>
          <t>High yield savings</t>
        </is>
      </c>
      <c r="D40" s="19" t="inlineStr">
        <is>
          <t>Interest</t>
        </is>
      </c>
      <c r="E40" s="21" t="n">
        <v>35.4</v>
      </c>
      <c r="F40" s="26" t="n"/>
      <c r="G40" s="1">
        <f>IF(NOT(ISNUMBER(B40)),"",YEAR(B40)*100+MONTH(B40))</f>
        <v/>
      </c>
    </row>
    <row r="41">
      <c r="A41" s="1" t="n"/>
      <c r="B41" s="27" t="n">
        <v>46143</v>
      </c>
      <c r="C41" s="18" t="inlineStr">
        <is>
          <t>Spare room</t>
        </is>
      </c>
      <c r="D41" s="19" t="inlineStr">
        <is>
          <t>Rent</t>
        </is>
      </c>
      <c r="E41" s="21" t="n">
        <v>300</v>
      </c>
      <c r="F41" s="26" t="n"/>
      <c r="G41" s="1">
        <f>IF(NOT(ISNUMBER(B41)),"",YEAR(B41)*100+MONTH(B41))</f>
        <v/>
      </c>
    </row>
    <row r="42">
      <c r="A42" s="1" t="n"/>
      <c r="B42" s="27" t="n">
        <v>46147</v>
      </c>
      <c r="C42" s="18" t="inlineStr">
        <is>
          <t>Property fund</t>
        </is>
      </c>
      <c r="D42" s="19" t="inlineStr">
        <is>
          <t>Dividend</t>
        </is>
      </c>
      <c r="E42" s="21" t="n">
        <v>42</v>
      </c>
      <c r="F42" s="26" t="n"/>
      <c r="G42" s="1">
        <f>IF(NOT(ISNUMBER(B42)),"",YEAR(B42)*100+MONTH(B42))</f>
        <v/>
      </c>
    </row>
    <row r="43">
      <c r="A43" s="1" t="n"/>
      <c r="B43" s="27" t="n">
        <v>46170</v>
      </c>
      <c r="C43" s="18" t="inlineStr">
        <is>
          <t>Bond fund</t>
        </is>
      </c>
      <c r="D43" s="19" t="inlineStr">
        <is>
          <t>Dividend</t>
        </is>
      </c>
      <c r="E43" s="21" t="n">
        <v>55</v>
      </c>
      <c r="F43" s="26" t="n"/>
      <c r="G43" s="1">
        <f>IF(NOT(ISNUMBER(B43)),"",YEAR(B43)*100+MONTH(B43))</f>
        <v/>
      </c>
    </row>
    <row r="44">
      <c r="A44" s="1" t="n"/>
      <c r="B44" s="27" t="n">
        <v>46173</v>
      </c>
      <c r="C44" s="18" t="inlineStr">
        <is>
          <t>High yield savings</t>
        </is>
      </c>
      <c r="D44" s="19" t="inlineStr">
        <is>
          <t>Interest</t>
        </is>
      </c>
      <c r="E44" s="21" t="n">
        <v>35.8</v>
      </c>
      <c r="F44" s="26" t="n"/>
      <c r="G44" s="1">
        <f>IF(NOT(ISNUMBER(B44)),"",YEAR(B44)*100+MONTH(B44))</f>
        <v/>
      </c>
    </row>
    <row r="45">
      <c r="A45" s="1" t="n"/>
      <c r="B45" s="27" t="n">
        <v>46174</v>
      </c>
      <c r="C45" s="18" t="inlineStr">
        <is>
          <t>Spare room</t>
        </is>
      </c>
      <c r="D45" s="19" t="inlineStr">
        <is>
          <t>Rent</t>
        </is>
      </c>
      <c r="E45" s="21" t="n">
        <v>300</v>
      </c>
      <c r="F45" s="26" t="n"/>
      <c r="G45" s="1">
        <f>IF(NOT(ISNUMBER(B45)),"",YEAR(B45)*100+MONTH(B45))</f>
        <v/>
      </c>
    </row>
    <row r="46">
      <c r="A46" s="1" t="n"/>
      <c r="B46" s="27" t="n">
        <v>46178</v>
      </c>
      <c r="C46" s="18" t="inlineStr">
        <is>
          <t>Property fund</t>
        </is>
      </c>
      <c r="D46" s="19" t="inlineStr">
        <is>
          <t>Dividend</t>
        </is>
      </c>
      <c r="E46" s="21" t="n">
        <v>42</v>
      </c>
      <c r="F46" s="26" t="n"/>
      <c r="G46" s="1">
        <f>IF(NOT(ISNUMBER(B46)),"",YEAR(B46)*100+MONTH(B46))</f>
        <v/>
      </c>
    </row>
    <row r="47">
      <c r="A47" s="1" t="n"/>
      <c r="B47" s="27" t="n">
        <v>46188</v>
      </c>
      <c r="C47" s="18" t="inlineStr">
        <is>
          <t>Utility shares</t>
        </is>
      </c>
      <c r="D47" s="19" t="inlineStr">
        <is>
          <t>Dividend</t>
        </is>
      </c>
      <c r="E47" s="21" t="n">
        <v>95</v>
      </c>
      <c r="F47" s="26" t="n"/>
      <c r="G47" s="1">
        <f>IF(NOT(ISNUMBER(B47)),"",YEAR(B47)*100+MONTH(B47))</f>
        <v/>
      </c>
    </row>
    <row r="48">
      <c r="A48" s="1" t="n"/>
      <c r="B48" s="27" t="n">
        <v>46193</v>
      </c>
      <c r="C48" s="18" t="inlineStr">
        <is>
          <t>Dividend fund</t>
        </is>
      </c>
      <c r="D48" s="19" t="inlineStr">
        <is>
          <t>Dividend</t>
        </is>
      </c>
      <c r="E48" s="21" t="n">
        <v>190</v>
      </c>
      <c r="F48" s="26" t="n"/>
      <c r="G48" s="1">
        <f>IF(NOT(ISNUMBER(B48)),"",YEAR(B48)*100+MONTH(B48))</f>
        <v/>
      </c>
    </row>
    <row r="49">
      <c r="A49" s="1" t="n"/>
      <c r="B49" s="27" t="n">
        <v>46197</v>
      </c>
      <c r="C49" s="18" t="inlineStr">
        <is>
          <t>Total market fund</t>
        </is>
      </c>
      <c r="D49" s="19" t="inlineStr">
        <is>
          <t>Dividend</t>
        </is>
      </c>
      <c r="E49" s="21" t="n">
        <v>224</v>
      </c>
      <c r="F49" s="26" t="n"/>
      <c r="G49" s="1">
        <f>IF(NOT(ISNUMBER(B49)),"",YEAR(B49)*100+MONTH(B49))</f>
        <v/>
      </c>
    </row>
    <row r="50">
      <c r="A50" s="1" t="n"/>
      <c r="B50" s="27" t="n">
        <v>46201</v>
      </c>
      <c r="C50" s="18" t="inlineStr">
        <is>
          <t>Bond fund</t>
        </is>
      </c>
      <c r="D50" s="19" t="inlineStr">
        <is>
          <t>Dividend</t>
        </is>
      </c>
      <c r="E50" s="21" t="n">
        <v>55</v>
      </c>
      <c r="F50" s="26" t="n"/>
      <c r="G50" s="1">
        <f>IF(NOT(ISNUMBER(B50)),"",YEAR(B50)*100+MONTH(B50))</f>
        <v/>
      </c>
    </row>
    <row r="51">
      <c r="A51" s="1" t="n"/>
      <c r="B51" s="27" t="n">
        <v>46203</v>
      </c>
      <c r="C51" s="18" t="inlineStr">
        <is>
          <t>High yield savings</t>
        </is>
      </c>
      <c r="D51" s="19" t="inlineStr">
        <is>
          <t>Interest</t>
        </is>
      </c>
      <c r="E51" s="21" t="n">
        <v>36.2</v>
      </c>
      <c r="F51" s="26" t="n"/>
      <c r="G51" s="1">
        <f>IF(NOT(ISNUMBER(B51)),"",YEAR(B51)*100+MONTH(B51))</f>
        <v/>
      </c>
    </row>
    <row r="52">
      <c r="A52" s="1" t="n"/>
      <c r="B52" s="27" t="n">
        <v>46204</v>
      </c>
      <c r="C52" s="18" t="inlineStr">
        <is>
          <t>Spare room</t>
        </is>
      </c>
      <c r="D52" s="19" t="inlineStr">
        <is>
          <t>Rent</t>
        </is>
      </c>
      <c r="E52" s="21" t="n">
        <v>300</v>
      </c>
      <c r="F52" s="26" t="n"/>
      <c r="G52" s="1">
        <f>IF(NOT(ISNUMBER(B52)),"",YEAR(B52)*100+MONTH(B52))</f>
        <v/>
      </c>
    </row>
    <row r="53">
      <c r="A53" s="1" t="n"/>
      <c r="B53" s="27" t="n">
        <v>46208</v>
      </c>
      <c r="C53" s="18" t="inlineStr">
        <is>
          <t>Property fund</t>
        </is>
      </c>
      <c r="D53" s="19" t="inlineStr">
        <is>
          <t>Dividend</t>
        </is>
      </c>
      <c r="E53" s="21" t="n">
        <v>42</v>
      </c>
      <c r="F53" s="26" t="n"/>
      <c r="G53" s="1">
        <f>IF(NOT(ISNUMBER(B53)),"",YEAR(B53)*100+MONTH(B53))</f>
        <v/>
      </c>
    </row>
    <row r="54">
      <c r="A54" s="1" t="n"/>
      <c r="B54" s="27" t="n">
        <v>46231</v>
      </c>
      <c r="C54" s="18" t="inlineStr">
        <is>
          <t>Bond fund</t>
        </is>
      </c>
      <c r="D54" s="19" t="inlineStr">
        <is>
          <t>Dividend</t>
        </is>
      </c>
      <c r="E54" s="21" t="n">
        <v>55</v>
      </c>
      <c r="F54" s="26" t="n"/>
      <c r="G54" s="1">
        <f>IF(NOT(ISNUMBER(B54)),"",YEAR(B54)*100+MONTH(B54))</f>
        <v/>
      </c>
    </row>
    <row r="55">
      <c r="A55" s="1" t="n"/>
      <c r="B55" s="27" t="n">
        <v>46234</v>
      </c>
      <c r="C55" s="18" t="inlineStr">
        <is>
          <t>High yield savings</t>
        </is>
      </c>
      <c r="D55" s="19" t="inlineStr">
        <is>
          <t>Interest</t>
        </is>
      </c>
      <c r="E55" s="21" t="n">
        <v>36.6</v>
      </c>
      <c r="F55" s="26" t="n"/>
      <c r="G55" s="1">
        <f>IF(NOT(ISNUMBER(B55)),"",YEAR(B55)*100+MONTH(B55))</f>
        <v/>
      </c>
    </row>
    <row r="56">
      <c r="A56" s="1" t="n"/>
      <c r="B56" s="27" t="n">
        <v>46235</v>
      </c>
      <c r="C56" s="18" t="inlineStr">
        <is>
          <t>Spare room</t>
        </is>
      </c>
      <c r="D56" s="19" t="inlineStr">
        <is>
          <t>Rent</t>
        </is>
      </c>
      <c r="E56" s="21" t="n">
        <v>300</v>
      </c>
      <c r="F56" s="26" t="n"/>
      <c r="G56" s="1">
        <f>IF(NOT(ISNUMBER(B56)),"",YEAR(B56)*100+MONTH(B56))</f>
        <v/>
      </c>
    </row>
    <row r="57">
      <c r="A57" s="1" t="n"/>
      <c r="B57" s="27" t="n">
        <v>46239</v>
      </c>
      <c r="C57" s="18" t="inlineStr">
        <is>
          <t>Property fund</t>
        </is>
      </c>
      <c r="D57" s="19" t="inlineStr">
        <is>
          <t>Dividend</t>
        </is>
      </c>
      <c r="E57" s="21" t="n">
        <v>42</v>
      </c>
      <c r="F57" s="26" t="n"/>
      <c r="G57" s="1">
        <f>IF(NOT(ISNUMBER(B57)),"",YEAR(B57)*100+MONTH(B57))</f>
        <v/>
      </c>
    </row>
    <row r="58">
      <c r="A58" s="1" t="n"/>
      <c r="B58" s="27" t="n">
        <v>46244</v>
      </c>
      <c r="C58" s="18" t="inlineStr">
        <is>
          <t>Bank shares</t>
        </is>
      </c>
      <c r="D58" s="19" t="inlineStr">
        <is>
          <t>Dividend</t>
        </is>
      </c>
      <c r="E58" s="21" t="n">
        <v>140</v>
      </c>
      <c r="F58" s="26" t="n"/>
      <c r="G58" s="1">
        <f>IF(NOT(ISNUMBER(B58)),"",YEAR(B58)*100+MONTH(B58))</f>
        <v/>
      </c>
    </row>
    <row r="59">
      <c r="A59" s="1" t="n"/>
      <c r="B59" s="27" t="n">
        <v>46262</v>
      </c>
      <c r="C59" s="18" t="inlineStr">
        <is>
          <t>Bond fund</t>
        </is>
      </c>
      <c r="D59" s="19" t="inlineStr">
        <is>
          <t>Dividend</t>
        </is>
      </c>
      <c r="E59" s="21" t="n">
        <v>55</v>
      </c>
      <c r="F59" s="26" t="n"/>
      <c r="G59" s="1">
        <f>IF(NOT(ISNUMBER(B59)),"",YEAR(B59)*100+MONTH(B59))</f>
        <v/>
      </c>
    </row>
    <row r="60">
      <c r="A60" s="1" t="n"/>
      <c r="B60" s="27" t="n">
        <v>46265</v>
      </c>
      <c r="C60" s="18" t="inlineStr">
        <is>
          <t>High yield savings</t>
        </is>
      </c>
      <c r="D60" s="19" t="inlineStr">
        <is>
          <t>Interest</t>
        </is>
      </c>
      <c r="E60" s="21" t="n">
        <v>37</v>
      </c>
      <c r="F60" s="26" t="n"/>
      <c r="G60" s="1">
        <f>IF(NOT(ISNUMBER(B60)),"",YEAR(B60)*100+MONTH(B60))</f>
        <v/>
      </c>
    </row>
    <row r="61">
      <c r="A61" s="1" t="n"/>
      <c r="B61" s="27" t="n">
        <v>46266</v>
      </c>
      <c r="C61" s="18" t="inlineStr">
        <is>
          <t>Spare room</t>
        </is>
      </c>
      <c r="D61" s="19" t="inlineStr">
        <is>
          <t>Rent</t>
        </is>
      </c>
      <c r="E61" s="21" t="n">
        <v>300</v>
      </c>
      <c r="F61" s="26" t="n"/>
      <c r="G61" s="1">
        <f>IF(NOT(ISNUMBER(B61)),"",YEAR(B61)*100+MONTH(B61))</f>
        <v/>
      </c>
    </row>
    <row r="62">
      <c r="A62" s="1" t="n"/>
      <c r="B62" s="27" t="n">
        <v>46270</v>
      </c>
      <c r="C62" s="18" t="inlineStr">
        <is>
          <t>Property fund</t>
        </is>
      </c>
      <c r="D62" s="19" t="inlineStr">
        <is>
          <t>Dividend</t>
        </is>
      </c>
      <c r="E62" s="21" t="n">
        <v>42</v>
      </c>
      <c r="F62" s="26" t="n"/>
      <c r="G62" s="1">
        <f>IF(NOT(ISNUMBER(B62)),"",YEAR(B62)*100+MONTH(B62))</f>
        <v/>
      </c>
    </row>
    <row r="63">
      <c r="A63" s="1" t="n"/>
      <c r="B63" s="27" t="n">
        <v>46280</v>
      </c>
      <c r="C63" s="18" t="inlineStr">
        <is>
          <t>Utility shares</t>
        </is>
      </c>
      <c r="D63" s="19" t="inlineStr">
        <is>
          <t>Dividend</t>
        </is>
      </c>
      <c r="E63" s="21" t="n">
        <v>95</v>
      </c>
      <c r="F63" s="26" t="n"/>
      <c r="G63" s="1">
        <f>IF(NOT(ISNUMBER(B63)),"",YEAR(B63)*100+MONTH(B63))</f>
        <v/>
      </c>
    </row>
    <row r="64">
      <c r="A64" s="1" t="n"/>
      <c r="B64" s="27" t="n">
        <v>46285</v>
      </c>
      <c r="C64" s="18" t="inlineStr">
        <is>
          <t>Dividend fund</t>
        </is>
      </c>
      <c r="D64" s="19" t="inlineStr">
        <is>
          <t>Dividend</t>
        </is>
      </c>
      <c r="E64" s="21" t="n">
        <v>197.5</v>
      </c>
      <c r="F64" s="26" t="n"/>
      <c r="G64" s="1">
        <f>IF(NOT(ISNUMBER(B64)),"",YEAR(B64)*100+MONTH(B64))</f>
        <v/>
      </c>
    </row>
    <row r="65">
      <c r="A65" s="1" t="n"/>
      <c r="B65" s="27" t="n">
        <v>46289</v>
      </c>
      <c r="C65" s="18" t="inlineStr">
        <is>
          <t>Total market fund</t>
        </is>
      </c>
      <c r="D65" s="19" t="inlineStr">
        <is>
          <t>Dividend</t>
        </is>
      </c>
      <c r="E65" s="21" t="n">
        <v>233</v>
      </c>
      <c r="F65" s="26" t="n"/>
      <c r="G65" s="1">
        <f>IF(NOT(ISNUMBER(B65)),"",YEAR(B65)*100+MONTH(B65))</f>
        <v/>
      </c>
    </row>
    <row r="66">
      <c r="A66" s="1" t="n"/>
      <c r="B66" s="27" t="n">
        <v>46293</v>
      </c>
      <c r="C66" s="18" t="inlineStr">
        <is>
          <t>Bond fund</t>
        </is>
      </c>
      <c r="D66" s="19" t="inlineStr">
        <is>
          <t>Dividend</t>
        </is>
      </c>
      <c r="E66" s="21" t="n">
        <v>55</v>
      </c>
      <c r="F66" s="26" t="n"/>
      <c r="G66" s="1">
        <f>IF(NOT(ISNUMBER(B66)),"",YEAR(B66)*100+MONTH(B66))</f>
        <v/>
      </c>
    </row>
    <row r="67">
      <c r="A67" s="1" t="n"/>
      <c r="B67" s="27" t="n"/>
      <c r="C67" s="18" t="n"/>
      <c r="D67" s="19" t="n"/>
      <c r="E67" s="21" t="n"/>
      <c r="F67" s="26" t="n"/>
      <c r="G67" s="1">
        <f>IF(NOT(ISNUMBER(B67)),"",YEAR(B67)*100+MONTH(B67))</f>
        <v/>
      </c>
    </row>
    <row r="68">
      <c r="A68" s="1" t="n"/>
      <c r="B68" s="27" t="n"/>
      <c r="C68" s="18" t="n"/>
      <c r="D68" s="19" t="n"/>
      <c r="E68" s="21" t="n"/>
      <c r="F68" s="26" t="n"/>
      <c r="G68" s="1">
        <f>IF(NOT(ISNUMBER(B68)),"",YEAR(B68)*100+MONTH(B68))</f>
        <v/>
      </c>
    </row>
    <row r="69">
      <c r="A69" s="1" t="n"/>
      <c r="B69" s="27" t="n"/>
      <c r="C69" s="18" t="n"/>
      <c r="D69" s="19" t="n"/>
      <c r="E69" s="21" t="n"/>
      <c r="F69" s="26" t="n"/>
      <c r="G69" s="1">
        <f>IF(NOT(ISNUMBER(B69)),"",YEAR(B69)*100+MONTH(B69))</f>
        <v/>
      </c>
    </row>
    <row r="70">
      <c r="A70" s="1" t="n"/>
      <c r="B70" s="27" t="n"/>
      <c r="C70" s="18" t="n"/>
      <c r="D70" s="19" t="n"/>
      <c r="E70" s="21" t="n"/>
      <c r="F70" s="26" t="n"/>
      <c r="G70" s="1">
        <f>IF(NOT(ISNUMBER(B70)),"",YEAR(B70)*100+MONTH(B70))</f>
        <v/>
      </c>
    </row>
    <row r="71">
      <c r="A71" s="1" t="n"/>
      <c r="B71" s="27" t="n"/>
      <c r="C71" s="18" t="n"/>
      <c r="D71" s="19" t="n"/>
      <c r="E71" s="21" t="n"/>
      <c r="F71" s="26" t="n"/>
      <c r="G71" s="1">
        <f>IF(NOT(ISNUMBER(B71)),"",YEAR(B71)*100+MONTH(B71))</f>
        <v/>
      </c>
    </row>
    <row r="72">
      <c r="A72" s="1" t="n"/>
      <c r="B72" s="27" t="n"/>
      <c r="C72" s="18" t="n"/>
      <c r="D72" s="19" t="n"/>
      <c r="E72" s="21" t="n"/>
      <c r="F72" s="26" t="n"/>
      <c r="G72" s="1">
        <f>IF(NOT(ISNUMBER(B72)),"",YEAR(B72)*100+MONTH(B72))</f>
        <v/>
      </c>
    </row>
    <row r="73">
      <c r="A73" s="1" t="n"/>
      <c r="B73" s="27" t="n"/>
      <c r="C73" s="18" t="n"/>
      <c r="D73" s="19" t="n"/>
      <c r="E73" s="21" t="n"/>
      <c r="F73" s="26" t="n"/>
      <c r="G73" s="1">
        <f>IF(NOT(ISNUMBER(B73)),"",YEAR(B73)*100+MONTH(B73))</f>
        <v/>
      </c>
    </row>
    <row r="74">
      <c r="A74" s="1" t="n"/>
      <c r="B74" s="27" t="n"/>
      <c r="C74" s="18" t="n"/>
      <c r="D74" s="19" t="n"/>
      <c r="E74" s="21" t="n"/>
      <c r="F74" s="26" t="n"/>
      <c r="G74" s="1">
        <f>IF(NOT(ISNUMBER(B74)),"",YEAR(B74)*100+MONTH(B74))</f>
        <v/>
      </c>
    </row>
    <row r="75">
      <c r="A75" s="1" t="n"/>
      <c r="B75" s="27" t="n"/>
      <c r="C75" s="18" t="n"/>
      <c r="D75" s="19" t="n"/>
      <c r="E75" s="21" t="n"/>
      <c r="F75" s="26" t="n"/>
      <c r="G75" s="1">
        <f>IF(NOT(ISNUMBER(B75)),"",YEAR(B75)*100+MONTH(B75))</f>
        <v/>
      </c>
    </row>
    <row r="76">
      <c r="A76" s="1" t="n"/>
      <c r="B76" s="27" t="n"/>
      <c r="C76" s="18" t="n"/>
      <c r="D76" s="19" t="n"/>
      <c r="E76" s="21" t="n"/>
      <c r="F76" s="26" t="n"/>
      <c r="G76" s="1">
        <f>IF(NOT(ISNUMBER(B76)),"",YEAR(B76)*100+MONTH(B76))</f>
        <v/>
      </c>
    </row>
    <row r="77">
      <c r="A77" s="1" t="n"/>
      <c r="B77" s="27" t="n"/>
      <c r="C77" s="18" t="n"/>
      <c r="D77" s="19" t="n"/>
      <c r="E77" s="21" t="n"/>
      <c r="F77" s="26" t="n"/>
      <c r="G77" s="1">
        <f>IF(NOT(ISNUMBER(B77)),"",YEAR(B77)*100+MONTH(B77))</f>
        <v/>
      </c>
    </row>
    <row r="78">
      <c r="A78" s="1" t="n"/>
      <c r="B78" s="27" t="n"/>
      <c r="C78" s="18" t="n"/>
      <c r="D78" s="19" t="n"/>
      <c r="E78" s="21" t="n"/>
      <c r="F78" s="26" t="n"/>
      <c r="G78" s="1">
        <f>IF(NOT(ISNUMBER(B78)),"",YEAR(B78)*100+MONTH(B78))</f>
        <v/>
      </c>
    </row>
    <row r="79">
      <c r="A79" s="1" t="n"/>
      <c r="B79" s="27" t="n"/>
      <c r="C79" s="18" t="n"/>
      <c r="D79" s="19" t="n"/>
      <c r="E79" s="21" t="n"/>
      <c r="F79" s="26" t="n"/>
      <c r="G79" s="1">
        <f>IF(NOT(ISNUMBER(B79)),"",YEAR(B79)*100+MONTH(B79))</f>
        <v/>
      </c>
    </row>
    <row r="80">
      <c r="A80" s="1" t="n"/>
      <c r="B80" s="27" t="n"/>
      <c r="C80" s="18" t="n"/>
      <c r="D80" s="19" t="n"/>
      <c r="E80" s="21" t="n"/>
      <c r="F80" s="26" t="n"/>
      <c r="G80" s="1">
        <f>IF(NOT(ISNUMBER(B80)),"",YEAR(B80)*100+MONTH(B80))</f>
        <v/>
      </c>
    </row>
    <row r="81">
      <c r="A81" s="1" t="n"/>
      <c r="B81" s="27" t="n"/>
      <c r="C81" s="18" t="n"/>
      <c r="D81" s="19" t="n"/>
      <c r="E81" s="21" t="n"/>
      <c r="F81" s="26" t="n"/>
      <c r="G81" s="1">
        <f>IF(NOT(ISNUMBER(B81)),"",YEAR(B81)*100+MONTH(B81))</f>
        <v/>
      </c>
    </row>
    <row r="82">
      <c r="A82" s="1" t="n"/>
      <c r="B82" s="27" t="n"/>
      <c r="C82" s="18" t="n"/>
      <c r="D82" s="19" t="n"/>
      <c r="E82" s="21" t="n"/>
      <c r="F82" s="26" t="n"/>
      <c r="G82" s="1">
        <f>IF(NOT(ISNUMBER(B82)),"",YEAR(B82)*100+MONTH(B82))</f>
        <v/>
      </c>
    </row>
    <row r="83">
      <c r="A83" s="1" t="n"/>
      <c r="B83" s="27" t="n"/>
      <c r="C83" s="18" t="n"/>
      <c r="D83" s="19" t="n"/>
      <c r="E83" s="21" t="n"/>
      <c r="F83" s="26" t="n"/>
      <c r="G83" s="1">
        <f>IF(NOT(ISNUMBER(B83)),"",YEAR(B83)*100+MONTH(B83))</f>
        <v/>
      </c>
    </row>
    <row r="84">
      <c r="A84" s="1" t="n"/>
      <c r="B84" s="27" t="n"/>
      <c r="C84" s="18" t="n"/>
      <c r="D84" s="19" t="n"/>
      <c r="E84" s="21" t="n"/>
      <c r="F84" s="26" t="n"/>
      <c r="G84" s="1">
        <f>IF(NOT(ISNUMBER(B84)),"",YEAR(B84)*100+MONTH(B84))</f>
        <v/>
      </c>
    </row>
    <row r="85">
      <c r="A85" s="1" t="n"/>
      <c r="B85" s="27" t="n"/>
      <c r="C85" s="18" t="n"/>
      <c r="D85" s="19" t="n"/>
      <c r="E85" s="21" t="n"/>
      <c r="F85" s="26" t="n"/>
      <c r="G85" s="1">
        <f>IF(NOT(ISNUMBER(B85)),"",YEAR(B85)*100+MONTH(B85))</f>
        <v/>
      </c>
    </row>
    <row r="86">
      <c r="A86" s="1" t="n"/>
      <c r="B86" s="27" t="n"/>
      <c r="C86" s="18" t="n"/>
      <c r="D86" s="19" t="n"/>
      <c r="E86" s="21" t="n"/>
      <c r="F86" s="26" t="n"/>
      <c r="G86" s="1">
        <f>IF(NOT(ISNUMBER(B86)),"",YEAR(B86)*100+MONTH(B86))</f>
        <v/>
      </c>
    </row>
    <row r="87">
      <c r="A87" s="1" t="n"/>
      <c r="B87" s="27" t="n"/>
      <c r="C87" s="18" t="n"/>
      <c r="D87" s="19" t="n"/>
      <c r="E87" s="21" t="n"/>
      <c r="F87" s="26" t="n"/>
      <c r="G87" s="1">
        <f>IF(NOT(ISNUMBER(B87)),"",YEAR(B87)*100+MONTH(B87))</f>
        <v/>
      </c>
    </row>
    <row r="88">
      <c r="A88" s="1" t="n"/>
      <c r="B88" s="27" t="n"/>
      <c r="C88" s="18" t="n"/>
      <c r="D88" s="19" t="n"/>
      <c r="E88" s="21" t="n"/>
      <c r="F88" s="26" t="n"/>
      <c r="G88" s="1">
        <f>IF(NOT(ISNUMBER(B88)),"",YEAR(B88)*100+MONTH(B88))</f>
        <v/>
      </c>
    </row>
    <row r="89">
      <c r="A89" s="1" t="n"/>
      <c r="B89" s="27" t="n"/>
      <c r="C89" s="18" t="n"/>
      <c r="D89" s="19" t="n"/>
      <c r="E89" s="21" t="n"/>
      <c r="F89" s="26" t="n"/>
      <c r="G89" s="1">
        <f>IF(NOT(ISNUMBER(B89)),"",YEAR(B89)*100+MONTH(B89))</f>
        <v/>
      </c>
    </row>
    <row r="90">
      <c r="A90" s="1" t="n"/>
      <c r="B90" s="27" t="n"/>
      <c r="C90" s="18" t="n"/>
      <c r="D90" s="19" t="n"/>
      <c r="E90" s="21" t="n"/>
      <c r="F90" s="26" t="n"/>
      <c r="G90" s="1">
        <f>IF(NOT(ISNUMBER(B90)),"",YEAR(B90)*100+MONTH(B90))</f>
        <v/>
      </c>
    </row>
    <row r="91">
      <c r="A91" s="1" t="n"/>
      <c r="B91" s="27" t="n"/>
      <c r="C91" s="18" t="n"/>
      <c r="D91" s="19" t="n"/>
      <c r="E91" s="21" t="n"/>
      <c r="F91" s="26" t="n"/>
      <c r="G91" s="1">
        <f>IF(NOT(ISNUMBER(B91)),"",YEAR(B91)*100+MONTH(B91))</f>
        <v/>
      </c>
    </row>
    <row r="92">
      <c r="A92" s="1" t="n"/>
      <c r="B92" s="27" t="n"/>
      <c r="C92" s="18" t="n"/>
      <c r="D92" s="19" t="n"/>
      <c r="E92" s="21" t="n"/>
      <c r="F92" s="26" t="n"/>
      <c r="G92" s="1">
        <f>IF(NOT(ISNUMBER(B92)),"",YEAR(B92)*100+MONTH(B92))</f>
        <v/>
      </c>
    </row>
    <row r="93">
      <c r="A93" s="1" t="n"/>
      <c r="B93" s="27" t="n"/>
      <c r="C93" s="18" t="n"/>
      <c r="D93" s="19" t="n"/>
      <c r="E93" s="21" t="n"/>
      <c r="F93" s="26" t="n"/>
      <c r="G93" s="1">
        <f>IF(NOT(ISNUMBER(B93)),"",YEAR(B93)*100+MONTH(B93))</f>
        <v/>
      </c>
    </row>
    <row r="94">
      <c r="A94" s="1" t="n"/>
      <c r="B94" s="27" t="n"/>
      <c r="C94" s="18" t="n"/>
      <c r="D94" s="19" t="n"/>
      <c r="E94" s="21" t="n"/>
      <c r="F94" s="26" t="n"/>
      <c r="G94" s="1">
        <f>IF(NOT(ISNUMBER(B94)),"",YEAR(B94)*100+MONTH(B94))</f>
        <v/>
      </c>
    </row>
    <row r="95">
      <c r="A95" s="1" t="n"/>
      <c r="B95" s="27" t="n"/>
      <c r="C95" s="18" t="n"/>
      <c r="D95" s="19" t="n"/>
      <c r="E95" s="21" t="n"/>
      <c r="F95" s="26" t="n"/>
      <c r="G95" s="1">
        <f>IF(NOT(ISNUMBER(B95)),"",YEAR(B95)*100+MONTH(B95))</f>
        <v/>
      </c>
    </row>
    <row r="96">
      <c r="A96" s="1" t="n"/>
      <c r="B96" s="27" t="n"/>
      <c r="C96" s="18" t="n"/>
      <c r="D96" s="19" t="n"/>
      <c r="E96" s="21" t="n"/>
      <c r="F96" s="26" t="n"/>
      <c r="G96" s="1">
        <f>IF(NOT(ISNUMBER(B96)),"",YEAR(B96)*100+MONTH(B96))</f>
        <v/>
      </c>
    </row>
    <row r="97">
      <c r="A97" s="1" t="n"/>
      <c r="B97" s="27" t="n"/>
      <c r="C97" s="18" t="n"/>
      <c r="D97" s="19" t="n"/>
      <c r="E97" s="21" t="n"/>
      <c r="F97" s="26" t="n"/>
      <c r="G97" s="1">
        <f>IF(NOT(ISNUMBER(B97)),"",YEAR(B97)*100+MONTH(B97))</f>
        <v/>
      </c>
    </row>
    <row r="98">
      <c r="A98" s="1" t="n"/>
      <c r="B98" s="27" t="n"/>
      <c r="C98" s="18" t="n"/>
      <c r="D98" s="19" t="n"/>
      <c r="E98" s="21" t="n"/>
      <c r="F98" s="26" t="n"/>
      <c r="G98" s="1">
        <f>IF(NOT(ISNUMBER(B98)),"",YEAR(B98)*100+MONTH(B98))</f>
        <v/>
      </c>
    </row>
    <row r="99">
      <c r="A99" s="1" t="n"/>
      <c r="B99" s="27" t="n"/>
      <c r="C99" s="18" t="n"/>
      <c r="D99" s="19" t="n"/>
      <c r="E99" s="21" t="n"/>
      <c r="F99" s="26" t="n"/>
      <c r="G99" s="1">
        <f>IF(NOT(ISNUMBER(B99)),"",YEAR(B99)*100+MONTH(B99))</f>
        <v/>
      </c>
    </row>
    <row r="100">
      <c r="A100" s="1" t="n"/>
      <c r="B100" s="27" t="n"/>
      <c r="C100" s="18" t="n"/>
      <c r="D100" s="19" t="n"/>
      <c r="E100" s="21" t="n"/>
      <c r="F100" s="26" t="n"/>
      <c r="G100" s="1">
        <f>IF(NOT(ISNUMBER(B100)),"",YEAR(B100)*100+MONTH(B100))</f>
        <v/>
      </c>
    </row>
    <row r="101">
      <c r="A101" s="1" t="n"/>
      <c r="B101" s="27" t="n"/>
      <c r="C101" s="18" t="n"/>
      <c r="D101" s="19" t="n"/>
      <c r="E101" s="21" t="n"/>
      <c r="F101" s="26" t="n"/>
      <c r="G101" s="1">
        <f>IF(NOT(ISNUMBER(B101)),"",YEAR(B101)*100+MONTH(B101))</f>
        <v/>
      </c>
    </row>
    <row r="102">
      <c r="A102" s="1" t="n"/>
      <c r="B102" s="27" t="n"/>
      <c r="C102" s="18" t="n"/>
      <c r="D102" s="19" t="n"/>
      <c r="E102" s="21" t="n"/>
      <c r="F102" s="26" t="n"/>
      <c r="G102" s="1">
        <f>IF(NOT(ISNUMBER(B102)),"",YEAR(B102)*100+MONTH(B102))</f>
        <v/>
      </c>
    </row>
    <row r="103">
      <c r="A103" s="1" t="n"/>
      <c r="B103" s="27" t="n"/>
      <c r="C103" s="18" t="n"/>
      <c r="D103" s="19" t="n"/>
      <c r="E103" s="21" t="n"/>
      <c r="F103" s="26" t="n"/>
      <c r="G103" s="1">
        <f>IF(NOT(ISNUMBER(B103)),"",YEAR(B103)*100+MONTH(B103))</f>
        <v/>
      </c>
    </row>
    <row r="104">
      <c r="A104" s="1" t="n"/>
      <c r="B104" s="27" t="n"/>
      <c r="C104" s="18" t="n"/>
      <c r="D104" s="19" t="n"/>
      <c r="E104" s="21" t="n"/>
      <c r="F104" s="26" t="n"/>
      <c r="G104" s="1">
        <f>IF(NOT(ISNUMBER(B104)),"",YEAR(B104)*100+MONTH(B104))</f>
        <v/>
      </c>
    </row>
    <row r="105">
      <c r="A105" s="1" t="n"/>
      <c r="B105" s="27" t="n"/>
      <c r="C105" s="18" t="n"/>
      <c r="D105" s="19" t="n"/>
      <c r="E105" s="21" t="n"/>
      <c r="F105" s="26" t="n"/>
      <c r="G105" s="1">
        <f>IF(NOT(ISNUMBER(B105)),"",YEAR(B105)*100+MONTH(B105))</f>
        <v/>
      </c>
    </row>
    <row r="106">
      <c r="A106" s="1" t="n"/>
      <c r="B106" s="27" t="n"/>
      <c r="C106" s="18" t="n"/>
      <c r="D106" s="19" t="n"/>
      <c r="E106" s="21" t="n"/>
      <c r="F106" s="26" t="n"/>
      <c r="G106" s="1">
        <f>IF(NOT(ISNUMBER(B106)),"",YEAR(B106)*100+MONTH(B106))</f>
        <v/>
      </c>
    </row>
    <row r="107">
      <c r="A107" s="1" t="n"/>
      <c r="B107" s="27" t="n"/>
      <c r="C107" s="18" t="n"/>
      <c r="D107" s="19" t="n"/>
      <c r="E107" s="21" t="n"/>
      <c r="F107" s="26" t="n"/>
      <c r="G107" s="1">
        <f>IF(NOT(ISNUMBER(B107)),"",YEAR(B107)*100+MONTH(B107))</f>
        <v/>
      </c>
    </row>
    <row r="108">
      <c r="A108" s="1" t="n"/>
      <c r="B108" s="27" t="n"/>
      <c r="C108" s="18" t="n"/>
      <c r="D108" s="19" t="n"/>
      <c r="E108" s="21" t="n"/>
      <c r="F108" s="26" t="n"/>
      <c r="G108" s="1">
        <f>IF(NOT(ISNUMBER(B108)),"",YEAR(B108)*100+MONTH(B108))</f>
        <v/>
      </c>
    </row>
    <row r="109">
      <c r="A109" s="1" t="n"/>
      <c r="B109" s="27" t="n"/>
      <c r="C109" s="18" t="n"/>
      <c r="D109" s="19" t="n"/>
      <c r="E109" s="21" t="n"/>
      <c r="F109" s="26" t="n"/>
      <c r="G109" s="1">
        <f>IF(NOT(ISNUMBER(B109)),"",YEAR(B109)*100+MONTH(B109))</f>
        <v/>
      </c>
    </row>
    <row r="110">
      <c r="A110" s="1" t="n"/>
      <c r="B110" s="27" t="n"/>
      <c r="C110" s="18" t="n"/>
      <c r="D110" s="19" t="n"/>
      <c r="E110" s="21" t="n"/>
      <c r="F110" s="26" t="n"/>
      <c r="G110" s="1">
        <f>IF(NOT(ISNUMBER(B110)),"",YEAR(B110)*100+MONTH(B110))</f>
        <v/>
      </c>
    </row>
    <row r="111">
      <c r="A111" s="1" t="n"/>
      <c r="B111" s="27" t="n"/>
      <c r="C111" s="18" t="n"/>
      <c r="D111" s="19" t="n"/>
      <c r="E111" s="21" t="n"/>
      <c r="F111" s="26" t="n"/>
      <c r="G111" s="1">
        <f>IF(NOT(ISNUMBER(B111)),"",YEAR(B111)*100+MONTH(B111))</f>
        <v/>
      </c>
    </row>
    <row r="112">
      <c r="A112" s="1" t="n"/>
      <c r="B112" s="27" t="n"/>
      <c r="C112" s="18" t="n"/>
      <c r="D112" s="19" t="n"/>
      <c r="E112" s="21" t="n"/>
      <c r="F112" s="26" t="n"/>
      <c r="G112" s="1">
        <f>IF(NOT(ISNUMBER(B112)),"",YEAR(B112)*100+MONTH(B112))</f>
        <v/>
      </c>
    </row>
    <row r="113">
      <c r="A113" s="1" t="n"/>
      <c r="B113" s="27" t="n"/>
      <c r="C113" s="18" t="n"/>
      <c r="D113" s="19" t="n"/>
      <c r="E113" s="21" t="n"/>
      <c r="F113" s="26" t="n"/>
      <c r="G113" s="1">
        <f>IF(NOT(ISNUMBER(B113)),"",YEAR(B113)*100+MONTH(B113))</f>
        <v/>
      </c>
    </row>
    <row r="114">
      <c r="A114" s="1" t="n"/>
      <c r="B114" s="27" t="n"/>
      <c r="C114" s="18" t="n"/>
      <c r="D114" s="19" t="n"/>
      <c r="E114" s="21" t="n"/>
      <c r="F114" s="26" t="n"/>
      <c r="G114" s="1">
        <f>IF(NOT(ISNUMBER(B114)),"",YEAR(B114)*100+MONTH(B114))</f>
        <v/>
      </c>
    </row>
    <row r="115">
      <c r="A115" s="1" t="n"/>
      <c r="B115" s="27" t="n"/>
      <c r="C115" s="18" t="n"/>
      <c r="D115" s="19" t="n"/>
      <c r="E115" s="21" t="n"/>
      <c r="F115" s="26" t="n"/>
      <c r="G115" s="1">
        <f>IF(NOT(ISNUMBER(B115)),"",YEAR(B115)*100+MONTH(B115))</f>
        <v/>
      </c>
    </row>
    <row r="116">
      <c r="A116" s="1" t="n"/>
      <c r="B116" s="27" t="n"/>
      <c r="C116" s="18" t="n"/>
      <c r="D116" s="19" t="n"/>
      <c r="E116" s="21" t="n"/>
      <c r="F116" s="26" t="n"/>
      <c r="G116" s="1">
        <f>IF(NOT(ISNUMBER(B116)),"",YEAR(B116)*100+MONTH(B116))</f>
        <v/>
      </c>
    </row>
    <row r="117">
      <c r="A117" s="1" t="n"/>
      <c r="B117" s="27" t="n"/>
      <c r="C117" s="18" t="n"/>
      <c r="D117" s="19" t="n"/>
      <c r="E117" s="21" t="n"/>
      <c r="F117" s="26" t="n"/>
      <c r="G117" s="1">
        <f>IF(NOT(ISNUMBER(B117)),"",YEAR(B117)*100+MONTH(B117))</f>
        <v/>
      </c>
    </row>
    <row r="118">
      <c r="A118" s="1" t="n"/>
      <c r="B118" s="27" t="n"/>
      <c r="C118" s="18" t="n"/>
      <c r="D118" s="19" t="n"/>
      <c r="E118" s="21" t="n"/>
      <c r="F118" s="26" t="n"/>
      <c r="G118" s="1">
        <f>IF(NOT(ISNUMBER(B118)),"",YEAR(B118)*100+MONTH(B118))</f>
        <v/>
      </c>
    </row>
    <row r="119">
      <c r="A119" s="1" t="n"/>
      <c r="B119" s="27" t="n"/>
      <c r="C119" s="18" t="n"/>
      <c r="D119" s="19" t="n"/>
      <c r="E119" s="21" t="n"/>
      <c r="F119" s="26" t="n"/>
      <c r="G119" s="1">
        <f>IF(NOT(ISNUMBER(B119)),"",YEAR(B119)*100+MONTH(B119))</f>
        <v/>
      </c>
    </row>
    <row r="120">
      <c r="A120" s="1" t="n"/>
      <c r="B120" s="27" t="n"/>
      <c r="C120" s="18" t="n"/>
      <c r="D120" s="19" t="n"/>
      <c r="E120" s="21" t="n"/>
      <c r="F120" s="26" t="n"/>
      <c r="G120" s="1">
        <f>IF(NOT(ISNUMBER(B120)),"",YEAR(B120)*100+MONTH(B120))</f>
        <v/>
      </c>
    </row>
    <row r="121">
      <c r="A121" s="1" t="n"/>
      <c r="B121" s="27" t="n"/>
      <c r="C121" s="18" t="n"/>
      <c r="D121" s="19" t="n"/>
      <c r="E121" s="21" t="n"/>
      <c r="F121" s="26" t="n"/>
      <c r="G121" s="1">
        <f>IF(NOT(ISNUMBER(B121)),"",YEAR(B121)*100+MONTH(B121))</f>
        <v/>
      </c>
    </row>
    <row r="122">
      <c r="A122" s="1" t="n"/>
      <c r="B122" s="27" t="n"/>
      <c r="C122" s="18" t="n"/>
      <c r="D122" s="19" t="n"/>
      <c r="E122" s="21" t="n"/>
      <c r="F122" s="26" t="n"/>
      <c r="G122" s="1">
        <f>IF(NOT(ISNUMBER(B122)),"",YEAR(B122)*100+MONTH(B122))</f>
        <v/>
      </c>
    </row>
    <row r="123">
      <c r="A123" s="1" t="n"/>
      <c r="B123" s="27" t="n"/>
      <c r="C123" s="18" t="n"/>
      <c r="D123" s="19" t="n"/>
      <c r="E123" s="21" t="n"/>
      <c r="F123" s="26" t="n"/>
      <c r="G123" s="1">
        <f>IF(NOT(ISNUMBER(B123)),"",YEAR(B123)*100+MONTH(B123))</f>
        <v/>
      </c>
    </row>
    <row r="124">
      <c r="A124" s="1" t="n"/>
      <c r="B124" s="27" t="n"/>
      <c r="C124" s="18" t="n"/>
      <c r="D124" s="19" t="n"/>
      <c r="E124" s="21" t="n"/>
      <c r="F124" s="26" t="n"/>
      <c r="G124" s="1">
        <f>IF(NOT(ISNUMBER(B124)),"",YEAR(B124)*100+MONTH(B124))</f>
        <v/>
      </c>
    </row>
    <row r="125">
      <c r="A125" s="1" t="n"/>
      <c r="B125" s="27" t="n"/>
      <c r="C125" s="18" t="n"/>
      <c r="D125" s="19" t="n"/>
      <c r="E125" s="21" t="n"/>
      <c r="F125" s="26" t="n"/>
      <c r="G125" s="1">
        <f>IF(NOT(ISNUMBER(B125)),"",YEAR(B125)*100+MONTH(B125))</f>
        <v/>
      </c>
    </row>
    <row r="126">
      <c r="A126" s="1" t="n"/>
      <c r="B126" s="27" t="n"/>
      <c r="C126" s="18" t="n"/>
      <c r="D126" s="19" t="n"/>
      <c r="E126" s="21" t="n"/>
      <c r="F126" s="26" t="n"/>
      <c r="G126" s="1">
        <f>IF(NOT(ISNUMBER(B126)),"",YEAR(B126)*100+MONTH(B126))</f>
        <v/>
      </c>
    </row>
    <row r="127">
      <c r="A127" s="1" t="n"/>
      <c r="B127" s="27" t="n"/>
      <c r="C127" s="18" t="n"/>
      <c r="D127" s="19" t="n"/>
      <c r="E127" s="21" t="n"/>
      <c r="F127" s="26" t="n"/>
      <c r="G127" s="1">
        <f>IF(NOT(ISNUMBER(B127)),"",YEAR(B127)*100+MONTH(B127))</f>
        <v/>
      </c>
    </row>
    <row r="128">
      <c r="A128" s="1" t="n"/>
      <c r="B128" s="27" t="n"/>
      <c r="C128" s="18" t="n"/>
      <c r="D128" s="19" t="n"/>
      <c r="E128" s="21" t="n"/>
      <c r="F128" s="26" t="n"/>
      <c r="G128" s="1">
        <f>IF(NOT(ISNUMBER(B128)),"",YEAR(B128)*100+MONTH(B128))</f>
        <v/>
      </c>
    </row>
    <row r="129">
      <c r="A129" s="1" t="n"/>
      <c r="B129" s="27" t="n"/>
      <c r="C129" s="18" t="n"/>
      <c r="D129" s="19" t="n"/>
      <c r="E129" s="21" t="n"/>
      <c r="F129" s="26" t="n"/>
      <c r="G129" s="1">
        <f>IF(NOT(ISNUMBER(B129)),"",YEAR(B129)*100+MONTH(B129))</f>
        <v/>
      </c>
    </row>
    <row r="130">
      <c r="A130" s="1" t="n"/>
      <c r="B130" s="27" t="n"/>
      <c r="C130" s="18" t="n"/>
      <c r="D130" s="19" t="n"/>
      <c r="E130" s="21" t="n"/>
      <c r="F130" s="26" t="n"/>
      <c r="G130" s="1">
        <f>IF(NOT(ISNUMBER(B130)),"",YEAR(B130)*100+MONTH(B130))</f>
        <v/>
      </c>
    </row>
    <row r="131">
      <c r="A131" s="1" t="n"/>
      <c r="B131" s="27" t="n"/>
      <c r="C131" s="18" t="n"/>
      <c r="D131" s="19" t="n"/>
      <c r="E131" s="21" t="n"/>
      <c r="F131" s="26" t="n"/>
      <c r="G131" s="1">
        <f>IF(NOT(ISNUMBER(B131)),"",YEAR(B131)*100+MONTH(B131))</f>
        <v/>
      </c>
    </row>
    <row r="132">
      <c r="A132" s="1" t="n"/>
      <c r="B132" s="27" t="n"/>
      <c r="C132" s="18" t="n"/>
      <c r="D132" s="19" t="n"/>
      <c r="E132" s="21" t="n"/>
      <c r="F132" s="26" t="n"/>
      <c r="G132" s="1">
        <f>IF(NOT(ISNUMBER(B132)),"",YEAR(B132)*100+MONTH(B132))</f>
        <v/>
      </c>
    </row>
    <row r="133">
      <c r="A133" s="1" t="n"/>
      <c r="B133" s="27" t="n"/>
      <c r="C133" s="18" t="n"/>
      <c r="D133" s="19" t="n"/>
      <c r="E133" s="21" t="n"/>
      <c r="F133" s="26" t="n"/>
      <c r="G133" s="1">
        <f>IF(NOT(ISNUMBER(B133)),"",YEAR(B133)*100+MONTH(B133))</f>
        <v/>
      </c>
    </row>
    <row r="134">
      <c r="A134" s="1" t="n"/>
      <c r="B134" s="27" t="n"/>
      <c r="C134" s="18" t="n"/>
      <c r="D134" s="19" t="n"/>
      <c r="E134" s="21" t="n"/>
      <c r="F134" s="26" t="n"/>
      <c r="G134" s="1">
        <f>IF(NOT(ISNUMBER(B134)),"",YEAR(B134)*100+MONTH(B134))</f>
        <v/>
      </c>
    </row>
    <row r="135">
      <c r="A135" s="1" t="n"/>
      <c r="B135" s="27" t="n"/>
      <c r="C135" s="18" t="n"/>
      <c r="D135" s="19" t="n"/>
      <c r="E135" s="21" t="n"/>
      <c r="F135" s="26" t="n"/>
      <c r="G135" s="1">
        <f>IF(NOT(ISNUMBER(B135)),"",YEAR(B135)*100+MONTH(B135))</f>
        <v/>
      </c>
    </row>
    <row r="136">
      <c r="A136" s="1" t="n"/>
      <c r="B136" s="27" t="n"/>
      <c r="C136" s="18" t="n"/>
      <c r="D136" s="19" t="n"/>
      <c r="E136" s="21" t="n"/>
      <c r="F136" s="26" t="n"/>
      <c r="G136" s="1">
        <f>IF(NOT(ISNUMBER(B136)),"",YEAR(B136)*100+MONTH(B136))</f>
        <v/>
      </c>
    </row>
    <row r="137">
      <c r="A137" s="1" t="n"/>
      <c r="B137" s="27" t="n"/>
      <c r="C137" s="18" t="n"/>
      <c r="D137" s="19" t="n"/>
      <c r="E137" s="21" t="n"/>
      <c r="F137" s="26" t="n"/>
      <c r="G137" s="1">
        <f>IF(NOT(ISNUMBER(B137)),"",YEAR(B137)*100+MONTH(B137))</f>
        <v/>
      </c>
    </row>
    <row r="138">
      <c r="A138" s="1" t="n"/>
      <c r="B138" s="27" t="n"/>
      <c r="C138" s="18" t="n"/>
      <c r="D138" s="19" t="n"/>
      <c r="E138" s="21" t="n"/>
      <c r="F138" s="26" t="n"/>
      <c r="G138" s="1">
        <f>IF(NOT(ISNUMBER(B138)),"",YEAR(B138)*100+MONTH(B138))</f>
        <v/>
      </c>
    </row>
    <row r="139">
      <c r="A139" s="1" t="n"/>
      <c r="B139" s="27" t="n"/>
      <c r="C139" s="18" t="n"/>
      <c r="D139" s="19" t="n"/>
      <c r="E139" s="21" t="n"/>
      <c r="F139" s="26" t="n"/>
      <c r="G139" s="1">
        <f>IF(NOT(ISNUMBER(B139)),"",YEAR(B139)*100+MONTH(B139))</f>
        <v/>
      </c>
    </row>
    <row r="140">
      <c r="A140" s="1" t="n"/>
      <c r="B140" s="27" t="n"/>
      <c r="C140" s="18" t="n"/>
      <c r="D140" s="19" t="n"/>
      <c r="E140" s="21" t="n"/>
      <c r="F140" s="26" t="n"/>
      <c r="G140" s="1">
        <f>IF(NOT(ISNUMBER(B140)),"",YEAR(B140)*100+MONTH(B140))</f>
        <v/>
      </c>
    </row>
    <row r="141">
      <c r="A141" s="1" t="n"/>
      <c r="B141" s="27" t="n"/>
      <c r="C141" s="18" t="n"/>
      <c r="D141" s="19" t="n"/>
      <c r="E141" s="21" t="n"/>
      <c r="F141" s="26" t="n"/>
      <c r="G141" s="1">
        <f>IF(NOT(ISNUMBER(B141)),"",YEAR(B141)*100+MONTH(B141))</f>
        <v/>
      </c>
    </row>
    <row r="142">
      <c r="A142" s="1" t="n"/>
      <c r="B142" s="27" t="n"/>
      <c r="C142" s="18" t="n"/>
      <c r="D142" s="19" t="n"/>
      <c r="E142" s="21" t="n"/>
      <c r="F142" s="26" t="n"/>
      <c r="G142" s="1">
        <f>IF(NOT(ISNUMBER(B142)),"",YEAR(B142)*100+MONTH(B142))</f>
        <v/>
      </c>
    </row>
    <row r="143">
      <c r="A143" s="1" t="n"/>
      <c r="B143" s="27" t="n"/>
      <c r="C143" s="18" t="n"/>
      <c r="D143" s="19" t="n"/>
      <c r="E143" s="21" t="n"/>
      <c r="F143" s="26" t="n"/>
      <c r="G143" s="1">
        <f>IF(NOT(ISNUMBER(B143)),"",YEAR(B143)*100+MONTH(B143))</f>
        <v/>
      </c>
    </row>
    <row r="144">
      <c r="A144" s="1" t="n"/>
      <c r="B144" s="27" t="n"/>
      <c r="C144" s="18" t="n"/>
      <c r="D144" s="19" t="n"/>
      <c r="E144" s="21" t="n"/>
      <c r="F144" s="26" t="n"/>
      <c r="G144" s="1">
        <f>IF(NOT(ISNUMBER(B144)),"",YEAR(B144)*100+MONTH(B144))</f>
        <v/>
      </c>
    </row>
    <row r="145">
      <c r="A145" s="1" t="n"/>
      <c r="B145" s="27" t="n"/>
      <c r="C145" s="18" t="n"/>
      <c r="D145" s="19" t="n"/>
      <c r="E145" s="21" t="n"/>
      <c r="F145" s="26" t="n"/>
      <c r="G145" s="1">
        <f>IF(NOT(ISNUMBER(B145)),"",YEAR(B145)*100+MONTH(B145))</f>
        <v/>
      </c>
    </row>
    <row r="146">
      <c r="A146" s="1" t="n"/>
      <c r="B146" s="27" t="n"/>
      <c r="C146" s="18" t="n"/>
      <c r="D146" s="19" t="n"/>
      <c r="E146" s="21" t="n"/>
      <c r="F146" s="26" t="n"/>
      <c r="G146" s="1">
        <f>IF(NOT(ISNUMBER(B146)),"",YEAR(B146)*100+MONTH(B146))</f>
        <v/>
      </c>
    </row>
    <row r="147">
      <c r="A147" s="1" t="n"/>
      <c r="B147" s="27" t="n"/>
      <c r="C147" s="18" t="n"/>
      <c r="D147" s="19" t="n"/>
      <c r="E147" s="21" t="n"/>
      <c r="F147" s="26" t="n"/>
      <c r="G147" s="1">
        <f>IF(NOT(ISNUMBER(B147)),"",YEAR(B147)*100+MONTH(B147))</f>
        <v/>
      </c>
    </row>
    <row r="148">
      <c r="A148" s="1" t="n"/>
      <c r="B148" s="27" t="n"/>
      <c r="C148" s="18" t="n"/>
      <c r="D148" s="19" t="n"/>
      <c r="E148" s="21" t="n"/>
      <c r="F148" s="26" t="n"/>
      <c r="G148" s="1">
        <f>IF(NOT(ISNUMBER(B148)),"",YEAR(B148)*100+MONTH(B148))</f>
        <v/>
      </c>
    </row>
    <row r="149">
      <c r="A149" s="1" t="n"/>
      <c r="B149" s="27" t="n"/>
      <c r="C149" s="18" t="n"/>
      <c r="D149" s="19" t="n"/>
      <c r="E149" s="21" t="n"/>
      <c r="F149" s="26" t="n"/>
      <c r="G149" s="1">
        <f>IF(NOT(ISNUMBER(B149)),"",YEAR(B149)*100+MONTH(B149))</f>
        <v/>
      </c>
    </row>
    <row r="150">
      <c r="A150" s="1" t="n"/>
      <c r="B150" s="27" t="n"/>
      <c r="C150" s="18" t="n"/>
      <c r="D150" s="19" t="n"/>
      <c r="E150" s="21" t="n"/>
      <c r="F150" s="26" t="n"/>
      <c r="G150" s="1">
        <f>IF(NOT(ISNUMBER(B150)),"",YEAR(B150)*100+MONTH(B150))</f>
        <v/>
      </c>
    </row>
    <row r="151">
      <c r="A151" s="1" t="n"/>
      <c r="B151" s="27" t="n"/>
      <c r="C151" s="18" t="n"/>
      <c r="D151" s="19" t="n"/>
      <c r="E151" s="21" t="n"/>
      <c r="F151" s="26" t="n"/>
      <c r="G151" s="1">
        <f>IF(NOT(ISNUMBER(B151)),"",YEAR(B151)*100+MONTH(B151))</f>
        <v/>
      </c>
    </row>
    <row r="152">
      <c r="A152" s="1" t="n"/>
      <c r="B152" s="27" t="n"/>
      <c r="C152" s="18" t="n"/>
      <c r="D152" s="19" t="n"/>
      <c r="E152" s="21" t="n"/>
      <c r="F152" s="26" t="n"/>
      <c r="G152" s="1">
        <f>IF(NOT(ISNUMBER(B152)),"",YEAR(B152)*100+MONTH(B152))</f>
        <v/>
      </c>
    </row>
    <row r="153">
      <c r="A153" s="1" t="n"/>
      <c r="B153" s="27" t="n"/>
      <c r="C153" s="18" t="n"/>
      <c r="D153" s="19" t="n"/>
      <c r="E153" s="21" t="n"/>
      <c r="F153" s="26" t="n"/>
      <c r="G153" s="1">
        <f>IF(NOT(ISNUMBER(B153)),"",YEAR(B153)*100+MONTH(B153))</f>
        <v/>
      </c>
    </row>
    <row r="154">
      <c r="A154" s="1" t="n"/>
      <c r="B154" s="27" t="n"/>
      <c r="C154" s="18" t="n"/>
      <c r="D154" s="19" t="n"/>
      <c r="E154" s="21" t="n"/>
      <c r="F154" s="26" t="n"/>
      <c r="G154" s="1">
        <f>IF(NOT(ISNUMBER(B154)),"",YEAR(B154)*100+MONTH(B154))</f>
        <v/>
      </c>
    </row>
    <row r="155">
      <c r="A155" s="1" t="n"/>
      <c r="B155" s="27" t="n"/>
      <c r="C155" s="18" t="n"/>
      <c r="D155" s="19" t="n"/>
      <c r="E155" s="21" t="n"/>
      <c r="F155" s="26" t="n"/>
      <c r="G155" s="1">
        <f>IF(NOT(ISNUMBER(B155)),"",YEAR(B155)*100+MONTH(B155))</f>
        <v/>
      </c>
    </row>
    <row r="156">
      <c r="A156" s="1" t="n"/>
      <c r="B156" s="27" t="n"/>
      <c r="C156" s="18" t="n"/>
      <c r="D156" s="19" t="n"/>
      <c r="E156" s="21" t="n"/>
      <c r="F156" s="26" t="n"/>
      <c r="G156" s="1">
        <f>IF(NOT(ISNUMBER(B156)),"",YEAR(B156)*100+MONTH(B156))</f>
        <v/>
      </c>
    </row>
    <row r="157">
      <c r="A157" s="1" t="n"/>
      <c r="B157" s="27" t="n"/>
      <c r="C157" s="18" t="n"/>
      <c r="D157" s="19" t="n"/>
      <c r="E157" s="21" t="n"/>
      <c r="F157" s="26" t="n"/>
      <c r="G157" s="1">
        <f>IF(NOT(ISNUMBER(B157)),"",YEAR(B157)*100+MONTH(B157))</f>
        <v/>
      </c>
    </row>
    <row r="158">
      <c r="A158" s="1" t="n"/>
      <c r="B158" s="27" t="n"/>
      <c r="C158" s="18" t="n"/>
      <c r="D158" s="19" t="n"/>
      <c r="E158" s="21" t="n"/>
      <c r="F158" s="26" t="n"/>
      <c r="G158" s="1">
        <f>IF(NOT(ISNUMBER(B158)),"",YEAR(B158)*100+MONTH(B158))</f>
        <v/>
      </c>
    </row>
    <row r="159">
      <c r="A159" s="1" t="n"/>
      <c r="B159" s="27" t="n"/>
      <c r="C159" s="18" t="n"/>
      <c r="D159" s="19" t="n"/>
      <c r="E159" s="21" t="n"/>
      <c r="F159" s="26" t="n"/>
      <c r="G159" s="1">
        <f>IF(NOT(ISNUMBER(B159)),"",YEAR(B159)*100+MONTH(B159))</f>
        <v/>
      </c>
    </row>
    <row r="160">
      <c r="A160" s="1" t="n"/>
      <c r="B160" s="27" t="n"/>
      <c r="C160" s="18" t="n"/>
      <c r="D160" s="19" t="n"/>
      <c r="E160" s="21" t="n"/>
      <c r="F160" s="26" t="n"/>
      <c r="G160" s="1">
        <f>IF(NOT(ISNUMBER(B160)),"",YEAR(B160)*100+MONTH(B160))</f>
        <v/>
      </c>
    </row>
    <row r="161">
      <c r="A161" s="1" t="n"/>
      <c r="B161" s="27" t="n"/>
      <c r="C161" s="18" t="n"/>
      <c r="D161" s="19" t="n"/>
      <c r="E161" s="21" t="n"/>
      <c r="F161" s="26" t="n"/>
      <c r="G161" s="1">
        <f>IF(NOT(ISNUMBER(B161)),"",YEAR(B161)*100+MONTH(B161))</f>
        <v/>
      </c>
    </row>
    <row r="162">
      <c r="A162" s="1" t="n"/>
      <c r="B162" s="27" t="n"/>
      <c r="C162" s="18" t="n"/>
      <c r="D162" s="19" t="n"/>
      <c r="E162" s="21" t="n"/>
      <c r="F162" s="26" t="n"/>
      <c r="G162" s="1">
        <f>IF(NOT(ISNUMBER(B162)),"",YEAR(B162)*100+MONTH(B162))</f>
        <v/>
      </c>
    </row>
    <row r="163">
      <c r="A163" s="1" t="n"/>
      <c r="B163" s="27" t="n"/>
      <c r="C163" s="18" t="n"/>
      <c r="D163" s="19" t="n"/>
      <c r="E163" s="21" t="n"/>
      <c r="F163" s="26" t="n"/>
      <c r="G163" s="1">
        <f>IF(NOT(ISNUMBER(B163)),"",YEAR(B163)*100+MONTH(B163))</f>
        <v/>
      </c>
    </row>
    <row r="164">
      <c r="A164" s="1" t="n"/>
      <c r="B164" s="27" t="n"/>
      <c r="C164" s="18" t="n"/>
      <c r="D164" s="19" t="n"/>
      <c r="E164" s="21" t="n"/>
      <c r="F164" s="26" t="n"/>
      <c r="G164" s="1">
        <f>IF(NOT(ISNUMBER(B164)),"",YEAR(B164)*100+MONTH(B164))</f>
        <v/>
      </c>
    </row>
    <row r="165">
      <c r="A165" s="1" t="n"/>
      <c r="B165" s="27" t="n"/>
      <c r="C165" s="18" t="n"/>
      <c r="D165" s="19" t="n"/>
      <c r="E165" s="21" t="n"/>
      <c r="F165" s="26" t="n"/>
      <c r="G165" s="1">
        <f>IF(NOT(ISNUMBER(B165)),"",YEAR(B165)*100+MONTH(B165))</f>
        <v/>
      </c>
    </row>
    <row r="166">
      <c r="A166" s="1" t="n"/>
      <c r="B166" s="27" t="n"/>
      <c r="C166" s="18" t="n"/>
      <c r="D166" s="19" t="n"/>
      <c r="E166" s="21" t="n"/>
      <c r="F166" s="26" t="n"/>
      <c r="G166" s="1">
        <f>IF(NOT(ISNUMBER(B166)),"",YEAR(B166)*100+MONTH(B166))</f>
        <v/>
      </c>
    </row>
    <row r="167">
      <c r="A167" s="1" t="n"/>
      <c r="B167" s="27" t="n"/>
      <c r="C167" s="18" t="n"/>
      <c r="D167" s="19" t="n"/>
      <c r="E167" s="21" t="n"/>
      <c r="F167" s="26" t="n"/>
      <c r="G167" s="1">
        <f>IF(NOT(ISNUMBER(B167)),"",YEAR(B167)*100+MONTH(B167))</f>
        <v/>
      </c>
    </row>
    <row r="168">
      <c r="A168" s="1" t="n"/>
      <c r="B168" s="27" t="n"/>
      <c r="C168" s="18" t="n"/>
      <c r="D168" s="19" t="n"/>
      <c r="E168" s="21" t="n"/>
      <c r="F168" s="26" t="n"/>
      <c r="G168" s="1">
        <f>IF(NOT(ISNUMBER(B168)),"",YEAR(B168)*100+MONTH(B168))</f>
        <v/>
      </c>
    </row>
    <row r="169">
      <c r="A169" s="1" t="n"/>
      <c r="B169" s="27" t="n"/>
      <c r="C169" s="18" t="n"/>
      <c r="D169" s="19" t="n"/>
      <c r="E169" s="21" t="n"/>
      <c r="F169" s="26" t="n"/>
      <c r="G169" s="1">
        <f>IF(NOT(ISNUMBER(B169)),"",YEAR(B169)*100+MONTH(B169))</f>
        <v/>
      </c>
    </row>
    <row r="170">
      <c r="A170" s="1" t="n"/>
      <c r="B170" s="27" t="n"/>
      <c r="C170" s="18" t="n"/>
      <c r="D170" s="19" t="n"/>
      <c r="E170" s="21" t="n"/>
      <c r="F170" s="26" t="n"/>
      <c r="G170" s="1">
        <f>IF(NOT(ISNUMBER(B170)),"",YEAR(B170)*100+MONTH(B170))</f>
        <v/>
      </c>
    </row>
    <row r="171">
      <c r="A171" s="1" t="n"/>
      <c r="B171" s="27" t="n"/>
      <c r="C171" s="18" t="n"/>
      <c r="D171" s="19" t="n"/>
      <c r="E171" s="21" t="n"/>
      <c r="F171" s="26" t="n"/>
      <c r="G171" s="1">
        <f>IF(NOT(ISNUMBER(B171)),"",YEAR(B171)*100+MONTH(B171))</f>
        <v/>
      </c>
    </row>
    <row r="172">
      <c r="A172" s="1" t="n"/>
      <c r="B172" s="27" t="n"/>
      <c r="C172" s="18" t="n"/>
      <c r="D172" s="19" t="n"/>
      <c r="E172" s="21" t="n"/>
      <c r="F172" s="26" t="n"/>
      <c r="G172" s="1">
        <f>IF(NOT(ISNUMBER(B172)),"",YEAR(B172)*100+MONTH(B172))</f>
        <v/>
      </c>
    </row>
    <row r="173">
      <c r="A173" s="1" t="n"/>
      <c r="B173" s="27" t="n"/>
      <c r="C173" s="18" t="n"/>
      <c r="D173" s="19" t="n"/>
      <c r="E173" s="21" t="n"/>
      <c r="F173" s="26" t="n"/>
      <c r="G173" s="1">
        <f>IF(NOT(ISNUMBER(B173)),"",YEAR(B173)*100+MONTH(B173))</f>
        <v/>
      </c>
    </row>
    <row r="174">
      <c r="A174" s="1" t="n"/>
      <c r="B174" s="27" t="n"/>
      <c r="C174" s="18" t="n"/>
      <c r="D174" s="19" t="n"/>
      <c r="E174" s="21" t="n"/>
      <c r="F174" s="26" t="n"/>
      <c r="G174" s="1">
        <f>IF(NOT(ISNUMBER(B174)),"",YEAR(B174)*100+MONTH(B174))</f>
        <v/>
      </c>
    </row>
    <row r="175">
      <c r="A175" s="1" t="n"/>
      <c r="B175" s="27" t="n"/>
      <c r="C175" s="18" t="n"/>
      <c r="D175" s="19" t="n"/>
      <c r="E175" s="21" t="n"/>
      <c r="F175" s="26" t="n"/>
      <c r="G175" s="1">
        <f>IF(NOT(ISNUMBER(B175)),"",YEAR(B175)*100+MONTH(B175))</f>
        <v/>
      </c>
    </row>
    <row r="176">
      <c r="A176" s="1" t="n"/>
      <c r="B176" s="27" t="n"/>
      <c r="C176" s="18" t="n"/>
      <c r="D176" s="19" t="n"/>
      <c r="E176" s="21" t="n"/>
      <c r="F176" s="26" t="n"/>
      <c r="G176" s="1">
        <f>IF(NOT(ISNUMBER(B176)),"",YEAR(B176)*100+MONTH(B176))</f>
        <v/>
      </c>
    </row>
    <row r="177">
      <c r="A177" s="1" t="n"/>
      <c r="B177" s="27" t="n"/>
      <c r="C177" s="18" t="n"/>
      <c r="D177" s="19" t="n"/>
      <c r="E177" s="21" t="n"/>
      <c r="F177" s="26" t="n"/>
      <c r="G177" s="1">
        <f>IF(NOT(ISNUMBER(B177)),"",YEAR(B177)*100+MONTH(B177))</f>
        <v/>
      </c>
    </row>
    <row r="178">
      <c r="A178" s="1" t="n"/>
      <c r="B178" s="27" t="n"/>
      <c r="C178" s="18" t="n"/>
      <c r="D178" s="19" t="n"/>
      <c r="E178" s="21" t="n"/>
      <c r="F178" s="26" t="n"/>
      <c r="G178" s="1">
        <f>IF(NOT(ISNUMBER(B178)),"",YEAR(B178)*100+MONTH(B178))</f>
        <v/>
      </c>
    </row>
    <row r="179">
      <c r="A179" s="1" t="n"/>
      <c r="B179" s="27" t="n"/>
      <c r="C179" s="18" t="n"/>
      <c r="D179" s="19" t="n"/>
      <c r="E179" s="21" t="n"/>
      <c r="F179" s="26" t="n"/>
      <c r="G179" s="1">
        <f>IF(NOT(ISNUMBER(B179)),"",YEAR(B179)*100+MONTH(B179))</f>
        <v/>
      </c>
    </row>
    <row r="180">
      <c r="A180" s="1" t="n"/>
      <c r="B180" s="27" t="n"/>
      <c r="C180" s="18" t="n"/>
      <c r="D180" s="19" t="n"/>
      <c r="E180" s="21" t="n"/>
      <c r="F180" s="26" t="n"/>
      <c r="G180" s="1">
        <f>IF(NOT(ISNUMBER(B180)),"",YEAR(B180)*100+MONTH(B180))</f>
        <v/>
      </c>
    </row>
    <row r="181">
      <c r="A181" s="1" t="n"/>
      <c r="B181" s="27" t="n"/>
      <c r="C181" s="18" t="n"/>
      <c r="D181" s="19" t="n"/>
      <c r="E181" s="21" t="n"/>
      <c r="F181" s="26" t="n"/>
      <c r="G181" s="1">
        <f>IF(NOT(ISNUMBER(B181)),"",YEAR(B181)*100+MONTH(B181))</f>
        <v/>
      </c>
    </row>
    <row r="182">
      <c r="A182" s="1" t="n"/>
      <c r="B182" s="27" t="n"/>
      <c r="C182" s="18" t="n"/>
      <c r="D182" s="19" t="n"/>
      <c r="E182" s="21" t="n"/>
      <c r="F182" s="26" t="n"/>
      <c r="G182" s="1">
        <f>IF(NOT(ISNUMBER(B182)),"",YEAR(B182)*100+MONTH(B182))</f>
        <v/>
      </c>
    </row>
    <row r="183">
      <c r="A183" s="1" t="n"/>
      <c r="B183" s="27" t="n"/>
      <c r="C183" s="18" t="n"/>
      <c r="D183" s="19" t="n"/>
      <c r="E183" s="21" t="n"/>
      <c r="F183" s="26" t="n"/>
      <c r="G183" s="1">
        <f>IF(NOT(ISNUMBER(B183)),"",YEAR(B183)*100+MONTH(B183))</f>
        <v/>
      </c>
    </row>
    <row r="184">
      <c r="A184" s="1" t="n"/>
      <c r="B184" s="27" t="n"/>
      <c r="C184" s="18" t="n"/>
      <c r="D184" s="19" t="n"/>
      <c r="E184" s="21" t="n"/>
      <c r="F184" s="26" t="n"/>
      <c r="G184" s="1">
        <f>IF(NOT(ISNUMBER(B184)),"",YEAR(B184)*100+MONTH(B184))</f>
        <v/>
      </c>
    </row>
    <row r="185">
      <c r="A185" s="1" t="n"/>
      <c r="B185" s="27" t="n"/>
      <c r="C185" s="18" t="n"/>
      <c r="D185" s="19" t="n"/>
      <c r="E185" s="21" t="n"/>
      <c r="F185" s="26" t="n"/>
      <c r="G185" s="1">
        <f>IF(NOT(ISNUMBER(B185)),"",YEAR(B185)*100+MONTH(B185))</f>
        <v/>
      </c>
    </row>
    <row r="186">
      <c r="A186" s="1" t="n"/>
      <c r="B186" s="27" t="n"/>
      <c r="C186" s="18" t="n"/>
      <c r="D186" s="19" t="n"/>
      <c r="E186" s="21" t="n"/>
      <c r="F186" s="26" t="n"/>
      <c r="G186" s="1">
        <f>IF(NOT(ISNUMBER(B186)),"",YEAR(B186)*100+MONTH(B186))</f>
        <v/>
      </c>
    </row>
    <row r="187">
      <c r="A187" s="1" t="n"/>
      <c r="B187" s="27" t="n"/>
      <c r="C187" s="18" t="n"/>
      <c r="D187" s="19" t="n"/>
      <c r="E187" s="21" t="n"/>
      <c r="F187" s="26" t="n"/>
      <c r="G187" s="1">
        <f>IF(NOT(ISNUMBER(B187)),"",YEAR(B187)*100+MONTH(B187))</f>
        <v/>
      </c>
    </row>
    <row r="188">
      <c r="A188" s="1" t="n"/>
      <c r="B188" s="27" t="n"/>
      <c r="C188" s="18" t="n"/>
      <c r="D188" s="19" t="n"/>
      <c r="E188" s="21" t="n"/>
      <c r="F188" s="26" t="n"/>
      <c r="G188" s="1">
        <f>IF(NOT(ISNUMBER(B188)),"",YEAR(B188)*100+MONTH(B188))</f>
        <v/>
      </c>
    </row>
    <row r="189">
      <c r="A189" s="1" t="n"/>
      <c r="B189" s="27" t="n"/>
      <c r="C189" s="18" t="n"/>
      <c r="D189" s="19" t="n"/>
      <c r="E189" s="21" t="n"/>
      <c r="F189" s="26" t="n"/>
      <c r="G189" s="1">
        <f>IF(NOT(ISNUMBER(B189)),"",YEAR(B189)*100+MONTH(B189))</f>
        <v/>
      </c>
    </row>
    <row r="190">
      <c r="A190" s="1" t="n"/>
      <c r="B190" s="27" t="n"/>
      <c r="C190" s="18" t="n"/>
      <c r="D190" s="19" t="n"/>
      <c r="E190" s="21" t="n"/>
      <c r="F190" s="26" t="n"/>
      <c r="G190" s="1">
        <f>IF(NOT(ISNUMBER(B190)),"",YEAR(B190)*100+MONTH(B190))</f>
        <v/>
      </c>
    </row>
    <row r="191">
      <c r="A191" s="1" t="n"/>
      <c r="B191" s="27" t="n"/>
      <c r="C191" s="18" t="n"/>
      <c r="D191" s="19" t="n"/>
      <c r="E191" s="21" t="n"/>
      <c r="F191" s="26" t="n"/>
      <c r="G191" s="1">
        <f>IF(NOT(ISNUMBER(B191)),"",YEAR(B191)*100+MONTH(B191))</f>
        <v/>
      </c>
    </row>
    <row r="192">
      <c r="A192" s="1" t="n"/>
      <c r="B192" s="27" t="n"/>
      <c r="C192" s="18" t="n"/>
      <c r="D192" s="19" t="n"/>
      <c r="E192" s="21" t="n"/>
      <c r="F192" s="26" t="n"/>
      <c r="G192" s="1">
        <f>IF(NOT(ISNUMBER(B192)),"",YEAR(B192)*100+MONTH(B192))</f>
        <v/>
      </c>
    </row>
    <row r="193">
      <c r="A193" s="1" t="n"/>
      <c r="B193" s="27" t="n"/>
      <c r="C193" s="18" t="n"/>
      <c r="D193" s="19" t="n"/>
      <c r="E193" s="21" t="n"/>
      <c r="F193" s="26" t="n"/>
      <c r="G193" s="1">
        <f>IF(NOT(ISNUMBER(B193)),"",YEAR(B193)*100+MONTH(B193))</f>
        <v/>
      </c>
    </row>
    <row r="194">
      <c r="A194" s="1" t="n"/>
      <c r="B194" s="27" t="n"/>
      <c r="C194" s="18" t="n"/>
      <c r="D194" s="19" t="n"/>
      <c r="E194" s="21" t="n"/>
      <c r="F194" s="26" t="n"/>
      <c r="G194" s="1">
        <f>IF(NOT(ISNUMBER(B194)),"",YEAR(B194)*100+MONTH(B194))</f>
        <v/>
      </c>
    </row>
    <row r="195">
      <c r="A195" s="1" t="n"/>
      <c r="B195" s="27" t="n"/>
      <c r="C195" s="18" t="n"/>
      <c r="D195" s="19" t="n"/>
      <c r="E195" s="21" t="n"/>
      <c r="F195" s="26" t="n"/>
      <c r="G195" s="1">
        <f>IF(NOT(ISNUMBER(B195)),"",YEAR(B195)*100+MONTH(B195))</f>
        <v/>
      </c>
    </row>
    <row r="196">
      <c r="A196" s="1" t="n"/>
      <c r="B196" s="27" t="n"/>
      <c r="C196" s="18" t="n"/>
      <c r="D196" s="19" t="n"/>
      <c r="E196" s="21" t="n"/>
      <c r="F196" s="26" t="n"/>
      <c r="G196" s="1">
        <f>IF(NOT(ISNUMBER(B196)),"",YEAR(B196)*100+MONTH(B196))</f>
        <v/>
      </c>
    </row>
    <row r="197">
      <c r="A197" s="1" t="n"/>
      <c r="B197" s="27" t="n"/>
      <c r="C197" s="18" t="n"/>
      <c r="D197" s="19" t="n"/>
      <c r="E197" s="21" t="n"/>
      <c r="F197" s="26" t="n"/>
      <c r="G197" s="1">
        <f>IF(NOT(ISNUMBER(B197)),"",YEAR(B197)*100+MONTH(B197))</f>
        <v/>
      </c>
    </row>
    <row r="198">
      <c r="A198" s="1" t="n"/>
      <c r="B198" s="27" t="n"/>
      <c r="C198" s="18" t="n"/>
      <c r="D198" s="19" t="n"/>
      <c r="E198" s="21" t="n"/>
      <c r="F198" s="26" t="n"/>
      <c r="G198" s="1">
        <f>IF(NOT(ISNUMBER(B198)),"",YEAR(B198)*100+MONTH(B198))</f>
        <v/>
      </c>
    </row>
    <row r="199">
      <c r="A199" s="1" t="n"/>
      <c r="B199" s="27" t="n"/>
      <c r="C199" s="18" t="n"/>
      <c r="D199" s="19" t="n"/>
      <c r="E199" s="21" t="n"/>
      <c r="F199" s="26" t="n"/>
      <c r="G199" s="1">
        <f>IF(NOT(ISNUMBER(B199)),"",YEAR(B199)*100+MONTH(B199))</f>
        <v/>
      </c>
    </row>
    <row r="200">
      <c r="A200" s="1" t="n"/>
      <c r="B200" s="27" t="n"/>
      <c r="C200" s="18" t="n"/>
      <c r="D200" s="19" t="n"/>
      <c r="E200" s="21" t="n"/>
      <c r="F200" s="26" t="n"/>
      <c r="G200" s="1">
        <f>IF(NOT(ISNUMBER(B200)),"",YEAR(B200)*100+MONTH(B200))</f>
        <v/>
      </c>
    </row>
    <row r="201">
      <c r="A201" s="1" t="n"/>
      <c r="B201" s="27" t="n"/>
      <c r="C201" s="18" t="n"/>
      <c r="D201" s="19" t="n"/>
      <c r="E201" s="21" t="n"/>
      <c r="F201" s="26" t="n"/>
      <c r="G201" s="1">
        <f>IF(NOT(ISNUMBER(B201)),"",YEAR(B201)*100+MONTH(B201))</f>
        <v/>
      </c>
    </row>
    <row r="202">
      <c r="A202" s="1" t="n"/>
      <c r="B202" s="27" t="n"/>
      <c r="C202" s="18" t="n"/>
      <c r="D202" s="19" t="n"/>
      <c r="E202" s="21" t="n"/>
      <c r="F202" s="26" t="n"/>
      <c r="G202" s="1">
        <f>IF(NOT(ISNUMBER(B202)),"",YEAR(B202)*100+MONTH(B202))</f>
        <v/>
      </c>
    </row>
    <row r="203">
      <c r="A203" s="1" t="n"/>
      <c r="B203" s="27" t="n"/>
      <c r="C203" s="18" t="n"/>
      <c r="D203" s="19" t="n"/>
      <c r="E203" s="21" t="n"/>
      <c r="F203" s="26" t="n"/>
      <c r="G203" s="1">
        <f>IF(NOT(ISNUMBER(B203)),"",YEAR(B203)*100+MONTH(B203))</f>
        <v/>
      </c>
    </row>
    <row r="204">
      <c r="A204" s="1" t="n"/>
      <c r="B204" s="27" t="n"/>
      <c r="C204" s="18" t="n"/>
      <c r="D204" s="19" t="n"/>
      <c r="E204" s="21" t="n"/>
      <c r="F204" s="26" t="n"/>
      <c r="G204" s="1">
        <f>IF(NOT(ISNUMBER(B204)),"",YEAR(B204)*100+MONTH(B204))</f>
        <v/>
      </c>
    </row>
    <row r="205">
      <c r="A205" s="1" t="n"/>
      <c r="B205" s="27" t="n"/>
      <c r="C205" s="18" t="n"/>
      <c r="D205" s="19" t="n"/>
      <c r="E205" s="21" t="n"/>
      <c r="F205" s="26" t="n"/>
      <c r="G205" s="1">
        <f>IF(NOT(ISNUMBER(B205)),"",YEAR(B205)*100+MONTH(B205))</f>
        <v/>
      </c>
    </row>
    <row r="206">
      <c r="A206" s="1" t="n"/>
      <c r="B206" s="27" t="n"/>
      <c r="C206" s="18" t="n"/>
      <c r="D206" s="19" t="n"/>
      <c r="E206" s="21" t="n"/>
      <c r="F206" s="26" t="n"/>
      <c r="G206" s="1">
        <f>IF(NOT(ISNUMBER(B206)),"",YEAR(B206)*100+MONTH(B206))</f>
        <v/>
      </c>
    </row>
    <row r="207">
      <c r="A207" s="1" t="n"/>
      <c r="B207" s="27" t="n"/>
      <c r="C207" s="18" t="n"/>
      <c r="D207" s="19" t="n"/>
      <c r="E207" s="21" t="n"/>
      <c r="F207" s="26" t="n"/>
      <c r="G207" s="1">
        <f>IF(NOT(ISNUMBER(B207)),"",YEAR(B207)*100+MONTH(B207))</f>
        <v/>
      </c>
    </row>
    <row r="208">
      <c r="A208" s="1" t="n"/>
      <c r="B208" s="27" t="n"/>
      <c r="C208" s="18" t="n"/>
      <c r="D208" s="19" t="n"/>
      <c r="E208" s="21" t="n"/>
      <c r="F208" s="26" t="n"/>
      <c r="G208" s="1">
        <f>IF(NOT(ISNUMBER(B208)),"",YEAR(B208)*100+MONTH(B208))</f>
        <v/>
      </c>
    </row>
    <row r="209">
      <c r="A209" s="1" t="n"/>
      <c r="B209" s="27" t="n"/>
      <c r="C209" s="18" t="n"/>
      <c r="D209" s="19" t="n"/>
      <c r="E209" s="21" t="n"/>
      <c r="F209" s="26" t="n"/>
      <c r="G209" s="1">
        <f>IF(NOT(ISNUMBER(B209)),"",YEAR(B209)*100+MONTH(B209))</f>
        <v/>
      </c>
    </row>
    <row r="210">
      <c r="A210" s="1" t="n"/>
      <c r="B210" s="27" t="n"/>
      <c r="C210" s="18" t="n"/>
      <c r="D210" s="19" t="n"/>
      <c r="E210" s="21" t="n"/>
      <c r="F210" s="26" t="n"/>
      <c r="G210" s="1">
        <f>IF(NOT(ISNUMBER(B210)),"",YEAR(B210)*100+MONTH(B210))</f>
        <v/>
      </c>
    </row>
    <row r="211">
      <c r="A211" s="1" t="n"/>
      <c r="B211" s="27" t="n"/>
      <c r="C211" s="18" t="n"/>
      <c r="D211" s="19" t="n"/>
      <c r="E211" s="21" t="n"/>
      <c r="F211" s="26" t="n"/>
      <c r="G211" s="1">
        <f>IF(NOT(ISNUMBER(B211)),"",YEAR(B211)*100+MONTH(B211))</f>
        <v/>
      </c>
    </row>
    <row r="212">
      <c r="A212" s="1" t="n"/>
      <c r="B212" s="27" t="n"/>
      <c r="C212" s="18" t="n"/>
      <c r="D212" s="19" t="n"/>
      <c r="E212" s="21" t="n"/>
      <c r="F212" s="26" t="n"/>
      <c r="G212" s="1">
        <f>IF(NOT(ISNUMBER(B212)),"",YEAR(B212)*100+MONTH(B212))</f>
        <v/>
      </c>
    </row>
    <row r="213">
      <c r="A213" s="1" t="n"/>
      <c r="B213" s="27" t="n"/>
      <c r="C213" s="18" t="n"/>
      <c r="D213" s="19" t="n"/>
      <c r="E213" s="21" t="n"/>
      <c r="F213" s="26" t="n"/>
      <c r="G213" s="1">
        <f>IF(NOT(ISNUMBER(B213)),"",YEAR(B213)*100+MONTH(B213))</f>
        <v/>
      </c>
    </row>
    <row r="214">
      <c r="A214" s="1" t="n"/>
      <c r="B214" s="27" t="n"/>
      <c r="C214" s="18" t="n"/>
      <c r="D214" s="19" t="n"/>
      <c r="E214" s="21" t="n"/>
      <c r="F214" s="26" t="n"/>
      <c r="G214" s="1">
        <f>IF(NOT(ISNUMBER(B214)),"",YEAR(B214)*100+MONTH(B214))</f>
        <v/>
      </c>
    </row>
    <row r="215">
      <c r="A215" s="1" t="n"/>
      <c r="B215" s="27" t="n"/>
      <c r="C215" s="18" t="n"/>
      <c r="D215" s="19" t="n"/>
      <c r="E215" s="21" t="n"/>
      <c r="F215" s="26" t="n"/>
      <c r="G215" s="1">
        <f>IF(NOT(ISNUMBER(B215)),"",YEAR(B215)*100+MONTH(B215))</f>
        <v/>
      </c>
    </row>
    <row r="216">
      <c r="A216" s="1" t="n"/>
      <c r="B216" s="27" t="n"/>
      <c r="C216" s="18" t="n"/>
      <c r="D216" s="19" t="n"/>
      <c r="E216" s="21" t="n"/>
      <c r="F216" s="26" t="n"/>
      <c r="G216" s="1">
        <f>IF(NOT(ISNUMBER(B216)),"",YEAR(B216)*100+MONTH(B216))</f>
        <v/>
      </c>
    </row>
    <row r="217">
      <c r="A217" s="1" t="n"/>
      <c r="B217" s="27" t="n"/>
      <c r="C217" s="18" t="n"/>
      <c r="D217" s="19" t="n"/>
      <c r="E217" s="21" t="n"/>
      <c r="F217" s="26" t="n"/>
      <c r="G217" s="1">
        <f>IF(NOT(ISNUMBER(B217)),"",YEAR(B217)*100+MONTH(B217))</f>
        <v/>
      </c>
    </row>
    <row r="218">
      <c r="A218" s="1" t="n"/>
      <c r="B218" s="27" t="n"/>
      <c r="C218" s="18" t="n"/>
      <c r="D218" s="19" t="n"/>
      <c r="E218" s="21" t="n"/>
      <c r="F218" s="26" t="n"/>
      <c r="G218" s="1">
        <f>IF(NOT(ISNUMBER(B218)),"",YEAR(B218)*100+MONTH(B218))</f>
        <v/>
      </c>
    </row>
    <row r="219">
      <c r="A219" s="1" t="n"/>
      <c r="B219" s="27" t="n"/>
      <c r="C219" s="18" t="n"/>
      <c r="D219" s="19" t="n"/>
      <c r="E219" s="21" t="n"/>
      <c r="F219" s="26" t="n"/>
      <c r="G219" s="1">
        <f>IF(NOT(ISNUMBER(B219)),"",YEAR(B219)*100+MONTH(B219))</f>
        <v/>
      </c>
    </row>
    <row r="220">
      <c r="A220" s="1" t="n"/>
      <c r="B220" s="27" t="n"/>
      <c r="C220" s="18" t="n"/>
      <c r="D220" s="19" t="n"/>
      <c r="E220" s="21" t="n"/>
      <c r="F220" s="26" t="n"/>
      <c r="G220" s="1">
        <f>IF(NOT(ISNUMBER(B220)),"",YEAR(B220)*100+MONTH(B220))</f>
        <v/>
      </c>
    </row>
    <row r="221">
      <c r="A221" s="1" t="n"/>
      <c r="B221" s="27" t="n"/>
      <c r="C221" s="18" t="n"/>
      <c r="D221" s="19" t="n"/>
      <c r="E221" s="21" t="n"/>
      <c r="F221" s="26" t="n"/>
      <c r="G221" s="1">
        <f>IF(NOT(ISNUMBER(B221)),"",YEAR(B221)*100+MONTH(B221))</f>
        <v/>
      </c>
    </row>
    <row r="222">
      <c r="A222" s="1" t="n"/>
      <c r="B222" s="27" t="n"/>
      <c r="C222" s="18" t="n"/>
      <c r="D222" s="19" t="n"/>
      <c r="E222" s="21" t="n"/>
      <c r="F222" s="26" t="n"/>
      <c r="G222" s="1">
        <f>IF(NOT(ISNUMBER(B222)),"",YEAR(B222)*100+MONTH(B222))</f>
        <v/>
      </c>
    </row>
    <row r="223">
      <c r="A223" s="1" t="n"/>
      <c r="B223" s="27" t="n"/>
      <c r="C223" s="18" t="n"/>
      <c r="D223" s="19" t="n"/>
      <c r="E223" s="21" t="n"/>
      <c r="F223" s="26" t="n"/>
      <c r="G223" s="1">
        <f>IF(NOT(ISNUMBER(B223)),"",YEAR(B223)*100+MONTH(B223))</f>
        <v/>
      </c>
    </row>
    <row r="224">
      <c r="A224" s="1" t="n"/>
      <c r="B224" s="27" t="n"/>
      <c r="C224" s="18" t="n"/>
      <c r="D224" s="19" t="n"/>
      <c r="E224" s="21" t="n"/>
      <c r="F224" s="26" t="n"/>
      <c r="G224" s="1">
        <f>IF(NOT(ISNUMBER(B224)),"",YEAR(B224)*100+MONTH(B224))</f>
        <v/>
      </c>
    </row>
    <row r="225">
      <c r="A225" s="1" t="n"/>
      <c r="B225" s="27" t="n"/>
      <c r="C225" s="18" t="n"/>
      <c r="D225" s="19" t="n"/>
      <c r="E225" s="21" t="n"/>
      <c r="F225" s="26" t="n"/>
      <c r="G225" s="1">
        <f>IF(NOT(ISNUMBER(B225)),"",YEAR(B225)*100+MONTH(B225))</f>
        <v/>
      </c>
    </row>
    <row r="226">
      <c r="A226" s="1" t="n"/>
      <c r="B226" s="27" t="n"/>
      <c r="C226" s="18" t="n"/>
      <c r="D226" s="19" t="n"/>
      <c r="E226" s="21" t="n"/>
      <c r="F226" s="26" t="n"/>
      <c r="G226" s="1">
        <f>IF(NOT(ISNUMBER(B226)),"",YEAR(B226)*100+MONTH(B226))</f>
        <v/>
      </c>
    </row>
    <row r="227">
      <c r="A227" s="1" t="n"/>
      <c r="B227" s="27" t="n"/>
      <c r="C227" s="18" t="n"/>
      <c r="D227" s="19" t="n"/>
      <c r="E227" s="21" t="n"/>
      <c r="F227" s="26" t="n"/>
      <c r="G227" s="1">
        <f>IF(NOT(ISNUMBER(B227)),"",YEAR(B227)*100+MONTH(B227))</f>
        <v/>
      </c>
    </row>
    <row r="228">
      <c r="A228" s="1" t="n"/>
      <c r="B228" s="27" t="n"/>
      <c r="C228" s="18" t="n"/>
      <c r="D228" s="19" t="n"/>
      <c r="E228" s="21" t="n"/>
      <c r="F228" s="26" t="n"/>
      <c r="G228" s="1">
        <f>IF(NOT(ISNUMBER(B228)),"",YEAR(B228)*100+MONTH(B228))</f>
        <v/>
      </c>
    </row>
    <row r="229">
      <c r="A229" s="1" t="n"/>
      <c r="B229" s="27" t="n"/>
      <c r="C229" s="18" t="n"/>
      <c r="D229" s="19" t="n"/>
      <c r="E229" s="21" t="n"/>
      <c r="F229" s="26" t="n"/>
      <c r="G229" s="1">
        <f>IF(NOT(ISNUMBER(B229)),"",YEAR(B229)*100+MONTH(B229))</f>
        <v/>
      </c>
    </row>
    <row r="230">
      <c r="A230" s="1" t="n"/>
      <c r="B230" s="27" t="n"/>
      <c r="C230" s="18" t="n"/>
      <c r="D230" s="19" t="n"/>
      <c r="E230" s="21" t="n"/>
      <c r="F230" s="26" t="n"/>
      <c r="G230" s="1">
        <f>IF(NOT(ISNUMBER(B230)),"",YEAR(B230)*100+MONTH(B230))</f>
        <v/>
      </c>
    </row>
    <row r="231">
      <c r="A231" s="1" t="n"/>
      <c r="B231" s="27" t="n"/>
      <c r="C231" s="18" t="n"/>
      <c r="D231" s="19" t="n"/>
      <c r="E231" s="21" t="n"/>
      <c r="F231" s="26" t="n"/>
      <c r="G231" s="1">
        <f>IF(NOT(ISNUMBER(B231)),"",YEAR(B231)*100+MONTH(B231))</f>
        <v/>
      </c>
    </row>
    <row r="232">
      <c r="A232" s="1" t="n"/>
      <c r="B232" s="27" t="n"/>
      <c r="C232" s="18" t="n"/>
      <c r="D232" s="19" t="n"/>
      <c r="E232" s="21" t="n"/>
      <c r="F232" s="26" t="n"/>
      <c r="G232" s="1">
        <f>IF(NOT(ISNUMBER(B232)),"",YEAR(B232)*100+MONTH(B232))</f>
        <v/>
      </c>
    </row>
    <row r="233">
      <c r="A233" s="1" t="n"/>
      <c r="B233" s="27" t="n"/>
      <c r="C233" s="18" t="n"/>
      <c r="D233" s="19" t="n"/>
      <c r="E233" s="21" t="n"/>
      <c r="F233" s="26" t="n"/>
      <c r="G233" s="1">
        <f>IF(NOT(ISNUMBER(B233)),"",YEAR(B233)*100+MONTH(B233))</f>
        <v/>
      </c>
    </row>
    <row r="234">
      <c r="A234" s="1" t="n"/>
      <c r="B234" s="27" t="n"/>
      <c r="C234" s="18" t="n"/>
      <c r="D234" s="19" t="n"/>
      <c r="E234" s="21" t="n"/>
      <c r="F234" s="26" t="n"/>
      <c r="G234" s="1">
        <f>IF(NOT(ISNUMBER(B234)),"",YEAR(B234)*100+MONTH(B234))</f>
        <v/>
      </c>
    </row>
    <row r="235">
      <c r="A235" s="1" t="n"/>
      <c r="B235" s="27" t="n"/>
      <c r="C235" s="18" t="n"/>
      <c r="D235" s="19" t="n"/>
      <c r="E235" s="21" t="n"/>
      <c r="F235" s="26" t="n"/>
      <c r="G235" s="1">
        <f>IF(NOT(ISNUMBER(B235)),"",YEAR(B235)*100+MONTH(B235))</f>
        <v/>
      </c>
    </row>
    <row r="236">
      <c r="A236" s="1" t="n"/>
      <c r="B236" s="27" t="n"/>
      <c r="C236" s="18" t="n"/>
      <c r="D236" s="19" t="n"/>
      <c r="E236" s="21" t="n"/>
      <c r="F236" s="26" t="n"/>
      <c r="G236" s="1">
        <f>IF(NOT(ISNUMBER(B236)),"",YEAR(B236)*100+MONTH(B236))</f>
        <v/>
      </c>
    </row>
    <row r="237">
      <c r="A237" s="1" t="n"/>
      <c r="B237" s="27" t="n"/>
      <c r="C237" s="18" t="n"/>
      <c r="D237" s="19" t="n"/>
      <c r="E237" s="21" t="n"/>
      <c r="F237" s="26" t="n"/>
      <c r="G237" s="1">
        <f>IF(NOT(ISNUMBER(B237)),"",YEAR(B237)*100+MONTH(B237))</f>
        <v/>
      </c>
    </row>
    <row r="238">
      <c r="A238" s="1" t="n"/>
      <c r="B238" s="27" t="n"/>
      <c r="C238" s="18" t="n"/>
      <c r="D238" s="19" t="n"/>
      <c r="E238" s="21" t="n"/>
      <c r="F238" s="26" t="n"/>
      <c r="G238" s="1">
        <f>IF(NOT(ISNUMBER(B238)),"",YEAR(B238)*100+MONTH(B238))</f>
        <v/>
      </c>
    </row>
    <row r="239">
      <c r="A239" s="1" t="n"/>
      <c r="B239" s="27" t="n"/>
      <c r="C239" s="18" t="n"/>
      <c r="D239" s="19" t="n"/>
      <c r="E239" s="21" t="n"/>
      <c r="F239" s="26" t="n"/>
      <c r="G239" s="1">
        <f>IF(NOT(ISNUMBER(B239)),"",YEAR(B239)*100+MONTH(B239))</f>
        <v/>
      </c>
    </row>
    <row r="240">
      <c r="A240" s="1" t="n"/>
      <c r="B240" s="27" t="n"/>
      <c r="C240" s="18" t="n"/>
      <c r="D240" s="19" t="n"/>
      <c r="E240" s="21" t="n"/>
      <c r="F240" s="26" t="n"/>
      <c r="G240" s="1">
        <f>IF(NOT(ISNUMBER(B240)),"",YEAR(B240)*100+MONTH(B240))</f>
        <v/>
      </c>
    </row>
    <row r="241">
      <c r="A241" s="1" t="n"/>
      <c r="B241" s="27" t="n"/>
      <c r="C241" s="18" t="n"/>
      <c r="D241" s="19" t="n"/>
      <c r="E241" s="21" t="n"/>
      <c r="F241" s="26" t="n"/>
      <c r="G241" s="1">
        <f>IF(NOT(ISNUMBER(B241)),"",YEAR(B241)*100+MONTH(B241))</f>
        <v/>
      </c>
    </row>
    <row r="242">
      <c r="A242" s="1" t="n"/>
      <c r="B242" s="27" t="n"/>
      <c r="C242" s="18" t="n"/>
      <c r="D242" s="19" t="n"/>
      <c r="E242" s="21" t="n"/>
      <c r="F242" s="26" t="n"/>
      <c r="G242" s="1">
        <f>IF(NOT(ISNUMBER(B242)),"",YEAR(B242)*100+MONTH(B242))</f>
        <v/>
      </c>
    </row>
    <row r="243">
      <c r="A243" s="1" t="n"/>
      <c r="B243" s="27" t="n"/>
      <c r="C243" s="18" t="n"/>
      <c r="D243" s="19" t="n"/>
      <c r="E243" s="21" t="n"/>
      <c r="F243" s="26" t="n"/>
      <c r="G243" s="1">
        <f>IF(NOT(ISNUMBER(B243)),"",YEAR(B243)*100+MONTH(B243))</f>
        <v/>
      </c>
    </row>
    <row r="244">
      <c r="A244" s="1" t="n"/>
      <c r="B244" s="27" t="n"/>
      <c r="C244" s="18" t="n"/>
      <c r="D244" s="19" t="n"/>
      <c r="E244" s="21" t="n"/>
      <c r="F244" s="26" t="n"/>
      <c r="G244" s="1">
        <f>IF(NOT(ISNUMBER(B244)),"",YEAR(B244)*100+MONTH(B244))</f>
        <v/>
      </c>
    </row>
    <row r="245">
      <c r="A245" s="1" t="n"/>
      <c r="B245" s="27" t="n"/>
      <c r="C245" s="18" t="n"/>
      <c r="D245" s="19" t="n"/>
      <c r="E245" s="21" t="n"/>
      <c r="F245" s="26" t="n"/>
      <c r="G245" s="1">
        <f>IF(NOT(ISNUMBER(B245)),"",YEAR(B245)*100+MONTH(B245))</f>
        <v/>
      </c>
    </row>
    <row r="246">
      <c r="A246" s="1" t="n"/>
      <c r="B246" s="27" t="n"/>
      <c r="C246" s="18" t="n"/>
      <c r="D246" s="19" t="n"/>
      <c r="E246" s="21" t="n"/>
      <c r="F246" s="26" t="n"/>
      <c r="G246" s="1">
        <f>IF(NOT(ISNUMBER(B246)),"",YEAR(B246)*100+MONTH(B246))</f>
        <v/>
      </c>
    </row>
    <row r="247">
      <c r="A247" s="1" t="n"/>
      <c r="B247" s="27" t="n"/>
      <c r="C247" s="18" t="n"/>
      <c r="D247" s="19" t="n"/>
      <c r="E247" s="21" t="n"/>
      <c r="F247" s="26" t="n"/>
      <c r="G247" s="1">
        <f>IF(NOT(ISNUMBER(B247)),"",YEAR(B247)*100+MONTH(B247))</f>
        <v/>
      </c>
    </row>
    <row r="248">
      <c r="A248" s="1" t="n"/>
      <c r="B248" s="27" t="n"/>
      <c r="C248" s="18" t="n"/>
      <c r="D248" s="19" t="n"/>
      <c r="E248" s="21" t="n"/>
      <c r="F248" s="26" t="n"/>
      <c r="G248" s="1">
        <f>IF(NOT(ISNUMBER(B248)),"",YEAR(B248)*100+MONTH(B248))</f>
        <v/>
      </c>
    </row>
    <row r="249">
      <c r="A249" s="1" t="n"/>
      <c r="B249" s="27" t="n"/>
      <c r="C249" s="18" t="n"/>
      <c r="D249" s="19" t="n"/>
      <c r="E249" s="21" t="n"/>
      <c r="F249" s="26" t="n"/>
      <c r="G249" s="1">
        <f>IF(NOT(ISNUMBER(B249)),"",YEAR(B249)*100+MONTH(B249))</f>
        <v/>
      </c>
    </row>
    <row r="250">
      <c r="A250" s="1" t="n"/>
      <c r="B250" s="27" t="n"/>
      <c r="C250" s="18" t="n"/>
      <c r="D250" s="19" t="n"/>
      <c r="E250" s="21" t="n"/>
      <c r="F250" s="26" t="n"/>
      <c r="G250" s="1">
        <f>IF(NOT(ISNUMBER(B250)),"",YEAR(B250)*100+MONTH(B250))</f>
        <v/>
      </c>
    </row>
    <row r="251">
      <c r="A251" s="1" t="n"/>
      <c r="B251" s="27" t="n"/>
      <c r="C251" s="18" t="n"/>
      <c r="D251" s="19" t="n"/>
      <c r="E251" s="21" t="n"/>
      <c r="F251" s="26" t="n"/>
      <c r="G251" s="1">
        <f>IF(NOT(ISNUMBER(B251)),"",YEAR(B251)*100+MONTH(B251))</f>
        <v/>
      </c>
    </row>
    <row r="252">
      <c r="A252" s="1" t="n"/>
      <c r="B252" s="27" t="n"/>
      <c r="C252" s="18" t="n"/>
      <c r="D252" s="19" t="n"/>
      <c r="E252" s="21" t="n"/>
      <c r="F252" s="26" t="n"/>
      <c r="G252" s="1">
        <f>IF(NOT(ISNUMBER(B252)),"",YEAR(B252)*100+MONTH(B252))</f>
        <v/>
      </c>
    </row>
    <row r="253">
      <c r="A253" s="1" t="n"/>
      <c r="B253" s="27" t="n"/>
      <c r="C253" s="18" t="n"/>
      <c r="D253" s="19" t="n"/>
      <c r="E253" s="21" t="n"/>
      <c r="F253" s="26" t="n"/>
      <c r="G253" s="1">
        <f>IF(NOT(ISNUMBER(B253)),"",YEAR(B253)*100+MONTH(B253))</f>
        <v/>
      </c>
    </row>
    <row r="254">
      <c r="A254" s="1" t="n"/>
      <c r="B254" s="27" t="n"/>
      <c r="C254" s="18" t="n"/>
      <c r="D254" s="19" t="n"/>
      <c r="E254" s="21" t="n"/>
      <c r="F254" s="26" t="n"/>
      <c r="G254" s="1">
        <f>IF(NOT(ISNUMBER(B254)),"",YEAR(B254)*100+MONTH(B254))</f>
        <v/>
      </c>
    </row>
    <row r="255">
      <c r="A255" s="1" t="n"/>
      <c r="B255" s="27" t="n"/>
      <c r="C255" s="18" t="n"/>
      <c r="D255" s="19" t="n"/>
      <c r="E255" s="21" t="n"/>
      <c r="F255" s="26" t="n"/>
      <c r="G255" s="1">
        <f>IF(NOT(ISNUMBER(B255)),"",YEAR(B255)*100+MONTH(B255))</f>
        <v/>
      </c>
    </row>
    <row r="256">
      <c r="A256" s="1" t="n"/>
      <c r="B256" s="27" t="n"/>
      <c r="C256" s="18" t="n"/>
      <c r="D256" s="19" t="n"/>
      <c r="E256" s="21" t="n"/>
      <c r="F256" s="26" t="n"/>
      <c r="G256" s="1">
        <f>IF(NOT(ISNUMBER(B256)),"",YEAR(B256)*100+MONTH(B256))</f>
        <v/>
      </c>
    </row>
    <row r="257">
      <c r="A257" s="1" t="n"/>
      <c r="B257" s="27" t="n"/>
      <c r="C257" s="18" t="n"/>
      <c r="D257" s="19" t="n"/>
      <c r="E257" s="21" t="n"/>
      <c r="F257" s="26" t="n"/>
      <c r="G257" s="1">
        <f>IF(NOT(ISNUMBER(B257)),"",YEAR(B257)*100+MONTH(B257))</f>
        <v/>
      </c>
    </row>
    <row r="258">
      <c r="A258" s="1" t="n"/>
      <c r="B258" s="27" t="n"/>
      <c r="C258" s="18" t="n"/>
      <c r="D258" s="19" t="n"/>
      <c r="E258" s="21" t="n"/>
      <c r="F258" s="26" t="n"/>
      <c r="G258" s="1">
        <f>IF(NOT(ISNUMBER(B258)),"",YEAR(B258)*100+MONTH(B258))</f>
        <v/>
      </c>
    </row>
    <row r="259">
      <c r="A259" s="1" t="n"/>
      <c r="B259" s="27" t="n"/>
      <c r="C259" s="18" t="n"/>
      <c r="D259" s="19" t="n"/>
      <c r="E259" s="21" t="n"/>
      <c r="F259" s="26" t="n"/>
      <c r="G259" s="1">
        <f>IF(NOT(ISNUMBER(B259)),"",YEAR(B259)*100+MONTH(B259))</f>
        <v/>
      </c>
    </row>
    <row r="260">
      <c r="A260" s="1" t="n"/>
      <c r="B260" s="27" t="n"/>
      <c r="C260" s="18" t="n"/>
      <c r="D260" s="19" t="n"/>
      <c r="E260" s="21" t="n"/>
      <c r="F260" s="26" t="n"/>
      <c r="G260" s="1">
        <f>IF(NOT(ISNUMBER(B260)),"",YEAR(B260)*100+MONTH(B260))</f>
        <v/>
      </c>
    </row>
    <row r="261">
      <c r="A261" s="1" t="n"/>
      <c r="B261" s="27" t="n"/>
      <c r="C261" s="18" t="n"/>
      <c r="D261" s="19" t="n"/>
      <c r="E261" s="21" t="n"/>
      <c r="F261" s="26" t="n"/>
      <c r="G261" s="1">
        <f>IF(NOT(ISNUMBER(B261)),"",YEAR(B261)*100+MONTH(B261))</f>
        <v/>
      </c>
    </row>
    <row r="262">
      <c r="A262" s="1" t="n"/>
      <c r="B262" s="27" t="n"/>
      <c r="C262" s="18" t="n"/>
      <c r="D262" s="19" t="n"/>
      <c r="E262" s="21" t="n"/>
      <c r="F262" s="26" t="n"/>
      <c r="G262" s="1">
        <f>IF(NOT(ISNUMBER(B262)),"",YEAR(B262)*100+MONTH(B262))</f>
        <v/>
      </c>
    </row>
    <row r="263">
      <c r="A263" s="1" t="n"/>
      <c r="B263" s="27" t="n"/>
      <c r="C263" s="18" t="n"/>
      <c r="D263" s="19" t="n"/>
      <c r="E263" s="21" t="n"/>
      <c r="F263" s="26" t="n"/>
      <c r="G263" s="1">
        <f>IF(NOT(ISNUMBER(B263)),"",YEAR(B263)*100+MONTH(B263))</f>
        <v/>
      </c>
    </row>
    <row r="264">
      <c r="A264" s="1" t="n"/>
      <c r="B264" s="27" t="n"/>
      <c r="C264" s="18" t="n"/>
      <c r="D264" s="19" t="n"/>
      <c r="E264" s="21" t="n"/>
      <c r="F264" s="26" t="n"/>
      <c r="G264" s="1">
        <f>IF(NOT(ISNUMBER(B264)),"",YEAR(B264)*100+MONTH(B264))</f>
        <v/>
      </c>
    </row>
    <row r="265">
      <c r="A265" s="1" t="n"/>
      <c r="B265" s="27" t="n"/>
      <c r="C265" s="18" t="n"/>
      <c r="D265" s="19" t="n"/>
      <c r="E265" s="21" t="n"/>
      <c r="F265" s="26" t="n"/>
      <c r="G265" s="1">
        <f>IF(NOT(ISNUMBER(B265)),"",YEAR(B265)*100+MONTH(B265))</f>
        <v/>
      </c>
    </row>
    <row r="266">
      <c r="A266" s="1" t="n"/>
      <c r="B266" s="27" t="n"/>
      <c r="C266" s="18" t="n"/>
      <c r="D266" s="19" t="n"/>
      <c r="E266" s="21" t="n"/>
      <c r="F266" s="26" t="n"/>
      <c r="G266" s="1">
        <f>IF(NOT(ISNUMBER(B266)),"",YEAR(B266)*100+MONTH(B266))</f>
        <v/>
      </c>
    </row>
    <row r="267">
      <c r="A267" s="1" t="n"/>
      <c r="B267" s="27" t="n"/>
      <c r="C267" s="18" t="n"/>
      <c r="D267" s="19" t="n"/>
      <c r="E267" s="21" t="n"/>
      <c r="F267" s="26" t="n"/>
      <c r="G267" s="1">
        <f>IF(NOT(ISNUMBER(B267)),"",YEAR(B267)*100+MONTH(B267))</f>
        <v/>
      </c>
    </row>
    <row r="268">
      <c r="A268" s="1" t="n"/>
      <c r="B268" s="27" t="n"/>
      <c r="C268" s="18" t="n"/>
      <c r="D268" s="19" t="n"/>
      <c r="E268" s="21" t="n"/>
      <c r="F268" s="26" t="n"/>
      <c r="G268" s="1">
        <f>IF(NOT(ISNUMBER(B268)),"",YEAR(B268)*100+MONTH(B268))</f>
        <v/>
      </c>
    </row>
    <row r="269">
      <c r="A269" s="1" t="n"/>
      <c r="B269" s="27" t="n"/>
      <c r="C269" s="18" t="n"/>
      <c r="D269" s="19" t="n"/>
      <c r="E269" s="21" t="n"/>
      <c r="F269" s="26" t="n"/>
      <c r="G269" s="1">
        <f>IF(NOT(ISNUMBER(B269)),"",YEAR(B269)*100+MONTH(B269))</f>
        <v/>
      </c>
    </row>
    <row r="270">
      <c r="A270" s="1" t="n"/>
      <c r="B270" s="27" t="n"/>
      <c r="C270" s="18" t="n"/>
      <c r="D270" s="19" t="n"/>
      <c r="E270" s="21" t="n"/>
      <c r="F270" s="26" t="n"/>
      <c r="G270" s="1">
        <f>IF(NOT(ISNUMBER(B270)),"",YEAR(B270)*100+MONTH(B270))</f>
        <v/>
      </c>
    </row>
    <row r="271">
      <c r="A271" s="1" t="n"/>
      <c r="B271" s="27" t="n"/>
      <c r="C271" s="18" t="n"/>
      <c r="D271" s="19" t="n"/>
      <c r="E271" s="21" t="n"/>
      <c r="F271" s="26" t="n"/>
      <c r="G271" s="1">
        <f>IF(NOT(ISNUMBER(B271)),"",YEAR(B271)*100+MONTH(B271))</f>
        <v/>
      </c>
    </row>
    <row r="272">
      <c r="A272" s="1" t="n"/>
      <c r="B272" s="27" t="n"/>
      <c r="C272" s="18" t="n"/>
      <c r="D272" s="19" t="n"/>
      <c r="E272" s="21" t="n"/>
      <c r="F272" s="26" t="n"/>
      <c r="G272" s="1">
        <f>IF(NOT(ISNUMBER(B272)),"",YEAR(B272)*100+MONTH(B272))</f>
        <v/>
      </c>
    </row>
    <row r="273">
      <c r="A273" s="1" t="n"/>
      <c r="B273" s="27" t="n"/>
      <c r="C273" s="18" t="n"/>
      <c r="D273" s="19" t="n"/>
      <c r="E273" s="21" t="n"/>
      <c r="F273" s="26" t="n"/>
      <c r="G273" s="1">
        <f>IF(NOT(ISNUMBER(B273)),"",YEAR(B273)*100+MONTH(B273))</f>
        <v/>
      </c>
    </row>
    <row r="274">
      <c r="A274" s="1" t="n"/>
      <c r="B274" s="27" t="n"/>
      <c r="C274" s="18" t="n"/>
      <c r="D274" s="19" t="n"/>
      <c r="E274" s="21" t="n"/>
      <c r="F274" s="26" t="n"/>
      <c r="G274" s="1">
        <f>IF(NOT(ISNUMBER(B274)),"",YEAR(B274)*100+MONTH(B274))</f>
        <v/>
      </c>
    </row>
    <row r="275">
      <c r="A275" s="1" t="n"/>
      <c r="B275" s="27" t="n"/>
      <c r="C275" s="18" t="n"/>
      <c r="D275" s="19" t="n"/>
      <c r="E275" s="21" t="n"/>
      <c r="F275" s="26" t="n"/>
      <c r="G275" s="1">
        <f>IF(NOT(ISNUMBER(B275)),"",YEAR(B275)*100+MONTH(B275))</f>
        <v/>
      </c>
    </row>
    <row r="276">
      <c r="A276" s="1" t="n"/>
      <c r="B276" s="27" t="n"/>
      <c r="C276" s="18" t="n"/>
      <c r="D276" s="19" t="n"/>
      <c r="E276" s="21" t="n"/>
      <c r="F276" s="26" t="n"/>
      <c r="G276" s="1">
        <f>IF(NOT(ISNUMBER(B276)),"",YEAR(B276)*100+MONTH(B276))</f>
        <v/>
      </c>
    </row>
    <row r="277">
      <c r="A277" s="1" t="n"/>
      <c r="B277" s="27" t="n"/>
      <c r="C277" s="18" t="n"/>
      <c r="D277" s="19" t="n"/>
      <c r="E277" s="21" t="n"/>
      <c r="F277" s="26" t="n"/>
      <c r="G277" s="1">
        <f>IF(NOT(ISNUMBER(B277)),"",YEAR(B277)*100+MONTH(B277))</f>
        <v/>
      </c>
    </row>
    <row r="278">
      <c r="A278" s="1" t="n"/>
      <c r="B278" s="27" t="n"/>
      <c r="C278" s="18" t="n"/>
      <c r="D278" s="19" t="n"/>
      <c r="E278" s="21" t="n"/>
      <c r="F278" s="26" t="n"/>
      <c r="G278" s="1">
        <f>IF(NOT(ISNUMBER(B278)),"",YEAR(B278)*100+MONTH(B278))</f>
        <v/>
      </c>
    </row>
    <row r="279">
      <c r="A279" s="1" t="n"/>
      <c r="B279" s="27" t="n"/>
      <c r="C279" s="18" t="n"/>
      <c r="D279" s="19" t="n"/>
      <c r="E279" s="21" t="n"/>
      <c r="F279" s="26" t="n"/>
      <c r="G279" s="1">
        <f>IF(NOT(ISNUMBER(B279)),"",YEAR(B279)*100+MONTH(B279))</f>
        <v/>
      </c>
    </row>
    <row r="280">
      <c r="A280" s="1" t="n"/>
      <c r="B280" s="27" t="n"/>
      <c r="C280" s="18" t="n"/>
      <c r="D280" s="19" t="n"/>
      <c r="E280" s="21" t="n"/>
      <c r="F280" s="26" t="n"/>
      <c r="G280" s="1">
        <f>IF(NOT(ISNUMBER(B280)),"",YEAR(B280)*100+MONTH(B280))</f>
        <v/>
      </c>
    </row>
    <row r="281">
      <c r="A281" s="1" t="n"/>
      <c r="B281" s="27" t="n"/>
      <c r="C281" s="18" t="n"/>
      <c r="D281" s="19" t="n"/>
      <c r="E281" s="21" t="n"/>
      <c r="F281" s="26" t="n"/>
      <c r="G281" s="1">
        <f>IF(NOT(ISNUMBER(B281)),"",YEAR(B281)*100+MONTH(B281))</f>
        <v/>
      </c>
    </row>
    <row r="282">
      <c r="A282" s="1" t="n"/>
      <c r="B282" s="27" t="n"/>
      <c r="C282" s="18" t="n"/>
      <c r="D282" s="19" t="n"/>
      <c r="E282" s="21" t="n"/>
      <c r="F282" s="26" t="n"/>
      <c r="G282" s="1">
        <f>IF(NOT(ISNUMBER(B282)),"",YEAR(B282)*100+MONTH(B282))</f>
        <v/>
      </c>
    </row>
    <row r="283">
      <c r="A283" s="1" t="n"/>
      <c r="B283" s="27" t="n"/>
      <c r="C283" s="18" t="n"/>
      <c r="D283" s="19" t="n"/>
      <c r="E283" s="21" t="n"/>
      <c r="F283" s="26" t="n"/>
      <c r="G283" s="1">
        <f>IF(NOT(ISNUMBER(B283)),"",YEAR(B283)*100+MONTH(B283))</f>
        <v/>
      </c>
    </row>
    <row r="284">
      <c r="A284" s="1" t="n"/>
      <c r="B284" s="27" t="n"/>
      <c r="C284" s="18" t="n"/>
      <c r="D284" s="19" t="n"/>
      <c r="E284" s="21" t="n"/>
      <c r="F284" s="26" t="n"/>
      <c r="G284" s="1">
        <f>IF(NOT(ISNUMBER(B284)),"",YEAR(B284)*100+MONTH(B284))</f>
        <v/>
      </c>
    </row>
    <row r="285">
      <c r="A285" s="1" t="n"/>
      <c r="B285" s="27" t="n"/>
      <c r="C285" s="18" t="n"/>
      <c r="D285" s="19" t="n"/>
      <c r="E285" s="21" t="n"/>
      <c r="F285" s="26" t="n"/>
      <c r="G285" s="1">
        <f>IF(NOT(ISNUMBER(B285)),"",YEAR(B285)*100+MONTH(B285))</f>
        <v/>
      </c>
    </row>
    <row r="286">
      <c r="A286" s="1" t="n"/>
      <c r="B286" s="27" t="n"/>
      <c r="C286" s="18" t="n"/>
      <c r="D286" s="19" t="n"/>
      <c r="E286" s="21" t="n"/>
      <c r="F286" s="26" t="n"/>
      <c r="G286" s="1">
        <f>IF(NOT(ISNUMBER(B286)),"",YEAR(B286)*100+MONTH(B286))</f>
        <v/>
      </c>
    </row>
    <row r="287">
      <c r="A287" s="1" t="n"/>
      <c r="B287" s="27" t="n"/>
      <c r="C287" s="18" t="n"/>
      <c r="D287" s="19" t="n"/>
      <c r="E287" s="21" t="n"/>
      <c r="F287" s="26" t="n"/>
      <c r="G287" s="1">
        <f>IF(NOT(ISNUMBER(B287)),"",YEAR(B287)*100+MONTH(B287))</f>
        <v/>
      </c>
    </row>
    <row r="288">
      <c r="A288" s="1" t="n"/>
      <c r="B288" s="27" t="n"/>
      <c r="C288" s="18" t="n"/>
      <c r="D288" s="19" t="n"/>
      <c r="E288" s="21" t="n"/>
      <c r="F288" s="26" t="n"/>
      <c r="G288" s="1">
        <f>IF(NOT(ISNUMBER(B288)),"",YEAR(B288)*100+MONTH(B288))</f>
        <v/>
      </c>
    </row>
    <row r="289">
      <c r="A289" s="1" t="n"/>
      <c r="B289" s="27" t="n"/>
      <c r="C289" s="18" t="n"/>
      <c r="D289" s="19" t="n"/>
      <c r="E289" s="21" t="n"/>
      <c r="F289" s="26" t="n"/>
      <c r="G289" s="1">
        <f>IF(NOT(ISNUMBER(B289)),"",YEAR(B289)*100+MONTH(B289))</f>
        <v/>
      </c>
    </row>
    <row r="290">
      <c r="A290" s="1" t="n"/>
      <c r="B290" s="27" t="n"/>
      <c r="C290" s="18" t="n"/>
      <c r="D290" s="19" t="n"/>
      <c r="E290" s="21" t="n"/>
      <c r="F290" s="26" t="n"/>
      <c r="G290" s="1">
        <f>IF(NOT(ISNUMBER(B290)),"",YEAR(B290)*100+MONTH(B290))</f>
        <v/>
      </c>
    </row>
    <row r="291">
      <c r="A291" s="1" t="n"/>
      <c r="B291" s="27" t="n"/>
      <c r="C291" s="18" t="n"/>
      <c r="D291" s="19" t="n"/>
      <c r="E291" s="21" t="n"/>
      <c r="F291" s="26" t="n"/>
      <c r="G291" s="1">
        <f>IF(NOT(ISNUMBER(B291)),"",YEAR(B291)*100+MONTH(B291))</f>
        <v/>
      </c>
    </row>
    <row r="292">
      <c r="A292" s="1" t="n"/>
      <c r="B292" s="27" t="n"/>
      <c r="C292" s="18" t="n"/>
      <c r="D292" s="19" t="n"/>
      <c r="E292" s="21" t="n"/>
      <c r="F292" s="26" t="n"/>
      <c r="G292" s="1">
        <f>IF(NOT(ISNUMBER(B292)),"",YEAR(B292)*100+MONTH(B292))</f>
        <v/>
      </c>
    </row>
    <row r="293">
      <c r="A293" s="1" t="n"/>
      <c r="B293" s="27" t="n"/>
      <c r="C293" s="18" t="n"/>
      <c r="D293" s="19" t="n"/>
      <c r="E293" s="21" t="n"/>
      <c r="F293" s="26" t="n"/>
      <c r="G293" s="1">
        <f>IF(NOT(ISNUMBER(B293)),"",YEAR(B293)*100+MONTH(B293))</f>
        <v/>
      </c>
    </row>
    <row r="294">
      <c r="A294" s="1" t="n"/>
      <c r="B294" s="27" t="n"/>
      <c r="C294" s="18" t="n"/>
      <c r="D294" s="19" t="n"/>
      <c r="E294" s="21" t="n"/>
      <c r="F294" s="26" t="n"/>
      <c r="G294" s="1">
        <f>IF(NOT(ISNUMBER(B294)),"",YEAR(B294)*100+MONTH(B294))</f>
        <v/>
      </c>
    </row>
    <row r="295">
      <c r="A295" s="1" t="n"/>
      <c r="B295" s="27" t="n"/>
      <c r="C295" s="18" t="n"/>
      <c r="D295" s="19" t="n"/>
      <c r="E295" s="21" t="n"/>
      <c r="F295" s="26" t="n"/>
      <c r="G295" s="1">
        <f>IF(NOT(ISNUMBER(B295)),"",YEAR(B295)*100+MONTH(B295))</f>
        <v/>
      </c>
    </row>
    <row r="296">
      <c r="A296" s="1" t="n"/>
      <c r="B296" s="27" t="n"/>
      <c r="C296" s="18" t="n"/>
      <c r="D296" s="19" t="n"/>
      <c r="E296" s="21" t="n"/>
      <c r="F296" s="26" t="n"/>
      <c r="G296" s="1">
        <f>IF(NOT(ISNUMBER(B296)),"",YEAR(B296)*100+MONTH(B296))</f>
        <v/>
      </c>
    </row>
    <row r="297">
      <c r="A297" s="1" t="n"/>
      <c r="B297" s="27" t="n"/>
      <c r="C297" s="18" t="n"/>
      <c r="D297" s="19" t="n"/>
      <c r="E297" s="21" t="n"/>
      <c r="F297" s="26" t="n"/>
      <c r="G297" s="1">
        <f>IF(NOT(ISNUMBER(B297)),"",YEAR(B297)*100+MONTH(B297))</f>
        <v/>
      </c>
    </row>
    <row r="298">
      <c r="A298" s="1" t="n"/>
      <c r="B298" s="27" t="n"/>
      <c r="C298" s="18" t="n"/>
      <c r="D298" s="19" t="n"/>
      <c r="E298" s="21" t="n"/>
      <c r="F298" s="26" t="n"/>
      <c r="G298" s="1">
        <f>IF(NOT(ISNUMBER(B298)),"",YEAR(B298)*100+MONTH(B298))</f>
        <v/>
      </c>
    </row>
    <row r="299">
      <c r="A299" s="1" t="n"/>
      <c r="B299" s="27" t="n"/>
      <c r="C299" s="18" t="n"/>
      <c r="D299" s="19" t="n"/>
      <c r="E299" s="21" t="n"/>
      <c r="F299" s="26" t="n"/>
      <c r="G299" s="1">
        <f>IF(NOT(ISNUMBER(B299)),"",YEAR(B299)*100+MONTH(B299))</f>
        <v/>
      </c>
    </row>
    <row r="300">
      <c r="A300" s="1" t="n"/>
      <c r="B300" s="27" t="n"/>
      <c r="C300" s="18" t="n"/>
      <c r="D300" s="19" t="n"/>
      <c r="E300" s="21" t="n"/>
      <c r="F300" s="26" t="n"/>
      <c r="G300" s="1">
        <f>IF(NOT(ISNUMBER(B300)),"",YEAR(B300)*100+MONTH(B300))</f>
        <v/>
      </c>
    </row>
    <row r="301">
      <c r="A301" s="1" t="n"/>
      <c r="B301" s="27" t="n"/>
      <c r="C301" s="18" t="n"/>
      <c r="D301" s="19" t="n"/>
      <c r="E301" s="21" t="n"/>
      <c r="F301" s="26" t="n"/>
      <c r="G301" s="1">
        <f>IF(NOT(ISNUMBER(B301)),"",YEAR(B301)*100+MONTH(B301))</f>
        <v/>
      </c>
    </row>
    <row r="302">
      <c r="A302" s="1" t="n"/>
      <c r="B302" s="27" t="n"/>
      <c r="C302" s="18" t="n"/>
      <c r="D302" s="19" t="n"/>
      <c r="E302" s="21" t="n"/>
      <c r="F302" s="26" t="n"/>
      <c r="G302" s="1">
        <f>IF(NOT(ISNUMBER(B302)),"",YEAR(B302)*100+MONTH(B302))</f>
        <v/>
      </c>
    </row>
    <row r="303">
      <c r="A303" s="1" t="n"/>
      <c r="B303" s="27" t="n"/>
      <c r="C303" s="18" t="n"/>
      <c r="D303" s="19" t="n"/>
      <c r="E303" s="21" t="n"/>
      <c r="F303" s="26" t="n"/>
      <c r="G303" s="1">
        <f>IF(NOT(ISNUMBER(B303)),"",YEAR(B303)*100+MONTH(B303))</f>
        <v/>
      </c>
    </row>
    <row r="304">
      <c r="A304" s="1" t="n"/>
      <c r="B304" s="27" t="n"/>
      <c r="C304" s="18" t="n"/>
      <c r="D304" s="19" t="n"/>
      <c r="E304" s="21" t="n"/>
      <c r="F304" s="26" t="n"/>
      <c r="G304" s="1">
        <f>IF(NOT(ISNUMBER(B304)),"",YEAR(B304)*100+MONTH(B304))</f>
        <v/>
      </c>
    </row>
    <row r="305">
      <c r="A305" s="1" t="n"/>
      <c r="B305" s="27" t="n"/>
      <c r="C305" s="18" t="n"/>
      <c r="D305" s="19" t="n"/>
      <c r="E305" s="21" t="n"/>
      <c r="F305" s="26" t="n"/>
      <c r="G305" s="1">
        <f>IF(NOT(ISNUMBER(B305)),"",YEAR(B305)*100+MONTH(B305))</f>
        <v/>
      </c>
    </row>
    <row r="306">
      <c r="A306" s="1" t="n"/>
      <c r="B306" s="27" t="n"/>
      <c r="C306" s="18" t="n"/>
      <c r="D306" s="19" t="n"/>
      <c r="E306" s="21" t="n"/>
      <c r="F306" s="26" t="n"/>
      <c r="G306" s="1">
        <f>IF(NOT(ISNUMBER(B306)),"",YEAR(B306)*100+MONTH(B306))</f>
        <v/>
      </c>
    </row>
    <row r="307">
      <c r="A307" s="1" t="n"/>
      <c r="B307" s="27" t="n"/>
      <c r="C307" s="18" t="n"/>
      <c r="D307" s="19" t="n"/>
      <c r="E307" s="21" t="n"/>
      <c r="F307" s="26" t="n"/>
      <c r="G307" s="1">
        <f>IF(NOT(ISNUMBER(B307)),"",YEAR(B307)*100+MONTH(B307))</f>
        <v/>
      </c>
    </row>
    <row r="308">
      <c r="A308" s="1" t="n"/>
      <c r="B308" s="27" t="n"/>
      <c r="C308" s="18" t="n"/>
      <c r="D308" s="19" t="n"/>
      <c r="E308" s="21" t="n"/>
      <c r="F308" s="26" t="n"/>
      <c r="G308" s="1">
        <f>IF(NOT(ISNUMBER(B308)),"",YEAR(B308)*100+MONTH(B308))</f>
        <v/>
      </c>
    </row>
    <row r="309">
      <c r="A309" s="1" t="n"/>
      <c r="B309" s="27" t="n"/>
      <c r="C309" s="18" t="n"/>
      <c r="D309" s="19" t="n"/>
      <c r="E309" s="21" t="n"/>
      <c r="F309" s="26" t="n"/>
      <c r="G309" s="1">
        <f>IF(NOT(ISNUMBER(B309)),"",YEAR(B309)*100+MONTH(B309))</f>
        <v/>
      </c>
    </row>
    <row r="310">
      <c r="A310" s="1" t="n"/>
      <c r="B310" s="27" t="n"/>
      <c r="C310" s="18" t="n"/>
      <c r="D310" s="19" t="n"/>
      <c r="E310" s="21" t="n"/>
      <c r="F310" s="26" t="n"/>
      <c r="G310" s="1">
        <f>IF(NOT(ISNUMBER(B310)),"",YEAR(B310)*100+MONTH(B310))</f>
        <v/>
      </c>
    </row>
    <row r="311">
      <c r="A311" s="1" t="n"/>
      <c r="B311" s="27" t="n"/>
      <c r="C311" s="18" t="n"/>
      <c r="D311" s="19" t="n"/>
      <c r="E311" s="21" t="n"/>
      <c r="F311" s="26" t="n"/>
      <c r="G311" s="1">
        <f>IF(NOT(ISNUMBER(B311)),"",YEAR(B311)*100+MONTH(B311))</f>
        <v/>
      </c>
    </row>
    <row r="312">
      <c r="A312" s="1" t="n"/>
      <c r="B312" s="27" t="n"/>
      <c r="C312" s="18" t="n"/>
      <c r="D312" s="19" t="n"/>
      <c r="E312" s="21" t="n"/>
      <c r="F312" s="26" t="n"/>
      <c r="G312" s="1">
        <f>IF(NOT(ISNUMBER(B312)),"",YEAR(B312)*100+MONTH(B312))</f>
        <v/>
      </c>
    </row>
    <row r="313">
      <c r="A313" s="1" t="n"/>
      <c r="B313" s="27" t="n"/>
      <c r="C313" s="18" t="n"/>
      <c r="D313" s="19" t="n"/>
      <c r="E313" s="21" t="n"/>
      <c r="F313" s="26" t="n"/>
      <c r="G313" s="1">
        <f>IF(NOT(ISNUMBER(B313)),"",YEAR(B313)*100+MONTH(B313))</f>
        <v/>
      </c>
    </row>
    <row r="314">
      <c r="A314" s="1" t="n"/>
      <c r="B314" s="27" t="n"/>
      <c r="C314" s="18" t="n"/>
      <c r="D314" s="19" t="n"/>
      <c r="E314" s="21" t="n"/>
      <c r="F314" s="26" t="n"/>
      <c r="G314" s="1">
        <f>IF(NOT(ISNUMBER(B314)),"",YEAR(B314)*100+MONTH(B314))</f>
        <v/>
      </c>
    </row>
    <row r="315">
      <c r="A315" s="1" t="n"/>
      <c r="B315" s="27" t="n"/>
      <c r="C315" s="18" t="n"/>
      <c r="D315" s="19" t="n"/>
      <c r="E315" s="21" t="n"/>
      <c r="F315" s="26" t="n"/>
      <c r="G315" s="1">
        <f>IF(NOT(ISNUMBER(B315)),"",YEAR(B315)*100+MONTH(B315))</f>
        <v/>
      </c>
    </row>
    <row r="316">
      <c r="A316" s="1" t="n"/>
      <c r="B316" s="27" t="n"/>
      <c r="C316" s="18" t="n"/>
      <c r="D316" s="19" t="n"/>
      <c r="E316" s="21" t="n"/>
      <c r="F316" s="26" t="n"/>
      <c r="G316" s="1">
        <f>IF(NOT(ISNUMBER(B316)),"",YEAR(B316)*100+MONTH(B316))</f>
        <v/>
      </c>
    </row>
    <row r="317">
      <c r="A317" s="1" t="n"/>
      <c r="B317" s="27" t="n"/>
      <c r="C317" s="18" t="n"/>
      <c r="D317" s="19" t="n"/>
      <c r="E317" s="21" t="n"/>
      <c r="F317" s="26" t="n"/>
      <c r="G317" s="1">
        <f>IF(NOT(ISNUMBER(B317)),"",YEAR(B317)*100+MONTH(B317))</f>
        <v/>
      </c>
    </row>
    <row r="318">
      <c r="A318" s="1" t="n"/>
      <c r="B318" s="27" t="n"/>
      <c r="C318" s="18" t="n"/>
      <c r="D318" s="19" t="n"/>
      <c r="E318" s="21" t="n"/>
      <c r="F318" s="26" t="n"/>
      <c r="G318" s="1">
        <f>IF(NOT(ISNUMBER(B318)),"",YEAR(B318)*100+MONTH(B318))</f>
        <v/>
      </c>
    </row>
    <row r="319">
      <c r="A319" s="1" t="n"/>
      <c r="B319" s="27" t="n"/>
      <c r="C319" s="18" t="n"/>
      <c r="D319" s="19" t="n"/>
      <c r="E319" s="21" t="n"/>
      <c r="F319" s="26" t="n"/>
      <c r="G319" s="1">
        <f>IF(NOT(ISNUMBER(B319)),"",YEAR(B319)*100+MONTH(B319))</f>
        <v/>
      </c>
    </row>
    <row r="320">
      <c r="A320" s="1" t="n"/>
      <c r="B320" s="27" t="n"/>
      <c r="C320" s="18" t="n"/>
      <c r="D320" s="19" t="n"/>
      <c r="E320" s="21" t="n"/>
      <c r="F320" s="26" t="n"/>
      <c r="G320" s="1">
        <f>IF(NOT(ISNUMBER(B320)),"",YEAR(B320)*100+MONTH(B320))</f>
        <v/>
      </c>
    </row>
    <row r="321">
      <c r="A321" s="1" t="n"/>
      <c r="B321" s="27" t="n"/>
      <c r="C321" s="18" t="n"/>
      <c r="D321" s="19" t="n"/>
      <c r="E321" s="21" t="n"/>
      <c r="F321" s="26" t="n"/>
      <c r="G321" s="1">
        <f>IF(NOT(ISNUMBER(B321)),"",YEAR(B321)*100+MONTH(B321))</f>
        <v/>
      </c>
    </row>
    <row r="322">
      <c r="A322" s="1" t="n"/>
      <c r="B322" s="27" t="n"/>
      <c r="C322" s="18" t="n"/>
      <c r="D322" s="19" t="n"/>
      <c r="E322" s="21" t="n"/>
      <c r="F322" s="26" t="n"/>
      <c r="G322" s="1">
        <f>IF(NOT(ISNUMBER(B322)),"",YEAR(B322)*100+MONTH(B322))</f>
        <v/>
      </c>
    </row>
    <row r="323">
      <c r="A323" s="1" t="n"/>
      <c r="B323" s="27" t="n"/>
      <c r="C323" s="18" t="n"/>
      <c r="D323" s="19" t="n"/>
      <c r="E323" s="21" t="n"/>
      <c r="F323" s="26" t="n"/>
      <c r="G323" s="1">
        <f>IF(NOT(ISNUMBER(B323)),"",YEAR(B323)*100+MONTH(B323))</f>
        <v/>
      </c>
    </row>
    <row r="324">
      <c r="A324" s="1" t="n"/>
      <c r="B324" s="27" t="n"/>
      <c r="C324" s="18" t="n"/>
      <c r="D324" s="19" t="n"/>
      <c r="E324" s="21" t="n"/>
      <c r="F324" s="26" t="n"/>
      <c r="G324" s="1">
        <f>IF(NOT(ISNUMBER(B324)),"",YEAR(B324)*100+MONTH(B324))</f>
        <v/>
      </c>
    </row>
    <row r="325">
      <c r="A325" s="1" t="n"/>
      <c r="B325" s="27" t="n"/>
      <c r="C325" s="18" t="n"/>
      <c r="D325" s="19" t="n"/>
      <c r="E325" s="21" t="n"/>
      <c r="F325" s="26" t="n"/>
      <c r="G325" s="1">
        <f>IF(NOT(ISNUMBER(B325)),"",YEAR(B325)*100+MONTH(B325))</f>
        <v/>
      </c>
    </row>
    <row r="326">
      <c r="A326" s="1" t="n"/>
      <c r="B326" s="27" t="n"/>
      <c r="C326" s="18" t="n"/>
      <c r="D326" s="19" t="n"/>
      <c r="E326" s="21" t="n"/>
      <c r="F326" s="26" t="n"/>
      <c r="G326" s="1">
        <f>IF(NOT(ISNUMBER(B326)),"",YEAR(B326)*100+MONTH(B326))</f>
        <v/>
      </c>
    </row>
    <row r="327">
      <c r="A327" s="1" t="n"/>
      <c r="B327" s="27" t="n"/>
      <c r="C327" s="18" t="n"/>
      <c r="D327" s="19" t="n"/>
      <c r="E327" s="21" t="n"/>
      <c r="F327" s="26" t="n"/>
      <c r="G327" s="1">
        <f>IF(NOT(ISNUMBER(B327)),"",YEAR(B327)*100+MONTH(B327))</f>
        <v/>
      </c>
    </row>
    <row r="328">
      <c r="A328" s="1" t="n"/>
      <c r="B328" s="27" t="n"/>
      <c r="C328" s="18" t="n"/>
      <c r="D328" s="19" t="n"/>
      <c r="E328" s="21" t="n"/>
      <c r="F328" s="26" t="n"/>
      <c r="G328" s="1">
        <f>IF(NOT(ISNUMBER(B328)),"",YEAR(B328)*100+MONTH(B328))</f>
        <v/>
      </c>
    </row>
    <row r="329">
      <c r="A329" s="1" t="n"/>
      <c r="B329" s="27" t="n"/>
      <c r="C329" s="18" t="n"/>
      <c r="D329" s="19" t="n"/>
      <c r="E329" s="21" t="n"/>
      <c r="F329" s="26" t="n"/>
      <c r="G329" s="1">
        <f>IF(NOT(ISNUMBER(B329)),"",YEAR(B329)*100+MONTH(B329))</f>
        <v/>
      </c>
    </row>
    <row r="330">
      <c r="A330" s="1" t="n"/>
      <c r="B330" s="27" t="n"/>
      <c r="C330" s="18" t="n"/>
      <c r="D330" s="19" t="n"/>
      <c r="E330" s="21" t="n"/>
      <c r="F330" s="26" t="n"/>
      <c r="G330" s="1">
        <f>IF(NOT(ISNUMBER(B330)),"",YEAR(B330)*100+MONTH(B330))</f>
        <v/>
      </c>
    </row>
    <row r="331">
      <c r="A331" s="1" t="n"/>
      <c r="B331" s="27" t="n"/>
      <c r="C331" s="18" t="n"/>
      <c r="D331" s="19" t="n"/>
      <c r="E331" s="21" t="n"/>
      <c r="F331" s="26" t="n"/>
      <c r="G331" s="1">
        <f>IF(NOT(ISNUMBER(B331)),"",YEAR(B331)*100+MONTH(B331))</f>
        <v/>
      </c>
    </row>
    <row r="332">
      <c r="A332" s="1" t="n"/>
      <c r="B332" s="27" t="n"/>
      <c r="C332" s="18" t="n"/>
      <c r="D332" s="19" t="n"/>
      <c r="E332" s="21" t="n"/>
      <c r="F332" s="26" t="n"/>
      <c r="G332" s="1">
        <f>IF(NOT(ISNUMBER(B332)),"",YEAR(B332)*100+MONTH(B332))</f>
        <v/>
      </c>
    </row>
    <row r="333">
      <c r="A333" s="1" t="n"/>
      <c r="B333" s="27" t="n"/>
      <c r="C333" s="18" t="n"/>
      <c r="D333" s="19" t="n"/>
      <c r="E333" s="21" t="n"/>
      <c r="F333" s="26" t="n"/>
      <c r="G333" s="1">
        <f>IF(NOT(ISNUMBER(B333)),"",YEAR(B333)*100+MONTH(B333))</f>
        <v/>
      </c>
    </row>
    <row r="334">
      <c r="A334" s="1" t="n"/>
      <c r="B334" s="27" t="n"/>
      <c r="C334" s="18" t="n"/>
      <c r="D334" s="19" t="n"/>
      <c r="E334" s="21" t="n"/>
      <c r="F334" s="26" t="n"/>
      <c r="G334" s="1">
        <f>IF(NOT(ISNUMBER(B334)),"",YEAR(B334)*100+MONTH(B334))</f>
        <v/>
      </c>
    </row>
    <row r="335">
      <c r="A335" s="1" t="n"/>
      <c r="B335" s="27" t="n"/>
      <c r="C335" s="18" t="n"/>
      <c r="D335" s="19" t="n"/>
      <c r="E335" s="21" t="n"/>
      <c r="F335" s="26" t="n"/>
      <c r="G335" s="1">
        <f>IF(NOT(ISNUMBER(B335)),"",YEAR(B335)*100+MONTH(B335))</f>
        <v/>
      </c>
    </row>
    <row r="336">
      <c r="A336" s="1" t="n"/>
      <c r="B336" s="27" t="n"/>
      <c r="C336" s="18" t="n"/>
      <c r="D336" s="19" t="n"/>
      <c r="E336" s="21" t="n"/>
      <c r="F336" s="26" t="n"/>
      <c r="G336" s="1">
        <f>IF(NOT(ISNUMBER(B336)),"",YEAR(B336)*100+MONTH(B336))</f>
        <v/>
      </c>
    </row>
    <row r="337">
      <c r="A337" s="1" t="n"/>
      <c r="B337" s="27" t="n"/>
      <c r="C337" s="18" t="n"/>
      <c r="D337" s="19" t="n"/>
      <c r="E337" s="21" t="n"/>
      <c r="F337" s="26" t="n"/>
      <c r="G337" s="1">
        <f>IF(NOT(ISNUMBER(B337)),"",YEAR(B337)*100+MONTH(B337))</f>
        <v/>
      </c>
    </row>
    <row r="338">
      <c r="A338" s="1" t="n"/>
      <c r="B338" s="27" t="n"/>
      <c r="C338" s="18" t="n"/>
      <c r="D338" s="19" t="n"/>
      <c r="E338" s="21" t="n"/>
      <c r="F338" s="26" t="n"/>
      <c r="G338" s="1">
        <f>IF(NOT(ISNUMBER(B338)),"",YEAR(B338)*100+MONTH(B338))</f>
        <v/>
      </c>
    </row>
    <row r="339">
      <c r="A339" s="1" t="n"/>
      <c r="B339" s="27" t="n"/>
      <c r="C339" s="18" t="n"/>
      <c r="D339" s="19" t="n"/>
      <c r="E339" s="21" t="n"/>
      <c r="F339" s="26" t="n"/>
      <c r="G339" s="1">
        <f>IF(NOT(ISNUMBER(B339)),"",YEAR(B339)*100+MONTH(B339))</f>
        <v/>
      </c>
    </row>
    <row r="340">
      <c r="A340" s="1" t="n"/>
      <c r="B340" s="27" t="n"/>
      <c r="C340" s="18" t="n"/>
      <c r="D340" s="19" t="n"/>
      <c r="E340" s="21" t="n"/>
      <c r="F340" s="26" t="n"/>
      <c r="G340" s="1">
        <f>IF(NOT(ISNUMBER(B340)),"",YEAR(B340)*100+MONTH(B340))</f>
        <v/>
      </c>
    </row>
    <row r="341">
      <c r="A341" s="1" t="n"/>
      <c r="B341" s="27" t="n"/>
      <c r="C341" s="18" t="n"/>
      <c r="D341" s="19" t="n"/>
      <c r="E341" s="21" t="n"/>
      <c r="F341" s="26" t="n"/>
      <c r="G341" s="1">
        <f>IF(NOT(ISNUMBER(B341)),"",YEAR(B341)*100+MONTH(B341))</f>
        <v/>
      </c>
    </row>
    <row r="342">
      <c r="A342" s="1" t="n"/>
      <c r="B342" s="27" t="n"/>
      <c r="C342" s="18" t="n"/>
      <c r="D342" s="19" t="n"/>
      <c r="E342" s="21" t="n"/>
      <c r="F342" s="26" t="n"/>
      <c r="G342" s="1">
        <f>IF(NOT(ISNUMBER(B342)),"",YEAR(B342)*100+MONTH(B342))</f>
        <v/>
      </c>
    </row>
    <row r="343">
      <c r="A343" s="1" t="n"/>
      <c r="B343" s="27" t="n"/>
      <c r="C343" s="18" t="n"/>
      <c r="D343" s="19" t="n"/>
      <c r="E343" s="21" t="n"/>
      <c r="F343" s="26" t="n"/>
      <c r="G343" s="1">
        <f>IF(NOT(ISNUMBER(B343)),"",YEAR(B343)*100+MONTH(B343))</f>
        <v/>
      </c>
    </row>
    <row r="344">
      <c r="A344" s="1" t="n"/>
      <c r="B344" s="27" t="n"/>
      <c r="C344" s="18" t="n"/>
      <c r="D344" s="19" t="n"/>
      <c r="E344" s="21" t="n"/>
      <c r="F344" s="26" t="n"/>
      <c r="G344" s="1">
        <f>IF(NOT(ISNUMBER(B344)),"",YEAR(B344)*100+MONTH(B344))</f>
        <v/>
      </c>
    </row>
    <row r="345">
      <c r="A345" s="1" t="n"/>
      <c r="B345" s="27" t="n"/>
      <c r="C345" s="18" t="n"/>
      <c r="D345" s="19" t="n"/>
      <c r="E345" s="21" t="n"/>
      <c r="F345" s="26" t="n"/>
      <c r="G345" s="1">
        <f>IF(NOT(ISNUMBER(B345)),"",YEAR(B345)*100+MONTH(B345))</f>
        <v/>
      </c>
    </row>
    <row r="346">
      <c r="A346" s="1" t="n"/>
      <c r="B346" s="27" t="n"/>
      <c r="C346" s="18" t="n"/>
      <c r="D346" s="19" t="n"/>
      <c r="E346" s="21" t="n"/>
      <c r="F346" s="26" t="n"/>
      <c r="G346" s="1">
        <f>IF(NOT(ISNUMBER(B346)),"",YEAR(B346)*100+MONTH(B346))</f>
        <v/>
      </c>
    </row>
    <row r="347">
      <c r="A347" s="1" t="n"/>
      <c r="B347" s="27" t="n"/>
      <c r="C347" s="18" t="n"/>
      <c r="D347" s="19" t="n"/>
      <c r="E347" s="21" t="n"/>
      <c r="F347" s="26" t="n"/>
      <c r="G347" s="1">
        <f>IF(NOT(ISNUMBER(B347)),"",YEAR(B347)*100+MONTH(B347))</f>
        <v/>
      </c>
    </row>
    <row r="348">
      <c r="A348" s="1" t="n"/>
      <c r="B348" s="27" t="n"/>
      <c r="C348" s="18" t="n"/>
      <c r="D348" s="19" t="n"/>
      <c r="E348" s="21" t="n"/>
      <c r="F348" s="26" t="n"/>
      <c r="G348" s="1">
        <f>IF(NOT(ISNUMBER(B348)),"",YEAR(B348)*100+MONTH(B348))</f>
        <v/>
      </c>
    </row>
    <row r="349">
      <c r="A349" s="1" t="n"/>
      <c r="B349" s="27" t="n"/>
      <c r="C349" s="18" t="n"/>
      <c r="D349" s="19" t="n"/>
      <c r="E349" s="21" t="n"/>
      <c r="F349" s="26" t="n"/>
      <c r="G349" s="1">
        <f>IF(NOT(ISNUMBER(B349)),"",YEAR(B349)*100+MONTH(B349))</f>
        <v/>
      </c>
    </row>
    <row r="350">
      <c r="A350" s="1" t="n"/>
      <c r="B350" s="27" t="n"/>
      <c r="C350" s="18" t="n"/>
      <c r="D350" s="19" t="n"/>
      <c r="E350" s="21" t="n"/>
      <c r="F350" s="26" t="n"/>
      <c r="G350" s="1">
        <f>IF(NOT(ISNUMBER(B350)),"",YEAR(B350)*100+MONTH(B350))</f>
        <v/>
      </c>
    </row>
    <row r="351">
      <c r="A351" s="1" t="n"/>
      <c r="B351" s="27" t="n"/>
      <c r="C351" s="18" t="n"/>
      <c r="D351" s="19" t="n"/>
      <c r="E351" s="21" t="n"/>
      <c r="F351" s="26" t="n"/>
      <c r="G351" s="1">
        <f>IF(NOT(ISNUMBER(B351)),"",YEAR(B351)*100+MONTH(B351))</f>
        <v/>
      </c>
    </row>
    <row r="352">
      <c r="A352" s="1" t="n"/>
      <c r="B352" s="27" t="n"/>
      <c r="C352" s="18" t="n"/>
      <c r="D352" s="19" t="n"/>
      <c r="E352" s="21" t="n"/>
      <c r="F352" s="26" t="n"/>
      <c r="G352" s="1">
        <f>IF(NOT(ISNUMBER(B352)),"",YEAR(B352)*100+MONTH(B352))</f>
        <v/>
      </c>
    </row>
    <row r="353">
      <c r="A353" s="1" t="n"/>
      <c r="B353" s="27" t="n"/>
      <c r="C353" s="18" t="n"/>
      <c r="D353" s="19" t="n"/>
      <c r="E353" s="21" t="n"/>
      <c r="F353" s="26" t="n"/>
      <c r="G353" s="1">
        <f>IF(NOT(ISNUMBER(B353)),"",YEAR(B353)*100+MONTH(B353))</f>
        <v/>
      </c>
    </row>
    <row r="354">
      <c r="A354" s="1" t="n"/>
      <c r="B354" s="27" t="n"/>
      <c r="C354" s="18" t="n"/>
      <c r="D354" s="19" t="n"/>
      <c r="E354" s="21" t="n"/>
      <c r="F354" s="26" t="n"/>
      <c r="G354" s="1">
        <f>IF(NOT(ISNUMBER(B354)),"",YEAR(B354)*100+MONTH(B354))</f>
        <v/>
      </c>
    </row>
    <row r="355">
      <c r="A355" s="1" t="n"/>
      <c r="B355" s="27" t="n"/>
      <c r="C355" s="18" t="n"/>
      <c r="D355" s="19" t="n"/>
      <c r="E355" s="21" t="n"/>
      <c r="F355" s="26" t="n"/>
      <c r="G355" s="1">
        <f>IF(NOT(ISNUMBER(B355)),"",YEAR(B355)*100+MONTH(B355))</f>
        <v/>
      </c>
    </row>
    <row r="356">
      <c r="A356" s="1" t="n"/>
      <c r="B356" s="27" t="n"/>
      <c r="C356" s="18" t="n"/>
      <c r="D356" s="19" t="n"/>
      <c r="E356" s="21" t="n"/>
      <c r="F356" s="26" t="n"/>
      <c r="G356" s="1">
        <f>IF(NOT(ISNUMBER(B356)),"",YEAR(B356)*100+MONTH(B356))</f>
        <v/>
      </c>
    </row>
    <row r="357">
      <c r="A357" s="1" t="n"/>
      <c r="B357" s="27" t="n"/>
      <c r="C357" s="18" t="n"/>
      <c r="D357" s="19" t="n"/>
      <c r="E357" s="21" t="n"/>
      <c r="F357" s="26" t="n"/>
      <c r="G357" s="1">
        <f>IF(NOT(ISNUMBER(B357)),"",YEAR(B357)*100+MONTH(B357))</f>
        <v/>
      </c>
    </row>
    <row r="358">
      <c r="A358" s="1" t="n"/>
      <c r="B358" s="27" t="n"/>
      <c r="C358" s="18" t="n"/>
      <c r="D358" s="19" t="n"/>
      <c r="E358" s="21" t="n"/>
      <c r="F358" s="26" t="n"/>
      <c r="G358" s="1">
        <f>IF(NOT(ISNUMBER(B358)),"",YEAR(B358)*100+MONTH(B358))</f>
        <v/>
      </c>
    </row>
    <row r="359">
      <c r="A359" s="1" t="n"/>
      <c r="B359" s="27" t="n"/>
      <c r="C359" s="18" t="n"/>
      <c r="D359" s="19" t="n"/>
      <c r="E359" s="21" t="n"/>
      <c r="F359" s="26" t="n"/>
      <c r="G359" s="1">
        <f>IF(NOT(ISNUMBER(B359)),"",YEAR(B359)*100+MONTH(B359))</f>
        <v/>
      </c>
    </row>
    <row r="360">
      <c r="A360" s="1" t="n"/>
      <c r="B360" s="27" t="n"/>
      <c r="C360" s="18" t="n"/>
      <c r="D360" s="19" t="n"/>
      <c r="E360" s="21" t="n"/>
      <c r="F360" s="26" t="n"/>
      <c r="G360" s="1">
        <f>IF(NOT(ISNUMBER(B360)),"",YEAR(B360)*100+MONTH(B360))</f>
        <v/>
      </c>
    </row>
    <row r="361">
      <c r="A361" s="1" t="n"/>
      <c r="B361" s="27" t="n"/>
      <c r="C361" s="18" t="n"/>
      <c r="D361" s="19" t="n"/>
      <c r="E361" s="21" t="n"/>
      <c r="F361" s="26" t="n"/>
      <c r="G361" s="1">
        <f>IF(NOT(ISNUMBER(B361)),"",YEAR(B361)*100+MONTH(B361))</f>
        <v/>
      </c>
    </row>
    <row r="362">
      <c r="A362" s="1" t="n"/>
      <c r="B362" s="27" t="n"/>
      <c r="C362" s="18" t="n"/>
      <c r="D362" s="19" t="n"/>
      <c r="E362" s="21" t="n"/>
      <c r="F362" s="26" t="n"/>
      <c r="G362" s="1">
        <f>IF(NOT(ISNUMBER(B362)),"",YEAR(B362)*100+MONTH(B362))</f>
        <v/>
      </c>
    </row>
    <row r="363">
      <c r="A363" s="1" t="n"/>
      <c r="B363" s="27" t="n"/>
      <c r="C363" s="18" t="n"/>
      <c r="D363" s="19" t="n"/>
      <c r="E363" s="21" t="n"/>
      <c r="F363" s="26" t="n"/>
      <c r="G363" s="1">
        <f>IF(NOT(ISNUMBER(B363)),"",YEAR(B363)*100+MONTH(B363))</f>
        <v/>
      </c>
    </row>
    <row r="364">
      <c r="A364" s="1" t="n"/>
      <c r="B364" s="27" t="n"/>
      <c r="C364" s="18" t="n"/>
      <c r="D364" s="19" t="n"/>
      <c r="E364" s="21" t="n"/>
      <c r="F364" s="26" t="n"/>
      <c r="G364" s="1">
        <f>IF(NOT(ISNUMBER(B364)),"",YEAR(B364)*100+MONTH(B364))</f>
        <v/>
      </c>
    </row>
    <row r="365">
      <c r="A365" s="1" t="n"/>
      <c r="B365" s="27" t="n"/>
      <c r="C365" s="18" t="n"/>
      <c r="D365" s="19" t="n"/>
      <c r="E365" s="21" t="n"/>
      <c r="F365" s="26" t="n"/>
      <c r="G365" s="1">
        <f>IF(NOT(ISNUMBER(B365)),"",YEAR(B365)*100+MONTH(B365))</f>
        <v/>
      </c>
    </row>
    <row r="366">
      <c r="A366" s="1" t="n"/>
      <c r="B366" s="27" t="n"/>
      <c r="C366" s="18" t="n"/>
      <c r="D366" s="19" t="n"/>
      <c r="E366" s="21" t="n"/>
      <c r="F366" s="26" t="n"/>
      <c r="G366" s="1">
        <f>IF(NOT(ISNUMBER(B366)),"",YEAR(B366)*100+MONTH(B366))</f>
        <v/>
      </c>
    </row>
    <row r="367">
      <c r="A367" s="1" t="n"/>
      <c r="B367" s="27" t="n"/>
      <c r="C367" s="18" t="n"/>
      <c r="D367" s="19" t="n"/>
      <c r="E367" s="21" t="n"/>
      <c r="F367" s="26" t="n"/>
      <c r="G367" s="1">
        <f>IF(NOT(ISNUMBER(B367)),"",YEAR(B367)*100+MONTH(B367))</f>
        <v/>
      </c>
    </row>
    <row r="368">
      <c r="A368" s="1" t="n"/>
      <c r="B368" s="27" t="n"/>
      <c r="C368" s="18" t="n"/>
      <c r="D368" s="19" t="n"/>
      <c r="E368" s="21" t="n"/>
      <c r="F368" s="26" t="n"/>
      <c r="G368" s="1">
        <f>IF(NOT(ISNUMBER(B368)),"",YEAR(B368)*100+MONTH(B368))</f>
        <v/>
      </c>
    </row>
    <row r="369">
      <c r="A369" s="1" t="n"/>
      <c r="B369" s="27" t="n"/>
      <c r="C369" s="18" t="n"/>
      <c r="D369" s="19" t="n"/>
      <c r="E369" s="21" t="n"/>
      <c r="F369" s="26" t="n"/>
      <c r="G369" s="1">
        <f>IF(NOT(ISNUMBER(B369)),"",YEAR(B369)*100+MONTH(B369))</f>
        <v/>
      </c>
    </row>
    <row r="370">
      <c r="A370" s="1" t="n"/>
      <c r="B370" s="27" t="n"/>
      <c r="C370" s="18" t="n"/>
      <c r="D370" s="19" t="n"/>
      <c r="E370" s="21" t="n"/>
      <c r="F370" s="26" t="n"/>
      <c r="G370" s="1">
        <f>IF(NOT(ISNUMBER(B370)),"",YEAR(B370)*100+MONTH(B370))</f>
        <v/>
      </c>
    </row>
    <row r="371">
      <c r="A371" s="1" t="n"/>
      <c r="B371" s="27" t="n"/>
      <c r="C371" s="18" t="n"/>
      <c r="D371" s="19" t="n"/>
      <c r="E371" s="21" t="n"/>
      <c r="F371" s="26" t="n"/>
      <c r="G371" s="1">
        <f>IF(NOT(ISNUMBER(B371)),"",YEAR(B371)*100+MONTH(B371))</f>
        <v/>
      </c>
    </row>
    <row r="372">
      <c r="A372" s="1" t="n"/>
      <c r="B372" s="27" t="n"/>
      <c r="C372" s="18" t="n"/>
      <c r="D372" s="19" t="n"/>
      <c r="E372" s="21" t="n"/>
      <c r="F372" s="26" t="n"/>
      <c r="G372" s="1">
        <f>IF(NOT(ISNUMBER(B372)),"",YEAR(B372)*100+MONTH(B372))</f>
        <v/>
      </c>
    </row>
    <row r="373">
      <c r="A373" s="1" t="n"/>
      <c r="B373" s="27" t="n"/>
      <c r="C373" s="18" t="n"/>
      <c r="D373" s="19" t="n"/>
      <c r="E373" s="21" t="n"/>
      <c r="F373" s="26" t="n"/>
      <c r="G373" s="1">
        <f>IF(NOT(ISNUMBER(B373)),"",YEAR(B373)*100+MONTH(B373))</f>
        <v/>
      </c>
    </row>
    <row r="374">
      <c r="A374" s="1" t="n"/>
      <c r="B374" s="27" t="n"/>
      <c r="C374" s="18" t="n"/>
      <c r="D374" s="19" t="n"/>
      <c r="E374" s="21" t="n"/>
      <c r="F374" s="26" t="n"/>
      <c r="G374" s="1">
        <f>IF(NOT(ISNUMBER(B374)),"",YEAR(B374)*100+MONTH(B374))</f>
        <v/>
      </c>
    </row>
    <row r="375">
      <c r="A375" s="1" t="n"/>
      <c r="B375" s="27" t="n"/>
      <c r="C375" s="18" t="n"/>
      <c r="D375" s="19" t="n"/>
      <c r="E375" s="21" t="n"/>
      <c r="F375" s="26" t="n"/>
      <c r="G375" s="1">
        <f>IF(NOT(ISNUMBER(B375)),"",YEAR(B375)*100+MONTH(B375))</f>
        <v/>
      </c>
    </row>
    <row r="376">
      <c r="A376" s="1" t="n"/>
      <c r="B376" s="27" t="n"/>
      <c r="C376" s="18" t="n"/>
      <c r="D376" s="19" t="n"/>
      <c r="E376" s="21" t="n"/>
      <c r="F376" s="26" t="n"/>
      <c r="G376" s="1">
        <f>IF(NOT(ISNUMBER(B376)),"",YEAR(B376)*100+MONTH(B376))</f>
        <v/>
      </c>
    </row>
    <row r="377">
      <c r="A377" s="1" t="n"/>
      <c r="B377" s="27" t="n"/>
      <c r="C377" s="18" t="n"/>
      <c r="D377" s="19" t="n"/>
      <c r="E377" s="21" t="n"/>
      <c r="F377" s="26" t="n"/>
      <c r="G377" s="1">
        <f>IF(NOT(ISNUMBER(B377)),"",YEAR(B377)*100+MONTH(B377))</f>
        <v/>
      </c>
    </row>
    <row r="378">
      <c r="A378" s="1" t="n"/>
      <c r="B378" s="27" t="n"/>
      <c r="C378" s="18" t="n"/>
      <c r="D378" s="19" t="n"/>
      <c r="E378" s="21" t="n"/>
      <c r="F378" s="26" t="n"/>
      <c r="G378" s="1">
        <f>IF(NOT(ISNUMBER(B378)),"",YEAR(B378)*100+MONTH(B378))</f>
        <v/>
      </c>
    </row>
    <row r="379">
      <c r="A379" s="1" t="n"/>
      <c r="B379" s="27" t="n"/>
      <c r="C379" s="18" t="n"/>
      <c r="D379" s="19" t="n"/>
      <c r="E379" s="21" t="n"/>
      <c r="F379" s="26" t="n"/>
      <c r="G379" s="1">
        <f>IF(NOT(ISNUMBER(B379)),"",YEAR(B379)*100+MONTH(B379))</f>
        <v/>
      </c>
    </row>
    <row r="380">
      <c r="A380" s="1" t="n"/>
      <c r="B380" s="27" t="n"/>
      <c r="C380" s="18" t="n"/>
      <c r="D380" s="19" t="n"/>
      <c r="E380" s="21" t="n"/>
      <c r="F380" s="26" t="n"/>
      <c r="G380" s="1">
        <f>IF(NOT(ISNUMBER(B380)),"",YEAR(B380)*100+MONTH(B380))</f>
        <v/>
      </c>
    </row>
    <row r="381">
      <c r="A381" s="1" t="n"/>
      <c r="B381" s="27" t="n"/>
      <c r="C381" s="18" t="n"/>
      <c r="D381" s="19" t="n"/>
      <c r="E381" s="21" t="n"/>
      <c r="F381" s="26" t="n"/>
      <c r="G381" s="1">
        <f>IF(NOT(ISNUMBER(B381)),"",YEAR(B381)*100+MONTH(B381))</f>
        <v/>
      </c>
    </row>
    <row r="382">
      <c r="A382" s="1" t="n"/>
      <c r="B382" s="27" t="n"/>
      <c r="C382" s="18" t="n"/>
      <c r="D382" s="19" t="n"/>
      <c r="E382" s="21" t="n"/>
      <c r="F382" s="26" t="n"/>
      <c r="G382" s="1">
        <f>IF(NOT(ISNUMBER(B382)),"",YEAR(B382)*100+MONTH(B382))</f>
        <v/>
      </c>
    </row>
    <row r="383">
      <c r="A383" s="1" t="n"/>
      <c r="B383" s="27" t="n"/>
      <c r="C383" s="18" t="n"/>
      <c r="D383" s="19" t="n"/>
      <c r="E383" s="21" t="n"/>
      <c r="F383" s="26" t="n"/>
      <c r="G383" s="1">
        <f>IF(NOT(ISNUMBER(B383)),"",YEAR(B383)*100+MONTH(B383))</f>
        <v/>
      </c>
    </row>
    <row r="384">
      <c r="A384" s="1" t="n"/>
      <c r="B384" s="27" t="n"/>
      <c r="C384" s="18" t="n"/>
      <c r="D384" s="19" t="n"/>
      <c r="E384" s="21" t="n"/>
      <c r="F384" s="26" t="n"/>
      <c r="G384" s="1">
        <f>IF(NOT(ISNUMBER(B384)),"",YEAR(B384)*100+MONTH(B384))</f>
        <v/>
      </c>
    </row>
    <row r="385">
      <c r="A385" s="1" t="n"/>
      <c r="B385" s="27" t="n"/>
      <c r="C385" s="18" t="n"/>
      <c r="D385" s="19" t="n"/>
      <c r="E385" s="21" t="n"/>
      <c r="F385" s="26" t="n"/>
      <c r="G385" s="1">
        <f>IF(NOT(ISNUMBER(B385)),"",YEAR(B385)*100+MONTH(B385))</f>
        <v/>
      </c>
    </row>
    <row r="386">
      <c r="A386" s="1" t="n"/>
      <c r="B386" s="27" t="n"/>
      <c r="C386" s="18" t="n"/>
      <c r="D386" s="19" t="n"/>
      <c r="E386" s="21" t="n"/>
      <c r="F386" s="26" t="n"/>
      <c r="G386" s="1">
        <f>IF(NOT(ISNUMBER(B386)),"",YEAR(B386)*100+MONTH(B386))</f>
        <v/>
      </c>
    </row>
    <row r="387">
      <c r="A387" s="1" t="n"/>
      <c r="B387" s="27" t="n"/>
      <c r="C387" s="18" t="n"/>
      <c r="D387" s="19" t="n"/>
      <c r="E387" s="21" t="n"/>
      <c r="F387" s="26" t="n"/>
      <c r="G387" s="1">
        <f>IF(NOT(ISNUMBER(B387)),"",YEAR(B387)*100+MONTH(B387))</f>
        <v/>
      </c>
    </row>
    <row r="388">
      <c r="A388" s="1" t="n"/>
      <c r="B388" s="27" t="n"/>
      <c r="C388" s="18" t="n"/>
      <c r="D388" s="19" t="n"/>
      <c r="E388" s="21" t="n"/>
      <c r="F388" s="26" t="n"/>
      <c r="G388" s="1">
        <f>IF(NOT(ISNUMBER(B388)),"",YEAR(B388)*100+MONTH(B388))</f>
        <v/>
      </c>
    </row>
    <row r="389">
      <c r="A389" s="1" t="n"/>
      <c r="B389" s="27" t="n"/>
      <c r="C389" s="18" t="n"/>
      <c r="D389" s="19" t="n"/>
      <c r="E389" s="21" t="n"/>
      <c r="F389" s="26" t="n"/>
      <c r="G389" s="1">
        <f>IF(NOT(ISNUMBER(B389)),"",YEAR(B389)*100+MONTH(B389))</f>
        <v/>
      </c>
    </row>
    <row r="390">
      <c r="A390" s="1" t="n"/>
      <c r="B390" s="27" t="n"/>
      <c r="C390" s="18" t="n"/>
      <c r="D390" s="19" t="n"/>
      <c r="E390" s="21" t="n"/>
      <c r="F390" s="26" t="n"/>
      <c r="G390" s="1">
        <f>IF(NOT(ISNUMBER(B390)),"",YEAR(B390)*100+MONTH(B390))</f>
        <v/>
      </c>
    </row>
    <row r="391">
      <c r="A391" s="1" t="n"/>
      <c r="B391" s="27" t="n"/>
      <c r="C391" s="18" t="n"/>
      <c r="D391" s="19" t="n"/>
      <c r="E391" s="21" t="n"/>
      <c r="F391" s="26" t="n"/>
      <c r="G391" s="1">
        <f>IF(NOT(ISNUMBER(B391)),"",YEAR(B391)*100+MONTH(B391))</f>
        <v/>
      </c>
    </row>
    <row r="392">
      <c r="A392" s="1" t="n"/>
      <c r="B392" s="27" t="n"/>
      <c r="C392" s="18" t="n"/>
      <c r="D392" s="19" t="n"/>
      <c r="E392" s="21" t="n"/>
      <c r="F392" s="26" t="n"/>
      <c r="G392" s="1">
        <f>IF(NOT(ISNUMBER(B392)),"",YEAR(B392)*100+MONTH(B392))</f>
        <v/>
      </c>
    </row>
    <row r="393">
      <c r="A393" s="1" t="n"/>
      <c r="B393" s="27" t="n"/>
      <c r="C393" s="18" t="n"/>
      <c r="D393" s="19" t="n"/>
      <c r="E393" s="21" t="n"/>
      <c r="F393" s="26" t="n"/>
      <c r="G393" s="1">
        <f>IF(NOT(ISNUMBER(B393)),"",YEAR(B393)*100+MONTH(B393))</f>
        <v/>
      </c>
    </row>
    <row r="394">
      <c r="A394" s="1" t="n"/>
      <c r="B394" s="27" t="n"/>
      <c r="C394" s="18" t="n"/>
      <c r="D394" s="19" t="n"/>
      <c r="E394" s="21" t="n"/>
      <c r="F394" s="26" t="n"/>
      <c r="G394" s="1">
        <f>IF(NOT(ISNUMBER(B394)),"",YEAR(B394)*100+MONTH(B394))</f>
        <v/>
      </c>
    </row>
    <row r="395">
      <c r="A395" s="1" t="n"/>
      <c r="B395" s="27" t="n"/>
      <c r="C395" s="18" t="n"/>
      <c r="D395" s="19" t="n"/>
      <c r="E395" s="21" t="n"/>
      <c r="F395" s="26" t="n"/>
      <c r="G395" s="1">
        <f>IF(NOT(ISNUMBER(B395)),"",YEAR(B395)*100+MONTH(B395))</f>
        <v/>
      </c>
    </row>
    <row r="396">
      <c r="A396" s="1" t="n"/>
      <c r="B396" s="27" t="n"/>
      <c r="C396" s="18" t="n"/>
      <c r="D396" s="19" t="n"/>
      <c r="E396" s="21" t="n"/>
      <c r="F396" s="26" t="n"/>
      <c r="G396" s="1">
        <f>IF(NOT(ISNUMBER(B396)),"",YEAR(B396)*100+MONTH(B396))</f>
        <v/>
      </c>
    </row>
    <row r="397">
      <c r="A397" s="1" t="n"/>
      <c r="B397" s="27" t="n"/>
      <c r="C397" s="18" t="n"/>
      <c r="D397" s="19" t="n"/>
      <c r="E397" s="21" t="n"/>
      <c r="F397" s="26" t="n"/>
      <c r="G397" s="1">
        <f>IF(NOT(ISNUMBER(B397)),"",YEAR(B397)*100+MONTH(B397))</f>
        <v/>
      </c>
    </row>
    <row r="398">
      <c r="A398" s="1" t="n"/>
      <c r="B398" s="27" t="n"/>
      <c r="C398" s="18" t="n"/>
      <c r="D398" s="19" t="n"/>
      <c r="E398" s="21" t="n"/>
      <c r="F398" s="26" t="n"/>
      <c r="G398" s="1">
        <f>IF(NOT(ISNUMBER(B398)),"",YEAR(B398)*100+MONTH(B398))</f>
        <v/>
      </c>
    </row>
    <row r="399">
      <c r="A399" s="1" t="n"/>
      <c r="B399" s="27" t="n"/>
      <c r="C399" s="18" t="n"/>
      <c r="D399" s="19" t="n"/>
      <c r="E399" s="21" t="n"/>
      <c r="F399" s="26" t="n"/>
      <c r="G399" s="1">
        <f>IF(NOT(ISNUMBER(B399)),"",YEAR(B399)*100+MONTH(B399))</f>
        <v/>
      </c>
    </row>
    <row r="400">
      <c r="A400" s="1" t="n"/>
      <c r="B400" s="27" t="n"/>
      <c r="C400" s="18" t="n"/>
      <c r="D400" s="19" t="n"/>
      <c r="E400" s="21" t="n"/>
      <c r="F400" s="26" t="n"/>
      <c r="G400" s="1">
        <f>IF(NOT(ISNUMBER(B400)),"",YEAR(B400)*100+MONTH(B400))</f>
        <v/>
      </c>
    </row>
    <row r="401">
      <c r="A401" s="1" t="n"/>
      <c r="B401" s="27" t="n"/>
      <c r="C401" s="18" t="n"/>
      <c r="D401" s="19" t="n"/>
      <c r="E401" s="21" t="n"/>
      <c r="F401" s="26" t="n"/>
      <c r="G401" s="1">
        <f>IF(NOT(ISNUMBER(B401)),"",YEAR(B401)*100+MONTH(B401))</f>
        <v/>
      </c>
    </row>
    <row r="402">
      <c r="A402" s="1" t="n"/>
      <c r="B402" s="27" t="n"/>
      <c r="C402" s="18" t="n"/>
      <c r="D402" s="19" t="n"/>
      <c r="E402" s="21" t="n"/>
      <c r="F402" s="26" t="n"/>
      <c r="G402" s="1">
        <f>IF(NOT(ISNUMBER(B402)),"",YEAR(B402)*100+MONTH(B402))</f>
        <v/>
      </c>
    </row>
    <row r="403">
      <c r="A403" s="1" t="n"/>
      <c r="B403" s="27" t="n"/>
      <c r="C403" s="18" t="n"/>
      <c r="D403" s="19" t="n"/>
      <c r="E403" s="21" t="n"/>
      <c r="F403" s="26" t="n"/>
      <c r="G403" s="1">
        <f>IF(NOT(ISNUMBER(B403)),"",YEAR(B403)*100+MONTH(B403))</f>
        <v/>
      </c>
    </row>
    <row r="404">
      <c r="A404" s="1" t="n"/>
      <c r="B404" s="27" t="n"/>
      <c r="C404" s="18" t="n"/>
      <c r="D404" s="19" t="n"/>
      <c r="E404" s="21" t="n"/>
      <c r="F404" s="26" t="n"/>
      <c r="G404" s="1">
        <f>IF(NOT(ISNUMBER(B404)),"",YEAR(B404)*100+MONTH(B404))</f>
        <v/>
      </c>
    </row>
    <row r="405">
      <c r="A405" s="1" t="n"/>
      <c r="B405" s="27" t="n"/>
      <c r="C405" s="18" t="n"/>
      <c r="D405" s="19" t="n"/>
      <c r="E405" s="21" t="n"/>
      <c r="F405" s="26" t="n"/>
      <c r="G405" s="1">
        <f>IF(NOT(ISNUMBER(B405)),"",YEAR(B405)*100+MONTH(B405))</f>
        <v/>
      </c>
    </row>
    <row r="406">
      <c r="A406" s="1" t="n"/>
      <c r="B406" s="27" t="n"/>
      <c r="C406" s="18" t="n"/>
      <c r="D406" s="19" t="n"/>
      <c r="E406" s="21" t="n"/>
      <c r="F406" s="26" t="n"/>
      <c r="G406" s="1">
        <f>IF(NOT(ISNUMBER(B406)),"",YEAR(B406)*100+MONTH(B406))</f>
        <v/>
      </c>
    </row>
    <row r="407">
      <c r="A407" s="1" t="n"/>
      <c r="B407" s="27" t="n"/>
      <c r="C407" s="18" t="n"/>
      <c r="D407" s="19" t="n"/>
      <c r="E407" s="21" t="n"/>
      <c r="F407" s="26" t="n"/>
      <c r="G407" s="1">
        <f>IF(NOT(ISNUMBER(B407)),"",YEAR(B407)*100+MONTH(B407))</f>
        <v/>
      </c>
    </row>
    <row r="408">
      <c r="A408" s="1" t="n"/>
      <c r="B408" s="27" t="n"/>
      <c r="C408" s="18" t="n"/>
      <c r="D408" s="19" t="n"/>
      <c r="E408" s="21" t="n"/>
      <c r="F408" s="26" t="n"/>
      <c r="G408" s="1">
        <f>IF(NOT(ISNUMBER(B408)),"",YEAR(B408)*100+MONTH(B408))</f>
        <v/>
      </c>
    </row>
    <row r="409">
      <c r="A409" s="1" t="n"/>
      <c r="B409" s="27" t="n"/>
      <c r="C409" s="18" t="n"/>
      <c r="D409" s="19" t="n"/>
      <c r="E409" s="21" t="n"/>
      <c r="F409" s="26" t="n"/>
      <c r="G409" s="1">
        <f>IF(NOT(ISNUMBER(B409)),"",YEAR(B409)*100+MONTH(B409))</f>
        <v/>
      </c>
    </row>
    <row r="410">
      <c r="A410" s="1" t="n"/>
      <c r="B410" s="27" t="n"/>
      <c r="C410" s="18" t="n"/>
      <c r="D410" s="19" t="n"/>
      <c r="E410" s="21" t="n"/>
      <c r="F410" s="26" t="n"/>
      <c r="G410" s="1">
        <f>IF(NOT(ISNUMBER(B410)),"",YEAR(B410)*100+MONTH(B410))</f>
        <v/>
      </c>
    </row>
    <row r="411">
      <c r="A411" s="1" t="n"/>
      <c r="B411" s="27" t="n"/>
      <c r="C411" s="18" t="n"/>
      <c r="D411" s="19" t="n"/>
      <c r="E411" s="21" t="n"/>
      <c r="F411" s="26" t="n"/>
      <c r="G411" s="1">
        <f>IF(NOT(ISNUMBER(B411)),"",YEAR(B411)*100+MONTH(B411))</f>
        <v/>
      </c>
    </row>
    <row r="412">
      <c r="A412" s="1" t="n"/>
      <c r="B412" s="27" t="n"/>
      <c r="C412" s="18" t="n"/>
      <c r="D412" s="19" t="n"/>
      <c r="E412" s="21" t="n"/>
      <c r="F412" s="26" t="n"/>
      <c r="G412" s="1">
        <f>IF(NOT(ISNUMBER(B412)),"",YEAR(B412)*100+MONTH(B412))</f>
        <v/>
      </c>
    </row>
    <row r="413">
      <c r="A413" s="1" t="n"/>
      <c r="B413" s="27" t="n"/>
      <c r="C413" s="18" t="n"/>
      <c r="D413" s="19" t="n"/>
      <c r="E413" s="21" t="n"/>
      <c r="F413" s="26" t="n"/>
      <c r="G413" s="1">
        <f>IF(NOT(ISNUMBER(B413)),"",YEAR(B413)*100+MONTH(B413))</f>
        <v/>
      </c>
    </row>
    <row r="414">
      <c r="A414" s="1" t="n"/>
      <c r="B414" s="27" t="n"/>
      <c r="C414" s="18" t="n"/>
      <c r="D414" s="19" t="n"/>
      <c r="E414" s="21" t="n"/>
      <c r="F414" s="26" t="n"/>
      <c r="G414" s="1">
        <f>IF(NOT(ISNUMBER(B414)),"",YEAR(B414)*100+MONTH(B414))</f>
        <v/>
      </c>
    </row>
    <row r="415">
      <c r="A415" s="1" t="n"/>
      <c r="B415" s="27" t="n"/>
      <c r="C415" s="18" t="n"/>
      <c r="D415" s="19" t="n"/>
      <c r="E415" s="21" t="n"/>
      <c r="F415" s="26" t="n"/>
      <c r="G415" s="1">
        <f>IF(NOT(ISNUMBER(B415)),"",YEAR(B415)*100+MONTH(B415))</f>
        <v/>
      </c>
    </row>
    <row r="416">
      <c r="A416" s="1" t="n"/>
      <c r="B416" s="27" t="n"/>
      <c r="C416" s="18" t="n"/>
      <c r="D416" s="19" t="n"/>
      <c r="E416" s="21" t="n"/>
      <c r="F416" s="26" t="n"/>
      <c r="G416" s="1">
        <f>IF(NOT(ISNUMBER(B416)),"",YEAR(B416)*100+MONTH(B416))</f>
        <v/>
      </c>
    </row>
    <row r="417">
      <c r="A417" s="1" t="n"/>
      <c r="B417" s="27" t="n"/>
      <c r="C417" s="18" t="n"/>
      <c r="D417" s="19" t="n"/>
      <c r="E417" s="21" t="n"/>
      <c r="F417" s="26" t="n"/>
      <c r="G417" s="1">
        <f>IF(NOT(ISNUMBER(B417)),"",YEAR(B417)*100+MONTH(B417))</f>
        <v/>
      </c>
    </row>
    <row r="418">
      <c r="A418" s="1" t="n"/>
      <c r="B418" s="27" t="n"/>
      <c r="C418" s="18" t="n"/>
      <c r="D418" s="19" t="n"/>
      <c r="E418" s="21" t="n"/>
      <c r="F418" s="26" t="n"/>
      <c r="G418" s="1">
        <f>IF(NOT(ISNUMBER(B418)),"",YEAR(B418)*100+MONTH(B418))</f>
        <v/>
      </c>
    </row>
    <row r="419">
      <c r="A419" s="1" t="n"/>
      <c r="B419" s="27" t="n"/>
      <c r="C419" s="18" t="n"/>
      <c r="D419" s="19" t="n"/>
      <c r="E419" s="21" t="n"/>
      <c r="F419" s="26" t="n"/>
      <c r="G419" s="1">
        <f>IF(NOT(ISNUMBER(B419)),"",YEAR(B419)*100+MONTH(B419))</f>
        <v/>
      </c>
    </row>
    <row r="420">
      <c r="A420" s="1" t="n"/>
      <c r="B420" s="27" t="n"/>
      <c r="C420" s="18" t="n"/>
      <c r="D420" s="19" t="n"/>
      <c r="E420" s="21" t="n"/>
      <c r="F420" s="26" t="n"/>
      <c r="G420" s="1">
        <f>IF(NOT(ISNUMBER(B420)),"",YEAR(B420)*100+MONTH(B420))</f>
        <v/>
      </c>
    </row>
    <row r="421">
      <c r="A421" s="1" t="n"/>
      <c r="B421" s="27" t="n"/>
      <c r="C421" s="18" t="n"/>
      <c r="D421" s="19" t="n"/>
      <c r="E421" s="21" t="n"/>
      <c r="F421" s="26" t="n"/>
      <c r="G421" s="1">
        <f>IF(NOT(ISNUMBER(B421)),"",YEAR(B421)*100+MONTH(B421))</f>
        <v/>
      </c>
    </row>
    <row r="422">
      <c r="A422" s="1" t="n"/>
      <c r="B422" s="27" t="n"/>
      <c r="C422" s="18" t="n"/>
      <c r="D422" s="19" t="n"/>
      <c r="E422" s="21" t="n"/>
      <c r="F422" s="26" t="n"/>
      <c r="G422" s="1">
        <f>IF(NOT(ISNUMBER(B422)),"",YEAR(B422)*100+MONTH(B422))</f>
        <v/>
      </c>
    </row>
    <row r="423">
      <c r="A423" s="1" t="n"/>
      <c r="B423" s="27" t="n"/>
      <c r="C423" s="18" t="n"/>
      <c r="D423" s="19" t="n"/>
      <c r="E423" s="21" t="n"/>
      <c r="F423" s="26" t="n"/>
      <c r="G423" s="1">
        <f>IF(NOT(ISNUMBER(B423)),"",YEAR(B423)*100+MONTH(B423))</f>
        <v/>
      </c>
    </row>
    <row r="424">
      <c r="A424" s="1" t="n"/>
      <c r="B424" s="27" t="n"/>
      <c r="C424" s="18" t="n"/>
      <c r="D424" s="19" t="n"/>
      <c r="E424" s="21" t="n"/>
      <c r="F424" s="26" t="n"/>
      <c r="G424" s="1">
        <f>IF(NOT(ISNUMBER(B424)),"",YEAR(B424)*100+MONTH(B424))</f>
        <v/>
      </c>
    </row>
    <row r="425">
      <c r="A425" s="1" t="n"/>
      <c r="B425" s="27" t="n"/>
      <c r="C425" s="18" t="n"/>
      <c r="D425" s="19" t="n"/>
      <c r="E425" s="21" t="n"/>
      <c r="F425" s="26" t="n"/>
      <c r="G425" s="1">
        <f>IF(NOT(ISNUMBER(B425)),"",YEAR(B425)*100+MONTH(B425))</f>
        <v/>
      </c>
    </row>
    <row r="426">
      <c r="A426" s="1" t="n"/>
      <c r="B426" s="27" t="n"/>
      <c r="C426" s="18" t="n"/>
      <c r="D426" s="19" t="n"/>
      <c r="E426" s="21" t="n"/>
      <c r="F426" s="26" t="n"/>
      <c r="G426" s="1">
        <f>IF(NOT(ISNUMBER(B426)),"",YEAR(B426)*100+MONTH(B426))</f>
        <v/>
      </c>
    </row>
    <row r="427">
      <c r="A427" s="1" t="n"/>
      <c r="B427" s="27" t="n"/>
      <c r="C427" s="18" t="n"/>
      <c r="D427" s="19" t="n"/>
      <c r="E427" s="21" t="n"/>
      <c r="F427" s="26" t="n"/>
      <c r="G427" s="1">
        <f>IF(NOT(ISNUMBER(B427)),"",YEAR(B427)*100+MONTH(B427))</f>
        <v/>
      </c>
    </row>
    <row r="428">
      <c r="A428" s="1" t="n"/>
      <c r="B428" s="27" t="n"/>
      <c r="C428" s="18" t="n"/>
      <c r="D428" s="19" t="n"/>
      <c r="E428" s="21" t="n"/>
      <c r="F428" s="26" t="n"/>
      <c r="G428" s="1">
        <f>IF(NOT(ISNUMBER(B428)),"",YEAR(B428)*100+MONTH(B428))</f>
        <v/>
      </c>
    </row>
    <row r="429">
      <c r="A429" s="1" t="n"/>
      <c r="B429" s="27" t="n"/>
      <c r="C429" s="18" t="n"/>
      <c r="D429" s="19" t="n"/>
      <c r="E429" s="21" t="n"/>
      <c r="F429" s="26" t="n"/>
      <c r="G429" s="1">
        <f>IF(NOT(ISNUMBER(B429)),"",YEAR(B429)*100+MONTH(B429))</f>
        <v/>
      </c>
    </row>
    <row r="430">
      <c r="A430" s="1" t="n"/>
      <c r="B430" s="27" t="n"/>
      <c r="C430" s="18" t="n"/>
      <c r="D430" s="19" t="n"/>
      <c r="E430" s="21" t="n"/>
      <c r="F430" s="26" t="n"/>
      <c r="G430" s="1">
        <f>IF(NOT(ISNUMBER(B430)),"",YEAR(B430)*100+MONTH(B430))</f>
        <v/>
      </c>
    </row>
    <row r="431">
      <c r="A431" s="1" t="n"/>
      <c r="B431" s="27" t="n"/>
      <c r="C431" s="18" t="n"/>
      <c r="D431" s="19" t="n"/>
      <c r="E431" s="21" t="n"/>
      <c r="F431" s="26" t="n"/>
      <c r="G431" s="1">
        <f>IF(NOT(ISNUMBER(B431)),"",YEAR(B431)*100+MONTH(B431))</f>
        <v/>
      </c>
    </row>
    <row r="432">
      <c r="A432" s="1" t="n"/>
      <c r="B432" s="27" t="n"/>
      <c r="C432" s="18" t="n"/>
      <c r="D432" s="19" t="n"/>
      <c r="E432" s="21" t="n"/>
      <c r="F432" s="26" t="n"/>
      <c r="G432" s="1">
        <f>IF(NOT(ISNUMBER(B432)),"",YEAR(B432)*100+MONTH(B432))</f>
        <v/>
      </c>
    </row>
    <row r="433">
      <c r="A433" s="1" t="n"/>
      <c r="B433" s="27" t="n"/>
      <c r="C433" s="18" t="n"/>
      <c r="D433" s="19" t="n"/>
      <c r="E433" s="21" t="n"/>
      <c r="F433" s="26" t="n"/>
      <c r="G433" s="1">
        <f>IF(NOT(ISNUMBER(B433)),"",YEAR(B433)*100+MONTH(B433))</f>
        <v/>
      </c>
    </row>
    <row r="434">
      <c r="A434" s="1" t="n"/>
      <c r="B434" s="27" t="n"/>
      <c r="C434" s="18" t="n"/>
      <c r="D434" s="19" t="n"/>
      <c r="E434" s="21" t="n"/>
      <c r="F434" s="26" t="n"/>
      <c r="G434" s="1">
        <f>IF(NOT(ISNUMBER(B434)),"",YEAR(B434)*100+MONTH(B434))</f>
        <v/>
      </c>
    </row>
    <row r="435">
      <c r="A435" s="1" t="n"/>
      <c r="B435" s="27" t="n"/>
      <c r="C435" s="18" t="n"/>
      <c r="D435" s="19" t="n"/>
      <c r="E435" s="21" t="n"/>
      <c r="F435" s="26" t="n"/>
      <c r="G435" s="1">
        <f>IF(NOT(ISNUMBER(B435)),"",YEAR(B435)*100+MONTH(B435))</f>
        <v/>
      </c>
    </row>
    <row r="436">
      <c r="A436" s="1" t="n"/>
      <c r="B436" s="27" t="n"/>
      <c r="C436" s="18" t="n"/>
      <c r="D436" s="19" t="n"/>
      <c r="E436" s="21" t="n"/>
      <c r="F436" s="26" t="n"/>
      <c r="G436" s="1">
        <f>IF(NOT(ISNUMBER(B436)),"",YEAR(B436)*100+MONTH(B436))</f>
        <v/>
      </c>
    </row>
    <row r="437">
      <c r="A437" s="1" t="n"/>
      <c r="B437" s="27" t="n"/>
      <c r="C437" s="18" t="n"/>
      <c r="D437" s="19" t="n"/>
      <c r="E437" s="21" t="n"/>
      <c r="F437" s="26" t="n"/>
      <c r="G437" s="1">
        <f>IF(NOT(ISNUMBER(B437)),"",YEAR(B437)*100+MONTH(B437))</f>
        <v/>
      </c>
    </row>
    <row r="438">
      <c r="A438" s="1" t="n"/>
      <c r="B438" s="27" t="n"/>
      <c r="C438" s="18" t="n"/>
      <c r="D438" s="19" t="n"/>
      <c r="E438" s="21" t="n"/>
      <c r="F438" s="26" t="n"/>
      <c r="G438" s="1">
        <f>IF(NOT(ISNUMBER(B438)),"",YEAR(B438)*100+MONTH(B438))</f>
        <v/>
      </c>
    </row>
    <row r="439">
      <c r="A439" s="1" t="n"/>
      <c r="B439" s="27" t="n"/>
      <c r="C439" s="18" t="n"/>
      <c r="D439" s="19" t="n"/>
      <c r="E439" s="21" t="n"/>
      <c r="F439" s="26" t="n"/>
      <c r="G439" s="1">
        <f>IF(NOT(ISNUMBER(B439)),"",YEAR(B439)*100+MONTH(B439))</f>
        <v/>
      </c>
    </row>
    <row r="440">
      <c r="A440" s="1" t="n"/>
      <c r="B440" s="27" t="n"/>
      <c r="C440" s="18" t="n"/>
      <c r="D440" s="19" t="n"/>
      <c r="E440" s="21" t="n"/>
      <c r="F440" s="26" t="n"/>
      <c r="G440" s="1">
        <f>IF(NOT(ISNUMBER(B440)),"",YEAR(B440)*100+MONTH(B440))</f>
        <v/>
      </c>
    </row>
    <row r="441">
      <c r="A441" s="1" t="n"/>
      <c r="B441" s="27" t="n"/>
      <c r="C441" s="18" t="n"/>
      <c r="D441" s="19" t="n"/>
      <c r="E441" s="21" t="n"/>
      <c r="F441" s="26" t="n"/>
      <c r="G441" s="1">
        <f>IF(NOT(ISNUMBER(B441)),"",YEAR(B441)*100+MONTH(B441))</f>
        <v/>
      </c>
    </row>
    <row r="442">
      <c r="A442" s="1" t="n"/>
      <c r="B442" s="27" t="n"/>
      <c r="C442" s="18" t="n"/>
      <c r="D442" s="19" t="n"/>
      <c r="E442" s="21" t="n"/>
      <c r="F442" s="26" t="n"/>
      <c r="G442" s="1">
        <f>IF(NOT(ISNUMBER(B442)),"",YEAR(B442)*100+MONTH(B442))</f>
        <v/>
      </c>
    </row>
    <row r="443">
      <c r="A443" s="1" t="n"/>
      <c r="B443" s="27" t="n"/>
      <c r="C443" s="18" t="n"/>
      <c r="D443" s="19" t="n"/>
      <c r="E443" s="21" t="n"/>
      <c r="F443" s="26" t="n"/>
      <c r="G443" s="1">
        <f>IF(NOT(ISNUMBER(B443)),"",YEAR(B443)*100+MONTH(B443))</f>
        <v/>
      </c>
    </row>
    <row r="444">
      <c r="A444" s="1" t="n"/>
      <c r="B444" s="27" t="n"/>
      <c r="C444" s="18" t="n"/>
      <c r="D444" s="19" t="n"/>
      <c r="E444" s="21" t="n"/>
      <c r="F444" s="26" t="n"/>
      <c r="G444" s="1">
        <f>IF(NOT(ISNUMBER(B444)),"",YEAR(B444)*100+MONTH(B444))</f>
        <v/>
      </c>
    </row>
    <row r="445">
      <c r="A445" s="1" t="n"/>
      <c r="B445" s="27" t="n"/>
      <c r="C445" s="18" t="n"/>
      <c r="D445" s="19" t="n"/>
      <c r="E445" s="21" t="n"/>
      <c r="F445" s="26" t="n"/>
      <c r="G445" s="1">
        <f>IF(NOT(ISNUMBER(B445)),"",YEAR(B445)*100+MONTH(B445))</f>
        <v/>
      </c>
    </row>
    <row r="446">
      <c r="A446" s="1" t="n"/>
      <c r="B446" s="27" t="n"/>
      <c r="C446" s="18" t="n"/>
      <c r="D446" s="19" t="n"/>
      <c r="E446" s="21" t="n"/>
      <c r="F446" s="26" t="n"/>
      <c r="G446" s="1">
        <f>IF(NOT(ISNUMBER(B446)),"",YEAR(B446)*100+MONTH(B446))</f>
        <v/>
      </c>
    </row>
    <row r="447">
      <c r="A447" s="1" t="n"/>
      <c r="B447" s="27" t="n"/>
      <c r="C447" s="18" t="n"/>
      <c r="D447" s="19" t="n"/>
      <c r="E447" s="21" t="n"/>
      <c r="F447" s="26" t="n"/>
      <c r="G447" s="1">
        <f>IF(NOT(ISNUMBER(B447)),"",YEAR(B447)*100+MONTH(B447))</f>
        <v/>
      </c>
    </row>
    <row r="448">
      <c r="A448" s="1" t="n"/>
      <c r="B448" s="27" t="n"/>
      <c r="C448" s="18" t="n"/>
      <c r="D448" s="19" t="n"/>
      <c r="E448" s="21" t="n"/>
      <c r="F448" s="26" t="n"/>
      <c r="G448" s="1">
        <f>IF(NOT(ISNUMBER(B448)),"",YEAR(B448)*100+MONTH(B448))</f>
        <v/>
      </c>
    </row>
    <row r="449">
      <c r="A449" s="1" t="n"/>
      <c r="B449" s="27" t="n"/>
      <c r="C449" s="18" t="n"/>
      <c r="D449" s="19" t="n"/>
      <c r="E449" s="21" t="n"/>
      <c r="F449" s="26" t="n"/>
      <c r="G449" s="1">
        <f>IF(NOT(ISNUMBER(B449)),"",YEAR(B449)*100+MONTH(B449))</f>
        <v/>
      </c>
    </row>
    <row r="450">
      <c r="A450" s="1" t="n"/>
      <c r="B450" s="27" t="n"/>
      <c r="C450" s="18" t="n"/>
      <c r="D450" s="19" t="n"/>
      <c r="E450" s="21" t="n"/>
      <c r="F450" s="26" t="n"/>
      <c r="G450" s="1">
        <f>IF(NOT(ISNUMBER(B450)),"",YEAR(B450)*100+MONTH(B450))</f>
        <v/>
      </c>
    </row>
    <row r="451">
      <c r="A451" s="1" t="n"/>
      <c r="B451" s="27" t="n"/>
      <c r="C451" s="18" t="n"/>
      <c r="D451" s="19" t="n"/>
      <c r="E451" s="21" t="n"/>
      <c r="F451" s="26" t="n"/>
      <c r="G451" s="1">
        <f>IF(NOT(ISNUMBER(B451)),"",YEAR(B451)*100+MONTH(B451))</f>
        <v/>
      </c>
    </row>
    <row r="452">
      <c r="A452" s="1" t="n"/>
      <c r="B452" s="27" t="n"/>
      <c r="C452" s="18" t="n"/>
      <c r="D452" s="19" t="n"/>
      <c r="E452" s="21" t="n"/>
      <c r="F452" s="26" t="n"/>
      <c r="G452" s="1">
        <f>IF(NOT(ISNUMBER(B452)),"",YEAR(B452)*100+MONTH(B452))</f>
        <v/>
      </c>
    </row>
    <row r="453">
      <c r="A453" s="1" t="n"/>
      <c r="B453" s="27" t="n"/>
      <c r="C453" s="18" t="n"/>
      <c r="D453" s="19" t="n"/>
      <c r="E453" s="21" t="n"/>
      <c r="F453" s="26" t="n"/>
      <c r="G453" s="1">
        <f>IF(NOT(ISNUMBER(B453)),"",YEAR(B453)*100+MONTH(B453))</f>
        <v/>
      </c>
    </row>
    <row r="454">
      <c r="A454" s="1" t="n"/>
      <c r="B454" s="27" t="n"/>
      <c r="C454" s="18" t="n"/>
      <c r="D454" s="19" t="n"/>
      <c r="E454" s="21" t="n"/>
      <c r="F454" s="26" t="n"/>
      <c r="G454" s="1">
        <f>IF(NOT(ISNUMBER(B454)),"",YEAR(B454)*100+MONTH(B454))</f>
        <v/>
      </c>
    </row>
    <row r="455">
      <c r="A455" s="1" t="n"/>
      <c r="B455" s="27" t="n"/>
      <c r="C455" s="18" t="n"/>
      <c r="D455" s="19" t="n"/>
      <c r="E455" s="21" t="n"/>
      <c r="F455" s="26" t="n"/>
      <c r="G455" s="1">
        <f>IF(NOT(ISNUMBER(B455)),"",YEAR(B455)*100+MONTH(B455))</f>
        <v/>
      </c>
    </row>
    <row r="456">
      <c r="A456" s="1" t="n"/>
      <c r="B456" s="27" t="n"/>
      <c r="C456" s="18" t="n"/>
      <c r="D456" s="19" t="n"/>
      <c r="E456" s="21" t="n"/>
      <c r="F456" s="26" t="n"/>
      <c r="G456" s="1">
        <f>IF(NOT(ISNUMBER(B456)),"",YEAR(B456)*100+MONTH(B456))</f>
        <v/>
      </c>
    </row>
    <row r="457">
      <c r="A457" s="1" t="n"/>
      <c r="B457" s="27" t="n"/>
      <c r="C457" s="18" t="n"/>
      <c r="D457" s="19" t="n"/>
      <c r="E457" s="21" t="n"/>
      <c r="F457" s="26" t="n"/>
      <c r="G457" s="1">
        <f>IF(NOT(ISNUMBER(B457)),"",YEAR(B457)*100+MONTH(B457))</f>
        <v/>
      </c>
    </row>
    <row r="458">
      <c r="A458" s="1" t="n"/>
      <c r="B458" s="27" t="n"/>
      <c r="C458" s="18" t="n"/>
      <c r="D458" s="19" t="n"/>
      <c r="E458" s="21" t="n"/>
      <c r="F458" s="26" t="n"/>
      <c r="G458" s="1">
        <f>IF(NOT(ISNUMBER(B458)),"",YEAR(B458)*100+MONTH(B458))</f>
        <v/>
      </c>
    </row>
    <row r="459">
      <c r="A459" s="1" t="n"/>
      <c r="B459" s="27" t="n"/>
      <c r="C459" s="18" t="n"/>
      <c r="D459" s="19" t="n"/>
      <c r="E459" s="21" t="n"/>
      <c r="F459" s="26" t="n"/>
      <c r="G459" s="1">
        <f>IF(NOT(ISNUMBER(B459)),"",YEAR(B459)*100+MONTH(B459))</f>
        <v/>
      </c>
    </row>
    <row r="460">
      <c r="A460" s="1" t="n"/>
      <c r="B460" s="27" t="n"/>
      <c r="C460" s="18" t="n"/>
      <c r="D460" s="19" t="n"/>
      <c r="E460" s="21" t="n"/>
      <c r="F460" s="26" t="n"/>
      <c r="G460" s="1">
        <f>IF(NOT(ISNUMBER(B460)),"",YEAR(B460)*100+MONTH(B460))</f>
        <v/>
      </c>
    </row>
    <row r="461">
      <c r="A461" s="1" t="n"/>
      <c r="B461" s="27" t="n"/>
      <c r="C461" s="18" t="n"/>
      <c r="D461" s="19" t="n"/>
      <c r="E461" s="21" t="n"/>
      <c r="F461" s="26" t="n"/>
      <c r="G461" s="1">
        <f>IF(NOT(ISNUMBER(B461)),"",YEAR(B461)*100+MONTH(B461))</f>
        <v/>
      </c>
    </row>
    <row r="462">
      <c r="A462" s="1" t="n"/>
      <c r="B462" s="27" t="n"/>
      <c r="C462" s="18" t="n"/>
      <c r="D462" s="19" t="n"/>
      <c r="E462" s="21" t="n"/>
      <c r="F462" s="26" t="n"/>
      <c r="G462" s="1">
        <f>IF(NOT(ISNUMBER(B462)),"",YEAR(B462)*100+MONTH(B462))</f>
        <v/>
      </c>
    </row>
    <row r="463">
      <c r="A463" s="1" t="n"/>
      <c r="B463" s="27" t="n"/>
      <c r="C463" s="18" t="n"/>
      <c r="D463" s="19" t="n"/>
      <c r="E463" s="21" t="n"/>
      <c r="F463" s="26" t="n"/>
      <c r="G463" s="1">
        <f>IF(NOT(ISNUMBER(B463)),"",YEAR(B463)*100+MONTH(B463))</f>
        <v/>
      </c>
    </row>
    <row r="464">
      <c r="A464" s="1" t="n"/>
      <c r="B464" s="27" t="n"/>
      <c r="C464" s="18" t="n"/>
      <c r="D464" s="19" t="n"/>
      <c r="E464" s="21" t="n"/>
      <c r="F464" s="26" t="n"/>
      <c r="G464" s="1">
        <f>IF(NOT(ISNUMBER(B464)),"",YEAR(B464)*100+MONTH(B464))</f>
        <v/>
      </c>
    </row>
    <row r="465">
      <c r="A465" s="1" t="n"/>
      <c r="B465" s="27" t="n"/>
      <c r="C465" s="18" t="n"/>
      <c r="D465" s="19" t="n"/>
      <c r="E465" s="21" t="n"/>
      <c r="F465" s="26" t="n"/>
      <c r="G465" s="1">
        <f>IF(NOT(ISNUMBER(B465)),"",YEAR(B465)*100+MONTH(B465))</f>
        <v/>
      </c>
    </row>
    <row r="466">
      <c r="A466" s="1" t="n"/>
      <c r="B466" s="27" t="n"/>
      <c r="C466" s="18" t="n"/>
      <c r="D466" s="19" t="n"/>
      <c r="E466" s="21" t="n"/>
      <c r="F466" s="26" t="n"/>
      <c r="G466" s="1">
        <f>IF(NOT(ISNUMBER(B466)),"",YEAR(B466)*100+MONTH(B466))</f>
        <v/>
      </c>
    </row>
    <row r="467">
      <c r="A467" s="1" t="n"/>
      <c r="B467" s="27" t="n"/>
      <c r="C467" s="18" t="n"/>
      <c r="D467" s="19" t="n"/>
      <c r="E467" s="21" t="n"/>
      <c r="F467" s="26" t="n"/>
      <c r="G467" s="1">
        <f>IF(NOT(ISNUMBER(B467)),"",YEAR(B467)*100+MONTH(B467))</f>
        <v/>
      </c>
    </row>
    <row r="468">
      <c r="A468" s="1" t="n"/>
      <c r="B468" s="27" t="n"/>
      <c r="C468" s="18" t="n"/>
      <c r="D468" s="19" t="n"/>
      <c r="E468" s="21" t="n"/>
      <c r="F468" s="26" t="n"/>
      <c r="G468" s="1">
        <f>IF(NOT(ISNUMBER(B468)),"",YEAR(B468)*100+MONTH(B468))</f>
        <v/>
      </c>
    </row>
    <row r="469">
      <c r="A469" s="1" t="n"/>
      <c r="B469" s="27" t="n"/>
      <c r="C469" s="18" t="n"/>
      <c r="D469" s="19" t="n"/>
      <c r="E469" s="21" t="n"/>
      <c r="F469" s="26" t="n"/>
      <c r="G469" s="1">
        <f>IF(NOT(ISNUMBER(B469)),"",YEAR(B469)*100+MONTH(B469))</f>
        <v/>
      </c>
    </row>
    <row r="470">
      <c r="A470" s="1" t="n"/>
      <c r="B470" s="27" t="n"/>
      <c r="C470" s="18" t="n"/>
      <c r="D470" s="19" t="n"/>
      <c r="E470" s="21" t="n"/>
      <c r="F470" s="26" t="n"/>
      <c r="G470" s="1">
        <f>IF(NOT(ISNUMBER(B470)),"",YEAR(B470)*100+MONTH(B470))</f>
        <v/>
      </c>
    </row>
    <row r="471">
      <c r="A471" s="1" t="n"/>
      <c r="B471" s="27" t="n"/>
      <c r="C471" s="18" t="n"/>
      <c r="D471" s="19" t="n"/>
      <c r="E471" s="21" t="n"/>
      <c r="F471" s="26" t="n"/>
      <c r="G471" s="1">
        <f>IF(NOT(ISNUMBER(B471)),"",YEAR(B471)*100+MONTH(B471))</f>
        <v/>
      </c>
    </row>
    <row r="472">
      <c r="A472" s="1" t="n"/>
      <c r="B472" s="27" t="n"/>
      <c r="C472" s="18" t="n"/>
      <c r="D472" s="19" t="n"/>
      <c r="E472" s="21" t="n"/>
      <c r="F472" s="26" t="n"/>
      <c r="G472" s="1">
        <f>IF(NOT(ISNUMBER(B472)),"",YEAR(B472)*100+MONTH(B472))</f>
        <v/>
      </c>
    </row>
    <row r="473">
      <c r="A473" s="1" t="n"/>
      <c r="B473" s="27" t="n"/>
      <c r="C473" s="18" t="n"/>
      <c r="D473" s="19" t="n"/>
      <c r="E473" s="21" t="n"/>
      <c r="F473" s="26" t="n"/>
      <c r="G473" s="1">
        <f>IF(NOT(ISNUMBER(B473)),"",YEAR(B473)*100+MONTH(B473))</f>
        <v/>
      </c>
    </row>
    <row r="474">
      <c r="A474" s="1" t="n"/>
      <c r="B474" s="27" t="n"/>
      <c r="C474" s="18" t="n"/>
      <c r="D474" s="19" t="n"/>
      <c r="E474" s="21" t="n"/>
      <c r="F474" s="26" t="n"/>
      <c r="G474" s="1">
        <f>IF(NOT(ISNUMBER(B474)),"",YEAR(B474)*100+MONTH(B474))</f>
        <v/>
      </c>
    </row>
    <row r="475">
      <c r="A475" s="1" t="n"/>
      <c r="B475" s="27" t="n"/>
      <c r="C475" s="18" t="n"/>
      <c r="D475" s="19" t="n"/>
      <c r="E475" s="21" t="n"/>
      <c r="F475" s="26" t="n"/>
      <c r="G475" s="1">
        <f>IF(NOT(ISNUMBER(B475)),"",YEAR(B475)*100+MONTH(B475))</f>
        <v/>
      </c>
    </row>
    <row r="476">
      <c r="A476" s="1" t="n"/>
      <c r="B476" s="27" t="n"/>
      <c r="C476" s="18" t="n"/>
      <c r="D476" s="19" t="n"/>
      <c r="E476" s="21" t="n"/>
      <c r="F476" s="26" t="n"/>
      <c r="G476" s="1">
        <f>IF(NOT(ISNUMBER(B476)),"",YEAR(B476)*100+MONTH(B476))</f>
        <v/>
      </c>
    </row>
    <row r="477">
      <c r="A477" s="1" t="n"/>
      <c r="B477" s="27" t="n"/>
      <c r="C477" s="18" t="n"/>
      <c r="D477" s="19" t="n"/>
      <c r="E477" s="21" t="n"/>
      <c r="F477" s="26" t="n"/>
      <c r="G477" s="1">
        <f>IF(NOT(ISNUMBER(B477)),"",YEAR(B477)*100+MONTH(B477))</f>
        <v/>
      </c>
    </row>
    <row r="478">
      <c r="A478" s="1" t="n"/>
      <c r="B478" s="27" t="n"/>
      <c r="C478" s="18" t="n"/>
      <c r="D478" s="19" t="n"/>
      <c r="E478" s="21" t="n"/>
      <c r="F478" s="26" t="n"/>
      <c r="G478" s="1">
        <f>IF(NOT(ISNUMBER(B478)),"",YEAR(B478)*100+MONTH(B478))</f>
        <v/>
      </c>
    </row>
    <row r="479">
      <c r="A479" s="1" t="n"/>
      <c r="B479" s="27" t="n"/>
      <c r="C479" s="18" t="n"/>
      <c r="D479" s="19" t="n"/>
      <c r="E479" s="21" t="n"/>
      <c r="F479" s="26" t="n"/>
      <c r="G479" s="1">
        <f>IF(NOT(ISNUMBER(B479)),"",YEAR(B479)*100+MONTH(B479))</f>
        <v/>
      </c>
    </row>
    <row r="480">
      <c r="A480" s="1" t="n"/>
      <c r="B480" s="27" t="n"/>
      <c r="C480" s="18" t="n"/>
      <c r="D480" s="19" t="n"/>
      <c r="E480" s="21" t="n"/>
      <c r="F480" s="26" t="n"/>
      <c r="G480" s="1">
        <f>IF(NOT(ISNUMBER(B480)),"",YEAR(B480)*100+MONTH(B480))</f>
        <v/>
      </c>
    </row>
    <row r="481">
      <c r="A481" s="1" t="n"/>
      <c r="B481" s="27" t="n"/>
      <c r="C481" s="18" t="n"/>
      <c r="D481" s="19" t="n"/>
      <c r="E481" s="21" t="n"/>
      <c r="F481" s="26" t="n"/>
      <c r="G481" s="1">
        <f>IF(NOT(ISNUMBER(B481)),"",YEAR(B481)*100+MONTH(B481))</f>
        <v/>
      </c>
    </row>
    <row r="482">
      <c r="A482" s="1" t="n"/>
      <c r="B482" s="27" t="n"/>
      <c r="C482" s="18" t="n"/>
      <c r="D482" s="19" t="n"/>
      <c r="E482" s="21" t="n"/>
      <c r="F482" s="26" t="n"/>
      <c r="G482" s="1">
        <f>IF(NOT(ISNUMBER(B482)),"",YEAR(B482)*100+MONTH(B482))</f>
        <v/>
      </c>
    </row>
    <row r="483">
      <c r="A483" s="1" t="n"/>
      <c r="B483" s="27" t="n"/>
      <c r="C483" s="18" t="n"/>
      <c r="D483" s="19" t="n"/>
      <c r="E483" s="21" t="n"/>
      <c r="F483" s="26" t="n"/>
      <c r="G483" s="1">
        <f>IF(NOT(ISNUMBER(B483)),"",YEAR(B483)*100+MONTH(B483))</f>
        <v/>
      </c>
    </row>
    <row r="484">
      <c r="A484" s="1" t="n"/>
      <c r="B484" s="27" t="n"/>
      <c r="C484" s="18" t="n"/>
      <c r="D484" s="19" t="n"/>
      <c r="E484" s="21" t="n"/>
      <c r="F484" s="26" t="n"/>
      <c r="G484" s="1">
        <f>IF(NOT(ISNUMBER(B484)),"",YEAR(B484)*100+MONTH(B484))</f>
        <v/>
      </c>
    </row>
    <row r="485">
      <c r="A485" s="1" t="n"/>
      <c r="B485" s="27" t="n"/>
      <c r="C485" s="18" t="n"/>
      <c r="D485" s="19" t="n"/>
      <c r="E485" s="21" t="n"/>
      <c r="F485" s="26" t="n"/>
      <c r="G485" s="1">
        <f>IF(NOT(ISNUMBER(B485)),"",YEAR(B485)*100+MONTH(B485))</f>
        <v/>
      </c>
    </row>
    <row r="486">
      <c r="A486" s="1" t="n"/>
      <c r="B486" s="27" t="n"/>
      <c r="C486" s="18" t="n"/>
      <c r="D486" s="19" t="n"/>
      <c r="E486" s="21" t="n"/>
      <c r="F486" s="26" t="n"/>
      <c r="G486" s="1">
        <f>IF(NOT(ISNUMBER(B486)),"",YEAR(B486)*100+MONTH(B486))</f>
        <v/>
      </c>
    </row>
    <row r="487">
      <c r="A487" s="1" t="n"/>
      <c r="B487" s="27" t="n"/>
      <c r="C487" s="18" t="n"/>
      <c r="D487" s="19" t="n"/>
      <c r="E487" s="21" t="n"/>
      <c r="F487" s="26" t="n"/>
      <c r="G487" s="1">
        <f>IF(NOT(ISNUMBER(B487)),"",YEAR(B487)*100+MONTH(B487))</f>
        <v/>
      </c>
    </row>
    <row r="488">
      <c r="A488" s="1" t="n"/>
      <c r="B488" s="27" t="n"/>
      <c r="C488" s="18" t="n"/>
      <c r="D488" s="19" t="n"/>
      <c r="E488" s="21" t="n"/>
      <c r="F488" s="26" t="n"/>
      <c r="G488" s="1">
        <f>IF(NOT(ISNUMBER(B488)),"",YEAR(B488)*100+MONTH(B488))</f>
        <v/>
      </c>
    </row>
    <row r="489">
      <c r="A489" s="1" t="n"/>
      <c r="B489" s="27" t="n"/>
      <c r="C489" s="18" t="n"/>
      <c r="D489" s="19" t="n"/>
      <c r="E489" s="21" t="n"/>
      <c r="F489" s="26" t="n"/>
      <c r="G489" s="1">
        <f>IF(NOT(ISNUMBER(B489)),"",YEAR(B489)*100+MONTH(B489))</f>
        <v/>
      </c>
    </row>
    <row r="490">
      <c r="A490" s="1" t="n"/>
      <c r="B490" s="27" t="n"/>
      <c r="C490" s="18" t="n"/>
      <c r="D490" s="19" t="n"/>
      <c r="E490" s="21" t="n"/>
      <c r="F490" s="26" t="n"/>
      <c r="G490" s="1">
        <f>IF(NOT(ISNUMBER(B490)),"",YEAR(B490)*100+MONTH(B490))</f>
        <v/>
      </c>
    </row>
    <row r="491">
      <c r="A491" s="1" t="n"/>
      <c r="B491" s="27" t="n"/>
      <c r="C491" s="18" t="n"/>
      <c r="D491" s="19" t="n"/>
      <c r="E491" s="21" t="n"/>
      <c r="F491" s="26" t="n"/>
      <c r="G491" s="1">
        <f>IF(NOT(ISNUMBER(B491)),"",YEAR(B491)*100+MONTH(B491))</f>
        <v/>
      </c>
    </row>
    <row r="492">
      <c r="A492" s="1" t="n"/>
      <c r="B492" s="27" t="n"/>
      <c r="C492" s="18" t="n"/>
      <c r="D492" s="19" t="n"/>
      <c r="E492" s="21" t="n"/>
      <c r="F492" s="26" t="n"/>
      <c r="G492" s="1">
        <f>IF(NOT(ISNUMBER(B492)),"",YEAR(B492)*100+MONTH(B492))</f>
        <v/>
      </c>
    </row>
    <row r="493">
      <c r="A493" s="1" t="n"/>
      <c r="B493" s="27" t="n"/>
      <c r="C493" s="18" t="n"/>
      <c r="D493" s="19" t="n"/>
      <c r="E493" s="21" t="n"/>
      <c r="F493" s="26" t="n"/>
      <c r="G493" s="1">
        <f>IF(NOT(ISNUMBER(B493)),"",YEAR(B493)*100+MONTH(B493))</f>
        <v/>
      </c>
    </row>
    <row r="494">
      <c r="A494" s="1" t="n"/>
      <c r="B494" s="27" t="n"/>
      <c r="C494" s="18" t="n"/>
      <c r="D494" s="19" t="n"/>
      <c r="E494" s="21" t="n"/>
      <c r="F494" s="26" t="n"/>
      <c r="G494" s="1">
        <f>IF(NOT(ISNUMBER(B494)),"",YEAR(B494)*100+MONTH(B494))</f>
        <v/>
      </c>
    </row>
    <row r="495">
      <c r="A495" s="1" t="n"/>
      <c r="B495" s="27" t="n"/>
      <c r="C495" s="18" t="n"/>
      <c r="D495" s="19" t="n"/>
      <c r="E495" s="21" t="n"/>
      <c r="F495" s="26" t="n"/>
      <c r="G495" s="1">
        <f>IF(NOT(ISNUMBER(B495)),"",YEAR(B495)*100+MONTH(B495))</f>
        <v/>
      </c>
    </row>
    <row r="496">
      <c r="A496" s="1" t="n"/>
      <c r="B496" s="27" t="n"/>
      <c r="C496" s="18" t="n"/>
      <c r="D496" s="19" t="n"/>
      <c r="E496" s="21" t="n"/>
      <c r="F496" s="26" t="n"/>
      <c r="G496" s="1">
        <f>IF(NOT(ISNUMBER(B496)),"",YEAR(B496)*100+MONTH(B496))</f>
        <v/>
      </c>
    </row>
    <row r="497">
      <c r="A497" s="1" t="n"/>
      <c r="B497" s="27" t="n"/>
      <c r="C497" s="18" t="n"/>
      <c r="D497" s="19" t="n"/>
      <c r="E497" s="21" t="n"/>
      <c r="F497" s="26" t="n"/>
      <c r="G497" s="1">
        <f>IF(NOT(ISNUMBER(B497)),"",YEAR(B497)*100+MONTH(B497))</f>
        <v/>
      </c>
    </row>
    <row r="498">
      <c r="A498" s="1" t="n"/>
      <c r="B498" s="27" t="n"/>
      <c r="C498" s="18" t="n"/>
      <c r="D498" s="19" t="n"/>
      <c r="E498" s="21" t="n"/>
      <c r="F498" s="26" t="n"/>
      <c r="G498" s="1">
        <f>IF(NOT(ISNUMBER(B498)),"",YEAR(B498)*100+MONTH(B498))</f>
        <v/>
      </c>
    </row>
    <row r="499">
      <c r="A499" s="1" t="n"/>
      <c r="B499" s="27" t="n"/>
      <c r="C499" s="18" t="n"/>
      <c r="D499" s="19" t="n"/>
      <c r="E499" s="21" t="n"/>
      <c r="F499" s="26" t="n"/>
      <c r="G499" s="1">
        <f>IF(NOT(ISNUMBER(B499)),"",YEAR(B499)*100+MONTH(B499))</f>
        <v/>
      </c>
    </row>
    <row r="500">
      <c r="A500" s="1" t="n"/>
      <c r="B500" s="27" t="n"/>
      <c r="C500" s="18" t="n"/>
      <c r="D500" s="19" t="n"/>
      <c r="E500" s="21" t="n"/>
      <c r="F500" s="26" t="n"/>
      <c r="G500" s="1">
        <f>IF(NOT(ISNUMBER(B500)),"",YEAR(B500)*100+MONTH(B500))</f>
        <v/>
      </c>
    </row>
    <row r="501">
      <c r="A501" s="1" t="n"/>
      <c r="B501" s="27" t="n"/>
      <c r="C501" s="18" t="n"/>
      <c r="D501" s="19" t="n"/>
      <c r="E501" s="21" t="n"/>
      <c r="F501" s="26" t="n"/>
      <c r="G501" s="1">
        <f>IF(NOT(ISNUMBER(B501)),"",YEAR(B501)*100+MONTH(B501))</f>
        <v/>
      </c>
    </row>
    <row r="502">
      <c r="A502" s="1" t="n"/>
      <c r="B502" s="27" t="n"/>
      <c r="C502" s="18" t="n"/>
      <c r="D502" s="19" t="n"/>
      <c r="E502" s="21" t="n"/>
      <c r="F502" s="26" t="n"/>
      <c r="G502" s="1">
        <f>IF(NOT(ISNUMBER(B502)),"",YEAR(B502)*100+MONTH(B502))</f>
        <v/>
      </c>
    </row>
    <row r="503">
      <c r="A503" s="1" t="n"/>
      <c r="B503" s="27" t="n"/>
      <c r="C503" s="18" t="n"/>
      <c r="D503" s="19" t="n"/>
      <c r="E503" s="21" t="n"/>
      <c r="F503" s="26" t="n"/>
      <c r="G503" s="1">
        <f>IF(NOT(ISNUMBER(B503)),"",YEAR(B503)*100+MONTH(B503))</f>
        <v/>
      </c>
    </row>
    <row r="504">
      <c r="A504" s="1" t="n"/>
      <c r="B504" s="27" t="n"/>
      <c r="C504" s="18" t="n"/>
      <c r="D504" s="19" t="n"/>
      <c r="E504" s="21" t="n"/>
      <c r="F504" s="26" t="n"/>
      <c r="G504" s="1">
        <f>IF(NOT(ISNUMBER(B504)),"",YEAR(B504)*100+MONTH(B504))</f>
        <v/>
      </c>
    </row>
    <row r="505">
      <c r="A505" s="1" t="n"/>
      <c r="B505" s="27" t="n"/>
      <c r="C505" s="18" t="n"/>
      <c r="D505" s="19" t="n"/>
      <c r="E505" s="21" t="n"/>
      <c r="F505" s="26" t="n"/>
      <c r="G505" s="1">
        <f>IF(NOT(ISNUMBER(B505)),"",YEAR(B505)*100+MONTH(B505))</f>
        <v/>
      </c>
    </row>
    <row r="506">
      <c r="A506" s="1" t="n"/>
      <c r="B506" s="27" t="n"/>
      <c r="C506" s="18" t="n"/>
      <c r="D506" s="19" t="n"/>
      <c r="E506" s="21" t="n"/>
      <c r="F506" s="26" t="n"/>
      <c r="G506" s="1">
        <f>IF(NOT(ISNUMBER(B506)),"",YEAR(B506)*100+MONTH(B506))</f>
        <v/>
      </c>
    </row>
    <row r="507">
      <c r="A507" s="1" t="n"/>
      <c r="B507" s="27" t="n"/>
      <c r="C507" s="18" t="n"/>
      <c r="D507" s="19" t="n"/>
      <c r="E507" s="21" t="n"/>
      <c r="F507" s="26" t="n"/>
      <c r="G507" s="1">
        <f>IF(NOT(ISNUMBER(B507)),"",YEAR(B507)*100+MONTH(B507))</f>
        <v/>
      </c>
    </row>
    <row r="508">
      <c r="A508" s="1" t="n"/>
      <c r="B508" s="27" t="n"/>
      <c r="C508" s="18" t="n"/>
      <c r="D508" s="19" t="n"/>
      <c r="E508" s="21" t="n"/>
      <c r="F508" s="26" t="n"/>
      <c r="G508" s="1">
        <f>IF(NOT(ISNUMBER(B508)),"",YEAR(B508)*100+MONTH(B508))</f>
        <v/>
      </c>
    </row>
    <row r="509">
      <c r="A509" s="1" t="n"/>
      <c r="B509" s="27" t="n"/>
      <c r="C509" s="18" t="n"/>
      <c r="D509" s="19" t="n"/>
      <c r="E509" s="21" t="n"/>
      <c r="F509" s="26" t="n"/>
      <c r="G509" s="1">
        <f>IF(NOT(ISNUMBER(B509)),"",YEAR(B509)*100+MONTH(B509))</f>
        <v/>
      </c>
    </row>
    <row r="510">
      <c r="A510" s="1" t="n"/>
      <c r="B510" s="27" t="n"/>
      <c r="C510" s="18" t="n"/>
      <c r="D510" s="19" t="n"/>
      <c r="E510" s="21" t="n"/>
      <c r="F510" s="26" t="n"/>
      <c r="G510" s="1">
        <f>IF(NOT(ISNUMBER(B510)),"",YEAR(B510)*100+MONTH(B510))</f>
        <v/>
      </c>
    </row>
    <row r="511">
      <c r="A511" s="1" t="n"/>
      <c r="B511" s="27" t="n"/>
      <c r="C511" s="18" t="n"/>
      <c r="D511" s="19" t="n"/>
      <c r="E511" s="21" t="n"/>
      <c r="F511" s="26" t="n"/>
      <c r="G511" s="1">
        <f>IF(NOT(ISNUMBER(B511)),"",YEAR(B511)*100+MONTH(B511))</f>
        <v/>
      </c>
    </row>
    <row r="512">
      <c r="A512" s="1" t="n"/>
      <c r="B512" s="27" t="n"/>
      <c r="C512" s="18" t="n"/>
      <c r="D512" s="19" t="n"/>
      <c r="E512" s="21" t="n"/>
      <c r="F512" s="26" t="n"/>
      <c r="G512" s="1">
        <f>IF(NOT(ISNUMBER(B512)),"",YEAR(B512)*100+MONTH(B512))</f>
        <v/>
      </c>
    </row>
    <row r="513">
      <c r="A513" s="1" t="n"/>
      <c r="B513" s="27" t="n"/>
      <c r="C513" s="18" t="n"/>
      <c r="D513" s="19" t="n"/>
      <c r="E513" s="21" t="n"/>
      <c r="F513" s="26" t="n"/>
      <c r="G513" s="1">
        <f>IF(NOT(ISNUMBER(B513)),"",YEAR(B513)*100+MONTH(B513))</f>
        <v/>
      </c>
    </row>
    <row r="514">
      <c r="A514" s="1" t="n"/>
      <c r="B514" s="27" t="n"/>
      <c r="C514" s="18" t="n"/>
      <c r="D514" s="19" t="n"/>
      <c r="E514" s="21" t="n"/>
      <c r="F514" s="26" t="n"/>
      <c r="G514" s="1">
        <f>IF(NOT(ISNUMBER(B514)),"",YEAR(B514)*100+MONTH(B514))</f>
        <v/>
      </c>
    </row>
    <row r="515">
      <c r="A515" s="1" t="n"/>
      <c r="B515" s="27" t="n"/>
      <c r="C515" s="18" t="n"/>
      <c r="D515" s="19" t="n"/>
      <c r="E515" s="21" t="n"/>
      <c r="F515" s="26" t="n"/>
      <c r="G515" s="1">
        <f>IF(NOT(ISNUMBER(B515)),"",YEAR(B515)*100+MONTH(B515))</f>
        <v/>
      </c>
    </row>
    <row r="516">
      <c r="A516" s="1" t="n"/>
      <c r="B516" s="27" t="n"/>
      <c r="C516" s="18" t="n"/>
      <c r="D516" s="19" t="n"/>
      <c r="E516" s="21" t="n"/>
      <c r="F516" s="26" t="n"/>
      <c r="G516" s="1">
        <f>IF(NOT(ISNUMBER(B516)),"",YEAR(B516)*100+MONTH(B516))</f>
        <v/>
      </c>
    </row>
    <row r="517">
      <c r="A517" s="1" t="n"/>
      <c r="B517" s="27" t="n"/>
      <c r="C517" s="18" t="n"/>
      <c r="D517" s="19" t="n"/>
      <c r="E517" s="21" t="n"/>
      <c r="F517" s="26" t="n"/>
      <c r="G517" s="1">
        <f>IF(NOT(ISNUMBER(B517)),"",YEAR(B517)*100+MONTH(B517))</f>
        <v/>
      </c>
    </row>
    <row r="518">
      <c r="A518" s="1" t="n"/>
      <c r="B518" s="27" t="n"/>
      <c r="C518" s="18" t="n"/>
      <c r="D518" s="19" t="n"/>
      <c r="E518" s="21" t="n"/>
      <c r="F518" s="26" t="n"/>
      <c r="G518" s="1">
        <f>IF(NOT(ISNUMBER(B518)),"",YEAR(B518)*100+MONTH(B518))</f>
        <v/>
      </c>
    </row>
    <row r="519">
      <c r="A519" s="1" t="n"/>
      <c r="B519" s="27" t="n"/>
      <c r="C519" s="18" t="n"/>
      <c r="D519" s="19" t="n"/>
      <c r="E519" s="21" t="n"/>
      <c r="F519" s="26" t="n"/>
      <c r="G519" s="1">
        <f>IF(NOT(ISNUMBER(B519)),"",YEAR(B519)*100+MONTH(B519))</f>
        <v/>
      </c>
    </row>
    <row r="520">
      <c r="A520" s="1" t="n"/>
      <c r="B520" s="27" t="n"/>
      <c r="C520" s="18" t="n"/>
      <c r="D520" s="19" t="n"/>
      <c r="E520" s="21" t="n"/>
      <c r="F520" s="26" t="n"/>
      <c r="G520" s="1">
        <f>IF(NOT(ISNUMBER(B520)),"",YEAR(B520)*100+MONTH(B520))</f>
        <v/>
      </c>
    </row>
    <row r="521">
      <c r="A521" s="1" t="n"/>
      <c r="B521" s="27" t="n"/>
      <c r="C521" s="18" t="n"/>
      <c r="D521" s="19" t="n"/>
      <c r="E521" s="21" t="n"/>
      <c r="F521" s="26" t="n"/>
      <c r="G521" s="1">
        <f>IF(NOT(ISNUMBER(B521)),"",YEAR(B521)*100+MONTH(B521))</f>
        <v/>
      </c>
    </row>
    <row r="522">
      <c r="A522" s="1" t="n"/>
      <c r="B522" s="27" t="n"/>
      <c r="C522" s="18" t="n"/>
      <c r="D522" s="19" t="n"/>
      <c r="E522" s="21" t="n"/>
      <c r="F522" s="26" t="n"/>
      <c r="G522" s="1">
        <f>IF(NOT(ISNUMBER(B522)),"",YEAR(B522)*100+MONTH(B522))</f>
        <v/>
      </c>
    </row>
    <row r="523">
      <c r="A523" s="1" t="n"/>
      <c r="B523" s="27" t="n"/>
      <c r="C523" s="18" t="n"/>
      <c r="D523" s="19" t="n"/>
      <c r="E523" s="21" t="n"/>
      <c r="F523" s="26" t="n"/>
      <c r="G523" s="1">
        <f>IF(NOT(ISNUMBER(B523)),"",YEAR(B523)*100+MONTH(B523))</f>
        <v/>
      </c>
    </row>
    <row r="524">
      <c r="A524" s="1" t="n"/>
      <c r="B524" s="27" t="n"/>
      <c r="C524" s="18" t="n"/>
      <c r="D524" s="19" t="n"/>
      <c r="E524" s="21" t="n"/>
      <c r="F524" s="26" t="n"/>
      <c r="G524" s="1">
        <f>IF(NOT(ISNUMBER(B524)),"",YEAR(B524)*100+MONTH(B524))</f>
        <v/>
      </c>
    </row>
    <row r="525">
      <c r="A525" s="1" t="n"/>
      <c r="B525" s="27" t="n"/>
      <c r="C525" s="18" t="n"/>
      <c r="D525" s="19" t="n"/>
      <c r="E525" s="21" t="n"/>
      <c r="F525" s="26" t="n"/>
      <c r="G525" s="1">
        <f>IF(NOT(ISNUMBER(B525)),"",YEAR(B525)*100+MONTH(B525))</f>
        <v/>
      </c>
    </row>
    <row r="526">
      <c r="A526" s="1" t="n"/>
      <c r="B526" s="27" t="n"/>
      <c r="C526" s="18" t="n"/>
      <c r="D526" s="19" t="n"/>
      <c r="E526" s="21" t="n"/>
      <c r="F526" s="26" t="n"/>
      <c r="G526" s="1">
        <f>IF(NOT(ISNUMBER(B526)),"",YEAR(B526)*100+MONTH(B526))</f>
        <v/>
      </c>
    </row>
    <row r="527">
      <c r="A527" s="1" t="n"/>
      <c r="B527" s="27" t="n"/>
      <c r="C527" s="18" t="n"/>
      <c r="D527" s="19" t="n"/>
      <c r="E527" s="21" t="n"/>
      <c r="F527" s="26" t="n"/>
      <c r="G527" s="1">
        <f>IF(NOT(ISNUMBER(B527)),"",YEAR(B527)*100+MONTH(B527))</f>
        <v/>
      </c>
    </row>
    <row r="528">
      <c r="A528" s="1" t="n"/>
      <c r="B528" s="27" t="n"/>
      <c r="C528" s="18" t="n"/>
      <c r="D528" s="19" t="n"/>
      <c r="E528" s="21" t="n"/>
      <c r="F528" s="26" t="n"/>
      <c r="G528" s="1">
        <f>IF(NOT(ISNUMBER(B528)),"",YEAR(B528)*100+MONTH(B528))</f>
        <v/>
      </c>
    </row>
    <row r="529">
      <c r="A529" s="1" t="n"/>
      <c r="B529" s="27" t="n"/>
      <c r="C529" s="18" t="n"/>
      <c r="D529" s="19" t="n"/>
      <c r="E529" s="21" t="n"/>
      <c r="F529" s="26" t="n"/>
      <c r="G529" s="1">
        <f>IF(NOT(ISNUMBER(B529)),"",YEAR(B529)*100+MONTH(B529))</f>
        <v/>
      </c>
    </row>
    <row r="530">
      <c r="A530" s="1" t="n"/>
      <c r="B530" s="27" t="n"/>
      <c r="C530" s="18" t="n"/>
      <c r="D530" s="19" t="n"/>
      <c r="E530" s="21" t="n"/>
      <c r="F530" s="26" t="n"/>
      <c r="G530" s="1">
        <f>IF(NOT(ISNUMBER(B530)),"",YEAR(B530)*100+MONTH(B530))</f>
        <v/>
      </c>
    </row>
    <row r="531">
      <c r="A531" s="1" t="n"/>
      <c r="B531" s="27" t="n"/>
      <c r="C531" s="18" t="n"/>
      <c r="D531" s="19" t="n"/>
      <c r="E531" s="21" t="n"/>
      <c r="F531" s="26" t="n"/>
      <c r="G531" s="1">
        <f>IF(NOT(ISNUMBER(B531)),"",YEAR(B531)*100+MONTH(B531))</f>
        <v/>
      </c>
    </row>
    <row r="532">
      <c r="A532" s="1" t="n"/>
      <c r="B532" s="27" t="n"/>
      <c r="C532" s="18" t="n"/>
      <c r="D532" s="19" t="n"/>
      <c r="E532" s="21" t="n"/>
      <c r="F532" s="26" t="n"/>
      <c r="G532" s="1">
        <f>IF(NOT(ISNUMBER(B532)),"",YEAR(B532)*100+MONTH(B532))</f>
        <v/>
      </c>
    </row>
    <row r="533">
      <c r="A533" s="1" t="n"/>
      <c r="B533" s="27" t="n"/>
      <c r="C533" s="18" t="n"/>
      <c r="D533" s="19" t="n"/>
      <c r="E533" s="21" t="n"/>
      <c r="F533" s="26" t="n"/>
      <c r="G533" s="1">
        <f>IF(NOT(ISNUMBER(B533)),"",YEAR(B533)*100+MONTH(B533))</f>
        <v/>
      </c>
    </row>
    <row r="534">
      <c r="A534" s="1" t="n"/>
      <c r="B534" s="27" t="n"/>
      <c r="C534" s="18" t="n"/>
      <c r="D534" s="19" t="n"/>
      <c r="E534" s="21" t="n"/>
      <c r="F534" s="26" t="n"/>
      <c r="G534" s="1">
        <f>IF(NOT(ISNUMBER(B534)),"",YEAR(B534)*100+MONTH(B534))</f>
        <v/>
      </c>
    </row>
    <row r="535">
      <c r="A535" s="1" t="n"/>
      <c r="B535" s="27" t="n"/>
      <c r="C535" s="18" t="n"/>
      <c r="D535" s="19" t="n"/>
      <c r="E535" s="21" t="n"/>
      <c r="F535" s="26" t="n"/>
      <c r="G535" s="1">
        <f>IF(NOT(ISNUMBER(B535)),"",YEAR(B535)*100+MONTH(B535))</f>
        <v/>
      </c>
    </row>
    <row r="536">
      <c r="A536" s="1" t="n"/>
      <c r="B536" s="27" t="n"/>
      <c r="C536" s="18" t="n"/>
      <c r="D536" s="19" t="n"/>
      <c r="E536" s="21" t="n"/>
      <c r="F536" s="26" t="n"/>
      <c r="G536" s="1">
        <f>IF(NOT(ISNUMBER(B536)),"",YEAR(B536)*100+MONTH(B536))</f>
        <v/>
      </c>
    </row>
    <row r="537">
      <c r="A537" s="1" t="n"/>
      <c r="B537" s="27" t="n"/>
      <c r="C537" s="18" t="n"/>
      <c r="D537" s="19" t="n"/>
      <c r="E537" s="21" t="n"/>
      <c r="F537" s="26" t="n"/>
      <c r="G537" s="1">
        <f>IF(NOT(ISNUMBER(B537)),"",YEAR(B537)*100+MONTH(B537))</f>
        <v/>
      </c>
    </row>
    <row r="538">
      <c r="A538" s="1" t="n"/>
      <c r="B538" s="27" t="n"/>
      <c r="C538" s="18" t="n"/>
      <c r="D538" s="19" t="n"/>
      <c r="E538" s="21" t="n"/>
      <c r="F538" s="26" t="n"/>
      <c r="G538" s="1">
        <f>IF(NOT(ISNUMBER(B538)),"",YEAR(B538)*100+MONTH(B538))</f>
        <v/>
      </c>
    </row>
    <row r="539">
      <c r="A539" s="1" t="n"/>
      <c r="B539" s="27" t="n"/>
      <c r="C539" s="18" t="n"/>
      <c r="D539" s="19" t="n"/>
      <c r="E539" s="21" t="n"/>
      <c r="F539" s="26" t="n"/>
      <c r="G539" s="1">
        <f>IF(NOT(ISNUMBER(B539)),"",YEAR(B539)*100+MONTH(B539))</f>
        <v/>
      </c>
    </row>
    <row r="540">
      <c r="A540" s="1" t="n"/>
      <c r="B540" s="27" t="n"/>
      <c r="C540" s="18" t="n"/>
      <c r="D540" s="19" t="n"/>
      <c r="E540" s="21" t="n"/>
      <c r="F540" s="26" t="n"/>
      <c r="G540" s="1">
        <f>IF(NOT(ISNUMBER(B540)),"",YEAR(B540)*100+MONTH(B540))</f>
        <v/>
      </c>
    </row>
    <row r="541">
      <c r="A541" s="1" t="n"/>
      <c r="B541" s="27" t="n"/>
      <c r="C541" s="18" t="n"/>
      <c r="D541" s="19" t="n"/>
      <c r="E541" s="21" t="n"/>
      <c r="F541" s="26" t="n"/>
      <c r="G541" s="1">
        <f>IF(NOT(ISNUMBER(B541)),"",YEAR(B541)*100+MONTH(B541))</f>
        <v/>
      </c>
    </row>
    <row r="542">
      <c r="A542" s="1" t="n"/>
      <c r="B542" s="27" t="n"/>
      <c r="C542" s="18" t="n"/>
      <c r="D542" s="19" t="n"/>
      <c r="E542" s="21" t="n"/>
      <c r="F542" s="26" t="n"/>
      <c r="G542" s="1">
        <f>IF(NOT(ISNUMBER(B542)),"",YEAR(B542)*100+MONTH(B542))</f>
        <v/>
      </c>
    </row>
    <row r="543">
      <c r="A543" s="1" t="n"/>
      <c r="B543" s="27" t="n"/>
      <c r="C543" s="18" t="n"/>
      <c r="D543" s="19" t="n"/>
      <c r="E543" s="21" t="n"/>
      <c r="F543" s="26" t="n"/>
      <c r="G543" s="1">
        <f>IF(NOT(ISNUMBER(B543)),"",YEAR(B543)*100+MONTH(B543))</f>
        <v/>
      </c>
    </row>
    <row r="544">
      <c r="A544" s="1" t="n"/>
      <c r="B544" s="27" t="n"/>
      <c r="C544" s="18" t="n"/>
      <c r="D544" s="19" t="n"/>
      <c r="E544" s="21" t="n"/>
      <c r="F544" s="26" t="n"/>
      <c r="G544" s="1">
        <f>IF(NOT(ISNUMBER(B544)),"",YEAR(B544)*100+MONTH(B544))</f>
        <v/>
      </c>
    </row>
    <row r="545">
      <c r="A545" s="1" t="n"/>
      <c r="B545" s="27" t="n"/>
      <c r="C545" s="18" t="n"/>
      <c r="D545" s="19" t="n"/>
      <c r="E545" s="21" t="n"/>
      <c r="F545" s="26" t="n"/>
      <c r="G545" s="1">
        <f>IF(NOT(ISNUMBER(B545)),"",YEAR(B545)*100+MONTH(B545))</f>
        <v/>
      </c>
    </row>
    <row r="546">
      <c r="A546" s="1" t="n"/>
      <c r="B546" s="27" t="n"/>
      <c r="C546" s="18" t="n"/>
      <c r="D546" s="19" t="n"/>
      <c r="E546" s="21" t="n"/>
      <c r="F546" s="26" t="n"/>
      <c r="G546" s="1">
        <f>IF(NOT(ISNUMBER(B546)),"",YEAR(B546)*100+MONTH(B546))</f>
        <v/>
      </c>
    </row>
    <row r="547">
      <c r="A547" s="1" t="n"/>
      <c r="B547" s="27" t="n"/>
      <c r="C547" s="18" t="n"/>
      <c r="D547" s="19" t="n"/>
      <c r="E547" s="21" t="n"/>
      <c r="F547" s="26" t="n"/>
      <c r="G547" s="1">
        <f>IF(NOT(ISNUMBER(B547)),"",YEAR(B547)*100+MONTH(B547))</f>
        <v/>
      </c>
    </row>
    <row r="548">
      <c r="A548" s="1" t="n"/>
      <c r="B548" s="27" t="n"/>
      <c r="C548" s="18" t="n"/>
      <c r="D548" s="19" t="n"/>
      <c r="E548" s="21" t="n"/>
      <c r="F548" s="26" t="n"/>
      <c r="G548" s="1">
        <f>IF(NOT(ISNUMBER(B548)),"",YEAR(B548)*100+MONTH(B548))</f>
        <v/>
      </c>
    </row>
    <row r="549">
      <c r="A549" s="1" t="n"/>
      <c r="B549" s="27" t="n"/>
      <c r="C549" s="18" t="n"/>
      <c r="D549" s="19" t="n"/>
      <c r="E549" s="21" t="n"/>
      <c r="F549" s="26" t="n"/>
      <c r="G549" s="1">
        <f>IF(NOT(ISNUMBER(B549)),"",YEAR(B549)*100+MONTH(B549))</f>
        <v/>
      </c>
    </row>
    <row r="550">
      <c r="A550" s="1" t="n"/>
      <c r="B550" s="27" t="n"/>
      <c r="C550" s="18" t="n"/>
      <c r="D550" s="19" t="n"/>
      <c r="E550" s="21" t="n"/>
      <c r="F550" s="26" t="n"/>
      <c r="G550" s="1">
        <f>IF(NOT(ISNUMBER(B550)),"",YEAR(B550)*100+MONTH(B550))</f>
        <v/>
      </c>
    </row>
    <row r="551">
      <c r="A551" s="1" t="n"/>
      <c r="B551" s="27" t="n"/>
      <c r="C551" s="18" t="n"/>
      <c r="D551" s="19" t="n"/>
      <c r="E551" s="21" t="n"/>
      <c r="F551" s="26" t="n"/>
      <c r="G551" s="1">
        <f>IF(NOT(ISNUMBER(B551)),"",YEAR(B551)*100+MONTH(B551))</f>
        <v/>
      </c>
    </row>
    <row r="552">
      <c r="A552" s="1" t="n"/>
      <c r="B552" s="27" t="n"/>
      <c r="C552" s="18" t="n"/>
      <c r="D552" s="19" t="n"/>
      <c r="E552" s="21" t="n"/>
      <c r="F552" s="26" t="n"/>
      <c r="G552" s="1">
        <f>IF(NOT(ISNUMBER(B552)),"",YEAR(B552)*100+MONTH(B552))</f>
        <v/>
      </c>
    </row>
    <row r="553">
      <c r="A553" s="1" t="n"/>
      <c r="B553" s="27" t="n"/>
      <c r="C553" s="18" t="n"/>
      <c r="D553" s="19" t="n"/>
      <c r="E553" s="21" t="n"/>
      <c r="F553" s="26" t="n"/>
      <c r="G553" s="1">
        <f>IF(NOT(ISNUMBER(B553)),"",YEAR(B553)*100+MONTH(B553))</f>
        <v/>
      </c>
    </row>
    <row r="554">
      <c r="A554" s="1" t="n"/>
      <c r="B554" s="27" t="n"/>
      <c r="C554" s="18" t="n"/>
      <c r="D554" s="19" t="n"/>
      <c r="E554" s="21" t="n"/>
      <c r="F554" s="26" t="n"/>
      <c r="G554" s="1">
        <f>IF(NOT(ISNUMBER(B554)),"",YEAR(B554)*100+MONTH(B554))</f>
        <v/>
      </c>
    </row>
    <row r="555">
      <c r="A555" s="1" t="n"/>
      <c r="B555" s="27" t="n"/>
      <c r="C555" s="18" t="n"/>
      <c r="D555" s="19" t="n"/>
      <c r="E555" s="21" t="n"/>
      <c r="F555" s="26" t="n"/>
      <c r="G555" s="1">
        <f>IF(NOT(ISNUMBER(B555)),"",YEAR(B555)*100+MONTH(B555))</f>
        <v/>
      </c>
    </row>
    <row r="556">
      <c r="A556" s="1" t="n"/>
      <c r="B556" s="27" t="n"/>
      <c r="C556" s="18" t="n"/>
      <c r="D556" s="19" t="n"/>
      <c r="E556" s="21" t="n"/>
      <c r="F556" s="26" t="n"/>
      <c r="G556" s="1">
        <f>IF(NOT(ISNUMBER(B556)),"",YEAR(B556)*100+MONTH(B556))</f>
        <v/>
      </c>
    </row>
    <row r="557">
      <c r="A557" s="1" t="n"/>
      <c r="B557" s="27" t="n"/>
      <c r="C557" s="18" t="n"/>
      <c r="D557" s="19" t="n"/>
      <c r="E557" s="21" t="n"/>
      <c r="F557" s="26" t="n"/>
      <c r="G557" s="1">
        <f>IF(NOT(ISNUMBER(B557)),"",YEAR(B557)*100+MONTH(B557))</f>
        <v/>
      </c>
    </row>
    <row r="558">
      <c r="A558" s="1" t="n"/>
      <c r="B558" s="27" t="n"/>
      <c r="C558" s="18" t="n"/>
      <c r="D558" s="19" t="n"/>
      <c r="E558" s="21" t="n"/>
      <c r="F558" s="26" t="n"/>
      <c r="G558" s="1">
        <f>IF(NOT(ISNUMBER(B558)),"",YEAR(B558)*100+MONTH(B558))</f>
        <v/>
      </c>
    </row>
    <row r="559">
      <c r="A559" s="1" t="n"/>
      <c r="B559" s="27" t="n"/>
      <c r="C559" s="18" t="n"/>
      <c r="D559" s="19" t="n"/>
      <c r="E559" s="21" t="n"/>
      <c r="F559" s="26" t="n"/>
      <c r="G559" s="1">
        <f>IF(NOT(ISNUMBER(B559)),"",YEAR(B559)*100+MONTH(B559))</f>
        <v/>
      </c>
    </row>
    <row r="560">
      <c r="A560" s="1" t="n"/>
      <c r="B560" s="27" t="n"/>
      <c r="C560" s="18" t="n"/>
      <c r="D560" s="19" t="n"/>
      <c r="E560" s="21" t="n"/>
      <c r="F560" s="26" t="n"/>
      <c r="G560" s="1">
        <f>IF(NOT(ISNUMBER(B560)),"",YEAR(B560)*100+MONTH(B560))</f>
        <v/>
      </c>
    </row>
    <row r="561">
      <c r="A561" s="1" t="n"/>
      <c r="B561" s="27" t="n"/>
      <c r="C561" s="18" t="n"/>
      <c r="D561" s="19" t="n"/>
      <c r="E561" s="21" t="n"/>
      <c r="F561" s="26" t="n"/>
      <c r="G561" s="1">
        <f>IF(NOT(ISNUMBER(B561)),"",YEAR(B561)*100+MONTH(B561))</f>
        <v/>
      </c>
    </row>
    <row r="562">
      <c r="A562" s="1" t="n"/>
      <c r="B562" s="27" t="n"/>
      <c r="C562" s="18" t="n"/>
      <c r="D562" s="19" t="n"/>
      <c r="E562" s="21" t="n"/>
      <c r="F562" s="26" t="n"/>
      <c r="G562" s="1">
        <f>IF(NOT(ISNUMBER(B562)),"",YEAR(B562)*100+MONTH(B562))</f>
        <v/>
      </c>
    </row>
    <row r="563">
      <c r="A563" s="1" t="n"/>
      <c r="B563" s="27" t="n"/>
      <c r="C563" s="18" t="n"/>
      <c r="D563" s="19" t="n"/>
      <c r="E563" s="21" t="n"/>
      <c r="F563" s="26" t="n"/>
      <c r="G563" s="1">
        <f>IF(NOT(ISNUMBER(B563)),"",YEAR(B563)*100+MONTH(B563))</f>
        <v/>
      </c>
    </row>
    <row r="564">
      <c r="A564" s="1" t="n"/>
      <c r="B564" s="27" t="n"/>
      <c r="C564" s="18" t="n"/>
      <c r="D564" s="19" t="n"/>
      <c r="E564" s="21" t="n"/>
      <c r="F564" s="26" t="n"/>
      <c r="G564" s="1">
        <f>IF(NOT(ISNUMBER(B564)),"",YEAR(B564)*100+MONTH(B564))</f>
        <v/>
      </c>
    </row>
    <row r="565">
      <c r="A565" s="1" t="n"/>
      <c r="B565" s="27" t="n"/>
      <c r="C565" s="18" t="n"/>
      <c r="D565" s="19" t="n"/>
      <c r="E565" s="21" t="n"/>
      <c r="F565" s="26" t="n"/>
      <c r="G565" s="1">
        <f>IF(NOT(ISNUMBER(B565)),"",YEAR(B565)*100+MONTH(B565))</f>
        <v/>
      </c>
    </row>
    <row r="566">
      <c r="A566" s="1" t="n"/>
      <c r="B566" s="27" t="n"/>
      <c r="C566" s="18" t="n"/>
      <c r="D566" s="19" t="n"/>
      <c r="E566" s="21" t="n"/>
      <c r="F566" s="26" t="n"/>
      <c r="G566" s="1">
        <f>IF(NOT(ISNUMBER(B566)),"",YEAR(B566)*100+MONTH(B566))</f>
        <v/>
      </c>
    </row>
    <row r="567">
      <c r="A567" s="1" t="n"/>
      <c r="B567" s="27" t="n"/>
      <c r="C567" s="18" t="n"/>
      <c r="D567" s="19" t="n"/>
      <c r="E567" s="21" t="n"/>
      <c r="F567" s="26" t="n"/>
      <c r="G567" s="1">
        <f>IF(NOT(ISNUMBER(B567)),"",YEAR(B567)*100+MONTH(B567))</f>
        <v/>
      </c>
    </row>
    <row r="568">
      <c r="A568" s="1" t="n"/>
      <c r="B568" s="27" t="n"/>
      <c r="C568" s="18" t="n"/>
      <c r="D568" s="19" t="n"/>
      <c r="E568" s="21" t="n"/>
      <c r="F568" s="26" t="n"/>
      <c r="G568" s="1">
        <f>IF(NOT(ISNUMBER(B568)),"",YEAR(B568)*100+MONTH(B568))</f>
        <v/>
      </c>
    </row>
    <row r="569">
      <c r="A569" s="1" t="n"/>
      <c r="B569" s="27" t="n"/>
      <c r="C569" s="18" t="n"/>
      <c r="D569" s="19" t="n"/>
      <c r="E569" s="21" t="n"/>
      <c r="F569" s="26" t="n"/>
      <c r="G569" s="1">
        <f>IF(NOT(ISNUMBER(B569)),"",YEAR(B569)*100+MONTH(B569))</f>
        <v/>
      </c>
    </row>
    <row r="570">
      <c r="A570" s="1" t="n"/>
      <c r="B570" s="27" t="n"/>
      <c r="C570" s="18" t="n"/>
      <c r="D570" s="19" t="n"/>
      <c r="E570" s="21" t="n"/>
      <c r="F570" s="26" t="n"/>
      <c r="G570" s="1">
        <f>IF(NOT(ISNUMBER(B570)),"",YEAR(B570)*100+MONTH(B570))</f>
        <v/>
      </c>
    </row>
    <row r="571">
      <c r="A571" s="1" t="n"/>
      <c r="B571" s="27" t="n"/>
      <c r="C571" s="18" t="n"/>
      <c r="D571" s="19" t="n"/>
      <c r="E571" s="21" t="n"/>
      <c r="F571" s="26" t="n"/>
      <c r="G571" s="1">
        <f>IF(NOT(ISNUMBER(B571)),"",YEAR(B571)*100+MONTH(B571))</f>
        <v/>
      </c>
    </row>
    <row r="572">
      <c r="A572" s="1" t="n"/>
      <c r="B572" s="27" t="n"/>
      <c r="C572" s="18" t="n"/>
      <c r="D572" s="19" t="n"/>
      <c r="E572" s="21" t="n"/>
      <c r="F572" s="26" t="n"/>
      <c r="G572" s="1">
        <f>IF(NOT(ISNUMBER(B572)),"",YEAR(B572)*100+MONTH(B572))</f>
        <v/>
      </c>
    </row>
    <row r="573">
      <c r="A573" s="1" t="n"/>
      <c r="B573" s="27" t="n"/>
      <c r="C573" s="18" t="n"/>
      <c r="D573" s="19" t="n"/>
      <c r="E573" s="21" t="n"/>
      <c r="F573" s="26" t="n"/>
      <c r="G573" s="1">
        <f>IF(NOT(ISNUMBER(B573)),"",YEAR(B573)*100+MONTH(B573))</f>
        <v/>
      </c>
    </row>
    <row r="574">
      <c r="A574" s="1" t="n"/>
      <c r="B574" s="27" t="n"/>
      <c r="C574" s="18" t="n"/>
      <c r="D574" s="19" t="n"/>
      <c r="E574" s="21" t="n"/>
      <c r="F574" s="26" t="n"/>
      <c r="G574" s="1">
        <f>IF(NOT(ISNUMBER(B574)),"",YEAR(B574)*100+MONTH(B574))</f>
        <v/>
      </c>
    </row>
    <row r="575">
      <c r="A575" s="1" t="n"/>
      <c r="B575" s="27" t="n"/>
      <c r="C575" s="18" t="n"/>
      <c r="D575" s="19" t="n"/>
      <c r="E575" s="21" t="n"/>
      <c r="F575" s="26" t="n"/>
      <c r="G575" s="1">
        <f>IF(NOT(ISNUMBER(B575)),"",YEAR(B575)*100+MONTH(B575))</f>
        <v/>
      </c>
    </row>
    <row r="576">
      <c r="A576" s="1" t="n"/>
      <c r="B576" s="27" t="n"/>
      <c r="C576" s="18" t="n"/>
      <c r="D576" s="19" t="n"/>
      <c r="E576" s="21" t="n"/>
      <c r="F576" s="26" t="n"/>
      <c r="G576" s="1">
        <f>IF(NOT(ISNUMBER(B576)),"",YEAR(B576)*100+MONTH(B576))</f>
        <v/>
      </c>
    </row>
    <row r="577">
      <c r="A577" s="1" t="n"/>
      <c r="B577" s="27" t="n"/>
      <c r="C577" s="18" t="n"/>
      <c r="D577" s="19" t="n"/>
      <c r="E577" s="21" t="n"/>
      <c r="F577" s="26" t="n"/>
      <c r="G577" s="1">
        <f>IF(NOT(ISNUMBER(B577)),"",YEAR(B577)*100+MONTH(B577))</f>
        <v/>
      </c>
    </row>
    <row r="578">
      <c r="A578" s="1" t="n"/>
      <c r="B578" s="27" t="n"/>
      <c r="C578" s="18" t="n"/>
      <c r="D578" s="19" t="n"/>
      <c r="E578" s="21" t="n"/>
      <c r="F578" s="26" t="n"/>
      <c r="G578" s="1">
        <f>IF(NOT(ISNUMBER(B578)),"",YEAR(B578)*100+MONTH(B578))</f>
        <v/>
      </c>
    </row>
    <row r="579">
      <c r="A579" s="1" t="n"/>
      <c r="B579" s="27" t="n"/>
      <c r="C579" s="18" t="n"/>
      <c r="D579" s="19" t="n"/>
      <c r="E579" s="21" t="n"/>
      <c r="F579" s="26" t="n"/>
      <c r="G579" s="1">
        <f>IF(NOT(ISNUMBER(B579)),"",YEAR(B579)*100+MONTH(B579))</f>
        <v/>
      </c>
    </row>
    <row r="580">
      <c r="A580" s="1" t="n"/>
      <c r="B580" s="27" t="n"/>
      <c r="C580" s="18" t="n"/>
      <c r="D580" s="19" t="n"/>
      <c r="E580" s="21" t="n"/>
      <c r="F580" s="26" t="n"/>
      <c r="G580" s="1">
        <f>IF(NOT(ISNUMBER(B580)),"",YEAR(B580)*100+MONTH(B580))</f>
        <v/>
      </c>
    </row>
    <row r="581">
      <c r="A581" s="1" t="n"/>
      <c r="B581" s="27" t="n"/>
      <c r="C581" s="18" t="n"/>
      <c r="D581" s="19" t="n"/>
      <c r="E581" s="21" t="n"/>
      <c r="F581" s="26" t="n"/>
      <c r="G581" s="1">
        <f>IF(NOT(ISNUMBER(B581)),"",YEAR(B581)*100+MONTH(B581))</f>
        <v/>
      </c>
    </row>
    <row r="582">
      <c r="A582" s="1" t="n"/>
      <c r="B582" s="27" t="n"/>
      <c r="C582" s="18" t="n"/>
      <c r="D582" s="19" t="n"/>
      <c r="E582" s="21" t="n"/>
      <c r="F582" s="26" t="n"/>
      <c r="G582" s="1">
        <f>IF(NOT(ISNUMBER(B582)),"",YEAR(B582)*100+MONTH(B582))</f>
        <v/>
      </c>
    </row>
    <row r="583">
      <c r="A583" s="1" t="n"/>
      <c r="B583" s="27" t="n"/>
      <c r="C583" s="18" t="n"/>
      <c r="D583" s="19" t="n"/>
      <c r="E583" s="21" t="n"/>
      <c r="F583" s="26" t="n"/>
      <c r="G583" s="1">
        <f>IF(NOT(ISNUMBER(B583)),"",YEAR(B583)*100+MONTH(B583))</f>
        <v/>
      </c>
    </row>
    <row r="584">
      <c r="A584" s="1" t="n"/>
      <c r="B584" s="27" t="n"/>
      <c r="C584" s="18" t="n"/>
      <c r="D584" s="19" t="n"/>
      <c r="E584" s="21" t="n"/>
      <c r="F584" s="26" t="n"/>
      <c r="G584" s="1">
        <f>IF(NOT(ISNUMBER(B584)),"",YEAR(B584)*100+MONTH(B584))</f>
        <v/>
      </c>
    </row>
    <row r="585">
      <c r="A585" s="1" t="n"/>
      <c r="B585" s="27" t="n"/>
      <c r="C585" s="18" t="n"/>
      <c r="D585" s="19" t="n"/>
      <c r="E585" s="21" t="n"/>
      <c r="F585" s="26" t="n"/>
      <c r="G585" s="1">
        <f>IF(NOT(ISNUMBER(B585)),"",YEAR(B585)*100+MONTH(B585))</f>
        <v/>
      </c>
    </row>
    <row r="586">
      <c r="A586" s="1" t="n"/>
      <c r="B586" s="27" t="n"/>
      <c r="C586" s="18" t="n"/>
      <c r="D586" s="19" t="n"/>
      <c r="E586" s="21" t="n"/>
      <c r="F586" s="26" t="n"/>
      <c r="G586" s="1">
        <f>IF(NOT(ISNUMBER(B586)),"",YEAR(B586)*100+MONTH(B586))</f>
        <v/>
      </c>
    </row>
    <row r="587">
      <c r="A587" s="1" t="n"/>
      <c r="B587" s="27" t="n"/>
      <c r="C587" s="18" t="n"/>
      <c r="D587" s="19" t="n"/>
      <c r="E587" s="21" t="n"/>
      <c r="F587" s="26" t="n"/>
      <c r="G587" s="1">
        <f>IF(NOT(ISNUMBER(B587)),"",YEAR(B587)*100+MONTH(B587))</f>
        <v/>
      </c>
    </row>
    <row r="588">
      <c r="A588" s="1" t="n"/>
      <c r="B588" s="27" t="n"/>
      <c r="C588" s="18" t="n"/>
      <c r="D588" s="19" t="n"/>
      <c r="E588" s="21" t="n"/>
      <c r="F588" s="26" t="n"/>
      <c r="G588" s="1">
        <f>IF(NOT(ISNUMBER(B588)),"",YEAR(B588)*100+MONTH(B588))</f>
        <v/>
      </c>
    </row>
    <row r="589">
      <c r="A589" s="1" t="n"/>
      <c r="B589" s="27" t="n"/>
      <c r="C589" s="18" t="n"/>
      <c r="D589" s="19" t="n"/>
      <c r="E589" s="21" t="n"/>
      <c r="F589" s="26" t="n"/>
      <c r="G589" s="1">
        <f>IF(NOT(ISNUMBER(B589)),"",YEAR(B589)*100+MONTH(B589))</f>
        <v/>
      </c>
    </row>
    <row r="590">
      <c r="A590" s="1" t="n"/>
      <c r="B590" s="27" t="n"/>
      <c r="C590" s="18" t="n"/>
      <c r="D590" s="19" t="n"/>
      <c r="E590" s="21" t="n"/>
      <c r="F590" s="26" t="n"/>
      <c r="G590" s="1">
        <f>IF(NOT(ISNUMBER(B590)),"",YEAR(B590)*100+MONTH(B590))</f>
        <v/>
      </c>
    </row>
    <row r="591">
      <c r="A591" s="1" t="n"/>
      <c r="B591" s="27" t="n"/>
      <c r="C591" s="18" t="n"/>
      <c r="D591" s="19" t="n"/>
      <c r="E591" s="21" t="n"/>
      <c r="F591" s="26" t="n"/>
      <c r="G591" s="1">
        <f>IF(NOT(ISNUMBER(B591)),"",YEAR(B591)*100+MONTH(B591))</f>
        <v/>
      </c>
    </row>
    <row r="592">
      <c r="A592" s="1" t="n"/>
      <c r="B592" s="27" t="n"/>
      <c r="C592" s="18" t="n"/>
      <c r="D592" s="19" t="n"/>
      <c r="E592" s="21" t="n"/>
      <c r="F592" s="26" t="n"/>
      <c r="G592" s="1">
        <f>IF(NOT(ISNUMBER(B592)),"",YEAR(B592)*100+MONTH(B592))</f>
        <v/>
      </c>
    </row>
    <row r="593">
      <c r="A593" s="1" t="n"/>
      <c r="B593" s="27" t="n"/>
      <c r="C593" s="18" t="n"/>
      <c r="D593" s="19" t="n"/>
      <c r="E593" s="21" t="n"/>
      <c r="F593" s="26" t="n"/>
      <c r="G593" s="1">
        <f>IF(NOT(ISNUMBER(B593)),"",YEAR(B593)*100+MONTH(B593))</f>
        <v/>
      </c>
    </row>
    <row r="594">
      <c r="A594" s="1" t="n"/>
      <c r="B594" s="27" t="n"/>
      <c r="C594" s="18" t="n"/>
      <c r="D594" s="19" t="n"/>
      <c r="E594" s="21" t="n"/>
      <c r="F594" s="26" t="n"/>
      <c r="G594" s="1">
        <f>IF(NOT(ISNUMBER(B594)),"",YEAR(B594)*100+MONTH(B594))</f>
        <v/>
      </c>
    </row>
    <row r="595">
      <c r="A595" s="1" t="n"/>
      <c r="B595" s="27" t="n"/>
      <c r="C595" s="18" t="n"/>
      <c r="D595" s="19" t="n"/>
      <c r="E595" s="21" t="n"/>
      <c r="F595" s="26" t="n"/>
      <c r="G595" s="1">
        <f>IF(NOT(ISNUMBER(B595)),"",YEAR(B595)*100+MONTH(B595))</f>
        <v/>
      </c>
    </row>
    <row r="596">
      <c r="A596" s="1" t="n"/>
      <c r="B596" s="27" t="n"/>
      <c r="C596" s="18" t="n"/>
      <c r="D596" s="19" t="n"/>
      <c r="E596" s="21" t="n"/>
      <c r="F596" s="26" t="n"/>
      <c r="G596" s="1">
        <f>IF(NOT(ISNUMBER(B596)),"",YEAR(B596)*100+MONTH(B596))</f>
        <v/>
      </c>
    </row>
    <row r="597">
      <c r="A597" s="1" t="n"/>
      <c r="B597" s="27" t="n"/>
      <c r="C597" s="18" t="n"/>
      <c r="D597" s="19" t="n"/>
      <c r="E597" s="21" t="n"/>
      <c r="F597" s="26" t="n"/>
      <c r="G597" s="1">
        <f>IF(NOT(ISNUMBER(B597)),"",YEAR(B597)*100+MONTH(B597))</f>
        <v/>
      </c>
    </row>
    <row r="598">
      <c r="A598" s="1" t="n"/>
      <c r="B598" s="27" t="n"/>
      <c r="C598" s="18" t="n"/>
      <c r="D598" s="19" t="n"/>
      <c r="E598" s="21" t="n"/>
      <c r="F598" s="26" t="n"/>
      <c r="G598" s="1">
        <f>IF(NOT(ISNUMBER(B598)),"",YEAR(B598)*100+MONTH(B598))</f>
        <v/>
      </c>
    </row>
    <row r="599">
      <c r="A599" s="1" t="n"/>
      <c r="B599" s="27" t="n"/>
      <c r="C599" s="18" t="n"/>
      <c r="D599" s="19" t="n"/>
      <c r="E599" s="21" t="n"/>
      <c r="F599" s="26" t="n"/>
      <c r="G599" s="1">
        <f>IF(NOT(ISNUMBER(B599)),"",YEAR(B599)*100+MONTH(B599))</f>
        <v/>
      </c>
    </row>
    <row r="600">
      <c r="A600" s="1" t="n"/>
      <c r="B600" s="27" t="n"/>
      <c r="C600" s="18" t="n"/>
      <c r="D600" s="19" t="n"/>
      <c r="E600" s="21" t="n"/>
      <c r="F600" s="26" t="n"/>
      <c r="G600" s="1">
        <f>IF(NOT(ISNUMBER(B600)),"",YEAR(B600)*100+MONTH(B600))</f>
        <v/>
      </c>
    </row>
    <row r="601">
      <c r="A601" s="1" t="n"/>
      <c r="B601" s="27" t="n"/>
      <c r="C601" s="18" t="n"/>
      <c r="D601" s="19" t="n"/>
      <c r="E601" s="21" t="n"/>
      <c r="F601" s="26" t="n"/>
      <c r="G601" s="1">
        <f>IF(NOT(ISNUMBER(B601)),"",YEAR(B601)*100+MONTH(B601))</f>
        <v/>
      </c>
    </row>
    <row r="602">
      <c r="A602" s="1" t="n"/>
      <c r="B602" s="27" t="n"/>
      <c r="C602" s="18" t="n"/>
      <c r="D602" s="19" t="n"/>
      <c r="E602" s="21" t="n"/>
      <c r="F602" s="26" t="n"/>
      <c r="G602" s="1">
        <f>IF(NOT(ISNUMBER(B602)),"",YEAR(B602)*100+MONTH(B602))</f>
        <v/>
      </c>
    </row>
    <row r="603">
      <c r="A603" s="1" t="n"/>
      <c r="B603" s="27" t="n"/>
      <c r="C603" s="18" t="n"/>
      <c r="D603" s="19" t="n"/>
      <c r="E603" s="21" t="n"/>
      <c r="F603" s="26" t="n"/>
      <c r="G603" s="1">
        <f>IF(NOT(ISNUMBER(B603)),"",YEAR(B603)*100+MONTH(B603))</f>
        <v/>
      </c>
    </row>
    <row r="604">
      <c r="A604" s="1" t="n"/>
      <c r="B604" s="27" t="n"/>
      <c r="C604" s="18" t="n"/>
      <c r="D604" s="19" t="n"/>
      <c r="E604" s="21" t="n"/>
      <c r="F604" s="26" t="n"/>
      <c r="G604" s="1">
        <f>IF(NOT(ISNUMBER(B604)),"",YEAR(B604)*100+MONTH(B604))</f>
        <v/>
      </c>
    </row>
    <row r="605">
      <c r="A605" s="1" t="n"/>
      <c r="B605" s="27" t="n"/>
      <c r="C605" s="18" t="n"/>
      <c r="D605" s="19" t="n"/>
      <c r="E605" s="21" t="n"/>
      <c r="F605" s="26" t="n"/>
      <c r="G605" s="1">
        <f>IF(NOT(ISNUMBER(B605)),"",YEAR(B605)*100+MONTH(B605))</f>
        <v/>
      </c>
    </row>
    <row r="606">
      <c r="A606" s="1" t="n"/>
      <c r="B606" s="27" t="n"/>
      <c r="C606" s="18" t="n"/>
      <c r="D606" s="19" t="n"/>
      <c r="E606" s="21" t="n"/>
      <c r="F606" s="26" t="n"/>
      <c r="G606" s="1">
        <f>IF(NOT(ISNUMBER(B606)),"",YEAR(B606)*100+MONTH(B606))</f>
        <v/>
      </c>
    </row>
    <row r="607">
      <c r="A607" s="1" t="n"/>
      <c r="B607" s="27" t="n"/>
      <c r="C607" s="18" t="n"/>
      <c r="D607" s="19" t="n"/>
      <c r="E607" s="21" t="n"/>
      <c r="F607" s="26" t="n"/>
      <c r="G607" s="1">
        <f>IF(NOT(ISNUMBER(B607)),"",YEAR(B607)*100+MONTH(B607))</f>
        <v/>
      </c>
    </row>
    <row r="608">
      <c r="A608" s="1" t="n"/>
      <c r="B608" s="27" t="n"/>
      <c r="C608" s="18" t="n"/>
      <c r="D608" s="19" t="n"/>
      <c r="E608" s="21" t="n"/>
      <c r="F608" s="26" t="n"/>
      <c r="G608" s="1">
        <f>IF(NOT(ISNUMBER(B608)),"",YEAR(B608)*100+MONTH(B608))</f>
        <v/>
      </c>
    </row>
    <row r="609">
      <c r="A609" s="1" t="n"/>
      <c r="B609" s="27" t="n"/>
      <c r="C609" s="18" t="n"/>
      <c r="D609" s="19" t="n"/>
      <c r="E609" s="21" t="n"/>
      <c r="F609" s="26" t="n"/>
      <c r="G609" s="1">
        <f>IF(NOT(ISNUMBER(B609)),"",YEAR(B609)*100+MONTH(B609))</f>
        <v/>
      </c>
    </row>
    <row r="610">
      <c r="A610" s="1" t="n"/>
      <c r="B610" s="27" t="n"/>
      <c r="C610" s="18" t="n"/>
      <c r="D610" s="19" t="n"/>
      <c r="E610" s="21" t="n"/>
      <c r="F610" s="26" t="n"/>
      <c r="G610" s="1">
        <f>IF(NOT(ISNUMBER(B610)),"",YEAR(B610)*100+MONTH(B610))</f>
        <v/>
      </c>
    </row>
    <row r="611">
      <c r="A611" s="1" t="n"/>
      <c r="B611" s="27" t="n"/>
      <c r="C611" s="18" t="n"/>
      <c r="D611" s="19" t="n"/>
      <c r="E611" s="21" t="n"/>
      <c r="F611" s="26" t="n"/>
      <c r="G611" s="1">
        <f>IF(NOT(ISNUMBER(B611)),"",YEAR(B611)*100+MONTH(B611))</f>
        <v/>
      </c>
    </row>
    <row r="612">
      <c r="A612" s="1" t="n"/>
      <c r="B612" s="27" t="n"/>
      <c r="C612" s="18" t="n"/>
      <c r="D612" s="19" t="n"/>
      <c r="E612" s="21" t="n"/>
      <c r="F612" s="26" t="n"/>
      <c r="G612" s="1">
        <f>IF(NOT(ISNUMBER(B612)),"",YEAR(B612)*100+MONTH(B612))</f>
        <v/>
      </c>
    </row>
    <row r="613">
      <c r="A613" s="1" t="n"/>
      <c r="B613" s="27" t="n"/>
      <c r="C613" s="18" t="n"/>
      <c r="D613" s="19" t="n"/>
      <c r="E613" s="21" t="n"/>
      <c r="F613" s="26" t="n"/>
      <c r="G613" s="1">
        <f>IF(NOT(ISNUMBER(B613)),"",YEAR(B613)*100+MONTH(B613))</f>
        <v/>
      </c>
    </row>
    <row r="614">
      <c r="A614" s="1" t="n"/>
      <c r="B614" s="27" t="n"/>
      <c r="C614" s="18" t="n"/>
      <c r="D614" s="19" t="n"/>
      <c r="E614" s="21" t="n"/>
      <c r="F614" s="26" t="n"/>
      <c r="G614" s="1">
        <f>IF(NOT(ISNUMBER(B614)),"",YEAR(B614)*100+MONTH(B614))</f>
        <v/>
      </c>
    </row>
    <row r="615">
      <c r="A615" s="1" t="n"/>
      <c r="B615" s="27" t="n"/>
      <c r="C615" s="18" t="n"/>
      <c r="D615" s="19" t="n"/>
      <c r="E615" s="21" t="n"/>
      <c r="F615" s="26" t="n"/>
      <c r="G615" s="1">
        <f>IF(NOT(ISNUMBER(B615)),"",YEAR(B615)*100+MONTH(B615))</f>
        <v/>
      </c>
    </row>
    <row r="616">
      <c r="A616" s="1" t="n"/>
      <c r="B616" s="27" t="n"/>
      <c r="C616" s="18" t="n"/>
      <c r="D616" s="19" t="n"/>
      <c r="E616" s="21" t="n"/>
      <c r="F616" s="26" t="n"/>
      <c r="G616" s="1">
        <f>IF(NOT(ISNUMBER(B616)),"",YEAR(B616)*100+MONTH(B616))</f>
        <v/>
      </c>
    </row>
    <row r="617">
      <c r="A617" s="1" t="n"/>
      <c r="B617" s="27" t="n"/>
      <c r="C617" s="18" t="n"/>
      <c r="D617" s="19" t="n"/>
      <c r="E617" s="21" t="n"/>
      <c r="F617" s="26" t="n"/>
      <c r="G617" s="1">
        <f>IF(NOT(ISNUMBER(B617)),"",YEAR(B617)*100+MONTH(B617))</f>
        <v/>
      </c>
    </row>
    <row r="618">
      <c r="A618" s="1" t="n"/>
      <c r="B618" s="27" t="n"/>
      <c r="C618" s="18" t="n"/>
      <c r="D618" s="19" t="n"/>
      <c r="E618" s="21" t="n"/>
      <c r="F618" s="26" t="n"/>
      <c r="G618" s="1">
        <f>IF(NOT(ISNUMBER(B618)),"",YEAR(B618)*100+MONTH(B618))</f>
        <v/>
      </c>
    </row>
    <row r="619">
      <c r="A619" s="1" t="n"/>
      <c r="B619" s="27" t="n"/>
      <c r="C619" s="18" t="n"/>
      <c r="D619" s="19" t="n"/>
      <c r="E619" s="21" t="n"/>
      <c r="F619" s="26" t="n"/>
      <c r="G619" s="1">
        <f>IF(NOT(ISNUMBER(B619)),"",YEAR(B619)*100+MONTH(B619))</f>
        <v/>
      </c>
    </row>
    <row r="620">
      <c r="A620" s="1" t="n"/>
      <c r="B620" s="27" t="n"/>
      <c r="C620" s="18" t="n"/>
      <c r="D620" s="19" t="n"/>
      <c r="E620" s="21" t="n"/>
      <c r="F620" s="26" t="n"/>
      <c r="G620" s="1">
        <f>IF(NOT(ISNUMBER(B620)),"",YEAR(B620)*100+MONTH(B620))</f>
        <v/>
      </c>
    </row>
    <row r="621">
      <c r="A621" s="1" t="n"/>
      <c r="B621" s="27" t="n"/>
      <c r="C621" s="18" t="n"/>
      <c r="D621" s="19" t="n"/>
      <c r="E621" s="21" t="n"/>
      <c r="F621" s="26" t="n"/>
      <c r="G621" s="1">
        <f>IF(NOT(ISNUMBER(B621)),"",YEAR(B621)*100+MONTH(B621))</f>
        <v/>
      </c>
    </row>
    <row r="622">
      <c r="A622" s="1" t="n"/>
      <c r="B622" s="27" t="n"/>
      <c r="C622" s="18" t="n"/>
      <c r="D622" s="19" t="n"/>
      <c r="E622" s="21" t="n"/>
      <c r="F622" s="26" t="n"/>
      <c r="G622" s="1">
        <f>IF(NOT(ISNUMBER(B622)),"",YEAR(B622)*100+MONTH(B622))</f>
        <v/>
      </c>
    </row>
    <row r="623">
      <c r="A623" s="1" t="n"/>
      <c r="B623" s="27" t="n"/>
      <c r="C623" s="18" t="n"/>
      <c r="D623" s="19" t="n"/>
      <c r="E623" s="21" t="n"/>
      <c r="F623" s="26" t="n"/>
      <c r="G623" s="1">
        <f>IF(NOT(ISNUMBER(B623)),"",YEAR(B623)*100+MONTH(B623))</f>
        <v/>
      </c>
    </row>
    <row r="624">
      <c r="A624" s="1" t="n"/>
      <c r="B624" s="27" t="n"/>
      <c r="C624" s="18" t="n"/>
      <c r="D624" s="19" t="n"/>
      <c r="E624" s="21" t="n"/>
      <c r="F624" s="26" t="n"/>
      <c r="G624" s="1">
        <f>IF(NOT(ISNUMBER(B624)),"",YEAR(B624)*100+MONTH(B624))</f>
        <v/>
      </c>
    </row>
    <row r="625">
      <c r="A625" s="1" t="n"/>
      <c r="B625" s="27" t="n"/>
      <c r="C625" s="18" t="n"/>
      <c r="D625" s="19" t="n"/>
      <c r="E625" s="21" t="n"/>
      <c r="F625" s="26" t="n"/>
      <c r="G625" s="1">
        <f>IF(NOT(ISNUMBER(B625)),"",YEAR(B625)*100+MONTH(B625))</f>
        <v/>
      </c>
    </row>
    <row r="626">
      <c r="A626" s="1" t="n"/>
      <c r="B626" s="27" t="n"/>
      <c r="C626" s="18" t="n"/>
      <c r="D626" s="19" t="n"/>
      <c r="E626" s="21" t="n"/>
      <c r="F626" s="26" t="n"/>
      <c r="G626" s="1">
        <f>IF(NOT(ISNUMBER(B626)),"",YEAR(B626)*100+MONTH(B626))</f>
        <v/>
      </c>
    </row>
    <row r="627">
      <c r="A627" s="1" t="n"/>
      <c r="B627" s="27" t="n"/>
      <c r="C627" s="18" t="n"/>
      <c r="D627" s="19" t="n"/>
      <c r="E627" s="21" t="n"/>
      <c r="F627" s="26" t="n"/>
      <c r="G627" s="1">
        <f>IF(NOT(ISNUMBER(B627)),"",YEAR(B627)*100+MONTH(B627))</f>
        <v/>
      </c>
    </row>
    <row r="628">
      <c r="A628" s="1" t="n"/>
      <c r="B628" s="27" t="n"/>
      <c r="C628" s="18" t="n"/>
      <c r="D628" s="19" t="n"/>
      <c r="E628" s="21" t="n"/>
      <c r="F628" s="26" t="n"/>
      <c r="G628" s="1">
        <f>IF(NOT(ISNUMBER(B628)),"",YEAR(B628)*100+MONTH(B628))</f>
        <v/>
      </c>
    </row>
    <row r="629">
      <c r="A629" s="1" t="n"/>
      <c r="B629" s="27" t="n"/>
      <c r="C629" s="18" t="n"/>
      <c r="D629" s="19" t="n"/>
      <c r="E629" s="21" t="n"/>
      <c r="F629" s="26" t="n"/>
      <c r="G629" s="1">
        <f>IF(NOT(ISNUMBER(B629)),"",YEAR(B629)*100+MONTH(B629))</f>
        <v/>
      </c>
    </row>
    <row r="630">
      <c r="A630" s="1" t="n"/>
      <c r="B630" s="27" t="n"/>
      <c r="C630" s="18" t="n"/>
      <c r="D630" s="19" t="n"/>
      <c r="E630" s="21" t="n"/>
      <c r="F630" s="26" t="n"/>
      <c r="G630" s="1">
        <f>IF(NOT(ISNUMBER(B630)),"",YEAR(B630)*100+MONTH(B630))</f>
        <v/>
      </c>
    </row>
    <row r="631">
      <c r="A631" s="1" t="n"/>
      <c r="B631" s="27" t="n"/>
      <c r="C631" s="18" t="n"/>
      <c r="D631" s="19" t="n"/>
      <c r="E631" s="21" t="n"/>
      <c r="F631" s="26" t="n"/>
      <c r="G631" s="1">
        <f>IF(NOT(ISNUMBER(B631)),"",YEAR(B631)*100+MONTH(B631))</f>
        <v/>
      </c>
    </row>
    <row r="632">
      <c r="A632" s="1" t="n"/>
      <c r="B632" s="27" t="n"/>
      <c r="C632" s="18" t="n"/>
      <c r="D632" s="19" t="n"/>
      <c r="E632" s="21" t="n"/>
      <c r="F632" s="26" t="n"/>
      <c r="G632" s="1">
        <f>IF(NOT(ISNUMBER(B632)),"",YEAR(B632)*100+MONTH(B632))</f>
        <v/>
      </c>
    </row>
    <row r="633">
      <c r="A633" s="1" t="n"/>
      <c r="B633" s="27" t="n"/>
      <c r="C633" s="18" t="n"/>
      <c r="D633" s="19" t="n"/>
      <c r="E633" s="21" t="n"/>
      <c r="F633" s="26" t="n"/>
      <c r="G633" s="1">
        <f>IF(NOT(ISNUMBER(B633)),"",YEAR(B633)*100+MONTH(B633))</f>
        <v/>
      </c>
    </row>
    <row r="634">
      <c r="A634" s="1" t="n"/>
      <c r="B634" s="27" t="n"/>
      <c r="C634" s="18" t="n"/>
      <c r="D634" s="19" t="n"/>
      <c r="E634" s="21" t="n"/>
      <c r="F634" s="26" t="n"/>
      <c r="G634" s="1">
        <f>IF(NOT(ISNUMBER(B634)),"",YEAR(B634)*100+MONTH(B634))</f>
        <v/>
      </c>
    </row>
    <row r="635">
      <c r="A635" s="1" t="n"/>
      <c r="B635" s="27" t="n"/>
      <c r="C635" s="18" t="n"/>
      <c r="D635" s="19" t="n"/>
      <c r="E635" s="21" t="n"/>
      <c r="F635" s="26" t="n"/>
      <c r="G635" s="1">
        <f>IF(NOT(ISNUMBER(B635)),"",YEAR(B635)*100+MONTH(B635))</f>
        <v/>
      </c>
    </row>
    <row r="636">
      <c r="A636" s="1" t="n"/>
      <c r="B636" s="27" t="n"/>
      <c r="C636" s="18" t="n"/>
      <c r="D636" s="19" t="n"/>
      <c r="E636" s="21" t="n"/>
      <c r="F636" s="26" t="n"/>
      <c r="G636" s="1">
        <f>IF(NOT(ISNUMBER(B636)),"",YEAR(B636)*100+MONTH(B636))</f>
        <v/>
      </c>
    </row>
    <row r="637">
      <c r="A637" s="1" t="n"/>
      <c r="B637" s="27" t="n"/>
      <c r="C637" s="18" t="n"/>
      <c r="D637" s="19" t="n"/>
      <c r="E637" s="21" t="n"/>
      <c r="F637" s="26" t="n"/>
      <c r="G637" s="1">
        <f>IF(NOT(ISNUMBER(B637)),"",YEAR(B637)*100+MONTH(B637))</f>
        <v/>
      </c>
    </row>
    <row r="638">
      <c r="A638" s="1" t="n"/>
      <c r="B638" s="27" t="n"/>
      <c r="C638" s="18" t="n"/>
      <c r="D638" s="19" t="n"/>
      <c r="E638" s="21" t="n"/>
      <c r="F638" s="26" t="n"/>
      <c r="G638" s="1">
        <f>IF(NOT(ISNUMBER(B638)),"",YEAR(B638)*100+MONTH(B638))</f>
        <v/>
      </c>
    </row>
    <row r="639">
      <c r="A639" s="1" t="n"/>
      <c r="B639" s="27" t="n"/>
      <c r="C639" s="18" t="n"/>
      <c r="D639" s="19" t="n"/>
      <c r="E639" s="21" t="n"/>
      <c r="F639" s="26" t="n"/>
      <c r="G639" s="1">
        <f>IF(NOT(ISNUMBER(B639)),"",YEAR(B639)*100+MONTH(B639))</f>
        <v/>
      </c>
    </row>
    <row r="640">
      <c r="A640" s="1" t="n"/>
      <c r="B640" s="27" t="n"/>
      <c r="C640" s="18" t="n"/>
      <c r="D640" s="19" t="n"/>
      <c r="E640" s="21" t="n"/>
      <c r="F640" s="26" t="n"/>
      <c r="G640" s="1">
        <f>IF(NOT(ISNUMBER(B640)),"",YEAR(B640)*100+MONTH(B640))</f>
        <v/>
      </c>
    </row>
    <row r="641">
      <c r="A641" s="1" t="n"/>
      <c r="B641" s="27" t="n"/>
      <c r="C641" s="18" t="n"/>
      <c r="D641" s="19" t="n"/>
      <c r="E641" s="21" t="n"/>
      <c r="F641" s="26" t="n"/>
      <c r="G641" s="1">
        <f>IF(NOT(ISNUMBER(B641)),"",YEAR(B641)*100+MONTH(B641))</f>
        <v/>
      </c>
    </row>
    <row r="642">
      <c r="A642" s="1" t="n"/>
      <c r="B642" s="27" t="n"/>
      <c r="C642" s="18" t="n"/>
      <c r="D642" s="19" t="n"/>
      <c r="E642" s="21" t="n"/>
      <c r="F642" s="26" t="n"/>
      <c r="G642" s="1">
        <f>IF(NOT(ISNUMBER(B642)),"",YEAR(B642)*100+MONTH(B642))</f>
        <v/>
      </c>
    </row>
    <row r="643">
      <c r="A643" s="1" t="n"/>
      <c r="B643" s="27" t="n"/>
      <c r="C643" s="18" t="n"/>
      <c r="D643" s="19" t="n"/>
      <c r="E643" s="21" t="n"/>
      <c r="F643" s="26" t="n"/>
      <c r="G643" s="1">
        <f>IF(NOT(ISNUMBER(B643)),"",YEAR(B643)*100+MONTH(B643))</f>
        <v/>
      </c>
    </row>
    <row r="644">
      <c r="A644" s="1" t="n"/>
      <c r="B644" s="27" t="n"/>
      <c r="C644" s="18" t="n"/>
      <c r="D644" s="19" t="n"/>
      <c r="E644" s="21" t="n"/>
      <c r="F644" s="26" t="n"/>
      <c r="G644" s="1">
        <f>IF(NOT(ISNUMBER(B644)),"",YEAR(B644)*100+MONTH(B644))</f>
        <v/>
      </c>
    </row>
    <row r="645">
      <c r="A645" s="1" t="n"/>
      <c r="B645" s="27" t="n"/>
      <c r="C645" s="18" t="n"/>
      <c r="D645" s="19" t="n"/>
      <c r="E645" s="21" t="n"/>
      <c r="F645" s="26" t="n"/>
      <c r="G645" s="1">
        <f>IF(NOT(ISNUMBER(B645)),"",YEAR(B645)*100+MONTH(B645))</f>
        <v/>
      </c>
    </row>
    <row r="646">
      <c r="A646" s="1" t="n"/>
      <c r="B646" s="27" t="n"/>
      <c r="C646" s="18" t="n"/>
      <c r="D646" s="19" t="n"/>
      <c r="E646" s="21" t="n"/>
      <c r="F646" s="26" t="n"/>
      <c r="G646" s="1">
        <f>IF(NOT(ISNUMBER(B646)),"",YEAR(B646)*100+MONTH(B646))</f>
        <v/>
      </c>
    </row>
    <row r="647">
      <c r="A647" s="1" t="n"/>
      <c r="B647" s="27" t="n"/>
      <c r="C647" s="18" t="n"/>
      <c r="D647" s="19" t="n"/>
      <c r="E647" s="21" t="n"/>
      <c r="F647" s="26" t="n"/>
      <c r="G647" s="1">
        <f>IF(NOT(ISNUMBER(B647)),"",YEAR(B647)*100+MONTH(B647))</f>
        <v/>
      </c>
    </row>
    <row r="648">
      <c r="A648" s="1" t="n"/>
      <c r="B648" s="27" t="n"/>
      <c r="C648" s="18" t="n"/>
      <c r="D648" s="19" t="n"/>
      <c r="E648" s="21" t="n"/>
      <c r="F648" s="26" t="n"/>
      <c r="G648" s="1">
        <f>IF(NOT(ISNUMBER(B648)),"",YEAR(B648)*100+MONTH(B648))</f>
        <v/>
      </c>
    </row>
    <row r="649">
      <c r="A649" s="1" t="n"/>
      <c r="B649" s="27" t="n"/>
      <c r="C649" s="18" t="n"/>
      <c r="D649" s="19" t="n"/>
      <c r="E649" s="21" t="n"/>
      <c r="F649" s="26" t="n"/>
      <c r="G649" s="1">
        <f>IF(NOT(ISNUMBER(B649)),"",YEAR(B649)*100+MONTH(B649))</f>
        <v/>
      </c>
    </row>
    <row r="650">
      <c r="A650" s="1" t="n"/>
      <c r="B650" s="27" t="n"/>
      <c r="C650" s="18" t="n"/>
      <c r="D650" s="19" t="n"/>
      <c r="E650" s="21" t="n"/>
      <c r="F650" s="26" t="n"/>
      <c r="G650" s="1">
        <f>IF(NOT(ISNUMBER(B650)),"",YEAR(B650)*100+MONTH(B650))</f>
        <v/>
      </c>
    </row>
    <row r="651">
      <c r="A651" s="1" t="n"/>
      <c r="B651" s="27" t="n"/>
      <c r="C651" s="18" t="n"/>
      <c r="D651" s="19" t="n"/>
      <c r="E651" s="21" t="n"/>
      <c r="F651" s="26" t="n"/>
      <c r="G651" s="1">
        <f>IF(NOT(ISNUMBER(B651)),"",YEAR(B651)*100+MONTH(B651))</f>
        <v/>
      </c>
    </row>
    <row r="652">
      <c r="A652" s="1" t="n"/>
      <c r="B652" s="27" t="n"/>
      <c r="C652" s="18" t="n"/>
      <c r="D652" s="19" t="n"/>
      <c r="E652" s="21" t="n"/>
      <c r="F652" s="26" t="n"/>
      <c r="G652" s="1">
        <f>IF(NOT(ISNUMBER(B652)),"",YEAR(B652)*100+MONTH(B652))</f>
        <v/>
      </c>
    </row>
    <row r="653">
      <c r="A653" s="1" t="n"/>
      <c r="B653" s="27" t="n"/>
      <c r="C653" s="18" t="n"/>
      <c r="D653" s="19" t="n"/>
      <c r="E653" s="21" t="n"/>
      <c r="F653" s="26" t="n"/>
      <c r="G653" s="1">
        <f>IF(NOT(ISNUMBER(B653)),"",YEAR(B653)*100+MONTH(B653))</f>
        <v/>
      </c>
    </row>
    <row r="654">
      <c r="A654" s="1" t="n"/>
      <c r="B654" s="27" t="n"/>
      <c r="C654" s="18" t="n"/>
      <c r="D654" s="19" t="n"/>
      <c r="E654" s="21" t="n"/>
      <c r="F654" s="26" t="n"/>
      <c r="G654" s="1">
        <f>IF(NOT(ISNUMBER(B654)),"",YEAR(B654)*100+MONTH(B654))</f>
        <v/>
      </c>
    </row>
    <row r="655">
      <c r="A655" s="1" t="n"/>
      <c r="B655" s="27" t="n"/>
      <c r="C655" s="18" t="n"/>
      <c r="D655" s="19" t="n"/>
      <c r="E655" s="21" t="n"/>
      <c r="F655" s="26" t="n"/>
      <c r="G655" s="1">
        <f>IF(NOT(ISNUMBER(B655)),"",YEAR(B655)*100+MONTH(B655))</f>
        <v/>
      </c>
    </row>
    <row r="656">
      <c r="A656" s="1" t="n"/>
      <c r="B656" s="27" t="n"/>
      <c r="C656" s="18" t="n"/>
      <c r="D656" s="19" t="n"/>
      <c r="E656" s="21" t="n"/>
      <c r="F656" s="26" t="n"/>
      <c r="G656" s="1">
        <f>IF(NOT(ISNUMBER(B656)),"",YEAR(B656)*100+MONTH(B656))</f>
        <v/>
      </c>
    </row>
    <row r="657">
      <c r="A657" s="1" t="n"/>
      <c r="B657" s="27" t="n"/>
      <c r="C657" s="18" t="n"/>
      <c r="D657" s="19" t="n"/>
      <c r="E657" s="21" t="n"/>
      <c r="F657" s="26" t="n"/>
      <c r="G657" s="1">
        <f>IF(NOT(ISNUMBER(B657)),"",YEAR(B657)*100+MONTH(B657))</f>
        <v/>
      </c>
    </row>
    <row r="658">
      <c r="A658" s="1" t="n"/>
      <c r="B658" s="27" t="n"/>
      <c r="C658" s="18" t="n"/>
      <c r="D658" s="19" t="n"/>
      <c r="E658" s="21" t="n"/>
      <c r="F658" s="26" t="n"/>
      <c r="G658" s="1">
        <f>IF(NOT(ISNUMBER(B658)),"",YEAR(B658)*100+MONTH(B658))</f>
        <v/>
      </c>
    </row>
    <row r="659">
      <c r="A659" s="1" t="n"/>
      <c r="B659" s="27" t="n"/>
      <c r="C659" s="18" t="n"/>
      <c r="D659" s="19" t="n"/>
      <c r="E659" s="21" t="n"/>
      <c r="F659" s="26" t="n"/>
      <c r="G659" s="1">
        <f>IF(NOT(ISNUMBER(B659)),"",YEAR(B659)*100+MONTH(B659))</f>
        <v/>
      </c>
    </row>
    <row r="660">
      <c r="A660" s="1" t="n"/>
      <c r="B660" s="27" t="n"/>
      <c r="C660" s="18" t="n"/>
      <c r="D660" s="19" t="n"/>
      <c r="E660" s="21" t="n"/>
      <c r="F660" s="26" t="n"/>
      <c r="G660" s="1">
        <f>IF(NOT(ISNUMBER(B660)),"",YEAR(B660)*100+MONTH(B660))</f>
        <v/>
      </c>
    </row>
    <row r="661">
      <c r="A661" s="1" t="n"/>
      <c r="B661" s="27" t="n"/>
      <c r="C661" s="18" t="n"/>
      <c r="D661" s="19" t="n"/>
      <c r="E661" s="21" t="n"/>
      <c r="F661" s="26" t="n"/>
      <c r="G661" s="1">
        <f>IF(NOT(ISNUMBER(B661)),"",YEAR(B661)*100+MONTH(B661))</f>
        <v/>
      </c>
    </row>
    <row r="662">
      <c r="A662" s="1" t="n"/>
      <c r="B662" s="27" t="n"/>
      <c r="C662" s="18" t="n"/>
      <c r="D662" s="19" t="n"/>
      <c r="E662" s="21" t="n"/>
      <c r="F662" s="26" t="n"/>
      <c r="G662" s="1">
        <f>IF(NOT(ISNUMBER(B662)),"",YEAR(B662)*100+MONTH(B662))</f>
        <v/>
      </c>
    </row>
    <row r="663">
      <c r="A663" s="1" t="n"/>
      <c r="B663" s="27" t="n"/>
      <c r="C663" s="18" t="n"/>
      <c r="D663" s="19" t="n"/>
      <c r="E663" s="21" t="n"/>
      <c r="F663" s="26" t="n"/>
      <c r="G663" s="1">
        <f>IF(NOT(ISNUMBER(B663)),"",YEAR(B663)*100+MONTH(B663))</f>
        <v/>
      </c>
    </row>
    <row r="664">
      <c r="A664" s="1" t="n"/>
      <c r="B664" s="27" t="n"/>
      <c r="C664" s="18" t="n"/>
      <c r="D664" s="19" t="n"/>
      <c r="E664" s="21" t="n"/>
      <c r="F664" s="26" t="n"/>
      <c r="G664" s="1">
        <f>IF(NOT(ISNUMBER(B664)),"",YEAR(B664)*100+MONTH(B664))</f>
        <v/>
      </c>
    </row>
    <row r="665">
      <c r="A665" s="1" t="n"/>
      <c r="B665" s="27" t="n"/>
      <c r="C665" s="18" t="n"/>
      <c r="D665" s="19" t="n"/>
      <c r="E665" s="21" t="n"/>
      <c r="F665" s="26" t="n"/>
      <c r="G665" s="1">
        <f>IF(NOT(ISNUMBER(B665)),"",YEAR(B665)*100+MONTH(B665))</f>
        <v/>
      </c>
    </row>
    <row r="666">
      <c r="A666" s="1" t="n"/>
      <c r="B666" s="27" t="n"/>
      <c r="C666" s="18" t="n"/>
      <c r="D666" s="19" t="n"/>
      <c r="E666" s="21" t="n"/>
      <c r="F666" s="26" t="n"/>
      <c r="G666" s="1">
        <f>IF(NOT(ISNUMBER(B666)),"",YEAR(B666)*100+MONTH(B666))</f>
        <v/>
      </c>
    </row>
    <row r="667">
      <c r="A667" s="1" t="n"/>
      <c r="B667" s="27" t="n"/>
      <c r="C667" s="18" t="n"/>
      <c r="D667" s="19" t="n"/>
      <c r="E667" s="21" t="n"/>
      <c r="F667" s="26" t="n"/>
      <c r="G667" s="1">
        <f>IF(NOT(ISNUMBER(B667)),"",YEAR(B667)*100+MONTH(B667))</f>
        <v/>
      </c>
    </row>
    <row r="668">
      <c r="A668" s="1" t="n"/>
      <c r="B668" s="27" t="n"/>
      <c r="C668" s="18" t="n"/>
      <c r="D668" s="19" t="n"/>
      <c r="E668" s="21" t="n"/>
      <c r="F668" s="26" t="n"/>
      <c r="G668" s="1">
        <f>IF(NOT(ISNUMBER(B668)),"",YEAR(B668)*100+MONTH(B668))</f>
        <v/>
      </c>
    </row>
    <row r="669">
      <c r="A669" s="1" t="n"/>
      <c r="B669" s="27" t="n"/>
      <c r="C669" s="18" t="n"/>
      <c r="D669" s="19" t="n"/>
      <c r="E669" s="21" t="n"/>
      <c r="F669" s="26" t="n"/>
      <c r="G669" s="1">
        <f>IF(NOT(ISNUMBER(B669)),"",YEAR(B669)*100+MONTH(B669))</f>
        <v/>
      </c>
    </row>
    <row r="670">
      <c r="A670" s="1" t="n"/>
      <c r="B670" s="27" t="n"/>
      <c r="C670" s="18" t="n"/>
      <c r="D670" s="19" t="n"/>
      <c r="E670" s="21" t="n"/>
      <c r="F670" s="26" t="n"/>
      <c r="G670" s="1">
        <f>IF(NOT(ISNUMBER(B670)),"",YEAR(B670)*100+MONTH(B670))</f>
        <v/>
      </c>
    </row>
    <row r="671">
      <c r="A671" s="1" t="n"/>
      <c r="B671" s="27" t="n"/>
      <c r="C671" s="18" t="n"/>
      <c r="D671" s="19" t="n"/>
      <c r="E671" s="21" t="n"/>
      <c r="F671" s="26" t="n"/>
      <c r="G671" s="1">
        <f>IF(NOT(ISNUMBER(B671)),"",YEAR(B671)*100+MONTH(B671))</f>
        <v/>
      </c>
    </row>
    <row r="672">
      <c r="A672" s="1" t="n"/>
      <c r="B672" s="27" t="n"/>
      <c r="C672" s="18" t="n"/>
      <c r="D672" s="19" t="n"/>
      <c r="E672" s="21" t="n"/>
      <c r="F672" s="26" t="n"/>
      <c r="G672" s="1">
        <f>IF(NOT(ISNUMBER(B672)),"",YEAR(B672)*100+MONTH(B672))</f>
        <v/>
      </c>
    </row>
    <row r="673">
      <c r="A673" s="1" t="n"/>
      <c r="B673" s="27" t="n"/>
      <c r="C673" s="18" t="n"/>
      <c r="D673" s="19" t="n"/>
      <c r="E673" s="21" t="n"/>
      <c r="F673" s="26" t="n"/>
      <c r="G673" s="1">
        <f>IF(NOT(ISNUMBER(B673)),"",YEAR(B673)*100+MONTH(B673))</f>
        <v/>
      </c>
    </row>
    <row r="674">
      <c r="A674" s="1" t="n"/>
      <c r="B674" s="27" t="n"/>
      <c r="C674" s="18" t="n"/>
      <c r="D674" s="19" t="n"/>
      <c r="E674" s="21" t="n"/>
      <c r="F674" s="26" t="n"/>
      <c r="G674" s="1">
        <f>IF(NOT(ISNUMBER(B674)),"",YEAR(B674)*100+MONTH(B674))</f>
        <v/>
      </c>
    </row>
    <row r="675">
      <c r="A675" s="1" t="n"/>
      <c r="B675" s="27" t="n"/>
      <c r="C675" s="18" t="n"/>
      <c r="D675" s="19" t="n"/>
      <c r="E675" s="21" t="n"/>
      <c r="F675" s="26" t="n"/>
      <c r="G675" s="1">
        <f>IF(NOT(ISNUMBER(B675)),"",YEAR(B675)*100+MONTH(B675))</f>
        <v/>
      </c>
    </row>
    <row r="676">
      <c r="A676" s="1" t="n"/>
      <c r="B676" s="27" t="n"/>
      <c r="C676" s="18" t="n"/>
      <c r="D676" s="19" t="n"/>
      <c r="E676" s="21" t="n"/>
      <c r="F676" s="26" t="n"/>
      <c r="G676" s="1">
        <f>IF(NOT(ISNUMBER(B676)),"",YEAR(B676)*100+MONTH(B676))</f>
        <v/>
      </c>
    </row>
    <row r="677">
      <c r="A677" s="1" t="n"/>
      <c r="B677" s="27" t="n"/>
      <c r="C677" s="18" t="n"/>
      <c r="D677" s="19" t="n"/>
      <c r="E677" s="21" t="n"/>
      <c r="F677" s="26" t="n"/>
      <c r="G677" s="1">
        <f>IF(NOT(ISNUMBER(B677)),"",YEAR(B677)*100+MONTH(B677))</f>
        <v/>
      </c>
    </row>
    <row r="678">
      <c r="A678" s="1" t="n"/>
      <c r="B678" s="27" t="n"/>
      <c r="C678" s="18" t="n"/>
      <c r="D678" s="19" t="n"/>
      <c r="E678" s="21" t="n"/>
      <c r="F678" s="26" t="n"/>
      <c r="G678" s="1">
        <f>IF(NOT(ISNUMBER(B678)),"",YEAR(B678)*100+MONTH(B678))</f>
        <v/>
      </c>
    </row>
    <row r="679">
      <c r="A679" s="1" t="n"/>
      <c r="B679" s="27" t="n"/>
      <c r="C679" s="18" t="n"/>
      <c r="D679" s="19" t="n"/>
      <c r="E679" s="21" t="n"/>
      <c r="F679" s="26" t="n"/>
      <c r="G679" s="1">
        <f>IF(NOT(ISNUMBER(B679)),"",YEAR(B679)*100+MONTH(B679))</f>
        <v/>
      </c>
    </row>
    <row r="680">
      <c r="A680" s="1" t="n"/>
      <c r="B680" s="27" t="n"/>
      <c r="C680" s="18" t="n"/>
      <c r="D680" s="19" t="n"/>
      <c r="E680" s="21" t="n"/>
      <c r="F680" s="26" t="n"/>
      <c r="G680" s="1">
        <f>IF(NOT(ISNUMBER(B680)),"",YEAR(B680)*100+MONTH(B680))</f>
        <v/>
      </c>
    </row>
    <row r="681">
      <c r="A681" s="1" t="n"/>
      <c r="B681" s="27" t="n"/>
      <c r="C681" s="18" t="n"/>
      <c r="D681" s="19" t="n"/>
      <c r="E681" s="21" t="n"/>
      <c r="F681" s="26" t="n"/>
      <c r="G681" s="1">
        <f>IF(NOT(ISNUMBER(B681)),"",YEAR(B681)*100+MONTH(B681))</f>
        <v/>
      </c>
    </row>
    <row r="682">
      <c r="A682" s="1" t="n"/>
      <c r="B682" s="27" t="n"/>
      <c r="C682" s="18" t="n"/>
      <c r="D682" s="19" t="n"/>
      <c r="E682" s="21" t="n"/>
      <c r="F682" s="26" t="n"/>
      <c r="G682" s="1">
        <f>IF(NOT(ISNUMBER(B682)),"",YEAR(B682)*100+MONTH(B682))</f>
        <v/>
      </c>
    </row>
    <row r="683">
      <c r="A683" s="1" t="n"/>
      <c r="B683" s="27" t="n"/>
      <c r="C683" s="18" t="n"/>
      <c r="D683" s="19" t="n"/>
      <c r="E683" s="21" t="n"/>
      <c r="F683" s="26" t="n"/>
      <c r="G683" s="1">
        <f>IF(NOT(ISNUMBER(B683)),"",YEAR(B683)*100+MONTH(B683))</f>
        <v/>
      </c>
    </row>
    <row r="684">
      <c r="A684" s="1" t="n"/>
      <c r="B684" s="27" t="n"/>
      <c r="C684" s="18" t="n"/>
      <c r="D684" s="19" t="n"/>
      <c r="E684" s="21" t="n"/>
      <c r="F684" s="26" t="n"/>
      <c r="G684" s="1">
        <f>IF(NOT(ISNUMBER(B684)),"",YEAR(B684)*100+MONTH(B684))</f>
        <v/>
      </c>
    </row>
    <row r="685">
      <c r="A685" s="1" t="n"/>
      <c r="B685" s="27" t="n"/>
      <c r="C685" s="18" t="n"/>
      <c r="D685" s="19" t="n"/>
      <c r="E685" s="21" t="n"/>
      <c r="F685" s="26" t="n"/>
      <c r="G685" s="1">
        <f>IF(NOT(ISNUMBER(B685)),"",YEAR(B685)*100+MONTH(B685))</f>
        <v/>
      </c>
    </row>
    <row r="686">
      <c r="A686" s="1" t="n"/>
      <c r="B686" s="27" t="n"/>
      <c r="C686" s="18" t="n"/>
      <c r="D686" s="19" t="n"/>
      <c r="E686" s="21" t="n"/>
      <c r="F686" s="26" t="n"/>
      <c r="G686" s="1">
        <f>IF(NOT(ISNUMBER(B686)),"",YEAR(B686)*100+MONTH(B686))</f>
        <v/>
      </c>
    </row>
    <row r="687">
      <c r="A687" s="1" t="n"/>
      <c r="B687" s="27" t="n"/>
      <c r="C687" s="18" t="n"/>
      <c r="D687" s="19" t="n"/>
      <c r="E687" s="21" t="n"/>
      <c r="F687" s="26" t="n"/>
      <c r="G687" s="1">
        <f>IF(NOT(ISNUMBER(B687)),"",YEAR(B687)*100+MONTH(B687))</f>
        <v/>
      </c>
    </row>
    <row r="688">
      <c r="A688" s="1" t="n"/>
      <c r="B688" s="27" t="n"/>
      <c r="C688" s="18" t="n"/>
      <c r="D688" s="19" t="n"/>
      <c r="E688" s="21" t="n"/>
      <c r="F688" s="26" t="n"/>
      <c r="G688" s="1">
        <f>IF(NOT(ISNUMBER(B688)),"",YEAR(B688)*100+MONTH(B688))</f>
        <v/>
      </c>
    </row>
    <row r="689">
      <c r="A689" s="1" t="n"/>
      <c r="B689" s="27" t="n"/>
      <c r="C689" s="18" t="n"/>
      <c r="D689" s="19" t="n"/>
      <c r="E689" s="21" t="n"/>
      <c r="F689" s="26" t="n"/>
      <c r="G689" s="1">
        <f>IF(NOT(ISNUMBER(B689)),"",YEAR(B689)*100+MONTH(B689))</f>
        <v/>
      </c>
    </row>
    <row r="690">
      <c r="A690" s="1" t="n"/>
      <c r="B690" s="27" t="n"/>
      <c r="C690" s="18" t="n"/>
      <c r="D690" s="19" t="n"/>
      <c r="E690" s="21" t="n"/>
      <c r="F690" s="26" t="n"/>
      <c r="G690" s="1">
        <f>IF(NOT(ISNUMBER(B690)),"",YEAR(B690)*100+MONTH(B690))</f>
        <v/>
      </c>
    </row>
    <row r="691">
      <c r="A691" s="1" t="n"/>
      <c r="B691" s="27" t="n"/>
      <c r="C691" s="18" t="n"/>
      <c r="D691" s="19" t="n"/>
      <c r="E691" s="21" t="n"/>
      <c r="F691" s="26" t="n"/>
      <c r="G691" s="1">
        <f>IF(NOT(ISNUMBER(B691)),"",YEAR(B691)*100+MONTH(B691))</f>
        <v/>
      </c>
    </row>
    <row r="692">
      <c r="A692" s="1" t="n"/>
      <c r="B692" s="27" t="n"/>
      <c r="C692" s="18" t="n"/>
      <c r="D692" s="19" t="n"/>
      <c r="E692" s="21" t="n"/>
      <c r="F692" s="26" t="n"/>
      <c r="G692" s="1">
        <f>IF(NOT(ISNUMBER(B692)),"",YEAR(B692)*100+MONTH(B692))</f>
        <v/>
      </c>
    </row>
    <row r="693">
      <c r="A693" s="1" t="n"/>
      <c r="B693" s="27" t="n"/>
      <c r="C693" s="18" t="n"/>
      <c r="D693" s="19" t="n"/>
      <c r="E693" s="21" t="n"/>
      <c r="F693" s="26" t="n"/>
      <c r="G693" s="1">
        <f>IF(NOT(ISNUMBER(B693)),"",YEAR(B693)*100+MONTH(B693))</f>
        <v/>
      </c>
    </row>
    <row r="694">
      <c r="A694" s="1" t="n"/>
      <c r="B694" s="27" t="n"/>
      <c r="C694" s="18" t="n"/>
      <c r="D694" s="19" t="n"/>
      <c r="E694" s="21" t="n"/>
      <c r="F694" s="26" t="n"/>
      <c r="G694" s="1">
        <f>IF(NOT(ISNUMBER(B694)),"",YEAR(B694)*100+MONTH(B694))</f>
        <v/>
      </c>
    </row>
    <row r="695">
      <c r="A695" s="1" t="n"/>
      <c r="B695" s="27" t="n"/>
      <c r="C695" s="18" t="n"/>
      <c r="D695" s="19" t="n"/>
      <c r="E695" s="21" t="n"/>
      <c r="F695" s="26" t="n"/>
      <c r="G695" s="1">
        <f>IF(NOT(ISNUMBER(B695)),"",YEAR(B695)*100+MONTH(B695))</f>
        <v/>
      </c>
    </row>
    <row r="696">
      <c r="A696" s="1" t="n"/>
      <c r="B696" s="27" t="n"/>
      <c r="C696" s="18" t="n"/>
      <c r="D696" s="19" t="n"/>
      <c r="E696" s="21" t="n"/>
      <c r="F696" s="26" t="n"/>
      <c r="G696" s="1">
        <f>IF(NOT(ISNUMBER(B696)),"",YEAR(B696)*100+MONTH(B696))</f>
        <v/>
      </c>
    </row>
    <row r="697">
      <c r="A697" s="1" t="n"/>
      <c r="B697" s="27" t="n"/>
      <c r="C697" s="18" t="n"/>
      <c r="D697" s="19" t="n"/>
      <c r="E697" s="21" t="n"/>
      <c r="F697" s="26" t="n"/>
      <c r="G697" s="1">
        <f>IF(NOT(ISNUMBER(B697)),"",YEAR(B697)*100+MONTH(B697))</f>
        <v/>
      </c>
    </row>
    <row r="698">
      <c r="A698" s="1" t="n"/>
      <c r="B698" s="27" t="n"/>
      <c r="C698" s="18" t="n"/>
      <c r="D698" s="19" t="n"/>
      <c r="E698" s="21" t="n"/>
      <c r="F698" s="26" t="n"/>
      <c r="G698" s="1">
        <f>IF(NOT(ISNUMBER(B698)),"",YEAR(B698)*100+MONTH(B698))</f>
        <v/>
      </c>
    </row>
    <row r="699">
      <c r="A699" s="1" t="n"/>
      <c r="B699" s="27" t="n"/>
      <c r="C699" s="18" t="n"/>
      <c r="D699" s="19" t="n"/>
      <c r="E699" s="21" t="n"/>
      <c r="F699" s="26" t="n"/>
      <c r="G699" s="1">
        <f>IF(NOT(ISNUMBER(B699)),"",YEAR(B699)*100+MONTH(B699))</f>
        <v/>
      </c>
    </row>
    <row r="700">
      <c r="A700" s="1" t="n"/>
      <c r="B700" s="27" t="n"/>
      <c r="C700" s="18" t="n"/>
      <c r="D700" s="19" t="n"/>
      <c r="E700" s="21" t="n"/>
      <c r="F700" s="26" t="n"/>
      <c r="G700" s="1">
        <f>IF(NOT(ISNUMBER(B700)),"",YEAR(B700)*100+MONTH(B700))</f>
        <v/>
      </c>
    </row>
    <row r="701">
      <c r="A701" s="1" t="n"/>
      <c r="B701" s="27" t="n"/>
      <c r="C701" s="18" t="n"/>
      <c r="D701" s="19" t="n"/>
      <c r="E701" s="21" t="n"/>
      <c r="F701" s="26" t="n"/>
      <c r="G701" s="1">
        <f>IF(NOT(ISNUMBER(B701)),"",YEAR(B701)*100+MONTH(B701))</f>
        <v/>
      </c>
    </row>
    <row r="702">
      <c r="A702" s="1" t="n"/>
      <c r="B702" s="27" t="n"/>
      <c r="C702" s="18" t="n"/>
      <c r="D702" s="19" t="n"/>
      <c r="E702" s="21" t="n"/>
      <c r="F702" s="26" t="n"/>
      <c r="G702" s="1">
        <f>IF(NOT(ISNUMBER(B702)),"",YEAR(B702)*100+MONTH(B702))</f>
        <v/>
      </c>
    </row>
    <row r="703">
      <c r="A703" s="1" t="n"/>
      <c r="B703" s="27" t="n"/>
      <c r="C703" s="18" t="n"/>
      <c r="D703" s="19" t="n"/>
      <c r="E703" s="21" t="n"/>
      <c r="F703" s="26" t="n"/>
      <c r="G703" s="1">
        <f>IF(NOT(ISNUMBER(B703)),"",YEAR(B703)*100+MONTH(B703))</f>
        <v/>
      </c>
    </row>
    <row r="704">
      <c r="A704" s="1" t="n"/>
      <c r="B704" s="27" t="n"/>
      <c r="C704" s="18" t="n"/>
      <c r="D704" s="19" t="n"/>
      <c r="E704" s="21" t="n"/>
      <c r="F704" s="26" t="n"/>
      <c r="G704" s="1">
        <f>IF(NOT(ISNUMBER(B704)),"",YEAR(B704)*100+MONTH(B704))</f>
        <v/>
      </c>
    </row>
    <row r="705">
      <c r="A705" s="1" t="n"/>
      <c r="B705" s="27" t="n"/>
      <c r="C705" s="18" t="n"/>
      <c r="D705" s="19" t="n"/>
      <c r="E705" s="21" t="n"/>
      <c r="F705" s="26" t="n"/>
      <c r="G705" s="1">
        <f>IF(NOT(ISNUMBER(B705)),"",YEAR(B705)*100+MONTH(B705))</f>
        <v/>
      </c>
    </row>
    <row r="706">
      <c r="A706" s="1" t="n"/>
      <c r="B706" s="27" t="n"/>
      <c r="C706" s="18" t="n"/>
      <c r="D706" s="19" t="n"/>
      <c r="E706" s="21" t="n"/>
      <c r="F706" s="26" t="n"/>
      <c r="G706" s="1">
        <f>IF(NOT(ISNUMBER(B706)),"",YEAR(B706)*100+MONTH(B706))</f>
        <v/>
      </c>
    </row>
    <row r="707">
      <c r="A707" s="1" t="n"/>
      <c r="B707" s="27" t="n"/>
      <c r="C707" s="18" t="n"/>
      <c r="D707" s="19" t="n"/>
      <c r="E707" s="21" t="n"/>
      <c r="F707" s="26" t="n"/>
      <c r="G707" s="1">
        <f>IF(NOT(ISNUMBER(B707)),"",YEAR(B707)*100+MONTH(B707))</f>
        <v/>
      </c>
    </row>
    <row r="708">
      <c r="A708" s="1" t="n"/>
      <c r="B708" s="27" t="n"/>
      <c r="C708" s="18" t="n"/>
      <c r="D708" s="19" t="n"/>
      <c r="E708" s="21" t="n"/>
      <c r="F708" s="26" t="n"/>
      <c r="G708" s="1">
        <f>IF(NOT(ISNUMBER(B708)),"",YEAR(B708)*100+MONTH(B708))</f>
        <v/>
      </c>
    </row>
    <row r="709">
      <c r="A709" s="1" t="n"/>
      <c r="B709" s="27" t="n"/>
      <c r="C709" s="18" t="n"/>
      <c r="D709" s="19" t="n"/>
      <c r="E709" s="21" t="n"/>
      <c r="F709" s="26" t="n"/>
      <c r="G709" s="1">
        <f>IF(NOT(ISNUMBER(B709)),"",YEAR(B709)*100+MONTH(B709))</f>
        <v/>
      </c>
    </row>
    <row r="710">
      <c r="A710" s="1" t="n"/>
      <c r="B710" s="27" t="n"/>
      <c r="C710" s="18" t="n"/>
      <c r="D710" s="19" t="n"/>
      <c r="E710" s="21" t="n"/>
      <c r="F710" s="26" t="n"/>
      <c r="G710" s="1">
        <f>IF(NOT(ISNUMBER(B710)),"",YEAR(B710)*100+MONTH(B710))</f>
        <v/>
      </c>
    </row>
    <row r="711">
      <c r="A711" s="1" t="n"/>
      <c r="B711" s="27" t="n"/>
      <c r="C711" s="18" t="n"/>
      <c r="D711" s="19" t="n"/>
      <c r="E711" s="21" t="n"/>
      <c r="F711" s="26" t="n"/>
      <c r="G711" s="1">
        <f>IF(NOT(ISNUMBER(B711)),"",YEAR(B711)*100+MONTH(B711))</f>
        <v/>
      </c>
    </row>
    <row r="712">
      <c r="A712" s="1" t="n"/>
      <c r="B712" s="27" t="n"/>
      <c r="C712" s="18" t="n"/>
      <c r="D712" s="19" t="n"/>
      <c r="E712" s="21" t="n"/>
      <c r="F712" s="26" t="n"/>
      <c r="G712" s="1">
        <f>IF(NOT(ISNUMBER(B712)),"",YEAR(B712)*100+MONTH(B712))</f>
        <v/>
      </c>
    </row>
    <row r="713">
      <c r="A713" s="1" t="n"/>
      <c r="B713" s="27" t="n"/>
      <c r="C713" s="18" t="n"/>
      <c r="D713" s="19" t="n"/>
      <c r="E713" s="21" t="n"/>
      <c r="F713" s="26" t="n"/>
      <c r="G713" s="1">
        <f>IF(NOT(ISNUMBER(B713)),"",YEAR(B713)*100+MONTH(B713))</f>
        <v/>
      </c>
    </row>
    <row r="714">
      <c r="A714" s="1" t="n"/>
      <c r="B714" s="27" t="n"/>
      <c r="C714" s="18" t="n"/>
      <c r="D714" s="19" t="n"/>
      <c r="E714" s="21" t="n"/>
      <c r="F714" s="26" t="n"/>
      <c r="G714" s="1">
        <f>IF(NOT(ISNUMBER(B714)),"",YEAR(B714)*100+MONTH(B714))</f>
        <v/>
      </c>
    </row>
    <row r="715">
      <c r="A715" s="1" t="n"/>
      <c r="B715" s="27" t="n"/>
      <c r="C715" s="18" t="n"/>
      <c r="D715" s="19" t="n"/>
      <c r="E715" s="21" t="n"/>
      <c r="F715" s="26" t="n"/>
      <c r="G715" s="1">
        <f>IF(NOT(ISNUMBER(B715)),"",YEAR(B715)*100+MONTH(B715))</f>
        <v/>
      </c>
    </row>
    <row r="716">
      <c r="A716" s="1" t="n"/>
      <c r="B716" s="27" t="n"/>
      <c r="C716" s="18" t="n"/>
      <c r="D716" s="19" t="n"/>
      <c r="E716" s="21" t="n"/>
      <c r="F716" s="26" t="n"/>
      <c r="G716" s="1">
        <f>IF(NOT(ISNUMBER(B716)),"",YEAR(B716)*100+MONTH(B716))</f>
        <v/>
      </c>
    </row>
    <row r="717">
      <c r="A717" s="1" t="n"/>
      <c r="B717" s="27" t="n"/>
      <c r="C717" s="18" t="n"/>
      <c r="D717" s="19" t="n"/>
      <c r="E717" s="21" t="n"/>
      <c r="F717" s="26" t="n"/>
      <c r="G717" s="1">
        <f>IF(NOT(ISNUMBER(B717)),"",YEAR(B717)*100+MONTH(B717))</f>
        <v/>
      </c>
    </row>
    <row r="718">
      <c r="A718" s="1" t="n"/>
      <c r="B718" s="27" t="n"/>
      <c r="C718" s="18" t="n"/>
      <c r="D718" s="19" t="n"/>
      <c r="E718" s="21" t="n"/>
      <c r="F718" s="26" t="n"/>
      <c r="G718" s="1">
        <f>IF(NOT(ISNUMBER(B718)),"",YEAR(B718)*100+MONTH(B718))</f>
        <v/>
      </c>
    </row>
    <row r="719">
      <c r="A719" s="1" t="n"/>
      <c r="B719" s="27" t="n"/>
      <c r="C719" s="18" t="n"/>
      <c r="D719" s="19" t="n"/>
      <c r="E719" s="21" t="n"/>
      <c r="F719" s="26" t="n"/>
      <c r="G719" s="1">
        <f>IF(NOT(ISNUMBER(B719)),"",YEAR(B719)*100+MONTH(B719))</f>
        <v/>
      </c>
    </row>
    <row r="720">
      <c r="A720" s="1" t="n"/>
      <c r="B720" s="27" t="n"/>
      <c r="C720" s="18" t="n"/>
      <c r="D720" s="19" t="n"/>
      <c r="E720" s="21" t="n"/>
      <c r="F720" s="26" t="n"/>
      <c r="G720" s="1">
        <f>IF(NOT(ISNUMBER(B720)),"",YEAR(B720)*100+MONTH(B720))</f>
        <v/>
      </c>
    </row>
    <row r="721">
      <c r="A721" s="1" t="n"/>
      <c r="B721" s="27" t="n"/>
      <c r="C721" s="18" t="n"/>
      <c r="D721" s="19" t="n"/>
      <c r="E721" s="21" t="n"/>
      <c r="F721" s="26" t="n"/>
      <c r="G721" s="1">
        <f>IF(NOT(ISNUMBER(B721)),"",YEAR(B721)*100+MONTH(B721))</f>
        <v/>
      </c>
    </row>
    <row r="722">
      <c r="A722" s="1" t="n"/>
      <c r="B722" s="27" t="n"/>
      <c r="C722" s="18" t="n"/>
      <c r="D722" s="19" t="n"/>
      <c r="E722" s="21" t="n"/>
      <c r="F722" s="26" t="n"/>
      <c r="G722" s="1">
        <f>IF(NOT(ISNUMBER(B722)),"",YEAR(B722)*100+MONTH(B722))</f>
        <v/>
      </c>
    </row>
    <row r="723">
      <c r="A723" s="1" t="n"/>
      <c r="B723" s="27" t="n"/>
      <c r="C723" s="18" t="n"/>
      <c r="D723" s="19" t="n"/>
      <c r="E723" s="21" t="n"/>
      <c r="F723" s="26" t="n"/>
      <c r="G723" s="1">
        <f>IF(NOT(ISNUMBER(B723)),"",YEAR(B723)*100+MONTH(B723))</f>
        <v/>
      </c>
    </row>
    <row r="724">
      <c r="A724" s="1" t="n"/>
      <c r="B724" s="27" t="n"/>
      <c r="C724" s="18" t="n"/>
      <c r="D724" s="19" t="n"/>
      <c r="E724" s="21" t="n"/>
      <c r="F724" s="26" t="n"/>
      <c r="G724" s="1">
        <f>IF(NOT(ISNUMBER(B724)),"",YEAR(B724)*100+MONTH(B724))</f>
        <v/>
      </c>
    </row>
    <row r="725">
      <c r="A725" s="1" t="n"/>
      <c r="B725" s="27" t="n"/>
      <c r="C725" s="18" t="n"/>
      <c r="D725" s="19" t="n"/>
      <c r="E725" s="21" t="n"/>
      <c r="F725" s="26" t="n"/>
      <c r="G725" s="1">
        <f>IF(NOT(ISNUMBER(B725)),"",YEAR(B725)*100+MONTH(B725))</f>
        <v/>
      </c>
    </row>
    <row r="726">
      <c r="A726" s="1" t="n"/>
      <c r="B726" s="27" t="n"/>
      <c r="C726" s="18" t="n"/>
      <c r="D726" s="19" t="n"/>
      <c r="E726" s="21" t="n"/>
      <c r="F726" s="26" t="n"/>
      <c r="G726" s="1">
        <f>IF(NOT(ISNUMBER(B726)),"",YEAR(B726)*100+MONTH(B726))</f>
        <v/>
      </c>
    </row>
    <row r="727">
      <c r="A727" s="1" t="n"/>
      <c r="B727" s="27" t="n"/>
      <c r="C727" s="18" t="n"/>
      <c r="D727" s="19" t="n"/>
      <c r="E727" s="21" t="n"/>
      <c r="F727" s="26" t="n"/>
      <c r="G727" s="1">
        <f>IF(NOT(ISNUMBER(B727)),"",YEAR(B727)*100+MONTH(B727))</f>
        <v/>
      </c>
    </row>
    <row r="728">
      <c r="A728" s="1" t="n"/>
      <c r="B728" s="27" t="n"/>
      <c r="C728" s="18" t="n"/>
      <c r="D728" s="19" t="n"/>
      <c r="E728" s="21" t="n"/>
      <c r="F728" s="26" t="n"/>
      <c r="G728" s="1">
        <f>IF(NOT(ISNUMBER(B728)),"",YEAR(B728)*100+MONTH(B728))</f>
        <v/>
      </c>
    </row>
    <row r="729">
      <c r="A729" s="1" t="n"/>
      <c r="B729" s="27" t="n"/>
      <c r="C729" s="18" t="n"/>
      <c r="D729" s="19" t="n"/>
      <c r="E729" s="21" t="n"/>
      <c r="F729" s="26" t="n"/>
      <c r="G729" s="1">
        <f>IF(NOT(ISNUMBER(B729)),"",YEAR(B729)*100+MONTH(B729))</f>
        <v/>
      </c>
    </row>
    <row r="730">
      <c r="A730" s="1" t="n"/>
      <c r="B730" s="27" t="n"/>
      <c r="C730" s="18" t="n"/>
      <c r="D730" s="19" t="n"/>
      <c r="E730" s="21" t="n"/>
      <c r="F730" s="26" t="n"/>
      <c r="G730" s="1">
        <f>IF(NOT(ISNUMBER(B730)),"",YEAR(B730)*100+MONTH(B730))</f>
        <v/>
      </c>
    </row>
    <row r="731">
      <c r="A731" s="1" t="n"/>
      <c r="B731" s="27" t="n"/>
      <c r="C731" s="18" t="n"/>
      <c r="D731" s="19" t="n"/>
      <c r="E731" s="21" t="n"/>
      <c r="F731" s="26" t="n"/>
      <c r="G731" s="1">
        <f>IF(NOT(ISNUMBER(B731)),"",YEAR(B731)*100+MONTH(B731))</f>
        <v/>
      </c>
    </row>
    <row r="732">
      <c r="A732" s="1" t="n"/>
      <c r="B732" s="27" t="n"/>
      <c r="C732" s="18" t="n"/>
      <c r="D732" s="19" t="n"/>
      <c r="E732" s="21" t="n"/>
      <c r="F732" s="26" t="n"/>
      <c r="G732" s="1">
        <f>IF(NOT(ISNUMBER(B732)),"",YEAR(B732)*100+MONTH(B732))</f>
        <v/>
      </c>
    </row>
    <row r="733">
      <c r="A733" s="1" t="n"/>
      <c r="B733" s="27" t="n"/>
      <c r="C733" s="18" t="n"/>
      <c r="D733" s="19" t="n"/>
      <c r="E733" s="21" t="n"/>
      <c r="F733" s="26" t="n"/>
      <c r="G733" s="1">
        <f>IF(NOT(ISNUMBER(B733)),"",YEAR(B733)*100+MONTH(B733))</f>
        <v/>
      </c>
    </row>
    <row r="734">
      <c r="A734" s="1" t="n"/>
      <c r="B734" s="27" t="n"/>
      <c r="C734" s="18" t="n"/>
      <c r="D734" s="19" t="n"/>
      <c r="E734" s="21" t="n"/>
      <c r="F734" s="26" t="n"/>
      <c r="G734" s="1">
        <f>IF(NOT(ISNUMBER(B734)),"",YEAR(B734)*100+MONTH(B734))</f>
        <v/>
      </c>
    </row>
    <row r="735">
      <c r="A735" s="1" t="n"/>
      <c r="B735" s="27" t="n"/>
      <c r="C735" s="18" t="n"/>
      <c r="D735" s="19" t="n"/>
      <c r="E735" s="21" t="n"/>
      <c r="F735" s="26" t="n"/>
      <c r="G735" s="1">
        <f>IF(NOT(ISNUMBER(B735)),"",YEAR(B735)*100+MONTH(B735))</f>
        <v/>
      </c>
    </row>
    <row r="736">
      <c r="A736" s="1" t="n"/>
      <c r="B736" s="27" t="n"/>
      <c r="C736" s="18" t="n"/>
      <c r="D736" s="19" t="n"/>
      <c r="E736" s="21" t="n"/>
      <c r="F736" s="26" t="n"/>
      <c r="G736" s="1">
        <f>IF(NOT(ISNUMBER(B736)),"",YEAR(B736)*100+MONTH(B736))</f>
        <v/>
      </c>
    </row>
    <row r="737">
      <c r="A737" s="1" t="n"/>
      <c r="B737" s="27" t="n"/>
      <c r="C737" s="18" t="n"/>
      <c r="D737" s="19" t="n"/>
      <c r="E737" s="21" t="n"/>
      <c r="F737" s="26" t="n"/>
      <c r="G737" s="1">
        <f>IF(NOT(ISNUMBER(B737)),"",YEAR(B737)*100+MONTH(B737))</f>
        <v/>
      </c>
    </row>
    <row r="738">
      <c r="A738" s="1" t="n"/>
      <c r="B738" s="27" t="n"/>
      <c r="C738" s="18" t="n"/>
      <c r="D738" s="19" t="n"/>
      <c r="E738" s="21" t="n"/>
      <c r="F738" s="26" t="n"/>
      <c r="G738" s="1">
        <f>IF(NOT(ISNUMBER(B738)),"",YEAR(B738)*100+MONTH(B738))</f>
        <v/>
      </c>
    </row>
    <row r="739">
      <c r="A739" s="1" t="n"/>
      <c r="B739" s="27" t="n"/>
      <c r="C739" s="18" t="n"/>
      <c r="D739" s="19" t="n"/>
      <c r="E739" s="21" t="n"/>
      <c r="F739" s="26" t="n"/>
      <c r="G739" s="1">
        <f>IF(NOT(ISNUMBER(B739)),"",YEAR(B739)*100+MONTH(B739))</f>
        <v/>
      </c>
    </row>
    <row r="740">
      <c r="A740" s="1" t="n"/>
      <c r="B740" s="27" t="n"/>
      <c r="C740" s="18" t="n"/>
      <c r="D740" s="19" t="n"/>
      <c r="E740" s="21" t="n"/>
      <c r="F740" s="26" t="n"/>
      <c r="G740" s="1">
        <f>IF(NOT(ISNUMBER(B740)),"",YEAR(B740)*100+MONTH(B740))</f>
        <v/>
      </c>
    </row>
    <row r="741">
      <c r="A741" s="1" t="n"/>
      <c r="B741" s="27" t="n"/>
      <c r="C741" s="18" t="n"/>
      <c r="D741" s="19" t="n"/>
      <c r="E741" s="21" t="n"/>
      <c r="F741" s="26" t="n"/>
      <c r="G741" s="1">
        <f>IF(NOT(ISNUMBER(B741)),"",YEAR(B741)*100+MONTH(B741))</f>
        <v/>
      </c>
    </row>
    <row r="742">
      <c r="A742" s="1" t="n"/>
      <c r="B742" s="27" t="n"/>
      <c r="C742" s="18" t="n"/>
      <c r="D742" s="19" t="n"/>
      <c r="E742" s="21" t="n"/>
      <c r="F742" s="26" t="n"/>
      <c r="G742" s="1">
        <f>IF(NOT(ISNUMBER(B742)),"",YEAR(B742)*100+MONTH(B742))</f>
        <v/>
      </c>
    </row>
    <row r="743">
      <c r="A743" s="1" t="n"/>
      <c r="B743" s="27" t="n"/>
      <c r="C743" s="18" t="n"/>
      <c r="D743" s="19" t="n"/>
      <c r="E743" s="21" t="n"/>
      <c r="F743" s="26" t="n"/>
      <c r="G743" s="1">
        <f>IF(NOT(ISNUMBER(B743)),"",YEAR(B743)*100+MONTH(B743))</f>
        <v/>
      </c>
    </row>
    <row r="744">
      <c r="A744" s="1" t="n"/>
      <c r="B744" s="27" t="n"/>
      <c r="C744" s="18" t="n"/>
      <c r="D744" s="19" t="n"/>
      <c r="E744" s="21" t="n"/>
      <c r="F744" s="26" t="n"/>
      <c r="G744" s="1">
        <f>IF(NOT(ISNUMBER(B744)),"",YEAR(B744)*100+MONTH(B744))</f>
        <v/>
      </c>
    </row>
    <row r="745">
      <c r="A745" s="1" t="n"/>
      <c r="B745" s="27" t="n"/>
      <c r="C745" s="18" t="n"/>
      <c r="D745" s="19" t="n"/>
      <c r="E745" s="21" t="n"/>
      <c r="F745" s="26" t="n"/>
      <c r="G745" s="1">
        <f>IF(NOT(ISNUMBER(B745)),"",YEAR(B745)*100+MONTH(B745))</f>
        <v/>
      </c>
    </row>
    <row r="746">
      <c r="A746" s="1" t="n"/>
      <c r="B746" s="27" t="n"/>
      <c r="C746" s="18" t="n"/>
      <c r="D746" s="19" t="n"/>
      <c r="E746" s="21" t="n"/>
      <c r="F746" s="26" t="n"/>
      <c r="G746" s="1">
        <f>IF(NOT(ISNUMBER(B746)),"",YEAR(B746)*100+MONTH(B746))</f>
        <v/>
      </c>
    </row>
    <row r="747">
      <c r="A747" s="1" t="n"/>
      <c r="B747" s="27" t="n"/>
      <c r="C747" s="18" t="n"/>
      <c r="D747" s="19" t="n"/>
      <c r="E747" s="21" t="n"/>
      <c r="F747" s="26" t="n"/>
      <c r="G747" s="1">
        <f>IF(NOT(ISNUMBER(B747)),"",YEAR(B747)*100+MONTH(B747))</f>
        <v/>
      </c>
    </row>
    <row r="748">
      <c r="A748" s="1" t="n"/>
      <c r="B748" s="27" t="n"/>
      <c r="C748" s="18" t="n"/>
      <c r="D748" s="19" t="n"/>
      <c r="E748" s="21" t="n"/>
      <c r="F748" s="26" t="n"/>
      <c r="G748" s="1">
        <f>IF(NOT(ISNUMBER(B748)),"",YEAR(B748)*100+MONTH(B748))</f>
        <v/>
      </c>
    </row>
    <row r="749">
      <c r="A749" s="1" t="n"/>
      <c r="B749" s="27" t="n"/>
      <c r="C749" s="18" t="n"/>
      <c r="D749" s="19" t="n"/>
      <c r="E749" s="21" t="n"/>
      <c r="F749" s="26" t="n"/>
      <c r="G749" s="1">
        <f>IF(NOT(ISNUMBER(B749)),"",YEAR(B749)*100+MONTH(B749))</f>
        <v/>
      </c>
    </row>
    <row r="750">
      <c r="A750" s="1" t="n"/>
      <c r="B750" s="27" t="n"/>
      <c r="C750" s="18" t="n"/>
      <c r="D750" s="19" t="n"/>
      <c r="E750" s="21" t="n"/>
      <c r="F750" s="26" t="n"/>
      <c r="G750" s="1">
        <f>IF(NOT(ISNUMBER(B750)),"",YEAR(B750)*100+MONTH(B750))</f>
        <v/>
      </c>
    </row>
    <row r="751">
      <c r="A751" s="1" t="n"/>
      <c r="B751" s="27" t="n"/>
      <c r="C751" s="18" t="n"/>
      <c r="D751" s="19" t="n"/>
      <c r="E751" s="21" t="n"/>
      <c r="F751" s="26" t="n"/>
      <c r="G751" s="1">
        <f>IF(NOT(ISNUMBER(B751)),"",YEAR(B751)*100+MONTH(B751))</f>
        <v/>
      </c>
    </row>
    <row r="752">
      <c r="A752" s="1" t="n"/>
      <c r="B752" s="27" t="n"/>
      <c r="C752" s="18" t="n"/>
      <c r="D752" s="19" t="n"/>
      <c r="E752" s="21" t="n"/>
      <c r="F752" s="26" t="n"/>
      <c r="G752" s="1">
        <f>IF(NOT(ISNUMBER(B752)),"",YEAR(B752)*100+MONTH(B752))</f>
        <v/>
      </c>
    </row>
    <row r="753">
      <c r="A753" s="1" t="n"/>
      <c r="B753" s="27" t="n"/>
      <c r="C753" s="18" t="n"/>
      <c r="D753" s="19" t="n"/>
      <c r="E753" s="21" t="n"/>
      <c r="F753" s="26" t="n"/>
      <c r="G753" s="1">
        <f>IF(NOT(ISNUMBER(B753)),"",YEAR(B753)*100+MONTH(B753))</f>
        <v/>
      </c>
    </row>
    <row r="754">
      <c r="A754" s="1" t="n"/>
      <c r="B754" s="27" t="n"/>
      <c r="C754" s="18" t="n"/>
      <c r="D754" s="19" t="n"/>
      <c r="E754" s="21" t="n"/>
      <c r="F754" s="26" t="n"/>
      <c r="G754" s="1">
        <f>IF(NOT(ISNUMBER(B754)),"",YEAR(B754)*100+MONTH(B754))</f>
        <v/>
      </c>
    </row>
    <row r="755">
      <c r="A755" s="1" t="n"/>
      <c r="B755" s="27" t="n"/>
      <c r="C755" s="18" t="n"/>
      <c r="D755" s="19" t="n"/>
      <c r="E755" s="21" t="n"/>
      <c r="F755" s="26" t="n"/>
      <c r="G755" s="1">
        <f>IF(NOT(ISNUMBER(B755)),"",YEAR(B755)*100+MONTH(B755))</f>
        <v/>
      </c>
    </row>
    <row r="756">
      <c r="A756" s="1" t="n"/>
      <c r="B756" s="27" t="n"/>
      <c r="C756" s="18" t="n"/>
      <c r="D756" s="19" t="n"/>
      <c r="E756" s="21" t="n"/>
      <c r="F756" s="26" t="n"/>
      <c r="G756" s="1">
        <f>IF(NOT(ISNUMBER(B756)),"",YEAR(B756)*100+MONTH(B756))</f>
        <v/>
      </c>
    </row>
    <row r="757">
      <c r="A757" s="1" t="n"/>
      <c r="B757" s="27" t="n"/>
      <c r="C757" s="18" t="n"/>
      <c r="D757" s="19" t="n"/>
      <c r="E757" s="21" t="n"/>
      <c r="F757" s="26" t="n"/>
      <c r="G757" s="1">
        <f>IF(NOT(ISNUMBER(B757)),"",YEAR(B757)*100+MONTH(B757))</f>
        <v/>
      </c>
    </row>
    <row r="758">
      <c r="A758" s="1" t="n"/>
      <c r="B758" s="27" t="n"/>
      <c r="C758" s="18" t="n"/>
      <c r="D758" s="19" t="n"/>
      <c r="E758" s="21" t="n"/>
      <c r="F758" s="26" t="n"/>
      <c r="G758" s="1">
        <f>IF(NOT(ISNUMBER(B758)),"",YEAR(B758)*100+MONTH(B758))</f>
        <v/>
      </c>
    </row>
    <row r="759">
      <c r="A759" s="1" t="n"/>
      <c r="B759" s="27" t="n"/>
      <c r="C759" s="18" t="n"/>
      <c r="D759" s="19" t="n"/>
      <c r="E759" s="21" t="n"/>
      <c r="F759" s="26" t="n"/>
      <c r="G759" s="1">
        <f>IF(NOT(ISNUMBER(B759)),"",YEAR(B759)*100+MONTH(B759))</f>
        <v/>
      </c>
    </row>
    <row r="760">
      <c r="A760" s="1" t="n"/>
      <c r="B760" s="27" t="n"/>
      <c r="C760" s="18" t="n"/>
      <c r="D760" s="19" t="n"/>
      <c r="E760" s="21" t="n"/>
      <c r="F760" s="26" t="n"/>
      <c r="G760" s="1">
        <f>IF(NOT(ISNUMBER(B760)),"",YEAR(B760)*100+MONTH(B760))</f>
        <v/>
      </c>
    </row>
    <row r="761">
      <c r="A761" s="1" t="n"/>
      <c r="B761" s="27" t="n"/>
      <c r="C761" s="18" t="n"/>
      <c r="D761" s="19" t="n"/>
      <c r="E761" s="21" t="n"/>
      <c r="F761" s="26" t="n"/>
      <c r="G761" s="1">
        <f>IF(NOT(ISNUMBER(B761)),"",YEAR(B761)*100+MONTH(B761))</f>
        <v/>
      </c>
    </row>
    <row r="762">
      <c r="A762" s="1" t="n"/>
      <c r="B762" s="27" t="n"/>
      <c r="C762" s="18" t="n"/>
      <c r="D762" s="19" t="n"/>
      <c r="E762" s="21" t="n"/>
      <c r="F762" s="26" t="n"/>
      <c r="G762" s="1">
        <f>IF(NOT(ISNUMBER(B762)),"",YEAR(B762)*100+MONTH(B762))</f>
        <v/>
      </c>
    </row>
    <row r="763">
      <c r="A763" s="1" t="n"/>
      <c r="B763" s="27" t="n"/>
      <c r="C763" s="18" t="n"/>
      <c r="D763" s="19" t="n"/>
      <c r="E763" s="21" t="n"/>
      <c r="F763" s="26" t="n"/>
      <c r="G763" s="1">
        <f>IF(NOT(ISNUMBER(B763)),"",YEAR(B763)*100+MONTH(B763))</f>
        <v/>
      </c>
    </row>
    <row r="764">
      <c r="A764" s="1" t="n"/>
      <c r="B764" s="27" t="n"/>
      <c r="C764" s="18" t="n"/>
      <c r="D764" s="19" t="n"/>
      <c r="E764" s="21" t="n"/>
      <c r="F764" s="26" t="n"/>
      <c r="G764" s="1">
        <f>IF(NOT(ISNUMBER(B764)),"",YEAR(B764)*100+MONTH(B764))</f>
        <v/>
      </c>
    </row>
    <row r="765">
      <c r="A765" s="1" t="n"/>
      <c r="B765" s="27" t="n"/>
      <c r="C765" s="18" t="n"/>
      <c r="D765" s="19" t="n"/>
      <c r="E765" s="21" t="n"/>
      <c r="F765" s="26" t="n"/>
      <c r="G765" s="1">
        <f>IF(NOT(ISNUMBER(B765)),"",YEAR(B765)*100+MONTH(B765))</f>
        <v/>
      </c>
    </row>
    <row r="766">
      <c r="A766" s="1" t="n"/>
      <c r="B766" s="27" t="n"/>
      <c r="C766" s="18" t="n"/>
      <c r="D766" s="19" t="n"/>
      <c r="E766" s="21" t="n"/>
      <c r="F766" s="26" t="n"/>
      <c r="G766" s="1">
        <f>IF(NOT(ISNUMBER(B766)),"",YEAR(B766)*100+MONTH(B766))</f>
        <v/>
      </c>
    </row>
    <row r="767">
      <c r="A767" s="1" t="n"/>
      <c r="B767" s="27" t="n"/>
      <c r="C767" s="18" t="n"/>
      <c r="D767" s="19" t="n"/>
      <c r="E767" s="21" t="n"/>
      <c r="F767" s="26" t="n"/>
      <c r="G767" s="1">
        <f>IF(NOT(ISNUMBER(B767)),"",YEAR(B767)*100+MONTH(B767))</f>
        <v/>
      </c>
    </row>
    <row r="768">
      <c r="A768" s="1" t="n"/>
      <c r="B768" s="27" t="n"/>
      <c r="C768" s="18" t="n"/>
      <c r="D768" s="19" t="n"/>
      <c r="E768" s="21" t="n"/>
      <c r="F768" s="26" t="n"/>
      <c r="G768" s="1">
        <f>IF(NOT(ISNUMBER(B768)),"",YEAR(B768)*100+MONTH(B768))</f>
        <v/>
      </c>
    </row>
    <row r="769">
      <c r="A769" s="1" t="n"/>
      <c r="B769" s="27" t="n"/>
      <c r="C769" s="18" t="n"/>
      <c r="D769" s="19" t="n"/>
      <c r="E769" s="21" t="n"/>
      <c r="F769" s="26" t="n"/>
      <c r="G769" s="1">
        <f>IF(NOT(ISNUMBER(B769)),"",YEAR(B769)*100+MONTH(B769))</f>
        <v/>
      </c>
    </row>
    <row r="770">
      <c r="A770" s="1" t="n"/>
      <c r="B770" s="27" t="n"/>
      <c r="C770" s="18" t="n"/>
      <c r="D770" s="19" t="n"/>
      <c r="E770" s="21" t="n"/>
      <c r="F770" s="26" t="n"/>
      <c r="G770" s="1">
        <f>IF(NOT(ISNUMBER(B770)),"",YEAR(B770)*100+MONTH(B770))</f>
        <v/>
      </c>
    </row>
    <row r="771">
      <c r="A771" s="1" t="n"/>
      <c r="B771" s="27" t="n"/>
      <c r="C771" s="18" t="n"/>
      <c r="D771" s="19" t="n"/>
      <c r="E771" s="21" t="n"/>
      <c r="F771" s="26" t="n"/>
      <c r="G771" s="1">
        <f>IF(NOT(ISNUMBER(B771)),"",YEAR(B771)*100+MONTH(B771))</f>
        <v/>
      </c>
    </row>
    <row r="772">
      <c r="A772" s="1" t="n"/>
      <c r="B772" s="27" t="n"/>
      <c r="C772" s="18" t="n"/>
      <c r="D772" s="19" t="n"/>
      <c r="E772" s="21" t="n"/>
      <c r="F772" s="26" t="n"/>
      <c r="G772" s="1">
        <f>IF(NOT(ISNUMBER(B772)),"",YEAR(B772)*100+MONTH(B772))</f>
        <v/>
      </c>
    </row>
    <row r="773">
      <c r="A773" s="1" t="n"/>
      <c r="B773" s="27" t="n"/>
      <c r="C773" s="18" t="n"/>
      <c r="D773" s="19" t="n"/>
      <c r="E773" s="21" t="n"/>
      <c r="F773" s="26" t="n"/>
      <c r="G773" s="1">
        <f>IF(NOT(ISNUMBER(B773)),"",YEAR(B773)*100+MONTH(B773))</f>
        <v/>
      </c>
    </row>
    <row r="774">
      <c r="A774" s="1" t="n"/>
      <c r="B774" s="27" t="n"/>
      <c r="C774" s="18" t="n"/>
      <c r="D774" s="19" t="n"/>
      <c r="E774" s="21" t="n"/>
      <c r="F774" s="26" t="n"/>
      <c r="G774" s="1">
        <f>IF(NOT(ISNUMBER(B774)),"",YEAR(B774)*100+MONTH(B774))</f>
        <v/>
      </c>
    </row>
    <row r="775">
      <c r="A775" s="1" t="n"/>
      <c r="B775" s="27" t="n"/>
      <c r="C775" s="18" t="n"/>
      <c r="D775" s="19" t="n"/>
      <c r="E775" s="21" t="n"/>
      <c r="F775" s="26" t="n"/>
      <c r="G775" s="1">
        <f>IF(NOT(ISNUMBER(B775)),"",YEAR(B775)*100+MONTH(B775))</f>
        <v/>
      </c>
    </row>
    <row r="776">
      <c r="A776" s="1" t="n"/>
      <c r="B776" s="27" t="n"/>
      <c r="C776" s="18" t="n"/>
      <c r="D776" s="19" t="n"/>
      <c r="E776" s="21" t="n"/>
      <c r="F776" s="26" t="n"/>
      <c r="G776" s="1">
        <f>IF(NOT(ISNUMBER(B776)),"",YEAR(B776)*100+MONTH(B776))</f>
        <v/>
      </c>
    </row>
    <row r="777">
      <c r="A777" s="1" t="n"/>
      <c r="B777" s="27" t="n"/>
      <c r="C777" s="18" t="n"/>
      <c r="D777" s="19" t="n"/>
      <c r="E777" s="21" t="n"/>
      <c r="F777" s="26" t="n"/>
      <c r="G777" s="1">
        <f>IF(NOT(ISNUMBER(B777)),"",YEAR(B777)*100+MONTH(B777))</f>
        <v/>
      </c>
    </row>
    <row r="778">
      <c r="A778" s="1" t="n"/>
      <c r="B778" s="27" t="n"/>
      <c r="C778" s="18" t="n"/>
      <c r="D778" s="19" t="n"/>
      <c r="E778" s="21" t="n"/>
      <c r="F778" s="26" t="n"/>
      <c r="G778" s="1">
        <f>IF(NOT(ISNUMBER(B778)),"",YEAR(B778)*100+MONTH(B778))</f>
        <v/>
      </c>
    </row>
    <row r="779">
      <c r="A779" s="1" t="n"/>
      <c r="B779" s="27" t="n"/>
      <c r="C779" s="18" t="n"/>
      <c r="D779" s="19" t="n"/>
      <c r="E779" s="21" t="n"/>
      <c r="F779" s="26" t="n"/>
      <c r="G779" s="1">
        <f>IF(NOT(ISNUMBER(B779)),"",YEAR(B779)*100+MONTH(B779))</f>
        <v/>
      </c>
    </row>
    <row r="780">
      <c r="A780" s="1" t="n"/>
      <c r="B780" s="27" t="n"/>
      <c r="C780" s="18" t="n"/>
      <c r="D780" s="19" t="n"/>
      <c r="E780" s="21" t="n"/>
      <c r="F780" s="26" t="n"/>
      <c r="G780" s="1">
        <f>IF(NOT(ISNUMBER(B780)),"",YEAR(B780)*100+MONTH(B780))</f>
        <v/>
      </c>
    </row>
    <row r="781">
      <c r="A781" s="1" t="n"/>
      <c r="B781" s="27" t="n"/>
      <c r="C781" s="18" t="n"/>
      <c r="D781" s="19" t="n"/>
      <c r="E781" s="21" t="n"/>
      <c r="F781" s="26" t="n"/>
      <c r="G781" s="1">
        <f>IF(NOT(ISNUMBER(B781)),"",YEAR(B781)*100+MONTH(B781))</f>
        <v/>
      </c>
    </row>
    <row r="782">
      <c r="A782" s="1" t="n"/>
      <c r="B782" s="27" t="n"/>
      <c r="C782" s="18" t="n"/>
      <c r="D782" s="19" t="n"/>
      <c r="E782" s="21" t="n"/>
      <c r="F782" s="26" t="n"/>
      <c r="G782" s="1">
        <f>IF(NOT(ISNUMBER(B782)),"",YEAR(B782)*100+MONTH(B782))</f>
        <v/>
      </c>
    </row>
    <row r="783">
      <c r="A783" s="1" t="n"/>
      <c r="B783" s="27" t="n"/>
      <c r="C783" s="18" t="n"/>
      <c r="D783" s="19" t="n"/>
      <c r="E783" s="21" t="n"/>
      <c r="F783" s="26" t="n"/>
      <c r="G783" s="1">
        <f>IF(NOT(ISNUMBER(B783)),"",YEAR(B783)*100+MONTH(B783))</f>
        <v/>
      </c>
    </row>
    <row r="784">
      <c r="A784" s="1" t="n"/>
      <c r="B784" s="27" t="n"/>
      <c r="C784" s="18" t="n"/>
      <c r="D784" s="19" t="n"/>
      <c r="E784" s="21" t="n"/>
      <c r="F784" s="26" t="n"/>
      <c r="G784" s="1">
        <f>IF(NOT(ISNUMBER(B784)),"",YEAR(B784)*100+MONTH(B784))</f>
        <v/>
      </c>
    </row>
    <row r="785">
      <c r="A785" s="1" t="n"/>
      <c r="B785" s="27" t="n"/>
      <c r="C785" s="18" t="n"/>
      <c r="D785" s="19" t="n"/>
      <c r="E785" s="21" t="n"/>
      <c r="F785" s="26" t="n"/>
      <c r="G785" s="1">
        <f>IF(NOT(ISNUMBER(B785)),"",YEAR(B785)*100+MONTH(B785))</f>
        <v/>
      </c>
    </row>
    <row r="786">
      <c r="A786" s="1" t="n"/>
      <c r="B786" s="27" t="n"/>
      <c r="C786" s="18" t="n"/>
      <c r="D786" s="19" t="n"/>
      <c r="E786" s="21" t="n"/>
      <c r="F786" s="26" t="n"/>
      <c r="G786" s="1">
        <f>IF(NOT(ISNUMBER(B786)),"",YEAR(B786)*100+MONTH(B786))</f>
        <v/>
      </c>
    </row>
    <row r="787">
      <c r="A787" s="1" t="n"/>
      <c r="B787" s="27" t="n"/>
      <c r="C787" s="18" t="n"/>
      <c r="D787" s="19" t="n"/>
      <c r="E787" s="21" t="n"/>
      <c r="F787" s="26" t="n"/>
      <c r="G787" s="1">
        <f>IF(NOT(ISNUMBER(B787)),"",YEAR(B787)*100+MONTH(B787))</f>
        <v/>
      </c>
    </row>
    <row r="788">
      <c r="A788" s="1" t="n"/>
      <c r="B788" s="27" t="n"/>
      <c r="C788" s="18" t="n"/>
      <c r="D788" s="19" t="n"/>
      <c r="E788" s="21" t="n"/>
      <c r="F788" s="26" t="n"/>
      <c r="G788" s="1">
        <f>IF(NOT(ISNUMBER(B788)),"",YEAR(B788)*100+MONTH(B788))</f>
        <v/>
      </c>
    </row>
    <row r="789">
      <c r="A789" s="1" t="n"/>
      <c r="B789" s="27" t="n"/>
      <c r="C789" s="18" t="n"/>
      <c r="D789" s="19" t="n"/>
      <c r="E789" s="21" t="n"/>
      <c r="F789" s="26" t="n"/>
      <c r="G789" s="1">
        <f>IF(NOT(ISNUMBER(B789)),"",YEAR(B789)*100+MONTH(B789))</f>
        <v/>
      </c>
    </row>
    <row r="790">
      <c r="A790" s="1" t="n"/>
      <c r="B790" s="27" t="n"/>
      <c r="C790" s="18" t="n"/>
      <c r="D790" s="19" t="n"/>
      <c r="E790" s="21" t="n"/>
      <c r="F790" s="26" t="n"/>
      <c r="G790" s="1">
        <f>IF(NOT(ISNUMBER(B790)),"",YEAR(B790)*100+MONTH(B790))</f>
        <v/>
      </c>
    </row>
    <row r="791">
      <c r="A791" s="1" t="n"/>
      <c r="B791" s="27" t="n"/>
      <c r="C791" s="18" t="n"/>
      <c r="D791" s="19" t="n"/>
      <c r="E791" s="21" t="n"/>
      <c r="F791" s="26" t="n"/>
      <c r="G791" s="1">
        <f>IF(NOT(ISNUMBER(B791)),"",YEAR(B791)*100+MONTH(B791))</f>
        <v/>
      </c>
    </row>
    <row r="792">
      <c r="A792" s="1" t="n"/>
      <c r="B792" s="27" t="n"/>
      <c r="C792" s="18" t="n"/>
      <c r="D792" s="19" t="n"/>
      <c r="E792" s="21" t="n"/>
      <c r="F792" s="26" t="n"/>
      <c r="G792" s="1">
        <f>IF(NOT(ISNUMBER(B792)),"",YEAR(B792)*100+MONTH(B792))</f>
        <v/>
      </c>
    </row>
    <row r="793">
      <c r="A793" s="1" t="n"/>
      <c r="B793" s="27" t="n"/>
      <c r="C793" s="18" t="n"/>
      <c r="D793" s="19" t="n"/>
      <c r="E793" s="21" t="n"/>
      <c r="F793" s="26" t="n"/>
      <c r="G793" s="1">
        <f>IF(NOT(ISNUMBER(B793)),"",YEAR(B793)*100+MONTH(B793))</f>
        <v/>
      </c>
    </row>
    <row r="794">
      <c r="A794" s="1" t="n"/>
      <c r="B794" s="27" t="n"/>
      <c r="C794" s="18" t="n"/>
      <c r="D794" s="19" t="n"/>
      <c r="E794" s="21" t="n"/>
      <c r="F794" s="26" t="n"/>
      <c r="G794" s="1">
        <f>IF(NOT(ISNUMBER(B794)),"",YEAR(B794)*100+MONTH(B794))</f>
        <v/>
      </c>
    </row>
    <row r="795">
      <c r="A795" s="1" t="n"/>
      <c r="B795" s="27" t="n"/>
      <c r="C795" s="18" t="n"/>
      <c r="D795" s="19" t="n"/>
      <c r="E795" s="21" t="n"/>
      <c r="F795" s="26" t="n"/>
      <c r="G795" s="1">
        <f>IF(NOT(ISNUMBER(B795)),"",YEAR(B795)*100+MONTH(B795))</f>
        <v/>
      </c>
    </row>
    <row r="796">
      <c r="A796" s="1" t="n"/>
      <c r="B796" s="27" t="n"/>
      <c r="C796" s="18" t="n"/>
      <c r="D796" s="19" t="n"/>
      <c r="E796" s="21" t="n"/>
      <c r="F796" s="26" t="n"/>
      <c r="G796" s="1">
        <f>IF(NOT(ISNUMBER(B796)),"",YEAR(B796)*100+MONTH(B796))</f>
        <v/>
      </c>
    </row>
    <row r="797">
      <c r="A797" s="1" t="n"/>
      <c r="B797" s="27" t="n"/>
      <c r="C797" s="18" t="n"/>
      <c r="D797" s="19" t="n"/>
      <c r="E797" s="21" t="n"/>
      <c r="F797" s="26" t="n"/>
      <c r="G797" s="1">
        <f>IF(NOT(ISNUMBER(B797)),"",YEAR(B797)*100+MONTH(B797))</f>
        <v/>
      </c>
    </row>
    <row r="798">
      <c r="A798" s="1" t="n"/>
      <c r="B798" s="27" t="n"/>
      <c r="C798" s="18" t="n"/>
      <c r="D798" s="19" t="n"/>
      <c r="E798" s="21" t="n"/>
      <c r="F798" s="26" t="n"/>
      <c r="G798" s="1">
        <f>IF(NOT(ISNUMBER(B798)),"",YEAR(B798)*100+MONTH(B798))</f>
        <v/>
      </c>
    </row>
    <row r="799">
      <c r="A799" s="1" t="n"/>
      <c r="B799" s="27" t="n"/>
      <c r="C799" s="18" t="n"/>
      <c r="D799" s="19" t="n"/>
      <c r="E799" s="21" t="n"/>
      <c r="F799" s="26" t="n"/>
      <c r="G799" s="1">
        <f>IF(NOT(ISNUMBER(B799)),"",YEAR(B799)*100+MONTH(B799))</f>
        <v/>
      </c>
    </row>
    <row r="800">
      <c r="A800" s="1" t="n"/>
      <c r="B800" s="27" t="n"/>
      <c r="C800" s="18" t="n"/>
      <c r="D800" s="19" t="n"/>
      <c r="E800" s="21" t="n"/>
      <c r="F800" s="26" t="n"/>
      <c r="G800" s="1">
        <f>IF(NOT(ISNUMBER(B800)),"",YEAR(B800)*100+MONTH(B800))</f>
        <v/>
      </c>
    </row>
    <row r="801">
      <c r="A801" s="1" t="n"/>
      <c r="B801" s="27" t="n"/>
      <c r="C801" s="18" t="n"/>
      <c r="D801" s="19" t="n"/>
      <c r="E801" s="21" t="n"/>
      <c r="F801" s="26" t="n"/>
      <c r="G801" s="1">
        <f>IF(NOT(ISNUMBER(B801)),"",YEAR(B801)*100+MONTH(B801))</f>
        <v/>
      </c>
    </row>
    <row r="802">
      <c r="A802" s="1" t="n"/>
      <c r="B802" s="27" t="n"/>
      <c r="C802" s="18" t="n"/>
      <c r="D802" s="19" t="n"/>
      <c r="E802" s="21" t="n"/>
      <c r="F802" s="26" t="n"/>
      <c r="G802" s="1">
        <f>IF(NOT(ISNUMBER(B802)),"",YEAR(B802)*100+MONTH(B802))</f>
        <v/>
      </c>
    </row>
    <row r="803">
      <c r="A803" s="1" t="n"/>
      <c r="B803" s="27" t="n"/>
      <c r="C803" s="18" t="n"/>
      <c r="D803" s="19" t="n"/>
      <c r="E803" s="21" t="n"/>
      <c r="F803" s="26" t="n"/>
      <c r="G803" s="1">
        <f>IF(NOT(ISNUMBER(B803)),"",YEAR(B803)*100+MONTH(B803))</f>
        <v/>
      </c>
    </row>
    <row r="804">
      <c r="A804" s="1" t="n"/>
      <c r="B804" s="27" t="n"/>
      <c r="C804" s="18" t="n"/>
      <c r="D804" s="19" t="n"/>
      <c r="E804" s="21" t="n"/>
      <c r="F804" s="26" t="n"/>
      <c r="G804" s="1">
        <f>IF(NOT(ISNUMBER(B804)),"",YEAR(B804)*100+MONTH(B804))</f>
        <v/>
      </c>
    </row>
    <row r="805">
      <c r="A805" s="1" t="n"/>
      <c r="B805" s="27" t="n"/>
      <c r="C805" s="18" t="n"/>
      <c r="D805" s="19" t="n"/>
      <c r="E805" s="21" t="n"/>
      <c r="F805" s="26" t="n"/>
      <c r="G805" s="1">
        <f>IF(NOT(ISNUMBER(B805)),"",YEAR(B805)*100+MONTH(B805))</f>
        <v/>
      </c>
    </row>
    <row r="806">
      <c r="A806" s="1" t="n"/>
      <c r="B806" s="27" t="n"/>
      <c r="C806" s="18" t="n"/>
      <c r="D806" s="19" t="n"/>
      <c r="E806" s="21" t="n"/>
      <c r="F806" s="26" t="n"/>
      <c r="G806" s="1">
        <f>IF(NOT(ISNUMBER(B806)),"",YEAR(B806)*100+MONTH(B806))</f>
        <v/>
      </c>
    </row>
    <row r="807">
      <c r="A807" s="1" t="n"/>
      <c r="B807" s="27" t="n"/>
      <c r="C807" s="18" t="n"/>
      <c r="D807" s="19" t="n"/>
      <c r="E807" s="21" t="n"/>
      <c r="F807" s="26" t="n"/>
      <c r="G807" s="1">
        <f>IF(NOT(ISNUMBER(B807)),"",YEAR(B807)*100+MONTH(B807))</f>
        <v/>
      </c>
    </row>
    <row r="808">
      <c r="A808" s="1" t="n"/>
      <c r="B808" s="27" t="n"/>
      <c r="C808" s="18" t="n"/>
      <c r="D808" s="19" t="n"/>
      <c r="E808" s="21" t="n"/>
      <c r="F808" s="26" t="n"/>
      <c r="G808" s="1">
        <f>IF(NOT(ISNUMBER(B808)),"",YEAR(B808)*100+MONTH(B808))</f>
        <v/>
      </c>
    </row>
    <row r="809">
      <c r="A809" s="1" t="n"/>
      <c r="B809" s="27" t="n"/>
      <c r="C809" s="18" t="n"/>
      <c r="D809" s="19" t="n"/>
      <c r="E809" s="21" t="n"/>
      <c r="F809" s="26" t="n"/>
      <c r="G809" s="1">
        <f>IF(NOT(ISNUMBER(B809)),"",YEAR(B809)*100+MONTH(B809))</f>
        <v/>
      </c>
    </row>
    <row r="810">
      <c r="A810" s="1" t="n"/>
      <c r="B810" s="27" t="n"/>
      <c r="C810" s="18" t="n"/>
      <c r="D810" s="19" t="n"/>
      <c r="E810" s="21" t="n"/>
      <c r="F810" s="26" t="n"/>
      <c r="G810" s="1">
        <f>IF(NOT(ISNUMBER(B810)),"",YEAR(B810)*100+MONTH(B810))</f>
        <v/>
      </c>
    </row>
    <row r="811">
      <c r="A811" s="1" t="n"/>
      <c r="B811" s="27" t="n"/>
      <c r="C811" s="18" t="n"/>
      <c r="D811" s="19" t="n"/>
      <c r="E811" s="21" t="n"/>
      <c r="F811" s="26" t="n"/>
      <c r="G811" s="1">
        <f>IF(NOT(ISNUMBER(B811)),"",YEAR(B811)*100+MONTH(B811))</f>
        <v/>
      </c>
    </row>
    <row r="812">
      <c r="A812" s="1" t="n"/>
      <c r="B812" s="27" t="n"/>
      <c r="C812" s="18" t="n"/>
      <c r="D812" s="19" t="n"/>
      <c r="E812" s="21" t="n"/>
      <c r="F812" s="26" t="n"/>
      <c r="G812" s="1">
        <f>IF(NOT(ISNUMBER(B812)),"",YEAR(B812)*100+MONTH(B812))</f>
        <v/>
      </c>
    </row>
    <row r="813">
      <c r="A813" s="1" t="n"/>
      <c r="B813" s="27" t="n"/>
      <c r="C813" s="18" t="n"/>
      <c r="D813" s="19" t="n"/>
      <c r="E813" s="21" t="n"/>
      <c r="F813" s="26" t="n"/>
      <c r="G813" s="1">
        <f>IF(NOT(ISNUMBER(B813)),"",YEAR(B813)*100+MONTH(B813))</f>
        <v/>
      </c>
    </row>
    <row r="814">
      <c r="A814" s="1" t="n"/>
      <c r="B814" s="27" t="n"/>
      <c r="C814" s="18" t="n"/>
      <c r="D814" s="19" t="n"/>
      <c r="E814" s="21" t="n"/>
      <c r="F814" s="26" t="n"/>
      <c r="G814" s="1">
        <f>IF(NOT(ISNUMBER(B814)),"",YEAR(B814)*100+MONTH(B814))</f>
        <v/>
      </c>
    </row>
    <row r="815">
      <c r="A815" s="1" t="n"/>
      <c r="B815" s="27" t="n"/>
      <c r="C815" s="18" t="n"/>
      <c r="D815" s="19" t="n"/>
      <c r="E815" s="21" t="n"/>
      <c r="F815" s="26" t="n"/>
      <c r="G815" s="1">
        <f>IF(NOT(ISNUMBER(B815)),"",YEAR(B815)*100+MONTH(B815))</f>
        <v/>
      </c>
    </row>
    <row r="816">
      <c r="A816" s="1" t="n"/>
      <c r="B816" s="27" t="n"/>
      <c r="C816" s="18" t="n"/>
      <c r="D816" s="19" t="n"/>
      <c r="E816" s="21" t="n"/>
      <c r="F816" s="26" t="n"/>
      <c r="G816" s="1">
        <f>IF(NOT(ISNUMBER(B816)),"",YEAR(B816)*100+MONTH(B816))</f>
        <v/>
      </c>
    </row>
    <row r="817">
      <c r="A817" s="1" t="n"/>
      <c r="B817" s="27" t="n"/>
      <c r="C817" s="18" t="n"/>
      <c r="D817" s="19" t="n"/>
      <c r="E817" s="21" t="n"/>
      <c r="F817" s="26" t="n"/>
      <c r="G817" s="1">
        <f>IF(NOT(ISNUMBER(B817)),"",YEAR(B817)*100+MONTH(B817))</f>
        <v/>
      </c>
    </row>
    <row r="818">
      <c r="A818" s="1" t="n"/>
      <c r="B818" s="27" t="n"/>
      <c r="C818" s="18" t="n"/>
      <c r="D818" s="19" t="n"/>
      <c r="E818" s="21" t="n"/>
      <c r="F818" s="26" t="n"/>
      <c r="G818" s="1">
        <f>IF(NOT(ISNUMBER(B818)),"",YEAR(B818)*100+MONTH(B818))</f>
        <v/>
      </c>
    </row>
    <row r="819">
      <c r="A819" s="1" t="n"/>
      <c r="B819" s="27" t="n"/>
      <c r="C819" s="18" t="n"/>
      <c r="D819" s="19" t="n"/>
      <c r="E819" s="21" t="n"/>
      <c r="F819" s="26" t="n"/>
      <c r="G819" s="1">
        <f>IF(NOT(ISNUMBER(B819)),"",YEAR(B819)*100+MONTH(B819))</f>
        <v/>
      </c>
    </row>
    <row r="820">
      <c r="A820" s="1" t="n"/>
      <c r="B820" s="27" t="n"/>
      <c r="C820" s="18" t="n"/>
      <c r="D820" s="19" t="n"/>
      <c r="E820" s="21" t="n"/>
      <c r="F820" s="26" t="n"/>
      <c r="G820" s="1">
        <f>IF(NOT(ISNUMBER(B820)),"",YEAR(B820)*100+MONTH(B820))</f>
        <v/>
      </c>
    </row>
    <row r="821">
      <c r="A821" s="1" t="n"/>
      <c r="B821" s="27" t="n"/>
      <c r="C821" s="18" t="n"/>
      <c r="D821" s="19" t="n"/>
      <c r="E821" s="21" t="n"/>
      <c r="F821" s="26" t="n"/>
      <c r="G821" s="1">
        <f>IF(NOT(ISNUMBER(B821)),"",YEAR(B821)*100+MONTH(B821))</f>
        <v/>
      </c>
    </row>
    <row r="822">
      <c r="A822" s="1" t="n"/>
      <c r="B822" s="27" t="n"/>
      <c r="C822" s="18" t="n"/>
      <c r="D822" s="19" t="n"/>
      <c r="E822" s="21" t="n"/>
      <c r="F822" s="26" t="n"/>
      <c r="G822" s="1">
        <f>IF(NOT(ISNUMBER(B822)),"",YEAR(B822)*100+MONTH(B822))</f>
        <v/>
      </c>
    </row>
    <row r="823">
      <c r="A823" s="1" t="n"/>
      <c r="B823" s="27" t="n"/>
      <c r="C823" s="18" t="n"/>
      <c r="D823" s="19" t="n"/>
      <c r="E823" s="21" t="n"/>
      <c r="F823" s="26" t="n"/>
      <c r="G823" s="1">
        <f>IF(NOT(ISNUMBER(B823)),"",YEAR(B823)*100+MONTH(B823))</f>
        <v/>
      </c>
    </row>
    <row r="824">
      <c r="A824" s="1" t="n"/>
      <c r="B824" s="27" t="n"/>
      <c r="C824" s="18" t="n"/>
      <c r="D824" s="19" t="n"/>
      <c r="E824" s="21" t="n"/>
      <c r="F824" s="26" t="n"/>
      <c r="G824" s="1">
        <f>IF(NOT(ISNUMBER(B824)),"",YEAR(B824)*100+MONTH(B824))</f>
        <v/>
      </c>
    </row>
    <row r="825">
      <c r="A825" s="1" t="n"/>
      <c r="B825" s="27" t="n"/>
      <c r="C825" s="18" t="n"/>
      <c r="D825" s="19" t="n"/>
      <c r="E825" s="21" t="n"/>
      <c r="F825" s="26" t="n"/>
      <c r="G825" s="1">
        <f>IF(NOT(ISNUMBER(B825)),"",YEAR(B825)*100+MONTH(B825))</f>
        <v/>
      </c>
    </row>
    <row r="826">
      <c r="A826" s="1" t="n"/>
      <c r="B826" s="27" t="n"/>
      <c r="C826" s="18" t="n"/>
      <c r="D826" s="19" t="n"/>
      <c r="E826" s="21" t="n"/>
      <c r="F826" s="26" t="n"/>
      <c r="G826" s="1">
        <f>IF(NOT(ISNUMBER(B826)),"",YEAR(B826)*100+MONTH(B826))</f>
        <v/>
      </c>
    </row>
    <row r="827">
      <c r="A827" s="1" t="n"/>
      <c r="B827" s="27" t="n"/>
      <c r="C827" s="18" t="n"/>
      <c r="D827" s="19" t="n"/>
      <c r="E827" s="21" t="n"/>
      <c r="F827" s="26" t="n"/>
      <c r="G827" s="1">
        <f>IF(NOT(ISNUMBER(B827)),"",YEAR(B827)*100+MONTH(B827))</f>
        <v/>
      </c>
    </row>
    <row r="828">
      <c r="A828" s="1" t="n"/>
      <c r="B828" s="27" t="n"/>
      <c r="C828" s="18" t="n"/>
      <c r="D828" s="19" t="n"/>
      <c r="E828" s="21" t="n"/>
      <c r="F828" s="26" t="n"/>
      <c r="G828" s="1">
        <f>IF(NOT(ISNUMBER(B828)),"",YEAR(B828)*100+MONTH(B828))</f>
        <v/>
      </c>
    </row>
    <row r="829">
      <c r="A829" s="1" t="n"/>
      <c r="B829" s="27" t="n"/>
      <c r="C829" s="18" t="n"/>
      <c r="D829" s="19" t="n"/>
      <c r="E829" s="21" t="n"/>
      <c r="F829" s="26" t="n"/>
      <c r="G829" s="1">
        <f>IF(NOT(ISNUMBER(B829)),"",YEAR(B829)*100+MONTH(B829))</f>
        <v/>
      </c>
    </row>
    <row r="830">
      <c r="A830" s="1" t="n"/>
      <c r="B830" s="27" t="n"/>
      <c r="C830" s="18" t="n"/>
      <c r="D830" s="19" t="n"/>
      <c r="E830" s="21" t="n"/>
      <c r="F830" s="26" t="n"/>
      <c r="G830" s="1">
        <f>IF(NOT(ISNUMBER(B830)),"",YEAR(B830)*100+MONTH(B830))</f>
        <v/>
      </c>
    </row>
    <row r="831">
      <c r="A831" s="1" t="n"/>
      <c r="B831" s="27" t="n"/>
      <c r="C831" s="18" t="n"/>
      <c r="D831" s="19" t="n"/>
      <c r="E831" s="21" t="n"/>
      <c r="F831" s="26" t="n"/>
      <c r="G831" s="1">
        <f>IF(NOT(ISNUMBER(B831)),"",YEAR(B831)*100+MONTH(B831))</f>
        <v/>
      </c>
    </row>
    <row r="832">
      <c r="A832" s="1" t="n"/>
      <c r="B832" s="27" t="n"/>
      <c r="C832" s="18" t="n"/>
      <c r="D832" s="19" t="n"/>
      <c r="E832" s="21" t="n"/>
      <c r="F832" s="26" t="n"/>
      <c r="G832" s="1">
        <f>IF(NOT(ISNUMBER(B832)),"",YEAR(B832)*100+MONTH(B832))</f>
        <v/>
      </c>
    </row>
    <row r="833">
      <c r="A833" s="1" t="n"/>
      <c r="B833" s="27" t="n"/>
      <c r="C833" s="18" t="n"/>
      <c r="D833" s="19" t="n"/>
      <c r="E833" s="21" t="n"/>
      <c r="F833" s="26" t="n"/>
      <c r="G833" s="1">
        <f>IF(NOT(ISNUMBER(B833)),"",YEAR(B833)*100+MONTH(B833))</f>
        <v/>
      </c>
    </row>
    <row r="834">
      <c r="A834" s="1" t="n"/>
      <c r="B834" s="27" t="n"/>
      <c r="C834" s="18" t="n"/>
      <c r="D834" s="19" t="n"/>
      <c r="E834" s="21" t="n"/>
      <c r="F834" s="26" t="n"/>
      <c r="G834" s="1">
        <f>IF(NOT(ISNUMBER(B834)),"",YEAR(B834)*100+MONTH(B834))</f>
        <v/>
      </c>
    </row>
    <row r="835">
      <c r="A835" s="1" t="n"/>
      <c r="B835" s="27" t="n"/>
      <c r="C835" s="18" t="n"/>
      <c r="D835" s="19" t="n"/>
      <c r="E835" s="21" t="n"/>
      <c r="F835" s="26" t="n"/>
      <c r="G835" s="1">
        <f>IF(NOT(ISNUMBER(B835)),"",YEAR(B835)*100+MONTH(B835))</f>
        <v/>
      </c>
    </row>
    <row r="836">
      <c r="A836" s="1" t="n"/>
      <c r="B836" s="27" t="n"/>
      <c r="C836" s="18" t="n"/>
      <c r="D836" s="19" t="n"/>
      <c r="E836" s="21" t="n"/>
      <c r="F836" s="26" t="n"/>
      <c r="G836" s="1">
        <f>IF(NOT(ISNUMBER(B836)),"",YEAR(B836)*100+MONTH(B836))</f>
        <v/>
      </c>
    </row>
    <row r="837">
      <c r="A837" s="1" t="n"/>
      <c r="B837" s="27" t="n"/>
      <c r="C837" s="18" t="n"/>
      <c r="D837" s="19" t="n"/>
      <c r="E837" s="21" t="n"/>
      <c r="F837" s="26" t="n"/>
      <c r="G837" s="1">
        <f>IF(NOT(ISNUMBER(B837)),"",YEAR(B837)*100+MONTH(B837))</f>
        <v/>
      </c>
    </row>
    <row r="838">
      <c r="A838" s="1" t="n"/>
      <c r="B838" s="27" t="n"/>
      <c r="C838" s="18" t="n"/>
      <c r="D838" s="19" t="n"/>
      <c r="E838" s="21" t="n"/>
      <c r="F838" s="26" t="n"/>
      <c r="G838" s="1">
        <f>IF(NOT(ISNUMBER(B838)),"",YEAR(B838)*100+MONTH(B838))</f>
        <v/>
      </c>
    </row>
    <row r="839">
      <c r="A839" s="1" t="n"/>
      <c r="B839" s="27" t="n"/>
      <c r="C839" s="18" t="n"/>
      <c r="D839" s="19" t="n"/>
      <c r="E839" s="21" t="n"/>
      <c r="F839" s="26" t="n"/>
      <c r="G839" s="1">
        <f>IF(NOT(ISNUMBER(B839)),"",YEAR(B839)*100+MONTH(B839))</f>
        <v/>
      </c>
    </row>
    <row r="840">
      <c r="A840" s="1" t="n"/>
      <c r="B840" s="27" t="n"/>
      <c r="C840" s="18" t="n"/>
      <c r="D840" s="19" t="n"/>
      <c r="E840" s="21" t="n"/>
      <c r="F840" s="26" t="n"/>
      <c r="G840" s="1">
        <f>IF(NOT(ISNUMBER(B840)),"",YEAR(B840)*100+MONTH(B840))</f>
        <v/>
      </c>
    </row>
    <row r="841">
      <c r="A841" s="1" t="n"/>
      <c r="B841" s="27" t="n"/>
      <c r="C841" s="18" t="n"/>
      <c r="D841" s="19" t="n"/>
      <c r="E841" s="21" t="n"/>
      <c r="F841" s="26" t="n"/>
      <c r="G841" s="1">
        <f>IF(NOT(ISNUMBER(B841)),"",YEAR(B841)*100+MONTH(B841))</f>
        <v/>
      </c>
    </row>
    <row r="842">
      <c r="A842" s="1" t="n"/>
      <c r="B842" s="27" t="n"/>
      <c r="C842" s="18" t="n"/>
      <c r="D842" s="19" t="n"/>
      <c r="E842" s="21" t="n"/>
      <c r="F842" s="26" t="n"/>
      <c r="G842" s="1">
        <f>IF(NOT(ISNUMBER(B842)),"",YEAR(B842)*100+MONTH(B842))</f>
        <v/>
      </c>
    </row>
    <row r="843">
      <c r="A843" s="1" t="n"/>
      <c r="B843" s="27" t="n"/>
      <c r="C843" s="18" t="n"/>
      <c r="D843" s="19" t="n"/>
      <c r="E843" s="21" t="n"/>
      <c r="F843" s="26" t="n"/>
      <c r="G843" s="1">
        <f>IF(NOT(ISNUMBER(B843)),"",YEAR(B843)*100+MONTH(B843))</f>
        <v/>
      </c>
    </row>
    <row r="844">
      <c r="A844" s="1" t="n"/>
      <c r="B844" s="27" t="n"/>
      <c r="C844" s="18" t="n"/>
      <c r="D844" s="19" t="n"/>
      <c r="E844" s="21" t="n"/>
      <c r="F844" s="26" t="n"/>
      <c r="G844" s="1">
        <f>IF(NOT(ISNUMBER(B844)),"",YEAR(B844)*100+MONTH(B844))</f>
        <v/>
      </c>
    </row>
    <row r="845">
      <c r="A845" s="1" t="n"/>
      <c r="B845" s="27" t="n"/>
      <c r="C845" s="18" t="n"/>
      <c r="D845" s="19" t="n"/>
      <c r="E845" s="21" t="n"/>
      <c r="F845" s="26" t="n"/>
      <c r="G845" s="1">
        <f>IF(NOT(ISNUMBER(B845)),"",YEAR(B845)*100+MONTH(B845))</f>
        <v/>
      </c>
    </row>
    <row r="846">
      <c r="A846" s="1" t="n"/>
      <c r="B846" s="27" t="n"/>
      <c r="C846" s="18" t="n"/>
      <c r="D846" s="19" t="n"/>
      <c r="E846" s="21" t="n"/>
      <c r="F846" s="26" t="n"/>
      <c r="G846" s="1">
        <f>IF(NOT(ISNUMBER(B846)),"",YEAR(B846)*100+MONTH(B846))</f>
        <v/>
      </c>
    </row>
    <row r="847">
      <c r="A847" s="1" t="n"/>
      <c r="B847" s="27" t="n"/>
      <c r="C847" s="18" t="n"/>
      <c r="D847" s="19" t="n"/>
      <c r="E847" s="21" t="n"/>
      <c r="F847" s="26" t="n"/>
      <c r="G847" s="1">
        <f>IF(NOT(ISNUMBER(B847)),"",YEAR(B847)*100+MONTH(B847))</f>
        <v/>
      </c>
    </row>
    <row r="848">
      <c r="A848" s="1" t="n"/>
      <c r="B848" s="27" t="n"/>
      <c r="C848" s="18" t="n"/>
      <c r="D848" s="19" t="n"/>
      <c r="E848" s="21" t="n"/>
      <c r="F848" s="26" t="n"/>
      <c r="G848" s="1">
        <f>IF(NOT(ISNUMBER(B848)),"",YEAR(B848)*100+MONTH(B848))</f>
        <v/>
      </c>
    </row>
    <row r="849">
      <c r="A849" s="1" t="n"/>
      <c r="B849" s="27" t="n"/>
      <c r="C849" s="18" t="n"/>
      <c r="D849" s="19" t="n"/>
      <c r="E849" s="21" t="n"/>
      <c r="F849" s="26" t="n"/>
      <c r="G849" s="1">
        <f>IF(NOT(ISNUMBER(B849)),"",YEAR(B849)*100+MONTH(B849))</f>
        <v/>
      </c>
    </row>
    <row r="850">
      <c r="A850" s="1" t="n"/>
      <c r="B850" s="27" t="n"/>
      <c r="C850" s="18" t="n"/>
      <c r="D850" s="19" t="n"/>
      <c r="E850" s="21" t="n"/>
      <c r="F850" s="26" t="n"/>
      <c r="G850" s="1">
        <f>IF(NOT(ISNUMBER(B850)),"",YEAR(B850)*100+MONTH(B850))</f>
        <v/>
      </c>
    </row>
    <row r="851">
      <c r="A851" s="1" t="n"/>
      <c r="B851" s="27" t="n"/>
      <c r="C851" s="18" t="n"/>
      <c r="D851" s="19" t="n"/>
      <c r="E851" s="21" t="n"/>
      <c r="F851" s="26" t="n"/>
      <c r="G851" s="1">
        <f>IF(NOT(ISNUMBER(B851)),"",YEAR(B851)*100+MONTH(B851))</f>
        <v/>
      </c>
    </row>
    <row r="852">
      <c r="A852" s="1" t="n"/>
      <c r="B852" s="27" t="n"/>
      <c r="C852" s="18" t="n"/>
      <c r="D852" s="19" t="n"/>
      <c r="E852" s="21" t="n"/>
      <c r="F852" s="26" t="n"/>
      <c r="G852" s="1">
        <f>IF(NOT(ISNUMBER(B852)),"",YEAR(B852)*100+MONTH(B852))</f>
        <v/>
      </c>
    </row>
    <row r="853">
      <c r="A853" s="1" t="n"/>
      <c r="B853" s="27" t="n"/>
      <c r="C853" s="18" t="n"/>
      <c r="D853" s="19" t="n"/>
      <c r="E853" s="21" t="n"/>
      <c r="F853" s="26" t="n"/>
      <c r="G853" s="1">
        <f>IF(NOT(ISNUMBER(B853)),"",YEAR(B853)*100+MONTH(B853))</f>
        <v/>
      </c>
    </row>
    <row r="854">
      <c r="A854" s="1" t="n"/>
      <c r="B854" s="27" t="n"/>
      <c r="C854" s="18" t="n"/>
      <c r="D854" s="19" t="n"/>
      <c r="E854" s="21" t="n"/>
      <c r="F854" s="26" t="n"/>
      <c r="G854" s="1">
        <f>IF(NOT(ISNUMBER(B854)),"",YEAR(B854)*100+MONTH(B854))</f>
        <v/>
      </c>
    </row>
    <row r="855">
      <c r="A855" s="1" t="n"/>
      <c r="B855" s="27" t="n"/>
      <c r="C855" s="18" t="n"/>
      <c r="D855" s="19" t="n"/>
      <c r="E855" s="21" t="n"/>
      <c r="F855" s="26" t="n"/>
      <c r="G855" s="1">
        <f>IF(NOT(ISNUMBER(B855)),"",YEAR(B855)*100+MONTH(B855))</f>
        <v/>
      </c>
    </row>
    <row r="856">
      <c r="A856" s="1" t="n"/>
      <c r="B856" s="27" t="n"/>
      <c r="C856" s="18" t="n"/>
      <c r="D856" s="19" t="n"/>
      <c r="E856" s="21" t="n"/>
      <c r="F856" s="26" t="n"/>
      <c r="G856" s="1">
        <f>IF(NOT(ISNUMBER(B856)),"",YEAR(B856)*100+MONTH(B856))</f>
        <v/>
      </c>
    </row>
    <row r="857">
      <c r="A857" s="1" t="n"/>
      <c r="B857" s="27" t="n"/>
      <c r="C857" s="18" t="n"/>
      <c r="D857" s="19" t="n"/>
      <c r="E857" s="21" t="n"/>
      <c r="F857" s="26" t="n"/>
      <c r="G857" s="1">
        <f>IF(NOT(ISNUMBER(B857)),"",YEAR(B857)*100+MONTH(B857))</f>
        <v/>
      </c>
    </row>
    <row r="858">
      <c r="A858" s="1" t="n"/>
      <c r="B858" s="27" t="n"/>
      <c r="C858" s="18" t="n"/>
      <c r="D858" s="19" t="n"/>
      <c r="E858" s="21" t="n"/>
      <c r="F858" s="26" t="n"/>
      <c r="G858" s="1">
        <f>IF(NOT(ISNUMBER(B858)),"",YEAR(B858)*100+MONTH(B858))</f>
        <v/>
      </c>
    </row>
    <row r="859">
      <c r="A859" s="1" t="n"/>
      <c r="B859" s="27" t="n"/>
      <c r="C859" s="18" t="n"/>
      <c r="D859" s="19" t="n"/>
      <c r="E859" s="21" t="n"/>
      <c r="F859" s="26" t="n"/>
      <c r="G859" s="1">
        <f>IF(NOT(ISNUMBER(B859)),"",YEAR(B859)*100+MONTH(B859))</f>
        <v/>
      </c>
    </row>
    <row r="860">
      <c r="A860" s="1" t="n"/>
      <c r="B860" s="27" t="n"/>
      <c r="C860" s="18" t="n"/>
      <c r="D860" s="19" t="n"/>
      <c r="E860" s="21" t="n"/>
      <c r="F860" s="26" t="n"/>
      <c r="G860" s="1">
        <f>IF(NOT(ISNUMBER(B860)),"",YEAR(B860)*100+MONTH(B860))</f>
        <v/>
      </c>
    </row>
    <row r="861">
      <c r="A861" s="1" t="n"/>
      <c r="B861" s="27" t="n"/>
      <c r="C861" s="18" t="n"/>
      <c r="D861" s="19" t="n"/>
      <c r="E861" s="21" t="n"/>
      <c r="F861" s="26" t="n"/>
      <c r="G861" s="1">
        <f>IF(NOT(ISNUMBER(B861)),"",YEAR(B861)*100+MONTH(B861))</f>
        <v/>
      </c>
    </row>
    <row r="862">
      <c r="A862" s="1" t="n"/>
      <c r="B862" s="27" t="n"/>
      <c r="C862" s="18" t="n"/>
      <c r="D862" s="19" t="n"/>
      <c r="E862" s="21" t="n"/>
      <c r="F862" s="26" t="n"/>
      <c r="G862" s="1">
        <f>IF(NOT(ISNUMBER(B862)),"",YEAR(B862)*100+MONTH(B862))</f>
        <v/>
      </c>
    </row>
    <row r="863">
      <c r="A863" s="1" t="n"/>
      <c r="B863" s="27" t="n"/>
      <c r="C863" s="18" t="n"/>
      <c r="D863" s="19" t="n"/>
      <c r="E863" s="21" t="n"/>
      <c r="F863" s="26" t="n"/>
      <c r="G863" s="1">
        <f>IF(NOT(ISNUMBER(B863)),"",YEAR(B863)*100+MONTH(B863))</f>
        <v/>
      </c>
    </row>
    <row r="864">
      <c r="A864" s="1" t="n"/>
      <c r="B864" s="27" t="n"/>
      <c r="C864" s="18" t="n"/>
      <c r="D864" s="19" t="n"/>
      <c r="E864" s="21" t="n"/>
      <c r="F864" s="26" t="n"/>
      <c r="G864" s="1">
        <f>IF(NOT(ISNUMBER(B864)),"",YEAR(B864)*100+MONTH(B864))</f>
        <v/>
      </c>
    </row>
    <row r="865">
      <c r="A865" s="1" t="n"/>
      <c r="B865" s="27" t="n"/>
      <c r="C865" s="18" t="n"/>
      <c r="D865" s="19" t="n"/>
      <c r="E865" s="21" t="n"/>
      <c r="F865" s="26" t="n"/>
      <c r="G865" s="1">
        <f>IF(NOT(ISNUMBER(B865)),"",YEAR(B865)*100+MONTH(B865))</f>
        <v/>
      </c>
    </row>
    <row r="866">
      <c r="A866" s="1" t="n"/>
      <c r="B866" s="27" t="n"/>
      <c r="C866" s="18" t="n"/>
      <c r="D866" s="19" t="n"/>
      <c r="E866" s="21" t="n"/>
      <c r="F866" s="26" t="n"/>
      <c r="G866" s="1">
        <f>IF(NOT(ISNUMBER(B866)),"",YEAR(B866)*100+MONTH(B866))</f>
        <v/>
      </c>
    </row>
    <row r="867">
      <c r="A867" s="1" t="n"/>
      <c r="B867" s="27" t="n"/>
      <c r="C867" s="18" t="n"/>
      <c r="D867" s="19" t="n"/>
      <c r="E867" s="21" t="n"/>
      <c r="F867" s="26" t="n"/>
      <c r="G867" s="1">
        <f>IF(NOT(ISNUMBER(B867)),"",YEAR(B867)*100+MONTH(B867))</f>
        <v/>
      </c>
    </row>
    <row r="868">
      <c r="A868" s="1" t="n"/>
      <c r="B868" s="27" t="n"/>
      <c r="C868" s="18" t="n"/>
      <c r="D868" s="19" t="n"/>
      <c r="E868" s="21" t="n"/>
      <c r="F868" s="26" t="n"/>
      <c r="G868" s="1">
        <f>IF(NOT(ISNUMBER(B868)),"",YEAR(B868)*100+MONTH(B868))</f>
        <v/>
      </c>
    </row>
    <row r="869">
      <c r="A869" s="1" t="n"/>
      <c r="B869" s="27" t="n"/>
      <c r="C869" s="18" t="n"/>
      <c r="D869" s="19" t="n"/>
      <c r="E869" s="21" t="n"/>
      <c r="F869" s="26" t="n"/>
      <c r="G869" s="1">
        <f>IF(NOT(ISNUMBER(B869)),"",YEAR(B869)*100+MONTH(B869))</f>
        <v/>
      </c>
    </row>
    <row r="870">
      <c r="A870" s="1" t="n"/>
      <c r="B870" s="27" t="n"/>
      <c r="C870" s="18" t="n"/>
      <c r="D870" s="19" t="n"/>
      <c r="E870" s="21" t="n"/>
      <c r="F870" s="26" t="n"/>
      <c r="G870" s="1">
        <f>IF(NOT(ISNUMBER(B870)),"",YEAR(B870)*100+MONTH(B870))</f>
        <v/>
      </c>
    </row>
    <row r="871">
      <c r="A871" s="1" t="n"/>
      <c r="B871" s="27" t="n"/>
      <c r="C871" s="18" t="n"/>
      <c r="D871" s="19" t="n"/>
      <c r="E871" s="21" t="n"/>
      <c r="F871" s="26" t="n"/>
      <c r="G871" s="1">
        <f>IF(NOT(ISNUMBER(B871)),"",YEAR(B871)*100+MONTH(B871))</f>
        <v/>
      </c>
    </row>
    <row r="872">
      <c r="A872" s="1" t="n"/>
      <c r="B872" s="27" t="n"/>
      <c r="C872" s="18" t="n"/>
      <c r="D872" s="19" t="n"/>
      <c r="E872" s="21" t="n"/>
      <c r="F872" s="26" t="n"/>
      <c r="G872" s="1">
        <f>IF(NOT(ISNUMBER(B872)),"",YEAR(B872)*100+MONTH(B872))</f>
        <v/>
      </c>
    </row>
    <row r="873">
      <c r="A873" s="1" t="n"/>
      <c r="B873" s="27" t="n"/>
      <c r="C873" s="18" t="n"/>
      <c r="D873" s="19" t="n"/>
      <c r="E873" s="21" t="n"/>
      <c r="F873" s="26" t="n"/>
      <c r="G873" s="1">
        <f>IF(NOT(ISNUMBER(B873)),"",YEAR(B873)*100+MONTH(B873))</f>
        <v/>
      </c>
    </row>
    <row r="874">
      <c r="A874" s="1" t="n"/>
      <c r="B874" s="27" t="n"/>
      <c r="C874" s="18" t="n"/>
      <c r="D874" s="19" t="n"/>
      <c r="E874" s="21" t="n"/>
      <c r="F874" s="26" t="n"/>
      <c r="G874" s="1">
        <f>IF(NOT(ISNUMBER(B874)),"",YEAR(B874)*100+MONTH(B874))</f>
        <v/>
      </c>
    </row>
    <row r="875">
      <c r="A875" s="1" t="n"/>
      <c r="B875" s="27" t="n"/>
      <c r="C875" s="18" t="n"/>
      <c r="D875" s="19" t="n"/>
      <c r="E875" s="21" t="n"/>
      <c r="F875" s="26" t="n"/>
      <c r="G875" s="1">
        <f>IF(NOT(ISNUMBER(B875)),"",YEAR(B875)*100+MONTH(B875))</f>
        <v/>
      </c>
    </row>
    <row r="876">
      <c r="A876" s="1" t="n"/>
      <c r="B876" s="27" t="n"/>
      <c r="C876" s="18" t="n"/>
      <c r="D876" s="19" t="n"/>
      <c r="E876" s="21" t="n"/>
      <c r="F876" s="26" t="n"/>
      <c r="G876" s="1">
        <f>IF(NOT(ISNUMBER(B876)),"",YEAR(B876)*100+MONTH(B876))</f>
        <v/>
      </c>
    </row>
    <row r="877">
      <c r="A877" s="1" t="n"/>
      <c r="B877" s="27" t="n"/>
      <c r="C877" s="18" t="n"/>
      <c r="D877" s="19" t="n"/>
      <c r="E877" s="21" t="n"/>
      <c r="F877" s="26" t="n"/>
      <c r="G877" s="1">
        <f>IF(NOT(ISNUMBER(B877)),"",YEAR(B877)*100+MONTH(B877))</f>
        <v/>
      </c>
    </row>
    <row r="878">
      <c r="A878" s="1" t="n"/>
      <c r="B878" s="27" t="n"/>
      <c r="C878" s="18" t="n"/>
      <c r="D878" s="19" t="n"/>
      <c r="E878" s="21" t="n"/>
      <c r="F878" s="26" t="n"/>
      <c r="G878" s="1">
        <f>IF(NOT(ISNUMBER(B878)),"",YEAR(B878)*100+MONTH(B878))</f>
        <v/>
      </c>
    </row>
    <row r="879">
      <c r="A879" s="1" t="n"/>
      <c r="B879" s="27" t="n"/>
      <c r="C879" s="18" t="n"/>
      <c r="D879" s="19" t="n"/>
      <c r="E879" s="21" t="n"/>
      <c r="F879" s="26" t="n"/>
      <c r="G879" s="1">
        <f>IF(NOT(ISNUMBER(B879)),"",YEAR(B879)*100+MONTH(B879))</f>
        <v/>
      </c>
    </row>
    <row r="880">
      <c r="A880" s="1" t="n"/>
      <c r="B880" s="27" t="n"/>
      <c r="C880" s="18" t="n"/>
      <c r="D880" s="19" t="n"/>
      <c r="E880" s="21" t="n"/>
      <c r="F880" s="26" t="n"/>
      <c r="G880" s="1">
        <f>IF(NOT(ISNUMBER(B880)),"",YEAR(B880)*100+MONTH(B880))</f>
        <v/>
      </c>
    </row>
    <row r="881">
      <c r="A881" s="1" t="n"/>
      <c r="B881" s="27" t="n"/>
      <c r="C881" s="18" t="n"/>
      <c r="D881" s="19" t="n"/>
      <c r="E881" s="21" t="n"/>
      <c r="F881" s="26" t="n"/>
      <c r="G881" s="1">
        <f>IF(NOT(ISNUMBER(B881)),"",YEAR(B881)*100+MONTH(B881))</f>
        <v/>
      </c>
    </row>
    <row r="882">
      <c r="A882" s="1" t="n"/>
      <c r="B882" s="27" t="n"/>
      <c r="C882" s="18" t="n"/>
      <c r="D882" s="19" t="n"/>
      <c r="E882" s="21" t="n"/>
      <c r="F882" s="26" t="n"/>
      <c r="G882" s="1">
        <f>IF(NOT(ISNUMBER(B882)),"",YEAR(B882)*100+MONTH(B882))</f>
        <v/>
      </c>
    </row>
    <row r="883">
      <c r="A883" s="1" t="n"/>
      <c r="B883" s="27" t="n"/>
      <c r="C883" s="18" t="n"/>
      <c r="D883" s="19" t="n"/>
      <c r="E883" s="21" t="n"/>
      <c r="F883" s="26" t="n"/>
      <c r="G883" s="1">
        <f>IF(NOT(ISNUMBER(B883)),"",YEAR(B883)*100+MONTH(B883))</f>
        <v/>
      </c>
    </row>
    <row r="884">
      <c r="A884" s="1" t="n"/>
      <c r="B884" s="27" t="n"/>
      <c r="C884" s="18" t="n"/>
      <c r="D884" s="19" t="n"/>
      <c r="E884" s="21" t="n"/>
      <c r="F884" s="26" t="n"/>
      <c r="G884" s="1">
        <f>IF(NOT(ISNUMBER(B884)),"",YEAR(B884)*100+MONTH(B884))</f>
        <v/>
      </c>
    </row>
    <row r="885">
      <c r="A885" s="1" t="n"/>
      <c r="B885" s="27" t="n"/>
      <c r="C885" s="18" t="n"/>
      <c r="D885" s="19" t="n"/>
      <c r="E885" s="21" t="n"/>
      <c r="F885" s="26" t="n"/>
      <c r="G885" s="1">
        <f>IF(NOT(ISNUMBER(B885)),"",YEAR(B885)*100+MONTH(B885))</f>
        <v/>
      </c>
    </row>
    <row r="886">
      <c r="A886" s="1" t="n"/>
      <c r="B886" s="27" t="n"/>
      <c r="C886" s="18" t="n"/>
      <c r="D886" s="19" t="n"/>
      <c r="E886" s="21" t="n"/>
      <c r="F886" s="26" t="n"/>
      <c r="G886" s="1">
        <f>IF(NOT(ISNUMBER(B886)),"",YEAR(B886)*100+MONTH(B886))</f>
        <v/>
      </c>
    </row>
    <row r="887">
      <c r="A887" s="1" t="n"/>
      <c r="B887" s="27" t="n"/>
      <c r="C887" s="18" t="n"/>
      <c r="D887" s="19" t="n"/>
      <c r="E887" s="21" t="n"/>
      <c r="F887" s="26" t="n"/>
      <c r="G887" s="1">
        <f>IF(NOT(ISNUMBER(B887)),"",YEAR(B887)*100+MONTH(B887))</f>
        <v/>
      </c>
    </row>
    <row r="888">
      <c r="A888" s="1" t="n"/>
      <c r="B888" s="27" t="n"/>
      <c r="C888" s="18" t="n"/>
      <c r="D888" s="19" t="n"/>
      <c r="E888" s="21" t="n"/>
      <c r="F888" s="26" t="n"/>
      <c r="G888" s="1">
        <f>IF(NOT(ISNUMBER(B888)),"",YEAR(B888)*100+MONTH(B888))</f>
        <v/>
      </c>
    </row>
    <row r="889">
      <c r="A889" s="1" t="n"/>
      <c r="B889" s="27" t="n"/>
      <c r="C889" s="18" t="n"/>
      <c r="D889" s="19" t="n"/>
      <c r="E889" s="21" t="n"/>
      <c r="F889" s="26" t="n"/>
      <c r="G889" s="1">
        <f>IF(NOT(ISNUMBER(B889)),"",YEAR(B889)*100+MONTH(B889))</f>
        <v/>
      </c>
    </row>
    <row r="890">
      <c r="A890" s="1" t="n"/>
      <c r="B890" s="27" t="n"/>
      <c r="C890" s="18" t="n"/>
      <c r="D890" s="19" t="n"/>
      <c r="E890" s="21" t="n"/>
      <c r="F890" s="26" t="n"/>
      <c r="G890" s="1">
        <f>IF(NOT(ISNUMBER(B890)),"",YEAR(B890)*100+MONTH(B890))</f>
        <v/>
      </c>
    </row>
    <row r="891">
      <c r="A891" s="1" t="n"/>
      <c r="B891" s="27" t="n"/>
      <c r="C891" s="18" t="n"/>
      <c r="D891" s="19" t="n"/>
      <c r="E891" s="21" t="n"/>
      <c r="F891" s="26" t="n"/>
      <c r="G891" s="1">
        <f>IF(NOT(ISNUMBER(B891)),"",YEAR(B891)*100+MONTH(B891))</f>
        <v/>
      </c>
    </row>
    <row r="892">
      <c r="A892" s="1" t="n"/>
      <c r="B892" s="27" t="n"/>
      <c r="C892" s="18" t="n"/>
      <c r="D892" s="19" t="n"/>
      <c r="E892" s="21" t="n"/>
      <c r="F892" s="26" t="n"/>
      <c r="G892" s="1">
        <f>IF(NOT(ISNUMBER(B892)),"",YEAR(B892)*100+MONTH(B892))</f>
        <v/>
      </c>
    </row>
    <row r="893">
      <c r="A893" s="1" t="n"/>
      <c r="B893" s="27" t="n"/>
      <c r="C893" s="18" t="n"/>
      <c r="D893" s="19" t="n"/>
      <c r="E893" s="21" t="n"/>
      <c r="F893" s="26" t="n"/>
      <c r="G893" s="1">
        <f>IF(NOT(ISNUMBER(B893)),"",YEAR(B893)*100+MONTH(B893))</f>
        <v/>
      </c>
    </row>
    <row r="894">
      <c r="A894" s="1" t="n"/>
      <c r="B894" s="27" t="n"/>
      <c r="C894" s="18" t="n"/>
      <c r="D894" s="19" t="n"/>
      <c r="E894" s="21" t="n"/>
      <c r="F894" s="26" t="n"/>
      <c r="G894" s="1">
        <f>IF(NOT(ISNUMBER(B894)),"",YEAR(B894)*100+MONTH(B894))</f>
        <v/>
      </c>
    </row>
    <row r="895">
      <c r="A895" s="1" t="n"/>
      <c r="B895" s="27" t="n"/>
      <c r="C895" s="18" t="n"/>
      <c r="D895" s="19" t="n"/>
      <c r="E895" s="21" t="n"/>
      <c r="F895" s="26" t="n"/>
      <c r="G895" s="1">
        <f>IF(NOT(ISNUMBER(B895)),"",YEAR(B895)*100+MONTH(B895))</f>
        <v/>
      </c>
    </row>
    <row r="896">
      <c r="A896" s="1" t="n"/>
      <c r="B896" s="27" t="n"/>
      <c r="C896" s="18" t="n"/>
      <c r="D896" s="19" t="n"/>
      <c r="E896" s="21" t="n"/>
      <c r="F896" s="26" t="n"/>
      <c r="G896" s="1">
        <f>IF(NOT(ISNUMBER(B896)),"",YEAR(B896)*100+MONTH(B896))</f>
        <v/>
      </c>
    </row>
    <row r="897">
      <c r="A897" s="1" t="n"/>
      <c r="B897" s="27" t="n"/>
      <c r="C897" s="18" t="n"/>
      <c r="D897" s="19" t="n"/>
      <c r="E897" s="21" t="n"/>
      <c r="F897" s="26" t="n"/>
      <c r="G897" s="1">
        <f>IF(NOT(ISNUMBER(B897)),"",YEAR(B897)*100+MONTH(B897))</f>
        <v/>
      </c>
    </row>
    <row r="898">
      <c r="A898" s="1" t="n"/>
      <c r="B898" s="27" t="n"/>
      <c r="C898" s="18" t="n"/>
      <c r="D898" s="19" t="n"/>
      <c r="E898" s="21" t="n"/>
      <c r="F898" s="26" t="n"/>
      <c r="G898" s="1">
        <f>IF(NOT(ISNUMBER(B898)),"",YEAR(B898)*100+MONTH(B898))</f>
        <v/>
      </c>
    </row>
    <row r="899">
      <c r="A899" s="1" t="n"/>
      <c r="B899" s="27" t="n"/>
      <c r="C899" s="18" t="n"/>
      <c r="D899" s="19" t="n"/>
      <c r="E899" s="21" t="n"/>
      <c r="F899" s="26" t="n"/>
      <c r="G899" s="1">
        <f>IF(NOT(ISNUMBER(B899)),"",YEAR(B899)*100+MONTH(B899))</f>
        <v/>
      </c>
    </row>
    <row r="900">
      <c r="A900" s="1" t="n"/>
      <c r="B900" s="27" t="n"/>
      <c r="C900" s="18" t="n"/>
      <c r="D900" s="19" t="n"/>
      <c r="E900" s="21" t="n"/>
      <c r="F900" s="26" t="n"/>
      <c r="G900" s="1">
        <f>IF(NOT(ISNUMBER(B900)),"",YEAR(B900)*100+MONTH(B900))</f>
        <v/>
      </c>
    </row>
    <row r="901">
      <c r="A901" s="1" t="n"/>
      <c r="B901" s="27" t="n"/>
      <c r="C901" s="18" t="n"/>
      <c r="D901" s="19" t="n"/>
      <c r="E901" s="21" t="n"/>
      <c r="F901" s="26" t="n"/>
      <c r="G901" s="1">
        <f>IF(NOT(ISNUMBER(B901)),"",YEAR(B901)*100+MONTH(B901))</f>
        <v/>
      </c>
    </row>
    <row r="902">
      <c r="A902" s="1" t="n"/>
      <c r="B902" s="27" t="n"/>
      <c r="C902" s="18" t="n"/>
      <c r="D902" s="19" t="n"/>
      <c r="E902" s="21" t="n"/>
      <c r="F902" s="26" t="n"/>
      <c r="G902" s="1">
        <f>IF(NOT(ISNUMBER(B902)),"",YEAR(B902)*100+MONTH(B902))</f>
        <v/>
      </c>
    </row>
    <row r="903">
      <c r="A903" s="1" t="n"/>
      <c r="B903" s="27" t="n"/>
      <c r="C903" s="18" t="n"/>
      <c r="D903" s="19" t="n"/>
      <c r="E903" s="21" t="n"/>
      <c r="F903" s="26" t="n"/>
      <c r="G903" s="1">
        <f>IF(NOT(ISNUMBER(B903)),"",YEAR(B903)*100+MONTH(B903))</f>
        <v/>
      </c>
    </row>
    <row r="904">
      <c r="A904" s="1" t="n"/>
      <c r="B904" s="27" t="n"/>
      <c r="C904" s="18" t="n"/>
      <c r="D904" s="19" t="n"/>
      <c r="E904" s="21" t="n"/>
      <c r="F904" s="26" t="n"/>
      <c r="G904" s="1">
        <f>IF(NOT(ISNUMBER(B904)),"",YEAR(B904)*100+MONTH(B904))</f>
        <v/>
      </c>
    </row>
    <row r="905">
      <c r="A905" s="1" t="n"/>
      <c r="B905" s="27" t="n"/>
      <c r="C905" s="18" t="n"/>
      <c r="D905" s="19" t="n"/>
      <c r="E905" s="21" t="n"/>
      <c r="F905" s="26" t="n"/>
      <c r="G905" s="1">
        <f>IF(NOT(ISNUMBER(B905)),"",YEAR(B905)*100+MONTH(B905))</f>
        <v/>
      </c>
    </row>
    <row r="906">
      <c r="A906" s="1" t="n"/>
      <c r="B906" s="27" t="n"/>
      <c r="C906" s="18" t="n"/>
      <c r="D906" s="19" t="n"/>
      <c r="E906" s="21" t="n"/>
      <c r="F906" s="26" t="n"/>
      <c r="G906" s="1">
        <f>IF(NOT(ISNUMBER(B906)),"",YEAR(B906)*100+MONTH(B906))</f>
        <v/>
      </c>
    </row>
    <row r="907">
      <c r="A907" s="1" t="n"/>
      <c r="B907" s="27" t="n"/>
      <c r="C907" s="18" t="n"/>
      <c r="D907" s="19" t="n"/>
      <c r="E907" s="21" t="n"/>
      <c r="F907" s="26" t="n"/>
      <c r="G907" s="1">
        <f>IF(NOT(ISNUMBER(B907)),"",YEAR(B907)*100+MONTH(B907))</f>
        <v/>
      </c>
    </row>
    <row r="908">
      <c r="A908" s="1" t="n"/>
      <c r="B908" s="27" t="n"/>
      <c r="C908" s="18" t="n"/>
      <c r="D908" s="19" t="n"/>
      <c r="E908" s="21" t="n"/>
      <c r="F908" s="26" t="n"/>
      <c r="G908" s="1">
        <f>IF(NOT(ISNUMBER(B908)),"",YEAR(B908)*100+MONTH(B908))</f>
        <v/>
      </c>
    </row>
    <row r="909">
      <c r="A909" s="1" t="n"/>
      <c r="B909" s="27" t="n"/>
      <c r="C909" s="18" t="n"/>
      <c r="D909" s="19" t="n"/>
      <c r="E909" s="21" t="n"/>
      <c r="F909" s="26" t="n"/>
      <c r="G909" s="1">
        <f>IF(NOT(ISNUMBER(B909)),"",YEAR(B909)*100+MONTH(B909))</f>
        <v/>
      </c>
    </row>
    <row r="910">
      <c r="A910" s="1" t="n"/>
      <c r="B910" s="27" t="n"/>
      <c r="C910" s="18" t="n"/>
      <c r="D910" s="19" t="n"/>
      <c r="E910" s="21" t="n"/>
      <c r="F910" s="26" t="n"/>
      <c r="G910" s="1">
        <f>IF(NOT(ISNUMBER(B910)),"",YEAR(B910)*100+MONTH(B910))</f>
        <v/>
      </c>
    </row>
    <row r="911">
      <c r="A911" s="1" t="n"/>
      <c r="B911" s="27" t="n"/>
      <c r="C911" s="18" t="n"/>
      <c r="D911" s="19" t="n"/>
      <c r="E911" s="21" t="n"/>
      <c r="F911" s="26" t="n"/>
      <c r="G911" s="1">
        <f>IF(NOT(ISNUMBER(B911)),"",YEAR(B911)*100+MONTH(B911))</f>
        <v/>
      </c>
    </row>
    <row r="912">
      <c r="A912" s="1" t="n"/>
      <c r="B912" s="27" t="n"/>
      <c r="C912" s="18" t="n"/>
      <c r="D912" s="19" t="n"/>
      <c r="E912" s="21" t="n"/>
      <c r="F912" s="26" t="n"/>
      <c r="G912" s="1">
        <f>IF(NOT(ISNUMBER(B912)),"",YEAR(B912)*100+MONTH(B912))</f>
        <v/>
      </c>
    </row>
    <row r="913">
      <c r="A913" s="1" t="n"/>
      <c r="B913" s="27" t="n"/>
      <c r="C913" s="18" t="n"/>
      <c r="D913" s="19" t="n"/>
      <c r="E913" s="21" t="n"/>
      <c r="F913" s="26" t="n"/>
      <c r="G913" s="1">
        <f>IF(NOT(ISNUMBER(B913)),"",YEAR(B913)*100+MONTH(B913))</f>
        <v/>
      </c>
    </row>
    <row r="914">
      <c r="A914" s="1" t="n"/>
      <c r="B914" s="27" t="n"/>
      <c r="C914" s="18" t="n"/>
      <c r="D914" s="19" t="n"/>
      <c r="E914" s="21" t="n"/>
      <c r="F914" s="26" t="n"/>
      <c r="G914" s="1">
        <f>IF(NOT(ISNUMBER(B914)),"",YEAR(B914)*100+MONTH(B914))</f>
        <v/>
      </c>
    </row>
    <row r="915">
      <c r="A915" s="1" t="n"/>
      <c r="B915" s="27" t="n"/>
      <c r="C915" s="18" t="n"/>
      <c r="D915" s="19" t="n"/>
      <c r="E915" s="21" t="n"/>
      <c r="F915" s="26" t="n"/>
      <c r="G915" s="1">
        <f>IF(NOT(ISNUMBER(B915)),"",YEAR(B915)*100+MONTH(B915))</f>
        <v/>
      </c>
    </row>
    <row r="916">
      <c r="A916" s="1" t="n"/>
      <c r="B916" s="27" t="n"/>
      <c r="C916" s="18" t="n"/>
      <c r="D916" s="19" t="n"/>
      <c r="E916" s="21" t="n"/>
      <c r="F916" s="26" t="n"/>
      <c r="G916" s="1">
        <f>IF(NOT(ISNUMBER(B916)),"",YEAR(B916)*100+MONTH(B916))</f>
        <v/>
      </c>
    </row>
    <row r="917">
      <c r="A917" s="1" t="n"/>
      <c r="B917" s="27" t="n"/>
      <c r="C917" s="18" t="n"/>
      <c r="D917" s="19" t="n"/>
      <c r="E917" s="21" t="n"/>
      <c r="F917" s="26" t="n"/>
      <c r="G917" s="1">
        <f>IF(NOT(ISNUMBER(B917)),"",YEAR(B917)*100+MONTH(B917))</f>
        <v/>
      </c>
    </row>
    <row r="918">
      <c r="A918" s="1" t="n"/>
      <c r="B918" s="27" t="n"/>
      <c r="C918" s="18" t="n"/>
      <c r="D918" s="19" t="n"/>
      <c r="E918" s="21" t="n"/>
      <c r="F918" s="26" t="n"/>
      <c r="G918" s="1">
        <f>IF(NOT(ISNUMBER(B918)),"",YEAR(B918)*100+MONTH(B918))</f>
        <v/>
      </c>
    </row>
    <row r="919">
      <c r="A919" s="1" t="n"/>
      <c r="B919" s="27" t="n"/>
      <c r="C919" s="18" t="n"/>
      <c r="D919" s="19" t="n"/>
      <c r="E919" s="21" t="n"/>
      <c r="F919" s="26" t="n"/>
      <c r="G919" s="1">
        <f>IF(NOT(ISNUMBER(B919)),"",YEAR(B919)*100+MONTH(B919))</f>
        <v/>
      </c>
    </row>
    <row r="920">
      <c r="A920" s="1" t="n"/>
      <c r="B920" s="27" t="n"/>
      <c r="C920" s="18" t="n"/>
      <c r="D920" s="19" t="n"/>
      <c r="E920" s="21" t="n"/>
      <c r="F920" s="26" t="n"/>
      <c r="G920" s="1">
        <f>IF(NOT(ISNUMBER(B920)),"",YEAR(B920)*100+MONTH(B920))</f>
        <v/>
      </c>
    </row>
    <row r="921">
      <c r="A921" s="1" t="n"/>
      <c r="B921" s="27" t="n"/>
      <c r="C921" s="18" t="n"/>
      <c r="D921" s="19" t="n"/>
      <c r="E921" s="21" t="n"/>
      <c r="F921" s="26" t="n"/>
      <c r="G921" s="1">
        <f>IF(NOT(ISNUMBER(B921)),"",YEAR(B921)*100+MONTH(B921))</f>
        <v/>
      </c>
    </row>
    <row r="922">
      <c r="A922" s="1" t="n"/>
      <c r="B922" s="27" t="n"/>
      <c r="C922" s="18" t="n"/>
      <c r="D922" s="19" t="n"/>
      <c r="E922" s="21" t="n"/>
      <c r="F922" s="26" t="n"/>
      <c r="G922" s="1">
        <f>IF(NOT(ISNUMBER(B922)),"",YEAR(B922)*100+MONTH(B922))</f>
        <v/>
      </c>
    </row>
    <row r="923">
      <c r="A923" s="1" t="n"/>
      <c r="B923" s="27" t="n"/>
      <c r="C923" s="18" t="n"/>
      <c r="D923" s="19" t="n"/>
      <c r="E923" s="21" t="n"/>
      <c r="F923" s="26" t="n"/>
      <c r="G923" s="1">
        <f>IF(NOT(ISNUMBER(B923)),"",YEAR(B923)*100+MONTH(B923))</f>
        <v/>
      </c>
    </row>
    <row r="924">
      <c r="A924" s="1" t="n"/>
      <c r="B924" s="27" t="n"/>
      <c r="C924" s="18" t="n"/>
      <c r="D924" s="19" t="n"/>
      <c r="E924" s="21" t="n"/>
      <c r="F924" s="26" t="n"/>
      <c r="G924" s="1">
        <f>IF(NOT(ISNUMBER(B924)),"",YEAR(B924)*100+MONTH(B924))</f>
        <v/>
      </c>
    </row>
    <row r="925">
      <c r="A925" s="1" t="n"/>
      <c r="B925" s="27" t="n"/>
      <c r="C925" s="18" t="n"/>
      <c r="D925" s="19" t="n"/>
      <c r="E925" s="21" t="n"/>
      <c r="F925" s="26" t="n"/>
      <c r="G925" s="1">
        <f>IF(NOT(ISNUMBER(B925)),"",YEAR(B925)*100+MONTH(B925))</f>
        <v/>
      </c>
    </row>
    <row r="926">
      <c r="A926" s="1" t="n"/>
      <c r="B926" s="27" t="n"/>
      <c r="C926" s="18" t="n"/>
      <c r="D926" s="19" t="n"/>
      <c r="E926" s="21" t="n"/>
      <c r="F926" s="26" t="n"/>
      <c r="G926" s="1">
        <f>IF(NOT(ISNUMBER(B926)),"",YEAR(B926)*100+MONTH(B926))</f>
        <v/>
      </c>
    </row>
    <row r="927">
      <c r="A927" s="1" t="n"/>
      <c r="B927" s="27" t="n"/>
      <c r="C927" s="18" t="n"/>
      <c r="D927" s="19" t="n"/>
      <c r="E927" s="21" t="n"/>
      <c r="F927" s="26" t="n"/>
      <c r="G927" s="1">
        <f>IF(NOT(ISNUMBER(B927)),"",YEAR(B927)*100+MONTH(B927))</f>
        <v/>
      </c>
    </row>
    <row r="928">
      <c r="A928" s="1" t="n"/>
      <c r="B928" s="27" t="n"/>
      <c r="C928" s="18" t="n"/>
      <c r="D928" s="19" t="n"/>
      <c r="E928" s="21" t="n"/>
      <c r="F928" s="26" t="n"/>
      <c r="G928" s="1">
        <f>IF(NOT(ISNUMBER(B928)),"",YEAR(B928)*100+MONTH(B928))</f>
        <v/>
      </c>
    </row>
    <row r="929">
      <c r="A929" s="1" t="n"/>
      <c r="B929" s="27" t="n"/>
      <c r="C929" s="18" t="n"/>
      <c r="D929" s="19" t="n"/>
      <c r="E929" s="21" t="n"/>
      <c r="F929" s="26" t="n"/>
      <c r="G929" s="1">
        <f>IF(NOT(ISNUMBER(B929)),"",YEAR(B929)*100+MONTH(B929))</f>
        <v/>
      </c>
    </row>
    <row r="930">
      <c r="A930" s="1" t="n"/>
      <c r="B930" s="27" t="n"/>
      <c r="C930" s="18" t="n"/>
      <c r="D930" s="19" t="n"/>
      <c r="E930" s="21" t="n"/>
      <c r="F930" s="26" t="n"/>
      <c r="G930" s="1">
        <f>IF(NOT(ISNUMBER(B930)),"",YEAR(B930)*100+MONTH(B930))</f>
        <v/>
      </c>
    </row>
    <row r="931">
      <c r="A931" s="1" t="n"/>
      <c r="B931" s="27" t="n"/>
      <c r="C931" s="18" t="n"/>
      <c r="D931" s="19" t="n"/>
      <c r="E931" s="21" t="n"/>
      <c r="F931" s="26" t="n"/>
      <c r="G931" s="1">
        <f>IF(NOT(ISNUMBER(B931)),"",YEAR(B931)*100+MONTH(B931))</f>
        <v/>
      </c>
    </row>
    <row r="932">
      <c r="A932" s="1" t="n"/>
      <c r="B932" s="27" t="n"/>
      <c r="C932" s="18" t="n"/>
      <c r="D932" s="19" t="n"/>
      <c r="E932" s="21" t="n"/>
      <c r="F932" s="26" t="n"/>
      <c r="G932" s="1">
        <f>IF(NOT(ISNUMBER(B932)),"",YEAR(B932)*100+MONTH(B932))</f>
        <v/>
      </c>
    </row>
    <row r="933">
      <c r="A933" s="1" t="n"/>
      <c r="B933" s="27" t="n"/>
      <c r="C933" s="18" t="n"/>
      <c r="D933" s="19" t="n"/>
      <c r="E933" s="21" t="n"/>
      <c r="F933" s="26" t="n"/>
      <c r="G933" s="1">
        <f>IF(NOT(ISNUMBER(B933)),"",YEAR(B933)*100+MONTH(B933))</f>
        <v/>
      </c>
    </row>
    <row r="934">
      <c r="A934" s="1" t="n"/>
      <c r="B934" s="27" t="n"/>
      <c r="C934" s="18" t="n"/>
      <c r="D934" s="19" t="n"/>
      <c r="E934" s="21" t="n"/>
      <c r="F934" s="26" t="n"/>
      <c r="G934" s="1">
        <f>IF(NOT(ISNUMBER(B934)),"",YEAR(B934)*100+MONTH(B934))</f>
        <v/>
      </c>
    </row>
    <row r="935">
      <c r="A935" s="1" t="n"/>
      <c r="B935" s="27" t="n"/>
      <c r="C935" s="18" t="n"/>
      <c r="D935" s="19" t="n"/>
      <c r="E935" s="21" t="n"/>
      <c r="F935" s="26" t="n"/>
      <c r="G935" s="1">
        <f>IF(NOT(ISNUMBER(B935)),"",YEAR(B935)*100+MONTH(B935))</f>
        <v/>
      </c>
    </row>
    <row r="936">
      <c r="A936" s="1" t="n"/>
      <c r="B936" s="27" t="n"/>
      <c r="C936" s="18" t="n"/>
      <c r="D936" s="19" t="n"/>
      <c r="E936" s="21" t="n"/>
      <c r="F936" s="26" t="n"/>
      <c r="G936" s="1">
        <f>IF(NOT(ISNUMBER(B936)),"",YEAR(B936)*100+MONTH(B936))</f>
        <v/>
      </c>
    </row>
    <row r="937">
      <c r="A937" s="1" t="n"/>
      <c r="B937" s="27" t="n"/>
      <c r="C937" s="18" t="n"/>
      <c r="D937" s="19" t="n"/>
      <c r="E937" s="21" t="n"/>
      <c r="F937" s="26" t="n"/>
      <c r="G937" s="1">
        <f>IF(NOT(ISNUMBER(B937)),"",YEAR(B937)*100+MONTH(B937))</f>
        <v/>
      </c>
    </row>
    <row r="938">
      <c r="A938" s="1" t="n"/>
      <c r="B938" s="27" t="n"/>
      <c r="C938" s="18" t="n"/>
      <c r="D938" s="19" t="n"/>
      <c r="E938" s="21" t="n"/>
      <c r="F938" s="26" t="n"/>
      <c r="G938" s="1">
        <f>IF(NOT(ISNUMBER(B938)),"",YEAR(B938)*100+MONTH(B938))</f>
        <v/>
      </c>
    </row>
    <row r="939">
      <c r="A939" s="1" t="n"/>
      <c r="B939" s="27" t="n"/>
      <c r="C939" s="18" t="n"/>
      <c r="D939" s="19" t="n"/>
      <c r="E939" s="21" t="n"/>
      <c r="F939" s="26" t="n"/>
      <c r="G939" s="1">
        <f>IF(NOT(ISNUMBER(B939)),"",YEAR(B939)*100+MONTH(B939))</f>
        <v/>
      </c>
    </row>
    <row r="940">
      <c r="A940" s="1" t="n"/>
      <c r="B940" s="27" t="n"/>
      <c r="C940" s="18" t="n"/>
      <c r="D940" s="19" t="n"/>
      <c r="E940" s="21" t="n"/>
      <c r="F940" s="26" t="n"/>
      <c r="G940" s="1">
        <f>IF(NOT(ISNUMBER(B940)),"",YEAR(B940)*100+MONTH(B940))</f>
        <v/>
      </c>
    </row>
    <row r="941">
      <c r="A941" s="1" t="n"/>
      <c r="B941" s="27" t="n"/>
      <c r="C941" s="18" t="n"/>
      <c r="D941" s="19" t="n"/>
      <c r="E941" s="21" t="n"/>
      <c r="F941" s="26" t="n"/>
      <c r="G941" s="1">
        <f>IF(NOT(ISNUMBER(B941)),"",YEAR(B941)*100+MONTH(B941))</f>
        <v/>
      </c>
    </row>
    <row r="942">
      <c r="A942" s="1" t="n"/>
      <c r="B942" s="27" t="n"/>
      <c r="C942" s="18" t="n"/>
      <c r="D942" s="19" t="n"/>
      <c r="E942" s="21" t="n"/>
      <c r="F942" s="26" t="n"/>
      <c r="G942" s="1">
        <f>IF(NOT(ISNUMBER(B942)),"",YEAR(B942)*100+MONTH(B942))</f>
        <v/>
      </c>
    </row>
    <row r="943">
      <c r="A943" s="1" t="n"/>
      <c r="B943" s="27" t="n"/>
      <c r="C943" s="18" t="n"/>
      <c r="D943" s="19" t="n"/>
      <c r="E943" s="21" t="n"/>
      <c r="F943" s="26" t="n"/>
      <c r="G943" s="1">
        <f>IF(NOT(ISNUMBER(B943)),"",YEAR(B943)*100+MONTH(B943))</f>
        <v/>
      </c>
    </row>
    <row r="944">
      <c r="A944" s="1" t="n"/>
      <c r="B944" s="27" t="n"/>
      <c r="C944" s="18" t="n"/>
      <c r="D944" s="19" t="n"/>
      <c r="E944" s="21" t="n"/>
      <c r="F944" s="26" t="n"/>
      <c r="G944" s="1">
        <f>IF(NOT(ISNUMBER(B944)),"",YEAR(B944)*100+MONTH(B944))</f>
        <v/>
      </c>
    </row>
    <row r="945">
      <c r="A945" s="1" t="n"/>
      <c r="B945" s="27" t="n"/>
      <c r="C945" s="18" t="n"/>
      <c r="D945" s="19" t="n"/>
      <c r="E945" s="21" t="n"/>
      <c r="F945" s="26" t="n"/>
      <c r="G945" s="1">
        <f>IF(NOT(ISNUMBER(B945)),"",YEAR(B945)*100+MONTH(B945))</f>
        <v/>
      </c>
    </row>
    <row r="946">
      <c r="A946" s="1" t="n"/>
      <c r="B946" s="27" t="n"/>
      <c r="C946" s="18" t="n"/>
      <c r="D946" s="19" t="n"/>
      <c r="E946" s="21" t="n"/>
      <c r="F946" s="26" t="n"/>
      <c r="G946" s="1">
        <f>IF(NOT(ISNUMBER(B946)),"",YEAR(B946)*100+MONTH(B946))</f>
        <v/>
      </c>
    </row>
    <row r="947">
      <c r="A947" s="1" t="n"/>
      <c r="B947" s="27" t="n"/>
      <c r="C947" s="18" t="n"/>
      <c r="D947" s="19" t="n"/>
      <c r="E947" s="21" t="n"/>
      <c r="F947" s="26" t="n"/>
      <c r="G947" s="1">
        <f>IF(NOT(ISNUMBER(B947)),"",YEAR(B947)*100+MONTH(B947))</f>
        <v/>
      </c>
    </row>
    <row r="948">
      <c r="A948" s="1" t="n"/>
      <c r="B948" s="27" t="n"/>
      <c r="C948" s="18" t="n"/>
      <c r="D948" s="19" t="n"/>
      <c r="E948" s="21" t="n"/>
      <c r="F948" s="26" t="n"/>
      <c r="G948" s="1">
        <f>IF(NOT(ISNUMBER(B948)),"",YEAR(B948)*100+MONTH(B948))</f>
        <v/>
      </c>
    </row>
    <row r="949">
      <c r="A949" s="1" t="n"/>
      <c r="B949" s="27" t="n"/>
      <c r="C949" s="18" t="n"/>
      <c r="D949" s="19" t="n"/>
      <c r="E949" s="21" t="n"/>
      <c r="F949" s="26" t="n"/>
      <c r="G949" s="1">
        <f>IF(NOT(ISNUMBER(B949)),"",YEAR(B949)*100+MONTH(B949))</f>
        <v/>
      </c>
    </row>
    <row r="950">
      <c r="A950" s="1" t="n"/>
      <c r="B950" s="27" t="n"/>
      <c r="C950" s="18" t="n"/>
      <c r="D950" s="19" t="n"/>
      <c r="E950" s="21" t="n"/>
      <c r="F950" s="26" t="n"/>
      <c r="G950" s="1">
        <f>IF(NOT(ISNUMBER(B950)),"",YEAR(B950)*100+MONTH(B950))</f>
        <v/>
      </c>
    </row>
    <row r="951">
      <c r="A951" s="1" t="n"/>
      <c r="B951" s="27" t="n"/>
      <c r="C951" s="18" t="n"/>
      <c r="D951" s="19" t="n"/>
      <c r="E951" s="21" t="n"/>
      <c r="F951" s="26" t="n"/>
      <c r="G951" s="1">
        <f>IF(NOT(ISNUMBER(B951)),"",YEAR(B951)*100+MONTH(B951))</f>
        <v/>
      </c>
    </row>
    <row r="952">
      <c r="A952" s="1" t="n"/>
      <c r="B952" s="27" t="n"/>
      <c r="C952" s="18" t="n"/>
      <c r="D952" s="19" t="n"/>
      <c r="E952" s="21" t="n"/>
      <c r="F952" s="26" t="n"/>
      <c r="G952" s="1">
        <f>IF(NOT(ISNUMBER(B952)),"",YEAR(B952)*100+MONTH(B952))</f>
        <v/>
      </c>
    </row>
    <row r="953">
      <c r="A953" s="1" t="n"/>
      <c r="B953" s="27" t="n"/>
      <c r="C953" s="18" t="n"/>
      <c r="D953" s="19" t="n"/>
      <c r="E953" s="21" t="n"/>
      <c r="F953" s="26" t="n"/>
      <c r="G953" s="1">
        <f>IF(NOT(ISNUMBER(B953)),"",YEAR(B953)*100+MONTH(B953))</f>
        <v/>
      </c>
    </row>
    <row r="954">
      <c r="A954" s="1" t="n"/>
      <c r="B954" s="27" t="n"/>
      <c r="C954" s="18" t="n"/>
      <c r="D954" s="19" t="n"/>
      <c r="E954" s="21" t="n"/>
      <c r="F954" s="26" t="n"/>
      <c r="G954" s="1">
        <f>IF(NOT(ISNUMBER(B954)),"",YEAR(B954)*100+MONTH(B954))</f>
        <v/>
      </c>
    </row>
    <row r="955">
      <c r="A955" s="1" t="n"/>
      <c r="B955" s="27" t="n"/>
      <c r="C955" s="18" t="n"/>
      <c r="D955" s="19" t="n"/>
      <c r="E955" s="21" t="n"/>
      <c r="F955" s="26" t="n"/>
      <c r="G955" s="1">
        <f>IF(NOT(ISNUMBER(B955)),"",YEAR(B955)*100+MONTH(B955))</f>
        <v/>
      </c>
    </row>
    <row r="956">
      <c r="A956" s="1" t="n"/>
      <c r="B956" s="27" t="n"/>
      <c r="C956" s="18" t="n"/>
      <c r="D956" s="19" t="n"/>
      <c r="E956" s="21" t="n"/>
      <c r="F956" s="26" t="n"/>
      <c r="G956" s="1">
        <f>IF(NOT(ISNUMBER(B956)),"",YEAR(B956)*100+MONTH(B956))</f>
        <v/>
      </c>
    </row>
    <row r="957">
      <c r="A957" s="1" t="n"/>
      <c r="B957" s="27" t="n"/>
      <c r="C957" s="18" t="n"/>
      <c r="D957" s="19" t="n"/>
      <c r="E957" s="21" t="n"/>
      <c r="F957" s="26" t="n"/>
      <c r="G957" s="1">
        <f>IF(NOT(ISNUMBER(B957)),"",YEAR(B957)*100+MONTH(B957))</f>
        <v/>
      </c>
    </row>
    <row r="958">
      <c r="A958" s="1" t="n"/>
      <c r="B958" s="27" t="n"/>
      <c r="C958" s="18" t="n"/>
      <c r="D958" s="19" t="n"/>
      <c r="E958" s="21" t="n"/>
      <c r="F958" s="26" t="n"/>
      <c r="G958" s="1">
        <f>IF(NOT(ISNUMBER(B958)),"",YEAR(B958)*100+MONTH(B958))</f>
        <v/>
      </c>
    </row>
    <row r="959">
      <c r="A959" s="1" t="n"/>
      <c r="B959" s="27" t="n"/>
      <c r="C959" s="18" t="n"/>
      <c r="D959" s="19" t="n"/>
      <c r="E959" s="21" t="n"/>
      <c r="F959" s="26" t="n"/>
      <c r="G959" s="1">
        <f>IF(NOT(ISNUMBER(B959)),"",YEAR(B959)*100+MONTH(B959))</f>
        <v/>
      </c>
    </row>
    <row r="960">
      <c r="A960" s="1" t="n"/>
      <c r="B960" s="27" t="n"/>
      <c r="C960" s="18" t="n"/>
      <c r="D960" s="19" t="n"/>
      <c r="E960" s="21" t="n"/>
      <c r="F960" s="26" t="n"/>
      <c r="G960" s="1">
        <f>IF(NOT(ISNUMBER(B960)),"",YEAR(B960)*100+MONTH(B960))</f>
        <v/>
      </c>
    </row>
    <row r="961">
      <c r="A961" s="1" t="n"/>
      <c r="B961" s="27" t="n"/>
      <c r="C961" s="18" t="n"/>
      <c r="D961" s="19" t="n"/>
      <c r="E961" s="21" t="n"/>
      <c r="F961" s="26" t="n"/>
      <c r="G961" s="1">
        <f>IF(NOT(ISNUMBER(B961)),"",YEAR(B961)*100+MONTH(B961))</f>
        <v/>
      </c>
    </row>
    <row r="962">
      <c r="A962" s="1" t="n"/>
      <c r="B962" s="27" t="n"/>
      <c r="C962" s="18" t="n"/>
      <c r="D962" s="19" t="n"/>
      <c r="E962" s="21" t="n"/>
      <c r="F962" s="26" t="n"/>
      <c r="G962" s="1">
        <f>IF(NOT(ISNUMBER(B962)),"",YEAR(B962)*100+MONTH(B962))</f>
        <v/>
      </c>
    </row>
    <row r="963">
      <c r="A963" s="1" t="n"/>
      <c r="B963" s="27" t="n"/>
      <c r="C963" s="18" t="n"/>
      <c r="D963" s="19" t="n"/>
      <c r="E963" s="21" t="n"/>
      <c r="F963" s="26" t="n"/>
      <c r="G963" s="1">
        <f>IF(NOT(ISNUMBER(B963)),"",YEAR(B963)*100+MONTH(B963))</f>
        <v/>
      </c>
    </row>
    <row r="964">
      <c r="A964" s="1" t="n"/>
      <c r="B964" s="27" t="n"/>
      <c r="C964" s="18" t="n"/>
      <c r="D964" s="19" t="n"/>
      <c r="E964" s="21" t="n"/>
      <c r="F964" s="26" t="n"/>
      <c r="G964" s="1">
        <f>IF(NOT(ISNUMBER(B964)),"",YEAR(B964)*100+MONTH(B964))</f>
        <v/>
      </c>
    </row>
    <row r="965">
      <c r="A965" s="1" t="n"/>
      <c r="B965" s="27" t="n"/>
      <c r="C965" s="18" t="n"/>
      <c r="D965" s="19" t="n"/>
      <c r="E965" s="21" t="n"/>
      <c r="F965" s="26" t="n"/>
      <c r="G965" s="1">
        <f>IF(NOT(ISNUMBER(B965)),"",YEAR(B965)*100+MONTH(B965))</f>
        <v/>
      </c>
    </row>
    <row r="966">
      <c r="A966" s="1" t="n"/>
      <c r="B966" s="27" t="n"/>
      <c r="C966" s="18" t="n"/>
      <c r="D966" s="19" t="n"/>
      <c r="E966" s="21" t="n"/>
      <c r="F966" s="26" t="n"/>
      <c r="G966" s="1">
        <f>IF(NOT(ISNUMBER(B966)),"",YEAR(B966)*100+MONTH(B966))</f>
        <v/>
      </c>
    </row>
    <row r="967">
      <c r="A967" s="1" t="n"/>
      <c r="B967" s="27" t="n"/>
      <c r="C967" s="18" t="n"/>
      <c r="D967" s="19" t="n"/>
      <c r="E967" s="21" t="n"/>
      <c r="F967" s="26" t="n"/>
      <c r="G967" s="1">
        <f>IF(NOT(ISNUMBER(B967)),"",YEAR(B967)*100+MONTH(B967))</f>
        <v/>
      </c>
    </row>
    <row r="968">
      <c r="A968" s="1" t="n"/>
      <c r="B968" s="27" t="n"/>
      <c r="C968" s="18" t="n"/>
      <c r="D968" s="19" t="n"/>
      <c r="E968" s="21" t="n"/>
      <c r="F968" s="26" t="n"/>
      <c r="G968" s="1">
        <f>IF(NOT(ISNUMBER(B968)),"",YEAR(B968)*100+MONTH(B968))</f>
        <v/>
      </c>
    </row>
    <row r="969">
      <c r="A969" s="1" t="n"/>
      <c r="B969" s="27" t="n"/>
      <c r="C969" s="18" t="n"/>
      <c r="D969" s="19" t="n"/>
      <c r="E969" s="21" t="n"/>
      <c r="F969" s="26" t="n"/>
      <c r="G969" s="1">
        <f>IF(NOT(ISNUMBER(B969)),"",YEAR(B969)*100+MONTH(B969))</f>
        <v/>
      </c>
    </row>
    <row r="970">
      <c r="A970" s="1" t="n"/>
      <c r="B970" s="27" t="n"/>
      <c r="C970" s="18" t="n"/>
      <c r="D970" s="19" t="n"/>
      <c r="E970" s="21" t="n"/>
      <c r="F970" s="26" t="n"/>
      <c r="G970" s="1">
        <f>IF(NOT(ISNUMBER(B970)),"",YEAR(B970)*100+MONTH(B970))</f>
        <v/>
      </c>
    </row>
    <row r="971">
      <c r="A971" s="1" t="n"/>
      <c r="B971" s="27" t="n"/>
      <c r="C971" s="18" t="n"/>
      <c r="D971" s="19" t="n"/>
      <c r="E971" s="21" t="n"/>
      <c r="F971" s="26" t="n"/>
      <c r="G971" s="1">
        <f>IF(NOT(ISNUMBER(B971)),"",YEAR(B971)*100+MONTH(B971))</f>
        <v/>
      </c>
    </row>
    <row r="972">
      <c r="A972" s="1" t="n"/>
      <c r="B972" s="27" t="n"/>
      <c r="C972" s="18" t="n"/>
      <c r="D972" s="19" t="n"/>
      <c r="E972" s="21" t="n"/>
      <c r="F972" s="26" t="n"/>
      <c r="G972" s="1">
        <f>IF(NOT(ISNUMBER(B972)),"",YEAR(B972)*100+MONTH(B972))</f>
        <v/>
      </c>
    </row>
    <row r="973">
      <c r="A973" s="1" t="n"/>
      <c r="B973" s="27" t="n"/>
      <c r="C973" s="18" t="n"/>
      <c r="D973" s="19" t="n"/>
      <c r="E973" s="21" t="n"/>
      <c r="F973" s="26" t="n"/>
      <c r="G973" s="1">
        <f>IF(NOT(ISNUMBER(B973)),"",YEAR(B973)*100+MONTH(B973))</f>
        <v/>
      </c>
    </row>
    <row r="974">
      <c r="A974" s="1" t="n"/>
      <c r="B974" s="27" t="n"/>
      <c r="C974" s="18" t="n"/>
      <c r="D974" s="19" t="n"/>
      <c r="E974" s="21" t="n"/>
      <c r="F974" s="26" t="n"/>
      <c r="G974" s="1">
        <f>IF(NOT(ISNUMBER(B974)),"",YEAR(B974)*100+MONTH(B974))</f>
        <v/>
      </c>
    </row>
    <row r="975">
      <c r="A975" s="1" t="n"/>
      <c r="B975" s="27" t="n"/>
      <c r="C975" s="18" t="n"/>
      <c r="D975" s="19" t="n"/>
      <c r="E975" s="21" t="n"/>
      <c r="F975" s="26" t="n"/>
      <c r="G975" s="1">
        <f>IF(NOT(ISNUMBER(B975)),"",YEAR(B975)*100+MONTH(B975))</f>
        <v/>
      </c>
    </row>
    <row r="976">
      <c r="A976" s="1" t="n"/>
      <c r="B976" s="27" t="n"/>
      <c r="C976" s="18" t="n"/>
      <c r="D976" s="19" t="n"/>
      <c r="E976" s="21" t="n"/>
      <c r="F976" s="26" t="n"/>
      <c r="G976" s="1">
        <f>IF(NOT(ISNUMBER(B976)),"",YEAR(B976)*100+MONTH(B976))</f>
        <v/>
      </c>
    </row>
    <row r="977">
      <c r="A977" s="1" t="n"/>
      <c r="B977" s="27" t="n"/>
      <c r="C977" s="18" t="n"/>
      <c r="D977" s="19" t="n"/>
      <c r="E977" s="21" t="n"/>
      <c r="F977" s="26" t="n"/>
      <c r="G977" s="1">
        <f>IF(NOT(ISNUMBER(B977)),"",YEAR(B977)*100+MONTH(B977))</f>
        <v/>
      </c>
    </row>
    <row r="978">
      <c r="A978" s="1" t="n"/>
      <c r="B978" s="27" t="n"/>
      <c r="C978" s="18" t="n"/>
      <c r="D978" s="19" t="n"/>
      <c r="E978" s="21" t="n"/>
      <c r="F978" s="26" t="n"/>
      <c r="G978" s="1">
        <f>IF(NOT(ISNUMBER(B978)),"",YEAR(B978)*100+MONTH(B978))</f>
        <v/>
      </c>
    </row>
    <row r="979">
      <c r="A979" s="1" t="n"/>
      <c r="B979" s="27" t="n"/>
      <c r="C979" s="18" t="n"/>
      <c r="D979" s="19" t="n"/>
      <c r="E979" s="21" t="n"/>
      <c r="F979" s="26" t="n"/>
      <c r="G979" s="1">
        <f>IF(NOT(ISNUMBER(B979)),"",YEAR(B979)*100+MONTH(B979))</f>
        <v/>
      </c>
    </row>
    <row r="980">
      <c r="A980" s="1" t="n"/>
      <c r="B980" s="27" t="n"/>
      <c r="C980" s="18" t="n"/>
      <c r="D980" s="19" t="n"/>
      <c r="E980" s="21" t="n"/>
      <c r="F980" s="26" t="n"/>
      <c r="G980" s="1">
        <f>IF(NOT(ISNUMBER(B980)),"",YEAR(B980)*100+MONTH(B980))</f>
        <v/>
      </c>
    </row>
    <row r="981">
      <c r="A981" s="1" t="n"/>
      <c r="B981" s="27" t="n"/>
      <c r="C981" s="18" t="n"/>
      <c r="D981" s="19" t="n"/>
      <c r="E981" s="21" t="n"/>
      <c r="F981" s="26" t="n"/>
      <c r="G981" s="1">
        <f>IF(NOT(ISNUMBER(B981)),"",YEAR(B981)*100+MONTH(B981))</f>
        <v/>
      </c>
    </row>
    <row r="982">
      <c r="A982" s="1" t="n"/>
      <c r="B982" s="27" t="n"/>
      <c r="C982" s="18" t="n"/>
      <c r="D982" s="19" t="n"/>
      <c r="E982" s="21" t="n"/>
      <c r="F982" s="26" t="n"/>
      <c r="G982" s="1">
        <f>IF(NOT(ISNUMBER(B982)),"",YEAR(B982)*100+MONTH(B982))</f>
        <v/>
      </c>
    </row>
    <row r="983">
      <c r="A983" s="1" t="n"/>
      <c r="B983" s="27" t="n"/>
      <c r="C983" s="18" t="n"/>
      <c r="D983" s="19" t="n"/>
      <c r="E983" s="21" t="n"/>
      <c r="F983" s="26" t="n"/>
      <c r="G983" s="1">
        <f>IF(NOT(ISNUMBER(B983)),"",YEAR(B983)*100+MONTH(B983))</f>
        <v/>
      </c>
    </row>
    <row r="984">
      <c r="A984" s="1" t="n"/>
      <c r="B984" s="27" t="n"/>
      <c r="C984" s="18" t="n"/>
      <c r="D984" s="19" t="n"/>
      <c r="E984" s="21" t="n"/>
      <c r="F984" s="26" t="n"/>
      <c r="G984" s="1">
        <f>IF(NOT(ISNUMBER(B984)),"",YEAR(B984)*100+MONTH(B984))</f>
        <v/>
      </c>
    </row>
    <row r="985">
      <c r="A985" s="1" t="n"/>
      <c r="B985" s="27" t="n"/>
      <c r="C985" s="18" t="n"/>
      <c r="D985" s="19" t="n"/>
      <c r="E985" s="21" t="n"/>
      <c r="F985" s="26" t="n"/>
      <c r="G985" s="1">
        <f>IF(NOT(ISNUMBER(B985)),"",YEAR(B985)*100+MONTH(B985))</f>
        <v/>
      </c>
    </row>
    <row r="986">
      <c r="A986" s="1" t="n"/>
      <c r="B986" s="27" t="n"/>
      <c r="C986" s="18" t="n"/>
      <c r="D986" s="19" t="n"/>
      <c r="E986" s="21" t="n"/>
      <c r="F986" s="26" t="n"/>
      <c r="G986" s="1">
        <f>IF(NOT(ISNUMBER(B986)),"",YEAR(B986)*100+MONTH(B986))</f>
        <v/>
      </c>
    </row>
    <row r="987">
      <c r="A987" s="1" t="n"/>
      <c r="B987" s="27" t="n"/>
      <c r="C987" s="18" t="n"/>
      <c r="D987" s="19" t="n"/>
      <c r="E987" s="21" t="n"/>
      <c r="F987" s="26" t="n"/>
      <c r="G987" s="1">
        <f>IF(NOT(ISNUMBER(B987)),"",YEAR(B987)*100+MONTH(B987))</f>
        <v/>
      </c>
    </row>
    <row r="988">
      <c r="A988" s="1" t="n"/>
      <c r="B988" s="27" t="n"/>
      <c r="C988" s="18" t="n"/>
      <c r="D988" s="19" t="n"/>
      <c r="E988" s="21" t="n"/>
      <c r="F988" s="26" t="n"/>
      <c r="G988" s="1">
        <f>IF(NOT(ISNUMBER(B988)),"",YEAR(B988)*100+MONTH(B988))</f>
        <v/>
      </c>
    </row>
    <row r="989">
      <c r="A989" s="1" t="n"/>
      <c r="B989" s="27" t="n"/>
      <c r="C989" s="18" t="n"/>
      <c r="D989" s="19" t="n"/>
      <c r="E989" s="21" t="n"/>
      <c r="F989" s="26" t="n"/>
      <c r="G989" s="1">
        <f>IF(NOT(ISNUMBER(B989)),"",YEAR(B989)*100+MONTH(B989))</f>
        <v/>
      </c>
    </row>
    <row r="990">
      <c r="A990" s="1" t="n"/>
      <c r="B990" s="27" t="n"/>
      <c r="C990" s="18" t="n"/>
      <c r="D990" s="19" t="n"/>
      <c r="E990" s="21" t="n"/>
      <c r="F990" s="26" t="n"/>
      <c r="G990" s="1">
        <f>IF(NOT(ISNUMBER(B990)),"",YEAR(B990)*100+MONTH(B990))</f>
        <v/>
      </c>
    </row>
    <row r="991">
      <c r="A991" s="1" t="n"/>
      <c r="B991" s="27" t="n"/>
      <c r="C991" s="18" t="n"/>
      <c r="D991" s="19" t="n"/>
      <c r="E991" s="21" t="n"/>
      <c r="F991" s="26" t="n"/>
      <c r="G991" s="1">
        <f>IF(NOT(ISNUMBER(B991)),"",YEAR(B991)*100+MONTH(B991))</f>
        <v/>
      </c>
    </row>
    <row r="992">
      <c r="A992" s="1" t="n"/>
      <c r="B992" s="27" t="n"/>
      <c r="C992" s="18" t="n"/>
      <c r="D992" s="19" t="n"/>
      <c r="E992" s="21" t="n"/>
      <c r="F992" s="26" t="n"/>
      <c r="G992" s="1">
        <f>IF(NOT(ISNUMBER(B992)),"",YEAR(B992)*100+MONTH(B992))</f>
        <v/>
      </c>
    </row>
    <row r="993">
      <c r="A993" s="1" t="n"/>
      <c r="B993" s="27" t="n"/>
      <c r="C993" s="18" t="n"/>
      <c r="D993" s="19" t="n"/>
      <c r="E993" s="21" t="n"/>
      <c r="F993" s="26" t="n"/>
      <c r="G993" s="1">
        <f>IF(NOT(ISNUMBER(B993)),"",YEAR(B993)*100+MONTH(B993))</f>
        <v/>
      </c>
    </row>
    <row r="994">
      <c r="A994" s="1" t="n"/>
      <c r="B994" s="27" t="n"/>
      <c r="C994" s="18" t="n"/>
      <c r="D994" s="19" t="n"/>
      <c r="E994" s="21" t="n"/>
      <c r="F994" s="26" t="n"/>
      <c r="G994" s="1">
        <f>IF(NOT(ISNUMBER(B994)),"",YEAR(B994)*100+MONTH(B994))</f>
        <v/>
      </c>
    </row>
    <row r="995">
      <c r="A995" s="1" t="n"/>
      <c r="B995" s="27" t="n"/>
      <c r="C995" s="18" t="n"/>
      <c r="D995" s="19" t="n"/>
      <c r="E995" s="21" t="n"/>
      <c r="F995" s="26" t="n"/>
      <c r="G995" s="1">
        <f>IF(NOT(ISNUMBER(B995)),"",YEAR(B995)*100+MONTH(B995))</f>
        <v/>
      </c>
    </row>
    <row r="996">
      <c r="A996" s="1" t="n"/>
      <c r="B996" s="27" t="n"/>
      <c r="C996" s="18" t="n"/>
      <c r="D996" s="19" t="n"/>
      <c r="E996" s="21" t="n"/>
      <c r="F996" s="26" t="n"/>
      <c r="G996" s="1">
        <f>IF(NOT(ISNUMBER(B996)),"",YEAR(B996)*100+MONTH(B996))</f>
        <v/>
      </c>
    </row>
    <row r="997">
      <c r="A997" s="1" t="n"/>
      <c r="B997" s="27" t="n"/>
      <c r="C997" s="18" t="n"/>
      <c r="D997" s="19" t="n"/>
      <c r="E997" s="21" t="n"/>
      <c r="F997" s="26" t="n"/>
      <c r="G997" s="1">
        <f>IF(NOT(ISNUMBER(B997)),"",YEAR(B997)*100+MONTH(B997))</f>
        <v/>
      </c>
    </row>
    <row r="998">
      <c r="A998" s="1" t="n"/>
      <c r="B998" s="27" t="n"/>
      <c r="C998" s="18" t="n"/>
      <c r="D998" s="19" t="n"/>
      <c r="E998" s="21" t="n"/>
      <c r="F998" s="26" t="n"/>
      <c r="G998" s="1">
        <f>IF(NOT(ISNUMBER(B998)),"",YEAR(B998)*100+MONTH(B998))</f>
        <v/>
      </c>
    </row>
    <row r="999">
      <c r="A999" s="1" t="n"/>
      <c r="B999" s="27" t="n"/>
      <c r="C999" s="18" t="n"/>
      <c r="D999" s="19" t="n"/>
      <c r="E999" s="21" t="n"/>
      <c r="F999" s="26" t="n"/>
      <c r="G999" s="1">
        <f>IF(NOT(ISNUMBER(B999)),"",YEAR(B999)*100+MONTH(B999))</f>
        <v/>
      </c>
    </row>
    <row r="1000">
      <c r="A1000" s="1" t="n"/>
      <c r="B1000" s="27" t="n"/>
      <c r="C1000" s="18" t="n"/>
      <c r="D1000" s="19" t="n"/>
      <c r="E1000" s="21" t="n"/>
      <c r="F1000" s="26" t="n"/>
      <c r="G1000" s="1">
        <f>IF(NOT(ISNUMBER(B1000)),"",YEAR(B1000)*100+MONTH(B1000))</f>
        <v/>
      </c>
    </row>
    <row r="1001">
      <c r="A1001" s="1" t="n"/>
      <c r="B1001" s="27" t="n"/>
      <c r="C1001" s="18" t="n"/>
      <c r="D1001" s="19" t="n"/>
      <c r="E1001" s="21" t="n"/>
      <c r="F1001" s="26" t="n"/>
      <c r="G1001" s="1">
        <f>IF(NOT(ISNUMBER(B1001)),"",YEAR(B1001)*100+MONTH(B1001))</f>
        <v/>
      </c>
    </row>
    <row r="1002">
      <c r="A1002" s="1" t="n"/>
      <c r="B1002" s="27" t="n"/>
      <c r="C1002" s="18" t="n"/>
      <c r="D1002" s="19" t="n"/>
      <c r="E1002" s="21" t="n"/>
      <c r="F1002" s="26" t="n"/>
      <c r="G1002" s="1">
        <f>IF(NOT(ISNUMBER(B1002)),"",YEAR(B1002)*100+MONTH(B1002))</f>
        <v/>
      </c>
    </row>
    <row r="1003">
      <c r="A1003" s="1" t="n"/>
      <c r="B1003" s="27" t="n"/>
      <c r="C1003" s="18" t="n"/>
      <c r="D1003" s="19" t="n"/>
      <c r="E1003" s="21" t="n"/>
      <c r="F1003" s="26" t="n"/>
      <c r="G1003" s="1">
        <f>IF(NOT(ISNUMBER(B1003)),"",YEAR(B1003)*100+MONTH(B1003))</f>
        <v/>
      </c>
    </row>
    <row r="1004">
      <c r="A1004" s="1" t="n"/>
      <c r="B1004" s="27" t="n"/>
      <c r="C1004" s="18" t="n"/>
      <c r="D1004" s="19" t="n"/>
      <c r="E1004" s="21" t="n"/>
      <c r="F1004" s="26" t="n"/>
      <c r="G1004" s="1">
        <f>IF(NOT(ISNUMBER(B1004)),"",YEAR(B1004)*100+MONTH(B1004))</f>
        <v/>
      </c>
    </row>
    <row r="1005">
      <c r="A1005" s="1" t="n"/>
      <c r="B1005" s="27" t="n"/>
      <c r="C1005" s="18" t="n"/>
      <c r="D1005" s="19" t="n"/>
      <c r="E1005" s="21" t="n"/>
      <c r="F1005" s="26" t="n"/>
      <c r="G1005" s="1">
        <f>IF(NOT(ISNUMBER(B1005)),"",YEAR(B1005)*100+MONTH(B1005))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</row>
  </sheetData>
  <dataValidations count="2">
    <dataValidation sqref="C6:C1005" showDropDown="0" showInputMessage="0" showErrorMessage="0" allowBlank="1" type="list">
      <formula1>=Holdings!$B$6:$B$105</formula1>
    </dataValidation>
    <dataValidation sqref="D6:D1005" showDropDown="0" showInputMessage="0" showErrorMessage="1" allowBlank="1" type="list">
      <formula1>"Dividend,Interest,Rent,Other"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The currency, the first month on Balances, and your passive income goal.</t>
        </is>
      </c>
      <c r="C3" s="1" t="n"/>
      <c r="D3" s="1" t="n"/>
      <c r="E3" s="1" t="n"/>
      <c r="F3" s="1" t="n"/>
    </row>
    <row r="4">
      <c r="A4" s="1" t="n"/>
      <c r="B4" s="28" t="inlineStr">
        <is>
          <t>Currency</t>
        </is>
      </c>
      <c r="C4" s="29" t="inlineStr">
        <is>
          <t>USD</t>
        </is>
      </c>
      <c r="D4" s="1" t="n"/>
      <c r="E4" s="30" t="inlineStr">
        <is>
          <t>Amounts have no currency sign, so any currency works.</t>
        </is>
      </c>
      <c r="F4" s="1" t="n"/>
    </row>
    <row r="5">
      <c r="A5" s="1" t="n"/>
      <c r="B5" s="28" t="inlineStr">
        <is>
          <t>First month on Balances</t>
        </is>
      </c>
      <c r="C5" s="31" t="n">
        <v>45931</v>
      </c>
      <c r="D5" s="1" t="n"/>
      <c r="E5" s="30" t="inlineStr">
        <is>
          <t>Balances has 36 months from this one.</t>
        </is>
      </c>
      <c r="F5" s="1" t="n"/>
    </row>
    <row r="6">
      <c r="A6" s="1" t="n"/>
      <c r="B6" s="28" t="inlineStr">
        <is>
          <t>Passive income goal a month</t>
        </is>
      </c>
      <c r="C6" s="32" t="n">
        <v>1000</v>
      </c>
      <c r="D6" s="1" t="n"/>
      <c r="E6" s="30" t="inlineStr">
        <is>
          <t>Dividends, interest and rent together.</t>
        </is>
      </c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3" t="inlineStr">
        <is>
          <t>1</t>
        </is>
      </c>
      <c r="C5" s="34" t="inlineStr">
        <is>
          <t>Settings: the currency, the first month for Balances, and your passive income goal a month.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3" t="inlineStr">
        <is>
          <t>2</t>
        </is>
      </c>
      <c r="C7" s="34" t="inlineStr">
        <is>
          <t>Balances: each account once with its type, then its balance at the end of every month.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3" t="inlineStr">
        <is>
          <t>3</t>
        </is>
      </c>
      <c r="C9" s="34" t="inlineStr">
        <is>
          <t>Holdings: the funds, shares and accounts that pay you, with their value now.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3" t="inlineStr">
        <is>
          <t>4</t>
        </is>
      </c>
      <c r="C11" s="34" t="inlineStr">
        <is>
          <t>Income: each dividend, interest payment or rent as it comes in.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3" t="inlineStr">
        <is>
          <t>5</t>
        </is>
      </c>
      <c r="C13" s="34" t="inlineStr">
        <is>
          <t>Dashboard: your net worth month by month, and your passive income against the goal.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accounts, holdings and amounts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Debts go in as the amount owed. Net worth is everything you own less everything you owe.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2026-09-28T19:33:56Z</dcterms:created>
  <dcterms:modified xsi:type="dcterms:W3CDTF">2026-09-28T19:33:57Z</dcterms:modified>
</cp:coreProperties>
</file>