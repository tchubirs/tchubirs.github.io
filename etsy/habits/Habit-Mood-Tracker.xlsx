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Year in pixels" sheetId="2" state="visible" r:id="rId2"/>
    <sheet name="Jan" sheetId="3" state="visible" r:id="rId3"/>
    <sheet name="Feb" sheetId="4" state="visible" r:id="rId4"/>
    <sheet name="Mar" sheetId="5" state="visible" r:id="rId5"/>
    <sheet name="Apr" sheetId="6" state="visible" r:id="rId6"/>
    <sheet name="May" sheetId="7" state="visible" r:id="rId7"/>
    <sheet name="Jun" sheetId="8" state="visible" r:id="rId8"/>
    <sheet name="Jul" sheetId="9" state="visible" r:id="rId9"/>
    <sheet name="Aug" sheetId="10" state="visible" r:id="rId10"/>
    <sheet name="Sep" sheetId="11" state="visible" r:id="rId11"/>
    <sheet name="Oct" sheetId="12" state="visible" r:id="rId12"/>
    <sheet name="Nov" sheetId="13" state="visible" r:id="rId13"/>
    <sheet name="Dec" sheetId="14" state="visible" r:id="rId14"/>
    <sheet name="Habits" sheetId="15" state="visible" r:id="rId15"/>
    <sheet name="Start Her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b val="1"/>
      <color rgb="00FFFFFF"/>
      <sz val="11"/>
    </font>
    <font>
      <name val="Arial"/>
      <color rgb="001E2A2F"/>
      <sz val="11"/>
    </font>
    <font>
      <name val="Arial"/>
      <i val="1"/>
      <color rgb="006B7B80"/>
      <sz val="10"/>
    </font>
    <font>
      <name val="Arial"/>
      <b val="1"/>
      <color rgb="00FFFFFF"/>
      <sz val="9"/>
    </font>
    <font>
      <name val="Arial"/>
      <color rgb="006B7B80"/>
      <sz val="8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1E2A2F"/>
      <sz val="10"/>
    </font>
    <font>
      <name val="Arial"/>
      <color rgb="001E2A2F"/>
      <sz val="8"/>
    </font>
    <font>
      <name val="Arial"/>
      <i val="1"/>
      <color rgb="006B7B80"/>
      <sz val="8"/>
    </font>
    <font>
      <name val="Arial"/>
      <b val="1"/>
      <color rgb="006B7B80"/>
      <sz val="9"/>
    </font>
    <font>
      <name val="Arial"/>
      <color rgb="00FFFFFF"/>
      <sz val="8"/>
    </font>
    <font>
      <name val="Arial"/>
      <i val="1"/>
      <color rgb="006B7B80"/>
      <sz val="9"/>
    </font>
    <font>
      <name val="Arial"/>
      <b val="1"/>
      <color rgb="0015525A"/>
      <sz val="12"/>
    </font>
    <font>
      <name val="Arial"/>
      <color rgb="001F6F78"/>
      <sz val="9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1F6F78"/>
      <sz val="18"/>
    </font>
    <font>
      <name val="Arial"/>
      <color rgb="001E2A2F"/>
      <sz val="13"/>
    </font>
  </fonts>
  <fills count="10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  <fill>
      <patternFill patternType="solid">
        <fgColor rgb="002E7D6B"/>
        <bgColor rgb="002E7D6B"/>
      </patternFill>
    </fill>
    <fill>
      <patternFill patternType="solid">
        <fgColor rgb="008CC5A8"/>
        <bgColor rgb="008CC5A8"/>
      </patternFill>
    </fill>
    <fill>
      <patternFill patternType="solid">
        <fgColor rgb="00F3DE8A"/>
        <bgColor rgb="00F3DE8A"/>
      </patternFill>
    </fill>
    <fill>
      <patternFill patternType="solid">
        <fgColor rgb="00F2A65A"/>
        <bgColor rgb="00F2A65A"/>
      </patternFill>
    </fill>
    <fill>
      <patternFill patternType="solid">
        <fgColor rgb="00D9645B"/>
        <bgColor rgb="00D9645B"/>
      </patternFill>
    </fill>
  </fills>
  <borders count="5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7" fillId="2" borderId="0" pivotButton="0" quotePrefix="0" xfId="0"/>
    <xf numFmtId="0" fontId="19" fillId="2" borderId="1" pivotButton="0" quotePrefix="0" xfId="0"/>
    <xf numFmtId="0" fontId="0" fillId="0" borderId="1" pivotButton="0" quotePrefix="0" xfId="0"/>
    <xf numFmtId="9" fontId="20" fillId="2" borderId="1" applyAlignment="1" pivotButton="0" quotePrefix="0" xfId="0">
      <alignment horizontal="right"/>
    </xf>
    <xf numFmtId="1" fontId="20" fillId="2" borderId="1" applyAlignment="1" pivotButton="0" quotePrefix="0" xfId="0">
      <alignment horizontal="right"/>
    </xf>
    <xf numFmtId="164" fontId="20" fillId="2" borderId="1" applyAlignment="1" pivotButton="0" quotePrefix="0" xfId="0">
      <alignment horizontal="right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2" borderId="1" pivotButton="0" quotePrefix="0" xfId="0"/>
    <xf numFmtId="1" fontId="5" fillId="2" borderId="1" applyAlignment="1" pivotButton="0" quotePrefix="0" xfId="0">
      <alignment horizontal="center" vertical="center"/>
    </xf>
    <xf numFmtId="9" fontId="5" fillId="2" borderId="1" applyAlignment="1" pivotButton="0" quotePrefix="0" xfId="0">
      <alignment horizontal="center" vertical="center"/>
    </xf>
    <xf numFmtId="0" fontId="18" fillId="2" borderId="1" pivotButton="0" quotePrefix="0" xfId="0"/>
    <xf numFmtId="1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/>
    </xf>
    <xf numFmtId="0" fontId="14" fillId="2" borderId="0" applyAlignment="1" pivotButton="0" quotePrefix="0" xfId="0">
      <alignment horizontal="right"/>
    </xf>
    <xf numFmtId="0" fontId="15" fillId="2" borderId="1" applyAlignment="1" pivotButton="0" quotePrefix="0" xfId="0">
      <alignment horizontal="center"/>
    </xf>
    <xf numFmtId="0" fontId="9" fillId="5" borderId="1" pivotButton="0" quotePrefix="0" xfId="0"/>
    <xf numFmtId="0" fontId="11" fillId="6" borderId="1" pivotButton="0" quotePrefix="0" xfId="0"/>
    <xf numFmtId="0" fontId="11" fillId="7" borderId="1" pivotButton="0" quotePrefix="0" xfId="0"/>
    <xf numFmtId="0" fontId="11" fillId="8" borderId="1" pivotButton="0" quotePrefix="0" xfId="0"/>
    <xf numFmtId="0" fontId="9" fillId="9" borderId="1" pivotButton="0" quotePrefix="0" xfId="0"/>
    <xf numFmtId="0" fontId="16" fillId="2" borderId="0" pivotButton="0" quotePrefix="0" xfId="0"/>
    <xf numFmtId="0" fontId="9" fillId="4" borderId="1" pivotButton="0" quotePrefix="0" xfId="0"/>
    <xf numFmtId="0" fontId="7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/>
    </xf>
    <xf numFmtId="0" fontId="11" fillId="2" borderId="1" pivotButton="0" quotePrefix="0" xfId="0"/>
    <xf numFmtId="0" fontId="7" fillId="2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 vertical="center"/>
    </xf>
    <xf numFmtId="0" fontId="13" fillId="2" borderId="0" pivotButton="0" quotePrefix="0" xfId="0"/>
    <xf numFmtId="0" fontId="3" fillId="2" borderId="0" pivotButton="0" quotePrefix="0" xfId="0"/>
    <xf numFmtId="1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6" fillId="2" borderId="0" pivotButton="0" quotePrefix="0" xfId="0"/>
    <xf numFmtId="0" fontId="21" fillId="2" borderId="0" pivotButton="0" quotePrefix="0" xfId="0"/>
    <xf numFmtId="0" fontId="22" fillId="2" borderId="0" pivotButton="0" quotePrefix="0" xfId="0"/>
  </cellXfs>
  <cellStyles count="1">
    <cellStyle name="Normal" xfId="0" builtinId="0" hidden="0"/>
  </cellStyles>
  <dxfs count="16">
    <dxf>
      <fill>
        <patternFill patternType="solid">
          <fgColor rgb="00D8F0DC"/>
          <bgColor rgb="00D8F0DC"/>
        </patternFill>
      </fill>
    </dxf>
    <dxf>
      <font>
        <name val="Arial"/>
        <b val="1"/>
        <color rgb="00FFFFFF"/>
      </font>
      <fill>
        <patternFill patternType="solid">
          <fgColor rgb="002E7D6B"/>
          <bgColor rgb="002E7D6B"/>
        </patternFill>
      </fill>
    </dxf>
    <dxf>
      <font>
        <name val="Arial"/>
        <b val="1"/>
        <color rgb="001E2A2F"/>
      </font>
      <fill>
        <patternFill patternType="solid">
          <fgColor rgb="008CC5A8"/>
          <bgColor rgb="008CC5A8"/>
        </patternFill>
      </fill>
    </dxf>
    <dxf>
      <font>
        <name val="Arial"/>
        <b val="1"/>
        <color rgb="001E2A2F"/>
      </font>
      <fill>
        <patternFill patternType="solid">
          <fgColor rgb="00F3DE8A"/>
          <bgColor rgb="00F3DE8A"/>
        </patternFill>
      </fill>
    </dxf>
    <dxf>
      <font>
        <name val="Arial"/>
        <b val="1"/>
        <color rgb="001E2A2F"/>
      </font>
      <fill>
        <patternFill patternType="solid">
          <fgColor rgb="00F2A65A"/>
          <bgColor rgb="00F2A65A"/>
        </patternFill>
      </fill>
    </dxf>
    <dxf>
      <font>
        <name val="Arial"/>
        <b val="1"/>
        <color rgb="00FFFFFF"/>
      </font>
      <fill>
        <patternFill patternType="solid">
          <fgColor rgb="00D9645B"/>
          <bgColor rgb="00D9645B"/>
        </patternFill>
      </fill>
    </dxf>
    <dxf>
      <font>
        <name val="Arial"/>
        <b val="1"/>
        <color rgb="002E7D6B"/>
      </font>
      <fill>
        <patternFill patternType="solid">
          <fgColor rgb="002E7D6B"/>
          <bgColor rgb="002E7D6B"/>
        </patternFill>
      </fill>
    </dxf>
    <dxf>
      <font>
        <name val="Arial"/>
        <b val="1"/>
        <color rgb="008CC5A8"/>
      </font>
      <fill>
        <patternFill patternType="solid">
          <fgColor rgb="008CC5A8"/>
          <bgColor rgb="008CC5A8"/>
        </patternFill>
      </fill>
    </dxf>
    <dxf>
      <font>
        <name val="Arial"/>
        <b val="1"/>
        <color rgb="00F3DE8A"/>
      </font>
      <fill>
        <patternFill patternType="solid">
          <fgColor rgb="00F3DE8A"/>
          <bgColor rgb="00F3DE8A"/>
        </patternFill>
      </fill>
    </dxf>
    <dxf>
      <font>
        <name val="Arial"/>
        <b val="1"/>
        <color rgb="00F2A65A"/>
      </font>
      <fill>
        <patternFill patternType="solid">
          <fgColor rgb="00F2A65A"/>
          <bgColor rgb="00F2A65A"/>
        </patternFill>
      </fill>
    </dxf>
    <dxf>
      <font>
        <name val="Arial"/>
        <b val="1"/>
        <color rgb="00D9645B"/>
      </font>
      <fill>
        <patternFill patternType="solid">
          <fgColor rgb="00D9645B"/>
          <bgColor rgb="00D9645B"/>
        </patternFill>
      </fill>
    </dxf>
    <dxf>
      <font>
        <name val="Arial"/>
        <color rgb="00FFFFFF"/>
      </font>
      <fill>
        <patternFill patternType="solid">
          <fgColor rgb="00FFFFFF"/>
          <bgColor rgb="00FFFFFF"/>
        </patternFill>
      </fill>
    </dxf>
    <dxf>
      <fill>
        <patternFill patternType="solid">
          <fgColor rgb="00E3E7E7"/>
          <bgColor rgb="00E3E7E7"/>
        </patternFill>
      </fill>
    </dxf>
    <dxf>
      <fill>
        <patternFill patternType="solid">
          <fgColor rgb="003E8E7E"/>
          <bgColor rgb="003E8E7E"/>
        </patternFill>
      </fill>
    </dxf>
    <dxf>
      <fill>
        <patternFill patternType="solid">
          <fgColor rgb="00F6F8F8"/>
          <bgColor rgb="00F6F8F8"/>
        </patternFill>
      </fill>
    </dxf>
    <dxf>
      <font>
        <name val="Arial"/>
        <b val="1"/>
        <color rgb="0015525A"/>
      </font>
      <fill>
        <patternFill patternType="solid">
          <fgColor rgb="00F2C14E"/>
          <bgColor rgb="00F2C14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Habits done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'Dashboard'!M9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'Dashboard'!$J$10:$J$21</f>
            </numRef>
          </cat>
          <val>
            <numRef>
              <f>'Dashboard'!$M$10:$M$21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" customWidth="1" min="3" max="3"/>
    <col width="9" customWidth="1" min="4" max="4"/>
    <col width="8" customWidth="1" min="5" max="5"/>
    <col width="10" customWidth="1" min="6" max="6"/>
    <col width="10" customWidth="1" min="7" max="7"/>
    <col width="10" customWidth="1" min="8" max="8"/>
    <col width="7" customWidth="1" min="9" max="9"/>
    <col width="8" customWidth="1" min="10" max="10"/>
    <col width="8" customWidth="1" min="11" max="11"/>
    <col width="8" customWidth="1" min="12" max="12"/>
    <col width="10" customWidth="1" min="13" max="13"/>
    <col width="7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2" customHeight="1">
      <c r="A2" s="1" t="n"/>
      <c r="B2" s="2" t="inlineStr">
        <is>
          <t>Habit 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3" t="inlineStr">
        <is>
          <t>This month at the top, the whole year below.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4">
        <f>"Showing "&amp;CHOOSE(IF(Habits!$C$4=YEAR(TODAY()),MONTH(TODAY()),12),"January","February","March","April","May","June","July","August","September","October","November","December")&amp;" "&amp;Habits!$C$4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1" t="n"/>
      <c r="B6" s="5" t="inlineStr">
        <is>
          <t>Habits done this month</t>
        </is>
      </c>
      <c r="C6" s="5" t="inlineStr">
        <is>
          <t>Longest streak now</t>
        </is>
      </c>
      <c r="D6" s="6" t="n"/>
      <c r="E6" s="5" t="inlineStr">
        <is>
          <t>Mood this month</t>
        </is>
      </c>
      <c r="F6" s="6" t="n"/>
      <c r="G6" s="5" t="inlineStr">
        <is>
          <t>Sleep this month</t>
        </is>
      </c>
      <c r="H6" s="6" t="n"/>
      <c r="I6" s="1" t="n"/>
      <c r="J6" s="1" t="n"/>
      <c r="K6" s="1" t="n"/>
      <c r="L6" s="1" t="n"/>
      <c r="M6" s="1" t="n"/>
      <c r="N6" s="1" t="n"/>
      <c r="O6" s="1" t="n"/>
    </row>
    <row r="7" ht="34" customHeight="1">
      <c r="A7" s="1" t="n"/>
      <c r="B7" s="7">
        <f>IFERROR(SUM(C10:C24)/SUMIFS(D10:D24,B10:B24,"?*"),0)</f>
        <v/>
      </c>
      <c r="C7" s="8">
        <f>MAX(G10:G24)</f>
        <v/>
      </c>
      <c r="D7" s="6" t="n"/>
      <c r="E7" s="9">
        <f>IFERROR(CHOOSE(IF(Habits!$C$4=YEAR(TODAY()),MONTH(TODAY()),12),Jan!AH23,Feb!AH23,Mar!AH23,Apr!AH23,May!AH23,Jun!AH23,Jul!AH23,Aug!AH23,Sep!AH23,Oct!AH23,Nov!AH23,Dec!AH23)*1,"")</f>
        <v/>
      </c>
      <c r="F7" s="6" t="n"/>
      <c r="G7" s="9">
        <f>IFERROR(CHOOSE(IF(Habits!$C$4=YEAR(TODAY()),MONTH(TODAY()),12),Jan!AH24,Feb!AH24,Mar!AH24,Apr!AH24,May!AH24,Jun!AH24,Jul!AH24,Aug!AH24,Sep!AH24,Oct!AH24,Nov!AH24,Dec!AH24)*1,"")</f>
        <v/>
      </c>
      <c r="H7" s="6" t="n"/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30" customHeight="1">
      <c r="A9" s="1" t="n"/>
      <c r="B9" s="10" t="inlineStr">
        <is>
          <t>Habit</t>
        </is>
      </c>
      <c r="C9" s="10" t="inlineStr">
        <is>
          <t>Done</t>
        </is>
      </c>
      <c r="D9" s="10" t="inlineStr">
        <is>
          <t>Days</t>
        </is>
      </c>
      <c r="E9" s="10" t="inlineStr">
        <is>
          <t>Share</t>
        </is>
      </c>
      <c r="F9" s="11" t="n"/>
      <c r="G9" s="10" t="inlineStr">
        <is>
          <t>Streak now</t>
        </is>
      </c>
      <c r="H9" s="10" t="inlineStr">
        <is>
          <t>Best this year</t>
        </is>
      </c>
      <c r="I9" s="1" t="n"/>
      <c r="J9" s="10" t="inlineStr">
        <is>
          <t>Month</t>
        </is>
      </c>
      <c r="K9" s="10" t="inlineStr">
        <is>
          <t>Mood</t>
        </is>
      </c>
      <c r="L9" s="10" t="inlineStr">
        <is>
          <t>Sleep</t>
        </is>
      </c>
      <c r="M9" s="10" t="inlineStr">
        <is>
          <t>Habits</t>
        </is>
      </c>
      <c r="N9" s="1" t="n"/>
      <c r="O9" s="1" t="n"/>
    </row>
    <row r="10">
      <c r="A10" s="1" t="n"/>
      <c r="B10" s="12">
        <f>IF(Habits!B8="","",Habits!B8)</f>
        <v/>
      </c>
      <c r="C10" s="13">
        <f>IF(B10="","",CHOOSE(IF(Habits!$C$4=YEAR(TODAY()),MONTH(TODAY()),12),Jan!AH7,Feb!AH7,Mar!AH7,Apr!AH7,May!AH7,Jun!AH7,Jul!AH7,Aug!AH7,Sep!AH7,Oct!AH7,Nov!AH7,Dec!AH7))</f>
        <v/>
      </c>
      <c r="D10" s="13">
        <f>IF(B10="","",IF(Habits!$C$4=YEAR(TODAY()),DAY(TODAY()),31))</f>
        <v/>
      </c>
      <c r="E10" s="14">
        <f>IF(B10="","",CHOOSE(IF(Habits!$C$4=YEAR(TODAY()),MONTH(TODAY()),12),Jan!AI7,Feb!AI7,Mar!AI7,Apr!AI7,May!AI7,Jun!AI7,Jul!AI7,Aug!AI7,Sep!AI7,Oct!AI7,Nov!AI7,Dec!AI7))</f>
        <v/>
      </c>
      <c r="F10" s="15">
        <f>IF(OR(B10="",E10=""),"",REPT("█",MIN(8,MAX(0,ROUND((E10)*8,0))))&amp;REPT("░",8-MIN(8,MAX(0,ROUND((E10)*8,0)))))</f>
        <v/>
      </c>
      <c r="G10" s="16">
        <f>IF(B10="","",CHOOSE(IF(Habits!$C$4=YEAR(TODAY()),MONTH(TODAY()),12),Jan!AJ7,Feb!AJ7,Mar!AJ7,Apr!AJ7,May!AJ7,Jun!AJ7,Jul!AJ7,Aug!AJ7,Sep!AJ7,Oct!AJ7,Nov!AJ7,Dec!AJ7))</f>
        <v/>
      </c>
      <c r="H10" s="13">
        <f>IF(B10="","",MAX(Jan!AK7,Feb!AK7,Mar!AK7,Apr!AK7,May!AK7,Jun!AK7,Jul!AK7,Aug!AK7,Sep!AK7,Oct!AK7,Nov!AK7,Dec!AK7))</f>
        <v/>
      </c>
      <c r="I10" s="1" t="n"/>
      <c r="J10" s="17" t="inlineStr">
        <is>
          <t>Jan</t>
        </is>
      </c>
      <c r="K10" s="18">
        <f>IFERROR(Jan!AH23*1,"")</f>
        <v/>
      </c>
      <c r="L10" s="18">
        <f>IFERROR(Jan!AH24*1,"")</f>
        <v/>
      </c>
      <c r="M10" s="14">
        <f>IF(OR(IF(Habits!$C$4&lt;YEAR(TODAY()),DAY(EOMONTH(DATE(Habits!$C$4,1,1),0)),IF(Habits!$C$4&gt;YEAR(TODAY()),0,IF(1&lt;MONTH(TODAY()),DAY(EOMONTH(DATE(Habits!$C$4,1,1),0)),IF(1=MONTH(TODAY()),DAY(TODAY()),0))))=0,COUNTIF(B$10:B$24,"?*")=0),"",SUM(Jan!AH7:AH21)/(IF(Habits!$C$4&lt;YEAR(TODAY()),DAY(EOMONTH(DATE(Habits!$C$4,1,1),0)),IF(Habits!$C$4&gt;YEAR(TODAY()),0,IF(1&lt;MONTH(TODAY()),DAY(EOMONTH(DATE(Habits!$C$4,1,1),0)),IF(1=MONTH(TODAY()),DAY(TODAY()),0))))*COUNTIF(B$10:B$24,"?*")))</f>
        <v/>
      </c>
      <c r="N10" s="1" t="n"/>
      <c r="O10" s="1" t="n"/>
    </row>
    <row r="11">
      <c r="A11" s="1" t="n"/>
      <c r="B11" s="12">
        <f>IF(Habits!B9="","",Habits!B9)</f>
        <v/>
      </c>
      <c r="C11" s="13">
        <f>IF(B11="","",CHOOSE(IF(Habits!$C$4=YEAR(TODAY()),MONTH(TODAY()),12),Jan!AH8,Feb!AH8,Mar!AH8,Apr!AH8,May!AH8,Jun!AH8,Jul!AH8,Aug!AH8,Sep!AH8,Oct!AH8,Nov!AH8,Dec!AH8))</f>
        <v/>
      </c>
      <c r="D11" s="13">
        <f>IF(B11="","",IF(Habits!$C$4=YEAR(TODAY()),DAY(TODAY()),31))</f>
        <v/>
      </c>
      <c r="E11" s="14">
        <f>IF(B11="","",CHOOSE(IF(Habits!$C$4=YEAR(TODAY()),MONTH(TODAY()),12),Jan!AI8,Feb!AI8,Mar!AI8,Apr!AI8,May!AI8,Jun!AI8,Jul!AI8,Aug!AI8,Sep!AI8,Oct!AI8,Nov!AI8,Dec!AI8))</f>
        <v/>
      </c>
      <c r="F11" s="15">
        <f>IF(OR(B11="",E11=""),"",REPT("█",MIN(8,MAX(0,ROUND((E11)*8,0))))&amp;REPT("░",8-MIN(8,MAX(0,ROUND((E11)*8,0)))))</f>
        <v/>
      </c>
      <c r="G11" s="16">
        <f>IF(B11="","",CHOOSE(IF(Habits!$C$4=YEAR(TODAY()),MONTH(TODAY()),12),Jan!AJ8,Feb!AJ8,Mar!AJ8,Apr!AJ8,May!AJ8,Jun!AJ8,Jul!AJ8,Aug!AJ8,Sep!AJ8,Oct!AJ8,Nov!AJ8,Dec!AJ8))</f>
        <v/>
      </c>
      <c r="H11" s="13">
        <f>IF(B11="","",MAX(Jan!AK8,Feb!AK8,Mar!AK8,Apr!AK8,May!AK8,Jun!AK8,Jul!AK8,Aug!AK8,Sep!AK8,Oct!AK8,Nov!AK8,Dec!AK8))</f>
        <v/>
      </c>
      <c r="I11" s="1" t="n"/>
      <c r="J11" s="17" t="inlineStr">
        <is>
          <t>Feb</t>
        </is>
      </c>
      <c r="K11" s="18">
        <f>IFERROR(Feb!AH23*1,"")</f>
        <v/>
      </c>
      <c r="L11" s="18">
        <f>IFERROR(Feb!AH24*1,"")</f>
        <v/>
      </c>
      <c r="M11" s="14">
        <f>IF(OR(IF(Habits!$C$4&lt;YEAR(TODAY()),DAY(EOMONTH(DATE(Habits!$C$4,2,1),0)),IF(Habits!$C$4&gt;YEAR(TODAY()),0,IF(2&lt;MONTH(TODAY()),DAY(EOMONTH(DATE(Habits!$C$4,2,1),0)),IF(2=MONTH(TODAY()),DAY(TODAY()),0))))=0,COUNTIF(B$10:B$24,"?*")=0),"",SUM(Feb!AH7:AH21)/(IF(Habits!$C$4&lt;YEAR(TODAY()),DAY(EOMONTH(DATE(Habits!$C$4,2,1),0)),IF(Habits!$C$4&gt;YEAR(TODAY()),0,IF(2&lt;MONTH(TODAY()),DAY(EOMONTH(DATE(Habits!$C$4,2,1),0)),IF(2=MONTH(TODAY()),DAY(TODAY()),0))))*COUNTIF(B$10:B$24,"?*")))</f>
        <v/>
      </c>
      <c r="N11" s="1" t="n"/>
      <c r="O11" s="1" t="n"/>
    </row>
    <row r="12">
      <c r="A12" s="1" t="n"/>
      <c r="B12" s="12">
        <f>IF(Habits!B10="","",Habits!B10)</f>
        <v/>
      </c>
      <c r="C12" s="13">
        <f>IF(B12="","",CHOOSE(IF(Habits!$C$4=YEAR(TODAY()),MONTH(TODAY()),12),Jan!AH9,Feb!AH9,Mar!AH9,Apr!AH9,May!AH9,Jun!AH9,Jul!AH9,Aug!AH9,Sep!AH9,Oct!AH9,Nov!AH9,Dec!AH9))</f>
        <v/>
      </c>
      <c r="D12" s="13">
        <f>IF(B12="","",IF(Habits!$C$4=YEAR(TODAY()),DAY(TODAY()),31))</f>
        <v/>
      </c>
      <c r="E12" s="14">
        <f>IF(B12="","",CHOOSE(IF(Habits!$C$4=YEAR(TODAY()),MONTH(TODAY()),12),Jan!AI9,Feb!AI9,Mar!AI9,Apr!AI9,May!AI9,Jun!AI9,Jul!AI9,Aug!AI9,Sep!AI9,Oct!AI9,Nov!AI9,Dec!AI9))</f>
        <v/>
      </c>
      <c r="F12" s="15">
        <f>IF(OR(B12="",E12=""),"",REPT("█",MIN(8,MAX(0,ROUND((E12)*8,0))))&amp;REPT("░",8-MIN(8,MAX(0,ROUND((E12)*8,0)))))</f>
        <v/>
      </c>
      <c r="G12" s="16">
        <f>IF(B12="","",CHOOSE(IF(Habits!$C$4=YEAR(TODAY()),MONTH(TODAY()),12),Jan!AJ9,Feb!AJ9,Mar!AJ9,Apr!AJ9,May!AJ9,Jun!AJ9,Jul!AJ9,Aug!AJ9,Sep!AJ9,Oct!AJ9,Nov!AJ9,Dec!AJ9))</f>
        <v/>
      </c>
      <c r="H12" s="13">
        <f>IF(B12="","",MAX(Jan!AK9,Feb!AK9,Mar!AK9,Apr!AK9,May!AK9,Jun!AK9,Jul!AK9,Aug!AK9,Sep!AK9,Oct!AK9,Nov!AK9,Dec!AK9))</f>
        <v/>
      </c>
      <c r="I12" s="1" t="n"/>
      <c r="J12" s="17" t="inlineStr">
        <is>
          <t>Mar</t>
        </is>
      </c>
      <c r="K12" s="18">
        <f>IFERROR(Mar!AH23*1,"")</f>
        <v/>
      </c>
      <c r="L12" s="18">
        <f>IFERROR(Mar!AH24*1,"")</f>
        <v/>
      </c>
      <c r="M12" s="14">
        <f>IF(OR(IF(Habits!$C$4&lt;YEAR(TODAY()),DAY(EOMONTH(DATE(Habits!$C$4,3,1),0)),IF(Habits!$C$4&gt;YEAR(TODAY()),0,IF(3&lt;MONTH(TODAY()),DAY(EOMONTH(DATE(Habits!$C$4,3,1),0)),IF(3=MONTH(TODAY()),DAY(TODAY()),0))))=0,COUNTIF(B$10:B$24,"?*")=0),"",SUM(Mar!AH7:AH21)/(IF(Habits!$C$4&lt;YEAR(TODAY()),DAY(EOMONTH(DATE(Habits!$C$4,3,1),0)),IF(Habits!$C$4&gt;YEAR(TODAY()),0,IF(3&lt;MONTH(TODAY()),DAY(EOMONTH(DATE(Habits!$C$4,3,1),0)),IF(3=MONTH(TODAY()),DAY(TODAY()),0))))*COUNTIF(B$10:B$24,"?*")))</f>
        <v/>
      </c>
      <c r="N12" s="1" t="n"/>
      <c r="O12" s="1" t="n"/>
    </row>
    <row r="13">
      <c r="A13" s="1" t="n"/>
      <c r="B13" s="12">
        <f>IF(Habits!B11="","",Habits!B11)</f>
        <v/>
      </c>
      <c r="C13" s="13">
        <f>IF(B13="","",CHOOSE(IF(Habits!$C$4=YEAR(TODAY()),MONTH(TODAY()),12),Jan!AH10,Feb!AH10,Mar!AH10,Apr!AH10,May!AH10,Jun!AH10,Jul!AH10,Aug!AH10,Sep!AH10,Oct!AH10,Nov!AH10,Dec!AH10))</f>
        <v/>
      </c>
      <c r="D13" s="13">
        <f>IF(B13="","",IF(Habits!$C$4=YEAR(TODAY()),DAY(TODAY()),31))</f>
        <v/>
      </c>
      <c r="E13" s="14">
        <f>IF(B13="","",CHOOSE(IF(Habits!$C$4=YEAR(TODAY()),MONTH(TODAY()),12),Jan!AI10,Feb!AI10,Mar!AI10,Apr!AI10,May!AI10,Jun!AI10,Jul!AI10,Aug!AI10,Sep!AI10,Oct!AI10,Nov!AI10,Dec!AI10))</f>
        <v/>
      </c>
      <c r="F13" s="15">
        <f>IF(OR(B13="",E13=""),"",REPT("█",MIN(8,MAX(0,ROUND((E13)*8,0))))&amp;REPT("░",8-MIN(8,MAX(0,ROUND((E13)*8,0)))))</f>
        <v/>
      </c>
      <c r="G13" s="16">
        <f>IF(B13="","",CHOOSE(IF(Habits!$C$4=YEAR(TODAY()),MONTH(TODAY()),12),Jan!AJ10,Feb!AJ10,Mar!AJ10,Apr!AJ10,May!AJ10,Jun!AJ10,Jul!AJ10,Aug!AJ10,Sep!AJ10,Oct!AJ10,Nov!AJ10,Dec!AJ10))</f>
        <v/>
      </c>
      <c r="H13" s="13">
        <f>IF(B13="","",MAX(Jan!AK10,Feb!AK10,Mar!AK10,Apr!AK10,May!AK10,Jun!AK10,Jul!AK10,Aug!AK10,Sep!AK10,Oct!AK10,Nov!AK10,Dec!AK10))</f>
        <v/>
      </c>
      <c r="I13" s="1" t="n"/>
      <c r="J13" s="17" t="inlineStr">
        <is>
          <t>Apr</t>
        </is>
      </c>
      <c r="K13" s="18">
        <f>IFERROR(Apr!AH23*1,"")</f>
        <v/>
      </c>
      <c r="L13" s="18">
        <f>IFERROR(Apr!AH24*1,"")</f>
        <v/>
      </c>
      <c r="M13" s="14">
        <f>IF(OR(IF(Habits!$C$4&lt;YEAR(TODAY()),DAY(EOMONTH(DATE(Habits!$C$4,4,1),0)),IF(Habits!$C$4&gt;YEAR(TODAY()),0,IF(4&lt;MONTH(TODAY()),DAY(EOMONTH(DATE(Habits!$C$4,4,1),0)),IF(4=MONTH(TODAY()),DAY(TODAY()),0))))=0,COUNTIF(B$10:B$24,"?*")=0),"",SUM(Apr!AH7:AH21)/(IF(Habits!$C$4&lt;YEAR(TODAY()),DAY(EOMONTH(DATE(Habits!$C$4,4,1),0)),IF(Habits!$C$4&gt;YEAR(TODAY()),0,IF(4&lt;MONTH(TODAY()),DAY(EOMONTH(DATE(Habits!$C$4,4,1),0)),IF(4=MONTH(TODAY()),DAY(TODAY()),0))))*COUNTIF(B$10:B$24,"?*")))</f>
        <v/>
      </c>
      <c r="N13" s="1" t="n"/>
      <c r="O13" s="1" t="n"/>
    </row>
    <row r="14">
      <c r="A14" s="1" t="n"/>
      <c r="B14" s="12">
        <f>IF(Habits!B12="","",Habits!B12)</f>
        <v/>
      </c>
      <c r="C14" s="13">
        <f>IF(B14="","",CHOOSE(IF(Habits!$C$4=YEAR(TODAY()),MONTH(TODAY()),12),Jan!AH11,Feb!AH11,Mar!AH11,Apr!AH11,May!AH11,Jun!AH11,Jul!AH11,Aug!AH11,Sep!AH11,Oct!AH11,Nov!AH11,Dec!AH11))</f>
        <v/>
      </c>
      <c r="D14" s="13">
        <f>IF(B14="","",IF(Habits!$C$4=YEAR(TODAY()),DAY(TODAY()),31))</f>
        <v/>
      </c>
      <c r="E14" s="14">
        <f>IF(B14="","",CHOOSE(IF(Habits!$C$4=YEAR(TODAY()),MONTH(TODAY()),12),Jan!AI11,Feb!AI11,Mar!AI11,Apr!AI11,May!AI11,Jun!AI11,Jul!AI11,Aug!AI11,Sep!AI11,Oct!AI11,Nov!AI11,Dec!AI11))</f>
        <v/>
      </c>
      <c r="F14" s="15">
        <f>IF(OR(B14="",E14=""),"",REPT("█",MIN(8,MAX(0,ROUND((E14)*8,0))))&amp;REPT("░",8-MIN(8,MAX(0,ROUND((E14)*8,0)))))</f>
        <v/>
      </c>
      <c r="G14" s="16">
        <f>IF(B14="","",CHOOSE(IF(Habits!$C$4=YEAR(TODAY()),MONTH(TODAY()),12),Jan!AJ11,Feb!AJ11,Mar!AJ11,Apr!AJ11,May!AJ11,Jun!AJ11,Jul!AJ11,Aug!AJ11,Sep!AJ11,Oct!AJ11,Nov!AJ11,Dec!AJ11))</f>
        <v/>
      </c>
      <c r="H14" s="13">
        <f>IF(B14="","",MAX(Jan!AK11,Feb!AK11,Mar!AK11,Apr!AK11,May!AK11,Jun!AK11,Jul!AK11,Aug!AK11,Sep!AK11,Oct!AK11,Nov!AK11,Dec!AK11))</f>
        <v/>
      </c>
      <c r="I14" s="1" t="n"/>
      <c r="J14" s="17" t="inlineStr">
        <is>
          <t>May</t>
        </is>
      </c>
      <c r="K14" s="18">
        <f>IFERROR(May!AH23*1,"")</f>
        <v/>
      </c>
      <c r="L14" s="18">
        <f>IFERROR(May!AH24*1,"")</f>
        <v/>
      </c>
      <c r="M14" s="14">
        <f>IF(OR(IF(Habits!$C$4&lt;YEAR(TODAY()),DAY(EOMONTH(DATE(Habits!$C$4,5,1),0)),IF(Habits!$C$4&gt;YEAR(TODAY()),0,IF(5&lt;MONTH(TODAY()),DAY(EOMONTH(DATE(Habits!$C$4,5,1),0)),IF(5=MONTH(TODAY()),DAY(TODAY()),0))))=0,COUNTIF(B$10:B$24,"?*")=0),"",SUM(May!AH7:AH21)/(IF(Habits!$C$4&lt;YEAR(TODAY()),DAY(EOMONTH(DATE(Habits!$C$4,5,1),0)),IF(Habits!$C$4&gt;YEAR(TODAY()),0,IF(5&lt;MONTH(TODAY()),DAY(EOMONTH(DATE(Habits!$C$4,5,1),0)),IF(5=MONTH(TODAY()),DAY(TODAY()),0))))*COUNTIF(B$10:B$24,"?*")))</f>
        <v/>
      </c>
      <c r="N14" s="1" t="n"/>
      <c r="O14" s="1" t="n"/>
    </row>
    <row r="15">
      <c r="A15" s="1" t="n"/>
      <c r="B15" s="12">
        <f>IF(Habits!B13="","",Habits!B13)</f>
        <v/>
      </c>
      <c r="C15" s="13">
        <f>IF(B15="","",CHOOSE(IF(Habits!$C$4=YEAR(TODAY()),MONTH(TODAY()),12),Jan!AH12,Feb!AH12,Mar!AH12,Apr!AH12,May!AH12,Jun!AH12,Jul!AH12,Aug!AH12,Sep!AH12,Oct!AH12,Nov!AH12,Dec!AH12))</f>
        <v/>
      </c>
      <c r="D15" s="13">
        <f>IF(B15="","",IF(Habits!$C$4=YEAR(TODAY()),DAY(TODAY()),31))</f>
        <v/>
      </c>
      <c r="E15" s="14">
        <f>IF(B15="","",CHOOSE(IF(Habits!$C$4=YEAR(TODAY()),MONTH(TODAY()),12),Jan!AI12,Feb!AI12,Mar!AI12,Apr!AI12,May!AI12,Jun!AI12,Jul!AI12,Aug!AI12,Sep!AI12,Oct!AI12,Nov!AI12,Dec!AI12))</f>
        <v/>
      </c>
      <c r="F15" s="15">
        <f>IF(OR(B15="",E15=""),"",REPT("█",MIN(8,MAX(0,ROUND((E15)*8,0))))&amp;REPT("░",8-MIN(8,MAX(0,ROUND((E15)*8,0)))))</f>
        <v/>
      </c>
      <c r="G15" s="16">
        <f>IF(B15="","",CHOOSE(IF(Habits!$C$4=YEAR(TODAY()),MONTH(TODAY()),12),Jan!AJ12,Feb!AJ12,Mar!AJ12,Apr!AJ12,May!AJ12,Jun!AJ12,Jul!AJ12,Aug!AJ12,Sep!AJ12,Oct!AJ12,Nov!AJ12,Dec!AJ12))</f>
        <v/>
      </c>
      <c r="H15" s="13">
        <f>IF(B15="","",MAX(Jan!AK12,Feb!AK12,Mar!AK12,Apr!AK12,May!AK12,Jun!AK12,Jul!AK12,Aug!AK12,Sep!AK12,Oct!AK12,Nov!AK12,Dec!AK12))</f>
        <v/>
      </c>
      <c r="I15" s="1" t="n"/>
      <c r="J15" s="17" t="inlineStr">
        <is>
          <t>Jun</t>
        </is>
      </c>
      <c r="K15" s="18">
        <f>IFERROR(Jun!AH23*1,"")</f>
        <v/>
      </c>
      <c r="L15" s="18">
        <f>IFERROR(Jun!AH24*1,"")</f>
        <v/>
      </c>
      <c r="M15" s="14">
        <f>IF(OR(IF(Habits!$C$4&lt;YEAR(TODAY()),DAY(EOMONTH(DATE(Habits!$C$4,6,1),0)),IF(Habits!$C$4&gt;YEAR(TODAY()),0,IF(6&lt;MONTH(TODAY()),DAY(EOMONTH(DATE(Habits!$C$4,6,1),0)),IF(6=MONTH(TODAY()),DAY(TODAY()),0))))=0,COUNTIF(B$10:B$24,"?*")=0),"",SUM(Jun!AH7:AH21)/(IF(Habits!$C$4&lt;YEAR(TODAY()),DAY(EOMONTH(DATE(Habits!$C$4,6,1),0)),IF(Habits!$C$4&gt;YEAR(TODAY()),0,IF(6&lt;MONTH(TODAY()),DAY(EOMONTH(DATE(Habits!$C$4,6,1),0)),IF(6=MONTH(TODAY()),DAY(TODAY()),0))))*COUNTIF(B$10:B$24,"?*")))</f>
        <v/>
      </c>
      <c r="N15" s="1" t="n"/>
      <c r="O15" s="1" t="n"/>
    </row>
    <row r="16">
      <c r="A16" s="1" t="n"/>
      <c r="B16" s="12">
        <f>IF(Habits!B14="","",Habits!B14)</f>
        <v/>
      </c>
      <c r="C16" s="13">
        <f>IF(B16="","",CHOOSE(IF(Habits!$C$4=YEAR(TODAY()),MONTH(TODAY()),12),Jan!AH13,Feb!AH13,Mar!AH13,Apr!AH13,May!AH13,Jun!AH13,Jul!AH13,Aug!AH13,Sep!AH13,Oct!AH13,Nov!AH13,Dec!AH13))</f>
        <v/>
      </c>
      <c r="D16" s="13">
        <f>IF(B16="","",IF(Habits!$C$4=YEAR(TODAY()),DAY(TODAY()),31))</f>
        <v/>
      </c>
      <c r="E16" s="14">
        <f>IF(B16="","",CHOOSE(IF(Habits!$C$4=YEAR(TODAY()),MONTH(TODAY()),12),Jan!AI13,Feb!AI13,Mar!AI13,Apr!AI13,May!AI13,Jun!AI13,Jul!AI13,Aug!AI13,Sep!AI13,Oct!AI13,Nov!AI13,Dec!AI13))</f>
        <v/>
      </c>
      <c r="F16" s="15">
        <f>IF(OR(B16="",E16=""),"",REPT("█",MIN(8,MAX(0,ROUND((E16)*8,0))))&amp;REPT("░",8-MIN(8,MAX(0,ROUND((E16)*8,0)))))</f>
        <v/>
      </c>
      <c r="G16" s="16">
        <f>IF(B16="","",CHOOSE(IF(Habits!$C$4=YEAR(TODAY()),MONTH(TODAY()),12),Jan!AJ13,Feb!AJ13,Mar!AJ13,Apr!AJ13,May!AJ13,Jun!AJ13,Jul!AJ13,Aug!AJ13,Sep!AJ13,Oct!AJ13,Nov!AJ13,Dec!AJ13))</f>
        <v/>
      </c>
      <c r="H16" s="13">
        <f>IF(B16="","",MAX(Jan!AK13,Feb!AK13,Mar!AK13,Apr!AK13,May!AK13,Jun!AK13,Jul!AK13,Aug!AK13,Sep!AK13,Oct!AK13,Nov!AK13,Dec!AK13))</f>
        <v/>
      </c>
      <c r="I16" s="1" t="n"/>
      <c r="J16" s="17" t="inlineStr">
        <is>
          <t>Jul</t>
        </is>
      </c>
      <c r="K16" s="18">
        <f>IFERROR(Jul!AH23*1,"")</f>
        <v/>
      </c>
      <c r="L16" s="18">
        <f>IFERROR(Jul!AH24*1,"")</f>
        <v/>
      </c>
      <c r="M16" s="14">
        <f>IF(OR(IF(Habits!$C$4&lt;YEAR(TODAY()),DAY(EOMONTH(DATE(Habits!$C$4,7,1),0)),IF(Habits!$C$4&gt;YEAR(TODAY()),0,IF(7&lt;MONTH(TODAY()),DAY(EOMONTH(DATE(Habits!$C$4,7,1),0)),IF(7=MONTH(TODAY()),DAY(TODAY()),0))))=0,COUNTIF(B$10:B$24,"?*")=0),"",SUM(Jul!AH7:AH21)/(IF(Habits!$C$4&lt;YEAR(TODAY()),DAY(EOMONTH(DATE(Habits!$C$4,7,1),0)),IF(Habits!$C$4&gt;YEAR(TODAY()),0,IF(7&lt;MONTH(TODAY()),DAY(EOMONTH(DATE(Habits!$C$4,7,1),0)),IF(7=MONTH(TODAY()),DAY(TODAY()),0))))*COUNTIF(B$10:B$24,"?*")))</f>
        <v/>
      </c>
      <c r="N16" s="1" t="n"/>
      <c r="O16" s="1" t="n"/>
    </row>
    <row r="17">
      <c r="A17" s="1" t="n"/>
      <c r="B17" s="12">
        <f>IF(Habits!B15="","",Habits!B15)</f>
        <v/>
      </c>
      <c r="C17" s="13">
        <f>IF(B17="","",CHOOSE(IF(Habits!$C$4=YEAR(TODAY()),MONTH(TODAY()),12),Jan!AH14,Feb!AH14,Mar!AH14,Apr!AH14,May!AH14,Jun!AH14,Jul!AH14,Aug!AH14,Sep!AH14,Oct!AH14,Nov!AH14,Dec!AH14))</f>
        <v/>
      </c>
      <c r="D17" s="13">
        <f>IF(B17="","",IF(Habits!$C$4=YEAR(TODAY()),DAY(TODAY()),31))</f>
        <v/>
      </c>
      <c r="E17" s="14">
        <f>IF(B17="","",CHOOSE(IF(Habits!$C$4=YEAR(TODAY()),MONTH(TODAY()),12),Jan!AI14,Feb!AI14,Mar!AI14,Apr!AI14,May!AI14,Jun!AI14,Jul!AI14,Aug!AI14,Sep!AI14,Oct!AI14,Nov!AI14,Dec!AI14))</f>
        <v/>
      </c>
      <c r="F17" s="15">
        <f>IF(OR(B17="",E17=""),"",REPT("█",MIN(8,MAX(0,ROUND((E17)*8,0))))&amp;REPT("░",8-MIN(8,MAX(0,ROUND((E17)*8,0)))))</f>
        <v/>
      </c>
      <c r="G17" s="16">
        <f>IF(B17="","",CHOOSE(IF(Habits!$C$4=YEAR(TODAY()),MONTH(TODAY()),12),Jan!AJ14,Feb!AJ14,Mar!AJ14,Apr!AJ14,May!AJ14,Jun!AJ14,Jul!AJ14,Aug!AJ14,Sep!AJ14,Oct!AJ14,Nov!AJ14,Dec!AJ14))</f>
        <v/>
      </c>
      <c r="H17" s="13">
        <f>IF(B17="","",MAX(Jan!AK14,Feb!AK14,Mar!AK14,Apr!AK14,May!AK14,Jun!AK14,Jul!AK14,Aug!AK14,Sep!AK14,Oct!AK14,Nov!AK14,Dec!AK14))</f>
        <v/>
      </c>
      <c r="I17" s="1" t="n"/>
      <c r="J17" s="17" t="inlineStr">
        <is>
          <t>Aug</t>
        </is>
      </c>
      <c r="K17" s="18">
        <f>IFERROR(Aug!AH23*1,"")</f>
        <v/>
      </c>
      <c r="L17" s="18">
        <f>IFERROR(Aug!AH24*1,"")</f>
        <v/>
      </c>
      <c r="M17" s="14">
        <f>IF(OR(IF(Habits!$C$4&lt;YEAR(TODAY()),DAY(EOMONTH(DATE(Habits!$C$4,8,1),0)),IF(Habits!$C$4&gt;YEAR(TODAY()),0,IF(8&lt;MONTH(TODAY()),DAY(EOMONTH(DATE(Habits!$C$4,8,1),0)),IF(8=MONTH(TODAY()),DAY(TODAY()),0))))=0,COUNTIF(B$10:B$24,"?*")=0),"",SUM(Aug!AH7:AH21)/(IF(Habits!$C$4&lt;YEAR(TODAY()),DAY(EOMONTH(DATE(Habits!$C$4,8,1),0)),IF(Habits!$C$4&gt;YEAR(TODAY()),0,IF(8&lt;MONTH(TODAY()),DAY(EOMONTH(DATE(Habits!$C$4,8,1),0)),IF(8=MONTH(TODAY()),DAY(TODAY()),0))))*COUNTIF(B$10:B$24,"?*")))</f>
        <v/>
      </c>
      <c r="N17" s="1" t="n"/>
      <c r="O17" s="1" t="n"/>
    </row>
    <row r="18">
      <c r="A18" s="1" t="n"/>
      <c r="B18" s="12">
        <f>IF(Habits!B16="","",Habits!B16)</f>
        <v/>
      </c>
      <c r="C18" s="13">
        <f>IF(B18="","",CHOOSE(IF(Habits!$C$4=YEAR(TODAY()),MONTH(TODAY()),12),Jan!AH15,Feb!AH15,Mar!AH15,Apr!AH15,May!AH15,Jun!AH15,Jul!AH15,Aug!AH15,Sep!AH15,Oct!AH15,Nov!AH15,Dec!AH15))</f>
        <v/>
      </c>
      <c r="D18" s="13">
        <f>IF(B18="","",IF(Habits!$C$4=YEAR(TODAY()),DAY(TODAY()),31))</f>
        <v/>
      </c>
      <c r="E18" s="14">
        <f>IF(B18="","",CHOOSE(IF(Habits!$C$4=YEAR(TODAY()),MONTH(TODAY()),12),Jan!AI15,Feb!AI15,Mar!AI15,Apr!AI15,May!AI15,Jun!AI15,Jul!AI15,Aug!AI15,Sep!AI15,Oct!AI15,Nov!AI15,Dec!AI15))</f>
        <v/>
      </c>
      <c r="F18" s="15">
        <f>IF(OR(B18="",E18=""),"",REPT("█",MIN(8,MAX(0,ROUND((E18)*8,0))))&amp;REPT("░",8-MIN(8,MAX(0,ROUND((E18)*8,0)))))</f>
        <v/>
      </c>
      <c r="G18" s="16">
        <f>IF(B18="","",CHOOSE(IF(Habits!$C$4=YEAR(TODAY()),MONTH(TODAY()),12),Jan!AJ15,Feb!AJ15,Mar!AJ15,Apr!AJ15,May!AJ15,Jun!AJ15,Jul!AJ15,Aug!AJ15,Sep!AJ15,Oct!AJ15,Nov!AJ15,Dec!AJ15))</f>
        <v/>
      </c>
      <c r="H18" s="13">
        <f>IF(B18="","",MAX(Jan!AK15,Feb!AK15,Mar!AK15,Apr!AK15,May!AK15,Jun!AK15,Jul!AK15,Aug!AK15,Sep!AK15,Oct!AK15,Nov!AK15,Dec!AK15))</f>
        <v/>
      </c>
      <c r="I18" s="1" t="n"/>
      <c r="J18" s="17" t="inlineStr">
        <is>
          <t>Sep</t>
        </is>
      </c>
      <c r="K18" s="18">
        <f>IFERROR(Sep!AH23*1,"")</f>
        <v/>
      </c>
      <c r="L18" s="18">
        <f>IFERROR(Sep!AH24*1,"")</f>
        <v/>
      </c>
      <c r="M18" s="14">
        <f>IF(OR(IF(Habits!$C$4&lt;YEAR(TODAY()),DAY(EOMONTH(DATE(Habits!$C$4,9,1),0)),IF(Habits!$C$4&gt;YEAR(TODAY()),0,IF(9&lt;MONTH(TODAY()),DAY(EOMONTH(DATE(Habits!$C$4,9,1),0)),IF(9=MONTH(TODAY()),DAY(TODAY()),0))))=0,COUNTIF(B$10:B$24,"?*")=0),"",SUM(Sep!AH7:AH21)/(IF(Habits!$C$4&lt;YEAR(TODAY()),DAY(EOMONTH(DATE(Habits!$C$4,9,1),0)),IF(Habits!$C$4&gt;YEAR(TODAY()),0,IF(9&lt;MONTH(TODAY()),DAY(EOMONTH(DATE(Habits!$C$4,9,1),0)),IF(9=MONTH(TODAY()),DAY(TODAY()),0))))*COUNTIF(B$10:B$24,"?*")))</f>
        <v/>
      </c>
      <c r="N18" s="1" t="n"/>
      <c r="O18" s="1" t="n"/>
    </row>
    <row r="19">
      <c r="A19" s="1" t="n"/>
      <c r="B19" s="12">
        <f>IF(Habits!B17="","",Habits!B17)</f>
        <v/>
      </c>
      <c r="C19" s="13">
        <f>IF(B19="","",CHOOSE(IF(Habits!$C$4=YEAR(TODAY()),MONTH(TODAY()),12),Jan!AH16,Feb!AH16,Mar!AH16,Apr!AH16,May!AH16,Jun!AH16,Jul!AH16,Aug!AH16,Sep!AH16,Oct!AH16,Nov!AH16,Dec!AH16))</f>
        <v/>
      </c>
      <c r="D19" s="13">
        <f>IF(B19="","",IF(Habits!$C$4=YEAR(TODAY()),DAY(TODAY()),31))</f>
        <v/>
      </c>
      <c r="E19" s="14">
        <f>IF(B19="","",CHOOSE(IF(Habits!$C$4=YEAR(TODAY()),MONTH(TODAY()),12),Jan!AI16,Feb!AI16,Mar!AI16,Apr!AI16,May!AI16,Jun!AI16,Jul!AI16,Aug!AI16,Sep!AI16,Oct!AI16,Nov!AI16,Dec!AI16))</f>
        <v/>
      </c>
      <c r="F19" s="15">
        <f>IF(OR(B19="",E19=""),"",REPT("█",MIN(8,MAX(0,ROUND((E19)*8,0))))&amp;REPT("░",8-MIN(8,MAX(0,ROUND((E19)*8,0)))))</f>
        <v/>
      </c>
      <c r="G19" s="16">
        <f>IF(B19="","",CHOOSE(IF(Habits!$C$4=YEAR(TODAY()),MONTH(TODAY()),12),Jan!AJ16,Feb!AJ16,Mar!AJ16,Apr!AJ16,May!AJ16,Jun!AJ16,Jul!AJ16,Aug!AJ16,Sep!AJ16,Oct!AJ16,Nov!AJ16,Dec!AJ16))</f>
        <v/>
      </c>
      <c r="H19" s="13">
        <f>IF(B19="","",MAX(Jan!AK16,Feb!AK16,Mar!AK16,Apr!AK16,May!AK16,Jun!AK16,Jul!AK16,Aug!AK16,Sep!AK16,Oct!AK16,Nov!AK16,Dec!AK16))</f>
        <v/>
      </c>
      <c r="I19" s="1" t="n"/>
      <c r="J19" s="17" t="inlineStr">
        <is>
          <t>Oct</t>
        </is>
      </c>
      <c r="K19" s="18">
        <f>IFERROR(Oct!AH23*1,"")</f>
        <v/>
      </c>
      <c r="L19" s="18">
        <f>IFERROR(Oct!AH24*1,"")</f>
        <v/>
      </c>
      <c r="M19" s="14">
        <f>IF(OR(IF(Habits!$C$4&lt;YEAR(TODAY()),DAY(EOMONTH(DATE(Habits!$C$4,10,1),0)),IF(Habits!$C$4&gt;YEAR(TODAY()),0,IF(10&lt;MONTH(TODAY()),DAY(EOMONTH(DATE(Habits!$C$4,10,1),0)),IF(10=MONTH(TODAY()),DAY(TODAY()),0))))=0,COUNTIF(B$10:B$24,"?*")=0),"",SUM(Oct!AH7:AH21)/(IF(Habits!$C$4&lt;YEAR(TODAY()),DAY(EOMONTH(DATE(Habits!$C$4,10,1),0)),IF(Habits!$C$4&gt;YEAR(TODAY()),0,IF(10&lt;MONTH(TODAY()),DAY(EOMONTH(DATE(Habits!$C$4,10,1),0)),IF(10=MONTH(TODAY()),DAY(TODAY()),0))))*COUNTIF(B$10:B$24,"?*")))</f>
        <v/>
      </c>
      <c r="N19" s="1" t="n"/>
      <c r="O19" s="1" t="n"/>
    </row>
    <row r="20">
      <c r="A20" s="1" t="n"/>
      <c r="B20" s="12">
        <f>IF(Habits!B18="","",Habits!B18)</f>
        <v/>
      </c>
      <c r="C20" s="13">
        <f>IF(B20="","",CHOOSE(IF(Habits!$C$4=YEAR(TODAY()),MONTH(TODAY()),12),Jan!AH17,Feb!AH17,Mar!AH17,Apr!AH17,May!AH17,Jun!AH17,Jul!AH17,Aug!AH17,Sep!AH17,Oct!AH17,Nov!AH17,Dec!AH17))</f>
        <v/>
      </c>
      <c r="D20" s="13">
        <f>IF(B20="","",IF(Habits!$C$4=YEAR(TODAY()),DAY(TODAY()),31))</f>
        <v/>
      </c>
      <c r="E20" s="14">
        <f>IF(B20="","",CHOOSE(IF(Habits!$C$4=YEAR(TODAY()),MONTH(TODAY()),12),Jan!AI17,Feb!AI17,Mar!AI17,Apr!AI17,May!AI17,Jun!AI17,Jul!AI17,Aug!AI17,Sep!AI17,Oct!AI17,Nov!AI17,Dec!AI17))</f>
        <v/>
      </c>
      <c r="F20" s="15">
        <f>IF(OR(B20="",E20=""),"",REPT("█",MIN(8,MAX(0,ROUND((E20)*8,0))))&amp;REPT("░",8-MIN(8,MAX(0,ROUND((E20)*8,0)))))</f>
        <v/>
      </c>
      <c r="G20" s="16">
        <f>IF(B20="","",CHOOSE(IF(Habits!$C$4=YEAR(TODAY()),MONTH(TODAY()),12),Jan!AJ17,Feb!AJ17,Mar!AJ17,Apr!AJ17,May!AJ17,Jun!AJ17,Jul!AJ17,Aug!AJ17,Sep!AJ17,Oct!AJ17,Nov!AJ17,Dec!AJ17))</f>
        <v/>
      </c>
      <c r="H20" s="13">
        <f>IF(B20="","",MAX(Jan!AK17,Feb!AK17,Mar!AK17,Apr!AK17,May!AK17,Jun!AK17,Jul!AK17,Aug!AK17,Sep!AK17,Oct!AK17,Nov!AK17,Dec!AK17))</f>
        <v/>
      </c>
      <c r="I20" s="1" t="n"/>
      <c r="J20" s="17" t="inlineStr">
        <is>
          <t>Nov</t>
        </is>
      </c>
      <c r="K20" s="18">
        <f>IFERROR(Nov!AH23*1,"")</f>
        <v/>
      </c>
      <c r="L20" s="18">
        <f>IFERROR(Nov!AH24*1,"")</f>
        <v/>
      </c>
      <c r="M20" s="14">
        <f>IF(OR(IF(Habits!$C$4&lt;YEAR(TODAY()),DAY(EOMONTH(DATE(Habits!$C$4,11,1),0)),IF(Habits!$C$4&gt;YEAR(TODAY()),0,IF(11&lt;MONTH(TODAY()),DAY(EOMONTH(DATE(Habits!$C$4,11,1),0)),IF(11=MONTH(TODAY()),DAY(TODAY()),0))))=0,COUNTIF(B$10:B$24,"?*")=0),"",SUM(Nov!AH7:AH21)/(IF(Habits!$C$4&lt;YEAR(TODAY()),DAY(EOMONTH(DATE(Habits!$C$4,11,1),0)),IF(Habits!$C$4&gt;YEAR(TODAY()),0,IF(11&lt;MONTH(TODAY()),DAY(EOMONTH(DATE(Habits!$C$4,11,1),0)),IF(11=MONTH(TODAY()),DAY(TODAY()),0))))*COUNTIF(B$10:B$24,"?*")))</f>
        <v/>
      </c>
      <c r="N20" s="1" t="n"/>
      <c r="O20" s="1" t="n"/>
    </row>
    <row r="21">
      <c r="A21" s="1" t="n"/>
      <c r="B21" s="12">
        <f>IF(Habits!B19="","",Habits!B19)</f>
        <v/>
      </c>
      <c r="C21" s="13">
        <f>IF(B21="","",CHOOSE(IF(Habits!$C$4=YEAR(TODAY()),MONTH(TODAY()),12),Jan!AH18,Feb!AH18,Mar!AH18,Apr!AH18,May!AH18,Jun!AH18,Jul!AH18,Aug!AH18,Sep!AH18,Oct!AH18,Nov!AH18,Dec!AH18))</f>
        <v/>
      </c>
      <c r="D21" s="13">
        <f>IF(B21="","",IF(Habits!$C$4=YEAR(TODAY()),DAY(TODAY()),31))</f>
        <v/>
      </c>
      <c r="E21" s="14">
        <f>IF(B21="","",CHOOSE(IF(Habits!$C$4=YEAR(TODAY()),MONTH(TODAY()),12),Jan!AI18,Feb!AI18,Mar!AI18,Apr!AI18,May!AI18,Jun!AI18,Jul!AI18,Aug!AI18,Sep!AI18,Oct!AI18,Nov!AI18,Dec!AI18))</f>
        <v/>
      </c>
      <c r="F21" s="15">
        <f>IF(OR(B21="",E21=""),"",REPT("█",MIN(8,MAX(0,ROUND((E21)*8,0))))&amp;REPT("░",8-MIN(8,MAX(0,ROUND((E21)*8,0)))))</f>
        <v/>
      </c>
      <c r="G21" s="16">
        <f>IF(B21="","",CHOOSE(IF(Habits!$C$4=YEAR(TODAY()),MONTH(TODAY()),12),Jan!AJ18,Feb!AJ18,Mar!AJ18,Apr!AJ18,May!AJ18,Jun!AJ18,Jul!AJ18,Aug!AJ18,Sep!AJ18,Oct!AJ18,Nov!AJ18,Dec!AJ18))</f>
        <v/>
      </c>
      <c r="H21" s="13">
        <f>IF(B21="","",MAX(Jan!AK18,Feb!AK18,Mar!AK18,Apr!AK18,May!AK18,Jun!AK18,Jul!AK18,Aug!AK18,Sep!AK18,Oct!AK18,Nov!AK18,Dec!AK18))</f>
        <v/>
      </c>
      <c r="I21" s="1" t="n"/>
      <c r="J21" s="17" t="inlineStr">
        <is>
          <t>Dec</t>
        </is>
      </c>
      <c r="K21" s="18">
        <f>IFERROR(Dec!AH23*1,"")</f>
        <v/>
      </c>
      <c r="L21" s="18">
        <f>IFERROR(Dec!AH24*1,"")</f>
        <v/>
      </c>
      <c r="M21" s="14">
        <f>IF(OR(IF(Habits!$C$4&lt;YEAR(TODAY()),DAY(EOMONTH(DATE(Habits!$C$4,12,1),0)),IF(Habits!$C$4&gt;YEAR(TODAY()),0,IF(12&lt;MONTH(TODAY()),DAY(EOMONTH(DATE(Habits!$C$4,12,1),0)),IF(12=MONTH(TODAY()),DAY(TODAY()),0))))=0,COUNTIF(B$10:B$24,"?*")=0),"",SUM(Dec!AH7:AH21)/(IF(Habits!$C$4&lt;YEAR(TODAY()),DAY(EOMONTH(DATE(Habits!$C$4,12,1),0)),IF(Habits!$C$4&gt;YEAR(TODAY()),0,IF(12&lt;MONTH(TODAY()),DAY(EOMONTH(DATE(Habits!$C$4,12,1),0)),IF(12=MONTH(TODAY()),DAY(TODAY()),0))))*COUNTIF(B$10:B$24,"?*")))</f>
        <v/>
      </c>
      <c r="N21" s="1" t="n"/>
      <c r="O21" s="1" t="n"/>
    </row>
    <row r="22">
      <c r="A22" s="1" t="n"/>
      <c r="B22" s="12">
        <f>IF(Habits!B20="","",Habits!B20)</f>
        <v/>
      </c>
      <c r="C22" s="13">
        <f>IF(B22="","",CHOOSE(IF(Habits!$C$4=YEAR(TODAY()),MONTH(TODAY()),12),Jan!AH19,Feb!AH19,Mar!AH19,Apr!AH19,May!AH19,Jun!AH19,Jul!AH19,Aug!AH19,Sep!AH19,Oct!AH19,Nov!AH19,Dec!AH19))</f>
        <v/>
      </c>
      <c r="D22" s="13">
        <f>IF(B22="","",IF(Habits!$C$4=YEAR(TODAY()),DAY(TODAY()),31))</f>
        <v/>
      </c>
      <c r="E22" s="14">
        <f>IF(B22="","",CHOOSE(IF(Habits!$C$4=YEAR(TODAY()),MONTH(TODAY()),12),Jan!AI19,Feb!AI19,Mar!AI19,Apr!AI19,May!AI19,Jun!AI19,Jul!AI19,Aug!AI19,Sep!AI19,Oct!AI19,Nov!AI19,Dec!AI19))</f>
        <v/>
      </c>
      <c r="F22" s="15">
        <f>IF(OR(B22="",E22=""),"",REPT("█",MIN(8,MAX(0,ROUND((E22)*8,0))))&amp;REPT("░",8-MIN(8,MAX(0,ROUND((E22)*8,0)))))</f>
        <v/>
      </c>
      <c r="G22" s="16">
        <f>IF(B22="","",CHOOSE(IF(Habits!$C$4=YEAR(TODAY()),MONTH(TODAY()),12),Jan!AJ19,Feb!AJ19,Mar!AJ19,Apr!AJ19,May!AJ19,Jun!AJ19,Jul!AJ19,Aug!AJ19,Sep!AJ19,Oct!AJ19,Nov!AJ19,Dec!AJ19))</f>
        <v/>
      </c>
      <c r="H22" s="13">
        <f>IF(B22="","",MAX(Jan!AK19,Feb!AK19,Mar!AK19,Apr!AK19,May!AK19,Jun!AK19,Jul!AK19,Aug!AK19,Sep!AK19,Oct!AK19,Nov!AK19,Dec!AK19))</f>
        <v/>
      </c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2">
        <f>IF(Habits!B21="","",Habits!B21)</f>
        <v/>
      </c>
      <c r="C23" s="13">
        <f>IF(B23="","",CHOOSE(IF(Habits!$C$4=YEAR(TODAY()),MONTH(TODAY()),12),Jan!AH20,Feb!AH20,Mar!AH20,Apr!AH20,May!AH20,Jun!AH20,Jul!AH20,Aug!AH20,Sep!AH20,Oct!AH20,Nov!AH20,Dec!AH20))</f>
        <v/>
      </c>
      <c r="D23" s="13">
        <f>IF(B23="","",IF(Habits!$C$4=YEAR(TODAY()),DAY(TODAY()),31))</f>
        <v/>
      </c>
      <c r="E23" s="14">
        <f>IF(B23="","",CHOOSE(IF(Habits!$C$4=YEAR(TODAY()),MONTH(TODAY()),12),Jan!AI20,Feb!AI20,Mar!AI20,Apr!AI20,May!AI20,Jun!AI20,Jul!AI20,Aug!AI20,Sep!AI20,Oct!AI20,Nov!AI20,Dec!AI20))</f>
        <v/>
      </c>
      <c r="F23" s="15">
        <f>IF(OR(B23="",E23=""),"",REPT("█",MIN(8,MAX(0,ROUND((E23)*8,0))))&amp;REPT("░",8-MIN(8,MAX(0,ROUND((E23)*8,0)))))</f>
        <v/>
      </c>
      <c r="G23" s="16">
        <f>IF(B23="","",CHOOSE(IF(Habits!$C$4=YEAR(TODAY()),MONTH(TODAY()),12),Jan!AJ20,Feb!AJ20,Mar!AJ20,Apr!AJ20,May!AJ20,Jun!AJ20,Jul!AJ20,Aug!AJ20,Sep!AJ20,Oct!AJ20,Nov!AJ20,Dec!AJ20))</f>
        <v/>
      </c>
      <c r="H23" s="13">
        <f>IF(B23="","",MAX(Jan!AK20,Feb!AK20,Mar!AK20,Apr!AK20,May!AK20,Jun!AK20,Jul!AK20,Aug!AK20,Sep!AK20,Oct!AK20,Nov!AK20,Dec!AK20))</f>
        <v/>
      </c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2">
        <f>IF(Habits!B22="","",Habits!B22)</f>
        <v/>
      </c>
      <c r="C24" s="13">
        <f>IF(B24="","",CHOOSE(IF(Habits!$C$4=YEAR(TODAY()),MONTH(TODAY()),12),Jan!AH21,Feb!AH21,Mar!AH21,Apr!AH21,May!AH21,Jun!AH21,Jul!AH21,Aug!AH21,Sep!AH21,Oct!AH21,Nov!AH21,Dec!AH21))</f>
        <v/>
      </c>
      <c r="D24" s="13">
        <f>IF(B24="","",IF(Habits!$C$4=YEAR(TODAY()),DAY(TODAY()),31))</f>
        <v/>
      </c>
      <c r="E24" s="14">
        <f>IF(B24="","",CHOOSE(IF(Habits!$C$4=YEAR(TODAY()),MONTH(TODAY()),12),Jan!AI21,Feb!AI21,Mar!AI21,Apr!AI21,May!AI21,Jun!AI21,Jul!AI21,Aug!AI21,Sep!AI21,Oct!AI21,Nov!AI21,Dec!AI21))</f>
        <v/>
      </c>
      <c r="F24" s="15">
        <f>IF(OR(B24="",E24=""),"",REPT("█",MIN(8,MAX(0,ROUND((E24)*8,0))))&amp;REPT("░",8-MIN(8,MAX(0,ROUND((E24)*8,0)))))</f>
        <v/>
      </c>
      <c r="G24" s="16">
        <f>IF(B24="","",CHOOSE(IF(Habits!$C$4=YEAR(TODAY()),MONTH(TODAY()),12),Jan!AJ21,Feb!AJ21,Mar!AJ21,Apr!AJ21,May!AJ21,Jun!AJ21,Jul!AJ21,Aug!AJ21,Sep!AJ21,Oct!AJ21,Nov!AJ21,Dec!AJ21))</f>
        <v/>
      </c>
      <c r="H24" s="13">
        <f>IF(B24="","",MAX(Jan!AK21,Feb!AK21,Mar!AK21,Apr!AK21,May!AK21,Jun!AK21,Jul!AK21,Aug!AK21,Sep!AK21,Oct!AK21,Nov!AK21,Dec!AK21))</f>
        <v/>
      </c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 ht="30" customHeight="1">
      <c r="A27" s="1" t="n"/>
      <c r="B27" s="10" t="inlineStr">
        <is>
          <t>Share of days</t>
        </is>
      </c>
      <c r="C27" s="10" t="inlineStr">
        <is>
          <t>Jan</t>
        </is>
      </c>
      <c r="D27" s="10" t="inlineStr">
        <is>
          <t>Feb</t>
        </is>
      </c>
      <c r="E27" s="10" t="inlineStr">
        <is>
          <t>Mar</t>
        </is>
      </c>
      <c r="F27" s="10" t="inlineStr">
        <is>
          <t>Apr</t>
        </is>
      </c>
      <c r="G27" s="10" t="inlineStr">
        <is>
          <t>May</t>
        </is>
      </c>
      <c r="H27" s="10" t="inlineStr">
        <is>
          <t>Jun</t>
        </is>
      </c>
      <c r="I27" s="10" t="inlineStr">
        <is>
          <t>Jul</t>
        </is>
      </c>
      <c r="J27" s="10" t="inlineStr">
        <is>
          <t>Aug</t>
        </is>
      </c>
      <c r="K27" s="10" t="inlineStr">
        <is>
          <t>Sep</t>
        </is>
      </c>
      <c r="L27" s="10" t="inlineStr">
        <is>
          <t>Oct</t>
        </is>
      </c>
      <c r="M27" s="10" t="inlineStr">
        <is>
          <t>Nov</t>
        </is>
      </c>
      <c r="N27" s="10" t="inlineStr">
        <is>
          <t>Dec</t>
        </is>
      </c>
      <c r="O27" s="1" t="n"/>
    </row>
    <row r="28">
      <c r="A28" s="1" t="n"/>
      <c r="B28" s="12">
        <f>B10</f>
        <v/>
      </c>
      <c r="C28" s="14">
        <f>IF($B28="","",Jan!AI7)</f>
        <v/>
      </c>
      <c r="D28" s="14">
        <f>IF($B28="","",Feb!AI7)</f>
        <v/>
      </c>
      <c r="E28" s="14">
        <f>IF($B28="","",Mar!AI7)</f>
        <v/>
      </c>
      <c r="F28" s="14">
        <f>IF($B28="","",Apr!AI7)</f>
        <v/>
      </c>
      <c r="G28" s="14">
        <f>IF($B28="","",May!AI7)</f>
        <v/>
      </c>
      <c r="H28" s="14">
        <f>IF($B28="","",Jun!AI7)</f>
        <v/>
      </c>
      <c r="I28" s="14">
        <f>IF($B28="","",Jul!AI7)</f>
        <v/>
      </c>
      <c r="J28" s="14">
        <f>IF($B28="","",Aug!AI7)</f>
        <v/>
      </c>
      <c r="K28" s="14">
        <f>IF($B28="","",Sep!AI7)</f>
        <v/>
      </c>
      <c r="L28" s="14">
        <f>IF($B28="","",Oct!AI7)</f>
        <v/>
      </c>
      <c r="M28" s="14">
        <f>IF($B28="","",Nov!AI7)</f>
        <v/>
      </c>
      <c r="N28" s="14">
        <f>IF($B28="","",Dec!AI7)</f>
        <v/>
      </c>
      <c r="O28" s="1" t="n"/>
    </row>
    <row r="29">
      <c r="A29" s="1" t="n"/>
      <c r="B29" s="12">
        <f>B11</f>
        <v/>
      </c>
      <c r="C29" s="14">
        <f>IF($B29="","",Jan!AI8)</f>
        <v/>
      </c>
      <c r="D29" s="14">
        <f>IF($B29="","",Feb!AI8)</f>
        <v/>
      </c>
      <c r="E29" s="14">
        <f>IF($B29="","",Mar!AI8)</f>
        <v/>
      </c>
      <c r="F29" s="14">
        <f>IF($B29="","",Apr!AI8)</f>
        <v/>
      </c>
      <c r="G29" s="14">
        <f>IF($B29="","",May!AI8)</f>
        <v/>
      </c>
      <c r="H29" s="14">
        <f>IF($B29="","",Jun!AI8)</f>
        <v/>
      </c>
      <c r="I29" s="14">
        <f>IF($B29="","",Jul!AI8)</f>
        <v/>
      </c>
      <c r="J29" s="14">
        <f>IF($B29="","",Aug!AI8)</f>
        <v/>
      </c>
      <c r="K29" s="14">
        <f>IF($B29="","",Sep!AI8)</f>
        <v/>
      </c>
      <c r="L29" s="14">
        <f>IF($B29="","",Oct!AI8)</f>
        <v/>
      </c>
      <c r="M29" s="14">
        <f>IF($B29="","",Nov!AI8)</f>
        <v/>
      </c>
      <c r="N29" s="14">
        <f>IF($B29="","",Dec!AI8)</f>
        <v/>
      </c>
      <c r="O29" s="1" t="n"/>
    </row>
    <row r="30">
      <c r="A30" s="1" t="n"/>
      <c r="B30" s="12">
        <f>B12</f>
        <v/>
      </c>
      <c r="C30" s="14">
        <f>IF($B30="","",Jan!AI9)</f>
        <v/>
      </c>
      <c r="D30" s="14">
        <f>IF($B30="","",Feb!AI9)</f>
        <v/>
      </c>
      <c r="E30" s="14">
        <f>IF($B30="","",Mar!AI9)</f>
        <v/>
      </c>
      <c r="F30" s="14">
        <f>IF($B30="","",Apr!AI9)</f>
        <v/>
      </c>
      <c r="G30" s="14">
        <f>IF($B30="","",May!AI9)</f>
        <v/>
      </c>
      <c r="H30" s="14">
        <f>IF($B30="","",Jun!AI9)</f>
        <v/>
      </c>
      <c r="I30" s="14">
        <f>IF($B30="","",Jul!AI9)</f>
        <v/>
      </c>
      <c r="J30" s="14">
        <f>IF($B30="","",Aug!AI9)</f>
        <v/>
      </c>
      <c r="K30" s="14">
        <f>IF($B30="","",Sep!AI9)</f>
        <v/>
      </c>
      <c r="L30" s="14">
        <f>IF($B30="","",Oct!AI9)</f>
        <v/>
      </c>
      <c r="M30" s="14">
        <f>IF($B30="","",Nov!AI9)</f>
        <v/>
      </c>
      <c r="N30" s="14">
        <f>IF($B30="","",Dec!AI9)</f>
        <v/>
      </c>
      <c r="O30" s="1" t="n"/>
    </row>
    <row r="31">
      <c r="A31" s="1" t="n"/>
      <c r="B31" s="12">
        <f>B13</f>
        <v/>
      </c>
      <c r="C31" s="14">
        <f>IF($B31="","",Jan!AI10)</f>
        <v/>
      </c>
      <c r="D31" s="14">
        <f>IF($B31="","",Feb!AI10)</f>
        <v/>
      </c>
      <c r="E31" s="14">
        <f>IF($B31="","",Mar!AI10)</f>
        <v/>
      </c>
      <c r="F31" s="14">
        <f>IF($B31="","",Apr!AI10)</f>
        <v/>
      </c>
      <c r="G31" s="14">
        <f>IF($B31="","",May!AI10)</f>
        <v/>
      </c>
      <c r="H31" s="14">
        <f>IF($B31="","",Jun!AI10)</f>
        <v/>
      </c>
      <c r="I31" s="14">
        <f>IF($B31="","",Jul!AI10)</f>
        <v/>
      </c>
      <c r="J31" s="14">
        <f>IF($B31="","",Aug!AI10)</f>
        <v/>
      </c>
      <c r="K31" s="14">
        <f>IF($B31="","",Sep!AI10)</f>
        <v/>
      </c>
      <c r="L31" s="14">
        <f>IF($B31="","",Oct!AI10)</f>
        <v/>
      </c>
      <c r="M31" s="14">
        <f>IF($B31="","",Nov!AI10)</f>
        <v/>
      </c>
      <c r="N31" s="14">
        <f>IF($B31="","",Dec!AI10)</f>
        <v/>
      </c>
      <c r="O31" s="1" t="n"/>
    </row>
    <row r="32">
      <c r="A32" s="1" t="n"/>
      <c r="B32" s="12">
        <f>B14</f>
        <v/>
      </c>
      <c r="C32" s="14">
        <f>IF($B32="","",Jan!AI11)</f>
        <v/>
      </c>
      <c r="D32" s="14">
        <f>IF($B32="","",Feb!AI11)</f>
        <v/>
      </c>
      <c r="E32" s="14">
        <f>IF($B32="","",Mar!AI11)</f>
        <v/>
      </c>
      <c r="F32" s="14">
        <f>IF($B32="","",Apr!AI11)</f>
        <v/>
      </c>
      <c r="G32" s="14">
        <f>IF($B32="","",May!AI11)</f>
        <v/>
      </c>
      <c r="H32" s="14">
        <f>IF($B32="","",Jun!AI11)</f>
        <v/>
      </c>
      <c r="I32" s="14">
        <f>IF($B32="","",Jul!AI11)</f>
        <v/>
      </c>
      <c r="J32" s="14">
        <f>IF($B32="","",Aug!AI11)</f>
        <v/>
      </c>
      <c r="K32" s="14">
        <f>IF($B32="","",Sep!AI11)</f>
        <v/>
      </c>
      <c r="L32" s="14">
        <f>IF($B32="","",Oct!AI11)</f>
        <v/>
      </c>
      <c r="M32" s="14">
        <f>IF($B32="","",Nov!AI11)</f>
        <v/>
      </c>
      <c r="N32" s="14">
        <f>IF($B32="","",Dec!AI11)</f>
        <v/>
      </c>
      <c r="O32" s="1" t="n"/>
    </row>
    <row r="33">
      <c r="A33" s="1" t="n"/>
      <c r="B33" s="12">
        <f>B15</f>
        <v/>
      </c>
      <c r="C33" s="14">
        <f>IF($B33="","",Jan!AI12)</f>
        <v/>
      </c>
      <c r="D33" s="14">
        <f>IF($B33="","",Feb!AI12)</f>
        <v/>
      </c>
      <c r="E33" s="14">
        <f>IF($B33="","",Mar!AI12)</f>
        <v/>
      </c>
      <c r="F33" s="14">
        <f>IF($B33="","",Apr!AI12)</f>
        <v/>
      </c>
      <c r="G33" s="14">
        <f>IF($B33="","",May!AI12)</f>
        <v/>
      </c>
      <c r="H33" s="14">
        <f>IF($B33="","",Jun!AI12)</f>
        <v/>
      </c>
      <c r="I33" s="14">
        <f>IF($B33="","",Jul!AI12)</f>
        <v/>
      </c>
      <c r="J33" s="14">
        <f>IF($B33="","",Aug!AI12)</f>
        <v/>
      </c>
      <c r="K33" s="14">
        <f>IF($B33="","",Sep!AI12)</f>
        <v/>
      </c>
      <c r="L33" s="14">
        <f>IF($B33="","",Oct!AI12)</f>
        <v/>
      </c>
      <c r="M33" s="14">
        <f>IF($B33="","",Nov!AI12)</f>
        <v/>
      </c>
      <c r="N33" s="14">
        <f>IF($B33="","",Dec!AI12)</f>
        <v/>
      </c>
      <c r="O33" s="1" t="n"/>
    </row>
    <row r="34">
      <c r="A34" s="1" t="n"/>
      <c r="B34" s="12">
        <f>B16</f>
        <v/>
      </c>
      <c r="C34" s="14">
        <f>IF($B34="","",Jan!AI13)</f>
        <v/>
      </c>
      <c r="D34" s="14">
        <f>IF($B34="","",Feb!AI13)</f>
        <v/>
      </c>
      <c r="E34" s="14">
        <f>IF($B34="","",Mar!AI13)</f>
        <v/>
      </c>
      <c r="F34" s="14">
        <f>IF($B34="","",Apr!AI13)</f>
        <v/>
      </c>
      <c r="G34" s="14">
        <f>IF($B34="","",May!AI13)</f>
        <v/>
      </c>
      <c r="H34" s="14">
        <f>IF($B34="","",Jun!AI13)</f>
        <v/>
      </c>
      <c r="I34" s="14">
        <f>IF($B34="","",Jul!AI13)</f>
        <v/>
      </c>
      <c r="J34" s="14">
        <f>IF($B34="","",Aug!AI13)</f>
        <v/>
      </c>
      <c r="K34" s="14">
        <f>IF($B34="","",Sep!AI13)</f>
        <v/>
      </c>
      <c r="L34" s="14">
        <f>IF($B34="","",Oct!AI13)</f>
        <v/>
      </c>
      <c r="M34" s="14">
        <f>IF($B34="","",Nov!AI13)</f>
        <v/>
      </c>
      <c r="N34" s="14">
        <f>IF($B34="","",Dec!AI13)</f>
        <v/>
      </c>
      <c r="O34" s="1" t="n"/>
    </row>
    <row r="35">
      <c r="A35" s="1" t="n"/>
      <c r="B35" s="12">
        <f>B17</f>
        <v/>
      </c>
      <c r="C35" s="14">
        <f>IF($B35="","",Jan!AI14)</f>
        <v/>
      </c>
      <c r="D35" s="14">
        <f>IF($B35="","",Feb!AI14)</f>
        <v/>
      </c>
      <c r="E35" s="14">
        <f>IF($B35="","",Mar!AI14)</f>
        <v/>
      </c>
      <c r="F35" s="14">
        <f>IF($B35="","",Apr!AI14)</f>
        <v/>
      </c>
      <c r="G35" s="14">
        <f>IF($B35="","",May!AI14)</f>
        <v/>
      </c>
      <c r="H35" s="14">
        <f>IF($B35="","",Jun!AI14)</f>
        <v/>
      </c>
      <c r="I35" s="14">
        <f>IF($B35="","",Jul!AI14)</f>
        <v/>
      </c>
      <c r="J35" s="14">
        <f>IF($B35="","",Aug!AI14)</f>
        <v/>
      </c>
      <c r="K35" s="14">
        <f>IF($B35="","",Sep!AI14)</f>
        <v/>
      </c>
      <c r="L35" s="14">
        <f>IF($B35="","",Oct!AI14)</f>
        <v/>
      </c>
      <c r="M35" s="14">
        <f>IF($B35="","",Nov!AI14)</f>
        <v/>
      </c>
      <c r="N35" s="14">
        <f>IF($B35="","",Dec!AI14)</f>
        <v/>
      </c>
      <c r="O35" s="1" t="n"/>
    </row>
    <row r="36">
      <c r="A36" s="1" t="n"/>
      <c r="B36" s="12">
        <f>B18</f>
        <v/>
      </c>
      <c r="C36" s="14">
        <f>IF($B36="","",Jan!AI15)</f>
        <v/>
      </c>
      <c r="D36" s="14">
        <f>IF($B36="","",Feb!AI15)</f>
        <v/>
      </c>
      <c r="E36" s="14">
        <f>IF($B36="","",Mar!AI15)</f>
        <v/>
      </c>
      <c r="F36" s="14">
        <f>IF($B36="","",Apr!AI15)</f>
        <v/>
      </c>
      <c r="G36" s="14">
        <f>IF($B36="","",May!AI15)</f>
        <v/>
      </c>
      <c r="H36" s="14">
        <f>IF($B36="","",Jun!AI15)</f>
        <v/>
      </c>
      <c r="I36" s="14">
        <f>IF($B36="","",Jul!AI15)</f>
        <v/>
      </c>
      <c r="J36" s="14">
        <f>IF($B36="","",Aug!AI15)</f>
        <v/>
      </c>
      <c r="K36" s="14">
        <f>IF($B36="","",Sep!AI15)</f>
        <v/>
      </c>
      <c r="L36" s="14">
        <f>IF($B36="","",Oct!AI15)</f>
        <v/>
      </c>
      <c r="M36" s="14">
        <f>IF($B36="","",Nov!AI15)</f>
        <v/>
      </c>
      <c r="N36" s="14">
        <f>IF($B36="","",Dec!AI15)</f>
        <v/>
      </c>
      <c r="O36" s="1" t="n"/>
    </row>
    <row r="37">
      <c r="A37" s="1" t="n"/>
      <c r="B37" s="12">
        <f>B19</f>
        <v/>
      </c>
      <c r="C37" s="14">
        <f>IF($B37="","",Jan!AI16)</f>
        <v/>
      </c>
      <c r="D37" s="14">
        <f>IF($B37="","",Feb!AI16)</f>
        <v/>
      </c>
      <c r="E37" s="14">
        <f>IF($B37="","",Mar!AI16)</f>
        <v/>
      </c>
      <c r="F37" s="14">
        <f>IF($B37="","",Apr!AI16)</f>
        <v/>
      </c>
      <c r="G37" s="14">
        <f>IF($B37="","",May!AI16)</f>
        <v/>
      </c>
      <c r="H37" s="14">
        <f>IF($B37="","",Jun!AI16)</f>
        <v/>
      </c>
      <c r="I37" s="14">
        <f>IF($B37="","",Jul!AI16)</f>
        <v/>
      </c>
      <c r="J37" s="14">
        <f>IF($B37="","",Aug!AI16)</f>
        <v/>
      </c>
      <c r="K37" s="14">
        <f>IF($B37="","",Sep!AI16)</f>
        <v/>
      </c>
      <c r="L37" s="14">
        <f>IF($B37="","",Oct!AI16)</f>
        <v/>
      </c>
      <c r="M37" s="14">
        <f>IF($B37="","",Nov!AI16)</f>
        <v/>
      </c>
      <c r="N37" s="14">
        <f>IF($B37="","",Dec!AI16)</f>
        <v/>
      </c>
      <c r="O37" s="1" t="n"/>
    </row>
    <row r="38">
      <c r="A38" s="1" t="n"/>
      <c r="B38" s="12">
        <f>B20</f>
        <v/>
      </c>
      <c r="C38" s="14">
        <f>IF($B38="","",Jan!AI17)</f>
        <v/>
      </c>
      <c r="D38" s="14">
        <f>IF($B38="","",Feb!AI17)</f>
        <v/>
      </c>
      <c r="E38" s="14">
        <f>IF($B38="","",Mar!AI17)</f>
        <v/>
      </c>
      <c r="F38" s="14">
        <f>IF($B38="","",Apr!AI17)</f>
        <v/>
      </c>
      <c r="G38" s="14">
        <f>IF($B38="","",May!AI17)</f>
        <v/>
      </c>
      <c r="H38" s="14">
        <f>IF($B38="","",Jun!AI17)</f>
        <v/>
      </c>
      <c r="I38" s="14">
        <f>IF($B38="","",Jul!AI17)</f>
        <v/>
      </c>
      <c r="J38" s="14">
        <f>IF($B38="","",Aug!AI17)</f>
        <v/>
      </c>
      <c r="K38" s="14">
        <f>IF($B38="","",Sep!AI17)</f>
        <v/>
      </c>
      <c r="L38" s="14">
        <f>IF($B38="","",Oct!AI17)</f>
        <v/>
      </c>
      <c r="M38" s="14">
        <f>IF($B38="","",Nov!AI17)</f>
        <v/>
      </c>
      <c r="N38" s="14">
        <f>IF($B38="","",Dec!AI17)</f>
        <v/>
      </c>
      <c r="O38" s="1" t="n"/>
    </row>
    <row r="39">
      <c r="A39" s="1" t="n"/>
      <c r="B39" s="12">
        <f>B21</f>
        <v/>
      </c>
      <c r="C39" s="14">
        <f>IF($B39="","",Jan!AI18)</f>
        <v/>
      </c>
      <c r="D39" s="14">
        <f>IF($B39="","",Feb!AI18)</f>
        <v/>
      </c>
      <c r="E39" s="14">
        <f>IF($B39="","",Mar!AI18)</f>
        <v/>
      </c>
      <c r="F39" s="14">
        <f>IF($B39="","",Apr!AI18)</f>
        <v/>
      </c>
      <c r="G39" s="14">
        <f>IF($B39="","",May!AI18)</f>
        <v/>
      </c>
      <c r="H39" s="14">
        <f>IF($B39="","",Jun!AI18)</f>
        <v/>
      </c>
      <c r="I39" s="14">
        <f>IF($B39="","",Jul!AI18)</f>
        <v/>
      </c>
      <c r="J39" s="14">
        <f>IF($B39="","",Aug!AI18)</f>
        <v/>
      </c>
      <c r="K39" s="14">
        <f>IF($B39="","",Sep!AI18)</f>
        <v/>
      </c>
      <c r="L39" s="14">
        <f>IF($B39="","",Oct!AI18)</f>
        <v/>
      </c>
      <c r="M39" s="14">
        <f>IF($B39="","",Nov!AI18)</f>
        <v/>
      </c>
      <c r="N39" s="14">
        <f>IF($B39="","",Dec!AI18)</f>
        <v/>
      </c>
      <c r="O39" s="1" t="n"/>
    </row>
    <row r="40">
      <c r="A40" s="1" t="n"/>
      <c r="B40" s="12">
        <f>B22</f>
        <v/>
      </c>
      <c r="C40" s="14">
        <f>IF($B40="","",Jan!AI19)</f>
        <v/>
      </c>
      <c r="D40" s="14">
        <f>IF($B40="","",Feb!AI19)</f>
        <v/>
      </c>
      <c r="E40" s="14">
        <f>IF($B40="","",Mar!AI19)</f>
        <v/>
      </c>
      <c r="F40" s="14">
        <f>IF($B40="","",Apr!AI19)</f>
        <v/>
      </c>
      <c r="G40" s="14">
        <f>IF($B40="","",May!AI19)</f>
        <v/>
      </c>
      <c r="H40" s="14">
        <f>IF($B40="","",Jun!AI19)</f>
        <v/>
      </c>
      <c r="I40" s="14">
        <f>IF($B40="","",Jul!AI19)</f>
        <v/>
      </c>
      <c r="J40" s="14">
        <f>IF($B40="","",Aug!AI19)</f>
        <v/>
      </c>
      <c r="K40" s="14">
        <f>IF($B40="","",Sep!AI19)</f>
        <v/>
      </c>
      <c r="L40" s="14">
        <f>IF($B40="","",Oct!AI19)</f>
        <v/>
      </c>
      <c r="M40" s="14">
        <f>IF($B40="","",Nov!AI19)</f>
        <v/>
      </c>
      <c r="N40" s="14">
        <f>IF($B40="","",Dec!AI19)</f>
        <v/>
      </c>
      <c r="O40" s="1" t="n"/>
    </row>
    <row r="41">
      <c r="A41" s="1" t="n"/>
      <c r="B41" s="12">
        <f>B23</f>
        <v/>
      </c>
      <c r="C41" s="14">
        <f>IF($B41="","",Jan!AI20)</f>
        <v/>
      </c>
      <c r="D41" s="14">
        <f>IF($B41="","",Feb!AI20)</f>
        <v/>
      </c>
      <c r="E41" s="14">
        <f>IF($B41="","",Mar!AI20)</f>
        <v/>
      </c>
      <c r="F41" s="14">
        <f>IF($B41="","",Apr!AI20)</f>
        <v/>
      </c>
      <c r="G41" s="14">
        <f>IF($B41="","",May!AI20)</f>
        <v/>
      </c>
      <c r="H41" s="14">
        <f>IF($B41="","",Jun!AI20)</f>
        <v/>
      </c>
      <c r="I41" s="14">
        <f>IF($B41="","",Jul!AI20)</f>
        <v/>
      </c>
      <c r="J41" s="14">
        <f>IF($B41="","",Aug!AI20)</f>
        <v/>
      </c>
      <c r="K41" s="14">
        <f>IF($B41="","",Sep!AI20)</f>
        <v/>
      </c>
      <c r="L41" s="14">
        <f>IF($B41="","",Oct!AI20)</f>
        <v/>
      </c>
      <c r="M41" s="14">
        <f>IF($B41="","",Nov!AI20)</f>
        <v/>
      </c>
      <c r="N41" s="14">
        <f>IF($B41="","",Dec!AI20)</f>
        <v/>
      </c>
      <c r="O41" s="1" t="n"/>
    </row>
    <row r="42">
      <c r="A42" s="1" t="n"/>
      <c r="B42" s="12">
        <f>B24</f>
        <v/>
      </c>
      <c r="C42" s="14">
        <f>IF($B42="","",Jan!AI21)</f>
        <v/>
      </c>
      <c r="D42" s="14">
        <f>IF($B42="","",Feb!AI21)</f>
        <v/>
      </c>
      <c r="E42" s="14">
        <f>IF($B42="","",Mar!AI21)</f>
        <v/>
      </c>
      <c r="F42" s="14">
        <f>IF($B42="","",Apr!AI21)</f>
        <v/>
      </c>
      <c r="G42" s="14">
        <f>IF($B42="","",May!AI21)</f>
        <v/>
      </c>
      <c r="H42" s="14">
        <f>IF($B42="","",Jun!AI21)</f>
        <v/>
      </c>
      <c r="I42" s="14">
        <f>IF($B42="","",Jul!AI21)</f>
        <v/>
      </c>
      <c r="J42" s="14">
        <f>IF($B42="","",Aug!AI21)</f>
        <v/>
      </c>
      <c r="K42" s="14">
        <f>IF($B42="","",Sep!AI21)</f>
        <v/>
      </c>
      <c r="L42" s="14">
        <f>IF($B42="","",Oct!AI21)</f>
        <v/>
      </c>
      <c r="M42" s="14">
        <f>IF($B42="","",Nov!AI21)</f>
        <v/>
      </c>
      <c r="N42" s="14">
        <f>IF($B42="","",Dec!AI21)</f>
        <v/>
      </c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</sheetData>
  <mergeCells count="7">
    <mergeCell ref="E6:F6"/>
    <mergeCell ref="C6:D6"/>
    <mergeCell ref="C7:D7"/>
    <mergeCell ref="G7:H7"/>
    <mergeCell ref="E7:F7"/>
    <mergeCell ref="G6:H6"/>
    <mergeCell ref="E9:F9"/>
  </mergeCells>
  <conditionalFormatting sqref="G10:G24">
    <cfRule type="expression" priority="1" dxfId="0">
      <formula>N(G10)&gt;=7</formula>
    </cfRule>
  </conditionalFormatting>
  <conditionalFormatting sqref="K10:K21">
    <cfRule type="expression" priority="2" dxfId="1">
      <formula>AND(K10&lt;&gt;"",K10&gt;=4.5,K10&lt;5.5)</formula>
    </cfRule>
    <cfRule type="expression" priority="3" dxfId="2">
      <formula>AND(K10&lt;&gt;"",K10&gt;=3.5,K10&lt;4.5)</formula>
    </cfRule>
    <cfRule type="expression" priority="4" dxfId="3">
      <formula>AND(K10&lt;&gt;"",K10&gt;=2.5,K10&lt;3.5)</formula>
    </cfRule>
    <cfRule type="expression" priority="5" dxfId="4">
      <formula>AND(K10&lt;&gt;"",K10&gt;=1.5,K10&lt;2.5)</formula>
    </cfRule>
    <cfRule type="expression" priority="6" dxfId="5">
      <formula>AND(K10&lt;&gt;"",K10&gt;=0.5,K10&lt;1.5)</formula>
    </cfRule>
  </conditionalFormatting>
  <conditionalFormatting sqref="M10:M21">
    <cfRule type="colorScale" priority="7">
      <colorScale>
        <cfvo type="num" val="0"/>
        <cfvo type="num" val="1"/>
        <color rgb="00FFFFFF"/>
        <color rgb="008CC5A8"/>
      </colorScale>
    </cfRule>
  </conditionalFormatting>
  <conditionalFormatting sqref="C28:N42">
    <cfRule type="colorScale" priority="8">
      <colorScale>
        <cfvo type="num" val="0"/>
        <cfvo type="num" val="1"/>
        <color rgb="00FFFFFF"/>
        <color rgb="003E8E7E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3" customWidth="1" min="15" max="15"/>
    <col width="12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2" customHeight="1">
      <c r="A2" s="1" t="n"/>
      <c r="B2" s="2">
        <f>"Year in pixels "&amp;Habits!$C$4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1" t="n"/>
      <c r="B3" s="3" t="inlineStr">
        <is>
          <t>Your mood on every day of the year, one square per day, from the month tabs.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30" customHeight="1">
      <c r="A5" s="1" t="n"/>
      <c r="B5" s="1" t="n"/>
      <c r="C5" s="19" t="inlineStr">
        <is>
          <t>Jan</t>
        </is>
      </c>
      <c r="D5" s="19" t="inlineStr">
        <is>
          <t>Feb</t>
        </is>
      </c>
      <c r="E5" s="19" t="inlineStr">
        <is>
          <t>Mar</t>
        </is>
      </c>
      <c r="F5" s="19" t="inlineStr">
        <is>
          <t>Apr</t>
        </is>
      </c>
      <c r="G5" s="19" t="inlineStr">
        <is>
          <t>May</t>
        </is>
      </c>
      <c r="H5" s="19" t="inlineStr">
        <is>
          <t>Jun</t>
        </is>
      </c>
      <c r="I5" s="19" t="inlineStr">
        <is>
          <t>Jul</t>
        </is>
      </c>
      <c r="J5" s="19" t="inlineStr">
        <is>
          <t>Aug</t>
        </is>
      </c>
      <c r="K5" s="19" t="inlineStr">
        <is>
          <t>Sep</t>
        </is>
      </c>
      <c r="L5" s="19" t="inlineStr">
        <is>
          <t>Oct</t>
        </is>
      </c>
      <c r="M5" s="19" t="inlineStr">
        <is>
          <t>Nov</t>
        </is>
      </c>
      <c r="N5" s="19" t="inlineStr">
        <is>
          <t>Dec</t>
        </is>
      </c>
      <c r="O5" s="1" t="n"/>
      <c r="P5" s="10" t="inlineStr">
        <is>
          <t>Mood</t>
        </is>
      </c>
      <c r="Q5" s="1" t="n"/>
    </row>
    <row r="6" ht="15" customHeight="1">
      <c r="A6" s="1" t="n"/>
      <c r="B6" s="20" t="n">
        <v>1</v>
      </c>
      <c r="C6" s="21">
        <f>IF(Jan!C$5="","x",IF(Jan!C23="","",Jan!C23))</f>
        <v/>
      </c>
      <c r="D6" s="21">
        <f>IF(Feb!C$5="","x",IF(Feb!C23="","",Feb!C23))</f>
        <v/>
      </c>
      <c r="E6" s="21">
        <f>IF(Mar!C$5="","x",IF(Mar!C23="","",Mar!C23))</f>
        <v/>
      </c>
      <c r="F6" s="21">
        <f>IF(Apr!C$5="","x",IF(Apr!C23="","",Apr!C23))</f>
        <v/>
      </c>
      <c r="G6" s="21">
        <f>IF(May!C$5="","x",IF(May!C23="","",May!C23))</f>
        <v/>
      </c>
      <c r="H6" s="21">
        <f>IF(Jun!C$5="","x",IF(Jun!C23="","",Jun!C23))</f>
        <v/>
      </c>
      <c r="I6" s="21">
        <f>IF(Jul!C$5="","x",IF(Jul!C23="","",Jul!C23))</f>
        <v/>
      </c>
      <c r="J6" s="21">
        <f>IF(Aug!C$5="","x",IF(Aug!C23="","",Aug!C23))</f>
        <v/>
      </c>
      <c r="K6" s="21">
        <f>IF(Sep!C$5="","x",IF(Sep!C23="","",Sep!C23))</f>
        <v/>
      </c>
      <c r="L6" s="21">
        <f>IF(Oct!C$5="","x",IF(Oct!C23="","",Oct!C23))</f>
        <v/>
      </c>
      <c r="M6" s="21">
        <f>IF(Nov!C$5="","x",IF(Nov!C23="","",Nov!C23))</f>
        <v/>
      </c>
      <c r="N6" s="21">
        <f>IF(Dec!C$5="","x",IF(Dec!C23="","",Dec!C23))</f>
        <v/>
      </c>
      <c r="O6" s="1" t="n"/>
      <c r="P6" s="22" t="inlineStr">
        <is>
          <t>5  Great</t>
        </is>
      </c>
      <c r="Q6" s="1" t="n"/>
    </row>
    <row r="7" ht="15" customHeight="1">
      <c r="A7" s="1" t="n"/>
      <c r="B7" s="20" t="n">
        <v>2</v>
      </c>
      <c r="C7" s="21">
        <f>IF(Jan!D$5="","x",IF(Jan!D23="","",Jan!D23))</f>
        <v/>
      </c>
      <c r="D7" s="21">
        <f>IF(Feb!D$5="","x",IF(Feb!D23="","",Feb!D23))</f>
        <v/>
      </c>
      <c r="E7" s="21">
        <f>IF(Mar!D$5="","x",IF(Mar!D23="","",Mar!D23))</f>
        <v/>
      </c>
      <c r="F7" s="21">
        <f>IF(Apr!D$5="","x",IF(Apr!D23="","",Apr!D23))</f>
        <v/>
      </c>
      <c r="G7" s="21">
        <f>IF(May!D$5="","x",IF(May!D23="","",May!D23))</f>
        <v/>
      </c>
      <c r="H7" s="21">
        <f>IF(Jun!D$5="","x",IF(Jun!D23="","",Jun!D23))</f>
        <v/>
      </c>
      <c r="I7" s="21">
        <f>IF(Jul!D$5="","x",IF(Jul!D23="","",Jul!D23))</f>
        <v/>
      </c>
      <c r="J7" s="21">
        <f>IF(Aug!D$5="","x",IF(Aug!D23="","",Aug!D23))</f>
        <v/>
      </c>
      <c r="K7" s="21">
        <f>IF(Sep!D$5="","x",IF(Sep!D23="","",Sep!D23))</f>
        <v/>
      </c>
      <c r="L7" s="21">
        <f>IF(Oct!D$5="","x",IF(Oct!D23="","",Oct!D23))</f>
        <v/>
      </c>
      <c r="M7" s="21">
        <f>IF(Nov!D$5="","x",IF(Nov!D23="","",Nov!D23))</f>
        <v/>
      </c>
      <c r="N7" s="21">
        <f>IF(Dec!D$5="","x",IF(Dec!D23="","",Dec!D23))</f>
        <v/>
      </c>
      <c r="O7" s="1" t="n"/>
      <c r="P7" s="23" t="inlineStr">
        <is>
          <t>4  Good</t>
        </is>
      </c>
      <c r="Q7" s="1" t="n"/>
    </row>
    <row r="8" ht="15" customHeight="1">
      <c r="A8" s="1" t="n"/>
      <c r="B8" s="20" t="n">
        <v>3</v>
      </c>
      <c r="C8" s="21">
        <f>IF(Jan!E$5="","x",IF(Jan!E23="","",Jan!E23))</f>
        <v/>
      </c>
      <c r="D8" s="21">
        <f>IF(Feb!E$5="","x",IF(Feb!E23="","",Feb!E23))</f>
        <v/>
      </c>
      <c r="E8" s="21">
        <f>IF(Mar!E$5="","x",IF(Mar!E23="","",Mar!E23))</f>
        <v/>
      </c>
      <c r="F8" s="21">
        <f>IF(Apr!E$5="","x",IF(Apr!E23="","",Apr!E23))</f>
        <v/>
      </c>
      <c r="G8" s="21">
        <f>IF(May!E$5="","x",IF(May!E23="","",May!E23))</f>
        <v/>
      </c>
      <c r="H8" s="21">
        <f>IF(Jun!E$5="","x",IF(Jun!E23="","",Jun!E23))</f>
        <v/>
      </c>
      <c r="I8" s="21">
        <f>IF(Jul!E$5="","x",IF(Jul!E23="","",Jul!E23))</f>
        <v/>
      </c>
      <c r="J8" s="21">
        <f>IF(Aug!E$5="","x",IF(Aug!E23="","",Aug!E23))</f>
        <v/>
      </c>
      <c r="K8" s="21">
        <f>IF(Sep!E$5="","x",IF(Sep!E23="","",Sep!E23))</f>
        <v/>
      </c>
      <c r="L8" s="21">
        <f>IF(Oct!E$5="","x",IF(Oct!E23="","",Oct!E23))</f>
        <v/>
      </c>
      <c r="M8" s="21">
        <f>IF(Nov!E$5="","x",IF(Nov!E23="","",Nov!E23))</f>
        <v/>
      </c>
      <c r="N8" s="21">
        <f>IF(Dec!E$5="","x",IF(Dec!E23="","",Dec!E23))</f>
        <v/>
      </c>
      <c r="O8" s="1" t="n"/>
      <c r="P8" s="24" t="inlineStr">
        <is>
          <t>3  Okay</t>
        </is>
      </c>
      <c r="Q8" s="1" t="n"/>
    </row>
    <row r="9" ht="15" customHeight="1">
      <c r="A9" s="1" t="n"/>
      <c r="B9" s="20" t="n">
        <v>4</v>
      </c>
      <c r="C9" s="21">
        <f>IF(Jan!F$5="","x",IF(Jan!F23="","",Jan!F23))</f>
        <v/>
      </c>
      <c r="D9" s="21">
        <f>IF(Feb!F$5="","x",IF(Feb!F23="","",Feb!F23))</f>
        <v/>
      </c>
      <c r="E9" s="21">
        <f>IF(Mar!F$5="","x",IF(Mar!F23="","",Mar!F23))</f>
        <v/>
      </c>
      <c r="F9" s="21">
        <f>IF(Apr!F$5="","x",IF(Apr!F23="","",Apr!F23))</f>
        <v/>
      </c>
      <c r="G9" s="21">
        <f>IF(May!F$5="","x",IF(May!F23="","",May!F23))</f>
        <v/>
      </c>
      <c r="H9" s="21">
        <f>IF(Jun!F$5="","x",IF(Jun!F23="","",Jun!F23))</f>
        <v/>
      </c>
      <c r="I9" s="21">
        <f>IF(Jul!F$5="","x",IF(Jul!F23="","",Jul!F23))</f>
        <v/>
      </c>
      <c r="J9" s="21">
        <f>IF(Aug!F$5="","x",IF(Aug!F23="","",Aug!F23))</f>
        <v/>
      </c>
      <c r="K9" s="21">
        <f>IF(Sep!F$5="","x",IF(Sep!F23="","",Sep!F23))</f>
        <v/>
      </c>
      <c r="L9" s="21">
        <f>IF(Oct!F$5="","x",IF(Oct!F23="","",Oct!F23))</f>
        <v/>
      </c>
      <c r="M9" s="21">
        <f>IF(Nov!F$5="","x",IF(Nov!F23="","",Nov!F23))</f>
        <v/>
      </c>
      <c r="N9" s="21">
        <f>IF(Dec!F$5="","x",IF(Dec!F23="","",Dec!F23))</f>
        <v/>
      </c>
      <c r="O9" s="1" t="n"/>
      <c r="P9" s="25" t="inlineStr">
        <is>
          <t>2  Low</t>
        </is>
      </c>
      <c r="Q9" s="1" t="n"/>
    </row>
    <row r="10" ht="15" customHeight="1">
      <c r="A10" s="1" t="n"/>
      <c r="B10" s="20" t="n">
        <v>5</v>
      </c>
      <c r="C10" s="21">
        <f>IF(Jan!G$5="","x",IF(Jan!G23="","",Jan!G23))</f>
        <v/>
      </c>
      <c r="D10" s="21">
        <f>IF(Feb!G$5="","x",IF(Feb!G23="","",Feb!G23))</f>
        <v/>
      </c>
      <c r="E10" s="21">
        <f>IF(Mar!G$5="","x",IF(Mar!G23="","",Mar!G23))</f>
        <v/>
      </c>
      <c r="F10" s="21">
        <f>IF(Apr!G$5="","x",IF(Apr!G23="","",Apr!G23))</f>
        <v/>
      </c>
      <c r="G10" s="21">
        <f>IF(May!G$5="","x",IF(May!G23="","",May!G23))</f>
        <v/>
      </c>
      <c r="H10" s="21">
        <f>IF(Jun!G$5="","x",IF(Jun!G23="","",Jun!G23))</f>
        <v/>
      </c>
      <c r="I10" s="21">
        <f>IF(Jul!G$5="","x",IF(Jul!G23="","",Jul!G23))</f>
        <v/>
      </c>
      <c r="J10" s="21">
        <f>IF(Aug!G$5="","x",IF(Aug!G23="","",Aug!G23))</f>
        <v/>
      </c>
      <c r="K10" s="21">
        <f>IF(Sep!G$5="","x",IF(Sep!G23="","",Sep!G23))</f>
        <v/>
      </c>
      <c r="L10" s="21">
        <f>IF(Oct!G$5="","x",IF(Oct!G23="","",Oct!G23))</f>
        <v/>
      </c>
      <c r="M10" s="21">
        <f>IF(Nov!G$5="","x",IF(Nov!G23="","",Nov!G23))</f>
        <v/>
      </c>
      <c r="N10" s="21">
        <f>IF(Dec!G$5="","x",IF(Dec!G23="","",Dec!G23))</f>
        <v/>
      </c>
      <c r="O10" s="1" t="n"/>
      <c r="P10" s="26" t="inlineStr">
        <is>
          <t>1  Bad</t>
        </is>
      </c>
      <c r="Q10" s="1" t="n"/>
    </row>
    <row r="11" ht="15" customHeight="1">
      <c r="A11" s="1" t="n"/>
      <c r="B11" s="20" t="n">
        <v>6</v>
      </c>
      <c r="C11" s="21">
        <f>IF(Jan!H$5="","x",IF(Jan!H23="","",Jan!H23))</f>
        <v/>
      </c>
      <c r="D11" s="21">
        <f>IF(Feb!H$5="","x",IF(Feb!H23="","",Feb!H23))</f>
        <v/>
      </c>
      <c r="E11" s="21">
        <f>IF(Mar!H$5="","x",IF(Mar!H23="","",Mar!H23))</f>
        <v/>
      </c>
      <c r="F11" s="21">
        <f>IF(Apr!H$5="","x",IF(Apr!H23="","",Apr!H23))</f>
        <v/>
      </c>
      <c r="G11" s="21">
        <f>IF(May!H$5="","x",IF(May!H23="","",May!H23))</f>
        <v/>
      </c>
      <c r="H11" s="21">
        <f>IF(Jun!H$5="","x",IF(Jun!H23="","",Jun!H23))</f>
        <v/>
      </c>
      <c r="I11" s="21">
        <f>IF(Jul!H$5="","x",IF(Jul!H23="","",Jul!H23))</f>
        <v/>
      </c>
      <c r="J11" s="21">
        <f>IF(Aug!H$5="","x",IF(Aug!H23="","",Aug!H23))</f>
        <v/>
      </c>
      <c r="K11" s="21">
        <f>IF(Sep!H$5="","x",IF(Sep!H23="","",Sep!H23))</f>
        <v/>
      </c>
      <c r="L11" s="21">
        <f>IF(Oct!H$5="","x",IF(Oct!H23="","",Oct!H23))</f>
        <v/>
      </c>
      <c r="M11" s="21">
        <f>IF(Nov!H$5="","x",IF(Nov!H23="","",Nov!H23))</f>
        <v/>
      </c>
      <c r="N11" s="21">
        <f>IF(Dec!H$5="","x",IF(Dec!H23="","",Dec!H23))</f>
        <v/>
      </c>
      <c r="O11" s="1" t="n"/>
      <c r="P11" s="1" t="n"/>
      <c r="Q11" s="1" t="n"/>
    </row>
    <row r="12" ht="15" customHeight="1">
      <c r="A12" s="1" t="n"/>
      <c r="B12" s="20" t="n">
        <v>7</v>
      </c>
      <c r="C12" s="21">
        <f>IF(Jan!I$5="","x",IF(Jan!I23="","",Jan!I23))</f>
        <v/>
      </c>
      <c r="D12" s="21">
        <f>IF(Feb!I$5="","x",IF(Feb!I23="","",Feb!I23))</f>
        <v/>
      </c>
      <c r="E12" s="21">
        <f>IF(Mar!I$5="","x",IF(Mar!I23="","",Mar!I23))</f>
        <v/>
      </c>
      <c r="F12" s="21">
        <f>IF(Apr!I$5="","x",IF(Apr!I23="","",Apr!I23))</f>
        <v/>
      </c>
      <c r="G12" s="21">
        <f>IF(May!I$5="","x",IF(May!I23="","",May!I23))</f>
        <v/>
      </c>
      <c r="H12" s="21">
        <f>IF(Jun!I$5="","x",IF(Jun!I23="","",Jun!I23))</f>
        <v/>
      </c>
      <c r="I12" s="21">
        <f>IF(Jul!I$5="","x",IF(Jul!I23="","",Jul!I23))</f>
        <v/>
      </c>
      <c r="J12" s="21">
        <f>IF(Aug!I$5="","x",IF(Aug!I23="","",Aug!I23))</f>
        <v/>
      </c>
      <c r="K12" s="21">
        <f>IF(Sep!I$5="","x",IF(Sep!I23="","",Sep!I23))</f>
        <v/>
      </c>
      <c r="L12" s="21">
        <f>IF(Oct!I$5="","x",IF(Oct!I23="","",Oct!I23))</f>
        <v/>
      </c>
      <c r="M12" s="21">
        <f>IF(Nov!I$5="","x",IF(Nov!I23="","",Nov!I23))</f>
        <v/>
      </c>
      <c r="N12" s="21">
        <f>IF(Dec!I$5="","x",IF(Dec!I23="","",Dec!I23))</f>
        <v/>
      </c>
      <c r="O12" s="1" t="n"/>
      <c r="P12" s="27" t="inlineStr">
        <is>
          <t>An empty square is a day with no mood yet.</t>
        </is>
      </c>
      <c r="Q12" s="1" t="n"/>
    </row>
    <row r="13" ht="15" customHeight="1">
      <c r="A13" s="1" t="n"/>
      <c r="B13" s="20" t="n">
        <v>8</v>
      </c>
      <c r="C13" s="21">
        <f>IF(Jan!J$5="","x",IF(Jan!J23="","",Jan!J23))</f>
        <v/>
      </c>
      <c r="D13" s="21">
        <f>IF(Feb!J$5="","x",IF(Feb!J23="","",Feb!J23))</f>
        <v/>
      </c>
      <c r="E13" s="21">
        <f>IF(Mar!J$5="","x",IF(Mar!J23="","",Mar!J23))</f>
        <v/>
      </c>
      <c r="F13" s="21">
        <f>IF(Apr!J$5="","x",IF(Apr!J23="","",Apr!J23))</f>
        <v/>
      </c>
      <c r="G13" s="21">
        <f>IF(May!J$5="","x",IF(May!J23="","",May!J23))</f>
        <v/>
      </c>
      <c r="H13" s="21">
        <f>IF(Jun!J$5="","x",IF(Jun!J23="","",Jun!J23))</f>
        <v/>
      </c>
      <c r="I13" s="21">
        <f>IF(Jul!J$5="","x",IF(Jul!J23="","",Jul!J23))</f>
        <v/>
      </c>
      <c r="J13" s="21">
        <f>IF(Aug!J$5="","x",IF(Aug!J23="","",Aug!J23))</f>
        <v/>
      </c>
      <c r="K13" s="21">
        <f>IF(Sep!J$5="","x",IF(Sep!J23="","",Sep!J23))</f>
        <v/>
      </c>
      <c r="L13" s="21">
        <f>IF(Oct!J$5="","x",IF(Oct!J23="","",Oct!J23))</f>
        <v/>
      </c>
      <c r="M13" s="21">
        <f>IF(Nov!J$5="","x",IF(Nov!J23="","",Nov!J23))</f>
        <v/>
      </c>
      <c r="N13" s="21">
        <f>IF(Dec!J$5="","x",IF(Dec!J23="","",Dec!J23))</f>
        <v/>
      </c>
      <c r="O13" s="1" t="n"/>
      <c r="P13" s="1" t="n"/>
      <c r="Q13" s="1" t="n"/>
    </row>
    <row r="14" ht="15" customHeight="1">
      <c r="A14" s="1" t="n"/>
      <c r="B14" s="20" t="n">
        <v>9</v>
      </c>
      <c r="C14" s="21">
        <f>IF(Jan!K$5="","x",IF(Jan!K23="","",Jan!K23))</f>
        <v/>
      </c>
      <c r="D14" s="21">
        <f>IF(Feb!K$5="","x",IF(Feb!K23="","",Feb!K23))</f>
        <v/>
      </c>
      <c r="E14" s="21">
        <f>IF(Mar!K$5="","x",IF(Mar!K23="","",Mar!K23))</f>
        <v/>
      </c>
      <c r="F14" s="21">
        <f>IF(Apr!K$5="","x",IF(Apr!K23="","",Apr!K23))</f>
        <v/>
      </c>
      <c r="G14" s="21">
        <f>IF(May!K$5="","x",IF(May!K23="","",May!K23))</f>
        <v/>
      </c>
      <c r="H14" s="21">
        <f>IF(Jun!K$5="","x",IF(Jun!K23="","",Jun!K23))</f>
        <v/>
      </c>
      <c r="I14" s="21">
        <f>IF(Jul!K$5="","x",IF(Jul!K23="","",Jul!K23))</f>
        <v/>
      </c>
      <c r="J14" s="21">
        <f>IF(Aug!K$5="","x",IF(Aug!K23="","",Aug!K23))</f>
        <v/>
      </c>
      <c r="K14" s="21">
        <f>IF(Sep!K$5="","x",IF(Sep!K23="","",Sep!K23))</f>
        <v/>
      </c>
      <c r="L14" s="21">
        <f>IF(Oct!K$5="","x",IF(Oct!K23="","",Oct!K23))</f>
        <v/>
      </c>
      <c r="M14" s="21">
        <f>IF(Nov!K$5="","x",IF(Nov!K23="","",Nov!K23))</f>
        <v/>
      </c>
      <c r="N14" s="21">
        <f>IF(Dec!K$5="","x",IF(Dec!K23="","",Dec!K23))</f>
        <v/>
      </c>
      <c r="O14" s="1" t="n"/>
      <c r="P14" s="1" t="n"/>
      <c r="Q14" s="1" t="n"/>
    </row>
    <row r="15" ht="15" customHeight="1">
      <c r="A15" s="1" t="n"/>
      <c r="B15" s="20" t="n">
        <v>10</v>
      </c>
      <c r="C15" s="21">
        <f>IF(Jan!L$5="","x",IF(Jan!L23="","",Jan!L23))</f>
        <v/>
      </c>
      <c r="D15" s="21">
        <f>IF(Feb!L$5="","x",IF(Feb!L23="","",Feb!L23))</f>
        <v/>
      </c>
      <c r="E15" s="21">
        <f>IF(Mar!L$5="","x",IF(Mar!L23="","",Mar!L23))</f>
        <v/>
      </c>
      <c r="F15" s="21">
        <f>IF(Apr!L$5="","x",IF(Apr!L23="","",Apr!L23))</f>
        <v/>
      </c>
      <c r="G15" s="21">
        <f>IF(May!L$5="","x",IF(May!L23="","",May!L23))</f>
        <v/>
      </c>
      <c r="H15" s="21">
        <f>IF(Jun!L$5="","x",IF(Jun!L23="","",Jun!L23))</f>
        <v/>
      </c>
      <c r="I15" s="21">
        <f>IF(Jul!L$5="","x",IF(Jul!L23="","",Jul!L23))</f>
        <v/>
      </c>
      <c r="J15" s="21">
        <f>IF(Aug!L$5="","x",IF(Aug!L23="","",Aug!L23))</f>
        <v/>
      </c>
      <c r="K15" s="21">
        <f>IF(Sep!L$5="","x",IF(Sep!L23="","",Sep!L23))</f>
        <v/>
      </c>
      <c r="L15" s="21">
        <f>IF(Oct!L$5="","x",IF(Oct!L23="","",Oct!L23))</f>
        <v/>
      </c>
      <c r="M15" s="21">
        <f>IF(Nov!L$5="","x",IF(Nov!L23="","",Nov!L23))</f>
        <v/>
      </c>
      <c r="N15" s="21">
        <f>IF(Dec!L$5="","x",IF(Dec!L23="","",Dec!L23))</f>
        <v/>
      </c>
      <c r="O15" s="1" t="n"/>
      <c r="P15" s="1" t="n"/>
      <c r="Q15" s="1" t="n"/>
    </row>
    <row r="16" ht="15" customHeight="1">
      <c r="A16" s="1" t="n"/>
      <c r="B16" s="20" t="n">
        <v>11</v>
      </c>
      <c r="C16" s="21">
        <f>IF(Jan!M$5="","x",IF(Jan!M23="","",Jan!M23))</f>
        <v/>
      </c>
      <c r="D16" s="21">
        <f>IF(Feb!M$5="","x",IF(Feb!M23="","",Feb!M23))</f>
        <v/>
      </c>
      <c r="E16" s="21">
        <f>IF(Mar!M$5="","x",IF(Mar!M23="","",Mar!M23))</f>
        <v/>
      </c>
      <c r="F16" s="21">
        <f>IF(Apr!M$5="","x",IF(Apr!M23="","",Apr!M23))</f>
        <v/>
      </c>
      <c r="G16" s="21">
        <f>IF(May!M$5="","x",IF(May!M23="","",May!M23))</f>
        <v/>
      </c>
      <c r="H16" s="21">
        <f>IF(Jun!M$5="","x",IF(Jun!M23="","",Jun!M23))</f>
        <v/>
      </c>
      <c r="I16" s="21">
        <f>IF(Jul!M$5="","x",IF(Jul!M23="","",Jul!M23))</f>
        <v/>
      </c>
      <c r="J16" s="21">
        <f>IF(Aug!M$5="","x",IF(Aug!M23="","",Aug!M23))</f>
        <v/>
      </c>
      <c r="K16" s="21">
        <f>IF(Sep!M$5="","x",IF(Sep!M23="","",Sep!M23))</f>
        <v/>
      </c>
      <c r="L16" s="21">
        <f>IF(Oct!M$5="","x",IF(Oct!M23="","",Oct!M23))</f>
        <v/>
      </c>
      <c r="M16" s="21">
        <f>IF(Nov!M$5="","x",IF(Nov!M23="","",Nov!M23))</f>
        <v/>
      </c>
      <c r="N16" s="21">
        <f>IF(Dec!M$5="","x",IF(Dec!M23="","",Dec!M23))</f>
        <v/>
      </c>
      <c r="O16" s="1" t="n"/>
      <c r="P16" s="1" t="n"/>
      <c r="Q16" s="1" t="n"/>
    </row>
    <row r="17" ht="15" customHeight="1">
      <c r="A17" s="1" t="n"/>
      <c r="B17" s="20" t="n">
        <v>12</v>
      </c>
      <c r="C17" s="21">
        <f>IF(Jan!N$5="","x",IF(Jan!N23="","",Jan!N23))</f>
        <v/>
      </c>
      <c r="D17" s="21">
        <f>IF(Feb!N$5="","x",IF(Feb!N23="","",Feb!N23))</f>
        <v/>
      </c>
      <c r="E17" s="21">
        <f>IF(Mar!N$5="","x",IF(Mar!N23="","",Mar!N23))</f>
        <v/>
      </c>
      <c r="F17" s="21">
        <f>IF(Apr!N$5="","x",IF(Apr!N23="","",Apr!N23))</f>
        <v/>
      </c>
      <c r="G17" s="21">
        <f>IF(May!N$5="","x",IF(May!N23="","",May!N23))</f>
        <v/>
      </c>
      <c r="H17" s="21">
        <f>IF(Jun!N$5="","x",IF(Jun!N23="","",Jun!N23))</f>
        <v/>
      </c>
      <c r="I17" s="21">
        <f>IF(Jul!N$5="","x",IF(Jul!N23="","",Jul!N23))</f>
        <v/>
      </c>
      <c r="J17" s="21">
        <f>IF(Aug!N$5="","x",IF(Aug!N23="","",Aug!N23))</f>
        <v/>
      </c>
      <c r="K17" s="21">
        <f>IF(Sep!N$5="","x",IF(Sep!N23="","",Sep!N23))</f>
        <v/>
      </c>
      <c r="L17" s="21">
        <f>IF(Oct!N$5="","x",IF(Oct!N23="","",Oct!N23))</f>
        <v/>
      </c>
      <c r="M17" s="21">
        <f>IF(Nov!N$5="","x",IF(Nov!N23="","",Nov!N23))</f>
        <v/>
      </c>
      <c r="N17" s="21">
        <f>IF(Dec!N$5="","x",IF(Dec!N23="","",Dec!N23))</f>
        <v/>
      </c>
      <c r="O17" s="1" t="n"/>
      <c r="P17" s="1" t="n"/>
      <c r="Q17" s="1" t="n"/>
    </row>
    <row r="18" ht="15" customHeight="1">
      <c r="A18" s="1" t="n"/>
      <c r="B18" s="20" t="n">
        <v>13</v>
      </c>
      <c r="C18" s="21">
        <f>IF(Jan!O$5="","x",IF(Jan!O23="","",Jan!O23))</f>
        <v/>
      </c>
      <c r="D18" s="21">
        <f>IF(Feb!O$5="","x",IF(Feb!O23="","",Feb!O23))</f>
        <v/>
      </c>
      <c r="E18" s="21">
        <f>IF(Mar!O$5="","x",IF(Mar!O23="","",Mar!O23))</f>
        <v/>
      </c>
      <c r="F18" s="21">
        <f>IF(Apr!O$5="","x",IF(Apr!O23="","",Apr!O23))</f>
        <v/>
      </c>
      <c r="G18" s="21">
        <f>IF(May!O$5="","x",IF(May!O23="","",May!O23))</f>
        <v/>
      </c>
      <c r="H18" s="21">
        <f>IF(Jun!O$5="","x",IF(Jun!O23="","",Jun!O23))</f>
        <v/>
      </c>
      <c r="I18" s="21">
        <f>IF(Jul!O$5="","x",IF(Jul!O23="","",Jul!O23))</f>
        <v/>
      </c>
      <c r="J18" s="21">
        <f>IF(Aug!O$5="","x",IF(Aug!O23="","",Aug!O23))</f>
        <v/>
      </c>
      <c r="K18" s="21">
        <f>IF(Sep!O$5="","x",IF(Sep!O23="","",Sep!O23))</f>
        <v/>
      </c>
      <c r="L18" s="21">
        <f>IF(Oct!O$5="","x",IF(Oct!O23="","",Oct!O23))</f>
        <v/>
      </c>
      <c r="M18" s="21">
        <f>IF(Nov!O$5="","x",IF(Nov!O23="","",Nov!O23))</f>
        <v/>
      </c>
      <c r="N18" s="21">
        <f>IF(Dec!O$5="","x",IF(Dec!O23="","",Dec!O23))</f>
        <v/>
      </c>
      <c r="O18" s="1" t="n"/>
      <c r="P18" s="1" t="n"/>
      <c r="Q18" s="1" t="n"/>
    </row>
    <row r="19" ht="15" customHeight="1">
      <c r="A19" s="1" t="n"/>
      <c r="B19" s="20" t="n">
        <v>14</v>
      </c>
      <c r="C19" s="21">
        <f>IF(Jan!P$5="","x",IF(Jan!P23="","",Jan!P23))</f>
        <v/>
      </c>
      <c r="D19" s="21">
        <f>IF(Feb!P$5="","x",IF(Feb!P23="","",Feb!P23))</f>
        <v/>
      </c>
      <c r="E19" s="21">
        <f>IF(Mar!P$5="","x",IF(Mar!P23="","",Mar!P23))</f>
        <v/>
      </c>
      <c r="F19" s="21">
        <f>IF(Apr!P$5="","x",IF(Apr!P23="","",Apr!P23))</f>
        <v/>
      </c>
      <c r="G19" s="21">
        <f>IF(May!P$5="","x",IF(May!P23="","",May!P23))</f>
        <v/>
      </c>
      <c r="H19" s="21">
        <f>IF(Jun!P$5="","x",IF(Jun!P23="","",Jun!P23))</f>
        <v/>
      </c>
      <c r="I19" s="21">
        <f>IF(Jul!P$5="","x",IF(Jul!P23="","",Jul!P23))</f>
        <v/>
      </c>
      <c r="J19" s="21">
        <f>IF(Aug!P$5="","x",IF(Aug!P23="","",Aug!P23))</f>
        <v/>
      </c>
      <c r="K19" s="21">
        <f>IF(Sep!P$5="","x",IF(Sep!P23="","",Sep!P23))</f>
        <v/>
      </c>
      <c r="L19" s="21">
        <f>IF(Oct!P$5="","x",IF(Oct!P23="","",Oct!P23))</f>
        <v/>
      </c>
      <c r="M19" s="21">
        <f>IF(Nov!P$5="","x",IF(Nov!P23="","",Nov!P23))</f>
        <v/>
      </c>
      <c r="N19" s="21">
        <f>IF(Dec!P$5="","x",IF(Dec!P23="","",Dec!P23))</f>
        <v/>
      </c>
      <c r="O19" s="1" t="n"/>
      <c r="P19" s="1" t="n"/>
      <c r="Q19" s="1" t="n"/>
    </row>
    <row r="20" ht="15" customHeight="1">
      <c r="A20" s="1" t="n"/>
      <c r="B20" s="20" t="n">
        <v>15</v>
      </c>
      <c r="C20" s="21">
        <f>IF(Jan!Q$5="","x",IF(Jan!Q23="","",Jan!Q23))</f>
        <v/>
      </c>
      <c r="D20" s="21">
        <f>IF(Feb!Q$5="","x",IF(Feb!Q23="","",Feb!Q23))</f>
        <v/>
      </c>
      <c r="E20" s="21">
        <f>IF(Mar!Q$5="","x",IF(Mar!Q23="","",Mar!Q23))</f>
        <v/>
      </c>
      <c r="F20" s="21">
        <f>IF(Apr!Q$5="","x",IF(Apr!Q23="","",Apr!Q23))</f>
        <v/>
      </c>
      <c r="G20" s="21">
        <f>IF(May!Q$5="","x",IF(May!Q23="","",May!Q23))</f>
        <v/>
      </c>
      <c r="H20" s="21">
        <f>IF(Jun!Q$5="","x",IF(Jun!Q23="","",Jun!Q23))</f>
        <v/>
      </c>
      <c r="I20" s="21">
        <f>IF(Jul!Q$5="","x",IF(Jul!Q23="","",Jul!Q23))</f>
        <v/>
      </c>
      <c r="J20" s="21">
        <f>IF(Aug!Q$5="","x",IF(Aug!Q23="","",Aug!Q23))</f>
        <v/>
      </c>
      <c r="K20" s="21">
        <f>IF(Sep!Q$5="","x",IF(Sep!Q23="","",Sep!Q23))</f>
        <v/>
      </c>
      <c r="L20" s="21">
        <f>IF(Oct!Q$5="","x",IF(Oct!Q23="","",Oct!Q23))</f>
        <v/>
      </c>
      <c r="M20" s="21">
        <f>IF(Nov!Q$5="","x",IF(Nov!Q23="","",Nov!Q23))</f>
        <v/>
      </c>
      <c r="N20" s="21">
        <f>IF(Dec!Q$5="","x",IF(Dec!Q23="","",Dec!Q23))</f>
        <v/>
      </c>
      <c r="O20" s="1" t="n"/>
      <c r="P20" s="1" t="n"/>
      <c r="Q20" s="1" t="n"/>
    </row>
    <row r="21" ht="15" customHeight="1">
      <c r="A21" s="1" t="n"/>
      <c r="B21" s="20" t="n">
        <v>16</v>
      </c>
      <c r="C21" s="21">
        <f>IF(Jan!R$5="","x",IF(Jan!R23="","",Jan!R23))</f>
        <v/>
      </c>
      <c r="D21" s="21">
        <f>IF(Feb!R$5="","x",IF(Feb!R23="","",Feb!R23))</f>
        <v/>
      </c>
      <c r="E21" s="21">
        <f>IF(Mar!R$5="","x",IF(Mar!R23="","",Mar!R23))</f>
        <v/>
      </c>
      <c r="F21" s="21">
        <f>IF(Apr!R$5="","x",IF(Apr!R23="","",Apr!R23))</f>
        <v/>
      </c>
      <c r="G21" s="21">
        <f>IF(May!R$5="","x",IF(May!R23="","",May!R23))</f>
        <v/>
      </c>
      <c r="H21" s="21">
        <f>IF(Jun!R$5="","x",IF(Jun!R23="","",Jun!R23))</f>
        <v/>
      </c>
      <c r="I21" s="21">
        <f>IF(Jul!R$5="","x",IF(Jul!R23="","",Jul!R23))</f>
        <v/>
      </c>
      <c r="J21" s="21">
        <f>IF(Aug!R$5="","x",IF(Aug!R23="","",Aug!R23))</f>
        <v/>
      </c>
      <c r="K21" s="21">
        <f>IF(Sep!R$5="","x",IF(Sep!R23="","",Sep!R23))</f>
        <v/>
      </c>
      <c r="L21" s="21">
        <f>IF(Oct!R$5="","x",IF(Oct!R23="","",Oct!R23))</f>
        <v/>
      </c>
      <c r="M21" s="21">
        <f>IF(Nov!R$5="","x",IF(Nov!R23="","",Nov!R23))</f>
        <v/>
      </c>
      <c r="N21" s="21">
        <f>IF(Dec!R$5="","x",IF(Dec!R23="","",Dec!R23))</f>
        <v/>
      </c>
      <c r="O21" s="1" t="n"/>
      <c r="P21" s="1" t="n"/>
      <c r="Q21" s="1" t="n"/>
    </row>
    <row r="22" ht="15" customHeight="1">
      <c r="A22" s="1" t="n"/>
      <c r="B22" s="20" t="n">
        <v>17</v>
      </c>
      <c r="C22" s="21">
        <f>IF(Jan!S$5="","x",IF(Jan!S23="","",Jan!S23))</f>
        <v/>
      </c>
      <c r="D22" s="21">
        <f>IF(Feb!S$5="","x",IF(Feb!S23="","",Feb!S23))</f>
        <v/>
      </c>
      <c r="E22" s="21">
        <f>IF(Mar!S$5="","x",IF(Mar!S23="","",Mar!S23))</f>
        <v/>
      </c>
      <c r="F22" s="21">
        <f>IF(Apr!S$5="","x",IF(Apr!S23="","",Apr!S23))</f>
        <v/>
      </c>
      <c r="G22" s="21">
        <f>IF(May!S$5="","x",IF(May!S23="","",May!S23))</f>
        <v/>
      </c>
      <c r="H22" s="21">
        <f>IF(Jun!S$5="","x",IF(Jun!S23="","",Jun!S23))</f>
        <v/>
      </c>
      <c r="I22" s="21">
        <f>IF(Jul!S$5="","x",IF(Jul!S23="","",Jul!S23))</f>
        <v/>
      </c>
      <c r="J22" s="21">
        <f>IF(Aug!S$5="","x",IF(Aug!S23="","",Aug!S23))</f>
        <v/>
      </c>
      <c r="K22" s="21">
        <f>IF(Sep!S$5="","x",IF(Sep!S23="","",Sep!S23))</f>
        <v/>
      </c>
      <c r="L22" s="21">
        <f>IF(Oct!S$5="","x",IF(Oct!S23="","",Oct!S23))</f>
        <v/>
      </c>
      <c r="M22" s="21">
        <f>IF(Nov!S$5="","x",IF(Nov!S23="","",Nov!S23))</f>
        <v/>
      </c>
      <c r="N22" s="21">
        <f>IF(Dec!S$5="","x",IF(Dec!S23="","",Dec!S23))</f>
        <v/>
      </c>
      <c r="O22" s="1" t="n"/>
      <c r="P22" s="1" t="n"/>
      <c r="Q22" s="1" t="n"/>
    </row>
    <row r="23" ht="15" customHeight="1">
      <c r="A23" s="1" t="n"/>
      <c r="B23" s="20" t="n">
        <v>18</v>
      </c>
      <c r="C23" s="21">
        <f>IF(Jan!T$5="","x",IF(Jan!T23="","",Jan!T23))</f>
        <v/>
      </c>
      <c r="D23" s="21">
        <f>IF(Feb!T$5="","x",IF(Feb!T23="","",Feb!T23))</f>
        <v/>
      </c>
      <c r="E23" s="21">
        <f>IF(Mar!T$5="","x",IF(Mar!T23="","",Mar!T23))</f>
        <v/>
      </c>
      <c r="F23" s="21">
        <f>IF(Apr!T$5="","x",IF(Apr!T23="","",Apr!T23))</f>
        <v/>
      </c>
      <c r="G23" s="21">
        <f>IF(May!T$5="","x",IF(May!T23="","",May!T23))</f>
        <v/>
      </c>
      <c r="H23" s="21">
        <f>IF(Jun!T$5="","x",IF(Jun!T23="","",Jun!T23))</f>
        <v/>
      </c>
      <c r="I23" s="21">
        <f>IF(Jul!T$5="","x",IF(Jul!T23="","",Jul!T23))</f>
        <v/>
      </c>
      <c r="J23" s="21">
        <f>IF(Aug!T$5="","x",IF(Aug!T23="","",Aug!T23))</f>
        <v/>
      </c>
      <c r="K23" s="21">
        <f>IF(Sep!T$5="","x",IF(Sep!T23="","",Sep!T23))</f>
        <v/>
      </c>
      <c r="L23" s="21">
        <f>IF(Oct!T$5="","x",IF(Oct!T23="","",Oct!T23))</f>
        <v/>
      </c>
      <c r="M23" s="21">
        <f>IF(Nov!T$5="","x",IF(Nov!T23="","",Nov!T23))</f>
        <v/>
      </c>
      <c r="N23" s="21">
        <f>IF(Dec!T$5="","x",IF(Dec!T23="","",Dec!T23))</f>
        <v/>
      </c>
      <c r="O23" s="1" t="n"/>
      <c r="P23" s="1" t="n"/>
      <c r="Q23" s="1" t="n"/>
    </row>
    <row r="24" ht="15" customHeight="1">
      <c r="A24" s="1" t="n"/>
      <c r="B24" s="20" t="n">
        <v>19</v>
      </c>
      <c r="C24" s="21">
        <f>IF(Jan!U$5="","x",IF(Jan!U23="","",Jan!U23))</f>
        <v/>
      </c>
      <c r="D24" s="21">
        <f>IF(Feb!U$5="","x",IF(Feb!U23="","",Feb!U23))</f>
        <v/>
      </c>
      <c r="E24" s="21">
        <f>IF(Mar!U$5="","x",IF(Mar!U23="","",Mar!U23))</f>
        <v/>
      </c>
      <c r="F24" s="21">
        <f>IF(Apr!U$5="","x",IF(Apr!U23="","",Apr!U23))</f>
        <v/>
      </c>
      <c r="G24" s="21">
        <f>IF(May!U$5="","x",IF(May!U23="","",May!U23))</f>
        <v/>
      </c>
      <c r="H24" s="21">
        <f>IF(Jun!U$5="","x",IF(Jun!U23="","",Jun!U23))</f>
        <v/>
      </c>
      <c r="I24" s="21">
        <f>IF(Jul!U$5="","x",IF(Jul!U23="","",Jul!U23))</f>
        <v/>
      </c>
      <c r="J24" s="21">
        <f>IF(Aug!U$5="","x",IF(Aug!U23="","",Aug!U23))</f>
        <v/>
      </c>
      <c r="K24" s="21">
        <f>IF(Sep!U$5="","x",IF(Sep!U23="","",Sep!U23))</f>
        <v/>
      </c>
      <c r="L24" s="21">
        <f>IF(Oct!U$5="","x",IF(Oct!U23="","",Oct!U23))</f>
        <v/>
      </c>
      <c r="M24" s="21">
        <f>IF(Nov!U$5="","x",IF(Nov!U23="","",Nov!U23))</f>
        <v/>
      </c>
      <c r="N24" s="21">
        <f>IF(Dec!U$5="","x",IF(Dec!U23="","",Dec!U23))</f>
        <v/>
      </c>
      <c r="O24" s="1" t="n"/>
      <c r="P24" s="1" t="n"/>
      <c r="Q24" s="1" t="n"/>
    </row>
    <row r="25" ht="15" customHeight="1">
      <c r="A25" s="1" t="n"/>
      <c r="B25" s="20" t="n">
        <v>20</v>
      </c>
      <c r="C25" s="21">
        <f>IF(Jan!V$5="","x",IF(Jan!V23="","",Jan!V23))</f>
        <v/>
      </c>
      <c r="D25" s="21">
        <f>IF(Feb!V$5="","x",IF(Feb!V23="","",Feb!V23))</f>
        <v/>
      </c>
      <c r="E25" s="21">
        <f>IF(Mar!V$5="","x",IF(Mar!V23="","",Mar!V23))</f>
        <v/>
      </c>
      <c r="F25" s="21">
        <f>IF(Apr!V$5="","x",IF(Apr!V23="","",Apr!V23))</f>
        <v/>
      </c>
      <c r="G25" s="21">
        <f>IF(May!V$5="","x",IF(May!V23="","",May!V23))</f>
        <v/>
      </c>
      <c r="H25" s="21">
        <f>IF(Jun!V$5="","x",IF(Jun!V23="","",Jun!V23))</f>
        <v/>
      </c>
      <c r="I25" s="21">
        <f>IF(Jul!V$5="","x",IF(Jul!V23="","",Jul!V23))</f>
        <v/>
      </c>
      <c r="J25" s="21">
        <f>IF(Aug!V$5="","x",IF(Aug!V23="","",Aug!V23))</f>
        <v/>
      </c>
      <c r="K25" s="21">
        <f>IF(Sep!V$5="","x",IF(Sep!V23="","",Sep!V23))</f>
        <v/>
      </c>
      <c r="L25" s="21">
        <f>IF(Oct!V$5="","x",IF(Oct!V23="","",Oct!V23))</f>
        <v/>
      </c>
      <c r="M25" s="21">
        <f>IF(Nov!V$5="","x",IF(Nov!V23="","",Nov!V23))</f>
        <v/>
      </c>
      <c r="N25" s="21">
        <f>IF(Dec!V$5="","x",IF(Dec!V23="","",Dec!V23))</f>
        <v/>
      </c>
      <c r="O25" s="1" t="n"/>
      <c r="P25" s="1" t="n"/>
      <c r="Q25" s="1" t="n"/>
    </row>
    <row r="26" ht="15" customHeight="1">
      <c r="A26" s="1" t="n"/>
      <c r="B26" s="20" t="n">
        <v>21</v>
      </c>
      <c r="C26" s="21">
        <f>IF(Jan!W$5="","x",IF(Jan!W23="","",Jan!W23))</f>
        <v/>
      </c>
      <c r="D26" s="21">
        <f>IF(Feb!W$5="","x",IF(Feb!W23="","",Feb!W23))</f>
        <v/>
      </c>
      <c r="E26" s="21">
        <f>IF(Mar!W$5="","x",IF(Mar!W23="","",Mar!W23))</f>
        <v/>
      </c>
      <c r="F26" s="21">
        <f>IF(Apr!W$5="","x",IF(Apr!W23="","",Apr!W23))</f>
        <v/>
      </c>
      <c r="G26" s="21">
        <f>IF(May!W$5="","x",IF(May!W23="","",May!W23))</f>
        <v/>
      </c>
      <c r="H26" s="21">
        <f>IF(Jun!W$5="","x",IF(Jun!W23="","",Jun!W23))</f>
        <v/>
      </c>
      <c r="I26" s="21">
        <f>IF(Jul!W$5="","x",IF(Jul!W23="","",Jul!W23))</f>
        <v/>
      </c>
      <c r="J26" s="21">
        <f>IF(Aug!W$5="","x",IF(Aug!W23="","",Aug!W23))</f>
        <v/>
      </c>
      <c r="K26" s="21">
        <f>IF(Sep!W$5="","x",IF(Sep!W23="","",Sep!W23))</f>
        <v/>
      </c>
      <c r="L26" s="21">
        <f>IF(Oct!W$5="","x",IF(Oct!W23="","",Oct!W23))</f>
        <v/>
      </c>
      <c r="M26" s="21">
        <f>IF(Nov!W$5="","x",IF(Nov!W23="","",Nov!W23))</f>
        <v/>
      </c>
      <c r="N26" s="21">
        <f>IF(Dec!W$5="","x",IF(Dec!W23="","",Dec!W23))</f>
        <v/>
      </c>
      <c r="O26" s="1" t="n"/>
      <c r="P26" s="1" t="n"/>
      <c r="Q26" s="1" t="n"/>
    </row>
    <row r="27" ht="15" customHeight="1">
      <c r="A27" s="1" t="n"/>
      <c r="B27" s="20" t="n">
        <v>22</v>
      </c>
      <c r="C27" s="21">
        <f>IF(Jan!X$5="","x",IF(Jan!X23="","",Jan!X23))</f>
        <v/>
      </c>
      <c r="D27" s="21">
        <f>IF(Feb!X$5="","x",IF(Feb!X23="","",Feb!X23))</f>
        <v/>
      </c>
      <c r="E27" s="21">
        <f>IF(Mar!X$5="","x",IF(Mar!X23="","",Mar!X23))</f>
        <v/>
      </c>
      <c r="F27" s="21">
        <f>IF(Apr!X$5="","x",IF(Apr!X23="","",Apr!X23))</f>
        <v/>
      </c>
      <c r="G27" s="21">
        <f>IF(May!X$5="","x",IF(May!X23="","",May!X23))</f>
        <v/>
      </c>
      <c r="H27" s="21">
        <f>IF(Jun!X$5="","x",IF(Jun!X23="","",Jun!X23))</f>
        <v/>
      </c>
      <c r="I27" s="21">
        <f>IF(Jul!X$5="","x",IF(Jul!X23="","",Jul!X23))</f>
        <v/>
      </c>
      <c r="J27" s="21">
        <f>IF(Aug!X$5="","x",IF(Aug!X23="","",Aug!X23))</f>
        <v/>
      </c>
      <c r="K27" s="21">
        <f>IF(Sep!X$5="","x",IF(Sep!X23="","",Sep!X23))</f>
        <v/>
      </c>
      <c r="L27" s="21">
        <f>IF(Oct!X$5="","x",IF(Oct!X23="","",Oct!X23))</f>
        <v/>
      </c>
      <c r="M27" s="21">
        <f>IF(Nov!X$5="","x",IF(Nov!X23="","",Nov!X23))</f>
        <v/>
      </c>
      <c r="N27" s="21">
        <f>IF(Dec!X$5="","x",IF(Dec!X23="","",Dec!X23))</f>
        <v/>
      </c>
      <c r="O27" s="1" t="n"/>
      <c r="P27" s="1" t="n"/>
      <c r="Q27" s="1" t="n"/>
    </row>
    <row r="28" ht="15" customHeight="1">
      <c r="A28" s="1" t="n"/>
      <c r="B28" s="20" t="n">
        <v>23</v>
      </c>
      <c r="C28" s="21">
        <f>IF(Jan!Y$5="","x",IF(Jan!Y23="","",Jan!Y23))</f>
        <v/>
      </c>
      <c r="D28" s="21">
        <f>IF(Feb!Y$5="","x",IF(Feb!Y23="","",Feb!Y23))</f>
        <v/>
      </c>
      <c r="E28" s="21">
        <f>IF(Mar!Y$5="","x",IF(Mar!Y23="","",Mar!Y23))</f>
        <v/>
      </c>
      <c r="F28" s="21">
        <f>IF(Apr!Y$5="","x",IF(Apr!Y23="","",Apr!Y23))</f>
        <v/>
      </c>
      <c r="G28" s="21">
        <f>IF(May!Y$5="","x",IF(May!Y23="","",May!Y23))</f>
        <v/>
      </c>
      <c r="H28" s="21">
        <f>IF(Jun!Y$5="","x",IF(Jun!Y23="","",Jun!Y23))</f>
        <v/>
      </c>
      <c r="I28" s="21">
        <f>IF(Jul!Y$5="","x",IF(Jul!Y23="","",Jul!Y23))</f>
        <v/>
      </c>
      <c r="J28" s="21">
        <f>IF(Aug!Y$5="","x",IF(Aug!Y23="","",Aug!Y23))</f>
        <v/>
      </c>
      <c r="K28" s="21">
        <f>IF(Sep!Y$5="","x",IF(Sep!Y23="","",Sep!Y23))</f>
        <v/>
      </c>
      <c r="L28" s="21">
        <f>IF(Oct!Y$5="","x",IF(Oct!Y23="","",Oct!Y23))</f>
        <v/>
      </c>
      <c r="M28" s="21">
        <f>IF(Nov!Y$5="","x",IF(Nov!Y23="","",Nov!Y23))</f>
        <v/>
      </c>
      <c r="N28" s="21">
        <f>IF(Dec!Y$5="","x",IF(Dec!Y23="","",Dec!Y23))</f>
        <v/>
      </c>
      <c r="O28" s="1" t="n"/>
      <c r="P28" s="1" t="n"/>
      <c r="Q28" s="1" t="n"/>
    </row>
    <row r="29" ht="15" customHeight="1">
      <c r="A29" s="1" t="n"/>
      <c r="B29" s="20" t="n">
        <v>24</v>
      </c>
      <c r="C29" s="21">
        <f>IF(Jan!Z$5="","x",IF(Jan!Z23="","",Jan!Z23))</f>
        <v/>
      </c>
      <c r="D29" s="21">
        <f>IF(Feb!Z$5="","x",IF(Feb!Z23="","",Feb!Z23))</f>
        <v/>
      </c>
      <c r="E29" s="21">
        <f>IF(Mar!Z$5="","x",IF(Mar!Z23="","",Mar!Z23))</f>
        <v/>
      </c>
      <c r="F29" s="21">
        <f>IF(Apr!Z$5="","x",IF(Apr!Z23="","",Apr!Z23))</f>
        <v/>
      </c>
      <c r="G29" s="21">
        <f>IF(May!Z$5="","x",IF(May!Z23="","",May!Z23))</f>
        <v/>
      </c>
      <c r="H29" s="21">
        <f>IF(Jun!Z$5="","x",IF(Jun!Z23="","",Jun!Z23))</f>
        <v/>
      </c>
      <c r="I29" s="21">
        <f>IF(Jul!Z$5="","x",IF(Jul!Z23="","",Jul!Z23))</f>
        <v/>
      </c>
      <c r="J29" s="21">
        <f>IF(Aug!Z$5="","x",IF(Aug!Z23="","",Aug!Z23))</f>
        <v/>
      </c>
      <c r="K29" s="21">
        <f>IF(Sep!Z$5="","x",IF(Sep!Z23="","",Sep!Z23))</f>
        <v/>
      </c>
      <c r="L29" s="21">
        <f>IF(Oct!Z$5="","x",IF(Oct!Z23="","",Oct!Z23))</f>
        <v/>
      </c>
      <c r="M29" s="21">
        <f>IF(Nov!Z$5="","x",IF(Nov!Z23="","",Nov!Z23))</f>
        <v/>
      </c>
      <c r="N29" s="21">
        <f>IF(Dec!Z$5="","x",IF(Dec!Z23="","",Dec!Z23))</f>
        <v/>
      </c>
      <c r="O29" s="1" t="n"/>
      <c r="P29" s="1" t="n"/>
      <c r="Q29" s="1" t="n"/>
    </row>
    <row r="30" ht="15" customHeight="1">
      <c r="A30" s="1" t="n"/>
      <c r="B30" s="20" t="n">
        <v>25</v>
      </c>
      <c r="C30" s="21">
        <f>IF(Jan!AA$5="","x",IF(Jan!AA23="","",Jan!AA23))</f>
        <v/>
      </c>
      <c r="D30" s="21">
        <f>IF(Feb!AA$5="","x",IF(Feb!AA23="","",Feb!AA23))</f>
        <v/>
      </c>
      <c r="E30" s="21">
        <f>IF(Mar!AA$5="","x",IF(Mar!AA23="","",Mar!AA23))</f>
        <v/>
      </c>
      <c r="F30" s="21">
        <f>IF(Apr!AA$5="","x",IF(Apr!AA23="","",Apr!AA23))</f>
        <v/>
      </c>
      <c r="G30" s="21">
        <f>IF(May!AA$5="","x",IF(May!AA23="","",May!AA23))</f>
        <v/>
      </c>
      <c r="H30" s="21">
        <f>IF(Jun!AA$5="","x",IF(Jun!AA23="","",Jun!AA23))</f>
        <v/>
      </c>
      <c r="I30" s="21">
        <f>IF(Jul!AA$5="","x",IF(Jul!AA23="","",Jul!AA23))</f>
        <v/>
      </c>
      <c r="J30" s="21">
        <f>IF(Aug!AA$5="","x",IF(Aug!AA23="","",Aug!AA23))</f>
        <v/>
      </c>
      <c r="K30" s="21">
        <f>IF(Sep!AA$5="","x",IF(Sep!AA23="","",Sep!AA23))</f>
        <v/>
      </c>
      <c r="L30" s="21">
        <f>IF(Oct!AA$5="","x",IF(Oct!AA23="","",Oct!AA23))</f>
        <v/>
      </c>
      <c r="M30" s="21">
        <f>IF(Nov!AA$5="","x",IF(Nov!AA23="","",Nov!AA23))</f>
        <v/>
      </c>
      <c r="N30" s="21">
        <f>IF(Dec!AA$5="","x",IF(Dec!AA23="","",Dec!AA23))</f>
        <v/>
      </c>
      <c r="O30" s="1" t="n"/>
      <c r="P30" s="1" t="n"/>
      <c r="Q30" s="1" t="n"/>
    </row>
    <row r="31" ht="15" customHeight="1">
      <c r="A31" s="1" t="n"/>
      <c r="B31" s="20" t="n">
        <v>26</v>
      </c>
      <c r="C31" s="21">
        <f>IF(Jan!AB$5="","x",IF(Jan!AB23="","",Jan!AB23))</f>
        <v/>
      </c>
      <c r="D31" s="21">
        <f>IF(Feb!AB$5="","x",IF(Feb!AB23="","",Feb!AB23))</f>
        <v/>
      </c>
      <c r="E31" s="21">
        <f>IF(Mar!AB$5="","x",IF(Mar!AB23="","",Mar!AB23))</f>
        <v/>
      </c>
      <c r="F31" s="21">
        <f>IF(Apr!AB$5="","x",IF(Apr!AB23="","",Apr!AB23))</f>
        <v/>
      </c>
      <c r="G31" s="21">
        <f>IF(May!AB$5="","x",IF(May!AB23="","",May!AB23))</f>
        <v/>
      </c>
      <c r="H31" s="21">
        <f>IF(Jun!AB$5="","x",IF(Jun!AB23="","",Jun!AB23))</f>
        <v/>
      </c>
      <c r="I31" s="21">
        <f>IF(Jul!AB$5="","x",IF(Jul!AB23="","",Jul!AB23))</f>
        <v/>
      </c>
      <c r="J31" s="21">
        <f>IF(Aug!AB$5="","x",IF(Aug!AB23="","",Aug!AB23))</f>
        <v/>
      </c>
      <c r="K31" s="21">
        <f>IF(Sep!AB$5="","x",IF(Sep!AB23="","",Sep!AB23))</f>
        <v/>
      </c>
      <c r="L31" s="21">
        <f>IF(Oct!AB$5="","x",IF(Oct!AB23="","",Oct!AB23))</f>
        <v/>
      </c>
      <c r="M31" s="21">
        <f>IF(Nov!AB$5="","x",IF(Nov!AB23="","",Nov!AB23))</f>
        <v/>
      </c>
      <c r="N31" s="21">
        <f>IF(Dec!AB$5="","x",IF(Dec!AB23="","",Dec!AB23))</f>
        <v/>
      </c>
      <c r="O31" s="1" t="n"/>
      <c r="P31" s="1" t="n"/>
      <c r="Q31" s="1" t="n"/>
    </row>
    <row r="32" ht="15" customHeight="1">
      <c r="A32" s="1" t="n"/>
      <c r="B32" s="20" t="n">
        <v>27</v>
      </c>
      <c r="C32" s="21">
        <f>IF(Jan!AC$5="","x",IF(Jan!AC23="","",Jan!AC23))</f>
        <v/>
      </c>
      <c r="D32" s="21">
        <f>IF(Feb!AC$5="","x",IF(Feb!AC23="","",Feb!AC23))</f>
        <v/>
      </c>
      <c r="E32" s="21">
        <f>IF(Mar!AC$5="","x",IF(Mar!AC23="","",Mar!AC23))</f>
        <v/>
      </c>
      <c r="F32" s="21">
        <f>IF(Apr!AC$5="","x",IF(Apr!AC23="","",Apr!AC23))</f>
        <v/>
      </c>
      <c r="G32" s="21">
        <f>IF(May!AC$5="","x",IF(May!AC23="","",May!AC23))</f>
        <v/>
      </c>
      <c r="H32" s="21">
        <f>IF(Jun!AC$5="","x",IF(Jun!AC23="","",Jun!AC23))</f>
        <v/>
      </c>
      <c r="I32" s="21">
        <f>IF(Jul!AC$5="","x",IF(Jul!AC23="","",Jul!AC23))</f>
        <v/>
      </c>
      <c r="J32" s="21">
        <f>IF(Aug!AC$5="","x",IF(Aug!AC23="","",Aug!AC23))</f>
        <v/>
      </c>
      <c r="K32" s="21">
        <f>IF(Sep!AC$5="","x",IF(Sep!AC23="","",Sep!AC23))</f>
        <v/>
      </c>
      <c r="L32" s="21">
        <f>IF(Oct!AC$5="","x",IF(Oct!AC23="","",Oct!AC23))</f>
        <v/>
      </c>
      <c r="M32" s="21">
        <f>IF(Nov!AC$5="","x",IF(Nov!AC23="","",Nov!AC23))</f>
        <v/>
      </c>
      <c r="N32" s="21">
        <f>IF(Dec!AC$5="","x",IF(Dec!AC23="","",Dec!AC23))</f>
        <v/>
      </c>
      <c r="O32" s="1" t="n"/>
      <c r="P32" s="1" t="n"/>
      <c r="Q32" s="1" t="n"/>
    </row>
    <row r="33" ht="15" customHeight="1">
      <c r="A33" s="1" t="n"/>
      <c r="B33" s="20" t="n">
        <v>28</v>
      </c>
      <c r="C33" s="21">
        <f>IF(Jan!AD$5="","x",IF(Jan!AD23="","",Jan!AD23))</f>
        <v/>
      </c>
      <c r="D33" s="21">
        <f>IF(Feb!AD$5="","x",IF(Feb!AD23="","",Feb!AD23))</f>
        <v/>
      </c>
      <c r="E33" s="21">
        <f>IF(Mar!AD$5="","x",IF(Mar!AD23="","",Mar!AD23))</f>
        <v/>
      </c>
      <c r="F33" s="21">
        <f>IF(Apr!AD$5="","x",IF(Apr!AD23="","",Apr!AD23))</f>
        <v/>
      </c>
      <c r="G33" s="21">
        <f>IF(May!AD$5="","x",IF(May!AD23="","",May!AD23))</f>
        <v/>
      </c>
      <c r="H33" s="21">
        <f>IF(Jun!AD$5="","x",IF(Jun!AD23="","",Jun!AD23))</f>
        <v/>
      </c>
      <c r="I33" s="21">
        <f>IF(Jul!AD$5="","x",IF(Jul!AD23="","",Jul!AD23))</f>
        <v/>
      </c>
      <c r="J33" s="21">
        <f>IF(Aug!AD$5="","x",IF(Aug!AD23="","",Aug!AD23))</f>
        <v/>
      </c>
      <c r="K33" s="21">
        <f>IF(Sep!AD$5="","x",IF(Sep!AD23="","",Sep!AD23))</f>
        <v/>
      </c>
      <c r="L33" s="21">
        <f>IF(Oct!AD$5="","x",IF(Oct!AD23="","",Oct!AD23))</f>
        <v/>
      </c>
      <c r="M33" s="21">
        <f>IF(Nov!AD$5="","x",IF(Nov!AD23="","",Nov!AD23))</f>
        <v/>
      </c>
      <c r="N33" s="21">
        <f>IF(Dec!AD$5="","x",IF(Dec!AD23="","",Dec!AD23))</f>
        <v/>
      </c>
      <c r="O33" s="1" t="n"/>
      <c r="P33" s="1" t="n"/>
      <c r="Q33" s="1" t="n"/>
    </row>
    <row r="34" ht="15" customHeight="1">
      <c r="A34" s="1" t="n"/>
      <c r="B34" s="20" t="n">
        <v>29</v>
      </c>
      <c r="C34" s="21">
        <f>IF(Jan!AE$5="","x",IF(Jan!AE23="","",Jan!AE23))</f>
        <v/>
      </c>
      <c r="D34" s="21">
        <f>IF(Feb!AE$5="","x",IF(Feb!AE23="","",Feb!AE23))</f>
        <v/>
      </c>
      <c r="E34" s="21">
        <f>IF(Mar!AE$5="","x",IF(Mar!AE23="","",Mar!AE23))</f>
        <v/>
      </c>
      <c r="F34" s="21">
        <f>IF(Apr!AE$5="","x",IF(Apr!AE23="","",Apr!AE23))</f>
        <v/>
      </c>
      <c r="G34" s="21">
        <f>IF(May!AE$5="","x",IF(May!AE23="","",May!AE23))</f>
        <v/>
      </c>
      <c r="H34" s="21">
        <f>IF(Jun!AE$5="","x",IF(Jun!AE23="","",Jun!AE23))</f>
        <v/>
      </c>
      <c r="I34" s="21">
        <f>IF(Jul!AE$5="","x",IF(Jul!AE23="","",Jul!AE23))</f>
        <v/>
      </c>
      <c r="J34" s="21">
        <f>IF(Aug!AE$5="","x",IF(Aug!AE23="","",Aug!AE23))</f>
        <v/>
      </c>
      <c r="K34" s="21">
        <f>IF(Sep!AE$5="","x",IF(Sep!AE23="","",Sep!AE23))</f>
        <v/>
      </c>
      <c r="L34" s="21">
        <f>IF(Oct!AE$5="","x",IF(Oct!AE23="","",Oct!AE23))</f>
        <v/>
      </c>
      <c r="M34" s="21">
        <f>IF(Nov!AE$5="","x",IF(Nov!AE23="","",Nov!AE23))</f>
        <v/>
      </c>
      <c r="N34" s="21">
        <f>IF(Dec!AE$5="","x",IF(Dec!AE23="","",Dec!AE23))</f>
        <v/>
      </c>
      <c r="O34" s="1" t="n"/>
      <c r="P34" s="1" t="n"/>
      <c r="Q34" s="1" t="n"/>
    </row>
    <row r="35" ht="15" customHeight="1">
      <c r="A35" s="1" t="n"/>
      <c r="B35" s="20" t="n">
        <v>30</v>
      </c>
      <c r="C35" s="21">
        <f>IF(Jan!AF$5="","x",IF(Jan!AF23="","",Jan!AF23))</f>
        <v/>
      </c>
      <c r="D35" s="21">
        <f>IF(Feb!AF$5="","x",IF(Feb!AF23="","",Feb!AF23))</f>
        <v/>
      </c>
      <c r="E35" s="21">
        <f>IF(Mar!AF$5="","x",IF(Mar!AF23="","",Mar!AF23))</f>
        <v/>
      </c>
      <c r="F35" s="21">
        <f>IF(Apr!AF$5="","x",IF(Apr!AF23="","",Apr!AF23))</f>
        <v/>
      </c>
      <c r="G35" s="21">
        <f>IF(May!AF$5="","x",IF(May!AF23="","",May!AF23))</f>
        <v/>
      </c>
      <c r="H35" s="21">
        <f>IF(Jun!AF$5="","x",IF(Jun!AF23="","",Jun!AF23))</f>
        <v/>
      </c>
      <c r="I35" s="21">
        <f>IF(Jul!AF$5="","x",IF(Jul!AF23="","",Jul!AF23))</f>
        <v/>
      </c>
      <c r="J35" s="21">
        <f>IF(Aug!AF$5="","x",IF(Aug!AF23="","",Aug!AF23))</f>
        <v/>
      </c>
      <c r="K35" s="21">
        <f>IF(Sep!AF$5="","x",IF(Sep!AF23="","",Sep!AF23))</f>
        <v/>
      </c>
      <c r="L35" s="21">
        <f>IF(Oct!AF$5="","x",IF(Oct!AF23="","",Oct!AF23))</f>
        <v/>
      </c>
      <c r="M35" s="21">
        <f>IF(Nov!AF$5="","x",IF(Nov!AF23="","",Nov!AF23))</f>
        <v/>
      </c>
      <c r="N35" s="21">
        <f>IF(Dec!AF$5="","x",IF(Dec!AF23="","",Dec!AF23))</f>
        <v/>
      </c>
      <c r="O35" s="1" t="n"/>
      <c r="P35" s="1" t="n"/>
      <c r="Q35" s="1" t="n"/>
    </row>
    <row r="36" ht="15" customHeight="1">
      <c r="A36" s="1" t="n"/>
      <c r="B36" s="20" t="n">
        <v>31</v>
      </c>
      <c r="C36" s="21">
        <f>IF(Jan!AG$5="","x",IF(Jan!AG23="","",Jan!AG23))</f>
        <v/>
      </c>
      <c r="D36" s="21">
        <f>IF(Feb!AG$5="","x",IF(Feb!AG23="","",Feb!AG23))</f>
        <v/>
      </c>
      <c r="E36" s="21">
        <f>IF(Mar!AG$5="","x",IF(Mar!AG23="","",Mar!AG23))</f>
        <v/>
      </c>
      <c r="F36" s="21">
        <f>IF(Apr!AG$5="","x",IF(Apr!AG23="","",Apr!AG23))</f>
        <v/>
      </c>
      <c r="G36" s="21">
        <f>IF(May!AG$5="","x",IF(May!AG23="","",May!AG23))</f>
        <v/>
      </c>
      <c r="H36" s="21">
        <f>IF(Jun!AG$5="","x",IF(Jun!AG23="","",Jun!AG23))</f>
        <v/>
      </c>
      <c r="I36" s="21">
        <f>IF(Jul!AG$5="","x",IF(Jul!AG23="","",Jul!AG23))</f>
        <v/>
      </c>
      <c r="J36" s="21">
        <f>IF(Aug!AG$5="","x",IF(Aug!AG23="","",Aug!AG23))</f>
        <v/>
      </c>
      <c r="K36" s="21">
        <f>IF(Sep!AG$5="","x",IF(Sep!AG23="","",Sep!AG23))</f>
        <v/>
      </c>
      <c r="L36" s="21">
        <f>IF(Oct!AG$5="","x",IF(Oct!AG23="","",Oct!AG23))</f>
        <v/>
      </c>
      <c r="M36" s="21">
        <f>IF(Nov!AG$5="","x",IF(Nov!AG23="","",Nov!AG23))</f>
        <v/>
      </c>
      <c r="N36" s="21">
        <f>IF(Dec!AG$5="","x",IF(Dec!AG23="","",Dec!AG23))</f>
        <v/>
      </c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</sheetData>
  <conditionalFormatting sqref="C6:N36">
    <cfRule type="expression" priority="1" dxfId="6">
      <formula>C6=5</formula>
    </cfRule>
    <cfRule type="expression" priority="2" dxfId="7">
      <formula>C6=4</formula>
    </cfRule>
    <cfRule type="expression" priority="3" dxfId="8">
      <formula>C6=3</formula>
    </cfRule>
    <cfRule type="expression" priority="4" dxfId="9">
      <formula>C6=2</formula>
    </cfRule>
    <cfRule type="expression" priority="5" dxfId="10">
      <formula>C6=1</formula>
    </cfRule>
    <cfRule type="expression" priority="6" dxfId="11">
      <formula>C6="x"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7" customWidth="1" min="34" max="34"/>
    <col width="7" customWidth="1" min="35" max="35"/>
    <col width="8" customWidth="1" min="36" max="36"/>
    <col width="8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>
        <f>"January "&amp;Habits!$C$4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Type x on each day you did a habit. Mood from 1 to 5, sleep in hours.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30" customHeight="1">
      <c r="A5" s="1" t="n"/>
      <c r="B5" s="28" t="inlineStr">
        <is>
          <t>Habit</t>
        </is>
      </c>
      <c r="C5" s="29">
        <f>IF(1&lt;=DAY(EOMONTH(DATE(Habits!$C$4,1,1),0)),1,"")</f>
        <v/>
      </c>
      <c r="D5" s="29">
        <f>IF(2&lt;=DAY(EOMONTH(DATE(Habits!$C$4,1,1),0)),2,"")</f>
        <v/>
      </c>
      <c r="E5" s="29">
        <f>IF(3&lt;=DAY(EOMONTH(DATE(Habits!$C$4,1,1),0)),3,"")</f>
        <v/>
      </c>
      <c r="F5" s="29">
        <f>IF(4&lt;=DAY(EOMONTH(DATE(Habits!$C$4,1,1),0)),4,"")</f>
        <v/>
      </c>
      <c r="G5" s="29">
        <f>IF(5&lt;=DAY(EOMONTH(DATE(Habits!$C$4,1,1),0)),5,"")</f>
        <v/>
      </c>
      <c r="H5" s="29">
        <f>IF(6&lt;=DAY(EOMONTH(DATE(Habits!$C$4,1,1),0)),6,"")</f>
        <v/>
      </c>
      <c r="I5" s="29">
        <f>IF(7&lt;=DAY(EOMONTH(DATE(Habits!$C$4,1,1),0)),7,"")</f>
        <v/>
      </c>
      <c r="J5" s="29">
        <f>IF(8&lt;=DAY(EOMONTH(DATE(Habits!$C$4,1,1),0)),8,"")</f>
        <v/>
      </c>
      <c r="K5" s="29">
        <f>IF(9&lt;=DAY(EOMONTH(DATE(Habits!$C$4,1,1),0)),9,"")</f>
        <v/>
      </c>
      <c r="L5" s="29">
        <f>IF(10&lt;=DAY(EOMONTH(DATE(Habits!$C$4,1,1),0)),10,"")</f>
        <v/>
      </c>
      <c r="M5" s="29">
        <f>IF(11&lt;=DAY(EOMONTH(DATE(Habits!$C$4,1,1),0)),11,"")</f>
        <v/>
      </c>
      <c r="N5" s="29">
        <f>IF(12&lt;=DAY(EOMONTH(DATE(Habits!$C$4,1,1),0)),12,"")</f>
        <v/>
      </c>
      <c r="O5" s="29">
        <f>IF(13&lt;=DAY(EOMONTH(DATE(Habits!$C$4,1,1),0)),13,"")</f>
        <v/>
      </c>
      <c r="P5" s="29">
        <f>IF(14&lt;=DAY(EOMONTH(DATE(Habits!$C$4,1,1),0)),14,"")</f>
        <v/>
      </c>
      <c r="Q5" s="29">
        <f>IF(15&lt;=DAY(EOMONTH(DATE(Habits!$C$4,1,1),0)),15,"")</f>
        <v/>
      </c>
      <c r="R5" s="29">
        <f>IF(16&lt;=DAY(EOMONTH(DATE(Habits!$C$4,1,1),0)),16,"")</f>
        <v/>
      </c>
      <c r="S5" s="29">
        <f>IF(17&lt;=DAY(EOMONTH(DATE(Habits!$C$4,1,1),0)),17,"")</f>
        <v/>
      </c>
      <c r="T5" s="29">
        <f>IF(18&lt;=DAY(EOMONTH(DATE(Habits!$C$4,1,1),0)),18,"")</f>
        <v/>
      </c>
      <c r="U5" s="29">
        <f>IF(19&lt;=DAY(EOMONTH(DATE(Habits!$C$4,1,1),0)),19,"")</f>
        <v/>
      </c>
      <c r="V5" s="29">
        <f>IF(20&lt;=DAY(EOMONTH(DATE(Habits!$C$4,1,1),0)),20,"")</f>
        <v/>
      </c>
      <c r="W5" s="29">
        <f>IF(21&lt;=DAY(EOMONTH(DATE(Habits!$C$4,1,1),0)),21,"")</f>
        <v/>
      </c>
      <c r="X5" s="29">
        <f>IF(22&lt;=DAY(EOMONTH(DATE(Habits!$C$4,1,1),0)),22,"")</f>
        <v/>
      </c>
      <c r="Y5" s="29">
        <f>IF(23&lt;=DAY(EOMONTH(DATE(Habits!$C$4,1,1),0)),23,"")</f>
        <v/>
      </c>
      <c r="Z5" s="29">
        <f>IF(24&lt;=DAY(EOMONTH(DATE(Habits!$C$4,1,1),0)),24,"")</f>
        <v/>
      </c>
      <c r="AA5" s="29">
        <f>IF(25&lt;=DAY(EOMONTH(DATE(Habits!$C$4,1,1),0)),25,"")</f>
        <v/>
      </c>
      <c r="AB5" s="29">
        <f>IF(26&lt;=DAY(EOMONTH(DATE(Habits!$C$4,1,1),0)),26,"")</f>
        <v/>
      </c>
      <c r="AC5" s="29">
        <f>IF(27&lt;=DAY(EOMONTH(DATE(Habits!$C$4,1,1),0)),27,"")</f>
        <v/>
      </c>
      <c r="AD5" s="29">
        <f>IF(28&lt;=DAY(EOMONTH(DATE(Habits!$C$4,1,1),0)),28,"")</f>
        <v/>
      </c>
      <c r="AE5" s="29">
        <f>IF(29&lt;=DAY(EOMONTH(DATE(Habits!$C$4,1,1),0)),29,"")</f>
        <v/>
      </c>
      <c r="AF5" s="29">
        <f>IF(30&lt;=DAY(EOMONTH(DATE(Habits!$C$4,1,1),0)),30,"")</f>
        <v/>
      </c>
      <c r="AG5" s="29">
        <f>IF(31&lt;=DAY(EOMONTH(DATE(Habits!$C$4,1,1),0)),31,"")</f>
        <v/>
      </c>
      <c r="AH5" s="30" t="inlineStr">
        <is>
          <t>Done</t>
        </is>
      </c>
      <c r="AI5" s="30" t="inlineStr">
        <is>
          <t>Share</t>
        </is>
      </c>
      <c r="AJ5" s="30" t="inlineStr">
        <is>
          <t>Streak now</t>
        </is>
      </c>
      <c r="AK5" s="30" t="inlineStr">
        <is>
          <t>Best streak</t>
        </is>
      </c>
      <c r="AL5" s="1" t="n"/>
    </row>
    <row r="6">
      <c r="A6" s="1" t="n"/>
      <c r="B6" s="1" t="n"/>
      <c r="C6" s="31">
        <f>IF(C$5="","",CHOOSE(WEEKDAY(DATE(Habits!$C$4,1,1),2),"M","T","W","T","F","S","S"))</f>
        <v/>
      </c>
      <c r="D6" s="31">
        <f>IF(D$5="","",CHOOSE(WEEKDAY(DATE(Habits!$C$4,1,2),2),"M","T","W","T","F","S","S"))</f>
        <v/>
      </c>
      <c r="E6" s="31">
        <f>IF(E$5="","",CHOOSE(WEEKDAY(DATE(Habits!$C$4,1,3),2),"M","T","W","T","F","S","S"))</f>
        <v/>
      </c>
      <c r="F6" s="31">
        <f>IF(F$5="","",CHOOSE(WEEKDAY(DATE(Habits!$C$4,1,4),2),"M","T","W","T","F","S","S"))</f>
        <v/>
      </c>
      <c r="G6" s="31">
        <f>IF(G$5="","",CHOOSE(WEEKDAY(DATE(Habits!$C$4,1,5),2),"M","T","W","T","F","S","S"))</f>
        <v/>
      </c>
      <c r="H6" s="31">
        <f>IF(H$5="","",CHOOSE(WEEKDAY(DATE(Habits!$C$4,1,6),2),"M","T","W","T","F","S","S"))</f>
        <v/>
      </c>
      <c r="I6" s="31">
        <f>IF(I$5="","",CHOOSE(WEEKDAY(DATE(Habits!$C$4,1,7),2),"M","T","W","T","F","S","S"))</f>
        <v/>
      </c>
      <c r="J6" s="31">
        <f>IF(J$5="","",CHOOSE(WEEKDAY(DATE(Habits!$C$4,1,8),2),"M","T","W","T","F","S","S"))</f>
        <v/>
      </c>
      <c r="K6" s="31">
        <f>IF(K$5="","",CHOOSE(WEEKDAY(DATE(Habits!$C$4,1,9),2),"M","T","W","T","F","S","S"))</f>
        <v/>
      </c>
      <c r="L6" s="31">
        <f>IF(L$5="","",CHOOSE(WEEKDAY(DATE(Habits!$C$4,1,10),2),"M","T","W","T","F","S","S"))</f>
        <v/>
      </c>
      <c r="M6" s="31">
        <f>IF(M$5="","",CHOOSE(WEEKDAY(DATE(Habits!$C$4,1,11),2),"M","T","W","T","F","S","S"))</f>
        <v/>
      </c>
      <c r="N6" s="31">
        <f>IF(N$5="","",CHOOSE(WEEKDAY(DATE(Habits!$C$4,1,12),2),"M","T","W","T","F","S","S"))</f>
        <v/>
      </c>
      <c r="O6" s="31">
        <f>IF(O$5="","",CHOOSE(WEEKDAY(DATE(Habits!$C$4,1,13),2),"M","T","W","T","F","S","S"))</f>
        <v/>
      </c>
      <c r="P6" s="31">
        <f>IF(P$5="","",CHOOSE(WEEKDAY(DATE(Habits!$C$4,1,14),2),"M","T","W","T","F","S","S"))</f>
        <v/>
      </c>
      <c r="Q6" s="31">
        <f>IF(Q$5="","",CHOOSE(WEEKDAY(DATE(Habits!$C$4,1,15),2),"M","T","W","T","F","S","S"))</f>
        <v/>
      </c>
      <c r="R6" s="31">
        <f>IF(R$5="","",CHOOSE(WEEKDAY(DATE(Habits!$C$4,1,16),2),"M","T","W","T","F","S","S"))</f>
        <v/>
      </c>
      <c r="S6" s="31">
        <f>IF(S$5="","",CHOOSE(WEEKDAY(DATE(Habits!$C$4,1,17),2),"M","T","W","T","F","S","S"))</f>
        <v/>
      </c>
      <c r="T6" s="31">
        <f>IF(T$5="","",CHOOSE(WEEKDAY(DATE(Habits!$C$4,1,18),2),"M","T","W","T","F","S","S"))</f>
        <v/>
      </c>
      <c r="U6" s="31">
        <f>IF(U$5="","",CHOOSE(WEEKDAY(DATE(Habits!$C$4,1,19),2),"M","T","W","T","F","S","S"))</f>
        <v/>
      </c>
      <c r="V6" s="31">
        <f>IF(V$5="","",CHOOSE(WEEKDAY(DATE(Habits!$C$4,1,20),2),"M","T","W","T","F","S","S"))</f>
        <v/>
      </c>
      <c r="W6" s="31">
        <f>IF(W$5="","",CHOOSE(WEEKDAY(DATE(Habits!$C$4,1,21),2),"M","T","W","T","F","S","S"))</f>
        <v/>
      </c>
      <c r="X6" s="31">
        <f>IF(X$5="","",CHOOSE(WEEKDAY(DATE(Habits!$C$4,1,22),2),"M","T","W","T","F","S","S"))</f>
        <v/>
      </c>
      <c r="Y6" s="31">
        <f>IF(Y$5="","",CHOOSE(WEEKDAY(DATE(Habits!$C$4,1,23),2),"M","T","W","T","F","S","S"))</f>
        <v/>
      </c>
      <c r="Z6" s="31">
        <f>IF(Z$5="","",CHOOSE(WEEKDAY(DATE(Habits!$C$4,1,24),2),"M","T","W","T","F","S","S"))</f>
        <v/>
      </c>
      <c r="AA6" s="31">
        <f>IF(AA$5="","",CHOOSE(WEEKDAY(DATE(Habits!$C$4,1,25),2),"M","T","W","T","F","S","S"))</f>
        <v/>
      </c>
      <c r="AB6" s="31">
        <f>IF(AB$5="","",CHOOSE(WEEKDAY(DATE(Habits!$C$4,1,26),2),"M","T","W","T","F","S","S"))</f>
        <v/>
      </c>
      <c r="AC6" s="31">
        <f>IF(AC$5="","",CHOOSE(WEEKDAY(DATE(Habits!$C$4,1,27),2),"M","T","W","T","F","S","S"))</f>
        <v/>
      </c>
      <c r="AD6" s="31">
        <f>IF(AD$5="","",CHOOSE(WEEKDAY(DATE(Habits!$C$4,1,28),2),"M","T","W","T","F","S","S"))</f>
        <v/>
      </c>
      <c r="AE6" s="31">
        <f>IF(AE$5="","",CHOOSE(WEEKDAY(DATE(Habits!$C$4,1,29),2),"M","T","W","T","F","S","S"))</f>
        <v/>
      </c>
      <c r="AF6" s="31">
        <f>IF(AF$5="","",CHOOSE(WEEKDAY(DATE(Habits!$C$4,1,30),2),"M","T","W","T","F","S","S"))</f>
        <v/>
      </c>
      <c r="AG6" s="31">
        <f>IF(AG$5="","",CHOOSE(WEEKDAY(DATE(Habits!$C$4,1,31),2),"M","T","W","T","F","S","S"))</f>
        <v/>
      </c>
      <c r="AH6" s="1" t="n"/>
      <c r="AI6" s="1" t="n"/>
      <c r="AJ6" s="1" t="n"/>
      <c r="AK6" s="1" t="n"/>
      <c r="AL6" s="1" t="n"/>
    </row>
    <row r="7">
      <c r="A7" s="1" t="n"/>
      <c r="B7" s="32">
        <f>IF(Habits!B8="","",Habits!B8)</f>
        <v/>
      </c>
      <c r="C7" s="33" t="inlineStr">
        <is>
          <t>x</t>
        </is>
      </c>
      <c r="D7" s="33" t="inlineStr">
        <is>
          <t>x</t>
        </is>
      </c>
      <c r="E7" s="33" t="inlineStr">
        <is>
          <t>x</t>
        </is>
      </c>
      <c r="F7" s="33" t="inlineStr">
        <is>
          <t>x</t>
        </is>
      </c>
      <c r="G7" s="33" t="inlineStr">
        <is>
          <t>x</t>
        </is>
      </c>
      <c r="H7" s="33" t="n"/>
      <c r="I7" s="33" t="inlineStr">
        <is>
          <t>x</t>
        </is>
      </c>
      <c r="J7" s="33" t="inlineStr">
        <is>
          <t>x</t>
        </is>
      </c>
      <c r="K7" s="33" t="inlineStr">
        <is>
          <t>x</t>
        </is>
      </c>
      <c r="L7" s="33" t="inlineStr">
        <is>
          <t>x</t>
        </is>
      </c>
      <c r="M7" s="33" t="inlineStr">
        <is>
          <t>x</t>
        </is>
      </c>
      <c r="N7" s="33" t="inlineStr">
        <is>
          <t>x</t>
        </is>
      </c>
      <c r="O7" s="33" t="inlineStr">
        <is>
          <t>x</t>
        </is>
      </c>
      <c r="P7" s="33" t="n"/>
      <c r="Q7" s="33" t="inlineStr">
        <is>
          <t>x</t>
        </is>
      </c>
      <c r="R7" s="33" t="inlineStr">
        <is>
          <t>x</t>
        </is>
      </c>
      <c r="S7" s="33" t="inlineStr">
        <is>
          <t>x</t>
        </is>
      </c>
      <c r="T7" s="33" t="n"/>
      <c r="U7" s="33" t="inlineStr">
        <is>
          <t>x</t>
        </is>
      </c>
      <c r="V7" s="33" t="inlineStr">
        <is>
          <t>x</t>
        </is>
      </c>
      <c r="W7" s="33" t="n"/>
      <c r="X7" s="33" t="inlineStr">
        <is>
          <t>x</t>
        </is>
      </c>
      <c r="Y7" s="33" t="inlineStr">
        <is>
          <t>x</t>
        </is>
      </c>
      <c r="Z7" s="33" t="inlineStr">
        <is>
          <t>x</t>
        </is>
      </c>
      <c r="AA7" s="33" t="inlineStr">
        <is>
          <t>x</t>
        </is>
      </c>
      <c r="AB7" s="33" t="inlineStr">
        <is>
          <t>x</t>
        </is>
      </c>
      <c r="AC7" s="33" t="inlineStr">
        <is>
          <t>x</t>
        </is>
      </c>
      <c r="AD7" s="33" t="inlineStr">
        <is>
          <t>x</t>
        </is>
      </c>
      <c r="AE7" s="33" t="inlineStr">
        <is>
          <t>x</t>
        </is>
      </c>
      <c r="AF7" s="33" t="n"/>
      <c r="AG7" s="33" t="inlineStr">
        <is>
          <t>x</t>
        </is>
      </c>
      <c r="AH7" s="13">
        <f>IF(B7="","",COUNTIF($C40:$AG40,"&gt;0"))</f>
        <v/>
      </c>
      <c r="AI7" s="14">
        <f>IF(OR(B7="",IF(AND(Habits!$C$4=YEAR(TODAY()),1=MONTH(TODAY())),DAY(TODAY()),IF(DATE(Habits!$C$4,1,1)&gt;TODAY(),0,DAY(EOMONTH(DATE(Habits!$C$4,1,1),0))))=0),"",MIN(1,(COUNTIF($C40:$AG40,"&gt;0"))/IF(AND(Habits!$C$4=YEAR(TODAY()),1=MONTH(TODAY())),DAY(TODAY()),IF(DATE(Habits!$C$4,1,1)&gt;TODAY(),0,DAY(EOMONTH(DATE(Habits!$C$4,1,1),0))))))</f>
        <v/>
      </c>
      <c r="AJ7" s="16">
        <f>IF(B7="","",IF(AND(Habits!$C$4=YEAR(TODAY()),1=MONTH(TODAY())),IF(INDEX($C40:$AG40,DAY(TODAY()))&gt;0,INDEX($C40:$AG40,DAY(TODAY())),IF(DAY(TODAY())=1,0,INDEX($C40:$AG40,DAY(TODAY())-1))),IF(DATE(Habits!$C$4,1,1)&gt;TODAY(),"",INDEX($C40:$AG40,DAY(EOMONTH(DATE(Habits!$C$4,1,1),0))))))</f>
        <v/>
      </c>
      <c r="AK7" s="13">
        <f>IF(B7="","",MAX($C40:$AG40))</f>
        <v/>
      </c>
      <c r="AL7" s="1" t="n"/>
    </row>
    <row r="8">
      <c r="A8" s="1" t="n"/>
      <c r="B8" s="32">
        <f>IF(Habits!B9="","",Habits!B9)</f>
        <v/>
      </c>
      <c r="C8" s="33" t="inlineStr">
        <is>
          <t>x</t>
        </is>
      </c>
      <c r="D8" s="33" t="n"/>
      <c r="E8" s="33" t="n"/>
      <c r="F8" s="33" t="n"/>
      <c r="G8" s="33" t="n"/>
      <c r="H8" s="33" t="n"/>
      <c r="I8" s="33" t="inlineStr">
        <is>
          <t>x</t>
        </is>
      </c>
      <c r="J8" s="33" t="inlineStr">
        <is>
          <t>x</t>
        </is>
      </c>
      <c r="K8" s="33" t="n"/>
      <c r="L8" s="33" t="inlineStr">
        <is>
          <t>x</t>
        </is>
      </c>
      <c r="M8" s="33" t="inlineStr">
        <is>
          <t>x</t>
        </is>
      </c>
      <c r="N8" s="33" t="inlineStr">
        <is>
          <t>x</t>
        </is>
      </c>
      <c r="O8" s="33" t="n"/>
      <c r="P8" s="33" t="inlineStr">
        <is>
          <t>x</t>
        </is>
      </c>
      <c r="Q8" s="33" t="inlineStr">
        <is>
          <t>x</t>
        </is>
      </c>
      <c r="R8" s="33" t="inlineStr">
        <is>
          <t>x</t>
        </is>
      </c>
      <c r="S8" s="33" t="n"/>
      <c r="T8" s="33" t="inlineStr">
        <is>
          <t>x</t>
        </is>
      </c>
      <c r="U8" s="33" t="inlineStr">
        <is>
          <t>x</t>
        </is>
      </c>
      <c r="V8" s="33" t="n"/>
      <c r="W8" s="33" t="n"/>
      <c r="X8" s="33" t="inlineStr">
        <is>
          <t>x</t>
        </is>
      </c>
      <c r="Y8" s="33" t="inlineStr">
        <is>
          <t>x</t>
        </is>
      </c>
      <c r="Z8" s="33" t="inlineStr">
        <is>
          <t>x</t>
        </is>
      </c>
      <c r="AA8" s="33" t="inlineStr">
        <is>
          <t>x</t>
        </is>
      </c>
      <c r="AB8" s="33" t="inlineStr">
        <is>
          <t>x</t>
        </is>
      </c>
      <c r="AC8" s="33" t="inlineStr">
        <is>
          <t>x</t>
        </is>
      </c>
      <c r="AD8" s="33" t="n"/>
      <c r="AE8" s="33" t="n"/>
      <c r="AF8" s="33" t="inlineStr">
        <is>
          <t>x</t>
        </is>
      </c>
      <c r="AG8" s="33" t="n"/>
      <c r="AH8" s="13">
        <f>IF(B8="","",COUNTIF($C41:$AG41,"&gt;0"))</f>
        <v/>
      </c>
      <c r="AI8" s="14">
        <f>IF(OR(B8="",IF(AND(Habits!$C$4=YEAR(TODAY()),1=MONTH(TODAY())),DAY(TODAY()),IF(DATE(Habits!$C$4,1,1)&gt;TODAY(),0,DAY(EOMONTH(DATE(Habits!$C$4,1,1),0))))=0),"",MIN(1,(COUNTIF($C41:$AG41,"&gt;0"))/IF(AND(Habits!$C$4=YEAR(TODAY()),1=MONTH(TODAY())),DAY(TODAY()),IF(DATE(Habits!$C$4,1,1)&gt;TODAY(),0,DAY(EOMONTH(DATE(Habits!$C$4,1,1),0))))))</f>
        <v/>
      </c>
      <c r="AJ8" s="16">
        <f>IF(B8="","",IF(AND(Habits!$C$4=YEAR(TODAY()),1=MONTH(TODAY())),IF(INDEX($C41:$AG41,DAY(TODAY()))&gt;0,INDEX($C41:$AG41,DAY(TODAY())),IF(DAY(TODAY())=1,0,INDEX($C41:$AG41,DAY(TODAY())-1))),IF(DATE(Habits!$C$4,1,1)&gt;TODAY(),"",INDEX($C41:$AG41,DAY(EOMONTH(DATE(Habits!$C$4,1,1),0))))))</f>
        <v/>
      </c>
      <c r="AK8" s="13">
        <f>IF(B8="","",MAX($C41:$AG41))</f>
        <v/>
      </c>
      <c r="AL8" s="1" t="n"/>
    </row>
    <row r="9">
      <c r="A9" s="1" t="n"/>
      <c r="B9" s="32">
        <f>IF(Habits!B10="","",Habits!B10)</f>
        <v/>
      </c>
      <c r="C9" s="33" t="inlineStr">
        <is>
          <t>x</t>
        </is>
      </c>
      <c r="D9" s="33" t="inlineStr">
        <is>
          <t>x</t>
        </is>
      </c>
      <c r="E9" s="33" t="inlineStr">
        <is>
          <t>x</t>
        </is>
      </c>
      <c r="F9" s="33" t="inlineStr">
        <is>
          <t>x</t>
        </is>
      </c>
      <c r="G9" s="33" t="n"/>
      <c r="H9" s="33" t="n"/>
      <c r="I9" s="33" t="n"/>
      <c r="J9" s="33" t="inlineStr">
        <is>
          <t>x</t>
        </is>
      </c>
      <c r="K9" s="33" t="inlineStr">
        <is>
          <t>x</t>
        </is>
      </c>
      <c r="L9" s="33" t="n"/>
      <c r="M9" s="33" t="n"/>
      <c r="N9" s="33" t="inlineStr">
        <is>
          <t>x</t>
        </is>
      </c>
      <c r="O9" s="33" t="inlineStr">
        <is>
          <t>x</t>
        </is>
      </c>
      <c r="P9" s="33" t="inlineStr">
        <is>
          <t>x</t>
        </is>
      </c>
      <c r="Q9" s="33" t="n"/>
      <c r="R9" s="33" t="n"/>
      <c r="S9" s="33" t="inlineStr">
        <is>
          <t>x</t>
        </is>
      </c>
      <c r="T9" s="33" t="n"/>
      <c r="U9" s="33" t="inlineStr">
        <is>
          <t>x</t>
        </is>
      </c>
      <c r="V9" s="33" t="n"/>
      <c r="W9" s="33" t="n"/>
      <c r="X9" s="33" t="n"/>
      <c r="Y9" s="33" t="n"/>
      <c r="Z9" s="33" t="n"/>
      <c r="AA9" s="33" t="inlineStr">
        <is>
          <t>x</t>
        </is>
      </c>
      <c r="AB9" s="33" t="n"/>
      <c r="AC9" s="33" t="inlineStr">
        <is>
          <t>x</t>
        </is>
      </c>
      <c r="AD9" s="33" t="inlineStr">
        <is>
          <t>x</t>
        </is>
      </c>
      <c r="AE9" s="33" t="inlineStr">
        <is>
          <t>x</t>
        </is>
      </c>
      <c r="AF9" s="33" t="n"/>
      <c r="AG9" s="33" t="n"/>
      <c r="AH9" s="13">
        <f>IF(B9="","",COUNTIF($C42:$AG42,"&gt;0"))</f>
        <v/>
      </c>
      <c r="AI9" s="14">
        <f>IF(OR(B9="",IF(AND(Habits!$C$4=YEAR(TODAY()),1=MONTH(TODAY())),DAY(TODAY()),IF(DATE(Habits!$C$4,1,1)&gt;TODAY(),0,DAY(EOMONTH(DATE(Habits!$C$4,1,1),0))))=0),"",MIN(1,(COUNTIF($C42:$AG42,"&gt;0"))/IF(AND(Habits!$C$4=YEAR(TODAY()),1=MONTH(TODAY())),DAY(TODAY()),IF(DATE(Habits!$C$4,1,1)&gt;TODAY(),0,DAY(EOMONTH(DATE(Habits!$C$4,1,1),0))))))</f>
        <v/>
      </c>
      <c r="AJ9" s="16">
        <f>IF(B9="","",IF(AND(Habits!$C$4=YEAR(TODAY()),1=MONTH(TODAY())),IF(INDEX($C42:$AG42,DAY(TODAY()))&gt;0,INDEX($C42:$AG42,DAY(TODAY())),IF(DAY(TODAY())=1,0,INDEX($C42:$AG42,DAY(TODAY())-1))),IF(DATE(Habits!$C$4,1,1)&gt;TODAY(),"",INDEX($C42:$AG42,DAY(EOMONTH(DATE(Habits!$C$4,1,1),0))))))</f>
        <v/>
      </c>
      <c r="AK9" s="13">
        <f>IF(B9="","",MAX($C42:$AG42))</f>
        <v/>
      </c>
      <c r="AL9" s="1" t="n"/>
    </row>
    <row r="10">
      <c r="A10" s="1" t="n"/>
      <c r="B10" s="32">
        <f>IF(Habits!B11="","",Habits!B11)</f>
        <v/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inlineStr">
        <is>
          <t>x</t>
        </is>
      </c>
      <c r="L10" s="33" t="n"/>
      <c r="M10" s="33" t="n"/>
      <c r="N10" s="33" t="inlineStr">
        <is>
          <t>x</t>
        </is>
      </c>
      <c r="O10" s="33" t="n"/>
      <c r="P10" s="33" t="n"/>
      <c r="Q10" s="33" t="n"/>
      <c r="R10" s="33" t="inlineStr">
        <is>
          <t>x</t>
        </is>
      </c>
      <c r="S10" s="33" t="n"/>
      <c r="T10" s="33" t="inlineStr">
        <is>
          <t>x</t>
        </is>
      </c>
      <c r="U10" s="33" t="inlineStr">
        <is>
          <t>x</t>
        </is>
      </c>
      <c r="V10" s="33" t="inlineStr">
        <is>
          <t>x</t>
        </is>
      </c>
      <c r="W10" s="33" t="inlineStr">
        <is>
          <t>x</t>
        </is>
      </c>
      <c r="X10" s="33" t="inlineStr">
        <is>
          <t>x</t>
        </is>
      </c>
      <c r="Y10" s="33" t="n"/>
      <c r="Z10" s="33" t="inlineStr">
        <is>
          <t>x</t>
        </is>
      </c>
      <c r="AA10" s="33" t="n"/>
      <c r="AB10" s="33" t="n"/>
      <c r="AC10" s="33" t="inlineStr">
        <is>
          <t>x</t>
        </is>
      </c>
      <c r="AD10" s="33" t="n"/>
      <c r="AE10" s="33" t="inlineStr">
        <is>
          <t>x</t>
        </is>
      </c>
      <c r="AF10" s="33" t="n"/>
      <c r="AG10" s="33" t="inlineStr">
        <is>
          <t>x</t>
        </is>
      </c>
      <c r="AH10" s="13">
        <f>IF(B10="","",COUNTIF($C43:$AG43,"&gt;0"))</f>
        <v/>
      </c>
      <c r="AI10" s="14">
        <f>IF(OR(B10="",IF(AND(Habits!$C$4=YEAR(TODAY()),1=MONTH(TODAY())),DAY(TODAY()),IF(DATE(Habits!$C$4,1,1)&gt;TODAY(),0,DAY(EOMONTH(DATE(Habits!$C$4,1,1),0))))=0),"",MIN(1,(COUNTIF($C43:$AG43,"&gt;0"))/IF(AND(Habits!$C$4=YEAR(TODAY()),1=MONTH(TODAY())),DAY(TODAY()),IF(DATE(Habits!$C$4,1,1)&gt;TODAY(),0,DAY(EOMONTH(DATE(Habits!$C$4,1,1),0))))))</f>
        <v/>
      </c>
      <c r="AJ10" s="16">
        <f>IF(B10="","",IF(AND(Habits!$C$4=YEAR(TODAY()),1=MONTH(TODAY())),IF(INDEX($C43:$AG43,DAY(TODAY()))&gt;0,INDEX($C43:$AG43,DAY(TODAY())),IF(DAY(TODAY())=1,0,INDEX($C43:$AG43,DAY(TODAY())-1))),IF(DATE(Habits!$C$4,1,1)&gt;TODAY(),"",INDEX($C43:$AG43,DAY(EOMONTH(DATE(Habits!$C$4,1,1),0))))))</f>
        <v/>
      </c>
      <c r="AK10" s="13">
        <f>IF(B10="","",MAX($C43:$AG43))</f>
        <v/>
      </c>
      <c r="AL10" s="1" t="n"/>
    </row>
    <row r="11">
      <c r="A11" s="1" t="n"/>
      <c r="B11" s="32">
        <f>IF(Habits!B12="","",Habits!B12)</f>
        <v/>
      </c>
      <c r="C11" s="33" t="n"/>
      <c r="D11" s="33" t="inlineStr">
        <is>
          <t>x</t>
        </is>
      </c>
      <c r="E11" s="33" t="n"/>
      <c r="F11" s="33" t="inlineStr">
        <is>
          <t>x</t>
        </is>
      </c>
      <c r="G11" s="33" t="inlineStr">
        <is>
          <t>x</t>
        </is>
      </c>
      <c r="H11" s="33" t="n"/>
      <c r="I11" s="33" t="inlineStr">
        <is>
          <t>x</t>
        </is>
      </c>
      <c r="J11" s="33" t="n"/>
      <c r="K11" s="33" t="inlineStr">
        <is>
          <t>x</t>
        </is>
      </c>
      <c r="L11" s="33" t="inlineStr">
        <is>
          <t>x</t>
        </is>
      </c>
      <c r="M11" s="33" t="n"/>
      <c r="N11" s="33" t="n"/>
      <c r="O11" s="33" t="inlineStr">
        <is>
          <t>x</t>
        </is>
      </c>
      <c r="P11" s="33" t="inlineStr">
        <is>
          <t>x</t>
        </is>
      </c>
      <c r="Q11" s="33" t="n"/>
      <c r="R11" s="33" t="inlineStr">
        <is>
          <t>x</t>
        </is>
      </c>
      <c r="S11" s="33" t="inlineStr">
        <is>
          <t>x</t>
        </is>
      </c>
      <c r="T11" s="33" t="n"/>
      <c r="U11" s="33" t="n"/>
      <c r="V11" s="33" t="inlineStr">
        <is>
          <t>x</t>
        </is>
      </c>
      <c r="W11" s="33" t="inlineStr">
        <is>
          <t>x</t>
        </is>
      </c>
      <c r="X11" s="33" t="inlineStr">
        <is>
          <t>x</t>
        </is>
      </c>
      <c r="Y11" s="33" t="n"/>
      <c r="Z11" s="33" t="n"/>
      <c r="AA11" s="33" t="n"/>
      <c r="AB11" s="33" t="inlineStr">
        <is>
          <t>x</t>
        </is>
      </c>
      <c r="AC11" s="33" t="n"/>
      <c r="AD11" s="33" t="inlineStr">
        <is>
          <t>x</t>
        </is>
      </c>
      <c r="AE11" s="33" t="n"/>
      <c r="AF11" s="33" t="inlineStr">
        <is>
          <t>x</t>
        </is>
      </c>
      <c r="AG11" s="33" t="n"/>
      <c r="AH11" s="13">
        <f>IF(B11="","",COUNTIF($C44:$AG44,"&gt;0"))</f>
        <v/>
      </c>
      <c r="AI11" s="14">
        <f>IF(OR(B11="",IF(AND(Habits!$C$4=YEAR(TODAY()),1=MONTH(TODAY())),DAY(TODAY()),IF(DATE(Habits!$C$4,1,1)&gt;TODAY(),0,DAY(EOMONTH(DATE(Habits!$C$4,1,1),0))))=0),"",MIN(1,(COUNTIF($C44:$AG44,"&gt;0"))/IF(AND(Habits!$C$4=YEAR(TODAY()),1=MONTH(TODAY())),DAY(TODAY()),IF(DATE(Habits!$C$4,1,1)&gt;TODAY(),0,DAY(EOMONTH(DATE(Habits!$C$4,1,1),0))))))</f>
        <v/>
      </c>
      <c r="AJ11" s="16">
        <f>IF(B11="","",IF(AND(Habits!$C$4=YEAR(TODAY()),1=MONTH(TODAY())),IF(INDEX($C44:$AG44,DAY(TODAY()))&gt;0,INDEX($C44:$AG44,DAY(TODAY())),IF(DAY(TODAY())=1,0,INDEX($C44:$AG44,DAY(TODAY())-1))),IF(DATE(Habits!$C$4,1,1)&gt;TODAY(),"",INDEX($C44:$AG44,DAY(EOMONTH(DATE(Habits!$C$4,1,1),0))))))</f>
        <v/>
      </c>
      <c r="AK11" s="13">
        <f>IF(B11="","",MAX($C44:$AG44))</f>
        <v/>
      </c>
      <c r="AL11" s="1" t="n"/>
    </row>
    <row r="12">
      <c r="A12" s="1" t="n"/>
      <c r="B12" s="32">
        <f>IF(Habits!B13="","",Habits!B13)</f>
        <v/>
      </c>
      <c r="C12" s="33" t="inlineStr">
        <is>
          <t>x</t>
        </is>
      </c>
      <c r="D12" s="33" t="n"/>
      <c r="E12" s="33" t="inlineStr">
        <is>
          <t>x</t>
        </is>
      </c>
      <c r="F12" s="33" t="n"/>
      <c r="G12" s="33" t="n"/>
      <c r="H12" s="33" t="n"/>
      <c r="I12" s="33" t="inlineStr">
        <is>
          <t>x</t>
        </is>
      </c>
      <c r="J12" s="33" t="inlineStr">
        <is>
          <t>x</t>
        </is>
      </c>
      <c r="K12" s="33" t="inlineStr">
        <is>
          <t>x</t>
        </is>
      </c>
      <c r="L12" s="33" t="inlineStr">
        <is>
          <t>x</t>
        </is>
      </c>
      <c r="M12" s="33" t="n"/>
      <c r="N12" s="33" t="n"/>
      <c r="O12" s="33" t="n"/>
      <c r="P12" s="33" t="inlineStr">
        <is>
          <t>x</t>
        </is>
      </c>
      <c r="Q12" s="33" t="inlineStr">
        <is>
          <t>x</t>
        </is>
      </c>
      <c r="R12" s="33" t="inlineStr">
        <is>
          <t>x</t>
        </is>
      </c>
      <c r="S12" s="33" t="n"/>
      <c r="T12" s="33" t="n"/>
      <c r="U12" s="33" t="inlineStr">
        <is>
          <t>x</t>
        </is>
      </c>
      <c r="V12" s="33" t="n"/>
      <c r="W12" s="33" t="inlineStr">
        <is>
          <t>x</t>
        </is>
      </c>
      <c r="X12" s="33" t="n"/>
      <c r="Y12" s="33" t="inlineStr">
        <is>
          <t>x</t>
        </is>
      </c>
      <c r="Z12" s="33" t="n"/>
      <c r="AA12" s="33" t="inlineStr">
        <is>
          <t>x</t>
        </is>
      </c>
      <c r="AB12" s="33" t="inlineStr">
        <is>
          <t>x</t>
        </is>
      </c>
      <c r="AC12" s="33" t="n"/>
      <c r="AD12" s="33" t="n"/>
      <c r="AE12" s="33" t="n"/>
      <c r="AF12" s="33" t="n"/>
      <c r="AG12" s="33" t="inlineStr">
        <is>
          <t>x</t>
        </is>
      </c>
      <c r="AH12" s="13">
        <f>IF(B12="","",COUNTIF($C45:$AG45,"&gt;0"))</f>
        <v/>
      </c>
      <c r="AI12" s="14">
        <f>IF(OR(B12="",IF(AND(Habits!$C$4=YEAR(TODAY()),1=MONTH(TODAY())),DAY(TODAY()),IF(DATE(Habits!$C$4,1,1)&gt;TODAY(),0,DAY(EOMONTH(DATE(Habits!$C$4,1,1),0))))=0),"",MIN(1,(COUNTIF($C45:$AG45,"&gt;0"))/IF(AND(Habits!$C$4=YEAR(TODAY()),1=MONTH(TODAY())),DAY(TODAY()),IF(DATE(Habits!$C$4,1,1)&gt;TODAY(),0,DAY(EOMONTH(DATE(Habits!$C$4,1,1),0))))))</f>
        <v/>
      </c>
      <c r="AJ12" s="16">
        <f>IF(B12="","",IF(AND(Habits!$C$4=YEAR(TODAY()),1=MONTH(TODAY())),IF(INDEX($C45:$AG45,DAY(TODAY()))&gt;0,INDEX($C45:$AG45,DAY(TODAY())),IF(DAY(TODAY())=1,0,INDEX($C45:$AG45,DAY(TODAY())-1))),IF(DATE(Habits!$C$4,1,1)&gt;TODAY(),"",INDEX($C45:$AG45,DAY(EOMONTH(DATE(Habits!$C$4,1,1),0))))))</f>
        <v/>
      </c>
      <c r="AK12" s="13">
        <f>IF(B12="","",MAX($C45:$AG45))</f>
        <v/>
      </c>
      <c r="AL12" s="1" t="n"/>
    </row>
    <row r="13">
      <c r="A13" s="1" t="n"/>
      <c r="B13" s="32">
        <f>IF(Habits!B14="","",Habits!B14)</f>
        <v/>
      </c>
      <c r="C13" s="33" t="inlineStr">
        <is>
          <t>x</t>
        </is>
      </c>
      <c r="D13" s="33" t="inlineStr">
        <is>
          <t>x</t>
        </is>
      </c>
      <c r="E13" s="33" t="inlineStr">
        <is>
          <t>x</t>
        </is>
      </c>
      <c r="F13" s="33" t="inlineStr">
        <is>
          <t>x</t>
        </is>
      </c>
      <c r="G13" s="33" t="inlineStr">
        <is>
          <t>x</t>
        </is>
      </c>
      <c r="H13" s="33" t="inlineStr">
        <is>
          <t>x</t>
        </is>
      </c>
      <c r="I13" s="33" t="inlineStr">
        <is>
          <t>x</t>
        </is>
      </c>
      <c r="J13" s="33" t="inlineStr">
        <is>
          <t>x</t>
        </is>
      </c>
      <c r="K13" s="33" t="inlineStr">
        <is>
          <t>x</t>
        </is>
      </c>
      <c r="L13" s="33" t="inlineStr">
        <is>
          <t>x</t>
        </is>
      </c>
      <c r="M13" s="33" t="inlineStr">
        <is>
          <t>x</t>
        </is>
      </c>
      <c r="N13" s="33" t="inlineStr">
        <is>
          <t>x</t>
        </is>
      </c>
      <c r="O13" s="33" t="inlineStr">
        <is>
          <t>x</t>
        </is>
      </c>
      <c r="P13" s="33" t="inlineStr">
        <is>
          <t>x</t>
        </is>
      </c>
      <c r="Q13" s="33" t="inlineStr">
        <is>
          <t>x</t>
        </is>
      </c>
      <c r="R13" s="33" t="inlineStr">
        <is>
          <t>x</t>
        </is>
      </c>
      <c r="S13" s="33" t="inlineStr">
        <is>
          <t>x</t>
        </is>
      </c>
      <c r="T13" s="33" t="inlineStr">
        <is>
          <t>x</t>
        </is>
      </c>
      <c r="U13" s="33" t="inlineStr">
        <is>
          <t>x</t>
        </is>
      </c>
      <c r="V13" s="33" t="inlineStr">
        <is>
          <t>x</t>
        </is>
      </c>
      <c r="W13" s="33" t="inlineStr">
        <is>
          <t>x</t>
        </is>
      </c>
      <c r="X13" s="33" t="inlineStr">
        <is>
          <t>x</t>
        </is>
      </c>
      <c r="Y13" s="33" t="inlineStr">
        <is>
          <t>x</t>
        </is>
      </c>
      <c r="Z13" s="33" t="inlineStr">
        <is>
          <t>x</t>
        </is>
      </c>
      <c r="AA13" s="33" t="inlineStr">
        <is>
          <t>x</t>
        </is>
      </c>
      <c r="AB13" s="33" t="inlineStr">
        <is>
          <t>x</t>
        </is>
      </c>
      <c r="AC13" s="33" t="inlineStr">
        <is>
          <t>x</t>
        </is>
      </c>
      <c r="AD13" s="33" t="inlineStr">
        <is>
          <t>x</t>
        </is>
      </c>
      <c r="AE13" s="33" t="inlineStr">
        <is>
          <t>x</t>
        </is>
      </c>
      <c r="AF13" s="33" t="inlineStr">
        <is>
          <t>x</t>
        </is>
      </c>
      <c r="AG13" s="33" t="inlineStr">
        <is>
          <t>x</t>
        </is>
      </c>
      <c r="AH13" s="13">
        <f>IF(B13="","",COUNTIF($C46:$AG46,"&gt;0"))</f>
        <v/>
      </c>
      <c r="AI13" s="14">
        <f>IF(OR(B13="",IF(AND(Habits!$C$4=YEAR(TODAY()),1=MONTH(TODAY())),DAY(TODAY()),IF(DATE(Habits!$C$4,1,1)&gt;TODAY(),0,DAY(EOMONTH(DATE(Habits!$C$4,1,1),0))))=0),"",MIN(1,(COUNTIF($C46:$AG46,"&gt;0"))/IF(AND(Habits!$C$4=YEAR(TODAY()),1=MONTH(TODAY())),DAY(TODAY()),IF(DATE(Habits!$C$4,1,1)&gt;TODAY(),0,DAY(EOMONTH(DATE(Habits!$C$4,1,1),0))))))</f>
        <v/>
      </c>
      <c r="AJ13" s="16">
        <f>IF(B13="","",IF(AND(Habits!$C$4=YEAR(TODAY()),1=MONTH(TODAY())),IF(INDEX($C46:$AG46,DAY(TODAY()))&gt;0,INDEX($C46:$AG46,DAY(TODAY())),IF(DAY(TODAY())=1,0,INDEX($C46:$AG46,DAY(TODAY())-1))),IF(DATE(Habits!$C$4,1,1)&gt;TODAY(),"",INDEX($C46:$AG46,DAY(EOMONTH(DATE(Habits!$C$4,1,1),0))))))</f>
        <v/>
      </c>
      <c r="AK13" s="13">
        <f>IF(B13="","",MAX($C46:$AG46))</f>
        <v/>
      </c>
      <c r="AL13" s="1" t="n"/>
    </row>
    <row r="14">
      <c r="A14" s="1" t="n"/>
      <c r="B14" s="32">
        <f>IF(Habits!B15="","",Habits!B15)</f>
        <v/>
      </c>
      <c r="C14" s="33" t="n"/>
      <c r="D14" s="33" t="inlineStr">
        <is>
          <t>x</t>
        </is>
      </c>
      <c r="E14" s="33" t="n"/>
      <c r="F14" s="33" t="inlineStr">
        <is>
          <t>x</t>
        </is>
      </c>
      <c r="G14" s="33" t="n"/>
      <c r="H14" s="33" t="n"/>
      <c r="I14" s="33" t="n"/>
      <c r="J14" s="33" t="inlineStr">
        <is>
          <t>x</t>
        </is>
      </c>
      <c r="K14" s="33" t="n"/>
      <c r="L14" s="33" t="n"/>
      <c r="M14" s="33" t="n"/>
      <c r="N14" s="33" t="inlineStr">
        <is>
          <t>x</t>
        </is>
      </c>
      <c r="O14" s="33" t="inlineStr">
        <is>
          <t>x</t>
        </is>
      </c>
      <c r="P14" s="33" t="inlineStr">
        <is>
          <t>x</t>
        </is>
      </c>
      <c r="Q14" s="33" t="n"/>
      <c r="R14" s="33" t="inlineStr">
        <is>
          <t>x</t>
        </is>
      </c>
      <c r="S14" s="33" t="n"/>
      <c r="T14" s="33" t="n"/>
      <c r="U14" s="33" t="n"/>
      <c r="V14" s="33" t="n"/>
      <c r="W14" s="33" t="n"/>
      <c r="X14" s="33" t="inlineStr">
        <is>
          <t>x</t>
        </is>
      </c>
      <c r="Y14" s="33" t="n"/>
      <c r="Z14" s="33" t="inlineStr">
        <is>
          <t>x</t>
        </is>
      </c>
      <c r="AA14" s="33" t="inlineStr">
        <is>
          <t>x</t>
        </is>
      </c>
      <c r="AB14" s="33" t="inlineStr">
        <is>
          <t>x</t>
        </is>
      </c>
      <c r="AC14" s="33" t="inlineStr">
        <is>
          <t>x</t>
        </is>
      </c>
      <c r="AD14" s="33" t="n"/>
      <c r="AE14" s="33" t="inlineStr">
        <is>
          <t>x</t>
        </is>
      </c>
      <c r="AF14" s="33" t="n"/>
      <c r="AG14" s="33" t="n"/>
      <c r="AH14" s="13">
        <f>IF(B14="","",COUNTIF($C47:$AG47,"&gt;0"))</f>
        <v/>
      </c>
      <c r="AI14" s="14">
        <f>IF(OR(B14="",IF(AND(Habits!$C$4=YEAR(TODAY()),1=MONTH(TODAY())),DAY(TODAY()),IF(DATE(Habits!$C$4,1,1)&gt;TODAY(),0,DAY(EOMONTH(DATE(Habits!$C$4,1,1),0))))=0),"",MIN(1,(COUNTIF($C47:$AG47,"&gt;0"))/IF(AND(Habits!$C$4=YEAR(TODAY()),1=MONTH(TODAY())),DAY(TODAY()),IF(DATE(Habits!$C$4,1,1)&gt;TODAY(),0,DAY(EOMONTH(DATE(Habits!$C$4,1,1),0))))))</f>
        <v/>
      </c>
      <c r="AJ14" s="16">
        <f>IF(B14="","",IF(AND(Habits!$C$4=YEAR(TODAY()),1=MONTH(TODAY())),IF(INDEX($C47:$AG47,DAY(TODAY()))&gt;0,INDEX($C47:$AG47,DAY(TODAY())),IF(DAY(TODAY())=1,0,INDEX($C47:$AG47,DAY(TODAY())-1))),IF(DATE(Habits!$C$4,1,1)&gt;TODAY(),"",INDEX($C47:$AG47,DAY(EOMONTH(DATE(Habits!$C$4,1,1),0))))))</f>
        <v/>
      </c>
      <c r="AK14" s="13">
        <f>IF(B14="","",MAX($C47:$AG47))</f>
        <v/>
      </c>
      <c r="AL14" s="1" t="n"/>
    </row>
    <row r="15">
      <c r="A15" s="1" t="n"/>
      <c r="B15" s="32">
        <f>IF(Habits!B16="","",Habits!B16)</f>
        <v/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13">
        <f>IF(B15="","",COUNTIF($C48:$AG48,"&gt;0"))</f>
        <v/>
      </c>
      <c r="AI15" s="14">
        <f>IF(OR(B15="",IF(AND(Habits!$C$4=YEAR(TODAY()),1=MONTH(TODAY())),DAY(TODAY()),IF(DATE(Habits!$C$4,1,1)&gt;TODAY(),0,DAY(EOMONTH(DATE(Habits!$C$4,1,1),0))))=0),"",MIN(1,(COUNTIF($C48:$AG48,"&gt;0"))/IF(AND(Habits!$C$4=YEAR(TODAY()),1=MONTH(TODAY())),DAY(TODAY()),IF(DATE(Habits!$C$4,1,1)&gt;TODAY(),0,DAY(EOMONTH(DATE(Habits!$C$4,1,1),0))))))</f>
        <v/>
      </c>
      <c r="AJ15" s="16">
        <f>IF(B15="","",IF(AND(Habits!$C$4=YEAR(TODAY()),1=MONTH(TODAY())),IF(INDEX($C48:$AG48,DAY(TODAY()))&gt;0,INDEX($C48:$AG48,DAY(TODAY())),IF(DAY(TODAY())=1,0,INDEX($C48:$AG48,DAY(TODAY())-1))),IF(DATE(Habits!$C$4,1,1)&gt;TODAY(),"",INDEX($C48:$AG48,DAY(EOMONTH(DATE(Habits!$C$4,1,1),0))))))</f>
        <v/>
      </c>
      <c r="AK15" s="13">
        <f>IF(B15="","",MAX($C48:$AG48))</f>
        <v/>
      </c>
      <c r="AL15" s="1" t="n"/>
    </row>
    <row r="16">
      <c r="A16" s="1" t="n"/>
      <c r="B16" s="32">
        <f>IF(Habits!B17="","",Habits!B17)</f>
        <v/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13">
        <f>IF(B16="","",COUNTIF($C49:$AG49,"&gt;0"))</f>
        <v/>
      </c>
      <c r="AI16" s="14">
        <f>IF(OR(B16="",IF(AND(Habits!$C$4=YEAR(TODAY()),1=MONTH(TODAY())),DAY(TODAY()),IF(DATE(Habits!$C$4,1,1)&gt;TODAY(),0,DAY(EOMONTH(DATE(Habits!$C$4,1,1),0))))=0),"",MIN(1,(COUNTIF($C49:$AG49,"&gt;0"))/IF(AND(Habits!$C$4=YEAR(TODAY()),1=MONTH(TODAY())),DAY(TODAY()),IF(DATE(Habits!$C$4,1,1)&gt;TODAY(),0,DAY(EOMONTH(DATE(Habits!$C$4,1,1),0))))))</f>
        <v/>
      </c>
      <c r="AJ16" s="16">
        <f>IF(B16="","",IF(AND(Habits!$C$4=YEAR(TODAY()),1=MONTH(TODAY())),IF(INDEX($C49:$AG49,DAY(TODAY()))&gt;0,INDEX($C49:$AG49,DAY(TODAY())),IF(DAY(TODAY())=1,0,INDEX($C49:$AG49,DAY(TODAY())-1))),IF(DATE(Habits!$C$4,1,1)&gt;TODAY(),"",INDEX($C49:$AG49,DAY(EOMONTH(DATE(Habits!$C$4,1,1),0))))))</f>
        <v/>
      </c>
      <c r="AK16" s="13">
        <f>IF(B16="","",MAX($C49:$AG49))</f>
        <v/>
      </c>
      <c r="AL16" s="1" t="n"/>
    </row>
    <row r="17">
      <c r="A17" s="1" t="n"/>
      <c r="B17" s="32">
        <f>IF(Habits!B18="","",Habits!B18)</f>
        <v/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13">
        <f>IF(B17="","",COUNTIF($C50:$AG50,"&gt;0"))</f>
        <v/>
      </c>
      <c r="AI17" s="14">
        <f>IF(OR(B17="",IF(AND(Habits!$C$4=YEAR(TODAY()),1=MONTH(TODAY())),DAY(TODAY()),IF(DATE(Habits!$C$4,1,1)&gt;TODAY(),0,DAY(EOMONTH(DATE(Habits!$C$4,1,1),0))))=0),"",MIN(1,(COUNTIF($C50:$AG50,"&gt;0"))/IF(AND(Habits!$C$4=YEAR(TODAY()),1=MONTH(TODAY())),DAY(TODAY()),IF(DATE(Habits!$C$4,1,1)&gt;TODAY(),0,DAY(EOMONTH(DATE(Habits!$C$4,1,1),0))))))</f>
        <v/>
      </c>
      <c r="AJ17" s="16">
        <f>IF(B17="","",IF(AND(Habits!$C$4=YEAR(TODAY()),1=MONTH(TODAY())),IF(INDEX($C50:$AG50,DAY(TODAY()))&gt;0,INDEX($C50:$AG50,DAY(TODAY())),IF(DAY(TODAY())=1,0,INDEX($C50:$AG50,DAY(TODAY())-1))),IF(DATE(Habits!$C$4,1,1)&gt;TODAY(),"",INDEX($C50:$AG50,DAY(EOMONTH(DATE(Habits!$C$4,1,1),0))))))</f>
        <v/>
      </c>
      <c r="AK17" s="13">
        <f>IF(B17="","",MAX($C50:$AG50))</f>
        <v/>
      </c>
      <c r="AL17" s="1" t="n"/>
    </row>
    <row r="18">
      <c r="A18" s="1" t="n"/>
      <c r="B18" s="32">
        <f>IF(Habits!B19="","",Habits!B19)</f>
        <v/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13">
        <f>IF(B18="","",COUNTIF($C51:$AG51,"&gt;0"))</f>
        <v/>
      </c>
      <c r="AI18" s="14">
        <f>IF(OR(B18="",IF(AND(Habits!$C$4=YEAR(TODAY()),1=MONTH(TODAY())),DAY(TODAY()),IF(DATE(Habits!$C$4,1,1)&gt;TODAY(),0,DAY(EOMONTH(DATE(Habits!$C$4,1,1),0))))=0),"",MIN(1,(COUNTIF($C51:$AG51,"&gt;0"))/IF(AND(Habits!$C$4=YEAR(TODAY()),1=MONTH(TODAY())),DAY(TODAY()),IF(DATE(Habits!$C$4,1,1)&gt;TODAY(),0,DAY(EOMONTH(DATE(Habits!$C$4,1,1),0))))))</f>
        <v/>
      </c>
      <c r="AJ18" s="16">
        <f>IF(B18="","",IF(AND(Habits!$C$4=YEAR(TODAY()),1=MONTH(TODAY())),IF(INDEX($C51:$AG51,DAY(TODAY()))&gt;0,INDEX($C51:$AG51,DAY(TODAY())),IF(DAY(TODAY())=1,0,INDEX($C51:$AG51,DAY(TODAY())-1))),IF(DATE(Habits!$C$4,1,1)&gt;TODAY(),"",INDEX($C51:$AG51,DAY(EOMONTH(DATE(Habits!$C$4,1,1),0))))))</f>
        <v/>
      </c>
      <c r="AK18" s="13">
        <f>IF(B18="","",MAX($C51:$AG51))</f>
        <v/>
      </c>
      <c r="AL18" s="1" t="n"/>
    </row>
    <row r="19">
      <c r="A19" s="1" t="n"/>
      <c r="B19" s="32">
        <f>IF(Habits!B20="","",Habits!B20)</f>
        <v/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13">
        <f>IF(B19="","",COUNTIF($C52:$AG52,"&gt;0"))</f>
        <v/>
      </c>
      <c r="AI19" s="14">
        <f>IF(OR(B19="",IF(AND(Habits!$C$4=YEAR(TODAY()),1=MONTH(TODAY())),DAY(TODAY()),IF(DATE(Habits!$C$4,1,1)&gt;TODAY(),0,DAY(EOMONTH(DATE(Habits!$C$4,1,1),0))))=0),"",MIN(1,(COUNTIF($C52:$AG52,"&gt;0"))/IF(AND(Habits!$C$4=YEAR(TODAY()),1=MONTH(TODAY())),DAY(TODAY()),IF(DATE(Habits!$C$4,1,1)&gt;TODAY(),0,DAY(EOMONTH(DATE(Habits!$C$4,1,1),0))))))</f>
        <v/>
      </c>
      <c r="AJ19" s="16">
        <f>IF(B19="","",IF(AND(Habits!$C$4=YEAR(TODAY()),1=MONTH(TODAY())),IF(INDEX($C52:$AG52,DAY(TODAY()))&gt;0,INDEX($C52:$AG52,DAY(TODAY())),IF(DAY(TODAY())=1,0,INDEX($C52:$AG52,DAY(TODAY())-1))),IF(DATE(Habits!$C$4,1,1)&gt;TODAY(),"",INDEX($C52:$AG52,DAY(EOMONTH(DATE(Habits!$C$4,1,1),0))))))</f>
        <v/>
      </c>
      <c r="AK19" s="13">
        <f>IF(B19="","",MAX($C52:$AG52))</f>
        <v/>
      </c>
      <c r="AL19" s="1" t="n"/>
    </row>
    <row r="20">
      <c r="A20" s="1" t="n"/>
      <c r="B20" s="32">
        <f>IF(Habits!B21="","",Habits!B21)</f>
        <v/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13">
        <f>IF(B20="","",COUNTIF($C53:$AG53,"&gt;0"))</f>
        <v/>
      </c>
      <c r="AI20" s="14">
        <f>IF(OR(B20="",IF(AND(Habits!$C$4=YEAR(TODAY()),1=MONTH(TODAY())),DAY(TODAY()),IF(DATE(Habits!$C$4,1,1)&gt;TODAY(),0,DAY(EOMONTH(DATE(Habits!$C$4,1,1),0))))=0),"",MIN(1,(COUNTIF($C53:$AG53,"&gt;0"))/IF(AND(Habits!$C$4=YEAR(TODAY()),1=MONTH(TODAY())),DAY(TODAY()),IF(DATE(Habits!$C$4,1,1)&gt;TODAY(),0,DAY(EOMONTH(DATE(Habits!$C$4,1,1),0))))))</f>
        <v/>
      </c>
      <c r="AJ20" s="16">
        <f>IF(B20="","",IF(AND(Habits!$C$4=YEAR(TODAY()),1=MONTH(TODAY())),IF(INDEX($C53:$AG53,DAY(TODAY()))&gt;0,INDEX($C53:$AG53,DAY(TODAY())),IF(DAY(TODAY())=1,0,INDEX($C53:$AG53,DAY(TODAY())-1))),IF(DATE(Habits!$C$4,1,1)&gt;TODAY(),"",INDEX($C53:$AG53,DAY(EOMONTH(DATE(Habits!$C$4,1,1),0))))))</f>
        <v/>
      </c>
      <c r="AK20" s="13">
        <f>IF(B20="","",MAX($C53:$AG53))</f>
        <v/>
      </c>
      <c r="AL20" s="1" t="n"/>
    </row>
    <row r="21">
      <c r="A21" s="1" t="n"/>
      <c r="B21" s="32">
        <f>IF(Habits!B22="","",Habits!B22)</f>
        <v/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13">
        <f>IF(B21="","",COUNTIF($C54:$AG54,"&gt;0"))</f>
        <v/>
      </c>
      <c r="AI21" s="14">
        <f>IF(OR(B21="",IF(AND(Habits!$C$4=YEAR(TODAY()),1=MONTH(TODAY())),DAY(TODAY()),IF(DATE(Habits!$C$4,1,1)&gt;TODAY(),0,DAY(EOMONTH(DATE(Habits!$C$4,1,1),0))))=0),"",MIN(1,(COUNTIF($C54:$AG54,"&gt;0"))/IF(AND(Habits!$C$4=YEAR(TODAY()),1=MONTH(TODAY())),DAY(TODAY()),IF(DATE(Habits!$C$4,1,1)&gt;TODAY(),0,DAY(EOMONTH(DATE(Habits!$C$4,1,1),0))))))</f>
        <v/>
      </c>
      <c r="AJ21" s="16">
        <f>IF(B21="","",IF(AND(Habits!$C$4=YEAR(TODAY()),1=MONTH(TODAY())),IF(INDEX($C54:$AG54,DAY(TODAY()))&gt;0,INDEX($C54:$AG54,DAY(TODAY())),IF(DAY(TODAY())=1,0,INDEX($C54:$AG54,DAY(TODAY())-1))),IF(DATE(Habits!$C$4,1,1)&gt;TODAY(),"",INDEX($C54:$AG54,DAY(EOMONTH(DATE(Habits!$C$4,1,1),0))))))</f>
        <v/>
      </c>
      <c r="AK21" s="13">
        <f>IF(B21="","",MAX($C54:$AG54))</f>
        <v/>
      </c>
      <c r="A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>
      <c r="A23" s="1" t="n"/>
      <c r="B23" s="12" t="inlineStr">
        <is>
          <t>Mood (1 to 5)</t>
        </is>
      </c>
      <c r="C23" s="34" t="n">
        <v>3</v>
      </c>
      <c r="D23" s="34" t="n">
        <v>5</v>
      </c>
      <c r="E23" s="34" t="n">
        <v>3</v>
      </c>
      <c r="F23" s="34" t="n">
        <v>2</v>
      </c>
      <c r="G23" s="34" t="n">
        <v>3</v>
      </c>
      <c r="H23" s="34" t="n">
        <v>5</v>
      </c>
      <c r="I23" s="34" t="n">
        <v>3</v>
      </c>
      <c r="J23" s="34" t="n">
        <v>5</v>
      </c>
      <c r="K23" s="34" t="n">
        <v>5</v>
      </c>
      <c r="L23" s="34" t="n">
        <v>4</v>
      </c>
      <c r="M23" s="34" t="n">
        <v>3</v>
      </c>
      <c r="N23" s="34" t="n">
        <v>4</v>
      </c>
      <c r="O23" s="34" t="n">
        <v>2</v>
      </c>
      <c r="P23" s="34" t="n">
        <v>4</v>
      </c>
      <c r="Q23" s="34" t="n">
        <v>3</v>
      </c>
      <c r="R23" s="34" t="n">
        <v>5</v>
      </c>
      <c r="S23" s="34" t="n">
        <v>3</v>
      </c>
      <c r="T23" s="34" t="n">
        <v>5</v>
      </c>
      <c r="U23" s="34" t="n">
        <v>5</v>
      </c>
      <c r="V23" s="34" t="n">
        <v>4</v>
      </c>
      <c r="W23" s="34" t="n">
        <v>3</v>
      </c>
      <c r="X23" s="34" t="n">
        <v>5</v>
      </c>
      <c r="Y23" s="34" t="n">
        <v>5</v>
      </c>
      <c r="Z23" s="34" t="n">
        <v>5</v>
      </c>
      <c r="AA23" s="34" t="n">
        <v>3</v>
      </c>
      <c r="AB23" s="34" t="n">
        <v>4</v>
      </c>
      <c r="AC23" s="34" t="n">
        <v>3</v>
      </c>
      <c r="AD23" s="34" t="n">
        <v>4</v>
      </c>
      <c r="AE23" s="34" t="n">
        <v>3</v>
      </c>
      <c r="AF23" s="34" t="n">
        <v>4</v>
      </c>
      <c r="AG23" s="34" t="n">
        <v>2</v>
      </c>
      <c r="AH23" s="35">
        <f>IFERROR(AVERAGE(C23:AG23),"")</f>
        <v/>
      </c>
      <c r="AI23" s="11" t="n"/>
      <c r="AJ23" s="36" t="inlineStr">
        <is>
          <t>average</t>
        </is>
      </c>
      <c r="AK23" s="1" t="n"/>
      <c r="AL23" s="1" t="n"/>
    </row>
    <row r="24">
      <c r="A24" s="1" t="n"/>
      <c r="B24" s="12" t="inlineStr">
        <is>
          <t>Sleep (hours)</t>
        </is>
      </c>
      <c r="C24" s="34" t="n">
        <v>7</v>
      </c>
      <c r="D24" s="34" t="n">
        <v>8</v>
      </c>
      <c r="E24" s="34" t="n">
        <v>8</v>
      </c>
      <c r="F24" s="34" t="n">
        <v>6.5</v>
      </c>
      <c r="G24" s="34" t="n">
        <v>7</v>
      </c>
      <c r="H24" s="34" t="n">
        <v>6.5</v>
      </c>
      <c r="I24" s="34" t="n">
        <v>6.5</v>
      </c>
      <c r="J24" s="34" t="n">
        <v>7.5</v>
      </c>
      <c r="K24" s="34" t="n">
        <v>8</v>
      </c>
      <c r="L24" s="34" t="n">
        <v>8</v>
      </c>
      <c r="M24" s="34" t="n">
        <v>7.5</v>
      </c>
      <c r="N24" s="34" t="n">
        <v>7</v>
      </c>
      <c r="O24" s="34" t="n">
        <v>5.5</v>
      </c>
      <c r="P24" s="34" t="n">
        <v>7.5</v>
      </c>
      <c r="Q24" s="34" t="n">
        <v>7.5</v>
      </c>
      <c r="R24" s="34" t="n">
        <v>7</v>
      </c>
      <c r="S24" s="34" t="n">
        <v>7</v>
      </c>
      <c r="T24" s="34" t="n">
        <v>8.5</v>
      </c>
      <c r="U24" s="34" t="n">
        <v>8</v>
      </c>
      <c r="V24" s="34" t="n">
        <v>7</v>
      </c>
      <c r="W24" s="34" t="n">
        <v>8</v>
      </c>
      <c r="X24" s="34" t="n">
        <v>6.5</v>
      </c>
      <c r="Y24" s="34" t="n">
        <v>7</v>
      </c>
      <c r="Z24" s="34" t="n">
        <v>7</v>
      </c>
      <c r="AA24" s="34" t="n">
        <v>6.5</v>
      </c>
      <c r="AB24" s="34" t="n">
        <v>7.5</v>
      </c>
      <c r="AC24" s="34" t="n">
        <v>7.5</v>
      </c>
      <c r="AD24" s="34" t="n">
        <v>7.5</v>
      </c>
      <c r="AE24" s="34" t="n">
        <v>6</v>
      </c>
      <c r="AF24" s="34" t="n">
        <v>8</v>
      </c>
      <c r="AG24" s="34" t="n">
        <v>6</v>
      </c>
      <c r="AH24" s="35">
        <f>IFERROR(AVERAGE(C24:AG24),"")</f>
        <v/>
      </c>
      <c r="AI24" s="11" t="n"/>
      <c r="AJ24" s="36" t="inlineStr">
        <is>
          <t>average</t>
        </is>
      </c>
      <c r="AK24" s="1" t="n"/>
      <c r="A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idden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idden="1">
      <c r="A40" s="1" t="n"/>
      <c r="B40" s="1">
        <f>B7</f>
        <v/>
      </c>
      <c r="C40" s="1">
        <f>IF(C$5="",0,IF(OR(C7=TRUE,ISTEXT(C7)),0+1,0))</f>
        <v/>
      </c>
      <c r="D40" s="1">
        <f>IF(D$5="",0,IF(OR(D7=TRUE,ISTEXT(D7)),C40+1,0))</f>
        <v/>
      </c>
      <c r="E40" s="1">
        <f>IF(E$5="",0,IF(OR(E7=TRUE,ISTEXT(E7)),D40+1,0))</f>
        <v/>
      </c>
      <c r="F40" s="1">
        <f>IF(F$5="",0,IF(OR(F7=TRUE,ISTEXT(F7)),E40+1,0))</f>
        <v/>
      </c>
      <c r="G40" s="1">
        <f>IF(G$5="",0,IF(OR(G7=TRUE,ISTEXT(G7)),F40+1,0))</f>
        <v/>
      </c>
      <c r="H40" s="1">
        <f>IF(H$5="",0,IF(OR(H7=TRUE,ISTEXT(H7)),G40+1,0))</f>
        <v/>
      </c>
      <c r="I40" s="1">
        <f>IF(I$5="",0,IF(OR(I7=TRUE,ISTEXT(I7)),H40+1,0))</f>
        <v/>
      </c>
      <c r="J40" s="1">
        <f>IF(J$5="",0,IF(OR(J7=TRUE,ISTEXT(J7)),I40+1,0))</f>
        <v/>
      </c>
      <c r="K40" s="1">
        <f>IF(K$5="",0,IF(OR(K7=TRUE,ISTEXT(K7)),J40+1,0))</f>
        <v/>
      </c>
      <c r="L40" s="1">
        <f>IF(L$5="",0,IF(OR(L7=TRUE,ISTEXT(L7)),K40+1,0))</f>
        <v/>
      </c>
      <c r="M40" s="1">
        <f>IF(M$5="",0,IF(OR(M7=TRUE,ISTEXT(M7)),L40+1,0))</f>
        <v/>
      </c>
      <c r="N40" s="1">
        <f>IF(N$5="",0,IF(OR(N7=TRUE,ISTEXT(N7)),M40+1,0))</f>
        <v/>
      </c>
      <c r="O40" s="1">
        <f>IF(O$5="",0,IF(OR(O7=TRUE,ISTEXT(O7)),N40+1,0))</f>
        <v/>
      </c>
      <c r="P40" s="1">
        <f>IF(P$5="",0,IF(OR(P7=TRUE,ISTEXT(P7)),O40+1,0))</f>
        <v/>
      </c>
      <c r="Q40" s="1">
        <f>IF(Q$5="",0,IF(OR(Q7=TRUE,ISTEXT(Q7)),P40+1,0))</f>
        <v/>
      </c>
      <c r="R40" s="1">
        <f>IF(R$5="",0,IF(OR(R7=TRUE,ISTEXT(R7)),Q40+1,0))</f>
        <v/>
      </c>
      <c r="S40" s="1">
        <f>IF(S$5="",0,IF(OR(S7=TRUE,ISTEXT(S7)),R40+1,0))</f>
        <v/>
      </c>
      <c r="T40" s="1">
        <f>IF(T$5="",0,IF(OR(T7=TRUE,ISTEXT(T7)),S40+1,0))</f>
        <v/>
      </c>
      <c r="U40" s="1">
        <f>IF(U$5="",0,IF(OR(U7=TRUE,ISTEXT(U7)),T40+1,0))</f>
        <v/>
      </c>
      <c r="V40" s="1">
        <f>IF(V$5="",0,IF(OR(V7=TRUE,ISTEXT(V7)),U40+1,0))</f>
        <v/>
      </c>
      <c r="W40" s="1">
        <f>IF(W$5="",0,IF(OR(W7=TRUE,ISTEXT(W7)),V40+1,0))</f>
        <v/>
      </c>
      <c r="X40" s="1">
        <f>IF(X$5="",0,IF(OR(X7=TRUE,ISTEXT(X7)),W40+1,0))</f>
        <v/>
      </c>
      <c r="Y40" s="1">
        <f>IF(Y$5="",0,IF(OR(Y7=TRUE,ISTEXT(Y7)),X40+1,0))</f>
        <v/>
      </c>
      <c r="Z40" s="1">
        <f>IF(Z$5="",0,IF(OR(Z7=TRUE,ISTEXT(Z7)),Y40+1,0))</f>
        <v/>
      </c>
      <c r="AA40" s="1">
        <f>IF(AA$5="",0,IF(OR(AA7=TRUE,ISTEXT(AA7)),Z40+1,0))</f>
        <v/>
      </c>
      <c r="AB40" s="1">
        <f>IF(AB$5="",0,IF(OR(AB7=TRUE,ISTEXT(AB7)),AA40+1,0))</f>
        <v/>
      </c>
      <c r="AC40" s="1">
        <f>IF(AC$5="",0,IF(OR(AC7=TRUE,ISTEXT(AC7)),AB40+1,0))</f>
        <v/>
      </c>
      <c r="AD40" s="1">
        <f>IF(AD$5="",0,IF(OR(AD7=TRUE,ISTEXT(AD7)),AC40+1,0))</f>
        <v/>
      </c>
      <c r="AE40" s="1">
        <f>IF(AE$5="",0,IF(OR(AE7=TRUE,ISTEXT(AE7)),AD40+1,0))</f>
        <v/>
      </c>
      <c r="AF40" s="1">
        <f>IF(AF$5="",0,IF(OR(AF7=TRUE,ISTEXT(AF7)),AE40+1,0))</f>
        <v/>
      </c>
      <c r="AG40" s="1">
        <f>IF(AG$5="",0,IF(OR(AG7=TRUE,ISTEXT(AG7)),AF40+1,0))</f>
        <v/>
      </c>
      <c r="AH40" s="1" t="n"/>
      <c r="AI40" s="1" t="n"/>
      <c r="AJ40" s="1" t="n"/>
      <c r="AK40" s="1" t="n"/>
      <c r="AL40" s="1" t="n"/>
    </row>
    <row r="41" hidden="1">
      <c r="A41" s="1" t="n"/>
      <c r="B41" s="1">
        <f>B8</f>
        <v/>
      </c>
      <c r="C41" s="1">
        <f>IF(C$5="",0,IF(OR(C8=TRUE,ISTEXT(C8)),0+1,0))</f>
        <v/>
      </c>
      <c r="D41" s="1">
        <f>IF(D$5="",0,IF(OR(D8=TRUE,ISTEXT(D8)),C41+1,0))</f>
        <v/>
      </c>
      <c r="E41" s="1">
        <f>IF(E$5="",0,IF(OR(E8=TRUE,ISTEXT(E8)),D41+1,0))</f>
        <v/>
      </c>
      <c r="F41" s="1">
        <f>IF(F$5="",0,IF(OR(F8=TRUE,ISTEXT(F8)),E41+1,0))</f>
        <v/>
      </c>
      <c r="G41" s="1">
        <f>IF(G$5="",0,IF(OR(G8=TRUE,ISTEXT(G8)),F41+1,0))</f>
        <v/>
      </c>
      <c r="H41" s="1">
        <f>IF(H$5="",0,IF(OR(H8=TRUE,ISTEXT(H8)),G41+1,0))</f>
        <v/>
      </c>
      <c r="I41" s="1">
        <f>IF(I$5="",0,IF(OR(I8=TRUE,ISTEXT(I8)),H41+1,0))</f>
        <v/>
      </c>
      <c r="J41" s="1">
        <f>IF(J$5="",0,IF(OR(J8=TRUE,ISTEXT(J8)),I41+1,0))</f>
        <v/>
      </c>
      <c r="K41" s="1">
        <f>IF(K$5="",0,IF(OR(K8=TRUE,ISTEXT(K8)),J41+1,0))</f>
        <v/>
      </c>
      <c r="L41" s="1">
        <f>IF(L$5="",0,IF(OR(L8=TRUE,ISTEXT(L8)),K41+1,0))</f>
        <v/>
      </c>
      <c r="M41" s="1">
        <f>IF(M$5="",0,IF(OR(M8=TRUE,ISTEXT(M8)),L41+1,0))</f>
        <v/>
      </c>
      <c r="N41" s="1">
        <f>IF(N$5="",0,IF(OR(N8=TRUE,ISTEXT(N8)),M41+1,0))</f>
        <v/>
      </c>
      <c r="O41" s="1">
        <f>IF(O$5="",0,IF(OR(O8=TRUE,ISTEXT(O8)),N41+1,0))</f>
        <v/>
      </c>
      <c r="P41" s="1">
        <f>IF(P$5="",0,IF(OR(P8=TRUE,ISTEXT(P8)),O41+1,0))</f>
        <v/>
      </c>
      <c r="Q41" s="1">
        <f>IF(Q$5="",0,IF(OR(Q8=TRUE,ISTEXT(Q8)),P41+1,0))</f>
        <v/>
      </c>
      <c r="R41" s="1">
        <f>IF(R$5="",0,IF(OR(R8=TRUE,ISTEXT(R8)),Q41+1,0))</f>
        <v/>
      </c>
      <c r="S41" s="1">
        <f>IF(S$5="",0,IF(OR(S8=TRUE,ISTEXT(S8)),R41+1,0))</f>
        <v/>
      </c>
      <c r="T41" s="1">
        <f>IF(T$5="",0,IF(OR(T8=TRUE,ISTEXT(T8)),S41+1,0))</f>
        <v/>
      </c>
      <c r="U41" s="1">
        <f>IF(U$5="",0,IF(OR(U8=TRUE,ISTEXT(U8)),T41+1,0))</f>
        <v/>
      </c>
      <c r="V41" s="1">
        <f>IF(V$5="",0,IF(OR(V8=TRUE,ISTEXT(V8)),U41+1,0))</f>
        <v/>
      </c>
      <c r="W41" s="1">
        <f>IF(W$5="",0,IF(OR(W8=TRUE,ISTEXT(W8)),V41+1,0))</f>
        <v/>
      </c>
      <c r="X41" s="1">
        <f>IF(X$5="",0,IF(OR(X8=TRUE,ISTEXT(X8)),W41+1,0))</f>
        <v/>
      </c>
      <c r="Y41" s="1">
        <f>IF(Y$5="",0,IF(OR(Y8=TRUE,ISTEXT(Y8)),X41+1,0))</f>
        <v/>
      </c>
      <c r="Z41" s="1">
        <f>IF(Z$5="",0,IF(OR(Z8=TRUE,ISTEXT(Z8)),Y41+1,0))</f>
        <v/>
      </c>
      <c r="AA41" s="1">
        <f>IF(AA$5="",0,IF(OR(AA8=TRUE,ISTEXT(AA8)),Z41+1,0))</f>
        <v/>
      </c>
      <c r="AB41" s="1">
        <f>IF(AB$5="",0,IF(OR(AB8=TRUE,ISTEXT(AB8)),AA41+1,0))</f>
        <v/>
      </c>
      <c r="AC41" s="1">
        <f>IF(AC$5="",0,IF(OR(AC8=TRUE,ISTEXT(AC8)),AB41+1,0))</f>
        <v/>
      </c>
      <c r="AD41" s="1">
        <f>IF(AD$5="",0,IF(OR(AD8=TRUE,ISTEXT(AD8)),AC41+1,0))</f>
        <v/>
      </c>
      <c r="AE41" s="1">
        <f>IF(AE$5="",0,IF(OR(AE8=TRUE,ISTEXT(AE8)),AD41+1,0))</f>
        <v/>
      </c>
      <c r="AF41" s="1">
        <f>IF(AF$5="",0,IF(OR(AF8=TRUE,ISTEXT(AF8)),AE41+1,0))</f>
        <v/>
      </c>
      <c r="AG41" s="1">
        <f>IF(AG$5="",0,IF(OR(AG8=TRUE,ISTEXT(AG8)),AF41+1,0))</f>
        <v/>
      </c>
      <c r="AH41" s="1" t="n"/>
      <c r="AI41" s="1" t="n"/>
      <c r="AJ41" s="1" t="n"/>
      <c r="AK41" s="1" t="n"/>
      <c r="AL41" s="1" t="n"/>
    </row>
    <row r="42" hidden="1">
      <c r="A42" s="1" t="n"/>
      <c r="B42" s="1">
        <f>B9</f>
        <v/>
      </c>
      <c r="C42" s="1">
        <f>IF(C$5="",0,IF(OR(C9=TRUE,ISTEXT(C9)),0+1,0))</f>
        <v/>
      </c>
      <c r="D42" s="1">
        <f>IF(D$5="",0,IF(OR(D9=TRUE,ISTEXT(D9)),C42+1,0))</f>
        <v/>
      </c>
      <c r="E42" s="1">
        <f>IF(E$5="",0,IF(OR(E9=TRUE,ISTEXT(E9)),D42+1,0))</f>
        <v/>
      </c>
      <c r="F42" s="1">
        <f>IF(F$5="",0,IF(OR(F9=TRUE,ISTEXT(F9)),E42+1,0))</f>
        <v/>
      </c>
      <c r="G42" s="1">
        <f>IF(G$5="",0,IF(OR(G9=TRUE,ISTEXT(G9)),F42+1,0))</f>
        <v/>
      </c>
      <c r="H42" s="1">
        <f>IF(H$5="",0,IF(OR(H9=TRUE,ISTEXT(H9)),G42+1,0))</f>
        <v/>
      </c>
      <c r="I42" s="1">
        <f>IF(I$5="",0,IF(OR(I9=TRUE,ISTEXT(I9)),H42+1,0))</f>
        <v/>
      </c>
      <c r="J42" s="1">
        <f>IF(J$5="",0,IF(OR(J9=TRUE,ISTEXT(J9)),I42+1,0))</f>
        <v/>
      </c>
      <c r="K42" s="1">
        <f>IF(K$5="",0,IF(OR(K9=TRUE,ISTEXT(K9)),J42+1,0))</f>
        <v/>
      </c>
      <c r="L42" s="1">
        <f>IF(L$5="",0,IF(OR(L9=TRUE,ISTEXT(L9)),K42+1,0))</f>
        <v/>
      </c>
      <c r="M42" s="1">
        <f>IF(M$5="",0,IF(OR(M9=TRUE,ISTEXT(M9)),L42+1,0))</f>
        <v/>
      </c>
      <c r="N42" s="1">
        <f>IF(N$5="",0,IF(OR(N9=TRUE,ISTEXT(N9)),M42+1,0))</f>
        <v/>
      </c>
      <c r="O42" s="1">
        <f>IF(O$5="",0,IF(OR(O9=TRUE,ISTEXT(O9)),N42+1,0))</f>
        <v/>
      </c>
      <c r="P42" s="1">
        <f>IF(P$5="",0,IF(OR(P9=TRUE,ISTEXT(P9)),O42+1,0))</f>
        <v/>
      </c>
      <c r="Q42" s="1">
        <f>IF(Q$5="",0,IF(OR(Q9=TRUE,ISTEXT(Q9)),P42+1,0))</f>
        <v/>
      </c>
      <c r="R42" s="1">
        <f>IF(R$5="",0,IF(OR(R9=TRUE,ISTEXT(R9)),Q42+1,0))</f>
        <v/>
      </c>
      <c r="S42" s="1">
        <f>IF(S$5="",0,IF(OR(S9=TRUE,ISTEXT(S9)),R42+1,0))</f>
        <v/>
      </c>
      <c r="T42" s="1">
        <f>IF(T$5="",0,IF(OR(T9=TRUE,ISTEXT(T9)),S42+1,0))</f>
        <v/>
      </c>
      <c r="U42" s="1">
        <f>IF(U$5="",0,IF(OR(U9=TRUE,ISTEXT(U9)),T42+1,0))</f>
        <v/>
      </c>
      <c r="V42" s="1">
        <f>IF(V$5="",0,IF(OR(V9=TRUE,ISTEXT(V9)),U42+1,0))</f>
        <v/>
      </c>
      <c r="W42" s="1">
        <f>IF(W$5="",0,IF(OR(W9=TRUE,ISTEXT(W9)),V42+1,0))</f>
        <v/>
      </c>
      <c r="X42" s="1">
        <f>IF(X$5="",0,IF(OR(X9=TRUE,ISTEXT(X9)),W42+1,0))</f>
        <v/>
      </c>
      <c r="Y42" s="1">
        <f>IF(Y$5="",0,IF(OR(Y9=TRUE,ISTEXT(Y9)),X42+1,0))</f>
        <v/>
      </c>
      <c r="Z42" s="1">
        <f>IF(Z$5="",0,IF(OR(Z9=TRUE,ISTEXT(Z9)),Y42+1,0))</f>
        <v/>
      </c>
      <c r="AA42" s="1">
        <f>IF(AA$5="",0,IF(OR(AA9=TRUE,ISTEXT(AA9)),Z42+1,0))</f>
        <v/>
      </c>
      <c r="AB42" s="1">
        <f>IF(AB$5="",0,IF(OR(AB9=TRUE,ISTEXT(AB9)),AA42+1,0))</f>
        <v/>
      </c>
      <c r="AC42" s="1">
        <f>IF(AC$5="",0,IF(OR(AC9=TRUE,ISTEXT(AC9)),AB42+1,0))</f>
        <v/>
      </c>
      <c r="AD42" s="1">
        <f>IF(AD$5="",0,IF(OR(AD9=TRUE,ISTEXT(AD9)),AC42+1,0))</f>
        <v/>
      </c>
      <c r="AE42" s="1">
        <f>IF(AE$5="",0,IF(OR(AE9=TRUE,ISTEXT(AE9)),AD42+1,0))</f>
        <v/>
      </c>
      <c r="AF42" s="1">
        <f>IF(AF$5="",0,IF(OR(AF9=TRUE,ISTEXT(AF9)),AE42+1,0))</f>
        <v/>
      </c>
      <c r="AG42" s="1">
        <f>IF(AG$5="",0,IF(OR(AG9=TRUE,ISTEXT(AG9)),AF42+1,0))</f>
        <v/>
      </c>
      <c r="AH42" s="1" t="n"/>
      <c r="AI42" s="1" t="n"/>
      <c r="AJ42" s="1" t="n"/>
      <c r="AK42" s="1" t="n"/>
      <c r="AL42" s="1" t="n"/>
    </row>
    <row r="43" hidden="1">
      <c r="A43" s="1" t="n"/>
      <c r="B43" s="1">
        <f>B10</f>
        <v/>
      </c>
      <c r="C43" s="1">
        <f>IF(C$5="",0,IF(OR(C10=TRUE,ISTEXT(C10)),0+1,0))</f>
        <v/>
      </c>
      <c r="D43" s="1">
        <f>IF(D$5="",0,IF(OR(D10=TRUE,ISTEXT(D10)),C43+1,0))</f>
        <v/>
      </c>
      <c r="E43" s="1">
        <f>IF(E$5="",0,IF(OR(E10=TRUE,ISTEXT(E10)),D43+1,0))</f>
        <v/>
      </c>
      <c r="F43" s="1">
        <f>IF(F$5="",0,IF(OR(F10=TRUE,ISTEXT(F10)),E43+1,0))</f>
        <v/>
      </c>
      <c r="G43" s="1">
        <f>IF(G$5="",0,IF(OR(G10=TRUE,ISTEXT(G10)),F43+1,0))</f>
        <v/>
      </c>
      <c r="H43" s="1">
        <f>IF(H$5="",0,IF(OR(H10=TRUE,ISTEXT(H10)),G43+1,0))</f>
        <v/>
      </c>
      <c r="I43" s="1">
        <f>IF(I$5="",0,IF(OR(I10=TRUE,ISTEXT(I10)),H43+1,0))</f>
        <v/>
      </c>
      <c r="J43" s="1">
        <f>IF(J$5="",0,IF(OR(J10=TRUE,ISTEXT(J10)),I43+1,0))</f>
        <v/>
      </c>
      <c r="K43" s="1">
        <f>IF(K$5="",0,IF(OR(K10=TRUE,ISTEXT(K10)),J43+1,0))</f>
        <v/>
      </c>
      <c r="L43" s="1">
        <f>IF(L$5="",0,IF(OR(L10=TRUE,ISTEXT(L10)),K43+1,0))</f>
        <v/>
      </c>
      <c r="M43" s="1">
        <f>IF(M$5="",0,IF(OR(M10=TRUE,ISTEXT(M10)),L43+1,0))</f>
        <v/>
      </c>
      <c r="N43" s="1">
        <f>IF(N$5="",0,IF(OR(N10=TRUE,ISTEXT(N10)),M43+1,0))</f>
        <v/>
      </c>
      <c r="O43" s="1">
        <f>IF(O$5="",0,IF(OR(O10=TRUE,ISTEXT(O10)),N43+1,0))</f>
        <v/>
      </c>
      <c r="P43" s="1">
        <f>IF(P$5="",0,IF(OR(P10=TRUE,ISTEXT(P10)),O43+1,0))</f>
        <v/>
      </c>
      <c r="Q43" s="1">
        <f>IF(Q$5="",0,IF(OR(Q10=TRUE,ISTEXT(Q10)),P43+1,0))</f>
        <v/>
      </c>
      <c r="R43" s="1">
        <f>IF(R$5="",0,IF(OR(R10=TRUE,ISTEXT(R10)),Q43+1,0))</f>
        <v/>
      </c>
      <c r="S43" s="1">
        <f>IF(S$5="",0,IF(OR(S10=TRUE,ISTEXT(S10)),R43+1,0))</f>
        <v/>
      </c>
      <c r="T43" s="1">
        <f>IF(T$5="",0,IF(OR(T10=TRUE,ISTEXT(T10)),S43+1,0))</f>
        <v/>
      </c>
      <c r="U43" s="1">
        <f>IF(U$5="",0,IF(OR(U10=TRUE,ISTEXT(U10)),T43+1,0))</f>
        <v/>
      </c>
      <c r="V43" s="1">
        <f>IF(V$5="",0,IF(OR(V10=TRUE,ISTEXT(V10)),U43+1,0))</f>
        <v/>
      </c>
      <c r="W43" s="1">
        <f>IF(W$5="",0,IF(OR(W10=TRUE,ISTEXT(W10)),V43+1,0))</f>
        <v/>
      </c>
      <c r="X43" s="1">
        <f>IF(X$5="",0,IF(OR(X10=TRUE,ISTEXT(X10)),W43+1,0))</f>
        <v/>
      </c>
      <c r="Y43" s="1">
        <f>IF(Y$5="",0,IF(OR(Y10=TRUE,ISTEXT(Y10)),X43+1,0))</f>
        <v/>
      </c>
      <c r="Z43" s="1">
        <f>IF(Z$5="",0,IF(OR(Z10=TRUE,ISTEXT(Z10)),Y43+1,0))</f>
        <v/>
      </c>
      <c r="AA43" s="1">
        <f>IF(AA$5="",0,IF(OR(AA10=TRUE,ISTEXT(AA10)),Z43+1,0))</f>
        <v/>
      </c>
      <c r="AB43" s="1">
        <f>IF(AB$5="",0,IF(OR(AB10=TRUE,ISTEXT(AB10)),AA43+1,0))</f>
        <v/>
      </c>
      <c r="AC43" s="1">
        <f>IF(AC$5="",0,IF(OR(AC10=TRUE,ISTEXT(AC10)),AB43+1,0))</f>
        <v/>
      </c>
      <c r="AD43" s="1">
        <f>IF(AD$5="",0,IF(OR(AD10=TRUE,ISTEXT(AD10)),AC43+1,0))</f>
        <v/>
      </c>
      <c r="AE43" s="1">
        <f>IF(AE$5="",0,IF(OR(AE10=TRUE,ISTEXT(AE10)),AD43+1,0))</f>
        <v/>
      </c>
      <c r="AF43" s="1">
        <f>IF(AF$5="",0,IF(OR(AF10=TRUE,ISTEXT(AF10)),AE43+1,0))</f>
        <v/>
      </c>
      <c r="AG43" s="1">
        <f>IF(AG$5="",0,IF(OR(AG10=TRUE,ISTEXT(AG10)),AF43+1,0))</f>
        <v/>
      </c>
      <c r="AH43" s="1" t="n"/>
      <c r="AI43" s="1" t="n"/>
      <c r="AJ43" s="1" t="n"/>
      <c r="AK43" s="1" t="n"/>
      <c r="AL43" s="1" t="n"/>
    </row>
    <row r="44" hidden="1">
      <c r="A44" s="1" t="n"/>
      <c r="B44" s="1">
        <f>B11</f>
        <v/>
      </c>
      <c r="C44" s="1">
        <f>IF(C$5="",0,IF(OR(C11=TRUE,ISTEXT(C11)),0+1,0))</f>
        <v/>
      </c>
      <c r="D44" s="1">
        <f>IF(D$5="",0,IF(OR(D11=TRUE,ISTEXT(D11)),C44+1,0))</f>
        <v/>
      </c>
      <c r="E44" s="1">
        <f>IF(E$5="",0,IF(OR(E11=TRUE,ISTEXT(E11)),D44+1,0))</f>
        <v/>
      </c>
      <c r="F44" s="1">
        <f>IF(F$5="",0,IF(OR(F11=TRUE,ISTEXT(F11)),E44+1,0))</f>
        <v/>
      </c>
      <c r="G44" s="1">
        <f>IF(G$5="",0,IF(OR(G11=TRUE,ISTEXT(G11)),F44+1,0))</f>
        <v/>
      </c>
      <c r="H44" s="1">
        <f>IF(H$5="",0,IF(OR(H11=TRUE,ISTEXT(H11)),G44+1,0))</f>
        <v/>
      </c>
      <c r="I44" s="1">
        <f>IF(I$5="",0,IF(OR(I11=TRUE,ISTEXT(I11)),H44+1,0))</f>
        <v/>
      </c>
      <c r="J44" s="1">
        <f>IF(J$5="",0,IF(OR(J11=TRUE,ISTEXT(J11)),I44+1,0))</f>
        <v/>
      </c>
      <c r="K44" s="1">
        <f>IF(K$5="",0,IF(OR(K11=TRUE,ISTEXT(K11)),J44+1,0))</f>
        <v/>
      </c>
      <c r="L44" s="1">
        <f>IF(L$5="",0,IF(OR(L11=TRUE,ISTEXT(L11)),K44+1,0))</f>
        <v/>
      </c>
      <c r="M44" s="1">
        <f>IF(M$5="",0,IF(OR(M11=TRUE,ISTEXT(M11)),L44+1,0))</f>
        <v/>
      </c>
      <c r="N44" s="1">
        <f>IF(N$5="",0,IF(OR(N11=TRUE,ISTEXT(N11)),M44+1,0))</f>
        <v/>
      </c>
      <c r="O44" s="1">
        <f>IF(O$5="",0,IF(OR(O11=TRUE,ISTEXT(O11)),N44+1,0))</f>
        <v/>
      </c>
      <c r="P44" s="1">
        <f>IF(P$5="",0,IF(OR(P11=TRUE,ISTEXT(P11)),O44+1,0))</f>
        <v/>
      </c>
      <c r="Q44" s="1">
        <f>IF(Q$5="",0,IF(OR(Q11=TRUE,ISTEXT(Q11)),P44+1,0))</f>
        <v/>
      </c>
      <c r="R44" s="1">
        <f>IF(R$5="",0,IF(OR(R11=TRUE,ISTEXT(R11)),Q44+1,0))</f>
        <v/>
      </c>
      <c r="S44" s="1">
        <f>IF(S$5="",0,IF(OR(S11=TRUE,ISTEXT(S11)),R44+1,0))</f>
        <v/>
      </c>
      <c r="T44" s="1">
        <f>IF(T$5="",0,IF(OR(T11=TRUE,ISTEXT(T11)),S44+1,0))</f>
        <v/>
      </c>
      <c r="U44" s="1">
        <f>IF(U$5="",0,IF(OR(U11=TRUE,ISTEXT(U11)),T44+1,0))</f>
        <v/>
      </c>
      <c r="V44" s="1">
        <f>IF(V$5="",0,IF(OR(V11=TRUE,ISTEXT(V11)),U44+1,0))</f>
        <v/>
      </c>
      <c r="W44" s="1">
        <f>IF(W$5="",0,IF(OR(W11=TRUE,ISTEXT(W11)),V44+1,0))</f>
        <v/>
      </c>
      <c r="X44" s="1">
        <f>IF(X$5="",0,IF(OR(X11=TRUE,ISTEXT(X11)),W44+1,0))</f>
        <v/>
      </c>
      <c r="Y44" s="1">
        <f>IF(Y$5="",0,IF(OR(Y11=TRUE,ISTEXT(Y11)),X44+1,0))</f>
        <v/>
      </c>
      <c r="Z44" s="1">
        <f>IF(Z$5="",0,IF(OR(Z11=TRUE,ISTEXT(Z11)),Y44+1,0))</f>
        <v/>
      </c>
      <c r="AA44" s="1">
        <f>IF(AA$5="",0,IF(OR(AA11=TRUE,ISTEXT(AA11)),Z44+1,0))</f>
        <v/>
      </c>
      <c r="AB44" s="1">
        <f>IF(AB$5="",0,IF(OR(AB11=TRUE,ISTEXT(AB11)),AA44+1,0))</f>
        <v/>
      </c>
      <c r="AC44" s="1">
        <f>IF(AC$5="",0,IF(OR(AC11=TRUE,ISTEXT(AC11)),AB44+1,0))</f>
        <v/>
      </c>
      <c r="AD44" s="1">
        <f>IF(AD$5="",0,IF(OR(AD11=TRUE,ISTEXT(AD11)),AC44+1,0))</f>
        <v/>
      </c>
      <c r="AE44" s="1">
        <f>IF(AE$5="",0,IF(OR(AE11=TRUE,ISTEXT(AE11)),AD44+1,0))</f>
        <v/>
      </c>
      <c r="AF44" s="1">
        <f>IF(AF$5="",0,IF(OR(AF11=TRUE,ISTEXT(AF11)),AE44+1,0))</f>
        <v/>
      </c>
      <c r="AG44" s="1">
        <f>IF(AG$5="",0,IF(OR(AG11=TRUE,ISTEXT(AG11)),AF44+1,0))</f>
        <v/>
      </c>
      <c r="AH44" s="1" t="n"/>
      <c r="AI44" s="1" t="n"/>
      <c r="AJ44" s="1" t="n"/>
      <c r="AK44" s="1" t="n"/>
      <c r="AL44" s="1" t="n"/>
    </row>
    <row r="45" hidden="1">
      <c r="A45" s="1" t="n"/>
      <c r="B45" s="1">
        <f>B12</f>
        <v/>
      </c>
      <c r="C45" s="1">
        <f>IF(C$5="",0,IF(OR(C12=TRUE,ISTEXT(C12)),0+1,0))</f>
        <v/>
      </c>
      <c r="D45" s="1">
        <f>IF(D$5="",0,IF(OR(D12=TRUE,ISTEXT(D12)),C45+1,0))</f>
        <v/>
      </c>
      <c r="E45" s="1">
        <f>IF(E$5="",0,IF(OR(E12=TRUE,ISTEXT(E12)),D45+1,0))</f>
        <v/>
      </c>
      <c r="F45" s="1">
        <f>IF(F$5="",0,IF(OR(F12=TRUE,ISTEXT(F12)),E45+1,0))</f>
        <v/>
      </c>
      <c r="G45" s="1">
        <f>IF(G$5="",0,IF(OR(G12=TRUE,ISTEXT(G12)),F45+1,0))</f>
        <v/>
      </c>
      <c r="H45" s="1">
        <f>IF(H$5="",0,IF(OR(H12=TRUE,ISTEXT(H12)),G45+1,0))</f>
        <v/>
      </c>
      <c r="I45" s="1">
        <f>IF(I$5="",0,IF(OR(I12=TRUE,ISTEXT(I12)),H45+1,0))</f>
        <v/>
      </c>
      <c r="J45" s="1">
        <f>IF(J$5="",0,IF(OR(J12=TRUE,ISTEXT(J12)),I45+1,0))</f>
        <v/>
      </c>
      <c r="K45" s="1">
        <f>IF(K$5="",0,IF(OR(K12=TRUE,ISTEXT(K12)),J45+1,0))</f>
        <v/>
      </c>
      <c r="L45" s="1">
        <f>IF(L$5="",0,IF(OR(L12=TRUE,ISTEXT(L12)),K45+1,0))</f>
        <v/>
      </c>
      <c r="M45" s="1">
        <f>IF(M$5="",0,IF(OR(M12=TRUE,ISTEXT(M12)),L45+1,0))</f>
        <v/>
      </c>
      <c r="N45" s="1">
        <f>IF(N$5="",0,IF(OR(N12=TRUE,ISTEXT(N12)),M45+1,0))</f>
        <v/>
      </c>
      <c r="O45" s="1">
        <f>IF(O$5="",0,IF(OR(O12=TRUE,ISTEXT(O12)),N45+1,0))</f>
        <v/>
      </c>
      <c r="P45" s="1">
        <f>IF(P$5="",0,IF(OR(P12=TRUE,ISTEXT(P12)),O45+1,0))</f>
        <v/>
      </c>
      <c r="Q45" s="1">
        <f>IF(Q$5="",0,IF(OR(Q12=TRUE,ISTEXT(Q12)),P45+1,0))</f>
        <v/>
      </c>
      <c r="R45" s="1">
        <f>IF(R$5="",0,IF(OR(R12=TRUE,ISTEXT(R12)),Q45+1,0))</f>
        <v/>
      </c>
      <c r="S45" s="1">
        <f>IF(S$5="",0,IF(OR(S12=TRUE,ISTEXT(S12)),R45+1,0))</f>
        <v/>
      </c>
      <c r="T45" s="1">
        <f>IF(T$5="",0,IF(OR(T12=TRUE,ISTEXT(T12)),S45+1,0))</f>
        <v/>
      </c>
      <c r="U45" s="1">
        <f>IF(U$5="",0,IF(OR(U12=TRUE,ISTEXT(U12)),T45+1,0))</f>
        <v/>
      </c>
      <c r="V45" s="1">
        <f>IF(V$5="",0,IF(OR(V12=TRUE,ISTEXT(V12)),U45+1,0))</f>
        <v/>
      </c>
      <c r="W45" s="1">
        <f>IF(W$5="",0,IF(OR(W12=TRUE,ISTEXT(W12)),V45+1,0))</f>
        <v/>
      </c>
      <c r="X45" s="1">
        <f>IF(X$5="",0,IF(OR(X12=TRUE,ISTEXT(X12)),W45+1,0))</f>
        <v/>
      </c>
      <c r="Y45" s="1">
        <f>IF(Y$5="",0,IF(OR(Y12=TRUE,ISTEXT(Y12)),X45+1,0))</f>
        <v/>
      </c>
      <c r="Z45" s="1">
        <f>IF(Z$5="",0,IF(OR(Z12=TRUE,ISTEXT(Z12)),Y45+1,0))</f>
        <v/>
      </c>
      <c r="AA45" s="1">
        <f>IF(AA$5="",0,IF(OR(AA12=TRUE,ISTEXT(AA12)),Z45+1,0))</f>
        <v/>
      </c>
      <c r="AB45" s="1">
        <f>IF(AB$5="",0,IF(OR(AB12=TRUE,ISTEXT(AB12)),AA45+1,0))</f>
        <v/>
      </c>
      <c r="AC45" s="1">
        <f>IF(AC$5="",0,IF(OR(AC12=TRUE,ISTEXT(AC12)),AB45+1,0))</f>
        <v/>
      </c>
      <c r="AD45" s="1">
        <f>IF(AD$5="",0,IF(OR(AD12=TRUE,ISTEXT(AD12)),AC45+1,0))</f>
        <v/>
      </c>
      <c r="AE45" s="1">
        <f>IF(AE$5="",0,IF(OR(AE12=TRUE,ISTEXT(AE12)),AD45+1,0))</f>
        <v/>
      </c>
      <c r="AF45" s="1">
        <f>IF(AF$5="",0,IF(OR(AF12=TRUE,ISTEXT(AF12)),AE45+1,0))</f>
        <v/>
      </c>
      <c r="AG45" s="1">
        <f>IF(AG$5="",0,IF(OR(AG12=TRUE,ISTEXT(AG12)),AF45+1,0))</f>
        <v/>
      </c>
      <c r="AH45" s="1" t="n"/>
      <c r="AI45" s="1" t="n"/>
      <c r="AJ45" s="1" t="n"/>
      <c r="AK45" s="1" t="n"/>
      <c r="AL45" s="1" t="n"/>
    </row>
    <row r="46" hidden="1">
      <c r="A46" s="1" t="n"/>
      <c r="B46" s="1">
        <f>B13</f>
        <v/>
      </c>
      <c r="C46" s="1">
        <f>IF(C$5="",0,IF(OR(C13=TRUE,ISTEXT(C13)),0+1,0))</f>
        <v/>
      </c>
      <c r="D46" s="1">
        <f>IF(D$5="",0,IF(OR(D13=TRUE,ISTEXT(D13)),C46+1,0))</f>
        <v/>
      </c>
      <c r="E46" s="1">
        <f>IF(E$5="",0,IF(OR(E13=TRUE,ISTEXT(E13)),D46+1,0))</f>
        <v/>
      </c>
      <c r="F46" s="1">
        <f>IF(F$5="",0,IF(OR(F13=TRUE,ISTEXT(F13)),E46+1,0))</f>
        <v/>
      </c>
      <c r="G46" s="1">
        <f>IF(G$5="",0,IF(OR(G13=TRUE,ISTEXT(G13)),F46+1,0))</f>
        <v/>
      </c>
      <c r="H46" s="1">
        <f>IF(H$5="",0,IF(OR(H13=TRUE,ISTEXT(H13)),G46+1,0))</f>
        <v/>
      </c>
      <c r="I46" s="1">
        <f>IF(I$5="",0,IF(OR(I13=TRUE,ISTEXT(I13)),H46+1,0))</f>
        <v/>
      </c>
      <c r="J46" s="1">
        <f>IF(J$5="",0,IF(OR(J13=TRUE,ISTEXT(J13)),I46+1,0))</f>
        <v/>
      </c>
      <c r="K46" s="1">
        <f>IF(K$5="",0,IF(OR(K13=TRUE,ISTEXT(K13)),J46+1,0))</f>
        <v/>
      </c>
      <c r="L46" s="1">
        <f>IF(L$5="",0,IF(OR(L13=TRUE,ISTEXT(L13)),K46+1,0))</f>
        <v/>
      </c>
      <c r="M46" s="1">
        <f>IF(M$5="",0,IF(OR(M13=TRUE,ISTEXT(M13)),L46+1,0))</f>
        <v/>
      </c>
      <c r="N46" s="1">
        <f>IF(N$5="",0,IF(OR(N13=TRUE,ISTEXT(N13)),M46+1,0))</f>
        <v/>
      </c>
      <c r="O46" s="1">
        <f>IF(O$5="",0,IF(OR(O13=TRUE,ISTEXT(O13)),N46+1,0))</f>
        <v/>
      </c>
      <c r="P46" s="1">
        <f>IF(P$5="",0,IF(OR(P13=TRUE,ISTEXT(P13)),O46+1,0))</f>
        <v/>
      </c>
      <c r="Q46" s="1">
        <f>IF(Q$5="",0,IF(OR(Q13=TRUE,ISTEXT(Q13)),P46+1,0))</f>
        <v/>
      </c>
      <c r="R46" s="1">
        <f>IF(R$5="",0,IF(OR(R13=TRUE,ISTEXT(R13)),Q46+1,0))</f>
        <v/>
      </c>
      <c r="S46" s="1">
        <f>IF(S$5="",0,IF(OR(S13=TRUE,ISTEXT(S13)),R46+1,0))</f>
        <v/>
      </c>
      <c r="T46" s="1">
        <f>IF(T$5="",0,IF(OR(T13=TRUE,ISTEXT(T13)),S46+1,0))</f>
        <v/>
      </c>
      <c r="U46" s="1">
        <f>IF(U$5="",0,IF(OR(U13=TRUE,ISTEXT(U13)),T46+1,0))</f>
        <v/>
      </c>
      <c r="V46" s="1">
        <f>IF(V$5="",0,IF(OR(V13=TRUE,ISTEXT(V13)),U46+1,0))</f>
        <v/>
      </c>
      <c r="W46" s="1">
        <f>IF(W$5="",0,IF(OR(W13=TRUE,ISTEXT(W13)),V46+1,0))</f>
        <v/>
      </c>
      <c r="X46" s="1">
        <f>IF(X$5="",0,IF(OR(X13=TRUE,ISTEXT(X13)),W46+1,0))</f>
        <v/>
      </c>
      <c r="Y46" s="1">
        <f>IF(Y$5="",0,IF(OR(Y13=TRUE,ISTEXT(Y13)),X46+1,0))</f>
        <v/>
      </c>
      <c r="Z46" s="1">
        <f>IF(Z$5="",0,IF(OR(Z13=TRUE,ISTEXT(Z13)),Y46+1,0))</f>
        <v/>
      </c>
      <c r="AA46" s="1">
        <f>IF(AA$5="",0,IF(OR(AA13=TRUE,ISTEXT(AA13)),Z46+1,0))</f>
        <v/>
      </c>
      <c r="AB46" s="1">
        <f>IF(AB$5="",0,IF(OR(AB13=TRUE,ISTEXT(AB13)),AA46+1,0))</f>
        <v/>
      </c>
      <c r="AC46" s="1">
        <f>IF(AC$5="",0,IF(OR(AC13=TRUE,ISTEXT(AC13)),AB46+1,0))</f>
        <v/>
      </c>
      <c r="AD46" s="1">
        <f>IF(AD$5="",0,IF(OR(AD13=TRUE,ISTEXT(AD13)),AC46+1,0))</f>
        <v/>
      </c>
      <c r="AE46" s="1">
        <f>IF(AE$5="",0,IF(OR(AE13=TRUE,ISTEXT(AE13)),AD46+1,0))</f>
        <v/>
      </c>
      <c r="AF46" s="1">
        <f>IF(AF$5="",0,IF(OR(AF13=TRUE,ISTEXT(AF13)),AE46+1,0))</f>
        <v/>
      </c>
      <c r="AG46" s="1">
        <f>IF(AG$5="",0,IF(OR(AG13=TRUE,ISTEXT(AG13)),AF46+1,0))</f>
        <v/>
      </c>
      <c r="AH46" s="1" t="n"/>
      <c r="AI46" s="1" t="n"/>
      <c r="AJ46" s="1" t="n"/>
      <c r="AK46" s="1" t="n"/>
      <c r="AL46" s="1" t="n"/>
    </row>
    <row r="47" hidden="1">
      <c r="A47" s="1" t="n"/>
      <c r="B47" s="1">
        <f>B14</f>
        <v/>
      </c>
      <c r="C47" s="1">
        <f>IF(C$5="",0,IF(OR(C14=TRUE,ISTEXT(C14)),0+1,0))</f>
        <v/>
      </c>
      <c r="D47" s="1">
        <f>IF(D$5="",0,IF(OR(D14=TRUE,ISTEXT(D14)),C47+1,0))</f>
        <v/>
      </c>
      <c r="E47" s="1">
        <f>IF(E$5="",0,IF(OR(E14=TRUE,ISTEXT(E14)),D47+1,0))</f>
        <v/>
      </c>
      <c r="F47" s="1">
        <f>IF(F$5="",0,IF(OR(F14=TRUE,ISTEXT(F14)),E47+1,0))</f>
        <v/>
      </c>
      <c r="G47" s="1">
        <f>IF(G$5="",0,IF(OR(G14=TRUE,ISTEXT(G14)),F47+1,0))</f>
        <v/>
      </c>
      <c r="H47" s="1">
        <f>IF(H$5="",0,IF(OR(H14=TRUE,ISTEXT(H14)),G47+1,0))</f>
        <v/>
      </c>
      <c r="I47" s="1">
        <f>IF(I$5="",0,IF(OR(I14=TRUE,ISTEXT(I14)),H47+1,0))</f>
        <v/>
      </c>
      <c r="J47" s="1">
        <f>IF(J$5="",0,IF(OR(J14=TRUE,ISTEXT(J14)),I47+1,0))</f>
        <v/>
      </c>
      <c r="K47" s="1">
        <f>IF(K$5="",0,IF(OR(K14=TRUE,ISTEXT(K14)),J47+1,0))</f>
        <v/>
      </c>
      <c r="L47" s="1">
        <f>IF(L$5="",0,IF(OR(L14=TRUE,ISTEXT(L14)),K47+1,0))</f>
        <v/>
      </c>
      <c r="M47" s="1">
        <f>IF(M$5="",0,IF(OR(M14=TRUE,ISTEXT(M14)),L47+1,0))</f>
        <v/>
      </c>
      <c r="N47" s="1">
        <f>IF(N$5="",0,IF(OR(N14=TRUE,ISTEXT(N14)),M47+1,0))</f>
        <v/>
      </c>
      <c r="O47" s="1">
        <f>IF(O$5="",0,IF(OR(O14=TRUE,ISTEXT(O14)),N47+1,0))</f>
        <v/>
      </c>
      <c r="P47" s="1">
        <f>IF(P$5="",0,IF(OR(P14=TRUE,ISTEXT(P14)),O47+1,0))</f>
        <v/>
      </c>
      <c r="Q47" s="1">
        <f>IF(Q$5="",0,IF(OR(Q14=TRUE,ISTEXT(Q14)),P47+1,0))</f>
        <v/>
      </c>
      <c r="R47" s="1">
        <f>IF(R$5="",0,IF(OR(R14=TRUE,ISTEXT(R14)),Q47+1,0))</f>
        <v/>
      </c>
      <c r="S47" s="1">
        <f>IF(S$5="",0,IF(OR(S14=TRUE,ISTEXT(S14)),R47+1,0))</f>
        <v/>
      </c>
      <c r="T47" s="1">
        <f>IF(T$5="",0,IF(OR(T14=TRUE,ISTEXT(T14)),S47+1,0))</f>
        <v/>
      </c>
      <c r="U47" s="1">
        <f>IF(U$5="",0,IF(OR(U14=TRUE,ISTEXT(U14)),T47+1,0))</f>
        <v/>
      </c>
      <c r="V47" s="1">
        <f>IF(V$5="",0,IF(OR(V14=TRUE,ISTEXT(V14)),U47+1,0))</f>
        <v/>
      </c>
      <c r="W47" s="1">
        <f>IF(W$5="",0,IF(OR(W14=TRUE,ISTEXT(W14)),V47+1,0))</f>
        <v/>
      </c>
      <c r="X47" s="1">
        <f>IF(X$5="",0,IF(OR(X14=TRUE,ISTEXT(X14)),W47+1,0))</f>
        <v/>
      </c>
      <c r="Y47" s="1">
        <f>IF(Y$5="",0,IF(OR(Y14=TRUE,ISTEXT(Y14)),X47+1,0))</f>
        <v/>
      </c>
      <c r="Z47" s="1">
        <f>IF(Z$5="",0,IF(OR(Z14=TRUE,ISTEXT(Z14)),Y47+1,0))</f>
        <v/>
      </c>
      <c r="AA47" s="1">
        <f>IF(AA$5="",0,IF(OR(AA14=TRUE,ISTEXT(AA14)),Z47+1,0))</f>
        <v/>
      </c>
      <c r="AB47" s="1">
        <f>IF(AB$5="",0,IF(OR(AB14=TRUE,ISTEXT(AB14)),AA47+1,0))</f>
        <v/>
      </c>
      <c r="AC47" s="1">
        <f>IF(AC$5="",0,IF(OR(AC14=TRUE,ISTEXT(AC14)),AB47+1,0))</f>
        <v/>
      </c>
      <c r="AD47" s="1">
        <f>IF(AD$5="",0,IF(OR(AD14=TRUE,ISTEXT(AD14)),AC47+1,0))</f>
        <v/>
      </c>
      <c r="AE47" s="1">
        <f>IF(AE$5="",0,IF(OR(AE14=TRUE,ISTEXT(AE14)),AD47+1,0))</f>
        <v/>
      </c>
      <c r="AF47" s="1">
        <f>IF(AF$5="",0,IF(OR(AF14=TRUE,ISTEXT(AF14)),AE47+1,0))</f>
        <v/>
      </c>
      <c r="AG47" s="1">
        <f>IF(AG$5="",0,IF(OR(AG14=TRUE,ISTEXT(AG14)),AF47+1,0))</f>
        <v/>
      </c>
      <c r="AH47" s="1" t="n"/>
      <c r="AI47" s="1" t="n"/>
      <c r="AJ47" s="1" t="n"/>
      <c r="AK47" s="1" t="n"/>
      <c r="AL47" s="1" t="n"/>
    </row>
    <row r="48" hidden="1">
      <c r="A48" s="1" t="n"/>
      <c r="B48" s="1">
        <f>B15</f>
        <v/>
      </c>
      <c r="C48" s="1">
        <f>IF(C$5="",0,IF(OR(C15=TRUE,ISTEXT(C15)),0+1,0))</f>
        <v/>
      </c>
      <c r="D48" s="1">
        <f>IF(D$5="",0,IF(OR(D15=TRUE,ISTEXT(D15)),C48+1,0))</f>
        <v/>
      </c>
      <c r="E48" s="1">
        <f>IF(E$5="",0,IF(OR(E15=TRUE,ISTEXT(E15)),D48+1,0))</f>
        <v/>
      </c>
      <c r="F48" s="1">
        <f>IF(F$5="",0,IF(OR(F15=TRUE,ISTEXT(F15)),E48+1,0))</f>
        <v/>
      </c>
      <c r="G48" s="1">
        <f>IF(G$5="",0,IF(OR(G15=TRUE,ISTEXT(G15)),F48+1,0))</f>
        <v/>
      </c>
      <c r="H48" s="1">
        <f>IF(H$5="",0,IF(OR(H15=TRUE,ISTEXT(H15)),G48+1,0))</f>
        <v/>
      </c>
      <c r="I48" s="1">
        <f>IF(I$5="",0,IF(OR(I15=TRUE,ISTEXT(I15)),H48+1,0))</f>
        <v/>
      </c>
      <c r="J48" s="1">
        <f>IF(J$5="",0,IF(OR(J15=TRUE,ISTEXT(J15)),I48+1,0))</f>
        <v/>
      </c>
      <c r="K48" s="1">
        <f>IF(K$5="",0,IF(OR(K15=TRUE,ISTEXT(K15)),J48+1,0))</f>
        <v/>
      </c>
      <c r="L48" s="1">
        <f>IF(L$5="",0,IF(OR(L15=TRUE,ISTEXT(L15)),K48+1,0))</f>
        <v/>
      </c>
      <c r="M48" s="1">
        <f>IF(M$5="",0,IF(OR(M15=TRUE,ISTEXT(M15)),L48+1,0))</f>
        <v/>
      </c>
      <c r="N48" s="1">
        <f>IF(N$5="",0,IF(OR(N15=TRUE,ISTEXT(N15)),M48+1,0))</f>
        <v/>
      </c>
      <c r="O48" s="1">
        <f>IF(O$5="",0,IF(OR(O15=TRUE,ISTEXT(O15)),N48+1,0))</f>
        <v/>
      </c>
      <c r="P48" s="1">
        <f>IF(P$5="",0,IF(OR(P15=TRUE,ISTEXT(P15)),O48+1,0))</f>
        <v/>
      </c>
      <c r="Q48" s="1">
        <f>IF(Q$5="",0,IF(OR(Q15=TRUE,ISTEXT(Q15)),P48+1,0))</f>
        <v/>
      </c>
      <c r="R48" s="1">
        <f>IF(R$5="",0,IF(OR(R15=TRUE,ISTEXT(R15)),Q48+1,0))</f>
        <v/>
      </c>
      <c r="S48" s="1">
        <f>IF(S$5="",0,IF(OR(S15=TRUE,ISTEXT(S15)),R48+1,0))</f>
        <v/>
      </c>
      <c r="T48" s="1">
        <f>IF(T$5="",0,IF(OR(T15=TRUE,ISTEXT(T15)),S48+1,0))</f>
        <v/>
      </c>
      <c r="U48" s="1">
        <f>IF(U$5="",0,IF(OR(U15=TRUE,ISTEXT(U15)),T48+1,0))</f>
        <v/>
      </c>
      <c r="V48" s="1">
        <f>IF(V$5="",0,IF(OR(V15=TRUE,ISTEXT(V15)),U48+1,0))</f>
        <v/>
      </c>
      <c r="W48" s="1">
        <f>IF(W$5="",0,IF(OR(W15=TRUE,ISTEXT(W15)),V48+1,0))</f>
        <v/>
      </c>
      <c r="X48" s="1">
        <f>IF(X$5="",0,IF(OR(X15=TRUE,ISTEXT(X15)),W48+1,0))</f>
        <v/>
      </c>
      <c r="Y48" s="1">
        <f>IF(Y$5="",0,IF(OR(Y15=TRUE,ISTEXT(Y15)),X48+1,0))</f>
        <v/>
      </c>
      <c r="Z48" s="1">
        <f>IF(Z$5="",0,IF(OR(Z15=TRUE,ISTEXT(Z15)),Y48+1,0))</f>
        <v/>
      </c>
      <c r="AA48" s="1">
        <f>IF(AA$5="",0,IF(OR(AA15=TRUE,ISTEXT(AA15)),Z48+1,0))</f>
        <v/>
      </c>
      <c r="AB48" s="1">
        <f>IF(AB$5="",0,IF(OR(AB15=TRUE,ISTEXT(AB15)),AA48+1,0))</f>
        <v/>
      </c>
      <c r="AC48" s="1">
        <f>IF(AC$5="",0,IF(OR(AC15=TRUE,ISTEXT(AC15)),AB48+1,0))</f>
        <v/>
      </c>
      <c r="AD48" s="1">
        <f>IF(AD$5="",0,IF(OR(AD15=TRUE,ISTEXT(AD15)),AC48+1,0))</f>
        <v/>
      </c>
      <c r="AE48" s="1">
        <f>IF(AE$5="",0,IF(OR(AE15=TRUE,ISTEXT(AE15)),AD48+1,0))</f>
        <v/>
      </c>
      <c r="AF48" s="1">
        <f>IF(AF$5="",0,IF(OR(AF15=TRUE,ISTEXT(AF15)),AE48+1,0))</f>
        <v/>
      </c>
      <c r="AG48" s="1">
        <f>IF(AG$5="",0,IF(OR(AG15=TRUE,ISTEXT(AG15)),AF48+1,0))</f>
        <v/>
      </c>
      <c r="AH48" s="1" t="n"/>
      <c r="AI48" s="1" t="n"/>
      <c r="AJ48" s="1" t="n"/>
      <c r="AK48" s="1" t="n"/>
      <c r="AL48" s="1" t="n"/>
    </row>
    <row r="49" hidden="1">
      <c r="A49" s="1" t="n"/>
      <c r="B49" s="1">
        <f>B16</f>
        <v/>
      </c>
      <c r="C49" s="1">
        <f>IF(C$5="",0,IF(OR(C16=TRUE,ISTEXT(C16)),0+1,0))</f>
        <v/>
      </c>
      <c r="D49" s="1">
        <f>IF(D$5="",0,IF(OR(D16=TRUE,ISTEXT(D16)),C49+1,0))</f>
        <v/>
      </c>
      <c r="E49" s="1">
        <f>IF(E$5="",0,IF(OR(E16=TRUE,ISTEXT(E16)),D49+1,0))</f>
        <v/>
      </c>
      <c r="F49" s="1">
        <f>IF(F$5="",0,IF(OR(F16=TRUE,ISTEXT(F16)),E49+1,0))</f>
        <v/>
      </c>
      <c r="G49" s="1">
        <f>IF(G$5="",0,IF(OR(G16=TRUE,ISTEXT(G16)),F49+1,0))</f>
        <v/>
      </c>
      <c r="H49" s="1">
        <f>IF(H$5="",0,IF(OR(H16=TRUE,ISTEXT(H16)),G49+1,0))</f>
        <v/>
      </c>
      <c r="I49" s="1">
        <f>IF(I$5="",0,IF(OR(I16=TRUE,ISTEXT(I16)),H49+1,0))</f>
        <v/>
      </c>
      <c r="J49" s="1">
        <f>IF(J$5="",0,IF(OR(J16=TRUE,ISTEXT(J16)),I49+1,0))</f>
        <v/>
      </c>
      <c r="K49" s="1">
        <f>IF(K$5="",0,IF(OR(K16=TRUE,ISTEXT(K16)),J49+1,0))</f>
        <v/>
      </c>
      <c r="L49" s="1">
        <f>IF(L$5="",0,IF(OR(L16=TRUE,ISTEXT(L16)),K49+1,0))</f>
        <v/>
      </c>
      <c r="M49" s="1">
        <f>IF(M$5="",0,IF(OR(M16=TRUE,ISTEXT(M16)),L49+1,0))</f>
        <v/>
      </c>
      <c r="N49" s="1">
        <f>IF(N$5="",0,IF(OR(N16=TRUE,ISTEXT(N16)),M49+1,0))</f>
        <v/>
      </c>
      <c r="O49" s="1">
        <f>IF(O$5="",0,IF(OR(O16=TRUE,ISTEXT(O16)),N49+1,0))</f>
        <v/>
      </c>
      <c r="P49" s="1">
        <f>IF(P$5="",0,IF(OR(P16=TRUE,ISTEXT(P16)),O49+1,0))</f>
        <v/>
      </c>
      <c r="Q49" s="1">
        <f>IF(Q$5="",0,IF(OR(Q16=TRUE,ISTEXT(Q16)),P49+1,0))</f>
        <v/>
      </c>
      <c r="R49" s="1">
        <f>IF(R$5="",0,IF(OR(R16=TRUE,ISTEXT(R16)),Q49+1,0))</f>
        <v/>
      </c>
      <c r="S49" s="1">
        <f>IF(S$5="",0,IF(OR(S16=TRUE,ISTEXT(S16)),R49+1,0))</f>
        <v/>
      </c>
      <c r="T49" s="1">
        <f>IF(T$5="",0,IF(OR(T16=TRUE,ISTEXT(T16)),S49+1,0))</f>
        <v/>
      </c>
      <c r="U49" s="1">
        <f>IF(U$5="",0,IF(OR(U16=TRUE,ISTEXT(U16)),T49+1,0))</f>
        <v/>
      </c>
      <c r="V49" s="1">
        <f>IF(V$5="",0,IF(OR(V16=TRUE,ISTEXT(V16)),U49+1,0))</f>
        <v/>
      </c>
      <c r="W49" s="1">
        <f>IF(W$5="",0,IF(OR(W16=TRUE,ISTEXT(W16)),V49+1,0))</f>
        <v/>
      </c>
      <c r="X49" s="1">
        <f>IF(X$5="",0,IF(OR(X16=TRUE,ISTEXT(X16)),W49+1,0))</f>
        <v/>
      </c>
      <c r="Y49" s="1">
        <f>IF(Y$5="",0,IF(OR(Y16=TRUE,ISTEXT(Y16)),X49+1,0))</f>
        <v/>
      </c>
      <c r="Z49" s="1">
        <f>IF(Z$5="",0,IF(OR(Z16=TRUE,ISTEXT(Z16)),Y49+1,0))</f>
        <v/>
      </c>
      <c r="AA49" s="1">
        <f>IF(AA$5="",0,IF(OR(AA16=TRUE,ISTEXT(AA16)),Z49+1,0))</f>
        <v/>
      </c>
      <c r="AB49" s="1">
        <f>IF(AB$5="",0,IF(OR(AB16=TRUE,ISTEXT(AB16)),AA49+1,0))</f>
        <v/>
      </c>
      <c r="AC49" s="1">
        <f>IF(AC$5="",0,IF(OR(AC16=TRUE,ISTEXT(AC16)),AB49+1,0))</f>
        <v/>
      </c>
      <c r="AD49" s="1">
        <f>IF(AD$5="",0,IF(OR(AD16=TRUE,ISTEXT(AD16)),AC49+1,0))</f>
        <v/>
      </c>
      <c r="AE49" s="1">
        <f>IF(AE$5="",0,IF(OR(AE16=TRUE,ISTEXT(AE16)),AD49+1,0))</f>
        <v/>
      </c>
      <c r="AF49" s="1">
        <f>IF(AF$5="",0,IF(OR(AF16=TRUE,ISTEXT(AF16)),AE49+1,0))</f>
        <v/>
      </c>
      <c r="AG49" s="1">
        <f>IF(AG$5="",0,IF(OR(AG16=TRUE,ISTEXT(AG16)),AF49+1,0))</f>
        <v/>
      </c>
      <c r="AH49" s="1" t="n"/>
      <c r="AI49" s="1" t="n"/>
      <c r="AJ49" s="1" t="n"/>
      <c r="AK49" s="1" t="n"/>
      <c r="AL49" s="1" t="n"/>
    </row>
    <row r="50" hidden="1">
      <c r="A50" s="1" t="n"/>
      <c r="B50" s="1">
        <f>B17</f>
        <v/>
      </c>
      <c r="C50" s="1">
        <f>IF(C$5="",0,IF(OR(C17=TRUE,ISTEXT(C17)),0+1,0))</f>
        <v/>
      </c>
      <c r="D50" s="1">
        <f>IF(D$5="",0,IF(OR(D17=TRUE,ISTEXT(D17)),C50+1,0))</f>
        <v/>
      </c>
      <c r="E50" s="1">
        <f>IF(E$5="",0,IF(OR(E17=TRUE,ISTEXT(E17)),D50+1,0))</f>
        <v/>
      </c>
      <c r="F50" s="1">
        <f>IF(F$5="",0,IF(OR(F17=TRUE,ISTEXT(F17)),E50+1,0))</f>
        <v/>
      </c>
      <c r="G50" s="1">
        <f>IF(G$5="",0,IF(OR(G17=TRUE,ISTEXT(G17)),F50+1,0))</f>
        <v/>
      </c>
      <c r="H50" s="1">
        <f>IF(H$5="",0,IF(OR(H17=TRUE,ISTEXT(H17)),G50+1,0))</f>
        <v/>
      </c>
      <c r="I50" s="1">
        <f>IF(I$5="",0,IF(OR(I17=TRUE,ISTEXT(I17)),H50+1,0))</f>
        <v/>
      </c>
      <c r="J50" s="1">
        <f>IF(J$5="",0,IF(OR(J17=TRUE,ISTEXT(J17)),I50+1,0))</f>
        <v/>
      </c>
      <c r="K50" s="1">
        <f>IF(K$5="",0,IF(OR(K17=TRUE,ISTEXT(K17)),J50+1,0))</f>
        <v/>
      </c>
      <c r="L50" s="1">
        <f>IF(L$5="",0,IF(OR(L17=TRUE,ISTEXT(L17)),K50+1,0))</f>
        <v/>
      </c>
      <c r="M50" s="1">
        <f>IF(M$5="",0,IF(OR(M17=TRUE,ISTEXT(M17)),L50+1,0))</f>
        <v/>
      </c>
      <c r="N50" s="1">
        <f>IF(N$5="",0,IF(OR(N17=TRUE,ISTEXT(N17)),M50+1,0))</f>
        <v/>
      </c>
      <c r="O50" s="1">
        <f>IF(O$5="",0,IF(OR(O17=TRUE,ISTEXT(O17)),N50+1,0))</f>
        <v/>
      </c>
      <c r="P50" s="1">
        <f>IF(P$5="",0,IF(OR(P17=TRUE,ISTEXT(P17)),O50+1,0))</f>
        <v/>
      </c>
      <c r="Q50" s="1">
        <f>IF(Q$5="",0,IF(OR(Q17=TRUE,ISTEXT(Q17)),P50+1,0))</f>
        <v/>
      </c>
      <c r="R50" s="1">
        <f>IF(R$5="",0,IF(OR(R17=TRUE,ISTEXT(R17)),Q50+1,0))</f>
        <v/>
      </c>
      <c r="S50" s="1">
        <f>IF(S$5="",0,IF(OR(S17=TRUE,ISTEXT(S17)),R50+1,0))</f>
        <v/>
      </c>
      <c r="T50" s="1">
        <f>IF(T$5="",0,IF(OR(T17=TRUE,ISTEXT(T17)),S50+1,0))</f>
        <v/>
      </c>
      <c r="U50" s="1">
        <f>IF(U$5="",0,IF(OR(U17=TRUE,ISTEXT(U17)),T50+1,0))</f>
        <v/>
      </c>
      <c r="V50" s="1">
        <f>IF(V$5="",0,IF(OR(V17=TRUE,ISTEXT(V17)),U50+1,0))</f>
        <v/>
      </c>
      <c r="W50" s="1">
        <f>IF(W$5="",0,IF(OR(W17=TRUE,ISTEXT(W17)),V50+1,0))</f>
        <v/>
      </c>
      <c r="X50" s="1">
        <f>IF(X$5="",0,IF(OR(X17=TRUE,ISTEXT(X17)),W50+1,0))</f>
        <v/>
      </c>
      <c r="Y50" s="1">
        <f>IF(Y$5="",0,IF(OR(Y17=TRUE,ISTEXT(Y17)),X50+1,0))</f>
        <v/>
      </c>
      <c r="Z50" s="1">
        <f>IF(Z$5="",0,IF(OR(Z17=TRUE,ISTEXT(Z17)),Y50+1,0))</f>
        <v/>
      </c>
      <c r="AA50" s="1">
        <f>IF(AA$5="",0,IF(OR(AA17=TRUE,ISTEXT(AA17)),Z50+1,0))</f>
        <v/>
      </c>
      <c r="AB50" s="1">
        <f>IF(AB$5="",0,IF(OR(AB17=TRUE,ISTEXT(AB17)),AA50+1,0))</f>
        <v/>
      </c>
      <c r="AC50" s="1">
        <f>IF(AC$5="",0,IF(OR(AC17=TRUE,ISTEXT(AC17)),AB50+1,0))</f>
        <v/>
      </c>
      <c r="AD50" s="1">
        <f>IF(AD$5="",0,IF(OR(AD17=TRUE,ISTEXT(AD17)),AC50+1,0))</f>
        <v/>
      </c>
      <c r="AE50" s="1">
        <f>IF(AE$5="",0,IF(OR(AE17=TRUE,ISTEXT(AE17)),AD50+1,0))</f>
        <v/>
      </c>
      <c r="AF50" s="1">
        <f>IF(AF$5="",0,IF(OR(AF17=TRUE,ISTEXT(AF17)),AE50+1,0))</f>
        <v/>
      </c>
      <c r="AG50" s="1">
        <f>IF(AG$5="",0,IF(OR(AG17=TRUE,ISTEXT(AG17)),AF50+1,0))</f>
        <v/>
      </c>
      <c r="AH50" s="1" t="n"/>
      <c r="AI50" s="1" t="n"/>
      <c r="AJ50" s="1" t="n"/>
      <c r="AK50" s="1" t="n"/>
      <c r="AL50" s="1" t="n"/>
    </row>
    <row r="51" hidden="1">
      <c r="A51" s="1" t="n"/>
      <c r="B51" s="1">
        <f>B18</f>
        <v/>
      </c>
      <c r="C51" s="1">
        <f>IF(C$5="",0,IF(OR(C18=TRUE,ISTEXT(C18)),0+1,0))</f>
        <v/>
      </c>
      <c r="D51" s="1">
        <f>IF(D$5="",0,IF(OR(D18=TRUE,ISTEXT(D18)),C51+1,0))</f>
        <v/>
      </c>
      <c r="E51" s="1">
        <f>IF(E$5="",0,IF(OR(E18=TRUE,ISTEXT(E18)),D51+1,0))</f>
        <v/>
      </c>
      <c r="F51" s="1">
        <f>IF(F$5="",0,IF(OR(F18=TRUE,ISTEXT(F18)),E51+1,0))</f>
        <v/>
      </c>
      <c r="G51" s="1">
        <f>IF(G$5="",0,IF(OR(G18=TRUE,ISTEXT(G18)),F51+1,0))</f>
        <v/>
      </c>
      <c r="H51" s="1">
        <f>IF(H$5="",0,IF(OR(H18=TRUE,ISTEXT(H18)),G51+1,0))</f>
        <v/>
      </c>
      <c r="I51" s="1">
        <f>IF(I$5="",0,IF(OR(I18=TRUE,ISTEXT(I18)),H51+1,0))</f>
        <v/>
      </c>
      <c r="J51" s="1">
        <f>IF(J$5="",0,IF(OR(J18=TRUE,ISTEXT(J18)),I51+1,0))</f>
        <v/>
      </c>
      <c r="K51" s="1">
        <f>IF(K$5="",0,IF(OR(K18=TRUE,ISTEXT(K18)),J51+1,0))</f>
        <v/>
      </c>
      <c r="L51" s="1">
        <f>IF(L$5="",0,IF(OR(L18=TRUE,ISTEXT(L18)),K51+1,0))</f>
        <v/>
      </c>
      <c r="M51" s="1">
        <f>IF(M$5="",0,IF(OR(M18=TRUE,ISTEXT(M18)),L51+1,0))</f>
        <v/>
      </c>
      <c r="N51" s="1">
        <f>IF(N$5="",0,IF(OR(N18=TRUE,ISTEXT(N18)),M51+1,0))</f>
        <v/>
      </c>
      <c r="O51" s="1">
        <f>IF(O$5="",0,IF(OR(O18=TRUE,ISTEXT(O18)),N51+1,0))</f>
        <v/>
      </c>
      <c r="P51" s="1">
        <f>IF(P$5="",0,IF(OR(P18=TRUE,ISTEXT(P18)),O51+1,0))</f>
        <v/>
      </c>
      <c r="Q51" s="1">
        <f>IF(Q$5="",0,IF(OR(Q18=TRUE,ISTEXT(Q18)),P51+1,0))</f>
        <v/>
      </c>
      <c r="R51" s="1">
        <f>IF(R$5="",0,IF(OR(R18=TRUE,ISTEXT(R18)),Q51+1,0))</f>
        <v/>
      </c>
      <c r="S51" s="1">
        <f>IF(S$5="",0,IF(OR(S18=TRUE,ISTEXT(S18)),R51+1,0))</f>
        <v/>
      </c>
      <c r="T51" s="1">
        <f>IF(T$5="",0,IF(OR(T18=TRUE,ISTEXT(T18)),S51+1,0))</f>
        <v/>
      </c>
      <c r="U51" s="1">
        <f>IF(U$5="",0,IF(OR(U18=TRUE,ISTEXT(U18)),T51+1,0))</f>
        <v/>
      </c>
      <c r="V51" s="1">
        <f>IF(V$5="",0,IF(OR(V18=TRUE,ISTEXT(V18)),U51+1,0))</f>
        <v/>
      </c>
      <c r="W51" s="1">
        <f>IF(W$5="",0,IF(OR(W18=TRUE,ISTEXT(W18)),V51+1,0))</f>
        <v/>
      </c>
      <c r="X51" s="1">
        <f>IF(X$5="",0,IF(OR(X18=TRUE,ISTEXT(X18)),W51+1,0))</f>
        <v/>
      </c>
      <c r="Y51" s="1">
        <f>IF(Y$5="",0,IF(OR(Y18=TRUE,ISTEXT(Y18)),X51+1,0))</f>
        <v/>
      </c>
      <c r="Z51" s="1">
        <f>IF(Z$5="",0,IF(OR(Z18=TRUE,ISTEXT(Z18)),Y51+1,0))</f>
        <v/>
      </c>
      <c r="AA51" s="1">
        <f>IF(AA$5="",0,IF(OR(AA18=TRUE,ISTEXT(AA18)),Z51+1,0))</f>
        <v/>
      </c>
      <c r="AB51" s="1">
        <f>IF(AB$5="",0,IF(OR(AB18=TRUE,ISTEXT(AB18)),AA51+1,0))</f>
        <v/>
      </c>
      <c r="AC51" s="1">
        <f>IF(AC$5="",0,IF(OR(AC18=TRUE,ISTEXT(AC18)),AB51+1,0))</f>
        <v/>
      </c>
      <c r="AD51" s="1">
        <f>IF(AD$5="",0,IF(OR(AD18=TRUE,ISTEXT(AD18)),AC51+1,0))</f>
        <v/>
      </c>
      <c r="AE51" s="1">
        <f>IF(AE$5="",0,IF(OR(AE18=TRUE,ISTEXT(AE18)),AD51+1,0))</f>
        <v/>
      </c>
      <c r="AF51" s="1">
        <f>IF(AF$5="",0,IF(OR(AF18=TRUE,ISTEXT(AF18)),AE51+1,0))</f>
        <v/>
      </c>
      <c r="AG51" s="1">
        <f>IF(AG$5="",0,IF(OR(AG18=TRUE,ISTEXT(AG18)),AF51+1,0))</f>
        <v/>
      </c>
      <c r="AH51" s="1" t="n"/>
      <c r="AI51" s="1" t="n"/>
      <c r="AJ51" s="1" t="n"/>
      <c r="AK51" s="1" t="n"/>
      <c r="AL51" s="1" t="n"/>
    </row>
    <row r="52" hidden="1">
      <c r="A52" s="1" t="n"/>
      <c r="B52" s="1">
        <f>B19</f>
        <v/>
      </c>
      <c r="C52" s="1">
        <f>IF(C$5="",0,IF(OR(C19=TRUE,ISTEXT(C19)),0+1,0))</f>
        <v/>
      </c>
      <c r="D52" s="1">
        <f>IF(D$5="",0,IF(OR(D19=TRUE,ISTEXT(D19)),C52+1,0))</f>
        <v/>
      </c>
      <c r="E52" s="1">
        <f>IF(E$5="",0,IF(OR(E19=TRUE,ISTEXT(E19)),D52+1,0))</f>
        <v/>
      </c>
      <c r="F52" s="1">
        <f>IF(F$5="",0,IF(OR(F19=TRUE,ISTEXT(F19)),E52+1,0))</f>
        <v/>
      </c>
      <c r="G52" s="1">
        <f>IF(G$5="",0,IF(OR(G19=TRUE,ISTEXT(G19)),F52+1,0))</f>
        <v/>
      </c>
      <c r="H52" s="1">
        <f>IF(H$5="",0,IF(OR(H19=TRUE,ISTEXT(H19)),G52+1,0))</f>
        <v/>
      </c>
      <c r="I52" s="1">
        <f>IF(I$5="",0,IF(OR(I19=TRUE,ISTEXT(I19)),H52+1,0))</f>
        <v/>
      </c>
      <c r="J52" s="1">
        <f>IF(J$5="",0,IF(OR(J19=TRUE,ISTEXT(J19)),I52+1,0))</f>
        <v/>
      </c>
      <c r="K52" s="1">
        <f>IF(K$5="",0,IF(OR(K19=TRUE,ISTEXT(K19)),J52+1,0))</f>
        <v/>
      </c>
      <c r="L52" s="1">
        <f>IF(L$5="",0,IF(OR(L19=TRUE,ISTEXT(L19)),K52+1,0))</f>
        <v/>
      </c>
      <c r="M52" s="1">
        <f>IF(M$5="",0,IF(OR(M19=TRUE,ISTEXT(M19)),L52+1,0))</f>
        <v/>
      </c>
      <c r="N52" s="1">
        <f>IF(N$5="",0,IF(OR(N19=TRUE,ISTEXT(N19)),M52+1,0))</f>
        <v/>
      </c>
      <c r="O52" s="1">
        <f>IF(O$5="",0,IF(OR(O19=TRUE,ISTEXT(O19)),N52+1,0))</f>
        <v/>
      </c>
      <c r="P52" s="1">
        <f>IF(P$5="",0,IF(OR(P19=TRUE,ISTEXT(P19)),O52+1,0))</f>
        <v/>
      </c>
      <c r="Q52" s="1">
        <f>IF(Q$5="",0,IF(OR(Q19=TRUE,ISTEXT(Q19)),P52+1,0))</f>
        <v/>
      </c>
      <c r="R52" s="1">
        <f>IF(R$5="",0,IF(OR(R19=TRUE,ISTEXT(R19)),Q52+1,0))</f>
        <v/>
      </c>
      <c r="S52" s="1">
        <f>IF(S$5="",0,IF(OR(S19=TRUE,ISTEXT(S19)),R52+1,0))</f>
        <v/>
      </c>
      <c r="T52" s="1">
        <f>IF(T$5="",0,IF(OR(T19=TRUE,ISTEXT(T19)),S52+1,0))</f>
        <v/>
      </c>
      <c r="U52" s="1">
        <f>IF(U$5="",0,IF(OR(U19=TRUE,ISTEXT(U19)),T52+1,0))</f>
        <v/>
      </c>
      <c r="V52" s="1">
        <f>IF(V$5="",0,IF(OR(V19=TRUE,ISTEXT(V19)),U52+1,0))</f>
        <v/>
      </c>
      <c r="W52" s="1">
        <f>IF(W$5="",0,IF(OR(W19=TRUE,ISTEXT(W19)),V52+1,0))</f>
        <v/>
      </c>
      <c r="X52" s="1">
        <f>IF(X$5="",0,IF(OR(X19=TRUE,ISTEXT(X19)),W52+1,0))</f>
        <v/>
      </c>
      <c r="Y52" s="1">
        <f>IF(Y$5="",0,IF(OR(Y19=TRUE,ISTEXT(Y19)),X52+1,0))</f>
        <v/>
      </c>
      <c r="Z52" s="1">
        <f>IF(Z$5="",0,IF(OR(Z19=TRUE,ISTEXT(Z19)),Y52+1,0))</f>
        <v/>
      </c>
      <c r="AA52" s="1">
        <f>IF(AA$5="",0,IF(OR(AA19=TRUE,ISTEXT(AA19)),Z52+1,0))</f>
        <v/>
      </c>
      <c r="AB52" s="1">
        <f>IF(AB$5="",0,IF(OR(AB19=TRUE,ISTEXT(AB19)),AA52+1,0))</f>
        <v/>
      </c>
      <c r="AC52" s="1">
        <f>IF(AC$5="",0,IF(OR(AC19=TRUE,ISTEXT(AC19)),AB52+1,0))</f>
        <v/>
      </c>
      <c r="AD52" s="1">
        <f>IF(AD$5="",0,IF(OR(AD19=TRUE,ISTEXT(AD19)),AC52+1,0))</f>
        <v/>
      </c>
      <c r="AE52" s="1">
        <f>IF(AE$5="",0,IF(OR(AE19=TRUE,ISTEXT(AE19)),AD52+1,0))</f>
        <v/>
      </c>
      <c r="AF52" s="1">
        <f>IF(AF$5="",0,IF(OR(AF19=TRUE,ISTEXT(AF19)),AE52+1,0))</f>
        <v/>
      </c>
      <c r="AG52" s="1">
        <f>IF(AG$5="",0,IF(OR(AG19=TRUE,ISTEXT(AG19)),AF52+1,0))</f>
        <v/>
      </c>
      <c r="AH52" s="1" t="n"/>
      <c r="AI52" s="1" t="n"/>
      <c r="AJ52" s="1" t="n"/>
      <c r="AK52" s="1" t="n"/>
      <c r="AL52" s="1" t="n"/>
    </row>
    <row r="53" hidden="1">
      <c r="A53" s="1" t="n"/>
      <c r="B53" s="1">
        <f>B20</f>
        <v/>
      </c>
      <c r="C53" s="1">
        <f>IF(C$5="",0,IF(OR(C20=TRUE,ISTEXT(C20)),0+1,0))</f>
        <v/>
      </c>
      <c r="D53" s="1">
        <f>IF(D$5="",0,IF(OR(D20=TRUE,ISTEXT(D20)),C53+1,0))</f>
        <v/>
      </c>
      <c r="E53" s="1">
        <f>IF(E$5="",0,IF(OR(E20=TRUE,ISTEXT(E20)),D53+1,0))</f>
        <v/>
      </c>
      <c r="F53" s="1">
        <f>IF(F$5="",0,IF(OR(F20=TRUE,ISTEXT(F20)),E53+1,0))</f>
        <v/>
      </c>
      <c r="G53" s="1">
        <f>IF(G$5="",0,IF(OR(G20=TRUE,ISTEXT(G20)),F53+1,0))</f>
        <v/>
      </c>
      <c r="H53" s="1">
        <f>IF(H$5="",0,IF(OR(H20=TRUE,ISTEXT(H20)),G53+1,0))</f>
        <v/>
      </c>
      <c r="I53" s="1">
        <f>IF(I$5="",0,IF(OR(I20=TRUE,ISTEXT(I20)),H53+1,0))</f>
        <v/>
      </c>
      <c r="J53" s="1">
        <f>IF(J$5="",0,IF(OR(J20=TRUE,ISTEXT(J20)),I53+1,0))</f>
        <v/>
      </c>
      <c r="K53" s="1">
        <f>IF(K$5="",0,IF(OR(K20=TRUE,ISTEXT(K20)),J53+1,0))</f>
        <v/>
      </c>
      <c r="L53" s="1">
        <f>IF(L$5="",0,IF(OR(L20=TRUE,ISTEXT(L20)),K53+1,0))</f>
        <v/>
      </c>
      <c r="M53" s="1">
        <f>IF(M$5="",0,IF(OR(M20=TRUE,ISTEXT(M20)),L53+1,0))</f>
        <v/>
      </c>
      <c r="N53" s="1">
        <f>IF(N$5="",0,IF(OR(N20=TRUE,ISTEXT(N20)),M53+1,0))</f>
        <v/>
      </c>
      <c r="O53" s="1">
        <f>IF(O$5="",0,IF(OR(O20=TRUE,ISTEXT(O20)),N53+1,0))</f>
        <v/>
      </c>
      <c r="P53" s="1">
        <f>IF(P$5="",0,IF(OR(P20=TRUE,ISTEXT(P20)),O53+1,0))</f>
        <v/>
      </c>
      <c r="Q53" s="1">
        <f>IF(Q$5="",0,IF(OR(Q20=TRUE,ISTEXT(Q20)),P53+1,0))</f>
        <v/>
      </c>
      <c r="R53" s="1">
        <f>IF(R$5="",0,IF(OR(R20=TRUE,ISTEXT(R20)),Q53+1,0))</f>
        <v/>
      </c>
      <c r="S53" s="1">
        <f>IF(S$5="",0,IF(OR(S20=TRUE,ISTEXT(S20)),R53+1,0))</f>
        <v/>
      </c>
      <c r="T53" s="1">
        <f>IF(T$5="",0,IF(OR(T20=TRUE,ISTEXT(T20)),S53+1,0))</f>
        <v/>
      </c>
      <c r="U53" s="1">
        <f>IF(U$5="",0,IF(OR(U20=TRUE,ISTEXT(U20)),T53+1,0))</f>
        <v/>
      </c>
      <c r="V53" s="1">
        <f>IF(V$5="",0,IF(OR(V20=TRUE,ISTEXT(V20)),U53+1,0))</f>
        <v/>
      </c>
      <c r="W53" s="1">
        <f>IF(W$5="",0,IF(OR(W20=TRUE,ISTEXT(W20)),V53+1,0))</f>
        <v/>
      </c>
      <c r="X53" s="1">
        <f>IF(X$5="",0,IF(OR(X20=TRUE,ISTEXT(X20)),W53+1,0))</f>
        <v/>
      </c>
      <c r="Y53" s="1">
        <f>IF(Y$5="",0,IF(OR(Y20=TRUE,ISTEXT(Y20)),X53+1,0))</f>
        <v/>
      </c>
      <c r="Z53" s="1">
        <f>IF(Z$5="",0,IF(OR(Z20=TRUE,ISTEXT(Z20)),Y53+1,0))</f>
        <v/>
      </c>
      <c r="AA53" s="1">
        <f>IF(AA$5="",0,IF(OR(AA20=TRUE,ISTEXT(AA20)),Z53+1,0))</f>
        <v/>
      </c>
      <c r="AB53" s="1">
        <f>IF(AB$5="",0,IF(OR(AB20=TRUE,ISTEXT(AB20)),AA53+1,0))</f>
        <v/>
      </c>
      <c r="AC53" s="1">
        <f>IF(AC$5="",0,IF(OR(AC20=TRUE,ISTEXT(AC20)),AB53+1,0))</f>
        <v/>
      </c>
      <c r="AD53" s="1">
        <f>IF(AD$5="",0,IF(OR(AD20=TRUE,ISTEXT(AD20)),AC53+1,0))</f>
        <v/>
      </c>
      <c r="AE53" s="1">
        <f>IF(AE$5="",0,IF(OR(AE20=TRUE,ISTEXT(AE20)),AD53+1,0))</f>
        <v/>
      </c>
      <c r="AF53" s="1">
        <f>IF(AF$5="",0,IF(OR(AF20=TRUE,ISTEXT(AF20)),AE53+1,0))</f>
        <v/>
      </c>
      <c r="AG53" s="1">
        <f>IF(AG$5="",0,IF(OR(AG20=TRUE,ISTEXT(AG20)),AF53+1,0))</f>
        <v/>
      </c>
      <c r="AH53" s="1" t="n"/>
      <c r="AI53" s="1" t="n"/>
      <c r="AJ53" s="1" t="n"/>
      <c r="AK53" s="1" t="n"/>
      <c r="AL53" s="1" t="n"/>
    </row>
    <row r="54" hidden="1">
      <c r="A54" s="1" t="n"/>
      <c r="B54" s="1">
        <f>B21</f>
        <v/>
      </c>
      <c r="C54" s="1">
        <f>IF(C$5="",0,IF(OR(C21=TRUE,ISTEXT(C21)),0+1,0))</f>
        <v/>
      </c>
      <c r="D54" s="1">
        <f>IF(D$5="",0,IF(OR(D21=TRUE,ISTEXT(D21)),C54+1,0))</f>
        <v/>
      </c>
      <c r="E54" s="1">
        <f>IF(E$5="",0,IF(OR(E21=TRUE,ISTEXT(E21)),D54+1,0))</f>
        <v/>
      </c>
      <c r="F54" s="1">
        <f>IF(F$5="",0,IF(OR(F21=TRUE,ISTEXT(F21)),E54+1,0))</f>
        <v/>
      </c>
      <c r="G54" s="1">
        <f>IF(G$5="",0,IF(OR(G21=TRUE,ISTEXT(G21)),F54+1,0))</f>
        <v/>
      </c>
      <c r="H54" s="1">
        <f>IF(H$5="",0,IF(OR(H21=TRUE,ISTEXT(H21)),G54+1,0))</f>
        <v/>
      </c>
      <c r="I54" s="1">
        <f>IF(I$5="",0,IF(OR(I21=TRUE,ISTEXT(I21)),H54+1,0))</f>
        <v/>
      </c>
      <c r="J54" s="1">
        <f>IF(J$5="",0,IF(OR(J21=TRUE,ISTEXT(J21)),I54+1,0))</f>
        <v/>
      </c>
      <c r="K54" s="1">
        <f>IF(K$5="",0,IF(OR(K21=TRUE,ISTEXT(K21)),J54+1,0))</f>
        <v/>
      </c>
      <c r="L54" s="1">
        <f>IF(L$5="",0,IF(OR(L21=TRUE,ISTEXT(L21)),K54+1,0))</f>
        <v/>
      </c>
      <c r="M54" s="1">
        <f>IF(M$5="",0,IF(OR(M21=TRUE,ISTEXT(M21)),L54+1,0))</f>
        <v/>
      </c>
      <c r="N54" s="1">
        <f>IF(N$5="",0,IF(OR(N21=TRUE,ISTEXT(N21)),M54+1,0))</f>
        <v/>
      </c>
      <c r="O54" s="1">
        <f>IF(O$5="",0,IF(OR(O21=TRUE,ISTEXT(O21)),N54+1,0))</f>
        <v/>
      </c>
      <c r="P54" s="1">
        <f>IF(P$5="",0,IF(OR(P21=TRUE,ISTEXT(P21)),O54+1,0))</f>
        <v/>
      </c>
      <c r="Q54" s="1">
        <f>IF(Q$5="",0,IF(OR(Q21=TRUE,ISTEXT(Q21)),P54+1,0))</f>
        <v/>
      </c>
      <c r="R54" s="1">
        <f>IF(R$5="",0,IF(OR(R21=TRUE,ISTEXT(R21)),Q54+1,0))</f>
        <v/>
      </c>
      <c r="S54" s="1">
        <f>IF(S$5="",0,IF(OR(S21=TRUE,ISTEXT(S21)),R54+1,0))</f>
        <v/>
      </c>
      <c r="T54" s="1">
        <f>IF(T$5="",0,IF(OR(T21=TRUE,ISTEXT(T21)),S54+1,0))</f>
        <v/>
      </c>
      <c r="U54" s="1">
        <f>IF(U$5="",0,IF(OR(U21=TRUE,ISTEXT(U21)),T54+1,0))</f>
        <v/>
      </c>
      <c r="V54" s="1">
        <f>IF(V$5="",0,IF(OR(V21=TRUE,ISTEXT(V21)),U54+1,0))</f>
        <v/>
      </c>
      <c r="W54" s="1">
        <f>IF(W$5="",0,IF(OR(W21=TRUE,ISTEXT(W21)),V54+1,0))</f>
        <v/>
      </c>
      <c r="X54" s="1">
        <f>IF(X$5="",0,IF(OR(X21=TRUE,ISTEXT(X21)),W54+1,0))</f>
        <v/>
      </c>
      <c r="Y54" s="1">
        <f>IF(Y$5="",0,IF(OR(Y21=TRUE,ISTEXT(Y21)),X54+1,0))</f>
        <v/>
      </c>
      <c r="Z54" s="1">
        <f>IF(Z$5="",0,IF(OR(Z21=TRUE,ISTEXT(Z21)),Y54+1,0))</f>
        <v/>
      </c>
      <c r="AA54" s="1">
        <f>IF(AA$5="",0,IF(OR(AA21=TRUE,ISTEXT(AA21)),Z54+1,0))</f>
        <v/>
      </c>
      <c r="AB54" s="1">
        <f>IF(AB$5="",0,IF(OR(AB21=TRUE,ISTEXT(AB21)),AA54+1,0))</f>
        <v/>
      </c>
      <c r="AC54" s="1">
        <f>IF(AC$5="",0,IF(OR(AC21=TRUE,ISTEXT(AC21)),AB54+1,0))</f>
        <v/>
      </c>
      <c r="AD54" s="1">
        <f>IF(AD$5="",0,IF(OR(AD21=TRUE,ISTEXT(AD21)),AC54+1,0))</f>
        <v/>
      </c>
      <c r="AE54" s="1">
        <f>IF(AE$5="",0,IF(OR(AE21=TRUE,ISTEXT(AE21)),AD54+1,0))</f>
        <v/>
      </c>
      <c r="AF54" s="1">
        <f>IF(AF$5="",0,IF(OR(AF21=TRUE,ISTEXT(AF21)),AE54+1,0))</f>
        <v/>
      </c>
      <c r="AG54" s="1">
        <f>IF(AG$5="",0,IF(OR(AG21=TRUE,ISTEXT(AG21)),AF54+1,0))</f>
        <v/>
      </c>
      <c r="AH54" s="1" t="n"/>
      <c r="AI54" s="1" t="n"/>
      <c r="AJ54" s="1" t="n"/>
      <c r="AK54" s="1" t="n"/>
      <c r="A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</sheetData>
  <mergeCells count="2">
    <mergeCell ref="AH24:AI24"/>
    <mergeCell ref="AH23:AI23"/>
  </mergeCells>
  <conditionalFormatting sqref="C7:AG24">
    <cfRule type="expression" priority="1" dxfId="12">
      <formula>C$5=""</formula>
    </cfRule>
  </conditionalFormatting>
  <conditionalFormatting sqref="C7:AG21">
    <cfRule type="expression" priority="2" dxfId="13">
      <formula>AND($B7&lt;&gt;"",OR(C7=TRUE,ISTEXT(C7)))</formula>
    </cfRule>
    <cfRule type="expression" priority="3" dxfId="14">
      <formula>$B7=""</formula>
    </cfRule>
  </conditionalFormatting>
  <conditionalFormatting sqref="C23:AG23">
    <cfRule type="expression" priority="4" dxfId="1">
      <formula>C23=5</formula>
    </cfRule>
    <cfRule type="expression" priority="5" dxfId="2">
      <formula>C23=4</formula>
    </cfRule>
    <cfRule type="expression" priority="6" dxfId="3">
      <formula>C23=3</formula>
    </cfRule>
    <cfRule type="expression" priority="7" dxfId="4">
      <formula>C23=2</formula>
    </cfRule>
    <cfRule type="expression" priority="8" dxfId="5">
      <formula>C23=1</formula>
    </cfRule>
  </conditionalFormatting>
  <conditionalFormatting sqref="C5:AG5">
    <cfRule type="expression" priority="9" dxfId="15">
      <formula>AND(C$5&lt;&gt;"",DATE(Habits!$C$4,1,C$5)=TODAY())</formula>
    </cfRule>
  </conditionalFormatting>
  <conditionalFormatting sqref="AI7:AI21">
    <cfRule type="colorScale" priority="10">
      <colorScale>
        <cfvo type="num" val="0"/>
        <cfvo type="num" val="1"/>
        <color rgb="00FFFFFF"/>
        <color rgb="008CC5A8"/>
      </colorScale>
    </cfRule>
  </conditionalFormatting>
  <dataValidations count="1">
    <dataValidation sqref="C23:AG2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7" customWidth="1" min="34" max="34"/>
    <col width="7" customWidth="1" min="35" max="35"/>
    <col width="8" customWidth="1" min="36" max="36"/>
    <col width="8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>
        <f>"February "&amp;Habits!$C$4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Type x on each day you did a habit. Mood from 1 to 5, sleep in hours.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30" customHeight="1">
      <c r="A5" s="1" t="n"/>
      <c r="B5" s="28" t="inlineStr">
        <is>
          <t>Habit</t>
        </is>
      </c>
      <c r="C5" s="29">
        <f>IF(1&lt;=DAY(EOMONTH(DATE(Habits!$C$4,2,1),0)),1,"")</f>
        <v/>
      </c>
      <c r="D5" s="29">
        <f>IF(2&lt;=DAY(EOMONTH(DATE(Habits!$C$4,2,1),0)),2,"")</f>
        <v/>
      </c>
      <c r="E5" s="29">
        <f>IF(3&lt;=DAY(EOMONTH(DATE(Habits!$C$4,2,1),0)),3,"")</f>
        <v/>
      </c>
      <c r="F5" s="29">
        <f>IF(4&lt;=DAY(EOMONTH(DATE(Habits!$C$4,2,1),0)),4,"")</f>
        <v/>
      </c>
      <c r="G5" s="29">
        <f>IF(5&lt;=DAY(EOMONTH(DATE(Habits!$C$4,2,1),0)),5,"")</f>
        <v/>
      </c>
      <c r="H5" s="29">
        <f>IF(6&lt;=DAY(EOMONTH(DATE(Habits!$C$4,2,1),0)),6,"")</f>
        <v/>
      </c>
      <c r="I5" s="29">
        <f>IF(7&lt;=DAY(EOMONTH(DATE(Habits!$C$4,2,1),0)),7,"")</f>
        <v/>
      </c>
      <c r="J5" s="29">
        <f>IF(8&lt;=DAY(EOMONTH(DATE(Habits!$C$4,2,1),0)),8,"")</f>
        <v/>
      </c>
      <c r="K5" s="29">
        <f>IF(9&lt;=DAY(EOMONTH(DATE(Habits!$C$4,2,1),0)),9,"")</f>
        <v/>
      </c>
      <c r="L5" s="29">
        <f>IF(10&lt;=DAY(EOMONTH(DATE(Habits!$C$4,2,1),0)),10,"")</f>
        <v/>
      </c>
      <c r="M5" s="29">
        <f>IF(11&lt;=DAY(EOMONTH(DATE(Habits!$C$4,2,1),0)),11,"")</f>
        <v/>
      </c>
      <c r="N5" s="29">
        <f>IF(12&lt;=DAY(EOMONTH(DATE(Habits!$C$4,2,1),0)),12,"")</f>
        <v/>
      </c>
      <c r="O5" s="29">
        <f>IF(13&lt;=DAY(EOMONTH(DATE(Habits!$C$4,2,1),0)),13,"")</f>
        <v/>
      </c>
      <c r="P5" s="29">
        <f>IF(14&lt;=DAY(EOMONTH(DATE(Habits!$C$4,2,1),0)),14,"")</f>
        <v/>
      </c>
      <c r="Q5" s="29">
        <f>IF(15&lt;=DAY(EOMONTH(DATE(Habits!$C$4,2,1),0)),15,"")</f>
        <v/>
      </c>
      <c r="R5" s="29">
        <f>IF(16&lt;=DAY(EOMONTH(DATE(Habits!$C$4,2,1),0)),16,"")</f>
        <v/>
      </c>
      <c r="S5" s="29">
        <f>IF(17&lt;=DAY(EOMONTH(DATE(Habits!$C$4,2,1),0)),17,"")</f>
        <v/>
      </c>
      <c r="T5" s="29">
        <f>IF(18&lt;=DAY(EOMONTH(DATE(Habits!$C$4,2,1),0)),18,"")</f>
        <v/>
      </c>
      <c r="U5" s="29">
        <f>IF(19&lt;=DAY(EOMONTH(DATE(Habits!$C$4,2,1),0)),19,"")</f>
        <v/>
      </c>
      <c r="V5" s="29">
        <f>IF(20&lt;=DAY(EOMONTH(DATE(Habits!$C$4,2,1),0)),20,"")</f>
        <v/>
      </c>
      <c r="W5" s="29">
        <f>IF(21&lt;=DAY(EOMONTH(DATE(Habits!$C$4,2,1),0)),21,"")</f>
        <v/>
      </c>
      <c r="X5" s="29">
        <f>IF(22&lt;=DAY(EOMONTH(DATE(Habits!$C$4,2,1),0)),22,"")</f>
        <v/>
      </c>
      <c r="Y5" s="29">
        <f>IF(23&lt;=DAY(EOMONTH(DATE(Habits!$C$4,2,1),0)),23,"")</f>
        <v/>
      </c>
      <c r="Z5" s="29">
        <f>IF(24&lt;=DAY(EOMONTH(DATE(Habits!$C$4,2,1),0)),24,"")</f>
        <v/>
      </c>
      <c r="AA5" s="29">
        <f>IF(25&lt;=DAY(EOMONTH(DATE(Habits!$C$4,2,1),0)),25,"")</f>
        <v/>
      </c>
      <c r="AB5" s="29">
        <f>IF(26&lt;=DAY(EOMONTH(DATE(Habits!$C$4,2,1),0)),26,"")</f>
        <v/>
      </c>
      <c r="AC5" s="29">
        <f>IF(27&lt;=DAY(EOMONTH(DATE(Habits!$C$4,2,1),0)),27,"")</f>
        <v/>
      </c>
      <c r="AD5" s="29">
        <f>IF(28&lt;=DAY(EOMONTH(DATE(Habits!$C$4,2,1),0)),28,"")</f>
        <v/>
      </c>
      <c r="AE5" s="29">
        <f>IF(29&lt;=DAY(EOMONTH(DATE(Habits!$C$4,2,1),0)),29,"")</f>
        <v/>
      </c>
      <c r="AF5" s="29">
        <f>IF(30&lt;=DAY(EOMONTH(DATE(Habits!$C$4,2,1),0)),30,"")</f>
        <v/>
      </c>
      <c r="AG5" s="29">
        <f>IF(31&lt;=DAY(EOMONTH(DATE(Habits!$C$4,2,1),0)),31,"")</f>
        <v/>
      </c>
      <c r="AH5" s="30" t="inlineStr">
        <is>
          <t>Done</t>
        </is>
      </c>
      <c r="AI5" s="30" t="inlineStr">
        <is>
          <t>Share</t>
        </is>
      </c>
      <c r="AJ5" s="30" t="inlineStr">
        <is>
          <t>Streak now</t>
        </is>
      </c>
      <c r="AK5" s="30" t="inlineStr">
        <is>
          <t>Best streak</t>
        </is>
      </c>
      <c r="AL5" s="1" t="n"/>
    </row>
    <row r="6">
      <c r="A6" s="1" t="n"/>
      <c r="B6" s="1" t="n"/>
      <c r="C6" s="31">
        <f>IF(C$5="","",CHOOSE(WEEKDAY(DATE(Habits!$C$4,2,1),2),"M","T","W","T","F","S","S"))</f>
        <v/>
      </c>
      <c r="D6" s="31">
        <f>IF(D$5="","",CHOOSE(WEEKDAY(DATE(Habits!$C$4,2,2),2),"M","T","W","T","F","S","S"))</f>
        <v/>
      </c>
      <c r="E6" s="31">
        <f>IF(E$5="","",CHOOSE(WEEKDAY(DATE(Habits!$C$4,2,3),2),"M","T","W","T","F","S","S"))</f>
        <v/>
      </c>
      <c r="F6" s="31">
        <f>IF(F$5="","",CHOOSE(WEEKDAY(DATE(Habits!$C$4,2,4),2),"M","T","W","T","F","S","S"))</f>
        <v/>
      </c>
      <c r="G6" s="31">
        <f>IF(G$5="","",CHOOSE(WEEKDAY(DATE(Habits!$C$4,2,5),2),"M","T","W","T","F","S","S"))</f>
        <v/>
      </c>
      <c r="H6" s="31">
        <f>IF(H$5="","",CHOOSE(WEEKDAY(DATE(Habits!$C$4,2,6),2),"M","T","W","T","F","S","S"))</f>
        <v/>
      </c>
      <c r="I6" s="31">
        <f>IF(I$5="","",CHOOSE(WEEKDAY(DATE(Habits!$C$4,2,7),2),"M","T","W","T","F","S","S"))</f>
        <v/>
      </c>
      <c r="J6" s="31">
        <f>IF(J$5="","",CHOOSE(WEEKDAY(DATE(Habits!$C$4,2,8),2),"M","T","W","T","F","S","S"))</f>
        <v/>
      </c>
      <c r="K6" s="31">
        <f>IF(K$5="","",CHOOSE(WEEKDAY(DATE(Habits!$C$4,2,9),2),"M","T","W","T","F","S","S"))</f>
        <v/>
      </c>
      <c r="L6" s="31">
        <f>IF(L$5="","",CHOOSE(WEEKDAY(DATE(Habits!$C$4,2,10),2),"M","T","W","T","F","S","S"))</f>
        <v/>
      </c>
      <c r="M6" s="31">
        <f>IF(M$5="","",CHOOSE(WEEKDAY(DATE(Habits!$C$4,2,11),2),"M","T","W","T","F","S","S"))</f>
        <v/>
      </c>
      <c r="N6" s="31">
        <f>IF(N$5="","",CHOOSE(WEEKDAY(DATE(Habits!$C$4,2,12),2),"M","T","W","T","F","S","S"))</f>
        <v/>
      </c>
      <c r="O6" s="31">
        <f>IF(O$5="","",CHOOSE(WEEKDAY(DATE(Habits!$C$4,2,13),2),"M","T","W","T","F","S","S"))</f>
        <v/>
      </c>
      <c r="P6" s="31">
        <f>IF(P$5="","",CHOOSE(WEEKDAY(DATE(Habits!$C$4,2,14),2),"M","T","W","T","F","S","S"))</f>
        <v/>
      </c>
      <c r="Q6" s="31">
        <f>IF(Q$5="","",CHOOSE(WEEKDAY(DATE(Habits!$C$4,2,15),2),"M","T","W","T","F","S","S"))</f>
        <v/>
      </c>
      <c r="R6" s="31">
        <f>IF(R$5="","",CHOOSE(WEEKDAY(DATE(Habits!$C$4,2,16),2),"M","T","W","T","F","S","S"))</f>
        <v/>
      </c>
      <c r="S6" s="31">
        <f>IF(S$5="","",CHOOSE(WEEKDAY(DATE(Habits!$C$4,2,17),2),"M","T","W","T","F","S","S"))</f>
        <v/>
      </c>
      <c r="T6" s="31">
        <f>IF(T$5="","",CHOOSE(WEEKDAY(DATE(Habits!$C$4,2,18),2),"M","T","W","T","F","S","S"))</f>
        <v/>
      </c>
      <c r="U6" s="31">
        <f>IF(U$5="","",CHOOSE(WEEKDAY(DATE(Habits!$C$4,2,19),2),"M","T","W","T","F","S","S"))</f>
        <v/>
      </c>
      <c r="V6" s="31">
        <f>IF(V$5="","",CHOOSE(WEEKDAY(DATE(Habits!$C$4,2,20),2),"M","T","W","T","F","S","S"))</f>
        <v/>
      </c>
      <c r="W6" s="31">
        <f>IF(W$5="","",CHOOSE(WEEKDAY(DATE(Habits!$C$4,2,21),2),"M","T","W","T","F","S","S"))</f>
        <v/>
      </c>
      <c r="X6" s="31">
        <f>IF(X$5="","",CHOOSE(WEEKDAY(DATE(Habits!$C$4,2,22),2),"M","T","W","T","F","S","S"))</f>
        <v/>
      </c>
      <c r="Y6" s="31">
        <f>IF(Y$5="","",CHOOSE(WEEKDAY(DATE(Habits!$C$4,2,23),2),"M","T","W","T","F","S","S"))</f>
        <v/>
      </c>
      <c r="Z6" s="31">
        <f>IF(Z$5="","",CHOOSE(WEEKDAY(DATE(Habits!$C$4,2,24),2),"M","T","W","T","F","S","S"))</f>
        <v/>
      </c>
      <c r="AA6" s="31">
        <f>IF(AA$5="","",CHOOSE(WEEKDAY(DATE(Habits!$C$4,2,25),2),"M","T","W","T","F","S","S"))</f>
        <v/>
      </c>
      <c r="AB6" s="31">
        <f>IF(AB$5="","",CHOOSE(WEEKDAY(DATE(Habits!$C$4,2,26),2),"M","T","W","T","F","S","S"))</f>
        <v/>
      </c>
      <c r="AC6" s="31">
        <f>IF(AC$5="","",CHOOSE(WEEKDAY(DATE(Habits!$C$4,2,27),2),"M","T","W","T","F","S","S"))</f>
        <v/>
      </c>
      <c r="AD6" s="31">
        <f>IF(AD$5="","",CHOOSE(WEEKDAY(DATE(Habits!$C$4,2,28),2),"M","T","W","T","F","S","S"))</f>
        <v/>
      </c>
      <c r="AE6" s="31">
        <f>IF(AE$5="","",CHOOSE(WEEKDAY(DATE(Habits!$C$4,2,29),2),"M","T","W","T","F","S","S"))</f>
        <v/>
      </c>
      <c r="AF6" s="31">
        <f>IF(AF$5="","",CHOOSE(WEEKDAY(DATE(Habits!$C$4,2,30),2),"M","T","W","T","F","S","S"))</f>
        <v/>
      </c>
      <c r="AG6" s="31">
        <f>IF(AG$5="","",CHOOSE(WEEKDAY(DATE(Habits!$C$4,2,31),2),"M","T","W","T","F","S","S"))</f>
        <v/>
      </c>
      <c r="AH6" s="1" t="n"/>
      <c r="AI6" s="1" t="n"/>
      <c r="AJ6" s="1" t="n"/>
      <c r="AK6" s="1" t="n"/>
      <c r="AL6" s="1" t="n"/>
    </row>
    <row r="7">
      <c r="A7" s="1" t="n"/>
      <c r="B7" s="32">
        <f>IF(Habits!B8="","",Habits!B8)</f>
        <v/>
      </c>
      <c r="C7" s="33" t="inlineStr">
        <is>
          <t>x</t>
        </is>
      </c>
      <c r="D7" s="33" t="inlineStr">
        <is>
          <t>x</t>
        </is>
      </c>
      <c r="E7" s="33" t="inlineStr">
        <is>
          <t>x</t>
        </is>
      </c>
      <c r="F7" s="33" t="inlineStr">
        <is>
          <t>x</t>
        </is>
      </c>
      <c r="G7" s="33" t="inlineStr">
        <is>
          <t>x</t>
        </is>
      </c>
      <c r="H7" s="33" t="inlineStr">
        <is>
          <t>x</t>
        </is>
      </c>
      <c r="I7" s="33" t="n"/>
      <c r="J7" s="33" t="inlineStr">
        <is>
          <t>x</t>
        </is>
      </c>
      <c r="K7" s="33" t="inlineStr">
        <is>
          <t>x</t>
        </is>
      </c>
      <c r="L7" s="33" t="inlineStr">
        <is>
          <t>x</t>
        </is>
      </c>
      <c r="M7" s="33" t="inlineStr">
        <is>
          <t>x</t>
        </is>
      </c>
      <c r="N7" s="33" t="inlineStr">
        <is>
          <t>x</t>
        </is>
      </c>
      <c r="O7" s="33" t="inlineStr">
        <is>
          <t>x</t>
        </is>
      </c>
      <c r="P7" s="33" t="inlineStr">
        <is>
          <t>x</t>
        </is>
      </c>
      <c r="Q7" s="33" t="inlineStr">
        <is>
          <t>x</t>
        </is>
      </c>
      <c r="R7" s="33" t="inlineStr">
        <is>
          <t>x</t>
        </is>
      </c>
      <c r="S7" s="33" t="inlineStr">
        <is>
          <t>x</t>
        </is>
      </c>
      <c r="T7" s="33" t="inlineStr">
        <is>
          <t>x</t>
        </is>
      </c>
      <c r="U7" s="33" t="n"/>
      <c r="V7" s="33" t="inlineStr">
        <is>
          <t>x</t>
        </is>
      </c>
      <c r="W7" s="33" t="inlineStr">
        <is>
          <t>x</t>
        </is>
      </c>
      <c r="X7" s="33" t="inlineStr">
        <is>
          <t>x</t>
        </is>
      </c>
      <c r="Y7" s="33" t="inlineStr">
        <is>
          <t>x</t>
        </is>
      </c>
      <c r="Z7" s="33" t="inlineStr">
        <is>
          <t>x</t>
        </is>
      </c>
      <c r="AA7" s="33" t="inlineStr">
        <is>
          <t>x</t>
        </is>
      </c>
      <c r="AB7" s="33" t="n"/>
      <c r="AC7" s="33" t="inlineStr">
        <is>
          <t>x</t>
        </is>
      </c>
      <c r="AD7" s="33" t="inlineStr">
        <is>
          <t>x</t>
        </is>
      </c>
      <c r="AE7" s="33" t="n"/>
      <c r="AF7" s="33" t="n"/>
      <c r="AG7" s="33" t="n"/>
      <c r="AH7" s="13">
        <f>IF(B7="","",COUNTIF($C40:$AG40,"&gt;0"))</f>
        <v/>
      </c>
      <c r="AI7" s="14">
        <f>IF(OR(B7="",IF(AND(Habits!$C$4=YEAR(TODAY()),2=MONTH(TODAY())),DAY(TODAY()),IF(DATE(Habits!$C$4,2,1)&gt;TODAY(),0,DAY(EOMONTH(DATE(Habits!$C$4,2,1),0))))=0),"",MIN(1,(COUNTIF($C40:$AG40,"&gt;0"))/IF(AND(Habits!$C$4=YEAR(TODAY()),2=MONTH(TODAY())),DAY(TODAY()),IF(DATE(Habits!$C$4,2,1)&gt;TODAY(),0,DAY(EOMONTH(DATE(Habits!$C$4,2,1),0))))))</f>
        <v/>
      </c>
      <c r="AJ7" s="16">
        <f>IF(B7="","",IF(AND(Habits!$C$4=YEAR(TODAY()),2=MONTH(TODAY())),IF(INDEX($C40:$AG40,DAY(TODAY()))&gt;0,INDEX($C40:$AG40,DAY(TODAY())),IF(DAY(TODAY())=1,IFERROR(INDEX(Jan!$C$40:$AG$40,DAY(EOMONTH(DATE(Habits!$C$4,1,1),0))),0),INDEX($C40:$AG40,DAY(TODAY())-1))),IF(DATE(Habits!$C$4,2,1)&gt;TODAY(),"",INDEX($C40:$AG40,DAY(EOMONTH(DATE(Habits!$C$4,2,1),0))))))</f>
        <v/>
      </c>
      <c r="AK7" s="13">
        <f>IF(B7="","",MAX($C40:$AG40))</f>
        <v/>
      </c>
      <c r="AL7" s="1" t="n"/>
    </row>
    <row r="8">
      <c r="A8" s="1" t="n"/>
      <c r="B8" s="32">
        <f>IF(Habits!B9="","",Habits!B9)</f>
        <v/>
      </c>
      <c r="C8" s="33" t="n"/>
      <c r="D8" s="33" t="n"/>
      <c r="E8" s="33" t="n"/>
      <c r="F8" s="33" t="inlineStr">
        <is>
          <t>x</t>
        </is>
      </c>
      <c r="G8" s="33" t="inlineStr">
        <is>
          <t>x</t>
        </is>
      </c>
      <c r="H8" s="33" t="n"/>
      <c r="I8" s="33" t="n"/>
      <c r="J8" s="33" t="inlineStr">
        <is>
          <t>x</t>
        </is>
      </c>
      <c r="K8" s="33" t="inlineStr">
        <is>
          <t>x</t>
        </is>
      </c>
      <c r="L8" s="33" t="inlineStr">
        <is>
          <t>x</t>
        </is>
      </c>
      <c r="M8" s="33" t="n"/>
      <c r="N8" s="33" t="inlineStr">
        <is>
          <t>x</t>
        </is>
      </c>
      <c r="O8" s="33" t="inlineStr">
        <is>
          <t>x</t>
        </is>
      </c>
      <c r="P8" s="33" t="inlineStr">
        <is>
          <t>x</t>
        </is>
      </c>
      <c r="Q8" s="33" t="n"/>
      <c r="R8" s="33" t="n"/>
      <c r="S8" s="33" t="n"/>
      <c r="T8" s="33" t="inlineStr">
        <is>
          <t>x</t>
        </is>
      </c>
      <c r="U8" s="33" t="inlineStr">
        <is>
          <t>x</t>
        </is>
      </c>
      <c r="V8" s="33" t="inlineStr">
        <is>
          <t>x</t>
        </is>
      </c>
      <c r="W8" s="33" t="inlineStr">
        <is>
          <t>x</t>
        </is>
      </c>
      <c r="X8" s="33" t="n"/>
      <c r="Y8" s="33" t="inlineStr">
        <is>
          <t>x</t>
        </is>
      </c>
      <c r="Z8" s="33" t="n"/>
      <c r="AA8" s="33" t="inlineStr">
        <is>
          <t>x</t>
        </is>
      </c>
      <c r="AB8" s="33" t="inlineStr">
        <is>
          <t>x</t>
        </is>
      </c>
      <c r="AC8" s="33" t="inlineStr">
        <is>
          <t>x</t>
        </is>
      </c>
      <c r="AD8" s="33" t="inlineStr">
        <is>
          <t>x</t>
        </is>
      </c>
      <c r="AE8" s="33" t="n"/>
      <c r="AF8" s="33" t="n"/>
      <c r="AG8" s="33" t="n"/>
      <c r="AH8" s="13">
        <f>IF(B8="","",COUNTIF($C41:$AG41,"&gt;0"))</f>
        <v/>
      </c>
      <c r="AI8" s="14">
        <f>IF(OR(B8="",IF(AND(Habits!$C$4=YEAR(TODAY()),2=MONTH(TODAY())),DAY(TODAY()),IF(DATE(Habits!$C$4,2,1)&gt;TODAY(),0,DAY(EOMONTH(DATE(Habits!$C$4,2,1),0))))=0),"",MIN(1,(COUNTIF($C41:$AG41,"&gt;0"))/IF(AND(Habits!$C$4=YEAR(TODAY()),2=MONTH(TODAY())),DAY(TODAY()),IF(DATE(Habits!$C$4,2,1)&gt;TODAY(),0,DAY(EOMONTH(DATE(Habits!$C$4,2,1),0))))))</f>
        <v/>
      </c>
      <c r="AJ8" s="16">
        <f>IF(B8="","",IF(AND(Habits!$C$4=YEAR(TODAY()),2=MONTH(TODAY())),IF(INDEX($C41:$AG41,DAY(TODAY()))&gt;0,INDEX($C41:$AG41,DAY(TODAY())),IF(DAY(TODAY())=1,IFERROR(INDEX(Jan!$C$41:$AG$41,DAY(EOMONTH(DATE(Habits!$C$4,1,1),0))),0),INDEX($C41:$AG41,DAY(TODAY())-1))),IF(DATE(Habits!$C$4,2,1)&gt;TODAY(),"",INDEX($C41:$AG41,DAY(EOMONTH(DATE(Habits!$C$4,2,1),0))))))</f>
        <v/>
      </c>
      <c r="AK8" s="13">
        <f>IF(B8="","",MAX($C41:$AG41))</f>
        <v/>
      </c>
      <c r="AL8" s="1" t="n"/>
    </row>
    <row r="9">
      <c r="A9" s="1" t="n"/>
      <c r="B9" s="32">
        <f>IF(Habits!B10="","",Habits!B10)</f>
        <v/>
      </c>
      <c r="C9" s="33" t="inlineStr">
        <is>
          <t>x</t>
        </is>
      </c>
      <c r="D9" s="33" t="inlineStr">
        <is>
          <t>x</t>
        </is>
      </c>
      <c r="E9" s="33" t="inlineStr">
        <is>
          <t>x</t>
        </is>
      </c>
      <c r="F9" s="33" t="inlineStr">
        <is>
          <t>x</t>
        </is>
      </c>
      <c r="G9" s="33" t="n"/>
      <c r="H9" s="33" t="inlineStr">
        <is>
          <t>x</t>
        </is>
      </c>
      <c r="I9" s="33" t="inlineStr">
        <is>
          <t>x</t>
        </is>
      </c>
      <c r="J9" s="33" t="n"/>
      <c r="K9" s="33" t="n"/>
      <c r="L9" s="33" t="inlineStr">
        <is>
          <t>x</t>
        </is>
      </c>
      <c r="M9" s="33" t="n"/>
      <c r="N9" s="33" t="n"/>
      <c r="O9" s="33" t="n"/>
      <c r="P9" s="33" t="inlineStr">
        <is>
          <t>x</t>
        </is>
      </c>
      <c r="Q9" s="33" t="inlineStr">
        <is>
          <t>x</t>
        </is>
      </c>
      <c r="R9" s="33" t="inlineStr">
        <is>
          <t>x</t>
        </is>
      </c>
      <c r="S9" s="33" t="inlineStr">
        <is>
          <t>x</t>
        </is>
      </c>
      <c r="T9" s="33" t="inlineStr">
        <is>
          <t>x</t>
        </is>
      </c>
      <c r="U9" s="33" t="n"/>
      <c r="V9" s="33" t="inlineStr">
        <is>
          <t>x</t>
        </is>
      </c>
      <c r="W9" s="33" t="inlineStr">
        <is>
          <t>x</t>
        </is>
      </c>
      <c r="X9" s="33" t="inlineStr">
        <is>
          <t>x</t>
        </is>
      </c>
      <c r="Y9" s="33" t="n"/>
      <c r="Z9" s="33" t="n"/>
      <c r="AA9" s="33" t="inlineStr">
        <is>
          <t>x</t>
        </is>
      </c>
      <c r="AB9" s="33" t="n"/>
      <c r="AC9" s="33" t="inlineStr">
        <is>
          <t>x</t>
        </is>
      </c>
      <c r="AD9" s="33" t="n"/>
      <c r="AE9" s="33" t="n"/>
      <c r="AF9" s="33" t="n"/>
      <c r="AG9" s="33" t="n"/>
      <c r="AH9" s="13">
        <f>IF(B9="","",COUNTIF($C42:$AG42,"&gt;0"))</f>
        <v/>
      </c>
      <c r="AI9" s="14">
        <f>IF(OR(B9="",IF(AND(Habits!$C$4=YEAR(TODAY()),2=MONTH(TODAY())),DAY(TODAY()),IF(DATE(Habits!$C$4,2,1)&gt;TODAY(),0,DAY(EOMONTH(DATE(Habits!$C$4,2,1),0))))=0),"",MIN(1,(COUNTIF($C42:$AG42,"&gt;0"))/IF(AND(Habits!$C$4=YEAR(TODAY()),2=MONTH(TODAY())),DAY(TODAY()),IF(DATE(Habits!$C$4,2,1)&gt;TODAY(),0,DAY(EOMONTH(DATE(Habits!$C$4,2,1),0))))))</f>
        <v/>
      </c>
      <c r="AJ9" s="16">
        <f>IF(B9="","",IF(AND(Habits!$C$4=YEAR(TODAY()),2=MONTH(TODAY())),IF(INDEX($C42:$AG42,DAY(TODAY()))&gt;0,INDEX($C42:$AG42,DAY(TODAY())),IF(DAY(TODAY())=1,IFERROR(INDEX(Jan!$C$42:$AG$42,DAY(EOMONTH(DATE(Habits!$C$4,1,1),0))),0),INDEX($C42:$AG42,DAY(TODAY())-1))),IF(DATE(Habits!$C$4,2,1)&gt;TODAY(),"",INDEX($C42:$AG42,DAY(EOMONTH(DATE(Habits!$C$4,2,1),0))))))</f>
        <v/>
      </c>
      <c r="AK9" s="13">
        <f>IF(B9="","",MAX($C42:$AG42))</f>
        <v/>
      </c>
      <c r="AL9" s="1" t="n"/>
    </row>
    <row r="10">
      <c r="A10" s="1" t="n"/>
      <c r="B10" s="32">
        <f>IF(Habits!B11="","",Habits!B11)</f>
        <v/>
      </c>
      <c r="C10" s="33" t="n"/>
      <c r="D10" s="33" t="n"/>
      <c r="E10" s="33" t="inlineStr">
        <is>
          <t>x</t>
        </is>
      </c>
      <c r="F10" s="33" t="inlineStr">
        <is>
          <t>x</t>
        </is>
      </c>
      <c r="G10" s="33" t="n"/>
      <c r="H10" s="33" t="inlineStr">
        <is>
          <t>x</t>
        </is>
      </c>
      <c r="I10" s="33" t="n"/>
      <c r="J10" s="33" t="inlineStr">
        <is>
          <t>x</t>
        </is>
      </c>
      <c r="K10" s="33" t="n"/>
      <c r="L10" s="33" t="n"/>
      <c r="M10" s="33" t="inlineStr">
        <is>
          <t>x</t>
        </is>
      </c>
      <c r="N10" s="33" t="inlineStr">
        <is>
          <t>x</t>
        </is>
      </c>
      <c r="O10" s="33" t="n"/>
      <c r="P10" s="33" t="n"/>
      <c r="Q10" s="33" t="n"/>
      <c r="R10" s="33" t="inlineStr">
        <is>
          <t>x</t>
        </is>
      </c>
      <c r="S10" s="33" t="inlineStr">
        <is>
          <t>x</t>
        </is>
      </c>
      <c r="T10" s="33" t="n"/>
      <c r="U10" s="33" t="inlineStr">
        <is>
          <t>x</t>
        </is>
      </c>
      <c r="V10" s="33" t="n"/>
      <c r="W10" s="33" t="n"/>
      <c r="X10" s="33" t="n"/>
      <c r="Y10" s="33" t="n"/>
      <c r="Z10" s="33" t="inlineStr">
        <is>
          <t>x</t>
        </is>
      </c>
      <c r="AA10" s="33" t="n"/>
      <c r="AB10" s="33" t="n"/>
      <c r="AC10" s="33" t="n"/>
      <c r="AD10" s="33" t="inlineStr">
        <is>
          <t>x</t>
        </is>
      </c>
      <c r="AE10" s="33" t="n"/>
      <c r="AF10" s="33" t="n"/>
      <c r="AG10" s="33" t="n"/>
      <c r="AH10" s="13">
        <f>IF(B10="","",COUNTIF($C43:$AG43,"&gt;0"))</f>
        <v/>
      </c>
      <c r="AI10" s="14">
        <f>IF(OR(B10="",IF(AND(Habits!$C$4=YEAR(TODAY()),2=MONTH(TODAY())),DAY(TODAY()),IF(DATE(Habits!$C$4,2,1)&gt;TODAY(),0,DAY(EOMONTH(DATE(Habits!$C$4,2,1),0))))=0),"",MIN(1,(COUNTIF($C43:$AG43,"&gt;0"))/IF(AND(Habits!$C$4=YEAR(TODAY()),2=MONTH(TODAY())),DAY(TODAY()),IF(DATE(Habits!$C$4,2,1)&gt;TODAY(),0,DAY(EOMONTH(DATE(Habits!$C$4,2,1),0))))))</f>
        <v/>
      </c>
      <c r="AJ10" s="16">
        <f>IF(B10="","",IF(AND(Habits!$C$4=YEAR(TODAY()),2=MONTH(TODAY())),IF(INDEX($C43:$AG43,DAY(TODAY()))&gt;0,INDEX($C43:$AG43,DAY(TODAY())),IF(DAY(TODAY())=1,IFERROR(INDEX(Jan!$C$43:$AG$43,DAY(EOMONTH(DATE(Habits!$C$4,1,1),0))),0),INDEX($C43:$AG43,DAY(TODAY())-1))),IF(DATE(Habits!$C$4,2,1)&gt;TODAY(),"",INDEX($C43:$AG43,DAY(EOMONTH(DATE(Habits!$C$4,2,1),0))))))</f>
        <v/>
      </c>
      <c r="AK10" s="13">
        <f>IF(B10="","",MAX($C43:$AG43))</f>
        <v/>
      </c>
      <c r="AL10" s="1" t="n"/>
    </row>
    <row r="11">
      <c r="A11" s="1" t="n"/>
      <c r="B11" s="32">
        <f>IF(Habits!B12="","",Habits!B12)</f>
        <v/>
      </c>
      <c r="C11" s="33" t="inlineStr">
        <is>
          <t>x</t>
        </is>
      </c>
      <c r="D11" s="33" t="n"/>
      <c r="E11" s="33" t="n"/>
      <c r="F11" s="33" t="inlineStr">
        <is>
          <t>x</t>
        </is>
      </c>
      <c r="G11" s="33" t="n"/>
      <c r="H11" s="33" t="n"/>
      <c r="I11" s="33" t="n"/>
      <c r="J11" s="33" t="n"/>
      <c r="K11" s="33" t="n"/>
      <c r="L11" s="33" t="n"/>
      <c r="M11" s="33" t="n"/>
      <c r="N11" s="33" t="inlineStr">
        <is>
          <t>x</t>
        </is>
      </c>
      <c r="O11" s="33" t="inlineStr">
        <is>
          <t>x</t>
        </is>
      </c>
      <c r="P11" s="33" t="n"/>
      <c r="Q11" s="33" t="n"/>
      <c r="R11" s="33" t="n"/>
      <c r="S11" s="33" t="inlineStr">
        <is>
          <t>x</t>
        </is>
      </c>
      <c r="T11" s="33" t="inlineStr">
        <is>
          <t>x</t>
        </is>
      </c>
      <c r="U11" s="33" t="inlineStr">
        <is>
          <t>x</t>
        </is>
      </c>
      <c r="V11" s="33" t="n"/>
      <c r="W11" s="33" t="inlineStr">
        <is>
          <t>x</t>
        </is>
      </c>
      <c r="X11" s="33" t="n"/>
      <c r="Y11" s="33" t="inlineStr">
        <is>
          <t>x</t>
        </is>
      </c>
      <c r="Z11" s="33" t="inlineStr">
        <is>
          <t>x</t>
        </is>
      </c>
      <c r="AA11" s="33" t="inlineStr">
        <is>
          <t>x</t>
        </is>
      </c>
      <c r="AB11" s="33" t="n"/>
      <c r="AC11" s="33" t="inlineStr">
        <is>
          <t>x</t>
        </is>
      </c>
      <c r="AD11" s="33" t="inlineStr">
        <is>
          <t>x</t>
        </is>
      </c>
      <c r="AE11" s="33" t="n"/>
      <c r="AF11" s="33" t="n"/>
      <c r="AG11" s="33" t="n"/>
      <c r="AH11" s="13">
        <f>IF(B11="","",COUNTIF($C44:$AG44,"&gt;0"))</f>
        <v/>
      </c>
      <c r="AI11" s="14">
        <f>IF(OR(B11="",IF(AND(Habits!$C$4=YEAR(TODAY()),2=MONTH(TODAY())),DAY(TODAY()),IF(DATE(Habits!$C$4,2,1)&gt;TODAY(),0,DAY(EOMONTH(DATE(Habits!$C$4,2,1),0))))=0),"",MIN(1,(COUNTIF($C44:$AG44,"&gt;0"))/IF(AND(Habits!$C$4=YEAR(TODAY()),2=MONTH(TODAY())),DAY(TODAY()),IF(DATE(Habits!$C$4,2,1)&gt;TODAY(),0,DAY(EOMONTH(DATE(Habits!$C$4,2,1),0))))))</f>
        <v/>
      </c>
      <c r="AJ11" s="16">
        <f>IF(B11="","",IF(AND(Habits!$C$4=YEAR(TODAY()),2=MONTH(TODAY())),IF(INDEX($C44:$AG44,DAY(TODAY()))&gt;0,INDEX($C44:$AG44,DAY(TODAY())),IF(DAY(TODAY())=1,IFERROR(INDEX(Jan!$C$44:$AG$44,DAY(EOMONTH(DATE(Habits!$C$4,1,1),0))),0),INDEX($C44:$AG44,DAY(TODAY())-1))),IF(DATE(Habits!$C$4,2,1)&gt;TODAY(),"",INDEX($C44:$AG44,DAY(EOMONTH(DATE(Habits!$C$4,2,1),0))))))</f>
        <v/>
      </c>
      <c r="AK11" s="13">
        <f>IF(B11="","",MAX($C44:$AG44))</f>
        <v/>
      </c>
      <c r="AL11" s="1" t="n"/>
    </row>
    <row r="12">
      <c r="A12" s="1" t="n"/>
      <c r="B12" s="32">
        <f>IF(Habits!B13="","",Habits!B13)</f>
        <v/>
      </c>
      <c r="C12" s="33" t="n"/>
      <c r="D12" s="33" t="n"/>
      <c r="E12" s="33" t="n"/>
      <c r="F12" s="33" t="n"/>
      <c r="G12" s="33" t="inlineStr">
        <is>
          <t>x</t>
        </is>
      </c>
      <c r="H12" s="33" t="inlineStr">
        <is>
          <t>x</t>
        </is>
      </c>
      <c r="I12" s="33" t="n"/>
      <c r="J12" s="33" t="inlineStr">
        <is>
          <t>x</t>
        </is>
      </c>
      <c r="K12" s="33" t="inlineStr">
        <is>
          <t>x</t>
        </is>
      </c>
      <c r="L12" s="33" t="n"/>
      <c r="M12" s="33" t="inlineStr">
        <is>
          <t>x</t>
        </is>
      </c>
      <c r="N12" s="33" t="n"/>
      <c r="O12" s="33" t="n"/>
      <c r="P12" s="33" t="n"/>
      <c r="Q12" s="33" t="n"/>
      <c r="R12" s="33" t="n"/>
      <c r="S12" s="33" t="inlineStr">
        <is>
          <t>x</t>
        </is>
      </c>
      <c r="T12" s="33" t="n"/>
      <c r="U12" s="33" t="n"/>
      <c r="V12" s="33" t="n"/>
      <c r="W12" s="33" t="inlineStr">
        <is>
          <t>x</t>
        </is>
      </c>
      <c r="X12" s="33" t="n"/>
      <c r="Y12" s="33" t="n"/>
      <c r="Z12" s="33" t="n"/>
      <c r="AA12" s="33" t="inlineStr">
        <is>
          <t>x</t>
        </is>
      </c>
      <c r="AB12" s="33" t="inlineStr">
        <is>
          <t>x</t>
        </is>
      </c>
      <c r="AC12" s="33" t="n"/>
      <c r="AD12" s="33" t="n"/>
      <c r="AE12" s="33" t="n"/>
      <c r="AF12" s="33" t="n"/>
      <c r="AG12" s="33" t="n"/>
      <c r="AH12" s="13">
        <f>IF(B12="","",COUNTIF($C45:$AG45,"&gt;0"))</f>
        <v/>
      </c>
      <c r="AI12" s="14">
        <f>IF(OR(B12="",IF(AND(Habits!$C$4=YEAR(TODAY()),2=MONTH(TODAY())),DAY(TODAY()),IF(DATE(Habits!$C$4,2,1)&gt;TODAY(),0,DAY(EOMONTH(DATE(Habits!$C$4,2,1),0))))=0),"",MIN(1,(COUNTIF($C45:$AG45,"&gt;0"))/IF(AND(Habits!$C$4=YEAR(TODAY()),2=MONTH(TODAY())),DAY(TODAY()),IF(DATE(Habits!$C$4,2,1)&gt;TODAY(),0,DAY(EOMONTH(DATE(Habits!$C$4,2,1),0))))))</f>
        <v/>
      </c>
      <c r="AJ12" s="16">
        <f>IF(B12="","",IF(AND(Habits!$C$4=YEAR(TODAY()),2=MONTH(TODAY())),IF(INDEX($C45:$AG45,DAY(TODAY()))&gt;0,INDEX($C45:$AG45,DAY(TODAY())),IF(DAY(TODAY())=1,IFERROR(INDEX(Jan!$C$45:$AG$45,DAY(EOMONTH(DATE(Habits!$C$4,1,1),0))),0),INDEX($C45:$AG45,DAY(TODAY())-1))),IF(DATE(Habits!$C$4,2,1)&gt;TODAY(),"",INDEX($C45:$AG45,DAY(EOMONTH(DATE(Habits!$C$4,2,1),0))))))</f>
        <v/>
      </c>
      <c r="AK12" s="13">
        <f>IF(B12="","",MAX($C45:$AG45))</f>
        <v/>
      </c>
      <c r="AL12" s="1" t="n"/>
    </row>
    <row r="13">
      <c r="A13" s="1" t="n"/>
      <c r="B13" s="32">
        <f>IF(Habits!B14="","",Habits!B14)</f>
        <v/>
      </c>
      <c r="C13" s="33" t="inlineStr">
        <is>
          <t>x</t>
        </is>
      </c>
      <c r="D13" s="33" t="inlineStr">
        <is>
          <t>x</t>
        </is>
      </c>
      <c r="E13" s="33" t="inlineStr">
        <is>
          <t>x</t>
        </is>
      </c>
      <c r="F13" s="33" t="n"/>
      <c r="G13" s="33" t="inlineStr">
        <is>
          <t>x</t>
        </is>
      </c>
      <c r="H13" s="33" t="inlineStr">
        <is>
          <t>x</t>
        </is>
      </c>
      <c r="I13" s="33" t="inlineStr">
        <is>
          <t>x</t>
        </is>
      </c>
      <c r="J13" s="33" t="inlineStr">
        <is>
          <t>x</t>
        </is>
      </c>
      <c r="K13" s="33" t="n"/>
      <c r="L13" s="33" t="inlineStr">
        <is>
          <t>x</t>
        </is>
      </c>
      <c r="M13" s="33" t="inlineStr">
        <is>
          <t>x</t>
        </is>
      </c>
      <c r="N13" s="33" t="inlineStr">
        <is>
          <t>x</t>
        </is>
      </c>
      <c r="O13" s="33" t="inlineStr">
        <is>
          <t>x</t>
        </is>
      </c>
      <c r="P13" s="33" t="inlineStr">
        <is>
          <t>x</t>
        </is>
      </c>
      <c r="Q13" s="33" t="inlineStr">
        <is>
          <t>x</t>
        </is>
      </c>
      <c r="R13" s="33" t="inlineStr">
        <is>
          <t>x</t>
        </is>
      </c>
      <c r="S13" s="33" t="inlineStr">
        <is>
          <t>x</t>
        </is>
      </c>
      <c r="T13" s="33" t="inlineStr">
        <is>
          <t>x</t>
        </is>
      </c>
      <c r="U13" s="33" t="inlineStr">
        <is>
          <t>x</t>
        </is>
      </c>
      <c r="V13" s="33" t="inlineStr">
        <is>
          <t>x</t>
        </is>
      </c>
      <c r="W13" s="33" t="inlineStr">
        <is>
          <t>x</t>
        </is>
      </c>
      <c r="X13" s="33" t="inlineStr">
        <is>
          <t>x</t>
        </is>
      </c>
      <c r="Y13" s="33" t="inlineStr">
        <is>
          <t>x</t>
        </is>
      </c>
      <c r="Z13" s="33" t="inlineStr">
        <is>
          <t>x</t>
        </is>
      </c>
      <c r="AA13" s="33" t="inlineStr">
        <is>
          <t>x</t>
        </is>
      </c>
      <c r="AB13" s="33" t="inlineStr">
        <is>
          <t>x</t>
        </is>
      </c>
      <c r="AC13" s="33" t="inlineStr">
        <is>
          <t>x</t>
        </is>
      </c>
      <c r="AD13" s="33" t="inlineStr">
        <is>
          <t>x</t>
        </is>
      </c>
      <c r="AE13" s="33" t="n"/>
      <c r="AF13" s="33" t="n"/>
      <c r="AG13" s="33" t="n"/>
      <c r="AH13" s="13">
        <f>IF(B13="","",COUNTIF($C46:$AG46,"&gt;0"))</f>
        <v/>
      </c>
      <c r="AI13" s="14">
        <f>IF(OR(B13="",IF(AND(Habits!$C$4=YEAR(TODAY()),2=MONTH(TODAY())),DAY(TODAY()),IF(DATE(Habits!$C$4,2,1)&gt;TODAY(),0,DAY(EOMONTH(DATE(Habits!$C$4,2,1),0))))=0),"",MIN(1,(COUNTIF($C46:$AG46,"&gt;0"))/IF(AND(Habits!$C$4=YEAR(TODAY()),2=MONTH(TODAY())),DAY(TODAY()),IF(DATE(Habits!$C$4,2,1)&gt;TODAY(),0,DAY(EOMONTH(DATE(Habits!$C$4,2,1),0))))))</f>
        <v/>
      </c>
      <c r="AJ13" s="16">
        <f>IF(B13="","",IF(AND(Habits!$C$4=YEAR(TODAY()),2=MONTH(TODAY())),IF(INDEX($C46:$AG46,DAY(TODAY()))&gt;0,INDEX($C46:$AG46,DAY(TODAY())),IF(DAY(TODAY())=1,IFERROR(INDEX(Jan!$C$46:$AG$46,DAY(EOMONTH(DATE(Habits!$C$4,1,1),0))),0),INDEX($C46:$AG46,DAY(TODAY())-1))),IF(DATE(Habits!$C$4,2,1)&gt;TODAY(),"",INDEX($C46:$AG46,DAY(EOMONTH(DATE(Habits!$C$4,2,1),0))))))</f>
        <v/>
      </c>
      <c r="AK13" s="13">
        <f>IF(B13="","",MAX($C46:$AG46))</f>
        <v/>
      </c>
      <c r="AL13" s="1" t="n"/>
    </row>
    <row r="14">
      <c r="A14" s="1" t="n"/>
      <c r="B14" s="32">
        <f>IF(Habits!B15="","",Habits!B15)</f>
        <v/>
      </c>
      <c r="C14" s="33" t="inlineStr">
        <is>
          <t>x</t>
        </is>
      </c>
      <c r="D14" s="33" t="n"/>
      <c r="E14" s="33" t="n"/>
      <c r="F14" s="33" t="inlineStr">
        <is>
          <t>x</t>
        </is>
      </c>
      <c r="G14" s="33" t="n"/>
      <c r="H14" s="33" t="inlineStr">
        <is>
          <t>x</t>
        </is>
      </c>
      <c r="I14" s="33" t="n"/>
      <c r="J14" s="33" t="n"/>
      <c r="K14" s="33" t="inlineStr">
        <is>
          <t>x</t>
        </is>
      </c>
      <c r="L14" s="33" t="inlineStr">
        <is>
          <t>x</t>
        </is>
      </c>
      <c r="M14" s="33" t="inlineStr">
        <is>
          <t>x</t>
        </is>
      </c>
      <c r="N14" s="33" t="inlineStr">
        <is>
          <t>x</t>
        </is>
      </c>
      <c r="O14" s="33" t="inlineStr">
        <is>
          <t>x</t>
        </is>
      </c>
      <c r="P14" s="33" t="inlineStr">
        <is>
          <t>x</t>
        </is>
      </c>
      <c r="Q14" s="33" t="inlineStr">
        <is>
          <t>x</t>
        </is>
      </c>
      <c r="R14" s="33" t="n"/>
      <c r="S14" s="33" t="n"/>
      <c r="T14" s="33" t="n"/>
      <c r="U14" s="33" t="n"/>
      <c r="V14" s="33" t="inlineStr">
        <is>
          <t>x</t>
        </is>
      </c>
      <c r="W14" s="33" t="inlineStr">
        <is>
          <t>x</t>
        </is>
      </c>
      <c r="X14" s="33" t="n"/>
      <c r="Y14" s="33" t="inlineStr">
        <is>
          <t>x</t>
        </is>
      </c>
      <c r="Z14" s="33" t="inlineStr">
        <is>
          <t>x</t>
        </is>
      </c>
      <c r="AA14" s="33" t="inlineStr">
        <is>
          <t>x</t>
        </is>
      </c>
      <c r="AB14" s="33" t="n"/>
      <c r="AC14" s="33" t="inlineStr">
        <is>
          <t>x</t>
        </is>
      </c>
      <c r="AD14" s="33" t="inlineStr">
        <is>
          <t>x</t>
        </is>
      </c>
      <c r="AE14" s="33" t="n"/>
      <c r="AF14" s="33" t="n"/>
      <c r="AG14" s="33" t="n"/>
      <c r="AH14" s="13">
        <f>IF(B14="","",COUNTIF($C47:$AG47,"&gt;0"))</f>
        <v/>
      </c>
      <c r="AI14" s="14">
        <f>IF(OR(B14="",IF(AND(Habits!$C$4=YEAR(TODAY()),2=MONTH(TODAY())),DAY(TODAY()),IF(DATE(Habits!$C$4,2,1)&gt;TODAY(),0,DAY(EOMONTH(DATE(Habits!$C$4,2,1),0))))=0),"",MIN(1,(COUNTIF($C47:$AG47,"&gt;0"))/IF(AND(Habits!$C$4=YEAR(TODAY()),2=MONTH(TODAY())),DAY(TODAY()),IF(DATE(Habits!$C$4,2,1)&gt;TODAY(),0,DAY(EOMONTH(DATE(Habits!$C$4,2,1),0))))))</f>
        <v/>
      </c>
      <c r="AJ14" s="16">
        <f>IF(B14="","",IF(AND(Habits!$C$4=YEAR(TODAY()),2=MONTH(TODAY())),IF(INDEX($C47:$AG47,DAY(TODAY()))&gt;0,INDEX($C47:$AG47,DAY(TODAY())),IF(DAY(TODAY())=1,IFERROR(INDEX(Jan!$C$47:$AG$47,DAY(EOMONTH(DATE(Habits!$C$4,1,1),0))),0),INDEX($C47:$AG47,DAY(TODAY())-1))),IF(DATE(Habits!$C$4,2,1)&gt;TODAY(),"",INDEX($C47:$AG47,DAY(EOMONTH(DATE(Habits!$C$4,2,1),0))))))</f>
        <v/>
      </c>
      <c r="AK14" s="13">
        <f>IF(B14="","",MAX($C47:$AG47))</f>
        <v/>
      </c>
      <c r="AL14" s="1" t="n"/>
    </row>
    <row r="15">
      <c r="A15" s="1" t="n"/>
      <c r="B15" s="32">
        <f>IF(Habits!B16="","",Habits!B16)</f>
        <v/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13">
        <f>IF(B15="","",COUNTIF($C48:$AG48,"&gt;0"))</f>
        <v/>
      </c>
      <c r="AI15" s="14">
        <f>IF(OR(B15="",IF(AND(Habits!$C$4=YEAR(TODAY()),2=MONTH(TODAY())),DAY(TODAY()),IF(DATE(Habits!$C$4,2,1)&gt;TODAY(),0,DAY(EOMONTH(DATE(Habits!$C$4,2,1),0))))=0),"",MIN(1,(COUNTIF($C48:$AG48,"&gt;0"))/IF(AND(Habits!$C$4=YEAR(TODAY()),2=MONTH(TODAY())),DAY(TODAY()),IF(DATE(Habits!$C$4,2,1)&gt;TODAY(),0,DAY(EOMONTH(DATE(Habits!$C$4,2,1),0))))))</f>
        <v/>
      </c>
      <c r="AJ15" s="16">
        <f>IF(B15="","",IF(AND(Habits!$C$4=YEAR(TODAY()),2=MONTH(TODAY())),IF(INDEX($C48:$AG48,DAY(TODAY()))&gt;0,INDEX($C48:$AG48,DAY(TODAY())),IF(DAY(TODAY())=1,IFERROR(INDEX(Jan!$C$48:$AG$48,DAY(EOMONTH(DATE(Habits!$C$4,1,1),0))),0),INDEX($C48:$AG48,DAY(TODAY())-1))),IF(DATE(Habits!$C$4,2,1)&gt;TODAY(),"",INDEX($C48:$AG48,DAY(EOMONTH(DATE(Habits!$C$4,2,1),0))))))</f>
        <v/>
      </c>
      <c r="AK15" s="13">
        <f>IF(B15="","",MAX($C48:$AG48))</f>
        <v/>
      </c>
      <c r="AL15" s="1" t="n"/>
    </row>
    <row r="16">
      <c r="A16" s="1" t="n"/>
      <c r="B16" s="32">
        <f>IF(Habits!B17="","",Habits!B17)</f>
        <v/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13">
        <f>IF(B16="","",COUNTIF($C49:$AG49,"&gt;0"))</f>
        <v/>
      </c>
      <c r="AI16" s="14">
        <f>IF(OR(B16="",IF(AND(Habits!$C$4=YEAR(TODAY()),2=MONTH(TODAY())),DAY(TODAY()),IF(DATE(Habits!$C$4,2,1)&gt;TODAY(),0,DAY(EOMONTH(DATE(Habits!$C$4,2,1),0))))=0),"",MIN(1,(COUNTIF($C49:$AG49,"&gt;0"))/IF(AND(Habits!$C$4=YEAR(TODAY()),2=MONTH(TODAY())),DAY(TODAY()),IF(DATE(Habits!$C$4,2,1)&gt;TODAY(),0,DAY(EOMONTH(DATE(Habits!$C$4,2,1),0))))))</f>
        <v/>
      </c>
      <c r="AJ16" s="16">
        <f>IF(B16="","",IF(AND(Habits!$C$4=YEAR(TODAY()),2=MONTH(TODAY())),IF(INDEX($C49:$AG49,DAY(TODAY()))&gt;0,INDEX($C49:$AG49,DAY(TODAY())),IF(DAY(TODAY())=1,IFERROR(INDEX(Jan!$C$49:$AG$49,DAY(EOMONTH(DATE(Habits!$C$4,1,1),0))),0),INDEX($C49:$AG49,DAY(TODAY())-1))),IF(DATE(Habits!$C$4,2,1)&gt;TODAY(),"",INDEX($C49:$AG49,DAY(EOMONTH(DATE(Habits!$C$4,2,1),0))))))</f>
        <v/>
      </c>
      <c r="AK16" s="13">
        <f>IF(B16="","",MAX($C49:$AG49))</f>
        <v/>
      </c>
      <c r="AL16" s="1" t="n"/>
    </row>
    <row r="17">
      <c r="A17" s="1" t="n"/>
      <c r="B17" s="32">
        <f>IF(Habits!B18="","",Habits!B18)</f>
        <v/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13">
        <f>IF(B17="","",COUNTIF($C50:$AG50,"&gt;0"))</f>
        <v/>
      </c>
      <c r="AI17" s="14">
        <f>IF(OR(B17="",IF(AND(Habits!$C$4=YEAR(TODAY()),2=MONTH(TODAY())),DAY(TODAY()),IF(DATE(Habits!$C$4,2,1)&gt;TODAY(),0,DAY(EOMONTH(DATE(Habits!$C$4,2,1),0))))=0),"",MIN(1,(COUNTIF($C50:$AG50,"&gt;0"))/IF(AND(Habits!$C$4=YEAR(TODAY()),2=MONTH(TODAY())),DAY(TODAY()),IF(DATE(Habits!$C$4,2,1)&gt;TODAY(),0,DAY(EOMONTH(DATE(Habits!$C$4,2,1),0))))))</f>
        <v/>
      </c>
      <c r="AJ17" s="16">
        <f>IF(B17="","",IF(AND(Habits!$C$4=YEAR(TODAY()),2=MONTH(TODAY())),IF(INDEX($C50:$AG50,DAY(TODAY()))&gt;0,INDEX($C50:$AG50,DAY(TODAY())),IF(DAY(TODAY())=1,IFERROR(INDEX(Jan!$C$50:$AG$50,DAY(EOMONTH(DATE(Habits!$C$4,1,1),0))),0),INDEX($C50:$AG50,DAY(TODAY())-1))),IF(DATE(Habits!$C$4,2,1)&gt;TODAY(),"",INDEX($C50:$AG50,DAY(EOMONTH(DATE(Habits!$C$4,2,1),0))))))</f>
        <v/>
      </c>
      <c r="AK17" s="13">
        <f>IF(B17="","",MAX($C50:$AG50))</f>
        <v/>
      </c>
      <c r="AL17" s="1" t="n"/>
    </row>
    <row r="18">
      <c r="A18" s="1" t="n"/>
      <c r="B18" s="32">
        <f>IF(Habits!B19="","",Habits!B19)</f>
        <v/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13">
        <f>IF(B18="","",COUNTIF($C51:$AG51,"&gt;0"))</f>
        <v/>
      </c>
      <c r="AI18" s="14">
        <f>IF(OR(B18="",IF(AND(Habits!$C$4=YEAR(TODAY()),2=MONTH(TODAY())),DAY(TODAY()),IF(DATE(Habits!$C$4,2,1)&gt;TODAY(),0,DAY(EOMONTH(DATE(Habits!$C$4,2,1),0))))=0),"",MIN(1,(COUNTIF($C51:$AG51,"&gt;0"))/IF(AND(Habits!$C$4=YEAR(TODAY()),2=MONTH(TODAY())),DAY(TODAY()),IF(DATE(Habits!$C$4,2,1)&gt;TODAY(),0,DAY(EOMONTH(DATE(Habits!$C$4,2,1),0))))))</f>
        <v/>
      </c>
      <c r="AJ18" s="16">
        <f>IF(B18="","",IF(AND(Habits!$C$4=YEAR(TODAY()),2=MONTH(TODAY())),IF(INDEX($C51:$AG51,DAY(TODAY()))&gt;0,INDEX($C51:$AG51,DAY(TODAY())),IF(DAY(TODAY())=1,IFERROR(INDEX(Jan!$C$51:$AG$51,DAY(EOMONTH(DATE(Habits!$C$4,1,1),0))),0),INDEX($C51:$AG51,DAY(TODAY())-1))),IF(DATE(Habits!$C$4,2,1)&gt;TODAY(),"",INDEX($C51:$AG51,DAY(EOMONTH(DATE(Habits!$C$4,2,1),0))))))</f>
        <v/>
      </c>
      <c r="AK18" s="13">
        <f>IF(B18="","",MAX($C51:$AG51))</f>
        <v/>
      </c>
      <c r="AL18" s="1" t="n"/>
    </row>
    <row r="19">
      <c r="A19" s="1" t="n"/>
      <c r="B19" s="32">
        <f>IF(Habits!B20="","",Habits!B20)</f>
        <v/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13">
        <f>IF(B19="","",COUNTIF($C52:$AG52,"&gt;0"))</f>
        <v/>
      </c>
      <c r="AI19" s="14">
        <f>IF(OR(B19="",IF(AND(Habits!$C$4=YEAR(TODAY()),2=MONTH(TODAY())),DAY(TODAY()),IF(DATE(Habits!$C$4,2,1)&gt;TODAY(),0,DAY(EOMONTH(DATE(Habits!$C$4,2,1),0))))=0),"",MIN(1,(COUNTIF($C52:$AG52,"&gt;0"))/IF(AND(Habits!$C$4=YEAR(TODAY()),2=MONTH(TODAY())),DAY(TODAY()),IF(DATE(Habits!$C$4,2,1)&gt;TODAY(),0,DAY(EOMONTH(DATE(Habits!$C$4,2,1),0))))))</f>
        <v/>
      </c>
      <c r="AJ19" s="16">
        <f>IF(B19="","",IF(AND(Habits!$C$4=YEAR(TODAY()),2=MONTH(TODAY())),IF(INDEX($C52:$AG52,DAY(TODAY()))&gt;0,INDEX($C52:$AG52,DAY(TODAY())),IF(DAY(TODAY())=1,IFERROR(INDEX(Jan!$C$52:$AG$52,DAY(EOMONTH(DATE(Habits!$C$4,1,1),0))),0),INDEX($C52:$AG52,DAY(TODAY())-1))),IF(DATE(Habits!$C$4,2,1)&gt;TODAY(),"",INDEX($C52:$AG52,DAY(EOMONTH(DATE(Habits!$C$4,2,1),0))))))</f>
        <v/>
      </c>
      <c r="AK19" s="13">
        <f>IF(B19="","",MAX($C52:$AG52))</f>
        <v/>
      </c>
      <c r="AL19" s="1" t="n"/>
    </row>
    <row r="20">
      <c r="A20" s="1" t="n"/>
      <c r="B20" s="32">
        <f>IF(Habits!B21="","",Habits!B21)</f>
        <v/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13">
        <f>IF(B20="","",COUNTIF($C53:$AG53,"&gt;0"))</f>
        <v/>
      </c>
      <c r="AI20" s="14">
        <f>IF(OR(B20="",IF(AND(Habits!$C$4=YEAR(TODAY()),2=MONTH(TODAY())),DAY(TODAY()),IF(DATE(Habits!$C$4,2,1)&gt;TODAY(),0,DAY(EOMONTH(DATE(Habits!$C$4,2,1),0))))=0),"",MIN(1,(COUNTIF($C53:$AG53,"&gt;0"))/IF(AND(Habits!$C$4=YEAR(TODAY()),2=MONTH(TODAY())),DAY(TODAY()),IF(DATE(Habits!$C$4,2,1)&gt;TODAY(),0,DAY(EOMONTH(DATE(Habits!$C$4,2,1),0))))))</f>
        <v/>
      </c>
      <c r="AJ20" s="16">
        <f>IF(B20="","",IF(AND(Habits!$C$4=YEAR(TODAY()),2=MONTH(TODAY())),IF(INDEX($C53:$AG53,DAY(TODAY()))&gt;0,INDEX($C53:$AG53,DAY(TODAY())),IF(DAY(TODAY())=1,IFERROR(INDEX(Jan!$C$53:$AG$53,DAY(EOMONTH(DATE(Habits!$C$4,1,1),0))),0),INDEX($C53:$AG53,DAY(TODAY())-1))),IF(DATE(Habits!$C$4,2,1)&gt;TODAY(),"",INDEX($C53:$AG53,DAY(EOMONTH(DATE(Habits!$C$4,2,1),0))))))</f>
        <v/>
      </c>
      <c r="AK20" s="13">
        <f>IF(B20="","",MAX($C53:$AG53))</f>
        <v/>
      </c>
      <c r="AL20" s="1" t="n"/>
    </row>
    <row r="21">
      <c r="A21" s="1" t="n"/>
      <c r="B21" s="32">
        <f>IF(Habits!B22="","",Habits!B22)</f>
        <v/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13">
        <f>IF(B21="","",COUNTIF($C54:$AG54,"&gt;0"))</f>
        <v/>
      </c>
      <c r="AI21" s="14">
        <f>IF(OR(B21="",IF(AND(Habits!$C$4=YEAR(TODAY()),2=MONTH(TODAY())),DAY(TODAY()),IF(DATE(Habits!$C$4,2,1)&gt;TODAY(),0,DAY(EOMONTH(DATE(Habits!$C$4,2,1),0))))=0),"",MIN(1,(COUNTIF($C54:$AG54,"&gt;0"))/IF(AND(Habits!$C$4=YEAR(TODAY()),2=MONTH(TODAY())),DAY(TODAY()),IF(DATE(Habits!$C$4,2,1)&gt;TODAY(),0,DAY(EOMONTH(DATE(Habits!$C$4,2,1),0))))))</f>
        <v/>
      </c>
      <c r="AJ21" s="16">
        <f>IF(B21="","",IF(AND(Habits!$C$4=YEAR(TODAY()),2=MONTH(TODAY())),IF(INDEX($C54:$AG54,DAY(TODAY()))&gt;0,INDEX($C54:$AG54,DAY(TODAY())),IF(DAY(TODAY())=1,IFERROR(INDEX(Jan!$C$54:$AG$54,DAY(EOMONTH(DATE(Habits!$C$4,1,1),0))),0),INDEX($C54:$AG54,DAY(TODAY())-1))),IF(DATE(Habits!$C$4,2,1)&gt;TODAY(),"",INDEX($C54:$AG54,DAY(EOMONTH(DATE(Habits!$C$4,2,1),0))))))</f>
        <v/>
      </c>
      <c r="AK21" s="13">
        <f>IF(B21="","",MAX($C54:$AG54))</f>
        <v/>
      </c>
      <c r="A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>
      <c r="A23" s="1" t="n"/>
      <c r="B23" s="12" t="inlineStr">
        <is>
          <t>Mood (1 to 5)</t>
        </is>
      </c>
      <c r="C23" s="34" t="n">
        <v>3</v>
      </c>
      <c r="D23" s="34" t="n">
        <v>5</v>
      </c>
      <c r="E23" s="34" t="n">
        <v>5</v>
      </c>
      <c r="F23" s="34" t="n">
        <v>5</v>
      </c>
      <c r="G23" s="34" t="n">
        <v>3</v>
      </c>
      <c r="H23" s="34" t="n">
        <v>4</v>
      </c>
      <c r="I23" s="34" t="n">
        <v>5</v>
      </c>
      <c r="J23" s="34" t="n">
        <v>4</v>
      </c>
      <c r="K23" s="34" t="n">
        <v>5</v>
      </c>
      <c r="L23" s="34" t="n">
        <v>3</v>
      </c>
      <c r="M23" s="34" t="n">
        <v>2</v>
      </c>
      <c r="N23" s="34" t="n">
        <v>4</v>
      </c>
      <c r="O23" s="34" t="n">
        <v>4</v>
      </c>
      <c r="P23" s="34" t="n">
        <v>4</v>
      </c>
      <c r="Q23" s="34" t="n">
        <v>3</v>
      </c>
      <c r="R23" s="34" t="n">
        <v>4</v>
      </c>
      <c r="S23" s="34" t="n">
        <v>4</v>
      </c>
      <c r="T23" s="34" t="n">
        <v>4</v>
      </c>
      <c r="U23" s="34" t="n">
        <v>4</v>
      </c>
      <c r="V23" s="34" t="n">
        <v>4</v>
      </c>
      <c r="W23" s="34" t="n">
        <v>4</v>
      </c>
      <c r="X23" s="34" t="n">
        <v>2</v>
      </c>
      <c r="Y23" s="34" t="n">
        <v>4</v>
      </c>
      <c r="Z23" s="34" t="n">
        <v>2</v>
      </c>
      <c r="AA23" s="34" t="n">
        <v>5</v>
      </c>
      <c r="AB23" s="34" t="n">
        <v>5</v>
      </c>
      <c r="AC23" s="34" t="n">
        <v>4</v>
      </c>
      <c r="AD23" s="34" t="n">
        <v>5</v>
      </c>
      <c r="AE23" s="34" t="n"/>
      <c r="AF23" s="34" t="n"/>
      <c r="AG23" s="34" t="n"/>
      <c r="AH23" s="35">
        <f>IFERROR(AVERAGE(C23:AG23),"")</f>
        <v/>
      </c>
      <c r="AI23" s="11" t="n"/>
      <c r="AJ23" s="36" t="inlineStr">
        <is>
          <t>average</t>
        </is>
      </c>
      <c r="AK23" s="1" t="n"/>
      <c r="AL23" s="1" t="n"/>
    </row>
    <row r="24">
      <c r="A24" s="1" t="n"/>
      <c r="B24" s="12" t="inlineStr">
        <is>
          <t>Sleep (hours)</t>
        </is>
      </c>
      <c r="C24" s="34" t="n">
        <v>7.5</v>
      </c>
      <c r="D24" s="34" t="n">
        <v>6</v>
      </c>
      <c r="E24" s="34" t="n">
        <v>7.5</v>
      </c>
      <c r="F24" s="34" t="n">
        <v>7</v>
      </c>
      <c r="G24" s="34" t="n">
        <v>8.5</v>
      </c>
      <c r="H24" s="34" t="n">
        <v>7.5</v>
      </c>
      <c r="I24" s="34" t="n">
        <v>7</v>
      </c>
      <c r="J24" s="34" t="n">
        <v>8.5</v>
      </c>
      <c r="K24" s="34" t="n">
        <v>6</v>
      </c>
      <c r="L24" s="34" t="n">
        <v>7.5</v>
      </c>
      <c r="M24" s="34" t="n">
        <v>6</v>
      </c>
      <c r="N24" s="34" t="n">
        <v>8</v>
      </c>
      <c r="O24" s="34" t="n">
        <v>6.5</v>
      </c>
      <c r="P24" s="34" t="n">
        <v>7.5</v>
      </c>
      <c r="Q24" s="34" t="n">
        <v>7</v>
      </c>
      <c r="R24" s="34" t="n">
        <v>8</v>
      </c>
      <c r="S24" s="34" t="n">
        <v>8</v>
      </c>
      <c r="T24" s="34" t="n">
        <v>7.5</v>
      </c>
      <c r="U24" s="34" t="n">
        <v>6.5</v>
      </c>
      <c r="V24" s="34" t="n">
        <v>7</v>
      </c>
      <c r="W24" s="34" t="n">
        <v>8</v>
      </c>
      <c r="X24" s="34" t="n">
        <v>6.5</v>
      </c>
      <c r="Y24" s="34" t="n">
        <v>6</v>
      </c>
      <c r="Z24" s="34" t="n">
        <v>5.5</v>
      </c>
      <c r="AA24" s="34" t="n">
        <v>6.5</v>
      </c>
      <c r="AB24" s="34" t="n">
        <v>8</v>
      </c>
      <c r="AC24" s="34" t="n">
        <v>6.5</v>
      </c>
      <c r="AD24" s="34" t="n">
        <v>7.5</v>
      </c>
      <c r="AE24" s="34" t="n"/>
      <c r="AF24" s="34" t="n"/>
      <c r="AG24" s="34" t="n"/>
      <c r="AH24" s="35">
        <f>IFERROR(AVERAGE(C24:AG24),"")</f>
        <v/>
      </c>
      <c r="AI24" s="11" t="n"/>
      <c r="AJ24" s="36" t="inlineStr">
        <is>
          <t>average</t>
        </is>
      </c>
      <c r="AK24" s="1" t="n"/>
      <c r="A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idden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idden="1">
      <c r="A40" s="1" t="n"/>
      <c r="B40" s="1">
        <f>B7</f>
        <v/>
      </c>
      <c r="C40" s="1">
        <f>IF(C$5="",0,IF(OR(C7=TRUE,ISTEXT(C7)),IFERROR(INDEX(Jan!$C$40:$AG$40,DAY(EOMONTH(DATE(Habits!$C$4,1,1),0))),0)+1,0))</f>
        <v/>
      </c>
      <c r="D40" s="1">
        <f>IF(D$5="",0,IF(OR(D7=TRUE,ISTEXT(D7)),C40+1,0))</f>
        <v/>
      </c>
      <c r="E40" s="1">
        <f>IF(E$5="",0,IF(OR(E7=TRUE,ISTEXT(E7)),D40+1,0))</f>
        <v/>
      </c>
      <c r="F40" s="1">
        <f>IF(F$5="",0,IF(OR(F7=TRUE,ISTEXT(F7)),E40+1,0))</f>
        <v/>
      </c>
      <c r="G40" s="1">
        <f>IF(G$5="",0,IF(OR(G7=TRUE,ISTEXT(G7)),F40+1,0))</f>
        <v/>
      </c>
      <c r="H40" s="1">
        <f>IF(H$5="",0,IF(OR(H7=TRUE,ISTEXT(H7)),G40+1,0))</f>
        <v/>
      </c>
      <c r="I40" s="1">
        <f>IF(I$5="",0,IF(OR(I7=TRUE,ISTEXT(I7)),H40+1,0))</f>
        <v/>
      </c>
      <c r="J40" s="1">
        <f>IF(J$5="",0,IF(OR(J7=TRUE,ISTEXT(J7)),I40+1,0))</f>
        <v/>
      </c>
      <c r="K40" s="1">
        <f>IF(K$5="",0,IF(OR(K7=TRUE,ISTEXT(K7)),J40+1,0))</f>
        <v/>
      </c>
      <c r="L40" s="1">
        <f>IF(L$5="",0,IF(OR(L7=TRUE,ISTEXT(L7)),K40+1,0))</f>
        <v/>
      </c>
      <c r="M40" s="1">
        <f>IF(M$5="",0,IF(OR(M7=TRUE,ISTEXT(M7)),L40+1,0))</f>
        <v/>
      </c>
      <c r="N40" s="1">
        <f>IF(N$5="",0,IF(OR(N7=TRUE,ISTEXT(N7)),M40+1,0))</f>
        <v/>
      </c>
      <c r="O40" s="1">
        <f>IF(O$5="",0,IF(OR(O7=TRUE,ISTEXT(O7)),N40+1,0))</f>
        <v/>
      </c>
      <c r="P40" s="1">
        <f>IF(P$5="",0,IF(OR(P7=TRUE,ISTEXT(P7)),O40+1,0))</f>
        <v/>
      </c>
      <c r="Q40" s="1">
        <f>IF(Q$5="",0,IF(OR(Q7=TRUE,ISTEXT(Q7)),P40+1,0))</f>
        <v/>
      </c>
      <c r="R40" s="1">
        <f>IF(R$5="",0,IF(OR(R7=TRUE,ISTEXT(R7)),Q40+1,0))</f>
        <v/>
      </c>
      <c r="S40" s="1">
        <f>IF(S$5="",0,IF(OR(S7=TRUE,ISTEXT(S7)),R40+1,0))</f>
        <v/>
      </c>
      <c r="T40" s="1">
        <f>IF(T$5="",0,IF(OR(T7=TRUE,ISTEXT(T7)),S40+1,0))</f>
        <v/>
      </c>
      <c r="U40" s="1">
        <f>IF(U$5="",0,IF(OR(U7=TRUE,ISTEXT(U7)),T40+1,0))</f>
        <v/>
      </c>
      <c r="V40" s="1">
        <f>IF(V$5="",0,IF(OR(V7=TRUE,ISTEXT(V7)),U40+1,0))</f>
        <v/>
      </c>
      <c r="W40" s="1">
        <f>IF(W$5="",0,IF(OR(W7=TRUE,ISTEXT(W7)),V40+1,0))</f>
        <v/>
      </c>
      <c r="X40" s="1">
        <f>IF(X$5="",0,IF(OR(X7=TRUE,ISTEXT(X7)),W40+1,0))</f>
        <v/>
      </c>
      <c r="Y40" s="1">
        <f>IF(Y$5="",0,IF(OR(Y7=TRUE,ISTEXT(Y7)),X40+1,0))</f>
        <v/>
      </c>
      <c r="Z40" s="1">
        <f>IF(Z$5="",0,IF(OR(Z7=TRUE,ISTEXT(Z7)),Y40+1,0))</f>
        <v/>
      </c>
      <c r="AA40" s="1">
        <f>IF(AA$5="",0,IF(OR(AA7=TRUE,ISTEXT(AA7)),Z40+1,0))</f>
        <v/>
      </c>
      <c r="AB40" s="1">
        <f>IF(AB$5="",0,IF(OR(AB7=TRUE,ISTEXT(AB7)),AA40+1,0))</f>
        <v/>
      </c>
      <c r="AC40" s="1">
        <f>IF(AC$5="",0,IF(OR(AC7=TRUE,ISTEXT(AC7)),AB40+1,0))</f>
        <v/>
      </c>
      <c r="AD40" s="1">
        <f>IF(AD$5="",0,IF(OR(AD7=TRUE,ISTEXT(AD7)),AC40+1,0))</f>
        <v/>
      </c>
      <c r="AE40" s="1">
        <f>IF(AE$5="",0,IF(OR(AE7=TRUE,ISTEXT(AE7)),AD40+1,0))</f>
        <v/>
      </c>
      <c r="AF40" s="1">
        <f>IF(AF$5="",0,IF(OR(AF7=TRUE,ISTEXT(AF7)),AE40+1,0))</f>
        <v/>
      </c>
      <c r="AG40" s="1">
        <f>IF(AG$5="",0,IF(OR(AG7=TRUE,ISTEXT(AG7)),AF40+1,0))</f>
        <v/>
      </c>
      <c r="AH40" s="1" t="n"/>
      <c r="AI40" s="1" t="n"/>
      <c r="AJ40" s="1" t="n"/>
      <c r="AK40" s="1" t="n"/>
      <c r="AL40" s="1" t="n"/>
    </row>
    <row r="41" hidden="1">
      <c r="A41" s="1" t="n"/>
      <c r="B41" s="1">
        <f>B8</f>
        <v/>
      </c>
      <c r="C41" s="1">
        <f>IF(C$5="",0,IF(OR(C8=TRUE,ISTEXT(C8)),IFERROR(INDEX(Jan!$C$41:$AG$41,DAY(EOMONTH(DATE(Habits!$C$4,1,1),0))),0)+1,0))</f>
        <v/>
      </c>
      <c r="D41" s="1">
        <f>IF(D$5="",0,IF(OR(D8=TRUE,ISTEXT(D8)),C41+1,0))</f>
        <v/>
      </c>
      <c r="E41" s="1">
        <f>IF(E$5="",0,IF(OR(E8=TRUE,ISTEXT(E8)),D41+1,0))</f>
        <v/>
      </c>
      <c r="F41" s="1">
        <f>IF(F$5="",0,IF(OR(F8=TRUE,ISTEXT(F8)),E41+1,0))</f>
        <v/>
      </c>
      <c r="G41" s="1">
        <f>IF(G$5="",0,IF(OR(G8=TRUE,ISTEXT(G8)),F41+1,0))</f>
        <v/>
      </c>
      <c r="H41" s="1">
        <f>IF(H$5="",0,IF(OR(H8=TRUE,ISTEXT(H8)),G41+1,0))</f>
        <v/>
      </c>
      <c r="I41" s="1">
        <f>IF(I$5="",0,IF(OR(I8=TRUE,ISTEXT(I8)),H41+1,0))</f>
        <v/>
      </c>
      <c r="J41" s="1">
        <f>IF(J$5="",0,IF(OR(J8=TRUE,ISTEXT(J8)),I41+1,0))</f>
        <v/>
      </c>
      <c r="K41" s="1">
        <f>IF(K$5="",0,IF(OR(K8=TRUE,ISTEXT(K8)),J41+1,0))</f>
        <v/>
      </c>
      <c r="L41" s="1">
        <f>IF(L$5="",0,IF(OR(L8=TRUE,ISTEXT(L8)),K41+1,0))</f>
        <v/>
      </c>
      <c r="M41" s="1">
        <f>IF(M$5="",0,IF(OR(M8=TRUE,ISTEXT(M8)),L41+1,0))</f>
        <v/>
      </c>
      <c r="N41" s="1">
        <f>IF(N$5="",0,IF(OR(N8=TRUE,ISTEXT(N8)),M41+1,0))</f>
        <v/>
      </c>
      <c r="O41" s="1">
        <f>IF(O$5="",0,IF(OR(O8=TRUE,ISTEXT(O8)),N41+1,0))</f>
        <v/>
      </c>
      <c r="P41" s="1">
        <f>IF(P$5="",0,IF(OR(P8=TRUE,ISTEXT(P8)),O41+1,0))</f>
        <v/>
      </c>
      <c r="Q41" s="1">
        <f>IF(Q$5="",0,IF(OR(Q8=TRUE,ISTEXT(Q8)),P41+1,0))</f>
        <v/>
      </c>
      <c r="R41" s="1">
        <f>IF(R$5="",0,IF(OR(R8=TRUE,ISTEXT(R8)),Q41+1,0))</f>
        <v/>
      </c>
      <c r="S41" s="1">
        <f>IF(S$5="",0,IF(OR(S8=TRUE,ISTEXT(S8)),R41+1,0))</f>
        <v/>
      </c>
      <c r="T41" s="1">
        <f>IF(T$5="",0,IF(OR(T8=TRUE,ISTEXT(T8)),S41+1,0))</f>
        <v/>
      </c>
      <c r="U41" s="1">
        <f>IF(U$5="",0,IF(OR(U8=TRUE,ISTEXT(U8)),T41+1,0))</f>
        <v/>
      </c>
      <c r="V41" s="1">
        <f>IF(V$5="",0,IF(OR(V8=TRUE,ISTEXT(V8)),U41+1,0))</f>
        <v/>
      </c>
      <c r="W41" s="1">
        <f>IF(W$5="",0,IF(OR(W8=TRUE,ISTEXT(W8)),V41+1,0))</f>
        <v/>
      </c>
      <c r="X41" s="1">
        <f>IF(X$5="",0,IF(OR(X8=TRUE,ISTEXT(X8)),W41+1,0))</f>
        <v/>
      </c>
      <c r="Y41" s="1">
        <f>IF(Y$5="",0,IF(OR(Y8=TRUE,ISTEXT(Y8)),X41+1,0))</f>
        <v/>
      </c>
      <c r="Z41" s="1">
        <f>IF(Z$5="",0,IF(OR(Z8=TRUE,ISTEXT(Z8)),Y41+1,0))</f>
        <v/>
      </c>
      <c r="AA41" s="1">
        <f>IF(AA$5="",0,IF(OR(AA8=TRUE,ISTEXT(AA8)),Z41+1,0))</f>
        <v/>
      </c>
      <c r="AB41" s="1">
        <f>IF(AB$5="",0,IF(OR(AB8=TRUE,ISTEXT(AB8)),AA41+1,0))</f>
        <v/>
      </c>
      <c r="AC41" s="1">
        <f>IF(AC$5="",0,IF(OR(AC8=TRUE,ISTEXT(AC8)),AB41+1,0))</f>
        <v/>
      </c>
      <c r="AD41" s="1">
        <f>IF(AD$5="",0,IF(OR(AD8=TRUE,ISTEXT(AD8)),AC41+1,0))</f>
        <v/>
      </c>
      <c r="AE41" s="1">
        <f>IF(AE$5="",0,IF(OR(AE8=TRUE,ISTEXT(AE8)),AD41+1,0))</f>
        <v/>
      </c>
      <c r="AF41" s="1">
        <f>IF(AF$5="",0,IF(OR(AF8=TRUE,ISTEXT(AF8)),AE41+1,0))</f>
        <v/>
      </c>
      <c r="AG41" s="1">
        <f>IF(AG$5="",0,IF(OR(AG8=TRUE,ISTEXT(AG8)),AF41+1,0))</f>
        <v/>
      </c>
      <c r="AH41" s="1" t="n"/>
      <c r="AI41" s="1" t="n"/>
      <c r="AJ41" s="1" t="n"/>
      <c r="AK41" s="1" t="n"/>
      <c r="AL41" s="1" t="n"/>
    </row>
    <row r="42" hidden="1">
      <c r="A42" s="1" t="n"/>
      <c r="B42" s="1">
        <f>B9</f>
        <v/>
      </c>
      <c r="C42" s="1">
        <f>IF(C$5="",0,IF(OR(C9=TRUE,ISTEXT(C9)),IFERROR(INDEX(Jan!$C$42:$AG$42,DAY(EOMONTH(DATE(Habits!$C$4,1,1),0))),0)+1,0))</f>
        <v/>
      </c>
      <c r="D42" s="1">
        <f>IF(D$5="",0,IF(OR(D9=TRUE,ISTEXT(D9)),C42+1,0))</f>
        <v/>
      </c>
      <c r="E42" s="1">
        <f>IF(E$5="",0,IF(OR(E9=TRUE,ISTEXT(E9)),D42+1,0))</f>
        <v/>
      </c>
      <c r="F42" s="1">
        <f>IF(F$5="",0,IF(OR(F9=TRUE,ISTEXT(F9)),E42+1,0))</f>
        <v/>
      </c>
      <c r="G42" s="1">
        <f>IF(G$5="",0,IF(OR(G9=TRUE,ISTEXT(G9)),F42+1,0))</f>
        <v/>
      </c>
      <c r="H42" s="1">
        <f>IF(H$5="",0,IF(OR(H9=TRUE,ISTEXT(H9)),G42+1,0))</f>
        <v/>
      </c>
      <c r="I42" s="1">
        <f>IF(I$5="",0,IF(OR(I9=TRUE,ISTEXT(I9)),H42+1,0))</f>
        <v/>
      </c>
      <c r="J42" s="1">
        <f>IF(J$5="",0,IF(OR(J9=TRUE,ISTEXT(J9)),I42+1,0))</f>
        <v/>
      </c>
      <c r="K42" s="1">
        <f>IF(K$5="",0,IF(OR(K9=TRUE,ISTEXT(K9)),J42+1,0))</f>
        <v/>
      </c>
      <c r="L42" s="1">
        <f>IF(L$5="",0,IF(OR(L9=TRUE,ISTEXT(L9)),K42+1,0))</f>
        <v/>
      </c>
      <c r="M42" s="1">
        <f>IF(M$5="",0,IF(OR(M9=TRUE,ISTEXT(M9)),L42+1,0))</f>
        <v/>
      </c>
      <c r="N42" s="1">
        <f>IF(N$5="",0,IF(OR(N9=TRUE,ISTEXT(N9)),M42+1,0))</f>
        <v/>
      </c>
      <c r="O42" s="1">
        <f>IF(O$5="",0,IF(OR(O9=TRUE,ISTEXT(O9)),N42+1,0))</f>
        <v/>
      </c>
      <c r="P42" s="1">
        <f>IF(P$5="",0,IF(OR(P9=TRUE,ISTEXT(P9)),O42+1,0))</f>
        <v/>
      </c>
      <c r="Q42" s="1">
        <f>IF(Q$5="",0,IF(OR(Q9=TRUE,ISTEXT(Q9)),P42+1,0))</f>
        <v/>
      </c>
      <c r="R42" s="1">
        <f>IF(R$5="",0,IF(OR(R9=TRUE,ISTEXT(R9)),Q42+1,0))</f>
        <v/>
      </c>
      <c r="S42" s="1">
        <f>IF(S$5="",0,IF(OR(S9=TRUE,ISTEXT(S9)),R42+1,0))</f>
        <v/>
      </c>
      <c r="T42" s="1">
        <f>IF(T$5="",0,IF(OR(T9=TRUE,ISTEXT(T9)),S42+1,0))</f>
        <v/>
      </c>
      <c r="U42" s="1">
        <f>IF(U$5="",0,IF(OR(U9=TRUE,ISTEXT(U9)),T42+1,0))</f>
        <v/>
      </c>
      <c r="V42" s="1">
        <f>IF(V$5="",0,IF(OR(V9=TRUE,ISTEXT(V9)),U42+1,0))</f>
        <v/>
      </c>
      <c r="W42" s="1">
        <f>IF(W$5="",0,IF(OR(W9=TRUE,ISTEXT(W9)),V42+1,0))</f>
        <v/>
      </c>
      <c r="X42" s="1">
        <f>IF(X$5="",0,IF(OR(X9=TRUE,ISTEXT(X9)),W42+1,0))</f>
        <v/>
      </c>
      <c r="Y42" s="1">
        <f>IF(Y$5="",0,IF(OR(Y9=TRUE,ISTEXT(Y9)),X42+1,0))</f>
        <v/>
      </c>
      <c r="Z42" s="1">
        <f>IF(Z$5="",0,IF(OR(Z9=TRUE,ISTEXT(Z9)),Y42+1,0))</f>
        <v/>
      </c>
      <c r="AA42" s="1">
        <f>IF(AA$5="",0,IF(OR(AA9=TRUE,ISTEXT(AA9)),Z42+1,0))</f>
        <v/>
      </c>
      <c r="AB42" s="1">
        <f>IF(AB$5="",0,IF(OR(AB9=TRUE,ISTEXT(AB9)),AA42+1,0))</f>
        <v/>
      </c>
      <c r="AC42" s="1">
        <f>IF(AC$5="",0,IF(OR(AC9=TRUE,ISTEXT(AC9)),AB42+1,0))</f>
        <v/>
      </c>
      <c r="AD42" s="1">
        <f>IF(AD$5="",0,IF(OR(AD9=TRUE,ISTEXT(AD9)),AC42+1,0))</f>
        <v/>
      </c>
      <c r="AE42" s="1">
        <f>IF(AE$5="",0,IF(OR(AE9=TRUE,ISTEXT(AE9)),AD42+1,0))</f>
        <v/>
      </c>
      <c r="AF42" s="1">
        <f>IF(AF$5="",0,IF(OR(AF9=TRUE,ISTEXT(AF9)),AE42+1,0))</f>
        <v/>
      </c>
      <c r="AG42" s="1">
        <f>IF(AG$5="",0,IF(OR(AG9=TRUE,ISTEXT(AG9)),AF42+1,0))</f>
        <v/>
      </c>
      <c r="AH42" s="1" t="n"/>
      <c r="AI42" s="1" t="n"/>
      <c r="AJ42" s="1" t="n"/>
      <c r="AK42" s="1" t="n"/>
      <c r="AL42" s="1" t="n"/>
    </row>
    <row r="43" hidden="1">
      <c r="A43" s="1" t="n"/>
      <c r="B43" s="1">
        <f>B10</f>
        <v/>
      </c>
      <c r="C43" s="1">
        <f>IF(C$5="",0,IF(OR(C10=TRUE,ISTEXT(C10)),IFERROR(INDEX(Jan!$C$43:$AG$43,DAY(EOMONTH(DATE(Habits!$C$4,1,1),0))),0)+1,0))</f>
        <v/>
      </c>
      <c r="D43" s="1">
        <f>IF(D$5="",0,IF(OR(D10=TRUE,ISTEXT(D10)),C43+1,0))</f>
        <v/>
      </c>
      <c r="E43" s="1">
        <f>IF(E$5="",0,IF(OR(E10=TRUE,ISTEXT(E10)),D43+1,0))</f>
        <v/>
      </c>
      <c r="F43" s="1">
        <f>IF(F$5="",0,IF(OR(F10=TRUE,ISTEXT(F10)),E43+1,0))</f>
        <v/>
      </c>
      <c r="G43" s="1">
        <f>IF(G$5="",0,IF(OR(G10=TRUE,ISTEXT(G10)),F43+1,0))</f>
        <v/>
      </c>
      <c r="H43" s="1">
        <f>IF(H$5="",0,IF(OR(H10=TRUE,ISTEXT(H10)),G43+1,0))</f>
        <v/>
      </c>
      <c r="I43" s="1">
        <f>IF(I$5="",0,IF(OR(I10=TRUE,ISTEXT(I10)),H43+1,0))</f>
        <v/>
      </c>
      <c r="J43" s="1">
        <f>IF(J$5="",0,IF(OR(J10=TRUE,ISTEXT(J10)),I43+1,0))</f>
        <v/>
      </c>
      <c r="K43" s="1">
        <f>IF(K$5="",0,IF(OR(K10=TRUE,ISTEXT(K10)),J43+1,0))</f>
        <v/>
      </c>
      <c r="L43" s="1">
        <f>IF(L$5="",0,IF(OR(L10=TRUE,ISTEXT(L10)),K43+1,0))</f>
        <v/>
      </c>
      <c r="M43" s="1">
        <f>IF(M$5="",0,IF(OR(M10=TRUE,ISTEXT(M10)),L43+1,0))</f>
        <v/>
      </c>
      <c r="N43" s="1">
        <f>IF(N$5="",0,IF(OR(N10=TRUE,ISTEXT(N10)),M43+1,0))</f>
        <v/>
      </c>
      <c r="O43" s="1">
        <f>IF(O$5="",0,IF(OR(O10=TRUE,ISTEXT(O10)),N43+1,0))</f>
        <v/>
      </c>
      <c r="P43" s="1">
        <f>IF(P$5="",0,IF(OR(P10=TRUE,ISTEXT(P10)),O43+1,0))</f>
        <v/>
      </c>
      <c r="Q43" s="1">
        <f>IF(Q$5="",0,IF(OR(Q10=TRUE,ISTEXT(Q10)),P43+1,0))</f>
        <v/>
      </c>
      <c r="R43" s="1">
        <f>IF(R$5="",0,IF(OR(R10=TRUE,ISTEXT(R10)),Q43+1,0))</f>
        <v/>
      </c>
      <c r="S43" s="1">
        <f>IF(S$5="",0,IF(OR(S10=TRUE,ISTEXT(S10)),R43+1,0))</f>
        <v/>
      </c>
      <c r="T43" s="1">
        <f>IF(T$5="",0,IF(OR(T10=TRUE,ISTEXT(T10)),S43+1,0))</f>
        <v/>
      </c>
      <c r="U43" s="1">
        <f>IF(U$5="",0,IF(OR(U10=TRUE,ISTEXT(U10)),T43+1,0))</f>
        <v/>
      </c>
      <c r="V43" s="1">
        <f>IF(V$5="",0,IF(OR(V10=TRUE,ISTEXT(V10)),U43+1,0))</f>
        <v/>
      </c>
      <c r="W43" s="1">
        <f>IF(W$5="",0,IF(OR(W10=TRUE,ISTEXT(W10)),V43+1,0))</f>
        <v/>
      </c>
      <c r="X43" s="1">
        <f>IF(X$5="",0,IF(OR(X10=TRUE,ISTEXT(X10)),W43+1,0))</f>
        <v/>
      </c>
      <c r="Y43" s="1">
        <f>IF(Y$5="",0,IF(OR(Y10=TRUE,ISTEXT(Y10)),X43+1,0))</f>
        <v/>
      </c>
      <c r="Z43" s="1">
        <f>IF(Z$5="",0,IF(OR(Z10=TRUE,ISTEXT(Z10)),Y43+1,0))</f>
        <v/>
      </c>
      <c r="AA43" s="1">
        <f>IF(AA$5="",0,IF(OR(AA10=TRUE,ISTEXT(AA10)),Z43+1,0))</f>
        <v/>
      </c>
      <c r="AB43" s="1">
        <f>IF(AB$5="",0,IF(OR(AB10=TRUE,ISTEXT(AB10)),AA43+1,0))</f>
        <v/>
      </c>
      <c r="AC43" s="1">
        <f>IF(AC$5="",0,IF(OR(AC10=TRUE,ISTEXT(AC10)),AB43+1,0))</f>
        <v/>
      </c>
      <c r="AD43" s="1">
        <f>IF(AD$5="",0,IF(OR(AD10=TRUE,ISTEXT(AD10)),AC43+1,0))</f>
        <v/>
      </c>
      <c r="AE43" s="1">
        <f>IF(AE$5="",0,IF(OR(AE10=TRUE,ISTEXT(AE10)),AD43+1,0))</f>
        <v/>
      </c>
      <c r="AF43" s="1">
        <f>IF(AF$5="",0,IF(OR(AF10=TRUE,ISTEXT(AF10)),AE43+1,0))</f>
        <v/>
      </c>
      <c r="AG43" s="1">
        <f>IF(AG$5="",0,IF(OR(AG10=TRUE,ISTEXT(AG10)),AF43+1,0))</f>
        <v/>
      </c>
      <c r="AH43" s="1" t="n"/>
      <c r="AI43" s="1" t="n"/>
      <c r="AJ43" s="1" t="n"/>
      <c r="AK43" s="1" t="n"/>
      <c r="AL43" s="1" t="n"/>
    </row>
    <row r="44" hidden="1">
      <c r="A44" s="1" t="n"/>
      <c r="B44" s="1">
        <f>B11</f>
        <v/>
      </c>
      <c r="C44" s="1">
        <f>IF(C$5="",0,IF(OR(C11=TRUE,ISTEXT(C11)),IFERROR(INDEX(Jan!$C$44:$AG$44,DAY(EOMONTH(DATE(Habits!$C$4,1,1),0))),0)+1,0))</f>
        <v/>
      </c>
      <c r="D44" s="1">
        <f>IF(D$5="",0,IF(OR(D11=TRUE,ISTEXT(D11)),C44+1,0))</f>
        <v/>
      </c>
      <c r="E44" s="1">
        <f>IF(E$5="",0,IF(OR(E11=TRUE,ISTEXT(E11)),D44+1,0))</f>
        <v/>
      </c>
      <c r="F44" s="1">
        <f>IF(F$5="",0,IF(OR(F11=TRUE,ISTEXT(F11)),E44+1,0))</f>
        <v/>
      </c>
      <c r="G44" s="1">
        <f>IF(G$5="",0,IF(OR(G11=TRUE,ISTEXT(G11)),F44+1,0))</f>
        <v/>
      </c>
      <c r="H44" s="1">
        <f>IF(H$5="",0,IF(OR(H11=TRUE,ISTEXT(H11)),G44+1,0))</f>
        <v/>
      </c>
      <c r="I44" s="1">
        <f>IF(I$5="",0,IF(OR(I11=TRUE,ISTEXT(I11)),H44+1,0))</f>
        <v/>
      </c>
      <c r="J44" s="1">
        <f>IF(J$5="",0,IF(OR(J11=TRUE,ISTEXT(J11)),I44+1,0))</f>
        <v/>
      </c>
      <c r="K44" s="1">
        <f>IF(K$5="",0,IF(OR(K11=TRUE,ISTEXT(K11)),J44+1,0))</f>
        <v/>
      </c>
      <c r="L44" s="1">
        <f>IF(L$5="",0,IF(OR(L11=TRUE,ISTEXT(L11)),K44+1,0))</f>
        <v/>
      </c>
      <c r="M44" s="1">
        <f>IF(M$5="",0,IF(OR(M11=TRUE,ISTEXT(M11)),L44+1,0))</f>
        <v/>
      </c>
      <c r="N44" s="1">
        <f>IF(N$5="",0,IF(OR(N11=TRUE,ISTEXT(N11)),M44+1,0))</f>
        <v/>
      </c>
      <c r="O44" s="1">
        <f>IF(O$5="",0,IF(OR(O11=TRUE,ISTEXT(O11)),N44+1,0))</f>
        <v/>
      </c>
      <c r="P44" s="1">
        <f>IF(P$5="",0,IF(OR(P11=TRUE,ISTEXT(P11)),O44+1,0))</f>
        <v/>
      </c>
      <c r="Q44" s="1">
        <f>IF(Q$5="",0,IF(OR(Q11=TRUE,ISTEXT(Q11)),P44+1,0))</f>
        <v/>
      </c>
      <c r="R44" s="1">
        <f>IF(R$5="",0,IF(OR(R11=TRUE,ISTEXT(R11)),Q44+1,0))</f>
        <v/>
      </c>
      <c r="S44" s="1">
        <f>IF(S$5="",0,IF(OR(S11=TRUE,ISTEXT(S11)),R44+1,0))</f>
        <v/>
      </c>
      <c r="T44" s="1">
        <f>IF(T$5="",0,IF(OR(T11=TRUE,ISTEXT(T11)),S44+1,0))</f>
        <v/>
      </c>
      <c r="U44" s="1">
        <f>IF(U$5="",0,IF(OR(U11=TRUE,ISTEXT(U11)),T44+1,0))</f>
        <v/>
      </c>
      <c r="V44" s="1">
        <f>IF(V$5="",0,IF(OR(V11=TRUE,ISTEXT(V11)),U44+1,0))</f>
        <v/>
      </c>
      <c r="W44" s="1">
        <f>IF(W$5="",0,IF(OR(W11=TRUE,ISTEXT(W11)),V44+1,0))</f>
        <v/>
      </c>
      <c r="X44" s="1">
        <f>IF(X$5="",0,IF(OR(X11=TRUE,ISTEXT(X11)),W44+1,0))</f>
        <v/>
      </c>
      <c r="Y44" s="1">
        <f>IF(Y$5="",0,IF(OR(Y11=TRUE,ISTEXT(Y11)),X44+1,0))</f>
        <v/>
      </c>
      <c r="Z44" s="1">
        <f>IF(Z$5="",0,IF(OR(Z11=TRUE,ISTEXT(Z11)),Y44+1,0))</f>
        <v/>
      </c>
      <c r="AA44" s="1">
        <f>IF(AA$5="",0,IF(OR(AA11=TRUE,ISTEXT(AA11)),Z44+1,0))</f>
        <v/>
      </c>
      <c r="AB44" s="1">
        <f>IF(AB$5="",0,IF(OR(AB11=TRUE,ISTEXT(AB11)),AA44+1,0))</f>
        <v/>
      </c>
      <c r="AC44" s="1">
        <f>IF(AC$5="",0,IF(OR(AC11=TRUE,ISTEXT(AC11)),AB44+1,0))</f>
        <v/>
      </c>
      <c r="AD44" s="1">
        <f>IF(AD$5="",0,IF(OR(AD11=TRUE,ISTEXT(AD11)),AC44+1,0))</f>
        <v/>
      </c>
      <c r="AE44" s="1">
        <f>IF(AE$5="",0,IF(OR(AE11=TRUE,ISTEXT(AE11)),AD44+1,0))</f>
        <v/>
      </c>
      <c r="AF44" s="1">
        <f>IF(AF$5="",0,IF(OR(AF11=TRUE,ISTEXT(AF11)),AE44+1,0))</f>
        <v/>
      </c>
      <c r="AG44" s="1">
        <f>IF(AG$5="",0,IF(OR(AG11=TRUE,ISTEXT(AG11)),AF44+1,0))</f>
        <v/>
      </c>
      <c r="AH44" s="1" t="n"/>
      <c r="AI44" s="1" t="n"/>
      <c r="AJ44" s="1" t="n"/>
      <c r="AK44" s="1" t="n"/>
      <c r="AL44" s="1" t="n"/>
    </row>
    <row r="45" hidden="1">
      <c r="A45" s="1" t="n"/>
      <c r="B45" s="1">
        <f>B12</f>
        <v/>
      </c>
      <c r="C45" s="1">
        <f>IF(C$5="",0,IF(OR(C12=TRUE,ISTEXT(C12)),IFERROR(INDEX(Jan!$C$45:$AG$45,DAY(EOMONTH(DATE(Habits!$C$4,1,1),0))),0)+1,0))</f>
        <v/>
      </c>
      <c r="D45" s="1">
        <f>IF(D$5="",0,IF(OR(D12=TRUE,ISTEXT(D12)),C45+1,0))</f>
        <v/>
      </c>
      <c r="E45" s="1">
        <f>IF(E$5="",0,IF(OR(E12=TRUE,ISTEXT(E12)),D45+1,0))</f>
        <v/>
      </c>
      <c r="F45" s="1">
        <f>IF(F$5="",0,IF(OR(F12=TRUE,ISTEXT(F12)),E45+1,0))</f>
        <v/>
      </c>
      <c r="G45" s="1">
        <f>IF(G$5="",0,IF(OR(G12=TRUE,ISTEXT(G12)),F45+1,0))</f>
        <v/>
      </c>
      <c r="H45" s="1">
        <f>IF(H$5="",0,IF(OR(H12=TRUE,ISTEXT(H12)),G45+1,0))</f>
        <v/>
      </c>
      <c r="I45" s="1">
        <f>IF(I$5="",0,IF(OR(I12=TRUE,ISTEXT(I12)),H45+1,0))</f>
        <v/>
      </c>
      <c r="J45" s="1">
        <f>IF(J$5="",0,IF(OR(J12=TRUE,ISTEXT(J12)),I45+1,0))</f>
        <v/>
      </c>
      <c r="K45" s="1">
        <f>IF(K$5="",0,IF(OR(K12=TRUE,ISTEXT(K12)),J45+1,0))</f>
        <v/>
      </c>
      <c r="L45" s="1">
        <f>IF(L$5="",0,IF(OR(L12=TRUE,ISTEXT(L12)),K45+1,0))</f>
        <v/>
      </c>
      <c r="M45" s="1">
        <f>IF(M$5="",0,IF(OR(M12=TRUE,ISTEXT(M12)),L45+1,0))</f>
        <v/>
      </c>
      <c r="N45" s="1">
        <f>IF(N$5="",0,IF(OR(N12=TRUE,ISTEXT(N12)),M45+1,0))</f>
        <v/>
      </c>
      <c r="O45" s="1">
        <f>IF(O$5="",0,IF(OR(O12=TRUE,ISTEXT(O12)),N45+1,0))</f>
        <v/>
      </c>
      <c r="P45" s="1">
        <f>IF(P$5="",0,IF(OR(P12=TRUE,ISTEXT(P12)),O45+1,0))</f>
        <v/>
      </c>
      <c r="Q45" s="1">
        <f>IF(Q$5="",0,IF(OR(Q12=TRUE,ISTEXT(Q12)),P45+1,0))</f>
        <v/>
      </c>
      <c r="R45" s="1">
        <f>IF(R$5="",0,IF(OR(R12=TRUE,ISTEXT(R12)),Q45+1,0))</f>
        <v/>
      </c>
      <c r="S45" s="1">
        <f>IF(S$5="",0,IF(OR(S12=TRUE,ISTEXT(S12)),R45+1,0))</f>
        <v/>
      </c>
      <c r="T45" s="1">
        <f>IF(T$5="",0,IF(OR(T12=TRUE,ISTEXT(T12)),S45+1,0))</f>
        <v/>
      </c>
      <c r="U45" s="1">
        <f>IF(U$5="",0,IF(OR(U12=TRUE,ISTEXT(U12)),T45+1,0))</f>
        <v/>
      </c>
      <c r="V45" s="1">
        <f>IF(V$5="",0,IF(OR(V12=TRUE,ISTEXT(V12)),U45+1,0))</f>
        <v/>
      </c>
      <c r="W45" s="1">
        <f>IF(W$5="",0,IF(OR(W12=TRUE,ISTEXT(W12)),V45+1,0))</f>
        <v/>
      </c>
      <c r="X45" s="1">
        <f>IF(X$5="",0,IF(OR(X12=TRUE,ISTEXT(X12)),W45+1,0))</f>
        <v/>
      </c>
      <c r="Y45" s="1">
        <f>IF(Y$5="",0,IF(OR(Y12=TRUE,ISTEXT(Y12)),X45+1,0))</f>
        <v/>
      </c>
      <c r="Z45" s="1">
        <f>IF(Z$5="",0,IF(OR(Z12=TRUE,ISTEXT(Z12)),Y45+1,0))</f>
        <v/>
      </c>
      <c r="AA45" s="1">
        <f>IF(AA$5="",0,IF(OR(AA12=TRUE,ISTEXT(AA12)),Z45+1,0))</f>
        <v/>
      </c>
      <c r="AB45" s="1">
        <f>IF(AB$5="",0,IF(OR(AB12=TRUE,ISTEXT(AB12)),AA45+1,0))</f>
        <v/>
      </c>
      <c r="AC45" s="1">
        <f>IF(AC$5="",0,IF(OR(AC12=TRUE,ISTEXT(AC12)),AB45+1,0))</f>
        <v/>
      </c>
      <c r="AD45" s="1">
        <f>IF(AD$5="",0,IF(OR(AD12=TRUE,ISTEXT(AD12)),AC45+1,0))</f>
        <v/>
      </c>
      <c r="AE45" s="1">
        <f>IF(AE$5="",0,IF(OR(AE12=TRUE,ISTEXT(AE12)),AD45+1,0))</f>
        <v/>
      </c>
      <c r="AF45" s="1">
        <f>IF(AF$5="",0,IF(OR(AF12=TRUE,ISTEXT(AF12)),AE45+1,0))</f>
        <v/>
      </c>
      <c r="AG45" s="1">
        <f>IF(AG$5="",0,IF(OR(AG12=TRUE,ISTEXT(AG12)),AF45+1,0))</f>
        <v/>
      </c>
      <c r="AH45" s="1" t="n"/>
      <c r="AI45" s="1" t="n"/>
      <c r="AJ45" s="1" t="n"/>
      <c r="AK45" s="1" t="n"/>
      <c r="AL45" s="1" t="n"/>
    </row>
    <row r="46" hidden="1">
      <c r="A46" s="1" t="n"/>
      <c r="B46" s="1">
        <f>B13</f>
        <v/>
      </c>
      <c r="C46" s="1">
        <f>IF(C$5="",0,IF(OR(C13=TRUE,ISTEXT(C13)),IFERROR(INDEX(Jan!$C$46:$AG$46,DAY(EOMONTH(DATE(Habits!$C$4,1,1),0))),0)+1,0))</f>
        <v/>
      </c>
      <c r="D46" s="1">
        <f>IF(D$5="",0,IF(OR(D13=TRUE,ISTEXT(D13)),C46+1,0))</f>
        <v/>
      </c>
      <c r="E46" s="1">
        <f>IF(E$5="",0,IF(OR(E13=TRUE,ISTEXT(E13)),D46+1,0))</f>
        <v/>
      </c>
      <c r="F46" s="1">
        <f>IF(F$5="",0,IF(OR(F13=TRUE,ISTEXT(F13)),E46+1,0))</f>
        <v/>
      </c>
      <c r="G46" s="1">
        <f>IF(G$5="",0,IF(OR(G13=TRUE,ISTEXT(G13)),F46+1,0))</f>
        <v/>
      </c>
      <c r="H46" s="1">
        <f>IF(H$5="",0,IF(OR(H13=TRUE,ISTEXT(H13)),G46+1,0))</f>
        <v/>
      </c>
      <c r="I46" s="1">
        <f>IF(I$5="",0,IF(OR(I13=TRUE,ISTEXT(I13)),H46+1,0))</f>
        <v/>
      </c>
      <c r="J46" s="1">
        <f>IF(J$5="",0,IF(OR(J13=TRUE,ISTEXT(J13)),I46+1,0))</f>
        <v/>
      </c>
      <c r="K46" s="1">
        <f>IF(K$5="",0,IF(OR(K13=TRUE,ISTEXT(K13)),J46+1,0))</f>
        <v/>
      </c>
      <c r="L46" s="1">
        <f>IF(L$5="",0,IF(OR(L13=TRUE,ISTEXT(L13)),K46+1,0))</f>
        <v/>
      </c>
      <c r="M46" s="1">
        <f>IF(M$5="",0,IF(OR(M13=TRUE,ISTEXT(M13)),L46+1,0))</f>
        <v/>
      </c>
      <c r="N46" s="1">
        <f>IF(N$5="",0,IF(OR(N13=TRUE,ISTEXT(N13)),M46+1,0))</f>
        <v/>
      </c>
      <c r="O46" s="1">
        <f>IF(O$5="",0,IF(OR(O13=TRUE,ISTEXT(O13)),N46+1,0))</f>
        <v/>
      </c>
      <c r="P46" s="1">
        <f>IF(P$5="",0,IF(OR(P13=TRUE,ISTEXT(P13)),O46+1,0))</f>
        <v/>
      </c>
      <c r="Q46" s="1">
        <f>IF(Q$5="",0,IF(OR(Q13=TRUE,ISTEXT(Q13)),P46+1,0))</f>
        <v/>
      </c>
      <c r="R46" s="1">
        <f>IF(R$5="",0,IF(OR(R13=TRUE,ISTEXT(R13)),Q46+1,0))</f>
        <v/>
      </c>
      <c r="S46" s="1">
        <f>IF(S$5="",0,IF(OR(S13=TRUE,ISTEXT(S13)),R46+1,0))</f>
        <v/>
      </c>
      <c r="T46" s="1">
        <f>IF(T$5="",0,IF(OR(T13=TRUE,ISTEXT(T13)),S46+1,0))</f>
        <v/>
      </c>
      <c r="U46" s="1">
        <f>IF(U$5="",0,IF(OR(U13=TRUE,ISTEXT(U13)),T46+1,0))</f>
        <v/>
      </c>
      <c r="V46" s="1">
        <f>IF(V$5="",0,IF(OR(V13=TRUE,ISTEXT(V13)),U46+1,0))</f>
        <v/>
      </c>
      <c r="W46" s="1">
        <f>IF(W$5="",0,IF(OR(W13=TRUE,ISTEXT(W13)),V46+1,0))</f>
        <v/>
      </c>
      <c r="X46" s="1">
        <f>IF(X$5="",0,IF(OR(X13=TRUE,ISTEXT(X13)),W46+1,0))</f>
        <v/>
      </c>
      <c r="Y46" s="1">
        <f>IF(Y$5="",0,IF(OR(Y13=TRUE,ISTEXT(Y13)),X46+1,0))</f>
        <v/>
      </c>
      <c r="Z46" s="1">
        <f>IF(Z$5="",0,IF(OR(Z13=TRUE,ISTEXT(Z13)),Y46+1,0))</f>
        <v/>
      </c>
      <c r="AA46" s="1">
        <f>IF(AA$5="",0,IF(OR(AA13=TRUE,ISTEXT(AA13)),Z46+1,0))</f>
        <v/>
      </c>
      <c r="AB46" s="1">
        <f>IF(AB$5="",0,IF(OR(AB13=TRUE,ISTEXT(AB13)),AA46+1,0))</f>
        <v/>
      </c>
      <c r="AC46" s="1">
        <f>IF(AC$5="",0,IF(OR(AC13=TRUE,ISTEXT(AC13)),AB46+1,0))</f>
        <v/>
      </c>
      <c r="AD46" s="1">
        <f>IF(AD$5="",0,IF(OR(AD13=TRUE,ISTEXT(AD13)),AC46+1,0))</f>
        <v/>
      </c>
      <c r="AE46" s="1">
        <f>IF(AE$5="",0,IF(OR(AE13=TRUE,ISTEXT(AE13)),AD46+1,0))</f>
        <v/>
      </c>
      <c r="AF46" s="1">
        <f>IF(AF$5="",0,IF(OR(AF13=TRUE,ISTEXT(AF13)),AE46+1,0))</f>
        <v/>
      </c>
      <c r="AG46" s="1">
        <f>IF(AG$5="",0,IF(OR(AG13=TRUE,ISTEXT(AG13)),AF46+1,0))</f>
        <v/>
      </c>
      <c r="AH46" s="1" t="n"/>
      <c r="AI46" s="1" t="n"/>
      <c r="AJ46" s="1" t="n"/>
      <c r="AK46" s="1" t="n"/>
      <c r="AL46" s="1" t="n"/>
    </row>
    <row r="47" hidden="1">
      <c r="A47" s="1" t="n"/>
      <c r="B47" s="1">
        <f>B14</f>
        <v/>
      </c>
      <c r="C47" s="1">
        <f>IF(C$5="",0,IF(OR(C14=TRUE,ISTEXT(C14)),IFERROR(INDEX(Jan!$C$47:$AG$47,DAY(EOMONTH(DATE(Habits!$C$4,1,1),0))),0)+1,0))</f>
        <v/>
      </c>
      <c r="D47" s="1">
        <f>IF(D$5="",0,IF(OR(D14=TRUE,ISTEXT(D14)),C47+1,0))</f>
        <v/>
      </c>
      <c r="E47" s="1">
        <f>IF(E$5="",0,IF(OR(E14=TRUE,ISTEXT(E14)),D47+1,0))</f>
        <v/>
      </c>
      <c r="F47" s="1">
        <f>IF(F$5="",0,IF(OR(F14=TRUE,ISTEXT(F14)),E47+1,0))</f>
        <v/>
      </c>
      <c r="G47" s="1">
        <f>IF(G$5="",0,IF(OR(G14=TRUE,ISTEXT(G14)),F47+1,0))</f>
        <v/>
      </c>
      <c r="H47" s="1">
        <f>IF(H$5="",0,IF(OR(H14=TRUE,ISTEXT(H14)),G47+1,0))</f>
        <v/>
      </c>
      <c r="I47" s="1">
        <f>IF(I$5="",0,IF(OR(I14=TRUE,ISTEXT(I14)),H47+1,0))</f>
        <v/>
      </c>
      <c r="J47" s="1">
        <f>IF(J$5="",0,IF(OR(J14=TRUE,ISTEXT(J14)),I47+1,0))</f>
        <v/>
      </c>
      <c r="K47" s="1">
        <f>IF(K$5="",0,IF(OR(K14=TRUE,ISTEXT(K14)),J47+1,0))</f>
        <v/>
      </c>
      <c r="L47" s="1">
        <f>IF(L$5="",0,IF(OR(L14=TRUE,ISTEXT(L14)),K47+1,0))</f>
        <v/>
      </c>
      <c r="M47" s="1">
        <f>IF(M$5="",0,IF(OR(M14=TRUE,ISTEXT(M14)),L47+1,0))</f>
        <v/>
      </c>
      <c r="N47" s="1">
        <f>IF(N$5="",0,IF(OR(N14=TRUE,ISTEXT(N14)),M47+1,0))</f>
        <v/>
      </c>
      <c r="O47" s="1">
        <f>IF(O$5="",0,IF(OR(O14=TRUE,ISTEXT(O14)),N47+1,0))</f>
        <v/>
      </c>
      <c r="P47" s="1">
        <f>IF(P$5="",0,IF(OR(P14=TRUE,ISTEXT(P14)),O47+1,0))</f>
        <v/>
      </c>
      <c r="Q47" s="1">
        <f>IF(Q$5="",0,IF(OR(Q14=TRUE,ISTEXT(Q14)),P47+1,0))</f>
        <v/>
      </c>
      <c r="R47" s="1">
        <f>IF(R$5="",0,IF(OR(R14=TRUE,ISTEXT(R14)),Q47+1,0))</f>
        <v/>
      </c>
      <c r="S47" s="1">
        <f>IF(S$5="",0,IF(OR(S14=TRUE,ISTEXT(S14)),R47+1,0))</f>
        <v/>
      </c>
      <c r="T47" s="1">
        <f>IF(T$5="",0,IF(OR(T14=TRUE,ISTEXT(T14)),S47+1,0))</f>
        <v/>
      </c>
      <c r="U47" s="1">
        <f>IF(U$5="",0,IF(OR(U14=TRUE,ISTEXT(U14)),T47+1,0))</f>
        <v/>
      </c>
      <c r="V47" s="1">
        <f>IF(V$5="",0,IF(OR(V14=TRUE,ISTEXT(V14)),U47+1,0))</f>
        <v/>
      </c>
      <c r="W47" s="1">
        <f>IF(W$5="",0,IF(OR(W14=TRUE,ISTEXT(W14)),V47+1,0))</f>
        <v/>
      </c>
      <c r="X47" s="1">
        <f>IF(X$5="",0,IF(OR(X14=TRUE,ISTEXT(X14)),W47+1,0))</f>
        <v/>
      </c>
      <c r="Y47" s="1">
        <f>IF(Y$5="",0,IF(OR(Y14=TRUE,ISTEXT(Y14)),X47+1,0))</f>
        <v/>
      </c>
      <c r="Z47" s="1">
        <f>IF(Z$5="",0,IF(OR(Z14=TRUE,ISTEXT(Z14)),Y47+1,0))</f>
        <v/>
      </c>
      <c r="AA47" s="1">
        <f>IF(AA$5="",0,IF(OR(AA14=TRUE,ISTEXT(AA14)),Z47+1,0))</f>
        <v/>
      </c>
      <c r="AB47" s="1">
        <f>IF(AB$5="",0,IF(OR(AB14=TRUE,ISTEXT(AB14)),AA47+1,0))</f>
        <v/>
      </c>
      <c r="AC47" s="1">
        <f>IF(AC$5="",0,IF(OR(AC14=TRUE,ISTEXT(AC14)),AB47+1,0))</f>
        <v/>
      </c>
      <c r="AD47" s="1">
        <f>IF(AD$5="",0,IF(OR(AD14=TRUE,ISTEXT(AD14)),AC47+1,0))</f>
        <v/>
      </c>
      <c r="AE47" s="1">
        <f>IF(AE$5="",0,IF(OR(AE14=TRUE,ISTEXT(AE14)),AD47+1,0))</f>
        <v/>
      </c>
      <c r="AF47" s="1">
        <f>IF(AF$5="",0,IF(OR(AF14=TRUE,ISTEXT(AF14)),AE47+1,0))</f>
        <v/>
      </c>
      <c r="AG47" s="1">
        <f>IF(AG$5="",0,IF(OR(AG14=TRUE,ISTEXT(AG14)),AF47+1,0))</f>
        <v/>
      </c>
      <c r="AH47" s="1" t="n"/>
      <c r="AI47" s="1" t="n"/>
      <c r="AJ47" s="1" t="n"/>
      <c r="AK47" s="1" t="n"/>
      <c r="AL47" s="1" t="n"/>
    </row>
    <row r="48" hidden="1">
      <c r="A48" s="1" t="n"/>
      <c r="B48" s="1">
        <f>B15</f>
        <v/>
      </c>
      <c r="C48" s="1">
        <f>IF(C$5="",0,IF(OR(C15=TRUE,ISTEXT(C15)),IFERROR(INDEX(Jan!$C$48:$AG$48,DAY(EOMONTH(DATE(Habits!$C$4,1,1),0))),0)+1,0))</f>
        <v/>
      </c>
      <c r="D48" s="1">
        <f>IF(D$5="",0,IF(OR(D15=TRUE,ISTEXT(D15)),C48+1,0))</f>
        <v/>
      </c>
      <c r="E48" s="1">
        <f>IF(E$5="",0,IF(OR(E15=TRUE,ISTEXT(E15)),D48+1,0))</f>
        <v/>
      </c>
      <c r="F48" s="1">
        <f>IF(F$5="",0,IF(OR(F15=TRUE,ISTEXT(F15)),E48+1,0))</f>
        <v/>
      </c>
      <c r="G48" s="1">
        <f>IF(G$5="",0,IF(OR(G15=TRUE,ISTEXT(G15)),F48+1,0))</f>
        <v/>
      </c>
      <c r="H48" s="1">
        <f>IF(H$5="",0,IF(OR(H15=TRUE,ISTEXT(H15)),G48+1,0))</f>
        <v/>
      </c>
      <c r="I48" s="1">
        <f>IF(I$5="",0,IF(OR(I15=TRUE,ISTEXT(I15)),H48+1,0))</f>
        <v/>
      </c>
      <c r="J48" s="1">
        <f>IF(J$5="",0,IF(OR(J15=TRUE,ISTEXT(J15)),I48+1,0))</f>
        <v/>
      </c>
      <c r="K48" s="1">
        <f>IF(K$5="",0,IF(OR(K15=TRUE,ISTEXT(K15)),J48+1,0))</f>
        <v/>
      </c>
      <c r="L48" s="1">
        <f>IF(L$5="",0,IF(OR(L15=TRUE,ISTEXT(L15)),K48+1,0))</f>
        <v/>
      </c>
      <c r="M48" s="1">
        <f>IF(M$5="",0,IF(OR(M15=TRUE,ISTEXT(M15)),L48+1,0))</f>
        <v/>
      </c>
      <c r="N48" s="1">
        <f>IF(N$5="",0,IF(OR(N15=TRUE,ISTEXT(N15)),M48+1,0))</f>
        <v/>
      </c>
      <c r="O48" s="1">
        <f>IF(O$5="",0,IF(OR(O15=TRUE,ISTEXT(O15)),N48+1,0))</f>
        <v/>
      </c>
      <c r="P48" s="1">
        <f>IF(P$5="",0,IF(OR(P15=TRUE,ISTEXT(P15)),O48+1,0))</f>
        <v/>
      </c>
      <c r="Q48" s="1">
        <f>IF(Q$5="",0,IF(OR(Q15=TRUE,ISTEXT(Q15)),P48+1,0))</f>
        <v/>
      </c>
      <c r="R48" s="1">
        <f>IF(R$5="",0,IF(OR(R15=TRUE,ISTEXT(R15)),Q48+1,0))</f>
        <v/>
      </c>
      <c r="S48" s="1">
        <f>IF(S$5="",0,IF(OR(S15=TRUE,ISTEXT(S15)),R48+1,0))</f>
        <v/>
      </c>
      <c r="T48" s="1">
        <f>IF(T$5="",0,IF(OR(T15=TRUE,ISTEXT(T15)),S48+1,0))</f>
        <v/>
      </c>
      <c r="U48" s="1">
        <f>IF(U$5="",0,IF(OR(U15=TRUE,ISTEXT(U15)),T48+1,0))</f>
        <v/>
      </c>
      <c r="V48" s="1">
        <f>IF(V$5="",0,IF(OR(V15=TRUE,ISTEXT(V15)),U48+1,0))</f>
        <v/>
      </c>
      <c r="W48" s="1">
        <f>IF(W$5="",0,IF(OR(W15=TRUE,ISTEXT(W15)),V48+1,0))</f>
        <v/>
      </c>
      <c r="X48" s="1">
        <f>IF(X$5="",0,IF(OR(X15=TRUE,ISTEXT(X15)),W48+1,0))</f>
        <v/>
      </c>
      <c r="Y48" s="1">
        <f>IF(Y$5="",0,IF(OR(Y15=TRUE,ISTEXT(Y15)),X48+1,0))</f>
        <v/>
      </c>
      <c r="Z48" s="1">
        <f>IF(Z$5="",0,IF(OR(Z15=TRUE,ISTEXT(Z15)),Y48+1,0))</f>
        <v/>
      </c>
      <c r="AA48" s="1">
        <f>IF(AA$5="",0,IF(OR(AA15=TRUE,ISTEXT(AA15)),Z48+1,0))</f>
        <v/>
      </c>
      <c r="AB48" s="1">
        <f>IF(AB$5="",0,IF(OR(AB15=TRUE,ISTEXT(AB15)),AA48+1,0))</f>
        <v/>
      </c>
      <c r="AC48" s="1">
        <f>IF(AC$5="",0,IF(OR(AC15=TRUE,ISTEXT(AC15)),AB48+1,0))</f>
        <v/>
      </c>
      <c r="AD48" s="1">
        <f>IF(AD$5="",0,IF(OR(AD15=TRUE,ISTEXT(AD15)),AC48+1,0))</f>
        <v/>
      </c>
      <c r="AE48" s="1">
        <f>IF(AE$5="",0,IF(OR(AE15=TRUE,ISTEXT(AE15)),AD48+1,0))</f>
        <v/>
      </c>
      <c r="AF48" s="1">
        <f>IF(AF$5="",0,IF(OR(AF15=TRUE,ISTEXT(AF15)),AE48+1,0))</f>
        <v/>
      </c>
      <c r="AG48" s="1">
        <f>IF(AG$5="",0,IF(OR(AG15=TRUE,ISTEXT(AG15)),AF48+1,0))</f>
        <v/>
      </c>
      <c r="AH48" s="1" t="n"/>
      <c r="AI48" s="1" t="n"/>
      <c r="AJ48" s="1" t="n"/>
      <c r="AK48" s="1" t="n"/>
      <c r="AL48" s="1" t="n"/>
    </row>
    <row r="49" hidden="1">
      <c r="A49" s="1" t="n"/>
      <c r="B49" s="1">
        <f>B16</f>
        <v/>
      </c>
      <c r="C49" s="1">
        <f>IF(C$5="",0,IF(OR(C16=TRUE,ISTEXT(C16)),IFERROR(INDEX(Jan!$C$49:$AG$49,DAY(EOMONTH(DATE(Habits!$C$4,1,1),0))),0)+1,0))</f>
        <v/>
      </c>
      <c r="D49" s="1">
        <f>IF(D$5="",0,IF(OR(D16=TRUE,ISTEXT(D16)),C49+1,0))</f>
        <v/>
      </c>
      <c r="E49" s="1">
        <f>IF(E$5="",0,IF(OR(E16=TRUE,ISTEXT(E16)),D49+1,0))</f>
        <v/>
      </c>
      <c r="F49" s="1">
        <f>IF(F$5="",0,IF(OR(F16=TRUE,ISTEXT(F16)),E49+1,0))</f>
        <v/>
      </c>
      <c r="G49" s="1">
        <f>IF(G$5="",0,IF(OR(G16=TRUE,ISTEXT(G16)),F49+1,0))</f>
        <v/>
      </c>
      <c r="H49" s="1">
        <f>IF(H$5="",0,IF(OR(H16=TRUE,ISTEXT(H16)),G49+1,0))</f>
        <v/>
      </c>
      <c r="I49" s="1">
        <f>IF(I$5="",0,IF(OR(I16=TRUE,ISTEXT(I16)),H49+1,0))</f>
        <v/>
      </c>
      <c r="J49" s="1">
        <f>IF(J$5="",0,IF(OR(J16=TRUE,ISTEXT(J16)),I49+1,0))</f>
        <v/>
      </c>
      <c r="K49" s="1">
        <f>IF(K$5="",0,IF(OR(K16=TRUE,ISTEXT(K16)),J49+1,0))</f>
        <v/>
      </c>
      <c r="L49" s="1">
        <f>IF(L$5="",0,IF(OR(L16=TRUE,ISTEXT(L16)),K49+1,0))</f>
        <v/>
      </c>
      <c r="M49" s="1">
        <f>IF(M$5="",0,IF(OR(M16=TRUE,ISTEXT(M16)),L49+1,0))</f>
        <v/>
      </c>
      <c r="N49" s="1">
        <f>IF(N$5="",0,IF(OR(N16=TRUE,ISTEXT(N16)),M49+1,0))</f>
        <v/>
      </c>
      <c r="O49" s="1">
        <f>IF(O$5="",0,IF(OR(O16=TRUE,ISTEXT(O16)),N49+1,0))</f>
        <v/>
      </c>
      <c r="P49" s="1">
        <f>IF(P$5="",0,IF(OR(P16=TRUE,ISTEXT(P16)),O49+1,0))</f>
        <v/>
      </c>
      <c r="Q49" s="1">
        <f>IF(Q$5="",0,IF(OR(Q16=TRUE,ISTEXT(Q16)),P49+1,0))</f>
        <v/>
      </c>
      <c r="R49" s="1">
        <f>IF(R$5="",0,IF(OR(R16=TRUE,ISTEXT(R16)),Q49+1,0))</f>
        <v/>
      </c>
      <c r="S49" s="1">
        <f>IF(S$5="",0,IF(OR(S16=TRUE,ISTEXT(S16)),R49+1,0))</f>
        <v/>
      </c>
      <c r="T49" s="1">
        <f>IF(T$5="",0,IF(OR(T16=TRUE,ISTEXT(T16)),S49+1,0))</f>
        <v/>
      </c>
      <c r="U49" s="1">
        <f>IF(U$5="",0,IF(OR(U16=TRUE,ISTEXT(U16)),T49+1,0))</f>
        <v/>
      </c>
      <c r="V49" s="1">
        <f>IF(V$5="",0,IF(OR(V16=TRUE,ISTEXT(V16)),U49+1,0))</f>
        <v/>
      </c>
      <c r="W49" s="1">
        <f>IF(W$5="",0,IF(OR(W16=TRUE,ISTEXT(W16)),V49+1,0))</f>
        <v/>
      </c>
      <c r="X49" s="1">
        <f>IF(X$5="",0,IF(OR(X16=TRUE,ISTEXT(X16)),W49+1,0))</f>
        <v/>
      </c>
      <c r="Y49" s="1">
        <f>IF(Y$5="",0,IF(OR(Y16=TRUE,ISTEXT(Y16)),X49+1,0))</f>
        <v/>
      </c>
      <c r="Z49" s="1">
        <f>IF(Z$5="",0,IF(OR(Z16=TRUE,ISTEXT(Z16)),Y49+1,0))</f>
        <v/>
      </c>
      <c r="AA49" s="1">
        <f>IF(AA$5="",0,IF(OR(AA16=TRUE,ISTEXT(AA16)),Z49+1,0))</f>
        <v/>
      </c>
      <c r="AB49" s="1">
        <f>IF(AB$5="",0,IF(OR(AB16=TRUE,ISTEXT(AB16)),AA49+1,0))</f>
        <v/>
      </c>
      <c r="AC49" s="1">
        <f>IF(AC$5="",0,IF(OR(AC16=TRUE,ISTEXT(AC16)),AB49+1,0))</f>
        <v/>
      </c>
      <c r="AD49" s="1">
        <f>IF(AD$5="",0,IF(OR(AD16=TRUE,ISTEXT(AD16)),AC49+1,0))</f>
        <v/>
      </c>
      <c r="AE49" s="1">
        <f>IF(AE$5="",0,IF(OR(AE16=TRUE,ISTEXT(AE16)),AD49+1,0))</f>
        <v/>
      </c>
      <c r="AF49" s="1">
        <f>IF(AF$5="",0,IF(OR(AF16=TRUE,ISTEXT(AF16)),AE49+1,0))</f>
        <v/>
      </c>
      <c r="AG49" s="1">
        <f>IF(AG$5="",0,IF(OR(AG16=TRUE,ISTEXT(AG16)),AF49+1,0))</f>
        <v/>
      </c>
      <c r="AH49" s="1" t="n"/>
      <c r="AI49" s="1" t="n"/>
      <c r="AJ49" s="1" t="n"/>
      <c r="AK49" s="1" t="n"/>
      <c r="AL49" s="1" t="n"/>
    </row>
    <row r="50" hidden="1">
      <c r="A50" s="1" t="n"/>
      <c r="B50" s="1">
        <f>B17</f>
        <v/>
      </c>
      <c r="C50" s="1">
        <f>IF(C$5="",0,IF(OR(C17=TRUE,ISTEXT(C17)),IFERROR(INDEX(Jan!$C$50:$AG$50,DAY(EOMONTH(DATE(Habits!$C$4,1,1),0))),0)+1,0))</f>
        <v/>
      </c>
      <c r="D50" s="1">
        <f>IF(D$5="",0,IF(OR(D17=TRUE,ISTEXT(D17)),C50+1,0))</f>
        <v/>
      </c>
      <c r="E50" s="1">
        <f>IF(E$5="",0,IF(OR(E17=TRUE,ISTEXT(E17)),D50+1,0))</f>
        <v/>
      </c>
      <c r="F50" s="1">
        <f>IF(F$5="",0,IF(OR(F17=TRUE,ISTEXT(F17)),E50+1,0))</f>
        <v/>
      </c>
      <c r="G50" s="1">
        <f>IF(G$5="",0,IF(OR(G17=TRUE,ISTEXT(G17)),F50+1,0))</f>
        <v/>
      </c>
      <c r="H50" s="1">
        <f>IF(H$5="",0,IF(OR(H17=TRUE,ISTEXT(H17)),G50+1,0))</f>
        <v/>
      </c>
      <c r="I50" s="1">
        <f>IF(I$5="",0,IF(OR(I17=TRUE,ISTEXT(I17)),H50+1,0))</f>
        <v/>
      </c>
      <c r="J50" s="1">
        <f>IF(J$5="",0,IF(OR(J17=TRUE,ISTEXT(J17)),I50+1,0))</f>
        <v/>
      </c>
      <c r="K50" s="1">
        <f>IF(K$5="",0,IF(OR(K17=TRUE,ISTEXT(K17)),J50+1,0))</f>
        <v/>
      </c>
      <c r="L50" s="1">
        <f>IF(L$5="",0,IF(OR(L17=TRUE,ISTEXT(L17)),K50+1,0))</f>
        <v/>
      </c>
      <c r="M50" s="1">
        <f>IF(M$5="",0,IF(OR(M17=TRUE,ISTEXT(M17)),L50+1,0))</f>
        <v/>
      </c>
      <c r="N50" s="1">
        <f>IF(N$5="",0,IF(OR(N17=TRUE,ISTEXT(N17)),M50+1,0))</f>
        <v/>
      </c>
      <c r="O50" s="1">
        <f>IF(O$5="",0,IF(OR(O17=TRUE,ISTEXT(O17)),N50+1,0))</f>
        <v/>
      </c>
      <c r="P50" s="1">
        <f>IF(P$5="",0,IF(OR(P17=TRUE,ISTEXT(P17)),O50+1,0))</f>
        <v/>
      </c>
      <c r="Q50" s="1">
        <f>IF(Q$5="",0,IF(OR(Q17=TRUE,ISTEXT(Q17)),P50+1,0))</f>
        <v/>
      </c>
      <c r="R50" s="1">
        <f>IF(R$5="",0,IF(OR(R17=TRUE,ISTEXT(R17)),Q50+1,0))</f>
        <v/>
      </c>
      <c r="S50" s="1">
        <f>IF(S$5="",0,IF(OR(S17=TRUE,ISTEXT(S17)),R50+1,0))</f>
        <v/>
      </c>
      <c r="T50" s="1">
        <f>IF(T$5="",0,IF(OR(T17=TRUE,ISTEXT(T17)),S50+1,0))</f>
        <v/>
      </c>
      <c r="U50" s="1">
        <f>IF(U$5="",0,IF(OR(U17=TRUE,ISTEXT(U17)),T50+1,0))</f>
        <v/>
      </c>
      <c r="V50" s="1">
        <f>IF(V$5="",0,IF(OR(V17=TRUE,ISTEXT(V17)),U50+1,0))</f>
        <v/>
      </c>
      <c r="W50" s="1">
        <f>IF(W$5="",0,IF(OR(W17=TRUE,ISTEXT(W17)),V50+1,0))</f>
        <v/>
      </c>
      <c r="X50" s="1">
        <f>IF(X$5="",0,IF(OR(X17=TRUE,ISTEXT(X17)),W50+1,0))</f>
        <v/>
      </c>
      <c r="Y50" s="1">
        <f>IF(Y$5="",0,IF(OR(Y17=TRUE,ISTEXT(Y17)),X50+1,0))</f>
        <v/>
      </c>
      <c r="Z50" s="1">
        <f>IF(Z$5="",0,IF(OR(Z17=TRUE,ISTEXT(Z17)),Y50+1,0))</f>
        <v/>
      </c>
      <c r="AA50" s="1">
        <f>IF(AA$5="",0,IF(OR(AA17=TRUE,ISTEXT(AA17)),Z50+1,0))</f>
        <v/>
      </c>
      <c r="AB50" s="1">
        <f>IF(AB$5="",0,IF(OR(AB17=TRUE,ISTEXT(AB17)),AA50+1,0))</f>
        <v/>
      </c>
      <c r="AC50" s="1">
        <f>IF(AC$5="",0,IF(OR(AC17=TRUE,ISTEXT(AC17)),AB50+1,0))</f>
        <v/>
      </c>
      <c r="AD50" s="1">
        <f>IF(AD$5="",0,IF(OR(AD17=TRUE,ISTEXT(AD17)),AC50+1,0))</f>
        <v/>
      </c>
      <c r="AE50" s="1">
        <f>IF(AE$5="",0,IF(OR(AE17=TRUE,ISTEXT(AE17)),AD50+1,0))</f>
        <v/>
      </c>
      <c r="AF50" s="1">
        <f>IF(AF$5="",0,IF(OR(AF17=TRUE,ISTEXT(AF17)),AE50+1,0))</f>
        <v/>
      </c>
      <c r="AG50" s="1">
        <f>IF(AG$5="",0,IF(OR(AG17=TRUE,ISTEXT(AG17)),AF50+1,0))</f>
        <v/>
      </c>
      <c r="AH50" s="1" t="n"/>
      <c r="AI50" s="1" t="n"/>
      <c r="AJ50" s="1" t="n"/>
      <c r="AK50" s="1" t="n"/>
      <c r="AL50" s="1" t="n"/>
    </row>
    <row r="51" hidden="1">
      <c r="A51" s="1" t="n"/>
      <c r="B51" s="1">
        <f>B18</f>
        <v/>
      </c>
      <c r="C51" s="1">
        <f>IF(C$5="",0,IF(OR(C18=TRUE,ISTEXT(C18)),IFERROR(INDEX(Jan!$C$51:$AG$51,DAY(EOMONTH(DATE(Habits!$C$4,1,1),0))),0)+1,0))</f>
        <v/>
      </c>
      <c r="D51" s="1">
        <f>IF(D$5="",0,IF(OR(D18=TRUE,ISTEXT(D18)),C51+1,0))</f>
        <v/>
      </c>
      <c r="E51" s="1">
        <f>IF(E$5="",0,IF(OR(E18=TRUE,ISTEXT(E18)),D51+1,0))</f>
        <v/>
      </c>
      <c r="F51" s="1">
        <f>IF(F$5="",0,IF(OR(F18=TRUE,ISTEXT(F18)),E51+1,0))</f>
        <v/>
      </c>
      <c r="G51" s="1">
        <f>IF(G$5="",0,IF(OR(G18=TRUE,ISTEXT(G18)),F51+1,0))</f>
        <v/>
      </c>
      <c r="H51" s="1">
        <f>IF(H$5="",0,IF(OR(H18=TRUE,ISTEXT(H18)),G51+1,0))</f>
        <v/>
      </c>
      <c r="I51" s="1">
        <f>IF(I$5="",0,IF(OR(I18=TRUE,ISTEXT(I18)),H51+1,0))</f>
        <v/>
      </c>
      <c r="J51" s="1">
        <f>IF(J$5="",0,IF(OR(J18=TRUE,ISTEXT(J18)),I51+1,0))</f>
        <v/>
      </c>
      <c r="K51" s="1">
        <f>IF(K$5="",0,IF(OR(K18=TRUE,ISTEXT(K18)),J51+1,0))</f>
        <v/>
      </c>
      <c r="L51" s="1">
        <f>IF(L$5="",0,IF(OR(L18=TRUE,ISTEXT(L18)),K51+1,0))</f>
        <v/>
      </c>
      <c r="M51" s="1">
        <f>IF(M$5="",0,IF(OR(M18=TRUE,ISTEXT(M18)),L51+1,0))</f>
        <v/>
      </c>
      <c r="N51" s="1">
        <f>IF(N$5="",0,IF(OR(N18=TRUE,ISTEXT(N18)),M51+1,0))</f>
        <v/>
      </c>
      <c r="O51" s="1">
        <f>IF(O$5="",0,IF(OR(O18=TRUE,ISTEXT(O18)),N51+1,0))</f>
        <v/>
      </c>
      <c r="P51" s="1">
        <f>IF(P$5="",0,IF(OR(P18=TRUE,ISTEXT(P18)),O51+1,0))</f>
        <v/>
      </c>
      <c r="Q51" s="1">
        <f>IF(Q$5="",0,IF(OR(Q18=TRUE,ISTEXT(Q18)),P51+1,0))</f>
        <v/>
      </c>
      <c r="R51" s="1">
        <f>IF(R$5="",0,IF(OR(R18=TRUE,ISTEXT(R18)),Q51+1,0))</f>
        <v/>
      </c>
      <c r="S51" s="1">
        <f>IF(S$5="",0,IF(OR(S18=TRUE,ISTEXT(S18)),R51+1,0))</f>
        <v/>
      </c>
      <c r="T51" s="1">
        <f>IF(T$5="",0,IF(OR(T18=TRUE,ISTEXT(T18)),S51+1,0))</f>
        <v/>
      </c>
      <c r="U51" s="1">
        <f>IF(U$5="",0,IF(OR(U18=TRUE,ISTEXT(U18)),T51+1,0))</f>
        <v/>
      </c>
      <c r="V51" s="1">
        <f>IF(V$5="",0,IF(OR(V18=TRUE,ISTEXT(V18)),U51+1,0))</f>
        <v/>
      </c>
      <c r="W51" s="1">
        <f>IF(W$5="",0,IF(OR(W18=TRUE,ISTEXT(W18)),V51+1,0))</f>
        <v/>
      </c>
      <c r="X51" s="1">
        <f>IF(X$5="",0,IF(OR(X18=TRUE,ISTEXT(X18)),W51+1,0))</f>
        <v/>
      </c>
      <c r="Y51" s="1">
        <f>IF(Y$5="",0,IF(OR(Y18=TRUE,ISTEXT(Y18)),X51+1,0))</f>
        <v/>
      </c>
      <c r="Z51" s="1">
        <f>IF(Z$5="",0,IF(OR(Z18=TRUE,ISTEXT(Z18)),Y51+1,0))</f>
        <v/>
      </c>
      <c r="AA51" s="1">
        <f>IF(AA$5="",0,IF(OR(AA18=TRUE,ISTEXT(AA18)),Z51+1,0))</f>
        <v/>
      </c>
      <c r="AB51" s="1">
        <f>IF(AB$5="",0,IF(OR(AB18=TRUE,ISTEXT(AB18)),AA51+1,0))</f>
        <v/>
      </c>
      <c r="AC51" s="1">
        <f>IF(AC$5="",0,IF(OR(AC18=TRUE,ISTEXT(AC18)),AB51+1,0))</f>
        <v/>
      </c>
      <c r="AD51" s="1">
        <f>IF(AD$5="",0,IF(OR(AD18=TRUE,ISTEXT(AD18)),AC51+1,0))</f>
        <v/>
      </c>
      <c r="AE51" s="1">
        <f>IF(AE$5="",0,IF(OR(AE18=TRUE,ISTEXT(AE18)),AD51+1,0))</f>
        <v/>
      </c>
      <c r="AF51" s="1">
        <f>IF(AF$5="",0,IF(OR(AF18=TRUE,ISTEXT(AF18)),AE51+1,0))</f>
        <v/>
      </c>
      <c r="AG51" s="1">
        <f>IF(AG$5="",0,IF(OR(AG18=TRUE,ISTEXT(AG18)),AF51+1,0))</f>
        <v/>
      </c>
      <c r="AH51" s="1" t="n"/>
      <c r="AI51" s="1" t="n"/>
      <c r="AJ51" s="1" t="n"/>
      <c r="AK51" s="1" t="n"/>
      <c r="AL51" s="1" t="n"/>
    </row>
    <row r="52" hidden="1">
      <c r="A52" s="1" t="n"/>
      <c r="B52" s="1">
        <f>B19</f>
        <v/>
      </c>
      <c r="C52" s="1">
        <f>IF(C$5="",0,IF(OR(C19=TRUE,ISTEXT(C19)),IFERROR(INDEX(Jan!$C$52:$AG$52,DAY(EOMONTH(DATE(Habits!$C$4,1,1),0))),0)+1,0))</f>
        <v/>
      </c>
      <c r="D52" s="1">
        <f>IF(D$5="",0,IF(OR(D19=TRUE,ISTEXT(D19)),C52+1,0))</f>
        <v/>
      </c>
      <c r="E52" s="1">
        <f>IF(E$5="",0,IF(OR(E19=TRUE,ISTEXT(E19)),D52+1,0))</f>
        <v/>
      </c>
      <c r="F52" s="1">
        <f>IF(F$5="",0,IF(OR(F19=TRUE,ISTEXT(F19)),E52+1,0))</f>
        <v/>
      </c>
      <c r="G52" s="1">
        <f>IF(G$5="",0,IF(OR(G19=TRUE,ISTEXT(G19)),F52+1,0))</f>
        <v/>
      </c>
      <c r="H52" s="1">
        <f>IF(H$5="",0,IF(OR(H19=TRUE,ISTEXT(H19)),G52+1,0))</f>
        <v/>
      </c>
      <c r="I52" s="1">
        <f>IF(I$5="",0,IF(OR(I19=TRUE,ISTEXT(I19)),H52+1,0))</f>
        <v/>
      </c>
      <c r="J52" s="1">
        <f>IF(J$5="",0,IF(OR(J19=TRUE,ISTEXT(J19)),I52+1,0))</f>
        <v/>
      </c>
      <c r="K52" s="1">
        <f>IF(K$5="",0,IF(OR(K19=TRUE,ISTEXT(K19)),J52+1,0))</f>
        <v/>
      </c>
      <c r="L52" s="1">
        <f>IF(L$5="",0,IF(OR(L19=TRUE,ISTEXT(L19)),K52+1,0))</f>
        <v/>
      </c>
      <c r="M52" s="1">
        <f>IF(M$5="",0,IF(OR(M19=TRUE,ISTEXT(M19)),L52+1,0))</f>
        <v/>
      </c>
      <c r="N52" s="1">
        <f>IF(N$5="",0,IF(OR(N19=TRUE,ISTEXT(N19)),M52+1,0))</f>
        <v/>
      </c>
      <c r="O52" s="1">
        <f>IF(O$5="",0,IF(OR(O19=TRUE,ISTEXT(O19)),N52+1,0))</f>
        <v/>
      </c>
      <c r="P52" s="1">
        <f>IF(P$5="",0,IF(OR(P19=TRUE,ISTEXT(P19)),O52+1,0))</f>
        <v/>
      </c>
      <c r="Q52" s="1">
        <f>IF(Q$5="",0,IF(OR(Q19=TRUE,ISTEXT(Q19)),P52+1,0))</f>
        <v/>
      </c>
      <c r="R52" s="1">
        <f>IF(R$5="",0,IF(OR(R19=TRUE,ISTEXT(R19)),Q52+1,0))</f>
        <v/>
      </c>
      <c r="S52" s="1">
        <f>IF(S$5="",0,IF(OR(S19=TRUE,ISTEXT(S19)),R52+1,0))</f>
        <v/>
      </c>
      <c r="T52" s="1">
        <f>IF(T$5="",0,IF(OR(T19=TRUE,ISTEXT(T19)),S52+1,0))</f>
        <v/>
      </c>
      <c r="U52" s="1">
        <f>IF(U$5="",0,IF(OR(U19=TRUE,ISTEXT(U19)),T52+1,0))</f>
        <v/>
      </c>
      <c r="V52" s="1">
        <f>IF(V$5="",0,IF(OR(V19=TRUE,ISTEXT(V19)),U52+1,0))</f>
        <v/>
      </c>
      <c r="W52" s="1">
        <f>IF(W$5="",0,IF(OR(W19=TRUE,ISTEXT(W19)),V52+1,0))</f>
        <v/>
      </c>
      <c r="X52" s="1">
        <f>IF(X$5="",0,IF(OR(X19=TRUE,ISTEXT(X19)),W52+1,0))</f>
        <v/>
      </c>
      <c r="Y52" s="1">
        <f>IF(Y$5="",0,IF(OR(Y19=TRUE,ISTEXT(Y19)),X52+1,0))</f>
        <v/>
      </c>
      <c r="Z52" s="1">
        <f>IF(Z$5="",0,IF(OR(Z19=TRUE,ISTEXT(Z19)),Y52+1,0))</f>
        <v/>
      </c>
      <c r="AA52" s="1">
        <f>IF(AA$5="",0,IF(OR(AA19=TRUE,ISTEXT(AA19)),Z52+1,0))</f>
        <v/>
      </c>
      <c r="AB52" s="1">
        <f>IF(AB$5="",0,IF(OR(AB19=TRUE,ISTEXT(AB19)),AA52+1,0))</f>
        <v/>
      </c>
      <c r="AC52" s="1">
        <f>IF(AC$5="",0,IF(OR(AC19=TRUE,ISTEXT(AC19)),AB52+1,0))</f>
        <v/>
      </c>
      <c r="AD52" s="1">
        <f>IF(AD$5="",0,IF(OR(AD19=TRUE,ISTEXT(AD19)),AC52+1,0))</f>
        <v/>
      </c>
      <c r="AE52" s="1">
        <f>IF(AE$5="",0,IF(OR(AE19=TRUE,ISTEXT(AE19)),AD52+1,0))</f>
        <v/>
      </c>
      <c r="AF52" s="1">
        <f>IF(AF$5="",0,IF(OR(AF19=TRUE,ISTEXT(AF19)),AE52+1,0))</f>
        <v/>
      </c>
      <c r="AG52" s="1">
        <f>IF(AG$5="",0,IF(OR(AG19=TRUE,ISTEXT(AG19)),AF52+1,0))</f>
        <v/>
      </c>
      <c r="AH52" s="1" t="n"/>
      <c r="AI52" s="1" t="n"/>
      <c r="AJ52" s="1" t="n"/>
      <c r="AK52" s="1" t="n"/>
      <c r="AL52" s="1" t="n"/>
    </row>
    <row r="53" hidden="1">
      <c r="A53" s="1" t="n"/>
      <c r="B53" s="1">
        <f>B20</f>
        <v/>
      </c>
      <c r="C53" s="1">
        <f>IF(C$5="",0,IF(OR(C20=TRUE,ISTEXT(C20)),IFERROR(INDEX(Jan!$C$53:$AG$53,DAY(EOMONTH(DATE(Habits!$C$4,1,1),0))),0)+1,0))</f>
        <v/>
      </c>
      <c r="D53" s="1">
        <f>IF(D$5="",0,IF(OR(D20=TRUE,ISTEXT(D20)),C53+1,0))</f>
        <v/>
      </c>
      <c r="E53" s="1">
        <f>IF(E$5="",0,IF(OR(E20=TRUE,ISTEXT(E20)),D53+1,0))</f>
        <v/>
      </c>
      <c r="F53" s="1">
        <f>IF(F$5="",0,IF(OR(F20=TRUE,ISTEXT(F20)),E53+1,0))</f>
        <v/>
      </c>
      <c r="G53" s="1">
        <f>IF(G$5="",0,IF(OR(G20=TRUE,ISTEXT(G20)),F53+1,0))</f>
        <v/>
      </c>
      <c r="H53" s="1">
        <f>IF(H$5="",0,IF(OR(H20=TRUE,ISTEXT(H20)),G53+1,0))</f>
        <v/>
      </c>
      <c r="I53" s="1">
        <f>IF(I$5="",0,IF(OR(I20=TRUE,ISTEXT(I20)),H53+1,0))</f>
        <v/>
      </c>
      <c r="J53" s="1">
        <f>IF(J$5="",0,IF(OR(J20=TRUE,ISTEXT(J20)),I53+1,0))</f>
        <v/>
      </c>
      <c r="K53" s="1">
        <f>IF(K$5="",0,IF(OR(K20=TRUE,ISTEXT(K20)),J53+1,0))</f>
        <v/>
      </c>
      <c r="L53" s="1">
        <f>IF(L$5="",0,IF(OR(L20=TRUE,ISTEXT(L20)),K53+1,0))</f>
        <v/>
      </c>
      <c r="M53" s="1">
        <f>IF(M$5="",0,IF(OR(M20=TRUE,ISTEXT(M20)),L53+1,0))</f>
        <v/>
      </c>
      <c r="N53" s="1">
        <f>IF(N$5="",0,IF(OR(N20=TRUE,ISTEXT(N20)),M53+1,0))</f>
        <v/>
      </c>
      <c r="O53" s="1">
        <f>IF(O$5="",0,IF(OR(O20=TRUE,ISTEXT(O20)),N53+1,0))</f>
        <v/>
      </c>
      <c r="P53" s="1">
        <f>IF(P$5="",0,IF(OR(P20=TRUE,ISTEXT(P20)),O53+1,0))</f>
        <v/>
      </c>
      <c r="Q53" s="1">
        <f>IF(Q$5="",0,IF(OR(Q20=TRUE,ISTEXT(Q20)),P53+1,0))</f>
        <v/>
      </c>
      <c r="R53" s="1">
        <f>IF(R$5="",0,IF(OR(R20=TRUE,ISTEXT(R20)),Q53+1,0))</f>
        <v/>
      </c>
      <c r="S53" s="1">
        <f>IF(S$5="",0,IF(OR(S20=TRUE,ISTEXT(S20)),R53+1,0))</f>
        <v/>
      </c>
      <c r="T53" s="1">
        <f>IF(T$5="",0,IF(OR(T20=TRUE,ISTEXT(T20)),S53+1,0))</f>
        <v/>
      </c>
      <c r="U53" s="1">
        <f>IF(U$5="",0,IF(OR(U20=TRUE,ISTEXT(U20)),T53+1,0))</f>
        <v/>
      </c>
      <c r="V53" s="1">
        <f>IF(V$5="",0,IF(OR(V20=TRUE,ISTEXT(V20)),U53+1,0))</f>
        <v/>
      </c>
      <c r="W53" s="1">
        <f>IF(W$5="",0,IF(OR(W20=TRUE,ISTEXT(W20)),V53+1,0))</f>
        <v/>
      </c>
      <c r="X53" s="1">
        <f>IF(X$5="",0,IF(OR(X20=TRUE,ISTEXT(X20)),W53+1,0))</f>
        <v/>
      </c>
      <c r="Y53" s="1">
        <f>IF(Y$5="",0,IF(OR(Y20=TRUE,ISTEXT(Y20)),X53+1,0))</f>
        <v/>
      </c>
      <c r="Z53" s="1">
        <f>IF(Z$5="",0,IF(OR(Z20=TRUE,ISTEXT(Z20)),Y53+1,0))</f>
        <v/>
      </c>
      <c r="AA53" s="1">
        <f>IF(AA$5="",0,IF(OR(AA20=TRUE,ISTEXT(AA20)),Z53+1,0))</f>
        <v/>
      </c>
      <c r="AB53" s="1">
        <f>IF(AB$5="",0,IF(OR(AB20=TRUE,ISTEXT(AB20)),AA53+1,0))</f>
        <v/>
      </c>
      <c r="AC53" s="1">
        <f>IF(AC$5="",0,IF(OR(AC20=TRUE,ISTEXT(AC20)),AB53+1,0))</f>
        <v/>
      </c>
      <c r="AD53" s="1">
        <f>IF(AD$5="",0,IF(OR(AD20=TRUE,ISTEXT(AD20)),AC53+1,0))</f>
        <v/>
      </c>
      <c r="AE53" s="1">
        <f>IF(AE$5="",0,IF(OR(AE20=TRUE,ISTEXT(AE20)),AD53+1,0))</f>
        <v/>
      </c>
      <c r="AF53" s="1">
        <f>IF(AF$5="",0,IF(OR(AF20=TRUE,ISTEXT(AF20)),AE53+1,0))</f>
        <v/>
      </c>
      <c r="AG53" s="1">
        <f>IF(AG$5="",0,IF(OR(AG20=TRUE,ISTEXT(AG20)),AF53+1,0))</f>
        <v/>
      </c>
      <c r="AH53" s="1" t="n"/>
      <c r="AI53" s="1" t="n"/>
      <c r="AJ53" s="1" t="n"/>
      <c r="AK53" s="1" t="n"/>
      <c r="AL53" s="1" t="n"/>
    </row>
    <row r="54" hidden="1">
      <c r="A54" s="1" t="n"/>
      <c r="B54" s="1">
        <f>B21</f>
        <v/>
      </c>
      <c r="C54" s="1">
        <f>IF(C$5="",0,IF(OR(C21=TRUE,ISTEXT(C21)),IFERROR(INDEX(Jan!$C$54:$AG$54,DAY(EOMONTH(DATE(Habits!$C$4,1,1),0))),0)+1,0))</f>
        <v/>
      </c>
      <c r="D54" s="1">
        <f>IF(D$5="",0,IF(OR(D21=TRUE,ISTEXT(D21)),C54+1,0))</f>
        <v/>
      </c>
      <c r="E54" s="1">
        <f>IF(E$5="",0,IF(OR(E21=TRUE,ISTEXT(E21)),D54+1,0))</f>
        <v/>
      </c>
      <c r="F54" s="1">
        <f>IF(F$5="",0,IF(OR(F21=TRUE,ISTEXT(F21)),E54+1,0))</f>
        <v/>
      </c>
      <c r="G54" s="1">
        <f>IF(G$5="",0,IF(OR(G21=TRUE,ISTEXT(G21)),F54+1,0))</f>
        <v/>
      </c>
      <c r="H54" s="1">
        <f>IF(H$5="",0,IF(OR(H21=TRUE,ISTEXT(H21)),G54+1,0))</f>
        <v/>
      </c>
      <c r="I54" s="1">
        <f>IF(I$5="",0,IF(OR(I21=TRUE,ISTEXT(I21)),H54+1,0))</f>
        <v/>
      </c>
      <c r="J54" s="1">
        <f>IF(J$5="",0,IF(OR(J21=TRUE,ISTEXT(J21)),I54+1,0))</f>
        <v/>
      </c>
      <c r="K54" s="1">
        <f>IF(K$5="",0,IF(OR(K21=TRUE,ISTEXT(K21)),J54+1,0))</f>
        <v/>
      </c>
      <c r="L54" s="1">
        <f>IF(L$5="",0,IF(OR(L21=TRUE,ISTEXT(L21)),K54+1,0))</f>
        <v/>
      </c>
      <c r="M54" s="1">
        <f>IF(M$5="",0,IF(OR(M21=TRUE,ISTEXT(M21)),L54+1,0))</f>
        <v/>
      </c>
      <c r="N54" s="1">
        <f>IF(N$5="",0,IF(OR(N21=TRUE,ISTEXT(N21)),M54+1,0))</f>
        <v/>
      </c>
      <c r="O54" s="1">
        <f>IF(O$5="",0,IF(OR(O21=TRUE,ISTEXT(O21)),N54+1,0))</f>
        <v/>
      </c>
      <c r="P54" s="1">
        <f>IF(P$5="",0,IF(OR(P21=TRUE,ISTEXT(P21)),O54+1,0))</f>
        <v/>
      </c>
      <c r="Q54" s="1">
        <f>IF(Q$5="",0,IF(OR(Q21=TRUE,ISTEXT(Q21)),P54+1,0))</f>
        <v/>
      </c>
      <c r="R54" s="1">
        <f>IF(R$5="",0,IF(OR(R21=TRUE,ISTEXT(R21)),Q54+1,0))</f>
        <v/>
      </c>
      <c r="S54" s="1">
        <f>IF(S$5="",0,IF(OR(S21=TRUE,ISTEXT(S21)),R54+1,0))</f>
        <v/>
      </c>
      <c r="T54" s="1">
        <f>IF(T$5="",0,IF(OR(T21=TRUE,ISTEXT(T21)),S54+1,0))</f>
        <v/>
      </c>
      <c r="U54" s="1">
        <f>IF(U$5="",0,IF(OR(U21=TRUE,ISTEXT(U21)),T54+1,0))</f>
        <v/>
      </c>
      <c r="V54" s="1">
        <f>IF(V$5="",0,IF(OR(V21=TRUE,ISTEXT(V21)),U54+1,0))</f>
        <v/>
      </c>
      <c r="W54" s="1">
        <f>IF(W$5="",0,IF(OR(W21=TRUE,ISTEXT(W21)),V54+1,0))</f>
        <v/>
      </c>
      <c r="X54" s="1">
        <f>IF(X$5="",0,IF(OR(X21=TRUE,ISTEXT(X21)),W54+1,0))</f>
        <v/>
      </c>
      <c r="Y54" s="1">
        <f>IF(Y$5="",0,IF(OR(Y21=TRUE,ISTEXT(Y21)),X54+1,0))</f>
        <v/>
      </c>
      <c r="Z54" s="1">
        <f>IF(Z$5="",0,IF(OR(Z21=TRUE,ISTEXT(Z21)),Y54+1,0))</f>
        <v/>
      </c>
      <c r="AA54" s="1">
        <f>IF(AA$5="",0,IF(OR(AA21=TRUE,ISTEXT(AA21)),Z54+1,0))</f>
        <v/>
      </c>
      <c r="AB54" s="1">
        <f>IF(AB$5="",0,IF(OR(AB21=TRUE,ISTEXT(AB21)),AA54+1,0))</f>
        <v/>
      </c>
      <c r="AC54" s="1">
        <f>IF(AC$5="",0,IF(OR(AC21=TRUE,ISTEXT(AC21)),AB54+1,0))</f>
        <v/>
      </c>
      <c r="AD54" s="1">
        <f>IF(AD$5="",0,IF(OR(AD21=TRUE,ISTEXT(AD21)),AC54+1,0))</f>
        <v/>
      </c>
      <c r="AE54" s="1">
        <f>IF(AE$5="",0,IF(OR(AE21=TRUE,ISTEXT(AE21)),AD54+1,0))</f>
        <v/>
      </c>
      <c r="AF54" s="1">
        <f>IF(AF$5="",0,IF(OR(AF21=TRUE,ISTEXT(AF21)),AE54+1,0))</f>
        <v/>
      </c>
      <c r="AG54" s="1">
        <f>IF(AG$5="",0,IF(OR(AG21=TRUE,ISTEXT(AG21)),AF54+1,0))</f>
        <v/>
      </c>
      <c r="AH54" s="1" t="n"/>
      <c r="AI54" s="1" t="n"/>
      <c r="AJ54" s="1" t="n"/>
      <c r="AK54" s="1" t="n"/>
      <c r="A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</sheetData>
  <mergeCells count="2">
    <mergeCell ref="AH24:AI24"/>
    <mergeCell ref="AH23:AI23"/>
  </mergeCells>
  <conditionalFormatting sqref="C7:AG24">
    <cfRule type="expression" priority="1" dxfId="12">
      <formula>C$5=""</formula>
    </cfRule>
  </conditionalFormatting>
  <conditionalFormatting sqref="C7:AG21">
    <cfRule type="expression" priority="2" dxfId="13">
      <formula>AND($B7&lt;&gt;"",OR(C7=TRUE,ISTEXT(C7)))</formula>
    </cfRule>
    <cfRule type="expression" priority="3" dxfId="14">
      <formula>$B7=""</formula>
    </cfRule>
  </conditionalFormatting>
  <conditionalFormatting sqref="C23:AG23">
    <cfRule type="expression" priority="4" dxfId="1">
      <formula>C23=5</formula>
    </cfRule>
    <cfRule type="expression" priority="5" dxfId="2">
      <formula>C23=4</formula>
    </cfRule>
    <cfRule type="expression" priority="6" dxfId="3">
      <formula>C23=3</formula>
    </cfRule>
    <cfRule type="expression" priority="7" dxfId="4">
      <formula>C23=2</formula>
    </cfRule>
    <cfRule type="expression" priority="8" dxfId="5">
      <formula>C23=1</formula>
    </cfRule>
  </conditionalFormatting>
  <conditionalFormatting sqref="C5:AG5">
    <cfRule type="expression" priority="9" dxfId="15">
      <formula>AND(C$5&lt;&gt;"",DATE(Habits!$C$4,2,C$5)=TODAY())</formula>
    </cfRule>
  </conditionalFormatting>
  <conditionalFormatting sqref="AI7:AI21">
    <cfRule type="colorScale" priority="10">
      <colorScale>
        <cfvo type="num" val="0"/>
        <cfvo type="num" val="1"/>
        <color rgb="00FFFFFF"/>
        <color rgb="008CC5A8"/>
      </colorScale>
    </cfRule>
  </conditionalFormatting>
  <dataValidations count="1">
    <dataValidation sqref="C23:AG2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L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7" customWidth="1" min="34" max="34"/>
    <col width="7" customWidth="1" min="35" max="35"/>
    <col width="8" customWidth="1" min="36" max="36"/>
    <col width="8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>
        <f>"March "&amp;Habits!$C$4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Type x on each day you did a habit. Mood from 1 to 5, sleep in hours.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30" customHeight="1">
      <c r="A5" s="1" t="n"/>
      <c r="B5" s="28" t="inlineStr">
        <is>
          <t>Habit</t>
        </is>
      </c>
      <c r="C5" s="29">
        <f>IF(1&lt;=DAY(EOMONTH(DATE(Habits!$C$4,3,1),0)),1,"")</f>
        <v/>
      </c>
      <c r="D5" s="29">
        <f>IF(2&lt;=DAY(EOMONTH(DATE(Habits!$C$4,3,1),0)),2,"")</f>
        <v/>
      </c>
      <c r="E5" s="29">
        <f>IF(3&lt;=DAY(EOMONTH(DATE(Habits!$C$4,3,1),0)),3,"")</f>
        <v/>
      </c>
      <c r="F5" s="29">
        <f>IF(4&lt;=DAY(EOMONTH(DATE(Habits!$C$4,3,1),0)),4,"")</f>
        <v/>
      </c>
      <c r="G5" s="29">
        <f>IF(5&lt;=DAY(EOMONTH(DATE(Habits!$C$4,3,1),0)),5,"")</f>
        <v/>
      </c>
      <c r="H5" s="29">
        <f>IF(6&lt;=DAY(EOMONTH(DATE(Habits!$C$4,3,1),0)),6,"")</f>
        <v/>
      </c>
      <c r="I5" s="29">
        <f>IF(7&lt;=DAY(EOMONTH(DATE(Habits!$C$4,3,1),0)),7,"")</f>
        <v/>
      </c>
      <c r="J5" s="29">
        <f>IF(8&lt;=DAY(EOMONTH(DATE(Habits!$C$4,3,1),0)),8,"")</f>
        <v/>
      </c>
      <c r="K5" s="29">
        <f>IF(9&lt;=DAY(EOMONTH(DATE(Habits!$C$4,3,1),0)),9,"")</f>
        <v/>
      </c>
      <c r="L5" s="29">
        <f>IF(10&lt;=DAY(EOMONTH(DATE(Habits!$C$4,3,1),0)),10,"")</f>
        <v/>
      </c>
      <c r="M5" s="29">
        <f>IF(11&lt;=DAY(EOMONTH(DATE(Habits!$C$4,3,1),0)),11,"")</f>
        <v/>
      </c>
      <c r="N5" s="29">
        <f>IF(12&lt;=DAY(EOMONTH(DATE(Habits!$C$4,3,1),0)),12,"")</f>
        <v/>
      </c>
      <c r="O5" s="29">
        <f>IF(13&lt;=DAY(EOMONTH(DATE(Habits!$C$4,3,1),0)),13,"")</f>
        <v/>
      </c>
      <c r="P5" s="29">
        <f>IF(14&lt;=DAY(EOMONTH(DATE(Habits!$C$4,3,1),0)),14,"")</f>
        <v/>
      </c>
      <c r="Q5" s="29">
        <f>IF(15&lt;=DAY(EOMONTH(DATE(Habits!$C$4,3,1),0)),15,"")</f>
        <v/>
      </c>
      <c r="R5" s="29">
        <f>IF(16&lt;=DAY(EOMONTH(DATE(Habits!$C$4,3,1),0)),16,"")</f>
        <v/>
      </c>
      <c r="S5" s="29">
        <f>IF(17&lt;=DAY(EOMONTH(DATE(Habits!$C$4,3,1),0)),17,"")</f>
        <v/>
      </c>
      <c r="T5" s="29">
        <f>IF(18&lt;=DAY(EOMONTH(DATE(Habits!$C$4,3,1),0)),18,"")</f>
        <v/>
      </c>
      <c r="U5" s="29">
        <f>IF(19&lt;=DAY(EOMONTH(DATE(Habits!$C$4,3,1),0)),19,"")</f>
        <v/>
      </c>
      <c r="V5" s="29">
        <f>IF(20&lt;=DAY(EOMONTH(DATE(Habits!$C$4,3,1),0)),20,"")</f>
        <v/>
      </c>
      <c r="W5" s="29">
        <f>IF(21&lt;=DAY(EOMONTH(DATE(Habits!$C$4,3,1),0)),21,"")</f>
        <v/>
      </c>
      <c r="X5" s="29">
        <f>IF(22&lt;=DAY(EOMONTH(DATE(Habits!$C$4,3,1),0)),22,"")</f>
        <v/>
      </c>
      <c r="Y5" s="29">
        <f>IF(23&lt;=DAY(EOMONTH(DATE(Habits!$C$4,3,1),0)),23,"")</f>
        <v/>
      </c>
      <c r="Z5" s="29">
        <f>IF(24&lt;=DAY(EOMONTH(DATE(Habits!$C$4,3,1),0)),24,"")</f>
        <v/>
      </c>
      <c r="AA5" s="29">
        <f>IF(25&lt;=DAY(EOMONTH(DATE(Habits!$C$4,3,1),0)),25,"")</f>
        <v/>
      </c>
      <c r="AB5" s="29">
        <f>IF(26&lt;=DAY(EOMONTH(DATE(Habits!$C$4,3,1),0)),26,"")</f>
        <v/>
      </c>
      <c r="AC5" s="29">
        <f>IF(27&lt;=DAY(EOMONTH(DATE(Habits!$C$4,3,1),0)),27,"")</f>
        <v/>
      </c>
      <c r="AD5" s="29">
        <f>IF(28&lt;=DAY(EOMONTH(DATE(Habits!$C$4,3,1),0)),28,"")</f>
        <v/>
      </c>
      <c r="AE5" s="29">
        <f>IF(29&lt;=DAY(EOMONTH(DATE(Habits!$C$4,3,1),0)),29,"")</f>
        <v/>
      </c>
      <c r="AF5" s="29">
        <f>IF(30&lt;=DAY(EOMONTH(DATE(Habits!$C$4,3,1),0)),30,"")</f>
        <v/>
      </c>
      <c r="AG5" s="29">
        <f>IF(31&lt;=DAY(EOMONTH(DATE(Habits!$C$4,3,1),0)),31,"")</f>
        <v/>
      </c>
      <c r="AH5" s="30" t="inlineStr">
        <is>
          <t>Done</t>
        </is>
      </c>
      <c r="AI5" s="30" t="inlineStr">
        <is>
          <t>Share</t>
        </is>
      </c>
      <c r="AJ5" s="30" t="inlineStr">
        <is>
          <t>Streak now</t>
        </is>
      </c>
      <c r="AK5" s="30" t="inlineStr">
        <is>
          <t>Best streak</t>
        </is>
      </c>
      <c r="AL5" s="1" t="n"/>
    </row>
    <row r="6">
      <c r="A6" s="1" t="n"/>
      <c r="B6" s="1" t="n"/>
      <c r="C6" s="31">
        <f>IF(C$5="","",CHOOSE(WEEKDAY(DATE(Habits!$C$4,3,1),2),"M","T","W","T","F","S","S"))</f>
        <v/>
      </c>
      <c r="D6" s="31">
        <f>IF(D$5="","",CHOOSE(WEEKDAY(DATE(Habits!$C$4,3,2),2),"M","T","W","T","F","S","S"))</f>
        <v/>
      </c>
      <c r="E6" s="31">
        <f>IF(E$5="","",CHOOSE(WEEKDAY(DATE(Habits!$C$4,3,3),2),"M","T","W","T","F","S","S"))</f>
        <v/>
      </c>
      <c r="F6" s="31">
        <f>IF(F$5="","",CHOOSE(WEEKDAY(DATE(Habits!$C$4,3,4),2),"M","T","W","T","F","S","S"))</f>
        <v/>
      </c>
      <c r="G6" s="31">
        <f>IF(G$5="","",CHOOSE(WEEKDAY(DATE(Habits!$C$4,3,5),2),"M","T","W","T","F","S","S"))</f>
        <v/>
      </c>
      <c r="H6" s="31">
        <f>IF(H$5="","",CHOOSE(WEEKDAY(DATE(Habits!$C$4,3,6),2),"M","T","W","T","F","S","S"))</f>
        <v/>
      </c>
      <c r="I6" s="31">
        <f>IF(I$5="","",CHOOSE(WEEKDAY(DATE(Habits!$C$4,3,7),2),"M","T","W","T","F","S","S"))</f>
        <v/>
      </c>
      <c r="J6" s="31">
        <f>IF(J$5="","",CHOOSE(WEEKDAY(DATE(Habits!$C$4,3,8),2),"M","T","W","T","F","S","S"))</f>
        <v/>
      </c>
      <c r="K6" s="31">
        <f>IF(K$5="","",CHOOSE(WEEKDAY(DATE(Habits!$C$4,3,9),2),"M","T","W","T","F","S","S"))</f>
        <v/>
      </c>
      <c r="L6" s="31">
        <f>IF(L$5="","",CHOOSE(WEEKDAY(DATE(Habits!$C$4,3,10),2),"M","T","W","T","F","S","S"))</f>
        <v/>
      </c>
      <c r="M6" s="31">
        <f>IF(M$5="","",CHOOSE(WEEKDAY(DATE(Habits!$C$4,3,11),2),"M","T","W","T","F","S","S"))</f>
        <v/>
      </c>
      <c r="N6" s="31">
        <f>IF(N$5="","",CHOOSE(WEEKDAY(DATE(Habits!$C$4,3,12),2),"M","T","W","T","F","S","S"))</f>
        <v/>
      </c>
      <c r="O6" s="31">
        <f>IF(O$5="","",CHOOSE(WEEKDAY(DATE(Habits!$C$4,3,13),2),"M","T","W","T","F","S","S"))</f>
        <v/>
      </c>
      <c r="P6" s="31">
        <f>IF(P$5="","",CHOOSE(WEEKDAY(DATE(Habits!$C$4,3,14),2),"M","T","W","T","F","S","S"))</f>
        <v/>
      </c>
      <c r="Q6" s="31">
        <f>IF(Q$5="","",CHOOSE(WEEKDAY(DATE(Habits!$C$4,3,15),2),"M","T","W","T","F","S","S"))</f>
        <v/>
      </c>
      <c r="R6" s="31">
        <f>IF(R$5="","",CHOOSE(WEEKDAY(DATE(Habits!$C$4,3,16),2),"M","T","W","T","F","S","S"))</f>
        <v/>
      </c>
      <c r="S6" s="31">
        <f>IF(S$5="","",CHOOSE(WEEKDAY(DATE(Habits!$C$4,3,17),2),"M","T","W","T","F","S","S"))</f>
        <v/>
      </c>
      <c r="T6" s="31">
        <f>IF(T$5="","",CHOOSE(WEEKDAY(DATE(Habits!$C$4,3,18),2),"M","T","W","T","F","S","S"))</f>
        <v/>
      </c>
      <c r="U6" s="31">
        <f>IF(U$5="","",CHOOSE(WEEKDAY(DATE(Habits!$C$4,3,19),2),"M","T","W","T","F","S","S"))</f>
        <v/>
      </c>
      <c r="V6" s="31">
        <f>IF(V$5="","",CHOOSE(WEEKDAY(DATE(Habits!$C$4,3,20),2),"M","T","W","T","F","S","S"))</f>
        <v/>
      </c>
      <c r="W6" s="31">
        <f>IF(W$5="","",CHOOSE(WEEKDAY(DATE(Habits!$C$4,3,21),2),"M","T","W","T","F","S","S"))</f>
        <v/>
      </c>
      <c r="X6" s="31">
        <f>IF(X$5="","",CHOOSE(WEEKDAY(DATE(Habits!$C$4,3,22),2),"M","T","W","T","F","S","S"))</f>
        <v/>
      </c>
      <c r="Y6" s="31">
        <f>IF(Y$5="","",CHOOSE(WEEKDAY(DATE(Habits!$C$4,3,23),2),"M","T","W","T","F","S","S"))</f>
        <v/>
      </c>
      <c r="Z6" s="31">
        <f>IF(Z$5="","",CHOOSE(WEEKDAY(DATE(Habits!$C$4,3,24),2),"M","T","W","T","F","S","S"))</f>
        <v/>
      </c>
      <c r="AA6" s="31">
        <f>IF(AA$5="","",CHOOSE(WEEKDAY(DATE(Habits!$C$4,3,25),2),"M","T","W","T","F","S","S"))</f>
        <v/>
      </c>
      <c r="AB6" s="31">
        <f>IF(AB$5="","",CHOOSE(WEEKDAY(DATE(Habits!$C$4,3,26),2),"M","T","W","T","F","S","S"))</f>
        <v/>
      </c>
      <c r="AC6" s="31">
        <f>IF(AC$5="","",CHOOSE(WEEKDAY(DATE(Habits!$C$4,3,27),2),"M","T","W","T","F","S","S"))</f>
        <v/>
      </c>
      <c r="AD6" s="31">
        <f>IF(AD$5="","",CHOOSE(WEEKDAY(DATE(Habits!$C$4,3,28),2),"M","T","W","T","F","S","S"))</f>
        <v/>
      </c>
      <c r="AE6" s="31">
        <f>IF(AE$5="","",CHOOSE(WEEKDAY(DATE(Habits!$C$4,3,29),2),"M","T","W","T","F","S","S"))</f>
        <v/>
      </c>
      <c r="AF6" s="31">
        <f>IF(AF$5="","",CHOOSE(WEEKDAY(DATE(Habits!$C$4,3,30),2),"M","T","W","T","F","S","S"))</f>
        <v/>
      </c>
      <c r="AG6" s="31">
        <f>IF(AG$5="","",CHOOSE(WEEKDAY(DATE(Habits!$C$4,3,31),2),"M","T","W","T","F","S","S"))</f>
        <v/>
      </c>
      <c r="AH6" s="1" t="n"/>
      <c r="AI6" s="1" t="n"/>
      <c r="AJ6" s="1" t="n"/>
      <c r="AK6" s="1" t="n"/>
      <c r="AL6" s="1" t="n"/>
    </row>
    <row r="7">
      <c r="A7" s="1" t="n"/>
      <c r="B7" s="32">
        <f>IF(Habits!B8="","",Habits!B8)</f>
        <v/>
      </c>
      <c r="C7" s="33" t="inlineStr">
        <is>
          <t>x</t>
        </is>
      </c>
      <c r="D7" s="33" t="inlineStr">
        <is>
          <t>x</t>
        </is>
      </c>
      <c r="E7" s="33" t="inlineStr">
        <is>
          <t>x</t>
        </is>
      </c>
      <c r="F7" s="33" t="inlineStr">
        <is>
          <t>x</t>
        </is>
      </c>
      <c r="G7" s="33" t="inlineStr">
        <is>
          <t>x</t>
        </is>
      </c>
      <c r="H7" s="33" t="n"/>
      <c r="I7" s="33" t="inlineStr">
        <is>
          <t>x</t>
        </is>
      </c>
      <c r="J7" s="33" t="inlineStr">
        <is>
          <t>x</t>
        </is>
      </c>
      <c r="K7" s="33" t="inlineStr">
        <is>
          <t>x</t>
        </is>
      </c>
      <c r="L7" s="33" t="inlineStr">
        <is>
          <t>x</t>
        </is>
      </c>
      <c r="M7" s="33" t="inlineStr">
        <is>
          <t>x</t>
        </is>
      </c>
      <c r="N7" s="33" t="n"/>
      <c r="O7" s="33" t="inlineStr">
        <is>
          <t>x</t>
        </is>
      </c>
      <c r="P7" s="33" t="inlineStr">
        <is>
          <t>x</t>
        </is>
      </c>
      <c r="Q7" s="33" t="n"/>
      <c r="R7" s="33" t="inlineStr">
        <is>
          <t>x</t>
        </is>
      </c>
      <c r="S7" s="33" t="inlineStr">
        <is>
          <t>x</t>
        </is>
      </c>
      <c r="T7" s="33" t="inlineStr">
        <is>
          <t>x</t>
        </is>
      </c>
      <c r="U7" s="33" t="inlineStr">
        <is>
          <t>x</t>
        </is>
      </c>
      <c r="V7" s="33" t="n"/>
      <c r="W7" s="33" t="inlineStr">
        <is>
          <t>x</t>
        </is>
      </c>
      <c r="X7" s="33" t="inlineStr">
        <is>
          <t>x</t>
        </is>
      </c>
      <c r="Y7" s="33" t="inlineStr">
        <is>
          <t>x</t>
        </is>
      </c>
      <c r="Z7" s="33" t="inlineStr">
        <is>
          <t>x</t>
        </is>
      </c>
      <c r="AA7" s="33" t="inlineStr">
        <is>
          <t>x</t>
        </is>
      </c>
      <c r="AB7" s="33" t="n"/>
      <c r="AC7" s="33" t="inlineStr">
        <is>
          <t>x</t>
        </is>
      </c>
      <c r="AD7" s="33" t="n"/>
      <c r="AE7" s="33" t="inlineStr">
        <is>
          <t>x</t>
        </is>
      </c>
      <c r="AF7" s="33" t="inlineStr">
        <is>
          <t>x</t>
        </is>
      </c>
      <c r="AG7" s="33" t="n"/>
      <c r="AH7" s="13">
        <f>IF(B7="","",COUNTIF($C40:$AG40,"&gt;0"))</f>
        <v/>
      </c>
      <c r="AI7" s="14">
        <f>IF(OR(B7="",IF(AND(Habits!$C$4=YEAR(TODAY()),3=MONTH(TODAY())),DAY(TODAY()),IF(DATE(Habits!$C$4,3,1)&gt;TODAY(),0,DAY(EOMONTH(DATE(Habits!$C$4,3,1),0))))=0),"",MIN(1,(COUNTIF($C40:$AG40,"&gt;0"))/IF(AND(Habits!$C$4=YEAR(TODAY()),3=MONTH(TODAY())),DAY(TODAY()),IF(DATE(Habits!$C$4,3,1)&gt;TODAY(),0,DAY(EOMONTH(DATE(Habits!$C$4,3,1),0))))))</f>
        <v/>
      </c>
      <c r="AJ7" s="16">
        <f>IF(B7="","",IF(AND(Habits!$C$4=YEAR(TODAY()),3=MONTH(TODAY())),IF(INDEX($C40:$AG40,DAY(TODAY()))&gt;0,INDEX($C40:$AG40,DAY(TODAY())),IF(DAY(TODAY())=1,IFERROR(INDEX(Feb!$C$40:$AG$40,DAY(EOMONTH(DATE(Habits!$C$4,2,1),0))),0),INDEX($C40:$AG40,DAY(TODAY())-1))),IF(DATE(Habits!$C$4,3,1)&gt;TODAY(),"",INDEX($C40:$AG40,DAY(EOMONTH(DATE(Habits!$C$4,3,1),0))))))</f>
        <v/>
      </c>
      <c r="AK7" s="13">
        <f>IF(B7="","",MAX($C40:$AG40))</f>
        <v/>
      </c>
      <c r="AL7" s="1" t="n"/>
    </row>
    <row r="8">
      <c r="A8" s="1" t="n"/>
      <c r="B8" s="32">
        <f>IF(Habits!B9="","",Habits!B9)</f>
        <v/>
      </c>
      <c r="C8" s="33" t="inlineStr">
        <is>
          <t>x</t>
        </is>
      </c>
      <c r="D8" s="33" t="inlineStr">
        <is>
          <t>x</t>
        </is>
      </c>
      <c r="E8" s="33" t="inlineStr">
        <is>
          <t>x</t>
        </is>
      </c>
      <c r="F8" s="33" t="inlineStr">
        <is>
          <t>x</t>
        </is>
      </c>
      <c r="G8" s="33" t="n"/>
      <c r="H8" s="33" t="inlineStr">
        <is>
          <t>x</t>
        </is>
      </c>
      <c r="I8" s="33" t="n"/>
      <c r="J8" s="33" t="inlineStr">
        <is>
          <t>x</t>
        </is>
      </c>
      <c r="K8" s="33" t="inlineStr">
        <is>
          <t>x</t>
        </is>
      </c>
      <c r="L8" s="33" t="n"/>
      <c r="M8" s="33" t="n"/>
      <c r="N8" s="33" t="inlineStr">
        <is>
          <t>x</t>
        </is>
      </c>
      <c r="O8" s="33" t="inlineStr">
        <is>
          <t>x</t>
        </is>
      </c>
      <c r="P8" s="33" t="n"/>
      <c r="Q8" s="33" t="inlineStr">
        <is>
          <t>x</t>
        </is>
      </c>
      <c r="R8" s="33" t="n"/>
      <c r="S8" s="33" t="inlineStr">
        <is>
          <t>x</t>
        </is>
      </c>
      <c r="T8" s="33" t="n"/>
      <c r="U8" s="33" t="n"/>
      <c r="V8" s="33" t="n"/>
      <c r="W8" s="33" t="inlineStr">
        <is>
          <t>x</t>
        </is>
      </c>
      <c r="X8" s="33" t="inlineStr">
        <is>
          <t>x</t>
        </is>
      </c>
      <c r="Y8" s="33" t="n"/>
      <c r="Z8" s="33" t="n"/>
      <c r="AA8" s="33" t="n"/>
      <c r="AB8" s="33" t="inlineStr">
        <is>
          <t>x</t>
        </is>
      </c>
      <c r="AC8" s="33" t="n"/>
      <c r="AD8" s="33" t="n"/>
      <c r="AE8" s="33" t="n"/>
      <c r="AF8" s="33" t="inlineStr">
        <is>
          <t>x</t>
        </is>
      </c>
      <c r="AG8" s="33" t="inlineStr">
        <is>
          <t>x</t>
        </is>
      </c>
      <c r="AH8" s="13">
        <f>IF(B8="","",COUNTIF($C41:$AG41,"&gt;0"))</f>
        <v/>
      </c>
      <c r="AI8" s="14">
        <f>IF(OR(B8="",IF(AND(Habits!$C$4=YEAR(TODAY()),3=MONTH(TODAY())),DAY(TODAY()),IF(DATE(Habits!$C$4,3,1)&gt;TODAY(),0,DAY(EOMONTH(DATE(Habits!$C$4,3,1),0))))=0),"",MIN(1,(COUNTIF($C41:$AG41,"&gt;0"))/IF(AND(Habits!$C$4=YEAR(TODAY()),3=MONTH(TODAY())),DAY(TODAY()),IF(DATE(Habits!$C$4,3,1)&gt;TODAY(),0,DAY(EOMONTH(DATE(Habits!$C$4,3,1),0))))))</f>
        <v/>
      </c>
      <c r="AJ8" s="16">
        <f>IF(B8="","",IF(AND(Habits!$C$4=YEAR(TODAY()),3=MONTH(TODAY())),IF(INDEX($C41:$AG41,DAY(TODAY()))&gt;0,INDEX($C41:$AG41,DAY(TODAY())),IF(DAY(TODAY())=1,IFERROR(INDEX(Feb!$C$41:$AG$41,DAY(EOMONTH(DATE(Habits!$C$4,2,1),0))),0),INDEX($C41:$AG41,DAY(TODAY())-1))),IF(DATE(Habits!$C$4,3,1)&gt;TODAY(),"",INDEX($C41:$AG41,DAY(EOMONTH(DATE(Habits!$C$4,3,1),0))))))</f>
        <v/>
      </c>
      <c r="AK8" s="13">
        <f>IF(B8="","",MAX($C41:$AG41))</f>
        <v/>
      </c>
      <c r="AL8" s="1" t="n"/>
    </row>
    <row r="9">
      <c r="A9" s="1" t="n"/>
      <c r="B9" s="32">
        <f>IF(Habits!B10="","",Habits!B10)</f>
        <v/>
      </c>
      <c r="C9" s="33" t="inlineStr">
        <is>
          <t>x</t>
        </is>
      </c>
      <c r="D9" s="33" t="inlineStr">
        <is>
          <t>x</t>
        </is>
      </c>
      <c r="E9" s="33" t="inlineStr">
        <is>
          <t>x</t>
        </is>
      </c>
      <c r="F9" s="33" t="inlineStr">
        <is>
          <t>x</t>
        </is>
      </c>
      <c r="G9" s="33" t="inlineStr">
        <is>
          <t>x</t>
        </is>
      </c>
      <c r="H9" s="33" t="inlineStr">
        <is>
          <t>x</t>
        </is>
      </c>
      <c r="I9" s="33" t="inlineStr">
        <is>
          <t>x</t>
        </is>
      </c>
      <c r="J9" s="33" t="n"/>
      <c r="K9" s="33" t="n"/>
      <c r="L9" s="33" t="n"/>
      <c r="M9" s="33" t="inlineStr">
        <is>
          <t>x</t>
        </is>
      </c>
      <c r="N9" s="33" t="inlineStr">
        <is>
          <t>x</t>
        </is>
      </c>
      <c r="O9" s="33" t="inlineStr">
        <is>
          <t>x</t>
        </is>
      </c>
      <c r="P9" s="33" t="inlineStr">
        <is>
          <t>x</t>
        </is>
      </c>
      <c r="Q9" s="33" t="n"/>
      <c r="R9" s="33" t="inlineStr">
        <is>
          <t>x</t>
        </is>
      </c>
      <c r="S9" s="33" t="inlineStr">
        <is>
          <t>x</t>
        </is>
      </c>
      <c r="T9" s="33" t="n"/>
      <c r="U9" s="33" t="inlineStr">
        <is>
          <t>x</t>
        </is>
      </c>
      <c r="V9" s="33" t="n"/>
      <c r="W9" s="33" t="n"/>
      <c r="X9" s="33" t="inlineStr">
        <is>
          <t>x</t>
        </is>
      </c>
      <c r="Y9" s="33" t="n"/>
      <c r="Z9" s="33" t="inlineStr">
        <is>
          <t>x</t>
        </is>
      </c>
      <c r="AA9" s="33" t="inlineStr">
        <is>
          <t>x</t>
        </is>
      </c>
      <c r="AB9" s="33" t="inlineStr">
        <is>
          <t>x</t>
        </is>
      </c>
      <c r="AC9" s="33" t="inlineStr">
        <is>
          <t>x</t>
        </is>
      </c>
      <c r="AD9" s="33" t="n"/>
      <c r="AE9" s="33" t="n"/>
      <c r="AF9" s="33" t="inlineStr">
        <is>
          <t>x</t>
        </is>
      </c>
      <c r="AG9" s="33" t="inlineStr">
        <is>
          <t>x</t>
        </is>
      </c>
      <c r="AH9" s="13">
        <f>IF(B9="","",COUNTIF($C42:$AG42,"&gt;0"))</f>
        <v/>
      </c>
      <c r="AI9" s="14">
        <f>IF(OR(B9="",IF(AND(Habits!$C$4=YEAR(TODAY()),3=MONTH(TODAY())),DAY(TODAY()),IF(DATE(Habits!$C$4,3,1)&gt;TODAY(),0,DAY(EOMONTH(DATE(Habits!$C$4,3,1),0))))=0),"",MIN(1,(COUNTIF($C42:$AG42,"&gt;0"))/IF(AND(Habits!$C$4=YEAR(TODAY()),3=MONTH(TODAY())),DAY(TODAY()),IF(DATE(Habits!$C$4,3,1)&gt;TODAY(),0,DAY(EOMONTH(DATE(Habits!$C$4,3,1),0))))))</f>
        <v/>
      </c>
      <c r="AJ9" s="16">
        <f>IF(B9="","",IF(AND(Habits!$C$4=YEAR(TODAY()),3=MONTH(TODAY())),IF(INDEX($C42:$AG42,DAY(TODAY()))&gt;0,INDEX($C42:$AG42,DAY(TODAY())),IF(DAY(TODAY())=1,IFERROR(INDEX(Feb!$C$42:$AG$42,DAY(EOMONTH(DATE(Habits!$C$4,2,1),0))),0),INDEX($C42:$AG42,DAY(TODAY())-1))),IF(DATE(Habits!$C$4,3,1)&gt;TODAY(),"",INDEX($C42:$AG42,DAY(EOMONTH(DATE(Habits!$C$4,3,1),0))))))</f>
        <v/>
      </c>
      <c r="AK9" s="13">
        <f>IF(B9="","",MAX($C42:$AG42))</f>
        <v/>
      </c>
      <c r="AL9" s="1" t="n"/>
    </row>
    <row r="10">
      <c r="A10" s="1" t="n"/>
      <c r="B10" s="32">
        <f>IF(Habits!B11="","",Habits!B11)</f>
        <v/>
      </c>
      <c r="C10" s="33" t="n"/>
      <c r="D10" s="33" t="n"/>
      <c r="E10" s="33" t="inlineStr">
        <is>
          <t>x</t>
        </is>
      </c>
      <c r="F10" s="33" t="inlineStr">
        <is>
          <t>x</t>
        </is>
      </c>
      <c r="G10" s="33" t="n"/>
      <c r="H10" s="33" t="inlineStr">
        <is>
          <t>x</t>
        </is>
      </c>
      <c r="I10" s="33" t="n"/>
      <c r="J10" s="33" t="inlineStr">
        <is>
          <t>x</t>
        </is>
      </c>
      <c r="K10" s="33" t="inlineStr">
        <is>
          <t>x</t>
        </is>
      </c>
      <c r="L10" s="33" t="n"/>
      <c r="M10" s="33" t="inlineStr">
        <is>
          <t>x</t>
        </is>
      </c>
      <c r="N10" s="33" t="n"/>
      <c r="O10" s="33" t="n"/>
      <c r="P10" s="33" t="n"/>
      <c r="Q10" s="33" t="inlineStr">
        <is>
          <t>x</t>
        </is>
      </c>
      <c r="R10" s="33" t="n"/>
      <c r="S10" s="33" t="n"/>
      <c r="T10" s="33" t="inlineStr">
        <is>
          <t>x</t>
        </is>
      </c>
      <c r="U10" s="33" t="inlineStr">
        <is>
          <t>x</t>
        </is>
      </c>
      <c r="V10" s="33" t="n"/>
      <c r="W10" s="33" t="inlineStr">
        <is>
          <t>x</t>
        </is>
      </c>
      <c r="X10" s="33" t="n"/>
      <c r="Y10" s="33" t="n"/>
      <c r="Z10" s="33" t="n"/>
      <c r="AA10" s="33" t="inlineStr">
        <is>
          <t>x</t>
        </is>
      </c>
      <c r="AB10" s="33" t="inlineStr">
        <is>
          <t>x</t>
        </is>
      </c>
      <c r="AC10" s="33" t="n"/>
      <c r="AD10" s="33" t="inlineStr">
        <is>
          <t>x</t>
        </is>
      </c>
      <c r="AE10" s="33" t="n"/>
      <c r="AF10" s="33" t="n"/>
      <c r="AG10" s="33" t="n"/>
      <c r="AH10" s="13">
        <f>IF(B10="","",COUNTIF($C43:$AG43,"&gt;0"))</f>
        <v/>
      </c>
      <c r="AI10" s="14">
        <f>IF(OR(B10="",IF(AND(Habits!$C$4=YEAR(TODAY()),3=MONTH(TODAY())),DAY(TODAY()),IF(DATE(Habits!$C$4,3,1)&gt;TODAY(),0,DAY(EOMONTH(DATE(Habits!$C$4,3,1),0))))=0),"",MIN(1,(COUNTIF($C43:$AG43,"&gt;0"))/IF(AND(Habits!$C$4=YEAR(TODAY()),3=MONTH(TODAY())),DAY(TODAY()),IF(DATE(Habits!$C$4,3,1)&gt;TODAY(),0,DAY(EOMONTH(DATE(Habits!$C$4,3,1),0))))))</f>
        <v/>
      </c>
      <c r="AJ10" s="16">
        <f>IF(B10="","",IF(AND(Habits!$C$4=YEAR(TODAY()),3=MONTH(TODAY())),IF(INDEX($C43:$AG43,DAY(TODAY()))&gt;0,INDEX($C43:$AG43,DAY(TODAY())),IF(DAY(TODAY())=1,IFERROR(INDEX(Feb!$C$43:$AG$43,DAY(EOMONTH(DATE(Habits!$C$4,2,1),0))),0),INDEX($C43:$AG43,DAY(TODAY())-1))),IF(DATE(Habits!$C$4,3,1)&gt;TODAY(),"",INDEX($C43:$AG43,DAY(EOMONTH(DATE(Habits!$C$4,3,1),0))))))</f>
        <v/>
      </c>
      <c r="AK10" s="13">
        <f>IF(B10="","",MAX($C43:$AG43))</f>
        <v/>
      </c>
      <c r="AL10" s="1" t="n"/>
    </row>
    <row r="11">
      <c r="A11" s="1" t="n"/>
      <c r="B11" s="32">
        <f>IF(Habits!B12="","",Habits!B12)</f>
        <v/>
      </c>
      <c r="C11" s="33" t="inlineStr">
        <is>
          <t>x</t>
        </is>
      </c>
      <c r="D11" s="33" t="n"/>
      <c r="E11" s="33" t="n"/>
      <c r="F11" s="33" t="inlineStr">
        <is>
          <t>x</t>
        </is>
      </c>
      <c r="G11" s="33" t="inlineStr">
        <is>
          <t>x</t>
        </is>
      </c>
      <c r="H11" s="33" t="inlineStr">
        <is>
          <t>x</t>
        </is>
      </c>
      <c r="I11" s="33" t="n"/>
      <c r="J11" s="33" t="inlineStr">
        <is>
          <t>x</t>
        </is>
      </c>
      <c r="K11" s="33" t="inlineStr">
        <is>
          <t>x</t>
        </is>
      </c>
      <c r="L11" s="33" t="n"/>
      <c r="M11" s="33" t="n"/>
      <c r="N11" s="33" t="n"/>
      <c r="O11" s="33" t="n"/>
      <c r="P11" s="33" t="n"/>
      <c r="Q11" s="33" t="inlineStr">
        <is>
          <t>x</t>
        </is>
      </c>
      <c r="R11" s="33" t="inlineStr">
        <is>
          <t>x</t>
        </is>
      </c>
      <c r="S11" s="33" t="inlineStr">
        <is>
          <t>x</t>
        </is>
      </c>
      <c r="T11" s="33" t="inlineStr">
        <is>
          <t>x</t>
        </is>
      </c>
      <c r="U11" s="33" t="n"/>
      <c r="V11" s="33" t="n"/>
      <c r="W11" s="33" t="n"/>
      <c r="X11" s="33" t="inlineStr">
        <is>
          <t>x</t>
        </is>
      </c>
      <c r="Y11" s="33" t="n"/>
      <c r="Z11" s="33" t="n"/>
      <c r="AA11" s="33" t="n"/>
      <c r="AB11" s="33" t="inlineStr">
        <is>
          <t>x</t>
        </is>
      </c>
      <c r="AC11" s="33" t="inlineStr">
        <is>
          <t>x</t>
        </is>
      </c>
      <c r="AD11" s="33" t="n"/>
      <c r="AE11" s="33" t="n"/>
      <c r="AF11" s="33" t="inlineStr">
        <is>
          <t>x</t>
        </is>
      </c>
      <c r="AG11" s="33" t="inlineStr">
        <is>
          <t>x</t>
        </is>
      </c>
      <c r="AH11" s="13">
        <f>IF(B11="","",COUNTIF($C44:$AG44,"&gt;0"))</f>
        <v/>
      </c>
      <c r="AI11" s="14">
        <f>IF(OR(B11="",IF(AND(Habits!$C$4=YEAR(TODAY()),3=MONTH(TODAY())),DAY(TODAY()),IF(DATE(Habits!$C$4,3,1)&gt;TODAY(),0,DAY(EOMONTH(DATE(Habits!$C$4,3,1),0))))=0),"",MIN(1,(COUNTIF($C44:$AG44,"&gt;0"))/IF(AND(Habits!$C$4=YEAR(TODAY()),3=MONTH(TODAY())),DAY(TODAY()),IF(DATE(Habits!$C$4,3,1)&gt;TODAY(),0,DAY(EOMONTH(DATE(Habits!$C$4,3,1),0))))))</f>
        <v/>
      </c>
      <c r="AJ11" s="16">
        <f>IF(B11="","",IF(AND(Habits!$C$4=YEAR(TODAY()),3=MONTH(TODAY())),IF(INDEX($C44:$AG44,DAY(TODAY()))&gt;0,INDEX($C44:$AG44,DAY(TODAY())),IF(DAY(TODAY())=1,IFERROR(INDEX(Feb!$C$44:$AG$44,DAY(EOMONTH(DATE(Habits!$C$4,2,1),0))),0),INDEX($C44:$AG44,DAY(TODAY())-1))),IF(DATE(Habits!$C$4,3,1)&gt;TODAY(),"",INDEX($C44:$AG44,DAY(EOMONTH(DATE(Habits!$C$4,3,1),0))))))</f>
        <v/>
      </c>
      <c r="AK11" s="13">
        <f>IF(B11="","",MAX($C44:$AG44))</f>
        <v/>
      </c>
      <c r="AL11" s="1" t="n"/>
    </row>
    <row r="12">
      <c r="A12" s="1" t="n"/>
      <c r="B12" s="32">
        <f>IF(Habits!B13="","",Habits!B13)</f>
        <v/>
      </c>
      <c r="C12" s="33" t="inlineStr">
        <is>
          <t>x</t>
        </is>
      </c>
      <c r="D12" s="33" t="n"/>
      <c r="E12" s="33" t="inlineStr">
        <is>
          <t>x</t>
        </is>
      </c>
      <c r="F12" s="33" t="n"/>
      <c r="G12" s="33" t="inlineStr">
        <is>
          <t>x</t>
        </is>
      </c>
      <c r="H12" s="33" t="inlineStr">
        <is>
          <t>x</t>
        </is>
      </c>
      <c r="I12" s="33" t="n"/>
      <c r="J12" s="33" t="inlineStr">
        <is>
          <t>x</t>
        </is>
      </c>
      <c r="K12" s="33" t="inlineStr">
        <is>
          <t>x</t>
        </is>
      </c>
      <c r="L12" s="33" t="inlineStr">
        <is>
          <t>x</t>
        </is>
      </c>
      <c r="M12" s="33" t="n"/>
      <c r="N12" s="33" t="inlineStr">
        <is>
          <t>x</t>
        </is>
      </c>
      <c r="O12" s="33" t="inlineStr">
        <is>
          <t>x</t>
        </is>
      </c>
      <c r="P12" s="33" t="n"/>
      <c r="Q12" s="33" t="inlineStr">
        <is>
          <t>x</t>
        </is>
      </c>
      <c r="R12" s="33" t="inlineStr">
        <is>
          <t>x</t>
        </is>
      </c>
      <c r="S12" s="33" t="inlineStr">
        <is>
          <t>x</t>
        </is>
      </c>
      <c r="T12" s="33" t="n"/>
      <c r="U12" s="33" t="n"/>
      <c r="V12" s="33" t="n"/>
      <c r="W12" s="33" t="n"/>
      <c r="X12" s="33" t="n"/>
      <c r="Y12" s="33" t="inlineStr">
        <is>
          <t>x</t>
        </is>
      </c>
      <c r="Z12" s="33" t="n"/>
      <c r="AA12" s="33" t="inlineStr">
        <is>
          <t>x</t>
        </is>
      </c>
      <c r="AB12" s="33" t="inlineStr">
        <is>
          <t>x</t>
        </is>
      </c>
      <c r="AC12" s="33" t="inlineStr">
        <is>
          <t>x</t>
        </is>
      </c>
      <c r="AD12" s="33" t="inlineStr">
        <is>
          <t>x</t>
        </is>
      </c>
      <c r="AE12" s="33" t="n"/>
      <c r="AF12" s="33" t="n"/>
      <c r="AG12" s="33" t="n"/>
      <c r="AH12" s="13">
        <f>IF(B12="","",COUNTIF($C45:$AG45,"&gt;0"))</f>
        <v/>
      </c>
      <c r="AI12" s="14">
        <f>IF(OR(B12="",IF(AND(Habits!$C$4=YEAR(TODAY()),3=MONTH(TODAY())),DAY(TODAY()),IF(DATE(Habits!$C$4,3,1)&gt;TODAY(),0,DAY(EOMONTH(DATE(Habits!$C$4,3,1),0))))=0),"",MIN(1,(COUNTIF($C45:$AG45,"&gt;0"))/IF(AND(Habits!$C$4=YEAR(TODAY()),3=MONTH(TODAY())),DAY(TODAY()),IF(DATE(Habits!$C$4,3,1)&gt;TODAY(),0,DAY(EOMONTH(DATE(Habits!$C$4,3,1),0))))))</f>
        <v/>
      </c>
      <c r="AJ12" s="16">
        <f>IF(B12="","",IF(AND(Habits!$C$4=YEAR(TODAY()),3=MONTH(TODAY())),IF(INDEX($C45:$AG45,DAY(TODAY()))&gt;0,INDEX($C45:$AG45,DAY(TODAY())),IF(DAY(TODAY())=1,IFERROR(INDEX(Feb!$C$45:$AG$45,DAY(EOMONTH(DATE(Habits!$C$4,2,1),0))),0),INDEX($C45:$AG45,DAY(TODAY())-1))),IF(DATE(Habits!$C$4,3,1)&gt;TODAY(),"",INDEX($C45:$AG45,DAY(EOMONTH(DATE(Habits!$C$4,3,1),0))))))</f>
        <v/>
      </c>
      <c r="AK12" s="13">
        <f>IF(B12="","",MAX($C45:$AG45))</f>
        <v/>
      </c>
      <c r="AL12" s="1" t="n"/>
    </row>
    <row r="13">
      <c r="A13" s="1" t="n"/>
      <c r="B13" s="32">
        <f>IF(Habits!B14="","",Habits!B14)</f>
        <v/>
      </c>
      <c r="C13" s="33" t="inlineStr">
        <is>
          <t>x</t>
        </is>
      </c>
      <c r="D13" s="33" t="inlineStr">
        <is>
          <t>x</t>
        </is>
      </c>
      <c r="E13" s="33" t="inlineStr">
        <is>
          <t>x</t>
        </is>
      </c>
      <c r="F13" s="33" t="inlineStr">
        <is>
          <t>x</t>
        </is>
      </c>
      <c r="G13" s="33" t="n"/>
      <c r="H13" s="33" t="inlineStr">
        <is>
          <t>x</t>
        </is>
      </c>
      <c r="I13" s="33" t="inlineStr">
        <is>
          <t>x</t>
        </is>
      </c>
      <c r="J13" s="33" t="inlineStr">
        <is>
          <t>x</t>
        </is>
      </c>
      <c r="K13" s="33" t="inlineStr">
        <is>
          <t>x</t>
        </is>
      </c>
      <c r="L13" s="33" t="inlineStr">
        <is>
          <t>x</t>
        </is>
      </c>
      <c r="M13" s="33" t="inlineStr">
        <is>
          <t>x</t>
        </is>
      </c>
      <c r="N13" s="33" t="inlineStr">
        <is>
          <t>x</t>
        </is>
      </c>
      <c r="O13" s="33" t="inlineStr">
        <is>
          <t>x</t>
        </is>
      </c>
      <c r="P13" s="33" t="inlineStr">
        <is>
          <t>x</t>
        </is>
      </c>
      <c r="Q13" s="33" t="inlineStr">
        <is>
          <t>x</t>
        </is>
      </c>
      <c r="R13" s="33" t="inlineStr">
        <is>
          <t>x</t>
        </is>
      </c>
      <c r="S13" s="33" t="inlineStr">
        <is>
          <t>x</t>
        </is>
      </c>
      <c r="T13" s="33" t="inlineStr">
        <is>
          <t>x</t>
        </is>
      </c>
      <c r="U13" s="33" t="inlineStr">
        <is>
          <t>x</t>
        </is>
      </c>
      <c r="V13" s="33" t="n"/>
      <c r="W13" s="33" t="inlineStr">
        <is>
          <t>x</t>
        </is>
      </c>
      <c r="X13" s="33" t="n"/>
      <c r="Y13" s="33" t="inlineStr">
        <is>
          <t>x</t>
        </is>
      </c>
      <c r="Z13" s="33" t="inlineStr">
        <is>
          <t>x</t>
        </is>
      </c>
      <c r="AA13" s="33" t="n"/>
      <c r="AB13" s="33" t="inlineStr">
        <is>
          <t>x</t>
        </is>
      </c>
      <c r="AC13" s="33" t="inlineStr">
        <is>
          <t>x</t>
        </is>
      </c>
      <c r="AD13" s="33" t="inlineStr">
        <is>
          <t>x</t>
        </is>
      </c>
      <c r="AE13" s="33" t="inlineStr">
        <is>
          <t>x</t>
        </is>
      </c>
      <c r="AF13" s="33" t="inlineStr">
        <is>
          <t>x</t>
        </is>
      </c>
      <c r="AG13" s="33" t="inlineStr">
        <is>
          <t>x</t>
        </is>
      </c>
      <c r="AH13" s="13">
        <f>IF(B13="","",COUNTIF($C46:$AG46,"&gt;0"))</f>
        <v/>
      </c>
      <c r="AI13" s="14">
        <f>IF(OR(B13="",IF(AND(Habits!$C$4=YEAR(TODAY()),3=MONTH(TODAY())),DAY(TODAY()),IF(DATE(Habits!$C$4,3,1)&gt;TODAY(),0,DAY(EOMONTH(DATE(Habits!$C$4,3,1),0))))=0),"",MIN(1,(COUNTIF($C46:$AG46,"&gt;0"))/IF(AND(Habits!$C$4=YEAR(TODAY()),3=MONTH(TODAY())),DAY(TODAY()),IF(DATE(Habits!$C$4,3,1)&gt;TODAY(),0,DAY(EOMONTH(DATE(Habits!$C$4,3,1),0))))))</f>
        <v/>
      </c>
      <c r="AJ13" s="16">
        <f>IF(B13="","",IF(AND(Habits!$C$4=YEAR(TODAY()),3=MONTH(TODAY())),IF(INDEX($C46:$AG46,DAY(TODAY()))&gt;0,INDEX($C46:$AG46,DAY(TODAY())),IF(DAY(TODAY())=1,IFERROR(INDEX(Feb!$C$46:$AG$46,DAY(EOMONTH(DATE(Habits!$C$4,2,1),0))),0),INDEX($C46:$AG46,DAY(TODAY())-1))),IF(DATE(Habits!$C$4,3,1)&gt;TODAY(),"",INDEX($C46:$AG46,DAY(EOMONTH(DATE(Habits!$C$4,3,1),0))))))</f>
        <v/>
      </c>
      <c r="AK13" s="13">
        <f>IF(B13="","",MAX($C46:$AG46))</f>
        <v/>
      </c>
      <c r="AL13" s="1" t="n"/>
    </row>
    <row r="14">
      <c r="A14" s="1" t="n"/>
      <c r="B14" s="32">
        <f>IF(Habits!B15="","",Habits!B15)</f>
        <v/>
      </c>
      <c r="C14" s="33" t="n"/>
      <c r="D14" s="33" t="n"/>
      <c r="E14" s="33" t="inlineStr">
        <is>
          <t>x</t>
        </is>
      </c>
      <c r="F14" s="33" t="n"/>
      <c r="G14" s="33" t="inlineStr">
        <is>
          <t>x</t>
        </is>
      </c>
      <c r="H14" s="33" t="inlineStr">
        <is>
          <t>x</t>
        </is>
      </c>
      <c r="I14" s="33" t="inlineStr">
        <is>
          <t>x</t>
        </is>
      </c>
      <c r="J14" s="33" t="n"/>
      <c r="K14" s="33" t="inlineStr">
        <is>
          <t>x</t>
        </is>
      </c>
      <c r="L14" s="33" t="n"/>
      <c r="M14" s="33" t="n"/>
      <c r="N14" s="33" t="inlineStr">
        <is>
          <t>x</t>
        </is>
      </c>
      <c r="O14" s="33" t="n"/>
      <c r="P14" s="33" t="inlineStr">
        <is>
          <t>x</t>
        </is>
      </c>
      <c r="Q14" s="33" t="n"/>
      <c r="R14" s="33" t="n"/>
      <c r="S14" s="33" t="n"/>
      <c r="T14" s="33" t="inlineStr">
        <is>
          <t>x</t>
        </is>
      </c>
      <c r="U14" s="33" t="n"/>
      <c r="V14" s="33" t="n"/>
      <c r="W14" s="33" t="n"/>
      <c r="X14" s="33" t="inlineStr">
        <is>
          <t>x</t>
        </is>
      </c>
      <c r="Y14" s="33" t="inlineStr">
        <is>
          <t>x</t>
        </is>
      </c>
      <c r="Z14" s="33" t="inlineStr">
        <is>
          <t>x</t>
        </is>
      </c>
      <c r="AA14" s="33" t="n"/>
      <c r="AB14" s="33" t="n"/>
      <c r="AC14" s="33" t="n"/>
      <c r="AD14" s="33" t="inlineStr">
        <is>
          <t>x</t>
        </is>
      </c>
      <c r="AE14" s="33" t="n"/>
      <c r="AF14" s="33" t="inlineStr">
        <is>
          <t>x</t>
        </is>
      </c>
      <c r="AG14" s="33" t="n"/>
      <c r="AH14" s="13">
        <f>IF(B14="","",COUNTIF($C47:$AG47,"&gt;0"))</f>
        <v/>
      </c>
      <c r="AI14" s="14">
        <f>IF(OR(B14="",IF(AND(Habits!$C$4=YEAR(TODAY()),3=MONTH(TODAY())),DAY(TODAY()),IF(DATE(Habits!$C$4,3,1)&gt;TODAY(),0,DAY(EOMONTH(DATE(Habits!$C$4,3,1),0))))=0),"",MIN(1,(COUNTIF($C47:$AG47,"&gt;0"))/IF(AND(Habits!$C$4=YEAR(TODAY()),3=MONTH(TODAY())),DAY(TODAY()),IF(DATE(Habits!$C$4,3,1)&gt;TODAY(),0,DAY(EOMONTH(DATE(Habits!$C$4,3,1),0))))))</f>
        <v/>
      </c>
      <c r="AJ14" s="16">
        <f>IF(B14="","",IF(AND(Habits!$C$4=YEAR(TODAY()),3=MONTH(TODAY())),IF(INDEX($C47:$AG47,DAY(TODAY()))&gt;0,INDEX($C47:$AG47,DAY(TODAY())),IF(DAY(TODAY())=1,IFERROR(INDEX(Feb!$C$47:$AG$47,DAY(EOMONTH(DATE(Habits!$C$4,2,1),0))),0),INDEX($C47:$AG47,DAY(TODAY())-1))),IF(DATE(Habits!$C$4,3,1)&gt;TODAY(),"",INDEX($C47:$AG47,DAY(EOMONTH(DATE(Habits!$C$4,3,1),0))))))</f>
        <v/>
      </c>
      <c r="AK14" s="13">
        <f>IF(B14="","",MAX($C47:$AG47))</f>
        <v/>
      </c>
      <c r="AL14" s="1" t="n"/>
    </row>
    <row r="15">
      <c r="A15" s="1" t="n"/>
      <c r="B15" s="32">
        <f>IF(Habits!B16="","",Habits!B16)</f>
        <v/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13">
        <f>IF(B15="","",COUNTIF($C48:$AG48,"&gt;0"))</f>
        <v/>
      </c>
      <c r="AI15" s="14">
        <f>IF(OR(B15="",IF(AND(Habits!$C$4=YEAR(TODAY()),3=MONTH(TODAY())),DAY(TODAY()),IF(DATE(Habits!$C$4,3,1)&gt;TODAY(),0,DAY(EOMONTH(DATE(Habits!$C$4,3,1),0))))=0),"",MIN(1,(COUNTIF($C48:$AG48,"&gt;0"))/IF(AND(Habits!$C$4=YEAR(TODAY()),3=MONTH(TODAY())),DAY(TODAY()),IF(DATE(Habits!$C$4,3,1)&gt;TODAY(),0,DAY(EOMONTH(DATE(Habits!$C$4,3,1),0))))))</f>
        <v/>
      </c>
      <c r="AJ15" s="16">
        <f>IF(B15="","",IF(AND(Habits!$C$4=YEAR(TODAY()),3=MONTH(TODAY())),IF(INDEX($C48:$AG48,DAY(TODAY()))&gt;0,INDEX($C48:$AG48,DAY(TODAY())),IF(DAY(TODAY())=1,IFERROR(INDEX(Feb!$C$48:$AG$48,DAY(EOMONTH(DATE(Habits!$C$4,2,1),0))),0),INDEX($C48:$AG48,DAY(TODAY())-1))),IF(DATE(Habits!$C$4,3,1)&gt;TODAY(),"",INDEX($C48:$AG48,DAY(EOMONTH(DATE(Habits!$C$4,3,1),0))))))</f>
        <v/>
      </c>
      <c r="AK15" s="13">
        <f>IF(B15="","",MAX($C48:$AG48))</f>
        <v/>
      </c>
      <c r="AL15" s="1" t="n"/>
    </row>
    <row r="16">
      <c r="A16" s="1" t="n"/>
      <c r="B16" s="32">
        <f>IF(Habits!B17="","",Habits!B17)</f>
        <v/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13">
        <f>IF(B16="","",COUNTIF($C49:$AG49,"&gt;0"))</f>
        <v/>
      </c>
      <c r="AI16" s="14">
        <f>IF(OR(B16="",IF(AND(Habits!$C$4=YEAR(TODAY()),3=MONTH(TODAY())),DAY(TODAY()),IF(DATE(Habits!$C$4,3,1)&gt;TODAY(),0,DAY(EOMONTH(DATE(Habits!$C$4,3,1),0))))=0),"",MIN(1,(COUNTIF($C49:$AG49,"&gt;0"))/IF(AND(Habits!$C$4=YEAR(TODAY()),3=MONTH(TODAY())),DAY(TODAY()),IF(DATE(Habits!$C$4,3,1)&gt;TODAY(),0,DAY(EOMONTH(DATE(Habits!$C$4,3,1),0))))))</f>
        <v/>
      </c>
      <c r="AJ16" s="16">
        <f>IF(B16="","",IF(AND(Habits!$C$4=YEAR(TODAY()),3=MONTH(TODAY())),IF(INDEX($C49:$AG49,DAY(TODAY()))&gt;0,INDEX($C49:$AG49,DAY(TODAY())),IF(DAY(TODAY())=1,IFERROR(INDEX(Feb!$C$49:$AG$49,DAY(EOMONTH(DATE(Habits!$C$4,2,1),0))),0),INDEX($C49:$AG49,DAY(TODAY())-1))),IF(DATE(Habits!$C$4,3,1)&gt;TODAY(),"",INDEX($C49:$AG49,DAY(EOMONTH(DATE(Habits!$C$4,3,1),0))))))</f>
        <v/>
      </c>
      <c r="AK16" s="13">
        <f>IF(B16="","",MAX($C49:$AG49))</f>
        <v/>
      </c>
      <c r="AL16" s="1" t="n"/>
    </row>
    <row r="17">
      <c r="A17" s="1" t="n"/>
      <c r="B17" s="32">
        <f>IF(Habits!B18="","",Habits!B18)</f>
        <v/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13">
        <f>IF(B17="","",COUNTIF($C50:$AG50,"&gt;0"))</f>
        <v/>
      </c>
      <c r="AI17" s="14">
        <f>IF(OR(B17="",IF(AND(Habits!$C$4=YEAR(TODAY()),3=MONTH(TODAY())),DAY(TODAY()),IF(DATE(Habits!$C$4,3,1)&gt;TODAY(),0,DAY(EOMONTH(DATE(Habits!$C$4,3,1),0))))=0),"",MIN(1,(COUNTIF($C50:$AG50,"&gt;0"))/IF(AND(Habits!$C$4=YEAR(TODAY()),3=MONTH(TODAY())),DAY(TODAY()),IF(DATE(Habits!$C$4,3,1)&gt;TODAY(),0,DAY(EOMONTH(DATE(Habits!$C$4,3,1),0))))))</f>
        <v/>
      </c>
      <c r="AJ17" s="16">
        <f>IF(B17="","",IF(AND(Habits!$C$4=YEAR(TODAY()),3=MONTH(TODAY())),IF(INDEX($C50:$AG50,DAY(TODAY()))&gt;0,INDEX($C50:$AG50,DAY(TODAY())),IF(DAY(TODAY())=1,IFERROR(INDEX(Feb!$C$50:$AG$50,DAY(EOMONTH(DATE(Habits!$C$4,2,1),0))),0),INDEX($C50:$AG50,DAY(TODAY())-1))),IF(DATE(Habits!$C$4,3,1)&gt;TODAY(),"",INDEX($C50:$AG50,DAY(EOMONTH(DATE(Habits!$C$4,3,1),0))))))</f>
        <v/>
      </c>
      <c r="AK17" s="13">
        <f>IF(B17="","",MAX($C50:$AG50))</f>
        <v/>
      </c>
      <c r="AL17" s="1" t="n"/>
    </row>
    <row r="18">
      <c r="A18" s="1" t="n"/>
      <c r="B18" s="32">
        <f>IF(Habits!B19="","",Habits!B19)</f>
        <v/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13">
        <f>IF(B18="","",COUNTIF($C51:$AG51,"&gt;0"))</f>
        <v/>
      </c>
      <c r="AI18" s="14">
        <f>IF(OR(B18="",IF(AND(Habits!$C$4=YEAR(TODAY()),3=MONTH(TODAY())),DAY(TODAY()),IF(DATE(Habits!$C$4,3,1)&gt;TODAY(),0,DAY(EOMONTH(DATE(Habits!$C$4,3,1),0))))=0),"",MIN(1,(COUNTIF($C51:$AG51,"&gt;0"))/IF(AND(Habits!$C$4=YEAR(TODAY()),3=MONTH(TODAY())),DAY(TODAY()),IF(DATE(Habits!$C$4,3,1)&gt;TODAY(),0,DAY(EOMONTH(DATE(Habits!$C$4,3,1),0))))))</f>
        <v/>
      </c>
      <c r="AJ18" s="16">
        <f>IF(B18="","",IF(AND(Habits!$C$4=YEAR(TODAY()),3=MONTH(TODAY())),IF(INDEX($C51:$AG51,DAY(TODAY()))&gt;0,INDEX($C51:$AG51,DAY(TODAY())),IF(DAY(TODAY())=1,IFERROR(INDEX(Feb!$C$51:$AG$51,DAY(EOMONTH(DATE(Habits!$C$4,2,1),0))),0),INDEX($C51:$AG51,DAY(TODAY())-1))),IF(DATE(Habits!$C$4,3,1)&gt;TODAY(),"",INDEX($C51:$AG51,DAY(EOMONTH(DATE(Habits!$C$4,3,1),0))))))</f>
        <v/>
      </c>
      <c r="AK18" s="13">
        <f>IF(B18="","",MAX($C51:$AG51))</f>
        <v/>
      </c>
      <c r="AL18" s="1" t="n"/>
    </row>
    <row r="19">
      <c r="A19" s="1" t="n"/>
      <c r="B19" s="32">
        <f>IF(Habits!B20="","",Habits!B20)</f>
        <v/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13">
        <f>IF(B19="","",COUNTIF($C52:$AG52,"&gt;0"))</f>
        <v/>
      </c>
      <c r="AI19" s="14">
        <f>IF(OR(B19="",IF(AND(Habits!$C$4=YEAR(TODAY()),3=MONTH(TODAY())),DAY(TODAY()),IF(DATE(Habits!$C$4,3,1)&gt;TODAY(),0,DAY(EOMONTH(DATE(Habits!$C$4,3,1),0))))=0),"",MIN(1,(COUNTIF($C52:$AG52,"&gt;0"))/IF(AND(Habits!$C$4=YEAR(TODAY()),3=MONTH(TODAY())),DAY(TODAY()),IF(DATE(Habits!$C$4,3,1)&gt;TODAY(),0,DAY(EOMONTH(DATE(Habits!$C$4,3,1),0))))))</f>
        <v/>
      </c>
      <c r="AJ19" s="16">
        <f>IF(B19="","",IF(AND(Habits!$C$4=YEAR(TODAY()),3=MONTH(TODAY())),IF(INDEX($C52:$AG52,DAY(TODAY()))&gt;0,INDEX($C52:$AG52,DAY(TODAY())),IF(DAY(TODAY())=1,IFERROR(INDEX(Feb!$C$52:$AG$52,DAY(EOMONTH(DATE(Habits!$C$4,2,1),0))),0),INDEX($C52:$AG52,DAY(TODAY())-1))),IF(DATE(Habits!$C$4,3,1)&gt;TODAY(),"",INDEX($C52:$AG52,DAY(EOMONTH(DATE(Habits!$C$4,3,1),0))))))</f>
        <v/>
      </c>
      <c r="AK19" s="13">
        <f>IF(B19="","",MAX($C52:$AG52))</f>
        <v/>
      </c>
      <c r="AL19" s="1" t="n"/>
    </row>
    <row r="20">
      <c r="A20" s="1" t="n"/>
      <c r="B20" s="32">
        <f>IF(Habits!B21="","",Habits!B21)</f>
        <v/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13">
        <f>IF(B20="","",COUNTIF($C53:$AG53,"&gt;0"))</f>
        <v/>
      </c>
      <c r="AI20" s="14">
        <f>IF(OR(B20="",IF(AND(Habits!$C$4=YEAR(TODAY()),3=MONTH(TODAY())),DAY(TODAY()),IF(DATE(Habits!$C$4,3,1)&gt;TODAY(),0,DAY(EOMONTH(DATE(Habits!$C$4,3,1),0))))=0),"",MIN(1,(COUNTIF($C53:$AG53,"&gt;0"))/IF(AND(Habits!$C$4=YEAR(TODAY()),3=MONTH(TODAY())),DAY(TODAY()),IF(DATE(Habits!$C$4,3,1)&gt;TODAY(),0,DAY(EOMONTH(DATE(Habits!$C$4,3,1),0))))))</f>
        <v/>
      </c>
      <c r="AJ20" s="16">
        <f>IF(B20="","",IF(AND(Habits!$C$4=YEAR(TODAY()),3=MONTH(TODAY())),IF(INDEX($C53:$AG53,DAY(TODAY()))&gt;0,INDEX($C53:$AG53,DAY(TODAY())),IF(DAY(TODAY())=1,IFERROR(INDEX(Feb!$C$53:$AG$53,DAY(EOMONTH(DATE(Habits!$C$4,2,1),0))),0),INDEX($C53:$AG53,DAY(TODAY())-1))),IF(DATE(Habits!$C$4,3,1)&gt;TODAY(),"",INDEX($C53:$AG53,DAY(EOMONTH(DATE(Habits!$C$4,3,1),0))))))</f>
        <v/>
      </c>
      <c r="AK20" s="13">
        <f>IF(B20="","",MAX($C53:$AG53))</f>
        <v/>
      </c>
      <c r="AL20" s="1" t="n"/>
    </row>
    <row r="21">
      <c r="A21" s="1" t="n"/>
      <c r="B21" s="32">
        <f>IF(Habits!B22="","",Habits!B22)</f>
        <v/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13">
        <f>IF(B21="","",COUNTIF($C54:$AG54,"&gt;0"))</f>
        <v/>
      </c>
      <c r="AI21" s="14">
        <f>IF(OR(B21="",IF(AND(Habits!$C$4=YEAR(TODAY()),3=MONTH(TODAY())),DAY(TODAY()),IF(DATE(Habits!$C$4,3,1)&gt;TODAY(),0,DAY(EOMONTH(DATE(Habits!$C$4,3,1),0))))=0),"",MIN(1,(COUNTIF($C54:$AG54,"&gt;0"))/IF(AND(Habits!$C$4=YEAR(TODAY()),3=MONTH(TODAY())),DAY(TODAY()),IF(DATE(Habits!$C$4,3,1)&gt;TODAY(),0,DAY(EOMONTH(DATE(Habits!$C$4,3,1),0))))))</f>
        <v/>
      </c>
      <c r="AJ21" s="16">
        <f>IF(B21="","",IF(AND(Habits!$C$4=YEAR(TODAY()),3=MONTH(TODAY())),IF(INDEX($C54:$AG54,DAY(TODAY()))&gt;0,INDEX($C54:$AG54,DAY(TODAY())),IF(DAY(TODAY())=1,IFERROR(INDEX(Feb!$C$54:$AG$54,DAY(EOMONTH(DATE(Habits!$C$4,2,1),0))),0),INDEX($C54:$AG54,DAY(TODAY())-1))),IF(DATE(Habits!$C$4,3,1)&gt;TODAY(),"",INDEX($C54:$AG54,DAY(EOMONTH(DATE(Habits!$C$4,3,1),0))))))</f>
        <v/>
      </c>
      <c r="AK21" s="13">
        <f>IF(B21="","",MAX($C54:$AG54))</f>
        <v/>
      </c>
      <c r="A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>
      <c r="A23" s="1" t="n"/>
      <c r="B23" s="12" t="inlineStr">
        <is>
          <t>Mood (1 to 5)</t>
        </is>
      </c>
      <c r="C23" s="34" t="n">
        <v>3</v>
      </c>
      <c r="D23" s="34" t="n">
        <v>4</v>
      </c>
      <c r="E23" s="34" t="n">
        <v>3</v>
      </c>
      <c r="F23" s="34" t="n">
        <v>3</v>
      </c>
      <c r="G23" s="34" t="n">
        <v>2</v>
      </c>
      <c r="H23" s="34" t="n">
        <v>4</v>
      </c>
      <c r="I23" s="34" t="n">
        <v>4</v>
      </c>
      <c r="J23" s="34" t="n">
        <v>3</v>
      </c>
      <c r="K23" s="34" t="n">
        <v>3</v>
      </c>
      <c r="L23" s="34" t="n">
        <v>4</v>
      </c>
      <c r="M23" s="34" t="n">
        <v>3</v>
      </c>
      <c r="N23" s="34" t="n">
        <v>5</v>
      </c>
      <c r="O23" s="34" t="n">
        <v>3</v>
      </c>
      <c r="P23" s="34" t="n">
        <v>4</v>
      </c>
      <c r="Q23" s="34" t="n">
        <v>3</v>
      </c>
      <c r="R23" s="34" t="n">
        <v>4</v>
      </c>
      <c r="S23" s="34" t="n">
        <v>4</v>
      </c>
      <c r="T23" s="34" t="n">
        <v>2</v>
      </c>
      <c r="U23" s="34" t="n">
        <v>4</v>
      </c>
      <c r="V23" s="34" t="n">
        <v>3</v>
      </c>
      <c r="W23" s="34" t="n">
        <v>3</v>
      </c>
      <c r="X23" s="34" t="n">
        <v>3</v>
      </c>
      <c r="Y23" s="34" t="n">
        <v>3</v>
      </c>
      <c r="Z23" s="34" t="n">
        <v>4</v>
      </c>
      <c r="AA23" s="34" t="n">
        <v>3</v>
      </c>
      <c r="AB23" s="34" t="n">
        <v>3</v>
      </c>
      <c r="AC23" s="34" t="n">
        <v>3</v>
      </c>
      <c r="AD23" s="34" t="n">
        <v>2</v>
      </c>
      <c r="AE23" s="34" t="n">
        <v>3</v>
      </c>
      <c r="AF23" s="34" t="n">
        <v>3</v>
      </c>
      <c r="AG23" s="34" t="n">
        <v>4</v>
      </c>
      <c r="AH23" s="35">
        <f>IFERROR(AVERAGE(C23:AG23),"")</f>
        <v/>
      </c>
      <c r="AI23" s="11" t="n"/>
      <c r="AJ23" s="36" t="inlineStr">
        <is>
          <t>average</t>
        </is>
      </c>
      <c r="AK23" s="1" t="n"/>
      <c r="AL23" s="1" t="n"/>
    </row>
    <row r="24">
      <c r="A24" s="1" t="n"/>
      <c r="B24" s="12" t="inlineStr">
        <is>
          <t>Sleep (hours)</t>
        </is>
      </c>
      <c r="C24" s="34" t="n">
        <v>8.5</v>
      </c>
      <c r="D24" s="34" t="n">
        <v>7</v>
      </c>
      <c r="E24" s="34" t="n">
        <v>7</v>
      </c>
      <c r="F24" s="34" t="n">
        <v>8.5</v>
      </c>
      <c r="G24" s="34" t="n">
        <v>7.5</v>
      </c>
      <c r="H24" s="34" t="n">
        <v>7.5</v>
      </c>
      <c r="I24" s="34" t="n">
        <v>8</v>
      </c>
      <c r="J24" s="34" t="n">
        <v>8</v>
      </c>
      <c r="K24" s="34" t="n">
        <v>7</v>
      </c>
      <c r="L24" s="34" t="n">
        <v>6.5</v>
      </c>
      <c r="M24" s="34" t="n">
        <v>7.5</v>
      </c>
      <c r="N24" s="34" t="n">
        <v>7</v>
      </c>
      <c r="O24" s="34" t="n">
        <v>8</v>
      </c>
      <c r="P24" s="34" t="n">
        <v>6</v>
      </c>
      <c r="Q24" s="34" t="n">
        <v>8.5</v>
      </c>
      <c r="R24" s="34" t="n">
        <v>7</v>
      </c>
      <c r="S24" s="34" t="n">
        <v>7.5</v>
      </c>
      <c r="T24" s="34" t="n">
        <v>6.5</v>
      </c>
      <c r="U24" s="34" t="n">
        <v>7.5</v>
      </c>
      <c r="V24" s="34" t="n">
        <v>6</v>
      </c>
      <c r="W24" s="34" t="n">
        <v>8</v>
      </c>
      <c r="X24" s="34" t="n">
        <v>8.5</v>
      </c>
      <c r="Y24" s="34" t="n">
        <v>7</v>
      </c>
      <c r="Z24" s="34" t="n">
        <v>6</v>
      </c>
      <c r="AA24" s="34" t="n">
        <v>7.5</v>
      </c>
      <c r="AB24" s="34" t="n">
        <v>7.5</v>
      </c>
      <c r="AC24" s="34" t="n">
        <v>7</v>
      </c>
      <c r="AD24" s="34" t="n">
        <v>8</v>
      </c>
      <c r="AE24" s="34" t="n">
        <v>7</v>
      </c>
      <c r="AF24" s="34" t="n">
        <v>7.5</v>
      </c>
      <c r="AG24" s="34" t="n">
        <v>6</v>
      </c>
      <c r="AH24" s="35">
        <f>IFERROR(AVERAGE(C24:AG24),"")</f>
        <v/>
      </c>
      <c r="AI24" s="11" t="n"/>
      <c r="AJ24" s="36" t="inlineStr">
        <is>
          <t>average</t>
        </is>
      </c>
      <c r="AK24" s="1" t="n"/>
      <c r="A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idden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idden="1">
      <c r="A40" s="1" t="n"/>
      <c r="B40" s="1">
        <f>B7</f>
        <v/>
      </c>
      <c r="C40" s="1">
        <f>IF(C$5="",0,IF(OR(C7=TRUE,ISTEXT(C7)),IFERROR(INDEX(Feb!$C$40:$AG$40,DAY(EOMONTH(DATE(Habits!$C$4,2,1),0))),0)+1,0))</f>
        <v/>
      </c>
      <c r="D40" s="1">
        <f>IF(D$5="",0,IF(OR(D7=TRUE,ISTEXT(D7)),C40+1,0))</f>
        <v/>
      </c>
      <c r="E40" s="1">
        <f>IF(E$5="",0,IF(OR(E7=TRUE,ISTEXT(E7)),D40+1,0))</f>
        <v/>
      </c>
      <c r="F40" s="1">
        <f>IF(F$5="",0,IF(OR(F7=TRUE,ISTEXT(F7)),E40+1,0))</f>
        <v/>
      </c>
      <c r="G40" s="1">
        <f>IF(G$5="",0,IF(OR(G7=TRUE,ISTEXT(G7)),F40+1,0))</f>
        <v/>
      </c>
      <c r="H40" s="1">
        <f>IF(H$5="",0,IF(OR(H7=TRUE,ISTEXT(H7)),G40+1,0))</f>
        <v/>
      </c>
      <c r="I40" s="1">
        <f>IF(I$5="",0,IF(OR(I7=TRUE,ISTEXT(I7)),H40+1,0))</f>
        <v/>
      </c>
      <c r="J40" s="1">
        <f>IF(J$5="",0,IF(OR(J7=TRUE,ISTEXT(J7)),I40+1,0))</f>
        <v/>
      </c>
      <c r="K40" s="1">
        <f>IF(K$5="",0,IF(OR(K7=TRUE,ISTEXT(K7)),J40+1,0))</f>
        <v/>
      </c>
      <c r="L40" s="1">
        <f>IF(L$5="",0,IF(OR(L7=TRUE,ISTEXT(L7)),K40+1,0))</f>
        <v/>
      </c>
      <c r="M40" s="1">
        <f>IF(M$5="",0,IF(OR(M7=TRUE,ISTEXT(M7)),L40+1,0))</f>
        <v/>
      </c>
      <c r="N40" s="1">
        <f>IF(N$5="",0,IF(OR(N7=TRUE,ISTEXT(N7)),M40+1,0))</f>
        <v/>
      </c>
      <c r="O40" s="1">
        <f>IF(O$5="",0,IF(OR(O7=TRUE,ISTEXT(O7)),N40+1,0))</f>
        <v/>
      </c>
      <c r="P40" s="1">
        <f>IF(P$5="",0,IF(OR(P7=TRUE,ISTEXT(P7)),O40+1,0))</f>
        <v/>
      </c>
      <c r="Q40" s="1">
        <f>IF(Q$5="",0,IF(OR(Q7=TRUE,ISTEXT(Q7)),P40+1,0))</f>
        <v/>
      </c>
      <c r="R40" s="1">
        <f>IF(R$5="",0,IF(OR(R7=TRUE,ISTEXT(R7)),Q40+1,0))</f>
        <v/>
      </c>
      <c r="S40" s="1">
        <f>IF(S$5="",0,IF(OR(S7=TRUE,ISTEXT(S7)),R40+1,0))</f>
        <v/>
      </c>
      <c r="T40" s="1">
        <f>IF(T$5="",0,IF(OR(T7=TRUE,ISTEXT(T7)),S40+1,0))</f>
        <v/>
      </c>
      <c r="U40" s="1">
        <f>IF(U$5="",0,IF(OR(U7=TRUE,ISTEXT(U7)),T40+1,0))</f>
        <v/>
      </c>
      <c r="V40" s="1">
        <f>IF(V$5="",0,IF(OR(V7=TRUE,ISTEXT(V7)),U40+1,0))</f>
        <v/>
      </c>
      <c r="W40" s="1">
        <f>IF(W$5="",0,IF(OR(W7=TRUE,ISTEXT(W7)),V40+1,0))</f>
        <v/>
      </c>
      <c r="X40" s="1">
        <f>IF(X$5="",0,IF(OR(X7=TRUE,ISTEXT(X7)),W40+1,0))</f>
        <v/>
      </c>
      <c r="Y40" s="1">
        <f>IF(Y$5="",0,IF(OR(Y7=TRUE,ISTEXT(Y7)),X40+1,0))</f>
        <v/>
      </c>
      <c r="Z40" s="1">
        <f>IF(Z$5="",0,IF(OR(Z7=TRUE,ISTEXT(Z7)),Y40+1,0))</f>
        <v/>
      </c>
      <c r="AA40" s="1">
        <f>IF(AA$5="",0,IF(OR(AA7=TRUE,ISTEXT(AA7)),Z40+1,0))</f>
        <v/>
      </c>
      <c r="AB40" s="1">
        <f>IF(AB$5="",0,IF(OR(AB7=TRUE,ISTEXT(AB7)),AA40+1,0))</f>
        <v/>
      </c>
      <c r="AC40" s="1">
        <f>IF(AC$5="",0,IF(OR(AC7=TRUE,ISTEXT(AC7)),AB40+1,0))</f>
        <v/>
      </c>
      <c r="AD40" s="1">
        <f>IF(AD$5="",0,IF(OR(AD7=TRUE,ISTEXT(AD7)),AC40+1,0))</f>
        <v/>
      </c>
      <c r="AE40" s="1">
        <f>IF(AE$5="",0,IF(OR(AE7=TRUE,ISTEXT(AE7)),AD40+1,0))</f>
        <v/>
      </c>
      <c r="AF40" s="1">
        <f>IF(AF$5="",0,IF(OR(AF7=TRUE,ISTEXT(AF7)),AE40+1,0))</f>
        <v/>
      </c>
      <c r="AG40" s="1">
        <f>IF(AG$5="",0,IF(OR(AG7=TRUE,ISTEXT(AG7)),AF40+1,0))</f>
        <v/>
      </c>
      <c r="AH40" s="1" t="n"/>
      <c r="AI40" s="1" t="n"/>
      <c r="AJ40" s="1" t="n"/>
      <c r="AK40" s="1" t="n"/>
      <c r="AL40" s="1" t="n"/>
    </row>
    <row r="41" hidden="1">
      <c r="A41" s="1" t="n"/>
      <c r="B41" s="1">
        <f>B8</f>
        <v/>
      </c>
      <c r="C41" s="1">
        <f>IF(C$5="",0,IF(OR(C8=TRUE,ISTEXT(C8)),IFERROR(INDEX(Feb!$C$41:$AG$41,DAY(EOMONTH(DATE(Habits!$C$4,2,1),0))),0)+1,0))</f>
        <v/>
      </c>
      <c r="D41" s="1">
        <f>IF(D$5="",0,IF(OR(D8=TRUE,ISTEXT(D8)),C41+1,0))</f>
        <v/>
      </c>
      <c r="E41" s="1">
        <f>IF(E$5="",0,IF(OR(E8=TRUE,ISTEXT(E8)),D41+1,0))</f>
        <v/>
      </c>
      <c r="F41" s="1">
        <f>IF(F$5="",0,IF(OR(F8=TRUE,ISTEXT(F8)),E41+1,0))</f>
        <v/>
      </c>
      <c r="G41" s="1">
        <f>IF(G$5="",0,IF(OR(G8=TRUE,ISTEXT(G8)),F41+1,0))</f>
        <v/>
      </c>
      <c r="H41" s="1">
        <f>IF(H$5="",0,IF(OR(H8=TRUE,ISTEXT(H8)),G41+1,0))</f>
        <v/>
      </c>
      <c r="I41" s="1">
        <f>IF(I$5="",0,IF(OR(I8=TRUE,ISTEXT(I8)),H41+1,0))</f>
        <v/>
      </c>
      <c r="J41" s="1">
        <f>IF(J$5="",0,IF(OR(J8=TRUE,ISTEXT(J8)),I41+1,0))</f>
        <v/>
      </c>
      <c r="K41" s="1">
        <f>IF(K$5="",0,IF(OR(K8=TRUE,ISTEXT(K8)),J41+1,0))</f>
        <v/>
      </c>
      <c r="L41" s="1">
        <f>IF(L$5="",0,IF(OR(L8=TRUE,ISTEXT(L8)),K41+1,0))</f>
        <v/>
      </c>
      <c r="M41" s="1">
        <f>IF(M$5="",0,IF(OR(M8=TRUE,ISTEXT(M8)),L41+1,0))</f>
        <v/>
      </c>
      <c r="N41" s="1">
        <f>IF(N$5="",0,IF(OR(N8=TRUE,ISTEXT(N8)),M41+1,0))</f>
        <v/>
      </c>
      <c r="O41" s="1">
        <f>IF(O$5="",0,IF(OR(O8=TRUE,ISTEXT(O8)),N41+1,0))</f>
        <v/>
      </c>
      <c r="P41" s="1">
        <f>IF(P$5="",0,IF(OR(P8=TRUE,ISTEXT(P8)),O41+1,0))</f>
        <v/>
      </c>
      <c r="Q41" s="1">
        <f>IF(Q$5="",0,IF(OR(Q8=TRUE,ISTEXT(Q8)),P41+1,0))</f>
        <v/>
      </c>
      <c r="R41" s="1">
        <f>IF(R$5="",0,IF(OR(R8=TRUE,ISTEXT(R8)),Q41+1,0))</f>
        <v/>
      </c>
      <c r="S41" s="1">
        <f>IF(S$5="",0,IF(OR(S8=TRUE,ISTEXT(S8)),R41+1,0))</f>
        <v/>
      </c>
      <c r="T41" s="1">
        <f>IF(T$5="",0,IF(OR(T8=TRUE,ISTEXT(T8)),S41+1,0))</f>
        <v/>
      </c>
      <c r="U41" s="1">
        <f>IF(U$5="",0,IF(OR(U8=TRUE,ISTEXT(U8)),T41+1,0))</f>
        <v/>
      </c>
      <c r="V41" s="1">
        <f>IF(V$5="",0,IF(OR(V8=TRUE,ISTEXT(V8)),U41+1,0))</f>
        <v/>
      </c>
      <c r="W41" s="1">
        <f>IF(W$5="",0,IF(OR(W8=TRUE,ISTEXT(W8)),V41+1,0))</f>
        <v/>
      </c>
      <c r="X41" s="1">
        <f>IF(X$5="",0,IF(OR(X8=TRUE,ISTEXT(X8)),W41+1,0))</f>
        <v/>
      </c>
      <c r="Y41" s="1">
        <f>IF(Y$5="",0,IF(OR(Y8=TRUE,ISTEXT(Y8)),X41+1,0))</f>
        <v/>
      </c>
      <c r="Z41" s="1">
        <f>IF(Z$5="",0,IF(OR(Z8=TRUE,ISTEXT(Z8)),Y41+1,0))</f>
        <v/>
      </c>
      <c r="AA41" s="1">
        <f>IF(AA$5="",0,IF(OR(AA8=TRUE,ISTEXT(AA8)),Z41+1,0))</f>
        <v/>
      </c>
      <c r="AB41" s="1">
        <f>IF(AB$5="",0,IF(OR(AB8=TRUE,ISTEXT(AB8)),AA41+1,0))</f>
        <v/>
      </c>
      <c r="AC41" s="1">
        <f>IF(AC$5="",0,IF(OR(AC8=TRUE,ISTEXT(AC8)),AB41+1,0))</f>
        <v/>
      </c>
      <c r="AD41" s="1">
        <f>IF(AD$5="",0,IF(OR(AD8=TRUE,ISTEXT(AD8)),AC41+1,0))</f>
        <v/>
      </c>
      <c r="AE41" s="1">
        <f>IF(AE$5="",0,IF(OR(AE8=TRUE,ISTEXT(AE8)),AD41+1,0))</f>
        <v/>
      </c>
      <c r="AF41" s="1">
        <f>IF(AF$5="",0,IF(OR(AF8=TRUE,ISTEXT(AF8)),AE41+1,0))</f>
        <v/>
      </c>
      <c r="AG41" s="1">
        <f>IF(AG$5="",0,IF(OR(AG8=TRUE,ISTEXT(AG8)),AF41+1,0))</f>
        <v/>
      </c>
      <c r="AH41" s="1" t="n"/>
      <c r="AI41" s="1" t="n"/>
      <c r="AJ41" s="1" t="n"/>
      <c r="AK41" s="1" t="n"/>
      <c r="AL41" s="1" t="n"/>
    </row>
    <row r="42" hidden="1">
      <c r="A42" s="1" t="n"/>
      <c r="B42" s="1">
        <f>B9</f>
        <v/>
      </c>
      <c r="C42" s="1">
        <f>IF(C$5="",0,IF(OR(C9=TRUE,ISTEXT(C9)),IFERROR(INDEX(Feb!$C$42:$AG$42,DAY(EOMONTH(DATE(Habits!$C$4,2,1),0))),0)+1,0))</f>
        <v/>
      </c>
      <c r="D42" s="1">
        <f>IF(D$5="",0,IF(OR(D9=TRUE,ISTEXT(D9)),C42+1,0))</f>
        <v/>
      </c>
      <c r="E42" s="1">
        <f>IF(E$5="",0,IF(OR(E9=TRUE,ISTEXT(E9)),D42+1,0))</f>
        <v/>
      </c>
      <c r="F42" s="1">
        <f>IF(F$5="",0,IF(OR(F9=TRUE,ISTEXT(F9)),E42+1,0))</f>
        <v/>
      </c>
      <c r="G42" s="1">
        <f>IF(G$5="",0,IF(OR(G9=TRUE,ISTEXT(G9)),F42+1,0))</f>
        <v/>
      </c>
      <c r="H42" s="1">
        <f>IF(H$5="",0,IF(OR(H9=TRUE,ISTEXT(H9)),G42+1,0))</f>
        <v/>
      </c>
      <c r="I42" s="1">
        <f>IF(I$5="",0,IF(OR(I9=TRUE,ISTEXT(I9)),H42+1,0))</f>
        <v/>
      </c>
      <c r="J42" s="1">
        <f>IF(J$5="",0,IF(OR(J9=TRUE,ISTEXT(J9)),I42+1,0))</f>
        <v/>
      </c>
      <c r="K42" s="1">
        <f>IF(K$5="",0,IF(OR(K9=TRUE,ISTEXT(K9)),J42+1,0))</f>
        <v/>
      </c>
      <c r="L42" s="1">
        <f>IF(L$5="",0,IF(OR(L9=TRUE,ISTEXT(L9)),K42+1,0))</f>
        <v/>
      </c>
      <c r="M42" s="1">
        <f>IF(M$5="",0,IF(OR(M9=TRUE,ISTEXT(M9)),L42+1,0))</f>
        <v/>
      </c>
      <c r="N42" s="1">
        <f>IF(N$5="",0,IF(OR(N9=TRUE,ISTEXT(N9)),M42+1,0))</f>
        <v/>
      </c>
      <c r="O42" s="1">
        <f>IF(O$5="",0,IF(OR(O9=TRUE,ISTEXT(O9)),N42+1,0))</f>
        <v/>
      </c>
      <c r="P42" s="1">
        <f>IF(P$5="",0,IF(OR(P9=TRUE,ISTEXT(P9)),O42+1,0))</f>
        <v/>
      </c>
      <c r="Q42" s="1">
        <f>IF(Q$5="",0,IF(OR(Q9=TRUE,ISTEXT(Q9)),P42+1,0))</f>
        <v/>
      </c>
      <c r="R42" s="1">
        <f>IF(R$5="",0,IF(OR(R9=TRUE,ISTEXT(R9)),Q42+1,0))</f>
        <v/>
      </c>
      <c r="S42" s="1">
        <f>IF(S$5="",0,IF(OR(S9=TRUE,ISTEXT(S9)),R42+1,0))</f>
        <v/>
      </c>
      <c r="T42" s="1">
        <f>IF(T$5="",0,IF(OR(T9=TRUE,ISTEXT(T9)),S42+1,0))</f>
        <v/>
      </c>
      <c r="U42" s="1">
        <f>IF(U$5="",0,IF(OR(U9=TRUE,ISTEXT(U9)),T42+1,0))</f>
        <v/>
      </c>
      <c r="V42" s="1">
        <f>IF(V$5="",0,IF(OR(V9=TRUE,ISTEXT(V9)),U42+1,0))</f>
        <v/>
      </c>
      <c r="W42" s="1">
        <f>IF(W$5="",0,IF(OR(W9=TRUE,ISTEXT(W9)),V42+1,0))</f>
        <v/>
      </c>
      <c r="X42" s="1">
        <f>IF(X$5="",0,IF(OR(X9=TRUE,ISTEXT(X9)),W42+1,0))</f>
        <v/>
      </c>
      <c r="Y42" s="1">
        <f>IF(Y$5="",0,IF(OR(Y9=TRUE,ISTEXT(Y9)),X42+1,0))</f>
        <v/>
      </c>
      <c r="Z42" s="1">
        <f>IF(Z$5="",0,IF(OR(Z9=TRUE,ISTEXT(Z9)),Y42+1,0))</f>
        <v/>
      </c>
      <c r="AA42" s="1">
        <f>IF(AA$5="",0,IF(OR(AA9=TRUE,ISTEXT(AA9)),Z42+1,0))</f>
        <v/>
      </c>
      <c r="AB42" s="1">
        <f>IF(AB$5="",0,IF(OR(AB9=TRUE,ISTEXT(AB9)),AA42+1,0))</f>
        <v/>
      </c>
      <c r="AC42" s="1">
        <f>IF(AC$5="",0,IF(OR(AC9=TRUE,ISTEXT(AC9)),AB42+1,0))</f>
        <v/>
      </c>
      <c r="AD42" s="1">
        <f>IF(AD$5="",0,IF(OR(AD9=TRUE,ISTEXT(AD9)),AC42+1,0))</f>
        <v/>
      </c>
      <c r="AE42" s="1">
        <f>IF(AE$5="",0,IF(OR(AE9=TRUE,ISTEXT(AE9)),AD42+1,0))</f>
        <v/>
      </c>
      <c r="AF42" s="1">
        <f>IF(AF$5="",0,IF(OR(AF9=TRUE,ISTEXT(AF9)),AE42+1,0))</f>
        <v/>
      </c>
      <c r="AG42" s="1">
        <f>IF(AG$5="",0,IF(OR(AG9=TRUE,ISTEXT(AG9)),AF42+1,0))</f>
        <v/>
      </c>
      <c r="AH42" s="1" t="n"/>
      <c r="AI42" s="1" t="n"/>
      <c r="AJ42" s="1" t="n"/>
      <c r="AK42" s="1" t="n"/>
      <c r="AL42" s="1" t="n"/>
    </row>
    <row r="43" hidden="1">
      <c r="A43" s="1" t="n"/>
      <c r="B43" s="1">
        <f>B10</f>
        <v/>
      </c>
      <c r="C43" s="1">
        <f>IF(C$5="",0,IF(OR(C10=TRUE,ISTEXT(C10)),IFERROR(INDEX(Feb!$C$43:$AG$43,DAY(EOMONTH(DATE(Habits!$C$4,2,1),0))),0)+1,0))</f>
        <v/>
      </c>
      <c r="D43" s="1">
        <f>IF(D$5="",0,IF(OR(D10=TRUE,ISTEXT(D10)),C43+1,0))</f>
        <v/>
      </c>
      <c r="E43" s="1">
        <f>IF(E$5="",0,IF(OR(E10=TRUE,ISTEXT(E10)),D43+1,0))</f>
        <v/>
      </c>
      <c r="F43" s="1">
        <f>IF(F$5="",0,IF(OR(F10=TRUE,ISTEXT(F10)),E43+1,0))</f>
        <v/>
      </c>
      <c r="G43" s="1">
        <f>IF(G$5="",0,IF(OR(G10=TRUE,ISTEXT(G10)),F43+1,0))</f>
        <v/>
      </c>
      <c r="H43" s="1">
        <f>IF(H$5="",0,IF(OR(H10=TRUE,ISTEXT(H10)),G43+1,0))</f>
        <v/>
      </c>
      <c r="I43" s="1">
        <f>IF(I$5="",0,IF(OR(I10=TRUE,ISTEXT(I10)),H43+1,0))</f>
        <v/>
      </c>
      <c r="J43" s="1">
        <f>IF(J$5="",0,IF(OR(J10=TRUE,ISTEXT(J10)),I43+1,0))</f>
        <v/>
      </c>
      <c r="K43" s="1">
        <f>IF(K$5="",0,IF(OR(K10=TRUE,ISTEXT(K10)),J43+1,0))</f>
        <v/>
      </c>
      <c r="L43" s="1">
        <f>IF(L$5="",0,IF(OR(L10=TRUE,ISTEXT(L10)),K43+1,0))</f>
        <v/>
      </c>
      <c r="M43" s="1">
        <f>IF(M$5="",0,IF(OR(M10=TRUE,ISTEXT(M10)),L43+1,0))</f>
        <v/>
      </c>
      <c r="N43" s="1">
        <f>IF(N$5="",0,IF(OR(N10=TRUE,ISTEXT(N10)),M43+1,0))</f>
        <v/>
      </c>
      <c r="O43" s="1">
        <f>IF(O$5="",0,IF(OR(O10=TRUE,ISTEXT(O10)),N43+1,0))</f>
        <v/>
      </c>
      <c r="P43" s="1">
        <f>IF(P$5="",0,IF(OR(P10=TRUE,ISTEXT(P10)),O43+1,0))</f>
        <v/>
      </c>
      <c r="Q43" s="1">
        <f>IF(Q$5="",0,IF(OR(Q10=TRUE,ISTEXT(Q10)),P43+1,0))</f>
        <v/>
      </c>
      <c r="R43" s="1">
        <f>IF(R$5="",0,IF(OR(R10=TRUE,ISTEXT(R10)),Q43+1,0))</f>
        <v/>
      </c>
      <c r="S43" s="1">
        <f>IF(S$5="",0,IF(OR(S10=TRUE,ISTEXT(S10)),R43+1,0))</f>
        <v/>
      </c>
      <c r="T43" s="1">
        <f>IF(T$5="",0,IF(OR(T10=TRUE,ISTEXT(T10)),S43+1,0))</f>
        <v/>
      </c>
      <c r="U43" s="1">
        <f>IF(U$5="",0,IF(OR(U10=TRUE,ISTEXT(U10)),T43+1,0))</f>
        <v/>
      </c>
      <c r="V43" s="1">
        <f>IF(V$5="",0,IF(OR(V10=TRUE,ISTEXT(V10)),U43+1,0))</f>
        <v/>
      </c>
      <c r="W43" s="1">
        <f>IF(W$5="",0,IF(OR(W10=TRUE,ISTEXT(W10)),V43+1,0))</f>
        <v/>
      </c>
      <c r="X43" s="1">
        <f>IF(X$5="",0,IF(OR(X10=TRUE,ISTEXT(X10)),W43+1,0))</f>
        <v/>
      </c>
      <c r="Y43" s="1">
        <f>IF(Y$5="",0,IF(OR(Y10=TRUE,ISTEXT(Y10)),X43+1,0))</f>
        <v/>
      </c>
      <c r="Z43" s="1">
        <f>IF(Z$5="",0,IF(OR(Z10=TRUE,ISTEXT(Z10)),Y43+1,0))</f>
        <v/>
      </c>
      <c r="AA43" s="1">
        <f>IF(AA$5="",0,IF(OR(AA10=TRUE,ISTEXT(AA10)),Z43+1,0))</f>
        <v/>
      </c>
      <c r="AB43" s="1">
        <f>IF(AB$5="",0,IF(OR(AB10=TRUE,ISTEXT(AB10)),AA43+1,0))</f>
        <v/>
      </c>
      <c r="AC43" s="1">
        <f>IF(AC$5="",0,IF(OR(AC10=TRUE,ISTEXT(AC10)),AB43+1,0))</f>
        <v/>
      </c>
      <c r="AD43" s="1">
        <f>IF(AD$5="",0,IF(OR(AD10=TRUE,ISTEXT(AD10)),AC43+1,0))</f>
        <v/>
      </c>
      <c r="AE43" s="1">
        <f>IF(AE$5="",0,IF(OR(AE10=TRUE,ISTEXT(AE10)),AD43+1,0))</f>
        <v/>
      </c>
      <c r="AF43" s="1">
        <f>IF(AF$5="",0,IF(OR(AF10=TRUE,ISTEXT(AF10)),AE43+1,0))</f>
        <v/>
      </c>
      <c r="AG43" s="1">
        <f>IF(AG$5="",0,IF(OR(AG10=TRUE,ISTEXT(AG10)),AF43+1,0))</f>
        <v/>
      </c>
      <c r="AH43" s="1" t="n"/>
      <c r="AI43" s="1" t="n"/>
      <c r="AJ43" s="1" t="n"/>
      <c r="AK43" s="1" t="n"/>
      <c r="AL43" s="1" t="n"/>
    </row>
    <row r="44" hidden="1">
      <c r="A44" s="1" t="n"/>
      <c r="B44" s="1">
        <f>B11</f>
        <v/>
      </c>
      <c r="C44" s="1">
        <f>IF(C$5="",0,IF(OR(C11=TRUE,ISTEXT(C11)),IFERROR(INDEX(Feb!$C$44:$AG$44,DAY(EOMONTH(DATE(Habits!$C$4,2,1),0))),0)+1,0))</f>
        <v/>
      </c>
      <c r="D44" s="1">
        <f>IF(D$5="",0,IF(OR(D11=TRUE,ISTEXT(D11)),C44+1,0))</f>
        <v/>
      </c>
      <c r="E44" s="1">
        <f>IF(E$5="",0,IF(OR(E11=TRUE,ISTEXT(E11)),D44+1,0))</f>
        <v/>
      </c>
      <c r="F44" s="1">
        <f>IF(F$5="",0,IF(OR(F11=TRUE,ISTEXT(F11)),E44+1,0))</f>
        <v/>
      </c>
      <c r="G44" s="1">
        <f>IF(G$5="",0,IF(OR(G11=TRUE,ISTEXT(G11)),F44+1,0))</f>
        <v/>
      </c>
      <c r="H44" s="1">
        <f>IF(H$5="",0,IF(OR(H11=TRUE,ISTEXT(H11)),G44+1,0))</f>
        <v/>
      </c>
      <c r="I44" s="1">
        <f>IF(I$5="",0,IF(OR(I11=TRUE,ISTEXT(I11)),H44+1,0))</f>
        <v/>
      </c>
      <c r="J44" s="1">
        <f>IF(J$5="",0,IF(OR(J11=TRUE,ISTEXT(J11)),I44+1,0))</f>
        <v/>
      </c>
      <c r="K44" s="1">
        <f>IF(K$5="",0,IF(OR(K11=TRUE,ISTEXT(K11)),J44+1,0))</f>
        <v/>
      </c>
      <c r="L44" s="1">
        <f>IF(L$5="",0,IF(OR(L11=TRUE,ISTEXT(L11)),K44+1,0))</f>
        <v/>
      </c>
      <c r="M44" s="1">
        <f>IF(M$5="",0,IF(OR(M11=TRUE,ISTEXT(M11)),L44+1,0))</f>
        <v/>
      </c>
      <c r="N44" s="1">
        <f>IF(N$5="",0,IF(OR(N11=TRUE,ISTEXT(N11)),M44+1,0))</f>
        <v/>
      </c>
      <c r="O44" s="1">
        <f>IF(O$5="",0,IF(OR(O11=TRUE,ISTEXT(O11)),N44+1,0))</f>
        <v/>
      </c>
      <c r="P44" s="1">
        <f>IF(P$5="",0,IF(OR(P11=TRUE,ISTEXT(P11)),O44+1,0))</f>
        <v/>
      </c>
      <c r="Q44" s="1">
        <f>IF(Q$5="",0,IF(OR(Q11=TRUE,ISTEXT(Q11)),P44+1,0))</f>
        <v/>
      </c>
      <c r="R44" s="1">
        <f>IF(R$5="",0,IF(OR(R11=TRUE,ISTEXT(R11)),Q44+1,0))</f>
        <v/>
      </c>
      <c r="S44" s="1">
        <f>IF(S$5="",0,IF(OR(S11=TRUE,ISTEXT(S11)),R44+1,0))</f>
        <v/>
      </c>
      <c r="T44" s="1">
        <f>IF(T$5="",0,IF(OR(T11=TRUE,ISTEXT(T11)),S44+1,0))</f>
        <v/>
      </c>
      <c r="U44" s="1">
        <f>IF(U$5="",0,IF(OR(U11=TRUE,ISTEXT(U11)),T44+1,0))</f>
        <v/>
      </c>
      <c r="V44" s="1">
        <f>IF(V$5="",0,IF(OR(V11=TRUE,ISTEXT(V11)),U44+1,0))</f>
        <v/>
      </c>
      <c r="W44" s="1">
        <f>IF(W$5="",0,IF(OR(W11=TRUE,ISTEXT(W11)),V44+1,0))</f>
        <v/>
      </c>
      <c r="X44" s="1">
        <f>IF(X$5="",0,IF(OR(X11=TRUE,ISTEXT(X11)),W44+1,0))</f>
        <v/>
      </c>
      <c r="Y44" s="1">
        <f>IF(Y$5="",0,IF(OR(Y11=TRUE,ISTEXT(Y11)),X44+1,0))</f>
        <v/>
      </c>
      <c r="Z44" s="1">
        <f>IF(Z$5="",0,IF(OR(Z11=TRUE,ISTEXT(Z11)),Y44+1,0))</f>
        <v/>
      </c>
      <c r="AA44" s="1">
        <f>IF(AA$5="",0,IF(OR(AA11=TRUE,ISTEXT(AA11)),Z44+1,0))</f>
        <v/>
      </c>
      <c r="AB44" s="1">
        <f>IF(AB$5="",0,IF(OR(AB11=TRUE,ISTEXT(AB11)),AA44+1,0))</f>
        <v/>
      </c>
      <c r="AC44" s="1">
        <f>IF(AC$5="",0,IF(OR(AC11=TRUE,ISTEXT(AC11)),AB44+1,0))</f>
        <v/>
      </c>
      <c r="AD44" s="1">
        <f>IF(AD$5="",0,IF(OR(AD11=TRUE,ISTEXT(AD11)),AC44+1,0))</f>
        <v/>
      </c>
      <c r="AE44" s="1">
        <f>IF(AE$5="",0,IF(OR(AE11=TRUE,ISTEXT(AE11)),AD44+1,0))</f>
        <v/>
      </c>
      <c r="AF44" s="1">
        <f>IF(AF$5="",0,IF(OR(AF11=TRUE,ISTEXT(AF11)),AE44+1,0))</f>
        <v/>
      </c>
      <c r="AG44" s="1">
        <f>IF(AG$5="",0,IF(OR(AG11=TRUE,ISTEXT(AG11)),AF44+1,0))</f>
        <v/>
      </c>
      <c r="AH44" s="1" t="n"/>
      <c r="AI44" s="1" t="n"/>
      <c r="AJ44" s="1" t="n"/>
      <c r="AK44" s="1" t="n"/>
      <c r="AL44" s="1" t="n"/>
    </row>
    <row r="45" hidden="1">
      <c r="A45" s="1" t="n"/>
      <c r="B45" s="1">
        <f>B12</f>
        <v/>
      </c>
      <c r="C45" s="1">
        <f>IF(C$5="",0,IF(OR(C12=TRUE,ISTEXT(C12)),IFERROR(INDEX(Feb!$C$45:$AG$45,DAY(EOMONTH(DATE(Habits!$C$4,2,1),0))),0)+1,0))</f>
        <v/>
      </c>
      <c r="D45" s="1">
        <f>IF(D$5="",0,IF(OR(D12=TRUE,ISTEXT(D12)),C45+1,0))</f>
        <v/>
      </c>
      <c r="E45" s="1">
        <f>IF(E$5="",0,IF(OR(E12=TRUE,ISTEXT(E12)),D45+1,0))</f>
        <v/>
      </c>
      <c r="F45" s="1">
        <f>IF(F$5="",0,IF(OR(F12=TRUE,ISTEXT(F12)),E45+1,0))</f>
        <v/>
      </c>
      <c r="G45" s="1">
        <f>IF(G$5="",0,IF(OR(G12=TRUE,ISTEXT(G12)),F45+1,0))</f>
        <v/>
      </c>
      <c r="H45" s="1">
        <f>IF(H$5="",0,IF(OR(H12=TRUE,ISTEXT(H12)),G45+1,0))</f>
        <v/>
      </c>
      <c r="I45" s="1">
        <f>IF(I$5="",0,IF(OR(I12=TRUE,ISTEXT(I12)),H45+1,0))</f>
        <v/>
      </c>
      <c r="J45" s="1">
        <f>IF(J$5="",0,IF(OR(J12=TRUE,ISTEXT(J12)),I45+1,0))</f>
        <v/>
      </c>
      <c r="K45" s="1">
        <f>IF(K$5="",0,IF(OR(K12=TRUE,ISTEXT(K12)),J45+1,0))</f>
        <v/>
      </c>
      <c r="L45" s="1">
        <f>IF(L$5="",0,IF(OR(L12=TRUE,ISTEXT(L12)),K45+1,0))</f>
        <v/>
      </c>
      <c r="M45" s="1">
        <f>IF(M$5="",0,IF(OR(M12=TRUE,ISTEXT(M12)),L45+1,0))</f>
        <v/>
      </c>
      <c r="N45" s="1">
        <f>IF(N$5="",0,IF(OR(N12=TRUE,ISTEXT(N12)),M45+1,0))</f>
        <v/>
      </c>
      <c r="O45" s="1">
        <f>IF(O$5="",0,IF(OR(O12=TRUE,ISTEXT(O12)),N45+1,0))</f>
        <v/>
      </c>
      <c r="P45" s="1">
        <f>IF(P$5="",0,IF(OR(P12=TRUE,ISTEXT(P12)),O45+1,0))</f>
        <v/>
      </c>
      <c r="Q45" s="1">
        <f>IF(Q$5="",0,IF(OR(Q12=TRUE,ISTEXT(Q12)),P45+1,0))</f>
        <v/>
      </c>
      <c r="R45" s="1">
        <f>IF(R$5="",0,IF(OR(R12=TRUE,ISTEXT(R12)),Q45+1,0))</f>
        <v/>
      </c>
      <c r="S45" s="1">
        <f>IF(S$5="",0,IF(OR(S12=TRUE,ISTEXT(S12)),R45+1,0))</f>
        <v/>
      </c>
      <c r="T45" s="1">
        <f>IF(T$5="",0,IF(OR(T12=TRUE,ISTEXT(T12)),S45+1,0))</f>
        <v/>
      </c>
      <c r="U45" s="1">
        <f>IF(U$5="",0,IF(OR(U12=TRUE,ISTEXT(U12)),T45+1,0))</f>
        <v/>
      </c>
      <c r="V45" s="1">
        <f>IF(V$5="",0,IF(OR(V12=TRUE,ISTEXT(V12)),U45+1,0))</f>
        <v/>
      </c>
      <c r="W45" s="1">
        <f>IF(W$5="",0,IF(OR(W12=TRUE,ISTEXT(W12)),V45+1,0))</f>
        <v/>
      </c>
      <c r="X45" s="1">
        <f>IF(X$5="",0,IF(OR(X12=TRUE,ISTEXT(X12)),W45+1,0))</f>
        <v/>
      </c>
      <c r="Y45" s="1">
        <f>IF(Y$5="",0,IF(OR(Y12=TRUE,ISTEXT(Y12)),X45+1,0))</f>
        <v/>
      </c>
      <c r="Z45" s="1">
        <f>IF(Z$5="",0,IF(OR(Z12=TRUE,ISTEXT(Z12)),Y45+1,0))</f>
        <v/>
      </c>
      <c r="AA45" s="1">
        <f>IF(AA$5="",0,IF(OR(AA12=TRUE,ISTEXT(AA12)),Z45+1,0))</f>
        <v/>
      </c>
      <c r="AB45" s="1">
        <f>IF(AB$5="",0,IF(OR(AB12=TRUE,ISTEXT(AB12)),AA45+1,0))</f>
        <v/>
      </c>
      <c r="AC45" s="1">
        <f>IF(AC$5="",0,IF(OR(AC12=TRUE,ISTEXT(AC12)),AB45+1,0))</f>
        <v/>
      </c>
      <c r="AD45" s="1">
        <f>IF(AD$5="",0,IF(OR(AD12=TRUE,ISTEXT(AD12)),AC45+1,0))</f>
        <v/>
      </c>
      <c r="AE45" s="1">
        <f>IF(AE$5="",0,IF(OR(AE12=TRUE,ISTEXT(AE12)),AD45+1,0))</f>
        <v/>
      </c>
      <c r="AF45" s="1">
        <f>IF(AF$5="",0,IF(OR(AF12=TRUE,ISTEXT(AF12)),AE45+1,0))</f>
        <v/>
      </c>
      <c r="AG45" s="1">
        <f>IF(AG$5="",0,IF(OR(AG12=TRUE,ISTEXT(AG12)),AF45+1,0))</f>
        <v/>
      </c>
      <c r="AH45" s="1" t="n"/>
      <c r="AI45" s="1" t="n"/>
      <c r="AJ45" s="1" t="n"/>
      <c r="AK45" s="1" t="n"/>
      <c r="AL45" s="1" t="n"/>
    </row>
    <row r="46" hidden="1">
      <c r="A46" s="1" t="n"/>
      <c r="B46" s="1">
        <f>B13</f>
        <v/>
      </c>
      <c r="C46" s="1">
        <f>IF(C$5="",0,IF(OR(C13=TRUE,ISTEXT(C13)),IFERROR(INDEX(Feb!$C$46:$AG$46,DAY(EOMONTH(DATE(Habits!$C$4,2,1),0))),0)+1,0))</f>
        <v/>
      </c>
      <c r="D46" s="1">
        <f>IF(D$5="",0,IF(OR(D13=TRUE,ISTEXT(D13)),C46+1,0))</f>
        <v/>
      </c>
      <c r="E46" s="1">
        <f>IF(E$5="",0,IF(OR(E13=TRUE,ISTEXT(E13)),D46+1,0))</f>
        <v/>
      </c>
      <c r="F46" s="1">
        <f>IF(F$5="",0,IF(OR(F13=TRUE,ISTEXT(F13)),E46+1,0))</f>
        <v/>
      </c>
      <c r="G46" s="1">
        <f>IF(G$5="",0,IF(OR(G13=TRUE,ISTEXT(G13)),F46+1,0))</f>
        <v/>
      </c>
      <c r="H46" s="1">
        <f>IF(H$5="",0,IF(OR(H13=TRUE,ISTEXT(H13)),G46+1,0))</f>
        <v/>
      </c>
      <c r="I46" s="1">
        <f>IF(I$5="",0,IF(OR(I13=TRUE,ISTEXT(I13)),H46+1,0))</f>
        <v/>
      </c>
      <c r="J46" s="1">
        <f>IF(J$5="",0,IF(OR(J13=TRUE,ISTEXT(J13)),I46+1,0))</f>
        <v/>
      </c>
      <c r="K46" s="1">
        <f>IF(K$5="",0,IF(OR(K13=TRUE,ISTEXT(K13)),J46+1,0))</f>
        <v/>
      </c>
      <c r="L46" s="1">
        <f>IF(L$5="",0,IF(OR(L13=TRUE,ISTEXT(L13)),K46+1,0))</f>
        <v/>
      </c>
      <c r="M46" s="1">
        <f>IF(M$5="",0,IF(OR(M13=TRUE,ISTEXT(M13)),L46+1,0))</f>
        <v/>
      </c>
      <c r="N46" s="1">
        <f>IF(N$5="",0,IF(OR(N13=TRUE,ISTEXT(N13)),M46+1,0))</f>
        <v/>
      </c>
      <c r="O46" s="1">
        <f>IF(O$5="",0,IF(OR(O13=TRUE,ISTEXT(O13)),N46+1,0))</f>
        <v/>
      </c>
      <c r="P46" s="1">
        <f>IF(P$5="",0,IF(OR(P13=TRUE,ISTEXT(P13)),O46+1,0))</f>
        <v/>
      </c>
      <c r="Q46" s="1">
        <f>IF(Q$5="",0,IF(OR(Q13=TRUE,ISTEXT(Q13)),P46+1,0))</f>
        <v/>
      </c>
      <c r="R46" s="1">
        <f>IF(R$5="",0,IF(OR(R13=TRUE,ISTEXT(R13)),Q46+1,0))</f>
        <v/>
      </c>
      <c r="S46" s="1">
        <f>IF(S$5="",0,IF(OR(S13=TRUE,ISTEXT(S13)),R46+1,0))</f>
        <v/>
      </c>
      <c r="T46" s="1">
        <f>IF(T$5="",0,IF(OR(T13=TRUE,ISTEXT(T13)),S46+1,0))</f>
        <v/>
      </c>
      <c r="U46" s="1">
        <f>IF(U$5="",0,IF(OR(U13=TRUE,ISTEXT(U13)),T46+1,0))</f>
        <v/>
      </c>
      <c r="V46" s="1">
        <f>IF(V$5="",0,IF(OR(V13=TRUE,ISTEXT(V13)),U46+1,0))</f>
        <v/>
      </c>
      <c r="W46" s="1">
        <f>IF(W$5="",0,IF(OR(W13=TRUE,ISTEXT(W13)),V46+1,0))</f>
        <v/>
      </c>
      <c r="X46" s="1">
        <f>IF(X$5="",0,IF(OR(X13=TRUE,ISTEXT(X13)),W46+1,0))</f>
        <v/>
      </c>
      <c r="Y46" s="1">
        <f>IF(Y$5="",0,IF(OR(Y13=TRUE,ISTEXT(Y13)),X46+1,0))</f>
        <v/>
      </c>
      <c r="Z46" s="1">
        <f>IF(Z$5="",0,IF(OR(Z13=TRUE,ISTEXT(Z13)),Y46+1,0))</f>
        <v/>
      </c>
      <c r="AA46" s="1">
        <f>IF(AA$5="",0,IF(OR(AA13=TRUE,ISTEXT(AA13)),Z46+1,0))</f>
        <v/>
      </c>
      <c r="AB46" s="1">
        <f>IF(AB$5="",0,IF(OR(AB13=TRUE,ISTEXT(AB13)),AA46+1,0))</f>
        <v/>
      </c>
      <c r="AC46" s="1">
        <f>IF(AC$5="",0,IF(OR(AC13=TRUE,ISTEXT(AC13)),AB46+1,0))</f>
        <v/>
      </c>
      <c r="AD46" s="1">
        <f>IF(AD$5="",0,IF(OR(AD13=TRUE,ISTEXT(AD13)),AC46+1,0))</f>
        <v/>
      </c>
      <c r="AE46" s="1">
        <f>IF(AE$5="",0,IF(OR(AE13=TRUE,ISTEXT(AE13)),AD46+1,0))</f>
        <v/>
      </c>
      <c r="AF46" s="1">
        <f>IF(AF$5="",0,IF(OR(AF13=TRUE,ISTEXT(AF13)),AE46+1,0))</f>
        <v/>
      </c>
      <c r="AG46" s="1">
        <f>IF(AG$5="",0,IF(OR(AG13=TRUE,ISTEXT(AG13)),AF46+1,0))</f>
        <v/>
      </c>
      <c r="AH46" s="1" t="n"/>
      <c r="AI46" s="1" t="n"/>
      <c r="AJ46" s="1" t="n"/>
      <c r="AK46" s="1" t="n"/>
      <c r="AL46" s="1" t="n"/>
    </row>
    <row r="47" hidden="1">
      <c r="A47" s="1" t="n"/>
      <c r="B47" s="1">
        <f>B14</f>
        <v/>
      </c>
      <c r="C47" s="1">
        <f>IF(C$5="",0,IF(OR(C14=TRUE,ISTEXT(C14)),IFERROR(INDEX(Feb!$C$47:$AG$47,DAY(EOMONTH(DATE(Habits!$C$4,2,1),0))),0)+1,0))</f>
        <v/>
      </c>
      <c r="D47" s="1">
        <f>IF(D$5="",0,IF(OR(D14=TRUE,ISTEXT(D14)),C47+1,0))</f>
        <v/>
      </c>
      <c r="E47" s="1">
        <f>IF(E$5="",0,IF(OR(E14=TRUE,ISTEXT(E14)),D47+1,0))</f>
        <v/>
      </c>
      <c r="F47" s="1">
        <f>IF(F$5="",0,IF(OR(F14=TRUE,ISTEXT(F14)),E47+1,0))</f>
        <v/>
      </c>
      <c r="G47" s="1">
        <f>IF(G$5="",0,IF(OR(G14=TRUE,ISTEXT(G14)),F47+1,0))</f>
        <v/>
      </c>
      <c r="H47" s="1">
        <f>IF(H$5="",0,IF(OR(H14=TRUE,ISTEXT(H14)),G47+1,0))</f>
        <v/>
      </c>
      <c r="I47" s="1">
        <f>IF(I$5="",0,IF(OR(I14=TRUE,ISTEXT(I14)),H47+1,0))</f>
        <v/>
      </c>
      <c r="J47" s="1">
        <f>IF(J$5="",0,IF(OR(J14=TRUE,ISTEXT(J14)),I47+1,0))</f>
        <v/>
      </c>
      <c r="K47" s="1">
        <f>IF(K$5="",0,IF(OR(K14=TRUE,ISTEXT(K14)),J47+1,0))</f>
        <v/>
      </c>
      <c r="L47" s="1">
        <f>IF(L$5="",0,IF(OR(L14=TRUE,ISTEXT(L14)),K47+1,0))</f>
        <v/>
      </c>
      <c r="M47" s="1">
        <f>IF(M$5="",0,IF(OR(M14=TRUE,ISTEXT(M14)),L47+1,0))</f>
        <v/>
      </c>
      <c r="N47" s="1">
        <f>IF(N$5="",0,IF(OR(N14=TRUE,ISTEXT(N14)),M47+1,0))</f>
        <v/>
      </c>
      <c r="O47" s="1">
        <f>IF(O$5="",0,IF(OR(O14=TRUE,ISTEXT(O14)),N47+1,0))</f>
        <v/>
      </c>
      <c r="P47" s="1">
        <f>IF(P$5="",0,IF(OR(P14=TRUE,ISTEXT(P14)),O47+1,0))</f>
        <v/>
      </c>
      <c r="Q47" s="1">
        <f>IF(Q$5="",0,IF(OR(Q14=TRUE,ISTEXT(Q14)),P47+1,0))</f>
        <v/>
      </c>
      <c r="R47" s="1">
        <f>IF(R$5="",0,IF(OR(R14=TRUE,ISTEXT(R14)),Q47+1,0))</f>
        <v/>
      </c>
      <c r="S47" s="1">
        <f>IF(S$5="",0,IF(OR(S14=TRUE,ISTEXT(S14)),R47+1,0))</f>
        <v/>
      </c>
      <c r="T47" s="1">
        <f>IF(T$5="",0,IF(OR(T14=TRUE,ISTEXT(T14)),S47+1,0))</f>
        <v/>
      </c>
      <c r="U47" s="1">
        <f>IF(U$5="",0,IF(OR(U14=TRUE,ISTEXT(U14)),T47+1,0))</f>
        <v/>
      </c>
      <c r="V47" s="1">
        <f>IF(V$5="",0,IF(OR(V14=TRUE,ISTEXT(V14)),U47+1,0))</f>
        <v/>
      </c>
      <c r="W47" s="1">
        <f>IF(W$5="",0,IF(OR(W14=TRUE,ISTEXT(W14)),V47+1,0))</f>
        <v/>
      </c>
      <c r="X47" s="1">
        <f>IF(X$5="",0,IF(OR(X14=TRUE,ISTEXT(X14)),W47+1,0))</f>
        <v/>
      </c>
      <c r="Y47" s="1">
        <f>IF(Y$5="",0,IF(OR(Y14=TRUE,ISTEXT(Y14)),X47+1,0))</f>
        <v/>
      </c>
      <c r="Z47" s="1">
        <f>IF(Z$5="",0,IF(OR(Z14=TRUE,ISTEXT(Z14)),Y47+1,0))</f>
        <v/>
      </c>
      <c r="AA47" s="1">
        <f>IF(AA$5="",0,IF(OR(AA14=TRUE,ISTEXT(AA14)),Z47+1,0))</f>
        <v/>
      </c>
      <c r="AB47" s="1">
        <f>IF(AB$5="",0,IF(OR(AB14=TRUE,ISTEXT(AB14)),AA47+1,0))</f>
        <v/>
      </c>
      <c r="AC47" s="1">
        <f>IF(AC$5="",0,IF(OR(AC14=TRUE,ISTEXT(AC14)),AB47+1,0))</f>
        <v/>
      </c>
      <c r="AD47" s="1">
        <f>IF(AD$5="",0,IF(OR(AD14=TRUE,ISTEXT(AD14)),AC47+1,0))</f>
        <v/>
      </c>
      <c r="AE47" s="1">
        <f>IF(AE$5="",0,IF(OR(AE14=TRUE,ISTEXT(AE14)),AD47+1,0))</f>
        <v/>
      </c>
      <c r="AF47" s="1">
        <f>IF(AF$5="",0,IF(OR(AF14=TRUE,ISTEXT(AF14)),AE47+1,0))</f>
        <v/>
      </c>
      <c r="AG47" s="1">
        <f>IF(AG$5="",0,IF(OR(AG14=TRUE,ISTEXT(AG14)),AF47+1,0))</f>
        <v/>
      </c>
      <c r="AH47" s="1" t="n"/>
      <c r="AI47" s="1" t="n"/>
      <c r="AJ47" s="1" t="n"/>
      <c r="AK47" s="1" t="n"/>
      <c r="AL47" s="1" t="n"/>
    </row>
    <row r="48" hidden="1">
      <c r="A48" s="1" t="n"/>
      <c r="B48" s="1">
        <f>B15</f>
        <v/>
      </c>
      <c r="C48" s="1">
        <f>IF(C$5="",0,IF(OR(C15=TRUE,ISTEXT(C15)),IFERROR(INDEX(Feb!$C$48:$AG$48,DAY(EOMONTH(DATE(Habits!$C$4,2,1),0))),0)+1,0))</f>
        <v/>
      </c>
      <c r="D48" s="1">
        <f>IF(D$5="",0,IF(OR(D15=TRUE,ISTEXT(D15)),C48+1,0))</f>
        <v/>
      </c>
      <c r="E48" s="1">
        <f>IF(E$5="",0,IF(OR(E15=TRUE,ISTEXT(E15)),D48+1,0))</f>
        <v/>
      </c>
      <c r="F48" s="1">
        <f>IF(F$5="",0,IF(OR(F15=TRUE,ISTEXT(F15)),E48+1,0))</f>
        <v/>
      </c>
      <c r="G48" s="1">
        <f>IF(G$5="",0,IF(OR(G15=TRUE,ISTEXT(G15)),F48+1,0))</f>
        <v/>
      </c>
      <c r="H48" s="1">
        <f>IF(H$5="",0,IF(OR(H15=TRUE,ISTEXT(H15)),G48+1,0))</f>
        <v/>
      </c>
      <c r="I48" s="1">
        <f>IF(I$5="",0,IF(OR(I15=TRUE,ISTEXT(I15)),H48+1,0))</f>
        <v/>
      </c>
      <c r="J48" s="1">
        <f>IF(J$5="",0,IF(OR(J15=TRUE,ISTEXT(J15)),I48+1,0))</f>
        <v/>
      </c>
      <c r="K48" s="1">
        <f>IF(K$5="",0,IF(OR(K15=TRUE,ISTEXT(K15)),J48+1,0))</f>
        <v/>
      </c>
      <c r="L48" s="1">
        <f>IF(L$5="",0,IF(OR(L15=TRUE,ISTEXT(L15)),K48+1,0))</f>
        <v/>
      </c>
      <c r="M48" s="1">
        <f>IF(M$5="",0,IF(OR(M15=TRUE,ISTEXT(M15)),L48+1,0))</f>
        <v/>
      </c>
      <c r="N48" s="1">
        <f>IF(N$5="",0,IF(OR(N15=TRUE,ISTEXT(N15)),M48+1,0))</f>
        <v/>
      </c>
      <c r="O48" s="1">
        <f>IF(O$5="",0,IF(OR(O15=TRUE,ISTEXT(O15)),N48+1,0))</f>
        <v/>
      </c>
      <c r="P48" s="1">
        <f>IF(P$5="",0,IF(OR(P15=TRUE,ISTEXT(P15)),O48+1,0))</f>
        <v/>
      </c>
      <c r="Q48" s="1">
        <f>IF(Q$5="",0,IF(OR(Q15=TRUE,ISTEXT(Q15)),P48+1,0))</f>
        <v/>
      </c>
      <c r="R48" s="1">
        <f>IF(R$5="",0,IF(OR(R15=TRUE,ISTEXT(R15)),Q48+1,0))</f>
        <v/>
      </c>
      <c r="S48" s="1">
        <f>IF(S$5="",0,IF(OR(S15=TRUE,ISTEXT(S15)),R48+1,0))</f>
        <v/>
      </c>
      <c r="T48" s="1">
        <f>IF(T$5="",0,IF(OR(T15=TRUE,ISTEXT(T15)),S48+1,0))</f>
        <v/>
      </c>
      <c r="U48" s="1">
        <f>IF(U$5="",0,IF(OR(U15=TRUE,ISTEXT(U15)),T48+1,0))</f>
        <v/>
      </c>
      <c r="V48" s="1">
        <f>IF(V$5="",0,IF(OR(V15=TRUE,ISTEXT(V15)),U48+1,0))</f>
        <v/>
      </c>
      <c r="W48" s="1">
        <f>IF(W$5="",0,IF(OR(W15=TRUE,ISTEXT(W15)),V48+1,0))</f>
        <v/>
      </c>
      <c r="X48" s="1">
        <f>IF(X$5="",0,IF(OR(X15=TRUE,ISTEXT(X15)),W48+1,0))</f>
        <v/>
      </c>
      <c r="Y48" s="1">
        <f>IF(Y$5="",0,IF(OR(Y15=TRUE,ISTEXT(Y15)),X48+1,0))</f>
        <v/>
      </c>
      <c r="Z48" s="1">
        <f>IF(Z$5="",0,IF(OR(Z15=TRUE,ISTEXT(Z15)),Y48+1,0))</f>
        <v/>
      </c>
      <c r="AA48" s="1">
        <f>IF(AA$5="",0,IF(OR(AA15=TRUE,ISTEXT(AA15)),Z48+1,0))</f>
        <v/>
      </c>
      <c r="AB48" s="1">
        <f>IF(AB$5="",0,IF(OR(AB15=TRUE,ISTEXT(AB15)),AA48+1,0))</f>
        <v/>
      </c>
      <c r="AC48" s="1">
        <f>IF(AC$5="",0,IF(OR(AC15=TRUE,ISTEXT(AC15)),AB48+1,0))</f>
        <v/>
      </c>
      <c r="AD48" s="1">
        <f>IF(AD$5="",0,IF(OR(AD15=TRUE,ISTEXT(AD15)),AC48+1,0))</f>
        <v/>
      </c>
      <c r="AE48" s="1">
        <f>IF(AE$5="",0,IF(OR(AE15=TRUE,ISTEXT(AE15)),AD48+1,0))</f>
        <v/>
      </c>
      <c r="AF48" s="1">
        <f>IF(AF$5="",0,IF(OR(AF15=TRUE,ISTEXT(AF15)),AE48+1,0))</f>
        <v/>
      </c>
      <c r="AG48" s="1">
        <f>IF(AG$5="",0,IF(OR(AG15=TRUE,ISTEXT(AG15)),AF48+1,0))</f>
        <v/>
      </c>
      <c r="AH48" s="1" t="n"/>
      <c r="AI48" s="1" t="n"/>
      <c r="AJ48" s="1" t="n"/>
      <c r="AK48" s="1" t="n"/>
      <c r="AL48" s="1" t="n"/>
    </row>
    <row r="49" hidden="1">
      <c r="A49" s="1" t="n"/>
      <c r="B49" s="1">
        <f>B16</f>
        <v/>
      </c>
      <c r="C49" s="1">
        <f>IF(C$5="",0,IF(OR(C16=TRUE,ISTEXT(C16)),IFERROR(INDEX(Feb!$C$49:$AG$49,DAY(EOMONTH(DATE(Habits!$C$4,2,1),0))),0)+1,0))</f>
        <v/>
      </c>
      <c r="D49" s="1">
        <f>IF(D$5="",0,IF(OR(D16=TRUE,ISTEXT(D16)),C49+1,0))</f>
        <v/>
      </c>
      <c r="E49" s="1">
        <f>IF(E$5="",0,IF(OR(E16=TRUE,ISTEXT(E16)),D49+1,0))</f>
        <v/>
      </c>
      <c r="F49" s="1">
        <f>IF(F$5="",0,IF(OR(F16=TRUE,ISTEXT(F16)),E49+1,0))</f>
        <v/>
      </c>
      <c r="G49" s="1">
        <f>IF(G$5="",0,IF(OR(G16=TRUE,ISTEXT(G16)),F49+1,0))</f>
        <v/>
      </c>
      <c r="H49" s="1">
        <f>IF(H$5="",0,IF(OR(H16=TRUE,ISTEXT(H16)),G49+1,0))</f>
        <v/>
      </c>
      <c r="I49" s="1">
        <f>IF(I$5="",0,IF(OR(I16=TRUE,ISTEXT(I16)),H49+1,0))</f>
        <v/>
      </c>
      <c r="J49" s="1">
        <f>IF(J$5="",0,IF(OR(J16=TRUE,ISTEXT(J16)),I49+1,0))</f>
        <v/>
      </c>
      <c r="K49" s="1">
        <f>IF(K$5="",0,IF(OR(K16=TRUE,ISTEXT(K16)),J49+1,0))</f>
        <v/>
      </c>
      <c r="L49" s="1">
        <f>IF(L$5="",0,IF(OR(L16=TRUE,ISTEXT(L16)),K49+1,0))</f>
        <v/>
      </c>
      <c r="M49" s="1">
        <f>IF(M$5="",0,IF(OR(M16=TRUE,ISTEXT(M16)),L49+1,0))</f>
        <v/>
      </c>
      <c r="N49" s="1">
        <f>IF(N$5="",0,IF(OR(N16=TRUE,ISTEXT(N16)),M49+1,0))</f>
        <v/>
      </c>
      <c r="O49" s="1">
        <f>IF(O$5="",0,IF(OR(O16=TRUE,ISTEXT(O16)),N49+1,0))</f>
        <v/>
      </c>
      <c r="P49" s="1">
        <f>IF(P$5="",0,IF(OR(P16=TRUE,ISTEXT(P16)),O49+1,0))</f>
        <v/>
      </c>
      <c r="Q49" s="1">
        <f>IF(Q$5="",0,IF(OR(Q16=TRUE,ISTEXT(Q16)),P49+1,0))</f>
        <v/>
      </c>
      <c r="R49" s="1">
        <f>IF(R$5="",0,IF(OR(R16=TRUE,ISTEXT(R16)),Q49+1,0))</f>
        <v/>
      </c>
      <c r="S49" s="1">
        <f>IF(S$5="",0,IF(OR(S16=TRUE,ISTEXT(S16)),R49+1,0))</f>
        <v/>
      </c>
      <c r="T49" s="1">
        <f>IF(T$5="",0,IF(OR(T16=TRUE,ISTEXT(T16)),S49+1,0))</f>
        <v/>
      </c>
      <c r="U49" s="1">
        <f>IF(U$5="",0,IF(OR(U16=TRUE,ISTEXT(U16)),T49+1,0))</f>
        <v/>
      </c>
      <c r="V49" s="1">
        <f>IF(V$5="",0,IF(OR(V16=TRUE,ISTEXT(V16)),U49+1,0))</f>
        <v/>
      </c>
      <c r="W49" s="1">
        <f>IF(W$5="",0,IF(OR(W16=TRUE,ISTEXT(W16)),V49+1,0))</f>
        <v/>
      </c>
      <c r="X49" s="1">
        <f>IF(X$5="",0,IF(OR(X16=TRUE,ISTEXT(X16)),W49+1,0))</f>
        <v/>
      </c>
      <c r="Y49" s="1">
        <f>IF(Y$5="",0,IF(OR(Y16=TRUE,ISTEXT(Y16)),X49+1,0))</f>
        <v/>
      </c>
      <c r="Z49" s="1">
        <f>IF(Z$5="",0,IF(OR(Z16=TRUE,ISTEXT(Z16)),Y49+1,0))</f>
        <v/>
      </c>
      <c r="AA49" s="1">
        <f>IF(AA$5="",0,IF(OR(AA16=TRUE,ISTEXT(AA16)),Z49+1,0))</f>
        <v/>
      </c>
      <c r="AB49" s="1">
        <f>IF(AB$5="",0,IF(OR(AB16=TRUE,ISTEXT(AB16)),AA49+1,0))</f>
        <v/>
      </c>
      <c r="AC49" s="1">
        <f>IF(AC$5="",0,IF(OR(AC16=TRUE,ISTEXT(AC16)),AB49+1,0))</f>
        <v/>
      </c>
      <c r="AD49" s="1">
        <f>IF(AD$5="",0,IF(OR(AD16=TRUE,ISTEXT(AD16)),AC49+1,0))</f>
        <v/>
      </c>
      <c r="AE49" s="1">
        <f>IF(AE$5="",0,IF(OR(AE16=TRUE,ISTEXT(AE16)),AD49+1,0))</f>
        <v/>
      </c>
      <c r="AF49" s="1">
        <f>IF(AF$5="",0,IF(OR(AF16=TRUE,ISTEXT(AF16)),AE49+1,0))</f>
        <v/>
      </c>
      <c r="AG49" s="1">
        <f>IF(AG$5="",0,IF(OR(AG16=TRUE,ISTEXT(AG16)),AF49+1,0))</f>
        <v/>
      </c>
      <c r="AH49" s="1" t="n"/>
      <c r="AI49" s="1" t="n"/>
      <c r="AJ49" s="1" t="n"/>
      <c r="AK49" s="1" t="n"/>
      <c r="AL49" s="1" t="n"/>
    </row>
    <row r="50" hidden="1">
      <c r="A50" s="1" t="n"/>
      <c r="B50" s="1">
        <f>B17</f>
        <v/>
      </c>
      <c r="C50" s="1">
        <f>IF(C$5="",0,IF(OR(C17=TRUE,ISTEXT(C17)),IFERROR(INDEX(Feb!$C$50:$AG$50,DAY(EOMONTH(DATE(Habits!$C$4,2,1),0))),0)+1,0))</f>
        <v/>
      </c>
      <c r="D50" s="1">
        <f>IF(D$5="",0,IF(OR(D17=TRUE,ISTEXT(D17)),C50+1,0))</f>
        <v/>
      </c>
      <c r="E50" s="1">
        <f>IF(E$5="",0,IF(OR(E17=TRUE,ISTEXT(E17)),D50+1,0))</f>
        <v/>
      </c>
      <c r="F50" s="1">
        <f>IF(F$5="",0,IF(OR(F17=TRUE,ISTEXT(F17)),E50+1,0))</f>
        <v/>
      </c>
      <c r="G50" s="1">
        <f>IF(G$5="",0,IF(OR(G17=TRUE,ISTEXT(G17)),F50+1,0))</f>
        <v/>
      </c>
      <c r="H50" s="1">
        <f>IF(H$5="",0,IF(OR(H17=TRUE,ISTEXT(H17)),G50+1,0))</f>
        <v/>
      </c>
      <c r="I50" s="1">
        <f>IF(I$5="",0,IF(OR(I17=TRUE,ISTEXT(I17)),H50+1,0))</f>
        <v/>
      </c>
      <c r="J50" s="1">
        <f>IF(J$5="",0,IF(OR(J17=TRUE,ISTEXT(J17)),I50+1,0))</f>
        <v/>
      </c>
      <c r="K50" s="1">
        <f>IF(K$5="",0,IF(OR(K17=TRUE,ISTEXT(K17)),J50+1,0))</f>
        <v/>
      </c>
      <c r="L50" s="1">
        <f>IF(L$5="",0,IF(OR(L17=TRUE,ISTEXT(L17)),K50+1,0))</f>
        <v/>
      </c>
      <c r="M50" s="1">
        <f>IF(M$5="",0,IF(OR(M17=TRUE,ISTEXT(M17)),L50+1,0))</f>
        <v/>
      </c>
      <c r="N50" s="1">
        <f>IF(N$5="",0,IF(OR(N17=TRUE,ISTEXT(N17)),M50+1,0))</f>
        <v/>
      </c>
      <c r="O50" s="1">
        <f>IF(O$5="",0,IF(OR(O17=TRUE,ISTEXT(O17)),N50+1,0))</f>
        <v/>
      </c>
      <c r="P50" s="1">
        <f>IF(P$5="",0,IF(OR(P17=TRUE,ISTEXT(P17)),O50+1,0))</f>
        <v/>
      </c>
      <c r="Q50" s="1">
        <f>IF(Q$5="",0,IF(OR(Q17=TRUE,ISTEXT(Q17)),P50+1,0))</f>
        <v/>
      </c>
      <c r="R50" s="1">
        <f>IF(R$5="",0,IF(OR(R17=TRUE,ISTEXT(R17)),Q50+1,0))</f>
        <v/>
      </c>
      <c r="S50" s="1">
        <f>IF(S$5="",0,IF(OR(S17=TRUE,ISTEXT(S17)),R50+1,0))</f>
        <v/>
      </c>
      <c r="T50" s="1">
        <f>IF(T$5="",0,IF(OR(T17=TRUE,ISTEXT(T17)),S50+1,0))</f>
        <v/>
      </c>
      <c r="U50" s="1">
        <f>IF(U$5="",0,IF(OR(U17=TRUE,ISTEXT(U17)),T50+1,0))</f>
        <v/>
      </c>
      <c r="V50" s="1">
        <f>IF(V$5="",0,IF(OR(V17=TRUE,ISTEXT(V17)),U50+1,0))</f>
        <v/>
      </c>
      <c r="W50" s="1">
        <f>IF(W$5="",0,IF(OR(W17=TRUE,ISTEXT(W17)),V50+1,0))</f>
        <v/>
      </c>
      <c r="X50" s="1">
        <f>IF(X$5="",0,IF(OR(X17=TRUE,ISTEXT(X17)),W50+1,0))</f>
        <v/>
      </c>
      <c r="Y50" s="1">
        <f>IF(Y$5="",0,IF(OR(Y17=TRUE,ISTEXT(Y17)),X50+1,0))</f>
        <v/>
      </c>
      <c r="Z50" s="1">
        <f>IF(Z$5="",0,IF(OR(Z17=TRUE,ISTEXT(Z17)),Y50+1,0))</f>
        <v/>
      </c>
      <c r="AA50" s="1">
        <f>IF(AA$5="",0,IF(OR(AA17=TRUE,ISTEXT(AA17)),Z50+1,0))</f>
        <v/>
      </c>
      <c r="AB50" s="1">
        <f>IF(AB$5="",0,IF(OR(AB17=TRUE,ISTEXT(AB17)),AA50+1,0))</f>
        <v/>
      </c>
      <c r="AC50" s="1">
        <f>IF(AC$5="",0,IF(OR(AC17=TRUE,ISTEXT(AC17)),AB50+1,0))</f>
        <v/>
      </c>
      <c r="AD50" s="1">
        <f>IF(AD$5="",0,IF(OR(AD17=TRUE,ISTEXT(AD17)),AC50+1,0))</f>
        <v/>
      </c>
      <c r="AE50" s="1">
        <f>IF(AE$5="",0,IF(OR(AE17=TRUE,ISTEXT(AE17)),AD50+1,0))</f>
        <v/>
      </c>
      <c r="AF50" s="1">
        <f>IF(AF$5="",0,IF(OR(AF17=TRUE,ISTEXT(AF17)),AE50+1,0))</f>
        <v/>
      </c>
      <c r="AG50" s="1">
        <f>IF(AG$5="",0,IF(OR(AG17=TRUE,ISTEXT(AG17)),AF50+1,0))</f>
        <v/>
      </c>
      <c r="AH50" s="1" t="n"/>
      <c r="AI50" s="1" t="n"/>
      <c r="AJ50" s="1" t="n"/>
      <c r="AK50" s="1" t="n"/>
      <c r="AL50" s="1" t="n"/>
    </row>
    <row r="51" hidden="1">
      <c r="A51" s="1" t="n"/>
      <c r="B51" s="1">
        <f>B18</f>
        <v/>
      </c>
      <c r="C51" s="1">
        <f>IF(C$5="",0,IF(OR(C18=TRUE,ISTEXT(C18)),IFERROR(INDEX(Feb!$C$51:$AG$51,DAY(EOMONTH(DATE(Habits!$C$4,2,1),0))),0)+1,0))</f>
        <v/>
      </c>
      <c r="D51" s="1">
        <f>IF(D$5="",0,IF(OR(D18=TRUE,ISTEXT(D18)),C51+1,0))</f>
        <v/>
      </c>
      <c r="E51" s="1">
        <f>IF(E$5="",0,IF(OR(E18=TRUE,ISTEXT(E18)),D51+1,0))</f>
        <v/>
      </c>
      <c r="F51" s="1">
        <f>IF(F$5="",0,IF(OR(F18=TRUE,ISTEXT(F18)),E51+1,0))</f>
        <v/>
      </c>
      <c r="G51" s="1">
        <f>IF(G$5="",0,IF(OR(G18=TRUE,ISTEXT(G18)),F51+1,0))</f>
        <v/>
      </c>
      <c r="H51" s="1">
        <f>IF(H$5="",0,IF(OR(H18=TRUE,ISTEXT(H18)),G51+1,0))</f>
        <v/>
      </c>
      <c r="I51" s="1">
        <f>IF(I$5="",0,IF(OR(I18=TRUE,ISTEXT(I18)),H51+1,0))</f>
        <v/>
      </c>
      <c r="J51" s="1">
        <f>IF(J$5="",0,IF(OR(J18=TRUE,ISTEXT(J18)),I51+1,0))</f>
        <v/>
      </c>
      <c r="K51" s="1">
        <f>IF(K$5="",0,IF(OR(K18=TRUE,ISTEXT(K18)),J51+1,0))</f>
        <v/>
      </c>
      <c r="L51" s="1">
        <f>IF(L$5="",0,IF(OR(L18=TRUE,ISTEXT(L18)),K51+1,0))</f>
        <v/>
      </c>
      <c r="M51" s="1">
        <f>IF(M$5="",0,IF(OR(M18=TRUE,ISTEXT(M18)),L51+1,0))</f>
        <v/>
      </c>
      <c r="N51" s="1">
        <f>IF(N$5="",0,IF(OR(N18=TRUE,ISTEXT(N18)),M51+1,0))</f>
        <v/>
      </c>
      <c r="O51" s="1">
        <f>IF(O$5="",0,IF(OR(O18=TRUE,ISTEXT(O18)),N51+1,0))</f>
        <v/>
      </c>
      <c r="P51" s="1">
        <f>IF(P$5="",0,IF(OR(P18=TRUE,ISTEXT(P18)),O51+1,0))</f>
        <v/>
      </c>
      <c r="Q51" s="1">
        <f>IF(Q$5="",0,IF(OR(Q18=TRUE,ISTEXT(Q18)),P51+1,0))</f>
        <v/>
      </c>
      <c r="R51" s="1">
        <f>IF(R$5="",0,IF(OR(R18=TRUE,ISTEXT(R18)),Q51+1,0))</f>
        <v/>
      </c>
      <c r="S51" s="1">
        <f>IF(S$5="",0,IF(OR(S18=TRUE,ISTEXT(S18)),R51+1,0))</f>
        <v/>
      </c>
      <c r="T51" s="1">
        <f>IF(T$5="",0,IF(OR(T18=TRUE,ISTEXT(T18)),S51+1,0))</f>
        <v/>
      </c>
      <c r="U51" s="1">
        <f>IF(U$5="",0,IF(OR(U18=TRUE,ISTEXT(U18)),T51+1,0))</f>
        <v/>
      </c>
      <c r="V51" s="1">
        <f>IF(V$5="",0,IF(OR(V18=TRUE,ISTEXT(V18)),U51+1,0))</f>
        <v/>
      </c>
      <c r="W51" s="1">
        <f>IF(W$5="",0,IF(OR(W18=TRUE,ISTEXT(W18)),V51+1,0))</f>
        <v/>
      </c>
      <c r="X51" s="1">
        <f>IF(X$5="",0,IF(OR(X18=TRUE,ISTEXT(X18)),W51+1,0))</f>
        <v/>
      </c>
      <c r="Y51" s="1">
        <f>IF(Y$5="",0,IF(OR(Y18=TRUE,ISTEXT(Y18)),X51+1,0))</f>
        <v/>
      </c>
      <c r="Z51" s="1">
        <f>IF(Z$5="",0,IF(OR(Z18=TRUE,ISTEXT(Z18)),Y51+1,0))</f>
        <v/>
      </c>
      <c r="AA51" s="1">
        <f>IF(AA$5="",0,IF(OR(AA18=TRUE,ISTEXT(AA18)),Z51+1,0))</f>
        <v/>
      </c>
      <c r="AB51" s="1">
        <f>IF(AB$5="",0,IF(OR(AB18=TRUE,ISTEXT(AB18)),AA51+1,0))</f>
        <v/>
      </c>
      <c r="AC51" s="1">
        <f>IF(AC$5="",0,IF(OR(AC18=TRUE,ISTEXT(AC18)),AB51+1,0))</f>
        <v/>
      </c>
      <c r="AD51" s="1">
        <f>IF(AD$5="",0,IF(OR(AD18=TRUE,ISTEXT(AD18)),AC51+1,0))</f>
        <v/>
      </c>
      <c r="AE51" s="1">
        <f>IF(AE$5="",0,IF(OR(AE18=TRUE,ISTEXT(AE18)),AD51+1,0))</f>
        <v/>
      </c>
      <c r="AF51" s="1">
        <f>IF(AF$5="",0,IF(OR(AF18=TRUE,ISTEXT(AF18)),AE51+1,0))</f>
        <v/>
      </c>
      <c r="AG51" s="1">
        <f>IF(AG$5="",0,IF(OR(AG18=TRUE,ISTEXT(AG18)),AF51+1,0))</f>
        <v/>
      </c>
      <c r="AH51" s="1" t="n"/>
      <c r="AI51" s="1" t="n"/>
      <c r="AJ51" s="1" t="n"/>
      <c r="AK51" s="1" t="n"/>
      <c r="AL51" s="1" t="n"/>
    </row>
    <row r="52" hidden="1">
      <c r="A52" s="1" t="n"/>
      <c r="B52" s="1">
        <f>B19</f>
        <v/>
      </c>
      <c r="C52" s="1">
        <f>IF(C$5="",0,IF(OR(C19=TRUE,ISTEXT(C19)),IFERROR(INDEX(Feb!$C$52:$AG$52,DAY(EOMONTH(DATE(Habits!$C$4,2,1),0))),0)+1,0))</f>
        <v/>
      </c>
      <c r="D52" s="1">
        <f>IF(D$5="",0,IF(OR(D19=TRUE,ISTEXT(D19)),C52+1,0))</f>
        <v/>
      </c>
      <c r="E52" s="1">
        <f>IF(E$5="",0,IF(OR(E19=TRUE,ISTEXT(E19)),D52+1,0))</f>
        <v/>
      </c>
      <c r="F52" s="1">
        <f>IF(F$5="",0,IF(OR(F19=TRUE,ISTEXT(F19)),E52+1,0))</f>
        <v/>
      </c>
      <c r="G52" s="1">
        <f>IF(G$5="",0,IF(OR(G19=TRUE,ISTEXT(G19)),F52+1,0))</f>
        <v/>
      </c>
      <c r="H52" s="1">
        <f>IF(H$5="",0,IF(OR(H19=TRUE,ISTEXT(H19)),G52+1,0))</f>
        <v/>
      </c>
      <c r="I52" s="1">
        <f>IF(I$5="",0,IF(OR(I19=TRUE,ISTEXT(I19)),H52+1,0))</f>
        <v/>
      </c>
      <c r="J52" s="1">
        <f>IF(J$5="",0,IF(OR(J19=TRUE,ISTEXT(J19)),I52+1,0))</f>
        <v/>
      </c>
      <c r="K52" s="1">
        <f>IF(K$5="",0,IF(OR(K19=TRUE,ISTEXT(K19)),J52+1,0))</f>
        <v/>
      </c>
      <c r="L52" s="1">
        <f>IF(L$5="",0,IF(OR(L19=TRUE,ISTEXT(L19)),K52+1,0))</f>
        <v/>
      </c>
      <c r="M52" s="1">
        <f>IF(M$5="",0,IF(OR(M19=TRUE,ISTEXT(M19)),L52+1,0))</f>
        <v/>
      </c>
      <c r="N52" s="1">
        <f>IF(N$5="",0,IF(OR(N19=TRUE,ISTEXT(N19)),M52+1,0))</f>
        <v/>
      </c>
      <c r="O52" s="1">
        <f>IF(O$5="",0,IF(OR(O19=TRUE,ISTEXT(O19)),N52+1,0))</f>
        <v/>
      </c>
      <c r="P52" s="1">
        <f>IF(P$5="",0,IF(OR(P19=TRUE,ISTEXT(P19)),O52+1,0))</f>
        <v/>
      </c>
      <c r="Q52" s="1">
        <f>IF(Q$5="",0,IF(OR(Q19=TRUE,ISTEXT(Q19)),P52+1,0))</f>
        <v/>
      </c>
      <c r="R52" s="1">
        <f>IF(R$5="",0,IF(OR(R19=TRUE,ISTEXT(R19)),Q52+1,0))</f>
        <v/>
      </c>
      <c r="S52" s="1">
        <f>IF(S$5="",0,IF(OR(S19=TRUE,ISTEXT(S19)),R52+1,0))</f>
        <v/>
      </c>
      <c r="T52" s="1">
        <f>IF(T$5="",0,IF(OR(T19=TRUE,ISTEXT(T19)),S52+1,0))</f>
        <v/>
      </c>
      <c r="U52" s="1">
        <f>IF(U$5="",0,IF(OR(U19=TRUE,ISTEXT(U19)),T52+1,0))</f>
        <v/>
      </c>
      <c r="V52" s="1">
        <f>IF(V$5="",0,IF(OR(V19=TRUE,ISTEXT(V19)),U52+1,0))</f>
        <v/>
      </c>
      <c r="W52" s="1">
        <f>IF(W$5="",0,IF(OR(W19=TRUE,ISTEXT(W19)),V52+1,0))</f>
        <v/>
      </c>
      <c r="X52" s="1">
        <f>IF(X$5="",0,IF(OR(X19=TRUE,ISTEXT(X19)),W52+1,0))</f>
        <v/>
      </c>
      <c r="Y52" s="1">
        <f>IF(Y$5="",0,IF(OR(Y19=TRUE,ISTEXT(Y19)),X52+1,0))</f>
        <v/>
      </c>
      <c r="Z52" s="1">
        <f>IF(Z$5="",0,IF(OR(Z19=TRUE,ISTEXT(Z19)),Y52+1,0))</f>
        <v/>
      </c>
      <c r="AA52" s="1">
        <f>IF(AA$5="",0,IF(OR(AA19=TRUE,ISTEXT(AA19)),Z52+1,0))</f>
        <v/>
      </c>
      <c r="AB52" s="1">
        <f>IF(AB$5="",0,IF(OR(AB19=TRUE,ISTEXT(AB19)),AA52+1,0))</f>
        <v/>
      </c>
      <c r="AC52" s="1">
        <f>IF(AC$5="",0,IF(OR(AC19=TRUE,ISTEXT(AC19)),AB52+1,0))</f>
        <v/>
      </c>
      <c r="AD52" s="1">
        <f>IF(AD$5="",0,IF(OR(AD19=TRUE,ISTEXT(AD19)),AC52+1,0))</f>
        <v/>
      </c>
      <c r="AE52" s="1">
        <f>IF(AE$5="",0,IF(OR(AE19=TRUE,ISTEXT(AE19)),AD52+1,0))</f>
        <v/>
      </c>
      <c r="AF52" s="1">
        <f>IF(AF$5="",0,IF(OR(AF19=TRUE,ISTEXT(AF19)),AE52+1,0))</f>
        <v/>
      </c>
      <c r="AG52" s="1">
        <f>IF(AG$5="",0,IF(OR(AG19=TRUE,ISTEXT(AG19)),AF52+1,0))</f>
        <v/>
      </c>
      <c r="AH52" s="1" t="n"/>
      <c r="AI52" s="1" t="n"/>
      <c r="AJ52" s="1" t="n"/>
      <c r="AK52" s="1" t="n"/>
      <c r="AL52" s="1" t="n"/>
    </row>
    <row r="53" hidden="1">
      <c r="A53" s="1" t="n"/>
      <c r="B53" s="1">
        <f>B20</f>
        <v/>
      </c>
      <c r="C53" s="1">
        <f>IF(C$5="",0,IF(OR(C20=TRUE,ISTEXT(C20)),IFERROR(INDEX(Feb!$C$53:$AG$53,DAY(EOMONTH(DATE(Habits!$C$4,2,1),0))),0)+1,0))</f>
        <v/>
      </c>
      <c r="D53" s="1">
        <f>IF(D$5="",0,IF(OR(D20=TRUE,ISTEXT(D20)),C53+1,0))</f>
        <v/>
      </c>
      <c r="E53" s="1">
        <f>IF(E$5="",0,IF(OR(E20=TRUE,ISTEXT(E20)),D53+1,0))</f>
        <v/>
      </c>
      <c r="F53" s="1">
        <f>IF(F$5="",0,IF(OR(F20=TRUE,ISTEXT(F20)),E53+1,0))</f>
        <v/>
      </c>
      <c r="G53" s="1">
        <f>IF(G$5="",0,IF(OR(G20=TRUE,ISTEXT(G20)),F53+1,0))</f>
        <v/>
      </c>
      <c r="H53" s="1">
        <f>IF(H$5="",0,IF(OR(H20=TRUE,ISTEXT(H20)),G53+1,0))</f>
        <v/>
      </c>
      <c r="I53" s="1">
        <f>IF(I$5="",0,IF(OR(I20=TRUE,ISTEXT(I20)),H53+1,0))</f>
        <v/>
      </c>
      <c r="J53" s="1">
        <f>IF(J$5="",0,IF(OR(J20=TRUE,ISTEXT(J20)),I53+1,0))</f>
        <v/>
      </c>
      <c r="K53" s="1">
        <f>IF(K$5="",0,IF(OR(K20=TRUE,ISTEXT(K20)),J53+1,0))</f>
        <v/>
      </c>
      <c r="L53" s="1">
        <f>IF(L$5="",0,IF(OR(L20=TRUE,ISTEXT(L20)),K53+1,0))</f>
        <v/>
      </c>
      <c r="M53" s="1">
        <f>IF(M$5="",0,IF(OR(M20=TRUE,ISTEXT(M20)),L53+1,0))</f>
        <v/>
      </c>
      <c r="N53" s="1">
        <f>IF(N$5="",0,IF(OR(N20=TRUE,ISTEXT(N20)),M53+1,0))</f>
        <v/>
      </c>
      <c r="O53" s="1">
        <f>IF(O$5="",0,IF(OR(O20=TRUE,ISTEXT(O20)),N53+1,0))</f>
        <v/>
      </c>
      <c r="P53" s="1">
        <f>IF(P$5="",0,IF(OR(P20=TRUE,ISTEXT(P20)),O53+1,0))</f>
        <v/>
      </c>
      <c r="Q53" s="1">
        <f>IF(Q$5="",0,IF(OR(Q20=TRUE,ISTEXT(Q20)),P53+1,0))</f>
        <v/>
      </c>
      <c r="R53" s="1">
        <f>IF(R$5="",0,IF(OR(R20=TRUE,ISTEXT(R20)),Q53+1,0))</f>
        <v/>
      </c>
      <c r="S53" s="1">
        <f>IF(S$5="",0,IF(OR(S20=TRUE,ISTEXT(S20)),R53+1,0))</f>
        <v/>
      </c>
      <c r="T53" s="1">
        <f>IF(T$5="",0,IF(OR(T20=TRUE,ISTEXT(T20)),S53+1,0))</f>
        <v/>
      </c>
      <c r="U53" s="1">
        <f>IF(U$5="",0,IF(OR(U20=TRUE,ISTEXT(U20)),T53+1,0))</f>
        <v/>
      </c>
      <c r="V53" s="1">
        <f>IF(V$5="",0,IF(OR(V20=TRUE,ISTEXT(V20)),U53+1,0))</f>
        <v/>
      </c>
      <c r="W53" s="1">
        <f>IF(W$5="",0,IF(OR(W20=TRUE,ISTEXT(W20)),V53+1,0))</f>
        <v/>
      </c>
      <c r="X53" s="1">
        <f>IF(X$5="",0,IF(OR(X20=TRUE,ISTEXT(X20)),W53+1,0))</f>
        <v/>
      </c>
      <c r="Y53" s="1">
        <f>IF(Y$5="",0,IF(OR(Y20=TRUE,ISTEXT(Y20)),X53+1,0))</f>
        <v/>
      </c>
      <c r="Z53" s="1">
        <f>IF(Z$5="",0,IF(OR(Z20=TRUE,ISTEXT(Z20)),Y53+1,0))</f>
        <v/>
      </c>
      <c r="AA53" s="1">
        <f>IF(AA$5="",0,IF(OR(AA20=TRUE,ISTEXT(AA20)),Z53+1,0))</f>
        <v/>
      </c>
      <c r="AB53" s="1">
        <f>IF(AB$5="",0,IF(OR(AB20=TRUE,ISTEXT(AB20)),AA53+1,0))</f>
        <v/>
      </c>
      <c r="AC53" s="1">
        <f>IF(AC$5="",0,IF(OR(AC20=TRUE,ISTEXT(AC20)),AB53+1,0))</f>
        <v/>
      </c>
      <c r="AD53" s="1">
        <f>IF(AD$5="",0,IF(OR(AD20=TRUE,ISTEXT(AD20)),AC53+1,0))</f>
        <v/>
      </c>
      <c r="AE53" s="1">
        <f>IF(AE$5="",0,IF(OR(AE20=TRUE,ISTEXT(AE20)),AD53+1,0))</f>
        <v/>
      </c>
      <c r="AF53" s="1">
        <f>IF(AF$5="",0,IF(OR(AF20=TRUE,ISTEXT(AF20)),AE53+1,0))</f>
        <v/>
      </c>
      <c r="AG53" s="1">
        <f>IF(AG$5="",0,IF(OR(AG20=TRUE,ISTEXT(AG20)),AF53+1,0))</f>
        <v/>
      </c>
      <c r="AH53" s="1" t="n"/>
      <c r="AI53" s="1" t="n"/>
      <c r="AJ53" s="1" t="n"/>
      <c r="AK53" s="1" t="n"/>
      <c r="AL53" s="1" t="n"/>
    </row>
    <row r="54" hidden="1">
      <c r="A54" s="1" t="n"/>
      <c r="B54" s="1">
        <f>B21</f>
        <v/>
      </c>
      <c r="C54" s="1">
        <f>IF(C$5="",0,IF(OR(C21=TRUE,ISTEXT(C21)),IFERROR(INDEX(Feb!$C$54:$AG$54,DAY(EOMONTH(DATE(Habits!$C$4,2,1),0))),0)+1,0))</f>
        <v/>
      </c>
      <c r="D54" s="1">
        <f>IF(D$5="",0,IF(OR(D21=TRUE,ISTEXT(D21)),C54+1,0))</f>
        <v/>
      </c>
      <c r="E54" s="1">
        <f>IF(E$5="",0,IF(OR(E21=TRUE,ISTEXT(E21)),D54+1,0))</f>
        <v/>
      </c>
      <c r="F54" s="1">
        <f>IF(F$5="",0,IF(OR(F21=TRUE,ISTEXT(F21)),E54+1,0))</f>
        <v/>
      </c>
      <c r="G54" s="1">
        <f>IF(G$5="",0,IF(OR(G21=TRUE,ISTEXT(G21)),F54+1,0))</f>
        <v/>
      </c>
      <c r="H54" s="1">
        <f>IF(H$5="",0,IF(OR(H21=TRUE,ISTEXT(H21)),G54+1,0))</f>
        <v/>
      </c>
      <c r="I54" s="1">
        <f>IF(I$5="",0,IF(OR(I21=TRUE,ISTEXT(I21)),H54+1,0))</f>
        <v/>
      </c>
      <c r="J54" s="1">
        <f>IF(J$5="",0,IF(OR(J21=TRUE,ISTEXT(J21)),I54+1,0))</f>
        <v/>
      </c>
      <c r="K54" s="1">
        <f>IF(K$5="",0,IF(OR(K21=TRUE,ISTEXT(K21)),J54+1,0))</f>
        <v/>
      </c>
      <c r="L54" s="1">
        <f>IF(L$5="",0,IF(OR(L21=TRUE,ISTEXT(L21)),K54+1,0))</f>
        <v/>
      </c>
      <c r="M54" s="1">
        <f>IF(M$5="",0,IF(OR(M21=TRUE,ISTEXT(M21)),L54+1,0))</f>
        <v/>
      </c>
      <c r="N54" s="1">
        <f>IF(N$5="",0,IF(OR(N21=TRUE,ISTEXT(N21)),M54+1,0))</f>
        <v/>
      </c>
      <c r="O54" s="1">
        <f>IF(O$5="",0,IF(OR(O21=TRUE,ISTEXT(O21)),N54+1,0))</f>
        <v/>
      </c>
      <c r="P54" s="1">
        <f>IF(P$5="",0,IF(OR(P21=TRUE,ISTEXT(P21)),O54+1,0))</f>
        <v/>
      </c>
      <c r="Q54" s="1">
        <f>IF(Q$5="",0,IF(OR(Q21=TRUE,ISTEXT(Q21)),P54+1,0))</f>
        <v/>
      </c>
      <c r="R54" s="1">
        <f>IF(R$5="",0,IF(OR(R21=TRUE,ISTEXT(R21)),Q54+1,0))</f>
        <v/>
      </c>
      <c r="S54" s="1">
        <f>IF(S$5="",0,IF(OR(S21=TRUE,ISTEXT(S21)),R54+1,0))</f>
        <v/>
      </c>
      <c r="T54" s="1">
        <f>IF(T$5="",0,IF(OR(T21=TRUE,ISTEXT(T21)),S54+1,0))</f>
        <v/>
      </c>
      <c r="U54" s="1">
        <f>IF(U$5="",0,IF(OR(U21=TRUE,ISTEXT(U21)),T54+1,0))</f>
        <v/>
      </c>
      <c r="V54" s="1">
        <f>IF(V$5="",0,IF(OR(V21=TRUE,ISTEXT(V21)),U54+1,0))</f>
        <v/>
      </c>
      <c r="W54" s="1">
        <f>IF(W$5="",0,IF(OR(W21=TRUE,ISTEXT(W21)),V54+1,0))</f>
        <v/>
      </c>
      <c r="X54" s="1">
        <f>IF(X$5="",0,IF(OR(X21=TRUE,ISTEXT(X21)),W54+1,0))</f>
        <v/>
      </c>
      <c r="Y54" s="1">
        <f>IF(Y$5="",0,IF(OR(Y21=TRUE,ISTEXT(Y21)),X54+1,0))</f>
        <v/>
      </c>
      <c r="Z54" s="1">
        <f>IF(Z$5="",0,IF(OR(Z21=TRUE,ISTEXT(Z21)),Y54+1,0))</f>
        <v/>
      </c>
      <c r="AA54" s="1">
        <f>IF(AA$5="",0,IF(OR(AA21=TRUE,ISTEXT(AA21)),Z54+1,0))</f>
        <v/>
      </c>
      <c r="AB54" s="1">
        <f>IF(AB$5="",0,IF(OR(AB21=TRUE,ISTEXT(AB21)),AA54+1,0))</f>
        <v/>
      </c>
      <c r="AC54" s="1">
        <f>IF(AC$5="",0,IF(OR(AC21=TRUE,ISTEXT(AC21)),AB54+1,0))</f>
        <v/>
      </c>
      <c r="AD54" s="1">
        <f>IF(AD$5="",0,IF(OR(AD21=TRUE,ISTEXT(AD21)),AC54+1,0))</f>
        <v/>
      </c>
      <c r="AE54" s="1">
        <f>IF(AE$5="",0,IF(OR(AE21=TRUE,ISTEXT(AE21)),AD54+1,0))</f>
        <v/>
      </c>
      <c r="AF54" s="1">
        <f>IF(AF$5="",0,IF(OR(AF21=TRUE,ISTEXT(AF21)),AE54+1,0))</f>
        <v/>
      </c>
      <c r="AG54" s="1">
        <f>IF(AG$5="",0,IF(OR(AG21=TRUE,ISTEXT(AG21)),AF54+1,0))</f>
        <v/>
      </c>
      <c r="AH54" s="1" t="n"/>
      <c r="AI54" s="1" t="n"/>
      <c r="AJ54" s="1" t="n"/>
      <c r="AK54" s="1" t="n"/>
      <c r="A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</sheetData>
  <mergeCells count="2">
    <mergeCell ref="AH24:AI24"/>
    <mergeCell ref="AH23:AI23"/>
  </mergeCells>
  <conditionalFormatting sqref="C7:AG24">
    <cfRule type="expression" priority="1" dxfId="12">
      <formula>C$5=""</formula>
    </cfRule>
  </conditionalFormatting>
  <conditionalFormatting sqref="C7:AG21">
    <cfRule type="expression" priority="2" dxfId="13">
      <formula>AND($B7&lt;&gt;"",OR(C7=TRUE,ISTEXT(C7)))</formula>
    </cfRule>
    <cfRule type="expression" priority="3" dxfId="14">
      <formula>$B7=""</formula>
    </cfRule>
  </conditionalFormatting>
  <conditionalFormatting sqref="C23:AG23">
    <cfRule type="expression" priority="4" dxfId="1">
      <formula>C23=5</formula>
    </cfRule>
    <cfRule type="expression" priority="5" dxfId="2">
      <formula>C23=4</formula>
    </cfRule>
    <cfRule type="expression" priority="6" dxfId="3">
      <formula>C23=3</formula>
    </cfRule>
    <cfRule type="expression" priority="7" dxfId="4">
      <formula>C23=2</formula>
    </cfRule>
    <cfRule type="expression" priority="8" dxfId="5">
      <formula>C23=1</formula>
    </cfRule>
  </conditionalFormatting>
  <conditionalFormatting sqref="C5:AG5">
    <cfRule type="expression" priority="9" dxfId="15">
      <formula>AND(C$5&lt;&gt;"",DATE(Habits!$C$4,3,C$5)=TODAY())</formula>
    </cfRule>
  </conditionalFormatting>
  <conditionalFormatting sqref="AI7:AI21">
    <cfRule type="colorScale" priority="10">
      <colorScale>
        <cfvo type="num" val="0"/>
        <cfvo type="num" val="1"/>
        <color rgb="00FFFFFF"/>
        <color rgb="008CC5A8"/>
      </colorScale>
    </cfRule>
  </conditionalFormatting>
  <dataValidations count="1">
    <dataValidation sqref="C23:AG2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L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7" customWidth="1" min="34" max="34"/>
    <col width="7" customWidth="1" min="35" max="35"/>
    <col width="8" customWidth="1" min="36" max="36"/>
    <col width="8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>
        <f>"April "&amp;Habits!$C$4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Type x on each day you did a habit. Mood from 1 to 5, sleep in hours.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30" customHeight="1">
      <c r="A5" s="1" t="n"/>
      <c r="B5" s="28" t="inlineStr">
        <is>
          <t>Habit</t>
        </is>
      </c>
      <c r="C5" s="29">
        <f>IF(1&lt;=DAY(EOMONTH(DATE(Habits!$C$4,4,1),0)),1,"")</f>
        <v/>
      </c>
      <c r="D5" s="29">
        <f>IF(2&lt;=DAY(EOMONTH(DATE(Habits!$C$4,4,1),0)),2,"")</f>
        <v/>
      </c>
      <c r="E5" s="29">
        <f>IF(3&lt;=DAY(EOMONTH(DATE(Habits!$C$4,4,1),0)),3,"")</f>
        <v/>
      </c>
      <c r="F5" s="29">
        <f>IF(4&lt;=DAY(EOMONTH(DATE(Habits!$C$4,4,1),0)),4,"")</f>
        <v/>
      </c>
      <c r="G5" s="29">
        <f>IF(5&lt;=DAY(EOMONTH(DATE(Habits!$C$4,4,1),0)),5,"")</f>
        <v/>
      </c>
      <c r="H5" s="29">
        <f>IF(6&lt;=DAY(EOMONTH(DATE(Habits!$C$4,4,1),0)),6,"")</f>
        <v/>
      </c>
      <c r="I5" s="29">
        <f>IF(7&lt;=DAY(EOMONTH(DATE(Habits!$C$4,4,1),0)),7,"")</f>
        <v/>
      </c>
      <c r="J5" s="29">
        <f>IF(8&lt;=DAY(EOMONTH(DATE(Habits!$C$4,4,1),0)),8,"")</f>
        <v/>
      </c>
      <c r="K5" s="29">
        <f>IF(9&lt;=DAY(EOMONTH(DATE(Habits!$C$4,4,1),0)),9,"")</f>
        <v/>
      </c>
      <c r="L5" s="29">
        <f>IF(10&lt;=DAY(EOMONTH(DATE(Habits!$C$4,4,1),0)),10,"")</f>
        <v/>
      </c>
      <c r="M5" s="29">
        <f>IF(11&lt;=DAY(EOMONTH(DATE(Habits!$C$4,4,1),0)),11,"")</f>
        <v/>
      </c>
      <c r="N5" s="29">
        <f>IF(12&lt;=DAY(EOMONTH(DATE(Habits!$C$4,4,1),0)),12,"")</f>
        <v/>
      </c>
      <c r="O5" s="29">
        <f>IF(13&lt;=DAY(EOMONTH(DATE(Habits!$C$4,4,1),0)),13,"")</f>
        <v/>
      </c>
      <c r="P5" s="29">
        <f>IF(14&lt;=DAY(EOMONTH(DATE(Habits!$C$4,4,1),0)),14,"")</f>
        <v/>
      </c>
      <c r="Q5" s="29">
        <f>IF(15&lt;=DAY(EOMONTH(DATE(Habits!$C$4,4,1),0)),15,"")</f>
        <v/>
      </c>
      <c r="R5" s="29">
        <f>IF(16&lt;=DAY(EOMONTH(DATE(Habits!$C$4,4,1),0)),16,"")</f>
        <v/>
      </c>
      <c r="S5" s="29">
        <f>IF(17&lt;=DAY(EOMONTH(DATE(Habits!$C$4,4,1),0)),17,"")</f>
        <v/>
      </c>
      <c r="T5" s="29">
        <f>IF(18&lt;=DAY(EOMONTH(DATE(Habits!$C$4,4,1),0)),18,"")</f>
        <v/>
      </c>
      <c r="U5" s="29">
        <f>IF(19&lt;=DAY(EOMONTH(DATE(Habits!$C$4,4,1),0)),19,"")</f>
        <v/>
      </c>
      <c r="V5" s="29">
        <f>IF(20&lt;=DAY(EOMONTH(DATE(Habits!$C$4,4,1),0)),20,"")</f>
        <v/>
      </c>
      <c r="W5" s="29">
        <f>IF(21&lt;=DAY(EOMONTH(DATE(Habits!$C$4,4,1),0)),21,"")</f>
        <v/>
      </c>
      <c r="X5" s="29">
        <f>IF(22&lt;=DAY(EOMONTH(DATE(Habits!$C$4,4,1),0)),22,"")</f>
        <v/>
      </c>
      <c r="Y5" s="29">
        <f>IF(23&lt;=DAY(EOMONTH(DATE(Habits!$C$4,4,1),0)),23,"")</f>
        <v/>
      </c>
      <c r="Z5" s="29">
        <f>IF(24&lt;=DAY(EOMONTH(DATE(Habits!$C$4,4,1),0)),24,"")</f>
        <v/>
      </c>
      <c r="AA5" s="29">
        <f>IF(25&lt;=DAY(EOMONTH(DATE(Habits!$C$4,4,1),0)),25,"")</f>
        <v/>
      </c>
      <c r="AB5" s="29">
        <f>IF(26&lt;=DAY(EOMONTH(DATE(Habits!$C$4,4,1),0)),26,"")</f>
        <v/>
      </c>
      <c r="AC5" s="29">
        <f>IF(27&lt;=DAY(EOMONTH(DATE(Habits!$C$4,4,1),0)),27,"")</f>
        <v/>
      </c>
      <c r="AD5" s="29">
        <f>IF(28&lt;=DAY(EOMONTH(DATE(Habits!$C$4,4,1),0)),28,"")</f>
        <v/>
      </c>
      <c r="AE5" s="29">
        <f>IF(29&lt;=DAY(EOMONTH(DATE(Habits!$C$4,4,1),0)),29,"")</f>
        <v/>
      </c>
      <c r="AF5" s="29">
        <f>IF(30&lt;=DAY(EOMONTH(DATE(Habits!$C$4,4,1),0)),30,"")</f>
        <v/>
      </c>
      <c r="AG5" s="29">
        <f>IF(31&lt;=DAY(EOMONTH(DATE(Habits!$C$4,4,1),0)),31,"")</f>
        <v/>
      </c>
      <c r="AH5" s="30" t="inlineStr">
        <is>
          <t>Done</t>
        </is>
      </c>
      <c r="AI5" s="30" t="inlineStr">
        <is>
          <t>Share</t>
        </is>
      </c>
      <c r="AJ5" s="30" t="inlineStr">
        <is>
          <t>Streak now</t>
        </is>
      </c>
      <c r="AK5" s="30" t="inlineStr">
        <is>
          <t>Best streak</t>
        </is>
      </c>
      <c r="AL5" s="1" t="n"/>
    </row>
    <row r="6">
      <c r="A6" s="1" t="n"/>
      <c r="B6" s="1" t="n"/>
      <c r="C6" s="31">
        <f>IF(C$5="","",CHOOSE(WEEKDAY(DATE(Habits!$C$4,4,1),2),"M","T","W","T","F","S","S"))</f>
        <v/>
      </c>
      <c r="D6" s="31">
        <f>IF(D$5="","",CHOOSE(WEEKDAY(DATE(Habits!$C$4,4,2),2),"M","T","W","T","F","S","S"))</f>
        <v/>
      </c>
      <c r="E6" s="31">
        <f>IF(E$5="","",CHOOSE(WEEKDAY(DATE(Habits!$C$4,4,3),2),"M","T","W","T","F","S","S"))</f>
        <v/>
      </c>
      <c r="F6" s="31">
        <f>IF(F$5="","",CHOOSE(WEEKDAY(DATE(Habits!$C$4,4,4),2),"M","T","W","T","F","S","S"))</f>
        <v/>
      </c>
      <c r="G6" s="31">
        <f>IF(G$5="","",CHOOSE(WEEKDAY(DATE(Habits!$C$4,4,5),2),"M","T","W","T","F","S","S"))</f>
        <v/>
      </c>
      <c r="H6" s="31">
        <f>IF(H$5="","",CHOOSE(WEEKDAY(DATE(Habits!$C$4,4,6),2),"M","T","W","T","F","S","S"))</f>
        <v/>
      </c>
      <c r="I6" s="31">
        <f>IF(I$5="","",CHOOSE(WEEKDAY(DATE(Habits!$C$4,4,7),2),"M","T","W","T","F","S","S"))</f>
        <v/>
      </c>
      <c r="J6" s="31">
        <f>IF(J$5="","",CHOOSE(WEEKDAY(DATE(Habits!$C$4,4,8),2),"M","T","W","T","F","S","S"))</f>
        <v/>
      </c>
      <c r="K6" s="31">
        <f>IF(K$5="","",CHOOSE(WEEKDAY(DATE(Habits!$C$4,4,9),2),"M","T","W","T","F","S","S"))</f>
        <v/>
      </c>
      <c r="L6" s="31">
        <f>IF(L$5="","",CHOOSE(WEEKDAY(DATE(Habits!$C$4,4,10),2),"M","T","W","T","F","S","S"))</f>
        <v/>
      </c>
      <c r="M6" s="31">
        <f>IF(M$5="","",CHOOSE(WEEKDAY(DATE(Habits!$C$4,4,11),2),"M","T","W","T","F","S","S"))</f>
        <v/>
      </c>
      <c r="N6" s="31">
        <f>IF(N$5="","",CHOOSE(WEEKDAY(DATE(Habits!$C$4,4,12),2),"M","T","W","T","F","S","S"))</f>
        <v/>
      </c>
      <c r="O6" s="31">
        <f>IF(O$5="","",CHOOSE(WEEKDAY(DATE(Habits!$C$4,4,13),2),"M","T","W","T","F","S","S"))</f>
        <v/>
      </c>
      <c r="P6" s="31">
        <f>IF(P$5="","",CHOOSE(WEEKDAY(DATE(Habits!$C$4,4,14),2),"M","T","W","T","F","S","S"))</f>
        <v/>
      </c>
      <c r="Q6" s="31">
        <f>IF(Q$5="","",CHOOSE(WEEKDAY(DATE(Habits!$C$4,4,15),2),"M","T","W","T","F","S","S"))</f>
        <v/>
      </c>
      <c r="R6" s="31">
        <f>IF(R$5="","",CHOOSE(WEEKDAY(DATE(Habits!$C$4,4,16),2),"M","T","W","T","F","S","S"))</f>
        <v/>
      </c>
      <c r="S6" s="31">
        <f>IF(S$5="","",CHOOSE(WEEKDAY(DATE(Habits!$C$4,4,17),2),"M","T","W","T","F","S","S"))</f>
        <v/>
      </c>
      <c r="T6" s="31">
        <f>IF(T$5="","",CHOOSE(WEEKDAY(DATE(Habits!$C$4,4,18),2),"M","T","W","T","F","S","S"))</f>
        <v/>
      </c>
      <c r="U6" s="31">
        <f>IF(U$5="","",CHOOSE(WEEKDAY(DATE(Habits!$C$4,4,19),2),"M","T","W","T","F","S","S"))</f>
        <v/>
      </c>
      <c r="V6" s="31">
        <f>IF(V$5="","",CHOOSE(WEEKDAY(DATE(Habits!$C$4,4,20),2),"M","T","W","T","F","S","S"))</f>
        <v/>
      </c>
      <c r="W6" s="31">
        <f>IF(W$5="","",CHOOSE(WEEKDAY(DATE(Habits!$C$4,4,21),2),"M","T","W","T","F","S","S"))</f>
        <v/>
      </c>
      <c r="X6" s="31">
        <f>IF(X$5="","",CHOOSE(WEEKDAY(DATE(Habits!$C$4,4,22),2),"M","T","W","T","F","S","S"))</f>
        <v/>
      </c>
      <c r="Y6" s="31">
        <f>IF(Y$5="","",CHOOSE(WEEKDAY(DATE(Habits!$C$4,4,23),2),"M","T","W","T","F","S","S"))</f>
        <v/>
      </c>
      <c r="Z6" s="31">
        <f>IF(Z$5="","",CHOOSE(WEEKDAY(DATE(Habits!$C$4,4,24),2),"M","T","W","T","F","S","S"))</f>
        <v/>
      </c>
      <c r="AA6" s="31">
        <f>IF(AA$5="","",CHOOSE(WEEKDAY(DATE(Habits!$C$4,4,25),2),"M","T","W","T","F","S","S"))</f>
        <v/>
      </c>
      <c r="AB6" s="31">
        <f>IF(AB$5="","",CHOOSE(WEEKDAY(DATE(Habits!$C$4,4,26),2),"M","T","W","T","F","S","S"))</f>
        <v/>
      </c>
      <c r="AC6" s="31">
        <f>IF(AC$5="","",CHOOSE(WEEKDAY(DATE(Habits!$C$4,4,27),2),"M","T","W","T","F","S","S"))</f>
        <v/>
      </c>
      <c r="AD6" s="31">
        <f>IF(AD$5="","",CHOOSE(WEEKDAY(DATE(Habits!$C$4,4,28),2),"M","T","W","T","F","S","S"))</f>
        <v/>
      </c>
      <c r="AE6" s="31">
        <f>IF(AE$5="","",CHOOSE(WEEKDAY(DATE(Habits!$C$4,4,29),2),"M","T","W","T","F","S","S"))</f>
        <v/>
      </c>
      <c r="AF6" s="31">
        <f>IF(AF$5="","",CHOOSE(WEEKDAY(DATE(Habits!$C$4,4,30),2),"M","T","W","T","F","S","S"))</f>
        <v/>
      </c>
      <c r="AG6" s="31">
        <f>IF(AG$5="","",CHOOSE(WEEKDAY(DATE(Habits!$C$4,4,31),2),"M","T","W","T","F","S","S"))</f>
        <v/>
      </c>
      <c r="AH6" s="1" t="n"/>
      <c r="AI6" s="1" t="n"/>
      <c r="AJ6" s="1" t="n"/>
      <c r="AK6" s="1" t="n"/>
      <c r="AL6" s="1" t="n"/>
    </row>
    <row r="7">
      <c r="A7" s="1" t="n"/>
      <c r="B7" s="32">
        <f>IF(Habits!B8="","",Habits!B8)</f>
        <v/>
      </c>
      <c r="C7" s="33" t="inlineStr">
        <is>
          <t>x</t>
        </is>
      </c>
      <c r="D7" s="33" t="inlineStr">
        <is>
          <t>x</t>
        </is>
      </c>
      <c r="E7" s="33" t="inlineStr">
        <is>
          <t>x</t>
        </is>
      </c>
      <c r="F7" s="33" t="inlineStr">
        <is>
          <t>x</t>
        </is>
      </c>
      <c r="G7" s="33" t="n"/>
      <c r="H7" s="33" t="inlineStr">
        <is>
          <t>x</t>
        </is>
      </c>
      <c r="I7" s="33" t="inlineStr">
        <is>
          <t>x</t>
        </is>
      </c>
      <c r="J7" s="33" t="n"/>
      <c r="K7" s="33" t="n"/>
      <c r="L7" s="33" t="inlineStr">
        <is>
          <t>x</t>
        </is>
      </c>
      <c r="M7" s="33" t="n"/>
      <c r="N7" s="33" t="inlineStr">
        <is>
          <t>x</t>
        </is>
      </c>
      <c r="O7" s="33" t="inlineStr">
        <is>
          <t>x</t>
        </is>
      </c>
      <c r="P7" s="33" t="inlineStr">
        <is>
          <t>x</t>
        </is>
      </c>
      <c r="Q7" s="33" t="inlineStr">
        <is>
          <t>x</t>
        </is>
      </c>
      <c r="R7" s="33" t="n"/>
      <c r="S7" s="33" t="inlineStr">
        <is>
          <t>x</t>
        </is>
      </c>
      <c r="T7" s="33" t="inlineStr">
        <is>
          <t>x</t>
        </is>
      </c>
      <c r="U7" s="33" t="n"/>
      <c r="V7" s="33" t="inlineStr">
        <is>
          <t>x</t>
        </is>
      </c>
      <c r="W7" s="33" t="inlineStr">
        <is>
          <t>x</t>
        </is>
      </c>
      <c r="X7" s="33" t="inlineStr">
        <is>
          <t>x</t>
        </is>
      </c>
      <c r="Y7" s="33" t="inlineStr">
        <is>
          <t>x</t>
        </is>
      </c>
      <c r="Z7" s="33" t="inlineStr">
        <is>
          <t>x</t>
        </is>
      </c>
      <c r="AA7" s="33" t="inlineStr">
        <is>
          <t>x</t>
        </is>
      </c>
      <c r="AB7" s="33" t="n"/>
      <c r="AC7" s="33" t="inlineStr">
        <is>
          <t>x</t>
        </is>
      </c>
      <c r="AD7" s="33" t="inlineStr">
        <is>
          <t>x</t>
        </is>
      </c>
      <c r="AE7" s="33" t="inlineStr">
        <is>
          <t>x</t>
        </is>
      </c>
      <c r="AF7" s="33" t="inlineStr">
        <is>
          <t>x</t>
        </is>
      </c>
      <c r="AG7" s="33" t="n"/>
      <c r="AH7" s="13">
        <f>IF(B7="","",COUNTIF($C40:$AG40,"&gt;0"))</f>
        <v/>
      </c>
      <c r="AI7" s="14">
        <f>IF(OR(B7="",IF(AND(Habits!$C$4=YEAR(TODAY()),4=MONTH(TODAY())),DAY(TODAY()),IF(DATE(Habits!$C$4,4,1)&gt;TODAY(),0,DAY(EOMONTH(DATE(Habits!$C$4,4,1),0))))=0),"",MIN(1,(COUNTIF($C40:$AG40,"&gt;0"))/IF(AND(Habits!$C$4=YEAR(TODAY()),4=MONTH(TODAY())),DAY(TODAY()),IF(DATE(Habits!$C$4,4,1)&gt;TODAY(),0,DAY(EOMONTH(DATE(Habits!$C$4,4,1),0))))))</f>
        <v/>
      </c>
      <c r="AJ7" s="16">
        <f>IF(B7="","",IF(AND(Habits!$C$4=YEAR(TODAY()),4=MONTH(TODAY())),IF(INDEX($C40:$AG40,DAY(TODAY()))&gt;0,INDEX($C40:$AG40,DAY(TODAY())),IF(DAY(TODAY())=1,IFERROR(INDEX(Mar!$C$40:$AG$40,DAY(EOMONTH(DATE(Habits!$C$4,3,1),0))),0),INDEX($C40:$AG40,DAY(TODAY())-1))),IF(DATE(Habits!$C$4,4,1)&gt;TODAY(),"",INDEX($C40:$AG40,DAY(EOMONTH(DATE(Habits!$C$4,4,1),0))))))</f>
        <v/>
      </c>
      <c r="AK7" s="13">
        <f>IF(B7="","",MAX($C40:$AG40))</f>
        <v/>
      </c>
      <c r="AL7" s="1" t="n"/>
    </row>
    <row r="8">
      <c r="A8" s="1" t="n"/>
      <c r="B8" s="32">
        <f>IF(Habits!B9="","",Habits!B9)</f>
        <v/>
      </c>
      <c r="C8" s="33" t="inlineStr">
        <is>
          <t>x</t>
        </is>
      </c>
      <c r="D8" s="33" t="n"/>
      <c r="E8" s="33" t="inlineStr">
        <is>
          <t>x</t>
        </is>
      </c>
      <c r="F8" s="33" t="n"/>
      <c r="G8" s="33" t="n"/>
      <c r="H8" s="33" t="n"/>
      <c r="I8" s="33" t="n"/>
      <c r="J8" s="33" t="inlineStr">
        <is>
          <t>x</t>
        </is>
      </c>
      <c r="K8" s="33" t="n"/>
      <c r="L8" s="33" t="n"/>
      <c r="M8" s="33" t="n"/>
      <c r="N8" s="33" t="n"/>
      <c r="O8" s="33" t="inlineStr">
        <is>
          <t>x</t>
        </is>
      </c>
      <c r="P8" s="33" t="n"/>
      <c r="Q8" s="33" t="inlineStr">
        <is>
          <t>x</t>
        </is>
      </c>
      <c r="R8" s="33" t="inlineStr">
        <is>
          <t>x</t>
        </is>
      </c>
      <c r="S8" s="33" t="inlineStr">
        <is>
          <t>x</t>
        </is>
      </c>
      <c r="T8" s="33" t="inlineStr">
        <is>
          <t>x</t>
        </is>
      </c>
      <c r="U8" s="33" t="inlineStr">
        <is>
          <t>x</t>
        </is>
      </c>
      <c r="V8" s="33" t="n"/>
      <c r="W8" s="33" t="inlineStr">
        <is>
          <t>x</t>
        </is>
      </c>
      <c r="X8" s="33" t="n"/>
      <c r="Y8" s="33" t="inlineStr">
        <is>
          <t>x</t>
        </is>
      </c>
      <c r="Z8" s="33" t="inlineStr">
        <is>
          <t>x</t>
        </is>
      </c>
      <c r="AA8" s="33" t="n"/>
      <c r="AB8" s="33" t="inlineStr">
        <is>
          <t>x</t>
        </is>
      </c>
      <c r="AC8" s="33" t="n"/>
      <c r="AD8" s="33" t="inlineStr">
        <is>
          <t>x</t>
        </is>
      </c>
      <c r="AE8" s="33" t="inlineStr">
        <is>
          <t>x</t>
        </is>
      </c>
      <c r="AF8" s="33" t="n"/>
      <c r="AG8" s="33" t="n"/>
      <c r="AH8" s="13">
        <f>IF(B8="","",COUNTIF($C41:$AG41,"&gt;0"))</f>
        <v/>
      </c>
      <c r="AI8" s="14">
        <f>IF(OR(B8="",IF(AND(Habits!$C$4=YEAR(TODAY()),4=MONTH(TODAY())),DAY(TODAY()),IF(DATE(Habits!$C$4,4,1)&gt;TODAY(),0,DAY(EOMONTH(DATE(Habits!$C$4,4,1),0))))=0),"",MIN(1,(COUNTIF($C41:$AG41,"&gt;0"))/IF(AND(Habits!$C$4=YEAR(TODAY()),4=MONTH(TODAY())),DAY(TODAY()),IF(DATE(Habits!$C$4,4,1)&gt;TODAY(),0,DAY(EOMONTH(DATE(Habits!$C$4,4,1),0))))))</f>
        <v/>
      </c>
      <c r="AJ8" s="16">
        <f>IF(B8="","",IF(AND(Habits!$C$4=YEAR(TODAY()),4=MONTH(TODAY())),IF(INDEX($C41:$AG41,DAY(TODAY()))&gt;0,INDEX($C41:$AG41,DAY(TODAY())),IF(DAY(TODAY())=1,IFERROR(INDEX(Mar!$C$41:$AG$41,DAY(EOMONTH(DATE(Habits!$C$4,3,1),0))),0),INDEX($C41:$AG41,DAY(TODAY())-1))),IF(DATE(Habits!$C$4,4,1)&gt;TODAY(),"",INDEX($C41:$AG41,DAY(EOMONTH(DATE(Habits!$C$4,4,1),0))))))</f>
        <v/>
      </c>
      <c r="AK8" s="13">
        <f>IF(B8="","",MAX($C41:$AG41))</f>
        <v/>
      </c>
      <c r="AL8" s="1" t="n"/>
    </row>
    <row r="9">
      <c r="A9" s="1" t="n"/>
      <c r="B9" s="32">
        <f>IF(Habits!B10="","",Habits!B10)</f>
        <v/>
      </c>
      <c r="C9" s="33" t="inlineStr">
        <is>
          <t>x</t>
        </is>
      </c>
      <c r="D9" s="33" t="n"/>
      <c r="E9" s="33" t="inlineStr">
        <is>
          <t>x</t>
        </is>
      </c>
      <c r="F9" s="33" t="n"/>
      <c r="G9" s="33" t="inlineStr">
        <is>
          <t>x</t>
        </is>
      </c>
      <c r="H9" s="33" t="inlineStr">
        <is>
          <t>x</t>
        </is>
      </c>
      <c r="I9" s="33" t="inlineStr">
        <is>
          <t>x</t>
        </is>
      </c>
      <c r="J9" s="33" t="inlineStr">
        <is>
          <t>x</t>
        </is>
      </c>
      <c r="K9" s="33" t="inlineStr">
        <is>
          <t>x</t>
        </is>
      </c>
      <c r="L9" s="33" t="inlineStr">
        <is>
          <t>x</t>
        </is>
      </c>
      <c r="M9" s="33" t="inlineStr">
        <is>
          <t>x</t>
        </is>
      </c>
      <c r="N9" s="33" t="inlineStr">
        <is>
          <t>x</t>
        </is>
      </c>
      <c r="O9" s="33" t="inlineStr">
        <is>
          <t>x</t>
        </is>
      </c>
      <c r="P9" s="33" t="n"/>
      <c r="Q9" s="33" t="n"/>
      <c r="R9" s="33" t="inlineStr">
        <is>
          <t>x</t>
        </is>
      </c>
      <c r="S9" s="33" t="inlineStr">
        <is>
          <t>x</t>
        </is>
      </c>
      <c r="T9" s="33" t="n"/>
      <c r="U9" s="33" t="inlineStr">
        <is>
          <t>x</t>
        </is>
      </c>
      <c r="V9" s="33" t="inlineStr">
        <is>
          <t>x</t>
        </is>
      </c>
      <c r="W9" s="33" t="inlineStr">
        <is>
          <t>x</t>
        </is>
      </c>
      <c r="X9" s="33" t="inlineStr">
        <is>
          <t>x</t>
        </is>
      </c>
      <c r="Y9" s="33" t="inlineStr">
        <is>
          <t>x</t>
        </is>
      </c>
      <c r="Z9" s="33" t="inlineStr">
        <is>
          <t>x</t>
        </is>
      </c>
      <c r="AA9" s="33" t="n"/>
      <c r="AB9" s="33" t="inlineStr">
        <is>
          <t>x</t>
        </is>
      </c>
      <c r="AC9" s="33" t="n"/>
      <c r="AD9" s="33" t="n"/>
      <c r="AE9" s="33" t="inlineStr">
        <is>
          <t>x</t>
        </is>
      </c>
      <c r="AF9" s="33" t="inlineStr">
        <is>
          <t>x</t>
        </is>
      </c>
      <c r="AG9" s="33" t="n"/>
      <c r="AH9" s="13">
        <f>IF(B9="","",COUNTIF($C42:$AG42,"&gt;0"))</f>
        <v/>
      </c>
      <c r="AI9" s="14">
        <f>IF(OR(B9="",IF(AND(Habits!$C$4=YEAR(TODAY()),4=MONTH(TODAY())),DAY(TODAY()),IF(DATE(Habits!$C$4,4,1)&gt;TODAY(),0,DAY(EOMONTH(DATE(Habits!$C$4,4,1),0))))=0),"",MIN(1,(COUNTIF($C42:$AG42,"&gt;0"))/IF(AND(Habits!$C$4=YEAR(TODAY()),4=MONTH(TODAY())),DAY(TODAY()),IF(DATE(Habits!$C$4,4,1)&gt;TODAY(),0,DAY(EOMONTH(DATE(Habits!$C$4,4,1),0))))))</f>
        <v/>
      </c>
      <c r="AJ9" s="16">
        <f>IF(B9="","",IF(AND(Habits!$C$4=YEAR(TODAY()),4=MONTH(TODAY())),IF(INDEX($C42:$AG42,DAY(TODAY()))&gt;0,INDEX($C42:$AG42,DAY(TODAY())),IF(DAY(TODAY())=1,IFERROR(INDEX(Mar!$C$42:$AG$42,DAY(EOMONTH(DATE(Habits!$C$4,3,1),0))),0),INDEX($C42:$AG42,DAY(TODAY())-1))),IF(DATE(Habits!$C$4,4,1)&gt;TODAY(),"",INDEX($C42:$AG42,DAY(EOMONTH(DATE(Habits!$C$4,4,1),0))))))</f>
        <v/>
      </c>
      <c r="AK9" s="13">
        <f>IF(B9="","",MAX($C42:$AG42))</f>
        <v/>
      </c>
      <c r="AL9" s="1" t="n"/>
    </row>
    <row r="10">
      <c r="A10" s="1" t="n"/>
      <c r="B10" s="32">
        <f>IF(Habits!B11="","",Habits!B11)</f>
        <v/>
      </c>
      <c r="C10" s="33" t="inlineStr">
        <is>
          <t>x</t>
        </is>
      </c>
      <c r="D10" s="33" t="n"/>
      <c r="E10" s="33" t="inlineStr">
        <is>
          <t>x</t>
        </is>
      </c>
      <c r="F10" s="33" t="n"/>
      <c r="G10" s="33" t="n"/>
      <c r="H10" s="33" t="n"/>
      <c r="I10" s="33" t="inlineStr">
        <is>
          <t>x</t>
        </is>
      </c>
      <c r="J10" s="33" t="inlineStr">
        <is>
          <t>x</t>
        </is>
      </c>
      <c r="K10" s="33" t="inlineStr">
        <is>
          <t>x</t>
        </is>
      </c>
      <c r="L10" s="33" t="inlineStr">
        <is>
          <t>x</t>
        </is>
      </c>
      <c r="M10" s="33" t="n"/>
      <c r="N10" s="33" t="inlineStr">
        <is>
          <t>x</t>
        </is>
      </c>
      <c r="O10" s="33" t="inlineStr">
        <is>
          <t>x</t>
        </is>
      </c>
      <c r="P10" s="33" t="inlineStr">
        <is>
          <t>x</t>
        </is>
      </c>
      <c r="Q10" s="33" t="inlineStr">
        <is>
          <t>x</t>
        </is>
      </c>
      <c r="R10" s="33" t="n"/>
      <c r="S10" s="33" t="n"/>
      <c r="T10" s="33" t="n"/>
      <c r="U10" s="33" t="inlineStr">
        <is>
          <t>x</t>
        </is>
      </c>
      <c r="V10" s="33" t="n"/>
      <c r="W10" s="33" t="inlineStr">
        <is>
          <t>x</t>
        </is>
      </c>
      <c r="X10" s="33" t="inlineStr">
        <is>
          <t>x</t>
        </is>
      </c>
      <c r="Y10" s="33" t="inlineStr">
        <is>
          <t>x</t>
        </is>
      </c>
      <c r="Z10" s="33" t="n"/>
      <c r="AA10" s="33" t="inlineStr">
        <is>
          <t>x</t>
        </is>
      </c>
      <c r="AB10" s="33" t="n"/>
      <c r="AC10" s="33" t="n"/>
      <c r="AD10" s="33" t="inlineStr">
        <is>
          <t>x</t>
        </is>
      </c>
      <c r="AE10" s="33" t="inlineStr">
        <is>
          <t>x</t>
        </is>
      </c>
      <c r="AF10" s="33" t="n"/>
      <c r="AG10" s="33" t="n"/>
      <c r="AH10" s="13">
        <f>IF(B10="","",COUNTIF($C43:$AG43,"&gt;0"))</f>
        <v/>
      </c>
      <c r="AI10" s="14">
        <f>IF(OR(B10="",IF(AND(Habits!$C$4=YEAR(TODAY()),4=MONTH(TODAY())),DAY(TODAY()),IF(DATE(Habits!$C$4,4,1)&gt;TODAY(),0,DAY(EOMONTH(DATE(Habits!$C$4,4,1),0))))=0),"",MIN(1,(COUNTIF($C43:$AG43,"&gt;0"))/IF(AND(Habits!$C$4=YEAR(TODAY()),4=MONTH(TODAY())),DAY(TODAY()),IF(DATE(Habits!$C$4,4,1)&gt;TODAY(),0,DAY(EOMONTH(DATE(Habits!$C$4,4,1),0))))))</f>
        <v/>
      </c>
      <c r="AJ10" s="16">
        <f>IF(B10="","",IF(AND(Habits!$C$4=YEAR(TODAY()),4=MONTH(TODAY())),IF(INDEX($C43:$AG43,DAY(TODAY()))&gt;0,INDEX($C43:$AG43,DAY(TODAY())),IF(DAY(TODAY())=1,IFERROR(INDEX(Mar!$C$43:$AG$43,DAY(EOMONTH(DATE(Habits!$C$4,3,1),0))),0),INDEX($C43:$AG43,DAY(TODAY())-1))),IF(DATE(Habits!$C$4,4,1)&gt;TODAY(),"",INDEX($C43:$AG43,DAY(EOMONTH(DATE(Habits!$C$4,4,1),0))))))</f>
        <v/>
      </c>
      <c r="AK10" s="13">
        <f>IF(B10="","",MAX($C43:$AG43))</f>
        <v/>
      </c>
      <c r="AL10" s="1" t="n"/>
    </row>
    <row r="11">
      <c r="A11" s="1" t="n"/>
      <c r="B11" s="32">
        <f>IF(Habits!B12="","",Habits!B12)</f>
        <v/>
      </c>
      <c r="C11" s="33" t="n"/>
      <c r="D11" s="33" t="inlineStr">
        <is>
          <t>x</t>
        </is>
      </c>
      <c r="E11" s="33" t="n"/>
      <c r="F11" s="33" t="inlineStr">
        <is>
          <t>x</t>
        </is>
      </c>
      <c r="G11" s="33" t="inlineStr">
        <is>
          <t>x</t>
        </is>
      </c>
      <c r="H11" s="33" t="n"/>
      <c r="I11" s="33" t="n"/>
      <c r="J11" s="33" t="inlineStr">
        <is>
          <t>x</t>
        </is>
      </c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inlineStr">
        <is>
          <t>x</t>
        </is>
      </c>
      <c r="T11" s="33" t="n"/>
      <c r="U11" s="33" t="inlineStr">
        <is>
          <t>x</t>
        </is>
      </c>
      <c r="V11" s="33" t="inlineStr">
        <is>
          <t>x</t>
        </is>
      </c>
      <c r="W11" s="33" t="inlineStr">
        <is>
          <t>x</t>
        </is>
      </c>
      <c r="X11" s="33" t="n"/>
      <c r="Y11" s="33" t="n"/>
      <c r="Z11" s="33" t="inlineStr">
        <is>
          <t>x</t>
        </is>
      </c>
      <c r="AA11" s="33" t="inlineStr">
        <is>
          <t>x</t>
        </is>
      </c>
      <c r="AB11" s="33" t="inlineStr">
        <is>
          <t>x</t>
        </is>
      </c>
      <c r="AC11" s="33" t="inlineStr">
        <is>
          <t>x</t>
        </is>
      </c>
      <c r="AD11" s="33" t="inlineStr">
        <is>
          <t>x</t>
        </is>
      </c>
      <c r="AE11" s="33" t="n"/>
      <c r="AF11" s="33" t="n"/>
      <c r="AG11" s="33" t="n"/>
      <c r="AH11" s="13">
        <f>IF(B11="","",COUNTIF($C44:$AG44,"&gt;0"))</f>
        <v/>
      </c>
      <c r="AI11" s="14">
        <f>IF(OR(B11="",IF(AND(Habits!$C$4=YEAR(TODAY()),4=MONTH(TODAY())),DAY(TODAY()),IF(DATE(Habits!$C$4,4,1)&gt;TODAY(),0,DAY(EOMONTH(DATE(Habits!$C$4,4,1),0))))=0),"",MIN(1,(COUNTIF($C44:$AG44,"&gt;0"))/IF(AND(Habits!$C$4=YEAR(TODAY()),4=MONTH(TODAY())),DAY(TODAY()),IF(DATE(Habits!$C$4,4,1)&gt;TODAY(),0,DAY(EOMONTH(DATE(Habits!$C$4,4,1),0))))))</f>
        <v/>
      </c>
      <c r="AJ11" s="16">
        <f>IF(B11="","",IF(AND(Habits!$C$4=YEAR(TODAY()),4=MONTH(TODAY())),IF(INDEX($C44:$AG44,DAY(TODAY()))&gt;0,INDEX($C44:$AG44,DAY(TODAY())),IF(DAY(TODAY())=1,IFERROR(INDEX(Mar!$C$44:$AG$44,DAY(EOMONTH(DATE(Habits!$C$4,3,1),0))),0),INDEX($C44:$AG44,DAY(TODAY())-1))),IF(DATE(Habits!$C$4,4,1)&gt;TODAY(),"",INDEX($C44:$AG44,DAY(EOMONTH(DATE(Habits!$C$4,4,1),0))))))</f>
        <v/>
      </c>
      <c r="AK11" s="13">
        <f>IF(B11="","",MAX($C44:$AG44))</f>
        <v/>
      </c>
      <c r="AL11" s="1" t="n"/>
    </row>
    <row r="12">
      <c r="A12" s="1" t="n"/>
      <c r="B12" s="32">
        <f>IF(Habits!B13="","",Habits!B13)</f>
        <v/>
      </c>
      <c r="C12" s="33" t="n"/>
      <c r="D12" s="33" t="n"/>
      <c r="E12" s="33" t="n"/>
      <c r="F12" s="33" t="n"/>
      <c r="G12" s="33" t="inlineStr">
        <is>
          <t>x</t>
        </is>
      </c>
      <c r="H12" s="33" t="n"/>
      <c r="I12" s="33" t="inlineStr">
        <is>
          <t>x</t>
        </is>
      </c>
      <c r="J12" s="33" t="inlineStr">
        <is>
          <t>x</t>
        </is>
      </c>
      <c r="K12" s="33" t="n"/>
      <c r="L12" s="33" t="inlineStr">
        <is>
          <t>x</t>
        </is>
      </c>
      <c r="M12" s="33" t="inlineStr">
        <is>
          <t>x</t>
        </is>
      </c>
      <c r="N12" s="33" t="n"/>
      <c r="O12" s="33" t="inlineStr">
        <is>
          <t>x</t>
        </is>
      </c>
      <c r="P12" s="33" t="inlineStr">
        <is>
          <t>x</t>
        </is>
      </c>
      <c r="Q12" s="33" t="n"/>
      <c r="R12" s="33" t="inlineStr">
        <is>
          <t>x</t>
        </is>
      </c>
      <c r="S12" s="33" t="n"/>
      <c r="T12" s="33" t="inlineStr">
        <is>
          <t>x</t>
        </is>
      </c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inlineStr">
        <is>
          <t>x</t>
        </is>
      </c>
      <c r="AF12" s="33" t="inlineStr">
        <is>
          <t>x</t>
        </is>
      </c>
      <c r="AG12" s="33" t="n"/>
      <c r="AH12" s="13">
        <f>IF(B12="","",COUNTIF($C45:$AG45,"&gt;0"))</f>
        <v/>
      </c>
      <c r="AI12" s="14">
        <f>IF(OR(B12="",IF(AND(Habits!$C$4=YEAR(TODAY()),4=MONTH(TODAY())),DAY(TODAY()),IF(DATE(Habits!$C$4,4,1)&gt;TODAY(),0,DAY(EOMONTH(DATE(Habits!$C$4,4,1),0))))=0),"",MIN(1,(COUNTIF($C45:$AG45,"&gt;0"))/IF(AND(Habits!$C$4=YEAR(TODAY()),4=MONTH(TODAY())),DAY(TODAY()),IF(DATE(Habits!$C$4,4,1)&gt;TODAY(),0,DAY(EOMONTH(DATE(Habits!$C$4,4,1),0))))))</f>
        <v/>
      </c>
      <c r="AJ12" s="16">
        <f>IF(B12="","",IF(AND(Habits!$C$4=YEAR(TODAY()),4=MONTH(TODAY())),IF(INDEX($C45:$AG45,DAY(TODAY()))&gt;0,INDEX($C45:$AG45,DAY(TODAY())),IF(DAY(TODAY())=1,IFERROR(INDEX(Mar!$C$45:$AG$45,DAY(EOMONTH(DATE(Habits!$C$4,3,1),0))),0),INDEX($C45:$AG45,DAY(TODAY())-1))),IF(DATE(Habits!$C$4,4,1)&gt;TODAY(),"",INDEX($C45:$AG45,DAY(EOMONTH(DATE(Habits!$C$4,4,1),0))))))</f>
        <v/>
      </c>
      <c r="AK12" s="13">
        <f>IF(B12="","",MAX($C45:$AG45))</f>
        <v/>
      </c>
      <c r="AL12" s="1" t="n"/>
    </row>
    <row r="13">
      <c r="A13" s="1" t="n"/>
      <c r="B13" s="32">
        <f>IF(Habits!B14="","",Habits!B14)</f>
        <v/>
      </c>
      <c r="C13" s="33" t="inlineStr">
        <is>
          <t>x</t>
        </is>
      </c>
      <c r="D13" s="33" t="inlineStr">
        <is>
          <t>x</t>
        </is>
      </c>
      <c r="E13" s="33" t="inlineStr">
        <is>
          <t>x</t>
        </is>
      </c>
      <c r="F13" s="33" t="inlineStr">
        <is>
          <t>x</t>
        </is>
      </c>
      <c r="G13" s="33" t="inlineStr">
        <is>
          <t>x</t>
        </is>
      </c>
      <c r="H13" s="33" t="inlineStr">
        <is>
          <t>x</t>
        </is>
      </c>
      <c r="I13" s="33" t="inlineStr">
        <is>
          <t>x</t>
        </is>
      </c>
      <c r="J13" s="33" t="n"/>
      <c r="K13" s="33" t="inlineStr">
        <is>
          <t>x</t>
        </is>
      </c>
      <c r="L13" s="33" t="inlineStr">
        <is>
          <t>x</t>
        </is>
      </c>
      <c r="M13" s="33" t="inlineStr">
        <is>
          <t>x</t>
        </is>
      </c>
      <c r="N13" s="33" t="n"/>
      <c r="O13" s="33" t="inlineStr">
        <is>
          <t>x</t>
        </is>
      </c>
      <c r="P13" s="33" t="n"/>
      <c r="Q13" s="33" t="inlineStr">
        <is>
          <t>x</t>
        </is>
      </c>
      <c r="R13" s="33" t="inlineStr">
        <is>
          <t>x</t>
        </is>
      </c>
      <c r="S13" s="33" t="inlineStr">
        <is>
          <t>x</t>
        </is>
      </c>
      <c r="T13" s="33" t="inlineStr">
        <is>
          <t>x</t>
        </is>
      </c>
      <c r="U13" s="33" t="inlineStr">
        <is>
          <t>x</t>
        </is>
      </c>
      <c r="V13" s="33" t="inlineStr">
        <is>
          <t>x</t>
        </is>
      </c>
      <c r="W13" s="33" t="inlineStr">
        <is>
          <t>x</t>
        </is>
      </c>
      <c r="X13" s="33" t="inlineStr">
        <is>
          <t>x</t>
        </is>
      </c>
      <c r="Y13" s="33" t="inlineStr">
        <is>
          <t>x</t>
        </is>
      </c>
      <c r="Z13" s="33" t="inlineStr">
        <is>
          <t>x</t>
        </is>
      </c>
      <c r="AA13" s="33" t="n"/>
      <c r="AB13" s="33" t="n"/>
      <c r="AC13" s="33" t="inlineStr">
        <is>
          <t>x</t>
        </is>
      </c>
      <c r="AD13" s="33" t="inlineStr">
        <is>
          <t>x</t>
        </is>
      </c>
      <c r="AE13" s="33" t="inlineStr">
        <is>
          <t>x</t>
        </is>
      </c>
      <c r="AF13" s="33" t="inlineStr">
        <is>
          <t>x</t>
        </is>
      </c>
      <c r="AG13" s="33" t="n"/>
      <c r="AH13" s="13">
        <f>IF(B13="","",COUNTIF($C46:$AG46,"&gt;0"))</f>
        <v/>
      </c>
      <c r="AI13" s="14">
        <f>IF(OR(B13="",IF(AND(Habits!$C$4=YEAR(TODAY()),4=MONTH(TODAY())),DAY(TODAY()),IF(DATE(Habits!$C$4,4,1)&gt;TODAY(),0,DAY(EOMONTH(DATE(Habits!$C$4,4,1),0))))=0),"",MIN(1,(COUNTIF($C46:$AG46,"&gt;0"))/IF(AND(Habits!$C$4=YEAR(TODAY()),4=MONTH(TODAY())),DAY(TODAY()),IF(DATE(Habits!$C$4,4,1)&gt;TODAY(),0,DAY(EOMONTH(DATE(Habits!$C$4,4,1),0))))))</f>
        <v/>
      </c>
      <c r="AJ13" s="16">
        <f>IF(B13="","",IF(AND(Habits!$C$4=YEAR(TODAY()),4=MONTH(TODAY())),IF(INDEX($C46:$AG46,DAY(TODAY()))&gt;0,INDEX($C46:$AG46,DAY(TODAY())),IF(DAY(TODAY())=1,IFERROR(INDEX(Mar!$C$46:$AG$46,DAY(EOMONTH(DATE(Habits!$C$4,3,1),0))),0),INDEX($C46:$AG46,DAY(TODAY())-1))),IF(DATE(Habits!$C$4,4,1)&gt;TODAY(),"",INDEX($C46:$AG46,DAY(EOMONTH(DATE(Habits!$C$4,4,1),0))))))</f>
        <v/>
      </c>
      <c r="AK13" s="13">
        <f>IF(B13="","",MAX($C46:$AG46))</f>
        <v/>
      </c>
      <c r="AL13" s="1" t="n"/>
    </row>
    <row r="14">
      <c r="A14" s="1" t="n"/>
      <c r="B14" s="32">
        <f>IF(Habits!B15="","",Habits!B15)</f>
        <v/>
      </c>
      <c r="C14" s="33" t="inlineStr">
        <is>
          <t>x</t>
        </is>
      </c>
      <c r="D14" s="33" t="inlineStr">
        <is>
          <t>x</t>
        </is>
      </c>
      <c r="E14" s="33" t="inlineStr">
        <is>
          <t>x</t>
        </is>
      </c>
      <c r="F14" s="33" t="n"/>
      <c r="G14" s="33" t="inlineStr">
        <is>
          <t>x</t>
        </is>
      </c>
      <c r="H14" s="33" t="inlineStr">
        <is>
          <t>x</t>
        </is>
      </c>
      <c r="I14" s="33" t="n"/>
      <c r="J14" s="33" t="inlineStr">
        <is>
          <t>x</t>
        </is>
      </c>
      <c r="K14" s="33" t="inlineStr">
        <is>
          <t>x</t>
        </is>
      </c>
      <c r="L14" s="33" t="inlineStr">
        <is>
          <t>x</t>
        </is>
      </c>
      <c r="M14" s="33" t="inlineStr">
        <is>
          <t>x</t>
        </is>
      </c>
      <c r="N14" s="33" t="n"/>
      <c r="O14" s="33" t="inlineStr">
        <is>
          <t>x</t>
        </is>
      </c>
      <c r="P14" s="33" t="inlineStr">
        <is>
          <t>x</t>
        </is>
      </c>
      <c r="Q14" s="33" t="n"/>
      <c r="R14" s="33" t="inlineStr">
        <is>
          <t>x</t>
        </is>
      </c>
      <c r="S14" s="33" t="inlineStr">
        <is>
          <t>x</t>
        </is>
      </c>
      <c r="T14" s="33" t="inlineStr">
        <is>
          <t>x</t>
        </is>
      </c>
      <c r="U14" s="33" t="inlineStr">
        <is>
          <t>x</t>
        </is>
      </c>
      <c r="V14" s="33" t="inlineStr">
        <is>
          <t>x</t>
        </is>
      </c>
      <c r="W14" s="33" t="inlineStr">
        <is>
          <t>x</t>
        </is>
      </c>
      <c r="X14" s="33" t="inlineStr">
        <is>
          <t>x</t>
        </is>
      </c>
      <c r="Y14" s="33" t="inlineStr">
        <is>
          <t>x</t>
        </is>
      </c>
      <c r="Z14" s="33" t="n"/>
      <c r="AA14" s="33" t="inlineStr">
        <is>
          <t>x</t>
        </is>
      </c>
      <c r="AB14" s="33" t="n"/>
      <c r="AC14" s="33" t="inlineStr">
        <is>
          <t>x</t>
        </is>
      </c>
      <c r="AD14" s="33" t="n"/>
      <c r="AE14" s="33" t="inlineStr">
        <is>
          <t>x</t>
        </is>
      </c>
      <c r="AF14" s="33" t="inlineStr">
        <is>
          <t>x</t>
        </is>
      </c>
      <c r="AG14" s="33" t="n"/>
      <c r="AH14" s="13">
        <f>IF(B14="","",COUNTIF($C47:$AG47,"&gt;0"))</f>
        <v/>
      </c>
      <c r="AI14" s="14">
        <f>IF(OR(B14="",IF(AND(Habits!$C$4=YEAR(TODAY()),4=MONTH(TODAY())),DAY(TODAY()),IF(DATE(Habits!$C$4,4,1)&gt;TODAY(),0,DAY(EOMONTH(DATE(Habits!$C$4,4,1),0))))=0),"",MIN(1,(COUNTIF($C47:$AG47,"&gt;0"))/IF(AND(Habits!$C$4=YEAR(TODAY()),4=MONTH(TODAY())),DAY(TODAY()),IF(DATE(Habits!$C$4,4,1)&gt;TODAY(),0,DAY(EOMONTH(DATE(Habits!$C$4,4,1),0))))))</f>
        <v/>
      </c>
      <c r="AJ14" s="16">
        <f>IF(B14="","",IF(AND(Habits!$C$4=YEAR(TODAY()),4=MONTH(TODAY())),IF(INDEX($C47:$AG47,DAY(TODAY()))&gt;0,INDEX($C47:$AG47,DAY(TODAY())),IF(DAY(TODAY())=1,IFERROR(INDEX(Mar!$C$47:$AG$47,DAY(EOMONTH(DATE(Habits!$C$4,3,1),0))),0),INDEX($C47:$AG47,DAY(TODAY())-1))),IF(DATE(Habits!$C$4,4,1)&gt;TODAY(),"",INDEX($C47:$AG47,DAY(EOMONTH(DATE(Habits!$C$4,4,1),0))))))</f>
        <v/>
      </c>
      <c r="AK14" s="13">
        <f>IF(B14="","",MAX($C47:$AG47))</f>
        <v/>
      </c>
      <c r="AL14" s="1" t="n"/>
    </row>
    <row r="15">
      <c r="A15" s="1" t="n"/>
      <c r="B15" s="32">
        <f>IF(Habits!B16="","",Habits!B16)</f>
        <v/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13">
        <f>IF(B15="","",COUNTIF($C48:$AG48,"&gt;0"))</f>
        <v/>
      </c>
      <c r="AI15" s="14">
        <f>IF(OR(B15="",IF(AND(Habits!$C$4=YEAR(TODAY()),4=MONTH(TODAY())),DAY(TODAY()),IF(DATE(Habits!$C$4,4,1)&gt;TODAY(),0,DAY(EOMONTH(DATE(Habits!$C$4,4,1),0))))=0),"",MIN(1,(COUNTIF($C48:$AG48,"&gt;0"))/IF(AND(Habits!$C$4=YEAR(TODAY()),4=MONTH(TODAY())),DAY(TODAY()),IF(DATE(Habits!$C$4,4,1)&gt;TODAY(),0,DAY(EOMONTH(DATE(Habits!$C$4,4,1),0))))))</f>
        <v/>
      </c>
      <c r="AJ15" s="16">
        <f>IF(B15="","",IF(AND(Habits!$C$4=YEAR(TODAY()),4=MONTH(TODAY())),IF(INDEX($C48:$AG48,DAY(TODAY()))&gt;0,INDEX($C48:$AG48,DAY(TODAY())),IF(DAY(TODAY())=1,IFERROR(INDEX(Mar!$C$48:$AG$48,DAY(EOMONTH(DATE(Habits!$C$4,3,1),0))),0),INDEX($C48:$AG48,DAY(TODAY())-1))),IF(DATE(Habits!$C$4,4,1)&gt;TODAY(),"",INDEX($C48:$AG48,DAY(EOMONTH(DATE(Habits!$C$4,4,1),0))))))</f>
        <v/>
      </c>
      <c r="AK15" s="13">
        <f>IF(B15="","",MAX($C48:$AG48))</f>
        <v/>
      </c>
      <c r="AL15" s="1" t="n"/>
    </row>
    <row r="16">
      <c r="A16" s="1" t="n"/>
      <c r="B16" s="32">
        <f>IF(Habits!B17="","",Habits!B17)</f>
        <v/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13">
        <f>IF(B16="","",COUNTIF($C49:$AG49,"&gt;0"))</f>
        <v/>
      </c>
      <c r="AI16" s="14">
        <f>IF(OR(B16="",IF(AND(Habits!$C$4=YEAR(TODAY()),4=MONTH(TODAY())),DAY(TODAY()),IF(DATE(Habits!$C$4,4,1)&gt;TODAY(),0,DAY(EOMONTH(DATE(Habits!$C$4,4,1),0))))=0),"",MIN(1,(COUNTIF($C49:$AG49,"&gt;0"))/IF(AND(Habits!$C$4=YEAR(TODAY()),4=MONTH(TODAY())),DAY(TODAY()),IF(DATE(Habits!$C$4,4,1)&gt;TODAY(),0,DAY(EOMONTH(DATE(Habits!$C$4,4,1),0))))))</f>
        <v/>
      </c>
      <c r="AJ16" s="16">
        <f>IF(B16="","",IF(AND(Habits!$C$4=YEAR(TODAY()),4=MONTH(TODAY())),IF(INDEX($C49:$AG49,DAY(TODAY()))&gt;0,INDEX($C49:$AG49,DAY(TODAY())),IF(DAY(TODAY())=1,IFERROR(INDEX(Mar!$C$49:$AG$49,DAY(EOMONTH(DATE(Habits!$C$4,3,1),0))),0),INDEX($C49:$AG49,DAY(TODAY())-1))),IF(DATE(Habits!$C$4,4,1)&gt;TODAY(),"",INDEX($C49:$AG49,DAY(EOMONTH(DATE(Habits!$C$4,4,1),0))))))</f>
        <v/>
      </c>
      <c r="AK16" s="13">
        <f>IF(B16="","",MAX($C49:$AG49))</f>
        <v/>
      </c>
      <c r="AL16" s="1" t="n"/>
    </row>
    <row r="17">
      <c r="A17" s="1" t="n"/>
      <c r="B17" s="32">
        <f>IF(Habits!B18="","",Habits!B18)</f>
        <v/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13">
        <f>IF(B17="","",COUNTIF($C50:$AG50,"&gt;0"))</f>
        <v/>
      </c>
      <c r="AI17" s="14">
        <f>IF(OR(B17="",IF(AND(Habits!$C$4=YEAR(TODAY()),4=MONTH(TODAY())),DAY(TODAY()),IF(DATE(Habits!$C$4,4,1)&gt;TODAY(),0,DAY(EOMONTH(DATE(Habits!$C$4,4,1),0))))=0),"",MIN(1,(COUNTIF($C50:$AG50,"&gt;0"))/IF(AND(Habits!$C$4=YEAR(TODAY()),4=MONTH(TODAY())),DAY(TODAY()),IF(DATE(Habits!$C$4,4,1)&gt;TODAY(),0,DAY(EOMONTH(DATE(Habits!$C$4,4,1),0))))))</f>
        <v/>
      </c>
      <c r="AJ17" s="16">
        <f>IF(B17="","",IF(AND(Habits!$C$4=YEAR(TODAY()),4=MONTH(TODAY())),IF(INDEX($C50:$AG50,DAY(TODAY()))&gt;0,INDEX($C50:$AG50,DAY(TODAY())),IF(DAY(TODAY())=1,IFERROR(INDEX(Mar!$C$50:$AG$50,DAY(EOMONTH(DATE(Habits!$C$4,3,1),0))),0),INDEX($C50:$AG50,DAY(TODAY())-1))),IF(DATE(Habits!$C$4,4,1)&gt;TODAY(),"",INDEX($C50:$AG50,DAY(EOMONTH(DATE(Habits!$C$4,4,1),0))))))</f>
        <v/>
      </c>
      <c r="AK17" s="13">
        <f>IF(B17="","",MAX($C50:$AG50))</f>
        <v/>
      </c>
      <c r="AL17" s="1" t="n"/>
    </row>
    <row r="18">
      <c r="A18" s="1" t="n"/>
      <c r="B18" s="32">
        <f>IF(Habits!B19="","",Habits!B19)</f>
        <v/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13">
        <f>IF(B18="","",COUNTIF($C51:$AG51,"&gt;0"))</f>
        <v/>
      </c>
      <c r="AI18" s="14">
        <f>IF(OR(B18="",IF(AND(Habits!$C$4=YEAR(TODAY()),4=MONTH(TODAY())),DAY(TODAY()),IF(DATE(Habits!$C$4,4,1)&gt;TODAY(),0,DAY(EOMONTH(DATE(Habits!$C$4,4,1),0))))=0),"",MIN(1,(COUNTIF($C51:$AG51,"&gt;0"))/IF(AND(Habits!$C$4=YEAR(TODAY()),4=MONTH(TODAY())),DAY(TODAY()),IF(DATE(Habits!$C$4,4,1)&gt;TODAY(),0,DAY(EOMONTH(DATE(Habits!$C$4,4,1),0))))))</f>
        <v/>
      </c>
      <c r="AJ18" s="16">
        <f>IF(B18="","",IF(AND(Habits!$C$4=YEAR(TODAY()),4=MONTH(TODAY())),IF(INDEX($C51:$AG51,DAY(TODAY()))&gt;0,INDEX($C51:$AG51,DAY(TODAY())),IF(DAY(TODAY())=1,IFERROR(INDEX(Mar!$C$51:$AG$51,DAY(EOMONTH(DATE(Habits!$C$4,3,1),0))),0),INDEX($C51:$AG51,DAY(TODAY())-1))),IF(DATE(Habits!$C$4,4,1)&gt;TODAY(),"",INDEX($C51:$AG51,DAY(EOMONTH(DATE(Habits!$C$4,4,1),0))))))</f>
        <v/>
      </c>
      <c r="AK18" s="13">
        <f>IF(B18="","",MAX($C51:$AG51))</f>
        <v/>
      </c>
      <c r="AL18" s="1" t="n"/>
    </row>
    <row r="19">
      <c r="A19" s="1" t="n"/>
      <c r="B19" s="32">
        <f>IF(Habits!B20="","",Habits!B20)</f>
        <v/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13">
        <f>IF(B19="","",COUNTIF($C52:$AG52,"&gt;0"))</f>
        <v/>
      </c>
      <c r="AI19" s="14">
        <f>IF(OR(B19="",IF(AND(Habits!$C$4=YEAR(TODAY()),4=MONTH(TODAY())),DAY(TODAY()),IF(DATE(Habits!$C$4,4,1)&gt;TODAY(),0,DAY(EOMONTH(DATE(Habits!$C$4,4,1),0))))=0),"",MIN(1,(COUNTIF($C52:$AG52,"&gt;0"))/IF(AND(Habits!$C$4=YEAR(TODAY()),4=MONTH(TODAY())),DAY(TODAY()),IF(DATE(Habits!$C$4,4,1)&gt;TODAY(),0,DAY(EOMONTH(DATE(Habits!$C$4,4,1),0))))))</f>
        <v/>
      </c>
      <c r="AJ19" s="16">
        <f>IF(B19="","",IF(AND(Habits!$C$4=YEAR(TODAY()),4=MONTH(TODAY())),IF(INDEX($C52:$AG52,DAY(TODAY()))&gt;0,INDEX($C52:$AG52,DAY(TODAY())),IF(DAY(TODAY())=1,IFERROR(INDEX(Mar!$C$52:$AG$52,DAY(EOMONTH(DATE(Habits!$C$4,3,1),0))),0),INDEX($C52:$AG52,DAY(TODAY())-1))),IF(DATE(Habits!$C$4,4,1)&gt;TODAY(),"",INDEX($C52:$AG52,DAY(EOMONTH(DATE(Habits!$C$4,4,1),0))))))</f>
        <v/>
      </c>
      <c r="AK19" s="13">
        <f>IF(B19="","",MAX($C52:$AG52))</f>
        <v/>
      </c>
      <c r="AL19" s="1" t="n"/>
    </row>
    <row r="20">
      <c r="A20" s="1" t="n"/>
      <c r="B20" s="32">
        <f>IF(Habits!B21="","",Habits!B21)</f>
        <v/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13">
        <f>IF(B20="","",COUNTIF($C53:$AG53,"&gt;0"))</f>
        <v/>
      </c>
      <c r="AI20" s="14">
        <f>IF(OR(B20="",IF(AND(Habits!$C$4=YEAR(TODAY()),4=MONTH(TODAY())),DAY(TODAY()),IF(DATE(Habits!$C$4,4,1)&gt;TODAY(),0,DAY(EOMONTH(DATE(Habits!$C$4,4,1),0))))=0),"",MIN(1,(COUNTIF($C53:$AG53,"&gt;0"))/IF(AND(Habits!$C$4=YEAR(TODAY()),4=MONTH(TODAY())),DAY(TODAY()),IF(DATE(Habits!$C$4,4,1)&gt;TODAY(),0,DAY(EOMONTH(DATE(Habits!$C$4,4,1),0))))))</f>
        <v/>
      </c>
      <c r="AJ20" s="16">
        <f>IF(B20="","",IF(AND(Habits!$C$4=YEAR(TODAY()),4=MONTH(TODAY())),IF(INDEX($C53:$AG53,DAY(TODAY()))&gt;0,INDEX($C53:$AG53,DAY(TODAY())),IF(DAY(TODAY())=1,IFERROR(INDEX(Mar!$C$53:$AG$53,DAY(EOMONTH(DATE(Habits!$C$4,3,1),0))),0),INDEX($C53:$AG53,DAY(TODAY())-1))),IF(DATE(Habits!$C$4,4,1)&gt;TODAY(),"",INDEX($C53:$AG53,DAY(EOMONTH(DATE(Habits!$C$4,4,1),0))))))</f>
        <v/>
      </c>
      <c r="AK20" s="13">
        <f>IF(B20="","",MAX($C53:$AG53))</f>
        <v/>
      </c>
      <c r="AL20" s="1" t="n"/>
    </row>
    <row r="21">
      <c r="A21" s="1" t="n"/>
      <c r="B21" s="32">
        <f>IF(Habits!B22="","",Habits!B22)</f>
        <v/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13">
        <f>IF(B21="","",COUNTIF($C54:$AG54,"&gt;0"))</f>
        <v/>
      </c>
      <c r="AI21" s="14">
        <f>IF(OR(B21="",IF(AND(Habits!$C$4=YEAR(TODAY()),4=MONTH(TODAY())),DAY(TODAY()),IF(DATE(Habits!$C$4,4,1)&gt;TODAY(),0,DAY(EOMONTH(DATE(Habits!$C$4,4,1),0))))=0),"",MIN(1,(COUNTIF($C54:$AG54,"&gt;0"))/IF(AND(Habits!$C$4=YEAR(TODAY()),4=MONTH(TODAY())),DAY(TODAY()),IF(DATE(Habits!$C$4,4,1)&gt;TODAY(),0,DAY(EOMONTH(DATE(Habits!$C$4,4,1),0))))))</f>
        <v/>
      </c>
      <c r="AJ21" s="16">
        <f>IF(B21="","",IF(AND(Habits!$C$4=YEAR(TODAY()),4=MONTH(TODAY())),IF(INDEX($C54:$AG54,DAY(TODAY()))&gt;0,INDEX($C54:$AG54,DAY(TODAY())),IF(DAY(TODAY())=1,IFERROR(INDEX(Mar!$C$54:$AG$54,DAY(EOMONTH(DATE(Habits!$C$4,3,1),0))),0),INDEX($C54:$AG54,DAY(TODAY())-1))),IF(DATE(Habits!$C$4,4,1)&gt;TODAY(),"",INDEX($C54:$AG54,DAY(EOMONTH(DATE(Habits!$C$4,4,1),0))))))</f>
        <v/>
      </c>
      <c r="AK21" s="13">
        <f>IF(B21="","",MAX($C54:$AG54))</f>
        <v/>
      </c>
      <c r="A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>
      <c r="A23" s="1" t="n"/>
      <c r="B23" s="12" t="inlineStr">
        <is>
          <t>Mood (1 to 5)</t>
        </is>
      </c>
      <c r="C23" s="34" t="n">
        <v>3</v>
      </c>
      <c r="D23" s="34" t="n">
        <v>4</v>
      </c>
      <c r="E23" s="34" t="n">
        <v>4</v>
      </c>
      <c r="F23" s="34" t="n">
        <v>4</v>
      </c>
      <c r="G23" s="34" t="n">
        <v>3</v>
      </c>
      <c r="H23" s="34" t="n">
        <v>4</v>
      </c>
      <c r="I23" s="34" t="n">
        <v>3</v>
      </c>
      <c r="J23" s="34" t="n">
        <v>3</v>
      </c>
      <c r="K23" s="34" t="n">
        <v>2</v>
      </c>
      <c r="L23" s="34" t="n">
        <v>3</v>
      </c>
      <c r="M23" s="34" t="n">
        <v>2</v>
      </c>
      <c r="N23" s="34" t="n">
        <v>3</v>
      </c>
      <c r="O23" s="34" t="n">
        <v>4</v>
      </c>
      <c r="P23" s="34" t="n">
        <v>3</v>
      </c>
      <c r="Q23" s="34" t="n">
        <v>5</v>
      </c>
      <c r="R23" s="34" t="n">
        <v>3</v>
      </c>
      <c r="S23" s="34" t="n">
        <v>3</v>
      </c>
      <c r="T23" s="34" t="n">
        <v>4</v>
      </c>
      <c r="U23" s="34" t="n">
        <v>4</v>
      </c>
      <c r="V23" s="34" t="n">
        <v>3</v>
      </c>
      <c r="W23" s="34" t="n">
        <v>4</v>
      </c>
      <c r="X23" s="34" t="n">
        <v>4</v>
      </c>
      <c r="Y23" s="34" t="n">
        <v>4</v>
      </c>
      <c r="Z23" s="34" t="n">
        <v>3</v>
      </c>
      <c r="AA23" s="34" t="n">
        <v>4</v>
      </c>
      <c r="AB23" s="34" t="n">
        <v>5</v>
      </c>
      <c r="AC23" s="34" t="n">
        <v>3</v>
      </c>
      <c r="AD23" s="34" t="n">
        <v>3</v>
      </c>
      <c r="AE23" s="34" t="n">
        <v>4</v>
      </c>
      <c r="AF23" s="34" t="n">
        <v>4</v>
      </c>
      <c r="AG23" s="34" t="n"/>
      <c r="AH23" s="35">
        <f>IFERROR(AVERAGE(C23:AG23),"")</f>
        <v/>
      </c>
      <c r="AI23" s="11" t="n"/>
      <c r="AJ23" s="36" t="inlineStr">
        <is>
          <t>average</t>
        </is>
      </c>
      <c r="AK23" s="1" t="n"/>
      <c r="AL23" s="1" t="n"/>
    </row>
    <row r="24">
      <c r="A24" s="1" t="n"/>
      <c r="B24" s="12" t="inlineStr">
        <is>
          <t>Sleep (hours)</t>
        </is>
      </c>
      <c r="C24" s="34" t="n">
        <v>6</v>
      </c>
      <c r="D24" s="34" t="n">
        <v>7.5</v>
      </c>
      <c r="E24" s="34" t="n">
        <v>6.5</v>
      </c>
      <c r="F24" s="34" t="n">
        <v>7.5</v>
      </c>
      <c r="G24" s="34" t="n">
        <v>7</v>
      </c>
      <c r="H24" s="34" t="n">
        <v>7</v>
      </c>
      <c r="I24" s="34" t="n">
        <v>7</v>
      </c>
      <c r="J24" s="34" t="n">
        <v>7.5</v>
      </c>
      <c r="K24" s="34" t="n">
        <v>7</v>
      </c>
      <c r="L24" s="34" t="n">
        <v>7.5</v>
      </c>
      <c r="M24" s="34" t="n">
        <v>5.5</v>
      </c>
      <c r="N24" s="34" t="n">
        <v>7.5</v>
      </c>
      <c r="O24" s="34" t="n">
        <v>7.5</v>
      </c>
      <c r="P24" s="34" t="n">
        <v>7</v>
      </c>
      <c r="Q24" s="34" t="n">
        <v>8.5</v>
      </c>
      <c r="R24" s="34" t="n">
        <v>6.5</v>
      </c>
      <c r="S24" s="34" t="n">
        <v>7.5</v>
      </c>
      <c r="T24" s="34" t="n">
        <v>7</v>
      </c>
      <c r="U24" s="34" t="n">
        <v>7</v>
      </c>
      <c r="V24" s="34" t="n">
        <v>7</v>
      </c>
      <c r="W24" s="34" t="n">
        <v>8</v>
      </c>
      <c r="X24" s="34" t="n">
        <v>7.5</v>
      </c>
      <c r="Y24" s="34" t="n">
        <v>7.5</v>
      </c>
      <c r="Z24" s="34" t="n">
        <v>7</v>
      </c>
      <c r="AA24" s="34" t="n">
        <v>7.5</v>
      </c>
      <c r="AB24" s="34" t="n">
        <v>7</v>
      </c>
      <c r="AC24" s="34" t="n">
        <v>8</v>
      </c>
      <c r="AD24" s="34" t="n">
        <v>7.5</v>
      </c>
      <c r="AE24" s="34" t="n">
        <v>7</v>
      </c>
      <c r="AF24" s="34" t="n">
        <v>7</v>
      </c>
      <c r="AG24" s="34" t="n"/>
      <c r="AH24" s="35">
        <f>IFERROR(AVERAGE(C24:AG24),"")</f>
        <v/>
      </c>
      <c r="AI24" s="11" t="n"/>
      <c r="AJ24" s="36" t="inlineStr">
        <is>
          <t>average</t>
        </is>
      </c>
      <c r="AK24" s="1" t="n"/>
      <c r="A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idden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idden="1">
      <c r="A40" s="1" t="n"/>
      <c r="B40" s="1">
        <f>B7</f>
        <v/>
      </c>
      <c r="C40" s="1">
        <f>IF(C$5="",0,IF(OR(C7=TRUE,ISTEXT(C7)),IFERROR(INDEX(Mar!$C$40:$AG$40,DAY(EOMONTH(DATE(Habits!$C$4,3,1),0))),0)+1,0))</f>
        <v/>
      </c>
      <c r="D40" s="1">
        <f>IF(D$5="",0,IF(OR(D7=TRUE,ISTEXT(D7)),C40+1,0))</f>
        <v/>
      </c>
      <c r="E40" s="1">
        <f>IF(E$5="",0,IF(OR(E7=TRUE,ISTEXT(E7)),D40+1,0))</f>
        <v/>
      </c>
      <c r="F40" s="1">
        <f>IF(F$5="",0,IF(OR(F7=TRUE,ISTEXT(F7)),E40+1,0))</f>
        <v/>
      </c>
      <c r="G40" s="1">
        <f>IF(G$5="",0,IF(OR(G7=TRUE,ISTEXT(G7)),F40+1,0))</f>
        <v/>
      </c>
      <c r="H40" s="1">
        <f>IF(H$5="",0,IF(OR(H7=TRUE,ISTEXT(H7)),G40+1,0))</f>
        <v/>
      </c>
      <c r="I40" s="1">
        <f>IF(I$5="",0,IF(OR(I7=TRUE,ISTEXT(I7)),H40+1,0))</f>
        <v/>
      </c>
      <c r="J40" s="1">
        <f>IF(J$5="",0,IF(OR(J7=TRUE,ISTEXT(J7)),I40+1,0))</f>
        <v/>
      </c>
      <c r="K40" s="1">
        <f>IF(K$5="",0,IF(OR(K7=TRUE,ISTEXT(K7)),J40+1,0))</f>
        <v/>
      </c>
      <c r="L40" s="1">
        <f>IF(L$5="",0,IF(OR(L7=TRUE,ISTEXT(L7)),K40+1,0))</f>
        <v/>
      </c>
      <c r="M40" s="1">
        <f>IF(M$5="",0,IF(OR(M7=TRUE,ISTEXT(M7)),L40+1,0))</f>
        <v/>
      </c>
      <c r="N40" s="1">
        <f>IF(N$5="",0,IF(OR(N7=TRUE,ISTEXT(N7)),M40+1,0))</f>
        <v/>
      </c>
      <c r="O40" s="1">
        <f>IF(O$5="",0,IF(OR(O7=TRUE,ISTEXT(O7)),N40+1,0))</f>
        <v/>
      </c>
      <c r="P40" s="1">
        <f>IF(P$5="",0,IF(OR(P7=TRUE,ISTEXT(P7)),O40+1,0))</f>
        <v/>
      </c>
      <c r="Q40" s="1">
        <f>IF(Q$5="",0,IF(OR(Q7=TRUE,ISTEXT(Q7)),P40+1,0))</f>
        <v/>
      </c>
      <c r="R40" s="1">
        <f>IF(R$5="",0,IF(OR(R7=TRUE,ISTEXT(R7)),Q40+1,0))</f>
        <v/>
      </c>
      <c r="S40" s="1">
        <f>IF(S$5="",0,IF(OR(S7=TRUE,ISTEXT(S7)),R40+1,0))</f>
        <v/>
      </c>
      <c r="T40" s="1">
        <f>IF(T$5="",0,IF(OR(T7=TRUE,ISTEXT(T7)),S40+1,0))</f>
        <v/>
      </c>
      <c r="U40" s="1">
        <f>IF(U$5="",0,IF(OR(U7=TRUE,ISTEXT(U7)),T40+1,0))</f>
        <v/>
      </c>
      <c r="V40" s="1">
        <f>IF(V$5="",0,IF(OR(V7=TRUE,ISTEXT(V7)),U40+1,0))</f>
        <v/>
      </c>
      <c r="W40" s="1">
        <f>IF(W$5="",0,IF(OR(W7=TRUE,ISTEXT(W7)),V40+1,0))</f>
        <v/>
      </c>
      <c r="X40" s="1">
        <f>IF(X$5="",0,IF(OR(X7=TRUE,ISTEXT(X7)),W40+1,0))</f>
        <v/>
      </c>
      <c r="Y40" s="1">
        <f>IF(Y$5="",0,IF(OR(Y7=TRUE,ISTEXT(Y7)),X40+1,0))</f>
        <v/>
      </c>
      <c r="Z40" s="1">
        <f>IF(Z$5="",0,IF(OR(Z7=TRUE,ISTEXT(Z7)),Y40+1,0))</f>
        <v/>
      </c>
      <c r="AA40" s="1">
        <f>IF(AA$5="",0,IF(OR(AA7=TRUE,ISTEXT(AA7)),Z40+1,0))</f>
        <v/>
      </c>
      <c r="AB40" s="1">
        <f>IF(AB$5="",0,IF(OR(AB7=TRUE,ISTEXT(AB7)),AA40+1,0))</f>
        <v/>
      </c>
      <c r="AC40" s="1">
        <f>IF(AC$5="",0,IF(OR(AC7=TRUE,ISTEXT(AC7)),AB40+1,0))</f>
        <v/>
      </c>
      <c r="AD40" s="1">
        <f>IF(AD$5="",0,IF(OR(AD7=TRUE,ISTEXT(AD7)),AC40+1,0))</f>
        <v/>
      </c>
      <c r="AE40" s="1">
        <f>IF(AE$5="",0,IF(OR(AE7=TRUE,ISTEXT(AE7)),AD40+1,0))</f>
        <v/>
      </c>
      <c r="AF40" s="1">
        <f>IF(AF$5="",0,IF(OR(AF7=TRUE,ISTEXT(AF7)),AE40+1,0))</f>
        <v/>
      </c>
      <c r="AG40" s="1">
        <f>IF(AG$5="",0,IF(OR(AG7=TRUE,ISTEXT(AG7)),AF40+1,0))</f>
        <v/>
      </c>
      <c r="AH40" s="1" t="n"/>
      <c r="AI40" s="1" t="n"/>
      <c r="AJ40" s="1" t="n"/>
      <c r="AK40" s="1" t="n"/>
      <c r="AL40" s="1" t="n"/>
    </row>
    <row r="41" hidden="1">
      <c r="A41" s="1" t="n"/>
      <c r="B41" s="1">
        <f>B8</f>
        <v/>
      </c>
      <c r="C41" s="1">
        <f>IF(C$5="",0,IF(OR(C8=TRUE,ISTEXT(C8)),IFERROR(INDEX(Mar!$C$41:$AG$41,DAY(EOMONTH(DATE(Habits!$C$4,3,1),0))),0)+1,0))</f>
        <v/>
      </c>
      <c r="D41" s="1">
        <f>IF(D$5="",0,IF(OR(D8=TRUE,ISTEXT(D8)),C41+1,0))</f>
        <v/>
      </c>
      <c r="E41" s="1">
        <f>IF(E$5="",0,IF(OR(E8=TRUE,ISTEXT(E8)),D41+1,0))</f>
        <v/>
      </c>
      <c r="F41" s="1">
        <f>IF(F$5="",0,IF(OR(F8=TRUE,ISTEXT(F8)),E41+1,0))</f>
        <v/>
      </c>
      <c r="G41" s="1">
        <f>IF(G$5="",0,IF(OR(G8=TRUE,ISTEXT(G8)),F41+1,0))</f>
        <v/>
      </c>
      <c r="H41" s="1">
        <f>IF(H$5="",0,IF(OR(H8=TRUE,ISTEXT(H8)),G41+1,0))</f>
        <v/>
      </c>
      <c r="I41" s="1">
        <f>IF(I$5="",0,IF(OR(I8=TRUE,ISTEXT(I8)),H41+1,0))</f>
        <v/>
      </c>
      <c r="J41" s="1">
        <f>IF(J$5="",0,IF(OR(J8=TRUE,ISTEXT(J8)),I41+1,0))</f>
        <v/>
      </c>
      <c r="K41" s="1">
        <f>IF(K$5="",0,IF(OR(K8=TRUE,ISTEXT(K8)),J41+1,0))</f>
        <v/>
      </c>
      <c r="L41" s="1">
        <f>IF(L$5="",0,IF(OR(L8=TRUE,ISTEXT(L8)),K41+1,0))</f>
        <v/>
      </c>
      <c r="M41" s="1">
        <f>IF(M$5="",0,IF(OR(M8=TRUE,ISTEXT(M8)),L41+1,0))</f>
        <v/>
      </c>
      <c r="N41" s="1">
        <f>IF(N$5="",0,IF(OR(N8=TRUE,ISTEXT(N8)),M41+1,0))</f>
        <v/>
      </c>
      <c r="O41" s="1">
        <f>IF(O$5="",0,IF(OR(O8=TRUE,ISTEXT(O8)),N41+1,0))</f>
        <v/>
      </c>
      <c r="P41" s="1">
        <f>IF(P$5="",0,IF(OR(P8=TRUE,ISTEXT(P8)),O41+1,0))</f>
        <v/>
      </c>
      <c r="Q41" s="1">
        <f>IF(Q$5="",0,IF(OR(Q8=TRUE,ISTEXT(Q8)),P41+1,0))</f>
        <v/>
      </c>
      <c r="R41" s="1">
        <f>IF(R$5="",0,IF(OR(R8=TRUE,ISTEXT(R8)),Q41+1,0))</f>
        <v/>
      </c>
      <c r="S41" s="1">
        <f>IF(S$5="",0,IF(OR(S8=TRUE,ISTEXT(S8)),R41+1,0))</f>
        <v/>
      </c>
      <c r="T41" s="1">
        <f>IF(T$5="",0,IF(OR(T8=TRUE,ISTEXT(T8)),S41+1,0))</f>
        <v/>
      </c>
      <c r="U41" s="1">
        <f>IF(U$5="",0,IF(OR(U8=TRUE,ISTEXT(U8)),T41+1,0))</f>
        <v/>
      </c>
      <c r="V41" s="1">
        <f>IF(V$5="",0,IF(OR(V8=TRUE,ISTEXT(V8)),U41+1,0))</f>
        <v/>
      </c>
      <c r="W41" s="1">
        <f>IF(W$5="",0,IF(OR(W8=TRUE,ISTEXT(W8)),V41+1,0))</f>
        <v/>
      </c>
      <c r="X41" s="1">
        <f>IF(X$5="",0,IF(OR(X8=TRUE,ISTEXT(X8)),W41+1,0))</f>
        <v/>
      </c>
      <c r="Y41" s="1">
        <f>IF(Y$5="",0,IF(OR(Y8=TRUE,ISTEXT(Y8)),X41+1,0))</f>
        <v/>
      </c>
      <c r="Z41" s="1">
        <f>IF(Z$5="",0,IF(OR(Z8=TRUE,ISTEXT(Z8)),Y41+1,0))</f>
        <v/>
      </c>
      <c r="AA41" s="1">
        <f>IF(AA$5="",0,IF(OR(AA8=TRUE,ISTEXT(AA8)),Z41+1,0))</f>
        <v/>
      </c>
      <c r="AB41" s="1">
        <f>IF(AB$5="",0,IF(OR(AB8=TRUE,ISTEXT(AB8)),AA41+1,0))</f>
        <v/>
      </c>
      <c r="AC41" s="1">
        <f>IF(AC$5="",0,IF(OR(AC8=TRUE,ISTEXT(AC8)),AB41+1,0))</f>
        <v/>
      </c>
      <c r="AD41" s="1">
        <f>IF(AD$5="",0,IF(OR(AD8=TRUE,ISTEXT(AD8)),AC41+1,0))</f>
        <v/>
      </c>
      <c r="AE41" s="1">
        <f>IF(AE$5="",0,IF(OR(AE8=TRUE,ISTEXT(AE8)),AD41+1,0))</f>
        <v/>
      </c>
      <c r="AF41" s="1">
        <f>IF(AF$5="",0,IF(OR(AF8=TRUE,ISTEXT(AF8)),AE41+1,0))</f>
        <v/>
      </c>
      <c r="AG41" s="1">
        <f>IF(AG$5="",0,IF(OR(AG8=TRUE,ISTEXT(AG8)),AF41+1,0))</f>
        <v/>
      </c>
      <c r="AH41" s="1" t="n"/>
      <c r="AI41" s="1" t="n"/>
      <c r="AJ41" s="1" t="n"/>
      <c r="AK41" s="1" t="n"/>
      <c r="AL41" s="1" t="n"/>
    </row>
    <row r="42" hidden="1">
      <c r="A42" s="1" t="n"/>
      <c r="B42" s="1">
        <f>B9</f>
        <v/>
      </c>
      <c r="C42" s="1">
        <f>IF(C$5="",0,IF(OR(C9=TRUE,ISTEXT(C9)),IFERROR(INDEX(Mar!$C$42:$AG$42,DAY(EOMONTH(DATE(Habits!$C$4,3,1),0))),0)+1,0))</f>
        <v/>
      </c>
      <c r="D42" s="1">
        <f>IF(D$5="",0,IF(OR(D9=TRUE,ISTEXT(D9)),C42+1,0))</f>
        <v/>
      </c>
      <c r="E42" s="1">
        <f>IF(E$5="",0,IF(OR(E9=TRUE,ISTEXT(E9)),D42+1,0))</f>
        <v/>
      </c>
      <c r="F42" s="1">
        <f>IF(F$5="",0,IF(OR(F9=TRUE,ISTEXT(F9)),E42+1,0))</f>
        <v/>
      </c>
      <c r="G42" s="1">
        <f>IF(G$5="",0,IF(OR(G9=TRUE,ISTEXT(G9)),F42+1,0))</f>
        <v/>
      </c>
      <c r="H42" s="1">
        <f>IF(H$5="",0,IF(OR(H9=TRUE,ISTEXT(H9)),G42+1,0))</f>
        <v/>
      </c>
      <c r="I42" s="1">
        <f>IF(I$5="",0,IF(OR(I9=TRUE,ISTEXT(I9)),H42+1,0))</f>
        <v/>
      </c>
      <c r="J42" s="1">
        <f>IF(J$5="",0,IF(OR(J9=TRUE,ISTEXT(J9)),I42+1,0))</f>
        <v/>
      </c>
      <c r="K42" s="1">
        <f>IF(K$5="",0,IF(OR(K9=TRUE,ISTEXT(K9)),J42+1,0))</f>
        <v/>
      </c>
      <c r="L42" s="1">
        <f>IF(L$5="",0,IF(OR(L9=TRUE,ISTEXT(L9)),K42+1,0))</f>
        <v/>
      </c>
      <c r="M42" s="1">
        <f>IF(M$5="",0,IF(OR(M9=TRUE,ISTEXT(M9)),L42+1,0))</f>
        <v/>
      </c>
      <c r="N42" s="1">
        <f>IF(N$5="",0,IF(OR(N9=TRUE,ISTEXT(N9)),M42+1,0))</f>
        <v/>
      </c>
      <c r="O42" s="1">
        <f>IF(O$5="",0,IF(OR(O9=TRUE,ISTEXT(O9)),N42+1,0))</f>
        <v/>
      </c>
      <c r="P42" s="1">
        <f>IF(P$5="",0,IF(OR(P9=TRUE,ISTEXT(P9)),O42+1,0))</f>
        <v/>
      </c>
      <c r="Q42" s="1">
        <f>IF(Q$5="",0,IF(OR(Q9=TRUE,ISTEXT(Q9)),P42+1,0))</f>
        <v/>
      </c>
      <c r="R42" s="1">
        <f>IF(R$5="",0,IF(OR(R9=TRUE,ISTEXT(R9)),Q42+1,0))</f>
        <v/>
      </c>
      <c r="S42" s="1">
        <f>IF(S$5="",0,IF(OR(S9=TRUE,ISTEXT(S9)),R42+1,0))</f>
        <v/>
      </c>
      <c r="T42" s="1">
        <f>IF(T$5="",0,IF(OR(T9=TRUE,ISTEXT(T9)),S42+1,0))</f>
        <v/>
      </c>
      <c r="U42" s="1">
        <f>IF(U$5="",0,IF(OR(U9=TRUE,ISTEXT(U9)),T42+1,0))</f>
        <v/>
      </c>
      <c r="V42" s="1">
        <f>IF(V$5="",0,IF(OR(V9=TRUE,ISTEXT(V9)),U42+1,0))</f>
        <v/>
      </c>
      <c r="W42" s="1">
        <f>IF(W$5="",0,IF(OR(W9=TRUE,ISTEXT(W9)),V42+1,0))</f>
        <v/>
      </c>
      <c r="X42" s="1">
        <f>IF(X$5="",0,IF(OR(X9=TRUE,ISTEXT(X9)),W42+1,0))</f>
        <v/>
      </c>
      <c r="Y42" s="1">
        <f>IF(Y$5="",0,IF(OR(Y9=TRUE,ISTEXT(Y9)),X42+1,0))</f>
        <v/>
      </c>
      <c r="Z42" s="1">
        <f>IF(Z$5="",0,IF(OR(Z9=TRUE,ISTEXT(Z9)),Y42+1,0))</f>
        <v/>
      </c>
      <c r="AA42" s="1">
        <f>IF(AA$5="",0,IF(OR(AA9=TRUE,ISTEXT(AA9)),Z42+1,0))</f>
        <v/>
      </c>
      <c r="AB42" s="1">
        <f>IF(AB$5="",0,IF(OR(AB9=TRUE,ISTEXT(AB9)),AA42+1,0))</f>
        <v/>
      </c>
      <c r="AC42" s="1">
        <f>IF(AC$5="",0,IF(OR(AC9=TRUE,ISTEXT(AC9)),AB42+1,0))</f>
        <v/>
      </c>
      <c r="AD42" s="1">
        <f>IF(AD$5="",0,IF(OR(AD9=TRUE,ISTEXT(AD9)),AC42+1,0))</f>
        <v/>
      </c>
      <c r="AE42" s="1">
        <f>IF(AE$5="",0,IF(OR(AE9=TRUE,ISTEXT(AE9)),AD42+1,0))</f>
        <v/>
      </c>
      <c r="AF42" s="1">
        <f>IF(AF$5="",0,IF(OR(AF9=TRUE,ISTEXT(AF9)),AE42+1,0))</f>
        <v/>
      </c>
      <c r="AG42" s="1">
        <f>IF(AG$5="",0,IF(OR(AG9=TRUE,ISTEXT(AG9)),AF42+1,0))</f>
        <v/>
      </c>
      <c r="AH42" s="1" t="n"/>
      <c r="AI42" s="1" t="n"/>
      <c r="AJ42" s="1" t="n"/>
      <c r="AK42" s="1" t="n"/>
      <c r="AL42" s="1" t="n"/>
    </row>
    <row r="43" hidden="1">
      <c r="A43" s="1" t="n"/>
      <c r="B43" s="1">
        <f>B10</f>
        <v/>
      </c>
      <c r="C43" s="1">
        <f>IF(C$5="",0,IF(OR(C10=TRUE,ISTEXT(C10)),IFERROR(INDEX(Mar!$C$43:$AG$43,DAY(EOMONTH(DATE(Habits!$C$4,3,1),0))),0)+1,0))</f>
        <v/>
      </c>
      <c r="D43" s="1">
        <f>IF(D$5="",0,IF(OR(D10=TRUE,ISTEXT(D10)),C43+1,0))</f>
        <v/>
      </c>
      <c r="E43" s="1">
        <f>IF(E$5="",0,IF(OR(E10=TRUE,ISTEXT(E10)),D43+1,0))</f>
        <v/>
      </c>
      <c r="F43" s="1">
        <f>IF(F$5="",0,IF(OR(F10=TRUE,ISTEXT(F10)),E43+1,0))</f>
        <v/>
      </c>
      <c r="G43" s="1">
        <f>IF(G$5="",0,IF(OR(G10=TRUE,ISTEXT(G10)),F43+1,0))</f>
        <v/>
      </c>
      <c r="H43" s="1">
        <f>IF(H$5="",0,IF(OR(H10=TRUE,ISTEXT(H10)),G43+1,0))</f>
        <v/>
      </c>
      <c r="I43" s="1">
        <f>IF(I$5="",0,IF(OR(I10=TRUE,ISTEXT(I10)),H43+1,0))</f>
        <v/>
      </c>
      <c r="J43" s="1">
        <f>IF(J$5="",0,IF(OR(J10=TRUE,ISTEXT(J10)),I43+1,0))</f>
        <v/>
      </c>
      <c r="K43" s="1">
        <f>IF(K$5="",0,IF(OR(K10=TRUE,ISTEXT(K10)),J43+1,0))</f>
        <v/>
      </c>
      <c r="L43" s="1">
        <f>IF(L$5="",0,IF(OR(L10=TRUE,ISTEXT(L10)),K43+1,0))</f>
        <v/>
      </c>
      <c r="M43" s="1">
        <f>IF(M$5="",0,IF(OR(M10=TRUE,ISTEXT(M10)),L43+1,0))</f>
        <v/>
      </c>
      <c r="N43" s="1">
        <f>IF(N$5="",0,IF(OR(N10=TRUE,ISTEXT(N10)),M43+1,0))</f>
        <v/>
      </c>
      <c r="O43" s="1">
        <f>IF(O$5="",0,IF(OR(O10=TRUE,ISTEXT(O10)),N43+1,0))</f>
        <v/>
      </c>
      <c r="P43" s="1">
        <f>IF(P$5="",0,IF(OR(P10=TRUE,ISTEXT(P10)),O43+1,0))</f>
        <v/>
      </c>
      <c r="Q43" s="1">
        <f>IF(Q$5="",0,IF(OR(Q10=TRUE,ISTEXT(Q10)),P43+1,0))</f>
        <v/>
      </c>
      <c r="R43" s="1">
        <f>IF(R$5="",0,IF(OR(R10=TRUE,ISTEXT(R10)),Q43+1,0))</f>
        <v/>
      </c>
      <c r="S43" s="1">
        <f>IF(S$5="",0,IF(OR(S10=TRUE,ISTEXT(S10)),R43+1,0))</f>
        <v/>
      </c>
      <c r="T43" s="1">
        <f>IF(T$5="",0,IF(OR(T10=TRUE,ISTEXT(T10)),S43+1,0))</f>
        <v/>
      </c>
      <c r="U43" s="1">
        <f>IF(U$5="",0,IF(OR(U10=TRUE,ISTEXT(U10)),T43+1,0))</f>
        <v/>
      </c>
      <c r="V43" s="1">
        <f>IF(V$5="",0,IF(OR(V10=TRUE,ISTEXT(V10)),U43+1,0))</f>
        <v/>
      </c>
      <c r="W43" s="1">
        <f>IF(W$5="",0,IF(OR(W10=TRUE,ISTEXT(W10)),V43+1,0))</f>
        <v/>
      </c>
      <c r="X43" s="1">
        <f>IF(X$5="",0,IF(OR(X10=TRUE,ISTEXT(X10)),W43+1,0))</f>
        <v/>
      </c>
      <c r="Y43" s="1">
        <f>IF(Y$5="",0,IF(OR(Y10=TRUE,ISTEXT(Y10)),X43+1,0))</f>
        <v/>
      </c>
      <c r="Z43" s="1">
        <f>IF(Z$5="",0,IF(OR(Z10=TRUE,ISTEXT(Z10)),Y43+1,0))</f>
        <v/>
      </c>
      <c r="AA43" s="1">
        <f>IF(AA$5="",0,IF(OR(AA10=TRUE,ISTEXT(AA10)),Z43+1,0))</f>
        <v/>
      </c>
      <c r="AB43" s="1">
        <f>IF(AB$5="",0,IF(OR(AB10=TRUE,ISTEXT(AB10)),AA43+1,0))</f>
        <v/>
      </c>
      <c r="AC43" s="1">
        <f>IF(AC$5="",0,IF(OR(AC10=TRUE,ISTEXT(AC10)),AB43+1,0))</f>
        <v/>
      </c>
      <c r="AD43" s="1">
        <f>IF(AD$5="",0,IF(OR(AD10=TRUE,ISTEXT(AD10)),AC43+1,0))</f>
        <v/>
      </c>
      <c r="AE43" s="1">
        <f>IF(AE$5="",0,IF(OR(AE10=TRUE,ISTEXT(AE10)),AD43+1,0))</f>
        <v/>
      </c>
      <c r="AF43" s="1">
        <f>IF(AF$5="",0,IF(OR(AF10=TRUE,ISTEXT(AF10)),AE43+1,0))</f>
        <v/>
      </c>
      <c r="AG43" s="1">
        <f>IF(AG$5="",0,IF(OR(AG10=TRUE,ISTEXT(AG10)),AF43+1,0))</f>
        <v/>
      </c>
      <c r="AH43" s="1" t="n"/>
      <c r="AI43" s="1" t="n"/>
      <c r="AJ43" s="1" t="n"/>
      <c r="AK43" s="1" t="n"/>
      <c r="AL43" s="1" t="n"/>
    </row>
    <row r="44" hidden="1">
      <c r="A44" s="1" t="n"/>
      <c r="B44" s="1">
        <f>B11</f>
        <v/>
      </c>
      <c r="C44" s="1">
        <f>IF(C$5="",0,IF(OR(C11=TRUE,ISTEXT(C11)),IFERROR(INDEX(Mar!$C$44:$AG$44,DAY(EOMONTH(DATE(Habits!$C$4,3,1),0))),0)+1,0))</f>
        <v/>
      </c>
      <c r="D44" s="1">
        <f>IF(D$5="",0,IF(OR(D11=TRUE,ISTEXT(D11)),C44+1,0))</f>
        <v/>
      </c>
      <c r="E44" s="1">
        <f>IF(E$5="",0,IF(OR(E11=TRUE,ISTEXT(E11)),D44+1,0))</f>
        <v/>
      </c>
      <c r="F44" s="1">
        <f>IF(F$5="",0,IF(OR(F11=TRUE,ISTEXT(F11)),E44+1,0))</f>
        <v/>
      </c>
      <c r="G44" s="1">
        <f>IF(G$5="",0,IF(OR(G11=TRUE,ISTEXT(G11)),F44+1,0))</f>
        <v/>
      </c>
      <c r="H44" s="1">
        <f>IF(H$5="",0,IF(OR(H11=TRUE,ISTEXT(H11)),G44+1,0))</f>
        <v/>
      </c>
      <c r="I44" s="1">
        <f>IF(I$5="",0,IF(OR(I11=TRUE,ISTEXT(I11)),H44+1,0))</f>
        <v/>
      </c>
      <c r="J44" s="1">
        <f>IF(J$5="",0,IF(OR(J11=TRUE,ISTEXT(J11)),I44+1,0))</f>
        <v/>
      </c>
      <c r="K44" s="1">
        <f>IF(K$5="",0,IF(OR(K11=TRUE,ISTEXT(K11)),J44+1,0))</f>
        <v/>
      </c>
      <c r="L44" s="1">
        <f>IF(L$5="",0,IF(OR(L11=TRUE,ISTEXT(L11)),K44+1,0))</f>
        <v/>
      </c>
      <c r="M44" s="1">
        <f>IF(M$5="",0,IF(OR(M11=TRUE,ISTEXT(M11)),L44+1,0))</f>
        <v/>
      </c>
      <c r="N44" s="1">
        <f>IF(N$5="",0,IF(OR(N11=TRUE,ISTEXT(N11)),M44+1,0))</f>
        <v/>
      </c>
      <c r="O44" s="1">
        <f>IF(O$5="",0,IF(OR(O11=TRUE,ISTEXT(O11)),N44+1,0))</f>
        <v/>
      </c>
      <c r="P44" s="1">
        <f>IF(P$5="",0,IF(OR(P11=TRUE,ISTEXT(P11)),O44+1,0))</f>
        <v/>
      </c>
      <c r="Q44" s="1">
        <f>IF(Q$5="",0,IF(OR(Q11=TRUE,ISTEXT(Q11)),P44+1,0))</f>
        <v/>
      </c>
      <c r="R44" s="1">
        <f>IF(R$5="",0,IF(OR(R11=TRUE,ISTEXT(R11)),Q44+1,0))</f>
        <v/>
      </c>
      <c r="S44" s="1">
        <f>IF(S$5="",0,IF(OR(S11=TRUE,ISTEXT(S11)),R44+1,0))</f>
        <v/>
      </c>
      <c r="T44" s="1">
        <f>IF(T$5="",0,IF(OR(T11=TRUE,ISTEXT(T11)),S44+1,0))</f>
        <v/>
      </c>
      <c r="U44" s="1">
        <f>IF(U$5="",0,IF(OR(U11=TRUE,ISTEXT(U11)),T44+1,0))</f>
        <v/>
      </c>
      <c r="V44" s="1">
        <f>IF(V$5="",0,IF(OR(V11=TRUE,ISTEXT(V11)),U44+1,0))</f>
        <v/>
      </c>
      <c r="W44" s="1">
        <f>IF(W$5="",0,IF(OR(W11=TRUE,ISTEXT(W11)),V44+1,0))</f>
        <v/>
      </c>
      <c r="X44" s="1">
        <f>IF(X$5="",0,IF(OR(X11=TRUE,ISTEXT(X11)),W44+1,0))</f>
        <v/>
      </c>
      <c r="Y44" s="1">
        <f>IF(Y$5="",0,IF(OR(Y11=TRUE,ISTEXT(Y11)),X44+1,0))</f>
        <v/>
      </c>
      <c r="Z44" s="1">
        <f>IF(Z$5="",0,IF(OR(Z11=TRUE,ISTEXT(Z11)),Y44+1,0))</f>
        <v/>
      </c>
      <c r="AA44" s="1">
        <f>IF(AA$5="",0,IF(OR(AA11=TRUE,ISTEXT(AA11)),Z44+1,0))</f>
        <v/>
      </c>
      <c r="AB44" s="1">
        <f>IF(AB$5="",0,IF(OR(AB11=TRUE,ISTEXT(AB11)),AA44+1,0))</f>
        <v/>
      </c>
      <c r="AC44" s="1">
        <f>IF(AC$5="",0,IF(OR(AC11=TRUE,ISTEXT(AC11)),AB44+1,0))</f>
        <v/>
      </c>
      <c r="AD44" s="1">
        <f>IF(AD$5="",0,IF(OR(AD11=TRUE,ISTEXT(AD11)),AC44+1,0))</f>
        <v/>
      </c>
      <c r="AE44" s="1">
        <f>IF(AE$5="",0,IF(OR(AE11=TRUE,ISTEXT(AE11)),AD44+1,0))</f>
        <v/>
      </c>
      <c r="AF44" s="1">
        <f>IF(AF$5="",0,IF(OR(AF11=TRUE,ISTEXT(AF11)),AE44+1,0))</f>
        <v/>
      </c>
      <c r="AG44" s="1">
        <f>IF(AG$5="",0,IF(OR(AG11=TRUE,ISTEXT(AG11)),AF44+1,0))</f>
        <v/>
      </c>
      <c r="AH44" s="1" t="n"/>
      <c r="AI44" s="1" t="n"/>
      <c r="AJ44" s="1" t="n"/>
      <c r="AK44" s="1" t="n"/>
      <c r="AL44" s="1" t="n"/>
    </row>
    <row r="45" hidden="1">
      <c r="A45" s="1" t="n"/>
      <c r="B45" s="1">
        <f>B12</f>
        <v/>
      </c>
      <c r="C45" s="1">
        <f>IF(C$5="",0,IF(OR(C12=TRUE,ISTEXT(C12)),IFERROR(INDEX(Mar!$C$45:$AG$45,DAY(EOMONTH(DATE(Habits!$C$4,3,1),0))),0)+1,0))</f>
        <v/>
      </c>
      <c r="D45" s="1">
        <f>IF(D$5="",0,IF(OR(D12=TRUE,ISTEXT(D12)),C45+1,0))</f>
        <v/>
      </c>
      <c r="E45" s="1">
        <f>IF(E$5="",0,IF(OR(E12=TRUE,ISTEXT(E12)),D45+1,0))</f>
        <v/>
      </c>
      <c r="F45" s="1">
        <f>IF(F$5="",0,IF(OR(F12=TRUE,ISTEXT(F12)),E45+1,0))</f>
        <v/>
      </c>
      <c r="G45" s="1">
        <f>IF(G$5="",0,IF(OR(G12=TRUE,ISTEXT(G12)),F45+1,0))</f>
        <v/>
      </c>
      <c r="H45" s="1">
        <f>IF(H$5="",0,IF(OR(H12=TRUE,ISTEXT(H12)),G45+1,0))</f>
        <v/>
      </c>
      <c r="I45" s="1">
        <f>IF(I$5="",0,IF(OR(I12=TRUE,ISTEXT(I12)),H45+1,0))</f>
        <v/>
      </c>
      <c r="J45" s="1">
        <f>IF(J$5="",0,IF(OR(J12=TRUE,ISTEXT(J12)),I45+1,0))</f>
        <v/>
      </c>
      <c r="K45" s="1">
        <f>IF(K$5="",0,IF(OR(K12=TRUE,ISTEXT(K12)),J45+1,0))</f>
        <v/>
      </c>
      <c r="L45" s="1">
        <f>IF(L$5="",0,IF(OR(L12=TRUE,ISTEXT(L12)),K45+1,0))</f>
        <v/>
      </c>
      <c r="M45" s="1">
        <f>IF(M$5="",0,IF(OR(M12=TRUE,ISTEXT(M12)),L45+1,0))</f>
        <v/>
      </c>
      <c r="N45" s="1">
        <f>IF(N$5="",0,IF(OR(N12=TRUE,ISTEXT(N12)),M45+1,0))</f>
        <v/>
      </c>
      <c r="O45" s="1">
        <f>IF(O$5="",0,IF(OR(O12=TRUE,ISTEXT(O12)),N45+1,0))</f>
        <v/>
      </c>
      <c r="P45" s="1">
        <f>IF(P$5="",0,IF(OR(P12=TRUE,ISTEXT(P12)),O45+1,0))</f>
        <v/>
      </c>
      <c r="Q45" s="1">
        <f>IF(Q$5="",0,IF(OR(Q12=TRUE,ISTEXT(Q12)),P45+1,0))</f>
        <v/>
      </c>
      <c r="R45" s="1">
        <f>IF(R$5="",0,IF(OR(R12=TRUE,ISTEXT(R12)),Q45+1,0))</f>
        <v/>
      </c>
      <c r="S45" s="1">
        <f>IF(S$5="",0,IF(OR(S12=TRUE,ISTEXT(S12)),R45+1,0))</f>
        <v/>
      </c>
      <c r="T45" s="1">
        <f>IF(T$5="",0,IF(OR(T12=TRUE,ISTEXT(T12)),S45+1,0))</f>
        <v/>
      </c>
      <c r="U45" s="1">
        <f>IF(U$5="",0,IF(OR(U12=TRUE,ISTEXT(U12)),T45+1,0))</f>
        <v/>
      </c>
      <c r="V45" s="1">
        <f>IF(V$5="",0,IF(OR(V12=TRUE,ISTEXT(V12)),U45+1,0))</f>
        <v/>
      </c>
      <c r="W45" s="1">
        <f>IF(W$5="",0,IF(OR(W12=TRUE,ISTEXT(W12)),V45+1,0))</f>
        <v/>
      </c>
      <c r="X45" s="1">
        <f>IF(X$5="",0,IF(OR(X12=TRUE,ISTEXT(X12)),W45+1,0))</f>
        <v/>
      </c>
      <c r="Y45" s="1">
        <f>IF(Y$5="",0,IF(OR(Y12=TRUE,ISTEXT(Y12)),X45+1,0))</f>
        <v/>
      </c>
      <c r="Z45" s="1">
        <f>IF(Z$5="",0,IF(OR(Z12=TRUE,ISTEXT(Z12)),Y45+1,0))</f>
        <v/>
      </c>
      <c r="AA45" s="1">
        <f>IF(AA$5="",0,IF(OR(AA12=TRUE,ISTEXT(AA12)),Z45+1,0))</f>
        <v/>
      </c>
      <c r="AB45" s="1">
        <f>IF(AB$5="",0,IF(OR(AB12=TRUE,ISTEXT(AB12)),AA45+1,0))</f>
        <v/>
      </c>
      <c r="AC45" s="1">
        <f>IF(AC$5="",0,IF(OR(AC12=TRUE,ISTEXT(AC12)),AB45+1,0))</f>
        <v/>
      </c>
      <c r="AD45" s="1">
        <f>IF(AD$5="",0,IF(OR(AD12=TRUE,ISTEXT(AD12)),AC45+1,0))</f>
        <v/>
      </c>
      <c r="AE45" s="1">
        <f>IF(AE$5="",0,IF(OR(AE12=TRUE,ISTEXT(AE12)),AD45+1,0))</f>
        <v/>
      </c>
      <c r="AF45" s="1">
        <f>IF(AF$5="",0,IF(OR(AF12=TRUE,ISTEXT(AF12)),AE45+1,0))</f>
        <v/>
      </c>
      <c r="AG45" s="1">
        <f>IF(AG$5="",0,IF(OR(AG12=TRUE,ISTEXT(AG12)),AF45+1,0))</f>
        <v/>
      </c>
      <c r="AH45" s="1" t="n"/>
      <c r="AI45" s="1" t="n"/>
      <c r="AJ45" s="1" t="n"/>
      <c r="AK45" s="1" t="n"/>
      <c r="AL45" s="1" t="n"/>
    </row>
    <row r="46" hidden="1">
      <c r="A46" s="1" t="n"/>
      <c r="B46" s="1">
        <f>B13</f>
        <v/>
      </c>
      <c r="C46" s="1">
        <f>IF(C$5="",0,IF(OR(C13=TRUE,ISTEXT(C13)),IFERROR(INDEX(Mar!$C$46:$AG$46,DAY(EOMONTH(DATE(Habits!$C$4,3,1),0))),0)+1,0))</f>
        <v/>
      </c>
      <c r="D46" s="1">
        <f>IF(D$5="",0,IF(OR(D13=TRUE,ISTEXT(D13)),C46+1,0))</f>
        <v/>
      </c>
      <c r="E46" s="1">
        <f>IF(E$5="",0,IF(OR(E13=TRUE,ISTEXT(E13)),D46+1,0))</f>
        <v/>
      </c>
      <c r="F46" s="1">
        <f>IF(F$5="",0,IF(OR(F13=TRUE,ISTEXT(F13)),E46+1,0))</f>
        <v/>
      </c>
      <c r="G46" s="1">
        <f>IF(G$5="",0,IF(OR(G13=TRUE,ISTEXT(G13)),F46+1,0))</f>
        <v/>
      </c>
      <c r="H46" s="1">
        <f>IF(H$5="",0,IF(OR(H13=TRUE,ISTEXT(H13)),G46+1,0))</f>
        <v/>
      </c>
      <c r="I46" s="1">
        <f>IF(I$5="",0,IF(OR(I13=TRUE,ISTEXT(I13)),H46+1,0))</f>
        <v/>
      </c>
      <c r="J46" s="1">
        <f>IF(J$5="",0,IF(OR(J13=TRUE,ISTEXT(J13)),I46+1,0))</f>
        <v/>
      </c>
      <c r="K46" s="1">
        <f>IF(K$5="",0,IF(OR(K13=TRUE,ISTEXT(K13)),J46+1,0))</f>
        <v/>
      </c>
      <c r="L46" s="1">
        <f>IF(L$5="",0,IF(OR(L13=TRUE,ISTEXT(L13)),K46+1,0))</f>
        <v/>
      </c>
      <c r="M46" s="1">
        <f>IF(M$5="",0,IF(OR(M13=TRUE,ISTEXT(M13)),L46+1,0))</f>
        <v/>
      </c>
      <c r="N46" s="1">
        <f>IF(N$5="",0,IF(OR(N13=TRUE,ISTEXT(N13)),M46+1,0))</f>
        <v/>
      </c>
      <c r="O46" s="1">
        <f>IF(O$5="",0,IF(OR(O13=TRUE,ISTEXT(O13)),N46+1,0))</f>
        <v/>
      </c>
      <c r="P46" s="1">
        <f>IF(P$5="",0,IF(OR(P13=TRUE,ISTEXT(P13)),O46+1,0))</f>
        <v/>
      </c>
      <c r="Q46" s="1">
        <f>IF(Q$5="",0,IF(OR(Q13=TRUE,ISTEXT(Q13)),P46+1,0))</f>
        <v/>
      </c>
      <c r="R46" s="1">
        <f>IF(R$5="",0,IF(OR(R13=TRUE,ISTEXT(R13)),Q46+1,0))</f>
        <v/>
      </c>
      <c r="S46" s="1">
        <f>IF(S$5="",0,IF(OR(S13=TRUE,ISTEXT(S13)),R46+1,0))</f>
        <v/>
      </c>
      <c r="T46" s="1">
        <f>IF(T$5="",0,IF(OR(T13=TRUE,ISTEXT(T13)),S46+1,0))</f>
        <v/>
      </c>
      <c r="U46" s="1">
        <f>IF(U$5="",0,IF(OR(U13=TRUE,ISTEXT(U13)),T46+1,0))</f>
        <v/>
      </c>
      <c r="V46" s="1">
        <f>IF(V$5="",0,IF(OR(V13=TRUE,ISTEXT(V13)),U46+1,0))</f>
        <v/>
      </c>
      <c r="W46" s="1">
        <f>IF(W$5="",0,IF(OR(W13=TRUE,ISTEXT(W13)),V46+1,0))</f>
        <v/>
      </c>
      <c r="X46" s="1">
        <f>IF(X$5="",0,IF(OR(X13=TRUE,ISTEXT(X13)),W46+1,0))</f>
        <v/>
      </c>
      <c r="Y46" s="1">
        <f>IF(Y$5="",0,IF(OR(Y13=TRUE,ISTEXT(Y13)),X46+1,0))</f>
        <v/>
      </c>
      <c r="Z46" s="1">
        <f>IF(Z$5="",0,IF(OR(Z13=TRUE,ISTEXT(Z13)),Y46+1,0))</f>
        <v/>
      </c>
      <c r="AA46" s="1">
        <f>IF(AA$5="",0,IF(OR(AA13=TRUE,ISTEXT(AA13)),Z46+1,0))</f>
        <v/>
      </c>
      <c r="AB46" s="1">
        <f>IF(AB$5="",0,IF(OR(AB13=TRUE,ISTEXT(AB13)),AA46+1,0))</f>
        <v/>
      </c>
      <c r="AC46" s="1">
        <f>IF(AC$5="",0,IF(OR(AC13=TRUE,ISTEXT(AC13)),AB46+1,0))</f>
        <v/>
      </c>
      <c r="AD46" s="1">
        <f>IF(AD$5="",0,IF(OR(AD13=TRUE,ISTEXT(AD13)),AC46+1,0))</f>
        <v/>
      </c>
      <c r="AE46" s="1">
        <f>IF(AE$5="",0,IF(OR(AE13=TRUE,ISTEXT(AE13)),AD46+1,0))</f>
        <v/>
      </c>
      <c r="AF46" s="1">
        <f>IF(AF$5="",0,IF(OR(AF13=TRUE,ISTEXT(AF13)),AE46+1,0))</f>
        <v/>
      </c>
      <c r="AG46" s="1">
        <f>IF(AG$5="",0,IF(OR(AG13=TRUE,ISTEXT(AG13)),AF46+1,0))</f>
        <v/>
      </c>
      <c r="AH46" s="1" t="n"/>
      <c r="AI46" s="1" t="n"/>
      <c r="AJ46" s="1" t="n"/>
      <c r="AK46" s="1" t="n"/>
      <c r="AL46" s="1" t="n"/>
    </row>
    <row r="47" hidden="1">
      <c r="A47" s="1" t="n"/>
      <c r="B47" s="1">
        <f>B14</f>
        <v/>
      </c>
      <c r="C47" s="1">
        <f>IF(C$5="",0,IF(OR(C14=TRUE,ISTEXT(C14)),IFERROR(INDEX(Mar!$C$47:$AG$47,DAY(EOMONTH(DATE(Habits!$C$4,3,1),0))),0)+1,0))</f>
        <v/>
      </c>
      <c r="D47" s="1">
        <f>IF(D$5="",0,IF(OR(D14=TRUE,ISTEXT(D14)),C47+1,0))</f>
        <v/>
      </c>
      <c r="E47" s="1">
        <f>IF(E$5="",0,IF(OR(E14=TRUE,ISTEXT(E14)),D47+1,0))</f>
        <v/>
      </c>
      <c r="F47" s="1">
        <f>IF(F$5="",0,IF(OR(F14=TRUE,ISTEXT(F14)),E47+1,0))</f>
        <v/>
      </c>
      <c r="G47" s="1">
        <f>IF(G$5="",0,IF(OR(G14=TRUE,ISTEXT(G14)),F47+1,0))</f>
        <v/>
      </c>
      <c r="H47" s="1">
        <f>IF(H$5="",0,IF(OR(H14=TRUE,ISTEXT(H14)),G47+1,0))</f>
        <v/>
      </c>
      <c r="I47" s="1">
        <f>IF(I$5="",0,IF(OR(I14=TRUE,ISTEXT(I14)),H47+1,0))</f>
        <v/>
      </c>
      <c r="J47" s="1">
        <f>IF(J$5="",0,IF(OR(J14=TRUE,ISTEXT(J14)),I47+1,0))</f>
        <v/>
      </c>
      <c r="K47" s="1">
        <f>IF(K$5="",0,IF(OR(K14=TRUE,ISTEXT(K14)),J47+1,0))</f>
        <v/>
      </c>
      <c r="L47" s="1">
        <f>IF(L$5="",0,IF(OR(L14=TRUE,ISTEXT(L14)),K47+1,0))</f>
        <v/>
      </c>
      <c r="M47" s="1">
        <f>IF(M$5="",0,IF(OR(M14=TRUE,ISTEXT(M14)),L47+1,0))</f>
        <v/>
      </c>
      <c r="N47" s="1">
        <f>IF(N$5="",0,IF(OR(N14=TRUE,ISTEXT(N14)),M47+1,0))</f>
        <v/>
      </c>
      <c r="O47" s="1">
        <f>IF(O$5="",0,IF(OR(O14=TRUE,ISTEXT(O14)),N47+1,0))</f>
        <v/>
      </c>
      <c r="P47" s="1">
        <f>IF(P$5="",0,IF(OR(P14=TRUE,ISTEXT(P14)),O47+1,0))</f>
        <v/>
      </c>
      <c r="Q47" s="1">
        <f>IF(Q$5="",0,IF(OR(Q14=TRUE,ISTEXT(Q14)),P47+1,0))</f>
        <v/>
      </c>
      <c r="R47" s="1">
        <f>IF(R$5="",0,IF(OR(R14=TRUE,ISTEXT(R14)),Q47+1,0))</f>
        <v/>
      </c>
      <c r="S47" s="1">
        <f>IF(S$5="",0,IF(OR(S14=TRUE,ISTEXT(S14)),R47+1,0))</f>
        <v/>
      </c>
      <c r="T47" s="1">
        <f>IF(T$5="",0,IF(OR(T14=TRUE,ISTEXT(T14)),S47+1,0))</f>
        <v/>
      </c>
      <c r="U47" s="1">
        <f>IF(U$5="",0,IF(OR(U14=TRUE,ISTEXT(U14)),T47+1,0))</f>
        <v/>
      </c>
      <c r="V47" s="1">
        <f>IF(V$5="",0,IF(OR(V14=TRUE,ISTEXT(V14)),U47+1,0))</f>
        <v/>
      </c>
      <c r="W47" s="1">
        <f>IF(W$5="",0,IF(OR(W14=TRUE,ISTEXT(W14)),V47+1,0))</f>
        <v/>
      </c>
      <c r="X47" s="1">
        <f>IF(X$5="",0,IF(OR(X14=TRUE,ISTEXT(X14)),W47+1,0))</f>
        <v/>
      </c>
      <c r="Y47" s="1">
        <f>IF(Y$5="",0,IF(OR(Y14=TRUE,ISTEXT(Y14)),X47+1,0))</f>
        <v/>
      </c>
      <c r="Z47" s="1">
        <f>IF(Z$5="",0,IF(OR(Z14=TRUE,ISTEXT(Z14)),Y47+1,0))</f>
        <v/>
      </c>
      <c r="AA47" s="1">
        <f>IF(AA$5="",0,IF(OR(AA14=TRUE,ISTEXT(AA14)),Z47+1,0))</f>
        <v/>
      </c>
      <c r="AB47" s="1">
        <f>IF(AB$5="",0,IF(OR(AB14=TRUE,ISTEXT(AB14)),AA47+1,0))</f>
        <v/>
      </c>
      <c r="AC47" s="1">
        <f>IF(AC$5="",0,IF(OR(AC14=TRUE,ISTEXT(AC14)),AB47+1,0))</f>
        <v/>
      </c>
      <c r="AD47" s="1">
        <f>IF(AD$5="",0,IF(OR(AD14=TRUE,ISTEXT(AD14)),AC47+1,0))</f>
        <v/>
      </c>
      <c r="AE47" s="1">
        <f>IF(AE$5="",0,IF(OR(AE14=TRUE,ISTEXT(AE14)),AD47+1,0))</f>
        <v/>
      </c>
      <c r="AF47" s="1">
        <f>IF(AF$5="",0,IF(OR(AF14=TRUE,ISTEXT(AF14)),AE47+1,0))</f>
        <v/>
      </c>
      <c r="AG47" s="1">
        <f>IF(AG$5="",0,IF(OR(AG14=TRUE,ISTEXT(AG14)),AF47+1,0))</f>
        <v/>
      </c>
      <c r="AH47" s="1" t="n"/>
      <c r="AI47" s="1" t="n"/>
      <c r="AJ47" s="1" t="n"/>
      <c r="AK47" s="1" t="n"/>
      <c r="AL47" s="1" t="n"/>
    </row>
    <row r="48" hidden="1">
      <c r="A48" s="1" t="n"/>
      <c r="B48" s="1">
        <f>B15</f>
        <v/>
      </c>
      <c r="C48" s="1">
        <f>IF(C$5="",0,IF(OR(C15=TRUE,ISTEXT(C15)),IFERROR(INDEX(Mar!$C$48:$AG$48,DAY(EOMONTH(DATE(Habits!$C$4,3,1),0))),0)+1,0))</f>
        <v/>
      </c>
      <c r="D48" s="1">
        <f>IF(D$5="",0,IF(OR(D15=TRUE,ISTEXT(D15)),C48+1,0))</f>
        <v/>
      </c>
      <c r="E48" s="1">
        <f>IF(E$5="",0,IF(OR(E15=TRUE,ISTEXT(E15)),D48+1,0))</f>
        <v/>
      </c>
      <c r="F48" s="1">
        <f>IF(F$5="",0,IF(OR(F15=TRUE,ISTEXT(F15)),E48+1,0))</f>
        <v/>
      </c>
      <c r="G48" s="1">
        <f>IF(G$5="",0,IF(OR(G15=TRUE,ISTEXT(G15)),F48+1,0))</f>
        <v/>
      </c>
      <c r="H48" s="1">
        <f>IF(H$5="",0,IF(OR(H15=TRUE,ISTEXT(H15)),G48+1,0))</f>
        <v/>
      </c>
      <c r="I48" s="1">
        <f>IF(I$5="",0,IF(OR(I15=TRUE,ISTEXT(I15)),H48+1,0))</f>
        <v/>
      </c>
      <c r="J48" s="1">
        <f>IF(J$5="",0,IF(OR(J15=TRUE,ISTEXT(J15)),I48+1,0))</f>
        <v/>
      </c>
      <c r="K48" s="1">
        <f>IF(K$5="",0,IF(OR(K15=TRUE,ISTEXT(K15)),J48+1,0))</f>
        <v/>
      </c>
      <c r="L48" s="1">
        <f>IF(L$5="",0,IF(OR(L15=TRUE,ISTEXT(L15)),K48+1,0))</f>
        <v/>
      </c>
      <c r="M48" s="1">
        <f>IF(M$5="",0,IF(OR(M15=TRUE,ISTEXT(M15)),L48+1,0))</f>
        <v/>
      </c>
      <c r="N48" s="1">
        <f>IF(N$5="",0,IF(OR(N15=TRUE,ISTEXT(N15)),M48+1,0))</f>
        <v/>
      </c>
      <c r="O48" s="1">
        <f>IF(O$5="",0,IF(OR(O15=TRUE,ISTEXT(O15)),N48+1,0))</f>
        <v/>
      </c>
      <c r="P48" s="1">
        <f>IF(P$5="",0,IF(OR(P15=TRUE,ISTEXT(P15)),O48+1,0))</f>
        <v/>
      </c>
      <c r="Q48" s="1">
        <f>IF(Q$5="",0,IF(OR(Q15=TRUE,ISTEXT(Q15)),P48+1,0))</f>
        <v/>
      </c>
      <c r="R48" s="1">
        <f>IF(R$5="",0,IF(OR(R15=TRUE,ISTEXT(R15)),Q48+1,0))</f>
        <v/>
      </c>
      <c r="S48" s="1">
        <f>IF(S$5="",0,IF(OR(S15=TRUE,ISTEXT(S15)),R48+1,0))</f>
        <v/>
      </c>
      <c r="T48" s="1">
        <f>IF(T$5="",0,IF(OR(T15=TRUE,ISTEXT(T15)),S48+1,0))</f>
        <v/>
      </c>
      <c r="U48" s="1">
        <f>IF(U$5="",0,IF(OR(U15=TRUE,ISTEXT(U15)),T48+1,0))</f>
        <v/>
      </c>
      <c r="V48" s="1">
        <f>IF(V$5="",0,IF(OR(V15=TRUE,ISTEXT(V15)),U48+1,0))</f>
        <v/>
      </c>
      <c r="W48" s="1">
        <f>IF(W$5="",0,IF(OR(W15=TRUE,ISTEXT(W15)),V48+1,0))</f>
        <v/>
      </c>
      <c r="X48" s="1">
        <f>IF(X$5="",0,IF(OR(X15=TRUE,ISTEXT(X15)),W48+1,0))</f>
        <v/>
      </c>
      <c r="Y48" s="1">
        <f>IF(Y$5="",0,IF(OR(Y15=TRUE,ISTEXT(Y15)),X48+1,0))</f>
        <v/>
      </c>
      <c r="Z48" s="1">
        <f>IF(Z$5="",0,IF(OR(Z15=TRUE,ISTEXT(Z15)),Y48+1,0))</f>
        <v/>
      </c>
      <c r="AA48" s="1">
        <f>IF(AA$5="",0,IF(OR(AA15=TRUE,ISTEXT(AA15)),Z48+1,0))</f>
        <v/>
      </c>
      <c r="AB48" s="1">
        <f>IF(AB$5="",0,IF(OR(AB15=TRUE,ISTEXT(AB15)),AA48+1,0))</f>
        <v/>
      </c>
      <c r="AC48" s="1">
        <f>IF(AC$5="",0,IF(OR(AC15=TRUE,ISTEXT(AC15)),AB48+1,0))</f>
        <v/>
      </c>
      <c r="AD48" s="1">
        <f>IF(AD$5="",0,IF(OR(AD15=TRUE,ISTEXT(AD15)),AC48+1,0))</f>
        <v/>
      </c>
      <c r="AE48" s="1">
        <f>IF(AE$5="",0,IF(OR(AE15=TRUE,ISTEXT(AE15)),AD48+1,0))</f>
        <v/>
      </c>
      <c r="AF48" s="1">
        <f>IF(AF$5="",0,IF(OR(AF15=TRUE,ISTEXT(AF15)),AE48+1,0))</f>
        <v/>
      </c>
      <c r="AG48" s="1">
        <f>IF(AG$5="",0,IF(OR(AG15=TRUE,ISTEXT(AG15)),AF48+1,0))</f>
        <v/>
      </c>
      <c r="AH48" s="1" t="n"/>
      <c r="AI48" s="1" t="n"/>
      <c r="AJ48" s="1" t="n"/>
      <c r="AK48" s="1" t="n"/>
      <c r="AL48" s="1" t="n"/>
    </row>
    <row r="49" hidden="1">
      <c r="A49" s="1" t="n"/>
      <c r="B49" s="1">
        <f>B16</f>
        <v/>
      </c>
      <c r="C49" s="1">
        <f>IF(C$5="",0,IF(OR(C16=TRUE,ISTEXT(C16)),IFERROR(INDEX(Mar!$C$49:$AG$49,DAY(EOMONTH(DATE(Habits!$C$4,3,1),0))),0)+1,0))</f>
        <v/>
      </c>
      <c r="D49" s="1">
        <f>IF(D$5="",0,IF(OR(D16=TRUE,ISTEXT(D16)),C49+1,0))</f>
        <v/>
      </c>
      <c r="E49" s="1">
        <f>IF(E$5="",0,IF(OR(E16=TRUE,ISTEXT(E16)),D49+1,0))</f>
        <v/>
      </c>
      <c r="F49" s="1">
        <f>IF(F$5="",0,IF(OR(F16=TRUE,ISTEXT(F16)),E49+1,0))</f>
        <v/>
      </c>
      <c r="G49" s="1">
        <f>IF(G$5="",0,IF(OR(G16=TRUE,ISTEXT(G16)),F49+1,0))</f>
        <v/>
      </c>
      <c r="H49" s="1">
        <f>IF(H$5="",0,IF(OR(H16=TRUE,ISTEXT(H16)),G49+1,0))</f>
        <v/>
      </c>
      <c r="I49" s="1">
        <f>IF(I$5="",0,IF(OR(I16=TRUE,ISTEXT(I16)),H49+1,0))</f>
        <v/>
      </c>
      <c r="J49" s="1">
        <f>IF(J$5="",0,IF(OR(J16=TRUE,ISTEXT(J16)),I49+1,0))</f>
        <v/>
      </c>
      <c r="K49" s="1">
        <f>IF(K$5="",0,IF(OR(K16=TRUE,ISTEXT(K16)),J49+1,0))</f>
        <v/>
      </c>
      <c r="L49" s="1">
        <f>IF(L$5="",0,IF(OR(L16=TRUE,ISTEXT(L16)),K49+1,0))</f>
        <v/>
      </c>
      <c r="M49" s="1">
        <f>IF(M$5="",0,IF(OR(M16=TRUE,ISTEXT(M16)),L49+1,0))</f>
        <v/>
      </c>
      <c r="N49" s="1">
        <f>IF(N$5="",0,IF(OR(N16=TRUE,ISTEXT(N16)),M49+1,0))</f>
        <v/>
      </c>
      <c r="O49" s="1">
        <f>IF(O$5="",0,IF(OR(O16=TRUE,ISTEXT(O16)),N49+1,0))</f>
        <v/>
      </c>
      <c r="P49" s="1">
        <f>IF(P$5="",0,IF(OR(P16=TRUE,ISTEXT(P16)),O49+1,0))</f>
        <v/>
      </c>
      <c r="Q49" s="1">
        <f>IF(Q$5="",0,IF(OR(Q16=TRUE,ISTEXT(Q16)),P49+1,0))</f>
        <v/>
      </c>
      <c r="R49" s="1">
        <f>IF(R$5="",0,IF(OR(R16=TRUE,ISTEXT(R16)),Q49+1,0))</f>
        <v/>
      </c>
      <c r="S49" s="1">
        <f>IF(S$5="",0,IF(OR(S16=TRUE,ISTEXT(S16)),R49+1,0))</f>
        <v/>
      </c>
      <c r="T49" s="1">
        <f>IF(T$5="",0,IF(OR(T16=TRUE,ISTEXT(T16)),S49+1,0))</f>
        <v/>
      </c>
      <c r="U49" s="1">
        <f>IF(U$5="",0,IF(OR(U16=TRUE,ISTEXT(U16)),T49+1,0))</f>
        <v/>
      </c>
      <c r="V49" s="1">
        <f>IF(V$5="",0,IF(OR(V16=TRUE,ISTEXT(V16)),U49+1,0))</f>
        <v/>
      </c>
      <c r="W49" s="1">
        <f>IF(W$5="",0,IF(OR(W16=TRUE,ISTEXT(W16)),V49+1,0))</f>
        <v/>
      </c>
      <c r="X49" s="1">
        <f>IF(X$5="",0,IF(OR(X16=TRUE,ISTEXT(X16)),W49+1,0))</f>
        <v/>
      </c>
      <c r="Y49" s="1">
        <f>IF(Y$5="",0,IF(OR(Y16=TRUE,ISTEXT(Y16)),X49+1,0))</f>
        <v/>
      </c>
      <c r="Z49" s="1">
        <f>IF(Z$5="",0,IF(OR(Z16=TRUE,ISTEXT(Z16)),Y49+1,0))</f>
        <v/>
      </c>
      <c r="AA49" s="1">
        <f>IF(AA$5="",0,IF(OR(AA16=TRUE,ISTEXT(AA16)),Z49+1,0))</f>
        <v/>
      </c>
      <c r="AB49" s="1">
        <f>IF(AB$5="",0,IF(OR(AB16=TRUE,ISTEXT(AB16)),AA49+1,0))</f>
        <v/>
      </c>
      <c r="AC49" s="1">
        <f>IF(AC$5="",0,IF(OR(AC16=TRUE,ISTEXT(AC16)),AB49+1,0))</f>
        <v/>
      </c>
      <c r="AD49" s="1">
        <f>IF(AD$5="",0,IF(OR(AD16=TRUE,ISTEXT(AD16)),AC49+1,0))</f>
        <v/>
      </c>
      <c r="AE49" s="1">
        <f>IF(AE$5="",0,IF(OR(AE16=TRUE,ISTEXT(AE16)),AD49+1,0))</f>
        <v/>
      </c>
      <c r="AF49" s="1">
        <f>IF(AF$5="",0,IF(OR(AF16=TRUE,ISTEXT(AF16)),AE49+1,0))</f>
        <v/>
      </c>
      <c r="AG49" s="1">
        <f>IF(AG$5="",0,IF(OR(AG16=TRUE,ISTEXT(AG16)),AF49+1,0))</f>
        <v/>
      </c>
      <c r="AH49" s="1" t="n"/>
      <c r="AI49" s="1" t="n"/>
      <c r="AJ49" s="1" t="n"/>
      <c r="AK49" s="1" t="n"/>
      <c r="AL49" s="1" t="n"/>
    </row>
    <row r="50" hidden="1">
      <c r="A50" s="1" t="n"/>
      <c r="B50" s="1">
        <f>B17</f>
        <v/>
      </c>
      <c r="C50" s="1">
        <f>IF(C$5="",0,IF(OR(C17=TRUE,ISTEXT(C17)),IFERROR(INDEX(Mar!$C$50:$AG$50,DAY(EOMONTH(DATE(Habits!$C$4,3,1),0))),0)+1,0))</f>
        <v/>
      </c>
      <c r="D50" s="1">
        <f>IF(D$5="",0,IF(OR(D17=TRUE,ISTEXT(D17)),C50+1,0))</f>
        <v/>
      </c>
      <c r="E50" s="1">
        <f>IF(E$5="",0,IF(OR(E17=TRUE,ISTEXT(E17)),D50+1,0))</f>
        <v/>
      </c>
      <c r="F50" s="1">
        <f>IF(F$5="",0,IF(OR(F17=TRUE,ISTEXT(F17)),E50+1,0))</f>
        <v/>
      </c>
      <c r="G50" s="1">
        <f>IF(G$5="",0,IF(OR(G17=TRUE,ISTEXT(G17)),F50+1,0))</f>
        <v/>
      </c>
      <c r="H50" s="1">
        <f>IF(H$5="",0,IF(OR(H17=TRUE,ISTEXT(H17)),G50+1,0))</f>
        <v/>
      </c>
      <c r="I50" s="1">
        <f>IF(I$5="",0,IF(OR(I17=TRUE,ISTEXT(I17)),H50+1,0))</f>
        <v/>
      </c>
      <c r="J50" s="1">
        <f>IF(J$5="",0,IF(OR(J17=TRUE,ISTEXT(J17)),I50+1,0))</f>
        <v/>
      </c>
      <c r="K50" s="1">
        <f>IF(K$5="",0,IF(OR(K17=TRUE,ISTEXT(K17)),J50+1,0))</f>
        <v/>
      </c>
      <c r="L50" s="1">
        <f>IF(L$5="",0,IF(OR(L17=TRUE,ISTEXT(L17)),K50+1,0))</f>
        <v/>
      </c>
      <c r="M50" s="1">
        <f>IF(M$5="",0,IF(OR(M17=TRUE,ISTEXT(M17)),L50+1,0))</f>
        <v/>
      </c>
      <c r="N50" s="1">
        <f>IF(N$5="",0,IF(OR(N17=TRUE,ISTEXT(N17)),M50+1,0))</f>
        <v/>
      </c>
      <c r="O50" s="1">
        <f>IF(O$5="",0,IF(OR(O17=TRUE,ISTEXT(O17)),N50+1,0))</f>
        <v/>
      </c>
      <c r="P50" s="1">
        <f>IF(P$5="",0,IF(OR(P17=TRUE,ISTEXT(P17)),O50+1,0))</f>
        <v/>
      </c>
      <c r="Q50" s="1">
        <f>IF(Q$5="",0,IF(OR(Q17=TRUE,ISTEXT(Q17)),P50+1,0))</f>
        <v/>
      </c>
      <c r="R50" s="1">
        <f>IF(R$5="",0,IF(OR(R17=TRUE,ISTEXT(R17)),Q50+1,0))</f>
        <v/>
      </c>
      <c r="S50" s="1">
        <f>IF(S$5="",0,IF(OR(S17=TRUE,ISTEXT(S17)),R50+1,0))</f>
        <v/>
      </c>
      <c r="T50" s="1">
        <f>IF(T$5="",0,IF(OR(T17=TRUE,ISTEXT(T17)),S50+1,0))</f>
        <v/>
      </c>
      <c r="U50" s="1">
        <f>IF(U$5="",0,IF(OR(U17=TRUE,ISTEXT(U17)),T50+1,0))</f>
        <v/>
      </c>
      <c r="V50" s="1">
        <f>IF(V$5="",0,IF(OR(V17=TRUE,ISTEXT(V17)),U50+1,0))</f>
        <v/>
      </c>
      <c r="W50" s="1">
        <f>IF(W$5="",0,IF(OR(W17=TRUE,ISTEXT(W17)),V50+1,0))</f>
        <v/>
      </c>
      <c r="X50" s="1">
        <f>IF(X$5="",0,IF(OR(X17=TRUE,ISTEXT(X17)),W50+1,0))</f>
        <v/>
      </c>
      <c r="Y50" s="1">
        <f>IF(Y$5="",0,IF(OR(Y17=TRUE,ISTEXT(Y17)),X50+1,0))</f>
        <v/>
      </c>
      <c r="Z50" s="1">
        <f>IF(Z$5="",0,IF(OR(Z17=TRUE,ISTEXT(Z17)),Y50+1,0))</f>
        <v/>
      </c>
      <c r="AA50" s="1">
        <f>IF(AA$5="",0,IF(OR(AA17=TRUE,ISTEXT(AA17)),Z50+1,0))</f>
        <v/>
      </c>
      <c r="AB50" s="1">
        <f>IF(AB$5="",0,IF(OR(AB17=TRUE,ISTEXT(AB17)),AA50+1,0))</f>
        <v/>
      </c>
      <c r="AC50" s="1">
        <f>IF(AC$5="",0,IF(OR(AC17=TRUE,ISTEXT(AC17)),AB50+1,0))</f>
        <v/>
      </c>
      <c r="AD50" s="1">
        <f>IF(AD$5="",0,IF(OR(AD17=TRUE,ISTEXT(AD17)),AC50+1,0))</f>
        <v/>
      </c>
      <c r="AE50" s="1">
        <f>IF(AE$5="",0,IF(OR(AE17=TRUE,ISTEXT(AE17)),AD50+1,0))</f>
        <v/>
      </c>
      <c r="AF50" s="1">
        <f>IF(AF$5="",0,IF(OR(AF17=TRUE,ISTEXT(AF17)),AE50+1,0))</f>
        <v/>
      </c>
      <c r="AG50" s="1">
        <f>IF(AG$5="",0,IF(OR(AG17=TRUE,ISTEXT(AG17)),AF50+1,0))</f>
        <v/>
      </c>
      <c r="AH50" s="1" t="n"/>
      <c r="AI50" s="1" t="n"/>
      <c r="AJ50" s="1" t="n"/>
      <c r="AK50" s="1" t="n"/>
      <c r="AL50" s="1" t="n"/>
    </row>
    <row r="51" hidden="1">
      <c r="A51" s="1" t="n"/>
      <c r="B51" s="1">
        <f>B18</f>
        <v/>
      </c>
      <c r="C51" s="1">
        <f>IF(C$5="",0,IF(OR(C18=TRUE,ISTEXT(C18)),IFERROR(INDEX(Mar!$C$51:$AG$51,DAY(EOMONTH(DATE(Habits!$C$4,3,1),0))),0)+1,0))</f>
        <v/>
      </c>
      <c r="D51" s="1">
        <f>IF(D$5="",0,IF(OR(D18=TRUE,ISTEXT(D18)),C51+1,0))</f>
        <v/>
      </c>
      <c r="E51" s="1">
        <f>IF(E$5="",0,IF(OR(E18=TRUE,ISTEXT(E18)),D51+1,0))</f>
        <v/>
      </c>
      <c r="F51" s="1">
        <f>IF(F$5="",0,IF(OR(F18=TRUE,ISTEXT(F18)),E51+1,0))</f>
        <v/>
      </c>
      <c r="G51" s="1">
        <f>IF(G$5="",0,IF(OR(G18=TRUE,ISTEXT(G18)),F51+1,0))</f>
        <v/>
      </c>
      <c r="H51" s="1">
        <f>IF(H$5="",0,IF(OR(H18=TRUE,ISTEXT(H18)),G51+1,0))</f>
        <v/>
      </c>
      <c r="I51" s="1">
        <f>IF(I$5="",0,IF(OR(I18=TRUE,ISTEXT(I18)),H51+1,0))</f>
        <v/>
      </c>
      <c r="J51" s="1">
        <f>IF(J$5="",0,IF(OR(J18=TRUE,ISTEXT(J18)),I51+1,0))</f>
        <v/>
      </c>
      <c r="K51" s="1">
        <f>IF(K$5="",0,IF(OR(K18=TRUE,ISTEXT(K18)),J51+1,0))</f>
        <v/>
      </c>
      <c r="L51" s="1">
        <f>IF(L$5="",0,IF(OR(L18=TRUE,ISTEXT(L18)),K51+1,0))</f>
        <v/>
      </c>
      <c r="M51" s="1">
        <f>IF(M$5="",0,IF(OR(M18=TRUE,ISTEXT(M18)),L51+1,0))</f>
        <v/>
      </c>
      <c r="N51" s="1">
        <f>IF(N$5="",0,IF(OR(N18=TRUE,ISTEXT(N18)),M51+1,0))</f>
        <v/>
      </c>
      <c r="O51" s="1">
        <f>IF(O$5="",0,IF(OR(O18=TRUE,ISTEXT(O18)),N51+1,0))</f>
        <v/>
      </c>
      <c r="P51" s="1">
        <f>IF(P$5="",0,IF(OR(P18=TRUE,ISTEXT(P18)),O51+1,0))</f>
        <v/>
      </c>
      <c r="Q51" s="1">
        <f>IF(Q$5="",0,IF(OR(Q18=TRUE,ISTEXT(Q18)),P51+1,0))</f>
        <v/>
      </c>
      <c r="R51" s="1">
        <f>IF(R$5="",0,IF(OR(R18=TRUE,ISTEXT(R18)),Q51+1,0))</f>
        <v/>
      </c>
      <c r="S51" s="1">
        <f>IF(S$5="",0,IF(OR(S18=TRUE,ISTEXT(S18)),R51+1,0))</f>
        <v/>
      </c>
      <c r="T51" s="1">
        <f>IF(T$5="",0,IF(OR(T18=TRUE,ISTEXT(T18)),S51+1,0))</f>
        <v/>
      </c>
      <c r="U51" s="1">
        <f>IF(U$5="",0,IF(OR(U18=TRUE,ISTEXT(U18)),T51+1,0))</f>
        <v/>
      </c>
      <c r="V51" s="1">
        <f>IF(V$5="",0,IF(OR(V18=TRUE,ISTEXT(V18)),U51+1,0))</f>
        <v/>
      </c>
      <c r="W51" s="1">
        <f>IF(W$5="",0,IF(OR(W18=TRUE,ISTEXT(W18)),V51+1,0))</f>
        <v/>
      </c>
      <c r="X51" s="1">
        <f>IF(X$5="",0,IF(OR(X18=TRUE,ISTEXT(X18)),W51+1,0))</f>
        <v/>
      </c>
      <c r="Y51" s="1">
        <f>IF(Y$5="",0,IF(OR(Y18=TRUE,ISTEXT(Y18)),X51+1,0))</f>
        <v/>
      </c>
      <c r="Z51" s="1">
        <f>IF(Z$5="",0,IF(OR(Z18=TRUE,ISTEXT(Z18)),Y51+1,0))</f>
        <v/>
      </c>
      <c r="AA51" s="1">
        <f>IF(AA$5="",0,IF(OR(AA18=TRUE,ISTEXT(AA18)),Z51+1,0))</f>
        <v/>
      </c>
      <c r="AB51" s="1">
        <f>IF(AB$5="",0,IF(OR(AB18=TRUE,ISTEXT(AB18)),AA51+1,0))</f>
        <v/>
      </c>
      <c r="AC51" s="1">
        <f>IF(AC$5="",0,IF(OR(AC18=TRUE,ISTEXT(AC18)),AB51+1,0))</f>
        <v/>
      </c>
      <c r="AD51" s="1">
        <f>IF(AD$5="",0,IF(OR(AD18=TRUE,ISTEXT(AD18)),AC51+1,0))</f>
        <v/>
      </c>
      <c r="AE51" s="1">
        <f>IF(AE$5="",0,IF(OR(AE18=TRUE,ISTEXT(AE18)),AD51+1,0))</f>
        <v/>
      </c>
      <c r="AF51" s="1">
        <f>IF(AF$5="",0,IF(OR(AF18=TRUE,ISTEXT(AF18)),AE51+1,0))</f>
        <v/>
      </c>
      <c r="AG51" s="1">
        <f>IF(AG$5="",0,IF(OR(AG18=TRUE,ISTEXT(AG18)),AF51+1,0))</f>
        <v/>
      </c>
      <c r="AH51" s="1" t="n"/>
      <c r="AI51" s="1" t="n"/>
      <c r="AJ51" s="1" t="n"/>
      <c r="AK51" s="1" t="n"/>
      <c r="AL51" s="1" t="n"/>
    </row>
    <row r="52" hidden="1">
      <c r="A52" s="1" t="n"/>
      <c r="B52" s="1">
        <f>B19</f>
        <v/>
      </c>
      <c r="C52" s="1">
        <f>IF(C$5="",0,IF(OR(C19=TRUE,ISTEXT(C19)),IFERROR(INDEX(Mar!$C$52:$AG$52,DAY(EOMONTH(DATE(Habits!$C$4,3,1),0))),0)+1,0))</f>
        <v/>
      </c>
      <c r="D52" s="1">
        <f>IF(D$5="",0,IF(OR(D19=TRUE,ISTEXT(D19)),C52+1,0))</f>
        <v/>
      </c>
      <c r="E52" s="1">
        <f>IF(E$5="",0,IF(OR(E19=TRUE,ISTEXT(E19)),D52+1,0))</f>
        <v/>
      </c>
      <c r="F52" s="1">
        <f>IF(F$5="",0,IF(OR(F19=TRUE,ISTEXT(F19)),E52+1,0))</f>
        <v/>
      </c>
      <c r="G52" s="1">
        <f>IF(G$5="",0,IF(OR(G19=TRUE,ISTEXT(G19)),F52+1,0))</f>
        <v/>
      </c>
      <c r="H52" s="1">
        <f>IF(H$5="",0,IF(OR(H19=TRUE,ISTEXT(H19)),G52+1,0))</f>
        <v/>
      </c>
      <c r="I52" s="1">
        <f>IF(I$5="",0,IF(OR(I19=TRUE,ISTEXT(I19)),H52+1,0))</f>
        <v/>
      </c>
      <c r="J52" s="1">
        <f>IF(J$5="",0,IF(OR(J19=TRUE,ISTEXT(J19)),I52+1,0))</f>
        <v/>
      </c>
      <c r="K52" s="1">
        <f>IF(K$5="",0,IF(OR(K19=TRUE,ISTEXT(K19)),J52+1,0))</f>
        <v/>
      </c>
      <c r="L52" s="1">
        <f>IF(L$5="",0,IF(OR(L19=TRUE,ISTEXT(L19)),K52+1,0))</f>
        <v/>
      </c>
      <c r="M52" s="1">
        <f>IF(M$5="",0,IF(OR(M19=TRUE,ISTEXT(M19)),L52+1,0))</f>
        <v/>
      </c>
      <c r="N52" s="1">
        <f>IF(N$5="",0,IF(OR(N19=TRUE,ISTEXT(N19)),M52+1,0))</f>
        <v/>
      </c>
      <c r="O52" s="1">
        <f>IF(O$5="",0,IF(OR(O19=TRUE,ISTEXT(O19)),N52+1,0))</f>
        <v/>
      </c>
      <c r="P52" s="1">
        <f>IF(P$5="",0,IF(OR(P19=TRUE,ISTEXT(P19)),O52+1,0))</f>
        <v/>
      </c>
      <c r="Q52" s="1">
        <f>IF(Q$5="",0,IF(OR(Q19=TRUE,ISTEXT(Q19)),P52+1,0))</f>
        <v/>
      </c>
      <c r="R52" s="1">
        <f>IF(R$5="",0,IF(OR(R19=TRUE,ISTEXT(R19)),Q52+1,0))</f>
        <v/>
      </c>
      <c r="S52" s="1">
        <f>IF(S$5="",0,IF(OR(S19=TRUE,ISTEXT(S19)),R52+1,0))</f>
        <v/>
      </c>
      <c r="T52" s="1">
        <f>IF(T$5="",0,IF(OR(T19=TRUE,ISTEXT(T19)),S52+1,0))</f>
        <v/>
      </c>
      <c r="U52" s="1">
        <f>IF(U$5="",0,IF(OR(U19=TRUE,ISTEXT(U19)),T52+1,0))</f>
        <v/>
      </c>
      <c r="V52" s="1">
        <f>IF(V$5="",0,IF(OR(V19=TRUE,ISTEXT(V19)),U52+1,0))</f>
        <v/>
      </c>
      <c r="W52" s="1">
        <f>IF(W$5="",0,IF(OR(W19=TRUE,ISTEXT(W19)),V52+1,0))</f>
        <v/>
      </c>
      <c r="X52" s="1">
        <f>IF(X$5="",0,IF(OR(X19=TRUE,ISTEXT(X19)),W52+1,0))</f>
        <v/>
      </c>
      <c r="Y52" s="1">
        <f>IF(Y$5="",0,IF(OR(Y19=TRUE,ISTEXT(Y19)),X52+1,0))</f>
        <v/>
      </c>
      <c r="Z52" s="1">
        <f>IF(Z$5="",0,IF(OR(Z19=TRUE,ISTEXT(Z19)),Y52+1,0))</f>
        <v/>
      </c>
      <c r="AA52" s="1">
        <f>IF(AA$5="",0,IF(OR(AA19=TRUE,ISTEXT(AA19)),Z52+1,0))</f>
        <v/>
      </c>
      <c r="AB52" s="1">
        <f>IF(AB$5="",0,IF(OR(AB19=TRUE,ISTEXT(AB19)),AA52+1,0))</f>
        <v/>
      </c>
      <c r="AC52" s="1">
        <f>IF(AC$5="",0,IF(OR(AC19=TRUE,ISTEXT(AC19)),AB52+1,0))</f>
        <v/>
      </c>
      <c r="AD52" s="1">
        <f>IF(AD$5="",0,IF(OR(AD19=TRUE,ISTEXT(AD19)),AC52+1,0))</f>
        <v/>
      </c>
      <c r="AE52" s="1">
        <f>IF(AE$5="",0,IF(OR(AE19=TRUE,ISTEXT(AE19)),AD52+1,0))</f>
        <v/>
      </c>
      <c r="AF52" s="1">
        <f>IF(AF$5="",0,IF(OR(AF19=TRUE,ISTEXT(AF19)),AE52+1,0))</f>
        <v/>
      </c>
      <c r="AG52" s="1">
        <f>IF(AG$5="",0,IF(OR(AG19=TRUE,ISTEXT(AG19)),AF52+1,0))</f>
        <v/>
      </c>
      <c r="AH52" s="1" t="n"/>
      <c r="AI52" s="1" t="n"/>
      <c r="AJ52" s="1" t="n"/>
      <c r="AK52" s="1" t="n"/>
      <c r="AL52" s="1" t="n"/>
    </row>
    <row r="53" hidden="1">
      <c r="A53" s="1" t="n"/>
      <c r="B53" s="1">
        <f>B20</f>
        <v/>
      </c>
      <c r="C53" s="1">
        <f>IF(C$5="",0,IF(OR(C20=TRUE,ISTEXT(C20)),IFERROR(INDEX(Mar!$C$53:$AG$53,DAY(EOMONTH(DATE(Habits!$C$4,3,1),0))),0)+1,0))</f>
        <v/>
      </c>
      <c r="D53" s="1">
        <f>IF(D$5="",0,IF(OR(D20=TRUE,ISTEXT(D20)),C53+1,0))</f>
        <v/>
      </c>
      <c r="E53" s="1">
        <f>IF(E$5="",0,IF(OR(E20=TRUE,ISTEXT(E20)),D53+1,0))</f>
        <v/>
      </c>
      <c r="F53" s="1">
        <f>IF(F$5="",0,IF(OR(F20=TRUE,ISTEXT(F20)),E53+1,0))</f>
        <v/>
      </c>
      <c r="G53" s="1">
        <f>IF(G$5="",0,IF(OR(G20=TRUE,ISTEXT(G20)),F53+1,0))</f>
        <v/>
      </c>
      <c r="H53" s="1">
        <f>IF(H$5="",0,IF(OR(H20=TRUE,ISTEXT(H20)),G53+1,0))</f>
        <v/>
      </c>
      <c r="I53" s="1">
        <f>IF(I$5="",0,IF(OR(I20=TRUE,ISTEXT(I20)),H53+1,0))</f>
        <v/>
      </c>
      <c r="J53" s="1">
        <f>IF(J$5="",0,IF(OR(J20=TRUE,ISTEXT(J20)),I53+1,0))</f>
        <v/>
      </c>
      <c r="K53" s="1">
        <f>IF(K$5="",0,IF(OR(K20=TRUE,ISTEXT(K20)),J53+1,0))</f>
        <v/>
      </c>
      <c r="L53" s="1">
        <f>IF(L$5="",0,IF(OR(L20=TRUE,ISTEXT(L20)),K53+1,0))</f>
        <v/>
      </c>
      <c r="M53" s="1">
        <f>IF(M$5="",0,IF(OR(M20=TRUE,ISTEXT(M20)),L53+1,0))</f>
        <v/>
      </c>
      <c r="N53" s="1">
        <f>IF(N$5="",0,IF(OR(N20=TRUE,ISTEXT(N20)),M53+1,0))</f>
        <v/>
      </c>
      <c r="O53" s="1">
        <f>IF(O$5="",0,IF(OR(O20=TRUE,ISTEXT(O20)),N53+1,0))</f>
        <v/>
      </c>
      <c r="P53" s="1">
        <f>IF(P$5="",0,IF(OR(P20=TRUE,ISTEXT(P20)),O53+1,0))</f>
        <v/>
      </c>
      <c r="Q53" s="1">
        <f>IF(Q$5="",0,IF(OR(Q20=TRUE,ISTEXT(Q20)),P53+1,0))</f>
        <v/>
      </c>
      <c r="R53" s="1">
        <f>IF(R$5="",0,IF(OR(R20=TRUE,ISTEXT(R20)),Q53+1,0))</f>
        <v/>
      </c>
      <c r="S53" s="1">
        <f>IF(S$5="",0,IF(OR(S20=TRUE,ISTEXT(S20)),R53+1,0))</f>
        <v/>
      </c>
      <c r="T53" s="1">
        <f>IF(T$5="",0,IF(OR(T20=TRUE,ISTEXT(T20)),S53+1,0))</f>
        <v/>
      </c>
      <c r="U53" s="1">
        <f>IF(U$5="",0,IF(OR(U20=TRUE,ISTEXT(U20)),T53+1,0))</f>
        <v/>
      </c>
      <c r="V53" s="1">
        <f>IF(V$5="",0,IF(OR(V20=TRUE,ISTEXT(V20)),U53+1,0))</f>
        <v/>
      </c>
      <c r="W53" s="1">
        <f>IF(W$5="",0,IF(OR(W20=TRUE,ISTEXT(W20)),V53+1,0))</f>
        <v/>
      </c>
      <c r="X53" s="1">
        <f>IF(X$5="",0,IF(OR(X20=TRUE,ISTEXT(X20)),W53+1,0))</f>
        <v/>
      </c>
      <c r="Y53" s="1">
        <f>IF(Y$5="",0,IF(OR(Y20=TRUE,ISTEXT(Y20)),X53+1,0))</f>
        <v/>
      </c>
      <c r="Z53" s="1">
        <f>IF(Z$5="",0,IF(OR(Z20=TRUE,ISTEXT(Z20)),Y53+1,0))</f>
        <v/>
      </c>
      <c r="AA53" s="1">
        <f>IF(AA$5="",0,IF(OR(AA20=TRUE,ISTEXT(AA20)),Z53+1,0))</f>
        <v/>
      </c>
      <c r="AB53" s="1">
        <f>IF(AB$5="",0,IF(OR(AB20=TRUE,ISTEXT(AB20)),AA53+1,0))</f>
        <v/>
      </c>
      <c r="AC53" s="1">
        <f>IF(AC$5="",0,IF(OR(AC20=TRUE,ISTEXT(AC20)),AB53+1,0))</f>
        <v/>
      </c>
      <c r="AD53" s="1">
        <f>IF(AD$5="",0,IF(OR(AD20=TRUE,ISTEXT(AD20)),AC53+1,0))</f>
        <v/>
      </c>
      <c r="AE53" s="1">
        <f>IF(AE$5="",0,IF(OR(AE20=TRUE,ISTEXT(AE20)),AD53+1,0))</f>
        <v/>
      </c>
      <c r="AF53" s="1">
        <f>IF(AF$5="",0,IF(OR(AF20=TRUE,ISTEXT(AF20)),AE53+1,0))</f>
        <v/>
      </c>
      <c r="AG53" s="1">
        <f>IF(AG$5="",0,IF(OR(AG20=TRUE,ISTEXT(AG20)),AF53+1,0))</f>
        <v/>
      </c>
      <c r="AH53" s="1" t="n"/>
      <c r="AI53" s="1" t="n"/>
      <c r="AJ53" s="1" t="n"/>
      <c r="AK53" s="1" t="n"/>
      <c r="AL53" s="1" t="n"/>
    </row>
    <row r="54" hidden="1">
      <c r="A54" s="1" t="n"/>
      <c r="B54" s="1">
        <f>B21</f>
        <v/>
      </c>
      <c r="C54" s="1">
        <f>IF(C$5="",0,IF(OR(C21=TRUE,ISTEXT(C21)),IFERROR(INDEX(Mar!$C$54:$AG$54,DAY(EOMONTH(DATE(Habits!$C$4,3,1),0))),0)+1,0))</f>
        <v/>
      </c>
      <c r="D54" s="1">
        <f>IF(D$5="",0,IF(OR(D21=TRUE,ISTEXT(D21)),C54+1,0))</f>
        <v/>
      </c>
      <c r="E54" s="1">
        <f>IF(E$5="",0,IF(OR(E21=TRUE,ISTEXT(E21)),D54+1,0))</f>
        <v/>
      </c>
      <c r="F54" s="1">
        <f>IF(F$5="",0,IF(OR(F21=TRUE,ISTEXT(F21)),E54+1,0))</f>
        <v/>
      </c>
      <c r="G54" s="1">
        <f>IF(G$5="",0,IF(OR(G21=TRUE,ISTEXT(G21)),F54+1,0))</f>
        <v/>
      </c>
      <c r="H54" s="1">
        <f>IF(H$5="",0,IF(OR(H21=TRUE,ISTEXT(H21)),G54+1,0))</f>
        <v/>
      </c>
      <c r="I54" s="1">
        <f>IF(I$5="",0,IF(OR(I21=TRUE,ISTEXT(I21)),H54+1,0))</f>
        <v/>
      </c>
      <c r="J54" s="1">
        <f>IF(J$5="",0,IF(OR(J21=TRUE,ISTEXT(J21)),I54+1,0))</f>
        <v/>
      </c>
      <c r="K54" s="1">
        <f>IF(K$5="",0,IF(OR(K21=TRUE,ISTEXT(K21)),J54+1,0))</f>
        <v/>
      </c>
      <c r="L54" s="1">
        <f>IF(L$5="",0,IF(OR(L21=TRUE,ISTEXT(L21)),K54+1,0))</f>
        <v/>
      </c>
      <c r="M54" s="1">
        <f>IF(M$5="",0,IF(OR(M21=TRUE,ISTEXT(M21)),L54+1,0))</f>
        <v/>
      </c>
      <c r="N54" s="1">
        <f>IF(N$5="",0,IF(OR(N21=TRUE,ISTEXT(N21)),M54+1,0))</f>
        <v/>
      </c>
      <c r="O54" s="1">
        <f>IF(O$5="",0,IF(OR(O21=TRUE,ISTEXT(O21)),N54+1,0))</f>
        <v/>
      </c>
      <c r="P54" s="1">
        <f>IF(P$5="",0,IF(OR(P21=TRUE,ISTEXT(P21)),O54+1,0))</f>
        <v/>
      </c>
      <c r="Q54" s="1">
        <f>IF(Q$5="",0,IF(OR(Q21=TRUE,ISTEXT(Q21)),P54+1,0))</f>
        <v/>
      </c>
      <c r="R54" s="1">
        <f>IF(R$5="",0,IF(OR(R21=TRUE,ISTEXT(R21)),Q54+1,0))</f>
        <v/>
      </c>
      <c r="S54" s="1">
        <f>IF(S$5="",0,IF(OR(S21=TRUE,ISTEXT(S21)),R54+1,0))</f>
        <v/>
      </c>
      <c r="T54" s="1">
        <f>IF(T$5="",0,IF(OR(T21=TRUE,ISTEXT(T21)),S54+1,0))</f>
        <v/>
      </c>
      <c r="U54" s="1">
        <f>IF(U$5="",0,IF(OR(U21=TRUE,ISTEXT(U21)),T54+1,0))</f>
        <v/>
      </c>
      <c r="V54" s="1">
        <f>IF(V$5="",0,IF(OR(V21=TRUE,ISTEXT(V21)),U54+1,0))</f>
        <v/>
      </c>
      <c r="W54" s="1">
        <f>IF(W$5="",0,IF(OR(W21=TRUE,ISTEXT(W21)),V54+1,0))</f>
        <v/>
      </c>
      <c r="X54" s="1">
        <f>IF(X$5="",0,IF(OR(X21=TRUE,ISTEXT(X21)),W54+1,0))</f>
        <v/>
      </c>
      <c r="Y54" s="1">
        <f>IF(Y$5="",0,IF(OR(Y21=TRUE,ISTEXT(Y21)),X54+1,0))</f>
        <v/>
      </c>
      <c r="Z54" s="1">
        <f>IF(Z$5="",0,IF(OR(Z21=TRUE,ISTEXT(Z21)),Y54+1,0))</f>
        <v/>
      </c>
      <c r="AA54" s="1">
        <f>IF(AA$5="",0,IF(OR(AA21=TRUE,ISTEXT(AA21)),Z54+1,0))</f>
        <v/>
      </c>
      <c r="AB54" s="1">
        <f>IF(AB$5="",0,IF(OR(AB21=TRUE,ISTEXT(AB21)),AA54+1,0))</f>
        <v/>
      </c>
      <c r="AC54" s="1">
        <f>IF(AC$5="",0,IF(OR(AC21=TRUE,ISTEXT(AC21)),AB54+1,0))</f>
        <v/>
      </c>
      <c r="AD54" s="1">
        <f>IF(AD$5="",0,IF(OR(AD21=TRUE,ISTEXT(AD21)),AC54+1,0))</f>
        <v/>
      </c>
      <c r="AE54" s="1">
        <f>IF(AE$5="",0,IF(OR(AE21=TRUE,ISTEXT(AE21)),AD54+1,0))</f>
        <v/>
      </c>
      <c r="AF54" s="1">
        <f>IF(AF$5="",0,IF(OR(AF21=TRUE,ISTEXT(AF21)),AE54+1,0))</f>
        <v/>
      </c>
      <c r="AG54" s="1">
        <f>IF(AG$5="",0,IF(OR(AG21=TRUE,ISTEXT(AG21)),AF54+1,0))</f>
        <v/>
      </c>
      <c r="AH54" s="1" t="n"/>
      <c r="AI54" s="1" t="n"/>
      <c r="AJ54" s="1" t="n"/>
      <c r="AK54" s="1" t="n"/>
      <c r="A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</sheetData>
  <mergeCells count="2">
    <mergeCell ref="AH24:AI24"/>
    <mergeCell ref="AH23:AI23"/>
  </mergeCells>
  <conditionalFormatting sqref="C7:AG24">
    <cfRule type="expression" priority="1" dxfId="12">
      <formula>C$5=""</formula>
    </cfRule>
  </conditionalFormatting>
  <conditionalFormatting sqref="C7:AG21">
    <cfRule type="expression" priority="2" dxfId="13">
      <formula>AND($B7&lt;&gt;"",OR(C7=TRUE,ISTEXT(C7)))</formula>
    </cfRule>
    <cfRule type="expression" priority="3" dxfId="14">
      <formula>$B7=""</formula>
    </cfRule>
  </conditionalFormatting>
  <conditionalFormatting sqref="C23:AG23">
    <cfRule type="expression" priority="4" dxfId="1">
      <formula>C23=5</formula>
    </cfRule>
    <cfRule type="expression" priority="5" dxfId="2">
      <formula>C23=4</formula>
    </cfRule>
    <cfRule type="expression" priority="6" dxfId="3">
      <formula>C23=3</formula>
    </cfRule>
    <cfRule type="expression" priority="7" dxfId="4">
      <formula>C23=2</formula>
    </cfRule>
    <cfRule type="expression" priority="8" dxfId="5">
      <formula>C23=1</formula>
    </cfRule>
  </conditionalFormatting>
  <conditionalFormatting sqref="C5:AG5">
    <cfRule type="expression" priority="9" dxfId="15">
      <formula>AND(C$5&lt;&gt;"",DATE(Habits!$C$4,4,C$5)=TODAY())</formula>
    </cfRule>
  </conditionalFormatting>
  <conditionalFormatting sqref="AI7:AI21">
    <cfRule type="colorScale" priority="10">
      <colorScale>
        <cfvo type="num" val="0"/>
        <cfvo type="num" val="1"/>
        <color rgb="00FFFFFF"/>
        <color rgb="008CC5A8"/>
      </colorScale>
    </cfRule>
  </conditionalFormatting>
  <dataValidations count="1">
    <dataValidation sqref="C23:AG2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L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7" customWidth="1" min="34" max="34"/>
    <col width="7" customWidth="1" min="35" max="35"/>
    <col width="8" customWidth="1" min="36" max="36"/>
    <col width="8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>
        <f>"May "&amp;Habits!$C$4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Type x on each day you did a habit. Mood from 1 to 5, sleep in hours.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30" customHeight="1">
      <c r="A5" s="1" t="n"/>
      <c r="B5" s="28" t="inlineStr">
        <is>
          <t>Habit</t>
        </is>
      </c>
      <c r="C5" s="29">
        <f>IF(1&lt;=DAY(EOMONTH(DATE(Habits!$C$4,5,1),0)),1,"")</f>
        <v/>
      </c>
      <c r="D5" s="29">
        <f>IF(2&lt;=DAY(EOMONTH(DATE(Habits!$C$4,5,1),0)),2,"")</f>
        <v/>
      </c>
      <c r="E5" s="29">
        <f>IF(3&lt;=DAY(EOMONTH(DATE(Habits!$C$4,5,1),0)),3,"")</f>
        <v/>
      </c>
      <c r="F5" s="29">
        <f>IF(4&lt;=DAY(EOMONTH(DATE(Habits!$C$4,5,1),0)),4,"")</f>
        <v/>
      </c>
      <c r="G5" s="29">
        <f>IF(5&lt;=DAY(EOMONTH(DATE(Habits!$C$4,5,1),0)),5,"")</f>
        <v/>
      </c>
      <c r="H5" s="29">
        <f>IF(6&lt;=DAY(EOMONTH(DATE(Habits!$C$4,5,1),0)),6,"")</f>
        <v/>
      </c>
      <c r="I5" s="29">
        <f>IF(7&lt;=DAY(EOMONTH(DATE(Habits!$C$4,5,1),0)),7,"")</f>
        <v/>
      </c>
      <c r="J5" s="29">
        <f>IF(8&lt;=DAY(EOMONTH(DATE(Habits!$C$4,5,1),0)),8,"")</f>
        <v/>
      </c>
      <c r="K5" s="29">
        <f>IF(9&lt;=DAY(EOMONTH(DATE(Habits!$C$4,5,1),0)),9,"")</f>
        <v/>
      </c>
      <c r="L5" s="29">
        <f>IF(10&lt;=DAY(EOMONTH(DATE(Habits!$C$4,5,1),0)),10,"")</f>
        <v/>
      </c>
      <c r="M5" s="29">
        <f>IF(11&lt;=DAY(EOMONTH(DATE(Habits!$C$4,5,1),0)),11,"")</f>
        <v/>
      </c>
      <c r="N5" s="29">
        <f>IF(12&lt;=DAY(EOMONTH(DATE(Habits!$C$4,5,1),0)),12,"")</f>
        <v/>
      </c>
      <c r="O5" s="29">
        <f>IF(13&lt;=DAY(EOMONTH(DATE(Habits!$C$4,5,1),0)),13,"")</f>
        <v/>
      </c>
      <c r="P5" s="29">
        <f>IF(14&lt;=DAY(EOMONTH(DATE(Habits!$C$4,5,1),0)),14,"")</f>
        <v/>
      </c>
      <c r="Q5" s="29">
        <f>IF(15&lt;=DAY(EOMONTH(DATE(Habits!$C$4,5,1),0)),15,"")</f>
        <v/>
      </c>
      <c r="R5" s="29">
        <f>IF(16&lt;=DAY(EOMONTH(DATE(Habits!$C$4,5,1),0)),16,"")</f>
        <v/>
      </c>
      <c r="S5" s="29">
        <f>IF(17&lt;=DAY(EOMONTH(DATE(Habits!$C$4,5,1),0)),17,"")</f>
        <v/>
      </c>
      <c r="T5" s="29">
        <f>IF(18&lt;=DAY(EOMONTH(DATE(Habits!$C$4,5,1),0)),18,"")</f>
        <v/>
      </c>
      <c r="U5" s="29">
        <f>IF(19&lt;=DAY(EOMONTH(DATE(Habits!$C$4,5,1),0)),19,"")</f>
        <v/>
      </c>
      <c r="V5" s="29">
        <f>IF(20&lt;=DAY(EOMONTH(DATE(Habits!$C$4,5,1),0)),20,"")</f>
        <v/>
      </c>
      <c r="W5" s="29">
        <f>IF(21&lt;=DAY(EOMONTH(DATE(Habits!$C$4,5,1),0)),21,"")</f>
        <v/>
      </c>
      <c r="X5" s="29">
        <f>IF(22&lt;=DAY(EOMONTH(DATE(Habits!$C$4,5,1),0)),22,"")</f>
        <v/>
      </c>
      <c r="Y5" s="29">
        <f>IF(23&lt;=DAY(EOMONTH(DATE(Habits!$C$4,5,1),0)),23,"")</f>
        <v/>
      </c>
      <c r="Z5" s="29">
        <f>IF(24&lt;=DAY(EOMONTH(DATE(Habits!$C$4,5,1),0)),24,"")</f>
        <v/>
      </c>
      <c r="AA5" s="29">
        <f>IF(25&lt;=DAY(EOMONTH(DATE(Habits!$C$4,5,1),0)),25,"")</f>
        <v/>
      </c>
      <c r="AB5" s="29">
        <f>IF(26&lt;=DAY(EOMONTH(DATE(Habits!$C$4,5,1),0)),26,"")</f>
        <v/>
      </c>
      <c r="AC5" s="29">
        <f>IF(27&lt;=DAY(EOMONTH(DATE(Habits!$C$4,5,1),0)),27,"")</f>
        <v/>
      </c>
      <c r="AD5" s="29">
        <f>IF(28&lt;=DAY(EOMONTH(DATE(Habits!$C$4,5,1),0)),28,"")</f>
        <v/>
      </c>
      <c r="AE5" s="29">
        <f>IF(29&lt;=DAY(EOMONTH(DATE(Habits!$C$4,5,1),0)),29,"")</f>
        <v/>
      </c>
      <c r="AF5" s="29">
        <f>IF(30&lt;=DAY(EOMONTH(DATE(Habits!$C$4,5,1),0)),30,"")</f>
        <v/>
      </c>
      <c r="AG5" s="29">
        <f>IF(31&lt;=DAY(EOMONTH(DATE(Habits!$C$4,5,1),0)),31,"")</f>
        <v/>
      </c>
      <c r="AH5" s="30" t="inlineStr">
        <is>
          <t>Done</t>
        </is>
      </c>
      <c r="AI5" s="30" t="inlineStr">
        <is>
          <t>Share</t>
        </is>
      </c>
      <c r="AJ5" s="30" t="inlineStr">
        <is>
          <t>Streak now</t>
        </is>
      </c>
      <c r="AK5" s="30" t="inlineStr">
        <is>
          <t>Best streak</t>
        </is>
      </c>
      <c r="AL5" s="1" t="n"/>
    </row>
    <row r="6">
      <c r="A6" s="1" t="n"/>
      <c r="B6" s="1" t="n"/>
      <c r="C6" s="31">
        <f>IF(C$5="","",CHOOSE(WEEKDAY(DATE(Habits!$C$4,5,1),2),"M","T","W","T","F","S","S"))</f>
        <v/>
      </c>
      <c r="D6" s="31">
        <f>IF(D$5="","",CHOOSE(WEEKDAY(DATE(Habits!$C$4,5,2),2),"M","T","W","T","F","S","S"))</f>
        <v/>
      </c>
      <c r="E6" s="31">
        <f>IF(E$5="","",CHOOSE(WEEKDAY(DATE(Habits!$C$4,5,3),2),"M","T","W","T","F","S","S"))</f>
        <v/>
      </c>
      <c r="F6" s="31">
        <f>IF(F$5="","",CHOOSE(WEEKDAY(DATE(Habits!$C$4,5,4),2),"M","T","W","T","F","S","S"))</f>
        <v/>
      </c>
      <c r="G6" s="31">
        <f>IF(G$5="","",CHOOSE(WEEKDAY(DATE(Habits!$C$4,5,5),2),"M","T","W","T","F","S","S"))</f>
        <v/>
      </c>
      <c r="H6" s="31">
        <f>IF(H$5="","",CHOOSE(WEEKDAY(DATE(Habits!$C$4,5,6),2),"M","T","W","T","F","S","S"))</f>
        <v/>
      </c>
      <c r="I6" s="31">
        <f>IF(I$5="","",CHOOSE(WEEKDAY(DATE(Habits!$C$4,5,7),2),"M","T","W","T","F","S","S"))</f>
        <v/>
      </c>
      <c r="J6" s="31">
        <f>IF(J$5="","",CHOOSE(WEEKDAY(DATE(Habits!$C$4,5,8),2),"M","T","W","T","F","S","S"))</f>
        <v/>
      </c>
      <c r="K6" s="31">
        <f>IF(K$5="","",CHOOSE(WEEKDAY(DATE(Habits!$C$4,5,9),2),"M","T","W","T","F","S","S"))</f>
        <v/>
      </c>
      <c r="L6" s="31">
        <f>IF(L$5="","",CHOOSE(WEEKDAY(DATE(Habits!$C$4,5,10),2),"M","T","W","T","F","S","S"))</f>
        <v/>
      </c>
      <c r="M6" s="31">
        <f>IF(M$5="","",CHOOSE(WEEKDAY(DATE(Habits!$C$4,5,11),2),"M","T","W","T","F","S","S"))</f>
        <v/>
      </c>
      <c r="N6" s="31">
        <f>IF(N$5="","",CHOOSE(WEEKDAY(DATE(Habits!$C$4,5,12),2),"M","T","W","T","F","S","S"))</f>
        <v/>
      </c>
      <c r="O6" s="31">
        <f>IF(O$5="","",CHOOSE(WEEKDAY(DATE(Habits!$C$4,5,13),2),"M","T","W","T","F","S","S"))</f>
        <v/>
      </c>
      <c r="P6" s="31">
        <f>IF(P$5="","",CHOOSE(WEEKDAY(DATE(Habits!$C$4,5,14),2),"M","T","W","T","F","S","S"))</f>
        <v/>
      </c>
      <c r="Q6" s="31">
        <f>IF(Q$5="","",CHOOSE(WEEKDAY(DATE(Habits!$C$4,5,15),2),"M","T","W","T","F","S","S"))</f>
        <v/>
      </c>
      <c r="R6" s="31">
        <f>IF(R$5="","",CHOOSE(WEEKDAY(DATE(Habits!$C$4,5,16),2),"M","T","W","T","F","S","S"))</f>
        <v/>
      </c>
      <c r="S6" s="31">
        <f>IF(S$5="","",CHOOSE(WEEKDAY(DATE(Habits!$C$4,5,17),2),"M","T","W","T","F","S","S"))</f>
        <v/>
      </c>
      <c r="T6" s="31">
        <f>IF(T$5="","",CHOOSE(WEEKDAY(DATE(Habits!$C$4,5,18),2),"M","T","W","T","F","S","S"))</f>
        <v/>
      </c>
      <c r="U6" s="31">
        <f>IF(U$5="","",CHOOSE(WEEKDAY(DATE(Habits!$C$4,5,19),2),"M","T","W","T","F","S","S"))</f>
        <v/>
      </c>
      <c r="V6" s="31">
        <f>IF(V$5="","",CHOOSE(WEEKDAY(DATE(Habits!$C$4,5,20),2),"M","T","W","T","F","S","S"))</f>
        <v/>
      </c>
      <c r="W6" s="31">
        <f>IF(W$5="","",CHOOSE(WEEKDAY(DATE(Habits!$C$4,5,21),2),"M","T","W","T","F","S","S"))</f>
        <v/>
      </c>
      <c r="X6" s="31">
        <f>IF(X$5="","",CHOOSE(WEEKDAY(DATE(Habits!$C$4,5,22),2),"M","T","W","T","F","S","S"))</f>
        <v/>
      </c>
      <c r="Y6" s="31">
        <f>IF(Y$5="","",CHOOSE(WEEKDAY(DATE(Habits!$C$4,5,23),2),"M","T","W","T","F","S","S"))</f>
        <v/>
      </c>
      <c r="Z6" s="31">
        <f>IF(Z$5="","",CHOOSE(WEEKDAY(DATE(Habits!$C$4,5,24),2),"M","T","W","T","F","S","S"))</f>
        <v/>
      </c>
      <c r="AA6" s="31">
        <f>IF(AA$5="","",CHOOSE(WEEKDAY(DATE(Habits!$C$4,5,25),2),"M","T","W","T","F","S","S"))</f>
        <v/>
      </c>
      <c r="AB6" s="31">
        <f>IF(AB$5="","",CHOOSE(WEEKDAY(DATE(Habits!$C$4,5,26),2),"M","T","W","T","F","S","S"))</f>
        <v/>
      </c>
      <c r="AC6" s="31">
        <f>IF(AC$5="","",CHOOSE(WEEKDAY(DATE(Habits!$C$4,5,27),2),"M","T","W","T","F","S","S"))</f>
        <v/>
      </c>
      <c r="AD6" s="31">
        <f>IF(AD$5="","",CHOOSE(WEEKDAY(DATE(Habits!$C$4,5,28),2),"M","T","W","T","F","S","S"))</f>
        <v/>
      </c>
      <c r="AE6" s="31">
        <f>IF(AE$5="","",CHOOSE(WEEKDAY(DATE(Habits!$C$4,5,29),2),"M","T","W","T","F","S","S"))</f>
        <v/>
      </c>
      <c r="AF6" s="31">
        <f>IF(AF$5="","",CHOOSE(WEEKDAY(DATE(Habits!$C$4,5,30),2),"M","T","W","T","F","S","S"))</f>
        <v/>
      </c>
      <c r="AG6" s="31">
        <f>IF(AG$5="","",CHOOSE(WEEKDAY(DATE(Habits!$C$4,5,31),2),"M","T","W","T","F","S","S"))</f>
        <v/>
      </c>
      <c r="AH6" s="1" t="n"/>
      <c r="AI6" s="1" t="n"/>
      <c r="AJ6" s="1" t="n"/>
      <c r="AK6" s="1" t="n"/>
      <c r="AL6" s="1" t="n"/>
    </row>
    <row r="7">
      <c r="A7" s="1" t="n"/>
      <c r="B7" s="32">
        <f>IF(Habits!B8="","",Habits!B8)</f>
        <v/>
      </c>
      <c r="C7" s="33" t="inlineStr">
        <is>
          <t>x</t>
        </is>
      </c>
      <c r="D7" s="33" t="inlineStr">
        <is>
          <t>x</t>
        </is>
      </c>
      <c r="E7" s="33" t="inlineStr">
        <is>
          <t>x</t>
        </is>
      </c>
      <c r="F7" s="33" t="inlineStr">
        <is>
          <t>x</t>
        </is>
      </c>
      <c r="G7" s="33" t="inlineStr">
        <is>
          <t>x</t>
        </is>
      </c>
      <c r="H7" s="33" t="inlineStr">
        <is>
          <t>x</t>
        </is>
      </c>
      <c r="I7" s="33" t="inlineStr">
        <is>
          <t>x</t>
        </is>
      </c>
      <c r="J7" s="33" t="inlineStr">
        <is>
          <t>x</t>
        </is>
      </c>
      <c r="K7" s="33" t="inlineStr">
        <is>
          <t>x</t>
        </is>
      </c>
      <c r="L7" s="33" t="inlineStr">
        <is>
          <t>x</t>
        </is>
      </c>
      <c r="M7" s="33" t="inlineStr">
        <is>
          <t>x</t>
        </is>
      </c>
      <c r="N7" s="33" t="inlineStr">
        <is>
          <t>x</t>
        </is>
      </c>
      <c r="O7" s="33" t="inlineStr">
        <is>
          <t>x</t>
        </is>
      </c>
      <c r="P7" s="33" t="inlineStr">
        <is>
          <t>x</t>
        </is>
      </c>
      <c r="Q7" s="33" t="inlineStr">
        <is>
          <t>x</t>
        </is>
      </c>
      <c r="R7" s="33" t="inlineStr">
        <is>
          <t>x</t>
        </is>
      </c>
      <c r="S7" s="33" t="inlineStr">
        <is>
          <t>x</t>
        </is>
      </c>
      <c r="T7" s="33" t="inlineStr">
        <is>
          <t>x</t>
        </is>
      </c>
      <c r="U7" s="33" t="inlineStr">
        <is>
          <t>x</t>
        </is>
      </c>
      <c r="V7" s="33" t="inlineStr">
        <is>
          <t>x</t>
        </is>
      </c>
      <c r="W7" s="33" t="inlineStr">
        <is>
          <t>x</t>
        </is>
      </c>
      <c r="X7" s="33" t="n"/>
      <c r="Y7" s="33" t="inlineStr">
        <is>
          <t>x</t>
        </is>
      </c>
      <c r="Z7" s="33" t="inlineStr">
        <is>
          <t>x</t>
        </is>
      </c>
      <c r="AA7" s="33" t="inlineStr">
        <is>
          <t>x</t>
        </is>
      </c>
      <c r="AB7" s="33" t="inlineStr">
        <is>
          <t>x</t>
        </is>
      </c>
      <c r="AC7" s="33" t="inlineStr">
        <is>
          <t>x</t>
        </is>
      </c>
      <c r="AD7" s="33" t="inlineStr">
        <is>
          <t>x</t>
        </is>
      </c>
      <c r="AE7" s="33" t="inlineStr">
        <is>
          <t>x</t>
        </is>
      </c>
      <c r="AF7" s="33" t="inlineStr">
        <is>
          <t>x</t>
        </is>
      </c>
      <c r="AG7" s="33" t="inlineStr">
        <is>
          <t>x</t>
        </is>
      </c>
      <c r="AH7" s="13">
        <f>IF(B7="","",COUNTIF($C40:$AG40,"&gt;0"))</f>
        <v/>
      </c>
      <c r="AI7" s="14">
        <f>IF(OR(B7="",IF(AND(Habits!$C$4=YEAR(TODAY()),5=MONTH(TODAY())),DAY(TODAY()),IF(DATE(Habits!$C$4,5,1)&gt;TODAY(),0,DAY(EOMONTH(DATE(Habits!$C$4,5,1),0))))=0),"",MIN(1,(COUNTIF($C40:$AG40,"&gt;0"))/IF(AND(Habits!$C$4=YEAR(TODAY()),5=MONTH(TODAY())),DAY(TODAY()),IF(DATE(Habits!$C$4,5,1)&gt;TODAY(),0,DAY(EOMONTH(DATE(Habits!$C$4,5,1),0))))))</f>
        <v/>
      </c>
      <c r="AJ7" s="16">
        <f>IF(B7="","",IF(AND(Habits!$C$4=YEAR(TODAY()),5=MONTH(TODAY())),IF(INDEX($C40:$AG40,DAY(TODAY()))&gt;0,INDEX($C40:$AG40,DAY(TODAY())),IF(DAY(TODAY())=1,IFERROR(INDEX(Apr!$C$40:$AG$40,DAY(EOMONTH(DATE(Habits!$C$4,4,1),0))),0),INDEX($C40:$AG40,DAY(TODAY())-1))),IF(DATE(Habits!$C$4,5,1)&gt;TODAY(),"",INDEX($C40:$AG40,DAY(EOMONTH(DATE(Habits!$C$4,5,1),0))))))</f>
        <v/>
      </c>
      <c r="AK7" s="13">
        <f>IF(B7="","",MAX($C40:$AG40))</f>
        <v/>
      </c>
      <c r="AL7" s="1" t="n"/>
    </row>
    <row r="8">
      <c r="A8" s="1" t="n"/>
      <c r="B8" s="32">
        <f>IF(Habits!B9="","",Habits!B9)</f>
        <v/>
      </c>
      <c r="C8" s="33" t="inlineStr">
        <is>
          <t>x</t>
        </is>
      </c>
      <c r="D8" s="33" t="n"/>
      <c r="E8" s="33" t="inlineStr">
        <is>
          <t>x</t>
        </is>
      </c>
      <c r="F8" s="33" t="inlineStr">
        <is>
          <t>x</t>
        </is>
      </c>
      <c r="G8" s="33" t="n"/>
      <c r="H8" s="33" t="inlineStr">
        <is>
          <t>x</t>
        </is>
      </c>
      <c r="I8" s="33" t="inlineStr">
        <is>
          <t>x</t>
        </is>
      </c>
      <c r="J8" s="33" t="inlineStr">
        <is>
          <t>x</t>
        </is>
      </c>
      <c r="K8" s="33" t="n"/>
      <c r="L8" s="33" t="inlineStr">
        <is>
          <t>x</t>
        </is>
      </c>
      <c r="M8" s="33" t="inlineStr">
        <is>
          <t>x</t>
        </is>
      </c>
      <c r="N8" s="33" t="inlineStr">
        <is>
          <t>x</t>
        </is>
      </c>
      <c r="O8" s="33" t="inlineStr">
        <is>
          <t>x</t>
        </is>
      </c>
      <c r="P8" s="33" t="inlineStr">
        <is>
          <t>x</t>
        </is>
      </c>
      <c r="Q8" s="33" t="inlineStr">
        <is>
          <t>x</t>
        </is>
      </c>
      <c r="R8" s="33" t="n"/>
      <c r="S8" s="33" t="n"/>
      <c r="T8" s="33" t="inlineStr">
        <is>
          <t>x</t>
        </is>
      </c>
      <c r="U8" s="33" t="inlineStr">
        <is>
          <t>x</t>
        </is>
      </c>
      <c r="V8" s="33" t="inlineStr">
        <is>
          <t>x</t>
        </is>
      </c>
      <c r="W8" s="33" t="inlineStr">
        <is>
          <t>x</t>
        </is>
      </c>
      <c r="X8" s="33" t="inlineStr">
        <is>
          <t>x</t>
        </is>
      </c>
      <c r="Y8" s="33" t="inlineStr">
        <is>
          <t>x</t>
        </is>
      </c>
      <c r="Z8" s="33" t="n"/>
      <c r="AA8" s="33" t="n"/>
      <c r="AB8" s="33" t="inlineStr">
        <is>
          <t>x</t>
        </is>
      </c>
      <c r="AC8" s="33" t="inlineStr">
        <is>
          <t>x</t>
        </is>
      </c>
      <c r="AD8" s="33" t="inlineStr">
        <is>
          <t>x</t>
        </is>
      </c>
      <c r="AE8" s="33" t="n"/>
      <c r="AF8" s="33" t="n"/>
      <c r="AG8" s="33" t="inlineStr">
        <is>
          <t>x</t>
        </is>
      </c>
      <c r="AH8" s="13">
        <f>IF(B8="","",COUNTIF($C41:$AG41,"&gt;0"))</f>
        <v/>
      </c>
      <c r="AI8" s="14">
        <f>IF(OR(B8="",IF(AND(Habits!$C$4=YEAR(TODAY()),5=MONTH(TODAY())),DAY(TODAY()),IF(DATE(Habits!$C$4,5,1)&gt;TODAY(),0,DAY(EOMONTH(DATE(Habits!$C$4,5,1),0))))=0),"",MIN(1,(COUNTIF($C41:$AG41,"&gt;0"))/IF(AND(Habits!$C$4=YEAR(TODAY()),5=MONTH(TODAY())),DAY(TODAY()),IF(DATE(Habits!$C$4,5,1)&gt;TODAY(),0,DAY(EOMONTH(DATE(Habits!$C$4,5,1),0))))))</f>
        <v/>
      </c>
      <c r="AJ8" s="16">
        <f>IF(B8="","",IF(AND(Habits!$C$4=YEAR(TODAY()),5=MONTH(TODAY())),IF(INDEX($C41:$AG41,DAY(TODAY()))&gt;0,INDEX($C41:$AG41,DAY(TODAY())),IF(DAY(TODAY())=1,IFERROR(INDEX(Apr!$C$41:$AG$41,DAY(EOMONTH(DATE(Habits!$C$4,4,1),0))),0),INDEX($C41:$AG41,DAY(TODAY())-1))),IF(DATE(Habits!$C$4,5,1)&gt;TODAY(),"",INDEX($C41:$AG41,DAY(EOMONTH(DATE(Habits!$C$4,5,1),0))))))</f>
        <v/>
      </c>
      <c r="AK8" s="13">
        <f>IF(B8="","",MAX($C41:$AG41))</f>
        <v/>
      </c>
      <c r="AL8" s="1" t="n"/>
    </row>
    <row r="9">
      <c r="A9" s="1" t="n"/>
      <c r="B9" s="32">
        <f>IF(Habits!B10="","",Habits!B10)</f>
        <v/>
      </c>
      <c r="C9" s="33" t="inlineStr">
        <is>
          <t>x</t>
        </is>
      </c>
      <c r="D9" s="33" t="n"/>
      <c r="E9" s="33" t="inlineStr">
        <is>
          <t>x</t>
        </is>
      </c>
      <c r="F9" s="33" t="inlineStr">
        <is>
          <t>x</t>
        </is>
      </c>
      <c r="G9" s="33" t="inlineStr">
        <is>
          <t>x</t>
        </is>
      </c>
      <c r="H9" s="33" t="n"/>
      <c r="I9" s="33" t="n"/>
      <c r="J9" s="33" t="inlineStr">
        <is>
          <t>x</t>
        </is>
      </c>
      <c r="K9" s="33" t="inlineStr">
        <is>
          <t>x</t>
        </is>
      </c>
      <c r="L9" s="33" t="inlineStr">
        <is>
          <t>x</t>
        </is>
      </c>
      <c r="M9" s="33" t="n"/>
      <c r="N9" s="33" t="n"/>
      <c r="O9" s="33" t="inlineStr">
        <is>
          <t>x</t>
        </is>
      </c>
      <c r="P9" s="33" t="n"/>
      <c r="Q9" s="33" t="n"/>
      <c r="R9" s="33" t="inlineStr">
        <is>
          <t>x</t>
        </is>
      </c>
      <c r="S9" s="33" t="inlineStr">
        <is>
          <t>x</t>
        </is>
      </c>
      <c r="T9" s="33" t="n"/>
      <c r="U9" s="33" t="inlineStr">
        <is>
          <t>x</t>
        </is>
      </c>
      <c r="V9" s="33" t="inlineStr">
        <is>
          <t>x</t>
        </is>
      </c>
      <c r="W9" s="33" t="inlineStr">
        <is>
          <t>x</t>
        </is>
      </c>
      <c r="X9" s="33" t="inlineStr">
        <is>
          <t>x</t>
        </is>
      </c>
      <c r="Y9" s="33" t="n"/>
      <c r="Z9" s="33" t="n"/>
      <c r="AA9" s="33" t="inlineStr">
        <is>
          <t>x</t>
        </is>
      </c>
      <c r="AB9" s="33" t="inlineStr">
        <is>
          <t>x</t>
        </is>
      </c>
      <c r="AC9" s="33" t="n"/>
      <c r="AD9" s="33" t="inlineStr">
        <is>
          <t>x</t>
        </is>
      </c>
      <c r="AE9" s="33" t="inlineStr">
        <is>
          <t>x</t>
        </is>
      </c>
      <c r="AF9" s="33" t="inlineStr">
        <is>
          <t>x</t>
        </is>
      </c>
      <c r="AG9" s="33" t="inlineStr">
        <is>
          <t>x</t>
        </is>
      </c>
      <c r="AH9" s="13">
        <f>IF(B9="","",COUNTIF($C42:$AG42,"&gt;0"))</f>
        <v/>
      </c>
      <c r="AI9" s="14">
        <f>IF(OR(B9="",IF(AND(Habits!$C$4=YEAR(TODAY()),5=MONTH(TODAY())),DAY(TODAY()),IF(DATE(Habits!$C$4,5,1)&gt;TODAY(),0,DAY(EOMONTH(DATE(Habits!$C$4,5,1),0))))=0),"",MIN(1,(COUNTIF($C42:$AG42,"&gt;0"))/IF(AND(Habits!$C$4=YEAR(TODAY()),5=MONTH(TODAY())),DAY(TODAY()),IF(DATE(Habits!$C$4,5,1)&gt;TODAY(),0,DAY(EOMONTH(DATE(Habits!$C$4,5,1),0))))))</f>
        <v/>
      </c>
      <c r="AJ9" s="16">
        <f>IF(B9="","",IF(AND(Habits!$C$4=YEAR(TODAY()),5=MONTH(TODAY())),IF(INDEX($C42:$AG42,DAY(TODAY()))&gt;0,INDEX($C42:$AG42,DAY(TODAY())),IF(DAY(TODAY())=1,IFERROR(INDEX(Apr!$C$42:$AG$42,DAY(EOMONTH(DATE(Habits!$C$4,4,1),0))),0),INDEX($C42:$AG42,DAY(TODAY())-1))),IF(DATE(Habits!$C$4,5,1)&gt;TODAY(),"",INDEX($C42:$AG42,DAY(EOMONTH(DATE(Habits!$C$4,5,1),0))))))</f>
        <v/>
      </c>
      <c r="AK9" s="13">
        <f>IF(B9="","",MAX($C42:$AG42))</f>
        <v/>
      </c>
      <c r="AL9" s="1" t="n"/>
    </row>
    <row r="10">
      <c r="A10" s="1" t="n"/>
      <c r="B10" s="32">
        <f>IF(Habits!B11="","",Habits!B11)</f>
        <v/>
      </c>
      <c r="C10" s="33" t="n"/>
      <c r="D10" s="33" t="inlineStr">
        <is>
          <t>x</t>
        </is>
      </c>
      <c r="E10" s="33" t="n"/>
      <c r="F10" s="33" t="n"/>
      <c r="G10" s="33" t="inlineStr">
        <is>
          <t>x</t>
        </is>
      </c>
      <c r="H10" s="33" t="n"/>
      <c r="I10" s="33" t="inlineStr">
        <is>
          <t>x</t>
        </is>
      </c>
      <c r="J10" s="33" t="n"/>
      <c r="K10" s="33" t="inlineStr">
        <is>
          <t>x</t>
        </is>
      </c>
      <c r="L10" s="33" t="inlineStr">
        <is>
          <t>x</t>
        </is>
      </c>
      <c r="M10" s="33" t="inlineStr">
        <is>
          <t>x</t>
        </is>
      </c>
      <c r="N10" s="33" t="inlineStr">
        <is>
          <t>x</t>
        </is>
      </c>
      <c r="O10" s="33" t="n"/>
      <c r="P10" s="33" t="n"/>
      <c r="Q10" s="33" t="n"/>
      <c r="R10" s="33" t="n"/>
      <c r="S10" s="33" t="inlineStr">
        <is>
          <t>x</t>
        </is>
      </c>
      <c r="T10" s="33" t="n"/>
      <c r="U10" s="33" t="n"/>
      <c r="V10" s="33" t="n"/>
      <c r="W10" s="33" t="n"/>
      <c r="X10" s="33" t="n"/>
      <c r="Y10" s="33" t="inlineStr">
        <is>
          <t>x</t>
        </is>
      </c>
      <c r="Z10" s="33" t="inlineStr">
        <is>
          <t>x</t>
        </is>
      </c>
      <c r="AA10" s="33" t="n"/>
      <c r="AB10" s="33" t="inlineStr">
        <is>
          <t>x</t>
        </is>
      </c>
      <c r="AC10" s="33" t="n"/>
      <c r="AD10" s="33" t="inlineStr">
        <is>
          <t>x</t>
        </is>
      </c>
      <c r="AE10" s="33" t="inlineStr">
        <is>
          <t>x</t>
        </is>
      </c>
      <c r="AF10" s="33" t="inlineStr">
        <is>
          <t>x</t>
        </is>
      </c>
      <c r="AG10" s="33" t="n"/>
      <c r="AH10" s="13">
        <f>IF(B10="","",COUNTIF($C43:$AG43,"&gt;0"))</f>
        <v/>
      </c>
      <c r="AI10" s="14">
        <f>IF(OR(B10="",IF(AND(Habits!$C$4=YEAR(TODAY()),5=MONTH(TODAY())),DAY(TODAY()),IF(DATE(Habits!$C$4,5,1)&gt;TODAY(),0,DAY(EOMONTH(DATE(Habits!$C$4,5,1),0))))=0),"",MIN(1,(COUNTIF($C43:$AG43,"&gt;0"))/IF(AND(Habits!$C$4=YEAR(TODAY()),5=MONTH(TODAY())),DAY(TODAY()),IF(DATE(Habits!$C$4,5,1)&gt;TODAY(),0,DAY(EOMONTH(DATE(Habits!$C$4,5,1),0))))))</f>
        <v/>
      </c>
      <c r="AJ10" s="16">
        <f>IF(B10="","",IF(AND(Habits!$C$4=YEAR(TODAY()),5=MONTH(TODAY())),IF(INDEX($C43:$AG43,DAY(TODAY()))&gt;0,INDEX($C43:$AG43,DAY(TODAY())),IF(DAY(TODAY())=1,IFERROR(INDEX(Apr!$C$43:$AG$43,DAY(EOMONTH(DATE(Habits!$C$4,4,1),0))),0),INDEX($C43:$AG43,DAY(TODAY())-1))),IF(DATE(Habits!$C$4,5,1)&gt;TODAY(),"",INDEX($C43:$AG43,DAY(EOMONTH(DATE(Habits!$C$4,5,1),0))))))</f>
        <v/>
      </c>
      <c r="AK10" s="13">
        <f>IF(B10="","",MAX($C43:$AG43))</f>
        <v/>
      </c>
      <c r="AL10" s="1" t="n"/>
    </row>
    <row r="11">
      <c r="A11" s="1" t="n"/>
      <c r="B11" s="32">
        <f>IF(Habits!B12="","",Habits!B12)</f>
        <v/>
      </c>
      <c r="C11" s="33" t="n"/>
      <c r="D11" s="33" t="n"/>
      <c r="E11" s="33" t="inlineStr">
        <is>
          <t>x</t>
        </is>
      </c>
      <c r="F11" s="33" t="n"/>
      <c r="G11" s="33" t="n"/>
      <c r="H11" s="33" t="inlineStr">
        <is>
          <t>x</t>
        </is>
      </c>
      <c r="I11" s="33" t="inlineStr">
        <is>
          <t>x</t>
        </is>
      </c>
      <c r="J11" s="33" t="inlineStr">
        <is>
          <t>x</t>
        </is>
      </c>
      <c r="K11" s="33" t="inlineStr">
        <is>
          <t>x</t>
        </is>
      </c>
      <c r="L11" s="33" t="inlineStr">
        <is>
          <t>x</t>
        </is>
      </c>
      <c r="M11" s="33" t="inlineStr">
        <is>
          <t>x</t>
        </is>
      </c>
      <c r="N11" s="33" t="n"/>
      <c r="O11" s="33" t="inlineStr">
        <is>
          <t>x</t>
        </is>
      </c>
      <c r="P11" s="33" t="inlineStr">
        <is>
          <t>x</t>
        </is>
      </c>
      <c r="Q11" s="33" t="inlineStr">
        <is>
          <t>x</t>
        </is>
      </c>
      <c r="R11" s="33" t="n"/>
      <c r="S11" s="33" t="n"/>
      <c r="T11" s="33" t="n"/>
      <c r="U11" s="33" t="n"/>
      <c r="V11" s="33" t="n"/>
      <c r="W11" s="33" t="inlineStr">
        <is>
          <t>x</t>
        </is>
      </c>
      <c r="X11" s="33" t="inlineStr">
        <is>
          <t>x</t>
        </is>
      </c>
      <c r="Y11" s="33" t="n"/>
      <c r="Z11" s="33" t="n"/>
      <c r="AA11" s="33" t="n"/>
      <c r="AB11" s="33" t="n"/>
      <c r="AC11" s="33" t="n"/>
      <c r="AD11" s="33" t="inlineStr">
        <is>
          <t>x</t>
        </is>
      </c>
      <c r="AE11" s="33" t="inlineStr">
        <is>
          <t>x</t>
        </is>
      </c>
      <c r="AF11" s="33" t="inlineStr">
        <is>
          <t>x</t>
        </is>
      </c>
      <c r="AG11" s="33" t="n"/>
      <c r="AH11" s="13">
        <f>IF(B11="","",COUNTIF($C44:$AG44,"&gt;0"))</f>
        <v/>
      </c>
      <c r="AI11" s="14">
        <f>IF(OR(B11="",IF(AND(Habits!$C$4=YEAR(TODAY()),5=MONTH(TODAY())),DAY(TODAY()),IF(DATE(Habits!$C$4,5,1)&gt;TODAY(),0,DAY(EOMONTH(DATE(Habits!$C$4,5,1),0))))=0),"",MIN(1,(COUNTIF($C44:$AG44,"&gt;0"))/IF(AND(Habits!$C$4=YEAR(TODAY()),5=MONTH(TODAY())),DAY(TODAY()),IF(DATE(Habits!$C$4,5,1)&gt;TODAY(),0,DAY(EOMONTH(DATE(Habits!$C$4,5,1),0))))))</f>
        <v/>
      </c>
      <c r="AJ11" s="16">
        <f>IF(B11="","",IF(AND(Habits!$C$4=YEAR(TODAY()),5=MONTH(TODAY())),IF(INDEX($C44:$AG44,DAY(TODAY()))&gt;0,INDEX($C44:$AG44,DAY(TODAY())),IF(DAY(TODAY())=1,IFERROR(INDEX(Apr!$C$44:$AG$44,DAY(EOMONTH(DATE(Habits!$C$4,4,1),0))),0),INDEX($C44:$AG44,DAY(TODAY())-1))),IF(DATE(Habits!$C$4,5,1)&gt;TODAY(),"",INDEX($C44:$AG44,DAY(EOMONTH(DATE(Habits!$C$4,5,1),0))))))</f>
        <v/>
      </c>
      <c r="AK11" s="13">
        <f>IF(B11="","",MAX($C44:$AG44))</f>
        <v/>
      </c>
      <c r="AL11" s="1" t="n"/>
    </row>
    <row r="12">
      <c r="A12" s="1" t="n"/>
      <c r="B12" s="32">
        <f>IF(Habits!B13="","",Habits!B13)</f>
        <v/>
      </c>
      <c r="C12" s="33" t="n"/>
      <c r="D12" s="33" t="n"/>
      <c r="E12" s="33" t="n"/>
      <c r="F12" s="33" t="inlineStr">
        <is>
          <t>x</t>
        </is>
      </c>
      <c r="G12" s="33" t="n"/>
      <c r="H12" s="33" t="inlineStr">
        <is>
          <t>x</t>
        </is>
      </c>
      <c r="I12" s="33" t="n"/>
      <c r="J12" s="33" t="inlineStr">
        <is>
          <t>x</t>
        </is>
      </c>
      <c r="K12" s="33" t="n"/>
      <c r="L12" s="33" t="inlineStr">
        <is>
          <t>x</t>
        </is>
      </c>
      <c r="M12" s="33" t="n"/>
      <c r="N12" s="33" t="inlineStr">
        <is>
          <t>x</t>
        </is>
      </c>
      <c r="O12" s="33" t="n"/>
      <c r="P12" s="33" t="inlineStr">
        <is>
          <t>x</t>
        </is>
      </c>
      <c r="Q12" s="33" t="inlineStr">
        <is>
          <t>x</t>
        </is>
      </c>
      <c r="R12" s="33" t="n"/>
      <c r="S12" s="33" t="inlineStr">
        <is>
          <t>x</t>
        </is>
      </c>
      <c r="T12" s="33" t="n"/>
      <c r="U12" s="33" t="n"/>
      <c r="V12" s="33" t="inlineStr">
        <is>
          <t>x</t>
        </is>
      </c>
      <c r="W12" s="33" t="n"/>
      <c r="X12" s="33" t="n"/>
      <c r="Y12" s="33" t="n"/>
      <c r="Z12" s="33" t="n"/>
      <c r="AA12" s="33" t="n"/>
      <c r="AB12" s="33" t="inlineStr">
        <is>
          <t>x</t>
        </is>
      </c>
      <c r="AC12" s="33" t="inlineStr">
        <is>
          <t>x</t>
        </is>
      </c>
      <c r="AD12" s="33" t="n"/>
      <c r="AE12" s="33" t="n"/>
      <c r="AF12" s="33" t="inlineStr">
        <is>
          <t>x</t>
        </is>
      </c>
      <c r="AG12" s="33" t="n"/>
      <c r="AH12" s="13">
        <f>IF(B12="","",COUNTIF($C45:$AG45,"&gt;0"))</f>
        <v/>
      </c>
      <c r="AI12" s="14">
        <f>IF(OR(B12="",IF(AND(Habits!$C$4=YEAR(TODAY()),5=MONTH(TODAY())),DAY(TODAY()),IF(DATE(Habits!$C$4,5,1)&gt;TODAY(),0,DAY(EOMONTH(DATE(Habits!$C$4,5,1),0))))=0),"",MIN(1,(COUNTIF($C45:$AG45,"&gt;0"))/IF(AND(Habits!$C$4=YEAR(TODAY()),5=MONTH(TODAY())),DAY(TODAY()),IF(DATE(Habits!$C$4,5,1)&gt;TODAY(),0,DAY(EOMONTH(DATE(Habits!$C$4,5,1),0))))))</f>
        <v/>
      </c>
      <c r="AJ12" s="16">
        <f>IF(B12="","",IF(AND(Habits!$C$4=YEAR(TODAY()),5=MONTH(TODAY())),IF(INDEX($C45:$AG45,DAY(TODAY()))&gt;0,INDEX($C45:$AG45,DAY(TODAY())),IF(DAY(TODAY())=1,IFERROR(INDEX(Apr!$C$45:$AG$45,DAY(EOMONTH(DATE(Habits!$C$4,4,1),0))),0),INDEX($C45:$AG45,DAY(TODAY())-1))),IF(DATE(Habits!$C$4,5,1)&gt;TODAY(),"",INDEX($C45:$AG45,DAY(EOMONTH(DATE(Habits!$C$4,5,1),0))))))</f>
        <v/>
      </c>
      <c r="AK12" s="13">
        <f>IF(B12="","",MAX($C45:$AG45))</f>
        <v/>
      </c>
      <c r="AL12" s="1" t="n"/>
    </row>
    <row r="13">
      <c r="A13" s="1" t="n"/>
      <c r="B13" s="32">
        <f>IF(Habits!B14="","",Habits!B14)</f>
        <v/>
      </c>
      <c r="C13" s="33" t="inlineStr">
        <is>
          <t>x</t>
        </is>
      </c>
      <c r="D13" s="33" t="inlineStr">
        <is>
          <t>x</t>
        </is>
      </c>
      <c r="E13" s="33" t="inlineStr">
        <is>
          <t>x</t>
        </is>
      </c>
      <c r="F13" s="33" t="inlineStr">
        <is>
          <t>x</t>
        </is>
      </c>
      <c r="G13" s="33" t="inlineStr">
        <is>
          <t>x</t>
        </is>
      </c>
      <c r="H13" s="33" t="n"/>
      <c r="I13" s="33" t="inlineStr">
        <is>
          <t>x</t>
        </is>
      </c>
      <c r="J13" s="33" t="inlineStr">
        <is>
          <t>x</t>
        </is>
      </c>
      <c r="K13" s="33" t="inlineStr">
        <is>
          <t>x</t>
        </is>
      </c>
      <c r="L13" s="33" t="inlineStr">
        <is>
          <t>x</t>
        </is>
      </c>
      <c r="M13" s="33" t="n"/>
      <c r="N13" s="33" t="inlineStr">
        <is>
          <t>x</t>
        </is>
      </c>
      <c r="O13" s="33" t="inlineStr">
        <is>
          <t>x</t>
        </is>
      </c>
      <c r="P13" s="33" t="n"/>
      <c r="Q13" s="33" t="inlineStr">
        <is>
          <t>x</t>
        </is>
      </c>
      <c r="R13" s="33" t="inlineStr">
        <is>
          <t>x</t>
        </is>
      </c>
      <c r="S13" s="33" t="n"/>
      <c r="T13" s="33" t="inlineStr">
        <is>
          <t>x</t>
        </is>
      </c>
      <c r="U13" s="33" t="inlineStr">
        <is>
          <t>x</t>
        </is>
      </c>
      <c r="V13" s="33" t="inlineStr">
        <is>
          <t>x</t>
        </is>
      </c>
      <c r="W13" s="33" t="n"/>
      <c r="X13" s="33" t="inlineStr">
        <is>
          <t>x</t>
        </is>
      </c>
      <c r="Y13" s="33" t="inlineStr">
        <is>
          <t>x</t>
        </is>
      </c>
      <c r="Z13" s="33" t="inlineStr">
        <is>
          <t>x</t>
        </is>
      </c>
      <c r="AA13" s="33" t="inlineStr">
        <is>
          <t>x</t>
        </is>
      </c>
      <c r="AB13" s="33" t="inlineStr">
        <is>
          <t>x</t>
        </is>
      </c>
      <c r="AC13" s="33" t="inlineStr">
        <is>
          <t>x</t>
        </is>
      </c>
      <c r="AD13" s="33" t="inlineStr">
        <is>
          <t>x</t>
        </is>
      </c>
      <c r="AE13" s="33" t="inlineStr">
        <is>
          <t>x</t>
        </is>
      </c>
      <c r="AF13" s="33" t="inlineStr">
        <is>
          <t>x</t>
        </is>
      </c>
      <c r="AG13" s="33" t="inlineStr">
        <is>
          <t>x</t>
        </is>
      </c>
      <c r="AH13" s="13">
        <f>IF(B13="","",COUNTIF($C46:$AG46,"&gt;0"))</f>
        <v/>
      </c>
      <c r="AI13" s="14">
        <f>IF(OR(B13="",IF(AND(Habits!$C$4=YEAR(TODAY()),5=MONTH(TODAY())),DAY(TODAY()),IF(DATE(Habits!$C$4,5,1)&gt;TODAY(),0,DAY(EOMONTH(DATE(Habits!$C$4,5,1),0))))=0),"",MIN(1,(COUNTIF($C46:$AG46,"&gt;0"))/IF(AND(Habits!$C$4=YEAR(TODAY()),5=MONTH(TODAY())),DAY(TODAY()),IF(DATE(Habits!$C$4,5,1)&gt;TODAY(),0,DAY(EOMONTH(DATE(Habits!$C$4,5,1),0))))))</f>
        <v/>
      </c>
      <c r="AJ13" s="16">
        <f>IF(B13="","",IF(AND(Habits!$C$4=YEAR(TODAY()),5=MONTH(TODAY())),IF(INDEX($C46:$AG46,DAY(TODAY()))&gt;0,INDEX($C46:$AG46,DAY(TODAY())),IF(DAY(TODAY())=1,IFERROR(INDEX(Apr!$C$46:$AG$46,DAY(EOMONTH(DATE(Habits!$C$4,4,1),0))),0),INDEX($C46:$AG46,DAY(TODAY())-1))),IF(DATE(Habits!$C$4,5,1)&gt;TODAY(),"",INDEX($C46:$AG46,DAY(EOMONTH(DATE(Habits!$C$4,5,1),0))))))</f>
        <v/>
      </c>
      <c r="AK13" s="13">
        <f>IF(B13="","",MAX($C46:$AG46))</f>
        <v/>
      </c>
      <c r="AL13" s="1" t="n"/>
    </row>
    <row r="14">
      <c r="A14" s="1" t="n"/>
      <c r="B14" s="32">
        <f>IF(Habits!B15="","",Habits!B15)</f>
        <v/>
      </c>
      <c r="C14" s="33" t="inlineStr">
        <is>
          <t>x</t>
        </is>
      </c>
      <c r="D14" s="33" t="n"/>
      <c r="E14" s="33" t="inlineStr">
        <is>
          <t>x</t>
        </is>
      </c>
      <c r="F14" s="33" t="n"/>
      <c r="G14" s="33" t="inlineStr">
        <is>
          <t>x</t>
        </is>
      </c>
      <c r="H14" s="33" t="inlineStr">
        <is>
          <t>x</t>
        </is>
      </c>
      <c r="I14" s="33" t="n"/>
      <c r="J14" s="33" t="n"/>
      <c r="K14" s="33" t="n"/>
      <c r="L14" s="33" t="inlineStr">
        <is>
          <t>x</t>
        </is>
      </c>
      <c r="M14" s="33" t="inlineStr">
        <is>
          <t>x</t>
        </is>
      </c>
      <c r="N14" s="33" t="n"/>
      <c r="O14" s="33" t="n"/>
      <c r="P14" s="33" t="n"/>
      <c r="Q14" s="33" t="n"/>
      <c r="R14" s="33" t="inlineStr">
        <is>
          <t>x</t>
        </is>
      </c>
      <c r="S14" s="33" t="inlineStr">
        <is>
          <t>x</t>
        </is>
      </c>
      <c r="T14" s="33" t="inlineStr">
        <is>
          <t>x</t>
        </is>
      </c>
      <c r="U14" s="33" t="inlineStr">
        <is>
          <t>x</t>
        </is>
      </c>
      <c r="V14" s="33" t="inlineStr">
        <is>
          <t>x</t>
        </is>
      </c>
      <c r="W14" s="33" t="inlineStr">
        <is>
          <t>x</t>
        </is>
      </c>
      <c r="X14" s="33" t="inlineStr">
        <is>
          <t>x</t>
        </is>
      </c>
      <c r="Y14" s="33" t="inlineStr">
        <is>
          <t>x</t>
        </is>
      </c>
      <c r="Z14" s="33" t="inlineStr">
        <is>
          <t>x</t>
        </is>
      </c>
      <c r="AA14" s="33" t="n"/>
      <c r="AB14" s="33" t="inlineStr">
        <is>
          <t>x</t>
        </is>
      </c>
      <c r="AC14" s="33" t="inlineStr">
        <is>
          <t>x</t>
        </is>
      </c>
      <c r="AD14" s="33" t="inlineStr">
        <is>
          <t>x</t>
        </is>
      </c>
      <c r="AE14" s="33" t="n"/>
      <c r="AF14" s="33" t="n"/>
      <c r="AG14" s="33" t="inlineStr">
        <is>
          <t>x</t>
        </is>
      </c>
      <c r="AH14" s="13">
        <f>IF(B14="","",COUNTIF($C47:$AG47,"&gt;0"))</f>
        <v/>
      </c>
      <c r="AI14" s="14">
        <f>IF(OR(B14="",IF(AND(Habits!$C$4=YEAR(TODAY()),5=MONTH(TODAY())),DAY(TODAY()),IF(DATE(Habits!$C$4,5,1)&gt;TODAY(),0,DAY(EOMONTH(DATE(Habits!$C$4,5,1),0))))=0),"",MIN(1,(COUNTIF($C47:$AG47,"&gt;0"))/IF(AND(Habits!$C$4=YEAR(TODAY()),5=MONTH(TODAY())),DAY(TODAY()),IF(DATE(Habits!$C$4,5,1)&gt;TODAY(),0,DAY(EOMONTH(DATE(Habits!$C$4,5,1),0))))))</f>
        <v/>
      </c>
      <c r="AJ14" s="16">
        <f>IF(B14="","",IF(AND(Habits!$C$4=YEAR(TODAY()),5=MONTH(TODAY())),IF(INDEX($C47:$AG47,DAY(TODAY()))&gt;0,INDEX($C47:$AG47,DAY(TODAY())),IF(DAY(TODAY())=1,IFERROR(INDEX(Apr!$C$47:$AG$47,DAY(EOMONTH(DATE(Habits!$C$4,4,1),0))),0),INDEX($C47:$AG47,DAY(TODAY())-1))),IF(DATE(Habits!$C$4,5,1)&gt;TODAY(),"",INDEX($C47:$AG47,DAY(EOMONTH(DATE(Habits!$C$4,5,1),0))))))</f>
        <v/>
      </c>
      <c r="AK14" s="13">
        <f>IF(B14="","",MAX($C47:$AG47))</f>
        <v/>
      </c>
      <c r="AL14" s="1" t="n"/>
    </row>
    <row r="15">
      <c r="A15" s="1" t="n"/>
      <c r="B15" s="32">
        <f>IF(Habits!B16="","",Habits!B16)</f>
        <v/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13">
        <f>IF(B15="","",COUNTIF($C48:$AG48,"&gt;0"))</f>
        <v/>
      </c>
      <c r="AI15" s="14">
        <f>IF(OR(B15="",IF(AND(Habits!$C$4=YEAR(TODAY()),5=MONTH(TODAY())),DAY(TODAY()),IF(DATE(Habits!$C$4,5,1)&gt;TODAY(),0,DAY(EOMONTH(DATE(Habits!$C$4,5,1),0))))=0),"",MIN(1,(COUNTIF($C48:$AG48,"&gt;0"))/IF(AND(Habits!$C$4=YEAR(TODAY()),5=MONTH(TODAY())),DAY(TODAY()),IF(DATE(Habits!$C$4,5,1)&gt;TODAY(),0,DAY(EOMONTH(DATE(Habits!$C$4,5,1),0))))))</f>
        <v/>
      </c>
      <c r="AJ15" s="16">
        <f>IF(B15="","",IF(AND(Habits!$C$4=YEAR(TODAY()),5=MONTH(TODAY())),IF(INDEX($C48:$AG48,DAY(TODAY()))&gt;0,INDEX($C48:$AG48,DAY(TODAY())),IF(DAY(TODAY())=1,IFERROR(INDEX(Apr!$C$48:$AG$48,DAY(EOMONTH(DATE(Habits!$C$4,4,1),0))),0),INDEX($C48:$AG48,DAY(TODAY())-1))),IF(DATE(Habits!$C$4,5,1)&gt;TODAY(),"",INDEX($C48:$AG48,DAY(EOMONTH(DATE(Habits!$C$4,5,1),0))))))</f>
        <v/>
      </c>
      <c r="AK15" s="13">
        <f>IF(B15="","",MAX($C48:$AG48))</f>
        <v/>
      </c>
      <c r="AL15" s="1" t="n"/>
    </row>
    <row r="16">
      <c r="A16" s="1" t="n"/>
      <c r="B16" s="32">
        <f>IF(Habits!B17="","",Habits!B17)</f>
        <v/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13">
        <f>IF(B16="","",COUNTIF($C49:$AG49,"&gt;0"))</f>
        <v/>
      </c>
      <c r="AI16" s="14">
        <f>IF(OR(B16="",IF(AND(Habits!$C$4=YEAR(TODAY()),5=MONTH(TODAY())),DAY(TODAY()),IF(DATE(Habits!$C$4,5,1)&gt;TODAY(),0,DAY(EOMONTH(DATE(Habits!$C$4,5,1),0))))=0),"",MIN(1,(COUNTIF($C49:$AG49,"&gt;0"))/IF(AND(Habits!$C$4=YEAR(TODAY()),5=MONTH(TODAY())),DAY(TODAY()),IF(DATE(Habits!$C$4,5,1)&gt;TODAY(),0,DAY(EOMONTH(DATE(Habits!$C$4,5,1),0))))))</f>
        <v/>
      </c>
      <c r="AJ16" s="16">
        <f>IF(B16="","",IF(AND(Habits!$C$4=YEAR(TODAY()),5=MONTH(TODAY())),IF(INDEX($C49:$AG49,DAY(TODAY()))&gt;0,INDEX($C49:$AG49,DAY(TODAY())),IF(DAY(TODAY())=1,IFERROR(INDEX(Apr!$C$49:$AG$49,DAY(EOMONTH(DATE(Habits!$C$4,4,1),0))),0),INDEX($C49:$AG49,DAY(TODAY())-1))),IF(DATE(Habits!$C$4,5,1)&gt;TODAY(),"",INDEX($C49:$AG49,DAY(EOMONTH(DATE(Habits!$C$4,5,1),0))))))</f>
        <v/>
      </c>
      <c r="AK16" s="13">
        <f>IF(B16="","",MAX($C49:$AG49))</f>
        <v/>
      </c>
      <c r="AL16" s="1" t="n"/>
    </row>
    <row r="17">
      <c r="A17" s="1" t="n"/>
      <c r="B17" s="32">
        <f>IF(Habits!B18="","",Habits!B18)</f>
        <v/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13">
        <f>IF(B17="","",COUNTIF($C50:$AG50,"&gt;0"))</f>
        <v/>
      </c>
      <c r="AI17" s="14">
        <f>IF(OR(B17="",IF(AND(Habits!$C$4=YEAR(TODAY()),5=MONTH(TODAY())),DAY(TODAY()),IF(DATE(Habits!$C$4,5,1)&gt;TODAY(),0,DAY(EOMONTH(DATE(Habits!$C$4,5,1),0))))=0),"",MIN(1,(COUNTIF($C50:$AG50,"&gt;0"))/IF(AND(Habits!$C$4=YEAR(TODAY()),5=MONTH(TODAY())),DAY(TODAY()),IF(DATE(Habits!$C$4,5,1)&gt;TODAY(),0,DAY(EOMONTH(DATE(Habits!$C$4,5,1),0))))))</f>
        <v/>
      </c>
      <c r="AJ17" s="16">
        <f>IF(B17="","",IF(AND(Habits!$C$4=YEAR(TODAY()),5=MONTH(TODAY())),IF(INDEX($C50:$AG50,DAY(TODAY()))&gt;0,INDEX($C50:$AG50,DAY(TODAY())),IF(DAY(TODAY())=1,IFERROR(INDEX(Apr!$C$50:$AG$50,DAY(EOMONTH(DATE(Habits!$C$4,4,1),0))),0),INDEX($C50:$AG50,DAY(TODAY())-1))),IF(DATE(Habits!$C$4,5,1)&gt;TODAY(),"",INDEX($C50:$AG50,DAY(EOMONTH(DATE(Habits!$C$4,5,1),0))))))</f>
        <v/>
      </c>
      <c r="AK17" s="13">
        <f>IF(B17="","",MAX($C50:$AG50))</f>
        <v/>
      </c>
      <c r="AL17" s="1" t="n"/>
    </row>
    <row r="18">
      <c r="A18" s="1" t="n"/>
      <c r="B18" s="32">
        <f>IF(Habits!B19="","",Habits!B19)</f>
        <v/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13">
        <f>IF(B18="","",COUNTIF($C51:$AG51,"&gt;0"))</f>
        <v/>
      </c>
      <c r="AI18" s="14">
        <f>IF(OR(B18="",IF(AND(Habits!$C$4=YEAR(TODAY()),5=MONTH(TODAY())),DAY(TODAY()),IF(DATE(Habits!$C$4,5,1)&gt;TODAY(),0,DAY(EOMONTH(DATE(Habits!$C$4,5,1),0))))=0),"",MIN(1,(COUNTIF($C51:$AG51,"&gt;0"))/IF(AND(Habits!$C$4=YEAR(TODAY()),5=MONTH(TODAY())),DAY(TODAY()),IF(DATE(Habits!$C$4,5,1)&gt;TODAY(),0,DAY(EOMONTH(DATE(Habits!$C$4,5,1),0))))))</f>
        <v/>
      </c>
      <c r="AJ18" s="16">
        <f>IF(B18="","",IF(AND(Habits!$C$4=YEAR(TODAY()),5=MONTH(TODAY())),IF(INDEX($C51:$AG51,DAY(TODAY()))&gt;0,INDEX($C51:$AG51,DAY(TODAY())),IF(DAY(TODAY())=1,IFERROR(INDEX(Apr!$C$51:$AG$51,DAY(EOMONTH(DATE(Habits!$C$4,4,1),0))),0),INDEX($C51:$AG51,DAY(TODAY())-1))),IF(DATE(Habits!$C$4,5,1)&gt;TODAY(),"",INDEX($C51:$AG51,DAY(EOMONTH(DATE(Habits!$C$4,5,1),0))))))</f>
        <v/>
      </c>
      <c r="AK18" s="13">
        <f>IF(B18="","",MAX($C51:$AG51))</f>
        <v/>
      </c>
      <c r="AL18" s="1" t="n"/>
    </row>
    <row r="19">
      <c r="A19" s="1" t="n"/>
      <c r="B19" s="32">
        <f>IF(Habits!B20="","",Habits!B20)</f>
        <v/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13">
        <f>IF(B19="","",COUNTIF($C52:$AG52,"&gt;0"))</f>
        <v/>
      </c>
      <c r="AI19" s="14">
        <f>IF(OR(B19="",IF(AND(Habits!$C$4=YEAR(TODAY()),5=MONTH(TODAY())),DAY(TODAY()),IF(DATE(Habits!$C$4,5,1)&gt;TODAY(),0,DAY(EOMONTH(DATE(Habits!$C$4,5,1),0))))=0),"",MIN(1,(COUNTIF($C52:$AG52,"&gt;0"))/IF(AND(Habits!$C$4=YEAR(TODAY()),5=MONTH(TODAY())),DAY(TODAY()),IF(DATE(Habits!$C$4,5,1)&gt;TODAY(),0,DAY(EOMONTH(DATE(Habits!$C$4,5,1),0))))))</f>
        <v/>
      </c>
      <c r="AJ19" s="16">
        <f>IF(B19="","",IF(AND(Habits!$C$4=YEAR(TODAY()),5=MONTH(TODAY())),IF(INDEX($C52:$AG52,DAY(TODAY()))&gt;0,INDEX($C52:$AG52,DAY(TODAY())),IF(DAY(TODAY())=1,IFERROR(INDEX(Apr!$C$52:$AG$52,DAY(EOMONTH(DATE(Habits!$C$4,4,1),0))),0),INDEX($C52:$AG52,DAY(TODAY())-1))),IF(DATE(Habits!$C$4,5,1)&gt;TODAY(),"",INDEX($C52:$AG52,DAY(EOMONTH(DATE(Habits!$C$4,5,1),0))))))</f>
        <v/>
      </c>
      <c r="AK19" s="13">
        <f>IF(B19="","",MAX($C52:$AG52))</f>
        <v/>
      </c>
      <c r="AL19" s="1" t="n"/>
    </row>
    <row r="20">
      <c r="A20" s="1" t="n"/>
      <c r="B20" s="32">
        <f>IF(Habits!B21="","",Habits!B21)</f>
        <v/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13">
        <f>IF(B20="","",COUNTIF($C53:$AG53,"&gt;0"))</f>
        <v/>
      </c>
      <c r="AI20" s="14">
        <f>IF(OR(B20="",IF(AND(Habits!$C$4=YEAR(TODAY()),5=MONTH(TODAY())),DAY(TODAY()),IF(DATE(Habits!$C$4,5,1)&gt;TODAY(),0,DAY(EOMONTH(DATE(Habits!$C$4,5,1),0))))=0),"",MIN(1,(COUNTIF($C53:$AG53,"&gt;0"))/IF(AND(Habits!$C$4=YEAR(TODAY()),5=MONTH(TODAY())),DAY(TODAY()),IF(DATE(Habits!$C$4,5,1)&gt;TODAY(),0,DAY(EOMONTH(DATE(Habits!$C$4,5,1),0))))))</f>
        <v/>
      </c>
      <c r="AJ20" s="16">
        <f>IF(B20="","",IF(AND(Habits!$C$4=YEAR(TODAY()),5=MONTH(TODAY())),IF(INDEX($C53:$AG53,DAY(TODAY()))&gt;0,INDEX($C53:$AG53,DAY(TODAY())),IF(DAY(TODAY())=1,IFERROR(INDEX(Apr!$C$53:$AG$53,DAY(EOMONTH(DATE(Habits!$C$4,4,1),0))),0),INDEX($C53:$AG53,DAY(TODAY())-1))),IF(DATE(Habits!$C$4,5,1)&gt;TODAY(),"",INDEX($C53:$AG53,DAY(EOMONTH(DATE(Habits!$C$4,5,1),0))))))</f>
        <v/>
      </c>
      <c r="AK20" s="13">
        <f>IF(B20="","",MAX($C53:$AG53))</f>
        <v/>
      </c>
      <c r="AL20" s="1" t="n"/>
    </row>
    <row r="21">
      <c r="A21" s="1" t="n"/>
      <c r="B21" s="32">
        <f>IF(Habits!B22="","",Habits!B22)</f>
        <v/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13">
        <f>IF(B21="","",COUNTIF($C54:$AG54,"&gt;0"))</f>
        <v/>
      </c>
      <c r="AI21" s="14">
        <f>IF(OR(B21="",IF(AND(Habits!$C$4=YEAR(TODAY()),5=MONTH(TODAY())),DAY(TODAY()),IF(DATE(Habits!$C$4,5,1)&gt;TODAY(),0,DAY(EOMONTH(DATE(Habits!$C$4,5,1),0))))=0),"",MIN(1,(COUNTIF($C54:$AG54,"&gt;0"))/IF(AND(Habits!$C$4=YEAR(TODAY()),5=MONTH(TODAY())),DAY(TODAY()),IF(DATE(Habits!$C$4,5,1)&gt;TODAY(),0,DAY(EOMONTH(DATE(Habits!$C$4,5,1),0))))))</f>
        <v/>
      </c>
      <c r="AJ21" s="16">
        <f>IF(B21="","",IF(AND(Habits!$C$4=YEAR(TODAY()),5=MONTH(TODAY())),IF(INDEX($C54:$AG54,DAY(TODAY()))&gt;0,INDEX($C54:$AG54,DAY(TODAY())),IF(DAY(TODAY())=1,IFERROR(INDEX(Apr!$C$54:$AG$54,DAY(EOMONTH(DATE(Habits!$C$4,4,1),0))),0),INDEX($C54:$AG54,DAY(TODAY())-1))),IF(DATE(Habits!$C$4,5,1)&gt;TODAY(),"",INDEX($C54:$AG54,DAY(EOMONTH(DATE(Habits!$C$4,5,1),0))))))</f>
        <v/>
      </c>
      <c r="AK21" s="13">
        <f>IF(B21="","",MAX($C54:$AG54))</f>
        <v/>
      </c>
      <c r="A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>
      <c r="A23" s="1" t="n"/>
      <c r="B23" s="12" t="inlineStr">
        <is>
          <t>Mood (1 to 5)</t>
        </is>
      </c>
      <c r="C23" s="34" t="n">
        <v>5</v>
      </c>
      <c r="D23" s="34" t="n">
        <v>3</v>
      </c>
      <c r="E23" s="34" t="n">
        <v>4</v>
      </c>
      <c r="F23" s="34" t="n">
        <v>4</v>
      </c>
      <c r="G23" s="34" t="n">
        <v>4</v>
      </c>
      <c r="H23" s="34" t="n">
        <v>4</v>
      </c>
      <c r="I23" s="34" t="n">
        <v>3</v>
      </c>
      <c r="J23" s="34" t="n">
        <v>3</v>
      </c>
      <c r="K23" s="34" t="n">
        <v>3</v>
      </c>
      <c r="L23" s="34" t="n">
        <v>3</v>
      </c>
      <c r="M23" s="34" t="n">
        <v>5</v>
      </c>
      <c r="N23" s="34" t="n">
        <v>4</v>
      </c>
      <c r="O23" s="34" t="n">
        <v>4</v>
      </c>
      <c r="P23" s="34" t="n">
        <v>4</v>
      </c>
      <c r="Q23" s="34" t="n">
        <v>3</v>
      </c>
      <c r="R23" s="34" t="n">
        <v>4</v>
      </c>
      <c r="S23" s="34" t="n">
        <v>4</v>
      </c>
      <c r="T23" s="34" t="n">
        <v>3</v>
      </c>
      <c r="U23" s="34" t="n">
        <v>3</v>
      </c>
      <c r="V23" s="34" t="n">
        <v>4</v>
      </c>
      <c r="W23" s="34" t="n">
        <v>4</v>
      </c>
      <c r="X23" s="34" t="n">
        <v>5</v>
      </c>
      <c r="Y23" s="34" t="n">
        <v>3</v>
      </c>
      <c r="Z23" s="34" t="n">
        <v>4</v>
      </c>
      <c r="AA23" s="34" t="n">
        <v>3</v>
      </c>
      <c r="AB23" s="34" t="n">
        <v>4</v>
      </c>
      <c r="AC23" s="34" t="n">
        <v>4</v>
      </c>
      <c r="AD23" s="34" t="n">
        <v>3</v>
      </c>
      <c r="AE23" s="34" t="n">
        <v>3</v>
      </c>
      <c r="AF23" s="34" t="n">
        <v>4</v>
      </c>
      <c r="AG23" s="34" t="n">
        <v>4</v>
      </c>
      <c r="AH23" s="35">
        <f>IFERROR(AVERAGE(C23:AG23),"")</f>
        <v/>
      </c>
      <c r="AI23" s="11" t="n"/>
      <c r="AJ23" s="36" t="inlineStr">
        <is>
          <t>average</t>
        </is>
      </c>
      <c r="AK23" s="1" t="n"/>
      <c r="AL23" s="1" t="n"/>
    </row>
    <row r="24">
      <c r="A24" s="1" t="n"/>
      <c r="B24" s="12" t="inlineStr">
        <is>
          <t>Sleep (hours)</t>
        </is>
      </c>
      <c r="C24" s="34" t="n">
        <v>8.5</v>
      </c>
      <c r="D24" s="34" t="n">
        <v>7</v>
      </c>
      <c r="E24" s="34" t="n">
        <v>7.5</v>
      </c>
      <c r="F24" s="34" t="n">
        <v>8</v>
      </c>
      <c r="G24" s="34" t="n">
        <v>7</v>
      </c>
      <c r="H24" s="34" t="n">
        <v>8.5</v>
      </c>
      <c r="I24" s="34" t="n">
        <v>6.5</v>
      </c>
      <c r="J24" s="34" t="n">
        <v>7.5</v>
      </c>
      <c r="K24" s="34" t="n">
        <v>7</v>
      </c>
      <c r="L24" s="34" t="n">
        <v>8.5</v>
      </c>
      <c r="M24" s="34" t="n">
        <v>8.5</v>
      </c>
      <c r="N24" s="34" t="n">
        <v>6</v>
      </c>
      <c r="O24" s="34" t="n">
        <v>7.5</v>
      </c>
      <c r="P24" s="34" t="n">
        <v>7.5</v>
      </c>
      <c r="Q24" s="34" t="n">
        <v>6</v>
      </c>
      <c r="R24" s="34" t="n">
        <v>6.5</v>
      </c>
      <c r="S24" s="34" t="n">
        <v>8</v>
      </c>
      <c r="T24" s="34" t="n">
        <v>7</v>
      </c>
      <c r="U24" s="34" t="n">
        <v>7.5</v>
      </c>
      <c r="V24" s="34" t="n">
        <v>7.5</v>
      </c>
      <c r="W24" s="34" t="n">
        <v>7.5</v>
      </c>
      <c r="X24" s="34" t="n">
        <v>8</v>
      </c>
      <c r="Y24" s="34" t="n">
        <v>8.5</v>
      </c>
      <c r="Z24" s="34" t="n">
        <v>7</v>
      </c>
      <c r="AA24" s="34" t="n">
        <v>6</v>
      </c>
      <c r="AB24" s="34" t="n">
        <v>6</v>
      </c>
      <c r="AC24" s="34" t="n">
        <v>8</v>
      </c>
      <c r="AD24" s="34" t="n">
        <v>6.5</v>
      </c>
      <c r="AE24" s="34" t="n">
        <v>8</v>
      </c>
      <c r="AF24" s="34" t="n">
        <v>6.5</v>
      </c>
      <c r="AG24" s="34" t="n">
        <v>7</v>
      </c>
      <c r="AH24" s="35">
        <f>IFERROR(AVERAGE(C24:AG24),"")</f>
        <v/>
      </c>
      <c r="AI24" s="11" t="n"/>
      <c r="AJ24" s="36" t="inlineStr">
        <is>
          <t>average</t>
        </is>
      </c>
      <c r="AK24" s="1" t="n"/>
      <c r="A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idden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idden="1">
      <c r="A40" s="1" t="n"/>
      <c r="B40" s="1">
        <f>B7</f>
        <v/>
      </c>
      <c r="C40" s="1">
        <f>IF(C$5="",0,IF(OR(C7=TRUE,ISTEXT(C7)),IFERROR(INDEX(Apr!$C$40:$AG$40,DAY(EOMONTH(DATE(Habits!$C$4,4,1),0))),0)+1,0))</f>
        <v/>
      </c>
      <c r="D40" s="1">
        <f>IF(D$5="",0,IF(OR(D7=TRUE,ISTEXT(D7)),C40+1,0))</f>
        <v/>
      </c>
      <c r="E40" s="1">
        <f>IF(E$5="",0,IF(OR(E7=TRUE,ISTEXT(E7)),D40+1,0))</f>
        <v/>
      </c>
      <c r="F40" s="1">
        <f>IF(F$5="",0,IF(OR(F7=TRUE,ISTEXT(F7)),E40+1,0))</f>
        <v/>
      </c>
      <c r="G40" s="1">
        <f>IF(G$5="",0,IF(OR(G7=TRUE,ISTEXT(G7)),F40+1,0))</f>
        <v/>
      </c>
      <c r="H40" s="1">
        <f>IF(H$5="",0,IF(OR(H7=TRUE,ISTEXT(H7)),G40+1,0))</f>
        <v/>
      </c>
      <c r="I40" s="1">
        <f>IF(I$5="",0,IF(OR(I7=TRUE,ISTEXT(I7)),H40+1,0))</f>
        <v/>
      </c>
      <c r="J40" s="1">
        <f>IF(J$5="",0,IF(OR(J7=TRUE,ISTEXT(J7)),I40+1,0))</f>
        <v/>
      </c>
      <c r="K40" s="1">
        <f>IF(K$5="",0,IF(OR(K7=TRUE,ISTEXT(K7)),J40+1,0))</f>
        <v/>
      </c>
      <c r="L40" s="1">
        <f>IF(L$5="",0,IF(OR(L7=TRUE,ISTEXT(L7)),K40+1,0))</f>
        <v/>
      </c>
      <c r="M40" s="1">
        <f>IF(M$5="",0,IF(OR(M7=TRUE,ISTEXT(M7)),L40+1,0))</f>
        <v/>
      </c>
      <c r="N40" s="1">
        <f>IF(N$5="",0,IF(OR(N7=TRUE,ISTEXT(N7)),M40+1,0))</f>
        <v/>
      </c>
      <c r="O40" s="1">
        <f>IF(O$5="",0,IF(OR(O7=TRUE,ISTEXT(O7)),N40+1,0))</f>
        <v/>
      </c>
      <c r="P40" s="1">
        <f>IF(P$5="",0,IF(OR(P7=TRUE,ISTEXT(P7)),O40+1,0))</f>
        <v/>
      </c>
      <c r="Q40" s="1">
        <f>IF(Q$5="",0,IF(OR(Q7=TRUE,ISTEXT(Q7)),P40+1,0))</f>
        <v/>
      </c>
      <c r="R40" s="1">
        <f>IF(R$5="",0,IF(OR(R7=TRUE,ISTEXT(R7)),Q40+1,0))</f>
        <v/>
      </c>
      <c r="S40" s="1">
        <f>IF(S$5="",0,IF(OR(S7=TRUE,ISTEXT(S7)),R40+1,0))</f>
        <v/>
      </c>
      <c r="T40" s="1">
        <f>IF(T$5="",0,IF(OR(T7=TRUE,ISTEXT(T7)),S40+1,0))</f>
        <v/>
      </c>
      <c r="U40" s="1">
        <f>IF(U$5="",0,IF(OR(U7=TRUE,ISTEXT(U7)),T40+1,0))</f>
        <v/>
      </c>
      <c r="V40" s="1">
        <f>IF(V$5="",0,IF(OR(V7=TRUE,ISTEXT(V7)),U40+1,0))</f>
        <v/>
      </c>
      <c r="W40" s="1">
        <f>IF(W$5="",0,IF(OR(W7=TRUE,ISTEXT(W7)),V40+1,0))</f>
        <v/>
      </c>
      <c r="X40" s="1">
        <f>IF(X$5="",0,IF(OR(X7=TRUE,ISTEXT(X7)),W40+1,0))</f>
        <v/>
      </c>
      <c r="Y40" s="1">
        <f>IF(Y$5="",0,IF(OR(Y7=TRUE,ISTEXT(Y7)),X40+1,0))</f>
        <v/>
      </c>
      <c r="Z40" s="1">
        <f>IF(Z$5="",0,IF(OR(Z7=TRUE,ISTEXT(Z7)),Y40+1,0))</f>
        <v/>
      </c>
      <c r="AA40" s="1">
        <f>IF(AA$5="",0,IF(OR(AA7=TRUE,ISTEXT(AA7)),Z40+1,0))</f>
        <v/>
      </c>
      <c r="AB40" s="1">
        <f>IF(AB$5="",0,IF(OR(AB7=TRUE,ISTEXT(AB7)),AA40+1,0))</f>
        <v/>
      </c>
      <c r="AC40" s="1">
        <f>IF(AC$5="",0,IF(OR(AC7=TRUE,ISTEXT(AC7)),AB40+1,0))</f>
        <v/>
      </c>
      <c r="AD40" s="1">
        <f>IF(AD$5="",0,IF(OR(AD7=TRUE,ISTEXT(AD7)),AC40+1,0))</f>
        <v/>
      </c>
      <c r="AE40" s="1">
        <f>IF(AE$5="",0,IF(OR(AE7=TRUE,ISTEXT(AE7)),AD40+1,0))</f>
        <v/>
      </c>
      <c r="AF40" s="1">
        <f>IF(AF$5="",0,IF(OR(AF7=TRUE,ISTEXT(AF7)),AE40+1,0))</f>
        <v/>
      </c>
      <c r="AG40" s="1">
        <f>IF(AG$5="",0,IF(OR(AG7=TRUE,ISTEXT(AG7)),AF40+1,0))</f>
        <v/>
      </c>
      <c r="AH40" s="1" t="n"/>
      <c r="AI40" s="1" t="n"/>
      <c r="AJ40" s="1" t="n"/>
      <c r="AK40" s="1" t="n"/>
      <c r="AL40" s="1" t="n"/>
    </row>
    <row r="41" hidden="1">
      <c r="A41" s="1" t="n"/>
      <c r="B41" s="1">
        <f>B8</f>
        <v/>
      </c>
      <c r="C41" s="1">
        <f>IF(C$5="",0,IF(OR(C8=TRUE,ISTEXT(C8)),IFERROR(INDEX(Apr!$C$41:$AG$41,DAY(EOMONTH(DATE(Habits!$C$4,4,1),0))),0)+1,0))</f>
        <v/>
      </c>
      <c r="D41" s="1">
        <f>IF(D$5="",0,IF(OR(D8=TRUE,ISTEXT(D8)),C41+1,0))</f>
        <v/>
      </c>
      <c r="E41" s="1">
        <f>IF(E$5="",0,IF(OR(E8=TRUE,ISTEXT(E8)),D41+1,0))</f>
        <v/>
      </c>
      <c r="F41" s="1">
        <f>IF(F$5="",0,IF(OR(F8=TRUE,ISTEXT(F8)),E41+1,0))</f>
        <v/>
      </c>
      <c r="G41" s="1">
        <f>IF(G$5="",0,IF(OR(G8=TRUE,ISTEXT(G8)),F41+1,0))</f>
        <v/>
      </c>
      <c r="H41" s="1">
        <f>IF(H$5="",0,IF(OR(H8=TRUE,ISTEXT(H8)),G41+1,0))</f>
        <v/>
      </c>
      <c r="I41" s="1">
        <f>IF(I$5="",0,IF(OR(I8=TRUE,ISTEXT(I8)),H41+1,0))</f>
        <v/>
      </c>
      <c r="J41" s="1">
        <f>IF(J$5="",0,IF(OR(J8=TRUE,ISTEXT(J8)),I41+1,0))</f>
        <v/>
      </c>
      <c r="K41" s="1">
        <f>IF(K$5="",0,IF(OR(K8=TRUE,ISTEXT(K8)),J41+1,0))</f>
        <v/>
      </c>
      <c r="L41" s="1">
        <f>IF(L$5="",0,IF(OR(L8=TRUE,ISTEXT(L8)),K41+1,0))</f>
        <v/>
      </c>
      <c r="M41" s="1">
        <f>IF(M$5="",0,IF(OR(M8=TRUE,ISTEXT(M8)),L41+1,0))</f>
        <v/>
      </c>
      <c r="N41" s="1">
        <f>IF(N$5="",0,IF(OR(N8=TRUE,ISTEXT(N8)),M41+1,0))</f>
        <v/>
      </c>
      <c r="O41" s="1">
        <f>IF(O$5="",0,IF(OR(O8=TRUE,ISTEXT(O8)),N41+1,0))</f>
        <v/>
      </c>
      <c r="P41" s="1">
        <f>IF(P$5="",0,IF(OR(P8=TRUE,ISTEXT(P8)),O41+1,0))</f>
        <v/>
      </c>
      <c r="Q41" s="1">
        <f>IF(Q$5="",0,IF(OR(Q8=TRUE,ISTEXT(Q8)),P41+1,0))</f>
        <v/>
      </c>
      <c r="R41" s="1">
        <f>IF(R$5="",0,IF(OR(R8=TRUE,ISTEXT(R8)),Q41+1,0))</f>
        <v/>
      </c>
      <c r="S41" s="1">
        <f>IF(S$5="",0,IF(OR(S8=TRUE,ISTEXT(S8)),R41+1,0))</f>
        <v/>
      </c>
      <c r="T41" s="1">
        <f>IF(T$5="",0,IF(OR(T8=TRUE,ISTEXT(T8)),S41+1,0))</f>
        <v/>
      </c>
      <c r="U41" s="1">
        <f>IF(U$5="",0,IF(OR(U8=TRUE,ISTEXT(U8)),T41+1,0))</f>
        <v/>
      </c>
      <c r="V41" s="1">
        <f>IF(V$5="",0,IF(OR(V8=TRUE,ISTEXT(V8)),U41+1,0))</f>
        <v/>
      </c>
      <c r="W41" s="1">
        <f>IF(W$5="",0,IF(OR(W8=TRUE,ISTEXT(W8)),V41+1,0))</f>
        <v/>
      </c>
      <c r="X41" s="1">
        <f>IF(X$5="",0,IF(OR(X8=TRUE,ISTEXT(X8)),W41+1,0))</f>
        <v/>
      </c>
      <c r="Y41" s="1">
        <f>IF(Y$5="",0,IF(OR(Y8=TRUE,ISTEXT(Y8)),X41+1,0))</f>
        <v/>
      </c>
      <c r="Z41" s="1">
        <f>IF(Z$5="",0,IF(OR(Z8=TRUE,ISTEXT(Z8)),Y41+1,0))</f>
        <v/>
      </c>
      <c r="AA41" s="1">
        <f>IF(AA$5="",0,IF(OR(AA8=TRUE,ISTEXT(AA8)),Z41+1,0))</f>
        <v/>
      </c>
      <c r="AB41" s="1">
        <f>IF(AB$5="",0,IF(OR(AB8=TRUE,ISTEXT(AB8)),AA41+1,0))</f>
        <v/>
      </c>
      <c r="AC41" s="1">
        <f>IF(AC$5="",0,IF(OR(AC8=TRUE,ISTEXT(AC8)),AB41+1,0))</f>
        <v/>
      </c>
      <c r="AD41" s="1">
        <f>IF(AD$5="",0,IF(OR(AD8=TRUE,ISTEXT(AD8)),AC41+1,0))</f>
        <v/>
      </c>
      <c r="AE41" s="1">
        <f>IF(AE$5="",0,IF(OR(AE8=TRUE,ISTEXT(AE8)),AD41+1,0))</f>
        <v/>
      </c>
      <c r="AF41" s="1">
        <f>IF(AF$5="",0,IF(OR(AF8=TRUE,ISTEXT(AF8)),AE41+1,0))</f>
        <v/>
      </c>
      <c r="AG41" s="1">
        <f>IF(AG$5="",0,IF(OR(AG8=TRUE,ISTEXT(AG8)),AF41+1,0))</f>
        <v/>
      </c>
      <c r="AH41" s="1" t="n"/>
      <c r="AI41" s="1" t="n"/>
      <c r="AJ41" s="1" t="n"/>
      <c r="AK41" s="1" t="n"/>
      <c r="AL41" s="1" t="n"/>
    </row>
    <row r="42" hidden="1">
      <c r="A42" s="1" t="n"/>
      <c r="B42" s="1">
        <f>B9</f>
        <v/>
      </c>
      <c r="C42" s="1">
        <f>IF(C$5="",0,IF(OR(C9=TRUE,ISTEXT(C9)),IFERROR(INDEX(Apr!$C$42:$AG$42,DAY(EOMONTH(DATE(Habits!$C$4,4,1),0))),0)+1,0))</f>
        <v/>
      </c>
      <c r="D42" s="1">
        <f>IF(D$5="",0,IF(OR(D9=TRUE,ISTEXT(D9)),C42+1,0))</f>
        <v/>
      </c>
      <c r="E42" s="1">
        <f>IF(E$5="",0,IF(OR(E9=TRUE,ISTEXT(E9)),D42+1,0))</f>
        <v/>
      </c>
      <c r="F42" s="1">
        <f>IF(F$5="",0,IF(OR(F9=TRUE,ISTEXT(F9)),E42+1,0))</f>
        <v/>
      </c>
      <c r="G42" s="1">
        <f>IF(G$5="",0,IF(OR(G9=TRUE,ISTEXT(G9)),F42+1,0))</f>
        <v/>
      </c>
      <c r="H42" s="1">
        <f>IF(H$5="",0,IF(OR(H9=TRUE,ISTEXT(H9)),G42+1,0))</f>
        <v/>
      </c>
      <c r="I42" s="1">
        <f>IF(I$5="",0,IF(OR(I9=TRUE,ISTEXT(I9)),H42+1,0))</f>
        <v/>
      </c>
      <c r="J42" s="1">
        <f>IF(J$5="",0,IF(OR(J9=TRUE,ISTEXT(J9)),I42+1,0))</f>
        <v/>
      </c>
      <c r="K42" s="1">
        <f>IF(K$5="",0,IF(OR(K9=TRUE,ISTEXT(K9)),J42+1,0))</f>
        <v/>
      </c>
      <c r="L42" s="1">
        <f>IF(L$5="",0,IF(OR(L9=TRUE,ISTEXT(L9)),K42+1,0))</f>
        <v/>
      </c>
      <c r="M42" s="1">
        <f>IF(M$5="",0,IF(OR(M9=TRUE,ISTEXT(M9)),L42+1,0))</f>
        <v/>
      </c>
      <c r="N42" s="1">
        <f>IF(N$5="",0,IF(OR(N9=TRUE,ISTEXT(N9)),M42+1,0))</f>
        <v/>
      </c>
      <c r="O42" s="1">
        <f>IF(O$5="",0,IF(OR(O9=TRUE,ISTEXT(O9)),N42+1,0))</f>
        <v/>
      </c>
      <c r="P42" s="1">
        <f>IF(P$5="",0,IF(OR(P9=TRUE,ISTEXT(P9)),O42+1,0))</f>
        <v/>
      </c>
      <c r="Q42" s="1">
        <f>IF(Q$5="",0,IF(OR(Q9=TRUE,ISTEXT(Q9)),P42+1,0))</f>
        <v/>
      </c>
      <c r="R42" s="1">
        <f>IF(R$5="",0,IF(OR(R9=TRUE,ISTEXT(R9)),Q42+1,0))</f>
        <v/>
      </c>
      <c r="S42" s="1">
        <f>IF(S$5="",0,IF(OR(S9=TRUE,ISTEXT(S9)),R42+1,0))</f>
        <v/>
      </c>
      <c r="T42" s="1">
        <f>IF(T$5="",0,IF(OR(T9=TRUE,ISTEXT(T9)),S42+1,0))</f>
        <v/>
      </c>
      <c r="U42" s="1">
        <f>IF(U$5="",0,IF(OR(U9=TRUE,ISTEXT(U9)),T42+1,0))</f>
        <v/>
      </c>
      <c r="V42" s="1">
        <f>IF(V$5="",0,IF(OR(V9=TRUE,ISTEXT(V9)),U42+1,0))</f>
        <v/>
      </c>
      <c r="W42" s="1">
        <f>IF(W$5="",0,IF(OR(W9=TRUE,ISTEXT(W9)),V42+1,0))</f>
        <v/>
      </c>
      <c r="X42" s="1">
        <f>IF(X$5="",0,IF(OR(X9=TRUE,ISTEXT(X9)),W42+1,0))</f>
        <v/>
      </c>
      <c r="Y42" s="1">
        <f>IF(Y$5="",0,IF(OR(Y9=TRUE,ISTEXT(Y9)),X42+1,0))</f>
        <v/>
      </c>
      <c r="Z42" s="1">
        <f>IF(Z$5="",0,IF(OR(Z9=TRUE,ISTEXT(Z9)),Y42+1,0))</f>
        <v/>
      </c>
      <c r="AA42" s="1">
        <f>IF(AA$5="",0,IF(OR(AA9=TRUE,ISTEXT(AA9)),Z42+1,0))</f>
        <v/>
      </c>
      <c r="AB42" s="1">
        <f>IF(AB$5="",0,IF(OR(AB9=TRUE,ISTEXT(AB9)),AA42+1,0))</f>
        <v/>
      </c>
      <c r="AC42" s="1">
        <f>IF(AC$5="",0,IF(OR(AC9=TRUE,ISTEXT(AC9)),AB42+1,0))</f>
        <v/>
      </c>
      <c r="AD42" s="1">
        <f>IF(AD$5="",0,IF(OR(AD9=TRUE,ISTEXT(AD9)),AC42+1,0))</f>
        <v/>
      </c>
      <c r="AE42" s="1">
        <f>IF(AE$5="",0,IF(OR(AE9=TRUE,ISTEXT(AE9)),AD42+1,0))</f>
        <v/>
      </c>
      <c r="AF42" s="1">
        <f>IF(AF$5="",0,IF(OR(AF9=TRUE,ISTEXT(AF9)),AE42+1,0))</f>
        <v/>
      </c>
      <c r="AG42" s="1">
        <f>IF(AG$5="",0,IF(OR(AG9=TRUE,ISTEXT(AG9)),AF42+1,0))</f>
        <v/>
      </c>
      <c r="AH42" s="1" t="n"/>
      <c r="AI42" s="1" t="n"/>
      <c r="AJ42" s="1" t="n"/>
      <c r="AK42" s="1" t="n"/>
      <c r="AL42" s="1" t="n"/>
    </row>
    <row r="43" hidden="1">
      <c r="A43" s="1" t="n"/>
      <c r="B43" s="1">
        <f>B10</f>
        <v/>
      </c>
      <c r="C43" s="1">
        <f>IF(C$5="",0,IF(OR(C10=TRUE,ISTEXT(C10)),IFERROR(INDEX(Apr!$C$43:$AG$43,DAY(EOMONTH(DATE(Habits!$C$4,4,1),0))),0)+1,0))</f>
        <v/>
      </c>
      <c r="D43" s="1">
        <f>IF(D$5="",0,IF(OR(D10=TRUE,ISTEXT(D10)),C43+1,0))</f>
        <v/>
      </c>
      <c r="E43" s="1">
        <f>IF(E$5="",0,IF(OR(E10=TRUE,ISTEXT(E10)),D43+1,0))</f>
        <v/>
      </c>
      <c r="F43" s="1">
        <f>IF(F$5="",0,IF(OR(F10=TRUE,ISTEXT(F10)),E43+1,0))</f>
        <v/>
      </c>
      <c r="G43" s="1">
        <f>IF(G$5="",0,IF(OR(G10=TRUE,ISTEXT(G10)),F43+1,0))</f>
        <v/>
      </c>
      <c r="H43" s="1">
        <f>IF(H$5="",0,IF(OR(H10=TRUE,ISTEXT(H10)),G43+1,0))</f>
        <v/>
      </c>
      <c r="I43" s="1">
        <f>IF(I$5="",0,IF(OR(I10=TRUE,ISTEXT(I10)),H43+1,0))</f>
        <v/>
      </c>
      <c r="J43" s="1">
        <f>IF(J$5="",0,IF(OR(J10=TRUE,ISTEXT(J10)),I43+1,0))</f>
        <v/>
      </c>
      <c r="K43" s="1">
        <f>IF(K$5="",0,IF(OR(K10=TRUE,ISTEXT(K10)),J43+1,0))</f>
        <v/>
      </c>
      <c r="L43" s="1">
        <f>IF(L$5="",0,IF(OR(L10=TRUE,ISTEXT(L10)),K43+1,0))</f>
        <v/>
      </c>
      <c r="M43" s="1">
        <f>IF(M$5="",0,IF(OR(M10=TRUE,ISTEXT(M10)),L43+1,0))</f>
        <v/>
      </c>
      <c r="N43" s="1">
        <f>IF(N$5="",0,IF(OR(N10=TRUE,ISTEXT(N10)),M43+1,0))</f>
        <v/>
      </c>
      <c r="O43" s="1">
        <f>IF(O$5="",0,IF(OR(O10=TRUE,ISTEXT(O10)),N43+1,0))</f>
        <v/>
      </c>
      <c r="P43" s="1">
        <f>IF(P$5="",0,IF(OR(P10=TRUE,ISTEXT(P10)),O43+1,0))</f>
        <v/>
      </c>
      <c r="Q43" s="1">
        <f>IF(Q$5="",0,IF(OR(Q10=TRUE,ISTEXT(Q10)),P43+1,0))</f>
        <v/>
      </c>
      <c r="R43" s="1">
        <f>IF(R$5="",0,IF(OR(R10=TRUE,ISTEXT(R10)),Q43+1,0))</f>
        <v/>
      </c>
      <c r="S43" s="1">
        <f>IF(S$5="",0,IF(OR(S10=TRUE,ISTEXT(S10)),R43+1,0))</f>
        <v/>
      </c>
      <c r="T43" s="1">
        <f>IF(T$5="",0,IF(OR(T10=TRUE,ISTEXT(T10)),S43+1,0))</f>
        <v/>
      </c>
      <c r="U43" s="1">
        <f>IF(U$5="",0,IF(OR(U10=TRUE,ISTEXT(U10)),T43+1,0))</f>
        <v/>
      </c>
      <c r="V43" s="1">
        <f>IF(V$5="",0,IF(OR(V10=TRUE,ISTEXT(V10)),U43+1,0))</f>
        <v/>
      </c>
      <c r="W43" s="1">
        <f>IF(W$5="",0,IF(OR(W10=TRUE,ISTEXT(W10)),V43+1,0))</f>
        <v/>
      </c>
      <c r="X43" s="1">
        <f>IF(X$5="",0,IF(OR(X10=TRUE,ISTEXT(X10)),W43+1,0))</f>
        <v/>
      </c>
      <c r="Y43" s="1">
        <f>IF(Y$5="",0,IF(OR(Y10=TRUE,ISTEXT(Y10)),X43+1,0))</f>
        <v/>
      </c>
      <c r="Z43" s="1">
        <f>IF(Z$5="",0,IF(OR(Z10=TRUE,ISTEXT(Z10)),Y43+1,0))</f>
        <v/>
      </c>
      <c r="AA43" s="1">
        <f>IF(AA$5="",0,IF(OR(AA10=TRUE,ISTEXT(AA10)),Z43+1,0))</f>
        <v/>
      </c>
      <c r="AB43" s="1">
        <f>IF(AB$5="",0,IF(OR(AB10=TRUE,ISTEXT(AB10)),AA43+1,0))</f>
        <v/>
      </c>
      <c r="AC43" s="1">
        <f>IF(AC$5="",0,IF(OR(AC10=TRUE,ISTEXT(AC10)),AB43+1,0))</f>
        <v/>
      </c>
      <c r="AD43" s="1">
        <f>IF(AD$5="",0,IF(OR(AD10=TRUE,ISTEXT(AD10)),AC43+1,0))</f>
        <v/>
      </c>
      <c r="AE43" s="1">
        <f>IF(AE$5="",0,IF(OR(AE10=TRUE,ISTEXT(AE10)),AD43+1,0))</f>
        <v/>
      </c>
      <c r="AF43" s="1">
        <f>IF(AF$5="",0,IF(OR(AF10=TRUE,ISTEXT(AF10)),AE43+1,0))</f>
        <v/>
      </c>
      <c r="AG43" s="1">
        <f>IF(AG$5="",0,IF(OR(AG10=TRUE,ISTEXT(AG10)),AF43+1,0))</f>
        <v/>
      </c>
      <c r="AH43" s="1" t="n"/>
      <c r="AI43" s="1" t="n"/>
      <c r="AJ43" s="1" t="n"/>
      <c r="AK43" s="1" t="n"/>
      <c r="AL43" s="1" t="n"/>
    </row>
    <row r="44" hidden="1">
      <c r="A44" s="1" t="n"/>
      <c r="B44" s="1">
        <f>B11</f>
        <v/>
      </c>
      <c r="C44" s="1">
        <f>IF(C$5="",0,IF(OR(C11=TRUE,ISTEXT(C11)),IFERROR(INDEX(Apr!$C$44:$AG$44,DAY(EOMONTH(DATE(Habits!$C$4,4,1),0))),0)+1,0))</f>
        <v/>
      </c>
      <c r="D44" s="1">
        <f>IF(D$5="",0,IF(OR(D11=TRUE,ISTEXT(D11)),C44+1,0))</f>
        <v/>
      </c>
      <c r="E44" s="1">
        <f>IF(E$5="",0,IF(OR(E11=TRUE,ISTEXT(E11)),D44+1,0))</f>
        <v/>
      </c>
      <c r="F44" s="1">
        <f>IF(F$5="",0,IF(OR(F11=TRUE,ISTEXT(F11)),E44+1,0))</f>
        <v/>
      </c>
      <c r="G44" s="1">
        <f>IF(G$5="",0,IF(OR(G11=TRUE,ISTEXT(G11)),F44+1,0))</f>
        <v/>
      </c>
      <c r="H44" s="1">
        <f>IF(H$5="",0,IF(OR(H11=TRUE,ISTEXT(H11)),G44+1,0))</f>
        <v/>
      </c>
      <c r="I44" s="1">
        <f>IF(I$5="",0,IF(OR(I11=TRUE,ISTEXT(I11)),H44+1,0))</f>
        <v/>
      </c>
      <c r="J44" s="1">
        <f>IF(J$5="",0,IF(OR(J11=TRUE,ISTEXT(J11)),I44+1,0))</f>
        <v/>
      </c>
      <c r="K44" s="1">
        <f>IF(K$5="",0,IF(OR(K11=TRUE,ISTEXT(K11)),J44+1,0))</f>
        <v/>
      </c>
      <c r="L44" s="1">
        <f>IF(L$5="",0,IF(OR(L11=TRUE,ISTEXT(L11)),K44+1,0))</f>
        <v/>
      </c>
      <c r="M44" s="1">
        <f>IF(M$5="",0,IF(OR(M11=TRUE,ISTEXT(M11)),L44+1,0))</f>
        <v/>
      </c>
      <c r="N44" s="1">
        <f>IF(N$5="",0,IF(OR(N11=TRUE,ISTEXT(N11)),M44+1,0))</f>
        <v/>
      </c>
      <c r="O44" s="1">
        <f>IF(O$5="",0,IF(OR(O11=TRUE,ISTEXT(O11)),N44+1,0))</f>
        <v/>
      </c>
      <c r="P44" s="1">
        <f>IF(P$5="",0,IF(OR(P11=TRUE,ISTEXT(P11)),O44+1,0))</f>
        <v/>
      </c>
      <c r="Q44" s="1">
        <f>IF(Q$5="",0,IF(OR(Q11=TRUE,ISTEXT(Q11)),P44+1,0))</f>
        <v/>
      </c>
      <c r="R44" s="1">
        <f>IF(R$5="",0,IF(OR(R11=TRUE,ISTEXT(R11)),Q44+1,0))</f>
        <v/>
      </c>
      <c r="S44" s="1">
        <f>IF(S$5="",0,IF(OR(S11=TRUE,ISTEXT(S11)),R44+1,0))</f>
        <v/>
      </c>
      <c r="T44" s="1">
        <f>IF(T$5="",0,IF(OR(T11=TRUE,ISTEXT(T11)),S44+1,0))</f>
        <v/>
      </c>
      <c r="U44" s="1">
        <f>IF(U$5="",0,IF(OR(U11=TRUE,ISTEXT(U11)),T44+1,0))</f>
        <v/>
      </c>
      <c r="V44" s="1">
        <f>IF(V$5="",0,IF(OR(V11=TRUE,ISTEXT(V11)),U44+1,0))</f>
        <v/>
      </c>
      <c r="W44" s="1">
        <f>IF(W$5="",0,IF(OR(W11=TRUE,ISTEXT(W11)),V44+1,0))</f>
        <v/>
      </c>
      <c r="X44" s="1">
        <f>IF(X$5="",0,IF(OR(X11=TRUE,ISTEXT(X11)),W44+1,0))</f>
        <v/>
      </c>
      <c r="Y44" s="1">
        <f>IF(Y$5="",0,IF(OR(Y11=TRUE,ISTEXT(Y11)),X44+1,0))</f>
        <v/>
      </c>
      <c r="Z44" s="1">
        <f>IF(Z$5="",0,IF(OR(Z11=TRUE,ISTEXT(Z11)),Y44+1,0))</f>
        <v/>
      </c>
      <c r="AA44" s="1">
        <f>IF(AA$5="",0,IF(OR(AA11=TRUE,ISTEXT(AA11)),Z44+1,0))</f>
        <v/>
      </c>
      <c r="AB44" s="1">
        <f>IF(AB$5="",0,IF(OR(AB11=TRUE,ISTEXT(AB11)),AA44+1,0))</f>
        <v/>
      </c>
      <c r="AC44" s="1">
        <f>IF(AC$5="",0,IF(OR(AC11=TRUE,ISTEXT(AC11)),AB44+1,0))</f>
        <v/>
      </c>
      <c r="AD44" s="1">
        <f>IF(AD$5="",0,IF(OR(AD11=TRUE,ISTEXT(AD11)),AC44+1,0))</f>
        <v/>
      </c>
      <c r="AE44" s="1">
        <f>IF(AE$5="",0,IF(OR(AE11=TRUE,ISTEXT(AE11)),AD44+1,0))</f>
        <v/>
      </c>
      <c r="AF44" s="1">
        <f>IF(AF$5="",0,IF(OR(AF11=TRUE,ISTEXT(AF11)),AE44+1,0))</f>
        <v/>
      </c>
      <c r="AG44" s="1">
        <f>IF(AG$5="",0,IF(OR(AG11=TRUE,ISTEXT(AG11)),AF44+1,0))</f>
        <v/>
      </c>
      <c r="AH44" s="1" t="n"/>
      <c r="AI44" s="1" t="n"/>
      <c r="AJ44" s="1" t="n"/>
      <c r="AK44" s="1" t="n"/>
      <c r="AL44" s="1" t="n"/>
    </row>
    <row r="45" hidden="1">
      <c r="A45" s="1" t="n"/>
      <c r="B45" s="1">
        <f>B12</f>
        <v/>
      </c>
      <c r="C45" s="1">
        <f>IF(C$5="",0,IF(OR(C12=TRUE,ISTEXT(C12)),IFERROR(INDEX(Apr!$C$45:$AG$45,DAY(EOMONTH(DATE(Habits!$C$4,4,1),0))),0)+1,0))</f>
        <v/>
      </c>
      <c r="D45" s="1">
        <f>IF(D$5="",0,IF(OR(D12=TRUE,ISTEXT(D12)),C45+1,0))</f>
        <v/>
      </c>
      <c r="E45" s="1">
        <f>IF(E$5="",0,IF(OR(E12=TRUE,ISTEXT(E12)),D45+1,0))</f>
        <v/>
      </c>
      <c r="F45" s="1">
        <f>IF(F$5="",0,IF(OR(F12=TRUE,ISTEXT(F12)),E45+1,0))</f>
        <v/>
      </c>
      <c r="G45" s="1">
        <f>IF(G$5="",0,IF(OR(G12=TRUE,ISTEXT(G12)),F45+1,0))</f>
        <v/>
      </c>
      <c r="H45" s="1">
        <f>IF(H$5="",0,IF(OR(H12=TRUE,ISTEXT(H12)),G45+1,0))</f>
        <v/>
      </c>
      <c r="I45" s="1">
        <f>IF(I$5="",0,IF(OR(I12=TRUE,ISTEXT(I12)),H45+1,0))</f>
        <v/>
      </c>
      <c r="J45" s="1">
        <f>IF(J$5="",0,IF(OR(J12=TRUE,ISTEXT(J12)),I45+1,0))</f>
        <v/>
      </c>
      <c r="K45" s="1">
        <f>IF(K$5="",0,IF(OR(K12=TRUE,ISTEXT(K12)),J45+1,0))</f>
        <v/>
      </c>
      <c r="L45" s="1">
        <f>IF(L$5="",0,IF(OR(L12=TRUE,ISTEXT(L12)),K45+1,0))</f>
        <v/>
      </c>
      <c r="M45" s="1">
        <f>IF(M$5="",0,IF(OR(M12=TRUE,ISTEXT(M12)),L45+1,0))</f>
        <v/>
      </c>
      <c r="N45" s="1">
        <f>IF(N$5="",0,IF(OR(N12=TRUE,ISTEXT(N12)),M45+1,0))</f>
        <v/>
      </c>
      <c r="O45" s="1">
        <f>IF(O$5="",0,IF(OR(O12=TRUE,ISTEXT(O12)),N45+1,0))</f>
        <v/>
      </c>
      <c r="P45" s="1">
        <f>IF(P$5="",0,IF(OR(P12=TRUE,ISTEXT(P12)),O45+1,0))</f>
        <v/>
      </c>
      <c r="Q45" s="1">
        <f>IF(Q$5="",0,IF(OR(Q12=TRUE,ISTEXT(Q12)),P45+1,0))</f>
        <v/>
      </c>
      <c r="R45" s="1">
        <f>IF(R$5="",0,IF(OR(R12=TRUE,ISTEXT(R12)),Q45+1,0))</f>
        <v/>
      </c>
      <c r="S45" s="1">
        <f>IF(S$5="",0,IF(OR(S12=TRUE,ISTEXT(S12)),R45+1,0))</f>
        <v/>
      </c>
      <c r="T45" s="1">
        <f>IF(T$5="",0,IF(OR(T12=TRUE,ISTEXT(T12)),S45+1,0))</f>
        <v/>
      </c>
      <c r="U45" s="1">
        <f>IF(U$5="",0,IF(OR(U12=TRUE,ISTEXT(U12)),T45+1,0))</f>
        <v/>
      </c>
      <c r="V45" s="1">
        <f>IF(V$5="",0,IF(OR(V12=TRUE,ISTEXT(V12)),U45+1,0))</f>
        <v/>
      </c>
      <c r="W45" s="1">
        <f>IF(W$5="",0,IF(OR(W12=TRUE,ISTEXT(W12)),V45+1,0))</f>
        <v/>
      </c>
      <c r="X45" s="1">
        <f>IF(X$5="",0,IF(OR(X12=TRUE,ISTEXT(X12)),W45+1,0))</f>
        <v/>
      </c>
      <c r="Y45" s="1">
        <f>IF(Y$5="",0,IF(OR(Y12=TRUE,ISTEXT(Y12)),X45+1,0))</f>
        <v/>
      </c>
      <c r="Z45" s="1">
        <f>IF(Z$5="",0,IF(OR(Z12=TRUE,ISTEXT(Z12)),Y45+1,0))</f>
        <v/>
      </c>
      <c r="AA45" s="1">
        <f>IF(AA$5="",0,IF(OR(AA12=TRUE,ISTEXT(AA12)),Z45+1,0))</f>
        <v/>
      </c>
      <c r="AB45" s="1">
        <f>IF(AB$5="",0,IF(OR(AB12=TRUE,ISTEXT(AB12)),AA45+1,0))</f>
        <v/>
      </c>
      <c r="AC45" s="1">
        <f>IF(AC$5="",0,IF(OR(AC12=TRUE,ISTEXT(AC12)),AB45+1,0))</f>
        <v/>
      </c>
      <c r="AD45" s="1">
        <f>IF(AD$5="",0,IF(OR(AD12=TRUE,ISTEXT(AD12)),AC45+1,0))</f>
        <v/>
      </c>
      <c r="AE45" s="1">
        <f>IF(AE$5="",0,IF(OR(AE12=TRUE,ISTEXT(AE12)),AD45+1,0))</f>
        <v/>
      </c>
      <c r="AF45" s="1">
        <f>IF(AF$5="",0,IF(OR(AF12=TRUE,ISTEXT(AF12)),AE45+1,0))</f>
        <v/>
      </c>
      <c r="AG45" s="1">
        <f>IF(AG$5="",0,IF(OR(AG12=TRUE,ISTEXT(AG12)),AF45+1,0))</f>
        <v/>
      </c>
      <c r="AH45" s="1" t="n"/>
      <c r="AI45" s="1" t="n"/>
      <c r="AJ45" s="1" t="n"/>
      <c r="AK45" s="1" t="n"/>
      <c r="AL45" s="1" t="n"/>
    </row>
    <row r="46" hidden="1">
      <c r="A46" s="1" t="n"/>
      <c r="B46" s="1">
        <f>B13</f>
        <v/>
      </c>
      <c r="C46" s="1">
        <f>IF(C$5="",0,IF(OR(C13=TRUE,ISTEXT(C13)),IFERROR(INDEX(Apr!$C$46:$AG$46,DAY(EOMONTH(DATE(Habits!$C$4,4,1),0))),0)+1,0))</f>
        <v/>
      </c>
      <c r="D46" s="1">
        <f>IF(D$5="",0,IF(OR(D13=TRUE,ISTEXT(D13)),C46+1,0))</f>
        <v/>
      </c>
      <c r="E46" s="1">
        <f>IF(E$5="",0,IF(OR(E13=TRUE,ISTEXT(E13)),D46+1,0))</f>
        <v/>
      </c>
      <c r="F46" s="1">
        <f>IF(F$5="",0,IF(OR(F13=TRUE,ISTEXT(F13)),E46+1,0))</f>
        <v/>
      </c>
      <c r="G46" s="1">
        <f>IF(G$5="",0,IF(OR(G13=TRUE,ISTEXT(G13)),F46+1,0))</f>
        <v/>
      </c>
      <c r="H46" s="1">
        <f>IF(H$5="",0,IF(OR(H13=TRUE,ISTEXT(H13)),G46+1,0))</f>
        <v/>
      </c>
      <c r="I46" s="1">
        <f>IF(I$5="",0,IF(OR(I13=TRUE,ISTEXT(I13)),H46+1,0))</f>
        <v/>
      </c>
      <c r="J46" s="1">
        <f>IF(J$5="",0,IF(OR(J13=TRUE,ISTEXT(J13)),I46+1,0))</f>
        <v/>
      </c>
      <c r="K46" s="1">
        <f>IF(K$5="",0,IF(OR(K13=TRUE,ISTEXT(K13)),J46+1,0))</f>
        <v/>
      </c>
      <c r="L46" s="1">
        <f>IF(L$5="",0,IF(OR(L13=TRUE,ISTEXT(L13)),K46+1,0))</f>
        <v/>
      </c>
      <c r="M46" s="1">
        <f>IF(M$5="",0,IF(OR(M13=TRUE,ISTEXT(M13)),L46+1,0))</f>
        <v/>
      </c>
      <c r="N46" s="1">
        <f>IF(N$5="",0,IF(OR(N13=TRUE,ISTEXT(N13)),M46+1,0))</f>
        <v/>
      </c>
      <c r="O46" s="1">
        <f>IF(O$5="",0,IF(OR(O13=TRUE,ISTEXT(O13)),N46+1,0))</f>
        <v/>
      </c>
      <c r="P46" s="1">
        <f>IF(P$5="",0,IF(OR(P13=TRUE,ISTEXT(P13)),O46+1,0))</f>
        <v/>
      </c>
      <c r="Q46" s="1">
        <f>IF(Q$5="",0,IF(OR(Q13=TRUE,ISTEXT(Q13)),P46+1,0))</f>
        <v/>
      </c>
      <c r="R46" s="1">
        <f>IF(R$5="",0,IF(OR(R13=TRUE,ISTEXT(R13)),Q46+1,0))</f>
        <v/>
      </c>
      <c r="S46" s="1">
        <f>IF(S$5="",0,IF(OR(S13=TRUE,ISTEXT(S13)),R46+1,0))</f>
        <v/>
      </c>
      <c r="T46" s="1">
        <f>IF(T$5="",0,IF(OR(T13=TRUE,ISTEXT(T13)),S46+1,0))</f>
        <v/>
      </c>
      <c r="U46" s="1">
        <f>IF(U$5="",0,IF(OR(U13=TRUE,ISTEXT(U13)),T46+1,0))</f>
        <v/>
      </c>
      <c r="V46" s="1">
        <f>IF(V$5="",0,IF(OR(V13=TRUE,ISTEXT(V13)),U46+1,0))</f>
        <v/>
      </c>
      <c r="W46" s="1">
        <f>IF(W$5="",0,IF(OR(W13=TRUE,ISTEXT(W13)),V46+1,0))</f>
        <v/>
      </c>
      <c r="X46" s="1">
        <f>IF(X$5="",0,IF(OR(X13=TRUE,ISTEXT(X13)),W46+1,0))</f>
        <v/>
      </c>
      <c r="Y46" s="1">
        <f>IF(Y$5="",0,IF(OR(Y13=TRUE,ISTEXT(Y13)),X46+1,0))</f>
        <v/>
      </c>
      <c r="Z46" s="1">
        <f>IF(Z$5="",0,IF(OR(Z13=TRUE,ISTEXT(Z13)),Y46+1,0))</f>
        <v/>
      </c>
      <c r="AA46" s="1">
        <f>IF(AA$5="",0,IF(OR(AA13=TRUE,ISTEXT(AA13)),Z46+1,0))</f>
        <v/>
      </c>
      <c r="AB46" s="1">
        <f>IF(AB$5="",0,IF(OR(AB13=TRUE,ISTEXT(AB13)),AA46+1,0))</f>
        <v/>
      </c>
      <c r="AC46" s="1">
        <f>IF(AC$5="",0,IF(OR(AC13=TRUE,ISTEXT(AC13)),AB46+1,0))</f>
        <v/>
      </c>
      <c r="AD46" s="1">
        <f>IF(AD$5="",0,IF(OR(AD13=TRUE,ISTEXT(AD13)),AC46+1,0))</f>
        <v/>
      </c>
      <c r="AE46" s="1">
        <f>IF(AE$5="",0,IF(OR(AE13=TRUE,ISTEXT(AE13)),AD46+1,0))</f>
        <v/>
      </c>
      <c r="AF46" s="1">
        <f>IF(AF$5="",0,IF(OR(AF13=TRUE,ISTEXT(AF13)),AE46+1,0))</f>
        <v/>
      </c>
      <c r="AG46" s="1">
        <f>IF(AG$5="",0,IF(OR(AG13=TRUE,ISTEXT(AG13)),AF46+1,0))</f>
        <v/>
      </c>
      <c r="AH46" s="1" t="n"/>
      <c r="AI46" s="1" t="n"/>
      <c r="AJ46" s="1" t="n"/>
      <c r="AK46" s="1" t="n"/>
      <c r="AL46" s="1" t="n"/>
    </row>
    <row r="47" hidden="1">
      <c r="A47" s="1" t="n"/>
      <c r="B47" s="1">
        <f>B14</f>
        <v/>
      </c>
      <c r="C47" s="1">
        <f>IF(C$5="",0,IF(OR(C14=TRUE,ISTEXT(C14)),IFERROR(INDEX(Apr!$C$47:$AG$47,DAY(EOMONTH(DATE(Habits!$C$4,4,1),0))),0)+1,0))</f>
        <v/>
      </c>
      <c r="D47" s="1">
        <f>IF(D$5="",0,IF(OR(D14=TRUE,ISTEXT(D14)),C47+1,0))</f>
        <v/>
      </c>
      <c r="E47" s="1">
        <f>IF(E$5="",0,IF(OR(E14=TRUE,ISTEXT(E14)),D47+1,0))</f>
        <v/>
      </c>
      <c r="F47" s="1">
        <f>IF(F$5="",0,IF(OR(F14=TRUE,ISTEXT(F14)),E47+1,0))</f>
        <v/>
      </c>
      <c r="G47" s="1">
        <f>IF(G$5="",0,IF(OR(G14=TRUE,ISTEXT(G14)),F47+1,0))</f>
        <v/>
      </c>
      <c r="H47" s="1">
        <f>IF(H$5="",0,IF(OR(H14=TRUE,ISTEXT(H14)),G47+1,0))</f>
        <v/>
      </c>
      <c r="I47" s="1">
        <f>IF(I$5="",0,IF(OR(I14=TRUE,ISTEXT(I14)),H47+1,0))</f>
        <v/>
      </c>
      <c r="J47" s="1">
        <f>IF(J$5="",0,IF(OR(J14=TRUE,ISTEXT(J14)),I47+1,0))</f>
        <v/>
      </c>
      <c r="K47" s="1">
        <f>IF(K$5="",0,IF(OR(K14=TRUE,ISTEXT(K14)),J47+1,0))</f>
        <v/>
      </c>
      <c r="L47" s="1">
        <f>IF(L$5="",0,IF(OR(L14=TRUE,ISTEXT(L14)),K47+1,0))</f>
        <v/>
      </c>
      <c r="M47" s="1">
        <f>IF(M$5="",0,IF(OR(M14=TRUE,ISTEXT(M14)),L47+1,0))</f>
        <v/>
      </c>
      <c r="N47" s="1">
        <f>IF(N$5="",0,IF(OR(N14=TRUE,ISTEXT(N14)),M47+1,0))</f>
        <v/>
      </c>
      <c r="O47" s="1">
        <f>IF(O$5="",0,IF(OR(O14=TRUE,ISTEXT(O14)),N47+1,0))</f>
        <v/>
      </c>
      <c r="P47" s="1">
        <f>IF(P$5="",0,IF(OR(P14=TRUE,ISTEXT(P14)),O47+1,0))</f>
        <v/>
      </c>
      <c r="Q47" s="1">
        <f>IF(Q$5="",0,IF(OR(Q14=TRUE,ISTEXT(Q14)),P47+1,0))</f>
        <v/>
      </c>
      <c r="R47" s="1">
        <f>IF(R$5="",0,IF(OR(R14=TRUE,ISTEXT(R14)),Q47+1,0))</f>
        <v/>
      </c>
      <c r="S47" s="1">
        <f>IF(S$5="",0,IF(OR(S14=TRUE,ISTEXT(S14)),R47+1,0))</f>
        <v/>
      </c>
      <c r="T47" s="1">
        <f>IF(T$5="",0,IF(OR(T14=TRUE,ISTEXT(T14)),S47+1,0))</f>
        <v/>
      </c>
      <c r="U47" s="1">
        <f>IF(U$5="",0,IF(OR(U14=TRUE,ISTEXT(U14)),T47+1,0))</f>
        <v/>
      </c>
      <c r="V47" s="1">
        <f>IF(V$5="",0,IF(OR(V14=TRUE,ISTEXT(V14)),U47+1,0))</f>
        <v/>
      </c>
      <c r="W47" s="1">
        <f>IF(W$5="",0,IF(OR(W14=TRUE,ISTEXT(W14)),V47+1,0))</f>
        <v/>
      </c>
      <c r="X47" s="1">
        <f>IF(X$5="",0,IF(OR(X14=TRUE,ISTEXT(X14)),W47+1,0))</f>
        <v/>
      </c>
      <c r="Y47" s="1">
        <f>IF(Y$5="",0,IF(OR(Y14=TRUE,ISTEXT(Y14)),X47+1,0))</f>
        <v/>
      </c>
      <c r="Z47" s="1">
        <f>IF(Z$5="",0,IF(OR(Z14=TRUE,ISTEXT(Z14)),Y47+1,0))</f>
        <v/>
      </c>
      <c r="AA47" s="1">
        <f>IF(AA$5="",0,IF(OR(AA14=TRUE,ISTEXT(AA14)),Z47+1,0))</f>
        <v/>
      </c>
      <c r="AB47" s="1">
        <f>IF(AB$5="",0,IF(OR(AB14=TRUE,ISTEXT(AB14)),AA47+1,0))</f>
        <v/>
      </c>
      <c r="AC47" s="1">
        <f>IF(AC$5="",0,IF(OR(AC14=TRUE,ISTEXT(AC14)),AB47+1,0))</f>
        <v/>
      </c>
      <c r="AD47" s="1">
        <f>IF(AD$5="",0,IF(OR(AD14=TRUE,ISTEXT(AD14)),AC47+1,0))</f>
        <v/>
      </c>
      <c r="AE47" s="1">
        <f>IF(AE$5="",0,IF(OR(AE14=TRUE,ISTEXT(AE14)),AD47+1,0))</f>
        <v/>
      </c>
      <c r="AF47" s="1">
        <f>IF(AF$5="",0,IF(OR(AF14=TRUE,ISTEXT(AF14)),AE47+1,0))</f>
        <v/>
      </c>
      <c r="AG47" s="1">
        <f>IF(AG$5="",0,IF(OR(AG14=TRUE,ISTEXT(AG14)),AF47+1,0))</f>
        <v/>
      </c>
      <c r="AH47" s="1" t="n"/>
      <c r="AI47" s="1" t="n"/>
      <c r="AJ47" s="1" t="n"/>
      <c r="AK47" s="1" t="n"/>
      <c r="AL47" s="1" t="n"/>
    </row>
    <row r="48" hidden="1">
      <c r="A48" s="1" t="n"/>
      <c r="B48" s="1">
        <f>B15</f>
        <v/>
      </c>
      <c r="C48" s="1">
        <f>IF(C$5="",0,IF(OR(C15=TRUE,ISTEXT(C15)),IFERROR(INDEX(Apr!$C$48:$AG$48,DAY(EOMONTH(DATE(Habits!$C$4,4,1),0))),0)+1,0))</f>
        <v/>
      </c>
      <c r="D48" s="1">
        <f>IF(D$5="",0,IF(OR(D15=TRUE,ISTEXT(D15)),C48+1,0))</f>
        <v/>
      </c>
      <c r="E48" s="1">
        <f>IF(E$5="",0,IF(OR(E15=TRUE,ISTEXT(E15)),D48+1,0))</f>
        <v/>
      </c>
      <c r="F48" s="1">
        <f>IF(F$5="",0,IF(OR(F15=TRUE,ISTEXT(F15)),E48+1,0))</f>
        <v/>
      </c>
      <c r="G48" s="1">
        <f>IF(G$5="",0,IF(OR(G15=TRUE,ISTEXT(G15)),F48+1,0))</f>
        <v/>
      </c>
      <c r="H48" s="1">
        <f>IF(H$5="",0,IF(OR(H15=TRUE,ISTEXT(H15)),G48+1,0))</f>
        <v/>
      </c>
      <c r="I48" s="1">
        <f>IF(I$5="",0,IF(OR(I15=TRUE,ISTEXT(I15)),H48+1,0))</f>
        <v/>
      </c>
      <c r="J48" s="1">
        <f>IF(J$5="",0,IF(OR(J15=TRUE,ISTEXT(J15)),I48+1,0))</f>
        <v/>
      </c>
      <c r="K48" s="1">
        <f>IF(K$5="",0,IF(OR(K15=TRUE,ISTEXT(K15)),J48+1,0))</f>
        <v/>
      </c>
      <c r="L48" s="1">
        <f>IF(L$5="",0,IF(OR(L15=TRUE,ISTEXT(L15)),K48+1,0))</f>
        <v/>
      </c>
      <c r="M48" s="1">
        <f>IF(M$5="",0,IF(OR(M15=TRUE,ISTEXT(M15)),L48+1,0))</f>
        <v/>
      </c>
      <c r="N48" s="1">
        <f>IF(N$5="",0,IF(OR(N15=TRUE,ISTEXT(N15)),M48+1,0))</f>
        <v/>
      </c>
      <c r="O48" s="1">
        <f>IF(O$5="",0,IF(OR(O15=TRUE,ISTEXT(O15)),N48+1,0))</f>
        <v/>
      </c>
      <c r="P48" s="1">
        <f>IF(P$5="",0,IF(OR(P15=TRUE,ISTEXT(P15)),O48+1,0))</f>
        <v/>
      </c>
      <c r="Q48" s="1">
        <f>IF(Q$5="",0,IF(OR(Q15=TRUE,ISTEXT(Q15)),P48+1,0))</f>
        <v/>
      </c>
      <c r="R48" s="1">
        <f>IF(R$5="",0,IF(OR(R15=TRUE,ISTEXT(R15)),Q48+1,0))</f>
        <v/>
      </c>
      <c r="S48" s="1">
        <f>IF(S$5="",0,IF(OR(S15=TRUE,ISTEXT(S15)),R48+1,0))</f>
        <v/>
      </c>
      <c r="T48" s="1">
        <f>IF(T$5="",0,IF(OR(T15=TRUE,ISTEXT(T15)),S48+1,0))</f>
        <v/>
      </c>
      <c r="U48" s="1">
        <f>IF(U$5="",0,IF(OR(U15=TRUE,ISTEXT(U15)),T48+1,0))</f>
        <v/>
      </c>
      <c r="V48" s="1">
        <f>IF(V$5="",0,IF(OR(V15=TRUE,ISTEXT(V15)),U48+1,0))</f>
        <v/>
      </c>
      <c r="W48" s="1">
        <f>IF(W$5="",0,IF(OR(W15=TRUE,ISTEXT(W15)),V48+1,0))</f>
        <v/>
      </c>
      <c r="X48" s="1">
        <f>IF(X$5="",0,IF(OR(X15=TRUE,ISTEXT(X15)),W48+1,0))</f>
        <v/>
      </c>
      <c r="Y48" s="1">
        <f>IF(Y$5="",0,IF(OR(Y15=TRUE,ISTEXT(Y15)),X48+1,0))</f>
        <v/>
      </c>
      <c r="Z48" s="1">
        <f>IF(Z$5="",0,IF(OR(Z15=TRUE,ISTEXT(Z15)),Y48+1,0))</f>
        <v/>
      </c>
      <c r="AA48" s="1">
        <f>IF(AA$5="",0,IF(OR(AA15=TRUE,ISTEXT(AA15)),Z48+1,0))</f>
        <v/>
      </c>
      <c r="AB48" s="1">
        <f>IF(AB$5="",0,IF(OR(AB15=TRUE,ISTEXT(AB15)),AA48+1,0))</f>
        <v/>
      </c>
      <c r="AC48" s="1">
        <f>IF(AC$5="",0,IF(OR(AC15=TRUE,ISTEXT(AC15)),AB48+1,0))</f>
        <v/>
      </c>
      <c r="AD48" s="1">
        <f>IF(AD$5="",0,IF(OR(AD15=TRUE,ISTEXT(AD15)),AC48+1,0))</f>
        <v/>
      </c>
      <c r="AE48" s="1">
        <f>IF(AE$5="",0,IF(OR(AE15=TRUE,ISTEXT(AE15)),AD48+1,0))</f>
        <v/>
      </c>
      <c r="AF48" s="1">
        <f>IF(AF$5="",0,IF(OR(AF15=TRUE,ISTEXT(AF15)),AE48+1,0))</f>
        <v/>
      </c>
      <c r="AG48" s="1">
        <f>IF(AG$5="",0,IF(OR(AG15=TRUE,ISTEXT(AG15)),AF48+1,0))</f>
        <v/>
      </c>
      <c r="AH48" s="1" t="n"/>
      <c r="AI48" s="1" t="n"/>
      <c r="AJ48" s="1" t="n"/>
      <c r="AK48" s="1" t="n"/>
      <c r="AL48" s="1" t="n"/>
    </row>
    <row r="49" hidden="1">
      <c r="A49" s="1" t="n"/>
      <c r="B49" s="1">
        <f>B16</f>
        <v/>
      </c>
      <c r="C49" s="1">
        <f>IF(C$5="",0,IF(OR(C16=TRUE,ISTEXT(C16)),IFERROR(INDEX(Apr!$C$49:$AG$49,DAY(EOMONTH(DATE(Habits!$C$4,4,1),0))),0)+1,0))</f>
        <v/>
      </c>
      <c r="D49" s="1">
        <f>IF(D$5="",0,IF(OR(D16=TRUE,ISTEXT(D16)),C49+1,0))</f>
        <v/>
      </c>
      <c r="E49" s="1">
        <f>IF(E$5="",0,IF(OR(E16=TRUE,ISTEXT(E16)),D49+1,0))</f>
        <v/>
      </c>
      <c r="F49" s="1">
        <f>IF(F$5="",0,IF(OR(F16=TRUE,ISTEXT(F16)),E49+1,0))</f>
        <v/>
      </c>
      <c r="G49" s="1">
        <f>IF(G$5="",0,IF(OR(G16=TRUE,ISTEXT(G16)),F49+1,0))</f>
        <v/>
      </c>
      <c r="H49" s="1">
        <f>IF(H$5="",0,IF(OR(H16=TRUE,ISTEXT(H16)),G49+1,0))</f>
        <v/>
      </c>
      <c r="I49" s="1">
        <f>IF(I$5="",0,IF(OR(I16=TRUE,ISTEXT(I16)),H49+1,0))</f>
        <v/>
      </c>
      <c r="J49" s="1">
        <f>IF(J$5="",0,IF(OR(J16=TRUE,ISTEXT(J16)),I49+1,0))</f>
        <v/>
      </c>
      <c r="K49" s="1">
        <f>IF(K$5="",0,IF(OR(K16=TRUE,ISTEXT(K16)),J49+1,0))</f>
        <v/>
      </c>
      <c r="L49" s="1">
        <f>IF(L$5="",0,IF(OR(L16=TRUE,ISTEXT(L16)),K49+1,0))</f>
        <v/>
      </c>
      <c r="M49" s="1">
        <f>IF(M$5="",0,IF(OR(M16=TRUE,ISTEXT(M16)),L49+1,0))</f>
        <v/>
      </c>
      <c r="N49" s="1">
        <f>IF(N$5="",0,IF(OR(N16=TRUE,ISTEXT(N16)),M49+1,0))</f>
        <v/>
      </c>
      <c r="O49" s="1">
        <f>IF(O$5="",0,IF(OR(O16=TRUE,ISTEXT(O16)),N49+1,0))</f>
        <v/>
      </c>
      <c r="P49" s="1">
        <f>IF(P$5="",0,IF(OR(P16=TRUE,ISTEXT(P16)),O49+1,0))</f>
        <v/>
      </c>
      <c r="Q49" s="1">
        <f>IF(Q$5="",0,IF(OR(Q16=TRUE,ISTEXT(Q16)),P49+1,0))</f>
        <v/>
      </c>
      <c r="R49" s="1">
        <f>IF(R$5="",0,IF(OR(R16=TRUE,ISTEXT(R16)),Q49+1,0))</f>
        <v/>
      </c>
      <c r="S49" s="1">
        <f>IF(S$5="",0,IF(OR(S16=TRUE,ISTEXT(S16)),R49+1,0))</f>
        <v/>
      </c>
      <c r="T49" s="1">
        <f>IF(T$5="",0,IF(OR(T16=TRUE,ISTEXT(T16)),S49+1,0))</f>
        <v/>
      </c>
      <c r="U49" s="1">
        <f>IF(U$5="",0,IF(OR(U16=TRUE,ISTEXT(U16)),T49+1,0))</f>
        <v/>
      </c>
      <c r="V49" s="1">
        <f>IF(V$5="",0,IF(OR(V16=TRUE,ISTEXT(V16)),U49+1,0))</f>
        <v/>
      </c>
      <c r="W49" s="1">
        <f>IF(W$5="",0,IF(OR(W16=TRUE,ISTEXT(W16)),V49+1,0))</f>
        <v/>
      </c>
      <c r="X49" s="1">
        <f>IF(X$5="",0,IF(OR(X16=TRUE,ISTEXT(X16)),W49+1,0))</f>
        <v/>
      </c>
      <c r="Y49" s="1">
        <f>IF(Y$5="",0,IF(OR(Y16=TRUE,ISTEXT(Y16)),X49+1,0))</f>
        <v/>
      </c>
      <c r="Z49" s="1">
        <f>IF(Z$5="",0,IF(OR(Z16=TRUE,ISTEXT(Z16)),Y49+1,0))</f>
        <v/>
      </c>
      <c r="AA49" s="1">
        <f>IF(AA$5="",0,IF(OR(AA16=TRUE,ISTEXT(AA16)),Z49+1,0))</f>
        <v/>
      </c>
      <c r="AB49" s="1">
        <f>IF(AB$5="",0,IF(OR(AB16=TRUE,ISTEXT(AB16)),AA49+1,0))</f>
        <v/>
      </c>
      <c r="AC49" s="1">
        <f>IF(AC$5="",0,IF(OR(AC16=TRUE,ISTEXT(AC16)),AB49+1,0))</f>
        <v/>
      </c>
      <c r="AD49" s="1">
        <f>IF(AD$5="",0,IF(OR(AD16=TRUE,ISTEXT(AD16)),AC49+1,0))</f>
        <v/>
      </c>
      <c r="AE49" s="1">
        <f>IF(AE$5="",0,IF(OR(AE16=TRUE,ISTEXT(AE16)),AD49+1,0))</f>
        <v/>
      </c>
      <c r="AF49" s="1">
        <f>IF(AF$5="",0,IF(OR(AF16=TRUE,ISTEXT(AF16)),AE49+1,0))</f>
        <v/>
      </c>
      <c r="AG49" s="1">
        <f>IF(AG$5="",0,IF(OR(AG16=TRUE,ISTEXT(AG16)),AF49+1,0))</f>
        <v/>
      </c>
      <c r="AH49" s="1" t="n"/>
      <c r="AI49" s="1" t="n"/>
      <c r="AJ49" s="1" t="n"/>
      <c r="AK49" s="1" t="n"/>
      <c r="AL49" s="1" t="n"/>
    </row>
    <row r="50" hidden="1">
      <c r="A50" s="1" t="n"/>
      <c r="B50" s="1">
        <f>B17</f>
        <v/>
      </c>
      <c r="C50" s="1">
        <f>IF(C$5="",0,IF(OR(C17=TRUE,ISTEXT(C17)),IFERROR(INDEX(Apr!$C$50:$AG$50,DAY(EOMONTH(DATE(Habits!$C$4,4,1),0))),0)+1,0))</f>
        <v/>
      </c>
      <c r="D50" s="1">
        <f>IF(D$5="",0,IF(OR(D17=TRUE,ISTEXT(D17)),C50+1,0))</f>
        <v/>
      </c>
      <c r="E50" s="1">
        <f>IF(E$5="",0,IF(OR(E17=TRUE,ISTEXT(E17)),D50+1,0))</f>
        <v/>
      </c>
      <c r="F50" s="1">
        <f>IF(F$5="",0,IF(OR(F17=TRUE,ISTEXT(F17)),E50+1,0))</f>
        <v/>
      </c>
      <c r="G50" s="1">
        <f>IF(G$5="",0,IF(OR(G17=TRUE,ISTEXT(G17)),F50+1,0))</f>
        <v/>
      </c>
      <c r="H50" s="1">
        <f>IF(H$5="",0,IF(OR(H17=TRUE,ISTEXT(H17)),G50+1,0))</f>
        <v/>
      </c>
      <c r="I50" s="1">
        <f>IF(I$5="",0,IF(OR(I17=TRUE,ISTEXT(I17)),H50+1,0))</f>
        <v/>
      </c>
      <c r="J50" s="1">
        <f>IF(J$5="",0,IF(OR(J17=TRUE,ISTEXT(J17)),I50+1,0))</f>
        <v/>
      </c>
      <c r="K50" s="1">
        <f>IF(K$5="",0,IF(OR(K17=TRUE,ISTEXT(K17)),J50+1,0))</f>
        <v/>
      </c>
      <c r="L50" s="1">
        <f>IF(L$5="",0,IF(OR(L17=TRUE,ISTEXT(L17)),K50+1,0))</f>
        <v/>
      </c>
      <c r="M50" s="1">
        <f>IF(M$5="",0,IF(OR(M17=TRUE,ISTEXT(M17)),L50+1,0))</f>
        <v/>
      </c>
      <c r="N50" s="1">
        <f>IF(N$5="",0,IF(OR(N17=TRUE,ISTEXT(N17)),M50+1,0))</f>
        <v/>
      </c>
      <c r="O50" s="1">
        <f>IF(O$5="",0,IF(OR(O17=TRUE,ISTEXT(O17)),N50+1,0))</f>
        <v/>
      </c>
      <c r="P50" s="1">
        <f>IF(P$5="",0,IF(OR(P17=TRUE,ISTEXT(P17)),O50+1,0))</f>
        <v/>
      </c>
      <c r="Q50" s="1">
        <f>IF(Q$5="",0,IF(OR(Q17=TRUE,ISTEXT(Q17)),P50+1,0))</f>
        <v/>
      </c>
      <c r="R50" s="1">
        <f>IF(R$5="",0,IF(OR(R17=TRUE,ISTEXT(R17)),Q50+1,0))</f>
        <v/>
      </c>
      <c r="S50" s="1">
        <f>IF(S$5="",0,IF(OR(S17=TRUE,ISTEXT(S17)),R50+1,0))</f>
        <v/>
      </c>
      <c r="T50" s="1">
        <f>IF(T$5="",0,IF(OR(T17=TRUE,ISTEXT(T17)),S50+1,0))</f>
        <v/>
      </c>
      <c r="U50" s="1">
        <f>IF(U$5="",0,IF(OR(U17=TRUE,ISTEXT(U17)),T50+1,0))</f>
        <v/>
      </c>
      <c r="V50" s="1">
        <f>IF(V$5="",0,IF(OR(V17=TRUE,ISTEXT(V17)),U50+1,0))</f>
        <v/>
      </c>
      <c r="W50" s="1">
        <f>IF(W$5="",0,IF(OR(W17=TRUE,ISTEXT(W17)),V50+1,0))</f>
        <v/>
      </c>
      <c r="X50" s="1">
        <f>IF(X$5="",0,IF(OR(X17=TRUE,ISTEXT(X17)),W50+1,0))</f>
        <v/>
      </c>
      <c r="Y50" s="1">
        <f>IF(Y$5="",0,IF(OR(Y17=TRUE,ISTEXT(Y17)),X50+1,0))</f>
        <v/>
      </c>
      <c r="Z50" s="1">
        <f>IF(Z$5="",0,IF(OR(Z17=TRUE,ISTEXT(Z17)),Y50+1,0))</f>
        <v/>
      </c>
      <c r="AA50" s="1">
        <f>IF(AA$5="",0,IF(OR(AA17=TRUE,ISTEXT(AA17)),Z50+1,0))</f>
        <v/>
      </c>
      <c r="AB50" s="1">
        <f>IF(AB$5="",0,IF(OR(AB17=TRUE,ISTEXT(AB17)),AA50+1,0))</f>
        <v/>
      </c>
      <c r="AC50" s="1">
        <f>IF(AC$5="",0,IF(OR(AC17=TRUE,ISTEXT(AC17)),AB50+1,0))</f>
        <v/>
      </c>
      <c r="AD50" s="1">
        <f>IF(AD$5="",0,IF(OR(AD17=TRUE,ISTEXT(AD17)),AC50+1,0))</f>
        <v/>
      </c>
      <c r="AE50" s="1">
        <f>IF(AE$5="",0,IF(OR(AE17=TRUE,ISTEXT(AE17)),AD50+1,0))</f>
        <v/>
      </c>
      <c r="AF50" s="1">
        <f>IF(AF$5="",0,IF(OR(AF17=TRUE,ISTEXT(AF17)),AE50+1,0))</f>
        <v/>
      </c>
      <c r="AG50" s="1">
        <f>IF(AG$5="",0,IF(OR(AG17=TRUE,ISTEXT(AG17)),AF50+1,0))</f>
        <v/>
      </c>
      <c r="AH50" s="1" t="n"/>
      <c r="AI50" s="1" t="n"/>
      <c r="AJ50" s="1" t="n"/>
      <c r="AK50" s="1" t="n"/>
      <c r="AL50" s="1" t="n"/>
    </row>
    <row r="51" hidden="1">
      <c r="A51" s="1" t="n"/>
      <c r="B51" s="1">
        <f>B18</f>
        <v/>
      </c>
      <c r="C51" s="1">
        <f>IF(C$5="",0,IF(OR(C18=TRUE,ISTEXT(C18)),IFERROR(INDEX(Apr!$C$51:$AG$51,DAY(EOMONTH(DATE(Habits!$C$4,4,1),0))),0)+1,0))</f>
        <v/>
      </c>
      <c r="D51" s="1">
        <f>IF(D$5="",0,IF(OR(D18=TRUE,ISTEXT(D18)),C51+1,0))</f>
        <v/>
      </c>
      <c r="E51" s="1">
        <f>IF(E$5="",0,IF(OR(E18=TRUE,ISTEXT(E18)),D51+1,0))</f>
        <v/>
      </c>
      <c r="F51" s="1">
        <f>IF(F$5="",0,IF(OR(F18=TRUE,ISTEXT(F18)),E51+1,0))</f>
        <v/>
      </c>
      <c r="G51" s="1">
        <f>IF(G$5="",0,IF(OR(G18=TRUE,ISTEXT(G18)),F51+1,0))</f>
        <v/>
      </c>
      <c r="H51" s="1">
        <f>IF(H$5="",0,IF(OR(H18=TRUE,ISTEXT(H18)),G51+1,0))</f>
        <v/>
      </c>
      <c r="I51" s="1">
        <f>IF(I$5="",0,IF(OR(I18=TRUE,ISTEXT(I18)),H51+1,0))</f>
        <v/>
      </c>
      <c r="J51" s="1">
        <f>IF(J$5="",0,IF(OR(J18=TRUE,ISTEXT(J18)),I51+1,0))</f>
        <v/>
      </c>
      <c r="K51" s="1">
        <f>IF(K$5="",0,IF(OR(K18=TRUE,ISTEXT(K18)),J51+1,0))</f>
        <v/>
      </c>
      <c r="L51" s="1">
        <f>IF(L$5="",0,IF(OR(L18=TRUE,ISTEXT(L18)),K51+1,0))</f>
        <v/>
      </c>
      <c r="M51" s="1">
        <f>IF(M$5="",0,IF(OR(M18=TRUE,ISTEXT(M18)),L51+1,0))</f>
        <v/>
      </c>
      <c r="N51" s="1">
        <f>IF(N$5="",0,IF(OR(N18=TRUE,ISTEXT(N18)),M51+1,0))</f>
        <v/>
      </c>
      <c r="O51" s="1">
        <f>IF(O$5="",0,IF(OR(O18=TRUE,ISTEXT(O18)),N51+1,0))</f>
        <v/>
      </c>
      <c r="P51" s="1">
        <f>IF(P$5="",0,IF(OR(P18=TRUE,ISTEXT(P18)),O51+1,0))</f>
        <v/>
      </c>
      <c r="Q51" s="1">
        <f>IF(Q$5="",0,IF(OR(Q18=TRUE,ISTEXT(Q18)),P51+1,0))</f>
        <v/>
      </c>
      <c r="R51" s="1">
        <f>IF(R$5="",0,IF(OR(R18=TRUE,ISTEXT(R18)),Q51+1,0))</f>
        <v/>
      </c>
      <c r="S51" s="1">
        <f>IF(S$5="",0,IF(OR(S18=TRUE,ISTEXT(S18)),R51+1,0))</f>
        <v/>
      </c>
      <c r="T51" s="1">
        <f>IF(T$5="",0,IF(OR(T18=TRUE,ISTEXT(T18)),S51+1,0))</f>
        <v/>
      </c>
      <c r="U51" s="1">
        <f>IF(U$5="",0,IF(OR(U18=TRUE,ISTEXT(U18)),T51+1,0))</f>
        <v/>
      </c>
      <c r="V51" s="1">
        <f>IF(V$5="",0,IF(OR(V18=TRUE,ISTEXT(V18)),U51+1,0))</f>
        <v/>
      </c>
      <c r="W51" s="1">
        <f>IF(W$5="",0,IF(OR(W18=TRUE,ISTEXT(W18)),V51+1,0))</f>
        <v/>
      </c>
      <c r="X51" s="1">
        <f>IF(X$5="",0,IF(OR(X18=TRUE,ISTEXT(X18)),W51+1,0))</f>
        <v/>
      </c>
      <c r="Y51" s="1">
        <f>IF(Y$5="",0,IF(OR(Y18=TRUE,ISTEXT(Y18)),X51+1,0))</f>
        <v/>
      </c>
      <c r="Z51" s="1">
        <f>IF(Z$5="",0,IF(OR(Z18=TRUE,ISTEXT(Z18)),Y51+1,0))</f>
        <v/>
      </c>
      <c r="AA51" s="1">
        <f>IF(AA$5="",0,IF(OR(AA18=TRUE,ISTEXT(AA18)),Z51+1,0))</f>
        <v/>
      </c>
      <c r="AB51" s="1">
        <f>IF(AB$5="",0,IF(OR(AB18=TRUE,ISTEXT(AB18)),AA51+1,0))</f>
        <v/>
      </c>
      <c r="AC51" s="1">
        <f>IF(AC$5="",0,IF(OR(AC18=TRUE,ISTEXT(AC18)),AB51+1,0))</f>
        <v/>
      </c>
      <c r="AD51" s="1">
        <f>IF(AD$5="",0,IF(OR(AD18=TRUE,ISTEXT(AD18)),AC51+1,0))</f>
        <v/>
      </c>
      <c r="AE51" s="1">
        <f>IF(AE$5="",0,IF(OR(AE18=TRUE,ISTEXT(AE18)),AD51+1,0))</f>
        <v/>
      </c>
      <c r="AF51" s="1">
        <f>IF(AF$5="",0,IF(OR(AF18=TRUE,ISTEXT(AF18)),AE51+1,0))</f>
        <v/>
      </c>
      <c r="AG51" s="1">
        <f>IF(AG$5="",0,IF(OR(AG18=TRUE,ISTEXT(AG18)),AF51+1,0))</f>
        <v/>
      </c>
      <c r="AH51" s="1" t="n"/>
      <c r="AI51" s="1" t="n"/>
      <c r="AJ51" s="1" t="n"/>
      <c r="AK51" s="1" t="n"/>
      <c r="AL51" s="1" t="n"/>
    </row>
    <row r="52" hidden="1">
      <c r="A52" s="1" t="n"/>
      <c r="B52" s="1">
        <f>B19</f>
        <v/>
      </c>
      <c r="C52" s="1">
        <f>IF(C$5="",0,IF(OR(C19=TRUE,ISTEXT(C19)),IFERROR(INDEX(Apr!$C$52:$AG$52,DAY(EOMONTH(DATE(Habits!$C$4,4,1),0))),0)+1,0))</f>
        <v/>
      </c>
      <c r="D52" s="1">
        <f>IF(D$5="",0,IF(OR(D19=TRUE,ISTEXT(D19)),C52+1,0))</f>
        <v/>
      </c>
      <c r="E52" s="1">
        <f>IF(E$5="",0,IF(OR(E19=TRUE,ISTEXT(E19)),D52+1,0))</f>
        <v/>
      </c>
      <c r="F52" s="1">
        <f>IF(F$5="",0,IF(OR(F19=TRUE,ISTEXT(F19)),E52+1,0))</f>
        <v/>
      </c>
      <c r="G52" s="1">
        <f>IF(G$5="",0,IF(OR(G19=TRUE,ISTEXT(G19)),F52+1,0))</f>
        <v/>
      </c>
      <c r="H52" s="1">
        <f>IF(H$5="",0,IF(OR(H19=TRUE,ISTEXT(H19)),G52+1,0))</f>
        <v/>
      </c>
      <c r="I52" s="1">
        <f>IF(I$5="",0,IF(OR(I19=TRUE,ISTEXT(I19)),H52+1,0))</f>
        <v/>
      </c>
      <c r="J52" s="1">
        <f>IF(J$5="",0,IF(OR(J19=TRUE,ISTEXT(J19)),I52+1,0))</f>
        <v/>
      </c>
      <c r="K52" s="1">
        <f>IF(K$5="",0,IF(OR(K19=TRUE,ISTEXT(K19)),J52+1,0))</f>
        <v/>
      </c>
      <c r="L52" s="1">
        <f>IF(L$5="",0,IF(OR(L19=TRUE,ISTEXT(L19)),K52+1,0))</f>
        <v/>
      </c>
      <c r="M52" s="1">
        <f>IF(M$5="",0,IF(OR(M19=TRUE,ISTEXT(M19)),L52+1,0))</f>
        <v/>
      </c>
      <c r="N52" s="1">
        <f>IF(N$5="",0,IF(OR(N19=TRUE,ISTEXT(N19)),M52+1,0))</f>
        <v/>
      </c>
      <c r="O52" s="1">
        <f>IF(O$5="",0,IF(OR(O19=TRUE,ISTEXT(O19)),N52+1,0))</f>
        <v/>
      </c>
      <c r="P52" s="1">
        <f>IF(P$5="",0,IF(OR(P19=TRUE,ISTEXT(P19)),O52+1,0))</f>
        <v/>
      </c>
      <c r="Q52" s="1">
        <f>IF(Q$5="",0,IF(OR(Q19=TRUE,ISTEXT(Q19)),P52+1,0))</f>
        <v/>
      </c>
      <c r="R52" s="1">
        <f>IF(R$5="",0,IF(OR(R19=TRUE,ISTEXT(R19)),Q52+1,0))</f>
        <v/>
      </c>
      <c r="S52" s="1">
        <f>IF(S$5="",0,IF(OR(S19=TRUE,ISTEXT(S19)),R52+1,0))</f>
        <v/>
      </c>
      <c r="T52" s="1">
        <f>IF(T$5="",0,IF(OR(T19=TRUE,ISTEXT(T19)),S52+1,0))</f>
        <v/>
      </c>
      <c r="U52" s="1">
        <f>IF(U$5="",0,IF(OR(U19=TRUE,ISTEXT(U19)),T52+1,0))</f>
        <v/>
      </c>
      <c r="V52" s="1">
        <f>IF(V$5="",0,IF(OR(V19=TRUE,ISTEXT(V19)),U52+1,0))</f>
        <v/>
      </c>
      <c r="W52" s="1">
        <f>IF(W$5="",0,IF(OR(W19=TRUE,ISTEXT(W19)),V52+1,0))</f>
        <v/>
      </c>
      <c r="X52" s="1">
        <f>IF(X$5="",0,IF(OR(X19=TRUE,ISTEXT(X19)),W52+1,0))</f>
        <v/>
      </c>
      <c r="Y52" s="1">
        <f>IF(Y$5="",0,IF(OR(Y19=TRUE,ISTEXT(Y19)),X52+1,0))</f>
        <v/>
      </c>
      <c r="Z52" s="1">
        <f>IF(Z$5="",0,IF(OR(Z19=TRUE,ISTEXT(Z19)),Y52+1,0))</f>
        <v/>
      </c>
      <c r="AA52" s="1">
        <f>IF(AA$5="",0,IF(OR(AA19=TRUE,ISTEXT(AA19)),Z52+1,0))</f>
        <v/>
      </c>
      <c r="AB52" s="1">
        <f>IF(AB$5="",0,IF(OR(AB19=TRUE,ISTEXT(AB19)),AA52+1,0))</f>
        <v/>
      </c>
      <c r="AC52" s="1">
        <f>IF(AC$5="",0,IF(OR(AC19=TRUE,ISTEXT(AC19)),AB52+1,0))</f>
        <v/>
      </c>
      <c r="AD52" s="1">
        <f>IF(AD$5="",0,IF(OR(AD19=TRUE,ISTEXT(AD19)),AC52+1,0))</f>
        <v/>
      </c>
      <c r="AE52" s="1">
        <f>IF(AE$5="",0,IF(OR(AE19=TRUE,ISTEXT(AE19)),AD52+1,0))</f>
        <v/>
      </c>
      <c r="AF52" s="1">
        <f>IF(AF$5="",0,IF(OR(AF19=TRUE,ISTEXT(AF19)),AE52+1,0))</f>
        <v/>
      </c>
      <c r="AG52" s="1">
        <f>IF(AG$5="",0,IF(OR(AG19=TRUE,ISTEXT(AG19)),AF52+1,0))</f>
        <v/>
      </c>
      <c r="AH52" s="1" t="n"/>
      <c r="AI52" s="1" t="n"/>
      <c r="AJ52" s="1" t="n"/>
      <c r="AK52" s="1" t="n"/>
      <c r="AL52" s="1" t="n"/>
    </row>
    <row r="53" hidden="1">
      <c r="A53" s="1" t="n"/>
      <c r="B53" s="1">
        <f>B20</f>
        <v/>
      </c>
      <c r="C53" s="1">
        <f>IF(C$5="",0,IF(OR(C20=TRUE,ISTEXT(C20)),IFERROR(INDEX(Apr!$C$53:$AG$53,DAY(EOMONTH(DATE(Habits!$C$4,4,1),0))),0)+1,0))</f>
        <v/>
      </c>
      <c r="D53" s="1">
        <f>IF(D$5="",0,IF(OR(D20=TRUE,ISTEXT(D20)),C53+1,0))</f>
        <v/>
      </c>
      <c r="E53" s="1">
        <f>IF(E$5="",0,IF(OR(E20=TRUE,ISTEXT(E20)),D53+1,0))</f>
        <v/>
      </c>
      <c r="F53" s="1">
        <f>IF(F$5="",0,IF(OR(F20=TRUE,ISTEXT(F20)),E53+1,0))</f>
        <v/>
      </c>
      <c r="G53" s="1">
        <f>IF(G$5="",0,IF(OR(G20=TRUE,ISTEXT(G20)),F53+1,0))</f>
        <v/>
      </c>
      <c r="H53" s="1">
        <f>IF(H$5="",0,IF(OR(H20=TRUE,ISTEXT(H20)),G53+1,0))</f>
        <v/>
      </c>
      <c r="I53" s="1">
        <f>IF(I$5="",0,IF(OR(I20=TRUE,ISTEXT(I20)),H53+1,0))</f>
        <v/>
      </c>
      <c r="J53" s="1">
        <f>IF(J$5="",0,IF(OR(J20=TRUE,ISTEXT(J20)),I53+1,0))</f>
        <v/>
      </c>
      <c r="K53" s="1">
        <f>IF(K$5="",0,IF(OR(K20=TRUE,ISTEXT(K20)),J53+1,0))</f>
        <v/>
      </c>
      <c r="L53" s="1">
        <f>IF(L$5="",0,IF(OR(L20=TRUE,ISTEXT(L20)),K53+1,0))</f>
        <v/>
      </c>
      <c r="M53" s="1">
        <f>IF(M$5="",0,IF(OR(M20=TRUE,ISTEXT(M20)),L53+1,0))</f>
        <v/>
      </c>
      <c r="N53" s="1">
        <f>IF(N$5="",0,IF(OR(N20=TRUE,ISTEXT(N20)),M53+1,0))</f>
        <v/>
      </c>
      <c r="O53" s="1">
        <f>IF(O$5="",0,IF(OR(O20=TRUE,ISTEXT(O20)),N53+1,0))</f>
        <v/>
      </c>
      <c r="P53" s="1">
        <f>IF(P$5="",0,IF(OR(P20=TRUE,ISTEXT(P20)),O53+1,0))</f>
        <v/>
      </c>
      <c r="Q53" s="1">
        <f>IF(Q$5="",0,IF(OR(Q20=TRUE,ISTEXT(Q20)),P53+1,0))</f>
        <v/>
      </c>
      <c r="R53" s="1">
        <f>IF(R$5="",0,IF(OR(R20=TRUE,ISTEXT(R20)),Q53+1,0))</f>
        <v/>
      </c>
      <c r="S53" s="1">
        <f>IF(S$5="",0,IF(OR(S20=TRUE,ISTEXT(S20)),R53+1,0))</f>
        <v/>
      </c>
      <c r="T53" s="1">
        <f>IF(T$5="",0,IF(OR(T20=TRUE,ISTEXT(T20)),S53+1,0))</f>
        <v/>
      </c>
      <c r="U53" s="1">
        <f>IF(U$5="",0,IF(OR(U20=TRUE,ISTEXT(U20)),T53+1,0))</f>
        <v/>
      </c>
      <c r="V53" s="1">
        <f>IF(V$5="",0,IF(OR(V20=TRUE,ISTEXT(V20)),U53+1,0))</f>
        <v/>
      </c>
      <c r="W53" s="1">
        <f>IF(W$5="",0,IF(OR(W20=TRUE,ISTEXT(W20)),V53+1,0))</f>
        <v/>
      </c>
      <c r="X53" s="1">
        <f>IF(X$5="",0,IF(OR(X20=TRUE,ISTEXT(X20)),W53+1,0))</f>
        <v/>
      </c>
      <c r="Y53" s="1">
        <f>IF(Y$5="",0,IF(OR(Y20=TRUE,ISTEXT(Y20)),X53+1,0))</f>
        <v/>
      </c>
      <c r="Z53" s="1">
        <f>IF(Z$5="",0,IF(OR(Z20=TRUE,ISTEXT(Z20)),Y53+1,0))</f>
        <v/>
      </c>
      <c r="AA53" s="1">
        <f>IF(AA$5="",0,IF(OR(AA20=TRUE,ISTEXT(AA20)),Z53+1,0))</f>
        <v/>
      </c>
      <c r="AB53" s="1">
        <f>IF(AB$5="",0,IF(OR(AB20=TRUE,ISTEXT(AB20)),AA53+1,0))</f>
        <v/>
      </c>
      <c r="AC53" s="1">
        <f>IF(AC$5="",0,IF(OR(AC20=TRUE,ISTEXT(AC20)),AB53+1,0))</f>
        <v/>
      </c>
      <c r="AD53" s="1">
        <f>IF(AD$5="",0,IF(OR(AD20=TRUE,ISTEXT(AD20)),AC53+1,0))</f>
        <v/>
      </c>
      <c r="AE53" s="1">
        <f>IF(AE$5="",0,IF(OR(AE20=TRUE,ISTEXT(AE20)),AD53+1,0))</f>
        <v/>
      </c>
      <c r="AF53" s="1">
        <f>IF(AF$5="",0,IF(OR(AF20=TRUE,ISTEXT(AF20)),AE53+1,0))</f>
        <v/>
      </c>
      <c r="AG53" s="1">
        <f>IF(AG$5="",0,IF(OR(AG20=TRUE,ISTEXT(AG20)),AF53+1,0))</f>
        <v/>
      </c>
      <c r="AH53" s="1" t="n"/>
      <c r="AI53" s="1" t="n"/>
      <c r="AJ53" s="1" t="n"/>
      <c r="AK53" s="1" t="n"/>
      <c r="AL53" s="1" t="n"/>
    </row>
    <row r="54" hidden="1">
      <c r="A54" s="1" t="n"/>
      <c r="B54" s="1">
        <f>B21</f>
        <v/>
      </c>
      <c r="C54" s="1">
        <f>IF(C$5="",0,IF(OR(C21=TRUE,ISTEXT(C21)),IFERROR(INDEX(Apr!$C$54:$AG$54,DAY(EOMONTH(DATE(Habits!$C$4,4,1),0))),0)+1,0))</f>
        <v/>
      </c>
      <c r="D54" s="1">
        <f>IF(D$5="",0,IF(OR(D21=TRUE,ISTEXT(D21)),C54+1,0))</f>
        <v/>
      </c>
      <c r="E54" s="1">
        <f>IF(E$5="",0,IF(OR(E21=TRUE,ISTEXT(E21)),D54+1,0))</f>
        <v/>
      </c>
      <c r="F54" s="1">
        <f>IF(F$5="",0,IF(OR(F21=TRUE,ISTEXT(F21)),E54+1,0))</f>
        <v/>
      </c>
      <c r="G54" s="1">
        <f>IF(G$5="",0,IF(OR(G21=TRUE,ISTEXT(G21)),F54+1,0))</f>
        <v/>
      </c>
      <c r="H54" s="1">
        <f>IF(H$5="",0,IF(OR(H21=TRUE,ISTEXT(H21)),G54+1,0))</f>
        <v/>
      </c>
      <c r="I54" s="1">
        <f>IF(I$5="",0,IF(OR(I21=TRUE,ISTEXT(I21)),H54+1,0))</f>
        <v/>
      </c>
      <c r="J54" s="1">
        <f>IF(J$5="",0,IF(OR(J21=TRUE,ISTEXT(J21)),I54+1,0))</f>
        <v/>
      </c>
      <c r="K54" s="1">
        <f>IF(K$5="",0,IF(OR(K21=TRUE,ISTEXT(K21)),J54+1,0))</f>
        <v/>
      </c>
      <c r="L54" s="1">
        <f>IF(L$5="",0,IF(OR(L21=TRUE,ISTEXT(L21)),K54+1,0))</f>
        <v/>
      </c>
      <c r="M54" s="1">
        <f>IF(M$5="",0,IF(OR(M21=TRUE,ISTEXT(M21)),L54+1,0))</f>
        <v/>
      </c>
      <c r="N54" s="1">
        <f>IF(N$5="",0,IF(OR(N21=TRUE,ISTEXT(N21)),M54+1,0))</f>
        <v/>
      </c>
      <c r="O54" s="1">
        <f>IF(O$5="",0,IF(OR(O21=TRUE,ISTEXT(O21)),N54+1,0))</f>
        <v/>
      </c>
      <c r="P54" s="1">
        <f>IF(P$5="",0,IF(OR(P21=TRUE,ISTEXT(P21)),O54+1,0))</f>
        <v/>
      </c>
      <c r="Q54" s="1">
        <f>IF(Q$5="",0,IF(OR(Q21=TRUE,ISTEXT(Q21)),P54+1,0))</f>
        <v/>
      </c>
      <c r="R54" s="1">
        <f>IF(R$5="",0,IF(OR(R21=TRUE,ISTEXT(R21)),Q54+1,0))</f>
        <v/>
      </c>
      <c r="S54" s="1">
        <f>IF(S$5="",0,IF(OR(S21=TRUE,ISTEXT(S21)),R54+1,0))</f>
        <v/>
      </c>
      <c r="T54" s="1">
        <f>IF(T$5="",0,IF(OR(T21=TRUE,ISTEXT(T21)),S54+1,0))</f>
        <v/>
      </c>
      <c r="U54" s="1">
        <f>IF(U$5="",0,IF(OR(U21=TRUE,ISTEXT(U21)),T54+1,0))</f>
        <v/>
      </c>
      <c r="V54" s="1">
        <f>IF(V$5="",0,IF(OR(V21=TRUE,ISTEXT(V21)),U54+1,0))</f>
        <v/>
      </c>
      <c r="W54" s="1">
        <f>IF(W$5="",0,IF(OR(W21=TRUE,ISTEXT(W21)),V54+1,0))</f>
        <v/>
      </c>
      <c r="X54" s="1">
        <f>IF(X$5="",0,IF(OR(X21=TRUE,ISTEXT(X21)),W54+1,0))</f>
        <v/>
      </c>
      <c r="Y54" s="1">
        <f>IF(Y$5="",0,IF(OR(Y21=TRUE,ISTEXT(Y21)),X54+1,0))</f>
        <v/>
      </c>
      <c r="Z54" s="1">
        <f>IF(Z$5="",0,IF(OR(Z21=TRUE,ISTEXT(Z21)),Y54+1,0))</f>
        <v/>
      </c>
      <c r="AA54" s="1">
        <f>IF(AA$5="",0,IF(OR(AA21=TRUE,ISTEXT(AA21)),Z54+1,0))</f>
        <v/>
      </c>
      <c r="AB54" s="1">
        <f>IF(AB$5="",0,IF(OR(AB21=TRUE,ISTEXT(AB21)),AA54+1,0))</f>
        <v/>
      </c>
      <c r="AC54" s="1">
        <f>IF(AC$5="",0,IF(OR(AC21=TRUE,ISTEXT(AC21)),AB54+1,0))</f>
        <v/>
      </c>
      <c r="AD54" s="1">
        <f>IF(AD$5="",0,IF(OR(AD21=TRUE,ISTEXT(AD21)),AC54+1,0))</f>
        <v/>
      </c>
      <c r="AE54" s="1">
        <f>IF(AE$5="",0,IF(OR(AE21=TRUE,ISTEXT(AE21)),AD54+1,0))</f>
        <v/>
      </c>
      <c r="AF54" s="1">
        <f>IF(AF$5="",0,IF(OR(AF21=TRUE,ISTEXT(AF21)),AE54+1,0))</f>
        <v/>
      </c>
      <c r="AG54" s="1">
        <f>IF(AG$5="",0,IF(OR(AG21=TRUE,ISTEXT(AG21)),AF54+1,0))</f>
        <v/>
      </c>
      <c r="AH54" s="1" t="n"/>
      <c r="AI54" s="1" t="n"/>
      <c r="AJ54" s="1" t="n"/>
      <c r="AK54" s="1" t="n"/>
      <c r="A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</sheetData>
  <mergeCells count="2">
    <mergeCell ref="AH24:AI24"/>
    <mergeCell ref="AH23:AI23"/>
  </mergeCells>
  <conditionalFormatting sqref="C7:AG24">
    <cfRule type="expression" priority="1" dxfId="12">
      <formula>C$5=""</formula>
    </cfRule>
  </conditionalFormatting>
  <conditionalFormatting sqref="C7:AG21">
    <cfRule type="expression" priority="2" dxfId="13">
      <formula>AND($B7&lt;&gt;"",OR(C7=TRUE,ISTEXT(C7)))</formula>
    </cfRule>
    <cfRule type="expression" priority="3" dxfId="14">
      <formula>$B7=""</formula>
    </cfRule>
  </conditionalFormatting>
  <conditionalFormatting sqref="C23:AG23">
    <cfRule type="expression" priority="4" dxfId="1">
      <formula>C23=5</formula>
    </cfRule>
    <cfRule type="expression" priority="5" dxfId="2">
      <formula>C23=4</formula>
    </cfRule>
    <cfRule type="expression" priority="6" dxfId="3">
      <formula>C23=3</formula>
    </cfRule>
    <cfRule type="expression" priority="7" dxfId="4">
      <formula>C23=2</formula>
    </cfRule>
    <cfRule type="expression" priority="8" dxfId="5">
      <formula>C23=1</formula>
    </cfRule>
  </conditionalFormatting>
  <conditionalFormatting sqref="C5:AG5">
    <cfRule type="expression" priority="9" dxfId="15">
      <formula>AND(C$5&lt;&gt;"",DATE(Habits!$C$4,5,C$5)=TODAY())</formula>
    </cfRule>
  </conditionalFormatting>
  <conditionalFormatting sqref="AI7:AI21">
    <cfRule type="colorScale" priority="10">
      <colorScale>
        <cfvo type="num" val="0"/>
        <cfvo type="num" val="1"/>
        <color rgb="00FFFFFF"/>
        <color rgb="008CC5A8"/>
      </colorScale>
    </cfRule>
  </conditionalFormatting>
  <dataValidations count="1">
    <dataValidation sqref="C23:AG2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L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7" customWidth="1" min="34" max="34"/>
    <col width="7" customWidth="1" min="35" max="35"/>
    <col width="8" customWidth="1" min="36" max="36"/>
    <col width="8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>
        <f>"June "&amp;Habits!$C$4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Type x on each day you did a habit. Mood from 1 to 5, sleep in hours.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30" customHeight="1">
      <c r="A5" s="1" t="n"/>
      <c r="B5" s="28" t="inlineStr">
        <is>
          <t>Habit</t>
        </is>
      </c>
      <c r="C5" s="29">
        <f>IF(1&lt;=DAY(EOMONTH(DATE(Habits!$C$4,6,1),0)),1,"")</f>
        <v/>
      </c>
      <c r="D5" s="29">
        <f>IF(2&lt;=DAY(EOMONTH(DATE(Habits!$C$4,6,1),0)),2,"")</f>
        <v/>
      </c>
      <c r="E5" s="29">
        <f>IF(3&lt;=DAY(EOMONTH(DATE(Habits!$C$4,6,1),0)),3,"")</f>
        <v/>
      </c>
      <c r="F5" s="29">
        <f>IF(4&lt;=DAY(EOMONTH(DATE(Habits!$C$4,6,1),0)),4,"")</f>
        <v/>
      </c>
      <c r="G5" s="29">
        <f>IF(5&lt;=DAY(EOMONTH(DATE(Habits!$C$4,6,1),0)),5,"")</f>
        <v/>
      </c>
      <c r="H5" s="29">
        <f>IF(6&lt;=DAY(EOMONTH(DATE(Habits!$C$4,6,1),0)),6,"")</f>
        <v/>
      </c>
      <c r="I5" s="29">
        <f>IF(7&lt;=DAY(EOMONTH(DATE(Habits!$C$4,6,1),0)),7,"")</f>
        <v/>
      </c>
      <c r="J5" s="29">
        <f>IF(8&lt;=DAY(EOMONTH(DATE(Habits!$C$4,6,1),0)),8,"")</f>
        <v/>
      </c>
      <c r="K5" s="29">
        <f>IF(9&lt;=DAY(EOMONTH(DATE(Habits!$C$4,6,1),0)),9,"")</f>
        <v/>
      </c>
      <c r="L5" s="29">
        <f>IF(10&lt;=DAY(EOMONTH(DATE(Habits!$C$4,6,1),0)),10,"")</f>
        <v/>
      </c>
      <c r="M5" s="29">
        <f>IF(11&lt;=DAY(EOMONTH(DATE(Habits!$C$4,6,1),0)),11,"")</f>
        <v/>
      </c>
      <c r="N5" s="29">
        <f>IF(12&lt;=DAY(EOMONTH(DATE(Habits!$C$4,6,1),0)),12,"")</f>
        <v/>
      </c>
      <c r="O5" s="29">
        <f>IF(13&lt;=DAY(EOMONTH(DATE(Habits!$C$4,6,1),0)),13,"")</f>
        <v/>
      </c>
      <c r="P5" s="29">
        <f>IF(14&lt;=DAY(EOMONTH(DATE(Habits!$C$4,6,1),0)),14,"")</f>
        <v/>
      </c>
      <c r="Q5" s="29">
        <f>IF(15&lt;=DAY(EOMONTH(DATE(Habits!$C$4,6,1),0)),15,"")</f>
        <v/>
      </c>
      <c r="R5" s="29">
        <f>IF(16&lt;=DAY(EOMONTH(DATE(Habits!$C$4,6,1),0)),16,"")</f>
        <v/>
      </c>
      <c r="S5" s="29">
        <f>IF(17&lt;=DAY(EOMONTH(DATE(Habits!$C$4,6,1),0)),17,"")</f>
        <v/>
      </c>
      <c r="T5" s="29">
        <f>IF(18&lt;=DAY(EOMONTH(DATE(Habits!$C$4,6,1),0)),18,"")</f>
        <v/>
      </c>
      <c r="U5" s="29">
        <f>IF(19&lt;=DAY(EOMONTH(DATE(Habits!$C$4,6,1),0)),19,"")</f>
        <v/>
      </c>
      <c r="V5" s="29">
        <f>IF(20&lt;=DAY(EOMONTH(DATE(Habits!$C$4,6,1),0)),20,"")</f>
        <v/>
      </c>
      <c r="W5" s="29">
        <f>IF(21&lt;=DAY(EOMONTH(DATE(Habits!$C$4,6,1),0)),21,"")</f>
        <v/>
      </c>
      <c r="X5" s="29">
        <f>IF(22&lt;=DAY(EOMONTH(DATE(Habits!$C$4,6,1),0)),22,"")</f>
        <v/>
      </c>
      <c r="Y5" s="29">
        <f>IF(23&lt;=DAY(EOMONTH(DATE(Habits!$C$4,6,1),0)),23,"")</f>
        <v/>
      </c>
      <c r="Z5" s="29">
        <f>IF(24&lt;=DAY(EOMONTH(DATE(Habits!$C$4,6,1),0)),24,"")</f>
        <v/>
      </c>
      <c r="AA5" s="29">
        <f>IF(25&lt;=DAY(EOMONTH(DATE(Habits!$C$4,6,1),0)),25,"")</f>
        <v/>
      </c>
      <c r="AB5" s="29">
        <f>IF(26&lt;=DAY(EOMONTH(DATE(Habits!$C$4,6,1),0)),26,"")</f>
        <v/>
      </c>
      <c r="AC5" s="29">
        <f>IF(27&lt;=DAY(EOMONTH(DATE(Habits!$C$4,6,1),0)),27,"")</f>
        <v/>
      </c>
      <c r="AD5" s="29">
        <f>IF(28&lt;=DAY(EOMONTH(DATE(Habits!$C$4,6,1),0)),28,"")</f>
        <v/>
      </c>
      <c r="AE5" s="29">
        <f>IF(29&lt;=DAY(EOMONTH(DATE(Habits!$C$4,6,1),0)),29,"")</f>
        <v/>
      </c>
      <c r="AF5" s="29">
        <f>IF(30&lt;=DAY(EOMONTH(DATE(Habits!$C$4,6,1),0)),30,"")</f>
        <v/>
      </c>
      <c r="AG5" s="29">
        <f>IF(31&lt;=DAY(EOMONTH(DATE(Habits!$C$4,6,1),0)),31,"")</f>
        <v/>
      </c>
      <c r="AH5" s="30" t="inlineStr">
        <is>
          <t>Done</t>
        </is>
      </c>
      <c r="AI5" s="30" t="inlineStr">
        <is>
          <t>Share</t>
        </is>
      </c>
      <c r="AJ5" s="30" t="inlineStr">
        <is>
          <t>Streak now</t>
        </is>
      </c>
      <c r="AK5" s="30" t="inlineStr">
        <is>
          <t>Best streak</t>
        </is>
      </c>
      <c r="AL5" s="1" t="n"/>
    </row>
    <row r="6">
      <c r="A6" s="1" t="n"/>
      <c r="B6" s="1" t="n"/>
      <c r="C6" s="31">
        <f>IF(C$5="","",CHOOSE(WEEKDAY(DATE(Habits!$C$4,6,1),2),"M","T","W","T","F","S","S"))</f>
        <v/>
      </c>
      <c r="D6" s="31">
        <f>IF(D$5="","",CHOOSE(WEEKDAY(DATE(Habits!$C$4,6,2),2),"M","T","W","T","F","S","S"))</f>
        <v/>
      </c>
      <c r="E6" s="31">
        <f>IF(E$5="","",CHOOSE(WEEKDAY(DATE(Habits!$C$4,6,3),2),"M","T","W","T","F","S","S"))</f>
        <v/>
      </c>
      <c r="F6" s="31">
        <f>IF(F$5="","",CHOOSE(WEEKDAY(DATE(Habits!$C$4,6,4),2),"M","T","W","T","F","S","S"))</f>
        <v/>
      </c>
      <c r="G6" s="31">
        <f>IF(G$5="","",CHOOSE(WEEKDAY(DATE(Habits!$C$4,6,5),2),"M","T","W","T","F","S","S"))</f>
        <v/>
      </c>
      <c r="H6" s="31">
        <f>IF(H$5="","",CHOOSE(WEEKDAY(DATE(Habits!$C$4,6,6),2),"M","T","W","T","F","S","S"))</f>
        <v/>
      </c>
      <c r="I6" s="31">
        <f>IF(I$5="","",CHOOSE(WEEKDAY(DATE(Habits!$C$4,6,7),2),"M","T","W","T","F","S","S"))</f>
        <v/>
      </c>
      <c r="J6" s="31">
        <f>IF(J$5="","",CHOOSE(WEEKDAY(DATE(Habits!$C$4,6,8),2),"M","T","W","T","F","S","S"))</f>
        <v/>
      </c>
      <c r="K6" s="31">
        <f>IF(K$5="","",CHOOSE(WEEKDAY(DATE(Habits!$C$4,6,9),2),"M","T","W","T","F","S","S"))</f>
        <v/>
      </c>
      <c r="L6" s="31">
        <f>IF(L$5="","",CHOOSE(WEEKDAY(DATE(Habits!$C$4,6,10),2),"M","T","W","T","F","S","S"))</f>
        <v/>
      </c>
      <c r="M6" s="31">
        <f>IF(M$5="","",CHOOSE(WEEKDAY(DATE(Habits!$C$4,6,11),2),"M","T","W","T","F","S","S"))</f>
        <v/>
      </c>
      <c r="N6" s="31">
        <f>IF(N$5="","",CHOOSE(WEEKDAY(DATE(Habits!$C$4,6,12),2),"M","T","W","T","F","S","S"))</f>
        <v/>
      </c>
      <c r="O6" s="31">
        <f>IF(O$5="","",CHOOSE(WEEKDAY(DATE(Habits!$C$4,6,13),2),"M","T","W","T","F","S","S"))</f>
        <v/>
      </c>
      <c r="P6" s="31">
        <f>IF(P$5="","",CHOOSE(WEEKDAY(DATE(Habits!$C$4,6,14),2),"M","T","W","T","F","S","S"))</f>
        <v/>
      </c>
      <c r="Q6" s="31">
        <f>IF(Q$5="","",CHOOSE(WEEKDAY(DATE(Habits!$C$4,6,15),2),"M","T","W","T","F","S","S"))</f>
        <v/>
      </c>
      <c r="R6" s="31">
        <f>IF(R$5="","",CHOOSE(WEEKDAY(DATE(Habits!$C$4,6,16),2),"M","T","W","T","F","S","S"))</f>
        <v/>
      </c>
      <c r="S6" s="31">
        <f>IF(S$5="","",CHOOSE(WEEKDAY(DATE(Habits!$C$4,6,17),2),"M","T","W","T","F","S","S"))</f>
        <v/>
      </c>
      <c r="T6" s="31">
        <f>IF(T$5="","",CHOOSE(WEEKDAY(DATE(Habits!$C$4,6,18),2),"M","T","W","T","F","S","S"))</f>
        <v/>
      </c>
      <c r="U6" s="31">
        <f>IF(U$5="","",CHOOSE(WEEKDAY(DATE(Habits!$C$4,6,19),2),"M","T","W","T","F","S","S"))</f>
        <v/>
      </c>
      <c r="V6" s="31">
        <f>IF(V$5="","",CHOOSE(WEEKDAY(DATE(Habits!$C$4,6,20),2),"M","T","W","T","F","S","S"))</f>
        <v/>
      </c>
      <c r="W6" s="31">
        <f>IF(W$5="","",CHOOSE(WEEKDAY(DATE(Habits!$C$4,6,21),2),"M","T","W","T","F","S","S"))</f>
        <v/>
      </c>
      <c r="X6" s="31">
        <f>IF(X$5="","",CHOOSE(WEEKDAY(DATE(Habits!$C$4,6,22),2),"M","T","W","T","F","S","S"))</f>
        <v/>
      </c>
      <c r="Y6" s="31">
        <f>IF(Y$5="","",CHOOSE(WEEKDAY(DATE(Habits!$C$4,6,23),2),"M","T","W","T","F","S","S"))</f>
        <v/>
      </c>
      <c r="Z6" s="31">
        <f>IF(Z$5="","",CHOOSE(WEEKDAY(DATE(Habits!$C$4,6,24),2),"M","T","W","T","F","S","S"))</f>
        <v/>
      </c>
      <c r="AA6" s="31">
        <f>IF(AA$5="","",CHOOSE(WEEKDAY(DATE(Habits!$C$4,6,25),2),"M","T","W","T","F","S","S"))</f>
        <v/>
      </c>
      <c r="AB6" s="31">
        <f>IF(AB$5="","",CHOOSE(WEEKDAY(DATE(Habits!$C$4,6,26),2),"M","T","W","T","F","S","S"))</f>
        <v/>
      </c>
      <c r="AC6" s="31">
        <f>IF(AC$5="","",CHOOSE(WEEKDAY(DATE(Habits!$C$4,6,27),2),"M","T","W","T","F","S","S"))</f>
        <v/>
      </c>
      <c r="AD6" s="31">
        <f>IF(AD$5="","",CHOOSE(WEEKDAY(DATE(Habits!$C$4,6,28),2),"M","T","W","T","F","S","S"))</f>
        <v/>
      </c>
      <c r="AE6" s="31">
        <f>IF(AE$5="","",CHOOSE(WEEKDAY(DATE(Habits!$C$4,6,29),2),"M","T","W","T","F","S","S"))</f>
        <v/>
      </c>
      <c r="AF6" s="31">
        <f>IF(AF$5="","",CHOOSE(WEEKDAY(DATE(Habits!$C$4,6,30),2),"M","T","W","T","F","S","S"))</f>
        <v/>
      </c>
      <c r="AG6" s="31">
        <f>IF(AG$5="","",CHOOSE(WEEKDAY(DATE(Habits!$C$4,6,31),2),"M","T","W","T","F","S","S"))</f>
        <v/>
      </c>
      <c r="AH6" s="1" t="n"/>
      <c r="AI6" s="1" t="n"/>
      <c r="AJ6" s="1" t="n"/>
      <c r="AK6" s="1" t="n"/>
      <c r="AL6" s="1" t="n"/>
    </row>
    <row r="7">
      <c r="A7" s="1" t="n"/>
      <c r="B7" s="32">
        <f>IF(Habits!B8="","",Habits!B8)</f>
        <v/>
      </c>
      <c r="C7" s="33" t="inlineStr">
        <is>
          <t>x</t>
        </is>
      </c>
      <c r="D7" s="33" t="inlineStr">
        <is>
          <t>x</t>
        </is>
      </c>
      <c r="E7" s="33" t="inlineStr">
        <is>
          <t>x</t>
        </is>
      </c>
      <c r="F7" s="33" t="inlineStr">
        <is>
          <t>x</t>
        </is>
      </c>
      <c r="G7" s="33" t="inlineStr">
        <is>
          <t>x</t>
        </is>
      </c>
      <c r="H7" s="33" t="inlineStr">
        <is>
          <t>x</t>
        </is>
      </c>
      <c r="I7" s="33" t="inlineStr">
        <is>
          <t>x</t>
        </is>
      </c>
      <c r="J7" s="33" t="inlineStr">
        <is>
          <t>x</t>
        </is>
      </c>
      <c r="K7" s="33" t="inlineStr">
        <is>
          <t>x</t>
        </is>
      </c>
      <c r="L7" s="33" t="inlineStr">
        <is>
          <t>x</t>
        </is>
      </c>
      <c r="M7" s="33" t="inlineStr">
        <is>
          <t>x</t>
        </is>
      </c>
      <c r="N7" s="33" t="inlineStr">
        <is>
          <t>x</t>
        </is>
      </c>
      <c r="O7" s="33" t="inlineStr">
        <is>
          <t>x</t>
        </is>
      </c>
      <c r="P7" s="33" t="inlineStr">
        <is>
          <t>x</t>
        </is>
      </c>
      <c r="Q7" s="33" t="inlineStr">
        <is>
          <t>x</t>
        </is>
      </c>
      <c r="R7" s="33" t="inlineStr">
        <is>
          <t>x</t>
        </is>
      </c>
      <c r="S7" s="33" t="inlineStr">
        <is>
          <t>x</t>
        </is>
      </c>
      <c r="T7" s="33" t="inlineStr">
        <is>
          <t>x</t>
        </is>
      </c>
      <c r="U7" s="33" t="inlineStr">
        <is>
          <t>x</t>
        </is>
      </c>
      <c r="V7" s="33" t="inlineStr">
        <is>
          <t>x</t>
        </is>
      </c>
      <c r="W7" s="33" t="inlineStr">
        <is>
          <t>x</t>
        </is>
      </c>
      <c r="X7" s="33" t="inlineStr">
        <is>
          <t>x</t>
        </is>
      </c>
      <c r="Y7" s="33" t="n"/>
      <c r="Z7" s="33" t="inlineStr">
        <is>
          <t>x</t>
        </is>
      </c>
      <c r="AA7" s="33" t="inlineStr">
        <is>
          <t>x</t>
        </is>
      </c>
      <c r="AB7" s="33" t="inlineStr">
        <is>
          <t>x</t>
        </is>
      </c>
      <c r="AC7" s="33" t="inlineStr">
        <is>
          <t>x</t>
        </is>
      </c>
      <c r="AD7" s="33" t="inlineStr">
        <is>
          <t>x</t>
        </is>
      </c>
      <c r="AE7" s="33" t="inlineStr">
        <is>
          <t>x</t>
        </is>
      </c>
      <c r="AF7" s="33" t="n"/>
      <c r="AG7" s="33" t="n"/>
      <c r="AH7" s="13">
        <f>IF(B7="","",COUNTIF($C40:$AG40,"&gt;0"))</f>
        <v/>
      </c>
      <c r="AI7" s="14">
        <f>IF(OR(B7="",IF(AND(Habits!$C$4=YEAR(TODAY()),6=MONTH(TODAY())),DAY(TODAY()),IF(DATE(Habits!$C$4,6,1)&gt;TODAY(),0,DAY(EOMONTH(DATE(Habits!$C$4,6,1),0))))=0),"",MIN(1,(COUNTIF($C40:$AG40,"&gt;0"))/IF(AND(Habits!$C$4=YEAR(TODAY()),6=MONTH(TODAY())),DAY(TODAY()),IF(DATE(Habits!$C$4,6,1)&gt;TODAY(),0,DAY(EOMONTH(DATE(Habits!$C$4,6,1),0))))))</f>
        <v/>
      </c>
      <c r="AJ7" s="16">
        <f>IF(B7="","",IF(AND(Habits!$C$4=YEAR(TODAY()),6=MONTH(TODAY())),IF(INDEX($C40:$AG40,DAY(TODAY()))&gt;0,INDEX($C40:$AG40,DAY(TODAY())),IF(DAY(TODAY())=1,IFERROR(INDEX(May!$C$40:$AG$40,DAY(EOMONTH(DATE(Habits!$C$4,5,1),0))),0),INDEX($C40:$AG40,DAY(TODAY())-1))),IF(DATE(Habits!$C$4,6,1)&gt;TODAY(),"",INDEX($C40:$AG40,DAY(EOMONTH(DATE(Habits!$C$4,6,1),0))))))</f>
        <v/>
      </c>
      <c r="AK7" s="13">
        <f>IF(B7="","",MAX($C40:$AG40))</f>
        <v/>
      </c>
      <c r="AL7" s="1" t="n"/>
    </row>
    <row r="8">
      <c r="A8" s="1" t="n"/>
      <c r="B8" s="32">
        <f>IF(Habits!B9="","",Habits!B9)</f>
        <v/>
      </c>
      <c r="C8" s="33" t="inlineStr">
        <is>
          <t>x</t>
        </is>
      </c>
      <c r="D8" s="33" t="inlineStr">
        <is>
          <t>x</t>
        </is>
      </c>
      <c r="E8" s="33" t="inlineStr">
        <is>
          <t>x</t>
        </is>
      </c>
      <c r="F8" s="33" t="inlineStr">
        <is>
          <t>x</t>
        </is>
      </c>
      <c r="G8" s="33" t="n"/>
      <c r="H8" s="33" t="inlineStr">
        <is>
          <t>x</t>
        </is>
      </c>
      <c r="I8" s="33" t="inlineStr">
        <is>
          <t>x</t>
        </is>
      </c>
      <c r="J8" s="33" t="inlineStr">
        <is>
          <t>x</t>
        </is>
      </c>
      <c r="K8" s="33" t="n"/>
      <c r="L8" s="33" t="inlineStr">
        <is>
          <t>x</t>
        </is>
      </c>
      <c r="M8" s="33" t="n"/>
      <c r="N8" s="33" t="inlineStr">
        <is>
          <t>x</t>
        </is>
      </c>
      <c r="O8" s="33" t="inlineStr">
        <is>
          <t>x</t>
        </is>
      </c>
      <c r="P8" s="33" t="inlineStr">
        <is>
          <t>x</t>
        </is>
      </c>
      <c r="Q8" s="33" t="inlineStr">
        <is>
          <t>x</t>
        </is>
      </c>
      <c r="R8" s="33" t="inlineStr">
        <is>
          <t>x</t>
        </is>
      </c>
      <c r="S8" s="33" t="inlineStr">
        <is>
          <t>x</t>
        </is>
      </c>
      <c r="T8" s="33" t="inlineStr">
        <is>
          <t>x</t>
        </is>
      </c>
      <c r="U8" s="33" t="inlineStr">
        <is>
          <t>x</t>
        </is>
      </c>
      <c r="V8" s="33" t="n"/>
      <c r="W8" s="33" t="inlineStr">
        <is>
          <t>x</t>
        </is>
      </c>
      <c r="X8" s="33" t="n"/>
      <c r="Y8" s="33" t="inlineStr">
        <is>
          <t>x</t>
        </is>
      </c>
      <c r="Z8" s="33" t="inlineStr">
        <is>
          <t>x</t>
        </is>
      </c>
      <c r="AA8" s="33" t="inlineStr">
        <is>
          <t>x</t>
        </is>
      </c>
      <c r="AB8" s="33" t="inlineStr">
        <is>
          <t>x</t>
        </is>
      </c>
      <c r="AC8" s="33" t="inlineStr">
        <is>
          <t>x</t>
        </is>
      </c>
      <c r="AD8" s="33" t="inlineStr">
        <is>
          <t>x</t>
        </is>
      </c>
      <c r="AE8" s="33" t="n"/>
      <c r="AF8" s="33" t="n"/>
      <c r="AG8" s="33" t="n"/>
      <c r="AH8" s="13">
        <f>IF(B8="","",COUNTIF($C41:$AG41,"&gt;0"))</f>
        <v/>
      </c>
      <c r="AI8" s="14">
        <f>IF(OR(B8="",IF(AND(Habits!$C$4=YEAR(TODAY()),6=MONTH(TODAY())),DAY(TODAY()),IF(DATE(Habits!$C$4,6,1)&gt;TODAY(),0,DAY(EOMONTH(DATE(Habits!$C$4,6,1),0))))=0),"",MIN(1,(COUNTIF($C41:$AG41,"&gt;0"))/IF(AND(Habits!$C$4=YEAR(TODAY()),6=MONTH(TODAY())),DAY(TODAY()),IF(DATE(Habits!$C$4,6,1)&gt;TODAY(),0,DAY(EOMONTH(DATE(Habits!$C$4,6,1),0))))))</f>
        <v/>
      </c>
      <c r="AJ8" s="16">
        <f>IF(B8="","",IF(AND(Habits!$C$4=YEAR(TODAY()),6=MONTH(TODAY())),IF(INDEX($C41:$AG41,DAY(TODAY()))&gt;0,INDEX($C41:$AG41,DAY(TODAY())),IF(DAY(TODAY())=1,IFERROR(INDEX(May!$C$41:$AG$41,DAY(EOMONTH(DATE(Habits!$C$4,5,1),0))),0),INDEX($C41:$AG41,DAY(TODAY())-1))),IF(DATE(Habits!$C$4,6,1)&gt;TODAY(),"",INDEX($C41:$AG41,DAY(EOMONTH(DATE(Habits!$C$4,6,1),0))))))</f>
        <v/>
      </c>
      <c r="AK8" s="13">
        <f>IF(B8="","",MAX($C41:$AG41))</f>
        <v/>
      </c>
      <c r="AL8" s="1" t="n"/>
    </row>
    <row r="9">
      <c r="A9" s="1" t="n"/>
      <c r="B9" s="32">
        <f>IF(Habits!B10="","",Habits!B10)</f>
        <v/>
      </c>
      <c r="C9" s="33" t="n"/>
      <c r="D9" s="33" t="n"/>
      <c r="E9" s="33" t="inlineStr">
        <is>
          <t>x</t>
        </is>
      </c>
      <c r="F9" s="33" t="n"/>
      <c r="G9" s="33" t="inlineStr">
        <is>
          <t>x</t>
        </is>
      </c>
      <c r="H9" s="33" t="inlineStr">
        <is>
          <t>x</t>
        </is>
      </c>
      <c r="I9" s="33" t="inlineStr">
        <is>
          <t>x</t>
        </is>
      </c>
      <c r="J9" s="33" t="n"/>
      <c r="K9" s="33" t="inlineStr">
        <is>
          <t>x</t>
        </is>
      </c>
      <c r="L9" s="33" t="inlineStr">
        <is>
          <t>x</t>
        </is>
      </c>
      <c r="M9" s="33" t="inlineStr">
        <is>
          <t>x</t>
        </is>
      </c>
      <c r="N9" s="33" t="inlineStr">
        <is>
          <t>x</t>
        </is>
      </c>
      <c r="O9" s="33" t="inlineStr">
        <is>
          <t>x</t>
        </is>
      </c>
      <c r="P9" s="33" t="inlineStr">
        <is>
          <t>x</t>
        </is>
      </c>
      <c r="Q9" s="33" t="inlineStr">
        <is>
          <t>x</t>
        </is>
      </c>
      <c r="R9" s="33" t="n"/>
      <c r="S9" s="33" t="inlineStr">
        <is>
          <t>x</t>
        </is>
      </c>
      <c r="T9" s="33" t="inlineStr">
        <is>
          <t>x</t>
        </is>
      </c>
      <c r="U9" s="33" t="n"/>
      <c r="V9" s="33" t="inlineStr">
        <is>
          <t>x</t>
        </is>
      </c>
      <c r="W9" s="33" t="inlineStr">
        <is>
          <t>x</t>
        </is>
      </c>
      <c r="X9" s="33" t="inlineStr">
        <is>
          <t>x</t>
        </is>
      </c>
      <c r="Y9" s="33" t="inlineStr">
        <is>
          <t>x</t>
        </is>
      </c>
      <c r="Z9" s="33" t="inlineStr">
        <is>
          <t>x</t>
        </is>
      </c>
      <c r="AA9" s="33" t="inlineStr">
        <is>
          <t>x</t>
        </is>
      </c>
      <c r="AB9" s="33" t="n"/>
      <c r="AC9" s="33" t="inlineStr">
        <is>
          <t>x</t>
        </is>
      </c>
      <c r="AD9" s="33" t="inlineStr">
        <is>
          <t>x</t>
        </is>
      </c>
      <c r="AE9" s="33" t="inlineStr">
        <is>
          <t>x</t>
        </is>
      </c>
      <c r="AF9" s="33" t="inlineStr">
        <is>
          <t>x</t>
        </is>
      </c>
      <c r="AG9" s="33" t="n"/>
      <c r="AH9" s="13">
        <f>IF(B9="","",COUNTIF($C42:$AG42,"&gt;0"))</f>
        <v/>
      </c>
      <c r="AI9" s="14">
        <f>IF(OR(B9="",IF(AND(Habits!$C$4=YEAR(TODAY()),6=MONTH(TODAY())),DAY(TODAY()),IF(DATE(Habits!$C$4,6,1)&gt;TODAY(),0,DAY(EOMONTH(DATE(Habits!$C$4,6,1),0))))=0),"",MIN(1,(COUNTIF($C42:$AG42,"&gt;0"))/IF(AND(Habits!$C$4=YEAR(TODAY()),6=MONTH(TODAY())),DAY(TODAY()),IF(DATE(Habits!$C$4,6,1)&gt;TODAY(),0,DAY(EOMONTH(DATE(Habits!$C$4,6,1),0))))))</f>
        <v/>
      </c>
      <c r="AJ9" s="16">
        <f>IF(B9="","",IF(AND(Habits!$C$4=YEAR(TODAY()),6=MONTH(TODAY())),IF(INDEX($C42:$AG42,DAY(TODAY()))&gt;0,INDEX($C42:$AG42,DAY(TODAY())),IF(DAY(TODAY())=1,IFERROR(INDEX(May!$C$42:$AG$42,DAY(EOMONTH(DATE(Habits!$C$4,5,1),0))),0),INDEX($C42:$AG42,DAY(TODAY())-1))),IF(DATE(Habits!$C$4,6,1)&gt;TODAY(),"",INDEX($C42:$AG42,DAY(EOMONTH(DATE(Habits!$C$4,6,1),0))))))</f>
        <v/>
      </c>
      <c r="AK9" s="13">
        <f>IF(B9="","",MAX($C42:$AG42))</f>
        <v/>
      </c>
      <c r="AL9" s="1" t="n"/>
    </row>
    <row r="10">
      <c r="A10" s="1" t="n"/>
      <c r="B10" s="32">
        <f>IF(Habits!B11="","",Habits!B11)</f>
        <v/>
      </c>
      <c r="C10" s="33" t="n"/>
      <c r="D10" s="33" t="n"/>
      <c r="E10" s="33" t="inlineStr">
        <is>
          <t>x</t>
        </is>
      </c>
      <c r="F10" s="33" t="inlineStr">
        <is>
          <t>x</t>
        </is>
      </c>
      <c r="G10" s="33" t="n"/>
      <c r="H10" s="33" t="inlineStr">
        <is>
          <t>x</t>
        </is>
      </c>
      <c r="I10" s="33" t="inlineStr">
        <is>
          <t>x</t>
        </is>
      </c>
      <c r="J10" s="33" t="inlineStr">
        <is>
          <t>x</t>
        </is>
      </c>
      <c r="K10" s="33" t="inlineStr">
        <is>
          <t>x</t>
        </is>
      </c>
      <c r="L10" s="33" t="n"/>
      <c r="M10" s="33" t="inlineStr">
        <is>
          <t>x</t>
        </is>
      </c>
      <c r="N10" s="33" t="inlineStr">
        <is>
          <t>x</t>
        </is>
      </c>
      <c r="O10" s="33" t="inlineStr">
        <is>
          <t>x</t>
        </is>
      </c>
      <c r="P10" s="33" t="inlineStr">
        <is>
          <t>x</t>
        </is>
      </c>
      <c r="Q10" s="33" t="inlineStr">
        <is>
          <t>x</t>
        </is>
      </c>
      <c r="R10" s="33" t="inlineStr">
        <is>
          <t>x</t>
        </is>
      </c>
      <c r="S10" s="33" t="n"/>
      <c r="T10" s="33" t="inlineStr">
        <is>
          <t>x</t>
        </is>
      </c>
      <c r="U10" s="33" t="inlineStr">
        <is>
          <t>x</t>
        </is>
      </c>
      <c r="V10" s="33" t="inlineStr">
        <is>
          <t>x</t>
        </is>
      </c>
      <c r="W10" s="33" t="inlineStr">
        <is>
          <t>x</t>
        </is>
      </c>
      <c r="X10" s="33" t="inlineStr">
        <is>
          <t>x</t>
        </is>
      </c>
      <c r="Y10" s="33" t="n"/>
      <c r="Z10" s="33" t="n"/>
      <c r="AA10" s="33" t="inlineStr">
        <is>
          <t>x</t>
        </is>
      </c>
      <c r="AB10" s="33" t="inlineStr">
        <is>
          <t>x</t>
        </is>
      </c>
      <c r="AC10" s="33" t="n"/>
      <c r="AD10" s="33" t="n"/>
      <c r="AE10" s="33" t="n"/>
      <c r="AF10" s="33" t="n"/>
      <c r="AG10" s="33" t="n"/>
      <c r="AH10" s="13">
        <f>IF(B10="","",COUNTIF($C43:$AG43,"&gt;0"))</f>
        <v/>
      </c>
      <c r="AI10" s="14">
        <f>IF(OR(B10="",IF(AND(Habits!$C$4=YEAR(TODAY()),6=MONTH(TODAY())),DAY(TODAY()),IF(DATE(Habits!$C$4,6,1)&gt;TODAY(),0,DAY(EOMONTH(DATE(Habits!$C$4,6,1),0))))=0),"",MIN(1,(COUNTIF($C43:$AG43,"&gt;0"))/IF(AND(Habits!$C$4=YEAR(TODAY()),6=MONTH(TODAY())),DAY(TODAY()),IF(DATE(Habits!$C$4,6,1)&gt;TODAY(),0,DAY(EOMONTH(DATE(Habits!$C$4,6,1),0))))))</f>
        <v/>
      </c>
      <c r="AJ10" s="16">
        <f>IF(B10="","",IF(AND(Habits!$C$4=YEAR(TODAY()),6=MONTH(TODAY())),IF(INDEX($C43:$AG43,DAY(TODAY()))&gt;0,INDEX($C43:$AG43,DAY(TODAY())),IF(DAY(TODAY())=1,IFERROR(INDEX(May!$C$43:$AG$43,DAY(EOMONTH(DATE(Habits!$C$4,5,1),0))),0),INDEX($C43:$AG43,DAY(TODAY())-1))),IF(DATE(Habits!$C$4,6,1)&gt;TODAY(),"",INDEX($C43:$AG43,DAY(EOMONTH(DATE(Habits!$C$4,6,1),0))))))</f>
        <v/>
      </c>
      <c r="AK10" s="13">
        <f>IF(B10="","",MAX($C43:$AG43))</f>
        <v/>
      </c>
      <c r="AL10" s="1" t="n"/>
    </row>
    <row r="11">
      <c r="A11" s="1" t="n"/>
      <c r="B11" s="32">
        <f>IF(Habits!B12="","",Habits!B12)</f>
        <v/>
      </c>
      <c r="C11" s="33" t="n"/>
      <c r="D11" s="33" t="inlineStr">
        <is>
          <t>x</t>
        </is>
      </c>
      <c r="E11" s="33" t="inlineStr">
        <is>
          <t>x</t>
        </is>
      </c>
      <c r="F11" s="33" t="inlineStr">
        <is>
          <t>x</t>
        </is>
      </c>
      <c r="G11" s="33" t="inlineStr">
        <is>
          <t>x</t>
        </is>
      </c>
      <c r="H11" s="33" t="inlineStr">
        <is>
          <t>x</t>
        </is>
      </c>
      <c r="I11" s="33" t="inlineStr">
        <is>
          <t>x</t>
        </is>
      </c>
      <c r="J11" s="33" t="inlineStr">
        <is>
          <t>x</t>
        </is>
      </c>
      <c r="K11" s="33" t="inlineStr">
        <is>
          <t>x</t>
        </is>
      </c>
      <c r="L11" s="33" t="n"/>
      <c r="M11" s="33" t="inlineStr">
        <is>
          <t>x</t>
        </is>
      </c>
      <c r="N11" s="33" t="inlineStr">
        <is>
          <t>x</t>
        </is>
      </c>
      <c r="O11" s="33" t="inlineStr">
        <is>
          <t>x</t>
        </is>
      </c>
      <c r="P11" s="33" t="inlineStr">
        <is>
          <t>x</t>
        </is>
      </c>
      <c r="Q11" s="33" t="n"/>
      <c r="R11" s="33" t="inlineStr">
        <is>
          <t>x</t>
        </is>
      </c>
      <c r="S11" s="33" t="inlineStr">
        <is>
          <t>x</t>
        </is>
      </c>
      <c r="T11" s="33" t="n"/>
      <c r="U11" s="33" t="inlineStr">
        <is>
          <t>x</t>
        </is>
      </c>
      <c r="V11" s="33" t="n"/>
      <c r="W11" s="33" t="n"/>
      <c r="X11" s="33" t="n"/>
      <c r="Y11" s="33" t="inlineStr">
        <is>
          <t>x</t>
        </is>
      </c>
      <c r="Z11" s="33" t="inlineStr">
        <is>
          <t>x</t>
        </is>
      </c>
      <c r="AA11" s="33" t="inlineStr">
        <is>
          <t>x</t>
        </is>
      </c>
      <c r="AB11" s="33" t="inlineStr">
        <is>
          <t>x</t>
        </is>
      </c>
      <c r="AC11" s="33" t="n"/>
      <c r="AD11" s="33" t="n"/>
      <c r="AE11" s="33" t="inlineStr">
        <is>
          <t>x</t>
        </is>
      </c>
      <c r="AF11" s="33" t="inlineStr">
        <is>
          <t>x</t>
        </is>
      </c>
      <c r="AG11" s="33" t="n"/>
      <c r="AH11" s="13">
        <f>IF(B11="","",COUNTIF($C44:$AG44,"&gt;0"))</f>
        <v/>
      </c>
      <c r="AI11" s="14">
        <f>IF(OR(B11="",IF(AND(Habits!$C$4=YEAR(TODAY()),6=MONTH(TODAY())),DAY(TODAY()),IF(DATE(Habits!$C$4,6,1)&gt;TODAY(),0,DAY(EOMONTH(DATE(Habits!$C$4,6,1),0))))=0),"",MIN(1,(COUNTIF($C44:$AG44,"&gt;0"))/IF(AND(Habits!$C$4=YEAR(TODAY()),6=MONTH(TODAY())),DAY(TODAY()),IF(DATE(Habits!$C$4,6,1)&gt;TODAY(),0,DAY(EOMONTH(DATE(Habits!$C$4,6,1),0))))))</f>
        <v/>
      </c>
      <c r="AJ11" s="16">
        <f>IF(B11="","",IF(AND(Habits!$C$4=YEAR(TODAY()),6=MONTH(TODAY())),IF(INDEX($C44:$AG44,DAY(TODAY()))&gt;0,INDEX($C44:$AG44,DAY(TODAY())),IF(DAY(TODAY())=1,IFERROR(INDEX(May!$C$44:$AG$44,DAY(EOMONTH(DATE(Habits!$C$4,5,1),0))),0),INDEX($C44:$AG44,DAY(TODAY())-1))),IF(DATE(Habits!$C$4,6,1)&gt;TODAY(),"",INDEX($C44:$AG44,DAY(EOMONTH(DATE(Habits!$C$4,6,1),0))))))</f>
        <v/>
      </c>
      <c r="AK11" s="13">
        <f>IF(B11="","",MAX($C44:$AG44))</f>
        <v/>
      </c>
      <c r="AL11" s="1" t="n"/>
    </row>
    <row r="12">
      <c r="A12" s="1" t="n"/>
      <c r="B12" s="32">
        <f>IF(Habits!B13="","",Habits!B13)</f>
        <v/>
      </c>
      <c r="C12" s="33" t="n"/>
      <c r="D12" s="33" t="inlineStr">
        <is>
          <t>x</t>
        </is>
      </c>
      <c r="E12" s="33" t="n"/>
      <c r="F12" s="33" t="n"/>
      <c r="G12" s="33" t="n"/>
      <c r="H12" s="33" t="n"/>
      <c r="I12" s="33" t="n"/>
      <c r="J12" s="33" t="n"/>
      <c r="K12" s="33" t="inlineStr">
        <is>
          <t>x</t>
        </is>
      </c>
      <c r="L12" s="33" t="inlineStr">
        <is>
          <t>x</t>
        </is>
      </c>
      <c r="M12" s="33" t="n"/>
      <c r="N12" s="33" t="n"/>
      <c r="O12" s="33" t="inlineStr">
        <is>
          <t>x</t>
        </is>
      </c>
      <c r="P12" s="33" t="n"/>
      <c r="Q12" s="33" t="inlineStr">
        <is>
          <t>x</t>
        </is>
      </c>
      <c r="R12" s="33" t="n"/>
      <c r="S12" s="33" t="n"/>
      <c r="T12" s="33" t="inlineStr">
        <is>
          <t>x</t>
        </is>
      </c>
      <c r="U12" s="33" t="inlineStr">
        <is>
          <t>x</t>
        </is>
      </c>
      <c r="V12" s="33" t="inlineStr">
        <is>
          <t>x</t>
        </is>
      </c>
      <c r="W12" s="33" t="inlineStr">
        <is>
          <t>x</t>
        </is>
      </c>
      <c r="X12" s="33" t="n"/>
      <c r="Y12" s="33" t="inlineStr">
        <is>
          <t>x</t>
        </is>
      </c>
      <c r="Z12" s="33" t="inlineStr">
        <is>
          <t>x</t>
        </is>
      </c>
      <c r="AA12" s="33" t="inlineStr">
        <is>
          <t>x</t>
        </is>
      </c>
      <c r="AB12" s="33" t="n"/>
      <c r="AC12" s="33" t="n"/>
      <c r="AD12" s="33" t="inlineStr">
        <is>
          <t>x</t>
        </is>
      </c>
      <c r="AE12" s="33" t="n"/>
      <c r="AF12" s="33" t="inlineStr">
        <is>
          <t>x</t>
        </is>
      </c>
      <c r="AG12" s="33" t="n"/>
      <c r="AH12" s="13">
        <f>IF(B12="","",COUNTIF($C45:$AG45,"&gt;0"))</f>
        <v/>
      </c>
      <c r="AI12" s="14">
        <f>IF(OR(B12="",IF(AND(Habits!$C$4=YEAR(TODAY()),6=MONTH(TODAY())),DAY(TODAY()),IF(DATE(Habits!$C$4,6,1)&gt;TODAY(),0,DAY(EOMONTH(DATE(Habits!$C$4,6,1),0))))=0),"",MIN(1,(COUNTIF($C45:$AG45,"&gt;0"))/IF(AND(Habits!$C$4=YEAR(TODAY()),6=MONTH(TODAY())),DAY(TODAY()),IF(DATE(Habits!$C$4,6,1)&gt;TODAY(),0,DAY(EOMONTH(DATE(Habits!$C$4,6,1),0))))))</f>
        <v/>
      </c>
      <c r="AJ12" s="16">
        <f>IF(B12="","",IF(AND(Habits!$C$4=YEAR(TODAY()),6=MONTH(TODAY())),IF(INDEX($C45:$AG45,DAY(TODAY()))&gt;0,INDEX($C45:$AG45,DAY(TODAY())),IF(DAY(TODAY())=1,IFERROR(INDEX(May!$C$45:$AG$45,DAY(EOMONTH(DATE(Habits!$C$4,5,1),0))),0),INDEX($C45:$AG45,DAY(TODAY())-1))),IF(DATE(Habits!$C$4,6,1)&gt;TODAY(),"",INDEX($C45:$AG45,DAY(EOMONTH(DATE(Habits!$C$4,6,1),0))))))</f>
        <v/>
      </c>
      <c r="AK12" s="13">
        <f>IF(B12="","",MAX($C45:$AG45))</f>
        <v/>
      </c>
      <c r="AL12" s="1" t="n"/>
    </row>
    <row r="13">
      <c r="A13" s="1" t="n"/>
      <c r="B13" s="32">
        <f>IF(Habits!B14="","",Habits!B14)</f>
        <v/>
      </c>
      <c r="C13" s="33" t="inlineStr">
        <is>
          <t>x</t>
        </is>
      </c>
      <c r="D13" s="33" t="n"/>
      <c r="E13" s="33" t="inlineStr">
        <is>
          <t>x</t>
        </is>
      </c>
      <c r="F13" s="33" t="inlineStr">
        <is>
          <t>x</t>
        </is>
      </c>
      <c r="G13" s="33" t="inlineStr">
        <is>
          <t>x</t>
        </is>
      </c>
      <c r="H13" s="33" t="inlineStr">
        <is>
          <t>x</t>
        </is>
      </c>
      <c r="I13" s="33" t="inlineStr">
        <is>
          <t>x</t>
        </is>
      </c>
      <c r="J13" s="33" t="inlineStr">
        <is>
          <t>x</t>
        </is>
      </c>
      <c r="K13" s="33" t="inlineStr">
        <is>
          <t>x</t>
        </is>
      </c>
      <c r="L13" s="33" t="inlineStr">
        <is>
          <t>x</t>
        </is>
      </c>
      <c r="M13" s="33" t="inlineStr">
        <is>
          <t>x</t>
        </is>
      </c>
      <c r="N13" s="33" t="inlineStr">
        <is>
          <t>x</t>
        </is>
      </c>
      <c r="O13" s="33" t="inlineStr">
        <is>
          <t>x</t>
        </is>
      </c>
      <c r="P13" s="33" t="inlineStr">
        <is>
          <t>x</t>
        </is>
      </c>
      <c r="Q13" s="33" t="inlineStr">
        <is>
          <t>x</t>
        </is>
      </c>
      <c r="R13" s="33" t="inlineStr">
        <is>
          <t>x</t>
        </is>
      </c>
      <c r="S13" s="33" t="inlineStr">
        <is>
          <t>x</t>
        </is>
      </c>
      <c r="T13" s="33" t="inlineStr">
        <is>
          <t>x</t>
        </is>
      </c>
      <c r="U13" s="33" t="inlineStr">
        <is>
          <t>x</t>
        </is>
      </c>
      <c r="V13" s="33" t="inlineStr">
        <is>
          <t>x</t>
        </is>
      </c>
      <c r="W13" s="33" t="inlineStr">
        <is>
          <t>x</t>
        </is>
      </c>
      <c r="X13" s="33" t="n"/>
      <c r="Y13" s="33" t="inlineStr">
        <is>
          <t>x</t>
        </is>
      </c>
      <c r="Z13" s="33" t="inlineStr">
        <is>
          <t>x</t>
        </is>
      </c>
      <c r="AA13" s="33" t="inlineStr">
        <is>
          <t>x</t>
        </is>
      </c>
      <c r="AB13" s="33" t="inlineStr">
        <is>
          <t>x</t>
        </is>
      </c>
      <c r="AC13" s="33" t="inlineStr">
        <is>
          <t>x</t>
        </is>
      </c>
      <c r="AD13" s="33" t="inlineStr">
        <is>
          <t>x</t>
        </is>
      </c>
      <c r="AE13" s="33" t="inlineStr">
        <is>
          <t>x</t>
        </is>
      </c>
      <c r="AF13" s="33" t="inlineStr">
        <is>
          <t>x</t>
        </is>
      </c>
      <c r="AG13" s="33" t="n"/>
      <c r="AH13" s="13">
        <f>IF(B13="","",COUNTIF($C46:$AG46,"&gt;0"))</f>
        <v/>
      </c>
      <c r="AI13" s="14">
        <f>IF(OR(B13="",IF(AND(Habits!$C$4=YEAR(TODAY()),6=MONTH(TODAY())),DAY(TODAY()),IF(DATE(Habits!$C$4,6,1)&gt;TODAY(),0,DAY(EOMONTH(DATE(Habits!$C$4,6,1),0))))=0),"",MIN(1,(COUNTIF($C46:$AG46,"&gt;0"))/IF(AND(Habits!$C$4=YEAR(TODAY()),6=MONTH(TODAY())),DAY(TODAY()),IF(DATE(Habits!$C$4,6,1)&gt;TODAY(),0,DAY(EOMONTH(DATE(Habits!$C$4,6,1),0))))))</f>
        <v/>
      </c>
      <c r="AJ13" s="16">
        <f>IF(B13="","",IF(AND(Habits!$C$4=YEAR(TODAY()),6=MONTH(TODAY())),IF(INDEX($C46:$AG46,DAY(TODAY()))&gt;0,INDEX($C46:$AG46,DAY(TODAY())),IF(DAY(TODAY())=1,IFERROR(INDEX(May!$C$46:$AG$46,DAY(EOMONTH(DATE(Habits!$C$4,5,1),0))),0),INDEX($C46:$AG46,DAY(TODAY())-1))),IF(DATE(Habits!$C$4,6,1)&gt;TODAY(),"",INDEX($C46:$AG46,DAY(EOMONTH(DATE(Habits!$C$4,6,1),0))))))</f>
        <v/>
      </c>
      <c r="AK13" s="13">
        <f>IF(B13="","",MAX($C46:$AG46))</f>
        <v/>
      </c>
      <c r="AL13" s="1" t="n"/>
    </row>
    <row r="14">
      <c r="A14" s="1" t="n"/>
      <c r="B14" s="32">
        <f>IF(Habits!B15="","",Habits!B15)</f>
        <v/>
      </c>
      <c r="C14" s="33" t="n"/>
      <c r="D14" s="33" t="inlineStr">
        <is>
          <t>x</t>
        </is>
      </c>
      <c r="E14" s="33" t="inlineStr">
        <is>
          <t>x</t>
        </is>
      </c>
      <c r="F14" s="33" t="n"/>
      <c r="G14" s="33" t="inlineStr">
        <is>
          <t>x</t>
        </is>
      </c>
      <c r="H14" s="33" t="n"/>
      <c r="I14" s="33" t="inlineStr">
        <is>
          <t>x</t>
        </is>
      </c>
      <c r="J14" s="33" t="inlineStr">
        <is>
          <t>x</t>
        </is>
      </c>
      <c r="K14" s="33" t="inlineStr">
        <is>
          <t>x</t>
        </is>
      </c>
      <c r="L14" s="33" t="n"/>
      <c r="M14" s="33" t="n"/>
      <c r="N14" s="33" t="inlineStr">
        <is>
          <t>x</t>
        </is>
      </c>
      <c r="O14" s="33" t="n"/>
      <c r="P14" s="33" t="inlineStr">
        <is>
          <t>x</t>
        </is>
      </c>
      <c r="Q14" s="33" t="inlineStr">
        <is>
          <t>x</t>
        </is>
      </c>
      <c r="R14" s="33" t="n"/>
      <c r="S14" s="33" t="inlineStr">
        <is>
          <t>x</t>
        </is>
      </c>
      <c r="T14" s="33" t="inlineStr">
        <is>
          <t>x</t>
        </is>
      </c>
      <c r="U14" s="33" t="inlineStr">
        <is>
          <t>x</t>
        </is>
      </c>
      <c r="V14" s="33" t="n"/>
      <c r="W14" s="33" t="inlineStr">
        <is>
          <t>x</t>
        </is>
      </c>
      <c r="X14" s="33" t="n"/>
      <c r="Y14" s="33" t="inlineStr">
        <is>
          <t>x</t>
        </is>
      </c>
      <c r="Z14" s="33" t="n"/>
      <c r="AA14" s="33" t="inlineStr">
        <is>
          <t>x</t>
        </is>
      </c>
      <c r="AB14" s="33" t="inlineStr">
        <is>
          <t>x</t>
        </is>
      </c>
      <c r="AC14" s="33" t="inlineStr">
        <is>
          <t>x</t>
        </is>
      </c>
      <c r="AD14" s="33" t="inlineStr">
        <is>
          <t>x</t>
        </is>
      </c>
      <c r="AE14" s="33" t="n"/>
      <c r="AF14" s="33" t="inlineStr">
        <is>
          <t>x</t>
        </is>
      </c>
      <c r="AG14" s="33" t="n"/>
      <c r="AH14" s="13">
        <f>IF(B14="","",COUNTIF($C47:$AG47,"&gt;0"))</f>
        <v/>
      </c>
      <c r="AI14" s="14">
        <f>IF(OR(B14="",IF(AND(Habits!$C$4=YEAR(TODAY()),6=MONTH(TODAY())),DAY(TODAY()),IF(DATE(Habits!$C$4,6,1)&gt;TODAY(),0,DAY(EOMONTH(DATE(Habits!$C$4,6,1),0))))=0),"",MIN(1,(COUNTIF($C47:$AG47,"&gt;0"))/IF(AND(Habits!$C$4=YEAR(TODAY()),6=MONTH(TODAY())),DAY(TODAY()),IF(DATE(Habits!$C$4,6,1)&gt;TODAY(),0,DAY(EOMONTH(DATE(Habits!$C$4,6,1),0))))))</f>
        <v/>
      </c>
      <c r="AJ14" s="16">
        <f>IF(B14="","",IF(AND(Habits!$C$4=YEAR(TODAY()),6=MONTH(TODAY())),IF(INDEX($C47:$AG47,DAY(TODAY()))&gt;0,INDEX($C47:$AG47,DAY(TODAY())),IF(DAY(TODAY())=1,IFERROR(INDEX(May!$C$47:$AG$47,DAY(EOMONTH(DATE(Habits!$C$4,5,1),0))),0),INDEX($C47:$AG47,DAY(TODAY())-1))),IF(DATE(Habits!$C$4,6,1)&gt;TODAY(),"",INDEX($C47:$AG47,DAY(EOMONTH(DATE(Habits!$C$4,6,1),0))))))</f>
        <v/>
      </c>
      <c r="AK14" s="13">
        <f>IF(B14="","",MAX($C47:$AG47))</f>
        <v/>
      </c>
      <c r="AL14" s="1" t="n"/>
    </row>
    <row r="15">
      <c r="A15" s="1" t="n"/>
      <c r="B15" s="32">
        <f>IF(Habits!B16="","",Habits!B16)</f>
        <v/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13">
        <f>IF(B15="","",COUNTIF($C48:$AG48,"&gt;0"))</f>
        <v/>
      </c>
      <c r="AI15" s="14">
        <f>IF(OR(B15="",IF(AND(Habits!$C$4=YEAR(TODAY()),6=MONTH(TODAY())),DAY(TODAY()),IF(DATE(Habits!$C$4,6,1)&gt;TODAY(),0,DAY(EOMONTH(DATE(Habits!$C$4,6,1),0))))=0),"",MIN(1,(COUNTIF($C48:$AG48,"&gt;0"))/IF(AND(Habits!$C$4=YEAR(TODAY()),6=MONTH(TODAY())),DAY(TODAY()),IF(DATE(Habits!$C$4,6,1)&gt;TODAY(),0,DAY(EOMONTH(DATE(Habits!$C$4,6,1),0))))))</f>
        <v/>
      </c>
      <c r="AJ15" s="16">
        <f>IF(B15="","",IF(AND(Habits!$C$4=YEAR(TODAY()),6=MONTH(TODAY())),IF(INDEX($C48:$AG48,DAY(TODAY()))&gt;0,INDEX($C48:$AG48,DAY(TODAY())),IF(DAY(TODAY())=1,IFERROR(INDEX(May!$C$48:$AG$48,DAY(EOMONTH(DATE(Habits!$C$4,5,1),0))),0),INDEX($C48:$AG48,DAY(TODAY())-1))),IF(DATE(Habits!$C$4,6,1)&gt;TODAY(),"",INDEX($C48:$AG48,DAY(EOMONTH(DATE(Habits!$C$4,6,1),0))))))</f>
        <v/>
      </c>
      <c r="AK15" s="13">
        <f>IF(B15="","",MAX($C48:$AG48))</f>
        <v/>
      </c>
      <c r="AL15" s="1" t="n"/>
    </row>
    <row r="16">
      <c r="A16" s="1" t="n"/>
      <c r="B16" s="32">
        <f>IF(Habits!B17="","",Habits!B17)</f>
        <v/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13">
        <f>IF(B16="","",COUNTIF($C49:$AG49,"&gt;0"))</f>
        <v/>
      </c>
      <c r="AI16" s="14">
        <f>IF(OR(B16="",IF(AND(Habits!$C$4=YEAR(TODAY()),6=MONTH(TODAY())),DAY(TODAY()),IF(DATE(Habits!$C$4,6,1)&gt;TODAY(),0,DAY(EOMONTH(DATE(Habits!$C$4,6,1),0))))=0),"",MIN(1,(COUNTIF($C49:$AG49,"&gt;0"))/IF(AND(Habits!$C$4=YEAR(TODAY()),6=MONTH(TODAY())),DAY(TODAY()),IF(DATE(Habits!$C$4,6,1)&gt;TODAY(),0,DAY(EOMONTH(DATE(Habits!$C$4,6,1),0))))))</f>
        <v/>
      </c>
      <c r="AJ16" s="16">
        <f>IF(B16="","",IF(AND(Habits!$C$4=YEAR(TODAY()),6=MONTH(TODAY())),IF(INDEX($C49:$AG49,DAY(TODAY()))&gt;0,INDEX($C49:$AG49,DAY(TODAY())),IF(DAY(TODAY())=1,IFERROR(INDEX(May!$C$49:$AG$49,DAY(EOMONTH(DATE(Habits!$C$4,5,1),0))),0),INDEX($C49:$AG49,DAY(TODAY())-1))),IF(DATE(Habits!$C$4,6,1)&gt;TODAY(),"",INDEX($C49:$AG49,DAY(EOMONTH(DATE(Habits!$C$4,6,1),0))))))</f>
        <v/>
      </c>
      <c r="AK16" s="13">
        <f>IF(B16="","",MAX($C49:$AG49))</f>
        <v/>
      </c>
      <c r="AL16" s="1" t="n"/>
    </row>
    <row r="17">
      <c r="A17" s="1" t="n"/>
      <c r="B17" s="32">
        <f>IF(Habits!B18="","",Habits!B18)</f>
        <v/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13">
        <f>IF(B17="","",COUNTIF($C50:$AG50,"&gt;0"))</f>
        <v/>
      </c>
      <c r="AI17" s="14">
        <f>IF(OR(B17="",IF(AND(Habits!$C$4=YEAR(TODAY()),6=MONTH(TODAY())),DAY(TODAY()),IF(DATE(Habits!$C$4,6,1)&gt;TODAY(),0,DAY(EOMONTH(DATE(Habits!$C$4,6,1),0))))=0),"",MIN(1,(COUNTIF($C50:$AG50,"&gt;0"))/IF(AND(Habits!$C$4=YEAR(TODAY()),6=MONTH(TODAY())),DAY(TODAY()),IF(DATE(Habits!$C$4,6,1)&gt;TODAY(),0,DAY(EOMONTH(DATE(Habits!$C$4,6,1),0))))))</f>
        <v/>
      </c>
      <c r="AJ17" s="16">
        <f>IF(B17="","",IF(AND(Habits!$C$4=YEAR(TODAY()),6=MONTH(TODAY())),IF(INDEX($C50:$AG50,DAY(TODAY()))&gt;0,INDEX($C50:$AG50,DAY(TODAY())),IF(DAY(TODAY())=1,IFERROR(INDEX(May!$C$50:$AG$50,DAY(EOMONTH(DATE(Habits!$C$4,5,1),0))),0),INDEX($C50:$AG50,DAY(TODAY())-1))),IF(DATE(Habits!$C$4,6,1)&gt;TODAY(),"",INDEX($C50:$AG50,DAY(EOMONTH(DATE(Habits!$C$4,6,1),0))))))</f>
        <v/>
      </c>
      <c r="AK17" s="13">
        <f>IF(B17="","",MAX($C50:$AG50))</f>
        <v/>
      </c>
      <c r="AL17" s="1" t="n"/>
    </row>
    <row r="18">
      <c r="A18" s="1" t="n"/>
      <c r="B18" s="32">
        <f>IF(Habits!B19="","",Habits!B19)</f>
        <v/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13">
        <f>IF(B18="","",COUNTIF($C51:$AG51,"&gt;0"))</f>
        <v/>
      </c>
      <c r="AI18" s="14">
        <f>IF(OR(B18="",IF(AND(Habits!$C$4=YEAR(TODAY()),6=MONTH(TODAY())),DAY(TODAY()),IF(DATE(Habits!$C$4,6,1)&gt;TODAY(),0,DAY(EOMONTH(DATE(Habits!$C$4,6,1),0))))=0),"",MIN(1,(COUNTIF($C51:$AG51,"&gt;0"))/IF(AND(Habits!$C$4=YEAR(TODAY()),6=MONTH(TODAY())),DAY(TODAY()),IF(DATE(Habits!$C$4,6,1)&gt;TODAY(),0,DAY(EOMONTH(DATE(Habits!$C$4,6,1),0))))))</f>
        <v/>
      </c>
      <c r="AJ18" s="16">
        <f>IF(B18="","",IF(AND(Habits!$C$4=YEAR(TODAY()),6=MONTH(TODAY())),IF(INDEX($C51:$AG51,DAY(TODAY()))&gt;0,INDEX($C51:$AG51,DAY(TODAY())),IF(DAY(TODAY())=1,IFERROR(INDEX(May!$C$51:$AG$51,DAY(EOMONTH(DATE(Habits!$C$4,5,1),0))),0),INDEX($C51:$AG51,DAY(TODAY())-1))),IF(DATE(Habits!$C$4,6,1)&gt;TODAY(),"",INDEX($C51:$AG51,DAY(EOMONTH(DATE(Habits!$C$4,6,1),0))))))</f>
        <v/>
      </c>
      <c r="AK18" s="13">
        <f>IF(B18="","",MAX($C51:$AG51))</f>
        <v/>
      </c>
      <c r="AL18" s="1" t="n"/>
    </row>
    <row r="19">
      <c r="A19" s="1" t="n"/>
      <c r="B19" s="32">
        <f>IF(Habits!B20="","",Habits!B20)</f>
        <v/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13">
        <f>IF(B19="","",COUNTIF($C52:$AG52,"&gt;0"))</f>
        <v/>
      </c>
      <c r="AI19" s="14">
        <f>IF(OR(B19="",IF(AND(Habits!$C$4=YEAR(TODAY()),6=MONTH(TODAY())),DAY(TODAY()),IF(DATE(Habits!$C$4,6,1)&gt;TODAY(),0,DAY(EOMONTH(DATE(Habits!$C$4,6,1),0))))=0),"",MIN(1,(COUNTIF($C52:$AG52,"&gt;0"))/IF(AND(Habits!$C$4=YEAR(TODAY()),6=MONTH(TODAY())),DAY(TODAY()),IF(DATE(Habits!$C$4,6,1)&gt;TODAY(),0,DAY(EOMONTH(DATE(Habits!$C$4,6,1),0))))))</f>
        <v/>
      </c>
      <c r="AJ19" s="16">
        <f>IF(B19="","",IF(AND(Habits!$C$4=YEAR(TODAY()),6=MONTH(TODAY())),IF(INDEX($C52:$AG52,DAY(TODAY()))&gt;0,INDEX($C52:$AG52,DAY(TODAY())),IF(DAY(TODAY())=1,IFERROR(INDEX(May!$C$52:$AG$52,DAY(EOMONTH(DATE(Habits!$C$4,5,1),0))),0),INDEX($C52:$AG52,DAY(TODAY())-1))),IF(DATE(Habits!$C$4,6,1)&gt;TODAY(),"",INDEX($C52:$AG52,DAY(EOMONTH(DATE(Habits!$C$4,6,1),0))))))</f>
        <v/>
      </c>
      <c r="AK19" s="13">
        <f>IF(B19="","",MAX($C52:$AG52))</f>
        <v/>
      </c>
      <c r="AL19" s="1" t="n"/>
    </row>
    <row r="20">
      <c r="A20" s="1" t="n"/>
      <c r="B20" s="32">
        <f>IF(Habits!B21="","",Habits!B21)</f>
        <v/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13">
        <f>IF(B20="","",COUNTIF($C53:$AG53,"&gt;0"))</f>
        <v/>
      </c>
      <c r="AI20" s="14">
        <f>IF(OR(B20="",IF(AND(Habits!$C$4=YEAR(TODAY()),6=MONTH(TODAY())),DAY(TODAY()),IF(DATE(Habits!$C$4,6,1)&gt;TODAY(),0,DAY(EOMONTH(DATE(Habits!$C$4,6,1),0))))=0),"",MIN(1,(COUNTIF($C53:$AG53,"&gt;0"))/IF(AND(Habits!$C$4=YEAR(TODAY()),6=MONTH(TODAY())),DAY(TODAY()),IF(DATE(Habits!$C$4,6,1)&gt;TODAY(),0,DAY(EOMONTH(DATE(Habits!$C$4,6,1),0))))))</f>
        <v/>
      </c>
      <c r="AJ20" s="16">
        <f>IF(B20="","",IF(AND(Habits!$C$4=YEAR(TODAY()),6=MONTH(TODAY())),IF(INDEX($C53:$AG53,DAY(TODAY()))&gt;0,INDEX($C53:$AG53,DAY(TODAY())),IF(DAY(TODAY())=1,IFERROR(INDEX(May!$C$53:$AG$53,DAY(EOMONTH(DATE(Habits!$C$4,5,1),0))),0),INDEX($C53:$AG53,DAY(TODAY())-1))),IF(DATE(Habits!$C$4,6,1)&gt;TODAY(),"",INDEX($C53:$AG53,DAY(EOMONTH(DATE(Habits!$C$4,6,1),0))))))</f>
        <v/>
      </c>
      <c r="AK20" s="13">
        <f>IF(B20="","",MAX($C53:$AG53))</f>
        <v/>
      </c>
      <c r="AL20" s="1" t="n"/>
    </row>
    <row r="21">
      <c r="A21" s="1" t="n"/>
      <c r="B21" s="32">
        <f>IF(Habits!B22="","",Habits!B22)</f>
        <v/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13">
        <f>IF(B21="","",COUNTIF($C54:$AG54,"&gt;0"))</f>
        <v/>
      </c>
      <c r="AI21" s="14">
        <f>IF(OR(B21="",IF(AND(Habits!$C$4=YEAR(TODAY()),6=MONTH(TODAY())),DAY(TODAY()),IF(DATE(Habits!$C$4,6,1)&gt;TODAY(),0,DAY(EOMONTH(DATE(Habits!$C$4,6,1),0))))=0),"",MIN(1,(COUNTIF($C54:$AG54,"&gt;0"))/IF(AND(Habits!$C$4=YEAR(TODAY()),6=MONTH(TODAY())),DAY(TODAY()),IF(DATE(Habits!$C$4,6,1)&gt;TODAY(),0,DAY(EOMONTH(DATE(Habits!$C$4,6,1),0))))))</f>
        <v/>
      </c>
      <c r="AJ21" s="16">
        <f>IF(B21="","",IF(AND(Habits!$C$4=YEAR(TODAY()),6=MONTH(TODAY())),IF(INDEX($C54:$AG54,DAY(TODAY()))&gt;0,INDEX($C54:$AG54,DAY(TODAY())),IF(DAY(TODAY())=1,IFERROR(INDEX(May!$C$54:$AG$54,DAY(EOMONTH(DATE(Habits!$C$4,5,1),0))),0),INDEX($C54:$AG54,DAY(TODAY())-1))),IF(DATE(Habits!$C$4,6,1)&gt;TODAY(),"",INDEX($C54:$AG54,DAY(EOMONTH(DATE(Habits!$C$4,6,1),0))))))</f>
        <v/>
      </c>
      <c r="AK21" s="13">
        <f>IF(B21="","",MAX($C54:$AG54))</f>
        <v/>
      </c>
      <c r="A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>
      <c r="A23" s="1" t="n"/>
      <c r="B23" s="12" t="inlineStr">
        <is>
          <t>Mood (1 to 5)</t>
        </is>
      </c>
      <c r="C23" s="34" t="n">
        <v>5</v>
      </c>
      <c r="D23" s="34" t="n">
        <v>4</v>
      </c>
      <c r="E23" s="34" t="n">
        <v>3</v>
      </c>
      <c r="F23" s="34" t="n">
        <v>4</v>
      </c>
      <c r="G23" s="34" t="n">
        <v>2</v>
      </c>
      <c r="H23" s="34" t="n">
        <v>4</v>
      </c>
      <c r="I23" s="34" t="n">
        <v>3</v>
      </c>
      <c r="J23" s="34" t="n">
        <v>3</v>
      </c>
      <c r="K23" s="34" t="n">
        <v>3</v>
      </c>
      <c r="L23" s="34" t="n">
        <v>4</v>
      </c>
      <c r="M23" s="34" t="n">
        <v>3</v>
      </c>
      <c r="N23" s="34" t="n">
        <v>5</v>
      </c>
      <c r="O23" s="34" t="n">
        <v>3</v>
      </c>
      <c r="P23" s="34" t="n">
        <v>5</v>
      </c>
      <c r="Q23" s="34" t="n">
        <v>5</v>
      </c>
      <c r="R23" s="34" t="n">
        <v>4</v>
      </c>
      <c r="S23" s="34" t="n">
        <v>5</v>
      </c>
      <c r="T23" s="34" t="n">
        <v>5</v>
      </c>
      <c r="U23" s="34" t="n">
        <v>4</v>
      </c>
      <c r="V23" s="34" t="n">
        <v>3</v>
      </c>
      <c r="W23" s="34" t="n">
        <v>5</v>
      </c>
      <c r="X23" s="34" t="n">
        <v>3</v>
      </c>
      <c r="Y23" s="34" t="n">
        <v>3</v>
      </c>
      <c r="Z23" s="34" t="n">
        <v>4</v>
      </c>
      <c r="AA23" s="34" t="n">
        <v>3</v>
      </c>
      <c r="AB23" s="34" t="n">
        <v>4</v>
      </c>
      <c r="AC23" s="34" t="n">
        <v>5</v>
      </c>
      <c r="AD23" s="34" t="n">
        <v>4</v>
      </c>
      <c r="AE23" s="34" t="n">
        <v>4</v>
      </c>
      <c r="AF23" s="34" t="n">
        <v>4</v>
      </c>
      <c r="AG23" s="34" t="n"/>
      <c r="AH23" s="35">
        <f>IFERROR(AVERAGE(C23:AG23),"")</f>
        <v/>
      </c>
      <c r="AI23" s="11" t="n"/>
      <c r="AJ23" s="36" t="inlineStr">
        <is>
          <t>average</t>
        </is>
      </c>
      <c r="AK23" s="1" t="n"/>
      <c r="AL23" s="1" t="n"/>
    </row>
    <row r="24">
      <c r="A24" s="1" t="n"/>
      <c r="B24" s="12" t="inlineStr">
        <is>
          <t>Sleep (hours)</t>
        </is>
      </c>
      <c r="C24" s="34" t="n">
        <v>6.5</v>
      </c>
      <c r="D24" s="34" t="n">
        <v>8</v>
      </c>
      <c r="E24" s="34" t="n">
        <v>6.5</v>
      </c>
      <c r="F24" s="34" t="n">
        <v>7.5</v>
      </c>
      <c r="G24" s="34" t="n">
        <v>7</v>
      </c>
      <c r="H24" s="34" t="n">
        <v>6.5</v>
      </c>
      <c r="I24" s="34" t="n">
        <v>7.5</v>
      </c>
      <c r="J24" s="34" t="n">
        <v>6.5</v>
      </c>
      <c r="K24" s="34" t="n">
        <v>7.5</v>
      </c>
      <c r="L24" s="34" t="n">
        <v>8.5</v>
      </c>
      <c r="M24" s="34" t="n">
        <v>8.5</v>
      </c>
      <c r="N24" s="34" t="n">
        <v>7.5</v>
      </c>
      <c r="O24" s="34" t="n">
        <v>8.5</v>
      </c>
      <c r="P24" s="34" t="n">
        <v>6.5</v>
      </c>
      <c r="Q24" s="34" t="n">
        <v>7</v>
      </c>
      <c r="R24" s="34" t="n">
        <v>6</v>
      </c>
      <c r="S24" s="34" t="n">
        <v>7.5</v>
      </c>
      <c r="T24" s="34" t="n">
        <v>7.5</v>
      </c>
      <c r="U24" s="34" t="n">
        <v>8</v>
      </c>
      <c r="V24" s="34" t="n">
        <v>7.5</v>
      </c>
      <c r="W24" s="34" t="n">
        <v>6.5</v>
      </c>
      <c r="X24" s="34" t="n">
        <v>7</v>
      </c>
      <c r="Y24" s="34" t="n">
        <v>7.5</v>
      </c>
      <c r="Z24" s="34" t="n">
        <v>8.5</v>
      </c>
      <c r="AA24" s="34" t="n">
        <v>6.5</v>
      </c>
      <c r="AB24" s="34" t="n">
        <v>7.5</v>
      </c>
      <c r="AC24" s="34" t="n">
        <v>6</v>
      </c>
      <c r="AD24" s="34" t="n">
        <v>6</v>
      </c>
      <c r="AE24" s="34" t="n">
        <v>6</v>
      </c>
      <c r="AF24" s="34" t="n">
        <v>7</v>
      </c>
      <c r="AG24" s="34" t="n"/>
      <c r="AH24" s="35">
        <f>IFERROR(AVERAGE(C24:AG24),"")</f>
        <v/>
      </c>
      <c r="AI24" s="11" t="n"/>
      <c r="AJ24" s="36" t="inlineStr">
        <is>
          <t>average</t>
        </is>
      </c>
      <c r="AK24" s="1" t="n"/>
      <c r="A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idden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idden="1">
      <c r="A40" s="1" t="n"/>
      <c r="B40" s="1">
        <f>B7</f>
        <v/>
      </c>
      <c r="C40" s="1">
        <f>IF(C$5="",0,IF(OR(C7=TRUE,ISTEXT(C7)),IFERROR(INDEX(May!$C$40:$AG$40,DAY(EOMONTH(DATE(Habits!$C$4,5,1),0))),0)+1,0))</f>
        <v/>
      </c>
      <c r="D40" s="1">
        <f>IF(D$5="",0,IF(OR(D7=TRUE,ISTEXT(D7)),C40+1,0))</f>
        <v/>
      </c>
      <c r="E40" s="1">
        <f>IF(E$5="",0,IF(OR(E7=TRUE,ISTEXT(E7)),D40+1,0))</f>
        <v/>
      </c>
      <c r="F40" s="1">
        <f>IF(F$5="",0,IF(OR(F7=TRUE,ISTEXT(F7)),E40+1,0))</f>
        <v/>
      </c>
      <c r="G40" s="1">
        <f>IF(G$5="",0,IF(OR(G7=TRUE,ISTEXT(G7)),F40+1,0))</f>
        <v/>
      </c>
      <c r="H40" s="1">
        <f>IF(H$5="",0,IF(OR(H7=TRUE,ISTEXT(H7)),G40+1,0))</f>
        <v/>
      </c>
      <c r="I40" s="1">
        <f>IF(I$5="",0,IF(OR(I7=TRUE,ISTEXT(I7)),H40+1,0))</f>
        <v/>
      </c>
      <c r="J40" s="1">
        <f>IF(J$5="",0,IF(OR(J7=TRUE,ISTEXT(J7)),I40+1,0))</f>
        <v/>
      </c>
      <c r="K40" s="1">
        <f>IF(K$5="",0,IF(OR(K7=TRUE,ISTEXT(K7)),J40+1,0))</f>
        <v/>
      </c>
      <c r="L40" s="1">
        <f>IF(L$5="",0,IF(OR(L7=TRUE,ISTEXT(L7)),K40+1,0))</f>
        <v/>
      </c>
      <c r="M40" s="1">
        <f>IF(M$5="",0,IF(OR(M7=TRUE,ISTEXT(M7)),L40+1,0))</f>
        <v/>
      </c>
      <c r="N40" s="1">
        <f>IF(N$5="",0,IF(OR(N7=TRUE,ISTEXT(N7)),M40+1,0))</f>
        <v/>
      </c>
      <c r="O40" s="1">
        <f>IF(O$5="",0,IF(OR(O7=TRUE,ISTEXT(O7)),N40+1,0))</f>
        <v/>
      </c>
      <c r="P40" s="1">
        <f>IF(P$5="",0,IF(OR(P7=TRUE,ISTEXT(P7)),O40+1,0))</f>
        <v/>
      </c>
      <c r="Q40" s="1">
        <f>IF(Q$5="",0,IF(OR(Q7=TRUE,ISTEXT(Q7)),P40+1,0))</f>
        <v/>
      </c>
      <c r="R40" s="1">
        <f>IF(R$5="",0,IF(OR(R7=TRUE,ISTEXT(R7)),Q40+1,0))</f>
        <v/>
      </c>
      <c r="S40" s="1">
        <f>IF(S$5="",0,IF(OR(S7=TRUE,ISTEXT(S7)),R40+1,0))</f>
        <v/>
      </c>
      <c r="T40" s="1">
        <f>IF(T$5="",0,IF(OR(T7=TRUE,ISTEXT(T7)),S40+1,0))</f>
        <v/>
      </c>
      <c r="U40" s="1">
        <f>IF(U$5="",0,IF(OR(U7=TRUE,ISTEXT(U7)),T40+1,0))</f>
        <v/>
      </c>
      <c r="V40" s="1">
        <f>IF(V$5="",0,IF(OR(V7=TRUE,ISTEXT(V7)),U40+1,0))</f>
        <v/>
      </c>
      <c r="W40" s="1">
        <f>IF(W$5="",0,IF(OR(W7=TRUE,ISTEXT(W7)),V40+1,0))</f>
        <v/>
      </c>
      <c r="X40" s="1">
        <f>IF(X$5="",0,IF(OR(X7=TRUE,ISTEXT(X7)),W40+1,0))</f>
        <v/>
      </c>
      <c r="Y40" s="1">
        <f>IF(Y$5="",0,IF(OR(Y7=TRUE,ISTEXT(Y7)),X40+1,0))</f>
        <v/>
      </c>
      <c r="Z40" s="1">
        <f>IF(Z$5="",0,IF(OR(Z7=TRUE,ISTEXT(Z7)),Y40+1,0))</f>
        <v/>
      </c>
      <c r="AA40" s="1">
        <f>IF(AA$5="",0,IF(OR(AA7=TRUE,ISTEXT(AA7)),Z40+1,0))</f>
        <v/>
      </c>
      <c r="AB40" s="1">
        <f>IF(AB$5="",0,IF(OR(AB7=TRUE,ISTEXT(AB7)),AA40+1,0))</f>
        <v/>
      </c>
      <c r="AC40" s="1">
        <f>IF(AC$5="",0,IF(OR(AC7=TRUE,ISTEXT(AC7)),AB40+1,0))</f>
        <v/>
      </c>
      <c r="AD40" s="1">
        <f>IF(AD$5="",0,IF(OR(AD7=TRUE,ISTEXT(AD7)),AC40+1,0))</f>
        <v/>
      </c>
      <c r="AE40" s="1">
        <f>IF(AE$5="",0,IF(OR(AE7=TRUE,ISTEXT(AE7)),AD40+1,0))</f>
        <v/>
      </c>
      <c r="AF40" s="1">
        <f>IF(AF$5="",0,IF(OR(AF7=TRUE,ISTEXT(AF7)),AE40+1,0))</f>
        <v/>
      </c>
      <c r="AG40" s="1">
        <f>IF(AG$5="",0,IF(OR(AG7=TRUE,ISTEXT(AG7)),AF40+1,0))</f>
        <v/>
      </c>
      <c r="AH40" s="1" t="n"/>
      <c r="AI40" s="1" t="n"/>
      <c r="AJ40" s="1" t="n"/>
      <c r="AK40" s="1" t="n"/>
      <c r="AL40" s="1" t="n"/>
    </row>
    <row r="41" hidden="1">
      <c r="A41" s="1" t="n"/>
      <c r="B41" s="1">
        <f>B8</f>
        <v/>
      </c>
      <c r="C41" s="1">
        <f>IF(C$5="",0,IF(OR(C8=TRUE,ISTEXT(C8)),IFERROR(INDEX(May!$C$41:$AG$41,DAY(EOMONTH(DATE(Habits!$C$4,5,1),0))),0)+1,0))</f>
        <v/>
      </c>
      <c r="D41" s="1">
        <f>IF(D$5="",0,IF(OR(D8=TRUE,ISTEXT(D8)),C41+1,0))</f>
        <v/>
      </c>
      <c r="E41" s="1">
        <f>IF(E$5="",0,IF(OR(E8=TRUE,ISTEXT(E8)),D41+1,0))</f>
        <v/>
      </c>
      <c r="F41" s="1">
        <f>IF(F$5="",0,IF(OR(F8=TRUE,ISTEXT(F8)),E41+1,0))</f>
        <v/>
      </c>
      <c r="G41" s="1">
        <f>IF(G$5="",0,IF(OR(G8=TRUE,ISTEXT(G8)),F41+1,0))</f>
        <v/>
      </c>
      <c r="H41" s="1">
        <f>IF(H$5="",0,IF(OR(H8=TRUE,ISTEXT(H8)),G41+1,0))</f>
        <v/>
      </c>
      <c r="I41" s="1">
        <f>IF(I$5="",0,IF(OR(I8=TRUE,ISTEXT(I8)),H41+1,0))</f>
        <v/>
      </c>
      <c r="J41" s="1">
        <f>IF(J$5="",0,IF(OR(J8=TRUE,ISTEXT(J8)),I41+1,0))</f>
        <v/>
      </c>
      <c r="K41" s="1">
        <f>IF(K$5="",0,IF(OR(K8=TRUE,ISTEXT(K8)),J41+1,0))</f>
        <v/>
      </c>
      <c r="L41" s="1">
        <f>IF(L$5="",0,IF(OR(L8=TRUE,ISTEXT(L8)),K41+1,0))</f>
        <v/>
      </c>
      <c r="M41" s="1">
        <f>IF(M$5="",0,IF(OR(M8=TRUE,ISTEXT(M8)),L41+1,0))</f>
        <v/>
      </c>
      <c r="N41" s="1">
        <f>IF(N$5="",0,IF(OR(N8=TRUE,ISTEXT(N8)),M41+1,0))</f>
        <v/>
      </c>
      <c r="O41" s="1">
        <f>IF(O$5="",0,IF(OR(O8=TRUE,ISTEXT(O8)),N41+1,0))</f>
        <v/>
      </c>
      <c r="P41" s="1">
        <f>IF(P$5="",0,IF(OR(P8=TRUE,ISTEXT(P8)),O41+1,0))</f>
        <v/>
      </c>
      <c r="Q41" s="1">
        <f>IF(Q$5="",0,IF(OR(Q8=TRUE,ISTEXT(Q8)),P41+1,0))</f>
        <v/>
      </c>
      <c r="R41" s="1">
        <f>IF(R$5="",0,IF(OR(R8=TRUE,ISTEXT(R8)),Q41+1,0))</f>
        <v/>
      </c>
      <c r="S41" s="1">
        <f>IF(S$5="",0,IF(OR(S8=TRUE,ISTEXT(S8)),R41+1,0))</f>
        <v/>
      </c>
      <c r="T41" s="1">
        <f>IF(T$5="",0,IF(OR(T8=TRUE,ISTEXT(T8)),S41+1,0))</f>
        <v/>
      </c>
      <c r="U41" s="1">
        <f>IF(U$5="",0,IF(OR(U8=TRUE,ISTEXT(U8)),T41+1,0))</f>
        <v/>
      </c>
      <c r="V41" s="1">
        <f>IF(V$5="",0,IF(OR(V8=TRUE,ISTEXT(V8)),U41+1,0))</f>
        <v/>
      </c>
      <c r="W41" s="1">
        <f>IF(W$5="",0,IF(OR(W8=TRUE,ISTEXT(W8)),V41+1,0))</f>
        <v/>
      </c>
      <c r="X41" s="1">
        <f>IF(X$5="",0,IF(OR(X8=TRUE,ISTEXT(X8)),W41+1,0))</f>
        <v/>
      </c>
      <c r="Y41" s="1">
        <f>IF(Y$5="",0,IF(OR(Y8=TRUE,ISTEXT(Y8)),X41+1,0))</f>
        <v/>
      </c>
      <c r="Z41" s="1">
        <f>IF(Z$5="",0,IF(OR(Z8=TRUE,ISTEXT(Z8)),Y41+1,0))</f>
        <v/>
      </c>
      <c r="AA41" s="1">
        <f>IF(AA$5="",0,IF(OR(AA8=TRUE,ISTEXT(AA8)),Z41+1,0))</f>
        <v/>
      </c>
      <c r="AB41" s="1">
        <f>IF(AB$5="",0,IF(OR(AB8=TRUE,ISTEXT(AB8)),AA41+1,0))</f>
        <v/>
      </c>
      <c r="AC41" s="1">
        <f>IF(AC$5="",0,IF(OR(AC8=TRUE,ISTEXT(AC8)),AB41+1,0))</f>
        <v/>
      </c>
      <c r="AD41" s="1">
        <f>IF(AD$5="",0,IF(OR(AD8=TRUE,ISTEXT(AD8)),AC41+1,0))</f>
        <v/>
      </c>
      <c r="AE41" s="1">
        <f>IF(AE$5="",0,IF(OR(AE8=TRUE,ISTEXT(AE8)),AD41+1,0))</f>
        <v/>
      </c>
      <c r="AF41" s="1">
        <f>IF(AF$5="",0,IF(OR(AF8=TRUE,ISTEXT(AF8)),AE41+1,0))</f>
        <v/>
      </c>
      <c r="AG41" s="1">
        <f>IF(AG$5="",0,IF(OR(AG8=TRUE,ISTEXT(AG8)),AF41+1,0))</f>
        <v/>
      </c>
      <c r="AH41" s="1" t="n"/>
      <c r="AI41" s="1" t="n"/>
      <c r="AJ41" s="1" t="n"/>
      <c r="AK41" s="1" t="n"/>
      <c r="AL41" s="1" t="n"/>
    </row>
    <row r="42" hidden="1">
      <c r="A42" s="1" t="n"/>
      <c r="B42" s="1">
        <f>B9</f>
        <v/>
      </c>
      <c r="C42" s="1">
        <f>IF(C$5="",0,IF(OR(C9=TRUE,ISTEXT(C9)),IFERROR(INDEX(May!$C$42:$AG$42,DAY(EOMONTH(DATE(Habits!$C$4,5,1),0))),0)+1,0))</f>
        <v/>
      </c>
      <c r="D42" s="1">
        <f>IF(D$5="",0,IF(OR(D9=TRUE,ISTEXT(D9)),C42+1,0))</f>
        <v/>
      </c>
      <c r="E42" s="1">
        <f>IF(E$5="",0,IF(OR(E9=TRUE,ISTEXT(E9)),D42+1,0))</f>
        <v/>
      </c>
      <c r="F42" s="1">
        <f>IF(F$5="",0,IF(OR(F9=TRUE,ISTEXT(F9)),E42+1,0))</f>
        <v/>
      </c>
      <c r="G42" s="1">
        <f>IF(G$5="",0,IF(OR(G9=TRUE,ISTEXT(G9)),F42+1,0))</f>
        <v/>
      </c>
      <c r="H42" s="1">
        <f>IF(H$5="",0,IF(OR(H9=TRUE,ISTEXT(H9)),G42+1,0))</f>
        <v/>
      </c>
      <c r="I42" s="1">
        <f>IF(I$5="",0,IF(OR(I9=TRUE,ISTEXT(I9)),H42+1,0))</f>
        <v/>
      </c>
      <c r="J42" s="1">
        <f>IF(J$5="",0,IF(OR(J9=TRUE,ISTEXT(J9)),I42+1,0))</f>
        <v/>
      </c>
      <c r="K42" s="1">
        <f>IF(K$5="",0,IF(OR(K9=TRUE,ISTEXT(K9)),J42+1,0))</f>
        <v/>
      </c>
      <c r="L42" s="1">
        <f>IF(L$5="",0,IF(OR(L9=TRUE,ISTEXT(L9)),K42+1,0))</f>
        <v/>
      </c>
      <c r="M42" s="1">
        <f>IF(M$5="",0,IF(OR(M9=TRUE,ISTEXT(M9)),L42+1,0))</f>
        <v/>
      </c>
      <c r="N42" s="1">
        <f>IF(N$5="",0,IF(OR(N9=TRUE,ISTEXT(N9)),M42+1,0))</f>
        <v/>
      </c>
      <c r="O42" s="1">
        <f>IF(O$5="",0,IF(OR(O9=TRUE,ISTEXT(O9)),N42+1,0))</f>
        <v/>
      </c>
      <c r="P42" s="1">
        <f>IF(P$5="",0,IF(OR(P9=TRUE,ISTEXT(P9)),O42+1,0))</f>
        <v/>
      </c>
      <c r="Q42" s="1">
        <f>IF(Q$5="",0,IF(OR(Q9=TRUE,ISTEXT(Q9)),P42+1,0))</f>
        <v/>
      </c>
      <c r="R42" s="1">
        <f>IF(R$5="",0,IF(OR(R9=TRUE,ISTEXT(R9)),Q42+1,0))</f>
        <v/>
      </c>
      <c r="S42" s="1">
        <f>IF(S$5="",0,IF(OR(S9=TRUE,ISTEXT(S9)),R42+1,0))</f>
        <v/>
      </c>
      <c r="T42" s="1">
        <f>IF(T$5="",0,IF(OR(T9=TRUE,ISTEXT(T9)),S42+1,0))</f>
        <v/>
      </c>
      <c r="U42" s="1">
        <f>IF(U$5="",0,IF(OR(U9=TRUE,ISTEXT(U9)),T42+1,0))</f>
        <v/>
      </c>
      <c r="V42" s="1">
        <f>IF(V$5="",0,IF(OR(V9=TRUE,ISTEXT(V9)),U42+1,0))</f>
        <v/>
      </c>
      <c r="W42" s="1">
        <f>IF(W$5="",0,IF(OR(W9=TRUE,ISTEXT(W9)),V42+1,0))</f>
        <v/>
      </c>
      <c r="X42" s="1">
        <f>IF(X$5="",0,IF(OR(X9=TRUE,ISTEXT(X9)),W42+1,0))</f>
        <v/>
      </c>
      <c r="Y42" s="1">
        <f>IF(Y$5="",0,IF(OR(Y9=TRUE,ISTEXT(Y9)),X42+1,0))</f>
        <v/>
      </c>
      <c r="Z42" s="1">
        <f>IF(Z$5="",0,IF(OR(Z9=TRUE,ISTEXT(Z9)),Y42+1,0))</f>
        <v/>
      </c>
      <c r="AA42" s="1">
        <f>IF(AA$5="",0,IF(OR(AA9=TRUE,ISTEXT(AA9)),Z42+1,0))</f>
        <v/>
      </c>
      <c r="AB42" s="1">
        <f>IF(AB$5="",0,IF(OR(AB9=TRUE,ISTEXT(AB9)),AA42+1,0))</f>
        <v/>
      </c>
      <c r="AC42" s="1">
        <f>IF(AC$5="",0,IF(OR(AC9=TRUE,ISTEXT(AC9)),AB42+1,0))</f>
        <v/>
      </c>
      <c r="AD42" s="1">
        <f>IF(AD$5="",0,IF(OR(AD9=TRUE,ISTEXT(AD9)),AC42+1,0))</f>
        <v/>
      </c>
      <c r="AE42" s="1">
        <f>IF(AE$5="",0,IF(OR(AE9=TRUE,ISTEXT(AE9)),AD42+1,0))</f>
        <v/>
      </c>
      <c r="AF42" s="1">
        <f>IF(AF$5="",0,IF(OR(AF9=TRUE,ISTEXT(AF9)),AE42+1,0))</f>
        <v/>
      </c>
      <c r="AG42" s="1">
        <f>IF(AG$5="",0,IF(OR(AG9=TRUE,ISTEXT(AG9)),AF42+1,0))</f>
        <v/>
      </c>
      <c r="AH42" s="1" t="n"/>
      <c r="AI42" s="1" t="n"/>
      <c r="AJ42" s="1" t="n"/>
      <c r="AK42" s="1" t="n"/>
      <c r="AL42" s="1" t="n"/>
    </row>
    <row r="43" hidden="1">
      <c r="A43" s="1" t="n"/>
      <c r="B43" s="1">
        <f>B10</f>
        <v/>
      </c>
      <c r="C43" s="1">
        <f>IF(C$5="",0,IF(OR(C10=TRUE,ISTEXT(C10)),IFERROR(INDEX(May!$C$43:$AG$43,DAY(EOMONTH(DATE(Habits!$C$4,5,1),0))),0)+1,0))</f>
        <v/>
      </c>
      <c r="D43" s="1">
        <f>IF(D$5="",0,IF(OR(D10=TRUE,ISTEXT(D10)),C43+1,0))</f>
        <v/>
      </c>
      <c r="E43" s="1">
        <f>IF(E$5="",0,IF(OR(E10=TRUE,ISTEXT(E10)),D43+1,0))</f>
        <v/>
      </c>
      <c r="F43" s="1">
        <f>IF(F$5="",0,IF(OR(F10=TRUE,ISTEXT(F10)),E43+1,0))</f>
        <v/>
      </c>
      <c r="G43" s="1">
        <f>IF(G$5="",0,IF(OR(G10=TRUE,ISTEXT(G10)),F43+1,0))</f>
        <v/>
      </c>
      <c r="H43" s="1">
        <f>IF(H$5="",0,IF(OR(H10=TRUE,ISTEXT(H10)),G43+1,0))</f>
        <v/>
      </c>
      <c r="I43" s="1">
        <f>IF(I$5="",0,IF(OR(I10=TRUE,ISTEXT(I10)),H43+1,0))</f>
        <v/>
      </c>
      <c r="J43" s="1">
        <f>IF(J$5="",0,IF(OR(J10=TRUE,ISTEXT(J10)),I43+1,0))</f>
        <v/>
      </c>
      <c r="K43" s="1">
        <f>IF(K$5="",0,IF(OR(K10=TRUE,ISTEXT(K10)),J43+1,0))</f>
        <v/>
      </c>
      <c r="L43" s="1">
        <f>IF(L$5="",0,IF(OR(L10=TRUE,ISTEXT(L10)),K43+1,0))</f>
        <v/>
      </c>
      <c r="M43" s="1">
        <f>IF(M$5="",0,IF(OR(M10=TRUE,ISTEXT(M10)),L43+1,0))</f>
        <v/>
      </c>
      <c r="N43" s="1">
        <f>IF(N$5="",0,IF(OR(N10=TRUE,ISTEXT(N10)),M43+1,0))</f>
        <v/>
      </c>
      <c r="O43" s="1">
        <f>IF(O$5="",0,IF(OR(O10=TRUE,ISTEXT(O10)),N43+1,0))</f>
        <v/>
      </c>
      <c r="P43" s="1">
        <f>IF(P$5="",0,IF(OR(P10=TRUE,ISTEXT(P10)),O43+1,0))</f>
        <v/>
      </c>
      <c r="Q43" s="1">
        <f>IF(Q$5="",0,IF(OR(Q10=TRUE,ISTEXT(Q10)),P43+1,0))</f>
        <v/>
      </c>
      <c r="R43" s="1">
        <f>IF(R$5="",0,IF(OR(R10=TRUE,ISTEXT(R10)),Q43+1,0))</f>
        <v/>
      </c>
      <c r="S43" s="1">
        <f>IF(S$5="",0,IF(OR(S10=TRUE,ISTEXT(S10)),R43+1,0))</f>
        <v/>
      </c>
      <c r="T43" s="1">
        <f>IF(T$5="",0,IF(OR(T10=TRUE,ISTEXT(T10)),S43+1,0))</f>
        <v/>
      </c>
      <c r="U43" s="1">
        <f>IF(U$5="",0,IF(OR(U10=TRUE,ISTEXT(U10)),T43+1,0))</f>
        <v/>
      </c>
      <c r="V43" s="1">
        <f>IF(V$5="",0,IF(OR(V10=TRUE,ISTEXT(V10)),U43+1,0))</f>
        <v/>
      </c>
      <c r="W43" s="1">
        <f>IF(W$5="",0,IF(OR(W10=TRUE,ISTEXT(W10)),V43+1,0))</f>
        <v/>
      </c>
      <c r="X43" s="1">
        <f>IF(X$5="",0,IF(OR(X10=TRUE,ISTEXT(X10)),W43+1,0))</f>
        <v/>
      </c>
      <c r="Y43" s="1">
        <f>IF(Y$5="",0,IF(OR(Y10=TRUE,ISTEXT(Y10)),X43+1,0))</f>
        <v/>
      </c>
      <c r="Z43" s="1">
        <f>IF(Z$5="",0,IF(OR(Z10=TRUE,ISTEXT(Z10)),Y43+1,0))</f>
        <v/>
      </c>
      <c r="AA43" s="1">
        <f>IF(AA$5="",0,IF(OR(AA10=TRUE,ISTEXT(AA10)),Z43+1,0))</f>
        <v/>
      </c>
      <c r="AB43" s="1">
        <f>IF(AB$5="",0,IF(OR(AB10=TRUE,ISTEXT(AB10)),AA43+1,0))</f>
        <v/>
      </c>
      <c r="AC43" s="1">
        <f>IF(AC$5="",0,IF(OR(AC10=TRUE,ISTEXT(AC10)),AB43+1,0))</f>
        <v/>
      </c>
      <c r="AD43" s="1">
        <f>IF(AD$5="",0,IF(OR(AD10=TRUE,ISTEXT(AD10)),AC43+1,0))</f>
        <v/>
      </c>
      <c r="AE43" s="1">
        <f>IF(AE$5="",0,IF(OR(AE10=TRUE,ISTEXT(AE10)),AD43+1,0))</f>
        <v/>
      </c>
      <c r="AF43" s="1">
        <f>IF(AF$5="",0,IF(OR(AF10=TRUE,ISTEXT(AF10)),AE43+1,0))</f>
        <v/>
      </c>
      <c r="AG43" s="1">
        <f>IF(AG$5="",0,IF(OR(AG10=TRUE,ISTEXT(AG10)),AF43+1,0))</f>
        <v/>
      </c>
      <c r="AH43" s="1" t="n"/>
      <c r="AI43" s="1" t="n"/>
      <c r="AJ43" s="1" t="n"/>
      <c r="AK43" s="1" t="n"/>
      <c r="AL43" s="1" t="n"/>
    </row>
    <row r="44" hidden="1">
      <c r="A44" s="1" t="n"/>
      <c r="B44" s="1">
        <f>B11</f>
        <v/>
      </c>
      <c r="C44" s="1">
        <f>IF(C$5="",0,IF(OR(C11=TRUE,ISTEXT(C11)),IFERROR(INDEX(May!$C$44:$AG$44,DAY(EOMONTH(DATE(Habits!$C$4,5,1),0))),0)+1,0))</f>
        <v/>
      </c>
      <c r="D44" s="1">
        <f>IF(D$5="",0,IF(OR(D11=TRUE,ISTEXT(D11)),C44+1,0))</f>
        <v/>
      </c>
      <c r="E44" s="1">
        <f>IF(E$5="",0,IF(OR(E11=TRUE,ISTEXT(E11)),D44+1,0))</f>
        <v/>
      </c>
      <c r="F44" s="1">
        <f>IF(F$5="",0,IF(OR(F11=TRUE,ISTEXT(F11)),E44+1,0))</f>
        <v/>
      </c>
      <c r="G44" s="1">
        <f>IF(G$5="",0,IF(OR(G11=TRUE,ISTEXT(G11)),F44+1,0))</f>
        <v/>
      </c>
      <c r="H44" s="1">
        <f>IF(H$5="",0,IF(OR(H11=TRUE,ISTEXT(H11)),G44+1,0))</f>
        <v/>
      </c>
      <c r="I44" s="1">
        <f>IF(I$5="",0,IF(OR(I11=TRUE,ISTEXT(I11)),H44+1,0))</f>
        <v/>
      </c>
      <c r="J44" s="1">
        <f>IF(J$5="",0,IF(OR(J11=TRUE,ISTEXT(J11)),I44+1,0))</f>
        <v/>
      </c>
      <c r="K44" s="1">
        <f>IF(K$5="",0,IF(OR(K11=TRUE,ISTEXT(K11)),J44+1,0))</f>
        <v/>
      </c>
      <c r="L44" s="1">
        <f>IF(L$5="",0,IF(OR(L11=TRUE,ISTEXT(L11)),K44+1,0))</f>
        <v/>
      </c>
      <c r="M44" s="1">
        <f>IF(M$5="",0,IF(OR(M11=TRUE,ISTEXT(M11)),L44+1,0))</f>
        <v/>
      </c>
      <c r="N44" s="1">
        <f>IF(N$5="",0,IF(OR(N11=TRUE,ISTEXT(N11)),M44+1,0))</f>
        <v/>
      </c>
      <c r="O44" s="1">
        <f>IF(O$5="",0,IF(OR(O11=TRUE,ISTEXT(O11)),N44+1,0))</f>
        <v/>
      </c>
      <c r="P44" s="1">
        <f>IF(P$5="",0,IF(OR(P11=TRUE,ISTEXT(P11)),O44+1,0))</f>
        <v/>
      </c>
      <c r="Q44" s="1">
        <f>IF(Q$5="",0,IF(OR(Q11=TRUE,ISTEXT(Q11)),P44+1,0))</f>
        <v/>
      </c>
      <c r="R44" s="1">
        <f>IF(R$5="",0,IF(OR(R11=TRUE,ISTEXT(R11)),Q44+1,0))</f>
        <v/>
      </c>
      <c r="S44" s="1">
        <f>IF(S$5="",0,IF(OR(S11=TRUE,ISTEXT(S11)),R44+1,0))</f>
        <v/>
      </c>
      <c r="T44" s="1">
        <f>IF(T$5="",0,IF(OR(T11=TRUE,ISTEXT(T11)),S44+1,0))</f>
        <v/>
      </c>
      <c r="U44" s="1">
        <f>IF(U$5="",0,IF(OR(U11=TRUE,ISTEXT(U11)),T44+1,0))</f>
        <v/>
      </c>
      <c r="V44" s="1">
        <f>IF(V$5="",0,IF(OR(V11=TRUE,ISTEXT(V11)),U44+1,0))</f>
        <v/>
      </c>
      <c r="W44" s="1">
        <f>IF(W$5="",0,IF(OR(W11=TRUE,ISTEXT(W11)),V44+1,0))</f>
        <v/>
      </c>
      <c r="X44" s="1">
        <f>IF(X$5="",0,IF(OR(X11=TRUE,ISTEXT(X11)),W44+1,0))</f>
        <v/>
      </c>
      <c r="Y44" s="1">
        <f>IF(Y$5="",0,IF(OR(Y11=TRUE,ISTEXT(Y11)),X44+1,0))</f>
        <v/>
      </c>
      <c r="Z44" s="1">
        <f>IF(Z$5="",0,IF(OR(Z11=TRUE,ISTEXT(Z11)),Y44+1,0))</f>
        <v/>
      </c>
      <c r="AA44" s="1">
        <f>IF(AA$5="",0,IF(OR(AA11=TRUE,ISTEXT(AA11)),Z44+1,0))</f>
        <v/>
      </c>
      <c r="AB44" s="1">
        <f>IF(AB$5="",0,IF(OR(AB11=TRUE,ISTEXT(AB11)),AA44+1,0))</f>
        <v/>
      </c>
      <c r="AC44" s="1">
        <f>IF(AC$5="",0,IF(OR(AC11=TRUE,ISTEXT(AC11)),AB44+1,0))</f>
        <v/>
      </c>
      <c r="AD44" s="1">
        <f>IF(AD$5="",0,IF(OR(AD11=TRUE,ISTEXT(AD11)),AC44+1,0))</f>
        <v/>
      </c>
      <c r="AE44" s="1">
        <f>IF(AE$5="",0,IF(OR(AE11=TRUE,ISTEXT(AE11)),AD44+1,0))</f>
        <v/>
      </c>
      <c r="AF44" s="1">
        <f>IF(AF$5="",0,IF(OR(AF11=TRUE,ISTEXT(AF11)),AE44+1,0))</f>
        <v/>
      </c>
      <c r="AG44" s="1">
        <f>IF(AG$5="",0,IF(OR(AG11=TRUE,ISTEXT(AG11)),AF44+1,0))</f>
        <v/>
      </c>
      <c r="AH44" s="1" t="n"/>
      <c r="AI44" s="1" t="n"/>
      <c r="AJ44" s="1" t="n"/>
      <c r="AK44" s="1" t="n"/>
      <c r="AL44" s="1" t="n"/>
    </row>
    <row r="45" hidden="1">
      <c r="A45" s="1" t="n"/>
      <c r="B45" s="1">
        <f>B12</f>
        <v/>
      </c>
      <c r="C45" s="1">
        <f>IF(C$5="",0,IF(OR(C12=TRUE,ISTEXT(C12)),IFERROR(INDEX(May!$C$45:$AG$45,DAY(EOMONTH(DATE(Habits!$C$4,5,1),0))),0)+1,0))</f>
        <v/>
      </c>
      <c r="D45" s="1">
        <f>IF(D$5="",0,IF(OR(D12=TRUE,ISTEXT(D12)),C45+1,0))</f>
        <v/>
      </c>
      <c r="E45" s="1">
        <f>IF(E$5="",0,IF(OR(E12=TRUE,ISTEXT(E12)),D45+1,0))</f>
        <v/>
      </c>
      <c r="F45" s="1">
        <f>IF(F$5="",0,IF(OR(F12=TRUE,ISTEXT(F12)),E45+1,0))</f>
        <v/>
      </c>
      <c r="G45" s="1">
        <f>IF(G$5="",0,IF(OR(G12=TRUE,ISTEXT(G12)),F45+1,0))</f>
        <v/>
      </c>
      <c r="H45" s="1">
        <f>IF(H$5="",0,IF(OR(H12=TRUE,ISTEXT(H12)),G45+1,0))</f>
        <v/>
      </c>
      <c r="I45" s="1">
        <f>IF(I$5="",0,IF(OR(I12=TRUE,ISTEXT(I12)),H45+1,0))</f>
        <v/>
      </c>
      <c r="J45" s="1">
        <f>IF(J$5="",0,IF(OR(J12=TRUE,ISTEXT(J12)),I45+1,0))</f>
        <v/>
      </c>
      <c r="K45" s="1">
        <f>IF(K$5="",0,IF(OR(K12=TRUE,ISTEXT(K12)),J45+1,0))</f>
        <v/>
      </c>
      <c r="L45" s="1">
        <f>IF(L$5="",0,IF(OR(L12=TRUE,ISTEXT(L12)),K45+1,0))</f>
        <v/>
      </c>
      <c r="M45" s="1">
        <f>IF(M$5="",0,IF(OR(M12=TRUE,ISTEXT(M12)),L45+1,0))</f>
        <v/>
      </c>
      <c r="N45" s="1">
        <f>IF(N$5="",0,IF(OR(N12=TRUE,ISTEXT(N12)),M45+1,0))</f>
        <v/>
      </c>
      <c r="O45" s="1">
        <f>IF(O$5="",0,IF(OR(O12=TRUE,ISTEXT(O12)),N45+1,0))</f>
        <v/>
      </c>
      <c r="P45" s="1">
        <f>IF(P$5="",0,IF(OR(P12=TRUE,ISTEXT(P12)),O45+1,0))</f>
        <v/>
      </c>
      <c r="Q45" s="1">
        <f>IF(Q$5="",0,IF(OR(Q12=TRUE,ISTEXT(Q12)),P45+1,0))</f>
        <v/>
      </c>
      <c r="R45" s="1">
        <f>IF(R$5="",0,IF(OR(R12=TRUE,ISTEXT(R12)),Q45+1,0))</f>
        <v/>
      </c>
      <c r="S45" s="1">
        <f>IF(S$5="",0,IF(OR(S12=TRUE,ISTEXT(S12)),R45+1,0))</f>
        <v/>
      </c>
      <c r="T45" s="1">
        <f>IF(T$5="",0,IF(OR(T12=TRUE,ISTEXT(T12)),S45+1,0))</f>
        <v/>
      </c>
      <c r="U45" s="1">
        <f>IF(U$5="",0,IF(OR(U12=TRUE,ISTEXT(U12)),T45+1,0))</f>
        <v/>
      </c>
      <c r="V45" s="1">
        <f>IF(V$5="",0,IF(OR(V12=TRUE,ISTEXT(V12)),U45+1,0))</f>
        <v/>
      </c>
      <c r="W45" s="1">
        <f>IF(W$5="",0,IF(OR(W12=TRUE,ISTEXT(W12)),V45+1,0))</f>
        <v/>
      </c>
      <c r="X45" s="1">
        <f>IF(X$5="",0,IF(OR(X12=TRUE,ISTEXT(X12)),W45+1,0))</f>
        <v/>
      </c>
      <c r="Y45" s="1">
        <f>IF(Y$5="",0,IF(OR(Y12=TRUE,ISTEXT(Y12)),X45+1,0))</f>
        <v/>
      </c>
      <c r="Z45" s="1">
        <f>IF(Z$5="",0,IF(OR(Z12=TRUE,ISTEXT(Z12)),Y45+1,0))</f>
        <v/>
      </c>
      <c r="AA45" s="1">
        <f>IF(AA$5="",0,IF(OR(AA12=TRUE,ISTEXT(AA12)),Z45+1,0))</f>
        <v/>
      </c>
      <c r="AB45" s="1">
        <f>IF(AB$5="",0,IF(OR(AB12=TRUE,ISTEXT(AB12)),AA45+1,0))</f>
        <v/>
      </c>
      <c r="AC45" s="1">
        <f>IF(AC$5="",0,IF(OR(AC12=TRUE,ISTEXT(AC12)),AB45+1,0))</f>
        <v/>
      </c>
      <c r="AD45" s="1">
        <f>IF(AD$5="",0,IF(OR(AD12=TRUE,ISTEXT(AD12)),AC45+1,0))</f>
        <v/>
      </c>
      <c r="AE45" s="1">
        <f>IF(AE$5="",0,IF(OR(AE12=TRUE,ISTEXT(AE12)),AD45+1,0))</f>
        <v/>
      </c>
      <c r="AF45" s="1">
        <f>IF(AF$5="",0,IF(OR(AF12=TRUE,ISTEXT(AF12)),AE45+1,0))</f>
        <v/>
      </c>
      <c r="AG45" s="1">
        <f>IF(AG$5="",0,IF(OR(AG12=TRUE,ISTEXT(AG12)),AF45+1,0))</f>
        <v/>
      </c>
      <c r="AH45" s="1" t="n"/>
      <c r="AI45" s="1" t="n"/>
      <c r="AJ45" s="1" t="n"/>
      <c r="AK45" s="1" t="n"/>
      <c r="AL45" s="1" t="n"/>
    </row>
    <row r="46" hidden="1">
      <c r="A46" s="1" t="n"/>
      <c r="B46" s="1">
        <f>B13</f>
        <v/>
      </c>
      <c r="C46" s="1">
        <f>IF(C$5="",0,IF(OR(C13=TRUE,ISTEXT(C13)),IFERROR(INDEX(May!$C$46:$AG$46,DAY(EOMONTH(DATE(Habits!$C$4,5,1),0))),0)+1,0))</f>
        <v/>
      </c>
      <c r="D46" s="1">
        <f>IF(D$5="",0,IF(OR(D13=TRUE,ISTEXT(D13)),C46+1,0))</f>
        <v/>
      </c>
      <c r="E46" s="1">
        <f>IF(E$5="",0,IF(OR(E13=TRUE,ISTEXT(E13)),D46+1,0))</f>
        <v/>
      </c>
      <c r="F46" s="1">
        <f>IF(F$5="",0,IF(OR(F13=TRUE,ISTEXT(F13)),E46+1,0))</f>
        <v/>
      </c>
      <c r="G46" s="1">
        <f>IF(G$5="",0,IF(OR(G13=TRUE,ISTEXT(G13)),F46+1,0))</f>
        <v/>
      </c>
      <c r="H46" s="1">
        <f>IF(H$5="",0,IF(OR(H13=TRUE,ISTEXT(H13)),G46+1,0))</f>
        <v/>
      </c>
      <c r="I46" s="1">
        <f>IF(I$5="",0,IF(OR(I13=TRUE,ISTEXT(I13)),H46+1,0))</f>
        <v/>
      </c>
      <c r="J46" s="1">
        <f>IF(J$5="",0,IF(OR(J13=TRUE,ISTEXT(J13)),I46+1,0))</f>
        <v/>
      </c>
      <c r="K46" s="1">
        <f>IF(K$5="",0,IF(OR(K13=TRUE,ISTEXT(K13)),J46+1,0))</f>
        <v/>
      </c>
      <c r="L46" s="1">
        <f>IF(L$5="",0,IF(OR(L13=TRUE,ISTEXT(L13)),K46+1,0))</f>
        <v/>
      </c>
      <c r="M46" s="1">
        <f>IF(M$5="",0,IF(OR(M13=TRUE,ISTEXT(M13)),L46+1,0))</f>
        <v/>
      </c>
      <c r="N46" s="1">
        <f>IF(N$5="",0,IF(OR(N13=TRUE,ISTEXT(N13)),M46+1,0))</f>
        <v/>
      </c>
      <c r="O46" s="1">
        <f>IF(O$5="",0,IF(OR(O13=TRUE,ISTEXT(O13)),N46+1,0))</f>
        <v/>
      </c>
      <c r="P46" s="1">
        <f>IF(P$5="",0,IF(OR(P13=TRUE,ISTEXT(P13)),O46+1,0))</f>
        <v/>
      </c>
      <c r="Q46" s="1">
        <f>IF(Q$5="",0,IF(OR(Q13=TRUE,ISTEXT(Q13)),P46+1,0))</f>
        <v/>
      </c>
      <c r="R46" s="1">
        <f>IF(R$5="",0,IF(OR(R13=TRUE,ISTEXT(R13)),Q46+1,0))</f>
        <v/>
      </c>
      <c r="S46" s="1">
        <f>IF(S$5="",0,IF(OR(S13=TRUE,ISTEXT(S13)),R46+1,0))</f>
        <v/>
      </c>
      <c r="T46" s="1">
        <f>IF(T$5="",0,IF(OR(T13=TRUE,ISTEXT(T13)),S46+1,0))</f>
        <v/>
      </c>
      <c r="U46" s="1">
        <f>IF(U$5="",0,IF(OR(U13=TRUE,ISTEXT(U13)),T46+1,0))</f>
        <v/>
      </c>
      <c r="V46" s="1">
        <f>IF(V$5="",0,IF(OR(V13=TRUE,ISTEXT(V13)),U46+1,0))</f>
        <v/>
      </c>
      <c r="W46" s="1">
        <f>IF(W$5="",0,IF(OR(W13=TRUE,ISTEXT(W13)),V46+1,0))</f>
        <v/>
      </c>
      <c r="X46" s="1">
        <f>IF(X$5="",0,IF(OR(X13=TRUE,ISTEXT(X13)),W46+1,0))</f>
        <v/>
      </c>
      <c r="Y46" s="1">
        <f>IF(Y$5="",0,IF(OR(Y13=TRUE,ISTEXT(Y13)),X46+1,0))</f>
        <v/>
      </c>
      <c r="Z46" s="1">
        <f>IF(Z$5="",0,IF(OR(Z13=TRUE,ISTEXT(Z13)),Y46+1,0))</f>
        <v/>
      </c>
      <c r="AA46" s="1">
        <f>IF(AA$5="",0,IF(OR(AA13=TRUE,ISTEXT(AA13)),Z46+1,0))</f>
        <v/>
      </c>
      <c r="AB46" s="1">
        <f>IF(AB$5="",0,IF(OR(AB13=TRUE,ISTEXT(AB13)),AA46+1,0))</f>
        <v/>
      </c>
      <c r="AC46" s="1">
        <f>IF(AC$5="",0,IF(OR(AC13=TRUE,ISTEXT(AC13)),AB46+1,0))</f>
        <v/>
      </c>
      <c r="AD46" s="1">
        <f>IF(AD$5="",0,IF(OR(AD13=TRUE,ISTEXT(AD13)),AC46+1,0))</f>
        <v/>
      </c>
      <c r="AE46" s="1">
        <f>IF(AE$5="",0,IF(OR(AE13=TRUE,ISTEXT(AE13)),AD46+1,0))</f>
        <v/>
      </c>
      <c r="AF46" s="1">
        <f>IF(AF$5="",0,IF(OR(AF13=TRUE,ISTEXT(AF13)),AE46+1,0))</f>
        <v/>
      </c>
      <c r="AG46" s="1">
        <f>IF(AG$5="",0,IF(OR(AG13=TRUE,ISTEXT(AG13)),AF46+1,0))</f>
        <v/>
      </c>
      <c r="AH46" s="1" t="n"/>
      <c r="AI46" s="1" t="n"/>
      <c r="AJ46" s="1" t="n"/>
      <c r="AK46" s="1" t="n"/>
      <c r="AL46" s="1" t="n"/>
    </row>
    <row r="47" hidden="1">
      <c r="A47" s="1" t="n"/>
      <c r="B47" s="1">
        <f>B14</f>
        <v/>
      </c>
      <c r="C47" s="1">
        <f>IF(C$5="",0,IF(OR(C14=TRUE,ISTEXT(C14)),IFERROR(INDEX(May!$C$47:$AG$47,DAY(EOMONTH(DATE(Habits!$C$4,5,1),0))),0)+1,0))</f>
        <v/>
      </c>
      <c r="D47" s="1">
        <f>IF(D$5="",0,IF(OR(D14=TRUE,ISTEXT(D14)),C47+1,0))</f>
        <v/>
      </c>
      <c r="E47" s="1">
        <f>IF(E$5="",0,IF(OR(E14=TRUE,ISTEXT(E14)),D47+1,0))</f>
        <v/>
      </c>
      <c r="F47" s="1">
        <f>IF(F$5="",0,IF(OR(F14=TRUE,ISTEXT(F14)),E47+1,0))</f>
        <v/>
      </c>
      <c r="G47" s="1">
        <f>IF(G$5="",0,IF(OR(G14=TRUE,ISTEXT(G14)),F47+1,0))</f>
        <v/>
      </c>
      <c r="H47" s="1">
        <f>IF(H$5="",0,IF(OR(H14=TRUE,ISTEXT(H14)),G47+1,0))</f>
        <v/>
      </c>
      <c r="I47" s="1">
        <f>IF(I$5="",0,IF(OR(I14=TRUE,ISTEXT(I14)),H47+1,0))</f>
        <v/>
      </c>
      <c r="J47" s="1">
        <f>IF(J$5="",0,IF(OR(J14=TRUE,ISTEXT(J14)),I47+1,0))</f>
        <v/>
      </c>
      <c r="K47" s="1">
        <f>IF(K$5="",0,IF(OR(K14=TRUE,ISTEXT(K14)),J47+1,0))</f>
        <v/>
      </c>
      <c r="L47" s="1">
        <f>IF(L$5="",0,IF(OR(L14=TRUE,ISTEXT(L14)),K47+1,0))</f>
        <v/>
      </c>
      <c r="M47" s="1">
        <f>IF(M$5="",0,IF(OR(M14=TRUE,ISTEXT(M14)),L47+1,0))</f>
        <v/>
      </c>
      <c r="N47" s="1">
        <f>IF(N$5="",0,IF(OR(N14=TRUE,ISTEXT(N14)),M47+1,0))</f>
        <v/>
      </c>
      <c r="O47" s="1">
        <f>IF(O$5="",0,IF(OR(O14=TRUE,ISTEXT(O14)),N47+1,0))</f>
        <v/>
      </c>
      <c r="P47" s="1">
        <f>IF(P$5="",0,IF(OR(P14=TRUE,ISTEXT(P14)),O47+1,0))</f>
        <v/>
      </c>
      <c r="Q47" s="1">
        <f>IF(Q$5="",0,IF(OR(Q14=TRUE,ISTEXT(Q14)),P47+1,0))</f>
        <v/>
      </c>
      <c r="R47" s="1">
        <f>IF(R$5="",0,IF(OR(R14=TRUE,ISTEXT(R14)),Q47+1,0))</f>
        <v/>
      </c>
      <c r="S47" s="1">
        <f>IF(S$5="",0,IF(OR(S14=TRUE,ISTEXT(S14)),R47+1,0))</f>
        <v/>
      </c>
      <c r="T47" s="1">
        <f>IF(T$5="",0,IF(OR(T14=TRUE,ISTEXT(T14)),S47+1,0))</f>
        <v/>
      </c>
      <c r="U47" s="1">
        <f>IF(U$5="",0,IF(OR(U14=TRUE,ISTEXT(U14)),T47+1,0))</f>
        <v/>
      </c>
      <c r="V47" s="1">
        <f>IF(V$5="",0,IF(OR(V14=TRUE,ISTEXT(V14)),U47+1,0))</f>
        <v/>
      </c>
      <c r="W47" s="1">
        <f>IF(W$5="",0,IF(OR(W14=TRUE,ISTEXT(W14)),V47+1,0))</f>
        <v/>
      </c>
      <c r="X47" s="1">
        <f>IF(X$5="",0,IF(OR(X14=TRUE,ISTEXT(X14)),W47+1,0))</f>
        <v/>
      </c>
      <c r="Y47" s="1">
        <f>IF(Y$5="",0,IF(OR(Y14=TRUE,ISTEXT(Y14)),X47+1,0))</f>
        <v/>
      </c>
      <c r="Z47" s="1">
        <f>IF(Z$5="",0,IF(OR(Z14=TRUE,ISTEXT(Z14)),Y47+1,0))</f>
        <v/>
      </c>
      <c r="AA47" s="1">
        <f>IF(AA$5="",0,IF(OR(AA14=TRUE,ISTEXT(AA14)),Z47+1,0))</f>
        <v/>
      </c>
      <c r="AB47" s="1">
        <f>IF(AB$5="",0,IF(OR(AB14=TRUE,ISTEXT(AB14)),AA47+1,0))</f>
        <v/>
      </c>
      <c r="AC47" s="1">
        <f>IF(AC$5="",0,IF(OR(AC14=TRUE,ISTEXT(AC14)),AB47+1,0))</f>
        <v/>
      </c>
      <c r="AD47" s="1">
        <f>IF(AD$5="",0,IF(OR(AD14=TRUE,ISTEXT(AD14)),AC47+1,0))</f>
        <v/>
      </c>
      <c r="AE47" s="1">
        <f>IF(AE$5="",0,IF(OR(AE14=TRUE,ISTEXT(AE14)),AD47+1,0))</f>
        <v/>
      </c>
      <c r="AF47" s="1">
        <f>IF(AF$5="",0,IF(OR(AF14=TRUE,ISTEXT(AF14)),AE47+1,0))</f>
        <v/>
      </c>
      <c r="AG47" s="1">
        <f>IF(AG$5="",0,IF(OR(AG14=TRUE,ISTEXT(AG14)),AF47+1,0))</f>
        <v/>
      </c>
      <c r="AH47" s="1" t="n"/>
      <c r="AI47" s="1" t="n"/>
      <c r="AJ47" s="1" t="n"/>
      <c r="AK47" s="1" t="n"/>
      <c r="AL47" s="1" t="n"/>
    </row>
    <row r="48" hidden="1">
      <c r="A48" s="1" t="n"/>
      <c r="B48" s="1">
        <f>B15</f>
        <v/>
      </c>
      <c r="C48" s="1">
        <f>IF(C$5="",0,IF(OR(C15=TRUE,ISTEXT(C15)),IFERROR(INDEX(May!$C$48:$AG$48,DAY(EOMONTH(DATE(Habits!$C$4,5,1),0))),0)+1,0))</f>
        <v/>
      </c>
      <c r="D48" s="1">
        <f>IF(D$5="",0,IF(OR(D15=TRUE,ISTEXT(D15)),C48+1,0))</f>
        <v/>
      </c>
      <c r="E48" s="1">
        <f>IF(E$5="",0,IF(OR(E15=TRUE,ISTEXT(E15)),D48+1,0))</f>
        <v/>
      </c>
      <c r="F48" s="1">
        <f>IF(F$5="",0,IF(OR(F15=TRUE,ISTEXT(F15)),E48+1,0))</f>
        <v/>
      </c>
      <c r="G48" s="1">
        <f>IF(G$5="",0,IF(OR(G15=TRUE,ISTEXT(G15)),F48+1,0))</f>
        <v/>
      </c>
      <c r="H48" s="1">
        <f>IF(H$5="",0,IF(OR(H15=TRUE,ISTEXT(H15)),G48+1,0))</f>
        <v/>
      </c>
      <c r="I48" s="1">
        <f>IF(I$5="",0,IF(OR(I15=TRUE,ISTEXT(I15)),H48+1,0))</f>
        <v/>
      </c>
      <c r="J48" s="1">
        <f>IF(J$5="",0,IF(OR(J15=TRUE,ISTEXT(J15)),I48+1,0))</f>
        <v/>
      </c>
      <c r="K48" s="1">
        <f>IF(K$5="",0,IF(OR(K15=TRUE,ISTEXT(K15)),J48+1,0))</f>
        <v/>
      </c>
      <c r="L48" s="1">
        <f>IF(L$5="",0,IF(OR(L15=TRUE,ISTEXT(L15)),K48+1,0))</f>
        <v/>
      </c>
      <c r="M48" s="1">
        <f>IF(M$5="",0,IF(OR(M15=TRUE,ISTEXT(M15)),L48+1,0))</f>
        <v/>
      </c>
      <c r="N48" s="1">
        <f>IF(N$5="",0,IF(OR(N15=TRUE,ISTEXT(N15)),M48+1,0))</f>
        <v/>
      </c>
      <c r="O48" s="1">
        <f>IF(O$5="",0,IF(OR(O15=TRUE,ISTEXT(O15)),N48+1,0))</f>
        <v/>
      </c>
      <c r="P48" s="1">
        <f>IF(P$5="",0,IF(OR(P15=TRUE,ISTEXT(P15)),O48+1,0))</f>
        <v/>
      </c>
      <c r="Q48" s="1">
        <f>IF(Q$5="",0,IF(OR(Q15=TRUE,ISTEXT(Q15)),P48+1,0))</f>
        <v/>
      </c>
      <c r="R48" s="1">
        <f>IF(R$5="",0,IF(OR(R15=TRUE,ISTEXT(R15)),Q48+1,0))</f>
        <v/>
      </c>
      <c r="S48" s="1">
        <f>IF(S$5="",0,IF(OR(S15=TRUE,ISTEXT(S15)),R48+1,0))</f>
        <v/>
      </c>
      <c r="T48" s="1">
        <f>IF(T$5="",0,IF(OR(T15=TRUE,ISTEXT(T15)),S48+1,0))</f>
        <v/>
      </c>
      <c r="U48" s="1">
        <f>IF(U$5="",0,IF(OR(U15=TRUE,ISTEXT(U15)),T48+1,0))</f>
        <v/>
      </c>
      <c r="V48" s="1">
        <f>IF(V$5="",0,IF(OR(V15=TRUE,ISTEXT(V15)),U48+1,0))</f>
        <v/>
      </c>
      <c r="W48" s="1">
        <f>IF(W$5="",0,IF(OR(W15=TRUE,ISTEXT(W15)),V48+1,0))</f>
        <v/>
      </c>
      <c r="X48" s="1">
        <f>IF(X$5="",0,IF(OR(X15=TRUE,ISTEXT(X15)),W48+1,0))</f>
        <v/>
      </c>
      <c r="Y48" s="1">
        <f>IF(Y$5="",0,IF(OR(Y15=TRUE,ISTEXT(Y15)),X48+1,0))</f>
        <v/>
      </c>
      <c r="Z48" s="1">
        <f>IF(Z$5="",0,IF(OR(Z15=TRUE,ISTEXT(Z15)),Y48+1,0))</f>
        <v/>
      </c>
      <c r="AA48" s="1">
        <f>IF(AA$5="",0,IF(OR(AA15=TRUE,ISTEXT(AA15)),Z48+1,0))</f>
        <v/>
      </c>
      <c r="AB48" s="1">
        <f>IF(AB$5="",0,IF(OR(AB15=TRUE,ISTEXT(AB15)),AA48+1,0))</f>
        <v/>
      </c>
      <c r="AC48" s="1">
        <f>IF(AC$5="",0,IF(OR(AC15=TRUE,ISTEXT(AC15)),AB48+1,0))</f>
        <v/>
      </c>
      <c r="AD48" s="1">
        <f>IF(AD$5="",0,IF(OR(AD15=TRUE,ISTEXT(AD15)),AC48+1,0))</f>
        <v/>
      </c>
      <c r="AE48" s="1">
        <f>IF(AE$5="",0,IF(OR(AE15=TRUE,ISTEXT(AE15)),AD48+1,0))</f>
        <v/>
      </c>
      <c r="AF48" s="1">
        <f>IF(AF$5="",0,IF(OR(AF15=TRUE,ISTEXT(AF15)),AE48+1,0))</f>
        <v/>
      </c>
      <c r="AG48" s="1">
        <f>IF(AG$5="",0,IF(OR(AG15=TRUE,ISTEXT(AG15)),AF48+1,0))</f>
        <v/>
      </c>
      <c r="AH48" s="1" t="n"/>
      <c r="AI48" s="1" t="n"/>
      <c r="AJ48" s="1" t="n"/>
      <c r="AK48" s="1" t="n"/>
      <c r="AL48" s="1" t="n"/>
    </row>
    <row r="49" hidden="1">
      <c r="A49" s="1" t="n"/>
      <c r="B49" s="1">
        <f>B16</f>
        <v/>
      </c>
      <c r="C49" s="1">
        <f>IF(C$5="",0,IF(OR(C16=TRUE,ISTEXT(C16)),IFERROR(INDEX(May!$C$49:$AG$49,DAY(EOMONTH(DATE(Habits!$C$4,5,1),0))),0)+1,0))</f>
        <v/>
      </c>
      <c r="D49" s="1">
        <f>IF(D$5="",0,IF(OR(D16=TRUE,ISTEXT(D16)),C49+1,0))</f>
        <v/>
      </c>
      <c r="E49" s="1">
        <f>IF(E$5="",0,IF(OR(E16=TRUE,ISTEXT(E16)),D49+1,0))</f>
        <v/>
      </c>
      <c r="F49" s="1">
        <f>IF(F$5="",0,IF(OR(F16=TRUE,ISTEXT(F16)),E49+1,0))</f>
        <v/>
      </c>
      <c r="G49" s="1">
        <f>IF(G$5="",0,IF(OR(G16=TRUE,ISTEXT(G16)),F49+1,0))</f>
        <v/>
      </c>
      <c r="H49" s="1">
        <f>IF(H$5="",0,IF(OR(H16=TRUE,ISTEXT(H16)),G49+1,0))</f>
        <v/>
      </c>
      <c r="I49" s="1">
        <f>IF(I$5="",0,IF(OR(I16=TRUE,ISTEXT(I16)),H49+1,0))</f>
        <v/>
      </c>
      <c r="J49" s="1">
        <f>IF(J$5="",0,IF(OR(J16=TRUE,ISTEXT(J16)),I49+1,0))</f>
        <v/>
      </c>
      <c r="K49" s="1">
        <f>IF(K$5="",0,IF(OR(K16=TRUE,ISTEXT(K16)),J49+1,0))</f>
        <v/>
      </c>
      <c r="L49" s="1">
        <f>IF(L$5="",0,IF(OR(L16=TRUE,ISTEXT(L16)),K49+1,0))</f>
        <v/>
      </c>
      <c r="M49" s="1">
        <f>IF(M$5="",0,IF(OR(M16=TRUE,ISTEXT(M16)),L49+1,0))</f>
        <v/>
      </c>
      <c r="N49" s="1">
        <f>IF(N$5="",0,IF(OR(N16=TRUE,ISTEXT(N16)),M49+1,0))</f>
        <v/>
      </c>
      <c r="O49" s="1">
        <f>IF(O$5="",0,IF(OR(O16=TRUE,ISTEXT(O16)),N49+1,0))</f>
        <v/>
      </c>
      <c r="P49" s="1">
        <f>IF(P$5="",0,IF(OR(P16=TRUE,ISTEXT(P16)),O49+1,0))</f>
        <v/>
      </c>
      <c r="Q49" s="1">
        <f>IF(Q$5="",0,IF(OR(Q16=TRUE,ISTEXT(Q16)),P49+1,0))</f>
        <v/>
      </c>
      <c r="R49" s="1">
        <f>IF(R$5="",0,IF(OR(R16=TRUE,ISTEXT(R16)),Q49+1,0))</f>
        <v/>
      </c>
      <c r="S49" s="1">
        <f>IF(S$5="",0,IF(OR(S16=TRUE,ISTEXT(S16)),R49+1,0))</f>
        <v/>
      </c>
      <c r="T49" s="1">
        <f>IF(T$5="",0,IF(OR(T16=TRUE,ISTEXT(T16)),S49+1,0))</f>
        <v/>
      </c>
      <c r="U49" s="1">
        <f>IF(U$5="",0,IF(OR(U16=TRUE,ISTEXT(U16)),T49+1,0))</f>
        <v/>
      </c>
      <c r="V49" s="1">
        <f>IF(V$5="",0,IF(OR(V16=TRUE,ISTEXT(V16)),U49+1,0))</f>
        <v/>
      </c>
      <c r="W49" s="1">
        <f>IF(W$5="",0,IF(OR(W16=TRUE,ISTEXT(W16)),V49+1,0))</f>
        <v/>
      </c>
      <c r="X49" s="1">
        <f>IF(X$5="",0,IF(OR(X16=TRUE,ISTEXT(X16)),W49+1,0))</f>
        <v/>
      </c>
      <c r="Y49" s="1">
        <f>IF(Y$5="",0,IF(OR(Y16=TRUE,ISTEXT(Y16)),X49+1,0))</f>
        <v/>
      </c>
      <c r="Z49" s="1">
        <f>IF(Z$5="",0,IF(OR(Z16=TRUE,ISTEXT(Z16)),Y49+1,0))</f>
        <v/>
      </c>
      <c r="AA49" s="1">
        <f>IF(AA$5="",0,IF(OR(AA16=TRUE,ISTEXT(AA16)),Z49+1,0))</f>
        <v/>
      </c>
      <c r="AB49" s="1">
        <f>IF(AB$5="",0,IF(OR(AB16=TRUE,ISTEXT(AB16)),AA49+1,0))</f>
        <v/>
      </c>
      <c r="AC49" s="1">
        <f>IF(AC$5="",0,IF(OR(AC16=TRUE,ISTEXT(AC16)),AB49+1,0))</f>
        <v/>
      </c>
      <c r="AD49" s="1">
        <f>IF(AD$5="",0,IF(OR(AD16=TRUE,ISTEXT(AD16)),AC49+1,0))</f>
        <v/>
      </c>
      <c r="AE49" s="1">
        <f>IF(AE$5="",0,IF(OR(AE16=TRUE,ISTEXT(AE16)),AD49+1,0))</f>
        <v/>
      </c>
      <c r="AF49" s="1">
        <f>IF(AF$5="",0,IF(OR(AF16=TRUE,ISTEXT(AF16)),AE49+1,0))</f>
        <v/>
      </c>
      <c r="AG49" s="1">
        <f>IF(AG$5="",0,IF(OR(AG16=TRUE,ISTEXT(AG16)),AF49+1,0))</f>
        <v/>
      </c>
      <c r="AH49" s="1" t="n"/>
      <c r="AI49" s="1" t="n"/>
      <c r="AJ49" s="1" t="n"/>
      <c r="AK49" s="1" t="n"/>
      <c r="AL49" s="1" t="n"/>
    </row>
    <row r="50" hidden="1">
      <c r="A50" s="1" t="n"/>
      <c r="B50" s="1">
        <f>B17</f>
        <v/>
      </c>
      <c r="C50" s="1">
        <f>IF(C$5="",0,IF(OR(C17=TRUE,ISTEXT(C17)),IFERROR(INDEX(May!$C$50:$AG$50,DAY(EOMONTH(DATE(Habits!$C$4,5,1),0))),0)+1,0))</f>
        <v/>
      </c>
      <c r="D50" s="1">
        <f>IF(D$5="",0,IF(OR(D17=TRUE,ISTEXT(D17)),C50+1,0))</f>
        <v/>
      </c>
      <c r="E50" s="1">
        <f>IF(E$5="",0,IF(OR(E17=TRUE,ISTEXT(E17)),D50+1,0))</f>
        <v/>
      </c>
      <c r="F50" s="1">
        <f>IF(F$5="",0,IF(OR(F17=TRUE,ISTEXT(F17)),E50+1,0))</f>
        <v/>
      </c>
      <c r="G50" s="1">
        <f>IF(G$5="",0,IF(OR(G17=TRUE,ISTEXT(G17)),F50+1,0))</f>
        <v/>
      </c>
      <c r="H50" s="1">
        <f>IF(H$5="",0,IF(OR(H17=TRUE,ISTEXT(H17)),G50+1,0))</f>
        <v/>
      </c>
      <c r="I50" s="1">
        <f>IF(I$5="",0,IF(OR(I17=TRUE,ISTEXT(I17)),H50+1,0))</f>
        <v/>
      </c>
      <c r="J50" s="1">
        <f>IF(J$5="",0,IF(OR(J17=TRUE,ISTEXT(J17)),I50+1,0))</f>
        <v/>
      </c>
      <c r="K50" s="1">
        <f>IF(K$5="",0,IF(OR(K17=TRUE,ISTEXT(K17)),J50+1,0))</f>
        <v/>
      </c>
      <c r="L50" s="1">
        <f>IF(L$5="",0,IF(OR(L17=TRUE,ISTEXT(L17)),K50+1,0))</f>
        <v/>
      </c>
      <c r="M50" s="1">
        <f>IF(M$5="",0,IF(OR(M17=TRUE,ISTEXT(M17)),L50+1,0))</f>
        <v/>
      </c>
      <c r="N50" s="1">
        <f>IF(N$5="",0,IF(OR(N17=TRUE,ISTEXT(N17)),M50+1,0))</f>
        <v/>
      </c>
      <c r="O50" s="1">
        <f>IF(O$5="",0,IF(OR(O17=TRUE,ISTEXT(O17)),N50+1,0))</f>
        <v/>
      </c>
      <c r="P50" s="1">
        <f>IF(P$5="",0,IF(OR(P17=TRUE,ISTEXT(P17)),O50+1,0))</f>
        <v/>
      </c>
      <c r="Q50" s="1">
        <f>IF(Q$5="",0,IF(OR(Q17=TRUE,ISTEXT(Q17)),P50+1,0))</f>
        <v/>
      </c>
      <c r="R50" s="1">
        <f>IF(R$5="",0,IF(OR(R17=TRUE,ISTEXT(R17)),Q50+1,0))</f>
        <v/>
      </c>
      <c r="S50" s="1">
        <f>IF(S$5="",0,IF(OR(S17=TRUE,ISTEXT(S17)),R50+1,0))</f>
        <v/>
      </c>
      <c r="T50" s="1">
        <f>IF(T$5="",0,IF(OR(T17=TRUE,ISTEXT(T17)),S50+1,0))</f>
        <v/>
      </c>
      <c r="U50" s="1">
        <f>IF(U$5="",0,IF(OR(U17=TRUE,ISTEXT(U17)),T50+1,0))</f>
        <v/>
      </c>
      <c r="V50" s="1">
        <f>IF(V$5="",0,IF(OR(V17=TRUE,ISTEXT(V17)),U50+1,0))</f>
        <v/>
      </c>
      <c r="W50" s="1">
        <f>IF(W$5="",0,IF(OR(W17=TRUE,ISTEXT(W17)),V50+1,0))</f>
        <v/>
      </c>
      <c r="X50" s="1">
        <f>IF(X$5="",0,IF(OR(X17=TRUE,ISTEXT(X17)),W50+1,0))</f>
        <v/>
      </c>
      <c r="Y50" s="1">
        <f>IF(Y$5="",0,IF(OR(Y17=TRUE,ISTEXT(Y17)),X50+1,0))</f>
        <v/>
      </c>
      <c r="Z50" s="1">
        <f>IF(Z$5="",0,IF(OR(Z17=TRUE,ISTEXT(Z17)),Y50+1,0))</f>
        <v/>
      </c>
      <c r="AA50" s="1">
        <f>IF(AA$5="",0,IF(OR(AA17=TRUE,ISTEXT(AA17)),Z50+1,0))</f>
        <v/>
      </c>
      <c r="AB50" s="1">
        <f>IF(AB$5="",0,IF(OR(AB17=TRUE,ISTEXT(AB17)),AA50+1,0))</f>
        <v/>
      </c>
      <c r="AC50" s="1">
        <f>IF(AC$5="",0,IF(OR(AC17=TRUE,ISTEXT(AC17)),AB50+1,0))</f>
        <v/>
      </c>
      <c r="AD50" s="1">
        <f>IF(AD$5="",0,IF(OR(AD17=TRUE,ISTEXT(AD17)),AC50+1,0))</f>
        <v/>
      </c>
      <c r="AE50" s="1">
        <f>IF(AE$5="",0,IF(OR(AE17=TRUE,ISTEXT(AE17)),AD50+1,0))</f>
        <v/>
      </c>
      <c r="AF50" s="1">
        <f>IF(AF$5="",0,IF(OR(AF17=TRUE,ISTEXT(AF17)),AE50+1,0))</f>
        <v/>
      </c>
      <c r="AG50" s="1">
        <f>IF(AG$5="",0,IF(OR(AG17=TRUE,ISTEXT(AG17)),AF50+1,0))</f>
        <v/>
      </c>
      <c r="AH50" s="1" t="n"/>
      <c r="AI50" s="1" t="n"/>
      <c r="AJ50" s="1" t="n"/>
      <c r="AK50" s="1" t="n"/>
      <c r="AL50" s="1" t="n"/>
    </row>
    <row r="51" hidden="1">
      <c r="A51" s="1" t="n"/>
      <c r="B51" s="1">
        <f>B18</f>
        <v/>
      </c>
      <c r="C51" s="1">
        <f>IF(C$5="",0,IF(OR(C18=TRUE,ISTEXT(C18)),IFERROR(INDEX(May!$C$51:$AG$51,DAY(EOMONTH(DATE(Habits!$C$4,5,1),0))),0)+1,0))</f>
        <v/>
      </c>
      <c r="D51" s="1">
        <f>IF(D$5="",0,IF(OR(D18=TRUE,ISTEXT(D18)),C51+1,0))</f>
        <v/>
      </c>
      <c r="E51" s="1">
        <f>IF(E$5="",0,IF(OR(E18=TRUE,ISTEXT(E18)),D51+1,0))</f>
        <v/>
      </c>
      <c r="F51" s="1">
        <f>IF(F$5="",0,IF(OR(F18=TRUE,ISTEXT(F18)),E51+1,0))</f>
        <v/>
      </c>
      <c r="G51" s="1">
        <f>IF(G$5="",0,IF(OR(G18=TRUE,ISTEXT(G18)),F51+1,0))</f>
        <v/>
      </c>
      <c r="H51" s="1">
        <f>IF(H$5="",0,IF(OR(H18=TRUE,ISTEXT(H18)),G51+1,0))</f>
        <v/>
      </c>
      <c r="I51" s="1">
        <f>IF(I$5="",0,IF(OR(I18=TRUE,ISTEXT(I18)),H51+1,0))</f>
        <v/>
      </c>
      <c r="J51" s="1">
        <f>IF(J$5="",0,IF(OR(J18=TRUE,ISTEXT(J18)),I51+1,0))</f>
        <v/>
      </c>
      <c r="K51" s="1">
        <f>IF(K$5="",0,IF(OR(K18=TRUE,ISTEXT(K18)),J51+1,0))</f>
        <v/>
      </c>
      <c r="L51" s="1">
        <f>IF(L$5="",0,IF(OR(L18=TRUE,ISTEXT(L18)),K51+1,0))</f>
        <v/>
      </c>
      <c r="M51" s="1">
        <f>IF(M$5="",0,IF(OR(M18=TRUE,ISTEXT(M18)),L51+1,0))</f>
        <v/>
      </c>
      <c r="N51" s="1">
        <f>IF(N$5="",0,IF(OR(N18=TRUE,ISTEXT(N18)),M51+1,0))</f>
        <v/>
      </c>
      <c r="O51" s="1">
        <f>IF(O$5="",0,IF(OR(O18=TRUE,ISTEXT(O18)),N51+1,0))</f>
        <v/>
      </c>
      <c r="P51" s="1">
        <f>IF(P$5="",0,IF(OR(P18=TRUE,ISTEXT(P18)),O51+1,0))</f>
        <v/>
      </c>
      <c r="Q51" s="1">
        <f>IF(Q$5="",0,IF(OR(Q18=TRUE,ISTEXT(Q18)),P51+1,0))</f>
        <v/>
      </c>
      <c r="R51" s="1">
        <f>IF(R$5="",0,IF(OR(R18=TRUE,ISTEXT(R18)),Q51+1,0))</f>
        <v/>
      </c>
      <c r="S51" s="1">
        <f>IF(S$5="",0,IF(OR(S18=TRUE,ISTEXT(S18)),R51+1,0))</f>
        <v/>
      </c>
      <c r="T51" s="1">
        <f>IF(T$5="",0,IF(OR(T18=TRUE,ISTEXT(T18)),S51+1,0))</f>
        <v/>
      </c>
      <c r="U51" s="1">
        <f>IF(U$5="",0,IF(OR(U18=TRUE,ISTEXT(U18)),T51+1,0))</f>
        <v/>
      </c>
      <c r="V51" s="1">
        <f>IF(V$5="",0,IF(OR(V18=TRUE,ISTEXT(V18)),U51+1,0))</f>
        <v/>
      </c>
      <c r="W51" s="1">
        <f>IF(W$5="",0,IF(OR(W18=TRUE,ISTEXT(W18)),V51+1,0))</f>
        <v/>
      </c>
      <c r="X51" s="1">
        <f>IF(X$5="",0,IF(OR(X18=TRUE,ISTEXT(X18)),W51+1,0))</f>
        <v/>
      </c>
      <c r="Y51" s="1">
        <f>IF(Y$5="",0,IF(OR(Y18=TRUE,ISTEXT(Y18)),X51+1,0))</f>
        <v/>
      </c>
      <c r="Z51" s="1">
        <f>IF(Z$5="",0,IF(OR(Z18=TRUE,ISTEXT(Z18)),Y51+1,0))</f>
        <v/>
      </c>
      <c r="AA51" s="1">
        <f>IF(AA$5="",0,IF(OR(AA18=TRUE,ISTEXT(AA18)),Z51+1,0))</f>
        <v/>
      </c>
      <c r="AB51" s="1">
        <f>IF(AB$5="",0,IF(OR(AB18=TRUE,ISTEXT(AB18)),AA51+1,0))</f>
        <v/>
      </c>
      <c r="AC51" s="1">
        <f>IF(AC$5="",0,IF(OR(AC18=TRUE,ISTEXT(AC18)),AB51+1,0))</f>
        <v/>
      </c>
      <c r="AD51" s="1">
        <f>IF(AD$5="",0,IF(OR(AD18=TRUE,ISTEXT(AD18)),AC51+1,0))</f>
        <v/>
      </c>
      <c r="AE51" s="1">
        <f>IF(AE$5="",0,IF(OR(AE18=TRUE,ISTEXT(AE18)),AD51+1,0))</f>
        <v/>
      </c>
      <c r="AF51" s="1">
        <f>IF(AF$5="",0,IF(OR(AF18=TRUE,ISTEXT(AF18)),AE51+1,0))</f>
        <v/>
      </c>
      <c r="AG51" s="1">
        <f>IF(AG$5="",0,IF(OR(AG18=TRUE,ISTEXT(AG18)),AF51+1,0))</f>
        <v/>
      </c>
      <c r="AH51" s="1" t="n"/>
      <c r="AI51" s="1" t="n"/>
      <c r="AJ51" s="1" t="n"/>
      <c r="AK51" s="1" t="n"/>
      <c r="AL51" s="1" t="n"/>
    </row>
    <row r="52" hidden="1">
      <c r="A52" s="1" t="n"/>
      <c r="B52" s="1">
        <f>B19</f>
        <v/>
      </c>
      <c r="C52" s="1">
        <f>IF(C$5="",0,IF(OR(C19=TRUE,ISTEXT(C19)),IFERROR(INDEX(May!$C$52:$AG$52,DAY(EOMONTH(DATE(Habits!$C$4,5,1),0))),0)+1,0))</f>
        <v/>
      </c>
      <c r="D52" s="1">
        <f>IF(D$5="",0,IF(OR(D19=TRUE,ISTEXT(D19)),C52+1,0))</f>
        <v/>
      </c>
      <c r="E52" s="1">
        <f>IF(E$5="",0,IF(OR(E19=TRUE,ISTEXT(E19)),D52+1,0))</f>
        <v/>
      </c>
      <c r="F52" s="1">
        <f>IF(F$5="",0,IF(OR(F19=TRUE,ISTEXT(F19)),E52+1,0))</f>
        <v/>
      </c>
      <c r="G52" s="1">
        <f>IF(G$5="",0,IF(OR(G19=TRUE,ISTEXT(G19)),F52+1,0))</f>
        <v/>
      </c>
      <c r="H52" s="1">
        <f>IF(H$5="",0,IF(OR(H19=TRUE,ISTEXT(H19)),G52+1,0))</f>
        <v/>
      </c>
      <c r="I52" s="1">
        <f>IF(I$5="",0,IF(OR(I19=TRUE,ISTEXT(I19)),H52+1,0))</f>
        <v/>
      </c>
      <c r="J52" s="1">
        <f>IF(J$5="",0,IF(OR(J19=TRUE,ISTEXT(J19)),I52+1,0))</f>
        <v/>
      </c>
      <c r="K52" s="1">
        <f>IF(K$5="",0,IF(OR(K19=TRUE,ISTEXT(K19)),J52+1,0))</f>
        <v/>
      </c>
      <c r="L52" s="1">
        <f>IF(L$5="",0,IF(OR(L19=TRUE,ISTEXT(L19)),K52+1,0))</f>
        <v/>
      </c>
      <c r="M52" s="1">
        <f>IF(M$5="",0,IF(OR(M19=TRUE,ISTEXT(M19)),L52+1,0))</f>
        <v/>
      </c>
      <c r="N52" s="1">
        <f>IF(N$5="",0,IF(OR(N19=TRUE,ISTEXT(N19)),M52+1,0))</f>
        <v/>
      </c>
      <c r="O52" s="1">
        <f>IF(O$5="",0,IF(OR(O19=TRUE,ISTEXT(O19)),N52+1,0))</f>
        <v/>
      </c>
      <c r="P52" s="1">
        <f>IF(P$5="",0,IF(OR(P19=TRUE,ISTEXT(P19)),O52+1,0))</f>
        <v/>
      </c>
      <c r="Q52" s="1">
        <f>IF(Q$5="",0,IF(OR(Q19=TRUE,ISTEXT(Q19)),P52+1,0))</f>
        <v/>
      </c>
      <c r="R52" s="1">
        <f>IF(R$5="",0,IF(OR(R19=TRUE,ISTEXT(R19)),Q52+1,0))</f>
        <v/>
      </c>
      <c r="S52" s="1">
        <f>IF(S$5="",0,IF(OR(S19=TRUE,ISTEXT(S19)),R52+1,0))</f>
        <v/>
      </c>
      <c r="T52" s="1">
        <f>IF(T$5="",0,IF(OR(T19=TRUE,ISTEXT(T19)),S52+1,0))</f>
        <v/>
      </c>
      <c r="U52" s="1">
        <f>IF(U$5="",0,IF(OR(U19=TRUE,ISTEXT(U19)),T52+1,0))</f>
        <v/>
      </c>
      <c r="V52" s="1">
        <f>IF(V$5="",0,IF(OR(V19=TRUE,ISTEXT(V19)),U52+1,0))</f>
        <v/>
      </c>
      <c r="W52" s="1">
        <f>IF(W$5="",0,IF(OR(W19=TRUE,ISTEXT(W19)),V52+1,0))</f>
        <v/>
      </c>
      <c r="X52" s="1">
        <f>IF(X$5="",0,IF(OR(X19=TRUE,ISTEXT(X19)),W52+1,0))</f>
        <v/>
      </c>
      <c r="Y52" s="1">
        <f>IF(Y$5="",0,IF(OR(Y19=TRUE,ISTEXT(Y19)),X52+1,0))</f>
        <v/>
      </c>
      <c r="Z52" s="1">
        <f>IF(Z$5="",0,IF(OR(Z19=TRUE,ISTEXT(Z19)),Y52+1,0))</f>
        <v/>
      </c>
      <c r="AA52" s="1">
        <f>IF(AA$5="",0,IF(OR(AA19=TRUE,ISTEXT(AA19)),Z52+1,0))</f>
        <v/>
      </c>
      <c r="AB52" s="1">
        <f>IF(AB$5="",0,IF(OR(AB19=TRUE,ISTEXT(AB19)),AA52+1,0))</f>
        <v/>
      </c>
      <c r="AC52" s="1">
        <f>IF(AC$5="",0,IF(OR(AC19=TRUE,ISTEXT(AC19)),AB52+1,0))</f>
        <v/>
      </c>
      <c r="AD52" s="1">
        <f>IF(AD$5="",0,IF(OR(AD19=TRUE,ISTEXT(AD19)),AC52+1,0))</f>
        <v/>
      </c>
      <c r="AE52" s="1">
        <f>IF(AE$5="",0,IF(OR(AE19=TRUE,ISTEXT(AE19)),AD52+1,0))</f>
        <v/>
      </c>
      <c r="AF52" s="1">
        <f>IF(AF$5="",0,IF(OR(AF19=TRUE,ISTEXT(AF19)),AE52+1,0))</f>
        <v/>
      </c>
      <c r="AG52" s="1">
        <f>IF(AG$5="",0,IF(OR(AG19=TRUE,ISTEXT(AG19)),AF52+1,0))</f>
        <v/>
      </c>
      <c r="AH52" s="1" t="n"/>
      <c r="AI52" s="1" t="n"/>
      <c r="AJ52" s="1" t="n"/>
      <c r="AK52" s="1" t="n"/>
      <c r="AL52" s="1" t="n"/>
    </row>
    <row r="53" hidden="1">
      <c r="A53" s="1" t="n"/>
      <c r="B53" s="1">
        <f>B20</f>
        <v/>
      </c>
      <c r="C53" s="1">
        <f>IF(C$5="",0,IF(OR(C20=TRUE,ISTEXT(C20)),IFERROR(INDEX(May!$C$53:$AG$53,DAY(EOMONTH(DATE(Habits!$C$4,5,1),0))),0)+1,0))</f>
        <v/>
      </c>
      <c r="D53" s="1">
        <f>IF(D$5="",0,IF(OR(D20=TRUE,ISTEXT(D20)),C53+1,0))</f>
        <v/>
      </c>
      <c r="E53" s="1">
        <f>IF(E$5="",0,IF(OR(E20=TRUE,ISTEXT(E20)),D53+1,0))</f>
        <v/>
      </c>
      <c r="F53" s="1">
        <f>IF(F$5="",0,IF(OR(F20=TRUE,ISTEXT(F20)),E53+1,0))</f>
        <v/>
      </c>
      <c r="G53" s="1">
        <f>IF(G$5="",0,IF(OR(G20=TRUE,ISTEXT(G20)),F53+1,0))</f>
        <v/>
      </c>
      <c r="H53" s="1">
        <f>IF(H$5="",0,IF(OR(H20=TRUE,ISTEXT(H20)),G53+1,0))</f>
        <v/>
      </c>
      <c r="I53" s="1">
        <f>IF(I$5="",0,IF(OR(I20=TRUE,ISTEXT(I20)),H53+1,0))</f>
        <v/>
      </c>
      <c r="J53" s="1">
        <f>IF(J$5="",0,IF(OR(J20=TRUE,ISTEXT(J20)),I53+1,0))</f>
        <v/>
      </c>
      <c r="K53" s="1">
        <f>IF(K$5="",0,IF(OR(K20=TRUE,ISTEXT(K20)),J53+1,0))</f>
        <v/>
      </c>
      <c r="L53" s="1">
        <f>IF(L$5="",0,IF(OR(L20=TRUE,ISTEXT(L20)),K53+1,0))</f>
        <v/>
      </c>
      <c r="M53" s="1">
        <f>IF(M$5="",0,IF(OR(M20=TRUE,ISTEXT(M20)),L53+1,0))</f>
        <v/>
      </c>
      <c r="N53" s="1">
        <f>IF(N$5="",0,IF(OR(N20=TRUE,ISTEXT(N20)),M53+1,0))</f>
        <v/>
      </c>
      <c r="O53" s="1">
        <f>IF(O$5="",0,IF(OR(O20=TRUE,ISTEXT(O20)),N53+1,0))</f>
        <v/>
      </c>
      <c r="P53" s="1">
        <f>IF(P$5="",0,IF(OR(P20=TRUE,ISTEXT(P20)),O53+1,0))</f>
        <v/>
      </c>
      <c r="Q53" s="1">
        <f>IF(Q$5="",0,IF(OR(Q20=TRUE,ISTEXT(Q20)),P53+1,0))</f>
        <v/>
      </c>
      <c r="R53" s="1">
        <f>IF(R$5="",0,IF(OR(R20=TRUE,ISTEXT(R20)),Q53+1,0))</f>
        <v/>
      </c>
      <c r="S53" s="1">
        <f>IF(S$5="",0,IF(OR(S20=TRUE,ISTEXT(S20)),R53+1,0))</f>
        <v/>
      </c>
      <c r="T53" s="1">
        <f>IF(T$5="",0,IF(OR(T20=TRUE,ISTEXT(T20)),S53+1,0))</f>
        <v/>
      </c>
      <c r="U53" s="1">
        <f>IF(U$5="",0,IF(OR(U20=TRUE,ISTEXT(U20)),T53+1,0))</f>
        <v/>
      </c>
      <c r="V53" s="1">
        <f>IF(V$5="",0,IF(OR(V20=TRUE,ISTEXT(V20)),U53+1,0))</f>
        <v/>
      </c>
      <c r="W53" s="1">
        <f>IF(W$5="",0,IF(OR(W20=TRUE,ISTEXT(W20)),V53+1,0))</f>
        <v/>
      </c>
      <c r="X53" s="1">
        <f>IF(X$5="",0,IF(OR(X20=TRUE,ISTEXT(X20)),W53+1,0))</f>
        <v/>
      </c>
      <c r="Y53" s="1">
        <f>IF(Y$5="",0,IF(OR(Y20=TRUE,ISTEXT(Y20)),X53+1,0))</f>
        <v/>
      </c>
      <c r="Z53" s="1">
        <f>IF(Z$5="",0,IF(OR(Z20=TRUE,ISTEXT(Z20)),Y53+1,0))</f>
        <v/>
      </c>
      <c r="AA53" s="1">
        <f>IF(AA$5="",0,IF(OR(AA20=TRUE,ISTEXT(AA20)),Z53+1,0))</f>
        <v/>
      </c>
      <c r="AB53" s="1">
        <f>IF(AB$5="",0,IF(OR(AB20=TRUE,ISTEXT(AB20)),AA53+1,0))</f>
        <v/>
      </c>
      <c r="AC53" s="1">
        <f>IF(AC$5="",0,IF(OR(AC20=TRUE,ISTEXT(AC20)),AB53+1,0))</f>
        <v/>
      </c>
      <c r="AD53" s="1">
        <f>IF(AD$5="",0,IF(OR(AD20=TRUE,ISTEXT(AD20)),AC53+1,0))</f>
        <v/>
      </c>
      <c r="AE53" s="1">
        <f>IF(AE$5="",0,IF(OR(AE20=TRUE,ISTEXT(AE20)),AD53+1,0))</f>
        <v/>
      </c>
      <c r="AF53" s="1">
        <f>IF(AF$5="",0,IF(OR(AF20=TRUE,ISTEXT(AF20)),AE53+1,0))</f>
        <v/>
      </c>
      <c r="AG53" s="1">
        <f>IF(AG$5="",0,IF(OR(AG20=TRUE,ISTEXT(AG20)),AF53+1,0))</f>
        <v/>
      </c>
      <c r="AH53" s="1" t="n"/>
      <c r="AI53" s="1" t="n"/>
      <c r="AJ53" s="1" t="n"/>
      <c r="AK53" s="1" t="n"/>
      <c r="AL53" s="1" t="n"/>
    </row>
    <row r="54" hidden="1">
      <c r="A54" s="1" t="n"/>
      <c r="B54" s="1">
        <f>B21</f>
        <v/>
      </c>
      <c r="C54" s="1">
        <f>IF(C$5="",0,IF(OR(C21=TRUE,ISTEXT(C21)),IFERROR(INDEX(May!$C$54:$AG$54,DAY(EOMONTH(DATE(Habits!$C$4,5,1),0))),0)+1,0))</f>
        <v/>
      </c>
      <c r="D54" s="1">
        <f>IF(D$5="",0,IF(OR(D21=TRUE,ISTEXT(D21)),C54+1,0))</f>
        <v/>
      </c>
      <c r="E54" s="1">
        <f>IF(E$5="",0,IF(OR(E21=TRUE,ISTEXT(E21)),D54+1,0))</f>
        <v/>
      </c>
      <c r="F54" s="1">
        <f>IF(F$5="",0,IF(OR(F21=TRUE,ISTEXT(F21)),E54+1,0))</f>
        <v/>
      </c>
      <c r="G54" s="1">
        <f>IF(G$5="",0,IF(OR(G21=TRUE,ISTEXT(G21)),F54+1,0))</f>
        <v/>
      </c>
      <c r="H54" s="1">
        <f>IF(H$5="",0,IF(OR(H21=TRUE,ISTEXT(H21)),G54+1,0))</f>
        <v/>
      </c>
      <c r="I54" s="1">
        <f>IF(I$5="",0,IF(OR(I21=TRUE,ISTEXT(I21)),H54+1,0))</f>
        <v/>
      </c>
      <c r="J54" s="1">
        <f>IF(J$5="",0,IF(OR(J21=TRUE,ISTEXT(J21)),I54+1,0))</f>
        <v/>
      </c>
      <c r="K54" s="1">
        <f>IF(K$5="",0,IF(OR(K21=TRUE,ISTEXT(K21)),J54+1,0))</f>
        <v/>
      </c>
      <c r="L54" s="1">
        <f>IF(L$5="",0,IF(OR(L21=TRUE,ISTEXT(L21)),K54+1,0))</f>
        <v/>
      </c>
      <c r="M54" s="1">
        <f>IF(M$5="",0,IF(OR(M21=TRUE,ISTEXT(M21)),L54+1,0))</f>
        <v/>
      </c>
      <c r="N54" s="1">
        <f>IF(N$5="",0,IF(OR(N21=TRUE,ISTEXT(N21)),M54+1,0))</f>
        <v/>
      </c>
      <c r="O54" s="1">
        <f>IF(O$5="",0,IF(OR(O21=TRUE,ISTEXT(O21)),N54+1,0))</f>
        <v/>
      </c>
      <c r="P54" s="1">
        <f>IF(P$5="",0,IF(OR(P21=TRUE,ISTEXT(P21)),O54+1,0))</f>
        <v/>
      </c>
      <c r="Q54" s="1">
        <f>IF(Q$5="",0,IF(OR(Q21=TRUE,ISTEXT(Q21)),P54+1,0))</f>
        <v/>
      </c>
      <c r="R54" s="1">
        <f>IF(R$5="",0,IF(OR(R21=TRUE,ISTEXT(R21)),Q54+1,0))</f>
        <v/>
      </c>
      <c r="S54" s="1">
        <f>IF(S$5="",0,IF(OR(S21=TRUE,ISTEXT(S21)),R54+1,0))</f>
        <v/>
      </c>
      <c r="T54" s="1">
        <f>IF(T$5="",0,IF(OR(T21=TRUE,ISTEXT(T21)),S54+1,0))</f>
        <v/>
      </c>
      <c r="U54" s="1">
        <f>IF(U$5="",0,IF(OR(U21=TRUE,ISTEXT(U21)),T54+1,0))</f>
        <v/>
      </c>
      <c r="V54" s="1">
        <f>IF(V$5="",0,IF(OR(V21=TRUE,ISTEXT(V21)),U54+1,0))</f>
        <v/>
      </c>
      <c r="W54" s="1">
        <f>IF(W$5="",0,IF(OR(W21=TRUE,ISTEXT(W21)),V54+1,0))</f>
        <v/>
      </c>
      <c r="X54" s="1">
        <f>IF(X$5="",0,IF(OR(X21=TRUE,ISTEXT(X21)),W54+1,0))</f>
        <v/>
      </c>
      <c r="Y54" s="1">
        <f>IF(Y$5="",0,IF(OR(Y21=TRUE,ISTEXT(Y21)),X54+1,0))</f>
        <v/>
      </c>
      <c r="Z54" s="1">
        <f>IF(Z$5="",0,IF(OR(Z21=TRUE,ISTEXT(Z21)),Y54+1,0))</f>
        <v/>
      </c>
      <c r="AA54" s="1">
        <f>IF(AA$5="",0,IF(OR(AA21=TRUE,ISTEXT(AA21)),Z54+1,0))</f>
        <v/>
      </c>
      <c r="AB54" s="1">
        <f>IF(AB$5="",0,IF(OR(AB21=TRUE,ISTEXT(AB21)),AA54+1,0))</f>
        <v/>
      </c>
      <c r="AC54" s="1">
        <f>IF(AC$5="",0,IF(OR(AC21=TRUE,ISTEXT(AC21)),AB54+1,0))</f>
        <v/>
      </c>
      <c r="AD54" s="1">
        <f>IF(AD$5="",0,IF(OR(AD21=TRUE,ISTEXT(AD21)),AC54+1,0))</f>
        <v/>
      </c>
      <c r="AE54" s="1">
        <f>IF(AE$5="",0,IF(OR(AE21=TRUE,ISTEXT(AE21)),AD54+1,0))</f>
        <v/>
      </c>
      <c r="AF54" s="1">
        <f>IF(AF$5="",0,IF(OR(AF21=TRUE,ISTEXT(AF21)),AE54+1,0))</f>
        <v/>
      </c>
      <c r="AG54" s="1">
        <f>IF(AG$5="",0,IF(OR(AG21=TRUE,ISTEXT(AG21)),AF54+1,0))</f>
        <v/>
      </c>
      <c r="AH54" s="1" t="n"/>
      <c r="AI54" s="1" t="n"/>
      <c r="AJ54" s="1" t="n"/>
      <c r="AK54" s="1" t="n"/>
      <c r="A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</sheetData>
  <mergeCells count="2">
    <mergeCell ref="AH24:AI24"/>
    <mergeCell ref="AH23:AI23"/>
  </mergeCells>
  <conditionalFormatting sqref="C7:AG24">
    <cfRule type="expression" priority="1" dxfId="12">
      <formula>C$5=""</formula>
    </cfRule>
  </conditionalFormatting>
  <conditionalFormatting sqref="C7:AG21">
    <cfRule type="expression" priority="2" dxfId="13">
      <formula>AND($B7&lt;&gt;"",OR(C7=TRUE,ISTEXT(C7)))</formula>
    </cfRule>
    <cfRule type="expression" priority="3" dxfId="14">
      <formula>$B7=""</formula>
    </cfRule>
  </conditionalFormatting>
  <conditionalFormatting sqref="C23:AG23">
    <cfRule type="expression" priority="4" dxfId="1">
      <formula>C23=5</formula>
    </cfRule>
    <cfRule type="expression" priority="5" dxfId="2">
      <formula>C23=4</formula>
    </cfRule>
    <cfRule type="expression" priority="6" dxfId="3">
      <formula>C23=3</formula>
    </cfRule>
    <cfRule type="expression" priority="7" dxfId="4">
      <formula>C23=2</formula>
    </cfRule>
    <cfRule type="expression" priority="8" dxfId="5">
      <formula>C23=1</formula>
    </cfRule>
  </conditionalFormatting>
  <conditionalFormatting sqref="C5:AG5">
    <cfRule type="expression" priority="9" dxfId="15">
      <formula>AND(C$5&lt;&gt;"",DATE(Habits!$C$4,6,C$5)=TODAY())</formula>
    </cfRule>
  </conditionalFormatting>
  <conditionalFormatting sqref="AI7:AI21">
    <cfRule type="colorScale" priority="10">
      <colorScale>
        <cfvo type="num" val="0"/>
        <cfvo type="num" val="1"/>
        <color rgb="00FFFFFF"/>
        <color rgb="008CC5A8"/>
      </colorScale>
    </cfRule>
  </conditionalFormatting>
  <dataValidations count="1">
    <dataValidation sqref="C23:AG2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L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7" customWidth="1" min="34" max="34"/>
    <col width="7" customWidth="1" min="35" max="35"/>
    <col width="8" customWidth="1" min="36" max="36"/>
    <col width="8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>
        <f>"July "&amp;Habits!$C$4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Type x on each day you did a habit. Mood from 1 to 5, sleep in hours.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30" customHeight="1">
      <c r="A5" s="1" t="n"/>
      <c r="B5" s="28" t="inlineStr">
        <is>
          <t>Habit</t>
        </is>
      </c>
      <c r="C5" s="29">
        <f>IF(1&lt;=DAY(EOMONTH(DATE(Habits!$C$4,7,1),0)),1,"")</f>
        <v/>
      </c>
      <c r="D5" s="29">
        <f>IF(2&lt;=DAY(EOMONTH(DATE(Habits!$C$4,7,1),0)),2,"")</f>
        <v/>
      </c>
      <c r="E5" s="29">
        <f>IF(3&lt;=DAY(EOMONTH(DATE(Habits!$C$4,7,1),0)),3,"")</f>
        <v/>
      </c>
      <c r="F5" s="29">
        <f>IF(4&lt;=DAY(EOMONTH(DATE(Habits!$C$4,7,1),0)),4,"")</f>
        <v/>
      </c>
      <c r="G5" s="29">
        <f>IF(5&lt;=DAY(EOMONTH(DATE(Habits!$C$4,7,1),0)),5,"")</f>
        <v/>
      </c>
      <c r="H5" s="29">
        <f>IF(6&lt;=DAY(EOMONTH(DATE(Habits!$C$4,7,1),0)),6,"")</f>
        <v/>
      </c>
      <c r="I5" s="29">
        <f>IF(7&lt;=DAY(EOMONTH(DATE(Habits!$C$4,7,1),0)),7,"")</f>
        <v/>
      </c>
      <c r="J5" s="29">
        <f>IF(8&lt;=DAY(EOMONTH(DATE(Habits!$C$4,7,1),0)),8,"")</f>
        <v/>
      </c>
      <c r="K5" s="29">
        <f>IF(9&lt;=DAY(EOMONTH(DATE(Habits!$C$4,7,1),0)),9,"")</f>
        <v/>
      </c>
      <c r="L5" s="29">
        <f>IF(10&lt;=DAY(EOMONTH(DATE(Habits!$C$4,7,1),0)),10,"")</f>
        <v/>
      </c>
      <c r="M5" s="29">
        <f>IF(11&lt;=DAY(EOMONTH(DATE(Habits!$C$4,7,1),0)),11,"")</f>
        <v/>
      </c>
      <c r="N5" s="29">
        <f>IF(12&lt;=DAY(EOMONTH(DATE(Habits!$C$4,7,1),0)),12,"")</f>
        <v/>
      </c>
      <c r="O5" s="29">
        <f>IF(13&lt;=DAY(EOMONTH(DATE(Habits!$C$4,7,1),0)),13,"")</f>
        <v/>
      </c>
      <c r="P5" s="29">
        <f>IF(14&lt;=DAY(EOMONTH(DATE(Habits!$C$4,7,1),0)),14,"")</f>
        <v/>
      </c>
      <c r="Q5" s="29">
        <f>IF(15&lt;=DAY(EOMONTH(DATE(Habits!$C$4,7,1),0)),15,"")</f>
        <v/>
      </c>
      <c r="R5" s="29">
        <f>IF(16&lt;=DAY(EOMONTH(DATE(Habits!$C$4,7,1),0)),16,"")</f>
        <v/>
      </c>
      <c r="S5" s="29">
        <f>IF(17&lt;=DAY(EOMONTH(DATE(Habits!$C$4,7,1),0)),17,"")</f>
        <v/>
      </c>
      <c r="T5" s="29">
        <f>IF(18&lt;=DAY(EOMONTH(DATE(Habits!$C$4,7,1),0)),18,"")</f>
        <v/>
      </c>
      <c r="U5" s="29">
        <f>IF(19&lt;=DAY(EOMONTH(DATE(Habits!$C$4,7,1),0)),19,"")</f>
        <v/>
      </c>
      <c r="V5" s="29">
        <f>IF(20&lt;=DAY(EOMONTH(DATE(Habits!$C$4,7,1),0)),20,"")</f>
        <v/>
      </c>
      <c r="W5" s="29">
        <f>IF(21&lt;=DAY(EOMONTH(DATE(Habits!$C$4,7,1),0)),21,"")</f>
        <v/>
      </c>
      <c r="X5" s="29">
        <f>IF(22&lt;=DAY(EOMONTH(DATE(Habits!$C$4,7,1),0)),22,"")</f>
        <v/>
      </c>
      <c r="Y5" s="29">
        <f>IF(23&lt;=DAY(EOMONTH(DATE(Habits!$C$4,7,1),0)),23,"")</f>
        <v/>
      </c>
      <c r="Z5" s="29">
        <f>IF(24&lt;=DAY(EOMONTH(DATE(Habits!$C$4,7,1),0)),24,"")</f>
        <v/>
      </c>
      <c r="AA5" s="29">
        <f>IF(25&lt;=DAY(EOMONTH(DATE(Habits!$C$4,7,1),0)),25,"")</f>
        <v/>
      </c>
      <c r="AB5" s="29">
        <f>IF(26&lt;=DAY(EOMONTH(DATE(Habits!$C$4,7,1),0)),26,"")</f>
        <v/>
      </c>
      <c r="AC5" s="29">
        <f>IF(27&lt;=DAY(EOMONTH(DATE(Habits!$C$4,7,1),0)),27,"")</f>
        <v/>
      </c>
      <c r="AD5" s="29">
        <f>IF(28&lt;=DAY(EOMONTH(DATE(Habits!$C$4,7,1),0)),28,"")</f>
        <v/>
      </c>
      <c r="AE5" s="29">
        <f>IF(29&lt;=DAY(EOMONTH(DATE(Habits!$C$4,7,1),0)),29,"")</f>
        <v/>
      </c>
      <c r="AF5" s="29">
        <f>IF(30&lt;=DAY(EOMONTH(DATE(Habits!$C$4,7,1),0)),30,"")</f>
        <v/>
      </c>
      <c r="AG5" s="29">
        <f>IF(31&lt;=DAY(EOMONTH(DATE(Habits!$C$4,7,1),0)),31,"")</f>
        <v/>
      </c>
      <c r="AH5" s="30" t="inlineStr">
        <is>
          <t>Done</t>
        </is>
      </c>
      <c r="AI5" s="30" t="inlineStr">
        <is>
          <t>Share</t>
        </is>
      </c>
      <c r="AJ5" s="30" t="inlineStr">
        <is>
          <t>Streak now</t>
        </is>
      </c>
      <c r="AK5" s="30" t="inlineStr">
        <is>
          <t>Best streak</t>
        </is>
      </c>
      <c r="AL5" s="1" t="n"/>
    </row>
    <row r="6">
      <c r="A6" s="1" t="n"/>
      <c r="B6" s="1" t="n"/>
      <c r="C6" s="31">
        <f>IF(C$5="","",CHOOSE(WEEKDAY(DATE(Habits!$C$4,7,1),2),"M","T","W","T","F","S","S"))</f>
        <v/>
      </c>
      <c r="D6" s="31">
        <f>IF(D$5="","",CHOOSE(WEEKDAY(DATE(Habits!$C$4,7,2),2),"M","T","W","T","F","S","S"))</f>
        <v/>
      </c>
      <c r="E6" s="31">
        <f>IF(E$5="","",CHOOSE(WEEKDAY(DATE(Habits!$C$4,7,3),2),"M","T","W","T","F","S","S"))</f>
        <v/>
      </c>
      <c r="F6" s="31">
        <f>IF(F$5="","",CHOOSE(WEEKDAY(DATE(Habits!$C$4,7,4),2),"M","T","W","T","F","S","S"))</f>
        <v/>
      </c>
      <c r="G6" s="31">
        <f>IF(G$5="","",CHOOSE(WEEKDAY(DATE(Habits!$C$4,7,5),2),"M","T","W","T","F","S","S"))</f>
        <v/>
      </c>
      <c r="H6" s="31">
        <f>IF(H$5="","",CHOOSE(WEEKDAY(DATE(Habits!$C$4,7,6),2),"M","T","W","T","F","S","S"))</f>
        <v/>
      </c>
      <c r="I6" s="31">
        <f>IF(I$5="","",CHOOSE(WEEKDAY(DATE(Habits!$C$4,7,7),2),"M","T","W","T","F","S","S"))</f>
        <v/>
      </c>
      <c r="J6" s="31">
        <f>IF(J$5="","",CHOOSE(WEEKDAY(DATE(Habits!$C$4,7,8),2),"M","T","W","T","F","S","S"))</f>
        <v/>
      </c>
      <c r="K6" s="31">
        <f>IF(K$5="","",CHOOSE(WEEKDAY(DATE(Habits!$C$4,7,9),2),"M","T","W","T","F","S","S"))</f>
        <v/>
      </c>
      <c r="L6" s="31">
        <f>IF(L$5="","",CHOOSE(WEEKDAY(DATE(Habits!$C$4,7,10),2),"M","T","W","T","F","S","S"))</f>
        <v/>
      </c>
      <c r="M6" s="31">
        <f>IF(M$5="","",CHOOSE(WEEKDAY(DATE(Habits!$C$4,7,11),2),"M","T","W","T","F","S","S"))</f>
        <v/>
      </c>
      <c r="N6" s="31">
        <f>IF(N$5="","",CHOOSE(WEEKDAY(DATE(Habits!$C$4,7,12),2),"M","T","W","T","F","S","S"))</f>
        <v/>
      </c>
      <c r="O6" s="31">
        <f>IF(O$5="","",CHOOSE(WEEKDAY(DATE(Habits!$C$4,7,13),2),"M","T","W","T","F","S","S"))</f>
        <v/>
      </c>
      <c r="P6" s="31">
        <f>IF(P$5="","",CHOOSE(WEEKDAY(DATE(Habits!$C$4,7,14),2),"M","T","W","T","F","S","S"))</f>
        <v/>
      </c>
      <c r="Q6" s="31">
        <f>IF(Q$5="","",CHOOSE(WEEKDAY(DATE(Habits!$C$4,7,15),2),"M","T","W","T","F","S","S"))</f>
        <v/>
      </c>
      <c r="R6" s="31">
        <f>IF(R$5="","",CHOOSE(WEEKDAY(DATE(Habits!$C$4,7,16),2),"M","T","W","T","F","S","S"))</f>
        <v/>
      </c>
      <c r="S6" s="31">
        <f>IF(S$5="","",CHOOSE(WEEKDAY(DATE(Habits!$C$4,7,17),2),"M","T","W","T","F","S","S"))</f>
        <v/>
      </c>
      <c r="T6" s="31">
        <f>IF(T$5="","",CHOOSE(WEEKDAY(DATE(Habits!$C$4,7,18),2),"M","T","W","T","F","S","S"))</f>
        <v/>
      </c>
      <c r="U6" s="31">
        <f>IF(U$5="","",CHOOSE(WEEKDAY(DATE(Habits!$C$4,7,19),2),"M","T","W","T","F","S","S"))</f>
        <v/>
      </c>
      <c r="V6" s="31">
        <f>IF(V$5="","",CHOOSE(WEEKDAY(DATE(Habits!$C$4,7,20),2),"M","T","W","T","F","S","S"))</f>
        <v/>
      </c>
      <c r="W6" s="31">
        <f>IF(W$5="","",CHOOSE(WEEKDAY(DATE(Habits!$C$4,7,21),2),"M","T","W","T","F","S","S"))</f>
        <v/>
      </c>
      <c r="X6" s="31">
        <f>IF(X$5="","",CHOOSE(WEEKDAY(DATE(Habits!$C$4,7,22),2),"M","T","W","T","F","S","S"))</f>
        <v/>
      </c>
      <c r="Y6" s="31">
        <f>IF(Y$5="","",CHOOSE(WEEKDAY(DATE(Habits!$C$4,7,23),2),"M","T","W","T","F","S","S"))</f>
        <v/>
      </c>
      <c r="Z6" s="31">
        <f>IF(Z$5="","",CHOOSE(WEEKDAY(DATE(Habits!$C$4,7,24),2),"M","T","W","T","F","S","S"))</f>
        <v/>
      </c>
      <c r="AA6" s="31">
        <f>IF(AA$5="","",CHOOSE(WEEKDAY(DATE(Habits!$C$4,7,25),2),"M","T","W","T","F","S","S"))</f>
        <v/>
      </c>
      <c r="AB6" s="31">
        <f>IF(AB$5="","",CHOOSE(WEEKDAY(DATE(Habits!$C$4,7,26),2),"M","T","W","T","F","S","S"))</f>
        <v/>
      </c>
      <c r="AC6" s="31">
        <f>IF(AC$5="","",CHOOSE(WEEKDAY(DATE(Habits!$C$4,7,27),2),"M","T","W","T","F","S","S"))</f>
        <v/>
      </c>
      <c r="AD6" s="31">
        <f>IF(AD$5="","",CHOOSE(WEEKDAY(DATE(Habits!$C$4,7,28),2),"M","T","W","T","F","S","S"))</f>
        <v/>
      </c>
      <c r="AE6" s="31">
        <f>IF(AE$5="","",CHOOSE(WEEKDAY(DATE(Habits!$C$4,7,29),2),"M","T","W","T","F","S","S"))</f>
        <v/>
      </c>
      <c r="AF6" s="31">
        <f>IF(AF$5="","",CHOOSE(WEEKDAY(DATE(Habits!$C$4,7,30),2),"M","T","W","T","F","S","S"))</f>
        <v/>
      </c>
      <c r="AG6" s="31">
        <f>IF(AG$5="","",CHOOSE(WEEKDAY(DATE(Habits!$C$4,7,31),2),"M","T","W","T","F","S","S"))</f>
        <v/>
      </c>
      <c r="AH6" s="1" t="n"/>
      <c r="AI6" s="1" t="n"/>
      <c r="AJ6" s="1" t="n"/>
      <c r="AK6" s="1" t="n"/>
      <c r="AL6" s="1" t="n"/>
    </row>
    <row r="7">
      <c r="A7" s="1" t="n"/>
      <c r="B7" s="32">
        <f>IF(Habits!B8="","",Habits!B8)</f>
        <v/>
      </c>
      <c r="C7" s="33" t="inlineStr">
        <is>
          <t>x</t>
        </is>
      </c>
      <c r="D7" s="33" t="inlineStr">
        <is>
          <t>x</t>
        </is>
      </c>
      <c r="E7" s="33" t="inlineStr">
        <is>
          <t>x</t>
        </is>
      </c>
      <c r="F7" s="33" t="inlineStr">
        <is>
          <t>x</t>
        </is>
      </c>
      <c r="G7" s="33" t="inlineStr">
        <is>
          <t>x</t>
        </is>
      </c>
      <c r="H7" s="33" t="inlineStr">
        <is>
          <t>x</t>
        </is>
      </c>
      <c r="I7" s="33" t="inlineStr">
        <is>
          <t>x</t>
        </is>
      </c>
      <c r="J7" s="33" t="inlineStr">
        <is>
          <t>x</t>
        </is>
      </c>
      <c r="K7" s="33" t="inlineStr">
        <is>
          <t>x</t>
        </is>
      </c>
      <c r="L7" s="33" t="inlineStr">
        <is>
          <t>x</t>
        </is>
      </c>
      <c r="M7" s="33" t="inlineStr">
        <is>
          <t>x</t>
        </is>
      </c>
      <c r="N7" s="33" t="inlineStr">
        <is>
          <t>x</t>
        </is>
      </c>
      <c r="O7" s="33" t="inlineStr">
        <is>
          <t>x</t>
        </is>
      </c>
      <c r="P7" s="33" t="inlineStr">
        <is>
          <t>x</t>
        </is>
      </c>
      <c r="Q7" s="33" t="inlineStr">
        <is>
          <t>x</t>
        </is>
      </c>
      <c r="R7" s="33" t="inlineStr">
        <is>
          <t>x</t>
        </is>
      </c>
      <c r="S7" s="33" t="inlineStr">
        <is>
          <t>x</t>
        </is>
      </c>
      <c r="T7" s="33" t="inlineStr">
        <is>
          <t>x</t>
        </is>
      </c>
      <c r="U7" s="33" t="inlineStr">
        <is>
          <t>x</t>
        </is>
      </c>
      <c r="V7" s="33" t="inlineStr">
        <is>
          <t>x</t>
        </is>
      </c>
      <c r="W7" s="33" t="inlineStr">
        <is>
          <t>x</t>
        </is>
      </c>
      <c r="X7" s="33" t="inlineStr">
        <is>
          <t>x</t>
        </is>
      </c>
      <c r="Y7" s="33" t="inlineStr">
        <is>
          <t>x</t>
        </is>
      </c>
      <c r="Z7" s="33" t="inlineStr">
        <is>
          <t>x</t>
        </is>
      </c>
      <c r="AA7" s="33" t="inlineStr">
        <is>
          <t>x</t>
        </is>
      </c>
      <c r="AB7" s="33" t="inlineStr">
        <is>
          <t>x</t>
        </is>
      </c>
      <c r="AC7" s="33" t="inlineStr">
        <is>
          <t>x</t>
        </is>
      </c>
      <c r="AD7" s="33" t="inlineStr">
        <is>
          <t>x</t>
        </is>
      </c>
      <c r="AE7" s="33" t="inlineStr">
        <is>
          <t>x</t>
        </is>
      </c>
      <c r="AF7" s="33" t="inlineStr">
        <is>
          <t>x</t>
        </is>
      </c>
      <c r="AG7" s="33" t="inlineStr">
        <is>
          <t>x</t>
        </is>
      </c>
      <c r="AH7" s="13">
        <f>IF(B7="","",COUNTIF($C40:$AG40,"&gt;0"))</f>
        <v/>
      </c>
      <c r="AI7" s="14">
        <f>IF(OR(B7="",IF(AND(Habits!$C$4=YEAR(TODAY()),7=MONTH(TODAY())),DAY(TODAY()),IF(DATE(Habits!$C$4,7,1)&gt;TODAY(),0,DAY(EOMONTH(DATE(Habits!$C$4,7,1),0))))=0),"",MIN(1,(COUNTIF($C40:$AG40,"&gt;0"))/IF(AND(Habits!$C$4=YEAR(TODAY()),7=MONTH(TODAY())),DAY(TODAY()),IF(DATE(Habits!$C$4,7,1)&gt;TODAY(),0,DAY(EOMONTH(DATE(Habits!$C$4,7,1),0))))))</f>
        <v/>
      </c>
      <c r="AJ7" s="16">
        <f>IF(B7="","",IF(AND(Habits!$C$4=YEAR(TODAY()),7=MONTH(TODAY())),IF(INDEX($C40:$AG40,DAY(TODAY()))&gt;0,INDEX($C40:$AG40,DAY(TODAY())),IF(DAY(TODAY())=1,IFERROR(INDEX(Jun!$C$40:$AG$40,DAY(EOMONTH(DATE(Habits!$C$4,6,1),0))),0),INDEX($C40:$AG40,DAY(TODAY())-1))),IF(DATE(Habits!$C$4,7,1)&gt;TODAY(),"",INDEX($C40:$AG40,DAY(EOMONTH(DATE(Habits!$C$4,7,1),0))))))</f>
        <v/>
      </c>
      <c r="AK7" s="13">
        <f>IF(B7="","",MAX($C40:$AG40))</f>
        <v/>
      </c>
      <c r="AL7" s="1" t="n"/>
    </row>
    <row r="8">
      <c r="A8" s="1" t="n"/>
      <c r="B8" s="32">
        <f>IF(Habits!B9="","",Habits!B9)</f>
        <v/>
      </c>
      <c r="C8" s="33" t="n"/>
      <c r="D8" s="33" t="inlineStr">
        <is>
          <t>x</t>
        </is>
      </c>
      <c r="E8" s="33" t="n"/>
      <c r="F8" s="33" t="n"/>
      <c r="G8" s="33" t="n"/>
      <c r="H8" s="33" t="inlineStr">
        <is>
          <t>x</t>
        </is>
      </c>
      <c r="I8" s="33" t="inlineStr">
        <is>
          <t>x</t>
        </is>
      </c>
      <c r="J8" s="33" t="inlineStr">
        <is>
          <t>x</t>
        </is>
      </c>
      <c r="K8" s="33" t="n"/>
      <c r="L8" s="33" t="inlineStr">
        <is>
          <t>x</t>
        </is>
      </c>
      <c r="M8" s="33" t="inlineStr">
        <is>
          <t>x</t>
        </is>
      </c>
      <c r="N8" s="33" t="inlineStr">
        <is>
          <t>x</t>
        </is>
      </c>
      <c r="O8" s="33" t="n"/>
      <c r="P8" s="33" t="inlineStr">
        <is>
          <t>x</t>
        </is>
      </c>
      <c r="Q8" s="33" t="inlineStr">
        <is>
          <t>x</t>
        </is>
      </c>
      <c r="R8" s="33" t="inlineStr">
        <is>
          <t>x</t>
        </is>
      </c>
      <c r="S8" s="33" t="n"/>
      <c r="T8" s="33" t="n"/>
      <c r="U8" s="33" t="n"/>
      <c r="V8" s="33" t="inlineStr">
        <is>
          <t>x</t>
        </is>
      </c>
      <c r="W8" s="33" t="n"/>
      <c r="X8" s="33" t="n"/>
      <c r="Y8" s="33" t="inlineStr">
        <is>
          <t>x</t>
        </is>
      </c>
      <c r="Z8" s="33" t="inlineStr">
        <is>
          <t>x</t>
        </is>
      </c>
      <c r="AA8" s="33" t="inlineStr">
        <is>
          <t>x</t>
        </is>
      </c>
      <c r="AB8" s="33" t="inlineStr">
        <is>
          <t>x</t>
        </is>
      </c>
      <c r="AC8" s="33" t="inlineStr">
        <is>
          <t>x</t>
        </is>
      </c>
      <c r="AD8" s="33" t="inlineStr">
        <is>
          <t>x</t>
        </is>
      </c>
      <c r="AE8" s="33" t="inlineStr">
        <is>
          <t>x</t>
        </is>
      </c>
      <c r="AF8" s="33" t="inlineStr">
        <is>
          <t>x</t>
        </is>
      </c>
      <c r="AG8" s="33" t="inlineStr">
        <is>
          <t>x</t>
        </is>
      </c>
      <c r="AH8" s="13">
        <f>IF(B8="","",COUNTIF($C41:$AG41,"&gt;0"))</f>
        <v/>
      </c>
      <c r="AI8" s="14">
        <f>IF(OR(B8="",IF(AND(Habits!$C$4=YEAR(TODAY()),7=MONTH(TODAY())),DAY(TODAY()),IF(DATE(Habits!$C$4,7,1)&gt;TODAY(),0,DAY(EOMONTH(DATE(Habits!$C$4,7,1),0))))=0),"",MIN(1,(COUNTIF($C41:$AG41,"&gt;0"))/IF(AND(Habits!$C$4=YEAR(TODAY()),7=MONTH(TODAY())),DAY(TODAY()),IF(DATE(Habits!$C$4,7,1)&gt;TODAY(),0,DAY(EOMONTH(DATE(Habits!$C$4,7,1),0))))))</f>
        <v/>
      </c>
      <c r="AJ8" s="16">
        <f>IF(B8="","",IF(AND(Habits!$C$4=YEAR(TODAY()),7=MONTH(TODAY())),IF(INDEX($C41:$AG41,DAY(TODAY()))&gt;0,INDEX($C41:$AG41,DAY(TODAY())),IF(DAY(TODAY())=1,IFERROR(INDEX(Jun!$C$41:$AG$41,DAY(EOMONTH(DATE(Habits!$C$4,6,1),0))),0),INDEX($C41:$AG41,DAY(TODAY())-1))),IF(DATE(Habits!$C$4,7,1)&gt;TODAY(),"",INDEX($C41:$AG41,DAY(EOMONTH(DATE(Habits!$C$4,7,1),0))))))</f>
        <v/>
      </c>
      <c r="AK8" s="13">
        <f>IF(B8="","",MAX($C41:$AG41))</f>
        <v/>
      </c>
      <c r="AL8" s="1" t="n"/>
    </row>
    <row r="9">
      <c r="A9" s="1" t="n"/>
      <c r="B9" s="32">
        <f>IF(Habits!B10="","",Habits!B10)</f>
        <v/>
      </c>
      <c r="C9" s="33" t="inlineStr">
        <is>
          <t>x</t>
        </is>
      </c>
      <c r="D9" s="33" t="n"/>
      <c r="E9" s="33" t="n"/>
      <c r="F9" s="33" t="n"/>
      <c r="G9" s="33" t="inlineStr">
        <is>
          <t>x</t>
        </is>
      </c>
      <c r="H9" s="33" t="inlineStr">
        <is>
          <t>x</t>
        </is>
      </c>
      <c r="I9" s="33" t="n"/>
      <c r="J9" s="33" t="n"/>
      <c r="K9" s="33" t="inlineStr">
        <is>
          <t>x</t>
        </is>
      </c>
      <c r="L9" s="33" t="n"/>
      <c r="M9" s="33" t="inlineStr">
        <is>
          <t>x</t>
        </is>
      </c>
      <c r="N9" s="33" t="inlineStr">
        <is>
          <t>x</t>
        </is>
      </c>
      <c r="O9" s="33" t="inlineStr">
        <is>
          <t>x</t>
        </is>
      </c>
      <c r="P9" s="33" t="n"/>
      <c r="Q9" s="33" t="inlineStr">
        <is>
          <t>x</t>
        </is>
      </c>
      <c r="R9" s="33" t="inlineStr">
        <is>
          <t>x</t>
        </is>
      </c>
      <c r="S9" s="33" t="n"/>
      <c r="T9" s="33" t="inlineStr">
        <is>
          <t>x</t>
        </is>
      </c>
      <c r="U9" s="33" t="n"/>
      <c r="V9" s="33" t="n"/>
      <c r="W9" s="33" t="inlineStr">
        <is>
          <t>x</t>
        </is>
      </c>
      <c r="X9" s="33" t="n"/>
      <c r="Y9" s="33" t="inlineStr">
        <is>
          <t>x</t>
        </is>
      </c>
      <c r="Z9" s="33" t="inlineStr">
        <is>
          <t>x</t>
        </is>
      </c>
      <c r="AA9" s="33" t="inlineStr">
        <is>
          <t>x</t>
        </is>
      </c>
      <c r="AB9" s="33" t="n"/>
      <c r="AC9" s="33" t="inlineStr">
        <is>
          <t>x</t>
        </is>
      </c>
      <c r="AD9" s="33" t="n"/>
      <c r="AE9" s="33" t="inlineStr">
        <is>
          <t>x</t>
        </is>
      </c>
      <c r="AF9" s="33" t="inlineStr">
        <is>
          <t>x</t>
        </is>
      </c>
      <c r="AG9" s="33" t="n"/>
      <c r="AH9" s="13">
        <f>IF(B9="","",COUNTIF($C42:$AG42,"&gt;0"))</f>
        <v/>
      </c>
      <c r="AI9" s="14">
        <f>IF(OR(B9="",IF(AND(Habits!$C$4=YEAR(TODAY()),7=MONTH(TODAY())),DAY(TODAY()),IF(DATE(Habits!$C$4,7,1)&gt;TODAY(),0,DAY(EOMONTH(DATE(Habits!$C$4,7,1),0))))=0),"",MIN(1,(COUNTIF($C42:$AG42,"&gt;0"))/IF(AND(Habits!$C$4=YEAR(TODAY()),7=MONTH(TODAY())),DAY(TODAY()),IF(DATE(Habits!$C$4,7,1)&gt;TODAY(),0,DAY(EOMONTH(DATE(Habits!$C$4,7,1),0))))))</f>
        <v/>
      </c>
      <c r="AJ9" s="16">
        <f>IF(B9="","",IF(AND(Habits!$C$4=YEAR(TODAY()),7=MONTH(TODAY())),IF(INDEX($C42:$AG42,DAY(TODAY()))&gt;0,INDEX($C42:$AG42,DAY(TODAY())),IF(DAY(TODAY())=1,IFERROR(INDEX(Jun!$C$42:$AG$42,DAY(EOMONTH(DATE(Habits!$C$4,6,1),0))),0),INDEX($C42:$AG42,DAY(TODAY())-1))),IF(DATE(Habits!$C$4,7,1)&gt;TODAY(),"",INDEX($C42:$AG42,DAY(EOMONTH(DATE(Habits!$C$4,7,1),0))))))</f>
        <v/>
      </c>
      <c r="AK9" s="13">
        <f>IF(B9="","",MAX($C42:$AG42))</f>
        <v/>
      </c>
      <c r="AL9" s="1" t="n"/>
    </row>
    <row r="10">
      <c r="A10" s="1" t="n"/>
      <c r="B10" s="32">
        <f>IF(Habits!B11="","",Habits!B11)</f>
        <v/>
      </c>
      <c r="C10" s="33" t="inlineStr">
        <is>
          <t>x</t>
        </is>
      </c>
      <c r="D10" s="33" t="n"/>
      <c r="E10" s="33" t="inlineStr">
        <is>
          <t>x</t>
        </is>
      </c>
      <c r="F10" s="33" t="n"/>
      <c r="G10" s="33" t="inlineStr">
        <is>
          <t>x</t>
        </is>
      </c>
      <c r="H10" s="33" t="n"/>
      <c r="I10" s="33" t="n"/>
      <c r="J10" s="33" t="n"/>
      <c r="K10" s="33" t="n"/>
      <c r="L10" s="33" t="n"/>
      <c r="M10" s="33" t="n"/>
      <c r="N10" s="33" t="inlineStr">
        <is>
          <t>x</t>
        </is>
      </c>
      <c r="O10" s="33" t="n"/>
      <c r="P10" s="33" t="n"/>
      <c r="Q10" s="33" t="n"/>
      <c r="R10" s="33" t="n"/>
      <c r="S10" s="33" t="n"/>
      <c r="T10" s="33" t="n"/>
      <c r="U10" s="33" t="inlineStr">
        <is>
          <t>x</t>
        </is>
      </c>
      <c r="V10" s="33" t="inlineStr">
        <is>
          <t>x</t>
        </is>
      </c>
      <c r="W10" s="33" t="n"/>
      <c r="X10" s="33" t="n"/>
      <c r="Y10" s="33" t="inlineStr">
        <is>
          <t>x</t>
        </is>
      </c>
      <c r="Z10" s="33" t="inlineStr">
        <is>
          <t>x</t>
        </is>
      </c>
      <c r="AA10" s="33" t="n"/>
      <c r="AB10" s="33" t="n"/>
      <c r="AC10" s="33" t="inlineStr">
        <is>
          <t>x</t>
        </is>
      </c>
      <c r="AD10" s="33" t="n"/>
      <c r="AE10" s="33" t="inlineStr">
        <is>
          <t>x</t>
        </is>
      </c>
      <c r="AF10" s="33" t="inlineStr">
        <is>
          <t>x</t>
        </is>
      </c>
      <c r="AG10" s="33" t="inlineStr">
        <is>
          <t>x</t>
        </is>
      </c>
      <c r="AH10" s="13">
        <f>IF(B10="","",COUNTIF($C43:$AG43,"&gt;0"))</f>
        <v/>
      </c>
      <c r="AI10" s="14">
        <f>IF(OR(B10="",IF(AND(Habits!$C$4=YEAR(TODAY()),7=MONTH(TODAY())),DAY(TODAY()),IF(DATE(Habits!$C$4,7,1)&gt;TODAY(),0,DAY(EOMONTH(DATE(Habits!$C$4,7,1),0))))=0),"",MIN(1,(COUNTIF($C43:$AG43,"&gt;0"))/IF(AND(Habits!$C$4=YEAR(TODAY()),7=MONTH(TODAY())),DAY(TODAY()),IF(DATE(Habits!$C$4,7,1)&gt;TODAY(),0,DAY(EOMONTH(DATE(Habits!$C$4,7,1),0))))))</f>
        <v/>
      </c>
      <c r="AJ10" s="16">
        <f>IF(B10="","",IF(AND(Habits!$C$4=YEAR(TODAY()),7=MONTH(TODAY())),IF(INDEX($C43:$AG43,DAY(TODAY()))&gt;0,INDEX($C43:$AG43,DAY(TODAY())),IF(DAY(TODAY())=1,IFERROR(INDEX(Jun!$C$43:$AG$43,DAY(EOMONTH(DATE(Habits!$C$4,6,1),0))),0),INDEX($C43:$AG43,DAY(TODAY())-1))),IF(DATE(Habits!$C$4,7,1)&gt;TODAY(),"",INDEX($C43:$AG43,DAY(EOMONTH(DATE(Habits!$C$4,7,1),0))))))</f>
        <v/>
      </c>
      <c r="AK10" s="13">
        <f>IF(B10="","",MAX($C43:$AG43))</f>
        <v/>
      </c>
      <c r="AL10" s="1" t="n"/>
    </row>
    <row r="11">
      <c r="A11" s="1" t="n"/>
      <c r="B11" s="32">
        <f>IF(Habits!B12="","",Habits!B12)</f>
        <v/>
      </c>
      <c r="C11" s="33" t="n"/>
      <c r="D11" s="33" t="n"/>
      <c r="E11" s="33" t="inlineStr">
        <is>
          <t>x</t>
        </is>
      </c>
      <c r="F11" s="33" t="n"/>
      <c r="G11" s="33" t="n"/>
      <c r="H11" s="33" t="n"/>
      <c r="I11" s="33" t="n"/>
      <c r="J11" s="33" t="n"/>
      <c r="K11" s="33" t="inlineStr">
        <is>
          <t>x</t>
        </is>
      </c>
      <c r="L11" s="33" t="n"/>
      <c r="M11" s="33" t="inlineStr">
        <is>
          <t>x</t>
        </is>
      </c>
      <c r="N11" s="33" t="n"/>
      <c r="O11" s="33" t="n"/>
      <c r="P11" s="33" t="n"/>
      <c r="Q11" s="33" t="inlineStr">
        <is>
          <t>x</t>
        </is>
      </c>
      <c r="R11" s="33" t="inlineStr">
        <is>
          <t>x</t>
        </is>
      </c>
      <c r="S11" s="33" t="inlineStr">
        <is>
          <t>x</t>
        </is>
      </c>
      <c r="T11" s="33" t="inlineStr">
        <is>
          <t>x</t>
        </is>
      </c>
      <c r="U11" s="33" t="n"/>
      <c r="V11" s="33" t="inlineStr">
        <is>
          <t>x</t>
        </is>
      </c>
      <c r="W11" s="33" t="n"/>
      <c r="X11" s="33" t="inlineStr">
        <is>
          <t>x</t>
        </is>
      </c>
      <c r="Y11" s="33" t="n"/>
      <c r="Z11" s="33" t="inlineStr">
        <is>
          <t>x</t>
        </is>
      </c>
      <c r="AA11" s="33" t="inlineStr">
        <is>
          <t>x</t>
        </is>
      </c>
      <c r="AB11" s="33" t="inlineStr">
        <is>
          <t>x</t>
        </is>
      </c>
      <c r="AC11" s="33" t="inlineStr">
        <is>
          <t>x</t>
        </is>
      </c>
      <c r="AD11" s="33" t="inlineStr">
        <is>
          <t>x</t>
        </is>
      </c>
      <c r="AE11" s="33" t="n"/>
      <c r="AF11" s="33" t="inlineStr">
        <is>
          <t>x</t>
        </is>
      </c>
      <c r="AG11" s="33" t="inlineStr">
        <is>
          <t>x</t>
        </is>
      </c>
      <c r="AH11" s="13">
        <f>IF(B11="","",COUNTIF($C44:$AG44,"&gt;0"))</f>
        <v/>
      </c>
      <c r="AI11" s="14">
        <f>IF(OR(B11="",IF(AND(Habits!$C$4=YEAR(TODAY()),7=MONTH(TODAY())),DAY(TODAY()),IF(DATE(Habits!$C$4,7,1)&gt;TODAY(),0,DAY(EOMONTH(DATE(Habits!$C$4,7,1),0))))=0),"",MIN(1,(COUNTIF($C44:$AG44,"&gt;0"))/IF(AND(Habits!$C$4=YEAR(TODAY()),7=MONTH(TODAY())),DAY(TODAY()),IF(DATE(Habits!$C$4,7,1)&gt;TODAY(),0,DAY(EOMONTH(DATE(Habits!$C$4,7,1),0))))))</f>
        <v/>
      </c>
      <c r="AJ11" s="16">
        <f>IF(B11="","",IF(AND(Habits!$C$4=YEAR(TODAY()),7=MONTH(TODAY())),IF(INDEX($C44:$AG44,DAY(TODAY()))&gt;0,INDEX($C44:$AG44,DAY(TODAY())),IF(DAY(TODAY())=1,IFERROR(INDEX(Jun!$C$44:$AG$44,DAY(EOMONTH(DATE(Habits!$C$4,6,1),0))),0),INDEX($C44:$AG44,DAY(TODAY())-1))),IF(DATE(Habits!$C$4,7,1)&gt;TODAY(),"",INDEX($C44:$AG44,DAY(EOMONTH(DATE(Habits!$C$4,7,1),0))))))</f>
        <v/>
      </c>
      <c r="AK11" s="13">
        <f>IF(B11="","",MAX($C44:$AG44))</f>
        <v/>
      </c>
      <c r="AL11" s="1" t="n"/>
    </row>
    <row r="12">
      <c r="A12" s="1" t="n"/>
      <c r="B12" s="32">
        <f>IF(Habits!B13="","",Habits!B13)</f>
        <v/>
      </c>
      <c r="C12" s="33" t="inlineStr">
        <is>
          <t>x</t>
        </is>
      </c>
      <c r="D12" s="33" t="n"/>
      <c r="E12" s="33" t="n"/>
      <c r="F12" s="33" t="n"/>
      <c r="G12" s="33" t="n"/>
      <c r="H12" s="33" t="n"/>
      <c r="I12" s="33" t="inlineStr">
        <is>
          <t>x</t>
        </is>
      </c>
      <c r="J12" s="33" t="inlineStr">
        <is>
          <t>x</t>
        </is>
      </c>
      <c r="K12" s="33" t="inlineStr">
        <is>
          <t>x</t>
        </is>
      </c>
      <c r="L12" s="33" t="inlineStr">
        <is>
          <t>x</t>
        </is>
      </c>
      <c r="M12" s="33" t="n"/>
      <c r="N12" s="33" t="n"/>
      <c r="O12" s="33" t="inlineStr">
        <is>
          <t>x</t>
        </is>
      </c>
      <c r="P12" s="33" t="inlineStr">
        <is>
          <t>x</t>
        </is>
      </c>
      <c r="Q12" s="33" t="n"/>
      <c r="R12" s="33" t="n"/>
      <c r="S12" s="33" t="inlineStr">
        <is>
          <t>x</t>
        </is>
      </c>
      <c r="T12" s="33" t="n"/>
      <c r="U12" s="33" t="inlineStr">
        <is>
          <t>x</t>
        </is>
      </c>
      <c r="V12" s="33" t="n"/>
      <c r="W12" s="33" t="inlineStr">
        <is>
          <t>x</t>
        </is>
      </c>
      <c r="X12" s="33" t="inlineStr">
        <is>
          <t>x</t>
        </is>
      </c>
      <c r="Y12" s="33" t="inlineStr">
        <is>
          <t>x</t>
        </is>
      </c>
      <c r="Z12" s="33" t="inlineStr">
        <is>
          <t>x</t>
        </is>
      </c>
      <c r="AA12" s="33" t="n"/>
      <c r="AB12" s="33" t="n"/>
      <c r="AC12" s="33" t="n"/>
      <c r="AD12" s="33" t="inlineStr">
        <is>
          <t>x</t>
        </is>
      </c>
      <c r="AE12" s="33" t="inlineStr">
        <is>
          <t>x</t>
        </is>
      </c>
      <c r="AF12" s="33" t="n"/>
      <c r="AG12" s="33" t="inlineStr">
        <is>
          <t>x</t>
        </is>
      </c>
      <c r="AH12" s="13">
        <f>IF(B12="","",COUNTIF($C45:$AG45,"&gt;0"))</f>
        <v/>
      </c>
      <c r="AI12" s="14">
        <f>IF(OR(B12="",IF(AND(Habits!$C$4=YEAR(TODAY()),7=MONTH(TODAY())),DAY(TODAY()),IF(DATE(Habits!$C$4,7,1)&gt;TODAY(),0,DAY(EOMONTH(DATE(Habits!$C$4,7,1),0))))=0),"",MIN(1,(COUNTIF($C45:$AG45,"&gt;0"))/IF(AND(Habits!$C$4=YEAR(TODAY()),7=MONTH(TODAY())),DAY(TODAY()),IF(DATE(Habits!$C$4,7,1)&gt;TODAY(),0,DAY(EOMONTH(DATE(Habits!$C$4,7,1),0))))))</f>
        <v/>
      </c>
      <c r="AJ12" s="16">
        <f>IF(B12="","",IF(AND(Habits!$C$4=YEAR(TODAY()),7=MONTH(TODAY())),IF(INDEX($C45:$AG45,DAY(TODAY()))&gt;0,INDEX($C45:$AG45,DAY(TODAY())),IF(DAY(TODAY())=1,IFERROR(INDEX(Jun!$C$45:$AG$45,DAY(EOMONTH(DATE(Habits!$C$4,6,1),0))),0),INDEX($C45:$AG45,DAY(TODAY())-1))),IF(DATE(Habits!$C$4,7,1)&gt;TODAY(),"",INDEX($C45:$AG45,DAY(EOMONTH(DATE(Habits!$C$4,7,1),0))))))</f>
        <v/>
      </c>
      <c r="AK12" s="13">
        <f>IF(B12="","",MAX($C45:$AG45))</f>
        <v/>
      </c>
      <c r="AL12" s="1" t="n"/>
    </row>
    <row r="13">
      <c r="A13" s="1" t="n"/>
      <c r="B13" s="32">
        <f>IF(Habits!B14="","",Habits!B14)</f>
        <v/>
      </c>
      <c r="C13" s="33" t="inlineStr">
        <is>
          <t>x</t>
        </is>
      </c>
      <c r="D13" s="33" t="inlineStr">
        <is>
          <t>x</t>
        </is>
      </c>
      <c r="E13" s="33" t="inlineStr">
        <is>
          <t>x</t>
        </is>
      </c>
      <c r="F13" s="33" t="inlineStr">
        <is>
          <t>x</t>
        </is>
      </c>
      <c r="G13" s="33" t="inlineStr">
        <is>
          <t>x</t>
        </is>
      </c>
      <c r="H13" s="33" t="inlineStr">
        <is>
          <t>x</t>
        </is>
      </c>
      <c r="I13" s="33" t="inlineStr">
        <is>
          <t>x</t>
        </is>
      </c>
      <c r="J13" s="33" t="inlineStr">
        <is>
          <t>x</t>
        </is>
      </c>
      <c r="K13" s="33" t="inlineStr">
        <is>
          <t>x</t>
        </is>
      </c>
      <c r="L13" s="33" t="inlineStr">
        <is>
          <t>x</t>
        </is>
      </c>
      <c r="M13" s="33" t="inlineStr">
        <is>
          <t>x</t>
        </is>
      </c>
      <c r="N13" s="33" t="inlineStr">
        <is>
          <t>x</t>
        </is>
      </c>
      <c r="O13" s="33" t="inlineStr">
        <is>
          <t>x</t>
        </is>
      </c>
      <c r="P13" s="33" t="inlineStr">
        <is>
          <t>x</t>
        </is>
      </c>
      <c r="Q13" s="33" t="inlineStr">
        <is>
          <t>x</t>
        </is>
      </c>
      <c r="R13" s="33" t="inlineStr">
        <is>
          <t>x</t>
        </is>
      </c>
      <c r="S13" s="33" t="inlineStr">
        <is>
          <t>x</t>
        </is>
      </c>
      <c r="T13" s="33" t="inlineStr">
        <is>
          <t>x</t>
        </is>
      </c>
      <c r="U13" s="33" t="inlineStr">
        <is>
          <t>x</t>
        </is>
      </c>
      <c r="V13" s="33" t="inlineStr">
        <is>
          <t>x</t>
        </is>
      </c>
      <c r="W13" s="33" t="inlineStr">
        <is>
          <t>x</t>
        </is>
      </c>
      <c r="X13" s="33" t="inlineStr">
        <is>
          <t>x</t>
        </is>
      </c>
      <c r="Y13" s="33" t="inlineStr">
        <is>
          <t>x</t>
        </is>
      </c>
      <c r="Z13" s="33" t="inlineStr">
        <is>
          <t>x</t>
        </is>
      </c>
      <c r="AA13" s="33" t="inlineStr">
        <is>
          <t>x</t>
        </is>
      </c>
      <c r="AB13" s="33" t="inlineStr">
        <is>
          <t>x</t>
        </is>
      </c>
      <c r="AC13" s="33" t="inlineStr">
        <is>
          <t>x</t>
        </is>
      </c>
      <c r="AD13" s="33" t="inlineStr">
        <is>
          <t>x</t>
        </is>
      </c>
      <c r="AE13" s="33" t="inlineStr">
        <is>
          <t>x</t>
        </is>
      </c>
      <c r="AF13" s="33" t="inlineStr">
        <is>
          <t>x</t>
        </is>
      </c>
      <c r="AG13" s="33" t="inlineStr">
        <is>
          <t>x</t>
        </is>
      </c>
      <c r="AH13" s="13">
        <f>IF(B13="","",COUNTIF($C46:$AG46,"&gt;0"))</f>
        <v/>
      </c>
      <c r="AI13" s="14">
        <f>IF(OR(B13="",IF(AND(Habits!$C$4=YEAR(TODAY()),7=MONTH(TODAY())),DAY(TODAY()),IF(DATE(Habits!$C$4,7,1)&gt;TODAY(),0,DAY(EOMONTH(DATE(Habits!$C$4,7,1),0))))=0),"",MIN(1,(COUNTIF($C46:$AG46,"&gt;0"))/IF(AND(Habits!$C$4=YEAR(TODAY()),7=MONTH(TODAY())),DAY(TODAY()),IF(DATE(Habits!$C$4,7,1)&gt;TODAY(),0,DAY(EOMONTH(DATE(Habits!$C$4,7,1),0))))))</f>
        <v/>
      </c>
      <c r="AJ13" s="16">
        <f>IF(B13="","",IF(AND(Habits!$C$4=YEAR(TODAY()),7=MONTH(TODAY())),IF(INDEX($C46:$AG46,DAY(TODAY()))&gt;0,INDEX($C46:$AG46,DAY(TODAY())),IF(DAY(TODAY())=1,IFERROR(INDEX(Jun!$C$46:$AG$46,DAY(EOMONTH(DATE(Habits!$C$4,6,1),0))),0),INDEX($C46:$AG46,DAY(TODAY())-1))),IF(DATE(Habits!$C$4,7,1)&gt;TODAY(),"",INDEX($C46:$AG46,DAY(EOMONTH(DATE(Habits!$C$4,7,1),0))))))</f>
        <v/>
      </c>
      <c r="AK13" s="13">
        <f>IF(B13="","",MAX($C46:$AG46))</f>
        <v/>
      </c>
      <c r="AL13" s="1" t="n"/>
    </row>
    <row r="14">
      <c r="A14" s="1" t="n"/>
      <c r="B14" s="32">
        <f>IF(Habits!B15="","",Habits!B15)</f>
        <v/>
      </c>
      <c r="C14" s="33" t="inlineStr">
        <is>
          <t>x</t>
        </is>
      </c>
      <c r="D14" s="33" t="inlineStr">
        <is>
          <t>x</t>
        </is>
      </c>
      <c r="E14" s="33" t="n"/>
      <c r="F14" s="33" t="inlineStr">
        <is>
          <t>x</t>
        </is>
      </c>
      <c r="G14" s="33" t="inlineStr">
        <is>
          <t>x</t>
        </is>
      </c>
      <c r="H14" s="33" t="inlineStr">
        <is>
          <t>x</t>
        </is>
      </c>
      <c r="I14" s="33" t="inlineStr">
        <is>
          <t>x</t>
        </is>
      </c>
      <c r="J14" s="33" t="n"/>
      <c r="K14" s="33" t="n"/>
      <c r="L14" s="33" t="n"/>
      <c r="M14" s="33" t="n"/>
      <c r="N14" s="33" t="inlineStr">
        <is>
          <t>x</t>
        </is>
      </c>
      <c r="O14" s="33" t="inlineStr">
        <is>
          <t>x</t>
        </is>
      </c>
      <c r="P14" s="33" t="n"/>
      <c r="Q14" s="33" t="n"/>
      <c r="R14" s="33" t="inlineStr">
        <is>
          <t>x</t>
        </is>
      </c>
      <c r="S14" s="33" t="inlineStr">
        <is>
          <t>x</t>
        </is>
      </c>
      <c r="T14" s="33" t="inlineStr">
        <is>
          <t>x</t>
        </is>
      </c>
      <c r="U14" s="33" t="inlineStr">
        <is>
          <t>x</t>
        </is>
      </c>
      <c r="V14" s="33" t="inlineStr">
        <is>
          <t>x</t>
        </is>
      </c>
      <c r="W14" s="33" t="inlineStr">
        <is>
          <t>x</t>
        </is>
      </c>
      <c r="X14" s="33" t="inlineStr">
        <is>
          <t>x</t>
        </is>
      </c>
      <c r="Y14" s="33" t="inlineStr">
        <is>
          <t>x</t>
        </is>
      </c>
      <c r="Z14" s="33" t="inlineStr">
        <is>
          <t>x</t>
        </is>
      </c>
      <c r="AA14" s="33" t="n"/>
      <c r="AB14" s="33" t="n"/>
      <c r="AC14" s="33" t="n"/>
      <c r="AD14" s="33" t="inlineStr">
        <is>
          <t>x</t>
        </is>
      </c>
      <c r="AE14" s="33" t="n"/>
      <c r="AF14" s="33" t="inlineStr">
        <is>
          <t>x</t>
        </is>
      </c>
      <c r="AG14" s="33" t="inlineStr">
        <is>
          <t>x</t>
        </is>
      </c>
      <c r="AH14" s="13">
        <f>IF(B14="","",COUNTIF($C47:$AG47,"&gt;0"))</f>
        <v/>
      </c>
      <c r="AI14" s="14">
        <f>IF(OR(B14="",IF(AND(Habits!$C$4=YEAR(TODAY()),7=MONTH(TODAY())),DAY(TODAY()),IF(DATE(Habits!$C$4,7,1)&gt;TODAY(),0,DAY(EOMONTH(DATE(Habits!$C$4,7,1),0))))=0),"",MIN(1,(COUNTIF($C47:$AG47,"&gt;0"))/IF(AND(Habits!$C$4=YEAR(TODAY()),7=MONTH(TODAY())),DAY(TODAY()),IF(DATE(Habits!$C$4,7,1)&gt;TODAY(),0,DAY(EOMONTH(DATE(Habits!$C$4,7,1),0))))))</f>
        <v/>
      </c>
      <c r="AJ14" s="16">
        <f>IF(B14="","",IF(AND(Habits!$C$4=YEAR(TODAY()),7=MONTH(TODAY())),IF(INDEX($C47:$AG47,DAY(TODAY()))&gt;0,INDEX($C47:$AG47,DAY(TODAY())),IF(DAY(TODAY())=1,IFERROR(INDEX(Jun!$C$47:$AG$47,DAY(EOMONTH(DATE(Habits!$C$4,6,1),0))),0),INDEX($C47:$AG47,DAY(TODAY())-1))),IF(DATE(Habits!$C$4,7,1)&gt;TODAY(),"",INDEX($C47:$AG47,DAY(EOMONTH(DATE(Habits!$C$4,7,1),0))))))</f>
        <v/>
      </c>
      <c r="AK14" s="13">
        <f>IF(B14="","",MAX($C47:$AG47))</f>
        <v/>
      </c>
      <c r="AL14" s="1" t="n"/>
    </row>
    <row r="15">
      <c r="A15" s="1" t="n"/>
      <c r="B15" s="32">
        <f>IF(Habits!B16="","",Habits!B16)</f>
        <v/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13">
        <f>IF(B15="","",COUNTIF($C48:$AG48,"&gt;0"))</f>
        <v/>
      </c>
      <c r="AI15" s="14">
        <f>IF(OR(B15="",IF(AND(Habits!$C$4=YEAR(TODAY()),7=MONTH(TODAY())),DAY(TODAY()),IF(DATE(Habits!$C$4,7,1)&gt;TODAY(),0,DAY(EOMONTH(DATE(Habits!$C$4,7,1),0))))=0),"",MIN(1,(COUNTIF($C48:$AG48,"&gt;0"))/IF(AND(Habits!$C$4=YEAR(TODAY()),7=MONTH(TODAY())),DAY(TODAY()),IF(DATE(Habits!$C$4,7,1)&gt;TODAY(),0,DAY(EOMONTH(DATE(Habits!$C$4,7,1),0))))))</f>
        <v/>
      </c>
      <c r="AJ15" s="16">
        <f>IF(B15="","",IF(AND(Habits!$C$4=YEAR(TODAY()),7=MONTH(TODAY())),IF(INDEX($C48:$AG48,DAY(TODAY()))&gt;0,INDEX($C48:$AG48,DAY(TODAY())),IF(DAY(TODAY())=1,IFERROR(INDEX(Jun!$C$48:$AG$48,DAY(EOMONTH(DATE(Habits!$C$4,6,1),0))),0),INDEX($C48:$AG48,DAY(TODAY())-1))),IF(DATE(Habits!$C$4,7,1)&gt;TODAY(),"",INDEX($C48:$AG48,DAY(EOMONTH(DATE(Habits!$C$4,7,1),0))))))</f>
        <v/>
      </c>
      <c r="AK15" s="13">
        <f>IF(B15="","",MAX($C48:$AG48))</f>
        <v/>
      </c>
      <c r="AL15" s="1" t="n"/>
    </row>
    <row r="16">
      <c r="A16" s="1" t="n"/>
      <c r="B16" s="32">
        <f>IF(Habits!B17="","",Habits!B17)</f>
        <v/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13">
        <f>IF(B16="","",COUNTIF($C49:$AG49,"&gt;0"))</f>
        <v/>
      </c>
      <c r="AI16" s="14">
        <f>IF(OR(B16="",IF(AND(Habits!$C$4=YEAR(TODAY()),7=MONTH(TODAY())),DAY(TODAY()),IF(DATE(Habits!$C$4,7,1)&gt;TODAY(),0,DAY(EOMONTH(DATE(Habits!$C$4,7,1),0))))=0),"",MIN(1,(COUNTIF($C49:$AG49,"&gt;0"))/IF(AND(Habits!$C$4=YEAR(TODAY()),7=MONTH(TODAY())),DAY(TODAY()),IF(DATE(Habits!$C$4,7,1)&gt;TODAY(),0,DAY(EOMONTH(DATE(Habits!$C$4,7,1),0))))))</f>
        <v/>
      </c>
      <c r="AJ16" s="16">
        <f>IF(B16="","",IF(AND(Habits!$C$4=YEAR(TODAY()),7=MONTH(TODAY())),IF(INDEX($C49:$AG49,DAY(TODAY()))&gt;0,INDEX($C49:$AG49,DAY(TODAY())),IF(DAY(TODAY())=1,IFERROR(INDEX(Jun!$C$49:$AG$49,DAY(EOMONTH(DATE(Habits!$C$4,6,1),0))),0),INDEX($C49:$AG49,DAY(TODAY())-1))),IF(DATE(Habits!$C$4,7,1)&gt;TODAY(),"",INDEX($C49:$AG49,DAY(EOMONTH(DATE(Habits!$C$4,7,1),0))))))</f>
        <v/>
      </c>
      <c r="AK16" s="13">
        <f>IF(B16="","",MAX($C49:$AG49))</f>
        <v/>
      </c>
      <c r="AL16" s="1" t="n"/>
    </row>
    <row r="17">
      <c r="A17" s="1" t="n"/>
      <c r="B17" s="32">
        <f>IF(Habits!B18="","",Habits!B18)</f>
        <v/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13">
        <f>IF(B17="","",COUNTIF($C50:$AG50,"&gt;0"))</f>
        <v/>
      </c>
      <c r="AI17" s="14">
        <f>IF(OR(B17="",IF(AND(Habits!$C$4=YEAR(TODAY()),7=MONTH(TODAY())),DAY(TODAY()),IF(DATE(Habits!$C$4,7,1)&gt;TODAY(),0,DAY(EOMONTH(DATE(Habits!$C$4,7,1),0))))=0),"",MIN(1,(COUNTIF($C50:$AG50,"&gt;0"))/IF(AND(Habits!$C$4=YEAR(TODAY()),7=MONTH(TODAY())),DAY(TODAY()),IF(DATE(Habits!$C$4,7,1)&gt;TODAY(),0,DAY(EOMONTH(DATE(Habits!$C$4,7,1),0))))))</f>
        <v/>
      </c>
      <c r="AJ17" s="16">
        <f>IF(B17="","",IF(AND(Habits!$C$4=YEAR(TODAY()),7=MONTH(TODAY())),IF(INDEX($C50:$AG50,DAY(TODAY()))&gt;0,INDEX($C50:$AG50,DAY(TODAY())),IF(DAY(TODAY())=1,IFERROR(INDEX(Jun!$C$50:$AG$50,DAY(EOMONTH(DATE(Habits!$C$4,6,1),0))),0),INDEX($C50:$AG50,DAY(TODAY())-1))),IF(DATE(Habits!$C$4,7,1)&gt;TODAY(),"",INDEX($C50:$AG50,DAY(EOMONTH(DATE(Habits!$C$4,7,1),0))))))</f>
        <v/>
      </c>
      <c r="AK17" s="13">
        <f>IF(B17="","",MAX($C50:$AG50))</f>
        <v/>
      </c>
      <c r="AL17" s="1" t="n"/>
    </row>
    <row r="18">
      <c r="A18" s="1" t="n"/>
      <c r="B18" s="32">
        <f>IF(Habits!B19="","",Habits!B19)</f>
        <v/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13">
        <f>IF(B18="","",COUNTIF($C51:$AG51,"&gt;0"))</f>
        <v/>
      </c>
      <c r="AI18" s="14">
        <f>IF(OR(B18="",IF(AND(Habits!$C$4=YEAR(TODAY()),7=MONTH(TODAY())),DAY(TODAY()),IF(DATE(Habits!$C$4,7,1)&gt;TODAY(),0,DAY(EOMONTH(DATE(Habits!$C$4,7,1),0))))=0),"",MIN(1,(COUNTIF($C51:$AG51,"&gt;0"))/IF(AND(Habits!$C$4=YEAR(TODAY()),7=MONTH(TODAY())),DAY(TODAY()),IF(DATE(Habits!$C$4,7,1)&gt;TODAY(),0,DAY(EOMONTH(DATE(Habits!$C$4,7,1),0))))))</f>
        <v/>
      </c>
      <c r="AJ18" s="16">
        <f>IF(B18="","",IF(AND(Habits!$C$4=YEAR(TODAY()),7=MONTH(TODAY())),IF(INDEX($C51:$AG51,DAY(TODAY()))&gt;0,INDEX($C51:$AG51,DAY(TODAY())),IF(DAY(TODAY())=1,IFERROR(INDEX(Jun!$C$51:$AG$51,DAY(EOMONTH(DATE(Habits!$C$4,6,1),0))),0),INDEX($C51:$AG51,DAY(TODAY())-1))),IF(DATE(Habits!$C$4,7,1)&gt;TODAY(),"",INDEX($C51:$AG51,DAY(EOMONTH(DATE(Habits!$C$4,7,1),0))))))</f>
        <v/>
      </c>
      <c r="AK18" s="13">
        <f>IF(B18="","",MAX($C51:$AG51))</f>
        <v/>
      </c>
      <c r="AL18" s="1" t="n"/>
    </row>
    <row r="19">
      <c r="A19" s="1" t="n"/>
      <c r="B19" s="32">
        <f>IF(Habits!B20="","",Habits!B20)</f>
        <v/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13">
        <f>IF(B19="","",COUNTIF($C52:$AG52,"&gt;0"))</f>
        <v/>
      </c>
      <c r="AI19" s="14">
        <f>IF(OR(B19="",IF(AND(Habits!$C$4=YEAR(TODAY()),7=MONTH(TODAY())),DAY(TODAY()),IF(DATE(Habits!$C$4,7,1)&gt;TODAY(),0,DAY(EOMONTH(DATE(Habits!$C$4,7,1),0))))=0),"",MIN(1,(COUNTIF($C52:$AG52,"&gt;0"))/IF(AND(Habits!$C$4=YEAR(TODAY()),7=MONTH(TODAY())),DAY(TODAY()),IF(DATE(Habits!$C$4,7,1)&gt;TODAY(),0,DAY(EOMONTH(DATE(Habits!$C$4,7,1),0))))))</f>
        <v/>
      </c>
      <c r="AJ19" s="16">
        <f>IF(B19="","",IF(AND(Habits!$C$4=YEAR(TODAY()),7=MONTH(TODAY())),IF(INDEX($C52:$AG52,DAY(TODAY()))&gt;0,INDEX($C52:$AG52,DAY(TODAY())),IF(DAY(TODAY())=1,IFERROR(INDEX(Jun!$C$52:$AG$52,DAY(EOMONTH(DATE(Habits!$C$4,6,1),0))),0),INDEX($C52:$AG52,DAY(TODAY())-1))),IF(DATE(Habits!$C$4,7,1)&gt;TODAY(),"",INDEX($C52:$AG52,DAY(EOMONTH(DATE(Habits!$C$4,7,1),0))))))</f>
        <v/>
      </c>
      <c r="AK19" s="13">
        <f>IF(B19="","",MAX($C52:$AG52))</f>
        <v/>
      </c>
      <c r="AL19" s="1" t="n"/>
    </row>
    <row r="20">
      <c r="A20" s="1" t="n"/>
      <c r="B20" s="32">
        <f>IF(Habits!B21="","",Habits!B21)</f>
        <v/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13">
        <f>IF(B20="","",COUNTIF($C53:$AG53,"&gt;0"))</f>
        <v/>
      </c>
      <c r="AI20" s="14">
        <f>IF(OR(B20="",IF(AND(Habits!$C$4=YEAR(TODAY()),7=MONTH(TODAY())),DAY(TODAY()),IF(DATE(Habits!$C$4,7,1)&gt;TODAY(),0,DAY(EOMONTH(DATE(Habits!$C$4,7,1),0))))=0),"",MIN(1,(COUNTIF($C53:$AG53,"&gt;0"))/IF(AND(Habits!$C$4=YEAR(TODAY()),7=MONTH(TODAY())),DAY(TODAY()),IF(DATE(Habits!$C$4,7,1)&gt;TODAY(),0,DAY(EOMONTH(DATE(Habits!$C$4,7,1),0))))))</f>
        <v/>
      </c>
      <c r="AJ20" s="16">
        <f>IF(B20="","",IF(AND(Habits!$C$4=YEAR(TODAY()),7=MONTH(TODAY())),IF(INDEX($C53:$AG53,DAY(TODAY()))&gt;0,INDEX($C53:$AG53,DAY(TODAY())),IF(DAY(TODAY())=1,IFERROR(INDEX(Jun!$C$53:$AG$53,DAY(EOMONTH(DATE(Habits!$C$4,6,1),0))),0),INDEX($C53:$AG53,DAY(TODAY())-1))),IF(DATE(Habits!$C$4,7,1)&gt;TODAY(),"",INDEX($C53:$AG53,DAY(EOMONTH(DATE(Habits!$C$4,7,1),0))))))</f>
        <v/>
      </c>
      <c r="AK20" s="13">
        <f>IF(B20="","",MAX($C53:$AG53))</f>
        <v/>
      </c>
      <c r="AL20" s="1" t="n"/>
    </row>
    <row r="21">
      <c r="A21" s="1" t="n"/>
      <c r="B21" s="32">
        <f>IF(Habits!B22="","",Habits!B22)</f>
        <v/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13">
        <f>IF(B21="","",COUNTIF($C54:$AG54,"&gt;0"))</f>
        <v/>
      </c>
      <c r="AI21" s="14">
        <f>IF(OR(B21="",IF(AND(Habits!$C$4=YEAR(TODAY()),7=MONTH(TODAY())),DAY(TODAY()),IF(DATE(Habits!$C$4,7,1)&gt;TODAY(),0,DAY(EOMONTH(DATE(Habits!$C$4,7,1),0))))=0),"",MIN(1,(COUNTIF($C54:$AG54,"&gt;0"))/IF(AND(Habits!$C$4=YEAR(TODAY()),7=MONTH(TODAY())),DAY(TODAY()),IF(DATE(Habits!$C$4,7,1)&gt;TODAY(),0,DAY(EOMONTH(DATE(Habits!$C$4,7,1),0))))))</f>
        <v/>
      </c>
      <c r="AJ21" s="16">
        <f>IF(B21="","",IF(AND(Habits!$C$4=YEAR(TODAY()),7=MONTH(TODAY())),IF(INDEX($C54:$AG54,DAY(TODAY()))&gt;0,INDEX($C54:$AG54,DAY(TODAY())),IF(DAY(TODAY())=1,IFERROR(INDEX(Jun!$C$54:$AG$54,DAY(EOMONTH(DATE(Habits!$C$4,6,1),0))),0),INDEX($C54:$AG54,DAY(TODAY())-1))),IF(DATE(Habits!$C$4,7,1)&gt;TODAY(),"",INDEX($C54:$AG54,DAY(EOMONTH(DATE(Habits!$C$4,7,1),0))))))</f>
        <v/>
      </c>
      <c r="AK21" s="13">
        <f>IF(B21="","",MAX($C54:$AG54))</f>
        <v/>
      </c>
      <c r="A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>
      <c r="A23" s="1" t="n"/>
      <c r="B23" s="12" t="inlineStr">
        <is>
          <t>Mood (1 to 5)</t>
        </is>
      </c>
      <c r="C23" s="34" t="n">
        <v>4</v>
      </c>
      <c r="D23" s="34" t="n">
        <v>5</v>
      </c>
      <c r="E23" s="34" t="n">
        <v>4</v>
      </c>
      <c r="F23" s="34" t="n">
        <v>2</v>
      </c>
      <c r="G23" s="34" t="n">
        <v>4</v>
      </c>
      <c r="H23" s="34" t="n">
        <v>5</v>
      </c>
      <c r="I23" s="34" t="n">
        <v>4</v>
      </c>
      <c r="J23" s="34" t="n">
        <v>4</v>
      </c>
      <c r="K23" s="34" t="n">
        <v>4</v>
      </c>
      <c r="L23" s="34" t="n">
        <v>4</v>
      </c>
      <c r="M23" s="34" t="n">
        <v>5</v>
      </c>
      <c r="N23" s="34" t="n">
        <v>4</v>
      </c>
      <c r="O23" s="34" t="n">
        <v>3</v>
      </c>
      <c r="P23" s="34" t="n">
        <v>3</v>
      </c>
      <c r="Q23" s="34" t="n">
        <v>4</v>
      </c>
      <c r="R23" s="34" t="n">
        <v>3</v>
      </c>
      <c r="S23" s="34" t="n">
        <v>3</v>
      </c>
      <c r="T23" s="34" t="n">
        <v>2</v>
      </c>
      <c r="U23" s="34" t="n">
        <v>4</v>
      </c>
      <c r="V23" s="34" t="n">
        <v>5</v>
      </c>
      <c r="W23" s="34" t="n">
        <v>2</v>
      </c>
      <c r="X23" s="34" t="n">
        <v>4</v>
      </c>
      <c r="Y23" s="34" t="n">
        <v>4</v>
      </c>
      <c r="Z23" s="34" t="n">
        <v>5</v>
      </c>
      <c r="AA23" s="34" t="n">
        <v>5</v>
      </c>
      <c r="AB23" s="34" t="n">
        <v>4</v>
      </c>
      <c r="AC23" s="34" t="n">
        <v>4</v>
      </c>
      <c r="AD23" s="34" t="n">
        <v>5</v>
      </c>
      <c r="AE23" s="34" t="n">
        <v>3</v>
      </c>
      <c r="AF23" s="34" t="n">
        <v>5</v>
      </c>
      <c r="AG23" s="34" t="n">
        <v>4</v>
      </c>
      <c r="AH23" s="35">
        <f>IFERROR(AVERAGE(C23:AG23),"")</f>
        <v/>
      </c>
      <c r="AI23" s="11" t="n"/>
      <c r="AJ23" s="36" t="inlineStr">
        <is>
          <t>average</t>
        </is>
      </c>
      <c r="AK23" s="1" t="n"/>
      <c r="AL23" s="1" t="n"/>
    </row>
    <row r="24">
      <c r="A24" s="1" t="n"/>
      <c r="B24" s="12" t="inlineStr">
        <is>
          <t>Sleep (hours)</t>
        </is>
      </c>
      <c r="C24" s="34" t="n">
        <v>8.5</v>
      </c>
      <c r="D24" s="34" t="n">
        <v>8</v>
      </c>
      <c r="E24" s="34" t="n">
        <v>7.5</v>
      </c>
      <c r="F24" s="34" t="n">
        <v>7</v>
      </c>
      <c r="G24" s="34" t="n">
        <v>7</v>
      </c>
      <c r="H24" s="34" t="n">
        <v>8</v>
      </c>
      <c r="I24" s="34" t="n">
        <v>7.5</v>
      </c>
      <c r="J24" s="34" t="n">
        <v>8.5</v>
      </c>
      <c r="K24" s="34" t="n">
        <v>7.5</v>
      </c>
      <c r="L24" s="34" t="n">
        <v>6.5</v>
      </c>
      <c r="M24" s="34" t="n">
        <v>8</v>
      </c>
      <c r="N24" s="34" t="n">
        <v>6.5</v>
      </c>
      <c r="O24" s="34" t="n">
        <v>6</v>
      </c>
      <c r="P24" s="34" t="n">
        <v>8.5</v>
      </c>
      <c r="Q24" s="34" t="n">
        <v>7.5</v>
      </c>
      <c r="R24" s="34" t="n">
        <v>7</v>
      </c>
      <c r="S24" s="34" t="n">
        <v>6.5</v>
      </c>
      <c r="T24" s="34" t="n">
        <v>8</v>
      </c>
      <c r="U24" s="34" t="n">
        <v>6.5</v>
      </c>
      <c r="V24" s="34" t="n">
        <v>8.5</v>
      </c>
      <c r="W24" s="34" t="n">
        <v>7</v>
      </c>
      <c r="X24" s="34" t="n">
        <v>6</v>
      </c>
      <c r="Y24" s="34" t="n">
        <v>7</v>
      </c>
      <c r="Z24" s="34" t="n">
        <v>7.5</v>
      </c>
      <c r="AA24" s="34" t="n">
        <v>7</v>
      </c>
      <c r="AB24" s="34" t="n">
        <v>8</v>
      </c>
      <c r="AC24" s="34" t="n">
        <v>7.5</v>
      </c>
      <c r="AD24" s="34" t="n">
        <v>8.5</v>
      </c>
      <c r="AE24" s="34" t="n">
        <v>7.5</v>
      </c>
      <c r="AF24" s="34" t="n">
        <v>6</v>
      </c>
      <c r="AG24" s="34" t="n">
        <v>7.5</v>
      </c>
      <c r="AH24" s="35">
        <f>IFERROR(AVERAGE(C24:AG24),"")</f>
        <v/>
      </c>
      <c r="AI24" s="11" t="n"/>
      <c r="AJ24" s="36" t="inlineStr">
        <is>
          <t>average</t>
        </is>
      </c>
      <c r="AK24" s="1" t="n"/>
      <c r="A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idden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idden="1">
      <c r="A40" s="1" t="n"/>
      <c r="B40" s="1">
        <f>B7</f>
        <v/>
      </c>
      <c r="C40" s="1">
        <f>IF(C$5="",0,IF(OR(C7=TRUE,ISTEXT(C7)),IFERROR(INDEX(Jun!$C$40:$AG$40,DAY(EOMONTH(DATE(Habits!$C$4,6,1),0))),0)+1,0))</f>
        <v/>
      </c>
      <c r="D40" s="1">
        <f>IF(D$5="",0,IF(OR(D7=TRUE,ISTEXT(D7)),C40+1,0))</f>
        <v/>
      </c>
      <c r="E40" s="1">
        <f>IF(E$5="",0,IF(OR(E7=TRUE,ISTEXT(E7)),D40+1,0))</f>
        <v/>
      </c>
      <c r="F40" s="1">
        <f>IF(F$5="",0,IF(OR(F7=TRUE,ISTEXT(F7)),E40+1,0))</f>
        <v/>
      </c>
      <c r="G40" s="1">
        <f>IF(G$5="",0,IF(OR(G7=TRUE,ISTEXT(G7)),F40+1,0))</f>
        <v/>
      </c>
      <c r="H40" s="1">
        <f>IF(H$5="",0,IF(OR(H7=TRUE,ISTEXT(H7)),G40+1,0))</f>
        <v/>
      </c>
      <c r="I40" s="1">
        <f>IF(I$5="",0,IF(OR(I7=TRUE,ISTEXT(I7)),H40+1,0))</f>
        <v/>
      </c>
      <c r="J40" s="1">
        <f>IF(J$5="",0,IF(OR(J7=TRUE,ISTEXT(J7)),I40+1,0))</f>
        <v/>
      </c>
      <c r="K40" s="1">
        <f>IF(K$5="",0,IF(OR(K7=TRUE,ISTEXT(K7)),J40+1,0))</f>
        <v/>
      </c>
      <c r="L40" s="1">
        <f>IF(L$5="",0,IF(OR(L7=TRUE,ISTEXT(L7)),K40+1,0))</f>
        <v/>
      </c>
      <c r="M40" s="1">
        <f>IF(M$5="",0,IF(OR(M7=TRUE,ISTEXT(M7)),L40+1,0))</f>
        <v/>
      </c>
      <c r="N40" s="1">
        <f>IF(N$5="",0,IF(OR(N7=TRUE,ISTEXT(N7)),M40+1,0))</f>
        <v/>
      </c>
      <c r="O40" s="1">
        <f>IF(O$5="",0,IF(OR(O7=TRUE,ISTEXT(O7)),N40+1,0))</f>
        <v/>
      </c>
      <c r="P40" s="1">
        <f>IF(P$5="",0,IF(OR(P7=TRUE,ISTEXT(P7)),O40+1,0))</f>
        <v/>
      </c>
      <c r="Q40" s="1">
        <f>IF(Q$5="",0,IF(OR(Q7=TRUE,ISTEXT(Q7)),P40+1,0))</f>
        <v/>
      </c>
      <c r="R40" s="1">
        <f>IF(R$5="",0,IF(OR(R7=TRUE,ISTEXT(R7)),Q40+1,0))</f>
        <v/>
      </c>
      <c r="S40" s="1">
        <f>IF(S$5="",0,IF(OR(S7=TRUE,ISTEXT(S7)),R40+1,0))</f>
        <v/>
      </c>
      <c r="T40" s="1">
        <f>IF(T$5="",0,IF(OR(T7=TRUE,ISTEXT(T7)),S40+1,0))</f>
        <v/>
      </c>
      <c r="U40" s="1">
        <f>IF(U$5="",0,IF(OR(U7=TRUE,ISTEXT(U7)),T40+1,0))</f>
        <v/>
      </c>
      <c r="V40" s="1">
        <f>IF(V$5="",0,IF(OR(V7=TRUE,ISTEXT(V7)),U40+1,0))</f>
        <v/>
      </c>
      <c r="W40" s="1">
        <f>IF(W$5="",0,IF(OR(W7=TRUE,ISTEXT(W7)),V40+1,0))</f>
        <v/>
      </c>
      <c r="X40" s="1">
        <f>IF(X$5="",0,IF(OR(X7=TRUE,ISTEXT(X7)),W40+1,0))</f>
        <v/>
      </c>
      <c r="Y40" s="1">
        <f>IF(Y$5="",0,IF(OR(Y7=TRUE,ISTEXT(Y7)),X40+1,0))</f>
        <v/>
      </c>
      <c r="Z40" s="1">
        <f>IF(Z$5="",0,IF(OR(Z7=TRUE,ISTEXT(Z7)),Y40+1,0))</f>
        <v/>
      </c>
      <c r="AA40" s="1">
        <f>IF(AA$5="",0,IF(OR(AA7=TRUE,ISTEXT(AA7)),Z40+1,0))</f>
        <v/>
      </c>
      <c r="AB40" s="1">
        <f>IF(AB$5="",0,IF(OR(AB7=TRUE,ISTEXT(AB7)),AA40+1,0))</f>
        <v/>
      </c>
      <c r="AC40" s="1">
        <f>IF(AC$5="",0,IF(OR(AC7=TRUE,ISTEXT(AC7)),AB40+1,0))</f>
        <v/>
      </c>
      <c r="AD40" s="1">
        <f>IF(AD$5="",0,IF(OR(AD7=TRUE,ISTEXT(AD7)),AC40+1,0))</f>
        <v/>
      </c>
      <c r="AE40" s="1">
        <f>IF(AE$5="",0,IF(OR(AE7=TRUE,ISTEXT(AE7)),AD40+1,0))</f>
        <v/>
      </c>
      <c r="AF40" s="1">
        <f>IF(AF$5="",0,IF(OR(AF7=TRUE,ISTEXT(AF7)),AE40+1,0))</f>
        <v/>
      </c>
      <c r="AG40" s="1">
        <f>IF(AG$5="",0,IF(OR(AG7=TRUE,ISTEXT(AG7)),AF40+1,0))</f>
        <v/>
      </c>
      <c r="AH40" s="1" t="n"/>
      <c r="AI40" s="1" t="n"/>
      <c r="AJ40" s="1" t="n"/>
      <c r="AK40" s="1" t="n"/>
      <c r="AL40" s="1" t="n"/>
    </row>
    <row r="41" hidden="1">
      <c r="A41" s="1" t="n"/>
      <c r="B41" s="1">
        <f>B8</f>
        <v/>
      </c>
      <c r="C41" s="1">
        <f>IF(C$5="",0,IF(OR(C8=TRUE,ISTEXT(C8)),IFERROR(INDEX(Jun!$C$41:$AG$41,DAY(EOMONTH(DATE(Habits!$C$4,6,1),0))),0)+1,0))</f>
        <v/>
      </c>
      <c r="D41" s="1">
        <f>IF(D$5="",0,IF(OR(D8=TRUE,ISTEXT(D8)),C41+1,0))</f>
        <v/>
      </c>
      <c r="E41" s="1">
        <f>IF(E$5="",0,IF(OR(E8=TRUE,ISTEXT(E8)),D41+1,0))</f>
        <v/>
      </c>
      <c r="F41" s="1">
        <f>IF(F$5="",0,IF(OR(F8=TRUE,ISTEXT(F8)),E41+1,0))</f>
        <v/>
      </c>
      <c r="G41" s="1">
        <f>IF(G$5="",0,IF(OR(G8=TRUE,ISTEXT(G8)),F41+1,0))</f>
        <v/>
      </c>
      <c r="H41" s="1">
        <f>IF(H$5="",0,IF(OR(H8=TRUE,ISTEXT(H8)),G41+1,0))</f>
        <v/>
      </c>
      <c r="I41" s="1">
        <f>IF(I$5="",0,IF(OR(I8=TRUE,ISTEXT(I8)),H41+1,0))</f>
        <v/>
      </c>
      <c r="J41" s="1">
        <f>IF(J$5="",0,IF(OR(J8=TRUE,ISTEXT(J8)),I41+1,0))</f>
        <v/>
      </c>
      <c r="K41" s="1">
        <f>IF(K$5="",0,IF(OR(K8=TRUE,ISTEXT(K8)),J41+1,0))</f>
        <v/>
      </c>
      <c r="L41" s="1">
        <f>IF(L$5="",0,IF(OR(L8=TRUE,ISTEXT(L8)),K41+1,0))</f>
        <v/>
      </c>
      <c r="M41" s="1">
        <f>IF(M$5="",0,IF(OR(M8=TRUE,ISTEXT(M8)),L41+1,0))</f>
        <v/>
      </c>
      <c r="N41" s="1">
        <f>IF(N$5="",0,IF(OR(N8=TRUE,ISTEXT(N8)),M41+1,0))</f>
        <v/>
      </c>
      <c r="O41" s="1">
        <f>IF(O$5="",0,IF(OR(O8=TRUE,ISTEXT(O8)),N41+1,0))</f>
        <v/>
      </c>
      <c r="P41" s="1">
        <f>IF(P$5="",0,IF(OR(P8=TRUE,ISTEXT(P8)),O41+1,0))</f>
        <v/>
      </c>
      <c r="Q41" s="1">
        <f>IF(Q$5="",0,IF(OR(Q8=TRUE,ISTEXT(Q8)),P41+1,0))</f>
        <v/>
      </c>
      <c r="R41" s="1">
        <f>IF(R$5="",0,IF(OR(R8=TRUE,ISTEXT(R8)),Q41+1,0))</f>
        <v/>
      </c>
      <c r="S41" s="1">
        <f>IF(S$5="",0,IF(OR(S8=TRUE,ISTEXT(S8)),R41+1,0))</f>
        <v/>
      </c>
      <c r="T41" s="1">
        <f>IF(T$5="",0,IF(OR(T8=TRUE,ISTEXT(T8)),S41+1,0))</f>
        <v/>
      </c>
      <c r="U41" s="1">
        <f>IF(U$5="",0,IF(OR(U8=TRUE,ISTEXT(U8)),T41+1,0))</f>
        <v/>
      </c>
      <c r="V41" s="1">
        <f>IF(V$5="",0,IF(OR(V8=TRUE,ISTEXT(V8)),U41+1,0))</f>
        <v/>
      </c>
      <c r="W41" s="1">
        <f>IF(W$5="",0,IF(OR(W8=TRUE,ISTEXT(W8)),V41+1,0))</f>
        <v/>
      </c>
      <c r="X41" s="1">
        <f>IF(X$5="",0,IF(OR(X8=TRUE,ISTEXT(X8)),W41+1,0))</f>
        <v/>
      </c>
      <c r="Y41" s="1">
        <f>IF(Y$5="",0,IF(OR(Y8=TRUE,ISTEXT(Y8)),X41+1,0))</f>
        <v/>
      </c>
      <c r="Z41" s="1">
        <f>IF(Z$5="",0,IF(OR(Z8=TRUE,ISTEXT(Z8)),Y41+1,0))</f>
        <v/>
      </c>
      <c r="AA41" s="1">
        <f>IF(AA$5="",0,IF(OR(AA8=TRUE,ISTEXT(AA8)),Z41+1,0))</f>
        <v/>
      </c>
      <c r="AB41" s="1">
        <f>IF(AB$5="",0,IF(OR(AB8=TRUE,ISTEXT(AB8)),AA41+1,0))</f>
        <v/>
      </c>
      <c r="AC41" s="1">
        <f>IF(AC$5="",0,IF(OR(AC8=TRUE,ISTEXT(AC8)),AB41+1,0))</f>
        <v/>
      </c>
      <c r="AD41" s="1">
        <f>IF(AD$5="",0,IF(OR(AD8=TRUE,ISTEXT(AD8)),AC41+1,0))</f>
        <v/>
      </c>
      <c r="AE41" s="1">
        <f>IF(AE$5="",0,IF(OR(AE8=TRUE,ISTEXT(AE8)),AD41+1,0))</f>
        <v/>
      </c>
      <c r="AF41" s="1">
        <f>IF(AF$5="",0,IF(OR(AF8=TRUE,ISTEXT(AF8)),AE41+1,0))</f>
        <v/>
      </c>
      <c r="AG41" s="1">
        <f>IF(AG$5="",0,IF(OR(AG8=TRUE,ISTEXT(AG8)),AF41+1,0))</f>
        <v/>
      </c>
      <c r="AH41" s="1" t="n"/>
      <c r="AI41" s="1" t="n"/>
      <c r="AJ41" s="1" t="n"/>
      <c r="AK41" s="1" t="n"/>
      <c r="AL41" s="1" t="n"/>
    </row>
    <row r="42" hidden="1">
      <c r="A42" s="1" t="n"/>
      <c r="B42" s="1">
        <f>B9</f>
        <v/>
      </c>
      <c r="C42" s="1">
        <f>IF(C$5="",0,IF(OR(C9=TRUE,ISTEXT(C9)),IFERROR(INDEX(Jun!$C$42:$AG$42,DAY(EOMONTH(DATE(Habits!$C$4,6,1),0))),0)+1,0))</f>
        <v/>
      </c>
      <c r="D42" s="1">
        <f>IF(D$5="",0,IF(OR(D9=TRUE,ISTEXT(D9)),C42+1,0))</f>
        <v/>
      </c>
      <c r="E42" s="1">
        <f>IF(E$5="",0,IF(OR(E9=TRUE,ISTEXT(E9)),D42+1,0))</f>
        <v/>
      </c>
      <c r="F42" s="1">
        <f>IF(F$5="",0,IF(OR(F9=TRUE,ISTEXT(F9)),E42+1,0))</f>
        <v/>
      </c>
      <c r="G42" s="1">
        <f>IF(G$5="",0,IF(OR(G9=TRUE,ISTEXT(G9)),F42+1,0))</f>
        <v/>
      </c>
      <c r="H42" s="1">
        <f>IF(H$5="",0,IF(OR(H9=TRUE,ISTEXT(H9)),G42+1,0))</f>
        <v/>
      </c>
      <c r="I42" s="1">
        <f>IF(I$5="",0,IF(OR(I9=TRUE,ISTEXT(I9)),H42+1,0))</f>
        <v/>
      </c>
      <c r="J42" s="1">
        <f>IF(J$5="",0,IF(OR(J9=TRUE,ISTEXT(J9)),I42+1,0))</f>
        <v/>
      </c>
      <c r="K42" s="1">
        <f>IF(K$5="",0,IF(OR(K9=TRUE,ISTEXT(K9)),J42+1,0))</f>
        <v/>
      </c>
      <c r="L42" s="1">
        <f>IF(L$5="",0,IF(OR(L9=TRUE,ISTEXT(L9)),K42+1,0))</f>
        <v/>
      </c>
      <c r="M42" s="1">
        <f>IF(M$5="",0,IF(OR(M9=TRUE,ISTEXT(M9)),L42+1,0))</f>
        <v/>
      </c>
      <c r="N42" s="1">
        <f>IF(N$5="",0,IF(OR(N9=TRUE,ISTEXT(N9)),M42+1,0))</f>
        <v/>
      </c>
      <c r="O42" s="1">
        <f>IF(O$5="",0,IF(OR(O9=TRUE,ISTEXT(O9)),N42+1,0))</f>
        <v/>
      </c>
      <c r="P42" s="1">
        <f>IF(P$5="",0,IF(OR(P9=TRUE,ISTEXT(P9)),O42+1,0))</f>
        <v/>
      </c>
      <c r="Q42" s="1">
        <f>IF(Q$5="",0,IF(OR(Q9=TRUE,ISTEXT(Q9)),P42+1,0))</f>
        <v/>
      </c>
      <c r="R42" s="1">
        <f>IF(R$5="",0,IF(OR(R9=TRUE,ISTEXT(R9)),Q42+1,0))</f>
        <v/>
      </c>
      <c r="S42" s="1">
        <f>IF(S$5="",0,IF(OR(S9=TRUE,ISTEXT(S9)),R42+1,0))</f>
        <v/>
      </c>
      <c r="T42" s="1">
        <f>IF(T$5="",0,IF(OR(T9=TRUE,ISTEXT(T9)),S42+1,0))</f>
        <v/>
      </c>
      <c r="U42" s="1">
        <f>IF(U$5="",0,IF(OR(U9=TRUE,ISTEXT(U9)),T42+1,0))</f>
        <v/>
      </c>
      <c r="V42" s="1">
        <f>IF(V$5="",0,IF(OR(V9=TRUE,ISTEXT(V9)),U42+1,0))</f>
        <v/>
      </c>
      <c r="W42" s="1">
        <f>IF(W$5="",0,IF(OR(W9=TRUE,ISTEXT(W9)),V42+1,0))</f>
        <v/>
      </c>
      <c r="X42" s="1">
        <f>IF(X$5="",0,IF(OR(X9=TRUE,ISTEXT(X9)),W42+1,0))</f>
        <v/>
      </c>
      <c r="Y42" s="1">
        <f>IF(Y$5="",0,IF(OR(Y9=TRUE,ISTEXT(Y9)),X42+1,0))</f>
        <v/>
      </c>
      <c r="Z42" s="1">
        <f>IF(Z$5="",0,IF(OR(Z9=TRUE,ISTEXT(Z9)),Y42+1,0))</f>
        <v/>
      </c>
      <c r="AA42" s="1">
        <f>IF(AA$5="",0,IF(OR(AA9=TRUE,ISTEXT(AA9)),Z42+1,0))</f>
        <v/>
      </c>
      <c r="AB42" s="1">
        <f>IF(AB$5="",0,IF(OR(AB9=TRUE,ISTEXT(AB9)),AA42+1,0))</f>
        <v/>
      </c>
      <c r="AC42" s="1">
        <f>IF(AC$5="",0,IF(OR(AC9=TRUE,ISTEXT(AC9)),AB42+1,0))</f>
        <v/>
      </c>
      <c r="AD42" s="1">
        <f>IF(AD$5="",0,IF(OR(AD9=TRUE,ISTEXT(AD9)),AC42+1,0))</f>
        <v/>
      </c>
      <c r="AE42" s="1">
        <f>IF(AE$5="",0,IF(OR(AE9=TRUE,ISTEXT(AE9)),AD42+1,0))</f>
        <v/>
      </c>
      <c r="AF42" s="1">
        <f>IF(AF$5="",0,IF(OR(AF9=TRUE,ISTEXT(AF9)),AE42+1,0))</f>
        <v/>
      </c>
      <c r="AG42" s="1">
        <f>IF(AG$5="",0,IF(OR(AG9=TRUE,ISTEXT(AG9)),AF42+1,0))</f>
        <v/>
      </c>
      <c r="AH42" s="1" t="n"/>
      <c r="AI42" s="1" t="n"/>
      <c r="AJ42" s="1" t="n"/>
      <c r="AK42" s="1" t="n"/>
      <c r="AL42" s="1" t="n"/>
    </row>
    <row r="43" hidden="1">
      <c r="A43" s="1" t="n"/>
      <c r="B43" s="1">
        <f>B10</f>
        <v/>
      </c>
      <c r="C43" s="1">
        <f>IF(C$5="",0,IF(OR(C10=TRUE,ISTEXT(C10)),IFERROR(INDEX(Jun!$C$43:$AG$43,DAY(EOMONTH(DATE(Habits!$C$4,6,1),0))),0)+1,0))</f>
        <v/>
      </c>
      <c r="D43" s="1">
        <f>IF(D$5="",0,IF(OR(D10=TRUE,ISTEXT(D10)),C43+1,0))</f>
        <v/>
      </c>
      <c r="E43" s="1">
        <f>IF(E$5="",0,IF(OR(E10=TRUE,ISTEXT(E10)),D43+1,0))</f>
        <v/>
      </c>
      <c r="F43" s="1">
        <f>IF(F$5="",0,IF(OR(F10=TRUE,ISTEXT(F10)),E43+1,0))</f>
        <v/>
      </c>
      <c r="G43" s="1">
        <f>IF(G$5="",0,IF(OR(G10=TRUE,ISTEXT(G10)),F43+1,0))</f>
        <v/>
      </c>
      <c r="H43" s="1">
        <f>IF(H$5="",0,IF(OR(H10=TRUE,ISTEXT(H10)),G43+1,0))</f>
        <v/>
      </c>
      <c r="I43" s="1">
        <f>IF(I$5="",0,IF(OR(I10=TRUE,ISTEXT(I10)),H43+1,0))</f>
        <v/>
      </c>
      <c r="J43" s="1">
        <f>IF(J$5="",0,IF(OR(J10=TRUE,ISTEXT(J10)),I43+1,0))</f>
        <v/>
      </c>
      <c r="K43" s="1">
        <f>IF(K$5="",0,IF(OR(K10=TRUE,ISTEXT(K10)),J43+1,0))</f>
        <v/>
      </c>
      <c r="L43" s="1">
        <f>IF(L$5="",0,IF(OR(L10=TRUE,ISTEXT(L10)),K43+1,0))</f>
        <v/>
      </c>
      <c r="M43" s="1">
        <f>IF(M$5="",0,IF(OR(M10=TRUE,ISTEXT(M10)),L43+1,0))</f>
        <v/>
      </c>
      <c r="N43" s="1">
        <f>IF(N$5="",0,IF(OR(N10=TRUE,ISTEXT(N10)),M43+1,0))</f>
        <v/>
      </c>
      <c r="O43" s="1">
        <f>IF(O$5="",0,IF(OR(O10=TRUE,ISTEXT(O10)),N43+1,0))</f>
        <v/>
      </c>
      <c r="P43" s="1">
        <f>IF(P$5="",0,IF(OR(P10=TRUE,ISTEXT(P10)),O43+1,0))</f>
        <v/>
      </c>
      <c r="Q43" s="1">
        <f>IF(Q$5="",0,IF(OR(Q10=TRUE,ISTEXT(Q10)),P43+1,0))</f>
        <v/>
      </c>
      <c r="R43" s="1">
        <f>IF(R$5="",0,IF(OR(R10=TRUE,ISTEXT(R10)),Q43+1,0))</f>
        <v/>
      </c>
      <c r="S43" s="1">
        <f>IF(S$5="",0,IF(OR(S10=TRUE,ISTEXT(S10)),R43+1,0))</f>
        <v/>
      </c>
      <c r="T43" s="1">
        <f>IF(T$5="",0,IF(OR(T10=TRUE,ISTEXT(T10)),S43+1,0))</f>
        <v/>
      </c>
      <c r="U43" s="1">
        <f>IF(U$5="",0,IF(OR(U10=TRUE,ISTEXT(U10)),T43+1,0))</f>
        <v/>
      </c>
      <c r="V43" s="1">
        <f>IF(V$5="",0,IF(OR(V10=TRUE,ISTEXT(V10)),U43+1,0))</f>
        <v/>
      </c>
      <c r="W43" s="1">
        <f>IF(W$5="",0,IF(OR(W10=TRUE,ISTEXT(W10)),V43+1,0))</f>
        <v/>
      </c>
      <c r="X43" s="1">
        <f>IF(X$5="",0,IF(OR(X10=TRUE,ISTEXT(X10)),W43+1,0))</f>
        <v/>
      </c>
      <c r="Y43" s="1">
        <f>IF(Y$5="",0,IF(OR(Y10=TRUE,ISTEXT(Y10)),X43+1,0))</f>
        <v/>
      </c>
      <c r="Z43" s="1">
        <f>IF(Z$5="",0,IF(OR(Z10=TRUE,ISTEXT(Z10)),Y43+1,0))</f>
        <v/>
      </c>
      <c r="AA43" s="1">
        <f>IF(AA$5="",0,IF(OR(AA10=TRUE,ISTEXT(AA10)),Z43+1,0))</f>
        <v/>
      </c>
      <c r="AB43" s="1">
        <f>IF(AB$5="",0,IF(OR(AB10=TRUE,ISTEXT(AB10)),AA43+1,0))</f>
        <v/>
      </c>
      <c r="AC43" s="1">
        <f>IF(AC$5="",0,IF(OR(AC10=TRUE,ISTEXT(AC10)),AB43+1,0))</f>
        <v/>
      </c>
      <c r="AD43" s="1">
        <f>IF(AD$5="",0,IF(OR(AD10=TRUE,ISTEXT(AD10)),AC43+1,0))</f>
        <v/>
      </c>
      <c r="AE43" s="1">
        <f>IF(AE$5="",0,IF(OR(AE10=TRUE,ISTEXT(AE10)),AD43+1,0))</f>
        <v/>
      </c>
      <c r="AF43" s="1">
        <f>IF(AF$5="",0,IF(OR(AF10=TRUE,ISTEXT(AF10)),AE43+1,0))</f>
        <v/>
      </c>
      <c r="AG43" s="1">
        <f>IF(AG$5="",0,IF(OR(AG10=TRUE,ISTEXT(AG10)),AF43+1,0))</f>
        <v/>
      </c>
      <c r="AH43" s="1" t="n"/>
      <c r="AI43" s="1" t="n"/>
      <c r="AJ43" s="1" t="n"/>
      <c r="AK43" s="1" t="n"/>
      <c r="AL43" s="1" t="n"/>
    </row>
    <row r="44" hidden="1">
      <c r="A44" s="1" t="n"/>
      <c r="B44" s="1">
        <f>B11</f>
        <v/>
      </c>
      <c r="C44" s="1">
        <f>IF(C$5="",0,IF(OR(C11=TRUE,ISTEXT(C11)),IFERROR(INDEX(Jun!$C$44:$AG$44,DAY(EOMONTH(DATE(Habits!$C$4,6,1),0))),0)+1,0))</f>
        <v/>
      </c>
      <c r="D44" s="1">
        <f>IF(D$5="",0,IF(OR(D11=TRUE,ISTEXT(D11)),C44+1,0))</f>
        <v/>
      </c>
      <c r="E44" s="1">
        <f>IF(E$5="",0,IF(OR(E11=TRUE,ISTEXT(E11)),D44+1,0))</f>
        <v/>
      </c>
      <c r="F44" s="1">
        <f>IF(F$5="",0,IF(OR(F11=TRUE,ISTEXT(F11)),E44+1,0))</f>
        <v/>
      </c>
      <c r="G44" s="1">
        <f>IF(G$5="",0,IF(OR(G11=TRUE,ISTEXT(G11)),F44+1,0))</f>
        <v/>
      </c>
      <c r="H44" s="1">
        <f>IF(H$5="",0,IF(OR(H11=TRUE,ISTEXT(H11)),G44+1,0))</f>
        <v/>
      </c>
      <c r="I44" s="1">
        <f>IF(I$5="",0,IF(OR(I11=TRUE,ISTEXT(I11)),H44+1,0))</f>
        <v/>
      </c>
      <c r="J44" s="1">
        <f>IF(J$5="",0,IF(OR(J11=TRUE,ISTEXT(J11)),I44+1,0))</f>
        <v/>
      </c>
      <c r="K44" s="1">
        <f>IF(K$5="",0,IF(OR(K11=TRUE,ISTEXT(K11)),J44+1,0))</f>
        <v/>
      </c>
      <c r="L44" s="1">
        <f>IF(L$5="",0,IF(OR(L11=TRUE,ISTEXT(L11)),K44+1,0))</f>
        <v/>
      </c>
      <c r="M44" s="1">
        <f>IF(M$5="",0,IF(OR(M11=TRUE,ISTEXT(M11)),L44+1,0))</f>
        <v/>
      </c>
      <c r="N44" s="1">
        <f>IF(N$5="",0,IF(OR(N11=TRUE,ISTEXT(N11)),M44+1,0))</f>
        <v/>
      </c>
      <c r="O44" s="1">
        <f>IF(O$5="",0,IF(OR(O11=TRUE,ISTEXT(O11)),N44+1,0))</f>
        <v/>
      </c>
      <c r="P44" s="1">
        <f>IF(P$5="",0,IF(OR(P11=TRUE,ISTEXT(P11)),O44+1,0))</f>
        <v/>
      </c>
      <c r="Q44" s="1">
        <f>IF(Q$5="",0,IF(OR(Q11=TRUE,ISTEXT(Q11)),P44+1,0))</f>
        <v/>
      </c>
      <c r="R44" s="1">
        <f>IF(R$5="",0,IF(OR(R11=TRUE,ISTEXT(R11)),Q44+1,0))</f>
        <v/>
      </c>
      <c r="S44" s="1">
        <f>IF(S$5="",0,IF(OR(S11=TRUE,ISTEXT(S11)),R44+1,0))</f>
        <v/>
      </c>
      <c r="T44" s="1">
        <f>IF(T$5="",0,IF(OR(T11=TRUE,ISTEXT(T11)),S44+1,0))</f>
        <v/>
      </c>
      <c r="U44" s="1">
        <f>IF(U$5="",0,IF(OR(U11=TRUE,ISTEXT(U11)),T44+1,0))</f>
        <v/>
      </c>
      <c r="V44" s="1">
        <f>IF(V$5="",0,IF(OR(V11=TRUE,ISTEXT(V11)),U44+1,0))</f>
        <v/>
      </c>
      <c r="W44" s="1">
        <f>IF(W$5="",0,IF(OR(W11=TRUE,ISTEXT(W11)),V44+1,0))</f>
        <v/>
      </c>
      <c r="X44" s="1">
        <f>IF(X$5="",0,IF(OR(X11=TRUE,ISTEXT(X11)),W44+1,0))</f>
        <v/>
      </c>
      <c r="Y44" s="1">
        <f>IF(Y$5="",0,IF(OR(Y11=TRUE,ISTEXT(Y11)),X44+1,0))</f>
        <v/>
      </c>
      <c r="Z44" s="1">
        <f>IF(Z$5="",0,IF(OR(Z11=TRUE,ISTEXT(Z11)),Y44+1,0))</f>
        <v/>
      </c>
      <c r="AA44" s="1">
        <f>IF(AA$5="",0,IF(OR(AA11=TRUE,ISTEXT(AA11)),Z44+1,0))</f>
        <v/>
      </c>
      <c r="AB44" s="1">
        <f>IF(AB$5="",0,IF(OR(AB11=TRUE,ISTEXT(AB11)),AA44+1,0))</f>
        <v/>
      </c>
      <c r="AC44" s="1">
        <f>IF(AC$5="",0,IF(OR(AC11=TRUE,ISTEXT(AC11)),AB44+1,0))</f>
        <v/>
      </c>
      <c r="AD44" s="1">
        <f>IF(AD$5="",0,IF(OR(AD11=TRUE,ISTEXT(AD11)),AC44+1,0))</f>
        <v/>
      </c>
      <c r="AE44" s="1">
        <f>IF(AE$5="",0,IF(OR(AE11=TRUE,ISTEXT(AE11)),AD44+1,0))</f>
        <v/>
      </c>
      <c r="AF44" s="1">
        <f>IF(AF$5="",0,IF(OR(AF11=TRUE,ISTEXT(AF11)),AE44+1,0))</f>
        <v/>
      </c>
      <c r="AG44" s="1">
        <f>IF(AG$5="",0,IF(OR(AG11=TRUE,ISTEXT(AG11)),AF44+1,0))</f>
        <v/>
      </c>
      <c r="AH44" s="1" t="n"/>
      <c r="AI44" s="1" t="n"/>
      <c r="AJ44" s="1" t="n"/>
      <c r="AK44" s="1" t="n"/>
      <c r="AL44" s="1" t="n"/>
    </row>
    <row r="45" hidden="1">
      <c r="A45" s="1" t="n"/>
      <c r="B45" s="1">
        <f>B12</f>
        <v/>
      </c>
      <c r="C45" s="1">
        <f>IF(C$5="",0,IF(OR(C12=TRUE,ISTEXT(C12)),IFERROR(INDEX(Jun!$C$45:$AG$45,DAY(EOMONTH(DATE(Habits!$C$4,6,1),0))),0)+1,0))</f>
        <v/>
      </c>
      <c r="D45" s="1">
        <f>IF(D$5="",0,IF(OR(D12=TRUE,ISTEXT(D12)),C45+1,0))</f>
        <v/>
      </c>
      <c r="E45" s="1">
        <f>IF(E$5="",0,IF(OR(E12=TRUE,ISTEXT(E12)),D45+1,0))</f>
        <v/>
      </c>
      <c r="F45" s="1">
        <f>IF(F$5="",0,IF(OR(F12=TRUE,ISTEXT(F12)),E45+1,0))</f>
        <v/>
      </c>
      <c r="G45" s="1">
        <f>IF(G$5="",0,IF(OR(G12=TRUE,ISTEXT(G12)),F45+1,0))</f>
        <v/>
      </c>
      <c r="H45" s="1">
        <f>IF(H$5="",0,IF(OR(H12=TRUE,ISTEXT(H12)),G45+1,0))</f>
        <v/>
      </c>
      <c r="I45" s="1">
        <f>IF(I$5="",0,IF(OR(I12=TRUE,ISTEXT(I12)),H45+1,0))</f>
        <v/>
      </c>
      <c r="J45" s="1">
        <f>IF(J$5="",0,IF(OR(J12=TRUE,ISTEXT(J12)),I45+1,0))</f>
        <v/>
      </c>
      <c r="K45" s="1">
        <f>IF(K$5="",0,IF(OR(K12=TRUE,ISTEXT(K12)),J45+1,0))</f>
        <v/>
      </c>
      <c r="L45" s="1">
        <f>IF(L$5="",0,IF(OR(L12=TRUE,ISTEXT(L12)),K45+1,0))</f>
        <v/>
      </c>
      <c r="M45" s="1">
        <f>IF(M$5="",0,IF(OR(M12=TRUE,ISTEXT(M12)),L45+1,0))</f>
        <v/>
      </c>
      <c r="N45" s="1">
        <f>IF(N$5="",0,IF(OR(N12=TRUE,ISTEXT(N12)),M45+1,0))</f>
        <v/>
      </c>
      <c r="O45" s="1">
        <f>IF(O$5="",0,IF(OR(O12=TRUE,ISTEXT(O12)),N45+1,0))</f>
        <v/>
      </c>
      <c r="P45" s="1">
        <f>IF(P$5="",0,IF(OR(P12=TRUE,ISTEXT(P12)),O45+1,0))</f>
        <v/>
      </c>
      <c r="Q45" s="1">
        <f>IF(Q$5="",0,IF(OR(Q12=TRUE,ISTEXT(Q12)),P45+1,0))</f>
        <v/>
      </c>
      <c r="R45" s="1">
        <f>IF(R$5="",0,IF(OR(R12=TRUE,ISTEXT(R12)),Q45+1,0))</f>
        <v/>
      </c>
      <c r="S45" s="1">
        <f>IF(S$5="",0,IF(OR(S12=TRUE,ISTEXT(S12)),R45+1,0))</f>
        <v/>
      </c>
      <c r="T45" s="1">
        <f>IF(T$5="",0,IF(OR(T12=TRUE,ISTEXT(T12)),S45+1,0))</f>
        <v/>
      </c>
      <c r="U45" s="1">
        <f>IF(U$5="",0,IF(OR(U12=TRUE,ISTEXT(U12)),T45+1,0))</f>
        <v/>
      </c>
      <c r="V45" s="1">
        <f>IF(V$5="",0,IF(OR(V12=TRUE,ISTEXT(V12)),U45+1,0))</f>
        <v/>
      </c>
      <c r="W45" s="1">
        <f>IF(W$5="",0,IF(OR(W12=TRUE,ISTEXT(W12)),V45+1,0))</f>
        <v/>
      </c>
      <c r="X45" s="1">
        <f>IF(X$5="",0,IF(OR(X12=TRUE,ISTEXT(X12)),W45+1,0))</f>
        <v/>
      </c>
      <c r="Y45" s="1">
        <f>IF(Y$5="",0,IF(OR(Y12=TRUE,ISTEXT(Y12)),X45+1,0))</f>
        <v/>
      </c>
      <c r="Z45" s="1">
        <f>IF(Z$5="",0,IF(OR(Z12=TRUE,ISTEXT(Z12)),Y45+1,0))</f>
        <v/>
      </c>
      <c r="AA45" s="1">
        <f>IF(AA$5="",0,IF(OR(AA12=TRUE,ISTEXT(AA12)),Z45+1,0))</f>
        <v/>
      </c>
      <c r="AB45" s="1">
        <f>IF(AB$5="",0,IF(OR(AB12=TRUE,ISTEXT(AB12)),AA45+1,0))</f>
        <v/>
      </c>
      <c r="AC45" s="1">
        <f>IF(AC$5="",0,IF(OR(AC12=TRUE,ISTEXT(AC12)),AB45+1,0))</f>
        <v/>
      </c>
      <c r="AD45" s="1">
        <f>IF(AD$5="",0,IF(OR(AD12=TRUE,ISTEXT(AD12)),AC45+1,0))</f>
        <v/>
      </c>
      <c r="AE45" s="1">
        <f>IF(AE$5="",0,IF(OR(AE12=TRUE,ISTEXT(AE12)),AD45+1,0))</f>
        <v/>
      </c>
      <c r="AF45" s="1">
        <f>IF(AF$5="",0,IF(OR(AF12=TRUE,ISTEXT(AF12)),AE45+1,0))</f>
        <v/>
      </c>
      <c r="AG45" s="1">
        <f>IF(AG$5="",0,IF(OR(AG12=TRUE,ISTEXT(AG12)),AF45+1,0))</f>
        <v/>
      </c>
      <c r="AH45" s="1" t="n"/>
      <c r="AI45" s="1" t="n"/>
      <c r="AJ45" s="1" t="n"/>
      <c r="AK45" s="1" t="n"/>
      <c r="AL45" s="1" t="n"/>
    </row>
    <row r="46" hidden="1">
      <c r="A46" s="1" t="n"/>
      <c r="B46" s="1">
        <f>B13</f>
        <v/>
      </c>
      <c r="C46" s="1">
        <f>IF(C$5="",0,IF(OR(C13=TRUE,ISTEXT(C13)),IFERROR(INDEX(Jun!$C$46:$AG$46,DAY(EOMONTH(DATE(Habits!$C$4,6,1),0))),0)+1,0))</f>
        <v/>
      </c>
      <c r="D46" s="1">
        <f>IF(D$5="",0,IF(OR(D13=TRUE,ISTEXT(D13)),C46+1,0))</f>
        <v/>
      </c>
      <c r="E46" s="1">
        <f>IF(E$5="",0,IF(OR(E13=TRUE,ISTEXT(E13)),D46+1,0))</f>
        <v/>
      </c>
      <c r="F46" s="1">
        <f>IF(F$5="",0,IF(OR(F13=TRUE,ISTEXT(F13)),E46+1,0))</f>
        <v/>
      </c>
      <c r="G46" s="1">
        <f>IF(G$5="",0,IF(OR(G13=TRUE,ISTEXT(G13)),F46+1,0))</f>
        <v/>
      </c>
      <c r="H46" s="1">
        <f>IF(H$5="",0,IF(OR(H13=TRUE,ISTEXT(H13)),G46+1,0))</f>
        <v/>
      </c>
      <c r="I46" s="1">
        <f>IF(I$5="",0,IF(OR(I13=TRUE,ISTEXT(I13)),H46+1,0))</f>
        <v/>
      </c>
      <c r="J46" s="1">
        <f>IF(J$5="",0,IF(OR(J13=TRUE,ISTEXT(J13)),I46+1,0))</f>
        <v/>
      </c>
      <c r="K46" s="1">
        <f>IF(K$5="",0,IF(OR(K13=TRUE,ISTEXT(K13)),J46+1,0))</f>
        <v/>
      </c>
      <c r="L46" s="1">
        <f>IF(L$5="",0,IF(OR(L13=TRUE,ISTEXT(L13)),K46+1,0))</f>
        <v/>
      </c>
      <c r="M46" s="1">
        <f>IF(M$5="",0,IF(OR(M13=TRUE,ISTEXT(M13)),L46+1,0))</f>
        <v/>
      </c>
      <c r="N46" s="1">
        <f>IF(N$5="",0,IF(OR(N13=TRUE,ISTEXT(N13)),M46+1,0))</f>
        <v/>
      </c>
      <c r="O46" s="1">
        <f>IF(O$5="",0,IF(OR(O13=TRUE,ISTEXT(O13)),N46+1,0))</f>
        <v/>
      </c>
      <c r="P46" s="1">
        <f>IF(P$5="",0,IF(OR(P13=TRUE,ISTEXT(P13)),O46+1,0))</f>
        <v/>
      </c>
      <c r="Q46" s="1">
        <f>IF(Q$5="",0,IF(OR(Q13=TRUE,ISTEXT(Q13)),P46+1,0))</f>
        <v/>
      </c>
      <c r="R46" s="1">
        <f>IF(R$5="",0,IF(OR(R13=TRUE,ISTEXT(R13)),Q46+1,0))</f>
        <v/>
      </c>
      <c r="S46" s="1">
        <f>IF(S$5="",0,IF(OR(S13=TRUE,ISTEXT(S13)),R46+1,0))</f>
        <v/>
      </c>
      <c r="T46" s="1">
        <f>IF(T$5="",0,IF(OR(T13=TRUE,ISTEXT(T13)),S46+1,0))</f>
        <v/>
      </c>
      <c r="U46" s="1">
        <f>IF(U$5="",0,IF(OR(U13=TRUE,ISTEXT(U13)),T46+1,0))</f>
        <v/>
      </c>
      <c r="V46" s="1">
        <f>IF(V$5="",0,IF(OR(V13=TRUE,ISTEXT(V13)),U46+1,0))</f>
        <v/>
      </c>
      <c r="W46" s="1">
        <f>IF(W$5="",0,IF(OR(W13=TRUE,ISTEXT(W13)),V46+1,0))</f>
        <v/>
      </c>
      <c r="X46" s="1">
        <f>IF(X$5="",0,IF(OR(X13=TRUE,ISTEXT(X13)),W46+1,0))</f>
        <v/>
      </c>
      <c r="Y46" s="1">
        <f>IF(Y$5="",0,IF(OR(Y13=TRUE,ISTEXT(Y13)),X46+1,0))</f>
        <v/>
      </c>
      <c r="Z46" s="1">
        <f>IF(Z$5="",0,IF(OR(Z13=TRUE,ISTEXT(Z13)),Y46+1,0))</f>
        <v/>
      </c>
      <c r="AA46" s="1">
        <f>IF(AA$5="",0,IF(OR(AA13=TRUE,ISTEXT(AA13)),Z46+1,0))</f>
        <v/>
      </c>
      <c r="AB46" s="1">
        <f>IF(AB$5="",0,IF(OR(AB13=TRUE,ISTEXT(AB13)),AA46+1,0))</f>
        <v/>
      </c>
      <c r="AC46" s="1">
        <f>IF(AC$5="",0,IF(OR(AC13=TRUE,ISTEXT(AC13)),AB46+1,0))</f>
        <v/>
      </c>
      <c r="AD46" s="1">
        <f>IF(AD$5="",0,IF(OR(AD13=TRUE,ISTEXT(AD13)),AC46+1,0))</f>
        <v/>
      </c>
      <c r="AE46" s="1">
        <f>IF(AE$5="",0,IF(OR(AE13=TRUE,ISTEXT(AE13)),AD46+1,0))</f>
        <v/>
      </c>
      <c r="AF46" s="1">
        <f>IF(AF$5="",0,IF(OR(AF13=TRUE,ISTEXT(AF13)),AE46+1,0))</f>
        <v/>
      </c>
      <c r="AG46" s="1">
        <f>IF(AG$5="",0,IF(OR(AG13=TRUE,ISTEXT(AG13)),AF46+1,0))</f>
        <v/>
      </c>
      <c r="AH46" s="1" t="n"/>
      <c r="AI46" s="1" t="n"/>
      <c r="AJ46" s="1" t="n"/>
      <c r="AK46" s="1" t="n"/>
      <c r="AL46" s="1" t="n"/>
    </row>
    <row r="47" hidden="1">
      <c r="A47" s="1" t="n"/>
      <c r="B47" s="1">
        <f>B14</f>
        <v/>
      </c>
      <c r="C47" s="1">
        <f>IF(C$5="",0,IF(OR(C14=TRUE,ISTEXT(C14)),IFERROR(INDEX(Jun!$C$47:$AG$47,DAY(EOMONTH(DATE(Habits!$C$4,6,1),0))),0)+1,0))</f>
        <v/>
      </c>
      <c r="D47" s="1">
        <f>IF(D$5="",0,IF(OR(D14=TRUE,ISTEXT(D14)),C47+1,0))</f>
        <v/>
      </c>
      <c r="E47" s="1">
        <f>IF(E$5="",0,IF(OR(E14=TRUE,ISTEXT(E14)),D47+1,0))</f>
        <v/>
      </c>
      <c r="F47" s="1">
        <f>IF(F$5="",0,IF(OR(F14=TRUE,ISTEXT(F14)),E47+1,0))</f>
        <v/>
      </c>
      <c r="G47" s="1">
        <f>IF(G$5="",0,IF(OR(G14=TRUE,ISTEXT(G14)),F47+1,0))</f>
        <v/>
      </c>
      <c r="H47" s="1">
        <f>IF(H$5="",0,IF(OR(H14=TRUE,ISTEXT(H14)),G47+1,0))</f>
        <v/>
      </c>
      <c r="I47" s="1">
        <f>IF(I$5="",0,IF(OR(I14=TRUE,ISTEXT(I14)),H47+1,0))</f>
        <v/>
      </c>
      <c r="J47" s="1">
        <f>IF(J$5="",0,IF(OR(J14=TRUE,ISTEXT(J14)),I47+1,0))</f>
        <v/>
      </c>
      <c r="K47" s="1">
        <f>IF(K$5="",0,IF(OR(K14=TRUE,ISTEXT(K14)),J47+1,0))</f>
        <v/>
      </c>
      <c r="L47" s="1">
        <f>IF(L$5="",0,IF(OR(L14=TRUE,ISTEXT(L14)),K47+1,0))</f>
        <v/>
      </c>
      <c r="M47" s="1">
        <f>IF(M$5="",0,IF(OR(M14=TRUE,ISTEXT(M14)),L47+1,0))</f>
        <v/>
      </c>
      <c r="N47" s="1">
        <f>IF(N$5="",0,IF(OR(N14=TRUE,ISTEXT(N14)),M47+1,0))</f>
        <v/>
      </c>
      <c r="O47" s="1">
        <f>IF(O$5="",0,IF(OR(O14=TRUE,ISTEXT(O14)),N47+1,0))</f>
        <v/>
      </c>
      <c r="P47" s="1">
        <f>IF(P$5="",0,IF(OR(P14=TRUE,ISTEXT(P14)),O47+1,0))</f>
        <v/>
      </c>
      <c r="Q47" s="1">
        <f>IF(Q$5="",0,IF(OR(Q14=TRUE,ISTEXT(Q14)),P47+1,0))</f>
        <v/>
      </c>
      <c r="R47" s="1">
        <f>IF(R$5="",0,IF(OR(R14=TRUE,ISTEXT(R14)),Q47+1,0))</f>
        <v/>
      </c>
      <c r="S47" s="1">
        <f>IF(S$5="",0,IF(OR(S14=TRUE,ISTEXT(S14)),R47+1,0))</f>
        <v/>
      </c>
      <c r="T47" s="1">
        <f>IF(T$5="",0,IF(OR(T14=TRUE,ISTEXT(T14)),S47+1,0))</f>
        <v/>
      </c>
      <c r="U47" s="1">
        <f>IF(U$5="",0,IF(OR(U14=TRUE,ISTEXT(U14)),T47+1,0))</f>
        <v/>
      </c>
      <c r="V47" s="1">
        <f>IF(V$5="",0,IF(OR(V14=TRUE,ISTEXT(V14)),U47+1,0))</f>
        <v/>
      </c>
      <c r="W47" s="1">
        <f>IF(W$5="",0,IF(OR(W14=TRUE,ISTEXT(W14)),V47+1,0))</f>
        <v/>
      </c>
      <c r="X47" s="1">
        <f>IF(X$5="",0,IF(OR(X14=TRUE,ISTEXT(X14)),W47+1,0))</f>
        <v/>
      </c>
      <c r="Y47" s="1">
        <f>IF(Y$5="",0,IF(OR(Y14=TRUE,ISTEXT(Y14)),X47+1,0))</f>
        <v/>
      </c>
      <c r="Z47" s="1">
        <f>IF(Z$5="",0,IF(OR(Z14=TRUE,ISTEXT(Z14)),Y47+1,0))</f>
        <v/>
      </c>
      <c r="AA47" s="1">
        <f>IF(AA$5="",0,IF(OR(AA14=TRUE,ISTEXT(AA14)),Z47+1,0))</f>
        <v/>
      </c>
      <c r="AB47" s="1">
        <f>IF(AB$5="",0,IF(OR(AB14=TRUE,ISTEXT(AB14)),AA47+1,0))</f>
        <v/>
      </c>
      <c r="AC47" s="1">
        <f>IF(AC$5="",0,IF(OR(AC14=TRUE,ISTEXT(AC14)),AB47+1,0))</f>
        <v/>
      </c>
      <c r="AD47" s="1">
        <f>IF(AD$5="",0,IF(OR(AD14=TRUE,ISTEXT(AD14)),AC47+1,0))</f>
        <v/>
      </c>
      <c r="AE47" s="1">
        <f>IF(AE$5="",0,IF(OR(AE14=TRUE,ISTEXT(AE14)),AD47+1,0))</f>
        <v/>
      </c>
      <c r="AF47" s="1">
        <f>IF(AF$5="",0,IF(OR(AF14=TRUE,ISTEXT(AF14)),AE47+1,0))</f>
        <v/>
      </c>
      <c r="AG47" s="1">
        <f>IF(AG$5="",0,IF(OR(AG14=TRUE,ISTEXT(AG14)),AF47+1,0))</f>
        <v/>
      </c>
      <c r="AH47" s="1" t="n"/>
      <c r="AI47" s="1" t="n"/>
      <c r="AJ47" s="1" t="n"/>
      <c r="AK47" s="1" t="n"/>
      <c r="AL47" s="1" t="n"/>
    </row>
    <row r="48" hidden="1">
      <c r="A48" s="1" t="n"/>
      <c r="B48" s="1">
        <f>B15</f>
        <v/>
      </c>
      <c r="C48" s="1">
        <f>IF(C$5="",0,IF(OR(C15=TRUE,ISTEXT(C15)),IFERROR(INDEX(Jun!$C$48:$AG$48,DAY(EOMONTH(DATE(Habits!$C$4,6,1),0))),0)+1,0))</f>
        <v/>
      </c>
      <c r="D48" s="1">
        <f>IF(D$5="",0,IF(OR(D15=TRUE,ISTEXT(D15)),C48+1,0))</f>
        <v/>
      </c>
      <c r="E48" s="1">
        <f>IF(E$5="",0,IF(OR(E15=TRUE,ISTEXT(E15)),D48+1,0))</f>
        <v/>
      </c>
      <c r="F48" s="1">
        <f>IF(F$5="",0,IF(OR(F15=TRUE,ISTEXT(F15)),E48+1,0))</f>
        <v/>
      </c>
      <c r="G48" s="1">
        <f>IF(G$5="",0,IF(OR(G15=TRUE,ISTEXT(G15)),F48+1,0))</f>
        <v/>
      </c>
      <c r="H48" s="1">
        <f>IF(H$5="",0,IF(OR(H15=TRUE,ISTEXT(H15)),G48+1,0))</f>
        <v/>
      </c>
      <c r="I48" s="1">
        <f>IF(I$5="",0,IF(OR(I15=TRUE,ISTEXT(I15)),H48+1,0))</f>
        <v/>
      </c>
      <c r="J48" s="1">
        <f>IF(J$5="",0,IF(OR(J15=TRUE,ISTEXT(J15)),I48+1,0))</f>
        <v/>
      </c>
      <c r="K48" s="1">
        <f>IF(K$5="",0,IF(OR(K15=TRUE,ISTEXT(K15)),J48+1,0))</f>
        <v/>
      </c>
      <c r="L48" s="1">
        <f>IF(L$5="",0,IF(OR(L15=TRUE,ISTEXT(L15)),K48+1,0))</f>
        <v/>
      </c>
      <c r="M48" s="1">
        <f>IF(M$5="",0,IF(OR(M15=TRUE,ISTEXT(M15)),L48+1,0))</f>
        <v/>
      </c>
      <c r="N48" s="1">
        <f>IF(N$5="",0,IF(OR(N15=TRUE,ISTEXT(N15)),M48+1,0))</f>
        <v/>
      </c>
      <c r="O48" s="1">
        <f>IF(O$5="",0,IF(OR(O15=TRUE,ISTEXT(O15)),N48+1,0))</f>
        <v/>
      </c>
      <c r="P48" s="1">
        <f>IF(P$5="",0,IF(OR(P15=TRUE,ISTEXT(P15)),O48+1,0))</f>
        <v/>
      </c>
      <c r="Q48" s="1">
        <f>IF(Q$5="",0,IF(OR(Q15=TRUE,ISTEXT(Q15)),P48+1,0))</f>
        <v/>
      </c>
      <c r="R48" s="1">
        <f>IF(R$5="",0,IF(OR(R15=TRUE,ISTEXT(R15)),Q48+1,0))</f>
        <v/>
      </c>
      <c r="S48" s="1">
        <f>IF(S$5="",0,IF(OR(S15=TRUE,ISTEXT(S15)),R48+1,0))</f>
        <v/>
      </c>
      <c r="T48" s="1">
        <f>IF(T$5="",0,IF(OR(T15=TRUE,ISTEXT(T15)),S48+1,0))</f>
        <v/>
      </c>
      <c r="U48" s="1">
        <f>IF(U$5="",0,IF(OR(U15=TRUE,ISTEXT(U15)),T48+1,0))</f>
        <v/>
      </c>
      <c r="V48" s="1">
        <f>IF(V$5="",0,IF(OR(V15=TRUE,ISTEXT(V15)),U48+1,0))</f>
        <v/>
      </c>
      <c r="W48" s="1">
        <f>IF(W$5="",0,IF(OR(W15=TRUE,ISTEXT(W15)),V48+1,0))</f>
        <v/>
      </c>
      <c r="X48" s="1">
        <f>IF(X$5="",0,IF(OR(X15=TRUE,ISTEXT(X15)),W48+1,0))</f>
        <v/>
      </c>
      <c r="Y48" s="1">
        <f>IF(Y$5="",0,IF(OR(Y15=TRUE,ISTEXT(Y15)),X48+1,0))</f>
        <v/>
      </c>
      <c r="Z48" s="1">
        <f>IF(Z$5="",0,IF(OR(Z15=TRUE,ISTEXT(Z15)),Y48+1,0))</f>
        <v/>
      </c>
      <c r="AA48" s="1">
        <f>IF(AA$5="",0,IF(OR(AA15=TRUE,ISTEXT(AA15)),Z48+1,0))</f>
        <v/>
      </c>
      <c r="AB48" s="1">
        <f>IF(AB$5="",0,IF(OR(AB15=TRUE,ISTEXT(AB15)),AA48+1,0))</f>
        <v/>
      </c>
      <c r="AC48" s="1">
        <f>IF(AC$5="",0,IF(OR(AC15=TRUE,ISTEXT(AC15)),AB48+1,0))</f>
        <v/>
      </c>
      <c r="AD48" s="1">
        <f>IF(AD$5="",0,IF(OR(AD15=TRUE,ISTEXT(AD15)),AC48+1,0))</f>
        <v/>
      </c>
      <c r="AE48" s="1">
        <f>IF(AE$5="",0,IF(OR(AE15=TRUE,ISTEXT(AE15)),AD48+1,0))</f>
        <v/>
      </c>
      <c r="AF48" s="1">
        <f>IF(AF$5="",0,IF(OR(AF15=TRUE,ISTEXT(AF15)),AE48+1,0))</f>
        <v/>
      </c>
      <c r="AG48" s="1">
        <f>IF(AG$5="",0,IF(OR(AG15=TRUE,ISTEXT(AG15)),AF48+1,0))</f>
        <v/>
      </c>
      <c r="AH48" s="1" t="n"/>
      <c r="AI48" s="1" t="n"/>
      <c r="AJ48" s="1" t="n"/>
      <c r="AK48" s="1" t="n"/>
      <c r="AL48" s="1" t="n"/>
    </row>
    <row r="49" hidden="1">
      <c r="A49" s="1" t="n"/>
      <c r="B49" s="1">
        <f>B16</f>
        <v/>
      </c>
      <c r="C49" s="1">
        <f>IF(C$5="",0,IF(OR(C16=TRUE,ISTEXT(C16)),IFERROR(INDEX(Jun!$C$49:$AG$49,DAY(EOMONTH(DATE(Habits!$C$4,6,1),0))),0)+1,0))</f>
        <v/>
      </c>
      <c r="D49" s="1">
        <f>IF(D$5="",0,IF(OR(D16=TRUE,ISTEXT(D16)),C49+1,0))</f>
        <v/>
      </c>
      <c r="E49" s="1">
        <f>IF(E$5="",0,IF(OR(E16=TRUE,ISTEXT(E16)),D49+1,0))</f>
        <v/>
      </c>
      <c r="F49" s="1">
        <f>IF(F$5="",0,IF(OR(F16=TRUE,ISTEXT(F16)),E49+1,0))</f>
        <v/>
      </c>
      <c r="G49" s="1">
        <f>IF(G$5="",0,IF(OR(G16=TRUE,ISTEXT(G16)),F49+1,0))</f>
        <v/>
      </c>
      <c r="H49" s="1">
        <f>IF(H$5="",0,IF(OR(H16=TRUE,ISTEXT(H16)),G49+1,0))</f>
        <v/>
      </c>
      <c r="I49" s="1">
        <f>IF(I$5="",0,IF(OR(I16=TRUE,ISTEXT(I16)),H49+1,0))</f>
        <v/>
      </c>
      <c r="J49" s="1">
        <f>IF(J$5="",0,IF(OR(J16=TRUE,ISTEXT(J16)),I49+1,0))</f>
        <v/>
      </c>
      <c r="K49" s="1">
        <f>IF(K$5="",0,IF(OR(K16=TRUE,ISTEXT(K16)),J49+1,0))</f>
        <v/>
      </c>
      <c r="L49" s="1">
        <f>IF(L$5="",0,IF(OR(L16=TRUE,ISTEXT(L16)),K49+1,0))</f>
        <v/>
      </c>
      <c r="M49" s="1">
        <f>IF(M$5="",0,IF(OR(M16=TRUE,ISTEXT(M16)),L49+1,0))</f>
        <v/>
      </c>
      <c r="N49" s="1">
        <f>IF(N$5="",0,IF(OR(N16=TRUE,ISTEXT(N16)),M49+1,0))</f>
        <v/>
      </c>
      <c r="O49" s="1">
        <f>IF(O$5="",0,IF(OR(O16=TRUE,ISTEXT(O16)),N49+1,0))</f>
        <v/>
      </c>
      <c r="P49" s="1">
        <f>IF(P$5="",0,IF(OR(P16=TRUE,ISTEXT(P16)),O49+1,0))</f>
        <v/>
      </c>
      <c r="Q49" s="1">
        <f>IF(Q$5="",0,IF(OR(Q16=TRUE,ISTEXT(Q16)),P49+1,0))</f>
        <v/>
      </c>
      <c r="R49" s="1">
        <f>IF(R$5="",0,IF(OR(R16=TRUE,ISTEXT(R16)),Q49+1,0))</f>
        <v/>
      </c>
      <c r="S49" s="1">
        <f>IF(S$5="",0,IF(OR(S16=TRUE,ISTEXT(S16)),R49+1,0))</f>
        <v/>
      </c>
      <c r="T49" s="1">
        <f>IF(T$5="",0,IF(OR(T16=TRUE,ISTEXT(T16)),S49+1,0))</f>
        <v/>
      </c>
      <c r="U49" s="1">
        <f>IF(U$5="",0,IF(OR(U16=TRUE,ISTEXT(U16)),T49+1,0))</f>
        <v/>
      </c>
      <c r="V49" s="1">
        <f>IF(V$5="",0,IF(OR(V16=TRUE,ISTEXT(V16)),U49+1,0))</f>
        <v/>
      </c>
      <c r="W49" s="1">
        <f>IF(W$5="",0,IF(OR(W16=TRUE,ISTEXT(W16)),V49+1,0))</f>
        <v/>
      </c>
      <c r="X49" s="1">
        <f>IF(X$5="",0,IF(OR(X16=TRUE,ISTEXT(X16)),W49+1,0))</f>
        <v/>
      </c>
      <c r="Y49" s="1">
        <f>IF(Y$5="",0,IF(OR(Y16=TRUE,ISTEXT(Y16)),X49+1,0))</f>
        <v/>
      </c>
      <c r="Z49" s="1">
        <f>IF(Z$5="",0,IF(OR(Z16=TRUE,ISTEXT(Z16)),Y49+1,0))</f>
        <v/>
      </c>
      <c r="AA49" s="1">
        <f>IF(AA$5="",0,IF(OR(AA16=TRUE,ISTEXT(AA16)),Z49+1,0))</f>
        <v/>
      </c>
      <c r="AB49" s="1">
        <f>IF(AB$5="",0,IF(OR(AB16=TRUE,ISTEXT(AB16)),AA49+1,0))</f>
        <v/>
      </c>
      <c r="AC49" s="1">
        <f>IF(AC$5="",0,IF(OR(AC16=TRUE,ISTEXT(AC16)),AB49+1,0))</f>
        <v/>
      </c>
      <c r="AD49" s="1">
        <f>IF(AD$5="",0,IF(OR(AD16=TRUE,ISTEXT(AD16)),AC49+1,0))</f>
        <v/>
      </c>
      <c r="AE49" s="1">
        <f>IF(AE$5="",0,IF(OR(AE16=TRUE,ISTEXT(AE16)),AD49+1,0))</f>
        <v/>
      </c>
      <c r="AF49" s="1">
        <f>IF(AF$5="",0,IF(OR(AF16=TRUE,ISTEXT(AF16)),AE49+1,0))</f>
        <v/>
      </c>
      <c r="AG49" s="1">
        <f>IF(AG$5="",0,IF(OR(AG16=TRUE,ISTEXT(AG16)),AF49+1,0))</f>
        <v/>
      </c>
      <c r="AH49" s="1" t="n"/>
      <c r="AI49" s="1" t="n"/>
      <c r="AJ49" s="1" t="n"/>
      <c r="AK49" s="1" t="n"/>
      <c r="AL49" s="1" t="n"/>
    </row>
    <row r="50" hidden="1">
      <c r="A50" s="1" t="n"/>
      <c r="B50" s="1">
        <f>B17</f>
        <v/>
      </c>
      <c r="C50" s="1">
        <f>IF(C$5="",0,IF(OR(C17=TRUE,ISTEXT(C17)),IFERROR(INDEX(Jun!$C$50:$AG$50,DAY(EOMONTH(DATE(Habits!$C$4,6,1),0))),0)+1,0))</f>
        <v/>
      </c>
      <c r="D50" s="1">
        <f>IF(D$5="",0,IF(OR(D17=TRUE,ISTEXT(D17)),C50+1,0))</f>
        <v/>
      </c>
      <c r="E50" s="1">
        <f>IF(E$5="",0,IF(OR(E17=TRUE,ISTEXT(E17)),D50+1,0))</f>
        <v/>
      </c>
      <c r="F50" s="1">
        <f>IF(F$5="",0,IF(OR(F17=TRUE,ISTEXT(F17)),E50+1,0))</f>
        <v/>
      </c>
      <c r="G50" s="1">
        <f>IF(G$5="",0,IF(OR(G17=TRUE,ISTEXT(G17)),F50+1,0))</f>
        <v/>
      </c>
      <c r="H50" s="1">
        <f>IF(H$5="",0,IF(OR(H17=TRUE,ISTEXT(H17)),G50+1,0))</f>
        <v/>
      </c>
      <c r="I50" s="1">
        <f>IF(I$5="",0,IF(OR(I17=TRUE,ISTEXT(I17)),H50+1,0))</f>
        <v/>
      </c>
      <c r="J50" s="1">
        <f>IF(J$5="",0,IF(OR(J17=TRUE,ISTEXT(J17)),I50+1,0))</f>
        <v/>
      </c>
      <c r="K50" s="1">
        <f>IF(K$5="",0,IF(OR(K17=TRUE,ISTEXT(K17)),J50+1,0))</f>
        <v/>
      </c>
      <c r="L50" s="1">
        <f>IF(L$5="",0,IF(OR(L17=TRUE,ISTEXT(L17)),K50+1,0))</f>
        <v/>
      </c>
      <c r="M50" s="1">
        <f>IF(M$5="",0,IF(OR(M17=TRUE,ISTEXT(M17)),L50+1,0))</f>
        <v/>
      </c>
      <c r="N50" s="1">
        <f>IF(N$5="",0,IF(OR(N17=TRUE,ISTEXT(N17)),M50+1,0))</f>
        <v/>
      </c>
      <c r="O50" s="1">
        <f>IF(O$5="",0,IF(OR(O17=TRUE,ISTEXT(O17)),N50+1,0))</f>
        <v/>
      </c>
      <c r="P50" s="1">
        <f>IF(P$5="",0,IF(OR(P17=TRUE,ISTEXT(P17)),O50+1,0))</f>
        <v/>
      </c>
      <c r="Q50" s="1">
        <f>IF(Q$5="",0,IF(OR(Q17=TRUE,ISTEXT(Q17)),P50+1,0))</f>
        <v/>
      </c>
      <c r="R50" s="1">
        <f>IF(R$5="",0,IF(OR(R17=TRUE,ISTEXT(R17)),Q50+1,0))</f>
        <v/>
      </c>
      <c r="S50" s="1">
        <f>IF(S$5="",0,IF(OR(S17=TRUE,ISTEXT(S17)),R50+1,0))</f>
        <v/>
      </c>
      <c r="T50" s="1">
        <f>IF(T$5="",0,IF(OR(T17=TRUE,ISTEXT(T17)),S50+1,0))</f>
        <v/>
      </c>
      <c r="U50" s="1">
        <f>IF(U$5="",0,IF(OR(U17=TRUE,ISTEXT(U17)),T50+1,0))</f>
        <v/>
      </c>
      <c r="V50" s="1">
        <f>IF(V$5="",0,IF(OR(V17=TRUE,ISTEXT(V17)),U50+1,0))</f>
        <v/>
      </c>
      <c r="W50" s="1">
        <f>IF(W$5="",0,IF(OR(W17=TRUE,ISTEXT(W17)),V50+1,0))</f>
        <v/>
      </c>
      <c r="X50" s="1">
        <f>IF(X$5="",0,IF(OR(X17=TRUE,ISTEXT(X17)),W50+1,0))</f>
        <v/>
      </c>
      <c r="Y50" s="1">
        <f>IF(Y$5="",0,IF(OR(Y17=TRUE,ISTEXT(Y17)),X50+1,0))</f>
        <v/>
      </c>
      <c r="Z50" s="1">
        <f>IF(Z$5="",0,IF(OR(Z17=TRUE,ISTEXT(Z17)),Y50+1,0))</f>
        <v/>
      </c>
      <c r="AA50" s="1">
        <f>IF(AA$5="",0,IF(OR(AA17=TRUE,ISTEXT(AA17)),Z50+1,0))</f>
        <v/>
      </c>
      <c r="AB50" s="1">
        <f>IF(AB$5="",0,IF(OR(AB17=TRUE,ISTEXT(AB17)),AA50+1,0))</f>
        <v/>
      </c>
      <c r="AC50" s="1">
        <f>IF(AC$5="",0,IF(OR(AC17=TRUE,ISTEXT(AC17)),AB50+1,0))</f>
        <v/>
      </c>
      <c r="AD50" s="1">
        <f>IF(AD$5="",0,IF(OR(AD17=TRUE,ISTEXT(AD17)),AC50+1,0))</f>
        <v/>
      </c>
      <c r="AE50" s="1">
        <f>IF(AE$5="",0,IF(OR(AE17=TRUE,ISTEXT(AE17)),AD50+1,0))</f>
        <v/>
      </c>
      <c r="AF50" s="1">
        <f>IF(AF$5="",0,IF(OR(AF17=TRUE,ISTEXT(AF17)),AE50+1,0))</f>
        <v/>
      </c>
      <c r="AG50" s="1">
        <f>IF(AG$5="",0,IF(OR(AG17=TRUE,ISTEXT(AG17)),AF50+1,0))</f>
        <v/>
      </c>
      <c r="AH50" s="1" t="n"/>
      <c r="AI50" s="1" t="n"/>
      <c r="AJ50" s="1" t="n"/>
      <c r="AK50" s="1" t="n"/>
      <c r="AL50" s="1" t="n"/>
    </row>
    <row r="51" hidden="1">
      <c r="A51" s="1" t="n"/>
      <c r="B51" s="1">
        <f>B18</f>
        <v/>
      </c>
      <c r="C51" s="1">
        <f>IF(C$5="",0,IF(OR(C18=TRUE,ISTEXT(C18)),IFERROR(INDEX(Jun!$C$51:$AG$51,DAY(EOMONTH(DATE(Habits!$C$4,6,1),0))),0)+1,0))</f>
        <v/>
      </c>
      <c r="D51" s="1">
        <f>IF(D$5="",0,IF(OR(D18=TRUE,ISTEXT(D18)),C51+1,0))</f>
        <v/>
      </c>
      <c r="E51" s="1">
        <f>IF(E$5="",0,IF(OR(E18=TRUE,ISTEXT(E18)),D51+1,0))</f>
        <v/>
      </c>
      <c r="F51" s="1">
        <f>IF(F$5="",0,IF(OR(F18=TRUE,ISTEXT(F18)),E51+1,0))</f>
        <v/>
      </c>
      <c r="G51" s="1">
        <f>IF(G$5="",0,IF(OR(G18=TRUE,ISTEXT(G18)),F51+1,0))</f>
        <v/>
      </c>
      <c r="H51" s="1">
        <f>IF(H$5="",0,IF(OR(H18=TRUE,ISTEXT(H18)),G51+1,0))</f>
        <v/>
      </c>
      <c r="I51" s="1">
        <f>IF(I$5="",0,IF(OR(I18=TRUE,ISTEXT(I18)),H51+1,0))</f>
        <v/>
      </c>
      <c r="J51" s="1">
        <f>IF(J$5="",0,IF(OR(J18=TRUE,ISTEXT(J18)),I51+1,0))</f>
        <v/>
      </c>
      <c r="K51" s="1">
        <f>IF(K$5="",0,IF(OR(K18=TRUE,ISTEXT(K18)),J51+1,0))</f>
        <v/>
      </c>
      <c r="L51" s="1">
        <f>IF(L$5="",0,IF(OR(L18=TRUE,ISTEXT(L18)),K51+1,0))</f>
        <v/>
      </c>
      <c r="M51" s="1">
        <f>IF(M$5="",0,IF(OR(M18=TRUE,ISTEXT(M18)),L51+1,0))</f>
        <v/>
      </c>
      <c r="N51" s="1">
        <f>IF(N$5="",0,IF(OR(N18=TRUE,ISTEXT(N18)),M51+1,0))</f>
        <v/>
      </c>
      <c r="O51" s="1">
        <f>IF(O$5="",0,IF(OR(O18=TRUE,ISTEXT(O18)),N51+1,0))</f>
        <v/>
      </c>
      <c r="P51" s="1">
        <f>IF(P$5="",0,IF(OR(P18=TRUE,ISTEXT(P18)),O51+1,0))</f>
        <v/>
      </c>
      <c r="Q51" s="1">
        <f>IF(Q$5="",0,IF(OR(Q18=TRUE,ISTEXT(Q18)),P51+1,0))</f>
        <v/>
      </c>
      <c r="R51" s="1">
        <f>IF(R$5="",0,IF(OR(R18=TRUE,ISTEXT(R18)),Q51+1,0))</f>
        <v/>
      </c>
      <c r="S51" s="1">
        <f>IF(S$5="",0,IF(OR(S18=TRUE,ISTEXT(S18)),R51+1,0))</f>
        <v/>
      </c>
      <c r="T51" s="1">
        <f>IF(T$5="",0,IF(OR(T18=TRUE,ISTEXT(T18)),S51+1,0))</f>
        <v/>
      </c>
      <c r="U51" s="1">
        <f>IF(U$5="",0,IF(OR(U18=TRUE,ISTEXT(U18)),T51+1,0))</f>
        <v/>
      </c>
      <c r="V51" s="1">
        <f>IF(V$5="",0,IF(OR(V18=TRUE,ISTEXT(V18)),U51+1,0))</f>
        <v/>
      </c>
      <c r="W51" s="1">
        <f>IF(W$5="",0,IF(OR(W18=TRUE,ISTEXT(W18)),V51+1,0))</f>
        <v/>
      </c>
      <c r="X51" s="1">
        <f>IF(X$5="",0,IF(OR(X18=TRUE,ISTEXT(X18)),W51+1,0))</f>
        <v/>
      </c>
      <c r="Y51" s="1">
        <f>IF(Y$5="",0,IF(OR(Y18=TRUE,ISTEXT(Y18)),X51+1,0))</f>
        <v/>
      </c>
      <c r="Z51" s="1">
        <f>IF(Z$5="",0,IF(OR(Z18=TRUE,ISTEXT(Z18)),Y51+1,0))</f>
        <v/>
      </c>
      <c r="AA51" s="1">
        <f>IF(AA$5="",0,IF(OR(AA18=TRUE,ISTEXT(AA18)),Z51+1,0))</f>
        <v/>
      </c>
      <c r="AB51" s="1">
        <f>IF(AB$5="",0,IF(OR(AB18=TRUE,ISTEXT(AB18)),AA51+1,0))</f>
        <v/>
      </c>
      <c r="AC51" s="1">
        <f>IF(AC$5="",0,IF(OR(AC18=TRUE,ISTEXT(AC18)),AB51+1,0))</f>
        <v/>
      </c>
      <c r="AD51" s="1">
        <f>IF(AD$5="",0,IF(OR(AD18=TRUE,ISTEXT(AD18)),AC51+1,0))</f>
        <v/>
      </c>
      <c r="AE51" s="1">
        <f>IF(AE$5="",0,IF(OR(AE18=TRUE,ISTEXT(AE18)),AD51+1,0))</f>
        <v/>
      </c>
      <c r="AF51" s="1">
        <f>IF(AF$5="",0,IF(OR(AF18=TRUE,ISTEXT(AF18)),AE51+1,0))</f>
        <v/>
      </c>
      <c r="AG51" s="1">
        <f>IF(AG$5="",0,IF(OR(AG18=TRUE,ISTEXT(AG18)),AF51+1,0))</f>
        <v/>
      </c>
      <c r="AH51" s="1" t="n"/>
      <c r="AI51" s="1" t="n"/>
      <c r="AJ51" s="1" t="n"/>
      <c r="AK51" s="1" t="n"/>
      <c r="AL51" s="1" t="n"/>
    </row>
    <row r="52" hidden="1">
      <c r="A52" s="1" t="n"/>
      <c r="B52" s="1">
        <f>B19</f>
        <v/>
      </c>
      <c r="C52" s="1">
        <f>IF(C$5="",0,IF(OR(C19=TRUE,ISTEXT(C19)),IFERROR(INDEX(Jun!$C$52:$AG$52,DAY(EOMONTH(DATE(Habits!$C$4,6,1),0))),0)+1,0))</f>
        <v/>
      </c>
      <c r="D52" s="1">
        <f>IF(D$5="",0,IF(OR(D19=TRUE,ISTEXT(D19)),C52+1,0))</f>
        <v/>
      </c>
      <c r="E52" s="1">
        <f>IF(E$5="",0,IF(OR(E19=TRUE,ISTEXT(E19)),D52+1,0))</f>
        <v/>
      </c>
      <c r="F52" s="1">
        <f>IF(F$5="",0,IF(OR(F19=TRUE,ISTEXT(F19)),E52+1,0))</f>
        <v/>
      </c>
      <c r="G52" s="1">
        <f>IF(G$5="",0,IF(OR(G19=TRUE,ISTEXT(G19)),F52+1,0))</f>
        <v/>
      </c>
      <c r="H52" s="1">
        <f>IF(H$5="",0,IF(OR(H19=TRUE,ISTEXT(H19)),G52+1,0))</f>
        <v/>
      </c>
      <c r="I52" s="1">
        <f>IF(I$5="",0,IF(OR(I19=TRUE,ISTEXT(I19)),H52+1,0))</f>
        <v/>
      </c>
      <c r="J52" s="1">
        <f>IF(J$5="",0,IF(OR(J19=TRUE,ISTEXT(J19)),I52+1,0))</f>
        <v/>
      </c>
      <c r="K52" s="1">
        <f>IF(K$5="",0,IF(OR(K19=TRUE,ISTEXT(K19)),J52+1,0))</f>
        <v/>
      </c>
      <c r="L52" s="1">
        <f>IF(L$5="",0,IF(OR(L19=TRUE,ISTEXT(L19)),K52+1,0))</f>
        <v/>
      </c>
      <c r="M52" s="1">
        <f>IF(M$5="",0,IF(OR(M19=TRUE,ISTEXT(M19)),L52+1,0))</f>
        <v/>
      </c>
      <c r="N52" s="1">
        <f>IF(N$5="",0,IF(OR(N19=TRUE,ISTEXT(N19)),M52+1,0))</f>
        <v/>
      </c>
      <c r="O52" s="1">
        <f>IF(O$5="",0,IF(OR(O19=TRUE,ISTEXT(O19)),N52+1,0))</f>
        <v/>
      </c>
      <c r="P52" s="1">
        <f>IF(P$5="",0,IF(OR(P19=TRUE,ISTEXT(P19)),O52+1,0))</f>
        <v/>
      </c>
      <c r="Q52" s="1">
        <f>IF(Q$5="",0,IF(OR(Q19=TRUE,ISTEXT(Q19)),P52+1,0))</f>
        <v/>
      </c>
      <c r="R52" s="1">
        <f>IF(R$5="",0,IF(OR(R19=TRUE,ISTEXT(R19)),Q52+1,0))</f>
        <v/>
      </c>
      <c r="S52" s="1">
        <f>IF(S$5="",0,IF(OR(S19=TRUE,ISTEXT(S19)),R52+1,0))</f>
        <v/>
      </c>
      <c r="T52" s="1">
        <f>IF(T$5="",0,IF(OR(T19=TRUE,ISTEXT(T19)),S52+1,0))</f>
        <v/>
      </c>
      <c r="U52" s="1">
        <f>IF(U$5="",0,IF(OR(U19=TRUE,ISTEXT(U19)),T52+1,0))</f>
        <v/>
      </c>
      <c r="V52" s="1">
        <f>IF(V$5="",0,IF(OR(V19=TRUE,ISTEXT(V19)),U52+1,0))</f>
        <v/>
      </c>
      <c r="W52" s="1">
        <f>IF(W$5="",0,IF(OR(W19=TRUE,ISTEXT(W19)),V52+1,0))</f>
        <v/>
      </c>
      <c r="X52" s="1">
        <f>IF(X$5="",0,IF(OR(X19=TRUE,ISTEXT(X19)),W52+1,0))</f>
        <v/>
      </c>
      <c r="Y52" s="1">
        <f>IF(Y$5="",0,IF(OR(Y19=TRUE,ISTEXT(Y19)),X52+1,0))</f>
        <v/>
      </c>
      <c r="Z52" s="1">
        <f>IF(Z$5="",0,IF(OR(Z19=TRUE,ISTEXT(Z19)),Y52+1,0))</f>
        <v/>
      </c>
      <c r="AA52" s="1">
        <f>IF(AA$5="",0,IF(OR(AA19=TRUE,ISTEXT(AA19)),Z52+1,0))</f>
        <v/>
      </c>
      <c r="AB52" s="1">
        <f>IF(AB$5="",0,IF(OR(AB19=TRUE,ISTEXT(AB19)),AA52+1,0))</f>
        <v/>
      </c>
      <c r="AC52" s="1">
        <f>IF(AC$5="",0,IF(OR(AC19=TRUE,ISTEXT(AC19)),AB52+1,0))</f>
        <v/>
      </c>
      <c r="AD52" s="1">
        <f>IF(AD$5="",0,IF(OR(AD19=TRUE,ISTEXT(AD19)),AC52+1,0))</f>
        <v/>
      </c>
      <c r="AE52" s="1">
        <f>IF(AE$5="",0,IF(OR(AE19=TRUE,ISTEXT(AE19)),AD52+1,0))</f>
        <v/>
      </c>
      <c r="AF52" s="1">
        <f>IF(AF$5="",0,IF(OR(AF19=TRUE,ISTEXT(AF19)),AE52+1,0))</f>
        <v/>
      </c>
      <c r="AG52" s="1">
        <f>IF(AG$5="",0,IF(OR(AG19=TRUE,ISTEXT(AG19)),AF52+1,0))</f>
        <v/>
      </c>
      <c r="AH52" s="1" t="n"/>
      <c r="AI52" s="1" t="n"/>
      <c r="AJ52" s="1" t="n"/>
      <c r="AK52" s="1" t="n"/>
      <c r="AL52" s="1" t="n"/>
    </row>
    <row r="53" hidden="1">
      <c r="A53" s="1" t="n"/>
      <c r="B53" s="1">
        <f>B20</f>
        <v/>
      </c>
      <c r="C53" s="1">
        <f>IF(C$5="",0,IF(OR(C20=TRUE,ISTEXT(C20)),IFERROR(INDEX(Jun!$C$53:$AG$53,DAY(EOMONTH(DATE(Habits!$C$4,6,1),0))),0)+1,0))</f>
        <v/>
      </c>
      <c r="D53" s="1">
        <f>IF(D$5="",0,IF(OR(D20=TRUE,ISTEXT(D20)),C53+1,0))</f>
        <v/>
      </c>
      <c r="E53" s="1">
        <f>IF(E$5="",0,IF(OR(E20=TRUE,ISTEXT(E20)),D53+1,0))</f>
        <v/>
      </c>
      <c r="F53" s="1">
        <f>IF(F$5="",0,IF(OR(F20=TRUE,ISTEXT(F20)),E53+1,0))</f>
        <v/>
      </c>
      <c r="G53" s="1">
        <f>IF(G$5="",0,IF(OR(G20=TRUE,ISTEXT(G20)),F53+1,0))</f>
        <v/>
      </c>
      <c r="H53" s="1">
        <f>IF(H$5="",0,IF(OR(H20=TRUE,ISTEXT(H20)),G53+1,0))</f>
        <v/>
      </c>
      <c r="I53" s="1">
        <f>IF(I$5="",0,IF(OR(I20=TRUE,ISTEXT(I20)),H53+1,0))</f>
        <v/>
      </c>
      <c r="J53" s="1">
        <f>IF(J$5="",0,IF(OR(J20=TRUE,ISTEXT(J20)),I53+1,0))</f>
        <v/>
      </c>
      <c r="K53" s="1">
        <f>IF(K$5="",0,IF(OR(K20=TRUE,ISTEXT(K20)),J53+1,0))</f>
        <v/>
      </c>
      <c r="L53" s="1">
        <f>IF(L$5="",0,IF(OR(L20=TRUE,ISTEXT(L20)),K53+1,0))</f>
        <v/>
      </c>
      <c r="M53" s="1">
        <f>IF(M$5="",0,IF(OR(M20=TRUE,ISTEXT(M20)),L53+1,0))</f>
        <v/>
      </c>
      <c r="N53" s="1">
        <f>IF(N$5="",0,IF(OR(N20=TRUE,ISTEXT(N20)),M53+1,0))</f>
        <v/>
      </c>
      <c r="O53" s="1">
        <f>IF(O$5="",0,IF(OR(O20=TRUE,ISTEXT(O20)),N53+1,0))</f>
        <v/>
      </c>
      <c r="P53" s="1">
        <f>IF(P$5="",0,IF(OR(P20=TRUE,ISTEXT(P20)),O53+1,0))</f>
        <v/>
      </c>
      <c r="Q53" s="1">
        <f>IF(Q$5="",0,IF(OR(Q20=TRUE,ISTEXT(Q20)),P53+1,0))</f>
        <v/>
      </c>
      <c r="R53" s="1">
        <f>IF(R$5="",0,IF(OR(R20=TRUE,ISTEXT(R20)),Q53+1,0))</f>
        <v/>
      </c>
      <c r="S53" s="1">
        <f>IF(S$5="",0,IF(OR(S20=TRUE,ISTEXT(S20)),R53+1,0))</f>
        <v/>
      </c>
      <c r="T53" s="1">
        <f>IF(T$5="",0,IF(OR(T20=TRUE,ISTEXT(T20)),S53+1,0))</f>
        <v/>
      </c>
      <c r="U53" s="1">
        <f>IF(U$5="",0,IF(OR(U20=TRUE,ISTEXT(U20)),T53+1,0))</f>
        <v/>
      </c>
      <c r="V53" s="1">
        <f>IF(V$5="",0,IF(OR(V20=TRUE,ISTEXT(V20)),U53+1,0))</f>
        <v/>
      </c>
      <c r="W53" s="1">
        <f>IF(W$5="",0,IF(OR(W20=TRUE,ISTEXT(W20)),V53+1,0))</f>
        <v/>
      </c>
      <c r="X53" s="1">
        <f>IF(X$5="",0,IF(OR(X20=TRUE,ISTEXT(X20)),W53+1,0))</f>
        <v/>
      </c>
      <c r="Y53" s="1">
        <f>IF(Y$5="",0,IF(OR(Y20=TRUE,ISTEXT(Y20)),X53+1,0))</f>
        <v/>
      </c>
      <c r="Z53" s="1">
        <f>IF(Z$5="",0,IF(OR(Z20=TRUE,ISTEXT(Z20)),Y53+1,0))</f>
        <v/>
      </c>
      <c r="AA53" s="1">
        <f>IF(AA$5="",0,IF(OR(AA20=TRUE,ISTEXT(AA20)),Z53+1,0))</f>
        <v/>
      </c>
      <c r="AB53" s="1">
        <f>IF(AB$5="",0,IF(OR(AB20=TRUE,ISTEXT(AB20)),AA53+1,0))</f>
        <v/>
      </c>
      <c r="AC53" s="1">
        <f>IF(AC$5="",0,IF(OR(AC20=TRUE,ISTEXT(AC20)),AB53+1,0))</f>
        <v/>
      </c>
      <c r="AD53" s="1">
        <f>IF(AD$5="",0,IF(OR(AD20=TRUE,ISTEXT(AD20)),AC53+1,0))</f>
        <v/>
      </c>
      <c r="AE53" s="1">
        <f>IF(AE$5="",0,IF(OR(AE20=TRUE,ISTEXT(AE20)),AD53+1,0))</f>
        <v/>
      </c>
      <c r="AF53" s="1">
        <f>IF(AF$5="",0,IF(OR(AF20=TRUE,ISTEXT(AF20)),AE53+1,0))</f>
        <v/>
      </c>
      <c r="AG53" s="1">
        <f>IF(AG$5="",0,IF(OR(AG20=TRUE,ISTEXT(AG20)),AF53+1,0))</f>
        <v/>
      </c>
      <c r="AH53" s="1" t="n"/>
      <c r="AI53" s="1" t="n"/>
      <c r="AJ53" s="1" t="n"/>
      <c r="AK53" s="1" t="n"/>
      <c r="AL53" s="1" t="n"/>
    </row>
    <row r="54" hidden="1">
      <c r="A54" s="1" t="n"/>
      <c r="B54" s="1">
        <f>B21</f>
        <v/>
      </c>
      <c r="C54" s="1">
        <f>IF(C$5="",0,IF(OR(C21=TRUE,ISTEXT(C21)),IFERROR(INDEX(Jun!$C$54:$AG$54,DAY(EOMONTH(DATE(Habits!$C$4,6,1),0))),0)+1,0))</f>
        <v/>
      </c>
      <c r="D54" s="1">
        <f>IF(D$5="",0,IF(OR(D21=TRUE,ISTEXT(D21)),C54+1,0))</f>
        <v/>
      </c>
      <c r="E54" s="1">
        <f>IF(E$5="",0,IF(OR(E21=TRUE,ISTEXT(E21)),D54+1,0))</f>
        <v/>
      </c>
      <c r="F54" s="1">
        <f>IF(F$5="",0,IF(OR(F21=TRUE,ISTEXT(F21)),E54+1,0))</f>
        <v/>
      </c>
      <c r="G54" s="1">
        <f>IF(G$5="",0,IF(OR(G21=TRUE,ISTEXT(G21)),F54+1,0))</f>
        <v/>
      </c>
      <c r="H54" s="1">
        <f>IF(H$5="",0,IF(OR(H21=TRUE,ISTEXT(H21)),G54+1,0))</f>
        <v/>
      </c>
      <c r="I54" s="1">
        <f>IF(I$5="",0,IF(OR(I21=TRUE,ISTEXT(I21)),H54+1,0))</f>
        <v/>
      </c>
      <c r="J54" s="1">
        <f>IF(J$5="",0,IF(OR(J21=TRUE,ISTEXT(J21)),I54+1,0))</f>
        <v/>
      </c>
      <c r="K54" s="1">
        <f>IF(K$5="",0,IF(OR(K21=TRUE,ISTEXT(K21)),J54+1,0))</f>
        <v/>
      </c>
      <c r="L54" s="1">
        <f>IF(L$5="",0,IF(OR(L21=TRUE,ISTEXT(L21)),K54+1,0))</f>
        <v/>
      </c>
      <c r="M54" s="1">
        <f>IF(M$5="",0,IF(OR(M21=TRUE,ISTEXT(M21)),L54+1,0))</f>
        <v/>
      </c>
      <c r="N54" s="1">
        <f>IF(N$5="",0,IF(OR(N21=TRUE,ISTEXT(N21)),M54+1,0))</f>
        <v/>
      </c>
      <c r="O54" s="1">
        <f>IF(O$5="",0,IF(OR(O21=TRUE,ISTEXT(O21)),N54+1,0))</f>
        <v/>
      </c>
      <c r="P54" s="1">
        <f>IF(P$5="",0,IF(OR(P21=TRUE,ISTEXT(P21)),O54+1,0))</f>
        <v/>
      </c>
      <c r="Q54" s="1">
        <f>IF(Q$5="",0,IF(OR(Q21=TRUE,ISTEXT(Q21)),P54+1,0))</f>
        <v/>
      </c>
      <c r="R54" s="1">
        <f>IF(R$5="",0,IF(OR(R21=TRUE,ISTEXT(R21)),Q54+1,0))</f>
        <v/>
      </c>
      <c r="S54" s="1">
        <f>IF(S$5="",0,IF(OR(S21=TRUE,ISTEXT(S21)),R54+1,0))</f>
        <v/>
      </c>
      <c r="T54" s="1">
        <f>IF(T$5="",0,IF(OR(T21=TRUE,ISTEXT(T21)),S54+1,0))</f>
        <v/>
      </c>
      <c r="U54" s="1">
        <f>IF(U$5="",0,IF(OR(U21=TRUE,ISTEXT(U21)),T54+1,0))</f>
        <v/>
      </c>
      <c r="V54" s="1">
        <f>IF(V$5="",0,IF(OR(V21=TRUE,ISTEXT(V21)),U54+1,0))</f>
        <v/>
      </c>
      <c r="W54" s="1">
        <f>IF(W$5="",0,IF(OR(W21=TRUE,ISTEXT(W21)),V54+1,0))</f>
        <v/>
      </c>
      <c r="X54" s="1">
        <f>IF(X$5="",0,IF(OR(X21=TRUE,ISTEXT(X21)),W54+1,0))</f>
        <v/>
      </c>
      <c r="Y54" s="1">
        <f>IF(Y$5="",0,IF(OR(Y21=TRUE,ISTEXT(Y21)),X54+1,0))</f>
        <v/>
      </c>
      <c r="Z54" s="1">
        <f>IF(Z$5="",0,IF(OR(Z21=TRUE,ISTEXT(Z21)),Y54+1,0))</f>
        <v/>
      </c>
      <c r="AA54" s="1">
        <f>IF(AA$5="",0,IF(OR(AA21=TRUE,ISTEXT(AA21)),Z54+1,0))</f>
        <v/>
      </c>
      <c r="AB54" s="1">
        <f>IF(AB$5="",0,IF(OR(AB21=TRUE,ISTEXT(AB21)),AA54+1,0))</f>
        <v/>
      </c>
      <c r="AC54" s="1">
        <f>IF(AC$5="",0,IF(OR(AC21=TRUE,ISTEXT(AC21)),AB54+1,0))</f>
        <v/>
      </c>
      <c r="AD54" s="1">
        <f>IF(AD$5="",0,IF(OR(AD21=TRUE,ISTEXT(AD21)),AC54+1,0))</f>
        <v/>
      </c>
      <c r="AE54" s="1">
        <f>IF(AE$5="",0,IF(OR(AE21=TRUE,ISTEXT(AE21)),AD54+1,0))</f>
        <v/>
      </c>
      <c r="AF54" s="1">
        <f>IF(AF$5="",0,IF(OR(AF21=TRUE,ISTEXT(AF21)),AE54+1,0))</f>
        <v/>
      </c>
      <c r="AG54" s="1">
        <f>IF(AG$5="",0,IF(OR(AG21=TRUE,ISTEXT(AG21)),AF54+1,0))</f>
        <v/>
      </c>
      <c r="AH54" s="1" t="n"/>
      <c r="AI54" s="1" t="n"/>
      <c r="AJ54" s="1" t="n"/>
      <c r="AK54" s="1" t="n"/>
      <c r="A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</sheetData>
  <mergeCells count="2">
    <mergeCell ref="AH24:AI24"/>
    <mergeCell ref="AH23:AI23"/>
  </mergeCells>
  <conditionalFormatting sqref="C7:AG24">
    <cfRule type="expression" priority="1" dxfId="12">
      <formula>C$5=""</formula>
    </cfRule>
  </conditionalFormatting>
  <conditionalFormatting sqref="C7:AG21">
    <cfRule type="expression" priority="2" dxfId="13">
      <formula>AND($B7&lt;&gt;"",OR(C7=TRUE,ISTEXT(C7)))</formula>
    </cfRule>
    <cfRule type="expression" priority="3" dxfId="14">
      <formula>$B7=""</formula>
    </cfRule>
  </conditionalFormatting>
  <conditionalFormatting sqref="C23:AG23">
    <cfRule type="expression" priority="4" dxfId="1">
      <formula>C23=5</formula>
    </cfRule>
    <cfRule type="expression" priority="5" dxfId="2">
      <formula>C23=4</formula>
    </cfRule>
    <cfRule type="expression" priority="6" dxfId="3">
      <formula>C23=3</formula>
    </cfRule>
    <cfRule type="expression" priority="7" dxfId="4">
      <formula>C23=2</formula>
    </cfRule>
    <cfRule type="expression" priority="8" dxfId="5">
      <formula>C23=1</formula>
    </cfRule>
  </conditionalFormatting>
  <conditionalFormatting sqref="C5:AG5">
    <cfRule type="expression" priority="9" dxfId="15">
      <formula>AND(C$5&lt;&gt;"",DATE(Habits!$C$4,7,C$5)=TODAY())</formula>
    </cfRule>
  </conditionalFormatting>
  <conditionalFormatting sqref="AI7:AI21">
    <cfRule type="colorScale" priority="10">
      <colorScale>
        <cfvo type="num" val="0"/>
        <cfvo type="num" val="1"/>
        <color rgb="00FFFFFF"/>
        <color rgb="008CC5A8"/>
      </colorScale>
    </cfRule>
  </conditionalFormatting>
  <dataValidations count="1">
    <dataValidation sqref="C23:AG2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L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7" customWidth="1" min="34" max="34"/>
    <col width="7" customWidth="1" min="35" max="35"/>
    <col width="8" customWidth="1" min="36" max="36"/>
    <col width="8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>
        <f>"August "&amp;Habits!$C$4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Type x on each day you did a habit. Mood from 1 to 5, sleep in hours.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30" customHeight="1">
      <c r="A5" s="1" t="n"/>
      <c r="B5" s="28" t="inlineStr">
        <is>
          <t>Habit</t>
        </is>
      </c>
      <c r="C5" s="29">
        <f>IF(1&lt;=DAY(EOMONTH(DATE(Habits!$C$4,8,1),0)),1,"")</f>
        <v/>
      </c>
      <c r="D5" s="29">
        <f>IF(2&lt;=DAY(EOMONTH(DATE(Habits!$C$4,8,1),0)),2,"")</f>
        <v/>
      </c>
      <c r="E5" s="29">
        <f>IF(3&lt;=DAY(EOMONTH(DATE(Habits!$C$4,8,1),0)),3,"")</f>
        <v/>
      </c>
      <c r="F5" s="29">
        <f>IF(4&lt;=DAY(EOMONTH(DATE(Habits!$C$4,8,1),0)),4,"")</f>
        <v/>
      </c>
      <c r="G5" s="29">
        <f>IF(5&lt;=DAY(EOMONTH(DATE(Habits!$C$4,8,1),0)),5,"")</f>
        <v/>
      </c>
      <c r="H5" s="29">
        <f>IF(6&lt;=DAY(EOMONTH(DATE(Habits!$C$4,8,1),0)),6,"")</f>
        <v/>
      </c>
      <c r="I5" s="29">
        <f>IF(7&lt;=DAY(EOMONTH(DATE(Habits!$C$4,8,1),0)),7,"")</f>
        <v/>
      </c>
      <c r="J5" s="29">
        <f>IF(8&lt;=DAY(EOMONTH(DATE(Habits!$C$4,8,1),0)),8,"")</f>
        <v/>
      </c>
      <c r="K5" s="29">
        <f>IF(9&lt;=DAY(EOMONTH(DATE(Habits!$C$4,8,1),0)),9,"")</f>
        <v/>
      </c>
      <c r="L5" s="29">
        <f>IF(10&lt;=DAY(EOMONTH(DATE(Habits!$C$4,8,1),0)),10,"")</f>
        <v/>
      </c>
      <c r="M5" s="29">
        <f>IF(11&lt;=DAY(EOMONTH(DATE(Habits!$C$4,8,1),0)),11,"")</f>
        <v/>
      </c>
      <c r="N5" s="29">
        <f>IF(12&lt;=DAY(EOMONTH(DATE(Habits!$C$4,8,1),0)),12,"")</f>
        <v/>
      </c>
      <c r="O5" s="29">
        <f>IF(13&lt;=DAY(EOMONTH(DATE(Habits!$C$4,8,1),0)),13,"")</f>
        <v/>
      </c>
      <c r="P5" s="29">
        <f>IF(14&lt;=DAY(EOMONTH(DATE(Habits!$C$4,8,1),0)),14,"")</f>
        <v/>
      </c>
      <c r="Q5" s="29">
        <f>IF(15&lt;=DAY(EOMONTH(DATE(Habits!$C$4,8,1),0)),15,"")</f>
        <v/>
      </c>
      <c r="R5" s="29">
        <f>IF(16&lt;=DAY(EOMONTH(DATE(Habits!$C$4,8,1),0)),16,"")</f>
        <v/>
      </c>
      <c r="S5" s="29">
        <f>IF(17&lt;=DAY(EOMONTH(DATE(Habits!$C$4,8,1),0)),17,"")</f>
        <v/>
      </c>
      <c r="T5" s="29">
        <f>IF(18&lt;=DAY(EOMONTH(DATE(Habits!$C$4,8,1),0)),18,"")</f>
        <v/>
      </c>
      <c r="U5" s="29">
        <f>IF(19&lt;=DAY(EOMONTH(DATE(Habits!$C$4,8,1),0)),19,"")</f>
        <v/>
      </c>
      <c r="V5" s="29">
        <f>IF(20&lt;=DAY(EOMONTH(DATE(Habits!$C$4,8,1),0)),20,"")</f>
        <v/>
      </c>
      <c r="W5" s="29">
        <f>IF(21&lt;=DAY(EOMONTH(DATE(Habits!$C$4,8,1),0)),21,"")</f>
        <v/>
      </c>
      <c r="X5" s="29">
        <f>IF(22&lt;=DAY(EOMONTH(DATE(Habits!$C$4,8,1),0)),22,"")</f>
        <v/>
      </c>
      <c r="Y5" s="29">
        <f>IF(23&lt;=DAY(EOMONTH(DATE(Habits!$C$4,8,1),0)),23,"")</f>
        <v/>
      </c>
      <c r="Z5" s="29">
        <f>IF(24&lt;=DAY(EOMONTH(DATE(Habits!$C$4,8,1),0)),24,"")</f>
        <v/>
      </c>
      <c r="AA5" s="29">
        <f>IF(25&lt;=DAY(EOMONTH(DATE(Habits!$C$4,8,1),0)),25,"")</f>
        <v/>
      </c>
      <c r="AB5" s="29">
        <f>IF(26&lt;=DAY(EOMONTH(DATE(Habits!$C$4,8,1),0)),26,"")</f>
        <v/>
      </c>
      <c r="AC5" s="29">
        <f>IF(27&lt;=DAY(EOMONTH(DATE(Habits!$C$4,8,1),0)),27,"")</f>
        <v/>
      </c>
      <c r="AD5" s="29">
        <f>IF(28&lt;=DAY(EOMONTH(DATE(Habits!$C$4,8,1),0)),28,"")</f>
        <v/>
      </c>
      <c r="AE5" s="29">
        <f>IF(29&lt;=DAY(EOMONTH(DATE(Habits!$C$4,8,1),0)),29,"")</f>
        <v/>
      </c>
      <c r="AF5" s="29">
        <f>IF(30&lt;=DAY(EOMONTH(DATE(Habits!$C$4,8,1),0)),30,"")</f>
        <v/>
      </c>
      <c r="AG5" s="29">
        <f>IF(31&lt;=DAY(EOMONTH(DATE(Habits!$C$4,8,1),0)),31,"")</f>
        <v/>
      </c>
      <c r="AH5" s="30" t="inlineStr">
        <is>
          <t>Done</t>
        </is>
      </c>
      <c r="AI5" s="30" t="inlineStr">
        <is>
          <t>Share</t>
        </is>
      </c>
      <c r="AJ5" s="30" t="inlineStr">
        <is>
          <t>Streak now</t>
        </is>
      </c>
      <c r="AK5" s="30" t="inlineStr">
        <is>
          <t>Best streak</t>
        </is>
      </c>
      <c r="AL5" s="1" t="n"/>
    </row>
    <row r="6">
      <c r="A6" s="1" t="n"/>
      <c r="B6" s="1" t="n"/>
      <c r="C6" s="31">
        <f>IF(C$5="","",CHOOSE(WEEKDAY(DATE(Habits!$C$4,8,1),2),"M","T","W","T","F","S","S"))</f>
        <v/>
      </c>
      <c r="D6" s="31">
        <f>IF(D$5="","",CHOOSE(WEEKDAY(DATE(Habits!$C$4,8,2),2),"M","T","W","T","F","S","S"))</f>
        <v/>
      </c>
      <c r="E6" s="31">
        <f>IF(E$5="","",CHOOSE(WEEKDAY(DATE(Habits!$C$4,8,3),2),"M","T","W","T","F","S","S"))</f>
        <v/>
      </c>
      <c r="F6" s="31">
        <f>IF(F$5="","",CHOOSE(WEEKDAY(DATE(Habits!$C$4,8,4),2),"M","T","W","T","F","S","S"))</f>
        <v/>
      </c>
      <c r="G6" s="31">
        <f>IF(G$5="","",CHOOSE(WEEKDAY(DATE(Habits!$C$4,8,5),2),"M","T","W","T","F","S","S"))</f>
        <v/>
      </c>
      <c r="H6" s="31">
        <f>IF(H$5="","",CHOOSE(WEEKDAY(DATE(Habits!$C$4,8,6),2),"M","T","W","T","F","S","S"))</f>
        <v/>
      </c>
      <c r="I6" s="31">
        <f>IF(I$5="","",CHOOSE(WEEKDAY(DATE(Habits!$C$4,8,7),2),"M","T","W","T","F","S","S"))</f>
        <v/>
      </c>
      <c r="J6" s="31">
        <f>IF(J$5="","",CHOOSE(WEEKDAY(DATE(Habits!$C$4,8,8),2),"M","T","W","T","F","S","S"))</f>
        <v/>
      </c>
      <c r="K6" s="31">
        <f>IF(K$5="","",CHOOSE(WEEKDAY(DATE(Habits!$C$4,8,9),2),"M","T","W","T","F","S","S"))</f>
        <v/>
      </c>
      <c r="L6" s="31">
        <f>IF(L$5="","",CHOOSE(WEEKDAY(DATE(Habits!$C$4,8,10),2),"M","T","W","T","F","S","S"))</f>
        <v/>
      </c>
      <c r="M6" s="31">
        <f>IF(M$5="","",CHOOSE(WEEKDAY(DATE(Habits!$C$4,8,11),2),"M","T","W","T","F","S","S"))</f>
        <v/>
      </c>
      <c r="N6" s="31">
        <f>IF(N$5="","",CHOOSE(WEEKDAY(DATE(Habits!$C$4,8,12),2),"M","T","W","T","F","S","S"))</f>
        <v/>
      </c>
      <c r="O6" s="31">
        <f>IF(O$5="","",CHOOSE(WEEKDAY(DATE(Habits!$C$4,8,13),2),"M","T","W","T","F","S","S"))</f>
        <v/>
      </c>
      <c r="P6" s="31">
        <f>IF(P$5="","",CHOOSE(WEEKDAY(DATE(Habits!$C$4,8,14),2),"M","T","W","T","F","S","S"))</f>
        <v/>
      </c>
      <c r="Q6" s="31">
        <f>IF(Q$5="","",CHOOSE(WEEKDAY(DATE(Habits!$C$4,8,15),2),"M","T","W","T","F","S","S"))</f>
        <v/>
      </c>
      <c r="R6" s="31">
        <f>IF(R$5="","",CHOOSE(WEEKDAY(DATE(Habits!$C$4,8,16),2),"M","T","W","T","F","S","S"))</f>
        <v/>
      </c>
      <c r="S6" s="31">
        <f>IF(S$5="","",CHOOSE(WEEKDAY(DATE(Habits!$C$4,8,17),2),"M","T","W","T","F","S","S"))</f>
        <v/>
      </c>
      <c r="T6" s="31">
        <f>IF(T$5="","",CHOOSE(WEEKDAY(DATE(Habits!$C$4,8,18),2),"M","T","W","T","F","S","S"))</f>
        <v/>
      </c>
      <c r="U6" s="31">
        <f>IF(U$5="","",CHOOSE(WEEKDAY(DATE(Habits!$C$4,8,19),2),"M","T","W","T","F","S","S"))</f>
        <v/>
      </c>
      <c r="V6" s="31">
        <f>IF(V$5="","",CHOOSE(WEEKDAY(DATE(Habits!$C$4,8,20),2),"M","T","W","T","F","S","S"))</f>
        <v/>
      </c>
      <c r="W6" s="31">
        <f>IF(W$5="","",CHOOSE(WEEKDAY(DATE(Habits!$C$4,8,21),2),"M","T","W","T","F","S","S"))</f>
        <v/>
      </c>
      <c r="X6" s="31">
        <f>IF(X$5="","",CHOOSE(WEEKDAY(DATE(Habits!$C$4,8,22),2),"M","T","W","T","F","S","S"))</f>
        <v/>
      </c>
      <c r="Y6" s="31">
        <f>IF(Y$5="","",CHOOSE(WEEKDAY(DATE(Habits!$C$4,8,23),2),"M","T","W","T","F","S","S"))</f>
        <v/>
      </c>
      <c r="Z6" s="31">
        <f>IF(Z$5="","",CHOOSE(WEEKDAY(DATE(Habits!$C$4,8,24),2),"M","T","W","T","F","S","S"))</f>
        <v/>
      </c>
      <c r="AA6" s="31">
        <f>IF(AA$5="","",CHOOSE(WEEKDAY(DATE(Habits!$C$4,8,25),2),"M","T","W","T","F","S","S"))</f>
        <v/>
      </c>
      <c r="AB6" s="31">
        <f>IF(AB$5="","",CHOOSE(WEEKDAY(DATE(Habits!$C$4,8,26),2),"M","T","W","T","F","S","S"))</f>
        <v/>
      </c>
      <c r="AC6" s="31">
        <f>IF(AC$5="","",CHOOSE(WEEKDAY(DATE(Habits!$C$4,8,27),2),"M","T","W","T","F","S","S"))</f>
        <v/>
      </c>
      <c r="AD6" s="31">
        <f>IF(AD$5="","",CHOOSE(WEEKDAY(DATE(Habits!$C$4,8,28),2),"M","T","W","T","F","S","S"))</f>
        <v/>
      </c>
      <c r="AE6" s="31">
        <f>IF(AE$5="","",CHOOSE(WEEKDAY(DATE(Habits!$C$4,8,29),2),"M","T","W","T","F","S","S"))</f>
        <v/>
      </c>
      <c r="AF6" s="31">
        <f>IF(AF$5="","",CHOOSE(WEEKDAY(DATE(Habits!$C$4,8,30),2),"M","T","W","T","F","S","S"))</f>
        <v/>
      </c>
      <c r="AG6" s="31">
        <f>IF(AG$5="","",CHOOSE(WEEKDAY(DATE(Habits!$C$4,8,31),2),"M","T","W","T","F","S","S"))</f>
        <v/>
      </c>
      <c r="AH6" s="1" t="n"/>
      <c r="AI6" s="1" t="n"/>
      <c r="AJ6" s="1" t="n"/>
      <c r="AK6" s="1" t="n"/>
      <c r="AL6" s="1" t="n"/>
    </row>
    <row r="7">
      <c r="A7" s="1" t="n"/>
      <c r="B7" s="32">
        <f>IF(Habits!B8="","",Habits!B8)</f>
        <v/>
      </c>
      <c r="C7" s="33" t="inlineStr">
        <is>
          <t>x</t>
        </is>
      </c>
      <c r="D7" s="33" t="inlineStr">
        <is>
          <t>x</t>
        </is>
      </c>
      <c r="E7" s="33" t="inlineStr">
        <is>
          <t>x</t>
        </is>
      </c>
      <c r="F7" s="33" t="inlineStr">
        <is>
          <t>x</t>
        </is>
      </c>
      <c r="G7" s="33" t="inlineStr">
        <is>
          <t>x</t>
        </is>
      </c>
      <c r="H7" s="33" t="inlineStr">
        <is>
          <t>x</t>
        </is>
      </c>
      <c r="I7" s="33" t="inlineStr">
        <is>
          <t>x</t>
        </is>
      </c>
      <c r="J7" s="33" t="inlineStr">
        <is>
          <t>x</t>
        </is>
      </c>
      <c r="K7" s="33" t="inlineStr">
        <is>
          <t>x</t>
        </is>
      </c>
      <c r="L7" s="33" t="n"/>
      <c r="M7" s="33" t="inlineStr">
        <is>
          <t>x</t>
        </is>
      </c>
      <c r="N7" s="33" t="inlineStr">
        <is>
          <t>x</t>
        </is>
      </c>
      <c r="O7" s="33" t="inlineStr">
        <is>
          <t>x</t>
        </is>
      </c>
      <c r="P7" s="33" t="inlineStr">
        <is>
          <t>x</t>
        </is>
      </c>
      <c r="Q7" s="33" t="inlineStr">
        <is>
          <t>x</t>
        </is>
      </c>
      <c r="R7" s="33" t="inlineStr">
        <is>
          <t>x</t>
        </is>
      </c>
      <c r="S7" s="33" t="inlineStr">
        <is>
          <t>x</t>
        </is>
      </c>
      <c r="T7" s="33" t="inlineStr">
        <is>
          <t>x</t>
        </is>
      </c>
      <c r="U7" s="33" t="inlineStr">
        <is>
          <t>x</t>
        </is>
      </c>
      <c r="V7" s="33" t="inlineStr">
        <is>
          <t>x</t>
        </is>
      </c>
      <c r="W7" s="33" t="inlineStr">
        <is>
          <t>x</t>
        </is>
      </c>
      <c r="X7" s="33" t="inlineStr">
        <is>
          <t>x</t>
        </is>
      </c>
      <c r="Y7" s="33" t="inlineStr">
        <is>
          <t>x</t>
        </is>
      </c>
      <c r="Z7" s="33" t="inlineStr">
        <is>
          <t>x</t>
        </is>
      </c>
      <c r="AA7" s="33" t="inlineStr">
        <is>
          <t>x</t>
        </is>
      </c>
      <c r="AB7" s="33" t="inlineStr">
        <is>
          <t>x</t>
        </is>
      </c>
      <c r="AC7" s="33" t="inlineStr">
        <is>
          <t>x</t>
        </is>
      </c>
      <c r="AD7" s="33" t="inlineStr">
        <is>
          <t>x</t>
        </is>
      </c>
      <c r="AE7" s="33" t="inlineStr">
        <is>
          <t>x</t>
        </is>
      </c>
      <c r="AF7" s="33" t="inlineStr">
        <is>
          <t>x</t>
        </is>
      </c>
      <c r="AG7" s="33" t="inlineStr">
        <is>
          <t>x</t>
        </is>
      </c>
      <c r="AH7" s="13">
        <f>IF(B7="","",COUNTIF($C40:$AG40,"&gt;0"))</f>
        <v/>
      </c>
      <c r="AI7" s="14">
        <f>IF(OR(B7="",IF(AND(Habits!$C$4=YEAR(TODAY()),8=MONTH(TODAY())),DAY(TODAY()),IF(DATE(Habits!$C$4,8,1)&gt;TODAY(),0,DAY(EOMONTH(DATE(Habits!$C$4,8,1),0))))=0),"",MIN(1,(COUNTIF($C40:$AG40,"&gt;0"))/IF(AND(Habits!$C$4=YEAR(TODAY()),8=MONTH(TODAY())),DAY(TODAY()),IF(DATE(Habits!$C$4,8,1)&gt;TODAY(),0,DAY(EOMONTH(DATE(Habits!$C$4,8,1),0))))))</f>
        <v/>
      </c>
      <c r="AJ7" s="16">
        <f>IF(B7="","",IF(AND(Habits!$C$4=YEAR(TODAY()),8=MONTH(TODAY())),IF(INDEX($C40:$AG40,DAY(TODAY()))&gt;0,INDEX($C40:$AG40,DAY(TODAY())),IF(DAY(TODAY())=1,IFERROR(INDEX(Jul!$C$40:$AG$40,DAY(EOMONTH(DATE(Habits!$C$4,7,1),0))),0),INDEX($C40:$AG40,DAY(TODAY())-1))),IF(DATE(Habits!$C$4,8,1)&gt;TODAY(),"",INDEX($C40:$AG40,DAY(EOMONTH(DATE(Habits!$C$4,8,1),0))))))</f>
        <v/>
      </c>
      <c r="AK7" s="13">
        <f>IF(B7="","",MAX($C40:$AG40))</f>
        <v/>
      </c>
      <c r="AL7" s="1" t="n"/>
    </row>
    <row r="8">
      <c r="A8" s="1" t="n"/>
      <c r="B8" s="32">
        <f>IF(Habits!B9="","",Habits!B9)</f>
        <v/>
      </c>
      <c r="C8" s="33" t="n"/>
      <c r="D8" s="33" t="n"/>
      <c r="E8" s="33" t="inlineStr">
        <is>
          <t>x</t>
        </is>
      </c>
      <c r="F8" s="33" t="inlineStr">
        <is>
          <t>x</t>
        </is>
      </c>
      <c r="G8" s="33" t="n"/>
      <c r="H8" s="33" t="inlineStr">
        <is>
          <t>x</t>
        </is>
      </c>
      <c r="I8" s="33" t="inlineStr">
        <is>
          <t>x</t>
        </is>
      </c>
      <c r="J8" s="33" t="n"/>
      <c r="K8" s="33" t="inlineStr">
        <is>
          <t>x</t>
        </is>
      </c>
      <c r="L8" s="33" t="inlineStr">
        <is>
          <t>x</t>
        </is>
      </c>
      <c r="M8" s="33" t="n"/>
      <c r="N8" s="33" t="inlineStr">
        <is>
          <t>x</t>
        </is>
      </c>
      <c r="O8" s="33" t="inlineStr">
        <is>
          <t>x</t>
        </is>
      </c>
      <c r="P8" s="33" t="n"/>
      <c r="Q8" s="33" t="inlineStr">
        <is>
          <t>x</t>
        </is>
      </c>
      <c r="R8" s="33" t="inlineStr">
        <is>
          <t>x</t>
        </is>
      </c>
      <c r="S8" s="33" t="inlineStr">
        <is>
          <t>x</t>
        </is>
      </c>
      <c r="T8" s="33" t="n"/>
      <c r="U8" s="33" t="inlineStr">
        <is>
          <t>x</t>
        </is>
      </c>
      <c r="V8" s="33" t="inlineStr">
        <is>
          <t>x</t>
        </is>
      </c>
      <c r="W8" s="33" t="inlineStr">
        <is>
          <t>x</t>
        </is>
      </c>
      <c r="X8" s="33" t="inlineStr">
        <is>
          <t>x</t>
        </is>
      </c>
      <c r="Y8" s="33" t="inlineStr">
        <is>
          <t>x</t>
        </is>
      </c>
      <c r="Z8" s="33" t="inlineStr">
        <is>
          <t>x</t>
        </is>
      </c>
      <c r="AA8" s="33" t="inlineStr">
        <is>
          <t>x</t>
        </is>
      </c>
      <c r="AB8" s="33" t="inlineStr">
        <is>
          <t>x</t>
        </is>
      </c>
      <c r="AC8" s="33" t="inlineStr">
        <is>
          <t>x</t>
        </is>
      </c>
      <c r="AD8" s="33" t="inlineStr">
        <is>
          <t>x</t>
        </is>
      </c>
      <c r="AE8" s="33" t="inlineStr">
        <is>
          <t>x</t>
        </is>
      </c>
      <c r="AF8" s="33" t="n"/>
      <c r="AG8" s="33" t="inlineStr">
        <is>
          <t>x</t>
        </is>
      </c>
      <c r="AH8" s="13">
        <f>IF(B8="","",COUNTIF($C41:$AG41,"&gt;0"))</f>
        <v/>
      </c>
      <c r="AI8" s="14">
        <f>IF(OR(B8="",IF(AND(Habits!$C$4=YEAR(TODAY()),8=MONTH(TODAY())),DAY(TODAY()),IF(DATE(Habits!$C$4,8,1)&gt;TODAY(),0,DAY(EOMONTH(DATE(Habits!$C$4,8,1),0))))=0),"",MIN(1,(COUNTIF($C41:$AG41,"&gt;0"))/IF(AND(Habits!$C$4=YEAR(TODAY()),8=MONTH(TODAY())),DAY(TODAY()),IF(DATE(Habits!$C$4,8,1)&gt;TODAY(),0,DAY(EOMONTH(DATE(Habits!$C$4,8,1),0))))))</f>
        <v/>
      </c>
      <c r="AJ8" s="16">
        <f>IF(B8="","",IF(AND(Habits!$C$4=YEAR(TODAY()),8=MONTH(TODAY())),IF(INDEX($C41:$AG41,DAY(TODAY()))&gt;0,INDEX($C41:$AG41,DAY(TODAY())),IF(DAY(TODAY())=1,IFERROR(INDEX(Jul!$C$41:$AG$41,DAY(EOMONTH(DATE(Habits!$C$4,7,1),0))),0),INDEX($C41:$AG41,DAY(TODAY())-1))),IF(DATE(Habits!$C$4,8,1)&gt;TODAY(),"",INDEX($C41:$AG41,DAY(EOMONTH(DATE(Habits!$C$4,8,1),0))))))</f>
        <v/>
      </c>
      <c r="AK8" s="13">
        <f>IF(B8="","",MAX($C41:$AG41))</f>
        <v/>
      </c>
      <c r="AL8" s="1" t="n"/>
    </row>
    <row r="9">
      <c r="A9" s="1" t="n"/>
      <c r="B9" s="32">
        <f>IF(Habits!B10="","",Habits!B10)</f>
        <v/>
      </c>
      <c r="C9" s="33" t="n"/>
      <c r="D9" s="33" t="inlineStr">
        <is>
          <t>x</t>
        </is>
      </c>
      <c r="E9" s="33" t="inlineStr">
        <is>
          <t>x</t>
        </is>
      </c>
      <c r="F9" s="33" t="inlineStr">
        <is>
          <t>x</t>
        </is>
      </c>
      <c r="G9" s="33" t="inlineStr">
        <is>
          <t>x</t>
        </is>
      </c>
      <c r="H9" s="33" t="inlineStr">
        <is>
          <t>x</t>
        </is>
      </c>
      <c r="I9" s="33" t="inlineStr">
        <is>
          <t>x</t>
        </is>
      </c>
      <c r="J9" s="33" t="inlineStr">
        <is>
          <t>x</t>
        </is>
      </c>
      <c r="K9" s="33" t="inlineStr">
        <is>
          <t>x</t>
        </is>
      </c>
      <c r="L9" s="33" t="inlineStr">
        <is>
          <t>x</t>
        </is>
      </c>
      <c r="M9" s="33" t="inlineStr">
        <is>
          <t>x</t>
        </is>
      </c>
      <c r="N9" s="33" t="inlineStr">
        <is>
          <t>x</t>
        </is>
      </c>
      <c r="O9" s="33" t="n"/>
      <c r="P9" s="33" t="inlineStr">
        <is>
          <t>x</t>
        </is>
      </c>
      <c r="Q9" s="33" t="inlineStr">
        <is>
          <t>x</t>
        </is>
      </c>
      <c r="R9" s="33" t="inlineStr">
        <is>
          <t>x</t>
        </is>
      </c>
      <c r="S9" s="33" t="n"/>
      <c r="T9" s="33" t="inlineStr">
        <is>
          <t>x</t>
        </is>
      </c>
      <c r="U9" s="33" t="inlineStr">
        <is>
          <t>x</t>
        </is>
      </c>
      <c r="V9" s="33" t="n"/>
      <c r="W9" s="33" t="inlineStr">
        <is>
          <t>x</t>
        </is>
      </c>
      <c r="X9" s="33" t="inlineStr">
        <is>
          <t>x</t>
        </is>
      </c>
      <c r="Y9" s="33" t="inlineStr">
        <is>
          <t>x</t>
        </is>
      </c>
      <c r="Z9" s="33" t="inlineStr">
        <is>
          <t>x</t>
        </is>
      </c>
      <c r="AA9" s="33" t="inlineStr">
        <is>
          <t>x</t>
        </is>
      </c>
      <c r="AB9" s="33" t="inlineStr">
        <is>
          <t>x</t>
        </is>
      </c>
      <c r="AC9" s="33" t="inlineStr">
        <is>
          <t>x</t>
        </is>
      </c>
      <c r="AD9" s="33" t="inlineStr">
        <is>
          <t>x</t>
        </is>
      </c>
      <c r="AE9" s="33" t="inlineStr">
        <is>
          <t>x</t>
        </is>
      </c>
      <c r="AF9" s="33" t="inlineStr">
        <is>
          <t>x</t>
        </is>
      </c>
      <c r="AG9" s="33" t="n"/>
      <c r="AH9" s="13">
        <f>IF(B9="","",COUNTIF($C42:$AG42,"&gt;0"))</f>
        <v/>
      </c>
      <c r="AI9" s="14">
        <f>IF(OR(B9="",IF(AND(Habits!$C$4=YEAR(TODAY()),8=MONTH(TODAY())),DAY(TODAY()),IF(DATE(Habits!$C$4,8,1)&gt;TODAY(),0,DAY(EOMONTH(DATE(Habits!$C$4,8,1),0))))=0),"",MIN(1,(COUNTIF($C42:$AG42,"&gt;0"))/IF(AND(Habits!$C$4=YEAR(TODAY()),8=MONTH(TODAY())),DAY(TODAY()),IF(DATE(Habits!$C$4,8,1)&gt;TODAY(),0,DAY(EOMONTH(DATE(Habits!$C$4,8,1),0))))))</f>
        <v/>
      </c>
      <c r="AJ9" s="16">
        <f>IF(B9="","",IF(AND(Habits!$C$4=YEAR(TODAY()),8=MONTH(TODAY())),IF(INDEX($C42:$AG42,DAY(TODAY()))&gt;0,INDEX($C42:$AG42,DAY(TODAY())),IF(DAY(TODAY())=1,IFERROR(INDEX(Jul!$C$42:$AG$42,DAY(EOMONTH(DATE(Habits!$C$4,7,1),0))),0),INDEX($C42:$AG42,DAY(TODAY())-1))),IF(DATE(Habits!$C$4,8,1)&gt;TODAY(),"",INDEX($C42:$AG42,DAY(EOMONTH(DATE(Habits!$C$4,8,1),0))))))</f>
        <v/>
      </c>
      <c r="AK9" s="13">
        <f>IF(B9="","",MAX($C42:$AG42))</f>
        <v/>
      </c>
      <c r="AL9" s="1" t="n"/>
    </row>
    <row r="10">
      <c r="A10" s="1" t="n"/>
      <c r="B10" s="32">
        <f>IF(Habits!B11="","",Habits!B11)</f>
        <v/>
      </c>
      <c r="C10" s="33" t="n"/>
      <c r="D10" s="33" t="n"/>
      <c r="E10" s="33" t="inlineStr">
        <is>
          <t>x</t>
        </is>
      </c>
      <c r="F10" s="33" t="inlineStr">
        <is>
          <t>x</t>
        </is>
      </c>
      <c r="G10" s="33" t="inlineStr">
        <is>
          <t>x</t>
        </is>
      </c>
      <c r="H10" s="33" t="n"/>
      <c r="I10" s="33" t="inlineStr">
        <is>
          <t>x</t>
        </is>
      </c>
      <c r="J10" s="33" t="inlineStr">
        <is>
          <t>x</t>
        </is>
      </c>
      <c r="K10" s="33" t="n"/>
      <c r="L10" s="33" t="n"/>
      <c r="M10" s="33" t="n"/>
      <c r="N10" s="33" t="inlineStr">
        <is>
          <t>x</t>
        </is>
      </c>
      <c r="O10" s="33" t="inlineStr">
        <is>
          <t>x</t>
        </is>
      </c>
      <c r="P10" s="33" t="n"/>
      <c r="Q10" s="33" t="inlineStr">
        <is>
          <t>x</t>
        </is>
      </c>
      <c r="R10" s="33" t="inlineStr">
        <is>
          <t>x</t>
        </is>
      </c>
      <c r="S10" s="33" t="n"/>
      <c r="T10" s="33" t="inlineStr">
        <is>
          <t>x</t>
        </is>
      </c>
      <c r="U10" s="33" t="inlineStr">
        <is>
          <t>x</t>
        </is>
      </c>
      <c r="V10" s="33" t="n"/>
      <c r="W10" s="33" t="n"/>
      <c r="X10" s="33" t="inlineStr">
        <is>
          <t>x</t>
        </is>
      </c>
      <c r="Y10" s="33" t="inlineStr">
        <is>
          <t>x</t>
        </is>
      </c>
      <c r="Z10" s="33" t="n"/>
      <c r="AA10" s="33" t="inlineStr">
        <is>
          <t>x</t>
        </is>
      </c>
      <c r="AB10" s="33" t="inlineStr">
        <is>
          <t>x</t>
        </is>
      </c>
      <c r="AC10" s="33" t="n"/>
      <c r="AD10" s="33" t="n"/>
      <c r="AE10" s="33" t="n"/>
      <c r="AF10" s="33" t="inlineStr">
        <is>
          <t>x</t>
        </is>
      </c>
      <c r="AG10" s="33" t="inlineStr">
        <is>
          <t>x</t>
        </is>
      </c>
      <c r="AH10" s="13">
        <f>IF(B10="","",COUNTIF($C43:$AG43,"&gt;0"))</f>
        <v/>
      </c>
      <c r="AI10" s="14">
        <f>IF(OR(B10="",IF(AND(Habits!$C$4=YEAR(TODAY()),8=MONTH(TODAY())),DAY(TODAY()),IF(DATE(Habits!$C$4,8,1)&gt;TODAY(),0,DAY(EOMONTH(DATE(Habits!$C$4,8,1),0))))=0),"",MIN(1,(COUNTIF($C43:$AG43,"&gt;0"))/IF(AND(Habits!$C$4=YEAR(TODAY()),8=MONTH(TODAY())),DAY(TODAY()),IF(DATE(Habits!$C$4,8,1)&gt;TODAY(),0,DAY(EOMONTH(DATE(Habits!$C$4,8,1),0))))))</f>
        <v/>
      </c>
      <c r="AJ10" s="16">
        <f>IF(B10="","",IF(AND(Habits!$C$4=YEAR(TODAY()),8=MONTH(TODAY())),IF(INDEX($C43:$AG43,DAY(TODAY()))&gt;0,INDEX($C43:$AG43,DAY(TODAY())),IF(DAY(TODAY())=1,IFERROR(INDEX(Jul!$C$43:$AG$43,DAY(EOMONTH(DATE(Habits!$C$4,7,1),0))),0),INDEX($C43:$AG43,DAY(TODAY())-1))),IF(DATE(Habits!$C$4,8,1)&gt;TODAY(),"",INDEX($C43:$AG43,DAY(EOMONTH(DATE(Habits!$C$4,8,1),0))))))</f>
        <v/>
      </c>
      <c r="AK10" s="13">
        <f>IF(B10="","",MAX($C43:$AG43))</f>
        <v/>
      </c>
      <c r="AL10" s="1" t="n"/>
    </row>
    <row r="11">
      <c r="A11" s="1" t="n"/>
      <c r="B11" s="32">
        <f>IF(Habits!B12="","",Habits!B12)</f>
        <v/>
      </c>
      <c r="C11" s="33" t="inlineStr">
        <is>
          <t>x</t>
        </is>
      </c>
      <c r="D11" s="33" t="n"/>
      <c r="E11" s="33" t="n"/>
      <c r="F11" s="33" t="n"/>
      <c r="G11" s="33" t="n"/>
      <c r="H11" s="33" t="inlineStr">
        <is>
          <t>x</t>
        </is>
      </c>
      <c r="I11" s="33" t="inlineStr">
        <is>
          <t>x</t>
        </is>
      </c>
      <c r="J11" s="33" t="n"/>
      <c r="K11" s="33" t="inlineStr">
        <is>
          <t>x</t>
        </is>
      </c>
      <c r="L11" s="33" t="inlineStr">
        <is>
          <t>x</t>
        </is>
      </c>
      <c r="M11" s="33" t="inlineStr">
        <is>
          <t>x</t>
        </is>
      </c>
      <c r="N11" s="33" t="inlineStr">
        <is>
          <t>x</t>
        </is>
      </c>
      <c r="O11" s="33" t="inlineStr">
        <is>
          <t>x</t>
        </is>
      </c>
      <c r="P11" s="33" t="n"/>
      <c r="Q11" s="33" t="inlineStr">
        <is>
          <t>x</t>
        </is>
      </c>
      <c r="R11" s="33" t="n"/>
      <c r="S11" s="33" t="inlineStr">
        <is>
          <t>x</t>
        </is>
      </c>
      <c r="T11" s="33" t="inlineStr">
        <is>
          <t>x</t>
        </is>
      </c>
      <c r="U11" s="33" t="inlineStr">
        <is>
          <t>x</t>
        </is>
      </c>
      <c r="V11" s="33" t="inlineStr">
        <is>
          <t>x</t>
        </is>
      </c>
      <c r="W11" s="33" t="inlineStr">
        <is>
          <t>x</t>
        </is>
      </c>
      <c r="X11" s="33" t="inlineStr">
        <is>
          <t>x</t>
        </is>
      </c>
      <c r="Y11" s="33" t="inlineStr">
        <is>
          <t>x</t>
        </is>
      </c>
      <c r="Z11" s="33" t="n"/>
      <c r="AA11" s="33" t="inlineStr">
        <is>
          <t>x</t>
        </is>
      </c>
      <c r="AB11" s="33" t="n"/>
      <c r="AC11" s="33" t="n"/>
      <c r="AD11" s="33" t="inlineStr">
        <is>
          <t>x</t>
        </is>
      </c>
      <c r="AE11" s="33" t="n"/>
      <c r="AF11" s="33" t="n"/>
      <c r="AG11" s="33" t="inlineStr">
        <is>
          <t>x</t>
        </is>
      </c>
      <c r="AH11" s="13">
        <f>IF(B11="","",COUNTIF($C44:$AG44,"&gt;0"))</f>
        <v/>
      </c>
      <c r="AI11" s="14">
        <f>IF(OR(B11="",IF(AND(Habits!$C$4=YEAR(TODAY()),8=MONTH(TODAY())),DAY(TODAY()),IF(DATE(Habits!$C$4,8,1)&gt;TODAY(),0,DAY(EOMONTH(DATE(Habits!$C$4,8,1),0))))=0),"",MIN(1,(COUNTIF($C44:$AG44,"&gt;0"))/IF(AND(Habits!$C$4=YEAR(TODAY()),8=MONTH(TODAY())),DAY(TODAY()),IF(DATE(Habits!$C$4,8,1)&gt;TODAY(),0,DAY(EOMONTH(DATE(Habits!$C$4,8,1),0))))))</f>
        <v/>
      </c>
      <c r="AJ11" s="16">
        <f>IF(B11="","",IF(AND(Habits!$C$4=YEAR(TODAY()),8=MONTH(TODAY())),IF(INDEX($C44:$AG44,DAY(TODAY()))&gt;0,INDEX($C44:$AG44,DAY(TODAY())),IF(DAY(TODAY())=1,IFERROR(INDEX(Jul!$C$44:$AG$44,DAY(EOMONTH(DATE(Habits!$C$4,7,1),0))),0),INDEX($C44:$AG44,DAY(TODAY())-1))),IF(DATE(Habits!$C$4,8,1)&gt;TODAY(),"",INDEX($C44:$AG44,DAY(EOMONTH(DATE(Habits!$C$4,8,1),0))))))</f>
        <v/>
      </c>
      <c r="AK11" s="13">
        <f>IF(B11="","",MAX($C44:$AG44))</f>
        <v/>
      </c>
      <c r="AL11" s="1" t="n"/>
    </row>
    <row r="12">
      <c r="A12" s="1" t="n"/>
      <c r="B12" s="32">
        <f>IF(Habits!B13="","",Habits!B13)</f>
        <v/>
      </c>
      <c r="C12" s="33" t="inlineStr">
        <is>
          <t>x</t>
        </is>
      </c>
      <c r="D12" s="33" t="inlineStr">
        <is>
          <t>x</t>
        </is>
      </c>
      <c r="E12" s="33" t="inlineStr">
        <is>
          <t>x</t>
        </is>
      </c>
      <c r="F12" s="33" t="inlineStr">
        <is>
          <t>x</t>
        </is>
      </c>
      <c r="G12" s="33" t="inlineStr">
        <is>
          <t>x</t>
        </is>
      </c>
      <c r="H12" s="33" t="inlineStr">
        <is>
          <t>x</t>
        </is>
      </c>
      <c r="I12" s="33" t="inlineStr">
        <is>
          <t>x</t>
        </is>
      </c>
      <c r="J12" s="33" t="n"/>
      <c r="K12" s="33" t="n"/>
      <c r="L12" s="33" t="inlineStr">
        <is>
          <t>x</t>
        </is>
      </c>
      <c r="M12" s="33" t="n"/>
      <c r="N12" s="33" t="n"/>
      <c r="O12" s="33" t="inlineStr">
        <is>
          <t>x</t>
        </is>
      </c>
      <c r="P12" s="33" t="inlineStr">
        <is>
          <t>x</t>
        </is>
      </c>
      <c r="Q12" s="33" t="inlineStr">
        <is>
          <t>x</t>
        </is>
      </c>
      <c r="R12" s="33" t="n"/>
      <c r="S12" s="33" t="n"/>
      <c r="T12" s="33" t="inlineStr">
        <is>
          <t>x</t>
        </is>
      </c>
      <c r="U12" s="33" t="inlineStr">
        <is>
          <t>x</t>
        </is>
      </c>
      <c r="V12" s="33" t="n"/>
      <c r="W12" s="33" t="n"/>
      <c r="X12" s="33" t="inlineStr">
        <is>
          <t>x</t>
        </is>
      </c>
      <c r="Y12" s="33" t="n"/>
      <c r="Z12" s="33" t="n"/>
      <c r="AA12" s="33" t="inlineStr">
        <is>
          <t>x</t>
        </is>
      </c>
      <c r="AB12" s="33" t="n"/>
      <c r="AC12" s="33" t="inlineStr">
        <is>
          <t>x</t>
        </is>
      </c>
      <c r="AD12" s="33" t="n"/>
      <c r="AE12" s="33" t="n"/>
      <c r="AF12" s="33" t="n"/>
      <c r="AG12" s="33" t="inlineStr">
        <is>
          <t>x</t>
        </is>
      </c>
      <c r="AH12" s="13">
        <f>IF(B12="","",COUNTIF($C45:$AG45,"&gt;0"))</f>
        <v/>
      </c>
      <c r="AI12" s="14">
        <f>IF(OR(B12="",IF(AND(Habits!$C$4=YEAR(TODAY()),8=MONTH(TODAY())),DAY(TODAY()),IF(DATE(Habits!$C$4,8,1)&gt;TODAY(),0,DAY(EOMONTH(DATE(Habits!$C$4,8,1),0))))=0),"",MIN(1,(COUNTIF($C45:$AG45,"&gt;0"))/IF(AND(Habits!$C$4=YEAR(TODAY()),8=MONTH(TODAY())),DAY(TODAY()),IF(DATE(Habits!$C$4,8,1)&gt;TODAY(),0,DAY(EOMONTH(DATE(Habits!$C$4,8,1),0))))))</f>
        <v/>
      </c>
      <c r="AJ12" s="16">
        <f>IF(B12="","",IF(AND(Habits!$C$4=YEAR(TODAY()),8=MONTH(TODAY())),IF(INDEX($C45:$AG45,DAY(TODAY()))&gt;0,INDEX($C45:$AG45,DAY(TODAY())),IF(DAY(TODAY())=1,IFERROR(INDEX(Jul!$C$45:$AG$45,DAY(EOMONTH(DATE(Habits!$C$4,7,1),0))),0),INDEX($C45:$AG45,DAY(TODAY())-1))),IF(DATE(Habits!$C$4,8,1)&gt;TODAY(),"",INDEX($C45:$AG45,DAY(EOMONTH(DATE(Habits!$C$4,8,1),0))))))</f>
        <v/>
      </c>
      <c r="AK12" s="13">
        <f>IF(B12="","",MAX($C45:$AG45))</f>
        <v/>
      </c>
      <c r="AL12" s="1" t="n"/>
    </row>
    <row r="13">
      <c r="A13" s="1" t="n"/>
      <c r="B13" s="32">
        <f>IF(Habits!B14="","",Habits!B14)</f>
        <v/>
      </c>
      <c r="C13" s="33" t="inlineStr">
        <is>
          <t>x</t>
        </is>
      </c>
      <c r="D13" s="33" t="inlineStr">
        <is>
          <t>x</t>
        </is>
      </c>
      <c r="E13" s="33" t="inlineStr">
        <is>
          <t>x</t>
        </is>
      </c>
      <c r="F13" s="33" t="inlineStr">
        <is>
          <t>x</t>
        </is>
      </c>
      <c r="G13" s="33" t="inlineStr">
        <is>
          <t>x</t>
        </is>
      </c>
      <c r="H13" s="33" t="inlineStr">
        <is>
          <t>x</t>
        </is>
      </c>
      <c r="I13" s="33" t="inlineStr">
        <is>
          <t>x</t>
        </is>
      </c>
      <c r="J13" s="33" t="inlineStr">
        <is>
          <t>x</t>
        </is>
      </c>
      <c r="K13" s="33" t="inlineStr">
        <is>
          <t>x</t>
        </is>
      </c>
      <c r="L13" s="33" t="inlineStr">
        <is>
          <t>x</t>
        </is>
      </c>
      <c r="M13" s="33" t="inlineStr">
        <is>
          <t>x</t>
        </is>
      </c>
      <c r="N13" s="33" t="inlineStr">
        <is>
          <t>x</t>
        </is>
      </c>
      <c r="O13" s="33" t="inlineStr">
        <is>
          <t>x</t>
        </is>
      </c>
      <c r="P13" s="33" t="n"/>
      <c r="Q13" s="33" t="inlineStr">
        <is>
          <t>x</t>
        </is>
      </c>
      <c r="R13" s="33" t="inlineStr">
        <is>
          <t>x</t>
        </is>
      </c>
      <c r="S13" s="33" t="inlineStr">
        <is>
          <t>x</t>
        </is>
      </c>
      <c r="T13" s="33" t="inlineStr">
        <is>
          <t>x</t>
        </is>
      </c>
      <c r="U13" s="33" t="inlineStr">
        <is>
          <t>x</t>
        </is>
      </c>
      <c r="V13" s="33" t="inlineStr">
        <is>
          <t>x</t>
        </is>
      </c>
      <c r="W13" s="33" t="inlineStr">
        <is>
          <t>x</t>
        </is>
      </c>
      <c r="X13" s="33" t="inlineStr">
        <is>
          <t>x</t>
        </is>
      </c>
      <c r="Y13" s="33" t="inlineStr">
        <is>
          <t>x</t>
        </is>
      </c>
      <c r="Z13" s="33" t="inlineStr">
        <is>
          <t>x</t>
        </is>
      </c>
      <c r="AA13" s="33" t="inlineStr">
        <is>
          <t>x</t>
        </is>
      </c>
      <c r="AB13" s="33" t="inlineStr">
        <is>
          <t>x</t>
        </is>
      </c>
      <c r="AC13" s="33" t="inlineStr">
        <is>
          <t>x</t>
        </is>
      </c>
      <c r="AD13" s="33" t="inlineStr">
        <is>
          <t>x</t>
        </is>
      </c>
      <c r="AE13" s="33" t="inlineStr">
        <is>
          <t>x</t>
        </is>
      </c>
      <c r="AF13" s="33" t="inlineStr">
        <is>
          <t>x</t>
        </is>
      </c>
      <c r="AG13" s="33" t="inlineStr">
        <is>
          <t>x</t>
        </is>
      </c>
      <c r="AH13" s="13">
        <f>IF(B13="","",COUNTIF($C46:$AG46,"&gt;0"))</f>
        <v/>
      </c>
      <c r="AI13" s="14">
        <f>IF(OR(B13="",IF(AND(Habits!$C$4=YEAR(TODAY()),8=MONTH(TODAY())),DAY(TODAY()),IF(DATE(Habits!$C$4,8,1)&gt;TODAY(),0,DAY(EOMONTH(DATE(Habits!$C$4,8,1),0))))=0),"",MIN(1,(COUNTIF($C46:$AG46,"&gt;0"))/IF(AND(Habits!$C$4=YEAR(TODAY()),8=MONTH(TODAY())),DAY(TODAY()),IF(DATE(Habits!$C$4,8,1)&gt;TODAY(),0,DAY(EOMONTH(DATE(Habits!$C$4,8,1),0))))))</f>
        <v/>
      </c>
      <c r="AJ13" s="16">
        <f>IF(B13="","",IF(AND(Habits!$C$4=YEAR(TODAY()),8=MONTH(TODAY())),IF(INDEX($C46:$AG46,DAY(TODAY()))&gt;0,INDEX($C46:$AG46,DAY(TODAY())),IF(DAY(TODAY())=1,IFERROR(INDEX(Jul!$C$46:$AG$46,DAY(EOMONTH(DATE(Habits!$C$4,7,1),0))),0),INDEX($C46:$AG46,DAY(TODAY())-1))),IF(DATE(Habits!$C$4,8,1)&gt;TODAY(),"",INDEX($C46:$AG46,DAY(EOMONTH(DATE(Habits!$C$4,8,1),0))))))</f>
        <v/>
      </c>
      <c r="AK13" s="13">
        <f>IF(B13="","",MAX($C46:$AG46))</f>
        <v/>
      </c>
      <c r="AL13" s="1" t="n"/>
    </row>
    <row r="14">
      <c r="A14" s="1" t="n"/>
      <c r="B14" s="32">
        <f>IF(Habits!B15="","",Habits!B15)</f>
        <v/>
      </c>
      <c r="C14" s="33" t="inlineStr">
        <is>
          <t>x</t>
        </is>
      </c>
      <c r="D14" s="33" t="n"/>
      <c r="E14" s="33" t="n"/>
      <c r="F14" s="33" t="n"/>
      <c r="G14" s="33" t="n"/>
      <c r="H14" s="33" t="inlineStr">
        <is>
          <t>x</t>
        </is>
      </c>
      <c r="I14" s="33" t="inlineStr">
        <is>
          <t>x</t>
        </is>
      </c>
      <c r="J14" s="33" t="inlineStr">
        <is>
          <t>x</t>
        </is>
      </c>
      <c r="K14" s="33" t="n"/>
      <c r="L14" s="33" t="inlineStr">
        <is>
          <t>x</t>
        </is>
      </c>
      <c r="M14" s="33" t="inlineStr">
        <is>
          <t>x</t>
        </is>
      </c>
      <c r="N14" s="33" t="inlineStr">
        <is>
          <t>x</t>
        </is>
      </c>
      <c r="O14" s="33" t="inlineStr">
        <is>
          <t>x</t>
        </is>
      </c>
      <c r="P14" s="33" t="inlineStr">
        <is>
          <t>x</t>
        </is>
      </c>
      <c r="Q14" s="33" t="n"/>
      <c r="R14" s="33" t="inlineStr">
        <is>
          <t>x</t>
        </is>
      </c>
      <c r="S14" s="33" t="n"/>
      <c r="T14" s="33" t="inlineStr">
        <is>
          <t>x</t>
        </is>
      </c>
      <c r="U14" s="33" t="n"/>
      <c r="V14" s="33" t="inlineStr">
        <is>
          <t>x</t>
        </is>
      </c>
      <c r="W14" s="33" t="n"/>
      <c r="X14" s="33" t="n"/>
      <c r="Y14" s="33" t="inlineStr">
        <is>
          <t>x</t>
        </is>
      </c>
      <c r="Z14" s="33" t="inlineStr">
        <is>
          <t>x</t>
        </is>
      </c>
      <c r="AA14" s="33" t="inlineStr">
        <is>
          <t>x</t>
        </is>
      </c>
      <c r="AB14" s="33" t="n"/>
      <c r="AC14" s="33" t="inlineStr">
        <is>
          <t>x</t>
        </is>
      </c>
      <c r="AD14" s="33" t="n"/>
      <c r="AE14" s="33" t="inlineStr">
        <is>
          <t>x</t>
        </is>
      </c>
      <c r="AF14" s="33" t="inlineStr">
        <is>
          <t>x</t>
        </is>
      </c>
      <c r="AG14" s="33" t="inlineStr">
        <is>
          <t>x</t>
        </is>
      </c>
      <c r="AH14" s="13">
        <f>IF(B14="","",COUNTIF($C47:$AG47,"&gt;0"))</f>
        <v/>
      </c>
      <c r="AI14" s="14">
        <f>IF(OR(B14="",IF(AND(Habits!$C$4=YEAR(TODAY()),8=MONTH(TODAY())),DAY(TODAY()),IF(DATE(Habits!$C$4,8,1)&gt;TODAY(),0,DAY(EOMONTH(DATE(Habits!$C$4,8,1),0))))=0),"",MIN(1,(COUNTIF($C47:$AG47,"&gt;0"))/IF(AND(Habits!$C$4=YEAR(TODAY()),8=MONTH(TODAY())),DAY(TODAY()),IF(DATE(Habits!$C$4,8,1)&gt;TODAY(),0,DAY(EOMONTH(DATE(Habits!$C$4,8,1),0))))))</f>
        <v/>
      </c>
      <c r="AJ14" s="16">
        <f>IF(B14="","",IF(AND(Habits!$C$4=YEAR(TODAY()),8=MONTH(TODAY())),IF(INDEX($C47:$AG47,DAY(TODAY()))&gt;0,INDEX($C47:$AG47,DAY(TODAY())),IF(DAY(TODAY())=1,IFERROR(INDEX(Jul!$C$47:$AG$47,DAY(EOMONTH(DATE(Habits!$C$4,7,1),0))),0),INDEX($C47:$AG47,DAY(TODAY())-1))),IF(DATE(Habits!$C$4,8,1)&gt;TODAY(),"",INDEX($C47:$AG47,DAY(EOMONTH(DATE(Habits!$C$4,8,1),0))))))</f>
        <v/>
      </c>
      <c r="AK14" s="13">
        <f>IF(B14="","",MAX($C47:$AG47))</f>
        <v/>
      </c>
      <c r="AL14" s="1" t="n"/>
    </row>
    <row r="15">
      <c r="A15" s="1" t="n"/>
      <c r="B15" s="32">
        <f>IF(Habits!B16="","",Habits!B16)</f>
        <v/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13">
        <f>IF(B15="","",COUNTIF($C48:$AG48,"&gt;0"))</f>
        <v/>
      </c>
      <c r="AI15" s="14">
        <f>IF(OR(B15="",IF(AND(Habits!$C$4=YEAR(TODAY()),8=MONTH(TODAY())),DAY(TODAY()),IF(DATE(Habits!$C$4,8,1)&gt;TODAY(),0,DAY(EOMONTH(DATE(Habits!$C$4,8,1),0))))=0),"",MIN(1,(COUNTIF($C48:$AG48,"&gt;0"))/IF(AND(Habits!$C$4=YEAR(TODAY()),8=MONTH(TODAY())),DAY(TODAY()),IF(DATE(Habits!$C$4,8,1)&gt;TODAY(),0,DAY(EOMONTH(DATE(Habits!$C$4,8,1),0))))))</f>
        <v/>
      </c>
      <c r="AJ15" s="16">
        <f>IF(B15="","",IF(AND(Habits!$C$4=YEAR(TODAY()),8=MONTH(TODAY())),IF(INDEX($C48:$AG48,DAY(TODAY()))&gt;0,INDEX($C48:$AG48,DAY(TODAY())),IF(DAY(TODAY())=1,IFERROR(INDEX(Jul!$C$48:$AG$48,DAY(EOMONTH(DATE(Habits!$C$4,7,1),0))),0),INDEX($C48:$AG48,DAY(TODAY())-1))),IF(DATE(Habits!$C$4,8,1)&gt;TODAY(),"",INDEX($C48:$AG48,DAY(EOMONTH(DATE(Habits!$C$4,8,1),0))))))</f>
        <v/>
      </c>
      <c r="AK15" s="13">
        <f>IF(B15="","",MAX($C48:$AG48))</f>
        <v/>
      </c>
      <c r="AL15" s="1" t="n"/>
    </row>
    <row r="16">
      <c r="A16" s="1" t="n"/>
      <c r="B16" s="32">
        <f>IF(Habits!B17="","",Habits!B17)</f>
        <v/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13">
        <f>IF(B16="","",COUNTIF($C49:$AG49,"&gt;0"))</f>
        <v/>
      </c>
      <c r="AI16" s="14">
        <f>IF(OR(B16="",IF(AND(Habits!$C$4=YEAR(TODAY()),8=MONTH(TODAY())),DAY(TODAY()),IF(DATE(Habits!$C$4,8,1)&gt;TODAY(),0,DAY(EOMONTH(DATE(Habits!$C$4,8,1),0))))=0),"",MIN(1,(COUNTIF($C49:$AG49,"&gt;0"))/IF(AND(Habits!$C$4=YEAR(TODAY()),8=MONTH(TODAY())),DAY(TODAY()),IF(DATE(Habits!$C$4,8,1)&gt;TODAY(),0,DAY(EOMONTH(DATE(Habits!$C$4,8,1),0))))))</f>
        <v/>
      </c>
      <c r="AJ16" s="16">
        <f>IF(B16="","",IF(AND(Habits!$C$4=YEAR(TODAY()),8=MONTH(TODAY())),IF(INDEX($C49:$AG49,DAY(TODAY()))&gt;0,INDEX($C49:$AG49,DAY(TODAY())),IF(DAY(TODAY())=1,IFERROR(INDEX(Jul!$C$49:$AG$49,DAY(EOMONTH(DATE(Habits!$C$4,7,1),0))),0),INDEX($C49:$AG49,DAY(TODAY())-1))),IF(DATE(Habits!$C$4,8,1)&gt;TODAY(),"",INDEX($C49:$AG49,DAY(EOMONTH(DATE(Habits!$C$4,8,1),0))))))</f>
        <v/>
      </c>
      <c r="AK16" s="13">
        <f>IF(B16="","",MAX($C49:$AG49))</f>
        <v/>
      </c>
      <c r="AL16" s="1" t="n"/>
    </row>
    <row r="17">
      <c r="A17" s="1" t="n"/>
      <c r="B17" s="32">
        <f>IF(Habits!B18="","",Habits!B18)</f>
        <v/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13">
        <f>IF(B17="","",COUNTIF($C50:$AG50,"&gt;0"))</f>
        <v/>
      </c>
      <c r="AI17" s="14">
        <f>IF(OR(B17="",IF(AND(Habits!$C$4=YEAR(TODAY()),8=MONTH(TODAY())),DAY(TODAY()),IF(DATE(Habits!$C$4,8,1)&gt;TODAY(),0,DAY(EOMONTH(DATE(Habits!$C$4,8,1),0))))=0),"",MIN(1,(COUNTIF($C50:$AG50,"&gt;0"))/IF(AND(Habits!$C$4=YEAR(TODAY()),8=MONTH(TODAY())),DAY(TODAY()),IF(DATE(Habits!$C$4,8,1)&gt;TODAY(),0,DAY(EOMONTH(DATE(Habits!$C$4,8,1),0))))))</f>
        <v/>
      </c>
      <c r="AJ17" s="16">
        <f>IF(B17="","",IF(AND(Habits!$C$4=YEAR(TODAY()),8=MONTH(TODAY())),IF(INDEX($C50:$AG50,DAY(TODAY()))&gt;0,INDEX($C50:$AG50,DAY(TODAY())),IF(DAY(TODAY())=1,IFERROR(INDEX(Jul!$C$50:$AG$50,DAY(EOMONTH(DATE(Habits!$C$4,7,1),0))),0),INDEX($C50:$AG50,DAY(TODAY())-1))),IF(DATE(Habits!$C$4,8,1)&gt;TODAY(),"",INDEX($C50:$AG50,DAY(EOMONTH(DATE(Habits!$C$4,8,1),0))))))</f>
        <v/>
      </c>
      <c r="AK17" s="13">
        <f>IF(B17="","",MAX($C50:$AG50))</f>
        <v/>
      </c>
      <c r="AL17" s="1" t="n"/>
    </row>
    <row r="18">
      <c r="A18" s="1" t="n"/>
      <c r="B18" s="32">
        <f>IF(Habits!B19="","",Habits!B19)</f>
        <v/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13">
        <f>IF(B18="","",COUNTIF($C51:$AG51,"&gt;0"))</f>
        <v/>
      </c>
      <c r="AI18" s="14">
        <f>IF(OR(B18="",IF(AND(Habits!$C$4=YEAR(TODAY()),8=MONTH(TODAY())),DAY(TODAY()),IF(DATE(Habits!$C$4,8,1)&gt;TODAY(),0,DAY(EOMONTH(DATE(Habits!$C$4,8,1),0))))=0),"",MIN(1,(COUNTIF($C51:$AG51,"&gt;0"))/IF(AND(Habits!$C$4=YEAR(TODAY()),8=MONTH(TODAY())),DAY(TODAY()),IF(DATE(Habits!$C$4,8,1)&gt;TODAY(),0,DAY(EOMONTH(DATE(Habits!$C$4,8,1),0))))))</f>
        <v/>
      </c>
      <c r="AJ18" s="16">
        <f>IF(B18="","",IF(AND(Habits!$C$4=YEAR(TODAY()),8=MONTH(TODAY())),IF(INDEX($C51:$AG51,DAY(TODAY()))&gt;0,INDEX($C51:$AG51,DAY(TODAY())),IF(DAY(TODAY())=1,IFERROR(INDEX(Jul!$C$51:$AG$51,DAY(EOMONTH(DATE(Habits!$C$4,7,1),0))),0),INDEX($C51:$AG51,DAY(TODAY())-1))),IF(DATE(Habits!$C$4,8,1)&gt;TODAY(),"",INDEX($C51:$AG51,DAY(EOMONTH(DATE(Habits!$C$4,8,1),0))))))</f>
        <v/>
      </c>
      <c r="AK18" s="13">
        <f>IF(B18="","",MAX($C51:$AG51))</f>
        <v/>
      </c>
      <c r="AL18" s="1" t="n"/>
    </row>
    <row r="19">
      <c r="A19" s="1" t="n"/>
      <c r="B19" s="32">
        <f>IF(Habits!B20="","",Habits!B20)</f>
        <v/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13">
        <f>IF(B19="","",COUNTIF($C52:$AG52,"&gt;0"))</f>
        <v/>
      </c>
      <c r="AI19" s="14">
        <f>IF(OR(B19="",IF(AND(Habits!$C$4=YEAR(TODAY()),8=MONTH(TODAY())),DAY(TODAY()),IF(DATE(Habits!$C$4,8,1)&gt;TODAY(),0,DAY(EOMONTH(DATE(Habits!$C$4,8,1),0))))=0),"",MIN(1,(COUNTIF($C52:$AG52,"&gt;0"))/IF(AND(Habits!$C$4=YEAR(TODAY()),8=MONTH(TODAY())),DAY(TODAY()),IF(DATE(Habits!$C$4,8,1)&gt;TODAY(),0,DAY(EOMONTH(DATE(Habits!$C$4,8,1),0))))))</f>
        <v/>
      </c>
      <c r="AJ19" s="16">
        <f>IF(B19="","",IF(AND(Habits!$C$4=YEAR(TODAY()),8=MONTH(TODAY())),IF(INDEX($C52:$AG52,DAY(TODAY()))&gt;0,INDEX($C52:$AG52,DAY(TODAY())),IF(DAY(TODAY())=1,IFERROR(INDEX(Jul!$C$52:$AG$52,DAY(EOMONTH(DATE(Habits!$C$4,7,1),0))),0),INDEX($C52:$AG52,DAY(TODAY())-1))),IF(DATE(Habits!$C$4,8,1)&gt;TODAY(),"",INDEX($C52:$AG52,DAY(EOMONTH(DATE(Habits!$C$4,8,1),0))))))</f>
        <v/>
      </c>
      <c r="AK19" s="13">
        <f>IF(B19="","",MAX($C52:$AG52))</f>
        <v/>
      </c>
      <c r="AL19" s="1" t="n"/>
    </row>
    <row r="20">
      <c r="A20" s="1" t="n"/>
      <c r="B20" s="32">
        <f>IF(Habits!B21="","",Habits!B21)</f>
        <v/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13">
        <f>IF(B20="","",COUNTIF($C53:$AG53,"&gt;0"))</f>
        <v/>
      </c>
      <c r="AI20" s="14">
        <f>IF(OR(B20="",IF(AND(Habits!$C$4=YEAR(TODAY()),8=MONTH(TODAY())),DAY(TODAY()),IF(DATE(Habits!$C$4,8,1)&gt;TODAY(),0,DAY(EOMONTH(DATE(Habits!$C$4,8,1),0))))=0),"",MIN(1,(COUNTIF($C53:$AG53,"&gt;0"))/IF(AND(Habits!$C$4=YEAR(TODAY()),8=MONTH(TODAY())),DAY(TODAY()),IF(DATE(Habits!$C$4,8,1)&gt;TODAY(),0,DAY(EOMONTH(DATE(Habits!$C$4,8,1),0))))))</f>
        <v/>
      </c>
      <c r="AJ20" s="16">
        <f>IF(B20="","",IF(AND(Habits!$C$4=YEAR(TODAY()),8=MONTH(TODAY())),IF(INDEX($C53:$AG53,DAY(TODAY()))&gt;0,INDEX($C53:$AG53,DAY(TODAY())),IF(DAY(TODAY())=1,IFERROR(INDEX(Jul!$C$53:$AG$53,DAY(EOMONTH(DATE(Habits!$C$4,7,1),0))),0),INDEX($C53:$AG53,DAY(TODAY())-1))),IF(DATE(Habits!$C$4,8,1)&gt;TODAY(),"",INDEX($C53:$AG53,DAY(EOMONTH(DATE(Habits!$C$4,8,1),0))))))</f>
        <v/>
      </c>
      <c r="AK20" s="13">
        <f>IF(B20="","",MAX($C53:$AG53))</f>
        <v/>
      </c>
      <c r="AL20" s="1" t="n"/>
    </row>
    <row r="21">
      <c r="A21" s="1" t="n"/>
      <c r="B21" s="32">
        <f>IF(Habits!B22="","",Habits!B22)</f>
        <v/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13">
        <f>IF(B21="","",COUNTIF($C54:$AG54,"&gt;0"))</f>
        <v/>
      </c>
      <c r="AI21" s="14">
        <f>IF(OR(B21="",IF(AND(Habits!$C$4=YEAR(TODAY()),8=MONTH(TODAY())),DAY(TODAY()),IF(DATE(Habits!$C$4,8,1)&gt;TODAY(),0,DAY(EOMONTH(DATE(Habits!$C$4,8,1),0))))=0),"",MIN(1,(COUNTIF($C54:$AG54,"&gt;0"))/IF(AND(Habits!$C$4=YEAR(TODAY()),8=MONTH(TODAY())),DAY(TODAY()),IF(DATE(Habits!$C$4,8,1)&gt;TODAY(),0,DAY(EOMONTH(DATE(Habits!$C$4,8,1),0))))))</f>
        <v/>
      </c>
      <c r="AJ21" s="16">
        <f>IF(B21="","",IF(AND(Habits!$C$4=YEAR(TODAY()),8=MONTH(TODAY())),IF(INDEX($C54:$AG54,DAY(TODAY()))&gt;0,INDEX($C54:$AG54,DAY(TODAY())),IF(DAY(TODAY())=1,IFERROR(INDEX(Jul!$C$54:$AG$54,DAY(EOMONTH(DATE(Habits!$C$4,7,1),0))),0),INDEX($C54:$AG54,DAY(TODAY())-1))),IF(DATE(Habits!$C$4,8,1)&gt;TODAY(),"",INDEX($C54:$AG54,DAY(EOMONTH(DATE(Habits!$C$4,8,1),0))))))</f>
        <v/>
      </c>
      <c r="AK21" s="13">
        <f>IF(B21="","",MAX($C54:$AG54))</f>
        <v/>
      </c>
      <c r="A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>
      <c r="A23" s="1" t="n"/>
      <c r="B23" s="12" t="inlineStr">
        <is>
          <t>Mood (1 to 5)</t>
        </is>
      </c>
      <c r="C23" s="34" t="n">
        <v>4</v>
      </c>
      <c r="D23" s="34" t="n">
        <v>2</v>
      </c>
      <c r="E23" s="34" t="n">
        <v>3</v>
      </c>
      <c r="F23" s="34" t="n">
        <v>4</v>
      </c>
      <c r="G23" s="34" t="n">
        <v>3</v>
      </c>
      <c r="H23" s="34" t="n">
        <v>5</v>
      </c>
      <c r="I23" s="34" t="n">
        <v>5</v>
      </c>
      <c r="J23" s="34" t="n">
        <v>5</v>
      </c>
      <c r="K23" s="34" t="n">
        <v>3</v>
      </c>
      <c r="L23" s="34" t="n">
        <v>5</v>
      </c>
      <c r="M23" s="34" t="n">
        <v>3</v>
      </c>
      <c r="N23" s="34" t="n">
        <v>4</v>
      </c>
      <c r="O23" s="34" t="n">
        <v>4</v>
      </c>
      <c r="P23" s="34" t="n">
        <v>4</v>
      </c>
      <c r="Q23" s="34" t="n">
        <v>5</v>
      </c>
      <c r="R23" s="34" t="n">
        <v>4</v>
      </c>
      <c r="S23" s="34" t="n">
        <v>3</v>
      </c>
      <c r="T23" s="34" t="n">
        <v>3</v>
      </c>
      <c r="U23" s="34" t="n">
        <v>4</v>
      </c>
      <c r="V23" s="34" t="n">
        <v>3</v>
      </c>
      <c r="W23" s="34" t="n">
        <v>3</v>
      </c>
      <c r="X23" s="34" t="n">
        <v>4</v>
      </c>
      <c r="Y23" s="34" t="n">
        <v>4</v>
      </c>
      <c r="Z23" s="34" t="n">
        <v>4</v>
      </c>
      <c r="AA23" s="34" t="n">
        <v>3</v>
      </c>
      <c r="AB23" s="34" t="n">
        <v>4</v>
      </c>
      <c r="AC23" s="34" t="n">
        <v>5</v>
      </c>
      <c r="AD23" s="34" t="n">
        <v>4</v>
      </c>
      <c r="AE23" s="34" t="n">
        <v>5</v>
      </c>
      <c r="AF23" s="34" t="n">
        <v>3</v>
      </c>
      <c r="AG23" s="34" t="n">
        <v>5</v>
      </c>
      <c r="AH23" s="35">
        <f>IFERROR(AVERAGE(C23:AG23),"")</f>
        <v/>
      </c>
      <c r="AI23" s="11" t="n"/>
      <c r="AJ23" s="36" t="inlineStr">
        <is>
          <t>average</t>
        </is>
      </c>
      <c r="AK23" s="1" t="n"/>
      <c r="AL23" s="1" t="n"/>
    </row>
    <row r="24">
      <c r="A24" s="1" t="n"/>
      <c r="B24" s="12" t="inlineStr">
        <is>
          <t>Sleep (hours)</t>
        </is>
      </c>
      <c r="C24" s="34" t="n">
        <v>7.5</v>
      </c>
      <c r="D24" s="34" t="n">
        <v>7</v>
      </c>
      <c r="E24" s="34" t="n">
        <v>8</v>
      </c>
      <c r="F24" s="34" t="n">
        <v>6</v>
      </c>
      <c r="G24" s="34" t="n">
        <v>7.5</v>
      </c>
      <c r="H24" s="34" t="n">
        <v>7</v>
      </c>
      <c r="I24" s="34" t="n">
        <v>7</v>
      </c>
      <c r="J24" s="34" t="n">
        <v>7</v>
      </c>
      <c r="K24" s="34" t="n">
        <v>7.5</v>
      </c>
      <c r="L24" s="34" t="n">
        <v>6.5</v>
      </c>
      <c r="M24" s="34" t="n">
        <v>7.5</v>
      </c>
      <c r="N24" s="34" t="n">
        <v>6</v>
      </c>
      <c r="O24" s="34" t="n">
        <v>7</v>
      </c>
      <c r="P24" s="34" t="n">
        <v>6.5</v>
      </c>
      <c r="Q24" s="34" t="n">
        <v>6.5</v>
      </c>
      <c r="R24" s="34" t="n">
        <v>6</v>
      </c>
      <c r="S24" s="34" t="n">
        <v>6.5</v>
      </c>
      <c r="T24" s="34" t="n">
        <v>6.5</v>
      </c>
      <c r="U24" s="34" t="n">
        <v>8.5</v>
      </c>
      <c r="V24" s="34" t="n">
        <v>6</v>
      </c>
      <c r="W24" s="34" t="n">
        <v>8.5</v>
      </c>
      <c r="X24" s="34" t="n">
        <v>7</v>
      </c>
      <c r="Y24" s="34" t="n">
        <v>8</v>
      </c>
      <c r="Z24" s="34" t="n">
        <v>7</v>
      </c>
      <c r="AA24" s="34" t="n">
        <v>6</v>
      </c>
      <c r="AB24" s="34" t="n">
        <v>6.5</v>
      </c>
      <c r="AC24" s="34" t="n">
        <v>8.5</v>
      </c>
      <c r="AD24" s="34" t="n">
        <v>7</v>
      </c>
      <c r="AE24" s="34" t="n">
        <v>8.5</v>
      </c>
      <c r="AF24" s="34" t="n">
        <v>6</v>
      </c>
      <c r="AG24" s="34" t="n">
        <v>7.5</v>
      </c>
      <c r="AH24" s="35">
        <f>IFERROR(AVERAGE(C24:AG24),"")</f>
        <v/>
      </c>
      <c r="AI24" s="11" t="n"/>
      <c r="AJ24" s="36" t="inlineStr">
        <is>
          <t>average</t>
        </is>
      </c>
      <c r="AK24" s="1" t="n"/>
      <c r="A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idden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idden="1">
      <c r="A40" s="1" t="n"/>
      <c r="B40" s="1">
        <f>B7</f>
        <v/>
      </c>
      <c r="C40" s="1">
        <f>IF(C$5="",0,IF(OR(C7=TRUE,ISTEXT(C7)),IFERROR(INDEX(Jul!$C$40:$AG$40,DAY(EOMONTH(DATE(Habits!$C$4,7,1),0))),0)+1,0))</f>
        <v/>
      </c>
      <c r="D40" s="1">
        <f>IF(D$5="",0,IF(OR(D7=TRUE,ISTEXT(D7)),C40+1,0))</f>
        <v/>
      </c>
      <c r="E40" s="1">
        <f>IF(E$5="",0,IF(OR(E7=TRUE,ISTEXT(E7)),D40+1,0))</f>
        <v/>
      </c>
      <c r="F40" s="1">
        <f>IF(F$5="",0,IF(OR(F7=TRUE,ISTEXT(F7)),E40+1,0))</f>
        <v/>
      </c>
      <c r="G40" s="1">
        <f>IF(G$5="",0,IF(OR(G7=TRUE,ISTEXT(G7)),F40+1,0))</f>
        <v/>
      </c>
      <c r="H40" s="1">
        <f>IF(H$5="",0,IF(OR(H7=TRUE,ISTEXT(H7)),G40+1,0))</f>
        <v/>
      </c>
      <c r="I40" s="1">
        <f>IF(I$5="",0,IF(OR(I7=TRUE,ISTEXT(I7)),H40+1,0))</f>
        <v/>
      </c>
      <c r="J40" s="1">
        <f>IF(J$5="",0,IF(OR(J7=TRUE,ISTEXT(J7)),I40+1,0))</f>
        <v/>
      </c>
      <c r="K40" s="1">
        <f>IF(K$5="",0,IF(OR(K7=TRUE,ISTEXT(K7)),J40+1,0))</f>
        <v/>
      </c>
      <c r="L40" s="1">
        <f>IF(L$5="",0,IF(OR(L7=TRUE,ISTEXT(L7)),K40+1,0))</f>
        <v/>
      </c>
      <c r="M40" s="1">
        <f>IF(M$5="",0,IF(OR(M7=TRUE,ISTEXT(M7)),L40+1,0))</f>
        <v/>
      </c>
      <c r="N40" s="1">
        <f>IF(N$5="",0,IF(OR(N7=TRUE,ISTEXT(N7)),M40+1,0))</f>
        <v/>
      </c>
      <c r="O40" s="1">
        <f>IF(O$5="",0,IF(OR(O7=TRUE,ISTEXT(O7)),N40+1,0))</f>
        <v/>
      </c>
      <c r="P40" s="1">
        <f>IF(P$5="",0,IF(OR(P7=TRUE,ISTEXT(P7)),O40+1,0))</f>
        <v/>
      </c>
      <c r="Q40" s="1">
        <f>IF(Q$5="",0,IF(OR(Q7=TRUE,ISTEXT(Q7)),P40+1,0))</f>
        <v/>
      </c>
      <c r="R40" s="1">
        <f>IF(R$5="",0,IF(OR(R7=TRUE,ISTEXT(R7)),Q40+1,0))</f>
        <v/>
      </c>
      <c r="S40" s="1">
        <f>IF(S$5="",0,IF(OR(S7=TRUE,ISTEXT(S7)),R40+1,0))</f>
        <v/>
      </c>
      <c r="T40" s="1">
        <f>IF(T$5="",0,IF(OR(T7=TRUE,ISTEXT(T7)),S40+1,0))</f>
        <v/>
      </c>
      <c r="U40" s="1">
        <f>IF(U$5="",0,IF(OR(U7=TRUE,ISTEXT(U7)),T40+1,0))</f>
        <v/>
      </c>
      <c r="V40" s="1">
        <f>IF(V$5="",0,IF(OR(V7=TRUE,ISTEXT(V7)),U40+1,0))</f>
        <v/>
      </c>
      <c r="W40" s="1">
        <f>IF(W$5="",0,IF(OR(W7=TRUE,ISTEXT(W7)),V40+1,0))</f>
        <v/>
      </c>
      <c r="X40" s="1">
        <f>IF(X$5="",0,IF(OR(X7=TRUE,ISTEXT(X7)),W40+1,0))</f>
        <v/>
      </c>
      <c r="Y40" s="1">
        <f>IF(Y$5="",0,IF(OR(Y7=TRUE,ISTEXT(Y7)),X40+1,0))</f>
        <v/>
      </c>
      <c r="Z40" s="1">
        <f>IF(Z$5="",0,IF(OR(Z7=TRUE,ISTEXT(Z7)),Y40+1,0))</f>
        <v/>
      </c>
      <c r="AA40" s="1">
        <f>IF(AA$5="",0,IF(OR(AA7=TRUE,ISTEXT(AA7)),Z40+1,0))</f>
        <v/>
      </c>
      <c r="AB40" s="1">
        <f>IF(AB$5="",0,IF(OR(AB7=TRUE,ISTEXT(AB7)),AA40+1,0))</f>
        <v/>
      </c>
      <c r="AC40" s="1">
        <f>IF(AC$5="",0,IF(OR(AC7=TRUE,ISTEXT(AC7)),AB40+1,0))</f>
        <v/>
      </c>
      <c r="AD40" s="1">
        <f>IF(AD$5="",0,IF(OR(AD7=TRUE,ISTEXT(AD7)),AC40+1,0))</f>
        <v/>
      </c>
      <c r="AE40" s="1">
        <f>IF(AE$5="",0,IF(OR(AE7=TRUE,ISTEXT(AE7)),AD40+1,0))</f>
        <v/>
      </c>
      <c r="AF40" s="1">
        <f>IF(AF$5="",0,IF(OR(AF7=TRUE,ISTEXT(AF7)),AE40+1,0))</f>
        <v/>
      </c>
      <c r="AG40" s="1">
        <f>IF(AG$5="",0,IF(OR(AG7=TRUE,ISTEXT(AG7)),AF40+1,0))</f>
        <v/>
      </c>
      <c r="AH40" s="1" t="n"/>
      <c r="AI40" s="1" t="n"/>
      <c r="AJ40" s="1" t="n"/>
      <c r="AK40" s="1" t="n"/>
      <c r="AL40" s="1" t="n"/>
    </row>
    <row r="41" hidden="1">
      <c r="A41" s="1" t="n"/>
      <c r="B41" s="1">
        <f>B8</f>
        <v/>
      </c>
      <c r="C41" s="1">
        <f>IF(C$5="",0,IF(OR(C8=TRUE,ISTEXT(C8)),IFERROR(INDEX(Jul!$C$41:$AG$41,DAY(EOMONTH(DATE(Habits!$C$4,7,1),0))),0)+1,0))</f>
        <v/>
      </c>
      <c r="D41" s="1">
        <f>IF(D$5="",0,IF(OR(D8=TRUE,ISTEXT(D8)),C41+1,0))</f>
        <v/>
      </c>
      <c r="E41" s="1">
        <f>IF(E$5="",0,IF(OR(E8=TRUE,ISTEXT(E8)),D41+1,0))</f>
        <v/>
      </c>
      <c r="F41" s="1">
        <f>IF(F$5="",0,IF(OR(F8=TRUE,ISTEXT(F8)),E41+1,0))</f>
        <v/>
      </c>
      <c r="G41" s="1">
        <f>IF(G$5="",0,IF(OR(G8=TRUE,ISTEXT(G8)),F41+1,0))</f>
        <v/>
      </c>
      <c r="H41" s="1">
        <f>IF(H$5="",0,IF(OR(H8=TRUE,ISTEXT(H8)),G41+1,0))</f>
        <v/>
      </c>
      <c r="I41" s="1">
        <f>IF(I$5="",0,IF(OR(I8=TRUE,ISTEXT(I8)),H41+1,0))</f>
        <v/>
      </c>
      <c r="J41" s="1">
        <f>IF(J$5="",0,IF(OR(J8=TRUE,ISTEXT(J8)),I41+1,0))</f>
        <v/>
      </c>
      <c r="K41" s="1">
        <f>IF(K$5="",0,IF(OR(K8=TRUE,ISTEXT(K8)),J41+1,0))</f>
        <v/>
      </c>
      <c r="L41" s="1">
        <f>IF(L$5="",0,IF(OR(L8=TRUE,ISTEXT(L8)),K41+1,0))</f>
        <v/>
      </c>
      <c r="M41" s="1">
        <f>IF(M$5="",0,IF(OR(M8=TRUE,ISTEXT(M8)),L41+1,0))</f>
        <v/>
      </c>
      <c r="N41" s="1">
        <f>IF(N$5="",0,IF(OR(N8=TRUE,ISTEXT(N8)),M41+1,0))</f>
        <v/>
      </c>
      <c r="O41" s="1">
        <f>IF(O$5="",0,IF(OR(O8=TRUE,ISTEXT(O8)),N41+1,0))</f>
        <v/>
      </c>
      <c r="P41" s="1">
        <f>IF(P$5="",0,IF(OR(P8=TRUE,ISTEXT(P8)),O41+1,0))</f>
        <v/>
      </c>
      <c r="Q41" s="1">
        <f>IF(Q$5="",0,IF(OR(Q8=TRUE,ISTEXT(Q8)),P41+1,0))</f>
        <v/>
      </c>
      <c r="R41" s="1">
        <f>IF(R$5="",0,IF(OR(R8=TRUE,ISTEXT(R8)),Q41+1,0))</f>
        <v/>
      </c>
      <c r="S41" s="1">
        <f>IF(S$5="",0,IF(OR(S8=TRUE,ISTEXT(S8)),R41+1,0))</f>
        <v/>
      </c>
      <c r="T41" s="1">
        <f>IF(T$5="",0,IF(OR(T8=TRUE,ISTEXT(T8)),S41+1,0))</f>
        <v/>
      </c>
      <c r="U41" s="1">
        <f>IF(U$5="",0,IF(OR(U8=TRUE,ISTEXT(U8)),T41+1,0))</f>
        <v/>
      </c>
      <c r="V41" s="1">
        <f>IF(V$5="",0,IF(OR(V8=TRUE,ISTEXT(V8)),U41+1,0))</f>
        <v/>
      </c>
      <c r="W41" s="1">
        <f>IF(W$5="",0,IF(OR(W8=TRUE,ISTEXT(W8)),V41+1,0))</f>
        <v/>
      </c>
      <c r="X41" s="1">
        <f>IF(X$5="",0,IF(OR(X8=TRUE,ISTEXT(X8)),W41+1,0))</f>
        <v/>
      </c>
      <c r="Y41" s="1">
        <f>IF(Y$5="",0,IF(OR(Y8=TRUE,ISTEXT(Y8)),X41+1,0))</f>
        <v/>
      </c>
      <c r="Z41" s="1">
        <f>IF(Z$5="",0,IF(OR(Z8=TRUE,ISTEXT(Z8)),Y41+1,0))</f>
        <v/>
      </c>
      <c r="AA41" s="1">
        <f>IF(AA$5="",0,IF(OR(AA8=TRUE,ISTEXT(AA8)),Z41+1,0))</f>
        <v/>
      </c>
      <c r="AB41" s="1">
        <f>IF(AB$5="",0,IF(OR(AB8=TRUE,ISTEXT(AB8)),AA41+1,0))</f>
        <v/>
      </c>
      <c r="AC41" s="1">
        <f>IF(AC$5="",0,IF(OR(AC8=TRUE,ISTEXT(AC8)),AB41+1,0))</f>
        <v/>
      </c>
      <c r="AD41" s="1">
        <f>IF(AD$5="",0,IF(OR(AD8=TRUE,ISTEXT(AD8)),AC41+1,0))</f>
        <v/>
      </c>
      <c r="AE41" s="1">
        <f>IF(AE$5="",0,IF(OR(AE8=TRUE,ISTEXT(AE8)),AD41+1,0))</f>
        <v/>
      </c>
      <c r="AF41" s="1">
        <f>IF(AF$5="",0,IF(OR(AF8=TRUE,ISTEXT(AF8)),AE41+1,0))</f>
        <v/>
      </c>
      <c r="AG41" s="1">
        <f>IF(AG$5="",0,IF(OR(AG8=TRUE,ISTEXT(AG8)),AF41+1,0))</f>
        <v/>
      </c>
      <c r="AH41" s="1" t="n"/>
      <c r="AI41" s="1" t="n"/>
      <c r="AJ41" s="1" t="n"/>
      <c r="AK41" s="1" t="n"/>
      <c r="AL41" s="1" t="n"/>
    </row>
    <row r="42" hidden="1">
      <c r="A42" s="1" t="n"/>
      <c r="B42" s="1">
        <f>B9</f>
        <v/>
      </c>
      <c r="C42" s="1">
        <f>IF(C$5="",0,IF(OR(C9=TRUE,ISTEXT(C9)),IFERROR(INDEX(Jul!$C$42:$AG$42,DAY(EOMONTH(DATE(Habits!$C$4,7,1),0))),0)+1,0))</f>
        <v/>
      </c>
      <c r="D42" s="1">
        <f>IF(D$5="",0,IF(OR(D9=TRUE,ISTEXT(D9)),C42+1,0))</f>
        <v/>
      </c>
      <c r="E42" s="1">
        <f>IF(E$5="",0,IF(OR(E9=TRUE,ISTEXT(E9)),D42+1,0))</f>
        <v/>
      </c>
      <c r="F42" s="1">
        <f>IF(F$5="",0,IF(OR(F9=TRUE,ISTEXT(F9)),E42+1,0))</f>
        <v/>
      </c>
      <c r="G42" s="1">
        <f>IF(G$5="",0,IF(OR(G9=TRUE,ISTEXT(G9)),F42+1,0))</f>
        <v/>
      </c>
      <c r="H42" s="1">
        <f>IF(H$5="",0,IF(OR(H9=TRUE,ISTEXT(H9)),G42+1,0))</f>
        <v/>
      </c>
      <c r="I42" s="1">
        <f>IF(I$5="",0,IF(OR(I9=TRUE,ISTEXT(I9)),H42+1,0))</f>
        <v/>
      </c>
      <c r="J42" s="1">
        <f>IF(J$5="",0,IF(OR(J9=TRUE,ISTEXT(J9)),I42+1,0))</f>
        <v/>
      </c>
      <c r="K42" s="1">
        <f>IF(K$5="",0,IF(OR(K9=TRUE,ISTEXT(K9)),J42+1,0))</f>
        <v/>
      </c>
      <c r="L42" s="1">
        <f>IF(L$5="",0,IF(OR(L9=TRUE,ISTEXT(L9)),K42+1,0))</f>
        <v/>
      </c>
      <c r="M42" s="1">
        <f>IF(M$5="",0,IF(OR(M9=TRUE,ISTEXT(M9)),L42+1,0))</f>
        <v/>
      </c>
      <c r="N42" s="1">
        <f>IF(N$5="",0,IF(OR(N9=TRUE,ISTEXT(N9)),M42+1,0))</f>
        <v/>
      </c>
      <c r="O42" s="1">
        <f>IF(O$5="",0,IF(OR(O9=TRUE,ISTEXT(O9)),N42+1,0))</f>
        <v/>
      </c>
      <c r="P42" s="1">
        <f>IF(P$5="",0,IF(OR(P9=TRUE,ISTEXT(P9)),O42+1,0))</f>
        <v/>
      </c>
      <c r="Q42" s="1">
        <f>IF(Q$5="",0,IF(OR(Q9=TRUE,ISTEXT(Q9)),P42+1,0))</f>
        <v/>
      </c>
      <c r="R42" s="1">
        <f>IF(R$5="",0,IF(OR(R9=TRUE,ISTEXT(R9)),Q42+1,0))</f>
        <v/>
      </c>
      <c r="S42" s="1">
        <f>IF(S$5="",0,IF(OR(S9=TRUE,ISTEXT(S9)),R42+1,0))</f>
        <v/>
      </c>
      <c r="T42" s="1">
        <f>IF(T$5="",0,IF(OR(T9=TRUE,ISTEXT(T9)),S42+1,0))</f>
        <v/>
      </c>
      <c r="U42" s="1">
        <f>IF(U$5="",0,IF(OR(U9=TRUE,ISTEXT(U9)),T42+1,0))</f>
        <v/>
      </c>
      <c r="V42" s="1">
        <f>IF(V$5="",0,IF(OR(V9=TRUE,ISTEXT(V9)),U42+1,0))</f>
        <v/>
      </c>
      <c r="W42" s="1">
        <f>IF(W$5="",0,IF(OR(W9=TRUE,ISTEXT(W9)),V42+1,0))</f>
        <v/>
      </c>
      <c r="X42" s="1">
        <f>IF(X$5="",0,IF(OR(X9=TRUE,ISTEXT(X9)),W42+1,0))</f>
        <v/>
      </c>
      <c r="Y42" s="1">
        <f>IF(Y$5="",0,IF(OR(Y9=TRUE,ISTEXT(Y9)),X42+1,0))</f>
        <v/>
      </c>
      <c r="Z42" s="1">
        <f>IF(Z$5="",0,IF(OR(Z9=TRUE,ISTEXT(Z9)),Y42+1,0))</f>
        <v/>
      </c>
      <c r="AA42" s="1">
        <f>IF(AA$5="",0,IF(OR(AA9=TRUE,ISTEXT(AA9)),Z42+1,0))</f>
        <v/>
      </c>
      <c r="AB42" s="1">
        <f>IF(AB$5="",0,IF(OR(AB9=TRUE,ISTEXT(AB9)),AA42+1,0))</f>
        <v/>
      </c>
      <c r="AC42" s="1">
        <f>IF(AC$5="",0,IF(OR(AC9=TRUE,ISTEXT(AC9)),AB42+1,0))</f>
        <v/>
      </c>
      <c r="AD42" s="1">
        <f>IF(AD$5="",0,IF(OR(AD9=TRUE,ISTEXT(AD9)),AC42+1,0))</f>
        <v/>
      </c>
      <c r="AE42" s="1">
        <f>IF(AE$5="",0,IF(OR(AE9=TRUE,ISTEXT(AE9)),AD42+1,0))</f>
        <v/>
      </c>
      <c r="AF42" s="1">
        <f>IF(AF$5="",0,IF(OR(AF9=TRUE,ISTEXT(AF9)),AE42+1,0))</f>
        <v/>
      </c>
      <c r="AG42" s="1">
        <f>IF(AG$5="",0,IF(OR(AG9=TRUE,ISTEXT(AG9)),AF42+1,0))</f>
        <v/>
      </c>
      <c r="AH42" s="1" t="n"/>
      <c r="AI42" s="1" t="n"/>
      <c r="AJ42" s="1" t="n"/>
      <c r="AK42" s="1" t="n"/>
      <c r="AL42" s="1" t="n"/>
    </row>
    <row r="43" hidden="1">
      <c r="A43" s="1" t="n"/>
      <c r="B43" s="1">
        <f>B10</f>
        <v/>
      </c>
      <c r="C43" s="1">
        <f>IF(C$5="",0,IF(OR(C10=TRUE,ISTEXT(C10)),IFERROR(INDEX(Jul!$C$43:$AG$43,DAY(EOMONTH(DATE(Habits!$C$4,7,1),0))),0)+1,0))</f>
        <v/>
      </c>
      <c r="D43" s="1">
        <f>IF(D$5="",0,IF(OR(D10=TRUE,ISTEXT(D10)),C43+1,0))</f>
        <v/>
      </c>
      <c r="E43" s="1">
        <f>IF(E$5="",0,IF(OR(E10=TRUE,ISTEXT(E10)),D43+1,0))</f>
        <v/>
      </c>
      <c r="F43" s="1">
        <f>IF(F$5="",0,IF(OR(F10=TRUE,ISTEXT(F10)),E43+1,0))</f>
        <v/>
      </c>
      <c r="G43" s="1">
        <f>IF(G$5="",0,IF(OR(G10=TRUE,ISTEXT(G10)),F43+1,0))</f>
        <v/>
      </c>
      <c r="H43" s="1">
        <f>IF(H$5="",0,IF(OR(H10=TRUE,ISTEXT(H10)),G43+1,0))</f>
        <v/>
      </c>
      <c r="I43" s="1">
        <f>IF(I$5="",0,IF(OR(I10=TRUE,ISTEXT(I10)),H43+1,0))</f>
        <v/>
      </c>
      <c r="J43" s="1">
        <f>IF(J$5="",0,IF(OR(J10=TRUE,ISTEXT(J10)),I43+1,0))</f>
        <v/>
      </c>
      <c r="K43" s="1">
        <f>IF(K$5="",0,IF(OR(K10=TRUE,ISTEXT(K10)),J43+1,0))</f>
        <v/>
      </c>
      <c r="L43" s="1">
        <f>IF(L$5="",0,IF(OR(L10=TRUE,ISTEXT(L10)),K43+1,0))</f>
        <v/>
      </c>
      <c r="M43" s="1">
        <f>IF(M$5="",0,IF(OR(M10=TRUE,ISTEXT(M10)),L43+1,0))</f>
        <v/>
      </c>
      <c r="N43" s="1">
        <f>IF(N$5="",0,IF(OR(N10=TRUE,ISTEXT(N10)),M43+1,0))</f>
        <v/>
      </c>
      <c r="O43" s="1">
        <f>IF(O$5="",0,IF(OR(O10=TRUE,ISTEXT(O10)),N43+1,0))</f>
        <v/>
      </c>
      <c r="P43" s="1">
        <f>IF(P$5="",0,IF(OR(P10=TRUE,ISTEXT(P10)),O43+1,0))</f>
        <v/>
      </c>
      <c r="Q43" s="1">
        <f>IF(Q$5="",0,IF(OR(Q10=TRUE,ISTEXT(Q10)),P43+1,0))</f>
        <v/>
      </c>
      <c r="R43" s="1">
        <f>IF(R$5="",0,IF(OR(R10=TRUE,ISTEXT(R10)),Q43+1,0))</f>
        <v/>
      </c>
      <c r="S43" s="1">
        <f>IF(S$5="",0,IF(OR(S10=TRUE,ISTEXT(S10)),R43+1,0))</f>
        <v/>
      </c>
      <c r="T43" s="1">
        <f>IF(T$5="",0,IF(OR(T10=TRUE,ISTEXT(T10)),S43+1,0))</f>
        <v/>
      </c>
      <c r="U43" s="1">
        <f>IF(U$5="",0,IF(OR(U10=TRUE,ISTEXT(U10)),T43+1,0))</f>
        <v/>
      </c>
      <c r="V43" s="1">
        <f>IF(V$5="",0,IF(OR(V10=TRUE,ISTEXT(V10)),U43+1,0))</f>
        <v/>
      </c>
      <c r="W43" s="1">
        <f>IF(W$5="",0,IF(OR(W10=TRUE,ISTEXT(W10)),V43+1,0))</f>
        <v/>
      </c>
      <c r="X43" s="1">
        <f>IF(X$5="",0,IF(OR(X10=TRUE,ISTEXT(X10)),W43+1,0))</f>
        <v/>
      </c>
      <c r="Y43" s="1">
        <f>IF(Y$5="",0,IF(OR(Y10=TRUE,ISTEXT(Y10)),X43+1,0))</f>
        <v/>
      </c>
      <c r="Z43" s="1">
        <f>IF(Z$5="",0,IF(OR(Z10=TRUE,ISTEXT(Z10)),Y43+1,0))</f>
        <v/>
      </c>
      <c r="AA43" s="1">
        <f>IF(AA$5="",0,IF(OR(AA10=TRUE,ISTEXT(AA10)),Z43+1,0))</f>
        <v/>
      </c>
      <c r="AB43" s="1">
        <f>IF(AB$5="",0,IF(OR(AB10=TRUE,ISTEXT(AB10)),AA43+1,0))</f>
        <v/>
      </c>
      <c r="AC43" s="1">
        <f>IF(AC$5="",0,IF(OR(AC10=TRUE,ISTEXT(AC10)),AB43+1,0))</f>
        <v/>
      </c>
      <c r="AD43" s="1">
        <f>IF(AD$5="",0,IF(OR(AD10=TRUE,ISTEXT(AD10)),AC43+1,0))</f>
        <v/>
      </c>
      <c r="AE43" s="1">
        <f>IF(AE$5="",0,IF(OR(AE10=TRUE,ISTEXT(AE10)),AD43+1,0))</f>
        <v/>
      </c>
      <c r="AF43" s="1">
        <f>IF(AF$5="",0,IF(OR(AF10=TRUE,ISTEXT(AF10)),AE43+1,0))</f>
        <v/>
      </c>
      <c r="AG43" s="1">
        <f>IF(AG$5="",0,IF(OR(AG10=TRUE,ISTEXT(AG10)),AF43+1,0))</f>
        <v/>
      </c>
      <c r="AH43" s="1" t="n"/>
      <c r="AI43" s="1" t="n"/>
      <c r="AJ43" s="1" t="n"/>
      <c r="AK43" s="1" t="n"/>
      <c r="AL43" s="1" t="n"/>
    </row>
    <row r="44" hidden="1">
      <c r="A44" s="1" t="n"/>
      <c r="B44" s="1">
        <f>B11</f>
        <v/>
      </c>
      <c r="C44" s="1">
        <f>IF(C$5="",0,IF(OR(C11=TRUE,ISTEXT(C11)),IFERROR(INDEX(Jul!$C$44:$AG$44,DAY(EOMONTH(DATE(Habits!$C$4,7,1),0))),0)+1,0))</f>
        <v/>
      </c>
      <c r="D44" s="1">
        <f>IF(D$5="",0,IF(OR(D11=TRUE,ISTEXT(D11)),C44+1,0))</f>
        <v/>
      </c>
      <c r="E44" s="1">
        <f>IF(E$5="",0,IF(OR(E11=TRUE,ISTEXT(E11)),D44+1,0))</f>
        <v/>
      </c>
      <c r="F44" s="1">
        <f>IF(F$5="",0,IF(OR(F11=TRUE,ISTEXT(F11)),E44+1,0))</f>
        <v/>
      </c>
      <c r="G44" s="1">
        <f>IF(G$5="",0,IF(OR(G11=TRUE,ISTEXT(G11)),F44+1,0))</f>
        <v/>
      </c>
      <c r="H44" s="1">
        <f>IF(H$5="",0,IF(OR(H11=TRUE,ISTEXT(H11)),G44+1,0))</f>
        <v/>
      </c>
      <c r="I44" s="1">
        <f>IF(I$5="",0,IF(OR(I11=TRUE,ISTEXT(I11)),H44+1,0))</f>
        <v/>
      </c>
      <c r="J44" s="1">
        <f>IF(J$5="",0,IF(OR(J11=TRUE,ISTEXT(J11)),I44+1,0))</f>
        <v/>
      </c>
      <c r="K44" s="1">
        <f>IF(K$5="",0,IF(OR(K11=TRUE,ISTEXT(K11)),J44+1,0))</f>
        <v/>
      </c>
      <c r="L44" s="1">
        <f>IF(L$5="",0,IF(OR(L11=TRUE,ISTEXT(L11)),K44+1,0))</f>
        <v/>
      </c>
      <c r="M44" s="1">
        <f>IF(M$5="",0,IF(OR(M11=TRUE,ISTEXT(M11)),L44+1,0))</f>
        <v/>
      </c>
      <c r="N44" s="1">
        <f>IF(N$5="",0,IF(OR(N11=TRUE,ISTEXT(N11)),M44+1,0))</f>
        <v/>
      </c>
      <c r="O44" s="1">
        <f>IF(O$5="",0,IF(OR(O11=TRUE,ISTEXT(O11)),N44+1,0))</f>
        <v/>
      </c>
      <c r="P44" s="1">
        <f>IF(P$5="",0,IF(OR(P11=TRUE,ISTEXT(P11)),O44+1,0))</f>
        <v/>
      </c>
      <c r="Q44" s="1">
        <f>IF(Q$5="",0,IF(OR(Q11=TRUE,ISTEXT(Q11)),P44+1,0))</f>
        <v/>
      </c>
      <c r="R44" s="1">
        <f>IF(R$5="",0,IF(OR(R11=TRUE,ISTEXT(R11)),Q44+1,0))</f>
        <v/>
      </c>
      <c r="S44" s="1">
        <f>IF(S$5="",0,IF(OR(S11=TRUE,ISTEXT(S11)),R44+1,0))</f>
        <v/>
      </c>
      <c r="T44" s="1">
        <f>IF(T$5="",0,IF(OR(T11=TRUE,ISTEXT(T11)),S44+1,0))</f>
        <v/>
      </c>
      <c r="U44" s="1">
        <f>IF(U$5="",0,IF(OR(U11=TRUE,ISTEXT(U11)),T44+1,0))</f>
        <v/>
      </c>
      <c r="V44" s="1">
        <f>IF(V$5="",0,IF(OR(V11=TRUE,ISTEXT(V11)),U44+1,0))</f>
        <v/>
      </c>
      <c r="W44" s="1">
        <f>IF(W$5="",0,IF(OR(W11=TRUE,ISTEXT(W11)),V44+1,0))</f>
        <v/>
      </c>
      <c r="X44" s="1">
        <f>IF(X$5="",0,IF(OR(X11=TRUE,ISTEXT(X11)),W44+1,0))</f>
        <v/>
      </c>
      <c r="Y44" s="1">
        <f>IF(Y$5="",0,IF(OR(Y11=TRUE,ISTEXT(Y11)),X44+1,0))</f>
        <v/>
      </c>
      <c r="Z44" s="1">
        <f>IF(Z$5="",0,IF(OR(Z11=TRUE,ISTEXT(Z11)),Y44+1,0))</f>
        <v/>
      </c>
      <c r="AA44" s="1">
        <f>IF(AA$5="",0,IF(OR(AA11=TRUE,ISTEXT(AA11)),Z44+1,0))</f>
        <v/>
      </c>
      <c r="AB44" s="1">
        <f>IF(AB$5="",0,IF(OR(AB11=TRUE,ISTEXT(AB11)),AA44+1,0))</f>
        <v/>
      </c>
      <c r="AC44" s="1">
        <f>IF(AC$5="",0,IF(OR(AC11=TRUE,ISTEXT(AC11)),AB44+1,0))</f>
        <v/>
      </c>
      <c r="AD44" s="1">
        <f>IF(AD$5="",0,IF(OR(AD11=TRUE,ISTEXT(AD11)),AC44+1,0))</f>
        <v/>
      </c>
      <c r="AE44" s="1">
        <f>IF(AE$5="",0,IF(OR(AE11=TRUE,ISTEXT(AE11)),AD44+1,0))</f>
        <v/>
      </c>
      <c r="AF44" s="1">
        <f>IF(AF$5="",0,IF(OR(AF11=TRUE,ISTEXT(AF11)),AE44+1,0))</f>
        <v/>
      </c>
      <c r="AG44" s="1">
        <f>IF(AG$5="",0,IF(OR(AG11=TRUE,ISTEXT(AG11)),AF44+1,0))</f>
        <v/>
      </c>
      <c r="AH44" s="1" t="n"/>
      <c r="AI44" s="1" t="n"/>
      <c r="AJ44" s="1" t="n"/>
      <c r="AK44" s="1" t="n"/>
      <c r="AL44" s="1" t="n"/>
    </row>
    <row r="45" hidden="1">
      <c r="A45" s="1" t="n"/>
      <c r="B45" s="1">
        <f>B12</f>
        <v/>
      </c>
      <c r="C45" s="1">
        <f>IF(C$5="",0,IF(OR(C12=TRUE,ISTEXT(C12)),IFERROR(INDEX(Jul!$C$45:$AG$45,DAY(EOMONTH(DATE(Habits!$C$4,7,1),0))),0)+1,0))</f>
        <v/>
      </c>
      <c r="D45" s="1">
        <f>IF(D$5="",0,IF(OR(D12=TRUE,ISTEXT(D12)),C45+1,0))</f>
        <v/>
      </c>
      <c r="E45" s="1">
        <f>IF(E$5="",0,IF(OR(E12=TRUE,ISTEXT(E12)),D45+1,0))</f>
        <v/>
      </c>
      <c r="F45" s="1">
        <f>IF(F$5="",0,IF(OR(F12=TRUE,ISTEXT(F12)),E45+1,0))</f>
        <v/>
      </c>
      <c r="G45" s="1">
        <f>IF(G$5="",0,IF(OR(G12=TRUE,ISTEXT(G12)),F45+1,0))</f>
        <v/>
      </c>
      <c r="H45" s="1">
        <f>IF(H$5="",0,IF(OR(H12=TRUE,ISTEXT(H12)),G45+1,0))</f>
        <v/>
      </c>
      <c r="I45" s="1">
        <f>IF(I$5="",0,IF(OR(I12=TRUE,ISTEXT(I12)),H45+1,0))</f>
        <v/>
      </c>
      <c r="J45" s="1">
        <f>IF(J$5="",0,IF(OR(J12=TRUE,ISTEXT(J12)),I45+1,0))</f>
        <v/>
      </c>
      <c r="K45" s="1">
        <f>IF(K$5="",0,IF(OR(K12=TRUE,ISTEXT(K12)),J45+1,0))</f>
        <v/>
      </c>
      <c r="L45" s="1">
        <f>IF(L$5="",0,IF(OR(L12=TRUE,ISTEXT(L12)),K45+1,0))</f>
        <v/>
      </c>
      <c r="M45" s="1">
        <f>IF(M$5="",0,IF(OR(M12=TRUE,ISTEXT(M12)),L45+1,0))</f>
        <v/>
      </c>
      <c r="N45" s="1">
        <f>IF(N$5="",0,IF(OR(N12=TRUE,ISTEXT(N12)),M45+1,0))</f>
        <v/>
      </c>
      <c r="O45" s="1">
        <f>IF(O$5="",0,IF(OR(O12=TRUE,ISTEXT(O12)),N45+1,0))</f>
        <v/>
      </c>
      <c r="P45" s="1">
        <f>IF(P$5="",0,IF(OR(P12=TRUE,ISTEXT(P12)),O45+1,0))</f>
        <v/>
      </c>
      <c r="Q45" s="1">
        <f>IF(Q$5="",0,IF(OR(Q12=TRUE,ISTEXT(Q12)),P45+1,0))</f>
        <v/>
      </c>
      <c r="R45" s="1">
        <f>IF(R$5="",0,IF(OR(R12=TRUE,ISTEXT(R12)),Q45+1,0))</f>
        <v/>
      </c>
      <c r="S45" s="1">
        <f>IF(S$5="",0,IF(OR(S12=TRUE,ISTEXT(S12)),R45+1,0))</f>
        <v/>
      </c>
      <c r="T45" s="1">
        <f>IF(T$5="",0,IF(OR(T12=TRUE,ISTEXT(T12)),S45+1,0))</f>
        <v/>
      </c>
      <c r="U45" s="1">
        <f>IF(U$5="",0,IF(OR(U12=TRUE,ISTEXT(U12)),T45+1,0))</f>
        <v/>
      </c>
      <c r="V45" s="1">
        <f>IF(V$5="",0,IF(OR(V12=TRUE,ISTEXT(V12)),U45+1,0))</f>
        <v/>
      </c>
      <c r="W45" s="1">
        <f>IF(W$5="",0,IF(OR(W12=TRUE,ISTEXT(W12)),V45+1,0))</f>
        <v/>
      </c>
      <c r="X45" s="1">
        <f>IF(X$5="",0,IF(OR(X12=TRUE,ISTEXT(X12)),W45+1,0))</f>
        <v/>
      </c>
      <c r="Y45" s="1">
        <f>IF(Y$5="",0,IF(OR(Y12=TRUE,ISTEXT(Y12)),X45+1,0))</f>
        <v/>
      </c>
      <c r="Z45" s="1">
        <f>IF(Z$5="",0,IF(OR(Z12=TRUE,ISTEXT(Z12)),Y45+1,0))</f>
        <v/>
      </c>
      <c r="AA45" s="1">
        <f>IF(AA$5="",0,IF(OR(AA12=TRUE,ISTEXT(AA12)),Z45+1,0))</f>
        <v/>
      </c>
      <c r="AB45" s="1">
        <f>IF(AB$5="",0,IF(OR(AB12=TRUE,ISTEXT(AB12)),AA45+1,0))</f>
        <v/>
      </c>
      <c r="AC45" s="1">
        <f>IF(AC$5="",0,IF(OR(AC12=TRUE,ISTEXT(AC12)),AB45+1,0))</f>
        <v/>
      </c>
      <c r="AD45" s="1">
        <f>IF(AD$5="",0,IF(OR(AD12=TRUE,ISTEXT(AD12)),AC45+1,0))</f>
        <v/>
      </c>
      <c r="AE45" s="1">
        <f>IF(AE$5="",0,IF(OR(AE12=TRUE,ISTEXT(AE12)),AD45+1,0))</f>
        <v/>
      </c>
      <c r="AF45" s="1">
        <f>IF(AF$5="",0,IF(OR(AF12=TRUE,ISTEXT(AF12)),AE45+1,0))</f>
        <v/>
      </c>
      <c r="AG45" s="1">
        <f>IF(AG$5="",0,IF(OR(AG12=TRUE,ISTEXT(AG12)),AF45+1,0))</f>
        <v/>
      </c>
      <c r="AH45" s="1" t="n"/>
      <c r="AI45" s="1" t="n"/>
      <c r="AJ45" s="1" t="n"/>
      <c r="AK45" s="1" t="n"/>
      <c r="AL45" s="1" t="n"/>
    </row>
    <row r="46" hidden="1">
      <c r="A46" s="1" t="n"/>
      <c r="B46" s="1">
        <f>B13</f>
        <v/>
      </c>
      <c r="C46" s="1">
        <f>IF(C$5="",0,IF(OR(C13=TRUE,ISTEXT(C13)),IFERROR(INDEX(Jul!$C$46:$AG$46,DAY(EOMONTH(DATE(Habits!$C$4,7,1),0))),0)+1,0))</f>
        <v/>
      </c>
      <c r="D46" s="1">
        <f>IF(D$5="",0,IF(OR(D13=TRUE,ISTEXT(D13)),C46+1,0))</f>
        <v/>
      </c>
      <c r="E46" s="1">
        <f>IF(E$5="",0,IF(OR(E13=TRUE,ISTEXT(E13)),D46+1,0))</f>
        <v/>
      </c>
      <c r="F46" s="1">
        <f>IF(F$5="",0,IF(OR(F13=TRUE,ISTEXT(F13)),E46+1,0))</f>
        <v/>
      </c>
      <c r="G46" s="1">
        <f>IF(G$5="",0,IF(OR(G13=TRUE,ISTEXT(G13)),F46+1,0))</f>
        <v/>
      </c>
      <c r="H46" s="1">
        <f>IF(H$5="",0,IF(OR(H13=TRUE,ISTEXT(H13)),G46+1,0))</f>
        <v/>
      </c>
      <c r="I46" s="1">
        <f>IF(I$5="",0,IF(OR(I13=TRUE,ISTEXT(I13)),H46+1,0))</f>
        <v/>
      </c>
      <c r="J46" s="1">
        <f>IF(J$5="",0,IF(OR(J13=TRUE,ISTEXT(J13)),I46+1,0))</f>
        <v/>
      </c>
      <c r="K46" s="1">
        <f>IF(K$5="",0,IF(OR(K13=TRUE,ISTEXT(K13)),J46+1,0))</f>
        <v/>
      </c>
      <c r="L46" s="1">
        <f>IF(L$5="",0,IF(OR(L13=TRUE,ISTEXT(L13)),K46+1,0))</f>
        <v/>
      </c>
      <c r="M46" s="1">
        <f>IF(M$5="",0,IF(OR(M13=TRUE,ISTEXT(M13)),L46+1,0))</f>
        <v/>
      </c>
      <c r="N46" s="1">
        <f>IF(N$5="",0,IF(OR(N13=TRUE,ISTEXT(N13)),M46+1,0))</f>
        <v/>
      </c>
      <c r="O46" s="1">
        <f>IF(O$5="",0,IF(OR(O13=TRUE,ISTEXT(O13)),N46+1,0))</f>
        <v/>
      </c>
      <c r="P46" s="1">
        <f>IF(P$5="",0,IF(OR(P13=TRUE,ISTEXT(P13)),O46+1,0))</f>
        <v/>
      </c>
      <c r="Q46" s="1">
        <f>IF(Q$5="",0,IF(OR(Q13=TRUE,ISTEXT(Q13)),P46+1,0))</f>
        <v/>
      </c>
      <c r="R46" s="1">
        <f>IF(R$5="",0,IF(OR(R13=TRUE,ISTEXT(R13)),Q46+1,0))</f>
        <v/>
      </c>
      <c r="S46" s="1">
        <f>IF(S$5="",0,IF(OR(S13=TRUE,ISTEXT(S13)),R46+1,0))</f>
        <v/>
      </c>
      <c r="T46" s="1">
        <f>IF(T$5="",0,IF(OR(T13=TRUE,ISTEXT(T13)),S46+1,0))</f>
        <v/>
      </c>
      <c r="U46" s="1">
        <f>IF(U$5="",0,IF(OR(U13=TRUE,ISTEXT(U13)),T46+1,0))</f>
        <v/>
      </c>
      <c r="V46" s="1">
        <f>IF(V$5="",0,IF(OR(V13=TRUE,ISTEXT(V13)),U46+1,0))</f>
        <v/>
      </c>
      <c r="W46" s="1">
        <f>IF(W$5="",0,IF(OR(W13=TRUE,ISTEXT(W13)),V46+1,0))</f>
        <v/>
      </c>
      <c r="X46" s="1">
        <f>IF(X$5="",0,IF(OR(X13=TRUE,ISTEXT(X13)),W46+1,0))</f>
        <v/>
      </c>
      <c r="Y46" s="1">
        <f>IF(Y$5="",0,IF(OR(Y13=TRUE,ISTEXT(Y13)),X46+1,0))</f>
        <v/>
      </c>
      <c r="Z46" s="1">
        <f>IF(Z$5="",0,IF(OR(Z13=TRUE,ISTEXT(Z13)),Y46+1,0))</f>
        <v/>
      </c>
      <c r="AA46" s="1">
        <f>IF(AA$5="",0,IF(OR(AA13=TRUE,ISTEXT(AA13)),Z46+1,0))</f>
        <v/>
      </c>
      <c r="AB46" s="1">
        <f>IF(AB$5="",0,IF(OR(AB13=TRUE,ISTEXT(AB13)),AA46+1,0))</f>
        <v/>
      </c>
      <c r="AC46" s="1">
        <f>IF(AC$5="",0,IF(OR(AC13=TRUE,ISTEXT(AC13)),AB46+1,0))</f>
        <v/>
      </c>
      <c r="AD46" s="1">
        <f>IF(AD$5="",0,IF(OR(AD13=TRUE,ISTEXT(AD13)),AC46+1,0))</f>
        <v/>
      </c>
      <c r="AE46" s="1">
        <f>IF(AE$5="",0,IF(OR(AE13=TRUE,ISTEXT(AE13)),AD46+1,0))</f>
        <v/>
      </c>
      <c r="AF46" s="1">
        <f>IF(AF$5="",0,IF(OR(AF13=TRUE,ISTEXT(AF13)),AE46+1,0))</f>
        <v/>
      </c>
      <c r="AG46" s="1">
        <f>IF(AG$5="",0,IF(OR(AG13=TRUE,ISTEXT(AG13)),AF46+1,0))</f>
        <v/>
      </c>
      <c r="AH46" s="1" t="n"/>
      <c r="AI46" s="1" t="n"/>
      <c r="AJ46" s="1" t="n"/>
      <c r="AK46" s="1" t="n"/>
      <c r="AL46" s="1" t="n"/>
    </row>
    <row r="47" hidden="1">
      <c r="A47" s="1" t="n"/>
      <c r="B47" s="1">
        <f>B14</f>
        <v/>
      </c>
      <c r="C47" s="1">
        <f>IF(C$5="",0,IF(OR(C14=TRUE,ISTEXT(C14)),IFERROR(INDEX(Jul!$C$47:$AG$47,DAY(EOMONTH(DATE(Habits!$C$4,7,1),0))),0)+1,0))</f>
        <v/>
      </c>
      <c r="D47" s="1">
        <f>IF(D$5="",0,IF(OR(D14=TRUE,ISTEXT(D14)),C47+1,0))</f>
        <v/>
      </c>
      <c r="E47" s="1">
        <f>IF(E$5="",0,IF(OR(E14=TRUE,ISTEXT(E14)),D47+1,0))</f>
        <v/>
      </c>
      <c r="F47" s="1">
        <f>IF(F$5="",0,IF(OR(F14=TRUE,ISTEXT(F14)),E47+1,0))</f>
        <v/>
      </c>
      <c r="G47" s="1">
        <f>IF(G$5="",0,IF(OR(G14=TRUE,ISTEXT(G14)),F47+1,0))</f>
        <v/>
      </c>
      <c r="H47" s="1">
        <f>IF(H$5="",0,IF(OR(H14=TRUE,ISTEXT(H14)),G47+1,0))</f>
        <v/>
      </c>
      <c r="I47" s="1">
        <f>IF(I$5="",0,IF(OR(I14=TRUE,ISTEXT(I14)),H47+1,0))</f>
        <v/>
      </c>
      <c r="J47" s="1">
        <f>IF(J$5="",0,IF(OR(J14=TRUE,ISTEXT(J14)),I47+1,0))</f>
        <v/>
      </c>
      <c r="K47" s="1">
        <f>IF(K$5="",0,IF(OR(K14=TRUE,ISTEXT(K14)),J47+1,0))</f>
        <v/>
      </c>
      <c r="L47" s="1">
        <f>IF(L$5="",0,IF(OR(L14=TRUE,ISTEXT(L14)),K47+1,0))</f>
        <v/>
      </c>
      <c r="M47" s="1">
        <f>IF(M$5="",0,IF(OR(M14=TRUE,ISTEXT(M14)),L47+1,0))</f>
        <v/>
      </c>
      <c r="N47" s="1">
        <f>IF(N$5="",0,IF(OR(N14=TRUE,ISTEXT(N14)),M47+1,0))</f>
        <v/>
      </c>
      <c r="O47" s="1">
        <f>IF(O$5="",0,IF(OR(O14=TRUE,ISTEXT(O14)),N47+1,0))</f>
        <v/>
      </c>
      <c r="P47" s="1">
        <f>IF(P$5="",0,IF(OR(P14=TRUE,ISTEXT(P14)),O47+1,0))</f>
        <v/>
      </c>
      <c r="Q47" s="1">
        <f>IF(Q$5="",0,IF(OR(Q14=TRUE,ISTEXT(Q14)),P47+1,0))</f>
        <v/>
      </c>
      <c r="R47" s="1">
        <f>IF(R$5="",0,IF(OR(R14=TRUE,ISTEXT(R14)),Q47+1,0))</f>
        <v/>
      </c>
      <c r="S47" s="1">
        <f>IF(S$5="",0,IF(OR(S14=TRUE,ISTEXT(S14)),R47+1,0))</f>
        <v/>
      </c>
      <c r="T47" s="1">
        <f>IF(T$5="",0,IF(OR(T14=TRUE,ISTEXT(T14)),S47+1,0))</f>
        <v/>
      </c>
      <c r="U47" s="1">
        <f>IF(U$5="",0,IF(OR(U14=TRUE,ISTEXT(U14)),T47+1,0))</f>
        <v/>
      </c>
      <c r="V47" s="1">
        <f>IF(V$5="",0,IF(OR(V14=TRUE,ISTEXT(V14)),U47+1,0))</f>
        <v/>
      </c>
      <c r="W47" s="1">
        <f>IF(W$5="",0,IF(OR(W14=TRUE,ISTEXT(W14)),V47+1,0))</f>
        <v/>
      </c>
      <c r="X47" s="1">
        <f>IF(X$5="",0,IF(OR(X14=TRUE,ISTEXT(X14)),W47+1,0))</f>
        <v/>
      </c>
      <c r="Y47" s="1">
        <f>IF(Y$5="",0,IF(OR(Y14=TRUE,ISTEXT(Y14)),X47+1,0))</f>
        <v/>
      </c>
      <c r="Z47" s="1">
        <f>IF(Z$5="",0,IF(OR(Z14=TRUE,ISTEXT(Z14)),Y47+1,0))</f>
        <v/>
      </c>
      <c r="AA47" s="1">
        <f>IF(AA$5="",0,IF(OR(AA14=TRUE,ISTEXT(AA14)),Z47+1,0))</f>
        <v/>
      </c>
      <c r="AB47" s="1">
        <f>IF(AB$5="",0,IF(OR(AB14=TRUE,ISTEXT(AB14)),AA47+1,0))</f>
        <v/>
      </c>
      <c r="AC47" s="1">
        <f>IF(AC$5="",0,IF(OR(AC14=TRUE,ISTEXT(AC14)),AB47+1,0))</f>
        <v/>
      </c>
      <c r="AD47" s="1">
        <f>IF(AD$5="",0,IF(OR(AD14=TRUE,ISTEXT(AD14)),AC47+1,0))</f>
        <v/>
      </c>
      <c r="AE47" s="1">
        <f>IF(AE$5="",0,IF(OR(AE14=TRUE,ISTEXT(AE14)),AD47+1,0))</f>
        <v/>
      </c>
      <c r="AF47" s="1">
        <f>IF(AF$5="",0,IF(OR(AF14=TRUE,ISTEXT(AF14)),AE47+1,0))</f>
        <v/>
      </c>
      <c r="AG47" s="1">
        <f>IF(AG$5="",0,IF(OR(AG14=TRUE,ISTEXT(AG14)),AF47+1,0))</f>
        <v/>
      </c>
      <c r="AH47" s="1" t="n"/>
      <c r="AI47" s="1" t="n"/>
      <c r="AJ47" s="1" t="n"/>
      <c r="AK47" s="1" t="n"/>
      <c r="AL47" s="1" t="n"/>
    </row>
    <row r="48" hidden="1">
      <c r="A48" s="1" t="n"/>
      <c r="B48" s="1">
        <f>B15</f>
        <v/>
      </c>
      <c r="C48" s="1">
        <f>IF(C$5="",0,IF(OR(C15=TRUE,ISTEXT(C15)),IFERROR(INDEX(Jul!$C$48:$AG$48,DAY(EOMONTH(DATE(Habits!$C$4,7,1),0))),0)+1,0))</f>
        <v/>
      </c>
      <c r="D48" s="1">
        <f>IF(D$5="",0,IF(OR(D15=TRUE,ISTEXT(D15)),C48+1,0))</f>
        <v/>
      </c>
      <c r="E48" s="1">
        <f>IF(E$5="",0,IF(OR(E15=TRUE,ISTEXT(E15)),D48+1,0))</f>
        <v/>
      </c>
      <c r="F48" s="1">
        <f>IF(F$5="",0,IF(OR(F15=TRUE,ISTEXT(F15)),E48+1,0))</f>
        <v/>
      </c>
      <c r="G48" s="1">
        <f>IF(G$5="",0,IF(OR(G15=TRUE,ISTEXT(G15)),F48+1,0))</f>
        <v/>
      </c>
      <c r="H48" s="1">
        <f>IF(H$5="",0,IF(OR(H15=TRUE,ISTEXT(H15)),G48+1,0))</f>
        <v/>
      </c>
      <c r="I48" s="1">
        <f>IF(I$5="",0,IF(OR(I15=TRUE,ISTEXT(I15)),H48+1,0))</f>
        <v/>
      </c>
      <c r="J48" s="1">
        <f>IF(J$5="",0,IF(OR(J15=TRUE,ISTEXT(J15)),I48+1,0))</f>
        <v/>
      </c>
      <c r="K48" s="1">
        <f>IF(K$5="",0,IF(OR(K15=TRUE,ISTEXT(K15)),J48+1,0))</f>
        <v/>
      </c>
      <c r="L48" s="1">
        <f>IF(L$5="",0,IF(OR(L15=TRUE,ISTEXT(L15)),K48+1,0))</f>
        <v/>
      </c>
      <c r="M48" s="1">
        <f>IF(M$5="",0,IF(OR(M15=TRUE,ISTEXT(M15)),L48+1,0))</f>
        <v/>
      </c>
      <c r="N48" s="1">
        <f>IF(N$5="",0,IF(OR(N15=TRUE,ISTEXT(N15)),M48+1,0))</f>
        <v/>
      </c>
      <c r="O48" s="1">
        <f>IF(O$5="",0,IF(OR(O15=TRUE,ISTEXT(O15)),N48+1,0))</f>
        <v/>
      </c>
      <c r="P48" s="1">
        <f>IF(P$5="",0,IF(OR(P15=TRUE,ISTEXT(P15)),O48+1,0))</f>
        <v/>
      </c>
      <c r="Q48" s="1">
        <f>IF(Q$5="",0,IF(OR(Q15=TRUE,ISTEXT(Q15)),P48+1,0))</f>
        <v/>
      </c>
      <c r="R48" s="1">
        <f>IF(R$5="",0,IF(OR(R15=TRUE,ISTEXT(R15)),Q48+1,0))</f>
        <v/>
      </c>
      <c r="S48" s="1">
        <f>IF(S$5="",0,IF(OR(S15=TRUE,ISTEXT(S15)),R48+1,0))</f>
        <v/>
      </c>
      <c r="T48" s="1">
        <f>IF(T$5="",0,IF(OR(T15=TRUE,ISTEXT(T15)),S48+1,0))</f>
        <v/>
      </c>
      <c r="U48" s="1">
        <f>IF(U$5="",0,IF(OR(U15=TRUE,ISTEXT(U15)),T48+1,0))</f>
        <v/>
      </c>
      <c r="V48" s="1">
        <f>IF(V$5="",0,IF(OR(V15=TRUE,ISTEXT(V15)),U48+1,0))</f>
        <v/>
      </c>
      <c r="W48" s="1">
        <f>IF(W$5="",0,IF(OR(W15=TRUE,ISTEXT(W15)),V48+1,0))</f>
        <v/>
      </c>
      <c r="X48" s="1">
        <f>IF(X$5="",0,IF(OR(X15=TRUE,ISTEXT(X15)),W48+1,0))</f>
        <v/>
      </c>
      <c r="Y48" s="1">
        <f>IF(Y$5="",0,IF(OR(Y15=TRUE,ISTEXT(Y15)),X48+1,0))</f>
        <v/>
      </c>
      <c r="Z48" s="1">
        <f>IF(Z$5="",0,IF(OR(Z15=TRUE,ISTEXT(Z15)),Y48+1,0))</f>
        <v/>
      </c>
      <c r="AA48" s="1">
        <f>IF(AA$5="",0,IF(OR(AA15=TRUE,ISTEXT(AA15)),Z48+1,0))</f>
        <v/>
      </c>
      <c r="AB48" s="1">
        <f>IF(AB$5="",0,IF(OR(AB15=TRUE,ISTEXT(AB15)),AA48+1,0))</f>
        <v/>
      </c>
      <c r="AC48" s="1">
        <f>IF(AC$5="",0,IF(OR(AC15=TRUE,ISTEXT(AC15)),AB48+1,0))</f>
        <v/>
      </c>
      <c r="AD48" s="1">
        <f>IF(AD$5="",0,IF(OR(AD15=TRUE,ISTEXT(AD15)),AC48+1,0))</f>
        <v/>
      </c>
      <c r="AE48" s="1">
        <f>IF(AE$5="",0,IF(OR(AE15=TRUE,ISTEXT(AE15)),AD48+1,0))</f>
        <v/>
      </c>
      <c r="AF48" s="1">
        <f>IF(AF$5="",0,IF(OR(AF15=TRUE,ISTEXT(AF15)),AE48+1,0))</f>
        <v/>
      </c>
      <c r="AG48" s="1">
        <f>IF(AG$5="",0,IF(OR(AG15=TRUE,ISTEXT(AG15)),AF48+1,0))</f>
        <v/>
      </c>
      <c r="AH48" s="1" t="n"/>
      <c r="AI48" s="1" t="n"/>
      <c r="AJ48" s="1" t="n"/>
      <c r="AK48" s="1" t="n"/>
      <c r="AL48" s="1" t="n"/>
    </row>
    <row r="49" hidden="1">
      <c r="A49" s="1" t="n"/>
      <c r="B49" s="1">
        <f>B16</f>
        <v/>
      </c>
      <c r="C49" s="1">
        <f>IF(C$5="",0,IF(OR(C16=TRUE,ISTEXT(C16)),IFERROR(INDEX(Jul!$C$49:$AG$49,DAY(EOMONTH(DATE(Habits!$C$4,7,1),0))),0)+1,0))</f>
        <v/>
      </c>
      <c r="D49" s="1">
        <f>IF(D$5="",0,IF(OR(D16=TRUE,ISTEXT(D16)),C49+1,0))</f>
        <v/>
      </c>
      <c r="E49" s="1">
        <f>IF(E$5="",0,IF(OR(E16=TRUE,ISTEXT(E16)),D49+1,0))</f>
        <v/>
      </c>
      <c r="F49" s="1">
        <f>IF(F$5="",0,IF(OR(F16=TRUE,ISTEXT(F16)),E49+1,0))</f>
        <v/>
      </c>
      <c r="G49" s="1">
        <f>IF(G$5="",0,IF(OR(G16=TRUE,ISTEXT(G16)),F49+1,0))</f>
        <v/>
      </c>
      <c r="H49" s="1">
        <f>IF(H$5="",0,IF(OR(H16=TRUE,ISTEXT(H16)),G49+1,0))</f>
        <v/>
      </c>
      <c r="I49" s="1">
        <f>IF(I$5="",0,IF(OR(I16=TRUE,ISTEXT(I16)),H49+1,0))</f>
        <v/>
      </c>
      <c r="J49" s="1">
        <f>IF(J$5="",0,IF(OR(J16=TRUE,ISTEXT(J16)),I49+1,0))</f>
        <v/>
      </c>
      <c r="K49" s="1">
        <f>IF(K$5="",0,IF(OR(K16=TRUE,ISTEXT(K16)),J49+1,0))</f>
        <v/>
      </c>
      <c r="L49" s="1">
        <f>IF(L$5="",0,IF(OR(L16=TRUE,ISTEXT(L16)),K49+1,0))</f>
        <v/>
      </c>
      <c r="M49" s="1">
        <f>IF(M$5="",0,IF(OR(M16=TRUE,ISTEXT(M16)),L49+1,0))</f>
        <v/>
      </c>
      <c r="N49" s="1">
        <f>IF(N$5="",0,IF(OR(N16=TRUE,ISTEXT(N16)),M49+1,0))</f>
        <v/>
      </c>
      <c r="O49" s="1">
        <f>IF(O$5="",0,IF(OR(O16=TRUE,ISTEXT(O16)),N49+1,0))</f>
        <v/>
      </c>
      <c r="P49" s="1">
        <f>IF(P$5="",0,IF(OR(P16=TRUE,ISTEXT(P16)),O49+1,0))</f>
        <v/>
      </c>
      <c r="Q49" s="1">
        <f>IF(Q$5="",0,IF(OR(Q16=TRUE,ISTEXT(Q16)),P49+1,0))</f>
        <v/>
      </c>
      <c r="R49" s="1">
        <f>IF(R$5="",0,IF(OR(R16=TRUE,ISTEXT(R16)),Q49+1,0))</f>
        <v/>
      </c>
      <c r="S49" s="1">
        <f>IF(S$5="",0,IF(OR(S16=TRUE,ISTEXT(S16)),R49+1,0))</f>
        <v/>
      </c>
      <c r="T49" s="1">
        <f>IF(T$5="",0,IF(OR(T16=TRUE,ISTEXT(T16)),S49+1,0))</f>
        <v/>
      </c>
      <c r="U49" s="1">
        <f>IF(U$5="",0,IF(OR(U16=TRUE,ISTEXT(U16)),T49+1,0))</f>
        <v/>
      </c>
      <c r="V49" s="1">
        <f>IF(V$5="",0,IF(OR(V16=TRUE,ISTEXT(V16)),U49+1,0))</f>
        <v/>
      </c>
      <c r="W49" s="1">
        <f>IF(W$5="",0,IF(OR(W16=TRUE,ISTEXT(W16)),V49+1,0))</f>
        <v/>
      </c>
      <c r="X49" s="1">
        <f>IF(X$5="",0,IF(OR(X16=TRUE,ISTEXT(X16)),W49+1,0))</f>
        <v/>
      </c>
      <c r="Y49" s="1">
        <f>IF(Y$5="",0,IF(OR(Y16=TRUE,ISTEXT(Y16)),X49+1,0))</f>
        <v/>
      </c>
      <c r="Z49" s="1">
        <f>IF(Z$5="",0,IF(OR(Z16=TRUE,ISTEXT(Z16)),Y49+1,0))</f>
        <v/>
      </c>
      <c r="AA49" s="1">
        <f>IF(AA$5="",0,IF(OR(AA16=TRUE,ISTEXT(AA16)),Z49+1,0))</f>
        <v/>
      </c>
      <c r="AB49" s="1">
        <f>IF(AB$5="",0,IF(OR(AB16=TRUE,ISTEXT(AB16)),AA49+1,0))</f>
        <v/>
      </c>
      <c r="AC49" s="1">
        <f>IF(AC$5="",0,IF(OR(AC16=TRUE,ISTEXT(AC16)),AB49+1,0))</f>
        <v/>
      </c>
      <c r="AD49" s="1">
        <f>IF(AD$5="",0,IF(OR(AD16=TRUE,ISTEXT(AD16)),AC49+1,0))</f>
        <v/>
      </c>
      <c r="AE49" s="1">
        <f>IF(AE$5="",0,IF(OR(AE16=TRUE,ISTEXT(AE16)),AD49+1,0))</f>
        <v/>
      </c>
      <c r="AF49" s="1">
        <f>IF(AF$5="",0,IF(OR(AF16=TRUE,ISTEXT(AF16)),AE49+1,0))</f>
        <v/>
      </c>
      <c r="AG49" s="1">
        <f>IF(AG$5="",0,IF(OR(AG16=TRUE,ISTEXT(AG16)),AF49+1,0))</f>
        <v/>
      </c>
      <c r="AH49" s="1" t="n"/>
      <c r="AI49" s="1" t="n"/>
      <c r="AJ49" s="1" t="n"/>
      <c r="AK49" s="1" t="n"/>
      <c r="AL49" s="1" t="n"/>
    </row>
    <row r="50" hidden="1">
      <c r="A50" s="1" t="n"/>
      <c r="B50" s="1">
        <f>B17</f>
        <v/>
      </c>
      <c r="C50" s="1">
        <f>IF(C$5="",0,IF(OR(C17=TRUE,ISTEXT(C17)),IFERROR(INDEX(Jul!$C$50:$AG$50,DAY(EOMONTH(DATE(Habits!$C$4,7,1),0))),0)+1,0))</f>
        <v/>
      </c>
      <c r="D50" s="1">
        <f>IF(D$5="",0,IF(OR(D17=TRUE,ISTEXT(D17)),C50+1,0))</f>
        <v/>
      </c>
      <c r="E50" s="1">
        <f>IF(E$5="",0,IF(OR(E17=TRUE,ISTEXT(E17)),D50+1,0))</f>
        <v/>
      </c>
      <c r="F50" s="1">
        <f>IF(F$5="",0,IF(OR(F17=TRUE,ISTEXT(F17)),E50+1,0))</f>
        <v/>
      </c>
      <c r="G50" s="1">
        <f>IF(G$5="",0,IF(OR(G17=TRUE,ISTEXT(G17)),F50+1,0))</f>
        <v/>
      </c>
      <c r="H50" s="1">
        <f>IF(H$5="",0,IF(OR(H17=TRUE,ISTEXT(H17)),G50+1,0))</f>
        <v/>
      </c>
      <c r="I50" s="1">
        <f>IF(I$5="",0,IF(OR(I17=TRUE,ISTEXT(I17)),H50+1,0))</f>
        <v/>
      </c>
      <c r="J50" s="1">
        <f>IF(J$5="",0,IF(OR(J17=TRUE,ISTEXT(J17)),I50+1,0))</f>
        <v/>
      </c>
      <c r="K50" s="1">
        <f>IF(K$5="",0,IF(OR(K17=TRUE,ISTEXT(K17)),J50+1,0))</f>
        <v/>
      </c>
      <c r="L50" s="1">
        <f>IF(L$5="",0,IF(OR(L17=TRUE,ISTEXT(L17)),K50+1,0))</f>
        <v/>
      </c>
      <c r="M50" s="1">
        <f>IF(M$5="",0,IF(OR(M17=TRUE,ISTEXT(M17)),L50+1,0))</f>
        <v/>
      </c>
      <c r="N50" s="1">
        <f>IF(N$5="",0,IF(OR(N17=TRUE,ISTEXT(N17)),M50+1,0))</f>
        <v/>
      </c>
      <c r="O50" s="1">
        <f>IF(O$5="",0,IF(OR(O17=TRUE,ISTEXT(O17)),N50+1,0))</f>
        <v/>
      </c>
      <c r="P50" s="1">
        <f>IF(P$5="",0,IF(OR(P17=TRUE,ISTEXT(P17)),O50+1,0))</f>
        <v/>
      </c>
      <c r="Q50" s="1">
        <f>IF(Q$5="",0,IF(OR(Q17=TRUE,ISTEXT(Q17)),P50+1,0))</f>
        <v/>
      </c>
      <c r="R50" s="1">
        <f>IF(R$5="",0,IF(OR(R17=TRUE,ISTEXT(R17)),Q50+1,0))</f>
        <v/>
      </c>
      <c r="S50" s="1">
        <f>IF(S$5="",0,IF(OR(S17=TRUE,ISTEXT(S17)),R50+1,0))</f>
        <v/>
      </c>
      <c r="T50" s="1">
        <f>IF(T$5="",0,IF(OR(T17=TRUE,ISTEXT(T17)),S50+1,0))</f>
        <v/>
      </c>
      <c r="U50" s="1">
        <f>IF(U$5="",0,IF(OR(U17=TRUE,ISTEXT(U17)),T50+1,0))</f>
        <v/>
      </c>
      <c r="V50" s="1">
        <f>IF(V$5="",0,IF(OR(V17=TRUE,ISTEXT(V17)),U50+1,0))</f>
        <v/>
      </c>
      <c r="W50" s="1">
        <f>IF(W$5="",0,IF(OR(W17=TRUE,ISTEXT(W17)),V50+1,0))</f>
        <v/>
      </c>
      <c r="X50" s="1">
        <f>IF(X$5="",0,IF(OR(X17=TRUE,ISTEXT(X17)),W50+1,0))</f>
        <v/>
      </c>
      <c r="Y50" s="1">
        <f>IF(Y$5="",0,IF(OR(Y17=TRUE,ISTEXT(Y17)),X50+1,0))</f>
        <v/>
      </c>
      <c r="Z50" s="1">
        <f>IF(Z$5="",0,IF(OR(Z17=TRUE,ISTEXT(Z17)),Y50+1,0))</f>
        <v/>
      </c>
      <c r="AA50" s="1">
        <f>IF(AA$5="",0,IF(OR(AA17=TRUE,ISTEXT(AA17)),Z50+1,0))</f>
        <v/>
      </c>
      <c r="AB50" s="1">
        <f>IF(AB$5="",0,IF(OR(AB17=TRUE,ISTEXT(AB17)),AA50+1,0))</f>
        <v/>
      </c>
      <c r="AC50" s="1">
        <f>IF(AC$5="",0,IF(OR(AC17=TRUE,ISTEXT(AC17)),AB50+1,0))</f>
        <v/>
      </c>
      <c r="AD50" s="1">
        <f>IF(AD$5="",0,IF(OR(AD17=TRUE,ISTEXT(AD17)),AC50+1,0))</f>
        <v/>
      </c>
      <c r="AE50" s="1">
        <f>IF(AE$5="",0,IF(OR(AE17=TRUE,ISTEXT(AE17)),AD50+1,0))</f>
        <v/>
      </c>
      <c r="AF50" s="1">
        <f>IF(AF$5="",0,IF(OR(AF17=TRUE,ISTEXT(AF17)),AE50+1,0))</f>
        <v/>
      </c>
      <c r="AG50" s="1">
        <f>IF(AG$5="",0,IF(OR(AG17=TRUE,ISTEXT(AG17)),AF50+1,0))</f>
        <v/>
      </c>
      <c r="AH50" s="1" t="n"/>
      <c r="AI50" s="1" t="n"/>
      <c r="AJ50" s="1" t="n"/>
      <c r="AK50" s="1" t="n"/>
      <c r="AL50" s="1" t="n"/>
    </row>
    <row r="51" hidden="1">
      <c r="A51" s="1" t="n"/>
      <c r="B51" s="1">
        <f>B18</f>
        <v/>
      </c>
      <c r="C51" s="1">
        <f>IF(C$5="",0,IF(OR(C18=TRUE,ISTEXT(C18)),IFERROR(INDEX(Jul!$C$51:$AG$51,DAY(EOMONTH(DATE(Habits!$C$4,7,1),0))),0)+1,0))</f>
        <v/>
      </c>
      <c r="D51" s="1">
        <f>IF(D$5="",0,IF(OR(D18=TRUE,ISTEXT(D18)),C51+1,0))</f>
        <v/>
      </c>
      <c r="E51" s="1">
        <f>IF(E$5="",0,IF(OR(E18=TRUE,ISTEXT(E18)),D51+1,0))</f>
        <v/>
      </c>
      <c r="F51" s="1">
        <f>IF(F$5="",0,IF(OR(F18=TRUE,ISTEXT(F18)),E51+1,0))</f>
        <v/>
      </c>
      <c r="G51" s="1">
        <f>IF(G$5="",0,IF(OR(G18=TRUE,ISTEXT(G18)),F51+1,0))</f>
        <v/>
      </c>
      <c r="H51" s="1">
        <f>IF(H$5="",0,IF(OR(H18=TRUE,ISTEXT(H18)),G51+1,0))</f>
        <v/>
      </c>
      <c r="I51" s="1">
        <f>IF(I$5="",0,IF(OR(I18=TRUE,ISTEXT(I18)),H51+1,0))</f>
        <v/>
      </c>
      <c r="J51" s="1">
        <f>IF(J$5="",0,IF(OR(J18=TRUE,ISTEXT(J18)),I51+1,0))</f>
        <v/>
      </c>
      <c r="K51" s="1">
        <f>IF(K$5="",0,IF(OR(K18=TRUE,ISTEXT(K18)),J51+1,0))</f>
        <v/>
      </c>
      <c r="L51" s="1">
        <f>IF(L$5="",0,IF(OR(L18=TRUE,ISTEXT(L18)),K51+1,0))</f>
        <v/>
      </c>
      <c r="M51" s="1">
        <f>IF(M$5="",0,IF(OR(M18=TRUE,ISTEXT(M18)),L51+1,0))</f>
        <v/>
      </c>
      <c r="N51" s="1">
        <f>IF(N$5="",0,IF(OR(N18=TRUE,ISTEXT(N18)),M51+1,0))</f>
        <v/>
      </c>
      <c r="O51" s="1">
        <f>IF(O$5="",0,IF(OR(O18=TRUE,ISTEXT(O18)),N51+1,0))</f>
        <v/>
      </c>
      <c r="P51" s="1">
        <f>IF(P$5="",0,IF(OR(P18=TRUE,ISTEXT(P18)),O51+1,0))</f>
        <v/>
      </c>
      <c r="Q51" s="1">
        <f>IF(Q$5="",0,IF(OR(Q18=TRUE,ISTEXT(Q18)),P51+1,0))</f>
        <v/>
      </c>
      <c r="R51" s="1">
        <f>IF(R$5="",0,IF(OR(R18=TRUE,ISTEXT(R18)),Q51+1,0))</f>
        <v/>
      </c>
      <c r="S51" s="1">
        <f>IF(S$5="",0,IF(OR(S18=TRUE,ISTEXT(S18)),R51+1,0))</f>
        <v/>
      </c>
      <c r="T51" s="1">
        <f>IF(T$5="",0,IF(OR(T18=TRUE,ISTEXT(T18)),S51+1,0))</f>
        <v/>
      </c>
      <c r="U51" s="1">
        <f>IF(U$5="",0,IF(OR(U18=TRUE,ISTEXT(U18)),T51+1,0))</f>
        <v/>
      </c>
      <c r="V51" s="1">
        <f>IF(V$5="",0,IF(OR(V18=TRUE,ISTEXT(V18)),U51+1,0))</f>
        <v/>
      </c>
      <c r="W51" s="1">
        <f>IF(W$5="",0,IF(OR(W18=TRUE,ISTEXT(W18)),V51+1,0))</f>
        <v/>
      </c>
      <c r="X51" s="1">
        <f>IF(X$5="",0,IF(OR(X18=TRUE,ISTEXT(X18)),W51+1,0))</f>
        <v/>
      </c>
      <c r="Y51" s="1">
        <f>IF(Y$5="",0,IF(OR(Y18=TRUE,ISTEXT(Y18)),X51+1,0))</f>
        <v/>
      </c>
      <c r="Z51" s="1">
        <f>IF(Z$5="",0,IF(OR(Z18=TRUE,ISTEXT(Z18)),Y51+1,0))</f>
        <v/>
      </c>
      <c r="AA51" s="1">
        <f>IF(AA$5="",0,IF(OR(AA18=TRUE,ISTEXT(AA18)),Z51+1,0))</f>
        <v/>
      </c>
      <c r="AB51" s="1">
        <f>IF(AB$5="",0,IF(OR(AB18=TRUE,ISTEXT(AB18)),AA51+1,0))</f>
        <v/>
      </c>
      <c r="AC51" s="1">
        <f>IF(AC$5="",0,IF(OR(AC18=TRUE,ISTEXT(AC18)),AB51+1,0))</f>
        <v/>
      </c>
      <c r="AD51" s="1">
        <f>IF(AD$5="",0,IF(OR(AD18=TRUE,ISTEXT(AD18)),AC51+1,0))</f>
        <v/>
      </c>
      <c r="AE51" s="1">
        <f>IF(AE$5="",0,IF(OR(AE18=TRUE,ISTEXT(AE18)),AD51+1,0))</f>
        <v/>
      </c>
      <c r="AF51" s="1">
        <f>IF(AF$5="",0,IF(OR(AF18=TRUE,ISTEXT(AF18)),AE51+1,0))</f>
        <v/>
      </c>
      <c r="AG51" s="1">
        <f>IF(AG$5="",0,IF(OR(AG18=TRUE,ISTEXT(AG18)),AF51+1,0))</f>
        <v/>
      </c>
      <c r="AH51" s="1" t="n"/>
      <c r="AI51" s="1" t="n"/>
      <c r="AJ51" s="1" t="n"/>
      <c r="AK51" s="1" t="n"/>
      <c r="AL51" s="1" t="n"/>
    </row>
    <row r="52" hidden="1">
      <c r="A52" s="1" t="n"/>
      <c r="B52" s="1">
        <f>B19</f>
        <v/>
      </c>
      <c r="C52" s="1">
        <f>IF(C$5="",0,IF(OR(C19=TRUE,ISTEXT(C19)),IFERROR(INDEX(Jul!$C$52:$AG$52,DAY(EOMONTH(DATE(Habits!$C$4,7,1),0))),0)+1,0))</f>
        <v/>
      </c>
      <c r="D52" s="1">
        <f>IF(D$5="",0,IF(OR(D19=TRUE,ISTEXT(D19)),C52+1,0))</f>
        <v/>
      </c>
      <c r="E52" s="1">
        <f>IF(E$5="",0,IF(OR(E19=TRUE,ISTEXT(E19)),D52+1,0))</f>
        <v/>
      </c>
      <c r="F52" s="1">
        <f>IF(F$5="",0,IF(OR(F19=TRUE,ISTEXT(F19)),E52+1,0))</f>
        <v/>
      </c>
      <c r="G52" s="1">
        <f>IF(G$5="",0,IF(OR(G19=TRUE,ISTEXT(G19)),F52+1,0))</f>
        <v/>
      </c>
      <c r="H52" s="1">
        <f>IF(H$5="",0,IF(OR(H19=TRUE,ISTEXT(H19)),G52+1,0))</f>
        <v/>
      </c>
      <c r="I52" s="1">
        <f>IF(I$5="",0,IF(OR(I19=TRUE,ISTEXT(I19)),H52+1,0))</f>
        <v/>
      </c>
      <c r="J52" s="1">
        <f>IF(J$5="",0,IF(OR(J19=TRUE,ISTEXT(J19)),I52+1,0))</f>
        <v/>
      </c>
      <c r="K52" s="1">
        <f>IF(K$5="",0,IF(OR(K19=TRUE,ISTEXT(K19)),J52+1,0))</f>
        <v/>
      </c>
      <c r="L52" s="1">
        <f>IF(L$5="",0,IF(OR(L19=TRUE,ISTEXT(L19)),K52+1,0))</f>
        <v/>
      </c>
      <c r="M52" s="1">
        <f>IF(M$5="",0,IF(OR(M19=TRUE,ISTEXT(M19)),L52+1,0))</f>
        <v/>
      </c>
      <c r="N52" s="1">
        <f>IF(N$5="",0,IF(OR(N19=TRUE,ISTEXT(N19)),M52+1,0))</f>
        <v/>
      </c>
      <c r="O52" s="1">
        <f>IF(O$5="",0,IF(OR(O19=TRUE,ISTEXT(O19)),N52+1,0))</f>
        <v/>
      </c>
      <c r="P52" s="1">
        <f>IF(P$5="",0,IF(OR(P19=TRUE,ISTEXT(P19)),O52+1,0))</f>
        <v/>
      </c>
      <c r="Q52" s="1">
        <f>IF(Q$5="",0,IF(OR(Q19=TRUE,ISTEXT(Q19)),P52+1,0))</f>
        <v/>
      </c>
      <c r="R52" s="1">
        <f>IF(R$5="",0,IF(OR(R19=TRUE,ISTEXT(R19)),Q52+1,0))</f>
        <v/>
      </c>
      <c r="S52" s="1">
        <f>IF(S$5="",0,IF(OR(S19=TRUE,ISTEXT(S19)),R52+1,0))</f>
        <v/>
      </c>
      <c r="T52" s="1">
        <f>IF(T$5="",0,IF(OR(T19=TRUE,ISTEXT(T19)),S52+1,0))</f>
        <v/>
      </c>
      <c r="U52" s="1">
        <f>IF(U$5="",0,IF(OR(U19=TRUE,ISTEXT(U19)),T52+1,0))</f>
        <v/>
      </c>
      <c r="V52" s="1">
        <f>IF(V$5="",0,IF(OR(V19=TRUE,ISTEXT(V19)),U52+1,0))</f>
        <v/>
      </c>
      <c r="W52" s="1">
        <f>IF(W$5="",0,IF(OR(W19=TRUE,ISTEXT(W19)),V52+1,0))</f>
        <v/>
      </c>
      <c r="X52" s="1">
        <f>IF(X$5="",0,IF(OR(X19=TRUE,ISTEXT(X19)),W52+1,0))</f>
        <v/>
      </c>
      <c r="Y52" s="1">
        <f>IF(Y$5="",0,IF(OR(Y19=TRUE,ISTEXT(Y19)),X52+1,0))</f>
        <v/>
      </c>
      <c r="Z52" s="1">
        <f>IF(Z$5="",0,IF(OR(Z19=TRUE,ISTEXT(Z19)),Y52+1,0))</f>
        <v/>
      </c>
      <c r="AA52" s="1">
        <f>IF(AA$5="",0,IF(OR(AA19=TRUE,ISTEXT(AA19)),Z52+1,0))</f>
        <v/>
      </c>
      <c r="AB52" s="1">
        <f>IF(AB$5="",0,IF(OR(AB19=TRUE,ISTEXT(AB19)),AA52+1,0))</f>
        <v/>
      </c>
      <c r="AC52" s="1">
        <f>IF(AC$5="",0,IF(OR(AC19=TRUE,ISTEXT(AC19)),AB52+1,0))</f>
        <v/>
      </c>
      <c r="AD52" s="1">
        <f>IF(AD$5="",0,IF(OR(AD19=TRUE,ISTEXT(AD19)),AC52+1,0))</f>
        <v/>
      </c>
      <c r="AE52" s="1">
        <f>IF(AE$5="",0,IF(OR(AE19=TRUE,ISTEXT(AE19)),AD52+1,0))</f>
        <v/>
      </c>
      <c r="AF52" s="1">
        <f>IF(AF$5="",0,IF(OR(AF19=TRUE,ISTEXT(AF19)),AE52+1,0))</f>
        <v/>
      </c>
      <c r="AG52" s="1">
        <f>IF(AG$5="",0,IF(OR(AG19=TRUE,ISTEXT(AG19)),AF52+1,0))</f>
        <v/>
      </c>
      <c r="AH52" s="1" t="n"/>
      <c r="AI52" s="1" t="n"/>
      <c r="AJ52" s="1" t="n"/>
      <c r="AK52" s="1" t="n"/>
      <c r="AL52" s="1" t="n"/>
    </row>
    <row r="53" hidden="1">
      <c r="A53" s="1" t="n"/>
      <c r="B53" s="1">
        <f>B20</f>
        <v/>
      </c>
      <c r="C53" s="1">
        <f>IF(C$5="",0,IF(OR(C20=TRUE,ISTEXT(C20)),IFERROR(INDEX(Jul!$C$53:$AG$53,DAY(EOMONTH(DATE(Habits!$C$4,7,1),0))),0)+1,0))</f>
        <v/>
      </c>
      <c r="D53" s="1">
        <f>IF(D$5="",0,IF(OR(D20=TRUE,ISTEXT(D20)),C53+1,0))</f>
        <v/>
      </c>
      <c r="E53" s="1">
        <f>IF(E$5="",0,IF(OR(E20=TRUE,ISTEXT(E20)),D53+1,0))</f>
        <v/>
      </c>
      <c r="F53" s="1">
        <f>IF(F$5="",0,IF(OR(F20=TRUE,ISTEXT(F20)),E53+1,0))</f>
        <v/>
      </c>
      <c r="G53" s="1">
        <f>IF(G$5="",0,IF(OR(G20=TRUE,ISTEXT(G20)),F53+1,0))</f>
        <v/>
      </c>
      <c r="H53" s="1">
        <f>IF(H$5="",0,IF(OR(H20=TRUE,ISTEXT(H20)),G53+1,0))</f>
        <v/>
      </c>
      <c r="I53" s="1">
        <f>IF(I$5="",0,IF(OR(I20=TRUE,ISTEXT(I20)),H53+1,0))</f>
        <v/>
      </c>
      <c r="J53" s="1">
        <f>IF(J$5="",0,IF(OR(J20=TRUE,ISTEXT(J20)),I53+1,0))</f>
        <v/>
      </c>
      <c r="K53" s="1">
        <f>IF(K$5="",0,IF(OR(K20=TRUE,ISTEXT(K20)),J53+1,0))</f>
        <v/>
      </c>
      <c r="L53" s="1">
        <f>IF(L$5="",0,IF(OR(L20=TRUE,ISTEXT(L20)),K53+1,0))</f>
        <v/>
      </c>
      <c r="M53" s="1">
        <f>IF(M$5="",0,IF(OR(M20=TRUE,ISTEXT(M20)),L53+1,0))</f>
        <v/>
      </c>
      <c r="N53" s="1">
        <f>IF(N$5="",0,IF(OR(N20=TRUE,ISTEXT(N20)),M53+1,0))</f>
        <v/>
      </c>
      <c r="O53" s="1">
        <f>IF(O$5="",0,IF(OR(O20=TRUE,ISTEXT(O20)),N53+1,0))</f>
        <v/>
      </c>
      <c r="P53" s="1">
        <f>IF(P$5="",0,IF(OR(P20=TRUE,ISTEXT(P20)),O53+1,0))</f>
        <v/>
      </c>
      <c r="Q53" s="1">
        <f>IF(Q$5="",0,IF(OR(Q20=TRUE,ISTEXT(Q20)),P53+1,0))</f>
        <v/>
      </c>
      <c r="R53" s="1">
        <f>IF(R$5="",0,IF(OR(R20=TRUE,ISTEXT(R20)),Q53+1,0))</f>
        <v/>
      </c>
      <c r="S53" s="1">
        <f>IF(S$5="",0,IF(OR(S20=TRUE,ISTEXT(S20)),R53+1,0))</f>
        <v/>
      </c>
      <c r="T53" s="1">
        <f>IF(T$5="",0,IF(OR(T20=TRUE,ISTEXT(T20)),S53+1,0))</f>
        <v/>
      </c>
      <c r="U53" s="1">
        <f>IF(U$5="",0,IF(OR(U20=TRUE,ISTEXT(U20)),T53+1,0))</f>
        <v/>
      </c>
      <c r="V53" s="1">
        <f>IF(V$5="",0,IF(OR(V20=TRUE,ISTEXT(V20)),U53+1,0))</f>
        <v/>
      </c>
      <c r="W53" s="1">
        <f>IF(W$5="",0,IF(OR(W20=TRUE,ISTEXT(W20)),V53+1,0))</f>
        <v/>
      </c>
      <c r="X53" s="1">
        <f>IF(X$5="",0,IF(OR(X20=TRUE,ISTEXT(X20)),W53+1,0))</f>
        <v/>
      </c>
      <c r="Y53" s="1">
        <f>IF(Y$5="",0,IF(OR(Y20=TRUE,ISTEXT(Y20)),X53+1,0))</f>
        <v/>
      </c>
      <c r="Z53" s="1">
        <f>IF(Z$5="",0,IF(OR(Z20=TRUE,ISTEXT(Z20)),Y53+1,0))</f>
        <v/>
      </c>
      <c r="AA53" s="1">
        <f>IF(AA$5="",0,IF(OR(AA20=TRUE,ISTEXT(AA20)),Z53+1,0))</f>
        <v/>
      </c>
      <c r="AB53" s="1">
        <f>IF(AB$5="",0,IF(OR(AB20=TRUE,ISTEXT(AB20)),AA53+1,0))</f>
        <v/>
      </c>
      <c r="AC53" s="1">
        <f>IF(AC$5="",0,IF(OR(AC20=TRUE,ISTEXT(AC20)),AB53+1,0))</f>
        <v/>
      </c>
      <c r="AD53" s="1">
        <f>IF(AD$5="",0,IF(OR(AD20=TRUE,ISTEXT(AD20)),AC53+1,0))</f>
        <v/>
      </c>
      <c r="AE53" s="1">
        <f>IF(AE$5="",0,IF(OR(AE20=TRUE,ISTEXT(AE20)),AD53+1,0))</f>
        <v/>
      </c>
      <c r="AF53" s="1">
        <f>IF(AF$5="",0,IF(OR(AF20=TRUE,ISTEXT(AF20)),AE53+1,0))</f>
        <v/>
      </c>
      <c r="AG53" s="1">
        <f>IF(AG$5="",0,IF(OR(AG20=TRUE,ISTEXT(AG20)),AF53+1,0))</f>
        <v/>
      </c>
      <c r="AH53" s="1" t="n"/>
      <c r="AI53" s="1" t="n"/>
      <c r="AJ53" s="1" t="n"/>
      <c r="AK53" s="1" t="n"/>
      <c r="AL53" s="1" t="n"/>
    </row>
    <row r="54" hidden="1">
      <c r="A54" s="1" t="n"/>
      <c r="B54" s="1">
        <f>B21</f>
        <v/>
      </c>
      <c r="C54" s="1">
        <f>IF(C$5="",0,IF(OR(C21=TRUE,ISTEXT(C21)),IFERROR(INDEX(Jul!$C$54:$AG$54,DAY(EOMONTH(DATE(Habits!$C$4,7,1),0))),0)+1,0))</f>
        <v/>
      </c>
      <c r="D54" s="1">
        <f>IF(D$5="",0,IF(OR(D21=TRUE,ISTEXT(D21)),C54+1,0))</f>
        <v/>
      </c>
      <c r="E54" s="1">
        <f>IF(E$5="",0,IF(OR(E21=TRUE,ISTEXT(E21)),D54+1,0))</f>
        <v/>
      </c>
      <c r="F54" s="1">
        <f>IF(F$5="",0,IF(OR(F21=TRUE,ISTEXT(F21)),E54+1,0))</f>
        <v/>
      </c>
      <c r="G54" s="1">
        <f>IF(G$5="",0,IF(OR(G21=TRUE,ISTEXT(G21)),F54+1,0))</f>
        <v/>
      </c>
      <c r="H54" s="1">
        <f>IF(H$5="",0,IF(OR(H21=TRUE,ISTEXT(H21)),G54+1,0))</f>
        <v/>
      </c>
      <c r="I54" s="1">
        <f>IF(I$5="",0,IF(OR(I21=TRUE,ISTEXT(I21)),H54+1,0))</f>
        <v/>
      </c>
      <c r="J54" s="1">
        <f>IF(J$5="",0,IF(OR(J21=TRUE,ISTEXT(J21)),I54+1,0))</f>
        <v/>
      </c>
      <c r="K54" s="1">
        <f>IF(K$5="",0,IF(OR(K21=TRUE,ISTEXT(K21)),J54+1,0))</f>
        <v/>
      </c>
      <c r="L54" s="1">
        <f>IF(L$5="",0,IF(OR(L21=TRUE,ISTEXT(L21)),K54+1,0))</f>
        <v/>
      </c>
      <c r="M54" s="1">
        <f>IF(M$5="",0,IF(OR(M21=TRUE,ISTEXT(M21)),L54+1,0))</f>
        <v/>
      </c>
      <c r="N54" s="1">
        <f>IF(N$5="",0,IF(OR(N21=TRUE,ISTEXT(N21)),M54+1,0))</f>
        <v/>
      </c>
      <c r="O54" s="1">
        <f>IF(O$5="",0,IF(OR(O21=TRUE,ISTEXT(O21)),N54+1,0))</f>
        <v/>
      </c>
      <c r="P54" s="1">
        <f>IF(P$5="",0,IF(OR(P21=TRUE,ISTEXT(P21)),O54+1,0))</f>
        <v/>
      </c>
      <c r="Q54" s="1">
        <f>IF(Q$5="",0,IF(OR(Q21=TRUE,ISTEXT(Q21)),P54+1,0))</f>
        <v/>
      </c>
      <c r="R54" s="1">
        <f>IF(R$5="",0,IF(OR(R21=TRUE,ISTEXT(R21)),Q54+1,0))</f>
        <v/>
      </c>
      <c r="S54" s="1">
        <f>IF(S$5="",0,IF(OR(S21=TRUE,ISTEXT(S21)),R54+1,0))</f>
        <v/>
      </c>
      <c r="T54" s="1">
        <f>IF(T$5="",0,IF(OR(T21=TRUE,ISTEXT(T21)),S54+1,0))</f>
        <v/>
      </c>
      <c r="U54" s="1">
        <f>IF(U$5="",0,IF(OR(U21=TRUE,ISTEXT(U21)),T54+1,0))</f>
        <v/>
      </c>
      <c r="V54" s="1">
        <f>IF(V$5="",0,IF(OR(V21=TRUE,ISTEXT(V21)),U54+1,0))</f>
        <v/>
      </c>
      <c r="W54" s="1">
        <f>IF(W$5="",0,IF(OR(W21=TRUE,ISTEXT(W21)),V54+1,0))</f>
        <v/>
      </c>
      <c r="X54" s="1">
        <f>IF(X$5="",0,IF(OR(X21=TRUE,ISTEXT(X21)),W54+1,0))</f>
        <v/>
      </c>
      <c r="Y54" s="1">
        <f>IF(Y$5="",0,IF(OR(Y21=TRUE,ISTEXT(Y21)),X54+1,0))</f>
        <v/>
      </c>
      <c r="Z54" s="1">
        <f>IF(Z$5="",0,IF(OR(Z21=TRUE,ISTEXT(Z21)),Y54+1,0))</f>
        <v/>
      </c>
      <c r="AA54" s="1">
        <f>IF(AA$5="",0,IF(OR(AA21=TRUE,ISTEXT(AA21)),Z54+1,0))</f>
        <v/>
      </c>
      <c r="AB54" s="1">
        <f>IF(AB$5="",0,IF(OR(AB21=TRUE,ISTEXT(AB21)),AA54+1,0))</f>
        <v/>
      </c>
      <c r="AC54" s="1">
        <f>IF(AC$5="",0,IF(OR(AC21=TRUE,ISTEXT(AC21)),AB54+1,0))</f>
        <v/>
      </c>
      <c r="AD54" s="1">
        <f>IF(AD$5="",0,IF(OR(AD21=TRUE,ISTEXT(AD21)),AC54+1,0))</f>
        <v/>
      </c>
      <c r="AE54" s="1">
        <f>IF(AE$5="",0,IF(OR(AE21=TRUE,ISTEXT(AE21)),AD54+1,0))</f>
        <v/>
      </c>
      <c r="AF54" s="1">
        <f>IF(AF$5="",0,IF(OR(AF21=TRUE,ISTEXT(AF21)),AE54+1,0))</f>
        <v/>
      </c>
      <c r="AG54" s="1">
        <f>IF(AG$5="",0,IF(OR(AG21=TRUE,ISTEXT(AG21)),AF54+1,0))</f>
        <v/>
      </c>
      <c r="AH54" s="1" t="n"/>
      <c r="AI54" s="1" t="n"/>
      <c r="AJ54" s="1" t="n"/>
      <c r="AK54" s="1" t="n"/>
      <c r="A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</sheetData>
  <mergeCells count="2">
    <mergeCell ref="AH24:AI24"/>
    <mergeCell ref="AH23:AI23"/>
  </mergeCells>
  <conditionalFormatting sqref="C7:AG24">
    <cfRule type="expression" priority="1" dxfId="12">
      <formula>C$5=""</formula>
    </cfRule>
  </conditionalFormatting>
  <conditionalFormatting sqref="C7:AG21">
    <cfRule type="expression" priority="2" dxfId="13">
      <formula>AND($B7&lt;&gt;"",OR(C7=TRUE,ISTEXT(C7)))</formula>
    </cfRule>
    <cfRule type="expression" priority="3" dxfId="14">
      <formula>$B7=""</formula>
    </cfRule>
  </conditionalFormatting>
  <conditionalFormatting sqref="C23:AG23">
    <cfRule type="expression" priority="4" dxfId="1">
      <formula>C23=5</formula>
    </cfRule>
    <cfRule type="expression" priority="5" dxfId="2">
      <formula>C23=4</formula>
    </cfRule>
    <cfRule type="expression" priority="6" dxfId="3">
      <formula>C23=3</formula>
    </cfRule>
    <cfRule type="expression" priority="7" dxfId="4">
      <formula>C23=2</formula>
    </cfRule>
    <cfRule type="expression" priority="8" dxfId="5">
      <formula>C23=1</formula>
    </cfRule>
  </conditionalFormatting>
  <conditionalFormatting sqref="C5:AG5">
    <cfRule type="expression" priority="9" dxfId="15">
      <formula>AND(C$5&lt;&gt;"",DATE(Habits!$C$4,8,C$5)=TODAY())</formula>
    </cfRule>
  </conditionalFormatting>
  <conditionalFormatting sqref="AI7:AI21">
    <cfRule type="colorScale" priority="10">
      <colorScale>
        <cfvo type="num" val="0"/>
        <cfvo type="num" val="1"/>
        <color rgb="00FFFFFF"/>
        <color rgb="008CC5A8"/>
      </colorScale>
    </cfRule>
  </conditionalFormatting>
  <dataValidations count="1">
    <dataValidation sqref="C23:AG2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L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7" customWidth="1" min="34" max="34"/>
    <col width="7" customWidth="1" min="35" max="35"/>
    <col width="8" customWidth="1" min="36" max="36"/>
    <col width="8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>
        <f>"September "&amp;Habits!$C$4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Type x on each day you did a habit. Mood from 1 to 5, sleep in hours.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30" customHeight="1">
      <c r="A5" s="1" t="n"/>
      <c r="B5" s="28" t="inlineStr">
        <is>
          <t>Habit</t>
        </is>
      </c>
      <c r="C5" s="29">
        <f>IF(1&lt;=DAY(EOMONTH(DATE(Habits!$C$4,9,1),0)),1,"")</f>
        <v/>
      </c>
      <c r="D5" s="29">
        <f>IF(2&lt;=DAY(EOMONTH(DATE(Habits!$C$4,9,1),0)),2,"")</f>
        <v/>
      </c>
      <c r="E5" s="29">
        <f>IF(3&lt;=DAY(EOMONTH(DATE(Habits!$C$4,9,1),0)),3,"")</f>
        <v/>
      </c>
      <c r="F5" s="29">
        <f>IF(4&lt;=DAY(EOMONTH(DATE(Habits!$C$4,9,1),0)),4,"")</f>
        <v/>
      </c>
      <c r="G5" s="29">
        <f>IF(5&lt;=DAY(EOMONTH(DATE(Habits!$C$4,9,1),0)),5,"")</f>
        <v/>
      </c>
      <c r="H5" s="29">
        <f>IF(6&lt;=DAY(EOMONTH(DATE(Habits!$C$4,9,1),0)),6,"")</f>
        <v/>
      </c>
      <c r="I5" s="29">
        <f>IF(7&lt;=DAY(EOMONTH(DATE(Habits!$C$4,9,1),0)),7,"")</f>
        <v/>
      </c>
      <c r="J5" s="29">
        <f>IF(8&lt;=DAY(EOMONTH(DATE(Habits!$C$4,9,1),0)),8,"")</f>
        <v/>
      </c>
      <c r="K5" s="29">
        <f>IF(9&lt;=DAY(EOMONTH(DATE(Habits!$C$4,9,1),0)),9,"")</f>
        <v/>
      </c>
      <c r="L5" s="29">
        <f>IF(10&lt;=DAY(EOMONTH(DATE(Habits!$C$4,9,1),0)),10,"")</f>
        <v/>
      </c>
      <c r="M5" s="29">
        <f>IF(11&lt;=DAY(EOMONTH(DATE(Habits!$C$4,9,1),0)),11,"")</f>
        <v/>
      </c>
      <c r="N5" s="29">
        <f>IF(12&lt;=DAY(EOMONTH(DATE(Habits!$C$4,9,1),0)),12,"")</f>
        <v/>
      </c>
      <c r="O5" s="29">
        <f>IF(13&lt;=DAY(EOMONTH(DATE(Habits!$C$4,9,1),0)),13,"")</f>
        <v/>
      </c>
      <c r="P5" s="29">
        <f>IF(14&lt;=DAY(EOMONTH(DATE(Habits!$C$4,9,1),0)),14,"")</f>
        <v/>
      </c>
      <c r="Q5" s="29">
        <f>IF(15&lt;=DAY(EOMONTH(DATE(Habits!$C$4,9,1),0)),15,"")</f>
        <v/>
      </c>
      <c r="R5" s="29">
        <f>IF(16&lt;=DAY(EOMONTH(DATE(Habits!$C$4,9,1),0)),16,"")</f>
        <v/>
      </c>
      <c r="S5" s="29">
        <f>IF(17&lt;=DAY(EOMONTH(DATE(Habits!$C$4,9,1),0)),17,"")</f>
        <v/>
      </c>
      <c r="T5" s="29">
        <f>IF(18&lt;=DAY(EOMONTH(DATE(Habits!$C$4,9,1),0)),18,"")</f>
        <v/>
      </c>
      <c r="U5" s="29">
        <f>IF(19&lt;=DAY(EOMONTH(DATE(Habits!$C$4,9,1),0)),19,"")</f>
        <v/>
      </c>
      <c r="V5" s="29">
        <f>IF(20&lt;=DAY(EOMONTH(DATE(Habits!$C$4,9,1),0)),20,"")</f>
        <v/>
      </c>
      <c r="W5" s="29">
        <f>IF(21&lt;=DAY(EOMONTH(DATE(Habits!$C$4,9,1),0)),21,"")</f>
        <v/>
      </c>
      <c r="X5" s="29">
        <f>IF(22&lt;=DAY(EOMONTH(DATE(Habits!$C$4,9,1),0)),22,"")</f>
        <v/>
      </c>
      <c r="Y5" s="29">
        <f>IF(23&lt;=DAY(EOMONTH(DATE(Habits!$C$4,9,1),0)),23,"")</f>
        <v/>
      </c>
      <c r="Z5" s="29">
        <f>IF(24&lt;=DAY(EOMONTH(DATE(Habits!$C$4,9,1),0)),24,"")</f>
        <v/>
      </c>
      <c r="AA5" s="29">
        <f>IF(25&lt;=DAY(EOMONTH(DATE(Habits!$C$4,9,1),0)),25,"")</f>
        <v/>
      </c>
      <c r="AB5" s="29">
        <f>IF(26&lt;=DAY(EOMONTH(DATE(Habits!$C$4,9,1),0)),26,"")</f>
        <v/>
      </c>
      <c r="AC5" s="29">
        <f>IF(27&lt;=DAY(EOMONTH(DATE(Habits!$C$4,9,1),0)),27,"")</f>
        <v/>
      </c>
      <c r="AD5" s="29">
        <f>IF(28&lt;=DAY(EOMONTH(DATE(Habits!$C$4,9,1),0)),28,"")</f>
        <v/>
      </c>
      <c r="AE5" s="29">
        <f>IF(29&lt;=DAY(EOMONTH(DATE(Habits!$C$4,9,1),0)),29,"")</f>
        <v/>
      </c>
      <c r="AF5" s="29">
        <f>IF(30&lt;=DAY(EOMONTH(DATE(Habits!$C$4,9,1),0)),30,"")</f>
        <v/>
      </c>
      <c r="AG5" s="29">
        <f>IF(31&lt;=DAY(EOMONTH(DATE(Habits!$C$4,9,1),0)),31,"")</f>
        <v/>
      </c>
      <c r="AH5" s="30" t="inlineStr">
        <is>
          <t>Done</t>
        </is>
      </c>
      <c r="AI5" s="30" t="inlineStr">
        <is>
          <t>Share</t>
        </is>
      </c>
      <c r="AJ5" s="30" t="inlineStr">
        <is>
          <t>Streak now</t>
        </is>
      </c>
      <c r="AK5" s="30" t="inlineStr">
        <is>
          <t>Best streak</t>
        </is>
      </c>
      <c r="AL5" s="1" t="n"/>
    </row>
    <row r="6">
      <c r="A6" s="1" t="n"/>
      <c r="B6" s="1" t="n"/>
      <c r="C6" s="31">
        <f>IF(C$5="","",CHOOSE(WEEKDAY(DATE(Habits!$C$4,9,1),2),"M","T","W","T","F","S","S"))</f>
        <v/>
      </c>
      <c r="D6" s="31">
        <f>IF(D$5="","",CHOOSE(WEEKDAY(DATE(Habits!$C$4,9,2),2),"M","T","W","T","F","S","S"))</f>
        <v/>
      </c>
      <c r="E6" s="31">
        <f>IF(E$5="","",CHOOSE(WEEKDAY(DATE(Habits!$C$4,9,3),2),"M","T","W","T","F","S","S"))</f>
        <v/>
      </c>
      <c r="F6" s="31">
        <f>IF(F$5="","",CHOOSE(WEEKDAY(DATE(Habits!$C$4,9,4),2),"M","T","W","T","F","S","S"))</f>
        <v/>
      </c>
      <c r="G6" s="31">
        <f>IF(G$5="","",CHOOSE(WEEKDAY(DATE(Habits!$C$4,9,5),2),"M","T","W","T","F","S","S"))</f>
        <v/>
      </c>
      <c r="H6" s="31">
        <f>IF(H$5="","",CHOOSE(WEEKDAY(DATE(Habits!$C$4,9,6),2),"M","T","W","T","F","S","S"))</f>
        <v/>
      </c>
      <c r="I6" s="31">
        <f>IF(I$5="","",CHOOSE(WEEKDAY(DATE(Habits!$C$4,9,7),2),"M","T","W","T","F","S","S"))</f>
        <v/>
      </c>
      <c r="J6" s="31">
        <f>IF(J$5="","",CHOOSE(WEEKDAY(DATE(Habits!$C$4,9,8),2),"M","T","W","T","F","S","S"))</f>
        <v/>
      </c>
      <c r="K6" s="31">
        <f>IF(K$5="","",CHOOSE(WEEKDAY(DATE(Habits!$C$4,9,9),2),"M","T","W","T","F","S","S"))</f>
        <v/>
      </c>
      <c r="L6" s="31">
        <f>IF(L$5="","",CHOOSE(WEEKDAY(DATE(Habits!$C$4,9,10),2),"M","T","W","T","F","S","S"))</f>
        <v/>
      </c>
      <c r="M6" s="31">
        <f>IF(M$5="","",CHOOSE(WEEKDAY(DATE(Habits!$C$4,9,11),2),"M","T","W","T","F","S","S"))</f>
        <v/>
      </c>
      <c r="N6" s="31">
        <f>IF(N$5="","",CHOOSE(WEEKDAY(DATE(Habits!$C$4,9,12),2),"M","T","W","T","F","S","S"))</f>
        <v/>
      </c>
      <c r="O6" s="31">
        <f>IF(O$5="","",CHOOSE(WEEKDAY(DATE(Habits!$C$4,9,13),2),"M","T","W","T","F","S","S"))</f>
        <v/>
      </c>
      <c r="P6" s="31">
        <f>IF(P$5="","",CHOOSE(WEEKDAY(DATE(Habits!$C$4,9,14),2),"M","T","W","T","F","S","S"))</f>
        <v/>
      </c>
      <c r="Q6" s="31">
        <f>IF(Q$5="","",CHOOSE(WEEKDAY(DATE(Habits!$C$4,9,15),2),"M","T","W","T","F","S","S"))</f>
        <v/>
      </c>
      <c r="R6" s="31">
        <f>IF(R$5="","",CHOOSE(WEEKDAY(DATE(Habits!$C$4,9,16),2),"M","T","W","T","F","S","S"))</f>
        <v/>
      </c>
      <c r="S6" s="31">
        <f>IF(S$5="","",CHOOSE(WEEKDAY(DATE(Habits!$C$4,9,17),2),"M","T","W","T","F","S","S"))</f>
        <v/>
      </c>
      <c r="T6" s="31">
        <f>IF(T$5="","",CHOOSE(WEEKDAY(DATE(Habits!$C$4,9,18),2),"M","T","W","T","F","S","S"))</f>
        <v/>
      </c>
      <c r="U6" s="31">
        <f>IF(U$5="","",CHOOSE(WEEKDAY(DATE(Habits!$C$4,9,19),2),"M","T","W","T","F","S","S"))</f>
        <v/>
      </c>
      <c r="V6" s="31">
        <f>IF(V$5="","",CHOOSE(WEEKDAY(DATE(Habits!$C$4,9,20),2),"M","T","W","T","F","S","S"))</f>
        <v/>
      </c>
      <c r="W6" s="31">
        <f>IF(W$5="","",CHOOSE(WEEKDAY(DATE(Habits!$C$4,9,21),2),"M","T","W","T","F","S","S"))</f>
        <v/>
      </c>
      <c r="X6" s="31">
        <f>IF(X$5="","",CHOOSE(WEEKDAY(DATE(Habits!$C$4,9,22),2),"M","T","W","T","F","S","S"))</f>
        <v/>
      </c>
      <c r="Y6" s="31">
        <f>IF(Y$5="","",CHOOSE(WEEKDAY(DATE(Habits!$C$4,9,23),2),"M","T","W","T","F","S","S"))</f>
        <v/>
      </c>
      <c r="Z6" s="31">
        <f>IF(Z$5="","",CHOOSE(WEEKDAY(DATE(Habits!$C$4,9,24),2),"M","T","W","T","F","S","S"))</f>
        <v/>
      </c>
      <c r="AA6" s="31">
        <f>IF(AA$5="","",CHOOSE(WEEKDAY(DATE(Habits!$C$4,9,25),2),"M","T","W","T","F","S","S"))</f>
        <v/>
      </c>
      <c r="AB6" s="31">
        <f>IF(AB$5="","",CHOOSE(WEEKDAY(DATE(Habits!$C$4,9,26),2),"M","T","W","T","F","S","S"))</f>
        <v/>
      </c>
      <c r="AC6" s="31">
        <f>IF(AC$5="","",CHOOSE(WEEKDAY(DATE(Habits!$C$4,9,27),2),"M","T","W","T","F","S","S"))</f>
        <v/>
      </c>
      <c r="AD6" s="31">
        <f>IF(AD$5="","",CHOOSE(WEEKDAY(DATE(Habits!$C$4,9,28),2),"M","T","W","T","F","S","S"))</f>
        <v/>
      </c>
      <c r="AE6" s="31">
        <f>IF(AE$5="","",CHOOSE(WEEKDAY(DATE(Habits!$C$4,9,29),2),"M","T","W","T","F","S","S"))</f>
        <v/>
      </c>
      <c r="AF6" s="31">
        <f>IF(AF$5="","",CHOOSE(WEEKDAY(DATE(Habits!$C$4,9,30),2),"M","T","W","T","F","S","S"))</f>
        <v/>
      </c>
      <c r="AG6" s="31">
        <f>IF(AG$5="","",CHOOSE(WEEKDAY(DATE(Habits!$C$4,9,31),2),"M","T","W","T","F","S","S"))</f>
        <v/>
      </c>
      <c r="AH6" s="1" t="n"/>
      <c r="AI6" s="1" t="n"/>
      <c r="AJ6" s="1" t="n"/>
      <c r="AK6" s="1" t="n"/>
      <c r="AL6" s="1" t="n"/>
    </row>
    <row r="7">
      <c r="A7" s="1" t="n"/>
      <c r="B7" s="32">
        <f>IF(Habits!B8="","",Habits!B8)</f>
        <v/>
      </c>
      <c r="C7" s="33" t="inlineStr">
        <is>
          <t>x</t>
        </is>
      </c>
      <c r="D7" s="33" t="inlineStr">
        <is>
          <t>x</t>
        </is>
      </c>
      <c r="E7" s="33" t="inlineStr">
        <is>
          <t>x</t>
        </is>
      </c>
      <c r="F7" s="33" t="inlineStr">
        <is>
          <t>x</t>
        </is>
      </c>
      <c r="G7" s="33" t="inlineStr">
        <is>
          <t>x</t>
        </is>
      </c>
      <c r="H7" s="33" t="inlineStr">
        <is>
          <t>x</t>
        </is>
      </c>
      <c r="I7" s="33" t="inlineStr">
        <is>
          <t>x</t>
        </is>
      </c>
      <c r="J7" s="33" t="inlineStr">
        <is>
          <t>x</t>
        </is>
      </c>
      <c r="K7" s="33" t="inlineStr">
        <is>
          <t>x</t>
        </is>
      </c>
      <c r="L7" s="33" t="n"/>
      <c r="M7" s="33" t="inlineStr">
        <is>
          <t>x</t>
        </is>
      </c>
      <c r="N7" s="33" t="inlineStr">
        <is>
          <t>x</t>
        </is>
      </c>
      <c r="O7" s="33" t="inlineStr">
        <is>
          <t>x</t>
        </is>
      </c>
      <c r="P7" s="33" t="inlineStr">
        <is>
          <t>x</t>
        </is>
      </c>
      <c r="Q7" s="33" t="inlineStr">
        <is>
          <t>x</t>
        </is>
      </c>
      <c r="R7" s="33" t="inlineStr">
        <is>
          <t>x</t>
        </is>
      </c>
      <c r="S7" s="33" t="n"/>
      <c r="T7" s="33" t="inlineStr">
        <is>
          <t>x</t>
        </is>
      </c>
      <c r="U7" s="33" t="inlineStr">
        <is>
          <t>x</t>
        </is>
      </c>
      <c r="V7" s="33" t="inlineStr">
        <is>
          <t>x</t>
        </is>
      </c>
      <c r="W7" s="33" t="inlineStr">
        <is>
          <t>x</t>
        </is>
      </c>
      <c r="X7" s="33" t="inlineStr">
        <is>
          <t>x</t>
        </is>
      </c>
      <c r="Y7" s="33" t="inlineStr">
        <is>
          <t>x</t>
        </is>
      </c>
      <c r="Z7" s="33" t="n"/>
      <c r="AA7" s="33" t="inlineStr">
        <is>
          <t>x</t>
        </is>
      </c>
      <c r="AB7" s="33" t="inlineStr">
        <is>
          <t>x</t>
        </is>
      </c>
      <c r="AC7" s="33" t="inlineStr">
        <is>
          <t>x</t>
        </is>
      </c>
      <c r="AD7" s="33" t="n"/>
      <c r="AE7" s="33" t="n"/>
      <c r="AF7" s="33" t="n"/>
      <c r="AG7" s="33" t="n"/>
      <c r="AH7" s="13">
        <f>IF(B7="","",COUNTIF($C40:$AG40,"&gt;0"))</f>
        <v/>
      </c>
      <c r="AI7" s="14">
        <f>IF(OR(B7="",IF(AND(Habits!$C$4=YEAR(TODAY()),9=MONTH(TODAY())),DAY(TODAY()),IF(DATE(Habits!$C$4,9,1)&gt;TODAY(),0,DAY(EOMONTH(DATE(Habits!$C$4,9,1),0))))=0),"",MIN(1,(COUNTIF($C40:$AG40,"&gt;0"))/IF(AND(Habits!$C$4=YEAR(TODAY()),9=MONTH(TODAY())),DAY(TODAY()),IF(DATE(Habits!$C$4,9,1)&gt;TODAY(),0,DAY(EOMONTH(DATE(Habits!$C$4,9,1),0))))))</f>
        <v/>
      </c>
      <c r="AJ7" s="16">
        <f>IF(B7="","",IF(AND(Habits!$C$4=YEAR(TODAY()),9=MONTH(TODAY())),IF(INDEX($C40:$AG40,DAY(TODAY()))&gt;0,INDEX($C40:$AG40,DAY(TODAY())),IF(DAY(TODAY())=1,IFERROR(INDEX(Aug!$C$40:$AG$40,DAY(EOMONTH(DATE(Habits!$C$4,8,1),0))),0),INDEX($C40:$AG40,DAY(TODAY())-1))),IF(DATE(Habits!$C$4,9,1)&gt;TODAY(),"",INDEX($C40:$AG40,DAY(EOMONTH(DATE(Habits!$C$4,9,1),0))))))</f>
        <v/>
      </c>
      <c r="AK7" s="13">
        <f>IF(B7="","",MAX($C40:$AG40))</f>
        <v/>
      </c>
      <c r="AL7" s="1" t="n"/>
    </row>
    <row r="8">
      <c r="A8" s="1" t="n"/>
      <c r="B8" s="32">
        <f>IF(Habits!B9="","",Habits!B9)</f>
        <v/>
      </c>
      <c r="C8" s="33" t="n"/>
      <c r="D8" s="33" t="inlineStr">
        <is>
          <t>x</t>
        </is>
      </c>
      <c r="E8" s="33" t="n"/>
      <c r="F8" s="33" t="inlineStr">
        <is>
          <t>x</t>
        </is>
      </c>
      <c r="G8" s="33" t="inlineStr">
        <is>
          <t>x</t>
        </is>
      </c>
      <c r="H8" s="33" t="inlineStr">
        <is>
          <t>x</t>
        </is>
      </c>
      <c r="I8" s="33" t="inlineStr">
        <is>
          <t>x</t>
        </is>
      </c>
      <c r="J8" s="33" t="n"/>
      <c r="K8" s="33" t="inlineStr">
        <is>
          <t>x</t>
        </is>
      </c>
      <c r="L8" s="33" t="n"/>
      <c r="M8" s="33" t="inlineStr">
        <is>
          <t>x</t>
        </is>
      </c>
      <c r="N8" s="33" t="n"/>
      <c r="O8" s="33" t="inlineStr">
        <is>
          <t>x</t>
        </is>
      </c>
      <c r="P8" s="33" t="n"/>
      <c r="Q8" s="33" t="inlineStr">
        <is>
          <t>x</t>
        </is>
      </c>
      <c r="R8" s="33" t="inlineStr">
        <is>
          <t>x</t>
        </is>
      </c>
      <c r="S8" s="33" t="inlineStr">
        <is>
          <t>x</t>
        </is>
      </c>
      <c r="T8" s="33" t="inlineStr">
        <is>
          <t>x</t>
        </is>
      </c>
      <c r="U8" s="33" t="n"/>
      <c r="V8" s="33" t="n"/>
      <c r="W8" s="33" t="inlineStr">
        <is>
          <t>x</t>
        </is>
      </c>
      <c r="X8" s="33" t="inlineStr">
        <is>
          <t>x</t>
        </is>
      </c>
      <c r="Y8" s="33" t="inlineStr">
        <is>
          <t>x</t>
        </is>
      </c>
      <c r="Z8" s="33" t="inlineStr">
        <is>
          <t>x</t>
        </is>
      </c>
      <c r="AA8" s="33" t="inlineStr">
        <is>
          <t>x</t>
        </is>
      </c>
      <c r="AB8" s="33" t="inlineStr">
        <is>
          <t>x</t>
        </is>
      </c>
      <c r="AC8" s="33" t="inlineStr">
        <is>
          <t>x</t>
        </is>
      </c>
      <c r="AD8" s="33" t="n"/>
      <c r="AE8" s="33" t="n"/>
      <c r="AF8" s="33" t="n"/>
      <c r="AG8" s="33" t="n"/>
      <c r="AH8" s="13">
        <f>IF(B8="","",COUNTIF($C41:$AG41,"&gt;0"))</f>
        <v/>
      </c>
      <c r="AI8" s="14">
        <f>IF(OR(B8="",IF(AND(Habits!$C$4=YEAR(TODAY()),9=MONTH(TODAY())),DAY(TODAY()),IF(DATE(Habits!$C$4,9,1)&gt;TODAY(),0,DAY(EOMONTH(DATE(Habits!$C$4,9,1),0))))=0),"",MIN(1,(COUNTIF($C41:$AG41,"&gt;0"))/IF(AND(Habits!$C$4=YEAR(TODAY()),9=MONTH(TODAY())),DAY(TODAY()),IF(DATE(Habits!$C$4,9,1)&gt;TODAY(),0,DAY(EOMONTH(DATE(Habits!$C$4,9,1),0))))))</f>
        <v/>
      </c>
      <c r="AJ8" s="16">
        <f>IF(B8="","",IF(AND(Habits!$C$4=YEAR(TODAY()),9=MONTH(TODAY())),IF(INDEX($C41:$AG41,DAY(TODAY()))&gt;0,INDEX($C41:$AG41,DAY(TODAY())),IF(DAY(TODAY())=1,IFERROR(INDEX(Aug!$C$41:$AG$41,DAY(EOMONTH(DATE(Habits!$C$4,8,1),0))),0),INDEX($C41:$AG41,DAY(TODAY())-1))),IF(DATE(Habits!$C$4,9,1)&gt;TODAY(),"",INDEX($C41:$AG41,DAY(EOMONTH(DATE(Habits!$C$4,9,1),0))))))</f>
        <v/>
      </c>
      <c r="AK8" s="13">
        <f>IF(B8="","",MAX($C41:$AG41))</f>
        <v/>
      </c>
      <c r="AL8" s="1" t="n"/>
    </row>
    <row r="9">
      <c r="A9" s="1" t="n"/>
      <c r="B9" s="32">
        <f>IF(Habits!B10="","",Habits!B10)</f>
        <v/>
      </c>
      <c r="C9" s="33" t="n"/>
      <c r="D9" s="33" t="n"/>
      <c r="E9" s="33" t="n"/>
      <c r="F9" s="33" t="inlineStr">
        <is>
          <t>x</t>
        </is>
      </c>
      <c r="G9" s="33" t="inlineStr">
        <is>
          <t>x</t>
        </is>
      </c>
      <c r="H9" s="33" t="inlineStr">
        <is>
          <t>x</t>
        </is>
      </c>
      <c r="I9" s="33" t="inlineStr">
        <is>
          <t>x</t>
        </is>
      </c>
      <c r="J9" s="33" t="inlineStr">
        <is>
          <t>x</t>
        </is>
      </c>
      <c r="K9" s="33" t="n"/>
      <c r="L9" s="33" t="inlineStr">
        <is>
          <t>x</t>
        </is>
      </c>
      <c r="M9" s="33" t="inlineStr">
        <is>
          <t>x</t>
        </is>
      </c>
      <c r="N9" s="33" t="inlineStr">
        <is>
          <t>x</t>
        </is>
      </c>
      <c r="O9" s="33" t="inlineStr">
        <is>
          <t>x</t>
        </is>
      </c>
      <c r="P9" s="33" t="inlineStr">
        <is>
          <t>x</t>
        </is>
      </c>
      <c r="Q9" s="33" t="inlineStr">
        <is>
          <t>x</t>
        </is>
      </c>
      <c r="R9" s="33" t="inlineStr">
        <is>
          <t>x</t>
        </is>
      </c>
      <c r="S9" s="33" t="inlineStr">
        <is>
          <t>x</t>
        </is>
      </c>
      <c r="T9" s="33" t="inlineStr">
        <is>
          <t>x</t>
        </is>
      </c>
      <c r="U9" s="33" t="inlineStr">
        <is>
          <t>x</t>
        </is>
      </c>
      <c r="V9" s="33" t="inlineStr">
        <is>
          <t>x</t>
        </is>
      </c>
      <c r="W9" s="33" t="inlineStr">
        <is>
          <t>x</t>
        </is>
      </c>
      <c r="X9" s="33" t="inlineStr">
        <is>
          <t>x</t>
        </is>
      </c>
      <c r="Y9" s="33" t="inlineStr">
        <is>
          <t>x</t>
        </is>
      </c>
      <c r="Z9" s="33" t="n"/>
      <c r="AA9" s="33" t="inlineStr">
        <is>
          <t>x</t>
        </is>
      </c>
      <c r="AB9" s="33" t="n"/>
      <c r="AC9" s="33" t="inlineStr">
        <is>
          <t>x</t>
        </is>
      </c>
      <c r="AD9" s="33" t="n"/>
      <c r="AE9" s="33" t="n"/>
      <c r="AF9" s="33" t="n"/>
      <c r="AG9" s="33" t="n"/>
      <c r="AH9" s="13">
        <f>IF(B9="","",COUNTIF($C42:$AG42,"&gt;0"))</f>
        <v/>
      </c>
      <c r="AI9" s="14">
        <f>IF(OR(B9="",IF(AND(Habits!$C$4=YEAR(TODAY()),9=MONTH(TODAY())),DAY(TODAY()),IF(DATE(Habits!$C$4,9,1)&gt;TODAY(),0,DAY(EOMONTH(DATE(Habits!$C$4,9,1),0))))=0),"",MIN(1,(COUNTIF($C42:$AG42,"&gt;0"))/IF(AND(Habits!$C$4=YEAR(TODAY()),9=MONTH(TODAY())),DAY(TODAY()),IF(DATE(Habits!$C$4,9,1)&gt;TODAY(),0,DAY(EOMONTH(DATE(Habits!$C$4,9,1),0))))))</f>
        <v/>
      </c>
      <c r="AJ9" s="16">
        <f>IF(B9="","",IF(AND(Habits!$C$4=YEAR(TODAY()),9=MONTH(TODAY())),IF(INDEX($C42:$AG42,DAY(TODAY()))&gt;0,INDEX($C42:$AG42,DAY(TODAY())),IF(DAY(TODAY())=1,IFERROR(INDEX(Aug!$C$42:$AG$42,DAY(EOMONTH(DATE(Habits!$C$4,8,1),0))),0),INDEX($C42:$AG42,DAY(TODAY())-1))),IF(DATE(Habits!$C$4,9,1)&gt;TODAY(),"",INDEX($C42:$AG42,DAY(EOMONTH(DATE(Habits!$C$4,9,1),0))))))</f>
        <v/>
      </c>
      <c r="AK9" s="13">
        <f>IF(B9="","",MAX($C42:$AG42))</f>
        <v/>
      </c>
      <c r="AL9" s="1" t="n"/>
    </row>
    <row r="10">
      <c r="A10" s="1" t="n"/>
      <c r="B10" s="32">
        <f>IF(Habits!B11="","",Habits!B11)</f>
        <v/>
      </c>
      <c r="C10" s="33" t="inlineStr">
        <is>
          <t>x</t>
        </is>
      </c>
      <c r="D10" s="33" t="n"/>
      <c r="E10" s="33" t="inlineStr">
        <is>
          <t>x</t>
        </is>
      </c>
      <c r="F10" s="33" t="inlineStr">
        <is>
          <t>x</t>
        </is>
      </c>
      <c r="G10" s="33" t="n"/>
      <c r="H10" s="33" t="n"/>
      <c r="I10" s="33" t="n"/>
      <c r="J10" s="33" t="inlineStr">
        <is>
          <t>x</t>
        </is>
      </c>
      <c r="K10" s="33" t="n"/>
      <c r="L10" s="33" t="n"/>
      <c r="M10" s="33" t="n"/>
      <c r="N10" s="33" t="n"/>
      <c r="O10" s="33" t="inlineStr">
        <is>
          <t>x</t>
        </is>
      </c>
      <c r="P10" s="33" t="n"/>
      <c r="Q10" s="33" t="inlineStr">
        <is>
          <t>x</t>
        </is>
      </c>
      <c r="R10" s="33" t="n"/>
      <c r="S10" s="33" t="inlineStr">
        <is>
          <t>x</t>
        </is>
      </c>
      <c r="T10" s="33" t="inlineStr">
        <is>
          <t>x</t>
        </is>
      </c>
      <c r="U10" s="33" t="n"/>
      <c r="V10" s="33" t="inlineStr">
        <is>
          <t>x</t>
        </is>
      </c>
      <c r="W10" s="33" t="inlineStr">
        <is>
          <t>x</t>
        </is>
      </c>
      <c r="X10" s="33" t="inlineStr">
        <is>
          <t>x</t>
        </is>
      </c>
      <c r="Y10" s="33" t="n"/>
      <c r="Z10" s="33" t="inlineStr">
        <is>
          <t>x</t>
        </is>
      </c>
      <c r="AA10" s="33" t="n"/>
      <c r="AB10" s="33" t="inlineStr">
        <is>
          <t>x</t>
        </is>
      </c>
      <c r="AC10" s="33" t="n"/>
      <c r="AD10" s="33" t="n"/>
      <c r="AE10" s="33" t="n"/>
      <c r="AF10" s="33" t="n"/>
      <c r="AG10" s="33" t="n"/>
      <c r="AH10" s="13">
        <f>IF(B10="","",COUNTIF($C43:$AG43,"&gt;0"))</f>
        <v/>
      </c>
      <c r="AI10" s="14">
        <f>IF(OR(B10="",IF(AND(Habits!$C$4=YEAR(TODAY()),9=MONTH(TODAY())),DAY(TODAY()),IF(DATE(Habits!$C$4,9,1)&gt;TODAY(),0,DAY(EOMONTH(DATE(Habits!$C$4,9,1),0))))=0),"",MIN(1,(COUNTIF($C43:$AG43,"&gt;0"))/IF(AND(Habits!$C$4=YEAR(TODAY()),9=MONTH(TODAY())),DAY(TODAY()),IF(DATE(Habits!$C$4,9,1)&gt;TODAY(),0,DAY(EOMONTH(DATE(Habits!$C$4,9,1),0))))))</f>
        <v/>
      </c>
      <c r="AJ10" s="16">
        <f>IF(B10="","",IF(AND(Habits!$C$4=YEAR(TODAY()),9=MONTH(TODAY())),IF(INDEX($C43:$AG43,DAY(TODAY()))&gt;0,INDEX($C43:$AG43,DAY(TODAY())),IF(DAY(TODAY())=1,IFERROR(INDEX(Aug!$C$43:$AG$43,DAY(EOMONTH(DATE(Habits!$C$4,8,1),0))),0),INDEX($C43:$AG43,DAY(TODAY())-1))),IF(DATE(Habits!$C$4,9,1)&gt;TODAY(),"",INDEX($C43:$AG43,DAY(EOMONTH(DATE(Habits!$C$4,9,1),0))))))</f>
        <v/>
      </c>
      <c r="AK10" s="13">
        <f>IF(B10="","",MAX($C43:$AG43))</f>
        <v/>
      </c>
      <c r="AL10" s="1" t="n"/>
    </row>
    <row r="11">
      <c r="A11" s="1" t="n"/>
      <c r="B11" s="32">
        <f>IF(Habits!B12="","",Habits!B12)</f>
        <v/>
      </c>
      <c r="C11" s="33" t="n"/>
      <c r="D11" s="33" t="inlineStr">
        <is>
          <t>x</t>
        </is>
      </c>
      <c r="E11" s="33" t="n"/>
      <c r="F11" s="33" t="inlineStr">
        <is>
          <t>x</t>
        </is>
      </c>
      <c r="G11" s="33" t="n"/>
      <c r="H11" s="33" t="n"/>
      <c r="I11" s="33" t="inlineStr">
        <is>
          <t>x</t>
        </is>
      </c>
      <c r="J11" s="33" t="inlineStr">
        <is>
          <t>x</t>
        </is>
      </c>
      <c r="K11" s="33" t="n"/>
      <c r="L11" s="33" t="inlineStr">
        <is>
          <t>x</t>
        </is>
      </c>
      <c r="M11" s="33" t="inlineStr">
        <is>
          <t>x</t>
        </is>
      </c>
      <c r="N11" s="33" t="inlineStr">
        <is>
          <t>x</t>
        </is>
      </c>
      <c r="O11" s="33" t="inlineStr">
        <is>
          <t>x</t>
        </is>
      </c>
      <c r="P11" s="33" t="inlineStr">
        <is>
          <t>x</t>
        </is>
      </c>
      <c r="Q11" s="33" t="inlineStr">
        <is>
          <t>x</t>
        </is>
      </c>
      <c r="R11" s="33" t="inlineStr">
        <is>
          <t>x</t>
        </is>
      </c>
      <c r="S11" s="33" t="n"/>
      <c r="T11" s="33" t="inlineStr">
        <is>
          <t>x</t>
        </is>
      </c>
      <c r="U11" s="33" t="inlineStr">
        <is>
          <t>x</t>
        </is>
      </c>
      <c r="V11" s="33" t="inlineStr">
        <is>
          <t>x</t>
        </is>
      </c>
      <c r="W11" s="33" t="inlineStr">
        <is>
          <t>x</t>
        </is>
      </c>
      <c r="X11" s="33" t="n"/>
      <c r="Y11" s="33" t="n"/>
      <c r="Z11" s="33" t="inlineStr">
        <is>
          <t>x</t>
        </is>
      </c>
      <c r="AA11" s="33" t="n"/>
      <c r="AB11" s="33" t="inlineStr">
        <is>
          <t>x</t>
        </is>
      </c>
      <c r="AC11" s="33" t="inlineStr">
        <is>
          <t>x</t>
        </is>
      </c>
      <c r="AD11" s="33" t="n"/>
      <c r="AE11" s="33" t="n"/>
      <c r="AF11" s="33" t="n"/>
      <c r="AG11" s="33" t="n"/>
      <c r="AH11" s="13">
        <f>IF(B11="","",COUNTIF($C44:$AG44,"&gt;0"))</f>
        <v/>
      </c>
      <c r="AI11" s="14">
        <f>IF(OR(B11="",IF(AND(Habits!$C$4=YEAR(TODAY()),9=MONTH(TODAY())),DAY(TODAY()),IF(DATE(Habits!$C$4,9,1)&gt;TODAY(),0,DAY(EOMONTH(DATE(Habits!$C$4,9,1),0))))=0),"",MIN(1,(COUNTIF($C44:$AG44,"&gt;0"))/IF(AND(Habits!$C$4=YEAR(TODAY()),9=MONTH(TODAY())),DAY(TODAY()),IF(DATE(Habits!$C$4,9,1)&gt;TODAY(),0,DAY(EOMONTH(DATE(Habits!$C$4,9,1),0))))))</f>
        <v/>
      </c>
      <c r="AJ11" s="16">
        <f>IF(B11="","",IF(AND(Habits!$C$4=YEAR(TODAY()),9=MONTH(TODAY())),IF(INDEX($C44:$AG44,DAY(TODAY()))&gt;0,INDEX($C44:$AG44,DAY(TODAY())),IF(DAY(TODAY())=1,IFERROR(INDEX(Aug!$C$44:$AG$44,DAY(EOMONTH(DATE(Habits!$C$4,8,1),0))),0),INDEX($C44:$AG44,DAY(TODAY())-1))),IF(DATE(Habits!$C$4,9,1)&gt;TODAY(),"",INDEX($C44:$AG44,DAY(EOMONTH(DATE(Habits!$C$4,9,1),0))))))</f>
        <v/>
      </c>
      <c r="AK11" s="13">
        <f>IF(B11="","",MAX($C44:$AG44))</f>
        <v/>
      </c>
      <c r="AL11" s="1" t="n"/>
    </row>
    <row r="12">
      <c r="A12" s="1" t="n"/>
      <c r="B12" s="32">
        <f>IF(Habits!B13="","",Habits!B13)</f>
        <v/>
      </c>
      <c r="C12" s="33" t="inlineStr">
        <is>
          <t>x</t>
        </is>
      </c>
      <c r="D12" s="33" t="n"/>
      <c r="E12" s="33" t="inlineStr">
        <is>
          <t>x</t>
        </is>
      </c>
      <c r="F12" s="33" t="n"/>
      <c r="G12" s="33" t="n"/>
      <c r="H12" s="33" t="inlineStr">
        <is>
          <t>x</t>
        </is>
      </c>
      <c r="I12" s="33" t="inlineStr">
        <is>
          <t>x</t>
        </is>
      </c>
      <c r="J12" s="33" t="n"/>
      <c r="K12" s="33" t="inlineStr">
        <is>
          <t>x</t>
        </is>
      </c>
      <c r="L12" s="33" t="inlineStr">
        <is>
          <t>x</t>
        </is>
      </c>
      <c r="M12" s="33" t="n"/>
      <c r="N12" s="33" t="inlineStr">
        <is>
          <t>x</t>
        </is>
      </c>
      <c r="O12" s="33" t="inlineStr">
        <is>
          <t>x</t>
        </is>
      </c>
      <c r="P12" s="33" t="inlineStr">
        <is>
          <t>x</t>
        </is>
      </c>
      <c r="Q12" s="33" t="n"/>
      <c r="R12" s="33" t="n"/>
      <c r="S12" s="33" t="inlineStr">
        <is>
          <t>x</t>
        </is>
      </c>
      <c r="T12" s="33" t="inlineStr">
        <is>
          <t>x</t>
        </is>
      </c>
      <c r="U12" s="33" t="inlineStr">
        <is>
          <t>x</t>
        </is>
      </c>
      <c r="V12" s="33" t="n"/>
      <c r="W12" s="33" t="inlineStr">
        <is>
          <t>x</t>
        </is>
      </c>
      <c r="X12" s="33" t="n"/>
      <c r="Y12" s="33" t="n"/>
      <c r="Z12" s="33" t="n"/>
      <c r="AA12" s="33" t="n"/>
      <c r="AB12" s="33" t="n"/>
      <c r="AC12" s="33" t="inlineStr">
        <is>
          <t>x</t>
        </is>
      </c>
      <c r="AD12" s="33" t="n"/>
      <c r="AE12" s="33" t="n"/>
      <c r="AF12" s="33" t="n"/>
      <c r="AG12" s="33" t="n"/>
      <c r="AH12" s="13">
        <f>IF(B12="","",COUNTIF($C45:$AG45,"&gt;0"))</f>
        <v/>
      </c>
      <c r="AI12" s="14">
        <f>IF(OR(B12="",IF(AND(Habits!$C$4=YEAR(TODAY()),9=MONTH(TODAY())),DAY(TODAY()),IF(DATE(Habits!$C$4,9,1)&gt;TODAY(),0,DAY(EOMONTH(DATE(Habits!$C$4,9,1),0))))=0),"",MIN(1,(COUNTIF($C45:$AG45,"&gt;0"))/IF(AND(Habits!$C$4=YEAR(TODAY()),9=MONTH(TODAY())),DAY(TODAY()),IF(DATE(Habits!$C$4,9,1)&gt;TODAY(),0,DAY(EOMONTH(DATE(Habits!$C$4,9,1),0))))))</f>
        <v/>
      </c>
      <c r="AJ12" s="16">
        <f>IF(B12="","",IF(AND(Habits!$C$4=YEAR(TODAY()),9=MONTH(TODAY())),IF(INDEX($C45:$AG45,DAY(TODAY()))&gt;0,INDEX($C45:$AG45,DAY(TODAY())),IF(DAY(TODAY())=1,IFERROR(INDEX(Aug!$C$45:$AG$45,DAY(EOMONTH(DATE(Habits!$C$4,8,1),0))),0),INDEX($C45:$AG45,DAY(TODAY())-1))),IF(DATE(Habits!$C$4,9,1)&gt;TODAY(),"",INDEX($C45:$AG45,DAY(EOMONTH(DATE(Habits!$C$4,9,1),0))))))</f>
        <v/>
      </c>
      <c r="AK12" s="13">
        <f>IF(B12="","",MAX($C45:$AG45))</f>
        <v/>
      </c>
      <c r="AL12" s="1" t="n"/>
    </row>
    <row r="13">
      <c r="A13" s="1" t="n"/>
      <c r="B13" s="32">
        <f>IF(Habits!B14="","",Habits!B14)</f>
        <v/>
      </c>
      <c r="C13" s="33" t="inlineStr">
        <is>
          <t>x</t>
        </is>
      </c>
      <c r="D13" s="33" t="inlineStr">
        <is>
          <t>x</t>
        </is>
      </c>
      <c r="E13" s="33" t="inlineStr">
        <is>
          <t>x</t>
        </is>
      </c>
      <c r="F13" s="33" t="inlineStr">
        <is>
          <t>x</t>
        </is>
      </c>
      <c r="G13" s="33" t="inlineStr">
        <is>
          <t>x</t>
        </is>
      </c>
      <c r="H13" s="33" t="inlineStr">
        <is>
          <t>x</t>
        </is>
      </c>
      <c r="I13" s="33" t="n"/>
      <c r="J13" s="33" t="inlineStr">
        <is>
          <t>x</t>
        </is>
      </c>
      <c r="K13" s="33" t="inlineStr">
        <is>
          <t>x</t>
        </is>
      </c>
      <c r="L13" s="33" t="inlineStr">
        <is>
          <t>x</t>
        </is>
      </c>
      <c r="M13" s="33" t="inlineStr">
        <is>
          <t>x</t>
        </is>
      </c>
      <c r="N13" s="33" t="inlineStr">
        <is>
          <t>x</t>
        </is>
      </c>
      <c r="O13" s="33" t="inlineStr">
        <is>
          <t>x</t>
        </is>
      </c>
      <c r="P13" s="33" t="inlineStr">
        <is>
          <t>x</t>
        </is>
      </c>
      <c r="Q13" s="33" t="inlineStr">
        <is>
          <t>x</t>
        </is>
      </c>
      <c r="R13" s="33" t="n"/>
      <c r="S13" s="33" t="inlineStr">
        <is>
          <t>x</t>
        </is>
      </c>
      <c r="T13" s="33" t="inlineStr">
        <is>
          <t>x</t>
        </is>
      </c>
      <c r="U13" s="33" t="inlineStr">
        <is>
          <t>x</t>
        </is>
      </c>
      <c r="V13" s="33" t="inlineStr">
        <is>
          <t>x</t>
        </is>
      </c>
      <c r="W13" s="33" t="inlineStr">
        <is>
          <t>x</t>
        </is>
      </c>
      <c r="X13" s="33" t="inlineStr">
        <is>
          <t>x</t>
        </is>
      </c>
      <c r="Y13" s="33" t="inlineStr">
        <is>
          <t>x</t>
        </is>
      </c>
      <c r="Z13" s="33" t="n"/>
      <c r="AA13" s="33" t="inlineStr">
        <is>
          <t>x</t>
        </is>
      </c>
      <c r="AB13" s="33" t="inlineStr">
        <is>
          <t>x</t>
        </is>
      </c>
      <c r="AC13" s="33" t="inlineStr">
        <is>
          <t>x</t>
        </is>
      </c>
      <c r="AD13" s="33" t="n"/>
      <c r="AE13" s="33" t="n"/>
      <c r="AF13" s="33" t="n"/>
      <c r="AG13" s="33" t="n"/>
      <c r="AH13" s="13">
        <f>IF(B13="","",COUNTIF($C46:$AG46,"&gt;0"))</f>
        <v/>
      </c>
      <c r="AI13" s="14">
        <f>IF(OR(B13="",IF(AND(Habits!$C$4=YEAR(TODAY()),9=MONTH(TODAY())),DAY(TODAY()),IF(DATE(Habits!$C$4,9,1)&gt;TODAY(),0,DAY(EOMONTH(DATE(Habits!$C$4,9,1),0))))=0),"",MIN(1,(COUNTIF($C46:$AG46,"&gt;0"))/IF(AND(Habits!$C$4=YEAR(TODAY()),9=MONTH(TODAY())),DAY(TODAY()),IF(DATE(Habits!$C$4,9,1)&gt;TODAY(),0,DAY(EOMONTH(DATE(Habits!$C$4,9,1),0))))))</f>
        <v/>
      </c>
      <c r="AJ13" s="16">
        <f>IF(B13="","",IF(AND(Habits!$C$4=YEAR(TODAY()),9=MONTH(TODAY())),IF(INDEX($C46:$AG46,DAY(TODAY()))&gt;0,INDEX($C46:$AG46,DAY(TODAY())),IF(DAY(TODAY())=1,IFERROR(INDEX(Aug!$C$46:$AG$46,DAY(EOMONTH(DATE(Habits!$C$4,8,1),0))),0),INDEX($C46:$AG46,DAY(TODAY())-1))),IF(DATE(Habits!$C$4,9,1)&gt;TODAY(),"",INDEX($C46:$AG46,DAY(EOMONTH(DATE(Habits!$C$4,9,1),0))))))</f>
        <v/>
      </c>
      <c r="AK13" s="13">
        <f>IF(B13="","",MAX($C46:$AG46))</f>
        <v/>
      </c>
      <c r="AL13" s="1" t="n"/>
    </row>
    <row r="14">
      <c r="A14" s="1" t="n"/>
      <c r="B14" s="32">
        <f>IF(Habits!B15="","",Habits!B15)</f>
        <v/>
      </c>
      <c r="C14" s="33" t="inlineStr">
        <is>
          <t>x</t>
        </is>
      </c>
      <c r="D14" s="33" t="inlineStr">
        <is>
          <t>x</t>
        </is>
      </c>
      <c r="E14" s="33" t="inlineStr">
        <is>
          <t>x</t>
        </is>
      </c>
      <c r="F14" s="33" t="inlineStr">
        <is>
          <t>x</t>
        </is>
      </c>
      <c r="G14" s="33" t="n"/>
      <c r="H14" s="33" t="n"/>
      <c r="I14" s="33" t="inlineStr">
        <is>
          <t>x</t>
        </is>
      </c>
      <c r="J14" s="33" t="inlineStr">
        <is>
          <t>x</t>
        </is>
      </c>
      <c r="K14" s="33" t="n"/>
      <c r="L14" s="33" t="n"/>
      <c r="M14" s="33" t="n"/>
      <c r="N14" s="33" t="n"/>
      <c r="O14" s="33" t="inlineStr">
        <is>
          <t>x</t>
        </is>
      </c>
      <c r="P14" s="33" t="inlineStr">
        <is>
          <t>x</t>
        </is>
      </c>
      <c r="Q14" s="33" t="inlineStr">
        <is>
          <t>x</t>
        </is>
      </c>
      <c r="R14" s="33" t="inlineStr">
        <is>
          <t>x</t>
        </is>
      </c>
      <c r="S14" s="33" t="n"/>
      <c r="T14" s="33" t="n"/>
      <c r="U14" s="33" t="n"/>
      <c r="V14" s="33" t="inlineStr">
        <is>
          <t>x</t>
        </is>
      </c>
      <c r="W14" s="33" t="inlineStr">
        <is>
          <t>x</t>
        </is>
      </c>
      <c r="X14" s="33" t="n"/>
      <c r="Y14" s="33" t="inlineStr">
        <is>
          <t>x</t>
        </is>
      </c>
      <c r="Z14" s="33" t="inlineStr">
        <is>
          <t>x</t>
        </is>
      </c>
      <c r="AA14" s="33" t="inlineStr">
        <is>
          <t>x</t>
        </is>
      </c>
      <c r="AB14" s="33" t="inlineStr">
        <is>
          <t>x</t>
        </is>
      </c>
      <c r="AC14" s="33" t="n"/>
      <c r="AD14" s="33" t="n"/>
      <c r="AE14" s="33" t="n"/>
      <c r="AF14" s="33" t="n"/>
      <c r="AG14" s="33" t="n"/>
      <c r="AH14" s="13">
        <f>IF(B14="","",COUNTIF($C47:$AG47,"&gt;0"))</f>
        <v/>
      </c>
      <c r="AI14" s="14">
        <f>IF(OR(B14="",IF(AND(Habits!$C$4=YEAR(TODAY()),9=MONTH(TODAY())),DAY(TODAY()),IF(DATE(Habits!$C$4,9,1)&gt;TODAY(),0,DAY(EOMONTH(DATE(Habits!$C$4,9,1),0))))=0),"",MIN(1,(COUNTIF($C47:$AG47,"&gt;0"))/IF(AND(Habits!$C$4=YEAR(TODAY()),9=MONTH(TODAY())),DAY(TODAY()),IF(DATE(Habits!$C$4,9,1)&gt;TODAY(),0,DAY(EOMONTH(DATE(Habits!$C$4,9,1),0))))))</f>
        <v/>
      </c>
      <c r="AJ14" s="16">
        <f>IF(B14="","",IF(AND(Habits!$C$4=YEAR(TODAY()),9=MONTH(TODAY())),IF(INDEX($C47:$AG47,DAY(TODAY()))&gt;0,INDEX($C47:$AG47,DAY(TODAY())),IF(DAY(TODAY())=1,IFERROR(INDEX(Aug!$C$47:$AG$47,DAY(EOMONTH(DATE(Habits!$C$4,8,1),0))),0),INDEX($C47:$AG47,DAY(TODAY())-1))),IF(DATE(Habits!$C$4,9,1)&gt;TODAY(),"",INDEX($C47:$AG47,DAY(EOMONTH(DATE(Habits!$C$4,9,1),0))))))</f>
        <v/>
      </c>
      <c r="AK14" s="13">
        <f>IF(B14="","",MAX($C47:$AG47))</f>
        <v/>
      </c>
      <c r="AL14" s="1" t="n"/>
    </row>
    <row r="15">
      <c r="A15" s="1" t="n"/>
      <c r="B15" s="32">
        <f>IF(Habits!B16="","",Habits!B16)</f>
        <v/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13">
        <f>IF(B15="","",COUNTIF($C48:$AG48,"&gt;0"))</f>
        <v/>
      </c>
      <c r="AI15" s="14">
        <f>IF(OR(B15="",IF(AND(Habits!$C$4=YEAR(TODAY()),9=MONTH(TODAY())),DAY(TODAY()),IF(DATE(Habits!$C$4,9,1)&gt;TODAY(),0,DAY(EOMONTH(DATE(Habits!$C$4,9,1),0))))=0),"",MIN(1,(COUNTIF($C48:$AG48,"&gt;0"))/IF(AND(Habits!$C$4=YEAR(TODAY()),9=MONTH(TODAY())),DAY(TODAY()),IF(DATE(Habits!$C$4,9,1)&gt;TODAY(),0,DAY(EOMONTH(DATE(Habits!$C$4,9,1),0))))))</f>
        <v/>
      </c>
      <c r="AJ15" s="16">
        <f>IF(B15="","",IF(AND(Habits!$C$4=YEAR(TODAY()),9=MONTH(TODAY())),IF(INDEX($C48:$AG48,DAY(TODAY()))&gt;0,INDEX($C48:$AG48,DAY(TODAY())),IF(DAY(TODAY())=1,IFERROR(INDEX(Aug!$C$48:$AG$48,DAY(EOMONTH(DATE(Habits!$C$4,8,1),0))),0),INDEX($C48:$AG48,DAY(TODAY())-1))),IF(DATE(Habits!$C$4,9,1)&gt;TODAY(),"",INDEX($C48:$AG48,DAY(EOMONTH(DATE(Habits!$C$4,9,1),0))))))</f>
        <v/>
      </c>
      <c r="AK15" s="13">
        <f>IF(B15="","",MAX($C48:$AG48))</f>
        <v/>
      </c>
      <c r="AL15" s="1" t="n"/>
    </row>
    <row r="16">
      <c r="A16" s="1" t="n"/>
      <c r="B16" s="32">
        <f>IF(Habits!B17="","",Habits!B17)</f>
        <v/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13">
        <f>IF(B16="","",COUNTIF($C49:$AG49,"&gt;0"))</f>
        <v/>
      </c>
      <c r="AI16" s="14">
        <f>IF(OR(B16="",IF(AND(Habits!$C$4=YEAR(TODAY()),9=MONTH(TODAY())),DAY(TODAY()),IF(DATE(Habits!$C$4,9,1)&gt;TODAY(),0,DAY(EOMONTH(DATE(Habits!$C$4,9,1),0))))=0),"",MIN(1,(COUNTIF($C49:$AG49,"&gt;0"))/IF(AND(Habits!$C$4=YEAR(TODAY()),9=MONTH(TODAY())),DAY(TODAY()),IF(DATE(Habits!$C$4,9,1)&gt;TODAY(),0,DAY(EOMONTH(DATE(Habits!$C$4,9,1),0))))))</f>
        <v/>
      </c>
      <c r="AJ16" s="16">
        <f>IF(B16="","",IF(AND(Habits!$C$4=YEAR(TODAY()),9=MONTH(TODAY())),IF(INDEX($C49:$AG49,DAY(TODAY()))&gt;0,INDEX($C49:$AG49,DAY(TODAY())),IF(DAY(TODAY())=1,IFERROR(INDEX(Aug!$C$49:$AG$49,DAY(EOMONTH(DATE(Habits!$C$4,8,1),0))),0),INDEX($C49:$AG49,DAY(TODAY())-1))),IF(DATE(Habits!$C$4,9,1)&gt;TODAY(),"",INDEX($C49:$AG49,DAY(EOMONTH(DATE(Habits!$C$4,9,1),0))))))</f>
        <v/>
      </c>
      <c r="AK16" s="13">
        <f>IF(B16="","",MAX($C49:$AG49))</f>
        <v/>
      </c>
      <c r="AL16" s="1" t="n"/>
    </row>
    <row r="17">
      <c r="A17" s="1" t="n"/>
      <c r="B17" s="32">
        <f>IF(Habits!B18="","",Habits!B18)</f>
        <v/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13">
        <f>IF(B17="","",COUNTIF($C50:$AG50,"&gt;0"))</f>
        <v/>
      </c>
      <c r="AI17" s="14">
        <f>IF(OR(B17="",IF(AND(Habits!$C$4=YEAR(TODAY()),9=MONTH(TODAY())),DAY(TODAY()),IF(DATE(Habits!$C$4,9,1)&gt;TODAY(),0,DAY(EOMONTH(DATE(Habits!$C$4,9,1),0))))=0),"",MIN(1,(COUNTIF($C50:$AG50,"&gt;0"))/IF(AND(Habits!$C$4=YEAR(TODAY()),9=MONTH(TODAY())),DAY(TODAY()),IF(DATE(Habits!$C$4,9,1)&gt;TODAY(),0,DAY(EOMONTH(DATE(Habits!$C$4,9,1),0))))))</f>
        <v/>
      </c>
      <c r="AJ17" s="16">
        <f>IF(B17="","",IF(AND(Habits!$C$4=YEAR(TODAY()),9=MONTH(TODAY())),IF(INDEX($C50:$AG50,DAY(TODAY()))&gt;0,INDEX($C50:$AG50,DAY(TODAY())),IF(DAY(TODAY())=1,IFERROR(INDEX(Aug!$C$50:$AG$50,DAY(EOMONTH(DATE(Habits!$C$4,8,1),0))),0),INDEX($C50:$AG50,DAY(TODAY())-1))),IF(DATE(Habits!$C$4,9,1)&gt;TODAY(),"",INDEX($C50:$AG50,DAY(EOMONTH(DATE(Habits!$C$4,9,1),0))))))</f>
        <v/>
      </c>
      <c r="AK17" s="13">
        <f>IF(B17="","",MAX($C50:$AG50))</f>
        <v/>
      </c>
      <c r="AL17" s="1" t="n"/>
    </row>
    <row r="18">
      <c r="A18" s="1" t="n"/>
      <c r="B18" s="32">
        <f>IF(Habits!B19="","",Habits!B19)</f>
        <v/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13">
        <f>IF(B18="","",COUNTIF($C51:$AG51,"&gt;0"))</f>
        <v/>
      </c>
      <c r="AI18" s="14">
        <f>IF(OR(B18="",IF(AND(Habits!$C$4=YEAR(TODAY()),9=MONTH(TODAY())),DAY(TODAY()),IF(DATE(Habits!$C$4,9,1)&gt;TODAY(),0,DAY(EOMONTH(DATE(Habits!$C$4,9,1),0))))=0),"",MIN(1,(COUNTIF($C51:$AG51,"&gt;0"))/IF(AND(Habits!$C$4=YEAR(TODAY()),9=MONTH(TODAY())),DAY(TODAY()),IF(DATE(Habits!$C$4,9,1)&gt;TODAY(),0,DAY(EOMONTH(DATE(Habits!$C$4,9,1),0))))))</f>
        <v/>
      </c>
      <c r="AJ18" s="16">
        <f>IF(B18="","",IF(AND(Habits!$C$4=YEAR(TODAY()),9=MONTH(TODAY())),IF(INDEX($C51:$AG51,DAY(TODAY()))&gt;0,INDEX($C51:$AG51,DAY(TODAY())),IF(DAY(TODAY())=1,IFERROR(INDEX(Aug!$C$51:$AG$51,DAY(EOMONTH(DATE(Habits!$C$4,8,1),0))),0),INDEX($C51:$AG51,DAY(TODAY())-1))),IF(DATE(Habits!$C$4,9,1)&gt;TODAY(),"",INDEX($C51:$AG51,DAY(EOMONTH(DATE(Habits!$C$4,9,1),0))))))</f>
        <v/>
      </c>
      <c r="AK18" s="13">
        <f>IF(B18="","",MAX($C51:$AG51))</f>
        <v/>
      </c>
      <c r="AL18" s="1" t="n"/>
    </row>
    <row r="19">
      <c r="A19" s="1" t="n"/>
      <c r="B19" s="32">
        <f>IF(Habits!B20="","",Habits!B20)</f>
        <v/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13">
        <f>IF(B19="","",COUNTIF($C52:$AG52,"&gt;0"))</f>
        <v/>
      </c>
      <c r="AI19" s="14">
        <f>IF(OR(B19="",IF(AND(Habits!$C$4=YEAR(TODAY()),9=MONTH(TODAY())),DAY(TODAY()),IF(DATE(Habits!$C$4,9,1)&gt;TODAY(),0,DAY(EOMONTH(DATE(Habits!$C$4,9,1),0))))=0),"",MIN(1,(COUNTIF($C52:$AG52,"&gt;0"))/IF(AND(Habits!$C$4=YEAR(TODAY()),9=MONTH(TODAY())),DAY(TODAY()),IF(DATE(Habits!$C$4,9,1)&gt;TODAY(),0,DAY(EOMONTH(DATE(Habits!$C$4,9,1),0))))))</f>
        <v/>
      </c>
      <c r="AJ19" s="16">
        <f>IF(B19="","",IF(AND(Habits!$C$4=YEAR(TODAY()),9=MONTH(TODAY())),IF(INDEX($C52:$AG52,DAY(TODAY()))&gt;0,INDEX($C52:$AG52,DAY(TODAY())),IF(DAY(TODAY())=1,IFERROR(INDEX(Aug!$C$52:$AG$52,DAY(EOMONTH(DATE(Habits!$C$4,8,1),0))),0),INDEX($C52:$AG52,DAY(TODAY())-1))),IF(DATE(Habits!$C$4,9,1)&gt;TODAY(),"",INDEX($C52:$AG52,DAY(EOMONTH(DATE(Habits!$C$4,9,1),0))))))</f>
        <v/>
      </c>
      <c r="AK19" s="13">
        <f>IF(B19="","",MAX($C52:$AG52))</f>
        <v/>
      </c>
      <c r="AL19" s="1" t="n"/>
    </row>
    <row r="20">
      <c r="A20" s="1" t="n"/>
      <c r="B20" s="32">
        <f>IF(Habits!B21="","",Habits!B21)</f>
        <v/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13">
        <f>IF(B20="","",COUNTIF($C53:$AG53,"&gt;0"))</f>
        <v/>
      </c>
      <c r="AI20" s="14">
        <f>IF(OR(B20="",IF(AND(Habits!$C$4=YEAR(TODAY()),9=MONTH(TODAY())),DAY(TODAY()),IF(DATE(Habits!$C$4,9,1)&gt;TODAY(),0,DAY(EOMONTH(DATE(Habits!$C$4,9,1),0))))=0),"",MIN(1,(COUNTIF($C53:$AG53,"&gt;0"))/IF(AND(Habits!$C$4=YEAR(TODAY()),9=MONTH(TODAY())),DAY(TODAY()),IF(DATE(Habits!$C$4,9,1)&gt;TODAY(),0,DAY(EOMONTH(DATE(Habits!$C$4,9,1),0))))))</f>
        <v/>
      </c>
      <c r="AJ20" s="16">
        <f>IF(B20="","",IF(AND(Habits!$C$4=YEAR(TODAY()),9=MONTH(TODAY())),IF(INDEX($C53:$AG53,DAY(TODAY()))&gt;0,INDEX($C53:$AG53,DAY(TODAY())),IF(DAY(TODAY())=1,IFERROR(INDEX(Aug!$C$53:$AG$53,DAY(EOMONTH(DATE(Habits!$C$4,8,1),0))),0),INDEX($C53:$AG53,DAY(TODAY())-1))),IF(DATE(Habits!$C$4,9,1)&gt;TODAY(),"",INDEX($C53:$AG53,DAY(EOMONTH(DATE(Habits!$C$4,9,1),0))))))</f>
        <v/>
      </c>
      <c r="AK20" s="13">
        <f>IF(B20="","",MAX($C53:$AG53))</f>
        <v/>
      </c>
      <c r="AL20" s="1" t="n"/>
    </row>
    <row r="21">
      <c r="A21" s="1" t="n"/>
      <c r="B21" s="32">
        <f>IF(Habits!B22="","",Habits!B22)</f>
        <v/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13">
        <f>IF(B21="","",COUNTIF($C54:$AG54,"&gt;0"))</f>
        <v/>
      </c>
      <c r="AI21" s="14">
        <f>IF(OR(B21="",IF(AND(Habits!$C$4=YEAR(TODAY()),9=MONTH(TODAY())),DAY(TODAY()),IF(DATE(Habits!$C$4,9,1)&gt;TODAY(),0,DAY(EOMONTH(DATE(Habits!$C$4,9,1),0))))=0),"",MIN(1,(COUNTIF($C54:$AG54,"&gt;0"))/IF(AND(Habits!$C$4=YEAR(TODAY()),9=MONTH(TODAY())),DAY(TODAY()),IF(DATE(Habits!$C$4,9,1)&gt;TODAY(),0,DAY(EOMONTH(DATE(Habits!$C$4,9,1),0))))))</f>
        <v/>
      </c>
      <c r="AJ21" s="16">
        <f>IF(B21="","",IF(AND(Habits!$C$4=YEAR(TODAY()),9=MONTH(TODAY())),IF(INDEX($C54:$AG54,DAY(TODAY()))&gt;0,INDEX($C54:$AG54,DAY(TODAY())),IF(DAY(TODAY())=1,IFERROR(INDEX(Aug!$C$54:$AG$54,DAY(EOMONTH(DATE(Habits!$C$4,8,1),0))),0),INDEX($C54:$AG54,DAY(TODAY())-1))),IF(DATE(Habits!$C$4,9,1)&gt;TODAY(),"",INDEX($C54:$AG54,DAY(EOMONTH(DATE(Habits!$C$4,9,1),0))))))</f>
        <v/>
      </c>
      <c r="AK21" s="13">
        <f>IF(B21="","",MAX($C54:$AG54))</f>
        <v/>
      </c>
      <c r="A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>
      <c r="A23" s="1" t="n"/>
      <c r="B23" s="12" t="inlineStr">
        <is>
          <t>Mood (1 to 5)</t>
        </is>
      </c>
      <c r="C23" s="34" t="n">
        <v>3</v>
      </c>
      <c r="D23" s="34" t="n">
        <v>5</v>
      </c>
      <c r="E23" s="34" t="n">
        <v>3</v>
      </c>
      <c r="F23" s="34" t="n">
        <v>4</v>
      </c>
      <c r="G23" s="34" t="n">
        <v>5</v>
      </c>
      <c r="H23" s="34" t="n">
        <v>4</v>
      </c>
      <c r="I23" s="34" t="n">
        <v>4</v>
      </c>
      <c r="J23" s="34" t="n">
        <v>3</v>
      </c>
      <c r="K23" s="34" t="n">
        <v>4</v>
      </c>
      <c r="L23" s="34" t="n">
        <v>2</v>
      </c>
      <c r="M23" s="34" t="n">
        <v>4</v>
      </c>
      <c r="N23" s="34" t="n">
        <v>4</v>
      </c>
      <c r="O23" s="34" t="n">
        <v>4</v>
      </c>
      <c r="P23" s="34" t="n">
        <v>4</v>
      </c>
      <c r="Q23" s="34" t="n">
        <v>4</v>
      </c>
      <c r="R23" s="34" t="n">
        <v>4</v>
      </c>
      <c r="S23" s="34" t="n">
        <v>5</v>
      </c>
      <c r="T23" s="34" t="n">
        <v>5</v>
      </c>
      <c r="U23" s="34" t="n">
        <v>3</v>
      </c>
      <c r="V23" s="34" t="n">
        <v>4</v>
      </c>
      <c r="W23" s="34" t="n">
        <v>3</v>
      </c>
      <c r="X23" s="34" t="n">
        <v>4</v>
      </c>
      <c r="Y23" s="34" t="n">
        <v>5</v>
      </c>
      <c r="Z23" s="34" t="n">
        <v>4</v>
      </c>
      <c r="AA23" s="34" t="n">
        <v>5</v>
      </c>
      <c r="AB23" s="34" t="n">
        <v>4</v>
      </c>
      <c r="AC23" s="34" t="n">
        <v>5</v>
      </c>
      <c r="AD23" s="34" t="n"/>
      <c r="AE23" s="34" t="n"/>
      <c r="AF23" s="34" t="n"/>
      <c r="AG23" s="34" t="n"/>
      <c r="AH23" s="35">
        <f>IFERROR(AVERAGE(C23:AG23),"")</f>
        <v/>
      </c>
      <c r="AI23" s="11" t="n"/>
      <c r="AJ23" s="36" t="inlineStr">
        <is>
          <t>average</t>
        </is>
      </c>
      <c r="AK23" s="1" t="n"/>
      <c r="AL23" s="1" t="n"/>
    </row>
    <row r="24">
      <c r="A24" s="1" t="n"/>
      <c r="B24" s="12" t="inlineStr">
        <is>
          <t>Sleep (hours)</t>
        </is>
      </c>
      <c r="C24" s="34" t="n">
        <v>7.5</v>
      </c>
      <c r="D24" s="34" t="n">
        <v>7</v>
      </c>
      <c r="E24" s="34" t="n">
        <v>6.5</v>
      </c>
      <c r="F24" s="34" t="n">
        <v>6</v>
      </c>
      <c r="G24" s="34" t="n">
        <v>8</v>
      </c>
      <c r="H24" s="34" t="n">
        <v>6.5</v>
      </c>
      <c r="I24" s="34" t="n">
        <v>7.5</v>
      </c>
      <c r="J24" s="34" t="n">
        <v>7</v>
      </c>
      <c r="K24" s="34" t="n">
        <v>6</v>
      </c>
      <c r="L24" s="34" t="n">
        <v>6.5</v>
      </c>
      <c r="M24" s="34" t="n">
        <v>6.5</v>
      </c>
      <c r="N24" s="34" t="n">
        <v>6</v>
      </c>
      <c r="O24" s="34" t="n">
        <v>8</v>
      </c>
      <c r="P24" s="34" t="n">
        <v>7.5</v>
      </c>
      <c r="Q24" s="34" t="n">
        <v>7</v>
      </c>
      <c r="R24" s="34" t="n">
        <v>8.5</v>
      </c>
      <c r="S24" s="34" t="n">
        <v>7</v>
      </c>
      <c r="T24" s="34" t="n">
        <v>7</v>
      </c>
      <c r="U24" s="34" t="n">
        <v>6</v>
      </c>
      <c r="V24" s="34" t="n">
        <v>6.5</v>
      </c>
      <c r="W24" s="34" t="n">
        <v>6.5</v>
      </c>
      <c r="X24" s="34" t="n">
        <v>8.5</v>
      </c>
      <c r="Y24" s="34" t="n">
        <v>7.5</v>
      </c>
      <c r="Z24" s="34" t="n">
        <v>7.5</v>
      </c>
      <c r="AA24" s="34" t="n">
        <v>7</v>
      </c>
      <c r="AB24" s="34" t="n">
        <v>7</v>
      </c>
      <c r="AC24" s="34" t="n">
        <v>7</v>
      </c>
      <c r="AD24" s="34" t="n"/>
      <c r="AE24" s="34" t="n"/>
      <c r="AF24" s="34" t="n"/>
      <c r="AG24" s="34" t="n"/>
      <c r="AH24" s="35">
        <f>IFERROR(AVERAGE(C24:AG24),"")</f>
        <v/>
      </c>
      <c r="AI24" s="11" t="n"/>
      <c r="AJ24" s="36" t="inlineStr">
        <is>
          <t>average</t>
        </is>
      </c>
      <c r="AK24" s="1" t="n"/>
      <c r="A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idden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idden="1">
      <c r="A40" s="1" t="n"/>
      <c r="B40" s="1">
        <f>B7</f>
        <v/>
      </c>
      <c r="C40" s="1">
        <f>IF(C$5="",0,IF(OR(C7=TRUE,ISTEXT(C7)),IFERROR(INDEX(Aug!$C$40:$AG$40,DAY(EOMONTH(DATE(Habits!$C$4,8,1),0))),0)+1,0))</f>
        <v/>
      </c>
      <c r="D40" s="1">
        <f>IF(D$5="",0,IF(OR(D7=TRUE,ISTEXT(D7)),C40+1,0))</f>
        <v/>
      </c>
      <c r="E40" s="1">
        <f>IF(E$5="",0,IF(OR(E7=TRUE,ISTEXT(E7)),D40+1,0))</f>
        <v/>
      </c>
      <c r="F40" s="1">
        <f>IF(F$5="",0,IF(OR(F7=TRUE,ISTEXT(F7)),E40+1,0))</f>
        <v/>
      </c>
      <c r="G40" s="1">
        <f>IF(G$5="",0,IF(OR(G7=TRUE,ISTEXT(G7)),F40+1,0))</f>
        <v/>
      </c>
      <c r="H40" s="1">
        <f>IF(H$5="",0,IF(OR(H7=TRUE,ISTEXT(H7)),G40+1,0))</f>
        <v/>
      </c>
      <c r="I40" s="1">
        <f>IF(I$5="",0,IF(OR(I7=TRUE,ISTEXT(I7)),H40+1,0))</f>
        <v/>
      </c>
      <c r="J40" s="1">
        <f>IF(J$5="",0,IF(OR(J7=TRUE,ISTEXT(J7)),I40+1,0))</f>
        <v/>
      </c>
      <c r="K40" s="1">
        <f>IF(K$5="",0,IF(OR(K7=TRUE,ISTEXT(K7)),J40+1,0))</f>
        <v/>
      </c>
      <c r="L40" s="1">
        <f>IF(L$5="",0,IF(OR(L7=TRUE,ISTEXT(L7)),K40+1,0))</f>
        <v/>
      </c>
      <c r="M40" s="1">
        <f>IF(M$5="",0,IF(OR(M7=TRUE,ISTEXT(M7)),L40+1,0))</f>
        <v/>
      </c>
      <c r="N40" s="1">
        <f>IF(N$5="",0,IF(OR(N7=TRUE,ISTEXT(N7)),M40+1,0))</f>
        <v/>
      </c>
      <c r="O40" s="1">
        <f>IF(O$5="",0,IF(OR(O7=TRUE,ISTEXT(O7)),N40+1,0))</f>
        <v/>
      </c>
      <c r="P40" s="1">
        <f>IF(P$5="",0,IF(OR(P7=TRUE,ISTEXT(P7)),O40+1,0))</f>
        <v/>
      </c>
      <c r="Q40" s="1">
        <f>IF(Q$5="",0,IF(OR(Q7=TRUE,ISTEXT(Q7)),P40+1,0))</f>
        <v/>
      </c>
      <c r="R40" s="1">
        <f>IF(R$5="",0,IF(OR(R7=TRUE,ISTEXT(R7)),Q40+1,0))</f>
        <v/>
      </c>
      <c r="S40" s="1">
        <f>IF(S$5="",0,IF(OR(S7=TRUE,ISTEXT(S7)),R40+1,0))</f>
        <v/>
      </c>
      <c r="T40" s="1">
        <f>IF(T$5="",0,IF(OR(T7=TRUE,ISTEXT(T7)),S40+1,0))</f>
        <v/>
      </c>
      <c r="U40" s="1">
        <f>IF(U$5="",0,IF(OR(U7=TRUE,ISTEXT(U7)),T40+1,0))</f>
        <v/>
      </c>
      <c r="V40" s="1">
        <f>IF(V$5="",0,IF(OR(V7=TRUE,ISTEXT(V7)),U40+1,0))</f>
        <v/>
      </c>
      <c r="W40" s="1">
        <f>IF(W$5="",0,IF(OR(W7=TRUE,ISTEXT(W7)),V40+1,0))</f>
        <v/>
      </c>
      <c r="X40" s="1">
        <f>IF(X$5="",0,IF(OR(X7=TRUE,ISTEXT(X7)),W40+1,0))</f>
        <v/>
      </c>
      <c r="Y40" s="1">
        <f>IF(Y$5="",0,IF(OR(Y7=TRUE,ISTEXT(Y7)),X40+1,0))</f>
        <v/>
      </c>
      <c r="Z40" s="1">
        <f>IF(Z$5="",0,IF(OR(Z7=TRUE,ISTEXT(Z7)),Y40+1,0))</f>
        <v/>
      </c>
      <c r="AA40" s="1">
        <f>IF(AA$5="",0,IF(OR(AA7=TRUE,ISTEXT(AA7)),Z40+1,0))</f>
        <v/>
      </c>
      <c r="AB40" s="1">
        <f>IF(AB$5="",0,IF(OR(AB7=TRUE,ISTEXT(AB7)),AA40+1,0))</f>
        <v/>
      </c>
      <c r="AC40" s="1">
        <f>IF(AC$5="",0,IF(OR(AC7=TRUE,ISTEXT(AC7)),AB40+1,0))</f>
        <v/>
      </c>
      <c r="AD40" s="1">
        <f>IF(AD$5="",0,IF(OR(AD7=TRUE,ISTEXT(AD7)),AC40+1,0))</f>
        <v/>
      </c>
      <c r="AE40" s="1">
        <f>IF(AE$5="",0,IF(OR(AE7=TRUE,ISTEXT(AE7)),AD40+1,0))</f>
        <v/>
      </c>
      <c r="AF40" s="1">
        <f>IF(AF$5="",0,IF(OR(AF7=TRUE,ISTEXT(AF7)),AE40+1,0))</f>
        <v/>
      </c>
      <c r="AG40" s="1">
        <f>IF(AG$5="",0,IF(OR(AG7=TRUE,ISTEXT(AG7)),AF40+1,0))</f>
        <v/>
      </c>
      <c r="AH40" s="1" t="n"/>
      <c r="AI40" s="1" t="n"/>
      <c r="AJ40" s="1" t="n"/>
      <c r="AK40" s="1" t="n"/>
      <c r="AL40" s="1" t="n"/>
    </row>
    <row r="41" hidden="1">
      <c r="A41" s="1" t="n"/>
      <c r="B41" s="1">
        <f>B8</f>
        <v/>
      </c>
      <c r="C41" s="1">
        <f>IF(C$5="",0,IF(OR(C8=TRUE,ISTEXT(C8)),IFERROR(INDEX(Aug!$C$41:$AG$41,DAY(EOMONTH(DATE(Habits!$C$4,8,1),0))),0)+1,0))</f>
        <v/>
      </c>
      <c r="D41" s="1">
        <f>IF(D$5="",0,IF(OR(D8=TRUE,ISTEXT(D8)),C41+1,0))</f>
        <v/>
      </c>
      <c r="E41" s="1">
        <f>IF(E$5="",0,IF(OR(E8=TRUE,ISTEXT(E8)),D41+1,0))</f>
        <v/>
      </c>
      <c r="F41" s="1">
        <f>IF(F$5="",0,IF(OR(F8=TRUE,ISTEXT(F8)),E41+1,0))</f>
        <v/>
      </c>
      <c r="G41" s="1">
        <f>IF(G$5="",0,IF(OR(G8=TRUE,ISTEXT(G8)),F41+1,0))</f>
        <v/>
      </c>
      <c r="H41" s="1">
        <f>IF(H$5="",0,IF(OR(H8=TRUE,ISTEXT(H8)),G41+1,0))</f>
        <v/>
      </c>
      <c r="I41" s="1">
        <f>IF(I$5="",0,IF(OR(I8=TRUE,ISTEXT(I8)),H41+1,0))</f>
        <v/>
      </c>
      <c r="J41" s="1">
        <f>IF(J$5="",0,IF(OR(J8=TRUE,ISTEXT(J8)),I41+1,0))</f>
        <v/>
      </c>
      <c r="K41" s="1">
        <f>IF(K$5="",0,IF(OR(K8=TRUE,ISTEXT(K8)),J41+1,0))</f>
        <v/>
      </c>
      <c r="L41" s="1">
        <f>IF(L$5="",0,IF(OR(L8=TRUE,ISTEXT(L8)),K41+1,0))</f>
        <v/>
      </c>
      <c r="M41" s="1">
        <f>IF(M$5="",0,IF(OR(M8=TRUE,ISTEXT(M8)),L41+1,0))</f>
        <v/>
      </c>
      <c r="N41" s="1">
        <f>IF(N$5="",0,IF(OR(N8=TRUE,ISTEXT(N8)),M41+1,0))</f>
        <v/>
      </c>
      <c r="O41" s="1">
        <f>IF(O$5="",0,IF(OR(O8=TRUE,ISTEXT(O8)),N41+1,0))</f>
        <v/>
      </c>
      <c r="P41" s="1">
        <f>IF(P$5="",0,IF(OR(P8=TRUE,ISTEXT(P8)),O41+1,0))</f>
        <v/>
      </c>
      <c r="Q41" s="1">
        <f>IF(Q$5="",0,IF(OR(Q8=TRUE,ISTEXT(Q8)),P41+1,0))</f>
        <v/>
      </c>
      <c r="R41" s="1">
        <f>IF(R$5="",0,IF(OR(R8=TRUE,ISTEXT(R8)),Q41+1,0))</f>
        <v/>
      </c>
      <c r="S41" s="1">
        <f>IF(S$5="",0,IF(OR(S8=TRUE,ISTEXT(S8)),R41+1,0))</f>
        <v/>
      </c>
      <c r="T41" s="1">
        <f>IF(T$5="",0,IF(OR(T8=TRUE,ISTEXT(T8)),S41+1,0))</f>
        <v/>
      </c>
      <c r="U41" s="1">
        <f>IF(U$5="",0,IF(OR(U8=TRUE,ISTEXT(U8)),T41+1,0))</f>
        <v/>
      </c>
      <c r="V41" s="1">
        <f>IF(V$5="",0,IF(OR(V8=TRUE,ISTEXT(V8)),U41+1,0))</f>
        <v/>
      </c>
      <c r="W41" s="1">
        <f>IF(W$5="",0,IF(OR(W8=TRUE,ISTEXT(W8)),V41+1,0))</f>
        <v/>
      </c>
      <c r="X41" s="1">
        <f>IF(X$5="",0,IF(OR(X8=TRUE,ISTEXT(X8)),W41+1,0))</f>
        <v/>
      </c>
      <c r="Y41" s="1">
        <f>IF(Y$5="",0,IF(OR(Y8=TRUE,ISTEXT(Y8)),X41+1,0))</f>
        <v/>
      </c>
      <c r="Z41" s="1">
        <f>IF(Z$5="",0,IF(OR(Z8=TRUE,ISTEXT(Z8)),Y41+1,0))</f>
        <v/>
      </c>
      <c r="AA41" s="1">
        <f>IF(AA$5="",0,IF(OR(AA8=TRUE,ISTEXT(AA8)),Z41+1,0))</f>
        <v/>
      </c>
      <c r="AB41" s="1">
        <f>IF(AB$5="",0,IF(OR(AB8=TRUE,ISTEXT(AB8)),AA41+1,0))</f>
        <v/>
      </c>
      <c r="AC41" s="1">
        <f>IF(AC$5="",0,IF(OR(AC8=TRUE,ISTEXT(AC8)),AB41+1,0))</f>
        <v/>
      </c>
      <c r="AD41" s="1">
        <f>IF(AD$5="",0,IF(OR(AD8=TRUE,ISTEXT(AD8)),AC41+1,0))</f>
        <v/>
      </c>
      <c r="AE41" s="1">
        <f>IF(AE$5="",0,IF(OR(AE8=TRUE,ISTEXT(AE8)),AD41+1,0))</f>
        <v/>
      </c>
      <c r="AF41" s="1">
        <f>IF(AF$5="",0,IF(OR(AF8=TRUE,ISTEXT(AF8)),AE41+1,0))</f>
        <v/>
      </c>
      <c r="AG41" s="1">
        <f>IF(AG$5="",0,IF(OR(AG8=TRUE,ISTEXT(AG8)),AF41+1,0))</f>
        <v/>
      </c>
      <c r="AH41" s="1" t="n"/>
      <c r="AI41" s="1" t="n"/>
      <c r="AJ41" s="1" t="n"/>
      <c r="AK41" s="1" t="n"/>
      <c r="AL41" s="1" t="n"/>
    </row>
    <row r="42" hidden="1">
      <c r="A42" s="1" t="n"/>
      <c r="B42" s="1">
        <f>B9</f>
        <v/>
      </c>
      <c r="C42" s="1">
        <f>IF(C$5="",0,IF(OR(C9=TRUE,ISTEXT(C9)),IFERROR(INDEX(Aug!$C$42:$AG$42,DAY(EOMONTH(DATE(Habits!$C$4,8,1),0))),0)+1,0))</f>
        <v/>
      </c>
      <c r="D42" s="1">
        <f>IF(D$5="",0,IF(OR(D9=TRUE,ISTEXT(D9)),C42+1,0))</f>
        <v/>
      </c>
      <c r="E42" s="1">
        <f>IF(E$5="",0,IF(OR(E9=TRUE,ISTEXT(E9)),D42+1,0))</f>
        <v/>
      </c>
      <c r="F42" s="1">
        <f>IF(F$5="",0,IF(OR(F9=TRUE,ISTEXT(F9)),E42+1,0))</f>
        <v/>
      </c>
      <c r="G42" s="1">
        <f>IF(G$5="",0,IF(OR(G9=TRUE,ISTEXT(G9)),F42+1,0))</f>
        <v/>
      </c>
      <c r="H42" s="1">
        <f>IF(H$5="",0,IF(OR(H9=TRUE,ISTEXT(H9)),G42+1,0))</f>
        <v/>
      </c>
      <c r="I42" s="1">
        <f>IF(I$5="",0,IF(OR(I9=TRUE,ISTEXT(I9)),H42+1,0))</f>
        <v/>
      </c>
      <c r="J42" s="1">
        <f>IF(J$5="",0,IF(OR(J9=TRUE,ISTEXT(J9)),I42+1,0))</f>
        <v/>
      </c>
      <c r="K42" s="1">
        <f>IF(K$5="",0,IF(OR(K9=TRUE,ISTEXT(K9)),J42+1,0))</f>
        <v/>
      </c>
      <c r="L42" s="1">
        <f>IF(L$5="",0,IF(OR(L9=TRUE,ISTEXT(L9)),K42+1,0))</f>
        <v/>
      </c>
      <c r="M42" s="1">
        <f>IF(M$5="",0,IF(OR(M9=TRUE,ISTEXT(M9)),L42+1,0))</f>
        <v/>
      </c>
      <c r="N42" s="1">
        <f>IF(N$5="",0,IF(OR(N9=TRUE,ISTEXT(N9)),M42+1,0))</f>
        <v/>
      </c>
      <c r="O42" s="1">
        <f>IF(O$5="",0,IF(OR(O9=TRUE,ISTEXT(O9)),N42+1,0))</f>
        <v/>
      </c>
      <c r="P42" s="1">
        <f>IF(P$5="",0,IF(OR(P9=TRUE,ISTEXT(P9)),O42+1,0))</f>
        <v/>
      </c>
      <c r="Q42" s="1">
        <f>IF(Q$5="",0,IF(OR(Q9=TRUE,ISTEXT(Q9)),P42+1,0))</f>
        <v/>
      </c>
      <c r="R42" s="1">
        <f>IF(R$5="",0,IF(OR(R9=TRUE,ISTEXT(R9)),Q42+1,0))</f>
        <v/>
      </c>
      <c r="S42" s="1">
        <f>IF(S$5="",0,IF(OR(S9=TRUE,ISTEXT(S9)),R42+1,0))</f>
        <v/>
      </c>
      <c r="T42" s="1">
        <f>IF(T$5="",0,IF(OR(T9=TRUE,ISTEXT(T9)),S42+1,0))</f>
        <v/>
      </c>
      <c r="U42" s="1">
        <f>IF(U$5="",0,IF(OR(U9=TRUE,ISTEXT(U9)),T42+1,0))</f>
        <v/>
      </c>
      <c r="V42" s="1">
        <f>IF(V$5="",0,IF(OR(V9=TRUE,ISTEXT(V9)),U42+1,0))</f>
        <v/>
      </c>
      <c r="W42" s="1">
        <f>IF(W$5="",0,IF(OR(W9=TRUE,ISTEXT(W9)),V42+1,0))</f>
        <v/>
      </c>
      <c r="X42" s="1">
        <f>IF(X$5="",0,IF(OR(X9=TRUE,ISTEXT(X9)),W42+1,0))</f>
        <v/>
      </c>
      <c r="Y42" s="1">
        <f>IF(Y$5="",0,IF(OR(Y9=TRUE,ISTEXT(Y9)),X42+1,0))</f>
        <v/>
      </c>
      <c r="Z42" s="1">
        <f>IF(Z$5="",0,IF(OR(Z9=TRUE,ISTEXT(Z9)),Y42+1,0))</f>
        <v/>
      </c>
      <c r="AA42" s="1">
        <f>IF(AA$5="",0,IF(OR(AA9=TRUE,ISTEXT(AA9)),Z42+1,0))</f>
        <v/>
      </c>
      <c r="AB42" s="1">
        <f>IF(AB$5="",0,IF(OR(AB9=TRUE,ISTEXT(AB9)),AA42+1,0))</f>
        <v/>
      </c>
      <c r="AC42" s="1">
        <f>IF(AC$5="",0,IF(OR(AC9=TRUE,ISTEXT(AC9)),AB42+1,0))</f>
        <v/>
      </c>
      <c r="AD42" s="1">
        <f>IF(AD$5="",0,IF(OR(AD9=TRUE,ISTEXT(AD9)),AC42+1,0))</f>
        <v/>
      </c>
      <c r="AE42" s="1">
        <f>IF(AE$5="",0,IF(OR(AE9=TRUE,ISTEXT(AE9)),AD42+1,0))</f>
        <v/>
      </c>
      <c r="AF42" s="1">
        <f>IF(AF$5="",0,IF(OR(AF9=TRUE,ISTEXT(AF9)),AE42+1,0))</f>
        <v/>
      </c>
      <c r="AG42" s="1">
        <f>IF(AG$5="",0,IF(OR(AG9=TRUE,ISTEXT(AG9)),AF42+1,0))</f>
        <v/>
      </c>
      <c r="AH42" s="1" t="n"/>
      <c r="AI42" s="1" t="n"/>
      <c r="AJ42" s="1" t="n"/>
      <c r="AK42" s="1" t="n"/>
      <c r="AL42" s="1" t="n"/>
    </row>
    <row r="43" hidden="1">
      <c r="A43" s="1" t="n"/>
      <c r="B43" s="1">
        <f>B10</f>
        <v/>
      </c>
      <c r="C43" s="1">
        <f>IF(C$5="",0,IF(OR(C10=TRUE,ISTEXT(C10)),IFERROR(INDEX(Aug!$C$43:$AG$43,DAY(EOMONTH(DATE(Habits!$C$4,8,1),0))),0)+1,0))</f>
        <v/>
      </c>
      <c r="D43" s="1">
        <f>IF(D$5="",0,IF(OR(D10=TRUE,ISTEXT(D10)),C43+1,0))</f>
        <v/>
      </c>
      <c r="E43" s="1">
        <f>IF(E$5="",0,IF(OR(E10=TRUE,ISTEXT(E10)),D43+1,0))</f>
        <v/>
      </c>
      <c r="F43" s="1">
        <f>IF(F$5="",0,IF(OR(F10=TRUE,ISTEXT(F10)),E43+1,0))</f>
        <v/>
      </c>
      <c r="G43" s="1">
        <f>IF(G$5="",0,IF(OR(G10=TRUE,ISTEXT(G10)),F43+1,0))</f>
        <v/>
      </c>
      <c r="H43" s="1">
        <f>IF(H$5="",0,IF(OR(H10=TRUE,ISTEXT(H10)),G43+1,0))</f>
        <v/>
      </c>
      <c r="I43" s="1">
        <f>IF(I$5="",0,IF(OR(I10=TRUE,ISTEXT(I10)),H43+1,0))</f>
        <v/>
      </c>
      <c r="J43" s="1">
        <f>IF(J$5="",0,IF(OR(J10=TRUE,ISTEXT(J10)),I43+1,0))</f>
        <v/>
      </c>
      <c r="K43" s="1">
        <f>IF(K$5="",0,IF(OR(K10=TRUE,ISTEXT(K10)),J43+1,0))</f>
        <v/>
      </c>
      <c r="L43" s="1">
        <f>IF(L$5="",0,IF(OR(L10=TRUE,ISTEXT(L10)),K43+1,0))</f>
        <v/>
      </c>
      <c r="M43" s="1">
        <f>IF(M$5="",0,IF(OR(M10=TRUE,ISTEXT(M10)),L43+1,0))</f>
        <v/>
      </c>
      <c r="N43" s="1">
        <f>IF(N$5="",0,IF(OR(N10=TRUE,ISTEXT(N10)),M43+1,0))</f>
        <v/>
      </c>
      <c r="O43" s="1">
        <f>IF(O$5="",0,IF(OR(O10=TRUE,ISTEXT(O10)),N43+1,0))</f>
        <v/>
      </c>
      <c r="P43" s="1">
        <f>IF(P$5="",0,IF(OR(P10=TRUE,ISTEXT(P10)),O43+1,0))</f>
        <v/>
      </c>
      <c r="Q43" s="1">
        <f>IF(Q$5="",0,IF(OR(Q10=TRUE,ISTEXT(Q10)),P43+1,0))</f>
        <v/>
      </c>
      <c r="R43" s="1">
        <f>IF(R$5="",0,IF(OR(R10=TRUE,ISTEXT(R10)),Q43+1,0))</f>
        <v/>
      </c>
      <c r="S43" s="1">
        <f>IF(S$5="",0,IF(OR(S10=TRUE,ISTEXT(S10)),R43+1,0))</f>
        <v/>
      </c>
      <c r="T43" s="1">
        <f>IF(T$5="",0,IF(OR(T10=TRUE,ISTEXT(T10)),S43+1,0))</f>
        <v/>
      </c>
      <c r="U43" s="1">
        <f>IF(U$5="",0,IF(OR(U10=TRUE,ISTEXT(U10)),T43+1,0))</f>
        <v/>
      </c>
      <c r="V43" s="1">
        <f>IF(V$5="",0,IF(OR(V10=TRUE,ISTEXT(V10)),U43+1,0))</f>
        <v/>
      </c>
      <c r="W43" s="1">
        <f>IF(W$5="",0,IF(OR(W10=TRUE,ISTEXT(W10)),V43+1,0))</f>
        <v/>
      </c>
      <c r="X43" s="1">
        <f>IF(X$5="",0,IF(OR(X10=TRUE,ISTEXT(X10)),W43+1,0))</f>
        <v/>
      </c>
      <c r="Y43" s="1">
        <f>IF(Y$5="",0,IF(OR(Y10=TRUE,ISTEXT(Y10)),X43+1,0))</f>
        <v/>
      </c>
      <c r="Z43" s="1">
        <f>IF(Z$5="",0,IF(OR(Z10=TRUE,ISTEXT(Z10)),Y43+1,0))</f>
        <v/>
      </c>
      <c r="AA43" s="1">
        <f>IF(AA$5="",0,IF(OR(AA10=TRUE,ISTEXT(AA10)),Z43+1,0))</f>
        <v/>
      </c>
      <c r="AB43" s="1">
        <f>IF(AB$5="",0,IF(OR(AB10=TRUE,ISTEXT(AB10)),AA43+1,0))</f>
        <v/>
      </c>
      <c r="AC43" s="1">
        <f>IF(AC$5="",0,IF(OR(AC10=TRUE,ISTEXT(AC10)),AB43+1,0))</f>
        <v/>
      </c>
      <c r="AD43" s="1">
        <f>IF(AD$5="",0,IF(OR(AD10=TRUE,ISTEXT(AD10)),AC43+1,0))</f>
        <v/>
      </c>
      <c r="AE43" s="1">
        <f>IF(AE$5="",0,IF(OR(AE10=TRUE,ISTEXT(AE10)),AD43+1,0))</f>
        <v/>
      </c>
      <c r="AF43" s="1">
        <f>IF(AF$5="",0,IF(OR(AF10=TRUE,ISTEXT(AF10)),AE43+1,0))</f>
        <v/>
      </c>
      <c r="AG43" s="1">
        <f>IF(AG$5="",0,IF(OR(AG10=TRUE,ISTEXT(AG10)),AF43+1,0))</f>
        <v/>
      </c>
      <c r="AH43" s="1" t="n"/>
      <c r="AI43" s="1" t="n"/>
      <c r="AJ43" s="1" t="n"/>
      <c r="AK43" s="1" t="n"/>
      <c r="AL43" s="1" t="n"/>
    </row>
    <row r="44" hidden="1">
      <c r="A44" s="1" t="n"/>
      <c r="B44" s="1">
        <f>B11</f>
        <v/>
      </c>
      <c r="C44" s="1">
        <f>IF(C$5="",0,IF(OR(C11=TRUE,ISTEXT(C11)),IFERROR(INDEX(Aug!$C$44:$AG$44,DAY(EOMONTH(DATE(Habits!$C$4,8,1),0))),0)+1,0))</f>
        <v/>
      </c>
      <c r="D44" s="1">
        <f>IF(D$5="",0,IF(OR(D11=TRUE,ISTEXT(D11)),C44+1,0))</f>
        <v/>
      </c>
      <c r="E44" s="1">
        <f>IF(E$5="",0,IF(OR(E11=TRUE,ISTEXT(E11)),D44+1,0))</f>
        <v/>
      </c>
      <c r="F44" s="1">
        <f>IF(F$5="",0,IF(OR(F11=TRUE,ISTEXT(F11)),E44+1,0))</f>
        <v/>
      </c>
      <c r="G44" s="1">
        <f>IF(G$5="",0,IF(OR(G11=TRUE,ISTEXT(G11)),F44+1,0))</f>
        <v/>
      </c>
      <c r="H44" s="1">
        <f>IF(H$5="",0,IF(OR(H11=TRUE,ISTEXT(H11)),G44+1,0))</f>
        <v/>
      </c>
      <c r="I44" s="1">
        <f>IF(I$5="",0,IF(OR(I11=TRUE,ISTEXT(I11)),H44+1,0))</f>
        <v/>
      </c>
      <c r="J44" s="1">
        <f>IF(J$5="",0,IF(OR(J11=TRUE,ISTEXT(J11)),I44+1,0))</f>
        <v/>
      </c>
      <c r="K44" s="1">
        <f>IF(K$5="",0,IF(OR(K11=TRUE,ISTEXT(K11)),J44+1,0))</f>
        <v/>
      </c>
      <c r="L44" s="1">
        <f>IF(L$5="",0,IF(OR(L11=TRUE,ISTEXT(L11)),K44+1,0))</f>
        <v/>
      </c>
      <c r="M44" s="1">
        <f>IF(M$5="",0,IF(OR(M11=TRUE,ISTEXT(M11)),L44+1,0))</f>
        <v/>
      </c>
      <c r="N44" s="1">
        <f>IF(N$5="",0,IF(OR(N11=TRUE,ISTEXT(N11)),M44+1,0))</f>
        <v/>
      </c>
      <c r="O44" s="1">
        <f>IF(O$5="",0,IF(OR(O11=TRUE,ISTEXT(O11)),N44+1,0))</f>
        <v/>
      </c>
      <c r="P44" s="1">
        <f>IF(P$5="",0,IF(OR(P11=TRUE,ISTEXT(P11)),O44+1,0))</f>
        <v/>
      </c>
      <c r="Q44" s="1">
        <f>IF(Q$5="",0,IF(OR(Q11=TRUE,ISTEXT(Q11)),P44+1,0))</f>
        <v/>
      </c>
      <c r="R44" s="1">
        <f>IF(R$5="",0,IF(OR(R11=TRUE,ISTEXT(R11)),Q44+1,0))</f>
        <v/>
      </c>
      <c r="S44" s="1">
        <f>IF(S$5="",0,IF(OR(S11=TRUE,ISTEXT(S11)),R44+1,0))</f>
        <v/>
      </c>
      <c r="T44" s="1">
        <f>IF(T$5="",0,IF(OR(T11=TRUE,ISTEXT(T11)),S44+1,0))</f>
        <v/>
      </c>
      <c r="U44" s="1">
        <f>IF(U$5="",0,IF(OR(U11=TRUE,ISTEXT(U11)),T44+1,0))</f>
        <v/>
      </c>
      <c r="V44" s="1">
        <f>IF(V$5="",0,IF(OR(V11=TRUE,ISTEXT(V11)),U44+1,0))</f>
        <v/>
      </c>
      <c r="W44" s="1">
        <f>IF(W$5="",0,IF(OR(W11=TRUE,ISTEXT(W11)),V44+1,0))</f>
        <v/>
      </c>
      <c r="X44" s="1">
        <f>IF(X$5="",0,IF(OR(X11=TRUE,ISTEXT(X11)),W44+1,0))</f>
        <v/>
      </c>
      <c r="Y44" s="1">
        <f>IF(Y$5="",0,IF(OR(Y11=TRUE,ISTEXT(Y11)),X44+1,0))</f>
        <v/>
      </c>
      <c r="Z44" s="1">
        <f>IF(Z$5="",0,IF(OR(Z11=TRUE,ISTEXT(Z11)),Y44+1,0))</f>
        <v/>
      </c>
      <c r="AA44" s="1">
        <f>IF(AA$5="",0,IF(OR(AA11=TRUE,ISTEXT(AA11)),Z44+1,0))</f>
        <v/>
      </c>
      <c r="AB44" s="1">
        <f>IF(AB$5="",0,IF(OR(AB11=TRUE,ISTEXT(AB11)),AA44+1,0))</f>
        <v/>
      </c>
      <c r="AC44" s="1">
        <f>IF(AC$5="",0,IF(OR(AC11=TRUE,ISTEXT(AC11)),AB44+1,0))</f>
        <v/>
      </c>
      <c r="AD44" s="1">
        <f>IF(AD$5="",0,IF(OR(AD11=TRUE,ISTEXT(AD11)),AC44+1,0))</f>
        <v/>
      </c>
      <c r="AE44" s="1">
        <f>IF(AE$5="",0,IF(OR(AE11=TRUE,ISTEXT(AE11)),AD44+1,0))</f>
        <v/>
      </c>
      <c r="AF44" s="1">
        <f>IF(AF$5="",0,IF(OR(AF11=TRUE,ISTEXT(AF11)),AE44+1,0))</f>
        <v/>
      </c>
      <c r="AG44" s="1">
        <f>IF(AG$5="",0,IF(OR(AG11=TRUE,ISTEXT(AG11)),AF44+1,0))</f>
        <v/>
      </c>
      <c r="AH44" s="1" t="n"/>
      <c r="AI44" s="1" t="n"/>
      <c r="AJ44" s="1" t="n"/>
      <c r="AK44" s="1" t="n"/>
      <c r="AL44" s="1" t="n"/>
    </row>
    <row r="45" hidden="1">
      <c r="A45" s="1" t="n"/>
      <c r="B45" s="1">
        <f>B12</f>
        <v/>
      </c>
      <c r="C45" s="1">
        <f>IF(C$5="",0,IF(OR(C12=TRUE,ISTEXT(C12)),IFERROR(INDEX(Aug!$C$45:$AG$45,DAY(EOMONTH(DATE(Habits!$C$4,8,1),0))),0)+1,0))</f>
        <v/>
      </c>
      <c r="D45" s="1">
        <f>IF(D$5="",0,IF(OR(D12=TRUE,ISTEXT(D12)),C45+1,0))</f>
        <v/>
      </c>
      <c r="E45" s="1">
        <f>IF(E$5="",0,IF(OR(E12=TRUE,ISTEXT(E12)),D45+1,0))</f>
        <v/>
      </c>
      <c r="F45" s="1">
        <f>IF(F$5="",0,IF(OR(F12=TRUE,ISTEXT(F12)),E45+1,0))</f>
        <v/>
      </c>
      <c r="G45" s="1">
        <f>IF(G$5="",0,IF(OR(G12=TRUE,ISTEXT(G12)),F45+1,0))</f>
        <v/>
      </c>
      <c r="H45" s="1">
        <f>IF(H$5="",0,IF(OR(H12=TRUE,ISTEXT(H12)),G45+1,0))</f>
        <v/>
      </c>
      <c r="I45" s="1">
        <f>IF(I$5="",0,IF(OR(I12=TRUE,ISTEXT(I12)),H45+1,0))</f>
        <v/>
      </c>
      <c r="J45" s="1">
        <f>IF(J$5="",0,IF(OR(J12=TRUE,ISTEXT(J12)),I45+1,0))</f>
        <v/>
      </c>
      <c r="K45" s="1">
        <f>IF(K$5="",0,IF(OR(K12=TRUE,ISTEXT(K12)),J45+1,0))</f>
        <v/>
      </c>
      <c r="L45" s="1">
        <f>IF(L$5="",0,IF(OR(L12=TRUE,ISTEXT(L12)),K45+1,0))</f>
        <v/>
      </c>
      <c r="M45" s="1">
        <f>IF(M$5="",0,IF(OR(M12=TRUE,ISTEXT(M12)),L45+1,0))</f>
        <v/>
      </c>
      <c r="N45" s="1">
        <f>IF(N$5="",0,IF(OR(N12=TRUE,ISTEXT(N12)),M45+1,0))</f>
        <v/>
      </c>
      <c r="O45" s="1">
        <f>IF(O$5="",0,IF(OR(O12=TRUE,ISTEXT(O12)),N45+1,0))</f>
        <v/>
      </c>
      <c r="P45" s="1">
        <f>IF(P$5="",0,IF(OR(P12=TRUE,ISTEXT(P12)),O45+1,0))</f>
        <v/>
      </c>
      <c r="Q45" s="1">
        <f>IF(Q$5="",0,IF(OR(Q12=TRUE,ISTEXT(Q12)),P45+1,0))</f>
        <v/>
      </c>
      <c r="R45" s="1">
        <f>IF(R$5="",0,IF(OR(R12=TRUE,ISTEXT(R12)),Q45+1,0))</f>
        <v/>
      </c>
      <c r="S45" s="1">
        <f>IF(S$5="",0,IF(OR(S12=TRUE,ISTEXT(S12)),R45+1,0))</f>
        <v/>
      </c>
      <c r="T45" s="1">
        <f>IF(T$5="",0,IF(OR(T12=TRUE,ISTEXT(T12)),S45+1,0))</f>
        <v/>
      </c>
      <c r="U45" s="1">
        <f>IF(U$5="",0,IF(OR(U12=TRUE,ISTEXT(U12)),T45+1,0))</f>
        <v/>
      </c>
      <c r="V45" s="1">
        <f>IF(V$5="",0,IF(OR(V12=TRUE,ISTEXT(V12)),U45+1,0))</f>
        <v/>
      </c>
      <c r="W45" s="1">
        <f>IF(W$5="",0,IF(OR(W12=TRUE,ISTEXT(W12)),V45+1,0))</f>
        <v/>
      </c>
      <c r="X45" s="1">
        <f>IF(X$5="",0,IF(OR(X12=TRUE,ISTEXT(X12)),W45+1,0))</f>
        <v/>
      </c>
      <c r="Y45" s="1">
        <f>IF(Y$5="",0,IF(OR(Y12=TRUE,ISTEXT(Y12)),X45+1,0))</f>
        <v/>
      </c>
      <c r="Z45" s="1">
        <f>IF(Z$5="",0,IF(OR(Z12=TRUE,ISTEXT(Z12)),Y45+1,0))</f>
        <v/>
      </c>
      <c r="AA45" s="1">
        <f>IF(AA$5="",0,IF(OR(AA12=TRUE,ISTEXT(AA12)),Z45+1,0))</f>
        <v/>
      </c>
      <c r="AB45" s="1">
        <f>IF(AB$5="",0,IF(OR(AB12=TRUE,ISTEXT(AB12)),AA45+1,0))</f>
        <v/>
      </c>
      <c r="AC45" s="1">
        <f>IF(AC$5="",0,IF(OR(AC12=TRUE,ISTEXT(AC12)),AB45+1,0))</f>
        <v/>
      </c>
      <c r="AD45" s="1">
        <f>IF(AD$5="",0,IF(OR(AD12=TRUE,ISTEXT(AD12)),AC45+1,0))</f>
        <v/>
      </c>
      <c r="AE45" s="1">
        <f>IF(AE$5="",0,IF(OR(AE12=TRUE,ISTEXT(AE12)),AD45+1,0))</f>
        <v/>
      </c>
      <c r="AF45" s="1">
        <f>IF(AF$5="",0,IF(OR(AF12=TRUE,ISTEXT(AF12)),AE45+1,0))</f>
        <v/>
      </c>
      <c r="AG45" s="1">
        <f>IF(AG$5="",0,IF(OR(AG12=TRUE,ISTEXT(AG12)),AF45+1,0))</f>
        <v/>
      </c>
      <c r="AH45" s="1" t="n"/>
      <c r="AI45" s="1" t="n"/>
      <c r="AJ45" s="1" t="n"/>
      <c r="AK45" s="1" t="n"/>
      <c r="AL45" s="1" t="n"/>
    </row>
    <row r="46" hidden="1">
      <c r="A46" s="1" t="n"/>
      <c r="B46" s="1">
        <f>B13</f>
        <v/>
      </c>
      <c r="C46" s="1">
        <f>IF(C$5="",0,IF(OR(C13=TRUE,ISTEXT(C13)),IFERROR(INDEX(Aug!$C$46:$AG$46,DAY(EOMONTH(DATE(Habits!$C$4,8,1),0))),0)+1,0))</f>
        <v/>
      </c>
      <c r="D46" s="1">
        <f>IF(D$5="",0,IF(OR(D13=TRUE,ISTEXT(D13)),C46+1,0))</f>
        <v/>
      </c>
      <c r="E46" s="1">
        <f>IF(E$5="",0,IF(OR(E13=TRUE,ISTEXT(E13)),D46+1,0))</f>
        <v/>
      </c>
      <c r="F46" s="1">
        <f>IF(F$5="",0,IF(OR(F13=TRUE,ISTEXT(F13)),E46+1,0))</f>
        <v/>
      </c>
      <c r="G46" s="1">
        <f>IF(G$5="",0,IF(OR(G13=TRUE,ISTEXT(G13)),F46+1,0))</f>
        <v/>
      </c>
      <c r="H46" s="1">
        <f>IF(H$5="",0,IF(OR(H13=TRUE,ISTEXT(H13)),G46+1,0))</f>
        <v/>
      </c>
      <c r="I46" s="1">
        <f>IF(I$5="",0,IF(OR(I13=TRUE,ISTEXT(I13)),H46+1,0))</f>
        <v/>
      </c>
      <c r="J46" s="1">
        <f>IF(J$5="",0,IF(OR(J13=TRUE,ISTEXT(J13)),I46+1,0))</f>
        <v/>
      </c>
      <c r="K46" s="1">
        <f>IF(K$5="",0,IF(OR(K13=TRUE,ISTEXT(K13)),J46+1,0))</f>
        <v/>
      </c>
      <c r="L46" s="1">
        <f>IF(L$5="",0,IF(OR(L13=TRUE,ISTEXT(L13)),K46+1,0))</f>
        <v/>
      </c>
      <c r="M46" s="1">
        <f>IF(M$5="",0,IF(OR(M13=TRUE,ISTEXT(M13)),L46+1,0))</f>
        <v/>
      </c>
      <c r="N46" s="1">
        <f>IF(N$5="",0,IF(OR(N13=TRUE,ISTEXT(N13)),M46+1,0))</f>
        <v/>
      </c>
      <c r="O46" s="1">
        <f>IF(O$5="",0,IF(OR(O13=TRUE,ISTEXT(O13)),N46+1,0))</f>
        <v/>
      </c>
      <c r="P46" s="1">
        <f>IF(P$5="",0,IF(OR(P13=TRUE,ISTEXT(P13)),O46+1,0))</f>
        <v/>
      </c>
      <c r="Q46" s="1">
        <f>IF(Q$5="",0,IF(OR(Q13=TRUE,ISTEXT(Q13)),P46+1,0))</f>
        <v/>
      </c>
      <c r="R46" s="1">
        <f>IF(R$5="",0,IF(OR(R13=TRUE,ISTEXT(R13)),Q46+1,0))</f>
        <v/>
      </c>
      <c r="S46" s="1">
        <f>IF(S$5="",0,IF(OR(S13=TRUE,ISTEXT(S13)),R46+1,0))</f>
        <v/>
      </c>
      <c r="T46" s="1">
        <f>IF(T$5="",0,IF(OR(T13=TRUE,ISTEXT(T13)),S46+1,0))</f>
        <v/>
      </c>
      <c r="U46" s="1">
        <f>IF(U$5="",0,IF(OR(U13=TRUE,ISTEXT(U13)),T46+1,0))</f>
        <v/>
      </c>
      <c r="V46" s="1">
        <f>IF(V$5="",0,IF(OR(V13=TRUE,ISTEXT(V13)),U46+1,0))</f>
        <v/>
      </c>
      <c r="W46" s="1">
        <f>IF(W$5="",0,IF(OR(W13=TRUE,ISTEXT(W13)),V46+1,0))</f>
        <v/>
      </c>
      <c r="X46" s="1">
        <f>IF(X$5="",0,IF(OR(X13=TRUE,ISTEXT(X13)),W46+1,0))</f>
        <v/>
      </c>
      <c r="Y46" s="1">
        <f>IF(Y$5="",0,IF(OR(Y13=TRUE,ISTEXT(Y13)),X46+1,0))</f>
        <v/>
      </c>
      <c r="Z46" s="1">
        <f>IF(Z$5="",0,IF(OR(Z13=TRUE,ISTEXT(Z13)),Y46+1,0))</f>
        <v/>
      </c>
      <c r="AA46" s="1">
        <f>IF(AA$5="",0,IF(OR(AA13=TRUE,ISTEXT(AA13)),Z46+1,0))</f>
        <v/>
      </c>
      <c r="AB46" s="1">
        <f>IF(AB$5="",0,IF(OR(AB13=TRUE,ISTEXT(AB13)),AA46+1,0))</f>
        <v/>
      </c>
      <c r="AC46" s="1">
        <f>IF(AC$5="",0,IF(OR(AC13=TRUE,ISTEXT(AC13)),AB46+1,0))</f>
        <v/>
      </c>
      <c r="AD46" s="1">
        <f>IF(AD$5="",0,IF(OR(AD13=TRUE,ISTEXT(AD13)),AC46+1,0))</f>
        <v/>
      </c>
      <c r="AE46" s="1">
        <f>IF(AE$5="",0,IF(OR(AE13=TRUE,ISTEXT(AE13)),AD46+1,0))</f>
        <v/>
      </c>
      <c r="AF46" s="1">
        <f>IF(AF$5="",0,IF(OR(AF13=TRUE,ISTEXT(AF13)),AE46+1,0))</f>
        <v/>
      </c>
      <c r="AG46" s="1">
        <f>IF(AG$5="",0,IF(OR(AG13=TRUE,ISTEXT(AG13)),AF46+1,0))</f>
        <v/>
      </c>
      <c r="AH46" s="1" t="n"/>
      <c r="AI46" s="1" t="n"/>
      <c r="AJ46" s="1" t="n"/>
      <c r="AK46" s="1" t="n"/>
      <c r="AL46" s="1" t="n"/>
    </row>
    <row r="47" hidden="1">
      <c r="A47" s="1" t="n"/>
      <c r="B47" s="1">
        <f>B14</f>
        <v/>
      </c>
      <c r="C47" s="1">
        <f>IF(C$5="",0,IF(OR(C14=TRUE,ISTEXT(C14)),IFERROR(INDEX(Aug!$C$47:$AG$47,DAY(EOMONTH(DATE(Habits!$C$4,8,1),0))),0)+1,0))</f>
        <v/>
      </c>
      <c r="D47" s="1">
        <f>IF(D$5="",0,IF(OR(D14=TRUE,ISTEXT(D14)),C47+1,0))</f>
        <v/>
      </c>
      <c r="E47" s="1">
        <f>IF(E$5="",0,IF(OR(E14=TRUE,ISTEXT(E14)),D47+1,0))</f>
        <v/>
      </c>
      <c r="F47" s="1">
        <f>IF(F$5="",0,IF(OR(F14=TRUE,ISTEXT(F14)),E47+1,0))</f>
        <v/>
      </c>
      <c r="G47" s="1">
        <f>IF(G$5="",0,IF(OR(G14=TRUE,ISTEXT(G14)),F47+1,0))</f>
        <v/>
      </c>
      <c r="H47" s="1">
        <f>IF(H$5="",0,IF(OR(H14=TRUE,ISTEXT(H14)),G47+1,0))</f>
        <v/>
      </c>
      <c r="I47" s="1">
        <f>IF(I$5="",0,IF(OR(I14=TRUE,ISTEXT(I14)),H47+1,0))</f>
        <v/>
      </c>
      <c r="J47" s="1">
        <f>IF(J$5="",0,IF(OR(J14=TRUE,ISTEXT(J14)),I47+1,0))</f>
        <v/>
      </c>
      <c r="K47" s="1">
        <f>IF(K$5="",0,IF(OR(K14=TRUE,ISTEXT(K14)),J47+1,0))</f>
        <v/>
      </c>
      <c r="L47" s="1">
        <f>IF(L$5="",0,IF(OR(L14=TRUE,ISTEXT(L14)),K47+1,0))</f>
        <v/>
      </c>
      <c r="M47" s="1">
        <f>IF(M$5="",0,IF(OR(M14=TRUE,ISTEXT(M14)),L47+1,0))</f>
        <v/>
      </c>
      <c r="N47" s="1">
        <f>IF(N$5="",0,IF(OR(N14=TRUE,ISTEXT(N14)),M47+1,0))</f>
        <v/>
      </c>
      <c r="O47" s="1">
        <f>IF(O$5="",0,IF(OR(O14=TRUE,ISTEXT(O14)),N47+1,0))</f>
        <v/>
      </c>
      <c r="P47" s="1">
        <f>IF(P$5="",0,IF(OR(P14=TRUE,ISTEXT(P14)),O47+1,0))</f>
        <v/>
      </c>
      <c r="Q47" s="1">
        <f>IF(Q$5="",0,IF(OR(Q14=TRUE,ISTEXT(Q14)),P47+1,0))</f>
        <v/>
      </c>
      <c r="R47" s="1">
        <f>IF(R$5="",0,IF(OR(R14=TRUE,ISTEXT(R14)),Q47+1,0))</f>
        <v/>
      </c>
      <c r="S47" s="1">
        <f>IF(S$5="",0,IF(OR(S14=TRUE,ISTEXT(S14)),R47+1,0))</f>
        <v/>
      </c>
      <c r="T47" s="1">
        <f>IF(T$5="",0,IF(OR(T14=TRUE,ISTEXT(T14)),S47+1,0))</f>
        <v/>
      </c>
      <c r="U47" s="1">
        <f>IF(U$5="",0,IF(OR(U14=TRUE,ISTEXT(U14)),T47+1,0))</f>
        <v/>
      </c>
      <c r="V47" s="1">
        <f>IF(V$5="",0,IF(OR(V14=TRUE,ISTEXT(V14)),U47+1,0))</f>
        <v/>
      </c>
      <c r="W47" s="1">
        <f>IF(W$5="",0,IF(OR(W14=TRUE,ISTEXT(W14)),V47+1,0))</f>
        <v/>
      </c>
      <c r="X47" s="1">
        <f>IF(X$5="",0,IF(OR(X14=TRUE,ISTEXT(X14)),W47+1,0))</f>
        <v/>
      </c>
      <c r="Y47" s="1">
        <f>IF(Y$5="",0,IF(OR(Y14=TRUE,ISTEXT(Y14)),X47+1,0))</f>
        <v/>
      </c>
      <c r="Z47" s="1">
        <f>IF(Z$5="",0,IF(OR(Z14=TRUE,ISTEXT(Z14)),Y47+1,0))</f>
        <v/>
      </c>
      <c r="AA47" s="1">
        <f>IF(AA$5="",0,IF(OR(AA14=TRUE,ISTEXT(AA14)),Z47+1,0))</f>
        <v/>
      </c>
      <c r="AB47" s="1">
        <f>IF(AB$5="",0,IF(OR(AB14=TRUE,ISTEXT(AB14)),AA47+1,0))</f>
        <v/>
      </c>
      <c r="AC47" s="1">
        <f>IF(AC$5="",0,IF(OR(AC14=TRUE,ISTEXT(AC14)),AB47+1,0))</f>
        <v/>
      </c>
      <c r="AD47" s="1">
        <f>IF(AD$5="",0,IF(OR(AD14=TRUE,ISTEXT(AD14)),AC47+1,0))</f>
        <v/>
      </c>
      <c r="AE47" s="1">
        <f>IF(AE$5="",0,IF(OR(AE14=TRUE,ISTEXT(AE14)),AD47+1,0))</f>
        <v/>
      </c>
      <c r="AF47" s="1">
        <f>IF(AF$5="",0,IF(OR(AF14=TRUE,ISTEXT(AF14)),AE47+1,0))</f>
        <v/>
      </c>
      <c r="AG47" s="1">
        <f>IF(AG$5="",0,IF(OR(AG14=TRUE,ISTEXT(AG14)),AF47+1,0))</f>
        <v/>
      </c>
      <c r="AH47" s="1" t="n"/>
      <c r="AI47" s="1" t="n"/>
      <c r="AJ47" s="1" t="n"/>
      <c r="AK47" s="1" t="n"/>
      <c r="AL47" s="1" t="n"/>
    </row>
    <row r="48" hidden="1">
      <c r="A48" s="1" t="n"/>
      <c r="B48" s="1">
        <f>B15</f>
        <v/>
      </c>
      <c r="C48" s="1">
        <f>IF(C$5="",0,IF(OR(C15=TRUE,ISTEXT(C15)),IFERROR(INDEX(Aug!$C$48:$AG$48,DAY(EOMONTH(DATE(Habits!$C$4,8,1),0))),0)+1,0))</f>
        <v/>
      </c>
      <c r="D48" s="1">
        <f>IF(D$5="",0,IF(OR(D15=TRUE,ISTEXT(D15)),C48+1,0))</f>
        <v/>
      </c>
      <c r="E48" s="1">
        <f>IF(E$5="",0,IF(OR(E15=TRUE,ISTEXT(E15)),D48+1,0))</f>
        <v/>
      </c>
      <c r="F48" s="1">
        <f>IF(F$5="",0,IF(OR(F15=TRUE,ISTEXT(F15)),E48+1,0))</f>
        <v/>
      </c>
      <c r="G48" s="1">
        <f>IF(G$5="",0,IF(OR(G15=TRUE,ISTEXT(G15)),F48+1,0))</f>
        <v/>
      </c>
      <c r="H48" s="1">
        <f>IF(H$5="",0,IF(OR(H15=TRUE,ISTEXT(H15)),G48+1,0))</f>
        <v/>
      </c>
      <c r="I48" s="1">
        <f>IF(I$5="",0,IF(OR(I15=TRUE,ISTEXT(I15)),H48+1,0))</f>
        <v/>
      </c>
      <c r="J48" s="1">
        <f>IF(J$5="",0,IF(OR(J15=TRUE,ISTEXT(J15)),I48+1,0))</f>
        <v/>
      </c>
      <c r="K48" s="1">
        <f>IF(K$5="",0,IF(OR(K15=TRUE,ISTEXT(K15)),J48+1,0))</f>
        <v/>
      </c>
      <c r="L48" s="1">
        <f>IF(L$5="",0,IF(OR(L15=TRUE,ISTEXT(L15)),K48+1,0))</f>
        <v/>
      </c>
      <c r="M48" s="1">
        <f>IF(M$5="",0,IF(OR(M15=TRUE,ISTEXT(M15)),L48+1,0))</f>
        <v/>
      </c>
      <c r="N48" s="1">
        <f>IF(N$5="",0,IF(OR(N15=TRUE,ISTEXT(N15)),M48+1,0))</f>
        <v/>
      </c>
      <c r="O48" s="1">
        <f>IF(O$5="",0,IF(OR(O15=TRUE,ISTEXT(O15)),N48+1,0))</f>
        <v/>
      </c>
      <c r="P48" s="1">
        <f>IF(P$5="",0,IF(OR(P15=TRUE,ISTEXT(P15)),O48+1,0))</f>
        <v/>
      </c>
      <c r="Q48" s="1">
        <f>IF(Q$5="",0,IF(OR(Q15=TRUE,ISTEXT(Q15)),P48+1,0))</f>
        <v/>
      </c>
      <c r="R48" s="1">
        <f>IF(R$5="",0,IF(OR(R15=TRUE,ISTEXT(R15)),Q48+1,0))</f>
        <v/>
      </c>
      <c r="S48" s="1">
        <f>IF(S$5="",0,IF(OR(S15=TRUE,ISTEXT(S15)),R48+1,0))</f>
        <v/>
      </c>
      <c r="T48" s="1">
        <f>IF(T$5="",0,IF(OR(T15=TRUE,ISTEXT(T15)),S48+1,0))</f>
        <v/>
      </c>
      <c r="U48" s="1">
        <f>IF(U$5="",0,IF(OR(U15=TRUE,ISTEXT(U15)),T48+1,0))</f>
        <v/>
      </c>
      <c r="V48" s="1">
        <f>IF(V$5="",0,IF(OR(V15=TRUE,ISTEXT(V15)),U48+1,0))</f>
        <v/>
      </c>
      <c r="W48" s="1">
        <f>IF(W$5="",0,IF(OR(W15=TRUE,ISTEXT(W15)),V48+1,0))</f>
        <v/>
      </c>
      <c r="X48" s="1">
        <f>IF(X$5="",0,IF(OR(X15=TRUE,ISTEXT(X15)),W48+1,0))</f>
        <v/>
      </c>
      <c r="Y48" s="1">
        <f>IF(Y$5="",0,IF(OR(Y15=TRUE,ISTEXT(Y15)),X48+1,0))</f>
        <v/>
      </c>
      <c r="Z48" s="1">
        <f>IF(Z$5="",0,IF(OR(Z15=TRUE,ISTEXT(Z15)),Y48+1,0))</f>
        <v/>
      </c>
      <c r="AA48" s="1">
        <f>IF(AA$5="",0,IF(OR(AA15=TRUE,ISTEXT(AA15)),Z48+1,0))</f>
        <v/>
      </c>
      <c r="AB48" s="1">
        <f>IF(AB$5="",0,IF(OR(AB15=TRUE,ISTEXT(AB15)),AA48+1,0))</f>
        <v/>
      </c>
      <c r="AC48" s="1">
        <f>IF(AC$5="",0,IF(OR(AC15=TRUE,ISTEXT(AC15)),AB48+1,0))</f>
        <v/>
      </c>
      <c r="AD48" s="1">
        <f>IF(AD$5="",0,IF(OR(AD15=TRUE,ISTEXT(AD15)),AC48+1,0))</f>
        <v/>
      </c>
      <c r="AE48" s="1">
        <f>IF(AE$5="",0,IF(OR(AE15=TRUE,ISTEXT(AE15)),AD48+1,0))</f>
        <v/>
      </c>
      <c r="AF48" s="1">
        <f>IF(AF$5="",0,IF(OR(AF15=TRUE,ISTEXT(AF15)),AE48+1,0))</f>
        <v/>
      </c>
      <c r="AG48" s="1">
        <f>IF(AG$5="",0,IF(OR(AG15=TRUE,ISTEXT(AG15)),AF48+1,0))</f>
        <v/>
      </c>
      <c r="AH48" s="1" t="n"/>
      <c r="AI48" s="1" t="n"/>
      <c r="AJ48" s="1" t="n"/>
      <c r="AK48" s="1" t="n"/>
      <c r="AL48" s="1" t="n"/>
    </row>
    <row r="49" hidden="1">
      <c r="A49" s="1" t="n"/>
      <c r="B49" s="1">
        <f>B16</f>
        <v/>
      </c>
      <c r="C49" s="1">
        <f>IF(C$5="",0,IF(OR(C16=TRUE,ISTEXT(C16)),IFERROR(INDEX(Aug!$C$49:$AG$49,DAY(EOMONTH(DATE(Habits!$C$4,8,1),0))),0)+1,0))</f>
        <v/>
      </c>
      <c r="D49" s="1">
        <f>IF(D$5="",0,IF(OR(D16=TRUE,ISTEXT(D16)),C49+1,0))</f>
        <v/>
      </c>
      <c r="E49" s="1">
        <f>IF(E$5="",0,IF(OR(E16=TRUE,ISTEXT(E16)),D49+1,0))</f>
        <v/>
      </c>
      <c r="F49" s="1">
        <f>IF(F$5="",0,IF(OR(F16=TRUE,ISTEXT(F16)),E49+1,0))</f>
        <v/>
      </c>
      <c r="G49" s="1">
        <f>IF(G$5="",0,IF(OR(G16=TRUE,ISTEXT(G16)),F49+1,0))</f>
        <v/>
      </c>
      <c r="H49" s="1">
        <f>IF(H$5="",0,IF(OR(H16=TRUE,ISTEXT(H16)),G49+1,0))</f>
        <v/>
      </c>
      <c r="I49" s="1">
        <f>IF(I$5="",0,IF(OR(I16=TRUE,ISTEXT(I16)),H49+1,0))</f>
        <v/>
      </c>
      <c r="J49" s="1">
        <f>IF(J$5="",0,IF(OR(J16=TRUE,ISTEXT(J16)),I49+1,0))</f>
        <v/>
      </c>
      <c r="K49" s="1">
        <f>IF(K$5="",0,IF(OR(K16=TRUE,ISTEXT(K16)),J49+1,0))</f>
        <v/>
      </c>
      <c r="L49" s="1">
        <f>IF(L$5="",0,IF(OR(L16=TRUE,ISTEXT(L16)),K49+1,0))</f>
        <v/>
      </c>
      <c r="M49" s="1">
        <f>IF(M$5="",0,IF(OR(M16=TRUE,ISTEXT(M16)),L49+1,0))</f>
        <v/>
      </c>
      <c r="N49" s="1">
        <f>IF(N$5="",0,IF(OR(N16=TRUE,ISTEXT(N16)),M49+1,0))</f>
        <v/>
      </c>
      <c r="O49" s="1">
        <f>IF(O$5="",0,IF(OR(O16=TRUE,ISTEXT(O16)),N49+1,0))</f>
        <v/>
      </c>
      <c r="P49" s="1">
        <f>IF(P$5="",0,IF(OR(P16=TRUE,ISTEXT(P16)),O49+1,0))</f>
        <v/>
      </c>
      <c r="Q49" s="1">
        <f>IF(Q$5="",0,IF(OR(Q16=TRUE,ISTEXT(Q16)),P49+1,0))</f>
        <v/>
      </c>
      <c r="R49" s="1">
        <f>IF(R$5="",0,IF(OR(R16=TRUE,ISTEXT(R16)),Q49+1,0))</f>
        <v/>
      </c>
      <c r="S49" s="1">
        <f>IF(S$5="",0,IF(OR(S16=TRUE,ISTEXT(S16)),R49+1,0))</f>
        <v/>
      </c>
      <c r="T49" s="1">
        <f>IF(T$5="",0,IF(OR(T16=TRUE,ISTEXT(T16)),S49+1,0))</f>
        <v/>
      </c>
      <c r="U49" s="1">
        <f>IF(U$5="",0,IF(OR(U16=TRUE,ISTEXT(U16)),T49+1,0))</f>
        <v/>
      </c>
      <c r="V49" s="1">
        <f>IF(V$5="",0,IF(OR(V16=TRUE,ISTEXT(V16)),U49+1,0))</f>
        <v/>
      </c>
      <c r="W49" s="1">
        <f>IF(W$5="",0,IF(OR(W16=TRUE,ISTEXT(W16)),V49+1,0))</f>
        <v/>
      </c>
      <c r="X49" s="1">
        <f>IF(X$5="",0,IF(OR(X16=TRUE,ISTEXT(X16)),W49+1,0))</f>
        <v/>
      </c>
      <c r="Y49" s="1">
        <f>IF(Y$5="",0,IF(OR(Y16=TRUE,ISTEXT(Y16)),X49+1,0))</f>
        <v/>
      </c>
      <c r="Z49" s="1">
        <f>IF(Z$5="",0,IF(OR(Z16=TRUE,ISTEXT(Z16)),Y49+1,0))</f>
        <v/>
      </c>
      <c r="AA49" s="1">
        <f>IF(AA$5="",0,IF(OR(AA16=TRUE,ISTEXT(AA16)),Z49+1,0))</f>
        <v/>
      </c>
      <c r="AB49" s="1">
        <f>IF(AB$5="",0,IF(OR(AB16=TRUE,ISTEXT(AB16)),AA49+1,0))</f>
        <v/>
      </c>
      <c r="AC49" s="1">
        <f>IF(AC$5="",0,IF(OR(AC16=TRUE,ISTEXT(AC16)),AB49+1,0))</f>
        <v/>
      </c>
      <c r="AD49" s="1">
        <f>IF(AD$5="",0,IF(OR(AD16=TRUE,ISTEXT(AD16)),AC49+1,0))</f>
        <v/>
      </c>
      <c r="AE49" s="1">
        <f>IF(AE$5="",0,IF(OR(AE16=TRUE,ISTEXT(AE16)),AD49+1,0))</f>
        <v/>
      </c>
      <c r="AF49" s="1">
        <f>IF(AF$5="",0,IF(OR(AF16=TRUE,ISTEXT(AF16)),AE49+1,0))</f>
        <v/>
      </c>
      <c r="AG49" s="1">
        <f>IF(AG$5="",0,IF(OR(AG16=TRUE,ISTEXT(AG16)),AF49+1,0))</f>
        <v/>
      </c>
      <c r="AH49" s="1" t="n"/>
      <c r="AI49" s="1" t="n"/>
      <c r="AJ49" s="1" t="n"/>
      <c r="AK49" s="1" t="n"/>
      <c r="AL49" s="1" t="n"/>
    </row>
    <row r="50" hidden="1">
      <c r="A50" s="1" t="n"/>
      <c r="B50" s="1">
        <f>B17</f>
        <v/>
      </c>
      <c r="C50" s="1">
        <f>IF(C$5="",0,IF(OR(C17=TRUE,ISTEXT(C17)),IFERROR(INDEX(Aug!$C$50:$AG$50,DAY(EOMONTH(DATE(Habits!$C$4,8,1),0))),0)+1,0))</f>
        <v/>
      </c>
      <c r="D50" s="1">
        <f>IF(D$5="",0,IF(OR(D17=TRUE,ISTEXT(D17)),C50+1,0))</f>
        <v/>
      </c>
      <c r="E50" s="1">
        <f>IF(E$5="",0,IF(OR(E17=TRUE,ISTEXT(E17)),D50+1,0))</f>
        <v/>
      </c>
      <c r="F50" s="1">
        <f>IF(F$5="",0,IF(OR(F17=TRUE,ISTEXT(F17)),E50+1,0))</f>
        <v/>
      </c>
      <c r="G50" s="1">
        <f>IF(G$5="",0,IF(OR(G17=TRUE,ISTEXT(G17)),F50+1,0))</f>
        <v/>
      </c>
      <c r="H50" s="1">
        <f>IF(H$5="",0,IF(OR(H17=TRUE,ISTEXT(H17)),G50+1,0))</f>
        <v/>
      </c>
      <c r="I50" s="1">
        <f>IF(I$5="",0,IF(OR(I17=TRUE,ISTEXT(I17)),H50+1,0))</f>
        <v/>
      </c>
      <c r="J50" s="1">
        <f>IF(J$5="",0,IF(OR(J17=TRUE,ISTEXT(J17)),I50+1,0))</f>
        <v/>
      </c>
      <c r="K50" s="1">
        <f>IF(K$5="",0,IF(OR(K17=TRUE,ISTEXT(K17)),J50+1,0))</f>
        <v/>
      </c>
      <c r="L50" s="1">
        <f>IF(L$5="",0,IF(OR(L17=TRUE,ISTEXT(L17)),K50+1,0))</f>
        <v/>
      </c>
      <c r="M50" s="1">
        <f>IF(M$5="",0,IF(OR(M17=TRUE,ISTEXT(M17)),L50+1,0))</f>
        <v/>
      </c>
      <c r="N50" s="1">
        <f>IF(N$5="",0,IF(OR(N17=TRUE,ISTEXT(N17)),M50+1,0))</f>
        <v/>
      </c>
      <c r="O50" s="1">
        <f>IF(O$5="",0,IF(OR(O17=TRUE,ISTEXT(O17)),N50+1,0))</f>
        <v/>
      </c>
      <c r="P50" s="1">
        <f>IF(P$5="",0,IF(OR(P17=TRUE,ISTEXT(P17)),O50+1,0))</f>
        <v/>
      </c>
      <c r="Q50" s="1">
        <f>IF(Q$5="",0,IF(OR(Q17=TRUE,ISTEXT(Q17)),P50+1,0))</f>
        <v/>
      </c>
      <c r="R50" s="1">
        <f>IF(R$5="",0,IF(OR(R17=TRUE,ISTEXT(R17)),Q50+1,0))</f>
        <v/>
      </c>
      <c r="S50" s="1">
        <f>IF(S$5="",0,IF(OR(S17=TRUE,ISTEXT(S17)),R50+1,0))</f>
        <v/>
      </c>
      <c r="T50" s="1">
        <f>IF(T$5="",0,IF(OR(T17=TRUE,ISTEXT(T17)),S50+1,0))</f>
        <v/>
      </c>
      <c r="U50" s="1">
        <f>IF(U$5="",0,IF(OR(U17=TRUE,ISTEXT(U17)),T50+1,0))</f>
        <v/>
      </c>
      <c r="V50" s="1">
        <f>IF(V$5="",0,IF(OR(V17=TRUE,ISTEXT(V17)),U50+1,0))</f>
        <v/>
      </c>
      <c r="W50" s="1">
        <f>IF(W$5="",0,IF(OR(W17=TRUE,ISTEXT(W17)),V50+1,0))</f>
        <v/>
      </c>
      <c r="X50" s="1">
        <f>IF(X$5="",0,IF(OR(X17=TRUE,ISTEXT(X17)),W50+1,0))</f>
        <v/>
      </c>
      <c r="Y50" s="1">
        <f>IF(Y$5="",0,IF(OR(Y17=TRUE,ISTEXT(Y17)),X50+1,0))</f>
        <v/>
      </c>
      <c r="Z50" s="1">
        <f>IF(Z$5="",0,IF(OR(Z17=TRUE,ISTEXT(Z17)),Y50+1,0))</f>
        <v/>
      </c>
      <c r="AA50" s="1">
        <f>IF(AA$5="",0,IF(OR(AA17=TRUE,ISTEXT(AA17)),Z50+1,0))</f>
        <v/>
      </c>
      <c r="AB50" s="1">
        <f>IF(AB$5="",0,IF(OR(AB17=TRUE,ISTEXT(AB17)),AA50+1,0))</f>
        <v/>
      </c>
      <c r="AC50" s="1">
        <f>IF(AC$5="",0,IF(OR(AC17=TRUE,ISTEXT(AC17)),AB50+1,0))</f>
        <v/>
      </c>
      <c r="AD50" s="1">
        <f>IF(AD$5="",0,IF(OR(AD17=TRUE,ISTEXT(AD17)),AC50+1,0))</f>
        <v/>
      </c>
      <c r="AE50" s="1">
        <f>IF(AE$5="",0,IF(OR(AE17=TRUE,ISTEXT(AE17)),AD50+1,0))</f>
        <v/>
      </c>
      <c r="AF50" s="1">
        <f>IF(AF$5="",0,IF(OR(AF17=TRUE,ISTEXT(AF17)),AE50+1,0))</f>
        <v/>
      </c>
      <c r="AG50" s="1">
        <f>IF(AG$5="",0,IF(OR(AG17=TRUE,ISTEXT(AG17)),AF50+1,0))</f>
        <v/>
      </c>
      <c r="AH50" s="1" t="n"/>
      <c r="AI50" s="1" t="n"/>
      <c r="AJ50" s="1" t="n"/>
      <c r="AK50" s="1" t="n"/>
      <c r="AL50" s="1" t="n"/>
    </row>
    <row r="51" hidden="1">
      <c r="A51" s="1" t="n"/>
      <c r="B51" s="1">
        <f>B18</f>
        <v/>
      </c>
      <c r="C51" s="1">
        <f>IF(C$5="",0,IF(OR(C18=TRUE,ISTEXT(C18)),IFERROR(INDEX(Aug!$C$51:$AG$51,DAY(EOMONTH(DATE(Habits!$C$4,8,1),0))),0)+1,0))</f>
        <v/>
      </c>
      <c r="D51" s="1">
        <f>IF(D$5="",0,IF(OR(D18=TRUE,ISTEXT(D18)),C51+1,0))</f>
        <v/>
      </c>
      <c r="E51" s="1">
        <f>IF(E$5="",0,IF(OR(E18=TRUE,ISTEXT(E18)),D51+1,0))</f>
        <v/>
      </c>
      <c r="F51" s="1">
        <f>IF(F$5="",0,IF(OR(F18=TRUE,ISTEXT(F18)),E51+1,0))</f>
        <v/>
      </c>
      <c r="G51" s="1">
        <f>IF(G$5="",0,IF(OR(G18=TRUE,ISTEXT(G18)),F51+1,0))</f>
        <v/>
      </c>
      <c r="H51" s="1">
        <f>IF(H$5="",0,IF(OR(H18=TRUE,ISTEXT(H18)),G51+1,0))</f>
        <v/>
      </c>
      <c r="I51" s="1">
        <f>IF(I$5="",0,IF(OR(I18=TRUE,ISTEXT(I18)),H51+1,0))</f>
        <v/>
      </c>
      <c r="J51" s="1">
        <f>IF(J$5="",0,IF(OR(J18=TRUE,ISTEXT(J18)),I51+1,0))</f>
        <v/>
      </c>
      <c r="K51" s="1">
        <f>IF(K$5="",0,IF(OR(K18=TRUE,ISTEXT(K18)),J51+1,0))</f>
        <v/>
      </c>
      <c r="L51" s="1">
        <f>IF(L$5="",0,IF(OR(L18=TRUE,ISTEXT(L18)),K51+1,0))</f>
        <v/>
      </c>
      <c r="M51" s="1">
        <f>IF(M$5="",0,IF(OR(M18=TRUE,ISTEXT(M18)),L51+1,0))</f>
        <v/>
      </c>
      <c r="N51" s="1">
        <f>IF(N$5="",0,IF(OR(N18=TRUE,ISTEXT(N18)),M51+1,0))</f>
        <v/>
      </c>
      <c r="O51" s="1">
        <f>IF(O$5="",0,IF(OR(O18=TRUE,ISTEXT(O18)),N51+1,0))</f>
        <v/>
      </c>
      <c r="P51" s="1">
        <f>IF(P$5="",0,IF(OR(P18=TRUE,ISTEXT(P18)),O51+1,0))</f>
        <v/>
      </c>
      <c r="Q51" s="1">
        <f>IF(Q$5="",0,IF(OR(Q18=TRUE,ISTEXT(Q18)),P51+1,0))</f>
        <v/>
      </c>
      <c r="R51" s="1">
        <f>IF(R$5="",0,IF(OR(R18=TRUE,ISTEXT(R18)),Q51+1,0))</f>
        <v/>
      </c>
      <c r="S51" s="1">
        <f>IF(S$5="",0,IF(OR(S18=TRUE,ISTEXT(S18)),R51+1,0))</f>
        <v/>
      </c>
      <c r="T51" s="1">
        <f>IF(T$5="",0,IF(OR(T18=TRUE,ISTEXT(T18)),S51+1,0))</f>
        <v/>
      </c>
      <c r="U51" s="1">
        <f>IF(U$5="",0,IF(OR(U18=TRUE,ISTEXT(U18)),T51+1,0))</f>
        <v/>
      </c>
      <c r="V51" s="1">
        <f>IF(V$5="",0,IF(OR(V18=TRUE,ISTEXT(V18)),U51+1,0))</f>
        <v/>
      </c>
      <c r="W51" s="1">
        <f>IF(W$5="",0,IF(OR(W18=TRUE,ISTEXT(W18)),V51+1,0))</f>
        <v/>
      </c>
      <c r="X51" s="1">
        <f>IF(X$5="",0,IF(OR(X18=TRUE,ISTEXT(X18)),W51+1,0))</f>
        <v/>
      </c>
      <c r="Y51" s="1">
        <f>IF(Y$5="",0,IF(OR(Y18=TRUE,ISTEXT(Y18)),X51+1,0))</f>
        <v/>
      </c>
      <c r="Z51" s="1">
        <f>IF(Z$5="",0,IF(OR(Z18=TRUE,ISTEXT(Z18)),Y51+1,0))</f>
        <v/>
      </c>
      <c r="AA51" s="1">
        <f>IF(AA$5="",0,IF(OR(AA18=TRUE,ISTEXT(AA18)),Z51+1,0))</f>
        <v/>
      </c>
      <c r="AB51" s="1">
        <f>IF(AB$5="",0,IF(OR(AB18=TRUE,ISTEXT(AB18)),AA51+1,0))</f>
        <v/>
      </c>
      <c r="AC51" s="1">
        <f>IF(AC$5="",0,IF(OR(AC18=TRUE,ISTEXT(AC18)),AB51+1,0))</f>
        <v/>
      </c>
      <c r="AD51" s="1">
        <f>IF(AD$5="",0,IF(OR(AD18=TRUE,ISTEXT(AD18)),AC51+1,0))</f>
        <v/>
      </c>
      <c r="AE51" s="1">
        <f>IF(AE$5="",0,IF(OR(AE18=TRUE,ISTEXT(AE18)),AD51+1,0))</f>
        <v/>
      </c>
      <c r="AF51" s="1">
        <f>IF(AF$5="",0,IF(OR(AF18=TRUE,ISTEXT(AF18)),AE51+1,0))</f>
        <v/>
      </c>
      <c r="AG51" s="1">
        <f>IF(AG$5="",0,IF(OR(AG18=TRUE,ISTEXT(AG18)),AF51+1,0))</f>
        <v/>
      </c>
      <c r="AH51" s="1" t="n"/>
      <c r="AI51" s="1" t="n"/>
      <c r="AJ51" s="1" t="n"/>
      <c r="AK51" s="1" t="n"/>
      <c r="AL51" s="1" t="n"/>
    </row>
    <row r="52" hidden="1">
      <c r="A52" s="1" t="n"/>
      <c r="B52" s="1">
        <f>B19</f>
        <v/>
      </c>
      <c r="C52" s="1">
        <f>IF(C$5="",0,IF(OR(C19=TRUE,ISTEXT(C19)),IFERROR(INDEX(Aug!$C$52:$AG$52,DAY(EOMONTH(DATE(Habits!$C$4,8,1),0))),0)+1,0))</f>
        <v/>
      </c>
      <c r="D52" s="1">
        <f>IF(D$5="",0,IF(OR(D19=TRUE,ISTEXT(D19)),C52+1,0))</f>
        <v/>
      </c>
      <c r="E52" s="1">
        <f>IF(E$5="",0,IF(OR(E19=TRUE,ISTEXT(E19)),D52+1,0))</f>
        <v/>
      </c>
      <c r="F52" s="1">
        <f>IF(F$5="",0,IF(OR(F19=TRUE,ISTEXT(F19)),E52+1,0))</f>
        <v/>
      </c>
      <c r="G52" s="1">
        <f>IF(G$5="",0,IF(OR(G19=TRUE,ISTEXT(G19)),F52+1,0))</f>
        <v/>
      </c>
      <c r="H52" s="1">
        <f>IF(H$5="",0,IF(OR(H19=TRUE,ISTEXT(H19)),G52+1,0))</f>
        <v/>
      </c>
      <c r="I52" s="1">
        <f>IF(I$5="",0,IF(OR(I19=TRUE,ISTEXT(I19)),H52+1,0))</f>
        <v/>
      </c>
      <c r="J52" s="1">
        <f>IF(J$5="",0,IF(OR(J19=TRUE,ISTEXT(J19)),I52+1,0))</f>
        <v/>
      </c>
      <c r="K52" s="1">
        <f>IF(K$5="",0,IF(OR(K19=TRUE,ISTEXT(K19)),J52+1,0))</f>
        <v/>
      </c>
      <c r="L52" s="1">
        <f>IF(L$5="",0,IF(OR(L19=TRUE,ISTEXT(L19)),K52+1,0))</f>
        <v/>
      </c>
      <c r="M52" s="1">
        <f>IF(M$5="",0,IF(OR(M19=TRUE,ISTEXT(M19)),L52+1,0))</f>
        <v/>
      </c>
      <c r="N52" s="1">
        <f>IF(N$5="",0,IF(OR(N19=TRUE,ISTEXT(N19)),M52+1,0))</f>
        <v/>
      </c>
      <c r="O52" s="1">
        <f>IF(O$5="",0,IF(OR(O19=TRUE,ISTEXT(O19)),N52+1,0))</f>
        <v/>
      </c>
      <c r="P52" s="1">
        <f>IF(P$5="",0,IF(OR(P19=TRUE,ISTEXT(P19)),O52+1,0))</f>
        <v/>
      </c>
      <c r="Q52" s="1">
        <f>IF(Q$5="",0,IF(OR(Q19=TRUE,ISTEXT(Q19)),P52+1,0))</f>
        <v/>
      </c>
      <c r="R52" s="1">
        <f>IF(R$5="",0,IF(OR(R19=TRUE,ISTEXT(R19)),Q52+1,0))</f>
        <v/>
      </c>
      <c r="S52" s="1">
        <f>IF(S$5="",0,IF(OR(S19=TRUE,ISTEXT(S19)),R52+1,0))</f>
        <v/>
      </c>
      <c r="T52" s="1">
        <f>IF(T$5="",0,IF(OR(T19=TRUE,ISTEXT(T19)),S52+1,0))</f>
        <v/>
      </c>
      <c r="U52" s="1">
        <f>IF(U$5="",0,IF(OR(U19=TRUE,ISTEXT(U19)),T52+1,0))</f>
        <v/>
      </c>
      <c r="V52" s="1">
        <f>IF(V$5="",0,IF(OR(V19=TRUE,ISTEXT(V19)),U52+1,0))</f>
        <v/>
      </c>
      <c r="W52" s="1">
        <f>IF(W$5="",0,IF(OR(W19=TRUE,ISTEXT(W19)),V52+1,0))</f>
        <v/>
      </c>
      <c r="X52" s="1">
        <f>IF(X$5="",0,IF(OR(X19=TRUE,ISTEXT(X19)),W52+1,0))</f>
        <v/>
      </c>
      <c r="Y52" s="1">
        <f>IF(Y$5="",0,IF(OR(Y19=TRUE,ISTEXT(Y19)),X52+1,0))</f>
        <v/>
      </c>
      <c r="Z52" s="1">
        <f>IF(Z$5="",0,IF(OR(Z19=TRUE,ISTEXT(Z19)),Y52+1,0))</f>
        <v/>
      </c>
      <c r="AA52" s="1">
        <f>IF(AA$5="",0,IF(OR(AA19=TRUE,ISTEXT(AA19)),Z52+1,0))</f>
        <v/>
      </c>
      <c r="AB52" s="1">
        <f>IF(AB$5="",0,IF(OR(AB19=TRUE,ISTEXT(AB19)),AA52+1,0))</f>
        <v/>
      </c>
      <c r="AC52" s="1">
        <f>IF(AC$5="",0,IF(OR(AC19=TRUE,ISTEXT(AC19)),AB52+1,0))</f>
        <v/>
      </c>
      <c r="AD52" s="1">
        <f>IF(AD$5="",0,IF(OR(AD19=TRUE,ISTEXT(AD19)),AC52+1,0))</f>
        <v/>
      </c>
      <c r="AE52" s="1">
        <f>IF(AE$5="",0,IF(OR(AE19=TRUE,ISTEXT(AE19)),AD52+1,0))</f>
        <v/>
      </c>
      <c r="AF52" s="1">
        <f>IF(AF$5="",0,IF(OR(AF19=TRUE,ISTEXT(AF19)),AE52+1,0))</f>
        <v/>
      </c>
      <c r="AG52" s="1">
        <f>IF(AG$5="",0,IF(OR(AG19=TRUE,ISTEXT(AG19)),AF52+1,0))</f>
        <v/>
      </c>
      <c r="AH52" s="1" t="n"/>
      <c r="AI52" s="1" t="n"/>
      <c r="AJ52" s="1" t="n"/>
      <c r="AK52" s="1" t="n"/>
      <c r="AL52" s="1" t="n"/>
    </row>
    <row r="53" hidden="1">
      <c r="A53" s="1" t="n"/>
      <c r="B53" s="1">
        <f>B20</f>
        <v/>
      </c>
      <c r="C53" s="1">
        <f>IF(C$5="",0,IF(OR(C20=TRUE,ISTEXT(C20)),IFERROR(INDEX(Aug!$C$53:$AG$53,DAY(EOMONTH(DATE(Habits!$C$4,8,1),0))),0)+1,0))</f>
        <v/>
      </c>
      <c r="D53" s="1">
        <f>IF(D$5="",0,IF(OR(D20=TRUE,ISTEXT(D20)),C53+1,0))</f>
        <v/>
      </c>
      <c r="E53" s="1">
        <f>IF(E$5="",0,IF(OR(E20=TRUE,ISTEXT(E20)),D53+1,0))</f>
        <v/>
      </c>
      <c r="F53" s="1">
        <f>IF(F$5="",0,IF(OR(F20=TRUE,ISTEXT(F20)),E53+1,0))</f>
        <v/>
      </c>
      <c r="G53" s="1">
        <f>IF(G$5="",0,IF(OR(G20=TRUE,ISTEXT(G20)),F53+1,0))</f>
        <v/>
      </c>
      <c r="H53" s="1">
        <f>IF(H$5="",0,IF(OR(H20=TRUE,ISTEXT(H20)),G53+1,0))</f>
        <v/>
      </c>
      <c r="I53" s="1">
        <f>IF(I$5="",0,IF(OR(I20=TRUE,ISTEXT(I20)),H53+1,0))</f>
        <v/>
      </c>
      <c r="J53" s="1">
        <f>IF(J$5="",0,IF(OR(J20=TRUE,ISTEXT(J20)),I53+1,0))</f>
        <v/>
      </c>
      <c r="K53" s="1">
        <f>IF(K$5="",0,IF(OR(K20=TRUE,ISTEXT(K20)),J53+1,0))</f>
        <v/>
      </c>
      <c r="L53" s="1">
        <f>IF(L$5="",0,IF(OR(L20=TRUE,ISTEXT(L20)),K53+1,0))</f>
        <v/>
      </c>
      <c r="M53" s="1">
        <f>IF(M$5="",0,IF(OR(M20=TRUE,ISTEXT(M20)),L53+1,0))</f>
        <v/>
      </c>
      <c r="N53" s="1">
        <f>IF(N$5="",0,IF(OR(N20=TRUE,ISTEXT(N20)),M53+1,0))</f>
        <v/>
      </c>
      <c r="O53" s="1">
        <f>IF(O$5="",0,IF(OR(O20=TRUE,ISTEXT(O20)),N53+1,0))</f>
        <v/>
      </c>
      <c r="P53" s="1">
        <f>IF(P$5="",0,IF(OR(P20=TRUE,ISTEXT(P20)),O53+1,0))</f>
        <v/>
      </c>
      <c r="Q53" s="1">
        <f>IF(Q$5="",0,IF(OR(Q20=TRUE,ISTEXT(Q20)),P53+1,0))</f>
        <v/>
      </c>
      <c r="R53" s="1">
        <f>IF(R$5="",0,IF(OR(R20=TRUE,ISTEXT(R20)),Q53+1,0))</f>
        <v/>
      </c>
      <c r="S53" s="1">
        <f>IF(S$5="",0,IF(OR(S20=TRUE,ISTEXT(S20)),R53+1,0))</f>
        <v/>
      </c>
      <c r="T53" s="1">
        <f>IF(T$5="",0,IF(OR(T20=TRUE,ISTEXT(T20)),S53+1,0))</f>
        <v/>
      </c>
      <c r="U53" s="1">
        <f>IF(U$5="",0,IF(OR(U20=TRUE,ISTEXT(U20)),T53+1,0))</f>
        <v/>
      </c>
      <c r="V53" s="1">
        <f>IF(V$5="",0,IF(OR(V20=TRUE,ISTEXT(V20)),U53+1,0))</f>
        <v/>
      </c>
      <c r="W53" s="1">
        <f>IF(W$5="",0,IF(OR(W20=TRUE,ISTEXT(W20)),V53+1,0))</f>
        <v/>
      </c>
      <c r="X53" s="1">
        <f>IF(X$5="",0,IF(OR(X20=TRUE,ISTEXT(X20)),W53+1,0))</f>
        <v/>
      </c>
      <c r="Y53" s="1">
        <f>IF(Y$5="",0,IF(OR(Y20=TRUE,ISTEXT(Y20)),X53+1,0))</f>
        <v/>
      </c>
      <c r="Z53" s="1">
        <f>IF(Z$5="",0,IF(OR(Z20=TRUE,ISTEXT(Z20)),Y53+1,0))</f>
        <v/>
      </c>
      <c r="AA53" s="1">
        <f>IF(AA$5="",0,IF(OR(AA20=TRUE,ISTEXT(AA20)),Z53+1,0))</f>
        <v/>
      </c>
      <c r="AB53" s="1">
        <f>IF(AB$5="",0,IF(OR(AB20=TRUE,ISTEXT(AB20)),AA53+1,0))</f>
        <v/>
      </c>
      <c r="AC53" s="1">
        <f>IF(AC$5="",0,IF(OR(AC20=TRUE,ISTEXT(AC20)),AB53+1,0))</f>
        <v/>
      </c>
      <c r="AD53" s="1">
        <f>IF(AD$5="",0,IF(OR(AD20=TRUE,ISTEXT(AD20)),AC53+1,0))</f>
        <v/>
      </c>
      <c r="AE53" s="1">
        <f>IF(AE$5="",0,IF(OR(AE20=TRUE,ISTEXT(AE20)),AD53+1,0))</f>
        <v/>
      </c>
      <c r="AF53" s="1">
        <f>IF(AF$5="",0,IF(OR(AF20=TRUE,ISTEXT(AF20)),AE53+1,0))</f>
        <v/>
      </c>
      <c r="AG53" s="1">
        <f>IF(AG$5="",0,IF(OR(AG20=TRUE,ISTEXT(AG20)),AF53+1,0))</f>
        <v/>
      </c>
      <c r="AH53" s="1" t="n"/>
      <c r="AI53" s="1" t="n"/>
      <c r="AJ53" s="1" t="n"/>
      <c r="AK53" s="1" t="n"/>
      <c r="AL53" s="1" t="n"/>
    </row>
    <row r="54" hidden="1">
      <c r="A54" s="1" t="n"/>
      <c r="B54" s="1">
        <f>B21</f>
        <v/>
      </c>
      <c r="C54" s="1">
        <f>IF(C$5="",0,IF(OR(C21=TRUE,ISTEXT(C21)),IFERROR(INDEX(Aug!$C$54:$AG$54,DAY(EOMONTH(DATE(Habits!$C$4,8,1),0))),0)+1,0))</f>
        <v/>
      </c>
      <c r="D54" s="1">
        <f>IF(D$5="",0,IF(OR(D21=TRUE,ISTEXT(D21)),C54+1,0))</f>
        <v/>
      </c>
      <c r="E54" s="1">
        <f>IF(E$5="",0,IF(OR(E21=TRUE,ISTEXT(E21)),D54+1,0))</f>
        <v/>
      </c>
      <c r="F54" s="1">
        <f>IF(F$5="",0,IF(OR(F21=TRUE,ISTEXT(F21)),E54+1,0))</f>
        <v/>
      </c>
      <c r="G54" s="1">
        <f>IF(G$5="",0,IF(OR(G21=TRUE,ISTEXT(G21)),F54+1,0))</f>
        <v/>
      </c>
      <c r="H54" s="1">
        <f>IF(H$5="",0,IF(OR(H21=TRUE,ISTEXT(H21)),G54+1,0))</f>
        <v/>
      </c>
      <c r="I54" s="1">
        <f>IF(I$5="",0,IF(OR(I21=TRUE,ISTEXT(I21)),H54+1,0))</f>
        <v/>
      </c>
      <c r="J54" s="1">
        <f>IF(J$5="",0,IF(OR(J21=TRUE,ISTEXT(J21)),I54+1,0))</f>
        <v/>
      </c>
      <c r="K54" s="1">
        <f>IF(K$5="",0,IF(OR(K21=TRUE,ISTEXT(K21)),J54+1,0))</f>
        <v/>
      </c>
      <c r="L54" s="1">
        <f>IF(L$5="",0,IF(OR(L21=TRUE,ISTEXT(L21)),K54+1,0))</f>
        <v/>
      </c>
      <c r="M54" s="1">
        <f>IF(M$5="",0,IF(OR(M21=TRUE,ISTEXT(M21)),L54+1,0))</f>
        <v/>
      </c>
      <c r="N54" s="1">
        <f>IF(N$5="",0,IF(OR(N21=TRUE,ISTEXT(N21)),M54+1,0))</f>
        <v/>
      </c>
      <c r="O54" s="1">
        <f>IF(O$5="",0,IF(OR(O21=TRUE,ISTEXT(O21)),N54+1,0))</f>
        <v/>
      </c>
      <c r="P54" s="1">
        <f>IF(P$5="",0,IF(OR(P21=TRUE,ISTEXT(P21)),O54+1,0))</f>
        <v/>
      </c>
      <c r="Q54" s="1">
        <f>IF(Q$5="",0,IF(OR(Q21=TRUE,ISTEXT(Q21)),P54+1,0))</f>
        <v/>
      </c>
      <c r="R54" s="1">
        <f>IF(R$5="",0,IF(OR(R21=TRUE,ISTEXT(R21)),Q54+1,0))</f>
        <v/>
      </c>
      <c r="S54" s="1">
        <f>IF(S$5="",0,IF(OR(S21=TRUE,ISTEXT(S21)),R54+1,0))</f>
        <v/>
      </c>
      <c r="T54" s="1">
        <f>IF(T$5="",0,IF(OR(T21=TRUE,ISTEXT(T21)),S54+1,0))</f>
        <v/>
      </c>
      <c r="U54" s="1">
        <f>IF(U$5="",0,IF(OR(U21=TRUE,ISTEXT(U21)),T54+1,0))</f>
        <v/>
      </c>
      <c r="V54" s="1">
        <f>IF(V$5="",0,IF(OR(V21=TRUE,ISTEXT(V21)),U54+1,0))</f>
        <v/>
      </c>
      <c r="W54" s="1">
        <f>IF(W$5="",0,IF(OR(W21=TRUE,ISTEXT(W21)),V54+1,0))</f>
        <v/>
      </c>
      <c r="X54" s="1">
        <f>IF(X$5="",0,IF(OR(X21=TRUE,ISTEXT(X21)),W54+1,0))</f>
        <v/>
      </c>
      <c r="Y54" s="1">
        <f>IF(Y$5="",0,IF(OR(Y21=TRUE,ISTEXT(Y21)),X54+1,0))</f>
        <v/>
      </c>
      <c r="Z54" s="1">
        <f>IF(Z$5="",0,IF(OR(Z21=TRUE,ISTEXT(Z21)),Y54+1,0))</f>
        <v/>
      </c>
      <c r="AA54" s="1">
        <f>IF(AA$5="",0,IF(OR(AA21=TRUE,ISTEXT(AA21)),Z54+1,0))</f>
        <v/>
      </c>
      <c r="AB54" s="1">
        <f>IF(AB$5="",0,IF(OR(AB21=TRUE,ISTEXT(AB21)),AA54+1,0))</f>
        <v/>
      </c>
      <c r="AC54" s="1">
        <f>IF(AC$5="",0,IF(OR(AC21=TRUE,ISTEXT(AC21)),AB54+1,0))</f>
        <v/>
      </c>
      <c r="AD54" s="1">
        <f>IF(AD$5="",0,IF(OR(AD21=TRUE,ISTEXT(AD21)),AC54+1,0))</f>
        <v/>
      </c>
      <c r="AE54" s="1">
        <f>IF(AE$5="",0,IF(OR(AE21=TRUE,ISTEXT(AE21)),AD54+1,0))</f>
        <v/>
      </c>
      <c r="AF54" s="1">
        <f>IF(AF$5="",0,IF(OR(AF21=TRUE,ISTEXT(AF21)),AE54+1,0))</f>
        <v/>
      </c>
      <c r="AG54" s="1">
        <f>IF(AG$5="",0,IF(OR(AG21=TRUE,ISTEXT(AG21)),AF54+1,0))</f>
        <v/>
      </c>
      <c r="AH54" s="1" t="n"/>
      <c r="AI54" s="1" t="n"/>
      <c r="AJ54" s="1" t="n"/>
      <c r="AK54" s="1" t="n"/>
      <c r="A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</sheetData>
  <mergeCells count="2">
    <mergeCell ref="AH24:AI24"/>
    <mergeCell ref="AH23:AI23"/>
  </mergeCells>
  <conditionalFormatting sqref="C7:AG24">
    <cfRule type="expression" priority="1" dxfId="12">
      <formula>C$5=""</formula>
    </cfRule>
  </conditionalFormatting>
  <conditionalFormatting sqref="C7:AG21">
    <cfRule type="expression" priority="2" dxfId="13">
      <formula>AND($B7&lt;&gt;"",OR(C7=TRUE,ISTEXT(C7)))</formula>
    </cfRule>
    <cfRule type="expression" priority="3" dxfId="14">
      <formula>$B7=""</formula>
    </cfRule>
  </conditionalFormatting>
  <conditionalFormatting sqref="C23:AG23">
    <cfRule type="expression" priority="4" dxfId="1">
      <formula>C23=5</formula>
    </cfRule>
    <cfRule type="expression" priority="5" dxfId="2">
      <formula>C23=4</formula>
    </cfRule>
    <cfRule type="expression" priority="6" dxfId="3">
      <formula>C23=3</formula>
    </cfRule>
    <cfRule type="expression" priority="7" dxfId="4">
      <formula>C23=2</formula>
    </cfRule>
    <cfRule type="expression" priority="8" dxfId="5">
      <formula>C23=1</formula>
    </cfRule>
  </conditionalFormatting>
  <conditionalFormatting sqref="C5:AG5">
    <cfRule type="expression" priority="9" dxfId="15">
      <formula>AND(C$5&lt;&gt;"",DATE(Habits!$C$4,9,C$5)=TODAY())</formula>
    </cfRule>
  </conditionalFormatting>
  <conditionalFormatting sqref="AI7:AI21">
    <cfRule type="colorScale" priority="10">
      <colorScale>
        <cfvo type="num" val="0"/>
        <cfvo type="num" val="1"/>
        <color rgb="00FFFFFF"/>
        <color rgb="008CC5A8"/>
      </colorScale>
    </cfRule>
  </conditionalFormatting>
  <dataValidations count="1">
    <dataValidation sqref="C23:AG2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L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7" customWidth="1" min="34" max="34"/>
    <col width="7" customWidth="1" min="35" max="35"/>
    <col width="8" customWidth="1" min="36" max="36"/>
    <col width="8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>
        <f>"October "&amp;Habits!$C$4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Type x on each day you did a habit. Mood from 1 to 5, sleep in hours.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30" customHeight="1">
      <c r="A5" s="1" t="n"/>
      <c r="B5" s="28" t="inlineStr">
        <is>
          <t>Habit</t>
        </is>
      </c>
      <c r="C5" s="29">
        <f>IF(1&lt;=DAY(EOMONTH(DATE(Habits!$C$4,10,1),0)),1,"")</f>
        <v/>
      </c>
      <c r="D5" s="29">
        <f>IF(2&lt;=DAY(EOMONTH(DATE(Habits!$C$4,10,1),0)),2,"")</f>
        <v/>
      </c>
      <c r="E5" s="29">
        <f>IF(3&lt;=DAY(EOMONTH(DATE(Habits!$C$4,10,1),0)),3,"")</f>
        <v/>
      </c>
      <c r="F5" s="29">
        <f>IF(4&lt;=DAY(EOMONTH(DATE(Habits!$C$4,10,1),0)),4,"")</f>
        <v/>
      </c>
      <c r="G5" s="29">
        <f>IF(5&lt;=DAY(EOMONTH(DATE(Habits!$C$4,10,1),0)),5,"")</f>
        <v/>
      </c>
      <c r="H5" s="29">
        <f>IF(6&lt;=DAY(EOMONTH(DATE(Habits!$C$4,10,1),0)),6,"")</f>
        <v/>
      </c>
      <c r="I5" s="29">
        <f>IF(7&lt;=DAY(EOMONTH(DATE(Habits!$C$4,10,1),0)),7,"")</f>
        <v/>
      </c>
      <c r="J5" s="29">
        <f>IF(8&lt;=DAY(EOMONTH(DATE(Habits!$C$4,10,1),0)),8,"")</f>
        <v/>
      </c>
      <c r="K5" s="29">
        <f>IF(9&lt;=DAY(EOMONTH(DATE(Habits!$C$4,10,1),0)),9,"")</f>
        <v/>
      </c>
      <c r="L5" s="29">
        <f>IF(10&lt;=DAY(EOMONTH(DATE(Habits!$C$4,10,1),0)),10,"")</f>
        <v/>
      </c>
      <c r="M5" s="29">
        <f>IF(11&lt;=DAY(EOMONTH(DATE(Habits!$C$4,10,1),0)),11,"")</f>
        <v/>
      </c>
      <c r="N5" s="29">
        <f>IF(12&lt;=DAY(EOMONTH(DATE(Habits!$C$4,10,1),0)),12,"")</f>
        <v/>
      </c>
      <c r="O5" s="29">
        <f>IF(13&lt;=DAY(EOMONTH(DATE(Habits!$C$4,10,1),0)),13,"")</f>
        <v/>
      </c>
      <c r="P5" s="29">
        <f>IF(14&lt;=DAY(EOMONTH(DATE(Habits!$C$4,10,1),0)),14,"")</f>
        <v/>
      </c>
      <c r="Q5" s="29">
        <f>IF(15&lt;=DAY(EOMONTH(DATE(Habits!$C$4,10,1),0)),15,"")</f>
        <v/>
      </c>
      <c r="R5" s="29">
        <f>IF(16&lt;=DAY(EOMONTH(DATE(Habits!$C$4,10,1),0)),16,"")</f>
        <v/>
      </c>
      <c r="S5" s="29">
        <f>IF(17&lt;=DAY(EOMONTH(DATE(Habits!$C$4,10,1),0)),17,"")</f>
        <v/>
      </c>
      <c r="T5" s="29">
        <f>IF(18&lt;=DAY(EOMONTH(DATE(Habits!$C$4,10,1),0)),18,"")</f>
        <v/>
      </c>
      <c r="U5" s="29">
        <f>IF(19&lt;=DAY(EOMONTH(DATE(Habits!$C$4,10,1),0)),19,"")</f>
        <v/>
      </c>
      <c r="V5" s="29">
        <f>IF(20&lt;=DAY(EOMONTH(DATE(Habits!$C$4,10,1),0)),20,"")</f>
        <v/>
      </c>
      <c r="W5" s="29">
        <f>IF(21&lt;=DAY(EOMONTH(DATE(Habits!$C$4,10,1),0)),21,"")</f>
        <v/>
      </c>
      <c r="X5" s="29">
        <f>IF(22&lt;=DAY(EOMONTH(DATE(Habits!$C$4,10,1),0)),22,"")</f>
        <v/>
      </c>
      <c r="Y5" s="29">
        <f>IF(23&lt;=DAY(EOMONTH(DATE(Habits!$C$4,10,1),0)),23,"")</f>
        <v/>
      </c>
      <c r="Z5" s="29">
        <f>IF(24&lt;=DAY(EOMONTH(DATE(Habits!$C$4,10,1),0)),24,"")</f>
        <v/>
      </c>
      <c r="AA5" s="29">
        <f>IF(25&lt;=DAY(EOMONTH(DATE(Habits!$C$4,10,1),0)),25,"")</f>
        <v/>
      </c>
      <c r="AB5" s="29">
        <f>IF(26&lt;=DAY(EOMONTH(DATE(Habits!$C$4,10,1),0)),26,"")</f>
        <v/>
      </c>
      <c r="AC5" s="29">
        <f>IF(27&lt;=DAY(EOMONTH(DATE(Habits!$C$4,10,1),0)),27,"")</f>
        <v/>
      </c>
      <c r="AD5" s="29">
        <f>IF(28&lt;=DAY(EOMONTH(DATE(Habits!$C$4,10,1),0)),28,"")</f>
        <v/>
      </c>
      <c r="AE5" s="29">
        <f>IF(29&lt;=DAY(EOMONTH(DATE(Habits!$C$4,10,1),0)),29,"")</f>
        <v/>
      </c>
      <c r="AF5" s="29">
        <f>IF(30&lt;=DAY(EOMONTH(DATE(Habits!$C$4,10,1),0)),30,"")</f>
        <v/>
      </c>
      <c r="AG5" s="29">
        <f>IF(31&lt;=DAY(EOMONTH(DATE(Habits!$C$4,10,1),0)),31,"")</f>
        <v/>
      </c>
      <c r="AH5" s="30" t="inlineStr">
        <is>
          <t>Done</t>
        </is>
      </c>
      <c r="AI5" s="30" t="inlineStr">
        <is>
          <t>Share</t>
        </is>
      </c>
      <c r="AJ5" s="30" t="inlineStr">
        <is>
          <t>Streak now</t>
        </is>
      </c>
      <c r="AK5" s="30" t="inlineStr">
        <is>
          <t>Best streak</t>
        </is>
      </c>
      <c r="AL5" s="1" t="n"/>
    </row>
    <row r="6">
      <c r="A6" s="1" t="n"/>
      <c r="B6" s="1" t="n"/>
      <c r="C6" s="31">
        <f>IF(C$5="","",CHOOSE(WEEKDAY(DATE(Habits!$C$4,10,1),2),"M","T","W","T","F","S","S"))</f>
        <v/>
      </c>
      <c r="D6" s="31">
        <f>IF(D$5="","",CHOOSE(WEEKDAY(DATE(Habits!$C$4,10,2),2),"M","T","W","T","F","S","S"))</f>
        <v/>
      </c>
      <c r="E6" s="31">
        <f>IF(E$5="","",CHOOSE(WEEKDAY(DATE(Habits!$C$4,10,3),2),"M","T","W","T","F","S","S"))</f>
        <v/>
      </c>
      <c r="F6" s="31">
        <f>IF(F$5="","",CHOOSE(WEEKDAY(DATE(Habits!$C$4,10,4),2),"M","T","W","T","F","S","S"))</f>
        <v/>
      </c>
      <c r="G6" s="31">
        <f>IF(G$5="","",CHOOSE(WEEKDAY(DATE(Habits!$C$4,10,5),2),"M","T","W","T","F","S","S"))</f>
        <v/>
      </c>
      <c r="H6" s="31">
        <f>IF(H$5="","",CHOOSE(WEEKDAY(DATE(Habits!$C$4,10,6),2),"M","T","W","T","F","S","S"))</f>
        <v/>
      </c>
      <c r="I6" s="31">
        <f>IF(I$5="","",CHOOSE(WEEKDAY(DATE(Habits!$C$4,10,7),2),"M","T","W","T","F","S","S"))</f>
        <v/>
      </c>
      <c r="J6" s="31">
        <f>IF(J$5="","",CHOOSE(WEEKDAY(DATE(Habits!$C$4,10,8),2),"M","T","W","T","F","S","S"))</f>
        <v/>
      </c>
      <c r="K6" s="31">
        <f>IF(K$5="","",CHOOSE(WEEKDAY(DATE(Habits!$C$4,10,9),2),"M","T","W","T","F","S","S"))</f>
        <v/>
      </c>
      <c r="L6" s="31">
        <f>IF(L$5="","",CHOOSE(WEEKDAY(DATE(Habits!$C$4,10,10),2),"M","T","W","T","F","S","S"))</f>
        <v/>
      </c>
      <c r="M6" s="31">
        <f>IF(M$5="","",CHOOSE(WEEKDAY(DATE(Habits!$C$4,10,11),2),"M","T","W","T","F","S","S"))</f>
        <v/>
      </c>
      <c r="N6" s="31">
        <f>IF(N$5="","",CHOOSE(WEEKDAY(DATE(Habits!$C$4,10,12),2),"M","T","W","T","F","S","S"))</f>
        <v/>
      </c>
      <c r="O6" s="31">
        <f>IF(O$5="","",CHOOSE(WEEKDAY(DATE(Habits!$C$4,10,13),2),"M","T","W","T","F","S","S"))</f>
        <v/>
      </c>
      <c r="P6" s="31">
        <f>IF(P$5="","",CHOOSE(WEEKDAY(DATE(Habits!$C$4,10,14),2),"M","T","W","T","F","S","S"))</f>
        <v/>
      </c>
      <c r="Q6" s="31">
        <f>IF(Q$5="","",CHOOSE(WEEKDAY(DATE(Habits!$C$4,10,15),2),"M","T","W","T","F","S","S"))</f>
        <v/>
      </c>
      <c r="R6" s="31">
        <f>IF(R$5="","",CHOOSE(WEEKDAY(DATE(Habits!$C$4,10,16),2),"M","T","W","T","F","S","S"))</f>
        <v/>
      </c>
      <c r="S6" s="31">
        <f>IF(S$5="","",CHOOSE(WEEKDAY(DATE(Habits!$C$4,10,17),2),"M","T","W","T","F","S","S"))</f>
        <v/>
      </c>
      <c r="T6" s="31">
        <f>IF(T$5="","",CHOOSE(WEEKDAY(DATE(Habits!$C$4,10,18),2),"M","T","W","T","F","S","S"))</f>
        <v/>
      </c>
      <c r="U6" s="31">
        <f>IF(U$5="","",CHOOSE(WEEKDAY(DATE(Habits!$C$4,10,19),2),"M","T","W","T","F","S","S"))</f>
        <v/>
      </c>
      <c r="V6" s="31">
        <f>IF(V$5="","",CHOOSE(WEEKDAY(DATE(Habits!$C$4,10,20),2),"M","T","W","T","F","S","S"))</f>
        <v/>
      </c>
      <c r="W6" s="31">
        <f>IF(W$5="","",CHOOSE(WEEKDAY(DATE(Habits!$C$4,10,21),2),"M","T","W","T","F","S","S"))</f>
        <v/>
      </c>
      <c r="X6" s="31">
        <f>IF(X$5="","",CHOOSE(WEEKDAY(DATE(Habits!$C$4,10,22),2),"M","T","W","T","F","S","S"))</f>
        <v/>
      </c>
      <c r="Y6" s="31">
        <f>IF(Y$5="","",CHOOSE(WEEKDAY(DATE(Habits!$C$4,10,23),2),"M","T","W","T","F","S","S"))</f>
        <v/>
      </c>
      <c r="Z6" s="31">
        <f>IF(Z$5="","",CHOOSE(WEEKDAY(DATE(Habits!$C$4,10,24),2),"M","T","W","T","F","S","S"))</f>
        <v/>
      </c>
      <c r="AA6" s="31">
        <f>IF(AA$5="","",CHOOSE(WEEKDAY(DATE(Habits!$C$4,10,25),2),"M","T","W","T","F","S","S"))</f>
        <v/>
      </c>
      <c r="AB6" s="31">
        <f>IF(AB$5="","",CHOOSE(WEEKDAY(DATE(Habits!$C$4,10,26),2),"M","T","W","T","F","S","S"))</f>
        <v/>
      </c>
      <c r="AC6" s="31">
        <f>IF(AC$5="","",CHOOSE(WEEKDAY(DATE(Habits!$C$4,10,27),2),"M","T","W","T","F","S","S"))</f>
        <v/>
      </c>
      <c r="AD6" s="31">
        <f>IF(AD$5="","",CHOOSE(WEEKDAY(DATE(Habits!$C$4,10,28),2),"M","T","W","T","F","S","S"))</f>
        <v/>
      </c>
      <c r="AE6" s="31">
        <f>IF(AE$5="","",CHOOSE(WEEKDAY(DATE(Habits!$C$4,10,29),2),"M","T","W","T","F","S","S"))</f>
        <v/>
      </c>
      <c r="AF6" s="31">
        <f>IF(AF$5="","",CHOOSE(WEEKDAY(DATE(Habits!$C$4,10,30),2),"M","T","W","T","F","S","S"))</f>
        <v/>
      </c>
      <c r="AG6" s="31">
        <f>IF(AG$5="","",CHOOSE(WEEKDAY(DATE(Habits!$C$4,10,31),2),"M","T","W","T","F","S","S"))</f>
        <v/>
      </c>
      <c r="AH6" s="1" t="n"/>
      <c r="AI6" s="1" t="n"/>
      <c r="AJ6" s="1" t="n"/>
      <c r="AK6" s="1" t="n"/>
      <c r="AL6" s="1" t="n"/>
    </row>
    <row r="7">
      <c r="A7" s="1" t="n"/>
      <c r="B7" s="32">
        <f>IF(Habits!B8="","",Habits!B8)</f>
        <v/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  <c r="Y7" s="33" t="n"/>
      <c r="Z7" s="33" t="n"/>
      <c r="AA7" s="33" t="n"/>
      <c r="AB7" s="33" t="n"/>
      <c r="AC7" s="33" t="n"/>
      <c r="AD7" s="33" t="n"/>
      <c r="AE7" s="33" t="n"/>
      <c r="AF7" s="33" t="n"/>
      <c r="AG7" s="33" t="n"/>
      <c r="AH7" s="13">
        <f>IF(B7="","",COUNTIF($C40:$AG40,"&gt;0"))</f>
        <v/>
      </c>
      <c r="AI7" s="14">
        <f>IF(OR(B7="",IF(AND(Habits!$C$4=YEAR(TODAY()),10=MONTH(TODAY())),DAY(TODAY()),IF(DATE(Habits!$C$4,10,1)&gt;TODAY(),0,DAY(EOMONTH(DATE(Habits!$C$4,10,1),0))))=0),"",MIN(1,(COUNTIF($C40:$AG40,"&gt;0"))/IF(AND(Habits!$C$4=YEAR(TODAY()),10=MONTH(TODAY())),DAY(TODAY()),IF(DATE(Habits!$C$4,10,1)&gt;TODAY(),0,DAY(EOMONTH(DATE(Habits!$C$4,10,1),0))))))</f>
        <v/>
      </c>
      <c r="AJ7" s="16">
        <f>IF(B7="","",IF(AND(Habits!$C$4=YEAR(TODAY()),10=MONTH(TODAY())),IF(INDEX($C40:$AG40,DAY(TODAY()))&gt;0,INDEX($C40:$AG40,DAY(TODAY())),IF(DAY(TODAY())=1,IFERROR(INDEX(Sep!$C$40:$AG$40,DAY(EOMONTH(DATE(Habits!$C$4,9,1),0))),0),INDEX($C40:$AG40,DAY(TODAY())-1))),IF(DATE(Habits!$C$4,10,1)&gt;TODAY(),"",INDEX($C40:$AG40,DAY(EOMONTH(DATE(Habits!$C$4,10,1),0))))))</f>
        <v/>
      </c>
      <c r="AK7" s="13">
        <f>IF(B7="","",MAX($C40:$AG40))</f>
        <v/>
      </c>
      <c r="AL7" s="1" t="n"/>
    </row>
    <row r="8">
      <c r="A8" s="1" t="n"/>
      <c r="B8" s="32">
        <f>IF(Habits!B9="","",Habits!B9)</f>
        <v/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3" t="n"/>
      <c r="AG8" s="33" t="n"/>
      <c r="AH8" s="13">
        <f>IF(B8="","",COUNTIF($C41:$AG41,"&gt;0"))</f>
        <v/>
      </c>
      <c r="AI8" s="14">
        <f>IF(OR(B8="",IF(AND(Habits!$C$4=YEAR(TODAY()),10=MONTH(TODAY())),DAY(TODAY()),IF(DATE(Habits!$C$4,10,1)&gt;TODAY(),0,DAY(EOMONTH(DATE(Habits!$C$4,10,1),0))))=0),"",MIN(1,(COUNTIF($C41:$AG41,"&gt;0"))/IF(AND(Habits!$C$4=YEAR(TODAY()),10=MONTH(TODAY())),DAY(TODAY()),IF(DATE(Habits!$C$4,10,1)&gt;TODAY(),0,DAY(EOMONTH(DATE(Habits!$C$4,10,1),0))))))</f>
        <v/>
      </c>
      <c r="AJ8" s="16">
        <f>IF(B8="","",IF(AND(Habits!$C$4=YEAR(TODAY()),10=MONTH(TODAY())),IF(INDEX($C41:$AG41,DAY(TODAY()))&gt;0,INDEX($C41:$AG41,DAY(TODAY())),IF(DAY(TODAY())=1,IFERROR(INDEX(Sep!$C$41:$AG$41,DAY(EOMONTH(DATE(Habits!$C$4,9,1),0))),0),INDEX($C41:$AG41,DAY(TODAY())-1))),IF(DATE(Habits!$C$4,10,1)&gt;TODAY(),"",INDEX($C41:$AG41,DAY(EOMONTH(DATE(Habits!$C$4,10,1),0))))))</f>
        <v/>
      </c>
      <c r="AK8" s="13">
        <f>IF(B8="","",MAX($C41:$AG41))</f>
        <v/>
      </c>
      <c r="AL8" s="1" t="n"/>
    </row>
    <row r="9">
      <c r="A9" s="1" t="n"/>
      <c r="B9" s="32">
        <f>IF(Habits!B10="","",Habits!B10)</f>
        <v/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H9" s="13">
        <f>IF(B9="","",COUNTIF($C42:$AG42,"&gt;0"))</f>
        <v/>
      </c>
      <c r="AI9" s="14">
        <f>IF(OR(B9="",IF(AND(Habits!$C$4=YEAR(TODAY()),10=MONTH(TODAY())),DAY(TODAY()),IF(DATE(Habits!$C$4,10,1)&gt;TODAY(),0,DAY(EOMONTH(DATE(Habits!$C$4,10,1),0))))=0),"",MIN(1,(COUNTIF($C42:$AG42,"&gt;0"))/IF(AND(Habits!$C$4=YEAR(TODAY()),10=MONTH(TODAY())),DAY(TODAY()),IF(DATE(Habits!$C$4,10,1)&gt;TODAY(),0,DAY(EOMONTH(DATE(Habits!$C$4,10,1),0))))))</f>
        <v/>
      </c>
      <c r="AJ9" s="16">
        <f>IF(B9="","",IF(AND(Habits!$C$4=YEAR(TODAY()),10=MONTH(TODAY())),IF(INDEX($C42:$AG42,DAY(TODAY()))&gt;0,INDEX($C42:$AG42,DAY(TODAY())),IF(DAY(TODAY())=1,IFERROR(INDEX(Sep!$C$42:$AG$42,DAY(EOMONTH(DATE(Habits!$C$4,9,1),0))),0),INDEX($C42:$AG42,DAY(TODAY())-1))),IF(DATE(Habits!$C$4,10,1)&gt;TODAY(),"",INDEX($C42:$AG42,DAY(EOMONTH(DATE(Habits!$C$4,10,1),0))))))</f>
        <v/>
      </c>
      <c r="AK9" s="13">
        <f>IF(B9="","",MAX($C42:$AG42))</f>
        <v/>
      </c>
      <c r="AL9" s="1" t="n"/>
    </row>
    <row r="10">
      <c r="A10" s="1" t="n"/>
      <c r="B10" s="32">
        <f>IF(Habits!B11="","",Habits!B11)</f>
        <v/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3" t="n"/>
      <c r="AG10" s="33" t="n"/>
      <c r="AH10" s="13">
        <f>IF(B10="","",COUNTIF($C43:$AG43,"&gt;0"))</f>
        <v/>
      </c>
      <c r="AI10" s="14">
        <f>IF(OR(B10="",IF(AND(Habits!$C$4=YEAR(TODAY()),10=MONTH(TODAY())),DAY(TODAY()),IF(DATE(Habits!$C$4,10,1)&gt;TODAY(),0,DAY(EOMONTH(DATE(Habits!$C$4,10,1),0))))=0),"",MIN(1,(COUNTIF($C43:$AG43,"&gt;0"))/IF(AND(Habits!$C$4=YEAR(TODAY()),10=MONTH(TODAY())),DAY(TODAY()),IF(DATE(Habits!$C$4,10,1)&gt;TODAY(),0,DAY(EOMONTH(DATE(Habits!$C$4,10,1),0))))))</f>
        <v/>
      </c>
      <c r="AJ10" s="16">
        <f>IF(B10="","",IF(AND(Habits!$C$4=YEAR(TODAY()),10=MONTH(TODAY())),IF(INDEX($C43:$AG43,DAY(TODAY()))&gt;0,INDEX($C43:$AG43,DAY(TODAY())),IF(DAY(TODAY())=1,IFERROR(INDEX(Sep!$C$43:$AG$43,DAY(EOMONTH(DATE(Habits!$C$4,9,1),0))),0),INDEX($C43:$AG43,DAY(TODAY())-1))),IF(DATE(Habits!$C$4,10,1)&gt;TODAY(),"",INDEX($C43:$AG43,DAY(EOMONTH(DATE(Habits!$C$4,10,1),0))))))</f>
        <v/>
      </c>
      <c r="AK10" s="13">
        <f>IF(B10="","",MAX($C43:$AG43))</f>
        <v/>
      </c>
      <c r="AL10" s="1" t="n"/>
    </row>
    <row r="11">
      <c r="A11" s="1" t="n"/>
      <c r="B11" s="32">
        <f>IF(Habits!B12="","",Habits!B12)</f>
        <v/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3" t="n"/>
      <c r="AH11" s="13">
        <f>IF(B11="","",COUNTIF($C44:$AG44,"&gt;0"))</f>
        <v/>
      </c>
      <c r="AI11" s="14">
        <f>IF(OR(B11="",IF(AND(Habits!$C$4=YEAR(TODAY()),10=MONTH(TODAY())),DAY(TODAY()),IF(DATE(Habits!$C$4,10,1)&gt;TODAY(),0,DAY(EOMONTH(DATE(Habits!$C$4,10,1),0))))=0),"",MIN(1,(COUNTIF($C44:$AG44,"&gt;0"))/IF(AND(Habits!$C$4=YEAR(TODAY()),10=MONTH(TODAY())),DAY(TODAY()),IF(DATE(Habits!$C$4,10,1)&gt;TODAY(),0,DAY(EOMONTH(DATE(Habits!$C$4,10,1),0))))))</f>
        <v/>
      </c>
      <c r="AJ11" s="16">
        <f>IF(B11="","",IF(AND(Habits!$C$4=YEAR(TODAY()),10=MONTH(TODAY())),IF(INDEX($C44:$AG44,DAY(TODAY()))&gt;0,INDEX($C44:$AG44,DAY(TODAY())),IF(DAY(TODAY())=1,IFERROR(INDEX(Sep!$C$44:$AG$44,DAY(EOMONTH(DATE(Habits!$C$4,9,1),0))),0),INDEX($C44:$AG44,DAY(TODAY())-1))),IF(DATE(Habits!$C$4,10,1)&gt;TODAY(),"",INDEX($C44:$AG44,DAY(EOMONTH(DATE(Habits!$C$4,10,1),0))))))</f>
        <v/>
      </c>
      <c r="AK11" s="13">
        <f>IF(B11="","",MAX($C44:$AG44))</f>
        <v/>
      </c>
      <c r="AL11" s="1" t="n"/>
    </row>
    <row r="12">
      <c r="A12" s="1" t="n"/>
      <c r="B12" s="32">
        <f>IF(Habits!B13="","",Habits!B13)</f>
        <v/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13">
        <f>IF(B12="","",COUNTIF($C45:$AG45,"&gt;0"))</f>
        <v/>
      </c>
      <c r="AI12" s="14">
        <f>IF(OR(B12="",IF(AND(Habits!$C$4=YEAR(TODAY()),10=MONTH(TODAY())),DAY(TODAY()),IF(DATE(Habits!$C$4,10,1)&gt;TODAY(),0,DAY(EOMONTH(DATE(Habits!$C$4,10,1),0))))=0),"",MIN(1,(COUNTIF($C45:$AG45,"&gt;0"))/IF(AND(Habits!$C$4=YEAR(TODAY()),10=MONTH(TODAY())),DAY(TODAY()),IF(DATE(Habits!$C$4,10,1)&gt;TODAY(),0,DAY(EOMONTH(DATE(Habits!$C$4,10,1),0))))))</f>
        <v/>
      </c>
      <c r="AJ12" s="16">
        <f>IF(B12="","",IF(AND(Habits!$C$4=YEAR(TODAY()),10=MONTH(TODAY())),IF(INDEX($C45:$AG45,DAY(TODAY()))&gt;0,INDEX($C45:$AG45,DAY(TODAY())),IF(DAY(TODAY())=1,IFERROR(INDEX(Sep!$C$45:$AG$45,DAY(EOMONTH(DATE(Habits!$C$4,9,1),0))),0),INDEX($C45:$AG45,DAY(TODAY())-1))),IF(DATE(Habits!$C$4,10,1)&gt;TODAY(),"",INDEX($C45:$AG45,DAY(EOMONTH(DATE(Habits!$C$4,10,1),0))))))</f>
        <v/>
      </c>
      <c r="AK12" s="13">
        <f>IF(B12="","",MAX($C45:$AG45))</f>
        <v/>
      </c>
      <c r="AL12" s="1" t="n"/>
    </row>
    <row r="13">
      <c r="A13" s="1" t="n"/>
      <c r="B13" s="32">
        <f>IF(Habits!B14="","",Habits!B14)</f>
        <v/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33" t="n"/>
      <c r="AC13" s="33" t="n"/>
      <c r="AD13" s="33" t="n"/>
      <c r="AE13" s="33" t="n"/>
      <c r="AF13" s="33" t="n"/>
      <c r="AG13" s="33" t="n"/>
      <c r="AH13" s="13">
        <f>IF(B13="","",COUNTIF($C46:$AG46,"&gt;0"))</f>
        <v/>
      </c>
      <c r="AI13" s="14">
        <f>IF(OR(B13="",IF(AND(Habits!$C$4=YEAR(TODAY()),10=MONTH(TODAY())),DAY(TODAY()),IF(DATE(Habits!$C$4,10,1)&gt;TODAY(),0,DAY(EOMONTH(DATE(Habits!$C$4,10,1),0))))=0),"",MIN(1,(COUNTIF($C46:$AG46,"&gt;0"))/IF(AND(Habits!$C$4=YEAR(TODAY()),10=MONTH(TODAY())),DAY(TODAY()),IF(DATE(Habits!$C$4,10,1)&gt;TODAY(),0,DAY(EOMONTH(DATE(Habits!$C$4,10,1),0))))))</f>
        <v/>
      </c>
      <c r="AJ13" s="16">
        <f>IF(B13="","",IF(AND(Habits!$C$4=YEAR(TODAY()),10=MONTH(TODAY())),IF(INDEX($C46:$AG46,DAY(TODAY()))&gt;0,INDEX($C46:$AG46,DAY(TODAY())),IF(DAY(TODAY())=1,IFERROR(INDEX(Sep!$C$46:$AG$46,DAY(EOMONTH(DATE(Habits!$C$4,9,1),0))),0),INDEX($C46:$AG46,DAY(TODAY())-1))),IF(DATE(Habits!$C$4,10,1)&gt;TODAY(),"",INDEX($C46:$AG46,DAY(EOMONTH(DATE(Habits!$C$4,10,1),0))))))</f>
        <v/>
      </c>
      <c r="AK13" s="13">
        <f>IF(B13="","",MAX($C46:$AG46))</f>
        <v/>
      </c>
      <c r="AL13" s="1" t="n"/>
    </row>
    <row r="14">
      <c r="A14" s="1" t="n"/>
      <c r="B14" s="32">
        <f>IF(Habits!B15="","",Habits!B15)</f>
        <v/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13">
        <f>IF(B14="","",COUNTIF($C47:$AG47,"&gt;0"))</f>
        <v/>
      </c>
      <c r="AI14" s="14">
        <f>IF(OR(B14="",IF(AND(Habits!$C$4=YEAR(TODAY()),10=MONTH(TODAY())),DAY(TODAY()),IF(DATE(Habits!$C$4,10,1)&gt;TODAY(),0,DAY(EOMONTH(DATE(Habits!$C$4,10,1),0))))=0),"",MIN(1,(COUNTIF($C47:$AG47,"&gt;0"))/IF(AND(Habits!$C$4=YEAR(TODAY()),10=MONTH(TODAY())),DAY(TODAY()),IF(DATE(Habits!$C$4,10,1)&gt;TODAY(),0,DAY(EOMONTH(DATE(Habits!$C$4,10,1),0))))))</f>
        <v/>
      </c>
      <c r="AJ14" s="16">
        <f>IF(B14="","",IF(AND(Habits!$C$4=YEAR(TODAY()),10=MONTH(TODAY())),IF(INDEX($C47:$AG47,DAY(TODAY()))&gt;0,INDEX($C47:$AG47,DAY(TODAY())),IF(DAY(TODAY())=1,IFERROR(INDEX(Sep!$C$47:$AG$47,DAY(EOMONTH(DATE(Habits!$C$4,9,1),0))),0),INDEX($C47:$AG47,DAY(TODAY())-1))),IF(DATE(Habits!$C$4,10,1)&gt;TODAY(),"",INDEX($C47:$AG47,DAY(EOMONTH(DATE(Habits!$C$4,10,1),0))))))</f>
        <v/>
      </c>
      <c r="AK14" s="13">
        <f>IF(B14="","",MAX($C47:$AG47))</f>
        <v/>
      </c>
      <c r="AL14" s="1" t="n"/>
    </row>
    <row r="15">
      <c r="A15" s="1" t="n"/>
      <c r="B15" s="32">
        <f>IF(Habits!B16="","",Habits!B16)</f>
        <v/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13">
        <f>IF(B15="","",COUNTIF($C48:$AG48,"&gt;0"))</f>
        <v/>
      </c>
      <c r="AI15" s="14">
        <f>IF(OR(B15="",IF(AND(Habits!$C$4=YEAR(TODAY()),10=MONTH(TODAY())),DAY(TODAY()),IF(DATE(Habits!$C$4,10,1)&gt;TODAY(),0,DAY(EOMONTH(DATE(Habits!$C$4,10,1),0))))=0),"",MIN(1,(COUNTIF($C48:$AG48,"&gt;0"))/IF(AND(Habits!$C$4=YEAR(TODAY()),10=MONTH(TODAY())),DAY(TODAY()),IF(DATE(Habits!$C$4,10,1)&gt;TODAY(),0,DAY(EOMONTH(DATE(Habits!$C$4,10,1),0))))))</f>
        <v/>
      </c>
      <c r="AJ15" s="16">
        <f>IF(B15="","",IF(AND(Habits!$C$4=YEAR(TODAY()),10=MONTH(TODAY())),IF(INDEX($C48:$AG48,DAY(TODAY()))&gt;0,INDEX($C48:$AG48,DAY(TODAY())),IF(DAY(TODAY())=1,IFERROR(INDEX(Sep!$C$48:$AG$48,DAY(EOMONTH(DATE(Habits!$C$4,9,1),0))),0),INDEX($C48:$AG48,DAY(TODAY())-1))),IF(DATE(Habits!$C$4,10,1)&gt;TODAY(),"",INDEX($C48:$AG48,DAY(EOMONTH(DATE(Habits!$C$4,10,1),0))))))</f>
        <v/>
      </c>
      <c r="AK15" s="13">
        <f>IF(B15="","",MAX($C48:$AG48))</f>
        <v/>
      </c>
      <c r="AL15" s="1" t="n"/>
    </row>
    <row r="16">
      <c r="A16" s="1" t="n"/>
      <c r="B16" s="32">
        <f>IF(Habits!B17="","",Habits!B17)</f>
        <v/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13">
        <f>IF(B16="","",COUNTIF($C49:$AG49,"&gt;0"))</f>
        <v/>
      </c>
      <c r="AI16" s="14">
        <f>IF(OR(B16="",IF(AND(Habits!$C$4=YEAR(TODAY()),10=MONTH(TODAY())),DAY(TODAY()),IF(DATE(Habits!$C$4,10,1)&gt;TODAY(),0,DAY(EOMONTH(DATE(Habits!$C$4,10,1),0))))=0),"",MIN(1,(COUNTIF($C49:$AG49,"&gt;0"))/IF(AND(Habits!$C$4=YEAR(TODAY()),10=MONTH(TODAY())),DAY(TODAY()),IF(DATE(Habits!$C$4,10,1)&gt;TODAY(),0,DAY(EOMONTH(DATE(Habits!$C$4,10,1),0))))))</f>
        <v/>
      </c>
      <c r="AJ16" s="16">
        <f>IF(B16="","",IF(AND(Habits!$C$4=YEAR(TODAY()),10=MONTH(TODAY())),IF(INDEX($C49:$AG49,DAY(TODAY()))&gt;0,INDEX($C49:$AG49,DAY(TODAY())),IF(DAY(TODAY())=1,IFERROR(INDEX(Sep!$C$49:$AG$49,DAY(EOMONTH(DATE(Habits!$C$4,9,1),0))),0),INDEX($C49:$AG49,DAY(TODAY())-1))),IF(DATE(Habits!$C$4,10,1)&gt;TODAY(),"",INDEX($C49:$AG49,DAY(EOMONTH(DATE(Habits!$C$4,10,1),0))))))</f>
        <v/>
      </c>
      <c r="AK16" s="13">
        <f>IF(B16="","",MAX($C49:$AG49))</f>
        <v/>
      </c>
      <c r="AL16" s="1" t="n"/>
    </row>
    <row r="17">
      <c r="A17" s="1" t="n"/>
      <c r="B17" s="32">
        <f>IF(Habits!B18="","",Habits!B18)</f>
        <v/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13">
        <f>IF(B17="","",COUNTIF($C50:$AG50,"&gt;0"))</f>
        <v/>
      </c>
      <c r="AI17" s="14">
        <f>IF(OR(B17="",IF(AND(Habits!$C$4=YEAR(TODAY()),10=MONTH(TODAY())),DAY(TODAY()),IF(DATE(Habits!$C$4,10,1)&gt;TODAY(),0,DAY(EOMONTH(DATE(Habits!$C$4,10,1),0))))=0),"",MIN(1,(COUNTIF($C50:$AG50,"&gt;0"))/IF(AND(Habits!$C$4=YEAR(TODAY()),10=MONTH(TODAY())),DAY(TODAY()),IF(DATE(Habits!$C$4,10,1)&gt;TODAY(),0,DAY(EOMONTH(DATE(Habits!$C$4,10,1),0))))))</f>
        <v/>
      </c>
      <c r="AJ17" s="16">
        <f>IF(B17="","",IF(AND(Habits!$C$4=YEAR(TODAY()),10=MONTH(TODAY())),IF(INDEX($C50:$AG50,DAY(TODAY()))&gt;0,INDEX($C50:$AG50,DAY(TODAY())),IF(DAY(TODAY())=1,IFERROR(INDEX(Sep!$C$50:$AG$50,DAY(EOMONTH(DATE(Habits!$C$4,9,1),0))),0),INDEX($C50:$AG50,DAY(TODAY())-1))),IF(DATE(Habits!$C$4,10,1)&gt;TODAY(),"",INDEX($C50:$AG50,DAY(EOMONTH(DATE(Habits!$C$4,10,1),0))))))</f>
        <v/>
      </c>
      <c r="AK17" s="13">
        <f>IF(B17="","",MAX($C50:$AG50))</f>
        <v/>
      </c>
      <c r="AL17" s="1" t="n"/>
    </row>
    <row r="18">
      <c r="A18" s="1" t="n"/>
      <c r="B18" s="32">
        <f>IF(Habits!B19="","",Habits!B19)</f>
        <v/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13">
        <f>IF(B18="","",COUNTIF($C51:$AG51,"&gt;0"))</f>
        <v/>
      </c>
      <c r="AI18" s="14">
        <f>IF(OR(B18="",IF(AND(Habits!$C$4=YEAR(TODAY()),10=MONTH(TODAY())),DAY(TODAY()),IF(DATE(Habits!$C$4,10,1)&gt;TODAY(),0,DAY(EOMONTH(DATE(Habits!$C$4,10,1),0))))=0),"",MIN(1,(COUNTIF($C51:$AG51,"&gt;0"))/IF(AND(Habits!$C$4=YEAR(TODAY()),10=MONTH(TODAY())),DAY(TODAY()),IF(DATE(Habits!$C$4,10,1)&gt;TODAY(),0,DAY(EOMONTH(DATE(Habits!$C$4,10,1),0))))))</f>
        <v/>
      </c>
      <c r="AJ18" s="16">
        <f>IF(B18="","",IF(AND(Habits!$C$4=YEAR(TODAY()),10=MONTH(TODAY())),IF(INDEX($C51:$AG51,DAY(TODAY()))&gt;0,INDEX($C51:$AG51,DAY(TODAY())),IF(DAY(TODAY())=1,IFERROR(INDEX(Sep!$C$51:$AG$51,DAY(EOMONTH(DATE(Habits!$C$4,9,1),0))),0),INDEX($C51:$AG51,DAY(TODAY())-1))),IF(DATE(Habits!$C$4,10,1)&gt;TODAY(),"",INDEX($C51:$AG51,DAY(EOMONTH(DATE(Habits!$C$4,10,1),0))))))</f>
        <v/>
      </c>
      <c r="AK18" s="13">
        <f>IF(B18="","",MAX($C51:$AG51))</f>
        <v/>
      </c>
      <c r="AL18" s="1" t="n"/>
    </row>
    <row r="19">
      <c r="A19" s="1" t="n"/>
      <c r="B19" s="32">
        <f>IF(Habits!B20="","",Habits!B20)</f>
        <v/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13">
        <f>IF(B19="","",COUNTIF($C52:$AG52,"&gt;0"))</f>
        <v/>
      </c>
      <c r="AI19" s="14">
        <f>IF(OR(B19="",IF(AND(Habits!$C$4=YEAR(TODAY()),10=MONTH(TODAY())),DAY(TODAY()),IF(DATE(Habits!$C$4,10,1)&gt;TODAY(),0,DAY(EOMONTH(DATE(Habits!$C$4,10,1),0))))=0),"",MIN(1,(COUNTIF($C52:$AG52,"&gt;0"))/IF(AND(Habits!$C$4=YEAR(TODAY()),10=MONTH(TODAY())),DAY(TODAY()),IF(DATE(Habits!$C$4,10,1)&gt;TODAY(),0,DAY(EOMONTH(DATE(Habits!$C$4,10,1),0))))))</f>
        <v/>
      </c>
      <c r="AJ19" s="16">
        <f>IF(B19="","",IF(AND(Habits!$C$4=YEAR(TODAY()),10=MONTH(TODAY())),IF(INDEX($C52:$AG52,DAY(TODAY()))&gt;0,INDEX($C52:$AG52,DAY(TODAY())),IF(DAY(TODAY())=1,IFERROR(INDEX(Sep!$C$52:$AG$52,DAY(EOMONTH(DATE(Habits!$C$4,9,1),0))),0),INDEX($C52:$AG52,DAY(TODAY())-1))),IF(DATE(Habits!$C$4,10,1)&gt;TODAY(),"",INDEX($C52:$AG52,DAY(EOMONTH(DATE(Habits!$C$4,10,1),0))))))</f>
        <v/>
      </c>
      <c r="AK19" s="13">
        <f>IF(B19="","",MAX($C52:$AG52))</f>
        <v/>
      </c>
      <c r="AL19" s="1" t="n"/>
    </row>
    <row r="20">
      <c r="A20" s="1" t="n"/>
      <c r="B20" s="32">
        <f>IF(Habits!B21="","",Habits!B21)</f>
        <v/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13">
        <f>IF(B20="","",COUNTIF($C53:$AG53,"&gt;0"))</f>
        <v/>
      </c>
      <c r="AI20" s="14">
        <f>IF(OR(B20="",IF(AND(Habits!$C$4=YEAR(TODAY()),10=MONTH(TODAY())),DAY(TODAY()),IF(DATE(Habits!$C$4,10,1)&gt;TODAY(),0,DAY(EOMONTH(DATE(Habits!$C$4,10,1),0))))=0),"",MIN(1,(COUNTIF($C53:$AG53,"&gt;0"))/IF(AND(Habits!$C$4=YEAR(TODAY()),10=MONTH(TODAY())),DAY(TODAY()),IF(DATE(Habits!$C$4,10,1)&gt;TODAY(),0,DAY(EOMONTH(DATE(Habits!$C$4,10,1),0))))))</f>
        <v/>
      </c>
      <c r="AJ20" s="16">
        <f>IF(B20="","",IF(AND(Habits!$C$4=YEAR(TODAY()),10=MONTH(TODAY())),IF(INDEX($C53:$AG53,DAY(TODAY()))&gt;0,INDEX($C53:$AG53,DAY(TODAY())),IF(DAY(TODAY())=1,IFERROR(INDEX(Sep!$C$53:$AG$53,DAY(EOMONTH(DATE(Habits!$C$4,9,1),0))),0),INDEX($C53:$AG53,DAY(TODAY())-1))),IF(DATE(Habits!$C$4,10,1)&gt;TODAY(),"",INDEX($C53:$AG53,DAY(EOMONTH(DATE(Habits!$C$4,10,1),0))))))</f>
        <v/>
      </c>
      <c r="AK20" s="13">
        <f>IF(B20="","",MAX($C53:$AG53))</f>
        <v/>
      </c>
      <c r="AL20" s="1" t="n"/>
    </row>
    <row r="21">
      <c r="A21" s="1" t="n"/>
      <c r="B21" s="32">
        <f>IF(Habits!B22="","",Habits!B22)</f>
        <v/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13">
        <f>IF(B21="","",COUNTIF($C54:$AG54,"&gt;0"))</f>
        <v/>
      </c>
      <c r="AI21" s="14">
        <f>IF(OR(B21="",IF(AND(Habits!$C$4=YEAR(TODAY()),10=MONTH(TODAY())),DAY(TODAY()),IF(DATE(Habits!$C$4,10,1)&gt;TODAY(),0,DAY(EOMONTH(DATE(Habits!$C$4,10,1),0))))=0),"",MIN(1,(COUNTIF($C54:$AG54,"&gt;0"))/IF(AND(Habits!$C$4=YEAR(TODAY()),10=MONTH(TODAY())),DAY(TODAY()),IF(DATE(Habits!$C$4,10,1)&gt;TODAY(),0,DAY(EOMONTH(DATE(Habits!$C$4,10,1),0))))))</f>
        <v/>
      </c>
      <c r="AJ21" s="16">
        <f>IF(B21="","",IF(AND(Habits!$C$4=YEAR(TODAY()),10=MONTH(TODAY())),IF(INDEX($C54:$AG54,DAY(TODAY()))&gt;0,INDEX($C54:$AG54,DAY(TODAY())),IF(DAY(TODAY())=1,IFERROR(INDEX(Sep!$C$54:$AG$54,DAY(EOMONTH(DATE(Habits!$C$4,9,1),0))),0),INDEX($C54:$AG54,DAY(TODAY())-1))),IF(DATE(Habits!$C$4,10,1)&gt;TODAY(),"",INDEX($C54:$AG54,DAY(EOMONTH(DATE(Habits!$C$4,10,1),0))))))</f>
        <v/>
      </c>
      <c r="AK21" s="13">
        <f>IF(B21="","",MAX($C54:$AG54))</f>
        <v/>
      </c>
      <c r="A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>
      <c r="A23" s="1" t="n"/>
      <c r="B23" s="12" t="inlineStr">
        <is>
          <t>Mood (1 to 5)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5">
        <f>IFERROR(AVERAGE(C23:AG23),"")</f>
        <v/>
      </c>
      <c r="AI23" s="11" t="n"/>
      <c r="AJ23" s="36" t="inlineStr">
        <is>
          <t>average</t>
        </is>
      </c>
      <c r="AK23" s="1" t="n"/>
      <c r="AL23" s="1" t="n"/>
    </row>
    <row r="24">
      <c r="A24" s="1" t="n"/>
      <c r="B24" s="12" t="inlineStr">
        <is>
          <t>Sleep (hours)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5">
        <f>IFERROR(AVERAGE(C24:AG24),"")</f>
        <v/>
      </c>
      <c r="AI24" s="11" t="n"/>
      <c r="AJ24" s="36" t="inlineStr">
        <is>
          <t>average</t>
        </is>
      </c>
      <c r="AK24" s="1" t="n"/>
      <c r="A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idden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idden="1">
      <c r="A40" s="1" t="n"/>
      <c r="B40" s="1">
        <f>B7</f>
        <v/>
      </c>
      <c r="C40" s="1">
        <f>IF(C$5="",0,IF(OR(C7=TRUE,ISTEXT(C7)),IFERROR(INDEX(Sep!$C$40:$AG$40,DAY(EOMONTH(DATE(Habits!$C$4,9,1),0))),0)+1,0))</f>
        <v/>
      </c>
      <c r="D40" s="1">
        <f>IF(D$5="",0,IF(OR(D7=TRUE,ISTEXT(D7)),C40+1,0))</f>
        <v/>
      </c>
      <c r="E40" s="1">
        <f>IF(E$5="",0,IF(OR(E7=TRUE,ISTEXT(E7)),D40+1,0))</f>
        <v/>
      </c>
      <c r="F40" s="1">
        <f>IF(F$5="",0,IF(OR(F7=TRUE,ISTEXT(F7)),E40+1,0))</f>
        <v/>
      </c>
      <c r="G40" s="1">
        <f>IF(G$5="",0,IF(OR(G7=TRUE,ISTEXT(G7)),F40+1,0))</f>
        <v/>
      </c>
      <c r="H40" s="1">
        <f>IF(H$5="",0,IF(OR(H7=TRUE,ISTEXT(H7)),G40+1,0))</f>
        <v/>
      </c>
      <c r="I40" s="1">
        <f>IF(I$5="",0,IF(OR(I7=TRUE,ISTEXT(I7)),H40+1,0))</f>
        <v/>
      </c>
      <c r="J40" s="1">
        <f>IF(J$5="",0,IF(OR(J7=TRUE,ISTEXT(J7)),I40+1,0))</f>
        <v/>
      </c>
      <c r="K40" s="1">
        <f>IF(K$5="",0,IF(OR(K7=TRUE,ISTEXT(K7)),J40+1,0))</f>
        <v/>
      </c>
      <c r="L40" s="1">
        <f>IF(L$5="",0,IF(OR(L7=TRUE,ISTEXT(L7)),K40+1,0))</f>
        <v/>
      </c>
      <c r="M40" s="1">
        <f>IF(M$5="",0,IF(OR(M7=TRUE,ISTEXT(M7)),L40+1,0))</f>
        <v/>
      </c>
      <c r="N40" s="1">
        <f>IF(N$5="",0,IF(OR(N7=TRUE,ISTEXT(N7)),M40+1,0))</f>
        <v/>
      </c>
      <c r="O40" s="1">
        <f>IF(O$5="",0,IF(OR(O7=TRUE,ISTEXT(O7)),N40+1,0))</f>
        <v/>
      </c>
      <c r="P40" s="1">
        <f>IF(P$5="",0,IF(OR(P7=TRUE,ISTEXT(P7)),O40+1,0))</f>
        <v/>
      </c>
      <c r="Q40" s="1">
        <f>IF(Q$5="",0,IF(OR(Q7=TRUE,ISTEXT(Q7)),P40+1,0))</f>
        <v/>
      </c>
      <c r="R40" s="1">
        <f>IF(R$5="",0,IF(OR(R7=TRUE,ISTEXT(R7)),Q40+1,0))</f>
        <v/>
      </c>
      <c r="S40" s="1">
        <f>IF(S$5="",0,IF(OR(S7=TRUE,ISTEXT(S7)),R40+1,0))</f>
        <v/>
      </c>
      <c r="T40" s="1">
        <f>IF(T$5="",0,IF(OR(T7=TRUE,ISTEXT(T7)),S40+1,0))</f>
        <v/>
      </c>
      <c r="U40" s="1">
        <f>IF(U$5="",0,IF(OR(U7=TRUE,ISTEXT(U7)),T40+1,0))</f>
        <v/>
      </c>
      <c r="V40" s="1">
        <f>IF(V$5="",0,IF(OR(V7=TRUE,ISTEXT(V7)),U40+1,0))</f>
        <v/>
      </c>
      <c r="W40" s="1">
        <f>IF(W$5="",0,IF(OR(W7=TRUE,ISTEXT(W7)),V40+1,0))</f>
        <v/>
      </c>
      <c r="X40" s="1">
        <f>IF(X$5="",0,IF(OR(X7=TRUE,ISTEXT(X7)),W40+1,0))</f>
        <v/>
      </c>
      <c r="Y40" s="1">
        <f>IF(Y$5="",0,IF(OR(Y7=TRUE,ISTEXT(Y7)),X40+1,0))</f>
        <v/>
      </c>
      <c r="Z40" s="1">
        <f>IF(Z$5="",0,IF(OR(Z7=TRUE,ISTEXT(Z7)),Y40+1,0))</f>
        <v/>
      </c>
      <c r="AA40" s="1">
        <f>IF(AA$5="",0,IF(OR(AA7=TRUE,ISTEXT(AA7)),Z40+1,0))</f>
        <v/>
      </c>
      <c r="AB40" s="1">
        <f>IF(AB$5="",0,IF(OR(AB7=TRUE,ISTEXT(AB7)),AA40+1,0))</f>
        <v/>
      </c>
      <c r="AC40" s="1">
        <f>IF(AC$5="",0,IF(OR(AC7=TRUE,ISTEXT(AC7)),AB40+1,0))</f>
        <v/>
      </c>
      <c r="AD40" s="1">
        <f>IF(AD$5="",0,IF(OR(AD7=TRUE,ISTEXT(AD7)),AC40+1,0))</f>
        <v/>
      </c>
      <c r="AE40" s="1">
        <f>IF(AE$5="",0,IF(OR(AE7=TRUE,ISTEXT(AE7)),AD40+1,0))</f>
        <v/>
      </c>
      <c r="AF40" s="1">
        <f>IF(AF$5="",0,IF(OR(AF7=TRUE,ISTEXT(AF7)),AE40+1,0))</f>
        <v/>
      </c>
      <c r="AG40" s="1">
        <f>IF(AG$5="",0,IF(OR(AG7=TRUE,ISTEXT(AG7)),AF40+1,0))</f>
        <v/>
      </c>
      <c r="AH40" s="1" t="n"/>
      <c r="AI40" s="1" t="n"/>
      <c r="AJ40" s="1" t="n"/>
      <c r="AK40" s="1" t="n"/>
      <c r="AL40" s="1" t="n"/>
    </row>
    <row r="41" hidden="1">
      <c r="A41" s="1" t="n"/>
      <c r="B41" s="1">
        <f>B8</f>
        <v/>
      </c>
      <c r="C41" s="1">
        <f>IF(C$5="",0,IF(OR(C8=TRUE,ISTEXT(C8)),IFERROR(INDEX(Sep!$C$41:$AG$41,DAY(EOMONTH(DATE(Habits!$C$4,9,1),0))),0)+1,0))</f>
        <v/>
      </c>
      <c r="D41" s="1">
        <f>IF(D$5="",0,IF(OR(D8=TRUE,ISTEXT(D8)),C41+1,0))</f>
        <v/>
      </c>
      <c r="E41" s="1">
        <f>IF(E$5="",0,IF(OR(E8=TRUE,ISTEXT(E8)),D41+1,0))</f>
        <v/>
      </c>
      <c r="F41" s="1">
        <f>IF(F$5="",0,IF(OR(F8=TRUE,ISTEXT(F8)),E41+1,0))</f>
        <v/>
      </c>
      <c r="G41" s="1">
        <f>IF(G$5="",0,IF(OR(G8=TRUE,ISTEXT(G8)),F41+1,0))</f>
        <v/>
      </c>
      <c r="H41" s="1">
        <f>IF(H$5="",0,IF(OR(H8=TRUE,ISTEXT(H8)),G41+1,0))</f>
        <v/>
      </c>
      <c r="I41" s="1">
        <f>IF(I$5="",0,IF(OR(I8=TRUE,ISTEXT(I8)),H41+1,0))</f>
        <v/>
      </c>
      <c r="J41" s="1">
        <f>IF(J$5="",0,IF(OR(J8=TRUE,ISTEXT(J8)),I41+1,0))</f>
        <v/>
      </c>
      <c r="K41" s="1">
        <f>IF(K$5="",0,IF(OR(K8=TRUE,ISTEXT(K8)),J41+1,0))</f>
        <v/>
      </c>
      <c r="L41" s="1">
        <f>IF(L$5="",0,IF(OR(L8=TRUE,ISTEXT(L8)),K41+1,0))</f>
        <v/>
      </c>
      <c r="M41" s="1">
        <f>IF(M$5="",0,IF(OR(M8=TRUE,ISTEXT(M8)),L41+1,0))</f>
        <v/>
      </c>
      <c r="N41" s="1">
        <f>IF(N$5="",0,IF(OR(N8=TRUE,ISTEXT(N8)),M41+1,0))</f>
        <v/>
      </c>
      <c r="O41" s="1">
        <f>IF(O$5="",0,IF(OR(O8=TRUE,ISTEXT(O8)),N41+1,0))</f>
        <v/>
      </c>
      <c r="P41" s="1">
        <f>IF(P$5="",0,IF(OR(P8=TRUE,ISTEXT(P8)),O41+1,0))</f>
        <v/>
      </c>
      <c r="Q41" s="1">
        <f>IF(Q$5="",0,IF(OR(Q8=TRUE,ISTEXT(Q8)),P41+1,0))</f>
        <v/>
      </c>
      <c r="R41" s="1">
        <f>IF(R$5="",0,IF(OR(R8=TRUE,ISTEXT(R8)),Q41+1,0))</f>
        <v/>
      </c>
      <c r="S41" s="1">
        <f>IF(S$5="",0,IF(OR(S8=TRUE,ISTEXT(S8)),R41+1,0))</f>
        <v/>
      </c>
      <c r="T41" s="1">
        <f>IF(T$5="",0,IF(OR(T8=TRUE,ISTEXT(T8)),S41+1,0))</f>
        <v/>
      </c>
      <c r="U41" s="1">
        <f>IF(U$5="",0,IF(OR(U8=TRUE,ISTEXT(U8)),T41+1,0))</f>
        <v/>
      </c>
      <c r="V41" s="1">
        <f>IF(V$5="",0,IF(OR(V8=TRUE,ISTEXT(V8)),U41+1,0))</f>
        <v/>
      </c>
      <c r="W41" s="1">
        <f>IF(W$5="",0,IF(OR(W8=TRUE,ISTEXT(W8)),V41+1,0))</f>
        <v/>
      </c>
      <c r="X41" s="1">
        <f>IF(X$5="",0,IF(OR(X8=TRUE,ISTEXT(X8)),W41+1,0))</f>
        <v/>
      </c>
      <c r="Y41" s="1">
        <f>IF(Y$5="",0,IF(OR(Y8=TRUE,ISTEXT(Y8)),X41+1,0))</f>
        <v/>
      </c>
      <c r="Z41" s="1">
        <f>IF(Z$5="",0,IF(OR(Z8=TRUE,ISTEXT(Z8)),Y41+1,0))</f>
        <v/>
      </c>
      <c r="AA41" s="1">
        <f>IF(AA$5="",0,IF(OR(AA8=TRUE,ISTEXT(AA8)),Z41+1,0))</f>
        <v/>
      </c>
      <c r="AB41" s="1">
        <f>IF(AB$5="",0,IF(OR(AB8=TRUE,ISTEXT(AB8)),AA41+1,0))</f>
        <v/>
      </c>
      <c r="AC41" s="1">
        <f>IF(AC$5="",0,IF(OR(AC8=TRUE,ISTEXT(AC8)),AB41+1,0))</f>
        <v/>
      </c>
      <c r="AD41" s="1">
        <f>IF(AD$5="",0,IF(OR(AD8=TRUE,ISTEXT(AD8)),AC41+1,0))</f>
        <v/>
      </c>
      <c r="AE41" s="1">
        <f>IF(AE$5="",0,IF(OR(AE8=TRUE,ISTEXT(AE8)),AD41+1,0))</f>
        <v/>
      </c>
      <c r="AF41" s="1">
        <f>IF(AF$5="",0,IF(OR(AF8=TRUE,ISTEXT(AF8)),AE41+1,0))</f>
        <v/>
      </c>
      <c r="AG41" s="1">
        <f>IF(AG$5="",0,IF(OR(AG8=TRUE,ISTEXT(AG8)),AF41+1,0))</f>
        <v/>
      </c>
      <c r="AH41" s="1" t="n"/>
      <c r="AI41" s="1" t="n"/>
      <c r="AJ41" s="1" t="n"/>
      <c r="AK41" s="1" t="n"/>
      <c r="AL41" s="1" t="n"/>
    </row>
    <row r="42" hidden="1">
      <c r="A42" s="1" t="n"/>
      <c r="B42" s="1">
        <f>B9</f>
        <v/>
      </c>
      <c r="C42" s="1">
        <f>IF(C$5="",0,IF(OR(C9=TRUE,ISTEXT(C9)),IFERROR(INDEX(Sep!$C$42:$AG$42,DAY(EOMONTH(DATE(Habits!$C$4,9,1),0))),0)+1,0))</f>
        <v/>
      </c>
      <c r="D42" s="1">
        <f>IF(D$5="",0,IF(OR(D9=TRUE,ISTEXT(D9)),C42+1,0))</f>
        <v/>
      </c>
      <c r="E42" s="1">
        <f>IF(E$5="",0,IF(OR(E9=TRUE,ISTEXT(E9)),D42+1,0))</f>
        <v/>
      </c>
      <c r="F42" s="1">
        <f>IF(F$5="",0,IF(OR(F9=TRUE,ISTEXT(F9)),E42+1,0))</f>
        <v/>
      </c>
      <c r="G42" s="1">
        <f>IF(G$5="",0,IF(OR(G9=TRUE,ISTEXT(G9)),F42+1,0))</f>
        <v/>
      </c>
      <c r="H42" s="1">
        <f>IF(H$5="",0,IF(OR(H9=TRUE,ISTEXT(H9)),G42+1,0))</f>
        <v/>
      </c>
      <c r="I42" s="1">
        <f>IF(I$5="",0,IF(OR(I9=TRUE,ISTEXT(I9)),H42+1,0))</f>
        <v/>
      </c>
      <c r="J42" s="1">
        <f>IF(J$5="",0,IF(OR(J9=TRUE,ISTEXT(J9)),I42+1,0))</f>
        <v/>
      </c>
      <c r="K42" s="1">
        <f>IF(K$5="",0,IF(OR(K9=TRUE,ISTEXT(K9)),J42+1,0))</f>
        <v/>
      </c>
      <c r="L42" s="1">
        <f>IF(L$5="",0,IF(OR(L9=TRUE,ISTEXT(L9)),K42+1,0))</f>
        <v/>
      </c>
      <c r="M42" s="1">
        <f>IF(M$5="",0,IF(OR(M9=TRUE,ISTEXT(M9)),L42+1,0))</f>
        <v/>
      </c>
      <c r="N42" s="1">
        <f>IF(N$5="",0,IF(OR(N9=TRUE,ISTEXT(N9)),M42+1,0))</f>
        <v/>
      </c>
      <c r="O42" s="1">
        <f>IF(O$5="",0,IF(OR(O9=TRUE,ISTEXT(O9)),N42+1,0))</f>
        <v/>
      </c>
      <c r="P42" s="1">
        <f>IF(P$5="",0,IF(OR(P9=TRUE,ISTEXT(P9)),O42+1,0))</f>
        <v/>
      </c>
      <c r="Q42" s="1">
        <f>IF(Q$5="",0,IF(OR(Q9=TRUE,ISTEXT(Q9)),P42+1,0))</f>
        <v/>
      </c>
      <c r="R42" s="1">
        <f>IF(R$5="",0,IF(OR(R9=TRUE,ISTEXT(R9)),Q42+1,0))</f>
        <v/>
      </c>
      <c r="S42" s="1">
        <f>IF(S$5="",0,IF(OR(S9=TRUE,ISTEXT(S9)),R42+1,0))</f>
        <v/>
      </c>
      <c r="T42" s="1">
        <f>IF(T$5="",0,IF(OR(T9=TRUE,ISTEXT(T9)),S42+1,0))</f>
        <v/>
      </c>
      <c r="U42" s="1">
        <f>IF(U$5="",0,IF(OR(U9=TRUE,ISTEXT(U9)),T42+1,0))</f>
        <v/>
      </c>
      <c r="V42" s="1">
        <f>IF(V$5="",0,IF(OR(V9=TRUE,ISTEXT(V9)),U42+1,0))</f>
        <v/>
      </c>
      <c r="W42" s="1">
        <f>IF(W$5="",0,IF(OR(W9=TRUE,ISTEXT(W9)),V42+1,0))</f>
        <v/>
      </c>
      <c r="X42" s="1">
        <f>IF(X$5="",0,IF(OR(X9=TRUE,ISTEXT(X9)),W42+1,0))</f>
        <v/>
      </c>
      <c r="Y42" s="1">
        <f>IF(Y$5="",0,IF(OR(Y9=TRUE,ISTEXT(Y9)),X42+1,0))</f>
        <v/>
      </c>
      <c r="Z42" s="1">
        <f>IF(Z$5="",0,IF(OR(Z9=TRUE,ISTEXT(Z9)),Y42+1,0))</f>
        <v/>
      </c>
      <c r="AA42" s="1">
        <f>IF(AA$5="",0,IF(OR(AA9=TRUE,ISTEXT(AA9)),Z42+1,0))</f>
        <v/>
      </c>
      <c r="AB42" s="1">
        <f>IF(AB$5="",0,IF(OR(AB9=TRUE,ISTEXT(AB9)),AA42+1,0))</f>
        <v/>
      </c>
      <c r="AC42" s="1">
        <f>IF(AC$5="",0,IF(OR(AC9=TRUE,ISTEXT(AC9)),AB42+1,0))</f>
        <v/>
      </c>
      <c r="AD42" s="1">
        <f>IF(AD$5="",0,IF(OR(AD9=TRUE,ISTEXT(AD9)),AC42+1,0))</f>
        <v/>
      </c>
      <c r="AE42" s="1">
        <f>IF(AE$5="",0,IF(OR(AE9=TRUE,ISTEXT(AE9)),AD42+1,0))</f>
        <v/>
      </c>
      <c r="AF42" s="1">
        <f>IF(AF$5="",0,IF(OR(AF9=TRUE,ISTEXT(AF9)),AE42+1,0))</f>
        <v/>
      </c>
      <c r="AG42" s="1">
        <f>IF(AG$5="",0,IF(OR(AG9=TRUE,ISTEXT(AG9)),AF42+1,0))</f>
        <v/>
      </c>
      <c r="AH42" s="1" t="n"/>
      <c r="AI42" s="1" t="n"/>
      <c r="AJ42" s="1" t="n"/>
      <c r="AK42" s="1" t="n"/>
      <c r="AL42" s="1" t="n"/>
    </row>
    <row r="43" hidden="1">
      <c r="A43" s="1" t="n"/>
      <c r="B43" s="1">
        <f>B10</f>
        <v/>
      </c>
      <c r="C43" s="1">
        <f>IF(C$5="",0,IF(OR(C10=TRUE,ISTEXT(C10)),IFERROR(INDEX(Sep!$C$43:$AG$43,DAY(EOMONTH(DATE(Habits!$C$4,9,1),0))),0)+1,0))</f>
        <v/>
      </c>
      <c r="D43" s="1">
        <f>IF(D$5="",0,IF(OR(D10=TRUE,ISTEXT(D10)),C43+1,0))</f>
        <v/>
      </c>
      <c r="E43" s="1">
        <f>IF(E$5="",0,IF(OR(E10=TRUE,ISTEXT(E10)),D43+1,0))</f>
        <v/>
      </c>
      <c r="F43" s="1">
        <f>IF(F$5="",0,IF(OR(F10=TRUE,ISTEXT(F10)),E43+1,0))</f>
        <v/>
      </c>
      <c r="G43" s="1">
        <f>IF(G$5="",0,IF(OR(G10=TRUE,ISTEXT(G10)),F43+1,0))</f>
        <v/>
      </c>
      <c r="H43" s="1">
        <f>IF(H$5="",0,IF(OR(H10=TRUE,ISTEXT(H10)),G43+1,0))</f>
        <v/>
      </c>
      <c r="I43" s="1">
        <f>IF(I$5="",0,IF(OR(I10=TRUE,ISTEXT(I10)),H43+1,0))</f>
        <v/>
      </c>
      <c r="J43" s="1">
        <f>IF(J$5="",0,IF(OR(J10=TRUE,ISTEXT(J10)),I43+1,0))</f>
        <v/>
      </c>
      <c r="K43" s="1">
        <f>IF(K$5="",0,IF(OR(K10=TRUE,ISTEXT(K10)),J43+1,0))</f>
        <v/>
      </c>
      <c r="L43" s="1">
        <f>IF(L$5="",0,IF(OR(L10=TRUE,ISTEXT(L10)),K43+1,0))</f>
        <v/>
      </c>
      <c r="M43" s="1">
        <f>IF(M$5="",0,IF(OR(M10=TRUE,ISTEXT(M10)),L43+1,0))</f>
        <v/>
      </c>
      <c r="N43" s="1">
        <f>IF(N$5="",0,IF(OR(N10=TRUE,ISTEXT(N10)),M43+1,0))</f>
        <v/>
      </c>
      <c r="O43" s="1">
        <f>IF(O$5="",0,IF(OR(O10=TRUE,ISTEXT(O10)),N43+1,0))</f>
        <v/>
      </c>
      <c r="P43" s="1">
        <f>IF(P$5="",0,IF(OR(P10=TRUE,ISTEXT(P10)),O43+1,0))</f>
        <v/>
      </c>
      <c r="Q43" s="1">
        <f>IF(Q$5="",0,IF(OR(Q10=TRUE,ISTEXT(Q10)),P43+1,0))</f>
        <v/>
      </c>
      <c r="R43" s="1">
        <f>IF(R$5="",0,IF(OR(R10=TRUE,ISTEXT(R10)),Q43+1,0))</f>
        <v/>
      </c>
      <c r="S43" s="1">
        <f>IF(S$5="",0,IF(OR(S10=TRUE,ISTEXT(S10)),R43+1,0))</f>
        <v/>
      </c>
      <c r="T43" s="1">
        <f>IF(T$5="",0,IF(OR(T10=TRUE,ISTEXT(T10)),S43+1,0))</f>
        <v/>
      </c>
      <c r="U43" s="1">
        <f>IF(U$5="",0,IF(OR(U10=TRUE,ISTEXT(U10)),T43+1,0))</f>
        <v/>
      </c>
      <c r="V43" s="1">
        <f>IF(V$5="",0,IF(OR(V10=TRUE,ISTEXT(V10)),U43+1,0))</f>
        <v/>
      </c>
      <c r="W43" s="1">
        <f>IF(W$5="",0,IF(OR(W10=TRUE,ISTEXT(W10)),V43+1,0))</f>
        <v/>
      </c>
      <c r="X43" s="1">
        <f>IF(X$5="",0,IF(OR(X10=TRUE,ISTEXT(X10)),W43+1,0))</f>
        <v/>
      </c>
      <c r="Y43" s="1">
        <f>IF(Y$5="",0,IF(OR(Y10=TRUE,ISTEXT(Y10)),X43+1,0))</f>
        <v/>
      </c>
      <c r="Z43" s="1">
        <f>IF(Z$5="",0,IF(OR(Z10=TRUE,ISTEXT(Z10)),Y43+1,0))</f>
        <v/>
      </c>
      <c r="AA43" s="1">
        <f>IF(AA$5="",0,IF(OR(AA10=TRUE,ISTEXT(AA10)),Z43+1,0))</f>
        <v/>
      </c>
      <c r="AB43" s="1">
        <f>IF(AB$5="",0,IF(OR(AB10=TRUE,ISTEXT(AB10)),AA43+1,0))</f>
        <v/>
      </c>
      <c r="AC43" s="1">
        <f>IF(AC$5="",0,IF(OR(AC10=TRUE,ISTEXT(AC10)),AB43+1,0))</f>
        <v/>
      </c>
      <c r="AD43" s="1">
        <f>IF(AD$5="",0,IF(OR(AD10=TRUE,ISTEXT(AD10)),AC43+1,0))</f>
        <v/>
      </c>
      <c r="AE43" s="1">
        <f>IF(AE$5="",0,IF(OR(AE10=TRUE,ISTEXT(AE10)),AD43+1,0))</f>
        <v/>
      </c>
      <c r="AF43" s="1">
        <f>IF(AF$5="",0,IF(OR(AF10=TRUE,ISTEXT(AF10)),AE43+1,0))</f>
        <v/>
      </c>
      <c r="AG43" s="1">
        <f>IF(AG$5="",0,IF(OR(AG10=TRUE,ISTEXT(AG10)),AF43+1,0))</f>
        <v/>
      </c>
      <c r="AH43" s="1" t="n"/>
      <c r="AI43" s="1" t="n"/>
      <c r="AJ43" s="1" t="n"/>
      <c r="AK43" s="1" t="n"/>
      <c r="AL43" s="1" t="n"/>
    </row>
    <row r="44" hidden="1">
      <c r="A44" s="1" t="n"/>
      <c r="B44" s="1">
        <f>B11</f>
        <v/>
      </c>
      <c r="C44" s="1">
        <f>IF(C$5="",0,IF(OR(C11=TRUE,ISTEXT(C11)),IFERROR(INDEX(Sep!$C$44:$AG$44,DAY(EOMONTH(DATE(Habits!$C$4,9,1),0))),0)+1,0))</f>
        <v/>
      </c>
      <c r="D44" s="1">
        <f>IF(D$5="",0,IF(OR(D11=TRUE,ISTEXT(D11)),C44+1,0))</f>
        <v/>
      </c>
      <c r="E44" s="1">
        <f>IF(E$5="",0,IF(OR(E11=TRUE,ISTEXT(E11)),D44+1,0))</f>
        <v/>
      </c>
      <c r="F44" s="1">
        <f>IF(F$5="",0,IF(OR(F11=TRUE,ISTEXT(F11)),E44+1,0))</f>
        <v/>
      </c>
      <c r="G44" s="1">
        <f>IF(G$5="",0,IF(OR(G11=TRUE,ISTEXT(G11)),F44+1,0))</f>
        <v/>
      </c>
      <c r="H44" s="1">
        <f>IF(H$5="",0,IF(OR(H11=TRUE,ISTEXT(H11)),G44+1,0))</f>
        <v/>
      </c>
      <c r="I44" s="1">
        <f>IF(I$5="",0,IF(OR(I11=TRUE,ISTEXT(I11)),H44+1,0))</f>
        <v/>
      </c>
      <c r="J44" s="1">
        <f>IF(J$5="",0,IF(OR(J11=TRUE,ISTEXT(J11)),I44+1,0))</f>
        <v/>
      </c>
      <c r="K44" s="1">
        <f>IF(K$5="",0,IF(OR(K11=TRUE,ISTEXT(K11)),J44+1,0))</f>
        <v/>
      </c>
      <c r="L44" s="1">
        <f>IF(L$5="",0,IF(OR(L11=TRUE,ISTEXT(L11)),K44+1,0))</f>
        <v/>
      </c>
      <c r="M44" s="1">
        <f>IF(M$5="",0,IF(OR(M11=TRUE,ISTEXT(M11)),L44+1,0))</f>
        <v/>
      </c>
      <c r="N44" s="1">
        <f>IF(N$5="",0,IF(OR(N11=TRUE,ISTEXT(N11)),M44+1,0))</f>
        <v/>
      </c>
      <c r="O44" s="1">
        <f>IF(O$5="",0,IF(OR(O11=TRUE,ISTEXT(O11)),N44+1,0))</f>
        <v/>
      </c>
      <c r="P44" s="1">
        <f>IF(P$5="",0,IF(OR(P11=TRUE,ISTEXT(P11)),O44+1,0))</f>
        <v/>
      </c>
      <c r="Q44" s="1">
        <f>IF(Q$5="",0,IF(OR(Q11=TRUE,ISTEXT(Q11)),P44+1,0))</f>
        <v/>
      </c>
      <c r="R44" s="1">
        <f>IF(R$5="",0,IF(OR(R11=TRUE,ISTEXT(R11)),Q44+1,0))</f>
        <v/>
      </c>
      <c r="S44" s="1">
        <f>IF(S$5="",0,IF(OR(S11=TRUE,ISTEXT(S11)),R44+1,0))</f>
        <v/>
      </c>
      <c r="T44" s="1">
        <f>IF(T$5="",0,IF(OR(T11=TRUE,ISTEXT(T11)),S44+1,0))</f>
        <v/>
      </c>
      <c r="U44" s="1">
        <f>IF(U$5="",0,IF(OR(U11=TRUE,ISTEXT(U11)),T44+1,0))</f>
        <v/>
      </c>
      <c r="V44" s="1">
        <f>IF(V$5="",0,IF(OR(V11=TRUE,ISTEXT(V11)),U44+1,0))</f>
        <v/>
      </c>
      <c r="W44" s="1">
        <f>IF(W$5="",0,IF(OR(W11=TRUE,ISTEXT(W11)),V44+1,0))</f>
        <v/>
      </c>
      <c r="X44" s="1">
        <f>IF(X$5="",0,IF(OR(X11=TRUE,ISTEXT(X11)),W44+1,0))</f>
        <v/>
      </c>
      <c r="Y44" s="1">
        <f>IF(Y$5="",0,IF(OR(Y11=TRUE,ISTEXT(Y11)),X44+1,0))</f>
        <v/>
      </c>
      <c r="Z44" s="1">
        <f>IF(Z$5="",0,IF(OR(Z11=TRUE,ISTEXT(Z11)),Y44+1,0))</f>
        <v/>
      </c>
      <c r="AA44" s="1">
        <f>IF(AA$5="",0,IF(OR(AA11=TRUE,ISTEXT(AA11)),Z44+1,0))</f>
        <v/>
      </c>
      <c r="AB44" s="1">
        <f>IF(AB$5="",0,IF(OR(AB11=TRUE,ISTEXT(AB11)),AA44+1,0))</f>
        <v/>
      </c>
      <c r="AC44" s="1">
        <f>IF(AC$5="",0,IF(OR(AC11=TRUE,ISTEXT(AC11)),AB44+1,0))</f>
        <v/>
      </c>
      <c r="AD44" s="1">
        <f>IF(AD$5="",0,IF(OR(AD11=TRUE,ISTEXT(AD11)),AC44+1,0))</f>
        <v/>
      </c>
      <c r="AE44" s="1">
        <f>IF(AE$5="",0,IF(OR(AE11=TRUE,ISTEXT(AE11)),AD44+1,0))</f>
        <v/>
      </c>
      <c r="AF44" s="1">
        <f>IF(AF$5="",0,IF(OR(AF11=TRUE,ISTEXT(AF11)),AE44+1,0))</f>
        <v/>
      </c>
      <c r="AG44" s="1">
        <f>IF(AG$5="",0,IF(OR(AG11=TRUE,ISTEXT(AG11)),AF44+1,0))</f>
        <v/>
      </c>
      <c r="AH44" s="1" t="n"/>
      <c r="AI44" s="1" t="n"/>
      <c r="AJ44" s="1" t="n"/>
      <c r="AK44" s="1" t="n"/>
      <c r="AL44" s="1" t="n"/>
    </row>
    <row r="45" hidden="1">
      <c r="A45" s="1" t="n"/>
      <c r="B45" s="1">
        <f>B12</f>
        <v/>
      </c>
      <c r="C45" s="1">
        <f>IF(C$5="",0,IF(OR(C12=TRUE,ISTEXT(C12)),IFERROR(INDEX(Sep!$C$45:$AG$45,DAY(EOMONTH(DATE(Habits!$C$4,9,1),0))),0)+1,0))</f>
        <v/>
      </c>
      <c r="D45" s="1">
        <f>IF(D$5="",0,IF(OR(D12=TRUE,ISTEXT(D12)),C45+1,0))</f>
        <v/>
      </c>
      <c r="E45" s="1">
        <f>IF(E$5="",0,IF(OR(E12=TRUE,ISTEXT(E12)),D45+1,0))</f>
        <v/>
      </c>
      <c r="F45" s="1">
        <f>IF(F$5="",0,IF(OR(F12=TRUE,ISTEXT(F12)),E45+1,0))</f>
        <v/>
      </c>
      <c r="G45" s="1">
        <f>IF(G$5="",0,IF(OR(G12=TRUE,ISTEXT(G12)),F45+1,0))</f>
        <v/>
      </c>
      <c r="H45" s="1">
        <f>IF(H$5="",0,IF(OR(H12=TRUE,ISTEXT(H12)),G45+1,0))</f>
        <v/>
      </c>
      <c r="I45" s="1">
        <f>IF(I$5="",0,IF(OR(I12=TRUE,ISTEXT(I12)),H45+1,0))</f>
        <v/>
      </c>
      <c r="J45" s="1">
        <f>IF(J$5="",0,IF(OR(J12=TRUE,ISTEXT(J12)),I45+1,0))</f>
        <v/>
      </c>
      <c r="K45" s="1">
        <f>IF(K$5="",0,IF(OR(K12=TRUE,ISTEXT(K12)),J45+1,0))</f>
        <v/>
      </c>
      <c r="L45" s="1">
        <f>IF(L$5="",0,IF(OR(L12=TRUE,ISTEXT(L12)),K45+1,0))</f>
        <v/>
      </c>
      <c r="M45" s="1">
        <f>IF(M$5="",0,IF(OR(M12=TRUE,ISTEXT(M12)),L45+1,0))</f>
        <v/>
      </c>
      <c r="N45" s="1">
        <f>IF(N$5="",0,IF(OR(N12=TRUE,ISTEXT(N12)),M45+1,0))</f>
        <v/>
      </c>
      <c r="O45" s="1">
        <f>IF(O$5="",0,IF(OR(O12=TRUE,ISTEXT(O12)),N45+1,0))</f>
        <v/>
      </c>
      <c r="P45" s="1">
        <f>IF(P$5="",0,IF(OR(P12=TRUE,ISTEXT(P12)),O45+1,0))</f>
        <v/>
      </c>
      <c r="Q45" s="1">
        <f>IF(Q$5="",0,IF(OR(Q12=TRUE,ISTEXT(Q12)),P45+1,0))</f>
        <v/>
      </c>
      <c r="R45" s="1">
        <f>IF(R$5="",0,IF(OR(R12=TRUE,ISTEXT(R12)),Q45+1,0))</f>
        <v/>
      </c>
      <c r="S45" s="1">
        <f>IF(S$5="",0,IF(OR(S12=TRUE,ISTEXT(S12)),R45+1,0))</f>
        <v/>
      </c>
      <c r="T45" s="1">
        <f>IF(T$5="",0,IF(OR(T12=TRUE,ISTEXT(T12)),S45+1,0))</f>
        <v/>
      </c>
      <c r="U45" s="1">
        <f>IF(U$5="",0,IF(OR(U12=TRUE,ISTEXT(U12)),T45+1,0))</f>
        <v/>
      </c>
      <c r="V45" s="1">
        <f>IF(V$5="",0,IF(OR(V12=TRUE,ISTEXT(V12)),U45+1,0))</f>
        <v/>
      </c>
      <c r="W45" s="1">
        <f>IF(W$5="",0,IF(OR(W12=TRUE,ISTEXT(W12)),V45+1,0))</f>
        <v/>
      </c>
      <c r="X45" s="1">
        <f>IF(X$5="",0,IF(OR(X12=TRUE,ISTEXT(X12)),W45+1,0))</f>
        <v/>
      </c>
      <c r="Y45" s="1">
        <f>IF(Y$5="",0,IF(OR(Y12=TRUE,ISTEXT(Y12)),X45+1,0))</f>
        <v/>
      </c>
      <c r="Z45" s="1">
        <f>IF(Z$5="",0,IF(OR(Z12=TRUE,ISTEXT(Z12)),Y45+1,0))</f>
        <v/>
      </c>
      <c r="AA45" s="1">
        <f>IF(AA$5="",0,IF(OR(AA12=TRUE,ISTEXT(AA12)),Z45+1,0))</f>
        <v/>
      </c>
      <c r="AB45" s="1">
        <f>IF(AB$5="",0,IF(OR(AB12=TRUE,ISTEXT(AB12)),AA45+1,0))</f>
        <v/>
      </c>
      <c r="AC45" s="1">
        <f>IF(AC$5="",0,IF(OR(AC12=TRUE,ISTEXT(AC12)),AB45+1,0))</f>
        <v/>
      </c>
      <c r="AD45" s="1">
        <f>IF(AD$5="",0,IF(OR(AD12=TRUE,ISTEXT(AD12)),AC45+1,0))</f>
        <v/>
      </c>
      <c r="AE45" s="1">
        <f>IF(AE$5="",0,IF(OR(AE12=TRUE,ISTEXT(AE12)),AD45+1,0))</f>
        <v/>
      </c>
      <c r="AF45" s="1">
        <f>IF(AF$5="",0,IF(OR(AF12=TRUE,ISTEXT(AF12)),AE45+1,0))</f>
        <v/>
      </c>
      <c r="AG45" s="1">
        <f>IF(AG$5="",0,IF(OR(AG12=TRUE,ISTEXT(AG12)),AF45+1,0))</f>
        <v/>
      </c>
      <c r="AH45" s="1" t="n"/>
      <c r="AI45" s="1" t="n"/>
      <c r="AJ45" s="1" t="n"/>
      <c r="AK45" s="1" t="n"/>
      <c r="AL45" s="1" t="n"/>
    </row>
    <row r="46" hidden="1">
      <c r="A46" s="1" t="n"/>
      <c r="B46" s="1">
        <f>B13</f>
        <v/>
      </c>
      <c r="C46" s="1">
        <f>IF(C$5="",0,IF(OR(C13=TRUE,ISTEXT(C13)),IFERROR(INDEX(Sep!$C$46:$AG$46,DAY(EOMONTH(DATE(Habits!$C$4,9,1),0))),0)+1,0))</f>
        <v/>
      </c>
      <c r="D46" s="1">
        <f>IF(D$5="",0,IF(OR(D13=TRUE,ISTEXT(D13)),C46+1,0))</f>
        <v/>
      </c>
      <c r="E46" s="1">
        <f>IF(E$5="",0,IF(OR(E13=TRUE,ISTEXT(E13)),D46+1,0))</f>
        <v/>
      </c>
      <c r="F46" s="1">
        <f>IF(F$5="",0,IF(OR(F13=TRUE,ISTEXT(F13)),E46+1,0))</f>
        <v/>
      </c>
      <c r="G46" s="1">
        <f>IF(G$5="",0,IF(OR(G13=TRUE,ISTEXT(G13)),F46+1,0))</f>
        <v/>
      </c>
      <c r="H46" s="1">
        <f>IF(H$5="",0,IF(OR(H13=TRUE,ISTEXT(H13)),G46+1,0))</f>
        <v/>
      </c>
      <c r="I46" s="1">
        <f>IF(I$5="",0,IF(OR(I13=TRUE,ISTEXT(I13)),H46+1,0))</f>
        <v/>
      </c>
      <c r="J46" s="1">
        <f>IF(J$5="",0,IF(OR(J13=TRUE,ISTEXT(J13)),I46+1,0))</f>
        <v/>
      </c>
      <c r="K46" s="1">
        <f>IF(K$5="",0,IF(OR(K13=TRUE,ISTEXT(K13)),J46+1,0))</f>
        <v/>
      </c>
      <c r="L46" s="1">
        <f>IF(L$5="",0,IF(OR(L13=TRUE,ISTEXT(L13)),K46+1,0))</f>
        <v/>
      </c>
      <c r="M46" s="1">
        <f>IF(M$5="",0,IF(OR(M13=TRUE,ISTEXT(M13)),L46+1,0))</f>
        <v/>
      </c>
      <c r="N46" s="1">
        <f>IF(N$5="",0,IF(OR(N13=TRUE,ISTEXT(N13)),M46+1,0))</f>
        <v/>
      </c>
      <c r="O46" s="1">
        <f>IF(O$5="",0,IF(OR(O13=TRUE,ISTEXT(O13)),N46+1,0))</f>
        <v/>
      </c>
      <c r="P46" s="1">
        <f>IF(P$5="",0,IF(OR(P13=TRUE,ISTEXT(P13)),O46+1,0))</f>
        <v/>
      </c>
      <c r="Q46" s="1">
        <f>IF(Q$5="",0,IF(OR(Q13=TRUE,ISTEXT(Q13)),P46+1,0))</f>
        <v/>
      </c>
      <c r="R46" s="1">
        <f>IF(R$5="",0,IF(OR(R13=TRUE,ISTEXT(R13)),Q46+1,0))</f>
        <v/>
      </c>
      <c r="S46" s="1">
        <f>IF(S$5="",0,IF(OR(S13=TRUE,ISTEXT(S13)),R46+1,0))</f>
        <v/>
      </c>
      <c r="T46" s="1">
        <f>IF(T$5="",0,IF(OR(T13=TRUE,ISTEXT(T13)),S46+1,0))</f>
        <v/>
      </c>
      <c r="U46" s="1">
        <f>IF(U$5="",0,IF(OR(U13=TRUE,ISTEXT(U13)),T46+1,0))</f>
        <v/>
      </c>
      <c r="V46" s="1">
        <f>IF(V$5="",0,IF(OR(V13=TRUE,ISTEXT(V13)),U46+1,0))</f>
        <v/>
      </c>
      <c r="W46" s="1">
        <f>IF(W$5="",0,IF(OR(W13=TRUE,ISTEXT(W13)),V46+1,0))</f>
        <v/>
      </c>
      <c r="X46" s="1">
        <f>IF(X$5="",0,IF(OR(X13=TRUE,ISTEXT(X13)),W46+1,0))</f>
        <v/>
      </c>
      <c r="Y46" s="1">
        <f>IF(Y$5="",0,IF(OR(Y13=TRUE,ISTEXT(Y13)),X46+1,0))</f>
        <v/>
      </c>
      <c r="Z46" s="1">
        <f>IF(Z$5="",0,IF(OR(Z13=TRUE,ISTEXT(Z13)),Y46+1,0))</f>
        <v/>
      </c>
      <c r="AA46" s="1">
        <f>IF(AA$5="",0,IF(OR(AA13=TRUE,ISTEXT(AA13)),Z46+1,0))</f>
        <v/>
      </c>
      <c r="AB46" s="1">
        <f>IF(AB$5="",0,IF(OR(AB13=TRUE,ISTEXT(AB13)),AA46+1,0))</f>
        <v/>
      </c>
      <c r="AC46" s="1">
        <f>IF(AC$5="",0,IF(OR(AC13=TRUE,ISTEXT(AC13)),AB46+1,0))</f>
        <v/>
      </c>
      <c r="AD46" s="1">
        <f>IF(AD$5="",0,IF(OR(AD13=TRUE,ISTEXT(AD13)),AC46+1,0))</f>
        <v/>
      </c>
      <c r="AE46" s="1">
        <f>IF(AE$5="",0,IF(OR(AE13=TRUE,ISTEXT(AE13)),AD46+1,0))</f>
        <v/>
      </c>
      <c r="AF46" s="1">
        <f>IF(AF$5="",0,IF(OR(AF13=TRUE,ISTEXT(AF13)),AE46+1,0))</f>
        <v/>
      </c>
      <c r="AG46" s="1">
        <f>IF(AG$5="",0,IF(OR(AG13=TRUE,ISTEXT(AG13)),AF46+1,0))</f>
        <v/>
      </c>
      <c r="AH46" s="1" t="n"/>
      <c r="AI46" s="1" t="n"/>
      <c r="AJ46" s="1" t="n"/>
      <c r="AK46" s="1" t="n"/>
      <c r="AL46" s="1" t="n"/>
    </row>
    <row r="47" hidden="1">
      <c r="A47" s="1" t="n"/>
      <c r="B47" s="1">
        <f>B14</f>
        <v/>
      </c>
      <c r="C47" s="1">
        <f>IF(C$5="",0,IF(OR(C14=TRUE,ISTEXT(C14)),IFERROR(INDEX(Sep!$C$47:$AG$47,DAY(EOMONTH(DATE(Habits!$C$4,9,1),0))),0)+1,0))</f>
        <v/>
      </c>
      <c r="D47" s="1">
        <f>IF(D$5="",0,IF(OR(D14=TRUE,ISTEXT(D14)),C47+1,0))</f>
        <v/>
      </c>
      <c r="E47" s="1">
        <f>IF(E$5="",0,IF(OR(E14=TRUE,ISTEXT(E14)),D47+1,0))</f>
        <v/>
      </c>
      <c r="F47" s="1">
        <f>IF(F$5="",0,IF(OR(F14=TRUE,ISTEXT(F14)),E47+1,0))</f>
        <v/>
      </c>
      <c r="G47" s="1">
        <f>IF(G$5="",0,IF(OR(G14=TRUE,ISTEXT(G14)),F47+1,0))</f>
        <v/>
      </c>
      <c r="H47" s="1">
        <f>IF(H$5="",0,IF(OR(H14=TRUE,ISTEXT(H14)),G47+1,0))</f>
        <v/>
      </c>
      <c r="I47" s="1">
        <f>IF(I$5="",0,IF(OR(I14=TRUE,ISTEXT(I14)),H47+1,0))</f>
        <v/>
      </c>
      <c r="J47" s="1">
        <f>IF(J$5="",0,IF(OR(J14=TRUE,ISTEXT(J14)),I47+1,0))</f>
        <v/>
      </c>
      <c r="K47" s="1">
        <f>IF(K$5="",0,IF(OR(K14=TRUE,ISTEXT(K14)),J47+1,0))</f>
        <v/>
      </c>
      <c r="L47" s="1">
        <f>IF(L$5="",0,IF(OR(L14=TRUE,ISTEXT(L14)),K47+1,0))</f>
        <v/>
      </c>
      <c r="M47" s="1">
        <f>IF(M$5="",0,IF(OR(M14=TRUE,ISTEXT(M14)),L47+1,0))</f>
        <v/>
      </c>
      <c r="N47" s="1">
        <f>IF(N$5="",0,IF(OR(N14=TRUE,ISTEXT(N14)),M47+1,0))</f>
        <v/>
      </c>
      <c r="O47" s="1">
        <f>IF(O$5="",0,IF(OR(O14=TRUE,ISTEXT(O14)),N47+1,0))</f>
        <v/>
      </c>
      <c r="P47" s="1">
        <f>IF(P$5="",0,IF(OR(P14=TRUE,ISTEXT(P14)),O47+1,0))</f>
        <v/>
      </c>
      <c r="Q47" s="1">
        <f>IF(Q$5="",0,IF(OR(Q14=TRUE,ISTEXT(Q14)),P47+1,0))</f>
        <v/>
      </c>
      <c r="R47" s="1">
        <f>IF(R$5="",0,IF(OR(R14=TRUE,ISTEXT(R14)),Q47+1,0))</f>
        <v/>
      </c>
      <c r="S47" s="1">
        <f>IF(S$5="",0,IF(OR(S14=TRUE,ISTEXT(S14)),R47+1,0))</f>
        <v/>
      </c>
      <c r="T47" s="1">
        <f>IF(T$5="",0,IF(OR(T14=TRUE,ISTEXT(T14)),S47+1,0))</f>
        <v/>
      </c>
      <c r="U47" s="1">
        <f>IF(U$5="",0,IF(OR(U14=TRUE,ISTEXT(U14)),T47+1,0))</f>
        <v/>
      </c>
      <c r="V47" s="1">
        <f>IF(V$5="",0,IF(OR(V14=TRUE,ISTEXT(V14)),U47+1,0))</f>
        <v/>
      </c>
      <c r="W47" s="1">
        <f>IF(W$5="",0,IF(OR(W14=TRUE,ISTEXT(W14)),V47+1,0))</f>
        <v/>
      </c>
      <c r="X47" s="1">
        <f>IF(X$5="",0,IF(OR(X14=TRUE,ISTEXT(X14)),W47+1,0))</f>
        <v/>
      </c>
      <c r="Y47" s="1">
        <f>IF(Y$5="",0,IF(OR(Y14=TRUE,ISTEXT(Y14)),X47+1,0))</f>
        <v/>
      </c>
      <c r="Z47" s="1">
        <f>IF(Z$5="",0,IF(OR(Z14=TRUE,ISTEXT(Z14)),Y47+1,0))</f>
        <v/>
      </c>
      <c r="AA47" s="1">
        <f>IF(AA$5="",0,IF(OR(AA14=TRUE,ISTEXT(AA14)),Z47+1,0))</f>
        <v/>
      </c>
      <c r="AB47" s="1">
        <f>IF(AB$5="",0,IF(OR(AB14=TRUE,ISTEXT(AB14)),AA47+1,0))</f>
        <v/>
      </c>
      <c r="AC47" s="1">
        <f>IF(AC$5="",0,IF(OR(AC14=TRUE,ISTEXT(AC14)),AB47+1,0))</f>
        <v/>
      </c>
      <c r="AD47" s="1">
        <f>IF(AD$5="",0,IF(OR(AD14=TRUE,ISTEXT(AD14)),AC47+1,0))</f>
        <v/>
      </c>
      <c r="AE47" s="1">
        <f>IF(AE$5="",0,IF(OR(AE14=TRUE,ISTEXT(AE14)),AD47+1,0))</f>
        <v/>
      </c>
      <c r="AF47" s="1">
        <f>IF(AF$5="",0,IF(OR(AF14=TRUE,ISTEXT(AF14)),AE47+1,0))</f>
        <v/>
      </c>
      <c r="AG47" s="1">
        <f>IF(AG$5="",0,IF(OR(AG14=TRUE,ISTEXT(AG14)),AF47+1,0))</f>
        <v/>
      </c>
      <c r="AH47" s="1" t="n"/>
      <c r="AI47" s="1" t="n"/>
      <c r="AJ47" s="1" t="n"/>
      <c r="AK47" s="1" t="n"/>
      <c r="AL47" s="1" t="n"/>
    </row>
    <row r="48" hidden="1">
      <c r="A48" s="1" t="n"/>
      <c r="B48" s="1">
        <f>B15</f>
        <v/>
      </c>
      <c r="C48" s="1">
        <f>IF(C$5="",0,IF(OR(C15=TRUE,ISTEXT(C15)),IFERROR(INDEX(Sep!$C$48:$AG$48,DAY(EOMONTH(DATE(Habits!$C$4,9,1),0))),0)+1,0))</f>
        <v/>
      </c>
      <c r="D48" s="1">
        <f>IF(D$5="",0,IF(OR(D15=TRUE,ISTEXT(D15)),C48+1,0))</f>
        <v/>
      </c>
      <c r="E48" s="1">
        <f>IF(E$5="",0,IF(OR(E15=TRUE,ISTEXT(E15)),D48+1,0))</f>
        <v/>
      </c>
      <c r="F48" s="1">
        <f>IF(F$5="",0,IF(OR(F15=TRUE,ISTEXT(F15)),E48+1,0))</f>
        <v/>
      </c>
      <c r="G48" s="1">
        <f>IF(G$5="",0,IF(OR(G15=TRUE,ISTEXT(G15)),F48+1,0))</f>
        <v/>
      </c>
      <c r="H48" s="1">
        <f>IF(H$5="",0,IF(OR(H15=TRUE,ISTEXT(H15)),G48+1,0))</f>
        <v/>
      </c>
      <c r="I48" s="1">
        <f>IF(I$5="",0,IF(OR(I15=TRUE,ISTEXT(I15)),H48+1,0))</f>
        <v/>
      </c>
      <c r="J48" s="1">
        <f>IF(J$5="",0,IF(OR(J15=TRUE,ISTEXT(J15)),I48+1,0))</f>
        <v/>
      </c>
      <c r="K48" s="1">
        <f>IF(K$5="",0,IF(OR(K15=TRUE,ISTEXT(K15)),J48+1,0))</f>
        <v/>
      </c>
      <c r="L48" s="1">
        <f>IF(L$5="",0,IF(OR(L15=TRUE,ISTEXT(L15)),K48+1,0))</f>
        <v/>
      </c>
      <c r="M48" s="1">
        <f>IF(M$5="",0,IF(OR(M15=TRUE,ISTEXT(M15)),L48+1,0))</f>
        <v/>
      </c>
      <c r="N48" s="1">
        <f>IF(N$5="",0,IF(OR(N15=TRUE,ISTEXT(N15)),M48+1,0))</f>
        <v/>
      </c>
      <c r="O48" s="1">
        <f>IF(O$5="",0,IF(OR(O15=TRUE,ISTEXT(O15)),N48+1,0))</f>
        <v/>
      </c>
      <c r="P48" s="1">
        <f>IF(P$5="",0,IF(OR(P15=TRUE,ISTEXT(P15)),O48+1,0))</f>
        <v/>
      </c>
      <c r="Q48" s="1">
        <f>IF(Q$5="",0,IF(OR(Q15=TRUE,ISTEXT(Q15)),P48+1,0))</f>
        <v/>
      </c>
      <c r="R48" s="1">
        <f>IF(R$5="",0,IF(OR(R15=TRUE,ISTEXT(R15)),Q48+1,0))</f>
        <v/>
      </c>
      <c r="S48" s="1">
        <f>IF(S$5="",0,IF(OR(S15=TRUE,ISTEXT(S15)),R48+1,0))</f>
        <v/>
      </c>
      <c r="T48" s="1">
        <f>IF(T$5="",0,IF(OR(T15=TRUE,ISTEXT(T15)),S48+1,0))</f>
        <v/>
      </c>
      <c r="U48" s="1">
        <f>IF(U$5="",0,IF(OR(U15=TRUE,ISTEXT(U15)),T48+1,0))</f>
        <v/>
      </c>
      <c r="V48" s="1">
        <f>IF(V$5="",0,IF(OR(V15=TRUE,ISTEXT(V15)),U48+1,0))</f>
        <v/>
      </c>
      <c r="W48" s="1">
        <f>IF(W$5="",0,IF(OR(W15=TRUE,ISTEXT(W15)),V48+1,0))</f>
        <v/>
      </c>
      <c r="X48" s="1">
        <f>IF(X$5="",0,IF(OR(X15=TRUE,ISTEXT(X15)),W48+1,0))</f>
        <v/>
      </c>
      <c r="Y48" s="1">
        <f>IF(Y$5="",0,IF(OR(Y15=TRUE,ISTEXT(Y15)),X48+1,0))</f>
        <v/>
      </c>
      <c r="Z48" s="1">
        <f>IF(Z$5="",0,IF(OR(Z15=TRUE,ISTEXT(Z15)),Y48+1,0))</f>
        <v/>
      </c>
      <c r="AA48" s="1">
        <f>IF(AA$5="",0,IF(OR(AA15=TRUE,ISTEXT(AA15)),Z48+1,0))</f>
        <v/>
      </c>
      <c r="AB48" s="1">
        <f>IF(AB$5="",0,IF(OR(AB15=TRUE,ISTEXT(AB15)),AA48+1,0))</f>
        <v/>
      </c>
      <c r="AC48" s="1">
        <f>IF(AC$5="",0,IF(OR(AC15=TRUE,ISTEXT(AC15)),AB48+1,0))</f>
        <v/>
      </c>
      <c r="AD48" s="1">
        <f>IF(AD$5="",0,IF(OR(AD15=TRUE,ISTEXT(AD15)),AC48+1,0))</f>
        <v/>
      </c>
      <c r="AE48" s="1">
        <f>IF(AE$5="",0,IF(OR(AE15=TRUE,ISTEXT(AE15)),AD48+1,0))</f>
        <v/>
      </c>
      <c r="AF48" s="1">
        <f>IF(AF$5="",0,IF(OR(AF15=TRUE,ISTEXT(AF15)),AE48+1,0))</f>
        <v/>
      </c>
      <c r="AG48" s="1">
        <f>IF(AG$5="",0,IF(OR(AG15=TRUE,ISTEXT(AG15)),AF48+1,0))</f>
        <v/>
      </c>
      <c r="AH48" s="1" t="n"/>
      <c r="AI48" s="1" t="n"/>
      <c r="AJ48" s="1" t="n"/>
      <c r="AK48" s="1" t="n"/>
      <c r="AL48" s="1" t="n"/>
    </row>
    <row r="49" hidden="1">
      <c r="A49" s="1" t="n"/>
      <c r="B49" s="1">
        <f>B16</f>
        <v/>
      </c>
      <c r="C49" s="1">
        <f>IF(C$5="",0,IF(OR(C16=TRUE,ISTEXT(C16)),IFERROR(INDEX(Sep!$C$49:$AG$49,DAY(EOMONTH(DATE(Habits!$C$4,9,1),0))),0)+1,0))</f>
        <v/>
      </c>
      <c r="D49" s="1">
        <f>IF(D$5="",0,IF(OR(D16=TRUE,ISTEXT(D16)),C49+1,0))</f>
        <v/>
      </c>
      <c r="E49" s="1">
        <f>IF(E$5="",0,IF(OR(E16=TRUE,ISTEXT(E16)),D49+1,0))</f>
        <v/>
      </c>
      <c r="F49" s="1">
        <f>IF(F$5="",0,IF(OR(F16=TRUE,ISTEXT(F16)),E49+1,0))</f>
        <v/>
      </c>
      <c r="G49" s="1">
        <f>IF(G$5="",0,IF(OR(G16=TRUE,ISTEXT(G16)),F49+1,0))</f>
        <v/>
      </c>
      <c r="H49" s="1">
        <f>IF(H$5="",0,IF(OR(H16=TRUE,ISTEXT(H16)),G49+1,0))</f>
        <v/>
      </c>
      <c r="I49" s="1">
        <f>IF(I$5="",0,IF(OR(I16=TRUE,ISTEXT(I16)),H49+1,0))</f>
        <v/>
      </c>
      <c r="J49" s="1">
        <f>IF(J$5="",0,IF(OR(J16=TRUE,ISTEXT(J16)),I49+1,0))</f>
        <v/>
      </c>
      <c r="K49" s="1">
        <f>IF(K$5="",0,IF(OR(K16=TRUE,ISTEXT(K16)),J49+1,0))</f>
        <v/>
      </c>
      <c r="L49" s="1">
        <f>IF(L$5="",0,IF(OR(L16=TRUE,ISTEXT(L16)),K49+1,0))</f>
        <v/>
      </c>
      <c r="M49" s="1">
        <f>IF(M$5="",0,IF(OR(M16=TRUE,ISTEXT(M16)),L49+1,0))</f>
        <v/>
      </c>
      <c r="N49" s="1">
        <f>IF(N$5="",0,IF(OR(N16=TRUE,ISTEXT(N16)),M49+1,0))</f>
        <v/>
      </c>
      <c r="O49" s="1">
        <f>IF(O$5="",0,IF(OR(O16=TRUE,ISTEXT(O16)),N49+1,0))</f>
        <v/>
      </c>
      <c r="P49" s="1">
        <f>IF(P$5="",0,IF(OR(P16=TRUE,ISTEXT(P16)),O49+1,0))</f>
        <v/>
      </c>
      <c r="Q49" s="1">
        <f>IF(Q$5="",0,IF(OR(Q16=TRUE,ISTEXT(Q16)),P49+1,0))</f>
        <v/>
      </c>
      <c r="R49" s="1">
        <f>IF(R$5="",0,IF(OR(R16=TRUE,ISTEXT(R16)),Q49+1,0))</f>
        <v/>
      </c>
      <c r="S49" s="1">
        <f>IF(S$5="",0,IF(OR(S16=TRUE,ISTEXT(S16)),R49+1,0))</f>
        <v/>
      </c>
      <c r="T49" s="1">
        <f>IF(T$5="",0,IF(OR(T16=TRUE,ISTEXT(T16)),S49+1,0))</f>
        <v/>
      </c>
      <c r="U49" s="1">
        <f>IF(U$5="",0,IF(OR(U16=TRUE,ISTEXT(U16)),T49+1,0))</f>
        <v/>
      </c>
      <c r="V49" s="1">
        <f>IF(V$5="",0,IF(OR(V16=TRUE,ISTEXT(V16)),U49+1,0))</f>
        <v/>
      </c>
      <c r="W49" s="1">
        <f>IF(W$5="",0,IF(OR(W16=TRUE,ISTEXT(W16)),V49+1,0))</f>
        <v/>
      </c>
      <c r="X49" s="1">
        <f>IF(X$5="",0,IF(OR(X16=TRUE,ISTEXT(X16)),W49+1,0))</f>
        <v/>
      </c>
      <c r="Y49" s="1">
        <f>IF(Y$5="",0,IF(OR(Y16=TRUE,ISTEXT(Y16)),X49+1,0))</f>
        <v/>
      </c>
      <c r="Z49" s="1">
        <f>IF(Z$5="",0,IF(OR(Z16=TRUE,ISTEXT(Z16)),Y49+1,0))</f>
        <v/>
      </c>
      <c r="AA49" s="1">
        <f>IF(AA$5="",0,IF(OR(AA16=TRUE,ISTEXT(AA16)),Z49+1,0))</f>
        <v/>
      </c>
      <c r="AB49" s="1">
        <f>IF(AB$5="",0,IF(OR(AB16=TRUE,ISTEXT(AB16)),AA49+1,0))</f>
        <v/>
      </c>
      <c r="AC49" s="1">
        <f>IF(AC$5="",0,IF(OR(AC16=TRUE,ISTEXT(AC16)),AB49+1,0))</f>
        <v/>
      </c>
      <c r="AD49" s="1">
        <f>IF(AD$5="",0,IF(OR(AD16=TRUE,ISTEXT(AD16)),AC49+1,0))</f>
        <v/>
      </c>
      <c r="AE49" s="1">
        <f>IF(AE$5="",0,IF(OR(AE16=TRUE,ISTEXT(AE16)),AD49+1,0))</f>
        <v/>
      </c>
      <c r="AF49" s="1">
        <f>IF(AF$5="",0,IF(OR(AF16=TRUE,ISTEXT(AF16)),AE49+1,0))</f>
        <v/>
      </c>
      <c r="AG49" s="1">
        <f>IF(AG$5="",0,IF(OR(AG16=TRUE,ISTEXT(AG16)),AF49+1,0))</f>
        <v/>
      </c>
      <c r="AH49" s="1" t="n"/>
      <c r="AI49" s="1" t="n"/>
      <c r="AJ49" s="1" t="n"/>
      <c r="AK49" s="1" t="n"/>
      <c r="AL49" s="1" t="n"/>
    </row>
    <row r="50" hidden="1">
      <c r="A50" s="1" t="n"/>
      <c r="B50" s="1">
        <f>B17</f>
        <v/>
      </c>
      <c r="C50" s="1">
        <f>IF(C$5="",0,IF(OR(C17=TRUE,ISTEXT(C17)),IFERROR(INDEX(Sep!$C$50:$AG$50,DAY(EOMONTH(DATE(Habits!$C$4,9,1),0))),0)+1,0))</f>
        <v/>
      </c>
      <c r="D50" s="1">
        <f>IF(D$5="",0,IF(OR(D17=TRUE,ISTEXT(D17)),C50+1,0))</f>
        <v/>
      </c>
      <c r="E50" s="1">
        <f>IF(E$5="",0,IF(OR(E17=TRUE,ISTEXT(E17)),D50+1,0))</f>
        <v/>
      </c>
      <c r="F50" s="1">
        <f>IF(F$5="",0,IF(OR(F17=TRUE,ISTEXT(F17)),E50+1,0))</f>
        <v/>
      </c>
      <c r="G50" s="1">
        <f>IF(G$5="",0,IF(OR(G17=TRUE,ISTEXT(G17)),F50+1,0))</f>
        <v/>
      </c>
      <c r="H50" s="1">
        <f>IF(H$5="",0,IF(OR(H17=TRUE,ISTEXT(H17)),G50+1,0))</f>
        <v/>
      </c>
      <c r="I50" s="1">
        <f>IF(I$5="",0,IF(OR(I17=TRUE,ISTEXT(I17)),H50+1,0))</f>
        <v/>
      </c>
      <c r="J50" s="1">
        <f>IF(J$5="",0,IF(OR(J17=TRUE,ISTEXT(J17)),I50+1,0))</f>
        <v/>
      </c>
      <c r="K50" s="1">
        <f>IF(K$5="",0,IF(OR(K17=TRUE,ISTEXT(K17)),J50+1,0))</f>
        <v/>
      </c>
      <c r="L50" s="1">
        <f>IF(L$5="",0,IF(OR(L17=TRUE,ISTEXT(L17)),K50+1,0))</f>
        <v/>
      </c>
      <c r="M50" s="1">
        <f>IF(M$5="",0,IF(OR(M17=TRUE,ISTEXT(M17)),L50+1,0))</f>
        <v/>
      </c>
      <c r="N50" s="1">
        <f>IF(N$5="",0,IF(OR(N17=TRUE,ISTEXT(N17)),M50+1,0))</f>
        <v/>
      </c>
      <c r="O50" s="1">
        <f>IF(O$5="",0,IF(OR(O17=TRUE,ISTEXT(O17)),N50+1,0))</f>
        <v/>
      </c>
      <c r="P50" s="1">
        <f>IF(P$5="",0,IF(OR(P17=TRUE,ISTEXT(P17)),O50+1,0))</f>
        <v/>
      </c>
      <c r="Q50" s="1">
        <f>IF(Q$5="",0,IF(OR(Q17=TRUE,ISTEXT(Q17)),P50+1,0))</f>
        <v/>
      </c>
      <c r="R50" s="1">
        <f>IF(R$5="",0,IF(OR(R17=TRUE,ISTEXT(R17)),Q50+1,0))</f>
        <v/>
      </c>
      <c r="S50" s="1">
        <f>IF(S$5="",0,IF(OR(S17=TRUE,ISTEXT(S17)),R50+1,0))</f>
        <v/>
      </c>
      <c r="T50" s="1">
        <f>IF(T$5="",0,IF(OR(T17=TRUE,ISTEXT(T17)),S50+1,0))</f>
        <v/>
      </c>
      <c r="U50" s="1">
        <f>IF(U$5="",0,IF(OR(U17=TRUE,ISTEXT(U17)),T50+1,0))</f>
        <v/>
      </c>
      <c r="V50" s="1">
        <f>IF(V$5="",0,IF(OR(V17=TRUE,ISTEXT(V17)),U50+1,0))</f>
        <v/>
      </c>
      <c r="W50" s="1">
        <f>IF(W$5="",0,IF(OR(W17=TRUE,ISTEXT(W17)),V50+1,0))</f>
        <v/>
      </c>
      <c r="X50" s="1">
        <f>IF(X$5="",0,IF(OR(X17=TRUE,ISTEXT(X17)),W50+1,0))</f>
        <v/>
      </c>
      <c r="Y50" s="1">
        <f>IF(Y$5="",0,IF(OR(Y17=TRUE,ISTEXT(Y17)),X50+1,0))</f>
        <v/>
      </c>
      <c r="Z50" s="1">
        <f>IF(Z$5="",0,IF(OR(Z17=TRUE,ISTEXT(Z17)),Y50+1,0))</f>
        <v/>
      </c>
      <c r="AA50" s="1">
        <f>IF(AA$5="",0,IF(OR(AA17=TRUE,ISTEXT(AA17)),Z50+1,0))</f>
        <v/>
      </c>
      <c r="AB50" s="1">
        <f>IF(AB$5="",0,IF(OR(AB17=TRUE,ISTEXT(AB17)),AA50+1,0))</f>
        <v/>
      </c>
      <c r="AC50" s="1">
        <f>IF(AC$5="",0,IF(OR(AC17=TRUE,ISTEXT(AC17)),AB50+1,0))</f>
        <v/>
      </c>
      <c r="AD50" s="1">
        <f>IF(AD$5="",0,IF(OR(AD17=TRUE,ISTEXT(AD17)),AC50+1,0))</f>
        <v/>
      </c>
      <c r="AE50" s="1">
        <f>IF(AE$5="",0,IF(OR(AE17=TRUE,ISTEXT(AE17)),AD50+1,0))</f>
        <v/>
      </c>
      <c r="AF50" s="1">
        <f>IF(AF$5="",0,IF(OR(AF17=TRUE,ISTEXT(AF17)),AE50+1,0))</f>
        <v/>
      </c>
      <c r="AG50" s="1">
        <f>IF(AG$5="",0,IF(OR(AG17=TRUE,ISTEXT(AG17)),AF50+1,0))</f>
        <v/>
      </c>
      <c r="AH50" s="1" t="n"/>
      <c r="AI50" s="1" t="n"/>
      <c r="AJ50" s="1" t="n"/>
      <c r="AK50" s="1" t="n"/>
      <c r="AL50" s="1" t="n"/>
    </row>
    <row r="51" hidden="1">
      <c r="A51" s="1" t="n"/>
      <c r="B51" s="1">
        <f>B18</f>
        <v/>
      </c>
      <c r="C51" s="1">
        <f>IF(C$5="",0,IF(OR(C18=TRUE,ISTEXT(C18)),IFERROR(INDEX(Sep!$C$51:$AG$51,DAY(EOMONTH(DATE(Habits!$C$4,9,1),0))),0)+1,0))</f>
        <v/>
      </c>
      <c r="D51" s="1">
        <f>IF(D$5="",0,IF(OR(D18=TRUE,ISTEXT(D18)),C51+1,0))</f>
        <v/>
      </c>
      <c r="E51" s="1">
        <f>IF(E$5="",0,IF(OR(E18=TRUE,ISTEXT(E18)),D51+1,0))</f>
        <v/>
      </c>
      <c r="F51" s="1">
        <f>IF(F$5="",0,IF(OR(F18=TRUE,ISTEXT(F18)),E51+1,0))</f>
        <v/>
      </c>
      <c r="G51" s="1">
        <f>IF(G$5="",0,IF(OR(G18=TRUE,ISTEXT(G18)),F51+1,0))</f>
        <v/>
      </c>
      <c r="H51" s="1">
        <f>IF(H$5="",0,IF(OR(H18=TRUE,ISTEXT(H18)),G51+1,0))</f>
        <v/>
      </c>
      <c r="I51" s="1">
        <f>IF(I$5="",0,IF(OR(I18=TRUE,ISTEXT(I18)),H51+1,0))</f>
        <v/>
      </c>
      <c r="J51" s="1">
        <f>IF(J$5="",0,IF(OR(J18=TRUE,ISTEXT(J18)),I51+1,0))</f>
        <v/>
      </c>
      <c r="K51" s="1">
        <f>IF(K$5="",0,IF(OR(K18=TRUE,ISTEXT(K18)),J51+1,0))</f>
        <v/>
      </c>
      <c r="L51" s="1">
        <f>IF(L$5="",0,IF(OR(L18=TRUE,ISTEXT(L18)),K51+1,0))</f>
        <v/>
      </c>
      <c r="M51" s="1">
        <f>IF(M$5="",0,IF(OR(M18=TRUE,ISTEXT(M18)),L51+1,0))</f>
        <v/>
      </c>
      <c r="N51" s="1">
        <f>IF(N$5="",0,IF(OR(N18=TRUE,ISTEXT(N18)),M51+1,0))</f>
        <v/>
      </c>
      <c r="O51" s="1">
        <f>IF(O$5="",0,IF(OR(O18=TRUE,ISTEXT(O18)),N51+1,0))</f>
        <v/>
      </c>
      <c r="P51" s="1">
        <f>IF(P$5="",0,IF(OR(P18=TRUE,ISTEXT(P18)),O51+1,0))</f>
        <v/>
      </c>
      <c r="Q51" s="1">
        <f>IF(Q$5="",0,IF(OR(Q18=TRUE,ISTEXT(Q18)),P51+1,0))</f>
        <v/>
      </c>
      <c r="R51" s="1">
        <f>IF(R$5="",0,IF(OR(R18=TRUE,ISTEXT(R18)),Q51+1,0))</f>
        <v/>
      </c>
      <c r="S51" s="1">
        <f>IF(S$5="",0,IF(OR(S18=TRUE,ISTEXT(S18)),R51+1,0))</f>
        <v/>
      </c>
      <c r="T51" s="1">
        <f>IF(T$5="",0,IF(OR(T18=TRUE,ISTEXT(T18)),S51+1,0))</f>
        <v/>
      </c>
      <c r="U51" s="1">
        <f>IF(U$5="",0,IF(OR(U18=TRUE,ISTEXT(U18)),T51+1,0))</f>
        <v/>
      </c>
      <c r="V51" s="1">
        <f>IF(V$5="",0,IF(OR(V18=TRUE,ISTEXT(V18)),U51+1,0))</f>
        <v/>
      </c>
      <c r="W51" s="1">
        <f>IF(W$5="",0,IF(OR(W18=TRUE,ISTEXT(W18)),V51+1,0))</f>
        <v/>
      </c>
      <c r="X51" s="1">
        <f>IF(X$5="",0,IF(OR(X18=TRUE,ISTEXT(X18)),W51+1,0))</f>
        <v/>
      </c>
      <c r="Y51" s="1">
        <f>IF(Y$5="",0,IF(OR(Y18=TRUE,ISTEXT(Y18)),X51+1,0))</f>
        <v/>
      </c>
      <c r="Z51" s="1">
        <f>IF(Z$5="",0,IF(OR(Z18=TRUE,ISTEXT(Z18)),Y51+1,0))</f>
        <v/>
      </c>
      <c r="AA51" s="1">
        <f>IF(AA$5="",0,IF(OR(AA18=TRUE,ISTEXT(AA18)),Z51+1,0))</f>
        <v/>
      </c>
      <c r="AB51" s="1">
        <f>IF(AB$5="",0,IF(OR(AB18=TRUE,ISTEXT(AB18)),AA51+1,0))</f>
        <v/>
      </c>
      <c r="AC51" s="1">
        <f>IF(AC$5="",0,IF(OR(AC18=TRUE,ISTEXT(AC18)),AB51+1,0))</f>
        <v/>
      </c>
      <c r="AD51" s="1">
        <f>IF(AD$5="",0,IF(OR(AD18=TRUE,ISTEXT(AD18)),AC51+1,0))</f>
        <v/>
      </c>
      <c r="AE51" s="1">
        <f>IF(AE$5="",0,IF(OR(AE18=TRUE,ISTEXT(AE18)),AD51+1,0))</f>
        <v/>
      </c>
      <c r="AF51" s="1">
        <f>IF(AF$5="",0,IF(OR(AF18=TRUE,ISTEXT(AF18)),AE51+1,0))</f>
        <v/>
      </c>
      <c r="AG51" s="1">
        <f>IF(AG$5="",0,IF(OR(AG18=TRUE,ISTEXT(AG18)),AF51+1,0))</f>
        <v/>
      </c>
      <c r="AH51" s="1" t="n"/>
      <c r="AI51" s="1" t="n"/>
      <c r="AJ51" s="1" t="n"/>
      <c r="AK51" s="1" t="n"/>
      <c r="AL51" s="1" t="n"/>
    </row>
    <row r="52" hidden="1">
      <c r="A52" s="1" t="n"/>
      <c r="B52" s="1">
        <f>B19</f>
        <v/>
      </c>
      <c r="C52" s="1">
        <f>IF(C$5="",0,IF(OR(C19=TRUE,ISTEXT(C19)),IFERROR(INDEX(Sep!$C$52:$AG$52,DAY(EOMONTH(DATE(Habits!$C$4,9,1),0))),0)+1,0))</f>
        <v/>
      </c>
      <c r="D52" s="1">
        <f>IF(D$5="",0,IF(OR(D19=TRUE,ISTEXT(D19)),C52+1,0))</f>
        <v/>
      </c>
      <c r="E52" s="1">
        <f>IF(E$5="",0,IF(OR(E19=TRUE,ISTEXT(E19)),D52+1,0))</f>
        <v/>
      </c>
      <c r="F52" s="1">
        <f>IF(F$5="",0,IF(OR(F19=TRUE,ISTEXT(F19)),E52+1,0))</f>
        <v/>
      </c>
      <c r="G52" s="1">
        <f>IF(G$5="",0,IF(OR(G19=TRUE,ISTEXT(G19)),F52+1,0))</f>
        <v/>
      </c>
      <c r="H52" s="1">
        <f>IF(H$5="",0,IF(OR(H19=TRUE,ISTEXT(H19)),G52+1,0))</f>
        <v/>
      </c>
      <c r="I52" s="1">
        <f>IF(I$5="",0,IF(OR(I19=TRUE,ISTEXT(I19)),H52+1,0))</f>
        <v/>
      </c>
      <c r="J52" s="1">
        <f>IF(J$5="",0,IF(OR(J19=TRUE,ISTEXT(J19)),I52+1,0))</f>
        <v/>
      </c>
      <c r="K52" s="1">
        <f>IF(K$5="",0,IF(OR(K19=TRUE,ISTEXT(K19)),J52+1,0))</f>
        <v/>
      </c>
      <c r="L52" s="1">
        <f>IF(L$5="",0,IF(OR(L19=TRUE,ISTEXT(L19)),K52+1,0))</f>
        <v/>
      </c>
      <c r="M52" s="1">
        <f>IF(M$5="",0,IF(OR(M19=TRUE,ISTEXT(M19)),L52+1,0))</f>
        <v/>
      </c>
      <c r="N52" s="1">
        <f>IF(N$5="",0,IF(OR(N19=TRUE,ISTEXT(N19)),M52+1,0))</f>
        <v/>
      </c>
      <c r="O52" s="1">
        <f>IF(O$5="",0,IF(OR(O19=TRUE,ISTEXT(O19)),N52+1,0))</f>
        <v/>
      </c>
      <c r="P52" s="1">
        <f>IF(P$5="",0,IF(OR(P19=TRUE,ISTEXT(P19)),O52+1,0))</f>
        <v/>
      </c>
      <c r="Q52" s="1">
        <f>IF(Q$5="",0,IF(OR(Q19=TRUE,ISTEXT(Q19)),P52+1,0))</f>
        <v/>
      </c>
      <c r="R52" s="1">
        <f>IF(R$5="",0,IF(OR(R19=TRUE,ISTEXT(R19)),Q52+1,0))</f>
        <v/>
      </c>
      <c r="S52" s="1">
        <f>IF(S$5="",0,IF(OR(S19=TRUE,ISTEXT(S19)),R52+1,0))</f>
        <v/>
      </c>
      <c r="T52" s="1">
        <f>IF(T$5="",0,IF(OR(T19=TRUE,ISTEXT(T19)),S52+1,0))</f>
        <v/>
      </c>
      <c r="U52" s="1">
        <f>IF(U$5="",0,IF(OR(U19=TRUE,ISTEXT(U19)),T52+1,0))</f>
        <v/>
      </c>
      <c r="V52" s="1">
        <f>IF(V$5="",0,IF(OR(V19=TRUE,ISTEXT(V19)),U52+1,0))</f>
        <v/>
      </c>
      <c r="W52" s="1">
        <f>IF(W$5="",0,IF(OR(W19=TRUE,ISTEXT(W19)),V52+1,0))</f>
        <v/>
      </c>
      <c r="X52" s="1">
        <f>IF(X$5="",0,IF(OR(X19=TRUE,ISTEXT(X19)),W52+1,0))</f>
        <v/>
      </c>
      <c r="Y52" s="1">
        <f>IF(Y$5="",0,IF(OR(Y19=TRUE,ISTEXT(Y19)),X52+1,0))</f>
        <v/>
      </c>
      <c r="Z52" s="1">
        <f>IF(Z$5="",0,IF(OR(Z19=TRUE,ISTEXT(Z19)),Y52+1,0))</f>
        <v/>
      </c>
      <c r="AA52" s="1">
        <f>IF(AA$5="",0,IF(OR(AA19=TRUE,ISTEXT(AA19)),Z52+1,0))</f>
        <v/>
      </c>
      <c r="AB52" s="1">
        <f>IF(AB$5="",0,IF(OR(AB19=TRUE,ISTEXT(AB19)),AA52+1,0))</f>
        <v/>
      </c>
      <c r="AC52" s="1">
        <f>IF(AC$5="",0,IF(OR(AC19=TRUE,ISTEXT(AC19)),AB52+1,0))</f>
        <v/>
      </c>
      <c r="AD52" s="1">
        <f>IF(AD$5="",0,IF(OR(AD19=TRUE,ISTEXT(AD19)),AC52+1,0))</f>
        <v/>
      </c>
      <c r="AE52" s="1">
        <f>IF(AE$5="",0,IF(OR(AE19=TRUE,ISTEXT(AE19)),AD52+1,0))</f>
        <v/>
      </c>
      <c r="AF52" s="1">
        <f>IF(AF$5="",0,IF(OR(AF19=TRUE,ISTEXT(AF19)),AE52+1,0))</f>
        <v/>
      </c>
      <c r="AG52" s="1">
        <f>IF(AG$5="",0,IF(OR(AG19=TRUE,ISTEXT(AG19)),AF52+1,0))</f>
        <v/>
      </c>
      <c r="AH52" s="1" t="n"/>
      <c r="AI52" s="1" t="n"/>
      <c r="AJ52" s="1" t="n"/>
      <c r="AK52" s="1" t="n"/>
      <c r="AL52" s="1" t="n"/>
    </row>
    <row r="53" hidden="1">
      <c r="A53" s="1" t="n"/>
      <c r="B53" s="1">
        <f>B20</f>
        <v/>
      </c>
      <c r="C53" s="1">
        <f>IF(C$5="",0,IF(OR(C20=TRUE,ISTEXT(C20)),IFERROR(INDEX(Sep!$C$53:$AG$53,DAY(EOMONTH(DATE(Habits!$C$4,9,1),0))),0)+1,0))</f>
        <v/>
      </c>
      <c r="D53" s="1">
        <f>IF(D$5="",0,IF(OR(D20=TRUE,ISTEXT(D20)),C53+1,0))</f>
        <v/>
      </c>
      <c r="E53" s="1">
        <f>IF(E$5="",0,IF(OR(E20=TRUE,ISTEXT(E20)),D53+1,0))</f>
        <v/>
      </c>
      <c r="F53" s="1">
        <f>IF(F$5="",0,IF(OR(F20=TRUE,ISTEXT(F20)),E53+1,0))</f>
        <v/>
      </c>
      <c r="G53" s="1">
        <f>IF(G$5="",0,IF(OR(G20=TRUE,ISTEXT(G20)),F53+1,0))</f>
        <v/>
      </c>
      <c r="H53" s="1">
        <f>IF(H$5="",0,IF(OR(H20=TRUE,ISTEXT(H20)),G53+1,0))</f>
        <v/>
      </c>
      <c r="I53" s="1">
        <f>IF(I$5="",0,IF(OR(I20=TRUE,ISTEXT(I20)),H53+1,0))</f>
        <v/>
      </c>
      <c r="J53" s="1">
        <f>IF(J$5="",0,IF(OR(J20=TRUE,ISTEXT(J20)),I53+1,0))</f>
        <v/>
      </c>
      <c r="K53" s="1">
        <f>IF(K$5="",0,IF(OR(K20=TRUE,ISTEXT(K20)),J53+1,0))</f>
        <v/>
      </c>
      <c r="L53" s="1">
        <f>IF(L$5="",0,IF(OR(L20=TRUE,ISTEXT(L20)),K53+1,0))</f>
        <v/>
      </c>
      <c r="M53" s="1">
        <f>IF(M$5="",0,IF(OR(M20=TRUE,ISTEXT(M20)),L53+1,0))</f>
        <v/>
      </c>
      <c r="N53" s="1">
        <f>IF(N$5="",0,IF(OR(N20=TRUE,ISTEXT(N20)),M53+1,0))</f>
        <v/>
      </c>
      <c r="O53" s="1">
        <f>IF(O$5="",0,IF(OR(O20=TRUE,ISTEXT(O20)),N53+1,0))</f>
        <v/>
      </c>
      <c r="P53" s="1">
        <f>IF(P$5="",0,IF(OR(P20=TRUE,ISTEXT(P20)),O53+1,0))</f>
        <v/>
      </c>
      <c r="Q53" s="1">
        <f>IF(Q$5="",0,IF(OR(Q20=TRUE,ISTEXT(Q20)),P53+1,0))</f>
        <v/>
      </c>
      <c r="R53" s="1">
        <f>IF(R$5="",0,IF(OR(R20=TRUE,ISTEXT(R20)),Q53+1,0))</f>
        <v/>
      </c>
      <c r="S53" s="1">
        <f>IF(S$5="",0,IF(OR(S20=TRUE,ISTEXT(S20)),R53+1,0))</f>
        <v/>
      </c>
      <c r="T53" s="1">
        <f>IF(T$5="",0,IF(OR(T20=TRUE,ISTEXT(T20)),S53+1,0))</f>
        <v/>
      </c>
      <c r="U53" s="1">
        <f>IF(U$5="",0,IF(OR(U20=TRUE,ISTEXT(U20)),T53+1,0))</f>
        <v/>
      </c>
      <c r="V53" s="1">
        <f>IF(V$5="",0,IF(OR(V20=TRUE,ISTEXT(V20)),U53+1,0))</f>
        <v/>
      </c>
      <c r="W53" s="1">
        <f>IF(W$5="",0,IF(OR(W20=TRUE,ISTEXT(W20)),V53+1,0))</f>
        <v/>
      </c>
      <c r="X53" s="1">
        <f>IF(X$5="",0,IF(OR(X20=TRUE,ISTEXT(X20)),W53+1,0))</f>
        <v/>
      </c>
      <c r="Y53" s="1">
        <f>IF(Y$5="",0,IF(OR(Y20=TRUE,ISTEXT(Y20)),X53+1,0))</f>
        <v/>
      </c>
      <c r="Z53" s="1">
        <f>IF(Z$5="",0,IF(OR(Z20=TRUE,ISTEXT(Z20)),Y53+1,0))</f>
        <v/>
      </c>
      <c r="AA53" s="1">
        <f>IF(AA$5="",0,IF(OR(AA20=TRUE,ISTEXT(AA20)),Z53+1,0))</f>
        <v/>
      </c>
      <c r="AB53" s="1">
        <f>IF(AB$5="",0,IF(OR(AB20=TRUE,ISTEXT(AB20)),AA53+1,0))</f>
        <v/>
      </c>
      <c r="AC53" s="1">
        <f>IF(AC$5="",0,IF(OR(AC20=TRUE,ISTEXT(AC20)),AB53+1,0))</f>
        <v/>
      </c>
      <c r="AD53" s="1">
        <f>IF(AD$5="",0,IF(OR(AD20=TRUE,ISTEXT(AD20)),AC53+1,0))</f>
        <v/>
      </c>
      <c r="AE53" s="1">
        <f>IF(AE$5="",0,IF(OR(AE20=TRUE,ISTEXT(AE20)),AD53+1,0))</f>
        <v/>
      </c>
      <c r="AF53" s="1">
        <f>IF(AF$5="",0,IF(OR(AF20=TRUE,ISTEXT(AF20)),AE53+1,0))</f>
        <v/>
      </c>
      <c r="AG53" s="1">
        <f>IF(AG$5="",0,IF(OR(AG20=TRUE,ISTEXT(AG20)),AF53+1,0))</f>
        <v/>
      </c>
      <c r="AH53" s="1" t="n"/>
      <c r="AI53" s="1" t="n"/>
      <c r="AJ53" s="1" t="n"/>
      <c r="AK53" s="1" t="n"/>
      <c r="AL53" s="1" t="n"/>
    </row>
    <row r="54" hidden="1">
      <c r="A54" s="1" t="n"/>
      <c r="B54" s="1">
        <f>B21</f>
        <v/>
      </c>
      <c r="C54" s="1">
        <f>IF(C$5="",0,IF(OR(C21=TRUE,ISTEXT(C21)),IFERROR(INDEX(Sep!$C$54:$AG$54,DAY(EOMONTH(DATE(Habits!$C$4,9,1),0))),0)+1,0))</f>
        <v/>
      </c>
      <c r="D54" s="1">
        <f>IF(D$5="",0,IF(OR(D21=TRUE,ISTEXT(D21)),C54+1,0))</f>
        <v/>
      </c>
      <c r="E54" s="1">
        <f>IF(E$5="",0,IF(OR(E21=TRUE,ISTEXT(E21)),D54+1,0))</f>
        <v/>
      </c>
      <c r="F54" s="1">
        <f>IF(F$5="",0,IF(OR(F21=TRUE,ISTEXT(F21)),E54+1,0))</f>
        <v/>
      </c>
      <c r="G54" s="1">
        <f>IF(G$5="",0,IF(OR(G21=TRUE,ISTEXT(G21)),F54+1,0))</f>
        <v/>
      </c>
      <c r="H54" s="1">
        <f>IF(H$5="",0,IF(OR(H21=TRUE,ISTEXT(H21)),G54+1,0))</f>
        <v/>
      </c>
      <c r="I54" s="1">
        <f>IF(I$5="",0,IF(OR(I21=TRUE,ISTEXT(I21)),H54+1,0))</f>
        <v/>
      </c>
      <c r="J54" s="1">
        <f>IF(J$5="",0,IF(OR(J21=TRUE,ISTEXT(J21)),I54+1,0))</f>
        <v/>
      </c>
      <c r="K54" s="1">
        <f>IF(K$5="",0,IF(OR(K21=TRUE,ISTEXT(K21)),J54+1,0))</f>
        <v/>
      </c>
      <c r="L54" s="1">
        <f>IF(L$5="",0,IF(OR(L21=TRUE,ISTEXT(L21)),K54+1,0))</f>
        <v/>
      </c>
      <c r="M54" s="1">
        <f>IF(M$5="",0,IF(OR(M21=TRUE,ISTEXT(M21)),L54+1,0))</f>
        <v/>
      </c>
      <c r="N54" s="1">
        <f>IF(N$5="",0,IF(OR(N21=TRUE,ISTEXT(N21)),M54+1,0))</f>
        <v/>
      </c>
      <c r="O54" s="1">
        <f>IF(O$5="",0,IF(OR(O21=TRUE,ISTEXT(O21)),N54+1,0))</f>
        <v/>
      </c>
      <c r="P54" s="1">
        <f>IF(P$5="",0,IF(OR(P21=TRUE,ISTEXT(P21)),O54+1,0))</f>
        <v/>
      </c>
      <c r="Q54" s="1">
        <f>IF(Q$5="",0,IF(OR(Q21=TRUE,ISTEXT(Q21)),P54+1,0))</f>
        <v/>
      </c>
      <c r="R54" s="1">
        <f>IF(R$5="",0,IF(OR(R21=TRUE,ISTEXT(R21)),Q54+1,0))</f>
        <v/>
      </c>
      <c r="S54" s="1">
        <f>IF(S$5="",0,IF(OR(S21=TRUE,ISTEXT(S21)),R54+1,0))</f>
        <v/>
      </c>
      <c r="T54" s="1">
        <f>IF(T$5="",0,IF(OR(T21=TRUE,ISTEXT(T21)),S54+1,0))</f>
        <v/>
      </c>
      <c r="U54" s="1">
        <f>IF(U$5="",0,IF(OR(U21=TRUE,ISTEXT(U21)),T54+1,0))</f>
        <v/>
      </c>
      <c r="V54" s="1">
        <f>IF(V$5="",0,IF(OR(V21=TRUE,ISTEXT(V21)),U54+1,0))</f>
        <v/>
      </c>
      <c r="W54" s="1">
        <f>IF(W$5="",0,IF(OR(W21=TRUE,ISTEXT(W21)),V54+1,0))</f>
        <v/>
      </c>
      <c r="X54" s="1">
        <f>IF(X$5="",0,IF(OR(X21=TRUE,ISTEXT(X21)),W54+1,0))</f>
        <v/>
      </c>
      <c r="Y54" s="1">
        <f>IF(Y$5="",0,IF(OR(Y21=TRUE,ISTEXT(Y21)),X54+1,0))</f>
        <v/>
      </c>
      <c r="Z54" s="1">
        <f>IF(Z$5="",0,IF(OR(Z21=TRUE,ISTEXT(Z21)),Y54+1,0))</f>
        <v/>
      </c>
      <c r="AA54" s="1">
        <f>IF(AA$5="",0,IF(OR(AA21=TRUE,ISTEXT(AA21)),Z54+1,0))</f>
        <v/>
      </c>
      <c r="AB54" s="1">
        <f>IF(AB$5="",0,IF(OR(AB21=TRUE,ISTEXT(AB21)),AA54+1,0))</f>
        <v/>
      </c>
      <c r="AC54" s="1">
        <f>IF(AC$5="",0,IF(OR(AC21=TRUE,ISTEXT(AC21)),AB54+1,0))</f>
        <v/>
      </c>
      <c r="AD54" s="1">
        <f>IF(AD$5="",0,IF(OR(AD21=TRUE,ISTEXT(AD21)),AC54+1,0))</f>
        <v/>
      </c>
      <c r="AE54" s="1">
        <f>IF(AE$5="",0,IF(OR(AE21=TRUE,ISTEXT(AE21)),AD54+1,0))</f>
        <v/>
      </c>
      <c r="AF54" s="1">
        <f>IF(AF$5="",0,IF(OR(AF21=TRUE,ISTEXT(AF21)),AE54+1,0))</f>
        <v/>
      </c>
      <c r="AG54" s="1">
        <f>IF(AG$5="",0,IF(OR(AG21=TRUE,ISTEXT(AG21)),AF54+1,0))</f>
        <v/>
      </c>
      <c r="AH54" s="1" t="n"/>
      <c r="AI54" s="1" t="n"/>
      <c r="AJ54" s="1" t="n"/>
      <c r="AK54" s="1" t="n"/>
      <c r="A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</sheetData>
  <mergeCells count="2">
    <mergeCell ref="AH24:AI24"/>
    <mergeCell ref="AH23:AI23"/>
  </mergeCells>
  <conditionalFormatting sqref="C7:AG24">
    <cfRule type="expression" priority="1" dxfId="12">
      <formula>C$5=""</formula>
    </cfRule>
  </conditionalFormatting>
  <conditionalFormatting sqref="C7:AG21">
    <cfRule type="expression" priority="2" dxfId="13">
      <formula>AND($B7&lt;&gt;"",OR(C7=TRUE,ISTEXT(C7)))</formula>
    </cfRule>
    <cfRule type="expression" priority="3" dxfId="14">
      <formula>$B7=""</formula>
    </cfRule>
  </conditionalFormatting>
  <conditionalFormatting sqref="C23:AG23">
    <cfRule type="expression" priority="4" dxfId="1">
      <formula>C23=5</formula>
    </cfRule>
    <cfRule type="expression" priority="5" dxfId="2">
      <formula>C23=4</formula>
    </cfRule>
    <cfRule type="expression" priority="6" dxfId="3">
      <formula>C23=3</formula>
    </cfRule>
    <cfRule type="expression" priority="7" dxfId="4">
      <formula>C23=2</formula>
    </cfRule>
    <cfRule type="expression" priority="8" dxfId="5">
      <formula>C23=1</formula>
    </cfRule>
  </conditionalFormatting>
  <conditionalFormatting sqref="C5:AG5">
    <cfRule type="expression" priority="9" dxfId="15">
      <formula>AND(C$5&lt;&gt;"",DATE(Habits!$C$4,10,C$5)=TODAY())</formula>
    </cfRule>
  </conditionalFormatting>
  <conditionalFormatting sqref="AI7:AI21">
    <cfRule type="colorScale" priority="10">
      <colorScale>
        <cfvo type="num" val="0"/>
        <cfvo type="num" val="1"/>
        <color rgb="00FFFFFF"/>
        <color rgb="008CC5A8"/>
      </colorScale>
    </cfRule>
  </conditionalFormatting>
  <dataValidations count="1">
    <dataValidation sqref="C23:AG2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L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7" customWidth="1" min="34" max="34"/>
    <col width="7" customWidth="1" min="35" max="35"/>
    <col width="8" customWidth="1" min="36" max="36"/>
    <col width="8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>
        <f>"November "&amp;Habits!$C$4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Type x on each day you did a habit. Mood from 1 to 5, sleep in hours.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30" customHeight="1">
      <c r="A5" s="1" t="n"/>
      <c r="B5" s="28" t="inlineStr">
        <is>
          <t>Habit</t>
        </is>
      </c>
      <c r="C5" s="29">
        <f>IF(1&lt;=DAY(EOMONTH(DATE(Habits!$C$4,11,1),0)),1,"")</f>
        <v/>
      </c>
      <c r="D5" s="29">
        <f>IF(2&lt;=DAY(EOMONTH(DATE(Habits!$C$4,11,1),0)),2,"")</f>
        <v/>
      </c>
      <c r="E5" s="29">
        <f>IF(3&lt;=DAY(EOMONTH(DATE(Habits!$C$4,11,1),0)),3,"")</f>
        <v/>
      </c>
      <c r="F5" s="29">
        <f>IF(4&lt;=DAY(EOMONTH(DATE(Habits!$C$4,11,1),0)),4,"")</f>
        <v/>
      </c>
      <c r="G5" s="29">
        <f>IF(5&lt;=DAY(EOMONTH(DATE(Habits!$C$4,11,1),0)),5,"")</f>
        <v/>
      </c>
      <c r="H5" s="29">
        <f>IF(6&lt;=DAY(EOMONTH(DATE(Habits!$C$4,11,1),0)),6,"")</f>
        <v/>
      </c>
      <c r="I5" s="29">
        <f>IF(7&lt;=DAY(EOMONTH(DATE(Habits!$C$4,11,1),0)),7,"")</f>
        <v/>
      </c>
      <c r="J5" s="29">
        <f>IF(8&lt;=DAY(EOMONTH(DATE(Habits!$C$4,11,1),0)),8,"")</f>
        <v/>
      </c>
      <c r="K5" s="29">
        <f>IF(9&lt;=DAY(EOMONTH(DATE(Habits!$C$4,11,1),0)),9,"")</f>
        <v/>
      </c>
      <c r="L5" s="29">
        <f>IF(10&lt;=DAY(EOMONTH(DATE(Habits!$C$4,11,1),0)),10,"")</f>
        <v/>
      </c>
      <c r="M5" s="29">
        <f>IF(11&lt;=DAY(EOMONTH(DATE(Habits!$C$4,11,1),0)),11,"")</f>
        <v/>
      </c>
      <c r="N5" s="29">
        <f>IF(12&lt;=DAY(EOMONTH(DATE(Habits!$C$4,11,1),0)),12,"")</f>
        <v/>
      </c>
      <c r="O5" s="29">
        <f>IF(13&lt;=DAY(EOMONTH(DATE(Habits!$C$4,11,1),0)),13,"")</f>
        <v/>
      </c>
      <c r="P5" s="29">
        <f>IF(14&lt;=DAY(EOMONTH(DATE(Habits!$C$4,11,1),0)),14,"")</f>
        <v/>
      </c>
      <c r="Q5" s="29">
        <f>IF(15&lt;=DAY(EOMONTH(DATE(Habits!$C$4,11,1),0)),15,"")</f>
        <v/>
      </c>
      <c r="R5" s="29">
        <f>IF(16&lt;=DAY(EOMONTH(DATE(Habits!$C$4,11,1),0)),16,"")</f>
        <v/>
      </c>
      <c r="S5" s="29">
        <f>IF(17&lt;=DAY(EOMONTH(DATE(Habits!$C$4,11,1),0)),17,"")</f>
        <v/>
      </c>
      <c r="T5" s="29">
        <f>IF(18&lt;=DAY(EOMONTH(DATE(Habits!$C$4,11,1),0)),18,"")</f>
        <v/>
      </c>
      <c r="U5" s="29">
        <f>IF(19&lt;=DAY(EOMONTH(DATE(Habits!$C$4,11,1),0)),19,"")</f>
        <v/>
      </c>
      <c r="V5" s="29">
        <f>IF(20&lt;=DAY(EOMONTH(DATE(Habits!$C$4,11,1),0)),20,"")</f>
        <v/>
      </c>
      <c r="W5" s="29">
        <f>IF(21&lt;=DAY(EOMONTH(DATE(Habits!$C$4,11,1),0)),21,"")</f>
        <v/>
      </c>
      <c r="X5" s="29">
        <f>IF(22&lt;=DAY(EOMONTH(DATE(Habits!$C$4,11,1),0)),22,"")</f>
        <v/>
      </c>
      <c r="Y5" s="29">
        <f>IF(23&lt;=DAY(EOMONTH(DATE(Habits!$C$4,11,1),0)),23,"")</f>
        <v/>
      </c>
      <c r="Z5" s="29">
        <f>IF(24&lt;=DAY(EOMONTH(DATE(Habits!$C$4,11,1),0)),24,"")</f>
        <v/>
      </c>
      <c r="AA5" s="29">
        <f>IF(25&lt;=DAY(EOMONTH(DATE(Habits!$C$4,11,1),0)),25,"")</f>
        <v/>
      </c>
      <c r="AB5" s="29">
        <f>IF(26&lt;=DAY(EOMONTH(DATE(Habits!$C$4,11,1),0)),26,"")</f>
        <v/>
      </c>
      <c r="AC5" s="29">
        <f>IF(27&lt;=DAY(EOMONTH(DATE(Habits!$C$4,11,1),0)),27,"")</f>
        <v/>
      </c>
      <c r="AD5" s="29">
        <f>IF(28&lt;=DAY(EOMONTH(DATE(Habits!$C$4,11,1),0)),28,"")</f>
        <v/>
      </c>
      <c r="AE5" s="29">
        <f>IF(29&lt;=DAY(EOMONTH(DATE(Habits!$C$4,11,1),0)),29,"")</f>
        <v/>
      </c>
      <c r="AF5" s="29">
        <f>IF(30&lt;=DAY(EOMONTH(DATE(Habits!$C$4,11,1),0)),30,"")</f>
        <v/>
      </c>
      <c r="AG5" s="29">
        <f>IF(31&lt;=DAY(EOMONTH(DATE(Habits!$C$4,11,1),0)),31,"")</f>
        <v/>
      </c>
      <c r="AH5" s="30" t="inlineStr">
        <is>
          <t>Done</t>
        </is>
      </c>
      <c r="AI5" s="30" t="inlineStr">
        <is>
          <t>Share</t>
        </is>
      </c>
      <c r="AJ5" s="30" t="inlineStr">
        <is>
          <t>Streak now</t>
        </is>
      </c>
      <c r="AK5" s="30" t="inlineStr">
        <is>
          <t>Best streak</t>
        </is>
      </c>
      <c r="AL5" s="1" t="n"/>
    </row>
    <row r="6">
      <c r="A6" s="1" t="n"/>
      <c r="B6" s="1" t="n"/>
      <c r="C6" s="31">
        <f>IF(C$5="","",CHOOSE(WEEKDAY(DATE(Habits!$C$4,11,1),2),"M","T","W","T","F","S","S"))</f>
        <v/>
      </c>
      <c r="D6" s="31">
        <f>IF(D$5="","",CHOOSE(WEEKDAY(DATE(Habits!$C$4,11,2),2),"M","T","W","T","F","S","S"))</f>
        <v/>
      </c>
      <c r="E6" s="31">
        <f>IF(E$5="","",CHOOSE(WEEKDAY(DATE(Habits!$C$4,11,3),2),"M","T","W","T","F","S","S"))</f>
        <v/>
      </c>
      <c r="F6" s="31">
        <f>IF(F$5="","",CHOOSE(WEEKDAY(DATE(Habits!$C$4,11,4),2),"M","T","W","T","F","S","S"))</f>
        <v/>
      </c>
      <c r="G6" s="31">
        <f>IF(G$5="","",CHOOSE(WEEKDAY(DATE(Habits!$C$4,11,5),2),"M","T","W","T","F","S","S"))</f>
        <v/>
      </c>
      <c r="H6" s="31">
        <f>IF(H$5="","",CHOOSE(WEEKDAY(DATE(Habits!$C$4,11,6),2),"M","T","W","T","F","S","S"))</f>
        <v/>
      </c>
      <c r="I6" s="31">
        <f>IF(I$5="","",CHOOSE(WEEKDAY(DATE(Habits!$C$4,11,7),2),"M","T","W","T","F","S","S"))</f>
        <v/>
      </c>
      <c r="J6" s="31">
        <f>IF(J$5="","",CHOOSE(WEEKDAY(DATE(Habits!$C$4,11,8),2),"M","T","W","T","F","S","S"))</f>
        <v/>
      </c>
      <c r="K6" s="31">
        <f>IF(K$5="","",CHOOSE(WEEKDAY(DATE(Habits!$C$4,11,9),2),"M","T","W","T","F","S","S"))</f>
        <v/>
      </c>
      <c r="L6" s="31">
        <f>IF(L$5="","",CHOOSE(WEEKDAY(DATE(Habits!$C$4,11,10),2),"M","T","W","T","F","S","S"))</f>
        <v/>
      </c>
      <c r="M6" s="31">
        <f>IF(M$5="","",CHOOSE(WEEKDAY(DATE(Habits!$C$4,11,11),2),"M","T","W","T","F","S","S"))</f>
        <v/>
      </c>
      <c r="N6" s="31">
        <f>IF(N$5="","",CHOOSE(WEEKDAY(DATE(Habits!$C$4,11,12),2),"M","T","W","T","F","S","S"))</f>
        <v/>
      </c>
      <c r="O6" s="31">
        <f>IF(O$5="","",CHOOSE(WEEKDAY(DATE(Habits!$C$4,11,13),2),"M","T","W","T","F","S","S"))</f>
        <v/>
      </c>
      <c r="P6" s="31">
        <f>IF(P$5="","",CHOOSE(WEEKDAY(DATE(Habits!$C$4,11,14),2),"M","T","W","T","F","S","S"))</f>
        <v/>
      </c>
      <c r="Q6" s="31">
        <f>IF(Q$5="","",CHOOSE(WEEKDAY(DATE(Habits!$C$4,11,15),2),"M","T","W","T","F","S","S"))</f>
        <v/>
      </c>
      <c r="R6" s="31">
        <f>IF(R$5="","",CHOOSE(WEEKDAY(DATE(Habits!$C$4,11,16),2),"M","T","W","T","F","S","S"))</f>
        <v/>
      </c>
      <c r="S6" s="31">
        <f>IF(S$5="","",CHOOSE(WEEKDAY(DATE(Habits!$C$4,11,17),2),"M","T","W","T","F","S","S"))</f>
        <v/>
      </c>
      <c r="T6" s="31">
        <f>IF(T$5="","",CHOOSE(WEEKDAY(DATE(Habits!$C$4,11,18),2),"M","T","W","T","F","S","S"))</f>
        <v/>
      </c>
      <c r="U6" s="31">
        <f>IF(U$5="","",CHOOSE(WEEKDAY(DATE(Habits!$C$4,11,19),2),"M","T","W","T","F","S","S"))</f>
        <v/>
      </c>
      <c r="V6" s="31">
        <f>IF(V$5="","",CHOOSE(WEEKDAY(DATE(Habits!$C$4,11,20),2),"M","T","W","T","F","S","S"))</f>
        <v/>
      </c>
      <c r="W6" s="31">
        <f>IF(W$5="","",CHOOSE(WEEKDAY(DATE(Habits!$C$4,11,21),2),"M","T","W","T","F","S","S"))</f>
        <v/>
      </c>
      <c r="X6" s="31">
        <f>IF(X$5="","",CHOOSE(WEEKDAY(DATE(Habits!$C$4,11,22),2),"M","T","W","T","F","S","S"))</f>
        <v/>
      </c>
      <c r="Y6" s="31">
        <f>IF(Y$5="","",CHOOSE(WEEKDAY(DATE(Habits!$C$4,11,23),2),"M","T","W","T","F","S","S"))</f>
        <v/>
      </c>
      <c r="Z6" s="31">
        <f>IF(Z$5="","",CHOOSE(WEEKDAY(DATE(Habits!$C$4,11,24),2),"M","T","W","T","F","S","S"))</f>
        <v/>
      </c>
      <c r="AA6" s="31">
        <f>IF(AA$5="","",CHOOSE(WEEKDAY(DATE(Habits!$C$4,11,25),2),"M","T","W","T","F","S","S"))</f>
        <v/>
      </c>
      <c r="AB6" s="31">
        <f>IF(AB$5="","",CHOOSE(WEEKDAY(DATE(Habits!$C$4,11,26),2),"M","T","W","T","F","S","S"))</f>
        <v/>
      </c>
      <c r="AC6" s="31">
        <f>IF(AC$5="","",CHOOSE(WEEKDAY(DATE(Habits!$C$4,11,27),2),"M","T","W","T","F","S","S"))</f>
        <v/>
      </c>
      <c r="AD6" s="31">
        <f>IF(AD$5="","",CHOOSE(WEEKDAY(DATE(Habits!$C$4,11,28),2),"M","T","W","T","F","S","S"))</f>
        <v/>
      </c>
      <c r="AE6" s="31">
        <f>IF(AE$5="","",CHOOSE(WEEKDAY(DATE(Habits!$C$4,11,29),2),"M","T","W","T","F","S","S"))</f>
        <v/>
      </c>
      <c r="AF6" s="31">
        <f>IF(AF$5="","",CHOOSE(WEEKDAY(DATE(Habits!$C$4,11,30),2),"M","T","W","T","F","S","S"))</f>
        <v/>
      </c>
      <c r="AG6" s="31">
        <f>IF(AG$5="","",CHOOSE(WEEKDAY(DATE(Habits!$C$4,11,31),2),"M","T","W","T","F","S","S"))</f>
        <v/>
      </c>
      <c r="AH6" s="1" t="n"/>
      <c r="AI6" s="1" t="n"/>
      <c r="AJ6" s="1" t="n"/>
      <c r="AK6" s="1" t="n"/>
      <c r="AL6" s="1" t="n"/>
    </row>
    <row r="7">
      <c r="A7" s="1" t="n"/>
      <c r="B7" s="32">
        <f>IF(Habits!B8="","",Habits!B8)</f>
        <v/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  <c r="Y7" s="33" t="n"/>
      <c r="Z7" s="33" t="n"/>
      <c r="AA7" s="33" t="n"/>
      <c r="AB7" s="33" t="n"/>
      <c r="AC7" s="33" t="n"/>
      <c r="AD7" s="33" t="n"/>
      <c r="AE7" s="33" t="n"/>
      <c r="AF7" s="33" t="n"/>
      <c r="AG7" s="33" t="n"/>
      <c r="AH7" s="13">
        <f>IF(B7="","",COUNTIF($C40:$AG40,"&gt;0"))</f>
        <v/>
      </c>
      <c r="AI7" s="14">
        <f>IF(OR(B7="",IF(AND(Habits!$C$4=YEAR(TODAY()),11=MONTH(TODAY())),DAY(TODAY()),IF(DATE(Habits!$C$4,11,1)&gt;TODAY(),0,DAY(EOMONTH(DATE(Habits!$C$4,11,1),0))))=0),"",MIN(1,(COUNTIF($C40:$AG40,"&gt;0"))/IF(AND(Habits!$C$4=YEAR(TODAY()),11=MONTH(TODAY())),DAY(TODAY()),IF(DATE(Habits!$C$4,11,1)&gt;TODAY(),0,DAY(EOMONTH(DATE(Habits!$C$4,11,1),0))))))</f>
        <v/>
      </c>
      <c r="AJ7" s="16">
        <f>IF(B7="","",IF(AND(Habits!$C$4=YEAR(TODAY()),11=MONTH(TODAY())),IF(INDEX($C40:$AG40,DAY(TODAY()))&gt;0,INDEX($C40:$AG40,DAY(TODAY())),IF(DAY(TODAY())=1,IFERROR(INDEX(Oct!$C$40:$AG$40,DAY(EOMONTH(DATE(Habits!$C$4,10,1),0))),0),INDEX($C40:$AG40,DAY(TODAY())-1))),IF(DATE(Habits!$C$4,11,1)&gt;TODAY(),"",INDEX($C40:$AG40,DAY(EOMONTH(DATE(Habits!$C$4,11,1),0))))))</f>
        <v/>
      </c>
      <c r="AK7" s="13">
        <f>IF(B7="","",MAX($C40:$AG40))</f>
        <v/>
      </c>
      <c r="AL7" s="1" t="n"/>
    </row>
    <row r="8">
      <c r="A8" s="1" t="n"/>
      <c r="B8" s="32">
        <f>IF(Habits!B9="","",Habits!B9)</f>
        <v/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3" t="n"/>
      <c r="AG8" s="33" t="n"/>
      <c r="AH8" s="13">
        <f>IF(B8="","",COUNTIF($C41:$AG41,"&gt;0"))</f>
        <v/>
      </c>
      <c r="AI8" s="14">
        <f>IF(OR(B8="",IF(AND(Habits!$C$4=YEAR(TODAY()),11=MONTH(TODAY())),DAY(TODAY()),IF(DATE(Habits!$C$4,11,1)&gt;TODAY(),0,DAY(EOMONTH(DATE(Habits!$C$4,11,1),0))))=0),"",MIN(1,(COUNTIF($C41:$AG41,"&gt;0"))/IF(AND(Habits!$C$4=YEAR(TODAY()),11=MONTH(TODAY())),DAY(TODAY()),IF(DATE(Habits!$C$4,11,1)&gt;TODAY(),0,DAY(EOMONTH(DATE(Habits!$C$4,11,1),0))))))</f>
        <v/>
      </c>
      <c r="AJ8" s="16">
        <f>IF(B8="","",IF(AND(Habits!$C$4=YEAR(TODAY()),11=MONTH(TODAY())),IF(INDEX($C41:$AG41,DAY(TODAY()))&gt;0,INDEX($C41:$AG41,DAY(TODAY())),IF(DAY(TODAY())=1,IFERROR(INDEX(Oct!$C$41:$AG$41,DAY(EOMONTH(DATE(Habits!$C$4,10,1),0))),0),INDEX($C41:$AG41,DAY(TODAY())-1))),IF(DATE(Habits!$C$4,11,1)&gt;TODAY(),"",INDEX($C41:$AG41,DAY(EOMONTH(DATE(Habits!$C$4,11,1),0))))))</f>
        <v/>
      </c>
      <c r="AK8" s="13">
        <f>IF(B8="","",MAX($C41:$AG41))</f>
        <v/>
      </c>
      <c r="AL8" s="1" t="n"/>
    </row>
    <row r="9">
      <c r="A9" s="1" t="n"/>
      <c r="B9" s="32">
        <f>IF(Habits!B10="","",Habits!B10)</f>
        <v/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H9" s="13">
        <f>IF(B9="","",COUNTIF($C42:$AG42,"&gt;0"))</f>
        <v/>
      </c>
      <c r="AI9" s="14">
        <f>IF(OR(B9="",IF(AND(Habits!$C$4=YEAR(TODAY()),11=MONTH(TODAY())),DAY(TODAY()),IF(DATE(Habits!$C$4,11,1)&gt;TODAY(),0,DAY(EOMONTH(DATE(Habits!$C$4,11,1),0))))=0),"",MIN(1,(COUNTIF($C42:$AG42,"&gt;0"))/IF(AND(Habits!$C$4=YEAR(TODAY()),11=MONTH(TODAY())),DAY(TODAY()),IF(DATE(Habits!$C$4,11,1)&gt;TODAY(),0,DAY(EOMONTH(DATE(Habits!$C$4,11,1),0))))))</f>
        <v/>
      </c>
      <c r="AJ9" s="16">
        <f>IF(B9="","",IF(AND(Habits!$C$4=YEAR(TODAY()),11=MONTH(TODAY())),IF(INDEX($C42:$AG42,DAY(TODAY()))&gt;0,INDEX($C42:$AG42,DAY(TODAY())),IF(DAY(TODAY())=1,IFERROR(INDEX(Oct!$C$42:$AG$42,DAY(EOMONTH(DATE(Habits!$C$4,10,1),0))),0),INDEX($C42:$AG42,DAY(TODAY())-1))),IF(DATE(Habits!$C$4,11,1)&gt;TODAY(),"",INDEX($C42:$AG42,DAY(EOMONTH(DATE(Habits!$C$4,11,1),0))))))</f>
        <v/>
      </c>
      <c r="AK9" s="13">
        <f>IF(B9="","",MAX($C42:$AG42))</f>
        <v/>
      </c>
      <c r="AL9" s="1" t="n"/>
    </row>
    <row r="10">
      <c r="A10" s="1" t="n"/>
      <c r="B10" s="32">
        <f>IF(Habits!B11="","",Habits!B11)</f>
        <v/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3" t="n"/>
      <c r="AG10" s="33" t="n"/>
      <c r="AH10" s="13">
        <f>IF(B10="","",COUNTIF($C43:$AG43,"&gt;0"))</f>
        <v/>
      </c>
      <c r="AI10" s="14">
        <f>IF(OR(B10="",IF(AND(Habits!$C$4=YEAR(TODAY()),11=MONTH(TODAY())),DAY(TODAY()),IF(DATE(Habits!$C$4,11,1)&gt;TODAY(),0,DAY(EOMONTH(DATE(Habits!$C$4,11,1),0))))=0),"",MIN(1,(COUNTIF($C43:$AG43,"&gt;0"))/IF(AND(Habits!$C$4=YEAR(TODAY()),11=MONTH(TODAY())),DAY(TODAY()),IF(DATE(Habits!$C$4,11,1)&gt;TODAY(),0,DAY(EOMONTH(DATE(Habits!$C$4,11,1),0))))))</f>
        <v/>
      </c>
      <c r="AJ10" s="16">
        <f>IF(B10="","",IF(AND(Habits!$C$4=YEAR(TODAY()),11=MONTH(TODAY())),IF(INDEX($C43:$AG43,DAY(TODAY()))&gt;0,INDEX($C43:$AG43,DAY(TODAY())),IF(DAY(TODAY())=1,IFERROR(INDEX(Oct!$C$43:$AG$43,DAY(EOMONTH(DATE(Habits!$C$4,10,1),0))),0),INDEX($C43:$AG43,DAY(TODAY())-1))),IF(DATE(Habits!$C$4,11,1)&gt;TODAY(),"",INDEX($C43:$AG43,DAY(EOMONTH(DATE(Habits!$C$4,11,1),0))))))</f>
        <v/>
      </c>
      <c r="AK10" s="13">
        <f>IF(B10="","",MAX($C43:$AG43))</f>
        <v/>
      </c>
      <c r="AL10" s="1" t="n"/>
    </row>
    <row r="11">
      <c r="A11" s="1" t="n"/>
      <c r="B11" s="32">
        <f>IF(Habits!B12="","",Habits!B12)</f>
        <v/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3" t="n"/>
      <c r="AH11" s="13">
        <f>IF(B11="","",COUNTIF($C44:$AG44,"&gt;0"))</f>
        <v/>
      </c>
      <c r="AI11" s="14">
        <f>IF(OR(B11="",IF(AND(Habits!$C$4=YEAR(TODAY()),11=MONTH(TODAY())),DAY(TODAY()),IF(DATE(Habits!$C$4,11,1)&gt;TODAY(),0,DAY(EOMONTH(DATE(Habits!$C$4,11,1),0))))=0),"",MIN(1,(COUNTIF($C44:$AG44,"&gt;0"))/IF(AND(Habits!$C$4=YEAR(TODAY()),11=MONTH(TODAY())),DAY(TODAY()),IF(DATE(Habits!$C$4,11,1)&gt;TODAY(),0,DAY(EOMONTH(DATE(Habits!$C$4,11,1),0))))))</f>
        <v/>
      </c>
      <c r="AJ11" s="16">
        <f>IF(B11="","",IF(AND(Habits!$C$4=YEAR(TODAY()),11=MONTH(TODAY())),IF(INDEX($C44:$AG44,DAY(TODAY()))&gt;0,INDEX($C44:$AG44,DAY(TODAY())),IF(DAY(TODAY())=1,IFERROR(INDEX(Oct!$C$44:$AG$44,DAY(EOMONTH(DATE(Habits!$C$4,10,1),0))),0),INDEX($C44:$AG44,DAY(TODAY())-1))),IF(DATE(Habits!$C$4,11,1)&gt;TODAY(),"",INDEX($C44:$AG44,DAY(EOMONTH(DATE(Habits!$C$4,11,1),0))))))</f>
        <v/>
      </c>
      <c r="AK11" s="13">
        <f>IF(B11="","",MAX($C44:$AG44))</f>
        <v/>
      </c>
      <c r="AL11" s="1" t="n"/>
    </row>
    <row r="12">
      <c r="A12" s="1" t="n"/>
      <c r="B12" s="32">
        <f>IF(Habits!B13="","",Habits!B13)</f>
        <v/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13">
        <f>IF(B12="","",COUNTIF($C45:$AG45,"&gt;0"))</f>
        <v/>
      </c>
      <c r="AI12" s="14">
        <f>IF(OR(B12="",IF(AND(Habits!$C$4=YEAR(TODAY()),11=MONTH(TODAY())),DAY(TODAY()),IF(DATE(Habits!$C$4,11,1)&gt;TODAY(),0,DAY(EOMONTH(DATE(Habits!$C$4,11,1),0))))=0),"",MIN(1,(COUNTIF($C45:$AG45,"&gt;0"))/IF(AND(Habits!$C$4=YEAR(TODAY()),11=MONTH(TODAY())),DAY(TODAY()),IF(DATE(Habits!$C$4,11,1)&gt;TODAY(),0,DAY(EOMONTH(DATE(Habits!$C$4,11,1),0))))))</f>
        <v/>
      </c>
      <c r="AJ12" s="16">
        <f>IF(B12="","",IF(AND(Habits!$C$4=YEAR(TODAY()),11=MONTH(TODAY())),IF(INDEX($C45:$AG45,DAY(TODAY()))&gt;0,INDEX($C45:$AG45,DAY(TODAY())),IF(DAY(TODAY())=1,IFERROR(INDEX(Oct!$C$45:$AG$45,DAY(EOMONTH(DATE(Habits!$C$4,10,1),0))),0),INDEX($C45:$AG45,DAY(TODAY())-1))),IF(DATE(Habits!$C$4,11,1)&gt;TODAY(),"",INDEX($C45:$AG45,DAY(EOMONTH(DATE(Habits!$C$4,11,1),0))))))</f>
        <v/>
      </c>
      <c r="AK12" s="13">
        <f>IF(B12="","",MAX($C45:$AG45))</f>
        <v/>
      </c>
      <c r="AL12" s="1" t="n"/>
    </row>
    <row r="13">
      <c r="A13" s="1" t="n"/>
      <c r="B13" s="32">
        <f>IF(Habits!B14="","",Habits!B14)</f>
        <v/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33" t="n"/>
      <c r="AC13" s="33" t="n"/>
      <c r="AD13" s="33" t="n"/>
      <c r="AE13" s="33" t="n"/>
      <c r="AF13" s="33" t="n"/>
      <c r="AG13" s="33" t="n"/>
      <c r="AH13" s="13">
        <f>IF(B13="","",COUNTIF($C46:$AG46,"&gt;0"))</f>
        <v/>
      </c>
      <c r="AI13" s="14">
        <f>IF(OR(B13="",IF(AND(Habits!$C$4=YEAR(TODAY()),11=MONTH(TODAY())),DAY(TODAY()),IF(DATE(Habits!$C$4,11,1)&gt;TODAY(),0,DAY(EOMONTH(DATE(Habits!$C$4,11,1),0))))=0),"",MIN(1,(COUNTIF($C46:$AG46,"&gt;0"))/IF(AND(Habits!$C$4=YEAR(TODAY()),11=MONTH(TODAY())),DAY(TODAY()),IF(DATE(Habits!$C$4,11,1)&gt;TODAY(),0,DAY(EOMONTH(DATE(Habits!$C$4,11,1),0))))))</f>
        <v/>
      </c>
      <c r="AJ13" s="16">
        <f>IF(B13="","",IF(AND(Habits!$C$4=YEAR(TODAY()),11=MONTH(TODAY())),IF(INDEX($C46:$AG46,DAY(TODAY()))&gt;0,INDEX($C46:$AG46,DAY(TODAY())),IF(DAY(TODAY())=1,IFERROR(INDEX(Oct!$C$46:$AG$46,DAY(EOMONTH(DATE(Habits!$C$4,10,1),0))),0),INDEX($C46:$AG46,DAY(TODAY())-1))),IF(DATE(Habits!$C$4,11,1)&gt;TODAY(),"",INDEX($C46:$AG46,DAY(EOMONTH(DATE(Habits!$C$4,11,1),0))))))</f>
        <v/>
      </c>
      <c r="AK13" s="13">
        <f>IF(B13="","",MAX($C46:$AG46))</f>
        <v/>
      </c>
      <c r="AL13" s="1" t="n"/>
    </row>
    <row r="14">
      <c r="A14" s="1" t="n"/>
      <c r="B14" s="32">
        <f>IF(Habits!B15="","",Habits!B15)</f>
        <v/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13">
        <f>IF(B14="","",COUNTIF($C47:$AG47,"&gt;0"))</f>
        <v/>
      </c>
      <c r="AI14" s="14">
        <f>IF(OR(B14="",IF(AND(Habits!$C$4=YEAR(TODAY()),11=MONTH(TODAY())),DAY(TODAY()),IF(DATE(Habits!$C$4,11,1)&gt;TODAY(),0,DAY(EOMONTH(DATE(Habits!$C$4,11,1),0))))=0),"",MIN(1,(COUNTIF($C47:$AG47,"&gt;0"))/IF(AND(Habits!$C$4=YEAR(TODAY()),11=MONTH(TODAY())),DAY(TODAY()),IF(DATE(Habits!$C$4,11,1)&gt;TODAY(),0,DAY(EOMONTH(DATE(Habits!$C$4,11,1),0))))))</f>
        <v/>
      </c>
      <c r="AJ14" s="16">
        <f>IF(B14="","",IF(AND(Habits!$C$4=YEAR(TODAY()),11=MONTH(TODAY())),IF(INDEX($C47:$AG47,DAY(TODAY()))&gt;0,INDEX($C47:$AG47,DAY(TODAY())),IF(DAY(TODAY())=1,IFERROR(INDEX(Oct!$C$47:$AG$47,DAY(EOMONTH(DATE(Habits!$C$4,10,1),0))),0),INDEX($C47:$AG47,DAY(TODAY())-1))),IF(DATE(Habits!$C$4,11,1)&gt;TODAY(),"",INDEX($C47:$AG47,DAY(EOMONTH(DATE(Habits!$C$4,11,1),0))))))</f>
        <v/>
      </c>
      <c r="AK14" s="13">
        <f>IF(B14="","",MAX($C47:$AG47))</f>
        <v/>
      </c>
      <c r="AL14" s="1" t="n"/>
    </row>
    <row r="15">
      <c r="A15" s="1" t="n"/>
      <c r="B15" s="32">
        <f>IF(Habits!B16="","",Habits!B16)</f>
        <v/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13">
        <f>IF(B15="","",COUNTIF($C48:$AG48,"&gt;0"))</f>
        <v/>
      </c>
      <c r="AI15" s="14">
        <f>IF(OR(B15="",IF(AND(Habits!$C$4=YEAR(TODAY()),11=MONTH(TODAY())),DAY(TODAY()),IF(DATE(Habits!$C$4,11,1)&gt;TODAY(),0,DAY(EOMONTH(DATE(Habits!$C$4,11,1),0))))=0),"",MIN(1,(COUNTIF($C48:$AG48,"&gt;0"))/IF(AND(Habits!$C$4=YEAR(TODAY()),11=MONTH(TODAY())),DAY(TODAY()),IF(DATE(Habits!$C$4,11,1)&gt;TODAY(),0,DAY(EOMONTH(DATE(Habits!$C$4,11,1),0))))))</f>
        <v/>
      </c>
      <c r="AJ15" s="16">
        <f>IF(B15="","",IF(AND(Habits!$C$4=YEAR(TODAY()),11=MONTH(TODAY())),IF(INDEX($C48:$AG48,DAY(TODAY()))&gt;0,INDEX($C48:$AG48,DAY(TODAY())),IF(DAY(TODAY())=1,IFERROR(INDEX(Oct!$C$48:$AG$48,DAY(EOMONTH(DATE(Habits!$C$4,10,1),0))),0),INDEX($C48:$AG48,DAY(TODAY())-1))),IF(DATE(Habits!$C$4,11,1)&gt;TODAY(),"",INDEX($C48:$AG48,DAY(EOMONTH(DATE(Habits!$C$4,11,1),0))))))</f>
        <v/>
      </c>
      <c r="AK15" s="13">
        <f>IF(B15="","",MAX($C48:$AG48))</f>
        <v/>
      </c>
      <c r="AL15" s="1" t="n"/>
    </row>
    <row r="16">
      <c r="A16" s="1" t="n"/>
      <c r="B16" s="32">
        <f>IF(Habits!B17="","",Habits!B17)</f>
        <v/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13">
        <f>IF(B16="","",COUNTIF($C49:$AG49,"&gt;0"))</f>
        <v/>
      </c>
      <c r="AI16" s="14">
        <f>IF(OR(B16="",IF(AND(Habits!$C$4=YEAR(TODAY()),11=MONTH(TODAY())),DAY(TODAY()),IF(DATE(Habits!$C$4,11,1)&gt;TODAY(),0,DAY(EOMONTH(DATE(Habits!$C$4,11,1),0))))=0),"",MIN(1,(COUNTIF($C49:$AG49,"&gt;0"))/IF(AND(Habits!$C$4=YEAR(TODAY()),11=MONTH(TODAY())),DAY(TODAY()),IF(DATE(Habits!$C$4,11,1)&gt;TODAY(),0,DAY(EOMONTH(DATE(Habits!$C$4,11,1),0))))))</f>
        <v/>
      </c>
      <c r="AJ16" s="16">
        <f>IF(B16="","",IF(AND(Habits!$C$4=YEAR(TODAY()),11=MONTH(TODAY())),IF(INDEX($C49:$AG49,DAY(TODAY()))&gt;0,INDEX($C49:$AG49,DAY(TODAY())),IF(DAY(TODAY())=1,IFERROR(INDEX(Oct!$C$49:$AG$49,DAY(EOMONTH(DATE(Habits!$C$4,10,1),0))),0),INDEX($C49:$AG49,DAY(TODAY())-1))),IF(DATE(Habits!$C$4,11,1)&gt;TODAY(),"",INDEX($C49:$AG49,DAY(EOMONTH(DATE(Habits!$C$4,11,1),0))))))</f>
        <v/>
      </c>
      <c r="AK16" s="13">
        <f>IF(B16="","",MAX($C49:$AG49))</f>
        <v/>
      </c>
      <c r="AL16" s="1" t="n"/>
    </row>
    <row r="17">
      <c r="A17" s="1" t="n"/>
      <c r="B17" s="32">
        <f>IF(Habits!B18="","",Habits!B18)</f>
        <v/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13">
        <f>IF(B17="","",COUNTIF($C50:$AG50,"&gt;0"))</f>
        <v/>
      </c>
      <c r="AI17" s="14">
        <f>IF(OR(B17="",IF(AND(Habits!$C$4=YEAR(TODAY()),11=MONTH(TODAY())),DAY(TODAY()),IF(DATE(Habits!$C$4,11,1)&gt;TODAY(),0,DAY(EOMONTH(DATE(Habits!$C$4,11,1),0))))=0),"",MIN(1,(COUNTIF($C50:$AG50,"&gt;0"))/IF(AND(Habits!$C$4=YEAR(TODAY()),11=MONTH(TODAY())),DAY(TODAY()),IF(DATE(Habits!$C$4,11,1)&gt;TODAY(),0,DAY(EOMONTH(DATE(Habits!$C$4,11,1),0))))))</f>
        <v/>
      </c>
      <c r="AJ17" s="16">
        <f>IF(B17="","",IF(AND(Habits!$C$4=YEAR(TODAY()),11=MONTH(TODAY())),IF(INDEX($C50:$AG50,DAY(TODAY()))&gt;0,INDEX($C50:$AG50,DAY(TODAY())),IF(DAY(TODAY())=1,IFERROR(INDEX(Oct!$C$50:$AG$50,DAY(EOMONTH(DATE(Habits!$C$4,10,1),0))),0),INDEX($C50:$AG50,DAY(TODAY())-1))),IF(DATE(Habits!$C$4,11,1)&gt;TODAY(),"",INDEX($C50:$AG50,DAY(EOMONTH(DATE(Habits!$C$4,11,1),0))))))</f>
        <v/>
      </c>
      <c r="AK17" s="13">
        <f>IF(B17="","",MAX($C50:$AG50))</f>
        <v/>
      </c>
      <c r="AL17" s="1" t="n"/>
    </row>
    <row r="18">
      <c r="A18" s="1" t="n"/>
      <c r="B18" s="32">
        <f>IF(Habits!B19="","",Habits!B19)</f>
        <v/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13">
        <f>IF(B18="","",COUNTIF($C51:$AG51,"&gt;0"))</f>
        <v/>
      </c>
      <c r="AI18" s="14">
        <f>IF(OR(B18="",IF(AND(Habits!$C$4=YEAR(TODAY()),11=MONTH(TODAY())),DAY(TODAY()),IF(DATE(Habits!$C$4,11,1)&gt;TODAY(),0,DAY(EOMONTH(DATE(Habits!$C$4,11,1),0))))=0),"",MIN(1,(COUNTIF($C51:$AG51,"&gt;0"))/IF(AND(Habits!$C$4=YEAR(TODAY()),11=MONTH(TODAY())),DAY(TODAY()),IF(DATE(Habits!$C$4,11,1)&gt;TODAY(),0,DAY(EOMONTH(DATE(Habits!$C$4,11,1),0))))))</f>
        <v/>
      </c>
      <c r="AJ18" s="16">
        <f>IF(B18="","",IF(AND(Habits!$C$4=YEAR(TODAY()),11=MONTH(TODAY())),IF(INDEX($C51:$AG51,DAY(TODAY()))&gt;0,INDEX($C51:$AG51,DAY(TODAY())),IF(DAY(TODAY())=1,IFERROR(INDEX(Oct!$C$51:$AG$51,DAY(EOMONTH(DATE(Habits!$C$4,10,1),0))),0),INDEX($C51:$AG51,DAY(TODAY())-1))),IF(DATE(Habits!$C$4,11,1)&gt;TODAY(),"",INDEX($C51:$AG51,DAY(EOMONTH(DATE(Habits!$C$4,11,1),0))))))</f>
        <v/>
      </c>
      <c r="AK18" s="13">
        <f>IF(B18="","",MAX($C51:$AG51))</f>
        <v/>
      </c>
      <c r="AL18" s="1" t="n"/>
    </row>
    <row r="19">
      <c r="A19" s="1" t="n"/>
      <c r="B19" s="32">
        <f>IF(Habits!B20="","",Habits!B20)</f>
        <v/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13">
        <f>IF(B19="","",COUNTIF($C52:$AG52,"&gt;0"))</f>
        <v/>
      </c>
      <c r="AI19" s="14">
        <f>IF(OR(B19="",IF(AND(Habits!$C$4=YEAR(TODAY()),11=MONTH(TODAY())),DAY(TODAY()),IF(DATE(Habits!$C$4,11,1)&gt;TODAY(),0,DAY(EOMONTH(DATE(Habits!$C$4,11,1),0))))=0),"",MIN(1,(COUNTIF($C52:$AG52,"&gt;0"))/IF(AND(Habits!$C$4=YEAR(TODAY()),11=MONTH(TODAY())),DAY(TODAY()),IF(DATE(Habits!$C$4,11,1)&gt;TODAY(),0,DAY(EOMONTH(DATE(Habits!$C$4,11,1),0))))))</f>
        <v/>
      </c>
      <c r="AJ19" s="16">
        <f>IF(B19="","",IF(AND(Habits!$C$4=YEAR(TODAY()),11=MONTH(TODAY())),IF(INDEX($C52:$AG52,DAY(TODAY()))&gt;0,INDEX($C52:$AG52,DAY(TODAY())),IF(DAY(TODAY())=1,IFERROR(INDEX(Oct!$C$52:$AG$52,DAY(EOMONTH(DATE(Habits!$C$4,10,1),0))),0),INDEX($C52:$AG52,DAY(TODAY())-1))),IF(DATE(Habits!$C$4,11,1)&gt;TODAY(),"",INDEX($C52:$AG52,DAY(EOMONTH(DATE(Habits!$C$4,11,1),0))))))</f>
        <v/>
      </c>
      <c r="AK19" s="13">
        <f>IF(B19="","",MAX($C52:$AG52))</f>
        <v/>
      </c>
      <c r="AL19" s="1" t="n"/>
    </row>
    <row r="20">
      <c r="A20" s="1" t="n"/>
      <c r="B20" s="32">
        <f>IF(Habits!B21="","",Habits!B21)</f>
        <v/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13">
        <f>IF(B20="","",COUNTIF($C53:$AG53,"&gt;0"))</f>
        <v/>
      </c>
      <c r="AI20" s="14">
        <f>IF(OR(B20="",IF(AND(Habits!$C$4=YEAR(TODAY()),11=MONTH(TODAY())),DAY(TODAY()),IF(DATE(Habits!$C$4,11,1)&gt;TODAY(),0,DAY(EOMONTH(DATE(Habits!$C$4,11,1),0))))=0),"",MIN(1,(COUNTIF($C53:$AG53,"&gt;0"))/IF(AND(Habits!$C$4=YEAR(TODAY()),11=MONTH(TODAY())),DAY(TODAY()),IF(DATE(Habits!$C$4,11,1)&gt;TODAY(),0,DAY(EOMONTH(DATE(Habits!$C$4,11,1),0))))))</f>
        <v/>
      </c>
      <c r="AJ20" s="16">
        <f>IF(B20="","",IF(AND(Habits!$C$4=YEAR(TODAY()),11=MONTH(TODAY())),IF(INDEX($C53:$AG53,DAY(TODAY()))&gt;0,INDEX($C53:$AG53,DAY(TODAY())),IF(DAY(TODAY())=1,IFERROR(INDEX(Oct!$C$53:$AG$53,DAY(EOMONTH(DATE(Habits!$C$4,10,1),0))),0),INDEX($C53:$AG53,DAY(TODAY())-1))),IF(DATE(Habits!$C$4,11,1)&gt;TODAY(),"",INDEX($C53:$AG53,DAY(EOMONTH(DATE(Habits!$C$4,11,1),0))))))</f>
        <v/>
      </c>
      <c r="AK20" s="13">
        <f>IF(B20="","",MAX($C53:$AG53))</f>
        <v/>
      </c>
      <c r="AL20" s="1" t="n"/>
    </row>
    <row r="21">
      <c r="A21" s="1" t="n"/>
      <c r="B21" s="32">
        <f>IF(Habits!B22="","",Habits!B22)</f>
        <v/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13">
        <f>IF(B21="","",COUNTIF($C54:$AG54,"&gt;0"))</f>
        <v/>
      </c>
      <c r="AI21" s="14">
        <f>IF(OR(B21="",IF(AND(Habits!$C$4=YEAR(TODAY()),11=MONTH(TODAY())),DAY(TODAY()),IF(DATE(Habits!$C$4,11,1)&gt;TODAY(),0,DAY(EOMONTH(DATE(Habits!$C$4,11,1),0))))=0),"",MIN(1,(COUNTIF($C54:$AG54,"&gt;0"))/IF(AND(Habits!$C$4=YEAR(TODAY()),11=MONTH(TODAY())),DAY(TODAY()),IF(DATE(Habits!$C$4,11,1)&gt;TODAY(),0,DAY(EOMONTH(DATE(Habits!$C$4,11,1),0))))))</f>
        <v/>
      </c>
      <c r="AJ21" s="16">
        <f>IF(B21="","",IF(AND(Habits!$C$4=YEAR(TODAY()),11=MONTH(TODAY())),IF(INDEX($C54:$AG54,DAY(TODAY()))&gt;0,INDEX($C54:$AG54,DAY(TODAY())),IF(DAY(TODAY())=1,IFERROR(INDEX(Oct!$C$54:$AG$54,DAY(EOMONTH(DATE(Habits!$C$4,10,1),0))),0),INDEX($C54:$AG54,DAY(TODAY())-1))),IF(DATE(Habits!$C$4,11,1)&gt;TODAY(),"",INDEX($C54:$AG54,DAY(EOMONTH(DATE(Habits!$C$4,11,1),0))))))</f>
        <v/>
      </c>
      <c r="AK21" s="13">
        <f>IF(B21="","",MAX($C54:$AG54))</f>
        <v/>
      </c>
      <c r="A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>
      <c r="A23" s="1" t="n"/>
      <c r="B23" s="12" t="inlineStr">
        <is>
          <t>Mood (1 to 5)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5">
        <f>IFERROR(AVERAGE(C23:AG23),"")</f>
        <v/>
      </c>
      <c r="AI23" s="11" t="n"/>
      <c r="AJ23" s="36" t="inlineStr">
        <is>
          <t>average</t>
        </is>
      </c>
      <c r="AK23" s="1" t="n"/>
      <c r="AL23" s="1" t="n"/>
    </row>
    <row r="24">
      <c r="A24" s="1" t="n"/>
      <c r="B24" s="12" t="inlineStr">
        <is>
          <t>Sleep (hours)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5">
        <f>IFERROR(AVERAGE(C24:AG24),"")</f>
        <v/>
      </c>
      <c r="AI24" s="11" t="n"/>
      <c r="AJ24" s="36" t="inlineStr">
        <is>
          <t>average</t>
        </is>
      </c>
      <c r="AK24" s="1" t="n"/>
      <c r="A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idden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idden="1">
      <c r="A40" s="1" t="n"/>
      <c r="B40" s="1">
        <f>B7</f>
        <v/>
      </c>
      <c r="C40" s="1">
        <f>IF(C$5="",0,IF(OR(C7=TRUE,ISTEXT(C7)),IFERROR(INDEX(Oct!$C$40:$AG$40,DAY(EOMONTH(DATE(Habits!$C$4,10,1),0))),0)+1,0))</f>
        <v/>
      </c>
      <c r="D40" s="1">
        <f>IF(D$5="",0,IF(OR(D7=TRUE,ISTEXT(D7)),C40+1,0))</f>
        <v/>
      </c>
      <c r="E40" s="1">
        <f>IF(E$5="",0,IF(OR(E7=TRUE,ISTEXT(E7)),D40+1,0))</f>
        <v/>
      </c>
      <c r="F40" s="1">
        <f>IF(F$5="",0,IF(OR(F7=TRUE,ISTEXT(F7)),E40+1,0))</f>
        <v/>
      </c>
      <c r="G40" s="1">
        <f>IF(G$5="",0,IF(OR(G7=TRUE,ISTEXT(G7)),F40+1,0))</f>
        <v/>
      </c>
      <c r="H40" s="1">
        <f>IF(H$5="",0,IF(OR(H7=TRUE,ISTEXT(H7)),G40+1,0))</f>
        <v/>
      </c>
      <c r="I40" s="1">
        <f>IF(I$5="",0,IF(OR(I7=TRUE,ISTEXT(I7)),H40+1,0))</f>
        <v/>
      </c>
      <c r="J40" s="1">
        <f>IF(J$5="",0,IF(OR(J7=TRUE,ISTEXT(J7)),I40+1,0))</f>
        <v/>
      </c>
      <c r="K40" s="1">
        <f>IF(K$5="",0,IF(OR(K7=TRUE,ISTEXT(K7)),J40+1,0))</f>
        <v/>
      </c>
      <c r="L40" s="1">
        <f>IF(L$5="",0,IF(OR(L7=TRUE,ISTEXT(L7)),K40+1,0))</f>
        <v/>
      </c>
      <c r="M40" s="1">
        <f>IF(M$5="",0,IF(OR(M7=TRUE,ISTEXT(M7)),L40+1,0))</f>
        <v/>
      </c>
      <c r="N40" s="1">
        <f>IF(N$5="",0,IF(OR(N7=TRUE,ISTEXT(N7)),M40+1,0))</f>
        <v/>
      </c>
      <c r="O40" s="1">
        <f>IF(O$5="",0,IF(OR(O7=TRUE,ISTEXT(O7)),N40+1,0))</f>
        <v/>
      </c>
      <c r="P40" s="1">
        <f>IF(P$5="",0,IF(OR(P7=TRUE,ISTEXT(P7)),O40+1,0))</f>
        <v/>
      </c>
      <c r="Q40" s="1">
        <f>IF(Q$5="",0,IF(OR(Q7=TRUE,ISTEXT(Q7)),P40+1,0))</f>
        <v/>
      </c>
      <c r="R40" s="1">
        <f>IF(R$5="",0,IF(OR(R7=TRUE,ISTEXT(R7)),Q40+1,0))</f>
        <v/>
      </c>
      <c r="S40" s="1">
        <f>IF(S$5="",0,IF(OR(S7=TRUE,ISTEXT(S7)),R40+1,0))</f>
        <v/>
      </c>
      <c r="T40" s="1">
        <f>IF(T$5="",0,IF(OR(T7=TRUE,ISTEXT(T7)),S40+1,0))</f>
        <v/>
      </c>
      <c r="U40" s="1">
        <f>IF(U$5="",0,IF(OR(U7=TRUE,ISTEXT(U7)),T40+1,0))</f>
        <v/>
      </c>
      <c r="V40" s="1">
        <f>IF(V$5="",0,IF(OR(V7=TRUE,ISTEXT(V7)),U40+1,0))</f>
        <v/>
      </c>
      <c r="W40" s="1">
        <f>IF(W$5="",0,IF(OR(W7=TRUE,ISTEXT(W7)),V40+1,0))</f>
        <v/>
      </c>
      <c r="X40" s="1">
        <f>IF(X$5="",0,IF(OR(X7=TRUE,ISTEXT(X7)),W40+1,0))</f>
        <v/>
      </c>
      <c r="Y40" s="1">
        <f>IF(Y$5="",0,IF(OR(Y7=TRUE,ISTEXT(Y7)),X40+1,0))</f>
        <v/>
      </c>
      <c r="Z40" s="1">
        <f>IF(Z$5="",0,IF(OR(Z7=TRUE,ISTEXT(Z7)),Y40+1,0))</f>
        <v/>
      </c>
      <c r="AA40" s="1">
        <f>IF(AA$5="",0,IF(OR(AA7=TRUE,ISTEXT(AA7)),Z40+1,0))</f>
        <v/>
      </c>
      <c r="AB40" s="1">
        <f>IF(AB$5="",0,IF(OR(AB7=TRUE,ISTEXT(AB7)),AA40+1,0))</f>
        <v/>
      </c>
      <c r="AC40" s="1">
        <f>IF(AC$5="",0,IF(OR(AC7=TRUE,ISTEXT(AC7)),AB40+1,0))</f>
        <v/>
      </c>
      <c r="AD40" s="1">
        <f>IF(AD$5="",0,IF(OR(AD7=TRUE,ISTEXT(AD7)),AC40+1,0))</f>
        <v/>
      </c>
      <c r="AE40" s="1">
        <f>IF(AE$5="",0,IF(OR(AE7=TRUE,ISTEXT(AE7)),AD40+1,0))</f>
        <v/>
      </c>
      <c r="AF40" s="1">
        <f>IF(AF$5="",0,IF(OR(AF7=TRUE,ISTEXT(AF7)),AE40+1,0))</f>
        <v/>
      </c>
      <c r="AG40" s="1">
        <f>IF(AG$5="",0,IF(OR(AG7=TRUE,ISTEXT(AG7)),AF40+1,0))</f>
        <v/>
      </c>
      <c r="AH40" s="1" t="n"/>
      <c r="AI40" s="1" t="n"/>
      <c r="AJ40" s="1" t="n"/>
      <c r="AK40" s="1" t="n"/>
      <c r="AL40" s="1" t="n"/>
    </row>
    <row r="41" hidden="1">
      <c r="A41" s="1" t="n"/>
      <c r="B41" s="1">
        <f>B8</f>
        <v/>
      </c>
      <c r="C41" s="1">
        <f>IF(C$5="",0,IF(OR(C8=TRUE,ISTEXT(C8)),IFERROR(INDEX(Oct!$C$41:$AG$41,DAY(EOMONTH(DATE(Habits!$C$4,10,1),0))),0)+1,0))</f>
        <v/>
      </c>
      <c r="D41" s="1">
        <f>IF(D$5="",0,IF(OR(D8=TRUE,ISTEXT(D8)),C41+1,0))</f>
        <v/>
      </c>
      <c r="E41" s="1">
        <f>IF(E$5="",0,IF(OR(E8=TRUE,ISTEXT(E8)),D41+1,0))</f>
        <v/>
      </c>
      <c r="F41" s="1">
        <f>IF(F$5="",0,IF(OR(F8=TRUE,ISTEXT(F8)),E41+1,0))</f>
        <v/>
      </c>
      <c r="G41" s="1">
        <f>IF(G$5="",0,IF(OR(G8=TRUE,ISTEXT(G8)),F41+1,0))</f>
        <v/>
      </c>
      <c r="H41" s="1">
        <f>IF(H$5="",0,IF(OR(H8=TRUE,ISTEXT(H8)),G41+1,0))</f>
        <v/>
      </c>
      <c r="I41" s="1">
        <f>IF(I$5="",0,IF(OR(I8=TRUE,ISTEXT(I8)),H41+1,0))</f>
        <v/>
      </c>
      <c r="J41" s="1">
        <f>IF(J$5="",0,IF(OR(J8=TRUE,ISTEXT(J8)),I41+1,0))</f>
        <v/>
      </c>
      <c r="K41" s="1">
        <f>IF(K$5="",0,IF(OR(K8=TRUE,ISTEXT(K8)),J41+1,0))</f>
        <v/>
      </c>
      <c r="L41" s="1">
        <f>IF(L$5="",0,IF(OR(L8=TRUE,ISTEXT(L8)),K41+1,0))</f>
        <v/>
      </c>
      <c r="M41" s="1">
        <f>IF(M$5="",0,IF(OR(M8=TRUE,ISTEXT(M8)),L41+1,0))</f>
        <v/>
      </c>
      <c r="N41" s="1">
        <f>IF(N$5="",0,IF(OR(N8=TRUE,ISTEXT(N8)),M41+1,0))</f>
        <v/>
      </c>
      <c r="O41" s="1">
        <f>IF(O$5="",0,IF(OR(O8=TRUE,ISTEXT(O8)),N41+1,0))</f>
        <v/>
      </c>
      <c r="P41" s="1">
        <f>IF(P$5="",0,IF(OR(P8=TRUE,ISTEXT(P8)),O41+1,0))</f>
        <v/>
      </c>
      <c r="Q41" s="1">
        <f>IF(Q$5="",0,IF(OR(Q8=TRUE,ISTEXT(Q8)),P41+1,0))</f>
        <v/>
      </c>
      <c r="R41" s="1">
        <f>IF(R$5="",0,IF(OR(R8=TRUE,ISTEXT(R8)),Q41+1,0))</f>
        <v/>
      </c>
      <c r="S41" s="1">
        <f>IF(S$5="",0,IF(OR(S8=TRUE,ISTEXT(S8)),R41+1,0))</f>
        <v/>
      </c>
      <c r="T41" s="1">
        <f>IF(T$5="",0,IF(OR(T8=TRUE,ISTEXT(T8)),S41+1,0))</f>
        <v/>
      </c>
      <c r="U41" s="1">
        <f>IF(U$5="",0,IF(OR(U8=TRUE,ISTEXT(U8)),T41+1,0))</f>
        <v/>
      </c>
      <c r="V41" s="1">
        <f>IF(V$5="",0,IF(OR(V8=TRUE,ISTEXT(V8)),U41+1,0))</f>
        <v/>
      </c>
      <c r="W41" s="1">
        <f>IF(W$5="",0,IF(OR(W8=TRUE,ISTEXT(W8)),V41+1,0))</f>
        <v/>
      </c>
      <c r="X41" s="1">
        <f>IF(X$5="",0,IF(OR(X8=TRUE,ISTEXT(X8)),W41+1,0))</f>
        <v/>
      </c>
      <c r="Y41" s="1">
        <f>IF(Y$5="",0,IF(OR(Y8=TRUE,ISTEXT(Y8)),X41+1,0))</f>
        <v/>
      </c>
      <c r="Z41" s="1">
        <f>IF(Z$5="",0,IF(OR(Z8=TRUE,ISTEXT(Z8)),Y41+1,0))</f>
        <v/>
      </c>
      <c r="AA41" s="1">
        <f>IF(AA$5="",0,IF(OR(AA8=TRUE,ISTEXT(AA8)),Z41+1,0))</f>
        <v/>
      </c>
      <c r="AB41" s="1">
        <f>IF(AB$5="",0,IF(OR(AB8=TRUE,ISTEXT(AB8)),AA41+1,0))</f>
        <v/>
      </c>
      <c r="AC41" s="1">
        <f>IF(AC$5="",0,IF(OR(AC8=TRUE,ISTEXT(AC8)),AB41+1,0))</f>
        <v/>
      </c>
      <c r="AD41" s="1">
        <f>IF(AD$5="",0,IF(OR(AD8=TRUE,ISTEXT(AD8)),AC41+1,0))</f>
        <v/>
      </c>
      <c r="AE41" s="1">
        <f>IF(AE$5="",0,IF(OR(AE8=TRUE,ISTEXT(AE8)),AD41+1,0))</f>
        <v/>
      </c>
      <c r="AF41" s="1">
        <f>IF(AF$5="",0,IF(OR(AF8=TRUE,ISTEXT(AF8)),AE41+1,0))</f>
        <v/>
      </c>
      <c r="AG41" s="1">
        <f>IF(AG$5="",0,IF(OR(AG8=TRUE,ISTEXT(AG8)),AF41+1,0))</f>
        <v/>
      </c>
      <c r="AH41" s="1" t="n"/>
      <c r="AI41" s="1" t="n"/>
      <c r="AJ41" s="1" t="n"/>
      <c r="AK41" s="1" t="n"/>
      <c r="AL41" s="1" t="n"/>
    </row>
    <row r="42" hidden="1">
      <c r="A42" s="1" t="n"/>
      <c r="B42" s="1">
        <f>B9</f>
        <v/>
      </c>
      <c r="C42" s="1">
        <f>IF(C$5="",0,IF(OR(C9=TRUE,ISTEXT(C9)),IFERROR(INDEX(Oct!$C$42:$AG$42,DAY(EOMONTH(DATE(Habits!$C$4,10,1),0))),0)+1,0))</f>
        <v/>
      </c>
      <c r="D42" s="1">
        <f>IF(D$5="",0,IF(OR(D9=TRUE,ISTEXT(D9)),C42+1,0))</f>
        <v/>
      </c>
      <c r="E42" s="1">
        <f>IF(E$5="",0,IF(OR(E9=TRUE,ISTEXT(E9)),D42+1,0))</f>
        <v/>
      </c>
      <c r="F42" s="1">
        <f>IF(F$5="",0,IF(OR(F9=TRUE,ISTEXT(F9)),E42+1,0))</f>
        <v/>
      </c>
      <c r="G42" s="1">
        <f>IF(G$5="",0,IF(OR(G9=TRUE,ISTEXT(G9)),F42+1,0))</f>
        <v/>
      </c>
      <c r="H42" s="1">
        <f>IF(H$5="",0,IF(OR(H9=TRUE,ISTEXT(H9)),G42+1,0))</f>
        <v/>
      </c>
      <c r="I42" s="1">
        <f>IF(I$5="",0,IF(OR(I9=TRUE,ISTEXT(I9)),H42+1,0))</f>
        <v/>
      </c>
      <c r="J42" s="1">
        <f>IF(J$5="",0,IF(OR(J9=TRUE,ISTEXT(J9)),I42+1,0))</f>
        <v/>
      </c>
      <c r="K42" s="1">
        <f>IF(K$5="",0,IF(OR(K9=TRUE,ISTEXT(K9)),J42+1,0))</f>
        <v/>
      </c>
      <c r="L42" s="1">
        <f>IF(L$5="",0,IF(OR(L9=TRUE,ISTEXT(L9)),K42+1,0))</f>
        <v/>
      </c>
      <c r="M42" s="1">
        <f>IF(M$5="",0,IF(OR(M9=TRUE,ISTEXT(M9)),L42+1,0))</f>
        <v/>
      </c>
      <c r="N42" s="1">
        <f>IF(N$5="",0,IF(OR(N9=TRUE,ISTEXT(N9)),M42+1,0))</f>
        <v/>
      </c>
      <c r="O42" s="1">
        <f>IF(O$5="",0,IF(OR(O9=TRUE,ISTEXT(O9)),N42+1,0))</f>
        <v/>
      </c>
      <c r="P42" s="1">
        <f>IF(P$5="",0,IF(OR(P9=TRUE,ISTEXT(P9)),O42+1,0))</f>
        <v/>
      </c>
      <c r="Q42" s="1">
        <f>IF(Q$5="",0,IF(OR(Q9=TRUE,ISTEXT(Q9)),P42+1,0))</f>
        <v/>
      </c>
      <c r="R42" s="1">
        <f>IF(R$5="",0,IF(OR(R9=TRUE,ISTEXT(R9)),Q42+1,0))</f>
        <v/>
      </c>
      <c r="S42" s="1">
        <f>IF(S$5="",0,IF(OR(S9=TRUE,ISTEXT(S9)),R42+1,0))</f>
        <v/>
      </c>
      <c r="T42" s="1">
        <f>IF(T$5="",0,IF(OR(T9=TRUE,ISTEXT(T9)),S42+1,0))</f>
        <v/>
      </c>
      <c r="U42" s="1">
        <f>IF(U$5="",0,IF(OR(U9=TRUE,ISTEXT(U9)),T42+1,0))</f>
        <v/>
      </c>
      <c r="V42" s="1">
        <f>IF(V$5="",0,IF(OR(V9=TRUE,ISTEXT(V9)),U42+1,0))</f>
        <v/>
      </c>
      <c r="W42" s="1">
        <f>IF(W$5="",0,IF(OR(W9=TRUE,ISTEXT(W9)),V42+1,0))</f>
        <v/>
      </c>
      <c r="X42" s="1">
        <f>IF(X$5="",0,IF(OR(X9=TRUE,ISTEXT(X9)),W42+1,0))</f>
        <v/>
      </c>
      <c r="Y42" s="1">
        <f>IF(Y$5="",0,IF(OR(Y9=TRUE,ISTEXT(Y9)),X42+1,0))</f>
        <v/>
      </c>
      <c r="Z42" s="1">
        <f>IF(Z$5="",0,IF(OR(Z9=TRUE,ISTEXT(Z9)),Y42+1,0))</f>
        <v/>
      </c>
      <c r="AA42" s="1">
        <f>IF(AA$5="",0,IF(OR(AA9=TRUE,ISTEXT(AA9)),Z42+1,0))</f>
        <v/>
      </c>
      <c r="AB42" s="1">
        <f>IF(AB$5="",0,IF(OR(AB9=TRUE,ISTEXT(AB9)),AA42+1,0))</f>
        <v/>
      </c>
      <c r="AC42" s="1">
        <f>IF(AC$5="",0,IF(OR(AC9=TRUE,ISTEXT(AC9)),AB42+1,0))</f>
        <v/>
      </c>
      <c r="AD42" s="1">
        <f>IF(AD$5="",0,IF(OR(AD9=TRUE,ISTEXT(AD9)),AC42+1,0))</f>
        <v/>
      </c>
      <c r="AE42" s="1">
        <f>IF(AE$5="",0,IF(OR(AE9=TRUE,ISTEXT(AE9)),AD42+1,0))</f>
        <v/>
      </c>
      <c r="AF42" s="1">
        <f>IF(AF$5="",0,IF(OR(AF9=TRUE,ISTEXT(AF9)),AE42+1,0))</f>
        <v/>
      </c>
      <c r="AG42" s="1">
        <f>IF(AG$5="",0,IF(OR(AG9=TRUE,ISTEXT(AG9)),AF42+1,0))</f>
        <v/>
      </c>
      <c r="AH42" s="1" t="n"/>
      <c r="AI42" s="1" t="n"/>
      <c r="AJ42" s="1" t="n"/>
      <c r="AK42" s="1" t="n"/>
      <c r="AL42" s="1" t="n"/>
    </row>
    <row r="43" hidden="1">
      <c r="A43" s="1" t="n"/>
      <c r="B43" s="1">
        <f>B10</f>
        <v/>
      </c>
      <c r="C43" s="1">
        <f>IF(C$5="",0,IF(OR(C10=TRUE,ISTEXT(C10)),IFERROR(INDEX(Oct!$C$43:$AG$43,DAY(EOMONTH(DATE(Habits!$C$4,10,1),0))),0)+1,0))</f>
        <v/>
      </c>
      <c r="D43" s="1">
        <f>IF(D$5="",0,IF(OR(D10=TRUE,ISTEXT(D10)),C43+1,0))</f>
        <v/>
      </c>
      <c r="E43" s="1">
        <f>IF(E$5="",0,IF(OR(E10=TRUE,ISTEXT(E10)),D43+1,0))</f>
        <v/>
      </c>
      <c r="F43" s="1">
        <f>IF(F$5="",0,IF(OR(F10=TRUE,ISTEXT(F10)),E43+1,0))</f>
        <v/>
      </c>
      <c r="G43" s="1">
        <f>IF(G$5="",0,IF(OR(G10=TRUE,ISTEXT(G10)),F43+1,0))</f>
        <v/>
      </c>
      <c r="H43" s="1">
        <f>IF(H$5="",0,IF(OR(H10=TRUE,ISTEXT(H10)),G43+1,0))</f>
        <v/>
      </c>
      <c r="I43" s="1">
        <f>IF(I$5="",0,IF(OR(I10=TRUE,ISTEXT(I10)),H43+1,0))</f>
        <v/>
      </c>
      <c r="J43" s="1">
        <f>IF(J$5="",0,IF(OR(J10=TRUE,ISTEXT(J10)),I43+1,0))</f>
        <v/>
      </c>
      <c r="K43" s="1">
        <f>IF(K$5="",0,IF(OR(K10=TRUE,ISTEXT(K10)),J43+1,0))</f>
        <v/>
      </c>
      <c r="L43" s="1">
        <f>IF(L$5="",0,IF(OR(L10=TRUE,ISTEXT(L10)),K43+1,0))</f>
        <v/>
      </c>
      <c r="M43" s="1">
        <f>IF(M$5="",0,IF(OR(M10=TRUE,ISTEXT(M10)),L43+1,0))</f>
        <v/>
      </c>
      <c r="N43" s="1">
        <f>IF(N$5="",0,IF(OR(N10=TRUE,ISTEXT(N10)),M43+1,0))</f>
        <v/>
      </c>
      <c r="O43" s="1">
        <f>IF(O$5="",0,IF(OR(O10=TRUE,ISTEXT(O10)),N43+1,0))</f>
        <v/>
      </c>
      <c r="P43" s="1">
        <f>IF(P$5="",0,IF(OR(P10=TRUE,ISTEXT(P10)),O43+1,0))</f>
        <v/>
      </c>
      <c r="Q43" s="1">
        <f>IF(Q$5="",0,IF(OR(Q10=TRUE,ISTEXT(Q10)),P43+1,0))</f>
        <v/>
      </c>
      <c r="R43" s="1">
        <f>IF(R$5="",0,IF(OR(R10=TRUE,ISTEXT(R10)),Q43+1,0))</f>
        <v/>
      </c>
      <c r="S43" s="1">
        <f>IF(S$5="",0,IF(OR(S10=TRUE,ISTEXT(S10)),R43+1,0))</f>
        <v/>
      </c>
      <c r="T43" s="1">
        <f>IF(T$5="",0,IF(OR(T10=TRUE,ISTEXT(T10)),S43+1,0))</f>
        <v/>
      </c>
      <c r="U43" s="1">
        <f>IF(U$5="",0,IF(OR(U10=TRUE,ISTEXT(U10)),T43+1,0))</f>
        <v/>
      </c>
      <c r="V43" s="1">
        <f>IF(V$5="",0,IF(OR(V10=TRUE,ISTEXT(V10)),U43+1,0))</f>
        <v/>
      </c>
      <c r="W43" s="1">
        <f>IF(W$5="",0,IF(OR(W10=TRUE,ISTEXT(W10)),V43+1,0))</f>
        <v/>
      </c>
      <c r="X43" s="1">
        <f>IF(X$5="",0,IF(OR(X10=TRUE,ISTEXT(X10)),W43+1,0))</f>
        <v/>
      </c>
      <c r="Y43" s="1">
        <f>IF(Y$5="",0,IF(OR(Y10=TRUE,ISTEXT(Y10)),X43+1,0))</f>
        <v/>
      </c>
      <c r="Z43" s="1">
        <f>IF(Z$5="",0,IF(OR(Z10=TRUE,ISTEXT(Z10)),Y43+1,0))</f>
        <v/>
      </c>
      <c r="AA43" s="1">
        <f>IF(AA$5="",0,IF(OR(AA10=TRUE,ISTEXT(AA10)),Z43+1,0))</f>
        <v/>
      </c>
      <c r="AB43" s="1">
        <f>IF(AB$5="",0,IF(OR(AB10=TRUE,ISTEXT(AB10)),AA43+1,0))</f>
        <v/>
      </c>
      <c r="AC43" s="1">
        <f>IF(AC$5="",0,IF(OR(AC10=TRUE,ISTEXT(AC10)),AB43+1,0))</f>
        <v/>
      </c>
      <c r="AD43" s="1">
        <f>IF(AD$5="",0,IF(OR(AD10=TRUE,ISTEXT(AD10)),AC43+1,0))</f>
        <v/>
      </c>
      <c r="AE43" s="1">
        <f>IF(AE$5="",0,IF(OR(AE10=TRUE,ISTEXT(AE10)),AD43+1,0))</f>
        <v/>
      </c>
      <c r="AF43" s="1">
        <f>IF(AF$5="",0,IF(OR(AF10=TRUE,ISTEXT(AF10)),AE43+1,0))</f>
        <v/>
      </c>
      <c r="AG43" s="1">
        <f>IF(AG$5="",0,IF(OR(AG10=TRUE,ISTEXT(AG10)),AF43+1,0))</f>
        <v/>
      </c>
      <c r="AH43" s="1" t="n"/>
      <c r="AI43" s="1" t="n"/>
      <c r="AJ43" s="1" t="n"/>
      <c r="AK43" s="1" t="n"/>
      <c r="AL43" s="1" t="n"/>
    </row>
    <row r="44" hidden="1">
      <c r="A44" s="1" t="n"/>
      <c r="B44" s="1">
        <f>B11</f>
        <v/>
      </c>
      <c r="C44" s="1">
        <f>IF(C$5="",0,IF(OR(C11=TRUE,ISTEXT(C11)),IFERROR(INDEX(Oct!$C$44:$AG$44,DAY(EOMONTH(DATE(Habits!$C$4,10,1),0))),0)+1,0))</f>
        <v/>
      </c>
      <c r="D44" s="1">
        <f>IF(D$5="",0,IF(OR(D11=TRUE,ISTEXT(D11)),C44+1,0))</f>
        <v/>
      </c>
      <c r="E44" s="1">
        <f>IF(E$5="",0,IF(OR(E11=TRUE,ISTEXT(E11)),D44+1,0))</f>
        <v/>
      </c>
      <c r="F44" s="1">
        <f>IF(F$5="",0,IF(OR(F11=TRUE,ISTEXT(F11)),E44+1,0))</f>
        <v/>
      </c>
      <c r="G44" s="1">
        <f>IF(G$5="",0,IF(OR(G11=TRUE,ISTEXT(G11)),F44+1,0))</f>
        <v/>
      </c>
      <c r="H44" s="1">
        <f>IF(H$5="",0,IF(OR(H11=TRUE,ISTEXT(H11)),G44+1,0))</f>
        <v/>
      </c>
      <c r="I44" s="1">
        <f>IF(I$5="",0,IF(OR(I11=TRUE,ISTEXT(I11)),H44+1,0))</f>
        <v/>
      </c>
      <c r="J44" s="1">
        <f>IF(J$5="",0,IF(OR(J11=TRUE,ISTEXT(J11)),I44+1,0))</f>
        <v/>
      </c>
      <c r="K44" s="1">
        <f>IF(K$5="",0,IF(OR(K11=TRUE,ISTEXT(K11)),J44+1,0))</f>
        <v/>
      </c>
      <c r="L44" s="1">
        <f>IF(L$5="",0,IF(OR(L11=TRUE,ISTEXT(L11)),K44+1,0))</f>
        <v/>
      </c>
      <c r="M44" s="1">
        <f>IF(M$5="",0,IF(OR(M11=TRUE,ISTEXT(M11)),L44+1,0))</f>
        <v/>
      </c>
      <c r="N44" s="1">
        <f>IF(N$5="",0,IF(OR(N11=TRUE,ISTEXT(N11)),M44+1,0))</f>
        <v/>
      </c>
      <c r="O44" s="1">
        <f>IF(O$5="",0,IF(OR(O11=TRUE,ISTEXT(O11)),N44+1,0))</f>
        <v/>
      </c>
      <c r="P44" s="1">
        <f>IF(P$5="",0,IF(OR(P11=TRUE,ISTEXT(P11)),O44+1,0))</f>
        <v/>
      </c>
      <c r="Q44" s="1">
        <f>IF(Q$5="",0,IF(OR(Q11=TRUE,ISTEXT(Q11)),P44+1,0))</f>
        <v/>
      </c>
      <c r="R44" s="1">
        <f>IF(R$5="",0,IF(OR(R11=TRUE,ISTEXT(R11)),Q44+1,0))</f>
        <v/>
      </c>
      <c r="S44" s="1">
        <f>IF(S$5="",0,IF(OR(S11=TRUE,ISTEXT(S11)),R44+1,0))</f>
        <v/>
      </c>
      <c r="T44" s="1">
        <f>IF(T$5="",0,IF(OR(T11=TRUE,ISTEXT(T11)),S44+1,0))</f>
        <v/>
      </c>
      <c r="U44" s="1">
        <f>IF(U$5="",0,IF(OR(U11=TRUE,ISTEXT(U11)),T44+1,0))</f>
        <v/>
      </c>
      <c r="V44" s="1">
        <f>IF(V$5="",0,IF(OR(V11=TRUE,ISTEXT(V11)),U44+1,0))</f>
        <v/>
      </c>
      <c r="W44" s="1">
        <f>IF(W$5="",0,IF(OR(W11=TRUE,ISTEXT(W11)),V44+1,0))</f>
        <v/>
      </c>
      <c r="X44" s="1">
        <f>IF(X$5="",0,IF(OR(X11=TRUE,ISTEXT(X11)),W44+1,0))</f>
        <v/>
      </c>
      <c r="Y44" s="1">
        <f>IF(Y$5="",0,IF(OR(Y11=TRUE,ISTEXT(Y11)),X44+1,0))</f>
        <v/>
      </c>
      <c r="Z44" s="1">
        <f>IF(Z$5="",0,IF(OR(Z11=TRUE,ISTEXT(Z11)),Y44+1,0))</f>
        <v/>
      </c>
      <c r="AA44" s="1">
        <f>IF(AA$5="",0,IF(OR(AA11=TRUE,ISTEXT(AA11)),Z44+1,0))</f>
        <v/>
      </c>
      <c r="AB44" s="1">
        <f>IF(AB$5="",0,IF(OR(AB11=TRUE,ISTEXT(AB11)),AA44+1,0))</f>
        <v/>
      </c>
      <c r="AC44" s="1">
        <f>IF(AC$5="",0,IF(OR(AC11=TRUE,ISTEXT(AC11)),AB44+1,0))</f>
        <v/>
      </c>
      <c r="AD44" s="1">
        <f>IF(AD$5="",0,IF(OR(AD11=TRUE,ISTEXT(AD11)),AC44+1,0))</f>
        <v/>
      </c>
      <c r="AE44" s="1">
        <f>IF(AE$5="",0,IF(OR(AE11=TRUE,ISTEXT(AE11)),AD44+1,0))</f>
        <v/>
      </c>
      <c r="AF44" s="1">
        <f>IF(AF$5="",0,IF(OR(AF11=TRUE,ISTEXT(AF11)),AE44+1,0))</f>
        <v/>
      </c>
      <c r="AG44" s="1">
        <f>IF(AG$5="",0,IF(OR(AG11=TRUE,ISTEXT(AG11)),AF44+1,0))</f>
        <v/>
      </c>
      <c r="AH44" s="1" t="n"/>
      <c r="AI44" s="1" t="n"/>
      <c r="AJ44" s="1" t="n"/>
      <c r="AK44" s="1" t="n"/>
      <c r="AL44" s="1" t="n"/>
    </row>
    <row r="45" hidden="1">
      <c r="A45" s="1" t="n"/>
      <c r="B45" s="1">
        <f>B12</f>
        <v/>
      </c>
      <c r="C45" s="1">
        <f>IF(C$5="",0,IF(OR(C12=TRUE,ISTEXT(C12)),IFERROR(INDEX(Oct!$C$45:$AG$45,DAY(EOMONTH(DATE(Habits!$C$4,10,1),0))),0)+1,0))</f>
        <v/>
      </c>
      <c r="D45" s="1">
        <f>IF(D$5="",0,IF(OR(D12=TRUE,ISTEXT(D12)),C45+1,0))</f>
        <v/>
      </c>
      <c r="E45" s="1">
        <f>IF(E$5="",0,IF(OR(E12=TRUE,ISTEXT(E12)),D45+1,0))</f>
        <v/>
      </c>
      <c r="F45" s="1">
        <f>IF(F$5="",0,IF(OR(F12=TRUE,ISTEXT(F12)),E45+1,0))</f>
        <v/>
      </c>
      <c r="G45" s="1">
        <f>IF(G$5="",0,IF(OR(G12=TRUE,ISTEXT(G12)),F45+1,0))</f>
        <v/>
      </c>
      <c r="H45" s="1">
        <f>IF(H$5="",0,IF(OR(H12=TRUE,ISTEXT(H12)),G45+1,0))</f>
        <v/>
      </c>
      <c r="I45" s="1">
        <f>IF(I$5="",0,IF(OR(I12=TRUE,ISTEXT(I12)),H45+1,0))</f>
        <v/>
      </c>
      <c r="J45" s="1">
        <f>IF(J$5="",0,IF(OR(J12=TRUE,ISTEXT(J12)),I45+1,0))</f>
        <v/>
      </c>
      <c r="K45" s="1">
        <f>IF(K$5="",0,IF(OR(K12=TRUE,ISTEXT(K12)),J45+1,0))</f>
        <v/>
      </c>
      <c r="L45" s="1">
        <f>IF(L$5="",0,IF(OR(L12=TRUE,ISTEXT(L12)),K45+1,0))</f>
        <v/>
      </c>
      <c r="M45" s="1">
        <f>IF(M$5="",0,IF(OR(M12=TRUE,ISTEXT(M12)),L45+1,0))</f>
        <v/>
      </c>
      <c r="N45" s="1">
        <f>IF(N$5="",0,IF(OR(N12=TRUE,ISTEXT(N12)),M45+1,0))</f>
        <v/>
      </c>
      <c r="O45" s="1">
        <f>IF(O$5="",0,IF(OR(O12=TRUE,ISTEXT(O12)),N45+1,0))</f>
        <v/>
      </c>
      <c r="P45" s="1">
        <f>IF(P$5="",0,IF(OR(P12=TRUE,ISTEXT(P12)),O45+1,0))</f>
        <v/>
      </c>
      <c r="Q45" s="1">
        <f>IF(Q$5="",0,IF(OR(Q12=TRUE,ISTEXT(Q12)),P45+1,0))</f>
        <v/>
      </c>
      <c r="R45" s="1">
        <f>IF(R$5="",0,IF(OR(R12=TRUE,ISTEXT(R12)),Q45+1,0))</f>
        <v/>
      </c>
      <c r="S45" s="1">
        <f>IF(S$5="",0,IF(OR(S12=TRUE,ISTEXT(S12)),R45+1,0))</f>
        <v/>
      </c>
      <c r="T45" s="1">
        <f>IF(T$5="",0,IF(OR(T12=TRUE,ISTEXT(T12)),S45+1,0))</f>
        <v/>
      </c>
      <c r="U45" s="1">
        <f>IF(U$5="",0,IF(OR(U12=TRUE,ISTEXT(U12)),T45+1,0))</f>
        <v/>
      </c>
      <c r="V45" s="1">
        <f>IF(V$5="",0,IF(OR(V12=TRUE,ISTEXT(V12)),U45+1,0))</f>
        <v/>
      </c>
      <c r="W45" s="1">
        <f>IF(W$5="",0,IF(OR(W12=TRUE,ISTEXT(W12)),V45+1,0))</f>
        <v/>
      </c>
      <c r="X45" s="1">
        <f>IF(X$5="",0,IF(OR(X12=TRUE,ISTEXT(X12)),W45+1,0))</f>
        <v/>
      </c>
      <c r="Y45" s="1">
        <f>IF(Y$5="",0,IF(OR(Y12=TRUE,ISTEXT(Y12)),X45+1,0))</f>
        <v/>
      </c>
      <c r="Z45" s="1">
        <f>IF(Z$5="",0,IF(OR(Z12=TRUE,ISTEXT(Z12)),Y45+1,0))</f>
        <v/>
      </c>
      <c r="AA45" s="1">
        <f>IF(AA$5="",0,IF(OR(AA12=TRUE,ISTEXT(AA12)),Z45+1,0))</f>
        <v/>
      </c>
      <c r="AB45" s="1">
        <f>IF(AB$5="",0,IF(OR(AB12=TRUE,ISTEXT(AB12)),AA45+1,0))</f>
        <v/>
      </c>
      <c r="AC45" s="1">
        <f>IF(AC$5="",0,IF(OR(AC12=TRUE,ISTEXT(AC12)),AB45+1,0))</f>
        <v/>
      </c>
      <c r="AD45" s="1">
        <f>IF(AD$5="",0,IF(OR(AD12=TRUE,ISTEXT(AD12)),AC45+1,0))</f>
        <v/>
      </c>
      <c r="AE45" s="1">
        <f>IF(AE$5="",0,IF(OR(AE12=TRUE,ISTEXT(AE12)),AD45+1,0))</f>
        <v/>
      </c>
      <c r="AF45" s="1">
        <f>IF(AF$5="",0,IF(OR(AF12=TRUE,ISTEXT(AF12)),AE45+1,0))</f>
        <v/>
      </c>
      <c r="AG45" s="1">
        <f>IF(AG$5="",0,IF(OR(AG12=TRUE,ISTEXT(AG12)),AF45+1,0))</f>
        <v/>
      </c>
      <c r="AH45" s="1" t="n"/>
      <c r="AI45" s="1" t="n"/>
      <c r="AJ45" s="1" t="n"/>
      <c r="AK45" s="1" t="n"/>
      <c r="AL45" s="1" t="n"/>
    </row>
    <row r="46" hidden="1">
      <c r="A46" s="1" t="n"/>
      <c r="B46" s="1">
        <f>B13</f>
        <v/>
      </c>
      <c r="C46" s="1">
        <f>IF(C$5="",0,IF(OR(C13=TRUE,ISTEXT(C13)),IFERROR(INDEX(Oct!$C$46:$AG$46,DAY(EOMONTH(DATE(Habits!$C$4,10,1),0))),0)+1,0))</f>
        <v/>
      </c>
      <c r="D46" s="1">
        <f>IF(D$5="",0,IF(OR(D13=TRUE,ISTEXT(D13)),C46+1,0))</f>
        <v/>
      </c>
      <c r="E46" s="1">
        <f>IF(E$5="",0,IF(OR(E13=TRUE,ISTEXT(E13)),D46+1,0))</f>
        <v/>
      </c>
      <c r="F46" s="1">
        <f>IF(F$5="",0,IF(OR(F13=TRUE,ISTEXT(F13)),E46+1,0))</f>
        <v/>
      </c>
      <c r="G46" s="1">
        <f>IF(G$5="",0,IF(OR(G13=TRUE,ISTEXT(G13)),F46+1,0))</f>
        <v/>
      </c>
      <c r="H46" s="1">
        <f>IF(H$5="",0,IF(OR(H13=TRUE,ISTEXT(H13)),G46+1,0))</f>
        <v/>
      </c>
      <c r="I46" s="1">
        <f>IF(I$5="",0,IF(OR(I13=TRUE,ISTEXT(I13)),H46+1,0))</f>
        <v/>
      </c>
      <c r="J46" s="1">
        <f>IF(J$5="",0,IF(OR(J13=TRUE,ISTEXT(J13)),I46+1,0))</f>
        <v/>
      </c>
      <c r="K46" s="1">
        <f>IF(K$5="",0,IF(OR(K13=TRUE,ISTEXT(K13)),J46+1,0))</f>
        <v/>
      </c>
      <c r="L46" s="1">
        <f>IF(L$5="",0,IF(OR(L13=TRUE,ISTEXT(L13)),K46+1,0))</f>
        <v/>
      </c>
      <c r="M46" s="1">
        <f>IF(M$5="",0,IF(OR(M13=TRUE,ISTEXT(M13)),L46+1,0))</f>
        <v/>
      </c>
      <c r="N46" s="1">
        <f>IF(N$5="",0,IF(OR(N13=TRUE,ISTEXT(N13)),M46+1,0))</f>
        <v/>
      </c>
      <c r="O46" s="1">
        <f>IF(O$5="",0,IF(OR(O13=TRUE,ISTEXT(O13)),N46+1,0))</f>
        <v/>
      </c>
      <c r="P46" s="1">
        <f>IF(P$5="",0,IF(OR(P13=TRUE,ISTEXT(P13)),O46+1,0))</f>
        <v/>
      </c>
      <c r="Q46" s="1">
        <f>IF(Q$5="",0,IF(OR(Q13=TRUE,ISTEXT(Q13)),P46+1,0))</f>
        <v/>
      </c>
      <c r="R46" s="1">
        <f>IF(R$5="",0,IF(OR(R13=TRUE,ISTEXT(R13)),Q46+1,0))</f>
        <v/>
      </c>
      <c r="S46" s="1">
        <f>IF(S$5="",0,IF(OR(S13=TRUE,ISTEXT(S13)),R46+1,0))</f>
        <v/>
      </c>
      <c r="T46" s="1">
        <f>IF(T$5="",0,IF(OR(T13=TRUE,ISTEXT(T13)),S46+1,0))</f>
        <v/>
      </c>
      <c r="U46" s="1">
        <f>IF(U$5="",0,IF(OR(U13=TRUE,ISTEXT(U13)),T46+1,0))</f>
        <v/>
      </c>
      <c r="V46" s="1">
        <f>IF(V$5="",0,IF(OR(V13=TRUE,ISTEXT(V13)),U46+1,0))</f>
        <v/>
      </c>
      <c r="W46" s="1">
        <f>IF(W$5="",0,IF(OR(W13=TRUE,ISTEXT(W13)),V46+1,0))</f>
        <v/>
      </c>
      <c r="X46" s="1">
        <f>IF(X$5="",0,IF(OR(X13=TRUE,ISTEXT(X13)),W46+1,0))</f>
        <v/>
      </c>
      <c r="Y46" s="1">
        <f>IF(Y$5="",0,IF(OR(Y13=TRUE,ISTEXT(Y13)),X46+1,0))</f>
        <v/>
      </c>
      <c r="Z46" s="1">
        <f>IF(Z$5="",0,IF(OR(Z13=TRUE,ISTEXT(Z13)),Y46+1,0))</f>
        <v/>
      </c>
      <c r="AA46" s="1">
        <f>IF(AA$5="",0,IF(OR(AA13=TRUE,ISTEXT(AA13)),Z46+1,0))</f>
        <v/>
      </c>
      <c r="AB46" s="1">
        <f>IF(AB$5="",0,IF(OR(AB13=TRUE,ISTEXT(AB13)),AA46+1,0))</f>
        <v/>
      </c>
      <c r="AC46" s="1">
        <f>IF(AC$5="",0,IF(OR(AC13=TRUE,ISTEXT(AC13)),AB46+1,0))</f>
        <v/>
      </c>
      <c r="AD46" s="1">
        <f>IF(AD$5="",0,IF(OR(AD13=TRUE,ISTEXT(AD13)),AC46+1,0))</f>
        <v/>
      </c>
      <c r="AE46" s="1">
        <f>IF(AE$5="",0,IF(OR(AE13=TRUE,ISTEXT(AE13)),AD46+1,0))</f>
        <v/>
      </c>
      <c r="AF46" s="1">
        <f>IF(AF$5="",0,IF(OR(AF13=TRUE,ISTEXT(AF13)),AE46+1,0))</f>
        <v/>
      </c>
      <c r="AG46" s="1">
        <f>IF(AG$5="",0,IF(OR(AG13=TRUE,ISTEXT(AG13)),AF46+1,0))</f>
        <v/>
      </c>
      <c r="AH46" s="1" t="n"/>
      <c r="AI46" s="1" t="n"/>
      <c r="AJ46" s="1" t="n"/>
      <c r="AK46" s="1" t="n"/>
      <c r="AL46" s="1" t="n"/>
    </row>
    <row r="47" hidden="1">
      <c r="A47" s="1" t="n"/>
      <c r="B47" s="1">
        <f>B14</f>
        <v/>
      </c>
      <c r="C47" s="1">
        <f>IF(C$5="",0,IF(OR(C14=TRUE,ISTEXT(C14)),IFERROR(INDEX(Oct!$C$47:$AG$47,DAY(EOMONTH(DATE(Habits!$C$4,10,1),0))),0)+1,0))</f>
        <v/>
      </c>
      <c r="D47" s="1">
        <f>IF(D$5="",0,IF(OR(D14=TRUE,ISTEXT(D14)),C47+1,0))</f>
        <v/>
      </c>
      <c r="E47" s="1">
        <f>IF(E$5="",0,IF(OR(E14=TRUE,ISTEXT(E14)),D47+1,0))</f>
        <v/>
      </c>
      <c r="F47" s="1">
        <f>IF(F$5="",0,IF(OR(F14=TRUE,ISTEXT(F14)),E47+1,0))</f>
        <v/>
      </c>
      <c r="G47" s="1">
        <f>IF(G$5="",0,IF(OR(G14=TRUE,ISTEXT(G14)),F47+1,0))</f>
        <v/>
      </c>
      <c r="H47" s="1">
        <f>IF(H$5="",0,IF(OR(H14=TRUE,ISTEXT(H14)),G47+1,0))</f>
        <v/>
      </c>
      <c r="I47" s="1">
        <f>IF(I$5="",0,IF(OR(I14=TRUE,ISTEXT(I14)),H47+1,0))</f>
        <v/>
      </c>
      <c r="J47" s="1">
        <f>IF(J$5="",0,IF(OR(J14=TRUE,ISTEXT(J14)),I47+1,0))</f>
        <v/>
      </c>
      <c r="K47" s="1">
        <f>IF(K$5="",0,IF(OR(K14=TRUE,ISTEXT(K14)),J47+1,0))</f>
        <v/>
      </c>
      <c r="L47" s="1">
        <f>IF(L$5="",0,IF(OR(L14=TRUE,ISTEXT(L14)),K47+1,0))</f>
        <v/>
      </c>
      <c r="M47" s="1">
        <f>IF(M$5="",0,IF(OR(M14=TRUE,ISTEXT(M14)),L47+1,0))</f>
        <v/>
      </c>
      <c r="N47" s="1">
        <f>IF(N$5="",0,IF(OR(N14=TRUE,ISTEXT(N14)),M47+1,0))</f>
        <v/>
      </c>
      <c r="O47" s="1">
        <f>IF(O$5="",0,IF(OR(O14=TRUE,ISTEXT(O14)),N47+1,0))</f>
        <v/>
      </c>
      <c r="P47" s="1">
        <f>IF(P$5="",0,IF(OR(P14=TRUE,ISTEXT(P14)),O47+1,0))</f>
        <v/>
      </c>
      <c r="Q47" s="1">
        <f>IF(Q$5="",0,IF(OR(Q14=TRUE,ISTEXT(Q14)),P47+1,0))</f>
        <v/>
      </c>
      <c r="R47" s="1">
        <f>IF(R$5="",0,IF(OR(R14=TRUE,ISTEXT(R14)),Q47+1,0))</f>
        <v/>
      </c>
      <c r="S47" s="1">
        <f>IF(S$5="",0,IF(OR(S14=TRUE,ISTEXT(S14)),R47+1,0))</f>
        <v/>
      </c>
      <c r="T47" s="1">
        <f>IF(T$5="",0,IF(OR(T14=TRUE,ISTEXT(T14)),S47+1,0))</f>
        <v/>
      </c>
      <c r="U47" s="1">
        <f>IF(U$5="",0,IF(OR(U14=TRUE,ISTEXT(U14)),T47+1,0))</f>
        <v/>
      </c>
      <c r="V47" s="1">
        <f>IF(V$5="",0,IF(OR(V14=TRUE,ISTEXT(V14)),U47+1,0))</f>
        <v/>
      </c>
      <c r="W47" s="1">
        <f>IF(W$5="",0,IF(OR(W14=TRUE,ISTEXT(W14)),V47+1,0))</f>
        <v/>
      </c>
      <c r="X47" s="1">
        <f>IF(X$5="",0,IF(OR(X14=TRUE,ISTEXT(X14)),W47+1,0))</f>
        <v/>
      </c>
      <c r="Y47" s="1">
        <f>IF(Y$5="",0,IF(OR(Y14=TRUE,ISTEXT(Y14)),X47+1,0))</f>
        <v/>
      </c>
      <c r="Z47" s="1">
        <f>IF(Z$5="",0,IF(OR(Z14=TRUE,ISTEXT(Z14)),Y47+1,0))</f>
        <v/>
      </c>
      <c r="AA47" s="1">
        <f>IF(AA$5="",0,IF(OR(AA14=TRUE,ISTEXT(AA14)),Z47+1,0))</f>
        <v/>
      </c>
      <c r="AB47" s="1">
        <f>IF(AB$5="",0,IF(OR(AB14=TRUE,ISTEXT(AB14)),AA47+1,0))</f>
        <v/>
      </c>
      <c r="AC47" s="1">
        <f>IF(AC$5="",0,IF(OR(AC14=TRUE,ISTEXT(AC14)),AB47+1,0))</f>
        <v/>
      </c>
      <c r="AD47" s="1">
        <f>IF(AD$5="",0,IF(OR(AD14=TRUE,ISTEXT(AD14)),AC47+1,0))</f>
        <v/>
      </c>
      <c r="AE47" s="1">
        <f>IF(AE$5="",0,IF(OR(AE14=TRUE,ISTEXT(AE14)),AD47+1,0))</f>
        <v/>
      </c>
      <c r="AF47" s="1">
        <f>IF(AF$5="",0,IF(OR(AF14=TRUE,ISTEXT(AF14)),AE47+1,0))</f>
        <v/>
      </c>
      <c r="AG47" s="1">
        <f>IF(AG$5="",0,IF(OR(AG14=TRUE,ISTEXT(AG14)),AF47+1,0))</f>
        <v/>
      </c>
      <c r="AH47" s="1" t="n"/>
      <c r="AI47" s="1" t="n"/>
      <c r="AJ47" s="1" t="n"/>
      <c r="AK47" s="1" t="n"/>
      <c r="AL47" s="1" t="n"/>
    </row>
    <row r="48" hidden="1">
      <c r="A48" s="1" t="n"/>
      <c r="B48" s="1">
        <f>B15</f>
        <v/>
      </c>
      <c r="C48" s="1">
        <f>IF(C$5="",0,IF(OR(C15=TRUE,ISTEXT(C15)),IFERROR(INDEX(Oct!$C$48:$AG$48,DAY(EOMONTH(DATE(Habits!$C$4,10,1),0))),0)+1,0))</f>
        <v/>
      </c>
      <c r="D48" s="1">
        <f>IF(D$5="",0,IF(OR(D15=TRUE,ISTEXT(D15)),C48+1,0))</f>
        <v/>
      </c>
      <c r="E48" s="1">
        <f>IF(E$5="",0,IF(OR(E15=TRUE,ISTEXT(E15)),D48+1,0))</f>
        <v/>
      </c>
      <c r="F48" s="1">
        <f>IF(F$5="",0,IF(OR(F15=TRUE,ISTEXT(F15)),E48+1,0))</f>
        <v/>
      </c>
      <c r="G48" s="1">
        <f>IF(G$5="",0,IF(OR(G15=TRUE,ISTEXT(G15)),F48+1,0))</f>
        <v/>
      </c>
      <c r="H48" s="1">
        <f>IF(H$5="",0,IF(OR(H15=TRUE,ISTEXT(H15)),G48+1,0))</f>
        <v/>
      </c>
      <c r="I48" s="1">
        <f>IF(I$5="",0,IF(OR(I15=TRUE,ISTEXT(I15)),H48+1,0))</f>
        <v/>
      </c>
      <c r="J48" s="1">
        <f>IF(J$5="",0,IF(OR(J15=TRUE,ISTEXT(J15)),I48+1,0))</f>
        <v/>
      </c>
      <c r="K48" s="1">
        <f>IF(K$5="",0,IF(OR(K15=TRUE,ISTEXT(K15)),J48+1,0))</f>
        <v/>
      </c>
      <c r="L48" s="1">
        <f>IF(L$5="",0,IF(OR(L15=TRUE,ISTEXT(L15)),K48+1,0))</f>
        <v/>
      </c>
      <c r="M48" s="1">
        <f>IF(M$5="",0,IF(OR(M15=TRUE,ISTEXT(M15)),L48+1,0))</f>
        <v/>
      </c>
      <c r="N48" s="1">
        <f>IF(N$5="",0,IF(OR(N15=TRUE,ISTEXT(N15)),M48+1,0))</f>
        <v/>
      </c>
      <c r="O48" s="1">
        <f>IF(O$5="",0,IF(OR(O15=TRUE,ISTEXT(O15)),N48+1,0))</f>
        <v/>
      </c>
      <c r="P48" s="1">
        <f>IF(P$5="",0,IF(OR(P15=TRUE,ISTEXT(P15)),O48+1,0))</f>
        <v/>
      </c>
      <c r="Q48" s="1">
        <f>IF(Q$5="",0,IF(OR(Q15=TRUE,ISTEXT(Q15)),P48+1,0))</f>
        <v/>
      </c>
      <c r="R48" s="1">
        <f>IF(R$5="",0,IF(OR(R15=TRUE,ISTEXT(R15)),Q48+1,0))</f>
        <v/>
      </c>
      <c r="S48" s="1">
        <f>IF(S$5="",0,IF(OR(S15=TRUE,ISTEXT(S15)),R48+1,0))</f>
        <v/>
      </c>
      <c r="T48" s="1">
        <f>IF(T$5="",0,IF(OR(T15=TRUE,ISTEXT(T15)),S48+1,0))</f>
        <v/>
      </c>
      <c r="U48" s="1">
        <f>IF(U$5="",0,IF(OR(U15=TRUE,ISTEXT(U15)),T48+1,0))</f>
        <v/>
      </c>
      <c r="V48" s="1">
        <f>IF(V$5="",0,IF(OR(V15=TRUE,ISTEXT(V15)),U48+1,0))</f>
        <v/>
      </c>
      <c r="W48" s="1">
        <f>IF(W$5="",0,IF(OR(W15=TRUE,ISTEXT(W15)),V48+1,0))</f>
        <v/>
      </c>
      <c r="X48" s="1">
        <f>IF(X$5="",0,IF(OR(X15=TRUE,ISTEXT(X15)),W48+1,0))</f>
        <v/>
      </c>
      <c r="Y48" s="1">
        <f>IF(Y$5="",0,IF(OR(Y15=TRUE,ISTEXT(Y15)),X48+1,0))</f>
        <v/>
      </c>
      <c r="Z48" s="1">
        <f>IF(Z$5="",0,IF(OR(Z15=TRUE,ISTEXT(Z15)),Y48+1,0))</f>
        <v/>
      </c>
      <c r="AA48" s="1">
        <f>IF(AA$5="",0,IF(OR(AA15=TRUE,ISTEXT(AA15)),Z48+1,0))</f>
        <v/>
      </c>
      <c r="AB48" s="1">
        <f>IF(AB$5="",0,IF(OR(AB15=TRUE,ISTEXT(AB15)),AA48+1,0))</f>
        <v/>
      </c>
      <c r="AC48" s="1">
        <f>IF(AC$5="",0,IF(OR(AC15=TRUE,ISTEXT(AC15)),AB48+1,0))</f>
        <v/>
      </c>
      <c r="AD48" s="1">
        <f>IF(AD$5="",0,IF(OR(AD15=TRUE,ISTEXT(AD15)),AC48+1,0))</f>
        <v/>
      </c>
      <c r="AE48" s="1">
        <f>IF(AE$5="",0,IF(OR(AE15=TRUE,ISTEXT(AE15)),AD48+1,0))</f>
        <v/>
      </c>
      <c r="AF48" s="1">
        <f>IF(AF$5="",0,IF(OR(AF15=TRUE,ISTEXT(AF15)),AE48+1,0))</f>
        <v/>
      </c>
      <c r="AG48" s="1">
        <f>IF(AG$5="",0,IF(OR(AG15=TRUE,ISTEXT(AG15)),AF48+1,0))</f>
        <v/>
      </c>
      <c r="AH48" s="1" t="n"/>
      <c r="AI48" s="1" t="n"/>
      <c r="AJ48" s="1" t="n"/>
      <c r="AK48" s="1" t="n"/>
      <c r="AL48" s="1" t="n"/>
    </row>
    <row r="49" hidden="1">
      <c r="A49" s="1" t="n"/>
      <c r="B49" s="1">
        <f>B16</f>
        <v/>
      </c>
      <c r="C49" s="1">
        <f>IF(C$5="",0,IF(OR(C16=TRUE,ISTEXT(C16)),IFERROR(INDEX(Oct!$C$49:$AG$49,DAY(EOMONTH(DATE(Habits!$C$4,10,1),0))),0)+1,0))</f>
        <v/>
      </c>
      <c r="D49" s="1">
        <f>IF(D$5="",0,IF(OR(D16=TRUE,ISTEXT(D16)),C49+1,0))</f>
        <v/>
      </c>
      <c r="E49" s="1">
        <f>IF(E$5="",0,IF(OR(E16=TRUE,ISTEXT(E16)),D49+1,0))</f>
        <v/>
      </c>
      <c r="F49" s="1">
        <f>IF(F$5="",0,IF(OR(F16=TRUE,ISTEXT(F16)),E49+1,0))</f>
        <v/>
      </c>
      <c r="G49" s="1">
        <f>IF(G$5="",0,IF(OR(G16=TRUE,ISTEXT(G16)),F49+1,0))</f>
        <v/>
      </c>
      <c r="H49" s="1">
        <f>IF(H$5="",0,IF(OR(H16=TRUE,ISTEXT(H16)),G49+1,0))</f>
        <v/>
      </c>
      <c r="I49" s="1">
        <f>IF(I$5="",0,IF(OR(I16=TRUE,ISTEXT(I16)),H49+1,0))</f>
        <v/>
      </c>
      <c r="J49" s="1">
        <f>IF(J$5="",0,IF(OR(J16=TRUE,ISTEXT(J16)),I49+1,0))</f>
        <v/>
      </c>
      <c r="K49" s="1">
        <f>IF(K$5="",0,IF(OR(K16=TRUE,ISTEXT(K16)),J49+1,0))</f>
        <v/>
      </c>
      <c r="L49" s="1">
        <f>IF(L$5="",0,IF(OR(L16=TRUE,ISTEXT(L16)),K49+1,0))</f>
        <v/>
      </c>
      <c r="M49" s="1">
        <f>IF(M$5="",0,IF(OR(M16=TRUE,ISTEXT(M16)),L49+1,0))</f>
        <v/>
      </c>
      <c r="N49" s="1">
        <f>IF(N$5="",0,IF(OR(N16=TRUE,ISTEXT(N16)),M49+1,0))</f>
        <v/>
      </c>
      <c r="O49" s="1">
        <f>IF(O$5="",0,IF(OR(O16=TRUE,ISTEXT(O16)),N49+1,0))</f>
        <v/>
      </c>
      <c r="P49" s="1">
        <f>IF(P$5="",0,IF(OR(P16=TRUE,ISTEXT(P16)),O49+1,0))</f>
        <v/>
      </c>
      <c r="Q49" s="1">
        <f>IF(Q$5="",0,IF(OR(Q16=TRUE,ISTEXT(Q16)),P49+1,0))</f>
        <v/>
      </c>
      <c r="R49" s="1">
        <f>IF(R$5="",0,IF(OR(R16=TRUE,ISTEXT(R16)),Q49+1,0))</f>
        <v/>
      </c>
      <c r="S49" s="1">
        <f>IF(S$5="",0,IF(OR(S16=TRUE,ISTEXT(S16)),R49+1,0))</f>
        <v/>
      </c>
      <c r="T49" s="1">
        <f>IF(T$5="",0,IF(OR(T16=TRUE,ISTEXT(T16)),S49+1,0))</f>
        <v/>
      </c>
      <c r="U49" s="1">
        <f>IF(U$5="",0,IF(OR(U16=TRUE,ISTEXT(U16)),T49+1,0))</f>
        <v/>
      </c>
      <c r="V49" s="1">
        <f>IF(V$5="",0,IF(OR(V16=TRUE,ISTEXT(V16)),U49+1,0))</f>
        <v/>
      </c>
      <c r="W49" s="1">
        <f>IF(W$5="",0,IF(OR(W16=TRUE,ISTEXT(W16)),V49+1,0))</f>
        <v/>
      </c>
      <c r="X49" s="1">
        <f>IF(X$5="",0,IF(OR(X16=TRUE,ISTEXT(X16)),W49+1,0))</f>
        <v/>
      </c>
      <c r="Y49" s="1">
        <f>IF(Y$5="",0,IF(OR(Y16=TRUE,ISTEXT(Y16)),X49+1,0))</f>
        <v/>
      </c>
      <c r="Z49" s="1">
        <f>IF(Z$5="",0,IF(OR(Z16=TRUE,ISTEXT(Z16)),Y49+1,0))</f>
        <v/>
      </c>
      <c r="AA49" s="1">
        <f>IF(AA$5="",0,IF(OR(AA16=TRUE,ISTEXT(AA16)),Z49+1,0))</f>
        <v/>
      </c>
      <c r="AB49" s="1">
        <f>IF(AB$5="",0,IF(OR(AB16=TRUE,ISTEXT(AB16)),AA49+1,0))</f>
        <v/>
      </c>
      <c r="AC49" s="1">
        <f>IF(AC$5="",0,IF(OR(AC16=TRUE,ISTEXT(AC16)),AB49+1,0))</f>
        <v/>
      </c>
      <c r="AD49" s="1">
        <f>IF(AD$5="",0,IF(OR(AD16=TRUE,ISTEXT(AD16)),AC49+1,0))</f>
        <v/>
      </c>
      <c r="AE49" s="1">
        <f>IF(AE$5="",0,IF(OR(AE16=TRUE,ISTEXT(AE16)),AD49+1,0))</f>
        <v/>
      </c>
      <c r="AF49" s="1">
        <f>IF(AF$5="",0,IF(OR(AF16=TRUE,ISTEXT(AF16)),AE49+1,0))</f>
        <v/>
      </c>
      <c r="AG49" s="1">
        <f>IF(AG$5="",0,IF(OR(AG16=TRUE,ISTEXT(AG16)),AF49+1,0))</f>
        <v/>
      </c>
      <c r="AH49" s="1" t="n"/>
      <c r="AI49" s="1" t="n"/>
      <c r="AJ49" s="1" t="n"/>
      <c r="AK49" s="1" t="n"/>
      <c r="AL49" s="1" t="n"/>
    </row>
    <row r="50" hidden="1">
      <c r="A50" s="1" t="n"/>
      <c r="B50" s="1">
        <f>B17</f>
        <v/>
      </c>
      <c r="C50" s="1">
        <f>IF(C$5="",0,IF(OR(C17=TRUE,ISTEXT(C17)),IFERROR(INDEX(Oct!$C$50:$AG$50,DAY(EOMONTH(DATE(Habits!$C$4,10,1),0))),0)+1,0))</f>
        <v/>
      </c>
      <c r="D50" s="1">
        <f>IF(D$5="",0,IF(OR(D17=TRUE,ISTEXT(D17)),C50+1,0))</f>
        <v/>
      </c>
      <c r="E50" s="1">
        <f>IF(E$5="",0,IF(OR(E17=TRUE,ISTEXT(E17)),D50+1,0))</f>
        <v/>
      </c>
      <c r="F50" s="1">
        <f>IF(F$5="",0,IF(OR(F17=TRUE,ISTEXT(F17)),E50+1,0))</f>
        <v/>
      </c>
      <c r="G50" s="1">
        <f>IF(G$5="",0,IF(OR(G17=TRUE,ISTEXT(G17)),F50+1,0))</f>
        <v/>
      </c>
      <c r="H50" s="1">
        <f>IF(H$5="",0,IF(OR(H17=TRUE,ISTEXT(H17)),G50+1,0))</f>
        <v/>
      </c>
      <c r="I50" s="1">
        <f>IF(I$5="",0,IF(OR(I17=TRUE,ISTEXT(I17)),H50+1,0))</f>
        <v/>
      </c>
      <c r="J50" s="1">
        <f>IF(J$5="",0,IF(OR(J17=TRUE,ISTEXT(J17)),I50+1,0))</f>
        <v/>
      </c>
      <c r="K50" s="1">
        <f>IF(K$5="",0,IF(OR(K17=TRUE,ISTEXT(K17)),J50+1,0))</f>
        <v/>
      </c>
      <c r="L50" s="1">
        <f>IF(L$5="",0,IF(OR(L17=TRUE,ISTEXT(L17)),K50+1,0))</f>
        <v/>
      </c>
      <c r="M50" s="1">
        <f>IF(M$5="",0,IF(OR(M17=TRUE,ISTEXT(M17)),L50+1,0))</f>
        <v/>
      </c>
      <c r="N50" s="1">
        <f>IF(N$5="",0,IF(OR(N17=TRUE,ISTEXT(N17)),M50+1,0))</f>
        <v/>
      </c>
      <c r="O50" s="1">
        <f>IF(O$5="",0,IF(OR(O17=TRUE,ISTEXT(O17)),N50+1,0))</f>
        <v/>
      </c>
      <c r="P50" s="1">
        <f>IF(P$5="",0,IF(OR(P17=TRUE,ISTEXT(P17)),O50+1,0))</f>
        <v/>
      </c>
      <c r="Q50" s="1">
        <f>IF(Q$5="",0,IF(OR(Q17=TRUE,ISTEXT(Q17)),P50+1,0))</f>
        <v/>
      </c>
      <c r="R50" s="1">
        <f>IF(R$5="",0,IF(OR(R17=TRUE,ISTEXT(R17)),Q50+1,0))</f>
        <v/>
      </c>
      <c r="S50" s="1">
        <f>IF(S$5="",0,IF(OR(S17=TRUE,ISTEXT(S17)),R50+1,0))</f>
        <v/>
      </c>
      <c r="T50" s="1">
        <f>IF(T$5="",0,IF(OR(T17=TRUE,ISTEXT(T17)),S50+1,0))</f>
        <v/>
      </c>
      <c r="U50" s="1">
        <f>IF(U$5="",0,IF(OR(U17=TRUE,ISTEXT(U17)),T50+1,0))</f>
        <v/>
      </c>
      <c r="V50" s="1">
        <f>IF(V$5="",0,IF(OR(V17=TRUE,ISTEXT(V17)),U50+1,0))</f>
        <v/>
      </c>
      <c r="W50" s="1">
        <f>IF(W$5="",0,IF(OR(W17=TRUE,ISTEXT(W17)),V50+1,0))</f>
        <v/>
      </c>
      <c r="X50" s="1">
        <f>IF(X$5="",0,IF(OR(X17=TRUE,ISTEXT(X17)),W50+1,0))</f>
        <v/>
      </c>
      <c r="Y50" s="1">
        <f>IF(Y$5="",0,IF(OR(Y17=TRUE,ISTEXT(Y17)),X50+1,0))</f>
        <v/>
      </c>
      <c r="Z50" s="1">
        <f>IF(Z$5="",0,IF(OR(Z17=TRUE,ISTEXT(Z17)),Y50+1,0))</f>
        <v/>
      </c>
      <c r="AA50" s="1">
        <f>IF(AA$5="",0,IF(OR(AA17=TRUE,ISTEXT(AA17)),Z50+1,0))</f>
        <v/>
      </c>
      <c r="AB50" s="1">
        <f>IF(AB$5="",0,IF(OR(AB17=TRUE,ISTEXT(AB17)),AA50+1,0))</f>
        <v/>
      </c>
      <c r="AC50" s="1">
        <f>IF(AC$5="",0,IF(OR(AC17=TRUE,ISTEXT(AC17)),AB50+1,0))</f>
        <v/>
      </c>
      <c r="AD50" s="1">
        <f>IF(AD$5="",0,IF(OR(AD17=TRUE,ISTEXT(AD17)),AC50+1,0))</f>
        <v/>
      </c>
      <c r="AE50" s="1">
        <f>IF(AE$5="",0,IF(OR(AE17=TRUE,ISTEXT(AE17)),AD50+1,0))</f>
        <v/>
      </c>
      <c r="AF50" s="1">
        <f>IF(AF$5="",0,IF(OR(AF17=TRUE,ISTEXT(AF17)),AE50+1,0))</f>
        <v/>
      </c>
      <c r="AG50" s="1">
        <f>IF(AG$5="",0,IF(OR(AG17=TRUE,ISTEXT(AG17)),AF50+1,0))</f>
        <v/>
      </c>
      <c r="AH50" s="1" t="n"/>
      <c r="AI50" s="1" t="n"/>
      <c r="AJ50" s="1" t="n"/>
      <c r="AK50" s="1" t="n"/>
      <c r="AL50" s="1" t="n"/>
    </row>
    <row r="51" hidden="1">
      <c r="A51" s="1" t="n"/>
      <c r="B51" s="1">
        <f>B18</f>
        <v/>
      </c>
      <c r="C51" s="1">
        <f>IF(C$5="",0,IF(OR(C18=TRUE,ISTEXT(C18)),IFERROR(INDEX(Oct!$C$51:$AG$51,DAY(EOMONTH(DATE(Habits!$C$4,10,1),0))),0)+1,0))</f>
        <v/>
      </c>
      <c r="D51" s="1">
        <f>IF(D$5="",0,IF(OR(D18=TRUE,ISTEXT(D18)),C51+1,0))</f>
        <v/>
      </c>
      <c r="E51" s="1">
        <f>IF(E$5="",0,IF(OR(E18=TRUE,ISTEXT(E18)),D51+1,0))</f>
        <v/>
      </c>
      <c r="F51" s="1">
        <f>IF(F$5="",0,IF(OR(F18=TRUE,ISTEXT(F18)),E51+1,0))</f>
        <v/>
      </c>
      <c r="G51" s="1">
        <f>IF(G$5="",0,IF(OR(G18=TRUE,ISTEXT(G18)),F51+1,0))</f>
        <v/>
      </c>
      <c r="H51" s="1">
        <f>IF(H$5="",0,IF(OR(H18=TRUE,ISTEXT(H18)),G51+1,0))</f>
        <v/>
      </c>
      <c r="I51" s="1">
        <f>IF(I$5="",0,IF(OR(I18=TRUE,ISTEXT(I18)),H51+1,0))</f>
        <v/>
      </c>
      <c r="J51" s="1">
        <f>IF(J$5="",0,IF(OR(J18=TRUE,ISTEXT(J18)),I51+1,0))</f>
        <v/>
      </c>
      <c r="K51" s="1">
        <f>IF(K$5="",0,IF(OR(K18=TRUE,ISTEXT(K18)),J51+1,0))</f>
        <v/>
      </c>
      <c r="L51" s="1">
        <f>IF(L$5="",0,IF(OR(L18=TRUE,ISTEXT(L18)),K51+1,0))</f>
        <v/>
      </c>
      <c r="M51" s="1">
        <f>IF(M$5="",0,IF(OR(M18=TRUE,ISTEXT(M18)),L51+1,0))</f>
        <v/>
      </c>
      <c r="N51" s="1">
        <f>IF(N$5="",0,IF(OR(N18=TRUE,ISTEXT(N18)),M51+1,0))</f>
        <v/>
      </c>
      <c r="O51" s="1">
        <f>IF(O$5="",0,IF(OR(O18=TRUE,ISTEXT(O18)),N51+1,0))</f>
        <v/>
      </c>
      <c r="P51" s="1">
        <f>IF(P$5="",0,IF(OR(P18=TRUE,ISTEXT(P18)),O51+1,0))</f>
        <v/>
      </c>
      <c r="Q51" s="1">
        <f>IF(Q$5="",0,IF(OR(Q18=TRUE,ISTEXT(Q18)),P51+1,0))</f>
        <v/>
      </c>
      <c r="R51" s="1">
        <f>IF(R$5="",0,IF(OR(R18=TRUE,ISTEXT(R18)),Q51+1,0))</f>
        <v/>
      </c>
      <c r="S51" s="1">
        <f>IF(S$5="",0,IF(OR(S18=TRUE,ISTEXT(S18)),R51+1,0))</f>
        <v/>
      </c>
      <c r="T51" s="1">
        <f>IF(T$5="",0,IF(OR(T18=TRUE,ISTEXT(T18)),S51+1,0))</f>
        <v/>
      </c>
      <c r="U51" s="1">
        <f>IF(U$5="",0,IF(OR(U18=TRUE,ISTEXT(U18)),T51+1,0))</f>
        <v/>
      </c>
      <c r="V51" s="1">
        <f>IF(V$5="",0,IF(OR(V18=TRUE,ISTEXT(V18)),U51+1,0))</f>
        <v/>
      </c>
      <c r="W51" s="1">
        <f>IF(W$5="",0,IF(OR(W18=TRUE,ISTEXT(W18)),V51+1,0))</f>
        <v/>
      </c>
      <c r="X51" s="1">
        <f>IF(X$5="",0,IF(OR(X18=TRUE,ISTEXT(X18)),W51+1,0))</f>
        <v/>
      </c>
      <c r="Y51" s="1">
        <f>IF(Y$5="",0,IF(OR(Y18=TRUE,ISTEXT(Y18)),X51+1,0))</f>
        <v/>
      </c>
      <c r="Z51" s="1">
        <f>IF(Z$5="",0,IF(OR(Z18=TRUE,ISTEXT(Z18)),Y51+1,0))</f>
        <v/>
      </c>
      <c r="AA51" s="1">
        <f>IF(AA$5="",0,IF(OR(AA18=TRUE,ISTEXT(AA18)),Z51+1,0))</f>
        <v/>
      </c>
      <c r="AB51" s="1">
        <f>IF(AB$5="",0,IF(OR(AB18=TRUE,ISTEXT(AB18)),AA51+1,0))</f>
        <v/>
      </c>
      <c r="AC51" s="1">
        <f>IF(AC$5="",0,IF(OR(AC18=TRUE,ISTEXT(AC18)),AB51+1,0))</f>
        <v/>
      </c>
      <c r="AD51" s="1">
        <f>IF(AD$5="",0,IF(OR(AD18=TRUE,ISTEXT(AD18)),AC51+1,0))</f>
        <v/>
      </c>
      <c r="AE51" s="1">
        <f>IF(AE$5="",0,IF(OR(AE18=TRUE,ISTEXT(AE18)),AD51+1,0))</f>
        <v/>
      </c>
      <c r="AF51" s="1">
        <f>IF(AF$5="",0,IF(OR(AF18=TRUE,ISTEXT(AF18)),AE51+1,0))</f>
        <v/>
      </c>
      <c r="AG51" s="1">
        <f>IF(AG$5="",0,IF(OR(AG18=TRUE,ISTEXT(AG18)),AF51+1,0))</f>
        <v/>
      </c>
      <c r="AH51" s="1" t="n"/>
      <c r="AI51" s="1" t="n"/>
      <c r="AJ51" s="1" t="n"/>
      <c r="AK51" s="1" t="n"/>
      <c r="AL51" s="1" t="n"/>
    </row>
    <row r="52" hidden="1">
      <c r="A52" s="1" t="n"/>
      <c r="B52" s="1">
        <f>B19</f>
        <v/>
      </c>
      <c r="C52" s="1">
        <f>IF(C$5="",0,IF(OR(C19=TRUE,ISTEXT(C19)),IFERROR(INDEX(Oct!$C$52:$AG$52,DAY(EOMONTH(DATE(Habits!$C$4,10,1),0))),0)+1,0))</f>
        <v/>
      </c>
      <c r="D52" s="1">
        <f>IF(D$5="",0,IF(OR(D19=TRUE,ISTEXT(D19)),C52+1,0))</f>
        <v/>
      </c>
      <c r="E52" s="1">
        <f>IF(E$5="",0,IF(OR(E19=TRUE,ISTEXT(E19)),D52+1,0))</f>
        <v/>
      </c>
      <c r="F52" s="1">
        <f>IF(F$5="",0,IF(OR(F19=TRUE,ISTEXT(F19)),E52+1,0))</f>
        <v/>
      </c>
      <c r="G52" s="1">
        <f>IF(G$5="",0,IF(OR(G19=TRUE,ISTEXT(G19)),F52+1,0))</f>
        <v/>
      </c>
      <c r="H52" s="1">
        <f>IF(H$5="",0,IF(OR(H19=TRUE,ISTEXT(H19)),G52+1,0))</f>
        <v/>
      </c>
      <c r="I52" s="1">
        <f>IF(I$5="",0,IF(OR(I19=TRUE,ISTEXT(I19)),H52+1,0))</f>
        <v/>
      </c>
      <c r="J52" s="1">
        <f>IF(J$5="",0,IF(OR(J19=TRUE,ISTEXT(J19)),I52+1,0))</f>
        <v/>
      </c>
      <c r="K52" s="1">
        <f>IF(K$5="",0,IF(OR(K19=TRUE,ISTEXT(K19)),J52+1,0))</f>
        <v/>
      </c>
      <c r="L52" s="1">
        <f>IF(L$5="",0,IF(OR(L19=TRUE,ISTEXT(L19)),K52+1,0))</f>
        <v/>
      </c>
      <c r="M52" s="1">
        <f>IF(M$5="",0,IF(OR(M19=TRUE,ISTEXT(M19)),L52+1,0))</f>
        <v/>
      </c>
      <c r="N52" s="1">
        <f>IF(N$5="",0,IF(OR(N19=TRUE,ISTEXT(N19)),M52+1,0))</f>
        <v/>
      </c>
      <c r="O52" s="1">
        <f>IF(O$5="",0,IF(OR(O19=TRUE,ISTEXT(O19)),N52+1,0))</f>
        <v/>
      </c>
      <c r="P52" s="1">
        <f>IF(P$5="",0,IF(OR(P19=TRUE,ISTEXT(P19)),O52+1,0))</f>
        <v/>
      </c>
      <c r="Q52" s="1">
        <f>IF(Q$5="",0,IF(OR(Q19=TRUE,ISTEXT(Q19)),P52+1,0))</f>
        <v/>
      </c>
      <c r="R52" s="1">
        <f>IF(R$5="",0,IF(OR(R19=TRUE,ISTEXT(R19)),Q52+1,0))</f>
        <v/>
      </c>
      <c r="S52" s="1">
        <f>IF(S$5="",0,IF(OR(S19=TRUE,ISTEXT(S19)),R52+1,0))</f>
        <v/>
      </c>
      <c r="T52" s="1">
        <f>IF(T$5="",0,IF(OR(T19=TRUE,ISTEXT(T19)),S52+1,0))</f>
        <v/>
      </c>
      <c r="U52" s="1">
        <f>IF(U$5="",0,IF(OR(U19=TRUE,ISTEXT(U19)),T52+1,0))</f>
        <v/>
      </c>
      <c r="V52" s="1">
        <f>IF(V$5="",0,IF(OR(V19=TRUE,ISTEXT(V19)),U52+1,0))</f>
        <v/>
      </c>
      <c r="W52" s="1">
        <f>IF(W$5="",0,IF(OR(W19=TRUE,ISTEXT(W19)),V52+1,0))</f>
        <v/>
      </c>
      <c r="X52" s="1">
        <f>IF(X$5="",0,IF(OR(X19=TRUE,ISTEXT(X19)),W52+1,0))</f>
        <v/>
      </c>
      <c r="Y52" s="1">
        <f>IF(Y$5="",0,IF(OR(Y19=TRUE,ISTEXT(Y19)),X52+1,0))</f>
        <v/>
      </c>
      <c r="Z52" s="1">
        <f>IF(Z$5="",0,IF(OR(Z19=TRUE,ISTEXT(Z19)),Y52+1,0))</f>
        <v/>
      </c>
      <c r="AA52" s="1">
        <f>IF(AA$5="",0,IF(OR(AA19=TRUE,ISTEXT(AA19)),Z52+1,0))</f>
        <v/>
      </c>
      <c r="AB52" s="1">
        <f>IF(AB$5="",0,IF(OR(AB19=TRUE,ISTEXT(AB19)),AA52+1,0))</f>
        <v/>
      </c>
      <c r="AC52" s="1">
        <f>IF(AC$5="",0,IF(OR(AC19=TRUE,ISTEXT(AC19)),AB52+1,0))</f>
        <v/>
      </c>
      <c r="AD52" s="1">
        <f>IF(AD$5="",0,IF(OR(AD19=TRUE,ISTEXT(AD19)),AC52+1,0))</f>
        <v/>
      </c>
      <c r="AE52" s="1">
        <f>IF(AE$5="",0,IF(OR(AE19=TRUE,ISTEXT(AE19)),AD52+1,0))</f>
        <v/>
      </c>
      <c r="AF52" s="1">
        <f>IF(AF$5="",0,IF(OR(AF19=TRUE,ISTEXT(AF19)),AE52+1,0))</f>
        <v/>
      </c>
      <c r="AG52" s="1">
        <f>IF(AG$5="",0,IF(OR(AG19=TRUE,ISTEXT(AG19)),AF52+1,0))</f>
        <v/>
      </c>
      <c r="AH52" s="1" t="n"/>
      <c r="AI52" s="1" t="n"/>
      <c r="AJ52" s="1" t="n"/>
      <c r="AK52" s="1" t="n"/>
      <c r="AL52" s="1" t="n"/>
    </row>
    <row r="53" hidden="1">
      <c r="A53" s="1" t="n"/>
      <c r="B53" s="1">
        <f>B20</f>
        <v/>
      </c>
      <c r="C53" s="1">
        <f>IF(C$5="",0,IF(OR(C20=TRUE,ISTEXT(C20)),IFERROR(INDEX(Oct!$C$53:$AG$53,DAY(EOMONTH(DATE(Habits!$C$4,10,1),0))),0)+1,0))</f>
        <v/>
      </c>
      <c r="D53" s="1">
        <f>IF(D$5="",0,IF(OR(D20=TRUE,ISTEXT(D20)),C53+1,0))</f>
        <v/>
      </c>
      <c r="E53" s="1">
        <f>IF(E$5="",0,IF(OR(E20=TRUE,ISTEXT(E20)),D53+1,0))</f>
        <v/>
      </c>
      <c r="F53" s="1">
        <f>IF(F$5="",0,IF(OR(F20=TRUE,ISTEXT(F20)),E53+1,0))</f>
        <v/>
      </c>
      <c r="G53" s="1">
        <f>IF(G$5="",0,IF(OR(G20=TRUE,ISTEXT(G20)),F53+1,0))</f>
        <v/>
      </c>
      <c r="H53" s="1">
        <f>IF(H$5="",0,IF(OR(H20=TRUE,ISTEXT(H20)),G53+1,0))</f>
        <v/>
      </c>
      <c r="I53" s="1">
        <f>IF(I$5="",0,IF(OR(I20=TRUE,ISTEXT(I20)),H53+1,0))</f>
        <v/>
      </c>
      <c r="J53" s="1">
        <f>IF(J$5="",0,IF(OR(J20=TRUE,ISTEXT(J20)),I53+1,0))</f>
        <v/>
      </c>
      <c r="K53" s="1">
        <f>IF(K$5="",0,IF(OR(K20=TRUE,ISTEXT(K20)),J53+1,0))</f>
        <v/>
      </c>
      <c r="L53" s="1">
        <f>IF(L$5="",0,IF(OR(L20=TRUE,ISTEXT(L20)),K53+1,0))</f>
        <v/>
      </c>
      <c r="M53" s="1">
        <f>IF(M$5="",0,IF(OR(M20=TRUE,ISTEXT(M20)),L53+1,0))</f>
        <v/>
      </c>
      <c r="N53" s="1">
        <f>IF(N$5="",0,IF(OR(N20=TRUE,ISTEXT(N20)),M53+1,0))</f>
        <v/>
      </c>
      <c r="O53" s="1">
        <f>IF(O$5="",0,IF(OR(O20=TRUE,ISTEXT(O20)),N53+1,0))</f>
        <v/>
      </c>
      <c r="P53" s="1">
        <f>IF(P$5="",0,IF(OR(P20=TRUE,ISTEXT(P20)),O53+1,0))</f>
        <v/>
      </c>
      <c r="Q53" s="1">
        <f>IF(Q$5="",0,IF(OR(Q20=TRUE,ISTEXT(Q20)),P53+1,0))</f>
        <v/>
      </c>
      <c r="R53" s="1">
        <f>IF(R$5="",0,IF(OR(R20=TRUE,ISTEXT(R20)),Q53+1,0))</f>
        <v/>
      </c>
      <c r="S53" s="1">
        <f>IF(S$5="",0,IF(OR(S20=TRUE,ISTEXT(S20)),R53+1,0))</f>
        <v/>
      </c>
      <c r="T53" s="1">
        <f>IF(T$5="",0,IF(OR(T20=TRUE,ISTEXT(T20)),S53+1,0))</f>
        <v/>
      </c>
      <c r="U53" s="1">
        <f>IF(U$5="",0,IF(OR(U20=TRUE,ISTEXT(U20)),T53+1,0))</f>
        <v/>
      </c>
      <c r="V53" s="1">
        <f>IF(V$5="",0,IF(OR(V20=TRUE,ISTEXT(V20)),U53+1,0))</f>
        <v/>
      </c>
      <c r="W53" s="1">
        <f>IF(W$5="",0,IF(OR(W20=TRUE,ISTEXT(W20)),V53+1,0))</f>
        <v/>
      </c>
      <c r="X53" s="1">
        <f>IF(X$5="",0,IF(OR(X20=TRUE,ISTEXT(X20)),W53+1,0))</f>
        <v/>
      </c>
      <c r="Y53" s="1">
        <f>IF(Y$5="",0,IF(OR(Y20=TRUE,ISTEXT(Y20)),X53+1,0))</f>
        <v/>
      </c>
      <c r="Z53" s="1">
        <f>IF(Z$5="",0,IF(OR(Z20=TRUE,ISTEXT(Z20)),Y53+1,0))</f>
        <v/>
      </c>
      <c r="AA53" s="1">
        <f>IF(AA$5="",0,IF(OR(AA20=TRUE,ISTEXT(AA20)),Z53+1,0))</f>
        <v/>
      </c>
      <c r="AB53" s="1">
        <f>IF(AB$5="",0,IF(OR(AB20=TRUE,ISTEXT(AB20)),AA53+1,0))</f>
        <v/>
      </c>
      <c r="AC53" s="1">
        <f>IF(AC$5="",0,IF(OR(AC20=TRUE,ISTEXT(AC20)),AB53+1,0))</f>
        <v/>
      </c>
      <c r="AD53" s="1">
        <f>IF(AD$5="",0,IF(OR(AD20=TRUE,ISTEXT(AD20)),AC53+1,0))</f>
        <v/>
      </c>
      <c r="AE53" s="1">
        <f>IF(AE$5="",0,IF(OR(AE20=TRUE,ISTEXT(AE20)),AD53+1,0))</f>
        <v/>
      </c>
      <c r="AF53" s="1">
        <f>IF(AF$5="",0,IF(OR(AF20=TRUE,ISTEXT(AF20)),AE53+1,0))</f>
        <v/>
      </c>
      <c r="AG53" s="1">
        <f>IF(AG$5="",0,IF(OR(AG20=TRUE,ISTEXT(AG20)),AF53+1,0))</f>
        <v/>
      </c>
      <c r="AH53" s="1" t="n"/>
      <c r="AI53" s="1" t="n"/>
      <c r="AJ53" s="1" t="n"/>
      <c r="AK53" s="1" t="n"/>
      <c r="AL53" s="1" t="n"/>
    </row>
    <row r="54" hidden="1">
      <c r="A54" s="1" t="n"/>
      <c r="B54" s="1">
        <f>B21</f>
        <v/>
      </c>
      <c r="C54" s="1">
        <f>IF(C$5="",0,IF(OR(C21=TRUE,ISTEXT(C21)),IFERROR(INDEX(Oct!$C$54:$AG$54,DAY(EOMONTH(DATE(Habits!$C$4,10,1),0))),0)+1,0))</f>
        <v/>
      </c>
      <c r="D54" s="1">
        <f>IF(D$5="",0,IF(OR(D21=TRUE,ISTEXT(D21)),C54+1,0))</f>
        <v/>
      </c>
      <c r="E54" s="1">
        <f>IF(E$5="",0,IF(OR(E21=TRUE,ISTEXT(E21)),D54+1,0))</f>
        <v/>
      </c>
      <c r="F54" s="1">
        <f>IF(F$5="",0,IF(OR(F21=TRUE,ISTEXT(F21)),E54+1,0))</f>
        <v/>
      </c>
      <c r="G54" s="1">
        <f>IF(G$5="",0,IF(OR(G21=TRUE,ISTEXT(G21)),F54+1,0))</f>
        <v/>
      </c>
      <c r="H54" s="1">
        <f>IF(H$5="",0,IF(OR(H21=TRUE,ISTEXT(H21)),G54+1,0))</f>
        <v/>
      </c>
      <c r="I54" s="1">
        <f>IF(I$5="",0,IF(OR(I21=TRUE,ISTEXT(I21)),H54+1,0))</f>
        <v/>
      </c>
      <c r="J54" s="1">
        <f>IF(J$5="",0,IF(OR(J21=TRUE,ISTEXT(J21)),I54+1,0))</f>
        <v/>
      </c>
      <c r="K54" s="1">
        <f>IF(K$5="",0,IF(OR(K21=TRUE,ISTEXT(K21)),J54+1,0))</f>
        <v/>
      </c>
      <c r="L54" s="1">
        <f>IF(L$5="",0,IF(OR(L21=TRUE,ISTEXT(L21)),K54+1,0))</f>
        <v/>
      </c>
      <c r="M54" s="1">
        <f>IF(M$5="",0,IF(OR(M21=TRUE,ISTEXT(M21)),L54+1,0))</f>
        <v/>
      </c>
      <c r="N54" s="1">
        <f>IF(N$5="",0,IF(OR(N21=TRUE,ISTEXT(N21)),M54+1,0))</f>
        <v/>
      </c>
      <c r="O54" s="1">
        <f>IF(O$5="",0,IF(OR(O21=TRUE,ISTEXT(O21)),N54+1,0))</f>
        <v/>
      </c>
      <c r="P54" s="1">
        <f>IF(P$5="",0,IF(OR(P21=TRUE,ISTEXT(P21)),O54+1,0))</f>
        <v/>
      </c>
      <c r="Q54" s="1">
        <f>IF(Q$5="",0,IF(OR(Q21=TRUE,ISTEXT(Q21)),P54+1,0))</f>
        <v/>
      </c>
      <c r="R54" s="1">
        <f>IF(R$5="",0,IF(OR(R21=TRUE,ISTEXT(R21)),Q54+1,0))</f>
        <v/>
      </c>
      <c r="S54" s="1">
        <f>IF(S$5="",0,IF(OR(S21=TRUE,ISTEXT(S21)),R54+1,0))</f>
        <v/>
      </c>
      <c r="T54" s="1">
        <f>IF(T$5="",0,IF(OR(T21=TRUE,ISTEXT(T21)),S54+1,0))</f>
        <v/>
      </c>
      <c r="U54" s="1">
        <f>IF(U$5="",0,IF(OR(U21=TRUE,ISTEXT(U21)),T54+1,0))</f>
        <v/>
      </c>
      <c r="V54" s="1">
        <f>IF(V$5="",0,IF(OR(V21=TRUE,ISTEXT(V21)),U54+1,0))</f>
        <v/>
      </c>
      <c r="W54" s="1">
        <f>IF(W$5="",0,IF(OR(W21=TRUE,ISTEXT(W21)),V54+1,0))</f>
        <v/>
      </c>
      <c r="X54" s="1">
        <f>IF(X$5="",0,IF(OR(X21=TRUE,ISTEXT(X21)),W54+1,0))</f>
        <v/>
      </c>
      <c r="Y54" s="1">
        <f>IF(Y$5="",0,IF(OR(Y21=TRUE,ISTEXT(Y21)),X54+1,0))</f>
        <v/>
      </c>
      <c r="Z54" s="1">
        <f>IF(Z$5="",0,IF(OR(Z21=TRUE,ISTEXT(Z21)),Y54+1,0))</f>
        <v/>
      </c>
      <c r="AA54" s="1">
        <f>IF(AA$5="",0,IF(OR(AA21=TRUE,ISTEXT(AA21)),Z54+1,0))</f>
        <v/>
      </c>
      <c r="AB54" s="1">
        <f>IF(AB$5="",0,IF(OR(AB21=TRUE,ISTEXT(AB21)),AA54+1,0))</f>
        <v/>
      </c>
      <c r="AC54" s="1">
        <f>IF(AC$5="",0,IF(OR(AC21=TRUE,ISTEXT(AC21)),AB54+1,0))</f>
        <v/>
      </c>
      <c r="AD54" s="1">
        <f>IF(AD$5="",0,IF(OR(AD21=TRUE,ISTEXT(AD21)),AC54+1,0))</f>
        <v/>
      </c>
      <c r="AE54" s="1">
        <f>IF(AE$5="",0,IF(OR(AE21=TRUE,ISTEXT(AE21)),AD54+1,0))</f>
        <v/>
      </c>
      <c r="AF54" s="1">
        <f>IF(AF$5="",0,IF(OR(AF21=TRUE,ISTEXT(AF21)),AE54+1,0))</f>
        <v/>
      </c>
      <c r="AG54" s="1">
        <f>IF(AG$5="",0,IF(OR(AG21=TRUE,ISTEXT(AG21)),AF54+1,0))</f>
        <v/>
      </c>
      <c r="AH54" s="1" t="n"/>
      <c r="AI54" s="1" t="n"/>
      <c r="AJ54" s="1" t="n"/>
      <c r="AK54" s="1" t="n"/>
      <c r="A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</sheetData>
  <mergeCells count="2">
    <mergeCell ref="AH24:AI24"/>
    <mergeCell ref="AH23:AI23"/>
  </mergeCells>
  <conditionalFormatting sqref="C7:AG24">
    <cfRule type="expression" priority="1" dxfId="12">
      <formula>C$5=""</formula>
    </cfRule>
  </conditionalFormatting>
  <conditionalFormatting sqref="C7:AG21">
    <cfRule type="expression" priority="2" dxfId="13">
      <formula>AND($B7&lt;&gt;"",OR(C7=TRUE,ISTEXT(C7)))</formula>
    </cfRule>
    <cfRule type="expression" priority="3" dxfId="14">
      <formula>$B7=""</formula>
    </cfRule>
  </conditionalFormatting>
  <conditionalFormatting sqref="C23:AG23">
    <cfRule type="expression" priority="4" dxfId="1">
      <formula>C23=5</formula>
    </cfRule>
    <cfRule type="expression" priority="5" dxfId="2">
      <formula>C23=4</formula>
    </cfRule>
    <cfRule type="expression" priority="6" dxfId="3">
      <formula>C23=3</formula>
    </cfRule>
    <cfRule type="expression" priority="7" dxfId="4">
      <formula>C23=2</formula>
    </cfRule>
    <cfRule type="expression" priority="8" dxfId="5">
      <formula>C23=1</formula>
    </cfRule>
  </conditionalFormatting>
  <conditionalFormatting sqref="C5:AG5">
    <cfRule type="expression" priority="9" dxfId="15">
      <formula>AND(C$5&lt;&gt;"",DATE(Habits!$C$4,11,C$5)=TODAY())</formula>
    </cfRule>
  </conditionalFormatting>
  <conditionalFormatting sqref="AI7:AI21">
    <cfRule type="colorScale" priority="10">
      <colorScale>
        <cfvo type="num" val="0"/>
        <cfvo type="num" val="1"/>
        <color rgb="00FFFFFF"/>
        <color rgb="008CC5A8"/>
      </colorScale>
    </cfRule>
  </conditionalFormatting>
  <dataValidations count="1">
    <dataValidation sqref="C23:AG2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L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7" customWidth="1" min="34" max="34"/>
    <col width="7" customWidth="1" min="35" max="35"/>
    <col width="8" customWidth="1" min="36" max="36"/>
    <col width="8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2" customHeight="1">
      <c r="A2" s="1" t="n"/>
      <c r="B2" s="2">
        <f>"December "&amp;Habits!$C$4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</row>
    <row r="3">
      <c r="A3" s="1" t="n"/>
      <c r="B3" s="3" t="inlineStr">
        <is>
          <t>Type x on each day you did a habit. Mood from 1 to 5, sleep in hours.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</row>
    <row r="5" ht="30" customHeight="1">
      <c r="A5" s="1" t="n"/>
      <c r="B5" s="28" t="inlineStr">
        <is>
          <t>Habit</t>
        </is>
      </c>
      <c r="C5" s="29">
        <f>IF(1&lt;=DAY(EOMONTH(DATE(Habits!$C$4,12,1),0)),1,"")</f>
        <v/>
      </c>
      <c r="D5" s="29">
        <f>IF(2&lt;=DAY(EOMONTH(DATE(Habits!$C$4,12,1),0)),2,"")</f>
        <v/>
      </c>
      <c r="E5" s="29">
        <f>IF(3&lt;=DAY(EOMONTH(DATE(Habits!$C$4,12,1),0)),3,"")</f>
        <v/>
      </c>
      <c r="F5" s="29">
        <f>IF(4&lt;=DAY(EOMONTH(DATE(Habits!$C$4,12,1),0)),4,"")</f>
        <v/>
      </c>
      <c r="G5" s="29">
        <f>IF(5&lt;=DAY(EOMONTH(DATE(Habits!$C$4,12,1),0)),5,"")</f>
        <v/>
      </c>
      <c r="H5" s="29">
        <f>IF(6&lt;=DAY(EOMONTH(DATE(Habits!$C$4,12,1),0)),6,"")</f>
        <v/>
      </c>
      <c r="I5" s="29">
        <f>IF(7&lt;=DAY(EOMONTH(DATE(Habits!$C$4,12,1),0)),7,"")</f>
        <v/>
      </c>
      <c r="J5" s="29">
        <f>IF(8&lt;=DAY(EOMONTH(DATE(Habits!$C$4,12,1),0)),8,"")</f>
        <v/>
      </c>
      <c r="K5" s="29">
        <f>IF(9&lt;=DAY(EOMONTH(DATE(Habits!$C$4,12,1),0)),9,"")</f>
        <v/>
      </c>
      <c r="L5" s="29">
        <f>IF(10&lt;=DAY(EOMONTH(DATE(Habits!$C$4,12,1),0)),10,"")</f>
        <v/>
      </c>
      <c r="M5" s="29">
        <f>IF(11&lt;=DAY(EOMONTH(DATE(Habits!$C$4,12,1),0)),11,"")</f>
        <v/>
      </c>
      <c r="N5" s="29">
        <f>IF(12&lt;=DAY(EOMONTH(DATE(Habits!$C$4,12,1),0)),12,"")</f>
        <v/>
      </c>
      <c r="O5" s="29">
        <f>IF(13&lt;=DAY(EOMONTH(DATE(Habits!$C$4,12,1),0)),13,"")</f>
        <v/>
      </c>
      <c r="P5" s="29">
        <f>IF(14&lt;=DAY(EOMONTH(DATE(Habits!$C$4,12,1),0)),14,"")</f>
        <v/>
      </c>
      <c r="Q5" s="29">
        <f>IF(15&lt;=DAY(EOMONTH(DATE(Habits!$C$4,12,1),0)),15,"")</f>
        <v/>
      </c>
      <c r="R5" s="29">
        <f>IF(16&lt;=DAY(EOMONTH(DATE(Habits!$C$4,12,1),0)),16,"")</f>
        <v/>
      </c>
      <c r="S5" s="29">
        <f>IF(17&lt;=DAY(EOMONTH(DATE(Habits!$C$4,12,1),0)),17,"")</f>
        <v/>
      </c>
      <c r="T5" s="29">
        <f>IF(18&lt;=DAY(EOMONTH(DATE(Habits!$C$4,12,1),0)),18,"")</f>
        <v/>
      </c>
      <c r="U5" s="29">
        <f>IF(19&lt;=DAY(EOMONTH(DATE(Habits!$C$4,12,1),0)),19,"")</f>
        <v/>
      </c>
      <c r="V5" s="29">
        <f>IF(20&lt;=DAY(EOMONTH(DATE(Habits!$C$4,12,1),0)),20,"")</f>
        <v/>
      </c>
      <c r="W5" s="29">
        <f>IF(21&lt;=DAY(EOMONTH(DATE(Habits!$C$4,12,1),0)),21,"")</f>
        <v/>
      </c>
      <c r="X5" s="29">
        <f>IF(22&lt;=DAY(EOMONTH(DATE(Habits!$C$4,12,1),0)),22,"")</f>
        <v/>
      </c>
      <c r="Y5" s="29">
        <f>IF(23&lt;=DAY(EOMONTH(DATE(Habits!$C$4,12,1),0)),23,"")</f>
        <v/>
      </c>
      <c r="Z5" s="29">
        <f>IF(24&lt;=DAY(EOMONTH(DATE(Habits!$C$4,12,1),0)),24,"")</f>
        <v/>
      </c>
      <c r="AA5" s="29">
        <f>IF(25&lt;=DAY(EOMONTH(DATE(Habits!$C$4,12,1),0)),25,"")</f>
        <v/>
      </c>
      <c r="AB5" s="29">
        <f>IF(26&lt;=DAY(EOMONTH(DATE(Habits!$C$4,12,1),0)),26,"")</f>
        <v/>
      </c>
      <c r="AC5" s="29">
        <f>IF(27&lt;=DAY(EOMONTH(DATE(Habits!$C$4,12,1),0)),27,"")</f>
        <v/>
      </c>
      <c r="AD5" s="29">
        <f>IF(28&lt;=DAY(EOMONTH(DATE(Habits!$C$4,12,1),0)),28,"")</f>
        <v/>
      </c>
      <c r="AE5" s="29">
        <f>IF(29&lt;=DAY(EOMONTH(DATE(Habits!$C$4,12,1),0)),29,"")</f>
        <v/>
      </c>
      <c r="AF5" s="29">
        <f>IF(30&lt;=DAY(EOMONTH(DATE(Habits!$C$4,12,1),0)),30,"")</f>
        <v/>
      </c>
      <c r="AG5" s="29">
        <f>IF(31&lt;=DAY(EOMONTH(DATE(Habits!$C$4,12,1),0)),31,"")</f>
        <v/>
      </c>
      <c r="AH5" s="30" t="inlineStr">
        <is>
          <t>Done</t>
        </is>
      </c>
      <c r="AI5" s="30" t="inlineStr">
        <is>
          <t>Share</t>
        </is>
      </c>
      <c r="AJ5" s="30" t="inlineStr">
        <is>
          <t>Streak now</t>
        </is>
      </c>
      <c r="AK5" s="30" t="inlineStr">
        <is>
          <t>Best streak</t>
        </is>
      </c>
      <c r="AL5" s="1" t="n"/>
    </row>
    <row r="6">
      <c r="A6" s="1" t="n"/>
      <c r="B6" s="1" t="n"/>
      <c r="C6" s="31">
        <f>IF(C$5="","",CHOOSE(WEEKDAY(DATE(Habits!$C$4,12,1),2),"M","T","W","T","F","S","S"))</f>
        <v/>
      </c>
      <c r="D6" s="31">
        <f>IF(D$5="","",CHOOSE(WEEKDAY(DATE(Habits!$C$4,12,2),2),"M","T","W","T","F","S","S"))</f>
        <v/>
      </c>
      <c r="E6" s="31">
        <f>IF(E$5="","",CHOOSE(WEEKDAY(DATE(Habits!$C$4,12,3),2),"M","T","W","T","F","S","S"))</f>
        <v/>
      </c>
      <c r="F6" s="31">
        <f>IF(F$5="","",CHOOSE(WEEKDAY(DATE(Habits!$C$4,12,4),2),"M","T","W","T","F","S","S"))</f>
        <v/>
      </c>
      <c r="G6" s="31">
        <f>IF(G$5="","",CHOOSE(WEEKDAY(DATE(Habits!$C$4,12,5),2),"M","T","W","T","F","S","S"))</f>
        <v/>
      </c>
      <c r="H6" s="31">
        <f>IF(H$5="","",CHOOSE(WEEKDAY(DATE(Habits!$C$4,12,6),2),"M","T","W","T","F","S","S"))</f>
        <v/>
      </c>
      <c r="I6" s="31">
        <f>IF(I$5="","",CHOOSE(WEEKDAY(DATE(Habits!$C$4,12,7),2),"M","T","W","T","F","S","S"))</f>
        <v/>
      </c>
      <c r="J6" s="31">
        <f>IF(J$5="","",CHOOSE(WEEKDAY(DATE(Habits!$C$4,12,8),2),"M","T","W","T","F","S","S"))</f>
        <v/>
      </c>
      <c r="K6" s="31">
        <f>IF(K$5="","",CHOOSE(WEEKDAY(DATE(Habits!$C$4,12,9),2),"M","T","W","T","F","S","S"))</f>
        <v/>
      </c>
      <c r="L6" s="31">
        <f>IF(L$5="","",CHOOSE(WEEKDAY(DATE(Habits!$C$4,12,10),2),"M","T","W","T","F","S","S"))</f>
        <v/>
      </c>
      <c r="M6" s="31">
        <f>IF(M$5="","",CHOOSE(WEEKDAY(DATE(Habits!$C$4,12,11),2),"M","T","W","T","F","S","S"))</f>
        <v/>
      </c>
      <c r="N6" s="31">
        <f>IF(N$5="","",CHOOSE(WEEKDAY(DATE(Habits!$C$4,12,12),2),"M","T","W","T","F","S","S"))</f>
        <v/>
      </c>
      <c r="O6" s="31">
        <f>IF(O$5="","",CHOOSE(WEEKDAY(DATE(Habits!$C$4,12,13),2),"M","T","W","T","F","S","S"))</f>
        <v/>
      </c>
      <c r="P6" s="31">
        <f>IF(P$5="","",CHOOSE(WEEKDAY(DATE(Habits!$C$4,12,14),2),"M","T","W","T","F","S","S"))</f>
        <v/>
      </c>
      <c r="Q6" s="31">
        <f>IF(Q$5="","",CHOOSE(WEEKDAY(DATE(Habits!$C$4,12,15),2),"M","T","W","T","F","S","S"))</f>
        <v/>
      </c>
      <c r="R6" s="31">
        <f>IF(R$5="","",CHOOSE(WEEKDAY(DATE(Habits!$C$4,12,16),2),"M","T","W","T","F","S","S"))</f>
        <v/>
      </c>
      <c r="S6" s="31">
        <f>IF(S$5="","",CHOOSE(WEEKDAY(DATE(Habits!$C$4,12,17),2),"M","T","W","T","F","S","S"))</f>
        <v/>
      </c>
      <c r="T6" s="31">
        <f>IF(T$5="","",CHOOSE(WEEKDAY(DATE(Habits!$C$4,12,18),2),"M","T","W","T","F","S","S"))</f>
        <v/>
      </c>
      <c r="U6" s="31">
        <f>IF(U$5="","",CHOOSE(WEEKDAY(DATE(Habits!$C$4,12,19),2),"M","T","W","T","F","S","S"))</f>
        <v/>
      </c>
      <c r="V6" s="31">
        <f>IF(V$5="","",CHOOSE(WEEKDAY(DATE(Habits!$C$4,12,20),2),"M","T","W","T","F","S","S"))</f>
        <v/>
      </c>
      <c r="W6" s="31">
        <f>IF(W$5="","",CHOOSE(WEEKDAY(DATE(Habits!$C$4,12,21),2),"M","T","W","T","F","S","S"))</f>
        <v/>
      </c>
      <c r="X6" s="31">
        <f>IF(X$5="","",CHOOSE(WEEKDAY(DATE(Habits!$C$4,12,22),2),"M","T","W","T","F","S","S"))</f>
        <v/>
      </c>
      <c r="Y6" s="31">
        <f>IF(Y$5="","",CHOOSE(WEEKDAY(DATE(Habits!$C$4,12,23),2),"M","T","W","T","F","S","S"))</f>
        <v/>
      </c>
      <c r="Z6" s="31">
        <f>IF(Z$5="","",CHOOSE(WEEKDAY(DATE(Habits!$C$4,12,24),2),"M","T","W","T","F","S","S"))</f>
        <v/>
      </c>
      <c r="AA6" s="31">
        <f>IF(AA$5="","",CHOOSE(WEEKDAY(DATE(Habits!$C$4,12,25),2),"M","T","W","T","F","S","S"))</f>
        <v/>
      </c>
      <c r="AB6" s="31">
        <f>IF(AB$5="","",CHOOSE(WEEKDAY(DATE(Habits!$C$4,12,26),2),"M","T","W","T","F","S","S"))</f>
        <v/>
      </c>
      <c r="AC6" s="31">
        <f>IF(AC$5="","",CHOOSE(WEEKDAY(DATE(Habits!$C$4,12,27),2),"M","T","W","T","F","S","S"))</f>
        <v/>
      </c>
      <c r="AD6" s="31">
        <f>IF(AD$5="","",CHOOSE(WEEKDAY(DATE(Habits!$C$4,12,28),2),"M","T","W","T","F","S","S"))</f>
        <v/>
      </c>
      <c r="AE6" s="31">
        <f>IF(AE$5="","",CHOOSE(WEEKDAY(DATE(Habits!$C$4,12,29),2),"M","T","W","T","F","S","S"))</f>
        <v/>
      </c>
      <c r="AF6" s="31">
        <f>IF(AF$5="","",CHOOSE(WEEKDAY(DATE(Habits!$C$4,12,30),2),"M","T","W","T","F","S","S"))</f>
        <v/>
      </c>
      <c r="AG6" s="31">
        <f>IF(AG$5="","",CHOOSE(WEEKDAY(DATE(Habits!$C$4,12,31),2),"M","T","W","T","F","S","S"))</f>
        <v/>
      </c>
      <c r="AH6" s="1" t="n"/>
      <c r="AI6" s="1" t="n"/>
      <c r="AJ6" s="1" t="n"/>
      <c r="AK6" s="1" t="n"/>
      <c r="AL6" s="1" t="n"/>
    </row>
    <row r="7">
      <c r="A7" s="1" t="n"/>
      <c r="B7" s="32">
        <f>IF(Habits!B8="","",Habits!B8)</f>
        <v/>
      </c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  <c r="Y7" s="33" t="n"/>
      <c r="Z7" s="33" t="n"/>
      <c r="AA7" s="33" t="n"/>
      <c r="AB7" s="33" t="n"/>
      <c r="AC7" s="33" t="n"/>
      <c r="AD7" s="33" t="n"/>
      <c r="AE7" s="33" t="n"/>
      <c r="AF7" s="33" t="n"/>
      <c r="AG7" s="33" t="n"/>
      <c r="AH7" s="13">
        <f>IF(B7="","",COUNTIF($C40:$AG40,"&gt;0"))</f>
        <v/>
      </c>
      <c r="AI7" s="14">
        <f>IF(OR(B7="",IF(AND(Habits!$C$4=YEAR(TODAY()),12=MONTH(TODAY())),DAY(TODAY()),IF(DATE(Habits!$C$4,12,1)&gt;TODAY(),0,DAY(EOMONTH(DATE(Habits!$C$4,12,1),0))))=0),"",MIN(1,(COUNTIF($C40:$AG40,"&gt;0"))/IF(AND(Habits!$C$4=YEAR(TODAY()),12=MONTH(TODAY())),DAY(TODAY()),IF(DATE(Habits!$C$4,12,1)&gt;TODAY(),0,DAY(EOMONTH(DATE(Habits!$C$4,12,1),0))))))</f>
        <v/>
      </c>
      <c r="AJ7" s="16">
        <f>IF(B7="","",IF(AND(Habits!$C$4=YEAR(TODAY()),12=MONTH(TODAY())),IF(INDEX($C40:$AG40,DAY(TODAY()))&gt;0,INDEX($C40:$AG40,DAY(TODAY())),IF(DAY(TODAY())=1,IFERROR(INDEX(Nov!$C$40:$AG$40,DAY(EOMONTH(DATE(Habits!$C$4,11,1),0))),0),INDEX($C40:$AG40,DAY(TODAY())-1))),IF(DATE(Habits!$C$4,12,1)&gt;TODAY(),"",INDEX($C40:$AG40,DAY(EOMONTH(DATE(Habits!$C$4,12,1),0))))))</f>
        <v/>
      </c>
      <c r="AK7" s="13">
        <f>IF(B7="","",MAX($C40:$AG40))</f>
        <v/>
      </c>
      <c r="AL7" s="1" t="n"/>
    </row>
    <row r="8">
      <c r="A8" s="1" t="n"/>
      <c r="B8" s="32">
        <f>IF(Habits!B9="","",Habits!B9)</f>
        <v/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3" t="n"/>
      <c r="AG8" s="33" t="n"/>
      <c r="AH8" s="13">
        <f>IF(B8="","",COUNTIF($C41:$AG41,"&gt;0"))</f>
        <v/>
      </c>
      <c r="AI8" s="14">
        <f>IF(OR(B8="",IF(AND(Habits!$C$4=YEAR(TODAY()),12=MONTH(TODAY())),DAY(TODAY()),IF(DATE(Habits!$C$4,12,1)&gt;TODAY(),0,DAY(EOMONTH(DATE(Habits!$C$4,12,1),0))))=0),"",MIN(1,(COUNTIF($C41:$AG41,"&gt;0"))/IF(AND(Habits!$C$4=YEAR(TODAY()),12=MONTH(TODAY())),DAY(TODAY()),IF(DATE(Habits!$C$4,12,1)&gt;TODAY(),0,DAY(EOMONTH(DATE(Habits!$C$4,12,1),0))))))</f>
        <v/>
      </c>
      <c r="AJ8" s="16">
        <f>IF(B8="","",IF(AND(Habits!$C$4=YEAR(TODAY()),12=MONTH(TODAY())),IF(INDEX($C41:$AG41,DAY(TODAY()))&gt;0,INDEX($C41:$AG41,DAY(TODAY())),IF(DAY(TODAY())=1,IFERROR(INDEX(Nov!$C$41:$AG$41,DAY(EOMONTH(DATE(Habits!$C$4,11,1),0))),0),INDEX($C41:$AG41,DAY(TODAY())-1))),IF(DATE(Habits!$C$4,12,1)&gt;TODAY(),"",INDEX($C41:$AG41,DAY(EOMONTH(DATE(Habits!$C$4,12,1),0))))))</f>
        <v/>
      </c>
      <c r="AK8" s="13">
        <f>IF(B8="","",MAX($C41:$AG41))</f>
        <v/>
      </c>
      <c r="AL8" s="1" t="n"/>
    </row>
    <row r="9">
      <c r="A9" s="1" t="n"/>
      <c r="B9" s="32">
        <f>IF(Habits!B10="","",Habits!B10)</f>
        <v/>
      </c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H9" s="13">
        <f>IF(B9="","",COUNTIF($C42:$AG42,"&gt;0"))</f>
        <v/>
      </c>
      <c r="AI9" s="14">
        <f>IF(OR(B9="",IF(AND(Habits!$C$4=YEAR(TODAY()),12=MONTH(TODAY())),DAY(TODAY()),IF(DATE(Habits!$C$4,12,1)&gt;TODAY(),0,DAY(EOMONTH(DATE(Habits!$C$4,12,1),0))))=0),"",MIN(1,(COUNTIF($C42:$AG42,"&gt;0"))/IF(AND(Habits!$C$4=YEAR(TODAY()),12=MONTH(TODAY())),DAY(TODAY()),IF(DATE(Habits!$C$4,12,1)&gt;TODAY(),0,DAY(EOMONTH(DATE(Habits!$C$4,12,1),0))))))</f>
        <v/>
      </c>
      <c r="AJ9" s="16">
        <f>IF(B9="","",IF(AND(Habits!$C$4=YEAR(TODAY()),12=MONTH(TODAY())),IF(INDEX($C42:$AG42,DAY(TODAY()))&gt;0,INDEX($C42:$AG42,DAY(TODAY())),IF(DAY(TODAY())=1,IFERROR(INDEX(Nov!$C$42:$AG$42,DAY(EOMONTH(DATE(Habits!$C$4,11,1),0))),0),INDEX($C42:$AG42,DAY(TODAY())-1))),IF(DATE(Habits!$C$4,12,1)&gt;TODAY(),"",INDEX($C42:$AG42,DAY(EOMONTH(DATE(Habits!$C$4,12,1),0))))))</f>
        <v/>
      </c>
      <c r="AK9" s="13">
        <f>IF(B9="","",MAX($C42:$AG42))</f>
        <v/>
      </c>
      <c r="AL9" s="1" t="n"/>
    </row>
    <row r="10">
      <c r="A10" s="1" t="n"/>
      <c r="B10" s="32">
        <f>IF(Habits!B11="","",Habits!B11)</f>
        <v/>
      </c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3" t="n"/>
      <c r="AG10" s="33" t="n"/>
      <c r="AH10" s="13">
        <f>IF(B10="","",COUNTIF($C43:$AG43,"&gt;0"))</f>
        <v/>
      </c>
      <c r="AI10" s="14">
        <f>IF(OR(B10="",IF(AND(Habits!$C$4=YEAR(TODAY()),12=MONTH(TODAY())),DAY(TODAY()),IF(DATE(Habits!$C$4,12,1)&gt;TODAY(),0,DAY(EOMONTH(DATE(Habits!$C$4,12,1),0))))=0),"",MIN(1,(COUNTIF($C43:$AG43,"&gt;0"))/IF(AND(Habits!$C$4=YEAR(TODAY()),12=MONTH(TODAY())),DAY(TODAY()),IF(DATE(Habits!$C$4,12,1)&gt;TODAY(),0,DAY(EOMONTH(DATE(Habits!$C$4,12,1),0))))))</f>
        <v/>
      </c>
      <c r="AJ10" s="16">
        <f>IF(B10="","",IF(AND(Habits!$C$4=YEAR(TODAY()),12=MONTH(TODAY())),IF(INDEX($C43:$AG43,DAY(TODAY()))&gt;0,INDEX($C43:$AG43,DAY(TODAY())),IF(DAY(TODAY())=1,IFERROR(INDEX(Nov!$C$43:$AG$43,DAY(EOMONTH(DATE(Habits!$C$4,11,1),0))),0),INDEX($C43:$AG43,DAY(TODAY())-1))),IF(DATE(Habits!$C$4,12,1)&gt;TODAY(),"",INDEX($C43:$AG43,DAY(EOMONTH(DATE(Habits!$C$4,12,1),0))))))</f>
        <v/>
      </c>
      <c r="AK10" s="13">
        <f>IF(B10="","",MAX($C43:$AG43))</f>
        <v/>
      </c>
      <c r="AL10" s="1" t="n"/>
    </row>
    <row r="11">
      <c r="A11" s="1" t="n"/>
      <c r="B11" s="32">
        <f>IF(Habits!B12="","",Habits!B12)</f>
        <v/>
      </c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3" t="n"/>
      <c r="AH11" s="13">
        <f>IF(B11="","",COUNTIF($C44:$AG44,"&gt;0"))</f>
        <v/>
      </c>
      <c r="AI11" s="14">
        <f>IF(OR(B11="",IF(AND(Habits!$C$4=YEAR(TODAY()),12=MONTH(TODAY())),DAY(TODAY()),IF(DATE(Habits!$C$4,12,1)&gt;TODAY(),0,DAY(EOMONTH(DATE(Habits!$C$4,12,1),0))))=0),"",MIN(1,(COUNTIF($C44:$AG44,"&gt;0"))/IF(AND(Habits!$C$4=YEAR(TODAY()),12=MONTH(TODAY())),DAY(TODAY()),IF(DATE(Habits!$C$4,12,1)&gt;TODAY(),0,DAY(EOMONTH(DATE(Habits!$C$4,12,1),0))))))</f>
        <v/>
      </c>
      <c r="AJ11" s="16">
        <f>IF(B11="","",IF(AND(Habits!$C$4=YEAR(TODAY()),12=MONTH(TODAY())),IF(INDEX($C44:$AG44,DAY(TODAY()))&gt;0,INDEX($C44:$AG44,DAY(TODAY())),IF(DAY(TODAY())=1,IFERROR(INDEX(Nov!$C$44:$AG$44,DAY(EOMONTH(DATE(Habits!$C$4,11,1),0))),0),INDEX($C44:$AG44,DAY(TODAY())-1))),IF(DATE(Habits!$C$4,12,1)&gt;TODAY(),"",INDEX($C44:$AG44,DAY(EOMONTH(DATE(Habits!$C$4,12,1),0))))))</f>
        <v/>
      </c>
      <c r="AK11" s="13">
        <f>IF(B11="","",MAX($C44:$AG44))</f>
        <v/>
      </c>
      <c r="AL11" s="1" t="n"/>
    </row>
    <row r="12">
      <c r="A12" s="1" t="n"/>
      <c r="B12" s="32">
        <f>IF(Habits!B13="","",Habits!B13)</f>
        <v/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13">
        <f>IF(B12="","",COUNTIF($C45:$AG45,"&gt;0"))</f>
        <v/>
      </c>
      <c r="AI12" s="14">
        <f>IF(OR(B12="",IF(AND(Habits!$C$4=YEAR(TODAY()),12=MONTH(TODAY())),DAY(TODAY()),IF(DATE(Habits!$C$4,12,1)&gt;TODAY(),0,DAY(EOMONTH(DATE(Habits!$C$4,12,1),0))))=0),"",MIN(1,(COUNTIF($C45:$AG45,"&gt;0"))/IF(AND(Habits!$C$4=YEAR(TODAY()),12=MONTH(TODAY())),DAY(TODAY()),IF(DATE(Habits!$C$4,12,1)&gt;TODAY(),0,DAY(EOMONTH(DATE(Habits!$C$4,12,1),0))))))</f>
        <v/>
      </c>
      <c r="AJ12" s="16">
        <f>IF(B12="","",IF(AND(Habits!$C$4=YEAR(TODAY()),12=MONTH(TODAY())),IF(INDEX($C45:$AG45,DAY(TODAY()))&gt;0,INDEX($C45:$AG45,DAY(TODAY())),IF(DAY(TODAY())=1,IFERROR(INDEX(Nov!$C$45:$AG$45,DAY(EOMONTH(DATE(Habits!$C$4,11,1),0))),0),INDEX($C45:$AG45,DAY(TODAY())-1))),IF(DATE(Habits!$C$4,12,1)&gt;TODAY(),"",INDEX($C45:$AG45,DAY(EOMONTH(DATE(Habits!$C$4,12,1),0))))))</f>
        <v/>
      </c>
      <c r="AK12" s="13">
        <f>IF(B12="","",MAX($C45:$AG45))</f>
        <v/>
      </c>
      <c r="AL12" s="1" t="n"/>
    </row>
    <row r="13">
      <c r="A13" s="1" t="n"/>
      <c r="B13" s="32">
        <f>IF(Habits!B14="","",Habits!B14)</f>
        <v/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33" t="n"/>
      <c r="AC13" s="33" t="n"/>
      <c r="AD13" s="33" t="n"/>
      <c r="AE13" s="33" t="n"/>
      <c r="AF13" s="33" t="n"/>
      <c r="AG13" s="33" t="n"/>
      <c r="AH13" s="13">
        <f>IF(B13="","",COUNTIF($C46:$AG46,"&gt;0"))</f>
        <v/>
      </c>
      <c r="AI13" s="14">
        <f>IF(OR(B13="",IF(AND(Habits!$C$4=YEAR(TODAY()),12=MONTH(TODAY())),DAY(TODAY()),IF(DATE(Habits!$C$4,12,1)&gt;TODAY(),0,DAY(EOMONTH(DATE(Habits!$C$4,12,1),0))))=0),"",MIN(1,(COUNTIF($C46:$AG46,"&gt;0"))/IF(AND(Habits!$C$4=YEAR(TODAY()),12=MONTH(TODAY())),DAY(TODAY()),IF(DATE(Habits!$C$4,12,1)&gt;TODAY(),0,DAY(EOMONTH(DATE(Habits!$C$4,12,1),0))))))</f>
        <v/>
      </c>
      <c r="AJ13" s="16">
        <f>IF(B13="","",IF(AND(Habits!$C$4=YEAR(TODAY()),12=MONTH(TODAY())),IF(INDEX($C46:$AG46,DAY(TODAY()))&gt;0,INDEX($C46:$AG46,DAY(TODAY())),IF(DAY(TODAY())=1,IFERROR(INDEX(Nov!$C$46:$AG$46,DAY(EOMONTH(DATE(Habits!$C$4,11,1),0))),0),INDEX($C46:$AG46,DAY(TODAY())-1))),IF(DATE(Habits!$C$4,12,1)&gt;TODAY(),"",INDEX($C46:$AG46,DAY(EOMONTH(DATE(Habits!$C$4,12,1),0))))))</f>
        <v/>
      </c>
      <c r="AK13" s="13">
        <f>IF(B13="","",MAX($C46:$AG46))</f>
        <v/>
      </c>
      <c r="AL13" s="1" t="n"/>
    </row>
    <row r="14">
      <c r="A14" s="1" t="n"/>
      <c r="B14" s="32">
        <f>IF(Habits!B15="","",Habits!B15)</f>
        <v/>
      </c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13">
        <f>IF(B14="","",COUNTIF($C47:$AG47,"&gt;0"))</f>
        <v/>
      </c>
      <c r="AI14" s="14">
        <f>IF(OR(B14="",IF(AND(Habits!$C$4=YEAR(TODAY()),12=MONTH(TODAY())),DAY(TODAY()),IF(DATE(Habits!$C$4,12,1)&gt;TODAY(),0,DAY(EOMONTH(DATE(Habits!$C$4,12,1),0))))=0),"",MIN(1,(COUNTIF($C47:$AG47,"&gt;0"))/IF(AND(Habits!$C$4=YEAR(TODAY()),12=MONTH(TODAY())),DAY(TODAY()),IF(DATE(Habits!$C$4,12,1)&gt;TODAY(),0,DAY(EOMONTH(DATE(Habits!$C$4,12,1),0))))))</f>
        <v/>
      </c>
      <c r="AJ14" s="16">
        <f>IF(B14="","",IF(AND(Habits!$C$4=YEAR(TODAY()),12=MONTH(TODAY())),IF(INDEX($C47:$AG47,DAY(TODAY()))&gt;0,INDEX($C47:$AG47,DAY(TODAY())),IF(DAY(TODAY())=1,IFERROR(INDEX(Nov!$C$47:$AG$47,DAY(EOMONTH(DATE(Habits!$C$4,11,1),0))),0),INDEX($C47:$AG47,DAY(TODAY())-1))),IF(DATE(Habits!$C$4,12,1)&gt;TODAY(),"",INDEX($C47:$AG47,DAY(EOMONTH(DATE(Habits!$C$4,12,1),0))))))</f>
        <v/>
      </c>
      <c r="AK14" s="13">
        <f>IF(B14="","",MAX($C47:$AG47))</f>
        <v/>
      </c>
      <c r="AL14" s="1" t="n"/>
    </row>
    <row r="15">
      <c r="A15" s="1" t="n"/>
      <c r="B15" s="32">
        <f>IF(Habits!B16="","",Habits!B16)</f>
        <v/>
      </c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33" t="n"/>
      <c r="AH15" s="13">
        <f>IF(B15="","",COUNTIF($C48:$AG48,"&gt;0"))</f>
        <v/>
      </c>
      <c r="AI15" s="14">
        <f>IF(OR(B15="",IF(AND(Habits!$C$4=YEAR(TODAY()),12=MONTH(TODAY())),DAY(TODAY()),IF(DATE(Habits!$C$4,12,1)&gt;TODAY(),0,DAY(EOMONTH(DATE(Habits!$C$4,12,1),0))))=0),"",MIN(1,(COUNTIF($C48:$AG48,"&gt;0"))/IF(AND(Habits!$C$4=YEAR(TODAY()),12=MONTH(TODAY())),DAY(TODAY()),IF(DATE(Habits!$C$4,12,1)&gt;TODAY(),0,DAY(EOMONTH(DATE(Habits!$C$4,12,1),0))))))</f>
        <v/>
      </c>
      <c r="AJ15" s="16">
        <f>IF(B15="","",IF(AND(Habits!$C$4=YEAR(TODAY()),12=MONTH(TODAY())),IF(INDEX($C48:$AG48,DAY(TODAY()))&gt;0,INDEX($C48:$AG48,DAY(TODAY())),IF(DAY(TODAY())=1,IFERROR(INDEX(Nov!$C$48:$AG$48,DAY(EOMONTH(DATE(Habits!$C$4,11,1),0))),0),INDEX($C48:$AG48,DAY(TODAY())-1))),IF(DATE(Habits!$C$4,12,1)&gt;TODAY(),"",INDEX($C48:$AG48,DAY(EOMONTH(DATE(Habits!$C$4,12,1),0))))))</f>
        <v/>
      </c>
      <c r="AK15" s="13">
        <f>IF(B15="","",MAX($C48:$AG48))</f>
        <v/>
      </c>
      <c r="AL15" s="1" t="n"/>
    </row>
    <row r="16">
      <c r="A16" s="1" t="n"/>
      <c r="B16" s="32">
        <f>IF(Habits!B17="","",Habits!B17)</f>
        <v/>
      </c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13">
        <f>IF(B16="","",COUNTIF($C49:$AG49,"&gt;0"))</f>
        <v/>
      </c>
      <c r="AI16" s="14">
        <f>IF(OR(B16="",IF(AND(Habits!$C$4=YEAR(TODAY()),12=MONTH(TODAY())),DAY(TODAY()),IF(DATE(Habits!$C$4,12,1)&gt;TODAY(),0,DAY(EOMONTH(DATE(Habits!$C$4,12,1),0))))=0),"",MIN(1,(COUNTIF($C49:$AG49,"&gt;0"))/IF(AND(Habits!$C$4=YEAR(TODAY()),12=MONTH(TODAY())),DAY(TODAY()),IF(DATE(Habits!$C$4,12,1)&gt;TODAY(),0,DAY(EOMONTH(DATE(Habits!$C$4,12,1),0))))))</f>
        <v/>
      </c>
      <c r="AJ16" s="16">
        <f>IF(B16="","",IF(AND(Habits!$C$4=YEAR(TODAY()),12=MONTH(TODAY())),IF(INDEX($C49:$AG49,DAY(TODAY()))&gt;0,INDEX($C49:$AG49,DAY(TODAY())),IF(DAY(TODAY())=1,IFERROR(INDEX(Nov!$C$49:$AG$49,DAY(EOMONTH(DATE(Habits!$C$4,11,1),0))),0),INDEX($C49:$AG49,DAY(TODAY())-1))),IF(DATE(Habits!$C$4,12,1)&gt;TODAY(),"",INDEX($C49:$AG49,DAY(EOMONTH(DATE(Habits!$C$4,12,1),0))))))</f>
        <v/>
      </c>
      <c r="AK16" s="13">
        <f>IF(B16="","",MAX($C49:$AG49))</f>
        <v/>
      </c>
      <c r="AL16" s="1" t="n"/>
    </row>
    <row r="17">
      <c r="A17" s="1" t="n"/>
      <c r="B17" s="32">
        <f>IF(Habits!B18="","",Habits!B18)</f>
        <v/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13">
        <f>IF(B17="","",COUNTIF($C50:$AG50,"&gt;0"))</f>
        <v/>
      </c>
      <c r="AI17" s="14">
        <f>IF(OR(B17="",IF(AND(Habits!$C$4=YEAR(TODAY()),12=MONTH(TODAY())),DAY(TODAY()),IF(DATE(Habits!$C$4,12,1)&gt;TODAY(),0,DAY(EOMONTH(DATE(Habits!$C$4,12,1),0))))=0),"",MIN(1,(COUNTIF($C50:$AG50,"&gt;0"))/IF(AND(Habits!$C$4=YEAR(TODAY()),12=MONTH(TODAY())),DAY(TODAY()),IF(DATE(Habits!$C$4,12,1)&gt;TODAY(),0,DAY(EOMONTH(DATE(Habits!$C$4,12,1),0))))))</f>
        <v/>
      </c>
      <c r="AJ17" s="16">
        <f>IF(B17="","",IF(AND(Habits!$C$4=YEAR(TODAY()),12=MONTH(TODAY())),IF(INDEX($C50:$AG50,DAY(TODAY()))&gt;0,INDEX($C50:$AG50,DAY(TODAY())),IF(DAY(TODAY())=1,IFERROR(INDEX(Nov!$C$50:$AG$50,DAY(EOMONTH(DATE(Habits!$C$4,11,1),0))),0),INDEX($C50:$AG50,DAY(TODAY())-1))),IF(DATE(Habits!$C$4,12,1)&gt;TODAY(),"",INDEX($C50:$AG50,DAY(EOMONTH(DATE(Habits!$C$4,12,1),0))))))</f>
        <v/>
      </c>
      <c r="AK17" s="13">
        <f>IF(B17="","",MAX($C50:$AG50))</f>
        <v/>
      </c>
      <c r="AL17" s="1" t="n"/>
    </row>
    <row r="18">
      <c r="A18" s="1" t="n"/>
      <c r="B18" s="32">
        <f>IF(Habits!B19="","",Habits!B19)</f>
        <v/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13">
        <f>IF(B18="","",COUNTIF($C51:$AG51,"&gt;0"))</f>
        <v/>
      </c>
      <c r="AI18" s="14">
        <f>IF(OR(B18="",IF(AND(Habits!$C$4=YEAR(TODAY()),12=MONTH(TODAY())),DAY(TODAY()),IF(DATE(Habits!$C$4,12,1)&gt;TODAY(),0,DAY(EOMONTH(DATE(Habits!$C$4,12,1),0))))=0),"",MIN(1,(COUNTIF($C51:$AG51,"&gt;0"))/IF(AND(Habits!$C$4=YEAR(TODAY()),12=MONTH(TODAY())),DAY(TODAY()),IF(DATE(Habits!$C$4,12,1)&gt;TODAY(),0,DAY(EOMONTH(DATE(Habits!$C$4,12,1),0))))))</f>
        <v/>
      </c>
      <c r="AJ18" s="16">
        <f>IF(B18="","",IF(AND(Habits!$C$4=YEAR(TODAY()),12=MONTH(TODAY())),IF(INDEX($C51:$AG51,DAY(TODAY()))&gt;0,INDEX($C51:$AG51,DAY(TODAY())),IF(DAY(TODAY())=1,IFERROR(INDEX(Nov!$C$51:$AG$51,DAY(EOMONTH(DATE(Habits!$C$4,11,1),0))),0),INDEX($C51:$AG51,DAY(TODAY())-1))),IF(DATE(Habits!$C$4,12,1)&gt;TODAY(),"",INDEX($C51:$AG51,DAY(EOMONTH(DATE(Habits!$C$4,12,1),0))))))</f>
        <v/>
      </c>
      <c r="AK18" s="13">
        <f>IF(B18="","",MAX($C51:$AG51))</f>
        <v/>
      </c>
      <c r="AL18" s="1" t="n"/>
    </row>
    <row r="19">
      <c r="A19" s="1" t="n"/>
      <c r="B19" s="32">
        <f>IF(Habits!B20="","",Habits!B20)</f>
        <v/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3" t="n"/>
      <c r="AG19" s="33" t="n"/>
      <c r="AH19" s="13">
        <f>IF(B19="","",COUNTIF($C52:$AG52,"&gt;0"))</f>
        <v/>
      </c>
      <c r="AI19" s="14">
        <f>IF(OR(B19="",IF(AND(Habits!$C$4=YEAR(TODAY()),12=MONTH(TODAY())),DAY(TODAY()),IF(DATE(Habits!$C$4,12,1)&gt;TODAY(),0,DAY(EOMONTH(DATE(Habits!$C$4,12,1),0))))=0),"",MIN(1,(COUNTIF($C52:$AG52,"&gt;0"))/IF(AND(Habits!$C$4=YEAR(TODAY()),12=MONTH(TODAY())),DAY(TODAY()),IF(DATE(Habits!$C$4,12,1)&gt;TODAY(),0,DAY(EOMONTH(DATE(Habits!$C$4,12,1),0))))))</f>
        <v/>
      </c>
      <c r="AJ19" s="16">
        <f>IF(B19="","",IF(AND(Habits!$C$4=YEAR(TODAY()),12=MONTH(TODAY())),IF(INDEX($C52:$AG52,DAY(TODAY()))&gt;0,INDEX($C52:$AG52,DAY(TODAY())),IF(DAY(TODAY())=1,IFERROR(INDEX(Nov!$C$52:$AG$52,DAY(EOMONTH(DATE(Habits!$C$4,11,1),0))),0),INDEX($C52:$AG52,DAY(TODAY())-1))),IF(DATE(Habits!$C$4,12,1)&gt;TODAY(),"",INDEX($C52:$AG52,DAY(EOMONTH(DATE(Habits!$C$4,12,1),0))))))</f>
        <v/>
      </c>
      <c r="AK19" s="13">
        <f>IF(B19="","",MAX($C52:$AG52))</f>
        <v/>
      </c>
      <c r="AL19" s="1" t="n"/>
    </row>
    <row r="20">
      <c r="A20" s="1" t="n"/>
      <c r="B20" s="32">
        <f>IF(Habits!B21="","",Habits!B21)</f>
        <v/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13">
        <f>IF(B20="","",COUNTIF($C53:$AG53,"&gt;0"))</f>
        <v/>
      </c>
      <c r="AI20" s="14">
        <f>IF(OR(B20="",IF(AND(Habits!$C$4=YEAR(TODAY()),12=MONTH(TODAY())),DAY(TODAY()),IF(DATE(Habits!$C$4,12,1)&gt;TODAY(),0,DAY(EOMONTH(DATE(Habits!$C$4,12,1),0))))=0),"",MIN(1,(COUNTIF($C53:$AG53,"&gt;0"))/IF(AND(Habits!$C$4=YEAR(TODAY()),12=MONTH(TODAY())),DAY(TODAY()),IF(DATE(Habits!$C$4,12,1)&gt;TODAY(),0,DAY(EOMONTH(DATE(Habits!$C$4,12,1),0))))))</f>
        <v/>
      </c>
      <c r="AJ20" s="16">
        <f>IF(B20="","",IF(AND(Habits!$C$4=YEAR(TODAY()),12=MONTH(TODAY())),IF(INDEX($C53:$AG53,DAY(TODAY()))&gt;0,INDEX($C53:$AG53,DAY(TODAY())),IF(DAY(TODAY())=1,IFERROR(INDEX(Nov!$C$53:$AG$53,DAY(EOMONTH(DATE(Habits!$C$4,11,1),0))),0),INDEX($C53:$AG53,DAY(TODAY())-1))),IF(DATE(Habits!$C$4,12,1)&gt;TODAY(),"",INDEX($C53:$AG53,DAY(EOMONTH(DATE(Habits!$C$4,12,1),0))))))</f>
        <v/>
      </c>
      <c r="AK20" s="13">
        <f>IF(B20="","",MAX($C53:$AG53))</f>
        <v/>
      </c>
      <c r="AL20" s="1" t="n"/>
    </row>
    <row r="21">
      <c r="A21" s="1" t="n"/>
      <c r="B21" s="32">
        <f>IF(Habits!B22="","",Habits!B22)</f>
        <v/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13">
        <f>IF(B21="","",COUNTIF($C54:$AG54,"&gt;0"))</f>
        <v/>
      </c>
      <c r="AI21" s="14">
        <f>IF(OR(B21="",IF(AND(Habits!$C$4=YEAR(TODAY()),12=MONTH(TODAY())),DAY(TODAY()),IF(DATE(Habits!$C$4,12,1)&gt;TODAY(),0,DAY(EOMONTH(DATE(Habits!$C$4,12,1),0))))=0),"",MIN(1,(COUNTIF($C54:$AG54,"&gt;0"))/IF(AND(Habits!$C$4=YEAR(TODAY()),12=MONTH(TODAY())),DAY(TODAY()),IF(DATE(Habits!$C$4,12,1)&gt;TODAY(),0,DAY(EOMONTH(DATE(Habits!$C$4,12,1),0))))))</f>
        <v/>
      </c>
      <c r="AJ21" s="16">
        <f>IF(B21="","",IF(AND(Habits!$C$4=YEAR(TODAY()),12=MONTH(TODAY())),IF(INDEX($C54:$AG54,DAY(TODAY()))&gt;0,INDEX($C54:$AG54,DAY(TODAY())),IF(DAY(TODAY())=1,IFERROR(INDEX(Nov!$C$54:$AG$54,DAY(EOMONTH(DATE(Habits!$C$4,11,1),0))),0),INDEX($C54:$AG54,DAY(TODAY())-1))),IF(DATE(Habits!$C$4,12,1)&gt;TODAY(),"",INDEX($C54:$AG54,DAY(EOMONTH(DATE(Habits!$C$4,12,1),0))))))</f>
        <v/>
      </c>
      <c r="AK21" s="13">
        <f>IF(B21="","",MAX($C54:$AG54))</f>
        <v/>
      </c>
      <c r="A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>
      <c r="A23" s="1" t="n"/>
      <c r="B23" s="12" t="inlineStr">
        <is>
          <t>Mood (1 to 5)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5">
        <f>IFERROR(AVERAGE(C23:AG23),"")</f>
        <v/>
      </c>
      <c r="AI23" s="11" t="n"/>
      <c r="AJ23" s="36" t="inlineStr">
        <is>
          <t>average</t>
        </is>
      </c>
      <c r="AK23" s="1" t="n"/>
      <c r="AL23" s="1" t="n"/>
    </row>
    <row r="24">
      <c r="A24" s="1" t="n"/>
      <c r="B24" s="12" t="inlineStr">
        <is>
          <t>Sleep (hours)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5">
        <f>IFERROR(AVERAGE(C24:AG24),"")</f>
        <v/>
      </c>
      <c r="AI24" s="11" t="n"/>
      <c r="AJ24" s="36" t="inlineStr">
        <is>
          <t>average</t>
        </is>
      </c>
      <c r="AK24" s="1" t="n"/>
      <c r="A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 hidden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 hidden="1">
      <c r="A40" s="1" t="n"/>
      <c r="B40" s="1">
        <f>B7</f>
        <v/>
      </c>
      <c r="C40" s="1">
        <f>IF(C$5="",0,IF(OR(C7=TRUE,ISTEXT(C7)),IFERROR(INDEX(Nov!$C$40:$AG$40,DAY(EOMONTH(DATE(Habits!$C$4,11,1),0))),0)+1,0))</f>
        <v/>
      </c>
      <c r="D40" s="1">
        <f>IF(D$5="",0,IF(OR(D7=TRUE,ISTEXT(D7)),C40+1,0))</f>
        <v/>
      </c>
      <c r="E40" s="1">
        <f>IF(E$5="",0,IF(OR(E7=TRUE,ISTEXT(E7)),D40+1,0))</f>
        <v/>
      </c>
      <c r="F40" s="1">
        <f>IF(F$5="",0,IF(OR(F7=TRUE,ISTEXT(F7)),E40+1,0))</f>
        <v/>
      </c>
      <c r="G40" s="1">
        <f>IF(G$5="",0,IF(OR(G7=TRUE,ISTEXT(G7)),F40+1,0))</f>
        <v/>
      </c>
      <c r="H40" s="1">
        <f>IF(H$5="",0,IF(OR(H7=TRUE,ISTEXT(H7)),G40+1,0))</f>
        <v/>
      </c>
      <c r="I40" s="1">
        <f>IF(I$5="",0,IF(OR(I7=TRUE,ISTEXT(I7)),H40+1,0))</f>
        <v/>
      </c>
      <c r="J40" s="1">
        <f>IF(J$5="",0,IF(OR(J7=TRUE,ISTEXT(J7)),I40+1,0))</f>
        <v/>
      </c>
      <c r="K40" s="1">
        <f>IF(K$5="",0,IF(OR(K7=TRUE,ISTEXT(K7)),J40+1,0))</f>
        <v/>
      </c>
      <c r="L40" s="1">
        <f>IF(L$5="",0,IF(OR(L7=TRUE,ISTEXT(L7)),K40+1,0))</f>
        <v/>
      </c>
      <c r="M40" s="1">
        <f>IF(M$5="",0,IF(OR(M7=TRUE,ISTEXT(M7)),L40+1,0))</f>
        <v/>
      </c>
      <c r="N40" s="1">
        <f>IF(N$5="",0,IF(OR(N7=TRUE,ISTEXT(N7)),M40+1,0))</f>
        <v/>
      </c>
      <c r="O40" s="1">
        <f>IF(O$5="",0,IF(OR(O7=TRUE,ISTEXT(O7)),N40+1,0))</f>
        <v/>
      </c>
      <c r="P40" s="1">
        <f>IF(P$5="",0,IF(OR(P7=TRUE,ISTEXT(P7)),O40+1,0))</f>
        <v/>
      </c>
      <c r="Q40" s="1">
        <f>IF(Q$5="",0,IF(OR(Q7=TRUE,ISTEXT(Q7)),P40+1,0))</f>
        <v/>
      </c>
      <c r="R40" s="1">
        <f>IF(R$5="",0,IF(OR(R7=TRUE,ISTEXT(R7)),Q40+1,0))</f>
        <v/>
      </c>
      <c r="S40" s="1">
        <f>IF(S$5="",0,IF(OR(S7=TRUE,ISTEXT(S7)),R40+1,0))</f>
        <v/>
      </c>
      <c r="T40" s="1">
        <f>IF(T$5="",0,IF(OR(T7=TRUE,ISTEXT(T7)),S40+1,0))</f>
        <v/>
      </c>
      <c r="U40" s="1">
        <f>IF(U$5="",0,IF(OR(U7=TRUE,ISTEXT(U7)),T40+1,0))</f>
        <v/>
      </c>
      <c r="V40" s="1">
        <f>IF(V$5="",0,IF(OR(V7=TRUE,ISTEXT(V7)),U40+1,0))</f>
        <v/>
      </c>
      <c r="W40" s="1">
        <f>IF(W$5="",0,IF(OR(W7=TRUE,ISTEXT(W7)),V40+1,0))</f>
        <v/>
      </c>
      <c r="X40" s="1">
        <f>IF(X$5="",0,IF(OR(X7=TRUE,ISTEXT(X7)),W40+1,0))</f>
        <v/>
      </c>
      <c r="Y40" s="1">
        <f>IF(Y$5="",0,IF(OR(Y7=TRUE,ISTEXT(Y7)),X40+1,0))</f>
        <v/>
      </c>
      <c r="Z40" s="1">
        <f>IF(Z$5="",0,IF(OR(Z7=TRUE,ISTEXT(Z7)),Y40+1,0))</f>
        <v/>
      </c>
      <c r="AA40" s="1">
        <f>IF(AA$5="",0,IF(OR(AA7=TRUE,ISTEXT(AA7)),Z40+1,0))</f>
        <v/>
      </c>
      <c r="AB40" s="1">
        <f>IF(AB$5="",0,IF(OR(AB7=TRUE,ISTEXT(AB7)),AA40+1,0))</f>
        <v/>
      </c>
      <c r="AC40" s="1">
        <f>IF(AC$5="",0,IF(OR(AC7=TRUE,ISTEXT(AC7)),AB40+1,0))</f>
        <v/>
      </c>
      <c r="AD40" s="1">
        <f>IF(AD$5="",0,IF(OR(AD7=TRUE,ISTEXT(AD7)),AC40+1,0))</f>
        <v/>
      </c>
      <c r="AE40" s="1">
        <f>IF(AE$5="",0,IF(OR(AE7=TRUE,ISTEXT(AE7)),AD40+1,0))</f>
        <v/>
      </c>
      <c r="AF40" s="1">
        <f>IF(AF$5="",0,IF(OR(AF7=TRUE,ISTEXT(AF7)),AE40+1,0))</f>
        <v/>
      </c>
      <c r="AG40" s="1">
        <f>IF(AG$5="",0,IF(OR(AG7=TRUE,ISTEXT(AG7)),AF40+1,0))</f>
        <v/>
      </c>
      <c r="AH40" s="1" t="n"/>
      <c r="AI40" s="1" t="n"/>
      <c r="AJ40" s="1" t="n"/>
      <c r="AK40" s="1" t="n"/>
      <c r="AL40" s="1" t="n"/>
    </row>
    <row r="41" hidden="1">
      <c r="A41" s="1" t="n"/>
      <c r="B41" s="1">
        <f>B8</f>
        <v/>
      </c>
      <c r="C41" s="1">
        <f>IF(C$5="",0,IF(OR(C8=TRUE,ISTEXT(C8)),IFERROR(INDEX(Nov!$C$41:$AG$41,DAY(EOMONTH(DATE(Habits!$C$4,11,1),0))),0)+1,0))</f>
        <v/>
      </c>
      <c r="D41" s="1">
        <f>IF(D$5="",0,IF(OR(D8=TRUE,ISTEXT(D8)),C41+1,0))</f>
        <v/>
      </c>
      <c r="E41" s="1">
        <f>IF(E$5="",0,IF(OR(E8=TRUE,ISTEXT(E8)),D41+1,0))</f>
        <v/>
      </c>
      <c r="F41" s="1">
        <f>IF(F$5="",0,IF(OR(F8=TRUE,ISTEXT(F8)),E41+1,0))</f>
        <v/>
      </c>
      <c r="G41" s="1">
        <f>IF(G$5="",0,IF(OR(G8=TRUE,ISTEXT(G8)),F41+1,0))</f>
        <v/>
      </c>
      <c r="H41" s="1">
        <f>IF(H$5="",0,IF(OR(H8=TRUE,ISTEXT(H8)),G41+1,0))</f>
        <v/>
      </c>
      <c r="I41" s="1">
        <f>IF(I$5="",0,IF(OR(I8=TRUE,ISTEXT(I8)),H41+1,0))</f>
        <v/>
      </c>
      <c r="J41" s="1">
        <f>IF(J$5="",0,IF(OR(J8=TRUE,ISTEXT(J8)),I41+1,0))</f>
        <v/>
      </c>
      <c r="K41" s="1">
        <f>IF(K$5="",0,IF(OR(K8=TRUE,ISTEXT(K8)),J41+1,0))</f>
        <v/>
      </c>
      <c r="L41" s="1">
        <f>IF(L$5="",0,IF(OR(L8=TRUE,ISTEXT(L8)),K41+1,0))</f>
        <v/>
      </c>
      <c r="M41" s="1">
        <f>IF(M$5="",0,IF(OR(M8=TRUE,ISTEXT(M8)),L41+1,0))</f>
        <v/>
      </c>
      <c r="N41" s="1">
        <f>IF(N$5="",0,IF(OR(N8=TRUE,ISTEXT(N8)),M41+1,0))</f>
        <v/>
      </c>
      <c r="O41" s="1">
        <f>IF(O$5="",0,IF(OR(O8=TRUE,ISTEXT(O8)),N41+1,0))</f>
        <v/>
      </c>
      <c r="P41" s="1">
        <f>IF(P$5="",0,IF(OR(P8=TRUE,ISTEXT(P8)),O41+1,0))</f>
        <v/>
      </c>
      <c r="Q41" s="1">
        <f>IF(Q$5="",0,IF(OR(Q8=TRUE,ISTEXT(Q8)),P41+1,0))</f>
        <v/>
      </c>
      <c r="R41" s="1">
        <f>IF(R$5="",0,IF(OR(R8=TRUE,ISTEXT(R8)),Q41+1,0))</f>
        <v/>
      </c>
      <c r="S41" s="1">
        <f>IF(S$5="",0,IF(OR(S8=TRUE,ISTEXT(S8)),R41+1,0))</f>
        <v/>
      </c>
      <c r="T41" s="1">
        <f>IF(T$5="",0,IF(OR(T8=TRUE,ISTEXT(T8)),S41+1,0))</f>
        <v/>
      </c>
      <c r="U41" s="1">
        <f>IF(U$5="",0,IF(OR(U8=TRUE,ISTEXT(U8)),T41+1,0))</f>
        <v/>
      </c>
      <c r="V41" s="1">
        <f>IF(V$5="",0,IF(OR(V8=TRUE,ISTEXT(V8)),U41+1,0))</f>
        <v/>
      </c>
      <c r="W41" s="1">
        <f>IF(W$5="",0,IF(OR(W8=TRUE,ISTEXT(W8)),V41+1,0))</f>
        <v/>
      </c>
      <c r="X41" s="1">
        <f>IF(X$5="",0,IF(OR(X8=TRUE,ISTEXT(X8)),W41+1,0))</f>
        <v/>
      </c>
      <c r="Y41" s="1">
        <f>IF(Y$5="",0,IF(OR(Y8=TRUE,ISTEXT(Y8)),X41+1,0))</f>
        <v/>
      </c>
      <c r="Z41" s="1">
        <f>IF(Z$5="",0,IF(OR(Z8=TRUE,ISTEXT(Z8)),Y41+1,0))</f>
        <v/>
      </c>
      <c r="AA41" s="1">
        <f>IF(AA$5="",0,IF(OR(AA8=TRUE,ISTEXT(AA8)),Z41+1,0))</f>
        <v/>
      </c>
      <c r="AB41" s="1">
        <f>IF(AB$5="",0,IF(OR(AB8=TRUE,ISTEXT(AB8)),AA41+1,0))</f>
        <v/>
      </c>
      <c r="AC41" s="1">
        <f>IF(AC$5="",0,IF(OR(AC8=TRUE,ISTEXT(AC8)),AB41+1,0))</f>
        <v/>
      </c>
      <c r="AD41" s="1">
        <f>IF(AD$5="",0,IF(OR(AD8=TRUE,ISTEXT(AD8)),AC41+1,0))</f>
        <v/>
      </c>
      <c r="AE41" s="1">
        <f>IF(AE$5="",0,IF(OR(AE8=TRUE,ISTEXT(AE8)),AD41+1,0))</f>
        <v/>
      </c>
      <c r="AF41" s="1">
        <f>IF(AF$5="",0,IF(OR(AF8=TRUE,ISTEXT(AF8)),AE41+1,0))</f>
        <v/>
      </c>
      <c r="AG41" s="1">
        <f>IF(AG$5="",0,IF(OR(AG8=TRUE,ISTEXT(AG8)),AF41+1,0))</f>
        <v/>
      </c>
      <c r="AH41" s="1" t="n"/>
      <c r="AI41" s="1" t="n"/>
      <c r="AJ41" s="1" t="n"/>
      <c r="AK41" s="1" t="n"/>
      <c r="AL41" s="1" t="n"/>
    </row>
    <row r="42" hidden="1">
      <c r="A42" s="1" t="n"/>
      <c r="B42" s="1">
        <f>B9</f>
        <v/>
      </c>
      <c r="C42" s="1">
        <f>IF(C$5="",0,IF(OR(C9=TRUE,ISTEXT(C9)),IFERROR(INDEX(Nov!$C$42:$AG$42,DAY(EOMONTH(DATE(Habits!$C$4,11,1),0))),0)+1,0))</f>
        <v/>
      </c>
      <c r="D42" s="1">
        <f>IF(D$5="",0,IF(OR(D9=TRUE,ISTEXT(D9)),C42+1,0))</f>
        <v/>
      </c>
      <c r="E42" s="1">
        <f>IF(E$5="",0,IF(OR(E9=TRUE,ISTEXT(E9)),D42+1,0))</f>
        <v/>
      </c>
      <c r="F42" s="1">
        <f>IF(F$5="",0,IF(OR(F9=TRUE,ISTEXT(F9)),E42+1,0))</f>
        <v/>
      </c>
      <c r="G42" s="1">
        <f>IF(G$5="",0,IF(OR(G9=TRUE,ISTEXT(G9)),F42+1,0))</f>
        <v/>
      </c>
      <c r="H42" s="1">
        <f>IF(H$5="",0,IF(OR(H9=TRUE,ISTEXT(H9)),G42+1,0))</f>
        <v/>
      </c>
      <c r="I42" s="1">
        <f>IF(I$5="",0,IF(OR(I9=TRUE,ISTEXT(I9)),H42+1,0))</f>
        <v/>
      </c>
      <c r="J42" s="1">
        <f>IF(J$5="",0,IF(OR(J9=TRUE,ISTEXT(J9)),I42+1,0))</f>
        <v/>
      </c>
      <c r="K42" s="1">
        <f>IF(K$5="",0,IF(OR(K9=TRUE,ISTEXT(K9)),J42+1,0))</f>
        <v/>
      </c>
      <c r="L42" s="1">
        <f>IF(L$5="",0,IF(OR(L9=TRUE,ISTEXT(L9)),K42+1,0))</f>
        <v/>
      </c>
      <c r="M42" s="1">
        <f>IF(M$5="",0,IF(OR(M9=TRUE,ISTEXT(M9)),L42+1,0))</f>
        <v/>
      </c>
      <c r="N42" s="1">
        <f>IF(N$5="",0,IF(OR(N9=TRUE,ISTEXT(N9)),M42+1,0))</f>
        <v/>
      </c>
      <c r="O42" s="1">
        <f>IF(O$5="",0,IF(OR(O9=TRUE,ISTEXT(O9)),N42+1,0))</f>
        <v/>
      </c>
      <c r="P42" s="1">
        <f>IF(P$5="",0,IF(OR(P9=TRUE,ISTEXT(P9)),O42+1,0))</f>
        <v/>
      </c>
      <c r="Q42" s="1">
        <f>IF(Q$5="",0,IF(OR(Q9=TRUE,ISTEXT(Q9)),P42+1,0))</f>
        <v/>
      </c>
      <c r="R42" s="1">
        <f>IF(R$5="",0,IF(OR(R9=TRUE,ISTEXT(R9)),Q42+1,0))</f>
        <v/>
      </c>
      <c r="S42" s="1">
        <f>IF(S$5="",0,IF(OR(S9=TRUE,ISTEXT(S9)),R42+1,0))</f>
        <v/>
      </c>
      <c r="T42" s="1">
        <f>IF(T$5="",0,IF(OR(T9=TRUE,ISTEXT(T9)),S42+1,0))</f>
        <v/>
      </c>
      <c r="U42" s="1">
        <f>IF(U$5="",0,IF(OR(U9=TRUE,ISTEXT(U9)),T42+1,0))</f>
        <v/>
      </c>
      <c r="V42" s="1">
        <f>IF(V$5="",0,IF(OR(V9=TRUE,ISTEXT(V9)),U42+1,0))</f>
        <v/>
      </c>
      <c r="W42" s="1">
        <f>IF(W$5="",0,IF(OR(W9=TRUE,ISTEXT(W9)),V42+1,0))</f>
        <v/>
      </c>
      <c r="X42" s="1">
        <f>IF(X$5="",0,IF(OR(X9=TRUE,ISTEXT(X9)),W42+1,0))</f>
        <v/>
      </c>
      <c r="Y42" s="1">
        <f>IF(Y$5="",0,IF(OR(Y9=TRUE,ISTEXT(Y9)),X42+1,0))</f>
        <v/>
      </c>
      <c r="Z42" s="1">
        <f>IF(Z$5="",0,IF(OR(Z9=TRUE,ISTEXT(Z9)),Y42+1,0))</f>
        <v/>
      </c>
      <c r="AA42" s="1">
        <f>IF(AA$5="",0,IF(OR(AA9=TRUE,ISTEXT(AA9)),Z42+1,0))</f>
        <v/>
      </c>
      <c r="AB42" s="1">
        <f>IF(AB$5="",0,IF(OR(AB9=TRUE,ISTEXT(AB9)),AA42+1,0))</f>
        <v/>
      </c>
      <c r="AC42" s="1">
        <f>IF(AC$5="",0,IF(OR(AC9=TRUE,ISTEXT(AC9)),AB42+1,0))</f>
        <v/>
      </c>
      <c r="AD42" s="1">
        <f>IF(AD$5="",0,IF(OR(AD9=TRUE,ISTEXT(AD9)),AC42+1,0))</f>
        <v/>
      </c>
      <c r="AE42" s="1">
        <f>IF(AE$5="",0,IF(OR(AE9=TRUE,ISTEXT(AE9)),AD42+1,0))</f>
        <v/>
      </c>
      <c r="AF42" s="1">
        <f>IF(AF$5="",0,IF(OR(AF9=TRUE,ISTEXT(AF9)),AE42+1,0))</f>
        <v/>
      </c>
      <c r="AG42" s="1">
        <f>IF(AG$5="",0,IF(OR(AG9=TRUE,ISTEXT(AG9)),AF42+1,0))</f>
        <v/>
      </c>
      <c r="AH42" s="1" t="n"/>
      <c r="AI42" s="1" t="n"/>
      <c r="AJ42" s="1" t="n"/>
      <c r="AK42" s="1" t="n"/>
      <c r="AL42" s="1" t="n"/>
    </row>
    <row r="43" hidden="1">
      <c r="A43" s="1" t="n"/>
      <c r="B43" s="1">
        <f>B10</f>
        <v/>
      </c>
      <c r="C43" s="1">
        <f>IF(C$5="",0,IF(OR(C10=TRUE,ISTEXT(C10)),IFERROR(INDEX(Nov!$C$43:$AG$43,DAY(EOMONTH(DATE(Habits!$C$4,11,1),0))),0)+1,0))</f>
        <v/>
      </c>
      <c r="D43" s="1">
        <f>IF(D$5="",0,IF(OR(D10=TRUE,ISTEXT(D10)),C43+1,0))</f>
        <v/>
      </c>
      <c r="E43" s="1">
        <f>IF(E$5="",0,IF(OR(E10=TRUE,ISTEXT(E10)),D43+1,0))</f>
        <v/>
      </c>
      <c r="F43" s="1">
        <f>IF(F$5="",0,IF(OR(F10=TRUE,ISTEXT(F10)),E43+1,0))</f>
        <v/>
      </c>
      <c r="G43" s="1">
        <f>IF(G$5="",0,IF(OR(G10=TRUE,ISTEXT(G10)),F43+1,0))</f>
        <v/>
      </c>
      <c r="H43" s="1">
        <f>IF(H$5="",0,IF(OR(H10=TRUE,ISTEXT(H10)),G43+1,0))</f>
        <v/>
      </c>
      <c r="I43" s="1">
        <f>IF(I$5="",0,IF(OR(I10=TRUE,ISTEXT(I10)),H43+1,0))</f>
        <v/>
      </c>
      <c r="J43" s="1">
        <f>IF(J$5="",0,IF(OR(J10=TRUE,ISTEXT(J10)),I43+1,0))</f>
        <v/>
      </c>
      <c r="K43" s="1">
        <f>IF(K$5="",0,IF(OR(K10=TRUE,ISTEXT(K10)),J43+1,0))</f>
        <v/>
      </c>
      <c r="L43" s="1">
        <f>IF(L$5="",0,IF(OR(L10=TRUE,ISTEXT(L10)),K43+1,0))</f>
        <v/>
      </c>
      <c r="M43" s="1">
        <f>IF(M$5="",0,IF(OR(M10=TRUE,ISTEXT(M10)),L43+1,0))</f>
        <v/>
      </c>
      <c r="N43" s="1">
        <f>IF(N$5="",0,IF(OR(N10=TRUE,ISTEXT(N10)),M43+1,0))</f>
        <v/>
      </c>
      <c r="O43" s="1">
        <f>IF(O$5="",0,IF(OR(O10=TRUE,ISTEXT(O10)),N43+1,0))</f>
        <v/>
      </c>
      <c r="P43" s="1">
        <f>IF(P$5="",0,IF(OR(P10=TRUE,ISTEXT(P10)),O43+1,0))</f>
        <v/>
      </c>
      <c r="Q43" s="1">
        <f>IF(Q$5="",0,IF(OR(Q10=TRUE,ISTEXT(Q10)),P43+1,0))</f>
        <v/>
      </c>
      <c r="R43" s="1">
        <f>IF(R$5="",0,IF(OR(R10=TRUE,ISTEXT(R10)),Q43+1,0))</f>
        <v/>
      </c>
      <c r="S43" s="1">
        <f>IF(S$5="",0,IF(OR(S10=TRUE,ISTEXT(S10)),R43+1,0))</f>
        <v/>
      </c>
      <c r="T43" s="1">
        <f>IF(T$5="",0,IF(OR(T10=TRUE,ISTEXT(T10)),S43+1,0))</f>
        <v/>
      </c>
      <c r="U43" s="1">
        <f>IF(U$5="",0,IF(OR(U10=TRUE,ISTEXT(U10)),T43+1,0))</f>
        <v/>
      </c>
      <c r="V43" s="1">
        <f>IF(V$5="",0,IF(OR(V10=TRUE,ISTEXT(V10)),U43+1,0))</f>
        <v/>
      </c>
      <c r="W43" s="1">
        <f>IF(W$5="",0,IF(OR(W10=TRUE,ISTEXT(W10)),V43+1,0))</f>
        <v/>
      </c>
      <c r="X43" s="1">
        <f>IF(X$5="",0,IF(OR(X10=TRUE,ISTEXT(X10)),W43+1,0))</f>
        <v/>
      </c>
      <c r="Y43" s="1">
        <f>IF(Y$5="",0,IF(OR(Y10=TRUE,ISTEXT(Y10)),X43+1,0))</f>
        <v/>
      </c>
      <c r="Z43" s="1">
        <f>IF(Z$5="",0,IF(OR(Z10=TRUE,ISTEXT(Z10)),Y43+1,0))</f>
        <v/>
      </c>
      <c r="AA43" s="1">
        <f>IF(AA$5="",0,IF(OR(AA10=TRUE,ISTEXT(AA10)),Z43+1,0))</f>
        <v/>
      </c>
      <c r="AB43" s="1">
        <f>IF(AB$5="",0,IF(OR(AB10=TRUE,ISTEXT(AB10)),AA43+1,0))</f>
        <v/>
      </c>
      <c r="AC43" s="1">
        <f>IF(AC$5="",0,IF(OR(AC10=TRUE,ISTEXT(AC10)),AB43+1,0))</f>
        <v/>
      </c>
      <c r="AD43" s="1">
        <f>IF(AD$5="",0,IF(OR(AD10=TRUE,ISTEXT(AD10)),AC43+1,0))</f>
        <v/>
      </c>
      <c r="AE43" s="1">
        <f>IF(AE$5="",0,IF(OR(AE10=TRUE,ISTEXT(AE10)),AD43+1,0))</f>
        <v/>
      </c>
      <c r="AF43" s="1">
        <f>IF(AF$5="",0,IF(OR(AF10=TRUE,ISTEXT(AF10)),AE43+1,0))</f>
        <v/>
      </c>
      <c r="AG43" s="1">
        <f>IF(AG$5="",0,IF(OR(AG10=TRUE,ISTEXT(AG10)),AF43+1,0))</f>
        <v/>
      </c>
      <c r="AH43" s="1" t="n"/>
      <c r="AI43" s="1" t="n"/>
      <c r="AJ43" s="1" t="n"/>
      <c r="AK43" s="1" t="n"/>
      <c r="AL43" s="1" t="n"/>
    </row>
    <row r="44" hidden="1">
      <c r="A44" s="1" t="n"/>
      <c r="B44" s="1">
        <f>B11</f>
        <v/>
      </c>
      <c r="C44" s="1">
        <f>IF(C$5="",0,IF(OR(C11=TRUE,ISTEXT(C11)),IFERROR(INDEX(Nov!$C$44:$AG$44,DAY(EOMONTH(DATE(Habits!$C$4,11,1),0))),0)+1,0))</f>
        <v/>
      </c>
      <c r="D44" s="1">
        <f>IF(D$5="",0,IF(OR(D11=TRUE,ISTEXT(D11)),C44+1,0))</f>
        <v/>
      </c>
      <c r="E44" s="1">
        <f>IF(E$5="",0,IF(OR(E11=TRUE,ISTEXT(E11)),D44+1,0))</f>
        <v/>
      </c>
      <c r="F44" s="1">
        <f>IF(F$5="",0,IF(OR(F11=TRUE,ISTEXT(F11)),E44+1,0))</f>
        <v/>
      </c>
      <c r="G44" s="1">
        <f>IF(G$5="",0,IF(OR(G11=TRUE,ISTEXT(G11)),F44+1,0))</f>
        <v/>
      </c>
      <c r="H44" s="1">
        <f>IF(H$5="",0,IF(OR(H11=TRUE,ISTEXT(H11)),G44+1,0))</f>
        <v/>
      </c>
      <c r="I44" s="1">
        <f>IF(I$5="",0,IF(OR(I11=TRUE,ISTEXT(I11)),H44+1,0))</f>
        <v/>
      </c>
      <c r="J44" s="1">
        <f>IF(J$5="",0,IF(OR(J11=TRUE,ISTEXT(J11)),I44+1,0))</f>
        <v/>
      </c>
      <c r="K44" s="1">
        <f>IF(K$5="",0,IF(OR(K11=TRUE,ISTEXT(K11)),J44+1,0))</f>
        <v/>
      </c>
      <c r="L44" s="1">
        <f>IF(L$5="",0,IF(OR(L11=TRUE,ISTEXT(L11)),K44+1,0))</f>
        <v/>
      </c>
      <c r="M44" s="1">
        <f>IF(M$5="",0,IF(OR(M11=TRUE,ISTEXT(M11)),L44+1,0))</f>
        <v/>
      </c>
      <c r="N44" s="1">
        <f>IF(N$5="",0,IF(OR(N11=TRUE,ISTEXT(N11)),M44+1,0))</f>
        <v/>
      </c>
      <c r="O44" s="1">
        <f>IF(O$5="",0,IF(OR(O11=TRUE,ISTEXT(O11)),N44+1,0))</f>
        <v/>
      </c>
      <c r="P44" s="1">
        <f>IF(P$5="",0,IF(OR(P11=TRUE,ISTEXT(P11)),O44+1,0))</f>
        <v/>
      </c>
      <c r="Q44" s="1">
        <f>IF(Q$5="",0,IF(OR(Q11=TRUE,ISTEXT(Q11)),P44+1,0))</f>
        <v/>
      </c>
      <c r="R44" s="1">
        <f>IF(R$5="",0,IF(OR(R11=TRUE,ISTEXT(R11)),Q44+1,0))</f>
        <v/>
      </c>
      <c r="S44" s="1">
        <f>IF(S$5="",0,IF(OR(S11=TRUE,ISTEXT(S11)),R44+1,0))</f>
        <v/>
      </c>
      <c r="T44" s="1">
        <f>IF(T$5="",0,IF(OR(T11=TRUE,ISTEXT(T11)),S44+1,0))</f>
        <v/>
      </c>
      <c r="U44" s="1">
        <f>IF(U$5="",0,IF(OR(U11=TRUE,ISTEXT(U11)),T44+1,0))</f>
        <v/>
      </c>
      <c r="V44" s="1">
        <f>IF(V$5="",0,IF(OR(V11=TRUE,ISTEXT(V11)),U44+1,0))</f>
        <v/>
      </c>
      <c r="W44" s="1">
        <f>IF(W$5="",0,IF(OR(W11=TRUE,ISTEXT(W11)),V44+1,0))</f>
        <v/>
      </c>
      <c r="X44" s="1">
        <f>IF(X$5="",0,IF(OR(X11=TRUE,ISTEXT(X11)),W44+1,0))</f>
        <v/>
      </c>
      <c r="Y44" s="1">
        <f>IF(Y$5="",0,IF(OR(Y11=TRUE,ISTEXT(Y11)),X44+1,0))</f>
        <v/>
      </c>
      <c r="Z44" s="1">
        <f>IF(Z$5="",0,IF(OR(Z11=TRUE,ISTEXT(Z11)),Y44+1,0))</f>
        <v/>
      </c>
      <c r="AA44" s="1">
        <f>IF(AA$5="",0,IF(OR(AA11=TRUE,ISTEXT(AA11)),Z44+1,0))</f>
        <v/>
      </c>
      <c r="AB44" s="1">
        <f>IF(AB$5="",0,IF(OR(AB11=TRUE,ISTEXT(AB11)),AA44+1,0))</f>
        <v/>
      </c>
      <c r="AC44" s="1">
        <f>IF(AC$5="",0,IF(OR(AC11=TRUE,ISTEXT(AC11)),AB44+1,0))</f>
        <v/>
      </c>
      <c r="AD44" s="1">
        <f>IF(AD$5="",0,IF(OR(AD11=TRUE,ISTEXT(AD11)),AC44+1,0))</f>
        <v/>
      </c>
      <c r="AE44" s="1">
        <f>IF(AE$5="",0,IF(OR(AE11=TRUE,ISTEXT(AE11)),AD44+1,0))</f>
        <v/>
      </c>
      <c r="AF44" s="1">
        <f>IF(AF$5="",0,IF(OR(AF11=TRUE,ISTEXT(AF11)),AE44+1,0))</f>
        <v/>
      </c>
      <c r="AG44" s="1">
        <f>IF(AG$5="",0,IF(OR(AG11=TRUE,ISTEXT(AG11)),AF44+1,0))</f>
        <v/>
      </c>
      <c r="AH44" s="1" t="n"/>
      <c r="AI44" s="1" t="n"/>
      <c r="AJ44" s="1" t="n"/>
      <c r="AK44" s="1" t="n"/>
      <c r="AL44" s="1" t="n"/>
    </row>
    <row r="45" hidden="1">
      <c r="A45" s="1" t="n"/>
      <c r="B45" s="1">
        <f>B12</f>
        <v/>
      </c>
      <c r="C45" s="1">
        <f>IF(C$5="",0,IF(OR(C12=TRUE,ISTEXT(C12)),IFERROR(INDEX(Nov!$C$45:$AG$45,DAY(EOMONTH(DATE(Habits!$C$4,11,1),0))),0)+1,0))</f>
        <v/>
      </c>
      <c r="D45" s="1">
        <f>IF(D$5="",0,IF(OR(D12=TRUE,ISTEXT(D12)),C45+1,0))</f>
        <v/>
      </c>
      <c r="E45" s="1">
        <f>IF(E$5="",0,IF(OR(E12=TRUE,ISTEXT(E12)),D45+1,0))</f>
        <v/>
      </c>
      <c r="F45" s="1">
        <f>IF(F$5="",0,IF(OR(F12=TRUE,ISTEXT(F12)),E45+1,0))</f>
        <v/>
      </c>
      <c r="G45" s="1">
        <f>IF(G$5="",0,IF(OR(G12=TRUE,ISTEXT(G12)),F45+1,0))</f>
        <v/>
      </c>
      <c r="H45" s="1">
        <f>IF(H$5="",0,IF(OR(H12=TRUE,ISTEXT(H12)),G45+1,0))</f>
        <v/>
      </c>
      <c r="I45" s="1">
        <f>IF(I$5="",0,IF(OR(I12=TRUE,ISTEXT(I12)),H45+1,0))</f>
        <v/>
      </c>
      <c r="J45" s="1">
        <f>IF(J$5="",0,IF(OR(J12=TRUE,ISTEXT(J12)),I45+1,0))</f>
        <v/>
      </c>
      <c r="K45" s="1">
        <f>IF(K$5="",0,IF(OR(K12=TRUE,ISTEXT(K12)),J45+1,0))</f>
        <v/>
      </c>
      <c r="L45" s="1">
        <f>IF(L$5="",0,IF(OR(L12=TRUE,ISTEXT(L12)),K45+1,0))</f>
        <v/>
      </c>
      <c r="M45" s="1">
        <f>IF(M$5="",0,IF(OR(M12=TRUE,ISTEXT(M12)),L45+1,0))</f>
        <v/>
      </c>
      <c r="N45" s="1">
        <f>IF(N$5="",0,IF(OR(N12=TRUE,ISTEXT(N12)),M45+1,0))</f>
        <v/>
      </c>
      <c r="O45" s="1">
        <f>IF(O$5="",0,IF(OR(O12=TRUE,ISTEXT(O12)),N45+1,0))</f>
        <v/>
      </c>
      <c r="P45" s="1">
        <f>IF(P$5="",0,IF(OR(P12=TRUE,ISTEXT(P12)),O45+1,0))</f>
        <v/>
      </c>
      <c r="Q45" s="1">
        <f>IF(Q$5="",0,IF(OR(Q12=TRUE,ISTEXT(Q12)),P45+1,0))</f>
        <v/>
      </c>
      <c r="R45" s="1">
        <f>IF(R$5="",0,IF(OR(R12=TRUE,ISTEXT(R12)),Q45+1,0))</f>
        <v/>
      </c>
      <c r="S45" s="1">
        <f>IF(S$5="",0,IF(OR(S12=TRUE,ISTEXT(S12)),R45+1,0))</f>
        <v/>
      </c>
      <c r="T45" s="1">
        <f>IF(T$5="",0,IF(OR(T12=TRUE,ISTEXT(T12)),S45+1,0))</f>
        <v/>
      </c>
      <c r="U45" s="1">
        <f>IF(U$5="",0,IF(OR(U12=TRUE,ISTEXT(U12)),T45+1,0))</f>
        <v/>
      </c>
      <c r="V45" s="1">
        <f>IF(V$5="",0,IF(OR(V12=TRUE,ISTEXT(V12)),U45+1,0))</f>
        <v/>
      </c>
      <c r="W45" s="1">
        <f>IF(W$5="",0,IF(OR(W12=TRUE,ISTEXT(W12)),V45+1,0))</f>
        <v/>
      </c>
      <c r="X45" s="1">
        <f>IF(X$5="",0,IF(OR(X12=TRUE,ISTEXT(X12)),W45+1,0))</f>
        <v/>
      </c>
      <c r="Y45" s="1">
        <f>IF(Y$5="",0,IF(OR(Y12=TRUE,ISTEXT(Y12)),X45+1,0))</f>
        <v/>
      </c>
      <c r="Z45" s="1">
        <f>IF(Z$5="",0,IF(OR(Z12=TRUE,ISTEXT(Z12)),Y45+1,0))</f>
        <v/>
      </c>
      <c r="AA45" s="1">
        <f>IF(AA$5="",0,IF(OR(AA12=TRUE,ISTEXT(AA12)),Z45+1,0))</f>
        <v/>
      </c>
      <c r="AB45" s="1">
        <f>IF(AB$5="",0,IF(OR(AB12=TRUE,ISTEXT(AB12)),AA45+1,0))</f>
        <v/>
      </c>
      <c r="AC45" s="1">
        <f>IF(AC$5="",0,IF(OR(AC12=TRUE,ISTEXT(AC12)),AB45+1,0))</f>
        <v/>
      </c>
      <c r="AD45" s="1">
        <f>IF(AD$5="",0,IF(OR(AD12=TRUE,ISTEXT(AD12)),AC45+1,0))</f>
        <v/>
      </c>
      <c r="AE45" s="1">
        <f>IF(AE$5="",0,IF(OR(AE12=TRUE,ISTEXT(AE12)),AD45+1,0))</f>
        <v/>
      </c>
      <c r="AF45" s="1">
        <f>IF(AF$5="",0,IF(OR(AF12=TRUE,ISTEXT(AF12)),AE45+1,0))</f>
        <v/>
      </c>
      <c r="AG45" s="1">
        <f>IF(AG$5="",0,IF(OR(AG12=TRUE,ISTEXT(AG12)),AF45+1,0))</f>
        <v/>
      </c>
      <c r="AH45" s="1" t="n"/>
      <c r="AI45" s="1" t="n"/>
      <c r="AJ45" s="1" t="n"/>
      <c r="AK45" s="1" t="n"/>
      <c r="AL45" s="1" t="n"/>
    </row>
    <row r="46" hidden="1">
      <c r="A46" s="1" t="n"/>
      <c r="B46" s="1">
        <f>B13</f>
        <v/>
      </c>
      <c r="C46" s="1">
        <f>IF(C$5="",0,IF(OR(C13=TRUE,ISTEXT(C13)),IFERROR(INDEX(Nov!$C$46:$AG$46,DAY(EOMONTH(DATE(Habits!$C$4,11,1),0))),0)+1,0))</f>
        <v/>
      </c>
      <c r="D46" s="1">
        <f>IF(D$5="",0,IF(OR(D13=TRUE,ISTEXT(D13)),C46+1,0))</f>
        <v/>
      </c>
      <c r="E46" s="1">
        <f>IF(E$5="",0,IF(OR(E13=TRUE,ISTEXT(E13)),D46+1,0))</f>
        <v/>
      </c>
      <c r="F46" s="1">
        <f>IF(F$5="",0,IF(OR(F13=TRUE,ISTEXT(F13)),E46+1,0))</f>
        <v/>
      </c>
      <c r="G46" s="1">
        <f>IF(G$5="",0,IF(OR(G13=TRUE,ISTEXT(G13)),F46+1,0))</f>
        <v/>
      </c>
      <c r="H46" s="1">
        <f>IF(H$5="",0,IF(OR(H13=TRUE,ISTEXT(H13)),G46+1,0))</f>
        <v/>
      </c>
      <c r="I46" s="1">
        <f>IF(I$5="",0,IF(OR(I13=TRUE,ISTEXT(I13)),H46+1,0))</f>
        <v/>
      </c>
      <c r="J46" s="1">
        <f>IF(J$5="",0,IF(OR(J13=TRUE,ISTEXT(J13)),I46+1,0))</f>
        <v/>
      </c>
      <c r="K46" s="1">
        <f>IF(K$5="",0,IF(OR(K13=TRUE,ISTEXT(K13)),J46+1,0))</f>
        <v/>
      </c>
      <c r="L46" s="1">
        <f>IF(L$5="",0,IF(OR(L13=TRUE,ISTEXT(L13)),K46+1,0))</f>
        <v/>
      </c>
      <c r="M46" s="1">
        <f>IF(M$5="",0,IF(OR(M13=TRUE,ISTEXT(M13)),L46+1,0))</f>
        <v/>
      </c>
      <c r="N46" s="1">
        <f>IF(N$5="",0,IF(OR(N13=TRUE,ISTEXT(N13)),M46+1,0))</f>
        <v/>
      </c>
      <c r="O46" s="1">
        <f>IF(O$5="",0,IF(OR(O13=TRUE,ISTEXT(O13)),N46+1,0))</f>
        <v/>
      </c>
      <c r="P46" s="1">
        <f>IF(P$5="",0,IF(OR(P13=TRUE,ISTEXT(P13)),O46+1,0))</f>
        <v/>
      </c>
      <c r="Q46" s="1">
        <f>IF(Q$5="",0,IF(OR(Q13=TRUE,ISTEXT(Q13)),P46+1,0))</f>
        <v/>
      </c>
      <c r="R46" s="1">
        <f>IF(R$5="",0,IF(OR(R13=TRUE,ISTEXT(R13)),Q46+1,0))</f>
        <v/>
      </c>
      <c r="S46" s="1">
        <f>IF(S$5="",0,IF(OR(S13=TRUE,ISTEXT(S13)),R46+1,0))</f>
        <v/>
      </c>
      <c r="T46" s="1">
        <f>IF(T$5="",0,IF(OR(T13=TRUE,ISTEXT(T13)),S46+1,0))</f>
        <v/>
      </c>
      <c r="U46" s="1">
        <f>IF(U$5="",0,IF(OR(U13=TRUE,ISTEXT(U13)),T46+1,0))</f>
        <v/>
      </c>
      <c r="V46" s="1">
        <f>IF(V$5="",0,IF(OR(V13=TRUE,ISTEXT(V13)),U46+1,0))</f>
        <v/>
      </c>
      <c r="W46" s="1">
        <f>IF(W$5="",0,IF(OR(W13=TRUE,ISTEXT(W13)),V46+1,0))</f>
        <v/>
      </c>
      <c r="X46" s="1">
        <f>IF(X$5="",0,IF(OR(X13=TRUE,ISTEXT(X13)),W46+1,0))</f>
        <v/>
      </c>
      <c r="Y46" s="1">
        <f>IF(Y$5="",0,IF(OR(Y13=TRUE,ISTEXT(Y13)),X46+1,0))</f>
        <v/>
      </c>
      <c r="Z46" s="1">
        <f>IF(Z$5="",0,IF(OR(Z13=TRUE,ISTEXT(Z13)),Y46+1,0))</f>
        <v/>
      </c>
      <c r="AA46" s="1">
        <f>IF(AA$5="",0,IF(OR(AA13=TRUE,ISTEXT(AA13)),Z46+1,0))</f>
        <v/>
      </c>
      <c r="AB46" s="1">
        <f>IF(AB$5="",0,IF(OR(AB13=TRUE,ISTEXT(AB13)),AA46+1,0))</f>
        <v/>
      </c>
      <c r="AC46" s="1">
        <f>IF(AC$5="",0,IF(OR(AC13=TRUE,ISTEXT(AC13)),AB46+1,0))</f>
        <v/>
      </c>
      <c r="AD46" s="1">
        <f>IF(AD$5="",0,IF(OR(AD13=TRUE,ISTEXT(AD13)),AC46+1,0))</f>
        <v/>
      </c>
      <c r="AE46" s="1">
        <f>IF(AE$5="",0,IF(OR(AE13=TRUE,ISTEXT(AE13)),AD46+1,0))</f>
        <v/>
      </c>
      <c r="AF46" s="1">
        <f>IF(AF$5="",0,IF(OR(AF13=TRUE,ISTEXT(AF13)),AE46+1,0))</f>
        <v/>
      </c>
      <c r="AG46" s="1">
        <f>IF(AG$5="",0,IF(OR(AG13=TRUE,ISTEXT(AG13)),AF46+1,0))</f>
        <v/>
      </c>
      <c r="AH46" s="1" t="n"/>
      <c r="AI46" s="1" t="n"/>
      <c r="AJ46" s="1" t="n"/>
      <c r="AK46" s="1" t="n"/>
      <c r="AL46" s="1" t="n"/>
    </row>
    <row r="47" hidden="1">
      <c r="A47" s="1" t="n"/>
      <c r="B47" s="1">
        <f>B14</f>
        <v/>
      </c>
      <c r="C47" s="1">
        <f>IF(C$5="",0,IF(OR(C14=TRUE,ISTEXT(C14)),IFERROR(INDEX(Nov!$C$47:$AG$47,DAY(EOMONTH(DATE(Habits!$C$4,11,1),0))),0)+1,0))</f>
        <v/>
      </c>
      <c r="D47" s="1">
        <f>IF(D$5="",0,IF(OR(D14=TRUE,ISTEXT(D14)),C47+1,0))</f>
        <v/>
      </c>
      <c r="E47" s="1">
        <f>IF(E$5="",0,IF(OR(E14=TRUE,ISTEXT(E14)),D47+1,0))</f>
        <v/>
      </c>
      <c r="F47" s="1">
        <f>IF(F$5="",0,IF(OR(F14=TRUE,ISTEXT(F14)),E47+1,0))</f>
        <v/>
      </c>
      <c r="G47" s="1">
        <f>IF(G$5="",0,IF(OR(G14=TRUE,ISTEXT(G14)),F47+1,0))</f>
        <v/>
      </c>
      <c r="H47" s="1">
        <f>IF(H$5="",0,IF(OR(H14=TRUE,ISTEXT(H14)),G47+1,0))</f>
        <v/>
      </c>
      <c r="I47" s="1">
        <f>IF(I$5="",0,IF(OR(I14=TRUE,ISTEXT(I14)),H47+1,0))</f>
        <v/>
      </c>
      <c r="J47" s="1">
        <f>IF(J$5="",0,IF(OR(J14=TRUE,ISTEXT(J14)),I47+1,0))</f>
        <v/>
      </c>
      <c r="K47" s="1">
        <f>IF(K$5="",0,IF(OR(K14=TRUE,ISTEXT(K14)),J47+1,0))</f>
        <v/>
      </c>
      <c r="L47" s="1">
        <f>IF(L$5="",0,IF(OR(L14=TRUE,ISTEXT(L14)),K47+1,0))</f>
        <v/>
      </c>
      <c r="M47" s="1">
        <f>IF(M$5="",0,IF(OR(M14=TRUE,ISTEXT(M14)),L47+1,0))</f>
        <v/>
      </c>
      <c r="N47" s="1">
        <f>IF(N$5="",0,IF(OR(N14=TRUE,ISTEXT(N14)),M47+1,0))</f>
        <v/>
      </c>
      <c r="O47" s="1">
        <f>IF(O$5="",0,IF(OR(O14=TRUE,ISTEXT(O14)),N47+1,0))</f>
        <v/>
      </c>
      <c r="P47" s="1">
        <f>IF(P$5="",0,IF(OR(P14=TRUE,ISTEXT(P14)),O47+1,0))</f>
        <v/>
      </c>
      <c r="Q47" s="1">
        <f>IF(Q$5="",0,IF(OR(Q14=TRUE,ISTEXT(Q14)),P47+1,0))</f>
        <v/>
      </c>
      <c r="R47" s="1">
        <f>IF(R$5="",0,IF(OR(R14=TRUE,ISTEXT(R14)),Q47+1,0))</f>
        <v/>
      </c>
      <c r="S47" s="1">
        <f>IF(S$5="",0,IF(OR(S14=TRUE,ISTEXT(S14)),R47+1,0))</f>
        <v/>
      </c>
      <c r="T47" s="1">
        <f>IF(T$5="",0,IF(OR(T14=TRUE,ISTEXT(T14)),S47+1,0))</f>
        <v/>
      </c>
      <c r="U47" s="1">
        <f>IF(U$5="",0,IF(OR(U14=TRUE,ISTEXT(U14)),T47+1,0))</f>
        <v/>
      </c>
      <c r="V47" s="1">
        <f>IF(V$5="",0,IF(OR(V14=TRUE,ISTEXT(V14)),U47+1,0))</f>
        <v/>
      </c>
      <c r="W47" s="1">
        <f>IF(W$5="",0,IF(OR(W14=TRUE,ISTEXT(W14)),V47+1,0))</f>
        <v/>
      </c>
      <c r="X47" s="1">
        <f>IF(X$5="",0,IF(OR(X14=TRUE,ISTEXT(X14)),W47+1,0))</f>
        <v/>
      </c>
      <c r="Y47" s="1">
        <f>IF(Y$5="",0,IF(OR(Y14=TRUE,ISTEXT(Y14)),X47+1,0))</f>
        <v/>
      </c>
      <c r="Z47" s="1">
        <f>IF(Z$5="",0,IF(OR(Z14=TRUE,ISTEXT(Z14)),Y47+1,0))</f>
        <v/>
      </c>
      <c r="AA47" s="1">
        <f>IF(AA$5="",0,IF(OR(AA14=TRUE,ISTEXT(AA14)),Z47+1,0))</f>
        <v/>
      </c>
      <c r="AB47" s="1">
        <f>IF(AB$5="",0,IF(OR(AB14=TRUE,ISTEXT(AB14)),AA47+1,0))</f>
        <v/>
      </c>
      <c r="AC47" s="1">
        <f>IF(AC$5="",0,IF(OR(AC14=TRUE,ISTEXT(AC14)),AB47+1,0))</f>
        <v/>
      </c>
      <c r="AD47" s="1">
        <f>IF(AD$5="",0,IF(OR(AD14=TRUE,ISTEXT(AD14)),AC47+1,0))</f>
        <v/>
      </c>
      <c r="AE47" s="1">
        <f>IF(AE$5="",0,IF(OR(AE14=TRUE,ISTEXT(AE14)),AD47+1,0))</f>
        <v/>
      </c>
      <c r="AF47" s="1">
        <f>IF(AF$5="",0,IF(OR(AF14=TRUE,ISTEXT(AF14)),AE47+1,0))</f>
        <v/>
      </c>
      <c r="AG47" s="1">
        <f>IF(AG$5="",0,IF(OR(AG14=TRUE,ISTEXT(AG14)),AF47+1,0))</f>
        <v/>
      </c>
      <c r="AH47" s="1" t="n"/>
      <c r="AI47" s="1" t="n"/>
      <c r="AJ47" s="1" t="n"/>
      <c r="AK47" s="1" t="n"/>
      <c r="AL47" s="1" t="n"/>
    </row>
    <row r="48" hidden="1">
      <c r="A48" s="1" t="n"/>
      <c r="B48" s="1">
        <f>B15</f>
        <v/>
      </c>
      <c r="C48" s="1">
        <f>IF(C$5="",0,IF(OR(C15=TRUE,ISTEXT(C15)),IFERROR(INDEX(Nov!$C$48:$AG$48,DAY(EOMONTH(DATE(Habits!$C$4,11,1),0))),0)+1,0))</f>
        <v/>
      </c>
      <c r="D48" s="1">
        <f>IF(D$5="",0,IF(OR(D15=TRUE,ISTEXT(D15)),C48+1,0))</f>
        <v/>
      </c>
      <c r="E48" s="1">
        <f>IF(E$5="",0,IF(OR(E15=TRUE,ISTEXT(E15)),D48+1,0))</f>
        <v/>
      </c>
      <c r="F48" s="1">
        <f>IF(F$5="",0,IF(OR(F15=TRUE,ISTEXT(F15)),E48+1,0))</f>
        <v/>
      </c>
      <c r="G48" s="1">
        <f>IF(G$5="",0,IF(OR(G15=TRUE,ISTEXT(G15)),F48+1,0))</f>
        <v/>
      </c>
      <c r="H48" s="1">
        <f>IF(H$5="",0,IF(OR(H15=TRUE,ISTEXT(H15)),G48+1,0))</f>
        <v/>
      </c>
      <c r="I48" s="1">
        <f>IF(I$5="",0,IF(OR(I15=TRUE,ISTEXT(I15)),H48+1,0))</f>
        <v/>
      </c>
      <c r="J48" s="1">
        <f>IF(J$5="",0,IF(OR(J15=TRUE,ISTEXT(J15)),I48+1,0))</f>
        <v/>
      </c>
      <c r="K48" s="1">
        <f>IF(K$5="",0,IF(OR(K15=TRUE,ISTEXT(K15)),J48+1,0))</f>
        <v/>
      </c>
      <c r="L48" s="1">
        <f>IF(L$5="",0,IF(OR(L15=TRUE,ISTEXT(L15)),K48+1,0))</f>
        <v/>
      </c>
      <c r="M48" s="1">
        <f>IF(M$5="",0,IF(OR(M15=TRUE,ISTEXT(M15)),L48+1,0))</f>
        <v/>
      </c>
      <c r="N48" s="1">
        <f>IF(N$5="",0,IF(OR(N15=TRUE,ISTEXT(N15)),M48+1,0))</f>
        <v/>
      </c>
      <c r="O48" s="1">
        <f>IF(O$5="",0,IF(OR(O15=TRUE,ISTEXT(O15)),N48+1,0))</f>
        <v/>
      </c>
      <c r="P48" s="1">
        <f>IF(P$5="",0,IF(OR(P15=TRUE,ISTEXT(P15)),O48+1,0))</f>
        <v/>
      </c>
      <c r="Q48" s="1">
        <f>IF(Q$5="",0,IF(OR(Q15=TRUE,ISTEXT(Q15)),P48+1,0))</f>
        <v/>
      </c>
      <c r="R48" s="1">
        <f>IF(R$5="",0,IF(OR(R15=TRUE,ISTEXT(R15)),Q48+1,0))</f>
        <v/>
      </c>
      <c r="S48" s="1">
        <f>IF(S$5="",0,IF(OR(S15=TRUE,ISTEXT(S15)),R48+1,0))</f>
        <v/>
      </c>
      <c r="T48" s="1">
        <f>IF(T$5="",0,IF(OR(T15=TRUE,ISTEXT(T15)),S48+1,0))</f>
        <v/>
      </c>
      <c r="U48" s="1">
        <f>IF(U$5="",0,IF(OR(U15=TRUE,ISTEXT(U15)),T48+1,0))</f>
        <v/>
      </c>
      <c r="V48" s="1">
        <f>IF(V$5="",0,IF(OR(V15=TRUE,ISTEXT(V15)),U48+1,0))</f>
        <v/>
      </c>
      <c r="W48" s="1">
        <f>IF(W$5="",0,IF(OR(W15=TRUE,ISTEXT(W15)),V48+1,0))</f>
        <v/>
      </c>
      <c r="X48" s="1">
        <f>IF(X$5="",0,IF(OR(X15=TRUE,ISTEXT(X15)),W48+1,0))</f>
        <v/>
      </c>
      <c r="Y48" s="1">
        <f>IF(Y$5="",0,IF(OR(Y15=TRUE,ISTEXT(Y15)),X48+1,0))</f>
        <v/>
      </c>
      <c r="Z48" s="1">
        <f>IF(Z$5="",0,IF(OR(Z15=TRUE,ISTEXT(Z15)),Y48+1,0))</f>
        <v/>
      </c>
      <c r="AA48" s="1">
        <f>IF(AA$5="",0,IF(OR(AA15=TRUE,ISTEXT(AA15)),Z48+1,0))</f>
        <v/>
      </c>
      <c r="AB48" s="1">
        <f>IF(AB$5="",0,IF(OR(AB15=TRUE,ISTEXT(AB15)),AA48+1,0))</f>
        <v/>
      </c>
      <c r="AC48" s="1">
        <f>IF(AC$5="",0,IF(OR(AC15=TRUE,ISTEXT(AC15)),AB48+1,0))</f>
        <v/>
      </c>
      <c r="AD48" s="1">
        <f>IF(AD$5="",0,IF(OR(AD15=TRUE,ISTEXT(AD15)),AC48+1,0))</f>
        <v/>
      </c>
      <c r="AE48" s="1">
        <f>IF(AE$5="",0,IF(OR(AE15=TRUE,ISTEXT(AE15)),AD48+1,0))</f>
        <v/>
      </c>
      <c r="AF48" s="1">
        <f>IF(AF$5="",0,IF(OR(AF15=TRUE,ISTEXT(AF15)),AE48+1,0))</f>
        <v/>
      </c>
      <c r="AG48" s="1">
        <f>IF(AG$5="",0,IF(OR(AG15=TRUE,ISTEXT(AG15)),AF48+1,0))</f>
        <v/>
      </c>
      <c r="AH48" s="1" t="n"/>
      <c r="AI48" s="1" t="n"/>
      <c r="AJ48" s="1" t="n"/>
      <c r="AK48" s="1" t="n"/>
      <c r="AL48" s="1" t="n"/>
    </row>
    <row r="49" hidden="1">
      <c r="A49" s="1" t="n"/>
      <c r="B49" s="1">
        <f>B16</f>
        <v/>
      </c>
      <c r="C49" s="1">
        <f>IF(C$5="",0,IF(OR(C16=TRUE,ISTEXT(C16)),IFERROR(INDEX(Nov!$C$49:$AG$49,DAY(EOMONTH(DATE(Habits!$C$4,11,1),0))),0)+1,0))</f>
        <v/>
      </c>
      <c r="D49" s="1">
        <f>IF(D$5="",0,IF(OR(D16=TRUE,ISTEXT(D16)),C49+1,0))</f>
        <v/>
      </c>
      <c r="E49" s="1">
        <f>IF(E$5="",0,IF(OR(E16=TRUE,ISTEXT(E16)),D49+1,0))</f>
        <v/>
      </c>
      <c r="F49" s="1">
        <f>IF(F$5="",0,IF(OR(F16=TRUE,ISTEXT(F16)),E49+1,0))</f>
        <v/>
      </c>
      <c r="G49" s="1">
        <f>IF(G$5="",0,IF(OR(G16=TRUE,ISTEXT(G16)),F49+1,0))</f>
        <v/>
      </c>
      <c r="H49" s="1">
        <f>IF(H$5="",0,IF(OR(H16=TRUE,ISTEXT(H16)),G49+1,0))</f>
        <v/>
      </c>
      <c r="I49" s="1">
        <f>IF(I$5="",0,IF(OR(I16=TRUE,ISTEXT(I16)),H49+1,0))</f>
        <v/>
      </c>
      <c r="J49" s="1">
        <f>IF(J$5="",0,IF(OR(J16=TRUE,ISTEXT(J16)),I49+1,0))</f>
        <v/>
      </c>
      <c r="K49" s="1">
        <f>IF(K$5="",0,IF(OR(K16=TRUE,ISTEXT(K16)),J49+1,0))</f>
        <v/>
      </c>
      <c r="L49" s="1">
        <f>IF(L$5="",0,IF(OR(L16=TRUE,ISTEXT(L16)),K49+1,0))</f>
        <v/>
      </c>
      <c r="M49" s="1">
        <f>IF(M$5="",0,IF(OR(M16=TRUE,ISTEXT(M16)),L49+1,0))</f>
        <v/>
      </c>
      <c r="N49" s="1">
        <f>IF(N$5="",0,IF(OR(N16=TRUE,ISTEXT(N16)),M49+1,0))</f>
        <v/>
      </c>
      <c r="O49" s="1">
        <f>IF(O$5="",0,IF(OR(O16=TRUE,ISTEXT(O16)),N49+1,0))</f>
        <v/>
      </c>
      <c r="P49" s="1">
        <f>IF(P$5="",0,IF(OR(P16=TRUE,ISTEXT(P16)),O49+1,0))</f>
        <v/>
      </c>
      <c r="Q49" s="1">
        <f>IF(Q$5="",0,IF(OR(Q16=TRUE,ISTEXT(Q16)),P49+1,0))</f>
        <v/>
      </c>
      <c r="R49" s="1">
        <f>IF(R$5="",0,IF(OR(R16=TRUE,ISTEXT(R16)),Q49+1,0))</f>
        <v/>
      </c>
      <c r="S49" s="1">
        <f>IF(S$5="",0,IF(OR(S16=TRUE,ISTEXT(S16)),R49+1,0))</f>
        <v/>
      </c>
      <c r="T49" s="1">
        <f>IF(T$5="",0,IF(OR(T16=TRUE,ISTEXT(T16)),S49+1,0))</f>
        <v/>
      </c>
      <c r="U49" s="1">
        <f>IF(U$5="",0,IF(OR(U16=TRUE,ISTEXT(U16)),T49+1,0))</f>
        <v/>
      </c>
      <c r="V49" s="1">
        <f>IF(V$5="",0,IF(OR(V16=TRUE,ISTEXT(V16)),U49+1,0))</f>
        <v/>
      </c>
      <c r="W49" s="1">
        <f>IF(W$5="",0,IF(OR(W16=TRUE,ISTEXT(W16)),V49+1,0))</f>
        <v/>
      </c>
      <c r="X49" s="1">
        <f>IF(X$5="",0,IF(OR(X16=TRUE,ISTEXT(X16)),W49+1,0))</f>
        <v/>
      </c>
      <c r="Y49" s="1">
        <f>IF(Y$5="",0,IF(OR(Y16=TRUE,ISTEXT(Y16)),X49+1,0))</f>
        <v/>
      </c>
      <c r="Z49" s="1">
        <f>IF(Z$5="",0,IF(OR(Z16=TRUE,ISTEXT(Z16)),Y49+1,0))</f>
        <v/>
      </c>
      <c r="AA49" s="1">
        <f>IF(AA$5="",0,IF(OR(AA16=TRUE,ISTEXT(AA16)),Z49+1,0))</f>
        <v/>
      </c>
      <c r="AB49" s="1">
        <f>IF(AB$5="",0,IF(OR(AB16=TRUE,ISTEXT(AB16)),AA49+1,0))</f>
        <v/>
      </c>
      <c r="AC49" s="1">
        <f>IF(AC$5="",0,IF(OR(AC16=TRUE,ISTEXT(AC16)),AB49+1,0))</f>
        <v/>
      </c>
      <c r="AD49" s="1">
        <f>IF(AD$5="",0,IF(OR(AD16=TRUE,ISTEXT(AD16)),AC49+1,0))</f>
        <v/>
      </c>
      <c r="AE49" s="1">
        <f>IF(AE$5="",0,IF(OR(AE16=TRUE,ISTEXT(AE16)),AD49+1,0))</f>
        <v/>
      </c>
      <c r="AF49" s="1">
        <f>IF(AF$5="",0,IF(OR(AF16=TRUE,ISTEXT(AF16)),AE49+1,0))</f>
        <v/>
      </c>
      <c r="AG49" s="1">
        <f>IF(AG$5="",0,IF(OR(AG16=TRUE,ISTEXT(AG16)),AF49+1,0))</f>
        <v/>
      </c>
      <c r="AH49" s="1" t="n"/>
      <c r="AI49" s="1" t="n"/>
      <c r="AJ49" s="1" t="n"/>
      <c r="AK49" s="1" t="n"/>
      <c r="AL49" s="1" t="n"/>
    </row>
    <row r="50" hidden="1">
      <c r="A50" s="1" t="n"/>
      <c r="B50" s="1">
        <f>B17</f>
        <v/>
      </c>
      <c r="C50" s="1">
        <f>IF(C$5="",0,IF(OR(C17=TRUE,ISTEXT(C17)),IFERROR(INDEX(Nov!$C$50:$AG$50,DAY(EOMONTH(DATE(Habits!$C$4,11,1),0))),0)+1,0))</f>
        <v/>
      </c>
      <c r="D50" s="1">
        <f>IF(D$5="",0,IF(OR(D17=TRUE,ISTEXT(D17)),C50+1,0))</f>
        <v/>
      </c>
      <c r="E50" s="1">
        <f>IF(E$5="",0,IF(OR(E17=TRUE,ISTEXT(E17)),D50+1,0))</f>
        <v/>
      </c>
      <c r="F50" s="1">
        <f>IF(F$5="",0,IF(OR(F17=TRUE,ISTEXT(F17)),E50+1,0))</f>
        <v/>
      </c>
      <c r="G50" s="1">
        <f>IF(G$5="",0,IF(OR(G17=TRUE,ISTEXT(G17)),F50+1,0))</f>
        <v/>
      </c>
      <c r="H50" s="1">
        <f>IF(H$5="",0,IF(OR(H17=TRUE,ISTEXT(H17)),G50+1,0))</f>
        <v/>
      </c>
      <c r="I50" s="1">
        <f>IF(I$5="",0,IF(OR(I17=TRUE,ISTEXT(I17)),H50+1,0))</f>
        <v/>
      </c>
      <c r="J50" s="1">
        <f>IF(J$5="",0,IF(OR(J17=TRUE,ISTEXT(J17)),I50+1,0))</f>
        <v/>
      </c>
      <c r="K50" s="1">
        <f>IF(K$5="",0,IF(OR(K17=TRUE,ISTEXT(K17)),J50+1,0))</f>
        <v/>
      </c>
      <c r="L50" s="1">
        <f>IF(L$5="",0,IF(OR(L17=TRUE,ISTEXT(L17)),K50+1,0))</f>
        <v/>
      </c>
      <c r="M50" s="1">
        <f>IF(M$5="",0,IF(OR(M17=TRUE,ISTEXT(M17)),L50+1,0))</f>
        <v/>
      </c>
      <c r="N50" s="1">
        <f>IF(N$5="",0,IF(OR(N17=TRUE,ISTEXT(N17)),M50+1,0))</f>
        <v/>
      </c>
      <c r="O50" s="1">
        <f>IF(O$5="",0,IF(OR(O17=TRUE,ISTEXT(O17)),N50+1,0))</f>
        <v/>
      </c>
      <c r="P50" s="1">
        <f>IF(P$5="",0,IF(OR(P17=TRUE,ISTEXT(P17)),O50+1,0))</f>
        <v/>
      </c>
      <c r="Q50" s="1">
        <f>IF(Q$5="",0,IF(OR(Q17=TRUE,ISTEXT(Q17)),P50+1,0))</f>
        <v/>
      </c>
      <c r="R50" s="1">
        <f>IF(R$5="",0,IF(OR(R17=TRUE,ISTEXT(R17)),Q50+1,0))</f>
        <v/>
      </c>
      <c r="S50" s="1">
        <f>IF(S$5="",0,IF(OR(S17=TRUE,ISTEXT(S17)),R50+1,0))</f>
        <v/>
      </c>
      <c r="T50" s="1">
        <f>IF(T$5="",0,IF(OR(T17=TRUE,ISTEXT(T17)),S50+1,0))</f>
        <v/>
      </c>
      <c r="U50" s="1">
        <f>IF(U$5="",0,IF(OR(U17=TRUE,ISTEXT(U17)),T50+1,0))</f>
        <v/>
      </c>
      <c r="V50" s="1">
        <f>IF(V$5="",0,IF(OR(V17=TRUE,ISTEXT(V17)),U50+1,0))</f>
        <v/>
      </c>
      <c r="W50" s="1">
        <f>IF(W$5="",0,IF(OR(W17=TRUE,ISTEXT(W17)),V50+1,0))</f>
        <v/>
      </c>
      <c r="X50" s="1">
        <f>IF(X$5="",0,IF(OR(X17=TRUE,ISTEXT(X17)),W50+1,0))</f>
        <v/>
      </c>
      <c r="Y50" s="1">
        <f>IF(Y$5="",0,IF(OR(Y17=TRUE,ISTEXT(Y17)),X50+1,0))</f>
        <v/>
      </c>
      <c r="Z50" s="1">
        <f>IF(Z$5="",0,IF(OR(Z17=TRUE,ISTEXT(Z17)),Y50+1,0))</f>
        <v/>
      </c>
      <c r="AA50" s="1">
        <f>IF(AA$5="",0,IF(OR(AA17=TRUE,ISTEXT(AA17)),Z50+1,0))</f>
        <v/>
      </c>
      <c r="AB50" s="1">
        <f>IF(AB$5="",0,IF(OR(AB17=TRUE,ISTEXT(AB17)),AA50+1,0))</f>
        <v/>
      </c>
      <c r="AC50" s="1">
        <f>IF(AC$5="",0,IF(OR(AC17=TRUE,ISTEXT(AC17)),AB50+1,0))</f>
        <v/>
      </c>
      <c r="AD50" s="1">
        <f>IF(AD$5="",0,IF(OR(AD17=TRUE,ISTEXT(AD17)),AC50+1,0))</f>
        <v/>
      </c>
      <c r="AE50" s="1">
        <f>IF(AE$5="",0,IF(OR(AE17=TRUE,ISTEXT(AE17)),AD50+1,0))</f>
        <v/>
      </c>
      <c r="AF50" s="1">
        <f>IF(AF$5="",0,IF(OR(AF17=TRUE,ISTEXT(AF17)),AE50+1,0))</f>
        <v/>
      </c>
      <c r="AG50" s="1">
        <f>IF(AG$5="",0,IF(OR(AG17=TRUE,ISTEXT(AG17)),AF50+1,0))</f>
        <v/>
      </c>
      <c r="AH50" s="1" t="n"/>
      <c r="AI50" s="1" t="n"/>
      <c r="AJ50" s="1" t="n"/>
      <c r="AK50" s="1" t="n"/>
      <c r="AL50" s="1" t="n"/>
    </row>
    <row r="51" hidden="1">
      <c r="A51" s="1" t="n"/>
      <c r="B51" s="1">
        <f>B18</f>
        <v/>
      </c>
      <c r="C51" s="1">
        <f>IF(C$5="",0,IF(OR(C18=TRUE,ISTEXT(C18)),IFERROR(INDEX(Nov!$C$51:$AG$51,DAY(EOMONTH(DATE(Habits!$C$4,11,1),0))),0)+1,0))</f>
        <v/>
      </c>
      <c r="D51" s="1">
        <f>IF(D$5="",0,IF(OR(D18=TRUE,ISTEXT(D18)),C51+1,0))</f>
        <v/>
      </c>
      <c r="E51" s="1">
        <f>IF(E$5="",0,IF(OR(E18=TRUE,ISTEXT(E18)),D51+1,0))</f>
        <v/>
      </c>
      <c r="F51" s="1">
        <f>IF(F$5="",0,IF(OR(F18=TRUE,ISTEXT(F18)),E51+1,0))</f>
        <v/>
      </c>
      <c r="G51" s="1">
        <f>IF(G$5="",0,IF(OR(G18=TRUE,ISTEXT(G18)),F51+1,0))</f>
        <v/>
      </c>
      <c r="H51" s="1">
        <f>IF(H$5="",0,IF(OR(H18=TRUE,ISTEXT(H18)),G51+1,0))</f>
        <v/>
      </c>
      <c r="I51" s="1">
        <f>IF(I$5="",0,IF(OR(I18=TRUE,ISTEXT(I18)),H51+1,0))</f>
        <v/>
      </c>
      <c r="J51" s="1">
        <f>IF(J$5="",0,IF(OR(J18=TRUE,ISTEXT(J18)),I51+1,0))</f>
        <v/>
      </c>
      <c r="K51" s="1">
        <f>IF(K$5="",0,IF(OR(K18=TRUE,ISTEXT(K18)),J51+1,0))</f>
        <v/>
      </c>
      <c r="L51" s="1">
        <f>IF(L$5="",0,IF(OR(L18=TRUE,ISTEXT(L18)),K51+1,0))</f>
        <v/>
      </c>
      <c r="M51" s="1">
        <f>IF(M$5="",0,IF(OR(M18=TRUE,ISTEXT(M18)),L51+1,0))</f>
        <v/>
      </c>
      <c r="N51" s="1">
        <f>IF(N$5="",0,IF(OR(N18=TRUE,ISTEXT(N18)),M51+1,0))</f>
        <v/>
      </c>
      <c r="O51" s="1">
        <f>IF(O$5="",0,IF(OR(O18=TRUE,ISTEXT(O18)),N51+1,0))</f>
        <v/>
      </c>
      <c r="P51" s="1">
        <f>IF(P$5="",0,IF(OR(P18=TRUE,ISTEXT(P18)),O51+1,0))</f>
        <v/>
      </c>
      <c r="Q51" s="1">
        <f>IF(Q$5="",0,IF(OR(Q18=TRUE,ISTEXT(Q18)),P51+1,0))</f>
        <v/>
      </c>
      <c r="R51" s="1">
        <f>IF(R$5="",0,IF(OR(R18=TRUE,ISTEXT(R18)),Q51+1,0))</f>
        <v/>
      </c>
      <c r="S51" s="1">
        <f>IF(S$5="",0,IF(OR(S18=TRUE,ISTEXT(S18)),R51+1,0))</f>
        <v/>
      </c>
      <c r="T51" s="1">
        <f>IF(T$5="",0,IF(OR(T18=TRUE,ISTEXT(T18)),S51+1,0))</f>
        <v/>
      </c>
      <c r="U51" s="1">
        <f>IF(U$5="",0,IF(OR(U18=TRUE,ISTEXT(U18)),T51+1,0))</f>
        <v/>
      </c>
      <c r="V51" s="1">
        <f>IF(V$5="",0,IF(OR(V18=TRUE,ISTEXT(V18)),U51+1,0))</f>
        <v/>
      </c>
      <c r="W51" s="1">
        <f>IF(W$5="",0,IF(OR(W18=TRUE,ISTEXT(W18)),V51+1,0))</f>
        <v/>
      </c>
      <c r="X51" s="1">
        <f>IF(X$5="",0,IF(OR(X18=TRUE,ISTEXT(X18)),W51+1,0))</f>
        <v/>
      </c>
      <c r="Y51" s="1">
        <f>IF(Y$5="",0,IF(OR(Y18=TRUE,ISTEXT(Y18)),X51+1,0))</f>
        <v/>
      </c>
      <c r="Z51" s="1">
        <f>IF(Z$5="",0,IF(OR(Z18=TRUE,ISTEXT(Z18)),Y51+1,0))</f>
        <v/>
      </c>
      <c r="AA51" s="1">
        <f>IF(AA$5="",0,IF(OR(AA18=TRUE,ISTEXT(AA18)),Z51+1,0))</f>
        <v/>
      </c>
      <c r="AB51" s="1">
        <f>IF(AB$5="",0,IF(OR(AB18=TRUE,ISTEXT(AB18)),AA51+1,0))</f>
        <v/>
      </c>
      <c r="AC51" s="1">
        <f>IF(AC$5="",0,IF(OR(AC18=TRUE,ISTEXT(AC18)),AB51+1,0))</f>
        <v/>
      </c>
      <c r="AD51" s="1">
        <f>IF(AD$5="",0,IF(OR(AD18=TRUE,ISTEXT(AD18)),AC51+1,0))</f>
        <v/>
      </c>
      <c r="AE51" s="1">
        <f>IF(AE$5="",0,IF(OR(AE18=TRUE,ISTEXT(AE18)),AD51+1,0))</f>
        <v/>
      </c>
      <c r="AF51" s="1">
        <f>IF(AF$5="",0,IF(OR(AF18=TRUE,ISTEXT(AF18)),AE51+1,0))</f>
        <v/>
      </c>
      <c r="AG51" s="1">
        <f>IF(AG$5="",0,IF(OR(AG18=TRUE,ISTEXT(AG18)),AF51+1,0))</f>
        <v/>
      </c>
      <c r="AH51" s="1" t="n"/>
      <c r="AI51" s="1" t="n"/>
      <c r="AJ51" s="1" t="n"/>
      <c r="AK51" s="1" t="n"/>
      <c r="AL51" s="1" t="n"/>
    </row>
    <row r="52" hidden="1">
      <c r="A52" s="1" t="n"/>
      <c r="B52" s="1">
        <f>B19</f>
        <v/>
      </c>
      <c r="C52" s="1">
        <f>IF(C$5="",0,IF(OR(C19=TRUE,ISTEXT(C19)),IFERROR(INDEX(Nov!$C$52:$AG$52,DAY(EOMONTH(DATE(Habits!$C$4,11,1),0))),0)+1,0))</f>
        <v/>
      </c>
      <c r="D52" s="1">
        <f>IF(D$5="",0,IF(OR(D19=TRUE,ISTEXT(D19)),C52+1,0))</f>
        <v/>
      </c>
      <c r="E52" s="1">
        <f>IF(E$5="",0,IF(OR(E19=TRUE,ISTEXT(E19)),D52+1,0))</f>
        <v/>
      </c>
      <c r="F52" s="1">
        <f>IF(F$5="",0,IF(OR(F19=TRUE,ISTEXT(F19)),E52+1,0))</f>
        <v/>
      </c>
      <c r="G52" s="1">
        <f>IF(G$5="",0,IF(OR(G19=TRUE,ISTEXT(G19)),F52+1,0))</f>
        <v/>
      </c>
      <c r="H52" s="1">
        <f>IF(H$5="",0,IF(OR(H19=TRUE,ISTEXT(H19)),G52+1,0))</f>
        <v/>
      </c>
      <c r="I52" s="1">
        <f>IF(I$5="",0,IF(OR(I19=TRUE,ISTEXT(I19)),H52+1,0))</f>
        <v/>
      </c>
      <c r="J52" s="1">
        <f>IF(J$5="",0,IF(OR(J19=TRUE,ISTEXT(J19)),I52+1,0))</f>
        <v/>
      </c>
      <c r="K52" s="1">
        <f>IF(K$5="",0,IF(OR(K19=TRUE,ISTEXT(K19)),J52+1,0))</f>
        <v/>
      </c>
      <c r="L52" s="1">
        <f>IF(L$5="",0,IF(OR(L19=TRUE,ISTEXT(L19)),K52+1,0))</f>
        <v/>
      </c>
      <c r="M52" s="1">
        <f>IF(M$5="",0,IF(OR(M19=TRUE,ISTEXT(M19)),L52+1,0))</f>
        <v/>
      </c>
      <c r="N52" s="1">
        <f>IF(N$5="",0,IF(OR(N19=TRUE,ISTEXT(N19)),M52+1,0))</f>
        <v/>
      </c>
      <c r="O52" s="1">
        <f>IF(O$5="",0,IF(OR(O19=TRUE,ISTEXT(O19)),N52+1,0))</f>
        <v/>
      </c>
      <c r="P52" s="1">
        <f>IF(P$5="",0,IF(OR(P19=TRUE,ISTEXT(P19)),O52+1,0))</f>
        <v/>
      </c>
      <c r="Q52" s="1">
        <f>IF(Q$5="",0,IF(OR(Q19=TRUE,ISTEXT(Q19)),P52+1,0))</f>
        <v/>
      </c>
      <c r="R52" s="1">
        <f>IF(R$5="",0,IF(OR(R19=TRUE,ISTEXT(R19)),Q52+1,0))</f>
        <v/>
      </c>
      <c r="S52" s="1">
        <f>IF(S$5="",0,IF(OR(S19=TRUE,ISTEXT(S19)),R52+1,0))</f>
        <v/>
      </c>
      <c r="T52" s="1">
        <f>IF(T$5="",0,IF(OR(T19=TRUE,ISTEXT(T19)),S52+1,0))</f>
        <v/>
      </c>
      <c r="U52" s="1">
        <f>IF(U$5="",0,IF(OR(U19=TRUE,ISTEXT(U19)),T52+1,0))</f>
        <v/>
      </c>
      <c r="V52" s="1">
        <f>IF(V$5="",0,IF(OR(V19=TRUE,ISTEXT(V19)),U52+1,0))</f>
        <v/>
      </c>
      <c r="W52" s="1">
        <f>IF(W$5="",0,IF(OR(W19=TRUE,ISTEXT(W19)),V52+1,0))</f>
        <v/>
      </c>
      <c r="X52" s="1">
        <f>IF(X$5="",0,IF(OR(X19=TRUE,ISTEXT(X19)),W52+1,0))</f>
        <v/>
      </c>
      <c r="Y52" s="1">
        <f>IF(Y$5="",0,IF(OR(Y19=TRUE,ISTEXT(Y19)),X52+1,0))</f>
        <v/>
      </c>
      <c r="Z52" s="1">
        <f>IF(Z$5="",0,IF(OR(Z19=TRUE,ISTEXT(Z19)),Y52+1,0))</f>
        <v/>
      </c>
      <c r="AA52" s="1">
        <f>IF(AA$5="",0,IF(OR(AA19=TRUE,ISTEXT(AA19)),Z52+1,0))</f>
        <v/>
      </c>
      <c r="AB52" s="1">
        <f>IF(AB$5="",0,IF(OR(AB19=TRUE,ISTEXT(AB19)),AA52+1,0))</f>
        <v/>
      </c>
      <c r="AC52" s="1">
        <f>IF(AC$5="",0,IF(OR(AC19=TRUE,ISTEXT(AC19)),AB52+1,0))</f>
        <v/>
      </c>
      <c r="AD52" s="1">
        <f>IF(AD$5="",0,IF(OR(AD19=TRUE,ISTEXT(AD19)),AC52+1,0))</f>
        <v/>
      </c>
      <c r="AE52" s="1">
        <f>IF(AE$5="",0,IF(OR(AE19=TRUE,ISTEXT(AE19)),AD52+1,0))</f>
        <v/>
      </c>
      <c r="AF52" s="1">
        <f>IF(AF$5="",0,IF(OR(AF19=TRUE,ISTEXT(AF19)),AE52+1,0))</f>
        <v/>
      </c>
      <c r="AG52" s="1">
        <f>IF(AG$5="",0,IF(OR(AG19=TRUE,ISTEXT(AG19)),AF52+1,0))</f>
        <v/>
      </c>
      <c r="AH52" s="1" t="n"/>
      <c r="AI52" s="1" t="n"/>
      <c r="AJ52" s="1" t="n"/>
      <c r="AK52" s="1" t="n"/>
      <c r="AL52" s="1" t="n"/>
    </row>
    <row r="53" hidden="1">
      <c r="A53" s="1" t="n"/>
      <c r="B53" s="1">
        <f>B20</f>
        <v/>
      </c>
      <c r="C53" s="1">
        <f>IF(C$5="",0,IF(OR(C20=TRUE,ISTEXT(C20)),IFERROR(INDEX(Nov!$C$53:$AG$53,DAY(EOMONTH(DATE(Habits!$C$4,11,1),0))),0)+1,0))</f>
        <v/>
      </c>
      <c r="D53" s="1">
        <f>IF(D$5="",0,IF(OR(D20=TRUE,ISTEXT(D20)),C53+1,0))</f>
        <v/>
      </c>
      <c r="E53" s="1">
        <f>IF(E$5="",0,IF(OR(E20=TRUE,ISTEXT(E20)),D53+1,0))</f>
        <v/>
      </c>
      <c r="F53" s="1">
        <f>IF(F$5="",0,IF(OR(F20=TRUE,ISTEXT(F20)),E53+1,0))</f>
        <v/>
      </c>
      <c r="G53" s="1">
        <f>IF(G$5="",0,IF(OR(G20=TRUE,ISTEXT(G20)),F53+1,0))</f>
        <v/>
      </c>
      <c r="H53" s="1">
        <f>IF(H$5="",0,IF(OR(H20=TRUE,ISTEXT(H20)),G53+1,0))</f>
        <v/>
      </c>
      <c r="I53" s="1">
        <f>IF(I$5="",0,IF(OR(I20=TRUE,ISTEXT(I20)),H53+1,0))</f>
        <v/>
      </c>
      <c r="J53" s="1">
        <f>IF(J$5="",0,IF(OR(J20=TRUE,ISTEXT(J20)),I53+1,0))</f>
        <v/>
      </c>
      <c r="K53" s="1">
        <f>IF(K$5="",0,IF(OR(K20=TRUE,ISTEXT(K20)),J53+1,0))</f>
        <v/>
      </c>
      <c r="L53" s="1">
        <f>IF(L$5="",0,IF(OR(L20=TRUE,ISTEXT(L20)),K53+1,0))</f>
        <v/>
      </c>
      <c r="M53" s="1">
        <f>IF(M$5="",0,IF(OR(M20=TRUE,ISTEXT(M20)),L53+1,0))</f>
        <v/>
      </c>
      <c r="N53" s="1">
        <f>IF(N$5="",0,IF(OR(N20=TRUE,ISTEXT(N20)),M53+1,0))</f>
        <v/>
      </c>
      <c r="O53" s="1">
        <f>IF(O$5="",0,IF(OR(O20=TRUE,ISTEXT(O20)),N53+1,0))</f>
        <v/>
      </c>
      <c r="P53" s="1">
        <f>IF(P$5="",0,IF(OR(P20=TRUE,ISTEXT(P20)),O53+1,0))</f>
        <v/>
      </c>
      <c r="Q53" s="1">
        <f>IF(Q$5="",0,IF(OR(Q20=TRUE,ISTEXT(Q20)),P53+1,0))</f>
        <v/>
      </c>
      <c r="R53" s="1">
        <f>IF(R$5="",0,IF(OR(R20=TRUE,ISTEXT(R20)),Q53+1,0))</f>
        <v/>
      </c>
      <c r="S53" s="1">
        <f>IF(S$5="",0,IF(OR(S20=TRUE,ISTEXT(S20)),R53+1,0))</f>
        <v/>
      </c>
      <c r="T53" s="1">
        <f>IF(T$5="",0,IF(OR(T20=TRUE,ISTEXT(T20)),S53+1,0))</f>
        <v/>
      </c>
      <c r="U53" s="1">
        <f>IF(U$5="",0,IF(OR(U20=TRUE,ISTEXT(U20)),T53+1,0))</f>
        <v/>
      </c>
      <c r="V53" s="1">
        <f>IF(V$5="",0,IF(OR(V20=TRUE,ISTEXT(V20)),U53+1,0))</f>
        <v/>
      </c>
      <c r="W53" s="1">
        <f>IF(W$5="",0,IF(OR(W20=TRUE,ISTEXT(W20)),V53+1,0))</f>
        <v/>
      </c>
      <c r="X53" s="1">
        <f>IF(X$5="",0,IF(OR(X20=TRUE,ISTEXT(X20)),W53+1,0))</f>
        <v/>
      </c>
      <c r="Y53" s="1">
        <f>IF(Y$5="",0,IF(OR(Y20=TRUE,ISTEXT(Y20)),X53+1,0))</f>
        <v/>
      </c>
      <c r="Z53" s="1">
        <f>IF(Z$5="",0,IF(OR(Z20=TRUE,ISTEXT(Z20)),Y53+1,0))</f>
        <v/>
      </c>
      <c r="AA53" s="1">
        <f>IF(AA$5="",0,IF(OR(AA20=TRUE,ISTEXT(AA20)),Z53+1,0))</f>
        <v/>
      </c>
      <c r="AB53" s="1">
        <f>IF(AB$5="",0,IF(OR(AB20=TRUE,ISTEXT(AB20)),AA53+1,0))</f>
        <v/>
      </c>
      <c r="AC53" s="1">
        <f>IF(AC$5="",0,IF(OR(AC20=TRUE,ISTEXT(AC20)),AB53+1,0))</f>
        <v/>
      </c>
      <c r="AD53" s="1">
        <f>IF(AD$5="",0,IF(OR(AD20=TRUE,ISTEXT(AD20)),AC53+1,0))</f>
        <v/>
      </c>
      <c r="AE53" s="1">
        <f>IF(AE$5="",0,IF(OR(AE20=TRUE,ISTEXT(AE20)),AD53+1,0))</f>
        <v/>
      </c>
      <c r="AF53" s="1">
        <f>IF(AF$5="",0,IF(OR(AF20=TRUE,ISTEXT(AF20)),AE53+1,0))</f>
        <v/>
      </c>
      <c r="AG53" s="1">
        <f>IF(AG$5="",0,IF(OR(AG20=TRUE,ISTEXT(AG20)),AF53+1,0))</f>
        <v/>
      </c>
      <c r="AH53" s="1" t="n"/>
      <c r="AI53" s="1" t="n"/>
      <c r="AJ53" s="1" t="n"/>
      <c r="AK53" s="1" t="n"/>
      <c r="AL53" s="1" t="n"/>
    </row>
    <row r="54" hidden="1">
      <c r="A54" s="1" t="n"/>
      <c r="B54" s="1">
        <f>B21</f>
        <v/>
      </c>
      <c r="C54" s="1">
        <f>IF(C$5="",0,IF(OR(C21=TRUE,ISTEXT(C21)),IFERROR(INDEX(Nov!$C$54:$AG$54,DAY(EOMONTH(DATE(Habits!$C$4,11,1),0))),0)+1,0))</f>
        <v/>
      </c>
      <c r="D54" s="1">
        <f>IF(D$5="",0,IF(OR(D21=TRUE,ISTEXT(D21)),C54+1,0))</f>
        <v/>
      </c>
      <c r="E54" s="1">
        <f>IF(E$5="",0,IF(OR(E21=TRUE,ISTEXT(E21)),D54+1,0))</f>
        <v/>
      </c>
      <c r="F54" s="1">
        <f>IF(F$5="",0,IF(OR(F21=TRUE,ISTEXT(F21)),E54+1,0))</f>
        <v/>
      </c>
      <c r="G54" s="1">
        <f>IF(G$5="",0,IF(OR(G21=TRUE,ISTEXT(G21)),F54+1,0))</f>
        <v/>
      </c>
      <c r="H54" s="1">
        <f>IF(H$5="",0,IF(OR(H21=TRUE,ISTEXT(H21)),G54+1,0))</f>
        <v/>
      </c>
      <c r="I54" s="1">
        <f>IF(I$5="",0,IF(OR(I21=TRUE,ISTEXT(I21)),H54+1,0))</f>
        <v/>
      </c>
      <c r="J54" s="1">
        <f>IF(J$5="",0,IF(OR(J21=TRUE,ISTEXT(J21)),I54+1,0))</f>
        <v/>
      </c>
      <c r="K54" s="1">
        <f>IF(K$5="",0,IF(OR(K21=TRUE,ISTEXT(K21)),J54+1,0))</f>
        <v/>
      </c>
      <c r="L54" s="1">
        <f>IF(L$5="",0,IF(OR(L21=TRUE,ISTEXT(L21)),K54+1,0))</f>
        <v/>
      </c>
      <c r="M54" s="1">
        <f>IF(M$5="",0,IF(OR(M21=TRUE,ISTEXT(M21)),L54+1,0))</f>
        <v/>
      </c>
      <c r="N54" s="1">
        <f>IF(N$5="",0,IF(OR(N21=TRUE,ISTEXT(N21)),M54+1,0))</f>
        <v/>
      </c>
      <c r="O54" s="1">
        <f>IF(O$5="",0,IF(OR(O21=TRUE,ISTEXT(O21)),N54+1,0))</f>
        <v/>
      </c>
      <c r="P54" s="1">
        <f>IF(P$5="",0,IF(OR(P21=TRUE,ISTEXT(P21)),O54+1,0))</f>
        <v/>
      </c>
      <c r="Q54" s="1">
        <f>IF(Q$5="",0,IF(OR(Q21=TRUE,ISTEXT(Q21)),P54+1,0))</f>
        <v/>
      </c>
      <c r="R54" s="1">
        <f>IF(R$5="",0,IF(OR(R21=TRUE,ISTEXT(R21)),Q54+1,0))</f>
        <v/>
      </c>
      <c r="S54" s="1">
        <f>IF(S$5="",0,IF(OR(S21=TRUE,ISTEXT(S21)),R54+1,0))</f>
        <v/>
      </c>
      <c r="T54" s="1">
        <f>IF(T$5="",0,IF(OR(T21=TRUE,ISTEXT(T21)),S54+1,0))</f>
        <v/>
      </c>
      <c r="U54" s="1">
        <f>IF(U$5="",0,IF(OR(U21=TRUE,ISTEXT(U21)),T54+1,0))</f>
        <v/>
      </c>
      <c r="V54" s="1">
        <f>IF(V$5="",0,IF(OR(V21=TRUE,ISTEXT(V21)),U54+1,0))</f>
        <v/>
      </c>
      <c r="W54" s="1">
        <f>IF(W$5="",0,IF(OR(W21=TRUE,ISTEXT(W21)),V54+1,0))</f>
        <v/>
      </c>
      <c r="X54" s="1">
        <f>IF(X$5="",0,IF(OR(X21=TRUE,ISTEXT(X21)),W54+1,0))</f>
        <v/>
      </c>
      <c r="Y54" s="1">
        <f>IF(Y$5="",0,IF(OR(Y21=TRUE,ISTEXT(Y21)),X54+1,0))</f>
        <v/>
      </c>
      <c r="Z54" s="1">
        <f>IF(Z$5="",0,IF(OR(Z21=TRUE,ISTEXT(Z21)),Y54+1,0))</f>
        <v/>
      </c>
      <c r="AA54" s="1">
        <f>IF(AA$5="",0,IF(OR(AA21=TRUE,ISTEXT(AA21)),Z54+1,0))</f>
        <v/>
      </c>
      <c r="AB54" s="1">
        <f>IF(AB$5="",0,IF(OR(AB21=TRUE,ISTEXT(AB21)),AA54+1,0))</f>
        <v/>
      </c>
      <c r="AC54" s="1">
        <f>IF(AC$5="",0,IF(OR(AC21=TRUE,ISTEXT(AC21)),AB54+1,0))</f>
        <v/>
      </c>
      <c r="AD54" s="1">
        <f>IF(AD$5="",0,IF(OR(AD21=TRUE,ISTEXT(AD21)),AC54+1,0))</f>
        <v/>
      </c>
      <c r="AE54" s="1">
        <f>IF(AE$5="",0,IF(OR(AE21=TRUE,ISTEXT(AE21)),AD54+1,0))</f>
        <v/>
      </c>
      <c r="AF54" s="1">
        <f>IF(AF$5="",0,IF(OR(AF21=TRUE,ISTEXT(AF21)),AE54+1,0))</f>
        <v/>
      </c>
      <c r="AG54" s="1">
        <f>IF(AG$5="",0,IF(OR(AG21=TRUE,ISTEXT(AG21)),AF54+1,0))</f>
        <v/>
      </c>
      <c r="AH54" s="1" t="n"/>
      <c r="AI54" s="1" t="n"/>
      <c r="AJ54" s="1" t="n"/>
      <c r="AK54" s="1" t="n"/>
      <c r="A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</sheetData>
  <mergeCells count="2">
    <mergeCell ref="AH24:AI24"/>
    <mergeCell ref="AH23:AI23"/>
  </mergeCells>
  <conditionalFormatting sqref="C7:AG24">
    <cfRule type="expression" priority="1" dxfId="12">
      <formula>C$5=""</formula>
    </cfRule>
  </conditionalFormatting>
  <conditionalFormatting sqref="C7:AG21">
    <cfRule type="expression" priority="2" dxfId="13">
      <formula>AND($B7&lt;&gt;"",OR(C7=TRUE,ISTEXT(C7)))</formula>
    </cfRule>
    <cfRule type="expression" priority="3" dxfId="14">
      <formula>$B7=""</formula>
    </cfRule>
  </conditionalFormatting>
  <conditionalFormatting sqref="C23:AG23">
    <cfRule type="expression" priority="4" dxfId="1">
      <formula>C23=5</formula>
    </cfRule>
    <cfRule type="expression" priority="5" dxfId="2">
      <formula>C23=4</formula>
    </cfRule>
    <cfRule type="expression" priority="6" dxfId="3">
      <formula>C23=3</formula>
    </cfRule>
    <cfRule type="expression" priority="7" dxfId="4">
      <formula>C23=2</formula>
    </cfRule>
    <cfRule type="expression" priority="8" dxfId="5">
      <formula>C23=1</formula>
    </cfRule>
  </conditionalFormatting>
  <conditionalFormatting sqref="C5:AG5">
    <cfRule type="expression" priority="9" dxfId="15">
      <formula>AND(C$5&lt;&gt;"",DATE(Habits!$C$4,12,C$5)=TODAY())</formula>
    </cfRule>
  </conditionalFormatting>
  <conditionalFormatting sqref="AI7:AI21">
    <cfRule type="colorScale" priority="10">
      <colorScale>
        <cfvo type="num" val="0"/>
        <cfvo type="num" val="1"/>
        <color rgb="00FFFFFF"/>
        <color rgb="008CC5A8"/>
      </colorScale>
    </cfRule>
  </conditionalFormatting>
  <dataValidations count="1">
    <dataValidation sqref="C23:AG2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4" customWidth="1" min="4" max="4"/>
    <col width="64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Habits</t>
        </is>
      </c>
      <c r="C2" s="1" t="n"/>
      <c r="D2" s="1" t="n"/>
      <c r="E2" s="1" t="n"/>
      <c r="F2" s="1" t="n"/>
    </row>
    <row r="3">
      <c r="A3" s="1" t="n"/>
      <c r="B3" s="3" t="inlineStr">
        <is>
          <t>Your year and up to 15 habits. The month tabs and the dashboard follow this list.</t>
        </is>
      </c>
      <c r="C3" s="1" t="n"/>
      <c r="D3" s="1" t="n"/>
      <c r="E3" s="1" t="n"/>
      <c r="F3" s="1" t="n"/>
    </row>
    <row r="4">
      <c r="A4" s="1" t="n"/>
      <c r="B4" s="37" t="inlineStr">
        <is>
          <t>Year</t>
        </is>
      </c>
      <c r="C4" s="38" t="n">
        <v>2026</v>
      </c>
      <c r="D4" s="1" t="n"/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 ht="30" customHeight="1">
      <c r="A7" s="1" t="n"/>
      <c r="B7" s="10" t="inlineStr">
        <is>
          <t>Habit</t>
        </is>
      </c>
      <c r="C7" s="11" t="n"/>
      <c r="D7" s="1" t="n"/>
      <c r="E7" s="1" t="n"/>
      <c r="F7" s="1" t="n"/>
    </row>
    <row r="8">
      <c r="A8" s="1" t="n"/>
      <c r="B8" s="39" t="inlineStr">
        <is>
          <t>Drink 8 glasses of water</t>
        </is>
      </c>
      <c r="C8" s="11" t="n"/>
      <c r="D8" s="1" t="n"/>
      <c r="E8" s="40" t="inlineStr">
        <is>
          <t>Keep a habit on the same line all year, so its streak carries on from month to month.</t>
        </is>
      </c>
      <c r="F8" s="1" t="n"/>
    </row>
    <row r="9">
      <c r="A9" s="1" t="n"/>
      <c r="B9" s="39" t="inlineStr">
        <is>
          <t>Walk 30 minutes</t>
        </is>
      </c>
      <c r="C9" s="11" t="n"/>
      <c r="D9" s="1" t="n"/>
      <c r="E9" s="40" t="inlineStr">
        <is>
          <t>On a month tab, type x in a day when you did the habit. In Google Sheets you can use</t>
        </is>
      </c>
      <c r="F9" s="1" t="n"/>
    </row>
    <row r="10">
      <c r="A10" s="1" t="n"/>
      <c r="B10" s="39" t="inlineStr">
        <is>
          <t>Read 20 pages</t>
        </is>
      </c>
      <c r="C10" s="11" t="n"/>
      <c r="D10" s="1" t="n"/>
      <c r="E10" s="40" t="inlineStr">
        <is>
          <t>checkboxes instead: select the days and choose Insert &gt; Checkbox.</t>
        </is>
      </c>
      <c r="F10" s="1" t="n"/>
    </row>
    <row r="11">
      <c r="A11" s="1" t="n"/>
      <c r="B11" s="39" t="inlineStr">
        <is>
          <t>No phone after 10 pm</t>
        </is>
      </c>
      <c r="C11" s="11" t="n"/>
      <c r="D11" s="1" t="n"/>
      <c r="E11" s="40" t="inlineStr">
        <is>
          <t>Mood: 5 great, 4 good, 3 okay, 2 low, 1 bad. Sleep: the hours you slept that night.</t>
        </is>
      </c>
      <c r="F11" s="1" t="n"/>
    </row>
    <row r="12">
      <c r="A12" s="1" t="n"/>
      <c r="B12" s="39" t="inlineStr">
        <is>
          <t>Stretch</t>
        </is>
      </c>
      <c r="C12" s="11" t="n"/>
      <c r="D12" s="1" t="n"/>
      <c r="E12" s="1" t="n"/>
      <c r="F12" s="1" t="n"/>
    </row>
    <row r="13">
      <c r="A13" s="1" t="n"/>
      <c r="B13" s="39" t="inlineStr">
        <is>
          <t>Journal</t>
        </is>
      </c>
      <c r="C13" s="11" t="n"/>
      <c r="D13" s="1" t="n"/>
      <c r="E13" s="1" t="n"/>
      <c r="F13" s="1" t="n"/>
    </row>
    <row r="14">
      <c r="A14" s="1" t="n"/>
      <c r="B14" s="39" t="inlineStr">
        <is>
          <t>Take vitamins</t>
        </is>
      </c>
      <c r="C14" s="11" t="n"/>
      <c r="D14" s="1" t="n"/>
      <c r="E14" s="1" t="n"/>
      <c r="F14" s="1" t="n"/>
    </row>
    <row r="15">
      <c r="A15" s="1" t="n"/>
      <c r="B15" s="39" t="inlineStr">
        <is>
          <t>Meditate 10 minutes</t>
        </is>
      </c>
      <c r="C15" s="11" t="n"/>
      <c r="D15" s="1" t="n"/>
      <c r="E15" s="1" t="n"/>
      <c r="F15" s="1" t="n"/>
    </row>
    <row r="16">
      <c r="A16" s="1" t="n"/>
      <c r="B16" s="39" t="n"/>
      <c r="C16" s="11" t="n"/>
      <c r="D16" s="1" t="n"/>
      <c r="E16" s="1" t="n"/>
      <c r="F16" s="1" t="n"/>
    </row>
    <row r="17">
      <c r="A17" s="1" t="n"/>
      <c r="B17" s="39" t="n"/>
      <c r="C17" s="11" t="n"/>
      <c r="D17" s="1" t="n"/>
      <c r="E17" s="1" t="n"/>
      <c r="F17" s="1" t="n"/>
    </row>
    <row r="18">
      <c r="A18" s="1" t="n"/>
      <c r="B18" s="39" t="n"/>
      <c r="C18" s="11" t="n"/>
      <c r="D18" s="1" t="n"/>
      <c r="E18" s="1" t="n"/>
      <c r="F18" s="1" t="n"/>
    </row>
    <row r="19">
      <c r="A19" s="1" t="n"/>
      <c r="B19" s="39" t="n"/>
      <c r="C19" s="11" t="n"/>
      <c r="D19" s="1" t="n"/>
      <c r="E19" s="1" t="n"/>
      <c r="F19" s="1" t="n"/>
    </row>
    <row r="20">
      <c r="A20" s="1" t="n"/>
      <c r="B20" s="39" t="n"/>
      <c r="C20" s="11" t="n"/>
      <c r="D20" s="1" t="n"/>
      <c r="E20" s="1" t="n"/>
      <c r="F20" s="1" t="n"/>
    </row>
    <row r="21">
      <c r="A21" s="1" t="n"/>
      <c r="B21" s="39" t="n"/>
      <c r="C21" s="11" t="n"/>
      <c r="D21" s="1" t="n"/>
      <c r="E21" s="1" t="n"/>
      <c r="F21" s="1" t="n"/>
    </row>
    <row r="22">
      <c r="A22" s="1" t="n"/>
      <c r="B22" s="39" t="n"/>
      <c r="C22" s="1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</sheetData>
  <mergeCells count="16">
    <mergeCell ref="B13:C13"/>
    <mergeCell ref="B21:C21"/>
    <mergeCell ref="B16:C16"/>
    <mergeCell ref="B15:C15"/>
    <mergeCell ref="B7:C7"/>
    <mergeCell ref="B11:C11"/>
    <mergeCell ref="B19:C19"/>
    <mergeCell ref="B20:C20"/>
    <mergeCell ref="B10:C10"/>
    <mergeCell ref="B22:C22"/>
    <mergeCell ref="B14:C14"/>
    <mergeCell ref="B17:C17"/>
    <mergeCell ref="B9:C9"/>
    <mergeCell ref="B8:C8"/>
    <mergeCell ref="B18:C18"/>
    <mergeCell ref="B12:C12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and white day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41" t="inlineStr">
        <is>
          <t>1</t>
        </is>
      </c>
      <c r="C5" s="42" t="inlineStr">
        <is>
          <t>Habits: type the year and up to 15 habits. Keep each habit on its own line all year.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41" t="inlineStr">
        <is>
          <t>2</t>
        </is>
      </c>
      <c r="C7" s="42" t="inlineStr">
        <is>
          <t>Month tabs: each day, type x under the habits you did. In Google Sheets you can use checkboxes instead.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41" t="inlineStr">
        <is>
          <t>3</t>
        </is>
      </c>
      <c r="C9" s="42" t="inlineStr">
        <is>
          <t>On the same tab, give the day a mood from 1 (bad) to 5 (great) and the hours you slept.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41" t="inlineStr">
        <is>
          <t>4</t>
        </is>
      </c>
      <c r="C11" s="42" t="inlineStr">
        <is>
          <t>Dashboard: this month's habits with their streaks, and the year month by month.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41" t="inlineStr">
        <is>
          <t>5</t>
        </is>
      </c>
      <c r="C13" s="42" t="inlineStr">
        <is>
          <t>Year in pixels: every day of the year in the colour of your mood.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A streak counts the days in a row, and it carries on from one month to the next.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Streak now counts today once it is ticked, and until then the days up to yesterday.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The example year shows how it works. Clear the day cells and start with your own.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3" t="inlineStr">
        <is>
          <t>Works in Google Sheets and Microsoft Excel. For a new year, make a copy and change the year.</t>
        </is>
      </c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2026-09-28T13:43:07Z</dcterms:created>
  <dcterms:modified xsi:type="dcterms:W3CDTF">2026-09-28T13:43:09Z</dcterms:modified>
</cp:coreProperties>
</file>